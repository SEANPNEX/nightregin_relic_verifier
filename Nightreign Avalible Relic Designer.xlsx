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" sheetId="1" r:id="rId5"/>
    <sheet state="visible" name="Translation" sheetId="2" r:id="rId6"/>
    <sheet state="visible" name="Variables" sheetId="3" r:id="rId7"/>
    <sheet state="visible" name="Lists" sheetId="4" r:id="rId8"/>
    <sheet state="visible" name="Tables" sheetId="5" r:id="rId9"/>
    <sheet state="visible" name="Dynamic Tables" sheetId="6" r:id="rId10"/>
    <sheet state="visible" name="Items" sheetId="7" r:id="rId11"/>
    <sheet state="visible" name="Effects" sheetId="8" r:id="rId12"/>
    <sheet state="visible" name="EffectParam" sheetId="9" r:id="rId13"/>
    <sheet state="visible" name="RelicParam" sheetId="10" r:id="rId14"/>
    <sheet state="visible" name="EffectPoolParam" sheetId="11" r:id="rId15"/>
  </sheets>
  <definedNames>
    <definedName name="ConflictID4">Variables!$E$9</definedName>
    <definedName name="PoolId6">Variables!$B$17</definedName>
    <definedName name="Tbl_ItemName">Items!$A$2:$C$2637</definedName>
    <definedName name="Tbl_EffectName">Effects!$A$2:$C$1166</definedName>
    <definedName name="PoolId4">Variables!$B$15</definedName>
    <definedName name="SelectedEffect_1">Variables!$B$6</definedName>
    <definedName name="ConflictID5">Variables!$E$10</definedName>
    <definedName name="PoolId1">Variables!$B$12</definedName>
    <definedName name="EffectParamUrl">Variables!$B$2</definedName>
    <definedName name="RelicParamUrl">Variables!$B$4</definedName>
    <definedName name="ConflictID3">Variables!$E$8</definedName>
    <definedName name="Tbl_PoolParam">EffectPoolParam!$A$2:$B$22089</definedName>
    <definedName name="ConflictID6">Variables!$E$11</definedName>
    <definedName name="SelectedEffect_3">Variables!$B$8</definedName>
    <definedName name="EffectPoolParamUrl">Variables!$B$3</definedName>
    <definedName name="PoolId5">Variables!$B$16</definedName>
    <definedName name="Tbl_RelicParam">RelicParam!$A$2:$H$1386</definedName>
    <definedName name="ConflictID2">Variables!$E$7</definedName>
    <definedName name="SelectedCurse_3">Variables!$B$11</definedName>
    <definedName name="SelectedCurse_2">Variables!$B$10</definedName>
    <definedName name="Tbl_ItemSource">Tables!$A$2:$C$5</definedName>
    <definedName name="EmptyID">Variables!$B$1</definedName>
    <definedName name="PoolId2">Variables!$B$13</definedName>
    <definedName name="ConfilctID1">Variables!$E$6</definedName>
    <definedName name="SelectedRelicID">Variables!$B$5</definedName>
    <definedName name="Tbl_EffectParam">EffectParam!$A$2:$D$2080</definedName>
    <definedName name="PoolId3">Variables!$B$14</definedName>
    <definedName name="SelectedEffect_2">Variables!$B$7</definedName>
    <definedName name="SelectedCurse_1">Variables!$B$9</definedName>
    <definedName name="Tbl_EffectSource">Tables!$E$2:$G$5</definedName>
    <definedName name="DOUBLE_CONFLICT_FILTER">LAMBDA(pool_id_x, selected_1, selected_2, conflict_1, conflict_2, LET(pool,UNFILTERED_POOL(pool_id_x),
FILTER(pool,
(pool &lt;&gt; selected_1) * (pool &lt;&gt; selected_2) * ((conflict_1 = -1) + (XLOOKUP(pool, choosecols(Tbl_EffectParam,1), choosecols(Tbl_EffectParam,2), "") &lt;&gt; conflict_1)) * ((conflict_2 = -1) + (XLOOKUP(pool, choosecols(Tbl_EffectParam,1), choosecols(Tbl_EffectParam,2), "") &lt;&gt; conflict_2))
        )))</definedName>
    <definedName name="SINGLE_CONFLICT_FILTER">LAMBDA(pool_id_x, selected_id, conflict_id, LET(pool,UNFILTERED_POOL(pool_id_x),
FILTER(pool,
  (pool &lt;&gt; selected_id) *
  ((conflict_id= -1) +
  (XLOOKUP(pool, CHOOSECOLS(Tbl_EffectParam,1), CHOOSECOLS(Tbl_EffectParam,2), "") &lt;&gt; conflict_id)
  )
)))</definedName>
    <definedName name="HANDLE_EMPTY_POOL">LAMBDA(pool_id_x, lambda_pool, if(pool_id_x&lt;&gt;-1 ,lambda_pool,"Empty"))</definedName>
    <definedName name="GET_LANGUAGE_COL">LAMBDA(rng, lang_cell, match(lang_cell,CHOOSEROWS(offset(rng,-1,0),1),0))</definedName>
    <definedName name="UNFILTERED_POOL">LAMBDA(pool_id_x, choosecols(filter(Tbl_PoolParam, CHOOSECOLS(Tbl_PoolParam,1) =pool_id_x),2))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Language Option</t>
      </text>
    </comment>
  </commentList>
</comments>
</file>

<file path=xl/sharedStrings.xml><?xml version="1.0" encoding="utf-8"?>
<sst xmlns="http://schemas.openxmlformats.org/spreadsheetml/2006/main" count="9141" uniqueCount="2031">
  <si>
    <t>English</t>
  </si>
  <si>
    <t>ID</t>
  </si>
  <si>
    <t>102 - Grand Burning Scene (Red)</t>
  </si>
  <si>
    <t>7000100-Mind +1</t>
  </si>
  <si>
    <t>7000000-Vigor +1</t>
  </si>
  <si>
    <t>7000100</t>
  </si>
  <si>
    <t>7000500-Intelligence +1</t>
  </si>
  <si>
    <t>7000500</t>
  </si>
  <si>
    <t>Empty</t>
  </si>
  <si>
    <t>繁體中文</t>
  </si>
  <si>
    <t>简体中文</t>
  </si>
  <si>
    <t>Language</t>
  </si>
  <si>
    <t>語言</t>
  </si>
  <si>
    <t>语言</t>
  </si>
  <si>
    <t>Relic</t>
  </si>
  <si>
    <t>遺物</t>
  </si>
  <si>
    <t>遗物</t>
  </si>
  <si>
    <t>Attach Effect 1</t>
  </si>
  <si>
    <t>效果1</t>
  </si>
  <si>
    <t>Attach Effect 2</t>
  </si>
  <si>
    <t>效果2</t>
  </si>
  <si>
    <t>Attach Effect 3</t>
  </si>
  <si>
    <t>效果3</t>
  </si>
  <si>
    <t>Curse Effect 1</t>
  </si>
  <si>
    <t>詛咒1</t>
  </si>
  <si>
    <t>诅咒1</t>
  </si>
  <si>
    <t>Curse Effect 2</t>
  </si>
  <si>
    <t>詛咒2</t>
  </si>
  <si>
    <t>诅咒2</t>
  </si>
  <si>
    <t>Curse Effect 3</t>
  </si>
  <si>
    <t>詛咒3</t>
  </si>
  <si>
    <t>诅咒3</t>
  </si>
  <si>
    <t>Final Result</t>
  </si>
  <si>
    <t>最終結果</t>
  </si>
  <si>
    <t>最终结果</t>
  </si>
  <si>
    <t>Name / Effect Description</t>
  </si>
  <si>
    <t>名稱 / 效果描述</t>
  </si>
  <si>
    <t>名称 / 效果描述</t>
  </si>
  <si>
    <t>Empty ID</t>
  </si>
  <si>
    <t>AttachEffectParam URL</t>
  </si>
  <si>
    <t>https://raw.githubusercontent.com/ip1259/Elden-Ring-Nightreign-Legal-Relic-Generator/refs/heads/main/AttachEffectParam.csv</t>
  </si>
  <si>
    <t>EffectPool URL</t>
  </si>
  <si>
    <t>https://raw.githubusercontent.com/ip1259/Elden-Ring-Nightreign-Legal-Relic-Generator/refs/heads/main/AttachEffectTableParam.csv</t>
  </si>
  <si>
    <t>AntiqueParam URL</t>
  </si>
  <si>
    <t>https://raw.githubusercontent.com/ip1259/Elden-Ring-Nightreign-Legal-Relic-Generator/refs/heads/main/EquipParamAntique.csv</t>
  </si>
  <si>
    <t>selected relic id</t>
  </si>
  <si>
    <t>selected effect 1 id</t>
  </si>
  <si>
    <t>Conflic ID 1</t>
  </si>
  <si>
    <t>override ID 1</t>
  </si>
  <si>
    <t>selected effect 2 id</t>
  </si>
  <si>
    <t>Conflic ID 2</t>
  </si>
  <si>
    <t>override ID 2</t>
  </si>
  <si>
    <t>selected effect 3 id</t>
  </si>
  <si>
    <t>Conflic ID 3</t>
  </si>
  <si>
    <t>override ID 3</t>
  </si>
  <si>
    <t>selected cuese 1 id</t>
  </si>
  <si>
    <t>Conflic ID 4</t>
  </si>
  <si>
    <t>override ID 4</t>
  </si>
  <si>
    <t>selected cuese 2 id</t>
  </si>
  <si>
    <t>Conflic ID 5</t>
  </si>
  <si>
    <t>override ID 5</t>
  </si>
  <si>
    <t>selected cuese 3 id</t>
  </si>
  <si>
    <t>Conflic ID 6</t>
  </si>
  <si>
    <t>override ID 6</t>
  </si>
  <si>
    <t>pool 1 id</t>
  </si>
  <si>
    <t>pool 2 id</t>
  </si>
  <si>
    <t>pool 3 id</t>
  </si>
  <si>
    <t>pool 4 id</t>
  </si>
  <si>
    <t>pool 5 id</t>
  </si>
  <si>
    <t>pool 6 id</t>
  </si>
  <si>
    <t>Lang</t>
  </si>
  <si>
    <t>Url</t>
  </si>
  <si>
    <t>Title</t>
  </si>
  <si>
    <t>en</t>
  </si>
  <si>
    <t>https://raw.githubusercontent.com/ip1259/Elden-Ring-Nightreign-Legal-Relic-Generator/refs/heads/main/en/AntiqueName.fmg.xml</t>
  </si>
  <si>
    <t>https://raw.githubusercontent.com/ip1259/Elden-Ring-Nightreign-Legal-Relic-Generator/refs/heads/main/en/AttachEffectName.fmg.xml</t>
  </si>
  <si>
    <t>Red</t>
  </si>
  <si>
    <t>紅</t>
  </si>
  <si>
    <t>红</t>
  </si>
  <si>
    <t>https://raw.githubusercontent.com/ip1259/Elden-Ring-Nightreign-Legal-Relic-Generator/refs/heads/main/en/AntiqueName_dlc01.fmg.xml</t>
  </si>
  <si>
    <t>https://raw.githubusercontent.com/ip1259/Elden-Ring-Nightreign-Legal-Relic-Generator/refs/heads/main/en/AttachEffectName_dlc01.fmg.xml</t>
  </si>
  <si>
    <t>Blue</t>
  </si>
  <si>
    <t>藍</t>
  </si>
  <si>
    <t>蓝</t>
  </si>
  <si>
    <t>zh_tw</t>
  </si>
  <si>
    <t>https://raw.githubusercontent.com/ip1259/Elden-Ring-Nightreign-Legal-Relic-Generator/refs/heads/main/tcht/AntiqueName.fmg.xml</t>
  </si>
  <si>
    <t>https://raw.githubusercontent.com/ip1259/Elden-Ring-Nightreign-Legal-Relic-Generator/refs/heads/main/tcht/AttachEffectName.fmg.xml</t>
  </si>
  <si>
    <t>Yellow</t>
  </si>
  <si>
    <t>黃</t>
  </si>
  <si>
    <t>黄</t>
  </si>
  <si>
    <t>https://raw.githubusercontent.com/ip1259/Elden-Ring-Nightreign-Legal-Relic-Generator/refs/heads/main/tcht/AntiqueName_dlc01.fmg.xml</t>
  </si>
  <si>
    <t>https://raw.githubusercontent.com/ip1259/Elden-Ring-Nightreign-Legal-Relic-Generator/refs/heads/main/tcht/AttachEffectName_dlc01.fmg.xml</t>
  </si>
  <si>
    <t>Green</t>
  </si>
  <si>
    <t>綠</t>
  </si>
  <si>
    <t>绿</t>
  </si>
  <si>
    <t>RelicID</t>
  </si>
  <si>
    <t>Relic Name</t>
  </si>
  <si>
    <t>Relic Color</t>
  </si>
  <si>
    <t>Full Relic Display</t>
  </si>
  <si>
    <t>Pool 1</t>
  </si>
  <si>
    <t>Pool 2</t>
  </si>
  <si>
    <t>Pool 3</t>
  </si>
  <si>
    <t>CPool 1</t>
  </si>
  <si>
    <t>CPool 2</t>
  </si>
  <si>
    <t>CPool 3</t>
  </si>
  <si>
    <t>Antique</t>
  </si>
  <si>
    <t>Murk</t>
  </si>
  <si>
    <t>Sovereign Sigil</t>
  </si>
  <si>
    <t>Scenic Flatstone</t>
  </si>
  <si>
    <t>Delicate Burning Scene</t>
  </si>
  <si>
    <t>Polished Burning Scene</t>
  </si>
  <si>
    <t>Grand Burning Scene</t>
  </si>
  <si>
    <t>Delicate Drizzly Scene</t>
  </si>
  <si>
    <t>Polished Drizzly Scene</t>
  </si>
  <si>
    <t>Grand Drizzly Scene</t>
  </si>
  <si>
    <t>Delicate Luminous Scene</t>
  </si>
  <si>
    <t>Polished Luminous Scene</t>
  </si>
  <si>
    <t>Grand Luminous Scene</t>
  </si>
  <si>
    <t>Delicate Tranquil Scene</t>
  </si>
  <si>
    <t>Polished Tranquil Scene</t>
  </si>
  <si>
    <t>Grand Tranquil Scene</t>
  </si>
  <si>
    <t>Night of the Beast</t>
  </si>
  <si>
    <t>Dark Night of the Beast</t>
  </si>
  <si>
    <t>Night of the Baron</t>
  </si>
  <si>
    <t>Dark Night of the Baron</t>
  </si>
  <si>
    <t>Night of the Wise</t>
  </si>
  <si>
    <t>Dark Night of the Wise</t>
  </si>
  <si>
    <t>Night of the Fathom</t>
  </si>
  <si>
    <t>Dark Night of the Fathom</t>
  </si>
  <si>
    <t>Night of the Demon</t>
  </si>
  <si>
    <t>Dark Night of the Demon</t>
  </si>
  <si>
    <t>Night of the Champion</t>
  </si>
  <si>
    <t>Dark Night of the Champion</t>
  </si>
  <si>
    <t>Night of the Miasma</t>
  </si>
  <si>
    <t>Dark Night of the Miasma</t>
  </si>
  <si>
    <t>The Will of the Balancers</t>
  </si>
  <si>
    <t>The Will of Balance</t>
  </si>
  <si>
    <t>The Night of Dregs</t>
  </si>
  <si>
    <t>Night of the Lord</t>
  </si>
  <si>
    <t>Old Pocketwatch</t>
  </si>
  <si>
    <t>Besmirched Frame</t>
  </si>
  <si>
    <t>Fell Omen Fetish</t>
  </si>
  <si>
    <t>Slate Whetstone</t>
  </si>
  <si>
    <t>The Wylder's Earring</t>
  </si>
  <si>
    <t>Silver Tear</t>
  </si>
  <si>
    <t>Third Volume</t>
  </si>
  <si>
    <t>Stone Stake</t>
  </si>
  <si>
    <t>Witch's Brooch</t>
  </si>
  <si>
    <t>Cracked Witch's Brooch</t>
  </si>
  <si>
    <t>Cracked Sealing Wax</t>
  </si>
  <si>
    <t>Edge of Order</t>
  </si>
  <si>
    <t>Golden Dew</t>
  </si>
  <si>
    <t>Crown Medal</t>
  </si>
  <si>
    <t>Blessed Iron Coin</t>
  </si>
  <si>
    <t>Torn Braided Cord</t>
  </si>
  <si>
    <t>Black Claw Necklace</t>
  </si>
  <si>
    <t>Small Makeup Brush</t>
  </si>
  <si>
    <t>Old Portrait</t>
  </si>
  <si>
    <t>Vestige of Night</t>
  </si>
  <si>
    <t>Bone-Like Stone</t>
  </si>
  <si>
    <t>Blessed Flowers</t>
  </si>
  <si>
    <t>Golden Sprout</t>
  </si>
  <si>
    <t>Cleansing Tear</t>
  </si>
  <si>
    <t>Note "My Dear Successor"</t>
  </si>
  <si>
    <t>Leather Monocle Case</t>
  </si>
  <si>
    <t>Glass Necklace</t>
  </si>
  <si>
    <t>Deep Delicate Burning Scene</t>
  </si>
  <si>
    <t xml:space="preserve">Deep Polished Burning Scene </t>
  </si>
  <si>
    <t xml:space="preserve">Deep Grand Burning Scene </t>
  </si>
  <si>
    <t xml:space="preserve">Deep Delicate Drizzly Scene </t>
  </si>
  <si>
    <t xml:space="preserve">Deep Polished Drizzly Scene </t>
  </si>
  <si>
    <t xml:space="preserve">Deep Grand Drizzly Scene </t>
  </si>
  <si>
    <t xml:space="preserve">Deep Delicate Luminous Scene </t>
  </si>
  <si>
    <t>Deep Polished Luminous Scene</t>
  </si>
  <si>
    <t>Deep Grand Luminous Scene</t>
  </si>
  <si>
    <t xml:space="preserve">Deep Delicate Tranquil Scene </t>
  </si>
  <si>
    <t xml:space="preserve">Deep Polished Tranquil Scene </t>
  </si>
  <si>
    <t xml:space="preserve">Deep Grand Tranquil Scene </t>
  </si>
  <si>
    <t xml:space="preserve">Deep Delicate Burning Scene </t>
  </si>
  <si>
    <t>Deep Delicate Luminous Scene</t>
  </si>
  <si>
    <t xml:space="preserve">Deep Polished Luminous Scene </t>
  </si>
  <si>
    <t xml:space="preserve">Deep Grand Luminous Scene </t>
  </si>
  <si>
    <t>Unset</t>
  </si>
  <si>
    <t>%null%</t>
  </si>
  <si>
    <t>暗痕</t>
  </si>
  <si>
    <t>為王之證</t>
  </si>
  <si>
    <t>情景原石</t>
  </si>
  <si>
    <t>Large Scenic Flatstone</t>
  </si>
  <si>
    <t>大顆情景原石</t>
  </si>
  <si>
    <t>Deep Scenic Flatstone</t>
  </si>
  <si>
    <t>暗淡情景原石</t>
  </si>
  <si>
    <t>Deep Large Scenic Flatstone</t>
  </si>
  <si>
    <t>大顆暗淡情景原石</t>
  </si>
  <si>
    <t>細膩的火燃情景</t>
  </si>
  <si>
    <t>端正的火燃情景</t>
  </si>
  <si>
    <t>遼闊的火燃情景</t>
  </si>
  <si>
    <t>細膩的水滴情景</t>
  </si>
  <si>
    <t>端正的水滴情景</t>
  </si>
  <si>
    <t>遼闊的水滴情景</t>
  </si>
  <si>
    <t>細膩的光耀情景</t>
  </si>
  <si>
    <t>端正的光耀情景</t>
  </si>
  <si>
    <t>遼闊的光耀情景</t>
  </si>
  <si>
    <t>細膩的幽靜情景</t>
  </si>
  <si>
    <t>端正的幽靜情景</t>
  </si>
  <si>
    <t>遼闊的幽靜情景</t>
  </si>
  <si>
    <t>野獸的黑夜</t>
  </si>
  <si>
    <t>野獸的暗夜</t>
  </si>
  <si>
    <t>爵的黑夜</t>
  </si>
  <si>
    <t>爵的暗夜</t>
  </si>
  <si>
    <t>智的黑夜</t>
  </si>
  <si>
    <t>智的暗夜</t>
  </si>
  <si>
    <t>深海的黑夜</t>
  </si>
  <si>
    <t>深海的暗夜</t>
  </si>
  <si>
    <t>魔的黑夜</t>
  </si>
  <si>
    <t>魔的暗夜</t>
  </si>
  <si>
    <t>獵人的黑夜</t>
  </si>
  <si>
    <t>獵人的暗夜</t>
  </si>
  <si>
    <t>霧霾的黑夜</t>
  </si>
  <si>
    <t>霧霾的暗夜</t>
  </si>
  <si>
    <t>安定者的遺志</t>
  </si>
  <si>
    <t>安定的遺志</t>
  </si>
  <si>
    <t>廢棄物之夜</t>
  </si>
  <si>
    <t>王的黑夜</t>
  </si>
  <si>
    <t>老舊懷錶</t>
  </si>
  <si>
    <t>骯髒相框</t>
  </si>
  <si>
    <t>惡兆妖鬼的詛咒物</t>
  </si>
  <si>
    <t>深灰色砥石</t>
  </si>
  <si>
    <t>追蹤者的耳環</t>
  </si>
  <si>
    <t>銀色淚滴</t>
  </si>
  <si>
    <t>套書的第三冊</t>
  </si>
  <si>
    <t>石樁</t>
  </si>
  <si>
    <t>魔女胸針</t>
  </si>
  <si>
    <t>碎裂的魔女胸針</t>
  </si>
  <si>
    <t>Fine Arrowhead</t>
  </si>
  <si>
    <t>作工精細的箭頭</t>
  </si>
  <si>
    <t>裂開的封蠟</t>
  </si>
  <si>
    <t>聖律刀</t>
  </si>
  <si>
    <t>金色露珠</t>
  </si>
  <si>
    <t>頭冠的徽章</t>
  </si>
  <si>
    <t>祝福鐵幣</t>
  </si>
  <si>
    <t>斷裂編繩</t>
  </si>
  <si>
    <t>黑爪項鍊</t>
  </si>
  <si>
    <t>Blade of Night Fragment</t>
  </si>
  <si>
    <t>黑夜刀片</t>
  </si>
  <si>
    <t>小型化妝工具</t>
  </si>
  <si>
    <t>老舊袖珍畫</t>
  </si>
  <si>
    <t>Night Shard</t>
  </si>
  <si>
    <t>黑夜碎片</t>
  </si>
  <si>
    <t>黑夜痕跡</t>
  </si>
  <si>
    <t>似骨石</t>
  </si>
  <si>
    <t>受賜福的花</t>
  </si>
  <si>
    <t>Golden Shell</t>
  </si>
  <si>
    <t>黃金種子殼</t>
  </si>
  <si>
    <t>黃金嫩芽</t>
  </si>
  <si>
    <t>清淨淚滴</t>
  </si>
  <si>
    <t>記錄「致繼承人」</t>
  </si>
  <si>
    <t>單眼鏡的皮革袋</t>
  </si>
  <si>
    <t>玻璃項鍊</t>
  </si>
  <si>
    <t>細膩的火燃暗淡情景</t>
  </si>
  <si>
    <t>端正的火燃暗淡情景</t>
  </si>
  <si>
    <t>遼闊的火燃暗淡情景</t>
  </si>
  <si>
    <t>細膩的水滴暗淡情景</t>
  </si>
  <si>
    <t>端正的水滴暗淡情景</t>
  </si>
  <si>
    <t>遼闊的水滴暗淡情景</t>
  </si>
  <si>
    <t>細膩的光耀暗淡情景</t>
  </si>
  <si>
    <t>端正的光耀暗淡情景</t>
  </si>
  <si>
    <t>遼闊的光耀暗淡情景</t>
  </si>
  <si>
    <t>細膩的幽靜暗淡情景</t>
  </si>
  <si>
    <t>端正的幽靜暗淡情景</t>
  </si>
  <si>
    <t>遼闊的幽靜暗淡情景</t>
  </si>
  <si>
    <t>Increased Maximum HP</t>
  </si>
  <si>
    <t>提升ＨＰ上限</t>
  </si>
  <si>
    <t>Increased Maximum FP</t>
  </si>
  <si>
    <t>提升ＦＰ上限</t>
  </si>
  <si>
    <t>Increased Maximum Stamina</t>
  </si>
  <si>
    <t>提升精力上限</t>
  </si>
  <si>
    <t>Improved Item Discovery</t>
  </si>
  <si>
    <t>提升觀察力</t>
  </si>
  <si>
    <t>More Runes From Defeated Enemies</t>
  </si>
  <si>
    <t>打倒敵人時，增加獲得的盧恩</t>
  </si>
  <si>
    <t>Improved Stamina Recovery</t>
  </si>
  <si>
    <t>提升精力恢復速度</t>
  </si>
  <si>
    <t>Improved Blood Loss Resistance</t>
  </si>
  <si>
    <t>提升對出血的抵抗力</t>
  </si>
  <si>
    <t>Improved Frost Resistance</t>
  </si>
  <si>
    <t>提升對凍傷的抵抗力</t>
  </si>
  <si>
    <t>Improved Poison Resistance</t>
  </si>
  <si>
    <t>提升對中毒的抵抗力</t>
  </si>
  <si>
    <t>Improved Rot Resistance</t>
  </si>
  <si>
    <t>提升對腐敗的抵抗力</t>
  </si>
  <si>
    <t>Improved Sleep Resistance</t>
  </si>
  <si>
    <t>提升對催眠的抵抗力</t>
  </si>
  <si>
    <t>Improved Madness Resistance</t>
  </si>
  <si>
    <t>提升對發狂的抵抗力</t>
  </si>
  <si>
    <t>Improved Death Blight Resistance</t>
  </si>
  <si>
    <t>提升對驟死的抵抗力</t>
  </si>
  <si>
    <t>Improved Poison &amp; Rot Resistance</t>
  </si>
  <si>
    <t>提升對中毒、腐敗的抵抗力</t>
  </si>
  <si>
    <t>Improved Blood Loss &amp; Frost Resistance</t>
  </si>
  <si>
    <t>提升對出血、凍傷的抵抗力</t>
  </si>
  <si>
    <t>Improved Sleep &amp; Madness Resistance</t>
  </si>
  <si>
    <t>提升對催眠、發狂的抵抗力</t>
  </si>
  <si>
    <t>Improved Poise</t>
  </si>
  <si>
    <t>提升強韌度</t>
  </si>
  <si>
    <t>Improved Skill Attack Power</t>
  </si>
  <si>
    <t>提升戰技攻擊力</t>
  </si>
  <si>
    <t>Improved Dexterity</t>
  </si>
  <si>
    <t>提升靈巧</t>
  </si>
  <si>
    <t>Successive Attacks Boost Attack Power</t>
  </si>
  <si>
    <t>連續攻擊時，提升攻擊力</t>
  </si>
  <si>
    <t>Improved Magic Attack Power</t>
  </si>
  <si>
    <t>提升魔力屬性攻擊力</t>
  </si>
  <si>
    <t>Impaired Physical Damage Negation</t>
  </si>
  <si>
    <t>降低物理減傷率</t>
  </si>
  <si>
    <t>Improved Lightning Attack Power</t>
  </si>
  <si>
    <t>提升雷屬性攻擊力</t>
  </si>
  <si>
    <t>Improved Fire Attack Power</t>
  </si>
  <si>
    <t>提升火屬性攻擊力</t>
  </si>
  <si>
    <t>Improved Holy Attack Power</t>
  </si>
  <si>
    <t>提升聖屬性攻擊力</t>
  </si>
  <si>
    <t>Improved Attack Power at Low HP</t>
  </si>
  <si>
    <t>ＨＰ偏低時，提升攻擊力</t>
  </si>
  <si>
    <t>Improved Attack Power at Full HP</t>
  </si>
  <si>
    <t>ＨＰ全滿時，提升攻擊力</t>
  </si>
  <si>
    <t>Improved Thrusting Counterattack</t>
  </si>
  <si>
    <t>強化突刺反擊</t>
  </si>
  <si>
    <t>Improved Guard Breaking</t>
  </si>
  <si>
    <t>提升瓦解防禦的能力</t>
  </si>
  <si>
    <t>Improved Critical Hits</t>
  </si>
  <si>
    <t>強化致命一擊</t>
  </si>
  <si>
    <t>Projectile Damage Drop-Off Reduced</t>
  </si>
  <si>
    <t>降低射擊時，傷害隨距離遞減的影響</t>
  </si>
  <si>
    <t>Improved Chain Attack Finishers</t>
  </si>
  <si>
    <t>強化連續攻擊的最後攻擊</t>
  </si>
  <si>
    <t>Improved Charge Attacks</t>
  </si>
  <si>
    <t>強化蓄力攻擊</t>
  </si>
  <si>
    <t>Improved Ranged Weapon Attacks</t>
  </si>
  <si>
    <t>強化射擊</t>
  </si>
  <si>
    <t>Blood Loss in Vicinity Increases Attack Power</t>
  </si>
  <si>
    <t>周圍陷入出血時，提升攻擊力</t>
  </si>
  <si>
    <t>Poison &amp; Rot in Vicinity Increases Attack Power</t>
  </si>
  <si>
    <t>周圍陷入中毒、腐敗時，提升攻擊力</t>
  </si>
  <si>
    <t>Improved Jump Attacks</t>
  </si>
  <si>
    <t>強化跳躍攻擊</t>
  </si>
  <si>
    <t>Improved Roar &amp; Breath Attacks</t>
  </si>
  <si>
    <t>強化咆哮與吐息</t>
  </si>
  <si>
    <t>Improved Guard Counters</t>
  </si>
  <si>
    <t>強化防禦反擊</t>
  </si>
  <si>
    <t>Improved Throwing Pots</t>
  </si>
  <si>
    <t>強化投擲壺</t>
  </si>
  <si>
    <t>Improved Perfuming Arts</t>
  </si>
  <si>
    <t>強化調香術</t>
  </si>
  <si>
    <t>Improved Sorceries</t>
  </si>
  <si>
    <t>強化魔法</t>
  </si>
  <si>
    <t>Improved Incantations</t>
  </si>
  <si>
    <t>強化禱告</t>
  </si>
  <si>
    <t>Extended Spell Duration</t>
  </si>
  <si>
    <t>延長魔法、禱告的有效時間</t>
  </si>
  <si>
    <t>Improved Spell Casting Speed</t>
  </si>
  <si>
    <t>縮短魔法、禱告的詠唱時間</t>
  </si>
  <si>
    <t>Reduced Spell FP Cost</t>
  </si>
  <si>
    <t>減少魔法、禱告ＦＰ消耗</t>
  </si>
  <si>
    <t>Reduced Maximum HP</t>
  </si>
  <si>
    <t>降低ＨＰ上限</t>
  </si>
  <si>
    <t>Improved Charged Spells &amp; Skills</t>
  </si>
  <si>
    <t>強化魔法、禱告、戰技的蓄力使用</t>
  </si>
  <si>
    <t>Improved Physical Damage Negation</t>
  </si>
  <si>
    <t>提升物理減傷率</t>
  </si>
  <si>
    <t>Improved Magic Damage Negation</t>
  </si>
  <si>
    <t>提升魔力屬性減傷率</t>
  </si>
  <si>
    <t>Improved Fire Damage Negation</t>
  </si>
  <si>
    <t>提升火屬性減傷率</t>
  </si>
  <si>
    <t>Improved Lightning Damage Negation</t>
  </si>
  <si>
    <t>提升雷屬性減傷率</t>
  </si>
  <si>
    <t>Improved Holy Damage Negation</t>
  </si>
  <si>
    <t>提升聖屬性減傷率</t>
  </si>
  <si>
    <t>Improved Affinity Damage Negation</t>
  </si>
  <si>
    <t>提升屬性減傷率</t>
  </si>
  <si>
    <t>Improved Dodging</t>
  </si>
  <si>
    <t>強化閃避</t>
  </si>
  <si>
    <t>Impaired Damage Negation</t>
  </si>
  <si>
    <t>降低減傷率</t>
  </si>
  <si>
    <t>Improved Damage Negation at Low HP</t>
  </si>
  <si>
    <t>ＨＰ偏低時，提升減傷率</t>
  </si>
  <si>
    <t>Improved Damage Negation at Full HP</t>
  </si>
  <si>
    <t>ＨＰ全滿時，提升減傷率</t>
  </si>
  <si>
    <t>Improved Guarding Ability</t>
  </si>
  <si>
    <t>提升防禦強度</t>
  </si>
  <si>
    <t>Improved Flask HP Restoration</t>
  </si>
  <si>
    <t>提升聖杯瓶恢復量</t>
  </si>
  <si>
    <t>Continuous HP Recovery</t>
  </si>
  <si>
    <t>持續恢復ＨＰ</t>
  </si>
  <si>
    <t>Defeating Enemies Restores HP</t>
  </si>
  <si>
    <t>打倒敵人時，恢復ＨＰ</t>
  </si>
  <si>
    <t>Successive Attack HP Restoration</t>
  </si>
  <si>
    <t>連續攻擊時，恢復ＨＰ</t>
  </si>
  <si>
    <t>Critical Hit HP Restoration</t>
  </si>
  <si>
    <t>致命一擊時，恢復ＨＰ</t>
  </si>
  <si>
    <t>Critical Hit FP Restoration</t>
  </si>
  <si>
    <t>致命一擊時，恢復ＦＰ</t>
  </si>
  <si>
    <t>Reduced Skill FP Cost</t>
  </si>
  <si>
    <t>減少戰技ＦＰ消耗</t>
  </si>
  <si>
    <t>No Rune Loss or Level Down Upon Death</t>
  </si>
  <si>
    <t>死亡時，不會掉落盧恩與降低等級</t>
  </si>
  <si>
    <t>Defeating Enemies Restores FP</t>
  </si>
  <si>
    <t>打倒敵人時，恢復ＦＰ</t>
  </si>
  <si>
    <t>Continuous HP Loss</t>
  </si>
  <si>
    <t>持續減少ＨＰ</t>
  </si>
  <si>
    <t>Character Skill Cooldown Reduction +4</t>
  </si>
  <si>
    <t>縮短技藝的冷卻時間＋４</t>
  </si>
  <si>
    <t>Character Skill Cooldown Reduction +5</t>
  </si>
  <si>
    <t>縮短技藝的冷卻時間＋５</t>
  </si>
  <si>
    <t>Ultimate Art Auto Charge +4</t>
  </si>
  <si>
    <t>自然累積絕活量表＋４</t>
  </si>
  <si>
    <t>Ultimate Art Auto Charge +5</t>
  </si>
  <si>
    <t>自然累積絕活量表＋５</t>
  </si>
  <si>
    <t>Poise +4</t>
  </si>
  <si>
    <t>強韌度＋４</t>
  </si>
  <si>
    <t>Poise +5</t>
  </si>
  <si>
    <t>強韌度＋５</t>
  </si>
  <si>
    <t xml:space="preserve">Physical Attack Up +4
</t>
  </si>
  <si>
    <t>提升物理攻擊力＋４</t>
  </si>
  <si>
    <t xml:space="preserve">Magic Attack Power Up +3
</t>
  </si>
  <si>
    <t>提升魔力屬性攻擊力＋３</t>
  </si>
  <si>
    <t xml:space="preserve">Magic Attack Power Up +4
</t>
  </si>
  <si>
    <t>提升魔力屬性攻擊力＋４</t>
  </si>
  <si>
    <t xml:space="preserve">Fire Attack Power Up +3
</t>
  </si>
  <si>
    <t>提升火屬性攻擊力＋３</t>
  </si>
  <si>
    <t xml:space="preserve">Fire Attack Power Up +4
</t>
  </si>
  <si>
    <t>提升火屬性攻擊力＋４</t>
  </si>
  <si>
    <t xml:space="preserve">Lightning Attack Power Up +3
</t>
  </si>
  <si>
    <t>提升雷屬性攻擊力＋３</t>
  </si>
  <si>
    <t xml:space="preserve">Lightning Attack Power Up +4
</t>
  </si>
  <si>
    <t>提升雷屬性攻擊力＋４</t>
  </si>
  <si>
    <t xml:space="preserve">Holy Attack Power Up +3
</t>
  </si>
  <si>
    <t>提升聖屬性攻擊力＋３</t>
  </si>
  <si>
    <t xml:space="preserve">Holy Attack Power Up +4
</t>
  </si>
  <si>
    <t>提升聖屬性攻擊力＋４</t>
  </si>
  <si>
    <t xml:space="preserve">Improved Magic Damage Negation +1
</t>
  </si>
  <si>
    <t>提升魔力屬性減傷率＋１</t>
  </si>
  <si>
    <t xml:space="preserve">Improved Magic Damage Negation +2
</t>
  </si>
  <si>
    <t>提升魔力屬性減傷率＋２</t>
  </si>
  <si>
    <t xml:space="preserve">Improved Fire Damage Negation +1
</t>
  </si>
  <si>
    <t>提升火屬性減傷率＋１</t>
  </si>
  <si>
    <t xml:space="preserve">Improved Fire Damage Negation +2
</t>
  </si>
  <si>
    <t>提升火屬性減傷率＋２</t>
  </si>
  <si>
    <t xml:space="preserve">Improved Lightning Damage Negation +1
</t>
  </si>
  <si>
    <t>提升雷屬性減傷率＋１</t>
  </si>
  <si>
    <t xml:space="preserve">Improved Lightning Damage Negation +2
</t>
  </si>
  <si>
    <t>提升雷屬性減傷率＋２</t>
  </si>
  <si>
    <t xml:space="preserve">Improved Holy Damage Negation +1
</t>
  </si>
  <si>
    <t>提升聖屬性減傷率＋１</t>
  </si>
  <si>
    <t xml:space="preserve">Improved Holy Damage Negation +2
</t>
  </si>
  <si>
    <t>提升聖屬性減傷率＋２</t>
  </si>
  <si>
    <t xml:space="preserve">Improved Poison Resistance +1
</t>
  </si>
  <si>
    <t>提升對中毒的抵抗力＋１</t>
  </si>
  <si>
    <t xml:space="preserve">Improved Poison Resistance +2
</t>
  </si>
  <si>
    <t>提升對中毒的抵抗力＋２</t>
  </si>
  <si>
    <t xml:space="preserve">Improved Blood Loss Resistance +1
</t>
  </si>
  <si>
    <t>提升對出血的抵抗力＋１</t>
  </si>
  <si>
    <t xml:space="preserve">Improved Blood Loss Resistance +2
</t>
  </si>
  <si>
    <t>提升對出血的抵抗力＋２</t>
  </si>
  <si>
    <t xml:space="preserve">Improved Sleep Resistance +1
</t>
  </si>
  <si>
    <t>提升對催眠的抵抗力＋１</t>
  </si>
  <si>
    <t xml:space="preserve">Improved Sleep Resistance +2
</t>
  </si>
  <si>
    <t>提升對催眠的抵抗力＋２</t>
  </si>
  <si>
    <t xml:space="preserve">Improved Death Blight Resistance +1
</t>
  </si>
  <si>
    <t>提升對驟死的抵抗力＋１</t>
  </si>
  <si>
    <t xml:space="preserve">Improved Death Blight Resistance +2
</t>
  </si>
  <si>
    <t>提升對驟死的抵抗力＋２</t>
  </si>
  <si>
    <t xml:space="preserve">Improved Rot Resistance +1
</t>
  </si>
  <si>
    <t>提升對腐敗的抵抗力＋１</t>
  </si>
  <si>
    <t xml:space="preserve">Improved Rot Resistance +2
</t>
  </si>
  <si>
    <t>提升對腐敗的抵抗力＋２</t>
  </si>
  <si>
    <t xml:space="preserve">Improved Frost Resistance +1
</t>
  </si>
  <si>
    <t>提升對凍傷的抵抗力＋１</t>
  </si>
  <si>
    <t xml:space="preserve">Improved Frost Resistance +2
</t>
  </si>
  <si>
    <t>提升對凍傷的抵抗力＋２</t>
  </si>
  <si>
    <t xml:space="preserve">Improved Madness Resistance +1
</t>
  </si>
  <si>
    <t>提升對發狂的抵抗力＋１</t>
  </si>
  <si>
    <t xml:space="preserve">Improved Madness Resistance +2
</t>
  </si>
  <si>
    <t>提升對發狂的抵抗力＋２</t>
  </si>
  <si>
    <t xml:space="preserve">Partial HP Restoration upon Post-Damage Attacks +1
</t>
  </si>
  <si>
    <t>受到損傷的當下，能透過攻擊恢復部分ＨＰ＋１</t>
  </si>
  <si>
    <t xml:space="preserve">Partial HP Restoration upon Post-Damage Attacks +2
</t>
  </si>
  <si>
    <t>受到損傷的當下，能透過攻擊恢復部分ＨＰ＋２</t>
  </si>
  <si>
    <t>Improved Stance-Breaking when Two-Handing +1</t>
  </si>
  <si>
    <t>提升雙手共持時，造成失去平衡的能力＋１</t>
  </si>
  <si>
    <t>Improved Stance-Breaking when Two-Handing +2</t>
  </si>
  <si>
    <t>提升雙手共持時，造成失去平衡的能力＋２</t>
  </si>
  <si>
    <t>Improved Stance-Breaking when Wielding Two Armaments +1</t>
  </si>
  <si>
    <t>提升雙手各持時，造成失去平衡的能力＋１</t>
  </si>
  <si>
    <t>Improved Stance-Breaking when Wielding Two Armaments +2</t>
  </si>
  <si>
    <t>提升雙手各持時，造成失去平衡的能力＋２</t>
  </si>
  <si>
    <t>Improved Damage Negation at Low HP +1</t>
  </si>
  <si>
    <t>ＨＰ偏低時，提升減傷率＋１</t>
  </si>
  <si>
    <t>Improved Damage Negation at Low HP +2</t>
  </si>
  <si>
    <t>ＨＰ偏低時，提升減傷率＋２</t>
  </si>
  <si>
    <t xml:space="preserve">HP restored when using medicinal boluses, etc. +1
</t>
  </si>
  <si>
    <t>食用苔藥等等道具時，能恢復ＨＰ＋１</t>
  </si>
  <si>
    <t xml:space="preserve">HP restored when using medicinal boluses, etc. +2
</t>
  </si>
  <si>
    <t>食用苔藥等等道具時，能恢復ＨＰ＋２</t>
  </si>
  <si>
    <t xml:space="preserve">Successful guarding fills more of the Art gauge +1
</t>
  </si>
  <si>
    <t>防禦成功時，能累積絕活量表＋１</t>
  </si>
  <si>
    <t xml:space="preserve">Successful guarding fills more of the Art gauge +2
</t>
  </si>
  <si>
    <t>防禦成功時，能累積絕活量表＋２</t>
  </si>
  <si>
    <t xml:space="preserve">Critical hits fill more of the Art gauge +1
</t>
  </si>
  <si>
    <t>使出致命一擊時，能累積絕活量表＋１</t>
  </si>
  <si>
    <t xml:space="preserve">Critical hits fill more of the Art gauge +2
</t>
  </si>
  <si>
    <t>使出致命一擊時，能累積絕活量表＋２</t>
  </si>
  <si>
    <t xml:space="preserve">Physical attack power increases after using grease items +1
</t>
  </si>
  <si>
    <t>塗抹油脂類道具時，能額外提升物理攻擊力＋１</t>
  </si>
  <si>
    <t xml:space="preserve">Physical attack power increases after using grease items +2
</t>
  </si>
  <si>
    <t>塗抹油脂類道具時，能額外提升物理攻擊力＋２</t>
  </si>
  <si>
    <t>Critical Hits Earn Runes +1</t>
  </si>
  <si>
    <t>使出致命一擊時，能獲得盧恩＋１</t>
  </si>
  <si>
    <t>Critical Hits Earn Runes +2</t>
  </si>
  <si>
    <t>使出致命一擊時，能獲得盧恩＋２</t>
  </si>
  <si>
    <t>Taking attacks improves attack power +1</t>
  </si>
  <si>
    <t>受到攻擊時，能提升攻擊力＋１</t>
  </si>
  <si>
    <t>Taking attacks improves attack power +2</t>
  </si>
  <si>
    <t>受到攻擊時，能提升攻擊力＋２</t>
  </si>
  <si>
    <t>Critical Hit Boosts Stamina Recovery Speed +1</t>
  </si>
  <si>
    <t>使出致命一擊時，能提升精力的恢復速度＋１</t>
  </si>
  <si>
    <t>Critical Hit Boosts Stamina Recovery Speed +2</t>
  </si>
  <si>
    <t>使出致命一擊時，能提升精力的恢復速度＋２</t>
  </si>
  <si>
    <t>Improved Initial Standard Attack +1</t>
  </si>
  <si>
    <t>強化輕攻擊的第一記攻擊＋１</t>
  </si>
  <si>
    <t>Improved Initial Standard Attack +2</t>
  </si>
  <si>
    <t>強化輕攻擊的第一記攻擊＋２</t>
  </si>
  <si>
    <t xml:space="preserve">Improved Guard Counters +1
</t>
  </si>
  <si>
    <t>強化防禦反擊＋１</t>
  </si>
  <si>
    <t xml:space="preserve">Improved Guard Counters +2
</t>
  </si>
  <si>
    <t>強化防禦反擊＋２</t>
  </si>
  <si>
    <t>Improved Throwing Pot Damage +1</t>
  </si>
  <si>
    <t>提升投擲壺的攻擊力＋１</t>
  </si>
  <si>
    <t>Improved Throwing Pot Damage +2</t>
  </si>
  <si>
    <t>提升投擲壺的攻擊力＋２</t>
  </si>
  <si>
    <t>Improved Throwing Knife Damage +1</t>
  </si>
  <si>
    <t>提升投擲小刀的攻擊力＋１</t>
  </si>
  <si>
    <t>Improved Throwing Knife Damage +2</t>
  </si>
  <si>
    <t>提升投擲小刀的攻擊力＋２</t>
  </si>
  <si>
    <t>Improved Glintstone and Gravity Stone Damage +1</t>
  </si>
  <si>
    <t>提升使用輝石、重力石道具的攻擊力＋１</t>
  </si>
  <si>
    <t>Improved Glintstone and Gravity Stone Damage +2</t>
  </si>
  <si>
    <t>提升使用輝石、重力石道具的攻擊力＋２</t>
  </si>
  <si>
    <t>Improved Roar &amp; Breath Attacks +1</t>
  </si>
  <si>
    <t>強化咆哮與吐息＋１</t>
  </si>
  <si>
    <t>Improved Roar &amp; Breath Attacks +2</t>
  </si>
  <si>
    <t>強化咆哮與吐息＋２</t>
  </si>
  <si>
    <t>Improved Perfuming Arts +1</t>
  </si>
  <si>
    <t>強化調香術＋１</t>
  </si>
  <si>
    <t>Improved Perfuming Arts +2</t>
  </si>
  <si>
    <t>強化調香術＋２</t>
  </si>
  <si>
    <t>Max HP increased for each great enemy defeated at a Great Church.</t>
  </si>
  <si>
    <t>每次打倒大教堂的強敵，能提升ＨＰ上限</t>
  </si>
  <si>
    <t>Runes and Item Discovery increased for each great enemy defeated at a Fort</t>
  </si>
  <si>
    <t>每次打倒小型要塞的強敵，能增加獲得的盧恩、提升觀察力</t>
  </si>
  <si>
    <t>Arcane increased for each great enemy defeated at a Ruin</t>
  </si>
  <si>
    <t>每次打倒遺跡的強敵，能提升感應</t>
  </si>
  <si>
    <t>Max stamina increased for each great enemy defeated at a Great Encampment</t>
  </si>
  <si>
    <t>每次打倒大型營地的強敵，能提升精力上限</t>
  </si>
  <si>
    <t xml:space="preserve">Defeating enemies fills more of the Art gauge +1
</t>
  </si>
  <si>
    <t>打倒敵人時，能累積絕活量表＋１</t>
  </si>
  <si>
    <t xml:space="preserve">Defeating enemies fills more of the Art gauge +2
</t>
  </si>
  <si>
    <t>打倒敵人時，能累積絕活量表＋２</t>
  </si>
  <si>
    <t xml:space="preserve">HP Restoration upon Thrusting Counterattack +1
</t>
  </si>
  <si>
    <t>突刺反擊成功時，能恢復ＨＰ＋１</t>
  </si>
  <si>
    <t xml:space="preserve">HP Restoration upon Thrusting Counterattack +2
</t>
  </si>
  <si>
    <t>突刺反擊成功時，能恢復ＨＰ＋２</t>
  </si>
  <si>
    <t xml:space="preserve">Attack power up when facing poison-afflicted enemy +1
</t>
  </si>
  <si>
    <t>對陷入中毒的敵人，能強化攻擊＋１</t>
  </si>
  <si>
    <t xml:space="preserve">Attack power up when facing poison-afflicted enemy +2
</t>
  </si>
  <si>
    <t>對陷入中毒的敵人，能強化攻擊＋２</t>
  </si>
  <si>
    <t xml:space="preserve">Attack power up when facing scarlet rot-afflicted enemy +1
</t>
  </si>
  <si>
    <t>對陷入猩紅腐敗的敵人，能強化攻擊＋１</t>
  </si>
  <si>
    <t xml:space="preserve">Attack power up when facing scarlet rot-afflicted enemy +2
</t>
  </si>
  <si>
    <t>對陷入猩紅腐敗的敵人，能強化攻擊＋２</t>
  </si>
  <si>
    <t xml:space="preserve">Attack power up when facing frostbite-afflicted enemy +1
</t>
  </si>
  <si>
    <t>對陷入凍傷的敵人，能強化攻擊＋１</t>
  </si>
  <si>
    <t xml:space="preserve">Attack power up when facing frostbite-afflicted enemy +2
</t>
  </si>
  <si>
    <t>對陷入凍傷的敵人，能強化攻擊＋２</t>
  </si>
  <si>
    <t>[Wylder] Character Skill inflicts Blood Loss</t>
  </si>
  <si>
    <t>【追蹤者】技藝會附加引發異常狀態出血的效果</t>
  </si>
  <si>
    <t>[Guardian] Character Skill Boosts Damage Negation of Nearby Allies</t>
  </si>
  <si>
    <t>【守護者】發動技藝時，能提升周圍我方人物的減傷率</t>
  </si>
  <si>
    <t>[Ironeye] Character Skill Inflicts Heavy Poison Damage on Poisoned Enemies</t>
  </si>
  <si>
    <t>【鐵之眼】技藝會附加引發異常狀態中毒的效果
　對上陷入中毒的敵人，能給予大傷害</t>
  </si>
  <si>
    <t>[Duchess] Use Character Skill for Brief Invulnerability</t>
  </si>
  <si>
    <t>【女爵】發動技藝時，能進入短暫無敵狀態</t>
  </si>
  <si>
    <t>[Raider] Hit With Character Skill to Reduce Enemy Attack Power</t>
  </si>
  <si>
    <t>【無賴】技藝命中敵人時，能降低對方的攻擊力</t>
  </si>
  <si>
    <t>[Revenant] Increased Max FP upon Ability Activation</t>
  </si>
  <si>
    <t>【復仇者】發動能力時，能提升ＦＰ上限</t>
  </si>
  <si>
    <t>[Recluse] Collect Affinity Residues to Negate Affinity</t>
  </si>
  <si>
    <t>【隱士】收集屬性痕時，能提升該屬性的減傷率</t>
  </si>
  <si>
    <t>[Executor] Slowly Restore HP upon Ability Activation</t>
  </si>
  <si>
    <t>【執行者】發動能力時，能緩慢恢復ＨＰ</t>
  </si>
  <si>
    <t>[Scholar] Reduced FP consumption when using Character Skill on self</t>
  </si>
  <si>
    <t>【學者】對自己使用技藝時，能減少消耗的FP</t>
  </si>
  <si>
    <t>[Undertaker] Executing Art readies Character Skill</t>
  </si>
  <si>
    <t>【送葬者】發動絕活後，能再次使用技藝</t>
  </si>
  <si>
    <t xml:space="preserve">Sleep in Vicinity Improves Attack Power
</t>
  </si>
  <si>
    <t>周圍陷入催眠時，提升攻擊力</t>
  </si>
  <si>
    <t xml:space="preserve">Sleep in Vicinity Improves Attack Power +1
</t>
  </si>
  <si>
    <t>周圍陷入催眠時，提升攻擊力＋１</t>
  </si>
  <si>
    <t xml:space="preserve">Sleep in Vicinity Improves Attack Power +2
</t>
  </si>
  <si>
    <t>周圍陷入催眠時，提升攻擊力＋２</t>
  </si>
  <si>
    <t xml:space="preserve">Madness in Vicinity Improves Attack Power
</t>
  </si>
  <si>
    <t>周圍陷入發狂時，提升攻擊力</t>
  </si>
  <si>
    <t xml:space="preserve">Madness in Vicinity Improves Attack Power +1
</t>
  </si>
  <si>
    <t>周圍陷入發狂時，提升攻擊力＋１</t>
  </si>
  <si>
    <t xml:space="preserve">Madness in Vicinity Improves Attack Power +2
</t>
  </si>
  <si>
    <t>周圍陷入發狂時，提升攻擊力＋２</t>
  </si>
  <si>
    <t xml:space="preserve">Increased Maximum HP
</t>
  </si>
  <si>
    <t xml:space="preserve">Increased Maximum FP
</t>
  </si>
  <si>
    <t xml:space="preserve">Increased Maximum Stamina
</t>
  </si>
  <si>
    <t>Reduced FP Consumption</t>
  </si>
  <si>
    <t>減少ＦＰ消耗</t>
  </si>
  <si>
    <t>Reduced FP Consumption +1</t>
  </si>
  <si>
    <t>減少ＦＰ消耗＋１</t>
  </si>
  <si>
    <t>Reduced FP Consumption +2</t>
  </si>
  <si>
    <t>減少ＦＰ消耗＋２</t>
  </si>
  <si>
    <t>Improved Affinity Attack Power</t>
  </si>
  <si>
    <t>提升屬性攻擊力</t>
  </si>
  <si>
    <t xml:space="preserve">Improved Affinity Attack Power +1
</t>
  </si>
  <si>
    <t>提升屬性攻擊力＋１</t>
  </si>
  <si>
    <t xml:space="preserve">Improved Affinity Attack Power +2
</t>
  </si>
  <si>
    <t>提升屬性攻擊力＋２</t>
  </si>
  <si>
    <t xml:space="preserve">Improved Physical Damage Negation +1
</t>
  </si>
  <si>
    <t>提升物理減傷率＋１</t>
  </si>
  <si>
    <t xml:space="preserve">Improved Physical Damage Negation +2
</t>
  </si>
  <si>
    <t>提升物理減傷率＋２</t>
  </si>
  <si>
    <t xml:space="preserve">Improved Affinity Damage Negation +1
</t>
  </si>
  <si>
    <t>提升屬性減傷率＋１</t>
  </si>
  <si>
    <t xml:space="preserve">Improved Affinity Damage Negation +2
</t>
  </si>
  <si>
    <t>提升屬性減傷率＋２</t>
  </si>
  <si>
    <t xml:space="preserve">Improved Sorceries +1
</t>
  </si>
  <si>
    <t>強化魔法＋１</t>
  </si>
  <si>
    <t xml:space="preserve">Improved Sorceries +2
</t>
  </si>
  <si>
    <t>強化魔法＋２</t>
  </si>
  <si>
    <t xml:space="preserve">Improved Incantations +1
</t>
  </si>
  <si>
    <t>強化禱告＋１</t>
  </si>
  <si>
    <t xml:space="preserve">Improved Incantations +2
</t>
  </si>
  <si>
    <t>強化禱告＋２</t>
  </si>
  <si>
    <t>Crimsonspill Crystal Tear in possession at start of expedition</t>
  </si>
  <si>
    <t>出擊時，會持有「漫紅結晶露滴」</t>
  </si>
  <si>
    <t>Crimson Crystal Tear in possession at start of expedition</t>
  </si>
  <si>
    <t>出擊時，會持有「紅結晶露滴」</t>
  </si>
  <si>
    <t>Cerulean Crystal Tear in possession at start of expedition</t>
  </si>
  <si>
    <t>出擊時，會持有「藍結晶露滴」</t>
  </si>
  <si>
    <t>Speckled Hardtear in possession at start of expedition</t>
  </si>
  <si>
    <t>出擊時，會持有「斑斕硬露滴」</t>
  </si>
  <si>
    <t>Crimson Bubbletear in possession at start of expedition</t>
  </si>
  <si>
    <t>出擊時，會持有「紅泡狀露滴」</t>
  </si>
  <si>
    <t>Opaline Bubbletear in possession at start of expedition</t>
  </si>
  <si>
    <t>出擊時，會持有「珍珠泡狀露滴」</t>
  </si>
  <si>
    <t>Crimsonburst Crystal Tear in possession at start of expedition</t>
  </si>
  <si>
    <t>出擊時，會持有「湧紅結晶露滴」</t>
  </si>
  <si>
    <t>Greenburst Crystal Tear in possession at start of expedition</t>
  </si>
  <si>
    <t>出擊時，會持有「湧綠結晶露滴」</t>
  </si>
  <si>
    <t>Opaline Hardtear in possession at start of expedition</t>
  </si>
  <si>
    <t>出擊時，會持有「珍珠硬露滴」</t>
  </si>
  <si>
    <t>Thorny Cracked Tear in possession at start of expedition</t>
  </si>
  <si>
    <t>出擊時，會持有「連刺破露滴」</t>
  </si>
  <si>
    <t>Spiked Cracked Tear in possession at start of expedition</t>
  </si>
  <si>
    <t>出擊時，會持有「大刺破露滴」</t>
  </si>
  <si>
    <t>Windy Crystal Tear in possession at start of expedition</t>
  </si>
  <si>
    <t>出擊時，會持有「風結晶露滴」</t>
  </si>
  <si>
    <t>Ruptured Crystal Tear in possession at start of expedition</t>
  </si>
  <si>
    <t>出擊時，會持有「爆裂結晶露滴」</t>
  </si>
  <si>
    <t>Leaden Hardtear in possession at start of expedition</t>
  </si>
  <si>
    <t>出擊時，會持有「鉛化硬露滴」</t>
  </si>
  <si>
    <t>Twiggy Cracked Tear in possession at start of expedition</t>
  </si>
  <si>
    <t>出擊時，會持有「細枝破露滴」</t>
  </si>
  <si>
    <t>Crimsonwhorl Bubbletear in possession at start of expedition</t>
  </si>
  <si>
    <t>出擊時，會持有「紅漩泡狀露滴」</t>
  </si>
  <si>
    <t>Cerulean Hidden Tear in possession at start of expedition</t>
  </si>
  <si>
    <t>出擊時，會持有「藍祕密露滴」</t>
  </si>
  <si>
    <t>Stonebarb Cracked Tear in possession at start of expedition</t>
  </si>
  <si>
    <t>出擊時，會持有「岩刺破露滴」</t>
  </si>
  <si>
    <t>Flame-Shrouding Cracked Tear in possession at start of expedition</t>
  </si>
  <si>
    <t>出擊時，會持有「帶火破露滴」</t>
  </si>
  <si>
    <t>Magic-Shrouding Cracked Tear in possession at start of expedition</t>
  </si>
  <si>
    <t>出擊時，會持有「帶魔力破露滴」</t>
  </si>
  <si>
    <t>Lightning-Shrouding Cracked Tear in possession at start of expedition</t>
  </si>
  <si>
    <t>出擊時，會持有「帶雷破露滴」</t>
  </si>
  <si>
    <t>Holy-Shrouding Cracked Tear in possession at start of expedition</t>
  </si>
  <si>
    <t>出擊時，會持有「帶聖破露滴」</t>
  </si>
  <si>
    <t>Greenspill Crystal Tear in possession at start of expedition</t>
  </si>
  <si>
    <t>Uplifting Aromatic in possession at start of expedition</t>
  </si>
  <si>
    <t>出擊時，會持有「振奮香」</t>
  </si>
  <si>
    <t>Spark Aromatic in possession at start of expedition</t>
  </si>
  <si>
    <t>出擊時，會持有「火花香」</t>
  </si>
  <si>
    <t>Ironjar Aromatic in possession at start of expedition</t>
  </si>
  <si>
    <t>出擊時，會持有「鐵壺香藥」</t>
  </si>
  <si>
    <t>Bloodboil Aromatic in possession at start of expedition</t>
  </si>
  <si>
    <t>出擊時，會持有「狂熱香藥」</t>
  </si>
  <si>
    <t>Poison Spraymist in possession at start of expedition</t>
  </si>
  <si>
    <t>出擊時，會持有「毒發噴霧」</t>
  </si>
  <si>
    <t>Acid Spraymist in possession at start of expedition</t>
  </si>
  <si>
    <t>出擊時，會持有「酸蝕噴霧」</t>
  </si>
  <si>
    <t>Dormant Power Helps Discover Daggers</t>
  </si>
  <si>
    <t>透過潛在能力，能比較容易找到短劍</t>
  </si>
  <si>
    <t>Dormant Power Helps Discover Straight Swords</t>
  </si>
  <si>
    <t>透過潛在能力，能比較容易找到直劍</t>
  </si>
  <si>
    <t>Dormant Power Helps Discover Greatswords</t>
  </si>
  <si>
    <t>透過潛在能力，能比較容易找到大劍</t>
  </si>
  <si>
    <t>Dormant Power Helps Discover Colossal Swords</t>
  </si>
  <si>
    <t>透過潛在能力，能比較容易找到特大劍</t>
  </si>
  <si>
    <t>Dormant Power Helps Discover Curved Swords</t>
  </si>
  <si>
    <t>透過潛在能力，能比較容易找到曲劍</t>
  </si>
  <si>
    <t>Dormant Power Helps Discover Curved Greatswords</t>
  </si>
  <si>
    <t>透過潛在能力，能比較容易找到大曲劍</t>
  </si>
  <si>
    <t>Dormant Power Helps Discover Katana</t>
  </si>
  <si>
    <t>透過潛在能力，能比較容易找到刀</t>
  </si>
  <si>
    <t>Dormant Power Helps Discover Twinblades</t>
  </si>
  <si>
    <t>透過潛在能力，能比較容易找到雙頭劍</t>
  </si>
  <si>
    <t>Dormant Power Helps Discover Thrusting Swords</t>
  </si>
  <si>
    <t>透過潛在能力，能比較容易找到刺劍</t>
  </si>
  <si>
    <t>Dormant Power Helps Discover Heavy Thrusting Swords</t>
  </si>
  <si>
    <t>透過潛在能力，能比較容易找到重刺劍</t>
  </si>
  <si>
    <t>Dormant Power Helps Discover Axes</t>
  </si>
  <si>
    <t>透過潛在能力，能比較容易找到斧</t>
  </si>
  <si>
    <t>Dormant Power Helps Discover Greataxes</t>
  </si>
  <si>
    <t>透過潛在能力，能比較容易找到大斧</t>
  </si>
  <si>
    <t>Dormant Power Helps Discover Hammers</t>
  </si>
  <si>
    <t>透過潛在能力，能比較容易找到槌</t>
  </si>
  <si>
    <t>Dormant Power Helps Discover Great Hammers</t>
  </si>
  <si>
    <t>透過潛在能力，能比較容易找到大槌</t>
  </si>
  <si>
    <t>Dormant Power Helps Discover Flails</t>
  </si>
  <si>
    <t>透過潛在能力，能比較容易找到連枷</t>
  </si>
  <si>
    <t>Dormant Power Helps Discover Spears</t>
  </si>
  <si>
    <t>透過潛在能力，能比較容易找到矛</t>
  </si>
  <si>
    <t>Dormant Power Helps Discover Great Spears</t>
  </si>
  <si>
    <t>透過潛在能力，能比較容易找到大矛</t>
  </si>
  <si>
    <t>Dormant Power Helps Discover Halberds</t>
  </si>
  <si>
    <t>透過潛在能力，能比較容易找到戟</t>
  </si>
  <si>
    <t>Dormant Power Helps Discover Reapers</t>
  </si>
  <si>
    <t>透過潛在能力，能比較容易找到鐮刀</t>
  </si>
  <si>
    <t>Dormant Power Helps Discover Fists</t>
  </si>
  <si>
    <t>透過潛在能力，能比較容易找到拳頭</t>
  </si>
  <si>
    <t>Dormant Power Helps Discover Claws</t>
  </si>
  <si>
    <t>透過潛在能力，能比較容易找到鉤爪</t>
  </si>
  <si>
    <t>Dormant Power Helps Discover Whips</t>
  </si>
  <si>
    <t>透過潛在能力，能比較容易找到軟鞭</t>
  </si>
  <si>
    <t>Dormant Power Helps Discover Colossal Weapons</t>
  </si>
  <si>
    <t>透過潛在能力，能比較容易找到特大武器</t>
  </si>
  <si>
    <t>Dormant Power Helps Discover Bows</t>
  </si>
  <si>
    <t>透過潛在能力，能比較容易找到弓</t>
  </si>
  <si>
    <t>Dormant Power Helps Discover Greatbows</t>
  </si>
  <si>
    <t>透過潛在能力，能比較容易找到大弓</t>
  </si>
  <si>
    <t>Dormant Power Helps Discover Crossbows</t>
  </si>
  <si>
    <t>透過潛在能力，能比較容易找到弩</t>
  </si>
  <si>
    <t>Dormant Power Helps Discover Ballistas</t>
  </si>
  <si>
    <t>透過潛在能力，能比較容易找到弩砲</t>
  </si>
  <si>
    <t>Dormant Power Helps Discover Small Shields</t>
  </si>
  <si>
    <t>透過潛在能力，能比較容易找到小盾</t>
  </si>
  <si>
    <t>Dormant Power Helps Discover Medium Shields</t>
  </si>
  <si>
    <t>透過潛在能力，能比較容易找到中盾</t>
  </si>
  <si>
    <t>Dormant Power Helps Discover Greatshields</t>
  </si>
  <si>
    <t>透過潛在能力，能比較容易找到大盾</t>
  </si>
  <si>
    <t>Dormant Power Helps Discover Staves</t>
  </si>
  <si>
    <t>透過潛在能力，能比較容易找到手杖</t>
  </si>
  <si>
    <t>Dormant Power Helps Discover Sacred Seals</t>
  </si>
  <si>
    <t>透過潛在能力，能比較容易找到聖印記</t>
  </si>
  <si>
    <t>Dormant Power Helps Discover Torches</t>
  </si>
  <si>
    <t>透過潛在能力，能比較容易找到火把</t>
  </si>
  <si>
    <t>[Wylder] Improved Mind, Reduced Vigor</t>
  </si>
  <si>
    <t>【追蹤者】提升集中力，但降低生命力</t>
  </si>
  <si>
    <t>[Wylder] Improved Intelligence and Faith, Reduced Strength and Dexterity</t>
  </si>
  <si>
    <t>【追蹤者】提升智力、信仰，但降低力氣、靈巧</t>
  </si>
  <si>
    <t>[Guardian] Improved Strength and Dexterity, Reduced Vigor</t>
  </si>
  <si>
    <t>【守護者】提升力氣、靈巧，但降低生命力</t>
  </si>
  <si>
    <t>[Guardian] Improved Mind and Faith, Reduced Vigor</t>
  </si>
  <si>
    <t>【守護者】提升集中力、信仰，但降低生命力</t>
  </si>
  <si>
    <t>[Ironeye] Improved Arcane, Reduced Dexterity</t>
  </si>
  <si>
    <t>【鐵之眼】提升感應，但降低靈巧</t>
  </si>
  <si>
    <t>[Ironeye] Improved Vigor and Strength, Reduced Dexterity</t>
  </si>
  <si>
    <t>【鐵之眼】提升生命力、力氣，但降低靈巧</t>
  </si>
  <si>
    <t>[Duchess] Improved Vigor and Strength, Reduced Mind</t>
  </si>
  <si>
    <t>【女爵】提升生命力、力氣，但降低集中力</t>
  </si>
  <si>
    <t>[Duchess] Improved Mind and Faith, Reduced Intelligence</t>
  </si>
  <si>
    <t>【女爵】提升集中力、信仰，但降低智力</t>
  </si>
  <si>
    <t>[Raider] Improved Mind and Intelligence, Reduced Vigor and Endurance</t>
  </si>
  <si>
    <t>【無賴】提升集中力、智力，但降低生命力、耐力</t>
  </si>
  <si>
    <t>[Raider] Improved Arcane, Reduced Vigor</t>
  </si>
  <si>
    <t>【無賴】提升感應，但降低生命力</t>
  </si>
  <si>
    <t>[Revenant] Improved Vigor and Endurance, Reduced Mind</t>
  </si>
  <si>
    <t>【復仇者】提升生命力、耐力，但降低集中力</t>
  </si>
  <si>
    <t>[Revenant] Improved Strength, Reduced Faith</t>
  </si>
  <si>
    <t>【復仇者】提升力氣，但降低信仰</t>
  </si>
  <si>
    <t>[Recluse] Improved Vigor, Endurance, and Dexterity, Reduced Intelligence and Faith</t>
  </si>
  <si>
    <t>【隱士】提升生命力、耐力、靈巧，但降低智力、信仰</t>
  </si>
  <si>
    <t>[Recluse] Improved Intelligence and Faith, Reduced Mind</t>
  </si>
  <si>
    <t>【隱士】提升智力、信仰，但降低集中力</t>
  </si>
  <si>
    <t>[Executor] Improved Vigor and Endurance, Reduced Arcane</t>
  </si>
  <si>
    <t>【執行者】提升生命力、耐力，但降低感應</t>
  </si>
  <si>
    <t>[Executor] Improved Dexterity and Arcane, Reduced Vigor</t>
  </si>
  <si>
    <t>【執行者】提升靈巧、感應，但降低生命力</t>
  </si>
  <si>
    <t>[Scholar] Improved Mind, Reduced Vigor</t>
  </si>
  <si>
    <t>【學者】提升集中力，但降低生命力</t>
  </si>
  <si>
    <t>[Scholar] Improved Endurance and Dexterity, Reduced Intelligence and Arcane</t>
  </si>
  <si>
    <t>【學者】提升耐力、靈巧，但降低智力、感應</t>
  </si>
  <si>
    <t>[Undertaker] Improved Dexterity, Reduced Vigor and Faith</t>
  </si>
  <si>
    <t>【送葬者】提升靈巧，但降低生命力、信仰</t>
  </si>
  <si>
    <t>[Undertaker] Improved Mind and Faith, Reduced Strength</t>
  </si>
  <si>
    <t>【送葬者】提升集中力、信仰，但降低力氣</t>
  </si>
  <si>
    <t>Reduced Vigor</t>
  </si>
  <si>
    <t>降低生命力</t>
  </si>
  <si>
    <t>Reduced Endurance</t>
  </si>
  <si>
    <t>降低耐力</t>
  </si>
  <si>
    <t>Taking Damage Causes Poison Buildup</t>
  </si>
  <si>
    <t>受到損傷時，會累積中毒量表</t>
  </si>
  <si>
    <t>Taking Damage Causes Rot Buildup</t>
  </si>
  <si>
    <t>受到損傷時，會累積猩紅腐敗量表</t>
  </si>
  <si>
    <t>Taking Damage Causes Frost Buildup</t>
  </si>
  <si>
    <t>受到損傷時，會累積凍傷量表</t>
  </si>
  <si>
    <t>Taking Damage Causes Blood Loss Buildup</t>
  </si>
  <si>
    <t>受到損傷時，會累積出血量表</t>
  </si>
  <si>
    <t>Taking Damage Causes Madness Buildup</t>
  </si>
  <si>
    <t>受到損傷時，會累積發狂量表</t>
  </si>
  <si>
    <t>Taking Damage Causes Sleep Buildup</t>
  </si>
  <si>
    <t>受到損傷時，會累積催眠量表</t>
  </si>
  <si>
    <t>Taking Damage Causes Death Buildup</t>
  </si>
  <si>
    <t>受到損傷時，會累積死亡量表</t>
  </si>
  <si>
    <t>Reduced Strength and Intelligence</t>
  </si>
  <si>
    <t>降低力氣、智力</t>
  </si>
  <si>
    <t>Reduced Dexterity and Faith</t>
  </si>
  <si>
    <t>降低靈巧、信仰</t>
  </si>
  <si>
    <t>Reduced Intelligence and Dexterity</t>
  </si>
  <si>
    <t>降低智力、靈巧</t>
  </si>
  <si>
    <t>Reduced Faith and Strength</t>
  </si>
  <si>
    <t>降低信仰、力氣</t>
  </si>
  <si>
    <t>Reduced Vigor and Arcane</t>
  </si>
  <si>
    <t>降低生命力、感應</t>
  </si>
  <si>
    <t>Reduced Rune Acquisition</t>
  </si>
  <si>
    <t>減少獲得的盧恩</t>
  </si>
  <si>
    <t>Reduced Flask HP Restoration</t>
  </si>
  <si>
    <t>降低聖杯瓶恢復量</t>
  </si>
  <si>
    <t>Ultimate Art Charging Impaired</t>
  </si>
  <si>
    <t>降低絕活量表累積</t>
  </si>
  <si>
    <t>Impaired Affinity Damage Negation</t>
  </si>
  <si>
    <t>降低屬性減傷率</t>
  </si>
  <si>
    <t>All Resistances Down</t>
  </si>
  <si>
    <t>降低對所有異常狀態的抵抗力</t>
  </si>
  <si>
    <t>Surge Sprinting Drains More Stamina</t>
  </si>
  <si>
    <t>增加急速衝刺的精力消耗</t>
  </si>
  <si>
    <t>Increased Drain on Stamina for Evasion</t>
  </si>
  <si>
    <t>增加閃避時的精力消耗</t>
  </si>
  <si>
    <t>Reduced Damage Negation After Evading</t>
  </si>
  <si>
    <t>閃避後的當下，降低減傷率</t>
  </si>
  <si>
    <t>Repeated Evasions Lower Damage Negation</t>
  </si>
  <si>
    <t>連續閃避時，降低減傷率</t>
  </si>
  <si>
    <t>Reduced Damage Negation for Flask Usages</t>
  </si>
  <si>
    <t>使用聖杯瓶時，降低減傷率</t>
  </si>
  <si>
    <t>Sleep Buildup for Flask Usages</t>
  </si>
  <si>
    <t>使用聖杯瓶時，累積催眠量表</t>
  </si>
  <si>
    <t>Madness Buildup for Flask Usages</t>
  </si>
  <si>
    <t>使用聖杯瓶時，累積發狂量表</t>
  </si>
  <si>
    <t>Lower Attack When Below Max HP</t>
  </si>
  <si>
    <t>ＨＰ沒有全滿時，降低攻擊力</t>
  </si>
  <si>
    <t>Poison Buildup When Below Max HP</t>
  </si>
  <si>
    <t>ＨＰ沒有全滿時，累積中毒量表</t>
  </si>
  <si>
    <t>Rot Buildup When Below Max HP</t>
  </si>
  <si>
    <t>ＨＰ沒有全滿時，累積猩紅腐敗量表</t>
  </si>
  <si>
    <t>Max HP Reduces Attack Power</t>
  </si>
  <si>
    <t>ＨＰ全滿時，降低攻擊力</t>
  </si>
  <si>
    <t>Near Death Spills Flask</t>
  </si>
  <si>
    <t>瀕死時，翻倒聖杯瓶</t>
  </si>
  <si>
    <t>Near Death Reduces Max HP</t>
  </si>
  <si>
    <t>瀕死時，降低ＨＰ上限</t>
  </si>
  <si>
    <t>Vigor +1</t>
  </si>
  <si>
    <t>生命力＋１</t>
  </si>
  <si>
    <t>Vigor +2</t>
  </si>
  <si>
    <t>生命力＋２</t>
  </si>
  <si>
    <t>Vigor +3</t>
  </si>
  <si>
    <t>生命力＋３</t>
  </si>
  <si>
    <t>Mind +1</t>
  </si>
  <si>
    <t>集中力＋１</t>
  </si>
  <si>
    <t>Mind +2</t>
  </si>
  <si>
    <t>集中力＋２</t>
  </si>
  <si>
    <t>Mind +3</t>
  </si>
  <si>
    <t>集中力＋３</t>
  </si>
  <si>
    <t>Endurance +1</t>
  </si>
  <si>
    <t>耐力＋１</t>
  </si>
  <si>
    <t>Endurance +2</t>
  </si>
  <si>
    <t>耐力＋２</t>
  </si>
  <si>
    <t>Endurance +3</t>
  </si>
  <si>
    <t>耐力＋３</t>
  </si>
  <si>
    <t>Strength +1</t>
  </si>
  <si>
    <t>力氣＋１</t>
  </si>
  <si>
    <t>Strength +2</t>
  </si>
  <si>
    <t>力氣＋２</t>
  </si>
  <si>
    <t>Strength +3</t>
  </si>
  <si>
    <t>力氣＋３</t>
  </si>
  <si>
    <t>Dexterity +1</t>
  </si>
  <si>
    <t>靈巧＋１</t>
  </si>
  <si>
    <t>Dexterity +2</t>
  </si>
  <si>
    <t>靈巧＋２</t>
  </si>
  <si>
    <t>Dexterity +3</t>
  </si>
  <si>
    <t>靈巧＋３</t>
  </si>
  <si>
    <t>Intelligence +1</t>
  </si>
  <si>
    <t>智力＋１</t>
  </si>
  <si>
    <t>Intelligence +2</t>
  </si>
  <si>
    <t>智力＋２</t>
  </si>
  <si>
    <t>Intelligence +3</t>
  </si>
  <si>
    <t>智力＋３</t>
  </si>
  <si>
    <t>Faith +1</t>
  </si>
  <si>
    <t>信仰＋１</t>
  </si>
  <si>
    <t>Faith +2</t>
  </si>
  <si>
    <t>信仰＋２</t>
  </si>
  <si>
    <t>Faith +3</t>
  </si>
  <si>
    <t>信仰＋３</t>
  </si>
  <si>
    <t>Arcane +1</t>
  </si>
  <si>
    <t>感應＋１</t>
  </si>
  <si>
    <t>Arcane +2</t>
  </si>
  <si>
    <t>感應＋２</t>
  </si>
  <si>
    <t>Arcane +3</t>
  </si>
  <si>
    <t>感應＋３</t>
  </si>
  <si>
    <t>Character Skill Cooldown Reduction +1</t>
  </si>
  <si>
    <t>縮短技藝的冷卻時間＋１</t>
  </si>
  <si>
    <t>Character Skill Cooldown Reduction +2</t>
  </si>
  <si>
    <t>縮短技藝的冷卻時間＋２</t>
  </si>
  <si>
    <t>Character Skill Cooldown Reduction +3</t>
  </si>
  <si>
    <t>縮短技藝的冷卻時間＋３</t>
  </si>
  <si>
    <t>Ultimate Art Auto Charge +1</t>
  </si>
  <si>
    <t>自然累積絕活量表＋１</t>
  </si>
  <si>
    <t>Ultimate Art Auto Charge +2</t>
  </si>
  <si>
    <t>自然累積絕活量表＋２</t>
  </si>
  <si>
    <t>Ultimate Art Auto Charge +3</t>
  </si>
  <si>
    <t>自然累積絕活量表＋３</t>
  </si>
  <si>
    <t>Poise +1</t>
  </si>
  <si>
    <t>強韌度＋１</t>
  </si>
  <si>
    <t>Poise +2</t>
  </si>
  <si>
    <t>強韌度＋２</t>
  </si>
  <si>
    <t>Poise +3</t>
  </si>
  <si>
    <t>強韌度＋３</t>
  </si>
  <si>
    <t>Physical Attack Up</t>
  </si>
  <si>
    <t>提升物理攻擊力</t>
  </si>
  <si>
    <t>Physical Attack Up +1</t>
  </si>
  <si>
    <t>提升物理攻擊力＋１</t>
  </si>
  <si>
    <t>Physical Attack Up +2</t>
  </si>
  <si>
    <t>提升物理攻擊力＋２</t>
  </si>
  <si>
    <t>Physical Attack Up +3</t>
  </si>
  <si>
    <t>提升物理攻擊力＋３</t>
  </si>
  <si>
    <t>Magic Attack Power Up</t>
  </si>
  <si>
    <t>Magic Attack Power Up +1</t>
  </si>
  <si>
    <t>提升魔力屬性攻擊力＋１</t>
  </si>
  <si>
    <t>Magic Attack Power Up +2</t>
  </si>
  <si>
    <t>提升魔力屬性攻擊力＋２</t>
  </si>
  <si>
    <t>Fire Attack Power Up</t>
  </si>
  <si>
    <t>Fire Attack Power Up +1</t>
  </si>
  <si>
    <t>提升火屬性攻擊力＋１</t>
  </si>
  <si>
    <t>Fire Attack Power Up +2</t>
  </si>
  <si>
    <t>提升火屬性攻擊力＋２</t>
  </si>
  <si>
    <t>Lightning Attack Power Up</t>
  </si>
  <si>
    <t>Lightning Attack Power Up +1</t>
  </si>
  <si>
    <t>提升雷屬性攻擊力＋１</t>
  </si>
  <si>
    <t>Lightning Attack Power Up +2</t>
  </si>
  <si>
    <t>提升雷屬性攻擊力＋２</t>
  </si>
  <si>
    <t>Holy Attack Power Up</t>
  </si>
  <si>
    <t>Holy Attack Power Up +1</t>
  </si>
  <si>
    <t>提升聖屬性攻擊力＋１</t>
  </si>
  <si>
    <t>Holy Attack Power Up +2</t>
  </si>
  <si>
    <t>提升聖屬性攻擊力＋２</t>
  </si>
  <si>
    <t>Attacks Inflict Poison</t>
  </si>
  <si>
    <t>附加異常狀態中毒的效果</t>
  </si>
  <si>
    <t>Attacks Inflict Poison +1</t>
  </si>
  <si>
    <t>附加異常狀態中毒的效果＋１</t>
  </si>
  <si>
    <t>Attacks Inflict Poison +2</t>
  </si>
  <si>
    <t>附加異常狀態中毒的效果＋２</t>
  </si>
  <si>
    <t>Attacks Inflict Blood Loss</t>
  </si>
  <si>
    <t>附加異常狀態出血的效果</t>
  </si>
  <si>
    <t>Attacks Inflict Blood Loss +1</t>
  </si>
  <si>
    <t>附加異常狀態出血的效果＋１</t>
  </si>
  <si>
    <t>Attacks Inflict Blood Loss +2</t>
  </si>
  <si>
    <t>附加異常狀態出血的效果＋２</t>
  </si>
  <si>
    <t>Attacks Inflict Sleep</t>
  </si>
  <si>
    <t>附加異常狀態催眠的效果</t>
  </si>
  <si>
    <t>Attacks Inflict Sleep +1</t>
  </si>
  <si>
    <t>附加異常狀態催眠的效果＋１</t>
  </si>
  <si>
    <t>Attacks Inflict Sleep +2</t>
  </si>
  <si>
    <t>附加異常狀態催眠的效果＋２</t>
  </si>
  <si>
    <t>Attacks Inflict Sleep +3</t>
  </si>
  <si>
    <t>附加異常狀態催眠的效果＋３</t>
  </si>
  <si>
    <t>Attacks Inflict Death Blight</t>
  </si>
  <si>
    <t>附加異常狀態死亡的效果</t>
  </si>
  <si>
    <t>Attacks Inflict Scarlet Rot</t>
  </si>
  <si>
    <t>附加異常狀態猩紅腐敗的效果</t>
  </si>
  <si>
    <t>Attacks Inflict Scarlet Rot +1</t>
  </si>
  <si>
    <t>附加異常狀態猩紅腐敗的效果＋１</t>
  </si>
  <si>
    <t>Attacks Inflict Scarlet Rot +2</t>
  </si>
  <si>
    <t>附加異常狀態猩紅腐敗的效果＋２</t>
  </si>
  <si>
    <t>Attacks Inflict Frost</t>
  </si>
  <si>
    <t>附加異常狀態凍傷的效果</t>
  </si>
  <si>
    <t>Attacks Inflict Frost +1</t>
  </si>
  <si>
    <t>附加異常狀態凍傷的效果＋１</t>
  </si>
  <si>
    <t>Attacks Inflict Frost +2</t>
  </si>
  <si>
    <t>附加異常狀態凍傷的效果＋２</t>
  </si>
  <si>
    <t>Attacks Inflict Frost +3</t>
  </si>
  <si>
    <t>附加異常狀態凍傷的效果＋３</t>
  </si>
  <si>
    <t>Attacks Inflict Madness</t>
  </si>
  <si>
    <t>附加異常狀態發狂的效果</t>
  </si>
  <si>
    <t>Magic Damage Negation Up</t>
  </si>
  <si>
    <t>Fire Damage Negation Up</t>
  </si>
  <si>
    <t>Lightning Damage Negation Up</t>
  </si>
  <si>
    <t>Holy Damage Negation Up</t>
  </si>
  <si>
    <t>提升對猩紅腐敗的抵抗力</t>
  </si>
  <si>
    <t>Partial HP Restoration upon Post-Damage Attacks</t>
  </si>
  <si>
    <t>受到損傷的當下，能透過攻擊恢復部分ＨＰ</t>
  </si>
  <si>
    <t>Continuous FP Recovery</t>
  </si>
  <si>
    <t>持續恢復ＦＰ</t>
  </si>
  <si>
    <t>Improved Melee Attack Power</t>
  </si>
  <si>
    <t>提升近戰攻擊力</t>
  </si>
  <si>
    <t>[Guardian] Improved Character Skill range</t>
  </si>
  <si>
    <t>【守護者】提升技藝的有效距離</t>
  </si>
  <si>
    <t>Flask Also Heals Allies</t>
  </si>
  <si>
    <t>使用聖杯瓶時，連同恢復周圍我方人物</t>
  </si>
  <si>
    <t>[Wylder] Art activation spreads fire in area</t>
  </si>
  <si>
    <t>【追蹤者】發動絕活時，能燃起火焰、蔓延周圍</t>
  </si>
  <si>
    <t>[Duchess] Successive dagger attack reprises event upon
nearby enemies</t>
  </si>
  <si>
    <t>【女爵】以短劍使出連續攻擊時
　能對著周圍的敵人，再次上演最近做過的行動</t>
  </si>
  <si>
    <t>[Raider] Character Skill damage up, damage negation
impaired during use</t>
  </si>
  <si>
    <t>【無賴】提升技藝傷害，但降低技藝發動期間的減傷率</t>
  </si>
  <si>
    <t>[Revenant] Expend own HP to fully heal nearby allies
when activating Art</t>
  </si>
  <si>
    <t>【復仇者】發動絕活時，能以自己的ＨＰ為代價
　完全恢復周圍我方人物的ＨＰ</t>
  </si>
  <si>
    <t>[Guardian] Increased duration for Character Skill</t>
  </si>
  <si>
    <t>【守護者】延長技藝的有效時間</t>
  </si>
  <si>
    <t>[Guardian] Damage negation for allies improved when
using Ultimate Art</t>
  </si>
  <si>
    <t>【守護者】發動絕活時，能提升周圍我方人物的減傷率</t>
  </si>
  <si>
    <t>[Revenant] Trigger ghostflame explosion during
Ultimate Art activation</t>
  </si>
  <si>
    <t>【復仇者】發動絕活時，能引發靈火爆炸</t>
  </si>
  <si>
    <t>[Guardian] Restores allies' HP when Character Skill
is used</t>
  </si>
  <si>
    <t>【守護者】發動技藝時，能恢復周圍我方人物的ＨＰ</t>
  </si>
  <si>
    <t>[Guardian] Creates whirlwind when charging halberd
attacks</t>
  </si>
  <si>
    <t>【守護者】以戟蓄力攻擊時，能引發旋風</t>
  </si>
  <si>
    <t>[Executor] Roaring restores HP while Art is active</t>
  </si>
  <si>
    <t>【執行者】在絕活發動期間，能以咆哮恢復ＨＰ</t>
  </si>
  <si>
    <t>[Guardian] Character Skill inflicts Holy damage</t>
  </si>
  <si>
    <t>【守護者】技藝會附加聖屬性攻擊力</t>
  </si>
  <si>
    <t>[Guardian] Slowly restores nearby allies' HP
while Art is active</t>
  </si>
  <si>
    <t>【守護者】發動絕活時，能緩慢恢復周圍我方人物的ＨＰ</t>
  </si>
  <si>
    <t>Slowly restore HP for self and nearby allies when HP
is low</t>
  </si>
  <si>
    <t>ＨＰ偏低時，包含周圍我方人物緩慢恢復ＨＰ</t>
  </si>
  <si>
    <t>ＨＰ偏低時，能提升減傷率</t>
  </si>
  <si>
    <t>Strong Attack Creates Wide Wave of Heat</t>
  </si>
  <si>
    <t>重攻擊時，能朝周圍引發熱浪</t>
  </si>
  <si>
    <t>Jumping Conjures Magic Projectiles</t>
  </si>
  <si>
    <t>跳躍時，能觸發多顆魔法球</t>
  </si>
  <si>
    <t>Attack Boost from Nearby Allies</t>
  </si>
  <si>
    <t>周圍有我方人物時，能提升攻擊力</t>
  </si>
  <si>
    <t>Guard Counters Cast Light Pillar</t>
  </si>
  <si>
    <t>防禦反擊時，能形成光柱</t>
  </si>
  <si>
    <t>[Wylder] Standard attacks enhanced with fiery
follow-ups when using Character Skill (greatsword only)</t>
  </si>
  <si>
    <t>【追蹤者】發動技藝時，輕攻擊能使出
　纏繞火焰的追加攻擊（僅限大劍）</t>
  </si>
  <si>
    <t>Improved Poise Near Totem Stela</t>
  </si>
  <si>
    <t>身在圖騰碑石周圍時，能提升強韌度</t>
  </si>
  <si>
    <t>HP restored when using medicinal boluses, etc.</t>
  </si>
  <si>
    <t>食用苔藥等等道具時，能恢復ＨＰ</t>
  </si>
  <si>
    <t>[Wylder] Impaired damage negation, improved attack
power &amp; stamina after Art activation</t>
  </si>
  <si>
    <t>【追蹤者】發動絕活後
　能提升攻擊力與精力上限，但降低減傷率</t>
  </si>
  <si>
    <t>Successful guarding fills more of the Art gauge</t>
  </si>
  <si>
    <t>防禦成功時，能累積絕活量表</t>
  </si>
  <si>
    <t>Draw enemy attention while guarding</t>
  </si>
  <si>
    <t>防禦時，變得容易被敵人攻擊</t>
  </si>
  <si>
    <t>Critical hits fill more of the Art gauge</t>
  </si>
  <si>
    <t>使出致命一擊時，能累積絕活量表</t>
  </si>
  <si>
    <t>Physical attack power increases after using grease items</t>
  </si>
  <si>
    <t>塗抹油脂類道具時，能額外提升物理攻擊力</t>
  </si>
  <si>
    <t>[Revenant] Strengthens family and allies when Ultimate Art is activated</t>
  </si>
  <si>
    <t>【復仇者】發動絕活時，能強化家人與我方人物</t>
  </si>
  <si>
    <t>[Raider] Damage taken while using Character Skill
improves attack power and stamina</t>
  </si>
  <si>
    <t>【無賴】在技藝發動期間，受到攻擊時
　能提升攻擊力與精力上限</t>
  </si>
  <si>
    <t>[Wylder] Reduced cooldown time for Character Skill</t>
  </si>
  <si>
    <t>【追蹤者】縮短技藝的冷卻時間</t>
  </si>
  <si>
    <t>Performing consecutive successful guards
improves guard ability and deflects big attacks</t>
  </si>
  <si>
    <t>連續防禦成功時，能提升防禦強度、彈開強力攻擊</t>
  </si>
  <si>
    <t>Shockwave Produced From Successful Guarding</t>
  </si>
  <si>
    <t>防禦成功時，能釋放衝擊波</t>
  </si>
  <si>
    <t>[Duchess] Become difficult to spot and silence
footsteps after landing critical from behind</t>
  </si>
  <si>
    <t>【女爵】從背後使出致命一擊後
　自己的身影會變得難以辨識，並消除腳步聲</t>
  </si>
  <si>
    <t>Critical Hits Earn Runes</t>
  </si>
  <si>
    <t>使出致命一擊時，能獲得盧恩</t>
  </si>
  <si>
    <t>Taking attacks improves attack power</t>
  </si>
  <si>
    <t>受到攻擊時，能提升攻擊力</t>
  </si>
  <si>
    <t>[Wylder] Improved attack power
when Character Skill is activated</t>
  </si>
  <si>
    <t>【追蹤者】發動技藝時，能提升攻擊力</t>
  </si>
  <si>
    <t>[Wylder] Art gauge greatly filled when ability is
activated</t>
  </si>
  <si>
    <t>【追蹤者】發動能力時，能累積絕活量表</t>
  </si>
  <si>
    <t>[Duchess] Defeating enemies while Art is active ups
attack power</t>
  </si>
  <si>
    <t>【女爵】在絕活發動期間，打倒敵人時能提升攻擊力</t>
  </si>
  <si>
    <t>[Recluse] Collecting affinity residue activates
Terra Magica</t>
  </si>
  <si>
    <t>【隱士】收集屬性痕時，能觸發「魔法之境」</t>
  </si>
  <si>
    <t>[Recluse] Suffer blood loss and increase attack
power upon Art activation</t>
  </si>
  <si>
    <t>【隱士】發動絕活時
　自己陷入異常狀態出血，提升攻擊力</t>
  </si>
  <si>
    <t>[Wylder] Improved attack power when ability is
activated</t>
  </si>
  <si>
    <t>【追蹤者】發動能力時，能提升攻擊力</t>
  </si>
  <si>
    <t>[Wylder] +1 additional Character Skill use</t>
  </si>
  <si>
    <t>【追蹤者】技藝的使用次數＋１</t>
  </si>
  <si>
    <t>[Guardian] Become the target of enemy aggression
when ability is activated</t>
  </si>
  <si>
    <t>【守護者】在能力發動期間，會變得容易受敵人攻擊</t>
  </si>
  <si>
    <t>[Guardian] Successful guards send out shockwaves while
ability is active</t>
  </si>
  <si>
    <t>【守護者】在能力發動期間，防禦成功時能形成衝擊波</t>
  </si>
  <si>
    <t>[Duchess] Duration of Ultimate Art extended</t>
  </si>
  <si>
    <t>【女爵】延長絕活的有效時間</t>
  </si>
  <si>
    <t>Colossal armaments are coated in rock
when performing charged attacks</t>
  </si>
  <si>
    <t>以特大武器蓄力攻擊時，岩石會攀附在武器上</t>
  </si>
  <si>
    <t>[Raider] Permanently increase attack power when
performing Character Skill's final attack</t>
  </si>
  <si>
    <t>【無賴】在發動技藝的最後攻擊時，能永久性提升攻擊力</t>
  </si>
  <si>
    <t>[Recluse] Extends duration of blood sigils</t>
  </si>
  <si>
    <t>【隱士】延長鮮血烙印的有效時間</t>
  </si>
  <si>
    <t>[Recluse] Collecting 4 Affinity Residues Improves
Affinity Attack Power</t>
  </si>
  <si>
    <t>【隱士】收集四種屬性痕時，能提升屬性攻擊力</t>
  </si>
  <si>
    <t>[Recluse] Activating Ultimate Art raises Max HP</t>
  </si>
  <si>
    <t>【隱士】發動絕活時，能提升ＨＰ上限</t>
  </si>
  <si>
    <t>[Executor] Attack power up while Ultimate Art is
active</t>
  </si>
  <si>
    <t>【執行者】在絕活發動期間，能提升攻擊力</t>
  </si>
  <si>
    <t>[Executor] Improves effect of ability but lowers
resistance to status ailments</t>
  </si>
  <si>
    <t>【執行者】強化能力的效果，但降低對異常狀態的抵抗力</t>
  </si>
  <si>
    <t>[Executor] Character Skill Boosts Attack but Attacking Drains HP</t>
  </si>
  <si>
    <t>【執行者】提升技藝發動期間的攻擊力
　但攻擊時會減少ＨＰ</t>
  </si>
  <si>
    <t>[Executor] While Character Skill is active,
unlocking use of cursed sword restores HP</t>
  </si>
  <si>
    <t>【執行者】在技藝發動期間
　妖刀進入解放狀態時，能恢復ＨＰ</t>
  </si>
  <si>
    <t>[Ironeye] Art Charge Activation Adds Poison Effect</t>
  </si>
  <si>
    <t>【鐵之眼】蓄力發動絕活時，附加異常狀態中毒</t>
  </si>
  <si>
    <t>[Ironeye] Boosts thrusting counterattacks after executing Art</t>
  </si>
  <si>
    <t>【鐵之眼】發動絕活後，強化突刺反擊</t>
  </si>
  <si>
    <t>Fire Critical Hit Grants Max Stamina Boost</t>
  </si>
  <si>
    <t>使出火屬性的致命一擊時，能提升精力上限</t>
  </si>
  <si>
    <t>使出致命一擊時，能恢復ＨＰ</t>
  </si>
  <si>
    <t>Critical Hit Adds Lightning Effect</t>
  </si>
  <si>
    <t>使出致命一擊時，能附加雷屬性攻擊力</t>
  </si>
  <si>
    <t>Critical Hit Boosts Stamina Recovery Speed</t>
  </si>
  <si>
    <t>使出致命一擊時，能提升精力的恢復速度</t>
  </si>
  <si>
    <t>Consecutive Guards Harden Skin</t>
  </si>
  <si>
    <t>連續防禦成功時，能硬化自身</t>
  </si>
  <si>
    <t>Critical Hit Creates Sleep Mist</t>
  </si>
  <si>
    <t>使出致命一擊時，能形成催眠煙霧</t>
  </si>
  <si>
    <t>Gesture "Crossed Legs" Builds Up Madness</t>
  </si>
  <si>
    <t>透過肢體動作「盤腿坐」，能累積發狂量表</t>
  </si>
  <si>
    <t>Madness Continually Recovers FP</t>
  </si>
  <si>
    <t>引發異常狀態發狂後，能持續恢復ＦＰ</t>
  </si>
  <si>
    <t>Surge Sprint Landings Split Earth</t>
  </si>
  <si>
    <t>急速衝刺期間落地時，能造成地面裂開</t>
  </si>
  <si>
    <t>Switching Weapons Adds an Affinity Attack</t>
  </si>
  <si>
    <t>切換武器時，能附加隨機的屬性攻擊力</t>
  </si>
  <si>
    <t>Boosts Attack Power of Added Affinity Attacks</t>
  </si>
  <si>
    <t>附加屬性攻擊力時，能提升屬性攻擊力</t>
  </si>
  <si>
    <t>Switching Weapons Boosts Attack Power</t>
  </si>
  <si>
    <t>切換武器時，能提升物理攻擊力</t>
  </si>
  <si>
    <t>[Scholar] Prevent slowing of Character Skill progress</t>
  </si>
  <si>
    <t>【學者】減緩技藝進行率的下降幅度</t>
  </si>
  <si>
    <t>[Scholar] Allies targeted by Character Skill gain boosted attack</t>
  </si>
  <si>
    <t>【學者】使用技藝時，提升目標我方人物的攻擊力</t>
  </si>
  <si>
    <t>[Scholar] Continuous damage inflicted on targets threaded by Ultimate Art</t>
  </si>
  <si>
    <t>【學者】對上已用絕活連結的敵人，持續給予傷害</t>
  </si>
  <si>
    <t>[Scholar] Earn runes for each additional specimen acquired with Character Skill</t>
  </si>
  <si>
    <t>【學者】每次使用技藝增加樣本，能獲得盧恩</t>
  </si>
  <si>
    <t>[Undertaker] Activating Ultimate Art increases attack power</t>
  </si>
  <si>
    <t>【送葬者】發動絕活時，提升攻擊力</t>
  </si>
  <si>
    <t>[Undertaker] Attack power increased by landing the final blow of a chain attack</t>
  </si>
  <si>
    <t>【送葬者】連擊的最後攻擊命中時，提升攻擊力</t>
  </si>
  <si>
    <t>[Undertaker] Physical attacks boosted while assist effect from incantation is active for self</t>
  </si>
  <si>
    <t>【送葬者】使用禱告將輔助效果附加在自己身上時
提升物理攻擊力</t>
  </si>
  <si>
    <t>[Undertaker] Contact with allies restores their HP while Ultimate Art is activated</t>
  </si>
  <si>
    <t>【送葬者】發動絕活時，恢復觸碰到的我方人物的ＨＰ</t>
  </si>
  <si>
    <t>Status Ailment Gauges Slowly Increase Attack Power</t>
  </si>
  <si>
    <t>出現異常狀態量表時，能緩慢提升攻擊力</t>
  </si>
  <si>
    <t>Occasionally Nullify Attacks When Damage Negation is Lowered</t>
  </si>
  <si>
    <t>減傷率降低時，偶爾會讓敵人攻擊失效</t>
  </si>
  <si>
    <t>Improved Initial Standard Attack</t>
  </si>
  <si>
    <t>強化輕攻擊的第一記攻擊</t>
  </si>
  <si>
    <t>Improved Critical Hits +1</t>
  </si>
  <si>
    <t>強化致命一擊＋１</t>
  </si>
  <si>
    <t>Improved Throwing Pot Damage</t>
  </si>
  <si>
    <t>提升投擲壺的攻擊力</t>
  </si>
  <si>
    <t>Improved Throwing Knife Damage</t>
  </si>
  <si>
    <t>提升投擲小刀的攻擊力</t>
  </si>
  <si>
    <t>Improved Glintstone and Gravity Stone Damage</t>
  </si>
  <si>
    <t>提升使用輝石、重力石道具的攻擊力</t>
  </si>
  <si>
    <t>Improved Stonedigger Sorcery</t>
  </si>
  <si>
    <t>強化挖石的魔法</t>
  </si>
  <si>
    <t>Improved Carian Sword Sorcery</t>
  </si>
  <si>
    <t>強化卡利亞劍的魔法</t>
  </si>
  <si>
    <t>Improved Glintblade Sorcery</t>
  </si>
  <si>
    <t>強化輝劍的魔法</t>
  </si>
  <si>
    <t>Improved Invisibility Sorcery</t>
  </si>
  <si>
    <t>強化隱形的魔法</t>
  </si>
  <si>
    <t>Improved Crystalian sorcery</t>
  </si>
  <si>
    <t>強化結晶人的魔法</t>
  </si>
  <si>
    <t>Improved Gravity Sorcery</t>
  </si>
  <si>
    <t>強化重力的魔法</t>
  </si>
  <si>
    <t>Improved Thorn Sorcery</t>
  </si>
  <si>
    <t>強化荊棘的魔法</t>
  </si>
  <si>
    <t>Improved Night Sorcery</t>
  </si>
  <si>
    <t>強化黑夜的魔法</t>
  </si>
  <si>
    <t>Improved Fundamentalist Incantations</t>
  </si>
  <si>
    <t>強化黃金律法基本主義的禱告</t>
  </si>
  <si>
    <t>Improved Dragon Cult Incantations</t>
  </si>
  <si>
    <t>強化王城古龍信仰的禱告</t>
  </si>
  <si>
    <t>Improved Giants' Flame Incantations</t>
  </si>
  <si>
    <t>強化巨人火焰的禱告</t>
  </si>
  <si>
    <t>Improved Godslayer Incantations</t>
  </si>
  <si>
    <t>強化狩獵神祇的禱告</t>
  </si>
  <si>
    <t>Improved Bestial Incantations</t>
  </si>
  <si>
    <t>強化野獸的禱告</t>
  </si>
  <si>
    <t>Improved Frenzied Flame Incantations</t>
  </si>
  <si>
    <t>強化癲火的禱告</t>
  </si>
  <si>
    <t>Improved Dragon Communion Incantations</t>
  </si>
  <si>
    <t>強化龍饗的禱告</t>
  </si>
  <si>
    <t>Raised stamina recovery for nearby allies, but not
for self</t>
  </si>
  <si>
    <t>不包含自己，提升周圍我方人物的精力恢復速度</t>
  </si>
  <si>
    <t>Items confer effect to all nearby allies</t>
  </si>
  <si>
    <t>道具效用能擴及我方人物</t>
  </si>
  <si>
    <t>Attack power increased for each evergaol prisoner defeated</t>
  </si>
  <si>
    <t>每次打倒封印監牢裡的囚犯，能提升攻擊力</t>
  </si>
  <si>
    <t>Max FP increased for each Sorcerer's Rise unlocked</t>
  </si>
  <si>
    <t>每次解開魔法師塔的機關，能提升ＦＰ上限</t>
  </si>
  <si>
    <t>Attack power increased for each Night Invader defeated</t>
  </si>
  <si>
    <t>每次打倒黑夜入侵者，能提升攻擊力</t>
  </si>
  <si>
    <t>Treasure marked upon map</t>
  </si>
  <si>
    <t>能顯示地圖上隱藏寶藏的位置</t>
  </si>
  <si>
    <t>Improved Attack Power with 3+ Daggers Equipped</t>
  </si>
  <si>
    <t>裝備三把以上類別為短劍的武器，能提升攻擊力</t>
  </si>
  <si>
    <t>Improved Attack Power with 3+ Straight Swords Equipped</t>
  </si>
  <si>
    <t>裝備三把以上類別為直劍的武器，能提升攻擊力</t>
  </si>
  <si>
    <t>Improved Attack Power with 3+ Greatswords Equipped</t>
  </si>
  <si>
    <t>裝備三把以上類別為大劍的武器，能提升攻擊力</t>
  </si>
  <si>
    <t>Improved Attack Power with 3+ Colossal Swords Equipped</t>
  </si>
  <si>
    <t>裝備三把以上類別為特大劍的武器，能提升攻擊力</t>
  </si>
  <si>
    <t>Improved Attack Power with 3+ Curved Swords Equipped</t>
  </si>
  <si>
    <t>裝備三把以上類別為曲劍的武器，能提升攻擊力</t>
  </si>
  <si>
    <t>Improved Attack Power with 3+ Curved Greatswords Equipped</t>
  </si>
  <si>
    <t>裝備三把以上類別為大曲劍的武器，能提升攻擊力</t>
  </si>
  <si>
    <t>Improved Attack Power with 3+ Katana Equipped</t>
  </si>
  <si>
    <t>裝備三把以上類別為刀的武器，能提升攻擊力</t>
  </si>
  <si>
    <t>Improved Attack Power with 3+ Twinblades Equipped</t>
  </si>
  <si>
    <t>裝備三把以上類別為雙頭劍的武器，能提升攻擊力</t>
  </si>
  <si>
    <t>Improved Attack Power with 3+ Thrusting Swords Equipped</t>
  </si>
  <si>
    <t>裝備三把以上類別為刺劍的武器，能提升攻擊力</t>
  </si>
  <si>
    <t>Improved Attack Power with 3+ Heavy Thrusting Swords Equipped</t>
  </si>
  <si>
    <t>裝備三把以上類別為重刺劍的武器，能提升攻擊力</t>
  </si>
  <si>
    <t>Improved Attack Power with 3+ Axes Equipped</t>
  </si>
  <si>
    <t>裝備三把以上類別為斧的武器，能提升攻擊力</t>
  </si>
  <si>
    <t>Improved Attack Power with 3+ Greataxes Equipped</t>
  </si>
  <si>
    <t>裝備三把以上類別為大斧的武器，能提升攻擊力</t>
  </si>
  <si>
    <t>Improved Attack Power with 3+ Hammers Equipped</t>
  </si>
  <si>
    <t>裝備三把以上類別為槌的武器，能提升攻擊力</t>
  </si>
  <si>
    <t>Improved Attack Power with 3+ Great Hammers Equipped</t>
  </si>
  <si>
    <t>裝備三把以上類別為大槌的武器，能提升攻擊力</t>
  </si>
  <si>
    <t>Improved Attack Power with 3+ Flails Equipped</t>
  </si>
  <si>
    <t>裝備三把以上類別為連枷的武器，能提升攻擊力</t>
  </si>
  <si>
    <t>Improved Attack Power with 3+ Spears Equipped</t>
  </si>
  <si>
    <t>裝備三把以上類別為矛的武器，能提升攻擊力</t>
  </si>
  <si>
    <t>Improved Attack Power with 3+ Great Spears Equipped</t>
  </si>
  <si>
    <t>裝備三把以上類別為大矛的武器，能提升攻擊力</t>
  </si>
  <si>
    <t>Improved Attack Power with 3+ Halberds Equipped</t>
  </si>
  <si>
    <t>裝備三把以上類別為戟的武器，能提升攻擊力</t>
  </si>
  <si>
    <t>Improved Attack Power with 3+ Reapers Equipped</t>
  </si>
  <si>
    <t>裝備三把以上類別為鐮刀的武器，能提升攻擊力</t>
  </si>
  <si>
    <t>Improved Attack Power with 3+ Fists Equipped</t>
  </si>
  <si>
    <t>裝備三把以上類別為拳頭的武器，能提升攻擊力</t>
  </si>
  <si>
    <t>Improved Attack Power with 3+ Claws Equipped</t>
  </si>
  <si>
    <t>裝備三把以上類別為鉤爪的武器，能提升攻擊力</t>
  </si>
  <si>
    <t>Improved Attack Power with 3+ Whips Equipped</t>
  </si>
  <si>
    <t>裝備三把以上類別為軟鞭的武器，能提升攻擊力</t>
  </si>
  <si>
    <t>Improved Attack Power with 3+ Colossal Weapons Equipped</t>
  </si>
  <si>
    <t>裝備三把以上類別為特大武器的武器，能提升攻擊力</t>
  </si>
  <si>
    <t>Improved Attack Power with 3+ Bows Equipped</t>
  </si>
  <si>
    <t>裝備三把以上類別為弓的武器，能提升攻擊力</t>
  </si>
  <si>
    <t>Max FP Up with 3+ Staves Equipped</t>
  </si>
  <si>
    <t>裝備三把以上類別為手杖的武器，能提升ＦＰ上限</t>
  </si>
  <si>
    <t>Max FP Up with 3+ Sacred Seals Equipped</t>
  </si>
  <si>
    <t>裝備三把以上類別為聖印記的武器，能提升ＦＰ上限</t>
  </si>
  <si>
    <t>Max HP Up with 3+ Small Shields Equipped</t>
  </si>
  <si>
    <t>裝備三把以上類別為小盾的武器，能提升ＨＰ上限</t>
  </si>
  <si>
    <t>Max HP Up with 3+ Medium Shields Equipped</t>
  </si>
  <si>
    <t>裝備三把以上類別為中盾的武器，能提升ＨＰ上限</t>
  </si>
  <si>
    <t>Max HP Up with 3+ Greatshields Equipped</t>
  </si>
  <si>
    <t>裝備三把以上類別為大盾的武器，能提升ＨＰ上限</t>
  </si>
  <si>
    <t>Defeating enemies fills more of the Art gauge</t>
  </si>
  <si>
    <t>打倒敵人時，能累積絕活量表</t>
  </si>
  <si>
    <t>Defeating enemies restores HP for allies but not for
self</t>
  </si>
  <si>
    <t>打倒敵人時，除了自己恢復周圍我方人物的ＨＰ</t>
  </si>
  <si>
    <t>Defeating enemies near Totem Stela restores HP</t>
  </si>
  <si>
    <t>在圖騰碑石周圍打倒敵人時，能恢復ＨＰ</t>
  </si>
  <si>
    <t>Critical hits deal huge damage on poisoned enemies</t>
  </si>
  <si>
    <t>對陷入中毒的敵人
使出致命一擊時，能給予大傷害</t>
  </si>
  <si>
    <t>Stamina Recovery upon Landing Attacks</t>
  </si>
  <si>
    <t>攻擊命中時，能恢復精力</t>
  </si>
  <si>
    <t>Stamina Recovery upon Landing Attacks +1</t>
  </si>
  <si>
    <t>攻擊命中時，能恢復精力＋１</t>
  </si>
  <si>
    <t>Increased rune acquisition for self and allies</t>
  </si>
  <si>
    <t>增加自己與我方人物獲得的盧恩</t>
  </si>
  <si>
    <t>Starting armament deals magic damage</t>
  </si>
  <si>
    <t>出擊時的武器，附加魔力屬性攻擊力</t>
  </si>
  <si>
    <t>Starting armament deals fire damage</t>
  </si>
  <si>
    <t>出擊時的武器，附加火屬性攻擊力</t>
  </si>
  <si>
    <t>Armament deals fire damage +1 at start of expedition</t>
  </si>
  <si>
    <t>出擊時的武器，附加火屬性攻擊力＋１</t>
  </si>
  <si>
    <t>Starting armament deals lightning damage</t>
  </si>
  <si>
    <t>出擊時的武器，附加雷屬性攻擊力</t>
  </si>
  <si>
    <t>Starting armament deals holy damage</t>
  </si>
  <si>
    <t>出擊時的武器，附加聖屬性攻擊力</t>
  </si>
  <si>
    <t>Starting armament inflicts frost</t>
  </si>
  <si>
    <t>出擊時的武器，附加異常狀態凍傷</t>
  </si>
  <si>
    <t>Starting armament inflicts poison</t>
  </si>
  <si>
    <t>出擊時的武器，附加異常狀態中毒</t>
  </si>
  <si>
    <t>Starting armament inflicts blood loss</t>
  </si>
  <si>
    <t>出擊時的武器，附加異常狀態出血</t>
  </si>
  <si>
    <t>Starting armament inflicts scarlet rot</t>
  </si>
  <si>
    <t>出擊時的武器，附加異常狀態猩紅腐敗</t>
  </si>
  <si>
    <t>Stonesword Key in possession at start of expedition</t>
  </si>
  <si>
    <t>出擊時，會持有「石劍鑰匙」</t>
  </si>
  <si>
    <t>Small Pouch in possession at start of expedition</t>
  </si>
  <si>
    <t>出擊時，會持有「小型隨身包包」</t>
  </si>
  <si>
    <t>Fire Pots in possession at start of expedition</t>
  </si>
  <si>
    <t>出擊時，會持有「火焰壺」</t>
  </si>
  <si>
    <t>Magic Pots in possession at start of expedition</t>
  </si>
  <si>
    <t>出擊時，會持有「魔力壺」</t>
  </si>
  <si>
    <t>Lightning Pots in possession at start of expedition</t>
  </si>
  <si>
    <t>出擊時，會持有「雷電壺」</t>
  </si>
  <si>
    <t>Holy Water Pots in possession at start of expedition</t>
  </si>
  <si>
    <t>出擊時，會持有「聖水壺」</t>
  </si>
  <si>
    <t>Poisonbone Darts in possession at start of
expedition</t>
  </si>
  <si>
    <t>出擊時，會持有「獸骨毒飛刀」</t>
  </si>
  <si>
    <t>Crystal Darts in possession at start of expedition</t>
  </si>
  <si>
    <t>出擊時，會持有「結晶飛刀」</t>
  </si>
  <si>
    <t>Throwing Daggers in possession at start of
expedition</t>
  </si>
  <si>
    <t>出擊時，會持有「投擲匕首」</t>
  </si>
  <si>
    <t>Glintstone Scraps in possession at start of
expedition</t>
  </si>
  <si>
    <t>出擊時，會持有「崩裂輝石」</t>
  </si>
  <si>
    <t>Gravity Stone Chunks in possession at start of
expedition</t>
  </si>
  <si>
    <t>出擊時，會持有「塊狀重力石」</t>
  </si>
  <si>
    <t>Bewitching Branches in possession at start of
expedition</t>
  </si>
  <si>
    <t>出擊時，會持有「魅惑樹枝」</t>
  </si>
  <si>
    <t>Wraith Calling Bell in possession at start of
expedition</t>
  </si>
  <si>
    <t>出擊時，會持有「召咒魂鈴」</t>
  </si>
  <si>
    <t>Fire Grease in possession at start of expedition</t>
  </si>
  <si>
    <t>出擊時，會持有「火油脂」</t>
  </si>
  <si>
    <t>Magic Grease in possession at start of expedition</t>
  </si>
  <si>
    <t>出擊時，會持有「魔力油脂」</t>
  </si>
  <si>
    <t>Lightning Grease in possession at start of
expedition</t>
  </si>
  <si>
    <t>出擊時，會持有「雷油脂」</t>
  </si>
  <si>
    <t>Holy Grease in possession at start of expedition</t>
  </si>
  <si>
    <t>出擊時，會持有「聖油脂」</t>
  </si>
  <si>
    <t>Shield Grease in possession at start of expedition</t>
  </si>
  <si>
    <t>出擊時，會持有「堅盾油脂」</t>
  </si>
  <si>
    <t>Changes compatible armament's skill to Glintblade
Phalanx at start of expedition</t>
  </si>
  <si>
    <t>出擊時，武器戰技改為「輝劍圓陣」
※僅限能使用的武器類別</t>
  </si>
  <si>
    <t>Changes compatible armament's skill to Gravitas at
start of expedition</t>
  </si>
  <si>
    <t>出擊時，武器戰技改為「重力」
※僅限能使用的武器類別</t>
  </si>
  <si>
    <t>Changes compatible armament's skill to Flaming
Strike at start of expedition</t>
  </si>
  <si>
    <t>出擊時，武器戰技改為「炎擊」
※僅限能使用的武器類別</t>
  </si>
  <si>
    <t>Changes compatible armament's skill to
Eruption at start of expedition</t>
  </si>
  <si>
    <t>出擊時，武器戰技改為「熔岩火漿」
※僅限能使用的武器類別</t>
  </si>
  <si>
    <t>Changes compatible armament's skill to Thunderbolt
at start of expedition</t>
  </si>
  <si>
    <t>出擊時，武器戰技改為「落雷」
※僅限能使用的武器類別</t>
  </si>
  <si>
    <t>Changes compatible armament's skill to Lightning
Slash at start of expedition</t>
  </si>
  <si>
    <t>出擊時，武器戰技改為「雷擊斬」
※僅限能使用的武器類別</t>
  </si>
  <si>
    <t>Changes compatible armament's skill to Sacred Blade
at start of expedition</t>
  </si>
  <si>
    <t>出擊時，武器戰技改為「神聖刀刃」
※僅限能使用的武器類別</t>
  </si>
  <si>
    <t>Changes compatible armament's skill to Prayerful
Strike at start of expedition</t>
  </si>
  <si>
    <t>出擊時，武器戰技改為「祈禱一擊」
※僅限能使用的武器類別</t>
  </si>
  <si>
    <t>Changes compatible armament's skill to Poisonous
Mist at start of expedition</t>
  </si>
  <si>
    <t>出擊時，武器戰技改為「毒霧」
※僅限能使用的武器類別</t>
  </si>
  <si>
    <t>Changes compatible armament's skill to Poison Moth
Flight at start of expedition</t>
  </si>
  <si>
    <t>出擊時，武器戰技改為「雙吻毒蛾」
※僅限能使用的武器類別</t>
  </si>
  <si>
    <t>Changes compatible armament's skill to Blood Blade
at start of expedition</t>
  </si>
  <si>
    <t>出擊時，武器戰技改為「血刃」
※僅限能使用的武器類別</t>
  </si>
  <si>
    <t>Changes compatible armament's skill to Seppuku at
start of expedition</t>
  </si>
  <si>
    <t>出擊時，武器戰技改為「切腹」
※僅限能使用的武器類別</t>
  </si>
  <si>
    <t>Changes compatible armament's skill to Chilling Mist
at start of expedition</t>
  </si>
  <si>
    <t>出擊時，武器戰技改為「寒氣凍霧」
※僅限能使用的武器類別</t>
  </si>
  <si>
    <t>Changes compatible armament's skill to Hoarfrost
Stomp at start of expedition</t>
  </si>
  <si>
    <t>出擊時，武器戰技改為「凍霜踏地」
※僅限能使用的武器類別</t>
  </si>
  <si>
    <t>Changes compatible armament's skill to White
Shadow's Lure at start of expedition</t>
  </si>
  <si>
    <t>出擊時，武器戰技改為「白影誘惑」
※僅限能使用的武器類別</t>
  </si>
  <si>
    <t>Changes compatible armament's skill to Endure at
start of expedition</t>
  </si>
  <si>
    <t>出擊時，武器戰技改為「忍耐」
※僅限能使用的武器類別</t>
  </si>
  <si>
    <t>Changes compatible armament's skill to Quickstep at
start of expedition</t>
  </si>
  <si>
    <t>出擊時，武器戰技改為「碎步」
※僅限能使用的武器類別</t>
  </si>
  <si>
    <t>Changes compatible armament's skill to Storm Stomp
at start of expedition</t>
  </si>
  <si>
    <t>出擊時，武器戰技改為「風暴足」
※僅限能使用的武器類別</t>
  </si>
  <si>
    <t>Changes compatible armament's skill to Determination
at start of expedition</t>
  </si>
  <si>
    <t>出擊時，武器戰技改為「決心」
※僅限能使用的武器類別</t>
  </si>
  <si>
    <t>Changes compatible armament's skill to Rain of
Arrows at start of expedition</t>
  </si>
  <si>
    <t>出擊時，武器戰技改為「箭雨」
※僅限能使用的武器類別</t>
  </si>
  <si>
    <t>Starlight Shards in possession at start of expedition</t>
  </si>
  <si>
    <t>出擊時，會持有「星光碎片」</t>
  </si>
  <si>
    <t>Guard counter is given a boost based on current HP</t>
  </si>
  <si>
    <t>防禦反擊成功時，能依照自己目前的ＨＰ提升傷害</t>
  </si>
  <si>
    <t>HP Restoration upon Thrusting Counterattack</t>
  </si>
  <si>
    <t>突刺反擊成功時，能恢復ＨＰ</t>
  </si>
  <si>
    <t>Attacks Inflict Rot when Damage is Taken</t>
  </si>
  <si>
    <t>受到損傷時，附加異常狀態腐敗</t>
  </si>
  <si>
    <t>HP Restoration with Head Shots</t>
  </si>
  <si>
    <t>頭部射擊時，能恢復ＨＰ</t>
  </si>
  <si>
    <t>Improved Stance-Breaking with Head Shots</t>
  </si>
  <si>
    <t>頭部射擊時，能提升讓敵人失去平衡的能力</t>
  </si>
  <si>
    <t>[Revenant] Power up while fighting alongside family</t>
  </si>
  <si>
    <t>【復仇者】與家人並肩戰鬥期間，能強化自身</t>
  </si>
  <si>
    <t>Rune discount for shop purchases while on expedition</t>
  </si>
  <si>
    <t>在出擊期間，減少於商店購物時所需的盧恩</t>
  </si>
  <si>
    <t>Huge rune discount for shop purchases while on
expedition</t>
  </si>
  <si>
    <t>在出擊期間，大幅減少於商店購物時所需的盧恩</t>
  </si>
  <si>
    <t>Improved Poise &amp; Damage Negation When Knocked Back
by Damage</t>
  </si>
  <si>
    <t>受到損傷並被彈飛時，能提升強韌度與減傷率</t>
  </si>
  <si>
    <t>Attack power up when facing poison-afflicted enemy</t>
  </si>
  <si>
    <t>對陷入中毒的敵人，能強化攻擊</t>
  </si>
  <si>
    <t>Attack power up when facing sleep-afflicted enemy</t>
  </si>
  <si>
    <t>對陷入催眠的敵人，能強化攻擊</t>
  </si>
  <si>
    <t>Attack power up when facing scarlet rot-afflicted
enemy</t>
  </si>
  <si>
    <t>對陷入猩紅腐敗的敵人，能強化攻擊</t>
  </si>
  <si>
    <t>Attack power up when facing frostbite-afflicted
enemy</t>
  </si>
  <si>
    <t>對陷入凍傷的敵人，能強化攻擊</t>
  </si>
  <si>
    <t>Attacks Create Magic Bursts Versus Sleeping Enemies</t>
  </si>
  <si>
    <t>對陷入催眠的敵人，能透過攻擊引發魔力爆炸</t>
  </si>
  <si>
    <t>Frostbite in Vicinity Conceals Self</t>
  </si>
  <si>
    <t>周圍人物陷入異常狀態凍傷時，能隱藏自己的身影</t>
  </si>
  <si>
    <t>周圍人物陷入中毒、腐敗時，能提升攻擊力</t>
  </si>
  <si>
    <t>Rot in Vicinity Causes Continuous HP Recovery</t>
  </si>
  <si>
    <t>周圍陷入腐敗時，持續恢復ＨＰ</t>
  </si>
  <si>
    <t>[Ironeye] +1 additional Character Skill use</t>
  </si>
  <si>
    <t>【鐵之眼】技藝的使用次數＋１</t>
  </si>
  <si>
    <t>[Ironeye] Extends duration of weak point</t>
  </si>
  <si>
    <t>【鐵之眼】延長弱點顯露的時間</t>
  </si>
  <si>
    <t>[Duchess] Improved Character Skill Attack Power</t>
  </si>
  <si>
    <t>【女爵】提升技藝造成的傷害</t>
  </si>
  <si>
    <t>[Duchess] Character Skill inflicts sleep upon
enemies</t>
  </si>
  <si>
    <t>【女爵】發動技藝時，能催眠敵人</t>
  </si>
  <si>
    <t>[Raider] Duration of Ultimate Art extended</t>
  </si>
  <si>
    <t>【無賴】延長絕活的有效時間</t>
  </si>
  <si>
    <t>[Revenant] Ability activation chance increased</t>
  </si>
  <si>
    <t>【復仇者】提升能力的發動機率</t>
  </si>
  <si>
    <t>Improved Dagger Attack Power</t>
  </si>
  <si>
    <t>提升短劍的攻擊力</t>
  </si>
  <si>
    <t>Improved Straight Sword Attack Power</t>
  </si>
  <si>
    <t>提升直劍的攻擊力</t>
  </si>
  <si>
    <t>Improved Greatsword Attack Power</t>
  </si>
  <si>
    <t>提升大劍的攻擊力</t>
  </si>
  <si>
    <t>Improved Colossal Sword Attack Power</t>
  </si>
  <si>
    <t>提升特大劍的攻擊力</t>
  </si>
  <si>
    <t>Improved Curved Sword Attack Power</t>
  </si>
  <si>
    <t>提升曲劍的攻擊力</t>
  </si>
  <si>
    <t>Improved Curved Greatsword Attack Power</t>
  </si>
  <si>
    <t>提升大曲劍的攻擊力</t>
  </si>
  <si>
    <t>Improved Katana Attack Power</t>
  </si>
  <si>
    <t>提升刀的攻擊力</t>
  </si>
  <si>
    <t>Improved Twinblade Attack Power</t>
  </si>
  <si>
    <t>提升雙頭劍的攻擊力</t>
  </si>
  <si>
    <t>Improved Thrusting Sword Attack Power</t>
  </si>
  <si>
    <t>提升刺劍的攻擊力</t>
  </si>
  <si>
    <t>Improved Heavy Thrusting Sword Attack Power</t>
  </si>
  <si>
    <t>提升重刺劍的攻擊力</t>
  </si>
  <si>
    <t>Improved Axe Attack Power</t>
  </si>
  <si>
    <t>提升斧的攻擊力</t>
  </si>
  <si>
    <t>Improved Greataxe Attack Power</t>
  </si>
  <si>
    <t>提升大斧的攻擊力</t>
  </si>
  <si>
    <t>Improved Hammer Attack Power</t>
  </si>
  <si>
    <t>提升槌的攻擊力</t>
  </si>
  <si>
    <t>Improved Great Hammer Attack Power</t>
  </si>
  <si>
    <t>提升大槌的攻擊力</t>
  </si>
  <si>
    <t>Improved Flail Attack Power</t>
  </si>
  <si>
    <t>提升連枷的攻擊力</t>
  </si>
  <si>
    <t>Improved Spear Attack Power</t>
  </si>
  <si>
    <t>提升矛的攻擊力</t>
  </si>
  <si>
    <t>Improved Pike Attack Power</t>
  </si>
  <si>
    <t>提升長矛的攻擊力</t>
  </si>
  <si>
    <t>Improved Great Spear Attack Power</t>
  </si>
  <si>
    <t>提升大矛的攻擊力</t>
  </si>
  <si>
    <t>Improved Halberd Attack Power</t>
  </si>
  <si>
    <t>提升戟的攻擊力</t>
  </si>
  <si>
    <t>Improved Reaper Attack Power</t>
  </si>
  <si>
    <t>提升鐮刀的攻擊力</t>
  </si>
  <si>
    <t>Improved Fist Attack Power</t>
  </si>
  <si>
    <t>提升拳頭的攻擊力</t>
  </si>
  <si>
    <t>Improved Claw Attack Power</t>
  </si>
  <si>
    <t>提升鉤爪的攻擊力</t>
  </si>
  <si>
    <t>Improved Whip Attack Power</t>
  </si>
  <si>
    <t>提升軟鞭的攻擊力</t>
  </si>
  <si>
    <t>Improved Colossal Weapon Attack Power</t>
  </si>
  <si>
    <t>提升特大武器的攻擊力</t>
  </si>
  <si>
    <t>Improved Bow Attack Power</t>
  </si>
  <si>
    <t>提升弓的攻擊力</t>
  </si>
  <si>
    <t>Improved Greatbow Attack Power</t>
  </si>
  <si>
    <t>提升大弓的攻擊力</t>
  </si>
  <si>
    <t>Improved Crossbow Attack Power</t>
  </si>
  <si>
    <t>提升弩的攻擊力</t>
  </si>
  <si>
    <t>Improved Ballista Attack Power</t>
  </si>
  <si>
    <t>提升弩砲的攻擊力</t>
  </si>
  <si>
    <t>HP Restoration upon Dagger Attacks</t>
  </si>
  <si>
    <t>以短劍攻擊時，恢復ＨＰ</t>
  </si>
  <si>
    <t>HP Restoration upon Straight Sword Attacks</t>
  </si>
  <si>
    <t>以直劍攻擊時，恢復ＨＰ</t>
  </si>
  <si>
    <t>HP Restoration upon Greatsword Attacks</t>
  </si>
  <si>
    <t>以大劍攻擊時，恢復ＨＰ</t>
  </si>
  <si>
    <t>HP Restoration upon Colossal Sword Attacks</t>
  </si>
  <si>
    <t>以特大劍攻擊時，恢復ＨＰ</t>
  </si>
  <si>
    <t>HP Restoration upon Curved Sword Attacks</t>
  </si>
  <si>
    <t>以曲劍攻擊時，恢復ＨＰ</t>
  </si>
  <si>
    <t>HP Restoration upon Curved Greatsword Attacks</t>
  </si>
  <si>
    <t>以大曲劍攻擊時，恢復ＨＰ</t>
  </si>
  <si>
    <t>HP Restoration upon Katana Attacks</t>
  </si>
  <si>
    <t>以刀攻擊時，恢復ＨＰ</t>
  </si>
  <si>
    <t>HP Restoration upon Twinblade Attacks</t>
  </si>
  <si>
    <t>以雙頭劍攻擊時，恢復ＨＰ</t>
  </si>
  <si>
    <t>HP Restoration upon Thrusting Sword Attacks</t>
  </si>
  <si>
    <t>以刺劍攻擊時，恢復ＨＰ</t>
  </si>
  <si>
    <t>HP Restoration upon Heavy Thrusting Sword Attacks</t>
  </si>
  <si>
    <t>以重刺劍攻擊時，恢復ＨＰ</t>
  </si>
  <si>
    <t>HP Restoration upon Axe Attacks</t>
  </si>
  <si>
    <t>以斧攻擊時，恢復ＨＰ</t>
  </si>
  <si>
    <t>HP Restoration upon Greataxe Attacks</t>
  </si>
  <si>
    <t>以大斧攻擊時，恢復ＨＰ</t>
  </si>
  <si>
    <t>HP Restoration upon Hammer Attacks</t>
  </si>
  <si>
    <t>以槌攻擊時，恢復ＨＰ</t>
  </si>
  <si>
    <t>HP Restoration upon Great Hammer Attacks</t>
  </si>
  <si>
    <t>以大槌攻擊時，恢復ＨＰ</t>
  </si>
  <si>
    <t>HP Restoration upon Flail Attacks</t>
  </si>
  <si>
    <t>以連枷攻擊時，恢復ＨＰ</t>
  </si>
  <si>
    <t>HP Restoration upon Spear Attacks</t>
  </si>
  <si>
    <t>以矛攻擊時，恢復ＨＰ</t>
  </si>
  <si>
    <t>HP Restoration upon Pike Attacks</t>
  </si>
  <si>
    <t>以長矛攻擊時，恢復ＨＰ</t>
  </si>
  <si>
    <t>HP Restoration upon Great Spear Attacks</t>
  </si>
  <si>
    <t>以大矛攻擊時，恢復ＨＰ</t>
  </si>
  <si>
    <t>HP Restoration upon Halberd Attacks</t>
  </si>
  <si>
    <t>以戟攻擊時，恢復ＨＰ</t>
  </si>
  <si>
    <t>HP Restoration upon Reaper Attacks</t>
  </si>
  <si>
    <t>以鐮刀攻擊時，恢復ＨＰ</t>
  </si>
  <si>
    <t>HP Restoration upon Fist Attacks</t>
  </si>
  <si>
    <t>以拳頭攻擊時，恢復ＨＰ</t>
  </si>
  <si>
    <t>HP Restoration upon Claw Attacks</t>
  </si>
  <si>
    <t>以鉤爪攻擊時，恢復ＨＰ</t>
  </si>
  <si>
    <t>HP Restoration upon Whip Attacks</t>
  </si>
  <si>
    <t>以軟鞭攻擊時，恢復ＨＰ</t>
  </si>
  <si>
    <t>HP Restoration upon Colossal Weapon Attacks</t>
  </si>
  <si>
    <t>以特大武器攻擊時，恢復ＨＰ</t>
  </si>
  <si>
    <t>HP Restoration upon Bow Attacks</t>
  </si>
  <si>
    <t>以弓攻擊時，恢復ＨＰ</t>
  </si>
  <si>
    <t>HP Restoration upon Greatbow Attacks</t>
  </si>
  <si>
    <t>以大弓攻擊時，恢復ＨＰ</t>
  </si>
  <si>
    <t>HP Restoration upon Crossbow Attacks</t>
  </si>
  <si>
    <t>以弩攻擊時，恢復ＨＰ</t>
  </si>
  <si>
    <t>HP Restoration upon Ballista Attacks</t>
  </si>
  <si>
    <t>以弩砲攻擊時，恢復ＨＰ</t>
  </si>
  <si>
    <t>FP Restoration upon Dagger Attacks</t>
  </si>
  <si>
    <t>以短劍攻擊時，恢復ＦＰ</t>
  </si>
  <si>
    <t>FP Restoration upon Straight Sword Attacks</t>
  </si>
  <si>
    <t>以直劍攻擊時，恢復ＦＰ</t>
  </si>
  <si>
    <t>FP Restoration upon Greatsword Attacks</t>
  </si>
  <si>
    <t>以大劍攻擊時，恢復ＦＰ</t>
  </si>
  <si>
    <t>FP Restoration upon Colossal Sword Attacks</t>
  </si>
  <si>
    <t>以特大劍攻擊時，恢復ＦＰ</t>
  </si>
  <si>
    <t>FP Restoration upon Curved Sword Attacks</t>
  </si>
  <si>
    <t>以曲劍攻擊時，恢復ＦＰ</t>
  </si>
  <si>
    <t>FP Restoration upon Curved Greatsword Attacks</t>
  </si>
  <si>
    <t>以大曲劍攻擊時，恢復ＦＰ</t>
  </si>
  <si>
    <t>FP Restoration upon Katana Attacks</t>
  </si>
  <si>
    <t>以刀攻擊時，恢復ＦＰ</t>
  </si>
  <si>
    <t>FP Restoration upon Twinblade Attacks</t>
  </si>
  <si>
    <t>以雙頭劍攻擊時，恢復ＦＰ</t>
  </si>
  <si>
    <t>FP Restoration upon Thrusting Sword Attacks</t>
  </si>
  <si>
    <t>以刺劍攻擊時，恢復ＦＰ</t>
  </si>
  <si>
    <t>FP Restoration upon Heavy Thrusting Sword Attacks</t>
  </si>
  <si>
    <t>以重刺劍攻擊時，恢復ＦＰ</t>
  </si>
  <si>
    <t>FP Restoration upon Axe Attacks</t>
  </si>
  <si>
    <t>以斧攻擊時，恢復ＦＰ</t>
  </si>
  <si>
    <t>FP Restoration upon Greataxe Attacks</t>
  </si>
  <si>
    <t>以大斧攻擊時，恢復ＦＰ</t>
  </si>
  <si>
    <t>FP Restoration upon Hammer Attacks</t>
  </si>
  <si>
    <t>以槌攻擊時，恢復ＦＰ</t>
  </si>
  <si>
    <t>FP Restoration upon Great Hammer Attacks</t>
  </si>
  <si>
    <t>以大槌攻擊時，恢復ＦＰ</t>
  </si>
  <si>
    <t>FP Restoration upon Flail Attacks</t>
  </si>
  <si>
    <t>以連枷攻擊時，恢復ＦＰ</t>
  </si>
  <si>
    <t>FP Restoration upon Spear Attacks</t>
  </si>
  <si>
    <t>以矛攻擊時，恢復ＦＰ</t>
  </si>
  <si>
    <t>FP Restoration upon Pike Attacks</t>
  </si>
  <si>
    <t>以長矛攻擊時，恢復ＦＰ</t>
  </si>
  <si>
    <t>FP Restoration upon Great Spear Attacks</t>
  </si>
  <si>
    <t>以大矛攻擊時，恢復ＦＰ</t>
  </si>
  <si>
    <t>FP Restoration upon Halberd Attacks</t>
  </si>
  <si>
    <t>以戟攻擊時，恢復ＦＰ</t>
  </si>
  <si>
    <t>FP Restoration upon Reaper Attacks</t>
  </si>
  <si>
    <t>以鐮刀攻擊時，恢復ＦＰ</t>
  </si>
  <si>
    <t>FP Restoration upon Fist Attacks</t>
  </si>
  <si>
    <t>以拳頭攻擊時，恢復ＦＰ</t>
  </si>
  <si>
    <t>FP Restoration upon Claw Attacks</t>
  </si>
  <si>
    <t>以鉤爪攻擊時，恢復ＦＰ</t>
  </si>
  <si>
    <t>FP Restoration upon Whip Attacks</t>
  </si>
  <si>
    <t>以軟鞭攻擊時，恢復ＦＰ</t>
  </si>
  <si>
    <t>FP Restoration upon Colossal Weapon Attacks</t>
  </si>
  <si>
    <t>以特大武器攻擊時，恢復ＦＰ</t>
  </si>
  <si>
    <t>FP Restoration upon Bow Attacks</t>
  </si>
  <si>
    <t>以弓攻擊時，恢復ＦＰ</t>
  </si>
  <si>
    <t>FP Restoration upon Greatbow Attacks</t>
  </si>
  <si>
    <t>以大弓攻擊時，恢復ＦＰ</t>
  </si>
  <si>
    <t>FP Restoration upon Crossbow Attacks</t>
  </si>
  <si>
    <t>以弩攻擊時，恢復ＦＰ</t>
  </si>
  <si>
    <t>FP Restoration upon Ballista Attacks</t>
  </si>
  <si>
    <t>以弩砲攻擊時，恢復ＦＰ</t>
  </si>
  <si>
    <t>Changes compatible armament's sorcery to Magic
Glintblade at start of expedition</t>
  </si>
  <si>
    <t>出擊時，武器魔法改為「魔法輝劍」
※僅限能使用的武器類別</t>
  </si>
  <si>
    <t>Changes compatible armament's sorcery to Carian
Greatsword at start of expedition</t>
  </si>
  <si>
    <t>出擊時，武器魔法改為「卡利亞大劍」
※僅限能使用的武器類別</t>
  </si>
  <si>
    <t>Changes compatible armament's sorcery to Night
Shard at start of expedition</t>
  </si>
  <si>
    <t>出擊時，武器魔法改為「黑夜魔礫」
※僅限能使用的武器類別</t>
  </si>
  <si>
    <t>Changes compatible armament's sorcery to Magma
Shot at start of expedition</t>
  </si>
  <si>
    <t>出擊時，武器魔法改為「熔岩球」
※僅限能使用的武器類別</t>
  </si>
  <si>
    <t>Changes compatible armament's sorcery to Glintstone
Icecrag at start of expedition</t>
  </si>
  <si>
    <t>出擊時，武器魔法改為「輝石冰塊」
※僅限能使用的武器類別</t>
  </si>
  <si>
    <t>Changes compatible armament's sorcery to Gravity
Well at start of expedition</t>
  </si>
  <si>
    <t>出擊時，武器魔法改為「重力球」
※僅限能使用的武器類別</t>
  </si>
  <si>
    <t>Changes compatible armament's sorcery to Briars of
Punishment at start of expedition</t>
  </si>
  <si>
    <t>出擊時，武器魔法改為「責罰荊棘」
※僅限能使用的武器類別</t>
  </si>
  <si>
    <t>Changes compatible armament's incantation to
Blessing's Boon at start of expedition</t>
  </si>
  <si>
    <t>出擊時，武器禱告改為「恩惠賜福」
※僅限能使用的武器類別</t>
  </si>
  <si>
    <t>Changes compatible armament's incantation to
Aspects of the Crucible: Horns at start of expedition</t>
  </si>
  <si>
    <t>出擊時，武器禱告改為「熔爐百相之角」
※僅限能使用的武器類別</t>
  </si>
  <si>
    <t>Changes compatible armament's incantation to
Wrath of Gold at start of expedition</t>
  </si>
  <si>
    <t>出擊時，武器禱告改為「黃金之怒」
※僅限能使用的武器類別</t>
  </si>
  <si>
    <t>Changes compatible armament's incantation to
Lightning Spear at start of expedition</t>
  </si>
  <si>
    <t>出擊時，武器禱告改為「雷電槍」
※僅限能使用的武器類別</t>
  </si>
  <si>
    <t>Changes compatible armament's incantation to
Lightning Strike at start of expedition</t>
  </si>
  <si>
    <t>出擊時，武器禱告改為「雷擊」
※僅限能使用的武器類別</t>
  </si>
  <si>
    <t>Changes compatible armament's incantation to
O, Flame! at start of expedition</t>
  </si>
  <si>
    <t>出擊時，武器禱告改為「火焰啊！」
※僅限能使用的武器類別</t>
  </si>
  <si>
    <t>Changes compatible armament's incantation to
Black Flame at start of expedition</t>
  </si>
  <si>
    <t>出擊時，武器禱告改為「黑焰」
※僅限能使用的武器類別</t>
  </si>
  <si>
    <t>Changes compatible armament's incantation to
Beast Claw at start of expedition</t>
  </si>
  <si>
    <t>出擊時，武器禱告改為「獸爪」
※僅限能使用的武器類別</t>
  </si>
  <si>
    <t>Changes compatible armament's incantation to
Swarm of Flies at start of expedition</t>
  </si>
  <si>
    <t>出擊時，武器禱告改為「蠅群」
※僅限能使用的武器類別</t>
  </si>
  <si>
    <t>Changes compatible armament's incantation to
Dragonfire at start of expedition</t>
  </si>
  <si>
    <t>出擊時，武器禱告改為「龍焰」
※僅限能使用的武器類別</t>
  </si>
  <si>
    <t>Reduced Stamina Consumption</t>
  </si>
  <si>
    <t>減少精力消耗</t>
  </si>
  <si>
    <t>Improved Physical Attack Power</t>
  </si>
  <si>
    <t>附加異常狀態中毒</t>
  </si>
  <si>
    <t>附加異常狀態出血</t>
  </si>
  <si>
    <t>附加異常狀態催眠</t>
  </si>
  <si>
    <t>附加異常狀態死亡</t>
  </si>
  <si>
    <t>Attacks Inflict Rot</t>
  </si>
  <si>
    <t>附加異常狀態腐敗</t>
  </si>
  <si>
    <t>附加異常狀態凍傷</t>
  </si>
  <si>
    <t>附加異常狀態發狂</t>
  </si>
  <si>
    <t>Add Fire to Weapon</t>
  </si>
  <si>
    <t>武器變為火屬性</t>
  </si>
  <si>
    <t>Add Magic to Weapon</t>
  </si>
  <si>
    <t>武器變為魔力屬性</t>
  </si>
  <si>
    <t>Add Lightning to Weapon</t>
  </si>
  <si>
    <t>武器變為雷屬性</t>
  </si>
  <si>
    <t>Add Holy to Weapon</t>
  </si>
  <si>
    <t>武器變為聖屬性</t>
  </si>
  <si>
    <t>Improved Stance-Breaking</t>
  </si>
  <si>
    <t>提升讓敵人失去平衡的能力</t>
  </si>
  <si>
    <t>Attack Boost [Lifeforms Born of Falling Stars]</t>
  </si>
  <si>
    <t>特殊效果【從隕石誕生的生命】</t>
  </si>
  <si>
    <t>Attack Boost [Those Who Live in Death]</t>
  </si>
  <si>
    <t>特殊效果【死誕者】</t>
  </si>
  <si>
    <t>Attack Boost [Dragons]</t>
  </si>
  <si>
    <t>特殊效果【龍】</t>
  </si>
  <si>
    <t>Improved Guarding Ability +1</t>
  </si>
  <si>
    <t>提升防禦強度＋１</t>
  </si>
  <si>
    <t>Improved Guarding Ability +2</t>
  </si>
  <si>
    <t>提升防禦強度＋２</t>
  </si>
  <si>
    <t>Improved Attack Power when Two-Handing</t>
  </si>
  <si>
    <t>提升雙手共持時的攻擊力</t>
  </si>
  <si>
    <t>Improved Stance-Breaking when Two-Handing</t>
  </si>
  <si>
    <t>提升雙手共持時，造成失去平衡的能力</t>
  </si>
  <si>
    <t>Attack Up when Wielding Two Armaments</t>
  </si>
  <si>
    <t>提升雙手各持時的攻擊力</t>
  </si>
  <si>
    <t>Improved Stance-Breaking when Wielding Two Armaments</t>
  </si>
  <si>
    <t>提升雙手各持時，造成失去平衡的能力</t>
  </si>
  <si>
    <t>Strong Attacks Improve Poise</t>
  </si>
  <si>
    <t>重攻擊時，提升強韌度</t>
  </si>
  <si>
    <t>Dmg Negation Up upon Landing Charge Attacks</t>
  </si>
  <si>
    <t>蓄力攻擊命中時，提升減傷率</t>
  </si>
  <si>
    <t>Improved Dash Attacks</t>
  </si>
  <si>
    <t>強化衝刺攻擊</t>
  </si>
  <si>
    <t>Improved Rolling Attacks</t>
  </si>
  <si>
    <t>強化翻滾攻擊</t>
  </si>
  <si>
    <t>Improved Charged Sorceries</t>
  </si>
  <si>
    <t>強化魔法的蓄力施展</t>
  </si>
  <si>
    <t>Improved Charged Incantation</t>
  </si>
  <si>
    <t>強化禱告的蓄力執行</t>
  </si>
  <si>
    <t>Communion Grants Anti-Dragon Effect</t>
  </si>
  <si>
    <t>執行龍饗禱告後，武器附加對龍特效</t>
  </si>
  <si>
    <t>Dmg Negation Up While Casting Spells</t>
  </si>
  <si>
    <t>詠唱魔法、禱告時，提升減傷率</t>
  </si>
  <si>
    <t>Improved Charged Skill Attack Power</t>
  </si>
  <si>
    <t>提升戰技蓄力攻擊力</t>
  </si>
  <si>
    <t>Skill Activation Improves Poise</t>
  </si>
  <si>
    <t>發動戰技時，提升強韌度</t>
  </si>
  <si>
    <t>Parries Activate Golden Retaliation</t>
  </si>
  <si>
    <t>格擋時，發動黃金式奉還</t>
  </si>
  <si>
    <t>Faster Art Gauge Buildup</t>
  </si>
  <si>
    <t>強化自然累積絕活量表</t>
  </si>
  <si>
    <t>Character Skill Cooldown Reduction</t>
  </si>
  <si>
    <t>縮短技藝的冷卻時間</t>
  </si>
  <si>
    <t>強化閃避能力</t>
  </si>
  <si>
    <t>Lightning upon Dodging</t>
  </si>
  <si>
    <t>閃避時，在周圍降下落雷</t>
  </si>
  <si>
    <t>Guard Counters Activate Holy Attacks</t>
  </si>
  <si>
    <t>防禦反擊時，觸發聖屬性攻擊</t>
  </si>
  <si>
    <t>Guard Counters Launch Summoning Attack</t>
  </si>
  <si>
    <t>防禦反擊時，觸發召喚攻擊</t>
  </si>
  <si>
    <t>Gradual Restoration by Flask</t>
  </si>
  <si>
    <t>使用聖杯瓶時，改為緩慢恢復</t>
  </si>
  <si>
    <t>Magma Surge Sprint</t>
  </si>
  <si>
    <t>急速衝刺時，噴出熔岩</t>
  </si>
  <si>
    <t>Ice Storm Surge Sprint</t>
  </si>
  <si>
    <t>急速衝刺時，颳起冰風暴</t>
  </si>
  <si>
    <t>Darkness Conceals Caster While Walking</t>
  </si>
  <si>
    <t>慢步移動時，形成黑暗消除自身存在</t>
  </si>
  <si>
    <t>Savage Pillars of Flame Rise While Walking</t>
  </si>
  <si>
    <t>慢步移動時，燃起接連形成的火焰柱</t>
  </si>
  <si>
    <t>Flame of Frenzy While Walking</t>
  </si>
  <si>
    <t>慢步移動時，迸發劇烈癲火</t>
  </si>
  <si>
    <t>Wraiths While Walking</t>
  </si>
  <si>
    <t>慢步移動時，釋放咒魂</t>
  </si>
  <si>
    <t>Vicious Star Rain Pours While Walking</t>
  </si>
  <si>
    <t>慢步移動時，降下磅礡的星雨</t>
  </si>
  <si>
    <t>Storm of Red Lightning While Walking</t>
  </si>
  <si>
    <t>慢步移動時，召喚紅落雷</t>
  </si>
  <si>
    <t>Less Likely to Be Targeted</t>
  </si>
  <si>
    <t>敵人比較不會攻擊自己</t>
  </si>
  <si>
    <t>Multiple Periodical Glintblades</t>
  </si>
  <si>
    <t>一定時間間隔內，形成多支輝劍</t>
  </si>
  <si>
    <t>Many Periodical Glintblades</t>
  </si>
  <si>
    <t>一定時間間隔內，形成大量輝劍</t>
  </si>
  <si>
    <t>Periodical Giant Glintblades</t>
  </si>
  <si>
    <t>一定時間間隔內，形成巨大輝劍</t>
  </si>
  <si>
    <t>HP Restoration upon Landing Attacks</t>
  </si>
  <si>
    <t>攻擊命中時，恢復ＨＰ</t>
  </si>
  <si>
    <t>FP Restoration upon Landing Attacks</t>
  </si>
  <si>
    <t>攻擊命中時，恢復ＦＰ</t>
  </si>
  <si>
    <t>Sudden Enemy Death upon Landing Attacks</t>
  </si>
  <si>
    <t>攻擊命中時，敵人偶爾會驟死</t>
  </si>
  <si>
    <t>HP Restoration upon Successive Attacks</t>
  </si>
  <si>
    <t>FP Restoration upon Successive Attacks</t>
  </si>
  <si>
    <t>連續攻擊時，恢復ＦＰ</t>
  </si>
  <si>
    <t>Magic Attack Follows Charge Attacks that Land</t>
  </si>
  <si>
    <t>蓄力攻擊命中時，追加魔力屬性攻擊</t>
  </si>
  <si>
    <t>Fire Attack Follows Charge Attacks that Land</t>
  </si>
  <si>
    <t>蓄力攻擊命中時，追加火屬性攻擊</t>
  </si>
  <si>
    <t>Lightning Follows Charge Attacks that Land</t>
  </si>
  <si>
    <t>蓄力攻擊命中時，追加雷屬性攻擊</t>
  </si>
  <si>
    <t>Holy Attack Follows Charge Attacks that Land</t>
  </si>
  <si>
    <t>蓄力攻擊命中時，追加聖屬性攻擊</t>
  </si>
  <si>
    <t>Successive Attacks Negate Damage</t>
  </si>
  <si>
    <t>連續攻擊時，僅限一次提升減傷率</t>
  </si>
  <si>
    <t>Taking Damage Restores FP</t>
  </si>
  <si>
    <t>受到損傷時，恢復ＦＰ</t>
  </si>
  <si>
    <t>Taking Damage Boosts Damage Negation</t>
  </si>
  <si>
    <t>受到損傷時，提升減傷率</t>
  </si>
  <si>
    <t>Attacks Summon Wraiths</t>
  </si>
  <si>
    <t>打倒多名敵人時，釋放咒魂</t>
  </si>
  <si>
    <t>Attacks Release Mist of Charm</t>
  </si>
  <si>
    <t>打倒多名敵人時，形成魅惑煙霧</t>
  </si>
  <si>
    <t>Attacks Call Vengeful Spirits</t>
  </si>
  <si>
    <t>打倒多名敵人時，召喚怨魂</t>
  </si>
  <si>
    <t>Attacks Generate Lava</t>
  </si>
  <si>
    <t>打倒多名敵人時，形成熔岩</t>
  </si>
  <si>
    <t>Attacks Release Mist of Frost</t>
  </si>
  <si>
    <t>打倒多名敵人時，形成寒氣凍霧</t>
  </si>
  <si>
    <t>Attacks Unleash Lightning</t>
  </si>
  <si>
    <t>打倒多名敵人時，降下落雷</t>
  </si>
  <si>
    <t>Attacks Generate Golden Shockwave</t>
  </si>
  <si>
    <t>打倒多名敵人時，形成黃金衝擊波</t>
  </si>
  <si>
    <t>Increased Damage After Critical Hit</t>
  </si>
  <si>
    <t>致命一擊時，能增加敵人受到的傷害</t>
  </si>
  <si>
    <t>Sacred Order upon Holy Critical Hit</t>
  </si>
  <si>
    <t>聖屬性的致命一擊，觸發聖律</t>
  </si>
  <si>
    <t>Magma upon Fire Critical Hit</t>
  </si>
  <si>
    <t>火屬性的致命一擊，形成熔岩</t>
  </si>
  <si>
    <t>Lightning Critical Hit Imbues Armament</t>
  </si>
  <si>
    <t>雷屬性的致命一擊，發動雷擊斬</t>
  </si>
  <si>
    <t>Crystal Shards upon Magic Critical Hit</t>
  </si>
  <si>
    <t>魔力屬性的致命一擊，釋放結晶碎片</t>
  </si>
  <si>
    <t>Poison Mist upon Poison Critical Hit</t>
  </si>
  <si>
    <t>中毒效果的致命一擊，形成毒性煙霧</t>
  </si>
  <si>
    <t>Blood Loss Crit: Thorns of Punishment</t>
  </si>
  <si>
    <t>出血效果的致命一擊，形成責罰荊棘</t>
  </si>
  <si>
    <t>Rot Critical Hit Fires Pest Threads</t>
  </si>
  <si>
    <t>腐敗效果的致命一擊，釋放蟲絲</t>
  </si>
  <si>
    <t>Ice Storm upon Critical Hit with Frost</t>
  </si>
  <si>
    <t>凍傷效果的致命一擊，颳起冰風暴</t>
  </si>
  <si>
    <t>Madness Crit. Hit Fires Frenzied Flame</t>
  </si>
  <si>
    <t>發狂效果的致命一擊，釋放癲火</t>
  </si>
  <si>
    <t>Death Crit. Hit Calls Death Lightning</t>
  </si>
  <si>
    <t>死亡效果的致命一擊，降下死亡落雷</t>
  </si>
  <si>
    <t>HP Recovery From Successful Guarding</t>
  </si>
  <si>
    <t>防禦成功時，恢復ＨＰ</t>
  </si>
  <si>
    <t>FP Recovery From Successful Guarding</t>
  </si>
  <si>
    <t>防禦成功時，恢復ＦＰ</t>
  </si>
  <si>
    <t>Successful Guarding Ups Poise</t>
  </si>
  <si>
    <t>防禦成功時，提升強韌度</t>
  </si>
  <si>
    <t>Successful Guarding Ups Dmg Negation</t>
  </si>
  <si>
    <t>防禦成功時，提升減傷率</t>
  </si>
  <si>
    <t>Critical Hits Inflict Blood Loss</t>
  </si>
  <si>
    <t>致命一擊時，附加異常狀態出血</t>
  </si>
  <si>
    <t>Creates Holy Ground at Low HP</t>
  </si>
  <si>
    <t>ＨＰ偏低時，展開聖域</t>
  </si>
  <si>
    <t>Low HP Crit. Hit Fully Restores HP</t>
  </si>
  <si>
    <t>ＨＰ偏低時，致命一擊全恢復ＨＰ</t>
  </si>
  <si>
    <t>Poison Produces a Mist of Poison</t>
  </si>
  <si>
    <t>陷入中毒時，形成毒性煙霧</t>
  </si>
  <si>
    <t>Madness Produces a Frenzied Burst</t>
  </si>
  <si>
    <t>陷入發狂時，釋放劃空癲火</t>
  </si>
  <si>
    <t>Rot Produces a Mist of Scarlet Rot</t>
  </si>
  <si>
    <t>陷入猩紅腐敗時，形成腐敗煙霧</t>
  </si>
  <si>
    <t>Frostbite Produces a Mist of Frost</t>
  </si>
  <si>
    <t>陷入凍傷時，形成寒氣凍霧</t>
  </si>
  <si>
    <t>Sleep Produces a Mist of Sleep</t>
  </si>
  <si>
    <t>陷入催眠時，形成催眠煙霧</t>
  </si>
  <si>
    <t>Poison Increases Attack Power</t>
  </si>
  <si>
    <t>陷入中毒時，提升攻擊力</t>
  </si>
  <si>
    <t>Blood Loss Increases Attack Power</t>
  </si>
  <si>
    <t>陷入出血時，提升攻擊力</t>
  </si>
  <si>
    <t>Sleep Increases Attack Power</t>
  </si>
  <si>
    <t>陷入催眠時，提升攻擊力</t>
  </si>
  <si>
    <t>Frostbite Increases Attack Power</t>
  </si>
  <si>
    <t>陷入凍傷時，提升攻擊力</t>
  </si>
  <si>
    <t>Madness Increases Attack Power</t>
  </si>
  <si>
    <t>陷入發狂時，提升攻擊力</t>
  </si>
  <si>
    <t>Reduced Maximum FP</t>
  </si>
  <si>
    <t>降低ＦＰ上限</t>
  </si>
  <si>
    <t>Reduced Maximum Stamina</t>
  </si>
  <si>
    <t>降低精力上限</t>
  </si>
  <si>
    <t>Night's Tide Damage Increased</t>
  </si>
  <si>
    <t>被黑夜雨淋到的損傷加劇</t>
  </si>
  <si>
    <t>Damage Increased by Night's Encroachment</t>
  </si>
  <si>
    <t>時間越接近夜晚，受到的損傷加劇</t>
  </si>
  <si>
    <t>Slower Art Gauge When Below Max HP</t>
  </si>
  <si>
    <t>ＨＰ沒有全滿時，降低絕活量表累積</t>
  </si>
  <si>
    <t>Max HP Slows Ultimate Art Gauge</t>
  </si>
  <si>
    <t>ＨＰ全滿時，降低絕活量表累積</t>
  </si>
  <si>
    <t>Lower Stamina Impairs Dmg Negation</t>
  </si>
  <si>
    <t>精力偏少時，降低減傷率</t>
  </si>
  <si>
    <t>Attacks Impaired on Occasion</t>
  </si>
  <si>
    <t>攻擊時，攻擊偶爾會掠過目標</t>
  </si>
  <si>
    <t>Landed Attacks Build Up Frost</t>
  </si>
  <si>
    <t>攻擊命中時，自己會累積凍傷量表</t>
  </si>
  <si>
    <t>Landed Attacks Build Up Blood Loss</t>
  </si>
  <si>
    <t>攻擊命中時，自己會累積出血量表</t>
  </si>
  <si>
    <t>Ailments Cause Increased Damage</t>
  </si>
  <si>
    <t>增加因異常狀態受到的損傷</t>
  </si>
  <si>
    <t>Near Death Reduces Art Gauge</t>
  </si>
  <si>
    <t>瀕死時，減少絕活量表</t>
  </si>
  <si>
    <t>Ice Storm upon Charge Attacks</t>
  </si>
  <si>
    <t>蓄力攻擊時，颳起冰風暴</t>
  </si>
  <si>
    <t>Ring of Light upon Charged Slash</t>
  </si>
  <si>
    <t>蓄力斬擊時，釋放光環</t>
  </si>
  <si>
    <t>Black Flames upon Charge Attacks</t>
  </si>
  <si>
    <t>蓄力攻擊時，噴灑黑焰</t>
  </si>
  <si>
    <t>Phantom Attack upon Charge Attacks</t>
  </si>
  <si>
    <t>蓄力攻擊時，形成幻影進行攻擊</t>
  </si>
  <si>
    <t>Roaring Flames upon Charged Slash</t>
  </si>
  <si>
    <t>蓄力斬擊時，引起劇烈火焰</t>
  </si>
  <si>
    <t>Holy Shockwave upon Charge Attacks</t>
  </si>
  <si>
    <t>蓄力攻擊時，釋放聖屬性衝擊波</t>
  </si>
  <si>
    <t>Projectiles upon Charged Strike</t>
  </si>
  <si>
    <t>蓄力打擊時，釋放魔法球</t>
  </si>
  <si>
    <t>Luring Enemies upon Charge Attacks</t>
  </si>
  <si>
    <t>蓄力攻擊時，將敵人拉近自己</t>
  </si>
  <si>
    <t>Shockwave upon Charged Strike</t>
  </si>
  <si>
    <t>蓄力打擊時，釋放衝擊波</t>
  </si>
  <si>
    <t>Phantom Attack upon Charged Strike</t>
  </si>
  <si>
    <t>蓄力打擊時，形成幻影進行攻擊</t>
  </si>
  <si>
    <t>Magma upon Charge Attacks</t>
  </si>
  <si>
    <t>蓄力攻擊時，形成熔岩</t>
  </si>
  <si>
    <t>Magic Bubbles upon Charged Strike</t>
  </si>
  <si>
    <t>蓄力打擊時，釋放泡泡</t>
  </si>
  <si>
    <t>Phantom Attack upon Charged Thrust</t>
  </si>
  <si>
    <t>蓄力突刺時，形成幻影進行攻擊</t>
  </si>
  <si>
    <t>Lightning upon Charge Attacks</t>
  </si>
  <si>
    <t>蓄力攻擊時，釋放雷電</t>
  </si>
  <si>
    <t>Acid Mist upon Charged Thrust</t>
  </si>
  <si>
    <t>蓄力突刺時，噴灑強酸</t>
  </si>
  <si>
    <t>Pest Threads upon Charged Thrust</t>
  </si>
  <si>
    <t>蓄力突刺時，釋放蟲絲</t>
  </si>
  <si>
    <t>Poison Mist upon Charged Thrust</t>
  </si>
  <si>
    <t>蓄力突刺時，形成毒性煙霧</t>
  </si>
  <si>
    <t>Charge Attacks Invoke Sleep Mist</t>
  </si>
  <si>
    <t>蓄力攻擊時，形成催眠煙霧</t>
  </si>
  <si>
    <t>Projectiles Launched upon Charge Attacks</t>
  </si>
  <si>
    <t>蓄力攻擊時，形成追擊魔力球</t>
  </si>
  <si>
    <t>Lightning upon Precision Aiming</t>
  </si>
  <si>
    <t>精密射擊時，在命中點降下落雷</t>
  </si>
  <si>
    <t>Poison Mist upon Precision Aiming</t>
  </si>
  <si>
    <t>精密射擊時，在命中點形成毒性煙霧</t>
  </si>
  <si>
    <t>Rot Mist upon Precision Aiming</t>
  </si>
  <si>
    <t>精密射擊時，在命中點形成腐敗煙霧</t>
  </si>
  <si>
    <t>Bloodflies upon Precision Aiming</t>
  </si>
  <si>
    <t>精密射擊時，在命中點招來血蠅</t>
  </si>
  <si>
    <t>Shielding Improves Damage Negation</t>
  </si>
  <si>
    <t>持盾維持防禦時，提升部分的減傷率</t>
  </si>
  <si>
    <t>Shielding Invokes Indomitable Vow</t>
  </si>
  <si>
    <t>持盾維持防禦時，發動無敵</t>
  </si>
  <si>
    <t>Shielding Creates Holy Ground</t>
  </si>
  <si>
    <t>持盾維持防禦時，發動聖域</t>
  </si>
  <si>
    <t>Broken Stance Activates Endure</t>
  </si>
  <si>
    <t>失去平衡時，發動忍耐</t>
  </si>
  <si>
    <t>Flask Healing Also Restores FP</t>
  </si>
  <si>
    <t>使用聖杯瓶時，也恢復ＦＰ</t>
  </si>
  <si>
    <t>Failing to Cast Spell Restores FP</t>
  </si>
  <si>
    <t>ＦＰ不夠時，施展魔法、祈禱恢復ＦＰ</t>
  </si>
  <si>
    <t>Continued Guarding Grants Increased Potency of Sorceries/Incantations and Faster Casting</t>
  </si>
  <si>
    <t>維持防禦時，強化魔法、禱告與縮短詠唱時間</t>
  </si>
  <si>
    <t>Critical Hits Boost Attack Power</t>
  </si>
  <si>
    <t>致命一擊時，提升攻擊力</t>
  </si>
  <si>
    <t>Changed Strong Attacks</t>
  </si>
  <si>
    <t>重攻擊動作變化</t>
  </si>
  <si>
    <t>Strong Jump Attacks Create Shockwave</t>
  </si>
  <si>
    <t>跳躍重攻擊時，能形成衝擊波</t>
  </si>
  <si>
    <t>Power of Night and Flame</t>
  </si>
  <si>
    <t>夜與火的庇佑</t>
  </si>
  <si>
    <t>Power of Dark Moon</t>
  </si>
  <si>
    <t>暗月的庇佑</t>
  </si>
  <si>
    <t>Power of the Greater Will</t>
  </si>
  <si>
    <t>無上庇佑</t>
  </si>
  <si>
    <t>Power of the Blasphemous</t>
  </si>
  <si>
    <t>褻瀆的庇佑</t>
  </si>
  <si>
    <t>Power of House Marais</t>
  </si>
  <si>
    <t>瑪雷家的庇佑</t>
  </si>
  <si>
    <t>Power of the Golden Order</t>
  </si>
  <si>
    <t>黃金律法的庇佑</t>
  </si>
  <si>
    <t>Power of Destined Death</t>
  </si>
  <si>
    <t>命定之死的庇佑</t>
  </si>
  <si>
    <t>Power of the Starscourge</t>
  </si>
  <si>
    <t>碎星的庇佑</t>
  </si>
  <si>
    <t>Power of Destruction</t>
  </si>
  <si>
    <t>毀滅的庇佑</t>
  </si>
  <si>
    <t>Power of Vengeance</t>
  </si>
  <si>
    <t>復仇的庇佑</t>
  </si>
  <si>
    <t>Power of the Dragonlord</t>
  </si>
  <si>
    <t>龍王的庇佑</t>
  </si>
  <si>
    <t>Power of Despair</t>
  </si>
  <si>
    <t>絕望的庇佑</t>
  </si>
  <si>
    <t>Power of the Omen King</t>
  </si>
  <si>
    <t>惡兆王的庇佑</t>
  </si>
  <si>
    <t>Power of the Undefeated</t>
  </si>
  <si>
    <t>戰無不勝的庇佑</t>
  </si>
  <si>
    <t>Power of the Queen</t>
  </si>
  <si>
    <t>女王的庇佑</t>
  </si>
  <si>
    <t>Power of the Lightless Void</t>
  </si>
  <si>
    <t>黑暗的庇佑</t>
  </si>
  <si>
    <t>Power of the Golden Lineage</t>
  </si>
  <si>
    <t>黃金一族的庇佑</t>
  </si>
  <si>
    <t>Power of the Ancestral Spirit</t>
  </si>
  <si>
    <t>祖靈的庇佑</t>
  </si>
  <si>
    <t>Power of the Great Ancient Dragon</t>
  </si>
  <si>
    <t>大古龍的庇佑</t>
  </si>
  <si>
    <t>Power of the Blood Lord</t>
  </si>
  <si>
    <t>鮮血君王的庇佑</t>
  </si>
  <si>
    <t>Power of the Giant</t>
  </si>
  <si>
    <t>巨人的庇佑</t>
  </si>
  <si>
    <t>Power of the Flying Dragon</t>
  </si>
  <si>
    <t>飛龍的庇佑</t>
  </si>
  <si>
    <t>Power of the First Lord</t>
  </si>
  <si>
    <t>初始之王的庇佑</t>
  </si>
  <si>
    <t>Power of Full Moon</t>
  </si>
  <si>
    <t>滿月的庇佑</t>
  </si>
  <si>
    <t>Power of the General</t>
  </si>
  <si>
    <t>將軍的庇佑</t>
  </si>
  <si>
    <t>The Wylder's Grief</t>
  </si>
  <si>
    <t>追蹤者的不甘</t>
  </si>
  <si>
    <t>The Guardian's Grief</t>
  </si>
  <si>
    <t>守護者的不甘</t>
  </si>
  <si>
    <t>The Ironeye's Grief</t>
  </si>
  <si>
    <t>鐵之眼的不甘</t>
  </si>
  <si>
    <t>The Duchess' Grief</t>
  </si>
  <si>
    <t>女爵的不甘</t>
  </si>
  <si>
    <t>The Raider's Grief</t>
  </si>
  <si>
    <t>無賴的不甘</t>
  </si>
  <si>
    <t>The Revenant's Grief</t>
  </si>
  <si>
    <t>復仇者的不甘</t>
  </si>
  <si>
    <t>The Recluse's Grief</t>
  </si>
  <si>
    <t>隱士的不甘</t>
  </si>
  <si>
    <t>The Executor's Grief</t>
  </si>
  <si>
    <t>執行者的不甘</t>
  </si>
  <si>
    <t>The Scholar's Grief</t>
  </si>
  <si>
    <t>學者的不甘</t>
  </si>
  <si>
    <t>The Undertaker's Grief</t>
  </si>
  <si>
    <t>送葬者的不甘</t>
  </si>
  <si>
    <t>All Resistances Up</t>
  </si>
  <si>
    <t>提升對所有異常狀態的抵抗力</t>
  </si>
  <si>
    <t>Improved Sorceries &amp; Incantations</t>
  </si>
  <si>
    <t>強化魔法、禱告</t>
  </si>
  <si>
    <t>Increased Sorcery &amp; Incantation Duration</t>
  </si>
  <si>
    <t>Successful Parries Activate Golden Retaliation</t>
  </si>
  <si>
    <t>格擋成功時，發動黃金式奉還</t>
  </si>
  <si>
    <t>Poison &amp; Rot Trigger Continuous HP Recovery</t>
  </si>
  <si>
    <t>陷入中毒、腐敗時，持續恢復ＨＰ</t>
  </si>
  <si>
    <t>Vigor</t>
  </si>
  <si>
    <t>生命力</t>
  </si>
  <si>
    <t>Mind</t>
  </si>
  <si>
    <t>集中力</t>
  </si>
  <si>
    <t>Endurance</t>
  </si>
  <si>
    <t>耐力</t>
  </si>
  <si>
    <t>Strength</t>
  </si>
  <si>
    <t>力氣</t>
  </si>
  <si>
    <t>Dexterity</t>
  </si>
  <si>
    <t>靈巧</t>
  </si>
  <si>
    <t>Intelligence</t>
  </si>
  <si>
    <t>智力</t>
  </si>
  <si>
    <t>Faith</t>
  </si>
  <si>
    <t>信仰</t>
  </si>
  <si>
    <t>Arcane</t>
  </si>
  <si>
    <t>感應</t>
  </si>
  <si>
    <t>Ultimate Art Auto Charge</t>
  </si>
  <si>
    <t>自然累積絕活量表</t>
  </si>
  <si>
    <t>Poise</t>
  </si>
  <si>
    <t>強韌度</t>
  </si>
  <si>
    <t>All Options</t>
  </si>
  <si>
    <t>全選</t>
  </si>
  <si>
    <t>compatibilityId</t>
  </si>
  <si>
    <t>attachTextId</t>
  </si>
  <si>
    <t>overrideEffectId</t>
  </si>
  <si>
    <t>relicColor</t>
  </si>
  <si>
    <t>attachEffectTableId_1</t>
  </si>
  <si>
    <t>attachEffectTableId_2</t>
  </si>
  <si>
    <t>attachEffectTableId_3</t>
  </si>
  <si>
    <t>attachEffectTableId_curse1</t>
  </si>
  <si>
    <t>attachEffectTableId_curse2</t>
  </si>
  <si>
    <t>attachEffectTableId_curse3</t>
  </si>
  <si>
    <t>attachEffectId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</si>
</sst>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  <name val="Roboto"/>
    </font>
    <font>
      <u/>
      <color rgb="FF0000FF"/>
      <name val="Roboto"/>
    </font>
    <font>
      <b/>
      <color rgb="FF000000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</fills>
  <borders count="10">
    <border/>
    <border>
      <left style="double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double">
        <color rgb="FF000000"/>
      </right>
      <top style="double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hair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right style="double">
        <color rgb="FF000000"/>
      </right>
      <top style="hair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Border="1" applyFont="1"/>
    <xf borderId="0" fillId="0" fontId="2" numFmtId="0" xfId="0" applyFont="1"/>
    <xf borderId="7" fillId="0" fontId="2" numFmtId="0" xfId="0" applyBorder="1" applyFont="1"/>
    <xf borderId="8" fillId="0" fontId="2" numFmtId="0" xfId="0" applyAlignment="1" applyBorder="1" applyFont="1">
      <alignment readingOrder="0"/>
    </xf>
    <xf borderId="9" fillId="0" fontId="2" numFmtId="0" xfId="0" applyBorder="1" applyFont="1"/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2" fontId="3" numFmtId="0" xfId="0" applyFill="1" applyFont="1"/>
    <xf borderId="0" fillId="2" fontId="3" numFmtId="0" xfId="0" applyAlignment="1" applyFont="1">
      <alignment readingOrder="0"/>
    </xf>
    <xf borderId="0" fillId="3" fontId="7" numFmtId="0" xfId="0" applyAlignment="1" applyFill="1" applyFont="1">
      <alignment horizontal="center" readingOrder="0" shrinkToFit="0" vertical="center" wrapText="0"/>
    </xf>
    <xf borderId="0" fillId="3" fontId="7" numFmtId="0" xfId="0" applyAlignment="1" applyFont="1">
      <alignment horizontal="center" readingOrder="0" vertical="center"/>
    </xf>
    <xf borderId="0" fillId="4" fontId="8" numFmtId="0" xfId="0" applyAlignment="1" applyFill="1" applyFont="1">
      <alignment readingOrder="0"/>
    </xf>
  </cellXfs>
  <cellStyles count="1">
    <cellStyle xfId="0" name="Normal" builtinId="0"/>
  </cellStyles>
  <dxfs count="9">
    <dxf>
      <font>
        <b/>
        <color rgb="FFF4CCCC"/>
      </font>
      <fill>
        <patternFill patternType="solid">
          <fgColor rgb="FFA61C00"/>
          <bgColor rgb="FFA61C00"/>
        </patternFill>
      </fill>
      <border/>
    </dxf>
    <dxf>
      <font>
        <b/>
        <color rgb="FFD9EAD3"/>
      </font>
      <fill>
        <patternFill patternType="solid">
          <fgColor rgb="FF274E13"/>
          <bgColor rgb="FF274E13"/>
        </patternFill>
      </fill>
      <border/>
    </dxf>
    <dxf>
      <font>
        <b/>
        <color rgb="FFCFE2F3"/>
      </font>
      <fill>
        <patternFill patternType="solid">
          <fgColor rgb="FF0B5394"/>
          <bgColor rgb="FF0B5394"/>
        </patternFill>
      </fill>
      <border/>
    </dxf>
    <dxf>
      <font>
        <b/>
        <color rgb="FFFFF2CC"/>
      </font>
      <fill>
        <patternFill patternType="solid">
          <fgColor rgb="FFBF9000"/>
          <bgColor rgb="FFBF9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Translation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Lists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Tables-style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Tables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Tables-style 3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Items-style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219075</xdr:rowOff>
    </xdr:from>
    <xdr:ext cx="1028700" cy="733425"/>
    <xdr:sp>
      <xdr:nvSpPr>
        <xdr:cNvPr id="3" name="Shape 3"/>
        <xdr:cNvSpPr/>
      </xdr:nvSpPr>
      <xdr:spPr>
        <a:xfrm>
          <a:off x="2610825" y="2011925"/>
          <a:ext cx="1199100" cy="845700"/>
        </a:xfrm>
        <a:prstGeom prst="chevron">
          <a:avLst>
            <a:gd fmla="val 50000" name="adj"/>
          </a:avLst>
        </a:prstGeom>
        <a:solidFill>
          <a:srgbClr val="06183A"/>
        </a:solidFill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1" displayName="Tbl_Translation" name="Tbl_Translation" id="1">
  <tableColumns count="3">
    <tableColumn name="English" id="1"/>
    <tableColumn name="繁體中文" id="2"/>
    <tableColumn name="简体中文" id="3"/>
  </tableColumns>
  <tableStyleInfo name="Translation-style" showColumnStripes="0" showFirstColumn="1" showLastColumn="1" showRowStripes="1"/>
</table>
</file>

<file path=xl/tables/table2.xml><?xml version="1.0" encoding="utf-8"?>
<table xmlns="http://schemas.openxmlformats.org/spreadsheetml/2006/main" ref="A1:A4" displayName="Lst_Language" name="Lst_Language" id="2">
  <tableColumns count="1">
    <tableColumn name="Language" id="1"/>
  </tableColumns>
  <tableStyleInfo name="Lists-style" showColumnStripes="0" showFirstColumn="1" showLastColumn="1" showRowStripes="1"/>
</table>
</file>

<file path=xl/tables/table3.xml><?xml version="1.0" encoding="utf-8"?>
<table xmlns="http://schemas.openxmlformats.org/spreadsheetml/2006/main" ref="A1:C5" displayName="ItemSource" name="ItemSource" id="3">
  <tableColumns count="3">
    <tableColumn name="Lang" id="1"/>
    <tableColumn name="Url" id="2"/>
    <tableColumn name="Title" id="3"/>
  </tableColumns>
  <tableStyleInfo name="Tables-style" showColumnStripes="0" showFirstColumn="1" showLastColumn="1" showRowStripes="1"/>
</table>
</file>

<file path=xl/tables/table4.xml><?xml version="1.0" encoding="utf-8"?>
<table xmlns="http://schemas.openxmlformats.org/spreadsheetml/2006/main" ref="E1:G5" displayName="EffectSource" name="EffectSource" id="4">
  <tableColumns count="3">
    <tableColumn name="Lang" id="1"/>
    <tableColumn name="Url" id="2"/>
    <tableColumn name="Title" id="3"/>
  </tableColumns>
  <tableStyleInfo name="Tables-style 2" showColumnStripes="0" showFirstColumn="1" showLastColumn="1" showRowStripes="1"/>
</table>
</file>

<file path=xl/tables/table5.xml><?xml version="1.0" encoding="utf-8"?>
<table xmlns="http://schemas.openxmlformats.org/spreadsheetml/2006/main" ref="I1:L5" displayName="Tbl_ColorMap" name="Tbl_ColorMap" id="5">
  <tableColumns count="4">
    <tableColumn name="ID" id="1"/>
    <tableColumn name="English" id="2"/>
    <tableColumn name="繁體中文" id="3"/>
    <tableColumn name="简体中文" id="4"/>
  </tableColumns>
  <tableStyleInfo name="Tables-style 3" showColumnStripes="0" showFirstColumn="1" showLastColumn="1" showRowStripes="1"/>
</table>
</file>

<file path=xl/tables/table6.xml><?xml version="1.0" encoding="utf-8"?>
<table xmlns="http://schemas.openxmlformats.org/spreadsheetml/2006/main" ref="A1:C2637" displayName="Items" name="Items" id="6">
  <tableColumns count="3">
    <tableColumn name="ID" id="1"/>
    <tableColumn name="English" id="2"/>
    <tableColumn name="繁體中文" id="3"/>
  </tableColumns>
  <tableStyleInfo name="Ite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ip1259/Elden-Ring-Nightreign-Legal-Relic-Generator/refs/heads/main/AttachEffectParam.csv" TargetMode="External"/><Relationship Id="rId2" Type="http://schemas.openxmlformats.org/officeDocument/2006/relationships/hyperlink" Target="https://raw.githubusercontent.com/ip1259/Elden-Ring-Nightreign-Legal-Relic-Generator/refs/heads/main/AttachEffectTableParam.csv" TargetMode="External"/><Relationship Id="rId3" Type="http://schemas.openxmlformats.org/officeDocument/2006/relationships/hyperlink" Target="https://raw.githubusercontent.com/ip1259/Elden-Ring-Nightreign-Legal-Relic-Generator/refs/heads/main/EquipParamAntique.csv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raw.githubusercontent.com/ip1259/Elden-Ring-Nightreign-Legal-Relic-Generator/refs/heads/main/en/AntiqueName.fmg.xml" TargetMode="External"/><Relationship Id="rId2" Type="http://schemas.openxmlformats.org/officeDocument/2006/relationships/hyperlink" Target="https://raw.githubusercontent.com/ip1259/Elden-Ring-Nightreign-Legal-Relic-Generator/refs/heads/main/en/AttachEffectName.fmg.xml" TargetMode="External"/><Relationship Id="rId3" Type="http://schemas.openxmlformats.org/officeDocument/2006/relationships/hyperlink" Target="https://raw.githubusercontent.com/ip1259/Elden-Ring-Nightreign-Legal-Relic-Generator/refs/heads/main/en/AntiqueName_dlc01.fmg.xml" TargetMode="External"/><Relationship Id="rId4" Type="http://schemas.openxmlformats.org/officeDocument/2006/relationships/hyperlink" Target="https://raw.githubusercontent.com/ip1259/Elden-Ring-Nightreign-Legal-Relic-Generator/refs/heads/main/en/AttachEffectName_dlc01.fmg.xml" TargetMode="External"/><Relationship Id="rId13" Type="http://schemas.openxmlformats.org/officeDocument/2006/relationships/table" Target="../tables/table3.xml"/><Relationship Id="rId9" Type="http://schemas.openxmlformats.org/officeDocument/2006/relationships/drawing" Target="../drawings/drawing5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5" Type="http://schemas.openxmlformats.org/officeDocument/2006/relationships/hyperlink" Target="https://raw.githubusercontent.com/ip1259/Elden-Ring-Nightreign-Legal-Relic-Generator/refs/heads/main/tcht/AntiqueName.fmg.xml" TargetMode="External"/><Relationship Id="rId6" Type="http://schemas.openxmlformats.org/officeDocument/2006/relationships/hyperlink" Target="https://raw.githubusercontent.com/ip1259/Elden-Ring-Nightreign-Legal-Relic-Generator/refs/heads/main/tcht/AttachEffectName.fmg.xml" TargetMode="External"/><Relationship Id="rId7" Type="http://schemas.openxmlformats.org/officeDocument/2006/relationships/hyperlink" Target="https://raw.githubusercontent.com/ip1259/Elden-Ring-Nightreign-Legal-Relic-Generator/refs/heads/main/tcht/AntiqueName_dlc01.fmg.xml" TargetMode="External"/><Relationship Id="rId8" Type="http://schemas.openxmlformats.org/officeDocument/2006/relationships/hyperlink" Target="https://raw.githubusercontent.com/ip1259/Elden-Ring-Nightreign-Legal-Relic-Generator/refs/heads/main/tcht/AttachEffectName_dlc01.fmg.xml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40.25"/>
    <col customWidth="1" min="3" max="3" width="16.0"/>
    <col customWidth="1" min="4" max="4" width="17.25"/>
    <col customWidth="1" min="5" max="5" width="9.38"/>
    <col customWidth="1" min="6" max="6" width="38.25"/>
  </cols>
  <sheetData>
    <row r="1" ht="35.25" customHeight="1">
      <c r="A1" s="1" t="str">
        <f>HLOOKUP($B$1,Tbl_Translation[#ALL],ROW()+1,false)</f>
        <v>Language</v>
      </c>
      <c r="B1" s="2" t="s">
        <v>0</v>
      </c>
      <c r="C1" s="3"/>
      <c r="D1" s="1" t="str">
        <f>HLOOKUP($B$1,Tbl_Translation[#ALL],10,false)</f>
        <v>Final Result</v>
      </c>
      <c r="E1" s="4" t="s">
        <v>1</v>
      </c>
      <c r="F1" s="5" t="str">
        <f>HLOOKUP($B$1,Tbl_Translation[#ALL],11,false)</f>
        <v>Name / Effect Description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6" t="str">
        <f>HLOOKUP($B$1,Tbl_Translation[#ALL],ROW()+1,false)</f>
        <v>Relic</v>
      </c>
      <c r="B2" s="7" t="s">
        <v>2</v>
      </c>
      <c r="D2" s="6" t="str">
        <f>HLOOKUP($B$1,Tbl_Translation[#ALL],ROW()+1,false)</f>
        <v>Relic</v>
      </c>
      <c r="E2" s="8" t="str">
        <f>SelectedRelicID</f>
        <v>102</v>
      </c>
      <c r="F2" s="7" t="str">
        <f>iferror(TRIM(mid(UI!B2,SEARCH("-",UI!B2)+2,LEN(B2))), "Empty")</f>
        <v>Grand Burning Scene (Red)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 t="str">
        <f>HLOOKUP($B$1,Tbl_Translation[#ALL],ROW()+1,false)</f>
        <v>Attach Effect 1</v>
      </c>
      <c r="B3" s="7" t="s">
        <v>3</v>
      </c>
      <c r="D3" s="6" t="str">
        <f>HLOOKUP($B$1,Tbl_Translation[#ALL],ROW()+1,false)</f>
        <v>Attach Effect 1</v>
      </c>
      <c r="E3" s="8" t="str">
        <f t="array" ref="E3:E5">SORT(Variables!B6:B8,Variables!H6:H8,true,Variables!B6:B8,true)</f>
        <v>7000000</v>
      </c>
      <c r="F3" s="7" t="str">
        <f>if(E3=EmptyID,"Empty",vlookup(VLOOKUP(value(E3),Tbl_EffectParam,GET_LANGUAGE_COL(Tbl_EffectParam,"attachTextId")),Tbl_EffectName,GET_LANGUAGE_COL(Tbl_EffectName, $B$1),false))</f>
        <v>Vigor +1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tr">
        <f>HLOOKUP($B$1,Tbl_Translation[#ALL],ROW()+1,false)</f>
        <v>Attach Effect 2</v>
      </c>
      <c r="B4" s="7" t="s">
        <v>4</v>
      </c>
      <c r="D4" s="6" t="str">
        <f>HLOOKUP($B$1,Tbl_Translation[#ALL],ROW()+1,false)</f>
        <v>Attach Effect 2</v>
      </c>
      <c r="E4" s="8" t="s">
        <v>5</v>
      </c>
      <c r="F4" s="7" t="str">
        <f>if(E4=EmptyID,"Empty",vlookup(VLOOKUP(value(E4),Tbl_EffectParam,GET_LANGUAGE_COL(Tbl_EffectParam,"attachTextId")),Tbl_EffectName,GET_LANGUAGE_COL(Tbl_EffectName, $B$1),false))</f>
        <v>Mind +1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tr">
        <f>HLOOKUP($B$1,Tbl_Translation[#ALL],ROW()+1,false)</f>
        <v>Attach Effect 3</v>
      </c>
      <c r="B5" s="7" t="s">
        <v>6</v>
      </c>
      <c r="D5" s="6" t="str">
        <f>HLOOKUP($B$1,Tbl_Translation[#ALL],ROW()+1,false)</f>
        <v>Attach Effect 3</v>
      </c>
      <c r="E5" s="8" t="s">
        <v>7</v>
      </c>
      <c r="F5" s="7" t="str">
        <f>if(E5=EmptyID,"Empty",vlookup(VLOOKUP(value(E5),Tbl_EffectParam,GET_LANGUAGE_COL(Tbl_EffectParam,"attachTextId")),Tbl_EffectName,GET_LANGUAGE_COL(Tbl_EffectName, $B$1),false))</f>
        <v>Intelligence +1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tr">
        <f>HLOOKUP($B$1,Tbl_Translation[#ALL],ROW()+1,false)</f>
        <v>Curse Effect 1</v>
      </c>
      <c r="B6" s="7" t="s">
        <v>8</v>
      </c>
      <c r="D6" s="6" t="str">
        <f>HLOOKUP($B$1,Tbl_Translation[#ALL],ROW()+1,false)</f>
        <v>Curse Effect 1</v>
      </c>
      <c r="E6" s="8">
        <f t="array" ref="E6:E8">SORT(Variables!B9:B11,Variables!H9:H11,true,Variables!B9:B11,true)</f>
        <v>4294967295</v>
      </c>
      <c r="F6" s="7" t="str">
        <f>if(E6=EmptyID,"Empty",vlookup(VLOOKUP(value(E6),Tbl_EffectParam,GET_LANGUAGE_COL(Tbl_EffectParam,"attachTextId")),Tbl_EffectName,GET_LANGUAGE_COL(Tbl_EffectName, $B$1),false))</f>
        <v>Empty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tr">
        <f>HLOOKUP($B$1,Tbl_Translation[#ALL],ROW()+1,false)</f>
        <v>Curse Effect 2</v>
      </c>
      <c r="B7" s="7" t="s">
        <v>8</v>
      </c>
      <c r="D7" s="6" t="str">
        <f>HLOOKUP($B$1,Tbl_Translation[#ALL],ROW()+1,false)</f>
        <v>Curse Effect 2</v>
      </c>
      <c r="E7" s="8">
        <v>4.294967295E9</v>
      </c>
      <c r="F7" s="7" t="str">
        <f>if(E7=EmptyID,"Empty",vlookup(VLOOKUP(value(E7),Tbl_EffectParam,GET_LANGUAGE_COL(Tbl_EffectParam,"attachTextId")),Tbl_EffectName,GET_LANGUAGE_COL(Tbl_EffectName, $B$1),false))</f>
        <v>Empty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 t="str">
        <f>HLOOKUP($B$1,Tbl_Translation[#ALL],ROW()+1,false)</f>
        <v>Curse Effect 3</v>
      </c>
      <c r="B8" s="11" t="s">
        <v>8</v>
      </c>
      <c r="D8" s="10" t="str">
        <f>HLOOKUP($B$1,Tbl_Translation[#ALL],ROW()+1,false)</f>
        <v>Curse Effect 3</v>
      </c>
      <c r="E8" s="12">
        <v>4.294967295E9</v>
      </c>
      <c r="F8" s="11" t="str">
        <f>if(E8=EmptyID,"Empty",vlookup(VLOOKUP(value(E8),Tbl_EffectParam,GET_LANGUAGE_COL(Tbl_EffectParam,"attachTextId")),Tbl_EffectName,GET_LANGUAGE_COL(Tbl_EffectName, $B$1),false))</f>
        <v>Empty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</sheetData>
  <mergeCells count="1">
    <mergeCell ref="C1:C8"/>
  </mergeCells>
  <conditionalFormatting sqref="B2 F2">
    <cfRule type="containsText" dxfId="0" priority="1" operator="containsText" text="(Red)">
      <formula>NOT(ISERROR(SEARCH(("(Red)"),(B2))))</formula>
    </cfRule>
  </conditionalFormatting>
  <conditionalFormatting sqref="B2 F2">
    <cfRule type="containsText" dxfId="1" priority="2" operator="containsText" text="(Green)">
      <formula>NOT(ISERROR(SEARCH(("(Green)"),(B2))))</formula>
    </cfRule>
  </conditionalFormatting>
  <conditionalFormatting sqref="B2 F2">
    <cfRule type="containsText" dxfId="2" priority="3" operator="containsText" text="(Blue)">
      <formula>NOT(ISERROR(SEARCH(("(Blue)"),(B2))))</formula>
    </cfRule>
  </conditionalFormatting>
  <conditionalFormatting sqref="B2 F2">
    <cfRule type="containsText" dxfId="3" priority="4" operator="containsText" text="(Yellow)">
      <formula>NOT(ISERROR(SEARCH(("(Yellow)"),(B2))))</formula>
    </cfRule>
  </conditionalFormatting>
  <dataValidations>
    <dataValidation type="list" allowBlank="1" showErrorMessage="1" sqref="B1">
      <formula1>Lst_Language[Language]</formula1>
    </dataValidation>
    <dataValidation type="list" allowBlank="1" showErrorMessage="1" sqref="B2">
      <formula1>'Dynamic Tables'!$D2:$D1000</formula1>
    </dataValidation>
    <dataValidation type="list" allowBlank="1" sqref="B7">
      <formula1>'Dynamic Tables'!$J:$J</formula1>
    </dataValidation>
    <dataValidation type="list" allowBlank="1" sqref="B3">
      <formula1>'Dynamic Tables'!$F:$F</formula1>
    </dataValidation>
    <dataValidation type="list" allowBlank="1" sqref="B4">
      <formula1>'Dynamic Tables'!$G:$G</formula1>
    </dataValidation>
    <dataValidation type="list" allowBlank="1" sqref="B8">
      <formula1>'Dynamic Tables'!$K:$K</formula1>
    </dataValidation>
    <dataValidation type="list" allowBlank="1" sqref="B5">
      <formula1>'Dynamic Tables'!$H:$H</formula1>
    </dataValidation>
    <dataValidation type="list" allowBlank="1" sqref="B6">
      <formula1>'Dynamic Tables'!$I:$I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9.38"/>
    <col customWidth="1" min="3" max="3" width="18.5"/>
  </cols>
  <sheetData>
    <row r="1" ht="22.5" customHeight="1">
      <c r="A1" s="13" t="s">
        <v>0</v>
      </c>
      <c r="B1" s="13" t="s">
        <v>9</v>
      </c>
      <c r="C1" s="14" t="s">
        <v>10</v>
      </c>
    </row>
    <row r="2" ht="22.5" customHeight="1">
      <c r="A2" s="15" t="s">
        <v>11</v>
      </c>
      <c r="B2" s="15" t="s">
        <v>12</v>
      </c>
      <c r="C2" s="16" t="s">
        <v>13</v>
      </c>
    </row>
    <row r="3" ht="22.5" customHeight="1">
      <c r="A3" s="15" t="s">
        <v>14</v>
      </c>
      <c r="B3" s="15" t="s">
        <v>15</v>
      </c>
      <c r="C3" s="16" t="s">
        <v>16</v>
      </c>
    </row>
    <row r="4" ht="22.5" customHeight="1">
      <c r="A4" s="15" t="s">
        <v>17</v>
      </c>
      <c r="B4" s="15" t="s">
        <v>18</v>
      </c>
      <c r="C4" s="16" t="s">
        <v>18</v>
      </c>
    </row>
    <row r="5" ht="22.5" customHeight="1">
      <c r="A5" s="15" t="s">
        <v>19</v>
      </c>
      <c r="B5" s="15" t="s">
        <v>20</v>
      </c>
      <c r="C5" s="16" t="s">
        <v>20</v>
      </c>
    </row>
    <row r="6" ht="22.5" customHeight="1">
      <c r="A6" s="15" t="s">
        <v>21</v>
      </c>
      <c r="B6" s="15" t="s">
        <v>22</v>
      </c>
      <c r="C6" s="16" t="s">
        <v>22</v>
      </c>
    </row>
    <row r="7" ht="22.5" customHeight="1">
      <c r="A7" s="15" t="s">
        <v>23</v>
      </c>
      <c r="B7" s="15" t="s">
        <v>24</v>
      </c>
      <c r="C7" s="16" t="s">
        <v>25</v>
      </c>
    </row>
    <row r="8" ht="22.5" customHeight="1">
      <c r="A8" s="15" t="s">
        <v>26</v>
      </c>
      <c r="B8" s="15" t="s">
        <v>27</v>
      </c>
      <c r="C8" s="16" t="s">
        <v>28</v>
      </c>
    </row>
    <row r="9" ht="22.5" customHeight="1">
      <c r="A9" s="15" t="s">
        <v>29</v>
      </c>
      <c r="B9" s="15" t="s">
        <v>30</v>
      </c>
      <c r="C9" s="16" t="s">
        <v>31</v>
      </c>
    </row>
    <row r="10" ht="22.5" customHeight="1">
      <c r="A10" s="15" t="s">
        <v>32</v>
      </c>
      <c r="B10" s="15" t="s">
        <v>33</v>
      </c>
      <c r="C10" s="16" t="s">
        <v>34</v>
      </c>
    </row>
    <row r="11" ht="22.5" customHeight="1">
      <c r="A11" s="16" t="s">
        <v>35</v>
      </c>
      <c r="B11" s="16" t="s">
        <v>36</v>
      </c>
      <c r="C11" s="16" t="s">
        <v>37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25"/>
    <col customWidth="1" min="3" max="3" width="4.5"/>
    <col customWidth="1" min="6" max="6" width="3.88"/>
  </cols>
  <sheetData>
    <row r="1">
      <c r="A1" s="17" t="s">
        <v>38</v>
      </c>
      <c r="B1" s="17">
        <v>4.294967295E9</v>
      </c>
    </row>
    <row r="2">
      <c r="A2" s="17" t="s">
        <v>39</v>
      </c>
      <c r="B2" s="18" t="s">
        <v>40</v>
      </c>
    </row>
    <row r="3">
      <c r="A3" s="17" t="s">
        <v>41</v>
      </c>
      <c r="B3" s="18" t="s">
        <v>42</v>
      </c>
    </row>
    <row r="4">
      <c r="A4" s="17" t="s">
        <v>43</v>
      </c>
      <c r="B4" s="18" t="s">
        <v>44</v>
      </c>
    </row>
    <row r="5">
      <c r="A5" s="17" t="s">
        <v>45</v>
      </c>
      <c r="B5" s="19" t="str">
        <f>iferror(TRIM(LEFT(UI!B2,SEARCH("-",UI!B2)-1)), EmptyID)</f>
        <v>102</v>
      </c>
    </row>
    <row r="6">
      <c r="A6" s="17" t="s">
        <v>46</v>
      </c>
      <c r="B6" s="19" t="str">
        <f>iferror(TRIM(LEFT(UI!B3,SEARCH("-",UI!B3)-1)), EmptyID)</f>
        <v>7000100</v>
      </c>
      <c r="D6" s="17" t="s">
        <v>47</v>
      </c>
      <c r="E6" s="19">
        <f t="array" ref="E6">if(SelectedEffect_1=EmptyID,-1,vlookup(Value(SelectedEffect_1),Tbl_EffectParam,Match("compatibilityId", chooseRows(offset(Tbl_EffectParam,-1,0),1),0),false))</f>
        <v>7000100</v>
      </c>
      <c r="G6" s="17" t="s">
        <v>48</v>
      </c>
      <c r="H6" s="19">
        <f t="array" ref="H6">if(SelectedEffect_1=EmptyID,9999999999,vlookup(Value(SelectedEffect_1),Tbl_EffectParam,Match("overrideEffectId", chooseRows(offset(Tbl_EffectParam,-1,0),1),0),false))</f>
        <v>1000</v>
      </c>
    </row>
    <row r="7">
      <c r="A7" s="17" t="s">
        <v>49</v>
      </c>
      <c r="B7" s="19" t="str">
        <f>iferror(TRIM(LEFT(UI!B4,SEARCH("-",UI!B4)-1)), EmptyID)</f>
        <v>7000000</v>
      </c>
      <c r="D7" s="17" t="s">
        <v>50</v>
      </c>
      <c r="E7" s="19">
        <f t="array" ref="E7">if(SelectedEffect_2=EmptyID,-1,vlookup(Value(SelectedEffect_2),Tbl_EffectParam,Match("compatibilityId", chooseRows(offset(Tbl_EffectParam,-1,0),1),0),false))</f>
        <v>7000000</v>
      </c>
      <c r="G7" s="17" t="s">
        <v>51</v>
      </c>
      <c r="H7" s="19">
        <f t="array" ref="H7">if(SelectedEffect_2=EmptyID,9999999999,vlookup(Value(SelectedEffect_2),Tbl_EffectParam,Match("overrideEffectId", chooseRows(offset(Tbl_EffectParam,-1,0),1),0),false))</f>
        <v>1000</v>
      </c>
    </row>
    <row r="8">
      <c r="A8" s="17" t="s">
        <v>52</v>
      </c>
      <c r="B8" s="19" t="str">
        <f>iferror(TRIM(LEFT(UI!B5,SEARCH("-",UI!B5)-1)), EmptyID)</f>
        <v>7000500</v>
      </c>
      <c r="D8" s="17" t="s">
        <v>53</v>
      </c>
      <c r="E8" s="19">
        <f t="array" ref="E8">if(SelectedEffect_3=EmptyID,-1,vlookup(Value(SelectedEffect_3),Tbl_EffectParam,Match("compatibilityId", chooseRows(offset(Tbl_EffectParam,-1,0),1),0),false))</f>
        <v>7000500</v>
      </c>
      <c r="G8" s="17" t="s">
        <v>54</v>
      </c>
      <c r="H8" s="19">
        <f t="array" ref="H8">if(SelectedEffect_3=EmptyID,9999999999,vlookup(Value(SelectedEffect_3),Tbl_EffectParam,Match("overrideEffectId", chooseRows(offset(Tbl_EffectParam,-1,0),1),0),false))</f>
        <v>1000</v>
      </c>
    </row>
    <row r="9">
      <c r="A9" s="17" t="s">
        <v>55</v>
      </c>
      <c r="B9" s="19">
        <f>iferror(TRIM(LEFT(UI!B6,SEARCH("-",UI!B6)-1)), EmptyID)</f>
        <v>4294967295</v>
      </c>
      <c r="D9" s="17" t="s">
        <v>56</v>
      </c>
      <c r="E9" s="19">
        <f t="array" ref="E9">if(SelectedCurse_1=EmptyID,-1,vlookup(Value(SelectedCurse_1),Tbl_EffectParam,Match("compatibilityId", chooseRows(offset(Tbl_EffectParam,-1,0),1),0),false))</f>
        <v>-1</v>
      </c>
      <c r="G9" s="17" t="s">
        <v>57</v>
      </c>
      <c r="H9" s="19">
        <f t="array" ref="H9">if(SelectedCurse_1=EmptyID,9999999999,vlookup(Value(SelectedCurse_1),Tbl_EffectParam,Match("overrideEffectId", chooseRows(offset(Tbl_EffectParam,-1,0),1),0),false))</f>
        <v>9999999999</v>
      </c>
    </row>
    <row r="10">
      <c r="A10" s="17" t="s">
        <v>58</v>
      </c>
      <c r="B10" s="19">
        <f>iferror(TRIM(LEFT(UI!B7,SEARCH("-",UI!B7)-1)), EmptyID)</f>
        <v>4294967295</v>
      </c>
      <c r="D10" s="17" t="s">
        <v>59</v>
      </c>
      <c r="E10" s="19">
        <f t="array" ref="E10">if(SelectedCurse_2=EmptyID,-1,vlookup(Value(SelectedCurse_2),Tbl_EffectParam,Match("compatibilityId", chooseRows(offset(Tbl_EffectParam,-1,0),1),0),false))</f>
        <v>-1</v>
      </c>
      <c r="G10" s="17" t="s">
        <v>60</v>
      </c>
      <c r="H10" s="19">
        <f t="array" ref="H10">if(SelectedCurse_2=EmptyID,9999999999,vlookup(Value(SelectedCurse_2),Tbl_EffectParam,Match("overrideEffectId", chooseRows(offset(Tbl_EffectParam,-1,0),1),0),false))</f>
        <v>9999999999</v>
      </c>
    </row>
    <row r="11">
      <c r="A11" s="17" t="s">
        <v>61</v>
      </c>
      <c r="B11" s="19">
        <f>iferror(TRIM(LEFT(UI!B8,SEARCH("-",UI!B8)-1)), EmptyID)</f>
        <v>4294967295</v>
      </c>
      <c r="D11" s="17" t="s">
        <v>62</v>
      </c>
      <c r="E11" s="19">
        <f t="array" ref="E11">if(SelectedCurse_3=EmptyID,-1,vlookup(Value(SelectedCurse_3),Tbl_EffectParam,Match("compatibilityId", chooseRows(offset(Tbl_EffectParam,-1,0),1),0),false))</f>
        <v>-1</v>
      </c>
      <c r="G11" s="17" t="s">
        <v>63</v>
      </c>
      <c r="H11" s="19">
        <f t="array" ref="H11">if(SelectedCurse_3=EmptyID,9999999999,vlookup(Value(SelectedCurse_3),Tbl_EffectParam,Match("overrideEffectId", chooseRows(offset(Tbl_EffectParam,-1,0),1),0),false))</f>
        <v>9999999999</v>
      </c>
    </row>
    <row r="12">
      <c r="A12" s="17" t="s">
        <v>64</v>
      </c>
      <c r="B12" s="19">
        <f t="array" ref="B12">iferror(vlookup(Value(SelectedRelicID),Tbl_RelicParam,Match("attachEffectTableId_1", chooseRows(offset(Tbl_RelicParam,-1,0),1),0),false),-1)</f>
        <v>300</v>
      </c>
    </row>
    <row r="13">
      <c r="A13" s="17" t="s">
        <v>65</v>
      </c>
      <c r="B13" s="19">
        <f t="array" ref="B13">iferror(vlookup(Value(SelectedRelicID),Tbl_RelicParam,Match("attachEffectTableId_2", chooseRows(offset(Tbl_RelicParam,-1,0),1),0),false),-1)</f>
        <v>200</v>
      </c>
    </row>
    <row r="14">
      <c r="A14" s="17" t="s">
        <v>66</v>
      </c>
      <c r="B14" s="19">
        <f t="array" ref="B14">iferror(vlookup(Value(SelectedRelicID),Tbl_RelicParam,Match("attachEffectTableId_3", chooseRows(offset(Tbl_RelicParam,-1,0),1),0),false),-1)</f>
        <v>100</v>
      </c>
    </row>
    <row r="15">
      <c r="A15" s="17" t="s">
        <v>67</v>
      </c>
      <c r="B15" s="19">
        <f t="array" ref="B15">iferror(vlookup(Value(SelectedRelicID),Tbl_RelicParam,Match("attachEffectTableId_curse1", chooseRows(offset(Tbl_RelicParam,-1,0),1),0),false),-1)</f>
        <v>-1</v>
      </c>
    </row>
    <row r="16">
      <c r="A16" s="17" t="s">
        <v>68</v>
      </c>
      <c r="B16" s="19">
        <f t="array" ref="B16">iferror(vlookup(Value(SelectedRelicID),Tbl_RelicParam,Match("attachEffectTableId_curse2", chooseRows(offset(Tbl_RelicParam,-1,0),1),0),false),-1)</f>
        <v>-1</v>
      </c>
    </row>
    <row r="17">
      <c r="A17" s="17" t="s">
        <v>69</v>
      </c>
      <c r="B17" s="19">
        <f t="array" ref="B17">iferror(vlookup(Value(SelectedRelicID),Tbl_RelicParam,Match("attachEffectTableId_curse3", chooseRows(offset(Tbl_RelicParam,-1,0),1),0),false),-1)</f>
        <v>-1</v>
      </c>
    </row>
  </sheetData>
  <hyperlinks>
    <hyperlink r:id="rId1" ref="B2"/>
    <hyperlink r:id="rId2" ref="B3"/>
    <hyperlink r:id="rId3" ref="B4"/>
  </hyperlinks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</cols>
  <sheetData>
    <row r="1" ht="22.5" customHeight="1">
      <c r="A1" s="13" t="s">
        <v>11</v>
      </c>
    </row>
    <row r="2" ht="22.5" customHeight="1">
      <c r="A2" s="16" t="str">
        <f t="array" ref="A2:A4">TRANSPOSE(CHOOSEROWS(Tbl_Translation[#ALL],1))</f>
        <v>English</v>
      </c>
    </row>
    <row r="3" ht="22.5" customHeight="1">
      <c r="A3" s="20" t="s">
        <v>9</v>
      </c>
    </row>
    <row r="4" ht="22.5" customHeight="1">
      <c r="A4" s="20" t="s">
        <v>10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38"/>
    <col customWidth="1" min="6" max="6" width="30.13"/>
    <col customWidth="1" min="8" max="8" width="4.0"/>
  </cols>
  <sheetData>
    <row r="1" ht="22.5" customHeight="1">
      <c r="A1" s="13" t="s">
        <v>70</v>
      </c>
      <c r="B1" s="13" t="s">
        <v>71</v>
      </c>
      <c r="C1" s="14" t="s">
        <v>72</v>
      </c>
      <c r="E1" s="13" t="s">
        <v>70</v>
      </c>
      <c r="F1" s="13" t="s">
        <v>71</v>
      </c>
      <c r="G1" s="14" t="s">
        <v>72</v>
      </c>
      <c r="I1" s="13" t="s">
        <v>1</v>
      </c>
      <c r="J1" s="13" t="s">
        <v>0</v>
      </c>
      <c r="K1" s="13" t="s">
        <v>9</v>
      </c>
      <c r="L1" s="13" t="s">
        <v>10</v>
      </c>
    </row>
    <row r="2" ht="22.5" customHeight="1">
      <c r="A2" s="15" t="s">
        <v>73</v>
      </c>
      <c r="B2" s="21" t="s">
        <v>74</v>
      </c>
      <c r="C2" s="16" t="s">
        <v>0</v>
      </c>
      <c r="E2" s="15" t="s">
        <v>73</v>
      </c>
      <c r="F2" s="22" t="s">
        <v>75</v>
      </c>
      <c r="G2" s="16" t="s">
        <v>0</v>
      </c>
      <c r="I2" s="15">
        <v>0.0</v>
      </c>
      <c r="J2" s="15" t="s">
        <v>76</v>
      </c>
      <c r="K2" s="15" t="s">
        <v>77</v>
      </c>
      <c r="L2" s="15" t="s">
        <v>78</v>
      </c>
    </row>
    <row r="3" ht="22.5" customHeight="1">
      <c r="A3" s="16" t="s">
        <v>73</v>
      </c>
      <c r="B3" s="21" t="s">
        <v>79</v>
      </c>
      <c r="C3" s="16" t="s">
        <v>0</v>
      </c>
      <c r="E3" s="16" t="s">
        <v>73</v>
      </c>
      <c r="F3" s="22" t="s">
        <v>80</v>
      </c>
      <c r="G3" s="16" t="s">
        <v>0</v>
      </c>
      <c r="I3" s="15">
        <v>1.0</v>
      </c>
      <c r="J3" s="15" t="s">
        <v>81</v>
      </c>
      <c r="K3" s="15" t="s">
        <v>82</v>
      </c>
      <c r="L3" s="15" t="s">
        <v>83</v>
      </c>
    </row>
    <row r="4" ht="22.5" customHeight="1">
      <c r="A4" s="16" t="s">
        <v>84</v>
      </c>
      <c r="B4" s="21" t="s">
        <v>85</v>
      </c>
      <c r="C4" s="16" t="s">
        <v>9</v>
      </c>
      <c r="E4" s="16" t="s">
        <v>84</v>
      </c>
      <c r="F4" s="22" t="s">
        <v>86</v>
      </c>
      <c r="G4" s="16" t="s">
        <v>9</v>
      </c>
      <c r="I4" s="15">
        <v>2.0</v>
      </c>
      <c r="J4" s="15" t="s">
        <v>87</v>
      </c>
      <c r="K4" s="15" t="s">
        <v>88</v>
      </c>
      <c r="L4" s="15" t="s">
        <v>89</v>
      </c>
    </row>
    <row r="5" ht="22.5" customHeight="1">
      <c r="A5" s="16" t="s">
        <v>84</v>
      </c>
      <c r="B5" s="21" t="s">
        <v>90</v>
      </c>
      <c r="C5" s="16" t="s">
        <v>9</v>
      </c>
      <c r="E5" s="16" t="s">
        <v>84</v>
      </c>
      <c r="F5" s="22" t="s">
        <v>91</v>
      </c>
      <c r="G5" s="16" t="s">
        <v>9</v>
      </c>
      <c r="I5" s="15">
        <v>3.0</v>
      </c>
      <c r="J5" s="15" t="s">
        <v>92</v>
      </c>
      <c r="K5" s="15" t="s">
        <v>93</v>
      </c>
      <c r="L5" s="15" t="s">
        <v>94</v>
      </c>
    </row>
  </sheetData>
  <hyperlinks>
    <hyperlink r:id="rId1" ref="B2"/>
    <hyperlink r:id="rId2" ref="F2"/>
    <hyperlink r:id="rId3" ref="B3"/>
    <hyperlink r:id="rId4" ref="F3"/>
    <hyperlink r:id="rId5" ref="B4"/>
    <hyperlink r:id="rId6" ref="F4"/>
    <hyperlink r:id="rId7" ref="B5"/>
    <hyperlink r:id="rId8" ref="F5"/>
  </hyperlinks>
  <drawing r:id="rId9"/>
  <tableParts count="3">
    <tablePart r:id="rId13"/>
    <tablePart r:id="rId14"/>
    <tablePart r:id="rId1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25"/>
    <col customWidth="1" min="4" max="4" width="23.75"/>
    <col customWidth="1" min="5" max="5" width="3.25"/>
    <col customWidth="1" min="6" max="6" width="30.0"/>
    <col customWidth="1" min="12" max="12" width="2.63"/>
    <col customWidth="1" min="19" max="19" width="3.38"/>
  </cols>
  <sheetData>
    <row r="1">
      <c r="A1" s="17" t="s">
        <v>95</v>
      </c>
      <c r="B1" s="17" t="s">
        <v>96</v>
      </c>
      <c r="C1" s="17" t="s">
        <v>97</v>
      </c>
      <c r="D1" s="17" t="s">
        <v>98</v>
      </c>
      <c r="E1" s="23"/>
      <c r="F1" s="17" t="str">
        <f>IFERROR(__xludf.DUMMYFUNCTION("if(M2&lt;&gt;""Empty"",MAP(FILTER(M2:M2000, M2:M2000 &lt;&gt; """"), LAMBDA(cur,cur&amp; ""-"" &amp; vlookup(vlookup(cur,Tbl_EffectParam,MATCH(""attachTextId"",CHOOSEROWS(offset(Tbl_EffectParam,-1,0),1),0),false),Tbl_EffectName,match(UI!$B$1,Lst_Language[Language],0)+1,false"&amp;"))),""Empty"")"),"7000000-Vigor +1")</f>
        <v>7000000-Vigor +1</v>
      </c>
      <c r="G1" s="17" t="str">
        <f>IFERROR(__xludf.DUMMYFUNCTION("if(N2&lt;&gt;""Empty"",MAP(FILTER(N2:N2000, N2:N2000 &lt;&gt; """"), LAMBDA(cur,cur&amp; ""-"" &amp; vlookup(vlookup(cur,Tbl_EffectParam,MATCH(""attachTextId"",CHOOSEROWS(offset(Tbl_EffectParam,-1,0),1),0),false),Tbl_EffectName,match(UI!$B$1,Lst_Language[Language],0)+1,false"&amp;"))),""Empty"")"),"7000000-Vigor +1")</f>
        <v>7000000-Vigor +1</v>
      </c>
      <c r="H1" s="17" t="str">
        <f>IFERROR(__xludf.DUMMYFUNCTION("if(O2&lt;&gt;""Empty"",MAP(FILTER(O2:O2000, O2:O2000 &lt;&gt; """"), LAMBDA(cur,cur&amp; ""-"" &amp; vlookup(vlookup(cur,Tbl_EffectParam,MATCH(""attachTextId"",CHOOSEROWS(offset(Tbl_EffectParam,-1,0),1),0),false),Tbl_EffectName,match(UI!$B$1,Lst_Language[Language],0)+1,false"&amp;"))),""Empty"")"),"7000200-Endurance +1")</f>
        <v>7000200-Endurance +1</v>
      </c>
      <c r="I1" s="17" t="str">
        <f>IFERROR(__xludf.DUMMYFUNCTION("if(P2&lt;&gt;""Empty"",MAP(FILTER(P2:P2000, P2:P2000 &lt;&gt; """"), LAMBDA(cur,cur&amp; ""-"" &amp; vlookup(vlookup(cur,Tbl_EffectParam,MATCH(""attachTextId"",CHOOSEROWS(offset(Tbl_EffectParam,-1,0),1),0),false),Tbl_EffectName,match(UI!$B$1,Lst_Language[Language],0)+1,false"&amp;"))),""Empty"")"),"Empty")</f>
        <v>Empty</v>
      </c>
      <c r="J1" s="17" t="str">
        <f>IFERROR(__xludf.DUMMYFUNCTION("if(Q2&lt;&gt;""Empty"",MAP(FILTER(Q2:Q2000, Q2:Q2000 &lt;&gt; """"), LAMBDA(cur,cur&amp; ""-"" &amp; vlookup(vlookup(cur,Tbl_EffectParam,MATCH(""attachTextId"",CHOOSEROWS(offset(Tbl_EffectParam,-1,0),1),0),false),Tbl_EffectName,match(UI!$B$1,Lst_Language[Language],0)+1,false"&amp;"))),""Empty"")"),"Empty")</f>
        <v>Empty</v>
      </c>
      <c r="K1" s="17" t="str">
        <f>IFERROR(__xludf.DUMMYFUNCTION("if(R2&lt;&gt;""Empty"",MAP(FILTER(R2:R2000, R2:R2000 &lt;&gt; """"), LAMBDA(cur,cur&amp; ""-"" &amp; vlookup(vlookup(cur,Tbl_EffectParam,MATCH(""attachTextId"",CHOOSEROWS(offset(Tbl_EffectParam,-1,0),1),0),false),Tbl_EffectName,match(UI!$B$1,Lst_Language[Language],0)+1,false"&amp;"))),""Empty"")"),"Empty")</f>
        <v>Empty</v>
      </c>
      <c r="L1" s="24"/>
      <c r="M1" s="17" t="s">
        <v>99</v>
      </c>
      <c r="N1" s="17" t="s">
        <v>100</v>
      </c>
      <c r="O1" s="17" t="s">
        <v>101</v>
      </c>
      <c r="P1" s="17" t="s">
        <v>102</v>
      </c>
      <c r="Q1" s="17" t="s">
        <v>103</v>
      </c>
      <c r="R1" s="17" t="s">
        <v>104</v>
      </c>
    </row>
    <row r="2">
      <c r="A2" s="19">
        <f t="array" ref="A2:A1386">CHOOSECOLS(Tbl_RelicParam,1)</f>
        <v>1</v>
      </c>
      <c r="B2" s="19" t="str">
        <f t="array" ref="B2:B41714">MAP(A2:A41714, LAMBDA(row, ifna(IF(row="", , VLOOKUP(row, Tbl_ItemName, GET_LANGUAGE_COL(Tbl_ItemName,UI!$B$1), FALSE)),"Unset")))</f>
        <v>Antique</v>
      </c>
      <c r="C2" s="19">
        <f t="array" ref="C2:C1386">CHOOSECOLS(Tbl_RelicParam,MATCH("relicColor",CHOOSEROWS(offset(Tbl_RelicParam,-1,0),1),0))</f>
        <v>0</v>
      </c>
      <c r="D2" s="19" t="str">
        <f>A2 &amp; " - " &amp; B2 &amp; " (" &amp; VLOOKUP(C2, Tbl_ColorMap[],2,false) &amp; ")"</f>
        <v>1 - Antique (Red)</v>
      </c>
      <c r="E2" s="23"/>
      <c r="F2" s="19" t="str">
        <f>IFERROR(__xludf.DUMMYFUNCTION("""COMPUTED_VALUE"""),"7000001-Vigor +2")</f>
        <v>7000001-Vigor +2</v>
      </c>
      <c r="G2" s="19" t="str">
        <f>IFERROR(__xludf.DUMMYFUNCTION("""COMPUTED_VALUE"""),"7000001-Vigor +2")</f>
        <v>7000001-Vigor +2</v>
      </c>
      <c r="H2" s="19" t="str">
        <f>IFERROR(__xludf.DUMMYFUNCTION("""COMPUTED_VALUE"""),"7000201-Endurance +2")</f>
        <v>7000201-Endurance +2</v>
      </c>
      <c r="L2" s="23"/>
      <c r="M2" s="19">
        <f>HANDLE_EMPTY_POOL(PoolId1, UNFILTERED_POOL(PoolId1))</f>
        <v>7000000</v>
      </c>
      <c r="N2" s="19">
        <f>HANDLE_EMPTY_POOL(PoolId2,SINGLE_CONFLICT_FILTER(PoolId2,SelectedEffect_1,ConfilctID1))</f>
        <v>7000000</v>
      </c>
      <c r="O2" s="19">
        <f>HANDLE_EMPTY_POOL(PoolId3, DOUBLE_CONFLICT_FILTER(PoolId3,SelectedEffect_1,SelectedEffect_2,ConfilctID1,ConflictID2))</f>
        <v>7000200</v>
      </c>
      <c r="P2" s="19" t="str">
        <f>HANDLE_EMPTY_POOL(PoolId4, UNFILTERED_POOL(PoolId4))</f>
        <v>Empty</v>
      </c>
      <c r="Q2" s="19" t="str">
        <f>HANDLE_EMPTY_POOL(PoolId5,SINGLE_CONFLICT_FILTER(PoolId5,SelectedCurse_1,ConflictID4))</f>
        <v>Empty</v>
      </c>
      <c r="R2" s="19" t="str">
        <f>HANDLE_EMPTY_POOL(PoolId6, DOUBLE_CONFLICT_FILTER(PoolId6,SelectedCurse_1,SelectedCurse_2,ConflictID4,ConflictID5))</f>
        <v>Empty</v>
      </c>
    </row>
    <row r="3">
      <c r="A3" s="19">
        <v>2.0</v>
      </c>
      <c r="B3" s="19" t="s">
        <v>105</v>
      </c>
      <c r="C3" s="19">
        <v>0.0</v>
      </c>
      <c r="D3" s="19" t="str">
        <f>A3 &amp; " - " &amp; B3 &amp; " (" &amp; VLOOKUP(C3, Tbl_ColorMap[],2,false) &amp; ")"</f>
        <v>2 - Antique (Red)</v>
      </c>
      <c r="E3" s="23"/>
      <c r="F3" s="19" t="str">
        <f>IFERROR(__xludf.DUMMYFUNCTION("""COMPUTED_VALUE"""),"7000002-Vigor +3")</f>
        <v>7000002-Vigor +3</v>
      </c>
      <c r="G3" s="19" t="str">
        <f>IFERROR(__xludf.DUMMYFUNCTION("""COMPUTED_VALUE"""),"7000002-Vigor +3")</f>
        <v>7000002-Vigor +3</v>
      </c>
      <c r="H3" s="19" t="str">
        <f>IFERROR(__xludf.DUMMYFUNCTION("""COMPUTED_VALUE"""),"7000202-Endurance +3")</f>
        <v>7000202-Endurance +3</v>
      </c>
      <c r="L3" s="23"/>
      <c r="M3" s="19">
        <v>7000001.0</v>
      </c>
      <c r="N3" s="19">
        <v>7000001.0</v>
      </c>
      <c r="O3" s="19">
        <v>7000201.0</v>
      </c>
    </row>
    <row r="4">
      <c r="A4" s="19">
        <v>3.0</v>
      </c>
      <c r="B4" s="19" t="s">
        <v>105</v>
      </c>
      <c r="C4" s="19">
        <v>0.0</v>
      </c>
      <c r="D4" s="19" t="str">
        <f>A4 &amp; " - " &amp; B4 &amp; " (" &amp; VLOOKUP(C4, Tbl_ColorMap[],2,false) &amp; ")"</f>
        <v>3 - Antique (Red)</v>
      </c>
      <c r="E4" s="23"/>
      <c r="F4" s="19" t="str">
        <f>IFERROR(__xludf.DUMMYFUNCTION("""COMPUTED_VALUE"""),"7000100-Mind +1")</f>
        <v>7000100-Mind +1</v>
      </c>
      <c r="G4" s="19" t="str">
        <f>IFERROR(__xludf.DUMMYFUNCTION("""COMPUTED_VALUE"""),"7000200-Endurance +1")</f>
        <v>7000200-Endurance +1</v>
      </c>
      <c r="H4" s="19" t="str">
        <f>IFERROR(__xludf.DUMMYFUNCTION("""COMPUTED_VALUE"""),"7000300-Strength +1")</f>
        <v>7000300-Strength +1</v>
      </c>
      <c r="L4" s="23"/>
      <c r="M4" s="19">
        <v>7000002.0</v>
      </c>
      <c r="N4" s="19">
        <v>7000002.0</v>
      </c>
      <c r="O4" s="19">
        <v>7000202.0</v>
      </c>
    </row>
    <row r="5">
      <c r="A5" s="19">
        <v>4.0</v>
      </c>
      <c r="B5" s="19" t="s">
        <v>105</v>
      </c>
      <c r="C5" s="19">
        <v>0.0</v>
      </c>
      <c r="D5" s="19" t="str">
        <f>A5 &amp; " - " &amp; B5 &amp; " (" &amp; VLOOKUP(C5, Tbl_ColorMap[],2,false) &amp; ")"</f>
        <v>4 - Antique (Red)</v>
      </c>
      <c r="E5" s="23"/>
      <c r="F5" s="19" t="str">
        <f>IFERROR(__xludf.DUMMYFUNCTION("""COMPUTED_VALUE"""),"7000101-Mind +2")</f>
        <v>7000101-Mind +2</v>
      </c>
      <c r="G5" s="19" t="str">
        <f>IFERROR(__xludf.DUMMYFUNCTION("""COMPUTED_VALUE"""),"7000201-Endurance +2")</f>
        <v>7000201-Endurance +2</v>
      </c>
      <c r="H5" s="19" t="str">
        <f>IFERROR(__xludf.DUMMYFUNCTION("""COMPUTED_VALUE"""),"7000301-Strength +2")</f>
        <v>7000301-Strength +2</v>
      </c>
      <c r="L5" s="23"/>
      <c r="M5" s="19">
        <v>7000100.0</v>
      </c>
      <c r="N5" s="19">
        <v>7000200.0</v>
      </c>
      <c r="O5" s="19">
        <v>7000300.0</v>
      </c>
    </row>
    <row r="6">
      <c r="A6" s="19">
        <v>5.0</v>
      </c>
      <c r="B6" s="19" t="s">
        <v>105</v>
      </c>
      <c r="C6" s="19">
        <v>0.0</v>
      </c>
      <c r="D6" s="19" t="str">
        <f>A6 &amp; " - " &amp; B6 &amp; " (" &amp; VLOOKUP(C6, Tbl_ColorMap[],2,false) &amp; ")"</f>
        <v>5 - Antique (Red)</v>
      </c>
      <c r="E6" s="23"/>
      <c r="F6" s="19" t="str">
        <f>IFERROR(__xludf.DUMMYFUNCTION("""COMPUTED_VALUE"""),"7000102-Mind +3")</f>
        <v>7000102-Mind +3</v>
      </c>
      <c r="G6" s="19" t="str">
        <f>IFERROR(__xludf.DUMMYFUNCTION("""COMPUTED_VALUE"""),"7000202-Endurance +3")</f>
        <v>7000202-Endurance +3</v>
      </c>
      <c r="H6" s="19" t="str">
        <f>IFERROR(__xludf.DUMMYFUNCTION("""COMPUTED_VALUE"""),"7000302-Strength +3")</f>
        <v>7000302-Strength +3</v>
      </c>
      <c r="L6" s="23"/>
      <c r="M6" s="19">
        <v>7000101.0</v>
      </c>
      <c r="N6" s="19">
        <v>7000201.0</v>
      </c>
      <c r="O6" s="19">
        <v>7000301.0</v>
      </c>
    </row>
    <row r="7">
      <c r="A7" s="19">
        <v>6.0</v>
      </c>
      <c r="B7" s="19" t="s">
        <v>105</v>
      </c>
      <c r="C7" s="19">
        <v>0.0</v>
      </c>
      <c r="D7" s="19" t="str">
        <f>A7 &amp; " - " &amp; B7 &amp; " (" &amp; VLOOKUP(C7, Tbl_ColorMap[],2,false) &amp; ")"</f>
        <v>6 - Antique (Red)</v>
      </c>
      <c r="E7" s="23"/>
      <c r="F7" s="19" t="str">
        <f>IFERROR(__xludf.DUMMYFUNCTION("""COMPUTED_VALUE"""),"7000200-Endurance +1")</f>
        <v>7000200-Endurance +1</v>
      </c>
      <c r="G7" s="19" t="str">
        <f>IFERROR(__xludf.DUMMYFUNCTION("""COMPUTED_VALUE"""),"7000300-Strength +1")</f>
        <v>7000300-Strength +1</v>
      </c>
      <c r="H7" s="19" t="str">
        <f>IFERROR(__xludf.DUMMYFUNCTION("""COMPUTED_VALUE"""),"7000400-Dexterity +1")</f>
        <v>7000400-Dexterity +1</v>
      </c>
      <c r="L7" s="23"/>
      <c r="M7" s="19">
        <v>7000102.0</v>
      </c>
      <c r="N7" s="19">
        <v>7000202.0</v>
      </c>
      <c r="O7" s="19">
        <v>7000302.0</v>
      </c>
    </row>
    <row r="8">
      <c r="A8" s="19">
        <v>10.0</v>
      </c>
      <c r="B8" s="19" t="s">
        <v>106</v>
      </c>
      <c r="C8" s="19">
        <v>0.0</v>
      </c>
      <c r="D8" s="19" t="str">
        <f>A8 &amp; " - " &amp; B8 &amp; " (" &amp; VLOOKUP(C8, Tbl_ColorMap[],2,false) &amp; ")"</f>
        <v>10 - Murk (Red)</v>
      </c>
      <c r="E8" s="23"/>
      <c r="F8" s="19" t="str">
        <f>IFERROR(__xludf.DUMMYFUNCTION("""COMPUTED_VALUE"""),"7000201-Endurance +2")</f>
        <v>7000201-Endurance +2</v>
      </c>
      <c r="G8" s="19" t="str">
        <f>IFERROR(__xludf.DUMMYFUNCTION("""COMPUTED_VALUE"""),"7000301-Strength +2")</f>
        <v>7000301-Strength +2</v>
      </c>
      <c r="H8" s="19" t="str">
        <f>IFERROR(__xludf.DUMMYFUNCTION("""COMPUTED_VALUE"""),"7000401-Dexterity +2")</f>
        <v>7000401-Dexterity +2</v>
      </c>
      <c r="L8" s="23"/>
      <c r="M8" s="19">
        <v>7000200.0</v>
      </c>
      <c r="N8" s="19">
        <v>7000300.0</v>
      </c>
      <c r="O8" s="19">
        <v>7000400.0</v>
      </c>
    </row>
    <row r="9">
      <c r="A9" s="19">
        <v>11.0</v>
      </c>
      <c r="B9" s="19" t="s">
        <v>107</v>
      </c>
      <c r="C9" s="19">
        <v>0.0</v>
      </c>
      <c r="D9" s="19" t="str">
        <f>A9 &amp; " - " &amp; B9 &amp; " (" &amp; VLOOKUP(C9, Tbl_ColorMap[],2,false) &amp; ")"</f>
        <v>11 - Sovereign Sigil (Red)</v>
      </c>
      <c r="E9" s="23"/>
      <c r="F9" s="19" t="str">
        <f>IFERROR(__xludf.DUMMYFUNCTION("""COMPUTED_VALUE"""),"7000202-Endurance +3")</f>
        <v>7000202-Endurance +3</v>
      </c>
      <c r="G9" s="19" t="str">
        <f>IFERROR(__xludf.DUMMYFUNCTION("""COMPUTED_VALUE"""),"7000302-Strength +3")</f>
        <v>7000302-Strength +3</v>
      </c>
      <c r="H9" s="19" t="str">
        <f>IFERROR(__xludf.DUMMYFUNCTION("""COMPUTED_VALUE"""),"7000402-Dexterity +3")</f>
        <v>7000402-Dexterity +3</v>
      </c>
      <c r="L9" s="23"/>
      <c r="M9" s="19">
        <v>7000201.0</v>
      </c>
      <c r="N9" s="19">
        <v>7000301.0</v>
      </c>
      <c r="O9" s="19">
        <v>7000401.0</v>
      </c>
    </row>
    <row r="10">
      <c r="A10" s="19">
        <v>20.0</v>
      </c>
      <c r="B10" s="19" t="s">
        <v>108</v>
      </c>
      <c r="C10" s="19">
        <v>0.0</v>
      </c>
      <c r="D10" s="19" t="str">
        <f>A10 &amp; " - " &amp; B10 &amp; " (" &amp; VLOOKUP(C10, Tbl_ColorMap[],2,false) &amp; ")"</f>
        <v>20 - Scenic Flatstone (Red)</v>
      </c>
      <c r="E10" s="23"/>
      <c r="F10" s="19" t="str">
        <f>IFERROR(__xludf.DUMMYFUNCTION("""COMPUTED_VALUE"""),"7000300-Strength +1")</f>
        <v>7000300-Strength +1</v>
      </c>
      <c r="G10" s="19" t="str">
        <f>IFERROR(__xludf.DUMMYFUNCTION("""COMPUTED_VALUE"""),"7000400-Dexterity +1")</f>
        <v>7000400-Dexterity +1</v>
      </c>
      <c r="H10" s="19" t="str">
        <f>IFERROR(__xludf.DUMMYFUNCTION("""COMPUTED_VALUE"""),"7000500-Intelligence +1")</f>
        <v>7000500-Intelligence +1</v>
      </c>
      <c r="L10" s="23"/>
      <c r="M10" s="19">
        <v>7000202.0</v>
      </c>
      <c r="N10" s="19">
        <v>7000302.0</v>
      </c>
      <c r="O10" s="19">
        <v>7000402.0</v>
      </c>
    </row>
    <row r="11">
      <c r="A11" s="19">
        <v>100.0</v>
      </c>
      <c r="B11" s="19" t="s">
        <v>109</v>
      </c>
      <c r="C11" s="19">
        <v>0.0</v>
      </c>
      <c r="D11" s="19" t="str">
        <f>A11 &amp; " - " &amp; B11 &amp; " (" &amp; VLOOKUP(C11, Tbl_ColorMap[],2,false) &amp; ")"</f>
        <v>100 - Delicate Burning Scene (Red)</v>
      </c>
      <c r="E11" s="23"/>
      <c r="F11" s="19" t="str">
        <f>IFERROR(__xludf.DUMMYFUNCTION("""COMPUTED_VALUE"""),"7000301-Strength +2")</f>
        <v>7000301-Strength +2</v>
      </c>
      <c r="G11" s="19" t="str">
        <f>IFERROR(__xludf.DUMMYFUNCTION("""COMPUTED_VALUE"""),"7000401-Dexterity +2")</f>
        <v>7000401-Dexterity +2</v>
      </c>
      <c r="H11" s="19" t="str">
        <f>IFERROR(__xludf.DUMMYFUNCTION("""COMPUTED_VALUE"""),"7000501-Intelligence +2")</f>
        <v>7000501-Intelligence +2</v>
      </c>
      <c r="L11" s="23"/>
      <c r="M11" s="19">
        <v>7000300.0</v>
      </c>
      <c r="N11" s="19">
        <v>7000400.0</v>
      </c>
      <c r="O11" s="19">
        <v>7000500.0</v>
      </c>
    </row>
    <row r="12">
      <c r="A12" s="19">
        <v>101.0</v>
      </c>
      <c r="B12" s="19" t="s">
        <v>110</v>
      </c>
      <c r="C12" s="19">
        <v>0.0</v>
      </c>
      <c r="D12" s="19" t="str">
        <f>A12 &amp; " - " &amp; B12 &amp; " (" &amp; VLOOKUP(C12, Tbl_ColorMap[],2,false) &amp; ")"</f>
        <v>101 - Polished Burning Scene (Red)</v>
      </c>
      <c r="E12" s="23"/>
      <c r="F12" s="19" t="str">
        <f>IFERROR(__xludf.DUMMYFUNCTION("""COMPUTED_VALUE"""),"7000302-Strength +3")</f>
        <v>7000302-Strength +3</v>
      </c>
      <c r="G12" s="19" t="str">
        <f>IFERROR(__xludf.DUMMYFUNCTION("""COMPUTED_VALUE"""),"7000402-Dexterity +3")</f>
        <v>7000402-Dexterity +3</v>
      </c>
      <c r="H12" s="19" t="str">
        <f>IFERROR(__xludf.DUMMYFUNCTION("""COMPUTED_VALUE"""),"7000502-Intelligence +3")</f>
        <v>7000502-Intelligence +3</v>
      </c>
      <c r="L12" s="23"/>
      <c r="M12" s="19">
        <v>7000301.0</v>
      </c>
      <c r="N12" s="19">
        <v>7000401.0</v>
      </c>
      <c r="O12" s="19">
        <v>7000501.0</v>
      </c>
    </row>
    <row r="13">
      <c r="A13" s="19">
        <v>102.0</v>
      </c>
      <c r="B13" s="19" t="s">
        <v>111</v>
      </c>
      <c r="C13" s="19">
        <v>0.0</v>
      </c>
      <c r="D13" s="19" t="str">
        <f>A13 &amp; " - " &amp; B13 &amp; " (" &amp; VLOOKUP(C13, Tbl_ColorMap[],2,false) &amp; ")"</f>
        <v>102 - Grand Burning Scene (Red)</v>
      </c>
      <c r="E13" s="23"/>
      <c r="F13" s="19" t="str">
        <f>IFERROR(__xludf.DUMMYFUNCTION("""COMPUTED_VALUE"""),"7000400-Dexterity +1")</f>
        <v>7000400-Dexterity +1</v>
      </c>
      <c r="G13" s="19" t="str">
        <f>IFERROR(__xludf.DUMMYFUNCTION("""COMPUTED_VALUE"""),"7000500-Intelligence +1")</f>
        <v>7000500-Intelligence +1</v>
      </c>
      <c r="H13" s="19" t="str">
        <f>IFERROR(__xludf.DUMMYFUNCTION("""COMPUTED_VALUE"""),"7000600-Faith +1")</f>
        <v>7000600-Faith +1</v>
      </c>
      <c r="L13" s="23"/>
      <c r="M13" s="19">
        <v>7000302.0</v>
      </c>
      <c r="N13" s="19">
        <v>7000402.0</v>
      </c>
      <c r="O13" s="19">
        <v>7000502.0</v>
      </c>
    </row>
    <row r="14">
      <c r="A14" s="19">
        <v>103.0</v>
      </c>
      <c r="B14" s="19" t="s">
        <v>109</v>
      </c>
      <c r="C14" s="19">
        <v>0.0</v>
      </c>
      <c r="D14" s="19" t="str">
        <f>A14 &amp; " - " &amp; B14 &amp; " (" &amp; VLOOKUP(C14, Tbl_ColorMap[],2,false) &amp; ")"</f>
        <v>103 - Delicate Burning Scene (Red)</v>
      </c>
      <c r="E14" s="23"/>
      <c r="F14" s="19" t="str">
        <f>IFERROR(__xludf.DUMMYFUNCTION("""COMPUTED_VALUE"""),"7000401-Dexterity +2")</f>
        <v>7000401-Dexterity +2</v>
      </c>
      <c r="G14" s="19" t="str">
        <f>IFERROR(__xludf.DUMMYFUNCTION("""COMPUTED_VALUE"""),"7000501-Intelligence +2")</f>
        <v>7000501-Intelligence +2</v>
      </c>
      <c r="H14" s="19" t="str">
        <f>IFERROR(__xludf.DUMMYFUNCTION("""COMPUTED_VALUE"""),"7000601-Faith +2")</f>
        <v>7000601-Faith +2</v>
      </c>
      <c r="L14" s="23"/>
      <c r="M14" s="19">
        <v>7000400.0</v>
      </c>
      <c r="N14" s="19">
        <v>7000500.0</v>
      </c>
      <c r="O14" s="19">
        <v>7000600.0</v>
      </c>
    </row>
    <row r="15">
      <c r="A15" s="19">
        <v>104.0</v>
      </c>
      <c r="B15" s="19" t="s">
        <v>110</v>
      </c>
      <c r="C15" s="19">
        <v>0.0</v>
      </c>
      <c r="D15" s="19" t="str">
        <f>A15 &amp; " - " &amp; B15 &amp; " (" &amp; VLOOKUP(C15, Tbl_ColorMap[],2,false) &amp; ")"</f>
        <v>104 - Polished Burning Scene (Red)</v>
      </c>
      <c r="E15" s="23"/>
      <c r="F15" s="19" t="str">
        <f>IFERROR(__xludf.DUMMYFUNCTION("""COMPUTED_VALUE"""),"7000402-Dexterity +3")</f>
        <v>7000402-Dexterity +3</v>
      </c>
      <c r="G15" s="19" t="str">
        <f>IFERROR(__xludf.DUMMYFUNCTION("""COMPUTED_VALUE"""),"7000502-Intelligence +3")</f>
        <v>7000502-Intelligence +3</v>
      </c>
      <c r="H15" s="19" t="str">
        <f>IFERROR(__xludf.DUMMYFUNCTION("""COMPUTED_VALUE"""),"7000602-Faith +3")</f>
        <v>7000602-Faith +3</v>
      </c>
      <c r="L15" s="23"/>
      <c r="M15" s="19">
        <v>7000401.0</v>
      </c>
      <c r="N15" s="19">
        <v>7000501.0</v>
      </c>
      <c r="O15" s="19">
        <v>7000601.0</v>
      </c>
    </row>
    <row r="16">
      <c r="A16" s="19">
        <v>105.0</v>
      </c>
      <c r="B16" s="19" t="s">
        <v>111</v>
      </c>
      <c r="C16" s="19">
        <v>0.0</v>
      </c>
      <c r="D16" s="19" t="str">
        <f>A16 &amp; " - " &amp; B16 &amp; " (" &amp; VLOOKUP(C16, Tbl_ColorMap[],2,false) &amp; ")"</f>
        <v>105 - Grand Burning Scene (Red)</v>
      </c>
      <c r="E16" s="23"/>
      <c r="F16" s="19" t="str">
        <f>IFERROR(__xludf.DUMMYFUNCTION("""COMPUTED_VALUE"""),"7000500-Intelligence +1")</f>
        <v>7000500-Intelligence +1</v>
      </c>
      <c r="G16" s="19" t="str">
        <f>IFERROR(__xludf.DUMMYFUNCTION("""COMPUTED_VALUE"""),"7000600-Faith +1")</f>
        <v>7000600-Faith +1</v>
      </c>
      <c r="H16" s="19" t="str">
        <f>IFERROR(__xludf.DUMMYFUNCTION("""COMPUTED_VALUE"""),"7000700-Arcane +1")</f>
        <v>7000700-Arcane +1</v>
      </c>
      <c r="L16" s="23"/>
      <c r="M16" s="19">
        <v>7000402.0</v>
      </c>
      <c r="N16" s="19">
        <v>7000502.0</v>
      </c>
      <c r="O16" s="19">
        <v>7000602.0</v>
      </c>
    </row>
    <row r="17">
      <c r="A17" s="19">
        <v>106.0</v>
      </c>
      <c r="B17" s="19" t="s">
        <v>109</v>
      </c>
      <c r="C17" s="19">
        <v>0.0</v>
      </c>
      <c r="D17" s="19" t="str">
        <f>A17 &amp; " - " &amp; B17 &amp; " (" &amp; VLOOKUP(C17, Tbl_ColorMap[],2,false) &amp; ")"</f>
        <v>106 - Delicate Burning Scene (Red)</v>
      </c>
      <c r="E17" s="23"/>
      <c r="F17" s="19" t="str">
        <f>IFERROR(__xludf.DUMMYFUNCTION("""COMPUTED_VALUE"""),"7000501-Intelligence +2")</f>
        <v>7000501-Intelligence +2</v>
      </c>
      <c r="G17" s="19" t="str">
        <f>IFERROR(__xludf.DUMMYFUNCTION("""COMPUTED_VALUE"""),"7000601-Faith +2")</f>
        <v>7000601-Faith +2</v>
      </c>
      <c r="H17" s="19" t="str">
        <f>IFERROR(__xludf.DUMMYFUNCTION("""COMPUTED_VALUE"""),"7000701-Arcane +2")</f>
        <v>7000701-Arcane +2</v>
      </c>
      <c r="L17" s="23"/>
      <c r="M17" s="19">
        <v>7000500.0</v>
      </c>
      <c r="N17" s="19">
        <v>7000600.0</v>
      </c>
      <c r="O17" s="19">
        <v>7000700.0</v>
      </c>
    </row>
    <row r="18">
      <c r="A18" s="19">
        <v>107.0</v>
      </c>
      <c r="B18" s="19" t="s">
        <v>110</v>
      </c>
      <c r="C18" s="19">
        <v>0.0</v>
      </c>
      <c r="D18" s="19" t="str">
        <f>A18 &amp; " - " &amp; B18 &amp; " (" &amp; VLOOKUP(C18, Tbl_ColorMap[],2,false) &amp; ")"</f>
        <v>107 - Polished Burning Scene (Red)</v>
      </c>
      <c r="E18" s="23"/>
      <c r="F18" s="19" t="str">
        <f>IFERROR(__xludf.DUMMYFUNCTION("""COMPUTED_VALUE"""),"7000502-Intelligence +3")</f>
        <v>7000502-Intelligence +3</v>
      </c>
      <c r="G18" s="19" t="str">
        <f>IFERROR(__xludf.DUMMYFUNCTION("""COMPUTED_VALUE"""),"7000602-Faith +3")</f>
        <v>7000602-Faith +3</v>
      </c>
      <c r="H18" s="19" t="str">
        <f>IFERROR(__xludf.DUMMYFUNCTION("""COMPUTED_VALUE"""),"7000702-Arcane +3")</f>
        <v>7000702-Arcane +3</v>
      </c>
      <c r="L18" s="23"/>
      <c r="M18" s="19">
        <v>7000501.0</v>
      </c>
      <c r="N18" s="19">
        <v>7000601.0</v>
      </c>
      <c r="O18" s="19">
        <v>7000701.0</v>
      </c>
    </row>
    <row r="19">
      <c r="A19" s="19">
        <v>108.0</v>
      </c>
      <c r="B19" s="19" t="s">
        <v>111</v>
      </c>
      <c r="C19" s="19">
        <v>0.0</v>
      </c>
      <c r="D19" s="19" t="str">
        <f>A19 &amp; " - " &amp; B19 &amp; " (" &amp; VLOOKUP(C19, Tbl_ColorMap[],2,false) &amp; ")"</f>
        <v>108 - Grand Burning Scene (Red)</v>
      </c>
      <c r="E19" s="23"/>
      <c r="F19" s="19" t="str">
        <f>IFERROR(__xludf.DUMMYFUNCTION("""COMPUTED_VALUE"""),"7000600-Faith +1")</f>
        <v>7000600-Faith +1</v>
      </c>
      <c r="G19" s="19" t="str">
        <f>IFERROR(__xludf.DUMMYFUNCTION("""COMPUTED_VALUE"""),"7000700-Arcane +1")</f>
        <v>7000700-Arcane +1</v>
      </c>
      <c r="H19" s="19" t="str">
        <f>IFERROR(__xludf.DUMMYFUNCTION("""COMPUTED_VALUE"""),"7000800-Character Skill Cooldown Reduction +1")</f>
        <v>7000800-Character Skill Cooldown Reduction +1</v>
      </c>
      <c r="L19" s="23"/>
      <c r="M19" s="19">
        <v>7000502.0</v>
      </c>
      <c r="N19" s="19">
        <v>7000602.0</v>
      </c>
      <c r="O19" s="19">
        <v>7000702.0</v>
      </c>
    </row>
    <row r="20">
      <c r="A20" s="19">
        <v>109.0</v>
      </c>
      <c r="B20" s="19" t="s">
        <v>112</v>
      </c>
      <c r="C20" s="19">
        <v>1.0</v>
      </c>
      <c r="D20" s="19" t="str">
        <f>A20 &amp; " - " &amp; B20 &amp; " (" &amp; VLOOKUP(C20, Tbl_ColorMap[],2,false) &amp; ")"</f>
        <v>109 - Delicate Drizzly Scene (Blue)</v>
      </c>
      <c r="E20" s="23"/>
      <c r="F20" s="19" t="str">
        <f>IFERROR(__xludf.DUMMYFUNCTION("""COMPUTED_VALUE"""),"7000601-Faith +2")</f>
        <v>7000601-Faith +2</v>
      </c>
      <c r="G20" s="19" t="str">
        <f>IFERROR(__xludf.DUMMYFUNCTION("""COMPUTED_VALUE"""),"7000701-Arcane +2")</f>
        <v>7000701-Arcane +2</v>
      </c>
      <c r="H20" s="19" t="str">
        <f>IFERROR(__xludf.DUMMYFUNCTION("""COMPUTED_VALUE"""),"7000801-Character Skill Cooldown Reduction +2")</f>
        <v>7000801-Character Skill Cooldown Reduction +2</v>
      </c>
      <c r="L20" s="23"/>
      <c r="M20" s="19">
        <v>7000600.0</v>
      </c>
      <c r="N20" s="19">
        <v>7000700.0</v>
      </c>
      <c r="O20" s="19">
        <v>7000800.0</v>
      </c>
    </row>
    <row r="21">
      <c r="A21" s="19">
        <v>110.0</v>
      </c>
      <c r="B21" s="19" t="s">
        <v>113</v>
      </c>
      <c r="C21" s="19">
        <v>1.0</v>
      </c>
      <c r="D21" s="19" t="str">
        <f>A21 &amp; " - " &amp; B21 &amp; " (" &amp; VLOOKUP(C21, Tbl_ColorMap[],2,false) &amp; ")"</f>
        <v>110 - Polished Drizzly Scene (Blue)</v>
      </c>
      <c r="E21" s="23"/>
      <c r="F21" s="19" t="str">
        <f>IFERROR(__xludf.DUMMYFUNCTION("""COMPUTED_VALUE"""),"7000602-Faith +3")</f>
        <v>7000602-Faith +3</v>
      </c>
      <c r="G21" s="19" t="str">
        <f>IFERROR(__xludf.DUMMYFUNCTION("""COMPUTED_VALUE"""),"7000702-Arcane +3")</f>
        <v>7000702-Arcane +3</v>
      </c>
      <c r="H21" s="19" t="str">
        <f>IFERROR(__xludf.DUMMYFUNCTION("""COMPUTED_VALUE"""),"7000802-Character Skill Cooldown Reduction +3")</f>
        <v>7000802-Character Skill Cooldown Reduction +3</v>
      </c>
      <c r="L21" s="23"/>
      <c r="M21" s="19">
        <v>7000601.0</v>
      </c>
      <c r="N21" s="19">
        <v>7000701.0</v>
      </c>
      <c r="O21" s="19">
        <v>7000801.0</v>
      </c>
    </row>
    <row r="22">
      <c r="A22" s="19">
        <v>111.0</v>
      </c>
      <c r="B22" s="19" t="s">
        <v>114</v>
      </c>
      <c r="C22" s="19">
        <v>1.0</v>
      </c>
      <c r="D22" s="19" t="str">
        <f>A22 &amp; " - " &amp; B22 &amp; " (" &amp; VLOOKUP(C22, Tbl_ColorMap[],2,false) &amp; ")"</f>
        <v>111 - Grand Drizzly Scene (Blue)</v>
      </c>
      <c r="E22" s="23"/>
      <c r="F22" s="19" t="str">
        <f>IFERROR(__xludf.DUMMYFUNCTION("""COMPUTED_VALUE"""),"7000700-Arcane +1")</f>
        <v>7000700-Arcane +1</v>
      </c>
      <c r="G22" s="19" t="str">
        <f>IFERROR(__xludf.DUMMYFUNCTION("""COMPUTED_VALUE"""),"7000800-Character Skill Cooldown Reduction +1")</f>
        <v>7000800-Character Skill Cooldown Reduction +1</v>
      </c>
      <c r="H22" s="19" t="str">
        <f>IFERROR(__xludf.DUMMYFUNCTION("""COMPUTED_VALUE"""),"7000900-Ultimate Art Auto Charge +1")</f>
        <v>7000900-Ultimate Art Auto Charge +1</v>
      </c>
      <c r="L22" s="23"/>
      <c r="M22" s="19">
        <v>7000602.0</v>
      </c>
      <c r="N22" s="19">
        <v>7000702.0</v>
      </c>
      <c r="O22" s="19">
        <v>7000802.0</v>
      </c>
    </row>
    <row r="23">
      <c r="A23" s="19">
        <v>112.0</v>
      </c>
      <c r="B23" s="19" t="s">
        <v>112</v>
      </c>
      <c r="C23" s="19">
        <v>1.0</v>
      </c>
      <c r="D23" s="19" t="str">
        <f>A23 &amp; " - " &amp; B23 &amp; " (" &amp; VLOOKUP(C23, Tbl_ColorMap[],2,false) &amp; ")"</f>
        <v>112 - Delicate Drizzly Scene (Blue)</v>
      </c>
      <c r="E23" s="23"/>
      <c r="F23" s="19" t="str">
        <f>IFERROR(__xludf.DUMMYFUNCTION("""COMPUTED_VALUE"""),"7000701-Arcane +2")</f>
        <v>7000701-Arcane +2</v>
      </c>
      <c r="G23" s="19" t="str">
        <f>IFERROR(__xludf.DUMMYFUNCTION("""COMPUTED_VALUE"""),"7000801-Character Skill Cooldown Reduction +2")</f>
        <v>7000801-Character Skill Cooldown Reduction +2</v>
      </c>
      <c r="H23" s="19" t="str">
        <f>IFERROR(__xludf.DUMMYFUNCTION("""COMPUTED_VALUE"""),"7000901-Ultimate Art Auto Charge +2")</f>
        <v>7000901-Ultimate Art Auto Charge +2</v>
      </c>
      <c r="L23" s="23"/>
      <c r="M23" s="19">
        <v>7000700.0</v>
      </c>
      <c r="N23" s="19">
        <v>7000800.0</v>
      </c>
      <c r="O23" s="19">
        <v>7000900.0</v>
      </c>
    </row>
    <row r="24">
      <c r="A24" s="19">
        <v>113.0</v>
      </c>
      <c r="B24" s="19" t="s">
        <v>113</v>
      </c>
      <c r="C24" s="19">
        <v>1.0</v>
      </c>
      <c r="D24" s="19" t="str">
        <f>A24 &amp; " - " &amp; B24 &amp; " (" &amp; VLOOKUP(C24, Tbl_ColorMap[],2,false) &amp; ")"</f>
        <v>113 - Polished Drizzly Scene (Blue)</v>
      </c>
      <c r="E24" s="23"/>
      <c r="F24" s="19" t="str">
        <f>IFERROR(__xludf.DUMMYFUNCTION("""COMPUTED_VALUE"""),"7000702-Arcane +3")</f>
        <v>7000702-Arcane +3</v>
      </c>
      <c r="G24" s="19" t="str">
        <f>IFERROR(__xludf.DUMMYFUNCTION("""COMPUTED_VALUE"""),"7000802-Character Skill Cooldown Reduction +3")</f>
        <v>7000802-Character Skill Cooldown Reduction +3</v>
      </c>
      <c r="H24" s="19" t="str">
        <f>IFERROR(__xludf.DUMMYFUNCTION("""COMPUTED_VALUE"""),"7000902-Ultimate Art Auto Charge +3")</f>
        <v>7000902-Ultimate Art Auto Charge +3</v>
      </c>
      <c r="L24" s="23"/>
      <c r="M24" s="19">
        <v>7000701.0</v>
      </c>
      <c r="N24" s="19">
        <v>7000801.0</v>
      </c>
      <c r="O24" s="19">
        <v>7000901.0</v>
      </c>
    </row>
    <row r="25">
      <c r="A25" s="19">
        <v>114.0</v>
      </c>
      <c r="B25" s="19" t="s">
        <v>114</v>
      </c>
      <c r="C25" s="19">
        <v>1.0</v>
      </c>
      <c r="D25" s="19" t="str">
        <f>A25 &amp; " - " &amp; B25 &amp; " (" &amp; VLOOKUP(C25, Tbl_ColorMap[],2,false) &amp; ")"</f>
        <v>114 - Grand Drizzly Scene (Blue)</v>
      </c>
      <c r="E25" s="23"/>
      <c r="F25" s="19" t="str">
        <f>IFERROR(__xludf.DUMMYFUNCTION("""COMPUTED_VALUE"""),"7000800-Character Skill Cooldown Reduction +1")</f>
        <v>7000800-Character Skill Cooldown Reduction +1</v>
      </c>
      <c r="G25" s="19" t="str">
        <f>IFERROR(__xludf.DUMMYFUNCTION("""COMPUTED_VALUE"""),"7000900-Ultimate Art Auto Charge +1")</f>
        <v>7000900-Ultimate Art Auto Charge +1</v>
      </c>
      <c r="H25" s="19" t="str">
        <f>IFERROR(__xludf.DUMMYFUNCTION("""COMPUTED_VALUE"""),"7001000-Poise +1")</f>
        <v>7001000-Poise +1</v>
      </c>
      <c r="L25" s="23"/>
      <c r="M25" s="19">
        <v>7000702.0</v>
      </c>
      <c r="N25" s="19">
        <v>7000802.0</v>
      </c>
      <c r="O25" s="19">
        <v>7000902.0</v>
      </c>
    </row>
    <row r="26">
      <c r="A26" s="19">
        <v>115.0</v>
      </c>
      <c r="B26" s="19" t="s">
        <v>112</v>
      </c>
      <c r="C26" s="19">
        <v>1.0</v>
      </c>
      <c r="D26" s="19" t="str">
        <f>A26 &amp; " - " &amp; B26 &amp; " (" &amp; VLOOKUP(C26, Tbl_ColorMap[],2,false) &amp; ")"</f>
        <v>115 - Delicate Drizzly Scene (Blue)</v>
      </c>
      <c r="E26" s="23"/>
      <c r="F26" s="19" t="str">
        <f>IFERROR(__xludf.DUMMYFUNCTION("""COMPUTED_VALUE"""),"7000801-Character Skill Cooldown Reduction +2")</f>
        <v>7000801-Character Skill Cooldown Reduction +2</v>
      </c>
      <c r="G26" s="19" t="str">
        <f>IFERROR(__xludf.DUMMYFUNCTION("""COMPUTED_VALUE"""),"7000901-Ultimate Art Auto Charge +2")</f>
        <v>7000901-Ultimate Art Auto Charge +2</v>
      </c>
      <c r="H26" s="19" t="str">
        <f>IFERROR(__xludf.DUMMYFUNCTION("""COMPUTED_VALUE"""),"7001001-Poise +2")</f>
        <v>7001001-Poise +2</v>
      </c>
      <c r="L26" s="23"/>
      <c r="M26" s="19">
        <v>7000800.0</v>
      </c>
      <c r="N26" s="19">
        <v>7000900.0</v>
      </c>
      <c r="O26" s="19">
        <v>7001000.0</v>
      </c>
    </row>
    <row r="27">
      <c r="A27" s="19">
        <v>116.0</v>
      </c>
      <c r="B27" s="19" t="s">
        <v>113</v>
      </c>
      <c r="C27" s="19">
        <v>1.0</v>
      </c>
      <c r="D27" s="19" t="str">
        <f>A27 &amp; " - " &amp; B27 &amp; " (" &amp; VLOOKUP(C27, Tbl_ColorMap[],2,false) &amp; ")"</f>
        <v>116 - Polished Drizzly Scene (Blue)</v>
      </c>
      <c r="E27" s="23"/>
      <c r="F27" s="19" t="str">
        <f>IFERROR(__xludf.DUMMYFUNCTION("""COMPUTED_VALUE"""),"7000802-Character Skill Cooldown Reduction +3")</f>
        <v>7000802-Character Skill Cooldown Reduction +3</v>
      </c>
      <c r="G27" s="19" t="str">
        <f>IFERROR(__xludf.DUMMYFUNCTION("""COMPUTED_VALUE"""),"7000902-Ultimate Art Auto Charge +3")</f>
        <v>7000902-Ultimate Art Auto Charge +3</v>
      </c>
      <c r="H27" s="19" t="str">
        <f>IFERROR(__xludf.DUMMYFUNCTION("""COMPUTED_VALUE"""),"7001002-Poise +3")</f>
        <v>7001002-Poise +3</v>
      </c>
      <c r="L27" s="23"/>
      <c r="M27" s="19">
        <v>7000801.0</v>
      </c>
      <c r="N27" s="19">
        <v>7000901.0</v>
      </c>
      <c r="O27" s="19">
        <v>7001001.0</v>
      </c>
    </row>
    <row r="28">
      <c r="A28" s="19">
        <v>117.0</v>
      </c>
      <c r="B28" s="19" t="s">
        <v>114</v>
      </c>
      <c r="C28" s="19">
        <v>1.0</v>
      </c>
      <c r="D28" s="19" t="str">
        <f>A28 &amp; " - " &amp; B28 &amp; " (" &amp; VLOOKUP(C28, Tbl_ColorMap[],2,false) &amp; ")"</f>
        <v>117 - Grand Drizzly Scene (Blue)</v>
      </c>
      <c r="E28" s="23"/>
      <c r="F28" s="19" t="str">
        <f>IFERROR(__xludf.DUMMYFUNCTION("""COMPUTED_VALUE"""),"7000900-Ultimate Art Auto Charge +1")</f>
        <v>7000900-Ultimate Art Auto Charge +1</v>
      </c>
      <c r="G28" s="19" t="str">
        <f>IFERROR(__xludf.DUMMYFUNCTION("""COMPUTED_VALUE"""),"7001000-Poise +1")</f>
        <v>7001000-Poise +1</v>
      </c>
      <c r="H28" s="19" t="str">
        <f>IFERROR(__xludf.DUMMYFUNCTION("""COMPUTED_VALUE"""),"7001400-Physical Attack Up")</f>
        <v>7001400-Physical Attack Up</v>
      </c>
      <c r="L28" s="23"/>
      <c r="M28" s="19">
        <v>7000802.0</v>
      </c>
      <c r="N28" s="19">
        <v>7000902.0</v>
      </c>
      <c r="O28" s="19">
        <v>7001002.0</v>
      </c>
    </row>
    <row r="29">
      <c r="A29" s="19">
        <v>118.0</v>
      </c>
      <c r="B29" s="19" t="s">
        <v>115</v>
      </c>
      <c r="C29" s="19">
        <v>2.0</v>
      </c>
      <c r="D29" s="19" t="str">
        <f>A29 &amp; " - " &amp; B29 &amp; " (" &amp; VLOOKUP(C29, Tbl_ColorMap[],2,false) &amp; ")"</f>
        <v>118 - Delicate Luminous Scene (Yellow)</v>
      </c>
      <c r="E29" s="23"/>
      <c r="F29" s="19" t="str">
        <f>IFERROR(__xludf.DUMMYFUNCTION("""COMPUTED_VALUE"""),"7000901-Ultimate Art Auto Charge +2")</f>
        <v>7000901-Ultimate Art Auto Charge +2</v>
      </c>
      <c r="G29" s="19" t="str">
        <f>IFERROR(__xludf.DUMMYFUNCTION("""COMPUTED_VALUE"""),"7001001-Poise +2")</f>
        <v>7001001-Poise +2</v>
      </c>
      <c r="H29" s="19" t="str">
        <f>IFERROR(__xludf.DUMMYFUNCTION("""COMPUTED_VALUE"""),"7001401-Physical Attack Up +1")</f>
        <v>7001401-Physical Attack Up +1</v>
      </c>
      <c r="L29" s="23"/>
      <c r="M29" s="19">
        <v>7000900.0</v>
      </c>
      <c r="N29" s="19">
        <v>7001000.0</v>
      </c>
      <c r="O29" s="19">
        <v>7001400.0</v>
      </c>
    </row>
    <row r="30">
      <c r="A30" s="19">
        <v>119.0</v>
      </c>
      <c r="B30" s="19" t="s">
        <v>116</v>
      </c>
      <c r="C30" s="19">
        <v>2.0</v>
      </c>
      <c r="D30" s="19" t="str">
        <f>A30 &amp; " - " &amp; B30 &amp; " (" &amp; VLOOKUP(C30, Tbl_ColorMap[],2,false) &amp; ")"</f>
        <v>119 - Polished Luminous Scene (Yellow)</v>
      </c>
      <c r="E30" s="23"/>
      <c r="F30" s="19" t="str">
        <f>IFERROR(__xludf.DUMMYFUNCTION("""COMPUTED_VALUE"""),"7000902-Ultimate Art Auto Charge +3")</f>
        <v>7000902-Ultimate Art Auto Charge +3</v>
      </c>
      <c r="G30" s="19" t="str">
        <f>IFERROR(__xludf.DUMMYFUNCTION("""COMPUTED_VALUE"""),"7001002-Poise +3")</f>
        <v>7001002-Poise +3</v>
      </c>
      <c r="H30" s="19" t="str">
        <f>IFERROR(__xludf.DUMMYFUNCTION("""COMPUTED_VALUE"""),"7001402-Physical Attack Up +2")</f>
        <v>7001402-Physical Attack Up +2</v>
      </c>
      <c r="L30" s="23"/>
      <c r="M30" s="19">
        <v>7000901.0</v>
      </c>
      <c r="N30" s="19">
        <v>7001001.0</v>
      </c>
      <c r="O30" s="19">
        <v>7001401.0</v>
      </c>
    </row>
    <row r="31">
      <c r="A31" s="19">
        <v>120.0</v>
      </c>
      <c r="B31" s="19" t="s">
        <v>117</v>
      </c>
      <c r="C31" s="19">
        <v>2.0</v>
      </c>
      <c r="D31" s="19" t="str">
        <f>A31 &amp; " - " &amp; B31 &amp; " (" &amp; VLOOKUP(C31, Tbl_ColorMap[],2,false) &amp; ")"</f>
        <v>120 - Grand Luminous Scene (Yellow)</v>
      </c>
      <c r="E31" s="23"/>
      <c r="F31" s="19" t="str">
        <f>IFERROR(__xludf.DUMMYFUNCTION("""COMPUTED_VALUE"""),"7001000-Poise +1")</f>
        <v>7001000-Poise +1</v>
      </c>
      <c r="G31" s="19" t="str">
        <f>IFERROR(__xludf.DUMMYFUNCTION("""COMPUTED_VALUE"""),"7001400-Physical Attack Up")</f>
        <v>7001400-Physical Attack Up</v>
      </c>
      <c r="H31" s="19" t="str">
        <f>IFERROR(__xludf.DUMMYFUNCTION("""COMPUTED_VALUE"""),"7001500-Magic Attack Power Up")</f>
        <v>7001500-Magic Attack Power Up</v>
      </c>
      <c r="L31" s="23"/>
      <c r="M31" s="19">
        <v>7000902.0</v>
      </c>
      <c r="N31" s="19">
        <v>7001002.0</v>
      </c>
      <c r="O31" s="19">
        <v>7001402.0</v>
      </c>
    </row>
    <row r="32">
      <c r="A32" s="19">
        <v>121.0</v>
      </c>
      <c r="B32" s="19" t="s">
        <v>115</v>
      </c>
      <c r="C32" s="19">
        <v>2.0</v>
      </c>
      <c r="D32" s="19" t="str">
        <f>A32 &amp; " - " &amp; B32 &amp; " (" &amp; VLOOKUP(C32, Tbl_ColorMap[],2,false) &amp; ")"</f>
        <v>121 - Delicate Luminous Scene (Yellow)</v>
      </c>
      <c r="E32" s="23"/>
      <c r="F32" s="19" t="str">
        <f>IFERROR(__xludf.DUMMYFUNCTION("""COMPUTED_VALUE"""),"7001001-Poise +2")</f>
        <v>7001001-Poise +2</v>
      </c>
      <c r="G32" s="19" t="str">
        <f>IFERROR(__xludf.DUMMYFUNCTION("""COMPUTED_VALUE"""),"7001401-Physical Attack Up +1")</f>
        <v>7001401-Physical Attack Up +1</v>
      </c>
      <c r="H32" s="19" t="str">
        <f>IFERROR(__xludf.DUMMYFUNCTION("""COMPUTED_VALUE"""),"7001501-Magic Attack Power Up +1")</f>
        <v>7001501-Magic Attack Power Up +1</v>
      </c>
      <c r="L32" s="23"/>
      <c r="M32" s="19">
        <v>7001000.0</v>
      </c>
      <c r="N32" s="19">
        <v>7001400.0</v>
      </c>
      <c r="O32" s="19">
        <v>7001500.0</v>
      </c>
    </row>
    <row r="33">
      <c r="A33" s="19">
        <v>122.0</v>
      </c>
      <c r="B33" s="19" t="s">
        <v>116</v>
      </c>
      <c r="C33" s="19">
        <v>2.0</v>
      </c>
      <c r="D33" s="19" t="str">
        <f>A33 &amp; " - " &amp; B33 &amp; " (" &amp; VLOOKUP(C33, Tbl_ColorMap[],2,false) &amp; ")"</f>
        <v>122 - Polished Luminous Scene (Yellow)</v>
      </c>
      <c r="E33" s="23"/>
      <c r="F33" s="19" t="str">
        <f>IFERROR(__xludf.DUMMYFUNCTION("""COMPUTED_VALUE"""),"7001002-Poise +3")</f>
        <v>7001002-Poise +3</v>
      </c>
      <c r="G33" s="19" t="str">
        <f>IFERROR(__xludf.DUMMYFUNCTION("""COMPUTED_VALUE"""),"7001402-Physical Attack Up +2")</f>
        <v>7001402-Physical Attack Up +2</v>
      </c>
      <c r="H33" s="19" t="str">
        <f>IFERROR(__xludf.DUMMYFUNCTION("""COMPUTED_VALUE"""),"7001502-Magic Attack Power Up +2")</f>
        <v>7001502-Magic Attack Power Up +2</v>
      </c>
      <c r="L33" s="23"/>
      <c r="M33" s="19">
        <v>7001001.0</v>
      </c>
      <c r="N33" s="19">
        <v>7001401.0</v>
      </c>
      <c r="O33" s="19">
        <v>7001501.0</v>
      </c>
    </row>
    <row r="34">
      <c r="A34" s="19">
        <v>123.0</v>
      </c>
      <c r="B34" s="19" t="s">
        <v>117</v>
      </c>
      <c r="C34" s="19">
        <v>2.0</v>
      </c>
      <c r="D34" s="19" t="str">
        <f>A34 &amp; " - " &amp; B34 &amp; " (" &amp; VLOOKUP(C34, Tbl_ColorMap[],2,false) &amp; ")"</f>
        <v>123 - Grand Luminous Scene (Yellow)</v>
      </c>
      <c r="E34" s="23"/>
      <c r="F34" s="19" t="str">
        <f>IFERROR(__xludf.DUMMYFUNCTION("""COMPUTED_VALUE"""),"7001400-Physical Attack Up")</f>
        <v>7001400-Physical Attack Up</v>
      </c>
      <c r="G34" s="19" t="str">
        <f>IFERROR(__xludf.DUMMYFUNCTION("""COMPUTED_VALUE"""),"7001500-Magic Attack Power Up")</f>
        <v>7001500-Magic Attack Power Up</v>
      </c>
      <c r="H34" s="19" t="str">
        <f>IFERROR(__xludf.DUMMYFUNCTION("""COMPUTED_VALUE"""),"7001600-Fire Attack Power Up")</f>
        <v>7001600-Fire Attack Power Up</v>
      </c>
      <c r="L34" s="23"/>
      <c r="M34" s="19">
        <v>7001002.0</v>
      </c>
      <c r="N34" s="19">
        <v>7001402.0</v>
      </c>
      <c r="O34" s="19">
        <v>7001502.0</v>
      </c>
    </row>
    <row r="35">
      <c r="A35" s="19">
        <v>124.0</v>
      </c>
      <c r="B35" s="19" t="s">
        <v>115</v>
      </c>
      <c r="C35" s="19">
        <v>2.0</v>
      </c>
      <c r="D35" s="19" t="str">
        <f>A35 &amp; " - " &amp; B35 &amp; " (" &amp; VLOOKUP(C35, Tbl_ColorMap[],2,false) &amp; ")"</f>
        <v>124 - Delicate Luminous Scene (Yellow)</v>
      </c>
      <c r="E35" s="23"/>
      <c r="F35" s="19" t="str">
        <f>IFERROR(__xludf.DUMMYFUNCTION("""COMPUTED_VALUE"""),"7001401-Physical Attack Up +1")</f>
        <v>7001401-Physical Attack Up +1</v>
      </c>
      <c r="G35" s="19" t="str">
        <f>IFERROR(__xludf.DUMMYFUNCTION("""COMPUTED_VALUE"""),"7001501-Magic Attack Power Up +1")</f>
        <v>7001501-Magic Attack Power Up +1</v>
      </c>
      <c r="H35" s="19" t="str">
        <f>IFERROR(__xludf.DUMMYFUNCTION("""COMPUTED_VALUE"""),"7001601-Fire Attack Power Up +1")</f>
        <v>7001601-Fire Attack Power Up +1</v>
      </c>
      <c r="L35" s="23"/>
      <c r="M35" s="19">
        <v>7001400.0</v>
      </c>
      <c r="N35" s="19">
        <v>7001500.0</v>
      </c>
      <c r="O35" s="19">
        <v>7001600.0</v>
      </c>
    </row>
    <row r="36">
      <c r="A36" s="19">
        <v>125.0</v>
      </c>
      <c r="B36" s="19" t="s">
        <v>116</v>
      </c>
      <c r="C36" s="19">
        <v>2.0</v>
      </c>
      <c r="D36" s="19" t="str">
        <f>A36 &amp; " - " &amp; B36 &amp; " (" &amp; VLOOKUP(C36, Tbl_ColorMap[],2,false) &amp; ")"</f>
        <v>125 - Polished Luminous Scene (Yellow)</v>
      </c>
      <c r="E36" s="23"/>
      <c r="F36" s="19" t="str">
        <f>IFERROR(__xludf.DUMMYFUNCTION("""COMPUTED_VALUE"""),"7001402-Physical Attack Up +2")</f>
        <v>7001402-Physical Attack Up +2</v>
      </c>
      <c r="G36" s="19" t="str">
        <f>IFERROR(__xludf.DUMMYFUNCTION("""COMPUTED_VALUE"""),"7001502-Magic Attack Power Up +2")</f>
        <v>7001502-Magic Attack Power Up +2</v>
      </c>
      <c r="H36" s="19" t="str">
        <f>IFERROR(__xludf.DUMMYFUNCTION("""COMPUTED_VALUE"""),"7001602-Fire Attack Power Up +2")</f>
        <v>7001602-Fire Attack Power Up +2</v>
      </c>
      <c r="L36" s="23"/>
      <c r="M36" s="19">
        <v>7001401.0</v>
      </c>
      <c r="N36" s="19">
        <v>7001501.0</v>
      </c>
      <c r="O36" s="19">
        <v>7001601.0</v>
      </c>
    </row>
    <row r="37">
      <c r="A37" s="19">
        <v>126.0</v>
      </c>
      <c r="B37" s="19" t="s">
        <v>117</v>
      </c>
      <c r="C37" s="19">
        <v>2.0</v>
      </c>
      <c r="D37" s="19" t="str">
        <f>A37 &amp; " - " &amp; B37 &amp; " (" &amp; VLOOKUP(C37, Tbl_ColorMap[],2,false) &amp; ")"</f>
        <v>126 - Grand Luminous Scene (Yellow)</v>
      </c>
      <c r="E37" s="23"/>
      <c r="F37" s="19" t="str">
        <f>IFERROR(__xludf.DUMMYFUNCTION("""COMPUTED_VALUE"""),"7001500-Magic Attack Power Up")</f>
        <v>7001500-Magic Attack Power Up</v>
      </c>
      <c r="G37" s="19" t="str">
        <f>IFERROR(__xludf.DUMMYFUNCTION("""COMPUTED_VALUE"""),"7001600-Fire Attack Power Up")</f>
        <v>7001600-Fire Attack Power Up</v>
      </c>
      <c r="H37" s="19" t="str">
        <f>IFERROR(__xludf.DUMMYFUNCTION("""COMPUTED_VALUE"""),"7001700-Lightning Attack Power Up")</f>
        <v>7001700-Lightning Attack Power Up</v>
      </c>
      <c r="L37" s="23"/>
      <c r="M37" s="19">
        <v>7001402.0</v>
      </c>
      <c r="N37" s="19">
        <v>7001502.0</v>
      </c>
      <c r="O37" s="19">
        <v>7001602.0</v>
      </c>
    </row>
    <row r="38">
      <c r="A38" s="19">
        <v>127.0</v>
      </c>
      <c r="B38" s="19" t="s">
        <v>118</v>
      </c>
      <c r="C38" s="19">
        <v>3.0</v>
      </c>
      <c r="D38" s="19" t="str">
        <f>A38 &amp; " - " &amp; B38 &amp; " (" &amp; VLOOKUP(C38, Tbl_ColorMap[],2,false) &amp; ")"</f>
        <v>127 - Delicate Tranquil Scene (Green)</v>
      </c>
      <c r="E38" s="23"/>
      <c r="F38" s="19" t="str">
        <f>IFERROR(__xludf.DUMMYFUNCTION("""COMPUTED_VALUE"""),"7001501-Magic Attack Power Up +1")</f>
        <v>7001501-Magic Attack Power Up +1</v>
      </c>
      <c r="G38" s="19" t="str">
        <f>IFERROR(__xludf.DUMMYFUNCTION("""COMPUTED_VALUE"""),"7001601-Fire Attack Power Up +1")</f>
        <v>7001601-Fire Attack Power Up +1</v>
      </c>
      <c r="H38" s="19" t="str">
        <f>IFERROR(__xludf.DUMMYFUNCTION("""COMPUTED_VALUE"""),"7001701-Lightning Attack Power Up +1")</f>
        <v>7001701-Lightning Attack Power Up +1</v>
      </c>
      <c r="L38" s="23"/>
      <c r="M38" s="19">
        <v>7001500.0</v>
      </c>
      <c r="N38" s="19">
        <v>7001600.0</v>
      </c>
      <c r="O38" s="19">
        <v>7001700.0</v>
      </c>
    </row>
    <row r="39">
      <c r="A39" s="19">
        <v>128.0</v>
      </c>
      <c r="B39" s="19" t="s">
        <v>119</v>
      </c>
      <c r="C39" s="19">
        <v>3.0</v>
      </c>
      <c r="D39" s="19" t="str">
        <f>A39 &amp; " - " &amp; B39 &amp; " (" &amp; VLOOKUP(C39, Tbl_ColorMap[],2,false) &amp; ")"</f>
        <v>128 - Polished Tranquil Scene (Green)</v>
      </c>
      <c r="E39" s="23"/>
      <c r="F39" s="19" t="str">
        <f>IFERROR(__xludf.DUMMYFUNCTION("""COMPUTED_VALUE"""),"7001502-Magic Attack Power Up +2")</f>
        <v>7001502-Magic Attack Power Up +2</v>
      </c>
      <c r="G39" s="19" t="str">
        <f>IFERROR(__xludf.DUMMYFUNCTION("""COMPUTED_VALUE"""),"7001602-Fire Attack Power Up +2")</f>
        <v>7001602-Fire Attack Power Up +2</v>
      </c>
      <c r="H39" s="19" t="str">
        <f>IFERROR(__xludf.DUMMYFUNCTION("""COMPUTED_VALUE"""),"7001702-Lightning Attack Power Up +2")</f>
        <v>7001702-Lightning Attack Power Up +2</v>
      </c>
      <c r="L39" s="23"/>
      <c r="M39" s="19">
        <v>7001501.0</v>
      </c>
      <c r="N39" s="19">
        <v>7001601.0</v>
      </c>
      <c r="O39" s="19">
        <v>7001701.0</v>
      </c>
    </row>
    <row r="40">
      <c r="A40" s="19">
        <v>129.0</v>
      </c>
      <c r="B40" s="19" t="s">
        <v>120</v>
      </c>
      <c r="C40" s="19">
        <v>3.0</v>
      </c>
      <c r="D40" s="19" t="str">
        <f>A40 &amp; " - " &amp; B40 &amp; " (" &amp; VLOOKUP(C40, Tbl_ColorMap[],2,false) &amp; ")"</f>
        <v>129 - Grand Tranquil Scene (Green)</v>
      </c>
      <c r="E40" s="23"/>
      <c r="F40" s="19" t="str">
        <f>IFERROR(__xludf.DUMMYFUNCTION("""COMPUTED_VALUE"""),"7001600-Fire Attack Power Up")</f>
        <v>7001600-Fire Attack Power Up</v>
      </c>
      <c r="G40" s="19" t="str">
        <f>IFERROR(__xludf.DUMMYFUNCTION("""COMPUTED_VALUE"""),"7001700-Lightning Attack Power Up")</f>
        <v>7001700-Lightning Attack Power Up</v>
      </c>
      <c r="H40" s="19" t="str">
        <f>IFERROR(__xludf.DUMMYFUNCTION("""COMPUTED_VALUE"""),"7001800-Holy Attack Power Up")</f>
        <v>7001800-Holy Attack Power Up</v>
      </c>
      <c r="L40" s="23"/>
      <c r="M40" s="19">
        <v>7001502.0</v>
      </c>
      <c r="N40" s="19">
        <v>7001602.0</v>
      </c>
      <c r="O40" s="19">
        <v>7001702.0</v>
      </c>
    </row>
    <row r="41">
      <c r="A41" s="19">
        <v>130.0</v>
      </c>
      <c r="B41" s="19" t="s">
        <v>118</v>
      </c>
      <c r="C41" s="19">
        <v>3.0</v>
      </c>
      <c r="D41" s="19" t="str">
        <f>A41 &amp; " - " &amp; B41 &amp; " (" &amp; VLOOKUP(C41, Tbl_ColorMap[],2,false) &amp; ")"</f>
        <v>130 - Delicate Tranquil Scene (Green)</v>
      </c>
      <c r="E41" s="23"/>
      <c r="F41" s="19" t="str">
        <f>IFERROR(__xludf.DUMMYFUNCTION("""COMPUTED_VALUE"""),"7001601-Fire Attack Power Up +1")</f>
        <v>7001601-Fire Attack Power Up +1</v>
      </c>
      <c r="G41" s="19" t="str">
        <f>IFERROR(__xludf.DUMMYFUNCTION("""COMPUTED_VALUE"""),"7001701-Lightning Attack Power Up +1")</f>
        <v>7001701-Lightning Attack Power Up +1</v>
      </c>
      <c r="H41" s="19" t="str">
        <f>IFERROR(__xludf.DUMMYFUNCTION("""COMPUTED_VALUE"""),"7001801-Holy Attack Power Up +1")</f>
        <v>7001801-Holy Attack Power Up +1</v>
      </c>
      <c r="L41" s="23"/>
      <c r="M41" s="19">
        <v>7001600.0</v>
      </c>
      <c r="N41" s="19">
        <v>7001700.0</v>
      </c>
      <c r="O41" s="19">
        <v>7001800.0</v>
      </c>
    </row>
    <row r="42">
      <c r="A42" s="19">
        <v>131.0</v>
      </c>
      <c r="B42" s="19" t="s">
        <v>119</v>
      </c>
      <c r="C42" s="19">
        <v>3.0</v>
      </c>
      <c r="D42" s="19" t="str">
        <f>A42 &amp; " - " &amp; B42 &amp; " (" &amp; VLOOKUP(C42, Tbl_ColorMap[],2,false) &amp; ")"</f>
        <v>131 - Polished Tranquil Scene (Green)</v>
      </c>
      <c r="E42" s="23"/>
      <c r="F42" s="19" t="str">
        <f>IFERROR(__xludf.DUMMYFUNCTION("""COMPUTED_VALUE"""),"7001602-Fire Attack Power Up +2")</f>
        <v>7001602-Fire Attack Power Up +2</v>
      </c>
      <c r="G42" s="19" t="str">
        <f>IFERROR(__xludf.DUMMYFUNCTION("""COMPUTED_VALUE"""),"7001702-Lightning Attack Power Up +2")</f>
        <v>7001702-Lightning Attack Power Up +2</v>
      </c>
      <c r="H42" s="19" t="str">
        <f>IFERROR(__xludf.DUMMYFUNCTION("""COMPUTED_VALUE"""),"7001802-Holy Attack Power Up +2")</f>
        <v>7001802-Holy Attack Power Up +2</v>
      </c>
      <c r="L42" s="23"/>
      <c r="M42" s="19">
        <v>7001601.0</v>
      </c>
      <c r="N42" s="19">
        <v>7001701.0</v>
      </c>
      <c r="O42" s="19">
        <v>7001801.0</v>
      </c>
    </row>
    <row r="43">
      <c r="A43" s="19">
        <v>132.0</v>
      </c>
      <c r="B43" s="19" t="s">
        <v>120</v>
      </c>
      <c r="C43" s="19">
        <v>3.0</v>
      </c>
      <c r="D43" s="19" t="str">
        <f>A43 &amp; " - " &amp; B43 &amp; " (" &amp; VLOOKUP(C43, Tbl_ColorMap[],2,false) &amp; ")"</f>
        <v>132 - Grand Tranquil Scene (Green)</v>
      </c>
      <c r="E43" s="23"/>
      <c r="F43" s="19" t="str">
        <f>IFERROR(__xludf.DUMMYFUNCTION("""COMPUTED_VALUE"""),"7001700-Lightning Attack Power Up")</f>
        <v>7001700-Lightning Attack Power Up</v>
      </c>
      <c r="G43" s="19" t="str">
        <f>IFERROR(__xludf.DUMMYFUNCTION("""COMPUTED_VALUE"""),"7001800-Holy Attack Power Up")</f>
        <v>7001800-Holy Attack Power Up</v>
      </c>
      <c r="H43" s="19" t="str">
        <f>IFERROR(__xludf.DUMMYFUNCTION("""COMPUTED_VALUE"""),"7002600-Magic Damage Negation Up")</f>
        <v>7002600-Magic Damage Negation Up</v>
      </c>
      <c r="L43" s="23"/>
      <c r="M43" s="19">
        <v>7001602.0</v>
      </c>
      <c r="N43" s="19">
        <v>7001702.0</v>
      </c>
      <c r="O43" s="19">
        <v>7001802.0</v>
      </c>
    </row>
    <row r="44">
      <c r="A44" s="19">
        <v>133.0</v>
      </c>
      <c r="B44" s="19" t="s">
        <v>118</v>
      </c>
      <c r="C44" s="19">
        <v>3.0</v>
      </c>
      <c r="D44" s="19" t="str">
        <f>A44 &amp; " - " &amp; B44 &amp; " (" &amp; VLOOKUP(C44, Tbl_ColorMap[],2,false) &amp; ")"</f>
        <v>133 - Delicate Tranquil Scene (Green)</v>
      </c>
      <c r="E44" s="23"/>
      <c r="F44" s="19" t="str">
        <f>IFERROR(__xludf.DUMMYFUNCTION("""COMPUTED_VALUE"""),"7001701-Lightning Attack Power Up +1")</f>
        <v>7001701-Lightning Attack Power Up +1</v>
      </c>
      <c r="G44" s="19" t="str">
        <f>IFERROR(__xludf.DUMMYFUNCTION("""COMPUTED_VALUE"""),"7001801-Holy Attack Power Up +1")</f>
        <v>7001801-Holy Attack Power Up +1</v>
      </c>
      <c r="H44" s="19" t="str">
        <f>IFERROR(__xludf.DUMMYFUNCTION("""COMPUTED_VALUE"""),"7002700-Fire Damage Negation Up")</f>
        <v>7002700-Fire Damage Negation Up</v>
      </c>
      <c r="L44" s="23"/>
      <c r="M44" s="19">
        <v>7001700.0</v>
      </c>
      <c r="N44" s="19">
        <v>7001800.0</v>
      </c>
      <c r="O44" s="19">
        <v>7002600.0</v>
      </c>
    </row>
    <row r="45">
      <c r="A45" s="19">
        <v>134.0</v>
      </c>
      <c r="B45" s="19" t="s">
        <v>119</v>
      </c>
      <c r="C45" s="19">
        <v>3.0</v>
      </c>
      <c r="D45" s="19" t="str">
        <f>A45 &amp; " - " &amp; B45 &amp; " (" &amp; VLOOKUP(C45, Tbl_ColorMap[],2,false) &amp; ")"</f>
        <v>134 - Polished Tranquil Scene (Green)</v>
      </c>
      <c r="E45" s="23"/>
      <c r="F45" s="19" t="str">
        <f>IFERROR(__xludf.DUMMYFUNCTION("""COMPUTED_VALUE"""),"7001702-Lightning Attack Power Up +2")</f>
        <v>7001702-Lightning Attack Power Up +2</v>
      </c>
      <c r="G45" s="19" t="str">
        <f>IFERROR(__xludf.DUMMYFUNCTION("""COMPUTED_VALUE"""),"7001802-Holy Attack Power Up +2")</f>
        <v>7001802-Holy Attack Power Up +2</v>
      </c>
      <c r="H45" s="19" t="str">
        <f>IFERROR(__xludf.DUMMYFUNCTION("""COMPUTED_VALUE"""),"7002800-Lightning Damage Negation Up")</f>
        <v>7002800-Lightning Damage Negation Up</v>
      </c>
      <c r="L45" s="23"/>
      <c r="M45" s="19">
        <v>7001701.0</v>
      </c>
      <c r="N45" s="19">
        <v>7001801.0</v>
      </c>
      <c r="O45" s="19">
        <v>7002700.0</v>
      </c>
    </row>
    <row r="46">
      <c r="A46" s="19">
        <v>135.0</v>
      </c>
      <c r="B46" s="19" t="s">
        <v>120</v>
      </c>
      <c r="C46" s="19">
        <v>3.0</v>
      </c>
      <c r="D46" s="19" t="str">
        <f>A46 &amp; " - " &amp; B46 &amp; " (" &amp; VLOOKUP(C46, Tbl_ColorMap[],2,false) &amp; ")"</f>
        <v>135 - Grand Tranquil Scene (Green)</v>
      </c>
      <c r="E46" s="23"/>
      <c r="F46" s="19" t="str">
        <f>IFERROR(__xludf.DUMMYFUNCTION("""COMPUTED_VALUE"""),"7001800-Holy Attack Power Up")</f>
        <v>7001800-Holy Attack Power Up</v>
      </c>
      <c r="G46" s="19" t="str">
        <f>IFERROR(__xludf.DUMMYFUNCTION("""COMPUTED_VALUE"""),"7002600-Magic Damage Negation Up")</f>
        <v>7002600-Magic Damage Negation Up</v>
      </c>
      <c r="H46" s="19" t="str">
        <f>IFERROR(__xludf.DUMMYFUNCTION("""COMPUTED_VALUE"""),"7002900-Holy Damage Negation Up")</f>
        <v>7002900-Holy Damage Negation Up</v>
      </c>
      <c r="L46" s="23"/>
      <c r="M46" s="19">
        <v>7001702.0</v>
      </c>
      <c r="N46" s="19">
        <v>7001802.0</v>
      </c>
      <c r="O46" s="19">
        <v>7002800.0</v>
      </c>
    </row>
    <row r="47">
      <c r="A47" s="19">
        <v>200.0</v>
      </c>
      <c r="B47" s="19" t="s">
        <v>109</v>
      </c>
      <c r="C47" s="19">
        <v>0.0</v>
      </c>
      <c r="D47" s="19" t="str">
        <f>A47 &amp; " - " &amp; B47 &amp; " (" &amp; VLOOKUP(C47, Tbl_ColorMap[],2,false) &amp; ")"</f>
        <v>200 - Delicate Burning Scene (Red)</v>
      </c>
      <c r="E47" s="23"/>
      <c r="F47" s="19" t="str">
        <f>IFERROR(__xludf.DUMMYFUNCTION("""COMPUTED_VALUE"""),"7001801-Holy Attack Power Up +1")</f>
        <v>7001801-Holy Attack Power Up +1</v>
      </c>
      <c r="G47" s="19" t="str">
        <f>IFERROR(__xludf.DUMMYFUNCTION("""COMPUTED_VALUE"""),"7002700-Fire Damage Negation Up")</f>
        <v>7002700-Fire Damage Negation Up</v>
      </c>
      <c r="H47" s="19" t="str">
        <f>IFERROR(__xludf.DUMMYFUNCTION("""COMPUTED_VALUE"""),"7003000-Improved Poison Resistance")</f>
        <v>7003000-Improved Poison Resistance</v>
      </c>
      <c r="L47" s="23"/>
      <c r="M47" s="19">
        <v>7001800.0</v>
      </c>
      <c r="N47" s="19">
        <v>7002600.0</v>
      </c>
      <c r="O47" s="19">
        <v>7002900.0</v>
      </c>
    </row>
    <row r="48">
      <c r="A48" s="19">
        <v>201.0</v>
      </c>
      <c r="B48" s="19" t="s">
        <v>110</v>
      </c>
      <c r="C48" s="19">
        <v>0.0</v>
      </c>
      <c r="D48" s="19" t="str">
        <f>A48 &amp; " - " &amp; B48 &amp; " (" &amp; VLOOKUP(C48, Tbl_ColorMap[],2,false) &amp; ")"</f>
        <v>201 - Polished Burning Scene (Red)</v>
      </c>
      <c r="E48" s="23"/>
      <c r="F48" s="19" t="str">
        <f>IFERROR(__xludf.DUMMYFUNCTION("""COMPUTED_VALUE"""),"7001802-Holy Attack Power Up +2")</f>
        <v>7001802-Holy Attack Power Up +2</v>
      </c>
      <c r="G48" s="19" t="str">
        <f>IFERROR(__xludf.DUMMYFUNCTION("""COMPUTED_VALUE"""),"7002800-Lightning Damage Negation Up")</f>
        <v>7002800-Lightning Damage Negation Up</v>
      </c>
      <c r="H48" s="19" t="str">
        <f>IFERROR(__xludf.DUMMYFUNCTION("""COMPUTED_VALUE"""),"7003100-Improved Blood Loss Resistance")</f>
        <v>7003100-Improved Blood Loss Resistance</v>
      </c>
      <c r="L48" s="23"/>
      <c r="M48" s="19">
        <v>7001801.0</v>
      </c>
      <c r="N48" s="19">
        <v>7002700.0</v>
      </c>
      <c r="O48" s="19">
        <v>7003000.0</v>
      </c>
    </row>
    <row r="49">
      <c r="A49" s="19">
        <v>202.0</v>
      </c>
      <c r="B49" s="19" t="s">
        <v>111</v>
      </c>
      <c r="C49" s="19">
        <v>0.0</v>
      </c>
      <c r="D49" s="19" t="str">
        <f>A49 &amp; " - " &amp; B49 &amp; " (" &amp; VLOOKUP(C49, Tbl_ColorMap[],2,false) &amp; ")"</f>
        <v>202 - Grand Burning Scene (Red)</v>
      </c>
      <c r="E49" s="23"/>
      <c r="F49" s="19" t="str">
        <f>IFERROR(__xludf.DUMMYFUNCTION("""COMPUTED_VALUE"""),"7002600-Magic Damage Negation Up")</f>
        <v>7002600-Magic Damage Negation Up</v>
      </c>
      <c r="G49" s="19" t="str">
        <f>IFERROR(__xludf.DUMMYFUNCTION("""COMPUTED_VALUE"""),"7002900-Holy Damage Negation Up")</f>
        <v>7002900-Holy Damage Negation Up</v>
      </c>
      <c r="H49" s="19" t="str">
        <f>IFERROR(__xludf.DUMMYFUNCTION("""COMPUTED_VALUE"""),"7003200-Improved Sleep Resistance")</f>
        <v>7003200-Improved Sleep Resistance</v>
      </c>
      <c r="L49" s="23"/>
      <c r="M49" s="19">
        <v>7001802.0</v>
      </c>
      <c r="N49" s="19">
        <v>7002800.0</v>
      </c>
      <c r="O49" s="19">
        <v>7003100.0</v>
      </c>
    </row>
    <row r="50">
      <c r="A50" s="19">
        <v>203.0</v>
      </c>
      <c r="B50" s="19" t="s">
        <v>109</v>
      </c>
      <c r="C50" s="19">
        <v>0.0</v>
      </c>
      <c r="D50" s="19" t="str">
        <f>A50 &amp; " - " &amp; B50 &amp; " (" &amp; VLOOKUP(C50, Tbl_ColorMap[],2,false) &amp; ")"</f>
        <v>203 - Delicate Burning Scene (Red)</v>
      </c>
      <c r="E50" s="23"/>
      <c r="F50" s="19" t="str">
        <f>IFERROR(__xludf.DUMMYFUNCTION("""COMPUTED_VALUE"""),"7002700-Fire Damage Negation Up")</f>
        <v>7002700-Fire Damage Negation Up</v>
      </c>
      <c r="G50" s="19" t="str">
        <f>IFERROR(__xludf.DUMMYFUNCTION("""COMPUTED_VALUE"""),"7003000-Improved Poison Resistance")</f>
        <v>7003000-Improved Poison Resistance</v>
      </c>
      <c r="H50" s="19" t="str">
        <f>IFERROR(__xludf.DUMMYFUNCTION("""COMPUTED_VALUE"""),"7003300-Improved Death Blight Resistance")</f>
        <v>7003300-Improved Death Blight Resistance</v>
      </c>
      <c r="L50" s="23"/>
      <c r="M50" s="19">
        <v>7002600.0</v>
      </c>
      <c r="N50" s="19">
        <v>7002900.0</v>
      </c>
      <c r="O50" s="19">
        <v>7003200.0</v>
      </c>
    </row>
    <row r="51">
      <c r="A51" s="19">
        <v>204.0</v>
      </c>
      <c r="B51" s="19" t="s">
        <v>110</v>
      </c>
      <c r="C51" s="19">
        <v>0.0</v>
      </c>
      <c r="D51" s="19" t="str">
        <f>A51 &amp; " - " &amp; B51 &amp; " (" &amp; VLOOKUP(C51, Tbl_ColorMap[],2,false) &amp; ")"</f>
        <v>204 - Polished Burning Scene (Red)</v>
      </c>
      <c r="E51" s="23"/>
      <c r="F51" s="19" t="str">
        <f>IFERROR(__xludf.DUMMYFUNCTION("""COMPUTED_VALUE"""),"7002800-Lightning Damage Negation Up")</f>
        <v>7002800-Lightning Damage Negation Up</v>
      </c>
      <c r="G51" s="19" t="str">
        <f>IFERROR(__xludf.DUMMYFUNCTION("""COMPUTED_VALUE"""),"7003100-Improved Blood Loss Resistance")</f>
        <v>7003100-Improved Blood Loss Resistance</v>
      </c>
      <c r="H51" s="19" t="str">
        <f>IFERROR(__xludf.DUMMYFUNCTION("""COMPUTED_VALUE"""),"7003400-Improved Rot Resistance")</f>
        <v>7003400-Improved Rot Resistance</v>
      </c>
      <c r="L51" s="23"/>
      <c r="M51" s="19">
        <v>7002700.0</v>
      </c>
      <c r="N51" s="19">
        <v>7003000.0</v>
      </c>
      <c r="O51" s="19">
        <v>7003300.0</v>
      </c>
    </row>
    <row r="52">
      <c r="A52" s="19">
        <v>205.0</v>
      </c>
      <c r="B52" s="19" t="s">
        <v>111</v>
      </c>
      <c r="C52" s="19">
        <v>0.0</v>
      </c>
      <c r="D52" s="19" t="str">
        <f>A52 &amp; " - " &amp; B52 &amp; " (" &amp; VLOOKUP(C52, Tbl_ColorMap[],2,false) &amp; ")"</f>
        <v>205 - Grand Burning Scene (Red)</v>
      </c>
      <c r="E52" s="23"/>
      <c r="F52" s="19" t="str">
        <f>IFERROR(__xludf.DUMMYFUNCTION("""COMPUTED_VALUE"""),"7002900-Holy Damage Negation Up")</f>
        <v>7002900-Holy Damage Negation Up</v>
      </c>
      <c r="G52" s="19" t="str">
        <f>IFERROR(__xludf.DUMMYFUNCTION("""COMPUTED_VALUE"""),"7003200-Improved Sleep Resistance")</f>
        <v>7003200-Improved Sleep Resistance</v>
      </c>
      <c r="H52" s="19" t="str">
        <f>IFERROR(__xludf.DUMMYFUNCTION("""COMPUTED_VALUE"""),"7003500-Improved Frost Resistance")</f>
        <v>7003500-Improved Frost Resistance</v>
      </c>
      <c r="L52" s="23"/>
      <c r="M52" s="19">
        <v>7002800.0</v>
      </c>
      <c r="N52" s="19">
        <v>7003100.0</v>
      </c>
      <c r="O52" s="19">
        <v>7003400.0</v>
      </c>
    </row>
    <row r="53">
      <c r="A53" s="19">
        <v>206.0</v>
      </c>
      <c r="B53" s="19" t="s">
        <v>109</v>
      </c>
      <c r="C53" s="19">
        <v>0.0</v>
      </c>
      <c r="D53" s="19" t="str">
        <f>A53 &amp; " - " &amp; B53 &amp; " (" &amp; VLOOKUP(C53, Tbl_ColorMap[],2,false) &amp; ")"</f>
        <v>206 - Delicate Burning Scene (Red)</v>
      </c>
      <c r="E53" s="23"/>
      <c r="F53" s="19" t="str">
        <f>IFERROR(__xludf.DUMMYFUNCTION("""COMPUTED_VALUE"""),"7003000-Improved Poison Resistance")</f>
        <v>7003000-Improved Poison Resistance</v>
      </c>
      <c r="G53" s="19" t="str">
        <f>IFERROR(__xludf.DUMMYFUNCTION("""COMPUTED_VALUE"""),"7003300-Improved Death Blight Resistance")</f>
        <v>7003300-Improved Death Blight Resistance</v>
      </c>
      <c r="H53" s="19" t="str">
        <f>IFERROR(__xludf.DUMMYFUNCTION("""COMPUTED_VALUE"""),"7003600-Improved Madness Resistance")</f>
        <v>7003600-Improved Madness Resistance</v>
      </c>
      <c r="L53" s="23"/>
      <c r="M53" s="19">
        <v>7002900.0</v>
      </c>
      <c r="N53" s="19">
        <v>7003200.0</v>
      </c>
      <c r="O53" s="19">
        <v>7003500.0</v>
      </c>
    </row>
    <row r="54">
      <c r="A54" s="19">
        <v>207.0</v>
      </c>
      <c r="B54" s="19" t="s">
        <v>110</v>
      </c>
      <c r="C54" s="19">
        <v>0.0</v>
      </c>
      <c r="D54" s="19" t="str">
        <f>A54 &amp; " - " &amp; B54 &amp; " (" &amp; VLOOKUP(C54, Tbl_ColorMap[],2,false) &amp; ")"</f>
        <v>207 - Polished Burning Scene (Red)</v>
      </c>
      <c r="E54" s="23"/>
      <c r="F54" s="19" t="str">
        <f>IFERROR(__xludf.DUMMYFUNCTION("""COMPUTED_VALUE"""),"7003100-Improved Blood Loss Resistance")</f>
        <v>7003100-Improved Blood Loss Resistance</v>
      </c>
      <c r="G54" s="19" t="str">
        <f>IFERROR(__xludf.DUMMYFUNCTION("""COMPUTED_VALUE"""),"7003400-Improved Rot Resistance")</f>
        <v>7003400-Improved Rot Resistance</v>
      </c>
      <c r="H54" s="19" t="str">
        <f>IFERROR(__xludf.DUMMYFUNCTION("""COMPUTED_VALUE"""),"7005600-Partial HP Restoration upon Post-Damage Attacks")</f>
        <v>7005600-Partial HP Restoration upon Post-Damage Attacks</v>
      </c>
      <c r="L54" s="23"/>
      <c r="M54" s="19">
        <v>7003000.0</v>
      </c>
      <c r="N54" s="19">
        <v>7003300.0</v>
      </c>
      <c r="O54" s="19">
        <v>7003600.0</v>
      </c>
    </row>
    <row r="55">
      <c r="A55" s="19">
        <v>208.0</v>
      </c>
      <c r="B55" s="19" t="s">
        <v>111</v>
      </c>
      <c r="C55" s="19">
        <v>0.0</v>
      </c>
      <c r="D55" s="19" t="str">
        <f>A55 &amp; " - " &amp; B55 &amp; " (" &amp; VLOOKUP(C55, Tbl_ColorMap[],2,false) &amp; ")"</f>
        <v>208 - Grand Burning Scene (Red)</v>
      </c>
      <c r="E55" s="23"/>
      <c r="F55" s="19" t="str">
        <f>IFERROR(__xludf.DUMMYFUNCTION("""COMPUTED_VALUE"""),"7003200-Improved Sleep Resistance")</f>
        <v>7003200-Improved Sleep Resistance</v>
      </c>
      <c r="G55" s="19" t="str">
        <f>IFERROR(__xludf.DUMMYFUNCTION("""COMPUTED_VALUE"""),"7003500-Improved Frost Resistance")</f>
        <v>7003500-Improved Frost Resistance</v>
      </c>
      <c r="H55" s="19" t="str">
        <f>IFERROR(__xludf.DUMMYFUNCTION("""COMPUTED_VALUE"""),"7006000-Improved Stance-Breaking when Two-Handing")</f>
        <v>7006000-Improved Stance-Breaking when Two-Handing</v>
      </c>
      <c r="L55" s="23"/>
      <c r="M55" s="19">
        <v>7003100.0</v>
      </c>
      <c r="N55" s="19">
        <v>7003400.0</v>
      </c>
      <c r="O55" s="19">
        <v>7005600.0</v>
      </c>
    </row>
    <row r="56">
      <c r="A56" s="19">
        <v>209.0</v>
      </c>
      <c r="B56" s="19" t="s">
        <v>112</v>
      </c>
      <c r="C56" s="19">
        <v>1.0</v>
      </c>
      <c r="D56" s="19" t="str">
        <f>A56 &amp; " - " &amp; B56 &amp; " (" &amp; VLOOKUP(C56, Tbl_ColorMap[],2,false) &amp; ")"</f>
        <v>209 - Delicate Drizzly Scene (Blue)</v>
      </c>
      <c r="E56" s="23"/>
      <c r="F56" s="19" t="str">
        <f>IFERROR(__xludf.DUMMYFUNCTION("""COMPUTED_VALUE"""),"7003300-Improved Death Blight Resistance")</f>
        <v>7003300-Improved Death Blight Resistance</v>
      </c>
      <c r="G56" s="19" t="str">
        <f>IFERROR(__xludf.DUMMYFUNCTION("""COMPUTED_VALUE"""),"7003600-Improved Madness Resistance")</f>
        <v>7003600-Improved Madness Resistance</v>
      </c>
      <c r="H56" s="19" t="str">
        <f>IFERROR(__xludf.DUMMYFUNCTION("""COMPUTED_VALUE"""),"7006100-Improved Stance-Breaking when Wielding Two Armaments")</f>
        <v>7006100-Improved Stance-Breaking when Wielding Two Armaments</v>
      </c>
      <c r="L56" s="23"/>
      <c r="M56" s="19">
        <v>7003200.0</v>
      </c>
      <c r="N56" s="19">
        <v>7003500.0</v>
      </c>
      <c r="O56" s="19">
        <v>7006000.0</v>
      </c>
    </row>
    <row r="57">
      <c r="A57" s="19">
        <v>210.0</v>
      </c>
      <c r="B57" s="19" t="s">
        <v>113</v>
      </c>
      <c r="C57" s="19">
        <v>1.0</v>
      </c>
      <c r="D57" s="19" t="str">
        <f>A57 &amp; " - " &amp; B57 &amp; " (" &amp; VLOOKUP(C57, Tbl_ColorMap[],2,false) &amp; ")"</f>
        <v>210 - Polished Drizzly Scene (Blue)</v>
      </c>
      <c r="E57" s="23"/>
      <c r="F57" s="19" t="str">
        <f>IFERROR(__xludf.DUMMYFUNCTION("""COMPUTED_VALUE"""),"7003400-Improved Rot Resistance")</f>
        <v>7003400-Improved Rot Resistance</v>
      </c>
      <c r="G57" s="19" t="str">
        <f>IFERROR(__xludf.DUMMYFUNCTION("""COMPUTED_VALUE"""),"7005600-Partial HP Restoration upon Post-Damage Attacks")</f>
        <v>7005600-Partial HP Restoration upon Post-Damage Attacks</v>
      </c>
      <c r="H57" s="19" t="str">
        <f>IFERROR(__xludf.DUMMYFUNCTION("""COMPUTED_VALUE"""),"7010200-Flask Also Heals Allies")</f>
        <v>7010200-Flask Also Heals Allies</v>
      </c>
      <c r="L57" s="23"/>
      <c r="M57" s="19">
        <v>7003300.0</v>
      </c>
      <c r="N57" s="19">
        <v>7003600.0</v>
      </c>
      <c r="O57" s="19">
        <v>7006100.0</v>
      </c>
    </row>
    <row r="58">
      <c r="A58" s="19">
        <v>211.0</v>
      </c>
      <c r="B58" s="19" t="s">
        <v>114</v>
      </c>
      <c r="C58" s="19">
        <v>1.0</v>
      </c>
      <c r="D58" s="19" t="str">
        <f>A58 &amp; " - " &amp; B58 &amp; " (" &amp; VLOOKUP(C58, Tbl_ColorMap[],2,false) &amp; ")"</f>
        <v>211 - Grand Drizzly Scene (Blue)</v>
      </c>
      <c r="E58" s="23"/>
      <c r="F58" s="19" t="str">
        <f>IFERROR(__xludf.DUMMYFUNCTION("""COMPUTED_VALUE"""),"7003500-Improved Frost Resistance")</f>
        <v>7003500-Improved Frost Resistance</v>
      </c>
      <c r="G58" s="19" t="str">
        <f>IFERROR(__xludf.DUMMYFUNCTION("""COMPUTED_VALUE"""),"7006000-Improved Stance-Breaking when Two-Handing")</f>
        <v>7006000-Improved Stance-Breaking when Two-Handing</v>
      </c>
      <c r="H58" s="19" t="str">
        <f>IFERROR(__xludf.DUMMYFUNCTION("""COMPUTED_VALUE"""),"7010500-[Wylder] Art activation spreads fire in area")</f>
        <v>7010500-[Wylder] Art activation spreads fire in area</v>
      </c>
      <c r="L58" s="23"/>
      <c r="M58" s="19">
        <v>7003400.0</v>
      </c>
      <c r="N58" s="19">
        <v>7005600.0</v>
      </c>
      <c r="O58" s="19">
        <v>7010200.0</v>
      </c>
    </row>
    <row r="59">
      <c r="A59" s="19">
        <v>212.0</v>
      </c>
      <c r="B59" s="19" t="s">
        <v>112</v>
      </c>
      <c r="C59" s="19">
        <v>1.0</v>
      </c>
      <c r="D59" s="19" t="str">
        <f>A59 &amp; " - " &amp; B59 &amp; " (" &amp; VLOOKUP(C59, Tbl_ColorMap[],2,false) &amp; ")"</f>
        <v>212 - Delicate Drizzly Scene (Blue)</v>
      </c>
      <c r="E59" s="23"/>
      <c r="F59" s="19" t="str">
        <f>IFERROR(__xludf.DUMMYFUNCTION("""COMPUTED_VALUE"""),"7003600-Improved Madness Resistance")</f>
        <v>7003600-Improved Madness Resistance</v>
      </c>
      <c r="G59" s="19" t="str">
        <f>IFERROR(__xludf.DUMMYFUNCTION("""COMPUTED_VALUE"""),"7006100-Improved Stance-Breaking when Wielding Two Armaments")</f>
        <v>7006100-Improved Stance-Breaking when Wielding Two Armaments</v>
      </c>
      <c r="H59" s="19" t="str">
        <f>IFERROR(__xludf.DUMMYFUNCTION("""COMPUTED_VALUE"""),"7010700-[Duchess] Successive dagger attack reprises event upon
nearby enemies")</f>
        <v>7010700-[Duchess] Successive dagger attack reprises event upon
nearby enemies</v>
      </c>
      <c r="L59" s="23"/>
      <c r="M59" s="19">
        <v>7003500.0</v>
      </c>
      <c r="N59" s="19">
        <v>7006000.0</v>
      </c>
      <c r="O59" s="19">
        <v>7010500.0</v>
      </c>
    </row>
    <row r="60">
      <c r="A60" s="19">
        <v>213.0</v>
      </c>
      <c r="B60" s="19" t="s">
        <v>113</v>
      </c>
      <c r="C60" s="19">
        <v>1.0</v>
      </c>
      <c r="D60" s="19" t="str">
        <f>A60 &amp; " - " &amp; B60 &amp; " (" &amp; VLOOKUP(C60, Tbl_ColorMap[],2,false) &amp; ")"</f>
        <v>213 - Polished Drizzly Scene (Blue)</v>
      </c>
      <c r="E60" s="23"/>
      <c r="F60" s="19" t="str">
        <f>IFERROR(__xludf.DUMMYFUNCTION("""COMPUTED_VALUE"""),"7005600-Partial HP Restoration upon Post-Damage Attacks")</f>
        <v>7005600-Partial HP Restoration upon Post-Damage Attacks</v>
      </c>
      <c r="G60" s="19" t="str">
        <f>IFERROR(__xludf.DUMMYFUNCTION("""COMPUTED_VALUE"""),"7010200-Flask Also Heals Allies")</f>
        <v>7010200-Flask Also Heals Allies</v>
      </c>
      <c r="H60" s="19" t="str">
        <f>IFERROR(__xludf.DUMMYFUNCTION("""COMPUTED_VALUE"""),"7010900-[Revenant] Expend own HP to fully heal nearby allies
when activating Art")</f>
        <v>7010900-[Revenant] Expend own HP to fully heal nearby allies
when activating Art</v>
      </c>
      <c r="L60" s="23"/>
      <c r="M60" s="19">
        <v>7003600.0</v>
      </c>
      <c r="N60" s="19">
        <v>7006100.0</v>
      </c>
      <c r="O60" s="19">
        <v>7010700.0</v>
      </c>
    </row>
    <row r="61">
      <c r="A61" s="19">
        <v>214.0</v>
      </c>
      <c r="B61" s="19" t="s">
        <v>114</v>
      </c>
      <c r="C61" s="19">
        <v>1.0</v>
      </c>
      <c r="D61" s="19" t="str">
        <f>A61 &amp; " - " &amp; B61 &amp; " (" &amp; VLOOKUP(C61, Tbl_ColorMap[],2,false) &amp; ")"</f>
        <v>214 - Grand Drizzly Scene (Blue)</v>
      </c>
      <c r="E61" s="23"/>
      <c r="F61" s="19" t="str">
        <f>IFERROR(__xludf.DUMMYFUNCTION("""COMPUTED_VALUE"""),"7006000-Improved Stance-Breaking when Two-Handing")</f>
        <v>7006000-Improved Stance-Breaking when Two-Handing</v>
      </c>
      <c r="G61" s="19" t="str">
        <f>IFERROR(__xludf.DUMMYFUNCTION("""COMPUTED_VALUE"""),"7010500-[Wylder] Art activation spreads fire in area")</f>
        <v>7010500-[Wylder] Art activation spreads fire in area</v>
      </c>
      <c r="H61" s="19" t="str">
        <f>IFERROR(__xludf.DUMMYFUNCTION("""COMPUTED_VALUE"""),"7011000-[Guardian] Increased duration for Character Skill")</f>
        <v>7011000-[Guardian] Increased duration for Character Skill</v>
      </c>
      <c r="L61" s="23"/>
      <c r="M61" s="19">
        <v>7005600.0</v>
      </c>
      <c r="N61" s="19">
        <v>7010200.0</v>
      </c>
      <c r="O61" s="19">
        <v>7010900.0</v>
      </c>
    </row>
    <row r="62">
      <c r="A62" s="19">
        <v>215.0</v>
      </c>
      <c r="B62" s="19" t="s">
        <v>112</v>
      </c>
      <c r="C62" s="19">
        <v>1.0</v>
      </c>
      <c r="D62" s="19" t="str">
        <f>A62 &amp; " - " &amp; B62 &amp; " (" &amp; VLOOKUP(C62, Tbl_ColorMap[],2,false) &amp; ")"</f>
        <v>215 - Delicate Drizzly Scene (Blue)</v>
      </c>
      <c r="E62" s="23"/>
      <c r="F62" s="19" t="str">
        <f>IFERROR(__xludf.DUMMYFUNCTION("""COMPUTED_VALUE"""),"7006100-Improved Stance-Breaking when Wielding Two Armaments")</f>
        <v>7006100-Improved Stance-Breaking when Wielding Two Armaments</v>
      </c>
      <c r="G62" s="19" t="str">
        <f>IFERROR(__xludf.DUMMYFUNCTION("""COMPUTED_VALUE"""),"7010700-[Duchess] Successive dagger attack reprises event upon
nearby enemies")</f>
        <v>7010700-[Duchess] Successive dagger attack reprises event upon
nearby enemies</v>
      </c>
      <c r="H62" s="19" t="str">
        <f>IFERROR(__xludf.DUMMYFUNCTION("""COMPUTED_VALUE"""),"7011200-[Revenant] Trigger ghostflame explosion during
Ultimate Art activation")</f>
        <v>7011200-[Revenant] Trigger ghostflame explosion during
Ultimate Art activation</v>
      </c>
      <c r="L62" s="23"/>
      <c r="M62" s="19">
        <v>7006000.0</v>
      </c>
      <c r="N62" s="19">
        <v>7010500.0</v>
      </c>
      <c r="O62" s="19">
        <v>7011000.0</v>
      </c>
    </row>
    <row r="63">
      <c r="A63" s="19">
        <v>216.0</v>
      </c>
      <c r="B63" s="19" t="s">
        <v>113</v>
      </c>
      <c r="C63" s="19">
        <v>1.0</v>
      </c>
      <c r="D63" s="19" t="str">
        <f>A63 &amp; " - " &amp; B63 &amp; " (" &amp; VLOOKUP(C63, Tbl_ColorMap[],2,false) &amp; ")"</f>
        <v>216 - Polished Drizzly Scene (Blue)</v>
      </c>
      <c r="E63" s="23"/>
      <c r="F63" s="19" t="str">
        <f>IFERROR(__xludf.DUMMYFUNCTION("""COMPUTED_VALUE"""),"7010200-Flask Also Heals Allies")</f>
        <v>7010200-Flask Also Heals Allies</v>
      </c>
      <c r="G63" s="19" t="str">
        <f>IFERROR(__xludf.DUMMYFUNCTION("""COMPUTED_VALUE"""),"7010900-[Revenant] Expend own HP to fully heal nearby allies
when activating Art")</f>
        <v>7010900-[Revenant] Expend own HP to fully heal nearby allies
when activating Art</v>
      </c>
      <c r="H63" s="19" t="str">
        <f>IFERROR(__xludf.DUMMYFUNCTION("""COMPUTED_VALUE"""),"7011600-[Guardian] Creates whirlwind when charging halberd
attacks")</f>
        <v>7011600-[Guardian] Creates whirlwind when charging halberd
attacks</v>
      </c>
      <c r="L63" s="23"/>
      <c r="M63" s="19">
        <v>7006100.0</v>
      </c>
      <c r="N63" s="19">
        <v>7010700.0</v>
      </c>
      <c r="O63" s="19">
        <v>7011200.0</v>
      </c>
    </row>
    <row r="64">
      <c r="A64" s="19">
        <v>217.0</v>
      </c>
      <c r="B64" s="19" t="s">
        <v>114</v>
      </c>
      <c r="C64" s="19">
        <v>1.0</v>
      </c>
      <c r="D64" s="19" t="str">
        <f>A64 &amp; " - " &amp; B64 &amp; " (" &amp; VLOOKUP(C64, Tbl_ColorMap[],2,false) &amp; ")"</f>
        <v>217 - Grand Drizzly Scene (Blue)</v>
      </c>
      <c r="E64" s="23"/>
      <c r="F64" s="19" t="str">
        <f>IFERROR(__xludf.DUMMYFUNCTION("""COMPUTED_VALUE"""),"7010500-[Wylder] Art activation spreads fire in area")</f>
        <v>7010500-[Wylder] Art activation spreads fire in area</v>
      </c>
      <c r="G64" s="19" t="str">
        <f>IFERROR(__xludf.DUMMYFUNCTION("""COMPUTED_VALUE"""),"7011000-[Guardian] Increased duration for Character Skill")</f>
        <v>7011000-[Guardian] Increased duration for Character Skill</v>
      </c>
      <c r="H64" s="19" t="str">
        <f>IFERROR(__xludf.DUMMYFUNCTION("""COMPUTED_VALUE"""),"7011700-[Executor] Roaring restores HP while Art is active")</f>
        <v>7011700-[Executor] Roaring restores HP while Art is active</v>
      </c>
      <c r="L64" s="23"/>
      <c r="M64" s="19">
        <v>7010200.0</v>
      </c>
      <c r="N64" s="19">
        <v>7010900.0</v>
      </c>
      <c r="O64" s="19">
        <v>7011600.0</v>
      </c>
    </row>
    <row r="65">
      <c r="A65" s="19">
        <v>218.0</v>
      </c>
      <c r="B65" s="19" t="s">
        <v>115</v>
      </c>
      <c r="C65" s="19">
        <v>2.0</v>
      </c>
      <c r="D65" s="19" t="str">
        <f>A65 &amp; " - " &amp; B65 &amp; " (" &amp; VLOOKUP(C65, Tbl_ColorMap[],2,false) &amp; ")"</f>
        <v>218 - Delicate Luminous Scene (Yellow)</v>
      </c>
      <c r="E65" s="23"/>
      <c r="F65" s="19" t="str">
        <f>IFERROR(__xludf.DUMMYFUNCTION("""COMPUTED_VALUE"""),"7010700-[Duchess] Successive dagger attack reprises event upon
nearby enemies")</f>
        <v>7010700-[Duchess] Successive dagger attack reprises event upon
nearby enemies</v>
      </c>
      <c r="G65" s="19" t="str">
        <f>IFERROR(__xludf.DUMMYFUNCTION("""COMPUTED_VALUE"""),"7011200-[Revenant] Trigger ghostflame explosion during
Ultimate Art activation")</f>
        <v>7011200-[Revenant] Trigger ghostflame explosion during
Ultimate Art activation</v>
      </c>
      <c r="H65" s="19" t="str">
        <f>IFERROR(__xludf.DUMMYFUNCTION("""COMPUTED_VALUE"""),"7012000-[Guardian] Slowly restores nearby allies' HP
while Art is active")</f>
        <v>7012000-[Guardian] Slowly restores nearby allies' HP
while Art is active</v>
      </c>
      <c r="L65" s="23"/>
      <c r="M65" s="19">
        <v>7010500.0</v>
      </c>
      <c r="N65" s="19">
        <v>7011000.0</v>
      </c>
      <c r="O65" s="19">
        <v>7011700.0</v>
      </c>
    </row>
    <row r="66">
      <c r="A66" s="19">
        <v>219.0</v>
      </c>
      <c r="B66" s="19" t="s">
        <v>116</v>
      </c>
      <c r="C66" s="19">
        <v>2.0</v>
      </c>
      <c r="D66" s="19" t="str">
        <f>A66 &amp; " - " &amp; B66 &amp; " (" &amp; VLOOKUP(C66, Tbl_ColorMap[],2,false) &amp; ")"</f>
        <v>219 - Polished Luminous Scene (Yellow)</v>
      </c>
      <c r="E66" s="23"/>
      <c r="F66" s="19" t="str">
        <f>IFERROR(__xludf.DUMMYFUNCTION("""COMPUTED_VALUE"""),"7010900-[Revenant] Expend own HP to fully heal nearby allies
when activating Art")</f>
        <v>7010900-[Revenant] Expend own HP to fully heal nearby allies
when activating Art</v>
      </c>
      <c r="G66" s="19" t="str">
        <f>IFERROR(__xludf.DUMMYFUNCTION("""COMPUTED_VALUE"""),"7011600-[Guardian] Creates whirlwind when charging halberd
attacks")</f>
        <v>7011600-[Guardian] Creates whirlwind when charging halberd
attacks</v>
      </c>
      <c r="H66" s="19" t="str">
        <f>IFERROR(__xludf.DUMMYFUNCTION("""COMPUTED_VALUE"""),"7012200-Slowly restore HP for self and nearby allies when HP
is low")</f>
        <v>7012200-Slowly restore HP for self and nearby allies when HP
is low</v>
      </c>
      <c r="L66" s="23"/>
      <c r="M66" s="19">
        <v>7010700.0</v>
      </c>
      <c r="N66" s="19">
        <v>7011200.0</v>
      </c>
      <c r="O66" s="19">
        <v>7012000.0</v>
      </c>
    </row>
    <row r="67">
      <c r="A67" s="19">
        <v>220.0</v>
      </c>
      <c r="B67" s="19" t="s">
        <v>117</v>
      </c>
      <c r="C67" s="19">
        <v>2.0</v>
      </c>
      <c r="D67" s="19" t="str">
        <f>A67 &amp; " - " &amp; B67 &amp; " (" &amp; VLOOKUP(C67, Tbl_ColorMap[],2,false) &amp; ")"</f>
        <v>220 - Grand Luminous Scene (Yellow)</v>
      </c>
      <c r="E67" s="23"/>
      <c r="F67" s="19" t="str">
        <f>IFERROR(__xludf.DUMMYFUNCTION("""COMPUTED_VALUE"""),"7011000-[Guardian] Increased duration for Character Skill")</f>
        <v>7011000-[Guardian] Increased duration for Character Skill</v>
      </c>
      <c r="G67" s="19" t="str">
        <f>IFERROR(__xludf.DUMMYFUNCTION("""COMPUTED_VALUE"""),"7011700-[Executor] Roaring restores HP while Art is active")</f>
        <v>7011700-[Executor] Roaring restores HP while Art is active</v>
      </c>
      <c r="H67" s="19" t="str">
        <f>IFERROR(__xludf.DUMMYFUNCTION("""COMPUTED_VALUE"""),"7012300-Improved Damage Negation at Low HP")</f>
        <v>7012300-Improved Damage Negation at Low HP</v>
      </c>
      <c r="L67" s="23"/>
      <c r="M67" s="19">
        <v>7010900.0</v>
      </c>
      <c r="N67" s="19">
        <v>7011600.0</v>
      </c>
      <c r="O67" s="19">
        <v>7012200.0</v>
      </c>
    </row>
    <row r="68">
      <c r="A68" s="19">
        <v>221.0</v>
      </c>
      <c r="B68" s="19" t="s">
        <v>115</v>
      </c>
      <c r="C68" s="19">
        <v>2.0</v>
      </c>
      <c r="D68" s="19" t="str">
        <f>A68 &amp; " - " &amp; B68 &amp; " (" &amp; VLOOKUP(C68, Tbl_ColorMap[],2,false) &amp; ")"</f>
        <v>221 - Delicate Luminous Scene (Yellow)</v>
      </c>
      <c r="E68" s="23"/>
      <c r="F68" s="19" t="str">
        <f>IFERROR(__xludf.DUMMYFUNCTION("""COMPUTED_VALUE"""),"7011200-[Revenant] Trigger ghostflame explosion during
Ultimate Art activation")</f>
        <v>7011200-[Revenant] Trigger ghostflame explosion during
Ultimate Art activation</v>
      </c>
      <c r="G68" s="19" t="str">
        <f>IFERROR(__xludf.DUMMYFUNCTION("""COMPUTED_VALUE"""),"7012000-[Guardian] Slowly restores nearby allies' HP
while Art is active")</f>
        <v>7012000-[Guardian] Slowly restores nearby allies' HP
while Art is active</v>
      </c>
      <c r="H68" s="19" t="str">
        <f>IFERROR(__xludf.DUMMYFUNCTION("""COMPUTED_VALUE"""),"7020000-[Wylder] Standard attacks enhanced with fiery
follow-ups when using Character Skill (greatsword only)")</f>
        <v>7020000-[Wylder] Standard attacks enhanced with fiery
follow-ups when using Character Skill (greatsword only)</v>
      </c>
      <c r="L68" s="23"/>
      <c r="M68" s="19">
        <v>7011000.0</v>
      </c>
      <c r="N68" s="19">
        <v>7011700.0</v>
      </c>
      <c r="O68" s="19">
        <v>7012300.0</v>
      </c>
    </row>
    <row r="69">
      <c r="A69" s="19">
        <v>222.0</v>
      </c>
      <c r="B69" s="19" t="s">
        <v>116</v>
      </c>
      <c r="C69" s="19">
        <v>2.0</v>
      </c>
      <c r="D69" s="19" t="str">
        <f>A69 &amp; " - " &amp; B69 &amp; " (" &amp; VLOOKUP(C69, Tbl_ColorMap[],2,false) &amp; ")"</f>
        <v>222 - Polished Luminous Scene (Yellow)</v>
      </c>
      <c r="E69" s="23"/>
      <c r="F69" s="19" t="str">
        <f>IFERROR(__xludf.DUMMYFUNCTION("""COMPUTED_VALUE"""),"7011600-[Guardian] Creates whirlwind when charging halberd
attacks")</f>
        <v>7011600-[Guardian] Creates whirlwind when charging halberd
attacks</v>
      </c>
      <c r="G69" s="19" t="str">
        <f>IFERROR(__xludf.DUMMYFUNCTION("""COMPUTED_VALUE"""),"7012200-Slowly restore HP for self and nearby allies when HP
is low")</f>
        <v>7012200-Slowly restore HP for self and nearby allies when HP
is low</v>
      </c>
      <c r="H69" s="19" t="str">
        <f>IFERROR(__xludf.DUMMYFUNCTION("""COMPUTED_VALUE"""),"7030000-Improved Poise Near Totem Stela")</f>
        <v>7030000-Improved Poise Near Totem Stela</v>
      </c>
      <c r="L69" s="23"/>
      <c r="M69" s="19">
        <v>7011200.0</v>
      </c>
      <c r="N69" s="19">
        <v>7012000.0</v>
      </c>
      <c r="O69" s="19">
        <v>7020000.0</v>
      </c>
    </row>
    <row r="70">
      <c r="A70" s="19">
        <v>223.0</v>
      </c>
      <c r="B70" s="19" t="s">
        <v>117</v>
      </c>
      <c r="C70" s="19">
        <v>2.0</v>
      </c>
      <c r="D70" s="19" t="str">
        <f>A70 &amp; " - " &amp; B70 &amp; " (" &amp; VLOOKUP(C70, Tbl_ColorMap[],2,false) &amp; ")"</f>
        <v>223 - Grand Luminous Scene (Yellow)</v>
      </c>
      <c r="E70" s="23"/>
      <c r="F70" s="19" t="str">
        <f>IFERROR(__xludf.DUMMYFUNCTION("""COMPUTED_VALUE"""),"7011700-[Executor] Roaring restores HP while Art is active")</f>
        <v>7011700-[Executor] Roaring restores HP while Art is active</v>
      </c>
      <c r="G70" s="19" t="str">
        <f>IFERROR(__xludf.DUMMYFUNCTION("""COMPUTED_VALUE"""),"7012300-Improved Damage Negation at Low HP")</f>
        <v>7012300-Improved Damage Negation at Low HP</v>
      </c>
      <c r="H70" s="19" t="str">
        <f>IFERROR(__xludf.DUMMYFUNCTION("""COMPUTED_VALUE"""),"7030200-HP restored when using medicinal boluses, etc.")</f>
        <v>7030200-HP restored when using medicinal boluses, etc.</v>
      </c>
      <c r="L70" s="23"/>
      <c r="M70" s="19">
        <v>7011600.0</v>
      </c>
      <c r="N70" s="19">
        <v>7012200.0</v>
      </c>
      <c r="O70" s="19">
        <v>7030000.0</v>
      </c>
    </row>
    <row r="71">
      <c r="A71" s="19">
        <v>224.0</v>
      </c>
      <c r="B71" s="19" t="s">
        <v>115</v>
      </c>
      <c r="C71" s="19">
        <v>2.0</v>
      </c>
      <c r="D71" s="19" t="str">
        <f>A71 &amp; " - " &amp; B71 &amp; " (" &amp; VLOOKUP(C71, Tbl_ColorMap[],2,false) &amp; ")"</f>
        <v>224 - Delicate Luminous Scene (Yellow)</v>
      </c>
      <c r="E71" s="23"/>
      <c r="F71" s="19" t="str">
        <f>IFERROR(__xludf.DUMMYFUNCTION("""COMPUTED_VALUE"""),"7012000-[Guardian] Slowly restores nearby allies' HP
while Art is active")</f>
        <v>7012000-[Guardian] Slowly restores nearby allies' HP
while Art is active</v>
      </c>
      <c r="G71" s="19" t="str">
        <f>IFERROR(__xludf.DUMMYFUNCTION("""COMPUTED_VALUE"""),"7020000-[Wylder] Standard attacks enhanced with fiery
follow-ups when using Character Skill (greatsword only)")</f>
        <v>7020000-[Wylder] Standard attacks enhanced with fiery
follow-ups when using Character Skill (greatsword only)</v>
      </c>
      <c r="H71" s="19" t="str">
        <f>IFERROR(__xludf.DUMMYFUNCTION("""COMPUTED_VALUE"""),"7030600-Successful guarding fills more of the Art gauge")</f>
        <v>7030600-Successful guarding fills more of the Art gauge</v>
      </c>
      <c r="L71" s="23"/>
      <c r="M71" s="19">
        <v>7011700.0</v>
      </c>
      <c r="N71" s="19">
        <v>7012300.0</v>
      </c>
      <c r="O71" s="19">
        <v>7030200.0</v>
      </c>
    </row>
    <row r="72">
      <c r="A72" s="19">
        <v>225.0</v>
      </c>
      <c r="B72" s="19" t="s">
        <v>116</v>
      </c>
      <c r="C72" s="19">
        <v>2.0</v>
      </c>
      <c r="D72" s="19" t="str">
        <f>A72 &amp; " - " &amp; B72 &amp; " (" &amp; VLOOKUP(C72, Tbl_ColorMap[],2,false) &amp; ")"</f>
        <v>225 - Polished Luminous Scene (Yellow)</v>
      </c>
      <c r="E72" s="23"/>
      <c r="F72" s="19" t="str">
        <f>IFERROR(__xludf.DUMMYFUNCTION("""COMPUTED_VALUE"""),"7012200-Slowly restore HP for self and nearby allies when HP
is low")</f>
        <v>7012200-Slowly restore HP for self and nearby allies when HP
is low</v>
      </c>
      <c r="G72" s="19" t="str">
        <f>IFERROR(__xludf.DUMMYFUNCTION("""COMPUTED_VALUE"""),"7030000-Improved Poise Near Totem Stela")</f>
        <v>7030000-Improved Poise Near Totem Stela</v>
      </c>
      <c r="H72" s="19" t="str">
        <f>IFERROR(__xludf.DUMMYFUNCTION("""COMPUTED_VALUE"""),"7030700-Draw enemy attention while guarding")</f>
        <v>7030700-Draw enemy attention while guarding</v>
      </c>
      <c r="L72" s="23"/>
      <c r="M72" s="19">
        <v>7012000.0</v>
      </c>
      <c r="N72" s="19">
        <v>7020000.0</v>
      </c>
      <c r="O72" s="19">
        <v>7030600.0</v>
      </c>
    </row>
    <row r="73">
      <c r="A73" s="19">
        <v>226.0</v>
      </c>
      <c r="B73" s="19" t="s">
        <v>117</v>
      </c>
      <c r="C73" s="19">
        <v>2.0</v>
      </c>
      <c r="D73" s="19" t="str">
        <f>A73 &amp; " - " &amp; B73 &amp; " (" &amp; VLOOKUP(C73, Tbl_ColorMap[],2,false) &amp; ")"</f>
        <v>226 - Grand Luminous Scene (Yellow)</v>
      </c>
      <c r="E73" s="23"/>
      <c r="F73" s="19" t="str">
        <f>IFERROR(__xludf.DUMMYFUNCTION("""COMPUTED_VALUE"""),"7012300-Improved Damage Negation at Low HP")</f>
        <v>7012300-Improved Damage Negation at Low HP</v>
      </c>
      <c r="G73" s="19" t="str">
        <f>IFERROR(__xludf.DUMMYFUNCTION("""COMPUTED_VALUE"""),"7030200-HP restored when using medicinal boluses, etc.")</f>
        <v>7030200-HP restored when using medicinal boluses, etc.</v>
      </c>
      <c r="H73" s="19" t="str">
        <f>IFERROR(__xludf.DUMMYFUNCTION("""COMPUTED_VALUE"""),"7030800-Critical hits fill more of the Art gauge")</f>
        <v>7030800-Critical hits fill more of the Art gauge</v>
      </c>
      <c r="L73" s="23"/>
      <c r="M73" s="19">
        <v>7012200.0</v>
      </c>
      <c r="N73" s="19">
        <v>7030000.0</v>
      </c>
      <c r="O73" s="19">
        <v>7030700.0</v>
      </c>
    </row>
    <row r="74">
      <c r="A74" s="19">
        <v>227.0</v>
      </c>
      <c r="B74" s="19" t="s">
        <v>118</v>
      </c>
      <c r="C74" s="19">
        <v>3.0</v>
      </c>
      <c r="D74" s="19" t="str">
        <f>A74 &amp; " - " &amp; B74 &amp; " (" &amp; VLOOKUP(C74, Tbl_ColorMap[],2,false) &amp; ")"</f>
        <v>227 - Delicate Tranquil Scene (Green)</v>
      </c>
      <c r="E74" s="23"/>
      <c r="F74" s="19" t="str">
        <f>IFERROR(__xludf.DUMMYFUNCTION("""COMPUTED_VALUE"""),"7020000-[Wylder] Standard attacks enhanced with fiery
follow-ups when using Character Skill (greatsword only)")</f>
        <v>7020000-[Wylder] Standard attacks enhanced with fiery
follow-ups when using Character Skill (greatsword only)</v>
      </c>
      <c r="G74" s="19" t="str">
        <f>IFERROR(__xludf.DUMMYFUNCTION("""COMPUTED_VALUE"""),"7030600-Successful guarding fills more of the Art gauge")</f>
        <v>7030600-Successful guarding fills more of the Art gauge</v>
      </c>
      <c r="H74" s="19" t="str">
        <f>IFERROR(__xludf.DUMMYFUNCTION("""COMPUTED_VALUE"""),"7030900-Physical attack power increases after using grease items")</f>
        <v>7030900-Physical attack power increases after using grease items</v>
      </c>
      <c r="L74" s="23"/>
      <c r="M74" s="19">
        <v>7012300.0</v>
      </c>
      <c r="N74" s="19">
        <v>7030200.0</v>
      </c>
      <c r="O74" s="19">
        <v>7030800.0</v>
      </c>
    </row>
    <row r="75">
      <c r="A75" s="19">
        <v>228.0</v>
      </c>
      <c r="B75" s="19" t="s">
        <v>119</v>
      </c>
      <c r="C75" s="19">
        <v>3.0</v>
      </c>
      <c r="D75" s="19" t="str">
        <f>A75 &amp; " - " &amp; B75 &amp; " (" &amp; VLOOKUP(C75, Tbl_ColorMap[],2,false) &amp; ")"</f>
        <v>228 - Polished Tranquil Scene (Green)</v>
      </c>
      <c r="E75" s="23"/>
      <c r="F75" s="19" t="str">
        <f>IFERROR(__xludf.DUMMYFUNCTION("""COMPUTED_VALUE"""),"7030000-Improved Poise Near Totem Stela")</f>
        <v>7030000-Improved Poise Near Totem Stela</v>
      </c>
      <c r="G75" s="19" t="str">
        <f>IFERROR(__xludf.DUMMYFUNCTION("""COMPUTED_VALUE"""),"7030700-Draw enemy attention while guarding")</f>
        <v>7030700-Draw enemy attention while guarding</v>
      </c>
      <c r="H75" s="19" t="str">
        <f>IFERROR(__xludf.DUMMYFUNCTION("""COMPUTED_VALUE"""),"7031200-[Revenant] Strengthens family and allies when Ultimate Art is activated")</f>
        <v>7031200-[Revenant] Strengthens family and allies when Ultimate Art is activated</v>
      </c>
      <c r="L75" s="23"/>
      <c r="M75" s="19">
        <v>7020000.0</v>
      </c>
      <c r="N75" s="19">
        <v>7030600.0</v>
      </c>
      <c r="O75" s="19">
        <v>7030900.0</v>
      </c>
    </row>
    <row r="76">
      <c r="A76" s="19">
        <v>229.0</v>
      </c>
      <c r="B76" s="19" t="s">
        <v>120</v>
      </c>
      <c r="C76" s="19">
        <v>3.0</v>
      </c>
      <c r="D76" s="19" t="str">
        <f>A76 &amp; " - " &amp; B76 &amp; " (" &amp; VLOOKUP(C76, Tbl_ColorMap[],2,false) &amp; ")"</f>
        <v>229 - Grand Tranquil Scene (Green)</v>
      </c>
      <c r="E76" s="23"/>
      <c r="F76" s="19" t="str">
        <f>IFERROR(__xludf.DUMMYFUNCTION("""COMPUTED_VALUE"""),"7030200-HP restored when using medicinal boluses, etc.")</f>
        <v>7030200-HP restored when using medicinal boluses, etc.</v>
      </c>
      <c r="G76" s="19" t="str">
        <f>IFERROR(__xludf.DUMMYFUNCTION("""COMPUTED_VALUE"""),"7030800-Critical hits fill more of the Art gauge")</f>
        <v>7030800-Critical hits fill more of the Art gauge</v>
      </c>
      <c r="H76" s="19" t="str">
        <f>IFERROR(__xludf.DUMMYFUNCTION("""COMPUTED_VALUE"""),"7031300-[Raider] Damage taken while using Character Skill
improves attack power and stamina")</f>
        <v>7031300-[Raider] Damage taken while using Character Skill
improves attack power and stamina</v>
      </c>
      <c r="L76" s="23"/>
      <c r="M76" s="19">
        <v>7030000.0</v>
      </c>
      <c r="N76" s="19">
        <v>7030700.0</v>
      </c>
      <c r="O76" s="19">
        <v>7031200.0</v>
      </c>
    </row>
    <row r="77">
      <c r="A77" s="19">
        <v>230.0</v>
      </c>
      <c r="B77" s="19" t="s">
        <v>118</v>
      </c>
      <c r="C77" s="19">
        <v>3.0</v>
      </c>
      <c r="D77" s="19" t="str">
        <f>A77 &amp; " - " &amp; B77 &amp; " (" &amp; VLOOKUP(C77, Tbl_ColorMap[],2,false) &amp; ")"</f>
        <v>230 - Delicate Tranquil Scene (Green)</v>
      </c>
      <c r="E77" s="23"/>
      <c r="F77" s="19" t="str">
        <f>IFERROR(__xludf.DUMMYFUNCTION("""COMPUTED_VALUE"""),"7030600-Successful guarding fills more of the Art gauge")</f>
        <v>7030600-Successful guarding fills more of the Art gauge</v>
      </c>
      <c r="G77" s="19" t="str">
        <f>IFERROR(__xludf.DUMMYFUNCTION("""COMPUTED_VALUE"""),"7030900-Physical attack power increases after using grease items")</f>
        <v>7030900-Physical attack power increases after using grease items</v>
      </c>
      <c r="H77" s="19" t="str">
        <f>IFERROR(__xludf.DUMMYFUNCTION("""COMPUTED_VALUE"""),"7031800-[Duchess] Become difficult to spot and silence
footsteps after landing critical from behind")</f>
        <v>7031800-[Duchess] Become difficult to spot and silence
footsteps after landing critical from behind</v>
      </c>
      <c r="L77" s="23"/>
      <c r="M77" s="19">
        <v>7030200.0</v>
      </c>
      <c r="N77" s="19">
        <v>7030800.0</v>
      </c>
      <c r="O77" s="19">
        <v>7031300.0</v>
      </c>
    </row>
    <row r="78">
      <c r="A78" s="19">
        <v>231.0</v>
      </c>
      <c r="B78" s="19" t="s">
        <v>119</v>
      </c>
      <c r="C78" s="19">
        <v>3.0</v>
      </c>
      <c r="D78" s="19" t="str">
        <f>A78 &amp; " - " &amp; B78 &amp; " (" &amp; VLOOKUP(C78, Tbl_ColorMap[],2,false) &amp; ")"</f>
        <v>231 - Polished Tranquil Scene (Green)</v>
      </c>
      <c r="E78" s="23"/>
      <c r="F78" s="19" t="str">
        <f>IFERROR(__xludf.DUMMYFUNCTION("""COMPUTED_VALUE"""),"7030700-Draw enemy attention while guarding")</f>
        <v>7030700-Draw enemy attention while guarding</v>
      </c>
      <c r="G78" s="19" t="str">
        <f>IFERROR(__xludf.DUMMYFUNCTION("""COMPUTED_VALUE"""),"7031200-[Revenant] Strengthens family and allies when Ultimate Art is activated")</f>
        <v>7031200-[Revenant] Strengthens family and allies when Ultimate Art is activated</v>
      </c>
      <c r="H78" s="19" t="str">
        <f>IFERROR(__xludf.DUMMYFUNCTION("""COMPUTED_VALUE"""),"7031900-Critical Hits Earn Runes")</f>
        <v>7031900-Critical Hits Earn Runes</v>
      </c>
      <c r="L78" s="23"/>
      <c r="M78" s="19">
        <v>7030600.0</v>
      </c>
      <c r="N78" s="19">
        <v>7030900.0</v>
      </c>
      <c r="O78" s="19">
        <v>7031800.0</v>
      </c>
    </row>
    <row r="79">
      <c r="A79" s="19">
        <v>232.0</v>
      </c>
      <c r="B79" s="19" t="s">
        <v>120</v>
      </c>
      <c r="C79" s="19">
        <v>3.0</v>
      </c>
      <c r="D79" s="19" t="str">
        <f>A79 &amp; " - " &amp; B79 &amp; " (" &amp; VLOOKUP(C79, Tbl_ColorMap[],2,false) &amp; ")"</f>
        <v>232 - Grand Tranquil Scene (Green)</v>
      </c>
      <c r="E79" s="23"/>
      <c r="F79" s="19" t="str">
        <f>IFERROR(__xludf.DUMMYFUNCTION("""COMPUTED_VALUE"""),"7030800-Critical hits fill more of the Art gauge")</f>
        <v>7030800-Critical hits fill more of the Art gauge</v>
      </c>
      <c r="G79" s="19" t="str">
        <f>IFERROR(__xludf.DUMMYFUNCTION("""COMPUTED_VALUE"""),"7031300-[Raider] Damage taken while using Character Skill
improves attack power and stamina")</f>
        <v>7031300-[Raider] Damage taken while using Character Skill
improves attack power and stamina</v>
      </c>
      <c r="H79" s="19" t="str">
        <f>IFERROR(__xludf.DUMMYFUNCTION("""COMPUTED_VALUE"""),"7032200-Taking attacks improves attack power")</f>
        <v>7032200-Taking attacks improves attack power</v>
      </c>
      <c r="L79" s="23"/>
      <c r="M79" s="19">
        <v>7030700.0</v>
      </c>
      <c r="N79" s="19">
        <v>7031200.0</v>
      </c>
      <c r="O79" s="19">
        <v>7031900.0</v>
      </c>
    </row>
    <row r="80">
      <c r="A80" s="19">
        <v>233.0</v>
      </c>
      <c r="B80" s="19" t="s">
        <v>118</v>
      </c>
      <c r="C80" s="19">
        <v>3.0</v>
      </c>
      <c r="D80" s="19" t="str">
        <f>A80 &amp; " - " &amp; B80 &amp; " (" &amp; VLOOKUP(C80, Tbl_ColorMap[],2,false) &amp; ")"</f>
        <v>233 - Delicate Tranquil Scene (Green)</v>
      </c>
      <c r="E80" s="23"/>
      <c r="F80" s="19" t="str">
        <f>IFERROR(__xludf.DUMMYFUNCTION("""COMPUTED_VALUE"""),"7030900-Physical attack power increases after using grease items")</f>
        <v>7030900-Physical attack power increases after using grease items</v>
      </c>
      <c r="G80" s="19" t="str">
        <f>IFERROR(__xludf.DUMMYFUNCTION("""COMPUTED_VALUE"""),"7031800-[Duchess] Become difficult to spot and silence
footsteps after landing critical from behind")</f>
        <v>7031800-[Duchess] Become difficult to spot and silence
footsteps after landing critical from behind</v>
      </c>
      <c r="H80" s="19" t="str">
        <f>IFERROR(__xludf.DUMMYFUNCTION("""COMPUTED_VALUE"""),"7032400-[Wylder] Art gauge greatly filled when ability is
activated")</f>
        <v>7032400-[Wylder] Art gauge greatly filled when ability is
activated</v>
      </c>
      <c r="L80" s="23"/>
      <c r="M80" s="19">
        <v>7030800.0</v>
      </c>
      <c r="N80" s="19">
        <v>7031300.0</v>
      </c>
      <c r="O80" s="19">
        <v>7032200.0</v>
      </c>
    </row>
    <row r="81">
      <c r="A81" s="19">
        <v>234.0</v>
      </c>
      <c r="B81" s="19" t="s">
        <v>119</v>
      </c>
      <c r="C81" s="19">
        <v>3.0</v>
      </c>
      <c r="D81" s="19" t="str">
        <f>A81 &amp; " - " &amp; B81 &amp; " (" &amp; VLOOKUP(C81, Tbl_ColorMap[],2,false) &amp; ")"</f>
        <v>234 - Polished Tranquil Scene (Green)</v>
      </c>
      <c r="E81" s="23"/>
      <c r="F81" s="19" t="str">
        <f>IFERROR(__xludf.DUMMYFUNCTION("""COMPUTED_VALUE"""),"7031200-[Revenant] Strengthens family and allies when Ultimate Art is activated")</f>
        <v>7031200-[Revenant] Strengthens family and allies when Ultimate Art is activated</v>
      </c>
      <c r="G81" s="19" t="str">
        <f>IFERROR(__xludf.DUMMYFUNCTION("""COMPUTED_VALUE"""),"7031900-Critical Hits Earn Runes")</f>
        <v>7031900-Critical Hits Earn Runes</v>
      </c>
      <c r="H81" s="19" t="str">
        <f>IFERROR(__xludf.DUMMYFUNCTION("""COMPUTED_VALUE"""),"7032700-[Duchess] Defeating enemies while Art is active ups
attack power")</f>
        <v>7032700-[Duchess] Defeating enemies while Art is active ups
attack power</v>
      </c>
      <c r="L81" s="23"/>
      <c r="M81" s="19">
        <v>7030900.0</v>
      </c>
      <c r="N81" s="19">
        <v>7031800.0</v>
      </c>
      <c r="O81" s="19">
        <v>7032400.0</v>
      </c>
    </row>
    <row r="82">
      <c r="A82" s="19">
        <v>235.0</v>
      </c>
      <c r="B82" s="19" t="s">
        <v>120</v>
      </c>
      <c r="C82" s="19">
        <v>3.0</v>
      </c>
      <c r="D82" s="19" t="str">
        <f>A82 &amp; " - " &amp; B82 &amp; " (" &amp; VLOOKUP(C82, Tbl_ColorMap[],2,false) &amp; ")"</f>
        <v>235 - Grand Tranquil Scene (Green)</v>
      </c>
      <c r="E82" s="23"/>
      <c r="F82" s="19" t="str">
        <f>IFERROR(__xludf.DUMMYFUNCTION("""COMPUTED_VALUE"""),"7031300-[Raider] Damage taken while using Character Skill
improves attack power and stamina")</f>
        <v>7031300-[Raider] Damage taken while using Character Skill
improves attack power and stamina</v>
      </c>
      <c r="G82" s="19" t="str">
        <f>IFERROR(__xludf.DUMMYFUNCTION("""COMPUTED_VALUE"""),"7032200-Taking attacks improves attack power")</f>
        <v>7032200-Taking attacks improves attack power</v>
      </c>
      <c r="H82" s="19" t="str">
        <f>IFERROR(__xludf.DUMMYFUNCTION("""COMPUTED_VALUE"""),"7032800-[Recluse] Collecting affinity residue activates
Terra Magica")</f>
        <v>7032800-[Recluse] Collecting affinity residue activates
Terra Magica</v>
      </c>
      <c r="L82" s="23"/>
      <c r="M82" s="19">
        <v>7031200.0</v>
      </c>
      <c r="N82" s="19">
        <v>7031900.0</v>
      </c>
      <c r="O82" s="19">
        <v>7032700.0</v>
      </c>
    </row>
    <row r="83">
      <c r="A83" s="19">
        <v>1000.0</v>
      </c>
      <c r="B83" s="19" t="s">
        <v>109</v>
      </c>
      <c r="C83" s="19">
        <v>0.0</v>
      </c>
      <c r="D83" s="19" t="str">
        <f>A83 &amp; " - " &amp; B83 &amp; " (" &amp; VLOOKUP(C83, Tbl_ColorMap[],2,false) &amp; ")"</f>
        <v>1000 - Delicate Burning Scene (Red)</v>
      </c>
      <c r="E83" s="23"/>
      <c r="F83" s="19" t="str">
        <f>IFERROR(__xludf.DUMMYFUNCTION("""COMPUTED_VALUE"""),"7031800-[Duchess] Become difficult to spot and silence
footsteps after landing critical from behind")</f>
        <v>7031800-[Duchess] Become difficult to spot and silence
footsteps after landing critical from behind</v>
      </c>
      <c r="G83" s="19" t="str">
        <f>IFERROR(__xludf.DUMMYFUNCTION("""COMPUTED_VALUE"""),"7032400-[Wylder] Art gauge greatly filled when ability is
activated")</f>
        <v>7032400-[Wylder] Art gauge greatly filled when ability is
activated</v>
      </c>
      <c r="H83" s="19" t="str">
        <f>IFERROR(__xludf.DUMMYFUNCTION("""COMPUTED_VALUE"""),"7032900-[Recluse] Suffer blood loss and increase attack
power upon Art activation")</f>
        <v>7032900-[Recluse] Suffer blood loss and increase attack
power upon Art activation</v>
      </c>
      <c r="L83" s="23"/>
      <c r="M83" s="19">
        <v>7031300.0</v>
      </c>
      <c r="N83" s="19">
        <v>7032200.0</v>
      </c>
      <c r="O83" s="19">
        <v>7032800.0</v>
      </c>
    </row>
    <row r="84">
      <c r="A84" s="19">
        <v>1010.0</v>
      </c>
      <c r="B84" s="19" t="s">
        <v>112</v>
      </c>
      <c r="C84" s="19">
        <v>1.0</v>
      </c>
      <c r="D84" s="19" t="str">
        <f>A84 &amp; " - " &amp; B84 &amp; " (" &amp; VLOOKUP(C84, Tbl_ColorMap[],2,false) &amp; ")"</f>
        <v>1010 - Delicate Drizzly Scene (Blue)</v>
      </c>
      <c r="E84" s="23"/>
      <c r="F84" s="19" t="str">
        <f>IFERROR(__xludf.DUMMYFUNCTION("""COMPUTED_VALUE"""),"7031900-Critical Hits Earn Runes")</f>
        <v>7031900-Critical Hits Earn Runes</v>
      </c>
      <c r="G84" s="19" t="str">
        <f>IFERROR(__xludf.DUMMYFUNCTION("""COMPUTED_VALUE"""),"7032700-[Duchess] Defeating enemies while Art is active ups
attack power")</f>
        <v>7032700-[Duchess] Defeating enemies while Art is active ups
attack power</v>
      </c>
      <c r="H84" s="19" t="str">
        <f>IFERROR(__xludf.DUMMYFUNCTION("""COMPUTED_VALUE"""),"7033200-[Wylder] +1 additional Character Skill use")</f>
        <v>7033200-[Wylder] +1 additional Character Skill use</v>
      </c>
      <c r="L84" s="23"/>
      <c r="M84" s="19">
        <v>7031800.0</v>
      </c>
      <c r="N84" s="19">
        <v>7032400.0</v>
      </c>
      <c r="O84" s="19">
        <v>7032900.0</v>
      </c>
    </row>
    <row r="85">
      <c r="A85" s="19">
        <v>1020.0</v>
      </c>
      <c r="B85" s="19" t="s">
        <v>115</v>
      </c>
      <c r="C85" s="19">
        <v>2.0</v>
      </c>
      <c r="D85" s="19" t="str">
        <f>A85 &amp; " - " &amp; B85 &amp; " (" &amp; VLOOKUP(C85, Tbl_ColorMap[],2,false) &amp; ")"</f>
        <v>1020 - Delicate Luminous Scene (Yellow)</v>
      </c>
      <c r="E85" s="23"/>
      <c r="F85" s="19" t="str">
        <f>IFERROR(__xludf.DUMMYFUNCTION("""COMPUTED_VALUE"""),"7032200-Taking attacks improves attack power")</f>
        <v>7032200-Taking attacks improves attack power</v>
      </c>
      <c r="G85" s="19" t="str">
        <f>IFERROR(__xludf.DUMMYFUNCTION("""COMPUTED_VALUE"""),"7032800-[Recluse] Collecting affinity residue activates
Terra Magica")</f>
        <v>7032800-[Recluse] Collecting affinity residue activates
Terra Magica</v>
      </c>
      <c r="H85" s="19" t="str">
        <f>IFERROR(__xludf.DUMMYFUNCTION("""COMPUTED_VALUE"""),"7033400-[Guardian] Successful guards send out shockwaves while
ability is active")</f>
        <v>7033400-[Guardian] Successful guards send out shockwaves while
ability is active</v>
      </c>
      <c r="L85" s="23"/>
      <c r="M85" s="19">
        <v>7031900.0</v>
      </c>
      <c r="N85" s="19">
        <v>7032700.0</v>
      </c>
      <c r="O85" s="19">
        <v>7033200.0</v>
      </c>
    </row>
    <row r="86">
      <c r="A86" s="19">
        <v>1030.0</v>
      </c>
      <c r="B86" s="19" t="s">
        <v>118</v>
      </c>
      <c r="C86" s="19">
        <v>3.0</v>
      </c>
      <c r="D86" s="19" t="str">
        <f>A86 &amp; " - " &amp; B86 &amp; " (" &amp; VLOOKUP(C86, Tbl_ColorMap[],2,false) &amp; ")"</f>
        <v>1030 - Delicate Tranquil Scene (Green)</v>
      </c>
      <c r="E86" s="23"/>
      <c r="F86" s="19" t="str">
        <f>IFERROR(__xludf.DUMMYFUNCTION("""COMPUTED_VALUE"""),"7032400-[Wylder] Art gauge greatly filled when ability is
activated")</f>
        <v>7032400-[Wylder] Art gauge greatly filled when ability is
activated</v>
      </c>
      <c r="G86" s="19" t="str">
        <f>IFERROR(__xludf.DUMMYFUNCTION("""COMPUTED_VALUE"""),"7032900-[Recluse] Suffer blood loss and increase attack
power upon Art activation")</f>
        <v>7032900-[Recluse] Suffer blood loss and increase attack
power upon Art activation</v>
      </c>
      <c r="H86" s="19" t="str">
        <f>IFERROR(__xludf.DUMMYFUNCTION("""COMPUTED_VALUE"""),"7034100-[Recluse] Activating Ultimate Art raises Max HP")</f>
        <v>7034100-[Recluse] Activating Ultimate Art raises Max HP</v>
      </c>
      <c r="L86" s="23"/>
      <c r="M86" s="19">
        <v>7032200.0</v>
      </c>
      <c r="N86" s="19">
        <v>7032800.0</v>
      </c>
      <c r="O86" s="19">
        <v>7033400.0</v>
      </c>
    </row>
    <row r="87">
      <c r="A87" s="19">
        <v>1040.0</v>
      </c>
      <c r="B87" s="19" t="s">
        <v>110</v>
      </c>
      <c r="C87" s="19">
        <v>0.0</v>
      </c>
      <c r="D87" s="19" t="str">
        <f>A87 &amp; " - " &amp; B87 &amp; " (" &amp; VLOOKUP(C87, Tbl_ColorMap[],2,false) &amp; ")"</f>
        <v>1040 - Polished Burning Scene (Red)</v>
      </c>
      <c r="E87" s="23"/>
      <c r="F87" s="19" t="str">
        <f>IFERROR(__xludf.DUMMYFUNCTION("""COMPUTED_VALUE"""),"7032700-[Duchess] Defeating enemies while Art is active ups
attack power")</f>
        <v>7032700-[Duchess] Defeating enemies while Art is active ups
attack power</v>
      </c>
      <c r="G87" s="19" t="str">
        <f>IFERROR(__xludf.DUMMYFUNCTION("""COMPUTED_VALUE"""),"7033200-[Wylder] +1 additional Character Skill use")</f>
        <v>7033200-[Wylder] +1 additional Character Skill use</v>
      </c>
      <c r="H87" s="19" t="str">
        <f>IFERROR(__xludf.DUMMYFUNCTION("""COMPUTED_VALUE"""),"7034400-[Executor] Character Skill Boosts Attack but Attacking Drains HP")</f>
        <v>7034400-[Executor] Character Skill Boosts Attack but Attacking Drains HP</v>
      </c>
      <c r="L87" s="23"/>
      <c r="M87" s="19">
        <v>7032400.0</v>
      </c>
      <c r="N87" s="19">
        <v>7032900.0</v>
      </c>
      <c r="O87" s="19">
        <v>7034100.0</v>
      </c>
    </row>
    <row r="88">
      <c r="A88" s="19">
        <v>1050.0</v>
      </c>
      <c r="B88" s="19" t="s">
        <v>115</v>
      </c>
      <c r="C88" s="19">
        <v>2.0</v>
      </c>
      <c r="D88" s="19" t="str">
        <f>A88 &amp; " - " &amp; B88 &amp; " (" &amp; VLOOKUP(C88, Tbl_ColorMap[],2,false) &amp; ")"</f>
        <v>1050 - Delicate Luminous Scene (Yellow)</v>
      </c>
      <c r="E88" s="23"/>
      <c r="F88" s="19" t="str">
        <f>IFERROR(__xludf.DUMMYFUNCTION("""COMPUTED_VALUE"""),"7032800-[Recluse] Collecting affinity residue activates
Terra Magica")</f>
        <v>7032800-[Recluse] Collecting affinity residue activates
Terra Magica</v>
      </c>
      <c r="G88" s="19" t="str">
        <f>IFERROR(__xludf.DUMMYFUNCTION("""COMPUTED_VALUE"""),"7033400-[Guardian] Successful guards send out shockwaves while
ability is active")</f>
        <v>7033400-[Guardian] Successful guards send out shockwaves while
ability is active</v>
      </c>
      <c r="H88" s="19" t="str">
        <f>IFERROR(__xludf.DUMMYFUNCTION("""COMPUTED_VALUE"""),"7034500-[Executor] While Character Skill is active,
unlocking use of cursed sword restores HP")</f>
        <v>7034500-[Executor] While Character Skill is active,
unlocking use of cursed sword restores HP</v>
      </c>
      <c r="L88" s="23"/>
      <c r="M88" s="19">
        <v>7032700.0</v>
      </c>
      <c r="N88" s="19">
        <v>7033200.0</v>
      </c>
      <c r="O88" s="19">
        <v>7034400.0</v>
      </c>
    </row>
    <row r="89">
      <c r="A89" s="19">
        <v>1060.0</v>
      </c>
      <c r="B89" s="19" t="s">
        <v>119</v>
      </c>
      <c r="C89" s="19">
        <v>3.0</v>
      </c>
      <c r="D89" s="19" t="str">
        <f>A89 &amp; " - " &amp; B89 &amp; " (" &amp; VLOOKUP(C89, Tbl_ColorMap[],2,false) &amp; ")"</f>
        <v>1060 - Polished Tranquil Scene (Green)</v>
      </c>
      <c r="E89" s="23"/>
      <c r="F89" s="19" t="str">
        <f>IFERROR(__xludf.DUMMYFUNCTION("""COMPUTED_VALUE"""),"7032900-[Recluse] Suffer blood loss and increase attack
power upon Art activation")</f>
        <v>7032900-[Recluse] Suffer blood loss and increase attack
power upon Art activation</v>
      </c>
      <c r="G89" s="19" t="str">
        <f>IFERROR(__xludf.DUMMYFUNCTION("""COMPUTED_VALUE"""),"7034100-[Recluse] Activating Ultimate Art raises Max HP")</f>
        <v>7034100-[Recluse] Activating Ultimate Art raises Max HP</v>
      </c>
      <c r="H89" s="19" t="str">
        <f>IFERROR(__xludf.DUMMYFUNCTION("""COMPUTED_VALUE"""),"7034600-[Ironeye] Art Charge Activation Adds Poison Effect")</f>
        <v>7034600-[Ironeye] Art Charge Activation Adds Poison Effect</v>
      </c>
      <c r="L89" s="23"/>
      <c r="M89" s="19">
        <v>7032800.0</v>
      </c>
      <c r="N89" s="19">
        <v>7033400.0</v>
      </c>
      <c r="O89" s="19">
        <v>7034500.0</v>
      </c>
    </row>
    <row r="90">
      <c r="A90" s="19">
        <v>1070.0</v>
      </c>
      <c r="B90" s="19" t="s">
        <v>113</v>
      </c>
      <c r="C90" s="19">
        <v>1.0</v>
      </c>
      <c r="D90" s="19" t="str">
        <f>A90 &amp; " - " &amp; B90 &amp; " (" &amp; VLOOKUP(C90, Tbl_ColorMap[],2,false) &amp; ")"</f>
        <v>1070 - Polished Drizzly Scene (Blue)</v>
      </c>
      <c r="E90" s="23"/>
      <c r="F90" s="19" t="str">
        <f>IFERROR(__xludf.DUMMYFUNCTION("""COMPUTED_VALUE"""),"7033200-[Wylder] +1 additional Character Skill use")</f>
        <v>7033200-[Wylder] +1 additional Character Skill use</v>
      </c>
      <c r="G90" s="19" t="str">
        <f>IFERROR(__xludf.DUMMYFUNCTION("""COMPUTED_VALUE"""),"7034400-[Executor] Character Skill Boosts Attack but Attacking Drains HP")</f>
        <v>7034400-[Executor] Character Skill Boosts Attack but Attacking Drains HP</v>
      </c>
      <c r="H90" s="19" t="str">
        <f>IFERROR(__xludf.DUMMYFUNCTION("""COMPUTED_VALUE"""),"7034700-[Ironeye] Boosts thrusting counterattacks after executing Art")</f>
        <v>7034700-[Ironeye] Boosts thrusting counterattacks after executing Art</v>
      </c>
      <c r="L90" s="23"/>
      <c r="M90" s="19">
        <v>7032900.0</v>
      </c>
      <c r="N90" s="19">
        <v>7034100.0</v>
      </c>
      <c r="O90" s="19">
        <v>7034600.0</v>
      </c>
    </row>
    <row r="91">
      <c r="A91" s="19">
        <v>1080.0</v>
      </c>
      <c r="B91" s="19" t="s">
        <v>110</v>
      </c>
      <c r="C91" s="19">
        <v>0.0</v>
      </c>
      <c r="D91" s="19" t="str">
        <f>A91 &amp; " - " &amp; B91 &amp; " (" &amp; VLOOKUP(C91, Tbl_ColorMap[],2,false) &amp; ")"</f>
        <v>1080 - Polished Burning Scene (Red)</v>
      </c>
      <c r="E91" s="23"/>
      <c r="F91" s="19" t="str">
        <f>IFERROR(__xludf.DUMMYFUNCTION("""COMPUTED_VALUE"""),"7033400-[Guardian] Successful guards send out shockwaves while
ability is active")</f>
        <v>7033400-[Guardian] Successful guards send out shockwaves while
ability is active</v>
      </c>
      <c r="G91" s="19" t="str">
        <f>IFERROR(__xludf.DUMMYFUNCTION("""COMPUTED_VALUE"""),"7034500-[Executor] While Character Skill is active,
unlocking use of cursed sword restores HP")</f>
        <v>7034500-[Executor] While Character Skill is active,
unlocking use of cursed sword restores HP</v>
      </c>
      <c r="H91" s="19" t="str">
        <f>IFERROR(__xludf.DUMMYFUNCTION("""COMPUTED_VALUE"""),"7035100-Critical Hit Boosts Stamina Recovery Speed")</f>
        <v>7035100-Critical Hit Boosts Stamina Recovery Speed</v>
      </c>
      <c r="L91" s="23"/>
      <c r="M91" s="19">
        <v>7033200.0</v>
      </c>
      <c r="N91" s="19">
        <v>7034400.0</v>
      </c>
      <c r="O91" s="19">
        <v>7034700.0</v>
      </c>
    </row>
    <row r="92">
      <c r="A92" s="19">
        <v>1090.0</v>
      </c>
      <c r="B92" s="19" t="s">
        <v>119</v>
      </c>
      <c r="C92" s="19">
        <v>3.0</v>
      </c>
      <c r="D92" s="19" t="str">
        <f>A92 &amp; " - " &amp; B92 &amp; " (" &amp; VLOOKUP(C92, Tbl_ColorMap[],2,false) &amp; ")"</f>
        <v>1090 - Polished Tranquil Scene (Green)</v>
      </c>
      <c r="E92" s="23"/>
      <c r="F92" s="19" t="str">
        <f>IFERROR(__xludf.DUMMYFUNCTION("""COMPUTED_VALUE"""),"7034100-[Recluse] Activating Ultimate Art raises Max HP")</f>
        <v>7034100-[Recluse] Activating Ultimate Art raises Max HP</v>
      </c>
      <c r="G92" s="19" t="str">
        <f>IFERROR(__xludf.DUMMYFUNCTION("""COMPUTED_VALUE"""),"7034600-[Ironeye] Art Charge Activation Adds Poison Effect")</f>
        <v>7034600-[Ironeye] Art Charge Activation Adds Poison Effect</v>
      </c>
      <c r="H92" s="19" t="str">
        <f>IFERROR(__xludf.DUMMYFUNCTION("""COMPUTED_VALUE"""),"7036100-HP Recovery From Successful Guarding")</f>
        <v>7036100-HP Recovery From Successful Guarding</v>
      </c>
      <c r="L92" s="23"/>
      <c r="M92" s="19">
        <v>7033400.0</v>
      </c>
      <c r="N92" s="19">
        <v>7034500.0</v>
      </c>
      <c r="O92" s="19">
        <v>7035100.0</v>
      </c>
    </row>
    <row r="93">
      <c r="A93" s="19">
        <v>1100.0</v>
      </c>
      <c r="B93" s="19" t="s">
        <v>119</v>
      </c>
      <c r="C93" s="19">
        <v>3.0</v>
      </c>
      <c r="D93" s="19" t="str">
        <f>A93 &amp; " - " &amp; B93 &amp; " (" &amp; VLOOKUP(C93, Tbl_ColorMap[],2,false) &amp; ")"</f>
        <v>1100 - Polished Tranquil Scene (Green)</v>
      </c>
      <c r="E93" s="23"/>
      <c r="F93" s="19" t="str">
        <f>IFERROR(__xludf.DUMMYFUNCTION("""COMPUTED_VALUE"""),"7034400-[Executor] Character Skill Boosts Attack but Attacking Drains HP")</f>
        <v>7034400-[Executor] Character Skill Boosts Attack but Attacking Drains HP</v>
      </c>
      <c r="G93" s="19" t="str">
        <f>IFERROR(__xludf.DUMMYFUNCTION("""COMPUTED_VALUE"""),"7034700-[Ironeye] Boosts thrusting counterattacks after executing Art")</f>
        <v>7034700-[Ironeye] Boosts thrusting counterattacks after executing Art</v>
      </c>
      <c r="H93" s="19" t="str">
        <f>IFERROR(__xludf.DUMMYFUNCTION("""COMPUTED_VALUE"""),"7040000-Improved Initial Standard Attack")</f>
        <v>7040000-Improved Initial Standard Attack</v>
      </c>
      <c r="L93" s="23"/>
      <c r="M93" s="19">
        <v>7034100.0</v>
      </c>
      <c r="N93" s="19">
        <v>7034600.0</v>
      </c>
      <c r="O93" s="19">
        <v>7036100.0</v>
      </c>
    </row>
    <row r="94">
      <c r="A94" s="19">
        <v>1110.0</v>
      </c>
      <c r="B94" s="19" t="s">
        <v>110</v>
      </c>
      <c r="C94" s="19">
        <v>0.0</v>
      </c>
      <c r="D94" s="19" t="str">
        <f>A94 &amp; " - " &amp; B94 &amp; " (" &amp; VLOOKUP(C94, Tbl_ColorMap[],2,false) &amp; ")"</f>
        <v>1110 - Polished Burning Scene (Red)</v>
      </c>
      <c r="E94" s="23"/>
      <c r="F94" s="19" t="str">
        <f>IFERROR(__xludf.DUMMYFUNCTION("""COMPUTED_VALUE"""),"7034500-[Executor] While Character Skill is active,
unlocking use of cursed sword restores HP")</f>
        <v>7034500-[Executor] While Character Skill is active,
unlocking use of cursed sword restores HP</v>
      </c>
      <c r="G94" s="19" t="str">
        <f>IFERROR(__xludf.DUMMYFUNCTION("""COMPUTED_VALUE"""),"7035100-Critical Hit Boosts Stamina Recovery Speed")</f>
        <v>7035100-Critical Hit Boosts Stamina Recovery Speed</v>
      </c>
      <c r="H94" s="19" t="str">
        <f>IFERROR(__xludf.DUMMYFUNCTION("""COMPUTED_VALUE"""),"7040100-Improved Guard Counters")</f>
        <v>7040100-Improved Guard Counters</v>
      </c>
      <c r="L94" s="23"/>
      <c r="M94" s="19">
        <v>7034400.0</v>
      </c>
      <c r="N94" s="19">
        <v>7034700.0</v>
      </c>
      <c r="O94" s="19">
        <v>7040000.0</v>
      </c>
    </row>
    <row r="95">
      <c r="A95" s="19">
        <v>1120.0</v>
      </c>
      <c r="B95" s="19" t="s">
        <v>110</v>
      </c>
      <c r="C95" s="19">
        <v>0.0</v>
      </c>
      <c r="D95" s="19" t="str">
        <f>A95 &amp; " - " &amp; B95 &amp; " (" &amp; VLOOKUP(C95, Tbl_ColorMap[],2,false) &amp; ")"</f>
        <v>1120 - Polished Burning Scene (Red)</v>
      </c>
      <c r="E95" s="23"/>
      <c r="F95" s="19" t="str">
        <f>IFERROR(__xludf.DUMMYFUNCTION("""COMPUTED_VALUE"""),"7034600-[Ironeye] Art Charge Activation Adds Poison Effect")</f>
        <v>7034600-[Ironeye] Art Charge Activation Adds Poison Effect</v>
      </c>
      <c r="G95" s="19" t="str">
        <f>IFERROR(__xludf.DUMMYFUNCTION("""COMPUTED_VALUE"""),"7036100-HP Recovery From Successful Guarding")</f>
        <v>7036100-HP Recovery From Successful Guarding</v>
      </c>
      <c r="H95" s="19" t="str">
        <f>IFERROR(__xludf.DUMMYFUNCTION("""COMPUTED_VALUE"""),"7040200-Improved Critical Hits")</f>
        <v>7040200-Improved Critical Hits</v>
      </c>
      <c r="L95" s="23"/>
      <c r="M95" s="19">
        <v>7034500.0</v>
      </c>
      <c r="N95" s="19">
        <v>7035100.0</v>
      </c>
      <c r="O95" s="19">
        <v>7040100.0</v>
      </c>
    </row>
    <row r="96">
      <c r="A96" s="19">
        <v>1130.0</v>
      </c>
      <c r="B96" s="19" t="s">
        <v>119</v>
      </c>
      <c r="C96" s="19">
        <v>3.0</v>
      </c>
      <c r="D96" s="19" t="str">
        <f>A96 &amp; " - " &amp; B96 &amp; " (" &amp; VLOOKUP(C96, Tbl_ColorMap[],2,false) &amp; ")"</f>
        <v>1130 - Polished Tranquil Scene (Green)</v>
      </c>
      <c r="E96" s="23"/>
      <c r="F96" s="19" t="str">
        <f>IFERROR(__xludf.DUMMYFUNCTION("""COMPUTED_VALUE"""),"7034700-[Ironeye] Boosts thrusting counterattacks after executing Art")</f>
        <v>7034700-[Ironeye] Boosts thrusting counterattacks after executing Art</v>
      </c>
      <c r="G96" s="19" t="str">
        <f>IFERROR(__xludf.DUMMYFUNCTION("""COMPUTED_VALUE"""),"7040000-Improved Initial Standard Attack")</f>
        <v>7040000-Improved Initial Standard Attack</v>
      </c>
      <c r="H96" s="19" t="str">
        <f>IFERROR(__xludf.DUMMYFUNCTION("""COMPUTED_VALUE"""),"7040300-Improved Throwing Pot Damage")</f>
        <v>7040300-Improved Throwing Pot Damage</v>
      </c>
      <c r="L96" s="23"/>
      <c r="M96" s="19">
        <v>7034600.0</v>
      </c>
      <c r="N96" s="19">
        <v>7036100.0</v>
      </c>
      <c r="O96" s="19">
        <v>7040200.0</v>
      </c>
    </row>
    <row r="97">
      <c r="A97" s="19">
        <v>1140.0</v>
      </c>
      <c r="B97" s="19" t="s">
        <v>116</v>
      </c>
      <c r="C97" s="19">
        <v>2.0</v>
      </c>
      <c r="D97" s="19" t="str">
        <f>A97 &amp; " - " &amp; B97 &amp; " (" &amp; VLOOKUP(C97, Tbl_ColorMap[],2,false) &amp; ")"</f>
        <v>1140 - Polished Luminous Scene (Yellow)</v>
      </c>
      <c r="E97" s="23"/>
      <c r="F97" s="19" t="str">
        <f>IFERROR(__xludf.DUMMYFUNCTION("""COMPUTED_VALUE"""),"7035100-Critical Hit Boosts Stamina Recovery Speed")</f>
        <v>7035100-Critical Hit Boosts Stamina Recovery Speed</v>
      </c>
      <c r="G97" s="19" t="str">
        <f>IFERROR(__xludf.DUMMYFUNCTION("""COMPUTED_VALUE"""),"7040100-Improved Guard Counters")</f>
        <v>7040100-Improved Guard Counters</v>
      </c>
      <c r="H97" s="19" t="str">
        <f>IFERROR(__xludf.DUMMYFUNCTION("""COMPUTED_VALUE"""),"7040400-Improved Throwing Knife Damage")</f>
        <v>7040400-Improved Throwing Knife Damage</v>
      </c>
      <c r="L97" s="23"/>
      <c r="M97" s="19">
        <v>7034700.0</v>
      </c>
      <c r="N97" s="19">
        <v>7040000.0</v>
      </c>
      <c r="O97" s="19">
        <v>7040300.0</v>
      </c>
    </row>
    <row r="98">
      <c r="A98" s="19">
        <v>1150.0</v>
      </c>
      <c r="B98" s="19" t="s">
        <v>116</v>
      </c>
      <c r="C98" s="19">
        <v>2.0</v>
      </c>
      <c r="D98" s="19" t="str">
        <f>A98 &amp; " - " &amp; B98 &amp; " (" &amp; VLOOKUP(C98, Tbl_ColorMap[],2,false) &amp; ")"</f>
        <v>1150 - Polished Luminous Scene (Yellow)</v>
      </c>
      <c r="E98" s="23"/>
      <c r="F98" s="19" t="str">
        <f>IFERROR(__xludf.DUMMYFUNCTION("""COMPUTED_VALUE"""),"7036100-HP Recovery From Successful Guarding")</f>
        <v>7036100-HP Recovery From Successful Guarding</v>
      </c>
      <c r="G98" s="19" t="str">
        <f>IFERROR(__xludf.DUMMYFUNCTION("""COMPUTED_VALUE"""),"7040200-Improved Critical Hits")</f>
        <v>7040200-Improved Critical Hits</v>
      </c>
      <c r="H98" s="19" t="str">
        <f>IFERROR(__xludf.DUMMYFUNCTION("""COMPUTED_VALUE"""),"7040500-Improved Glintstone and Gravity Stone Damage")</f>
        <v>7040500-Improved Glintstone and Gravity Stone Damage</v>
      </c>
      <c r="L98" s="23"/>
      <c r="M98" s="19">
        <v>7035100.0</v>
      </c>
      <c r="N98" s="19">
        <v>7040100.0</v>
      </c>
      <c r="O98" s="19">
        <v>7040400.0</v>
      </c>
    </row>
    <row r="99">
      <c r="A99" s="19">
        <v>1160.0</v>
      </c>
      <c r="B99" s="19" t="s">
        <v>113</v>
      </c>
      <c r="C99" s="19">
        <v>1.0</v>
      </c>
      <c r="D99" s="19" t="str">
        <f>A99 &amp; " - " &amp; B99 &amp; " (" &amp; VLOOKUP(C99, Tbl_ColorMap[],2,false) &amp; ")"</f>
        <v>1160 - Polished Drizzly Scene (Blue)</v>
      </c>
      <c r="E99" s="23"/>
      <c r="F99" s="19" t="str">
        <f>IFERROR(__xludf.DUMMYFUNCTION("""COMPUTED_VALUE"""),"7040000-Improved Initial Standard Attack")</f>
        <v>7040000-Improved Initial Standard Attack</v>
      </c>
      <c r="G99" s="19" t="str">
        <f>IFERROR(__xludf.DUMMYFUNCTION("""COMPUTED_VALUE"""),"7040300-Improved Throwing Pot Damage")</f>
        <v>7040300-Improved Throwing Pot Damage</v>
      </c>
      <c r="H99" s="19" t="str">
        <f>IFERROR(__xludf.DUMMYFUNCTION("""COMPUTED_VALUE"""),"7043000-Improved Roar &amp; Breath Attacks")</f>
        <v>7043000-Improved Roar &amp; Breath Attacks</v>
      </c>
      <c r="L99" s="23"/>
      <c r="M99" s="19">
        <v>7036100.0</v>
      </c>
      <c r="N99" s="19">
        <v>7040200.0</v>
      </c>
      <c r="O99" s="19">
        <v>7040500.0</v>
      </c>
    </row>
    <row r="100">
      <c r="A100" s="19">
        <v>1170.0</v>
      </c>
      <c r="B100" s="19" t="s">
        <v>113</v>
      </c>
      <c r="C100" s="19">
        <v>1.0</v>
      </c>
      <c r="D100" s="19" t="str">
        <f>A100 &amp; " - " &amp; B100 &amp; " (" &amp; VLOOKUP(C100, Tbl_ColorMap[],2,false) &amp; ")"</f>
        <v>1170 - Polished Drizzly Scene (Blue)</v>
      </c>
      <c r="E100" s="23"/>
      <c r="F100" s="19" t="str">
        <f>IFERROR(__xludf.DUMMYFUNCTION("""COMPUTED_VALUE"""),"7040100-Improved Guard Counters")</f>
        <v>7040100-Improved Guard Counters</v>
      </c>
      <c r="G100" s="19" t="str">
        <f>IFERROR(__xludf.DUMMYFUNCTION("""COMPUTED_VALUE"""),"7040400-Improved Throwing Knife Damage")</f>
        <v>7040400-Improved Throwing Knife Damage</v>
      </c>
      <c r="H100" s="19" t="str">
        <f>IFERROR(__xludf.DUMMYFUNCTION("""COMPUTED_VALUE"""),"7043100-Improved Perfuming Arts")</f>
        <v>7043100-Improved Perfuming Arts</v>
      </c>
      <c r="L100" s="23"/>
      <c r="M100" s="19">
        <v>7040000.0</v>
      </c>
      <c r="N100" s="19">
        <v>7040300.0</v>
      </c>
      <c r="O100" s="19">
        <v>7043000.0</v>
      </c>
    </row>
    <row r="101">
      <c r="A101" s="19">
        <v>1180.0</v>
      </c>
      <c r="B101" s="19" t="s">
        <v>111</v>
      </c>
      <c r="C101" s="19">
        <v>0.0</v>
      </c>
      <c r="D101" s="19" t="str">
        <f>A101 &amp; " - " &amp; B101 &amp; " (" &amp; VLOOKUP(C101, Tbl_ColorMap[],2,false) &amp; ")"</f>
        <v>1180 - Grand Burning Scene (Red)</v>
      </c>
      <c r="E101" s="23"/>
      <c r="F101" s="19" t="str">
        <f>IFERROR(__xludf.DUMMYFUNCTION("""COMPUTED_VALUE"""),"7040200-Improved Critical Hits")</f>
        <v>7040200-Improved Critical Hits</v>
      </c>
      <c r="G101" s="19" t="str">
        <f>IFERROR(__xludf.DUMMYFUNCTION("""COMPUTED_VALUE"""),"7040500-Improved Glintstone and Gravity Stone Damage")</f>
        <v>7040500-Improved Glintstone and Gravity Stone Damage</v>
      </c>
      <c r="H101" s="19" t="str">
        <f>IFERROR(__xludf.DUMMYFUNCTION("""COMPUTED_VALUE"""),"7043200-Improved Stonedigger Sorcery")</f>
        <v>7043200-Improved Stonedigger Sorcery</v>
      </c>
      <c r="L101" s="23"/>
      <c r="M101" s="19">
        <v>7040100.0</v>
      </c>
      <c r="N101" s="19">
        <v>7040400.0</v>
      </c>
      <c r="O101" s="19">
        <v>7043100.0</v>
      </c>
    </row>
    <row r="102">
      <c r="A102" s="19">
        <v>1190.0</v>
      </c>
      <c r="B102" s="19" t="s">
        <v>114</v>
      </c>
      <c r="C102" s="19">
        <v>1.0</v>
      </c>
      <c r="D102" s="19" t="str">
        <f>A102 &amp; " - " &amp; B102 &amp; " (" &amp; VLOOKUP(C102, Tbl_ColorMap[],2,false) &amp; ")"</f>
        <v>1190 - Grand Drizzly Scene (Blue)</v>
      </c>
      <c r="E102" s="23"/>
      <c r="F102" s="19" t="str">
        <f>IFERROR(__xludf.DUMMYFUNCTION("""COMPUTED_VALUE"""),"7040300-Improved Throwing Pot Damage")</f>
        <v>7040300-Improved Throwing Pot Damage</v>
      </c>
      <c r="G102" s="19" t="str">
        <f>IFERROR(__xludf.DUMMYFUNCTION("""COMPUTED_VALUE"""),"7043000-Improved Roar &amp; Breath Attacks")</f>
        <v>7043000-Improved Roar &amp; Breath Attacks</v>
      </c>
      <c r="H102" s="19" t="str">
        <f>IFERROR(__xludf.DUMMYFUNCTION("""COMPUTED_VALUE"""),"7043300-Improved Carian Sword Sorcery")</f>
        <v>7043300-Improved Carian Sword Sorcery</v>
      </c>
      <c r="L102" s="23"/>
      <c r="M102" s="19">
        <v>7040200.0</v>
      </c>
      <c r="N102" s="19">
        <v>7040500.0</v>
      </c>
      <c r="O102" s="19">
        <v>7043200.0</v>
      </c>
    </row>
    <row r="103">
      <c r="A103" s="19">
        <v>1200.0</v>
      </c>
      <c r="B103" s="19" t="s">
        <v>120</v>
      </c>
      <c r="C103" s="19">
        <v>3.0</v>
      </c>
      <c r="D103" s="19" t="str">
        <f>A103 &amp; " - " &amp; B103 &amp; " (" &amp; VLOOKUP(C103, Tbl_ColorMap[],2,false) &amp; ")"</f>
        <v>1200 - Grand Tranquil Scene (Green)</v>
      </c>
      <c r="E103" s="23"/>
      <c r="F103" s="19" t="str">
        <f>IFERROR(__xludf.DUMMYFUNCTION("""COMPUTED_VALUE"""),"7040400-Improved Throwing Knife Damage")</f>
        <v>7040400-Improved Throwing Knife Damage</v>
      </c>
      <c r="G103" s="19" t="str">
        <f>IFERROR(__xludf.DUMMYFUNCTION("""COMPUTED_VALUE"""),"7043100-Improved Perfuming Arts")</f>
        <v>7043100-Improved Perfuming Arts</v>
      </c>
      <c r="H103" s="19" t="str">
        <f>IFERROR(__xludf.DUMMYFUNCTION("""COMPUTED_VALUE"""),"7043400-Improved Glintblade Sorcery")</f>
        <v>7043400-Improved Glintblade Sorcery</v>
      </c>
      <c r="L103" s="23"/>
      <c r="M103" s="19">
        <v>7040300.0</v>
      </c>
      <c r="N103" s="19">
        <v>7043000.0</v>
      </c>
      <c r="O103" s="19">
        <v>7043300.0</v>
      </c>
    </row>
    <row r="104">
      <c r="A104" s="19">
        <v>1210.0</v>
      </c>
      <c r="B104" s="19" t="s">
        <v>120</v>
      </c>
      <c r="C104" s="19">
        <v>2.0</v>
      </c>
      <c r="D104" s="19" t="str">
        <f>A104 &amp; " - " &amp; B104 &amp; " (" &amp; VLOOKUP(C104, Tbl_ColorMap[],2,false) &amp; ")"</f>
        <v>1210 - Grand Tranquil Scene (Yellow)</v>
      </c>
      <c r="E104" s="23"/>
      <c r="F104" s="19" t="str">
        <f>IFERROR(__xludf.DUMMYFUNCTION("""COMPUTED_VALUE"""),"7040500-Improved Glintstone and Gravity Stone Damage")</f>
        <v>7040500-Improved Glintstone and Gravity Stone Damage</v>
      </c>
      <c r="G104" s="19" t="str">
        <f>IFERROR(__xludf.DUMMYFUNCTION("""COMPUTED_VALUE"""),"7043200-Improved Stonedigger Sorcery")</f>
        <v>7043200-Improved Stonedigger Sorcery</v>
      </c>
      <c r="H104" s="19" t="str">
        <f>IFERROR(__xludf.DUMMYFUNCTION("""COMPUTED_VALUE"""),"7043500-Improved Invisibility Sorcery")</f>
        <v>7043500-Improved Invisibility Sorcery</v>
      </c>
      <c r="L104" s="23"/>
      <c r="M104" s="19">
        <v>7040400.0</v>
      </c>
      <c r="N104" s="19">
        <v>7043100.0</v>
      </c>
      <c r="O104" s="19">
        <v>7043400.0</v>
      </c>
    </row>
    <row r="105">
      <c r="A105" s="19">
        <v>1220.0</v>
      </c>
      <c r="B105" s="19" t="s">
        <v>117</v>
      </c>
      <c r="C105" s="19">
        <v>2.0</v>
      </c>
      <c r="D105" s="19" t="str">
        <f>A105 &amp; " - " &amp; B105 &amp; " (" &amp; VLOOKUP(C105, Tbl_ColorMap[],2,false) &amp; ")"</f>
        <v>1220 - Grand Luminous Scene (Yellow)</v>
      </c>
      <c r="E105" s="23"/>
      <c r="F105" s="19" t="str">
        <f>IFERROR(__xludf.DUMMYFUNCTION("""COMPUTED_VALUE"""),"7043000-Improved Roar &amp; Breath Attacks")</f>
        <v>7043000-Improved Roar &amp; Breath Attacks</v>
      </c>
      <c r="G105" s="19" t="str">
        <f>IFERROR(__xludf.DUMMYFUNCTION("""COMPUTED_VALUE"""),"7043300-Improved Carian Sword Sorcery")</f>
        <v>7043300-Improved Carian Sword Sorcery</v>
      </c>
      <c r="H105" s="19" t="str">
        <f>IFERROR(__xludf.DUMMYFUNCTION("""COMPUTED_VALUE"""),"7043600-Improved Crystalian sorcery")</f>
        <v>7043600-Improved Crystalian sorcery</v>
      </c>
      <c r="L105" s="23"/>
      <c r="M105" s="19">
        <v>7040500.0</v>
      </c>
      <c r="N105" s="19">
        <v>7043200.0</v>
      </c>
      <c r="O105" s="19">
        <v>7043500.0</v>
      </c>
    </row>
    <row r="106">
      <c r="A106" s="19">
        <v>1230.0</v>
      </c>
      <c r="B106" s="19" t="s">
        <v>114</v>
      </c>
      <c r="C106" s="19">
        <v>1.0</v>
      </c>
      <c r="D106" s="19" t="str">
        <f>A106 &amp; " - " &amp; B106 &amp; " (" &amp; VLOOKUP(C106, Tbl_ColorMap[],2,false) &amp; ")"</f>
        <v>1230 - Grand Drizzly Scene (Blue)</v>
      </c>
      <c r="E106" s="23"/>
      <c r="F106" s="19" t="str">
        <f>IFERROR(__xludf.DUMMYFUNCTION("""COMPUTED_VALUE"""),"7043100-Improved Perfuming Arts")</f>
        <v>7043100-Improved Perfuming Arts</v>
      </c>
      <c r="G106" s="19" t="str">
        <f>IFERROR(__xludf.DUMMYFUNCTION("""COMPUTED_VALUE"""),"7043400-Improved Glintblade Sorcery")</f>
        <v>7043400-Improved Glintblade Sorcery</v>
      </c>
      <c r="H106" s="19" t="str">
        <f>IFERROR(__xludf.DUMMYFUNCTION("""COMPUTED_VALUE"""),"7043700-Improved Gravity Sorcery")</f>
        <v>7043700-Improved Gravity Sorcery</v>
      </c>
      <c r="L106" s="23"/>
      <c r="M106" s="19">
        <v>7043000.0</v>
      </c>
      <c r="N106" s="19">
        <v>7043300.0</v>
      </c>
      <c r="O106" s="19">
        <v>7043600.0</v>
      </c>
    </row>
    <row r="107">
      <c r="A107" s="19">
        <v>1240.0</v>
      </c>
      <c r="B107" s="19" t="s">
        <v>114</v>
      </c>
      <c r="C107" s="19">
        <v>1.0</v>
      </c>
      <c r="D107" s="19" t="str">
        <f>A107 &amp; " - " &amp; B107 &amp; " (" &amp; VLOOKUP(C107, Tbl_ColorMap[],2,false) &amp; ")"</f>
        <v>1240 - Grand Drizzly Scene (Blue)</v>
      </c>
      <c r="E107" s="23"/>
      <c r="F107" s="19" t="str">
        <f>IFERROR(__xludf.DUMMYFUNCTION("""COMPUTED_VALUE"""),"7043200-Improved Stonedigger Sorcery")</f>
        <v>7043200-Improved Stonedigger Sorcery</v>
      </c>
      <c r="G107" s="19" t="str">
        <f>IFERROR(__xludf.DUMMYFUNCTION("""COMPUTED_VALUE"""),"7043500-Improved Invisibility Sorcery")</f>
        <v>7043500-Improved Invisibility Sorcery</v>
      </c>
      <c r="H107" s="19" t="str">
        <f>IFERROR(__xludf.DUMMYFUNCTION("""COMPUTED_VALUE"""),"7043800-Improved Thorn Sorcery")</f>
        <v>7043800-Improved Thorn Sorcery</v>
      </c>
      <c r="L107" s="23"/>
      <c r="M107" s="19">
        <v>7043100.0</v>
      </c>
      <c r="N107" s="19">
        <v>7043400.0</v>
      </c>
      <c r="O107" s="19">
        <v>7043700.0</v>
      </c>
    </row>
    <row r="108">
      <c r="A108" s="19">
        <v>1250.0</v>
      </c>
      <c r="B108" s="19" t="s">
        <v>111</v>
      </c>
      <c r="C108" s="19">
        <v>0.0</v>
      </c>
      <c r="D108" s="19" t="str">
        <f>A108 &amp; " - " &amp; B108 &amp; " (" &amp; VLOOKUP(C108, Tbl_ColorMap[],2,false) &amp; ")"</f>
        <v>1250 - Grand Burning Scene (Red)</v>
      </c>
      <c r="E108" s="23"/>
      <c r="F108" s="19" t="str">
        <f>IFERROR(__xludf.DUMMYFUNCTION("""COMPUTED_VALUE"""),"7043300-Improved Carian Sword Sorcery")</f>
        <v>7043300-Improved Carian Sword Sorcery</v>
      </c>
      <c r="G108" s="19" t="str">
        <f>IFERROR(__xludf.DUMMYFUNCTION("""COMPUTED_VALUE"""),"7043600-Improved Crystalian sorcery")</f>
        <v>7043600-Improved Crystalian sorcery</v>
      </c>
      <c r="H108" s="19" t="str">
        <f>IFERROR(__xludf.DUMMYFUNCTION("""COMPUTED_VALUE"""),"7044000-Improved Fundamentalist Incantations")</f>
        <v>7044000-Improved Fundamentalist Incantations</v>
      </c>
      <c r="L108" s="23"/>
      <c r="M108" s="19">
        <v>7043200.0</v>
      </c>
      <c r="N108" s="19">
        <v>7043500.0</v>
      </c>
      <c r="O108" s="19">
        <v>7043800.0</v>
      </c>
    </row>
    <row r="109">
      <c r="A109" s="19">
        <v>1260.0</v>
      </c>
      <c r="B109" s="19" t="s">
        <v>111</v>
      </c>
      <c r="C109" s="19">
        <v>0.0</v>
      </c>
      <c r="D109" s="19" t="str">
        <f>A109 &amp; " - " &amp; B109 &amp; " (" &amp; VLOOKUP(C109, Tbl_ColorMap[],2,false) &amp; ")"</f>
        <v>1260 - Grand Burning Scene (Red)</v>
      </c>
      <c r="E109" s="23"/>
      <c r="F109" s="19" t="str">
        <f>IFERROR(__xludf.DUMMYFUNCTION("""COMPUTED_VALUE"""),"7043400-Improved Glintblade Sorcery")</f>
        <v>7043400-Improved Glintblade Sorcery</v>
      </c>
      <c r="G109" s="19" t="str">
        <f>IFERROR(__xludf.DUMMYFUNCTION("""COMPUTED_VALUE"""),"7043700-Improved Gravity Sorcery")</f>
        <v>7043700-Improved Gravity Sorcery</v>
      </c>
      <c r="H109" s="19" t="str">
        <f>IFERROR(__xludf.DUMMYFUNCTION("""COMPUTED_VALUE"""),"7044100-Improved Dragon Cult Incantations")</f>
        <v>7044100-Improved Dragon Cult Incantations</v>
      </c>
      <c r="L109" s="23"/>
      <c r="M109" s="19">
        <v>7043300.0</v>
      </c>
      <c r="N109" s="19">
        <v>7043600.0</v>
      </c>
      <c r="O109" s="19">
        <v>7044000.0</v>
      </c>
    </row>
    <row r="110">
      <c r="A110" s="19">
        <v>1270.0</v>
      </c>
      <c r="B110" s="19" t="s">
        <v>120</v>
      </c>
      <c r="C110" s="19">
        <v>3.0</v>
      </c>
      <c r="D110" s="19" t="str">
        <f>A110 &amp; " - " &amp; B110 &amp; " (" &amp; VLOOKUP(C110, Tbl_ColorMap[],2,false) &amp; ")"</f>
        <v>1270 - Grand Tranquil Scene (Green)</v>
      </c>
      <c r="E110" s="23"/>
      <c r="F110" s="19" t="str">
        <f>IFERROR(__xludf.DUMMYFUNCTION("""COMPUTED_VALUE"""),"7043500-Improved Invisibility Sorcery")</f>
        <v>7043500-Improved Invisibility Sorcery</v>
      </c>
      <c r="G110" s="19" t="str">
        <f>IFERROR(__xludf.DUMMYFUNCTION("""COMPUTED_VALUE"""),"7043800-Improved Thorn Sorcery")</f>
        <v>7043800-Improved Thorn Sorcery</v>
      </c>
      <c r="H110" s="19" t="str">
        <f>IFERROR(__xludf.DUMMYFUNCTION("""COMPUTED_VALUE"""),"7044200-Improved Giants' Flame Incantations")</f>
        <v>7044200-Improved Giants' Flame Incantations</v>
      </c>
      <c r="L110" s="23"/>
      <c r="M110" s="19">
        <v>7043400.0</v>
      </c>
      <c r="N110" s="19">
        <v>7043700.0</v>
      </c>
      <c r="O110" s="19">
        <v>7044100.0</v>
      </c>
    </row>
    <row r="111">
      <c r="A111" s="19">
        <v>1300.0</v>
      </c>
      <c r="B111" s="19" t="s">
        <v>111</v>
      </c>
      <c r="C111" s="19">
        <v>0.0</v>
      </c>
      <c r="D111" s="19" t="str">
        <f>A111 &amp; " - " &amp; B111 &amp; " (" &amp; VLOOKUP(C111, Tbl_ColorMap[],2,false) &amp; ")"</f>
        <v>1300 - Grand Burning Scene (Red)</v>
      </c>
      <c r="E111" s="23"/>
      <c r="F111" s="19" t="str">
        <f>IFERROR(__xludf.DUMMYFUNCTION("""COMPUTED_VALUE"""),"7043600-Improved Crystalian sorcery")</f>
        <v>7043600-Improved Crystalian sorcery</v>
      </c>
      <c r="G111" s="19" t="str">
        <f>IFERROR(__xludf.DUMMYFUNCTION("""COMPUTED_VALUE"""),"7044000-Improved Fundamentalist Incantations")</f>
        <v>7044000-Improved Fundamentalist Incantations</v>
      </c>
      <c r="H111" s="19" t="str">
        <f>IFERROR(__xludf.DUMMYFUNCTION("""COMPUTED_VALUE"""),"7044300-Improved Godslayer Incantations")</f>
        <v>7044300-Improved Godslayer Incantations</v>
      </c>
      <c r="L111" s="23"/>
      <c r="M111" s="19">
        <v>7043500.0</v>
      </c>
      <c r="N111" s="19">
        <v>7043800.0</v>
      </c>
      <c r="O111" s="19">
        <v>7044200.0</v>
      </c>
    </row>
    <row r="112">
      <c r="A112" s="19">
        <v>1310.0</v>
      </c>
      <c r="B112" s="19" t="s">
        <v>120</v>
      </c>
      <c r="C112" s="19">
        <v>3.0</v>
      </c>
      <c r="D112" s="19" t="str">
        <f>A112 &amp; " - " &amp; B112 &amp; " (" &amp; VLOOKUP(C112, Tbl_ColorMap[],2,false) &amp; ")"</f>
        <v>1310 - Grand Tranquil Scene (Green)</v>
      </c>
      <c r="E112" s="23"/>
      <c r="F112" s="19" t="str">
        <f>IFERROR(__xludf.DUMMYFUNCTION("""COMPUTED_VALUE"""),"7043700-Improved Gravity Sorcery")</f>
        <v>7043700-Improved Gravity Sorcery</v>
      </c>
      <c r="G112" s="19" t="str">
        <f>IFERROR(__xludf.DUMMYFUNCTION("""COMPUTED_VALUE"""),"7044100-Improved Dragon Cult Incantations")</f>
        <v>7044100-Improved Dragon Cult Incantations</v>
      </c>
      <c r="H112" s="19" t="str">
        <f>IFERROR(__xludf.DUMMYFUNCTION("""COMPUTED_VALUE"""),"7044400-Improved Bestial Incantations")</f>
        <v>7044400-Improved Bestial Incantations</v>
      </c>
      <c r="L112" s="23"/>
      <c r="M112" s="19">
        <v>7043600.0</v>
      </c>
      <c r="N112" s="19">
        <v>7044000.0</v>
      </c>
      <c r="O112" s="19">
        <v>7044300.0</v>
      </c>
    </row>
    <row r="113">
      <c r="A113" s="19">
        <v>1400.0</v>
      </c>
      <c r="B113" s="19" t="s">
        <v>114</v>
      </c>
      <c r="C113" s="19">
        <v>1.0</v>
      </c>
      <c r="D113" s="19" t="str">
        <f>A113 &amp; " - " &amp; B113 &amp; " (" &amp; VLOOKUP(C113, Tbl_ColorMap[],2,false) &amp; ")"</f>
        <v>1400 - Grand Drizzly Scene (Blue)</v>
      </c>
      <c r="E113" s="23"/>
      <c r="F113" s="19" t="str">
        <f>IFERROR(__xludf.DUMMYFUNCTION("""COMPUTED_VALUE"""),"7043800-Improved Thorn Sorcery")</f>
        <v>7043800-Improved Thorn Sorcery</v>
      </c>
      <c r="G113" s="19" t="str">
        <f>IFERROR(__xludf.DUMMYFUNCTION("""COMPUTED_VALUE"""),"7044200-Improved Giants' Flame Incantations")</f>
        <v>7044200-Improved Giants' Flame Incantations</v>
      </c>
      <c r="H113" s="19" t="str">
        <f>IFERROR(__xludf.DUMMYFUNCTION("""COMPUTED_VALUE"""),"7044500-Improved Frenzied Flame Incantations")</f>
        <v>7044500-Improved Frenzied Flame Incantations</v>
      </c>
      <c r="L113" s="23"/>
      <c r="M113" s="19">
        <v>7043700.0</v>
      </c>
      <c r="N113" s="19">
        <v>7044100.0</v>
      </c>
      <c r="O113" s="19">
        <v>7044400.0</v>
      </c>
    </row>
    <row r="114">
      <c r="A114" s="19">
        <v>1410.0</v>
      </c>
      <c r="B114" s="19" t="s">
        <v>111</v>
      </c>
      <c r="C114" s="19">
        <v>0.0</v>
      </c>
      <c r="D114" s="19" t="str">
        <f>A114 &amp; " - " &amp; B114 &amp; " (" &amp; VLOOKUP(C114, Tbl_ColorMap[],2,false) &amp; ")"</f>
        <v>1410 - Grand Burning Scene (Red)</v>
      </c>
      <c r="E114" s="23"/>
      <c r="F114" s="19" t="str">
        <f>IFERROR(__xludf.DUMMYFUNCTION("""COMPUTED_VALUE"""),"7044000-Improved Fundamentalist Incantations")</f>
        <v>7044000-Improved Fundamentalist Incantations</v>
      </c>
      <c r="G114" s="19" t="str">
        <f>IFERROR(__xludf.DUMMYFUNCTION("""COMPUTED_VALUE"""),"7044300-Improved Godslayer Incantations")</f>
        <v>7044300-Improved Godslayer Incantations</v>
      </c>
      <c r="H114" s="19" t="str">
        <f>IFERROR(__xludf.DUMMYFUNCTION("""COMPUTED_VALUE"""),"7044600-Improved Dragon Communion Incantations")</f>
        <v>7044600-Improved Dragon Communion Incantations</v>
      </c>
      <c r="L114" s="23"/>
      <c r="M114" s="19">
        <v>7043800.0</v>
      </c>
      <c r="N114" s="19">
        <v>7044200.0</v>
      </c>
      <c r="O114" s="19">
        <v>7044500.0</v>
      </c>
    </row>
    <row r="115">
      <c r="A115" s="19">
        <v>1420.0</v>
      </c>
      <c r="B115" s="19" t="s">
        <v>120</v>
      </c>
      <c r="C115" s="19">
        <v>3.0</v>
      </c>
      <c r="D115" s="19" t="str">
        <f>A115 &amp; " - " &amp; B115 &amp; " (" &amp; VLOOKUP(C115, Tbl_ColorMap[],2,false) &amp; ")"</f>
        <v>1420 - Grand Tranquil Scene (Green)</v>
      </c>
      <c r="E115" s="23"/>
      <c r="F115" s="19" t="str">
        <f>IFERROR(__xludf.DUMMYFUNCTION("""COMPUTED_VALUE"""),"7044100-Improved Dragon Cult Incantations")</f>
        <v>7044100-Improved Dragon Cult Incantations</v>
      </c>
      <c r="G115" s="19" t="str">
        <f>IFERROR(__xludf.DUMMYFUNCTION("""COMPUTED_VALUE"""),"7044400-Improved Bestial Incantations")</f>
        <v>7044400-Improved Bestial Incantations</v>
      </c>
      <c r="H115" s="19" t="str">
        <f>IFERROR(__xludf.DUMMYFUNCTION("""COMPUTED_VALUE"""),"7050000-Raised stamina recovery for nearby allies, but not
for self")</f>
        <v>7050000-Raised stamina recovery for nearby allies, but not
for self</v>
      </c>
      <c r="L115" s="23"/>
      <c r="M115" s="19">
        <v>7044000.0</v>
      </c>
      <c r="N115" s="19">
        <v>7044300.0</v>
      </c>
      <c r="O115" s="19">
        <v>7044600.0</v>
      </c>
    </row>
    <row r="116">
      <c r="A116" s="19">
        <v>1430.0</v>
      </c>
      <c r="B116" s="19" t="s">
        <v>120</v>
      </c>
      <c r="C116" s="19">
        <v>3.0</v>
      </c>
      <c r="D116" s="19" t="str">
        <f>A116 &amp; " - " &amp; B116 &amp; " (" &amp; VLOOKUP(C116, Tbl_ColorMap[],2,false) &amp; ")"</f>
        <v>1430 - Grand Tranquil Scene (Green)</v>
      </c>
      <c r="E116" s="23"/>
      <c r="F116" s="19" t="str">
        <f>IFERROR(__xludf.DUMMYFUNCTION("""COMPUTED_VALUE"""),"7044200-Improved Giants' Flame Incantations")</f>
        <v>7044200-Improved Giants' Flame Incantations</v>
      </c>
      <c r="G116" s="19" t="str">
        <f>IFERROR(__xludf.DUMMYFUNCTION("""COMPUTED_VALUE"""),"7044500-Improved Frenzied Flame Incantations")</f>
        <v>7044500-Improved Frenzied Flame Incantations</v>
      </c>
      <c r="H116" s="19" t="str">
        <f>IFERROR(__xludf.DUMMYFUNCTION("""COMPUTED_VALUE"""),"7050100-Items confer effect to all nearby allies")</f>
        <v>7050100-Items confer effect to all nearby allies</v>
      </c>
      <c r="L116" s="23"/>
      <c r="M116" s="19">
        <v>7044100.0</v>
      </c>
      <c r="N116" s="19">
        <v>7044400.0</v>
      </c>
      <c r="O116" s="19">
        <v>7050000.0</v>
      </c>
    </row>
    <row r="117">
      <c r="A117" s="19">
        <v>1440.0</v>
      </c>
      <c r="B117" s="19" t="s">
        <v>111</v>
      </c>
      <c r="C117" s="19">
        <v>0.0</v>
      </c>
      <c r="D117" s="19" t="str">
        <f>A117 &amp; " - " &amp; B117 &amp; " (" &amp; VLOOKUP(C117, Tbl_ColorMap[],2,false) &amp; ")"</f>
        <v>1440 - Grand Burning Scene (Red)</v>
      </c>
      <c r="E117" s="23"/>
      <c r="F117" s="19" t="str">
        <f>IFERROR(__xludf.DUMMYFUNCTION("""COMPUTED_VALUE"""),"7044300-Improved Godslayer Incantations")</f>
        <v>7044300-Improved Godslayer Incantations</v>
      </c>
      <c r="G117" s="19" t="str">
        <f>IFERROR(__xludf.DUMMYFUNCTION("""COMPUTED_VALUE"""),"7044600-Improved Dragon Communion Incantations")</f>
        <v>7044600-Improved Dragon Communion Incantations</v>
      </c>
      <c r="H117" s="19" t="str">
        <f>IFERROR(__xludf.DUMMYFUNCTION("""COMPUTED_VALUE"""),"7060000-Attack power increased for each evergaol prisoner defeated")</f>
        <v>7060000-Attack power increased for each evergaol prisoner defeated</v>
      </c>
      <c r="L117" s="23"/>
      <c r="M117" s="19">
        <v>7044200.0</v>
      </c>
      <c r="N117" s="19">
        <v>7044500.0</v>
      </c>
      <c r="O117" s="19">
        <v>7050100.0</v>
      </c>
    </row>
    <row r="118">
      <c r="A118" s="19">
        <v>1450.0</v>
      </c>
      <c r="B118" s="19" t="s">
        <v>117</v>
      </c>
      <c r="C118" s="19">
        <v>2.0</v>
      </c>
      <c r="D118" s="19" t="str">
        <f>A118 &amp; " - " &amp; B118 &amp; " (" &amp; VLOOKUP(C118, Tbl_ColorMap[],2,false) &amp; ")"</f>
        <v>1450 - Grand Luminous Scene (Yellow)</v>
      </c>
      <c r="E118" s="23"/>
      <c r="F118" s="19" t="str">
        <f>IFERROR(__xludf.DUMMYFUNCTION("""COMPUTED_VALUE"""),"7044400-Improved Bestial Incantations")</f>
        <v>7044400-Improved Bestial Incantations</v>
      </c>
      <c r="G118" s="19" t="str">
        <f>IFERROR(__xludf.DUMMYFUNCTION("""COMPUTED_VALUE"""),"7050000-Raised stamina recovery for nearby allies, but not
for self")</f>
        <v>7050000-Raised stamina recovery for nearby allies, but not
for self</v>
      </c>
      <c r="H118" s="19" t="str">
        <f>IFERROR(__xludf.DUMMYFUNCTION("""COMPUTED_VALUE"""),"7060100-Max FP increased for each Sorcerer's Rise unlocked")</f>
        <v>7060100-Max FP increased for each Sorcerer's Rise unlocked</v>
      </c>
      <c r="L118" s="23"/>
      <c r="M118" s="19">
        <v>7044300.0</v>
      </c>
      <c r="N118" s="19">
        <v>7044600.0</v>
      </c>
      <c r="O118" s="19">
        <v>7060000.0</v>
      </c>
    </row>
    <row r="119">
      <c r="A119" s="19">
        <v>1460.0</v>
      </c>
      <c r="B119" s="19" t="s">
        <v>114</v>
      </c>
      <c r="C119" s="19">
        <v>1.0</v>
      </c>
      <c r="D119" s="19" t="str">
        <f>A119 &amp; " - " &amp; B119 &amp; " (" &amp; VLOOKUP(C119, Tbl_ColorMap[],2,false) &amp; ")"</f>
        <v>1460 - Grand Drizzly Scene (Blue)</v>
      </c>
      <c r="E119" s="23"/>
      <c r="F119" s="19" t="str">
        <f>IFERROR(__xludf.DUMMYFUNCTION("""COMPUTED_VALUE"""),"7044500-Improved Frenzied Flame Incantations")</f>
        <v>7044500-Improved Frenzied Flame Incantations</v>
      </c>
      <c r="G119" s="19" t="str">
        <f>IFERROR(__xludf.DUMMYFUNCTION("""COMPUTED_VALUE"""),"7050100-Items confer effect to all nearby allies")</f>
        <v>7050100-Items confer effect to all nearby allies</v>
      </c>
      <c r="H119" s="19" t="str">
        <f>IFERROR(__xludf.DUMMYFUNCTION("""COMPUTED_VALUE"""),"7060200-Attack power increased for each Night Invader defeated")</f>
        <v>7060200-Attack power increased for each Night Invader defeated</v>
      </c>
      <c r="L119" s="23"/>
      <c r="M119" s="19">
        <v>7044400.0</v>
      </c>
      <c r="N119" s="19">
        <v>7050000.0</v>
      </c>
      <c r="O119" s="19">
        <v>7060100.0</v>
      </c>
    </row>
    <row r="120">
      <c r="A120" s="19">
        <v>1470.0</v>
      </c>
      <c r="B120" s="19" t="s">
        <v>117</v>
      </c>
      <c r="C120" s="19">
        <v>2.0</v>
      </c>
      <c r="D120" s="19" t="str">
        <f>A120 &amp; " - " &amp; B120 &amp; " (" &amp; VLOOKUP(C120, Tbl_ColorMap[],2,false) &amp; ")"</f>
        <v>1470 - Grand Luminous Scene (Yellow)</v>
      </c>
      <c r="E120" s="23"/>
      <c r="F120" s="19" t="str">
        <f>IFERROR(__xludf.DUMMYFUNCTION("""COMPUTED_VALUE"""),"7044600-Improved Dragon Communion Incantations")</f>
        <v>7044600-Improved Dragon Communion Incantations</v>
      </c>
      <c r="G120" s="19" t="str">
        <f>IFERROR(__xludf.DUMMYFUNCTION("""COMPUTED_VALUE"""),"7060000-Attack power increased for each evergaol prisoner defeated")</f>
        <v>7060000-Attack power increased for each evergaol prisoner defeated</v>
      </c>
      <c r="H120" s="19" t="str">
        <f>IFERROR(__xludf.DUMMYFUNCTION("""COMPUTED_VALUE"""),"7070000-Treasure marked upon map")</f>
        <v>7070000-Treasure marked upon map</v>
      </c>
      <c r="L120" s="23"/>
      <c r="M120" s="19">
        <v>7044500.0</v>
      </c>
      <c r="N120" s="19">
        <v>7050100.0</v>
      </c>
      <c r="O120" s="19">
        <v>7060200.0</v>
      </c>
    </row>
    <row r="121">
      <c r="A121" s="19">
        <v>1480.0</v>
      </c>
      <c r="B121" s="19" t="s">
        <v>111</v>
      </c>
      <c r="C121" s="19">
        <v>0.0</v>
      </c>
      <c r="D121" s="19" t="str">
        <f>A121 &amp; " - " &amp; B121 &amp; " (" &amp; VLOOKUP(C121, Tbl_ColorMap[],2,false) &amp; ")"</f>
        <v>1480 - Grand Burning Scene (Red)</v>
      </c>
      <c r="E121" s="23"/>
      <c r="F121" s="19" t="str">
        <f>IFERROR(__xludf.DUMMYFUNCTION("""COMPUTED_VALUE"""),"7050000-Raised stamina recovery for nearby allies, but not
for self")</f>
        <v>7050000-Raised stamina recovery for nearby allies, but not
for self</v>
      </c>
      <c r="G121" s="19" t="str">
        <f>IFERROR(__xludf.DUMMYFUNCTION("""COMPUTED_VALUE"""),"7060100-Max FP increased for each Sorcerer's Rise unlocked")</f>
        <v>7060100-Max FP increased for each Sorcerer's Rise unlocked</v>
      </c>
      <c r="H121" s="19" t="str">
        <f>IFERROR(__xludf.DUMMYFUNCTION("""COMPUTED_VALUE"""),"7080000-Improved Attack Power with 3+ Daggers Equipped")</f>
        <v>7080000-Improved Attack Power with 3+ Daggers Equipped</v>
      </c>
      <c r="L121" s="23"/>
      <c r="M121" s="19">
        <v>7044600.0</v>
      </c>
      <c r="N121" s="19">
        <v>7060000.0</v>
      </c>
      <c r="O121" s="19">
        <v>7070000.0</v>
      </c>
    </row>
    <row r="122">
      <c r="A122" s="19">
        <v>1490.0</v>
      </c>
      <c r="B122" s="19" t="s">
        <v>120</v>
      </c>
      <c r="C122" s="19">
        <v>3.0</v>
      </c>
      <c r="D122" s="19" t="str">
        <f>A122 &amp; " - " &amp; B122 &amp; " (" &amp; VLOOKUP(C122, Tbl_ColorMap[],2,false) &amp; ")"</f>
        <v>1490 - Grand Tranquil Scene (Green)</v>
      </c>
      <c r="E122" s="23"/>
      <c r="F122" s="19" t="str">
        <f>IFERROR(__xludf.DUMMYFUNCTION("""COMPUTED_VALUE"""),"7050100-Items confer effect to all nearby allies")</f>
        <v>7050100-Items confer effect to all nearby allies</v>
      </c>
      <c r="G122" s="19" t="str">
        <f>IFERROR(__xludf.DUMMYFUNCTION("""COMPUTED_VALUE"""),"7060200-Attack power increased for each Night Invader defeated")</f>
        <v>7060200-Attack power increased for each Night Invader defeated</v>
      </c>
      <c r="H122" s="19" t="str">
        <f>IFERROR(__xludf.DUMMYFUNCTION("""COMPUTED_VALUE"""),"7080100-Improved Attack Power with 3+ Straight Swords Equipped")</f>
        <v>7080100-Improved Attack Power with 3+ Straight Swords Equipped</v>
      </c>
      <c r="L122" s="23"/>
      <c r="M122" s="19">
        <v>7050000.0</v>
      </c>
      <c r="N122" s="19">
        <v>7060100.0</v>
      </c>
      <c r="O122" s="19">
        <v>7080000.0</v>
      </c>
    </row>
    <row r="123">
      <c r="A123" s="19">
        <v>1500.0</v>
      </c>
      <c r="B123" s="19" t="s">
        <v>111</v>
      </c>
      <c r="C123" s="19">
        <v>0.0</v>
      </c>
      <c r="D123" s="19" t="str">
        <f>A123 &amp; " - " &amp; B123 &amp; " (" &amp; VLOOKUP(C123, Tbl_ColorMap[],2,false) &amp; ")"</f>
        <v>1500 - Grand Burning Scene (Red)</v>
      </c>
      <c r="E123" s="23"/>
      <c r="F123" s="19" t="str">
        <f>IFERROR(__xludf.DUMMYFUNCTION("""COMPUTED_VALUE"""),"7060000-Attack power increased for each evergaol prisoner defeated")</f>
        <v>7060000-Attack power increased for each evergaol prisoner defeated</v>
      </c>
      <c r="G123" s="19" t="str">
        <f>IFERROR(__xludf.DUMMYFUNCTION("""COMPUTED_VALUE"""),"7070000-Treasure marked upon map")</f>
        <v>7070000-Treasure marked upon map</v>
      </c>
      <c r="H123" s="19" t="str">
        <f>IFERROR(__xludf.DUMMYFUNCTION("""COMPUTED_VALUE"""),"7080200-Improved Attack Power with 3+ Greatswords Equipped")</f>
        <v>7080200-Improved Attack Power with 3+ Greatswords Equipped</v>
      </c>
      <c r="L123" s="23"/>
      <c r="M123" s="19">
        <v>7050100.0</v>
      </c>
      <c r="N123" s="19">
        <v>7060200.0</v>
      </c>
      <c r="O123" s="19">
        <v>7080100.0</v>
      </c>
    </row>
    <row r="124">
      <c r="A124" s="19">
        <v>1510.0</v>
      </c>
      <c r="B124" s="19" t="s">
        <v>117</v>
      </c>
      <c r="C124" s="19">
        <v>2.0</v>
      </c>
      <c r="D124" s="19" t="str">
        <f>A124 &amp; " - " &amp; B124 &amp; " (" &amp; VLOOKUP(C124, Tbl_ColorMap[],2,false) &amp; ")"</f>
        <v>1510 - Grand Luminous Scene (Yellow)</v>
      </c>
      <c r="E124" s="23"/>
      <c r="F124" s="19" t="str">
        <f>IFERROR(__xludf.DUMMYFUNCTION("""COMPUTED_VALUE"""),"7060100-Max FP increased for each Sorcerer's Rise unlocked")</f>
        <v>7060100-Max FP increased for each Sorcerer's Rise unlocked</v>
      </c>
      <c r="G124" s="19" t="str">
        <f>IFERROR(__xludf.DUMMYFUNCTION("""COMPUTED_VALUE"""),"7080000-Improved Attack Power with 3+ Daggers Equipped")</f>
        <v>7080000-Improved Attack Power with 3+ Daggers Equipped</v>
      </c>
      <c r="H124" s="19" t="str">
        <f>IFERROR(__xludf.DUMMYFUNCTION("""COMPUTED_VALUE"""),"7080300-Improved Attack Power with 3+ Colossal Swords Equipped")</f>
        <v>7080300-Improved Attack Power with 3+ Colossal Swords Equipped</v>
      </c>
      <c r="L124" s="23"/>
      <c r="M124" s="19">
        <v>7060000.0</v>
      </c>
      <c r="N124" s="19">
        <v>7070000.0</v>
      </c>
      <c r="O124" s="19">
        <v>7080200.0</v>
      </c>
    </row>
    <row r="125">
      <c r="A125" s="19">
        <v>1520.0</v>
      </c>
      <c r="B125" s="19" t="s">
        <v>114</v>
      </c>
      <c r="C125" s="19">
        <v>1.0</v>
      </c>
      <c r="D125" s="19" t="str">
        <f>A125 &amp; " - " &amp; B125 &amp; " (" &amp; VLOOKUP(C125, Tbl_ColorMap[],2,false) &amp; ")"</f>
        <v>1520 - Grand Drizzly Scene (Blue)</v>
      </c>
      <c r="E125" s="23"/>
      <c r="F125" s="19" t="str">
        <f>IFERROR(__xludf.DUMMYFUNCTION("""COMPUTED_VALUE"""),"7060200-Attack power increased for each Night Invader defeated")</f>
        <v>7060200-Attack power increased for each Night Invader defeated</v>
      </c>
      <c r="G125" s="19" t="str">
        <f>IFERROR(__xludf.DUMMYFUNCTION("""COMPUTED_VALUE"""),"7080100-Improved Attack Power with 3+ Straight Swords Equipped")</f>
        <v>7080100-Improved Attack Power with 3+ Straight Swords Equipped</v>
      </c>
      <c r="H125" s="19" t="str">
        <f>IFERROR(__xludf.DUMMYFUNCTION("""COMPUTED_VALUE"""),"7080400-Improved Attack Power with 3+ Curved Swords Equipped")</f>
        <v>7080400-Improved Attack Power with 3+ Curved Swords Equipped</v>
      </c>
      <c r="L125" s="23"/>
      <c r="M125" s="19">
        <v>7060100.0</v>
      </c>
      <c r="N125" s="19">
        <v>7080000.0</v>
      </c>
      <c r="O125" s="19">
        <v>7080300.0</v>
      </c>
    </row>
    <row r="126">
      <c r="A126" s="19">
        <v>1600.0</v>
      </c>
      <c r="B126" s="19" t="s">
        <v>117</v>
      </c>
      <c r="C126" s="19">
        <v>2.0</v>
      </c>
      <c r="D126" s="19" t="str">
        <f>A126 &amp; " - " &amp; B126 &amp; " (" &amp; VLOOKUP(C126, Tbl_ColorMap[],2,false) &amp; ")"</f>
        <v>1600 - Grand Luminous Scene (Yellow)</v>
      </c>
      <c r="E126" s="23"/>
      <c r="F126" s="19" t="str">
        <f>IFERROR(__xludf.DUMMYFUNCTION("""COMPUTED_VALUE"""),"7070000-Treasure marked upon map")</f>
        <v>7070000-Treasure marked upon map</v>
      </c>
      <c r="G126" s="19" t="str">
        <f>IFERROR(__xludf.DUMMYFUNCTION("""COMPUTED_VALUE"""),"7080200-Improved Attack Power with 3+ Greatswords Equipped")</f>
        <v>7080200-Improved Attack Power with 3+ Greatswords Equipped</v>
      </c>
      <c r="H126" s="19" t="str">
        <f>IFERROR(__xludf.DUMMYFUNCTION("""COMPUTED_VALUE"""),"7080500-Improved Attack Power with 3+ Curved Greatswords Equipped")</f>
        <v>7080500-Improved Attack Power with 3+ Curved Greatswords Equipped</v>
      </c>
      <c r="L126" s="23"/>
      <c r="M126" s="19">
        <v>7060200.0</v>
      </c>
      <c r="N126" s="19">
        <v>7080100.0</v>
      </c>
      <c r="O126" s="19">
        <v>7080400.0</v>
      </c>
    </row>
    <row r="127">
      <c r="A127" s="19">
        <v>1610.0</v>
      </c>
      <c r="B127" s="19" t="s">
        <v>114</v>
      </c>
      <c r="C127" s="19">
        <v>1.0</v>
      </c>
      <c r="D127" s="19" t="str">
        <f>A127 &amp; " - " &amp; B127 &amp; " (" &amp; VLOOKUP(C127, Tbl_ColorMap[],2,false) &amp; ")"</f>
        <v>1610 - Grand Drizzly Scene (Blue)</v>
      </c>
      <c r="E127" s="23"/>
      <c r="F127" s="19" t="str">
        <f>IFERROR(__xludf.DUMMYFUNCTION("""COMPUTED_VALUE"""),"7080000-Improved Attack Power with 3+ Daggers Equipped")</f>
        <v>7080000-Improved Attack Power with 3+ Daggers Equipped</v>
      </c>
      <c r="G127" s="19" t="str">
        <f>IFERROR(__xludf.DUMMYFUNCTION("""COMPUTED_VALUE"""),"7080300-Improved Attack Power with 3+ Colossal Swords Equipped")</f>
        <v>7080300-Improved Attack Power with 3+ Colossal Swords Equipped</v>
      </c>
      <c r="H127" s="19" t="str">
        <f>IFERROR(__xludf.DUMMYFUNCTION("""COMPUTED_VALUE"""),"7080600-Improved Attack Power with 3+ Katana Equipped")</f>
        <v>7080600-Improved Attack Power with 3+ Katana Equipped</v>
      </c>
      <c r="L127" s="23"/>
      <c r="M127" s="19">
        <v>7070000.0</v>
      </c>
      <c r="N127" s="19">
        <v>7080200.0</v>
      </c>
      <c r="O127" s="19">
        <v>7080500.0</v>
      </c>
    </row>
    <row r="128">
      <c r="A128" s="19">
        <v>1620.0</v>
      </c>
      <c r="B128" s="19" t="s">
        <v>120</v>
      </c>
      <c r="C128" s="19">
        <v>3.0</v>
      </c>
      <c r="D128" s="19" t="str">
        <f>A128 &amp; " - " &amp; B128 &amp; " (" &amp; VLOOKUP(C128, Tbl_ColorMap[],2,false) &amp; ")"</f>
        <v>1620 - Grand Tranquil Scene (Green)</v>
      </c>
      <c r="E128" s="23"/>
      <c r="F128" s="19" t="str">
        <f>IFERROR(__xludf.DUMMYFUNCTION("""COMPUTED_VALUE"""),"7080100-Improved Attack Power with 3+ Straight Swords Equipped")</f>
        <v>7080100-Improved Attack Power with 3+ Straight Swords Equipped</v>
      </c>
      <c r="G128" s="19" t="str">
        <f>IFERROR(__xludf.DUMMYFUNCTION("""COMPUTED_VALUE"""),"7080400-Improved Attack Power with 3+ Curved Swords Equipped")</f>
        <v>7080400-Improved Attack Power with 3+ Curved Swords Equipped</v>
      </c>
      <c r="H128" s="19" t="str">
        <f>IFERROR(__xludf.DUMMYFUNCTION("""COMPUTED_VALUE"""),"7080700-Improved Attack Power with 3+ Twinblades Equipped")</f>
        <v>7080700-Improved Attack Power with 3+ Twinblades Equipped</v>
      </c>
      <c r="L128" s="23"/>
      <c r="M128" s="19">
        <v>7080000.0</v>
      </c>
      <c r="N128" s="19">
        <v>7080300.0</v>
      </c>
      <c r="O128" s="19">
        <v>7080600.0</v>
      </c>
    </row>
    <row r="129">
      <c r="A129" s="19">
        <v>1630.0</v>
      </c>
      <c r="B129" s="19" t="s">
        <v>117</v>
      </c>
      <c r="C129" s="19">
        <v>2.0</v>
      </c>
      <c r="D129" s="19" t="str">
        <f>A129 &amp; " - " &amp; B129 &amp; " (" &amp; VLOOKUP(C129, Tbl_ColorMap[],2,false) &amp; ")"</f>
        <v>1630 - Grand Luminous Scene (Yellow)</v>
      </c>
      <c r="E129" s="23"/>
      <c r="F129" s="19" t="str">
        <f>IFERROR(__xludf.DUMMYFUNCTION("""COMPUTED_VALUE"""),"7080200-Improved Attack Power with 3+ Greatswords Equipped")</f>
        <v>7080200-Improved Attack Power with 3+ Greatswords Equipped</v>
      </c>
      <c r="G129" s="19" t="str">
        <f>IFERROR(__xludf.DUMMYFUNCTION("""COMPUTED_VALUE"""),"7080500-Improved Attack Power with 3+ Curved Greatswords Equipped")</f>
        <v>7080500-Improved Attack Power with 3+ Curved Greatswords Equipped</v>
      </c>
      <c r="H129" s="19" t="str">
        <f>IFERROR(__xludf.DUMMYFUNCTION("""COMPUTED_VALUE"""),"7080800-Improved Attack Power with 3+ Thrusting Swords Equipped")</f>
        <v>7080800-Improved Attack Power with 3+ Thrusting Swords Equipped</v>
      </c>
      <c r="L129" s="23"/>
      <c r="M129" s="19">
        <v>7080100.0</v>
      </c>
      <c r="N129" s="19">
        <v>7080400.0</v>
      </c>
      <c r="O129" s="19">
        <v>7080700.0</v>
      </c>
    </row>
    <row r="130">
      <c r="A130" s="19">
        <v>1640.0</v>
      </c>
      <c r="B130" s="19" t="s">
        <v>120</v>
      </c>
      <c r="C130" s="19">
        <v>3.0</v>
      </c>
      <c r="D130" s="19" t="str">
        <f>A130 &amp; " - " &amp; B130 &amp; " (" &amp; VLOOKUP(C130, Tbl_ColorMap[],2,false) &amp; ")"</f>
        <v>1640 - Grand Tranquil Scene (Green)</v>
      </c>
      <c r="E130" s="23"/>
      <c r="F130" s="19" t="str">
        <f>IFERROR(__xludf.DUMMYFUNCTION("""COMPUTED_VALUE"""),"7080300-Improved Attack Power with 3+ Colossal Swords Equipped")</f>
        <v>7080300-Improved Attack Power with 3+ Colossal Swords Equipped</v>
      </c>
      <c r="G130" s="19" t="str">
        <f>IFERROR(__xludf.DUMMYFUNCTION("""COMPUTED_VALUE"""),"7080600-Improved Attack Power with 3+ Katana Equipped")</f>
        <v>7080600-Improved Attack Power with 3+ Katana Equipped</v>
      </c>
      <c r="H130" s="19" t="str">
        <f>IFERROR(__xludf.DUMMYFUNCTION("""COMPUTED_VALUE"""),"7080900-Improved Attack Power with 3+ Heavy Thrusting Swords Equipped")</f>
        <v>7080900-Improved Attack Power with 3+ Heavy Thrusting Swords Equipped</v>
      </c>
      <c r="L130" s="23"/>
      <c r="M130" s="19">
        <v>7080200.0</v>
      </c>
      <c r="N130" s="19">
        <v>7080500.0</v>
      </c>
      <c r="O130" s="19">
        <v>7080800.0</v>
      </c>
    </row>
    <row r="131">
      <c r="A131" s="19">
        <v>1650.0</v>
      </c>
      <c r="B131" s="19" t="s">
        <v>111</v>
      </c>
      <c r="C131" s="19">
        <v>0.0</v>
      </c>
      <c r="D131" s="19" t="str">
        <f>A131 &amp; " - " &amp; B131 &amp; " (" &amp; VLOOKUP(C131, Tbl_ColorMap[],2,false) &amp; ")"</f>
        <v>1650 - Grand Burning Scene (Red)</v>
      </c>
      <c r="E131" s="23"/>
      <c r="F131" s="19" t="str">
        <f>IFERROR(__xludf.DUMMYFUNCTION("""COMPUTED_VALUE"""),"7080400-Improved Attack Power with 3+ Curved Swords Equipped")</f>
        <v>7080400-Improved Attack Power with 3+ Curved Swords Equipped</v>
      </c>
      <c r="G131" s="19" t="str">
        <f>IFERROR(__xludf.DUMMYFUNCTION("""COMPUTED_VALUE"""),"7080700-Improved Attack Power with 3+ Twinblades Equipped")</f>
        <v>7080700-Improved Attack Power with 3+ Twinblades Equipped</v>
      </c>
      <c r="H131" s="19" t="str">
        <f>IFERROR(__xludf.DUMMYFUNCTION("""COMPUTED_VALUE"""),"7081000-Improved Attack Power with 3+ Axes Equipped")</f>
        <v>7081000-Improved Attack Power with 3+ Axes Equipped</v>
      </c>
      <c r="L131" s="23"/>
      <c r="M131" s="19">
        <v>7080300.0</v>
      </c>
      <c r="N131" s="19">
        <v>7080600.0</v>
      </c>
      <c r="O131" s="19">
        <v>7080900.0</v>
      </c>
    </row>
    <row r="132">
      <c r="A132" s="19">
        <v>1660.0</v>
      </c>
      <c r="B132" s="19" t="s">
        <v>111</v>
      </c>
      <c r="C132" s="19">
        <v>0.0</v>
      </c>
      <c r="D132" s="19" t="str">
        <f>A132 &amp; " - " &amp; B132 &amp; " (" &amp; VLOOKUP(C132, Tbl_ColorMap[],2,false) &amp; ")"</f>
        <v>1660 - Grand Burning Scene (Red)</v>
      </c>
      <c r="E132" s="23"/>
      <c r="F132" s="19" t="str">
        <f>IFERROR(__xludf.DUMMYFUNCTION("""COMPUTED_VALUE"""),"7080500-Improved Attack Power with 3+ Curved Greatswords Equipped")</f>
        <v>7080500-Improved Attack Power with 3+ Curved Greatswords Equipped</v>
      </c>
      <c r="G132" s="19" t="str">
        <f>IFERROR(__xludf.DUMMYFUNCTION("""COMPUTED_VALUE"""),"7080800-Improved Attack Power with 3+ Thrusting Swords Equipped")</f>
        <v>7080800-Improved Attack Power with 3+ Thrusting Swords Equipped</v>
      </c>
      <c r="H132" s="19" t="str">
        <f>IFERROR(__xludf.DUMMYFUNCTION("""COMPUTED_VALUE"""),"7081100-Improved Attack Power with 3+ Greataxes Equipped")</f>
        <v>7081100-Improved Attack Power with 3+ Greataxes Equipped</v>
      </c>
      <c r="L132" s="23"/>
      <c r="M132" s="19">
        <v>7080400.0</v>
      </c>
      <c r="N132" s="19">
        <v>7080700.0</v>
      </c>
      <c r="O132" s="19">
        <v>7081000.0</v>
      </c>
    </row>
    <row r="133">
      <c r="A133" s="19">
        <v>1670.0</v>
      </c>
      <c r="B133" s="19" t="s">
        <v>117</v>
      </c>
      <c r="C133" s="19">
        <v>2.0</v>
      </c>
      <c r="D133" s="19" t="str">
        <f>A133 &amp; " - " &amp; B133 &amp; " (" &amp; VLOOKUP(C133, Tbl_ColorMap[],2,false) &amp; ")"</f>
        <v>1670 - Grand Luminous Scene (Yellow)</v>
      </c>
      <c r="E133" s="23"/>
      <c r="F133" s="19" t="str">
        <f>IFERROR(__xludf.DUMMYFUNCTION("""COMPUTED_VALUE"""),"7080600-Improved Attack Power with 3+ Katana Equipped")</f>
        <v>7080600-Improved Attack Power with 3+ Katana Equipped</v>
      </c>
      <c r="G133" s="19" t="str">
        <f>IFERROR(__xludf.DUMMYFUNCTION("""COMPUTED_VALUE"""),"7080900-Improved Attack Power with 3+ Heavy Thrusting Swords Equipped")</f>
        <v>7080900-Improved Attack Power with 3+ Heavy Thrusting Swords Equipped</v>
      </c>
      <c r="H133" s="19" t="str">
        <f>IFERROR(__xludf.DUMMYFUNCTION("""COMPUTED_VALUE"""),"7081200-Improved Attack Power with 3+ Hammers Equipped")</f>
        <v>7081200-Improved Attack Power with 3+ Hammers Equipped</v>
      </c>
      <c r="L133" s="23"/>
      <c r="M133" s="19">
        <v>7080500.0</v>
      </c>
      <c r="N133" s="19">
        <v>7080800.0</v>
      </c>
      <c r="O133" s="19">
        <v>7081100.0</v>
      </c>
    </row>
    <row r="134">
      <c r="A134" s="19">
        <v>1680.0</v>
      </c>
      <c r="B134" s="19" t="s">
        <v>114</v>
      </c>
      <c r="C134" s="19">
        <v>1.0</v>
      </c>
      <c r="D134" s="19" t="str">
        <f>A134 &amp; " - " &amp; B134 &amp; " (" &amp; VLOOKUP(C134, Tbl_ColorMap[],2,false) &amp; ")"</f>
        <v>1680 - Grand Drizzly Scene (Blue)</v>
      </c>
      <c r="E134" s="23"/>
      <c r="F134" s="19" t="str">
        <f>IFERROR(__xludf.DUMMYFUNCTION("""COMPUTED_VALUE"""),"7080700-Improved Attack Power with 3+ Twinblades Equipped")</f>
        <v>7080700-Improved Attack Power with 3+ Twinblades Equipped</v>
      </c>
      <c r="G134" s="19" t="str">
        <f>IFERROR(__xludf.DUMMYFUNCTION("""COMPUTED_VALUE"""),"7081000-Improved Attack Power with 3+ Axes Equipped")</f>
        <v>7081000-Improved Attack Power with 3+ Axes Equipped</v>
      </c>
      <c r="H134" s="19" t="str">
        <f>IFERROR(__xludf.DUMMYFUNCTION("""COMPUTED_VALUE"""),"7081300-Improved Attack Power with 3+ Great Hammers Equipped")</f>
        <v>7081300-Improved Attack Power with 3+ Great Hammers Equipped</v>
      </c>
      <c r="L134" s="23"/>
      <c r="M134" s="19">
        <v>7080600.0</v>
      </c>
      <c r="N134" s="19">
        <v>7080900.0</v>
      </c>
      <c r="O134" s="19">
        <v>7081200.0</v>
      </c>
    </row>
    <row r="135">
      <c r="A135" s="19">
        <v>1690.0</v>
      </c>
      <c r="B135" s="19" t="s">
        <v>120</v>
      </c>
      <c r="C135" s="19">
        <v>3.0</v>
      </c>
      <c r="D135" s="19" t="str">
        <f>A135 &amp; " - " &amp; B135 &amp; " (" &amp; VLOOKUP(C135, Tbl_ColorMap[],2,false) &amp; ")"</f>
        <v>1690 - Grand Tranquil Scene (Green)</v>
      </c>
      <c r="E135" s="23"/>
      <c r="F135" s="19" t="str">
        <f>IFERROR(__xludf.DUMMYFUNCTION("""COMPUTED_VALUE"""),"7080800-Improved Attack Power with 3+ Thrusting Swords Equipped")</f>
        <v>7080800-Improved Attack Power with 3+ Thrusting Swords Equipped</v>
      </c>
      <c r="G135" s="19" t="str">
        <f>IFERROR(__xludf.DUMMYFUNCTION("""COMPUTED_VALUE"""),"7081100-Improved Attack Power with 3+ Greataxes Equipped")</f>
        <v>7081100-Improved Attack Power with 3+ Greataxes Equipped</v>
      </c>
      <c r="H135" s="19" t="str">
        <f>IFERROR(__xludf.DUMMYFUNCTION("""COMPUTED_VALUE"""),"7081400-Improved Attack Power with 3+ Flails Equipped")</f>
        <v>7081400-Improved Attack Power with 3+ Flails Equipped</v>
      </c>
      <c r="L135" s="23"/>
      <c r="M135" s="19">
        <v>7080700.0</v>
      </c>
      <c r="N135" s="19">
        <v>7081000.0</v>
      </c>
      <c r="O135" s="19">
        <v>7081300.0</v>
      </c>
    </row>
    <row r="136">
      <c r="A136" s="19">
        <v>1700.0</v>
      </c>
      <c r="B136" s="19" t="s">
        <v>114</v>
      </c>
      <c r="C136" s="19">
        <v>1.0</v>
      </c>
      <c r="D136" s="19" t="str">
        <f>A136 &amp; " - " &amp; B136 &amp; " (" &amp; VLOOKUP(C136, Tbl_ColorMap[],2,false) &amp; ")"</f>
        <v>1700 - Grand Drizzly Scene (Blue)</v>
      </c>
      <c r="E136" s="23"/>
      <c r="F136" s="19" t="str">
        <f>IFERROR(__xludf.DUMMYFUNCTION("""COMPUTED_VALUE"""),"7080900-Improved Attack Power with 3+ Heavy Thrusting Swords Equipped")</f>
        <v>7080900-Improved Attack Power with 3+ Heavy Thrusting Swords Equipped</v>
      </c>
      <c r="G136" s="19" t="str">
        <f>IFERROR(__xludf.DUMMYFUNCTION("""COMPUTED_VALUE"""),"7081200-Improved Attack Power with 3+ Hammers Equipped")</f>
        <v>7081200-Improved Attack Power with 3+ Hammers Equipped</v>
      </c>
      <c r="H136" s="19" t="str">
        <f>IFERROR(__xludf.DUMMYFUNCTION("""COMPUTED_VALUE"""),"7081500-Improved Attack Power with 3+ Spears Equipped")</f>
        <v>7081500-Improved Attack Power with 3+ Spears Equipped</v>
      </c>
      <c r="L136" s="23"/>
      <c r="M136" s="19">
        <v>7080800.0</v>
      </c>
      <c r="N136" s="19">
        <v>7081100.0</v>
      </c>
      <c r="O136" s="19">
        <v>7081400.0</v>
      </c>
    </row>
    <row r="137">
      <c r="A137" s="19">
        <v>1710.0</v>
      </c>
      <c r="B137" s="19" t="s">
        <v>111</v>
      </c>
      <c r="C137" s="19">
        <v>0.0</v>
      </c>
      <c r="D137" s="19" t="str">
        <f>A137 &amp; " - " &amp; B137 &amp; " (" &amp; VLOOKUP(C137, Tbl_ColorMap[],2,false) &amp; ")"</f>
        <v>1710 - Grand Burning Scene (Red)</v>
      </c>
      <c r="E137" s="23"/>
      <c r="F137" s="19" t="str">
        <f>IFERROR(__xludf.DUMMYFUNCTION("""COMPUTED_VALUE"""),"7081000-Improved Attack Power with 3+ Axes Equipped")</f>
        <v>7081000-Improved Attack Power with 3+ Axes Equipped</v>
      </c>
      <c r="G137" s="19" t="str">
        <f>IFERROR(__xludf.DUMMYFUNCTION("""COMPUTED_VALUE"""),"7081300-Improved Attack Power with 3+ Great Hammers Equipped")</f>
        <v>7081300-Improved Attack Power with 3+ Great Hammers Equipped</v>
      </c>
      <c r="H137" s="19" t="str">
        <f>IFERROR(__xludf.DUMMYFUNCTION("""COMPUTED_VALUE"""),"7081700-Improved Attack Power with 3+ Great Spears Equipped")</f>
        <v>7081700-Improved Attack Power with 3+ Great Spears Equipped</v>
      </c>
      <c r="L137" s="23"/>
      <c r="M137" s="19">
        <v>7080900.0</v>
      </c>
      <c r="N137" s="19">
        <v>7081200.0</v>
      </c>
      <c r="O137" s="19">
        <v>7081500.0</v>
      </c>
    </row>
    <row r="138">
      <c r="A138" s="19">
        <v>1720.0</v>
      </c>
      <c r="B138" s="19" t="s">
        <v>111</v>
      </c>
      <c r="C138" s="19">
        <v>0.0</v>
      </c>
      <c r="D138" s="19" t="str">
        <f>A138 &amp; " - " &amp; B138 &amp; " (" &amp; VLOOKUP(C138, Tbl_ColorMap[],2,false) &amp; ")"</f>
        <v>1720 - Grand Burning Scene (Red)</v>
      </c>
      <c r="E138" s="23"/>
      <c r="F138" s="19" t="str">
        <f>IFERROR(__xludf.DUMMYFUNCTION("""COMPUTED_VALUE"""),"7081100-Improved Attack Power with 3+ Greataxes Equipped")</f>
        <v>7081100-Improved Attack Power with 3+ Greataxes Equipped</v>
      </c>
      <c r="G138" s="19" t="str">
        <f>IFERROR(__xludf.DUMMYFUNCTION("""COMPUTED_VALUE"""),"7081400-Improved Attack Power with 3+ Flails Equipped")</f>
        <v>7081400-Improved Attack Power with 3+ Flails Equipped</v>
      </c>
      <c r="H138" s="19" t="str">
        <f>IFERROR(__xludf.DUMMYFUNCTION("""COMPUTED_VALUE"""),"7081800-Improved Attack Power with 3+ Halberds Equipped")</f>
        <v>7081800-Improved Attack Power with 3+ Halberds Equipped</v>
      </c>
      <c r="L138" s="23"/>
      <c r="M138" s="19">
        <v>7081000.0</v>
      </c>
      <c r="N138" s="19">
        <v>7081300.0</v>
      </c>
      <c r="O138" s="19">
        <v>7081700.0</v>
      </c>
    </row>
    <row r="139">
      <c r="A139" s="19">
        <v>1730.0</v>
      </c>
      <c r="B139" s="19" t="s">
        <v>114</v>
      </c>
      <c r="C139" s="19">
        <v>1.0</v>
      </c>
      <c r="D139" s="19" t="str">
        <f>A139 &amp; " - " &amp; B139 &amp; " (" &amp; VLOOKUP(C139, Tbl_ColorMap[],2,false) &amp; ")"</f>
        <v>1730 - Grand Drizzly Scene (Blue)</v>
      </c>
      <c r="E139" s="23"/>
      <c r="F139" s="19" t="str">
        <f>IFERROR(__xludf.DUMMYFUNCTION("""COMPUTED_VALUE"""),"7081200-Improved Attack Power with 3+ Hammers Equipped")</f>
        <v>7081200-Improved Attack Power with 3+ Hammers Equipped</v>
      </c>
      <c r="G139" s="19" t="str">
        <f>IFERROR(__xludf.DUMMYFUNCTION("""COMPUTED_VALUE"""),"7081500-Improved Attack Power with 3+ Spears Equipped")</f>
        <v>7081500-Improved Attack Power with 3+ Spears Equipped</v>
      </c>
      <c r="H139" s="19" t="str">
        <f>IFERROR(__xludf.DUMMYFUNCTION("""COMPUTED_VALUE"""),"7081900-Improved Attack Power with 3+ Reapers Equipped")</f>
        <v>7081900-Improved Attack Power with 3+ Reapers Equipped</v>
      </c>
      <c r="L139" s="23"/>
      <c r="M139" s="19">
        <v>7081100.0</v>
      </c>
      <c r="N139" s="19">
        <v>7081400.0</v>
      </c>
      <c r="O139" s="19">
        <v>7081800.0</v>
      </c>
    </row>
    <row r="140">
      <c r="A140" s="19">
        <v>1740.0</v>
      </c>
      <c r="B140" s="19" t="s">
        <v>117</v>
      </c>
      <c r="C140" s="19">
        <v>2.0</v>
      </c>
      <c r="D140" s="19" t="str">
        <f>A140 &amp; " - " &amp; B140 &amp; " (" &amp; VLOOKUP(C140, Tbl_ColorMap[],2,false) &amp; ")"</f>
        <v>1740 - Grand Luminous Scene (Yellow)</v>
      </c>
      <c r="E140" s="23"/>
      <c r="F140" s="19" t="str">
        <f>IFERROR(__xludf.DUMMYFUNCTION("""COMPUTED_VALUE"""),"7081300-Improved Attack Power with 3+ Great Hammers Equipped")</f>
        <v>7081300-Improved Attack Power with 3+ Great Hammers Equipped</v>
      </c>
      <c r="G140" s="19" t="str">
        <f>IFERROR(__xludf.DUMMYFUNCTION("""COMPUTED_VALUE"""),"7081700-Improved Attack Power with 3+ Great Spears Equipped")</f>
        <v>7081700-Improved Attack Power with 3+ Great Spears Equipped</v>
      </c>
      <c r="H140" s="19" t="str">
        <f>IFERROR(__xludf.DUMMYFUNCTION("""COMPUTED_VALUE"""),"7082000-Improved Attack Power with 3+ Fists Equipped")</f>
        <v>7082000-Improved Attack Power with 3+ Fists Equipped</v>
      </c>
      <c r="L140" s="23"/>
      <c r="M140" s="19">
        <v>7081200.0</v>
      </c>
      <c r="N140" s="19">
        <v>7081500.0</v>
      </c>
      <c r="O140" s="19">
        <v>7081900.0</v>
      </c>
    </row>
    <row r="141">
      <c r="A141" s="19">
        <v>1750.0</v>
      </c>
      <c r="B141" s="19" t="s">
        <v>120</v>
      </c>
      <c r="C141" s="19">
        <v>3.0</v>
      </c>
      <c r="D141" s="19" t="str">
        <f>A141 &amp; " - " &amp; B141 &amp; " (" &amp; VLOOKUP(C141, Tbl_ColorMap[],2,false) &amp; ")"</f>
        <v>1750 - Grand Tranquil Scene (Green)</v>
      </c>
      <c r="E141" s="23"/>
      <c r="F141" s="19" t="str">
        <f>IFERROR(__xludf.DUMMYFUNCTION("""COMPUTED_VALUE"""),"7081400-Improved Attack Power with 3+ Flails Equipped")</f>
        <v>7081400-Improved Attack Power with 3+ Flails Equipped</v>
      </c>
      <c r="G141" s="19" t="str">
        <f>IFERROR(__xludf.DUMMYFUNCTION("""COMPUTED_VALUE"""),"7081800-Improved Attack Power with 3+ Halberds Equipped")</f>
        <v>7081800-Improved Attack Power with 3+ Halberds Equipped</v>
      </c>
      <c r="H141" s="19" t="str">
        <f>IFERROR(__xludf.DUMMYFUNCTION("""COMPUTED_VALUE"""),"7082100-Improved Attack Power with 3+ Claws Equipped")</f>
        <v>7082100-Improved Attack Power with 3+ Claws Equipped</v>
      </c>
      <c r="L141" s="23"/>
      <c r="M141" s="19">
        <v>7081300.0</v>
      </c>
      <c r="N141" s="19">
        <v>7081700.0</v>
      </c>
      <c r="O141" s="19">
        <v>7082000.0</v>
      </c>
    </row>
    <row r="142">
      <c r="A142" s="19">
        <v>1800.0</v>
      </c>
      <c r="B142" s="19" t="s">
        <v>117</v>
      </c>
      <c r="C142" s="19">
        <v>2.0</v>
      </c>
      <c r="D142" s="19" t="str">
        <f>A142 &amp; " - " &amp; B142 &amp; " (" &amp; VLOOKUP(C142, Tbl_ColorMap[],2,false) &amp; ")"</f>
        <v>1800 - Grand Luminous Scene (Yellow)</v>
      </c>
      <c r="E142" s="23"/>
      <c r="F142" s="19" t="str">
        <f>IFERROR(__xludf.DUMMYFUNCTION("""COMPUTED_VALUE"""),"7081500-Improved Attack Power with 3+ Spears Equipped")</f>
        <v>7081500-Improved Attack Power with 3+ Spears Equipped</v>
      </c>
      <c r="G142" s="19" t="str">
        <f>IFERROR(__xludf.DUMMYFUNCTION("""COMPUTED_VALUE"""),"7081900-Improved Attack Power with 3+ Reapers Equipped")</f>
        <v>7081900-Improved Attack Power with 3+ Reapers Equipped</v>
      </c>
      <c r="H142" s="19" t="str">
        <f>IFERROR(__xludf.DUMMYFUNCTION("""COMPUTED_VALUE"""),"7082200-Improved Attack Power with 3+ Whips Equipped")</f>
        <v>7082200-Improved Attack Power with 3+ Whips Equipped</v>
      </c>
      <c r="L142" s="23"/>
      <c r="M142" s="19">
        <v>7081400.0</v>
      </c>
      <c r="N142" s="19">
        <v>7081800.0</v>
      </c>
      <c r="O142" s="19">
        <v>7082100.0</v>
      </c>
    </row>
    <row r="143">
      <c r="A143" s="19">
        <v>1820.0</v>
      </c>
      <c r="B143" s="19" t="s">
        <v>114</v>
      </c>
      <c r="C143" s="19">
        <v>1.0</v>
      </c>
      <c r="D143" s="19" t="str">
        <f>A143 &amp; " - " &amp; B143 &amp; " (" &amp; VLOOKUP(C143, Tbl_ColorMap[],2,false) &amp; ")"</f>
        <v>1820 - Grand Drizzly Scene (Blue)</v>
      </c>
      <c r="E143" s="23"/>
      <c r="F143" s="19" t="str">
        <f>IFERROR(__xludf.DUMMYFUNCTION("""COMPUTED_VALUE"""),"7081700-Improved Attack Power with 3+ Great Spears Equipped")</f>
        <v>7081700-Improved Attack Power with 3+ Great Spears Equipped</v>
      </c>
      <c r="G143" s="19" t="str">
        <f>IFERROR(__xludf.DUMMYFUNCTION("""COMPUTED_VALUE"""),"7082000-Improved Attack Power with 3+ Fists Equipped")</f>
        <v>7082000-Improved Attack Power with 3+ Fists Equipped</v>
      </c>
      <c r="H143" s="19" t="str">
        <f>IFERROR(__xludf.DUMMYFUNCTION("""COMPUTED_VALUE"""),"7082300-Improved Attack Power with 3+ Colossal Weapons Equipped")</f>
        <v>7082300-Improved Attack Power with 3+ Colossal Weapons Equipped</v>
      </c>
      <c r="L143" s="23"/>
      <c r="M143" s="19">
        <v>7081500.0</v>
      </c>
      <c r="N143" s="19">
        <v>7081900.0</v>
      </c>
      <c r="O143" s="19">
        <v>7082200.0</v>
      </c>
    </row>
    <row r="144">
      <c r="A144" s="19">
        <v>1830.0</v>
      </c>
      <c r="B144" s="19" t="s">
        <v>114</v>
      </c>
      <c r="C144" s="19">
        <v>1.0</v>
      </c>
      <c r="D144" s="19" t="str">
        <f>A144 &amp; " - " &amp; B144 &amp; " (" &amp; VLOOKUP(C144, Tbl_ColorMap[],2,false) &amp; ")"</f>
        <v>1830 - Grand Drizzly Scene (Blue)</v>
      </c>
      <c r="E144" s="23"/>
      <c r="F144" s="19" t="str">
        <f>IFERROR(__xludf.DUMMYFUNCTION("""COMPUTED_VALUE"""),"7081800-Improved Attack Power with 3+ Halberds Equipped")</f>
        <v>7081800-Improved Attack Power with 3+ Halberds Equipped</v>
      </c>
      <c r="G144" s="19" t="str">
        <f>IFERROR(__xludf.DUMMYFUNCTION("""COMPUTED_VALUE"""),"7082100-Improved Attack Power with 3+ Claws Equipped")</f>
        <v>7082100-Improved Attack Power with 3+ Claws Equipped</v>
      </c>
      <c r="H144" s="19" t="str">
        <f>IFERROR(__xludf.DUMMYFUNCTION("""COMPUTED_VALUE"""),"7082400-Improved Attack Power with 3+ Bows Equipped")</f>
        <v>7082400-Improved Attack Power with 3+ Bows Equipped</v>
      </c>
      <c r="L144" s="23"/>
      <c r="M144" s="19">
        <v>7081700.0</v>
      </c>
      <c r="N144" s="19">
        <v>7082000.0</v>
      </c>
      <c r="O144" s="19">
        <v>7082300.0</v>
      </c>
    </row>
    <row r="145">
      <c r="A145" s="19">
        <v>1850.0</v>
      </c>
      <c r="B145" s="19" t="s">
        <v>111</v>
      </c>
      <c r="C145" s="19">
        <v>0.0</v>
      </c>
      <c r="D145" s="19" t="str">
        <f>A145 &amp; " - " &amp; B145 &amp; " (" &amp; VLOOKUP(C145, Tbl_ColorMap[],2,false) &amp; ")"</f>
        <v>1850 - Grand Burning Scene (Red)</v>
      </c>
      <c r="E145" s="23"/>
      <c r="F145" s="19" t="str">
        <f>IFERROR(__xludf.DUMMYFUNCTION("""COMPUTED_VALUE"""),"7081900-Improved Attack Power with 3+ Reapers Equipped")</f>
        <v>7081900-Improved Attack Power with 3+ Reapers Equipped</v>
      </c>
      <c r="G145" s="19" t="str">
        <f>IFERROR(__xludf.DUMMYFUNCTION("""COMPUTED_VALUE"""),"7082200-Improved Attack Power with 3+ Whips Equipped")</f>
        <v>7082200-Improved Attack Power with 3+ Whips Equipped</v>
      </c>
      <c r="H145" s="19" t="str">
        <f>IFERROR(__xludf.DUMMYFUNCTION("""COMPUTED_VALUE"""),"7082500-Max FP Up with 3+ Staves Equipped")</f>
        <v>7082500-Max FP Up with 3+ Staves Equipped</v>
      </c>
      <c r="L145" s="23"/>
      <c r="M145" s="19">
        <v>7081800.0</v>
      </c>
      <c r="N145" s="19">
        <v>7082100.0</v>
      </c>
      <c r="O145" s="19">
        <v>7082400.0</v>
      </c>
    </row>
    <row r="146">
      <c r="A146" s="19">
        <v>1860.0</v>
      </c>
      <c r="B146" s="19" t="s">
        <v>111</v>
      </c>
      <c r="C146" s="19">
        <v>0.0</v>
      </c>
      <c r="D146" s="19" t="str">
        <f>A146 &amp; " - " &amp; B146 &amp; " (" &amp; VLOOKUP(C146, Tbl_ColorMap[],2,false) &amp; ")"</f>
        <v>1860 - Grand Burning Scene (Red)</v>
      </c>
      <c r="E146" s="23"/>
      <c r="F146" s="19" t="str">
        <f>IFERROR(__xludf.DUMMYFUNCTION("""COMPUTED_VALUE"""),"7082000-Improved Attack Power with 3+ Fists Equipped")</f>
        <v>7082000-Improved Attack Power with 3+ Fists Equipped</v>
      </c>
      <c r="G146" s="19" t="str">
        <f>IFERROR(__xludf.DUMMYFUNCTION("""COMPUTED_VALUE"""),"7082300-Improved Attack Power with 3+ Colossal Weapons Equipped")</f>
        <v>7082300-Improved Attack Power with 3+ Colossal Weapons Equipped</v>
      </c>
      <c r="H146" s="19" t="str">
        <f>IFERROR(__xludf.DUMMYFUNCTION("""COMPUTED_VALUE"""),"7082600-Max FP Up with 3+ Sacred Seals Equipped")</f>
        <v>7082600-Max FP Up with 3+ Sacred Seals Equipped</v>
      </c>
      <c r="L146" s="23"/>
      <c r="M146" s="19">
        <v>7081900.0</v>
      </c>
      <c r="N146" s="19">
        <v>7082200.0</v>
      </c>
      <c r="O146" s="19">
        <v>7082500.0</v>
      </c>
    </row>
    <row r="147">
      <c r="A147" s="19">
        <v>1870.0</v>
      </c>
      <c r="B147" s="19" t="s">
        <v>114</v>
      </c>
      <c r="C147" s="19">
        <v>1.0</v>
      </c>
      <c r="D147" s="19" t="str">
        <f>A147 &amp; " - " &amp; B147 &amp; " (" &amp; VLOOKUP(C147, Tbl_ColorMap[],2,false) &amp; ")"</f>
        <v>1870 - Grand Drizzly Scene (Blue)</v>
      </c>
      <c r="E147" s="23"/>
      <c r="F147" s="19" t="str">
        <f>IFERROR(__xludf.DUMMYFUNCTION("""COMPUTED_VALUE"""),"7082100-Improved Attack Power with 3+ Claws Equipped")</f>
        <v>7082100-Improved Attack Power with 3+ Claws Equipped</v>
      </c>
      <c r="G147" s="19" t="str">
        <f>IFERROR(__xludf.DUMMYFUNCTION("""COMPUTED_VALUE"""),"7082400-Improved Attack Power with 3+ Bows Equipped")</f>
        <v>7082400-Improved Attack Power with 3+ Bows Equipped</v>
      </c>
      <c r="H147" s="19" t="str">
        <f>IFERROR(__xludf.DUMMYFUNCTION("""COMPUTED_VALUE"""),"7082700-Max HP Up with 3+ Small Shields Equipped")</f>
        <v>7082700-Max HP Up with 3+ Small Shields Equipped</v>
      </c>
      <c r="L147" s="23"/>
      <c r="M147" s="19">
        <v>7082000.0</v>
      </c>
      <c r="N147" s="19">
        <v>7082300.0</v>
      </c>
      <c r="O147" s="19">
        <v>7082600.0</v>
      </c>
    </row>
    <row r="148">
      <c r="A148" s="19">
        <v>1880.0</v>
      </c>
      <c r="B148" s="19" t="s">
        <v>120</v>
      </c>
      <c r="C148" s="19">
        <v>3.0</v>
      </c>
      <c r="D148" s="19" t="str">
        <f>A148 &amp; " - " &amp; B148 &amp; " (" &amp; VLOOKUP(C148, Tbl_ColorMap[],2,false) &amp; ")"</f>
        <v>1880 - Grand Tranquil Scene (Green)</v>
      </c>
      <c r="E148" s="23"/>
      <c r="F148" s="19" t="str">
        <f>IFERROR(__xludf.DUMMYFUNCTION("""COMPUTED_VALUE"""),"7082200-Improved Attack Power with 3+ Whips Equipped")</f>
        <v>7082200-Improved Attack Power with 3+ Whips Equipped</v>
      </c>
      <c r="G148" s="19" t="str">
        <f>IFERROR(__xludf.DUMMYFUNCTION("""COMPUTED_VALUE"""),"7082500-Max FP Up with 3+ Staves Equipped")</f>
        <v>7082500-Max FP Up with 3+ Staves Equipped</v>
      </c>
      <c r="H148" s="19" t="str">
        <f>IFERROR(__xludf.DUMMYFUNCTION("""COMPUTED_VALUE"""),"7082800-Max HP Up with 3+ Medium Shields Equipped")</f>
        <v>7082800-Max HP Up with 3+ Medium Shields Equipped</v>
      </c>
      <c r="L148" s="23"/>
      <c r="M148" s="19">
        <v>7082100.0</v>
      </c>
      <c r="N148" s="19">
        <v>7082400.0</v>
      </c>
      <c r="O148" s="19">
        <v>7082700.0</v>
      </c>
    </row>
    <row r="149">
      <c r="A149" s="19">
        <v>1890.0</v>
      </c>
      <c r="B149" s="19" t="s">
        <v>117</v>
      </c>
      <c r="C149" s="19">
        <v>2.0</v>
      </c>
      <c r="D149" s="19" t="str">
        <f>A149 &amp; " - " &amp; B149 &amp; " (" &amp; VLOOKUP(C149, Tbl_ColorMap[],2,false) &amp; ")"</f>
        <v>1890 - Grand Luminous Scene (Yellow)</v>
      </c>
      <c r="E149" s="23"/>
      <c r="F149" s="19" t="str">
        <f>IFERROR(__xludf.DUMMYFUNCTION("""COMPUTED_VALUE"""),"7082300-Improved Attack Power with 3+ Colossal Weapons Equipped")</f>
        <v>7082300-Improved Attack Power with 3+ Colossal Weapons Equipped</v>
      </c>
      <c r="G149" s="19" t="str">
        <f>IFERROR(__xludf.DUMMYFUNCTION("""COMPUTED_VALUE"""),"7082600-Max FP Up with 3+ Sacred Seals Equipped")</f>
        <v>7082600-Max FP Up with 3+ Sacred Seals Equipped</v>
      </c>
      <c r="H149" s="19" t="str">
        <f>IFERROR(__xludf.DUMMYFUNCTION("""COMPUTED_VALUE"""),"7082900-Max HP Up with 3+ Greatshields Equipped")</f>
        <v>7082900-Max HP Up with 3+ Greatshields Equipped</v>
      </c>
      <c r="L149" s="23"/>
      <c r="M149" s="19">
        <v>7082200.0</v>
      </c>
      <c r="N149" s="19">
        <v>7082500.0</v>
      </c>
      <c r="O149" s="19">
        <v>7082800.0</v>
      </c>
    </row>
    <row r="150">
      <c r="A150" s="19">
        <v>1900.0</v>
      </c>
      <c r="B150" s="19" t="s">
        <v>111</v>
      </c>
      <c r="C150" s="19">
        <v>0.0</v>
      </c>
      <c r="D150" s="19" t="str">
        <f>A150 &amp; " - " &amp; B150 &amp; " (" &amp; VLOOKUP(C150, Tbl_ColorMap[],2,false) &amp; ")"</f>
        <v>1900 - Grand Burning Scene (Red)</v>
      </c>
      <c r="E150" s="23"/>
      <c r="F150" s="19" t="str">
        <f>IFERROR(__xludf.DUMMYFUNCTION("""COMPUTED_VALUE"""),"7082400-Improved Attack Power with 3+ Bows Equipped")</f>
        <v>7082400-Improved Attack Power with 3+ Bows Equipped</v>
      </c>
      <c r="G150" s="19" t="str">
        <f>IFERROR(__xludf.DUMMYFUNCTION("""COMPUTED_VALUE"""),"7082700-Max HP Up with 3+ Small Shields Equipped")</f>
        <v>7082700-Max HP Up with 3+ Small Shields Equipped</v>
      </c>
      <c r="H150" s="19" t="str">
        <f>IFERROR(__xludf.DUMMYFUNCTION("""COMPUTED_VALUE"""),"7090000-Defeating enemies fills more of the Art gauge")</f>
        <v>7090000-Defeating enemies fills more of the Art gauge</v>
      </c>
      <c r="L150" s="23"/>
      <c r="M150" s="19">
        <v>7082300.0</v>
      </c>
      <c r="N150" s="19">
        <v>7082600.0</v>
      </c>
      <c r="O150" s="19">
        <v>7082900.0</v>
      </c>
    </row>
    <row r="151">
      <c r="A151" s="19">
        <v>1920.0</v>
      </c>
      <c r="B151" s="19" t="s">
        <v>117</v>
      </c>
      <c r="C151" s="19">
        <v>2.0</v>
      </c>
      <c r="D151" s="19" t="str">
        <f>A151 &amp; " - " &amp; B151 &amp; " (" &amp; VLOOKUP(C151, Tbl_ColorMap[],2,false) &amp; ")"</f>
        <v>1920 - Grand Luminous Scene (Yellow)</v>
      </c>
      <c r="E151" s="23"/>
      <c r="F151" s="19" t="str">
        <f>IFERROR(__xludf.DUMMYFUNCTION("""COMPUTED_VALUE"""),"7082500-Max FP Up with 3+ Staves Equipped")</f>
        <v>7082500-Max FP Up with 3+ Staves Equipped</v>
      </c>
      <c r="G151" s="19" t="str">
        <f>IFERROR(__xludf.DUMMYFUNCTION("""COMPUTED_VALUE"""),"7082800-Max HP Up with 3+ Medium Shields Equipped")</f>
        <v>7082800-Max HP Up with 3+ Medium Shields Equipped</v>
      </c>
      <c r="H151" s="19" t="str">
        <f>IFERROR(__xludf.DUMMYFUNCTION("""COMPUTED_VALUE"""),"7090100-Defeating enemies restores HP for allies but not for
self")</f>
        <v>7090100-Defeating enemies restores HP for allies but not for
self</v>
      </c>
      <c r="L151" s="23"/>
      <c r="M151" s="19">
        <v>7082400.0</v>
      </c>
      <c r="N151" s="19">
        <v>7082700.0</v>
      </c>
      <c r="O151" s="19">
        <v>7090000.0</v>
      </c>
    </row>
    <row r="152">
      <c r="A152" s="19">
        <v>2000.0</v>
      </c>
      <c r="B152" s="19" t="s">
        <v>121</v>
      </c>
      <c r="C152" s="19">
        <v>3.0</v>
      </c>
      <c r="D152" s="19" t="str">
        <f>A152 &amp; " - " &amp; B152 &amp; " (" &amp; VLOOKUP(C152, Tbl_ColorMap[],2,false) &amp; ")"</f>
        <v>2000 - Night of the Beast (Green)</v>
      </c>
      <c r="E152" s="23"/>
      <c r="F152" s="19" t="str">
        <f>IFERROR(__xludf.DUMMYFUNCTION("""COMPUTED_VALUE"""),"7082600-Max FP Up with 3+ Sacred Seals Equipped")</f>
        <v>7082600-Max FP Up with 3+ Sacred Seals Equipped</v>
      </c>
      <c r="G152" s="19" t="str">
        <f>IFERROR(__xludf.DUMMYFUNCTION("""COMPUTED_VALUE"""),"7082900-Max HP Up with 3+ Greatshields Equipped")</f>
        <v>7082900-Max HP Up with 3+ Greatshields Equipped</v>
      </c>
      <c r="H152" s="19" t="str">
        <f>IFERROR(__xludf.DUMMYFUNCTION("""COMPUTED_VALUE"""),"7090300-Defeating enemies near Totem Stela restores HP")</f>
        <v>7090300-Defeating enemies near Totem Stela restores HP</v>
      </c>
      <c r="L152" s="23"/>
      <c r="M152" s="19">
        <v>7082500.0</v>
      </c>
      <c r="N152" s="19">
        <v>7082800.0</v>
      </c>
      <c r="O152" s="19">
        <v>7090100.0</v>
      </c>
    </row>
    <row r="153">
      <c r="A153" s="19">
        <v>2001.0</v>
      </c>
      <c r="B153" s="19" t="s">
        <v>122</v>
      </c>
      <c r="C153" s="19">
        <v>2.0</v>
      </c>
      <c r="D153" s="19" t="str">
        <f>A153 &amp; " - " &amp; B153 &amp; " (" &amp; VLOOKUP(C153, Tbl_ColorMap[],2,false) &amp; ")"</f>
        <v>2001 - Dark Night of the Beast (Yellow)</v>
      </c>
      <c r="E153" s="23"/>
      <c r="F153" s="19" t="str">
        <f>IFERROR(__xludf.DUMMYFUNCTION("""COMPUTED_VALUE"""),"7082700-Max HP Up with 3+ Small Shields Equipped")</f>
        <v>7082700-Max HP Up with 3+ Small Shields Equipped</v>
      </c>
      <c r="G153" s="19" t="str">
        <f>IFERROR(__xludf.DUMMYFUNCTION("""COMPUTED_VALUE"""),"7090000-Defeating enemies fills more of the Art gauge")</f>
        <v>7090000-Defeating enemies fills more of the Art gauge</v>
      </c>
      <c r="H153" s="19" t="str">
        <f>IFERROR(__xludf.DUMMYFUNCTION("""COMPUTED_VALUE"""),"7100100-Stamina Recovery upon Landing Attacks")</f>
        <v>7100100-Stamina Recovery upon Landing Attacks</v>
      </c>
      <c r="L153" s="23"/>
      <c r="M153" s="19">
        <v>7082600.0</v>
      </c>
      <c r="N153" s="19">
        <v>7082900.0</v>
      </c>
      <c r="O153" s="19">
        <v>7090300.0</v>
      </c>
    </row>
    <row r="154">
      <c r="A154" s="19">
        <v>2010.0</v>
      </c>
      <c r="B154" s="19" t="s">
        <v>123</v>
      </c>
      <c r="C154" s="19">
        <v>1.0</v>
      </c>
      <c r="D154" s="19" t="str">
        <f>A154 &amp; " - " &amp; B154 &amp; " (" &amp; VLOOKUP(C154, Tbl_ColorMap[],2,false) &amp; ")"</f>
        <v>2010 - Night of the Baron (Blue)</v>
      </c>
      <c r="E154" s="23"/>
      <c r="F154" s="19" t="str">
        <f>IFERROR(__xludf.DUMMYFUNCTION("""COMPUTED_VALUE"""),"7082800-Max HP Up with 3+ Medium Shields Equipped")</f>
        <v>7082800-Max HP Up with 3+ Medium Shields Equipped</v>
      </c>
      <c r="G154" s="19" t="str">
        <f>IFERROR(__xludf.DUMMYFUNCTION("""COMPUTED_VALUE"""),"7090100-Defeating enemies restores HP for allies but not for
self")</f>
        <v>7090100-Defeating enemies restores HP for allies but not for
self</v>
      </c>
      <c r="H154" s="19" t="str">
        <f>IFERROR(__xludf.DUMMYFUNCTION("""COMPUTED_VALUE"""),"7110000-Increased rune acquisition for self and allies")</f>
        <v>7110000-Increased rune acquisition for self and allies</v>
      </c>
      <c r="L154" s="23"/>
      <c r="M154" s="19">
        <v>7082700.0</v>
      </c>
      <c r="N154" s="19">
        <v>7090000.0</v>
      </c>
      <c r="O154" s="19">
        <v>7100100.0</v>
      </c>
    </row>
    <row r="155">
      <c r="A155" s="19">
        <v>2011.0</v>
      </c>
      <c r="B155" s="19" t="s">
        <v>124</v>
      </c>
      <c r="C155" s="19">
        <v>0.0</v>
      </c>
      <c r="D155" s="19" t="str">
        <f>A155 &amp; " - " &amp; B155 &amp; " (" &amp; VLOOKUP(C155, Tbl_ColorMap[],2,false) &amp; ")"</f>
        <v>2011 - Dark Night of the Baron (Red)</v>
      </c>
      <c r="E155" s="23"/>
      <c r="F155" s="19" t="str">
        <f>IFERROR(__xludf.DUMMYFUNCTION("""COMPUTED_VALUE"""),"7082900-Max HP Up with 3+ Greatshields Equipped")</f>
        <v>7082900-Max HP Up with 3+ Greatshields Equipped</v>
      </c>
      <c r="G155" s="19" t="str">
        <f>IFERROR(__xludf.DUMMYFUNCTION("""COMPUTED_VALUE"""),"7090300-Defeating enemies near Totem Stela restores HP")</f>
        <v>7090300-Defeating enemies near Totem Stela restores HP</v>
      </c>
      <c r="H155" s="19" t="str">
        <f>IFERROR(__xludf.DUMMYFUNCTION("""COMPUTED_VALUE"""),"7120000-Starting armament deals magic damage")</f>
        <v>7120000-Starting armament deals magic damage</v>
      </c>
      <c r="L155" s="23"/>
      <c r="M155" s="19">
        <v>7082800.0</v>
      </c>
      <c r="N155" s="19">
        <v>7090100.0</v>
      </c>
      <c r="O155" s="19">
        <v>7110000.0</v>
      </c>
    </row>
    <row r="156">
      <c r="A156" s="19">
        <v>2020.0</v>
      </c>
      <c r="B156" s="19" t="s">
        <v>125</v>
      </c>
      <c r="C156" s="19">
        <v>2.0</v>
      </c>
      <c r="D156" s="19" t="str">
        <f>A156 &amp; " - " &amp; B156 &amp; " (" &amp; VLOOKUP(C156, Tbl_ColorMap[],2,false) &amp; ")"</f>
        <v>2020 - Night of the Wise (Yellow)</v>
      </c>
      <c r="E156" s="23"/>
      <c r="F156" s="19" t="str">
        <f>IFERROR(__xludf.DUMMYFUNCTION("""COMPUTED_VALUE"""),"7090000-Defeating enemies fills more of the Art gauge")</f>
        <v>7090000-Defeating enemies fills more of the Art gauge</v>
      </c>
      <c r="G156" s="19" t="str">
        <f>IFERROR(__xludf.DUMMYFUNCTION("""COMPUTED_VALUE"""),"7100100-Stamina Recovery upon Landing Attacks")</f>
        <v>7100100-Stamina Recovery upon Landing Attacks</v>
      </c>
      <c r="H156" s="19" t="str">
        <f>IFERROR(__xludf.DUMMYFUNCTION("""COMPUTED_VALUE"""),"7120100-Starting armament deals fire damage")</f>
        <v>7120100-Starting armament deals fire damage</v>
      </c>
      <c r="L156" s="23"/>
      <c r="M156" s="19">
        <v>7082900.0</v>
      </c>
      <c r="N156" s="19">
        <v>7090300.0</v>
      </c>
      <c r="O156" s="19">
        <v>7120000.0</v>
      </c>
    </row>
    <row r="157">
      <c r="A157" s="19">
        <v>2021.0</v>
      </c>
      <c r="B157" s="19" t="s">
        <v>126</v>
      </c>
      <c r="C157" s="19">
        <v>3.0</v>
      </c>
      <c r="D157" s="19" t="str">
        <f>A157 &amp; " - " &amp; B157 &amp; " (" &amp; VLOOKUP(C157, Tbl_ColorMap[],2,false) &amp; ")"</f>
        <v>2021 - Dark Night of the Wise (Green)</v>
      </c>
      <c r="E157" s="23"/>
      <c r="F157" s="19" t="str">
        <f>IFERROR(__xludf.DUMMYFUNCTION("""COMPUTED_VALUE"""),"7090100-Defeating enemies restores HP for allies but not for
self")</f>
        <v>7090100-Defeating enemies restores HP for allies but not for
self</v>
      </c>
      <c r="G157" s="19" t="str">
        <f>IFERROR(__xludf.DUMMYFUNCTION("""COMPUTED_VALUE"""),"7110000-Increased rune acquisition for self and allies")</f>
        <v>7110000-Increased rune acquisition for self and allies</v>
      </c>
      <c r="H157" s="19" t="str">
        <f>IFERROR(__xludf.DUMMYFUNCTION("""COMPUTED_VALUE"""),"7120200-Starting armament deals lightning damage")</f>
        <v>7120200-Starting armament deals lightning damage</v>
      </c>
      <c r="L157" s="23"/>
      <c r="M157" s="19">
        <v>7090000.0</v>
      </c>
      <c r="N157" s="19">
        <v>7100100.0</v>
      </c>
      <c r="O157" s="19">
        <v>7120100.0</v>
      </c>
    </row>
    <row r="158">
      <c r="A158" s="19">
        <v>2030.0</v>
      </c>
      <c r="B158" s="19" t="s">
        <v>127</v>
      </c>
      <c r="C158" s="19">
        <v>0.0</v>
      </c>
      <c r="D158" s="19" t="str">
        <f>A158 &amp; " - " &amp; B158 &amp; " (" &amp; VLOOKUP(C158, Tbl_ColorMap[],2,false) &amp; ")"</f>
        <v>2030 - Night of the Fathom (Red)</v>
      </c>
      <c r="E158" s="23"/>
      <c r="F158" s="19" t="str">
        <f>IFERROR(__xludf.DUMMYFUNCTION("""COMPUTED_VALUE"""),"7090300-Defeating enemies near Totem Stela restores HP")</f>
        <v>7090300-Defeating enemies near Totem Stela restores HP</v>
      </c>
      <c r="G158" s="19" t="str">
        <f>IFERROR(__xludf.DUMMYFUNCTION("""COMPUTED_VALUE"""),"7120000-Starting armament deals magic damage")</f>
        <v>7120000-Starting armament deals magic damage</v>
      </c>
      <c r="H158" s="19" t="str">
        <f>IFERROR(__xludf.DUMMYFUNCTION("""COMPUTED_VALUE"""),"7120300-Starting armament deals holy damage")</f>
        <v>7120300-Starting armament deals holy damage</v>
      </c>
      <c r="L158" s="23"/>
      <c r="M158" s="19">
        <v>7090100.0</v>
      </c>
      <c r="N158" s="19">
        <v>7110000.0</v>
      </c>
      <c r="O158" s="19">
        <v>7120200.0</v>
      </c>
    </row>
    <row r="159">
      <c r="A159" s="19">
        <v>2031.0</v>
      </c>
      <c r="B159" s="19" t="s">
        <v>128</v>
      </c>
      <c r="C159" s="19">
        <v>1.0</v>
      </c>
      <c r="D159" s="19" t="str">
        <f>A159 &amp; " - " &amp; B159 &amp; " (" &amp; VLOOKUP(C159, Tbl_ColorMap[],2,false) &amp; ")"</f>
        <v>2031 - Dark Night of the Fathom (Blue)</v>
      </c>
      <c r="E159" s="23"/>
      <c r="F159" s="19" t="str">
        <f>IFERROR(__xludf.DUMMYFUNCTION("""COMPUTED_VALUE"""),"7100100-Stamina Recovery upon Landing Attacks")</f>
        <v>7100100-Stamina Recovery upon Landing Attacks</v>
      </c>
      <c r="G159" s="19" t="str">
        <f>IFERROR(__xludf.DUMMYFUNCTION("""COMPUTED_VALUE"""),"7120100-Starting armament deals fire damage")</f>
        <v>7120100-Starting armament deals fire damage</v>
      </c>
      <c r="H159" s="19" t="str">
        <f>IFERROR(__xludf.DUMMYFUNCTION("""COMPUTED_VALUE"""),"7120400-Starting armament inflicts frost")</f>
        <v>7120400-Starting armament inflicts frost</v>
      </c>
      <c r="L159" s="23"/>
      <c r="M159" s="19">
        <v>7090300.0</v>
      </c>
      <c r="N159" s="19">
        <v>7120000.0</v>
      </c>
      <c r="O159" s="19">
        <v>7120300.0</v>
      </c>
    </row>
    <row r="160">
      <c r="A160" s="19">
        <v>2040.0</v>
      </c>
      <c r="B160" s="19" t="s">
        <v>129</v>
      </c>
      <c r="C160" s="19">
        <v>0.0</v>
      </c>
      <c r="D160" s="19" t="str">
        <f>A160 &amp; " - " &amp; B160 &amp; " (" &amp; VLOOKUP(C160, Tbl_ColorMap[],2,false) &amp; ")"</f>
        <v>2040 - Night of the Demon (Red)</v>
      </c>
      <c r="E160" s="23"/>
      <c r="F160" s="19" t="str">
        <f>IFERROR(__xludf.DUMMYFUNCTION("""COMPUTED_VALUE"""),"7110000-Increased rune acquisition for self and allies")</f>
        <v>7110000-Increased rune acquisition for self and allies</v>
      </c>
      <c r="G160" s="19" t="str">
        <f>IFERROR(__xludf.DUMMYFUNCTION("""COMPUTED_VALUE"""),"7120200-Starting armament deals lightning damage")</f>
        <v>7120200-Starting armament deals lightning damage</v>
      </c>
      <c r="H160" s="19" t="str">
        <f>IFERROR(__xludf.DUMMYFUNCTION("""COMPUTED_VALUE"""),"7120500-Starting armament inflicts poison")</f>
        <v>7120500-Starting armament inflicts poison</v>
      </c>
      <c r="L160" s="23"/>
      <c r="M160" s="19">
        <v>7100100.0</v>
      </c>
      <c r="N160" s="19">
        <v>7120100.0</v>
      </c>
      <c r="O160" s="19">
        <v>7120400.0</v>
      </c>
    </row>
    <row r="161">
      <c r="A161" s="19">
        <v>2041.0</v>
      </c>
      <c r="B161" s="19" t="s">
        <v>130</v>
      </c>
      <c r="C161" s="19">
        <v>1.0</v>
      </c>
      <c r="D161" s="19" t="str">
        <f>A161 &amp; " - " &amp; B161 &amp; " (" &amp; VLOOKUP(C161, Tbl_ColorMap[],2,false) &amp; ")"</f>
        <v>2041 - Dark Night of the Demon (Blue)</v>
      </c>
      <c r="E161" s="23"/>
      <c r="F161" s="19" t="str">
        <f>IFERROR(__xludf.DUMMYFUNCTION("""COMPUTED_VALUE"""),"7120000-Starting armament deals magic damage")</f>
        <v>7120000-Starting armament deals magic damage</v>
      </c>
      <c r="G161" s="19" t="str">
        <f>IFERROR(__xludf.DUMMYFUNCTION("""COMPUTED_VALUE"""),"7120300-Starting armament deals holy damage")</f>
        <v>7120300-Starting armament deals holy damage</v>
      </c>
      <c r="H161" s="19" t="str">
        <f>IFERROR(__xludf.DUMMYFUNCTION("""COMPUTED_VALUE"""),"7120600-Starting armament inflicts blood loss")</f>
        <v>7120600-Starting armament inflicts blood loss</v>
      </c>
      <c r="L161" s="23"/>
      <c r="M161" s="19">
        <v>7110000.0</v>
      </c>
      <c r="N161" s="19">
        <v>7120200.0</v>
      </c>
      <c r="O161" s="19">
        <v>7120500.0</v>
      </c>
    </row>
    <row r="162">
      <c r="A162" s="19">
        <v>2050.0</v>
      </c>
      <c r="B162" s="19" t="s">
        <v>131</v>
      </c>
      <c r="C162" s="19">
        <v>3.0</v>
      </c>
      <c r="D162" s="19" t="str">
        <f>A162 &amp; " - " &amp; B162 &amp; " (" &amp; VLOOKUP(C162, Tbl_ColorMap[],2,false) &amp; ")"</f>
        <v>2050 - Night of the Champion (Green)</v>
      </c>
      <c r="E162" s="23"/>
      <c r="F162" s="19" t="str">
        <f>IFERROR(__xludf.DUMMYFUNCTION("""COMPUTED_VALUE"""),"7120100-Starting armament deals fire damage")</f>
        <v>7120100-Starting armament deals fire damage</v>
      </c>
      <c r="G162" s="19" t="str">
        <f>IFERROR(__xludf.DUMMYFUNCTION("""COMPUTED_VALUE"""),"7120400-Starting armament inflicts frost")</f>
        <v>7120400-Starting armament inflicts frost</v>
      </c>
      <c r="H162" s="19" t="str">
        <f>IFERROR(__xludf.DUMMYFUNCTION("""COMPUTED_VALUE"""),"7120900-Stonesword Key in possession at start of expedition")</f>
        <v>7120900-Stonesword Key in possession at start of expedition</v>
      </c>
      <c r="L162" s="23"/>
      <c r="M162" s="19">
        <v>7120000.0</v>
      </c>
      <c r="N162" s="19">
        <v>7120300.0</v>
      </c>
      <c r="O162" s="19">
        <v>7120600.0</v>
      </c>
    </row>
    <row r="163">
      <c r="A163" s="19">
        <v>2051.0</v>
      </c>
      <c r="B163" s="19" t="s">
        <v>132</v>
      </c>
      <c r="C163" s="19">
        <v>2.0</v>
      </c>
      <c r="D163" s="19" t="str">
        <f>A163 &amp; " - " &amp; B163 &amp; " (" &amp; VLOOKUP(C163, Tbl_ColorMap[],2,false) &amp; ")"</f>
        <v>2051 - Dark Night of the Champion (Yellow)</v>
      </c>
      <c r="E163" s="23"/>
      <c r="F163" s="19" t="str">
        <f>IFERROR(__xludf.DUMMYFUNCTION("""COMPUTED_VALUE"""),"7120200-Starting armament deals lightning damage")</f>
        <v>7120200-Starting armament deals lightning damage</v>
      </c>
      <c r="G163" s="19" t="str">
        <f>IFERROR(__xludf.DUMMYFUNCTION("""COMPUTED_VALUE"""),"7120500-Starting armament inflicts poison")</f>
        <v>7120500-Starting armament inflicts poison</v>
      </c>
      <c r="H163" s="19" t="str">
        <f>IFERROR(__xludf.DUMMYFUNCTION("""COMPUTED_VALUE"""),"7121000-Small Pouch in possession at start of expedition")</f>
        <v>7121000-Small Pouch in possession at start of expedition</v>
      </c>
      <c r="L163" s="23"/>
      <c r="M163" s="19">
        <v>7120100.0</v>
      </c>
      <c r="N163" s="19">
        <v>7120400.0</v>
      </c>
      <c r="O163" s="19">
        <v>7120900.0</v>
      </c>
    </row>
    <row r="164">
      <c r="A164" s="19">
        <v>2060.0</v>
      </c>
      <c r="B164" s="19" t="s">
        <v>133</v>
      </c>
      <c r="C164" s="19">
        <v>2.0</v>
      </c>
      <c r="D164" s="19" t="str">
        <f>A164 &amp; " - " &amp; B164 &amp; " (" &amp; VLOOKUP(C164, Tbl_ColorMap[],2,false) &amp; ")"</f>
        <v>2060 - Night of the Miasma (Yellow)</v>
      </c>
      <c r="E164" s="23"/>
      <c r="F164" s="19" t="str">
        <f>IFERROR(__xludf.DUMMYFUNCTION("""COMPUTED_VALUE"""),"7120300-Starting armament deals holy damage")</f>
        <v>7120300-Starting armament deals holy damage</v>
      </c>
      <c r="G164" s="19" t="str">
        <f>IFERROR(__xludf.DUMMYFUNCTION("""COMPUTED_VALUE"""),"7120600-Starting armament inflicts blood loss")</f>
        <v>7120600-Starting armament inflicts blood loss</v>
      </c>
      <c r="H164" s="19" t="str">
        <f>IFERROR(__xludf.DUMMYFUNCTION("""COMPUTED_VALUE"""),"7121100-Fire Pots in possession at start of expedition")</f>
        <v>7121100-Fire Pots in possession at start of expedition</v>
      </c>
      <c r="L164" s="23"/>
      <c r="M164" s="19">
        <v>7120200.0</v>
      </c>
      <c r="N164" s="19">
        <v>7120500.0</v>
      </c>
      <c r="O164" s="19">
        <v>7121000.0</v>
      </c>
    </row>
    <row r="165">
      <c r="A165" s="19">
        <v>2061.0</v>
      </c>
      <c r="B165" s="19" t="s">
        <v>134</v>
      </c>
      <c r="C165" s="19">
        <v>3.0</v>
      </c>
      <c r="D165" s="19" t="str">
        <f>A165 &amp; " - " &amp; B165 &amp; " (" &amp; VLOOKUP(C165, Tbl_ColorMap[],2,false) &amp; ")"</f>
        <v>2061 - Dark Night of the Miasma (Green)</v>
      </c>
      <c r="E165" s="23"/>
      <c r="F165" s="19" t="str">
        <f>IFERROR(__xludf.DUMMYFUNCTION("""COMPUTED_VALUE"""),"7120400-Starting armament inflicts frost")</f>
        <v>7120400-Starting armament inflicts frost</v>
      </c>
      <c r="G165" s="19" t="str">
        <f>IFERROR(__xludf.DUMMYFUNCTION("""COMPUTED_VALUE"""),"7120900-Stonesword Key in possession at start of expedition")</f>
        <v>7120900-Stonesword Key in possession at start of expedition</v>
      </c>
      <c r="H165" s="19" t="str">
        <f>IFERROR(__xludf.DUMMYFUNCTION("""COMPUTED_VALUE"""),"7121200-Magic Pots in possession at start of expedition")</f>
        <v>7121200-Magic Pots in possession at start of expedition</v>
      </c>
      <c r="L165" s="23"/>
      <c r="M165" s="19">
        <v>7120300.0</v>
      </c>
      <c r="N165" s="19">
        <v>7120600.0</v>
      </c>
      <c r="O165" s="19">
        <v>7121100.0</v>
      </c>
    </row>
    <row r="166">
      <c r="A166" s="19">
        <v>2070.0</v>
      </c>
      <c r="B166" s="19" t="s">
        <v>135</v>
      </c>
      <c r="C166" s="19">
        <v>1.0</v>
      </c>
      <c r="D166" s="19" t="str">
        <f>A166 &amp; " - " &amp; B166 &amp; " (" &amp; VLOOKUP(C166, Tbl_ColorMap[],2,false) &amp; ")"</f>
        <v>2070 - The Will of the Balancers (Blue)</v>
      </c>
      <c r="E166" s="23"/>
      <c r="F166" s="19" t="str">
        <f>IFERROR(__xludf.DUMMYFUNCTION("""COMPUTED_VALUE"""),"7120500-Starting armament inflicts poison")</f>
        <v>7120500-Starting armament inflicts poison</v>
      </c>
      <c r="G166" s="19" t="str">
        <f>IFERROR(__xludf.DUMMYFUNCTION("""COMPUTED_VALUE"""),"7121000-Small Pouch in possession at start of expedition")</f>
        <v>7121000-Small Pouch in possession at start of expedition</v>
      </c>
      <c r="H166" s="19" t="str">
        <f>IFERROR(__xludf.DUMMYFUNCTION("""COMPUTED_VALUE"""),"7121300-Lightning Pots in possession at start of expedition")</f>
        <v>7121300-Lightning Pots in possession at start of expedition</v>
      </c>
      <c r="L166" s="23"/>
      <c r="M166" s="19">
        <v>7120400.0</v>
      </c>
      <c r="N166" s="19">
        <v>7120900.0</v>
      </c>
      <c r="O166" s="19">
        <v>7121200.0</v>
      </c>
    </row>
    <row r="167">
      <c r="A167" s="19">
        <v>2071.0</v>
      </c>
      <c r="B167" s="19" t="s">
        <v>136</v>
      </c>
      <c r="C167" s="19">
        <v>0.0</v>
      </c>
      <c r="D167" s="19" t="str">
        <f>A167 &amp; " - " &amp; B167 &amp; " (" &amp; VLOOKUP(C167, Tbl_ColorMap[],2,false) &amp; ")"</f>
        <v>2071 - The Will of Balance (Red)</v>
      </c>
      <c r="E167" s="23"/>
      <c r="F167" s="19" t="str">
        <f>IFERROR(__xludf.DUMMYFUNCTION("""COMPUTED_VALUE"""),"7120600-Starting armament inflicts blood loss")</f>
        <v>7120600-Starting armament inflicts blood loss</v>
      </c>
      <c r="G167" s="19" t="str">
        <f>IFERROR(__xludf.DUMMYFUNCTION("""COMPUTED_VALUE"""),"7121100-Fire Pots in possession at start of expedition")</f>
        <v>7121100-Fire Pots in possession at start of expedition</v>
      </c>
      <c r="H167" s="19" t="str">
        <f>IFERROR(__xludf.DUMMYFUNCTION("""COMPUTED_VALUE"""),"7121400-Holy Water Pots in possession at start of expedition")</f>
        <v>7121400-Holy Water Pots in possession at start of expedition</v>
      </c>
      <c r="L167" s="23"/>
      <c r="M167" s="19">
        <v>7120500.0</v>
      </c>
      <c r="N167" s="19">
        <v>7121000.0</v>
      </c>
      <c r="O167" s="19">
        <v>7121300.0</v>
      </c>
    </row>
    <row r="168">
      <c r="A168" s="19">
        <v>2080.0</v>
      </c>
      <c r="B168" s="19" t="s">
        <v>137</v>
      </c>
      <c r="C168" s="19">
        <v>0.0</v>
      </c>
      <c r="D168" s="19" t="str">
        <f>A168 &amp; " - " &amp; B168 &amp; " (" &amp; VLOOKUP(C168, Tbl_ColorMap[],2,false) &amp; ")"</f>
        <v>2080 - The Night of Dregs (Red)</v>
      </c>
      <c r="E168" s="23"/>
      <c r="F168" s="19" t="str">
        <f>IFERROR(__xludf.DUMMYFUNCTION("""COMPUTED_VALUE"""),"7120900-Stonesword Key in possession at start of expedition")</f>
        <v>7120900-Stonesword Key in possession at start of expedition</v>
      </c>
      <c r="G168" s="19" t="str">
        <f>IFERROR(__xludf.DUMMYFUNCTION("""COMPUTED_VALUE"""),"7121200-Magic Pots in possession at start of expedition")</f>
        <v>7121200-Magic Pots in possession at start of expedition</v>
      </c>
      <c r="H168" s="19" t="str">
        <f>IFERROR(__xludf.DUMMYFUNCTION("""COMPUTED_VALUE"""),"7121500-Poisonbone Darts in possession at start of
expedition")</f>
        <v>7121500-Poisonbone Darts in possession at start of
expedition</v>
      </c>
      <c r="L168" s="23"/>
      <c r="M168" s="19">
        <v>7120600.0</v>
      </c>
      <c r="N168" s="19">
        <v>7121100.0</v>
      </c>
      <c r="O168" s="19">
        <v>7121400.0</v>
      </c>
    </row>
    <row r="169">
      <c r="A169" s="19">
        <v>2100.0</v>
      </c>
      <c r="B169" s="19" t="s">
        <v>138</v>
      </c>
      <c r="C169" s="19">
        <v>1.0</v>
      </c>
      <c r="D169" s="19" t="str">
        <f>A169 &amp; " - " &amp; B169 &amp; " (" &amp; VLOOKUP(C169, Tbl_ColorMap[],2,false) &amp; ")"</f>
        <v>2100 - Night of the Lord (Blue)</v>
      </c>
      <c r="E169" s="23"/>
      <c r="F169" s="19" t="str">
        <f>IFERROR(__xludf.DUMMYFUNCTION("""COMPUTED_VALUE"""),"7121000-Small Pouch in possession at start of expedition")</f>
        <v>7121000-Small Pouch in possession at start of expedition</v>
      </c>
      <c r="G169" s="19" t="str">
        <f>IFERROR(__xludf.DUMMYFUNCTION("""COMPUTED_VALUE"""),"7121300-Lightning Pots in possession at start of expedition")</f>
        <v>7121300-Lightning Pots in possession at start of expedition</v>
      </c>
      <c r="H169" s="19" t="str">
        <f>IFERROR(__xludf.DUMMYFUNCTION("""COMPUTED_VALUE"""),"7121600-Crystal Darts in possession at start of expedition")</f>
        <v>7121600-Crystal Darts in possession at start of expedition</v>
      </c>
      <c r="L169" s="23"/>
      <c r="M169" s="19">
        <v>7120900.0</v>
      </c>
      <c r="N169" s="19">
        <v>7121200.0</v>
      </c>
      <c r="O169" s="19">
        <v>7121500.0</v>
      </c>
    </row>
    <row r="170">
      <c r="A170" s="19">
        <v>10000.0</v>
      </c>
      <c r="B170" s="19" t="s">
        <v>139</v>
      </c>
      <c r="C170" s="19">
        <v>3.0</v>
      </c>
      <c r="D170" s="19" t="str">
        <f>A170 &amp; " - " &amp; B170 &amp; " (" &amp; VLOOKUP(C170, Tbl_ColorMap[],2,false) &amp; ")"</f>
        <v>10000 - Old Pocketwatch (Green)</v>
      </c>
      <c r="E170" s="23"/>
      <c r="F170" s="19" t="str">
        <f>IFERROR(__xludf.DUMMYFUNCTION("""COMPUTED_VALUE"""),"7121100-Fire Pots in possession at start of expedition")</f>
        <v>7121100-Fire Pots in possession at start of expedition</v>
      </c>
      <c r="G170" s="19" t="str">
        <f>IFERROR(__xludf.DUMMYFUNCTION("""COMPUTED_VALUE"""),"7121400-Holy Water Pots in possession at start of expedition")</f>
        <v>7121400-Holy Water Pots in possession at start of expedition</v>
      </c>
      <c r="H170" s="19" t="str">
        <f>IFERROR(__xludf.DUMMYFUNCTION("""COMPUTED_VALUE"""),"7121700-Throwing Daggers in possession at start of
expedition")</f>
        <v>7121700-Throwing Daggers in possession at start of
expedition</v>
      </c>
      <c r="L170" s="23"/>
      <c r="M170" s="19">
        <v>7121000.0</v>
      </c>
      <c r="N170" s="19">
        <v>7121300.0</v>
      </c>
      <c r="O170" s="19">
        <v>7121600.0</v>
      </c>
    </row>
    <row r="171">
      <c r="A171" s="19">
        <v>10001.0</v>
      </c>
      <c r="B171" s="19" t="s">
        <v>140</v>
      </c>
      <c r="C171" s="19">
        <v>1.0</v>
      </c>
      <c r="D171" s="19" t="str">
        <f>A171 &amp; " - " &amp; B171 &amp; " (" &amp; VLOOKUP(C171, Tbl_ColorMap[],2,false) &amp; ")"</f>
        <v>10001 - Besmirched Frame (Blue)</v>
      </c>
      <c r="E171" s="23"/>
      <c r="F171" s="19" t="str">
        <f>IFERROR(__xludf.DUMMYFUNCTION("""COMPUTED_VALUE"""),"7121200-Magic Pots in possession at start of expedition")</f>
        <v>7121200-Magic Pots in possession at start of expedition</v>
      </c>
      <c r="G171" s="19" t="str">
        <f>IFERROR(__xludf.DUMMYFUNCTION("""COMPUTED_VALUE"""),"7121500-Poisonbone Darts in possession at start of
expedition")</f>
        <v>7121500-Poisonbone Darts in possession at start of
expedition</v>
      </c>
      <c r="H171" s="19" t="str">
        <f>IFERROR(__xludf.DUMMYFUNCTION("""COMPUTED_VALUE"""),"7121800-Glintstone Scraps in possession at start of
expedition")</f>
        <v>7121800-Glintstone Scraps in possession at start of
expedition</v>
      </c>
      <c r="L171" s="23"/>
      <c r="M171" s="19">
        <v>7121100.0</v>
      </c>
      <c r="N171" s="19">
        <v>7121400.0</v>
      </c>
      <c r="O171" s="19">
        <v>7121700.0</v>
      </c>
    </row>
    <row r="172">
      <c r="A172" s="19">
        <v>10002.0</v>
      </c>
      <c r="B172" s="19" t="s">
        <v>141</v>
      </c>
      <c r="C172" s="19">
        <v>1.0</v>
      </c>
      <c r="D172" s="19" t="str">
        <f>A172 &amp; " - " &amp; B172 &amp; " (" &amp; VLOOKUP(C172, Tbl_ColorMap[],2,false) &amp; ")"</f>
        <v>10002 - Fell Omen Fetish (Blue)</v>
      </c>
      <c r="E172" s="23"/>
      <c r="F172" s="19" t="str">
        <f>IFERROR(__xludf.DUMMYFUNCTION("""COMPUTED_VALUE"""),"7121300-Lightning Pots in possession at start of expedition")</f>
        <v>7121300-Lightning Pots in possession at start of expedition</v>
      </c>
      <c r="G172" s="19" t="str">
        <f>IFERROR(__xludf.DUMMYFUNCTION("""COMPUTED_VALUE"""),"7121600-Crystal Darts in possession at start of expedition")</f>
        <v>7121600-Crystal Darts in possession at start of expedition</v>
      </c>
      <c r="H172" s="19" t="str">
        <f>IFERROR(__xludf.DUMMYFUNCTION("""COMPUTED_VALUE"""),"7121900-Gravity Stone Chunks in possession at start of
expedition")</f>
        <v>7121900-Gravity Stone Chunks in possession at start of
expedition</v>
      </c>
      <c r="L172" s="23"/>
      <c r="M172" s="19">
        <v>7121200.0</v>
      </c>
      <c r="N172" s="19">
        <v>7121500.0</v>
      </c>
      <c r="O172" s="19">
        <v>7121800.0</v>
      </c>
    </row>
    <row r="173">
      <c r="A173" s="19">
        <v>11000.0</v>
      </c>
      <c r="B173" s="19" t="s">
        <v>142</v>
      </c>
      <c r="C173" s="19">
        <v>0.0</v>
      </c>
      <c r="D173" s="19" t="str">
        <f>A173 &amp; " - " &amp; B173 &amp; " (" &amp; VLOOKUP(C173, Tbl_ColorMap[],2,false) &amp; ")"</f>
        <v>11000 - Slate Whetstone (Red)</v>
      </c>
      <c r="E173" s="23"/>
      <c r="F173" s="19" t="str">
        <f>IFERROR(__xludf.DUMMYFUNCTION("""COMPUTED_VALUE"""),"7121400-Holy Water Pots in possession at start of expedition")</f>
        <v>7121400-Holy Water Pots in possession at start of expedition</v>
      </c>
      <c r="G173" s="19" t="str">
        <f>IFERROR(__xludf.DUMMYFUNCTION("""COMPUTED_VALUE"""),"7121700-Throwing Daggers in possession at start of
expedition")</f>
        <v>7121700-Throwing Daggers in possession at start of
expedition</v>
      </c>
      <c r="H173" s="19" t="str">
        <f>IFERROR(__xludf.DUMMYFUNCTION("""COMPUTED_VALUE"""),"7122000-Bewitching Branches in possession at start of
expedition")</f>
        <v>7122000-Bewitching Branches in possession at start of
expedition</v>
      </c>
      <c r="L173" s="23"/>
      <c r="M173" s="19">
        <v>7121300.0</v>
      </c>
      <c r="N173" s="19">
        <v>7121600.0</v>
      </c>
      <c r="O173" s="19">
        <v>7121900.0</v>
      </c>
    </row>
    <row r="174">
      <c r="A174" s="19">
        <v>11001.0</v>
      </c>
      <c r="B174" s="19" t="s">
        <v>143</v>
      </c>
      <c r="C174" s="19">
        <v>0.0</v>
      </c>
      <c r="D174" s="19" t="str">
        <f>A174 &amp; " - " &amp; B174 &amp; " (" &amp; VLOOKUP(C174, Tbl_ColorMap[],2,false) &amp; ")"</f>
        <v>11001 - The Wylder's Earring (Red)</v>
      </c>
      <c r="E174" s="23"/>
      <c r="F174" s="19" t="str">
        <f>IFERROR(__xludf.DUMMYFUNCTION("""COMPUTED_VALUE"""),"7121500-Poisonbone Darts in possession at start of
expedition")</f>
        <v>7121500-Poisonbone Darts in possession at start of
expedition</v>
      </c>
      <c r="G174" s="19" t="str">
        <f>IFERROR(__xludf.DUMMYFUNCTION("""COMPUTED_VALUE"""),"7121800-Glintstone Scraps in possession at start of
expedition")</f>
        <v>7121800-Glintstone Scraps in possession at start of
expedition</v>
      </c>
      <c r="H174" s="19" t="str">
        <f>IFERROR(__xludf.DUMMYFUNCTION("""COMPUTED_VALUE"""),"7122100-Wraith Calling Bell in possession at start of
expedition")</f>
        <v>7122100-Wraith Calling Bell in possession at start of
expedition</v>
      </c>
      <c r="L174" s="23"/>
      <c r="M174" s="19">
        <v>7121400.0</v>
      </c>
      <c r="N174" s="19">
        <v>7121700.0</v>
      </c>
      <c r="O174" s="19">
        <v>7122000.0</v>
      </c>
    </row>
    <row r="175">
      <c r="A175" s="19">
        <v>11002.0</v>
      </c>
      <c r="B175" s="19" t="s">
        <v>144</v>
      </c>
      <c r="C175" s="19">
        <v>0.0</v>
      </c>
      <c r="D175" s="19" t="str">
        <f>A175 &amp; " - " &amp; B175 &amp; " (" &amp; VLOOKUP(C175, Tbl_ColorMap[],2,false) &amp; ")"</f>
        <v>11002 - Silver Tear (Red)</v>
      </c>
      <c r="E175" s="23"/>
      <c r="F175" s="19" t="str">
        <f>IFERROR(__xludf.DUMMYFUNCTION("""COMPUTED_VALUE"""),"7121600-Crystal Darts in possession at start of expedition")</f>
        <v>7121600-Crystal Darts in possession at start of expedition</v>
      </c>
      <c r="G175" s="19" t="str">
        <f>IFERROR(__xludf.DUMMYFUNCTION("""COMPUTED_VALUE"""),"7121900-Gravity Stone Chunks in possession at start of
expedition")</f>
        <v>7121900-Gravity Stone Chunks in possession at start of
expedition</v>
      </c>
      <c r="H175" s="19" t="str">
        <f>IFERROR(__xludf.DUMMYFUNCTION("""COMPUTED_VALUE"""),"7122200-Fire Grease in possession at start of expedition")</f>
        <v>7122200-Fire Grease in possession at start of expedition</v>
      </c>
      <c r="L175" s="23"/>
      <c r="M175" s="19">
        <v>7121500.0</v>
      </c>
      <c r="N175" s="19">
        <v>7121800.0</v>
      </c>
      <c r="O175" s="19">
        <v>7122100.0</v>
      </c>
    </row>
    <row r="176">
      <c r="A176" s="19">
        <v>11003.0</v>
      </c>
      <c r="B176" s="19" t="s">
        <v>109</v>
      </c>
      <c r="C176" s="19">
        <v>0.0</v>
      </c>
      <c r="D176" s="19" t="str">
        <f>A176 &amp; " - " &amp; B176 &amp; " (" &amp; VLOOKUP(C176, Tbl_ColorMap[],2,false) &amp; ")"</f>
        <v>11003 - Delicate Burning Scene (Red)</v>
      </c>
      <c r="E176" s="23"/>
      <c r="F176" s="19" t="str">
        <f>IFERROR(__xludf.DUMMYFUNCTION("""COMPUTED_VALUE"""),"7121700-Throwing Daggers in possession at start of
expedition")</f>
        <v>7121700-Throwing Daggers in possession at start of
expedition</v>
      </c>
      <c r="G176" s="19" t="str">
        <f>IFERROR(__xludf.DUMMYFUNCTION("""COMPUTED_VALUE"""),"7122000-Bewitching Branches in possession at start of
expedition")</f>
        <v>7122000-Bewitching Branches in possession at start of
expedition</v>
      </c>
      <c r="H176" s="19" t="str">
        <f>IFERROR(__xludf.DUMMYFUNCTION("""COMPUTED_VALUE"""),"7122300-Magic Grease in possession at start of expedition")</f>
        <v>7122300-Magic Grease in possession at start of expedition</v>
      </c>
      <c r="L176" s="23"/>
      <c r="M176" s="19">
        <v>7121600.0</v>
      </c>
      <c r="N176" s="19">
        <v>7121900.0</v>
      </c>
      <c r="O176" s="19">
        <v>7122200.0</v>
      </c>
    </row>
    <row r="177">
      <c r="A177" s="19">
        <v>11004.0</v>
      </c>
      <c r="B177" s="19" t="s">
        <v>109</v>
      </c>
      <c r="C177" s="19">
        <v>0.0</v>
      </c>
      <c r="D177" s="19" t="str">
        <f>A177 &amp; " - " &amp; B177 &amp; " (" &amp; VLOOKUP(C177, Tbl_ColorMap[],2,false) &amp; ")"</f>
        <v>11004 - Delicate Burning Scene (Red)</v>
      </c>
      <c r="E177" s="23"/>
      <c r="F177" s="19" t="str">
        <f>IFERROR(__xludf.DUMMYFUNCTION("""COMPUTED_VALUE"""),"7121800-Glintstone Scraps in possession at start of
expedition")</f>
        <v>7121800-Glintstone Scraps in possession at start of
expedition</v>
      </c>
      <c r="G177" s="19" t="str">
        <f>IFERROR(__xludf.DUMMYFUNCTION("""COMPUTED_VALUE"""),"7122100-Wraith Calling Bell in possession at start of
expedition")</f>
        <v>7122100-Wraith Calling Bell in possession at start of
expedition</v>
      </c>
      <c r="H177" s="19" t="str">
        <f>IFERROR(__xludf.DUMMYFUNCTION("""COMPUTED_VALUE"""),"7122400-Lightning Grease in possession at start of
expedition")</f>
        <v>7122400-Lightning Grease in possession at start of
expedition</v>
      </c>
      <c r="L177" s="23"/>
      <c r="M177" s="19">
        <v>7121700.0</v>
      </c>
      <c r="N177" s="19">
        <v>7122000.0</v>
      </c>
      <c r="O177" s="19">
        <v>7122300.0</v>
      </c>
    </row>
    <row r="178">
      <c r="A178" s="19">
        <v>12000.0</v>
      </c>
      <c r="B178" s="19" t="s">
        <v>145</v>
      </c>
      <c r="C178" s="19">
        <v>0.0</v>
      </c>
      <c r="D178" s="19" t="str">
        <f>A178 &amp; " - " &amp; B178 &amp; " (" &amp; VLOOKUP(C178, Tbl_ColorMap[],2,false) &amp; ")"</f>
        <v>12000 - Third Volume (Red)</v>
      </c>
      <c r="E178" s="23"/>
      <c r="F178" s="19" t="str">
        <f>IFERROR(__xludf.DUMMYFUNCTION("""COMPUTED_VALUE"""),"7121900-Gravity Stone Chunks in possession at start of
expedition")</f>
        <v>7121900-Gravity Stone Chunks in possession at start of
expedition</v>
      </c>
      <c r="G178" s="19" t="str">
        <f>IFERROR(__xludf.DUMMYFUNCTION("""COMPUTED_VALUE"""),"7122200-Fire Grease in possession at start of expedition")</f>
        <v>7122200-Fire Grease in possession at start of expedition</v>
      </c>
      <c r="H178" s="19" t="str">
        <f>IFERROR(__xludf.DUMMYFUNCTION("""COMPUTED_VALUE"""),"7122500-Holy Grease in possession at start of expedition")</f>
        <v>7122500-Holy Grease in possession at start of expedition</v>
      </c>
      <c r="L178" s="23"/>
      <c r="M178" s="19">
        <v>7121800.0</v>
      </c>
      <c r="N178" s="19">
        <v>7122100.0</v>
      </c>
      <c r="O178" s="19">
        <v>7122400.0</v>
      </c>
    </row>
    <row r="179">
      <c r="A179" s="19">
        <v>12001.0</v>
      </c>
      <c r="B179" s="19" t="s">
        <v>146</v>
      </c>
      <c r="C179" s="19">
        <v>0.0</v>
      </c>
      <c r="D179" s="19" t="str">
        <f>A179 &amp; " - " &amp; B179 &amp; " (" &amp; VLOOKUP(C179, Tbl_ColorMap[],2,false) &amp; ")"</f>
        <v>12001 - Stone Stake (Red)</v>
      </c>
      <c r="E179" s="23"/>
      <c r="F179" s="19" t="str">
        <f>IFERROR(__xludf.DUMMYFUNCTION("""COMPUTED_VALUE"""),"7122000-Bewitching Branches in possession at start of
expedition")</f>
        <v>7122000-Bewitching Branches in possession at start of
expedition</v>
      </c>
      <c r="G179" s="19" t="str">
        <f>IFERROR(__xludf.DUMMYFUNCTION("""COMPUTED_VALUE"""),"7122300-Magic Grease in possession at start of expedition")</f>
        <v>7122300-Magic Grease in possession at start of expedition</v>
      </c>
      <c r="H179" s="19" t="str">
        <f>IFERROR(__xludf.DUMMYFUNCTION("""COMPUTED_VALUE"""),"7122600-Shield Grease in possession at start of expedition")</f>
        <v>7122600-Shield Grease in possession at start of expedition</v>
      </c>
      <c r="L179" s="23"/>
      <c r="M179" s="19">
        <v>7121900.0</v>
      </c>
      <c r="N179" s="19">
        <v>7122200.0</v>
      </c>
      <c r="O179" s="19">
        <v>7122500.0</v>
      </c>
    </row>
    <row r="180">
      <c r="A180" s="19">
        <v>12002.0</v>
      </c>
      <c r="B180" s="19" t="s">
        <v>147</v>
      </c>
      <c r="C180" s="19">
        <v>1.0</v>
      </c>
      <c r="D180" s="19" t="str">
        <f>A180 &amp; " - " &amp; B180 &amp; " (" &amp; VLOOKUP(C180, Tbl_ColorMap[],2,false) &amp; ")"</f>
        <v>12002 - Witch's Brooch (Blue)</v>
      </c>
      <c r="E180" s="23"/>
      <c r="F180" s="19" t="str">
        <f>IFERROR(__xludf.DUMMYFUNCTION("""COMPUTED_VALUE"""),"7122100-Wraith Calling Bell in possession at start of
expedition")</f>
        <v>7122100-Wraith Calling Bell in possession at start of
expedition</v>
      </c>
      <c r="G180" s="19" t="str">
        <f>IFERROR(__xludf.DUMMYFUNCTION("""COMPUTED_VALUE"""),"7122400-Lightning Grease in possession at start of
expedition")</f>
        <v>7122400-Lightning Grease in possession at start of
expedition</v>
      </c>
      <c r="H180" s="19" t="str">
        <f>IFERROR(__xludf.DUMMYFUNCTION("""COMPUTED_VALUE"""),"7122700-Changes compatible armament's skill to Glintblade
Phalanx at start of expedition")</f>
        <v>7122700-Changes compatible armament's skill to Glintblade
Phalanx at start of expedition</v>
      </c>
      <c r="L180" s="23"/>
      <c r="M180" s="19">
        <v>7122000.0</v>
      </c>
      <c r="N180" s="19">
        <v>7122300.0</v>
      </c>
      <c r="O180" s="19">
        <v>7122600.0</v>
      </c>
    </row>
    <row r="181">
      <c r="A181" s="19">
        <v>12003.0</v>
      </c>
      <c r="B181" s="19" t="s">
        <v>148</v>
      </c>
      <c r="C181" s="19">
        <v>1.0</v>
      </c>
      <c r="D181" s="19" t="str">
        <f>A181 &amp; " - " &amp; B181 &amp; " (" &amp; VLOOKUP(C181, Tbl_ColorMap[],2,false) &amp; ")"</f>
        <v>12003 - Cracked Witch's Brooch (Blue)</v>
      </c>
      <c r="E181" s="23"/>
      <c r="F181" s="19" t="str">
        <f>IFERROR(__xludf.DUMMYFUNCTION("""COMPUTED_VALUE"""),"7122200-Fire Grease in possession at start of expedition")</f>
        <v>7122200-Fire Grease in possession at start of expedition</v>
      </c>
      <c r="G181" s="19" t="str">
        <f>IFERROR(__xludf.DUMMYFUNCTION("""COMPUTED_VALUE"""),"7122500-Holy Grease in possession at start of expedition")</f>
        <v>7122500-Holy Grease in possession at start of expedition</v>
      </c>
      <c r="H181" s="19" t="str">
        <f>IFERROR(__xludf.DUMMYFUNCTION("""COMPUTED_VALUE"""),"7122800-Changes compatible armament's skill to Gravitas at
start of expedition")</f>
        <v>7122800-Changes compatible armament's skill to Gravitas at
start of expedition</v>
      </c>
      <c r="L181" s="23"/>
      <c r="M181" s="19">
        <v>7122100.0</v>
      </c>
      <c r="N181" s="19">
        <v>7122400.0</v>
      </c>
      <c r="O181" s="19">
        <v>7122700.0</v>
      </c>
    </row>
    <row r="182">
      <c r="A182" s="19">
        <v>12004.0</v>
      </c>
      <c r="B182" s="19" t="s">
        <v>115</v>
      </c>
      <c r="C182" s="19">
        <v>2.0</v>
      </c>
      <c r="D182" s="19" t="str">
        <f>A182 &amp; " - " &amp; B182 &amp; " (" &amp; VLOOKUP(C182, Tbl_ColorMap[],2,false) &amp; ")"</f>
        <v>12004 - Delicate Luminous Scene (Yellow)</v>
      </c>
      <c r="E182" s="23"/>
      <c r="F182" s="19" t="str">
        <f>IFERROR(__xludf.DUMMYFUNCTION("""COMPUTED_VALUE"""),"7122300-Magic Grease in possession at start of expedition")</f>
        <v>7122300-Magic Grease in possession at start of expedition</v>
      </c>
      <c r="G182" s="19" t="str">
        <f>IFERROR(__xludf.DUMMYFUNCTION("""COMPUTED_VALUE"""),"7122600-Shield Grease in possession at start of expedition")</f>
        <v>7122600-Shield Grease in possession at start of expedition</v>
      </c>
      <c r="H182" s="19" t="str">
        <f>IFERROR(__xludf.DUMMYFUNCTION("""COMPUTED_VALUE"""),"7122900-Changes compatible armament's skill to Flaming
Strike at start of expedition")</f>
        <v>7122900-Changes compatible armament's skill to Flaming
Strike at start of expedition</v>
      </c>
      <c r="L182" s="23"/>
      <c r="M182" s="19">
        <v>7122200.0</v>
      </c>
      <c r="N182" s="19">
        <v>7122500.0</v>
      </c>
      <c r="O182" s="19">
        <v>7122800.0</v>
      </c>
    </row>
    <row r="183">
      <c r="A183" s="19">
        <v>12005.0</v>
      </c>
      <c r="B183" s="19" t="s">
        <v>112</v>
      </c>
      <c r="C183" s="19">
        <v>1.0</v>
      </c>
      <c r="D183" s="19" t="str">
        <f>A183 &amp; " - " &amp; B183 &amp; " (" &amp; VLOOKUP(C183, Tbl_ColorMap[],2,false) &amp; ")"</f>
        <v>12005 - Delicate Drizzly Scene (Blue)</v>
      </c>
      <c r="E183" s="23"/>
      <c r="F183" s="19" t="str">
        <f>IFERROR(__xludf.DUMMYFUNCTION("""COMPUTED_VALUE"""),"7122400-Lightning Grease in possession at start of
expedition")</f>
        <v>7122400-Lightning Grease in possession at start of
expedition</v>
      </c>
      <c r="G183" s="19" t="str">
        <f>IFERROR(__xludf.DUMMYFUNCTION("""COMPUTED_VALUE"""),"7122700-Changes compatible armament's skill to Glintblade
Phalanx at start of expedition")</f>
        <v>7122700-Changes compatible armament's skill to Glintblade
Phalanx at start of expedition</v>
      </c>
      <c r="H183" s="19" t="str">
        <f>IFERROR(__xludf.DUMMYFUNCTION("""COMPUTED_VALUE"""),"7123000-Changes compatible armament's skill to
Eruption at start of expedition")</f>
        <v>7123000-Changes compatible armament's skill to
Eruption at start of expedition</v>
      </c>
      <c r="L183" s="23"/>
      <c r="M183" s="19">
        <v>7122300.0</v>
      </c>
      <c r="N183" s="19">
        <v>7122600.0</v>
      </c>
      <c r="O183" s="19">
        <v>7122900.0</v>
      </c>
    </row>
    <row r="184">
      <c r="A184" s="19">
        <v>12006.0</v>
      </c>
      <c r="B184" s="19" t="s">
        <v>112</v>
      </c>
      <c r="C184" s="19">
        <v>1.0</v>
      </c>
      <c r="D184" s="19" t="str">
        <f>A184 &amp; " - " &amp; B184 &amp; " (" &amp; VLOOKUP(C184, Tbl_ColorMap[],2,false) &amp; ")"</f>
        <v>12006 - Delicate Drizzly Scene (Blue)</v>
      </c>
      <c r="E184" s="23"/>
      <c r="F184" s="19" t="str">
        <f>IFERROR(__xludf.DUMMYFUNCTION("""COMPUTED_VALUE"""),"7122500-Holy Grease in possession at start of expedition")</f>
        <v>7122500-Holy Grease in possession at start of expedition</v>
      </c>
      <c r="G184" s="19" t="str">
        <f>IFERROR(__xludf.DUMMYFUNCTION("""COMPUTED_VALUE"""),"7122800-Changes compatible armament's skill to Gravitas at
start of expedition")</f>
        <v>7122800-Changes compatible armament's skill to Gravitas at
start of expedition</v>
      </c>
      <c r="H184" s="19" t="str">
        <f>IFERROR(__xludf.DUMMYFUNCTION("""COMPUTED_VALUE"""),"7123100-Changes compatible armament's skill to Thunderbolt
at start of expedition")</f>
        <v>7123100-Changes compatible armament's skill to Thunderbolt
at start of expedition</v>
      </c>
      <c r="L184" s="23"/>
      <c r="M184" s="19">
        <v>7122400.0</v>
      </c>
      <c r="N184" s="19">
        <v>7122700.0</v>
      </c>
      <c r="O184" s="19">
        <v>7123000.0</v>
      </c>
    </row>
    <row r="185">
      <c r="A185" s="19">
        <v>12007.0</v>
      </c>
      <c r="B185" s="19" t="s">
        <v>118</v>
      </c>
      <c r="C185" s="19">
        <v>3.0</v>
      </c>
      <c r="D185" s="19" t="str">
        <f>A185 &amp; " - " &amp; B185 &amp; " (" &amp; VLOOKUP(C185, Tbl_ColorMap[],2,false) &amp; ")"</f>
        <v>12007 - Delicate Tranquil Scene (Green)</v>
      </c>
      <c r="E185" s="23"/>
      <c r="F185" s="19" t="str">
        <f>IFERROR(__xludf.DUMMYFUNCTION("""COMPUTED_VALUE"""),"7122600-Shield Grease in possession at start of expedition")</f>
        <v>7122600-Shield Grease in possession at start of expedition</v>
      </c>
      <c r="G185" s="19" t="str">
        <f>IFERROR(__xludf.DUMMYFUNCTION("""COMPUTED_VALUE"""),"7122900-Changes compatible armament's skill to Flaming
Strike at start of expedition")</f>
        <v>7122900-Changes compatible armament's skill to Flaming
Strike at start of expedition</v>
      </c>
      <c r="H185" s="19" t="str">
        <f>IFERROR(__xludf.DUMMYFUNCTION("""COMPUTED_VALUE"""),"7123200-Changes compatible armament's skill to Lightning
Slash at start of expedition")</f>
        <v>7123200-Changes compatible armament's skill to Lightning
Slash at start of expedition</v>
      </c>
      <c r="L185" s="23"/>
      <c r="M185" s="19">
        <v>7122500.0</v>
      </c>
      <c r="N185" s="19">
        <v>7122800.0</v>
      </c>
      <c r="O185" s="19">
        <v>7123100.0</v>
      </c>
    </row>
    <row r="186">
      <c r="A186" s="19">
        <v>13001.0</v>
      </c>
      <c r="B186" s="19" t="s">
        <v>149</v>
      </c>
      <c r="C186" s="19">
        <v>2.0</v>
      </c>
      <c r="D186" s="19" t="str">
        <f>A186 &amp; " - " &amp; B186 &amp; " (" &amp; VLOOKUP(C186, Tbl_ColorMap[],2,false) &amp; ")"</f>
        <v>13001 - Cracked Sealing Wax (Yellow)</v>
      </c>
      <c r="E186" s="23"/>
      <c r="F186" s="19" t="str">
        <f>IFERROR(__xludf.DUMMYFUNCTION("""COMPUTED_VALUE"""),"7122700-Changes compatible armament's skill to Glintblade
Phalanx at start of expedition")</f>
        <v>7122700-Changes compatible armament's skill to Glintblade
Phalanx at start of expedition</v>
      </c>
      <c r="G186" s="19" t="str">
        <f>IFERROR(__xludf.DUMMYFUNCTION("""COMPUTED_VALUE"""),"7123000-Changes compatible armament's skill to
Eruption at start of expedition")</f>
        <v>7123000-Changes compatible armament's skill to
Eruption at start of expedition</v>
      </c>
      <c r="H186" s="19" t="str">
        <f>IFERROR(__xludf.DUMMYFUNCTION("""COMPUTED_VALUE"""),"7123300-Changes compatible armament's skill to Sacred Blade
at start of expedition")</f>
        <v>7123300-Changes compatible armament's skill to Sacred Blade
at start of expedition</v>
      </c>
      <c r="L186" s="23"/>
      <c r="M186" s="19">
        <v>7122600.0</v>
      </c>
      <c r="N186" s="19">
        <v>7122900.0</v>
      </c>
      <c r="O186" s="19">
        <v>7123200.0</v>
      </c>
    </row>
    <row r="187">
      <c r="A187" s="19">
        <v>13002.0</v>
      </c>
      <c r="B187" s="19" t="s">
        <v>150</v>
      </c>
      <c r="C187" s="19">
        <v>2.0</v>
      </c>
      <c r="D187" s="19" t="str">
        <f>A187 &amp; " - " &amp; B187 &amp; " (" &amp; VLOOKUP(C187, Tbl_ColorMap[],2,false) &amp; ")"</f>
        <v>13002 - Edge of Order (Yellow)</v>
      </c>
      <c r="E187" s="23"/>
      <c r="F187" s="19" t="str">
        <f>IFERROR(__xludf.DUMMYFUNCTION("""COMPUTED_VALUE"""),"7122800-Changes compatible armament's skill to Gravitas at
start of expedition")</f>
        <v>7122800-Changes compatible armament's skill to Gravitas at
start of expedition</v>
      </c>
      <c r="G187" s="19" t="str">
        <f>IFERROR(__xludf.DUMMYFUNCTION("""COMPUTED_VALUE"""),"7123100-Changes compatible armament's skill to Thunderbolt
at start of expedition")</f>
        <v>7123100-Changes compatible armament's skill to Thunderbolt
at start of expedition</v>
      </c>
      <c r="H187" s="19" t="str">
        <f>IFERROR(__xludf.DUMMYFUNCTION("""COMPUTED_VALUE"""),"7123400-Changes compatible armament's skill to Prayerful
Strike at start of expedition")</f>
        <v>7123400-Changes compatible armament's skill to Prayerful
Strike at start of expedition</v>
      </c>
      <c r="L187" s="23"/>
      <c r="M187" s="19">
        <v>7122700.0</v>
      </c>
      <c r="N187" s="19">
        <v>7123000.0</v>
      </c>
      <c r="O187" s="19">
        <v>7123300.0</v>
      </c>
    </row>
    <row r="188">
      <c r="A188" s="19">
        <v>14000.0</v>
      </c>
      <c r="B188" s="19" t="s">
        <v>151</v>
      </c>
      <c r="C188" s="19">
        <v>2.0</v>
      </c>
      <c r="D188" s="19" t="str">
        <f>A188 &amp; " - " &amp; B188 &amp; " (" &amp; VLOOKUP(C188, Tbl_ColorMap[],2,false) &amp; ")"</f>
        <v>14000 - Golden Dew (Yellow)</v>
      </c>
      <c r="E188" s="23"/>
      <c r="F188" s="19" t="str">
        <f>IFERROR(__xludf.DUMMYFUNCTION("""COMPUTED_VALUE"""),"7122900-Changes compatible armament's skill to Flaming
Strike at start of expedition")</f>
        <v>7122900-Changes compatible armament's skill to Flaming
Strike at start of expedition</v>
      </c>
      <c r="G188" s="19" t="str">
        <f>IFERROR(__xludf.DUMMYFUNCTION("""COMPUTED_VALUE"""),"7123200-Changes compatible armament's skill to Lightning
Slash at start of expedition")</f>
        <v>7123200-Changes compatible armament's skill to Lightning
Slash at start of expedition</v>
      </c>
      <c r="H188" s="19" t="str">
        <f>IFERROR(__xludf.DUMMYFUNCTION("""COMPUTED_VALUE"""),"7123500-Changes compatible armament's skill to Poisonous
Mist at start of expedition")</f>
        <v>7123500-Changes compatible armament's skill to Poisonous
Mist at start of expedition</v>
      </c>
      <c r="L188" s="23"/>
      <c r="M188" s="19">
        <v>7122800.0</v>
      </c>
      <c r="N188" s="19">
        <v>7123100.0</v>
      </c>
      <c r="O188" s="19">
        <v>7123400.0</v>
      </c>
    </row>
    <row r="189">
      <c r="A189" s="19">
        <v>14001.0</v>
      </c>
      <c r="B189" s="19" t="s">
        <v>152</v>
      </c>
      <c r="C189" s="19">
        <v>3.0</v>
      </c>
      <c r="D189" s="19" t="str">
        <f>A189 &amp; " - " &amp; B189 &amp; " (" &amp; VLOOKUP(C189, Tbl_ColorMap[],2,false) &amp; ")"</f>
        <v>14001 - Crown Medal (Green)</v>
      </c>
      <c r="E189" s="23"/>
      <c r="F189" s="19" t="str">
        <f>IFERROR(__xludf.DUMMYFUNCTION("""COMPUTED_VALUE"""),"7123000-Changes compatible armament's skill to
Eruption at start of expedition")</f>
        <v>7123000-Changes compatible armament's skill to
Eruption at start of expedition</v>
      </c>
      <c r="G189" s="19" t="str">
        <f>IFERROR(__xludf.DUMMYFUNCTION("""COMPUTED_VALUE"""),"7123300-Changes compatible armament's skill to Sacred Blade
at start of expedition")</f>
        <v>7123300-Changes compatible armament's skill to Sacred Blade
at start of expedition</v>
      </c>
      <c r="H189" s="19" t="str">
        <f>IFERROR(__xludf.DUMMYFUNCTION("""COMPUTED_VALUE"""),"7123600-Changes compatible armament's skill to Poison Moth
Flight at start of expedition")</f>
        <v>7123600-Changes compatible armament's skill to Poison Moth
Flight at start of expedition</v>
      </c>
      <c r="L189" s="23"/>
      <c r="M189" s="19">
        <v>7122900.0</v>
      </c>
      <c r="N189" s="19">
        <v>7123200.0</v>
      </c>
      <c r="O189" s="19">
        <v>7123500.0</v>
      </c>
    </row>
    <row r="190">
      <c r="A190" s="19">
        <v>14002.0</v>
      </c>
      <c r="B190" s="19" t="s">
        <v>153</v>
      </c>
      <c r="C190" s="19">
        <v>3.0</v>
      </c>
      <c r="D190" s="19" t="str">
        <f>A190 &amp; " - " &amp; B190 &amp; " (" &amp; VLOOKUP(C190, Tbl_ColorMap[],2,false) &amp; ")"</f>
        <v>14002 - Blessed Iron Coin (Green)</v>
      </c>
      <c r="E190" s="23"/>
      <c r="F190" s="19" t="str">
        <f>IFERROR(__xludf.DUMMYFUNCTION("""COMPUTED_VALUE"""),"7123100-Changes compatible armament's skill to Thunderbolt
at start of expedition")</f>
        <v>7123100-Changes compatible armament's skill to Thunderbolt
at start of expedition</v>
      </c>
      <c r="G190" s="19" t="str">
        <f>IFERROR(__xludf.DUMMYFUNCTION("""COMPUTED_VALUE"""),"7123400-Changes compatible armament's skill to Prayerful
Strike at start of expedition")</f>
        <v>7123400-Changes compatible armament's skill to Prayerful
Strike at start of expedition</v>
      </c>
      <c r="H190" s="19" t="str">
        <f>IFERROR(__xludf.DUMMYFUNCTION("""COMPUTED_VALUE"""),"7123700-Changes compatible armament's skill to Blood Blade
at start of expedition")</f>
        <v>7123700-Changes compatible armament's skill to Blood Blade
at start of expedition</v>
      </c>
      <c r="L190" s="23"/>
      <c r="M190" s="19">
        <v>7123000.0</v>
      </c>
      <c r="N190" s="19">
        <v>7123300.0</v>
      </c>
      <c r="O190" s="19">
        <v>7123600.0</v>
      </c>
    </row>
    <row r="191">
      <c r="A191" s="19">
        <v>15000.0</v>
      </c>
      <c r="B191" s="19" t="s">
        <v>154</v>
      </c>
      <c r="C191" s="19">
        <v>1.0</v>
      </c>
      <c r="D191" s="19" t="str">
        <f>A191 &amp; " - " &amp; B191 &amp; " (" &amp; VLOOKUP(C191, Tbl_ColorMap[],2,false) &amp; ")"</f>
        <v>15000 - Torn Braided Cord (Blue)</v>
      </c>
      <c r="E191" s="23"/>
      <c r="F191" s="19" t="str">
        <f>IFERROR(__xludf.DUMMYFUNCTION("""COMPUTED_VALUE"""),"7123200-Changes compatible armament's skill to Lightning
Slash at start of expedition")</f>
        <v>7123200-Changes compatible armament's skill to Lightning
Slash at start of expedition</v>
      </c>
      <c r="G191" s="19" t="str">
        <f>IFERROR(__xludf.DUMMYFUNCTION("""COMPUTED_VALUE"""),"7123500-Changes compatible armament's skill to Poisonous
Mist at start of expedition")</f>
        <v>7123500-Changes compatible armament's skill to Poisonous
Mist at start of expedition</v>
      </c>
      <c r="H191" s="19" t="str">
        <f>IFERROR(__xludf.DUMMYFUNCTION("""COMPUTED_VALUE"""),"7123800-Changes compatible armament's skill to Seppuku at
start of expedition")</f>
        <v>7123800-Changes compatible armament's skill to Seppuku at
start of expedition</v>
      </c>
      <c r="L191" s="23"/>
      <c r="M191" s="19">
        <v>7123100.0</v>
      </c>
      <c r="N191" s="19">
        <v>7123400.0</v>
      </c>
      <c r="O191" s="19">
        <v>7123700.0</v>
      </c>
    </row>
    <row r="192">
      <c r="A192" s="19">
        <v>15002.0</v>
      </c>
      <c r="B192" s="19" t="s">
        <v>155</v>
      </c>
      <c r="C192" s="19">
        <v>2.0</v>
      </c>
      <c r="D192" s="19" t="str">
        <f>A192 &amp; " - " &amp; B192 &amp; " (" &amp; VLOOKUP(C192, Tbl_ColorMap[],2,false) &amp; ")"</f>
        <v>15002 - Black Claw Necklace (Yellow)</v>
      </c>
      <c r="E192" s="23"/>
      <c r="F192" s="19" t="str">
        <f>IFERROR(__xludf.DUMMYFUNCTION("""COMPUTED_VALUE"""),"7123300-Changes compatible armament's skill to Sacred Blade
at start of expedition")</f>
        <v>7123300-Changes compatible armament's skill to Sacred Blade
at start of expedition</v>
      </c>
      <c r="G192" s="19" t="str">
        <f>IFERROR(__xludf.DUMMYFUNCTION("""COMPUTED_VALUE"""),"7123600-Changes compatible armament's skill to Poison Moth
Flight at start of expedition")</f>
        <v>7123600-Changes compatible armament's skill to Poison Moth
Flight at start of expedition</v>
      </c>
      <c r="H192" s="19" t="str">
        <f>IFERROR(__xludf.DUMMYFUNCTION("""COMPUTED_VALUE"""),"7123900-Changes compatible armament's skill to Chilling Mist
at start of expedition")</f>
        <v>7123900-Changes compatible armament's skill to Chilling Mist
at start of expedition</v>
      </c>
      <c r="L192" s="23"/>
      <c r="M192" s="19">
        <v>7123200.0</v>
      </c>
      <c r="N192" s="19">
        <v>7123500.0</v>
      </c>
      <c r="O192" s="19">
        <v>7123800.0</v>
      </c>
    </row>
    <row r="193">
      <c r="A193" s="19">
        <v>16001.0</v>
      </c>
      <c r="B193" s="19" t="s">
        <v>156</v>
      </c>
      <c r="C193" s="19">
        <v>1.0</v>
      </c>
      <c r="D193" s="19" t="str">
        <f>A193 &amp; " - " &amp; B193 &amp; " (" &amp; VLOOKUP(C193, Tbl_ColorMap[],2,false) &amp; ")"</f>
        <v>16001 - Small Makeup Brush (Blue)</v>
      </c>
      <c r="E193" s="23"/>
      <c r="F193" s="19" t="str">
        <f>IFERROR(__xludf.DUMMYFUNCTION("""COMPUTED_VALUE"""),"7123400-Changes compatible armament's skill to Prayerful
Strike at start of expedition")</f>
        <v>7123400-Changes compatible armament's skill to Prayerful
Strike at start of expedition</v>
      </c>
      <c r="G193" s="19" t="str">
        <f>IFERROR(__xludf.DUMMYFUNCTION("""COMPUTED_VALUE"""),"7123700-Changes compatible armament's skill to Blood Blade
at start of expedition")</f>
        <v>7123700-Changes compatible armament's skill to Blood Blade
at start of expedition</v>
      </c>
      <c r="H193" s="19" t="str">
        <f>IFERROR(__xludf.DUMMYFUNCTION("""COMPUTED_VALUE"""),"7124000-Changes compatible armament's skill to Hoarfrost
Stomp at start of expedition")</f>
        <v>7124000-Changes compatible armament's skill to Hoarfrost
Stomp at start of expedition</v>
      </c>
      <c r="L193" s="23"/>
      <c r="M193" s="19">
        <v>7123300.0</v>
      </c>
      <c r="N193" s="19">
        <v>7123600.0</v>
      </c>
      <c r="O193" s="19">
        <v>7123900.0</v>
      </c>
    </row>
    <row r="194">
      <c r="A194" s="19">
        <v>16002.0</v>
      </c>
      <c r="B194" s="19" t="s">
        <v>157</v>
      </c>
      <c r="C194" s="19">
        <v>1.0</v>
      </c>
      <c r="D194" s="19" t="str">
        <f>A194 &amp; " - " &amp; B194 &amp; " (" &amp; VLOOKUP(C194, Tbl_ColorMap[],2,false) &amp; ")"</f>
        <v>16002 - Old Portrait (Blue)</v>
      </c>
      <c r="E194" s="23"/>
      <c r="F194" s="19" t="str">
        <f>IFERROR(__xludf.DUMMYFUNCTION("""COMPUTED_VALUE"""),"7123500-Changes compatible armament's skill to Poisonous
Mist at start of expedition")</f>
        <v>7123500-Changes compatible armament's skill to Poisonous
Mist at start of expedition</v>
      </c>
      <c r="G194" s="19" t="str">
        <f>IFERROR(__xludf.DUMMYFUNCTION("""COMPUTED_VALUE"""),"7123800-Changes compatible armament's skill to Seppuku at
start of expedition")</f>
        <v>7123800-Changes compatible armament's skill to Seppuku at
start of expedition</v>
      </c>
      <c r="H194" s="19" t="str">
        <f>IFERROR(__xludf.DUMMYFUNCTION("""COMPUTED_VALUE"""),"7124100-Changes compatible armament's skill to White
Shadow's Lure at start of expedition")</f>
        <v>7124100-Changes compatible armament's skill to White
Shadow's Lure at start of expedition</v>
      </c>
      <c r="L194" s="23"/>
      <c r="M194" s="19">
        <v>7123400.0</v>
      </c>
      <c r="N194" s="19">
        <v>7123700.0</v>
      </c>
      <c r="O194" s="19">
        <v>7124000.0</v>
      </c>
    </row>
    <row r="195">
      <c r="A195" s="19">
        <v>17001.0</v>
      </c>
      <c r="B195" s="19" t="s">
        <v>158</v>
      </c>
      <c r="C195" s="19">
        <v>3.0</v>
      </c>
      <c r="D195" s="19" t="str">
        <f>A195 &amp; " - " &amp; B195 &amp; " (" &amp; VLOOKUP(C195, Tbl_ColorMap[],2,false) &amp; ")"</f>
        <v>17001 - Vestige of Night (Green)</v>
      </c>
      <c r="E195" s="23"/>
      <c r="F195" s="19" t="str">
        <f>IFERROR(__xludf.DUMMYFUNCTION("""COMPUTED_VALUE"""),"7123600-Changes compatible armament's skill to Poison Moth
Flight at start of expedition")</f>
        <v>7123600-Changes compatible armament's skill to Poison Moth
Flight at start of expedition</v>
      </c>
      <c r="G195" s="19" t="str">
        <f>IFERROR(__xludf.DUMMYFUNCTION("""COMPUTED_VALUE"""),"7123900-Changes compatible armament's skill to Chilling Mist
at start of expedition")</f>
        <v>7123900-Changes compatible armament's skill to Chilling Mist
at start of expedition</v>
      </c>
      <c r="H195" s="19" t="str">
        <f>IFERROR(__xludf.DUMMYFUNCTION("""COMPUTED_VALUE"""),"7124300-Changes compatible armament's skill to Endure at
start of expedition")</f>
        <v>7124300-Changes compatible armament's skill to Endure at
start of expedition</v>
      </c>
      <c r="L195" s="23"/>
      <c r="M195" s="19">
        <v>7123500.0</v>
      </c>
      <c r="N195" s="19">
        <v>7123800.0</v>
      </c>
      <c r="O195" s="19">
        <v>7124100.0</v>
      </c>
    </row>
    <row r="196">
      <c r="A196" s="19">
        <v>17002.0</v>
      </c>
      <c r="B196" s="19" t="s">
        <v>159</v>
      </c>
      <c r="C196" s="19">
        <v>3.0</v>
      </c>
      <c r="D196" s="19" t="str">
        <f>A196 &amp; " - " &amp; B196 &amp; " (" &amp; VLOOKUP(C196, Tbl_ColorMap[],2,false) &amp; ")"</f>
        <v>17002 - Bone-Like Stone (Green)</v>
      </c>
      <c r="E196" s="23"/>
      <c r="F196" s="19" t="str">
        <f>IFERROR(__xludf.DUMMYFUNCTION("""COMPUTED_VALUE"""),"7123700-Changes compatible armament's skill to Blood Blade
at start of expedition")</f>
        <v>7123700-Changes compatible armament's skill to Blood Blade
at start of expedition</v>
      </c>
      <c r="G196" s="19" t="str">
        <f>IFERROR(__xludf.DUMMYFUNCTION("""COMPUTED_VALUE"""),"7124000-Changes compatible armament's skill to Hoarfrost
Stomp at start of expedition")</f>
        <v>7124000-Changes compatible armament's skill to Hoarfrost
Stomp at start of expedition</v>
      </c>
      <c r="H196" s="19" t="str">
        <f>IFERROR(__xludf.DUMMYFUNCTION("""COMPUTED_VALUE"""),"7124400-Changes compatible armament's skill to Quickstep at
start of expedition")</f>
        <v>7124400-Changes compatible armament's skill to Quickstep at
start of expedition</v>
      </c>
      <c r="L196" s="23"/>
      <c r="M196" s="19">
        <v>7123600.0</v>
      </c>
      <c r="N196" s="19">
        <v>7123900.0</v>
      </c>
      <c r="O196" s="19">
        <v>7124300.0</v>
      </c>
    </row>
    <row r="197">
      <c r="A197" s="19">
        <v>18000.0</v>
      </c>
      <c r="B197" s="19" t="s">
        <v>160</v>
      </c>
      <c r="C197" s="19">
        <v>3.0</v>
      </c>
      <c r="D197" s="19" t="str">
        <f>A197 &amp; " - " &amp; B197 &amp; " (" &amp; VLOOKUP(C197, Tbl_ColorMap[],2,false) &amp; ")"</f>
        <v>18000 - Blessed Flowers (Green)</v>
      </c>
      <c r="E197" s="23"/>
      <c r="F197" s="19" t="str">
        <f>IFERROR(__xludf.DUMMYFUNCTION("""COMPUTED_VALUE"""),"7123800-Changes compatible armament's skill to Seppuku at
start of expedition")</f>
        <v>7123800-Changes compatible armament's skill to Seppuku at
start of expedition</v>
      </c>
      <c r="G197" s="19" t="str">
        <f>IFERROR(__xludf.DUMMYFUNCTION("""COMPUTED_VALUE"""),"7124100-Changes compatible armament's skill to White
Shadow's Lure at start of expedition")</f>
        <v>7124100-Changes compatible armament's skill to White
Shadow's Lure at start of expedition</v>
      </c>
      <c r="H197" s="19" t="str">
        <f>IFERROR(__xludf.DUMMYFUNCTION("""COMPUTED_VALUE"""),"7124500-Changes compatible armament's skill to Storm Stomp
at start of expedition")</f>
        <v>7124500-Changes compatible armament's skill to Storm Stomp
at start of expedition</v>
      </c>
      <c r="L197" s="23"/>
      <c r="M197" s="19">
        <v>7123700.0</v>
      </c>
      <c r="N197" s="19">
        <v>7124000.0</v>
      </c>
      <c r="O197" s="19">
        <v>7124400.0</v>
      </c>
    </row>
    <row r="198">
      <c r="A198" s="19">
        <v>18002.0</v>
      </c>
      <c r="B198" s="19" t="s">
        <v>161</v>
      </c>
      <c r="C198" s="19">
        <v>0.0</v>
      </c>
      <c r="D198" s="19" t="str">
        <f>A198 &amp; " - " &amp; B198 &amp; " (" &amp; VLOOKUP(C198, Tbl_ColorMap[],2,false) &amp; ")"</f>
        <v>18002 - Golden Sprout (Red)</v>
      </c>
      <c r="E198" s="23"/>
      <c r="F198" s="19" t="str">
        <f>IFERROR(__xludf.DUMMYFUNCTION("""COMPUTED_VALUE"""),"7123900-Changes compatible armament's skill to Chilling Mist
at start of expedition")</f>
        <v>7123900-Changes compatible armament's skill to Chilling Mist
at start of expedition</v>
      </c>
      <c r="G198" s="19" t="str">
        <f>IFERROR(__xludf.DUMMYFUNCTION("""COMPUTED_VALUE"""),"7124300-Changes compatible armament's skill to Endure at
start of expedition")</f>
        <v>7124300-Changes compatible armament's skill to Endure at
start of expedition</v>
      </c>
      <c r="H198" s="19" t="str">
        <f>IFERROR(__xludf.DUMMYFUNCTION("""COMPUTED_VALUE"""),"7124600-Changes compatible armament's skill to Determination
at start of expedition")</f>
        <v>7124600-Changes compatible armament's skill to Determination
at start of expedition</v>
      </c>
      <c r="L198" s="23"/>
      <c r="M198" s="19">
        <v>7123800.0</v>
      </c>
      <c r="N198" s="19">
        <v>7124100.0</v>
      </c>
      <c r="O198" s="19">
        <v>7124500.0</v>
      </c>
    </row>
    <row r="199">
      <c r="A199" s="19">
        <v>19000.0</v>
      </c>
      <c r="B199" s="19" t="s">
        <v>162</v>
      </c>
      <c r="C199" s="19">
        <v>0.0</v>
      </c>
      <c r="D199" s="19" t="str">
        <f>A199 &amp; " - " &amp; B199 &amp; " (" &amp; VLOOKUP(C199, Tbl_ColorMap[],2,false) &amp; ")"</f>
        <v>19000 - Cleansing Tear (Red)</v>
      </c>
      <c r="E199" s="23"/>
      <c r="F199" s="19" t="str">
        <f>IFERROR(__xludf.DUMMYFUNCTION("""COMPUTED_VALUE"""),"7124000-Changes compatible armament's skill to Hoarfrost
Stomp at start of expedition")</f>
        <v>7124000-Changes compatible armament's skill to Hoarfrost
Stomp at start of expedition</v>
      </c>
      <c r="G199" s="19" t="str">
        <f>IFERROR(__xludf.DUMMYFUNCTION("""COMPUTED_VALUE"""),"7124400-Changes compatible armament's skill to Quickstep at
start of expedition")</f>
        <v>7124400-Changes compatible armament's skill to Quickstep at
start of expedition</v>
      </c>
      <c r="H199" s="19" t="str">
        <f>IFERROR(__xludf.DUMMYFUNCTION("""COMPUTED_VALUE"""),"7124700-Changes compatible armament's skill to Rain of
Arrows at start of expedition")</f>
        <v>7124700-Changes compatible armament's skill to Rain of
Arrows at start of expedition</v>
      </c>
      <c r="L199" s="23"/>
      <c r="M199" s="19">
        <v>7123900.0</v>
      </c>
      <c r="N199" s="19">
        <v>7124300.0</v>
      </c>
      <c r="O199" s="19">
        <v>7124600.0</v>
      </c>
    </row>
    <row r="200">
      <c r="A200" s="19">
        <v>19001.0</v>
      </c>
      <c r="B200" s="19" t="s">
        <v>163</v>
      </c>
      <c r="C200" s="19">
        <v>2.0</v>
      </c>
      <c r="D200" s="19" t="str">
        <f>A200 &amp; " - " &amp; B200 &amp; " (" &amp; VLOOKUP(C200, Tbl_ColorMap[],2,false) &amp; ")"</f>
        <v>19001 - Note "My Dear Successor" (Yellow)</v>
      </c>
      <c r="E200" s="23"/>
      <c r="F200" s="19" t="str">
        <f>IFERROR(__xludf.DUMMYFUNCTION("""COMPUTED_VALUE"""),"7124100-Changes compatible armament's skill to White
Shadow's Lure at start of expedition")</f>
        <v>7124100-Changes compatible armament's skill to White
Shadow's Lure at start of expedition</v>
      </c>
      <c r="G200" s="19" t="str">
        <f>IFERROR(__xludf.DUMMYFUNCTION("""COMPUTED_VALUE"""),"7124500-Changes compatible armament's skill to Storm Stomp
at start of expedition")</f>
        <v>7124500-Changes compatible armament's skill to Storm Stomp
at start of expedition</v>
      </c>
      <c r="H200" s="19" t="str">
        <f>IFERROR(__xludf.DUMMYFUNCTION("""COMPUTED_VALUE"""),"7126000-Starlight Shards in possession at start of expedition")</f>
        <v>7126000-Starlight Shards in possession at start of expedition</v>
      </c>
      <c r="L200" s="23"/>
      <c r="M200" s="19">
        <v>7124000.0</v>
      </c>
      <c r="N200" s="19">
        <v>7124400.0</v>
      </c>
      <c r="O200" s="19">
        <v>7124700.0</v>
      </c>
    </row>
    <row r="201">
      <c r="A201" s="19">
        <v>19050.0</v>
      </c>
      <c r="B201" s="19" t="s">
        <v>164</v>
      </c>
      <c r="C201" s="19">
        <v>1.0</v>
      </c>
      <c r="D201" s="19" t="str">
        <f>A201 &amp; " - " &amp; B201 &amp; " (" &amp; VLOOKUP(C201, Tbl_ColorMap[],2,false) &amp; ")"</f>
        <v>19050 - Leather Monocle Case (Blue)</v>
      </c>
      <c r="E201" s="23"/>
      <c r="F201" s="19" t="str">
        <f>IFERROR(__xludf.DUMMYFUNCTION("""COMPUTED_VALUE"""),"7124300-Changes compatible armament's skill to Endure at
start of expedition")</f>
        <v>7124300-Changes compatible armament's skill to Endure at
start of expedition</v>
      </c>
      <c r="G201" s="19" t="str">
        <f>IFERROR(__xludf.DUMMYFUNCTION("""COMPUTED_VALUE"""),"7124600-Changes compatible armament's skill to Determination
at start of expedition")</f>
        <v>7124600-Changes compatible armament's skill to Determination
at start of expedition</v>
      </c>
      <c r="H201" s="19" t="str">
        <f>IFERROR(__xludf.DUMMYFUNCTION("""COMPUTED_VALUE"""),"7150000-Guard counter is given a boost based on current HP")</f>
        <v>7150000-Guard counter is given a boost based on current HP</v>
      </c>
      <c r="L201" s="23"/>
      <c r="M201" s="19">
        <v>7124100.0</v>
      </c>
      <c r="N201" s="19">
        <v>7124500.0</v>
      </c>
      <c r="O201" s="19">
        <v>7126000.0</v>
      </c>
    </row>
    <row r="202">
      <c r="A202" s="19">
        <v>19051.0</v>
      </c>
      <c r="B202" s="19" t="s">
        <v>165</v>
      </c>
      <c r="C202" s="19">
        <v>3.0</v>
      </c>
      <c r="D202" s="19" t="str">
        <f>A202 &amp; " - " &amp; B202 &amp; " (" &amp; VLOOKUP(C202, Tbl_ColorMap[],2,false) &amp; ")"</f>
        <v>19051 - Glass Necklace (Green)</v>
      </c>
      <c r="E202" s="23"/>
      <c r="F202" s="19" t="str">
        <f>IFERROR(__xludf.DUMMYFUNCTION("""COMPUTED_VALUE"""),"7124400-Changes compatible armament's skill to Quickstep at
start of expedition")</f>
        <v>7124400-Changes compatible armament's skill to Quickstep at
start of expedition</v>
      </c>
      <c r="G202" s="19" t="str">
        <f>IFERROR(__xludf.DUMMYFUNCTION("""COMPUTED_VALUE"""),"7124700-Changes compatible armament's skill to Rain of
Arrows at start of expedition")</f>
        <v>7124700-Changes compatible armament's skill to Rain of
Arrows at start of expedition</v>
      </c>
      <c r="H202" s="19" t="str">
        <f>IFERROR(__xludf.DUMMYFUNCTION("""COMPUTED_VALUE"""),"7160000-HP Restoration upon Thrusting Counterattack")</f>
        <v>7160000-HP Restoration upon Thrusting Counterattack</v>
      </c>
      <c r="L202" s="23"/>
      <c r="M202" s="19">
        <v>7124300.0</v>
      </c>
      <c r="N202" s="19">
        <v>7124600.0</v>
      </c>
      <c r="O202" s="19">
        <v>7150000.0</v>
      </c>
    </row>
    <row r="203">
      <c r="A203" s="19">
        <v>20000.0</v>
      </c>
      <c r="B203" s="19" t="s">
        <v>109</v>
      </c>
      <c r="C203" s="19">
        <v>0.0</v>
      </c>
      <c r="D203" s="19" t="str">
        <f>A203 &amp; " - " &amp; B203 &amp; " (" &amp; VLOOKUP(C203, Tbl_ColorMap[],2,false) &amp; ")"</f>
        <v>20000 - Delicate Burning Scene (Red)</v>
      </c>
      <c r="E203" s="23"/>
      <c r="F203" s="19" t="str">
        <f>IFERROR(__xludf.DUMMYFUNCTION("""COMPUTED_VALUE"""),"7124500-Changes compatible armament's skill to Storm Stomp
at start of expedition")</f>
        <v>7124500-Changes compatible armament's skill to Storm Stomp
at start of expedition</v>
      </c>
      <c r="G203" s="19" t="str">
        <f>IFERROR(__xludf.DUMMYFUNCTION("""COMPUTED_VALUE"""),"7126000-Starlight Shards in possession at start of expedition")</f>
        <v>7126000-Starlight Shards in possession at start of expedition</v>
      </c>
      <c r="H203" s="19" t="str">
        <f>IFERROR(__xludf.DUMMYFUNCTION("""COMPUTED_VALUE"""),"7220000-[Revenant] Power up while fighting alongside family")</f>
        <v>7220000-[Revenant] Power up while fighting alongside family</v>
      </c>
      <c r="L203" s="23"/>
      <c r="M203" s="19">
        <v>7124400.0</v>
      </c>
      <c r="N203" s="19">
        <v>7124700.0</v>
      </c>
      <c r="O203" s="19">
        <v>7160000.0</v>
      </c>
    </row>
    <row r="204">
      <c r="A204" s="19">
        <v>20001.0</v>
      </c>
      <c r="B204" s="19" t="s">
        <v>110</v>
      </c>
      <c r="C204" s="19">
        <v>0.0</v>
      </c>
      <c r="D204" s="19" t="str">
        <f>A204 &amp; " - " &amp; B204 &amp; " (" &amp; VLOOKUP(C204, Tbl_ColorMap[],2,false) &amp; ")"</f>
        <v>20001 - Polished Burning Scene (Red)</v>
      </c>
      <c r="E204" s="23"/>
      <c r="F204" s="19" t="str">
        <f>IFERROR(__xludf.DUMMYFUNCTION("""COMPUTED_VALUE"""),"7124600-Changes compatible armament's skill to Determination
at start of expedition")</f>
        <v>7124600-Changes compatible armament's skill to Determination
at start of expedition</v>
      </c>
      <c r="G204" s="19" t="str">
        <f>IFERROR(__xludf.DUMMYFUNCTION("""COMPUTED_VALUE"""),"7150000-Guard counter is given a boost based on current HP")</f>
        <v>7150000-Guard counter is given a boost based on current HP</v>
      </c>
      <c r="H204" s="19" t="str">
        <f>IFERROR(__xludf.DUMMYFUNCTION("""COMPUTED_VALUE"""),"7230000-Rune discount for shop purchases while on expedition")</f>
        <v>7230000-Rune discount for shop purchases while on expedition</v>
      </c>
      <c r="L204" s="23"/>
      <c r="M204" s="19">
        <v>7124500.0</v>
      </c>
      <c r="N204" s="19">
        <v>7126000.0</v>
      </c>
      <c r="O204" s="19">
        <v>7220000.0</v>
      </c>
    </row>
    <row r="205">
      <c r="A205" s="19">
        <v>20002.0</v>
      </c>
      <c r="B205" s="19" t="s">
        <v>111</v>
      </c>
      <c r="C205" s="19">
        <v>0.0</v>
      </c>
      <c r="D205" s="19" t="str">
        <f>A205 &amp; " - " &amp; B205 &amp; " (" &amp; VLOOKUP(C205, Tbl_ColorMap[],2,false) &amp; ")"</f>
        <v>20002 - Grand Burning Scene (Red)</v>
      </c>
      <c r="E205" s="23"/>
      <c r="F205" s="19" t="str">
        <f>IFERROR(__xludf.DUMMYFUNCTION("""COMPUTED_VALUE"""),"7124700-Changes compatible armament's skill to Rain of
Arrows at start of expedition")</f>
        <v>7124700-Changes compatible armament's skill to Rain of
Arrows at start of expedition</v>
      </c>
      <c r="G205" s="19" t="str">
        <f>IFERROR(__xludf.DUMMYFUNCTION("""COMPUTED_VALUE"""),"7160000-HP Restoration upon Thrusting Counterattack")</f>
        <v>7160000-HP Restoration upon Thrusting Counterattack</v>
      </c>
      <c r="H205" s="19" t="str">
        <f>IFERROR(__xludf.DUMMYFUNCTION("""COMPUTED_VALUE"""),"7240000-Improved Poise &amp; Damage Negation When Knocked Back
by Damage")</f>
        <v>7240000-Improved Poise &amp; Damage Negation When Knocked Back
by Damage</v>
      </c>
      <c r="L205" s="23"/>
      <c r="M205" s="19">
        <v>7124600.0</v>
      </c>
      <c r="N205" s="19">
        <v>7150000.0</v>
      </c>
      <c r="O205" s="19">
        <v>7230000.0</v>
      </c>
    </row>
    <row r="206">
      <c r="A206" s="19">
        <v>20003.0</v>
      </c>
      <c r="B206" s="19" t="s">
        <v>109</v>
      </c>
      <c r="C206" s="19">
        <v>0.0</v>
      </c>
      <c r="D206" s="19" t="str">
        <f>A206 &amp; " - " &amp; B206 &amp; " (" &amp; VLOOKUP(C206, Tbl_ColorMap[],2,false) &amp; ")"</f>
        <v>20003 - Delicate Burning Scene (Red)</v>
      </c>
      <c r="E206" s="23"/>
      <c r="F206" s="19" t="str">
        <f>IFERROR(__xludf.DUMMYFUNCTION("""COMPUTED_VALUE"""),"7126000-Starlight Shards in possession at start of expedition")</f>
        <v>7126000-Starlight Shards in possession at start of expedition</v>
      </c>
      <c r="G206" s="19" t="str">
        <f>IFERROR(__xludf.DUMMYFUNCTION("""COMPUTED_VALUE"""),"7220000-[Revenant] Power up while fighting alongside family")</f>
        <v>7220000-[Revenant] Power up while fighting alongside family</v>
      </c>
      <c r="H206" s="19" t="str">
        <f>IFERROR(__xludf.DUMMYFUNCTION("""COMPUTED_VALUE"""),"7260000-Attack power up when facing poison-afflicted enemy")</f>
        <v>7260000-Attack power up when facing poison-afflicted enemy</v>
      </c>
      <c r="L206" s="23"/>
      <c r="M206" s="19">
        <v>7124700.0</v>
      </c>
      <c r="N206" s="19">
        <v>7160000.0</v>
      </c>
      <c r="O206" s="19">
        <v>7240000.0</v>
      </c>
    </row>
    <row r="207">
      <c r="A207" s="19">
        <v>20004.0</v>
      </c>
      <c r="B207" s="19" t="s">
        <v>110</v>
      </c>
      <c r="C207" s="19">
        <v>0.0</v>
      </c>
      <c r="D207" s="19" t="str">
        <f>A207 &amp; " - " &amp; B207 &amp; " (" &amp; VLOOKUP(C207, Tbl_ColorMap[],2,false) &amp; ")"</f>
        <v>20004 - Polished Burning Scene (Red)</v>
      </c>
      <c r="E207" s="23"/>
      <c r="F207" s="19" t="str">
        <f>IFERROR(__xludf.DUMMYFUNCTION("""COMPUTED_VALUE"""),"7150000-Guard counter is given a boost based on current HP")</f>
        <v>7150000-Guard counter is given a boost based on current HP</v>
      </c>
      <c r="G207" s="19" t="str">
        <f>IFERROR(__xludf.DUMMYFUNCTION("""COMPUTED_VALUE"""),"7230000-Rune discount for shop purchases while on expedition")</f>
        <v>7230000-Rune discount for shop purchases while on expedition</v>
      </c>
      <c r="H207" s="19" t="str">
        <f>IFERROR(__xludf.DUMMYFUNCTION("""COMPUTED_VALUE"""),"7260300-Attack power up when facing scarlet rot-afflicted
enemy")</f>
        <v>7260300-Attack power up when facing scarlet rot-afflicted
enemy</v>
      </c>
      <c r="L207" s="23"/>
      <c r="M207" s="19">
        <v>7126000.0</v>
      </c>
      <c r="N207" s="19">
        <v>7220000.0</v>
      </c>
      <c r="O207" s="19">
        <v>7260000.0</v>
      </c>
    </row>
    <row r="208">
      <c r="A208" s="19">
        <v>20005.0</v>
      </c>
      <c r="B208" s="19" t="s">
        <v>111</v>
      </c>
      <c r="C208" s="19">
        <v>0.0</v>
      </c>
      <c r="D208" s="19" t="str">
        <f>A208 &amp; " - " &amp; B208 &amp; " (" &amp; VLOOKUP(C208, Tbl_ColorMap[],2,false) &amp; ")"</f>
        <v>20005 - Grand Burning Scene (Red)</v>
      </c>
      <c r="E208" s="23"/>
      <c r="F208" s="19" t="str">
        <f>IFERROR(__xludf.DUMMYFUNCTION("""COMPUTED_VALUE"""),"7160000-HP Restoration upon Thrusting Counterattack")</f>
        <v>7160000-HP Restoration upon Thrusting Counterattack</v>
      </c>
      <c r="G208" s="19" t="str">
        <f>IFERROR(__xludf.DUMMYFUNCTION("""COMPUTED_VALUE"""),"7240000-Improved Poise &amp; Damage Negation When Knocked Back
by Damage")</f>
        <v>7240000-Improved Poise &amp; Damage Negation When Knocked Back
by Damage</v>
      </c>
      <c r="H208" s="19" t="str">
        <f>IFERROR(__xludf.DUMMYFUNCTION("""COMPUTED_VALUE"""),"7260400-Attack power up when facing frostbite-afflicted
enemy")</f>
        <v>7260400-Attack power up when facing frostbite-afflicted
enemy</v>
      </c>
      <c r="L208" s="23"/>
      <c r="M208" s="19">
        <v>7150000.0</v>
      </c>
      <c r="N208" s="19">
        <v>7230000.0</v>
      </c>
      <c r="O208" s="19">
        <v>7260300.0</v>
      </c>
    </row>
    <row r="209">
      <c r="A209" s="19">
        <v>20006.0</v>
      </c>
      <c r="B209" s="19" t="s">
        <v>109</v>
      </c>
      <c r="C209" s="19">
        <v>0.0</v>
      </c>
      <c r="D209" s="19" t="str">
        <f>A209 &amp; " - " &amp; B209 &amp; " (" &amp; VLOOKUP(C209, Tbl_ColorMap[],2,false) &amp; ")"</f>
        <v>20006 - Delicate Burning Scene (Red)</v>
      </c>
      <c r="E209" s="23"/>
      <c r="F209" s="19" t="str">
        <f>IFERROR(__xludf.DUMMYFUNCTION("""COMPUTED_VALUE"""),"7220000-[Revenant] Power up while fighting alongside family")</f>
        <v>7220000-[Revenant] Power up while fighting alongside family</v>
      </c>
      <c r="G209" s="19" t="str">
        <f>IFERROR(__xludf.DUMMYFUNCTION("""COMPUTED_VALUE"""),"7260000-Attack power up when facing poison-afflicted enemy")</f>
        <v>7260000-Attack power up when facing poison-afflicted enemy</v>
      </c>
      <c r="H209" s="19" t="str">
        <f>IFERROR(__xludf.DUMMYFUNCTION("""COMPUTED_VALUE"""),"7270100-[Ironeye] +1 additional Character Skill use")</f>
        <v>7270100-[Ironeye] +1 additional Character Skill use</v>
      </c>
      <c r="L209" s="23"/>
      <c r="M209" s="19">
        <v>7160000.0</v>
      </c>
      <c r="N209" s="19">
        <v>7240000.0</v>
      </c>
      <c r="O209" s="19">
        <v>7260400.0</v>
      </c>
    </row>
    <row r="210">
      <c r="A210" s="19">
        <v>20007.0</v>
      </c>
      <c r="B210" s="19" t="s">
        <v>110</v>
      </c>
      <c r="C210" s="19">
        <v>0.0</v>
      </c>
      <c r="D210" s="19" t="str">
        <f>A210 &amp; " - " &amp; B210 &amp; " (" &amp; VLOOKUP(C210, Tbl_ColorMap[],2,false) &amp; ")"</f>
        <v>20007 - Polished Burning Scene (Red)</v>
      </c>
      <c r="E210" s="23"/>
      <c r="F210" s="19" t="str">
        <f>IFERROR(__xludf.DUMMYFUNCTION("""COMPUTED_VALUE"""),"7230000-Rune discount for shop purchases while on expedition")</f>
        <v>7230000-Rune discount for shop purchases while on expedition</v>
      </c>
      <c r="G210" s="19" t="str">
        <f>IFERROR(__xludf.DUMMYFUNCTION("""COMPUTED_VALUE"""),"7260300-Attack power up when facing scarlet rot-afflicted
enemy")</f>
        <v>7260300-Attack power up when facing scarlet rot-afflicted
enemy</v>
      </c>
      <c r="H210" s="19" t="str">
        <f>IFERROR(__xludf.DUMMYFUNCTION("""COMPUTED_VALUE"""),"7280000-[Ironeye] Extends duration of weak point")</f>
        <v>7280000-[Ironeye] Extends duration of weak point</v>
      </c>
      <c r="L210" s="23"/>
      <c r="M210" s="19">
        <v>7220000.0</v>
      </c>
      <c r="N210" s="19">
        <v>7260000.0</v>
      </c>
      <c r="O210" s="19">
        <v>7270100.0</v>
      </c>
    </row>
    <row r="211">
      <c r="A211" s="19">
        <v>20008.0</v>
      </c>
      <c r="B211" s="19" t="s">
        <v>111</v>
      </c>
      <c r="C211" s="19">
        <v>0.0</v>
      </c>
      <c r="D211" s="19" t="str">
        <f>A211 &amp; " - " &amp; B211 &amp; " (" &amp; VLOOKUP(C211, Tbl_ColorMap[],2,false) &amp; ")"</f>
        <v>20008 - Grand Burning Scene (Red)</v>
      </c>
      <c r="E211" s="23"/>
      <c r="F211" s="19" t="str">
        <f>IFERROR(__xludf.DUMMYFUNCTION("""COMPUTED_VALUE"""),"7240000-Improved Poise &amp; Damage Negation When Knocked Back
by Damage")</f>
        <v>7240000-Improved Poise &amp; Damage Negation When Knocked Back
by Damage</v>
      </c>
      <c r="G211" s="19" t="str">
        <f>IFERROR(__xludf.DUMMYFUNCTION("""COMPUTED_VALUE"""),"7260400-Attack power up when facing frostbite-afflicted
enemy")</f>
        <v>7260400-Attack power up when facing frostbite-afflicted
enemy</v>
      </c>
      <c r="H211" s="19" t="str">
        <f>IFERROR(__xludf.DUMMYFUNCTION("""COMPUTED_VALUE"""),"7290000-[Duchess] Improved Character Skill Attack Power")</f>
        <v>7290000-[Duchess] Improved Character Skill Attack Power</v>
      </c>
      <c r="L211" s="23"/>
      <c r="M211" s="19">
        <v>7230000.0</v>
      </c>
      <c r="N211" s="19">
        <v>7260300.0</v>
      </c>
      <c r="O211" s="19">
        <v>7280000.0</v>
      </c>
    </row>
    <row r="212">
      <c r="A212" s="19">
        <v>20009.0</v>
      </c>
      <c r="B212" s="19" t="s">
        <v>112</v>
      </c>
      <c r="C212" s="19">
        <v>1.0</v>
      </c>
      <c r="D212" s="19" t="str">
        <f>A212 &amp; " - " &amp; B212 &amp; " (" &amp; VLOOKUP(C212, Tbl_ColorMap[],2,false) &amp; ")"</f>
        <v>20009 - Delicate Drizzly Scene (Blue)</v>
      </c>
      <c r="E212" s="23"/>
      <c r="F212" s="19" t="str">
        <f>IFERROR(__xludf.DUMMYFUNCTION("""COMPUTED_VALUE"""),"7260000-Attack power up when facing poison-afflicted enemy")</f>
        <v>7260000-Attack power up when facing poison-afflicted enemy</v>
      </c>
      <c r="G212" s="19" t="str">
        <f>IFERROR(__xludf.DUMMYFUNCTION("""COMPUTED_VALUE"""),"7270100-[Ironeye] +1 additional Character Skill use")</f>
        <v>7270100-[Ironeye] +1 additional Character Skill use</v>
      </c>
      <c r="H212" s="19" t="str">
        <f>IFERROR(__xludf.DUMMYFUNCTION("""COMPUTED_VALUE"""),"7310000-[Raider] Duration of Ultimate Art extended")</f>
        <v>7310000-[Raider] Duration of Ultimate Art extended</v>
      </c>
      <c r="L212" s="23"/>
      <c r="M212" s="19">
        <v>7240000.0</v>
      </c>
      <c r="N212" s="19">
        <v>7260400.0</v>
      </c>
      <c r="O212" s="19">
        <v>7290000.0</v>
      </c>
    </row>
    <row r="213">
      <c r="A213" s="19">
        <v>20010.0</v>
      </c>
      <c r="B213" s="19" t="s">
        <v>113</v>
      </c>
      <c r="C213" s="19">
        <v>1.0</v>
      </c>
      <c r="D213" s="19" t="str">
        <f>A213 &amp; " - " &amp; B213 &amp; " (" &amp; VLOOKUP(C213, Tbl_ColorMap[],2,false) &amp; ")"</f>
        <v>20010 - Polished Drizzly Scene (Blue)</v>
      </c>
      <c r="E213" s="23"/>
      <c r="F213" s="19" t="str">
        <f>IFERROR(__xludf.DUMMYFUNCTION("""COMPUTED_VALUE"""),"7260300-Attack power up when facing scarlet rot-afflicted
enemy")</f>
        <v>7260300-Attack power up when facing scarlet rot-afflicted
enemy</v>
      </c>
      <c r="G213" s="19" t="str">
        <f>IFERROR(__xludf.DUMMYFUNCTION("""COMPUTED_VALUE"""),"7280000-[Ironeye] Extends duration of weak point")</f>
        <v>7280000-[Ironeye] Extends duration of weak point</v>
      </c>
      <c r="H213" s="19" t="str">
        <f>IFERROR(__xludf.DUMMYFUNCTION("""COMPUTED_VALUE"""),"7330000-Improved Dagger Attack Power")</f>
        <v>7330000-Improved Dagger Attack Power</v>
      </c>
      <c r="L213" s="23"/>
      <c r="M213" s="19">
        <v>7260000.0</v>
      </c>
      <c r="N213" s="19">
        <v>7270100.0</v>
      </c>
      <c r="O213" s="19">
        <v>7310000.0</v>
      </c>
    </row>
    <row r="214">
      <c r="A214" s="19">
        <v>20011.0</v>
      </c>
      <c r="B214" s="19" t="s">
        <v>114</v>
      </c>
      <c r="C214" s="19">
        <v>1.0</v>
      </c>
      <c r="D214" s="19" t="str">
        <f>A214 &amp; " - " &amp; B214 &amp; " (" &amp; VLOOKUP(C214, Tbl_ColorMap[],2,false) &amp; ")"</f>
        <v>20011 - Grand Drizzly Scene (Blue)</v>
      </c>
      <c r="E214" s="23"/>
      <c r="F214" s="19" t="str">
        <f>IFERROR(__xludf.DUMMYFUNCTION("""COMPUTED_VALUE"""),"7260400-Attack power up when facing frostbite-afflicted
enemy")</f>
        <v>7260400-Attack power up when facing frostbite-afflicted
enemy</v>
      </c>
      <c r="G214" s="19" t="str">
        <f>IFERROR(__xludf.DUMMYFUNCTION("""COMPUTED_VALUE"""),"7290000-[Duchess] Improved Character Skill Attack Power")</f>
        <v>7290000-[Duchess] Improved Character Skill Attack Power</v>
      </c>
      <c r="H214" s="19" t="str">
        <f>IFERROR(__xludf.DUMMYFUNCTION("""COMPUTED_VALUE"""),"7330100-Improved Straight Sword Attack Power")</f>
        <v>7330100-Improved Straight Sword Attack Power</v>
      </c>
      <c r="L214" s="23"/>
      <c r="M214" s="19">
        <v>7260300.0</v>
      </c>
      <c r="N214" s="19">
        <v>7280000.0</v>
      </c>
      <c r="O214" s="19">
        <v>7330000.0</v>
      </c>
    </row>
    <row r="215">
      <c r="A215" s="19">
        <v>20012.0</v>
      </c>
      <c r="B215" s="19" t="s">
        <v>112</v>
      </c>
      <c r="C215" s="19">
        <v>1.0</v>
      </c>
      <c r="D215" s="19" t="str">
        <f>A215 &amp; " - " &amp; B215 &amp; " (" &amp; VLOOKUP(C215, Tbl_ColorMap[],2,false) &amp; ")"</f>
        <v>20012 - Delicate Drizzly Scene (Blue)</v>
      </c>
      <c r="E215" s="23"/>
      <c r="F215" s="19" t="str">
        <f>IFERROR(__xludf.DUMMYFUNCTION("""COMPUTED_VALUE"""),"7270100-[Ironeye] +1 additional Character Skill use")</f>
        <v>7270100-[Ironeye] +1 additional Character Skill use</v>
      </c>
      <c r="G215" s="19" t="str">
        <f>IFERROR(__xludf.DUMMYFUNCTION("""COMPUTED_VALUE"""),"7310000-[Raider] Duration of Ultimate Art extended")</f>
        <v>7310000-[Raider] Duration of Ultimate Art extended</v>
      </c>
      <c r="H215" s="19" t="str">
        <f>IFERROR(__xludf.DUMMYFUNCTION("""COMPUTED_VALUE"""),"7330200-Improved Greatsword Attack Power")</f>
        <v>7330200-Improved Greatsword Attack Power</v>
      </c>
      <c r="L215" s="23"/>
      <c r="M215" s="19">
        <v>7260400.0</v>
      </c>
      <c r="N215" s="19">
        <v>7290000.0</v>
      </c>
      <c r="O215" s="19">
        <v>7330100.0</v>
      </c>
    </row>
    <row r="216">
      <c r="A216" s="19">
        <v>20013.0</v>
      </c>
      <c r="B216" s="19" t="s">
        <v>113</v>
      </c>
      <c r="C216" s="19">
        <v>1.0</v>
      </c>
      <c r="D216" s="19" t="str">
        <f>A216 &amp; " - " &amp; B216 &amp; " (" &amp; VLOOKUP(C216, Tbl_ColorMap[],2,false) &amp; ")"</f>
        <v>20013 - Polished Drizzly Scene (Blue)</v>
      </c>
      <c r="E216" s="23"/>
      <c r="F216" s="19" t="str">
        <f>IFERROR(__xludf.DUMMYFUNCTION("""COMPUTED_VALUE"""),"7280000-[Ironeye] Extends duration of weak point")</f>
        <v>7280000-[Ironeye] Extends duration of weak point</v>
      </c>
      <c r="G216" s="19" t="str">
        <f>IFERROR(__xludf.DUMMYFUNCTION("""COMPUTED_VALUE"""),"7330000-Improved Dagger Attack Power")</f>
        <v>7330000-Improved Dagger Attack Power</v>
      </c>
      <c r="H216" s="19" t="str">
        <f>IFERROR(__xludf.DUMMYFUNCTION("""COMPUTED_VALUE"""),"7330300-Improved Colossal Sword Attack Power")</f>
        <v>7330300-Improved Colossal Sword Attack Power</v>
      </c>
      <c r="L216" s="23"/>
      <c r="M216" s="19">
        <v>7270100.0</v>
      </c>
      <c r="N216" s="19">
        <v>7310000.0</v>
      </c>
      <c r="O216" s="19">
        <v>7330200.0</v>
      </c>
    </row>
    <row r="217">
      <c r="A217" s="19">
        <v>20014.0</v>
      </c>
      <c r="B217" s="19" t="s">
        <v>114</v>
      </c>
      <c r="C217" s="19">
        <v>1.0</v>
      </c>
      <c r="D217" s="19" t="str">
        <f>A217 &amp; " - " &amp; B217 &amp; " (" &amp; VLOOKUP(C217, Tbl_ColorMap[],2,false) &amp; ")"</f>
        <v>20014 - Grand Drizzly Scene (Blue)</v>
      </c>
      <c r="E217" s="23"/>
      <c r="F217" s="19" t="str">
        <f>IFERROR(__xludf.DUMMYFUNCTION("""COMPUTED_VALUE"""),"7290000-[Duchess] Improved Character Skill Attack Power")</f>
        <v>7290000-[Duchess] Improved Character Skill Attack Power</v>
      </c>
      <c r="G217" s="19" t="str">
        <f>IFERROR(__xludf.DUMMYFUNCTION("""COMPUTED_VALUE"""),"7330100-Improved Straight Sword Attack Power")</f>
        <v>7330100-Improved Straight Sword Attack Power</v>
      </c>
      <c r="H217" s="19" t="str">
        <f>IFERROR(__xludf.DUMMYFUNCTION("""COMPUTED_VALUE"""),"7330400-Improved Curved Sword Attack Power")</f>
        <v>7330400-Improved Curved Sword Attack Power</v>
      </c>
      <c r="L217" s="23"/>
      <c r="M217" s="19">
        <v>7280000.0</v>
      </c>
      <c r="N217" s="19">
        <v>7330000.0</v>
      </c>
      <c r="O217" s="19">
        <v>7330300.0</v>
      </c>
    </row>
    <row r="218">
      <c r="A218" s="19">
        <v>20015.0</v>
      </c>
      <c r="B218" s="19" t="s">
        <v>112</v>
      </c>
      <c r="C218" s="19">
        <v>1.0</v>
      </c>
      <c r="D218" s="19" t="str">
        <f>A218 &amp; " - " &amp; B218 &amp; " (" &amp; VLOOKUP(C218, Tbl_ColorMap[],2,false) &amp; ")"</f>
        <v>20015 - Delicate Drizzly Scene (Blue)</v>
      </c>
      <c r="E218" s="23"/>
      <c r="F218" s="19" t="str">
        <f>IFERROR(__xludf.DUMMYFUNCTION("""COMPUTED_VALUE"""),"7310000-[Raider] Duration of Ultimate Art extended")</f>
        <v>7310000-[Raider] Duration of Ultimate Art extended</v>
      </c>
      <c r="G218" s="19" t="str">
        <f>IFERROR(__xludf.DUMMYFUNCTION("""COMPUTED_VALUE"""),"7330200-Improved Greatsword Attack Power")</f>
        <v>7330200-Improved Greatsword Attack Power</v>
      </c>
      <c r="H218" s="19" t="str">
        <f>IFERROR(__xludf.DUMMYFUNCTION("""COMPUTED_VALUE"""),"7330500-Improved Curved Greatsword Attack Power")</f>
        <v>7330500-Improved Curved Greatsword Attack Power</v>
      </c>
      <c r="L218" s="23"/>
      <c r="M218" s="19">
        <v>7290000.0</v>
      </c>
      <c r="N218" s="19">
        <v>7330100.0</v>
      </c>
      <c r="O218" s="19">
        <v>7330400.0</v>
      </c>
    </row>
    <row r="219">
      <c r="A219" s="19">
        <v>20016.0</v>
      </c>
      <c r="B219" s="19" t="s">
        <v>113</v>
      </c>
      <c r="C219" s="19">
        <v>1.0</v>
      </c>
      <c r="D219" s="19" t="str">
        <f>A219 &amp; " - " &amp; B219 &amp; " (" &amp; VLOOKUP(C219, Tbl_ColorMap[],2,false) &amp; ")"</f>
        <v>20016 - Polished Drizzly Scene (Blue)</v>
      </c>
      <c r="E219" s="23"/>
      <c r="F219" s="19" t="str">
        <f>IFERROR(__xludf.DUMMYFUNCTION("""COMPUTED_VALUE"""),"7330000-Improved Dagger Attack Power")</f>
        <v>7330000-Improved Dagger Attack Power</v>
      </c>
      <c r="G219" s="19" t="str">
        <f>IFERROR(__xludf.DUMMYFUNCTION("""COMPUTED_VALUE"""),"7330300-Improved Colossal Sword Attack Power")</f>
        <v>7330300-Improved Colossal Sword Attack Power</v>
      </c>
      <c r="H219" s="19" t="str">
        <f>IFERROR(__xludf.DUMMYFUNCTION("""COMPUTED_VALUE"""),"7330600-Improved Katana Attack Power")</f>
        <v>7330600-Improved Katana Attack Power</v>
      </c>
      <c r="L219" s="23"/>
      <c r="M219" s="19">
        <v>7310000.0</v>
      </c>
      <c r="N219" s="19">
        <v>7330200.0</v>
      </c>
      <c r="O219" s="19">
        <v>7330500.0</v>
      </c>
    </row>
    <row r="220">
      <c r="A220" s="19">
        <v>20017.0</v>
      </c>
      <c r="B220" s="19" t="s">
        <v>114</v>
      </c>
      <c r="C220" s="19">
        <v>1.0</v>
      </c>
      <c r="D220" s="19" t="str">
        <f>A220 &amp; " - " &amp; B220 &amp; " (" &amp; VLOOKUP(C220, Tbl_ColorMap[],2,false) &amp; ")"</f>
        <v>20017 - Grand Drizzly Scene (Blue)</v>
      </c>
      <c r="E220" s="23"/>
      <c r="F220" s="19" t="str">
        <f>IFERROR(__xludf.DUMMYFUNCTION("""COMPUTED_VALUE"""),"7330100-Improved Straight Sword Attack Power")</f>
        <v>7330100-Improved Straight Sword Attack Power</v>
      </c>
      <c r="G220" s="19" t="str">
        <f>IFERROR(__xludf.DUMMYFUNCTION("""COMPUTED_VALUE"""),"7330400-Improved Curved Sword Attack Power")</f>
        <v>7330400-Improved Curved Sword Attack Power</v>
      </c>
      <c r="H220" s="19" t="str">
        <f>IFERROR(__xludf.DUMMYFUNCTION("""COMPUTED_VALUE"""),"7330700-Improved Twinblade Attack Power")</f>
        <v>7330700-Improved Twinblade Attack Power</v>
      </c>
      <c r="L220" s="23"/>
      <c r="M220" s="19">
        <v>7330000.0</v>
      </c>
      <c r="N220" s="19">
        <v>7330300.0</v>
      </c>
      <c r="O220" s="19">
        <v>7330600.0</v>
      </c>
    </row>
    <row r="221">
      <c r="A221" s="19">
        <v>20018.0</v>
      </c>
      <c r="B221" s="19" t="s">
        <v>115</v>
      </c>
      <c r="C221" s="19">
        <v>2.0</v>
      </c>
      <c r="D221" s="19" t="str">
        <f>A221 &amp; " - " &amp; B221 &amp; " (" &amp; VLOOKUP(C221, Tbl_ColorMap[],2,false) &amp; ")"</f>
        <v>20018 - Delicate Luminous Scene (Yellow)</v>
      </c>
      <c r="E221" s="23"/>
      <c r="F221" s="19" t="str">
        <f>IFERROR(__xludf.DUMMYFUNCTION("""COMPUTED_VALUE"""),"7330200-Improved Greatsword Attack Power")</f>
        <v>7330200-Improved Greatsword Attack Power</v>
      </c>
      <c r="G221" s="19" t="str">
        <f>IFERROR(__xludf.DUMMYFUNCTION("""COMPUTED_VALUE"""),"7330500-Improved Curved Greatsword Attack Power")</f>
        <v>7330500-Improved Curved Greatsword Attack Power</v>
      </c>
      <c r="H221" s="19" t="str">
        <f>IFERROR(__xludf.DUMMYFUNCTION("""COMPUTED_VALUE"""),"7330800-Improved Thrusting Sword Attack Power")</f>
        <v>7330800-Improved Thrusting Sword Attack Power</v>
      </c>
      <c r="L221" s="23"/>
      <c r="M221" s="19">
        <v>7330100.0</v>
      </c>
      <c r="N221" s="19">
        <v>7330400.0</v>
      </c>
      <c r="O221" s="19">
        <v>7330700.0</v>
      </c>
    </row>
    <row r="222">
      <c r="A222" s="19">
        <v>20019.0</v>
      </c>
      <c r="B222" s="19" t="s">
        <v>116</v>
      </c>
      <c r="C222" s="19">
        <v>2.0</v>
      </c>
      <c r="D222" s="19" t="str">
        <f>A222 &amp; " - " &amp; B222 &amp; " (" &amp; VLOOKUP(C222, Tbl_ColorMap[],2,false) &amp; ")"</f>
        <v>20019 - Polished Luminous Scene (Yellow)</v>
      </c>
      <c r="E222" s="23"/>
      <c r="F222" s="19" t="str">
        <f>IFERROR(__xludf.DUMMYFUNCTION("""COMPUTED_VALUE"""),"7330300-Improved Colossal Sword Attack Power")</f>
        <v>7330300-Improved Colossal Sword Attack Power</v>
      </c>
      <c r="G222" s="19" t="str">
        <f>IFERROR(__xludf.DUMMYFUNCTION("""COMPUTED_VALUE"""),"7330600-Improved Katana Attack Power")</f>
        <v>7330600-Improved Katana Attack Power</v>
      </c>
      <c r="H222" s="19" t="str">
        <f>IFERROR(__xludf.DUMMYFUNCTION("""COMPUTED_VALUE"""),"7330900-Improved Heavy Thrusting Sword Attack Power")</f>
        <v>7330900-Improved Heavy Thrusting Sword Attack Power</v>
      </c>
      <c r="L222" s="23"/>
      <c r="M222" s="19">
        <v>7330200.0</v>
      </c>
      <c r="N222" s="19">
        <v>7330500.0</v>
      </c>
      <c r="O222" s="19">
        <v>7330800.0</v>
      </c>
    </row>
    <row r="223">
      <c r="A223" s="19">
        <v>20020.0</v>
      </c>
      <c r="B223" s="19" t="s">
        <v>117</v>
      </c>
      <c r="C223" s="19">
        <v>2.0</v>
      </c>
      <c r="D223" s="19" t="str">
        <f>A223 &amp; " - " &amp; B223 &amp; " (" &amp; VLOOKUP(C223, Tbl_ColorMap[],2,false) &amp; ")"</f>
        <v>20020 - Grand Luminous Scene (Yellow)</v>
      </c>
      <c r="E223" s="23"/>
      <c r="F223" s="19" t="str">
        <f>IFERROR(__xludf.DUMMYFUNCTION("""COMPUTED_VALUE"""),"7330400-Improved Curved Sword Attack Power")</f>
        <v>7330400-Improved Curved Sword Attack Power</v>
      </c>
      <c r="G223" s="19" t="str">
        <f>IFERROR(__xludf.DUMMYFUNCTION("""COMPUTED_VALUE"""),"7330700-Improved Twinblade Attack Power")</f>
        <v>7330700-Improved Twinblade Attack Power</v>
      </c>
      <c r="H223" s="19" t="str">
        <f>IFERROR(__xludf.DUMMYFUNCTION("""COMPUTED_VALUE"""),"7331000-Improved Axe Attack Power")</f>
        <v>7331000-Improved Axe Attack Power</v>
      </c>
      <c r="L223" s="23"/>
      <c r="M223" s="19">
        <v>7330300.0</v>
      </c>
      <c r="N223" s="19">
        <v>7330600.0</v>
      </c>
      <c r="O223" s="19">
        <v>7330900.0</v>
      </c>
    </row>
    <row r="224">
      <c r="A224" s="19">
        <v>20021.0</v>
      </c>
      <c r="B224" s="19" t="s">
        <v>115</v>
      </c>
      <c r="C224" s="19">
        <v>2.0</v>
      </c>
      <c r="D224" s="19" t="str">
        <f>A224 &amp; " - " &amp; B224 &amp; " (" &amp; VLOOKUP(C224, Tbl_ColorMap[],2,false) &amp; ")"</f>
        <v>20021 - Delicate Luminous Scene (Yellow)</v>
      </c>
      <c r="E224" s="23"/>
      <c r="F224" s="19" t="str">
        <f>IFERROR(__xludf.DUMMYFUNCTION("""COMPUTED_VALUE"""),"7330500-Improved Curved Greatsword Attack Power")</f>
        <v>7330500-Improved Curved Greatsword Attack Power</v>
      </c>
      <c r="G224" s="19" t="str">
        <f>IFERROR(__xludf.DUMMYFUNCTION("""COMPUTED_VALUE"""),"7330800-Improved Thrusting Sword Attack Power")</f>
        <v>7330800-Improved Thrusting Sword Attack Power</v>
      </c>
      <c r="H224" s="19" t="str">
        <f>IFERROR(__xludf.DUMMYFUNCTION("""COMPUTED_VALUE"""),"7331100-Improved Greataxe Attack Power")</f>
        <v>7331100-Improved Greataxe Attack Power</v>
      </c>
      <c r="L224" s="23"/>
      <c r="M224" s="19">
        <v>7330400.0</v>
      </c>
      <c r="N224" s="19">
        <v>7330700.0</v>
      </c>
      <c r="O224" s="19">
        <v>7331000.0</v>
      </c>
    </row>
    <row r="225">
      <c r="A225" s="19">
        <v>20022.0</v>
      </c>
      <c r="B225" s="19" t="s">
        <v>116</v>
      </c>
      <c r="C225" s="19">
        <v>2.0</v>
      </c>
      <c r="D225" s="19" t="str">
        <f>A225 &amp; " - " &amp; B225 &amp; " (" &amp; VLOOKUP(C225, Tbl_ColorMap[],2,false) &amp; ")"</f>
        <v>20022 - Polished Luminous Scene (Yellow)</v>
      </c>
      <c r="E225" s="23"/>
      <c r="F225" s="19" t="str">
        <f>IFERROR(__xludf.DUMMYFUNCTION("""COMPUTED_VALUE"""),"7330600-Improved Katana Attack Power")</f>
        <v>7330600-Improved Katana Attack Power</v>
      </c>
      <c r="G225" s="19" t="str">
        <f>IFERROR(__xludf.DUMMYFUNCTION("""COMPUTED_VALUE"""),"7330900-Improved Heavy Thrusting Sword Attack Power")</f>
        <v>7330900-Improved Heavy Thrusting Sword Attack Power</v>
      </c>
      <c r="H225" s="19" t="str">
        <f>IFERROR(__xludf.DUMMYFUNCTION("""COMPUTED_VALUE"""),"7331200-Improved Hammer Attack Power")</f>
        <v>7331200-Improved Hammer Attack Power</v>
      </c>
      <c r="L225" s="23"/>
      <c r="M225" s="19">
        <v>7330500.0</v>
      </c>
      <c r="N225" s="19">
        <v>7330800.0</v>
      </c>
      <c r="O225" s="19">
        <v>7331100.0</v>
      </c>
    </row>
    <row r="226">
      <c r="A226" s="19">
        <v>20023.0</v>
      </c>
      <c r="B226" s="19" t="s">
        <v>117</v>
      </c>
      <c r="C226" s="19">
        <v>2.0</v>
      </c>
      <c r="D226" s="19" t="str">
        <f>A226 &amp; " - " &amp; B226 &amp; " (" &amp; VLOOKUP(C226, Tbl_ColorMap[],2,false) &amp; ")"</f>
        <v>20023 - Grand Luminous Scene (Yellow)</v>
      </c>
      <c r="E226" s="23"/>
      <c r="F226" s="19" t="str">
        <f>IFERROR(__xludf.DUMMYFUNCTION("""COMPUTED_VALUE"""),"7330700-Improved Twinblade Attack Power")</f>
        <v>7330700-Improved Twinblade Attack Power</v>
      </c>
      <c r="G226" s="19" t="str">
        <f>IFERROR(__xludf.DUMMYFUNCTION("""COMPUTED_VALUE"""),"7331000-Improved Axe Attack Power")</f>
        <v>7331000-Improved Axe Attack Power</v>
      </c>
      <c r="H226" s="19" t="str">
        <f>IFERROR(__xludf.DUMMYFUNCTION("""COMPUTED_VALUE"""),"7331300-Improved Great Hammer Attack Power")</f>
        <v>7331300-Improved Great Hammer Attack Power</v>
      </c>
      <c r="L226" s="23"/>
      <c r="M226" s="19">
        <v>7330600.0</v>
      </c>
      <c r="N226" s="19">
        <v>7330900.0</v>
      </c>
      <c r="O226" s="19">
        <v>7331200.0</v>
      </c>
    </row>
    <row r="227">
      <c r="A227" s="19">
        <v>20024.0</v>
      </c>
      <c r="B227" s="19" t="s">
        <v>115</v>
      </c>
      <c r="C227" s="19">
        <v>2.0</v>
      </c>
      <c r="D227" s="19" t="str">
        <f>A227 &amp; " - " &amp; B227 &amp; " (" &amp; VLOOKUP(C227, Tbl_ColorMap[],2,false) &amp; ")"</f>
        <v>20024 - Delicate Luminous Scene (Yellow)</v>
      </c>
      <c r="E227" s="23"/>
      <c r="F227" s="19" t="str">
        <f>IFERROR(__xludf.DUMMYFUNCTION("""COMPUTED_VALUE"""),"7330800-Improved Thrusting Sword Attack Power")</f>
        <v>7330800-Improved Thrusting Sword Attack Power</v>
      </c>
      <c r="G227" s="19" t="str">
        <f>IFERROR(__xludf.DUMMYFUNCTION("""COMPUTED_VALUE"""),"7331100-Improved Greataxe Attack Power")</f>
        <v>7331100-Improved Greataxe Attack Power</v>
      </c>
      <c r="H227" s="19" t="str">
        <f>IFERROR(__xludf.DUMMYFUNCTION("""COMPUTED_VALUE"""),"7331400-Improved Flail Attack Power")</f>
        <v>7331400-Improved Flail Attack Power</v>
      </c>
      <c r="L227" s="23"/>
      <c r="M227" s="19">
        <v>7330700.0</v>
      </c>
      <c r="N227" s="19">
        <v>7331000.0</v>
      </c>
      <c r="O227" s="19">
        <v>7331300.0</v>
      </c>
    </row>
    <row r="228">
      <c r="A228" s="19">
        <v>20025.0</v>
      </c>
      <c r="B228" s="19" t="s">
        <v>116</v>
      </c>
      <c r="C228" s="19">
        <v>2.0</v>
      </c>
      <c r="D228" s="19" t="str">
        <f>A228 &amp; " - " &amp; B228 &amp; " (" &amp; VLOOKUP(C228, Tbl_ColorMap[],2,false) &amp; ")"</f>
        <v>20025 - Polished Luminous Scene (Yellow)</v>
      </c>
      <c r="E228" s="23"/>
      <c r="F228" s="19" t="str">
        <f>IFERROR(__xludf.DUMMYFUNCTION("""COMPUTED_VALUE"""),"7330900-Improved Heavy Thrusting Sword Attack Power")</f>
        <v>7330900-Improved Heavy Thrusting Sword Attack Power</v>
      </c>
      <c r="G228" s="19" t="str">
        <f>IFERROR(__xludf.DUMMYFUNCTION("""COMPUTED_VALUE"""),"7331200-Improved Hammer Attack Power")</f>
        <v>7331200-Improved Hammer Attack Power</v>
      </c>
      <c r="H228" s="19" t="str">
        <f>IFERROR(__xludf.DUMMYFUNCTION("""COMPUTED_VALUE"""),"7331500-Improved Spear Attack Power")</f>
        <v>7331500-Improved Spear Attack Power</v>
      </c>
      <c r="L228" s="23"/>
      <c r="M228" s="19">
        <v>7330800.0</v>
      </c>
      <c r="N228" s="19">
        <v>7331100.0</v>
      </c>
      <c r="O228" s="19">
        <v>7331400.0</v>
      </c>
    </row>
    <row r="229">
      <c r="A229" s="19">
        <v>20026.0</v>
      </c>
      <c r="B229" s="19" t="s">
        <v>117</v>
      </c>
      <c r="C229" s="19">
        <v>2.0</v>
      </c>
      <c r="D229" s="19" t="str">
        <f>A229 &amp; " - " &amp; B229 &amp; " (" &amp; VLOOKUP(C229, Tbl_ColorMap[],2,false) &amp; ")"</f>
        <v>20026 - Grand Luminous Scene (Yellow)</v>
      </c>
      <c r="E229" s="23"/>
      <c r="F229" s="19" t="str">
        <f>IFERROR(__xludf.DUMMYFUNCTION("""COMPUTED_VALUE"""),"7331000-Improved Axe Attack Power")</f>
        <v>7331000-Improved Axe Attack Power</v>
      </c>
      <c r="G229" s="19" t="str">
        <f>IFERROR(__xludf.DUMMYFUNCTION("""COMPUTED_VALUE"""),"7331300-Improved Great Hammer Attack Power")</f>
        <v>7331300-Improved Great Hammer Attack Power</v>
      </c>
      <c r="H229" s="19" t="str">
        <f>IFERROR(__xludf.DUMMYFUNCTION("""COMPUTED_VALUE"""),"7331700-Improved Great Spear Attack Power")</f>
        <v>7331700-Improved Great Spear Attack Power</v>
      </c>
      <c r="L229" s="23"/>
      <c r="M229" s="19">
        <v>7330900.0</v>
      </c>
      <c r="N229" s="19">
        <v>7331200.0</v>
      </c>
      <c r="O229" s="19">
        <v>7331500.0</v>
      </c>
    </row>
    <row r="230">
      <c r="A230" s="19">
        <v>20027.0</v>
      </c>
      <c r="B230" s="19" t="s">
        <v>118</v>
      </c>
      <c r="C230" s="19">
        <v>3.0</v>
      </c>
      <c r="D230" s="19" t="str">
        <f>A230 &amp; " - " &amp; B230 &amp; " (" &amp; VLOOKUP(C230, Tbl_ColorMap[],2,false) &amp; ")"</f>
        <v>20027 - Delicate Tranquil Scene (Green)</v>
      </c>
      <c r="E230" s="23"/>
      <c r="F230" s="19" t="str">
        <f>IFERROR(__xludf.DUMMYFUNCTION("""COMPUTED_VALUE"""),"7331100-Improved Greataxe Attack Power")</f>
        <v>7331100-Improved Greataxe Attack Power</v>
      </c>
      <c r="G230" s="19" t="str">
        <f>IFERROR(__xludf.DUMMYFUNCTION("""COMPUTED_VALUE"""),"7331400-Improved Flail Attack Power")</f>
        <v>7331400-Improved Flail Attack Power</v>
      </c>
      <c r="H230" s="19" t="str">
        <f>IFERROR(__xludf.DUMMYFUNCTION("""COMPUTED_VALUE"""),"7331800-Improved Halberd Attack Power")</f>
        <v>7331800-Improved Halberd Attack Power</v>
      </c>
      <c r="L230" s="23"/>
      <c r="M230" s="19">
        <v>7331000.0</v>
      </c>
      <c r="N230" s="19">
        <v>7331300.0</v>
      </c>
      <c r="O230" s="19">
        <v>7331700.0</v>
      </c>
    </row>
    <row r="231">
      <c r="A231" s="19">
        <v>20028.0</v>
      </c>
      <c r="B231" s="19" t="s">
        <v>119</v>
      </c>
      <c r="C231" s="19">
        <v>3.0</v>
      </c>
      <c r="D231" s="19" t="str">
        <f>A231 &amp; " - " &amp; B231 &amp; " (" &amp; VLOOKUP(C231, Tbl_ColorMap[],2,false) &amp; ")"</f>
        <v>20028 - Polished Tranquil Scene (Green)</v>
      </c>
      <c r="E231" s="23"/>
      <c r="F231" s="19" t="str">
        <f>IFERROR(__xludf.DUMMYFUNCTION("""COMPUTED_VALUE"""),"7331200-Improved Hammer Attack Power")</f>
        <v>7331200-Improved Hammer Attack Power</v>
      </c>
      <c r="G231" s="19" t="str">
        <f>IFERROR(__xludf.DUMMYFUNCTION("""COMPUTED_VALUE"""),"7331500-Improved Spear Attack Power")</f>
        <v>7331500-Improved Spear Attack Power</v>
      </c>
      <c r="H231" s="19" t="str">
        <f>IFERROR(__xludf.DUMMYFUNCTION("""COMPUTED_VALUE"""),"7331900-Improved Reaper Attack Power")</f>
        <v>7331900-Improved Reaper Attack Power</v>
      </c>
      <c r="L231" s="23"/>
      <c r="M231" s="19">
        <v>7331100.0</v>
      </c>
      <c r="N231" s="19">
        <v>7331400.0</v>
      </c>
      <c r="O231" s="19">
        <v>7331800.0</v>
      </c>
    </row>
    <row r="232">
      <c r="A232" s="19">
        <v>20029.0</v>
      </c>
      <c r="B232" s="19" t="s">
        <v>120</v>
      </c>
      <c r="C232" s="19">
        <v>3.0</v>
      </c>
      <c r="D232" s="19" t="str">
        <f>A232 &amp; " - " &amp; B232 &amp; " (" &amp; VLOOKUP(C232, Tbl_ColorMap[],2,false) &amp; ")"</f>
        <v>20029 - Grand Tranquil Scene (Green)</v>
      </c>
      <c r="E232" s="23"/>
      <c r="F232" s="19" t="str">
        <f>IFERROR(__xludf.DUMMYFUNCTION("""COMPUTED_VALUE"""),"7331300-Improved Great Hammer Attack Power")</f>
        <v>7331300-Improved Great Hammer Attack Power</v>
      </c>
      <c r="G232" s="19" t="str">
        <f>IFERROR(__xludf.DUMMYFUNCTION("""COMPUTED_VALUE"""),"7331700-Improved Great Spear Attack Power")</f>
        <v>7331700-Improved Great Spear Attack Power</v>
      </c>
      <c r="H232" s="19" t="str">
        <f>IFERROR(__xludf.DUMMYFUNCTION("""COMPUTED_VALUE"""),"7332000-Improved Fist Attack Power")</f>
        <v>7332000-Improved Fist Attack Power</v>
      </c>
      <c r="L232" s="23"/>
      <c r="M232" s="19">
        <v>7331200.0</v>
      </c>
      <c r="N232" s="19">
        <v>7331500.0</v>
      </c>
      <c r="O232" s="19">
        <v>7331900.0</v>
      </c>
    </row>
    <row r="233">
      <c r="A233" s="19">
        <v>20030.0</v>
      </c>
      <c r="B233" s="19" t="s">
        <v>118</v>
      </c>
      <c r="C233" s="19">
        <v>3.0</v>
      </c>
      <c r="D233" s="19" t="str">
        <f>A233 &amp; " - " &amp; B233 &amp; " (" &amp; VLOOKUP(C233, Tbl_ColorMap[],2,false) &amp; ")"</f>
        <v>20030 - Delicate Tranquil Scene (Green)</v>
      </c>
      <c r="E233" s="23"/>
      <c r="F233" s="19" t="str">
        <f>IFERROR(__xludf.DUMMYFUNCTION("""COMPUTED_VALUE"""),"7331400-Improved Flail Attack Power")</f>
        <v>7331400-Improved Flail Attack Power</v>
      </c>
      <c r="G233" s="19" t="str">
        <f>IFERROR(__xludf.DUMMYFUNCTION("""COMPUTED_VALUE"""),"7331800-Improved Halberd Attack Power")</f>
        <v>7331800-Improved Halberd Attack Power</v>
      </c>
      <c r="H233" s="19" t="str">
        <f>IFERROR(__xludf.DUMMYFUNCTION("""COMPUTED_VALUE"""),"7332100-Improved Claw Attack Power")</f>
        <v>7332100-Improved Claw Attack Power</v>
      </c>
      <c r="L233" s="23"/>
      <c r="M233" s="19">
        <v>7331300.0</v>
      </c>
      <c r="N233" s="19">
        <v>7331700.0</v>
      </c>
      <c r="O233" s="19">
        <v>7332000.0</v>
      </c>
    </row>
    <row r="234">
      <c r="A234" s="19">
        <v>20031.0</v>
      </c>
      <c r="B234" s="19" t="s">
        <v>119</v>
      </c>
      <c r="C234" s="19">
        <v>3.0</v>
      </c>
      <c r="D234" s="19" t="str">
        <f>A234 &amp; " - " &amp; B234 &amp; " (" &amp; VLOOKUP(C234, Tbl_ColorMap[],2,false) &amp; ")"</f>
        <v>20031 - Polished Tranquil Scene (Green)</v>
      </c>
      <c r="E234" s="23"/>
      <c r="F234" s="19" t="str">
        <f>IFERROR(__xludf.DUMMYFUNCTION("""COMPUTED_VALUE"""),"7331500-Improved Spear Attack Power")</f>
        <v>7331500-Improved Spear Attack Power</v>
      </c>
      <c r="G234" s="19" t="str">
        <f>IFERROR(__xludf.DUMMYFUNCTION("""COMPUTED_VALUE"""),"7331900-Improved Reaper Attack Power")</f>
        <v>7331900-Improved Reaper Attack Power</v>
      </c>
      <c r="H234" s="19" t="str">
        <f>IFERROR(__xludf.DUMMYFUNCTION("""COMPUTED_VALUE"""),"7332200-Improved Whip Attack Power")</f>
        <v>7332200-Improved Whip Attack Power</v>
      </c>
      <c r="L234" s="23"/>
      <c r="M234" s="19">
        <v>7331400.0</v>
      </c>
      <c r="N234" s="19">
        <v>7331800.0</v>
      </c>
      <c r="O234" s="19">
        <v>7332100.0</v>
      </c>
    </row>
    <row r="235">
      <c r="A235" s="19">
        <v>20032.0</v>
      </c>
      <c r="B235" s="19" t="s">
        <v>120</v>
      </c>
      <c r="C235" s="19">
        <v>3.0</v>
      </c>
      <c r="D235" s="19" t="str">
        <f>A235 &amp; " - " &amp; B235 &amp; " (" &amp; VLOOKUP(C235, Tbl_ColorMap[],2,false) &amp; ")"</f>
        <v>20032 - Grand Tranquil Scene (Green)</v>
      </c>
      <c r="E235" s="23"/>
      <c r="F235" s="19" t="str">
        <f>IFERROR(__xludf.DUMMYFUNCTION("""COMPUTED_VALUE"""),"7331700-Improved Great Spear Attack Power")</f>
        <v>7331700-Improved Great Spear Attack Power</v>
      </c>
      <c r="G235" s="19" t="str">
        <f>IFERROR(__xludf.DUMMYFUNCTION("""COMPUTED_VALUE"""),"7332000-Improved Fist Attack Power")</f>
        <v>7332000-Improved Fist Attack Power</v>
      </c>
      <c r="H235" s="19" t="str">
        <f>IFERROR(__xludf.DUMMYFUNCTION("""COMPUTED_VALUE"""),"7332300-Improved Colossal Weapon Attack Power")</f>
        <v>7332300-Improved Colossal Weapon Attack Power</v>
      </c>
      <c r="L235" s="23"/>
      <c r="M235" s="19">
        <v>7331500.0</v>
      </c>
      <c r="N235" s="19">
        <v>7331900.0</v>
      </c>
      <c r="O235" s="19">
        <v>7332200.0</v>
      </c>
    </row>
    <row r="236">
      <c r="A236" s="19">
        <v>20033.0</v>
      </c>
      <c r="B236" s="19" t="s">
        <v>118</v>
      </c>
      <c r="C236" s="19">
        <v>3.0</v>
      </c>
      <c r="D236" s="19" t="str">
        <f>A236 &amp; " - " &amp; B236 &amp; " (" &amp; VLOOKUP(C236, Tbl_ColorMap[],2,false) &amp; ")"</f>
        <v>20033 - Delicate Tranquil Scene (Green)</v>
      </c>
      <c r="E236" s="23"/>
      <c r="F236" s="19" t="str">
        <f>IFERROR(__xludf.DUMMYFUNCTION("""COMPUTED_VALUE"""),"7331800-Improved Halberd Attack Power")</f>
        <v>7331800-Improved Halberd Attack Power</v>
      </c>
      <c r="G236" s="19" t="str">
        <f>IFERROR(__xludf.DUMMYFUNCTION("""COMPUTED_VALUE"""),"7332100-Improved Claw Attack Power")</f>
        <v>7332100-Improved Claw Attack Power</v>
      </c>
      <c r="H236" s="19" t="str">
        <f>IFERROR(__xludf.DUMMYFUNCTION("""COMPUTED_VALUE"""),"7332400-Improved Bow Attack Power")</f>
        <v>7332400-Improved Bow Attack Power</v>
      </c>
      <c r="L236" s="23"/>
      <c r="M236" s="19">
        <v>7331700.0</v>
      </c>
      <c r="N236" s="19">
        <v>7332000.0</v>
      </c>
      <c r="O236" s="19">
        <v>7332300.0</v>
      </c>
    </row>
    <row r="237">
      <c r="A237" s="19">
        <v>20034.0</v>
      </c>
      <c r="B237" s="19" t="s">
        <v>119</v>
      </c>
      <c r="C237" s="19">
        <v>3.0</v>
      </c>
      <c r="D237" s="19" t="str">
        <f>A237 &amp; " - " &amp; B237 &amp; " (" &amp; VLOOKUP(C237, Tbl_ColorMap[],2,false) &amp; ")"</f>
        <v>20034 - Polished Tranquil Scene (Green)</v>
      </c>
      <c r="E237" s="23"/>
      <c r="F237" s="19" t="str">
        <f>IFERROR(__xludf.DUMMYFUNCTION("""COMPUTED_VALUE"""),"7331900-Improved Reaper Attack Power")</f>
        <v>7331900-Improved Reaper Attack Power</v>
      </c>
      <c r="G237" s="19" t="str">
        <f>IFERROR(__xludf.DUMMYFUNCTION("""COMPUTED_VALUE"""),"7332200-Improved Whip Attack Power")</f>
        <v>7332200-Improved Whip Attack Power</v>
      </c>
      <c r="H237" s="19" t="str">
        <f>IFERROR(__xludf.DUMMYFUNCTION("""COMPUTED_VALUE"""),"7340000-HP Restoration upon Dagger Attacks")</f>
        <v>7340000-HP Restoration upon Dagger Attacks</v>
      </c>
      <c r="L237" s="23"/>
      <c r="M237" s="19">
        <v>7331800.0</v>
      </c>
      <c r="N237" s="19">
        <v>7332100.0</v>
      </c>
      <c r="O237" s="19">
        <v>7332400.0</v>
      </c>
    </row>
    <row r="238">
      <c r="A238" s="19">
        <v>20035.0</v>
      </c>
      <c r="B238" s="19" t="s">
        <v>120</v>
      </c>
      <c r="C238" s="19">
        <v>3.0</v>
      </c>
      <c r="D238" s="19" t="str">
        <f>A238 &amp; " - " &amp; B238 &amp; " (" &amp; VLOOKUP(C238, Tbl_ColorMap[],2,false) &amp; ")"</f>
        <v>20035 - Grand Tranquil Scene (Green)</v>
      </c>
      <c r="E238" s="23"/>
      <c r="F238" s="19" t="str">
        <f>IFERROR(__xludf.DUMMYFUNCTION("""COMPUTED_VALUE"""),"7332000-Improved Fist Attack Power")</f>
        <v>7332000-Improved Fist Attack Power</v>
      </c>
      <c r="G238" s="19" t="str">
        <f>IFERROR(__xludf.DUMMYFUNCTION("""COMPUTED_VALUE"""),"7332300-Improved Colossal Weapon Attack Power")</f>
        <v>7332300-Improved Colossal Weapon Attack Power</v>
      </c>
      <c r="H238" s="19" t="str">
        <f>IFERROR(__xludf.DUMMYFUNCTION("""COMPUTED_VALUE"""),"7340100-HP Restoration upon Straight Sword Attacks")</f>
        <v>7340100-HP Restoration upon Straight Sword Attacks</v>
      </c>
      <c r="L238" s="23"/>
      <c r="M238" s="19">
        <v>7331900.0</v>
      </c>
      <c r="N238" s="19">
        <v>7332200.0</v>
      </c>
      <c r="O238" s="19">
        <v>7340000.0</v>
      </c>
    </row>
    <row r="239">
      <c r="A239" s="19">
        <v>30000.0</v>
      </c>
      <c r="B239" s="19" t="s">
        <v>166</v>
      </c>
      <c r="C239" s="19">
        <v>0.0</v>
      </c>
      <c r="D239" s="19" t="str">
        <f>A239 &amp; " - " &amp; B239 &amp; " (" &amp; VLOOKUP(C239, Tbl_ColorMap[],2,false) &amp; ")"</f>
        <v>30000 - Deep Delicate Burning Scene (Red)</v>
      </c>
      <c r="E239" s="23"/>
      <c r="F239" s="19" t="str">
        <f>IFERROR(__xludf.DUMMYFUNCTION("""COMPUTED_VALUE"""),"7332100-Improved Claw Attack Power")</f>
        <v>7332100-Improved Claw Attack Power</v>
      </c>
      <c r="G239" s="19" t="str">
        <f>IFERROR(__xludf.DUMMYFUNCTION("""COMPUTED_VALUE"""),"7332400-Improved Bow Attack Power")</f>
        <v>7332400-Improved Bow Attack Power</v>
      </c>
      <c r="H239" s="19" t="str">
        <f>IFERROR(__xludf.DUMMYFUNCTION("""COMPUTED_VALUE"""),"7340200-HP Restoration upon Greatsword Attacks")</f>
        <v>7340200-HP Restoration upon Greatsword Attacks</v>
      </c>
      <c r="L239" s="23"/>
      <c r="M239" s="19">
        <v>7332000.0</v>
      </c>
      <c r="N239" s="19">
        <v>7332300.0</v>
      </c>
      <c r="O239" s="19">
        <v>7340100.0</v>
      </c>
    </row>
    <row r="240">
      <c r="A240" s="19">
        <v>30001.0</v>
      </c>
      <c r="B240" s="19" t="s">
        <v>167</v>
      </c>
      <c r="C240" s="19">
        <v>0.0</v>
      </c>
      <c r="D240" s="19" t="str">
        <f>A240 &amp; " - " &amp; B240 &amp; " (" &amp; VLOOKUP(C240, Tbl_ColorMap[],2,false) &amp; ")"</f>
        <v>30001 - Deep Polished Burning Scene  (Red)</v>
      </c>
      <c r="E240" s="23"/>
      <c r="F240" s="19" t="str">
        <f>IFERROR(__xludf.DUMMYFUNCTION("""COMPUTED_VALUE"""),"7332200-Improved Whip Attack Power")</f>
        <v>7332200-Improved Whip Attack Power</v>
      </c>
      <c r="G240" s="19" t="str">
        <f>IFERROR(__xludf.DUMMYFUNCTION("""COMPUTED_VALUE"""),"7340000-HP Restoration upon Dagger Attacks")</f>
        <v>7340000-HP Restoration upon Dagger Attacks</v>
      </c>
      <c r="H240" s="19" t="str">
        <f>IFERROR(__xludf.DUMMYFUNCTION("""COMPUTED_VALUE"""),"7340300-HP Restoration upon Colossal Sword Attacks")</f>
        <v>7340300-HP Restoration upon Colossal Sword Attacks</v>
      </c>
      <c r="L240" s="23"/>
      <c r="M240" s="19">
        <v>7332100.0</v>
      </c>
      <c r="N240" s="19">
        <v>7332400.0</v>
      </c>
      <c r="O240" s="19">
        <v>7340200.0</v>
      </c>
    </row>
    <row r="241">
      <c r="A241" s="19">
        <v>30002.0</v>
      </c>
      <c r="B241" s="19" t="s">
        <v>168</v>
      </c>
      <c r="C241" s="19">
        <v>0.0</v>
      </c>
      <c r="D241" s="19" t="str">
        <f>A241 &amp; " - " &amp; B241 &amp; " (" &amp; VLOOKUP(C241, Tbl_ColorMap[],2,false) &amp; ")"</f>
        <v>30002 - Deep Grand Burning Scene  (Red)</v>
      </c>
      <c r="E241" s="23"/>
      <c r="F241" s="19" t="str">
        <f>IFERROR(__xludf.DUMMYFUNCTION("""COMPUTED_VALUE"""),"7332300-Improved Colossal Weapon Attack Power")</f>
        <v>7332300-Improved Colossal Weapon Attack Power</v>
      </c>
      <c r="G241" s="19" t="str">
        <f>IFERROR(__xludf.DUMMYFUNCTION("""COMPUTED_VALUE"""),"7340100-HP Restoration upon Straight Sword Attacks")</f>
        <v>7340100-HP Restoration upon Straight Sword Attacks</v>
      </c>
      <c r="H241" s="19" t="str">
        <f>IFERROR(__xludf.DUMMYFUNCTION("""COMPUTED_VALUE"""),"7340400-HP Restoration upon Curved Sword Attacks")</f>
        <v>7340400-HP Restoration upon Curved Sword Attacks</v>
      </c>
      <c r="L241" s="23"/>
      <c r="M241" s="19">
        <v>7332200.0</v>
      </c>
      <c r="N241" s="19">
        <v>7340000.0</v>
      </c>
      <c r="O241" s="19">
        <v>7340300.0</v>
      </c>
    </row>
    <row r="242">
      <c r="A242" s="19">
        <v>30003.0</v>
      </c>
      <c r="B242" s="19" t="s">
        <v>166</v>
      </c>
      <c r="C242" s="19">
        <v>0.0</v>
      </c>
      <c r="D242" s="19" t="str">
        <f>A242 &amp; " - " &amp; B242 &amp; " (" &amp; VLOOKUP(C242, Tbl_ColorMap[],2,false) &amp; ")"</f>
        <v>30003 - Deep Delicate Burning Scene (Red)</v>
      </c>
      <c r="E242" s="23"/>
      <c r="F242" s="19" t="str">
        <f>IFERROR(__xludf.DUMMYFUNCTION("""COMPUTED_VALUE"""),"7332400-Improved Bow Attack Power")</f>
        <v>7332400-Improved Bow Attack Power</v>
      </c>
      <c r="G242" s="19" t="str">
        <f>IFERROR(__xludf.DUMMYFUNCTION("""COMPUTED_VALUE"""),"7340200-HP Restoration upon Greatsword Attacks")</f>
        <v>7340200-HP Restoration upon Greatsword Attacks</v>
      </c>
      <c r="H242" s="19" t="str">
        <f>IFERROR(__xludf.DUMMYFUNCTION("""COMPUTED_VALUE"""),"7340500-HP Restoration upon Curved Greatsword Attacks")</f>
        <v>7340500-HP Restoration upon Curved Greatsword Attacks</v>
      </c>
      <c r="L242" s="23"/>
      <c r="M242" s="19">
        <v>7332300.0</v>
      </c>
      <c r="N242" s="19">
        <v>7340100.0</v>
      </c>
      <c r="O242" s="19">
        <v>7340400.0</v>
      </c>
    </row>
    <row r="243">
      <c r="A243" s="19">
        <v>30004.0</v>
      </c>
      <c r="B243" s="19" t="s">
        <v>167</v>
      </c>
      <c r="C243" s="19">
        <v>0.0</v>
      </c>
      <c r="D243" s="19" t="str">
        <f>A243 &amp; " - " &amp; B243 &amp; " (" &amp; VLOOKUP(C243, Tbl_ColorMap[],2,false) &amp; ")"</f>
        <v>30004 - Deep Polished Burning Scene  (Red)</v>
      </c>
      <c r="E243" s="23"/>
      <c r="F243" s="19" t="str">
        <f>IFERROR(__xludf.DUMMYFUNCTION("""COMPUTED_VALUE"""),"7340000-HP Restoration upon Dagger Attacks")</f>
        <v>7340000-HP Restoration upon Dagger Attacks</v>
      </c>
      <c r="G243" s="19" t="str">
        <f>IFERROR(__xludf.DUMMYFUNCTION("""COMPUTED_VALUE"""),"7340300-HP Restoration upon Colossal Sword Attacks")</f>
        <v>7340300-HP Restoration upon Colossal Sword Attacks</v>
      </c>
      <c r="H243" s="19" t="str">
        <f>IFERROR(__xludf.DUMMYFUNCTION("""COMPUTED_VALUE"""),"7340600-HP Restoration upon Katana Attacks")</f>
        <v>7340600-HP Restoration upon Katana Attacks</v>
      </c>
      <c r="L243" s="23"/>
      <c r="M243" s="19">
        <v>7332400.0</v>
      </c>
      <c r="N243" s="19">
        <v>7340200.0</v>
      </c>
      <c r="O243" s="19">
        <v>7340500.0</v>
      </c>
    </row>
    <row r="244">
      <c r="A244" s="19">
        <v>30005.0</v>
      </c>
      <c r="B244" s="19" t="s">
        <v>168</v>
      </c>
      <c r="C244" s="19">
        <v>0.0</v>
      </c>
      <c r="D244" s="19" t="str">
        <f>A244 &amp; " - " &amp; B244 &amp; " (" &amp; VLOOKUP(C244, Tbl_ColorMap[],2,false) &amp; ")"</f>
        <v>30005 - Deep Grand Burning Scene  (Red)</v>
      </c>
      <c r="E244" s="23"/>
      <c r="F244" s="19" t="str">
        <f>IFERROR(__xludf.DUMMYFUNCTION("""COMPUTED_VALUE"""),"7340100-HP Restoration upon Straight Sword Attacks")</f>
        <v>7340100-HP Restoration upon Straight Sword Attacks</v>
      </c>
      <c r="G244" s="19" t="str">
        <f>IFERROR(__xludf.DUMMYFUNCTION("""COMPUTED_VALUE"""),"7340400-HP Restoration upon Curved Sword Attacks")</f>
        <v>7340400-HP Restoration upon Curved Sword Attacks</v>
      </c>
      <c r="H244" s="19" t="str">
        <f>IFERROR(__xludf.DUMMYFUNCTION("""COMPUTED_VALUE"""),"7340700-HP Restoration upon Twinblade Attacks")</f>
        <v>7340700-HP Restoration upon Twinblade Attacks</v>
      </c>
      <c r="L244" s="23"/>
      <c r="M244" s="19">
        <v>7340000.0</v>
      </c>
      <c r="N244" s="19">
        <v>7340300.0</v>
      </c>
      <c r="O244" s="19">
        <v>7340600.0</v>
      </c>
    </row>
    <row r="245">
      <c r="A245" s="19">
        <v>30006.0</v>
      </c>
      <c r="B245" s="19" t="s">
        <v>166</v>
      </c>
      <c r="C245" s="19">
        <v>0.0</v>
      </c>
      <c r="D245" s="19" t="str">
        <f>A245 &amp; " - " &amp; B245 &amp; " (" &amp; VLOOKUP(C245, Tbl_ColorMap[],2,false) &amp; ")"</f>
        <v>30006 - Deep Delicate Burning Scene (Red)</v>
      </c>
      <c r="E245" s="23"/>
      <c r="F245" s="19" t="str">
        <f>IFERROR(__xludf.DUMMYFUNCTION("""COMPUTED_VALUE"""),"7340200-HP Restoration upon Greatsword Attacks")</f>
        <v>7340200-HP Restoration upon Greatsword Attacks</v>
      </c>
      <c r="G245" s="19" t="str">
        <f>IFERROR(__xludf.DUMMYFUNCTION("""COMPUTED_VALUE"""),"7340500-HP Restoration upon Curved Greatsword Attacks")</f>
        <v>7340500-HP Restoration upon Curved Greatsword Attacks</v>
      </c>
      <c r="H245" s="19" t="str">
        <f>IFERROR(__xludf.DUMMYFUNCTION("""COMPUTED_VALUE"""),"7340800-HP Restoration upon Thrusting Sword Attacks")</f>
        <v>7340800-HP Restoration upon Thrusting Sword Attacks</v>
      </c>
      <c r="L245" s="23"/>
      <c r="M245" s="19">
        <v>7340100.0</v>
      </c>
      <c r="N245" s="19">
        <v>7340400.0</v>
      </c>
      <c r="O245" s="19">
        <v>7340700.0</v>
      </c>
    </row>
    <row r="246">
      <c r="A246" s="19">
        <v>30007.0</v>
      </c>
      <c r="B246" s="19" t="s">
        <v>167</v>
      </c>
      <c r="C246" s="19">
        <v>0.0</v>
      </c>
      <c r="D246" s="19" t="str">
        <f>A246 &amp; " - " &amp; B246 &amp; " (" &amp; VLOOKUP(C246, Tbl_ColorMap[],2,false) &amp; ")"</f>
        <v>30007 - Deep Polished Burning Scene  (Red)</v>
      </c>
      <c r="E246" s="23"/>
      <c r="F246" s="19" t="str">
        <f>IFERROR(__xludf.DUMMYFUNCTION("""COMPUTED_VALUE"""),"7340300-HP Restoration upon Colossal Sword Attacks")</f>
        <v>7340300-HP Restoration upon Colossal Sword Attacks</v>
      </c>
      <c r="G246" s="19" t="str">
        <f>IFERROR(__xludf.DUMMYFUNCTION("""COMPUTED_VALUE"""),"7340600-HP Restoration upon Katana Attacks")</f>
        <v>7340600-HP Restoration upon Katana Attacks</v>
      </c>
      <c r="H246" s="19" t="str">
        <f>IFERROR(__xludf.DUMMYFUNCTION("""COMPUTED_VALUE"""),"7340900-HP Restoration upon Heavy Thrusting Sword Attacks")</f>
        <v>7340900-HP Restoration upon Heavy Thrusting Sword Attacks</v>
      </c>
      <c r="L246" s="23"/>
      <c r="M246" s="19">
        <v>7340200.0</v>
      </c>
      <c r="N246" s="19">
        <v>7340500.0</v>
      </c>
      <c r="O246" s="19">
        <v>7340800.0</v>
      </c>
    </row>
    <row r="247">
      <c r="A247" s="19">
        <v>30008.0</v>
      </c>
      <c r="B247" s="19" t="s">
        <v>168</v>
      </c>
      <c r="C247" s="19">
        <v>0.0</v>
      </c>
      <c r="D247" s="19" t="str">
        <f>A247 &amp; " - " &amp; B247 &amp; " (" &amp; VLOOKUP(C247, Tbl_ColorMap[],2,false) &amp; ")"</f>
        <v>30008 - Deep Grand Burning Scene  (Red)</v>
      </c>
      <c r="E247" s="23"/>
      <c r="F247" s="19" t="str">
        <f>IFERROR(__xludf.DUMMYFUNCTION("""COMPUTED_VALUE"""),"7340400-HP Restoration upon Curved Sword Attacks")</f>
        <v>7340400-HP Restoration upon Curved Sword Attacks</v>
      </c>
      <c r="G247" s="19" t="str">
        <f>IFERROR(__xludf.DUMMYFUNCTION("""COMPUTED_VALUE"""),"7340700-HP Restoration upon Twinblade Attacks")</f>
        <v>7340700-HP Restoration upon Twinblade Attacks</v>
      </c>
      <c r="H247" s="19" t="str">
        <f>IFERROR(__xludf.DUMMYFUNCTION("""COMPUTED_VALUE"""),"7341000-HP Restoration upon Axe Attacks")</f>
        <v>7341000-HP Restoration upon Axe Attacks</v>
      </c>
      <c r="L247" s="23"/>
      <c r="M247" s="19">
        <v>7340300.0</v>
      </c>
      <c r="N247" s="19">
        <v>7340600.0</v>
      </c>
      <c r="O247" s="19">
        <v>7340900.0</v>
      </c>
    </row>
    <row r="248">
      <c r="A248" s="19">
        <v>30009.0</v>
      </c>
      <c r="B248" s="19" t="s">
        <v>169</v>
      </c>
      <c r="C248" s="19">
        <v>1.0</v>
      </c>
      <c r="D248" s="19" t="str">
        <f>A248 &amp; " - " &amp; B248 &amp; " (" &amp; VLOOKUP(C248, Tbl_ColorMap[],2,false) &amp; ")"</f>
        <v>30009 - Deep Delicate Drizzly Scene  (Blue)</v>
      </c>
      <c r="E248" s="23"/>
      <c r="F248" s="19" t="str">
        <f>IFERROR(__xludf.DUMMYFUNCTION("""COMPUTED_VALUE"""),"7340500-HP Restoration upon Curved Greatsword Attacks")</f>
        <v>7340500-HP Restoration upon Curved Greatsword Attacks</v>
      </c>
      <c r="G248" s="19" t="str">
        <f>IFERROR(__xludf.DUMMYFUNCTION("""COMPUTED_VALUE"""),"7340800-HP Restoration upon Thrusting Sword Attacks")</f>
        <v>7340800-HP Restoration upon Thrusting Sword Attacks</v>
      </c>
      <c r="H248" s="19" t="str">
        <f>IFERROR(__xludf.DUMMYFUNCTION("""COMPUTED_VALUE"""),"7341100-HP Restoration upon Greataxe Attacks")</f>
        <v>7341100-HP Restoration upon Greataxe Attacks</v>
      </c>
      <c r="L248" s="23"/>
      <c r="M248" s="19">
        <v>7340400.0</v>
      </c>
      <c r="N248" s="19">
        <v>7340700.0</v>
      </c>
      <c r="O248" s="19">
        <v>7341000.0</v>
      </c>
    </row>
    <row r="249">
      <c r="A249" s="19">
        <v>30010.0</v>
      </c>
      <c r="B249" s="19" t="s">
        <v>170</v>
      </c>
      <c r="C249" s="19">
        <v>1.0</v>
      </c>
      <c r="D249" s="19" t="str">
        <f>A249 &amp; " - " &amp; B249 &amp; " (" &amp; VLOOKUP(C249, Tbl_ColorMap[],2,false) &amp; ")"</f>
        <v>30010 - Deep Polished Drizzly Scene  (Blue)</v>
      </c>
      <c r="E249" s="23"/>
      <c r="F249" s="19" t="str">
        <f>IFERROR(__xludf.DUMMYFUNCTION("""COMPUTED_VALUE"""),"7340600-HP Restoration upon Katana Attacks")</f>
        <v>7340600-HP Restoration upon Katana Attacks</v>
      </c>
      <c r="G249" s="19" t="str">
        <f>IFERROR(__xludf.DUMMYFUNCTION("""COMPUTED_VALUE"""),"7340900-HP Restoration upon Heavy Thrusting Sword Attacks")</f>
        <v>7340900-HP Restoration upon Heavy Thrusting Sword Attacks</v>
      </c>
      <c r="H249" s="19" t="str">
        <f>IFERROR(__xludf.DUMMYFUNCTION("""COMPUTED_VALUE"""),"7341200-HP Restoration upon Hammer Attacks")</f>
        <v>7341200-HP Restoration upon Hammer Attacks</v>
      </c>
      <c r="L249" s="23"/>
      <c r="M249" s="19">
        <v>7340500.0</v>
      </c>
      <c r="N249" s="19">
        <v>7340800.0</v>
      </c>
      <c r="O249" s="19">
        <v>7341100.0</v>
      </c>
    </row>
    <row r="250">
      <c r="A250" s="19">
        <v>30011.0</v>
      </c>
      <c r="B250" s="19" t="s">
        <v>171</v>
      </c>
      <c r="C250" s="19">
        <v>1.0</v>
      </c>
      <c r="D250" s="19" t="str">
        <f>A250 &amp; " - " &amp; B250 &amp; " (" &amp; VLOOKUP(C250, Tbl_ColorMap[],2,false) &amp; ")"</f>
        <v>30011 - Deep Grand Drizzly Scene  (Blue)</v>
      </c>
      <c r="E250" s="23"/>
      <c r="F250" s="19" t="str">
        <f>IFERROR(__xludf.DUMMYFUNCTION("""COMPUTED_VALUE"""),"7340700-HP Restoration upon Twinblade Attacks")</f>
        <v>7340700-HP Restoration upon Twinblade Attacks</v>
      </c>
      <c r="G250" s="19" t="str">
        <f>IFERROR(__xludf.DUMMYFUNCTION("""COMPUTED_VALUE"""),"7341000-HP Restoration upon Axe Attacks")</f>
        <v>7341000-HP Restoration upon Axe Attacks</v>
      </c>
      <c r="H250" s="19" t="str">
        <f>IFERROR(__xludf.DUMMYFUNCTION("""COMPUTED_VALUE"""),"7341300-HP Restoration upon Great Hammer Attacks")</f>
        <v>7341300-HP Restoration upon Great Hammer Attacks</v>
      </c>
      <c r="L250" s="23"/>
      <c r="M250" s="19">
        <v>7340600.0</v>
      </c>
      <c r="N250" s="19">
        <v>7340900.0</v>
      </c>
      <c r="O250" s="19">
        <v>7341200.0</v>
      </c>
    </row>
    <row r="251">
      <c r="A251" s="19">
        <v>30012.0</v>
      </c>
      <c r="B251" s="19" t="s">
        <v>169</v>
      </c>
      <c r="C251" s="19">
        <v>1.0</v>
      </c>
      <c r="D251" s="19" t="str">
        <f>A251 &amp; " - " &amp; B251 &amp; " (" &amp; VLOOKUP(C251, Tbl_ColorMap[],2,false) &amp; ")"</f>
        <v>30012 - Deep Delicate Drizzly Scene  (Blue)</v>
      </c>
      <c r="E251" s="23"/>
      <c r="F251" s="19" t="str">
        <f>IFERROR(__xludf.DUMMYFUNCTION("""COMPUTED_VALUE"""),"7340800-HP Restoration upon Thrusting Sword Attacks")</f>
        <v>7340800-HP Restoration upon Thrusting Sword Attacks</v>
      </c>
      <c r="G251" s="19" t="str">
        <f>IFERROR(__xludf.DUMMYFUNCTION("""COMPUTED_VALUE"""),"7341100-HP Restoration upon Greataxe Attacks")</f>
        <v>7341100-HP Restoration upon Greataxe Attacks</v>
      </c>
      <c r="H251" s="19" t="str">
        <f>IFERROR(__xludf.DUMMYFUNCTION("""COMPUTED_VALUE"""),"7341400-HP Restoration upon Flail Attacks")</f>
        <v>7341400-HP Restoration upon Flail Attacks</v>
      </c>
      <c r="L251" s="23"/>
      <c r="M251" s="19">
        <v>7340700.0</v>
      </c>
      <c r="N251" s="19">
        <v>7341000.0</v>
      </c>
      <c r="O251" s="19">
        <v>7341300.0</v>
      </c>
    </row>
    <row r="252">
      <c r="A252" s="19">
        <v>30013.0</v>
      </c>
      <c r="B252" s="19" t="s">
        <v>170</v>
      </c>
      <c r="C252" s="19">
        <v>1.0</v>
      </c>
      <c r="D252" s="19" t="str">
        <f>A252 &amp; " - " &amp; B252 &amp; " (" &amp; VLOOKUP(C252, Tbl_ColorMap[],2,false) &amp; ")"</f>
        <v>30013 - Deep Polished Drizzly Scene  (Blue)</v>
      </c>
      <c r="E252" s="23"/>
      <c r="F252" s="19" t="str">
        <f>IFERROR(__xludf.DUMMYFUNCTION("""COMPUTED_VALUE"""),"7340900-HP Restoration upon Heavy Thrusting Sword Attacks")</f>
        <v>7340900-HP Restoration upon Heavy Thrusting Sword Attacks</v>
      </c>
      <c r="G252" s="19" t="str">
        <f>IFERROR(__xludf.DUMMYFUNCTION("""COMPUTED_VALUE"""),"7341200-HP Restoration upon Hammer Attacks")</f>
        <v>7341200-HP Restoration upon Hammer Attacks</v>
      </c>
      <c r="H252" s="19" t="str">
        <f>IFERROR(__xludf.DUMMYFUNCTION("""COMPUTED_VALUE"""),"7341500-HP Restoration upon Spear Attacks")</f>
        <v>7341500-HP Restoration upon Spear Attacks</v>
      </c>
      <c r="L252" s="23"/>
      <c r="M252" s="19">
        <v>7340800.0</v>
      </c>
      <c r="N252" s="19">
        <v>7341100.0</v>
      </c>
      <c r="O252" s="19">
        <v>7341400.0</v>
      </c>
    </row>
    <row r="253">
      <c r="A253" s="19">
        <v>30014.0</v>
      </c>
      <c r="B253" s="19" t="s">
        <v>171</v>
      </c>
      <c r="C253" s="19">
        <v>1.0</v>
      </c>
      <c r="D253" s="19" t="str">
        <f>A253 &amp; " - " &amp; B253 &amp; " (" &amp; VLOOKUP(C253, Tbl_ColorMap[],2,false) &amp; ")"</f>
        <v>30014 - Deep Grand Drizzly Scene  (Blue)</v>
      </c>
      <c r="E253" s="23"/>
      <c r="F253" s="19" t="str">
        <f>IFERROR(__xludf.DUMMYFUNCTION("""COMPUTED_VALUE"""),"7341000-HP Restoration upon Axe Attacks")</f>
        <v>7341000-HP Restoration upon Axe Attacks</v>
      </c>
      <c r="G253" s="19" t="str">
        <f>IFERROR(__xludf.DUMMYFUNCTION("""COMPUTED_VALUE"""),"7341300-HP Restoration upon Great Hammer Attacks")</f>
        <v>7341300-HP Restoration upon Great Hammer Attacks</v>
      </c>
      <c r="H253" s="19" t="str">
        <f>IFERROR(__xludf.DUMMYFUNCTION("""COMPUTED_VALUE"""),"7341700-HP Restoration upon Great Spear Attacks")</f>
        <v>7341700-HP Restoration upon Great Spear Attacks</v>
      </c>
      <c r="L253" s="23"/>
      <c r="M253" s="19">
        <v>7340900.0</v>
      </c>
      <c r="N253" s="19">
        <v>7341200.0</v>
      </c>
      <c r="O253" s="19">
        <v>7341500.0</v>
      </c>
    </row>
    <row r="254">
      <c r="A254" s="19">
        <v>30015.0</v>
      </c>
      <c r="B254" s="19" t="s">
        <v>169</v>
      </c>
      <c r="C254" s="19">
        <v>1.0</v>
      </c>
      <c r="D254" s="19" t="str">
        <f>A254 &amp; " - " &amp; B254 &amp; " (" &amp; VLOOKUP(C254, Tbl_ColorMap[],2,false) &amp; ")"</f>
        <v>30015 - Deep Delicate Drizzly Scene  (Blue)</v>
      </c>
      <c r="E254" s="23"/>
      <c r="F254" s="19" t="str">
        <f>IFERROR(__xludf.DUMMYFUNCTION("""COMPUTED_VALUE"""),"7341100-HP Restoration upon Greataxe Attacks")</f>
        <v>7341100-HP Restoration upon Greataxe Attacks</v>
      </c>
      <c r="G254" s="19" t="str">
        <f>IFERROR(__xludf.DUMMYFUNCTION("""COMPUTED_VALUE"""),"7341400-HP Restoration upon Flail Attacks")</f>
        <v>7341400-HP Restoration upon Flail Attacks</v>
      </c>
      <c r="H254" s="19" t="str">
        <f>IFERROR(__xludf.DUMMYFUNCTION("""COMPUTED_VALUE"""),"7341800-HP Restoration upon Halberd Attacks")</f>
        <v>7341800-HP Restoration upon Halberd Attacks</v>
      </c>
      <c r="L254" s="23"/>
      <c r="M254" s="19">
        <v>7341000.0</v>
      </c>
      <c r="N254" s="19">
        <v>7341300.0</v>
      </c>
      <c r="O254" s="19">
        <v>7341700.0</v>
      </c>
    </row>
    <row r="255">
      <c r="A255" s="19">
        <v>30016.0</v>
      </c>
      <c r="B255" s="19" t="s">
        <v>170</v>
      </c>
      <c r="C255" s="19">
        <v>1.0</v>
      </c>
      <c r="D255" s="19" t="str">
        <f>A255 &amp; " - " &amp; B255 &amp; " (" &amp; VLOOKUP(C255, Tbl_ColorMap[],2,false) &amp; ")"</f>
        <v>30016 - Deep Polished Drizzly Scene  (Blue)</v>
      </c>
      <c r="E255" s="23"/>
      <c r="F255" s="19" t="str">
        <f>IFERROR(__xludf.DUMMYFUNCTION("""COMPUTED_VALUE"""),"7341200-HP Restoration upon Hammer Attacks")</f>
        <v>7341200-HP Restoration upon Hammer Attacks</v>
      </c>
      <c r="G255" s="19" t="str">
        <f>IFERROR(__xludf.DUMMYFUNCTION("""COMPUTED_VALUE"""),"7341500-HP Restoration upon Spear Attacks")</f>
        <v>7341500-HP Restoration upon Spear Attacks</v>
      </c>
      <c r="H255" s="19" t="str">
        <f>IFERROR(__xludf.DUMMYFUNCTION("""COMPUTED_VALUE"""),"7341900-HP Restoration upon Reaper Attacks")</f>
        <v>7341900-HP Restoration upon Reaper Attacks</v>
      </c>
      <c r="L255" s="23"/>
      <c r="M255" s="19">
        <v>7341100.0</v>
      </c>
      <c r="N255" s="19">
        <v>7341400.0</v>
      </c>
      <c r="O255" s="19">
        <v>7341800.0</v>
      </c>
    </row>
    <row r="256">
      <c r="A256" s="19">
        <v>30017.0</v>
      </c>
      <c r="B256" s="19" t="s">
        <v>171</v>
      </c>
      <c r="C256" s="19">
        <v>1.0</v>
      </c>
      <c r="D256" s="19" t="str">
        <f>A256 &amp; " - " &amp; B256 &amp; " (" &amp; VLOOKUP(C256, Tbl_ColorMap[],2,false) &amp; ")"</f>
        <v>30017 - Deep Grand Drizzly Scene  (Blue)</v>
      </c>
      <c r="E256" s="23"/>
      <c r="F256" s="19" t="str">
        <f>IFERROR(__xludf.DUMMYFUNCTION("""COMPUTED_VALUE"""),"7341300-HP Restoration upon Great Hammer Attacks")</f>
        <v>7341300-HP Restoration upon Great Hammer Attacks</v>
      </c>
      <c r="G256" s="19" t="str">
        <f>IFERROR(__xludf.DUMMYFUNCTION("""COMPUTED_VALUE"""),"7341700-HP Restoration upon Great Spear Attacks")</f>
        <v>7341700-HP Restoration upon Great Spear Attacks</v>
      </c>
      <c r="H256" s="19" t="str">
        <f>IFERROR(__xludf.DUMMYFUNCTION("""COMPUTED_VALUE"""),"7342000-HP Restoration upon Fist Attacks")</f>
        <v>7342000-HP Restoration upon Fist Attacks</v>
      </c>
      <c r="L256" s="23"/>
      <c r="M256" s="19">
        <v>7341200.0</v>
      </c>
      <c r="N256" s="19">
        <v>7341500.0</v>
      </c>
      <c r="O256" s="19">
        <v>7341900.0</v>
      </c>
    </row>
    <row r="257">
      <c r="A257" s="19">
        <v>30018.0</v>
      </c>
      <c r="B257" s="19" t="s">
        <v>172</v>
      </c>
      <c r="C257" s="19">
        <v>2.0</v>
      </c>
      <c r="D257" s="19" t="str">
        <f>A257 &amp; " - " &amp; B257 &amp; " (" &amp; VLOOKUP(C257, Tbl_ColorMap[],2,false) &amp; ")"</f>
        <v>30018 - Deep Delicate Luminous Scene  (Yellow)</v>
      </c>
      <c r="E257" s="23"/>
      <c r="F257" s="19" t="str">
        <f>IFERROR(__xludf.DUMMYFUNCTION("""COMPUTED_VALUE"""),"7341400-HP Restoration upon Flail Attacks")</f>
        <v>7341400-HP Restoration upon Flail Attacks</v>
      </c>
      <c r="G257" s="19" t="str">
        <f>IFERROR(__xludf.DUMMYFUNCTION("""COMPUTED_VALUE"""),"7341800-HP Restoration upon Halberd Attacks")</f>
        <v>7341800-HP Restoration upon Halberd Attacks</v>
      </c>
      <c r="H257" s="19" t="str">
        <f>IFERROR(__xludf.DUMMYFUNCTION("""COMPUTED_VALUE"""),"7342100-HP Restoration upon Claw Attacks")</f>
        <v>7342100-HP Restoration upon Claw Attacks</v>
      </c>
      <c r="L257" s="23"/>
      <c r="M257" s="19">
        <v>7341300.0</v>
      </c>
      <c r="N257" s="19">
        <v>7341700.0</v>
      </c>
      <c r="O257" s="19">
        <v>7342000.0</v>
      </c>
    </row>
    <row r="258">
      <c r="A258" s="19">
        <v>30019.0</v>
      </c>
      <c r="B258" s="19" t="s">
        <v>173</v>
      </c>
      <c r="C258" s="19">
        <v>2.0</v>
      </c>
      <c r="D258" s="19" t="str">
        <f>A258 &amp; " - " &amp; B258 &amp; " (" &amp; VLOOKUP(C258, Tbl_ColorMap[],2,false) &amp; ")"</f>
        <v>30019 - Deep Polished Luminous Scene (Yellow)</v>
      </c>
      <c r="E258" s="23"/>
      <c r="F258" s="19" t="str">
        <f>IFERROR(__xludf.DUMMYFUNCTION("""COMPUTED_VALUE"""),"7341500-HP Restoration upon Spear Attacks")</f>
        <v>7341500-HP Restoration upon Spear Attacks</v>
      </c>
      <c r="G258" s="19" t="str">
        <f>IFERROR(__xludf.DUMMYFUNCTION("""COMPUTED_VALUE"""),"7341900-HP Restoration upon Reaper Attacks")</f>
        <v>7341900-HP Restoration upon Reaper Attacks</v>
      </c>
      <c r="H258" s="19" t="str">
        <f>IFERROR(__xludf.DUMMYFUNCTION("""COMPUTED_VALUE"""),"7342200-HP Restoration upon Whip Attacks")</f>
        <v>7342200-HP Restoration upon Whip Attacks</v>
      </c>
      <c r="L258" s="23"/>
      <c r="M258" s="19">
        <v>7341400.0</v>
      </c>
      <c r="N258" s="19">
        <v>7341800.0</v>
      </c>
      <c r="O258" s="19">
        <v>7342100.0</v>
      </c>
    </row>
    <row r="259">
      <c r="A259" s="19">
        <v>30020.0</v>
      </c>
      <c r="B259" s="19" t="s">
        <v>174</v>
      </c>
      <c r="C259" s="19">
        <v>2.0</v>
      </c>
      <c r="D259" s="19" t="str">
        <f>A259 &amp; " - " &amp; B259 &amp; " (" &amp; VLOOKUP(C259, Tbl_ColorMap[],2,false) &amp; ")"</f>
        <v>30020 - Deep Grand Luminous Scene (Yellow)</v>
      </c>
      <c r="E259" s="23"/>
      <c r="F259" s="19" t="str">
        <f>IFERROR(__xludf.DUMMYFUNCTION("""COMPUTED_VALUE"""),"7341700-HP Restoration upon Great Spear Attacks")</f>
        <v>7341700-HP Restoration upon Great Spear Attacks</v>
      </c>
      <c r="G259" s="19" t="str">
        <f>IFERROR(__xludf.DUMMYFUNCTION("""COMPUTED_VALUE"""),"7342000-HP Restoration upon Fist Attacks")</f>
        <v>7342000-HP Restoration upon Fist Attacks</v>
      </c>
      <c r="H259" s="19" t="str">
        <f>IFERROR(__xludf.DUMMYFUNCTION("""COMPUTED_VALUE"""),"7342300-HP Restoration upon Colossal Weapon Attacks")</f>
        <v>7342300-HP Restoration upon Colossal Weapon Attacks</v>
      </c>
      <c r="L259" s="23"/>
      <c r="M259" s="19">
        <v>7341500.0</v>
      </c>
      <c r="N259" s="19">
        <v>7341900.0</v>
      </c>
      <c r="O259" s="19">
        <v>7342200.0</v>
      </c>
    </row>
    <row r="260">
      <c r="A260" s="19">
        <v>30021.0</v>
      </c>
      <c r="B260" s="19" t="s">
        <v>172</v>
      </c>
      <c r="C260" s="19">
        <v>2.0</v>
      </c>
      <c r="D260" s="19" t="str">
        <f>A260 &amp; " - " &amp; B260 &amp; " (" &amp; VLOOKUP(C260, Tbl_ColorMap[],2,false) &amp; ")"</f>
        <v>30021 - Deep Delicate Luminous Scene  (Yellow)</v>
      </c>
      <c r="E260" s="23"/>
      <c r="F260" s="19" t="str">
        <f>IFERROR(__xludf.DUMMYFUNCTION("""COMPUTED_VALUE"""),"7341800-HP Restoration upon Halberd Attacks")</f>
        <v>7341800-HP Restoration upon Halberd Attacks</v>
      </c>
      <c r="G260" s="19" t="str">
        <f>IFERROR(__xludf.DUMMYFUNCTION("""COMPUTED_VALUE"""),"7342100-HP Restoration upon Claw Attacks")</f>
        <v>7342100-HP Restoration upon Claw Attacks</v>
      </c>
      <c r="H260" s="19" t="str">
        <f>IFERROR(__xludf.DUMMYFUNCTION("""COMPUTED_VALUE"""),"7342400-HP Restoration upon Bow Attacks")</f>
        <v>7342400-HP Restoration upon Bow Attacks</v>
      </c>
      <c r="L260" s="23"/>
      <c r="M260" s="19">
        <v>7341700.0</v>
      </c>
      <c r="N260" s="19">
        <v>7342000.0</v>
      </c>
      <c r="O260" s="19">
        <v>7342300.0</v>
      </c>
    </row>
    <row r="261">
      <c r="A261" s="19">
        <v>30022.0</v>
      </c>
      <c r="B261" s="19" t="s">
        <v>173</v>
      </c>
      <c r="C261" s="19">
        <v>2.0</v>
      </c>
      <c r="D261" s="19" t="str">
        <f>A261 &amp; " - " &amp; B261 &amp; " (" &amp; VLOOKUP(C261, Tbl_ColorMap[],2,false) &amp; ")"</f>
        <v>30022 - Deep Polished Luminous Scene (Yellow)</v>
      </c>
      <c r="E261" s="23"/>
      <c r="F261" s="19" t="str">
        <f>IFERROR(__xludf.DUMMYFUNCTION("""COMPUTED_VALUE"""),"7341900-HP Restoration upon Reaper Attacks")</f>
        <v>7341900-HP Restoration upon Reaper Attacks</v>
      </c>
      <c r="G261" s="19" t="str">
        <f>IFERROR(__xludf.DUMMYFUNCTION("""COMPUTED_VALUE"""),"7342200-HP Restoration upon Whip Attacks")</f>
        <v>7342200-HP Restoration upon Whip Attacks</v>
      </c>
      <c r="H261" s="19" t="str">
        <f>IFERROR(__xludf.DUMMYFUNCTION("""COMPUTED_VALUE"""),"7350000-FP Restoration upon Dagger Attacks")</f>
        <v>7350000-FP Restoration upon Dagger Attacks</v>
      </c>
      <c r="L261" s="23"/>
      <c r="M261" s="19">
        <v>7341800.0</v>
      </c>
      <c r="N261" s="19">
        <v>7342100.0</v>
      </c>
      <c r="O261" s="19">
        <v>7342400.0</v>
      </c>
    </row>
    <row r="262">
      <c r="A262" s="19">
        <v>30023.0</v>
      </c>
      <c r="B262" s="19" t="s">
        <v>174</v>
      </c>
      <c r="C262" s="19">
        <v>2.0</v>
      </c>
      <c r="D262" s="19" t="str">
        <f>A262 &amp; " - " &amp; B262 &amp; " (" &amp; VLOOKUP(C262, Tbl_ColorMap[],2,false) &amp; ")"</f>
        <v>30023 - Deep Grand Luminous Scene (Yellow)</v>
      </c>
      <c r="E262" s="23"/>
      <c r="F262" s="19" t="str">
        <f>IFERROR(__xludf.DUMMYFUNCTION("""COMPUTED_VALUE"""),"7342000-HP Restoration upon Fist Attacks")</f>
        <v>7342000-HP Restoration upon Fist Attacks</v>
      </c>
      <c r="G262" s="19" t="str">
        <f>IFERROR(__xludf.DUMMYFUNCTION("""COMPUTED_VALUE"""),"7342300-HP Restoration upon Colossal Weapon Attacks")</f>
        <v>7342300-HP Restoration upon Colossal Weapon Attacks</v>
      </c>
      <c r="H262" s="19" t="str">
        <f>IFERROR(__xludf.DUMMYFUNCTION("""COMPUTED_VALUE"""),"7350100-FP Restoration upon Straight Sword Attacks")</f>
        <v>7350100-FP Restoration upon Straight Sword Attacks</v>
      </c>
      <c r="L262" s="23"/>
      <c r="M262" s="19">
        <v>7341900.0</v>
      </c>
      <c r="N262" s="19">
        <v>7342200.0</v>
      </c>
      <c r="O262" s="19">
        <v>7350000.0</v>
      </c>
    </row>
    <row r="263">
      <c r="A263" s="19">
        <v>30024.0</v>
      </c>
      <c r="B263" s="19" t="s">
        <v>172</v>
      </c>
      <c r="C263" s="19">
        <v>2.0</v>
      </c>
      <c r="D263" s="19" t="str">
        <f>A263 &amp; " - " &amp; B263 &amp; " (" &amp; VLOOKUP(C263, Tbl_ColorMap[],2,false) &amp; ")"</f>
        <v>30024 - Deep Delicate Luminous Scene  (Yellow)</v>
      </c>
      <c r="E263" s="23"/>
      <c r="F263" s="19" t="str">
        <f>IFERROR(__xludf.DUMMYFUNCTION("""COMPUTED_VALUE"""),"7342100-HP Restoration upon Claw Attacks")</f>
        <v>7342100-HP Restoration upon Claw Attacks</v>
      </c>
      <c r="G263" s="19" t="str">
        <f>IFERROR(__xludf.DUMMYFUNCTION("""COMPUTED_VALUE"""),"7342400-HP Restoration upon Bow Attacks")</f>
        <v>7342400-HP Restoration upon Bow Attacks</v>
      </c>
      <c r="H263" s="19" t="str">
        <f>IFERROR(__xludf.DUMMYFUNCTION("""COMPUTED_VALUE"""),"7350200-FP Restoration upon Greatsword Attacks")</f>
        <v>7350200-FP Restoration upon Greatsword Attacks</v>
      </c>
      <c r="L263" s="23"/>
      <c r="M263" s="19">
        <v>7342000.0</v>
      </c>
      <c r="N263" s="19">
        <v>7342300.0</v>
      </c>
      <c r="O263" s="19">
        <v>7350100.0</v>
      </c>
    </row>
    <row r="264">
      <c r="A264" s="19">
        <v>30025.0</v>
      </c>
      <c r="B264" s="19" t="s">
        <v>173</v>
      </c>
      <c r="C264" s="19">
        <v>2.0</v>
      </c>
      <c r="D264" s="19" t="str">
        <f>A264 &amp; " - " &amp; B264 &amp; " (" &amp; VLOOKUP(C264, Tbl_ColorMap[],2,false) &amp; ")"</f>
        <v>30025 - Deep Polished Luminous Scene (Yellow)</v>
      </c>
      <c r="E264" s="23"/>
      <c r="F264" s="19" t="str">
        <f>IFERROR(__xludf.DUMMYFUNCTION("""COMPUTED_VALUE"""),"7342200-HP Restoration upon Whip Attacks")</f>
        <v>7342200-HP Restoration upon Whip Attacks</v>
      </c>
      <c r="G264" s="19" t="str">
        <f>IFERROR(__xludf.DUMMYFUNCTION("""COMPUTED_VALUE"""),"7350000-FP Restoration upon Dagger Attacks")</f>
        <v>7350000-FP Restoration upon Dagger Attacks</v>
      </c>
      <c r="H264" s="19" t="str">
        <f>IFERROR(__xludf.DUMMYFUNCTION("""COMPUTED_VALUE"""),"7350300-FP Restoration upon Colossal Sword Attacks")</f>
        <v>7350300-FP Restoration upon Colossal Sword Attacks</v>
      </c>
      <c r="L264" s="23"/>
      <c r="M264" s="19">
        <v>7342100.0</v>
      </c>
      <c r="N264" s="19">
        <v>7342400.0</v>
      </c>
      <c r="O264" s="19">
        <v>7350200.0</v>
      </c>
    </row>
    <row r="265">
      <c r="A265" s="19">
        <v>30026.0</v>
      </c>
      <c r="B265" s="19" t="s">
        <v>174</v>
      </c>
      <c r="C265" s="19">
        <v>2.0</v>
      </c>
      <c r="D265" s="19" t="str">
        <f>A265 &amp; " - " &amp; B265 &amp; " (" &amp; VLOOKUP(C265, Tbl_ColorMap[],2,false) &amp; ")"</f>
        <v>30026 - Deep Grand Luminous Scene (Yellow)</v>
      </c>
      <c r="E265" s="23"/>
      <c r="F265" s="19" t="str">
        <f>IFERROR(__xludf.DUMMYFUNCTION("""COMPUTED_VALUE"""),"7342300-HP Restoration upon Colossal Weapon Attacks")</f>
        <v>7342300-HP Restoration upon Colossal Weapon Attacks</v>
      </c>
      <c r="G265" s="19" t="str">
        <f>IFERROR(__xludf.DUMMYFUNCTION("""COMPUTED_VALUE"""),"7350100-FP Restoration upon Straight Sword Attacks")</f>
        <v>7350100-FP Restoration upon Straight Sword Attacks</v>
      </c>
      <c r="H265" s="19" t="str">
        <f>IFERROR(__xludf.DUMMYFUNCTION("""COMPUTED_VALUE"""),"7350400-FP Restoration upon Curved Sword Attacks")</f>
        <v>7350400-FP Restoration upon Curved Sword Attacks</v>
      </c>
      <c r="L265" s="23"/>
      <c r="M265" s="19">
        <v>7342200.0</v>
      </c>
      <c r="N265" s="19">
        <v>7350000.0</v>
      </c>
      <c r="O265" s="19">
        <v>7350300.0</v>
      </c>
    </row>
    <row r="266">
      <c r="A266" s="19">
        <v>30027.0</v>
      </c>
      <c r="B266" s="19" t="s">
        <v>175</v>
      </c>
      <c r="C266" s="19">
        <v>3.0</v>
      </c>
      <c r="D266" s="19" t="str">
        <f>A266 &amp; " - " &amp; B266 &amp; " (" &amp; VLOOKUP(C266, Tbl_ColorMap[],2,false) &amp; ")"</f>
        <v>30027 - Deep Delicate Tranquil Scene  (Green)</v>
      </c>
      <c r="E266" s="23"/>
      <c r="F266" s="19" t="str">
        <f>IFERROR(__xludf.DUMMYFUNCTION("""COMPUTED_VALUE"""),"7342400-HP Restoration upon Bow Attacks")</f>
        <v>7342400-HP Restoration upon Bow Attacks</v>
      </c>
      <c r="G266" s="19" t="str">
        <f>IFERROR(__xludf.DUMMYFUNCTION("""COMPUTED_VALUE"""),"7350200-FP Restoration upon Greatsword Attacks")</f>
        <v>7350200-FP Restoration upon Greatsword Attacks</v>
      </c>
      <c r="H266" s="19" t="str">
        <f>IFERROR(__xludf.DUMMYFUNCTION("""COMPUTED_VALUE"""),"7350500-FP Restoration upon Curved Greatsword Attacks")</f>
        <v>7350500-FP Restoration upon Curved Greatsword Attacks</v>
      </c>
      <c r="L266" s="23"/>
      <c r="M266" s="19">
        <v>7342300.0</v>
      </c>
      <c r="N266" s="19">
        <v>7350100.0</v>
      </c>
      <c r="O266" s="19">
        <v>7350400.0</v>
      </c>
    </row>
    <row r="267">
      <c r="A267" s="19">
        <v>30028.0</v>
      </c>
      <c r="B267" s="19" t="s">
        <v>176</v>
      </c>
      <c r="C267" s="19">
        <v>3.0</v>
      </c>
      <c r="D267" s="19" t="str">
        <f>A267 &amp; " - " &amp; B267 &amp; " (" &amp; VLOOKUP(C267, Tbl_ColorMap[],2,false) &amp; ")"</f>
        <v>30028 - Deep Polished Tranquil Scene  (Green)</v>
      </c>
      <c r="E267" s="23"/>
      <c r="F267" s="19" t="str">
        <f>IFERROR(__xludf.DUMMYFUNCTION("""COMPUTED_VALUE"""),"7350000-FP Restoration upon Dagger Attacks")</f>
        <v>7350000-FP Restoration upon Dagger Attacks</v>
      </c>
      <c r="G267" s="19" t="str">
        <f>IFERROR(__xludf.DUMMYFUNCTION("""COMPUTED_VALUE"""),"7350300-FP Restoration upon Colossal Sword Attacks")</f>
        <v>7350300-FP Restoration upon Colossal Sword Attacks</v>
      </c>
      <c r="H267" s="19" t="str">
        <f>IFERROR(__xludf.DUMMYFUNCTION("""COMPUTED_VALUE"""),"7350600-FP Restoration upon Katana Attacks")</f>
        <v>7350600-FP Restoration upon Katana Attacks</v>
      </c>
      <c r="L267" s="23"/>
      <c r="M267" s="19">
        <v>7342400.0</v>
      </c>
      <c r="N267" s="19">
        <v>7350200.0</v>
      </c>
      <c r="O267" s="19">
        <v>7350500.0</v>
      </c>
    </row>
    <row r="268">
      <c r="A268" s="19">
        <v>30029.0</v>
      </c>
      <c r="B268" s="19" t="s">
        <v>177</v>
      </c>
      <c r="C268" s="19">
        <v>3.0</v>
      </c>
      <c r="D268" s="19" t="str">
        <f>A268 &amp; " - " &amp; B268 &amp; " (" &amp; VLOOKUP(C268, Tbl_ColorMap[],2,false) &amp; ")"</f>
        <v>30029 - Deep Grand Tranquil Scene  (Green)</v>
      </c>
      <c r="E268" s="23"/>
      <c r="F268" s="19" t="str">
        <f>IFERROR(__xludf.DUMMYFUNCTION("""COMPUTED_VALUE"""),"7350100-FP Restoration upon Straight Sword Attacks")</f>
        <v>7350100-FP Restoration upon Straight Sword Attacks</v>
      </c>
      <c r="G268" s="19" t="str">
        <f>IFERROR(__xludf.DUMMYFUNCTION("""COMPUTED_VALUE"""),"7350400-FP Restoration upon Curved Sword Attacks")</f>
        <v>7350400-FP Restoration upon Curved Sword Attacks</v>
      </c>
      <c r="H268" s="19" t="str">
        <f>IFERROR(__xludf.DUMMYFUNCTION("""COMPUTED_VALUE"""),"7350700-FP Restoration upon Twinblade Attacks")</f>
        <v>7350700-FP Restoration upon Twinblade Attacks</v>
      </c>
      <c r="L268" s="23"/>
      <c r="M268" s="19">
        <v>7350000.0</v>
      </c>
      <c r="N268" s="19">
        <v>7350300.0</v>
      </c>
      <c r="O268" s="19">
        <v>7350600.0</v>
      </c>
    </row>
    <row r="269">
      <c r="A269" s="19">
        <v>30030.0</v>
      </c>
      <c r="B269" s="19" t="s">
        <v>175</v>
      </c>
      <c r="C269" s="19">
        <v>3.0</v>
      </c>
      <c r="D269" s="19" t="str">
        <f>A269 &amp; " - " &amp; B269 &amp; " (" &amp; VLOOKUP(C269, Tbl_ColorMap[],2,false) &amp; ")"</f>
        <v>30030 - Deep Delicate Tranquil Scene  (Green)</v>
      </c>
      <c r="E269" s="23"/>
      <c r="F269" s="19" t="str">
        <f>IFERROR(__xludf.DUMMYFUNCTION("""COMPUTED_VALUE"""),"7350200-FP Restoration upon Greatsword Attacks")</f>
        <v>7350200-FP Restoration upon Greatsword Attacks</v>
      </c>
      <c r="G269" s="19" t="str">
        <f>IFERROR(__xludf.DUMMYFUNCTION("""COMPUTED_VALUE"""),"7350500-FP Restoration upon Curved Greatsword Attacks")</f>
        <v>7350500-FP Restoration upon Curved Greatsword Attacks</v>
      </c>
      <c r="H269" s="19" t="str">
        <f>IFERROR(__xludf.DUMMYFUNCTION("""COMPUTED_VALUE"""),"7350800-FP Restoration upon Thrusting Sword Attacks")</f>
        <v>7350800-FP Restoration upon Thrusting Sword Attacks</v>
      </c>
      <c r="L269" s="23"/>
      <c r="M269" s="19">
        <v>7350100.0</v>
      </c>
      <c r="N269" s="19">
        <v>7350400.0</v>
      </c>
      <c r="O269" s="19">
        <v>7350700.0</v>
      </c>
    </row>
    <row r="270">
      <c r="A270" s="19">
        <v>30031.0</v>
      </c>
      <c r="B270" s="19" t="s">
        <v>176</v>
      </c>
      <c r="C270" s="19">
        <v>3.0</v>
      </c>
      <c r="D270" s="19" t="str">
        <f>A270 &amp; " - " &amp; B270 &amp; " (" &amp; VLOOKUP(C270, Tbl_ColorMap[],2,false) &amp; ")"</f>
        <v>30031 - Deep Polished Tranquil Scene  (Green)</v>
      </c>
      <c r="E270" s="23"/>
      <c r="F270" s="19" t="str">
        <f>IFERROR(__xludf.DUMMYFUNCTION("""COMPUTED_VALUE"""),"7350300-FP Restoration upon Colossal Sword Attacks")</f>
        <v>7350300-FP Restoration upon Colossal Sword Attacks</v>
      </c>
      <c r="G270" s="19" t="str">
        <f>IFERROR(__xludf.DUMMYFUNCTION("""COMPUTED_VALUE"""),"7350600-FP Restoration upon Katana Attacks")</f>
        <v>7350600-FP Restoration upon Katana Attacks</v>
      </c>
      <c r="H270" s="19" t="str">
        <f>IFERROR(__xludf.DUMMYFUNCTION("""COMPUTED_VALUE"""),"7350900-FP Restoration upon Heavy Thrusting Sword Attacks")</f>
        <v>7350900-FP Restoration upon Heavy Thrusting Sword Attacks</v>
      </c>
      <c r="L270" s="23"/>
      <c r="M270" s="19">
        <v>7350200.0</v>
      </c>
      <c r="N270" s="19">
        <v>7350500.0</v>
      </c>
      <c r="O270" s="19">
        <v>7350800.0</v>
      </c>
    </row>
    <row r="271">
      <c r="A271" s="19">
        <v>30032.0</v>
      </c>
      <c r="B271" s="19" t="s">
        <v>177</v>
      </c>
      <c r="C271" s="19">
        <v>3.0</v>
      </c>
      <c r="D271" s="19" t="str">
        <f>A271 &amp; " - " &amp; B271 &amp; " (" &amp; VLOOKUP(C271, Tbl_ColorMap[],2,false) &amp; ")"</f>
        <v>30032 - Deep Grand Tranquil Scene  (Green)</v>
      </c>
      <c r="E271" s="23"/>
      <c r="F271" s="19" t="str">
        <f>IFERROR(__xludf.DUMMYFUNCTION("""COMPUTED_VALUE"""),"7350400-FP Restoration upon Curved Sword Attacks")</f>
        <v>7350400-FP Restoration upon Curved Sword Attacks</v>
      </c>
      <c r="G271" s="19" t="str">
        <f>IFERROR(__xludf.DUMMYFUNCTION("""COMPUTED_VALUE"""),"7350700-FP Restoration upon Twinblade Attacks")</f>
        <v>7350700-FP Restoration upon Twinblade Attacks</v>
      </c>
      <c r="H271" s="19" t="str">
        <f>IFERROR(__xludf.DUMMYFUNCTION("""COMPUTED_VALUE"""),"7351000-FP Restoration upon Axe Attacks")</f>
        <v>7351000-FP Restoration upon Axe Attacks</v>
      </c>
      <c r="L271" s="23"/>
      <c r="M271" s="19">
        <v>7350300.0</v>
      </c>
      <c r="N271" s="19">
        <v>7350600.0</v>
      </c>
      <c r="O271" s="19">
        <v>7350900.0</v>
      </c>
    </row>
    <row r="272">
      <c r="A272" s="19">
        <v>30033.0</v>
      </c>
      <c r="B272" s="19" t="s">
        <v>175</v>
      </c>
      <c r="C272" s="19">
        <v>3.0</v>
      </c>
      <c r="D272" s="19" t="str">
        <f>A272 &amp; " - " &amp; B272 &amp; " (" &amp; VLOOKUP(C272, Tbl_ColorMap[],2,false) &amp; ")"</f>
        <v>30033 - Deep Delicate Tranquil Scene  (Green)</v>
      </c>
      <c r="E272" s="23"/>
      <c r="F272" s="19" t="str">
        <f>IFERROR(__xludf.DUMMYFUNCTION("""COMPUTED_VALUE"""),"7350500-FP Restoration upon Curved Greatsword Attacks")</f>
        <v>7350500-FP Restoration upon Curved Greatsword Attacks</v>
      </c>
      <c r="G272" s="19" t="str">
        <f>IFERROR(__xludf.DUMMYFUNCTION("""COMPUTED_VALUE"""),"7350800-FP Restoration upon Thrusting Sword Attacks")</f>
        <v>7350800-FP Restoration upon Thrusting Sword Attacks</v>
      </c>
      <c r="H272" s="19" t="str">
        <f>IFERROR(__xludf.DUMMYFUNCTION("""COMPUTED_VALUE"""),"7351100-FP Restoration upon Greataxe Attacks")</f>
        <v>7351100-FP Restoration upon Greataxe Attacks</v>
      </c>
      <c r="L272" s="23"/>
      <c r="M272" s="19">
        <v>7350400.0</v>
      </c>
      <c r="N272" s="19">
        <v>7350700.0</v>
      </c>
      <c r="O272" s="19">
        <v>7351000.0</v>
      </c>
    </row>
    <row r="273">
      <c r="A273" s="19">
        <v>30034.0</v>
      </c>
      <c r="B273" s="19" t="s">
        <v>176</v>
      </c>
      <c r="C273" s="19">
        <v>3.0</v>
      </c>
      <c r="D273" s="19" t="str">
        <f>A273 &amp; " - " &amp; B273 &amp; " (" &amp; VLOOKUP(C273, Tbl_ColorMap[],2,false) &amp; ")"</f>
        <v>30034 - Deep Polished Tranquil Scene  (Green)</v>
      </c>
      <c r="E273" s="23"/>
      <c r="F273" s="19" t="str">
        <f>IFERROR(__xludf.DUMMYFUNCTION("""COMPUTED_VALUE"""),"7350600-FP Restoration upon Katana Attacks")</f>
        <v>7350600-FP Restoration upon Katana Attacks</v>
      </c>
      <c r="G273" s="19" t="str">
        <f>IFERROR(__xludf.DUMMYFUNCTION("""COMPUTED_VALUE"""),"7350900-FP Restoration upon Heavy Thrusting Sword Attacks")</f>
        <v>7350900-FP Restoration upon Heavy Thrusting Sword Attacks</v>
      </c>
      <c r="H273" s="19" t="str">
        <f>IFERROR(__xludf.DUMMYFUNCTION("""COMPUTED_VALUE"""),"7351200-FP Restoration upon Hammer Attacks")</f>
        <v>7351200-FP Restoration upon Hammer Attacks</v>
      </c>
      <c r="L273" s="23"/>
      <c r="M273" s="19">
        <v>7350500.0</v>
      </c>
      <c r="N273" s="19">
        <v>7350800.0</v>
      </c>
      <c r="O273" s="19">
        <v>7351100.0</v>
      </c>
    </row>
    <row r="274">
      <c r="A274" s="19">
        <v>30035.0</v>
      </c>
      <c r="B274" s="19" t="s">
        <v>177</v>
      </c>
      <c r="C274" s="19">
        <v>3.0</v>
      </c>
      <c r="D274" s="19" t="str">
        <f>A274 &amp; " - " &amp; B274 &amp; " (" &amp; VLOOKUP(C274, Tbl_ColorMap[],2,false) &amp; ")"</f>
        <v>30035 - Deep Grand Tranquil Scene  (Green)</v>
      </c>
      <c r="E274" s="23"/>
      <c r="F274" s="19" t="str">
        <f>IFERROR(__xludf.DUMMYFUNCTION("""COMPUTED_VALUE"""),"7350700-FP Restoration upon Twinblade Attacks")</f>
        <v>7350700-FP Restoration upon Twinblade Attacks</v>
      </c>
      <c r="G274" s="19" t="str">
        <f>IFERROR(__xludf.DUMMYFUNCTION("""COMPUTED_VALUE"""),"7351000-FP Restoration upon Axe Attacks")</f>
        <v>7351000-FP Restoration upon Axe Attacks</v>
      </c>
      <c r="H274" s="19" t="str">
        <f>IFERROR(__xludf.DUMMYFUNCTION("""COMPUTED_VALUE"""),"7351300-FP Restoration upon Great Hammer Attacks")</f>
        <v>7351300-FP Restoration upon Great Hammer Attacks</v>
      </c>
      <c r="L274" s="23"/>
      <c r="M274" s="19">
        <v>7350600.0</v>
      </c>
      <c r="N274" s="19">
        <v>7350900.0</v>
      </c>
      <c r="O274" s="19">
        <v>7351200.0</v>
      </c>
    </row>
    <row r="275">
      <c r="A275" s="19">
        <v>1000000.0</v>
      </c>
      <c r="B275" s="19" t="s">
        <v>109</v>
      </c>
      <c r="C275" s="19">
        <v>0.0</v>
      </c>
      <c r="D275" s="19" t="str">
        <f>A275 &amp; " - " &amp; B275 &amp; " (" &amp; VLOOKUP(C275, Tbl_ColorMap[],2,false) &amp; ")"</f>
        <v>1000000 - Delicate Burning Scene (Red)</v>
      </c>
      <c r="E275" s="23"/>
      <c r="F275" s="19" t="str">
        <f>IFERROR(__xludf.DUMMYFUNCTION("""COMPUTED_VALUE"""),"7350800-FP Restoration upon Thrusting Sword Attacks")</f>
        <v>7350800-FP Restoration upon Thrusting Sword Attacks</v>
      </c>
      <c r="G275" s="19" t="str">
        <f>IFERROR(__xludf.DUMMYFUNCTION("""COMPUTED_VALUE"""),"7351100-FP Restoration upon Greataxe Attacks")</f>
        <v>7351100-FP Restoration upon Greataxe Attacks</v>
      </c>
      <c r="H275" s="19" t="str">
        <f>IFERROR(__xludf.DUMMYFUNCTION("""COMPUTED_VALUE"""),"7351400-FP Restoration upon Flail Attacks")</f>
        <v>7351400-FP Restoration upon Flail Attacks</v>
      </c>
      <c r="L275" s="23"/>
      <c r="M275" s="19">
        <v>7350700.0</v>
      </c>
      <c r="N275" s="19">
        <v>7351000.0</v>
      </c>
      <c r="O275" s="19">
        <v>7351300.0</v>
      </c>
    </row>
    <row r="276">
      <c r="A276" s="19">
        <v>1000001.0</v>
      </c>
      <c r="B276" s="19" t="s">
        <v>110</v>
      </c>
      <c r="C276" s="19">
        <v>0.0</v>
      </c>
      <c r="D276" s="19" t="str">
        <f>A276 &amp; " - " &amp; B276 &amp; " (" &amp; VLOOKUP(C276, Tbl_ColorMap[],2,false) &amp; ")"</f>
        <v>1000001 - Polished Burning Scene (Red)</v>
      </c>
      <c r="E276" s="23"/>
      <c r="F276" s="19" t="str">
        <f>IFERROR(__xludf.DUMMYFUNCTION("""COMPUTED_VALUE"""),"7350900-FP Restoration upon Heavy Thrusting Sword Attacks")</f>
        <v>7350900-FP Restoration upon Heavy Thrusting Sword Attacks</v>
      </c>
      <c r="G276" s="19" t="str">
        <f>IFERROR(__xludf.DUMMYFUNCTION("""COMPUTED_VALUE"""),"7351200-FP Restoration upon Hammer Attacks")</f>
        <v>7351200-FP Restoration upon Hammer Attacks</v>
      </c>
      <c r="H276" s="19" t="str">
        <f>IFERROR(__xludf.DUMMYFUNCTION("""COMPUTED_VALUE"""),"7351500-FP Restoration upon Spear Attacks")</f>
        <v>7351500-FP Restoration upon Spear Attacks</v>
      </c>
      <c r="L276" s="23"/>
      <c r="M276" s="19">
        <v>7350800.0</v>
      </c>
      <c r="N276" s="19">
        <v>7351100.0</v>
      </c>
      <c r="O276" s="19">
        <v>7351400.0</v>
      </c>
    </row>
    <row r="277">
      <c r="A277" s="19">
        <v>1000002.0</v>
      </c>
      <c r="B277" s="19" t="s">
        <v>111</v>
      </c>
      <c r="C277" s="19">
        <v>0.0</v>
      </c>
      <c r="D277" s="19" t="str">
        <f>A277 &amp; " - " &amp; B277 &amp; " (" &amp; VLOOKUP(C277, Tbl_ColorMap[],2,false) &amp; ")"</f>
        <v>1000002 - Grand Burning Scene (Red)</v>
      </c>
      <c r="E277" s="23"/>
      <c r="F277" s="19" t="str">
        <f>IFERROR(__xludf.DUMMYFUNCTION("""COMPUTED_VALUE"""),"7351000-FP Restoration upon Axe Attacks")</f>
        <v>7351000-FP Restoration upon Axe Attacks</v>
      </c>
      <c r="G277" s="19" t="str">
        <f>IFERROR(__xludf.DUMMYFUNCTION("""COMPUTED_VALUE"""),"7351300-FP Restoration upon Great Hammer Attacks")</f>
        <v>7351300-FP Restoration upon Great Hammer Attacks</v>
      </c>
      <c r="H277" s="19" t="str">
        <f>IFERROR(__xludf.DUMMYFUNCTION("""COMPUTED_VALUE"""),"7351700-FP Restoration upon Great Spear Attacks")</f>
        <v>7351700-FP Restoration upon Great Spear Attacks</v>
      </c>
      <c r="L277" s="23"/>
      <c r="M277" s="19">
        <v>7350900.0</v>
      </c>
      <c r="N277" s="19">
        <v>7351200.0</v>
      </c>
      <c r="O277" s="19">
        <v>7351500.0</v>
      </c>
    </row>
    <row r="278">
      <c r="A278" s="19">
        <v>1000010.0</v>
      </c>
      <c r="B278" s="19" t="s">
        <v>109</v>
      </c>
      <c r="C278" s="19">
        <v>0.0</v>
      </c>
      <c r="D278" s="19" t="str">
        <f>A278 &amp; " - " &amp; B278 &amp; " (" &amp; VLOOKUP(C278, Tbl_ColorMap[],2,false) &amp; ")"</f>
        <v>1000010 - Delicate Burning Scene (Red)</v>
      </c>
      <c r="E278" s="23"/>
      <c r="F278" s="19" t="str">
        <f>IFERROR(__xludf.DUMMYFUNCTION("""COMPUTED_VALUE"""),"7351100-FP Restoration upon Greataxe Attacks")</f>
        <v>7351100-FP Restoration upon Greataxe Attacks</v>
      </c>
      <c r="G278" s="19" t="str">
        <f>IFERROR(__xludf.DUMMYFUNCTION("""COMPUTED_VALUE"""),"7351400-FP Restoration upon Flail Attacks")</f>
        <v>7351400-FP Restoration upon Flail Attacks</v>
      </c>
      <c r="H278" s="19" t="str">
        <f>IFERROR(__xludf.DUMMYFUNCTION("""COMPUTED_VALUE"""),"7351800-FP Restoration upon Halberd Attacks")</f>
        <v>7351800-FP Restoration upon Halberd Attacks</v>
      </c>
      <c r="L278" s="23"/>
      <c r="M278" s="19">
        <v>7351000.0</v>
      </c>
      <c r="N278" s="19">
        <v>7351300.0</v>
      </c>
      <c r="O278" s="19">
        <v>7351700.0</v>
      </c>
    </row>
    <row r="279">
      <c r="A279" s="19">
        <v>1000011.0</v>
      </c>
      <c r="B279" s="19" t="s">
        <v>110</v>
      </c>
      <c r="C279" s="19">
        <v>0.0</v>
      </c>
      <c r="D279" s="19" t="str">
        <f>A279 &amp; " - " &amp; B279 &amp; " (" &amp; VLOOKUP(C279, Tbl_ColorMap[],2,false) &amp; ")"</f>
        <v>1000011 - Polished Burning Scene (Red)</v>
      </c>
      <c r="E279" s="23"/>
      <c r="F279" s="19" t="str">
        <f>IFERROR(__xludf.DUMMYFUNCTION("""COMPUTED_VALUE"""),"7351200-FP Restoration upon Hammer Attacks")</f>
        <v>7351200-FP Restoration upon Hammer Attacks</v>
      </c>
      <c r="G279" s="19" t="str">
        <f>IFERROR(__xludf.DUMMYFUNCTION("""COMPUTED_VALUE"""),"7351500-FP Restoration upon Spear Attacks")</f>
        <v>7351500-FP Restoration upon Spear Attacks</v>
      </c>
      <c r="H279" s="19" t="str">
        <f>IFERROR(__xludf.DUMMYFUNCTION("""COMPUTED_VALUE"""),"7351900-FP Restoration upon Reaper Attacks")</f>
        <v>7351900-FP Restoration upon Reaper Attacks</v>
      </c>
      <c r="L279" s="23"/>
      <c r="M279" s="19">
        <v>7351100.0</v>
      </c>
      <c r="N279" s="19">
        <v>7351400.0</v>
      </c>
      <c r="O279" s="19">
        <v>7351800.0</v>
      </c>
    </row>
    <row r="280">
      <c r="A280" s="19">
        <v>1000012.0</v>
      </c>
      <c r="B280" s="19" t="s">
        <v>111</v>
      </c>
      <c r="C280" s="19">
        <v>0.0</v>
      </c>
      <c r="D280" s="19" t="str">
        <f>A280 &amp; " - " &amp; B280 &amp; " (" &amp; VLOOKUP(C280, Tbl_ColorMap[],2,false) &amp; ")"</f>
        <v>1000012 - Grand Burning Scene (Red)</v>
      </c>
      <c r="E280" s="23"/>
      <c r="F280" s="19" t="str">
        <f>IFERROR(__xludf.DUMMYFUNCTION("""COMPUTED_VALUE"""),"7351300-FP Restoration upon Great Hammer Attacks")</f>
        <v>7351300-FP Restoration upon Great Hammer Attacks</v>
      </c>
      <c r="G280" s="19" t="str">
        <f>IFERROR(__xludf.DUMMYFUNCTION("""COMPUTED_VALUE"""),"7351700-FP Restoration upon Great Spear Attacks")</f>
        <v>7351700-FP Restoration upon Great Spear Attacks</v>
      </c>
      <c r="H280" s="19" t="str">
        <f>IFERROR(__xludf.DUMMYFUNCTION("""COMPUTED_VALUE"""),"7352000-FP Restoration upon Fist Attacks")</f>
        <v>7352000-FP Restoration upon Fist Attacks</v>
      </c>
      <c r="L280" s="23"/>
      <c r="M280" s="19">
        <v>7351200.0</v>
      </c>
      <c r="N280" s="19">
        <v>7351500.0</v>
      </c>
      <c r="O280" s="19">
        <v>7351900.0</v>
      </c>
    </row>
    <row r="281">
      <c r="A281" s="19">
        <v>1000020.0</v>
      </c>
      <c r="B281" s="19" t="s">
        <v>109</v>
      </c>
      <c r="C281" s="19">
        <v>0.0</v>
      </c>
      <c r="D281" s="19" t="str">
        <f>A281 &amp; " - " &amp; B281 &amp; " (" &amp; VLOOKUP(C281, Tbl_ColorMap[],2,false) &amp; ")"</f>
        <v>1000020 - Delicate Burning Scene (Red)</v>
      </c>
      <c r="E281" s="23"/>
      <c r="F281" s="19" t="str">
        <f>IFERROR(__xludf.DUMMYFUNCTION("""COMPUTED_VALUE"""),"7351400-FP Restoration upon Flail Attacks")</f>
        <v>7351400-FP Restoration upon Flail Attacks</v>
      </c>
      <c r="G281" s="19" t="str">
        <f>IFERROR(__xludf.DUMMYFUNCTION("""COMPUTED_VALUE"""),"7351800-FP Restoration upon Halberd Attacks")</f>
        <v>7351800-FP Restoration upon Halberd Attacks</v>
      </c>
      <c r="H281" s="19" t="str">
        <f>IFERROR(__xludf.DUMMYFUNCTION("""COMPUTED_VALUE"""),"7352100-FP Restoration upon Claw Attacks")</f>
        <v>7352100-FP Restoration upon Claw Attacks</v>
      </c>
      <c r="L281" s="23"/>
      <c r="M281" s="19">
        <v>7351300.0</v>
      </c>
      <c r="N281" s="19">
        <v>7351700.0</v>
      </c>
      <c r="O281" s="19">
        <v>7352000.0</v>
      </c>
    </row>
    <row r="282">
      <c r="A282" s="19">
        <v>1000021.0</v>
      </c>
      <c r="B282" s="19" t="s">
        <v>110</v>
      </c>
      <c r="C282" s="19">
        <v>0.0</v>
      </c>
      <c r="D282" s="19" t="str">
        <f>A282 &amp; " - " &amp; B282 &amp; " (" &amp; VLOOKUP(C282, Tbl_ColorMap[],2,false) &amp; ")"</f>
        <v>1000021 - Polished Burning Scene (Red)</v>
      </c>
      <c r="E282" s="23"/>
      <c r="F282" s="19" t="str">
        <f>IFERROR(__xludf.DUMMYFUNCTION("""COMPUTED_VALUE"""),"7351500-FP Restoration upon Spear Attacks")</f>
        <v>7351500-FP Restoration upon Spear Attacks</v>
      </c>
      <c r="G282" s="19" t="str">
        <f>IFERROR(__xludf.DUMMYFUNCTION("""COMPUTED_VALUE"""),"7351900-FP Restoration upon Reaper Attacks")</f>
        <v>7351900-FP Restoration upon Reaper Attacks</v>
      </c>
      <c r="H282" s="19" t="str">
        <f>IFERROR(__xludf.DUMMYFUNCTION("""COMPUTED_VALUE"""),"7352200-FP Restoration upon Whip Attacks")</f>
        <v>7352200-FP Restoration upon Whip Attacks</v>
      </c>
      <c r="L282" s="23"/>
      <c r="M282" s="19">
        <v>7351400.0</v>
      </c>
      <c r="N282" s="19">
        <v>7351800.0</v>
      </c>
      <c r="O282" s="19">
        <v>7352100.0</v>
      </c>
    </row>
    <row r="283">
      <c r="A283" s="19">
        <v>1000022.0</v>
      </c>
      <c r="B283" s="19" t="s">
        <v>111</v>
      </c>
      <c r="C283" s="19">
        <v>0.0</v>
      </c>
      <c r="D283" s="19" t="str">
        <f>A283 &amp; " - " &amp; B283 &amp; " (" &amp; VLOOKUP(C283, Tbl_ColorMap[],2,false) &amp; ")"</f>
        <v>1000022 - Grand Burning Scene (Red)</v>
      </c>
      <c r="E283" s="23"/>
      <c r="F283" s="19" t="str">
        <f>IFERROR(__xludf.DUMMYFUNCTION("""COMPUTED_VALUE"""),"7351700-FP Restoration upon Great Spear Attacks")</f>
        <v>7351700-FP Restoration upon Great Spear Attacks</v>
      </c>
      <c r="G283" s="19" t="str">
        <f>IFERROR(__xludf.DUMMYFUNCTION("""COMPUTED_VALUE"""),"7352000-FP Restoration upon Fist Attacks")</f>
        <v>7352000-FP Restoration upon Fist Attacks</v>
      </c>
      <c r="H283" s="19" t="str">
        <f>IFERROR(__xludf.DUMMYFUNCTION("""COMPUTED_VALUE"""),"7352300-FP Restoration upon Colossal Weapon Attacks")</f>
        <v>7352300-FP Restoration upon Colossal Weapon Attacks</v>
      </c>
      <c r="L283" s="23"/>
      <c r="M283" s="19">
        <v>7351500.0</v>
      </c>
      <c r="N283" s="19">
        <v>7351900.0</v>
      </c>
      <c r="O283" s="19">
        <v>7352200.0</v>
      </c>
    </row>
    <row r="284">
      <c r="A284" s="19">
        <v>1000100.0</v>
      </c>
      <c r="B284" s="19" t="s">
        <v>112</v>
      </c>
      <c r="C284" s="19">
        <v>1.0</v>
      </c>
      <c r="D284" s="19" t="str">
        <f>A284 &amp; " - " &amp; B284 &amp; " (" &amp; VLOOKUP(C284, Tbl_ColorMap[],2,false) &amp; ")"</f>
        <v>1000100 - Delicate Drizzly Scene (Blue)</v>
      </c>
      <c r="E284" s="23"/>
      <c r="F284" s="19" t="str">
        <f>IFERROR(__xludf.DUMMYFUNCTION("""COMPUTED_VALUE"""),"7351800-FP Restoration upon Halberd Attacks")</f>
        <v>7351800-FP Restoration upon Halberd Attacks</v>
      </c>
      <c r="G284" s="19" t="str">
        <f>IFERROR(__xludf.DUMMYFUNCTION("""COMPUTED_VALUE"""),"7352100-FP Restoration upon Claw Attacks")</f>
        <v>7352100-FP Restoration upon Claw Attacks</v>
      </c>
      <c r="H284" s="19" t="str">
        <f>IFERROR(__xludf.DUMMYFUNCTION("""COMPUTED_VALUE"""),"7352400-FP Restoration upon Bow Attacks")</f>
        <v>7352400-FP Restoration upon Bow Attacks</v>
      </c>
      <c r="L284" s="23"/>
      <c r="M284" s="19">
        <v>7351700.0</v>
      </c>
      <c r="N284" s="19">
        <v>7352000.0</v>
      </c>
      <c r="O284" s="19">
        <v>7352300.0</v>
      </c>
    </row>
    <row r="285">
      <c r="A285" s="19">
        <v>1000101.0</v>
      </c>
      <c r="B285" s="19" t="s">
        <v>113</v>
      </c>
      <c r="C285" s="19">
        <v>1.0</v>
      </c>
      <c r="D285" s="19" t="str">
        <f>A285 &amp; " - " &amp; B285 &amp; " (" &amp; VLOOKUP(C285, Tbl_ColorMap[],2,false) &amp; ")"</f>
        <v>1000101 - Polished Drizzly Scene (Blue)</v>
      </c>
      <c r="E285" s="23"/>
      <c r="F285" s="19" t="str">
        <f>IFERROR(__xludf.DUMMYFUNCTION("""COMPUTED_VALUE"""),"7351900-FP Restoration upon Reaper Attacks")</f>
        <v>7351900-FP Restoration upon Reaper Attacks</v>
      </c>
      <c r="G285" s="19" t="str">
        <f>IFERROR(__xludf.DUMMYFUNCTION("""COMPUTED_VALUE"""),"7352200-FP Restoration upon Whip Attacks")</f>
        <v>7352200-FP Restoration upon Whip Attacks</v>
      </c>
      <c r="L285" s="23"/>
      <c r="M285" s="19">
        <v>7351800.0</v>
      </c>
      <c r="N285" s="19">
        <v>7352100.0</v>
      </c>
      <c r="O285" s="19">
        <v>7352400.0</v>
      </c>
    </row>
    <row r="286">
      <c r="A286" s="19">
        <v>1000102.0</v>
      </c>
      <c r="B286" s="19" t="s">
        <v>114</v>
      </c>
      <c r="C286" s="19">
        <v>1.0</v>
      </c>
      <c r="D286" s="19" t="str">
        <f>A286 &amp; " - " &amp; B286 &amp; " (" &amp; VLOOKUP(C286, Tbl_ColorMap[],2,false) &amp; ")"</f>
        <v>1000102 - Grand Drizzly Scene (Blue)</v>
      </c>
      <c r="E286" s="23"/>
      <c r="F286" s="19" t="str">
        <f>IFERROR(__xludf.DUMMYFUNCTION("""COMPUTED_VALUE"""),"7352000-FP Restoration upon Fist Attacks")</f>
        <v>7352000-FP Restoration upon Fist Attacks</v>
      </c>
      <c r="G286" s="19" t="str">
        <f>IFERROR(__xludf.DUMMYFUNCTION("""COMPUTED_VALUE"""),"7352300-FP Restoration upon Colossal Weapon Attacks")</f>
        <v>7352300-FP Restoration upon Colossal Weapon Attacks</v>
      </c>
      <c r="L286" s="23"/>
      <c r="M286" s="19">
        <v>7351900.0</v>
      </c>
      <c r="N286" s="19">
        <v>7352200.0</v>
      </c>
    </row>
    <row r="287">
      <c r="A287" s="19">
        <v>1000110.0</v>
      </c>
      <c r="B287" s="19" t="s">
        <v>112</v>
      </c>
      <c r="C287" s="19">
        <v>1.0</v>
      </c>
      <c r="D287" s="19" t="str">
        <f>A287 &amp; " - " &amp; B287 &amp; " (" &amp; VLOOKUP(C287, Tbl_ColorMap[],2,false) &amp; ")"</f>
        <v>1000110 - Delicate Drizzly Scene (Blue)</v>
      </c>
      <c r="E287" s="23"/>
      <c r="F287" s="19" t="str">
        <f>IFERROR(__xludf.DUMMYFUNCTION("""COMPUTED_VALUE"""),"7352100-FP Restoration upon Claw Attacks")</f>
        <v>7352100-FP Restoration upon Claw Attacks</v>
      </c>
      <c r="G287" s="19" t="str">
        <f>IFERROR(__xludf.DUMMYFUNCTION("""COMPUTED_VALUE"""),"7352400-FP Restoration upon Bow Attacks")</f>
        <v>7352400-FP Restoration upon Bow Attacks</v>
      </c>
      <c r="L287" s="23"/>
      <c r="M287" s="19">
        <v>7352000.0</v>
      </c>
      <c r="N287" s="19">
        <v>7352300.0</v>
      </c>
    </row>
    <row r="288">
      <c r="A288" s="19">
        <v>1000111.0</v>
      </c>
      <c r="B288" s="19" t="s">
        <v>113</v>
      </c>
      <c r="C288" s="19">
        <v>1.0</v>
      </c>
      <c r="D288" s="19" t="str">
        <f>A288 &amp; " - " &amp; B288 &amp; " (" &amp; VLOOKUP(C288, Tbl_ColorMap[],2,false) &amp; ")"</f>
        <v>1000111 - Polished Drizzly Scene (Blue)</v>
      </c>
      <c r="E288" s="23"/>
      <c r="F288" s="19" t="str">
        <f>IFERROR(__xludf.DUMMYFUNCTION("""COMPUTED_VALUE"""),"7352200-FP Restoration upon Whip Attacks")</f>
        <v>7352200-FP Restoration upon Whip Attacks</v>
      </c>
      <c r="L288" s="23"/>
      <c r="M288" s="19">
        <v>7352100.0</v>
      </c>
      <c r="N288" s="19">
        <v>7352400.0</v>
      </c>
    </row>
    <row r="289">
      <c r="A289" s="19">
        <v>1000112.0</v>
      </c>
      <c r="B289" s="19" t="s">
        <v>114</v>
      </c>
      <c r="C289" s="19">
        <v>1.0</v>
      </c>
      <c r="D289" s="19" t="str">
        <f>A289 &amp; " - " &amp; B289 &amp; " (" &amp; VLOOKUP(C289, Tbl_ColorMap[],2,false) &amp; ")"</f>
        <v>1000112 - Grand Drizzly Scene (Blue)</v>
      </c>
      <c r="E289" s="23"/>
      <c r="F289" s="19" t="str">
        <f>IFERROR(__xludf.DUMMYFUNCTION("""COMPUTED_VALUE"""),"7352300-FP Restoration upon Colossal Weapon Attacks")</f>
        <v>7352300-FP Restoration upon Colossal Weapon Attacks</v>
      </c>
      <c r="L289" s="23"/>
      <c r="M289" s="19">
        <v>7352200.0</v>
      </c>
    </row>
    <row r="290">
      <c r="A290" s="19">
        <v>1000120.0</v>
      </c>
      <c r="B290" s="19" t="s">
        <v>112</v>
      </c>
      <c r="C290" s="19">
        <v>1.0</v>
      </c>
      <c r="D290" s="19" t="str">
        <f>A290 &amp; " - " &amp; B290 &amp; " (" &amp; VLOOKUP(C290, Tbl_ColorMap[],2,false) &amp; ")"</f>
        <v>1000120 - Delicate Drizzly Scene (Blue)</v>
      </c>
      <c r="E290" s="23"/>
      <c r="F290" s="19" t="str">
        <f>IFERROR(__xludf.DUMMYFUNCTION("""COMPUTED_VALUE"""),"7352400-FP Restoration upon Bow Attacks")</f>
        <v>7352400-FP Restoration upon Bow Attacks</v>
      </c>
      <c r="L290" s="23"/>
      <c r="M290" s="19">
        <v>7352300.0</v>
      </c>
    </row>
    <row r="291">
      <c r="A291" s="19">
        <v>1000121.0</v>
      </c>
      <c r="B291" s="19" t="s">
        <v>113</v>
      </c>
      <c r="C291" s="19">
        <v>1.0</v>
      </c>
      <c r="D291" s="19" t="str">
        <f>A291 &amp; " - " &amp; B291 &amp; " (" &amp; VLOOKUP(C291, Tbl_ColorMap[],2,false) &amp; ")"</f>
        <v>1000121 - Polished Drizzly Scene (Blue)</v>
      </c>
      <c r="E291" s="23"/>
      <c r="L291" s="23"/>
      <c r="M291" s="19">
        <v>7352400.0</v>
      </c>
    </row>
    <row r="292">
      <c r="A292" s="19">
        <v>1000122.0</v>
      </c>
      <c r="B292" s="19" t="s">
        <v>114</v>
      </c>
      <c r="C292" s="19">
        <v>1.0</v>
      </c>
      <c r="D292" s="19" t="str">
        <f>A292 &amp; " - " &amp; B292 &amp; " (" &amp; VLOOKUP(C292, Tbl_ColorMap[],2,false) &amp; ")"</f>
        <v>1000122 - Grand Drizzly Scene (Blue)</v>
      </c>
      <c r="E292" s="23"/>
      <c r="L292" s="23"/>
    </row>
    <row r="293">
      <c r="A293" s="19">
        <v>1000200.0</v>
      </c>
      <c r="B293" s="19" t="s">
        <v>115</v>
      </c>
      <c r="C293" s="19">
        <v>2.0</v>
      </c>
      <c r="D293" s="19" t="str">
        <f>A293 &amp; " - " &amp; B293 &amp; " (" &amp; VLOOKUP(C293, Tbl_ColorMap[],2,false) &amp; ")"</f>
        <v>1000200 - Delicate Luminous Scene (Yellow)</v>
      </c>
      <c r="E293" s="23"/>
      <c r="L293" s="23"/>
    </row>
    <row r="294">
      <c r="A294" s="19">
        <v>1000201.0</v>
      </c>
      <c r="B294" s="19" t="s">
        <v>116</v>
      </c>
      <c r="C294" s="19">
        <v>2.0</v>
      </c>
      <c r="D294" s="19" t="str">
        <f>A294 &amp; " - " &amp; B294 &amp; " (" &amp; VLOOKUP(C294, Tbl_ColorMap[],2,false) &amp; ")"</f>
        <v>1000201 - Polished Luminous Scene (Yellow)</v>
      </c>
      <c r="E294" s="23"/>
      <c r="L294" s="23"/>
    </row>
    <row r="295">
      <c r="A295" s="19">
        <v>1000202.0</v>
      </c>
      <c r="B295" s="19" t="s">
        <v>117</v>
      </c>
      <c r="C295" s="19">
        <v>2.0</v>
      </c>
      <c r="D295" s="19" t="str">
        <f>A295 &amp; " - " &amp; B295 &amp; " (" &amp; VLOOKUP(C295, Tbl_ColorMap[],2,false) &amp; ")"</f>
        <v>1000202 - Grand Luminous Scene (Yellow)</v>
      </c>
      <c r="E295" s="23"/>
      <c r="L295" s="23"/>
    </row>
    <row r="296">
      <c r="A296" s="19">
        <v>1000210.0</v>
      </c>
      <c r="B296" s="19" t="s">
        <v>115</v>
      </c>
      <c r="C296" s="19">
        <v>2.0</v>
      </c>
      <c r="D296" s="19" t="str">
        <f>A296 &amp; " - " &amp; B296 &amp; " (" &amp; VLOOKUP(C296, Tbl_ColorMap[],2,false) &amp; ")"</f>
        <v>1000210 - Delicate Luminous Scene (Yellow)</v>
      </c>
      <c r="E296" s="23"/>
      <c r="L296" s="23"/>
    </row>
    <row r="297">
      <c r="A297" s="19">
        <v>1000211.0</v>
      </c>
      <c r="B297" s="19" t="s">
        <v>116</v>
      </c>
      <c r="C297" s="19">
        <v>2.0</v>
      </c>
      <c r="D297" s="19" t="str">
        <f>A297 &amp; " - " &amp; B297 &amp; " (" &amp; VLOOKUP(C297, Tbl_ColorMap[],2,false) &amp; ")"</f>
        <v>1000211 - Polished Luminous Scene (Yellow)</v>
      </c>
      <c r="E297" s="23"/>
      <c r="L297" s="23"/>
    </row>
    <row r="298">
      <c r="A298" s="19">
        <v>1000212.0</v>
      </c>
      <c r="B298" s="19" t="s">
        <v>117</v>
      </c>
      <c r="C298" s="19">
        <v>2.0</v>
      </c>
      <c r="D298" s="19" t="str">
        <f>A298 &amp; " - " &amp; B298 &amp; " (" &amp; VLOOKUP(C298, Tbl_ColorMap[],2,false) &amp; ")"</f>
        <v>1000212 - Grand Luminous Scene (Yellow)</v>
      </c>
      <c r="E298" s="23"/>
      <c r="L298" s="23"/>
    </row>
    <row r="299">
      <c r="A299" s="19">
        <v>1000220.0</v>
      </c>
      <c r="B299" s="19" t="s">
        <v>115</v>
      </c>
      <c r="C299" s="19">
        <v>2.0</v>
      </c>
      <c r="D299" s="19" t="str">
        <f>A299 &amp; " - " &amp; B299 &amp; " (" &amp; VLOOKUP(C299, Tbl_ColorMap[],2,false) &amp; ")"</f>
        <v>1000220 - Delicate Luminous Scene (Yellow)</v>
      </c>
      <c r="E299" s="23"/>
      <c r="L299" s="23"/>
    </row>
    <row r="300">
      <c r="A300" s="19">
        <v>1000221.0</v>
      </c>
      <c r="B300" s="19" t="s">
        <v>116</v>
      </c>
      <c r="C300" s="19">
        <v>2.0</v>
      </c>
      <c r="D300" s="19" t="str">
        <f>A300 &amp; " - " &amp; B300 &amp; " (" &amp; VLOOKUP(C300, Tbl_ColorMap[],2,false) &amp; ")"</f>
        <v>1000221 - Polished Luminous Scene (Yellow)</v>
      </c>
      <c r="E300" s="23"/>
      <c r="L300" s="23"/>
    </row>
    <row r="301">
      <c r="A301" s="19">
        <v>1000222.0</v>
      </c>
      <c r="B301" s="19" t="s">
        <v>117</v>
      </c>
      <c r="C301" s="19">
        <v>2.0</v>
      </c>
      <c r="D301" s="19" t="str">
        <f>A301 &amp; " - " &amp; B301 &amp; " (" &amp; VLOOKUP(C301, Tbl_ColorMap[],2,false) &amp; ")"</f>
        <v>1000222 - Grand Luminous Scene (Yellow)</v>
      </c>
      <c r="E301" s="23"/>
      <c r="L301" s="23"/>
    </row>
    <row r="302">
      <c r="A302" s="19">
        <v>1000300.0</v>
      </c>
      <c r="B302" s="19" t="s">
        <v>118</v>
      </c>
      <c r="C302" s="19">
        <v>3.0</v>
      </c>
      <c r="D302" s="19" t="str">
        <f>A302 &amp; " - " &amp; B302 &amp; " (" &amp; VLOOKUP(C302, Tbl_ColorMap[],2,false) &amp; ")"</f>
        <v>1000300 - Delicate Tranquil Scene (Green)</v>
      </c>
      <c r="E302" s="23"/>
      <c r="L302" s="23"/>
    </row>
    <row r="303">
      <c r="A303" s="19">
        <v>1000301.0</v>
      </c>
      <c r="B303" s="19" t="s">
        <v>119</v>
      </c>
      <c r="C303" s="19">
        <v>3.0</v>
      </c>
      <c r="D303" s="19" t="str">
        <f>A303 &amp; " - " &amp; B303 &amp; " (" &amp; VLOOKUP(C303, Tbl_ColorMap[],2,false) &amp; ")"</f>
        <v>1000301 - Polished Tranquil Scene (Green)</v>
      </c>
      <c r="E303" s="23"/>
      <c r="L303" s="23"/>
    </row>
    <row r="304">
      <c r="A304" s="19">
        <v>1000302.0</v>
      </c>
      <c r="B304" s="19" t="s">
        <v>120</v>
      </c>
      <c r="C304" s="19">
        <v>3.0</v>
      </c>
      <c r="D304" s="19" t="str">
        <f>A304 &amp; " - " &amp; B304 &amp; " (" &amp; VLOOKUP(C304, Tbl_ColorMap[],2,false) &amp; ")"</f>
        <v>1000302 - Grand Tranquil Scene (Green)</v>
      </c>
      <c r="E304" s="23"/>
      <c r="L304" s="23"/>
    </row>
    <row r="305">
      <c r="A305" s="19">
        <v>1000310.0</v>
      </c>
      <c r="B305" s="19" t="s">
        <v>118</v>
      </c>
      <c r="C305" s="19">
        <v>3.0</v>
      </c>
      <c r="D305" s="19" t="str">
        <f>A305 &amp; " - " &amp; B305 &amp; " (" &amp; VLOOKUP(C305, Tbl_ColorMap[],2,false) &amp; ")"</f>
        <v>1000310 - Delicate Tranquil Scene (Green)</v>
      </c>
      <c r="E305" s="23"/>
      <c r="L305" s="23"/>
    </row>
    <row r="306">
      <c r="A306" s="19">
        <v>1000311.0</v>
      </c>
      <c r="B306" s="19" t="s">
        <v>119</v>
      </c>
      <c r="C306" s="19">
        <v>3.0</v>
      </c>
      <c r="D306" s="19" t="str">
        <f>A306 &amp; " - " &amp; B306 &amp; " (" &amp; VLOOKUP(C306, Tbl_ColorMap[],2,false) &amp; ")"</f>
        <v>1000311 - Polished Tranquil Scene (Green)</v>
      </c>
      <c r="E306" s="23"/>
      <c r="L306" s="23"/>
    </row>
    <row r="307">
      <c r="A307" s="19">
        <v>1000312.0</v>
      </c>
      <c r="B307" s="19" t="s">
        <v>120</v>
      </c>
      <c r="C307" s="19">
        <v>3.0</v>
      </c>
      <c r="D307" s="19" t="str">
        <f>A307 &amp; " - " &amp; B307 &amp; " (" &amp; VLOOKUP(C307, Tbl_ColorMap[],2,false) &amp; ")"</f>
        <v>1000312 - Grand Tranquil Scene (Green)</v>
      </c>
      <c r="E307" s="23"/>
      <c r="L307" s="23"/>
    </row>
    <row r="308">
      <c r="A308" s="19">
        <v>1000320.0</v>
      </c>
      <c r="B308" s="19" t="s">
        <v>118</v>
      </c>
      <c r="C308" s="19">
        <v>3.0</v>
      </c>
      <c r="D308" s="19" t="str">
        <f>A308 &amp; " - " &amp; B308 &amp; " (" &amp; VLOOKUP(C308, Tbl_ColorMap[],2,false) &amp; ")"</f>
        <v>1000320 - Delicate Tranquil Scene (Green)</v>
      </c>
      <c r="E308" s="23"/>
      <c r="L308" s="23"/>
    </row>
    <row r="309">
      <c r="A309" s="19">
        <v>1000321.0</v>
      </c>
      <c r="B309" s="19" t="s">
        <v>119</v>
      </c>
      <c r="C309" s="19">
        <v>3.0</v>
      </c>
      <c r="D309" s="19" t="str">
        <f>A309 &amp; " - " &amp; B309 &amp; " (" &amp; VLOOKUP(C309, Tbl_ColorMap[],2,false) &amp; ")"</f>
        <v>1000321 - Polished Tranquil Scene (Green)</v>
      </c>
      <c r="E309" s="23"/>
      <c r="L309" s="23"/>
    </row>
    <row r="310">
      <c r="A310" s="19">
        <v>1000322.0</v>
      </c>
      <c r="B310" s="19" t="s">
        <v>120</v>
      </c>
      <c r="C310" s="19">
        <v>3.0</v>
      </c>
      <c r="D310" s="19" t="str">
        <f>A310 &amp; " - " &amp; B310 &amp; " (" &amp; VLOOKUP(C310, Tbl_ColorMap[],2,false) &amp; ")"</f>
        <v>1000322 - Grand Tranquil Scene (Green)</v>
      </c>
      <c r="E310" s="23"/>
      <c r="L310" s="23"/>
    </row>
    <row r="311">
      <c r="A311" s="19">
        <v>1001000.0</v>
      </c>
      <c r="B311" s="19" t="s">
        <v>109</v>
      </c>
      <c r="C311" s="19">
        <v>0.0</v>
      </c>
      <c r="D311" s="19" t="str">
        <f>A311 &amp; " - " &amp; B311 &amp; " (" &amp; VLOOKUP(C311, Tbl_ColorMap[],2,false) &amp; ")"</f>
        <v>1001000 - Delicate Burning Scene (Red)</v>
      </c>
      <c r="E311" s="23"/>
      <c r="L311" s="23"/>
    </row>
    <row r="312">
      <c r="A312" s="19">
        <v>1001001.0</v>
      </c>
      <c r="B312" s="19" t="s">
        <v>110</v>
      </c>
      <c r="C312" s="19">
        <v>0.0</v>
      </c>
      <c r="D312" s="19" t="str">
        <f>A312 &amp; " - " &amp; B312 &amp; " (" &amp; VLOOKUP(C312, Tbl_ColorMap[],2,false) &amp; ")"</f>
        <v>1001001 - Polished Burning Scene (Red)</v>
      </c>
      <c r="E312" s="23"/>
      <c r="L312" s="23"/>
    </row>
    <row r="313">
      <c r="A313" s="19">
        <v>1001002.0</v>
      </c>
      <c r="B313" s="19" t="s">
        <v>111</v>
      </c>
      <c r="C313" s="19">
        <v>0.0</v>
      </c>
      <c r="D313" s="19" t="str">
        <f>A313 &amp; " - " &amp; B313 &amp; " (" &amp; VLOOKUP(C313, Tbl_ColorMap[],2,false) &amp; ")"</f>
        <v>1001002 - Grand Burning Scene (Red)</v>
      </c>
      <c r="E313" s="23"/>
      <c r="L313" s="23"/>
    </row>
    <row r="314">
      <c r="A314" s="19">
        <v>1001010.0</v>
      </c>
      <c r="B314" s="19" t="s">
        <v>109</v>
      </c>
      <c r="C314" s="19">
        <v>0.0</v>
      </c>
      <c r="D314" s="19" t="str">
        <f>A314 &amp; " - " &amp; B314 &amp; " (" &amp; VLOOKUP(C314, Tbl_ColorMap[],2,false) &amp; ")"</f>
        <v>1001010 - Delicate Burning Scene (Red)</v>
      </c>
      <c r="E314" s="23"/>
      <c r="L314" s="23"/>
    </row>
    <row r="315">
      <c r="A315" s="19">
        <v>1001011.0</v>
      </c>
      <c r="B315" s="19" t="s">
        <v>110</v>
      </c>
      <c r="C315" s="19">
        <v>0.0</v>
      </c>
      <c r="D315" s="19" t="str">
        <f>A315 &amp; " - " &amp; B315 &amp; " (" &amp; VLOOKUP(C315, Tbl_ColorMap[],2,false) &amp; ")"</f>
        <v>1001011 - Polished Burning Scene (Red)</v>
      </c>
      <c r="E315" s="23"/>
      <c r="L315" s="23"/>
    </row>
    <row r="316">
      <c r="A316" s="19">
        <v>1001012.0</v>
      </c>
      <c r="B316" s="19" t="s">
        <v>111</v>
      </c>
      <c r="C316" s="19">
        <v>0.0</v>
      </c>
      <c r="D316" s="19" t="str">
        <f>A316 &amp; " - " &amp; B316 &amp; " (" &amp; VLOOKUP(C316, Tbl_ColorMap[],2,false) &amp; ")"</f>
        <v>1001012 - Grand Burning Scene (Red)</v>
      </c>
      <c r="E316" s="23"/>
      <c r="L316" s="23"/>
    </row>
    <row r="317">
      <c r="A317" s="19">
        <v>1001020.0</v>
      </c>
      <c r="B317" s="19" t="s">
        <v>109</v>
      </c>
      <c r="C317" s="19">
        <v>0.0</v>
      </c>
      <c r="D317" s="19" t="str">
        <f>A317 &amp; " - " &amp; B317 &amp; " (" &amp; VLOOKUP(C317, Tbl_ColorMap[],2,false) &amp; ")"</f>
        <v>1001020 - Delicate Burning Scene (Red)</v>
      </c>
      <c r="E317" s="23"/>
      <c r="L317" s="23"/>
    </row>
    <row r="318">
      <c r="A318" s="19">
        <v>1001021.0</v>
      </c>
      <c r="B318" s="19" t="s">
        <v>110</v>
      </c>
      <c r="C318" s="19">
        <v>0.0</v>
      </c>
      <c r="D318" s="19" t="str">
        <f>A318 &amp; " - " &amp; B318 &amp; " (" &amp; VLOOKUP(C318, Tbl_ColorMap[],2,false) &amp; ")"</f>
        <v>1001021 - Polished Burning Scene (Red)</v>
      </c>
      <c r="E318" s="23"/>
      <c r="L318" s="23"/>
    </row>
    <row r="319">
      <c r="A319" s="19">
        <v>1001022.0</v>
      </c>
      <c r="B319" s="19" t="s">
        <v>111</v>
      </c>
      <c r="C319" s="19">
        <v>0.0</v>
      </c>
      <c r="D319" s="19" t="str">
        <f>A319 &amp; " - " &amp; B319 &amp; " (" &amp; VLOOKUP(C319, Tbl_ColorMap[],2,false) &amp; ")"</f>
        <v>1001022 - Grand Burning Scene (Red)</v>
      </c>
      <c r="E319" s="23"/>
      <c r="L319" s="23"/>
    </row>
    <row r="320">
      <c r="A320" s="19">
        <v>1001100.0</v>
      </c>
      <c r="B320" s="19" t="s">
        <v>112</v>
      </c>
      <c r="C320" s="19">
        <v>1.0</v>
      </c>
      <c r="D320" s="19" t="str">
        <f>A320 &amp; " - " &amp; B320 &amp; " (" &amp; VLOOKUP(C320, Tbl_ColorMap[],2,false) &amp; ")"</f>
        <v>1001100 - Delicate Drizzly Scene (Blue)</v>
      </c>
      <c r="E320" s="23"/>
      <c r="L320" s="23"/>
    </row>
    <row r="321">
      <c r="A321" s="19">
        <v>1001101.0</v>
      </c>
      <c r="B321" s="19" t="s">
        <v>113</v>
      </c>
      <c r="C321" s="19">
        <v>1.0</v>
      </c>
      <c r="D321" s="19" t="str">
        <f>A321 &amp; " - " &amp; B321 &amp; " (" &amp; VLOOKUP(C321, Tbl_ColorMap[],2,false) &amp; ")"</f>
        <v>1001101 - Polished Drizzly Scene (Blue)</v>
      </c>
      <c r="E321" s="23"/>
      <c r="L321" s="23"/>
    </row>
    <row r="322">
      <c r="A322" s="19">
        <v>1001102.0</v>
      </c>
      <c r="B322" s="19" t="s">
        <v>114</v>
      </c>
      <c r="C322" s="19">
        <v>1.0</v>
      </c>
      <c r="D322" s="19" t="str">
        <f>A322 &amp; " - " &amp; B322 &amp; " (" &amp; VLOOKUP(C322, Tbl_ColorMap[],2,false) &amp; ")"</f>
        <v>1001102 - Grand Drizzly Scene (Blue)</v>
      </c>
      <c r="E322" s="23"/>
      <c r="L322" s="23"/>
    </row>
    <row r="323">
      <c r="A323" s="19">
        <v>1001110.0</v>
      </c>
      <c r="B323" s="19" t="s">
        <v>112</v>
      </c>
      <c r="C323" s="19">
        <v>1.0</v>
      </c>
      <c r="D323" s="19" t="str">
        <f>A323 &amp; " - " &amp; B323 &amp; " (" &amp; VLOOKUP(C323, Tbl_ColorMap[],2,false) &amp; ")"</f>
        <v>1001110 - Delicate Drizzly Scene (Blue)</v>
      </c>
      <c r="E323" s="23"/>
      <c r="L323" s="23"/>
    </row>
    <row r="324">
      <c r="A324" s="19">
        <v>1001111.0</v>
      </c>
      <c r="B324" s="19" t="s">
        <v>113</v>
      </c>
      <c r="C324" s="19">
        <v>1.0</v>
      </c>
      <c r="D324" s="19" t="str">
        <f>A324 &amp; " - " &amp; B324 &amp; " (" &amp; VLOOKUP(C324, Tbl_ColorMap[],2,false) &amp; ")"</f>
        <v>1001111 - Polished Drizzly Scene (Blue)</v>
      </c>
      <c r="E324" s="23"/>
      <c r="L324" s="23"/>
    </row>
    <row r="325">
      <c r="A325" s="19">
        <v>1001112.0</v>
      </c>
      <c r="B325" s="19" t="s">
        <v>114</v>
      </c>
      <c r="C325" s="19">
        <v>1.0</v>
      </c>
      <c r="D325" s="19" t="str">
        <f>A325 &amp; " - " &amp; B325 &amp; " (" &amp; VLOOKUP(C325, Tbl_ColorMap[],2,false) &amp; ")"</f>
        <v>1001112 - Grand Drizzly Scene (Blue)</v>
      </c>
      <c r="E325" s="23"/>
      <c r="L325" s="23"/>
    </row>
    <row r="326">
      <c r="A326" s="19">
        <v>1001120.0</v>
      </c>
      <c r="B326" s="19" t="s">
        <v>112</v>
      </c>
      <c r="C326" s="19">
        <v>1.0</v>
      </c>
      <c r="D326" s="19" t="str">
        <f>A326 &amp; " - " &amp; B326 &amp; " (" &amp; VLOOKUP(C326, Tbl_ColorMap[],2,false) &amp; ")"</f>
        <v>1001120 - Delicate Drizzly Scene (Blue)</v>
      </c>
      <c r="E326" s="23"/>
      <c r="L326" s="23"/>
    </row>
    <row r="327">
      <c r="A327" s="19">
        <v>1001121.0</v>
      </c>
      <c r="B327" s="19" t="s">
        <v>113</v>
      </c>
      <c r="C327" s="19">
        <v>1.0</v>
      </c>
      <c r="D327" s="19" t="str">
        <f>A327 &amp; " - " &amp; B327 &amp; " (" &amp; VLOOKUP(C327, Tbl_ColorMap[],2,false) &amp; ")"</f>
        <v>1001121 - Polished Drizzly Scene (Blue)</v>
      </c>
      <c r="E327" s="23"/>
      <c r="L327" s="23"/>
    </row>
    <row r="328">
      <c r="A328" s="19">
        <v>1001122.0</v>
      </c>
      <c r="B328" s="19" t="s">
        <v>114</v>
      </c>
      <c r="C328" s="19">
        <v>1.0</v>
      </c>
      <c r="D328" s="19" t="str">
        <f>A328 &amp; " - " &amp; B328 &amp; " (" &amp; VLOOKUP(C328, Tbl_ColorMap[],2,false) &amp; ")"</f>
        <v>1001122 - Grand Drizzly Scene (Blue)</v>
      </c>
      <c r="E328" s="23"/>
      <c r="L328" s="23"/>
    </row>
    <row r="329">
      <c r="A329" s="19">
        <v>1001200.0</v>
      </c>
      <c r="B329" s="19" t="s">
        <v>115</v>
      </c>
      <c r="C329" s="19">
        <v>2.0</v>
      </c>
      <c r="D329" s="19" t="str">
        <f>A329 &amp; " - " &amp; B329 &amp; " (" &amp; VLOOKUP(C329, Tbl_ColorMap[],2,false) &amp; ")"</f>
        <v>1001200 - Delicate Luminous Scene (Yellow)</v>
      </c>
      <c r="E329" s="23"/>
      <c r="L329" s="23"/>
    </row>
    <row r="330">
      <c r="A330" s="19">
        <v>1001201.0</v>
      </c>
      <c r="B330" s="19" t="s">
        <v>116</v>
      </c>
      <c r="C330" s="19">
        <v>2.0</v>
      </c>
      <c r="D330" s="19" t="str">
        <f>A330 &amp; " - " &amp; B330 &amp; " (" &amp; VLOOKUP(C330, Tbl_ColorMap[],2,false) &amp; ")"</f>
        <v>1001201 - Polished Luminous Scene (Yellow)</v>
      </c>
      <c r="E330" s="23"/>
      <c r="L330" s="23"/>
    </row>
    <row r="331">
      <c r="A331" s="19">
        <v>1001202.0</v>
      </c>
      <c r="B331" s="19" t="s">
        <v>117</v>
      </c>
      <c r="C331" s="19">
        <v>2.0</v>
      </c>
      <c r="D331" s="19" t="str">
        <f>A331 &amp; " - " &amp; B331 &amp; " (" &amp; VLOOKUP(C331, Tbl_ColorMap[],2,false) &amp; ")"</f>
        <v>1001202 - Grand Luminous Scene (Yellow)</v>
      </c>
      <c r="E331" s="23"/>
      <c r="L331" s="23"/>
    </row>
    <row r="332">
      <c r="A332" s="19">
        <v>1001210.0</v>
      </c>
      <c r="B332" s="19" t="s">
        <v>115</v>
      </c>
      <c r="C332" s="19">
        <v>2.0</v>
      </c>
      <c r="D332" s="19" t="str">
        <f>A332 &amp; " - " &amp; B332 &amp; " (" &amp; VLOOKUP(C332, Tbl_ColorMap[],2,false) &amp; ")"</f>
        <v>1001210 - Delicate Luminous Scene (Yellow)</v>
      </c>
      <c r="E332" s="23"/>
      <c r="L332" s="23"/>
    </row>
    <row r="333">
      <c r="A333" s="19">
        <v>1001211.0</v>
      </c>
      <c r="B333" s="19" t="s">
        <v>116</v>
      </c>
      <c r="C333" s="19">
        <v>2.0</v>
      </c>
      <c r="D333" s="19" t="str">
        <f>A333 &amp; " - " &amp; B333 &amp; " (" &amp; VLOOKUP(C333, Tbl_ColorMap[],2,false) &amp; ")"</f>
        <v>1001211 - Polished Luminous Scene (Yellow)</v>
      </c>
      <c r="E333" s="23"/>
      <c r="L333" s="23"/>
    </row>
    <row r="334">
      <c r="A334" s="19">
        <v>1001212.0</v>
      </c>
      <c r="B334" s="19" t="s">
        <v>117</v>
      </c>
      <c r="C334" s="19">
        <v>2.0</v>
      </c>
      <c r="D334" s="19" t="str">
        <f>A334 &amp; " - " &amp; B334 &amp; " (" &amp; VLOOKUP(C334, Tbl_ColorMap[],2,false) &amp; ")"</f>
        <v>1001212 - Grand Luminous Scene (Yellow)</v>
      </c>
      <c r="E334" s="23"/>
      <c r="L334" s="23"/>
    </row>
    <row r="335">
      <c r="A335" s="19">
        <v>1001220.0</v>
      </c>
      <c r="B335" s="19" t="s">
        <v>115</v>
      </c>
      <c r="C335" s="19">
        <v>2.0</v>
      </c>
      <c r="D335" s="19" t="str">
        <f>A335 &amp; " - " &amp; B335 &amp; " (" &amp; VLOOKUP(C335, Tbl_ColorMap[],2,false) &amp; ")"</f>
        <v>1001220 - Delicate Luminous Scene (Yellow)</v>
      </c>
      <c r="E335" s="23"/>
      <c r="L335" s="23"/>
    </row>
    <row r="336">
      <c r="A336" s="19">
        <v>1001221.0</v>
      </c>
      <c r="B336" s="19" t="s">
        <v>116</v>
      </c>
      <c r="C336" s="19">
        <v>2.0</v>
      </c>
      <c r="D336" s="19" t="str">
        <f>A336 &amp; " - " &amp; B336 &amp; " (" &amp; VLOOKUP(C336, Tbl_ColorMap[],2,false) &amp; ")"</f>
        <v>1001221 - Polished Luminous Scene (Yellow)</v>
      </c>
      <c r="E336" s="23"/>
      <c r="L336" s="23"/>
    </row>
    <row r="337">
      <c r="A337" s="19">
        <v>1001222.0</v>
      </c>
      <c r="B337" s="19" t="s">
        <v>117</v>
      </c>
      <c r="C337" s="19">
        <v>2.0</v>
      </c>
      <c r="D337" s="19" t="str">
        <f>A337 &amp; " - " &amp; B337 &amp; " (" &amp; VLOOKUP(C337, Tbl_ColorMap[],2,false) &amp; ")"</f>
        <v>1001222 - Grand Luminous Scene (Yellow)</v>
      </c>
      <c r="E337" s="23"/>
      <c r="L337" s="23"/>
    </row>
    <row r="338">
      <c r="A338" s="19">
        <v>1001300.0</v>
      </c>
      <c r="B338" s="19" t="s">
        <v>118</v>
      </c>
      <c r="C338" s="19">
        <v>3.0</v>
      </c>
      <c r="D338" s="19" t="str">
        <f>A338 &amp; " - " &amp; B338 &amp; " (" &amp; VLOOKUP(C338, Tbl_ColorMap[],2,false) &amp; ")"</f>
        <v>1001300 - Delicate Tranquil Scene (Green)</v>
      </c>
      <c r="E338" s="23"/>
      <c r="L338" s="23"/>
    </row>
    <row r="339">
      <c r="A339" s="19">
        <v>1001301.0</v>
      </c>
      <c r="B339" s="19" t="s">
        <v>119</v>
      </c>
      <c r="C339" s="19">
        <v>3.0</v>
      </c>
      <c r="D339" s="19" t="str">
        <f>A339 &amp; " - " &amp; B339 &amp; " (" &amp; VLOOKUP(C339, Tbl_ColorMap[],2,false) &amp; ")"</f>
        <v>1001301 - Polished Tranquil Scene (Green)</v>
      </c>
      <c r="E339" s="23"/>
      <c r="L339" s="23"/>
    </row>
    <row r="340">
      <c r="A340" s="19">
        <v>1001302.0</v>
      </c>
      <c r="B340" s="19" t="s">
        <v>120</v>
      </c>
      <c r="C340" s="19">
        <v>3.0</v>
      </c>
      <c r="D340" s="19" t="str">
        <f>A340 &amp; " - " &amp; B340 &amp; " (" &amp; VLOOKUP(C340, Tbl_ColorMap[],2,false) &amp; ")"</f>
        <v>1001302 - Grand Tranquil Scene (Green)</v>
      </c>
      <c r="E340" s="23"/>
      <c r="L340" s="23"/>
    </row>
    <row r="341">
      <c r="A341" s="19">
        <v>1001310.0</v>
      </c>
      <c r="B341" s="19" t="s">
        <v>118</v>
      </c>
      <c r="C341" s="19">
        <v>3.0</v>
      </c>
      <c r="D341" s="19" t="str">
        <f>A341 &amp; " - " &amp; B341 &amp; " (" &amp; VLOOKUP(C341, Tbl_ColorMap[],2,false) &amp; ")"</f>
        <v>1001310 - Delicate Tranquil Scene (Green)</v>
      </c>
      <c r="E341" s="23"/>
      <c r="L341" s="23"/>
    </row>
    <row r="342">
      <c r="A342" s="19">
        <v>1001311.0</v>
      </c>
      <c r="B342" s="19" t="s">
        <v>119</v>
      </c>
      <c r="C342" s="19">
        <v>3.0</v>
      </c>
      <c r="D342" s="19" t="str">
        <f>A342 &amp; " - " &amp; B342 &amp; " (" &amp; VLOOKUP(C342, Tbl_ColorMap[],2,false) &amp; ")"</f>
        <v>1001311 - Polished Tranquil Scene (Green)</v>
      </c>
      <c r="E342" s="23"/>
      <c r="L342" s="23"/>
    </row>
    <row r="343">
      <c r="A343" s="19">
        <v>1001312.0</v>
      </c>
      <c r="B343" s="19" t="s">
        <v>120</v>
      </c>
      <c r="C343" s="19">
        <v>3.0</v>
      </c>
      <c r="D343" s="19" t="str">
        <f>A343 &amp; " - " &amp; B343 &amp; " (" &amp; VLOOKUP(C343, Tbl_ColorMap[],2,false) &amp; ")"</f>
        <v>1001312 - Grand Tranquil Scene (Green)</v>
      </c>
      <c r="E343" s="23"/>
      <c r="L343" s="23"/>
    </row>
    <row r="344">
      <c r="A344" s="19">
        <v>1001320.0</v>
      </c>
      <c r="B344" s="19" t="s">
        <v>118</v>
      </c>
      <c r="C344" s="19">
        <v>3.0</v>
      </c>
      <c r="D344" s="19" t="str">
        <f>A344 &amp; " - " &amp; B344 &amp; " (" &amp; VLOOKUP(C344, Tbl_ColorMap[],2,false) &amp; ")"</f>
        <v>1001320 - Delicate Tranquil Scene (Green)</v>
      </c>
      <c r="E344" s="23"/>
      <c r="L344" s="23"/>
    </row>
    <row r="345">
      <c r="A345" s="19">
        <v>1001321.0</v>
      </c>
      <c r="B345" s="19" t="s">
        <v>119</v>
      </c>
      <c r="C345" s="19">
        <v>3.0</v>
      </c>
      <c r="D345" s="19" t="str">
        <f>A345 &amp; " - " &amp; B345 &amp; " (" &amp; VLOOKUP(C345, Tbl_ColorMap[],2,false) &amp; ")"</f>
        <v>1001321 - Polished Tranquil Scene (Green)</v>
      </c>
      <c r="E345" s="23"/>
      <c r="L345" s="23"/>
    </row>
    <row r="346">
      <c r="A346" s="19">
        <v>1001322.0</v>
      </c>
      <c r="B346" s="19" t="s">
        <v>120</v>
      </c>
      <c r="C346" s="19">
        <v>3.0</v>
      </c>
      <c r="D346" s="19" t="str">
        <f>A346 &amp; " - " &amp; B346 &amp; " (" &amp; VLOOKUP(C346, Tbl_ColorMap[],2,false) &amp; ")"</f>
        <v>1001322 - Grand Tranquil Scene (Green)</v>
      </c>
      <c r="E346" s="23"/>
      <c r="L346" s="23"/>
    </row>
    <row r="347">
      <c r="A347" s="19">
        <v>1002000.0</v>
      </c>
      <c r="B347" s="19" t="s">
        <v>109</v>
      </c>
      <c r="C347" s="19">
        <v>0.0</v>
      </c>
      <c r="D347" s="19" t="str">
        <f>A347 &amp; " - " &amp; B347 &amp; " (" &amp; VLOOKUP(C347, Tbl_ColorMap[],2,false) &amp; ")"</f>
        <v>1002000 - Delicate Burning Scene (Red)</v>
      </c>
      <c r="E347" s="23"/>
      <c r="L347" s="23"/>
    </row>
    <row r="348">
      <c r="A348" s="19">
        <v>1002001.0</v>
      </c>
      <c r="B348" s="19" t="s">
        <v>110</v>
      </c>
      <c r="C348" s="19">
        <v>0.0</v>
      </c>
      <c r="D348" s="19" t="str">
        <f>A348 &amp; " - " &amp; B348 &amp; " (" &amp; VLOOKUP(C348, Tbl_ColorMap[],2,false) &amp; ")"</f>
        <v>1002001 - Polished Burning Scene (Red)</v>
      </c>
      <c r="E348" s="23"/>
      <c r="L348" s="23"/>
    </row>
    <row r="349">
      <c r="A349" s="19">
        <v>1002002.0</v>
      </c>
      <c r="B349" s="19" t="s">
        <v>111</v>
      </c>
      <c r="C349" s="19">
        <v>0.0</v>
      </c>
      <c r="D349" s="19" t="str">
        <f>A349 &amp; " - " &amp; B349 &amp; " (" &amp; VLOOKUP(C349, Tbl_ColorMap[],2,false) &amp; ")"</f>
        <v>1002002 - Grand Burning Scene (Red)</v>
      </c>
      <c r="E349" s="23"/>
      <c r="L349" s="23"/>
    </row>
    <row r="350">
      <c r="A350" s="19">
        <v>1002010.0</v>
      </c>
      <c r="B350" s="19" t="s">
        <v>109</v>
      </c>
      <c r="C350" s="19">
        <v>0.0</v>
      </c>
      <c r="D350" s="19" t="str">
        <f>A350 &amp; " - " &amp; B350 &amp; " (" &amp; VLOOKUP(C350, Tbl_ColorMap[],2,false) &amp; ")"</f>
        <v>1002010 - Delicate Burning Scene (Red)</v>
      </c>
      <c r="E350" s="23"/>
      <c r="L350" s="23"/>
    </row>
    <row r="351">
      <c r="A351" s="19">
        <v>1002011.0</v>
      </c>
      <c r="B351" s="19" t="s">
        <v>110</v>
      </c>
      <c r="C351" s="19">
        <v>0.0</v>
      </c>
      <c r="D351" s="19" t="str">
        <f>A351 &amp; " - " &amp; B351 &amp; " (" &amp; VLOOKUP(C351, Tbl_ColorMap[],2,false) &amp; ")"</f>
        <v>1002011 - Polished Burning Scene (Red)</v>
      </c>
      <c r="E351" s="23"/>
      <c r="L351" s="23"/>
    </row>
    <row r="352">
      <c r="A352" s="19">
        <v>1002012.0</v>
      </c>
      <c r="B352" s="19" t="s">
        <v>111</v>
      </c>
      <c r="C352" s="19">
        <v>0.0</v>
      </c>
      <c r="D352" s="19" t="str">
        <f>A352 &amp; " - " &amp; B352 &amp; " (" &amp; VLOOKUP(C352, Tbl_ColorMap[],2,false) &amp; ")"</f>
        <v>1002012 - Grand Burning Scene (Red)</v>
      </c>
      <c r="E352" s="23"/>
      <c r="L352" s="23"/>
    </row>
    <row r="353">
      <c r="A353" s="19">
        <v>1002020.0</v>
      </c>
      <c r="B353" s="19" t="s">
        <v>109</v>
      </c>
      <c r="C353" s="19">
        <v>0.0</v>
      </c>
      <c r="D353" s="19" t="str">
        <f>A353 &amp; " - " &amp; B353 &amp; " (" &amp; VLOOKUP(C353, Tbl_ColorMap[],2,false) &amp; ")"</f>
        <v>1002020 - Delicate Burning Scene (Red)</v>
      </c>
      <c r="E353" s="23"/>
      <c r="L353" s="23"/>
    </row>
    <row r="354">
      <c r="A354" s="19">
        <v>1002021.0</v>
      </c>
      <c r="B354" s="19" t="s">
        <v>110</v>
      </c>
      <c r="C354" s="19">
        <v>0.0</v>
      </c>
      <c r="D354" s="19" t="str">
        <f>A354 &amp; " - " &amp; B354 &amp; " (" &amp; VLOOKUP(C354, Tbl_ColorMap[],2,false) &amp; ")"</f>
        <v>1002021 - Polished Burning Scene (Red)</v>
      </c>
      <c r="E354" s="23"/>
      <c r="L354" s="23"/>
    </row>
    <row r="355">
      <c r="A355" s="19">
        <v>1002022.0</v>
      </c>
      <c r="B355" s="19" t="s">
        <v>111</v>
      </c>
      <c r="C355" s="19">
        <v>0.0</v>
      </c>
      <c r="D355" s="19" t="str">
        <f>A355 &amp; " - " &amp; B355 &amp; " (" &amp; VLOOKUP(C355, Tbl_ColorMap[],2,false) &amp; ")"</f>
        <v>1002022 - Grand Burning Scene (Red)</v>
      </c>
      <c r="E355" s="23"/>
      <c r="L355" s="23"/>
    </row>
    <row r="356">
      <c r="A356" s="19">
        <v>1002100.0</v>
      </c>
      <c r="B356" s="19" t="s">
        <v>112</v>
      </c>
      <c r="C356" s="19">
        <v>1.0</v>
      </c>
      <c r="D356" s="19" t="str">
        <f>A356 &amp; " - " &amp; B356 &amp; " (" &amp; VLOOKUP(C356, Tbl_ColorMap[],2,false) &amp; ")"</f>
        <v>1002100 - Delicate Drizzly Scene (Blue)</v>
      </c>
      <c r="E356" s="23"/>
      <c r="L356" s="23"/>
    </row>
    <row r="357">
      <c r="A357" s="19">
        <v>1002101.0</v>
      </c>
      <c r="B357" s="19" t="s">
        <v>113</v>
      </c>
      <c r="C357" s="19">
        <v>1.0</v>
      </c>
      <c r="D357" s="19" t="str">
        <f>A357 &amp; " - " &amp; B357 &amp; " (" &amp; VLOOKUP(C357, Tbl_ColorMap[],2,false) &amp; ")"</f>
        <v>1002101 - Polished Drizzly Scene (Blue)</v>
      </c>
      <c r="E357" s="23"/>
      <c r="L357" s="23"/>
    </row>
    <row r="358">
      <c r="A358" s="19">
        <v>1002102.0</v>
      </c>
      <c r="B358" s="19" t="s">
        <v>114</v>
      </c>
      <c r="C358" s="19">
        <v>1.0</v>
      </c>
      <c r="D358" s="19" t="str">
        <f>A358 &amp; " - " &amp; B358 &amp; " (" &amp; VLOOKUP(C358, Tbl_ColorMap[],2,false) &amp; ")"</f>
        <v>1002102 - Grand Drizzly Scene (Blue)</v>
      </c>
      <c r="E358" s="23"/>
      <c r="L358" s="23"/>
    </row>
    <row r="359">
      <c r="A359" s="19">
        <v>1002110.0</v>
      </c>
      <c r="B359" s="19" t="s">
        <v>112</v>
      </c>
      <c r="C359" s="19">
        <v>1.0</v>
      </c>
      <c r="D359" s="19" t="str">
        <f>A359 &amp; " - " &amp; B359 &amp; " (" &amp; VLOOKUP(C359, Tbl_ColorMap[],2,false) &amp; ")"</f>
        <v>1002110 - Delicate Drizzly Scene (Blue)</v>
      </c>
      <c r="E359" s="23"/>
      <c r="L359" s="23"/>
    </row>
    <row r="360">
      <c r="A360" s="19">
        <v>1002111.0</v>
      </c>
      <c r="B360" s="19" t="s">
        <v>113</v>
      </c>
      <c r="C360" s="19">
        <v>1.0</v>
      </c>
      <c r="D360" s="19" t="str">
        <f>A360 &amp; " - " &amp; B360 &amp; " (" &amp; VLOOKUP(C360, Tbl_ColorMap[],2,false) &amp; ")"</f>
        <v>1002111 - Polished Drizzly Scene (Blue)</v>
      </c>
      <c r="E360" s="23"/>
      <c r="L360" s="23"/>
    </row>
    <row r="361">
      <c r="A361" s="19">
        <v>1002112.0</v>
      </c>
      <c r="B361" s="19" t="s">
        <v>114</v>
      </c>
      <c r="C361" s="19">
        <v>1.0</v>
      </c>
      <c r="D361" s="19" t="str">
        <f>A361 &amp; " - " &amp; B361 &amp; " (" &amp; VLOOKUP(C361, Tbl_ColorMap[],2,false) &amp; ")"</f>
        <v>1002112 - Grand Drizzly Scene (Blue)</v>
      </c>
      <c r="E361" s="23"/>
      <c r="L361" s="23"/>
    </row>
    <row r="362">
      <c r="A362" s="19">
        <v>1002120.0</v>
      </c>
      <c r="B362" s="19" t="s">
        <v>112</v>
      </c>
      <c r="C362" s="19">
        <v>1.0</v>
      </c>
      <c r="D362" s="19" t="str">
        <f>A362 &amp; " - " &amp; B362 &amp; " (" &amp; VLOOKUP(C362, Tbl_ColorMap[],2,false) &amp; ")"</f>
        <v>1002120 - Delicate Drizzly Scene (Blue)</v>
      </c>
      <c r="E362" s="23"/>
      <c r="L362" s="23"/>
    </row>
    <row r="363">
      <c r="A363" s="19">
        <v>1002121.0</v>
      </c>
      <c r="B363" s="19" t="s">
        <v>113</v>
      </c>
      <c r="C363" s="19">
        <v>1.0</v>
      </c>
      <c r="D363" s="19" t="str">
        <f>A363 &amp; " - " &amp; B363 &amp; " (" &amp; VLOOKUP(C363, Tbl_ColorMap[],2,false) &amp; ")"</f>
        <v>1002121 - Polished Drizzly Scene (Blue)</v>
      </c>
      <c r="E363" s="23"/>
      <c r="L363" s="23"/>
    </row>
    <row r="364">
      <c r="A364" s="19">
        <v>1002122.0</v>
      </c>
      <c r="B364" s="19" t="s">
        <v>114</v>
      </c>
      <c r="C364" s="19">
        <v>1.0</v>
      </c>
      <c r="D364" s="19" t="str">
        <f>A364 &amp; " - " &amp; B364 &amp; " (" &amp; VLOOKUP(C364, Tbl_ColorMap[],2,false) &amp; ")"</f>
        <v>1002122 - Grand Drizzly Scene (Blue)</v>
      </c>
      <c r="E364" s="23"/>
      <c r="L364" s="23"/>
    </row>
    <row r="365">
      <c r="A365" s="19">
        <v>1002200.0</v>
      </c>
      <c r="B365" s="19" t="s">
        <v>115</v>
      </c>
      <c r="C365" s="19">
        <v>2.0</v>
      </c>
      <c r="D365" s="19" t="str">
        <f>A365 &amp; " - " &amp; B365 &amp; " (" &amp; VLOOKUP(C365, Tbl_ColorMap[],2,false) &amp; ")"</f>
        <v>1002200 - Delicate Luminous Scene (Yellow)</v>
      </c>
      <c r="E365" s="23"/>
      <c r="L365" s="23"/>
    </row>
    <row r="366">
      <c r="A366" s="19">
        <v>1002201.0</v>
      </c>
      <c r="B366" s="19" t="s">
        <v>116</v>
      </c>
      <c r="C366" s="19">
        <v>2.0</v>
      </c>
      <c r="D366" s="19" t="str">
        <f>A366 &amp; " - " &amp; B366 &amp; " (" &amp; VLOOKUP(C366, Tbl_ColorMap[],2,false) &amp; ")"</f>
        <v>1002201 - Polished Luminous Scene (Yellow)</v>
      </c>
      <c r="E366" s="23"/>
      <c r="L366" s="23"/>
    </row>
    <row r="367">
      <c r="A367" s="19">
        <v>1002202.0</v>
      </c>
      <c r="B367" s="19" t="s">
        <v>117</v>
      </c>
      <c r="C367" s="19">
        <v>2.0</v>
      </c>
      <c r="D367" s="19" t="str">
        <f>A367 &amp; " - " &amp; B367 &amp; " (" &amp; VLOOKUP(C367, Tbl_ColorMap[],2,false) &amp; ")"</f>
        <v>1002202 - Grand Luminous Scene (Yellow)</v>
      </c>
      <c r="E367" s="23"/>
      <c r="L367" s="23"/>
    </row>
    <row r="368">
      <c r="A368" s="19">
        <v>1002210.0</v>
      </c>
      <c r="B368" s="19" t="s">
        <v>115</v>
      </c>
      <c r="C368" s="19">
        <v>2.0</v>
      </c>
      <c r="D368" s="19" t="str">
        <f>A368 &amp; " - " &amp; B368 &amp; " (" &amp; VLOOKUP(C368, Tbl_ColorMap[],2,false) &amp; ")"</f>
        <v>1002210 - Delicate Luminous Scene (Yellow)</v>
      </c>
      <c r="E368" s="23"/>
      <c r="L368" s="23"/>
    </row>
    <row r="369">
      <c r="A369" s="19">
        <v>1002211.0</v>
      </c>
      <c r="B369" s="19" t="s">
        <v>116</v>
      </c>
      <c r="C369" s="19">
        <v>2.0</v>
      </c>
      <c r="D369" s="19" t="str">
        <f>A369 &amp; " - " &amp; B369 &amp; " (" &amp; VLOOKUP(C369, Tbl_ColorMap[],2,false) &amp; ")"</f>
        <v>1002211 - Polished Luminous Scene (Yellow)</v>
      </c>
      <c r="E369" s="23"/>
      <c r="L369" s="23"/>
    </row>
    <row r="370">
      <c r="A370" s="19">
        <v>1002212.0</v>
      </c>
      <c r="B370" s="19" t="s">
        <v>117</v>
      </c>
      <c r="C370" s="19">
        <v>2.0</v>
      </c>
      <c r="D370" s="19" t="str">
        <f>A370 &amp; " - " &amp; B370 &amp; " (" &amp; VLOOKUP(C370, Tbl_ColorMap[],2,false) &amp; ")"</f>
        <v>1002212 - Grand Luminous Scene (Yellow)</v>
      </c>
      <c r="E370" s="23"/>
      <c r="L370" s="23"/>
    </row>
    <row r="371">
      <c r="A371" s="19">
        <v>1002220.0</v>
      </c>
      <c r="B371" s="19" t="s">
        <v>115</v>
      </c>
      <c r="C371" s="19">
        <v>2.0</v>
      </c>
      <c r="D371" s="19" t="str">
        <f>A371 &amp; " - " &amp; B371 &amp; " (" &amp; VLOOKUP(C371, Tbl_ColorMap[],2,false) &amp; ")"</f>
        <v>1002220 - Delicate Luminous Scene (Yellow)</v>
      </c>
      <c r="E371" s="23"/>
      <c r="L371" s="23"/>
    </row>
    <row r="372">
      <c r="A372" s="19">
        <v>1002221.0</v>
      </c>
      <c r="B372" s="19" t="s">
        <v>116</v>
      </c>
      <c r="C372" s="19">
        <v>2.0</v>
      </c>
      <c r="D372" s="19" t="str">
        <f>A372 &amp; " - " &amp; B372 &amp; " (" &amp; VLOOKUP(C372, Tbl_ColorMap[],2,false) &amp; ")"</f>
        <v>1002221 - Polished Luminous Scene (Yellow)</v>
      </c>
      <c r="E372" s="23"/>
      <c r="L372" s="23"/>
    </row>
    <row r="373">
      <c r="A373" s="19">
        <v>1002222.0</v>
      </c>
      <c r="B373" s="19" t="s">
        <v>117</v>
      </c>
      <c r="C373" s="19">
        <v>2.0</v>
      </c>
      <c r="D373" s="19" t="str">
        <f>A373 &amp; " - " &amp; B373 &amp; " (" &amp; VLOOKUP(C373, Tbl_ColorMap[],2,false) &amp; ")"</f>
        <v>1002222 - Grand Luminous Scene (Yellow)</v>
      </c>
      <c r="E373" s="23"/>
      <c r="L373" s="23"/>
    </row>
    <row r="374">
      <c r="A374" s="19">
        <v>1002300.0</v>
      </c>
      <c r="B374" s="19" t="s">
        <v>118</v>
      </c>
      <c r="C374" s="19">
        <v>3.0</v>
      </c>
      <c r="D374" s="19" t="str">
        <f>A374 &amp; " - " &amp; B374 &amp; " (" &amp; VLOOKUP(C374, Tbl_ColorMap[],2,false) &amp; ")"</f>
        <v>1002300 - Delicate Tranquil Scene (Green)</v>
      </c>
      <c r="E374" s="23"/>
      <c r="L374" s="23"/>
    </row>
    <row r="375">
      <c r="A375" s="19">
        <v>1002301.0</v>
      </c>
      <c r="B375" s="19" t="s">
        <v>119</v>
      </c>
      <c r="C375" s="19">
        <v>3.0</v>
      </c>
      <c r="D375" s="19" t="str">
        <f>A375 &amp; " - " &amp; B375 &amp; " (" &amp; VLOOKUP(C375, Tbl_ColorMap[],2,false) &amp; ")"</f>
        <v>1002301 - Polished Tranquil Scene (Green)</v>
      </c>
      <c r="E375" s="23"/>
      <c r="L375" s="23"/>
    </row>
    <row r="376">
      <c r="A376" s="19">
        <v>1002302.0</v>
      </c>
      <c r="B376" s="19" t="s">
        <v>120</v>
      </c>
      <c r="C376" s="19">
        <v>3.0</v>
      </c>
      <c r="D376" s="19" t="str">
        <f>A376 &amp; " - " &amp; B376 &amp; " (" &amp; VLOOKUP(C376, Tbl_ColorMap[],2,false) &amp; ")"</f>
        <v>1002302 - Grand Tranquil Scene (Green)</v>
      </c>
      <c r="E376" s="23"/>
      <c r="L376" s="23"/>
    </row>
    <row r="377">
      <c r="A377" s="19">
        <v>1002310.0</v>
      </c>
      <c r="B377" s="19" t="s">
        <v>118</v>
      </c>
      <c r="C377" s="19">
        <v>3.0</v>
      </c>
      <c r="D377" s="19" t="str">
        <f>A377 &amp; " - " &amp; B377 &amp; " (" &amp; VLOOKUP(C377, Tbl_ColorMap[],2,false) &amp; ")"</f>
        <v>1002310 - Delicate Tranquil Scene (Green)</v>
      </c>
      <c r="E377" s="23"/>
      <c r="L377" s="23"/>
    </row>
    <row r="378">
      <c r="A378" s="19">
        <v>1002311.0</v>
      </c>
      <c r="B378" s="19" t="s">
        <v>119</v>
      </c>
      <c r="C378" s="19">
        <v>3.0</v>
      </c>
      <c r="D378" s="19" t="str">
        <f>A378 &amp; " - " &amp; B378 &amp; " (" &amp; VLOOKUP(C378, Tbl_ColorMap[],2,false) &amp; ")"</f>
        <v>1002311 - Polished Tranquil Scene (Green)</v>
      </c>
      <c r="E378" s="23"/>
      <c r="L378" s="23"/>
    </row>
    <row r="379">
      <c r="A379" s="19">
        <v>1002312.0</v>
      </c>
      <c r="B379" s="19" t="s">
        <v>120</v>
      </c>
      <c r="C379" s="19">
        <v>3.0</v>
      </c>
      <c r="D379" s="19" t="str">
        <f>A379 &amp; " - " &amp; B379 &amp; " (" &amp; VLOOKUP(C379, Tbl_ColorMap[],2,false) &amp; ")"</f>
        <v>1002312 - Grand Tranquil Scene (Green)</v>
      </c>
      <c r="E379" s="23"/>
      <c r="L379" s="23"/>
    </row>
    <row r="380">
      <c r="A380" s="19">
        <v>1002320.0</v>
      </c>
      <c r="B380" s="19" t="s">
        <v>118</v>
      </c>
      <c r="C380" s="19">
        <v>3.0</v>
      </c>
      <c r="D380" s="19" t="str">
        <f>A380 &amp; " - " &amp; B380 &amp; " (" &amp; VLOOKUP(C380, Tbl_ColorMap[],2,false) &amp; ")"</f>
        <v>1002320 - Delicate Tranquil Scene (Green)</v>
      </c>
      <c r="E380" s="23"/>
      <c r="L380" s="23"/>
    </row>
    <row r="381">
      <c r="A381" s="19">
        <v>1002321.0</v>
      </c>
      <c r="B381" s="19" t="s">
        <v>119</v>
      </c>
      <c r="C381" s="19">
        <v>3.0</v>
      </c>
      <c r="D381" s="19" t="str">
        <f>A381 &amp; " - " &amp; B381 &amp; " (" &amp; VLOOKUP(C381, Tbl_ColorMap[],2,false) &amp; ")"</f>
        <v>1002321 - Polished Tranquil Scene (Green)</v>
      </c>
      <c r="E381" s="23"/>
      <c r="L381" s="23"/>
    </row>
    <row r="382">
      <c r="A382" s="19">
        <v>1002322.0</v>
      </c>
      <c r="B382" s="19" t="s">
        <v>120</v>
      </c>
      <c r="C382" s="19">
        <v>3.0</v>
      </c>
      <c r="D382" s="19" t="str">
        <f>A382 &amp; " - " &amp; B382 &amp; " (" &amp; VLOOKUP(C382, Tbl_ColorMap[],2,false) &amp; ")"</f>
        <v>1002322 - Grand Tranquil Scene (Green)</v>
      </c>
      <c r="E382" s="23"/>
      <c r="L382" s="23"/>
    </row>
    <row r="383">
      <c r="A383" s="19">
        <v>1003000.0</v>
      </c>
      <c r="B383" s="19" t="s">
        <v>109</v>
      </c>
      <c r="C383" s="19">
        <v>0.0</v>
      </c>
      <c r="D383" s="19" t="str">
        <f>A383 &amp; " - " &amp; B383 &amp; " (" &amp; VLOOKUP(C383, Tbl_ColorMap[],2,false) &amp; ")"</f>
        <v>1003000 - Delicate Burning Scene (Red)</v>
      </c>
      <c r="E383" s="23"/>
      <c r="L383" s="23"/>
    </row>
    <row r="384">
      <c r="A384" s="19">
        <v>1003001.0</v>
      </c>
      <c r="B384" s="19" t="s">
        <v>110</v>
      </c>
      <c r="C384" s="19">
        <v>0.0</v>
      </c>
      <c r="D384" s="19" t="str">
        <f>A384 &amp; " - " &amp; B384 &amp; " (" &amp; VLOOKUP(C384, Tbl_ColorMap[],2,false) &amp; ")"</f>
        <v>1003001 - Polished Burning Scene (Red)</v>
      </c>
      <c r="E384" s="23"/>
      <c r="L384" s="23"/>
    </row>
    <row r="385">
      <c r="A385" s="19">
        <v>1003002.0</v>
      </c>
      <c r="B385" s="19" t="s">
        <v>111</v>
      </c>
      <c r="C385" s="19">
        <v>0.0</v>
      </c>
      <c r="D385" s="19" t="str">
        <f>A385 &amp; " - " &amp; B385 &amp; " (" &amp; VLOOKUP(C385, Tbl_ColorMap[],2,false) &amp; ")"</f>
        <v>1003002 - Grand Burning Scene (Red)</v>
      </c>
      <c r="E385" s="23"/>
      <c r="L385" s="23"/>
    </row>
    <row r="386">
      <c r="A386" s="19">
        <v>1003010.0</v>
      </c>
      <c r="B386" s="19" t="s">
        <v>109</v>
      </c>
      <c r="C386" s="19">
        <v>0.0</v>
      </c>
      <c r="D386" s="19" t="str">
        <f>A386 &amp; " - " &amp; B386 &amp; " (" &amp; VLOOKUP(C386, Tbl_ColorMap[],2,false) &amp; ")"</f>
        <v>1003010 - Delicate Burning Scene (Red)</v>
      </c>
      <c r="E386" s="23"/>
      <c r="L386" s="23"/>
    </row>
    <row r="387">
      <c r="A387" s="19">
        <v>1003011.0</v>
      </c>
      <c r="B387" s="19" t="s">
        <v>110</v>
      </c>
      <c r="C387" s="19">
        <v>0.0</v>
      </c>
      <c r="D387" s="19" t="str">
        <f>A387 &amp; " - " &amp; B387 &amp; " (" &amp; VLOOKUP(C387, Tbl_ColorMap[],2,false) &amp; ")"</f>
        <v>1003011 - Polished Burning Scene (Red)</v>
      </c>
      <c r="E387" s="23"/>
      <c r="L387" s="23"/>
    </row>
    <row r="388">
      <c r="A388" s="19">
        <v>1003012.0</v>
      </c>
      <c r="B388" s="19" t="s">
        <v>111</v>
      </c>
      <c r="C388" s="19">
        <v>0.0</v>
      </c>
      <c r="D388" s="19" t="str">
        <f>A388 &amp; " - " &amp; B388 &amp; " (" &amp; VLOOKUP(C388, Tbl_ColorMap[],2,false) &amp; ")"</f>
        <v>1003012 - Grand Burning Scene (Red)</v>
      </c>
      <c r="E388" s="23"/>
      <c r="L388" s="23"/>
    </row>
    <row r="389">
      <c r="A389" s="19">
        <v>1003020.0</v>
      </c>
      <c r="B389" s="19" t="s">
        <v>109</v>
      </c>
      <c r="C389" s="19">
        <v>0.0</v>
      </c>
      <c r="D389" s="19" t="str">
        <f>A389 &amp; " - " &amp; B389 &amp; " (" &amp; VLOOKUP(C389, Tbl_ColorMap[],2,false) &amp; ")"</f>
        <v>1003020 - Delicate Burning Scene (Red)</v>
      </c>
      <c r="E389" s="23"/>
      <c r="L389" s="23"/>
    </row>
    <row r="390">
      <c r="A390" s="19">
        <v>1003021.0</v>
      </c>
      <c r="B390" s="19" t="s">
        <v>110</v>
      </c>
      <c r="C390" s="19">
        <v>0.0</v>
      </c>
      <c r="D390" s="19" t="str">
        <f>A390 &amp; " - " &amp; B390 &amp; " (" &amp; VLOOKUP(C390, Tbl_ColorMap[],2,false) &amp; ")"</f>
        <v>1003021 - Polished Burning Scene (Red)</v>
      </c>
      <c r="E390" s="23"/>
      <c r="L390" s="23"/>
    </row>
    <row r="391">
      <c r="A391" s="19">
        <v>1003022.0</v>
      </c>
      <c r="B391" s="19" t="s">
        <v>111</v>
      </c>
      <c r="C391" s="19">
        <v>0.0</v>
      </c>
      <c r="D391" s="19" t="str">
        <f>A391 &amp; " - " &amp; B391 &amp; " (" &amp; VLOOKUP(C391, Tbl_ColorMap[],2,false) &amp; ")"</f>
        <v>1003022 - Grand Burning Scene (Red)</v>
      </c>
      <c r="E391" s="23"/>
      <c r="L391" s="23"/>
    </row>
    <row r="392">
      <c r="A392" s="19">
        <v>1003100.0</v>
      </c>
      <c r="B392" s="19" t="s">
        <v>112</v>
      </c>
      <c r="C392" s="19">
        <v>1.0</v>
      </c>
      <c r="D392" s="19" t="str">
        <f>A392 &amp; " - " &amp; B392 &amp; " (" &amp; VLOOKUP(C392, Tbl_ColorMap[],2,false) &amp; ")"</f>
        <v>1003100 - Delicate Drizzly Scene (Blue)</v>
      </c>
      <c r="E392" s="23"/>
      <c r="L392" s="23"/>
    </row>
    <row r="393">
      <c r="A393" s="19">
        <v>1003101.0</v>
      </c>
      <c r="B393" s="19" t="s">
        <v>113</v>
      </c>
      <c r="C393" s="19">
        <v>1.0</v>
      </c>
      <c r="D393" s="19" t="str">
        <f>A393 &amp; " - " &amp; B393 &amp; " (" &amp; VLOOKUP(C393, Tbl_ColorMap[],2,false) &amp; ")"</f>
        <v>1003101 - Polished Drizzly Scene (Blue)</v>
      </c>
      <c r="E393" s="23"/>
      <c r="L393" s="23"/>
    </row>
    <row r="394">
      <c r="A394" s="19">
        <v>1003102.0</v>
      </c>
      <c r="B394" s="19" t="s">
        <v>114</v>
      </c>
      <c r="C394" s="19">
        <v>1.0</v>
      </c>
      <c r="D394" s="19" t="str">
        <f>A394 &amp; " - " &amp; B394 &amp; " (" &amp; VLOOKUP(C394, Tbl_ColorMap[],2,false) &amp; ")"</f>
        <v>1003102 - Grand Drizzly Scene (Blue)</v>
      </c>
      <c r="E394" s="23"/>
      <c r="L394" s="23"/>
    </row>
    <row r="395">
      <c r="A395" s="19">
        <v>1003110.0</v>
      </c>
      <c r="B395" s="19" t="s">
        <v>112</v>
      </c>
      <c r="C395" s="19">
        <v>1.0</v>
      </c>
      <c r="D395" s="19" t="str">
        <f>A395 &amp; " - " &amp; B395 &amp; " (" &amp; VLOOKUP(C395, Tbl_ColorMap[],2,false) &amp; ")"</f>
        <v>1003110 - Delicate Drizzly Scene (Blue)</v>
      </c>
      <c r="E395" s="23"/>
      <c r="L395" s="23"/>
    </row>
    <row r="396">
      <c r="A396" s="19">
        <v>1003111.0</v>
      </c>
      <c r="B396" s="19" t="s">
        <v>113</v>
      </c>
      <c r="C396" s="19">
        <v>1.0</v>
      </c>
      <c r="D396" s="19" t="str">
        <f>A396 &amp; " - " &amp; B396 &amp; " (" &amp; VLOOKUP(C396, Tbl_ColorMap[],2,false) &amp; ")"</f>
        <v>1003111 - Polished Drizzly Scene (Blue)</v>
      </c>
      <c r="E396" s="23"/>
      <c r="L396" s="23"/>
    </row>
    <row r="397">
      <c r="A397" s="19">
        <v>1003112.0</v>
      </c>
      <c r="B397" s="19" t="s">
        <v>114</v>
      </c>
      <c r="C397" s="19">
        <v>1.0</v>
      </c>
      <c r="D397" s="19" t="str">
        <f>A397 &amp; " - " &amp; B397 &amp; " (" &amp; VLOOKUP(C397, Tbl_ColorMap[],2,false) &amp; ")"</f>
        <v>1003112 - Grand Drizzly Scene (Blue)</v>
      </c>
      <c r="E397" s="23"/>
      <c r="L397" s="23"/>
    </row>
    <row r="398">
      <c r="A398" s="19">
        <v>1003120.0</v>
      </c>
      <c r="B398" s="19" t="s">
        <v>112</v>
      </c>
      <c r="C398" s="19">
        <v>1.0</v>
      </c>
      <c r="D398" s="19" t="str">
        <f>A398 &amp; " - " &amp; B398 &amp; " (" &amp; VLOOKUP(C398, Tbl_ColorMap[],2,false) &amp; ")"</f>
        <v>1003120 - Delicate Drizzly Scene (Blue)</v>
      </c>
      <c r="E398" s="23"/>
      <c r="L398" s="23"/>
    </row>
    <row r="399">
      <c r="A399" s="19">
        <v>1003121.0</v>
      </c>
      <c r="B399" s="19" t="s">
        <v>113</v>
      </c>
      <c r="C399" s="19">
        <v>1.0</v>
      </c>
      <c r="D399" s="19" t="str">
        <f>A399 &amp; " - " &amp; B399 &amp; " (" &amp; VLOOKUP(C399, Tbl_ColorMap[],2,false) &amp; ")"</f>
        <v>1003121 - Polished Drizzly Scene (Blue)</v>
      </c>
      <c r="E399" s="23"/>
      <c r="L399" s="23"/>
    </row>
    <row r="400">
      <c r="A400" s="19">
        <v>1003122.0</v>
      </c>
      <c r="B400" s="19" t="s">
        <v>114</v>
      </c>
      <c r="C400" s="19">
        <v>1.0</v>
      </c>
      <c r="D400" s="19" t="str">
        <f>A400 &amp; " - " &amp; B400 &amp; " (" &amp; VLOOKUP(C400, Tbl_ColorMap[],2,false) &amp; ")"</f>
        <v>1003122 - Grand Drizzly Scene (Blue)</v>
      </c>
      <c r="E400" s="23"/>
      <c r="L400" s="23"/>
    </row>
    <row r="401">
      <c r="A401" s="19">
        <v>1003200.0</v>
      </c>
      <c r="B401" s="19" t="s">
        <v>115</v>
      </c>
      <c r="C401" s="19">
        <v>2.0</v>
      </c>
      <c r="D401" s="19" t="str">
        <f>A401 &amp; " - " &amp; B401 &amp; " (" &amp; VLOOKUP(C401, Tbl_ColorMap[],2,false) &amp; ")"</f>
        <v>1003200 - Delicate Luminous Scene (Yellow)</v>
      </c>
      <c r="E401" s="23"/>
      <c r="L401" s="23"/>
    </row>
    <row r="402">
      <c r="A402" s="19">
        <v>1003201.0</v>
      </c>
      <c r="B402" s="19" t="s">
        <v>116</v>
      </c>
      <c r="C402" s="19">
        <v>2.0</v>
      </c>
      <c r="D402" s="19" t="str">
        <f>A402 &amp; " - " &amp; B402 &amp; " (" &amp; VLOOKUP(C402, Tbl_ColorMap[],2,false) &amp; ")"</f>
        <v>1003201 - Polished Luminous Scene (Yellow)</v>
      </c>
      <c r="E402" s="23"/>
      <c r="L402" s="23"/>
    </row>
    <row r="403">
      <c r="A403" s="19">
        <v>1003202.0</v>
      </c>
      <c r="B403" s="19" t="s">
        <v>117</v>
      </c>
      <c r="C403" s="19">
        <v>2.0</v>
      </c>
      <c r="D403" s="19" t="str">
        <f>A403 &amp; " - " &amp; B403 &amp; " (" &amp; VLOOKUP(C403, Tbl_ColorMap[],2,false) &amp; ")"</f>
        <v>1003202 - Grand Luminous Scene (Yellow)</v>
      </c>
      <c r="E403" s="23"/>
      <c r="L403" s="23"/>
    </row>
    <row r="404">
      <c r="A404" s="19">
        <v>1003210.0</v>
      </c>
      <c r="B404" s="19" t="s">
        <v>115</v>
      </c>
      <c r="C404" s="19">
        <v>2.0</v>
      </c>
      <c r="D404" s="19" t="str">
        <f>A404 &amp; " - " &amp; B404 &amp; " (" &amp; VLOOKUP(C404, Tbl_ColorMap[],2,false) &amp; ")"</f>
        <v>1003210 - Delicate Luminous Scene (Yellow)</v>
      </c>
      <c r="E404" s="23"/>
      <c r="L404" s="23"/>
    </row>
    <row r="405">
      <c r="A405" s="19">
        <v>1003211.0</v>
      </c>
      <c r="B405" s="19" t="s">
        <v>116</v>
      </c>
      <c r="C405" s="19">
        <v>2.0</v>
      </c>
      <c r="D405" s="19" t="str">
        <f>A405 &amp; " - " &amp; B405 &amp; " (" &amp; VLOOKUP(C405, Tbl_ColorMap[],2,false) &amp; ")"</f>
        <v>1003211 - Polished Luminous Scene (Yellow)</v>
      </c>
      <c r="E405" s="23"/>
      <c r="L405" s="23"/>
    </row>
    <row r="406">
      <c r="A406" s="19">
        <v>1003212.0</v>
      </c>
      <c r="B406" s="19" t="s">
        <v>117</v>
      </c>
      <c r="C406" s="19">
        <v>2.0</v>
      </c>
      <c r="D406" s="19" t="str">
        <f>A406 &amp; " - " &amp; B406 &amp; " (" &amp; VLOOKUP(C406, Tbl_ColorMap[],2,false) &amp; ")"</f>
        <v>1003212 - Grand Luminous Scene (Yellow)</v>
      </c>
      <c r="E406" s="23"/>
      <c r="L406" s="23"/>
    </row>
    <row r="407">
      <c r="A407" s="19">
        <v>1003220.0</v>
      </c>
      <c r="B407" s="19" t="s">
        <v>115</v>
      </c>
      <c r="C407" s="19">
        <v>2.0</v>
      </c>
      <c r="D407" s="19" t="str">
        <f>A407 &amp; " - " &amp; B407 &amp; " (" &amp; VLOOKUP(C407, Tbl_ColorMap[],2,false) &amp; ")"</f>
        <v>1003220 - Delicate Luminous Scene (Yellow)</v>
      </c>
      <c r="E407" s="23"/>
      <c r="L407" s="23"/>
    </row>
    <row r="408">
      <c r="A408" s="19">
        <v>1003221.0</v>
      </c>
      <c r="B408" s="19" t="s">
        <v>116</v>
      </c>
      <c r="C408" s="19">
        <v>2.0</v>
      </c>
      <c r="D408" s="19" t="str">
        <f>A408 &amp; " - " &amp; B408 &amp; " (" &amp; VLOOKUP(C408, Tbl_ColorMap[],2,false) &amp; ")"</f>
        <v>1003221 - Polished Luminous Scene (Yellow)</v>
      </c>
      <c r="E408" s="23"/>
      <c r="L408" s="23"/>
    </row>
    <row r="409">
      <c r="A409" s="19">
        <v>1003222.0</v>
      </c>
      <c r="B409" s="19" t="s">
        <v>117</v>
      </c>
      <c r="C409" s="19">
        <v>2.0</v>
      </c>
      <c r="D409" s="19" t="str">
        <f>A409 &amp; " - " &amp; B409 &amp; " (" &amp; VLOOKUP(C409, Tbl_ColorMap[],2,false) &amp; ")"</f>
        <v>1003222 - Grand Luminous Scene (Yellow)</v>
      </c>
      <c r="E409" s="23"/>
      <c r="L409" s="23"/>
    </row>
    <row r="410">
      <c r="A410" s="19">
        <v>1003300.0</v>
      </c>
      <c r="B410" s="19" t="s">
        <v>118</v>
      </c>
      <c r="C410" s="19">
        <v>3.0</v>
      </c>
      <c r="D410" s="19" t="str">
        <f>A410 &amp; " - " &amp; B410 &amp; " (" &amp; VLOOKUP(C410, Tbl_ColorMap[],2,false) &amp; ")"</f>
        <v>1003300 - Delicate Tranquil Scene (Green)</v>
      </c>
      <c r="E410" s="23"/>
      <c r="L410" s="23"/>
    </row>
    <row r="411">
      <c r="A411" s="19">
        <v>1003301.0</v>
      </c>
      <c r="B411" s="19" t="s">
        <v>119</v>
      </c>
      <c r="C411" s="19">
        <v>3.0</v>
      </c>
      <c r="D411" s="19" t="str">
        <f>A411 &amp; " - " &amp; B411 &amp; " (" &amp; VLOOKUP(C411, Tbl_ColorMap[],2,false) &amp; ")"</f>
        <v>1003301 - Polished Tranquil Scene (Green)</v>
      </c>
      <c r="E411" s="23"/>
      <c r="L411" s="23"/>
    </row>
    <row r="412">
      <c r="A412" s="19">
        <v>1003302.0</v>
      </c>
      <c r="B412" s="19" t="s">
        <v>120</v>
      </c>
      <c r="C412" s="19">
        <v>3.0</v>
      </c>
      <c r="D412" s="19" t="str">
        <f>A412 &amp; " - " &amp; B412 &amp; " (" &amp; VLOOKUP(C412, Tbl_ColorMap[],2,false) &amp; ")"</f>
        <v>1003302 - Grand Tranquil Scene (Green)</v>
      </c>
      <c r="E412" s="23"/>
      <c r="L412" s="23"/>
    </row>
    <row r="413">
      <c r="A413" s="19">
        <v>1003310.0</v>
      </c>
      <c r="B413" s="19" t="s">
        <v>118</v>
      </c>
      <c r="C413" s="19">
        <v>3.0</v>
      </c>
      <c r="D413" s="19" t="str">
        <f>A413 &amp; " - " &amp; B413 &amp; " (" &amp; VLOOKUP(C413, Tbl_ColorMap[],2,false) &amp; ")"</f>
        <v>1003310 - Delicate Tranquil Scene (Green)</v>
      </c>
      <c r="E413" s="23"/>
      <c r="L413" s="23"/>
    </row>
    <row r="414">
      <c r="A414" s="19">
        <v>1003311.0</v>
      </c>
      <c r="B414" s="19" t="s">
        <v>119</v>
      </c>
      <c r="C414" s="19">
        <v>3.0</v>
      </c>
      <c r="D414" s="19" t="str">
        <f>A414 &amp; " - " &amp; B414 &amp; " (" &amp; VLOOKUP(C414, Tbl_ColorMap[],2,false) &amp; ")"</f>
        <v>1003311 - Polished Tranquil Scene (Green)</v>
      </c>
      <c r="E414" s="23"/>
      <c r="L414" s="23"/>
    </row>
    <row r="415">
      <c r="A415" s="19">
        <v>1003312.0</v>
      </c>
      <c r="B415" s="19" t="s">
        <v>120</v>
      </c>
      <c r="C415" s="19">
        <v>3.0</v>
      </c>
      <c r="D415" s="19" t="str">
        <f>A415 &amp; " - " &amp; B415 &amp; " (" &amp; VLOOKUP(C415, Tbl_ColorMap[],2,false) &amp; ")"</f>
        <v>1003312 - Grand Tranquil Scene (Green)</v>
      </c>
      <c r="E415" s="23"/>
      <c r="L415" s="23"/>
    </row>
    <row r="416">
      <c r="A416" s="19">
        <v>1003320.0</v>
      </c>
      <c r="B416" s="19" t="s">
        <v>118</v>
      </c>
      <c r="C416" s="19">
        <v>3.0</v>
      </c>
      <c r="D416" s="19" t="str">
        <f>A416 &amp; " - " &amp; B416 &amp; " (" &amp; VLOOKUP(C416, Tbl_ColorMap[],2,false) &amp; ")"</f>
        <v>1003320 - Delicate Tranquil Scene (Green)</v>
      </c>
      <c r="E416" s="23"/>
      <c r="L416" s="23"/>
    </row>
    <row r="417">
      <c r="A417" s="19">
        <v>1003321.0</v>
      </c>
      <c r="B417" s="19" t="s">
        <v>119</v>
      </c>
      <c r="C417" s="19">
        <v>3.0</v>
      </c>
      <c r="D417" s="19" t="str">
        <f>A417 &amp; " - " &amp; B417 &amp; " (" &amp; VLOOKUP(C417, Tbl_ColorMap[],2,false) &amp; ")"</f>
        <v>1003321 - Polished Tranquil Scene (Green)</v>
      </c>
      <c r="E417" s="23"/>
      <c r="L417" s="23"/>
    </row>
    <row r="418">
      <c r="A418" s="19">
        <v>1003322.0</v>
      </c>
      <c r="B418" s="19" t="s">
        <v>120</v>
      </c>
      <c r="C418" s="19">
        <v>3.0</v>
      </c>
      <c r="D418" s="19" t="str">
        <f>A418 &amp; " - " &amp; B418 &amp; " (" &amp; VLOOKUP(C418, Tbl_ColorMap[],2,false) &amp; ")"</f>
        <v>1003322 - Grand Tranquil Scene (Green)</v>
      </c>
      <c r="E418" s="23"/>
      <c r="L418" s="23"/>
    </row>
    <row r="419">
      <c r="A419" s="19">
        <v>1004000.0</v>
      </c>
      <c r="B419" s="19" t="s">
        <v>109</v>
      </c>
      <c r="C419" s="19">
        <v>0.0</v>
      </c>
      <c r="D419" s="19" t="str">
        <f>A419 &amp; " - " &amp; B419 &amp; " (" &amp; VLOOKUP(C419, Tbl_ColorMap[],2,false) &amp; ")"</f>
        <v>1004000 - Delicate Burning Scene (Red)</v>
      </c>
      <c r="E419" s="23"/>
      <c r="L419" s="23"/>
    </row>
    <row r="420">
      <c r="A420" s="19">
        <v>1004001.0</v>
      </c>
      <c r="B420" s="19" t="s">
        <v>110</v>
      </c>
      <c r="C420" s="19">
        <v>0.0</v>
      </c>
      <c r="D420" s="19" t="str">
        <f>A420 &amp; " - " &amp; B420 &amp; " (" &amp; VLOOKUP(C420, Tbl_ColorMap[],2,false) &amp; ")"</f>
        <v>1004001 - Polished Burning Scene (Red)</v>
      </c>
      <c r="E420" s="23"/>
      <c r="L420" s="23"/>
    </row>
    <row r="421">
      <c r="A421" s="19">
        <v>1004002.0</v>
      </c>
      <c r="B421" s="19" t="s">
        <v>111</v>
      </c>
      <c r="C421" s="19">
        <v>0.0</v>
      </c>
      <c r="D421" s="19" t="str">
        <f>A421 &amp; " - " &amp; B421 &amp; " (" &amp; VLOOKUP(C421, Tbl_ColorMap[],2,false) &amp; ")"</f>
        <v>1004002 - Grand Burning Scene (Red)</v>
      </c>
      <c r="E421" s="23"/>
      <c r="L421" s="23"/>
    </row>
    <row r="422">
      <c r="A422" s="19">
        <v>1004010.0</v>
      </c>
      <c r="B422" s="19" t="s">
        <v>109</v>
      </c>
      <c r="C422" s="19">
        <v>0.0</v>
      </c>
      <c r="D422" s="19" t="str">
        <f>A422 &amp; " - " &amp; B422 &amp; " (" &amp; VLOOKUP(C422, Tbl_ColorMap[],2,false) &amp; ")"</f>
        <v>1004010 - Delicate Burning Scene (Red)</v>
      </c>
      <c r="E422" s="23"/>
      <c r="L422" s="23"/>
    </row>
    <row r="423">
      <c r="A423" s="19">
        <v>1004011.0</v>
      </c>
      <c r="B423" s="19" t="s">
        <v>110</v>
      </c>
      <c r="C423" s="19">
        <v>0.0</v>
      </c>
      <c r="D423" s="19" t="str">
        <f>A423 &amp; " - " &amp; B423 &amp; " (" &amp; VLOOKUP(C423, Tbl_ColorMap[],2,false) &amp; ")"</f>
        <v>1004011 - Polished Burning Scene (Red)</v>
      </c>
      <c r="E423" s="23"/>
      <c r="L423" s="23"/>
    </row>
    <row r="424">
      <c r="A424" s="19">
        <v>1004012.0</v>
      </c>
      <c r="B424" s="19" t="s">
        <v>111</v>
      </c>
      <c r="C424" s="19">
        <v>0.0</v>
      </c>
      <c r="D424" s="19" t="str">
        <f>A424 &amp; " - " &amp; B424 &amp; " (" &amp; VLOOKUP(C424, Tbl_ColorMap[],2,false) &amp; ")"</f>
        <v>1004012 - Grand Burning Scene (Red)</v>
      </c>
      <c r="E424" s="23"/>
      <c r="L424" s="23"/>
    </row>
    <row r="425">
      <c r="A425" s="19">
        <v>1004020.0</v>
      </c>
      <c r="B425" s="19" t="s">
        <v>109</v>
      </c>
      <c r="C425" s="19">
        <v>0.0</v>
      </c>
      <c r="D425" s="19" t="str">
        <f>A425 &amp; " - " &amp; B425 &amp; " (" &amp; VLOOKUP(C425, Tbl_ColorMap[],2,false) &amp; ")"</f>
        <v>1004020 - Delicate Burning Scene (Red)</v>
      </c>
      <c r="E425" s="23"/>
      <c r="L425" s="23"/>
    </row>
    <row r="426">
      <c r="A426" s="19">
        <v>1004021.0</v>
      </c>
      <c r="B426" s="19" t="s">
        <v>110</v>
      </c>
      <c r="C426" s="19">
        <v>0.0</v>
      </c>
      <c r="D426" s="19" t="str">
        <f>A426 &amp; " - " &amp; B426 &amp; " (" &amp; VLOOKUP(C426, Tbl_ColorMap[],2,false) &amp; ")"</f>
        <v>1004021 - Polished Burning Scene (Red)</v>
      </c>
      <c r="E426" s="23"/>
      <c r="L426" s="23"/>
    </row>
    <row r="427">
      <c r="A427" s="19">
        <v>1004022.0</v>
      </c>
      <c r="B427" s="19" t="s">
        <v>111</v>
      </c>
      <c r="C427" s="19">
        <v>0.0</v>
      </c>
      <c r="D427" s="19" t="str">
        <f>A427 &amp; " - " &amp; B427 &amp; " (" &amp; VLOOKUP(C427, Tbl_ColorMap[],2,false) &amp; ")"</f>
        <v>1004022 - Grand Burning Scene (Red)</v>
      </c>
      <c r="E427" s="23"/>
      <c r="L427" s="23"/>
    </row>
    <row r="428">
      <c r="A428" s="19">
        <v>1004100.0</v>
      </c>
      <c r="B428" s="19" t="s">
        <v>112</v>
      </c>
      <c r="C428" s="19">
        <v>1.0</v>
      </c>
      <c r="D428" s="19" t="str">
        <f>A428 &amp; " - " &amp; B428 &amp; " (" &amp; VLOOKUP(C428, Tbl_ColorMap[],2,false) &amp; ")"</f>
        <v>1004100 - Delicate Drizzly Scene (Blue)</v>
      </c>
      <c r="E428" s="23"/>
      <c r="L428" s="23"/>
    </row>
    <row r="429">
      <c r="A429" s="19">
        <v>1004101.0</v>
      </c>
      <c r="B429" s="19" t="s">
        <v>113</v>
      </c>
      <c r="C429" s="19">
        <v>1.0</v>
      </c>
      <c r="D429" s="19" t="str">
        <f>A429 &amp; " - " &amp; B429 &amp; " (" &amp; VLOOKUP(C429, Tbl_ColorMap[],2,false) &amp; ")"</f>
        <v>1004101 - Polished Drizzly Scene (Blue)</v>
      </c>
      <c r="E429" s="23"/>
      <c r="L429" s="23"/>
    </row>
    <row r="430">
      <c r="A430" s="19">
        <v>1004102.0</v>
      </c>
      <c r="B430" s="19" t="s">
        <v>114</v>
      </c>
      <c r="C430" s="19">
        <v>1.0</v>
      </c>
      <c r="D430" s="19" t="str">
        <f>A430 &amp; " - " &amp; B430 &amp; " (" &amp; VLOOKUP(C430, Tbl_ColorMap[],2,false) &amp; ")"</f>
        <v>1004102 - Grand Drizzly Scene (Blue)</v>
      </c>
      <c r="E430" s="23"/>
      <c r="L430" s="23"/>
    </row>
    <row r="431">
      <c r="A431" s="19">
        <v>1004110.0</v>
      </c>
      <c r="B431" s="19" t="s">
        <v>112</v>
      </c>
      <c r="C431" s="19">
        <v>1.0</v>
      </c>
      <c r="D431" s="19" t="str">
        <f>A431 &amp; " - " &amp; B431 &amp; " (" &amp; VLOOKUP(C431, Tbl_ColorMap[],2,false) &amp; ")"</f>
        <v>1004110 - Delicate Drizzly Scene (Blue)</v>
      </c>
      <c r="E431" s="23"/>
      <c r="L431" s="23"/>
    </row>
    <row r="432">
      <c r="A432" s="19">
        <v>1004111.0</v>
      </c>
      <c r="B432" s="19" t="s">
        <v>113</v>
      </c>
      <c r="C432" s="19">
        <v>1.0</v>
      </c>
      <c r="D432" s="19" t="str">
        <f>A432 &amp; " - " &amp; B432 &amp; " (" &amp; VLOOKUP(C432, Tbl_ColorMap[],2,false) &amp; ")"</f>
        <v>1004111 - Polished Drizzly Scene (Blue)</v>
      </c>
      <c r="E432" s="23"/>
      <c r="L432" s="23"/>
    </row>
    <row r="433">
      <c r="A433" s="19">
        <v>1004112.0</v>
      </c>
      <c r="B433" s="19" t="s">
        <v>114</v>
      </c>
      <c r="C433" s="19">
        <v>1.0</v>
      </c>
      <c r="D433" s="19" t="str">
        <f>A433 &amp; " - " &amp; B433 &amp; " (" &amp; VLOOKUP(C433, Tbl_ColorMap[],2,false) &amp; ")"</f>
        <v>1004112 - Grand Drizzly Scene (Blue)</v>
      </c>
      <c r="E433" s="23"/>
      <c r="L433" s="23"/>
    </row>
    <row r="434">
      <c r="A434" s="19">
        <v>1004120.0</v>
      </c>
      <c r="B434" s="19" t="s">
        <v>112</v>
      </c>
      <c r="C434" s="19">
        <v>1.0</v>
      </c>
      <c r="D434" s="19" t="str">
        <f>A434 &amp; " - " &amp; B434 &amp; " (" &amp; VLOOKUP(C434, Tbl_ColorMap[],2,false) &amp; ")"</f>
        <v>1004120 - Delicate Drizzly Scene (Blue)</v>
      </c>
      <c r="E434" s="23"/>
      <c r="L434" s="23"/>
    </row>
    <row r="435">
      <c r="A435" s="19">
        <v>1004121.0</v>
      </c>
      <c r="B435" s="19" t="s">
        <v>113</v>
      </c>
      <c r="C435" s="19">
        <v>1.0</v>
      </c>
      <c r="D435" s="19" t="str">
        <f>A435 &amp; " - " &amp; B435 &amp; " (" &amp; VLOOKUP(C435, Tbl_ColorMap[],2,false) &amp; ")"</f>
        <v>1004121 - Polished Drizzly Scene (Blue)</v>
      </c>
      <c r="E435" s="23"/>
      <c r="L435" s="23"/>
    </row>
    <row r="436">
      <c r="A436" s="19">
        <v>1004122.0</v>
      </c>
      <c r="B436" s="19" t="s">
        <v>114</v>
      </c>
      <c r="C436" s="19">
        <v>1.0</v>
      </c>
      <c r="D436" s="19" t="str">
        <f>A436 &amp; " - " &amp; B436 &amp; " (" &amp; VLOOKUP(C436, Tbl_ColorMap[],2,false) &amp; ")"</f>
        <v>1004122 - Grand Drizzly Scene (Blue)</v>
      </c>
      <c r="E436" s="23"/>
      <c r="L436" s="23"/>
    </row>
    <row r="437">
      <c r="A437" s="19">
        <v>1004200.0</v>
      </c>
      <c r="B437" s="19" t="s">
        <v>115</v>
      </c>
      <c r="C437" s="19">
        <v>2.0</v>
      </c>
      <c r="D437" s="19" t="str">
        <f>A437 &amp; " - " &amp; B437 &amp; " (" &amp; VLOOKUP(C437, Tbl_ColorMap[],2,false) &amp; ")"</f>
        <v>1004200 - Delicate Luminous Scene (Yellow)</v>
      </c>
      <c r="E437" s="23"/>
      <c r="L437" s="23"/>
    </row>
    <row r="438">
      <c r="A438" s="19">
        <v>1004201.0</v>
      </c>
      <c r="B438" s="19" t="s">
        <v>116</v>
      </c>
      <c r="C438" s="19">
        <v>2.0</v>
      </c>
      <c r="D438" s="19" t="str">
        <f>A438 &amp; " - " &amp; B438 &amp; " (" &amp; VLOOKUP(C438, Tbl_ColorMap[],2,false) &amp; ")"</f>
        <v>1004201 - Polished Luminous Scene (Yellow)</v>
      </c>
      <c r="E438" s="23"/>
      <c r="L438" s="23"/>
    </row>
    <row r="439">
      <c r="A439" s="19">
        <v>1004202.0</v>
      </c>
      <c r="B439" s="19" t="s">
        <v>117</v>
      </c>
      <c r="C439" s="19">
        <v>2.0</v>
      </c>
      <c r="D439" s="19" t="str">
        <f>A439 &amp; " - " &amp; B439 &amp; " (" &amp; VLOOKUP(C439, Tbl_ColorMap[],2,false) &amp; ")"</f>
        <v>1004202 - Grand Luminous Scene (Yellow)</v>
      </c>
      <c r="E439" s="23"/>
      <c r="L439" s="23"/>
    </row>
    <row r="440">
      <c r="A440" s="19">
        <v>1004210.0</v>
      </c>
      <c r="B440" s="19" t="s">
        <v>115</v>
      </c>
      <c r="C440" s="19">
        <v>2.0</v>
      </c>
      <c r="D440" s="19" t="str">
        <f>A440 &amp; " - " &amp; B440 &amp; " (" &amp; VLOOKUP(C440, Tbl_ColorMap[],2,false) &amp; ")"</f>
        <v>1004210 - Delicate Luminous Scene (Yellow)</v>
      </c>
      <c r="E440" s="23"/>
      <c r="L440" s="23"/>
    </row>
    <row r="441">
      <c r="A441" s="19">
        <v>1004211.0</v>
      </c>
      <c r="B441" s="19" t="s">
        <v>116</v>
      </c>
      <c r="C441" s="19">
        <v>2.0</v>
      </c>
      <c r="D441" s="19" t="str">
        <f>A441 &amp; " - " &amp; B441 &amp; " (" &amp; VLOOKUP(C441, Tbl_ColorMap[],2,false) &amp; ")"</f>
        <v>1004211 - Polished Luminous Scene (Yellow)</v>
      </c>
      <c r="E441" s="23"/>
      <c r="L441" s="23"/>
    </row>
    <row r="442">
      <c r="A442" s="19">
        <v>1004212.0</v>
      </c>
      <c r="B442" s="19" t="s">
        <v>117</v>
      </c>
      <c r="C442" s="19">
        <v>2.0</v>
      </c>
      <c r="D442" s="19" t="str">
        <f>A442 &amp; " - " &amp; B442 &amp; " (" &amp; VLOOKUP(C442, Tbl_ColorMap[],2,false) &amp; ")"</f>
        <v>1004212 - Grand Luminous Scene (Yellow)</v>
      </c>
      <c r="E442" s="23"/>
      <c r="L442" s="23"/>
    </row>
    <row r="443">
      <c r="A443" s="19">
        <v>1004220.0</v>
      </c>
      <c r="B443" s="19" t="s">
        <v>115</v>
      </c>
      <c r="C443" s="19">
        <v>2.0</v>
      </c>
      <c r="D443" s="19" t="str">
        <f>A443 &amp; " - " &amp; B443 &amp; " (" &amp; VLOOKUP(C443, Tbl_ColorMap[],2,false) &amp; ")"</f>
        <v>1004220 - Delicate Luminous Scene (Yellow)</v>
      </c>
      <c r="E443" s="23"/>
      <c r="L443" s="23"/>
    </row>
    <row r="444">
      <c r="A444" s="19">
        <v>1004221.0</v>
      </c>
      <c r="B444" s="19" t="s">
        <v>116</v>
      </c>
      <c r="C444" s="19">
        <v>2.0</v>
      </c>
      <c r="D444" s="19" t="str">
        <f>A444 &amp; " - " &amp; B444 &amp; " (" &amp; VLOOKUP(C444, Tbl_ColorMap[],2,false) &amp; ")"</f>
        <v>1004221 - Polished Luminous Scene (Yellow)</v>
      </c>
      <c r="E444" s="23"/>
      <c r="L444" s="23"/>
    </row>
    <row r="445">
      <c r="A445" s="19">
        <v>1004222.0</v>
      </c>
      <c r="B445" s="19" t="s">
        <v>117</v>
      </c>
      <c r="C445" s="19">
        <v>2.0</v>
      </c>
      <c r="D445" s="19" t="str">
        <f>A445 &amp; " - " &amp; B445 &amp; " (" &amp; VLOOKUP(C445, Tbl_ColorMap[],2,false) &amp; ")"</f>
        <v>1004222 - Grand Luminous Scene (Yellow)</v>
      </c>
      <c r="E445" s="23"/>
      <c r="L445" s="23"/>
    </row>
    <row r="446">
      <c r="A446" s="19">
        <v>1004300.0</v>
      </c>
      <c r="B446" s="19" t="s">
        <v>118</v>
      </c>
      <c r="C446" s="19">
        <v>3.0</v>
      </c>
      <c r="D446" s="19" t="str">
        <f>A446 &amp; " - " &amp; B446 &amp; " (" &amp; VLOOKUP(C446, Tbl_ColorMap[],2,false) &amp; ")"</f>
        <v>1004300 - Delicate Tranquil Scene (Green)</v>
      </c>
      <c r="E446" s="23"/>
      <c r="L446" s="23"/>
    </row>
    <row r="447">
      <c r="A447" s="19">
        <v>1004301.0</v>
      </c>
      <c r="B447" s="19" t="s">
        <v>119</v>
      </c>
      <c r="C447" s="19">
        <v>3.0</v>
      </c>
      <c r="D447" s="19" t="str">
        <f>A447 &amp; " - " &amp; B447 &amp; " (" &amp; VLOOKUP(C447, Tbl_ColorMap[],2,false) &amp; ")"</f>
        <v>1004301 - Polished Tranquil Scene (Green)</v>
      </c>
      <c r="E447" s="23"/>
      <c r="L447" s="23"/>
    </row>
    <row r="448">
      <c r="A448" s="19">
        <v>1004302.0</v>
      </c>
      <c r="B448" s="19" t="s">
        <v>120</v>
      </c>
      <c r="C448" s="19">
        <v>3.0</v>
      </c>
      <c r="D448" s="19" t="str">
        <f>A448 &amp; " - " &amp; B448 &amp; " (" &amp; VLOOKUP(C448, Tbl_ColorMap[],2,false) &amp; ")"</f>
        <v>1004302 - Grand Tranquil Scene (Green)</v>
      </c>
      <c r="E448" s="23"/>
      <c r="L448" s="23"/>
    </row>
    <row r="449">
      <c r="A449" s="19">
        <v>1004310.0</v>
      </c>
      <c r="B449" s="19" t="s">
        <v>118</v>
      </c>
      <c r="C449" s="19">
        <v>3.0</v>
      </c>
      <c r="D449" s="19" t="str">
        <f>A449 &amp; " - " &amp; B449 &amp; " (" &amp; VLOOKUP(C449, Tbl_ColorMap[],2,false) &amp; ")"</f>
        <v>1004310 - Delicate Tranquil Scene (Green)</v>
      </c>
      <c r="E449" s="23"/>
      <c r="L449" s="23"/>
    </row>
    <row r="450">
      <c r="A450" s="19">
        <v>1004311.0</v>
      </c>
      <c r="B450" s="19" t="s">
        <v>119</v>
      </c>
      <c r="C450" s="19">
        <v>3.0</v>
      </c>
      <c r="D450" s="19" t="str">
        <f>A450 &amp; " - " &amp; B450 &amp; " (" &amp; VLOOKUP(C450, Tbl_ColorMap[],2,false) &amp; ")"</f>
        <v>1004311 - Polished Tranquil Scene (Green)</v>
      </c>
      <c r="E450" s="23"/>
      <c r="L450" s="23"/>
    </row>
    <row r="451">
      <c r="A451" s="19">
        <v>1004312.0</v>
      </c>
      <c r="B451" s="19" t="s">
        <v>120</v>
      </c>
      <c r="C451" s="19">
        <v>3.0</v>
      </c>
      <c r="D451" s="19" t="str">
        <f>A451 &amp; " - " &amp; B451 &amp; " (" &amp; VLOOKUP(C451, Tbl_ColorMap[],2,false) &amp; ")"</f>
        <v>1004312 - Grand Tranquil Scene (Green)</v>
      </c>
      <c r="E451" s="23"/>
      <c r="L451" s="23"/>
    </row>
    <row r="452">
      <c r="A452" s="19">
        <v>1004320.0</v>
      </c>
      <c r="B452" s="19" t="s">
        <v>118</v>
      </c>
      <c r="C452" s="19">
        <v>3.0</v>
      </c>
      <c r="D452" s="19" t="str">
        <f>A452 &amp; " - " &amp; B452 &amp; " (" &amp; VLOOKUP(C452, Tbl_ColorMap[],2,false) &amp; ")"</f>
        <v>1004320 - Delicate Tranquil Scene (Green)</v>
      </c>
      <c r="E452" s="23"/>
      <c r="L452" s="23"/>
    </row>
    <row r="453">
      <c r="A453" s="19">
        <v>1004321.0</v>
      </c>
      <c r="B453" s="19" t="s">
        <v>119</v>
      </c>
      <c r="C453" s="19">
        <v>3.0</v>
      </c>
      <c r="D453" s="19" t="str">
        <f>A453 &amp; " - " &amp; B453 &amp; " (" &amp; VLOOKUP(C453, Tbl_ColorMap[],2,false) &amp; ")"</f>
        <v>1004321 - Polished Tranquil Scene (Green)</v>
      </c>
      <c r="E453" s="23"/>
      <c r="L453" s="23"/>
    </row>
    <row r="454">
      <c r="A454" s="19">
        <v>1004322.0</v>
      </c>
      <c r="B454" s="19" t="s">
        <v>120</v>
      </c>
      <c r="C454" s="19">
        <v>3.0</v>
      </c>
      <c r="D454" s="19" t="str">
        <f>A454 &amp; " - " &amp; B454 &amp; " (" &amp; VLOOKUP(C454, Tbl_ColorMap[],2,false) &amp; ")"</f>
        <v>1004322 - Grand Tranquil Scene (Green)</v>
      </c>
      <c r="E454" s="23"/>
      <c r="L454" s="23"/>
    </row>
    <row r="455">
      <c r="A455" s="19">
        <v>1005000.0</v>
      </c>
      <c r="B455" s="19" t="s">
        <v>109</v>
      </c>
      <c r="C455" s="19">
        <v>0.0</v>
      </c>
      <c r="D455" s="19" t="str">
        <f>A455 &amp; " - " &amp; B455 &amp; " (" &amp; VLOOKUP(C455, Tbl_ColorMap[],2,false) &amp; ")"</f>
        <v>1005000 - Delicate Burning Scene (Red)</v>
      </c>
      <c r="E455" s="23"/>
      <c r="L455" s="23"/>
    </row>
    <row r="456">
      <c r="A456" s="19">
        <v>1005001.0</v>
      </c>
      <c r="B456" s="19" t="s">
        <v>110</v>
      </c>
      <c r="C456" s="19">
        <v>0.0</v>
      </c>
      <c r="D456" s="19" t="str">
        <f>A456 &amp; " - " &amp; B456 &amp; " (" &amp; VLOOKUP(C456, Tbl_ColorMap[],2,false) &amp; ")"</f>
        <v>1005001 - Polished Burning Scene (Red)</v>
      </c>
      <c r="E456" s="23"/>
      <c r="L456" s="23"/>
    </row>
    <row r="457">
      <c r="A457" s="19">
        <v>1005002.0</v>
      </c>
      <c r="B457" s="19" t="s">
        <v>111</v>
      </c>
      <c r="C457" s="19">
        <v>0.0</v>
      </c>
      <c r="D457" s="19" t="str">
        <f>A457 &amp; " - " &amp; B457 &amp; " (" &amp; VLOOKUP(C457, Tbl_ColorMap[],2,false) &amp; ")"</f>
        <v>1005002 - Grand Burning Scene (Red)</v>
      </c>
      <c r="E457" s="23"/>
      <c r="L457" s="23"/>
    </row>
    <row r="458">
      <c r="A458" s="19">
        <v>1005010.0</v>
      </c>
      <c r="B458" s="19" t="s">
        <v>109</v>
      </c>
      <c r="C458" s="19">
        <v>0.0</v>
      </c>
      <c r="D458" s="19" t="str">
        <f>A458 &amp; " - " &amp; B458 &amp; " (" &amp; VLOOKUP(C458, Tbl_ColorMap[],2,false) &amp; ")"</f>
        <v>1005010 - Delicate Burning Scene (Red)</v>
      </c>
      <c r="E458" s="23"/>
      <c r="L458" s="23"/>
    </row>
    <row r="459">
      <c r="A459" s="19">
        <v>1005011.0</v>
      </c>
      <c r="B459" s="19" t="s">
        <v>110</v>
      </c>
      <c r="C459" s="19">
        <v>0.0</v>
      </c>
      <c r="D459" s="19" t="str">
        <f>A459 &amp; " - " &amp; B459 &amp; " (" &amp; VLOOKUP(C459, Tbl_ColorMap[],2,false) &amp; ")"</f>
        <v>1005011 - Polished Burning Scene (Red)</v>
      </c>
      <c r="E459" s="23"/>
      <c r="L459" s="23"/>
    </row>
    <row r="460">
      <c r="A460" s="19">
        <v>1005012.0</v>
      </c>
      <c r="B460" s="19" t="s">
        <v>111</v>
      </c>
      <c r="C460" s="19">
        <v>0.0</v>
      </c>
      <c r="D460" s="19" t="str">
        <f>A460 &amp; " - " &amp; B460 &amp; " (" &amp; VLOOKUP(C460, Tbl_ColorMap[],2,false) &amp; ")"</f>
        <v>1005012 - Grand Burning Scene (Red)</v>
      </c>
      <c r="E460" s="23"/>
      <c r="L460" s="23"/>
    </row>
    <row r="461">
      <c r="A461" s="19">
        <v>1005020.0</v>
      </c>
      <c r="B461" s="19" t="s">
        <v>109</v>
      </c>
      <c r="C461" s="19">
        <v>0.0</v>
      </c>
      <c r="D461" s="19" t="str">
        <f>A461 &amp; " - " &amp; B461 &amp; " (" &amp; VLOOKUP(C461, Tbl_ColorMap[],2,false) &amp; ")"</f>
        <v>1005020 - Delicate Burning Scene (Red)</v>
      </c>
      <c r="E461" s="23"/>
      <c r="L461" s="23"/>
    </row>
    <row r="462">
      <c r="A462" s="19">
        <v>1005021.0</v>
      </c>
      <c r="B462" s="19" t="s">
        <v>110</v>
      </c>
      <c r="C462" s="19">
        <v>0.0</v>
      </c>
      <c r="D462" s="19" t="str">
        <f>A462 &amp; " - " &amp; B462 &amp; " (" &amp; VLOOKUP(C462, Tbl_ColorMap[],2,false) &amp; ")"</f>
        <v>1005021 - Polished Burning Scene (Red)</v>
      </c>
      <c r="E462" s="23"/>
      <c r="L462" s="23"/>
    </row>
    <row r="463">
      <c r="A463" s="19">
        <v>1005022.0</v>
      </c>
      <c r="B463" s="19" t="s">
        <v>111</v>
      </c>
      <c r="C463" s="19">
        <v>0.0</v>
      </c>
      <c r="D463" s="19" t="str">
        <f>A463 &amp; " - " &amp; B463 &amp; " (" &amp; VLOOKUP(C463, Tbl_ColorMap[],2,false) &amp; ")"</f>
        <v>1005022 - Grand Burning Scene (Red)</v>
      </c>
      <c r="E463" s="23"/>
      <c r="L463" s="23"/>
    </row>
    <row r="464">
      <c r="A464" s="19">
        <v>1005100.0</v>
      </c>
      <c r="B464" s="19" t="s">
        <v>112</v>
      </c>
      <c r="C464" s="19">
        <v>1.0</v>
      </c>
      <c r="D464" s="19" t="str">
        <f>A464 &amp; " - " &amp; B464 &amp; " (" &amp; VLOOKUP(C464, Tbl_ColorMap[],2,false) &amp; ")"</f>
        <v>1005100 - Delicate Drizzly Scene (Blue)</v>
      </c>
      <c r="E464" s="23"/>
      <c r="L464" s="23"/>
    </row>
    <row r="465">
      <c r="A465" s="19">
        <v>1005101.0</v>
      </c>
      <c r="B465" s="19" t="s">
        <v>113</v>
      </c>
      <c r="C465" s="19">
        <v>1.0</v>
      </c>
      <c r="D465" s="19" t="str">
        <f>A465 &amp; " - " &amp; B465 &amp; " (" &amp; VLOOKUP(C465, Tbl_ColorMap[],2,false) &amp; ")"</f>
        <v>1005101 - Polished Drizzly Scene (Blue)</v>
      </c>
      <c r="E465" s="23"/>
      <c r="L465" s="23"/>
    </row>
    <row r="466">
      <c r="A466" s="19">
        <v>1005102.0</v>
      </c>
      <c r="B466" s="19" t="s">
        <v>114</v>
      </c>
      <c r="C466" s="19">
        <v>1.0</v>
      </c>
      <c r="D466" s="19" t="str">
        <f>A466 &amp; " - " &amp; B466 &amp; " (" &amp; VLOOKUP(C466, Tbl_ColorMap[],2,false) &amp; ")"</f>
        <v>1005102 - Grand Drizzly Scene (Blue)</v>
      </c>
      <c r="E466" s="23"/>
      <c r="L466" s="23"/>
    </row>
    <row r="467">
      <c r="A467" s="19">
        <v>1005110.0</v>
      </c>
      <c r="B467" s="19" t="s">
        <v>112</v>
      </c>
      <c r="C467" s="19">
        <v>1.0</v>
      </c>
      <c r="D467" s="19" t="str">
        <f>A467 &amp; " - " &amp; B467 &amp; " (" &amp; VLOOKUP(C467, Tbl_ColorMap[],2,false) &amp; ")"</f>
        <v>1005110 - Delicate Drizzly Scene (Blue)</v>
      </c>
      <c r="E467" s="23"/>
      <c r="L467" s="23"/>
    </row>
    <row r="468">
      <c r="A468" s="19">
        <v>1005111.0</v>
      </c>
      <c r="B468" s="19" t="s">
        <v>113</v>
      </c>
      <c r="C468" s="19">
        <v>1.0</v>
      </c>
      <c r="D468" s="19" t="str">
        <f>A468 &amp; " - " &amp; B468 &amp; " (" &amp; VLOOKUP(C468, Tbl_ColorMap[],2,false) &amp; ")"</f>
        <v>1005111 - Polished Drizzly Scene (Blue)</v>
      </c>
      <c r="E468" s="23"/>
      <c r="L468" s="23"/>
    </row>
    <row r="469">
      <c r="A469" s="19">
        <v>1005112.0</v>
      </c>
      <c r="B469" s="19" t="s">
        <v>114</v>
      </c>
      <c r="C469" s="19">
        <v>1.0</v>
      </c>
      <c r="D469" s="19" t="str">
        <f>A469 &amp; " - " &amp; B469 &amp; " (" &amp; VLOOKUP(C469, Tbl_ColorMap[],2,false) &amp; ")"</f>
        <v>1005112 - Grand Drizzly Scene (Blue)</v>
      </c>
      <c r="E469" s="23"/>
      <c r="L469" s="23"/>
    </row>
    <row r="470">
      <c r="A470" s="19">
        <v>1005120.0</v>
      </c>
      <c r="B470" s="19" t="s">
        <v>112</v>
      </c>
      <c r="C470" s="19">
        <v>1.0</v>
      </c>
      <c r="D470" s="19" t="str">
        <f>A470 &amp; " - " &amp; B470 &amp; " (" &amp; VLOOKUP(C470, Tbl_ColorMap[],2,false) &amp; ")"</f>
        <v>1005120 - Delicate Drizzly Scene (Blue)</v>
      </c>
      <c r="E470" s="23"/>
      <c r="L470" s="23"/>
    </row>
    <row r="471">
      <c r="A471" s="19">
        <v>1005121.0</v>
      </c>
      <c r="B471" s="19" t="s">
        <v>113</v>
      </c>
      <c r="C471" s="19">
        <v>1.0</v>
      </c>
      <c r="D471" s="19" t="str">
        <f>A471 &amp; " - " &amp; B471 &amp; " (" &amp; VLOOKUP(C471, Tbl_ColorMap[],2,false) &amp; ")"</f>
        <v>1005121 - Polished Drizzly Scene (Blue)</v>
      </c>
      <c r="E471" s="23"/>
      <c r="L471" s="23"/>
    </row>
    <row r="472">
      <c r="A472" s="19">
        <v>1005122.0</v>
      </c>
      <c r="B472" s="19" t="s">
        <v>114</v>
      </c>
      <c r="C472" s="19">
        <v>1.0</v>
      </c>
      <c r="D472" s="19" t="str">
        <f>A472 &amp; " - " &amp; B472 &amp; " (" &amp; VLOOKUP(C472, Tbl_ColorMap[],2,false) &amp; ")"</f>
        <v>1005122 - Grand Drizzly Scene (Blue)</v>
      </c>
      <c r="E472" s="23"/>
      <c r="L472" s="23"/>
    </row>
    <row r="473">
      <c r="A473" s="19">
        <v>1005200.0</v>
      </c>
      <c r="B473" s="19" t="s">
        <v>115</v>
      </c>
      <c r="C473" s="19">
        <v>2.0</v>
      </c>
      <c r="D473" s="19" t="str">
        <f>A473 &amp; " - " &amp; B473 &amp; " (" &amp; VLOOKUP(C473, Tbl_ColorMap[],2,false) &amp; ")"</f>
        <v>1005200 - Delicate Luminous Scene (Yellow)</v>
      </c>
      <c r="E473" s="23"/>
      <c r="L473" s="23"/>
    </row>
    <row r="474">
      <c r="A474" s="19">
        <v>1005201.0</v>
      </c>
      <c r="B474" s="19" t="s">
        <v>116</v>
      </c>
      <c r="C474" s="19">
        <v>2.0</v>
      </c>
      <c r="D474" s="19" t="str">
        <f>A474 &amp; " - " &amp; B474 &amp; " (" &amp; VLOOKUP(C474, Tbl_ColorMap[],2,false) &amp; ")"</f>
        <v>1005201 - Polished Luminous Scene (Yellow)</v>
      </c>
      <c r="E474" s="23"/>
      <c r="L474" s="23"/>
    </row>
    <row r="475">
      <c r="A475" s="19">
        <v>1005202.0</v>
      </c>
      <c r="B475" s="19" t="s">
        <v>117</v>
      </c>
      <c r="C475" s="19">
        <v>2.0</v>
      </c>
      <c r="D475" s="19" t="str">
        <f>A475 &amp; " - " &amp; B475 &amp; " (" &amp; VLOOKUP(C475, Tbl_ColorMap[],2,false) &amp; ")"</f>
        <v>1005202 - Grand Luminous Scene (Yellow)</v>
      </c>
      <c r="E475" s="23"/>
      <c r="L475" s="23"/>
    </row>
    <row r="476">
      <c r="A476" s="19">
        <v>1005210.0</v>
      </c>
      <c r="B476" s="19" t="s">
        <v>115</v>
      </c>
      <c r="C476" s="19">
        <v>2.0</v>
      </c>
      <c r="D476" s="19" t="str">
        <f>A476 &amp; " - " &amp; B476 &amp; " (" &amp; VLOOKUP(C476, Tbl_ColorMap[],2,false) &amp; ")"</f>
        <v>1005210 - Delicate Luminous Scene (Yellow)</v>
      </c>
      <c r="E476" s="23"/>
      <c r="L476" s="23"/>
    </row>
    <row r="477">
      <c r="A477" s="19">
        <v>1005211.0</v>
      </c>
      <c r="B477" s="19" t="s">
        <v>116</v>
      </c>
      <c r="C477" s="19">
        <v>2.0</v>
      </c>
      <c r="D477" s="19" t="str">
        <f>A477 &amp; " - " &amp; B477 &amp; " (" &amp; VLOOKUP(C477, Tbl_ColorMap[],2,false) &amp; ")"</f>
        <v>1005211 - Polished Luminous Scene (Yellow)</v>
      </c>
      <c r="E477" s="23"/>
      <c r="L477" s="23"/>
    </row>
    <row r="478">
      <c r="A478" s="19">
        <v>1005212.0</v>
      </c>
      <c r="B478" s="19" t="s">
        <v>117</v>
      </c>
      <c r="C478" s="19">
        <v>2.0</v>
      </c>
      <c r="D478" s="19" t="str">
        <f>A478 &amp; " - " &amp; B478 &amp; " (" &amp; VLOOKUP(C478, Tbl_ColorMap[],2,false) &amp; ")"</f>
        <v>1005212 - Grand Luminous Scene (Yellow)</v>
      </c>
      <c r="E478" s="23"/>
      <c r="L478" s="23"/>
    </row>
    <row r="479">
      <c r="A479" s="19">
        <v>1005220.0</v>
      </c>
      <c r="B479" s="19" t="s">
        <v>115</v>
      </c>
      <c r="C479" s="19">
        <v>2.0</v>
      </c>
      <c r="D479" s="19" t="str">
        <f>A479 &amp; " - " &amp; B479 &amp; " (" &amp; VLOOKUP(C479, Tbl_ColorMap[],2,false) &amp; ")"</f>
        <v>1005220 - Delicate Luminous Scene (Yellow)</v>
      </c>
      <c r="E479" s="23"/>
      <c r="L479" s="23"/>
    </row>
    <row r="480">
      <c r="A480" s="19">
        <v>1005221.0</v>
      </c>
      <c r="B480" s="19" t="s">
        <v>116</v>
      </c>
      <c r="C480" s="19">
        <v>2.0</v>
      </c>
      <c r="D480" s="19" t="str">
        <f>A480 &amp; " - " &amp; B480 &amp; " (" &amp; VLOOKUP(C480, Tbl_ColorMap[],2,false) &amp; ")"</f>
        <v>1005221 - Polished Luminous Scene (Yellow)</v>
      </c>
      <c r="E480" s="23"/>
      <c r="L480" s="23"/>
    </row>
    <row r="481">
      <c r="A481" s="19">
        <v>1005222.0</v>
      </c>
      <c r="B481" s="19" t="s">
        <v>117</v>
      </c>
      <c r="C481" s="19">
        <v>2.0</v>
      </c>
      <c r="D481" s="19" t="str">
        <f>A481 &amp; " - " &amp; B481 &amp; " (" &amp; VLOOKUP(C481, Tbl_ColorMap[],2,false) &amp; ")"</f>
        <v>1005222 - Grand Luminous Scene (Yellow)</v>
      </c>
      <c r="E481" s="23"/>
      <c r="L481" s="23"/>
    </row>
    <row r="482">
      <c r="A482" s="19">
        <v>1005300.0</v>
      </c>
      <c r="B482" s="19" t="s">
        <v>118</v>
      </c>
      <c r="C482" s="19">
        <v>3.0</v>
      </c>
      <c r="D482" s="19" t="str">
        <f>A482 &amp; " - " &amp; B482 &amp; " (" &amp; VLOOKUP(C482, Tbl_ColorMap[],2,false) &amp; ")"</f>
        <v>1005300 - Delicate Tranquil Scene (Green)</v>
      </c>
      <c r="E482" s="23"/>
      <c r="L482" s="23"/>
    </row>
    <row r="483">
      <c r="A483" s="19">
        <v>1005301.0</v>
      </c>
      <c r="B483" s="19" t="s">
        <v>119</v>
      </c>
      <c r="C483" s="19">
        <v>3.0</v>
      </c>
      <c r="D483" s="19" t="str">
        <f>A483 &amp; " - " &amp; B483 &amp; " (" &amp; VLOOKUP(C483, Tbl_ColorMap[],2,false) &amp; ")"</f>
        <v>1005301 - Polished Tranquil Scene (Green)</v>
      </c>
      <c r="E483" s="23"/>
      <c r="L483" s="23"/>
    </row>
    <row r="484">
      <c r="A484" s="19">
        <v>1005302.0</v>
      </c>
      <c r="B484" s="19" t="s">
        <v>120</v>
      </c>
      <c r="C484" s="19">
        <v>3.0</v>
      </c>
      <c r="D484" s="19" t="str">
        <f>A484 &amp; " - " &amp; B484 &amp; " (" &amp; VLOOKUP(C484, Tbl_ColorMap[],2,false) &amp; ")"</f>
        <v>1005302 - Grand Tranquil Scene (Green)</v>
      </c>
      <c r="E484" s="23"/>
      <c r="L484" s="23"/>
    </row>
    <row r="485">
      <c r="A485" s="19">
        <v>1005310.0</v>
      </c>
      <c r="B485" s="19" t="s">
        <v>118</v>
      </c>
      <c r="C485" s="19">
        <v>3.0</v>
      </c>
      <c r="D485" s="19" t="str">
        <f>A485 &amp; " - " &amp; B485 &amp; " (" &amp; VLOOKUP(C485, Tbl_ColorMap[],2,false) &amp; ")"</f>
        <v>1005310 - Delicate Tranquil Scene (Green)</v>
      </c>
      <c r="E485" s="23"/>
      <c r="L485" s="23"/>
    </row>
    <row r="486">
      <c r="A486" s="19">
        <v>1005311.0</v>
      </c>
      <c r="B486" s="19" t="s">
        <v>119</v>
      </c>
      <c r="C486" s="19">
        <v>3.0</v>
      </c>
      <c r="D486" s="19" t="str">
        <f>A486 &amp; " - " &amp; B486 &amp; " (" &amp; VLOOKUP(C486, Tbl_ColorMap[],2,false) &amp; ")"</f>
        <v>1005311 - Polished Tranquil Scene (Green)</v>
      </c>
      <c r="E486" s="23"/>
      <c r="L486" s="23"/>
    </row>
    <row r="487">
      <c r="A487" s="19">
        <v>1005312.0</v>
      </c>
      <c r="B487" s="19" t="s">
        <v>120</v>
      </c>
      <c r="C487" s="19">
        <v>3.0</v>
      </c>
      <c r="D487" s="19" t="str">
        <f>A487 &amp; " - " &amp; B487 &amp; " (" &amp; VLOOKUP(C487, Tbl_ColorMap[],2,false) &amp; ")"</f>
        <v>1005312 - Grand Tranquil Scene (Green)</v>
      </c>
      <c r="E487" s="23"/>
      <c r="L487" s="23"/>
    </row>
    <row r="488">
      <c r="A488" s="19">
        <v>1005320.0</v>
      </c>
      <c r="B488" s="19" t="s">
        <v>118</v>
      </c>
      <c r="C488" s="19">
        <v>3.0</v>
      </c>
      <c r="D488" s="19" t="str">
        <f>A488 &amp; " - " &amp; B488 &amp; " (" &amp; VLOOKUP(C488, Tbl_ColorMap[],2,false) &amp; ")"</f>
        <v>1005320 - Delicate Tranquil Scene (Green)</v>
      </c>
      <c r="E488" s="23"/>
      <c r="L488" s="23"/>
    </row>
    <row r="489">
      <c r="A489" s="19">
        <v>1005321.0</v>
      </c>
      <c r="B489" s="19" t="s">
        <v>119</v>
      </c>
      <c r="C489" s="19">
        <v>3.0</v>
      </c>
      <c r="D489" s="19" t="str">
        <f>A489 &amp; " - " &amp; B489 &amp; " (" &amp; VLOOKUP(C489, Tbl_ColorMap[],2,false) &amp; ")"</f>
        <v>1005321 - Polished Tranquil Scene (Green)</v>
      </c>
      <c r="E489" s="23"/>
      <c r="L489" s="23"/>
    </row>
    <row r="490">
      <c r="A490" s="19">
        <v>1005322.0</v>
      </c>
      <c r="B490" s="19" t="s">
        <v>120</v>
      </c>
      <c r="C490" s="19">
        <v>3.0</v>
      </c>
      <c r="D490" s="19" t="str">
        <f>A490 &amp; " - " &amp; B490 &amp; " (" &amp; VLOOKUP(C490, Tbl_ColorMap[],2,false) &amp; ")"</f>
        <v>1005322 - Grand Tranquil Scene (Green)</v>
      </c>
      <c r="E490" s="23"/>
      <c r="L490" s="23"/>
    </row>
    <row r="491">
      <c r="A491" s="19">
        <v>1006000.0</v>
      </c>
      <c r="B491" s="19" t="s">
        <v>109</v>
      </c>
      <c r="C491" s="19">
        <v>0.0</v>
      </c>
      <c r="D491" s="19" t="str">
        <f>A491 &amp; " - " &amp; B491 &amp; " (" &amp; VLOOKUP(C491, Tbl_ColorMap[],2,false) &amp; ")"</f>
        <v>1006000 - Delicate Burning Scene (Red)</v>
      </c>
      <c r="E491" s="23"/>
      <c r="L491" s="23"/>
    </row>
    <row r="492">
      <c r="A492" s="19">
        <v>1006001.0</v>
      </c>
      <c r="B492" s="19" t="s">
        <v>110</v>
      </c>
      <c r="C492" s="19">
        <v>0.0</v>
      </c>
      <c r="D492" s="19" t="str">
        <f>A492 &amp; " - " &amp; B492 &amp; " (" &amp; VLOOKUP(C492, Tbl_ColorMap[],2,false) &amp; ")"</f>
        <v>1006001 - Polished Burning Scene (Red)</v>
      </c>
      <c r="E492" s="23"/>
      <c r="L492" s="23"/>
    </row>
    <row r="493">
      <c r="A493" s="19">
        <v>1006002.0</v>
      </c>
      <c r="B493" s="19" t="s">
        <v>111</v>
      </c>
      <c r="C493" s="19">
        <v>0.0</v>
      </c>
      <c r="D493" s="19" t="str">
        <f>A493 &amp; " - " &amp; B493 &amp; " (" &amp; VLOOKUP(C493, Tbl_ColorMap[],2,false) &amp; ")"</f>
        <v>1006002 - Grand Burning Scene (Red)</v>
      </c>
      <c r="E493" s="23"/>
      <c r="L493" s="23"/>
    </row>
    <row r="494">
      <c r="A494" s="19">
        <v>1006010.0</v>
      </c>
      <c r="B494" s="19" t="s">
        <v>109</v>
      </c>
      <c r="C494" s="19">
        <v>0.0</v>
      </c>
      <c r="D494" s="19" t="str">
        <f>A494 &amp; " - " &amp; B494 &amp; " (" &amp; VLOOKUP(C494, Tbl_ColorMap[],2,false) &amp; ")"</f>
        <v>1006010 - Delicate Burning Scene (Red)</v>
      </c>
      <c r="E494" s="23"/>
      <c r="L494" s="23"/>
    </row>
    <row r="495">
      <c r="A495" s="19">
        <v>1006011.0</v>
      </c>
      <c r="B495" s="19" t="s">
        <v>110</v>
      </c>
      <c r="C495" s="19">
        <v>0.0</v>
      </c>
      <c r="D495" s="19" t="str">
        <f>A495 &amp; " - " &amp; B495 &amp; " (" &amp; VLOOKUP(C495, Tbl_ColorMap[],2,false) &amp; ")"</f>
        <v>1006011 - Polished Burning Scene (Red)</v>
      </c>
      <c r="E495" s="23"/>
      <c r="L495" s="23"/>
    </row>
    <row r="496">
      <c r="A496" s="19">
        <v>1006012.0</v>
      </c>
      <c r="B496" s="19" t="s">
        <v>111</v>
      </c>
      <c r="C496" s="19">
        <v>0.0</v>
      </c>
      <c r="D496" s="19" t="str">
        <f>A496 &amp; " - " &amp; B496 &amp; " (" &amp; VLOOKUP(C496, Tbl_ColorMap[],2,false) &amp; ")"</f>
        <v>1006012 - Grand Burning Scene (Red)</v>
      </c>
      <c r="E496" s="23"/>
      <c r="L496" s="23"/>
    </row>
    <row r="497">
      <c r="A497" s="19">
        <v>1006020.0</v>
      </c>
      <c r="B497" s="19" t="s">
        <v>109</v>
      </c>
      <c r="C497" s="19">
        <v>0.0</v>
      </c>
      <c r="D497" s="19" t="str">
        <f>A497 &amp; " - " &amp; B497 &amp; " (" &amp; VLOOKUP(C497, Tbl_ColorMap[],2,false) &amp; ")"</f>
        <v>1006020 - Delicate Burning Scene (Red)</v>
      </c>
      <c r="E497" s="23"/>
      <c r="L497" s="23"/>
    </row>
    <row r="498">
      <c r="A498" s="19">
        <v>1006021.0</v>
      </c>
      <c r="B498" s="19" t="s">
        <v>110</v>
      </c>
      <c r="C498" s="19">
        <v>0.0</v>
      </c>
      <c r="D498" s="19" t="str">
        <f>A498 &amp; " - " &amp; B498 &amp; " (" &amp; VLOOKUP(C498, Tbl_ColorMap[],2,false) &amp; ")"</f>
        <v>1006021 - Polished Burning Scene (Red)</v>
      </c>
      <c r="E498" s="23"/>
      <c r="L498" s="23"/>
    </row>
    <row r="499">
      <c r="A499" s="19">
        <v>1006022.0</v>
      </c>
      <c r="B499" s="19" t="s">
        <v>111</v>
      </c>
      <c r="C499" s="19">
        <v>0.0</v>
      </c>
      <c r="D499" s="19" t="str">
        <f>A499 &amp; " - " &amp; B499 &amp; " (" &amp; VLOOKUP(C499, Tbl_ColorMap[],2,false) &amp; ")"</f>
        <v>1006022 - Grand Burning Scene (Red)</v>
      </c>
      <c r="E499" s="23"/>
      <c r="L499" s="23"/>
    </row>
    <row r="500">
      <c r="A500" s="19">
        <v>1006100.0</v>
      </c>
      <c r="B500" s="19" t="s">
        <v>112</v>
      </c>
      <c r="C500" s="19">
        <v>1.0</v>
      </c>
      <c r="D500" s="19" t="str">
        <f>A500 &amp; " - " &amp; B500 &amp; " (" &amp; VLOOKUP(C500, Tbl_ColorMap[],2,false) &amp; ")"</f>
        <v>1006100 - Delicate Drizzly Scene (Blue)</v>
      </c>
      <c r="E500" s="23"/>
      <c r="L500" s="23"/>
    </row>
    <row r="501">
      <c r="A501" s="19">
        <v>1006101.0</v>
      </c>
      <c r="B501" s="19" t="s">
        <v>113</v>
      </c>
      <c r="C501" s="19">
        <v>1.0</v>
      </c>
      <c r="D501" s="19" t="str">
        <f>A501 &amp; " - " &amp; B501 &amp; " (" &amp; VLOOKUP(C501, Tbl_ColorMap[],2,false) &amp; ")"</f>
        <v>1006101 - Polished Drizzly Scene (Blue)</v>
      </c>
      <c r="E501" s="23"/>
      <c r="L501" s="23"/>
    </row>
    <row r="502">
      <c r="A502" s="19">
        <v>1006102.0</v>
      </c>
      <c r="B502" s="19" t="s">
        <v>114</v>
      </c>
      <c r="C502" s="19">
        <v>1.0</v>
      </c>
      <c r="D502" s="19" t="str">
        <f>A502 &amp; " - " &amp; B502 &amp; " (" &amp; VLOOKUP(C502, Tbl_ColorMap[],2,false) &amp; ")"</f>
        <v>1006102 - Grand Drizzly Scene (Blue)</v>
      </c>
      <c r="E502" s="23"/>
      <c r="L502" s="23"/>
    </row>
    <row r="503">
      <c r="A503" s="19">
        <v>1006110.0</v>
      </c>
      <c r="B503" s="19" t="s">
        <v>112</v>
      </c>
      <c r="C503" s="19">
        <v>1.0</v>
      </c>
      <c r="D503" s="19" t="str">
        <f>A503 &amp; " - " &amp; B503 &amp; " (" &amp; VLOOKUP(C503, Tbl_ColorMap[],2,false) &amp; ")"</f>
        <v>1006110 - Delicate Drizzly Scene (Blue)</v>
      </c>
      <c r="E503" s="23"/>
      <c r="L503" s="23"/>
    </row>
    <row r="504">
      <c r="A504" s="19">
        <v>1006111.0</v>
      </c>
      <c r="B504" s="19" t="s">
        <v>113</v>
      </c>
      <c r="C504" s="19">
        <v>1.0</v>
      </c>
      <c r="D504" s="19" t="str">
        <f>A504 &amp; " - " &amp; B504 &amp; " (" &amp; VLOOKUP(C504, Tbl_ColorMap[],2,false) &amp; ")"</f>
        <v>1006111 - Polished Drizzly Scene (Blue)</v>
      </c>
      <c r="E504" s="23"/>
      <c r="L504" s="23"/>
    </row>
    <row r="505">
      <c r="A505" s="19">
        <v>1006112.0</v>
      </c>
      <c r="B505" s="19" t="s">
        <v>114</v>
      </c>
      <c r="C505" s="19">
        <v>1.0</v>
      </c>
      <c r="D505" s="19" t="str">
        <f>A505 &amp; " - " &amp; B505 &amp; " (" &amp; VLOOKUP(C505, Tbl_ColorMap[],2,false) &amp; ")"</f>
        <v>1006112 - Grand Drizzly Scene (Blue)</v>
      </c>
      <c r="E505" s="23"/>
      <c r="L505" s="23"/>
    </row>
    <row r="506">
      <c r="A506" s="19">
        <v>1006120.0</v>
      </c>
      <c r="B506" s="19" t="s">
        <v>112</v>
      </c>
      <c r="C506" s="19">
        <v>1.0</v>
      </c>
      <c r="D506" s="19" t="str">
        <f>A506 &amp; " - " &amp; B506 &amp; " (" &amp; VLOOKUP(C506, Tbl_ColorMap[],2,false) &amp; ")"</f>
        <v>1006120 - Delicate Drizzly Scene (Blue)</v>
      </c>
      <c r="E506" s="23"/>
      <c r="L506" s="23"/>
    </row>
    <row r="507">
      <c r="A507" s="19">
        <v>1006121.0</v>
      </c>
      <c r="B507" s="19" t="s">
        <v>113</v>
      </c>
      <c r="C507" s="19">
        <v>1.0</v>
      </c>
      <c r="D507" s="19" t="str">
        <f>A507 &amp; " - " &amp; B507 &amp; " (" &amp; VLOOKUP(C507, Tbl_ColorMap[],2,false) &amp; ")"</f>
        <v>1006121 - Polished Drizzly Scene (Blue)</v>
      </c>
      <c r="E507" s="23"/>
      <c r="L507" s="23"/>
    </row>
    <row r="508">
      <c r="A508" s="19">
        <v>1006122.0</v>
      </c>
      <c r="B508" s="19" t="s">
        <v>114</v>
      </c>
      <c r="C508" s="19">
        <v>1.0</v>
      </c>
      <c r="D508" s="19" t="str">
        <f>A508 &amp; " - " &amp; B508 &amp; " (" &amp; VLOOKUP(C508, Tbl_ColorMap[],2,false) &amp; ")"</f>
        <v>1006122 - Grand Drizzly Scene (Blue)</v>
      </c>
      <c r="E508" s="23"/>
      <c r="L508" s="23"/>
    </row>
    <row r="509">
      <c r="A509" s="19">
        <v>1006200.0</v>
      </c>
      <c r="B509" s="19" t="s">
        <v>115</v>
      </c>
      <c r="C509" s="19">
        <v>2.0</v>
      </c>
      <c r="D509" s="19" t="str">
        <f>A509 &amp; " - " &amp; B509 &amp; " (" &amp; VLOOKUP(C509, Tbl_ColorMap[],2,false) &amp; ")"</f>
        <v>1006200 - Delicate Luminous Scene (Yellow)</v>
      </c>
      <c r="E509" s="23"/>
      <c r="L509" s="23"/>
    </row>
    <row r="510">
      <c r="A510" s="19">
        <v>1006201.0</v>
      </c>
      <c r="B510" s="19" t="s">
        <v>116</v>
      </c>
      <c r="C510" s="19">
        <v>2.0</v>
      </c>
      <c r="D510" s="19" t="str">
        <f>A510 &amp; " - " &amp; B510 &amp; " (" &amp; VLOOKUP(C510, Tbl_ColorMap[],2,false) &amp; ")"</f>
        <v>1006201 - Polished Luminous Scene (Yellow)</v>
      </c>
      <c r="E510" s="23"/>
      <c r="L510" s="23"/>
    </row>
    <row r="511">
      <c r="A511" s="19">
        <v>1006202.0</v>
      </c>
      <c r="B511" s="19" t="s">
        <v>117</v>
      </c>
      <c r="C511" s="19">
        <v>2.0</v>
      </c>
      <c r="D511" s="19" t="str">
        <f>A511 &amp; " - " &amp; B511 &amp; " (" &amp; VLOOKUP(C511, Tbl_ColorMap[],2,false) &amp; ")"</f>
        <v>1006202 - Grand Luminous Scene (Yellow)</v>
      </c>
      <c r="E511" s="23"/>
      <c r="L511" s="23"/>
    </row>
    <row r="512">
      <c r="A512" s="19">
        <v>1006210.0</v>
      </c>
      <c r="B512" s="19" t="s">
        <v>115</v>
      </c>
      <c r="C512" s="19">
        <v>2.0</v>
      </c>
      <c r="D512" s="19" t="str">
        <f>A512 &amp; " - " &amp; B512 &amp; " (" &amp; VLOOKUP(C512, Tbl_ColorMap[],2,false) &amp; ")"</f>
        <v>1006210 - Delicate Luminous Scene (Yellow)</v>
      </c>
      <c r="E512" s="23"/>
      <c r="L512" s="23"/>
    </row>
    <row r="513">
      <c r="A513" s="19">
        <v>1006211.0</v>
      </c>
      <c r="B513" s="19" t="s">
        <v>116</v>
      </c>
      <c r="C513" s="19">
        <v>2.0</v>
      </c>
      <c r="D513" s="19" t="str">
        <f>A513 &amp; " - " &amp; B513 &amp; " (" &amp; VLOOKUP(C513, Tbl_ColorMap[],2,false) &amp; ")"</f>
        <v>1006211 - Polished Luminous Scene (Yellow)</v>
      </c>
      <c r="E513" s="23"/>
      <c r="L513" s="23"/>
    </row>
    <row r="514">
      <c r="A514" s="19">
        <v>1006212.0</v>
      </c>
      <c r="B514" s="19" t="s">
        <v>117</v>
      </c>
      <c r="C514" s="19">
        <v>2.0</v>
      </c>
      <c r="D514" s="19" t="str">
        <f>A514 &amp; " - " &amp; B514 &amp; " (" &amp; VLOOKUP(C514, Tbl_ColorMap[],2,false) &amp; ")"</f>
        <v>1006212 - Grand Luminous Scene (Yellow)</v>
      </c>
      <c r="E514" s="23"/>
      <c r="L514" s="23"/>
    </row>
    <row r="515">
      <c r="A515" s="19">
        <v>1006220.0</v>
      </c>
      <c r="B515" s="19" t="s">
        <v>115</v>
      </c>
      <c r="C515" s="19">
        <v>2.0</v>
      </c>
      <c r="D515" s="19" t="str">
        <f>A515 &amp; " - " &amp; B515 &amp; " (" &amp; VLOOKUP(C515, Tbl_ColorMap[],2,false) &amp; ")"</f>
        <v>1006220 - Delicate Luminous Scene (Yellow)</v>
      </c>
      <c r="E515" s="23"/>
      <c r="L515" s="23"/>
    </row>
    <row r="516">
      <c r="A516" s="19">
        <v>1006221.0</v>
      </c>
      <c r="B516" s="19" t="s">
        <v>116</v>
      </c>
      <c r="C516" s="19">
        <v>2.0</v>
      </c>
      <c r="D516" s="19" t="str">
        <f>A516 &amp; " - " &amp; B516 &amp; " (" &amp; VLOOKUP(C516, Tbl_ColorMap[],2,false) &amp; ")"</f>
        <v>1006221 - Polished Luminous Scene (Yellow)</v>
      </c>
      <c r="E516" s="23"/>
      <c r="L516" s="23"/>
    </row>
    <row r="517">
      <c r="A517" s="19">
        <v>1006222.0</v>
      </c>
      <c r="B517" s="19" t="s">
        <v>117</v>
      </c>
      <c r="C517" s="19">
        <v>2.0</v>
      </c>
      <c r="D517" s="19" t="str">
        <f>A517 &amp; " - " &amp; B517 &amp; " (" &amp; VLOOKUP(C517, Tbl_ColorMap[],2,false) &amp; ")"</f>
        <v>1006222 - Grand Luminous Scene (Yellow)</v>
      </c>
      <c r="E517" s="23"/>
      <c r="L517" s="23"/>
    </row>
    <row r="518">
      <c r="A518" s="19">
        <v>1006300.0</v>
      </c>
      <c r="B518" s="19" t="s">
        <v>118</v>
      </c>
      <c r="C518" s="19">
        <v>3.0</v>
      </c>
      <c r="D518" s="19" t="str">
        <f>A518 &amp; " - " &amp; B518 &amp; " (" &amp; VLOOKUP(C518, Tbl_ColorMap[],2,false) &amp; ")"</f>
        <v>1006300 - Delicate Tranquil Scene (Green)</v>
      </c>
      <c r="E518" s="23"/>
      <c r="L518" s="23"/>
    </row>
    <row r="519">
      <c r="A519" s="19">
        <v>1006301.0</v>
      </c>
      <c r="B519" s="19" t="s">
        <v>119</v>
      </c>
      <c r="C519" s="19">
        <v>3.0</v>
      </c>
      <c r="D519" s="19" t="str">
        <f>A519 &amp; " - " &amp; B519 &amp; " (" &amp; VLOOKUP(C519, Tbl_ColorMap[],2,false) &amp; ")"</f>
        <v>1006301 - Polished Tranquil Scene (Green)</v>
      </c>
      <c r="E519" s="23"/>
      <c r="L519" s="23"/>
    </row>
    <row r="520">
      <c r="A520" s="19">
        <v>1006302.0</v>
      </c>
      <c r="B520" s="19" t="s">
        <v>120</v>
      </c>
      <c r="C520" s="19">
        <v>3.0</v>
      </c>
      <c r="D520" s="19" t="str">
        <f>A520 &amp; " - " &amp; B520 &amp; " (" &amp; VLOOKUP(C520, Tbl_ColorMap[],2,false) &amp; ")"</f>
        <v>1006302 - Grand Tranquil Scene (Green)</v>
      </c>
      <c r="E520" s="23"/>
      <c r="L520" s="23"/>
    </row>
    <row r="521">
      <c r="A521" s="19">
        <v>1006310.0</v>
      </c>
      <c r="B521" s="19" t="s">
        <v>118</v>
      </c>
      <c r="C521" s="19">
        <v>3.0</v>
      </c>
      <c r="D521" s="19" t="str">
        <f>A521 &amp; " - " &amp; B521 &amp; " (" &amp; VLOOKUP(C521, Tbl_ColorMap[],2,false) &amp; ")"</f>
        <v>1006310 - Delicate Tranquil Scene (Green)</v>
      </c>
      <c r="E521" s="23"/>
      <c r="L521" s="23"/>
    </row>
    <row r="522">
      <c r="A522" s="19">
        <v>1006311.0</v>
      </c>
      <c r="B522" s="19" t="s">
        <v>119</v>
      </c>
      <c r="C522" s="19">
        <v>3.0</v>
      </c>
      <c r="D522" s="19" t="str">
        <f>A522 &amp; " - " &amp; B522 &amp; " (" &amp; VLOOKUP(C522, Tbl_ColorMap[],2,false) &amp; ")"</f>
        <v>1006311 - Polished Tranquil Scene (Green)</v>
      </c>
      <c r="E522" s="23"/>
      <c r="L522" s="23"/>
    </row>
    <row r="523">
      <c r="A523" s="19">
        <v>1006312.0</v>
      </c>
      <c r="B523" s="19" t="s">
        <v>120</v>
      </c>
      <c r="C523" s="19">
        <v>3.0</v>
      </c>
      <c r="D523" s="19" t="str">
        <f>A523 &amp; " - " &amp; B523 &amp; " (" &amp; VLOOKUP(C523, Tbl_ColorMap[],2,false) &amp; ")"</f>
        <v>1006312 - Grand Tranquil Scene (Green)</v>
      </c>
      <c r="E523" s="23"/>
      <c r="L523" s="23"/>
    </row>
    <row r="524">
      <c r="A524" s="19">
        <v>1006320.0</v>
      </c>
      <c r="B524" s="19" t="s">
        <v>118</v>
      </c>
      <c r="C524" s="19">
        <v>3.0</v>
      </c>
      <c r="D524" s="19" t="str">
        <f>A524 &amp; " - " &amp; B524 &amp; " (" &amp; VLOOKUP(C524, Tbl_ColorMap[],2,false) &amp; ")"</f>
        <v>1006320 - Delicate Tranquil Scene (Green)</v>
      </c>
      <c r="E524" s="23"/>
      <c r="L524" s="23"/>
    </row>
    <row r="525">
      <c r="A525" s="19">
        <v>1006321.0</v>
      </c>
      <c r="B525" s="19" t="s">
        <v>119</v>
      </c>
      <c r="C525" s="19">
        <v>3.0</v>
      </c>
      <c r="D525" s="19" t="str">
        <f>A525 &amp; " - " &amp; B525 &amp; " (" &amp; VLOOKUP(C525, Tbl_ColorMap[],2,false) &amp; ")"</f>
        <v>1006321 - Polished Tranquil Scene (Green)</v>
      </c>
      <c r="E525" s="23"/>
      <c r="L525" s="23"/>
    </row>
    <row r="526">
      <c r="A526" s="19">
        <v>1006322.0</v>
      </c>
      <c r="B526" s="19" t="s">
        <v>120</v>
      </c>
      <c r="C526" s="19">
        <v>3.0</v>
      </c>
      <c r="D526" s="19" t="str">
        <f>A526 &amp; " - " &amp; B526 &amp; " (" &amp; VLOOKUP(C526, Tbl_ColorMap[],2,false) &amp; ")"</f>
        <v>1006322 - Grand Tranquil Scene (Green)</v>
      </c>
      <c r="E526" s="23"/>
      <c r="L526" s="23"/>
    </row>
    <row r="527">
      <c r="A527" s="19">
        <v>1007000.0</v>
      </c>
      <c r="B527" s="19" t="s">
        <v>109</v>
      </c>
      <c r="C527" s="19">
        <v>0.0</v>
      </c>
      <c r="D527" s="19" t="str">
        <f>A527 &amp; " - " &amp; B527 &amp; " (" &amp; VLOOKUP(C527, Tbl_ColorMap[],2,false) &amp; ")"</f>
        <v>1007000 - Delicate Burning Scene (Red)</v>
      </c>
      <c r="E527" s="23"/>
      <c r="L527" s="23"/>
    </row>
    <row r="528">
      <c r="A528" s="19">
        <v>1007001.0</v>
      </c>
      <c r="B528" s="19" t="s">
        <v>110</v>
      </c>
      <c r="C528" s="19">
        <v>0.0</v>
      </c>
      <c r="D528" s="19" t="str">
        <f>A528 &amp; " - " &amp; B528 &amp; " (" &amp; VLOOKUP(C528, Tbl_ColorMap[],2,false) &amp; ")"</f>
        <v>1007001 - Polished Burning Scene (Red)</v>
      </c>
      <c r="E528" s="23"/>
      <c r="L528" s="23"/>
    </row>
    <row r="529">
      <c r="A529" s="19">
        <v>1007002.0</v>
      </c>
      <c r="B529" s="19" t="s">
        <v>111</v>
      </c>
      <c r="C529" s="19">
        <v>0.0</v>
      </c>
      <c r="D529" s="19" t="str">
        <f>A529 &amp; " - " &amp; B529 &amp; " (" &amp; VLOOKUP(C529, Tbl_ColorMap[],2,false) &amp; ")"</f>
        <v>1007002 - Grand Burning Scene (Red)</v>
      </c>
      <c r="E529" s="23"/>
      <c r="L529" s="23"/>
    </row>
    <row r="530">
      <c r="A530" s="19">
        <v>1007010.0</v>
      </c>
      <c r="B530" s="19" t="s">
        <v>109</v>
      </c>
      <c r="C530" s="19">
        <v>0.0</v>
      </c>
      <c r="D530" s="19" t="str">
        <f>A530 &amp; " - " &amp; B530 &amp; " (" &amp; VLOOKUP(C530, Tbl_ColorMap[],2,false) &amp; ")"</f>
        <v>1007010 - Delicate Burning Scene (Red)</v>
      </c>
      <c r="E530" s="23"/>
      <c r="L530" s="23"/>
    </row>
    <row r="531">
      <c r="A531" s="19">
        <v>1007011.0</v>
      </c>
      <c r="B531" s="19" t="s">
        <v>110</v>
      </c>
      <c r="C531" s="19">
        <v>0.0</v>
      </c>
      <c r="D531" s="19" t="str">
        <f>A531 &amp; " - " &amp; B531 &amp; " (" &amp; VLOOKUP(C531, Tbl_ColorMap[],2,false) &amp; ")"</f>
        <v>1007011 - Polished Burning Scene (Red)</v>
      </c>
      <c r="E531" s="23"/>
      <c r="L531" s="23"/>
    </row>
    <row r="532">
      <c r="A532" s="19">
        <v>1007012.0</v>
      </c>
      <c r="B532" s="19" t="s">
        <v>111</v>
      </c>
      <c r="C532" s="19">
        <v>0.0</v>
      </c>
      <c r="D532" s="19" t="str">
        <f>A532 &amp; " - " &amp; B532 &amp; " (" &amp; VLOOKUP(C532, Tbl_ColorMap[],2,false) &amp; ")"</f>
        <v>1007012 - Grand Burning Scene (Red)</v>
      </c>
      <c r="E532" s="23"/>
      <c r="L532" s="23"/>
    </row>
    <row r="533">
      <c r="A533" s="19">
        <v>1007020.0</v>
      </c>
      <c r="B533" s="19" t="s">
        <v>109</v>
      </c>
      <c r="C533" s="19">
        <v>0.0</v>
      </c>
      <c r="D533" s="19" t="str">
        <f>A533 &amp; " - " &amp; B533 &amp; " (" &amp; VLOOKUP(C533, Tbl_ColorMap[],2,false) &amp; ")"</f>
        <v>1007020 - Delicate Burning Scene (Red)</v>
      </c>
      <c r="E533" s="23"/>
      <c r="L533" s="23"/>
    </row>
    <row r="534">
      <c r="A534" s="19">
        <v>1007021.0</v>
      </c>
      <c r="B534" s="19" t="s">
        <v>110</v>
      </c>
      <c r="C534" s="19">
        <v>0.0</v>
      </c>
      <c r="D534" s="19" t="str">
        <f>A534 &amp; " - " &amp; B534 &amp; " (" &amp; VLOOKUP(C534, Tbl_ColorMap[],2,false) &amp; ")"</f>
        <v>1007021 - Polished Burning Scene (Red)</v>
      </c>
      <c r="E534" s="23"/>
      <c r="L534" s="23"/>
    </row>
    <row r="535">
      <c r="A535" s="19">
        <v>1007022.0</v>
      </c>
      <c r="B535" s="19" t="s">
        <v>111</v>
      </c>
      <c r="C535" s="19">
        <v>0.0</v>
      </c>
      <c r="D535" s="19" t="str">
        <f>A535 &amp; " - " &amp; B535 &amp; " (" &amp; VLOOKUP(C535, Tbl_ColorMap[],2,false) &amp; ")"</f>
        <v>1007022 - Grand Burning Scene (Red)</v>
      </c>
      <c r="E535" s="23"/>
      <c r="L535" s="23"/>
    </row>
    <row r="536">
      <c r="A536" s="19">
        <v>1007100.0</v>
      </c>
      <c r="B536" s="19" t="s">
        <v>112</v>
      </c>
      <c r="C536" s="19">
        <v>1.0</v>
      </c>
      <c r="D536" s="19" t="str">
        <f>A536 &amp; " - " &amp; B536 &amp; " (" &amp; VLOOKUP(C536, Tbl_ColorMap[],2,false) &amp; ")"</f>
        <v>1007100 - Delicate Drizzly Scene (Blue)</v>
      </c>
      <c r="E536" s="23"/>
      <c r="L536" s="23"/>
    </row>
    <row r="537">
      <c r="A537" s="19">
        <v>1007101.0</v>
      </c>
      <c r="B537" s="19" t="s">
        <v>113</v>
      </c>
      <c r="C537" s="19">
        <v>1.0</v>
      </c>
      <c r="D537" s="19" t="str">
        <f>A537 &amp; " - " &amp; B537 &amp; " (" &amp; VLOOKUP(C537, Tbl_ColorMap[],2,false) &amp; ")"</f>
        <v>1007101 - Polished Drizzly Scene (Blue)</v>
      </c>
      <c r="E537" s="23"/>
      <c r="L537" s="23"/>
    </row>
    <row r="538">
      <c r="A538" s="19">
        <v>1007102.0</v>
      </c>
      <c r="B538" s="19" t="s">
        <v>114</v>
      </c>
      <c r="C538" s="19">
        <v>1.0</v>
      </c>
      <c r="D538" s="19" t="str">
        <f>A538 &amp; " - " &amp; B538 &amp; " (" &amp; VLOOKUP(C538, Tbl_ColorMap[],2,false) &amp; ")"</f>
        <v>1007102 - Grand Drizzly Scene (Blue)</v>
      </c>
      <c r="E538" s="23"/>
      <c r="L538" s="23"/>
    </row>
    <row r="539">
      <c r="A539" s="19">
        <v>1007110.0</v>
      </c>
      <c r="B539" s="19" t="s">
        <v>112</v>
      </c>
      <c r="C539" s="19">
        <v>1.0</v>
      </c>
      <c r="D539" s="19" t="str">
        <f>A539 &amp; " - " &amp; B539 &amp; " (" &amp; VLOOKUP(C539, Tbl_ColorMap[],2,false) &amp; ")"</f>
        <v>1007110 - Delicate Drizzly Scene (Blue)</v>
      </c>
      <c r="E539" s="23"/>
      <c r="L539" s="23"/>
    </row>
    <row r="540">
      <c r="A540" s="19">
        <v>1007111.0</v>
      </c>
      <c r="B540" s="19" t="s">
        <v>113</v>
      </c>
      <c r="C540" s="19">
        <v>1.0</v>
      </c>
      <c r="D540" s="19" t="str">
        <f>A540 &amp; " - " &amp; B540 &amp; " (" &amp; VLOOKUP(C540, Tbl_ColorMap[],2,false) &amp; ")"</f>
        <v>1007111 - Polished Drizzly Scene (Blue)</v>
      </c>
      <c r="E540" s="23"/>
      <c r="L540" s="23"/>
    </row>
    <row r="541">
      <c r="A541" s="19">
        <v>1007112.0</v>
      </c>
      <c r="B541" s="19" t="s">
        <v>114</v>
      </c>
      <c r="C541" s="19">
        <v>1.0</v>
      </c>
      <c r="D541" s="19" t="str">
        <f>A541 &amp; " - " &amp; B541 &amp; " (" &amp; VLOOKUP(C541, Tbl_ColorMap[],2,false) &amp; ")"</f>
        <v>1007112 - Grand Drizzly Scene (Blue)</v>
      </c>
      <c r="E541" s="23"/>
      <c r="L541" s="23"/>
    </row>
    <row r="542">
      <c r="A542" s="19">
        <v>1007120.0</v>
      </c>
      <c r="B542" s="19" t="s">
        <v>112</v>
      </c>
      <c r="C542" s="19">
        <v>1.0</v>
      </c>
      <c r="D542" s="19" t="str">
        <f>A542 &amp; " - " &amp; B542 &amp; " (" &amp; VLOOKUP(C542, Tbl_ColorMap[],2,false) &amp; ")"</f>
        <v>1007120 - Delicate Drizzly Scene (Blue)</v>
      </c>
      <c r="E542" s="23"/>
      <c r="L542" s="23"/>
    </row>
    <row r="543">
      <c r="A543" s="19">
        <v>1007121.0</v>
      </c>
      <c r="B543" s="19" t="s">
        <v>113</v>
      </c>
      <c r="C543" s="19">
        <v>1.0</v>
      </c>
      <c r="D543" s="19" t="str">
        <f>A543 &amp; " - " &amp; B543 &amp; " (" &amp; VLOOKUP(C543, Tbl_ColorMap[],2,false) &amp; ")"</f>
        <v>1007121 - Polished Drizzly Scene (Blue)</v>
      </c>
      <c r="E543" s="23"/>
      <c r="L543" s="23"/>
    </row>
    <row r="544">
      <c r="A544" s="19">
        <v>1007122.0</v>
      </c>
      <c r="B544" s="19" t="s">
        <v>114</v>
      </c>
      <c r="C544" s="19">
        <v>1.0</v>
      </c>
      <c r="D544" s="19" t="str">
        <f>A544 &amp; " - " &amp; B544 &amp; " (" &amp; VLOOKUP(C544, Tbl_ColorMap[],2,false) &amp; ")"</f>
        <v>1007122 - Grand Drizzly Scene (Blue)</v>
      </c>
      <c r="E544" s="23"/>
      <c r="L544" s="23"/>
    </row>
    <row r="545">
      <c r="A545" s="19">
        <v>1007200.0</v>
      </c>
      <c r="B545" s="19" t="s">
        <v>115</v>
      </c>
      <c r="C545" s="19">
        <v>2.0</v>
      </c>
      <c r="D545" s="19" t="str">
        <f>A545 &amp; " - " &amp; B545 &amp; " (" &amp; VLOOKUP(C545, Tbl_ColorMap[],2,false) &amp; ")"</f>
        <v>1007200 - Delicate Luminous Scene (Yellow)</v>
      </c>
      <c r="E545" s="23"/>
      <c r="L545" s="23"/>
    </row>
    <row r="546">
      <c r="A546" s="19">
        <v>1007201.0</v>
      </c>
      <c r="B546" s="19" t="s">
        <v>116</v>
      </c>
      <c r="C546" s="19">
        <v>2.0</v>
      </c>
      <c r="D546" s="19" t="str">
        <f>A546 &amp; " - " &amp; B546 &amp; " (" &amp; VLOOKUP(C546, Tbl_ColorMap[],2,false) &amp; ")"</f>
        <v>1007201 - Polished Luminous Scene (Yellow)</v>
      </c>
      <c r="E546" s="23"/>
      <c r="L546" s="23"/>
    </row>
    <row r="547">
      <c r="A547" s="19">
        <v>1007202.0</v>
      </c>
      <c r="B547" s="19" t="s">
        <v>117</v>
      </c>
      <c r="C547" s="19">
        <v>2.0</v>
      </c>
      <c r="D547" s="19" t="str">
        <f>A547 &amp; " - " &amp; B547 &amp; " (" &amp; VLOOKUP(C547, Tbl_ColorMap[],2,false) &amp; ")"</f>
        <v>1007202 - Grand Luminous Scene (Yellow)</v>
      </c>
      <c r="E547" s="23"/>
      <c r="L547" s="23"/>
    </row>
    <row r="548">
      <c r="A548" s="19">
        <v>1007210.0</v>
      </c>
      <c r="B548" s="19" t="s">
        <v>115</v>
      </c>
      <c r="C548" s="19">
        <v>2.0</v>
      </c>
      <c r="D548" s="19" t="str">
        <f>A548 &amp; " - " &amp; B548 &amp; " (" &amp; VLOOKUP(C548, Tbl_ColorMap[],2,false) &amp; ")"</f>
        <v>1007210 - Delicate Luminous Scene (Yellow)</v>
      </c>
      <c r="E548" s="23"/>
      <c r="L548" s="23"/>
    </row>
    <row r="549">
      <c r="A549" s="19">
        <v>1007211.0</v>
      </c>
      <c r="B549" s="19" t="s">
        <v>116</v>
      </c>
      <c r="C549" s="19">
        <v>2.0</v>
      </c>
      <c r="D549" s="19" t="str">
        <f>A549 &amp; " - " &amp; B549 &amp; " (" &amp; VLOOKUP(C549, Tbl_ColorMap[],2,false) &amp; ")"</f>
        <v>1007211 - Polished Luminous Scene (Yellow)</v>
      </c>
      <c r="E549" s="23"/>
      <c r="L549" s="23"/>
    </row>
    <row r="550">
      <c r="A550" s="19">
        <v>1007212.0</v>
      </c>
      <c r="B550" s="19" t="s">
        <v>117</v>
      </c>
      <c r="C550" s="19">
        <v>2.0</v>
      </c>
      <c r="D550" s="19" t="str">
        <f>A550 &amp; " - " &amp; B550 &amp; " (" &amp; VLOOKUP(C550, Tbl_ColorMap[],2,false) &amp; ")"</f>
        <v>1007212 - Grand Luminous Scene (Yellow)</v>
      </c>
      <c r="E550" s="23"/>
      <c r="L550" s="23"/>
    </row>
    <row r="551">
      <c r="A551" s="19">
        <v>1007220.0</v>
      </c>
      <c r="B551" s="19" t="s">
        <v>115</v>
      </c>
      <c r="C551" s="19">
        <v>2.0</v>
      </c>
      <c r="D551" s="19" t="str">
        <f>A551 &amp; " - " &amp; B551 &amp; " (" &amp; VLOOKUP(C551, Tbl_ColorMap[],2,false) &amp; ")"</f>
        <v>1007220 - Delicate Luminous Scene (Yellow)</v>
      </c>
      <c r="E551" s="23"/>
      <c r="L551" s="23"/>
    </row>
    <row r="552">
      <c r="A552" s="19">
        <v>1007221.0</v>
      </c>
      <c r="B552" s="19" t="s">
        <v>116</v>
      </c>
      <c r="C552" s="19">
        <v>2.0</v>
      </c>
      <c r="D552" s="19" t="str">
        <f>A552 &amp; " - " &amp; B552 &amp; " (" &amp; VLOOKUP(C552, Tbl_ColorMap[],2,false) &amp; ")"</f>
        <v>1007221 - Polished Luminous Scene (Yellow)</v>
      </c>
      <c r="E552" s="23"/>
      <c r="L552" s="23"/>
    </row>
    <row r="553">
      <c r="A553" s="19">
        <v>1007222.0</v>
      </c>
      <c r="B553" s="19" t="s">
        <v>117</v>
      </c>
      <c r="C553" s="19">
        <v>2.0</v>
      </c>
      <c r="D553" s="19" t="str">
        <f>A553 &amp; " - " &amp; B553 &amp; " (" &amp; VLOOKUP(C553, Tbl_ColorMap[],2,false) &amp; ")"</f>
        <v>1007222 - Grand Luminous Scene (Yellow)</v>
      </c>
      <c r="E553" s="23"/>
      <c r="L553" s="23"/>
    </row>
    <row r="554">
      <c r="A554" s="19">
        <v>1007300.0</v>
      </c>
      <c r="B554" s="19" t="s">
        <v>118</v>
      </c>
      <c r="C554" s="19">
        <v>3.0</v>
      </c>
      <c r="D554" s="19" t="str">
        <f>A554 &amp; " - " &amp; B554 &amp; " (" &amp; VLOOKUP(C554, Tbl_ColorMap[],2,false) &amp; ")"</f>
        <v>1007300 - Delicate Tranquil Scene (Green)</v>
      </c>
      <c r="E554" s="23"/>
      <c r="L554" s="23"/>
    </row>
    <row r="555">
      <c r="A555" s="19">
        <v>1007301.0</v>
      </c>
      <c r="B555" s="19" t="s">
        <v>119</v>
      </c>
      <c r="C555" s="19">
        <v>3.0</v>
      </c>
      <c r="D555" s="19" t="str">
        <f>A555 &amp; " - " &amp; B555 &amp; " (" &amp; VLOOKUP(C555, Tbl_ColorMap[],2,false) &amp; ")"</f>
        <v>1007301 - Polished Tranquil Scene (Green)</v>
      </c>
      <c r="E555" s="23"/>
      <c r="L555" s="23"/>
    </row>
    <row r="556">
      <c r="A556" s="19">
        <v>1007302.0</v>
      </c>
      <c r="B556" s="19" t="s">
        <v>120</v>
      </c>
      <c r="C556" s="19">
        <v>3.0</v>
      </c>
      <c r="D556" s="19" t="str">
        <f>A556 &amp; " - " &amp; B556 &amp; " (" &amp; VLOOKUP(C556, Tbl_ColorMap[],2,false) &amp; ")"</f>
        <v>1007302 - Grand Tranquil Scene (Green)</v>
      </c>
      <c r="E556" s="23"/>
      <c r="L556" s="23"/>
    </row>
    <row r="557">
      <c r="A557" s="19">
        <v>1007310.0</v>
      </c>
      <c r="B557" s="19" t="s">
        <v>118</v>
      </c>
      <c r="C557" s="19">
        <v>3.0</v>
      </c>
      <c r="D557" s="19" t="str">
        <f>A557 &amp; " - " &amp; B557 &amp; " (" &amp; VLOOKUP(C557, Tbl_ColorMap[],2,false) &amp; ")"</f>
        <v>1007310 - Delicate Tranquil Scene (Green)</v>
      </c>
      <c r="E557" s="23"/>
      <c r="L557" s="23"/>
    </row>
    <row r="558">
      <c r="A558" s="19">
        <v>1007311.0</v>
      </c>
      <c r="B558" s="19" t="s">
        <v>119</v>
      </c>
      <c r="C558" s="19">
        <v>3.0</v>
      </c>
      <c r="D558" s="19" t="str">
        <f>A558 &amp; " - " &amp; B558 &amp; " (" &amp; VLOOKUP(C558, Tbl_ColorMap[],2,false) &amp; ")"</f>
        <v>1007311 - Polished Tranquil Scene (Green)</v>
      </c>
      <c r="E558" s="23"/>
      <c r="L558" s="23"/>
    </row>
    <row r="559">
      <c r="A559" s="19">
        <v>1007312.0</v>
      </c>
      <c r="B559" s="19" t="s">
        <v>120</v>
      </c>
      <c r="C559" s="19">
        <v>3.0</v>
      </c>
      <c r="D559" s="19" t="str">
        <f>A559 &amp; " - " &amp; B559 &amp; " (" &amp; VLOOKUP(C559, Tbl_ColorMap[],2,false) &amp; ")"</f>
        <v>1007312 - Grand Tranquil Scene (Green)</v>
      </c>
      <c r="E559" s="23"/>
      <c r="L559" s="23"/>
    </row>
    <row r="560">
      <c r="A560" s="19">
        <v>1007320.0</v>
      </c>
      <c r="B560" s="19" t="s">
        <v>118</v>
      </c>
      <c r="C560" s="19">
        <v>3.0</v>
      </c>
      <c r="D560" s="19" t="str">
        <f>A560 &amp; " - " &amp; B560 &amp; " (" &amp; VLOOKUP(C560, Tbl_ColorMap[],2,false) &amp; ")"</f>
        <v>1007320 - Delicate Tranquil Scene (Green)</v>
      </c>
      <c r="E560" s="23"/>
      <c r="L560" s="23"/>
    </row>
    <row r="561">
      <c r="A561" s="19">
        <v>1007321.0</v>
      </c>
      <c r="B561" s="19" t="s">
        <v>119</v>
      </c>
      <c r="C561" s="19">
        <v>3.0</v>
      </c>
      <c r="D561" s="19" t="str">
        <f>A561 &amp; " - " &amp; B561 &amp; " (" &amp; VLOOKUP(C561, Tbl_ColorMap[],2,false) &amp; ")"</f>
        <v>1007321 - Polished Tranquil Scene (Green)</v>
      </c>
      <c r="E561" s="23"/>
      <c r="L561" s="23"/>
    </row>
    <row r="562">
      <c r="A562" s="19">
        <v>1007322.0</v>
      </c>
      <c r="B562" s="19" t="s">
        <v>120</v>
      </c>
      <c r="C562" s="19">
        <v>3.0</v>
      </c>
      <c r="D562" s="19" t="str">
        <f>A562 &amp; " - " &amp; B562 &amp; " (" &amp; VLOOKUP(C562, Tbl_ColorMap[],2,false) &amp; ")"</f>
        <v>1007322 - Grand Tranquil Scene (Green)</v>
      </c>
      <c r="E562" s="23"/>
      <c r="L562" s="23"/>
    </row>
    <row r="563">
      <c r="A563" s="19">
        <v>1008000.0</v>
      </c>
      <c r="B563" s="19" t="s">
        <v>109</v>
      </c>
      <c r="C563" s="19">
        <v>0.0</v>
      </c>
      <c r="D563" s="19" t="str">
        <f>A563 &amp; " - " &amp; B563 &amp; " (" &amp; VLOOKUP(C563, Tbl_ColorMap[],2,false) &amp; ")"</f>
        <v>1008000 - Delicate Burning Scene (Red)</v>
      </c>
      <c r="E563" s="23"/>
      <c r="L563" s="23"/>
    </row>
    <row r="564">
      <c r="A564" s="19">
        <v>1008001.0</v>
      </c>
      <c r="B564" s="19" t="s">
        <v>110</v>
      </c>
      <c r="C564" s="19">
        <v>0.0</v>
      </c>
      <c r="D564" s="19" t="str">
        <f>A564 &amp; " - " &amp; B564 &amp; " (" &amp; VLOOKUP(C564, Tbl_ColorMap[],2,false) &amp; ")"</f>
        <v>1008001 - Polished Burning Scene (Red)</v>
      </c>
      <c r="E564" s="23"/>
      <c r="L564" s="23"/>
    </row>
    <row r="565">
      <c r="A565" s="19">
        <v>1008002.0</v>
      </c>
      <c r="B565" s="19" t="s">
        <v>111</v>
      </c>
      <c r="C565" s="19">
        <v>0.0</v>
      </c>
      <c r="D565" s="19" t="str">
        <f>A565 &amp; " - " &amp; B565 &amp; " (" &amp; VLOOKUP(C565, Tbl_ColorMap[],2,false) &amp; ")"</f>
        <v>1008002 - Grand Burning Scene (Red)</v>
      </c>
      <c r="E565" s="23"/>
      <c r="L565" s="23"/>
    </row>
    <row r="566">
      <c r="A566" s="19">
        <v>1008010.0</v>
      </c>
      <c r="B566" s="19" t="s">
        <v>109</v>
      </c>
      <c r="C566" s="19">
        <v>0.0</v>
      </c>
      <c r="D566" s="19" t="str">
        <f>A566 &amp; " - " &amp; B566 &amp; " (" &amp; VLOOKUP(C566, Tbl_ColorMap[],2,false) &amp; ")"</f>
        <v>1008010 - Delicate Burning Scene (Red)</v>
      </c>
      <c r="E566" s="23"/>
      <c r="L566" s="23"/>
    </row>
    <row r="567">
      <c r="A567" s="19">
        <v>1008011.0</v>
      </c>
      <c r="B567" s="19" t="s">
        <v>110</v>
      </c>
      <c r="C567" s="19">
        <v>0.0</v>
      </c>
      <c r="D567" s="19" t="str">
        <f>A567 &amp; " - " &amp; B567 &amp; " (" &amp; VLOOKUP(C567, Tbl_ColorMap[],2,false) &amp; ")"</f>
        <v>1008011 - Polished Burning Scene (Red)</v>
      </c>
      <c r="E567" s="23"/>
      <c r="L567" s="23"/>
    </row>
    <row r="568">
      <c r="A568" s="19">
        <v>1008012.0</v>
      </c>
      <c r="B568" s="19" t="s">
        <v>111</v>
      </c>
      <c r="C568" s="19">
        <v>0.0</v>
      </c>
      <c r="D568" s="19" t="str">
        <f>A568 &amp; " - " &amp; B568 &amp; " (" &amp; VLOOKUP(C568, Tbl_ColorMap[],2,false) &amp; ")"</f>
        <v>1008012 - Grand Burning Scene (Red)</v>
      </c>
      <c r="E568" s="23"/>
      <c r="L568" s="23"/>
    </row>
    <row r="569">
      <c r="A569" s="19">
        <v>1008020.0</v>
      </c>
      <c r="B569" s="19" t="s">
        <v>109</v>
      </c>
      <c r="C569" s="19">
        <v>0.0</v>
      </c>
      <c r="D569" s="19" t="str">
        <f>A569 &amp; " - " &amp; B569 &amp; " (" &amp; VLOOKUP(C569, Tbl_ColorMap[],2,false) &amp; ")"</f>
        <v>1008020 - Delicate Burning Scene (Red)</v>
      </c>
      <c r="E569" s="23"/>
      <c r="L569" s="23"/>
    </row>
    <row r="570">
      <c r="A570" s="19">
        <v>1008021.0</v>
      </c>
      <c r="B570" s="19" t="s">
        <v>110</v>
      </c>
      <c r="C570" s="19">
        <v>0.0</v>
      </c>
      <c r="D570" s="19" t="str">
        <f>A570 &amp; " - " &amp; B570 &amp; " (" &amp; VLOOKUP(C570, Tbl_ColorMap[],2,false) &amp; ")"</f>
        <v>1008021 - Polished Burning Scene (Red)</v>
      </c>
      <c r="E570" s="23"/>
      <c r="L570" s="23"/>
    </row>
    <row r="571">
      <c r="A571" s="19">
        <v>1008022.0</v>
      </c>
      <c r="B571" s="19" t="s">
        <v>111</v>
      </c>
      <c r="C571" s="19">
        <v>0.0</v>
      </c>
      <c r="D571" s="19" t="str">
        <f>A571 &amp; " - " &amp; B571 &amp; " (" &amp; VLOOKUP(C571, Tbl_ColorMap[],2,false) &amp; ")"</f>
        <v>1008022 - Grand Burning Scene (Red)</v>
      </c>
      <c r="E571" s="23"/>
      <c r="L571" s="23"/>
    </row>
    <row r="572">
      <c r="A572" s="19">
        <v>1008100.0</v>
      </c>
      <c r="B572" s="19" t="s">
        <v>112</v>
      </c>
      <c r="C572" s="19">
        <v>1.0</v>
      </c>
      <c r="D572" s="19" t="str">
        <f>A572 &amp; " - " &amp; B572 &amp; " (" &amp; VLOOKUP(C572, Tbl_ColorMap[],2,false) &amp; ")"</f>
        <v>1008100 - Delicate Drizzly Scene (Blue)</v>
      </c>
      <c r="E572" s="23"/>
      <c r="L572" s="23"/>
    </row>
    <row r="573">
      <c r="A573" s="19">
        <v>1008101.0</v>
      </c>
      <c r="B573" s="19" t="s">
        <v>113</v>
      </c>
      <c r="C573" s="19">
        <v>1.0</v>
      </c>
      <c r="D573" s="19" t="str">
        <f>A573 &amp; " - " &amp; B573 &amp; " (" &amp; VLOOKUP(C573, Tbl_ColorMap[],2,false) &amp; ")"</f>
        <v>1008101 - Polished Drizzly Scene (Blue)</v>
      </c>
      <c r="E573" s="23"/>
      <c r="L573" s="23"/>
    </row>
    <row r="574">
      <c r="A574" s="19">
        <v>1008102.0</v>
      </c>
      <c r="B574" s="19" t="s">
        <v>114</v>
      </c>
      <c r="C574" s="19">
        <v>1.0</v>
      </c>
      <c r="D574" s="19" t="str">
        <f>A574 &amp; " - " &amp; B574 &amp; " (" &amp; VLOOKUP(C574, Tbl_ColorMap[],2,false) &amp; ")"</f>
        <v>1008102 - Grand Drizzly Scene (Blue)</v>
      </c>
      <c r="E574" s="23"/>
      <c r="L574" s="23"/>
    </row>
    <row r="575">
      <c r="A575" s="19">
        <v>1008110.0</v>
      </c>
      <c r="B575" s="19" t="s">
        <v>112</v>
      </c>
      <c r="C575" s="19">
        <v>1.0</v>
      </c>
      <c r="D575" s="19" t="str">
        <f>A575 &amp; " - " &amp; B575 &amp; " (" &amp; VLOOKUP(C575, Tbl_ColorMap[],2,false) &amp; ")"</f>
        <v>1008110 - Delicate Drizzly Scene (Blue)</v>
      </c>
      <c r="E575" s="23"/>
      <c r="L575" s="23"/>
    </row>
    <row r="576">
      <c r="A576" s="19">
        <v>1008111.0</v>
      </c>
      <c r="B576" s="19" t="s">
        <v>113</v>
      </c>
      <c r="C576" s="19">
        <v>1.0</v>
      </c>
      <c r="D576" s="19" t="str">
        <f>A576 &amp; " - " &amp; B576 &amp; " (" &amp; VLOOKUP(C576, Tbl_ColorMap[],2,false) &amp; ")"</f>
        <v>1008111 - Polished Drizzly Scene (Blue)</v>
      </c>
      <c r="E576" s="23"/>
      <c r="L576" s="23"/>
    </row>
    <row r="577">
      <c r="A577" s="19">
        <v>1008112.0</v>
      </c>
      <c r="B577" s="19" t="s">
        <v>114</v>
      </c>
      <c r="C577" s="19">
        <v>1.0</v>
      </c>
      <c r="D577" s="19" t="str">
        <f>A577 &amp; " - " &amp; B577 &amp; " (" &amp; VLOOKUP(C577, Tbl_ColorMap[],2,false) &amp; ")"</f>
        <v>1008112 - Grand Drizzly Scene (Blue)</v>
      </c>
      <c r="E577" s="23"/>
      <c r="L577" s="23"/>
    </row>
    <row r="578">
      <c r="A578" s="19">
        <v>1008120.0</v>
      </c>
      <c r="B578" s="19" t="s">
        <v>112</v>
      </c>
      <c r="C578" s="19">
        <v>1.0</v>
      </c>
      <c r="D578" s="19" t="str">
        <f>A578 &amp; " - " &amp; B578 &amp; " (" &amp; VLOOKUP(C578, Tbl_ColorMap[],2,false) &amp; ")"</f>
        <v>1008120 - Delicate Drizzly Scene (Blue)</v>
      </c>
      <c r="E578" s="23"/>
      <c r="L578" s="23"/>
    </row>
    <row r="579">
      <c r="A579" s="19">
        <v>1008121.0</v>
      </c>
      <c r="B579" s="19" t="s">
        <v>113</v>
      </c>
      <c r="C579" s="19">
        <v>1.0</v>
      </c>
      <c r="D579" s="19" t="str">
        <f>A579 &amp; " - " &amp; B579 &amp; " (" &amp; VLOOKUP(C579, Tbl_ColorMap[],2,false) &amp; ")"</f>
        <v>1008121 - Polished Drizzly Scene (Blue)</v>
      </c>
      <c r="E579" s="23"/>
      <c r="L579" s="23"/>
    </row>
    <row r="580">
      <c r="A580" s="19">
        <v>1008122.0</v>
      </c>
      <c r="B580" s="19" t="s">
        <v>114</v>
      </c>
      <c r="C580" s="19">
        <v>1.0</v>
      </c>
      <c r="D580" s="19" t="str">
        <f>A580 &amp; " - " &amp; B580 &amp; " (" &amp; VLOOKUP(C580, Tbl_ColorMap[],2,false) &amp; ")"</f>
        <v>1008122 - Grand Drizzly Scene (Blue)</v>
      </c>
      <c r="E580" s="23"/>
      <c r="L580" s="23"/>
    </row>
    <row r="581">
      <c r="A581" s="19">
        <v>1008200.0</v>
      </c>
      <c r="B581" s="19" t="s">
        <v>115</v>
      </c>
      <c r="C581" s="19">
        <v>2.0</v>
      </c>
      <c r="D581" s="19" t="str">
        <f>A581 &amp; " - " &amp; B581 &amp; " (" &amp; VLOOKUP(C581, Tbl_ColorMap[],2,false) &amp; ")"</f>
        <v>1008200 - Delicate Luminous Scene (Yellow)</v>
      </c>
      <c r="E581" s="23"/>
      <c r="L581" s="23"/>
    </row>
    <row r="582">
      <c r="A582" s="19">
        <v>1008201.0</v>
      </c>
      <c r="B582" s="19" t="s">
        <v>116</v>
      </c>
      <c r="C582" s="19">
        <v>2.0</v>
      </c>
      <c r="D582" s="19" t="str">
        <f>A582 &amp; " - " &amp; B582 &amp; " (" &amp; VLOOKUP(C582, Tbl_ColorMap[],2,false) &amp; ")"</f>
        <v>1008201 - Polished Luminous Scene (Yellow)</v>
      </c>
      <c r="E582" s="23"/>
      <c r="L582" s="23"/>
    </row>
    <row r="583">
      <c r="A583" s="19">
        <v>1008202.0</v>
      </c>
      <c r="B583" s="19" t="s">
        <v>117</v>
      </c>
      <c r="C583" s="19">
        <v>2.0</v>
      </c>
      <c r="D583" s="19" t="str">
        <f>A583 &amp; " - " &amp; B583 &amp; " (" &amp; VLOOKUP(C583, Tbl_ColorMap[],2,false) &amp; ")"</f>
        <v>1008202 - Grand Luminous Scene (Yellow)</v>
      </c>
      <c r="E583" s="23"/>
      <c r="L583" s="23"/>
    </row>
    <row r="584">
      <c r="A584" s="19">
        <v>1008210.0</v>
      </c>
      <c r="B584" s="19" t="s">
        <v>115</v>
      </c>
      <c r="C584" s="19">
        <v>2.0</v>
      </c>
      <c r="D584" s="19" t="str">
        <f>A584 &amp; " - " &amp; B584 &amp; " (" &amp; VLOOKUP(C584, Tbl_ColorMap[],2,false) &amp; ")"</f>
        <v>1008210 - Delicate Luminous Scene (Yellow)</v>
      </c>
      <c r="E584" s="23"/>
      <c r="L584" s="23"/>
    </row>
    <row r="585">
      <c r="A585" s="19">
        <v>1008211.0</v>
      </c>
      <c r="B585" s="19" t="s">
        <v>116</v>
      </c>
      <c r="C585" s="19">
        <v>2.0</v>
      </c>
      <c r="D585" s="19" t="str">
        <f>A585 &amp; " - " &amp; B585 &amp; " (" &amp; VLOOKUP(C585, Tbl_ColorMap[],2,false) &amp; ")"</f>
        <v>1008211 - Polished Luminous Scene (Yellow)</v>
      </c>
      <c r="E585" s="23"/>
      <c r="L585" s="23"/>
    </row>
    <row r="586">
      <c r="A586" s="19">
        <v>1008212.0</v>
      </c>
      <c r="B586" s="19" t="s">
        <v>117</v>
      </c>
      <c r="C586" s="19">
        <v>2.0</v>
      </c>
      <c r="D586" s="19" t="str">
        <f>A586 &amp; " - " &amp; B586 &amp; " (" &amp; VLOOKUP(C586, Tbl_ColorMap[],2,false) &amp; ")"</f>
        <v>1008212 - Grand Luminous Scene (Yellow)</v>
      </c>
      <c r="E586" s="23"/>
      <c r="L586" s="23"/>
    </row>
    <row r="587">
      <c r="A587" s="19">
        <v>1008220.0</v>
      </c>
      <c r="B587" s="19" t="s">
        <v>115</v>
      </c>
      <c r="C587" s="19">
        <v>2.0</v>
      </c>
      <c r="D587" s="19" t="str">
        <f>A587 &amp; " - " &amp; B587 &amp; " (" &amp; VLOOKUP(C587, Tbl_ColorMap[],2,false) &amp; ")"</f>
        <v>1008220 - Delicate Luminous Scene (Yellow)</v>
      </c>
      <c r="E587" s="23"/>
      <c r="L587" s="23"/>
    </row>
    <row r="588">
      <c r="A588" s="19">
        <v>1008221.0</v>
      </c>
      <c r="B588" s="19" t="s">
        <v>116</v>
      </c>
      <c r="C588" s="19">
        <v>2.0</v>
      </c>
      <c r="D588" s="19" t="str">
        <f>A588 &amp; " - " &amp; B588 &amp; " (" &amp; VLOOKUP(C588, Tbl_ColorMap[],2,false) &amp; ")"</f>
        <v>1008221 - Polished Luminous Scene (Yellow)</v>
      </c>
      <c r="E588" s="23"/>
      <c r="L588" s="23"/>
    </row>
    <row r="589">
      <c r="A589" s="19">
        <v>1008222.0</v>
      </c>
      <c r="B589" s="19" t="s">
        <v>117</v>
      </c>
      <c r="C589" s="19">
        <v>2.0</v>
      </c>
      <c r="D589" s="19" t="str">
        <f>A589 &amp; " - " &amp; B589 &amp; " (" &amp; VLOOKUP(C589, Tbl_ColorMap[],2,false) &amp; ")"</f>
        <v>1008222 - Grand Luminous Scene (Yellow)</v>
      </c>
      <c r="E589" s="23"/>
      <c r="L589" s="23"/>
    </row>
    <row r="590">
      <c r="A590" s="19">
        <v>1008300.0</v>
      </c>
      <c r="B590" s="19" t="s">
        <v>118</v>
      </c>
      <c r="C590" s="19">
        <v>3.0</v>
      </c>
      <c r="D590" s="19" t="str">
        <f>A590 &amp; " - " &amp; B590 &amp; " (" &amp; VLOOKUP(C590, Tbl_ColorMap[],2,false) &amp; ")"</f>
        <v>1008300 - Delicate Tranquil Scene (Green)</v>
      </c>
      <c r="E590" s="23"/>
      <c r="L590" s="23"/>
    </row>
    <row r="591">
      <c r="A591" s="19">
        <v>1008301.0</v>
      </c>
      <c r="B591" s="19" t="s">
        <v>119</v>
      </c>
      <c r="C591" s="19">
        <v>3.0</v>
      </c>
      <c r="D591" s="19" t="str">
        <f>A591 &amp; " - " &amp; B591 &amp; " (" &amp; VLOOKUP(C591, Tbl_ColorMap[],2,false) &amp; ")"</f>
        <v>1008301 - Polished Tranquil Scene (Green)</v>
      </c>
      <c r="E591" s="23"/>
      <c r="L591" s="23"/>
    </row>
    <row r="592">
      <c r="A592" s="19">
        <v>1008302.0</v>
      </c>
      <c r="B592" s="19" t="s">
        <v>120</v>
      </c>
      <c r="C592" s="19">
        <v>3.0</v>
      </c>
      <c r="D592" s="19" t="str">
        <f>A592 &amp; " - " &amp; B592 &amp; " (" &amp; VLOOKUP(C592, Tbl_ColorMap[],2,false) &amp; ")"</f>
        <v>1008302 - Grand Tranquil Scene (Green)</v>
      </c>
      <c r="E592" s="23"/>
      <c r="L592" s="23"/>
    </row>
    <row r="593">
      <c r="A593" s="19">
        <v>1008310.0</v>
      </c>
      <c r="B593" s="19" t="s">
        <v>118</v>
      </c>
      <c r="C593" s="19">
        <v>3.0</v>
      </c>
      <c r="D593" s="19" t="str">
        <f>A593 &amp; " - " &amp; B593 &amp; " (" &amp; VLOOKUP(C593, Tbl_ColorMap[],2,false) &amp; ")"</f>
        <v>1008310 - Delicate Tranquil Scene (Green)</v>
      </c>
      <c r="E593" s="23"/>
      <c r="L593" s="23"/>
    </row>
    <row r="594">
      <c r="A594" s="19">
        <v>1008311.0</v>
      </c>
      <c r="B594" s="19" t="s">
        <v>119</v>
      </c>
      <c r="C594" s="19">
        <v>3.0</v>
      </c>
      <c r="D594" s="19" t="str">
        <f>A594 &amp; " - " &amp; B594 &amp; " (" &amp; VLOOKUP(C594, Tbl_ColorMap[],2,false) &amp; ")"</f>
        <v>1008311 - Polished Tranquil Scene (Green)</v>
      </c>
      <c r="E594" s="23"/>
      <c r="L594" s="23"/>
    </row>
    <row r="595">
      <c r="A595" s="19">
        <v>1008312.0</v>
      </c>
      <c r="B595" s="19" t="s">
        <v>120</v>
      </c>
      <c r="C595" s="19">
        <v>3.0</v>
      </c>
      <c r="D595" s="19" t="str">
        <f>A595 &amp; " - " &amp; B595 &amp; " (" &amp; VLOOKUP(C595, Tbl_ColorMap[],2,false) &amp; ")"</f>
        <v>1008312 - Grand Tranquil Scene (Green)</v>
      </c>
      <c r="E595" s="23"/>
      <c r="L595" s="23"/>
    </row>
    <row r="596">
      <c r="A596" s="19">
        <v>1008320.0</v>
      </c>
      <c r="B596" s="19" t="s">
        <v>118</v>
      </c>
      <c r="C596" s="19">
        <v>3.0</v>
      </c>
      <c r="D596" s="19" t="str">
        <f>A596 &amp; " - " &amp; B596 &amp; " (" &amp; VLOOKUP(C596, Tbl_ColorMap[],2,false) &amp; ")"</f>
        <v>1008320 - Delicate Tranquil Scene (Green)</v>
      </c>
      <c r="E596" s="23"/>
      <c r="L596" s="23"/>
    </row>
    <row r="597">
      <c r="A597" s="19">
        <v>1008321.0</v>
      </c>
      <c r="B597" s="19" t="s">
        <v>119</v>
      </c>
      <c r="C597" s="19">
        <v>3.0</v>
      </c>
      <c r="D597" s="19" t="str">
        <f>A597 &amp; " - " &amp; B597 &amp; " (" &amp; VLOOKUP(C597, Tbl_ColorMap[],2,false) &amp; ")"</f>
        <v>1008321 - Polished Tranquil Scene (Green)</v>
      </c>
      <c r="E597" s="23"/>
      <c r="L597" s="23"/>
    </row>
    <row r="598">
      <c r="A598" s="19">
        <v>1008322.0</v>
      </c>
      <c r="B598" s="19" t="s">
        <v>120</v>
      </c>
      <c r="C598" s="19">
        <v>3.0</v>
      </c>
      <c r="D598" s="19" t="str">
        <f>A598 &amp; " - " &amp; B598 &amp; " (" &amp; VLOOKUP(C598, Tbl_ColorMap[],2,false) &amp; ")"</f>
        <v>1008322 - Grand Tranquil Scene (Green)</v>
      </c>
      <c r="E598" s="23"/>
      <c r="L598" s="23"/>
    </row>
    <row r="599">
      <c r="A599" s="19">
        <v>1009000.0</v>
      </c>
      <c r="B599" s="19" t="s">
        <v>109</v>
      </c>
      <c r="C599" s="19">
        <v>0.0</v>
      </c>
      <c r="D599" s="19" t="str">
        <f>A599 &amp; " - " &amp; B599 &amp; " (" &amp; VLOOKUP(C599, Tbl_ColorMap[],2,false) &amp; ")"</f>
        <v>1009000 - Delicate Burning Scene (Red)</v>
      </c>
      <c r="E599" s="23"/>
      <c r="L599" s="23"/>
    </row>
    <row r="600">
      <c r="A600" s="19">
        <v>1009001.0</v>
      </c>
      <c r="B600" s="19" t="s">
        <v>110</v>
      </c>
      <c r="C600" s="19">
        <v>0.0</v>
      </c>
      <c r="D600" s="19" t="str">
        <f>A600 &amp; " - " &amp; B600 &amp; " (" &amp; VLOOKUP(C600, Tbl_ColorMap[],2,false) &amp; ")"</f>
        <v>1009001 - Polished Burning Scene (Red)</v>
      </c>
      <c r="E600" s="23"/>
      <c r="L600" s="23"/>
    </row>
    <row r="601">
      <c r="A601" s="19">
        <v>1009002.0</v>
      </c>
      <c r="B601" s="19" t="s">
        <v>111</v>
      </c>
      <c r="C601" s="19">
        <v>0.0</v>
      </c>
      <c r="D601" s="19" t="str">
        <f>A601 &amp; " - " &amp; B601 &amp; " (" &amp; VLOOKUP(C601, Tbl_ColorMap[],2,false) &amp; ")"</f>
        <v>1009002 - Grand Burning Scene (Red)</v>
      </c>
      <c r="E601" s="23"/>
      <c r="L601" s="23"/>
    </row>
    <row r="602">
      <c r="A602" s="19">
        <v>1009010.0</v>
      </c>
      <c r="B602" s="19" t="s">
        <v>109</v>
      </c>
      <c r="C602" s="19">
        <v>0.0</v>
      </c>
      <c r="D602" s="19" t="str">
        <f>A602 &amp; " - " &amp; B602 &amp; " (" &amp; VLOOKUP(C602, Tbl_ColorMap[],2,false) &amp; ")"</f>
        <v>1009010 - Delicate Burning Scene (Red)</v>
      </c>
      <c r="E602" s="23"/>
      <c r="L602" s="23"/>
    </row>
    <row r="603">
      <c r="A603" s="19">
        <v>1009011.0</v>
      </c>
      <c r="B603" s="19" t="s">
        <v>110</v>
      </c>
      <c r="C603" s="19">
        <v>0.0</v>
      </c>
      <c r="D603" s="19" t="str">
        <f>A603 &amp; " - " &amp; B603 &amp; " (" &amp; VLOOKUP(C603, Tbl_ColorMap[],2,false) &amp; ")"</f>
        <v>1009011 - Polished Burning Scene (Red)</v>
      </c>
      <c r="E603" s="23"/>
      <c r="L603" s="23"/>
    </row>
    <row r="604">
      <c r="A604" s="19">
        <v>1009012.0</v>
      </c>
      <c r="B604" s="19" t="s">
        <v>111</v>
      </c>
      <c r="C604" s="19">
        <v>0.0</v>
      </c>
      <c r="D604" s="19" t="str">
        <f>A604 &amp; " - " &amp; B604 &amp; " (" &amp; VLOOKUP(C604, Tbl_ColorMap[],2,false) &amp; ")"</f>
        <v>1009012 - Grand Burning Scene (Red)</v>
      </c>
      <c r="E604" s="23"/>
      <c r="L604" s="23"/>
    </row>
    <row r="605">
      <c r="A605" s="19">
        <v>1009020.0</v>
      </c>
      <c r="B605" s="19" t="s">
        <v>109</v>
      </c>
      <c r="C605" s="19">
        <v>0.0</v>
      </c>
      <c r="D605" s="19" t="str">
        <f>A605 &amp; " - " &amp; B605 &amp; " (" &amp; VLOOKUP(C605, Tbl_ColorMap[],2,false) &amp; ")"</f>
        <v>1009020 - Delicate Burning Scene (Red)</v>
      </c>
      <c r="E605" s="23"/>
      <c r="L605" s="23"/>
    </row>
    <row r="606">
      <c r="A606" s="19">
        <v>1009021.0</v>
      </c>
      <c r="B606" s="19" t="s">
        <v>110</v>
      </c>
      <c r="C606" s="19">
        <v>0.0</v>
      </c>
      <c r="D606" s="19" t="str">
        <f>A606 &amp; " - " &amp; B606 &amp; " (" &amp; VLOOKUP(C606, Tbl_ColorMap[],2,false) &amp; ")"</f>
        <v>1009021 - Polished Burning Scene (Red)</v>
      </c>
      <c r="E606" s="23"/>
      <c r="L606" s="23"/>
    </row>
    <row r="607">
      <c r="A607" s="19">
        <v>1009022.0</v>
      </c>
      <c r="B607" s="19" t="s">
        <v>111</v>
      </c>
      <c r="C607" s="19">
        <v>0.0</v>
      </c>
      <c r="D607" s="19" t="str">
        <f>A607 &amp; " - " &amp; B607 &amp; " (" &amp; VLOOKUP(C607, Tbl_ColorMap[],2,false) &amp; ")"</f>
        <v>1009022 - Grand Burning Scene (Red)</v>
      </c>
      <c r="E607" s="23"/>
      <c r="L607" s="23"/>
    </row>
    <row r="608">
      <c r="A608" s="19">
        <v>1009100.0</v>
      </c>
      <c r="B608" s="19" t="s">
        <v>112</v>
      </c>
      <c r="C608" s="19">
        <v>1.0</v>
      </c>
      <c r="D608" s="19" t="str">
        <f>A608 &amp; " - " &amp; B608 &amp; " (" &amp; VLOOKUP(C608, Tbl_ColorMap[],2,false) &amp; ")"</f>
        <v>1009100 - Delicate Drizzly Scene (Blue)</v>
      </c>
      <c r="E608" s="23"/>
      <c r="L608" s="23"/>
    </row>
    <row r="609">
      <c r="A609" s="19">
        <v>1009101.0</v>
      </c>
      <c r="B609" s="19" t="s">
        <v>113</v>
      </c>
      <c r="C609" s="19">
        <v>1.0</v>
      </c>
      <c r="D609" s="19" t="str">
        <f>A609 &amp; " - " &amp; B609 &amp; " (" &amp; VLOOKUP(C609, Tbl_ColorMap[],2,false) &amp; ")"</f>
        <v>1009101 - Polished Drizzly Scene (Blue)</v>
      </c>
      <c r="E609" s="23"/>
      <c r="L609" s="23"/>
    </row>
    <row r="610">
      <c r="A610" s="19">
        <v>1009102.0</v>
      </c>
      <c r="B610" s="19" t="s">
        <v>114</v>
      </c>
      <c r="C610" s="19">
        <v>1.0</v>
      </c>
      <c r="D610" s="19" t="str">
        <f>A610 &amp; " - " &amp; B610 &amp; " (" &amp; VLOOKUP(C610, Tbl_ColorMap[],2,false) &amp; ")"</f>
        <v>1009102 - Grand Drizzly Scene (Blue)</v>
      </c>
      <c r="E610" s="23"/>
      <c r="L610" s="23"/>
    </row>
    <row r="611">
      <c r="A611" s="19">
        <v>1009110.0</v>
      </c>
      <c r="B611" s="19" t="s">
        <v>112</v>
      </c>
      <c r="C611" s="19">
        <v>1.0</v>
      </c>
      <c r="D611" s="19" t="str">
        <f>A611 &amp; " - " &amp; B611 &amp; " (" &amp; VLOOKUP(C611, Tbl_ColorMap[],2,false) &amp; ")"</f>
        <v>1009110 - Delicate Drizzly Scene (Blue)</v>
      </c>
      <c r="E611" s="23"/>
      <c r="L611" s="23"/>
    </row>
    <row r="612">
      <c r="A612" s="19">
        <v>1009111.0</v>
      </c>
      <c r="B612" s="19" t="s">
        <v>113</v>
      </c>
      <c r="C612" s="19">
        <v>1.0</v>
      </c>
      <c r="D612" s="19" t="str">
        <f>A612 &amp; " - " &amp; B612 &amp; " (" &amp; VLOOKUP(C612, Tbl_ColorMap[],2,false) &amp; ")"</f>
        <v>1009111 - Polished Drizzly Scene (Blue)</v>
      </c>
      <c r="E612" s="23"/>
      <c r="L612" s="23"/>
    </row>
    <row r="613">
      <c r="A613" s="19">
        <v>1009112.0</v>
      </c>
      <c r="B613" s="19" t="s">
        <v>114</v>
      </c>
      <c r="C613" s="19">
        <v>1.0</v>
      </c>
      <c r="D613" s="19" t="str">
        <f>A613 &amp; " - " &amp; B613 &amp; " (" &amp; VLOOKUP(C613, Tbl_ColorMap[],2,false) &amp; ")"</f>
        <v>1009112 - Grand Drizzly Scene (Blue)</v>
      </c>
      <c r="E613" s="23"/>
      <c r="L613" s="23"/>
    </row>
    <row r="614">
      <c r="A614" s="19">
        <v>1009120.0</v>
      </c>
      <c r="B614" s="19" t="s">
        <v>112</v>
      </c>
      <c r="C614" s="19">
        <v>1.0</v>
      </c>
      <c r="D614" s="19" t="str">
        <f>A614 &amp; " - " &amp; B614 &amp; " (" &amp; VLOOKUP(C614, Tbl_ColorMap[],2,false) &amp; ")"</f>
        <v>1009120 - Delicate Drizzly Scene (Blue)</v>
      </c>
      <c r="E614" s="23"/>
      <c r="L614" s="23"/>
    </row>
    <row r="615">
      <c r="A615" s="19">
        <v>1009121.0</v>
      </c>
      <c r="B615" s="19" t="s">
        <v>113</v>
      </c>
      <c r="C615" s="19">
        <v>1.0</v>
      </c>
      <c r="D615" s="19" t="str">
        <f>A615 &amp; " - " &amp; B615 &amp; " (" &amp; VLOOKUP(C615, Tbl_ColorMap[],2,false) &amp; ")"</f>
        <v>1009121 - Polished Drizzly Scene (Blue)</v>
      </c>
      <c r="E615" s="23"/>
      <c r="L615" s="23"/>
    </row>
    <row r="616">
      <c r="A616" s="19">
        <v>1009122.0</v>
      </c>
      <c r="B616" s="19" t="s">
        <v>114</v>
      </c>
      <c r="C616" s="19">
        <v>1.0</v>
      </c>
      <c r="D616" s="19" t="str">
        <f>A616 &amp; " - " &amp; B616 &amp; " (" &amp; VLOOKUP(C616, Tbl_ColorMap[],2,false) &amp; ")"</f>
        <v>1009122 - Grand Drizzly Scene (Blue)</v>
      </c>
      <c r="E616" s="23"/>
      <c r="L616" s="23"/>
    </row>
    <row r="617">
      <c r="A617" s="19">
        <v>1009200.0</v>
      </c>
      <c r="B617" s="19" t="s">
        <v>115</v>
      </c>
      <c r="C617" s="19">
        <v>2.0</v>
      </c>
      <c r="D617" s="19" t="str">
        <f>A617 &amp; " - " &amp; B617 &amp; " (" &amp; VLOOKUP(C617, Tbl_ColorMap[],2,false) &amp; ")"</f>
        <v>1009200 - Delicate Luminous Scene (Yellow)</v>
      </c>
      <c r="E617" s="23"/>
      <c r="L617" s="23"/>
    </row>
    <row r="618">
      <c r="A618" s="19">
        <v>1009201.0</v>
      </c>
      <c r="B618" s="19" t="s">
        <v>116</v>
      </c>
      <c r="C618" s="19">
        <v>2.0</v>
      </c>
      <c r="D618" s="19" t="str">
        <f>A618 &amp; " - " &amp; B618 &amp; " (" &amp; VLOOKUP(C618, Tbl_ColorMap[],2,false) &amp; ")"</f>
        <v>1009201 - Polished Luminous Scene (Yellow)</v>
      </c>
      <c r="E618" s="23"/>
      <c r="L618" s="23"/>
    </row>
    <row r="619">
      <c r="A619" s="19">
        <v>1009202.0</v>
      </c>
      <c r="B619" s="19" t="s">
        <v>117</v>
      </c>
      <c r="C619" s="19">
        <v>2.0</v>
      </c>
      <c r="D619" s="19" t="str">
        <f>A619 &amp; " - " &amp; B619 &amp; " (" &amp; VLOOKUP(C619, Tbl_ColorMap[],2,false) &amp; ")"</f>
        <v>1009202 - Grand Luminous Scene (Yellow)</v>
      </c>
      <c r="E619" s="23"/>
      <c r="L619" s="23"/>
    </row>
    <row r="620">
      <c r="A620" s="19">
        <v>1009210.0</v>
      </c>
      <c r="B620" s="19" t="s">
        <v>115</v>
      </c>
      <c r="C620" s="19">
        <v>2.0</v>
      </c>
      <c r="D620" s="19" t="str">
        <f>A620 &amp; " - " &amp; B620 &amp; " (" &amp; VLOOKUP(C620, Tbl_ColorMap[],2,false) &amp; ")"</f>
        <v>1009210 - Delicate Luminous Scene (Yellow)</v>
      </c>
      <c r="E620" s="23"/>
      <c r="L620" s="23"/>
    </row>
    <row r="621">
      <c r="A621" s="19">
        <v>1009211.0</v>
      </c>
      <c r="B621" s="19" t="s">
        <v>116</v>
      </c>
      <c r="C621" s="19">
        <v>2.0</v>
      </c>
      <c r="D621" s="19" t="str">
        <f>A621 &amp; " - " &amp; B621 &amp; " (" &amp; VLOOKUP(C621, Tbl_ColorMap[],2,false) &amp; ")"</f>
        <v>1009211 - Polished Luminous Scene (Yellow)</v>
      </c>
      <c r="E621" s="23"/>
      <c r="L621" s="23"/>
    </row>
    <row r="622">
      <c r="A622" s="19">
        <v>1009212.0</v>
      </c>
      <c r="B622" s="19" t="s">
        <v>117</v>
      </c>
      <c r="C622" s="19">
        <v>2.0</v>
      </c>
      <c r="D622" s="19" t="str">
        <f>A622 &amp; " - " &amp; B622 &amp; " (" &amp; VLOOKUP(C622, Tbl_ColorMap[],2,false) &amp; ")"</f>
        <v>1009212 - Grand Luminous Scene (Yellow)</v>
      </c>
      <c r="E622" s="23"/>
      <c r="L622" s="23"/>
    </row>
    <row r="623">
      <c r="A623" s="19">
        <v>1009220.0</v>
      </c>
      <c r="B623" s="19" t="s">
        <v>115</v>
      </c>
      <c r="C623" s="19">
        <v>2.0</v>
      </c>
      <c r="D623" s="19" t="str">
        <f>A623 &amp; " - " &amp; B623 &amp; " (" &amp; VLOOKUP(C623, Tbl_ColorMap[],2,false) &amp; ")"</f>
        <v>1009220 - Delicate Luminous Scene (Yellow)</v>
      </c>
      <c r="E623" s="23"/>
      <c r="L623" s="23"/>
    </row>
    <row r="624">
      <c r="A624" s="19">
        <v>1009221.0</v>
      </c>
      <c r="B624" s="19" t="s">
        <v>116</v>
      </c>
      <c r="C624" s="19">
        <v>2.0</v>
      </c>
      <c r="D624" s="19" t="str">
        <f>A624 &amp; " - " &amp; B624 &amp; " (" &amp; VLOOKUP(C624, Tbl_ColorMap[],2,false) &amp; ")"</f>
        <v>1009221 - Polished Luminous Scene (Yellow)</v>
      </c>
      <c r="E624" s="23"/>
      <c r="L624" s="23"/>
    </row>
    <row r="625">
      <c r="A625" s="19">
        <v>1009222.0</v>
      </c>
      <c r="B625" s="19" t="s">
        <v>117</v>
      </c>
      <c r="C625" s="19">
        <v>2.0</v>
      </c>
      <c r="D625" s="19" t="str">
        <f>A625 &amp; " - " &amp; B625 &amp; " (" &amp; VLOOKUP(C625, Tbl_ColorMap[],2,false) &amp; ")"</f>
        <v>1009222 - Grand Luminous Scene (Yellow)</v>
      </c>
      <c r="E625" s="23"/>
      <c r="L625" s="23"/>
    </row>
    <row r="626">
      <c r="A626" s="19">
        <v>1009300.0</v>
      </c>
      <c r="B626" s="19" t="s">
        <v>118</v>
      </c>
      <c r="C626" s="19">
        <v>3.0</v>
      </c>
      <c r="D626" s="19" t="str">
        <f>A626 &amp; " - " &amp; B626 &amp; " (" &amp; VLOOKUP(C626, Tbl_ColorMap[],2,false) &amp; ")"</f>
        <v>1009300 - Delicate Tranquil Scene (Green)</v>
      </c>
      <c r="E626" s="23"/>
      <c r="L626" s="23"/>
    </row>
    <row r="627">
      <c r="A627" s="19">
        <v>1009301.0</v>
      </c>
      <c r="B627" s="19" t="s">
        <v>119</v>
      </c>
      <c r="C627" s="19">
        <v>3.0</v>
      </c>
      <c r="D627" s="19" t="str">
        <f>A627 &amp; " - " &amp; B627 &amp; " (" &amp; VLOOKUP(C627, Tbl_ColorMap[],2,false) &amp; ")"</f>
        <v>1009301 - Polished Tranquil Scene (Green)</v>
      </c>
      <c r="E627" s="23"/>
      <c r="L627" s="23"/>
    </row>
    <row r="628">
      <c r="A628" s="19">
        <v>1009302.0</v>
      </c>
      <c r="B628" s="19" t="s">
        <v>120</v>
      </c>
      <c r="C628" s="19">
        <v>3.0</v>
      </c>
      <c r="D628" s="19" t="str">
        <f>A628 &amp; " - " &amp; B628 &amp; " (" &amp; VLOOKUP(C628, Tbl_ColorMap[],2,false) &amp; ")"</f>
        <v>1009302 - Grand Tranquil Scene (Green)</v>
      </c>
      <c r="E628" s="23"/>
      <c r="L628" s="23"/>
    </row>
    <row r="629">
      <c r="A629" s="19">
        <v>1009310.0</v>
      </c>
      <c r="B629" s="19" t="s">
        <v>118</v>
      </c>
      <c r="C629" s="19">
        <v>3.0</v>
      </c>
      <c r="D629" s="19" t="str">
        <f>A629 &amp; " - " &amp; B629 &amp; " (" &amp; VLOOKUP(C629, Tbl_ColorMap[],2,false) &amp; ")"</f>
        <v>1009310 - Delicate Tranquil Scene (Green)</v>
      </c>
      <c r="E629" s="23"/>
      <c r="L629" s="23"/>
    </row>
    <row r="630">
      <c r="A630" s="19">
        <v>1009311.0</v>
      </c>
      <c r="B630" s="19" t="s">
        <v>119</v>
      </c>
      <c r="C630" s="19">
        <v>3.0</v>
      </c>
      <c r="D630" s="19" t="str">
        <f>A630 &amp; " - " &amp; B630 &amp; " (" &amp; VLOOKUP(C630, Tbl_ColorMap[],2,false) &amp; ")"</f>
        <v>1009311 - Polished Tranquil Scene (Green)</v>
      </c>
      <c r="E630" s="23"/>
      <c r="L630" s="23"/>
    </row>
    <row r="631">
      <c r="A631" s="19">
        <v>1009312.0</v>
      </c>
      <c r="B631" s="19" t="s">
        <v>120</v>
      </c>
      <c r="C631" s="19">
        <v>3.0</v>
      </c>
      <c r="D631" s="19" t="str">
        <f>A631 &amp; " - " &amp; B631 &amp; " (" &amp; VLOOKUP(C631, Tbl_ColorMap[],2,false) &amp; ")"</f>
        <v>1009312 - Grand Tranquil Scene (Green)</v>
      </c>
      <c r="E631" s="23"/>
      <c r="L631" s="23"/>
    </row>
    <row r="632">
      <c r="A632" s="19">
        <v>1009320.0</v>
      </c>
      <c r="B632" s="19" t="s">
        <v>118</v>
      </c>
      <c r="C632" s="19">
        <v>3.0</v>
      </c>
      <c r="D632" s="19" t="str">
        <f>A632 &amp; " - " &amp; B632 &amp; " (" &amp; VLOOKUP(C632, Tbl_ColorMap[],2,false) &amp; ")"</f>
        <v>1009320 - Delicate Tranquil Scene (Green)</v>
      </c>
      <c r="E632" s="23"/>
      <c r="L632" s="23"/>
    </row>
    <row r="633">
      <c r="A633" s="19">
        <v>1009321.0</v>
      </c>
      <c r="B633" s="19" t="s">
        <v>119</v>
      </c>
      <c r="C633" s="19">
        <v>3.0</v>
      </c>
      <c r="D633" s="19" t="str">
        <f>A633 &amp; " - " &amp; B633 &amp; " (" &amp; VLOOKUP(C633, Tbl_ColorMap[],2,false) &amp; ")"</f>
        <v>1009321 - Polished Tranquil Scene (Green)</v>
      </c>
      <c r="E633" s="23"/>
      <c r="L633" s="23"/>
    </row>
    <row r="634">
      <c r="A634" s="19">
        <v>1009322.0</v>
      </c>
      <c r="B634" s="19" t="s">
        <v>120</v>
      </c>
      <c r="C634" s="19">
        <v>3.0</v>
      </c>
      <c r="D634" s="19" t="str">
        <f>A634 &amp; " - " &amp; B634 &amp; " (" &amp; VLOOKUP(C634, Tbl_ColorMap[],2,false) &amp; ")"</f>
        <v>1009322 - Grand Tranquil Scene (Green)</v>
      </c>
      <c r="E634" s="23"/>
      <c r="L634" s="23"/>
    </row>
    <row r="635">
      <c r="A635" s="19">
        <v>2000000.0</v>
      </c>
      <c r="B635" s="19" t="s">
        <v>166</v>
      </c>
      <c r="C635" s="19">
        <v>0.0</v>
      </c>
      <c r="D635" s="19" t="str">
        <f>A635 &amp; " - " &amp; B635 &amp; " (" &amp; VLOOKUP(C635, Tbl_ColorMap[],2,false) &amp; ")"</f>
        <v>2000000 - Deep Delicate Burning Scene (Red)</v>
      </c>
      <c r="E635" s="23"/>
      <c r="L635" s="23"/>
    </row>
    <row r="636">
      <c r="A636" s="19">
        <v>2000001.0</v>
      </c>
      <c r="B636" s="19" t="s">
        <v>167</v>
      </c>
      <c r="C636" s="19">
        <v>0.0</v>
      </c>
      <c r="D636" s="19" t="str">
        <f>A636 &amp; " - " &amp; B636 &amp; " (" &amp; VLOOKUP(C636, Tbl_ColorMap[],2,false) &amp; ")"</f>
        <v>2000001 - Deep Polished Burning Scene  (Red)</v>
      </c>
      <c r="E636" s="23"/>
      <c r="L636" s="23"/>
    </row>
    <row r="637">
      <c r="A637" s="19">
        <v>2000002.0</v>
      </c>
      <c r="B637" s="19" t="s">
        <v>168</v>
      </c>
      <c r="C637" s="19">
        <v>0.0</v>
      </c>
      <c r="D637" s="19" t="str">
        <f>A637 &amp; " - " &amp; B637 &amp; " (" &amp; VLOOKUP(C637, Tbl_ColorMap[],2,false) &amp; ")"</f>
        <v>2000002 - Deep Grand Burning Scene  (Red)</v>
      </c>
      <c r="E637" s="23"/>
      <c r="L637" s="23"/>
    </row>
    <row r="638">
      <c r="A638" s="19">
        <v>2000010.0</v>
      </c>
      <c r="B638" s="19" t="s">
        <v>178</v>
      </c>
      <c r="C638" s="19">
        <v>0.0</v>
      </c>
      <c r="D638" s="19" t="str">
        <f>A638 &amp; " - " &amp; B638 &amp; " (" &amp; VLOOKUP(C638, Tbl_ColorMap[],2,false) &amp; ")"</f>
        <v>2000010 - Deep Delicate Burning Scene  (Red)</v>
      </c>
      <c r="E638" s="23"/>
      <c r="L638" s="23"/>
    </row>
    <row r="639">
      <c r="A639" s="19">
        <v>2000011.0</v>
      </c>
      <c r="B639" s="19" t="s">
        <v>167</v>
      </c>
      <c r="C639" s="19">
        <v>0.0</v>
      </c>
      <c r="D639" s="19" t="str">
        <f>A639 &amp; " - " &amp; B639 &amp; " (" &amp; VLOOKUP(C639, Tbl_ColorMap[],2,false) &amp; ")"</f>
        <v>2000011 - Deep Polished Burning Scene  (Red)</v>
      </c>
      <c r="E639" s="23"/>
      <c r="L639" s="23"/>
    </row>
    <row r="640">
      <c r="A640" s="19">
        <v>2000012.0</v>
      </c>
      <c r="B640" s="19" t="s">
        <v>168</v>
      </c>
      <c r="C640" s="19">
        <v>0.0</v>
      </c>
      <c r="D640" s="19" t="str">
        <f>A640 &amp; " - " &amp; B640 &amp; " (" &amp; VLOOKUP(C640, Tbl_ColorMap[],2,false) &amp; ")"</f>
        <v>2000012 - Deep Grand Burning Scene  (Red)</v>
      </c>
      <c r="E640" s="23"/>
      <c r="L640" s="23"/>
    </row>
    <row r="641">
      <c r="A641" s="19">
        <v>2000020.0</v>
      </c>
      <c r="B641" s="19" t="s">
        <v>178</v>
      </c>
      <c r="C641" s="19">
        <v>0.0</v>
      </c>
      <c r="D641" s="19" t="str">
        <f>A641 &amp; " - " &amp; B641 &amp; " (" &amp; VLOOKUP(C641, Tbl_ColorMap[],2,false) &amp; ")"</f>
        <v>2000020 - Deep Delicate Burning Scene  (Red)</v>
      </c>
      <c r="E641" s="23"/>
      <c r="L641" s="23"/>
    </row>
    <row r="642">
      <c r="A642" s="19">
        <v>2000021.0</v>
      </c>
      <c r="B642" s="19" t="s">
        <v>167</v>
      </c>
      <c r="C642" s="19">
        <v>0.0</v>
      </c>
      <c r="D642" s="19" t="str">
        <f>A642 &amp; " - " &amp; B642 &amp; " (" &amp; VLOOKUP(C642, Tbl_ColorMap[],2,false) &amp; ")"</f>
        <v>2000021 - Deep Polished Burning Scene  (Red)</v>
      </c>
      <c r="E642" s="23"/>
      <c r="L642" s="23"/>
    </row>
    <row r="643">
      <c r="A643" s="19">
        <v>2000022.0</v>
      </c>
      <c r="B643" s="19" t="s">
        <v>168</v>
      </c>
      <c r="C643" s="19">
        <v>0.0</v>
      </c>
      <c r="D643" s="19" t="str">
        <f>A643 &amp; " - " &amp; B643 &amp; " (" &amp; VLOOKUP(C643, Tbl_ColorMap[],2,false) &amp; ")"</f>
        <v>2000022 - Deep Grand Burning Scene  (Red)</v>
      </c>
      <c r="E643" s="23"/>
      <c r="L643" s="23"/>
    </row>
    <row r="644">
      <c r="A644" s="19">
        <v>2000100.0</v>
      </c>
      <c r="B644" s="19" t="s">
        <v>169</v>
      </c>
      <c r="C644" s="19">
        <v>1.0</v>
      </c>
      <c r="D644" s="19" t="str">
        <f>A644 &amp; " - " &amp; B644 &amp; " (" &amp; VLOOKUP(C644, Tbl_ColorMap[],2,false) &amp; ")"</f>
        <v>2000100 - Deep Delicate Drizzly Scene  (Blue)</v>
      </c>
      <c r="E644" s="23"/>
      <c r="L644" s="23"/>
    </row>
    <row r="645">
      <c r="A645" s="19">
        <v>2000101.0</v>
      </c>
      <c r="B645" s="19" t="s">
        <v>170</v>
      </c>
      <c r="C645" s="19">
        <v>1.0</v>
      </c>
      <c r="D645" s="19" t="str">
        <f>A645 &amp; " - " &amp; B645 &amp; " (" &amp; VLOOKUP(C645, Tbl_ColorMap[],2,false) &amp; ")"</f>
        <v>2000101 - Deep Polished Drizzly Scene  (Blue)</v>
      </c>
      <c r="E645" s="23"/>
      <c r="L645" s="23"/>
    </row>
    <row r="646">
      <c r="A646" s="19">
        <v>2000102.0</v>
      </c>
      <c r="B646" s="19" t="s">
        <v>171</v>
      </c>
      <c r="C646" s="19">
        <v>1.0</v>
      </c>
      <c r="D646" s="19" t="str">
        <f>A646 &amp; " - " &amp; B646 &amp; " (" &amp; VLOOKUP(C646, Tbl_ColorMap[],2,false) &amp; ")"</f>
        <v>2000102 - Deep Grand Drizzly Scene  (Blue)</v>
      </c>
      <c r="E646" s="23"/>
      <c r="L646" s="23"/>
    </row>
    <row r="647">
      <c r="A647" s="19">
        <v>2000110.0</v>
      </c>
      <c r="B647" s="19" t="s">
        <v>169</v>
      </c>
      <c r="C647" s="19">
        <v>1.0</v>
      </c>
      <c r="D647" s="19" t="str">
        <f>A647 &amp; " - " &amp; B647 &amp; " (" &amp; VLOOKUP(C647, Tbl_ColorMap[],2,false) &amp; ")"</f>
        <v>2000110 - Deep Delicate Drizzly Scene  (Blue)</v>
      </c>
      <c r="E647" s="23"/>
      <c r="L647" s="23"/>
    </row>
    <row r="648">
      <c r="A648" s="19">
        <v>2000111.0</v>
      </c>
      <c r="B648" s="19" t="s">
        <v>170</v>
      </c>
      <c r="C648" s="19">
        <v>1.0</v>
      </c>
      <c r="D648" s="19" t="str">
        <f>A648 &amp; " - " &amp; B648 &amp; " (" &amp; VLOOKUP(C648, Tbl_ColorMap[],2,false) &amp; ")"</f>
        <v>2000111 - Deep Polished Drizzly Scene  (Blue)</v>
      </c>
      <c r="E648" s="23"/>
      <c r="L648" s="23"/>
    </row>
    <row r="649">
      <c r="A649" s="19">
        <v>2000112.0</v>
      </c>
      <c r="B649" s="19" t="s">
        <v>171</v>
      </c>
      <c r="C649" s="19">
        <v>1.0</v>
      </c>
      <c r="D649" s="19" t="str">
        <f>A649 &amp; " - " &amp; B649 &amp; " (" &amp; VLOOKUP(C649, Tbl_ColorMap[],2,false) &amp; ")"</f>
        <v>2000112 - Deep Grand Drizzly Scene  (Blue)</v>
      </c>
      <c r="E649" s="23"/>
      <c r="L649" s="23"/>
    </row>
    <row r="650">
      <c r="A650" s="19">
        <v>2000120.0</v>
      </c>
      <c r="B650" s="19" t="s">
        <v>169</v>
      </c>
      <c r="C650" s="19">
        <v>1.0</v>
      </c>
      <c r="D650" s="19" t="str">
        <f>A650 &amp; " - " &amp; B650 &amp; " (" &amp; VLOOKUP(C650, Tbl_ColorMap[],2,false) &amp; ")"</f>
        <v>2000120 - Deep Delicate Drizzly Scene  (Blue)</v>
      </c>
      <c r="E650" s="23"/>
      <c r="L650" s="23"/>
    </row>
    <row r="651">
      <c r="A651" s="19">
        <v>2000121.0</v>
      </c>
      <c r="B651" s="19" t="s">
        <v>170</v>
      </c>
      <c r="C651" s="19">
        <v>1.0</v>
      </c>
      <c r="D651" s="19" t="str">
        <f>A651 &amp; " - " &amp; B651 &amp; " (" &amp; VLOOKUP(C651, Tbl_ColorMap[],2,false) &amp; ")"</f>
        <v>2000121 - Deep Polished Drizzly Scene  (Blue)</v>
      </c>
      <c r="E651" s="23"/>
      <c r="L651" s="23"/>
    </row>
    <row r="652">
      <c r="A652" s="19">
        <v>2000122.0</v>
      </c>
      <c r="B652" s="19" t="s">
        <v>171</v>
      </c>
      <c r="C652" s="19">
        <v>1.0</v>
      </c>
      <c r="D652" s="19" t="str">
        <f>A652 &amp; " - " &amp; B652 &amp; " (" &amp; VLOOKUP(C652, Tbl_ColorMap[],2,false) &amp; ")"</f>
        <v>2000122 - Deep Grand Drizzly Scene  (Blue)</v>
      </c>
      <c r="E652" s="23"/>
      <c r="L652" s="23"/>
    </row>
    <row r="653">
      <c r="A653" s="19">
        <v>2000200.0</v>
      </c>
      <c r="B653" s="19" t="s">
        <v>172</v>
      </c>
      <c r="C653" s="19">
        <v>2.0</v>
      </c>
      <c r="D653" s="19" t="str">
        <f>A653 &amp; " - " &amp; B653 &amp; " (" &amp; VLOOKUP(C653, Tbl_ColorMap[],2,false) &amp; ")"</f>
        <v>2000200 - Deep Delicate Luminous Scene  (Yellow)</v>
      </c>
      <c r="E653" s="23"/>
      <c r="L653" s="23"/>
    </row>
    <row r="654">
      <c r="A654" s="19">
        <v>2000201.0</v>
      </c>
      <c r="B654" s="19" t="s">
        <v>173</v>
      </c>
      <c r="C654" s="19">
        <v>2.0</v>
      </c>
      <c r="D654" s="19" t="str">
        <f>A654 &amp; " - " &amp; B654 &amp; " (" &amp; VLOOKUP(C654, Tbl_ColorMap[],2,false) &amp; ")"</f>
        <v>2000201 - Deep Polished Luminous Scene (Yellow)</v>
      </c>
      <c r="E654" s="23"/>
      <c r="L654" s="23"/>
    </row>
    <row r="655">
      <c r="A655" s="19">
        <v>2000202.0</v>
      </c>
      <c r="B655" s="19" t="s">
        <v>174</v>
      </c>
      <c r="C655" s="19">
        <v>2.0</v>
      </c>
      <c r="D655" s="19" t="str">
        <f>A655 &amp; " - " &amp; B655 &amp; " (" &amp; VLOOKUP(C655, Tbl_ColorMap[],2,false) &amp; ")"</f>
        <v>2000202 - Deep Grand Luminous Scene (Yellow)</v>
      </c>
      <c r="E655" s="23"/>
      <c r="L655" s="23"/>
    </row>
    <row r="656">
      <c r="A656" s="19">
        <v>2000210.0</v>
      </c>
      <c r="B656" s="19" t="s">
        <v>179</v>
      </c>
      <c r="C656" s="19">
        <v>2.0</v>
      </c>
      <c r="D656" s="19" t="str">
        <f>A656 &amp; " - " &amp; B656 &amp; " (" &amp; VLOOKUP(C656, Tbl_ColorMap[],2,false) &amp; ")"</f>
        <v>2000210 - Deep Delicate Luminous Scene (Yellow)</v>
      </c>
      <c r="E656" s="23"/>
      <c r="L656" s="23"/>
    </row>
    <row r="657">
      <c r="A657" s="19">
        <v>2000211.0</v>
      </c>
      <c r="B657" s="19" t="s">
        <v>173</v>
      </c>
      <c r="C657" s="19">
        <v>2.0</v>
      </c>
      <c r="D657" s="19" t="str">
        <f>A657 &amp; " - " &amp; B657 &amp; " (" &amp; VLOOKUP(C657, Tbl_ColorMap[],2,false) &amp; ")"</f>
        <v>2000211 - Deep Polished Luminous Scene (Yellow)</v>
      </c>
      <c r="E657" s="23"/>
      <c r="L657" s="23"/>
    </row>
    <row r="658">
      <c r="A658" s="19">
        <v>2000212.0</v>
      </c>
      <c r="B658" s="19" t="s">
        <v>174</v>
      </c>
      <c r="C658" s="19">
        <v>2.0</v>
      </c>
      <c r="D658" s="19" t="str">
        <f>A658 &amp; " - " &amp; B658 &amp; " (" &amp; VLOOKUP(C658, Tbl_ColorMap[],2,false) &amp; ")"</f>
        <v>2000212 - Deep Grand Luminous Scene (Yellow)</v>
      </c>
      <c r="E658" s="23"/>
      <c r="L658" s="23"/>
    </row>
    <row r="659">
      <c r="A659" s="19">
        <v>2000220.0</v>
      </c>
      <c r="B659" s="19" t="s">
        <v>179</v>
      </c>
      <c r="C659" s="19">
        <v>2.0</v>
      </c>
      <c r="D659" s="19" t="str">
        <f>A659 &amp; " - " &amp; B659 &amp; " (" &amp; VLOOKUP(C659, Tbl_ColorMap[],2,false) &amp; ")"</f>
        <v>2000220 - Deep Delicate Luminous Scene (Yellow)</v>
      </c>
      <c r="E659" s="23"/>
      <c r="L659" s="23"/>
    </row>
    <row r="660">
      <c r="A660" s="19">
        <v>2000221.0</v>
      </c>
      <c r="B660" s="19" t="s">
        <v>180</v>
      </c>
      <c r="C660" s="19">
        <v>2.0</v>
      </c>
      <c r="D660" s="19" t="str">
        <f>A660 &amp; " - " &amp; B660 &amp; " (" &amp; VLOOKUP(C660, Tbl_ColorMap[],2,false) &amp; ")"</f>
        <v>2000221 - Deep Polished Luminous Scene  (Yellow)</v>
      </c>
      <c r="E660" s="23"/>
      <c r="L660" s="23"/>
    </row>
    <row r="661">
      <c r="A661" s="19">
        <v>2000222.0</v>
      </c>
      <c r="B661" s="19" t="s">
        <v>181</v>
      </c>
      <c r="C661" s="19">
        <v>2.0</v>
      </c>
      <c r="D661" s="19" t="str">
        <f>A661 &amp; " - " &amp; B661 &amp; " (" &amp; VLOOKUP(C661, Tbl_ColorMap[],2,false) &amp; ")"</f>
        <v>2000222 - Deep Grand Luminous Scene  (Yellow)</v>
      </c>
      <c r="E661" s="23"/>
      <c r="L661" s="23"/>
    </row>
    <row r="662">
      <c r="A662" s="19">
        <v>2000300.0</v>
      </c>
      <c r="B662" s="19" t="s">
        <v>175</v>
      </c>
      <c r="C662" s="19">
        <v>3.0</v>
      </c>
      <c r="D662" s="19" t="str">
        <f>A662 &amp; " - " &amp; B662 &amp; " (" &amp; VLOOKUP(C662, Tbl_ColorMap[],2,false) &amp; ")"</f>
        <v>2000300 - Deep Delicate Tranquil Scene  (Green)</v>
      </c>
      <c r="E662" s="23"/>
      <c r="L662" s="23"/>
    </row>
    <row r="663">
      <c r="A663" s="19">
        <v>2000301.0</v>
      </c>
      <c r="B663" s="19" t="s">
        <v>176</v>
      </c>
      <c r="C663" s="19">
        <v>3.0</v>
      </c>
      <c r="D663" s="19" t="str">
        <f>A663 &amp; " - " &amp; B663 &amp; " (" &amp; VLOOKUP(C663, Tbl_ColorMap[],2,false) &amp; ")"</f>
        <v>2000301 - Deep Polished Tranquil Scene  (Green)</v>
      </c>
      <c r="E663" s="23"/>
      <c r="L663" s="23"/>
    </row>
    <row r="664">
      <c r="A664" s="19">
        <v>2000302.0</v>
      </c>
      <c r="B664" s="19" t="s">
        <v>177</v>
      </c>
      <c r="C664" s="19">
        <v>3.0</v>
      </c>
      <c r="D664" s="19" t="str">
        <f>A664 &amp; " - " &amp; B664 &amp; " (" &amp; VLOOKUP(C664, Tbl_ColorMap[],2,false) &amp; ")"</f>
        <v>2000302 - Deep Grand Tranquil Scene  (Green)</v>
      </c>
      <c r="E664" s="23"/>
      <c r="L664" s="23"/>
    </row>
    <row r="665">
      <c r="A665" s="19">
        <v>2000310.0</v>
      </c>
      <c r="B665" s="19" t="s">
        <v>175</v>
      </c>
      <c r="C665" s="19">
        <v>3.0</v>
      </c>
      <c r="D665" s="19" t="str">
        <f>A665 &amp; " - " &amp; B665 &amp; " (" &amp; VLOOKUP(C665, Tbl_ColorMap[],2,false) &amp; ")"</f>
        <v>2000310 - Deep Delicate Tranquil Scene  (Green)</v>
      </c>
      <c r="E665" s="23"/>
      <c r="L665" s="23"/>
    </row>
    <row r="666">
      <c r="A666" s="19">
        <v>2000311.0</v>
      </c>
      <c r="B666" s="19" t="s">
        <v>176</v>
      </c>
      <c r="C666" s="19">
        <v>3.0</v>
      </c>
      <c r="D666" s="19" t="str">
        <f>A666 &amp; " - " &amp; B666 &amp; " (" &amp; VLOOKUP(C666, Tbl_ColorMap[],2,false) &amp; ")"</f>
        <v>2000311 - Deep Polished Tranquil Scene  (Green)</v>
      </c>
      <c r="E666" s="23"/>
      <c r="L666" s="23"/>
    </row>
    <row r="667">
      <c r="A667" s="19">
        <v>2000312.0</v>
      </c>
      <c r="B667" s="19" t="s">
        <v>177</v>
      </c>
      <c r="C667" s="19">
        <v>3.0</v>
      </c>
      <c r="D667" s="19" t="str">
        <f>A667 &amp; " - " &amp; B667 &amp; " (" &amp; VLOOKUP(C667, Tbl_ColorMap[],2,false) &amp; ")"</f>
        <v>2000312 - Deep Grand Tranquil Scene  (Green)</v>
      </c>
      <c r="E667" s="23"/>
      <c r="L667" s="23"/>
    </row>
    <row r="668">
      <c r="A668" s="19">
        <v>2000320.0</v>
      </c>
      <c r="B668" s="19" t="s">
        <v>175</v>
      </c>
      <c r="C668" s="19">
        <v>3.0</v>
      </c>
      <c r="D668" s="19" t="str">
        <f>A668 &amp; " - " &amp; B668 &amp; " (" &amp; VLOOKUP(C668, Tbl_ColorMap[],2,false) &amp; ")"</f>
        <v>2000320 - Deep Delicate Tranquil Scene  (Green)</v>
      </c>
      <c r="E668" s="23"/>
      <c r="L668" s="23"/>
    </row>
    <row r="669">
      <c r="A669" s="19">
        <v>2000321.0</v>
      </c>
      <c r="B669" s="19" t="s">
        <v>176</v>
      </c>
      <c r="C669" s="19">
        <v>3.0</v>
      </c>
      <c r="D669" s="19" t="str">
        <f>A669 &amp; " - " &amp; B669 &amp; " (" &amp; VLOOKUP(C669, Tbl_ColorMap[],2,false) &amp; ")"</f>
        <v>2000321 - Deep Polished Tranquil Scene  (Green)</v>
      </c>
      <c r="E669" s="23"/>
      <c r="L669" s="23"/>
    </row>
    <row r="670">
      <c r="A670" s="19">
        <v>2000322.0</v>
      </c>
      <c r="B670" s="19" t="s">
        <v>177</v>
      </c>
      <c r="C670" s="19">
        <v>3.0</v>
      </c>
      <c r="D670" s="19" t="str">
        <f>A670 &amp; " - " &amp; B670 &amp; " (" &amp; VLOOKUP(C670, Tbl_ColorMap[],2,false) &amp; ")"</f>
        <v>2000322 - Deep Grand Tranquil Scene  (Green)</v>
      </c>
      <c r="E670" s="23"/>
      <c r="L670" s="23"/>
    </row>
    <row r="671">
      <c r="A671" s="19">
        <v>2001001.0</v>
      </c>
      <c r="B671" s="19" t="s">
        <v>167</v>
      </c>
      <c r="C671" s="19">
        <v>0.0</v>
      </c>
      <c r="D671" s="19" t="str">
        <f>A671 &amp; " - " &amp; B671 &amp; " (" &amp; VLOOKUP(C671, Tbl_ColorMap[],2,false) &amp; ")"</f>
        <v>2001001 - Deep Polished Burning Scene  (Red)</v>
      </c>
      <c r="E671" s="23"/>
      <c r="L671" s="23"/>
    </row>
    <row r="672">
      <c r="A672" s="19">
        <v>2001002.0</v>
      </c>
      <c r="B672" s="19" t="s">
        <v>168</v>
      </c>
      <c r="C672" s="19">
        <v>0.0</v>
      </c>
      <c r="D672" s="19" t="str">
        <f>A672 &amp; " - " &amp; B672 &amp; " (" &amp; VLOOKUP(C672, Tbl_ColorMap[],2,false) &amp; ")"</f>
        <v>2001002 - Deep Grand Burning Scene  (Red)</v>
      </c>
      <c r="E672" s="23"/>
      <c r="L672" s="23"/>
    </row>
    <row r="673">
      <c r="A673" s="19">
        <v>2001011.0</v>
      </c>
      <c r="B673" s="19" t="s">
        <v>167</v>
      </c>
      <c r="C673" s="19">
        <v>0.0</v>
      </c>
      <c r="D673" s="19" t="str">
        <f>A673 &amp; " - " &amp; B673 &amp; " (" &amp; VLOOKUP(C673, Tbl_ColorMap[],2,false) &amp; ")"</f>
        <v>2001011 - Deep Polished Burning Scene  (Red)</v>
      </c>
      <c r="E673" s="23"/>
      <c r="L673" s="23"/>
    </row>
    <row r="674">
      <c r="A674" s="19">
        <v>2001012.0</v>
      </c>
      <c r="B674" s="19" t="s">
        <v>168</v>
      </c>
      <c r="C674" s="19">
        <v>0.0</v>
      </c>
      <c r="D674" s="19" t="str">
        <f>A674 &amp; " - " &amp; B674 &amp; " (" &amp; VLOOKUP(C674, Tbl_ColorMap[],2,false) &amp; ")"</f>
        <v>2001012 - Deep Grand Burning Scene  (Red)</v>
      </c>
      <c r="E674" s="23"/>
      <c r="L674" s="23"/>
    </row>
    <row r="675">
      <c r="A675" s="19">
        <v>2001021.0</v>
      </c>
      <c r="B675" s="19" t="s">
        <v>167</v>
      </c>
      <c r="C675" s="19">
        <v>0.0</v>
      </c>
      <c r="D675" s="19" t="str">
        <f>A675 &amp; " - " &amp; B675 &amp; " (" &amp; VLOOKUP(C675, Tbl_ColorMap[],2,false) &amp; ")"</f>
        <v>2001021 - Deep Polished Burning Scene  (Red)</v>
      </c>
      <c r="E675" s="23"/>
      <c r="L675" s="23"/>
    </row>
    <row r="676">
      <c r="A676" s="19">
        <v>2001022.0</v>
      </c>
      <c r="B676" s="19" t="s">
        <v>168</v>
      </c>
      <c r="C676" s="19">
        <v>0.0</v>
      </c>
      <c r="D676" s="19" t="str">
        <f>A676 &amp; " - " &amp; B676 &amp; " (" &amp; VLOOKUP(C676, Tbl_ColorMap[],2,false) &amp; ")"</f>
        <v>2001022 - Deep Grand Burning Scene  (Red)</v>
      </c>
      <c r="E676" s="23"/>
      <c r="L676" s="23"/>
    </row>
    <row r="677">
      <c r="A677" s="19">
        <v>2001101.0</v>
      </c>
      <c r="B677" s="19" t="s">
        <v>170</v>
      </c>
      <c r="C677" s="19">
        <v>1.0</v>
      </c>
      <c r="D677" s="19" t="str">
        <f>A677 &amp; " - " &amp; B677 &amp; " (" &amp; VLOOKUP(C677, Tbl_ColorMap[],2,false) &amp; ")"</f>
        <v>2001101 - Deep Polished Drizzly Scene  (Blue)</v>
      </c>
      <c r="E677" s="23"/>
      <c r="L677" s="23"/>
    </row>
    <row r="678">
      <c r="A678" s="19">
        <v>2001102.0</v>
      </c>
      <c r="B678" s="19" t="s">
        <v>171</v>
      </c>
      <c r="C678" s="19">
        <v>1.0</v>
      </c>
      <c r="D678" s="19" t="str">
        <f>A678 &amp; " - " &amp; B678 &amp; " (" &amp; VLOOKUP(C678, Tbl_ColorMap[],2,false) &amp; ")"</f>
        <v>2001102 - Deep Grand Drizzly Scene  (Blue)</v>
      </c>
      <c r="E678" s="23"/>
      <c r="L678" s="23"/>
    </row>
    <row r="679">
      <c r="A679" s="19">
        <v>2001111.0</v>
      </c>
      <c r="B679" s="19" t="s">
        <v>170</v>
      </c>
      <c r="C679" s="19">
        <v>1.0</v>
      </c>
      <c r="D679" s="19" t="str">
        <f>A679 &amp; " - " &amp; B679 &amp; " (" &amp; VLOOKUP(C679, Tbl_ColorMap[],2,false) &amp; ")"</f>
        <v>2001111 - Deep Polished Drizzly Scene  (Blue)</v>
      </c>
      <c r="E679" s="23"/>
      <c r="L679" s="23"/>
    </row>
    <row r="680">
      <c r="A680" s="19">
        <v>2001112.0</v>
      </c>
      <c r="B680" s="19" t="s">
        <v>171</v>
      </c>
      <c r="C680" s="19">
        <v>1.0</v>
      </c>
      <c r="D680" s="19" t="str">
        <f>A680 &amp; " - " &amp; B680 &amp; " (" &amp; VLOOKUP(C680, Tbl_ColorMap[],2,false) &amp; ")"</f>
        <v>2001112 - Deep Grand Drizzly Scene  (Blue)</v>
      </c>
      <c r="E680" s="23"/>
      <c r="L680" s="23"/>
    </row>
    <row r="681">
      <c r="A681" s="19">
        <v>2001121.0</v>
      </c>
      <c r="B681" s="19" t="s">
        <v>170</v>
      </c>
      <c r="C681" s="19">
        <v>1.0</v>
      </c>
      <c r="D681" s="19" t="str">
        <f>A681 &amp; " - " &amp; B681 &amp; " (" &amp; VLOOKUP(C681, Tbl_ColorMap[],2,false) &amp; ")"</f>
        <v>2001121 - Deep Polished Drizzly Scene  (Blue)</v>
      </c>
      <c r="E681" s="23"/>
      <c r="L681" s="23"/>
    </row>
    <row r="682">
      <c r="A682" s="19">
        <v>2001122.0</v>
      </c>
      <c r="B682" s="19" t="s">
        <v>171</v>
      </c>
      <c r="C682" s="19">
        <v>1.0</v>
      </c>
      <c r="D682" s="19" t="str">
        <f>A682 &amp; " - " &amp; B682 &amp; " (" &amp; VLOOKUP(C682, Tbl_ColorMap[],2,false) &amp; ")"</f>
        <v>2001122 - Deep Grand Drizzly Scene  (Blue)</v>
      </c>
      <c r="E682" s="23"/>
      <c r="L682" s="23"/>
    </row>
    <row r="683">
      <c r="A683" s="19">
        <v>2001201.0</v>
      </c>
      <c r="B683" s="19" t="s">
        <v>173</v>
      </c>
      <c r="C683" s="19">
        <v>2.0</v>
      </c>
      <c r="D683" s="19" t="str">
        <f>A683 &amp; " - " &amp; B683 &amp; " (" &amp; VLOOKUP(C683, Tbl_ColorMap[],2,false) &amp; ")"</f>
        <v>2001201 - Deep Polished Luminous Scene (Yellow)</v>
      </c>
      <c r="E683" s="23"/>
      <c r="L683" s="23"/>
    </row>
    <row r="684">
      <c r="A684" s="19">
        <v>2001202.0</v>
      </c>
      <c r="B684" s="19" t="s">
        <v>174</v>
      </c>
      <c r="C684" s="19">
        <v>2.0</v>
      </c>
      <c r="D684" s="19" t="str">
        <f>A684 &amp; " - " &amp; B684 &amp; " (" &amp; VLOOKUP(C684, Tbl_ColorMap[],2,false) &amp; ")"</f>
        <v>2001202 - Deep Grand Luminous Scene (Yellow)</v>
      </c>
      <c r="E684" s="23"/>
      <c r="L684" s="23"/>
    </row>
    <row r="685">
      <c r="A685" s="19">
        <v>2001211.0</v>
      </c>
      <c r="B685" s="19" t="s">
        <v>173</v>
      </c>
      <c r="C685" s="19">
        <v>2.0</v>
      </c>
      <c r="D685" s="19" t="str">
        <f>A685 &amp; " - " &amp; B685 &amp; " (" &amp; VLOOKUP(C685, Tbl_ColorMap[],2,false) &amp; ")"</f>
        <v>2001211 - Deep Polished Luminous Scene (Yellow)</v>
      </c>
      <c r="E685" s="23"/>
      <c r="L685" s="23"/>
    </row>
    <row r="686">
      <c r="A686" s="19">
        <v>2001212.0</v>
      </c>
      <c r="B686" s="19" t="s">
        <v>174</v>
      </c>
      <c r="C686" s="19">
        <v>2.0</v>
      </c>
      <c r="D686" s="19" t="str">
        <f>A686 &amp; " - " &amp; B686 &amp; " (" &amp; VLOOKUP(C686, Tbl_ColorMap[],2,false) &amp; ")"</f>
        <v>2001212 - Deep Grand Luminous Scene (Yellow)</v>
      </c>
      <c r="E686" s="23"/>
      <c r="L686" s="23"/>
    </row>
    <row r="687">
      <c r="A687" s="19">
        <v>2001221.0</v>
      </c>
      <c r="B687" s="19" t="s">
        <v>173</v>
      </c>
      <c r="C687" s="19">
        <v>2.0</v>
      </c>
      <c r="D687" s="19" t="str">
        <f>A687 &amp; " - " &amp; B687 &amp; " (" &amp; VLOOKUP(C687, Tbl_ColorMap[],2,false) &amp; ")"</f>
        <v>2001221 - Deep Polished Luminous Scene (Yellow)</v>
      </c>
      <c r="E687" s="23"/>
      <c r="L687" s="23"/>
    </row>
    <row r="688">
      <c r="A688" s="19">
        <v>2001222.0</v>
      </c>
      <c r="B688" s="19" t="s">
        <v>174</v>
      </c>
      <c r="C688" s="19">
        <v>2.0</v>
      </c>
      <c r="D688" s="19" t="str">
        <f>A688 &amp; " - " &amp; B688 &amp; " (" &amp; VLOOKUP(C688, Tbl_ColorMap[],2,false) &amp; ")"</f>
        <v>2001222 - Deep Grand Luminous Scene (Yellow)</v>
      </c>
      <c r="E688" s="23"/>
      <c r="L688" s="23"/>
    </row>
    <row r="689">
      <c r="A689" s="19">
        <v>2001301.0</v>
      </c>
      <c r="B689" s="19" t="s">
        <v>176</v>
      </c>
      <c r="C689" s="19">
        <v>3.0</v>
      </c>
      <c r="D689" s="19" t="str">
        <f>A689 &amp; " - " &amp; B689 &amp; " (" &amp; VLOOKUP(C689, Tbl_ColorMap[],2,false) &amp; ")"</f>
        <v>2001301 - Deep Polished Tranquil Scene  (Green)</v>
      </c>
      <c r="E689" s="23"/>
      <c r="L689" s="23"/>
    </row>
    <row r="690">
      <c r="A690" s="19">
        <v>2001302.0</v>
      </c>
      <c r="B690" s="19" t="s">
        <v>177</v>
      </c>
      <c r="C690" s="19">
        <v>3.0</v>
      </c>
      <c r="D690" s="19" t="str">
        <f>A690 &amp; " - " &amp; B690 &amp; " (" &amp; VLOOKUP(C690, Tbl_ColorMap[],2,false) &amp; ")"</f>
        <v>2001302 - Deep Grand Tranquil Scene  (Green)</v>
      </c>
      <c r="E690" s="23"/>
      <c r="L690" s="23"/>
    </row>
    <row r="691">
      <c r="A691" s="19">
        <v>2001311.0</v>
      </c>
      <c r="B691" s="19" t="s">
        <v>176</v>
      </c>
      <c r="C691" s="19">
        <v>3.0</v>
      </c>
      <c r="D691" s="19" t="str">
        <f>A691 &amp; " - " &amp; B691 &amp; " (" &amp; VLOOKUP(C691, Tbl_ColorMap[],2,false) &amp; ")"</f>
        <v>2001311 - Deep Polished Tranquil Scene  (Green)</v>
      </c>
      <c r="E691" s="23"/>
      <c r="L691" s="23"/>
    </row>
    <row r="692">
      <c r="A692" s="19">
        <v>2001312.0</v>
      </c>
      <c r="B692" s="19" t="s">
        <v>177</v>
      </c>
      <c r="C692" s="19">
        <v>3.0</v>
      </c>
      <c r="D692" s="19" t="str">
        <f>A692 &amp; " - " &amp; B692 &amp; " (" &amp; VLOOKUP(C692, Tbl_ColorMap[],2,false) &amp; ")"</f>
        <v>2001312 - Deep Grand Tranquil Scene  (Green)</v>
      </c>
      <c r="E692" s="23"/>
      <c r="L692" s="23"/>
    </row>
    <row r="693">
      <c r="A693" s="19">
        <v>2001321.0</v>
      </c>
      <c r="B693" s="19" t="s">
        <v>176</v>
      </c>
      <c r="C693" s="19">
        <v>3.0</v>
      </c>
      <c r="D693" s="19" t="str">
        <f>A693 &amp; " - " &amp; B693 &amp; " (" &amp; VLOOKUP(C693, Tbl_ColorMap[],2,false) &amp; ")"</f>
        <v>2001321 - Deep Polished Tranquil Scene  (Green)</v>
      </c>
      <c r="E693" s="23"/>
      <c r="L693" s="23"/>
    </row>
    <row r="694">
      <c r="A694" s="19">
        <v>2001322.0</v>
      </c>
      <c r="B694" s="19" t="s">
        <v>177</v>
      </c>
      <c r="C694" s="19">
        <v>3.0</v>
      </c>
      <c r="D694" s="19" t="str">
        <f>A694 &amp; " - " &amp; B694 &amp; " (" &amp; VLOOKUP(C694, Tbl_ColorMap[],2,false) &amp; ")"</f>
        <v>2001322 - Deep Grand Tranquil Scene  (Green)</v>
      </c>
      <c r="E694" s="23"/>
      <c r="L694" s="23"/>
    </row>
    <row r="695">
      <c r="A695" s="19">
        <v>2002002.0</v>
      </c>
      <c r="B695" s="19" t="s">
        <v>168</v>
      </c>
      <c r="C695" s="19">
        <v>0.0</v>
      </c>
      <c r="D695" s="19" t="str">
        <f>A695 &amp; " - " &amp; B695 &amp; " (" &amp; VLOOKUP(C695, Tbl_ColorMap[],2,false) &amp; ")"</f>
        <v>2002002 - Deep Grand Burning Scene  (Red)</v>
      </c>
      <c r="E695" s="23"/>
      <c r="L695" s="23"/>
    </row>
    <row r="696">
      <c r="A696" s="19">
        <v>2002012.0</v>
      </c>
      <c r="B696" s="19" t="s">
        <v>168</v>
      </c>
      <c r="C696" s="19">
        <v>0.0</v>
      </c>
      <c r="D696" s="19" t="str">
        <f>A696 &amp; " - " &amp; B696 &amp; " (" &amp; VLOOKUP(C696, Tbl_ColorMap[],2,false) &amp; ")"</f>
        <v>2002012 - Deep Grand Burning Scene  (Red)</v>
      </c>
      <c r="E696" s="23"/>
      <c r="L696" s="23"/>
    </row>
    <row r="697">
      <c r="A697" s="19">
        <v>2002022.0</v>
      </c>
      <c r="B697" s="19" t="s">
        <v>168</v>
      </c>
      <c r="C697" s="19">
        <v>0.0</v>
      </c>
      <c r="D697" s="19" t="str">
        <f>A697 &amp; " - " &amp; B697 &amp; " (" &amp; VLOOKUP(C697, Tbl_ColorMap[],2,false) &amp; ")"</f>
        <v>2002022 - Deep Grand Burning Scene  (Red)</v>
      </c>
      <c r="E697" s="23"/>
      <c r="L697" s="23"/>
    </row>
    <row r="698">
      <c r="A698" s="19">
        <v>2002102.0</v>
      </c>
      <c r="B698" s="19" t="s">
        <v>171</v>
      </c>
      <c r="C698" s="19">
        <v>1.0</v>
      </c>
      <c r="D698" s="19" t="str">
        <f>A698 &amp; " - " &amp; B698 &amp; " (" &amp; VLOOKUP(C698, Tbl_ColorMap[],2,false) &amp; ")"</f>
        <v>2002102 - Deep Grand Drizzly Scene  (Blue)</v>
      </c>
      <c r="E698" s="23"/>
      <c r="L698" s="23"/>
    </row>
    <row r="699">
      <c r="A699" s="19">
        <v>2002112.0</v>
      </c>
      <c r="B699" s="19" t="s">
        <v>171</v>
      </c>
      <c r="C699" s="19">
        <v>1.0</v>
      </c>
      <c r="D699" s="19" t="str">
        <f>A699 &amp; " - " &amp; B699 &amp; " (" &amp; VLOOKUP(C699, Tbl_ColorMap[],2,false) &amp; ")"</f>
        <v>2002112 - Deep Grand Drizzly Scene  (Blue)</v>
      </c>
      <c r="E699" s="23"/>
      <c r="L699" s="23"/>
    </row>
    <row r="700">
      <c r="A700" s="19">
        <v>2002122.0</v>
      </c>
      <c r="B700" s="19" t="s">
        <v>171</v>
      </c>
      <c r="C700" s="19">
        <v>1.0</v>
      </c>
      <c r="D700" s="19" t="str">
        <f>A700 &amp; " - " &amp; B700 &amp; " (" &amp; VLOOKUP(C700, Tbl_ColorMap[],2,false) &amp; ")"</f>
        <v>2002122 - Deep Grand Drizzly Scene  (Blue)</v>
      </c>
      <c r="E700" s="23"/>
      <c r="L700" s="23"/>
    </row>
    <row r="701">
      <c r="A701" s="19">
        <v>2002202.0</v>
      </c>
      <c r="B701" s="19" t="s">
        <v>174</v>
      </c>
      <c r="C701" s="19">
        <v>2.0</v>
      </c>
      <c r="D701" s="19" t="str">
        <f>A701 &amp; " - " &amp; B701 &amp; " (" &amp; VLOOKUP(C701, Tbl_ColorMap[],2,false) &amp; ")"</f>
        <v>2002202 - Deep Grand Luminous Scene (Yellow)</v>
      </c>
      <c r="E701" s="23"/>
      <c r="L701" s="23"/>
    </row>
    <row r="702">
      <c r="A702" s="19">
        <v>2002212.0</v>
      </c>
      <c r="B702" s="19" t="s">
        <v>174</v>
      </c>
      <c r="C702" s="19">
        <v>2.0</v>
      </c>
      <c r="D702" s="19" t="str">
        <f>A702 &amp; " - " &amp; B702 &amp; " (" &amp; VLOOKUP(C702, Tbl_ColorMap[],2,false) &amp; ")"</f>
        <v>2002212 - Deep Grand Luminous Scene (Yellow)</v>
      </c>
      <c r="E702" s="23"/>
      <c r="L702" s="23"/>
    </row>
    <row r="703">
      <c r="A703" s="19">
        <v>2002222.0</v>
      </c>
      <c r="B703" s="19" t="s">
        <v>174</v>
      </c>
      <c r="C703" s="19">
        <v>2.0</v>
      </c>
      <c r="D703" s="19" t="str">
        <f>A703 &amp; " - " &amp; B703 &amp; " (" &amp; VLOOKUP(C703, Tbl_ColorMap[],2,false) &amp; ")"</f>
        <v>2002222 - Deep Grand Luminous Scene (Yellow)</v>
      </c>
      <c r="E703" s="23"/>
      <c r="L703" s="23"/>
    </row>
    <row r="704">
      <c r="A704" s="19">
        <v>2002302.0</v>
      </c>
      <c r="B704" s="19" t="s">
        <v>177</v>
      </c>
      <c r="C704" s="19">
        <v>3.0</v>
      </c>
      <c r="D704" s="19" t="str">
        <f>A704 &amp; " - " &amp; B704 &amp; " (" &amp; VLOOKUP(C704, Tbl_ColorMap[],2,false) &amp; ")"</f>
        <v>2002302 - Deep Grand Tranquil Scene  (Green)</v>
      </c>
      <c r="E704" s="23"/>
      <c r="L704" s="23"/>
    </row>
    <row r="705">
      <c r="A705" s="19">
        <v>2002312.0</v>
      </c>
      <c r="B705" s="19" t="s">
        <v>177</v>
      </c>
      <c r="C705" s="19">
        <v>3.0</v>
      </c>
      <c r="D705" s="19" t="str">
        <f>A705 &amp; " - " &amp; B705 &amp; " (" &amp; VLOOKUP(C705, Tbl_ColorMap[],2,false) &amp; ")"</f>
        <v>2002312 - Deep Grand Tranquil Scene  (Green)</v>
      </c>
      <c r="E705" s="23"/>
      <c r="L705" s="23"/>
    </row>
    <row r="706">
      <c r="A706" s="19">
        <v>2002322.0</v>
      </c>
      <c r="B706" s="19" t="s">
        <v>177</v>
      </c>
      <c r="C706" s="19">
        <v>3.0</v>
      </c>
      <c r="D706" s="19" t="str">
        <f>A706 &amp; " - " &amp; B706 &amp; " (" &amp; VLOOKUP(C706, Tbl_ColorMap[],2,false) &amp; ")"</f>
        <v>2002322 - Deep Grand Tranquil Scene  (Green)</v>
      </c>
      <c r="E706" s="23"/>
      <c r="L706" s="23"/>
    </row>
    <row r="707">
      <c r="A707" s="19">
        <v>2003000.0</v>
      </c>
      <c r="B707" s="19" t="s">
        <v>166</v>
      </c>
      <c r="C707" s="19">
        <v>0.0</v>
      </c>
      <c r="D707" s="19" t="str">
        <f>A707 &amp; " - " &amp; B707 &amp; " (" &amp; VLOOKUP(C707, Tbl_ColorMap[],2,false) &amp; ")"</f>
        <v>2003000 - Deep Delicate Burning Scene (Red)</v>
      </c>
      <c r="E707" s="23"/>
      <c r="L707" s="23"/>
    </row>
    <row r="708">
      <c r="A708" s="19">
        <v>2003001.0</v>
      </c>
      <c r="B708" s="19" t="s">
        <v>167</v>
      </c>
      <c r="C708" s="19">
        <v>0.0</v>
      </c>
      <c r="D708" s="19" t="str">
        <f>A708 &amp; " - " &amp; B708 &amp; " (" &amp; VLOOKUP(C708, Tbl_ColorMap[],2,false) &amp; ")"</f>
        <v>2003001 - Deep Polished Burning Scene  (Red)</v>
      </c>
      <c r="E708" s="23"/>
      <c r="L708" s="23"/>
    </row>
    <row r="709">
      <c r="A709" s="19">
        <v>2003002.0</v>
      </c>
      <c r="B709" s="19" t="s">
        <v>168</v>
      </c>
      <c r="C709" s="19">
        <v>0.0</v>
      </c>
      <c r="D709" s="19" t="str">
        <f>A709 &amp; " - " &amp; B709 &amp; " (" &amp; VLOOKUP(C709, Tbl_ColorMap[],2,false) &amp; ")"</f>
        <v>2003002 - Deep Grand Burning Scene  (Red)</v>
      </c>
      <c r="E709" s="23"/>
      <c r="L709" s="23"/>
    </row>
    <row r="710">
      <c r="A710" s="19">
        <v>2003010.0</v>
      </c>
      <c r="B710" s="19" t="s">
        <v>166</v>
      </c>
      <c r="C710" s="19">
        <v>0.0</v>
      </c>
      <c r="D710" s="19" t="str">
        <f>A710 &amp; " - " &amp; B710 &amp; " (" &amp; VLOOKUP(C710, Tbl_ColorMap[],2,false) &amp; ")"</f>
        <v>2003010 - Deep Delicate Burning Scene (Red)</v>
      </c>
      <c r="E710" s="23"/>
      <c r="L710" s="23"/>
    </row>
    <row r="711">
      <c r="A711" s="19">
        <v>2003011.0</v>
      </c>
      <c r="B711" s="19" t="s">
        <v>167</v>
      </c>
      <c r="C711" s="19">
        <v>0.0</v>
      </c>
      <c r="D711" s="19" t="str">
        <f>A711 &amp; " - " &amp; B711 &amp; " (" &amp; VLOOKUP(C711, Tbl_ColorMap[],2,false) &amp; ")"</f>
        <v>2003011 - Deep Polished Burning Scene  (Red)</v>
      </c>
      <c r="E711" s="23"/>
      <c r="L711" s="23"/>
    </row>
    <row r="712">
      <c r="A712" s="19">
        <v>2003012.0</v>
      </c>
      <c r="B712" s="19" t="s">
        <v>168</v>
      </c>
      <c r="C712" s="19">
        <v>0.0</v>
      </c>
      <c r="D712" s="19" t="str">
        <f>A712 &amp; " - " &amp; B712 &amp; " (" &amp; VLOOKUP(C712, Tbl_ColorMap[],2,false) &amp; ")"</f>
        <v>2003012 - Deep Grand Burning Scene  (Red)</v>
      </c>
      <c r="E712" s="23"/>
      <c r="L712" s="23"/>
    </row>
    <row r="713">
      <c r="A713" s="19">
        <v>2003020.0</v>
      </c>
      <c r="B713" s="19" t="s">
        <v>166</v>
      </c>
      <c r="C713" s="19">
        <v>0.0</v>
      </c>
      <c r="D713" s="19" t="str">
        <f>A713 &amp; " - " &amp; B713 &amp; " (" &amp; VLOOKUP(C713, Tbl_ColorMap[],2,false) &amp; ")"</f>
        <v>2003020 - Deep Delicate Burning Scene (Red)</v>
      </c>
      <c r="E713" s="23"/>
      <c r="L713" s="23"/>
    </row>
    <row r="714">
      <c r="A714" s="19">
        <v>2003021.0</v>
      </c>
      <c r="B714" s="19" t="s">
        <v>167</v>
      </c>
      <c r="C714" s="19">
        <v>0.0</v>
      </c>
      <c r="D714" s="19" t="str">
        <f>A714 &amp; " - " &amp; B714 &amp; " (" &amp; VLOOKUP(C714, Tbl_ColorMap[],2,false) &amp; ")"</f>
        <v>2003021 - Deep Polished Burning Scene  (Red)</v>
      </c>
      <c r="E714" s="23"/>
      <c r="L714" s="23"/>
    </row>
    <row r="715">
      <c r="A715" s="19">
        <v>2003022.0</v>
      </c>
      <c r="B715" s="19" t="s">
        <v>168</v>
      </c>
      <c r="C715" s="19">
        <v>0.0</v>
      </c>
      <c r="D715" s="19" t="str">
        <f>A715 &amp; " - " &amp; B715 &amp; " (" &amp; VLOOKUP(C715, Tbl_ColorMap[],2,false) &amp; ")"</f>
        <v>2003022 - Deep Grand Burning Scene  (Red)</v>
      </c>
      <c r="E715" s="23"/>
      <c r="L715" s="23"/>
    </row>
    <row r="716">
      <c r="A716" s="19">
        <v>2003100.0</v>
      </c>
      <c r="B716" s="19" t="s">
        <v>169</v>
      </c>
      <c r="C716" s="19">
        <v>1.0</v>
      </c>
      <c r="D716" s="19" t="str">
        <f>A716 &amp; " - " &amp; B716 &amp; " (" &amp; VLOOKUP(C716, Tbl_ColorMap[],2,false) &amp; ")"</f>
        <v>2003100 - Deep Delicate Drizzly Scene  (Blue)</v>
      </c>
      <c r="E716" s="23"/>
      <c r="L716" s="23"/>
    </row>
    <row r="717">
      <c r="A717" s="19">
        <v>2003101.0</v>
      </c>
      <c r="B717" s="19" t="s">
        <v>170</v>
      </c>
      <c r="C717" s="19">
        <v>1.0</v>
      </c>
      <c r="D717" s="19" t="str">
        <f>A717 &amp; " - " &amp; B717 &amp; " (" &amp; VLOOKUP(C717, Tbl_ColorMap[],2,false) &amp; ")"</f>
        <v>2003101 - Deep Polished Drizzly Scene  (Blue)</v>
      </c>
      <c r="E717" s="23"/>
      <c r="L717" s="23"/>
    </row>
    <row r="718">
      <c r="A718" s="19">
        <v>2003102.0</v>
      </c>
      <c r="B718" s="19" t="s">
        <v>171</v>
      </c>
      <c r="C718" s="19">
        <v>1.0</v>
      </c>
      <c r="D718" s="19" t="str">
        <f>A718 &amp; " - " &amp; B718 &amp; " (" &amp; VLOOKUP(C718, Tbl_ColorMap[],2,false) &amp; ")"</f>
        <v>2003102 - Deep Grand Drizzly Scene  (Blue)</v>
      </c>
      <c r="E718" s="23"/>
      <c r="L718" s="23"/>
    </row>
    <row r="719">
      <c r="A719" s="19">
        <v>2003110.0</v>
      </c>
      <c r="B719" s="19" t="s">
        <v>169</v>
      </c>
      <c r="C719" s="19">
        <v>1.0</v>
      </c>
      <c r="D719" s="19" t="str">
        <f>A719 &amp; " - " &amp; B719 &amp; " (" &amp; VLOOKUP(C719, Tbl_ColorMap[],2,false) &amp; ")"</f>
        <v>2003110 - Deep Delicate Drizzly Scene  (Blue)</v>
      </c>
      <c r="E719" s="23"/>
      <c r="L719" s="23"/>
    </row>
    <row r="720">
      <c r="A720" s="19">
        <v>2003111.0</v>
      </c>
      <c r="B720" s="19" t="s">
        <v>170</v>
      </c>
      <c r="C720" s="19">
        <v>1.0</v>
      </c>
      <c r="D720" s="19" t="str">
        <f>A720 &amp; " - " &amp; B720 &amp; " (" &amp; VLOOKUP(C720, Tbl_ColorMap[],2,false) &amp; ")"</f>
        <v>2003111 - Deep Polished Drizzly Scene  (Blue)</v>
      </c>
      <c r="E720" s="23"/>
      <c r="L720" s="23"/>
    </row>
    <row r="721">
      <c r="A721" s="19">
        <v>2003112.0</v>
      </c>
      <c r="B721" s="19" t="s">
        <v>171</v>
      </c>
      <c r="C721" s="19">
        <v>1.0</v>
      </c>
      <c r="D721" s="19" t="str">
        <f>A721 &amp; " - " &amp; B721 &amp; " (" &amp; VLOOKUP(C721, Tbl_ColorMap[],2,false) &amp; ")"</f>
        <v>2003112 - Deep Grand Drizzly Scene  (Blue)</v>
      </c>
      <c r="E721" s="23"/>
      <c r="L721" s="23"/>
    </row>
    <row r="722">
      <c r="A722" s="19">
        <v>2003120.0</v>
      </c>
      <c r="B722" s="19" t="s">
        <v>169</v>
      </c>
      <c r="C722" s="19">
        <v>1.0</v>
      </c>
      <c r="D722" s="19" t="str">
        <f>A722 &amp; " - " &amp; B722 &amp; " (" &amp; VLOOKUP(C722, Tbl_ColorMap[],2,false) &amp; ")"</f>
        <v>2003120 - Deep Delicate Drizzly Scene  (Blue)</v>
      </c>
      <c r="E722" s="23"/>
      <c r="L722" s="23"/>
    </row>
    <row r="723">
      <c r="A723" s="19">
        <v>2003121.0</v>
      </c>
      <c r="B723" s="19" t="s">
        <v>170</v>
      </c>
      <c r="C723" s="19">
        <v>1.0</v>
      </c>
      <c r="D723" s="19" t="str">
        <f>A723 &amp; " - " &amp; B723 &amp; " (" &amp; VLOOKUP(C723, Tbl_ColorMap[],2,false) &amp; ")"</f>
        <v>2003121 - Deep Polished Drizzly Scene  (Blue)</v>
      </c>
      <c r="E723" s="23"/>
      <c r="L723" s="23"/>
    </row>
    <row r="724">
      <c r="A724" s="19">
        <v>2003122.0</v>
      </c>
      <c r="B724" s="19" t="s">
        <v>171</v>
      </c>
      <c r="C724" s="19">
        <v>1.0</v>
      </c>
      <c r="D724" s="19" t="str">
        <f>A724 &amp; " - " &amp; B724 &amp; " (" &amp; VLOOKUP(C724, Tbl_ColorMap[],2,false) &amp; ")"</f>
        <v>2003122 - Deep Grand Drizzly Scene  (Blue)</v>
      </c>
      <c r="E724" s="23"/>
      <c r="L724" s="23"/>
    </row>
    <row r="725">
      <c r="A725" s="19">
        <v>2003200.0</v>
      </c>
      <c r="B725" s="19" t="s">
        <v>172</v>
      </c>
      <c r="C725" s="19">
        <v>2.0</v>
      </c>
      <c r="D725" s="19" t="str">
        <f>A725 &amp; " - " &amp; B725 &amp; " (" &amp; VLOOKUP(C725, Tbl_ColorMap[],2,false) &amp; ")"</f>
        <v>2003200 - Deep Delicate Luminous Scene  (Yellow)</v>
      </c>
      <c r="E725" s="23"/>
      <c r="L725" s="23"/>
    </row>
    <row r="726">
      <c r="A726" s="19">
        <v>2003201.0</v>
      </c>
      <c r="B726" s="19" t="s">
        <v>173</v>
      </c>
      <c r="C726" s="19">
        <v>2.0</v>
      </c>
      <c r="D726" s="19" t="str">
        <f>A726 &amp; " - " &amp; B726 &amp; " (" &amp; VLOOKUP(C726, Tbl_ColorMap[],2,false) &amp; ")"</f>
        <v>2003201 - Deep Polished Luminous Scene (Yellow)</v>
      </c>
      <c r="E726" s="23"/>
      <c r="L726" s="23"/>
    </row>
    <row r="727">
      <c r="A727" s="19">
        <v>2003202.0</v>
      </c>
      <c r="B727" s="19" t="s">
        <v>174</v>
      </c>
      <c r="C727" s="19">
        <v>2.0</v>
      </c>
      <c r="D727" s="19" t="str">
        <f>A727 &amp; " - " &amp; B727 &amp; " (" &amp; VLOOKUP(C727, Tbl_ColorMap[],2,false) &amp; ")"</f>
        <v>2003202 - Deep Grand Luminous Scene (Yellow)</v>
      </c>
      <c r="E727" s="23"/>
      <c r="L727" s="23"/>
    </row>
    <row r="728">
      <c r="A728" s="19">
        <v>2003210.0</v>
      </c>
      <c r="B728" s="19" t="s">
        <v>172</v>
      </c>
      <c r="C728" s="19">
        <v>2.0</v>
      </c>
      <c r="D728" s="19" t="str">
        <f>A728 &amp; " - " &amp; B728 &amp; " (" &amp; VLOOKUP(C728, Tbl_ColorMap[],2,false) &amp; ")"</f>
        <v>2003210 - Deep Delicate Luminous Scene  (Yellow)</v>
      </c>
      <c r="E728" s="23"/>
      <c r="L728" s="23"/>
    </row>
    <row r="729">
      <c r="A729" s="19">
        <v>2003211.0</v>
      </c>
      <c r="B729" s="19" t="s">
        <v>173</v>
      </c>
      <c r="C729" s="19">
        <v>2.0</v>
      </c>
      <c r="D729" s="19" t="str">
        <f>A729 &amp; " - " &amp; B729 &amp; " (" &amp; VLOOKUP(C729, Tbl_ColorMap[],2,false) &amp; ")"</f>
        <v>2003211 - Deep Polished Luminous Scene (Yellow)</v>
      </c>
      <c r="E729" s="23"/>
      <c r="L729" s="23"/>
    </row>
    <row r="730">
      <c r="A730" s="19">
        <v>2003212.0</v>
      </c>
      <c r="B730" s="19" t="s">
        <v>174</v>
      </c>
      <c r="C730" s="19">
        <v>2.0</v>
      </c>
      <c r="D730" s="19" t="str">
        <f>A730 &amp; " - " &amp; B730 &amp; " (" &amp; VLOOKUP(C730, Tbl_ColorMap[],2,false) &amp; ")"</f>
        <v>2003212 - Deep Grand Luminous Scene (Yellow)</v>
      </c>
      <c r="E730" s="23"/>
      <c r="L730" s="23"/>
    </row>
    <row r="731">
      <c r="A731" s="19">
        <v>2003220.0</v>
      </c>
      <c r="B731" s="19" t="s">
        <v>172</v>
      </c>
      <c r="C731" s="19">
        <v>2.0</v>
      </c>
      <c r="D731" s="19" t="str">
        <f>A731 &amp; " - " &amp; B731 &amp; " (" &amp; VLOOKUP(C731, Tbl_ColorMap[],2,false) &amp; ")"</f>
        <v>2003220 - Deep Delicate Luminous Scene  (Yellow)</v>
      </c>
      <c r="E731" s="23"/>
      <c r="L731" s="23"/>
    </row>
    <row r="732">
      <c r="A732" s="19">
        <v>2003221.0</v>
      </c>
      <c r="B732" s="19" t="s">
        <v>173</v>
      </c>
      <c r="C732" s="19">
        <v>2.0</v>
      </c>
      <c r="D732" s="19" t="str">
        <f>A732 &amp; " - " &amp; B732 &amp; " (" &amp; VLOOKUP(C732, Tbl_ColorMap[],2,false) &amp; ")"</f>
        <v>2003221 - Deep Polished Luminous Scene (Yellow)</v>
      </c>
      <c r="E732" s="23"/>
      <c r="L732" s="23"/>
    </row>
    <row r="733">
      <c r="A733" s="19">
        <v>2003222.0</v>
      </c>
      <c r="B733" s="19" t="s">
        <v>174</v>
      </c>
      <c r="C733" s="19">
        <v>2.0</v>
      </c>
      <c r="D733" s="19" t="str">
        <f>A733 &amp; " - " &amp; B733 &amp; " (" &amp; VLOOKUP(C733, Tbl_ColorMap[],2,false) &amp; ")"</f>
        <v>2003222 - Deep Grand Luminous Scene (Yellow)</v>
      </c>
      <c r="E733" s="23"/>
      <c r="L733" s="23"/>
    </row>
    <row r="734">
      <c r="A734" s="19">
        <v>2003300.0</v>
      </c>
      <c r="B734" s="19" t="s">
        <v>175</v>
      </c>
      <c r="C734" s="19">
        <v>3.0</v>
      </c>
      <c r="D734" s="19" t="str">
        <f>A734 &amp; " - " &amp; B734 &amp; " (" &amp; VLOOKUP(C734, Tbl_ColorMap[],2,false) &amp; ")"</f>
        <v>2003300 - Deep Delicate Tranquil Scene  (Green)</v>
      </c>
      <c r="E734" s="23"/>
      <c r="L734" s="23"/>
    </row>
    <row r="735">
      <c r="A735" s="19">
        <v>2003301.0</v>
      </c>
      <c r="B735" s="19" t="s">
        <v>176</v>
      </c>
      <c r="C735" s="19">
        <v>3.0</v>
      </c>
      <c r="D735" s="19" t="str">
        <f>A735 &amp; " - " &amp; B735 &amp; " (" &amp; VLOOKUP(C735, Tbl_ColorMap[],2,false) &amp; ")"</f>
        <v>2003301 - Deep Polished Tranquil Scene  (Green)</v>
      </c>
      <c r="E735" s="23"/>
      <c r="L735" s="23"/>
    </row>
    <row r="736">
      <c r="A736" s="19">
        <v>2003302.0</v>
      </c>
      <c r="B736" s="19" t="s">
        <v>177</v>
      </c>
      <c r="C736" s="19">
        <v>3.0</v>
      </c>
      <c r="D736" s="19" t="str">
        <f>A736 &amp; " - " &amp; B736 &amp; " (" &amp; VLOOKUP(C736, Tbl_ColorMap[],2,false) &amp; ")"</f>
        <v>2003302 - Deep Grand Tranquil Scene  (Green)</v>
      </c>
      <c r="E736" s="23"/>
      <c r="L736" s="23"/>
    </row>
    <row r="737">
      <c r="A737" s="19">
        <v>2003310.0</v>
      </c>
      <c r="B737" s="19" t="s">
        <v>175</v>
      </c>
      <c r="C737" s="19">
        <v>3.0</v>
      </c>
      <c r="D737" s="19" t="str">
        <f>A737 &amp; " - " &amp; B737 &amp; " (" &amp; VLOOKUP(C737, Tbl_ColorMap[],2,false) &amp; ")"</f>
        <v>2003310 - Deep Delicate Tranquil Scene  (Green)</v>
      </c>
      <c r="E737" s="23"/>
      <c r="L737" s="23"/>
    </row>
    <row r="738">
      <c r="A738" s="19">
        <v>2003311.0</v>
      </c>
      <c r="B738" s="19" t="s">
        <v>176</v>
      </c>
      <c r="C738" s="19">
        <v>3.0</v>
      </c>
      <c r="D738" s="19" t="str">
        <f>A738 &amp; " - " &amp; B738 &amp; " (" &amp; VLOOKUP(C738, Tbl_ColorMap[],2,false) &amp; ")"</f>
        <v>2003311 - Deep Polished Tranquil Scene  (Green)</v>
      </c>
      <c r="E738" s="23"/>
      <c r="L738" s="23"/>
    </row>
    <row r="739">
      <c r="A739" s="19">
        <v>2003312.0</v>
      </c>
      <c r="B739" s="19" t="s">
        <v>177</v>
      </c>
      <c r="C739" s="19">
        <v>3.0</v>
      </c>
      <c r="D739" s="19" t="str">
        <f>A739 &amp; " - " &amp; B739 &amp; " (" &amp; VLOOKUP(C739, Tbl_ColorMap[],2,false) &amp; ")"</f>
        <v>2003312 - Deep Grand Tranquil Scene  (Green)</v>
      </c>
      <c r="E739" s="23"/>
      <c r="L739" s="23"/>
    </row>
    <row r="740">
      <c r="A740" s="19">
        <v>2003320.0</v>
      </c>
      <c r="B740" s="19" t="s">
        <v>175</v>
      </c>
      <c r="C740" s="19">
        <v>3.0</v>
      </c>
      <c r="D740" s="19" t="str">
        <f>A740 &amp; " - " &amp; B740 &amp; " (" &amp; VLOOKUP(C740, Tbl_ColorMap[],2,false) &amp; ")"</f>
        <v>2003320 - Deep Delicate Tranquil Scene  (Green)</v>
      </c>
      <c r="E740" s="23"/>
      <c r="L740" s="23"/>
    </row>
    <row r="741">
      <c r="A741" s="19">
        <v>2003321.0</v>
      </c>
      <c r="B741" s="19" t="s">
        <v>176</v>
      </c>
      <c r="C741" s="19">
        <v>3.0</v>
      </c>
      <c r="D741" s="19" t="str">
        <f>A741 &amp; " - " &amp; B741 &amp; " (" &amp; VLOOKUP(C741, Tbl_ColorMap[],2,false) &amp; ")"</f>
        <v>2003321 - Deep Polished Tranquil Scene  (Green)</v>
      </c>
      <c r="E741" s="23"/>
      <c r="L741" s="23"/>
    </row>
    <row r="742">
      <c r="A742" s="19">
        <v>2003322.0</v>
      </c>
      <c r="B742" s="19" t="s">
        <v>177</v>
      </c>
      <c r="C742" s="19">
        <v>3.0</v>
      </c>
      <c r="D742" s="19" t="str">
        <f>A742 &amp; " - " &amp; B742 &amp; " (" &amp; VLOOKUP(C742, Tbl_ColorMap[],2,false) &amp; ")"</f>
        <v>2003322 - Deep Grand Tranquil Scene  (Green)</v>
      </c>
      <c r="E742" s="23"/>
      <c r="L742" s="23"/>
    </row>
    <row r="743">
      <c r="A743" s="19">
        <v>2010000.0</v>
      </c>
      <c r="B743" s="19" t="s">
        <v>166</v>
      </c>
      <c r="C743" s="19">
        <v>0.0</v>
      </c>
      <c r="D743" s="19" t="str">
        <f>A743 &amp; " - " &amp; B743 &amp; " (" &amp; VLOOKUP(C743, Tbl_ColorMap[],2,false) &amp; ")"</f>
        <v>2010000 - Deep Delicate Burning Scene (Red)</v>
      </c>
      <c r="E743" s="23"/>
      <c r="L743" s="23"/>
    </row>
    <row r="744">
      <c r="A744" s="19">
        <v>2010001.0</v>
      </c>
      <c r="B744" s="19" t="s">
        <v>167</v>
      </c>
      <c r="C744" s="19">
        <v>0.0</v>
      </c>
      <c r="D744" s="19" t="str">
        <f>A744 &amp; " - " &amp; B744 &amp; " (" &amp; VLOOKUP(C744, Tbl_ColorMap[],2,false) &amp; ")"</f>
        <v>2010001 - Deep Polished Burning Scene  (Red)</v>
      </c>
      <c r="E744" s="23"/>
      <c r="L744" s="23"/>
    </row>
    <row r="745">
      <c r="A745" s="19">
        <v>2010002.0</v>
      </c>
      <c r="B745" s="19" t="s">
        <v>168</v>
      </c>
      <c r="C745" s="19">
        <v>0.0</v>
      </c>
      <c r="D745" s="19" t="str">
        <f>A745 &amp; " - " &amp; B745 &amp; " (" &amp; VLOOKUP(C745, Tbl_ColorMap[],2,false) &amp; ")"</f>
        <v>2010002 - Deep Grand Burning Scene  (Red)</v>
      </c>
      <c r="E745" s="23"/>
      <c r="L745" s="23"/>
    </row>
    <row r="746">
      <c r="A746" s="19">
        <v>2010010.0</v>
      </c>
      <c r="B746" s="19" t="s">
        <v>166</v>
      </c>
      <c r="C746" s="19">
        <v>0.0</v>
      </c>
      <c r="D746" s="19" t="str">
        <f>A746 &amp; " - " &amp; B746 &amp; " (" &amp; VLOOKUP(C746, Tbl_ColorMap[],2,false) &amp; ")"</f>
        <v>2010010 - Deep Delicate Burning Scene (Red)</v>
      </c>
      <c r="E746" s="23"/>
      <c r="L746" s="23"/>
    </row>
    <row r="747">
      <c r="A747" s="19">
        <v>2010011.0</v>
      </c>
      <c r="B747" s="19" t="s">
        <v>167</v>
      </c>
      <c r="C747" s="19">
        <v>0.0</v>
      </c>
      <c r="D747" s="19" t="str">
        <f>A747 &amp; " - " &amp; B747 &amp; " (" &amp; VLOOKUP(C747, Tbl_ColorMap[],2,false) &amp; ")"</f>
        <v>2010011 - Deep Polished Burning Scene  (Red)</v>
      </c>
      <c r="E747" s="23"/>
      <c r="L747" s="23"/>
    </row>
    <row r="748">
      <c r="A748" s="19">
        <v>2010012.0</v>
      </c>
      <c r="B748" s="19" t="s">
        <v>168</v>
      </c>
      <c r="C748" s="19">
        <v>0.0</v>
      </c>
      <c r="D748" s="19" t="str">
        <f>A748 &amp; " - " &amp; B748 &amp; " (" &amp; VLOOKUP(C748, Tbl_ColorMap[],2,false) &amp; ")"</f>
        <v>2010012 - Deep Grand Burning Scene  (Red)</v>
      </c>
      <c r="E748" s="23"/>
      <c r="L748" s="23"/>
    </row>
    <row r="749">
      <c r="A749" s="19">
        <v>2010020.0</v>
      </c>
      <c r="B749" s="19" t="s">
        <v>166</v>
      </c>
      <c r="C749" s="19">
        <v>0.0</v>
      </c>
      <c r="D749" s="19" t="str">
        <f>A749 &amp; " - " &amp; B749 &amp; " (" &amp; VLOOKUP(C749, Tbl_ColorMap[],2,false) &amp; ")"</f>
        <v>2010020 - Deep Delicate Burning Scene (Red)</v>
      </c>
      <c r="E749" s="23"/>
      <c r="L749" s="23"/>
    </row>
    <row r="750">
      <c r="A750" s="19">
        <v>2010021.0</v>
      </c>
      <c r="B750" s="19" t="s">
        <v>167</v>
      </c>
      <c r="C750" s="19">
        <v>0.0</v>
      </c>
      <c r="D750" s="19" t="str">
        <f>A750 &amp; " - " &amp; B750 &amp; " (" &amp; VLOOKUP(C750, Tbl_ColorMap[],2,false) &amp; ")"</f>
        <v>2010021 - Deep Polished Burning Scene  (Red)</v>
      </c>
      <c r="E750" s="23"/>
      <c r="L750" s="23"/>
    </row>
    <row r="751">
      <c r="A751" s="19">
        <v>2010022.0</v>
      </c>
      <c r="B751" s="19" t="s">
        <v>168</v>
      </c>
      <c r="C751" s="19">
        <v>0.0</v>
      </c>
      <c r="D751" s="19" t="str">
        <f>A751 &amp; " - " &amp; B751 &amp; " (" &amp; VLOOKUP(C751, Tbl_ColorMap[],2,false) &amp; ")"</f>
        <v>2010022 - Deep Grand Burning Scene  (Red)</v>
      </c>
      <c r="E751" s="23"/>
      <c r="L751" s="23"/>
    </row>
    <row r="752">
      <c r="A752" s="19">
        <v>2010100.0</v>
      </c>
      <c r="B752" s="19" t="s">
        <v>169</v>
      </c>
      <c r="C752" s="19">
        <v>1.0</v>
      </c>
      <c r="D752" s="19" t="str">
        <f>A752 &amp; " - " &amp; B752 &amp; " (" &amp; VLOOKUP(C752, Tbl_ColorMap[],2,false) &amp; ")"</f>
        <v>2010100 - Deep Delicate Drizzly Scene  (Blue)</v>
      </c>
      <c r="E752" s="23"/>
      <c r="L752" s="23"/>
    </row>
    <row r="753">
      <c r="A753" s="19">
        <v>2010101.0</v>
      </c>
      <c r="B753" s="19" t="s">
        <v>170</v>
      </c>
      <c r="C753" s="19">
        <v>1.0</v>
      </c>
      <c r="D753" s="19" t="str">
        <f>A753 &amp; " - " &amp; B753 &amp; " (" &amp; VLOOKUP(C753, Tbl_ColorMap[],2,false) &amp; ")"</f>
        <v>2010101 - Deep Polished Drizzly Scene  (Blue)</v>
      </c>
      <c r="E753" s="23"/>
      <c r="L753" s="23"/>
    </row>
    <row r="754">
      <c r="A754" s="19">
        <v>2010102.0</v>
      </c>
      <c r="B754" s="19" t="s">
        <v>171</v>
      </c>
      <c r="C754" s="19">
        <v>1.0</v>
      </c>
      <c r="D754" s="19" t="str">
        <f>A754 &amp; " - " &amp; B754 &amp; " (" &amp; VLOOKUP(C754, Tbl_ColorMap[],2,false) &amp; ")"</f>
        <v>2010102 - Deep Grand Drizzly Scene  (Blue)</v>
      </c>
      <c r="E754" s="23"/>
      <c r="L754" s="23"/>
    </row>
    <row r="755">
      <c r="A755" s="19">
        <v>2010110.0</v>
      </c>
      <c r="B755" s="19" t="s">
        <v>169</v>
      </c>
      <c r="C755" s="19">
        <v>1.0</v>
      </c>
      <c r="D755" s="19" t="str">
        <f>A755 &amp; " - " &amp; B755 &amp; " (" &amp; VLOOKUP(C755, Tbl_ColorMap[],2,false) &amp; ")"</f>
        <v>2010110 - Deep Delicate Drizzly Scene  (Blue)</v>
      </c>
      <c r="E755" s="23"/>
      <c r="L755" s="23"/>
    </row>
    <row r="756">
      <c r="A756" s="19">
        <v>2010111.0</v>
      </c>
      <c r="B756" s="19" t="s">
        <v>170</v>
      </c>
      <c r="C756" s="19">
        <v>1.0</v>
      </c>
      <c r="D756" s="19" t="str">
        <f>A756 &amp; " - " &amp; B756 &amp; " (" &amp; VLOOKUP(C756, Tbl_ColorMap[],2,false) &amp; ")"</f>
        <v>2010111 - Deep Polished Drizzly Scene  (Blue)</v>
      </c>
      <c r="E756" s="23"/>
      <c r="L756" s="23"/>
    </row>
    <row r="757">
      <c r="A757" s="19">
        <v>2010112.0</v>
      </c>
      <c r="B757" s="19" t="s">
        <v>171</v>
      </c>
      <c r="C757" s="19">
        <v>1.0</v>
      </c>
      <c r="D757" s="19" t="str">
        <f>A757 &amp; " - " &amp; B757 &amp; " (" &amp; VLOOKUP(C757, Tbl_ColorMap[],2,false) &amp; ")"</f>
        <v>2010112 - Deep Grand Drizzly Scene  (Blue)</v>
      </c>
      <c r="E757" s="23"/>
      <c r="L757" s="23"/>
    </row>
    <row r="758">
      <c r="A758" s="19">
        <v>2010120.0</v>
      </c>
      <c r="B758" s="19" t="s">
        <v>169</v>
      </c>
      <c r="C758" s="19">
        <v>1.0</v>
      </c>
      <c r="D758" s="19" t="str">
        <f>A758 &amp; " - " &amp; B758 &amp; " (" &amp; VLOOKUP(C758, Tbl_ColorMap[],2,false) &amp; ")"</f>
        <v>2010120 - Deep Delicate Drizzly Scene  (Blue)</v>
      </c>
      <c r="E758" s="23"/>
      <c r="L758" s="23"/>
    </row>
    <row r="759">
      <c r="A759" s="19">
        <v>2010121.0</v>
      </c>
      <c r="B759" s="19" t="s">
        <v>170</v>
      </c>
      <c r="C759" s="19">
        <v>1.0</v>
      </c>
      <c r="D759" s="19" t="str">
        <f>A759 &amp; " - " &amp; B759 &amp; " (" &amp; VLOOKUP(C759, Tbl_ColorMap[],2,false) &amp; ")"</f>
        <v>2010121 - Deep Polished Drizzly Scene  (Blue)</v>
      </c>
      <c r="E759" s="23"/>
      <c r="L759" s="23"/>
    </row>
    <row r="760">
      <c r="A760" s="19">
        <v>2010122.0</v>
      </c>
      <c r="B760" s="19" t="s">
        <v>171</v>
      </c>
      <c r="C760" s="19">
        <v>1.0</v>
      </c>
      <c r="D760" s="19" t="str">
        <f>A760 &amp; " - " &amp; B760 &amp; " (" &amp; VLOOKUP(C760, Tbl_ColorMap[],2,false) &amp; ")"</f>
        <v>2010122 - Deep Grand Drizzly Scene  (Blue)</v>
      </c>
      <c r="E760" s="23"/>
      <c r="L760" s="23"/>
    </row>
    <row r="761">
      <c r="A761" s="19">
        <v>2010200.0</v>
      </c>
      <c r="B761" s="19" t="s">
        <v>172</v>
      </c>
      <c r="C761" s="19">
        <v>2.0</v>
      </c>
      <c r="D761" s="19" t="str">
        <f>A761 &amp; " - " &amp; B761 &amp; " (" &amp; VLOOKUP(C761, Tbl_ColorMap[],2,false) &amp; ")"</f>
        <v>2010200 - Deep Delicate Luminous Scene  (Yellow)</v>
      </c>
      <c r="E761" s="23"/>
      <c r="L761" s="23"/>
    </row>
    <row r="762">
      <c r="A762" s="19">
        <v>2010201.0</v>
      </c>
      <c r="B762" s="19" t="s">
        <v>173</v>
      </c>
      <c r="C762" s="19">
        <v>2.0</v>
      </c>
      <c r="D762" s="19" t="str">
        <f>A762 &amp; " - " &amp; B762 &amp; " (" &amp; VLOOKUP(C762, Tbl_ColorMap[],2,false) &amp; ")"</f>
        <v>2010201 - Deep Polished Luminous Scene (Yellow)</v>
      </c>
      <c r="E762" s="23"/>
      <c r="L762" s="23"/>
    </row>
    <row r="763">
      <c r="A763" s="19">
        <v>2010202.0</v>
      </c>
      <c r="B763" s="19" t="s">
        <v>174</v>
      </c>
      <c r="C763" s="19">
        <v>2.0</v>
      </c>
      <c r="D763" s="19" t="str">
        <f>A763 &amp; " - " &amp; B763 &amp; " (" &amp; VLOOKUP(C763, Tbl_ColorMap[],2,false) &amp; ")"</f>
        <v>2010202 - Deep Grand Luminous Scene (Yellow)</v>
      </c>
      <c r="E763" s="23"/>
      <c r="L763" s="23"/>
    </row>
    <row r="764">
      <c r="A764" s="19">
        <v>2010210.0</v>
      </c>
      <c r="B764" s="19" t="s">
        <v>172</v>
      </c>
      <c r="C764" s="19">
        <v>2.0</v>
      </c>
      <c r="D764" s="19" t="str">
        <f>A764 &amp; " - " &amp; B764 &amp; " (" &amp; VLOOKUP(C764, Tbl_ColorMap[],2,false) &amp; ")"</f>
        <v>2010210 - Deep Delicate Luminous Scene  (Yellow)</v>
      </c>
      <c r="E764" s="23"/>
      <c r="L764" s="23"/>
    </row>
    <row r="765">
      <c r="A765" s="19">
        <v>2010211.0</v>
      </c>
      <c r="B765" s="19" t="s">
        <v>173</v>
      </c>
      <c r="C765" s="19">
        <v>2.0</v>
      </c>
      <c r="D765" s="19" t="str">
        <f>A765 &amp; " - " &amp; B765 &amp; " (" &amp; VLOOKUP(C765, Tbl_ColorMap[],2,false) &amp; ")"</f>
        <v>2010211 - Deep Polished Luminous Scene (Yellow)</v>
      </c>
      <c r="E765" s="23"/>
      <c r="L765" s="23"/>
    </row>
    <row r="766">
      <c r="A766" s="19">
        <v>2010212.0</v>
      </c>
      <c r="B766" s="19" t="s">
        <v>174</v>
      </c>
      <c r="C766" s="19">
        <v>2.0</v>
      </c>
      <c r="D766" s="19" t="str">
        <f>A766 &amp; " - " &amp; B766 &amp; " (" &amp; VLOOKUP(C766, Tbl_ColorMap[],2,false) &amp; ")"</f>
        <v>2010212 - Deep Grand Luminous Scene (Yellow)</v>
      </c>
      <c r="E766" s="23"/>
      <c r="L766" s="23"/>
    </row>
    <row r="767">
      <c r="A767" s="19">
        <v>2010220.0</v>
      </c>
      <c r="B767" s="19" t="s">
        <v>172</v>
      </c>
      <c r="C767" s="19">
        <v>2.0</v>
      </c>
      <c r="D767" s="19" t="str">
        <f>A767 &amp; " - " &amp; B767 &amp; " (" &amp; VLOOKUP(C767, Tbl_ColorMap[],2,false) &amp; ")"</f>
        <v>2010220 - Deep Delicate Luminous Scene  (Yellow)</v>
      </c>
      <c r="E767" s="23"/>
      <c r="L767" s="23"/>
    </row>
    <row r="768">
      <c r="A768" s="19">
        <v>2010221.0</v>
      </c>
      <c r="B768" s="19" t="s">
        <v>173</v>
      </c>
      <c r="C768" s="19">
        <v>2.0</v>
      </c>
      <c r="D768" s="19" t="str">
        <f>A768 &amp; " - " &amp; B768 &amp; " (" &amp; VLOOKUP(C768, Tbl_ColorMap[],2,false) &amp; ")"</f>
        <v>2010221 - Deep Polished Luminous Scene (Yellow)</v>
      </c>
      <c r="E768" s="23"/>
      <c r="L768" s="23"/>
    </row>
    <row r="769">
      <c r="A769" s="19">
        <v>2010222.0</v>
      </c>
      <c r="B769" s="19" t="s">
        <v>174</v>
      </c>
      <c r="C769" s="19">
        <v>2.0</v>
      </c>
      <c r="D769" s="19" t="str">
        <f>A769 &amp; " - " &amp; B769 &amp; " (" &amp; VLOOKUP(C769, Tbl_ColorMap[],2,false) &amp; ")"</f>
        <v>2010222 - Deep Grand Luminous Scene (Yellow)</v>
      </c>
      <c r="E769" s="23"/>
      <c r="L769" s="23"/>
    </row>
    <row r="770">
      <c r="A770" s="19">
        <v>2010300.0</v>
      </c>
      <c r="B770" s="19" t="s">
        <v>175</v>
      </c>
      <c r="C770" s="19">
        <v>3.0</v>
      </c>
      <c r="D770" s="19" t="str">
        <f>A770 &amp; " - " &amp; B770 &amp; " (" &amp; VLOOKUP(C770, Tbl_ColorMap[],2,false) &amp; ")"</f>
        <v>2010300 - Deep Delicate Tranquil Scene  (Green)</v>
      </c>
      <c r="E770" s="23"/>
      <c r="L770" s="23"/>
    </row>
    <row r="771">
      <c r="A771" s="19">
        <v>2010301.0</v>
      </c>
      <c r="B771" s="19" t="s">
        <v>176</v>
      </c>
      <c r="C771" s="19">
        <v>3.0</v>
      </c>
      <c r="D771" s="19" t="str">
        <f>A771 &amp; " - " &amp; B771 &amp; " (" &amp; VLOOKUP(C771, Tbl_ColorMap[],2,false) &amp; ")"</f>
        <v>2010301 - Deep Polished Tranquil Scene  (Green)</v>
      </c>
      <c r="E771" s="23"/>
      <c r="L771" s="23"/>
    </row>
    <row r="772">
      <c r="A772" s="19">
        <v>2010302.0</v>
      </c>
      <c r="B772" s="19" t="s">
        <v>177</v>
      </c>
      <c r="C772" s="19">
        <v>3.0</v>
      </c>
      <c r="D772" s="19" t="str">
        <f>A772 &amp; " - " &amp; B772 &amp; " (" &amp; VLOOKUP(C772, Tbl_ColorMap[],2,false) &amp; ")"</f>
        <v>2010302 - Deep Grand Tranquil Scene  (Green)</v>
      </c>
      <c r="E772" s="23"/>
      <c r="L772" s="23"/>
    </row>
    <row r="773">
      <c r="A773" s="19">
        <v>2010310.0</v>
      </c>
      <c r="B773" s="19" t="s">
        <v>175</v>
      </c>
      <c r="C773" s="19">
        <v>3.0</v>
      </c>
      <c r="D773" s="19" t="str">
        <f>A773 &amp; " - " &amp; B773 &amp; " (" &amp; VLOOKUP(C773, Tbl_ColorMap[],2,false) &amp; ")"</f>
        <v>2010310 - Deep Delicate Tranquil Scene  (Green)</v>
      </c>
      <c r="E773" s="23"/>
      <c r="L773" s="23"/>
    </row>
    <row r="774">
      <c r="A774" s="19">
        <v>2010311.0</v>
      </c>
      <c r="B774" s="19" t="s">
        <v>176</v>
      </c>
      <c r="C774" s="19">
        <v>3.0</v>
      </c>
      <c r="D774" s="19" t="str">
        <f>A774 &amp; " - " &amp; B774 &amp; " (" &amp; VLOOKUP(C774, Tbl_ColorMap[],2,false) &amp; ")"</f>
        <v>2010311 - Deep Polished Tranquil Scene  (Green)</v>
      </c>
      <c r="E774" s="23"/>
      <c r="L774" s="23"/>
    </row>
    <row r="775">
      <c r="A775" s="19">
        <v>2010312.0</v>
      </c>
      <c r="B775" s="19" t="s">
        <v>177</v>
      </c>
      <c r="C775" s="19">
        <v>3.0</v>
      </c>
      <c r="D775" s="19" t="str">
        <f>A775 &amp; " - " &amp; B775 &amp; " (" &amp; VLOOKUP(C775, Tbl_ColorMap[],2,false) &amp; ")"</f>
        <v>2010312 - Deep Grand Tranquil Scene  (Green)</v>
      </c>
      <c r="E775" s="23"/>
      <c r="L775" s="23"/>
    </row>
    <row r="776">
      <c r="A776" s="19">
        <v>2010320.0</v>
      </c>
      <c r="B776" s="19" t="s">
        <v>175</v>
      </c>
      <c r="C776" s="19">
        <v>3.0</v>
      </c>
      <c r="D776" s="19" t="str">
        <f>A776 &amp; " - " &amp; B776 &amp; " (" &amp; VLOOKUP(C776, Tbl_ColorMap[],2,false) &amp; ")"</f>
        <v>2010320 - Deep Delicate Tranquil Scene  (Green)</v>
      </c>
      <c r="E776" s="23"/>
      <c r="L776" s="23"/>
    </row>
    <row r="777">
      <c r="A777" s="19">
        <v>2010321.0</v>
      </c>
      <c r="B777" s="19" t="s">
        <v>176</v>
      </c>
      <c r="C777" s="19">
        <v>3.0</v>
      </c>
      <c r="D777" s="19" t="str">
        <f>A777 &amp; " - " &amp; B777 &amp; " (" &amp; VLOOKUP(C777, Tbl_ColorMap[],2,false) &amp; ")"</f>
        <v>2010321 - Deep Polished Tranquil Scene  (Green)</v>
      </c>
      <c r="E777" s="23"/>
      <c r="L777" s="23"/>
    </row>
    <row r="778">
      <c r="A778" s="19">
        <v>2010322.0</v>
      </c>
      <c r="B778" s="19" t="s">
        <v>177</v>
      </c>
      <c r="C778" s="19">
        <v>3.0</v>
      </c>
      <c r="D778" s="19" t="str">
        <f>A778 &amp; " - " &amp; B778 &amp; " (" &amp; VLOOKUP(C778, Tbl_ColorMap[],2,false) &amp; ")"</f>
        <v>2010322 - Deep Grand Tranquil Scene  (Green)</v>
      </c>
      <c r="E778" s="23"/>
      <c r="L778" s="23"/>
    </row>
    <row r="779">
      <c r="A779" s="19">
        <v>2011001.0</v>
      </c>
      <c r="B779" s="19" t="s">
        <v>167</v>
      </c>
      <c r="C779" s="19">
        <v>0.0</v>
      </c>
      <c r="D779" s="19" t="str">
        <f>A779 &amp; " - " &amp; B779 &amp; " (" &amp; VLOOKUP(C779, Tbl_ColorMap[],2,false) &amp; ")"</f>
        <v>2011001 - Deep Polished Burning Scene  (Red)</v>
      </c>
      <c r="E779" s="23"/>
      <c r="L779" s="23"/>
    </row>
    <row r="780">
      <c r="A780" s="19">
        <v>2011002.0</v>
      </c>
      <c r="B780" s="19" t="s">
        <v>168</v>
      </c>
      <c r="C780" s="19">
        <v>0.0</v>
      </c>
      <c r="D780" s="19" t="str">
        <f>A780 &amp; " - " &amp; B780 &amp; " (" &amp; VLOOKUP(C780, Tbl_ColorMap[],2,false) &amp; ")"</f>
        <v>2011002 - Deep Grand Burning Scene  (Red)</v>
      </c>
      <c r="E780" s="23"/>
      <c r="L780" s="23"/>
    </row>
    <row r="781">
      <c r="A781" s="19">
        <v>2011011.0</v>
      </c>
      <c r="B781" s="19" t="s">
        <v>167</v>
      </c>
      <c r="C781" s="19">
        <v>0.0</v>
      </c>
      <c r="D781" s="19" t="str">
        <f>A781 &amp; " - " &amp; B781 &amp; " (" &amp; VLOOKUP(C781, Tbl_ColorMap[],2,false) &amp; ")"</f>
        <v>2011011 - Deep Polished Burning Scene  (Red)</v>
      </c>
      <c r="E781" s="23"/>
      <c r="L781" s="23"/>
    </row>
    <row r="782">
      <c r="A782" s="19">
        <v>2011012.0</v>
      </c>
      <c r="B782" s="19" t="s">
        <v>168</v>
      </c>
      <c r="C782" s="19">
        <v>0.0</v>
      </c>
      <c r="D782" s="19" t="str">
        <f>A782 &amp; " - " &amp; B782 &amp; " (" &amp; VLOOKUP(C782, Tbl_ColorMap[],2,false) &amp; ")"</f>
        <v>2011012 - Deep Grand Burning Scene  (Red)</v>
      </c>
      <c r="E782" s="23"/>
      <c r="L782" s="23"/>
    </row>
    <row r="783">
      <c r="A783" s="19">
        <v>2011021.0</v>
      </c>
      <c r="B783" s="19" t="s">
        <v>167</v>
      </c>
      <c r="C783" s="19">
        <v>0.0</v>
      </c>
      <c r="D783" s="19" t="str">
        <f>A783 &amp; " - " &amp; B783 &amp; " (" &amp; VLOOKUP(C783, Tbl_ColorMap[],2,false) &amp; ")"</f>
        <v>2011021 - Deep Polished Burning Scene  (Red)</v>
      </c>
      <c r="E783" s="23"/>
      <c r="L783" s="23"/>
    </row>
    <row r="784">
      <c r="A784" s="19">
        <v>2011022.0</v>
      </c>
      <c r="B784" s="19" t="s">
        <v>168</v>
      </c>
      <c r="C784" s="19">
        <v>0.0</v>
      </c>
      <c r="D784" s="19" t="str">
        <f>A784 &amp; " - " &amp; B784 &amp; " (" &amp; VLOOKUP(C784, Tbl_ColorMap[],2,false) &amp; ")"</f>
        <v>2011022 - Deep Grand Burning Scene  (Red)</v>
      </c>
      <c r="E784" s="23"/>
      <c r="L784" s="23"/>
    </row>
    <row r="785">
      <c r="A785" s="19">
        <v>2011101.0</v>
      </c>
      <c r="B785" s="19" t="s">
        <v>170</v>
      </c>
      <c r="C785" s="19">
        <v>1.0</v>
      </c>
      <c r="D785" s="19" t="str">
        <f>A785 &amp; " - " &amp; B785 &amp; " (" &amp; VLOOKUP(C785, Tbl_ColorMap[],2,false) &amp; ")"</f>
        <v>2011101 - Deep Polished Drizzly Scene  (Blue)</v>
      </c>
      <c r="E785" s="23"/>
      <c r="L785" s="23"/>
    </row>
    <row r="786">
      <c r="A786" s="19">
        <v>2011102.0</v>
      </c>
      <c r="B786" s="19" t="s">
        <v>171</v>
      </c>
      <c r="C786" s="19">
        <v>1.0</v>
      </c>
      <c r="D786" s="19" t="str">
        <f>A786 &amp; " - " &amp; B786 &amp; " (" &amp; VLOOKUP(C786, Tbl_ColorMap[],2,false) &amp; ")"</f>
        <v>2011102 - Deep Grand Drizzly Scene  (Blue)</v>
      </c>
      <c r="E786" s="23"/>
      <c r="L786" s="23"/>
    </row>
    <row r="787">
      <c r="A787" s="19">
        <v>2011111.0</v>
      </c>
      <c r="B787" s="19" t="s">
        <v>170</v>
      </c>
      <c r="C787" s="19">
        <v>1.0</v>
      </c>
      <c r="D787" s="19" t="str">
        <f>A787 &amp; " - " &amp; B787 &amp; " (" &amp; VLOOKUP(C787, Tbl_ColorMap[],2,false) &amp; ")"</f>
        <v>2011111 - Deep Polished Drizzly Scene  (Blue)</v>
      </c>
      <c r="E787" s="23"/>
      <c r="L787" s="23"/>
    </row>
    <row r="788">
      <c r="A788" s="19">
        <v>2011112.0</v>
      </c>
      <c r="B788" s="19" t="s">
        <v>171</v>
      </c>
      <c r="C788" s="19">
        <v>1.0</v>
      </c>
      <c r="D788" s="19" t="str">
        <f>A788 &amp; " - " &amp; B788 &amp; " (" &amp; VLOOKUP(C788, Tbl_ColorMap[],2,false) &amp; ")"</f>
        <v>2011112 - Deep Grand Drizzly Scene  (Blue)</v>
      </c>
      <c r="E788" s="23"/>
      <c r="L788" s="23"/>
    </row>
    <row r="789">
      <c r="A789" s="19">
        <v>2011121.0</v>
      </c>
      <c r="B789" s="19" t="s">
        <v>170</v>
      </c>
      <c r="C789" s="19">
        <v>1.0</v>
      </c>
      <c r="D789" s="19" t="str">
        <f>A789 &amp; " - " &amp; B789 &amp; " (" &amp; VLOOKUP(C789, Tbl_ColorMap[],2,false) &amp; ")"</f>
        <v>2011121 - Deep Polished Drizzly Scene  (Blue)</v>
      </c>
      <c r="E789" s="23"/>
      <c r="L789" s="23"/>
    </row>
    <row r="790">
      <c r="A790" s="19">
        <v>2011122.0</v>
      </c>
      <c r="B790" s="19" t="s">
        <v>171</v>
      </c>
      <c r="C790" s="19">
        <v>1.0</v>
      </c>
      <c r="D790" s="19" t="str">
        <f>A790 &amp; " - " &amp; B790 &amp; " (" &amp; VLOOKUP(C790, Tbl_ColorMap[],2,false) &amp; ")"</f>
        <v>2011122 - Deep Grand Drizzly Scene  (Blue)</v>
      </c>
      <c r="E790" s="23"/>
      <c r="L790" s="23"/>
    </row>
    <row r="791">
      <c r="A791" s="19">
        <v>2011201.0</v>
      </c>
      <c r="B791" s="19" t="s">
        <v>173</v>
      </c>
      <c r="C791" s="19">
        <v>2.0</v>
      </c>
      <c r="D791" s="19" t="str">
        <f>A791 &amp; " - " &amp; B791 &amp; " (" &amp; VLOOKUP(C791, Tbl_ColorMap[],2,false) &amp; ")"</f>
        <v>2011201 - Deep Polished Luminous Scene (Yellow)</v>
      </c>
      <c r="E791" s="23"/>
      <c r="L791" s="23"/>
    </row>
    <row r="792">
      <c r="A792" s="19">
        <v>2011202.0</v>
      </c>
      <c r="B792" s="19" t="s">
        <v>174</v>
      </c>
      <c r="C792" s="19">
        <v>2.0</v>
      </c>
      <c r="D792" s="19" t="str">
        <f>A792 &amp; " - " &amp; B792 &amp; " (" &amp; VLOOKUP(C792, Tbl_ColorMap[],2,false) &amp; ")"</f>
        <v>2011202 - Deep Grand Luminous Scene (Yellow)</v>
      </c>
      <c r="E792" s="23"/>
      <c r="L792" s="23"/>
    </row>
    <row r="793">
      <c r="A793" s="19">
        <v>2011211.0</v>
      </c>
      <c r="B793" s="19" t="s">
        <v>173</v>
      </c>
      <c r="C793" s="19">
        <v>2.0</v>
      </c>
      <c r="D793" s="19" t="str">
        <f>A793 &amp; " - " &amp; B793 &amp; " (" &amp; VLOOKUP(C793, Tbl_ColorMap[],2,false) &amp; ")"</f>
        <v>2011211 - Deep Polished Luminous Scene (Yellow)</v>
      </c>
      <c r="E793" s="23"/>
      <c r="L793" s="23"/>
    </row>
    <row r="794">
      <c r="A794" s="19">
        <v>2011212.0</v>
      </c>
      <c r="B794" s="19" t="s">
        <v>174</v>
      </c>
      <c r="C794" s="19">
        <v>2.0</v>
      </c>
      <c r="D794" s="19" t="str">
        <f>A794 &amp; " - " &amp; B794 &amp; " (" &amp; VLOOKUP(C794, Tbl_ColorMap[],2,false) &amp; ")"</f>
        <v>2011212 - Deep Grand Luminous Scene (Yellow)</v>
      </c>
      <c r="E794" s="23"/>
      <c r="L794" s="23"/>
    </row>
    <row r="795">
      <c r="A795" s="19">
        <v>2011221.0</v>
      </c>
      <c r="B795" s="19" t="s">
        <v>173</v>
      </c>
      <c r="C795" s="19">
        <v>2.0</v>
      </c>
      <c r="D795" s="19" t="str">
        <f>A795 &amp; " - " &amp; B795 &amp; " (" &amp; VLOOKUP(C795, Tbl_ColorMap[],2,false) &amp; ")"</f>
        <v>2011221 - Deep Polished Luminous Scene (Yellow)</v>
      </c>
      <c r="E795" s="23"/>
      <c r="L795" s="23"/>
    </row>
    <row r="796">
      <c r="A796" s="19">
        <v>2011222.0</v>
      </c>
      <c r="B796" s="19" t="s">
        <v>174</v>
      </c>
      <c r="C796" s="19">
        <v>2.0</v>
      </c>
      <c r="D796" s="19" t="str">
        <f>A796 &amp; " - " &amp; B796 &amp; " (" &amp; VLOOKUP(C796, Tbl_ColorMap[],2,false) &amp; ")"</f>
        <v>2011222 - Deep Grand Luminous Scene (Yellow)</v>
      </c>
      <c r="E796" s="23"/>
      <c r="L796" s="23"/>
    </row>
    <row r="797">
      <c r="A797" s="19">
        <v>2011301.0</v>
      </c>
      <c r="B797" s="19" t="s">
        <v>176</v>
      </c>
      <c r="C797" s="19">
        <v>3.0</v>
      </c>
      <c r="D797" s="19" t="str">
        <f>A797 &amp; " - " &amp; B797 &amp; " (" &amp; VLOOKUP(C797, Tbl_ColorMap[],2,false) &amp; ")"</f>
        <v>2011301 - Deep Polished Tranquil Scene  (Green)</v>
      </c>
      <c r="E797" s="23"/>
      <c r="L797" s="23"/>
    </row>
    <row r="798">
      <c r="A798" s="19">
        <v>2011302.0</v>
      </c>
      <c r="B798" s="19" t="s">
        <v>177</v>
      </c>
      <c r="C798" s="19">
        <v>3.0</v>
      </c>
      <c r="D798" s="19" t="str">
        <f>A798 &amp; " - " &amp; B798 &amp; " (" &amp; VLOOKUP(C798, Tbl_ColorMap[],2,false) &amp; ")"</f>
        <v>2011302 - Deep Grand Tranquil Scene  (Green)</v>
      </c>
      <c r="E798" s="23"/>
      <c r="L798" s="23"/>
    </row>
    <row r="799">
      <c r="A799" s="19">
        <v>2011311.0</v>
      </c>
      <c r="B799" s="19" t="s">
        <v>176</v>
      </c>
      <c r="C799" s="19">
        <v>3.0</v>
      </c>
      <c r="D799" s="19" t="str">
        <f>A799 &amp; " - " &amp; B799 &amp; " (" &amp; VLOOKUP(C799, Tbl_ColorMap[],2,false) &amp; ")"</f>
        <v>2011311 - Deep Polished Tranquil Scene  (Green)</v>
      </c>
      <c r="E799" s="23"/>
      <c r="L799" s="23"/>
    </row>
    <row r="800">
      <c r="A800" s="19">
        <v>2011312.0</v>
      </c>
      <c r="B800" s="19" t="s">
        <v>177</v>
      </c>
      <c r="C800" s="19">
        <v>3.0</v>
      </c>
      <c r="D800" s="19" t="str">
        <f>A800 &amp; " - " &amp; B800 &amp; " (" &amp; VLOOKUP(C800, Tbl_ColorMap[],2,false) &amp; ")"</f>
        <v>2011312 - Deep Grand Tranquil Scene  (Green)</v>
      </c>
      <c r="E800" s="23"/>
      <c r="L800" s="23"/>
    </row>
    <row r="801">
      <c r="A801" s="19">
        <v>2011321.0</v>
      </c>
      <c r="B801" s="19" t="s">
        <v>176</v>
      </c>
      <c r="C801" s="19">
        <v>3.0</v>
      </c>
      <c r="D801" s="19" t="str">
        <f>A801 &amp; " - " &amp; B801 &amp; " (" &amp; VLOOKUP(C801, Tbl_ColorMap[],2,false) &amp; ")"</f>
        <v>2011321 - Deep Polished Tranquil Scene  (Green)</v>
      </c>
      <c r="E801" s="23"/>
      <c r="L801" s="23"/>
    </row>
    <row r="802">
      <c r="A802" s="19">
        <v>2011322.0</v>
      </c>
      <c r="B802" s="19" t="s">
        <v>177</v>
      </c>
      <c r="C802" s="19">
        <v>3.0</v>
      </c>
      <c r="D802" s="19" t="str">
        <f>A802 &amp; " - " &amp; B802 &amp; " (" &amp; VLOOKUP(C802, Tbl_ColorMap[],2,false) &amp; ")"</f>
        <v>2011322 - Deep Grand Tranquil Scene  (Green)</v>
      </c>
      <c r="E802" s="23"/>
      <c r="L802" s="23"/>
    </row>
    <row r="803">
      <c r="A803" s="19">
        <v>2012002.0</v>
      </c>
      <c r="B803" s="19" t="s">
        <v>168</v>
      </c>
      <c r="C803" s="19">
        <v>0.0</v>
      </c>
      <c r="D803" s="19" t="str">
        <f>A803 &amp; " - " &amp; B803 &amp; " (" &amp; VLOOKUP(C803, Tbl_ColorMap[],2,false) &amp; ")"</f>
        <v>2012002 - Deep Grand Burning Scene  (Red)</v>
      </c>
      <c r="E803" s="23"/>
      <c r="L803" s="23"/>
    </row>
    <row r="804">
      <c r="A804" s="19">
        <v>2012012.0</v>
      </c>
      <c r="B804" s="19" t="s">
        <v>168</v>
      </c>
      <c r="C804" s="19">
        <v>0.0</v>
      </c>
      <c r="D804" s="19" t="str">
        <f>A804 &amp; " - " &amp; B804 &amp; " (" &amp; VLOOKUP(C804, Tbl_ColorMap[],2,false) &amp; ")"</f>
        <v>2012012 - Deep Grand Burning Scene  (Red)</v>
      </c>
      <c r="E804" s="23"/>
      <c r="L804" s="23"/>
    </row>
    <row r="805">
      <c r="A805" s="19">
        <v>2012022.0</v>
      </c>
      <c r="B805" s="19" t="s">
        <v>168</v>
      </c>
      <c r="C805" s="19">
        <v>0.0</v>
      </c>
      <c r="D805" s="19" t="str">
        <f>A805 &amp; " - " &amp; B805 &amp; " (" &amp; VLOOKUP(C805, Tbl_ColorMap[],2,false) &amp; ")"</f>
        <v>2012022 - Deep Grand Burning Scene  (Red)</v>
      </c>
      <c r="E805" s="23"/>
      <c r="L805" s="23"/>
    </row>
    <row r="806">
      <c r="A806" s="19">
        <v>2012102.0</v>
      </c>
      <c r="B806" s="19" t="s">
        <v>171</v>
      </c>
      <c r="C806" s="19">
        <v>1.0</v>
      </c>
      <c r="D806" s="19" t="str">
        <f>A806 &amp; " - " &amp; B806 &amp; " (" &amp; VLOOKUP(C806, Tbl_ColorMap[],2,false) &amp; ")"</f>
        <v>2012102 - Deep Grand Drizzly Scene  (Blue)</v>
      </c>
      <c r="E806" s="23"/>
      <c r="L806" s="23"/>
    </row>
    <row r="807">
      <c r="A807" s="19">
        <v>2012112.0</v>
      </c>
      <c r="B807" s="19" t="s">
        <v>171</v>
      </c>
      <c r="C807" s="19">
        <v>1.0</v>
      </c>
      <c r="D807" s="19" t="str">
        <f>A807 &amp; " - " &amp; B807 &amp; " (" &amp; VLOOKUP(C807, Tbl_ColorMap[],2,false) &amp; ")"</f>
        <v>2012112 - Deep Grand Drizzly Scene  (Blue)</v>
      </c>
      <c r="E807" s="23"/>
      <c r="L807" s="23"/>
    </row>
    <row r="808">
      <c r="A808" s="19">
        <v>2012122.0</v>
      </c>
      <c r="B808" s="19" t="s">
        <v>171</v>
      </c>
      <c r="C808" s="19">
        <v>1.0</v>
      </c>
      <c r="D808" s="19" t="str">
        <f>A808 &amp; " - " &amp; B808 &amp; " (" &amp; VLOOKUP(C808, Tbl_ColorMap[],2,false) &amp; ")"</f>
        <v>2012122 - Deep Grand Drizzly Scene  (Blue)</v>
      </c>
      <c r="E808" s="23"/>
      <c r="L808" s="23"/>
    </row>
    <row r="809">
      <c r="A809" s="19">
        <v>2012202.0</v>
      </c>
      <c r="B809" s="19" t="s">
        <v>174</v>
      </c>
      <c r="C809" s="19">
        <v>2.0</v>
      </c>
      <c r="D809" s="19" t="str">
        <f>A809 &amp; " - " &amp; B809 &amp; " (" &amp; VLOOKUP(C809, Tbl_ColorMap[],2,false) &amp; ")"</f>
        <v>2012202 - Deep Grand Luminous Scene (Yellow)</v>
      </c>
      <c r="E809" s="23"/>
      <c r="L809" s="23"/>
    </row>
    <row r="810">
      <c r="A810" s="19">
        <v>2012212.0</v>
      </c>
      <c r="B810" s="19" t="s">
        <v>174</v>
      </c>
      <c r="C810" s="19">
        <v>2.0</v>
      </c>
      <c r="D810" s="19" t="str">
        <f>A810 &amp; " - " &amp; B810 &amp; " (" &amp; VLOOKUP(C810, Tbl_ColorMap[],2,false) &amp; ")"</f>
        <v>2012212 - Deep Grand Luminous Scene (Yellow)</v>
      </c>
      <c r="E810" s="23"/>
      <c r="L810" s="23"/>
    </row>
    <row r="811">
      <c r="A811" s="19">
        <v>2012222.0</v>
      </c>
      <c r="B811" s="19" t="s">
        <v>174</v>
      </c>
      <c r="C811" s="19">
        <v>2.0</v>
      </c>
      <c r="D811" s="19" t="str">
        <f>A811 &amp; " - " &amp; B811 &amp; " (" &amp; VLOOKUP(C811, Tbl_ColorMap[],2,false) &amp; ")"</f>
        <v>2012222 - Deep Grand Luminous Scene (Yellow)</v>
      </c>
      <c r="E811" s="23"/>
      <c r="L811" s="23"/>
    </row>
    <row r="812">
      <c r="A812" s="19">
        <v>2012302.0</v>
      </c>
      <c r="B812" s="19" t="s">
        <v>177</v>
      </c>
      <c r="C812" s="19">
        <v>3.0</v>
      </c>
      <c r="D812" s="19" t="str">
        <f>A812 &amp; " - " &amp; B812 &amp; " (" &amp; VLOOKUP(C812, Tbl_ColorMap[],2,false) &amp; ")"</f>
        <v>2012302 - Deep Grand Tranquil Scene  (Green)</v>
      </c>
      <c r="E812" s="23"/>
      <c r="L812" s="23"/>
    </row>
    <row r="813">
      <c r="A813" s="19">
        <v>2012312.0</v>
      </c>
      <c r="B813" s="19" t="s">
        <v>177</v>
      </c>
      <c r="C813" s="19">
        <v>3.0</v>
      </c>
      <c r="D813" s="19" t="str">
        <f>A813 &amp; " - " &amp; B813 &amp; " (" &amp; VLOOKUP(C813, Tbl_ColorMap[],2,false) &amp; ")"</f>
        <v>2012312 - Deep Grand Tranquil Scene  (Green)</v>
      </c>
      <c r="E813" s="23"/>
      <c r="L813" s="23"/>
    </row>
    <row r="814">
      <c r="A814" s="19">
        <v>2012322.0</v>
      </c>
      <c r="B814" s="19" t="s">
        <v>177</v>
      </c>
      <c r="C814" s="19">
        <v>3.0</v>
      </c>
      <c r="D814" s="19" t="str">
        <f>A814 &amp; " - " &amp; B814 &amp; " (" &amp; VLOOKUP(C814, Tbl_ColorMap[],2,false) &amp; ")"</f>
        <v>2012322 - Deep Grand Tranquil Scene  (Green)</v>
      </c>
      <c r="E814" s="23"/>
      <c r="L814" s="23"/>
    </row>
    <row r="815">
      <c r="A815" s="19">
        <v>2013000.0</v>
      </c>
      <c r="B815" s="19" t="s">
        <v>166</v>
      </c>
      <c r="C815" s="19">
        <v>0.0</v>
      </c>
      <c r="D815" s="19" t="str">
        <f>A815 &amp; " - " &amp; B815 &amp; " (" &amp; VLOOKUP(C815, Tbl_ColorMap[],2,false) &amp; ")"</f>
        <v>2013000 - Deep Delicate Burning Scene (Red)</v>
      </c>
      <c r="E815" s="23"/>
      <c r="L815" s="23"/>
    </row>
    <row r="816">
      <c r="A816" s="19">
        <v>2013001.0</v>
      </c>
      <c r="B816" s="19" t="s">
        <v>167</v>
      </c>
      <c r="C816" s="19">
        <v>0.0</v>
      </c>
      <c r="D816" s="19" t="str">
        <f>A816 &amp; " - " &amp; B816 &amp; " (" &amp; VLOOKUP(C816, Tbl_ColorMap[],2,false) &amp; ")"</f>
        <v>2013001 - Deep Polished Burning Scene  (Red)</v>
      </c>
      <c r="E816" s="23"/>
      <c r="L816" s="23"/>
    </row>
    <row r="817">
      <c r="A817" s="19">
        <v>2013002.0</v>
      </c>
      <c r="B817" s="19" t="s">
        <v>168</v>
      </c>
      <c r="C817" s="19">
        <v>0.0</v>
      </c>
      <c r="D817" s="19" t="str">
        <f>A817 &amp; " - " &amp; B817 &amp; " (" &amp; VLOOKUP(C817, Tbl_ColorMap[],2,false) &amp; ")"</f>
        <v>2013002 - Deep Grand Burning Scene  (Red)</v>
      </c>
      <c r="E817" s="23"/>
      <c r="L817" s="23"/>
    </row>
    <row r="818">
      <c r="A818" s="19">
        <v>2013010.0</v>
      </c>
      <c r="B818" s="19" t="s">
        <v>166</v>
      </c>
      <c r="C818" s="19">
        <v>0.0</v>
      </c>
      <c r="D818" s="19" t="str">
        <f>A818 &amp; " - " &amp; B818 &amp; " (" &amp; VLOOKUP(C818, Tbl_ColorMap[],2,false) &amp; ")"</f>
        <v>2013010 - Deep Delicate Burning Scene (Red)</v>
      </c>
      <c r="E818" s="23"/>
      <c r="L818" s="23"/>
    </row>
    <row r="819">
      <c r="A819" s="19">
        <v>2013011.0</v>
      </c>
      <c r="B819" s="19" t="s">
        <v>167</v>
      </c>
      <c r="C819" s="19">
        <v>0.0</v>
      </c>
      <c r="D819" s="19" t="str">
        <f>A819 &amp; " - " &amp; B819 &amp; " (" &amp; VLOOKUP(C819, Tbl_ColorMap[],2,false) &amp; ")"</f>
        <v>2013011 - Deep Polished Burning Scene  (Red)</v>
      </c>
      <c r="E819" s="23"/>
      <c r="L819" s="23"/>
    </row>
    <row r="820">
      <c r="A820" s="19">
        <v>2013012.0</v>
      </c>
      <c r="B820" s="19" t="s">
        <v>168</v>
      </c>
      <c r="C820" s="19">
        <v>0.0</v>
      </c>
      <c r="D820" s="19" t="str">
        <f>A820 &amp; " - " &amp; B820 &amp; " (" &amp; VLOOKUP(C820, Tbl_ColorMap[],2,false) &amp; ")"</f>
        <v>2013012 - Deep Grand Burning Scene  (Red)</v>
      </c>
      <c r="E820" s="23"/>
      <c r="L820" s="23"/>
    </row>
    <row r="821">
      <c r="A821" s="19">
        <v>2013020.0</v>
      </c>
      <c r="B821" s="19" t="s">
        <v>166</v>
      </c>
      <c r="C821" s="19">
        <v>0.0</v>
      </c>
      <c r="D821" s="19" t="str">
        <f>A821 &amp; " - " &amp; B821 &amp; " (" &amp; VLOOKUP(C821, Tbl_ColorMap[],2,false) &amp; ")"</f>
        <v>2013020 - Deep Delicate Burning Scene (Red)</v>
      </c>
      <c r="E821" s="23"/>
      <c r="L821" s="23"/>
    </row>
    <row r="822">
      <c r="A822" s="19">
        <v>2013021.0</v>
      </c>
      <c r="B822" s="19" t="s">
        <v>167</v>
      </c>
      <c r="C822" s="19">
        <v>0.0</v>
      </c>
      <c r="D822" s="19" t="str">
        <f>A822 &amp; " - " &amp; B822 &amp; " (" &amp; VLOOKUP(C822, Tbl_ColorMap[],2,false) &amp; ")"</f>
        <v>2013021 - Deep Polished Burning Scene  (Red)</v>
      </c>
      <c r="E822" s="23"/>
      <c r="L822" s="23"/>
    </row>
    <row r="823">
      <c r="A823" s="19">
        <v>2013022.0</v>
      </c>
      <c r="B823" s="19" t="s">
        <v>168</v>
      </c>
      <c r="C823" s="19">
        <v>0.0</v>
      </c>
      <c r="D823" s="19" t="str">
        <f>A823 &amp; " - " &amp; B823 &amp; " (" &amp; VLOOKUP(C823, Tbl_ColorMap[],2,false) &amp; ")"</f>
        <v>2013022 - Deep Grand Burning Scene  (Red)</v>
      </c>
      <c r="E823" s="23"/>
      <c r="L823" s="23"/>
    </row>
    <row r="824">
      <c r="A824" s="19">
        <v>2013100.0</v>
      </c>
      <c r="B824" s="19" t="s">
        <v>169</v>
      </c>
      <c r="C824" s="19">
        <v>1.0</v>
      </c>
      <c r="D824" s="19" t="str">
        <f>A824 &amp; " - " &amp; B824 &amp; " (" &amp; VLOOKUP(C824, Tbl_ColorMap[],2,false) &amp; ")"</f>
        <v>2013100 - Deep Delicate Drizzly Scene  (Blue)</v>
      </c>
      <c r="E824" s="23"/>
      <c r="L824" s="23"/>
    </row>
    <row r="825">
      <c r="A825" s="19">
        <v>2013101.0</v>
      </c>
      <c r="B825" s="19" t="s">
        <v>170</v>
      </c>
      <c r="C825" s="19">
        <v>1.0</v>
      </c>
      <c r="D825" s="19" t="str">
        <f>A825 &amp; " - " &amp; B825 &amp; " (" &amp; VLOOKUP(C825, Tbl_ColorMap[],2,false) &amp; ")"</f>
        <v>2013101 - Deep Polished Drizzly Scene  (Blue)</v>
      </c>
      <c r="E825" s="23"/>
      <c r="L825" s="23"/>
    </row>
    <row r="826">
      <c r="A826" s="19">
        <v>2013102.0</v>
      </c>
      <c r="B826" s="19" t="s">
        <v>171</v>
      </c>
      <c r="C826" s="19">
        <v>1.0</v>
      </c>
      <c r="D826" s="19" t="str">
        <f>A826 &amp; " - " &amp; B826 &amp; " (" &amp; VLOOKUP(C826, Tbl_ColorMap[],2,false) &amp; ")"</f>
        <v>2013102 - Deep Grand Drizzly Scene  (Blue)</v>
      </c>
      <c r="E826" s="23"/>
      <c r="L826" s="23"/>
    </row>
    <row r="827">
      <c r="A827" s="19">
        <v>2013110.0</v>
      </c>
      <c r="B827" s="19" t="s">
        <v>169</v>
      </c>
      <c r="C827" s="19">
        <v>1.0</v>
      </c>
      <c r="D827" s="19" t="str">
        <f>A827 &amp; " - " &amp; B827 &amp; " (" &amp; VLOOKUP(C827, Tbl_ColorMap[],2,false) &amp; ")"</f>
        <v>2013110 - Deep Delicate Drizzly Scene  (Blue)</v>
      </c>
      <c r="E827" s="23"/>
      <c r="L827" s="23"/>
    </row>
    <row r="828">
      <c r="A828" s="19">
        <v>2013111.0</v>
      </c>
      <c r="B828" s="19" t="s">
        <v>170</v>
      </c>
      <c r="C828" s="19">
        <v>1.0</v>
      </c>
      <c r="D828" s="19" t="str">
        <f>A828 &amp; " - " &amp; B828 &amp; " (" &amp; VLOOKUP(C828, Tbl_ColorMap[],2,false) &amp; ")"</f>
        <v>2013111 - Deep Polished Drizzly Scene  (Blue)</v>
      </c>
      <c r="E828" s="23"/>
      <c r="L828" s="23"/>
    </row>
    <row r="829">
      <c r="A829" s="19">
        <v>2013112.0</v>
      </c>
      <c r="B829" s="19" t="s">
        <v>171</v>
      </c>
      <c r="C829" s="19">
        <v>1.0</v>
      </c>
      <c r="D829" s="19" t="str">
        <f>A829 &amp; " - " &amp; B829 &amp; " (" &amp; VLOOKUP(C829, Tbl_ColorMap[],2,false) &amp; ")"</f>
        <v>2013112 - Deep Grand Drizzly Scene  (Blue)</v>
      </c>
      <c r="E829" s="23"/>
      <c r="L829" s="23"/>
    </row>
    <row r="830">
      <c r="A830" s="19">
        <v>2013120.0</v>
      </c>
      <c r="B830" s="19" t="s">
        <v>169</v>
      </c>
      <c r="C830" s="19">
        <v>1.0</v>
      </c>
      <c r="D830" s="19" t="str">
        <f>A830 &amp; " - " &amp; B830 &amp; " (" &amp; VLOOKUP(C830, Tbl_ColorMap[],2,false) &amp; ")"</f>
        <v>2013120 - Deep Delicate Drizzly Scene  (Blue)</v>
      </c>
      <c r="E830" s="23"/>
      <c r="L830" s="23"/>
    </row>
    <row r="831">
      <c r="A831" s="19">
        <v>2013121.0</v>
      </c>
      <c r="B831" s="19" t="s">
        <v>170</v>
      </c>
      <c r="C831" s="19">
        <v>1.0</v>
      </c>
      <c r="D831" s="19" t="str">
        <f>A831 &amp; " - " &amp; B831 &amp; " (" &amp; VLOOKUP(C831, Tbl_ColorMap[],2,false) &amp; ")"</f>
        <v>2013121 - Deep Polished Drizzly Scene  (Blue)</v>
      </c>
      <c r="E831" s="23"/>
      <c r="L831" s="23"/>
    </row>
    <row r="832">
      <c r="A832" s="19">
        <v>2013122.0</v>
      </c>
      <c r="B832" s="19" t="s">
        <v>171</v>
      </c>
      <c r="C832" s="19">
        <v>1.0</v>
      </c>
      <c r="D832" s="19" t="str">
        <f>A832 &amp; " - " &amp; B832 &amp; " (" &amp; VLOOKUP(C832, Tbl_ColorMap[],2,false) &amp; ")"</f>
        <v>2013122 - Deep Grand Drizzly Scene  (Blue)</v>
      </c>
      <c r="E832" s="23"/>
      <c r="L832" s="23"/>
    </row>
    <row r="833">
      <c r="A833" s="19">
        <v>2013200.0</v>
      </c>
      <c r="B833" s="19" t="s">
        <v>172</v>
      </c>
      <c r="C833" s="19">
        <v>2.0</v>
      </c>
      <c r="D833" s="19" t="str">
        <f>A833 &amp; " - " &amp; B833 &amp; " (" &amp; VLOOKUP(C833, Tbl_ColorMap[],2,false) &amp; ")"</f>
        <v>2013200 - Deep Delicate Luminous Scene  (Yellow)</v>
      </c>
      <c r="E833" s="23"/>
      <c r="L833" s="23"/>
    </row>
    <row r="834">
      <c r="A834" s="19">
        <v>2013201.0</v>
      </c>
      <c r="B834" s="19" t="s">
        <v>173</v>
      </c>
      <c r="C834" s="19">
        <v>2.0</v>
      </c>
      <c r="D834" s="19" t="str">
        <f>A834 &amp; " - " &amp; B834 &amp; " (" &amp; VLOOKUP(C834, Tbl_ColorMap[],2,false) &amp; ")"</f>
        <v>2013201 - Deep Polished Luminous Scene (Yellow)</v>
      </c>
      <c r="E834" s="23"/>
      <c r="L834" s="23"/>
    </row>
    <row r="835">
      <c r="A835" s="19">
        <v>2013202.0</v>
      </c>
      <c r="B835" s="19" t="s">
        <v>174</v>
      </c>
      <c r="C835" s="19">
        <v>2.0</v>
      </c>
      <c r="D835" s="19" t="str">
        <f>A835 &amp; " - " &amp; B835 &amp; " (" &amp; VLOOKUP(C835, Tbl_ColorMap[],2,false) &amp; ")"</f>
        <v>2013202 - Deep Grand Luminous Scene (Yellow)</v>
      </c>
      <c r="E835" s="23"/>
      <c r="L835" s="23"/>
    </row>
    <row r="836">
      <c r="A836" s="19">
        <v>2013210.0</v>
      </c>
      <c r="B836" s="19" t="s">
        <v>172</v>
      </c>
      <c r="C836" s="19">
        <v>2.0</v>
      </c>
      <c r="D836" s="19" t="str">
        <f>A836 &amp; " - " &amp; B836 &amp; " (" &amp; VLOOKUP(C836, Tbl_ColorMap[],2,false) &amp; ")"</f>
        <v>2013210 - Deep Delicate Luminous Scene  (Yellow)</v>
      </c>
      <c r="E836" s="23"/>
      <c r="L836" s="23"/>
    </row>
    <row r="837">
      <c r="A837" s="19">
        <v>2013211.0</v>
      </c>
      <c r="B837" s="19" t="s">
        <v>173</v>
      </c>
      <c r="C837" s="19">
        <v>2.0</v>
      </c>
      <c r="D837" s="19" t="str">
        <f>A837 &amp; " - " &amp; B837 &amp; " (" &amp; VLOOKUP(C837, Tbl_ColorMap[],2,false) &amp; ")"</f>
        <v>2013211 - Deep Polished Luminous Scene (Yellow)</v>
      </c>
      <c r="E837" s="23"/>
      <c r="L837" s="23"/>
    </row>
    <row r="838">
      <c r="A838" s="19">
        <v>2013212.0</v>
      </c>
      <c r="B838" s="19" t="s">
        <v>174</v>
      </c>
      <c r="C838" s="19">
        <v>2.0</v>
      </c>
      <c r="D838" s="19" t="str">
        <f>A838 &amp; " - " &amp; B838 &amp; " (" &amp; VLOOKUP(C838, Tbl_ColorMap[],2,false) &amp; ")"</f>
        <v>2013212 - Deep Grand Luminous Scene (Yellow)</v>
      </c>
      <c r="E838" s="23"/>
      <c r="L838" s="23"/>
    </row>
    <row r="839">
      <c r="A839" s="19">
        <v>2013220.0</v>
      </c>
      <c r="B839" s="19" t="s">
        <v>172</v>
      </c>
      <c r="C839" s="19">
        <v>2.0</v>
      </c>
      <c r="D839" s="19" t="str">
        <f>A839 &amp; " - " &amp; B839 &amp; " (" &amp; VLOOKUP(C839, Tbl_ColorMap[],2,false) &amp; ")"</f>
        <v>2013220 - Deep Delicate Luminous Scene  (Yellow)</v>
      </c>
      <c r="E839" s="23"/>
      <c r="L839" s="23"/>
    </row>
    <row r="840">
      <c r="A840" s="19">
        <v>2013221.0</v>
      </c>
      <c r="B840" s="19" t="s">
        <v>173</v>
      </c>
      <c r="C840" s="19">
        <v>2.0</v>
      </c>
      <c r="D840" s="19" t="str">
        <f>A840 &amp; " - " &amp; B840 &amp; " (" &amp; VLOOKUP(C840, Tbl_ColorMap[],2,false) &amp; ")"</f>
        <v>2013221 - Deep Polished Luminous Scene (Yellow)</v>
      </c>
      <c r="E840" s="23"/>
      <c r="L840" s="23"/>
    </row>
    <row r="841">
      <c r="A841" s="19">
        <v>2013222.0</v>
      </c>
      <c r="B841" s="19" t="s">
        <v>174</v>
      </c>
      <c r="C841" s="19">
        <v>2.0</v>
      </c>
      <c r="D841" s="19" t="str">
        <f>A841 &amp; " - " &amp; B841 &amp; " (" &amp; VLOOKUP(C841, Tbl_ColorMap[],2,false) &amp; ")"</f>
        <v>2013222 - Deep Grand Luminous Scene (Yellow)</v>
      </c>
      <c r="E841" s="23"/>
      <c r="L841" s="23"/>
    </row>
    <row r="842">
      <c r="A842" s="19">
        <v>2013300.0</v>
      </c>
      <c r="B842" s="19" t="s">
        <v>175</v>
      </c>
      <c r="C842" s="19">
        <v>3.0</v>
      </c>
      <c r="D842" s="19" t="str">
        <f>A842 &amp; " - " &amp; B842 &amp; " (" &amp; VLOOKUP(C842, Tbl_ColorMap[],2,false) &amp; ")"</f>
        <v>2013300 - Deep Delicate Tranquil Scene  (Green)</v>
      </c>
      <c r="E842" s="23"/>
      <c r="L842" s="23"/>
    </row>
    <row r="843">
      <c r="A843" s="19">
        <v>2013301.0</v>
      </c>
      <c r="B843" s="19" t="s">
        <v>176</v>
      </c>
      <c r="C843" s="19">
        <v>3.0</v>
      </c>
      <c r="D843" s="19" t="str">
        <f>A843 &amp; " - " &amp; B843 &amp; " (" &amp; VLOOKUP(C843, Tbl_ColorMap[],2,false) &amp; ")"</f>
        <v>2013301 - Deep Polished Tranquil Scene  (Green)</v>
      </c>
      <c r="E843" s="23"/>
      <c r="L843" s="23"/>
    </row>
    <row r="844">
      <c r="A844" s="19">
        <v>2013302.0</v>
      </c>
      <c r="B844" s="19" t="s">
        <v>177</v>
      </c>
      <c r="C844" s="19">
        <v>3.0</v>
      </c>
      <c r="D844" s="19" t="str">
        <f>A844 &amp; " - " &amp; B844 &amp; " (" &amp; VLOOKUP(C844, Tbl_ColorMap[],2,false) &amp; ")"</f>
        <v>2013302 - Deep Grand Tranquil Scene  (Green)</v>
      </c>
      <c r="E844" s="23"/>
      <c r="L844" s="23"/>
    </row>
    <row r="845">
      <c r="A845" s="19">
        <v>2013310.0</v>
      </c>
      <c r="B845" s="19" t="s">
        <v>175</v>
      </c>
      <c r="C845" s="19">
        <v>3.0</v>
      </c>
      <c r="D845" s="19" t="str">
        <f>A845 &amp; " - " &amp; B845 &amp; " (" &amp; VLOOKUP(C845, Tbl_ColorMap[],2,false) &amp; ")"</f>
        <v>2013310 - Deep Delicate Tranquil Scene  (Green)</v>
      </c>
      <c r="E845" s="23"/>
      <c r="L845" s="23"/>
    </row>
    <row r="846">
      <c r="A846" s="19">
        <v>2013311.0</v>
      </c>
      <c r="B846" s="19" t="s">
        <v>176</v>
      </c>
      <c r="C846" s="19">
        <v>3.0</v>
      </c>
      <c r="D846" s="19" t="str">
        <f>A846 &amp; " - " &amp; B846 &amp; " (" &amp; VLOOKUP(C846, Tbl_ColorMap[],2,false) &amp; ")"</f>
        <v>2013311 - Deep Polished Tranquil Scene  (Green)</v>
      </c>
      <c r="E846" s="23"/>
      <c r="L846" s="23"/>
    </row>
    <row r="847">
      <c r="A847" s="19">
        <v>2013312.0</v>
      </c>
      <c r="B847" s="19" t="s">
        <v>177</v>
      </c>
      <c r="C847" s="19">
        <v>3.0</v>
      </c>
      <c r="D847" s="19" t="str">
        <f>A847 &amp; " - " &amp; B847 &amp; " (" &amp; VLOOKUP(C847, Tbl_ColorMap[],2,false) &amp; ")"</f>
        <v>2013312 - Deep Grand Tranquil Scene  (Green)</v>
      </c>
      <c r="E847" s="23"/>
      <c r="L847" s="23"/>
    </row>
    <row r="848">
      <c r="A848" s="19">
        <v>2013320.0</v>
      </c>
      <c r="B848" s="19" t="s">
        <v>175</v>
      </c>
      <c r="C848" s="19">
        <v>3.0</v>
      </c>
      <c r="D848" s="19" t="str">
        <f>A848 &amp; " - " &amp; B848 &amp; " (" &amp; VLOOKUP(C848, Tbl_ColorMap[],2,false) &amp; ")"</f>
        <v>2013320 - Deep Delicate Tranquil Scene  (Green)</v>
      </c>
      <c r="E848" s="23"/>
      <c r="L848" s="23"/>
    </row>
    <row r="849">
      <c r="A849" s="19">
        <v>2013321.0</v>
      </c>
      <c r="B849" s="19" t="s">
        <v>176</v>
      </c>
      <c r="C849" s="19">
        <v>3.0</v>
      </c>
      <c r="D849" s="19" t="str">
        <f>A849 &amp; " - " &amp; B849 &amp; " (" &amp; VLOOKUP(C849, Tbl_ColorMap[],2,false) &amp; ")"</f>
        <v>2013321 - Deep Polished Tranquil Scene  (Green)</v>
      </c>
      <c r="E849" s="23"/>
      <c r="L849" s="23"/>
    </row>
    <row r="850">
      <c r="A850" s="19">
        <v>2013322.0</v>
      </c>
      <c r="B850" s="19" t="s">
        <v>177</v>
      </c>
      <c r="C850" s="19">
        <v>3.0</v>
      </c>
      <c r="D850" s="19" t="str">
        <f>A850 &amp; " - " &amp; B850 &amp; " (" &amp; VLOOKUP(C850, Tbl_ColorMap[],2,false) &amp; ")"</f>
        <v>2013322 - Deep Grand Tranquil Scene  (Green)</v>
      </c>
      <c r="E850" s="23"/>
      <c r="L850" s="23"/>
    </row>
    <row r="851">
      <c r="A851" s="19">
        <v>6001400.0</v>
      </c>
      <c r="B851" s="19" t="s">
        <v>182</v>
      </c>
      <c r="C851" s="19">
        <v>0.0</v>
      </c>
      <c r="D851" s="19" t="str">
        <f>A851 &amp; " - " &amp; B851 &amp; " (" &amp; VLOOKUP(C851, Tbl_ColorMap[],2,false) &amp; ")"</f>
        <v>6001400 - Unset (Red)</v>
      </c>
      <c r="E851" s="23"/>
      <c r="L851" s="23"/>
    </row>
    <row r="852">
      <c r="A852" s="19">
        <v>6001401.0</v>
      </c>
      <c r="B852" s="19" t="s">
        <v>182</v>
      </c>
      <c r="C852" s="19">
        <v>0.0</v>
      </c>
      <c r="D852" s="19" t="str">
        <f>A852 &amp; " - " &amp; B852 &amp; " (" &amp; VLOOKUP(C852, Tbl_ColorMap[],2,false) &amp; ")"</f>
        <v>6001401 - Unset (Red)</v>
      </c>
      <c r="E852" s="23"/>
      <c r="L852" s="23"/>
    </row>
    <row r="853">
      <c r="A853" s="19">
        <v>6001500.0</v>
      </c>
      <c r="B853" s="19" t="s">
        <v>182</v>
      </c>
      <c r="C853" s="19">
        <v>0.0</v>
      </c>
      <c r="D853" s="19" t="str">
        <f>A853 &amp; " - " &amp; B853 &amp; " (" &amp; VLOOKUP(C853, Tbl_ColorMap[],2,false) &amp; ")"</f>
        <v>6001500 - Unset (Red)</v>
      </c>
      <c r="E853" s="23"/>
      <c r="L853" s="23"/>
    </row>
    <row r="854">
      <c r="A854" s="19">
        <v>6001501.0</v>
      </c>
      <c r="B854" s="19" t="s">
        <v>182</v>
      </c>
      <c r="C854" s="19">
        <v>0.0</v>
      </c>
      <c r="D854" s="19" t="str">
        <f>A854 &amp; " - " &amp; B854 &amp; " (" &amp; VLOOKUP(C854, Tbl_ColorMap[],2,false) &amp; ")"</f>
        <v>6001501 - Unset (Red)</v>
      </c>
      <c r="E854" s="23"/>
      <c r="L854" s="23"/>
    </row>
    <row r="855">
      <c r="A855" s="19">
        <v>6001600.0</v>
      </c>
      <c r="B855" s="19" t="s">
        <v>182</v>
      </c>
      <c r="C855" s="19">
        <v>0.0</v>
      </c>
      <c r="D855" s="19" t="str">
        <f>A855 &amp; " - " &amp; B855 &amp; " (" &amp; VLOOKUP(C855, Tbl_ColorMap[],2,false) &amp; ")"</f>
        <v>6001600 - Unset (Red)</v>
      </c>
      <c r="E855" s="23"/>
      <c r="L855" s="23"/>
    </row>
    <row r="856">
      <c r="A856" s="19">
        <v>6001601.0</v>
      </c>
      <c r="B856" s="19" t="s">
        <v>182</v>
      </c>
      <c r="C856" s="19">
        <v>0.0</v>
      </c>
      <c r="D856" s="19" t="str">
        <f>A856 &amp; " - " &amp; B856 &amp; " (" &amp; VLOOKUP(C856, Tbl_ColorMap[],2,false) &amp; ")"</f>
        <v>6001601 - Unset (Red)</v>
      </c>
      <c r="E856" s="23"/>
      <c r="L856" s="23"/>
    </row>
    <row r="857">
      <c r="A857" s="19">
        <v>6001700.0</v>
      </c>
      <c r="B857" s="19" t="s">
        <v>182</v>
      </c>
      <c r="C857" s="19">
        <v>0.0</v>
      </c>
      <c r="D857" s="19" t="str">
        <f>A857 &amp; " - " &amp; B857 &amp; " (" &amp; VLOOKUP(C857, Tbl_ColorMap[],2,false) &amp; ")"</f>
        <v>6001700 - Unset (Red)</v>
      </c>
      <c r="E857" s="23"/>
      <c r="L857" s="23"/>
    </row>
    <row r="858">
      <c r="A858" s="19">
        <v>6001701.0</v>
      </c>
      <c r="B858" s="19" t="s">
        <v>182</v>
      </c>
      <c r="C858" s="19">
        <v>0.0</v>
      </c>
      <c r="D858" s="19" t="str">
        <f>A858 &amp; " - " &amp; B858 &amp; " (" &amp; VLOOKUP(C858, Tbl_ColorMap[],2,false) &amp; ")"</f>
        <v>6001701 - Unset (Red)</v>
      </c>
      <c r="E858" s="23"/>
      <c r="L858" s="23"/>
    </row>
    <row r="859">
      <c r="A859" s="19">
        <v>6001800.0</v>
      </c>
      <c r="B859" s="19" t="s">
        <v>182</v>
      </c>
      <c r="C859" s="19">
        <v>0.0</v>
      </c>
      <c r="D859" s="19" t="str">
        <f>A859 &amp; " - " &amp; B859 &amp; " (" &amp; VLOOKUP(C859, Tbl_ColorMap[],2,false) &amp; ")"</f>
        <v>6001800 - Unset (Red)</v>
      </c>
      <c r="E859" s="23"/>
      <c r="L859" s="23"/>
    </row>
    <row r="860">
      <c r="A860" s="19">
        <v>6001801.0</v>
      </c>
      <c r="B860" s="19" t="s">
        <v>182</v>
      </c>
      <c r="C860" s="19">
        <v>0.0</v>
      </c>
      <c r="D860" s="19" t="str">
        <f>A860 &amp; " - " &amp; B860 &amp; " (" &amp; VLOOKUP(C860, Tbl_ColorMap[],2,false) &amp; ")"</f>
        <v>6001801 - Unset (Red)</v>
      </c>
      <c r="E860" s="23"/>
      <c r="L860" s="23"/>
    </row>
    <row r="861">
      <c r="A861" s="19">
        <v>6002600.0</v>
      </c>
      <c r="B861" s="19" t="s">
        <v>182</v>
      </c>
      <c r="C861" s="19">
        <v>0.0</v>
      </c>
      <c r="D861" s="19" t="str">
        <f>A861 &amp; " - " &amp; B861 &amp; " (" &amp; VLOOKUP(C861, Tbl_ColorMap[],2,false) &amp; ")"</f>
        <v>6002600 - Unset (Red)</v>
      </c>
      <c r="E861" s="23"/>
      <c r="L861" s="23"/>
    </row>
    <row r="862">
      <c r="A862" s="19">
        <v>6002601.0</v>
      </c>
      <c r="B862" s="19" t="s">
        <v>182</v>
      </c>
      <c r="C862" s="19">
        <v>0.0</v>
      </c>
      <c r="D862" s="19" t="str">
        <f>A862 &amp; " - " &amp; B862 &amp; " (" &amp; VLOOKUP(C862, Tbl_ColorMap[],2,false) &amp; ")"</f>
        <v>6002601 - Unset (Red)</v>
      </c>
      <c r="E862" s="23"/>
      <c r="L862" s="23"/>
    </row>
    <row r="863">
      <c r="A863" s="19">
        <v>6002700.0</v>
      </c>
      <c r="B863" s="19" t="s">
        <v>182</v>
      </c>
      <c r="C863" s="19">
        <v>0.0</v>
      </c>
      <c r="D863" s="19" t="str">
        <f>A863 &amp; " - " &amp; B863 &amp; " (" &amp; VLOOKUP(C863, Tbl_ColorMap[],2,false) &amp; ")"</f>
        <v>6002700 - Unset (Red)</v>
      </c>
      <c r="E863" s="23"/>
      <c r="L863" s="23"/>
    </row>
    <row r="864">
      <c r="A864" s="19">
        <v>6002701.0</v>
      </c>
      <c r="B864" s="19" t="s">
        <v>182</v>
      </c>
      <c r="C864" s="19">
        <v>0.0</v>
      </c>
      <c r="D864" s="19" t="str">
        <f>A864 &amp; " - " &amp; B864 &amp; " (" &amp; VLOOKUP(C864, Tbl_ColorMap[],2,false) &amp; ")"</f>
        <v>6002701 - Unset (Red)</v>
      </c>
      <c r="E864" s="23"/>
      <c r="L864" s="23"/>
    </row>
    <row r="865">
      <c r="A865" s="19">
        <v>6002800.0</v>
      </c>
      <c r="B865" s="19" t="s">
        <v>182</v>
      </c>
      <c r="C865" s="19">
        <v>0.0</v>
      </c>
      <c r="D865" s="19" t="str">
        <f>A865 &amp; " - " &amp; B865 &amp; " (" &amp; VLOOKUP(C865, Tbl_ColorMap[],2,false) &amp; ")"</f>
        <v>6002800 - Unset (Red)</v>
      </c>
      <c r="E865" s="23"/>
      <c r="L865" s="23"/>
    </row>
    <row r="866">
      <c r="A866" s="19">
        <v>6002801.0</v>
      </c>
      <c r="B866" s="19" t="s">
        <v>182</v>
      </c>
      <c r="C866" s="19">
        <v>0.0</v>
      </c>
      <c r="D866" s="19" t="str">
        <f>A866 &amp; " - " &amp; B866 &amp; " (" &amp; VLOOKUP(C866, Tbl_ColorMap[],2,false) &amp; ")"</f>
        <v>6002801 - Unset (Red)</v>
      </c>
      <c r="E866" s="23"/>
      <c r="L866" s="23"/>
    </row>
    <row r="867">
      <c r="A867" s="19">
        <v>6002900.0</v>
      </c>
      <c r="B867" s="19" t="s">
        <v>182</v>
      </c>
      <c r="C867" s="19">
        <v>0.0</v>
      </c>
      <c r="D867" s="19" t="str">
        <f>A867 &amp; " - " &amp; B867 &amp; " (" &amp; VLOOKUP(C867, Tbl_ColorMap[],2,false) &amp; ")"</f>
        <v>6002900 - Unset (Red)</v>
      </c>
      <c r="E867" s="23"/>
      <c r="L867" s="23"/>
    </row>
    <row r="868">
      <c r="A868" s="19">
        <v>6002901.0</v>
      </c>
      <c r="B868" s="19" t="s">
        <v>182</v>
      </c>
      <c r="C868" s="19">
        <v>0.0</v>
      </c>
      <c r="D868" s="19" t="str">
        <f>A868 &amp; " - " &amp; B868 &amp; " (" &amp; VLOOKUP(C868, Tbl_ColorMap[],2,false) &amp; ")"</f>
        <v>6002901 - Unset (Red)</v>
      </c>
      <c r="E868" s="23"/>
      <c r="L868" s="23"/>
    </row>
    <row r="869">
      <c r="A869" s="19">
        <v>6003000.0</v>
      </c>
      <c r="B869" s="19" t="s">
        <v>182</v>
      </c>
      <c r="C869" s="19">
        <v>0.0</v>
      </c>
      <c r="D869" s="19" t="str">
        <f>A869 &amp; " - " &amp; B869 &amp; " (" &amp; VLOOKUP(C869, Tbl_ColorMap[],2,false) &amp; ")"</f>
        <v>6003000 - Unset (Red)</v>
      </c>
      <c r="E869" s="23"/>
      <c r="L869" s="23"/>
    </row>
    <row r="870">
      <c r="A870" s="19">
        <v>6003001.0</v>
      </c>
      <c r="B870" s="19" t="s">
        <v>182</v>
      </c>
      <c r="C870" s="19">
        <v>0.0</v>
      </c>
      <c r="D870" s="19" t="str">
        <f>A870 &amp; " - " &amp; B870 &amp; " (" &amp; VLOOKUP(C870, Tbl_ColorMap[],2,false) &amp; ")"</f>
        <v>6003001 - Unset (Red)</v>
      </c>
      <c r="E870" s="23"/>
      <c r="L870" s="23"/>
    </row>
    <row r="871">
      <c r="A871" s="19">
        <v>6003100.0</v>
      </c>
      <c r="B871" s="19" t="s">
        <v>182</v>
      </c>
      <c r="C871" s="19">
        <v>0.0</v>
      </c>
      <c r="D871" s="19" t="str">
        <f>A871 &amp; " - " &amp; B871 &amp; " (" &amp; VLOOKUP(C871, Tbl_ColorMap[],2,false) &amp; ")"</f>
        <v>6003100 - Unset (Red)</v>
      </c>
      <c r="E871" s="23"/>
      <c r="L871" s="23"/>
    </row>
    <row r="872">
      <c r="A872" s="19">
        <v>6003101.0</v>
      </c>
      <c r="B872" s="19" t="s">
        <v>182</v>
      </c>
      <c r="C872" s="19">
        <v>0.0</v>
      </c>
      <c r="D872" s="19" t="str">
        <f>A872 &amp; " - " &amp; B872 &amp; " (" &amp; VLOOKUP(C872, Tbl_ColorMap[],2,false) &amp; ")"</f>
        <v>6003101 - Unset (Red)</v>
      </c>
      <c r="E872" s="23"/>
      <c r="L872" s="23"/>
    </row>
    <row r="873">
      <c r="A873" s="19">
        <v>6003200.0</v>
      </c>
      <c r="B873" s="19" t="s">
        <v>182</v>
      </c>
      <c r="C873" s="19">
        <v>0.0</v>
      </c>
      <c r="D873" s="19" t="str">
        <f>A873 &amp; " - " &amp; B873 &amp; " (" &amp; VLOOKUP(C873, Tbl_ColorMap[],2,false) &amp; ")"</f>
        <v>6003200 - Unset (Red)</v>
      </c>
      <c r="E873" s="23"/>
      <c r="L873" s="23"/>
    </row>
    <row r="874">
      <c r="A874" s="19">
        <v>6003201.0</v>
      </c>
      <c r="B874" s="19" t="s">
        <v>182</v>
      </c>
      <c r="C874" s="19">
        <v>0.0</v>
      </c>
      <c r="D874" s="19" t="str">
        <f>A874 &amp; " - " &amp; B874 &amp; " (" &amp; VLOOKUP(C874, Tbl_ColorMap[],2,false) &amp; ")"</f>
        <v>6003201 - Unset (Red)</v>
      </c>
      <c r="E874" s="23"/>
      <c r="L874" s="23"/>
    </row>
    <row r="875">
      <c r="A875" s="19">
        <v>6003300.0</v>
      </c>
      <c r="B875" s="19" t="s">
        <v>182</v>
      </c>
      <c r="C875" s="19">
        <v>0.0</v>
      </c>
      <c r="D875" s="19" t="str">
        <f>A875 &amp; " - " &amp; B875 &amp; " (" &amp; VLOOKUP(C875, Tbl_ColorMap[],2,false) &amp; ")"</f>
        <v>6003300 - Unset (Red)</v>
      </c>
      <c r="E875" s="23"/>
      <c r="L875" s="23"/>
    </row>
    <row r="876">
      <c r="A876" s="19">
        <v>6003301.0</v>
      </c>
      <c r="B876" s="19" t="s">
        <v>182</v>
      </c>
      <c r="C876" s="19">
        <v>0.0</v>
      </c>
      <c r="D876" s="19" t="str">
        <f>A876 &amp; " - " &amp; B876 &amp; " (" &amp; VLOOKUP(C876, Tbl_ColorMap[],2,false) &amp; ")"</f>
        <v>6003301 - Unset (Red)</v>
      </c>
      <c r="E876" s="23"/>
      <c r="L876" s="23"/>
    </row>
    <row r="877">
      <c r="A877" s="19">
        <v>6003400.0</v>
      </c>
      <c r="B877" s="19" t="s">
        <v>182</v>
      </c>
      <c r="C877" s="19">
        <v>0.0</v>
      </c>
      <c r="D877" s="19" t="str">
        <f>A877 &amp; " - " &amp; B877 &amp; " (" &amp; VLOOKUP(C877, Tbl_ColorMap[],2,false) &amp; ")"</f>
        <v>6003400 - Unset (Red)</v>
      </c>
      <c r="E877" s="23"/>
      <c r="L877" s="23"/>
    </row>
    <row r="878">
      <c r="A878" s="19">
        <v>6003401.0</v>
      </c>
      <c r="B878" s="19" t="s">
        <v>182</v>
      </c>
      <c r="C878" s="19">
        <v>0.0</v>
      </c>
      <c r="D878" s="19" t="str">
        <f>A878 &amp; " - " &amp; B878 &amp; " (" &amp; VLOOKUP(C878, Tbl_ColorMap[],2,false) &amp; ")"</f>
        <v>6003401 - Unset (Red)</v>
      </c>
      <c r="E878" s="23"/>
      <c r="L878" s="23"/>
    </row>
    <row r="879">
      <c r="A879" s="19">
        <v>6003500.0</v>
      </c>
      <c r="B879" s="19" t="s">
        <v>182</v>
      </c>
      <c r="C879" s="19">
        <v>0.0</v>
      </c>
      <c r="D879" s="19" t="str">
        <f>A879 &amp; " - " &amp; B879 &amp; " (" &amp; VLOOKUP(C879, Tbl_ColorMap[],2,false) &amp; ")"</f>
        <v>6003500 - Unset (Red)</v>
      </c>
      <c r="E879" s="23"/>
      <c r="L879" s="23"/>
    </row>
    <row r="880">
      <c r="A880" s="19">
        <v>6003501.0</v>
      </c>
      <c r="B880" s="19" t="s">
        <v>182</v>
      </c>
      <c r="C880" s="19">
        <v>0.0</v>
      </c>
      <c r="D880" s="19" t="str">
        <f>A880 &amp; " - " &amp; B880 &amp; " (" &amp; VLOOKUP(C880, Tbl_ColorMap[],2,false) &amp; ")"</f>
        <v>6003501 - Unset (Red)</v>
      </c>
      <c r="E880" s="23"/>
      <c r="L880" s="23"/>
    </row>
    <row r="881">
      <c r="A881" s="19">
        <v>6003600.0</v>
      </c>
      <c r="B881" s="19" t="s">
        <v>182</v>
      </c>
      <c r="C881" s="19">
        <v>0.0</v>
      </c>
      <c r="D881" s="19" t="str">
        <f>A881 &amp; " - " &amp; B881 &amp; " (" &amp; VLOOKUP(C881, Tbl_ColorMap[],2,false) &amp; ")"</f>
        <v>6003600 - Unset (Red)</v>
      </c>
      <c r="E881" s="23"/>
      <c r="L881" s="23"/>
    </row>
    <row r="882">
      <c r="A882" s="19">
        <v>6003601.0</v>
      </c>
      <c r="B882" s="19" t="s">
        <v>182</v>
      </c>
      <c r="C882" s="19">
        <v>0.0</v>
      </c>
      <c r="D882" s="19" t="str">
        <f>A882 &amp; " - " &amp; B882 &amp; " (" &amp; VLOOKUP(C882, Tbl_ColorMap[],2,false) &amp; ")"</f>
        <v>6003601 - Unset (Red)</v>
      </c>
      <c r="E882" s="23"/>
      <c r="L882" s="23"/>
    </row>
    <row r="883">
      <c r="A883" s="19">
        <v>6005600.0</v>
      </c>
      <c r="B883" s="19" t="s">
        <v>182</v>
      </c>
      <c r="C883" s="19">
        <v>0.0</v>
      </c>
      <c r="D883" s="19" t="str">
        <f>A883 &amp; " - " &amp; B883 &amp; " (" &amp; VLOOKUP(C883, Tbl_ColorMap[],2,false) &amp; ")"</f>
        <v>6005600 - Unset (Red)</v>
      </c>
      <c r="E883" s="23"/>
      <c r="L883" s="23"/>
    </row>
    <row r="884">
      <c r="A884" s="19">
        <v>6005601.0</v>
      </c>
      <c r="B884" s="19" t="s">
        <v>182</v>
      </c>
      <c r="C884" s="19">
        <v>0.0</v>
      </c>
      <c r="D884" s="19" t="str">
        <f>A884 &amp; " - " &amp; B884 &amp; " (" &amp; VLOOKUP(C884, Tbl_ColorMap[],2,false) &amp; ")"</f>
        <v>6005601 - Unset (Red)</v>
      </c>
      <c r="E884" s="23"/>
      <c r="L884" s="23"/>
    </row>
    <row r="885">
      <c r="A885" s="19">
        <v>6030200.0</v>
      </c>
      <c r="B885" s="19" t="s">
        <v>182</v>
      </c>
      <c r="C885" s="19">
        <v>0.0</v>
      </c>
      <c r="D885" s="19" t="str">
        <f>A885 &amp; " - " &amp; B885 &amp; " (" &amp; VLOOKUP(C885, Tbl_ColorMap[],2,false) &amp; ")"</f>
        <v>6030200 - Unset (Red)</v>
      </c>
      <c r="E885" s="23"/>
      <c r="L885" s="23"/>
    </row>
    <row r="886">
      <c r="A886" s="19">
        <v>6030600.0</v>
      </c>
      <c r="B886" s="19" t="s">
        <v>182</v>
      </c>
      <c r="C886" s="19">
        <v>0.0</v>
      </c>
      <c r="D886" s="19" t="str">
        <f>A886 &amp; " - " &amp; B886 &amp; " (" &amp; VLOOKUP(C886, Tbl_ColorMap[],2,false) &amp; ")"</f>
        <v>6030600 - Unset (Red)</v>
      </c>
      <c r="E886" s="23"/>
      <c r="L886" s="23"/>
    </row>
    <row r="887">
      <c r="A887" s="19">
        <v>6030800.0</v>
      </c>
      <c r="B887" s="19" t="s">
        <v>182</v>
      </c>
      <c r="C887" s="19">
        <v>0.0</v>
      </c>
      <c r="D887" s="19" t="str">
        <f>A887 &amp; " - " &amp; B887 &amp; " (" &amp; VLOOKUP(C887, Tbl_ColorMap[],2,false) &amp; ")"</f>
        <v>6030800 - Unset (Red)</v>
      </c>
      <c r="E887" s="23"/>
      <c r="L887" s="23"/>
    </row>
    <row r="888">
      <c r="A888" s="19">
        <v>6030900.0</v>
      </c>
      <c r="B888" s="19" t="s">
        <v>182</v>
      </c>
      <c r="C888" s="19">
        <v>0.0</v>
      </c>
      <c r="D888" s="19" t="str">
        <f>A888 &amp; " - " &amp; B888 &amp; " (" &amp; VLOOKUP(C888, Tbl_ColorMap[],2,false) &amp; ")"</f>
        <v>6030900 - Unset (Red)</v>
      </c>
      <c r="E888" s="23"/>
      <c r="L888" s="23"/>
    </row>
    <row r="889">
      <c r="A889" s="19">
        <v>6030901.0</v>
      </c>
      <c r="B889" s="19" t="s">
        <v>182</v>
      </c>
      <c r="C889" s="19">
        <v>0.0</v>
      </c>
      <c r="D889" s="19" t="str">
        <f>A889 &amp; " - " &amp; B889 &amp; " (" &amp; VLOOKUP(C889, Tbl_ColorMap[],2,false) &amp; ")"</f>
        <v>6030901 - Unset (Red)</v>
      </c>
      <c r="E889" s="23"/>
      <c r="L889" s="23"/>
    </row>
    <row r="890">
      <c r="A890" s="19">
        <v>6035100.0</v>
      </c>
      <c r="B890" s="19" t="s">
        <v>182</v>
      </c>
      <c r="C890" s="19">
        <v>0.0</v>
      </c>
      <c r="D890" s="19" t="str">
        <f>A890 &amp; " - " &amp; B890 &amp; " (" &amp; VLOOKUP(C890, Tbl_ColorMap[],2,false) &amp; ")"</f>
        <v>6035100 - Unset (Red)</v>
      </c>
      <c r="E890" s="23"/>
      <c r="L890" s="23"/>
    </row>
    <row r="891">
      <c r="A891" s="19">
        <v>6040100.0</v>
      </c>
      <c r="B891" s="19" t="s">
        <v>182</v>
      </c>
      <c r="C891" s="19">
        <v>0.0</v>
      </c>
      <c r="D891" s="19" t="str">
        <f>A891 &amp; " - " &amp; B891 &amp; " (" &amp; VLOOKUP(C891, Tbl_ColorMap[],2,false) &amp; ")"</f>
        <v>6040100 - Unset (Red)</v>
      </c>
      <c r="E891" s="23"/>
      <c r="L891" s="23"/>
    </row>
    <row r="892">
      <c r="A892" s="19">
        <v>6040101.0</v>
      </c>
      <c r="B892" s="19" t="s">
        <v>182</v>
      </c>
      <c r="C892" s="19">
        <v>0.0</v>
      </c>
      <c r="D892" s="19" t="str">
        <f>A892 &amp; " - " &amp; B892 &amp; " (" &amp; VLOOKUP(C892, Tbl_ColorMap[],2,false) &amp; ")"</f>
        <v>6040101 - Unset (Red)</v>
      </c>
      <c r="E892" s="23"/>
      <c r="L892" s="23"/>
    </row>
    <row r="893">
      <c r="A893" s="19">
        <v>6040300.0</v>
      </c>
      <c r="B893" s="19" t="s">
        <v>182</v>
      </c>
      <c r="C893" s="19">
        <v>0.0</v>
      </c>
      <c r="D893" s="19" t="str">
        <f>A893 &amp; " - " &amp; B893 &amp; " (" &amp; VLOOKUP(C893, Tbl_ColorMap[],2,false) &amp; ")"</f>
        <v>6040300 - Unset (Red)</v>
      </c>
      <c r="E893" s="23"/>
      <c r="L893" s="23"/>
    </row>
    <row r="894">
      <c r="A894" s="19">
        <v>6040400.0</v>
      </c>
      <c r="B894" s="19" t="s">
        <v>182</v>
      </c>
      <c r="C894" s="19">
        <v>0.0</v>
      </c>
      <c r="D894" s="19" t="str">
        <f>A894 &amp; " - " &amp; B894 &amp; " (" &amp; VLOOKUP(C894, Tbl_ColorMap[],2,false) &amp; ")"</f>
        <v>6040400 - Unset (Red)</v>
      </c>
      <c r="E894" s="23"/>
      <c r="L894" s="23"/>
    </row>
    <row r="895">
      <c r="A895" s="19">
        <v>6040500.0</v>
      </c>
      <c r="B895" s="19" t="s">
        <v>182</v>
      </c>
      <c r="C895" s="19">
        <v>0.0</v>
      </c>
      <c r="D895" s="19" t="str">
        <f>A895 &amp; " - " &amp; B895 &amp; " (" &amp; VLOOKUP(C895, Tbl_ColorMap[],2,false) &amp; ")"</f>
        <v>6040500 - Unset (Red)</v>
      </c>
      <c r="E895" s="23"/>
      <c r="L895" s="23"/>
    </row>
    <row r="896">
      <c r="A896" s="19">
        <v>6043100.0</v>
      </c>
      <c r="B896" s="19" t="s">
        <v>182</v>
      </c>
      <c r="C896" s="19">
        <v>0.0</v>
      </c>
      <c r="D896" s="19" t="str">
        <f>A896 &amp; " - " &amp; B896 &amp; " (" &amp; VLOOKUP(C896, Tbl_ColorMap[],2,false) &amp; ")"</f>
        <v>6043100 - Unset (Red)</v>
      </c>
      <c r="E896" s="23"/>
      <c r="L896" s="23"/>
    </row>
    <row r="897">
      <c r="A897" s="19">
        <v>6060300.0</v>
      </c>
      <c r="B897" s="19" t="s">
        <v>182</v>
      </c>
      <c r="C897" s="19">
        <v>0.0</v>
      </c>
      <c r="D897" s="19" t="str">
        <f>A897 &amp; " - " &amp; B897 &amp; " (" &amp; VLOOKUP(C897, Tbl_ColorMap[],2,false) &amp; ")"</f>
        <v>6060300 - Unset (Red)</v>
      </c>
      <c r="E897" s="23"/>
      <c r="L897" s="23"/>
    </row>
    <row r="898">
      <c r="A898" s="19">
        <v>6060400.0</v>
      </c>
      <c r="B898" s="19" t="s">
        <v>182</v>
      </c>
      <c r="C898" s="19">
        <v>0.0</v>
      </c>
      <c r="D898" s="19" t="str">
        <f>A898 &amp; " - " &amp; B898 &amp; " (" &amp; VLOOKUP(C898, Tbl_ColorMap[],2,false) &amp; ")"</f>
        <v>6060400 - Unset (Red)</v>
      </c>
      <c r="E898" s="23"/>
      <c r="L898" s="23"/>
    </row>
    <row r="899">
      <c r="A899" s="19">
        <v>6060500.0</v>
      </c>
      <c r="B899" s="19" t="s">
        <v>182</v>
      </c>
      <c r="C899" s="19">
        <v>0.0</v>
      </c>
      <c r="D899" s="19" t="str">
        <f>A899 &amp; " - " &amp; B899 &amp; " (" &amp; VLOOKUP(C899, Tbl_ColorMap[],2,false) &amp; ")"</f>
        <v>6060500 - Unset (Red)</v>
      </c>
      <c r="E899" s="23"/>
      <c r="L899" s="23"/>
    </row>
    <row r="900">
      <c r="A900" s="19">
        <v>6060600.0</v>
      </c>
      <c r="B900" s="19" t="s">
        <v>182</v>
      </c>
      <c r="C900" s="19">
        <v>0.0</v>
      </c>
      <c r="D900" s="19" t="str">
        <f>A900 &amp; " - " &amp; B900 &amp; " (" &amp; VLOOKUP(C900, Tbl_ColorMap[],2,false) &amp; ")"</f>
        <v>6060600 - Unset (Red)</v>
      </c>
      <c r="E900" s="23"/>
      <c r="L900" s="23"/>
    </row>
    <row r="901">
      <c r="A901" s="19">
        <v>6090000.0</v>
      </c>
      <c r="B901" s="19" t="s">
        <v>182</v>
      </c>
      <c r="C901" s="19">
        <v>0.0</v>
      </c>
      <c r="D901" s="19" t="str">
        <f>A901 &amp; " - " &amp; B901 &amp; " (" &amp; VLOOKUP(C901, Tbl_ColorMap[],2,false) &amp; ")"</f>
        <v>6090000 - Unset (Red)</v>
      </c>
      <c r="E901" s="23"/>
      <c r="L901" s="23"/>
    </row>
    <row r="902">
      <c r="A902" s="19">
        <v>6160000.0</v>
      </c>
      <c r="B902" s="19" t="s">
        <v>182</v>
      </c>
      <c r="C902" s="19">
        <v>0.0</v>
      </c>
      <c r="D902" s="19" t="str">
        <f>A902 &amp; " - " &amp; B902 &amp; " (" &amp; VLOOKUP(C902, Tbl_ColorMap[],2,false) &amp; ")"</f>
        <v>6160000 - Unset (Red)</v>
      </c>
      <c r="E902" s="23"/>
      <c r="L902" s="23"/>
    </row>
    <row r="903">
      <c r="A903" s="19">
        <v>6260000.0</v>
      </c>
      <c r="B903" s="19" t="s">
        <v>182</v>
      </c>
      <c r="C903" s="19">
        <v>0.0</v>
      </c>
      <c r="D903" s="19" t="str">
        <f>A903 &amp; " - " &amp; B903 &amp; " (" &amp; VLOOKUP(C903, Tbl_ColorMap[],2,false) &amp; ")"</f>
        <v>6260000 - Unset (Red)</v>
      </c>
      <c r="E903" s="23"/>
      <c r="L903" s="23"/>
    </row>
    <row r="904">
      <c r="A904" s="19">
        <v>6260001.0</v>
      </c>
      <c r="B904" s="19" t="s">
        <v>182</v>
      </c>
      <c r="C904" s="19">
        <v>0.0</v>
      </c>
      <c r="D904" s="19" t="str">
        <f>A904 &amp; " - " &amp; B904 &amp; " (" &amp; VLOOKUP(C904, Tbl_ColorMap[],2,false) &amp; ")"</f>
        <v>6260001 - Unset (Red)</v>
      </c>
      <c r="E904" s="23"/>
      <c r="L904" s="23"/>
    </row>
    <row r="905">
      <c r="A905" s="19">
        <v>6260300.0</v>
      </c>
      <c r="B905" s="19" t="s">
        <v>182</v>
      </c>
      <c r="C905" s="19">
        <v>0.0</v>
      </c>
      <c r="D905" s="19" t="str">
        <f>A905 &amp; " - " &amp; B905 &amp; " (" &amp; VLOOKUP(C905, Tbl_ColorMap[],2,false) &amp; ")"</f>
        <v>6260300 - Unset (Red)</v>
      </c>
      <c r="E905" s="23"/>
      <c r="L905" s="23"/>
    </row>
    <row r="906">
      <c r="A906" s="19">
        <v>6260301.0</v>
      </c>
      <c r="B906" s="19" t="s">
        <v>182</v>
      </c>
      <c r="C906" s="19">
        <v>0.0</v>
      </c>
      <c r="D906" s="19" t="str">
        <f>A906 &amp; " - " &amp; B906 &amp; " (" &amp; VLOOKUP(C906, Tbl_ColorMap[],2,false) &amp; ")"</f>
        <v>6260301 - Unset (Red)</v>
      </c>
      <c r="E906" s="23"/>
      <c r="L906" s="23"/>
    </row>
    <row r="907">
      <c r="A907" s="19">
        <v>6260400.0</v>
      </c>
      <c r="B907" s="19" t="s">
        <v>182</v>
      </c>
      <c r="C907" s="19">
        <v>0.0</v>
      </c>
      <c r="D907" s="19" t="str">
        <f>A907 &amp; " - " &amp; B907 &amp; " (" &amp; VLOOKUP(C907, Tbl_ColorMap[],2,false) &amp; ")"</f>
        <v>6260400 - Unset (Red)</v>
      </c>
      <c r="E907" s="23"/>
      <c r="L907" s="23"/>
    </row>
    <row r="908">
      <c r="A908" s="19">
        <v>6260401.0</v>
      </c>
      <c r="B908" s="19" t="s">
        <v>182</v>
      </c>
      <c r="C908" s="19">
        <v>0.0</v>
      </c>
      <c r="D908" s="19" t="str">
        <f>A908 &amp; " - " &amp; B908 &amp; " (" &amp; VLOOKUP(C908, Tbl_ColorMap[],2,false) &amp; ")"</f>
        <v>6260401 - Unset (Red)</v>
      </c>
      <c r="E908" s="23"/>
      <c r="L908" s="23"/>
    </row>
    <row r="909">
      <c r="A909" s="19">
        <v>6500000.0</v>
      </c>
      <c r="B909" s="19" t="s">
        <v>182</v>
      </c>
      <c r="C909" s="19">
        <v>0.0</v>
      </c>
      <c r="D909" s="19" t="str">
        <f>A909 &amp; " - " &amp; B909 &amp; " (" &amp; VLOOKUP(C909, Tbl_ColorMap[],2,false) &amp; ")"</f>
        <v>6500000 - Unset (Red)</v>
      </c>
      <c r="E909" s="23"/>
      <c r="L909" s="23"/>
    </row>
    <row r="910">
      <c r="A910" s="19">
        <v>6500100.0</v>
      </c>
      <c r="B910" s="19" t="s">
        <v>182</v>
      </c>
      <c r="C910" s="19">
        <v>0.0</v>
      </c>
      <c r="D910" s="19" t="str">
        <f>A910 &amp; " - " &amp; B910 &amp; " (" &amp; VLOOKUP(C910, Tbl_ColorMap[],2,false) &amp; ")"</f>
        <v>6500100 - Unset (Red)</v>
      </c>
      <c r="E910" s="23"/>
      <c r="L910" s="23"/>
    </row>
    <row r="911">
      <c r="A911" s="19">
        <v>6500200.0</v>
      </c>
      <c r="B911" s="19" t="s">
        <v>182</v>
      </c>
      <c r="C911" s="19">
        <v>0.0</v>
      </c>
      <c r="D911" s="19" t="str">
        <f>A911 &amp; " - " &amp; B911 &amp; " (" &amp; VLOOKUP(C911, Tbl_ColorMap[],2,false) &amp; ")"</f>
        <v>6500200 - Unset (Red)</v>
      </c>
      <c r="E911" s="23"/>
      <c r="L911" s="23"/>
    </row>
    <row r="912">
      <c r="A912" s="19">
        <v>6500300.0</v>
      </c>
      <c r="B912" s="19" t="s">
        <v>182</v>
      </c>
      <c r="C912" s="19">
        <v>0.0</v>
      </c>
      <c r="D912" s="19" t="str">
        <f>A912 &amp; " - " &amp; B912 &amp; " (" &amp; VLOOKUP(C912, Tbl_ColorMap[],2,false) &amp; ")"</f>
        <v>6500300 - Unset (Red)</v>
      </c>
      <c r="E912" s="23"/>
      <c r="L912" s="23"/>
    </row>
    <row r="913">
      <c r="A913" s="19">
        <v>6500400.0</v>
      </c>
      <c r="B913" s="19" t="s">
        <v>182</v>
      </c>
      <c r="C913" s="19">
        <v>0.0</v>
      </c>
      <c r="D913" s="19" t="str">
        <f>A913 &amp; " - " &amp; B913 &amp; " (" &amp; VLOOKUP(C913, Tbl_ColorMap[],2,false) &amp; ")"</f>
        <v>6500400 - Unset (Red)</v>
      </c>
      <c r="E913" s="23"/>
      <c r="L913" s="23"/>
    </row>
    <row r="914">
      <c r="A914" s="19">
        <v>6500500.0</v>
      </c>
      <c r="B914" s="19" t="s">
        <v>182</v>
      </c>
      <c r="C914" s="19">
        <v>0.0</v>
      </c>
      <c r="D914" s="19" t="str">
        <f>A914 &amp; " - " &amp; B914 &amp; " (" &amp; VLOOKUP(C914, Tbl_ColorMap[],2,false) &amp; ")"</f>
        <v>6500500 - Unset (Red)</v>
      </c>
      <c r="E914" s="23"/>
      <c r="L914" s="23"/>
    </row>
    <row r="915">
      <c r="A915" s="19">
        <v>6500600.0</v>
      </c>
      <c r="B915" s="19" t="s">
        <v>182</v>
      </c>
      <c r="C915" s="19">
        <v>0.0</v>
      </c>
      <c r="D915" s="19" t="str">
        <f>A915 &amp; " - " &amp; B915 &amp; " (" &amp; VLOOKUP(C915, Tbl_ColorMap[],2,false) &amp; ")"</f>
        <v>6500600 - Unset (Red)</v>
      </c>
      <c r="E915" s="23"/>
      <c r="L915" s="23"/>
    </row>
    <row r="916">
      <c r="A916" s="19">
        <v>6500700.0</v>
      </c>
      <c r="B916" s="19" t="s">
        <v>182</v>
      </c>
      <c r="C916" s="19">
        <v>0.0</v>
      </c>
      <c r="D916" s="19" t="str">
        <f>A916 &amp; " - " &amp; B916 &amp; " (" &amp; VLOOKUP(C916, Tbl_ColorMap[],2,false) &amp; ")"</f>
        <v>6500700 - Unset (Red)</v>
      </c>
      <c r="E916" s="23"/>
      <c r="L916" s="23"/>
    </row>
    <row r="917">
      <c r="A917" s="19">
        <v>6500800.0</v>
      </c>
      <c r="B917" s="19" t="s">
        <v>182</v>
      </c>
      <c r="C917" s="19">
        <v>0.0</v>
      </c>
      <c r="D917" s="19" t="str">
        <f>A917 &amp; " - " &amp; B917 &amp; " (" &amp; VLOOKUP(C917, Tbl_ColorMap[],2,false) &amp; ")"</f>
        <v>6500800 - Unset (Red)</v>
      </c>
      <c r="E917" s="23"/>
      <c r="L917" s="23"/>
    </row>
    <row r="918">
      <c r="A918" s="19">
        <v>6500900.0</v>
      </c>
      <c r="B918" s="19" t="s">
        <v>182</v>
      </c>
      <c r="C918" s="19">
        <v>0.0</v>
      </c>
      <c r="D918" s="19" t="str">
        <f>A918 &amp; " - " &amp; B918 &amp; " (" &amp; VLOOKUP(C918, Tbl_ColorMap[],2,false) &amp; ")"</f>
        <v>6500900 - Unset (Red)</v>
      </c>
      <c r="E918" s="23"/>
      <c r="L918" s="23"/>
    </row>
    <row r="919">
      <c r="A919" s="19">
        <v>6600000.0</v>
      </c>
      <c r="B919" s="19" t="s">
        <v>182</v>
      </c>
      <c r="C919" s="19">
        <v>0.0</v>
      </c>
      <c r="D919" s="19" t="str">
        <f>A919 &amp; " - " &amp; B919 &amp; " (" &amp; VLOOKUP(C919, Tbl_ColorMap[],2,false) &amp; ")"</f>
        <v>6600000 - Unset (Red)</v>
      </c>
      <c r="E919" s="23"/>
      <c r="L919" s="23"/>
    </row>
    <row r="920">
      <c r="A920" s="19">
        <v>6600001.0</v>
      </c>
      <c r="B920" s="19" t="s">
        <v>182</v>
      </c>
      <c r="C920" s="19">
        <v>0.0</v>
      </c>
      <c r="D920" s="19" t="str">
        <f>A920 &amp; " - " &amp; B920 &amp; " (" &amp; VLOOKUP(C920, Tbl_ColorMap[],2,false) &amp; ")"</f>
        <v>6600001 - Unset (Red)</v>
      </c>
      <c r="E920" s="23"/>
      <c r="L920" s="23"/>
    </row>
    <row r="921">
      <c r="A921" s="19">
        <v>6600100.0</v>
      </c>
      <c r="B921" s="19" t="s">
        <v>182</v>
      </c>
      <c r="C921" s="19">
        <v>0.0</v>
      </c>
      <c r="D921" s="19" t="str">
        <f>A921 &amp; " - " &amp; B921 &amp; " (" &amp; VLOOKUP(C921, Tbl_ColorMap[],2,false) &amp; ")"</f>
        <v>6600100 - Unset (Red)</v>
      </c>
      <c r="E921" s="23"/>
      <c r="L921" s="23"/>
    </row>
    <row r="922">
      <c r="A922" s="19">
        <v>6600101.0</v>
      </c>
      <c r="B922" s="19" t="s">
        <v>182</v>
      </c>
      <c r="C922" s="19">
        <v>0.0</v>
      </c>
      <c r="D922" s="19" t="str">
        <f>A922 &amp; " - " &amp; B922 &amp; " (" &amp; VLOOKUP(C922, Tbl_ColorMap[],2,false) &amp; ")"</f>
        <v>6600101 - Unset (Red)</v>
      </c>
      <c r="E922" s="23"/>
      <c r="L922" s="23"/>
    </row>
    <row r="923">
      <c r="A923" s="19">
        <v>6610400.0</v>
      </c>
      <c r="B923" s="19" t="s">
        <v>182</v>
      </c>
      <c r="C923" s="19">
        <v>0.0</v>
      </c>
      <c r="D923" s="19" t="str">
        <f>A923 &amp; " - " &amp; B923 &amp; " (" &amp; VLOOKUP(C923, Tbl_ColorMap[],2,false) &amp; ")"</f>
        <v>6610400 - Unset (Red)</v>
      </c>
      <c r="E923" s="23"/>
      <c r="L923" s="23"/>
    </row>
    <row r="924">
      <c r="A924" s="19">
        <v>6610500.0</v>
      </c>
      <c r="B924" s="19" t="s">
        <v>182</v>
      </c>
      <c r="C924" s="19">
        <v>0.0</v>
      </c>
      <c r="D924" s="19" t="str">
        <f>A924 &amp; " - " &amp; B924 &amp; " (" &amp; VLOOKUP(C924, Tbl_ColorMap[],2,false) &amp; ")"</f>
        <v>6610500 - Unset (Red)</v>
      </c>
      <c r="E924" s="23"/>
      <c r="L924" s="23"/>
    </row>
    <row r="925">
      <c r="A925" s="19">
        <v>6610600.0</v>
      </c>
      <c r="B925" s="19" t="s">
        <v>182</v>
      </c>
      <c r="C925" s="19">
        <v>0.0</v>
      </c>
      <c r="D925" s="19" t="str">
        <f>A925 &amp; " - " &amp; B925 &amp; " (" &amp; VLOOKUP(C925, Tbl_ColorMap[],2,false) &amp; ")"</f>
        <v>6610600 - Unset (Red)</v>
      </c>
      <c r="E925" s="23"/>
      <c r="L925" s="23"/>
    </row>
    <row r="926">
      <c r="A926" s="19">
        <v>6610700.0</v>
      </c>
      <c r="B926" s="19" t="s">
        <v>182</v>
      </c>
      <c r="C926" s="19">
        <v>0.0</v>
      </c>
      <c r="D926" s="19" t="str">
        <f>A926 &amp; " - " &amp; B926 &amp; " (" &amp; VLOOKUP(C926, Tbl_ColorMap[],2,false) &amp; ")"</f>
        <v>6610700 - Unset (Red)</v>
      </c>
      <c r="E926" s="23"/>
      <c r="L926" s="23"/>
    </row>
    <row r="927">
      <c r="A927" s="19">
        <v>6610800.0</v>
      </c>
      <c r="B927" s="19" t="s">
        <v>182</v>
      </c>
      <c r="C927" s="19">
        <v>0.0</v>
      </c>
      <c r="D927" s="19" t="str">
        <f>A927 &amp; " - " &amp; B927 &amp; " (" &amp; VLOOKUP(C927, Tbl_ColorMap[],2,false) &amp; ")"</f>
        <v>6610800 - Unset (Red)</v>
      </c>
      <c r="E927" s="23"/>
      <c r="L927" s="23"/>
    </row>
    <row r="928">
      <c r="A928" s="19">
        <v>6610801.0</v>
      </c>
      <c r="B928" s="19" t="s">
        <v>182</v>
      </c>
      <c r="C928" s="19">
        <v>0.0</v>
      </c>
      <c r="D928" s="19" t="str">
        <f>A928 &amp; " - " &amp; B928 &amp; " (" &amp; VLOOKUP(C928, Tbl_ColorMap[],2,false) &amp; ")"</f>
        <v>6610801 - Unset (Red)</v>
      </c>
      <c r="E928" s="23"/>
      <c r="L928" s="23"/>
    </row>
    <row r="929">
      <c r="A929" s="19">
        <v>6610802.0</v>
      </c>
      <c r="B929" s="19" t="s">
        <v>182</v>
      </c>
      <c r="C929" s="19">
        <v>0.0</v>
      </c>
      <c r="D929" s="19" t="str">
        <f>A929 &amp; " - " &amp; B929 &amp; " (" &amp; VLOOKUP(C929, Tbl_ColorMap[],2,false) &amp; ")"</f>
        <v>6610802 - Unset (Red)</v>
      </c>
      <c r="E929" s="23"/>
      <c r="L929" s="23"/>
    </row>
    <row r="930">
      <c r="A930" s="19">
        <v>6611001.0</v>
      </c>
      <c r="B930" s="19" t="s">
        <v>182</v>
      </c>
      <c r="C930" s="19">
        <v>0.0</v>
      </c>
      <c r="D930" s="19" t="str">
        <f>A930 &amp; " - " &amp; B930 &amp; " (" &amp; VLOOKUP(C930, Tbl_ColorMap[],2,false) &amp; ")"</f>
        <v>6611001 - Unset (Red)</v>
      </c>
      <c r="E930" s="23"/>
      <c r="L930" s="23"/>
    </row>
    <row r="931">
      <c r="A931" s="19">
        <v>6611002.0</v>
      </c>
      <c r="B931" s="19" t="s">
        <v>182</v>
      </c>
      <c r="C931" s="19">
        <v>0.0</v>
      </c>
      <c r="D931" s="19" t="str">
        <f>A931 &amp; " - " &amp; B931 &amp; " (" &amp; VLOOKUP(C931, Tbl_ColorMap[],2,false) &amp; ")"</f>
        <v>6611002 - Unset (Red)</v>
      </c>
      <c r="E931" s="23"/>
      <c r="L931" s="23"/>
    </row>
    <row r="932">
      <c r="A932" s="19">
        <v>6611100.0</v>
      </c>
      <c r="B932" s="19" t="s">
        <v>182</v>
      </c>
      <c r="C932" s="19">
        <v>0.0</v>
      </c>
      <c r="D932" s="19" t="str">
        <f>A932 &amp; " - " &amp; B932 &amp; " (" &amp; VLOOKUP(C932, Tbl_ColorMap[],2,false) &amp; ")"</f>
        <v>6611100 - Unset (Red)</v>
      </c>
      <c r="E932" s="23"/>
      <c r="L932" s="23"/>
    </row>
    <row r="933">
      <c r="A933" s="19">
        <v>6611101.0</v>
      </c>
      <c r="B933" s="19" t="s">
        <v>182</v>
      </c>
      <c r="C933" s="19">
        <v>0.0</v>
      </c>
      <c r="D933" s="19" t="str">
        <f>A933 &amp; " - " &amp; B933 &amp; " (" &amp; VLOOKUP(C933, Tbl_ColorMap[],2,false) &amp; ")"</f>
        <v>6611101 - Unset (Red)</v>
      </c>
      <c r="E933" s="23"/>
      <c r="L933" s="23"/>
    </row>
    <row r="934">
      <c r="A934" s="19">
        <v>6611102.0</v>
      </c>
      <c r="B934" s="19" t="s">
        <v>182</v>
      </c>
      <c r="C934" s="19">
        <v>0.0</v>
      </c>
      <c r="D934" s="19" t="str">
        <f>A934 &amp; " - " &amp; B934 &amp; " (" &amp; VLOOKUP(C934, Tbl_ColorMap[],2,false) &amp; ")"</f>
        <v>6611102 - Unset (Red)</v>
      </c>
      <c r="E934" s="23"/>
      <c r="L934" s="23"/>
    </row>
    <row r="935">
      <c r="A935" s="19">
        <v>6611200.0</v>
      </c>
      <c r="B935" s="19" t="s">
        <v>182</v>
      </c>
      <c r="C935" s="19">
        <v>0.0</v>
      </c>
      <c r="D935" s="19" t="str">
        <f>A935 &amp; " - " &amp; B935 &amp; " (" &amp; VLOOKUP(C935, Tbl_ColorMap[],2,false) &amp; ")"</f>
        <v>6611200 - Unset (Red)</v>
      </c>
      <c r="E935" s="23"/>
      <c r="L935" s="23"/>
    </row>
    <row r="936">
      <c r="A936" s="19">
        <v>6611201.0</v>
      </c>
      <c r="B936" s="19" t="s">
        <v>182</v>
      </c>
      <c r="C936" s="19">
        <v>0.0</v>
      </c>
      <c r="D936" s="19" t="str">
        <f>A936 &amp; " - " &amp; B936 &amp; " (" &amp; VLOOKUP(C936, Tbl_ColorMap[],2,false) &amp; ")"</f>
        <v>6611201 - Unset (Red)</v>
      </c>
      <c r="E936" s="23"/>
      <c r="L936" s="23"/>
    </row>
    <row r="937">
      <c r="A937" s="19">
        <v>6611202.0</v>
      </c>
      <c r="B937" s="19" t="s">
        <v>182</v>
      </c>
      <c r="C937" s="19">
        <v>0.0</v>
      </c>
      <c r="D937" s="19" t="str">
        <f>A937 &amp; " - " &amp; B937 &amp; " (" &amp; VLOOKUP(C937, Tbl_ColorMap[],2,false) &amp; ")"</f>
        <v>6611202 - Unset (Red)</v>
      </c>
      <c r="E937" s="23"/>
      <c r="L937" s="23"/>
    </row>
    <row r="938">
      <c r="A938" s="19">
        <v>6611300.0</v>
      </c>
      <c r="B938" s="19" t="s">
        <v>182</v>
      </c>
      <c r="C938" s="19">
        <v>0.0</v>
      </c>
      <c r="D938" s="19" t="str">
        <f>A938 &amp; " - " &amp; B938 &amp; " (" &amp; VLOOKUP(C938, Tbl_ColorMap[],2,false) &amp; ")"</f>
        <v>6611300 - Unset (Red)</v>
      </c>
      <c r="E938" s="23"/>
      <c r="L938" s="23"/>
    </row>
    <row r="939">
      <c r="A939" s="19">
        <v>6611301.0</v>
      </c>
      <c r="B939" s="19" t="s">
        <v>182</v>
      </c>
      <c r="C939" s="19">
        <v>0.0</v>
      </c>
      <c r="D939" s="19" t="str">
        <f>A939 &amp; " - " &amp; B939 &amp; " (" &amp; VLOOKUP(C939, Tbl_ColorMap[],2,false) &amp; ")"</f>
        <v>6611301 - Unset (Red)</v>
      </c>
      <c r="E939" s="23"/>
      <c r="L939" s="23"/>
    </row>
    <row r="940">
      <c r="A940" s="19">
        <v>6611302.0</v>
      </c>
      <c r="B940" s="19" t="s">
        <v>182</v>
      </c>
      <c r="C940" s="19">
        <v>0.0</v>
      </c>
      <c r="D940" s="19" t="str">
        <f>A940 &amp; " - " &amp; B940 &amp; " (" &amp; VLOOKUP(C940, Tbl_ColorMap[],2,false) &amp; ")"</f>
        <v>6611302 - Unset (Red)</v>
      </c>
      <c r="E940" s="23"/>
      <c r="L940" s="23"/>
    </row>
    <row r="941">
      <c r="A941" s="19">
        <v>6611400.0</v>
      </c>
      <c r="B941" s="19" t="s">
        <v>182</v>
      </c>
      <c r="C941" s="19">
        <v>0.0</v>
      </c>
      <c r="D941" s="19" t="str">
        <f>A941 &amp; " - " &amp; B941 &amp; " (" &amp; VLOOKUP(C941, Tbl_ColorMap[],2,false) &amp; ")"</f>
        <v>6611400 - Unset (Red)</v>
      </c>
      <c r="E941" s="23"/>
      <c r="L941" s="23"/>
    </row>
    <row r="942">
      <c r="A942" s="19">
        <v>6621000.0</v>
      </c>
      <c r="B942" s="19" t="s">
        <v>182</v>
      </c>
      <c r="C942" s="19">
        <v>0.0</v>
      </c>
      <c r="D942" s="19" t="str">
        <f>A942 &amp; " - " &amp; B942 &amp; " (" &amp; VLOOKUP(C942, Tbl_ColorMap[],2,false) &amp; ")"</f>
        <v>6621000 - Unset (Red)</v>
      </c>
      <c r="E942" s="23"/>
      <c r="L942" s="23"/>
    </row>
    <row r="943">
      <c r="A943" s="19">
        <v>6621100.0</v>
      </c>
      <c r="B943" s="19" t="s">
        <v>182</v>
      </c>
      <c r="C943" s="19">
        <v>0.0</v>
      </c>
      <c r="D943" s="19" t="str">
        <f>A943 &amp; " - " &amp; B943 &amp; " (" &amp; VLOOKUP(C943, Tbl_ColorMap[],2,false) &amp; ")"</f>
        <v>6621100 - Unset (Red)</v>
      </c>
      <c r="E943" s="23"/>
      <c r="L943" s="23"/>
    </row>
    <row r="944">
      <c r="A944" s="19">
        <v>6621200.0</v>
      </c>
      <c r="B944" s="19" t="s">
        <v>182</v>
      </c>
      <c r="C944" s="19">
        <v>0.0</v>
      </c>
      <c r="D944" s="19" t="str">
        <f>A944 &amp; " - " &amp; B944 &amp; " (" &amp; VLOOKUP(C944, Tbl_ColorMap[],2,false) &amp; ")"</f>
        <v>6621200 - Unset (Red)</v>
      </c>
      <c r="E944" s="23"/>
      <c r="L944" s="23"/>
    </row>
    <row r="945">
      <c r="A945" s="19">
        <v>6621300.0</v>
      </c>
      <c r="B945" s="19" t="s">
        <v>182</v>
      </c>
      <c r="C945" s="19">
        <v>0.0</v>
      </c>
      <c r="D945" s="19" t="str">
        <f>A945 &amp; " - " &amp; B945 &amp; " (" &amp; VLOOKUP(C945, Tbl_ColorMap[],2,false) &amp; ")"</f>
        <v>6621300 - Unset (Red)</v>
      </c>
      <c r="E945" s="23"/>
      <c r="L945" s="23"/>
    </row>
    <row r="946">
      <c r="A946" s="19">
        <v>6621400.0</v>
      </c>
      <c r="B946" s="19" t="s">
        <v>182</v>
      </c>
      <c r="C946" s="19">
        <v>0.0</v>
      </c>
      <c r="D946" s="19" t="str">
        <f>A946 &amp; " - " &amp; B946 &amp; " (" &amp; VLOOKUP(C946, Tbl_ColorMap[],2,false) &amp; ")"</f>
        <v>6621400 - Unset (Red)</v>
      </c>
      <c r="E946" s="23"/>
      <c r="L946" s="23"/>
    </row>
    <row r="947">
      <c r="A947" s="19">
        <v>6621500.0</v>
      </c>
      <c r="B947" s="19" t="s">
        <v>182</v>
      </c>
      <c r="C947" s="19">
        <v>0.0</v>
      </c>
      <c r="D947" s="19" t="str">
        <f>A947 &amp; " - " &amp; B947 &amp; " (" &amp; VLOOKUP(C947, Tbl_ColorMap[],2,false) &amp; ")"</f>
        <v>6621500 - Unset (Red)</v>
      </c>
      <c r="E947" s="23"/>
      <c r="L947" s="23"/>
    </row>
    <row r="948">
      <c r="A948" s="19">
        <v>6621600.0</v>
      </c>
      <c r="B948" s="19" t="s">
        <v>182</v>
      </c>
      <c r="C948" s="19">
        <v>0.0</v>
      </c>
      <c r="D948" s="19" t="str">
        <f>A948 &amp; " - " &amp; B948 &amp; " (" &amp; VLOOKUP(C948, Tbl_ColorMap[],2,false) &amp; ")"</f>
        <v>6621600 - Unset (Red)</v>
      </c>
      <c r="E948" s="23"/>
      <c r="L948" s="23"/>
    </row>
    <row r="949">
      <c r="A949" s="19">
        <v>6621700.0</v>
      </c>
      <c r="B949" s="19" t="s">
        <v>182</v>
      </c>
      <c r="C949" s="19">
        <v>0.0</v>
      </c>
      <c r="D949" s="19" t="str">
        <f>A949 &amp; " - " &amp; B949 &amp; " (" &amp; VLOOKUP(C949, Tbl_ColorMap[],2,false) &amp; ")"</f>
        <v>6621700 - Unset (Red)</v>
      </c>
      <c r="E949" s="23"/>
      <c r="L949" s="23"/>
    </row>
    <row r="950">
      <c r="A950" s="19">
        <v>6621800.0</v>
      </c>
      <c r="B950" s="19" t="s">
        <v>182</v>
      </c>
      <c r="C950" s="19">
        <v>0.0</v>
      </c>
      <c r="D950" s="19" t="str">
        <f>A950 &amp; " - " &amp; B950 &amp; " (" &amp; VLOOKUP(C950, Tbl_ColorMap[],2,false) &amp; ")"</f>
        <v>6621800 - Unset (Red)</v>
      </c>
      <c r="E950" s="23"/>
      <c r="L950" s="23"/>
    </row>
    <row r="951">
      <c r="A951" s="19">
        <v>6621900.0</v>
      </c>
      <c r="B951" s="19" t="s">
        <v>182</v>
      </c>
      <c r="C951" s="19">
        <v>0.0</v>
      </c>
      <c r="D951" s="19" t="str">
        <f>A951 &amp; " - " &amp; B951 &amp; " (" &amp; VLOOKUP(C951, Tbl_ColorMap[],2,false) &amp; ")"</f>
        <v>6621900 - Unset (Red)</v>
      </c>
      <c r="E951" s="23"/>
      <c r="L951" s="23"/>
    </row>
    <row r="952">
      <c r="A952" s="19">
        <v>6622000.0</v>
      </c>
      <c r="B952" s="19" t="s">
        <v>182</v>
      </c>
      <c r="C952" s="19">
        <v>0.0</v>
      </c>
      <c r="D952" s="19" t="str">
        <f>A952 &amp; " - " &amp; B952 &amp; " (" &amp; VLOOKUP(C952, Tbl_ColorMap[],2,false) &amp; ")"</f>
        <v>6622000 - Unset (Red)</v>
      </c>
      <c r="E952" s="23"/>
      <c r="L952" s="23"/>
    </row>
    <row r="953">
      <c r="A953" s="19">
        <v>6622100.0</v>
      </c>
      <c r="B953" s="19" t="s">
        <v>182</v>
      </c>
      <c r="C953" s="19">
        <v>0.0</v>
      </c>
      <c r="D953" s="19" t="str">
        <f>A953 &amp; " - " &amp; B953 &amp; " (" &amp; VLOOKUP(C953, Tbl_ColorMap[],2,false) &amp; ")"</f>
        <v>6622100 - Unset (Red)</v>
      </c>
      <c r="E953" s="23"/>
      <c r="L953" s="23"/>
    </row>
    <row r="954">
      <c r="A954" s="19">
        <v>6622200.0</v>
      </c>
      <c r="B954" s="19" t="s">
        <v>182</v>
      </c>
      <c r="C954" s="19">
        <v>0.0</v>
      </c>
      <c r="D954" s="19" t="str">
        <f>A954 &amp; " - " &amp; B954 &amp; " (" &amp; VLOOKUP(C954, Tbl_ColorMap[],2,false) &amp; ")"</f>
        <v>6622200 - Unset (Red)</v>
      </c>
      <c r="E954" s="23"/>
      <c r="L954" s="23"/>
    </row>
    <row r="955">
      <c r="A955" s="19">
        <v>6622300.0</v>
      </c>
      <c r="B955" s="19" t="s">
        <v>182</v>
      </c>
      <c r="C955" s="19">
        <v>0.0</v>
      </c>
      <c r="D955" s="19" t="str">
        <f>A955 &amp; " - " &amp; B955 &amp; " (" &amp; VLOOKUP(C955, Tbl_ColorMap[],2,false) &amp; ")"</f>
        <v>6622300 - Unset (Red)</v>
      </c>
      <c r="E955" s="23"/>
      <c r="L955" s="23"/>
    </row>
    <row r="956">
      <c r="A956" s="19">
        <v>6622400.0</v>
      </c>
      <c r="B956" s="19" t="s">
        <v>182</v>
      </c>
      <c r="C956" s="19">
        <v>0.0</v>
      </c>
      <c r="D956" s="19" t="str">
        <f>A956 &amp; " - " &amp; B956 &amp; " (" &amp; VLOOKUP(C956, Tbl_ColorMap[],2,false) &amp; ")"</f>
        <v>6622400 - Unset (Red)</v>
      </c>
      <c r="E956" s="23"/>
      <c r="L956" s="23"/>
    </row>
    <row r="957">
      <c r="A957" s="19">
        <v>6622500.0</v>
      </c>
      <c r="B957" s="19" t="s">
        <v>182</v>
      </c>
      <c r="C957" s="19">
        <v>0.0</v>
      </c>
      <c r="D957" s="19" t="str">
        <f>A957 &amp; " - " &amp; B957 &amp; " (" &amp; VLOOKUP(C957, Tbl_ColorMap[],2,false) &amp; ")"</f>
        <v>6622500 - Unset (Red)</v>
      </c>
      <c r="E957" s="23"/>
      <c r="L957" s="23"/>
    </row>
    <row r="958">
      <c r="A958" s="19">
        <v>6622600.0</v>
      </c>
      <c r="B958" s="19" t="s">
        <v>182</v>
      </c>
      <c r="C958" s="19">
        <v>0.0</v>
      </c>
      <c r="D958" s="19" t="str">
        <f>A958 &amp; " - " &amp; B958 &amp; " (" &amp; VLOOKUP(C958, Tbl_ColorMap[],2,false) &amp; ")"</f>
        <v>6622600 - Unset (Red)</v>
      </c>
      <c r="E958" s="23"/>
      <c r="L958" s="23"/>
    </row>
    <row r="959">
      <c r="A959" s="19">
        <v>6622700.0</v>
      </c>
      <c r="B959" s="19" t="s">
        <v>182</v>
      </c>
      <c r="C959" s="19">
        <v>0.0</v>
      </c>
      <c r="D959" s="19" t="str">
        <f>A959 &amp; " - " &amp; B959 &amp; " (" &amp; VLOOKUP(C959, Tbl_ColorMap[],2,false) &amp; ")"</f>
        <v>6622700 - Unset (Red)</v>
      </c>
      <c r="E959" s="23"/>
      <c r="L959" s="23"/>
    </row>
    <row r="960">
      <c r="A960" s="19">
        <v>6622800.0</v>
      </c>
      <c r="B960" s="19" t="s">
        <v>182</v>
      </c>
      <c r="C960" s="19">
        <v>0.0</v>
      </c>
      <c r="D960" s="19" t="str">
        <f>A960 &amp; " - " &amp; B960 &amp; " (" &amp; VLOOKUP(C960, Tbl_ColorMap[],2,false) &amp; ")"</f>
        <v>6622800 - Unset (Red)</v>
      </c>
      <c r="E960" s="23"/>
      <c r="L960" s="23"/>
    </row>
    <row r="961">
      <c r="A961" s="19">
        <v>6622900.0</v>
      </c>
      <c r="B961" s="19" t="s">
        <v>182</v>
      </c>
      <c r="C961" s="19">
        <v>0.0</v>
      </c>
      <c r="D961" s="19" t="str">
        <f>A961 &amp; " - " &amp; B961 &amp; " (" &amp; VLOOKUP(C961, Tbl_ColorMap[],2,false) &amp; ")"</f>
        <v>6622900 - Unset (Red)</v>
      </c>
      <c r="E961" s="23"/>
      <c r="L961" s="23"/>
    </row>
    <row r="962">
      <c r="A962" s="19">
        <v>6623000.0</v>
      </c>
      <c r="B962" s="19" t="s">
        <v>182</v>
      </c>
      <c r="C962" s="19">
        <v>0.0</v>
      </c>
      <c r="D962" s="19" t="str">
        <f>A962 &amp; " - " &amp; B962 &amp; " (" &amp; VLOOKUP(C962, Tbl_ColorMap[],2,false) &amp; ")"</f>
        <v>6623000 - Unset (Red)</v>
      </c>
      <c r="E962" s="23"/>
      <c r="L962" s="23"/>
    </row>
    <row r="963">
      <c r="A963" s="19">
        <v>6623100.0</v>
      </c>
      <c r="B963" s="19" t="s">
        <v>182</v>
      </c>
      <c r="C963" s="19">
        <v>0.0</v>
      </c>
      <c r="D963" s="19" t="str">
        <f>A963 &amp; " - " &amp; B963 &amp; " (" &amp; VLOOKUP(C963, Tbl_ColorMap[],2,false) &amp; ")"</f>
        <v>6623100 - Unset (Red)</v>
      </c>
      <c r="E963" s="23"/>
      <c r="L963" s="23"/>
    </row>
    <row r="964">
      <c r="A964" s="19">
        <v>6623200.0</v>
      </c>
      <c r="B964" s="19" t="s">
        <v>182</v>
      </c>
      <c r="C964" s="19">
        <v>0.0</v>
      </c>
      <c r="D964" s="19" t="str">
        <f>A964 &amp; " - " &amp; B964 &amp; " (" &amp; VLOOKUP(C964, Tbl_ColorMap[],2,false) &amp; ")"</f>
        <v>6623200 - Unset (Red)</v>
      </c>
      <c r="E964" s="23"/>
      <c r="L964" s="23"/>
    </row>
    <row r="965">
      <c r="A965" s="19">
        <v>6624000.0</v>
      </c>
      <c r="B965" s="19" t="s">
        <v>182</v>
      </c>
      <c r="C965" s="19">
        <v>0.0</v>
      </c>
      <c r="D965" s="19" t="str">
        <f>A965 &amp; " - " &amp; B965 &amp; " (" &amp; VLOOKUP(C965, Tbl_ColorMap[],2,false) &amp; ")"</f>
        <v>6624000 - Unset (Red)</v>
      </c>
      <c r="E965" s="23"/>
      <c r="L965" s="23"/>
    </row>
    <row r="966">
      <c r="A966" s="19">
        <v>6624100.0</v>
      </c>
      <c r="B966" s="19" t="s">
        <v>182</v>
      </c>
      <c r="C966" s="19">
        <v>0.0</v>
      </c>
      <c r="D966" s="19" t="str">
        <f>A966 &amp; " - " &amp; B966 &amp; " (" &amp; VLOOKUP(C966, Tbl_ColorMap[],2,false) &amp; ")"</f>
        <v>6624100 - Unset (Red)</v>
      </c>
      <c r="E966" s="23"/>
      <c r="L966" s="23"/>
    </row>
    <row r="967">
      <c r="A967" s="19">
        <v>6624200.0</v>
      </c>
      <c r="B967" s="19" t="s">
        <v>182</v>
      </c>
      <c r="C967" s="19">
        <v>0.0</v>
      </c>
      <c r="D967" s="19" t="str">
        <f>A967 &amp; " - " &amp; B967 &amp; " (" &amp; VLOOKUP(C967, Tbl_ColorMap[],2,false) &amp; ")"</f>
        <v>6624200 - Unset (Red)</v>
      </c>
      <c r="E967" s="23"/>
      <c r="L967" s="23"/>
    </row>
    <row r="968">
      <c r="A968" s="19">
        <v>6624300.0</v>
      </c>
      <c r="B968" s="19" t="s">
        <v>182</v>
      </c>
      <c r="C968" s="19">
        <v>0.0</v>
      </c>
      <c r="D968" s="19" t="str">
        <f>A968 &amp; " - " &amp; B968 &amp; " (" &amp; VLOOKUP(C968, Tbl_ColorMap[],2,false) &amp; ")"</f>
        <v>6624300 - Unset (Red)</v>
      </c>
      <c r="E968" s="23"/>
      <c r="L968" s="23"/>
    </row>
    <row r="969">
      <c r="A969" s="19">
        <v>6624400.0</v>
      </c>
      <c r="B969" s="19" t="s">
        <v>182</v>
      </c>
      <c r="C969" s="19">
        <v>0.0</v>
      </c>
      <c r="D969" s="19" t="str">
        <f>A969 &amp; " - " &amp; B969 &amp; " (" &amp; VLOOKUP(C969, Tbl_ColorMap[],2,false) &amp; ")"</f>
        <v>6624400 - Unset (Red)</v>
      </c>
      <c r="E969" s="23"/>
      <c r="L969" s="23"/>
    </row>
    <row r="970">
      <c r="A970" s="19">
        <v>6624500.0</v>
      </c>
      <c r="B970" s="19" t="s">
        <v>182</v>
      </c>
      <c r="C970" s="19">
        <v>0.0</v>
      </c>
      <c r="D970" s="19" t="str">
        <f>A970 &amp; " - " &amp; B970 &amp; " (" &amp; VLOOKUP(C970, Tbl_ColorMap[],2,false) &amp; ")"</f>
        <v>6624500 - Unset (Red)</v>
      </c>
      <c r="E970" s="23"/>
      <c r="L970" s="23"/>
    </row>
    <row r="971">
      <c r="A971" s="19">
        <v>6630000.0</v>
      </c>
      <c r="B971" s="19" t="s">
        <v>182</v>
      </c>
      <c r="C971" s="19">
        <v>0.0</v>
      </c>
      <c r="D971" s="19" t="str">
        <f>A971 &amp; " - " &amp; B971 &amp; " (" &amp; VLOOKUP(C971, Tbl_ColorMap[],2,false) &amp; ")"</f>
        <v>6630000 - Unset (Red)</v>
      </c>
      <c r="E971" s="23"/>
      <c r="L971" s="23"/>
    </row>
    <row r="972">
      <c r="A972" s="19">
        <v>6630100.0</v>
      </c>
      <c r="B972" s="19" t="s">
        <v>182</v>
      </c>
      <c r="C972" s="19">
        <v>0.0</v>
      </c>
      <c r="D972" s="19" t="str">
        <f>A972 &amp; " - " &amp; B972 &amp; " (" &amp; VLOOKUP(C972, Tbl_ColorMap[],2,false) &amp; ")"</f>
        <v>6630100 - Unset (Red)</v>
      </c>
      <c r="E972" s="23"/>
      <c r="L972" s="23"/>
    </row>
    <row r="973">
      <c r="A973" s="19">
        <v>6630200.0</v>
      </c>
      <c r="B973" s="19" t="s">
        <v>182</v>
      </c>
      <c r="C973" s="19">
        <v>0.0</v>
      </c>
      <c r="D973" s="19" t="str">
        <f>A973 &amp; " - " &amp; B973 &amp; " (" &amp; VLOOKUP(C973, Tbl_ColorMap[],2,false) &amp; ")"</f>
        <v>6630200 - Unset (Red)</v>
      </c>
      <c r="E973" s="23"/>
      <c r="L973" s="23"/>
    </row>
    <row r="974">
      <c r="A974" s="19">
        <v>6630300.0</v>
      </c>
      <c r="B974" s="19" t="s">
        <v>182</v>
      </c>
      <c r="C974" s="19">
        <v>0.0</v>
      </c>
      <c r="D974" s="19" t="str">
        <f>A974 &amp; " - " &amp; B974 &amp; " (" &amp; VLOOKUP(C974, Tbl_ColorMap[],2,false) &amp; ")"</f>
        <v>6630300 - Unset (Red)</v>
      </c>
      <c r="E974" s="23"/>
      <c r="L974" s="23"/>
    </row>
    <row r="975">
      <c r="A975" s="19">
        <v>6630400.0</v>
      </c>
      <c r="B975" s="19" t="s">
        <v>182</v>
      </c>
      <c r="C975" s="19">
        <v>0.0</v>
      </c>
      <c r="D975" s="19" t="str">
        <f>A975 &amp; " - " &amp; B975 &amp; " (" &amp; VLOOKUP(C975, Tbl_ColorMap[],2,false) &amp; ")"</f>
        <v>6630400 - Unset (Red)</v>
      </c>
      <c r="E975" s="23"/>
      <c r="L975" s="23"/>
    </row>
    <row r="976">
      <c r="A976" s="19">
        <v>6630500.0</v>
      </c>
      <c r="B976" s="19" t="s">
        <v>182</v>
      </c>
      <c r="C976" s="19">
        <v>0.0</v>
      </c>
      <c r="D976" s="19" t="str">
        <f>A976 &amp; " - " &amp; B976 &amp; " (" &amp; VLOOKUP(C976, Tbl_ColorMap[],2,false) &amp; ")"</f>
        <v>6630500 - Unset (Red)</v>
      </c>
      <c r="E976" s="23"/>
      <c r="L976" s="23"/>
    </row>
    <row r="977">
      <c r="A977" s="19">
        <v>6630600.0</v>
      </c>
      <c r="B977" s="19" t="s">
        <v>182</v>
      </c>
      <c r="C977" s="19">
        <v>0.0</v>
      </c>
      <c r="D977" s="19" t="str">
        <f>A977 &amp; " - " &amp; B977 &amp; " (" &amp; VLOOKUP(C977, Tbl_ColorMap[],2,false) &amp; ")"</f>
        <v>6630600 - Unset (Red)</v>
      </c>
      <c r="E977" s="23"/>
      <c r="L977" s="23"/>
    </row>
    <row r="978">
      <c r="A978" s="19">
        <v>6630700.0</v>
      </c>
      <c r="B978" s="19" t="s">
        <v>182</v>
      </c>
      <c r="C978" s="19">
        <v>0.0</v>
      </c>
      <c r="D978" s="19" t="str">
        <f>A978 &amp; " - " &amp; B978 &amp; " (" &amp; VLOOKUP(C978, Tbl_ColorMap[],2,false) &amp; ")"</f>
        <v>6630700 - Unset (Red)</v>
      </c>
      <c r="E978" s="23"/>
      <c r="L978" s="23"/>
    </row>
    <row r="979">
      <c r="A979" s="19">
        <v>6630800.0</v>
      </c>
      <c r="B979" s="19" t="s">
        <v>182</v>
      </c>
      <c r="C979" s="19">
        <v>0.0</v>
      </c>
      <c r="D979" s="19" t="str">
        <f>A979 &amp; " - " &amp; B979 &amp; " (" &amp; VLOOKUP(C979, Tbl_ColorMap[],2,false) &amp; ")"</f>
        <v>6630800 - Unset (Red)</v>
      </c>
      <c r="E979" s="23"/>
      <c r="L979" s="23"/>
    </row>
    <row r="980">
      <c r="A980" s="19">
        <v>6630900.0</v>
      </c>
      <c r="B980" s="19" t="s">
        <v>182</v>
      </c>
      <c r="C980" s="19">
        <v>0.0</v>
      </c>
      <c r="D980" s="19" t="str">
        <f>A980 &amp; " - " &amp; B980 &amp; " (" &amp; VLOOKUP(C980, Tbl_ColorMap[],2,false) &amp; ")"</f>
        <v>6630900 - Unset (Red)</v>
      </c>
      <c r="E980" s="23"/>
      <c r="L980" s="23"/>
    </row>
    <row r="981">
      <c r="A981" s="19">
        <v>6631000.0</v>
      </c>
      <c r="B981" s="19" t="s">
        <v>182</v>
      </c>
      <c r="C981" s="19">
        <v>0.0</v>
      </c>
      <c r="D981" s="19" t="str">
        <f>A981 &amp; " - " &amp; B981 &amp; " (" &amp; VLOOKUP(C981, Tbl_ColorMap[],2,false) &amp; ")"</f>
        <v>6631000 - Unset (Red)</v>
      </c>
      <c r="E981" s="23"/>
      <c r="L981" s="23"/>
    </row>
    <row r="982">
      <c r="A982" s="19">
        <v>6631100.0</v>
      </c>
      <c r="B982" s="19" t="s">
        <v>182</v>
      </c>
      <c r="C982" s="19">
        <v>0.0</v>
      </c>
      <c r="D982" s="19" t="str">
        <f>A982 &amp; " - " &amp; B982 &amp; " (" &amp; VLOOKUP(C982, Tbl_ColorMap[],2,false) &amp; ")"</f>
        <v>6631100 - Unset (Red)</v>
      </c>
      <c r="E982" s="23"/>
      <c r="L982" s="23"/>
    </row>
    <row r="983">
      <c r="A983" s="19">
        <v>6631200.0</v>
      </c>
      <c r="B983" s="19" t="s">
        <v>182</v>
      </c>
      <c r="C983" s="19">
        <v>0.0</v>
      </c>
      <c r="D983" s="19" t="str">
        <f>A983 &amp; " - " &amp; B983 &amp; " (" &amp; VLOOKUP(C983, Tbl_ColorMap[],2,false) &amp; ")"</f>
        <v>6631200 - Unset (Red)</v>
      </c>
      <c r="E983" s="23"/>
      <c r="L983" s="23"/>
    </row>
    <row r="984">
      <c r="A984" s="19">
        <v>6631300.0</v>
      </c>
      <c r="B984" s="19" t="s">
        <v>182</v>
      </c>
      <c r="C984" s="19">
        <v>0.0</v>
      </c>
      <c r="D984" s="19" t="str">
        <f>A984 &amp; " - " &amp; B984 &amp; " (" &amp; VLOOKUP(C984, Tbl_ColorMap[],2,false) &amp; ")"</f>
        <v>6631300 - Unset (Red)</v>
      </c>
      <c r="E984" s="23"/>
      <c r="L984" s="23"/>
    </row>
    <row r="985">
      <c r="A985" s="19">
        <v>6631400.0</v>
      </c>
      <c r="B985" s="19" t="s">
        <v>182</v>
      </c>
      <c r="C985" s="19">
        <v>0.0</v>
      </c>
      <c r="D985" s="19" t="str">
        <f>A985 &amp; " - " &amp; B985 &amp; " (" &amp; VLOOKUP(C985, Tbl_ColorMap[],2,false) &amp; ")"</f>
        <v>6631400 - Unset (Red)</v>
      </c>
      <c r="E985" s="23"/>
      <c r="L985" s="23"/>
    </row>
    <row r="986">
      <c r="A986" s="19">
        <v>6631500.0</v>
      </c>
      <c r="B986" s="19" t="s">
        <v>182</v>
      </c>
      <c r="C986" s="19">
        <v>0.0</v>
      </c>
      <c r="D986" s="19" t="str">
        <f>A986 &amp; " - " &amp; B986 &amp; " (" &amp; VLOOKUP(C986, Tbl_ColorMap[],2,false) &amp; ")"</f>
        <v>6631500 - Unset (Red)</v>
      </c>
      <c r="E986" s="23"/>
      <c r="L986" s="23"/>
    </row>
    <row r="987">
      <c r="A987" s="19">
        <v>6631600.0</v>
      </c>
      <c r="B987" s="19" t="s">
        <v>182</v>
      </c>
      <c r="C987" s="19">
        <v>0.0</v>
      </c>
      <c r="D987" s="19" t="str">
        <f>A987 &amp; " - " &amp; B987 &amp; " (" &amp; VLOOKUP(C987, Tbl_ColorMap[],2,false) &amp; ")"</f>
        <v>6631600 - Unset (Red)</v>
      </c>
      <c r="E987" s="23"/>
      <c r="L987" s="23"/>
    </row>
    <row r="988">
      <c r="A988" s="19">
        <v>6631700.0</v>
      </c>
      <c r="B988" s="19" t="s">
        <v>182</v>
      </c>
      <c r="C988" s="19">
        <v>0.0</v>
      </c>
      <c r="D988" s="19" t="str">
        <f>A988 &amp; " - " &amp; B988 &amp; " (" &amp; VLOOKUP(C988, Tbl_ColorMap[],2,false) &amp; ")"</f>
        <v>6631700 - Unset (Red)</v>
      </c>
      <c r="E988" s="23"/>
      <c r="L988" s="23"/>
    </row>
    <row r="989">
      <c r="A989" s="19">
        <v>6631800.0</v>
      </c>
      <c r="B989" s="19" t="s">
        <v>182</v>
      </c>
      <c r="C989" s="19">
        <v>0.0</v>
      </c>
      <c r="D989" s="19" t="str">
        <f>A989 &amp; " - " &amp; B989 &amp; " (" &amp; VLOOKUP(C989, Tbl_ColorMap[],2,false) &amp; ")"</f>
        <v>6631800 - Unset (Red)</v>
      </c>
      <c r="E989" s="23"/>
      <c r="L989" s="23"/>
    </row>
    <row r="990">
      <c r="A990" s="19">
        <v>6631900.0</v>
      </c>
      <c r="B990" s="19" t="s">
        <v>182</v>
      </c>
      <c r="C990" s="19">
        <v>0.0</v>
      </c>
      <c r="D990" s="19" t="str">
        <f>A990 &amp; " - " &amp; B990 &amp; " (" &amp; VLOOKUP(C990, Tbl_ColorMap[],2,false) &amp; ")"</f>
        <v>6631900 - Unset (Red)</v>
      </c>
      <c r="E990" s="23"/>
      <c r="L990" s="23"/>
    </row>
    <row r="991">
      <c r="A991" s="19">
        <v>6632000.0</v>
      </c>
      <c r="B991" s="19" t="s">
        <v>182</v>
      </c>
      <c r="C991" s="19">
        <v>0.0</v>
      </c>
      <c r="D991" s="19" t="str">
        <f>A991 &amp; " - " &amp; B991 &amp; " (" &amp; VLOOKUP(C991, Tbl_ColorMap[],2,false) &amp; ")"</f>
        <v>6632000 - Unset (Red)</v>
      </c>
      <c r="E991" s="23"/>
      <c r="L991" s="23"/>
    </row>
    <row r="992">
      <c r="A992" s="19">
        <v>6632100.0</v>
      </c>
      <c r="B992" s="19" t="s">
        <v>182</v>
      </c>
      <c r="C992" s="19">
        <v>0.0</v>
      </c>
      <c r="D992" s="19" t="str">
        <f>A992 &amp; " - " &amp; B992 &amp; " (" &amp; VLOOKUP(C992, Tbl_ColorMap[],2,false) &amp; ")"</f>
        <v>6632100 - Unset (Red)</v>
      </c>
      <c r="E992" s="23"/>
      <c r="L992" s="23"/>
    </row>
    <row r="993">
      <c r="A993" s="19">
        <v>6632200.0</v>
      </c>
      <c r="B993" s="19" t="s">
        <v>182</v>
      </c>
      <c r="C993" s="19">
        <v>0.0</v>
      </c>
      <c r="D993" s="19" t="str">
        <f>A993 &amp; " - " &amp; B993 &amp; " (" &amp; VLOOKUP(C993, Tbl_ColorMap[],2,false) &amp; ")"</f>
        <v>6632200 - Unset (Red)</v>
      </c>
      <c r="E993" s="23"/>
      <c r="L993" s="23"/>
    </row>
    <row r="994">
      <c r="A994" s="19">
        <v>6632300.0</v>
      </c>
      <c r="B994" s="19" t="s">
        <v>182</v>
      </c>
      <c r="C994" s="19">
        <v>0.0</v>
      </c>
      <c r="D994" s="19" t="str">
        <f>A994 &amp; " - " &amp; B994 &amp; " (" &amp; VLOOKUP(C994, Tbl_ColorMap[],2,false) &amp; ")"</f>
        <v>6632300 - Unset (Red)</v>
      </c>
      <c r="E994" s="23"/>
      <c r="L994" s="23"/>
    </row>
    <row r="995">
      <c r="A995" s="19">
        <v>6632400.0</v>
      </c>
      <c r="B995" s="19" t="s">
        <v>182</v>
      </c>
      <c r="C995" s="19">
        <v>0.0</v>
      </c>
      <c r="D995" s="19" t="str">
        <f>A995 &amp; " - " &amp; B995 &amp; " (" &amp; VLOOKUP(C995, Tbl_ColorMap[],2,false) &amp; ")"</f>
        <v>6632400 - Unset (Red)</v>
      </c>
      <c r="E995" s="23"/>
      <c r="L995" s="23"/>
    </row>
    <row r="996">
      <c r="A996" s="19">
        <v>6632500.0</v>
      </c>
      <c r="B996" s="19" t="s">
        <v>182</v>
      </c>
      <c r="C996" s="19">
        <v>0.0</v>
      </c>
      <c r="D996" s="19" t="str">
        <f>A996 &amp; " - " &amp; B996 &amp; " (" &amp; VLOOKUP(C996, Tbl_ColorMap[],2,false) &amp; ")"</f>
        <v>6632500 - Unset (Red)</v>
      </c>
      <c r="E996" s="23"/>
      <c r="L996" s="23"/>
    </row>
    <row r="997">
      <c r="A997" s="19">
        <v>6632600.0</v>
      </c>
      <c r="B997" s="19" t="s">
        <v>182</v>
      </c>
      <c r="C997" s="19">
        <v>0.0</v>
      </c>
      <c r="D997" s="19" t="str">
        <f>A997 &amp; " - " &amp; B997 &amp; " (" &amp; VLOOKUP(C997, Tbl_ColorMap[],2,false) &amp; ")"</f>
        <v>6632600 - Unset (Red)</v>
      </c>
      <c r="E997" s="23"/>
      <c r="L997" s="23"/>
    </row>
    <row r="998">
      <c r="A998" s="19">
        <v>6632700.0</v>
      </c>
      <c r="B998" s="19" t="s">
        <v>182</v>
      </c>
      <c r="C998" s="19">
        <v>0.0</v>
      </c>
      <c r="D998" s="19" t="str">
        <f>A998 &amp; " - " &amp; B998 &amp; " (" &amp; VLOOKUP(C998, Tbl_ColorMap[],2,false) &amp; ")"</f>
        <v>6632700 - Unset (Red)</v>
      </c>
      <c r="E998" s="23"/>
      <c r="L998" s="23"/>
    </row>
    <row r="999">
      <c r="A999" s="19">
        <v>6632800.0</v>
      </c>
      <c r="B999" s="19" t="s">
        <v>182</v>
      </c>
      <c r="C999" s="19">
        <v>0.0</v>
      </c>
      <c r="D999" s="19" t="str">
        <f>A999 &amp; " - " &amp; B999 &amp; " (" &amp; VLOOKUP(C999, Tbl_ColorMap[],2,false) &amp; ")"</f>
        <v>6632800 - Unset (Red)</v>
      </c>
      <c r="E999" s="23"/>
      <c r="L999" s="23"/>
    </row>
    <row r="1000">
      <c r="A1000" s="19">
        <v>6632900.0</v>
      </c>
      <c r="B1000" s="19" t="s">
        <v>182</v>
      </c>
      <c r="C1000" s="19">
        <v>0.0</v>
      </c>
      <c r="D1000" s="19" t="str">
        <f>A1000 &amp; " - " &amp; B1000 &amp; " (" &amp; VLOOKUP(C1000, Tbl_ColorMap[],2,false) &amp; ")"</f>
        <v>6632900 - Unset (Red)</v>
      </c>
      <c r="E1000" s="23"/>
      <c r="L1000" s="23"/>
    </row>
    <row r="1001">
      <c r="A1001" s="19">
        <v>6633000.0</v>
      </c>
      <c r="B1001" s="19" t="s">
        <v>182</v>
      </c>
      <c r="C1001" s="19">
        <v>0.0</v>
      </c>
      <c r="D1001" s="19" t="str">
        <f>A1001 &amp; " - " &amp; B1001 &amp; " (" &amp; VLOOKUP(C1001, Tbl_ColorMap[],2,false) &amp; ")"</f>
        <v>6633000 - Unset (Red)</v>
      </c>
      <c r="E1001" s="23"/>
      <c r="L1001" s="23"/>
    </row>
    <row r="1002">
      <c r="A1002" s="19">
        <v>6633100.0</v>
      </c>
      <c r="B1002" s="19" t="s">
        <v>182</v>
      </c>
      <c r="C1002" s="19">
        <v>0.0</v>
      </c>
      <c r="D1002" s="19" t="str">
        <f>A1002 &amp; " - " &amp; B1002 &amp; " (" &amp; VLOOKUP(C1002, Tbl_ColorMap[],2,false) &amp; ")"</f>
        <v>6633100 - Unset (Red)</v>
      </c>
      <c r="E1002" s="23"/>
      <c r="L1002" s="23"/>
    </row>
    <row r="1003">
      <c r="A1003" s="19">
        <v>6633200.0</v>
      </c>
      <c r="B1003" s="19" t="s">
        <v>182</v>
      </c>
      <c r="C1003" s="19">
        <v>0.0</v>
      </c>
      <c r="D1003" s="19" t="str">
        <f>A1003 &amp; " - " &amp; B1003 &amp; " (" &amp; VLOOKUP(C1003, Tbl_ColorMap[],2,false) &amp; ")"</f>
        <v>6633200 - Unset (Red)</v>
      </c>
      <c r="E1003" s="23"/>
      <c r="L1003" s="23"/>
    </row>
    <row r="1004">
      <c r="A1004" s="19">
        <v>6640000.0</v>
      </c>
      <c r="B1004" s="19" t="s">
        <v>182</v>
      </c>
      <c r="C1004" s="19">
        <v>0.0</v>
      </c>
      <c r="D1004" s="19" t="str">
        <f>A1004 &amp; " - " &amp; B1004 &amp; " (" &amp; VLOOKUP(C1004, Tbl_ColorMap[],2,false) &amp; ")"</f>
        <v>6640000 - Unset (Red)</v>
      </c>
      <c r="E1004" s="23"/>
      <c r="L1004" s="23"/>
    </row>
    <row r="1005">
      <c r="A1005" s="19">
        <v>6640100.0</v>
      </c>
      <c r="B1005" s="19" t="s">
        <v>182</v>
      </c>
      <c r="C1005" s="19">
        <v>0.0</v>
      </c>
      <c r="D1005" s="19" t="str">
        <f>A1005 &amp; " - " &amp; B1005 &amp; " (" &amp; VLOOKUP(C1005, Tbl_ColorMap[],2,false) &amp; ")"</f>
        <v>6640100 - Unset (Red)</v>
      </c>
      <c r="E1005" s="23"/>
      <c r="L1005" s="23"/>
    </row>
    <row r="1006">
      <c r="A1006" s="19">
        <v>6641000.0</v>
      </c>
      <c r="B1006" s="19" t="s">
        <v>182</v>
      </c>
      <c r="C1006" s="19">
        <v>0.0</v>
      </c>
      <c r="D1006" s="19" t="str">
        <f>A1006 &amp; " - " &amp; B1006 &amp; " (" &amp; VLOOKUP(C1006, Tbl_ColorMap[],2,false) &amp; ")"</f>
        <v>6641000 - Unset (Red)</v>
      </c>
      <c r="E1006" s="23"/>
      <c r="L1006" s="23"/>
    </row>
    <row r="1007">
      <c r="A1007" s="19">
        <v>6641100.0</v>
      </c>
      <c r="B1007" s="19" t="s">
        <v>182</v>
      </c>
      <c r="C1007" s="19">
        <v>0.0</v>
      </c>
      <c r="D1007" s="19" t="str">
        <f>A1007 &amp; " - " &amp; B1007 &amp; " (" &amp; VLOOKUP(C1007, Tbl_ColorMap[],2,false) &amp; ")"</f>
        <v>6641100 - Unset (Red)</v>
      </c>
      <c r="E1007" s="23"/>
      <c r="L1007" s="23"/>
    </row>
    <row r="1008">
      <c r="A1008" s="19">
        <v>6642000.0</v>
      </c>
      <c r="B1008" s="19" t="s">
        <v>182</v>
      </c>
      <c r="C1008" s="19">
        <v>0.0</v>
      </c>
      <c r="D1008" s="19" t="str">
        <f>A1008 &amp; " - " &amp; B1008 &amp; " (" &amp; VLOOKUP(C1008, Tbl_ColorMap[],2,false) &amp; ")"</f>
        <v>6642000 - Unset (Red)</v>
      </c>
      <c r="E1008" s="23"/>
      <c r="L1008" s="23"/>
    </row>
    <row r="1009">
      <c r="A1009" s="19">
        <v>6642100.0</v>
      </c>
      <c r="B1009" s="19" t="s">
        <v>182</v>
      </c>
      <c r="C1009" s="19">
        <v>0.0</v>
      </c>
      <c r="D1009" s="19" t="str">
        <f>A1009 &amp; " - " &amp; B1009 &amp; " (" &amp; VLOOKUP(C1009, Tbl_ColorMap[],2,false) &amp; ")"</f>
        <v>6642100 - Unset (Red)</v>
      </c>
      <c r="E1009" s="23"/>
      <c r="L1009" s="23"/>
    </row>
    <row r="1010">
      <c r="A1010" s="19">
        <v>6643000.0</v>
      </c>
      <c r="B1010" s="19" t="s">
        <v>182</v>
      </c>
      <c r="C1010" s="19">
        <v>0.0</v>
      </c>
      <c r="D1010" s="19" t="str">
        <f>A1010 &amp; " - " &amp; B1010 &amp; " (" &amp; VLOOKUP(C1010, Tbl_ColorMap[],2,false) &amp; ")"</f>
        <v>6643000 - Unset (Red)</v>
      </c>
      <c r="E1010" s="23"/>
      <c r="L1010" s="23"/>
    </row>
    <row r="1011">
      <c r="A1011" s="19">
        <v>6643100.0</v>
      </c>
      <c r="B1011" s="19" t="s">
        <v>182</v>
      </c>
      <c r="C1011" s="19">
        <v>0.0</v>
      </c>
      <c r="D1011" s="19" t="str">
        <f>A1011 &amp; " - " &amp; B1011 &amp; " (" &amp; VLOOKUP(C1011, Tbl_ColorMap[],2,false) &amp; ")"</f>
        <v>6643100 - Unset (Red)</v>
      </c>
      <c r="E1011" s="23"/>
      <c r="L1011" s="23"/>
    </row>
    <row r="1012">
      <c r="A1012" s="19">
        <v>6644000.0</v>
      </c>
      <c r="B1012" s="19" t="s">
        <v>182</v>
      </c>
      <c r="C1012" s="19">
        <v>0.0</v>
      </c>
      <c r="D1012" s="19" t="str">
        <f>A1012 &amp; " - " &amp; B1012 &amp; " (" &amp; VLOOKUP(C1012, Tbl_ColorMap[],2,false) &amp; ")"</f>
        <v>6644000 - Unset (Red)</v>
      </c>
      <c r="E1012" s="23"/>
      <c r="L1012" s="23"/>
    </row>
    <row r="1013">
      <c r="A1013" s="19">
        <v>6644100.0</v>
      </c>
      <c r="B1013" s="19" t="s">
        <v>182</v>
      </c>
      <c r="C1013" s="19">
        <v>0.0</v>
      </c>
      <c r="D1013" s="19" t="str">
        <f>A1013 &amp; " - " &amp; B1013 &amp; " (" &amp; VLOOKUP(C1013, Tbl_ColorMap[],2,false) &amp; ")"</f>
        <v>6644100 - Unset (Red)</v>
      </c>
      <c r="E1013" s="23"/>
      <c r="L1013" s="23"/>
    </row>
    <row r="1014">
      <c r="A1014" s="19">
        <v>6645000.0</v>
      </c>
      <c r="B1014" s="19" t="s">
        <v>182</v>
      </c>
      <c r="C1014" s="19">
        <v>0.0</v>
      </c>
      <c r="D1014" s="19" t="str">
        <f>A1014 &amp; " - " &amp; B1014 &amp; " (" &amp; VLOOKUP(C1014, Tbl_ColorMap[],2,false) &amp; ")"</f>
        <v>6645000 - Unset (Red)</v>
      </c>
      <c r="E1014" s="23"/>
      <c r="L1014" s="23"/>
    </row>
    <row r="1015">
      <c r="A1015" s="19">
        <v>6645100.0</v>
      </c>
      <c r="B1015" s="19" t="s">
        <v>182</v>
      </c>
      <c r="C1015" s="19">
        <v>0.0</v>
      </c>
      <c r="D1015" s="19" t="str">
        <f>A1015 &amp; " - " &amp; B1015 &amp; " (" &amp; VLOOKUP(C1015, Tbl_ColorMap[],2,false) &amp; ")"</f>
        <v>6645100 - Unset (Red)</v>
      </c>
      <c r="E1015" s="23"/>
      <c r="L1015" s="23"/>
    </row>
    <row r="1016">
      <c r="A1016" s="19">
        <v>6646000.0</v>
      </c>
      <c r="B1016" s="19" t="s">
        <v>182</v>
      </c>
      <c r="C1016" s="19">
        <v>0.0</v>
      </c>
      <c r="D1016" s="19" t="str">
        <f>A1016 &amp; " - " &amp; B1016 &amp; " (" &amp; VLOOKUP(C1016, Tbl_ColorMap[],2,false) &amp; ")"</f>
        <v>6646000 - Unset (Red)</v>
      </c>
      <c r="E1016" s="23"/>
      <c r="L1016" s="23"/>
    </row>
    <row r="1017">
      <c r="A1017" s="19">
        <v>6646100.0</v>
      </c>
      <c r="B1017" s="19" t="s">
        <v>182</v>
      </c>
      <c r="C1017" s="19">
        <v>0.0</v>
      </c>
      <c r="D1017" s="19" t="str">
        <f>A1017 &amp; " - " &amp; B1017 &amp; " (" &amp; VLOOKUP(C1017, Tbl_ColorMap[],2,false) &amp; ")"</f>
        <v>6646100 - Unset (Red)</v>
      </c>
      <c r="E1017" s="23"/>
      <c r="L1017" s="23"/>
    </row>
    <row r="1018">
      <c r="A1018" s="19">
        <v>6647000.0</v>
      </c>
      <c r="B1018" s="19" t="s">
        <v>182</v>
      </c>
      <c r="C1018" s="19">
        <v>0.0</v>
      </c>
      <c r="D1018" s="19" t="str">
        <f>A1018 &amp; " - " &amp; B1018 &amp; " (" &amp; VLOOKUP(C1018, Tbl_ColorMap[],2,false) &amp; ")"</f>
        <v>6647000 - Unset (Red)</v>
      </c>
      <c r="E1018" s="23"/>
      <c r="L1018" s="23"/>
    </row>
    <row r="1019">
      <c r="A1019" s="19">
        <v>6647100.0</v>
      </c>
      <c r="B1019" s="19" t="s">
        <v>182</v>
      </c>
      <c r="C1019" s="19">
        <v>0.0</v>
      </c>
      <c r="D1019" s="19" t="str">
        <f>A1019 &amp; " - " &amp; B1019 &amp; " (" &amp; VLOOKUP(C1019, Tbl_ColorMap[],2,false) &amp; ")"</f>
        <v>6647100 - Unset (Red)</v>
      </c>
      <c r="E1019" s="23"/>
      <c r="L1019" s="23"/>
    </row>
    <row r="1020">
      <c r="A1020" s="19">
        <v>6647200.0</v>
      </c>
      <c r="B1020" s="19" t="s">
        <v>182</v>
      </c>
      <c r="C1020" s="19">
        <v>0.0</v>
      </c>
      <c r="D1020" s="19" t="str">
        <f>A1020 &amp; " - " &amp; B1020 &amp; " (" &amp; VLOOKUP(C1020, Tbl_ColorMap[],2,false) &amp; ")"</f>
        <v>6647200 - Unset (Red)</v>
      </c>
      <c r="E1020" s="23"/>
      <c r="L1020" s="23"/>
    </row>
    <row r="1021">
      <c r="A1021" s="19">
        <v>6647300.0</v>
      </c>
      <c r="B1021" s="19" t="s">
        <v>182</v>
      </c>
      <c r="C1021" s="19">
        <v>0.0</v>
      </c>
      <c r="D1021" s="19" t="str">
        <f>A1021 &amp; " - " &amp; B1021 &amp; " (" &amp; VLOOKUP(C1021, Tbl_ColorMap[],2,false) &amp; ")"</f>
        <v>6647300 - Unset (Red)</v>
      </c>
      <c r="E1021" s="23"/>
      <c r="L1021" s="23"/>
    </row>
    <row r="1022">
      <c r="A1022" s="19">
        <v>6647400.0</v>
      </c>
      <c r="B1022" s="19" t="s">
        <v>182</v>
      </c>
      <c r="C1022" s="19">
        <v>0.0</v>
      </c>
      <c r="D1022" s="19" t="str">
        <f>A1022 &amp; " - " &amp; B1022 &amp; " (" &amp; VLOOKUP(C1022, Tbl_ColorMap[],2,false) &amp; ")"</f>
        <v>6647400 - Unset (Red)</v>
      </c>
      <c r="E1022" s="23"/>
      <c r="L1022" s="23"/>
    </row>
    <row r="1023">
      <c r="A1023" s="19">
        <v>6647500.0</v>
      </c>
      <c r="B1023" s="19" t="s">
        <v>182</v>
      </c>
      <c r="C1023" s="19">
        <v>0.0</v>
      </c>
      <c r="D1023" s="19" t="str">
        <f>A1023 &amp; " - " &amp; B1023 &amp; " (" &amp; VLOOKUP(C1023, Tbl_ColorMap[],2,false) &amp; ")"</f>
        <v>6647500 - Unset (Red)</v>
      </c>
      <c r="E1023" s="23"/>
      <c r="L1023" s="23"/>
    </row>
    <row r="1024">
      <c r="A1024" s="19">
        <v>6820000.0</v>
      </c>
      <c r="B1024" s="19" t="s">
        <v>182</v>
      </c>
      <c r="C1024" s="19">
        <v>0.0</v>
      </c>
      <c r="D1024" s="19" t="str">
        <f>A1024 &amp; " - " &amp; B1024 &amp; " (" &amp; VLOOKUP(C1024, Tbl_ColorMap[],2,false) &amp; ")"</f>
        <v>6820000 - Unset (Red)</v>
      </c>
      <c r="E1024" s="23"/>
      <c r="L1024" s="23"/>
    </row>
    <row r="1025">
      <c r="A1025" s="19">
        <v>6820100.0</v>
      </c>
      <c r="B1025" s="19" t="s">
        <v>182</v>
      </c>
      <c r="C1025" s="19">
        <v>0.0</v>
      </c>
      <c r="D1025" s="19" t="str">
        <f>A1025 &amp; " - " &amp; B1025 &amp; " (" &amp; VLOOKUP(C1025, Tbl_ColorMap[],2,false) &amp; ")"</f>
        <v>6820100 - Unset (Red)</v>
      </c>
      <c r="E1025" s="23"/>
      <c r="L1025" s="23"/>
    </row>
    <row r="1026">
      <c r="A1026" s="19">
        <v>6820200.0</v>
      </c>
      <c r="B1026" s="19" t="s">
        <v>182</v>
      </c>
      <c r="C1026" s="19">
        <v>0.0</v>
      </c>
      <c r="D1026" s="19" t="str">
        <f>A1026 &amp; " - " &amp; B1026 &amp; " (" &amp; VLOOKUP(C1026, Tbl_ColorMap[],2,false) &amp; ")"</f>
        <v>6820200 - Unset (Red)</v>
      </c>
      <c r="E1026" s="23"/>
      <c r="L1026" s="23"/>
    </row>
    <row r="1027">
      <c r="A1027" s="19">
        <v>6820300.0</v>
      </c>
      <c r="B1027" s="19" t="s">
        <v>182</v>
      </c>
      <c r="C1027" s="19">
        <v>0.0</v>
      </c>
      <c r="D1027" s="19" t="str">
        <f>A1027 &amp; " - " &amp; B1027 &amp; " (" &amp; VLOOKUP(C1027, Tbl_ColorMap[],2,false) &amp; ")"</f>
        <v>6820300 - Unset (Red)</v>
      </c>
      <c r="E1027" s="23"/>
      <c r="L1027" s="23"/>
    </row>
    <row r="1028">
      <c r="A1028" s="19">
        <v>6820400.0</v>
      </c>
      <c r="B1028" s="19" t="s">
        <v>182</v>
      </c>
      <c r="C1028" s="19">
        <v>0.0</v>
      </c>
      <c r="D1028" s="19" t="str">
        <f>A1028 &amp; " - " &amp; B1028 &amp; " (" &amp; VLOOKUP(C1028, Tbl_ColorMap[],2,false) &amp; ")"</f>
        <v>6820400 - Unset (Red)</v>
      </c>
      <c r="E1028" s="23"/>
      <c r="L1028" s="23"/>
    </row>
    <row r="1029">
      <c r="A1029" s="19">
        <v>6820500.0</v>
      </c>
      <c r="B1029" s="19" t="s">
        <v>182</v>
      </c>
      <c r="C1029" s="19">
        <v>0.0</v>
      </c>
      <c r="D1029" s="19" t="str">
        <f>A1029 &amp; " - " &amp; B1029 &amp; " (" &amp; VLOOKUP(C1029, Tbl_ColorMap[],2,false) &amp; ")"</f>
        <v>6820500 - Unset (Red)</v>
      </c>
      <c r="E1029" s="23"/>
      <c r="L1029" s="23"/>
    </row>
    <row r="1030">
      <c r="A1030" s="19">
        <v>6820600.0</v>
      </c>
      <c r="B1030" s="19" t="s">
        <v>182</v>
      </c>
      <c r="C1030" s="19">
        <v>0.0</v>
      </c>
      <c r="D1030" s="19" t="str">
        <f>A1030 &amp; " - " &amp; B1030 &amp; " (" &amp; VLOOKUP(C1030, Tbl_ColorMap[],2,false) &amp; ")"</f>
        <v>6820600 - Unset (Red)</v>
      </c>
      <c r="E1030" s="23"/>
      <c r="L1030" s="23"/>
    </row>
    <row r="1031">
      <c r="A1031" s="19">
        <v>6830000.0</v>
      </c>
      <c r="B1031" s="19" t="s">
        <v>182</v>
      </c>
      <c r="C1031" s="19">
        <v>0.0</v>
      </c>
      <c r="D1031" s="19" t="str">
        <f>A1031 &amp; " - " &amp; B1031 &amp; " (" &amp; VLOOKUP(C1031, Tbl_ColorMap[],2,false) &amp; ")"</f>
        <v>6830000 - Unset (Red)</v>
      </c>
      <c r="E1031" s="23"/>
      <c r="L1031" s="23"/>
    </row>
    <row r="1032">
      <c r="A1032" s="19">
        <v>6830100.0</v>
      </c>
      <c r="B1032" s="19" t="s">
        <v>182</v>
      </c>
      <c r="C1032" s="19">
        <v>0.0</v>
      </c>
      <c r="D1032" s="19" t="str">
        <f>A1032 &amp; " - " &amp; B1032 &amp; " (" &amp; VLOOKUP(C1032, Tbl_ColorMap[],2,false) &amp; ")"</f>
        <v>6830100 - Unset (Red)</v>
      </c>
      <c r="E1032" s="23"/>
      <c r="L1032" s="23"/>
    </row>
    <row r="1033">
      <c r="A1033" s="19">
        <v>6830200.0</v>
      </c>
      <c r="B1033" s="19" t="s">
        <v>182</v>
      </c>
      <c r="C1033" s="19">
        <v>0.0</v>
      </c>
      <c r="D1033" s="19" t="str">
        <f>A1033 &amp; " - " &amp; B1033 &amp; " (" &amp; VLOOKUP(C1033, Tbl_ColorMap[],2,false) &amp; ")"</f>
        <v>6830200 - Unset (Red)</v>
      </c>
      <c r="E1033" s="23"/>
      <c r="L1033" s="23"/>
    </row>
    <row r="1034">
      <c r="A1034" s="19">
        <v>6830300.0</v>
      </c>
      <c r="B1034" s="19" t="s">
        <v>182</v>
      </c>
      <c r="C1034" s="19">
        <v>0.0</v>
      </c>
      <c r="D1034" s="19" t="str">
        <f>A1034 &amp; " - " &amp; B1034 &amp; " (" &amp; VLOOKUP(C1034, Tbl_ColorMap[],2,false) &amp; ")"</f>
        <v>6830300 - Unset (Red)</v>
      </c>
      <c r="E1034" s="23"/>
      <c r="L1034" s="23"/>
    </row>
    <row r="1035">
      <c r="A1035" s="19">
        <v>6830400.0</v>
      </c>
      <c r="B1035" s="19" t="s">
        <v>182</v>
      </c>
      <c r="C1035" s="19">
        <v>0.0</v>
      </c>
      <c r="D1035" s="19" t="str">
        <f>A1035 &amp; " - " &amp; B1035 &amp; " (" &amp; VLOOKUP(C1035, Tbl_ColorMap[],2,false) &amp; ")"</f>
        <v>6830400 - Unset (Red)</v>
      </c>
      <c r="E1035" s="23"/>
      <c r="L1035" s="23"/>
    </row>
    <row r="1036">
      <c r="A1036" s="19">
        <v>6840000.0</v>
      </c>
      <c r="B1036" s="19" t="s">
        <v>182</v>
      </c>
      <c r="C1036" s="19">
        <v>0.0</v>
      </c>
      <c r="D1036" s="19" t="str">
        <f>A1036 &amp; " - " &amp; B1036 &amp; " (" &amp; VLOOKUP(C1036, Tbl_ColorMap[],2,false) &amp; ")"</f>
        <v>6840000 - Unset (Red)</v>
      </c>
      <c r="E1036" s="23"/>
      <c r="L1036" s="23"/>
    </row>
    <row r="1037">
      <c r="A1037" s="19">
        <v>6840100.0</v>
      </c>
      <c r="B1037" s="19" t="s">
        <v>182</v>
      </c>
      <c r="C1037" s="19">
        <v>0.0</v>
      </c>
      <c r="D1037" s="19" t="str">
        <f>A1037 &amp; " - " &amp; B1037 &amp; " (" &amp; VLOOKUP(C1037, Tbl_ColorMap[],2,false) &amp; ")"</f>
        <v>6840100 - Unset (Red)</v>
      </c>
      <c r="E1037" s="23"/>
      <c r="L1037" s="23"/>
    </row>
    <row r="1038">
      <c r="A1038" s="19">
        <v>6840200.0</v>
      </c>
      <c r="B1038" s="19" t="s">
        <v>182</v>
      </c>
      <c r="C1038" s="19">
        <v>0.0</v>
      </c>
      <c r="D1038" s="19" t="str">
        <f>A1038 &amp; " - " &amp; B1038 &amp; " (" &amp; VLOOKUP(C1038, Tbl_ColorMap[],2,false) &amp; ")"</f>
        <v>6840200 - Unset (Red)</v>
      </c>
      <c r="E1038" s="23"/>
      <c r="L1038" s="23"/>
    </row>
    <row r="1039">
      <c r="A1039" s="19">
        <v>6850200.0</v>
      </c>
      <c r="B1039" s="19" t="s">
        <v>182</v>
      </c>
      <c r="C1039" s="19">
        <v>0.0</v>
      </c>
      <c r="D1039" s="19" t="str">
        <f>A1039 &amp; " - " &amp; B1039 &amp; " (" &amp; VLOOKUP(C1039, Tbl_ColorMap[],2,false) &amp; ")"</f>
        <v>6850200 - Unset (Red)</v>
      </c>
      <c r="E1039" s="23"/>
      <c r="L1039" s="23"/>
    </row>
    <row r="1040">
      <c r="A1040" s="19">
        <v>6850500.0</v>
      </c>
      <c r="B1040" s="19" t="s">
        <v>182</v>
      </c>
      <c r="C1040" s="19">
        <v>0.0</v>
      </c>
      <c r="D1040" s="19" t="str">
        <f>A1040 &amp; " - " &amp; B1040 &amp; " (" &amp; VLOOKUP(C1040, Tbl_ColorMap[],2,false) &amp; ")"</f>
        <v>6850500 - Unset (Red)</v>
      </c>
      <c r="E1040" s="23"/>
      <c r="L1040" s="23"/>
    </row>
    <row r="1041">
      <c r="A1041" s="19">
        <v>6850700.0</v>
      </c>
      <c r="B1041" s="19" t="s">
        <v>182</v>
      </c>
      <c r="C1041" s="19">
        <v>0.0</v>
      </c>
      <c r="D1041" s="19" t="str">
        <f>A1041 &amp; " - " &amp; B1041 &amp; " (" &amp; VLOOKUP(C1041, Tbl_ColorMap[],2,false) &amp; ")"</f>
        <v>6850700 - Unset (Red)</v>
      </c>
      <c r="E1041" s="23"/>
      <c r="L1041" s="23"/>
    </row>
    <row r="1042">
      <c r="A1042" s="19">
        <v>6850800.0</v>
      </c>
      <c r="B1042" s="19" t="s">
        <v>182</v>
      </c>
      <c r="C1042" s="19">
        <v>0.0</v>
      </c>
      <c r="D1042" s="19" t="str">
        <f>A1042 &amp; " - " &amp; B1042 &amp; " (" &amp; VLOOKUP(C1042, Tbl_ColorMap[],2,false) &amp; ")"</f>
        <v>6850800 - Unset (Red)</v>
      </c>
      <c r="E1042" s="23"/>
      <c r="L1042" s="23"/>
    </row>
    <row r="1043">
      <c r="A1043" s="19">
        <v>6850900.0</v>
      </c>
      <c r="B1043" s="19" t="s">
        <v>182</v>
      </c>
      <c r="C1043" s="19">
        <v>0.0</v>
      </c>
      <c r="D1043" s="19" t="str">
        <f>A1043 &amp; " - " &amp; B1043 &amp; " (" &amp; VLOOKUP(C1043, Tbl_ColorMap[],2,false) &amp; ")"</f>
        <v>6850900 - Unset (Red)</v>
      </c>
      <c r="E1043" s="23"/>
      <c r="L1043" s="23"/>
    </row>
    <row r="1044">
      <c r="A1044" s="19">
        <v>6851200.0</v>
      </c>
      <c r="B1044" s="19" t="s">
        <v>182</v>
      </c>
      <c r="C1044" s="19">
        <v>0.0</v>
      </c>
      <c r="D1044" s="19" t="str">
        <f>A1044 &amp; " - " &amp; B1044 &amp; " (" &amp; VLOOKUP(C1044, Tbl_ColorMap[],2,false) &amp; ")"</f>
        <v>6851200 - Unset (Red)</v>
      </c>
      <c r="E1044" s="23"/>
      <c r="L1044" s="23"/>
    </row>
    <row r="1045">
      <c r="A1045" s="19">
        <v>6851300.0</v>
      </c>
      <c r="B1045" s="19" t="s">
        <v>182</v>
      </c>
      <c r="C1045" s="19">
        <v>0.0</v>
      </c>
      <c r="D1045" s="19" t="str">
        <f>A1045 &amp; " - " &amp; B1045 &amp; " (" &amp; VLOOKUP(C1045, Tbl_ColorMap[],2,false) &amp; ")"</f>
        <v>6851300 - Unset (Red)</v>
      </c>
      <c r="E1045" s="23"/>
      <c r="L1045" s="23"/>
    </row>
    <row r="1046">
      <c r="A1046" s="19">
        <v>6851400.0</v>
      </c>
      <c r="B1046" s="19" t="s">
        <v>182</v>
      </c>
      <c r="C1046" s="19">
        <v>0.0</v>
      </c>
      <c r="D1046" s="19" t="str">
        <f>A1046 &amp; " - " &amp; B1046 &amp; " (" &amp; VLOOKUP(C1046, Tbl_ColorMap[],2,false) &amp; ")"</f>
        <v>6851400 - Unset (Red)</v>
      </c>
      <c r="E1046" s="23"/>
      <c r="L1046" s="23"/>
    </row>
    <row r="1047">
      <c r="A1047" s="19">
        <v>6851700.0</v>
      </c>
      <c r="B1047" s="19" t="s">
        <v>182</v>
      </c>
      <c r="C1047" s="19">
        <v>0.0</v>
      </c>
      <c r="D1047" s="19" t="str">
        <f>A1047 &amp; " - " &amp; B1047 &amp; " (" &amp; VLOOKUP(C1047, Tbl_ColorMap[],2,false) &amp; ")"</f>
        <v>6851700 - Unset (Red)</v>
      </c>
      <c r="E1047" s="23"/>
      <c r="L1047" s="23"/>
    </row>
    <row r="1048">
      <c r="A1048" s="19">
        <v>7000000.0</v>
      </c>
      <c r="B1048" s="19" t="s">
        <v>182</v>
      </c>
      <c r="C1048" s="19">
        <v>0.0</v>
      </c>
      <c r="D1048" s="19" t="str">
        <f>A1048 &amp; " - " &amp; B1048 &amp; " (" &amp; VLOOKUP(C1048, Tbl_ColorMap[],2,false) &amp; ")"</f>
        <v>7000000 - Unset (Red)</v>
      </c>
      <c r="E1048" s="23"/>
      <c r="L1048" s="23"/>
    </row>
    <row r="1049">
      <c r="A1049" s="19">
        <v>7000001.0</v>
      </c>
      <c r="B1049" s="19" t="s">
        <v>182</v>
      </c>
      <c r="C1049" s="19">
        <v>0.0</v>
      </c>
      <c r="D1049" s="19" t="str">
        <f>A1049 &amp; " - " &amp; B1049 &amp; " (" &amp; VLOOKUP(C1049, Tbl_ColorMap[],2,false) &amp; ")"</f>
        <v>7000001 - Unset (Red)</v>
      </c>
      <c r="E1049" s="23"/>
      <c r="L1049" s="23"/>
    </row>
    <row r="1050">
      <c r="A1050" s="19">
        <v>7000002.0</v>
      </c>
      <c r="B1050" s="19" t="s">
        <v>182</v>
      </c>
      <c r="C1050" s="19">
        <v>0.0</v>
      </c>
      <c r="D1050" s="19" t="str">
        <f>A1050 &amp; " - " &amp; B1050 &amp; " (" &amp; VLOOKUP(C1050, Tbl_ColorMap[],2,false) &amp; ")"</f>
        <v>7000002 - Unset (Red)</v>
      </c>
      <c r="E1050" s="23"/>
      <c r="L1050" s="23"/>
    </row>
    <row r="1051">
      <c r="A1051" s="19">
        <v>7000090.0</v>
      </c>
      <c r="B1051" s="19" t="s">
        <v>182</v>
      </c>
      <c r="C1051" s="19">
        <v>0.0</v>
      </c>
      <c r="D1051" s="19" t="str">
        <f>A1051 &amp; " - " &amp; B1051 &amp; " (" &amp; VLOOKUP(C1051, Tbl_ColorMap[],2,false) &amp; ")"</f>
        <v>7000090 - Unset (Red)</v>
      </c>
      <c r="E1051" s="23"/>
      <c r="L1051" s="23"/>
    </row>
    <row r="1052">
      <c r="A1052" s="19">
        <v>7000100.0</v>
      </c>
      <c r="B1052" s="19" t="s">
        <v>182</v>
      </c>
      <c r="C1052" s="19">
        <v>0.0</v>
      </c>
      <c r="D1052" s="19" t="str">
        <f>A1052 &amp; " - " &amp; B1052 &amp; " (" &amp; VLOOKUP(C1052, Tbl_ColorMap[],2,false) &amp; ")"</f>
        <v>7000100 - Unset (Red)</v>
      </c>
      <c r="E1052" s="23"/>
      <c r="L1052" s="23"/>
    </row>
    <row r="1053">
      <c r="A1053" s="19">
        <v>7000101.0</v>
      </c>
      <c r="B1053" s="19" t="s">
        <v>182</v>
      </c>
      <c r="C1053" s="19">
        <v>0.0</v>
      </c>
      <c r="D1053" s="19" t="str">
        <f>A1053 &amp; " - " &amp; B1053 &amp; " (" &amp; VLOOKUP(C1053, Tbl_ColorMap[],2,false) &amp; ")"</f>
        <v>7000101 - Unset (Red)</v>
      </c>
      <c r="E1053" s="23"/>
      <c r="L1053" s="23"/>
    </row>
    <row r="1054">
      <c r="A1054" s="19">
        <v>7000102.0</v>
      </c>
      <c r="B1054" s="19" t="s">
        <v>182</v>
      </c>
      <c r="C1054" s="19">
        <v>0.0</v>
      </c>
      <c r="D1054" s="19" t="str">
        <f>A1054 &amp; " - " &amp; B1054 &amp; " (" &amp; VLOOKUP(C1054, Tbl_ColorMap[],2,false) &amp; ")"</f>
        <v>7000102 - Unset (Red)</v>
      </c>
      <c r="E1054" s="23"/>
      <c r="L1054" s="23"/>
    </row>
    <row r="1055">
      <c r="A1055" s="19">
        <v>7000190.0</v>
      </c>
      <c r="B1055" s="19" t="s">
        <v>182</v>
      </c>
      <c r="C1055" s="19">
        <v>0.0</v>
      </c>
      <c r="D1055" s="19" t="str">
        <f>A1055 &amp; " - " &amp; B1055 &amp; " (" &amp; VLOOKUP(C1055, Tbl_ColorMap[],2,false) &amp; ")"</f>
        <v>7000190 - Unset (Red)</v>
      </c>
      <c r="E1055" s="23"/>
      <c r="L1055" s="23"/>
    </row>
    <row r="1056">
      <c r="A1056" s="19">
        <v>7000200.0</v>
      </c>
      <c r="B1056" s="19" t="s">
        <v>182</v>
      </c>
      <c r="C1056" s="19">
        <v>0.0</v>
      </c>
      <c r="D1056" s="19" t="str">
        <f>A1056 &amp; " - " &amp; B1056 &amp; " (" &amp; VLOOKUP(C1056, Tbl_ColorMap[],2,false) &amp; ")"</f>
        <v>7000200 - Unset (Red)</v>
      </c>
      <c r="E1056" s="23"/>
      <c r="L1056" s="23"/>
    </row>
    <row r="1057">
      <c r="A1057" s="19">
        <v>7000201.0</v>
      </c>
      <c r="B1057" s="19" t="s">
        <v>182</v>
      </c>
      <c r="C1057" s="19">
        <v>0.0</v>
      </c>
      <c r="D1057" s="19" t="str">
        <f>A1057 &amp; " - " &amp; B1057 &amp; " (" &amp; VLOOKUP(C1057, Tbl_ColorMap[],2,false) &amp; ")"</f>
        <v>7000201 - Unset (Red)</v>
      </c>
      <c r="E1057" s="23"/>
      <c r="L1057" s="23"/>
    </row>
    <row r="1058">
      <c r="A1058" s="19">
        <v>7000202.0</v>
      </c>
      <c r="B1058" s="19" t="s">
        <v>182</v>
      </c>
      <c r="C1058" s="19">
        <v>0.0</v>
      </c>
      <c r="D1058" s="19" t="str">
        <f>A1058 &amp; " - " &amp; B1058 &amp; " (" &amp; VLOOKUP(C1058, Tbl_ColorMap[],2,false) &amp; ")"</f>
        <v>7000202 - Unset (Red)</v>
      </c>
      <c r="E1058" s="23"/>
      <c r="L1058" s="23"/>
    </row>
    <row r="1059">
      <c r="A1059" s="19">
        <v>7000290.0</v>
      </c>
      <c r="B1059" s="19" t="s">
        <v>182</v>
      </c>
      <c r="C1059" s="19">
        <v>0.0</v>
      </c>
      <c r="D1059" s="19" t="str">
        <f>A1059 &amp; " - " &amp; B1059 &amp; " (" &amp; VLOOKUP(C1059, Tbl_ColorMap[],2,false) &amp; ")"</f>
        <v>7000290 - Unset (Red)</v>
      </c>
      <c r="E1059" s="23"/>
      <c r="L1059" s="23"/>
    </row>
    <row r="1060">
      <c r="A1060" s="19">
        <v>7000300.0</v>
      </c>
      <c r="B1060" s="19" t="s">
        <v>182</v>
      </c>
      <c r="C1060" s="19">
        <v>0.0</v>
      </c>
      <c r="D1060" s="19" t="str">
        <f>A1060 &amp; " - " &amp; B1060 &amp; " (" &amp; VLOOKUP(C1060, Tbl_ColorMap[],2,false) &amp; ")"</f>
        <v>7000300 - Unset (Red)</v>
      </c>
      <c r="E1060" s="23"/>
      <c r="L1060" s="23"/>
    </row>
    <row r="1061">
      <c r="A1061" s="19">
        <v>7000301.0</v>
      </c>
      <c r="B1061" s="19" t="s">
        <v>182</v>
      </c>
      <c r="C1061" s="19">
        <v>0.0</v>
      </c>
      <c r="D1061" s="19" t="str">
        <f>A1061 &amp; " - " &amp; B1061 &amp; " (" &amp; VLOOKUP(C1061, Tbl_ColorMap[],2,false) &amp; ")"</f>
        <v>7000301 - Unset (Red)</v>
      </c>
      <c r="E1061" s="23"/>
      <c r="L1061" s="23"/>
    </row>
    <row r="1062">
      <c r="A1062" s="19">
        <v>7000302.0</v>
      </c>
      <c r="B1062" s="19" t="s">
        <v>182</v>
      </c>
      <c r="C1062" s="19">
        <v>0.0</v>
      </c>
      <c r="D1062" s="19" t="str">
        <f>A1062 &amp; " - " &amp; B1062 &amp; " (" &amp; VLOOKUP(C1062, Tbl_ColorMap[],2,false) &amp; ")"</f>
        <v>7000302 - Unset (Red)</v>
      </c>
      <c r="E1062" s="23"/>
      <c r="L1062" s="23"/>
    </row>
    <row r="1063">
      <c r="A1063" s="19">
        <v>7000400.0</v>
      </c>
      <c r="B1063" s="19" t="s">
        <v>182</v>
      </c>
      <c r="C1063" s="19">
        <v>0.0</v>
      </c>
      <c r="D1063" s="19" t="str">
        <f>A1063 &amp; " - " &amp; B1063 &amp; " (" &amp; VLOOKUP(C1063, Tbl_ColorMap[],2,false) &amp; ")"</f>
        <v>7000400 - Unset (Red)</v>
      </c>
      <c r="E1063" s="23"/>
      <c r="L1063" s="23"/>
    </row>
    <row r="1064">
      <c r="A1064" s="19">
        <v>7000401.0</v>
      </c>
      <c r="B1064" s="19" t="s">
        <v>182</v>
      </c>
      <c r="C1064" s="19">
        <v>0.0</v>
      </c>
      <c r="D1064" s="19" t="str">
        <f>A1064 &amp; " - " &amp; B1064 &amp; " (" &amp; VLOOKUP(C1064, Tbl_ColorMap[],2,false) &amp; ")"</f>
        <v>7000401 - Unset (Red)</v>
      </c>
      <c r="E1064" s="23"/>
      <c r="L1064" s="23"/>
    </row>
    <row r="1065">
      <c r="A1065" s="19">
        <v>7000402.0</v>
      </c>
      <c r="B1065" s="19" t="s">
        <v>182</v>
      </c>
      <c r="C1065" s="19">
        <v>0.0</v>
      </c>
      <c r="D1065" s="19" t="str">
        <f>A1065 &amp; " - " &amp; B1065 &amp; " (" &amp; VLOOKUP(C1065, Tbl_ColorMap[],2,false) &amp; ")"</f>
        <v>7000402 - Unset (Red)</v>
      </c>
      <c r="E1065" s="23"/>
      <c r="L1065" s="23"/>
    </row>
    <row r="1066">
      <c r="A1066" s="19">
        <v>7000500.0</v>
      </c>
      <c r="B1066" s="19" t="s">
        <v>182</v>
      </c>
      <c r="C1066" s="19">
        <v>0.0</v>
      </c>
      <c r="D1066" s="19" t="str">
        <f>A1066 &amp; " - " &amp; B1066 &amp; " (" &amp; VLOOKUP(C1066, Tbl_ColorMap[],2,false) &amp; ")"</f>
        <v>7000500 - Unset (Red)</v>
      </c>
      <c r="E1066" s="23"/>
      <c r="L1066" s="23"/>
    </row>
    <row r="1067">
      <c r="A1067" s="19">
        <v>7000501.0</v>
      </c>
      <c r="B1067" s="19" t="s">
        <v>182</v>
      </c>
      <c r="C1067" s="19">
        <v>0.0</v>
      </c>
      <c r="D1067" s="19" t="str">
        <f>A1067 &amp; " - " &amp; B1067 &amp; " (" &amp; VLOOKUP(C1067, Tbl_ColorMap[],2,false) &amp; ")"</f>
        <v>7000501 - Unset (Red)</v>
      </c>
      <c r="E1067" s="23"/>
      <c r="L1067" s="23"/>
    </row>
    <row r="1068">
      <c r="A1068" s="19">
        <v>7000502.0</v>
      </c>
      <c r="B1068" s="19" t="s">
        <v>182</v>
      </c>
      <c r="C1068" s="19">
        <v>0.0</v>
      </c>
      <c r="D1068" s="19" t="str">
        <f>A1068 &amp; " - " &amp; B1068 &amp; " (" &amp; VLOOKUP(C1068, Tbl_ColorMap[],2,false) &amp; ")"</f>
        <v>7000502 - Unset (Red)</v>
      </c>
      <c r="E1068" s="23"/>
      <c r="L1068" s="23"/>
    </row>
    <row r="1069">
      <c r="A1069" s="19">
        <v>7000600.0</v>
      </c>
      <c r="B1069" s="19" t="s">
        <v>182</v>
      </c>
      <c r="C1069" s="19">
        <v>0.0</v>
      </c>
      <c r="D1069" s="19" t="str">
        <f>A1069 &amp; " - " &amp; B1069 &amp; " (" &amp; VLOOKUP(C1069, Tbl_ColorMap[],2,false) &amp; ")"</f>
        <v>7000600 - Unset (Red)</v>
      </c>
      <c r="E1069" s="23"/>
      <c r="L1069" s="23"/>
    </row>
    <row r="1070">
      <c r="A1070" s="19">
        <v>7000601.0</v>
      </c>
      <c r="B1070" s="19" t="s">
        <v>182</v>
      </c>
      <c r="C1070" s="19">
        <v>0.0</v>
      </c>
      <c r="D1070" s="19" t="str">
        <f>A1070 &amp; " - " &amp; B1070 &amp; " (" &amp; VLOOKUP(C1070, Tbl_ColorMap[],2,false) &amp; ")"</f>
        <v>7000601 - Unset (Red)</v>
      </c>
      <c r="E1070" s="23"/>
      <c r="L1070" s="23"/>
    </row>
    <row r="1071">
      <c r="A1071" s="19">
        <v>7000602.0</v>
      </c>
      <c r="B1071" s="19" t="s">
        <v>182</v>
      </c>
      <c r="C1071" s="19">
        <v>0.0</v>
      </c>
      <c r="D1071" s="19" t="str">
        <f>A1071 &amp; " - " &amp; B1071 &amp; " (" &amp; VLOOKUP(C1071, Tbl_ColorMap[],2,false) &amp; ")"</f>
        <v>7000602 - Unset (Red)</v>
      </c>
      <c r="E1071" s="23"/>
      <c r="L1071" s="23"/>
    </row>
    <row r="1072">
      <c r="A1072" s="19">
        <v>7000700.0</v>
      </c>
      <c r="B1072" s="19" t="s">
        <v>182</v>
      </c>
      <c r="C1072" s="19">
        <v>0.0</v>
      </c>
      <c r="D1072" s="19" t="str">
        <f>A1072 &amp; " - " &amp; B1072 &amp; " (" &amp; VLOOKUP(C1072, Tbl_ColorMap[],2,false) &amp; ")"</f>
        <v>7000700 - Unset (Red)</v>
      </c>
      <c r="E1072" s="23"/>
      <c r="L1072" s="23"/>
    </row>
    <row r="1073">
      <c r="A1073" s="19">
        <v>7000701.0</v>
      </c>
      <c r="B1073" s="19" t="s">
        <v>182</v>
      </c>
      <c r="C1073" s="19">
        <v>0.0</v>
      </c>
      <c r="D1073" s="19" t="str">
        <f>A1073 &amp; " - " &amp; B1073 &amp; " (" &amp; VLOOKUP(C1073, Tbl_ColorMap[],2,false) &amp; ")"</f>
        <v>7000701 - Unset (Red)</v>
      </c>
      <c r="E1073" s="23"/>
      <c r="L1073" s="23"/>
    </row>
    <row r="1074">
      <c r="A1074" s="19">
        <v>7000702.0</v>
      </c>
      <c r="B1074" s="19" t="s">
        <v>182</v>
      </c>
      <c r="C1074" s="19">
        <v>0.0</v>
      </c>
      <c r="D1074" s="19" t="str">
        <f>A1074 &amp; " - " &amp; B1074 &amp; " (" &amp; VLOOKUP(C1074, Tbl_ColorMap[],2,false) &amp; ")"</f>
        <v>7000702 - Unset (Red)</v>
      </c>
      <c r="E1074" s="23"/>
      <c r="L1074" s="23"/>
    </row>
    <row r="1075">
      <c r="A1075" s="19">
        <v>7000800.0</v>
      </c>
      <c r="B1075" s="19" t="s">
        <v>182</v>
      </c>
      <c r="C1075" s="19">
        <v>0.0</v>
      </c>
      <c r="D1075" s="19" t="str">
        <f>A1075 &amp; " - " &amp; B1075 &amp; " (" &amp; VLOOKUP(C1075, Tbl_ColorMap[],2,false) &amp; ")"</f>
        <v>7000800 - Unset (Red)</v>
      </c>
      <c r="E1075" s="23"/>
      <c r="L1075" s="23"/>
    </row>
    <row r="1076">
      <c r="A1076" s="19">
        <v>7000801.0</v>
      </c>
      <c r="B1076" s="19" t="s">
        <v>182</v>
      </c>
      <c r="C1076" s="19">
        <v>0.0</v>
      </c>
      <c r="D1076" s="19" t="str">
        <f>A1076 &amp; " - " &amp; B1076 &amp; " (" &amp; VLOOKUP(C1076, Tbl_ColorMap[],2,false) &amp; ")"</f>
        <v>7000801 - Unset (Red)</v>
      </c>
      <c r="E1076" s="23"/>
      <c r="L1076" s="23"/>
    </row>
    <row r="1077">
      <c r="A1077" s="19">
        <v>7000802.0</v>
      </c>
      <c r="B1077" s="19" t="s">
        <v>182</v>
      </c>
      <c r="C1077" s="19">
        <v>0.0</v>
      </c>
      <c r="D1077" s="19" t="str">
        <f>A1077 &amp; " - " &amp; B1077 &amp; " (" &amp; VLOOKUP(C1077, Tbl_ColorMap[],2,false) &amp; ")"</f>
        <v>7000802 - Unset (Red)</v>
      </c>
      <c r="E1077" s="23"/>
      <c r="L1077" s="23"/>
    </row>
    <row r="1078">
      <c r="A1078" s="19">
        <v>7000900.0</v>
      </c>
      <c r="B1078" s="19" t="s">
        <v>182</v>
      </c>
      <c r="C1078" s="19">
        <v>0.0</v>
      </c>
      <c r="D1078" s="19" t="str">
        <f>A1078 &amp; " - " &amp; B1078 &amp; " (" &amp; VLOOKUP(C1078, Tbl_ColorMap[],2,false) &amp; ")"</f>
        <v>7000900 - Unset (Red)</v>
      </c>
      <c r="E1078" s="23"/>
      <c r="L1078" s="23"/>
    </row>
    <row r="1079">
      <c r="A1079" s="19">
        <v>7000901.0</v>
      </c>
      <c r="B1079" s="19" t="s">
        <v>182</v>
      </c>
      <c r="C1079" s="19">
        <v>0.0</v>
      </c>
      <c r="D1079" s="19" t="str">
        <f>A1079 &amp; " - " &amp; B1079 &amp; " (" &amp; VLOOKUP(C1079, Tbl_ColorMap[],2,false) &amp; ")"</f>
        <v>7000901 - Unset (Red)</v>
      </c>
      <c r="E1079" s="23"/>
      <c r="L1079" s="23"/>
    </row>
    <row r="1080">
      <c r="A1080" s="19">
        <v>7000902.0</v>
      </c>
      <c r="B1080" s="19" t="s">
        <v>182</v>
      </c>
      <c r="C1080" s="19">
        <v>0.0</v>
      </c>
      <c r="D1080" s="19" t="str">
        <f>A1080 &amp; " - " &amp; B1080 &amp; " (" &amp; VLOOKUP(C1080, Tbl_ColorMap[],2,false) &amp; ")"</f>
        <v>7000902 - Unset (Red)</v>
      </c>
      <c r="E1080" s="23"/>
      <c r="L1080" s="23"/>
    </row>
    <row r="1081">
      <c r="A1081" s="19">
        <v>7001000.0</v>
      </c>
      <c r="B1081" s="19" t="s">
        <v>182</v>
      </c>
      <c r="C1081" s="19">
        <v>0.0</v>
      </c>
      <c r="D1081" s="19" t="str">
        <f>A1081 &amp; " - " &amp; B1081 &amp; " (" &amp; VLOOKUP(C1081, Tbl_ColorMap[],2,false) &amp; ")"</f>
        <v>7001000 - Unset (Red)</v>
      </c>
      <c r="E1081" s="23"/>
      <c r="L1081" s="23"/>
    </row>
    <row r="1082">
      <c r="A1082" s="19">
        <v>7001001.0</v>
      </c>
      <c r="B1082" s="19" t="s">
        <v>182</v>
      </c>
      <c r="C1082" s="19">
        <v>0.0</v>
      </c>
      <c r="D1082" s="19" t="str">
        <f>A1082 &amp; " - " &amp; B1082 &amp; " (" &amp; VLOOKUP(C1082, Tbl_ColorMap[],2,false) &amp; ")"</f>
        <v>7001001 - Unset (Red)</v>
      </c>
      <c r="E1082" s="23"/>
      <c r="L1082" s="23"/>
    </row>
    <row r="1083">
      <c r="A1083" s="19">
        <v>7001002.0</v>
      </c>
      <c r="B1083" s="19" t="s">
        <v>182</v>
      </c>
      <c r="C1083" s="19">
        <v>0.0</v>
      </c>
      <c r="D1083" s="19" t="str">
        <f>A1083 &amp; " - " &amp; B1083 &amp; " (" &amp; VLOOKUP(C1083, Tbl_ColorMap[],2,false) &amp; ")"</f>
        <v>7001002 - Unset (Red)</v>
      </c>
      <c r="E1083" s="23"/>
      <c r="L1083" s="23"/>
    </row>
    <row r="1084">
      <c r="A1084" s="19">
        <v>7001100.0</v>
      </c>
      <c r="B1084" s="19" t="s">
        <v>182</v>
      </c>
      <c r="C1084" s="19">
        <v>0.0</v>
      </c>
      <c r="D1084" s="19" t="str">
        <f>A1084 &amp; " - " &amp; B1084 &amp; " (" &amp; VLOOKUP(C1084, Tbl_ColorMap[],2,false) &amp; ")"</f>
        <v>7001100 - Unset (Red)</v>
      </c>
      <c r="E1084" s="23"/>
      <c r="L1084" s="23"/>
    </row>
    <row r="1085">
      <c r="A1085" s="19">
        <v>7001400.0</v>
      </c>
      <c r="B1085" s="19" t="s">
        <v>182</v>
      </c>
      <c r="C1085" s="19">
        <v>0.0</v>
      </c>
      <c r="D1085" s="19" t="str">
        <f>A1085 &amp; " - " &amp; B1085 &amp; " (" &amp; VLOOKUP(C1085, Tbl_ColorMap[],2,false) &amp; ")"</f>
        <v>7001400 - Unset (Red)</v>
      </c>
      <c r="E1085" s="23"/>
      <c r="L1085" s="23"/>
    </row>
    <row r="1086">
      <c r="A1086" s="19">
        <v>7001401.0</v>
      </c>
      <c r="B1086" s="19" t="s">
        <v>182</v>
      </c>
      <c r="C1086" s="19">
        <v>0.0</v>
      </c>
      <c r="D1086" s="19" t="str">
        <f>A1086 &amp; " - " &amp; B1086 &amp; " (" &amp; VLOOKUP(C1086, Tbl_ColorMap[],2,false) &amp; ")"</f>
        <v>7001401 - Unset (Red)</v>
      </c>
      <c r="E1086" s="23"/>
      <c r="L1086" s="23"/>
    </row>
    <row r="1087">
      <c r="A1087" s="19">
        <v>7001402.0</v>
      </c>
      <c r="B1087" s="19" t="s">
        <v>182</v>
      </c>
      <c r="C1087" s="19">
        <v>0.0</v>
      </c>
      <c r="D1087" s="19" t="str">
        <f>A1087 &amp; " - " &amp; B1087 &amp; " (" &amp; VLOOKUP(C1087, Tbl_ColorMap[],2,false) &amp; ")"</f>
        <v>7001402 - Unset (Red)</v>
      </c>
      <c r="E1087" s="23"/>
      <c r="L1087" s="23"/>
    </row>
    <row r="1088">
      <c r="A1088" s="19">
        <v>7001500.0</v>
      </c>
      <c r="B1088" s="19" t="s">
        <v>182</v>
      </c>
      <c r="C1088" s="19">
        <v>0.0</v>
      </c>
      <c r="D1088" s="19" t="str">
        <f>A1088 &amp; " - " &amp; B1088 &amp; " (" &amp; VLOOKUP(C1088, Tbl_ColorMap[],2,false) &amp; ")"</f>
        <v>7001500 - Unset (Red)</v>
      </c>
      <c r="E1088" s="23"/>
      <c r="L1088" s="23"/>
    </row>
    <row r="1089">
      <c r="A1089" s="19">
        <v>7001501.0</v>
      </c>
      <c r="B1089" s="19" t="s">
        <v>182</v>
      </c>
      <c r="C1089" s="19">
        <v>0.0</v>
      </c>
      <c r="D1089" s="19" t="str">
        <f>A1089 &amp; " - " &amp; B1089 &amp; " (" &amp; VLOOKUP(C1089, Tbl_ColorMap[],2,false) &amp; ")"</f>
        <v>7001501 - Unset (Red)</v>
      </c>
      <c r="E1089" s="23"/>
      <c r="L1089" s="23"/>
    </row>
    <row r="1090">
      <c r="A1090" s="19">
        <v>7001502.0</v>
      </c>
      <c r="B1090" s="19" t="s">
        <v>182</v>
      </c>
      <c r="C1090" s="19">
        <v>0.0</v>
      </c>
      <c r="D1090" s="19" t="str">
        <f>A1090 &amp; " - " &amp; B1090 &amp; " (" &amp; VLOOKUP(C1090, Tbl_ColorMap[],2,false) &amp; ")"</f>
        <v>7001502 - Unset (Red)</v>
      </c>
      <c r="E1090" s="23"/>
      <c r="L1090" s="23"/>
    </row>
    <row r="1091">
      <c r="A1091" s="19">
        <v>7001600.0</v>
      </c>
      <c r="B1091" s="19" t="s">
        <v>182</v>
      </c>
      <c r="C1091" s="19">
        <v>0.0</v>
      </c>
      <c r="D1091" s="19" t="str">
        <f>A1091 &amp; " - " &amp; B1091 &amp; " (" &amp; VLOOKUP(C1091, Tbl_ColorMap[],2,false) &amp; ")"</f>
        <v>7001600 - Unset (Red)</v>
      </c>
      <c r="E1091" s="23"/>
      <c r="L1091" s="23"/>
    </row>
    <row r="1092">
      <c r="A1092" s="19">
        <v>7001601.0</v>
      </c>
      <c r="B1092" s="19" t="s">
        <v>182</v>
      </c>
      <c r="C1092" s="19">
        <v>0.0</v>
      </c>
      <c r="D1092" s="19" t="str">
        <f>A1092 &amp; " - " &amp; B1092 &amp; " (" &amp; VLOOKUP(C1092, Tbl_ColorMap[],2,false) &amp; ")"</f>
        <v>7001601 - Unset (Red)</v>
      </c>
      <c r="E1092" s="23"/>
      <c r="L1092" s="23"/>
    </row>
    <row r="1093">
      <c r="A1093" s="19">
        <v>7001602.0</v>
      </c>
      <c r="B1093" s="19" t="s">
        <v>182</v>
      </c>
      <c r="C1093" s="19">
        <v>0.0</v>
      </c>
      <c r="D1093" s="19" t="str">
        <f>A1093 &amp; " - " &amp; B1093 &amp; " (" &amp; VLOOKUP(C1093, Tbl_ColorMap[],2,false) &amp; ")"</f>
        <v>7001602 - Unset (Red)</v>
      </c>
      <c r="E1093" s="23"/>
      <c r="L1093" s="23"/>
    </row>
    <row r="1094">
      <c r="A1094" s="19">
        <v>7001700.0</v>
      </c>
      <c r="B1094" s="19" t="s">
        <v>182</v>
      </c>
      <c r="C1094" s="19">
        <v>0.0</v>
      </c>
      <c r="D1094" s="19" t="str">
        <f>A1094 &amp; " - " &amp; B1094 &amp; " (" &amp; VLOOKUP(C1094, Tbl_ColorMap[],2,false) &amp; ")"</f>
        <v>7001700 - Unset (Red)</v>
      </c>
      <c r="E1094" s="23"/>
      <c r="L1094" s="23"/>
    </row>
    <row r="1095">
      <c r="A1095" s="19">
        <v>7001701.0</v>
      </c>
      <c r="B1095" s="19" t="s">
        <v>182</v>
      </c>
      <c r="C1095" s="19">
        <v>0.0</v>
      </c>
      <c r="D1095" s="19" t="str">
        <f>A1095 &amp; " - " &amp; B1095 &amp; " (" &amp; VLOOKUP(C1095, Tbl_ColorMap[],2,false) &amp; ")"</f>
        <v>7001701 - Unset (Red)</v>
      </c>
      <c r="E1095" s="23"/>
      <c r="L1095" s="23"/>
    </row>
    <row r="1096">
      <c r="A1096" s="19">
        <v>7001702.0</v>
      </c>
      <c r="B1096" s="19" t="s">
        <v>182</v>
      </c>
      <c r="C1096" s="19">
        <v>0.0</v>
      </c>
      <c r="D1096" s="19" t="str">
        <f>A1096 &amp; " - " &amp; B1096 &amp; " (" &amp; VLOOKUP(C1096, Tbl_ColorMap[],2,false) &amp; ")"</f>
        <v>7001702 - Unset (Red)</v>
      </c>
      <c r="E1096" s="23"/>
      <c r="L1096" s="23"/>
    </row>
    <row r="1097">
      <c r="A1097" s="19">
        <v>7001800.0</v>
      </c>
      <c r="B1097" s="19" t="s">
        <v>182</v>
      </c>
      <c r="C1097" s="19">
        <v>0.0</v>
      </c>
      <c r="D1097" s="19" t="str">
        <f>A1097 &amp; " - " &amp; B1097 &amp; " (" &amp; VLOOKUP(C1097, Tbl_ColorMap[],2,false) &amp; ")"</f>
        <v>7001800 - Unset (Red)</v>
      </c>
      <c r="E1097" s="23"/>
      <c r="L1097" s="23"/>
    </row>
    <row r="1098">
      <c r="A1098" s="19">
        <v>7001801.0</v>
      </c>
      <c r="B1098" s="19" t="s">
        <v>182</v>
      </c>
      <c r="C1098" s="19">
        <v>0.0</v>
      </c>
      <c r="D1098" s="19" t="str">
        <f>A1098 &amp; " - " &amp; B1098 &amp; " (" &amp; VLOOKUP(C1098, Tbl_ColorMap[],2,false) &amp; ")"</f>
        <v>7001801 - Unset (Red)</v>
      </c>
      <c r="E1098" s="23"/>
      <c r="L1098" s="23"/>
    </row>
    <row r="1099">
      <c r="A1099" s="19">
        <v>7001802.0</v>
      </c>
      <c r="B1099" s="19" t="s">
        <v>182</v>
      </c>
      <c r="C1099" s="19">
        <v>0.0</v>
      </c>
      <c r="D1099" s="19" t="str">
        <f>A1099 &amp; " - " &amp; B1099 &amp; " (" &amp; VLOOKUP(C1099, Tbl_ColorMap[],2,false) &amp; ")"</f>
        <v>7001802 - Unset (Red)</v>
      </c>
      <c r="E1099" s="23"/>
      <c r="L1099" s="23"/>
    </row>
    <row r="1100">
      <c r="A1100" s="19">
        <v>7002600.0</v>
      </c>
      <c r="B1100" s="19" t="s">
        <v>182</v>
      </c>
      <c r="C1100" s="19">
        <v>0.0</v>
      </c>
      <c r="D1100" s="19" t="str">
        <f>A1100 &amp; " - " &amp; B1100 &amp; " (" &amp; VLOOKUP(C1100, Tbl_ColorMap[],2,false) &amp; ")"</f>
        <v>7002600 - Unset (Red)</v>
      </c>
      <c r="E1100" s="23"/>
      <c r="L1100" s="23"/>
    </row>
    <row r="1101">
      <c r="A1101" s="19">
        <v>7002700.0</v>
      </c>
      <c r="B1101" s="19" t="s">
        <v>182</v>
      </c>
      <c r="C1101" s="19">
        <v>0.0</v>
      </c>
      <c r="D1101" s="19" t="str">
        <f>A1101 &amp; " - " &amp; B1101 &amp; " (" &amp; VLOOKUP(C1101, Tbl_ColorMap[],2,false) &amp; ")"</f>
        <v>7002700 - Unset (Red)</v>
      </c>
      <c r="E1101" s="23"/>
      <c r="L1101" s="23"/>
    </row>
    <row r="1102">
      <c r="A1102" s="19">
        <v>7002800.0</v>
      </c>
      <c r="B1102" s="19" t="s">
        <v>182</v>
      </c>
      <c r="C1102" s="19">
        <v>0.0</v>
      </c>
      <c r="D1102" s="19" t="str">
        <f>A1102 &amp; " - " &amp; B1102 &amp; " (" &amp; VLOOKUP(C1102, Tbl_ColorMap[],2,false) &amp; ")"</f>
        <v>7002800 - Unset (Red)</v>
      </c>
      <c r="E1102" s="23"/>
      <c r="L1102" s="23"/>
    </row>
    <row r="1103">
      <c r="A1103" s="19">
        <v>7002900.0</v>
      </c>
      <c r="B1103" s="19" t="s">
        <v>182</v>
      </c>
      <c r="C1103" s="19">
        <v>0.0</v>
      </c>
      <c r="D1103" s="19" t="str">
        <f>A1103 &amp; " - " &amp; B1103 &amp; " (" &amp; VLOOKUP(C1103, Tbl_ColorMap[],2,false) &amp; ")"</f>
        <v>7002900 - Unset (Red)</v>
      </c>
      <c r="E1103" s="23"/>
      <c r="L1103" s="23"/>
    </row>
    <row r="1104">
      <c r="A1104" s="19">
        <v>7003000.0</v>
      </c>
      <c r="B1104" s="19" t="s">
        <v>182</v>
      </c>
      <c r="C1104" s="19">
        <v>0.0</v>
      </c>
      <c r="D1104" s="19" t="str">
        <f>A1104 &amp; " - " &amp; B1104 &amp; " (" &amp; VLOOKUP(C1104, Tbl_ColorMap[],2,false) &amp; ")"</f>
        <v>7003000 - Unset (Red)</v>
      </c>
      <c r="E1104" s="23"/>
      <c r="L1104" s="23"/>
    </row>
    <row r="1105">
      <c r="A1105" s="19">
        <v>7003100.0</v>
      </c>
      <c r="B1105" s="19" t="s">
        <v>182</v>
      </c>
      <c r="C1105" s="19">
        <v>0.0</v>
      </c>
      <c r="D1105" s="19" t="str">
        <f>A1105 &amp; " - " &amp; B1105 &amp; " (" &amp; VLOOKUP(C1105, Tbl_ColorMap[],2,false) &amp; ")"</f>
        <v>7003100 - Unset (Red)</v>
      </c>
      <c r="E1105" s="23"/>
      <c r="L1105" s="23"/>
    </row>
    <row r="1106">
      <c r="A1106" s="19">
        <v>7003200.0</v>
      </c>
      <c r="B1106" s="19" t="s">
        <v>182</v>
      </c>
      <c r="C1106" s="19">
        <v>0.0</v>
      </c>
      <c r="D1106" s="19" t="str">
        <f>A1106 &amp; " - " &amp; B1106 &amp; " (" &amp; VLOOKUP(C1106, Tbl_ColorMap[],2,false) &amp; ")"</f>
        <v>7003200 - Unset (Red)</v>
      </c>
      <c r="E1106" s="23"/>
      <c r="L1106" s="23"/>
    </row>
    <row r="1107">
      <c r="A1107" s="19">
        <v>7003300.0</v>
      </c>
      <c r="B1107" s="19" t="s">
        <v>182</v>
      </c>
      <c r="C1107" s="19">
        <v>0.0</v>
      </c>
      <c r="D1107" s="19" t="str">
        <f>A1107 &amp; " - " &amp; B1107 &amp; " (" &amp; VLOOKUP(C1107, Tbl_ColorMap[],2,false) &amp; ")"</f>
        <v>7003300 - Unset (Red)</v>
      </c>
      <c r="E1107" s="23"/>
      <c r="L1107" s="23"/>
    </row>
    <row r="1108">
      <c r="A1108" s="19">
        <v>7003400.0</v>
      </c>
      <c r="B1108" s="19" t="s">
        <v>182</v>
      </c>
      <c r="C1108" s="19">
        <v>0.0</v>
      </c>
      <c r="D1108" s="19" t="str">
        <f>A1108 &amp; " - " &amp; B1108 &amp; " (" &amp; VLOOKUP(C1108, Tbl_ColorMap[],2,false) &amp; ")"</f>
        <v>7003400 - Unset (Red)</v>
      </c>
      <c r="E1108" s="23"/>
      <c r="L1108" s="23"/>
    </row>
    <row r="1109">
      <c r="A1109" s="19">
        <v>7003500.0</v>
      </c>
      <c r="B1109" s="19" t="s">
        <v>182</v>
      </c>
      <c r="C1109" s="19">
        <v>0.0</v>
      </c>
      <c r="D1109" s="19" t="str">
        <f>A1109 &amp; " - " &amp; B1109 &amp; " (" &amp; VLOOKUP(C1109, Tbl_ColorMap[],2,false) &amp; ")"</f>
        <v>7003500 - Unset (Red)</v>
      </c>
      <c r="E1109" s="23"/>
      <c r="L1109" s="23"/>
    </row>
    <row r="1110">
      <c r="A1110" s="19">
        <v>7003600.0</v>
      </c>
      <c r="B1110" s="19" t="s">
        <v>182</v>
      </c>
      <c r="C1110" s="19">
        <v>0.0</v>
      </c>
      <c r="D1110" s="19" t="str">
        <f>A1110 &amp; " - " &amp; B1110 &amp; " (" &amp; VLOOKUP(C1110, Tbl_ColorMap[],2,false) &amp; ")"</f>
        <v>7003600 - Unset (Red)</v>
      </c>
      <c r="E1110" s="23"/>
      <c r="L1110" s="23"/>
    </row>
    <row r="1111">
      <c r="A1111" s="19">
        <v>7005600.0</v>
      </c>
      <c r="B1111" s="19" t="s">
        <v>182</v>
      </c>
      <c r="C1111" s="19">
        <v>0.0</v>
      </c>
      <c r="D1111" s="19" t="str">
        <f>A1111 &amp; " - " &amp; B1111 &amp; " (" &amp; VLOOKUP(C1111, Tbl_ColorMap[],2,false) &amp; ")"</f>
        <v>7005600 - Unset (Red)</v>
      </c>
      <c r="E1111" s="23"/>
      <c r="L1111" s="23"/>
    </row>
    <row r="1112">
      <c r="A1112" s="19">
        <v>7006000.0</v>
      </c>
      <c r="B1112" s="19" t="s">
        <v>182</v>
      </c>
      <c r="C1112" s="19">
        <v>0.0</v>
      </c>
      <c r="D1112" s="19" t="str">
        <f>A1112 &amp; " - " &amp; B1112 &amp; " (" &amp; VLOOKUP(C1112, Tbl_ColorMap[],2,false) &amp; ")"</f>
        <v>7006000 - Unset (Red)</v>
      </c>
      <c r="E1112" s="23"/>
      <c r="L1112" s="23"/>
    </row>
    <row r="1113">
      <c r="A1113" s="19">
        <v>7006001.0</v>
      </c>
      <c r="B1113" s="19" t="s">
        <v>182</v>
      </c>
      <c r="C1113" s="19">
        <v>0.0</v>
      </c>
      <c r="D1113" s="19" t="str">
        <f>A1113 &amp; " - " &amp; B1113 &amp; " (" &amp; VLOOKUP(C1113, Tbl_ColorMap[],2,false) &amp; ")"</f>
        <v>7006001 - Unset (Red)</v>
      </c>
      <c r="E1113" s="23"/>
      <c r="L1113" s="23"/>
    </row>
    <row r="1114">
      <c r="A1114" s="19">
        <v>7006100.0</v>
      </c>
      <c r="B1114" s="19" t="s">
        <v>182</v>
      </c>
      <c r="C1114" s="19">
        <v>0.0</v>
      </c>
      <c r="D1114" s="19" t="str">
        <f>A1114 &amp; " - " &amp; B1114 &amp; " (" &amp; VLOOKUP(C1114, Tbl_ColorMap[],2,false) &amp; ")"</f>
        <v>7006100 - Unset (Red)</v>
      </c>
      <c r="E1114" s="23"/>
      <c r="L1114" s="23"/>
    </row>
    <row r="1115">
      <c r="A1115" s="19">
        <v>7006101.0</v>
      </c>
      <c r="B1115" s="19" t="s">
        <v>182</v>
      </c>
      <c r="C1115" s="19">
        <v>0.0</v>
      </c>
      <c r="D1115" s="19" t="str">
        <f>A1115 &amp; " - " &amp; B1115 &amp; " (" &amp; VLOOKUP(C1115, Tbl_ColorMap[],2,false) &amp; ")"</f>
        <v>7006101 - Unset (Red)</v>
      </c>
      <c r="E1115" s="23"/>
      <c r="L1115" s="23"/>
    </row>
    <row r="1116">
      <c r="A1116" s="19">
        <v>7006200.0</v>
      </c>
      <c r="B1116" s="19" t="s">
        <v>182</v>
      </c>
      <c r="C1116" s="19">
        <v>0.0</v>
      </c>
      <c r="D1116" s="19" t="str">
        <f>A1116 &amp; " - " &amp; B1116 &amp; " (" &amp; VLOOKUP(C1116, Tbl_ColorMap[],2,false) &amp; ")"</f>
        <v>7006200 - Unset (Red)</v>
      </c>
      <c r="E1116" s="23"/>
      <c r="L1116" s="23"/>
    </row>
    <row r="1117">
      <c r="A1117" s="19">
        <v>7006300.0</v>
      </c>
      <c r="B1117" s="19" t="s">
        <v>182</v>
      </c>
      <c r="C1117" s="19">
        <v>0.0</v>
      </c>
      <c r="D1117" s="19" t="str">
        <f>A1117 &amp; " - " &amp; B1117 &amp; " (" &amp; VLOOKUP(C1117, Tbl_ColorMap[],2,false) &amp; ")"</f>
        <v>7006300 - Unset (Red)</v>
      </c>
      <c r="E1117" s="23"/>
      <c r="L1117" s="23"/>
    </row>
    <row r="1118">
      <c r="A1118" s="19">
        <v>7006400.0</v>
      </c>
      <c r="B1118" s="19" t="s">
        <v>182</v>
      </c>
      <c r="C1118" s="19">
        <v>0.0</v>
      </c>
      <c r="D1118" s="19" t="str">
        <f>A1118 &amp; " - " &amp; B1118 &amp; " (" &amp; VLOOKUP(C1118, Tbl_ColorMap[],2,false) &amp; ")"</f>
        <v>7006400 - Unset (Red)</v>
      </c>
      <c r="E1118" s="23"/>
      <c r="L1118" s="23"/>
    </row>
    <row r="1119">
      <c r="A1119" s="19">
        <v>7006500.0</v>
      </c>
      <c r="B1119" s="19" t="s">
        <v>182</v>
      </c>
      <c r="C1119" s="19">
        <v>0.0</v>
      </c>
      <c r="D1119" s="19" t="str">
        <f>A1119 &amp; " - " &amp; B1119 &amp; " (" &amp; VLOOKUP(C1119, Tbl_ColorMap[],2,false) &amp; ")"</f>
        <v>7006500 - Unset (Red)</v>
      </c>
      <c r="E1119" s="23"/>
      <c r="L1119" s="23"/>
    </row>
    <row r="1120">
      <c r="A1120" s="19">
        <v>7006600.0</v>
      </c>
      <c r="B1120" s="19" t="s">
        <v>182</v>
      </c>
      <c r="C1120" s="19">
        <v>0.0</v>
      </c>
      <c r="D1120" s="19" t="str">
        <f>A1120 &amp; " - " &amp; B1120 &amp; " (" &amp; VLOOKUP(C1120, Tbl_ColorMap[],2,false) &amp; ")"</f>
        <v>7006600 - Unset (Red)</v>
      </c>
      <c r="E1120" s="23"/>
      <c r="L1120" s="23"/>
    </row>
    <row r="1121">
      <c r="A1121" s="19">
        <v>7006700.0</v>
      </c>
      <c r="B1121" s="19" t="s">
        <v>182</v>
      </c>
      <c r="C1121" s="19">
        <v>0.0</v>
      </c>
      <c r="D1121" s="19" t="str">
        <f>A1121 &amp; " - " &amp; B1121 &amp; " (" &amp; VLOOKUP(C1121, Tbl_ColorMap[],2,false) &amp; ")"</f>
        <v>7006700 - Unset (Red)</v>
      </c>
      <c r="E1121" s="23"/>
      <c r="L1121" s="23"/>
    </row>
    <row r="1122">
      <c r="A1122" s="19">
        <v>7010200.0</v>
      </c>
      <c r="B1122" s="19" t="s">
        <v>182</v>
      </c>
      <c r="C1122" s="19">
        <v>0.0</v>
      </c>
      <c r="D1122" s="19" t="str">
        <f>A1122 &amp; " - " &amp; B1122 &amp; " (" &amp; VLOOKUP(C1122, Tbl_ColorMap[],2,false) &amp; ")"</f>
        <v>7010200 - Unset (Red)</v>
      </c>
      <c r="E1122" s="23"/>
      <c r="L1122" s="23"/>
    </row>
    <row r="1123">
      <c r="A1123" s="19">
        <v>7010500.0</v>
      </c>
      <c r="B1123" s="19" t="s">
        <v>182</v>
      </c>
      <c r="C1123" s="19">
        <v>0.0</v>
      </c>
      <c r="D1123" s="19" t="str">
        <f>A1123 &amp; " - " &amp; B1123 &amp; " (" &amp; VLOOKUP(C1123, Tbl_ColorMap[],2,false) &amp; ")"</f>
        <v>7010500 - Unset (Red)</v>
      </c>
      <c r="E1123" s="23"/>
      <c r="L1123" s="23"/>
    </row>
    <row r="1124">
      <c r="A1124" s="19">
        <v>7010700.0</v>
      </c>
      <c r="B1124" s="19" t="s">
        <v>182</v>
      </c>
      <c r="C1124" s="19">
        <v>0.0</v>
      </c>
      <c r="D1124" s="19" t="str">
        <f>A1124 &amp; " - " &amp; B1124 &amp; " (" &amp; VLOOKUP(C1124, Tbl_ColorMap[],2,false) &amp; ")"</f>
        <v>7010700 - Unset (Red)</v>
      </c>
      <c r="E1124" s="23"/>
      <c r="L1124" s="23"/>
    </row>
    <row r="1125">
      <c r="A1125" s="19">
        <v>7010900.0</v>
      </c>
      <c r="B1125" s="19" t="s">
        <v>182</v>
      </c>
      <c r="C1125" s="19">
        <v>0.0</v>
      </c>
      <c r="D1125" s="19" t="str">
        <f>A1125 &amp; " - " &amp; B1125 &amp; " (" &amp; VLOOKUP(C1125, Tbl_ColorMap[],2,false) &amp; ")"</f>
        <v>7010900 - Unset (Red)</v>
      </c>
      <c r="E1125" s="23"/>
      <c r="L1125" s="23"/>
    </row>
    <row r="1126">
      <c r="A1126" s="19">
        <v>7011000.0</v>
      </c>
      <c r="B1126" s="19" t="s">
        <v>182</v>
      </c>
      <c r="C1126" s="19">
        <v>0.0</v>
      </c>
      <c r="D1126" s="19" t="str">
        <f>A1126 &amp; " - " &amp; B1126 &amp; " (" &amp; VLOOKUP(C1126, Tbl_ColorMap[],2,false) &amp; ")"</f>
        <v>7011000 - Unset (Red)</v>
      </c>
      <c r="E1126" s="23"/>
      <c r="L1126" s="23"/>
    </row>
    <row r="1127">
      <c r="A1127" s="19">
        <v>7011200.0</v>
      </c>
      <c r="B1127" s="19" t="s">
        <v>182</v>
      </c>
      <c r="C1127" s="19">
        <v>0.0</v>
      </c>
      <c r="D1127" s="19" t="str">
        <f>A1127 &amp; " - " &amp; B1127 &amp; " (" &amp; VLOOKUP(C1127, Tbl_ColorMap[],2,false) &amp; ")"</f>
        <v>7011200 - Unset (Red)</v>
      </c>
      <c r="E1127" s="23"/>
      <c r="L1127" s="23"/>
    </row>
    <row r="1128">
      <c r="A1128" s="19">
        <v>7011600.0</v>
      </c>
      <c r="B1128" s="19" t="s">
        <v>182</v>
      </c>
      <c r="C1128" s="19">
        <v>0.0</v>
      </c>
      <c r="D1128" s="19" t="str">
        <f>A1128 &amp; " - " &amp; B1128 &amp; " (" &amp; VLOOKUP(C1128, Tbl_ColorMap[],2,false) &amp; ")"</f>
        <v>7011600 - Unset (Red)</v>
      </c>
      <c r="E1128" s="23"/>
      <c r="L1128" s="23"/>
    </row>
    <row r="1129">
      <c r="A1129" s="19">
        <v>7011700.0</v>
      </c>
      <c r="B1129" s="19" t="s">
        <v>182</v>
      </c>
      <c r="C1129" s="19">
        <v>0.0</v>
      </c>
      <c r="D1129" s="19" t="str">
        <f>A1129 &amp; " - " &amp; B1129 &amp; " (" &amp; VLOOKUP(C1129, Tbl_ColorMap[],2,false) &amp; ")"</f>
        <v>7011700 - Unset (Red)</v>
      </c>
      <c r="E1129" s="23"/>
      <c r="L1129" s="23"/>
    </row>
    <row r="1130">
      <c r="A1130" s="19">
        <v>7012000.0</v>
      </c>
      <c r="B1130" s="19" t="s">
        <v>182</v>
      </c>
      <c r="C1130" s="19">
        <v>0.0</v>
      </c>
      <c r="D1130" s="19" t="str">
        <f>A1130 &amp; " - " &amp; B1130 &amp; " (" &amp; VLOOKUP(C1130, Tbl_ColorMap[],2,false) &amp; ")"</f>
        <v>7012000 - Unset (Red)</v>
      </c>
      <c r="E1130" s="23"/>
      <c r="L1130" s="23"/>
    </row>
    <row r="1131">
      <c r="A1131" s="19">
        <v>7012200.0</v>
      </c>
      <c r="B1131" s="19" t="s">
        <v>182</v>
      </c>
      <c r="C1131" s="19">
        <v>0.0</v>
      </c>
      <c r="D1131" s="19" t="str">
        <f>A1131 &amp; " - " &amp; B1131 &amp; " (" &amp; VLOOKUP(C1131, Tbl_ColorMap[],2,false) &amp; ")"</f>
        <v>7012200 - Unset (Red)</v>
      </c>
      <c r="E1131" s="23"/>
      <c r="L1131" s="23"/>
    </row>
    <row r="1132">
      <c r="A1132" s="19">
        <v>7012300.0</v>
      </c>
      <c r="B1132" s="19" t="s">
        <v>182</v>
      </c>
      <c r="C1132" s="19">
        <v>0.0</v>
      </c>
      <c r="D1132" s="19" t="str">
        <f>A1132 &amp; " - " &amp; B1132 &amp; " (" &amp; VLOOKUP(C1132, Tbl_ColorMap[],2,false) &amp; ")"</f>
        <v>7012300 - Unset (Red)</v>
      </c>
      <c r="E1132" s="23"/>
      <c r="L1132" s="23"/>
    </row>
    <row r="1133">
      <c r="A1133" s="19">
        <v>7020000.0</v>
      </c>
      <c r="B1133" s="19" t="s">
        <v>182</v>
      </c>
      <c r="C1133" s="19">
        <v>0.0</v>
      </c>
      <c r="D1133" s="19" t="str">
        <f>A1133 &amp; " - " &amp; B1133 &amp; " (" &amp; VLOOKUP(C1133, Tbl_ColorMap[],2,false) &amp; ")"</f>
        <v>7020000 - Unset (Red)</v>
      </c>
      <c r="E1133" s="23"/>
      <c r="L1133" s="23"/>
    </row>
    <row r="1134">
      <c r="A1134" s="19">
        <v>7030000.0</v>
      </c>
      <c r="B1134" s="19" t="s">
        <v>182</v>
      </c>
      <c r="C1134" s="19">
        <v>0.0</v>
      </c>
      <c r="D1134" s="19" t="str">
        <f>A1134 &amp; " - " &amp; B1134 &amp; " (" &amp; VLOOKUP(C1134, Tbl_ColorMap[],2,false) &amp; ")"</f>
        <v>7030000 - Unset (Red)</v>
      </c>
      <c r="E1134" s="23"/>
      <c r="L1134" s="23"/>
    </row>
    <row r="1135">
      <c r="A1135" s="19">
        <v>7030200.0</v>
      </c>
      <c r="B1135" s="19" t="s">
        <v>182</v>
      </c>
      <c r="C1135" s="19">
        <v>0.0</v>
      </c>
      <c r="D1135" s="19" t="str">
        <f>A1135 &amp; " - " &amp; B1135 &amp; " (" &amp; VLOOKUP(C1135, Tbl_ColorMap[],2,false) &amp; ")"</f>
        <v>7030200 - Unset (Red)</v>
      </c>
      <c r="E1135" s="23"/>
      <c r="L1135" s="23"/>
    </row>
    <row r="1136">
      <c r="A1136" s="19">
        <v>7030600.0</v>
      </c>
      <c r="B1136" s="19" t="s">
        <v>182</v>
      </c>
      <c r="C1136" s="19">
        <v>0.0</v>
      </c>
      <c r="D1136" s="19" t="str">
        <f>A1136 &amp; " - " &amp; B1136 &amp; " (" &amp; VLOOKUP(C1136, Tbl_ColorMap[],2,false) &amp; ")"</f>
        <v>7030600 - Unset (Red)</v>
      </c>
      <c r="E1136" s="23"/>
      <c r="L1136" s="23"/>
    </row>
    <row r="1137">
      <c r="A1137" s="19">
        <v>7030700.0</v>
      </c>
      <c r="B1137" s="19" t="s">
        <v>182</v>
      </c>
      <c r="C1137" s="19">
        <v>0.0</v>
      </c>
      <c r="D1137" s="19" t="str">
        <f>A1137 &amp; " - " &amp; B1137 &amp; " (" &amp; VLOOKUP(C1137, Tbl_ColorMap[],2,false) &amp; ")"</f>
        <v>7030700 - Unset (Red)</v>
      </c>
      <c r="E1137" s="23"/>
      <c r="L1137" s="23"/>
    </row>
    <row r="1138">
      <c r="A1138" s="19">
        <v>7030800.0</v>
      </c>
      <c r="B1138" s="19" t="s">
        <v>182</v>
      </c>
      <c r="C1138" s="19">
        <v>0.0</v>
      </c>
      <c r="D1138" s="19" t="str">
        <f>A1138 &amp; " - " &amp; B1138 &amp; " (" &amp; VLOOKUP(C1138, Tbl_ColorMap[],2,false) &amp; ")"</f>
        <v>7030800 - Unset (Red)</v>
      </c>
      <c r="E1138" s="23"/>
      <c r="L1138" s="23"/>
    </row>
    <row r="1139">
      <c r="A1139" s="19">
        <v>7030900.0</v>
      </c>
      <c r="B1139" s="19" t="s">
        <v>182</v>
      </c>
      <c r="C1139" s="19">
        <v>0.0</v>
      </c>
      <c r="D1139" s="19" t="str">
        <f>A1139 &amp; " - " &amp; B1139 &amp; " (" &amp; VLOOKUP(C1139, Tbl_ColorMap[],2,false) &amp; ")"</f>
        <v>7030900 - Unset (Red)</v>
      </c>
      <c r="E1139" s="23"/>
      <c r="L1139" s="23"/>
    </row>
    <row r="1140">
      <c r="A1140" s="19">
        <v>7031200.0</v>
      </c>
      <c r="B1140" s="19" t="s">
        <v>182</v>
      </c>
      <c r="C1140" s="19">
        <v>0.0</v>
      </c>
      <c r="D1140" s="19" t="str">
        <f>A1140 &amp; " - " &amp; B1140 &amp; " (" &amp; VLOOKUP(C1140, Tbl_ColorMap[],2,false) &amp; ")"</f>
        <v>7031200 - Unset (Red)</v>
      </c>
      <c r="E1140" s="23"/>
      <c r="L1140" s="23"/>
    </row>
    <row r="1141">
      <c r="A1141" s="19">
        <v>7031300.0</v>
      </c>
      <c r="B1141" s="19" t="s">
        <v>182</v>
      </c>
      <c r="C1141" s="19">
        <v>0.0</v>
      </c>
      <c r="D1141" s="19" t="str">
        <f>A1141 &amp; " - " &amp; B1141 &amp; " (" &amp; VLOOKUP(C1141, Tbl_ColorMap[],2,false) &amp; ")"</f>
        <v>7031300 - Unset (Red)</v>
      </c>
      <c r="E1141" s="23"/>
      <c r="L1141" s="23"/>
    </row>
    <row r="1142">
      <c r="A1142" s="19">
        <v>7031800.0</v>
      </c>
      <c r="B1142" s="19" t="s">
        <v>182</v>
      </c>
      <c r="C1142" s="19">
        <v>0.0</v>
      </c>
      <c r="D1142" s="19" t="str">
        <f>A1142 &amp; " - " &amp; B1142 &amp; " (" &amp; VLOOKUP(C1142, Tbl_ColorMap[],2,false) &amp; ")"</f>
        <v>7031800 - Unset (Red)</v>
      </c>
      <c r="E1142" s="23"/>
      <c r="L1142" s="23"/>
    </row>
    <row r="1143">
      <c r="A1143" s="19">
        <v>7031900.0</v>
      </c>
      <c r="B1143" s="19" t="s">
        <v>182</v>
      </c>
      <c r="C1143" s="19">
        <v>0.0</v>
      </c>
      <c r="D1143" s="19" t="str">
        <f>A1143 &amp; " - " &amp; B1143 &amp; " (" &amp; VLOOKUP(C1143, Tbl_ColorMap[],2,false) &amp; ")"</f>
        <v>7031900 - Unset (Red)</v>
      </c>
      <c r="E1143" s="23"/>
      <c r="L1143" s="23"/>
    </row>
    <row r="1144">
      <c r="A1144" s="19">
        <v>7032200.0</v>
      </c>
      <c r="B1144" s="19" t="s">
        <v>182</v>
      </c>
      <c r="C1144" s="19">
        <v>0.0</v>
      </c>
      <c r="D1144" s="19" t="str">
        <f>A1144 &amp; " - " &amp; B1144 &amp; " (" &amp; VLOOKUP(C1144, Tbl_ColorMap[],2,false) &amp; ")"</f>
        <v>7032200 - Unset (Red)</v>
      </c>
      <c r="E1144" s="23"/>
      <c r="L1144" s="23"/>
    </row>
    <row r="1145">
      <c r="A1145" s="19">
        <v>7032400.0</v>
      </c>
      <c r="B1145" s="19" t="s">
        <v>182</v>
      </c>
      <c r="C1145" s="19">
        <v>0.0</v>
      </c>
      <c r="D1145" s="19" t="str">
        <f>A1145 &amp; " - " &amp; B1145 &amp; " (" &amp; VLOOKUP(C1145, Tbl_ColorMap[],2,false) &amp; ")"</f>
        <v>7032400 - Unset (Red)</v>
      </c>
      <c r="E1145" s="23"/>
      <c r="L1145" s="23"/>
    </row>
    <row r="1146">
      <c r="A1146" s="19">
        <v>7032700.0</v>
      </c>
      <c r="B1146" s="19" t="s">
        <v>182</v>
      </c>
      <c r="C1146" s="19">
        <v>0.0</v>
      </c>
      <c r="D1146" s="19" t="str">
        <f>A1146 &amp; " - " &amp; B1146 &amp; " (" &amp; VLOOKUP(C1146, Tbl_ColorMap[],2,false) &amp; ")"</f>
        <v>7032700 - Unset (Red)</v>
      </c>
      <c r="E1146" s="23"/>
      <c r="L1146" s="23"/>
    </row>
    <row r="1147">
      <c r="A1147" s="19">
        <v>7032800.0</v>
      </c>
      <c r="B1147" s="19" t="s">
        <v>182</v>
      </c>
      <c r="C1147" s="19">
        <v>0.0</v>
      </c>
      <c r="D1147" s="19" t="str">
        <f>A1147 &amp; " - " &amp; B1147 &amp; " (" &amp; VLOOKUP(C1147, Tbl_ColorMap[],2,false) &amp; ")"</f>
        <v>7032800 - Unset (Red)</v>
      </c>
      <c r="E1147" s="23"/>
      <c r="L1147" s="23"/>
    </row>
    <row r="1148">
      <c r="A1148" s="19">
        <v>7032900.0</v>
      </c>
      <c r="B1148" s="19" t="s">
        <v>182</v>
      </c>
      <c r="C1148" s="19">
        <v>0.0</v>
      </c>
      <c r="D1148" s="19" t="str">
        <f>A1148 &amp; " - " &amp; B1148 &amp; " (" &amp; VLOOKUP(C1148, Tbl_ColorMap[],2,false) &amp; ")"</f>
        <v>7032900 - Unset (Red)</v>
      </c>
      <c r="E1148" s="23"/>
      <c r="L1148" s="23"/>
    </row>
    <row r="1149">
      <c r="A1149" s="19">
        <v>7033200.0</v>
      </c>
      <c r="B1149" s="19" t="s">
        <v>182</v>
      </c>
      <c r="C1149" s="19">
        <v>0.0</v>
      </c>
      <c r="D1149" s="19" t="str">
        <f>A1149 &amp; " - " &amp; B1149 &amp; " (" &amp; VLOOKUP(C1149, Tbl_ColorMap[],2,false) &amp; ")"</f>
        <v>7033200 - Unset (Red)</v>
      </c>
      <c r="E1149" s="23"/>
      <c r="L1149" s="23"/>
    </row>
    <row r="1150">
      <c r="A1150" s="19">
        <v>7033300.0</v>
      </c>
      <c r="B1150" s="19" t="s">
        <v>182</v>
      </c>
      <c r="C1150" s="19">
        <v>0.0</v>
      </c>
      <c r="D1150" s="19" t="str">
        <f>A1150 &amp; " - " &amp; B1150 &amp; " (" &amp; VLOOKUP(C1150, Tbl_ColorMap[],2,false) &amp; ")"</f>
        <v>7033300 - Unset (Red)</v>
      </c>
      <c r="E1150" s="23"/>
      <c r="L1150" s="23"/>
    </row>
    <row r="1151">
      <c r="A1151" s="19">
        <v>7033400.0</v>
      </c>
      <c r="B1151" s="19" t="s">
        <v>182</v>
      </c>
      <c r="C1151" s="19">
        <v>0.0</v>
      </c>
      <c r="D1151" s="19" t="str">
        <f>A1151 &amp; " - " &amp; B1151 &amp; " (" &amp; VLOOKUP(C1151, Tbl_ColorMap[],2,false) &amp; ")"</f>
        <v>7033400 - Unset (Red)</v>
      </c>
      <c r="E1151" s="23"/>
      <c r="L1151" s="23"/>
    </row>
    <row r="1152">
      <c r="A1152" s="19">
        <v>7034100.0</v>
      </c>
      <c r="B1152" s="19" t="s">
        <v>182</v>
      </c>
      <c r="C1152" s="19">
        <v>0.0</v>
      </c>
      <c r="D1152" s="19" t="str">
        <f>A1152 &amp; " - " &amp; B1152 &amp; " (" &amp; VLOOKUP(C1152, Tbl_ColorMap[],2,false) &amp; ")"</f>
        <v>7034100 - Unset (Red)</v>
      </c>
      <c r="E1152" s="23"/>
      <c r="L1152" s="23"/>
    </row>
    <row r="1153">
      <c r="A1153" s="19">
        <v>7034400.0</v>
      </c>
      <c r="B1153" s="19" t="s">
        <v>182</v>
      </c>
      <c r="C1153" s="19">
        <v>0.0</v>
      </c>
      <c r="D1153" s="19" t="str">
        <f>A1153 &amp; " - " &amp; B1153 &amp; " (" &amp; VLOOKUP(C1153, Tbl_ColorMap[],2,false) &amp; ")"</f>
        <v>7034400 - Unset (Red)</v>
      </c>
      <c r="E1153" s="23"/>
      <c r="L1153" s="23"/>
    </row>
    <row r="1154">
      <c r="A1154" s="19">
        <v>7034500.0</v>
      </c>
      <c r="B1154" s="19" t="s">
        <v>182</v>
      </c>
      <c r="C1154" s="19">
        <v>0.0</v>
      </c>
      <c r="D1154" s="19" t="str">
        <f>A1154 &amp; " - " &amp; B1154 &amp; " (" &amp; VLOOKUP(C1154, Tbl_ColorMap[],2,false) &amp; ")"</f>
        <v>7034500 - Unset (Red)</v>
      </c>
      <c r="E1154" s="23"/>
      <c r="L1154" s="23"/>
    </row>
    <row r="1155">
      <c r="A1155" s="19">
        <v>7034600.0</v>
      </c>
      <c r="B1155" s="19" t="s">
        <v>182</v>
      </c>
      <c r="C1155" s="19">
        <v>0.0</v>
      </c>
      <c r="D1155" s="19" t="str">
        <f>A1155 &amp; " - " &amp; B1155 &amp; " (" &amp; VLOOKUP(C1155, Tbl_ColorMap[],2,false) &amp; ")"</f>
        <v>7034600 - Unset (Red)</v>
      </c>
      <c r="E1155" s="23"/>
      <c r="L1155" s="23"/>
    </row>
    <row r="1156">
      <c r="A1156" s="19">
        <v>7034700.0</v>
      </c>
      <c r="B1156" s="19" t="s">
        <v>182</v>
      </c>
      <c r="C1156" s="19">
        <v>0.0</v>
      </c>
      <c r="D1156" s="19" t="str">
        <f>A1156 &amp; " - " &amp; B1156 &amp; " (" &amp; VLOOKUP(C1156, Tbl_ColorMap[],2,false) &amp; ")"</f>
        <v>7034700 - Unset (Red)</v>
      </c>
      <c r="E1156" s="23"/>
      <c r="L1156" s="23"/>
    </row>
    <row r="1157">
      <c r="A1157" s="19">
        <v>7035100.0</v>
      </c>
      <c r="B1157" s="19" t="s">
        <v>182</v>
      </c>
      <c r="C1157" s="19">
        <v>0.0</v>
      </c>
      <c r="D1157" s="19" t="str">
        <f>A1157 &amp; " - " &amp; B1157 &amp; " (" &amp; VLOOKUP(C1157, Tbl_ColorMap[],2,false) &amp; ")"</f>
        <v>7035100 - Unset (Red)</v>
      </c>
      <c r="E1157" s="23"/>
      <c r="L1157" s="23"/>
    </row>
    <row r="1158">
      <c r="A1158" s="19">
        <v>7035400.0</v>
      </c>
      <c r="B1158" s="19" t="s">
        <v>182</v>
      </c>
      <c r="C1158" s="19">
        <v>0.0</v>
      </c>
      <c r="D1158" s="19" t="str">
        <f>A1158 &amp; " - " &amp; B1158 &amp; " (" &amp; VLOOKUP(C1158, Tbl_ColorMap[],2,false) &amp; ")"</f>
        <v>7035400 - Unset (Red)</v>
      </c>
      <c r="E1158" s="23"/>
      <c r="L1158" s="23"/>
    </row>
    <row r="1159">
      <c r="A1159" s="19">
        <v>7035410.0</v>
      </c>
      <c r="B1159" s="19" t="s">
        <v>182</v>
      </c>
      <c r="C1159" s="19">
        <v>0.0</v>
      </c>
      <c r="D1159" s="19" t="str">
        <f>A1159 &amp; " - " &amp; B1159 &amp; " (" &amp; VLOOKUP(C1159, Tbl_ColorMap[],2,false) &amp; ")"</f>
        <v>7035410 - Unset (Red)</v>
      </c>
      <c r="E1159" s="23"/>
      <c r="L1159" s="23"/>
    </row>
    <row r="1160">
      <c r="A1160" s="19">
        <v>7035500.0</v>
      </c>
      <c r="B1160" s="19" t="s">
        <v>182</v>
      </c>
      <c r="C1160" s="19">
        <v>0.0</v>
      </c>
      <c r="D1160" s="19" t="str">
        <f>A1160 &amp; " - " &amp; B1160 &amp; " (" &amp; VLOOKUP(C1160, Tbl_ColorMap[],2,false) &amp; ")"</f>
        <v>7035500 - Unset (Red)</v>
      </c>
      <c r="E1160" s="23"/>
      <c r="L1160" s="23"/>
    </row>
    <row r="1161">
      <c r="A1161" s="19">
        <v>7035510.0</v>
      </c>
      <c r="B1161" s="19" t="s">
        <v>182</v>
      </c>
      <c r="C1161" s="19">
        <v>0.0</v>
      </c>
      <c r="D1161" s="19" t="str">
        <f>A1161 &amp; " - " &amp; B1161 &amp; " (" &amp; VLOOKUP(C1161, Tbl_ColorMap[],2,false) &amp; ")"</f>
        <v>7035510 - Unset (Red)</v>
      </c>
      <c r="E1161" s="23"/>
      <c r="L1161" s="23"/>
    </row>
    <row r="1162">
      <c r="A1162" s="19">
        <v>7035700.0</v>
      </c>
      <c r="B1162" s="19" t="s">
        <v>182</v>
      </c>
      <c r="C1162" s="19">
        <v>0.0</v>
      </c>
      <c r="D1162" s="19" t="str">
        <f>A1162 &amp; " - " &amp; B1162 &amp; " (" &amp; VLOOKUP(C1162, Tbl_ColorMap[],2,false) &amp; ")"</f>
        <v>7035700 - Unset (Red)</v>
      </c>
      <c r="E1162" s="23"/>
      <c r="L1162" s="23"/>
    </row>
    <row r="1163">
      <c r="A1163" s="19">
        <v>7035800.0</v>
      </c>
      <c r="B1163" s="19" t="s">
        <v>182</v>
      </c>
      <c r="C1163" s="19">
        <v>0.0</v>
      </c>
      <c r="D1163" s="19" t="str">
        <f>A1163 &amp; " - " &amp; B1163 &amp; " (" &amp; VLOOKUP(C1163, Tbl_ColorMap[],2,false) &amp; ")"</f>
        <v>7035800 - Unset (Red)</v>
      </c>
      <c r="E1163" s="23"/>
      <c r="L1163" s="23"/>
    </row>
    <row r="1164">
      <c r="A1164" s="19">
        <v>7035900.0</v>
      </c>
      <c r="B1164" s="19" t="s">
        <v>182</v>
      </c>
      <c r="C1164" s="19">
        <v>0.0</v>
      </c>
      <c r="D1164" s="19" t="str">
        <f>A1164 &amp; " - " &amp; B1164 &amp; " (" &amp; VLOOKUP(C1164, Tbl_ColorMap[],2,false) &amp; ")"</f>
        <v>7035900 - Unset (Red)</v>
      </c>
      <c r="E1164" s="23"/>
      <c r="L1164" s="23"/>
    </row>
    <row r="1165">
      <c r="A1165" s="19">
        <v>7036000.0</v>
      </c>
      <c r="B1165" s="19" t="s">
        <v>182</v>
      </c>
      <c r="C1165" s="19">
        <v>0.0</v>
      </c>
      <c r="D1165" s="19" t="str">
        <f>A1165 &amp; " - " &amp; B1165 &amp; " (" &amp; VLOOKUP(C1165, Tbl_ColorMap[],2,false) &amp; ")"</f>
        <v>7036000 - Unset (Red)</v>
      </c>
      <c r="E1165" s="23"/>
      <c r="L1165" s="23"/>
    </row>
    <row r="1166">
      <c r="A1166" s="19">
        <v>7036100.0</v>
      </c>
      <c r="B1166" s="19" t="s">
        <v>182</v>
      </c>
      <c r="C1166" s="19">
        <v>0.0</v>
      </c>
      <c r="D1166" s="19" t="str">
        <f>A1166 &amp; " - " &amp; B1166 &amp; " (" &amp; VLOOKUP(C1166, Tbl_ColorMap[],2,false) &amp; ")"</f>
        <v>7036100 - Unset (Red)</v>
      </c>
      <c r="E1166" s="23"/>
      <c r="L1166" s="23"/>
    </row>
    <row r="1167">
      <c r="A1167" s="19">
        <v>7036200.0</v>
      </c>
      <c r="B1167" s="19" t="s">
        <v>182</v>
      </c>
      <c r="C1167" s="19">
        <v>0.0</v>
      </c>
      <c r="D1167" s="19" t="str">
        <f>A1167 &amp; " - " &amp; B1167 &amp; " (" &amp; VLOOKUP(C1167, Tbl_ColorMap[],2,false) &amp; ")"</f>
        <v>7036200 - Unset (Red)</v>
      </c>
      <c r="E1167" s="23"/>
      <c r="L1167" s="23"/>
    </row>
    <row r="1168">
      <c r="A1168" s="19">
        <v>7036300.0</v>
      </c>
      <c r="B1168" s="19" t="s">
        <v>182</v>
      </c>
      <c r="C1168" s="19">
        <v>0.0</v>
      </c>
      <c r="D1168" s="19" t="str">
        <f>A1168 &amp; " - " &amp; B1168 &amp; " (" &amp; VLOOKUP(C1168, Tbl_ColorMap[],2,false) &amp; ")"</f>
        <v>7036300 - Unset (Red)</v>
      </c>
      <c r="E1168" s="23"/>
      <c r="L1168" s="23"/>
    </row>
    <row r="1169">
      <c r="A1169" s="19">
        <v>7036400.0</v>
      </c>
      <c r="B1169" s="19" t="s">
        <v>182</v>
      </c>
      <c r="C1169" s="19">
        <v>0.0</v>
      </c>
      <c r="D1169" s="19" t="str">
        <f>A1169 &amp; " - " &amp; B1169 &amp; " (" &amp; VLOOKUP(C1169, Tbl_ColorMap[],2,false) &amp; ")"</f>
        <v>7036400 - Unset (Red)</v>
      </c>
      <c r="E1169" s="23"/>
      <c r="L1169" s="23"/>
    </row>
    <row r="1170">
      <c r="A1170" s="19">
        <v>7036500.0</v>
      </c>
      <c r="B1170" s="19" t="s">
        <v>182</v>
      </c>
      <c r="C1170" s="19">
        <v>0.0</v>
      </c>
      <c r="D1170" s="19" t="str">
        <f>A1170 &amp; " - " &amp; B1170 &amp; " (" &amp; VLOOKUP(C1170, Tbl_ColorMap[],2,false) &amp; ")"</f>
        <v>7036500 - Unset (Red)</v>
      </c>
      <c r="E1170" s="23"/>
      <c r="L1170" s="23"/>
    </row>
    <row r="1171">
      <c r="A1171" s="19">
        <v>7036800.0</v>
      </c>
      <c r="B1171" s="19" t="s">
        <v>182</v>
      </c>
      <c r="C1171" s="19">
        <v>0.0</v>
      </c>
      <c r="D1171" s="19" t="str">
        <f>A1171 &amp; " - " &amp; B1171 &amp; " (" &amp; VLOOKUP(C1171, Tbl_ColorMap[],2,false) &amp; ")"</f>
        <v>7036800 - Unset (Red)</v>
      </c>
      <c r="E1171" s="23"/>
      <c r="L1171" s="23"/>
    </row>
    <row r="1172">
      <c r="A1172" s="19">
        <v>7036900.0</v>
      </c>
      <c r="B1172" s="19" t="s">
        <v>182</v>
      </c>
      <c r="C1172" s="19">
        <v>0.0</v>
      </c>
      <c r="D1172" s="19" t="str">
        <f>A1172 &amp; " - " &amp; B1172 &amp; " (" &amp; VLOOKUP(C1172, Tbl_ColorMap[],2,false) &amp; ")"</f>
        <v>7036900 - Unset (Red)</v>
      </c>
      <c r="E1172" s="23"/>
      <c r="L1172" s="23"/>
    </row>
    <row r="1173">
      <c r="A1173" s="19">
        <v>7037000.0</v>
      </c>
      <c r="B1173" s="19" t="s">
        <v>182</v>
      </c>
      <c r="C1173" s="19">
        <v>0.0</v>
      </c>
      <c r="D1173" s="19" t="str">
        <f>A1173 &amp; " - " &amp; B1173 &amp; " (" &amp; VLOOKUP(C1173, Tbl_ColorMap[],2,false) &amp; ")"</f>
        <v>7037000 - Unset (Red)</v>
      </c>
      <c r="E1173" s="23"/>
      <c r="L1173" s="23"/>
    </row>
    <row r="1174">
      <c r="A1174" s="19">
        <v>7037300.0</v>
      </c>
      <c r="B1174" s="19" t="s">
        <v>182</v>
      </c>
      <c r="C1174" s="19">
        <v>0.0</v>
      </c>
      <c r="D1174" s="19" t="str">
        <f>A1174 &amp; " - " &amp; B1174 &amp; " (" &amp; VLOOKUP(C1174, Tbl_ColorMap[],2,false) &amp; ")"</f>
        <v>7037300 - Unset (Red)</v>
      </c>
      <c r="E1174" s="23"/>
      <c r="L1174" s="23"/>
    </row>
    <row r="1175">
      <c r="A1175" s="19">
        <v>7037600.0</v>
      </c>
      <c r="B1175" s="19" t="s">
        <v>182</v>
      </c>
      <c r="C1175" s="19">
        <v>0.0</v>
      </c>
      <c r="D1175" s="19" t="str">
        <f>A1175 &amp; " - " &amp; B1175 &amp; " (" &amp; VLOOKUP(C1175, Tbl_ColorMap[],2,false) &amp; ")"</f>
        <v>7037600 - Unset (Red)</v>
      </c>
      <c r="E1175" s="23"/>
      <c r="L1175" s="23"/>
    </row>
    <row r="1176">
      <c r="A1176" s="19">
        <v>7037700.0</v>
      </c>
      <c r="B1176" s="19" t="s">
        <v>182</v>
      </c>
      <c r="C1176" s="19">
        <v>0.0</v>
      </c>
      <c r="D1176" s="19" t="str">
        <f>A1176 &amp; " - " &amp; B1176 &amp; " (" &amp; VLOOKUP(C1176, Tbl_ColorMap[],2,false) &amp; ")"</f>
        <v>7037700 - Unset (Red)</v>
      </c>
      <c r="E1176" s="23"/>
      <c r="L1176" s="23"/>
    </row>
    <row r="1177">
      <c r="A1177" s="19">
        <v>7037800.0</v>
      </c>
      <c r="B1177" s="19" t="s">
        <v>182</v>
      </c>
      <c r="C1177" s="19">
        <v>0.0</v>
      </c>
      <c r="D1177" s="19" t="str">
        <f>A1177 &amp; " - " &amp; B1177 &amp; " (" &amp; VLOOKUP(C1177, Tbl_ColorMap[],2,false) &amp; ")"</f>
        <v>7037800 - Unset (Red)</v>
      </c>
      <c r="E1177" s="23"/>
      <c r="L1177" s="23"/>
    </row>
    <row r="1178">
      <c r="A1178" s="19">
        <v>7040000.0</v>
      </c>
      <c r="B1178" s="19" t="s">
        <v>182</v>
      </c>
      <c r="C1178" s="19">
        <v>0.0</v>
      </c>
      <c r="D1178" s="19" t="str">
        <f>A1178 &amp; " - " &amp; B1178 &amp; " (" &amp; VLOOKUP(C1178, Tbl_ColorMap[],2,false) &amp; ")"</f>
        <v>7040000 - Unset (Red)</v>
      </c>
      <c r="E1178" s="23"/>
      <c r="L1178" s="23"/>
    </row>
    <row r="1179">
      <c r="A1179" s="19">
        <v>7040100.0</v>
      </c>
      <c r="B1179" s="19" t="s">
        <v>182</v>
      </c>
      <c r="C1179" s="19">
        <v>0.0</v>
      </c>
      <c r="D1179" s="19" t="str">
        <f>A1179 &amp; " - " &amp; B1179 &amp; " (" &amp; VLOOKUP(C1179, Tbl_ColorMap[],2,false) &amp; ")"</f>
        <v>7040100 - Unset (Red)</v>
      </c>
      <c r="E1179" s="23"/>
      <c r="L1179" s="23"/>
    </row>
    <row r="1180">
      <c r="A1180" s="19">
        <v>7040200.0</v>
      </c>
      <c r="B1180" s="19" t="s">
        <v>182</v>
      </c>
      <c r="C1180" s="19">
        <v>0.0</v>
      </c>
      <c r="D1180" s="19" t="str">
        <f>A1180 &amp; " - " &amp; B1180 &amp; " (" &amp; VLOOKUP(C1180, Tbl_ColorMap[],2,false) &amp; ")"</f>
        <v>7040200 - Unset (Red)</v>
      </c>
      <c r="E1180" s="23"/>
      <c r="L1180" s="23"/>
    </row>
    <row r="1181">
      <c r="A1181" s="19">
        <v>7040201.0</v>
      </c>
      <c r="B1181" s="19" t="s">
        <v>182</v>
      </c>
      <c r="C1181" s="19">
        <v>0.0</v>
      </c>
      <c r="D1181" s="19" t="str">
        <f>A1181 &amp; " - " &amp; B1181 &amp; " (" &amp; VLOOKUP(C1181, Tbl_ColorMap[],2,false) &amp; ")"</f>
        <v>7040201 - Unset (Red)</v>
      </c>
      <c r="E1181" s="23"/>
      <c r="L1181" s="23"/>
    </row>
    <row r="1182">
      <c r="A1182" s="19">
        <v>7040300.0</v>
      </c>
      <c r="B1182" s="19" t="s">
        <v>182</v>
      </c>
      <c r="C1182" s="19">
        <v>0.0</v>
      </c>
      <c r="D1182" s="19" t="str">
        <f>A1182 &amp; " - " &amp; B1182 &amp; " (" &amp; VLOOKUP(C1182, Tbl_ColorMap[],2,false) &amp; ")"</f>
        <v>7040300 - Unset (Red)</v>
      </c>
      <c r="E1182" s="23"/>
      <c r="L1182" s="23"/>
    </row>
    <row r="1183">
      <c r="A1183" s="19">
        <v>7040400.0</v>
      </c>
      <c r="B1183" s="19" t="s">
        <v>182</v>
      </c>
      <c r="C1183" s="19">
        <v>0.0</v>
      </c>
      <c r="D1183" s="19" t="str">
        <f>A1183 &amp; " - " &amp; B1183 &amp; " (" &amp; VLOOKUP(C1183, Tbl_ColorMap[],2,false) &amp; ")"</f>
        <v>7040400 - Unset (Red)</v>
      </c>
      <c r="E1183" s="23"/>
      <c r="L1183" s="23"/>
    </row>
    <row r="1184">
      <c r="A1184" s="19">
        <v>7040500.0</v>
      </c>
      <c r="B1184" s="19" t="s">
        <v>182</v>
      </c>
      <c r="C1184" s="19">
        <v>0.0</v>
      </c>
      <c r="D1184" s="19" t="str">
        <f>A1184 &amp; " - " &amp; B1184 &amp; " (" &amp; VLOOKUP(C1184, Tbl_ColorMap[],2,false) &amp; ")"</f>
        <v>7040500 - Unset (Red)</v>
      </c>
      <c r="E1184" s="23"/>
      <c r="L1184" s="23"/>
    </row>
    <row r="1185">
      <c r="A1185" s="19">
        <v>7043000.0</v>
      </c>
      <c r="B1185" s="19" t="s">
        <v>182</v>
      </c>
      <c r="C1185" s="19">
        <v>0.0</v>
      </c>
      <c r="D1185" s="19" t="str">
        <f>A1185 &amp; " - " &amp; B1185 &amp; " (" &amp; VLOOKUP(C1185, Tbl_ColorMap[],2,false) &amp; ")"</f>
        <v>7043000 - Unset (Red)</v>
      </c>
      <c r="E1185" s="23"/>
      <c r="L1185" s="23"/>
    </row>
    <row r="1186">
      <c r="A1186" s="19">
        <v>7043100.0</v>
      </c>
      <c r="B1186" s="19" t="s">
        <v>182</v>
      </c>
      <c r="C1186" s="19">
        <v>0.0</v>
      </c>
      <c r="D1186" s="19" t="str">
        <f>A1186 &amp; " - " &amp; B1186 &amp; " (" &amp; VLOOKUP(C1186, Tbl_ColorMap[],2,false) &amp; ")"</f>
        <v>7043100 - Unset (Red)</v>
      </c>
      <c r="E1186" s="23"/>
      <c r="L1186" s="23"/>
    </row>
    <row r="1187">
      <c r="A1187" s="19">
        <v>7043200.0</v>
      </c>
      <c r="B1187" s="19" t="s">
        <v>182</v>
      </c>
      <c r="C1187" s="19">
        <v>0.0</v>
      </c>
      <c r="D1187" s="19" t="str">
        <f>A1187 &amp; " - " &amp; B1187 &amp; " (" &amp; VLOOKUP(C1187, Tbl_ColorMap[],2,false) &amp; ")"</f>
        <v>7043200 - Unset (Red)</v>
      </c>
      <c r="E1187" s="23"/>
      <c r="L1187" s="23"/>
    </row>
    <row r="1188">
      <c r="A1188" s="19">
        <v>7043300.0</v>
      </c>
      <c r="B1188" s="19" t="s">
        <v>182</v>
      </c>
      <c r="C1188" s="19">
        <v>0.0</v>
      </c>
      <c r="D1188" s="19" t="str">
        <f>A1188 &amp; " - " &amp; B1188 &amp; " (" &amp; VLOOKUP(C1188, Tbl_ColorMap[],2,false) &amp; ")"</f>
        <v>7043300 - Unset (Red)</v>
      </c>
      <c r="E1188" s="23"/>
      <c r="L1188" s="23"/>
    </row>
    <row r="1189">
      <c r="A1189" s="19">
        <v>7043400.0</v>
      </c>
      <c r="B1189" s="19" t="s">
        <v>182</v>
      </c>
      <c r="C1189" s="19">
        <v>0.0</v>
      </c>
      <c r="D1189" s="19" t="str">
        <f>A1189 &amp; " - " &amp; B1189 &amp; " (" &amp; VLOOKUP(C1189, Tbl_ColorMap[],2,false) &amp; ")"</f>
        <v>7043400 - Unset (Red)</v>
      </c>
      <c r="E1189" s="23"/>
      <c r="L1189" s="23"/>
    </row>
    <row r="1190">
      <c r="A1190" s="19">
        <v>7043500.0</v>
      </c>
      <c r="B1190" s="19" t="s">
        <v>182</v>
      </c>
      <c r="C1190" s="19">
        <v>0.0</v>
      </c>
      <c r="D1190" s="19" t="str">
        <f>A1190 &amp; " - " &amp; B1190 &amp; " (" &amp; VLOOKUP(C1190, Tbl_ColorMap[],2,false) &amp; ")"</f>
        <v>7043500 - Unset (Red)</v>
      </c>
      <c r="E1190" s="23"/>
      <c r="L1190" s="23"/>
    </row>
    <row r="1191">
      <c r="A1191" s="19">
        <v>7043600.0</v>
      </c>
      <c r="B1191" s="19" t="s">
        <v>182</v>
      </c>
      <c r="C1191" s="19">
        <v>0.0</v>
      </c>
      <c r="D1191" s="19" t="str">
        <f>A1191 &amp; " - " &amp; B1191 &amp; " (" &amp; VLOOKUP(C1191, Tbl_ColorMap[],2,false) &amp; ")"</f>
        <v>7043600 - Unset (Red)</v>
      </c>
      <c r="E1191" s="23"/>
      <c r="L1191" s="23"/>
    </row>
    <row r="1192">
      <c r="A1192" s="19">
        <v>7043700.0</v>
      </c>
      <c r="B1192" s="19" t="s">
        <v>182</v>
      </c>
      <c r="C1192" s="19">
        <v>0.0</v>
      </c>
      <c r="D1192" s="19" t="str">
        <f>A1192 &amp; " - " &amp; B1192 &amp; " (" &amp; VLOOKUP(C1192, Tbl_ColorMap[],2,false) &amp; ")"</f>
        <v>7043700 - Unset (Red)</v>
      </c>
      <c r="E1192" s="23"/>
      <c r="L1192" s="23"/>
    </row>
    <row r="1193">
      <c r="A1193" s="19">
        <v>7043800.0</v>
      </c>
      <c r="B1193" s="19" t="s">
        <v>182</v>
      </c>
      <c r="C1193" s="19">
        <v>0.0</v>
      </c>
      <c r="D1193" s="19" t="str">
        <f>A1193 &amp; " - " &amp; B1193 &amp; " (" &amp; VLOOKUP(C1193, Tbl_ColorMap[],2,false) &amp; ")"</f>
        <v>7043800 - Unset (Red)</v>
      </c>
      <c r="E1193" s="23"/>
      <c r="L1193" s="23"/>
    </row>
    <row r="1194">
      <c r="A1194" s="19">
        <v>7044000.0</v>
      </c>
      <c r="B1194" s="19" t="s">
        <v>182</v>
      </c>
      <c r="C1194" s="19">
        <v>0.0</v>
      </c>
      <c r="D1194" s="19" t="str">
        <f>A1194 &amp; " - " &amp; B1194 &amp; " (" &amp; VLOOKUP(C1194, Tbl_ColorMap[],2,false) &amp; ")"</f>
        <v>7044000 - Unset (Red)</v>
      </c>
      <c r="E1194" s="23"/>
      <c r="L1194" s="23"/>
    </row>
    <row r="1195">
      <c r="A1195" s="19">
        <v>7044100.0</v>
      </c>
      <c r="B1195" s="19" t="s">
        <v>182</v>
      </c>
      <c r="C1195" s="19">
        <v>0.0</v>
      </c>
      <c r="D1195" s="19" t="str">
        <f>A1195 &amp; " - " &amp; B1195 &amp; " (" &amp; VLOOKUP(C1195, Tbl_ColorMap[],2,false) &amp; ")"</f>
        <v>7044100 - Unset (Red)</v>
      </c>
      <c r="E1195" s="23"/>
      <c r="L1195" s="23"/>
    </row>
    <row r="1196">
      <c r="A1196" s="19">
        <v>7044200.0</v>
      </c>
      <c r="B1196" s="19" t="s">
        <v>182</v>
      </c>
      <c r="C1196" s="19">
        <v>0.0</v>
      </c>
      <c r="D1196" s="19" t="str">
        <f>A1196 &amp; " - " &amp; B1196 &amp; " (" &amp; VLOOKUP(C1196, Tbl_ColorMap[],2,false) &amp; ")"</f>
        <v>7044200 - Unset (Red)</v>
      </c>
      <c r="E1196" s="23"/>
      <c r="L1196" s="23"/>
    </row>
    <row r="1197">
      <c r="A1197" s="19">
        <v>7044300.0</v>
      </c>
      <c r="B1197" s="19" t="s">
        <v>182</v>
      </c>
      <c r="C1197" s="19">
        <v>0.0</v>
      </c>
      <c r="D1197" s="19" t="str">
        <f>A1197 &amp; " - " &amp; B1197 &amp; " (" &amp; VLOOKUP(C1197, Tbl_ColorMap[],2,false) &amp; ")"</f>
        <v>7044300 - Unset (Red)</v>
      </c>
      <c r="E1197" s="23"/>
      <c r="L1197" s="23"/>
    </row>
    <row r="1198">
      <c r="A1198" s="19">
        <v>7044400.0</v>
      </c>
      <c r="B1198" s="19" t="s">
        <v>182</v>
      </c>
      <c r="C1198" s="19">
        <v>0.0</v>
      </c>
      <c r="D1198" s="19" t="str">
        <f>A1198 &amp; " - " &amp; B1198 &amp; " (" &amp; VLOOKUP(C1198, Tbl_ColorMap[],2,false) &amp; ")"</f>
        <v>7044400 - Unset (Red)</v>
      </c>
      <c r="E1198" s="23"/>
      <c r="L1198" s="23"/>
    </row>
    <row r="1199">
      <c r="A1199" s="19">
        <v>7044500.0</v>
      </c>
      <c r="B1199" s="19" t="s">
        <v>182</v>
      </c>
      <c r="C1199" s="19">
        <v>0.0</v>
      </c>
      <c r="D1199" s="19" t="str">
        <f>A1199 &amp; " - " &amp; B1199 &amp; " (" &amp; VLOOKUP(C1199, Tbl_ColorMap[],2,false) &amp; ")"</f>
        <v>7044500 - Unset (Red)</v>
      </c>
      <c r="E1199" s="23"/>
      <c r="L1199" s="23"/>
    </row>
    <row r="1200">
      <c r="A1200" s="19">
        <v>7044600.0</v>
      </c>
      <c r="B1200" s="19" t="s">
        <v>182</v>
      </c>
      <c r="C1200" s="19">
        <v>0.0</v>
      </c>
      <c r="D1200" s="19" t="str">
        <f>A1200 &amp; " - " &amp; B1200 &amp; " (" &amp; VLOOKUP(C1200, Tbl_ColorMap[],2,false) &amp; ")"</f>
        <v>7044600 - Unset (Red)</v>
      </c>
      <c r="E1200" s="23"/>
      <c r="L1200" s="23"/>
    </row>
    <row r="1201">
      <c r="A1201" s="19">
        <v>7050000.0</v>
      </c>
      <c r="B1201" s="19" t="s">
        <v>182</v>
      </c>
      <c r="C1201" s="19">
        <v>0.0</v>
      </c>
      <c r="D1201" s="19" t="str">
        <f>A1201 &amp; " - " &amp; B1201 &amp; " (" &amp; VLOOKUP(C1201, Tbl_ColorMap[],2,false) &amp; ")"</f>
        <v>7050000 - Unset (Red)</v>
      </c>
      <c r="E1201" s="23"/>
      <c r="L1201" s="23"/>
    </row>
    <row r="1202">
      <c r="A1202" s="19">
        <v>7050100.0</v>
      </c>
      <c r="B1202" s="19" t="s">
        <v>182</v>
      </c>
      <c r="C1202" s="19">
        <v>0.0</v>
      </c>
      <c r="D1202" s="19" t="str">
        <f>A1202 &amp; " - " &amp; B1202 &amp; " (" &amp; VLOOKUP(C1202, Tbl_ColorMap[],2,false) &amp; ")"</f>
        <v>7050100 - Unset (Red)</v>
      </c>
      <c r="E1202" s="23"/>
      <c r="L1202" s="23"/>
    </row>
    <row r="1203">
      <c r="A1203" s="19">
        <v>7060000.0</v>
      </c>
      <c r="B1203" s="19" t="s">
        <v>182</v>
      </c>
      <c r="C1203" s="19">
        <v>0.0</v>
      </c>
      <c r="D1203" s="19" t="str">
        <f>A1203 &amp; " - " &amp; B1203 &amp; " (" &amp; VLOOKUP(C1203, Tbl_ColorMap[],2,false) &amp; ")"</f>
        <v>7060000 - Unset (Red)</v>
      </c>
      <c r="E1203" s="23"/>
      <c r="L1203" s="23"/>
    </row>
    <row r="1204">
      <c r="A1204" s="19">
        <v>7060100.0</v>
      </c>
      <c r="B1204" s="19" t="s">
        <v>182</v>
      </c>
      <c r="C1204" s="19">
        <v>0.0</v>
      </c>
      <c r="D1204" s="19" t="str">
        <f>A1204 &amp; " - " &amp; B1204 &amp; " (" &amp; VLOOKUP(C1204, Tbl_ColorMap[],2,false) &amp; ")"</f>
        <v>7060100 - Unset (Red)</v>
      </c>
      <c r="E1204" s="23"/>
      <c r="L1204" s="23"/>
    </row>
    <row r="1205">
      <c r="A1205" s="19">
        <v>7060200.0</v>
      </c>
      <c r="B1205" s="19" t="s">
        <v>182</v>
      </c>
      <c r="C1205" s="19">
        <v>0.0</v>
      </c>
      <c r="D1205" s="19" t="str">
        <f>A1205 &amp; " - " &amp; B1205 &amp; " (" &amp; VLOOKUP(C1205, Tbl_ColorMap[],2,false) &amp; ")"</f>
        <v>7060200 - Unset (Red)</v>
      </c>
      <c r="E1205" s="23"/>
      <c r="L1205" s="23"/>
    </row>
    <row r="1206">
      <c r="A1206" s="19">
        <v>7070000.0</v>
      </c>
      <c r="B1206" s="19" t="s">
        <v>182</v>
      </c>
      <c r="C1206" s="19">
        <v>0.0</v>
      </c>
      <c r="D1206" s="19" t="str">
        <f>A1206 &amp; " - " &amp; B1206 &amp; " (" &amp; VLOOKUP(C1206, Tbl_ColorMap[],2,false) &amp; ")"</f>
        <v>7070000 - Unset (Red)</v>
      </c>
      <c r="E1206" s="23"/>
      <c r="L1206" s="23"/>
    </row>
    <row r="1207">
      <c r="A1207" s="19">
        <v>7080000.0</v>
      </c>
      <c r="B1207" s="19" t="s">
        <v>182</v>
      </c>
      <c r="C1207" s="19">
        <v>0.0</v>
      </c>
      <c r="D1207" s="19" t="str">
        <f>A1207 &amp; " - " &amp; B1207 &amp; " (" &amp; VLOOKUP(C1207, Tbl_ColorMap[],2,false) &amp; ")"</f>
        <v>7080000 - Unset (Red)</v>
      </c>
      <c r="E1207" s="23"/>
      <c r="L1207" s="23"/>
    </row>
    <row r="1208">
      <c r="A1208" s="19">
        <v>7080100.0</v>
      </c>
      <c r="B1208" s="19" t="s">
        <v>182</v>
      </c>
      <c r="C1208" s="19">
        <v>0.0</v>
      </c>
      <c r="D1208" s="19" t="str">
        <f>A1208 &amp; " - " &amp; B1208 &amp; " (" &amp; VLOOKUP(C1208, Tbl_ColorMap[],2,false) &amp; ")"</f>
        <v>7080100 - Unset (Red)</v>
      </c>
      <c r="E1208" s="23"/>
      <c r="L1208" s="23"/>
    </row>
    <row r="1209">
      <c r="A1209" s="19">
        <v>7080200.0</v>
      </c>
      <c r="B1209" s="19" t="s">
        <v>182</v>
      </c>
      <c r="C1209" s="19">
        <v>0.0</v>
      </c>
      <c r="D1209" s="19" t="str">
        <f>A1209 &amp; " - " &amp; B1209 &amp; " (" &amp; VLOOKUP(C1209, Tbl_ColorMap[],2,false) &amp; ")"</f>
        <v>7080200 - Unset (Red)</v>
      </c>
      <c r="E1209" s="23"/>
      <c r="L1209" s="23"/>
    </row>
    <row r="1210">
      <c r="A1210" s="19">
        <v>7080300.0</v>
      </c>
      <c r="B1210" s="19" t="s">
        <v>182</v>
      </c>
      <c r="C1210" s="19">
        <v>0.0</v>
      </c>
      <c r="D1210" s="19" t="str">
        <f>A1210 &amp; " - " &amp; B1210 &amp; " (" &amp; VLOOKUP(C1210, Tbl_ColorMap[],2,false) &amp; ")"</f>
        <v>7080300 - Unset (Red)</v>
      </c>
      <c r="E1210" s="23"/>
      <c r="L1210" s="23"/>
    </row>
    <row r="1211">
      <c r="A1211" s="19">
        <v>7080400.0</v>
      </c>
      <c r="B1211" s="19" t="s">
        <v>182</v>
      </c>
      <c r="C1211" s="19">
        <v>0.0</v>
      </c>
      <c r="D1211" s="19" t="str">
        <f>A1211 &amp; " - " &amp; B1211 &amp; " (" &amp; VLOOKUP(C1211, Tbl_ColorMap[],2,false) &amp; ")"</f>
        <v>7080400 - Unset (Red)</v>
      </c>
      <c r="E1211" s="23"/>
      <c r="L1211" s="23"/>
    </row>
    <row r="1212">
      <c r="A1212" s="19">
        <v>7080500.0</v>
      </c>
      <c r="B1212" s="19" t="s">
        <v>182</v>
      </c>
      <c r="C1212" s="19">
        <v>0.0</v>
      </c>
      <c r="D1212" s="19" t="str">
        <f>A1212 &amp; " - " &amp; B1212 &amp; " (" &amp; VLOOKUP(C1212, Tbl_ColorMap[],2,false) &amp; ")"</f>
        <v>7080500 - Unset (Red)</v>
      </c>
      <c r="E1212" s="23"/>
      <c r="L1212" s="23"/>
    </row>
    <row r="1213">
      <c r="A1213" s="19">
        <v>7080600.0</v>
      </c>
      <c r="B1213" s="19" t="s">
        <v>182</v>
      </c>
      <c r="C1213" s="19">
        <v>0.0</v>
      </c>
      <c r="D1213" s="19" t="str">
        <f>A1213 &amp; " - " &amp; B1213 &amp; " (" &amp; VLOOKUP(C1213, Tbl_ColorMap[],2,false) &amp; ")"</f>
        <v>7080600 - Unset (Red)</v>
      </c>
      <c r="E1213" s="23"/>
      <c r="L1213" s="23"/>
    </row>
    <row r="1214">
      <c r="A1214" s="19">
        <v>7080700.0</v>
      </c>
      <c r="B1214" s="19" t="s">
        <v>182</v>
      </c>
      <c r="C1214" s="19">
        <v>0.0</v>
      </c>
      <c r="D1214" s="19" t="str">
        <f>A1214 &amp; " - " &amp; B1214 &amp; " (" &amp; VLOOKUP(C1214, Tbl_ColorMap[],2,false) &amp; ")"</f>
        <v>7080700 - Unset (Red)</v>
      </c>
      <c r="E1214" s="23"/>
      <c r="L1214" s="23"/>
    </row>
    <row r="1215">
      <c r="A1215" s="19">
        <v>7080800.0</v>
      </c>
      <c r="B1215" s="19" t="s">
        <v>182</v>
      </c>
      <c r="C1215" s="19">
        <v>0.0</v>
      </c>
      <c r="D1215" s="19" t="str">
        <f>A1215 &amp; " - " &amp; B1215 &amp; " (" &amp; VLOOKUP(C1215, Tbl_ColorMap[],2,false) &amp; ")"</f>
        <v>7080800 - Unset (Red)</v>
      </c>
      <c r="E1215" s="23"/>
      <c r="L1215" s="23"/>
    </row>
    <row r="1216">
      <c r="A1216" s="19">
        <v>7080900.0</v>
      </c>
      <c r="B1216" s="19" t="s">
        <v>182</v>
      </c>
      <c r="C1216" s="19">
        <v>0.0</v>
      </c>
      <c r="D1216" s="19" t="str">
        <f>A1216 &amp; " - " &amp; B1216 &amp; " (" &amp; VLOOKUP(C1216, Tbl_ColorMap[],2,false) &amp; ")"</f>
        <v>7080900 - Unset (Red)</v>
      </c>
      <c r="E1216" s="23"/>
      <c r="L1216" s="23"/>
    </row>
    <row r="1217">
      <c r="A1217" s="19">
        <v>7081000.0</v>
      </c>
      <c r="B1217" s="19" t="s">
        <v>182</v>
      </c>
      <c r="C1217" s="19">
        <v>0.0</v>
      </c>
      <c r="D1217" s="19" t="str">
        <f>A1217 &amp; " - " &amp; B1217 &amp; " (" &amp; VLOOKUP(C1217, Tbl_ColorMap[],2,false) &amp; ")"</f>
        <v>7081000 - Unset (Red)</v>
      </c>
      <c r="E1217" s="23"/>
      <c r="L1217" s="23"/>
    </row>
    <row r="1218">
      <c r="A1218" s="19">
        <v>7081100.0</v>
      </c>
      <c r="B1218" s="19" t="s">
        <v>182</v>
      </c>
      <c r="C1218" s="19">
        <v>0.0</v>
      </c>
      <c r="D1218" s="19" t="str">
        <f>A1218 &amp; " - " &amp; B1218 &amp; " (" &amp; VLOOKUP(C1218, Tbl_ColorMap[],2,false) &amp; ")"</f>
        <v>7081100 - Unset (Red)</v>
      </c>
      <c r="E1218" s="23"/>
      <c r="L1218" s="23"/>
    </row>
    <row r="1219">
      <c r="A1219" s="19">
        <v>7081200.0</v>
      </c>
      <c r="B1219" s="19" t="s">
        <v>182</v>
      </c>
      <c r="C1219" s="19">
        <v>0.0</v>
      </c>
      <c r="D1219" s="19" t="str">
        <f>A1219 &amp; " - " &amp; B1219 &amp; " (" &amp; VLOOKUP(C1219, Tbl_ColorMap[],2,false) &amp; ")"</f>
        <v>7081200 - Unset (Red)</v>
      </c>
      <c r="E1219" s="23"/>
      <c r="L1219" s="23"/>
    </row>
    <row r="1220">
      <c r="A1220" s="19">
        <v>7081300.0</v>
      </c>
      <c r="B1220" s="19" t="s">
        <v>182</v>
      </c>
      <c r="C1220" s="19">
        <v>0.0</v>
      </c>
      <c r="D1220" s="19" t="str">
        <f>A1220 &amp; " - " &amp; B1220 &amp; " (" &amp; VLOOKUP(C1220, Tbl_ColorMap[],2,false) &amp; ")"</f>
        <v>7081300 - Unset (Red)</v>
      </c>
      <c r="E1220" s="23"/>
      <c r="L1220" s="23"/>
    </row>
    <row r="1221">
      <c r="A1221" s="19">
        <v>7081400.0</v>
      </c>
      <c r="B1221" s="19" t="s">
        <v>182</v>
      </c>
      <c r="C1221" s="19">
        <v>0.0</v>
      </c>
      <c r="D1221" s="19" t="str">
        <f>A1221 &amp; " - " &amp; B1221 &amp; " (" &amp; VLOOKUP(C1221, Tbl_ColorMap[],2,false) &amp; ")"</f>
        <v>7081400 - Unset (Red)</v>
      </c>
      <c r="E1221" s="23"/>
      <c r="L1221" s="23"/>
    </row>
    <row r="1222">
      <c r="A1222" s="19">
        <v>7081500.0</v>
      </c>
      <c r="B1222" s="19" t="s">
        <v>182</v>
      </c>
      <c r="C1222" s="19">
        <v>0.0</v>
      </c>
      <c r="D1222" s="19" t="str">
        <f>A1222 &amp; " - " &amp; B1222 &amp; " (" &amp; VLOOKUP(C1222, Tbl_ColorMap[],2,false) &amp; ")"</f>
        <v>7081500 - Unset (Red)</v>
      </c>
      <c r="E1222" s="23"/>
      <c r="L1222" s="23"/>
    </row>
    <row r="1223">
      <c r="A1223" s="19">
        <v>7081700.0</v>
      </c>
      <c r="B1223" s="19" t="s">
        <v>182</v>
      </c>
      <c r="C1223" s="19">
        <v>0.0</v>
      </c>
      <c r="D1223" s="19" t="str">
        <f>A1223 &amp; " - " &amp; B1223 &amp; " (" &amp; VLOOKUP(C1223, Tbl_ColorMap[],2,false) &amp; ")"</f>
        <v>7081700 - Unset (Red)</v>
      </c>
      <c r="E1223" s="23"/>
      <c r="L1223" s="23"/>
    </row>
    <row r="1224">
      <c r="A1224" s="19">
        <v>7081800.0</v>
      </c>
      <c r="B1224" s="19" t="s">
        <v>182</v>
      </c>
      <c r="C1224" s="19">
        <v>0.0</v>
      </c>
      <c r="D1224" s="19" t="str">
        <f>A1224 &amp; " - " &amp; B1224 &amp; " (" &amp; VLOOKUP(C1224, Tbl_ColorMap[],2,false) &amp; ")"</f>
        <v>7081800 - Unset (Red)</v>
      </c>
      <c r="E1224" s="23"/>
      <c r="L1224" s="23"/>
    </row>
    <row r="1225">
      <c r="A1225" s="19">
        <v>7081900.0</v>
      </c>
      <c r="B1225" s="19" t="s">
        <v>182</v>
      </c>
      <c r="C1225" s="19">
        <v>0.0</v>
      </c>
      <c r="D1225" s="19" t="str">
        <f>A1225 &amp; " - " &amp; B1225 &amp; " (" &amp; VLOOKUP(C1225, Tbl_ColorMap[],2,false) &amp; ")"</f>
        <v>7081900 - Unset (Red)</v>
      </c>
      <c r="E1225" s="23"/>
      <c r="L1225" s="23"/>
    </row>
    <row r="1226">
      <c r="A1226" s="19">
        <v>7082000.0</v>
      </c>
      <c r="B1226" s="19" t="s">
        <v>182</v>
      </c>
      <c r="C1226" s="19">
        <v>0.0</v>
      </c>
      <c r="D1226" s="19" t="str">
        <f>A1226 &amp; " - " &amp; B1226 &amp; " (" &amp; VLOOKUP(C1226, Tbl_ColorMap[],2,false) &amp; ")"</f>
        <v>7082000 - Unset (Red)</v>
      </c>
      <c r="E1226" s="23"/>
      <c r="L1226" s="23"/>
    </row>
    <row r="1227">
      <c r="A1227" s="19">
        <v>7082100.0</v>
      </c>
      <c r="B1227" s="19" t="s">
        <v>182</v>
      </c>
      <c r="C1227" s="19">
        <v>0.0</v>
      </c>
      <c r="D1227" s="19" t="str">
        <f>A1227 &amp; " - " &amp; B1227 &amp; " (" &amp; VLOOKUP(C1227, Tbl_ColorMap[],2,false) &amp; ")"</f>
        <v>7082100 - Unset (Red)</v>
      </c>
      <c r="E1227" s="23"/>
      <c r="L1227" s="23"/>
    </row>
    <row r="1228">
      <c r="A1228" s="19">
        <v>7082200.0</v>
      </c>
      <c r="B1228" s="19" t="s">
        <v>182</v>
      </c>
      <c r="C1228" s="19">
        <v>0.0</v>
      </c>
      <c r="D1228" s="19" t="str">
        <f>A1228 &amp; " - " &amp; B1228 &amp; " (" &amp; VLOOKUP(C1228, Tbl_ColorMap[],2,false) &amp; ")"</f>
        <v>7082200 - Unset (Red)</v>
      </c>
      <c r="E1228" s="23"/>
      <c r="L1228" s="23"/>
    </row>
    <row r="1229">
      <c r="A1229" s="19">
        <v>7082300.0</v>
      </c>
      <c r="B1229" s="19" t="s">
        <v>182</v>
      </c>
      <c r="C1229" s="19">
        <v>0.0</v>
      </c>
      <c r="D1229" s="19" t="str">
        <f>A1229 &amp; " - " &amp; B1229 &amp; " (" &amp; VLOOKUP(C1229, Tbl_ColorMap[],2,false) &amp; ")"</f>
        <v>7082300 - Unset (Red)</v>
      </c>
      <c r="E1229" s="23"/>
      <c r="L1229" s="23"/>
    </row>
    <row r="1230">
      <c r="A1230" s="19">
        <v>7082400.0</v>
      </c>
      <c r="B1230" s="19" t="s">
        <v>182</v>
      </c>
      <c r="C1230" s="19">
        <v>0.0</v>
      </c>
      <c r="D1230" s="19" t="str">
        <f>A1230 &amp; " - " &amp; B1230 &amp; " (" &amp; VLOOKUP(C1230, Tbl_ColorMap[],2,false) &amp; ")"</f>
        <v>7082400 - Unset (Red)</v>
      </c>
      <c r="E1230" s="23"/>
      <c r="L1230" s="23"/>
    </row>
    <row r="1231">
      <c r="A1231" s="19">
        <v>7082500.0</v>
      </c>
      <c r="B1231" s="19" t="s">
        <v>182</v>
      </c>
      <c r="C1231" s="19">
        <v>0.0</v>
      </c>
      <c r="D1231" s="19" t="str">
        <f>A1231 &amp; " - " &amp; B1231 &amp; " (" &amp; VLOOKUP(C1231, Tbl_ColorMap[],2,false) &amp; ")"</f>
        <v>7082500 - Unset (Red)</v>
      </c>
      <c r="E1231" s="23"/>
      <c r="L1231" s="23"/>
    </row>
    <row r="1232">
      <c r="A1232" s="19">
        <v>7082600.0</v>
      </c>
      <c r="B1232" s="19" t="s">
        <v>182</v>
      </c>
      <c r="C1232" s="19">
        <v>0.0</v>
      </c>
      <c r="D1232" s="19" t="str">
        <f>A1232 &amp; " - " &amp; B1232 &amp; " (" &amp; VLOOKUP(C1232, Tbl_ColorMap[],2,false) &amp; ")"</f>
        <v>7082600 - Unset (Red)</v>
      </c>
      <c r="E1232" s="23"/>
      <c r="L1232" s="23"/>
    </row>
    <row r="1233">
      <c r="A1233" s="19">
        <v>7082700.0</v>
      </c>
      <c r="B1233" s="19" t="s">
        <v>182</v>
      </c>
      <c r="C1233" s="19">
        <v>0.0</v>
      </c>
      <c r="D1233" s="19" t="str">
        <f>A1233 &amp; " - " &amp; B1233 &amp; " (" &amp; VLOOKUP(C1233, Tbl_ColorMap[],2,false) &amp; ")"</f>
        <v>7082700 - Unset (Red)</v>
      </c>
      <c r="E1233" s="23"/>
      <c r="L1233" s="23"/>
    </row>
    <row r="1234">
      <c r="A1234" s="19">
        <v>7082800.0</v>
      </c>
      <c r="B1234" s="19" t="s">
        <v>182</v>
      </c>
      <c r="C1234" s="19">
        <v>0.0</v>
      </c>
      <c r="D1234" s="19" t="str">
        <f>A1234 &amp; " - " &amp; B1234 &amp; " (" &amp; VLOOKUP(C1234, Tbl_ColorMap[],2,false) &amp; ")"</f>
        <v>7082800 - Unset (Red)</v>
      </c>
      <c r="E1234" s="23"/>
      <c r="L1234" s="23"/>
    </row>
    <row r="1235">
      <c r="A1235" s="19">
        <v>7082900.0</v>
      </c>
      <c r="B1235" s="19" t="s">
        <v>182</v>
      </c>
      <c r="C1235" s="19">
        <v>0.0</v>
      </c>
      <c r="D1235" s="19" t="str">
        <f>A1235 &amp; " - " &amp; B1235 &amp; " (" &amp; VLOOKUP(C1235, Tbl_ColorMap[],2,false) &amp; ")"</f>
        <v>7082900 - Unset (Red)</v>
      </c>
      <c r="E1235" s="23"/>
      <c r="L1235" s="23"/>
    </row>
    <row r="1236">
      <c r="A1236" s="19">
        <v>7090000.0</v>
      </c>
      <c r="B1236" s="19" t="s">
        <v>182</v>
      </c>
      <c r="C1236" s="19">
        <v>0.0</v>
      </c>
      <c r="D1236" s="19" t="str">
        <f>A1236 &amp; " - " &amp; B1236 &amp; " (" &amp; VLOOKUP(C1236, Tbl_ColorMap[],2,false) &amp; ")"</f>
        <v>7090000 - Unset (Red)</v>
      </c>
      <c r="E1236" s="23"/>
      <c r="L1236" s="23"/>
    </row>
    <row r="1237">
      <c r="A1237" s="19">
        <v>7090100.0</v>
      </c>
      <c r="B1237" s="19" t="s">
        <v>182</v>
      </c>
      <c r="C1237" s="19">
        <v>0.0</v>
      </c>
      <c r="D1237" s="19" t="str">
        <f>A1237 &amp; " - " &amp; B1237 &amp; " (" &amp; VLOOKUP(C1237, Tbl_ColorMap[],2,false) &amp; ")"</f>
        <v>7090100 - Unset (Red)</v>
      </c>
      <c r="E1237" s="23"/>
      <c r="L1237" s="23"/>
    </row>
    <row r="1238">
      <c r="A1238" s="19">
        <v>7090300.0</v>
      </c>
      <c r="B1238" s="19" t="s">
        <v>182</v>
      </c>
      <c r="C1238" s="19">
        <v>0.0</v>
      </c>
      <c r="D1238" s="19" t="str">
        <f>A1238 &amp; " - " &amp; B1238 &amp; " (" &amp; VLOOKUP(C1238, Tbl_ColorMap[],2,false) &amp; ")"</f>
        <v>7090300 - Unset (Red)</v>
      </c>
      <c r="E1238" s="23"/>
      <c r="L1238" s="23"/>
    </row>
    <row r="1239">
      <c r="A1239" s="19">
        <v>7100100.0</v>
      </c>
      <c r="B1239" s="19" t="s">
        <v>182</v>
      </c>
      <c r="C1239" s="19">
        <v>0.0</v>
      </c>
      <c r="D1239" s="19" t="str">
        <f>A1239 &amp; " - " &amp; B1239 &amp; " (" &amp; VLOOKUP(C1239, Tbl_ColorMap[],2,false) &amp; ")"</f>
        <v>7100100 - Unset (Red)</v>
      </c>
      <c r="E1239" s="23"/>
      <c r="L1239" s="23"/>
    </row>
    <row r="1240">
      <c r="A1240" s="19">
        <v>7100110.0</v>
      </c>
      <c r="B1240" s="19" t="s">
        <v>182</v>
      </c>
      <c r="C1240" s="19">
        <v>0.0</v>
      </c>
      <c r="D1240" s="19" t="str">
        <f>A1240 &amp; " - " &amp; B1240 &amp; " (" &amp; VLOOKUP(C1240, Tbl_ColorMap[],2,false) &amp; ")"</f>
        <v>7100110 - Unset (Red)</v>
      </c>
      <c r="E1240" s="23"/>
      <c r="L1240" s="23"/>
    </row>
    <row r="1241">
      <c r="A1241" s="19">
        <v>7110000.0</v>
      </c>
      <c r="B1241" s="19" t="s">
        <v>182</v>
      </c>
      <c r="C1241" s="19">
        <v>0.0</v>
      </c>
      <c r="D1241" s="19" t="str">
        <f>A1241 &amp; " - " &amp; B1241 &amp; " (" &amp; VLOOKUP(C1241, Tbl_ColorMap[],2,false) &amp; ")"</f>
        <v>7110000 - Unset (Red)</v>
      </c>
      <c r="E1241" s="23"/>
      <c r="L1241" s="23"/>
    </row>
    <row r="1242">
      <c r="A1242" s="19">
        <v>7120000.0</v>
      </c>
      <c r="B1242" s="19" t="s">
        <v>182</v>
      </c>
      <c r="C1242" s="19">
        <v>0.0</v>
      </c>
      <c r="D1242" s="19" t="str">
        <f>A1242 &amp; " - " &amp; B1242 &amp; " (" &amp; VLOOKUP(C1242, Tbl_ColorMap[],2,false) &amp; ")"</f>
        <v>7120000 - Unset (Red)</v>
      </c>
      <c r="E1242" s="23"/>
      <c r="L1242" s="23"/>
    </row>
    <row r="1243">
      <c r="A1243" s="19">
        <v>7120100.0</v>
      </c>
      <c r="B1243" s="19" t="s">
        <v>182</v>
      </c>
      <c r="C1243" s="19">
        <v>0.0</v>
      </c>
      <c r="D1243" s="19" t="str">
        <f>A1243 &amp; " - " &amp; B1243 &amp; " (" &amp; VLOOKUP(C1243, Tbl_ColorMap[],2,false) &amp; ")"</f>
        <v>7120100 - Unset (Red)</v>
      </c>
      <c r="E1243" s="23"/>
      <c r="L1243" s="23"/>
    </row>
    <row r="1244">
      <c r="A1244" s="19">
        <v>7120200.0</v>
      </c>
      <c r="B1244" s="19" t="s">
        <v>182</v>
      </c>
      <c r="C1244" s="19">
        <v>0.0</v>
      </c>
      <c r="D1244" s="19" t="str">
        <f>A1244 &amp; " - " &amp; B1244 &amp; " (" &amp; VLOOKUP(C1244, Tbl_ColorMap[],2,false) &amp; ")"</f>
        <v>7120200 - Unset (Red)</v>
      </c>
      <c r="E1244" s="23"/>
      <c r="L1244" s="23"/>
    </row>
    <row r="1245">
      <c r="A1245" s="19">
        <v>7120300.0</v>
      </c>
      <c r="B1245" s="19" t="s">
        <v>182</v>
      </c>
      <c r="C1245" s="19">
        <v>0.0</v>
      </c>
      <c r="D1245" s="19" t="str">
        <f>A1245 &amp; " - " &amp; B1245 &amp; " (" &amp; VLOOKUP(C1245, Tbl_ColorMap[],2,false) &amp; ")"</f>
        <v>7120300 - Unset (Red)</v>
      </c>
      <c r="E1245" s="23"/>
      <c r="L1245" s="23"/>
    </row>
    <row r="1246">
      <c r="A1246" s="19">
        <v>7120400.0</v>
      </c>
      <c r="B1246" s="19" t="s">
        <v>182</v>
      </c>
      <c r="C1246" s="19">
        <v>0.0</v>
      </c>
      <c r="D1246" s="19" t="str">
        <f>A1246 &amp; " - " &amp; B1246 &amp; " (" &amp; VLOOKUP(C1246, Tbl_ColorMap[],2,false) &amp; ")"</f>
        <v>7120400 - Unset (Red)</v>
      </c>
      <c r="E1246" s="23"/>
      <c r="L1246" s="23"/>
    </row>
    <row r="1247">
      <c r="A1247" s="19">
        <v>7120500.0</v>
      </c>
      <c r="B1247" s="19" t="s">
        <v>182</v>
      </c>
      <c r="C1247" s="19">
        <v>0.0</v>
      </c>
      <c r="D1247" s="19" t="str">
        <f>A1247 &amp; " - " &amp; B1247 &amp; " (" &amp; VLOOKUP(C1247, Tbl_ColorMap[],2,false) &amp; ")"</f>
        <v>7120500 - Unset (Red)</v>
      </c>
      <c r="E1247" s="23"/>
      <c r="L1247" s="23"/>
    </row>
    <row r="1248">
      <c r="A1248" s="19">
        <v>7120600.0</v>
      </c>
      <c r="B1248" s="19" t="s">
        <v>182</v>
      </c>
      <c r="C1248" s="19">
        <v>0.0</v>
      </c>
      <c r="D1248" s="19" t="str">
        <f>A1248 &amp; " - " &amp; B1248 &amp; " (" &amp; VLOOKUP(C1248, Tbl_ColorMap[],2,false) &amp; ")"</f>
        <v>7120600 - Unset (Red)</v>
      </c>
      <c r="E1248" s="23"/>
      <c r="L1248" s="23"/>
    </row>
    <row r="1249">
      <c r="A1249" s="19">
        <v>7120900.0</v>
      </c>
      <c r="B1249" s="19" t="s">
        <v>182</v>
      </c>
      <c r="C1249" s="19">
        <v>0.0</v>
      </c>
      <c r="D1249" s="19" t="str">
        <f>A1249 &amp; " - " &amp; B1249 &amp; " (" &amp; VLOOKUP(C1249, Tbl_ColorMap[],2,false) &amp; ")"</f>
        <v>7120900 - Unset (Red)</v>
      </c>
      <c r="E1249" s="23"/>
      <c r="L1249" s="23"/>
    </row>
    <row r="1250">
      <c r="A1250" s="19">
        <v>7121000.0</v>
      </c>
      <c r="B1250" s="19" t="s">
        <v>182</v>
      </c>
      <c r="C1250" s="19">
        <v>0.0</v>
      </c>
      <c r="D1250" s="19" t="str">
        <f>A1250 &amp; " - " &amp; B1250 &amp; " (" &amp; VLOOKUP(C1250, Tbl_ColorMap[],2,false) &amp; ")"</f>
        <v>7121000 - Unset (Red)</v>
      </c>
      <c r="E1250" s="23"/>
      <c r="L1250" s="23"/>
    </row>
    <row r="1251">
      <c r="A1251" s="19">
        <v>7121100.0</v>
      </c>
      <c r="B1251" s="19" t="s">
        <v>182</v>
      </c>
      <c r="C1251" s="19">
        <v>0.0</v>
      </c>
      <c r="D1251" s="19" t="str">
        <f>A1251 &amp; " - " &amp; B1251 &amp; " (" &amp; VLOOKUP(C1251, Tbl_ColorMap[],2,false) &amp; ")"</f>
        <v>7121100 - Unset (Red)</v>
      </c>
      <c r="E1251" s="23"/>
      <c r="L1251" s="23"/>
    </row>
    <row r="1252">
      <c r="A1252" s="19">
        <v>7121200.0</v>
      </c>
      <c r="B1252" s="19" t="s">
        <v>182</v>
      </c>
      <c r="C1252" s="19">
        <v>0.0</v>
      </c>
      <c r="D1252" s="19" t="str">
        <f>A1252 &amp; " - " &amp; B1252 &amp; " (" &amp; VLOOKUP(C1252, Tbl_ColorMap[],2,false) &amp; ")"</f>
        <v>7121200 - Unset (Red)</v>
      </c>
      <c r="E1252" s="23"/>
      <c r="L1252" s="23"/>
    </row>
    <row r="1253">
      <c r="A1253" s="19">
        <v>7121300.0</v>
      </c>
      <c r="B1253" s="19" t="s">
        <v>182</v>
      </c>
      <c r="C1253" s="19">
        <v>0.0</v>
      </c>
      <c r="D1253" s="19" t="str">
        <f>A1253 &amp; " - " &amp; B1253 &amp; " (" &amp; VLOOKUP(C1253, Tbl_ColorMap[],2,false) &amp; ")"</f>
        <v>7121300 - Unset (Red)</v>
      </c>
      <c r="E1253" s="23"/>
      <c r="L1253" s="23"/>
    </row>
    <row r="1254">
      <c r="A1254" s="19">
        <v>7121400.0</v>
      </c>
      <c r="B1254" s="19" t="s">
        <v>182</v>
      </c>
      <c r="C1254" s="19">
        <v>0.0</v>
      </c>
      <c r="D1254" s="19" t="str">
        <f>A1254 &amp; " - " &amp; B1254 &amp; " (" &amp; VLOOKUP(C1254, Tbl_ColorMap[],2,false) &amp; ")"</f>
        <v>7121400 - Unset (Red)</v>
      </c>
      <c r="E1254" s="23"/>
      <c r="L1254" s="23"/>
    </row>
    <row r="1255">
      <c r="A1255" s="19">
        <v>7121500.0</v>
      </c>
      <c r="B1255" s="19" t="s">
        <v>182</v>
      </c>
      <c r="C1255" s="19">
        <v>0.0</v>
      </c>
      <c r="D1255" s="19" t="str">
        <f>A1255 &amp; " - " &amp; B1255 &amp; " (" &amp; VLOOKUP(C1255, Tbl_ColorMap[],2,false) &amp; ")"</f>
        <v>7121500 - Unset (Red)</v>
      </c>
      <c r="E1255" s="23"/>
      <c r="L1255" s="23"/>
    </row>
    <row r="1256">
      <c r="A1256" s="19">
        <v>7121600.0</v>
      </c>
      <c r="B1256" s="19" t="s">
        <v>182</v>
      </c>
      <c r="C1256" s="19">
        <v>0.0</v>
      </c>
      <c r="D1256" s="19" t="str">
        <f>A1256 &amp; " - " &amp; B1256 &amp; " (" &amp; VLOOKUP(C1256, Tbl_ColorMap[],2,false) &amp; ")"</f>
        <v>7121600 - Unset (Red)</v>
      </c>
      <c r="E1256" s="23"/>
      <c r="L1256" s="23"/>
    </row>
    <row r="1257">
      <c r="A1257" s="19">
        <v>7121700.0</v>
      </c>
      <c r="B1257" s="19" t="s">
        <v>182</v>
      </c>
      <c r="C1257" s="19">
        <v>0.0</v>
      </c>
      <c r="D1257" s="19" t="str">
        <f>A1257 &amp; " - " &amp; B1257 &amp; " (" &amp; VLOOKUP(C1257, Tbl_ColorMap[],2,false) &amp; ")"</f>
        <v>7121700 - Unset (Red)</v>
      </c>
      <c r="E1257" s="23"/>
      <c r="L1257" s="23"/>
    </row>
    <row r="1258">
      <c r="A1258" s="19">
        <v>7121800.0</v>
      </c>
      <c r="B1258" s="19" t="s">
        <v>182</v>
      </c>
      <c r="C1258" s="19">
        <v>0.0</v>
      </c>
      <c r="D1258" s="19" t="str">
        <f>A1258 &amp; " - " &amp; B1258 &amp; " (" &amp; VLOOKUP(C1258, Tbl_ColorMap[],2,false) &amp; ")"</f>
        <v>7121800 - Unset (Red)</v>
      </c>
      <c r="E1258" s="23"/>
      <c r="L1258" s="23"/>
    </row>
    <row r="1259">
      <c r="A1259" s="19">
        <v>7121900.0</v>
      </c>
      <c r="B1259" s="19" t="s">
        <v>182</v>
      </c>
      <c r="C1259" s="19">
        <v>0.0</v>
      </c>
      <c r="D1259" s="19" t="str">
        <f>A1259 &amp; " - " &amp; B1259 &amp; " (" &amp; VLOOKUP(C1259, Tbl_ColorMap[],2,false) &amp; ")"</f>
        <v>7121900 - Unset (Red)</v>
      </c>
      <c r="E1259" s="23"/>
      <c r="L1259" s="23"/>
    </row>
    <row r="1260">
      <c r="A1260" s="19">
        <v>7122000.0</v>
      </c>
      <c r="B1260" s="19" t="s">
        <v>182</v>
      </c>
      <c r="C1260" s="19">
        <v>0.0</v>
      </c>
      <c r="D1260" s="19" t="str">
        <f>A1260 &amp; " - " &amp; B1260 &amp; " (" &amp; VLOOKUP(C1260, Tbl_ColorMap[],2,false) &amp; ")"</f>
        <v>7122000 - Unset (Red)</v>
      </c>
      <c r="E1260" s="23"/>
      <c r="L1260" s="23"/>
    </row>
    <row r="1261">
      <c r="A1261" s="19">
        <v>7122100.0</v>
      </c>
      <c r="B1261" s="19" t="s">
        <v>182</v>
      </c>
      <c r="C1261" s="19">
        <v>0.0</v>
      </c>
      <c r="D1261" s="19" t="str">
        <f>A1261 &amp; " - " &amp; B1261 &amp; " (" &amp; VLOOKUP(C1261, Tbl_ColorMap[],2,false) &amp; ")"</f>
        <v>7122100 - Unset (Red)</v>
      </c>
      <c r="E1261" s="23"/>
      <c r="L1261" s="23"/>
    </row>
    <row r="1262">
      <c r="A1262" s="19">
        <v>7122200.0</v>
      </c>
      <c r="B1262" s="19" t="s">
        <v>182</v>
      </c>
      <c r="C1262" s="19">
        <v>0.0</v>
      </c>
      <c r="D1262" s="19" t="str">
        <f>A1262 &amp; " - " &amp; B1262 &amp; " (" &amp; VLOOKUP(C1262, Tbl_ColorMap[],2,false) &amp; ")"</f>
        <v>7122200 - Unset (Red)</v>
      </c>
      <c r="E1262" s="23"/>
      <c r="L1262" s="23"/>
    </row>
    <row r="1263">
      <c r="A1263" s="19">
        <v>7122300.0</v>
      </c>
      <c r="B1263" s="19" t="s">
        <v>182</v>
      </c>
      <c r="C1263" s="19">
        <v>0.0</v>
      </c>
      <c r="D1263" s="19" t="str">
        <f>A1263 &amp; " - " &amp; B1263 &amp; " (" &amp; VLOOKUP(C1263, Tbl_ColorMap[],2,false) &amp; ")"</f>
        <v>7122300 - Unset (Red)</v>
      </c>
      <c r="E1263" s="23"/>
      <c r="L1263" s="23"/>
    </row>
    <row r="1264">
      <c r="A1264" s="19">
        <v>7122400.0</v>
      </c>
      <c r="B1264" s="19" t="s">
        <v>182</v>
      </c>
      <c r="C1264" s="19">
        <v>0.0</v>
      </c>
      <c r="D1264" s="19" t="str">
        <f>A1264 &amp; " - " &amp; B1264 &amp; " (" &amp; VLOOKUP(C1264, Tbl_ColorMap[],2,false) &amp; ")"</f>
        <v>7122400 - Unset (Red)</v>
      </c>
      <c r="E1264" s="23"/>
      <c r="L1264" s="23"/>
    </row>
    <row r="1265">
      <c r="A1265" s="19">
        <v>7122500.0</v>
      </c>
      <c r="B1265" s="19" t="s">
        <v>182</v>
      </c>
      <c r="C1265" s="19">
        <v>0.0</v>
      </c>
      <c r="D1265" s="19" t="str">
        <f>A1265 &amp; " - " &amp; B1265 &amp; " (" &amp; VLOOKUP(C1265, Tbl_ColorMap[],2,false) &amp; ")"</f>
        <v>7122500 - Unset (Red)</v>
      </c>
      <c r="E1265" s="23"/>
      <c r="L1265" s="23"/>
    </row>
    <row r="1266">
      <c r="A1266" s="19">
        <v>7122600.0</v>
      </c>
      <c r="B1266" s="19" t="s">
        <v>182</v>
      </c>
      <c r="C1266" s="19">
        <v>0.0</v>
      </c>
      <c r="D1266" s="19" t="str">
        <f>A1266 &amp; " - " &amp; B1266 &amp; " (" &amp; VLOOKUP(C1266, Tbl_ColorMap[],2,false) &amp; ")"</f>
        <v>7122600 - Unset (Red)</v>
      </c>
      <c r="E1266" s="23"/>
      <c r="L1266" s="23"/>
    </row>
    <row r="1267">
      <c r="A1267" s="19">
        <v>7122700.0</v>
      </c>
      <c r="B1267" s="19" t="s">
        <v>182</v>
      </c>
      <c r="C1267" s="19">
        <v>0.0</v>
      </c>
      <c r="D1267" s="19" t="str">
        <f>A1267 &amp; " - " &amp; B1267 &amp; " (" &amp; VLOOKUP(C1267, Tbl_ColorMap[],2,false) &amp; ")"</f>
        <v>7122700 - Unset (Red)</v>
      </c>
      <c r="E1267" s="23"/>
      <c r="L1267" s="23"/>
    </row>
    <row r="1268">
      <c r="A1268" s="19">
        <v>7122800.0</v>
      </c>
      <c r="B1268" s="19" t="s">
        <v>182</v>
      </c>
      <c r="C1268" s="19">
        <v>0.0</v>
      </c>
      <c r="D1268" s="19" t="str">
        <f>A1268 &amp; " - " &amp; B1268 &amp; " (" &amp; VLOOKUP(C1268, Tbl_ColorMap[],2,false) &amp; ")"</f>
        <v>7122800 - Unset (Red)</v>
      </c>
      <c r="E1268" s="23"/>
      <c r="L1268" s="23"/>
    </row>
    <row r="1269">
      <c r="A1269" s="19">
        <v>7122900.0</v>
      </c>
      <c r="B1269" s="19" t="s">
        <v>182</v>
      </c>
      <c r="C1269" s="19">
        <v>0.0</v>
      </c>
      <c r="D1269" s="19" t="str">
        <f>A1269 &amp; " - " &amp; B1269 &amp; " (" &amp; VLOOKUP(C1269, Tbl_ColorMap[],2,false) &amp; ")"</f>
        <v>7122900 - Unset (Red)</v>
      </c>
      <c r="E1269" s="23"/>
      <c r="L1269" s="23"/>
    </row>
    <row r="1270">
      <c r="A1270" s="19">
        <v>7123000.0</v>
      </c>
      <c r="B1270" s="19" t="s">
        <v>182</v>
      </c>
      <c r="C1270" s="19">
        <v>0.0</v>
      </c>
      <c r="D1270" s="19" t="str">
        <f>A1270 &amp; " - " &amp; B1270 &amp; " (" &amp; VLOOKUP(C1270, Tbl_ColorMap[],2,false) &amp; ")"</f>
        <v>7123000 - Unset (Red)</v>
      </c>
      <c r="E1270" s="23"/>
      <c r="L1270" s="23"/>
    </row>
    <row r="1271">
      <c r="A1271" s="19">
        <v>7123100.0</v>
      </c>
      <c r="B1271" s="19" t="s">
        <v>182</v>
      </c>
      <c r="C1271" s="19">
        <v>0.0</v>
      </c>
      <c r="D1271" s="19" t="str">
        <f>A1271 &amp; " - " &amp; B1271 &amp; " (" &amp; VLOOKUP(C1271, Tbl_ColorMap[],2,false) &amp; ")"</f>
        <v>7123100 - Unset (Red)</v>
      </c>
      <c r="E1271" s="23"/>
      <c r="L1271" s="23"/>
    </row>
    <row r="1272">
      <c r="A1272" s="19">
        <v>7123200.0</v>
      </c>
      <c r="B1272" s="19" t="s">
        <v>182</v>
      </c>
      <c r="C1272" s="19">
        <v>0.0</v>
      </c>
      <c r="D1272" s="19" t="str">
        <f>A1272 &amp; " - " &amp; B1272 &amp; " (" &amp; VLOOKUP(C1272, Tbl_ColorMap[],2,false) &amp; ")"</f>
        <v>7123200 - Unset (Red)</v>
      </c>
      <c r="E1272" s="23"/>
      <c r="L1272" s="23"/>
    </row>
    <row r="1273">
      <c r="A1273" s="19">
        <v>7123300.0</v>
      </c>
      <c r="B1273" s="19" t="s">
        <v>182</v>
      </c>
      <c r="C1273" s="19">
        <v>0.0</v>
      </c>
      <c r="D1273" s="19" t="str">
        <f>A1273 &amp; " - " &amp; B1273 &amp; " (" &amp; VLOOKUP(C1273, Tbl_ColorMap[],2,false) &amp; ")"</f>
        <v>7123300 - Unset (Red)</v>
      </c>
      <c r="E1273" s="23"/>
      <c r="L1273" s="23"/>
    </row>
    <row r="1274">
      <c r="A1274" s="19">
        <v>7123400.0</v>
      </c>
      <c r="B1274" s="19" t="s">
        <v>182</v>
      </c>
      <c r="C1274" s="19">
        <v>0.0</v>
      </c>
      <c r="D1274" s="19" t="str">
        <f>A1274 &amp; " - " &amp; B1274 &amp; " (" &amp; VLOOKUP(C1274, Tbl_ColorMap[],2,false) &amp; ")"</f>
        <v>7123400 - Unset (Red)</v>
      </c>
      <c r="E1274" s="23"/>
      <c r="L1274" s="23"/>
    </row>
    <row r="1275">
      <c r="A1275" s="19">
        <v>7123500.0</v>
      </c>
      <c r="B1275" s="19" t="s">
        <v>182</v>
      </c>
      <c r="C1275" s="19">
        <v>0.0</v>
      </c>
      <c r="D1275" s="19" t="str">
        <f>A1275 &amp; " - " &amp; B1275 &amp; " (" &amp; VLOOKUP(C1275, Tbl_ColorMap[],2,false) &amp; ")"</f>
        <v>7123500 - Unset (Red)</v>
      </c>
      <c r="E1275" s="23"/>
      <c r="L1275" s="23"/>
    </row>
    <row r="1276">
      <c r="A1276" s="19">
        <v>7123600.0</v>
      </c>
      <c r="B1276" s="19" t="s">
        <v>182</v>
      </c>
      <c r="C1276" s="19">
        <v>0.0</v>
      </c>
      <c r="D1276" s="19" t="str">
        <f>A1276 &amp; " - " &amp; B1276 &amp; " (" &amp; VLOOKUP(C1276, Tbl_ColorMap[],2,false) &amp; ")"</f>
        <v>7123600 - Unset (Red)</v>
      </c>
      <c r="E1276" s="23"/>
      <c r="L1276" s="23"/>
    </row>
    <row r="1277">
      <c r="A1277" s="19">
        <v>7123700.0</v>
      </c>
      <c r="B1277" s="19" t="s">
        <v>182</v>
      </c>
      <c r="C1277" s="19">
        <v>0.0</v>
      </c>
      <c r="D1277" s="19" t="str">
        <f>A1277 &amp; " - " &amp; B1277 &amp; " (" &amp; VLOOKUP(C1277, Tbl_ColorMap[],2,false) &amp; ")"</f>
        <v>7123700 - Unset (Red)</v>
      </c>
      <c r="E1277" s="23"/>
      <c r="L1277" s="23"/>
    </row>
    <row r="1278">
      <c r="A1278" s="19">
        <v>7123800.0</v>
      </c>
      <c r="B1278" s="19" t="s">
        <v>182</v>
      </c>
      <c r="C1278" s="19">
        <v>0.0</v>
      </c>
      <c r="D1278" s="19" t="str">
        <f>A1278 &amp; " - " &amp; B1278 &amp; " (" &amp; VLOOKUP(C1278, Tbl_ColorMap[],2,false) &amp; ")"</f>
        <v>7123800 - Unset (Red)</v>
      </c>
      <c r="E1278" s="23"/>
      <c r="L1278" s="23"/>
    </row>
    <row r="1279">
      <c r="A1279" s="19">
        <v>7123900.0</v>
      </c>
      <c r="B1279" s="19" t="s">
        <v>182</v>
      </c>
      <c r="C1279" s="19">
        <v>0.0</v>
      </c>
      <c r="D1279" s="19" t="str">
        <f>A1279 &amp; " - " &amp; B1279 &amp; " (" &amp; VLOOKUP(C1279, Tbl_ColorMap[],2,false) &amp; ")"</f>
        <v>7123900 - Unset (Red)</v>
      </c>
      <c r="E1279" s="23"/>
      <c r="L1279" s="23"/>
    </row>
    <row r="1280">
      <c r="A1280" s="19">
        <v>7124000.0</v>
      </c>
      <c r="B1280" s="19" t="s">
        <v>182</v>
      </c>
      <c r="C1280" s="19">
        <v>0.0</v>
      </c>
      <c r="D1280" s="19" t="str">
        <f>A1280 &amp; " - " &amp; B1280 &amp; " (" &amp; VLOOKUP(C1280, Tbl_ColorMap[],2,false) &amp; ")"</f>
        <v>7124000 - Unset (Red)</v>
      </c>
      <c r="E1280" s="23"/>
      <c r="L1280" s="23"/>
    </row>
    <row r="1281">
      <c r="A1281" s="19">
        <v>7124100.0</v>
      </c>
      <c r="B1281" s="19" t="s">
        <v>182</v>
      </c>
      <c r="C1281" s="19">
        <v>0.0</v>
      </c>
      <c r="D1281" s="19" t="str">
        <f>A1281 &amp; " - " &amp; B1281 &amp; " (" &amp; VLOOKUP(C1281, Tbl_ColorMap[],2,false) &amp; ")"</f>
        <v>7124100 - Unset (Red)</v>
      </c>
      <c r="E1281" s="23"/>
      <c r="L1281" s="23"/>
    </row>
    <row r="1282">
      <c r="A1282" s="19">
        <v>7124300.0</v>
      </c>
      <c r="B1282" s="19" t="s">
        <v>182</v>
      </c>
      <c r="C1282" s="19">
        <v>0.0</v>
      </c>
      <c r="D1282" s="19" t="str">
        <f>A1282 &amp; " - " &amp; B1282 &amp; " (" &amp; VLOOKUP(C1282, Tbl_ColorMap[],2,false) &amp; ")"</f>
        <v>7124300 - Unset (Red)</v>
      </c>
      <c r="E1282" s="23"/>
      <c r="L1282" s="23"/>
    </row>
    <row r="1283">
      <c r="A1283" s="19">
        <v>7124400.0</v>
      </c>
      <c r="B1283" s="19" t="s">
        <v>182</v>
      </c>
      <c r="C1283" s="19">
        <v>0.0</v>
      </c>
      <c r="D1283" s="19" t="str">
        <f>A1283 &amp; " - " &amp; B1283 &amp; " (" &amp; VLOOKUP(C1283, Tbl_ColorMap[],2,false) &amp; ")"</f>
        <v>7124400 - Unset (Red)</v>
      </c>
      <c r="E1283" s="23"/>
      <c r="L1283" s="23"/>
    </row>
    <row r="1284">
      <c r="A1284" s="19">
        <v>7124500.0</v>
      </c>
      <c r="B1284" s="19" t="s">
        <v>182</v>
      </c>
      <c r="C1284" s="19">
        <v>0.0</v>
      </c>
      <c r="D1284" s="19" t="str">
        <f>A1284 &amp; " - " &amp; B1284 &amp; " (" &amp; VLOOKUP(C1284, Tbl_ColorMap[],2,false) &amp; ")"</f>
        <v>7124500 - Unset (Red)</v>
      </c>
      <c r="E1284" s="23"/>
      <c r="L1284" s="23"/>
    </row>
    <row r="1285">
      <c r="A1285" s="19">
        <v>7124600.0</v>
      </c>
      <c r="B1285" s="19" t="s">
        <v>182</v>
      </c>
      <c r="C1285" s="19">
        <v>0.0</v>
      </c>
      <c r="D1285" s="19" t="str">
        <f>A1285 &amp; " - " &amp; B1285 &amp; " (" &amp; VLOOKUP(C1285, Tbl_ColorMap[],2,false) &amp; ")"</f>
        <v>7124600 - Unset (Red)</v>
      </c>
      <c r="E1285" s="23"/>
      <c r="L1285" s="23"/>
    </row>
    <row r="1286">
      <c r="A1286" s="19">
        <v>7124700.0</v>
      </c>
      <c r="B1286" s="19" t="s">
        <v>182</v>
      </c>
      <c r="C1286" s="19">
        <v>0.0</v>
      </c>
      <c r="D1286" s="19" t="str">
        <f>A1286 &amp; " - " &amp; B1286 &amp; " (" &amp; VLOOKUP(C1286, Tbl_ColorMap[],2,false) &amp; ")"</f>
        <v>7124700 - Unset (Red)</v>
      </c>
      <c r="E1286" s="23"/>
      <c r="L1286" s="23"/>
    </row>
    <row r="1287">
      <c r="A1287" s="19">
        <v>7126000.0</v>
      </c>
      <c r="B1287" s="19" t="s">
        <v>182</v>
      </c>
      <c r="C1287" s="19">
        <v>0.0</v>
      </c>
      <c r="D1287" s="19" t="str">
        <f>A1287 &amp; " - " &amp; B1287 &amp; " (" &amp; VLOOKUP(C1287, Tbl_ColorMap[],2,false) &amp; ")"</f>
        <v>7126000 - Unset (Red)</v>
      </c>
      <c r="E1287" s="23"/>
      <c r="L1287" s="23"/>
    </row>
    <row r="1288">
      <c r="A1288" s="19">
        <v>7150000.0</v>
      </c>
      <c r="B1288" s="19" t="s">
        <v>182</v>
      </c>
      <c r="C1288" s="19">
        <v>0.0</v>
      </c>
      <c r="D1288" s="19" t="str">
        <f>A1288 &amp; " - " &amp; B1288 &amp; " (" &amp; VLOOKUP(C1288, Tbl_ColorMap[],2,false) &amp; ")"</f>
        <v>7150000 - Unset (Red)</v>
      </c>
      <c r="E1288" s="23"/>
      <c r="L1288" s="23"/>
    </row>
    <row r="1289">
      <c r="A1289" s="19">
        <v>7160000.0</v>
      </c>
      <c r="B1289" s="19" t="s">
        <v>182</v>
      </c>
      <c r="C1289" s="19">
        <v>0.0</v>
      </c>
      <c r="D1289" s="19" t="str">
        <f>A1289 &amp; " - " &amp; B1289 &amp; " (" &amp; VLOOKUP(C1289, Tbl_ColorMap[],2,false) &amp; ")"</f>
        <v>7160000 - Unset (Red)</v>
      </c>
      <c r="E1289" s="23"/>
      <c r="L1289" s="23"/>
    </row>
    <row r="1290">
      <c r="A1290" s="19">
        <v>7220000.0</v>
      </c>
      <c r="B1290" s="19" t="s">
        <v>182</v>
      </c>
      <c r="C1290" s="19">
        <v>0.0</v>
      </c>
      <c r="D1290" s="19" t="str">
        <f>A1290 &amp; " - " &amp; B1290 &amp; " (" &amp; VLOOKUP(C1290, Tbl_ColorMap[],2,false) &amp; ")"</f>
        <v>7220000 - Unset (Red)</v>
      </c>
      <c r="E1290" s="23"/>
      <c r="L1290" s="23"/>
    </row>
    <row r="1291">
      <c r="A1291" s="19">
        <v>7230000.0</v>
      </c>
      <c r="B1291" s="19" t="s">
        <v>182</v>
      </c>
      <c r="C1291" s="19">
        <v>0.0</v>
      </c>
      <c r="D1291" s="19" t="str">
        <f>A1291 &amp; " - " &amp; B1291 &amp; " (" &amp; VLOOKUP(C1291, Tbl_ColorMap[],2,false) &amp; ")"</f>
        <v>7230000 - Unset (Red)</v>
      </c>
      <c r="E1291" s="23"/>
      <c r="L1291" s="23"/>
    </row>
    <row r="1292">
      <c r="A1292" s="19">
        <v>7230001.0</v>
      </c>
      <c r="B1292" s="19" t="s">
        <v>182</v>
      </c>
      <c r="C1292" s="19">
        <v>0.0</v>
      </c>
      <c r="D1292" s="19" t="str">
        <f>A1292 &amp; " - " &amp; B1292 &amp; " (" &amp; VLOOKUP(C1292, Tbl_ColorMap[],2,false) &amp; ")"</f>
        <v>7230001 - Unset (Red)</v>
      </c>
      <c r="E1292" s="23"/>
      <c r="L1292" s="23"/>
    </row>
    <row r="1293">
      <c r="A1293" s="19">
        <v>7240000.0</v>
      </c>
      <c r="B1293" s="19" t="s">
        <v>182</v>
      </c>
      <c r="C1293" s="19">
        <v>0.0</v>
      </c>
      <c r="D1293" s="19" t="str">
        <f>A1293 &amp; " - " &amp; B1293 &amp; " (" &amp; VLOOKUP(C1293, Tbl_ColorMap[],2,false) &amp; ")"</f>
        <v>7240000 - Unset (Red)</v>
      </c>
      <c r="E1293" s="23"/>
      <c r="L1293" s="23"/>
    </row>
    <row r="1294">
      <c r="A1294" s="19">
        <v>7260000.0</v>
      </c>
      <c r="B1294" s="19" t="s">
        <v>182</v>
      </c>
      <c r="C1294" s="19">
        <v>0.0</v>
      </c>
      <c r="D1294" s="19" t="str">
        <f>A1294 &amp; " - " &amp; B1294 &amp; " (" &amp; VLOOKUP(C1294, Tbl_ColorMap[],2,false) &amp; ")"</f>
        <v>7260000 - Unset (Red)</v>
      </c>
      <c r="E1294" s="23"/>
      <c r="L1294" s="23"/>
    </row>
    <row r="1295">
      <c r="A1295" s="19">
        <v>7260300.0</v>
      </c>
      <c r="B1295" s="19" t="s">
        <v>182</v>
      </c>
      <c r="C1295" s="19">
        <v>0.0</v>
      </c>
      <c r="D1295" s="19" t="str">
        <f>A1295 &amp; " - " &amp; B1295 &amp; " (" &amp; VLOOKUP(C1295, Tbl_ColorMap[],2,false) &amp; ")"</f>
        <v>7260300 - Unset (Red)</v>
      </c>
      <c r="E1295" s="23"/>
      <c r="L1295" s="23"/>
    </row>
    <row r="1296">
      <c r="A1296" s="19">
        <v>7260400.0</v>
      </c>
      <c r="B1296" s="19" t="s">
        <v>182</v>
      </c>
      <c r="C1296" s="19">
        <v>0.0</v>
      </c>
      <c r="D1296" s="19" t="str">
        <f>A1296 &amp; " - " &amp; B1296 &amp; " (" &amp; VLOOKUP(C1296, Tbl_ColorMap[],2,false) &amp; ")"</f>
        <v>7260400 - Unset (Red)</v>
      </c>
      <c r="E1296" s="23"/>
      <c r="L1296" s="23"/>
    </row>
    <row r="1297">
      <c r="A1297" s="19">
        <v>7260700.0</v>
      </c>
      <c r="B1297" s="19" t="s">
        <v>182</v>
      </c>
      <c r="C1297" s="19">
        <v>0.0</v>
      </c>
      <c r="D1297" s="19" t="str">
        <f>A1297 &amp; " - " &amp; B1297 &amp; " (" &amp; VLOOKUP(C1297, Tbl_ColorMap[],2,false) &amp; ")"</f>
        <v>7260700 - Unset (Red)</v>
      </c>
      <c r="E1297" s="23"/>
      <c r="L1297" s="23"/>
    </row>
    <row r="1298">
      <c r="A1298" s="19">
        <v>7260800.0</v>
      </c>
      <c r="B1298" s="19" t="s">
        <v>182</v>
      </c>
      <c r="C1298" s="19">
        <v>0.0</v>
      </c>
      <c r="D1298" s="19" t="str">
        <f>A1298 &amp; " - " &amp; B1298 &amp; " (" &amp; VLOOKUP(C1298, Tbl_ColorMap[],2,false) &amp; ")"</f>
        <v>7260800 - Unset (Red)</v>
      </c>
      <c r="E1298" s="23"/>
      <c r="L1298" s="23"/>
    </row>
    <row r="1299">
      <c r="A1299" s="19">
        <v>7260900.0</v>
      </c>
      <c r="B1299" s="19" t="s">
        <v>182</v>
      </c>
      <c r="C1299" s="19">
        <v>0.0</v>
      </c>
      <c r="D1299" s="19" t="str">
        <f>A1299 &amp; " - " &amp; B1299 &amp; " (" &amp; VLOOKUP(C1299, Tbl_ColorMap[],2,false) &amp; ")"</f>
        <v>7260900 - Unset (Red)</v>
      </c>
      <c r="E1299" s="23"/>
      <c r="L1299" s="23"/>
    </row>
    <row r="1300">
      <c r="A1300" s="19">
        <v>7270100.0</v>
      </c>
      <c r="B1300" s="19" t="s">
        <v>182</v>
      </c>
      <c r="C1300" s="19">
        <v>0.0</v>
      </c>
      <c r="D1300" s="19" t="str">
        <f>A1300 &amp; " - " &amp; B1300 &amp; " (" &amp; VLOOKUP(C1300, Tbl_ColorMap[],2,false) &amp; ")"</f>
        <v>7270100 - Unset (Red)</v>
      </c>
      <c r="E1300" s="23"/>
      <c r="L1300" s="23"/>
    </row>
    <row r="1301">
      <c r="A1301" s="19">
        <v>7280000.0</v>
      </c>
      <c r="B1301" s="19" t="s">
        <v>182</v>
      </c>
      <c r="C1301" s="19">
        <v>0.0</v>
      </c>
      <c r="D1301" s="19" t="str">
        <f>A1301 &amp; " - " &amp; B1301 &amp; " (" &amp; VLOOKUP(C1301, Tbl_ColorMap[],2,false) &amp; ")"</f>
        <v>7280000 - Unset (Red)</v>
      </c>
      <c r="E1301" s="23"/>
      <c r="L1301" s="23"/>
    </row>
    <row r="1302">
      <c r="A1302" s="19">
        <v>7290000.0</v>
      </c>
      <c r="B1302" s="19" t="s">
        <v>182</v>
      </c>
      <c r="C1302" s="19">
        <v>0.0</v>
      </c>
      <c r="D1302" s="19" t="str">
        <f>A1302 &amp; " - " &amp; B1302 &amp; " (" &amp; VLOOKUP(C1302, Tbl_ColorMap[],2,false) &amp; ")"</f>
        <v>7290000 - Unset (Red)</v>
      </c>
      <c r="E1302" s="23"/>
      <c r="L1302" s="23"/>
    </row>
    <row r="1303">
      <c r="A1303" s="19">
        <v>7310000.0</v>
      </c>
      <c r="B1303" s="19" t="s">
        <v>182</v>
      </c>
      <c r="C1303" s="19">
        <v>0.0</v>
      </c>
      <c r="D1303" s="19" t="str">
        <f>A1303 &amp; " - " &amp; B1303 &amp; " (" &amp; VLOOKUP(C1303, Tbl_ColorMap[],2,false) &amp; ")"</f>
        <v>7310000 - Unset (Red)</v>
      </c>
      <c r="E1303" s="23"/>
      <c r="L1303" s="23"/>
    </row>
    <row r="1304">
      <c r="A1304" s="19">
        <v>7330000.0</v>
      </c>
      <c r="B1304" s="19" t="s">
        <v>182</v>
      </c>
      <c r="C1304" s="19">
        <v>0.0</v>
      </c>
      <c r="D1304" s="19" t="str">
        <f>A1304 &amp; " - " &amp; B1304 &amp; " (" &amp; VLOOKUP(C1304, Tbl_ColorMap[],2,false) &amp; ")"</f>
        <v>7330000 - Unset (Red)</v>
      </c>
      <c r="E1304" s="23"/>
      <c r="L1304" s="23"/>
    </row>
    <row r="1305">
      <c r="A1305" s="19">
        <v>7330100.0</v>
      </c>
      <c r="B1305" s="19" t="s">
        <v>182</v>
      </c>
      <c r="C1305" s="19">
        <v>0.0</v>
      </c>
      <c r="D1305" s="19" t="str">
        <f>A1305 &amp; " - " &amp; B1305 &amp; " (" &amp; VLOOKUP(C1305, Tbl_ColorMap[],2,false) &amp; ")"</f>
        <v>7330100 - Unset (Red)</v>
      </c>
      <c r="E1305" s="23"/>
      <c r="L1305" s="23"/>
    </row>
    <row r="1306">
      <c r="A1306" s="19">
        <v>7330200.0</v>
      </c>
      <c r="B1306" s="19" t="s">
        <v>182</v>
      </c>
      <c r="C1306" s="19">
        <v>0.0</v>
      </c>
      <c r="D1306" s="19" t="str">
        <f>A1306 &amp; " - " &amp; B1306 &amp; " (" &amp; VLOOKUP(C1306, Tbl_ColorMap[],2,false) &amp; ")"</f>
        <v>7330200 - Unset (Red)</v>
      </c>
      <c r="E1306" s="23"/>
      <c r="L1306" s="23"/>
    </row>
    <row r="1307">
      <c r="A1307" s="19">
        <v>7330300.0</v>
      </c>
      <c r="B1307" s="19" t="s">
        <v>182</v>
      </c>
      <c r="C1307" s="19">
        <v>0.0</v>
      </c>
      <c r="D1307" s="19" t="str">
        <f>A1307 &amp; " - " &amp; B1307 &amp; " (" &amp; VLOOKUP(C1307, Tbl_ColorMap[],2,false) &amp; ")"</f>
        <v>7330300 - Unset (Red)</v>
      </c>
      <c r="E1307" s="23"/>
      <c r="L1307" s="23"/>
    </row>
    <row r="1308">
      <c r="A1308" s="19">
        <v>7330400.0</v>
      </c>
      <c r="B1308" s="19" t="s">
        <v>182</v>
      </c>
      <c r="C1308" s="19">
        <v>0.0</v>
      </c>
      <c r="D1308" s="19" t="str">
        <f>A1308 &amp; " - " &amp; B1308 &amp; " (" &amp; VLOOKUP(C1308, Tbl_ColorMap[],2,false) &amp; ")"</f>
        <v>7330400 - Unset (Red)</v>
      </c>
      <c r="E1308" s="23"/>
      <c r="L1308" s="23"/>
    </row>
    <row r="1309">
      <c r="A1309" s="19">
        <v>7330500.0</v>
      </c>
      <c r="B1309" s="19" t="s">
        <v>182</v>
      </c>
      <c r="C1309" s="19">
        <v>0.0</v>
      </c>
      <c r="D1309" s="19" t="str">
        <f>A1309 &amp; " - " &amp; B1309 &amp; " (" &amp; VLOOKUP(C1309, Tbl_ColorMap[],2,false) &amp; ")"</f>
        <v>7330500 - Unset (Red)</v>
      </c>
      <c r="E1309" s="23"/>
      <c r="L1309" s="23"/>
    </row>
    <row r="1310">
      <c r="A1310" s="19">
        <v>7330600.0</v>
      </c>
      <c r="B1310" s="19" t="s">
        <v>182</v>
      </c>
      <c r="C1310" s="19">
        <v>0.0</v>
      </c>
      <c r="D1310" s="19" t="str">
        <f>A1310 &amp; " - " &amp; B1310 &amp; " (" &amp; VLOOKUP(C1310, Tbl_ColorMap[],2,false) &amp; ")"</f>
        <v>7330600 - Unset (Red)</v>
      </c>
      <c r="E1310" s="23"/>
      <c r="L1310" s="23"/>
    </row>
    <row r="1311">
      <c r="A1311" s="19">
        <v>7330700.0</v>
      </c>
      <c r="B1311" s="19" t="s">
        <v>182</v>
      </c>
      <c r="C1311" s="19">
        <v>0.0</v>
      </c>
      <c r="D1311" s="19" t="str">
        <f>A1311 &amp; " - " &amp; B1311 &amp; " (" &amp; VLOOKUP(C1311, Tbl_ColorMap[],2,false) &amp; ")"</f>
        <v>7330700 - Unset (Red)</v>
      </c>
      <c r="E1311" s="23"/>
      <c r="L1311" s="23"/>
    </row>
    <row r="1312">
      <c r="A1312" s="19">
        <v>7330800.0</v>
      </c>
      <c r="B1312" s="19" t="s">
        <v>182</v>
      </c>
      <c r="C1312" s="19">
        <v>0.0</v>
      </c>
      <c r="D1312" s="19" t="str">
        <f>A1312 &amp; " - " &amp; B1312 &amp; " (" &amp; VLOOKUP(C1312, Tbl_ColorMap[],2,false) &amp; ")"</f>
        <v>7330800 - Unset (Red)</v>
      </c>
      <c r="E1312" s="23"/>
      <c r="L1312" s="23"/>
    </row>
    <row r="1313">
      <c r="A1313" s="19">
        <v>7330900.0</v>
      </c>
      <c r="B1313" s="19" t="s">
        <v>182</v>
      </c>
      <c r="C1313" s="19">
        <v>0.0</v>
      </c>
      <c r="D1313" s="19" t="str">
        <f>A1313 &amp; " - " &amp; B1313 &amp; " (" &amp; VLOOKUP(C1313, Tbl_ColorMap[],2,false) &amp; ")"</f>
        <v>7330900 - Unset (Red)</v>
      </c>
      <c r="E1313" s="23"/>
      <c r="L1313" s="23"/>
    </row>
    <row r="1314">
      <c r="A1314" s="19">
        <v>7331000.0</v>
      </c>
      <c r="B1314" s="19" t="s">
        <v>182</v>
      </c>
      <c r="C1314" s="19">
        <v>0.0</v>
      </c>
      <c r="D1314" s="19" t="str">
        <f>A1314 &amp; " - " &amp; B1314 &amp; " (" &amp; VLOOKUP(C1314, Tbl_ColorMap[],2,false) &amp; ")"</f>
        <v>7331000 - Unset (Red)</v>
      </c>
      <c r="E1314" s="23"/>
      <c r="L1314" s="23"/>
    </row>
    <row r="1315">
      <c r="A1315" s="19">
        <v>7331100.0</v>
      </c>
      <c r="B1315" s="19" t="s">
        <v>182</v>
      </c>
      <c r="C1315" s="19">
        <v>0.0</v>
      </c>
      <c r="D1315" s="19" t="str">
        <f>A1315 &amp; " - " &amp; B1315 &amp; " (" &amp; VLOOKUP(C1315, Tbl_ColorMap[],2,false) &amp; ")"</f>
        <v>7331100 - Unset (Red)</v>
      </c>
      <c r="E1315" s="23"/>
      <c r="L1315" s="23"/>
    </row>
    <row r="1316">
      <c r="A1316" s="19">
        <v>7331200.0</v>
      </c>
      <c r="B1316" s="19" t="s">
        <v>182</v>
      </c>
      <c r="C1316" s="19">
        <v>0.0</v>
      </c>
      <c r="D1316" s="19" t="str">
        <f>A1316 &amp; " - " &amp; B1316 &amp; " (" &amp; VLOOKUP(C1316, Tbl_ColorMap[],2,false) &amp; ")"</f>
        <v>7331200 - Unset (Red)</v>
      </c>
      <c r="E1316" s="23"/>
      <c r="L1316" s="23"/>
    </row>
    <row r="1317">
      <c r="A1317" s="19">
        <v>7331300.0</v>
      </c>
      <c r="B1317" s="19" t="s">
        <v>182</v>
      </c>
      <c r="C1317" s="19">
        <v>0.0</v>
      </c>
      <c r="D1317" s="19" t="str">
        <f>A1317 &amp; " - " &amp; B1317 &amp; " (" &amp; VLOOKUP(C1317, Tbl_ColorMap[],2,false) &amp; ")"</f>
        <v>7331300 - Unset (Red)</v>
      </c>
      <c r="E1317" s="23"/>
      <c r="L1317" s="23"/>
    </row>
    <row r="1318">
      <c r="A1318" s="19">
        <v>7331400.0</v>
      </c>
      <c r="B1318" s="19" t="s">
        <v>182</v>
      </c>
      <c r="C1318" s="19">
        <v>0.0</v>
      </c>
      <c r="D1318" s="19" t="str">
        <f>A1318 &amp; " - " &amp; B1318 &amp; " (" &amp; VLOOKUP(C1318, Tbl_ColorMap[],2,false) &amp; ")"</f>
        <v>7331400 - Unset (Red)</v>
      </c>
      <c r="E1318" s="23"/>
      <c r="L1318" s="23"/>
    </row>
    <row r="1319">
      <c r="A1319" s="19">
        <v>7331500.0</v>
      </c>
      <c r="B1319" s="19" t="s">
        <v>182</v>
      </c>
      <c r="C1319" s="19">
        <v>0.0</v>
      </c>
      <c r="D1319" s="19" t="str">
        <f>A1319 &amp; " - " &amp; B1319 &amp; " (" &amp; VLOOKUP(C1319, Tbl_ColorMap[],2,false) &amp; ")"</f>
        <v>7331500 - Unset (Red)</v>
      </c>
      <c r="E1319" s="23"/>
      <c r="L1319" s="23"/>
    </row>
    <row r="1320">
      <c r="A1320" s="19">
        <v>7331700.0</v>
      </c>
      <c r="B1320" s="19" t="s">
        <v>182</v>
      </c>
      <c r="C1320" s="19">
        <v>0.0</v>
      </c>
      <c r="D1320" s="19" t="str">
        <f>A1320 &amp; " - " &amp; B1320 &amp; " (" &amp; VLOOKUP(C1320, Tbl_ColorMap[],2,false) &amp; ")"</f>
        <v>7331700 - Unset (Red)</v>
      </c>
      <c r="E1320" s="23"/>
      <c r="L1320" s="23"/>
    </row>
    <row r="1321">
      <c r="A1321" s="19">
        <v>7331800.0</v>
      </c>
      <c r="B1321" s="19" t="s">
        <v>182</v>
      </c>
      <c r="C1321" s="19">
        <v>0.0</v>
      </c>
      <c r="D1321" s="19" t="str">
        <f>A1321 &amp; " - " &amp; B1321 &amp; " (" &amp; VLOOKUP(C1321, Tbl_ColorMap[],2,false) &amp; ")"</f>
        <v>7331800 - Unset (Red)</v>
      </c>
      <c r="E1321" s="23"/>
      <c r="L1321" s="23"/>
    </row>
    <row r="1322">
      <c r="A1322" s="19">
        <v>7331900.0</v>
      </c>
      <c r="B1322" s="19" t="s">
        <v>182</v>
      </c>
      <c r="C1322" s="19">
        <v>0.0</v>
      </c>
      <c r="D1322" s="19" t="str">
        <f>A1322 &amp; " - " &amp; B1322 &amp; " (" &amp; VLOOKUP(C1322, Tbl_ColorMap[],2,false) &amp; ")"</f>
        <v>7331900 - Unset (Red)</v>
      </c>
      <c r="E1322" s="23"/>
      <c r="L1322" s="23"/>
    </row>
    <row r="1323">
      <c r="A1323" s="19">
        <v>7332000.0</v>
      </c>
      <c r="B1323" s="19" t="s">
        <v>182</v>
      </c>
      <c r="C1323" s="19">
        <v>0.0</v>
      </c>
      <c r="D1323" s="19" t="str">
        <f>A1323 &amp; " - " &amp; B1323 &amp; " (" &amp; VLOOKUP(C1323, Tbl_ColorMap[],2,false) &amp; ")"</f>
        <v>7332000 - Unset (Red)</v>
      </c>
      <c r="E1323" s="23"/>
      <c r="L1323" s="23"/>
    </row>
    <row r="1324">
      <c r="A1324" s="19">
        <v>7332100.0</v>
      </c>
      <c r="B1324" s="19" t="s">
        <v>182</v>
      </c>
      <c r="C1324" s="19">
        <v>0.0</v>
      </c>
      <c r="D1324" s="19" t="str">
        <f>A1324 &amp; " - " &amp; B1324 &amp; " (" &amp; VLOOKUP(C1324, Tbl_ColorMap[],2,false) &amp; ")"</f>
        <v>7332100 - Unset (Red)</v>
      </c>
      <c r="E1324" s="23"/>
      <c r="L1324" s="23"/>
    </row>
    <row r="1325">
      <c r="A1325" s="19">
        <v>7332200.0</v>
      </c>
      <c r="B1325" s="19" t="s">
        <v>182</v>
      </c>
      <c r="C1325" s="19">
        <v>0.0</v>
      </c>
      <c r="D1325" s="19" t="str">
        <f>A1325 &amp; " - " &amp; B1325 &amp; " (" &amp; VLOOKUP(C1325, Tbl_ColorMap[],2,false) &amp; ")"</f>
        <v>7332200 - Unset (Red)</v>
      </c>
      <c r="E1325" s="23"/>
      <c r="L1325" s="23"/>
    </row>
    <row r="1326">
      <c r="A1326" s="19">
        <v>7332300.0</v>
      </c>
      <c r="B1326" s="19" t="s">
        <v>182</v>
      </c>
      <c r="C1326" s="19">
        <v>0.0</v>
      </c>
      <c r="D1326" s="19" t="str">
        <f>A1326 &amp; " - " &amp; B1326 &amp; " (" &amp; VLOOKUP(C1326, Tbl_ColorMap[],2,false) &amp; ")"</f>
        <v>7332300 - Unset (Red)</v>
      </c>
      <c r="E1326" s="23"/>
      <c r="L1326" s="23"/>
    </row>
    <row r="1327">
      <c r="A1327" s="19">
        <v>7332400.0</v>
      </c>
      <c r="B1327" s="19" t="s">
        <v>182</v>
      </c>
      <c r="C1327" s="19">
        <v>0.0</v>
      </c>
      <c r="D1327" s="19" t="str">
        <f>A1327 &amp; " - " &amp; B1327 &amp; " (" &amp; VLOOKUP(C1327, Tbl_ColorMap[],2,false) &amp; ")"</f>
        <v>7332400 - Unset (Red)</v>
      </c>
      <c r="E1327" s="23"/>
      <c r="L1327" s="23"/>
    </row>
    <row r="1328">
      <c r="A1328" s="19">
        <v>7340000.0</v>
      </c>
      <c r="B1328" s="19" t="s">
        <v>182</v>
      </c>
      <c r="C1328" s="19">
        <v>0.0</v>
      </c>
      <c r="D1328" s="19" t="str">
        <f>A1328 &amp; " - " &amp; B1328 &amp; " (" &amp; VLOOKUP(C1328, Tbl_ColorMap[],2,false) &amp; ")"</f>
        <v>7340000 - Unset (Red)</v>
      </c>
      <c r="E1328" s="23"/>
      <c r="L1328" s="23"/>
    </row>
    <row r="1329">
      <c r="A1329" s="19">
        <v>7340100.0</v>
      </c>
      <c r="B1329" s="19" t="s">
        <v>182</v>
      </c>
      <c r="C1329" s="19">
        <v>0.0</v>
      </c>
      <c r="D1329" s="19" t="str">
        <f>A1329 &amp; " - " &amp; B1329 &amp; " (" &amp; VLOOKUP(C1329, Tbl_ColorMap[],2,false) &amp; ")"</f>
        <v>7340100 - Unset (Red)</v>
      </c>
      <c r="E1329" s="23"/>
      <c r="L1329" s="23"/>
    </row>
    <row r="1330">
      <c r="A1330" s="19">
        <v>7340200.0</v>
      </c>
      <c r="B1330" s="19" t="s">
        <v>182</v>
      </c>
      <c r="C1330" s="19">
        <v>0.0</v>
      </c>
      <c r="D1330" s="19" t="str">
        <f>A1330 &amp; " - " &amp; B1330 &amp; " (" &amp; VLOOKUP(C1330, Tbl_ColorMap[],2,false) &amp; ")"</f>
        <v>7340200 - Unset (Red)</v>
      </c>
      <c r="E1330" s="23"/>
      <c r="L1330" s="23"/>
    </row>
    <row r="1331">
      <c r="A1331" s="19">
        <v>7340300.0</v>
      </c>
      <c r="B1331" s="19" t="s">
        <v>182</v>
      </c>
      <c r="C1331" s="19">
        <v>0.0</v>
      </c>
      <c r="D1331" s="19" t="str">
        <f>A1331 &amp; " - " &amp; B1331 &amp; " (" &amp; VLOOKUP(C1331, Tbl_ColorMap[],2,false) &amp; ")"</f>
        <v>7340300 - Unset (Red)</v>
      </c>
      <c r="E1331" s="23"/>
      <c r="L1331" s="23"/>
    </row>
    <row r="1332">
      <c r="A1332" s="19">
        <v>7340400.0</v>
      </c>
      <c r="B1332" s="19" t="s">
        <v>182</v>
      </c>
      <c r="C1332" s="19">
        <v>0.0</v>
      </c>
      <c r="D1332" s="19" t="str">
        <f>A1332 &amp; " - " &amp; B1332 &amp; " (" &amp; VLOOKUP(C1332, Tbl_ColorMap[],2,false) &amp; ")"</f>
        <v>7340400 - Unset (Red)</v>
      </c>
      <c r="E1332" s="23"/>
      <c r="L1332" s="23"/>
    </row>
    <row r="1333">
      <c r="A1333" s="19">
        <v>7340500.0</v>
      </c>
      <c r="B1333" s="19" t="s">
        <v>182</v>
      </c>
      <c r="C1333" s="19">
        <v>0.0</v>
      </c>
      <c r="D1333" s="19" t="str">
        <f>A1333 &amp; " - " &amp; B1333 &amp; " (" &amp; VLOOKUP(C1333, Tbl_ColorMap[],2,false) &amp; ")"</f>
        <v>7340500 - Unset (Red)</v>
      </c>
      <c r="E1333" s="23"/>
      <c r="L1333" s="23"/>
    </row>
    <row r="1334">
      <c r="A1334" s="19">
        <v>7340600.0</v>
      </c>
      <c r="B1334" s="19" t="s">
        <v>182</v>
      </c>
      <c r="C1334" s="19">
        <v>0.0</v>
      </c>
      <c r="D1334" s="19" t="str">
        <f>A1334 &amp; " - " &amp; B1334 &amp; " (" &amp; VLOOKUP(C1334, Tbl_ColorMap[],2,false) &amp; ")"</f>
        <v>7340600 - Unset (Red)</v>
      </c>
      <c r="E1334" s="23"/>
      <c r="L1334" s="23"/>
    </row>
    <row r="1335">
      <c r="A1335" s="19">
        <v>7340700.0</v>
      </c>
      <c r="B1335" s="19" t="s">
        <v>182</v>
      </c>
      <c r="C1335" s="19">
        <v>0.0</v>
      </c>
      <c r="D1335" s="19" t="str">
        <f>A1335 &amp; " - " &amp; B1335 &amp; " (" &amp; VLOOKUP(C1335, Tbl_ColorMap[],2,false) &amp; ")"</f>
        <v>7340700 - Unset (Red)</v>
      </c>
      <c r="E1335" s="23"/>
      <c r="L1335" s="23"/>
    </row>
    <row r="1336">
      <c r="A1336" s="19">
        <v>7340800.0</v>
      </c>
      <c r="B1336" s="19" t="s">
        <v>182</v>
      </c>
      <c r="C1336" s="19">
        <v>0.0</v>
      </c>
      <c r="D1336" s="19" t="str">
        <f>A1336 &amp; " - " &amp; B1336 &amp; " (" &amp; VLOOKUP(C1336, Tbl_ColorMap[],2,false) &amp; ")"</f>
        <v>7340800 - Unset (Red)</v>
      </c>
      <c r="E1336" s="23"/>
      <c r="L1336" s="23"/>
    </row>
    <row r="1337">
      <c r="A1337" s="19">
        <v>7340900.0</v>
      </c>
      <c r="B1337" s="19" t="s">
        <v>182</v>
      </c>
      <c r="C1337" s="19">
        <v>0.0</v>
      </c>
      <c r="D1337" s="19" t="str">
        <f>A1337 &amp; " - " &amp; B1337 &amp; " (" &amp; VLOOKUP(C1337, Tbl_ColorMap[],2,false) &amp; ")"</f>
        <v>7340900 - Unset (Red)</v>
      </c>
      <c r="E1337" s="23"/>
      <c r="L1337" s="23"/>
    </row>
    <row r="1338">
      <c r="A1338" s="19">
        <v>7341000.0</v>
      </c>
      <c r="B1338" s="19" t="s">
        <v>182</v>
      </c>
      <c r="C1338" s="19">
        <v>0.0</v>
      </c>
      <c r="D1338" s="19" t="str">
        <f>A1338 &amp; " - " &amp; B1338 &amp; " (" &amp; VLOOKUP(C1338, Tbl_ColorMap[],2,false) &amp; ")"</f>
        <v>7341000 - Unset (Red)</v>
      </c>
      <c r="E1338" s="23"/>
      <c r="L1338" s="23"/>
    </row>
    <row r="1339">
      <c r="A1339" s="19">
        <v>7341100.0</v>
      </c>
      <c r="B1339" s="19" t="s">
        <v>182</v>
      </c>
      <c r="C1339" s="19">
        <v>0.0</v>
      </c>
      <c r="D1339" s="19" t="str">
        <f>A1339 &amp; " - " &amp; B1339 &amp; " (" &amp; VLOOKUP(C1339, Tbl_ColorMap[],2,false) &amp; ")"</f>
        <v>7341100 - Unset (Red)</v>
      </c>
      <c r="E1339" s="23"/>
      <c r="L1339" s="23"/>
    </row>
    <row r="1340">
      <c r="A1340" s="19">
        <v>7341200.0</v>
      </c>
      <c r="B1340" s="19" t="s">
        <v>182</v>
      </c>
      <c r="C1340" s="19">
        <v>0.0</v>
      </c>
      <c r="D1340" s="19" t="str">
        <f>A1340 &amp; " - " &amp; B1340 &amp; " (" &amp; VLOOKUP(C1340, Tbl_ColorMap[],2,false) &amp; ")"</f>
        <v>7341200 - Unset (Red)</v>
      </c>
      <c r="E1340" s="23"/>
      <c r="L1340" s="23"/>
    </row>
    <row r="1341">
      <c r="A1341" s="19">
        <v>7341300.0</v>
      </c>
      <c r="B1341" s="19" t="s">
        <v>182</v>
      </c>
      <c r="C1341" s="19">
        <v>0.0</v>
      </c>
      <c r="D1341" s="19" t="str">
        <f>A1341 &amp; " - " &amp; B1341 &amp; " (" &amp; VLOOKUP(C1341, Tbl_ColorMap[],2,false) &amp; ")"</f>
        <v>7341300 - Unset (Red)</v>
      </c>
      <c r="E1341" s="23"/>
      <c r="L1341" s="23"/>
    </row>
    <row r="1342">
      <c r="A1342" s="19">
        <v>7341400.0</v>
      </c>
      <c r="B1342" s="19" t="s">
        <v>182</v>
      </c>
      <c r="C1342" s="19">
        <v>0.0</v>
      </c>
      <c r="D1342" s="19" t="str">
        <f>A1342 &amp; " - " &amp; B1342 &amp; " (" &amp; VLOOKUP(C1342, Tbl_ColorMap[],2,false) &amp; ")"</f>
        <v>7341400 - Unset (Red)</v>
      </c>
      <c r="E1342" s="23"/>
      <c r="L1342" s="23"/>
    </row>
    <row r="1343">
      <c r="A1343" s="19">
        <v>7341500.0</v>
      </c>
      <c r="B1343" s="19" t="s">
        <v>182</v>
      </c>
      <c r="C1343" s="19">
        <v>0.0</v>
      </c>
      <c r="D1343" s="19" t="str">
        <f>A1343 &amp; " - " &amp; B1343 &amp; " (" &amp; VLOOKUP(C1343, Tbl_ColorMap[],2,false) &amp; ")"</f>
        <v>7341500 - Unset (Red)</v>
      </c>
      <c r="E1343" s="23"/>
      <c r="L1343" s="23"/>
    </row>
    <row r="1344">
      <c r="A1344" s="19">
        <v>7341700.0</v>
      </c>
      <c r="B1344" s="19" t="s">
        <v>182</v>
      </c>
      <c r="C1344" s="19">
        <v>0.0</v>
      </c>
      <c r="D1344" s="19" t="str">
        <f>A1344 &amp; " - " &amp; B1344 &amp; " (" &amp; VLOOKUP(C1344, Tbl_ColorMap[],2,false) &amp; ")"</f>
        <v>7341700 - Unset (Red)</v>
      </c>
      <c r="E1344" s="23"/>
      <c r="L1344" s="23"/>
    </row>
    <row r="1345">
      <c r="A1345" s="19">
        <v>7341800.0</v>
      </c>
      <c r="B1345" s="19" t="s">
        <v>182</v>
      </c>
      <c r="C1345" s="19">
        <v>0.0</v>
      </c>
      <c r="D1345" s="19" t="str">
        <f>A1345 &amp; " - " &amp; B1345 &amp; " (" &amp; VLOOKUP(C1345, Tbl_ColorMap[],2,false) &amp; ")"</f>
        <v>7341800 - Unset (Red)</v>
      </c>
      <c r="E1345" s="23"/>
      <c r="L1345" s="23"/>
    </row>
    <row r="1346">
      <c r="A1346" s="19">
        <v>7341900.0</v>
      </c>
      <c r="B1346" s="19" t="s">
        <v>182</v>
      </c>
      <c r="C1346" s="19">
        <v>0.0</v>
      </c>
      <c r="D1346" s="19" t="str">
        <f>A1346 &amp; " - " &amp; B1346 &amp; " (" &amp; VLOOKUP(C1346, Tbl_ColorMap[],2,false) &amp; ")"</f>
        <v>7341900 - Unset (Red)</v>
      </c>
      <c r="E1346" s="23"/>
      <c r="L1346" s="23"/>
    </row>
    <row r="1347">
      <c r="A1347" s="19">
        <v>7342000.0</v>
      </c>
      <c r="B1347" s="19" t="s">
        <v>182</v>
      </c>
      <c r="C1347" s="19">
        <v>0.0</v>
      </c>
      <c r="D1347" s="19" t="str">
        <f>A1347 &amp; " - " &amp; B1347 &amp; " (" &amp; VLOOKUP(C1347, Tbl_ColorMap[],2,false) &amp; ")"</f>
        <v>7342000 - Unset (Red)</v>
      </c>
      <c r="E1347" s="23"/>
      <c r="L1347" s="23"/>
    </row>
    <row r="1348">
      <c r="A1348" s="19">
        <v>7342100.0</v>
      </c>
      <c r="B1348" s="19" t="s">
        <v>182</v>
      </c>
      <c r="C1348" s="19">
        <v>0.0</v>
      </c>
      <c r="D1348" s="19" t="str">
        <f>A1348 &amp; " - " &amp; B1348 &amp; " (" &amp; VLOOKUP(C1348, Tbl_ColorMap[],2,false) &amp; ")"</f>
        <v>7342100 - Unset (Red)</v>
      </c>
      <c r="E1348" s="23"/>
      <c r="L1348" s="23"/>
    </row>
    <row r="1349">
      <c r="A1349" s="19">
        <v>7342200.0</v>
      </c>
      <c r="B1349" s="19" t="s">
        <v>182</v>
      </c>
      <c r="C1349" s="19">
        <v>0.0</v>
      </c>
      <c r="D1349" s="19" t="str">
        <f>A1349 &amp; " - " &amp; B1349 &amp; " (" &amp; VLOOKUP(C1349, Tbl_ColorMap[],2,false) &amp; ")"</f>
        <v>7342200 - Unset (Red)</v>
      </c>
      <c r="E1349" s="23"/>
      <c r="L1349" s="23"/>
    </row>
    <row r="1350">
      <c r="A1350" s="19">
        <v>7342300.0</v>
      </c>
      <c r="B1350" s="19" t="s">
        <v>182</v>
      </c>
      <c r="C1350" s="19">
        <v>0.0</v>
      </c>
      <c r="D1350" s="19" t="str">
        <f>A1350 &amp; " - " &amp; B1350 &amp; " (" &amp; VLOOKUP(C1350, Tbl_ColorMap[],2,false) &amp; ")"</f>
        <v>7342300 - Unset (Red)</v>
      </c>
      <c r="E1350" s="23"/>
      <c r="L1350" s="23"/>
    </row>
    <row r="1351">
      <c r="A1351" s="19">
        <v>7342400.0</v>
      </c>
      <c r="B1351" s="19" t="s">
        <v>182</v>
      </c>
      <c r="C1351" s="19">
        <v>0.0</v>
      </c>
      <c r="D1351" s="19" t="str">
        <f>A1351 &amp; " - " &amp; B1351 &amp; " (" &amp; VLOOKUP(C1351, Tbl_ColorMap[],2,false) &amp; ")"</f>
        <v>7342400 - Unset (Red)</v>
      </c>
      <c r="E1351" s="23"/>
      <c r="L1351" s="23"/>
    </row>
    <row r="1352">
      <c r="A1352" s="19">
        <v>7350000.0</v>
      </c>
      <c r="B1352" s="19" t="s">
        <v>182</v>
      </c>
      <c r="C1352" s="19">
        <v>0.0</v>
      </c>
      <c r="D1352" s="19" t="str">
        <f>A1352 &amp; " - " &amp; B1352 &amp; " (" &amp; VLOOKUP(C1352, Tbl_ColorMap[],2,false) &amp; ")"</f>
        <v>7350000 - Unset (Red)</v>
      </c>
      <c r="E1352" s="23"/>
      <c r="L1352" s="23"/>
    </row>
    <row r="1353">
      <c r="A1353" s="19">
        <v>7350100.0</v>
      </c>
      <c r="B1353" s="19" t="s">
        <v>182</v>
      </c>
      <c r="C1353" s="19">
        <v>0.0</v>
      </c>
      <c r="D1353" s="19" t="str">
        <f>A1353 &amp; " - " &amp; B1353 &amp; " (" &amp; VLOOKUP(C1353, Tbl_ColorMap[],2,false) &amp; ")"</f>
        <v>7350100 - Unset (Red)</v>
      </c>
      <c r="E1353" s="23"/>
      <c r="L1353" s="23"/>
    </row>
    <row r="1354">
      <c r="A1354" s="19">
        <v>7350200.0</v>
      </c>
      <c r="B1354" s="19" t="s">
        <v>182</v>
      </c>
      <c r="C1354" s="19">
        <v>0.0</v>
      </c>
      <c r="D1354" s="19" t="str">
        <f>A1354 &amp; " - " &amp; B1354 &amp; " (" &amp; VLOOKUP(C1354, Tbl_ColorMap[],2,false) &amp; ")"</f>
        <v>7350200 - Unset (Red)</v>
      </c>
      <c r="E1354" s="23"/>
      <c r="L1354" s="23"/>
    </row>
    <row r="1355">
      <c r="A1355" s="19">
        <v>7350300.0</v>
      </c>
      <c r="B1355" s="19" t="s">
        <v>182</v>
      </c>
      <c r="C1355" s="19">
        <v>0.0</v>
      </c>
      <c r="D1355" s="19" t="str">
        <f>A1355 &amp; " - " &amp; B1355 &amp; " (" &amp; VLOOKUP(C1355, Tbl_ColorMap[],2,false) &amp; ")"</f>
        <v>7350300 - Unset (Red)</v>
      </c>
      <c r="E1355" s="23"/>
      <c r="L1355" s="23"/>
    </row>
    <row r="1356">
      <c r="A1356" s="19">
        <v>7350400.0</v>
      </c>
      <c r="B1356" s="19" t="s">
        <v>182</v>
      </c>
      <c r="C1356" s="19">
        <v>0.0</v>
      </c>
      <c r="D1356" s="19" t="str">
        <f>A1356 &amp; " - " &amp; B1356 &amp; " (" &amp; VLOOKUP(C1356, Tbl_ColorMap[],2,false) &amp; ")"</f>
        <v>7350400 - Unset (Red)</v>
      </c>
      <c r="E1356" s="23"/>
      <c r="L1356" s="23"/>
    </row>
    <row r="1357">
      <c r="A1357" s="19">
        <v>7350500.0</v>
      </c>
      <c r="B1357" s="19" t="s">
        <v>182</v>
      </c>
      <c r="C1357" s="19">
        <v>0.0</v>
      </c>
      <c r="D1357" s="19" t="str">
        <f>A1357 &amp; " - " &amp; B1357 &amp; " (" &amp; VLOOKUP(C1357, Tbl_ColorMap[],2,false) &amp; ")"</f>
        <v>7350500 - Unset (Red)</v>
      </c>
      <c r="E1357" s="23"/>
      <c r="L1357" s="23"/>
    </row>
    <row r="1358">
      <c r="A1358" s="19">
        <v>7350600.0</v>
      </c>
      <c r="B1358" s="19" t="s">
        <v>182</v>
      </c>
      <c r="C1358" s="19">
        <v>0.0</v>
      </c>
      <c r="D1358" s="19" t="str">
        <f>A1358 &amp; " - " &amp; B1358 &amp; " (" &amp; VLOOKUP(C1358, Tbl_ColorMap[],2,false) &amp; ")"</f>
        <v>7350600 - Unset (Red)</v>
      </c>
      <c r="E1358" s="23"/>
      <c r="L1358" s="23"/>
    </row>
    <row r="1359">
      <c r="A1359" s="19">
        <v>7350700.0</v>
      </c>
      <c r="B1359" s="19" t="s">
        <v>182</v>
      </c>
      <c r="C1359" s="19">
        <v>0.0</v>
      </c>
      <c r="D1359" s="19" t="str">
        <f>A1359 &amp; " - " &amp; B1359 &amp; " (" &amp; VLOOKUP(C1359, Tbl_ColorMap[],2,false) &amp; ")"</f>
        <v>7350700 - Unset (Red)</v>
      </c>
      <c r="E1359" s="23"/>
      <c r="L1359" s="23"/>
    </row>
    <row r="1360">
      <c r="A1360" s="19">
        <v>7350800.0</v>
      </c>
      <c r="B1360" s="19" t="s">
        <v>182</v>
      </c>
      <c r="C1360" s="19">
        <v>0.0</v>
      </c>
      <c r="D1360" s="19" t="str">
        <f>A1360 &amp; " - " &amp; B1360 &amp; " (" &amp; VLOOKUP(C1360, Tbl_ColorMap[],2,false) &amp; ")"</f>
        <v>7350800 - Unset (Red)</v>
      </c>
      <c r="E1360" s="23"/>
      <c r="L1360" s="23"/>
    </row>
    <row r="1361">
      <c r="A1361" s="19">
        <v>7350900.0</v>
      </c>
      <c r="B1361" s="19" t="s">
        <v>182</v>
      </c>
      <c r="C1361" s="19">
        <v>0.0</v>
      </c>
      <c r="D1361" s="19" t="str">
        <f>A1361 &amp; " - " &amp; B1361 &amp; " (" &amp; VLOOKUP(C1361, Tbl_ColorMap[],2,false) &amp; ")"</f>
        <v>7350900 - Unset (Red)</v>
      </c>
      <c r="E1361" s="23"/>
      <c r="L1361" s="23"/>
    </row>
    <row r="1362">
      <c r="A1362" s="19">
        <v>7351000.0</v>
      </c>
      <c r="B1362" s="19" t="s">
        <v>182</v>
      </c>
      <c r="C1362" s="19">
        <v>0.0</v>
      </c>
      <c r="D1362" s="19" t="str">
        <f>A1362 &amp; " - " &amp; B1362 &amp; " (" &amp; VLOOKUP(C1362, Tbl_ColorMap[],2,false) &amp; ")"</f>
        <v>7351000 - Unset (Red)</v>
      </c>
      <c r="E1362" s="23"/>
      <c r="L1362" s="23"/>
    </row>
    <row r="1363">
      <c r="A1363" s="19">
        <v>7351100.0</v>
      </c>
      <c r="B1363" s="19" t="s">
        <v>182</v>
      </c>
      <c r="C1363" s="19">
        <v>0.0</v>
      </c>
      <c r="D1363" s="19" t="str">
        <f>A1363 &amp; " - " &amp; B1363 &amp; " (" &amp; VLOOKUP(C1363, Tbl_ColorMap[],2,false) &amp; ")"</f>
        <v>7351100 - Unset (Red)</v>
      </c>
      <c r="E1363" s="23"/>
      <c r="L1363" s="23"/>
    </row>
    <row r="1364">
      <c r="A1364" s="19">
        <v>7351200.0</v>
      </c>
      <c r="B1364" s="19" t="s">
        <v>182</v>
      </c>
      <c r="C1364" s="19">
        <v>0.0</v>
      </c>
      <c r="D1364" s="19" t="str">
        <f>A1364 &amp; " - " &amp; B1364 &amp; " (" &amp; VLOOKUP(C1364, Tbl_ColorMap[],2,false) &amp; ")"</f>
        <v>7351200 - Unset (Red)</v>
      </c>
      <c r="E1364" s="23"/>
      <c r="L1364" s="23"/>
    </row>
    <row r="1365">
      <c r="A1365" s="19">
        <v>7351300.0</v>
      </c>
      <c r="B1365" s="19" t="s">
        <v>182</v>
      </c>
      <c r="C1365" s="19">
        <v>0.0</v>
      </c>
      <c r="D1365" s="19" t="str">
        <f>A1365 &amp; " - " &amp; B1365 &amp; " (" &amp; VLOOKUP(C1365, Tbl_ColorMap[],2,false) &amp; ")"</f>
        <v>7351300 - Unset (Red)</v>
      </c>
      <c r="E1365" s="23"/>
      <c r="L1365" s="23"/>
    </row>
    <row r="1366">
      <c r="A1366" s="19">
        <v>7351400.0</v>
      </c>
      <c r="B1366" s="19" t="s">
        <v>182</v>
      </c>
      <c r="C1366" s="19">
        <v>0.0</v>
      </c>
      <c r="D1366" s="19" t="str">
        <f>A1366 &amp; " - " &amp; B1366 &amp; " (" &amp; VLOOKUP(C1366, Tbl_ColorMap[],2,false) &amp; ")"</f>
        <v>7351400 - Unset (Red)</v>
      </c>
      <c r="E1366" s="23"/>
      <c r="L1366" s="23"/>
    </row>
    <row r="1367">
      <c r="A1367" s="19">
        <v>7351500.0</v>
      </c>
      <c r="B1367" s="19" t="s">
        <v>182</v>
      </c>
      <c r="C1367" s="19">
        <v>0.0</v>
      </c>
      <c r="D1367" s="19" t="str">
        <f>A1367 &amp; " - " &amp; B1367 &amp; " (" &amp; VLOOKUP(C1367, Tbl_ColorMap[],2,false) &amp; ")"</f>
        <v>7351500 - Unset (Red)</v>
      </c>
      <c r="E1367" s="23"/>
      <c r="L1367" s="23"/>
    </row>
    <row r="1368">
      <c r="A1368" s="19">
        <v>7351700.0</v>
      </c>
      <c r="B1368" s="19" t="s">
        <v>182</v>
      </c>
      <c r="C1368" s="19">
        <v>0.0</v>
      </c>
      <c r="D1368" s="19" t="str">
        <f>A1368 &amp; " - " &amp; B1368 &amp; " (" &amp; VLOOKUP(C1368, Tbl_ColorMap[],2,false) &amp; ")"</f>
        <v>7351700 - Unset (Red)</v>
      </c>
      <c r="E1368" s="23"/>
      <c r="L1368" s="23"/>
    </row>
    <row r="1369">
      <c r="A1369" s="19">
        <v>7351800.0</v>
      </c>
      <c r="B1369" s="19" t="s">
        <v>182</v>
      </c>
      <c r="C1369" s="19">
        <v>0.0</v>
      </c>
      <c r="D1369" s="19" t="str">
        <f>A1369 &amp; " - " &amp; B1369 &amp; " (" &amp; VLOOKUP(C1369, Tbl_ColorMap[],2,false) &amp; ")"</f>
        <v>7351800 - Unset (Red)</v>
      </c>
      <c r="E1369" s="23"/>
      <c r="L1369" s="23"/>
    </row>
    <row r="1370">
      <c r="A1370" s="19">
        <v>7351900.0</v>
      </c>
      <c r="B1370" s="19" t="s">
        <v>182</v>
      </c>
      <c r="C1370" s="19">
        <v>0.0</v>
      </c>
      <c r="D1370" s="19" t="str">
        <f>A1370 &amp; " - " &amp; B1370 &amp; " (" &amp; VLOOKUP(C1370, Tbl_ColorMap[],2,false) &amp; ")"</f>
        <v>7351900 - Unset (Red)</v>
      </c>
      <c r="E1370" s="23"/>
      <c r="L1370" s="23"/>
    </row>
    <row r="1371">
      <c r="A1371" s="19">
        <v>7352000.0</v>
      </c>
      <c r="B1371" s="19" t="s">
        <v>182</v>
      </c>
      <c r="C1371" s="19">
        <v>0.0</v>
      </c>
      <c r="D1371" s="19" t="str">
        <f>A1371 &amp; " - " &amp; B1371 &amp; " (" &amp; VLOOKUP(C1371, Tbl_ColorMap[],2,false) &amp; ")"</f>
        <v>7352000 - Unset (Red)</v>
      </c>
      <c r="E1371" s="23"/>
      <c r="L1371" s="23"/>
    </row>
    <row r="1372">
      <c r="A1372" s="19">
        <v>7352100.0</v>
      </c>
      <c r="B1372" s="19" t="s">
        <v>182</v>
      </c>
      <c r="C1372" s="19">
        <v>0.0</v>
      </c>
      <c r="D1372" s="19" t="str">
        <f>A1372 &amp; " - " &amp; B1372 &amp; " (" &amp; VLOOKUP(C1372, Tbl_ColorMap[],2,false) &amp; ")"</f>
        <v>7352100 - Unset (Red)</v>
      </c>
      <c r="E1372" s="23"/>
      <c r="L1372" s="23"/>
    </row>
    <row r="1373">
      <c r="A1373" s="19">
        <v>7352200.0</v>
      </c>
      <c r="B1373" s="19" t="s">
        <v>182</v>
      </c>
      <c r="C1373" s="19">
        <v>0.0</v>
      </c>
      <c r="D1373" s="19" t="str">
        <f>A1373 &amp; " - " &amp; B1373 &amp; " (" &amp; VLOOKUP(C1373, Tbl_ColorMap[],2,false) &amp; ")"</f>
        <v>7352200 - Unset (Red)</v>
      </c>
      <c r="E1373" s="23"/>
      <c r="L1373" s="23"/>
    </row>
    <row r="1374">
      <c r="A1374" s="19">
        <v>7352300.0</v>
      </c>
      <c r="B1374" s="19" t="s">
        <v>182</v>
      </c>
      <c r="C1374" s="19">
        <v>0.0</v>
      </c>
      <c r="D1374" s="19" t="str">
        <f>A1374 &amp; " - " &amp; B1374 &amp; " (" &amp; VLOOKUP(C1374, Tbl_ColorMap[],2,false) &amp; ")"</f>
        <v>7352300 - Unset (Red)</v>
      </c>
      <c r="E1374" s="23"/>
      <c r="L1374" s="23"/>
    </row>
    <row r="1375">
      <c r="A1375" s="19">
        <v>7352400.0</v>
      </c>
      <c r="B1375" s="19" t="s">
        <v>182</v>
      </c>
      <c r="C1375" s="19">
        <v>0.0</v>
      </c>
      <c r="D1375" s="19" t="str">
        <f>A1375 &amp; " - " &amp; B1375 &amp; " (" &amp; VLOOKUP(C1375, Tbl_ColorMap[],2,false) &amp; ")"</f>
        <v>7352400 - Unset (Red)</v>
      </c>
      <c r="E1375" s="23"/>
      <c r="L1375" s="23"/>
    </row>
    <row r="1376">
      <c r="A1376" s="19">
        <v>7360600.0</v>
      </c>
      <c r="B1376" s="19" t="s">
        <v>182</v>
      </c>
      <c r="C1376" s="19">
        <v>0.0</v>
      </c>
      <c r="D1376" s="19" t="str">
        <f>A1376 &amp; " - " &amp; B1376 &amp; " (" &amp; VLOOKUP(C1376, Tbl_ColorMap[],2,false) &amp; ")"</f>
        <v>7360600 - Unset (Red)</v>
      </c>
      <c r="E1376" s="23"/>
      <c r="L1376" s="23"/>
    </row>
    <row r="1377">
      <c r="A1377" s="19">
        <v>7360900.0</v>
      </c>
      <c r="B1377" s="19" t="s">
        <v>182</v>
      </c>
      <c r="C1377" s="19">
        <v>0.0</v>
      </c>
      <c r="D1377" s="19" t="str">
        <f>A1377 &amp; " - " &amp; B1377 &amp; " (" &amp; VLOOKUP(C1377, Tbl_ColorMap[],2,false) &amp; ")"</f>
        <v>7360900 - Unset (Red)</v>
      </c>
      <c r="E1377" s="23"/>
      <c r="L1377" s="23"/>
    </row>
    <row r="1378">
      <c r="A1378" s="19">
        <v>7361200.0</v>
      </c>
      <c r="B1378" s="19" t="s">
        <v>182</v>
      </c>
      <c r="C1378" s="19">
        <v>0.0</v>
      </c>
      <c r="D1378" s="19" t="str">
        <f>A1378 &amp; " - " &amp; B1378 &amp; " (" &amp; VLOOKUP(C1378, Tbl_ColorMap[],2,false) &amp; ")"</f>
        <v>7361200 - Unset (Red)</v>
      </c>
      <c r="E1378" s="23"/>
      <c r="L1378" s="23"/>
    </row>
    <row r="1379">
      <c r="A1379" s="19">
        <v>7361300.0</v>
      </c>
      <c r="B1379" s="19" t="s">
        <v>182</v>
      </c>
      <c r="C1379" s="19">
        <v>0.0</v>
      </c>
      <c r="D1379" s="19" t="str">
        <f>A1379 &amp; " - " &amp; B1379 &amp; " (" &amp; VLOOKUP(C1379, Tbl_ColorMap[],2,false) &amp; ")"</f>
        <v>7361300 - Unset (Red)</v>
      </c>
      <c r="E1379" s="23"/>
      <c r="L1379" s="23"/>
    </row>
    <row r="1380">
      <c r="A1380" s="19">
        <v>7362100.0</v>
      </c>
      <c r="B1380" s="19" t="s">
        <v>182</v>
      </c>
      <c r="C1380" s="19">
        <v>0.0</v>
      </c>
      <c r="D1380" s="19" t="str">
        <f>A1380 &amp; " - " &amp; B1380 &amp; " (" &amp; VLOOKUP(C1380, Tbl_ColorMap[],2,false) &amp; ")"</f>
        <v>7362100 - Unset (Red)</v>
      </c>
      <c r="E1380" s="23"/>
      <c r="L1380" s="23"/>
    </row>
    <row r="1381">
      <c r="A1381" s="19">
        <v>7370300.0</v>
      </c>
      <c r="B1381" s="19" t="s">
        <v>182</v>
      </c>
      <c r="C1381" s="19">
        <v>0.0</v>
      </c>
      <c r="D1381" s="19" t="str">
        <f>A1381 &amp; " - " &amp; B1381 &amp; " (" &amp; VLOOKUP(C1381, Tbl_ColorMap[],2,false) &amp; ")"</f>
        <v>7370300 - Unset (Red)</v>
      </c>
      <c r="E1381" s="23"/>
      <c r="L1381" s="23"/>
    </row>
    <row r="1382">
      <c r="A1382" s="19">
        <v>7370400.0</v>
      </c>
      <c r="B1382" s="19" t="s">
        <v>182</v>
      </c>
      <c r="C1382" s="19">
        <v>0.0</v>
      </c>
      <c r="D1382" s="19" t="str">
        <f>A1382 &amp; " - " &amp; B1382 &amp; " (" &amp; VLOOKUP(C1382, Tbl_ColorMap[],2,false) &amp; ")"</f>
        <v>7370400 - Unset (Red)</v>
      </c>
      <c r="E1382" s="23"/>
      <c r="L1382" s="23"/>
    </row>
    <row r="1383">
      <c r="A1383" s="19">
        <v>7370600.0</v>
      </c>
      <c r="B1383" s="19" t="s">
        <v>182</v>
      </c>
      <c r="C1383" s="19">
        <v>0.0</v>
      </c>
      <c r="D1383" s="19" t="str">
        <f>A1383 &amp; " - " &amp; B1383 &amp; " (" &amp; VLOOKUP(C1383, Tbl_ColorMap[],2,false) &amp; ")"</f>
        <v>7370600 - Unset (Red)</v>
      </c>
      <c r="E1383" s="23"/>
      <c r="L1383" s="23"/>
    </row>
    <row r="1384">
      <c r="A1384" s="19">
        <v>7370900.0</v>
      </c>
      <c r="B1384" s="19" t="s">
        <v>182</v>
      </c>
      <c r="C1384" s="19">
        <v>0.0</v>
      </c>
      <c r="D1384" s="19" t="str">
        <f>A1384 &amp; " - " &amp; B1384 &amp; " (" &amp; VLOOKUP(C1384, Tbl_ColorMap[],2,false) &amp; ")"</f>
        <v>7370900 - Unset (Red)</v>
      </c>
      <c r="E1384" s="23"/>
      <c r="L1384" s="23"/>
    </row>
    <row r="1385">
      <c r="A1385" s="19">
        <v>7371500.0</v>
      </c>
      <c r="B1385" s="19" t="s">
        <v>182</v>
      </c>
      <c r="C1385" s="19">
        <v>0.0</v>
      </c>
      <c r="D1385" s="19" t="str">
        <f>A1385 &amp; " - " &amp; B1385 &amp; " (" &amp; VLOOKUP(C1385, Tbl_ColorMap[],2,false) &amp; ")"</f>
        <v>7371500 - Unset (Red)</v>
      </c>
      <c r="E1385" s="23"/>
      <c r="L1385" s="23"/>
    </row>
    <row r="1386">
      <c r="A1386" s="19">
        <v>7999999.0</v>
      </c>
      <c r="B1386" s="19" t="s">
        <v>182</v>
      </c>
      <c r="C1386" s="19">
        <v>0.0</v>
      </c>
      <c r="D1386" s="19" t="str">
        <f>A1386 &amp; " - " &amp; B1386 &amp; " (" &amp; VLOOKUP(C1386, Tbl_ColorMap[],2,false) &amp; ")"</f>
        <v>7999999 - Unset (Red)</v>
      </c>
      <c r="E1386" s="23"/>
      <c r="L1386" s="23"/>
    </row>
    <row r="1387">
      <c r="B1387" s="19"/>
      <c r="E1387" s="23"/>
      <c r="L1387" s="23"/>
    </row>
    <row r="1388">
      <c r="B1388" s="19"/>
      <c r="E1388" s="23"/>
      <c r="L1388" s="23"/>
    </row>
    <row r="1389">
      <c r="B1389" s="19"/>
      <c r="E1389" s="23"/>
      <c r="L1389" s="23"/>
    </row>
    <row r="1390">
      <c r="B1390" s="19"/>
      <c r="E1390" s="23"/>
      <c r="L1390" s="23"/>
    </row>
    <row r="1391">
      <c r="B1391" s="19"/>
      <c r="E1391" s="23"/>
      <c r="L1391" s="23"/>
    </row>
    <row r="1392">
      <c r="B1392" s="19"/>
      <c r="E1392" s="23"/>
      <c r="L1392" s="23"/>
    </row>
    <row r="1393">
      <c r="B1393" s="19"/>
      <c r="E1393" s="23"/>
      <c r="L1393" s="23"/>
    </row>
    <row r="1394">
      <c r="B1394" s="19"/>
      <c r="E1394" s="23"/>
      <c r="L1394" s="23"/>
    </row>
    <row r="1395">
      <c r="B1395" s="19"/>
      <c r="E1395" s="23"/>
      <c r="L1395" s="23"/>
    </row>
    <row r="1396">
      <c r="B1396" s="19"/>
      <c r="E1396" s="23"/>
      <c r="L1396" s="23"/>
    </row>
    <row r="1397">
      <c r="B1397" s="19"/>
      <c r="E1397" s="23"/>
      <c r="L1397" s="23"/>
    </row>
    <row r="1398">
      <c r="B1398" s="19"/>
      <c r="E1398" s="23"/>
      <c r="L1398" s="23"/>
    </row>
    <row r="1399">
      <c r="B1399" s="19"/>
      <c r="E1399" s="23"/>
      <c r="L1399" s="23"/>
    </row>
    <row r="1400">
      <c r="B1400" s="19"/>
      <c r="E1400" s="23"/>
      <c r="L1400" s="23"/>
    </row>
    <row r="1401">
      <c r="B1401" s="19"/>
      <c r="E1401" s="23"/>
      <c r="L1401" s="23"/>
    </row>
    <row r="1402">
      <c r="B1402" s="19"/>
      <c r="E1402" s="23"/>
      <c r="L1402" s="23"/>
    </row>
    <row r="1403">
      <c r="B1403" s="19"/>
      <c r="E1403" s="23"/>
      <c r="L1403" s="23"/>
    </row>
    <row r="1404">
      <c r="B1404" s="19"/>
      <c r="E1404" s="23"/>
      <c r="L1404" s="23"/>
    </row>
    <row r="1405">
      <c r="B1405" s="19"/>
      <c r="E1405" s="23"/>
      <c r="L1405" s="23"/>
    </row>
    <row r="1406">
      <c r="B1406" s="19"/>
      <c r="E1406" s="23"/>
      <c r="L1406" s="23"/>
    </row>
    <row r="1407">
      <c r="B1407" s="19"/>
      <c r="E1407" s="23"/>
      <c r="L1407" s="23"/>
    </row>
    <row r="1408">
      <c r="B1408" s="19"/>
      <c r="E1408" s="23"/>
      <c r="L1408" s="23"/>
    </row>
    <row r="1409">
      <c r="B1409" s="19"/>
      <c r="E1409" s="23"/>
      <c r="L1409" s="23"/>
    </row>
    <row r="1410">
      <c r="B1410" s="19"/>
      <c r="E1410" s="23"/>
      <c r="L1410" s="23"/>
    </row>
    <row r="1411">
      <c r="B1411" s="19"/>
      <c r="E1411" s="23"/>
      <c r="L1411" s="23"/>
    </row>
    <row r="1412">
      <c r="B1412" s="19"/>
      <c r="E1412" s="23"/>
      <c r="L1412" s="23"/>
    </row>
    <row r="1413">
      <c r="B1413" s="19"/>
      <c r="E1413" s="23"/>
      <c r="L1413" s="23"/>
    </row>
    <row r="1414">
      <c r="B1414" s="19"/>
      <c r="E1414" s="23"/>
      <c r="L1414" s="23"/>
    </row>
    <row r="1415">
      <c r="B1415" s="19"/>
      <c r="E1415" s="23"/>
      <c r="L1415" s="23"/>
    </row>
    <row r="1416">
      <c r="B1416" s="19"/>
      <c r="E1416" s="23"/>
      <c r="L1416" s="23"/>
    </row>
    <row r="1417">
      <c r="B1417" s="19"/>
      <c r="E1417" s="23"/>
      <c r="L1417" s="23"/>
    </row>
    <row r="1418">
      <c r="B1418" s="19"/>
      <c r="E1418" s="23"/>
      <c r="L1418" s="23"/>
    </row>
    <row r="1419">
      <c r="B1419" s="19"/>
      <c r="E1419" s="23"/>
      <c r="L1419" s="23"/>
    </row>
    <row r="1420">
      <c r="B1420" s="19"/>
      <c r="E1420" s="23"/>
      <c r="L1420" s="23"/>
    </row>
    <row r="1421">
      <c r="B1421" s="19"/>
      <c r="E1421" s="23"/>
      <c r="L1421" s="23"/>
    </row>
    <row r="1422">
      <c r="B1422" s="19"/>
      <c r="E1422" s="23"/>
      <c r="L1422" s="23"/>
    </row>
    <row r="1423">
      <c r="B1423" s="19"/>
      <c r="E1423" s="23"/>
      <c r="L1423" s="23"/>
    </row>
    <row r="1424">
      <c r="B1424" s="19"/>
      <c r="E1424" s="23"/>
      <c r="L1424" s="23"/>
    </row>
    <row r="1425">
      <c r="B1425" s="19"/>
      <c r="E1425" s="23"/>
      <c r="L1425" s="23"/>
    </row>
    <row r="1426">
      <c r="B1426" s="19"/>
      <c r="E1426" s="23"/>
      <c r="L1426" s="23"/>
    </row>
    <row r="1427">
      <c r="B1427" s="19"/>
      <c r="E1427" s="23"/>
      <c r="L1427" s="23"/>
    </row>
    <row r="1428">
      <c r="B1428" s="19"/>
      <c r="E1428" s="23"/>
      <c r="L1428" s="23"/>
    </row>
    <row r="1429">
      <c r="B1429" s="19"/>
      <c r="E1429" s="23"/>
      <c r="L1429" s="23"/>
    </row>
    <row r="1430">
      <c r="B1430" s="19"/>
      <c r="E1430" s="23"/>
      <c r="L1430" s="23"/>
    </row>
    <row r="1431">
      <c r="B1431" s="19"/>
      <c r="E1431" s="23"/>
      <c r="L1431" s="23"/>
    </row>
    <row r="1432">
      <c r="B1432" s="19"/>
      <c r="E1432" s="23"/>
      <c r="L1432" s="23"/>
    </row>
    <row r="1433">
      <c r="B1433" s="19"/>
      <c r="E1433" s="23"/>
      <c r="L1433" s="23"/>
    </row>
    <row r="1434">
      <c r="B1434" s="19"/>
      <c r="E1434" s="23"/>
      <c r="L1434" s="23"/>
    </row>
    <row r="1435">
      <c r="B1435" s="19"/>
      <c r="E1435" s="23"/>
      <c r="L1435" s="23"/>
    </row>
    <row r="1436">
      <c r="B1436" s="19"/>
      <c r="E1436" s="23"/>
      <c r="L1436" s="23"/>
    </row>
    <row r="1437">
      <c r="B1437" s="19"/>
      <c r="E1437" s="23"/>
      <c r="L1437" s="23"/>
    </row>
    <row r="1438">
      <c r="B1438" s="19"/>
      <c r="E1438" s="23"/>
      <c r="L1438" s="23"/>
    </row>
    <row r="1439">
      <c r="B1439" s="19"/>
      <c r="E1439" s="23"/>
      <c r="L1439" s="23"/>
    </row>
    <row r="1440">
      <c r="B1440" s="19"/>
      <c r="E1440" s="23"/>
      <c r="L1440" s="23"/>
    </row>
    <row r="1441">
      <c r="B1441" s="19"/>
      <c r="E1441" s="23"/>
      <c r="L1441" s="23"/>
    </row>
    <row r="1442">
      <c r="B1442" s="19"/>
      <c r="E1442" s="23"/>
      <c r="L1442" s="23"/>
    </row>
    <row r="1443">
      <c r="B1443" s="19"/>
      <c r="E1443" s="23"/>
      <c r="L1443" s="23"/>
    </row>
    <row r="1444">
      <c r="B1444" s="19"/>
      <c r="E1444" s="23"/>
      <c r="L1444" s="23"/>
    </row>
    <row r="1445">
      <c r="B1445" s="19"/>
      <c r="E1445" s="23"/>
      <c r="L1445" s="23"/>
    </row>
    <row r="1446">
      <c r="B1446" s="19"/>
      <c r="E1446" s="23"/>
      <c r="L1446" s="23"/>
    </row>
    <row r="1447">
      <c r="B1447" s="19"/>
      <c r="E1447" s="23"/>
      <c r="L1447" s="23"/>
    </row>
    <row r="1448">
      <c r="B1448" s="19"/>
      <c r="E1448" s="23"/>
      <c r="L1448" s="23"/>
    </row>
    <row r="1449">
      <c r="B1449" s="19"/>
      <c r="E1449" s="23"/>
      <c r="L1449" s="23"/>
    </row>
    <row r="1450">
      <c r="B1450" s="19"/>
      <c r="E1450" s="23"/>
      <c r="L1450" s="23"/>
    </row>
    <row r="1451">
      <c r="B1451" s="19"/>
      <c r="E1451" s="23"/>
      <c r="L1451" s="23"/>
    </row>
    <row r="1452">
      <c r="B1452" s="19"/>
      <c r="E1452" s="23"/>
      <c r="L1452" s="23"/>
    </row>
    <row r="1453">
      <c r="B1453" s="19"/>
      <c r="E1453" s="23"/>
      <c r="L1453" s="23"/>
    </row>
    <row r="1454">
      <c r="B1454" s="19"/>
      <c r="E1454" s="23"/>
      <c r="L1454" s="23"/>
    </row>
    <row r="1455">
      <c r="B1455" s="19"/>
      <c r="E1455" s="23"/>
      <c r="L1455" s="23"/>
    </row>
    <row r="1456">
      <c r="B1456" s="19"/>
      <c r="E1456" s="23"/>
      <c r="L1456" s="23"/>
    </row>
    <row r="1457">
      <c r="B1457" s="19"/>
      <c r="E1457" s="23"/>
      <c r="L1457" s="23"/>
    </row>
    <row r="1458">
      <c r="B1458" s="19"/>
      <c r="E1458" s="23"/>
      <c r="L1458" s="23"/>
    </row>
    <row r="1459">
      <c r="B1459" s="19"/>
      <c r="E1459" s="23"/>
      <c r="L1459" s="23"/>
    </row>
    <row r="1460">
      <c r="B1460" s="19"/>
      <c r="E1460" s="23"/>
      <c r="L1460" s="23"/>
    </row>
    <row r="1461">
      <c r="B1461" s="19"/>
      <c r="E1461" s="23"/>
      <c r="L1461" s="23"/>
    </row>
    <row r="1462">
      <c r="B1462" s="19"/>
      <c r="E1462" s="23"/>
      <c r="L1462" s="23"/>
    </row>
    <row r="1463">
      <c r="B1463" s="19"/>
      <c r="E1463" s="23"/>
      <c r="L1463" s="23"/>
    </row>
    <row r="1464">
      <c r="B1464" s="19"/>
      <c r="E1464" s="23"/>
      <c r="L1464" s="23"/>
    </row>
    <row r="1465">
      <c r="B1465" s="19"/>
      <c r="E1465" s="23"/>
      <c r="L1465" s="23"/>
    </row>
    <row r="1466">
      <c r="B1466" s="19"/>
      <c r="E1466" s="23"/>
      <c r="L1466" s="23"/>
    </row>
    <row r="1467">
      <c r="B1467" s="19"/>
      <c r="E1467" s="23"/>
      <c r="L1467" s="23"/>
    </row>
    <row r="1468">
      <c r="B1468" s="19"/>
      <c r="E1468" s="23"/>
      <c r="L1468" s="23"/>
    </row>
    <row r="1469">
      <c r="B1469" s="19"/>
      <c r="E1469" s="23"/>
      <c r="L1469" s="23"/>
    </row>
    <row r="1470">
      <c r="B1470" s="19"/>
      <c r="E1470" s="23"/>
      <c r="L1470" s="23"/>
    </row>
    <row r="1471">
      <c r="B1471" s="19"/>
      <c r="E1471" s="23"/>
      <c r="L1471" s="23"/>
    </row>
    <row r="1472">
      <c r="B1472" s="19"/>
      <c r="E1472" s="23"/>
      <c r="L1472" s="23"/>
    </row>
    <row r="1473">
      <c r="B1473" s="19"/>
      <c r="E1473" s="23"/>
      <c r="L1473" s="23"/>
    </row>
    <row r="1474">
      <c r="B1474" s="19"/>
      <c r="E1474" s="23"/>
      <c r="L1474" s="23"/>
    </row>
    <row r="1475">
      <c r="B1475" s="19"/>
      <c r="E1475" s="23"/>
      <c r="L1475" s="23"/>
    </row>
    <row r="1476">
      <c r="B1476" s="19"/>
      <c r="E1476" s="23"/>
      <c r="L1476" s="23"/>
    </row>
    <row r="1477">
      <c r="B1477" s="19"/>
      <c r="E1477" s="23"/>
      <c r="L1477" s="23"/>
    </row>
    <row r="1478">
      <c r="B1478" s="19"/>
      <c r="E1478" s="23"/>
      <c r="L1478" s="23"/>
    </row>
    <row r="1479">
      <c r="B1479" s="19"/>
      <c r="E1479" s="23"/>
      <c r="L1479" s="23"/>
    </row>
    <row r="1480">
      <c r="B1480" s="19"/>
      <c r="E1480" s="23"/>
      <c r="L1480" s="23"/>
    </row>
    <row r="1481">
      <c r="B1481" s="19"/>
      <c r="E1481" s="23"/>
      <c r="L1481" s="23"/>
    </row>
    <row r="1482">
      <c r="B1482" s="19"/>
      <c r="E1482" s="23"/>
      <c r="L1482" s="23"/>
    </row>
    <row r="1483">
      <c r="B1483" s="19"/>
      <c r="E1483" s="23"/>
      <c r="L1483" s="23"/>
    </row>
    <row r="1484">
      <c r="B1484" s="19"/>
      <c r="E1484" s="23"/>
      <c r="L1484" s="23"/>
    </row>
    <row r="1485">
      <c r="B1485" s="19"/>
      <c r="E1485" s="23"/>
      <c r="L1485" s="23"/>
    </row>
    <row r="1486">
      <c r="B1486" s="19"/>
      <c r="E1486" s="23"/>
      <c r="L1486" s="23"/>
    </row>
    <row r="1487">
      <c r="B1487" s="19"/>
      <c r="E1487" s="23"/>
      <c r="L1487" s="23"/>
    </row>
    <row r="1488">
      <c r="B1488" s="19"/>
      <c r="E1488" s="23"/>
      <c r="L1488" s="23"/>
    </row>
    <row r="1489">
      <c r="B1489" s="19"/>
      <c r="E1489" s="23"/>
      <c r="L1489" s="23"/>
    </row>
    <row r="1490">
      <c r="B1490" s="19"/>
      <c r="E1490" s="23"/>
      <c r="L1490" s="23"/>
    </row>
    <row r="1491">
      <c r="B1491" s="19"/>
      <c r="E1491" s="23"/>
      <c r="L1491" s="23"/>
    </row>
    <row r="1492">
      <c r="B1492" s="19"/>
      <c r="E1492" s="23"/>
      <c r="L1492" s="23"/>
    </row>
    <row r="1493">
      <c r="B1493" s="19"/>
      <c r="E1493" s="23"/>
      <c r="L1493" s="23"/>
    </row>
    <row r="1494">
      <c r="B1494" s="19"/>
      <c r="E1494" s="23"/>
      <c r="L1494" s="23"/>
    </row>
    <row r="1495">
      <c r="B1495" s="19"/>
      <c r="E1495" s="23"/>
      <c r="L1495" s="23"/>
    </row>
    <row r="1496">
      <c r="B1496" s="19"/>
      <c r="E1496" s="23"/>
      <c r="L1496" s="23"/>
    </row>
    <row r="1497">
      <c r="B1497" s="19"/>
      <c r="E1497" s="23"/>
      <c r="L1497" s="23"/>
    </row>
    <row r="1498">
      <c r="B1498" s="19"/>
      <c r="E1498" s="23"/>
      <c r="L1498" s="23"/>
    </row>
    <row r="1499">
      <c r="B1499" s="19"/>
      <c r="E1499" s="23"/>
      <c r="L1499" s="23"/>
    </row>
    <row r="1500">
      <c r="B1500" s="19"/>
      <c r="E1500" s="23"/>
      <c r="L1500" s="23"/>
    </row>
    <row r="1501">
      <c r="B1501" s="19"/>
      <c r="E1501" s="23"/>
      <c r="L1501" s="23"/>
    </row>
    <row r="1502">
      <c r="B1502" s="19"/>
      <c r="E1502" s="23"/>
      <c r="L1502" s="23"/>
    </row>
    <row r="1503">
      <c r="B1503" s="19"/>
      <c r="E1503" s="23"/>
      <c r="L1503" s="23"/>
    </row>
    <row r="1504">
      <c r="B1504" s="19"/>
      <c r="E1504" s="23"/>
      <c r="L1504" s="23"/>
    </row>
    <row r="1505">
      <c r="B1505" s="19"/>
      <c r="E1505" s="23"/>
      <c r="L1505" s="23"/>
    </row>
    <row r="1506">
      <c r="B1506" s="19"/>
      <c r="E1506" s="23"/>
      <c r="L1506" s="23"/>
    </row>
    <row r="1507">
      <c r="B1507" s="19"/>
      <c r="E1507" s="23"/>
      <c r="L1507" s="23"/>
    </row>
    <row r="1508">
      <c r="B1508" s="19"/>
      <c r="E1508" s="23"/>
      <c r="L1508" s="23"/>
    </row>
    <row r="1509">
      <c r="B1509" s="19"/>
      <c r="E1509" s="23"/>
      <c r="L1509" s="23"/>
    </row>
    <row r="1510">
      <c r="B1510" s="19"/>
      <c r="E1510" s="23"/>
      <c r="L1510" s="23"/>
    </row>
    <row r="1511">
      <c r="B1511" s="19"/>
      <c r="E1511" s="23"/>
      <c r="L1511" s="23"/>
    </row>
    <row r="1512">
      <c r="B1512" s="19"/>
      <c r="E1512" s="23"/>
      <c r="L1512" s="23"/>
    </row>
    <row r="1513">
      <c r="B1513" s="19"/>
      <c r="E1513" s="23"/>
      <c r="L1513" s="23"/>
    </row>
    <row r="1514">
      <c r="B1514" s="19"/>
      <c r="E1514" s="23"/>
      <c r="L1514" s="23"/>
    </row>
    <row r="1515">
      <c r="B1515" s="19"/>
      <c r="E1515" s="23"/>
      <c r="L1515" s="23"/>
    </row>
    <row r="1516">
      <c r="B1516" s="19"/>
      <c r="E1516" s="23"/>
      <c r="L1516" s="23"/>
    </row>
    <row r="1517">
      <c r="B1517" s="19"/>
      <c r="E1517" s="23"/>
      <c r="L1517" s="23"/>
    </row>
    <row r="1518">
      <c r="B1518" s="19"/>
      <c r="E1518" s="23"/>
      <c r="L1518" s="23"/>
    </row>
    <row r="1519">
      <c r="B1519" s="19"/>
      <c r="E1519" s="23"/>
      <c r="L1519" s="23"/>
    </row>
    <row r="1520">
      <c r="B1520" s="19"/>
      <c r="E1520" s="23"/>
      <c r="L1520" s="23"/>
    </row>
    <row r="1521">
      <c r="B1521" s="19"/>
      <c r="E1521" s="23"/>
      <c r="L1521" s="23"/>
    </row>
    <row r="1522">
      <c r="B1522" s="19"/>
      <c r="E1522" s="23"/>
      <c r="L1522" s="23"/>
    </row>
    <row r="1523">
      <c r="B1523" s="19"/>
      <c r="E1523" s="23"/>
      <c r="L1523" s="23"/>
    </row>
    <row r="1524">
      <c r="B1524" s="19"/>
      <c r="E1524" s="23"/>
      <c r="L1524" s="23"/>
    </row>
    <row r="1525">
      <c r="B1525" s="19"/>
      <c r="E1525" s="23"/>
      <c r="L1525" s="23"/>
    </row>
    <row r="1526">
      <c r="B1526" s="19"/>
      <c r="E1526" s="23"/>
      <c r="L1526" s="23"/>
    </row>
    <row r="1527">
      <c r="B1527" s="19"/>
      <c r="E1527" s="23"/>
      <c r="L1527" s="23"/>
    </row>
    <row r="1528">
      <c r="B1528" s="19"/>
      <c r="E1528" s="23"/>
      <c r="L1528" s="23"/>
    </row>
    <row r="1529">
      <c r="B1529" s="19"/>
      <c r="E1529" s="23"/>
      <c r="L1529" s="23"/>
    </row>
    <row r="1530">
      <c r="B1530" s="19"/>
      <c r="E1530" s="23"/>
      <c r="L1530" s="23"/>
    </row>
    <row r="1531">
      <c r="B1531" s="19"/>
      <c r="E1531" s="23"/>
      <c r="L1531" s="23"/>
    </row>
    <row r="1532">
      <c r="B1532" s="19"/>
      <c r="E1532" s="23"/>
      <c r="L1532" s="23"/>
    </row>
    <row r="1533">
      <c r="B1533" s="19"/>
      <c r="E1533" s="23"/>
      <c r="L1533" s="23"/>
    </row>
    <row r="1534">
      <c r="B1534" s="19"/>
      <c r="E1534" s="23"/>
      <c r="L1534" s="23"/>
    </row>
    <row r="1535">
      <c r="B1535" s="19"/>
      <c r="E1535" s="23"/>
      <c r="L1535" s="23"/>
    </row>
    <row r="1536">
      <c r="B1536" s="19"/>
      <c r="E1536" s="23"/>
      <c r="L1536" s="23"/>
    </row>
    <row r="1537">
      <c r="B1537" s="19"/>
      <c r="E1537" s="23"/>
      <c r="L1537" s="23"/>
    </row>
    <row r="1538">
      <c r="B1538" s="19"/>
      <c r="E1538" s="23"/>
      <c r="L1538" s="23"/>
    </row>
    <row r="1539">
      <c r="B1539" s="19"/>
      <c r="E1539" s="23"/>
      <c r="L1539" s="23"/>
    </row>
    <row r="1540">
      <c r="B1540" s="19"/>
      <c r="E1540" s="23"/>
      <c r="L1540" s="23"/>
    </row>
    <row r="1541">
      <c r="B1541" s="19"/>
      <c r="E1541" s="23"/>
      <c r="L1541" s="23"/>
    </row>
    <row r="1542">
      <c r="B1542" s="19"/>
      <c r="E1542" s="23"/>
      <c r="L1542" s="23"/>
    </row>
    <row r="1543">
      <c r="B1543" s="19"/>
      <c r="E1543" s="23"/>
      <c r="L1543" s="23"/>
    </row>
    <row r="1544">
      <c r="B1544" s="19"/>
      <c r="E1544" s="23"/>
      <c r="L1544" s="23"/>
    </row>
    <row r="1545">
      <c r="B1545" s="19"/>
      <c r="E1545" s="23"/>
      <c r="L1545" s="23"/>
    </row>
    <row r="1546">
      <c r="B1546" s="19"/>
      <c r="E1546" s="23"/>
      <c r="L1546" s="23"/>
    </row>
    <row r="1547">
      <c r="B1547" s="19"/>
      <c r="E1547" s="23"/>
      <c r="L1547" s="23"/>
    </row>
    <row r="1548">
      <c r="B1548" s="19"/>
      <c r="E1548" s="23"/>
      <c r="L1548" s="23"/>
    </row>
    <row r="1549">
      <c r="B1549" s="19"/>
      <c r="E1549" s="23"/>
      <c r="L1549" s="23"/>
    </row>
    <row r="1550">
      <c r="B1550" s="19"/>
      <c r="E1550" s="23"/>
      <c r="L1550" s="23"/>
    </row>
    <row r="1551">
      <c r="B1551" s="19"/>
      <c r="E1551" s="23"/>
      <c r="L1551" s="23"/>
    </row>
    <row r="1552">
      <c r="B1552" s="19"/>
      <c r="E1552" s="23"/>
      <c r="L1552" s="23"/>
    </row>
    <row r="1553">
      <c r="B1553" s="19"/>
      <c r="E1553" s="23"/>
      <c r="L1553" s="23"/>
    </row>
    <row r="1554">
      <c r="B1554" s="19"/>
      <c r="E1554" s="23"/>
      <c r="L1554" s="23"/>
    </row>
    <row r="1555">
      <c r="B1555" s="19"/>
      <c r="E1555" s="23"/>
      <c r="L1555" s="23"/>
    </row>
    <row r="1556">
      <c r="B1556" s="19"/>
      <c r="E1556" s="23"/>
      <c r="L1556" s="23"/>
    </row>
    <row r="1557">
      <c r="B1557" s="19"/>
      <c r="E1557" s="23"/>
      <c r="L1557" s="23"/>
    </row>
    <row r="1558">
      <c r="B1558" s="19"/>
      <c r="E1558" s="23"/>
      <c r="L1558" s="23"/>
    </row>
    <row r="1559">
      <c r="B1559" s="19"/>
      <c r="E1559" s="23"/>
      <c r="L1559" s="23"/>
    </row>
    <row r="1560">
      <c r="B1560" s="19"/>
      <c r="E1560" s="23"/>
      <c r="L1560" s="23"/>
    </row>
    <row r="1561">
      <c r="B1561" s="19"/>
      <c r="E1561" s="23"/>
      <c r="L1561" s="23"/>
    </row>
    <row r="1562">
      <c r="B1562" s="19"/>
      <c r="E1562" s="23"/>
      <c r="L1562" s="23"/>
    </row>
    <row r="1563">
      <c r="B1563" s="19"/>
      <c r="E1563" s="23"/>
      <c r="L1563" s="23"/>
    </row>
    <row r="1564">
      <c r="B1564" s="19"/>
      <c r="E1564" s="23"/>
      <c r="L1564" s="23"/>
    </row>
    <row r="1565">
      <c r="B1565" s="19"/>
      <c r="E1565" s="23"/>
      <c r="L1565" s="23"/>
    </row>
    <row r="1566">
      <c r="B1566" s="19"/>
      <c r="E1566" s="23"/>
      <c r="L1566" s="23"/>
    </row>
    <row r="1567">
      <c r="B1567" s="19"/>
      <c r="E1567" s="23"/>
      <c r="L1567" s="23"/>
    </row>
    <row r="1568">
      <c r="B1568" s="19"/>
      <c r="E1568" s="23"/>
      <c r="L1568" s="23"/>
    </row>
    <row r="1569">
      <c r="B1569" s="19"/>
      <c r="E1569" s="23"/>
      <c r="L1569" s="23"/>
    </row>
    <row r="1570">
      <c r="B1570" s="19"/>
      <c r="E1570" s="23"/>
      <c r="L1570" s="23"/>
    </row>
    <row r="1571">
      <c r="B1571" s="19"/>
      <c r="E1571" s="23"/>
      <c r="L1571" s="23"/>
    </row>
    <row r="1572">
      <c r="B1572" s="19"/>
      <c r="E1572" s="23"/>
      <c r="L1572" s="23"/>
    </row>
    <row r="1573">
      <c r="B1573" s="19"/>
      <c r="E1573" s="23"/>
      <c r="L1573" s="23"/>
    </row>
    <row r="1574">
      <c r="B1574" s="19"/>
      <c r="E1574" s="23"/>
      <c r="L1574" s="23"/>
    </row>
    <row r="1575">
      <c r="B1575" s="19"/>
      <c r="E1575" s="23"/>
      <c r="L1575" s="23"/>
    </row>
    <row r="1576">
      <c r="B1576" s="19"/>
      <c r="E1576" s="23"/>
      <c r="L1576" s="23"/>
    </row>
    <row r="1577">
      <c r="B1577" s="19"/>
      <c r="E1577" s="23"/>
      <c r="L1577" s="23"/>
    </row>
    <row r="1578">
      <c r="B1578" s="19"/>
      <c r="E1578" s="23"/>
      <c r="L1578" s="23"/>
    </row>
    <row r="1579">
      <c r="B1579" s="19"/>
      <c r="E1579" s="23"/>
      <c r="L1579" s="23"/>
    </row>
    <row r="1580">
      <c r="B1580" s="19"/>
      <c r="E1580" s="23"/>
      <c r="L1580" s="23"/>
    </row>
    <row r="1581">
      <c r="B1581" s="19"/>
      <c r="E1581" s="23"/>
      <c r="L1581" s="23"/>
    </row>
    <row r="1582">
      <c r="B1582" s="19"/>
      <c r="E1582" s="23"/>
      <c r="L1582" s="23"/>
    </row>
    <row r="1583">
      <c r="B1583" s="19"/>
      <c r="E1583" s="23"/>
      <c r="L1583" s="23"/>
    </row>
    <row r="1584">
      <c r="B1584" s="19"/>
      <c r="E1584" s="23"/>
      <c r="L1584" s="23"/>
    </row>
    <row r="1585">
      <c r="B1585" s="19"/>
      <c r="E1585" s="23"/>
      <c r="L1585" s="23"/>
    </row>
    <row r="1586">
      <c r="B1586" s="19"/>
      <c r="E1586" s="23"/>
      <c r="L1586" s="23"/>
    </row>
    <row r="1587">
      <c r="B1587" s="19"/>
      <c r="E1587" s="23"/>
      <c r="L1587" s="23"/>
    </row>
    <row r="1588">
      <c r="B1588" s="19"/>
      <c r="E1588" s="23"/>
      <c r="L1588" s="23"/>
    </row>
    <row r="1589">
      <c r="B1589" s="19"/>
      <c r="E1589" s="23"/>
      <c r="L1589" s="23"/>
    </row>
    <row r="1590">
      <c r="B1590" s="19"/>
      <c r="E1590" s="23"/>
      <c r="L1590" s="23"/>
    </row>
    <row r="1591">
      <c r="B1591" s="19"/>
      <c r="E1591" s="23"/>
      <c r="L1591" s="23"/>
    </row>
    <row r="1592">
      <c r="B1592" s="19"/>
      <c r="E1592" s="23"/>
      <c r="L1592" s="23"/>
    </row>
    <row r="1593">
      <c r="B1593" s="19"/>
      <c r="E1593" s="23"/>
      <c r="L1593" s="23"/>
    </row>
    <row r="1594">
      <c r="B1594" s="19"/>
      <c r="E1594" s="23"/>
      <c r="L1594" s="23"/>
    </row>
    <row r="1595">
      <c r="B1595" s="19"/>
      <c r="E1595" s="23"/>
      <c r="L1595" s="23"/>
    </row>
    <row r="1596">
      <c r="B1596" s="19"/>
      <c r="E1596" s="23"/>
      <c r="L1596" s="23"/>
    </row>
    <row r="1597">
      <c r="B1597" s="19"/>
      <c r="E1597" s="23"/>
      <c r="L1597" s="23"/>
    </row>
    <row r="1598">
      <c r="B1598" s="19"/>
      <c r="E1598" s="23"/>
      <c r="L1598" s="23"/>
    </row>
    <row r="1599">
      <c r="B1599" s="19"/>
      <c r="E1599" s="23"/>
      <c r="L1599" s="23"/>
    </row>
    <row r="1600">
      <c r="B1600" s="19"/>
      <c r="E1600" s="23"/>
      <c r="L1600" s="23"/>
    </row>
    <row r="1601">
      <c r="B1601" s="19"/>
      <c r="E1601" s="23"/>
      <c r="L1601" s="23"/>
    </row>
    <row r="1602">
      <c r="B1602" s="19"/>
      <c r="E1602" s="23"/>
      <c r="L1602" s="23"/>
    </row>
    <row r="1603">
      <c r="B1603" s="19"/>
      <c r="E1603" s="23"/>
      <c r="L1603" s="23"/>
    </row>
    <row r="1604">
      <c r="B1604" s="19"/>
      <c r="E1604" s="23"/>
      <c r="L1604" s="23"/>
    </row>
    <row r="1605">
      <c r="B1605" s="19"/>
      <c r="E1605" s="23"/>
      <c r="L1605" s="23"/>
    </row>
    <row r="1606">
      <c r="B1606" s="19"/>
      <c r="E1606" s="23"/>
      <c r="L1606" s="23"/>
    </row>
    <row r="1607">
      <c r="B1607" s="19"/>
      <c r="E1607" s="23"/>
      <c r="L1607" s="23"/>
    </row>
    <row r="1608">
      <c r="B1608" s="19"/>
      <c r="E1608" s="23"/>
      <c r="L1608" s="23"/>
    </row>
    <row r="1609">
      <c r="B1609" s="19"/>
      <c r="E1609" s="23"/>
      <c r="L1609" s="23"/>
    </row>
    <row r="1610">
      <c r="B1610" s="19"/>
      <c r="E1610" s="23"/>
      <c r="L1610" s="23"/>
    </row>
    <row r="1611">
      <c r="B1611" s="19"/>
      <c r="E1611" s="23"/>
      <c r="L1611" s="23"/>
    </row>
    <row r="1612">
      <c r="B1612" s="19"/>
      <c r="E1612" s="23"/>
      <c r="L1612" s="23"/>
    </row>
    <row r="1613">
      <c r="B1613" s="19"/>
      <c r="E1613" s="23"/>
      <c r="L1613" s="23"/>
    </row>
    <row r="1614">
      <c r="B1614" s="19"/>
      <c r="E1614" s="23"/>
      <c r="L1614" s="23"/>
    </row>
    <row r="1615">
      <c r="B1615" s="19"/>
      <c r="E1615" s="23"/>
      <c r="L1615" s="23"/>
    </row>
    <row r="1616">
      <c r="B1616" s="19"/>
      <c r="E1616" s="23"/>
      <c r="L1616" s="23"/>
    </row>
    <row r="1617">
      <c r="B1617" s="19"/>
      <c r="E1617" s="23"/>
      <c r="L1617" s="23"/>
    </row>
    <row r="1618">
      <c r="B1618" s="19"/>
      <c r="E1618" s="23"/>
      <c r="L1618" s="23"/>
    </row>
    <row r="1619">
      <c r="B1619" s="19"/>
      <c r="E1619" s="23"/>
      <c r="L1619" s="23"/>
    </row>
    <row r="1620">
      <c r="B1620" s="19"/>
      <c r="E1620" s="23"/>
      <c r="L1620" s="23"/>
    </row>
    <row r="1621">
      <c r="B1621" s="19"/>
      <c r="E1621" s="23"/>
      <c r="L1621" s="23"/>
    </row>
    <row r="1622">
      <c r="B1622" s="19"/>
      <c r="E1622" s="23"/>
      <c r="L1622" s="23"/>
    </row>
    <row r="1623">
      <c r="B1623" s="19"/>
      <c r="E1623" s="23"/>
      <c r="L1623" s="23"/>
    </row>
    <row r="1624">
      <c r="B1624" s="19"/>
      <c r="E1624" s="23"/>
      <c r="L1624" s="23"/>
    </row>
    <row r="1625">
      <c r="B1625" s="19"/>
      <c r="E1625" s="23"/>
      <c r="L1625" s="23"/>
    </row>
    <row r="1626">
      <c r="B1626" s="19"/>
      <c r="E1626" s="23"/>
      <c r="L1626" s="23"/>
    </row>
    <row r="1627">
      <c r="B1627" s="19"/>
      <c r="E1627" s="23"/>
      <c r="L1627" s="23"/>
    </row>
    <row r="1628">
      <c r="B1628" s="19"/>
      <c r="E1628" s="23"/>
      <c r="L1628" s="23"/>
    </row>
    <row r="1629">
      <c r="B1629" s="19"/>
      <c r="E1629" s="23"/>
      <c r="L1629" s="23"/>
    </row>
    <row r="1630">
      <c r="B1630" s="19"/>
      <c r="E1630" s="23"/>
      <c r="L1630" s="23"/>
    </row>
    <row r="1631">
      <c r="B1631" s="19"/>
      <c r="E1631" s="23"/>
      <c r="L1631" s="23"/>
    </row>
    <row r="1632">
      <c r="B1632" s="19"/>
      <c r="E1632" s="23"/>
      <c r="L1632" s="23"/>
    </row>
    <row r="1633">
      <c r="B1633" s="19"/>
      <c r="E1633" s="23"/>
      <c r="L1633" s="23"/>
    </row>
    <row r="1634">
      <c r="B1634" s="19"/>
      <c r="E1634" s="23"/>
      <c r="L1634" s="23"/>
    </row>
    <row r="1635">
      <c r="B1635" s="19"/>
      <c r="E1635" s="23"/>
      <c r="L1635" s="23"/>
    </row>
    <row r="1636">
      <c r="B1636" s="19"/>
      <c r="E1636" s="23"/>
      <c r="L1636" s="23"/>
    </row>
    <row r="1637">
      <c r="B1637" s="19"/>
      <c r="E1637" s="23"/>
      <c r="L1637" s="23"/>
    </row>
    <row r="1638">
      <c r="B1638" s="19"/>
      <c r="E1638" s="23"/>
      <c r="L1638" s="23"/>
    </row>
    <row r="1639">
      <c r="B1639" s="19"/>
      <c r="E1639" s="23"/>
      <c r="L1639" s="23"/>
    </row>
    <row r="1640">
      <c r="B1640" s="19"/>
      <c r="E1640" s="23"/>
      <c r="L1640" s="23"/>
    </row>
    <row r="1641">
      <c r="B1641" s="19"/>
      <c r="E1641" s="23"/>
      <c r="L1641" s="23"/>
    </row>
    <row r="1642">
      <c r="B1642" s="19"/>
      <c r="E1642" s="23"/>
      <c r="L1642" s="23"/>
    </row>
    <row r="1643">
      <c r="B1643" s="19"/>
      <c r="E1643" s="23"/>
      <c r="L1643" s="23"/>
    </row>
    <row r="1644">
      <c r="B1644" s="19"/>
      <c r="E1644" s="23"/>
      <c r="L1644" s="23"/>
    </row>
    <row r="1645">
      <c r="B1645" s="19"/>
      <c r="E1645" s="23"/>
      <c r="L1645" s="23"/>
    </row>
    <row r="1646">
      <c r="B1646" s="19"/>
      <c r="E1646" s="23"/>
      <c r="L1646" s="23"/>
    </row>
    <row r="1647">
      <c r="B1647" s="19"/>
      <c r="E1647" s="23"/>
      <c r="L1647" s="23"/>
    </row>
    <row r="1648">
      <c r="B1648" s="19"/>
      <c r="E1648" s="23"/>
      <c r="L1648" s="23"/>
    </row>
    <row r="1649">
      <c r="B1649" s="19"/>
      <c r="E1649" s="23"/>
      <c r="L1649" s="23"/>
    </row>
    <row r="1650">
      <c r="B1650" s="19"/>
      <c r="E1650" s="23"/>
      <c r="L1650" s="23"/>
    </row>
    <row r="1651">
      <c r="B1651" s="19"/>
      <c r="E1651" s="23"/>
      <c r="L1651" s="23"/>
    </row>
    <row r="1652">
      <c r="B1652" s="19"/>
      <c r="E1652" s="23"/>
      <c r="L1652" s="23"/>
    </row>
    <row r="1653">
      <c r="B1653" s="19"/>
      <c r="E1653" s="23"/>
      <c r="L1653" s="23"/>
    </row>
    <row r="1654">
      <c r="B1654" s="19"/>
      <c r="E1654" s="23"/>
      <c r="L1654" s="23"/>
    </row>
    <row r="1655">
      <c r="B1655" s="19"/>
      <c r="E1655" s="23"/>
      <c r="L1655" s="23"/>
    </row>
    <row r="1656">
      <c r="B1656" s="19"/>
      <c r="E1656" s="23"/>
      <c r="L1656" s="23"/>
    </row>
    <row r="1657">
      <c r="B1657" s="19"/>
      <c r="E1657" s="23"/>
      <c r="L1657" s="23"/>
    </row>
    <row r="1658">
      <c r="B1658" s="19"/>
      <c r="E1658" s="23"/>
      <c r="L1658" s="23"/>
    </row>
    <row r="1659">
      <c r="B1659" s="19"/>
      <c r="E1659" s="23"/>
      <c r="L1659" s="23"/>
    </row>
    <row r="1660">
      <c r="B1660" s="19"/>
      <c r="E1660" s="23"/>
      <c r="L1660" s="23"/>
    </row>
    <row r="1661">
      <c r="B1661" s="19"/>
      <c r="E1661" s="23"/>
      <c r="L1661" s="23"/>
    </row>
    <row r="1662">
      <c r="B1662" s="19"/>
      <c r="E1662" s="23"/>
      <c r="L1662" s="23"/>
    </row>
    <row r="1663">
      <c r="B1663" s="19"/>
      <c r="E1663" s="23"/>
      <c r="L1663" s="23"/>
    </row>
    <row r="1664">
      <c r="B1664" s="19"/>
      <c r="E1664" s="23"/>
      <c r="L1664" s="23"/>
    </row>
    <row r="1665">
      <c r="B1665" s="19"/>
      <c r="E1665" s="23"/>
      <c r="L1665" s="23"/>
    </row>
    <row r="1666">
      <c r="B1666" s="19"/>
      <c r="E1666" s="23"/>
      <c r="L1666" s="23"/>
    </row>
    <row r="1667">
      <c r="B1667" s="19"/>
      <c r="E1667" s="23"/>
      <c r="L1667" s="23"/>
    </row>
    <row r="1668">
      <c r="B1668" s="19"/>
      <c r="E1668" s="23"/>
      <c r="L1668" s="23"/>
    </row>
    <row r="1669">
      <c r="B1669" s="19"/>
      <c r="E1669" s="23"/>
      <c r="L1669" s="23"/>
    </row>
    <row r="1670">
      <c r="B1670" s="19"/>
      <c r="E1670" s="23"/>
      <c r="L1670" s="23"/>
    </row>
    <row r="1671">
      <c r="B1671" s="19"/>
      <c r="E1671" s="23"/>
      <c r="L1671" s="23"/>
    </row>
    <row r="1672">
      <c r="B1672" s="19"/>
      <c r="E1672" s="23"/>
      <c r="L1672" s="23"/>
    </row>
    <row r="1673">
      <c r="B1673" s="19"/>
      <c r="E1673" s="23"/>
      <c r="L1673" s="23"/>
    </row>
    <row r="1674">
      <c r="B1674" s="19"/>
      <c r="E1674" s="23"/>
      <c r="L1674" s="23"/>
    </row>
    <row r="1675">
      <c r="B1675" s="19"/>
      <c r="E1675" s="23"/>
      <c r="L1675" s="23"/>
    </row>
    <row r="1676">
      <c r="B1676" s="19"/>
      <c r="E1676" s="23"/>
      <c r="L1676" s="23"/>
    </row>
    <row r="1677">
      <c r="B1677" s="19"/>
      <c r="E1677" s="23"/>
      <c r="L1677" s="23"/>
    </row>
    <row r="1678">
      <c r="B1678" s="19"/>
      <c r="E1678" s="23"/>
      <c r="L1678" s="23"/>
    </row>
    <row r="1679">
      <c r="B1679" s="19"/>
      <c r="E1679" s="23"/>
      <c r="L1679" s="23"/>
    </row>
    <row r="1680">
      <c r="B1680" s="19"/>
      <c r="E1680" s="23"/>
      <c r="L1680" s="23"/>
    </row>
    <row r="1681">
      <c r="B1681" s="19"/>
      <c r="E1681" s="23"/>
      <c r="L1681" s="23"/>
    </row>
    <row r="1682">
      <c r="B1682" s="19"/>
      <c r="E1682" s="23"/>
      <c r="L1682" s="23"/>
    </row>
    <row r="1683">
      <c r="B1683" s="19"/>
      <c r="E1683" s="23"/>
      <c r="L1683" s="23"/>
    </row>
    <row r="1684">
      <c r="B1684" s="19"/>
      <c r="E1684" s="23"/>
      <c r="L1684" s="23"/>
    </row>
    <row r="1685">
      <c r="B1685" s="19"/>
      <c r="E1685" s="23"/>
      <c r="L1685" s="23"/>
    </row>
    <row r="1686">
      <c r="B1686" s="19"/>
      <c r="E1686" s="23"/>
      <c r="L1686" s="23"/>
    </row>
    <row r="1687">
      <c r="B1687" s="19"/>
      <c r="E1687" s="23"/>
      <c r="L1687" s="23"/>
    </row>
    <row r="1688">
      <c r="B1688" s="19"/>
      <c r="E1688" s="23"/>
      <c r="L1688" s="23"/>
    </row>
    <row r="1689">
      <c r="B1689" s="19"/>
      <c r="E1689" s="23"/>
      <c r="L1689" s="23"/>
    </row>
    <row r="1690">
      <c r="B1690" s="19"/>
      <c r="E1690" s="23"/>
      <c r="L1690" s="23"/>
    </row>
    <row r="1691">
      <c r="B1691" s="19"/>
      <c r="E1691" s="23"/>
      <c r="L1691" s="23"/>
    </row>
    <row r="1692">
      <c r="B1692" s="19"/>
      <c r="E1692" s="23"/>
      <c r="L1692" s="23"/>
    </row>
    <row r="1693">
      <c r="B1693" s="19"/>
      <c r="E1693" s="23"/>
      <c r="L1693" s="23"/>
    </row>
    <row r="1694">
      <c r="B1694" s="19"/>
      <c r="E1694" s="23"/>
      <c r="L1694" s="23"/>
    </row>
    <row r="1695">
      <c r="B1695" s="19"/>
      <c r="E1695" s="23"/>
      <c r="L1695" s="23"/>
    </row>
    <row r="1696">
      <c r="B1696" s="19"/>
      <c r="E1696" s="23"/>
      <c r="L1696" s="23"/>
    </row>
    <row r="1697">
      <c r="B1697" s="19"/>
      <c r="E1697" s="23"/>
      <c r="L1697" s="23"/>
    </row>
    <row r="1698">
      <c r="B1698" s="19"/>
      <c r="E1698" s="23"/>
      <c r="L1698" s="23"/>
    </row>
    <row r="1699">
      <c r="B1699" s="19"/>
      <c r="E1699" s="23"/>
      <c r="L1699" s="23"/>
    </row>
    <row r="1700">
      <c r="B1700" s="19"/>
      <c r="E1700" s="23"/>
      <c r="L1700" s="23"/>
    </row>
    <row r="1701">
      <c r="B1701" s="19"/>
      <c r="E1701" s="23"/>
      <c r="L1701" s="23"/>
    </row>
    <row r="1702">
      <c r="B1702" s="19"/>
      <c r="E1702" s="23"/>
      <c r="L1702" s="23"/>
    </row>
    <row r="1703">
      <c r="B1703" s="19"/>
      <c r="E1703" s="23"/>
      <c r="L1703" s="23"/>
    </row>
    <row r="1704">
      <c r="B1704" s="19"/>
      <c r="E1704" s="23"/>
      <c r="L1704" s="23"/>
    </row>
    <row r="1705">
      <c r="B1705" s="19"/>
      <c r="E1705" s="23"/>
      <c r="L1705" s="23"/>
    </row>
    <row r="1706">
      <c r="B1706" s="19"/>
      <c r="E1706" s="23"/>
      <c r="L1706" s="23"/>
    </row>
    <row r="1707">
      <c r="B1707" s="19"/>
      <c r="E1707" s="23"/>
      <c r="L1707" s="23"/>
    </row>
    <row r="1708">
      <c r="B1708" s="19"/>
      <c r="E1708" s="23"/>
      <c r="L1708" s="23"/>
    </row>
    <row r="1709">
      <c r="B1709" s="19"/>
      <c r="E1709" s="23"/>
      <c r="L1709" s="23"/>
    </row>
    <row r="1710">
      <c r="B1710" s="19"/>
      <c r="E1710" s="23"/>
      <c r="L1710" s="23"/>
    </row>
    <row r="1711">
      <c r="B1711" s="19"/>
      <c r="E1711" s="23"/>
      <c r="L1711" s="23"/>
    </row>
    <row r="1712">
      <c r="B1712" s="19"/>
      <c r="E1712" s="23"/>
      <c r="L1712" s="23"/>
    </row>
    <row r="1713">
      <c r="B1713" s="19"/>
      <c r="E1713" s="23"/>
      <c r="L1713" s="23"/>
    </row>
    <row r="1714">
      <c r="B1714" s="19"/>
      <c r="E1714" s="23"/>
      <c r="L1714" s="23"/>
    </row>
    <row r="1715">
      <c r="B1715" s="19"/>
      <c r="E1715" s="23"/>
      <c r="L1715" s="23"/>
    </row>
    <row r="1716">
      <c r="B1716" s="19"/>
      <c r="E1716" s="23"/>
      <c r="L1716" s="23"/>
    </row>
    <row r="1717">
      <c r="B1717" s="19"/>
      <c r="E1717" s="23"/>
      <c r="L1717" s="23"/>
    </row>
    <row r="1718">
      <c r="B1718" s="19"/>
      <c r="E1718" s="23"/>
      <c r="L1718" s="23"/>
    </row>
    <row r="1719">
      <c r="B1719" s="19"/>
      <c r="E1719" s="23"/>
      <c r="L1719" s="23"/>
    </row>
    <row r="1720">
      <c r="B1720" s="19"/>
      <c r="E1720" s="23"/>
      <c r="L1720" s="23"/>
    </row>
    <row r="1721">
      <c r="B1721" s="19"/>
      <c r="E1721" s="23"/>
      <c r="L1721" s="23"/>
    </row>
    <row r="1722">
      <c r="B1722" s="19"/>
      <c r="E1722" s="23"/>
      <c r="L1722" s="23"/>
    </row>
    <row r="1723">
      <c r="B1723" s="19"/>
      <c r="E1723" s="23"/>
      <c r="L1723" s="23"/>
    </row>
    <row r="1724">
      <c r="B1724" s="19"/>
      <c r="E1724" s="23"/>
      <c r="L1724" s="23"/>
    </row>
    <row r="1725">
      <c r="B1725" s="19"/>
      <c r="E1725" s="23"/>
      <c r="L1725" s="23"/>
    </row>
    <row r="1726">
      <c r="B1726" s="19"/>
      <c r="E1726" s="23"/>
      <c r="L1726" s="23"/>
    </row>
    <row r="1727">
      <c r="B1727" s="19"/>
      <c r="E1727" s="23"/>
      <c r="L1727" s="23"/>
    </row>
    <row r="1728">
      <c r="B1728" s="19"/>
      <c r="E1728" s="23"/>
      <c r="L1728" s="23"/>
    </row>
    <row r="1729">
      <c r="B1729" s="19"/>
      <c r="E1729" s="23"/>
      <c r="L1729" s="23"/>
    </row>
    <row r="1730">
      <c r="B1730" s="19"/>
      <c r="E1730" s="23"/>
      <c r="L1730" s="23"/>
    </row>
    <row r="1731">
      <c r="B1731" s="19"/>
      <c r="E1731" s="23"/>
      <c r="L1731" s="23"/>
    </row>
    <row r="1732">
      <c r="B1732" s="19"/>
      <c r="E1732" s="23"/>
      <c r="L1732" s="23"/>
    </row>
    <row r="1733">
      <c r="B1733" s="19"/>
      <c r="E1733" s="23"/>
      <c r="L1733" s="23"/>
    </row>
    <row r="1734">
      <c r="B1734" s="19"/>
      <c r="E1734" s="23"/>
      <c r="L1734" s="23"/>
    </row>
    <row r="1735">
      <c r="B1735" s="19"/>
      <c r="E1735" s="23"/>
      <c r="L1735" s="23"/>
    </row>
    <row r="1736">
      <c r="B1736" s="19"/>
      <c r="E1736" s="23"/>
      <c r="L1736" s="23"/>
    </row>
    <row r="1737">
      <c r="B1737" s="19"/>
      <c r="E1737" s="23"/>
      <c r="L1737" s="23"/>
    </row>
    <row r="1738">
      <c r="B1738" s="19"/>
      <c r="E1738" s="23"/>
      <c r="L1738" s="23"/>
    </row>
    <row r="1739">
      <c r="B1739" s="19"/>
      <c r="E1739" s="23"/>
      <c r="L1739" s="23"/>
    </row>
    <row r="1740">
      <c r="B1740" s="19"/>
      <c r="E1740" s="23"/>
      <c r="L1740" s="23"/>
    </row>
    <row r="1741">
      <c r="B1741" s="19"/>
      <c r="E1741" s="23"/>
      <c r="L1741" s="23"/>
    </row>
    <row r="1742">
      <c r="B1742" s="19"/>
      <c r="E1742" s="23"/>
      <c r="L1742" s="23"/>
    </row>
    <row r="1743">
      <c r="B1743" s="19"/>
      <c r="E1743" s="23"/>
      <c r="L1743" s="23"/>
    </row>
    <row r="1744">
      <c r="B1744" s="19"/>
      <c r="E1744" s="23"/>
      <c r="L1744" s="23"/>
    </row>
    <row r="1745">
      <c r="B1745" s="19"/>
      <c r="E1745" s="23"/>
      <c r="L1745" s="23"/>
    </row>
    <row r="1746">
      <c r="B1746" s="19"/>
      <c r="E1746" s="23"/>
      <c r="L1746" s="23"/>
    </row>
    <row r="1747">
      <c r="B1747" s="19"/>
      <c r="E1747" s="23"/>
      <c r="L1747" s="23"/>
    </row>
    <row r="1748">
      <c r="B1748" s="19"/>
      <c r="E1748" s="23"/>
      <c r="L1748" s="23"/>
    </row>
    <row r="1749">
      <c r="B1749" s="19"/>
      <c r="E1749" s="23"/>
      <c r="L1749" s="23"/>
    </row>
    <row r="1750">
      <c r="B1750" s="19"/>
      <c r="E1750" s="23"/>
      <c r="L1750" s="23"/>
    </row>
    <row r="1751">
      <c r="B1751" s="19"/>
      <c r="E1751" s="23"/>
      <c r="L1751" s="23"/>
    </row>
    <row r="1752">
      <c r="B1752" s="19"/>
      <c r="E1752" s="23"/>
      <c r="L1752" s="23"/>
    </row>
    <row r="1753">
      <c r="B1753" s="19"/>
      <c r="E1753" s="23"/>
      <c r="L1753" s="23"/>
    </row>
    <row r="1754">
      <c r="B1754" s="19"/>
      <c r="E1754" s="23"/>
      <c r="L1754" s="23"/>
    </row>
    <row r="1755">
      <c r="B1755" s="19"/>
      <c r="E1755" s="23"/>
      <c r="L1755" s="23"/>
    </row>
    <row r="1756">
      <c r="B1756" s="19"/>
      <c r="E1756" s="23"/>
      <c r="L1756" s="23"/>
    </row>
    <row r="1757">
      <c r="B1757" s="19"/>
      <c r="E1757" s="23"/>
      <c r="L1757" s="23"/>
    </row>
    <row r="1758">
      <c r="B1758" s="19"/>
      <c r="E1758" s="23"/>
      <c r="L1758" s="23"/>
    </row>
    <row r="1759">
      <c r="B1759" s="19"/>
      <c r="E1759" s="23"/>
      <c r="L1759" s="23"/>
    </row>
    <row r="1760">
      <c r="B1760" s="19"/>
      <c r="E1760" s="23"/>
      <c r="L1760" s="23"/>
    </row>
    <row r="1761">
      <c r="B1761" s="19"/>
      <c r="E1761" s="23"/>
      <c r="L1761" s="23"/>
    </row>
    <row r="1762">
      <c r="B1762" s="19"/>
      <c r="E1762" s="23"/>
      <c r="L1762" s="23"/>
    </row>
    <row r="1763">
      <c r="B1763" s="19"/>
      <c r="E1763" s="23"/>
      <c r="L1763" s="23"/>
    </row>
    <row r="1764">
      <c r="B1764" s="19"/>
      <c r="E1764" s="23"/>
      <c r="L1764" s="23"/>
    </row>
    <row r="1765">
      <c r="B1765" s="19"/>
      <c r="E1765" s="23"/>
      <c r="L1765" s="23"/>
    </row>
    <row r="1766">
      <c r="B1766" s="19"/>
      <c r="E1766" s="23"/>
      <c r="L1766" s="23"/>
    </row>
    <row r="1767">
      <c r="B1767" s="19"/>
      <c r="E1767" s="23"/>
      <c r="L1767" s="23"/>
    </row>
    <row r="1768">
      <c r="B1768" s="19"/>
      <c r="E1768" s="23"/>
      <c r="L1768" s="23"/>
    </row>
    <row r="1769">
      <c r="B1769" s="19"/>
      <c r="E1769" s="23"/>
      <c r="L1769" s="23"/>
    </row>
    <row r="1770">
      <c r="B1770" s="19"/>
      <c r="E1770" s="23"/>
      <c r="L1770" s="23"/>
    </row>
    <row r="1771">
      <c r="B1771" s="19"/>
      <c r="E1771" s="23"/>
      <c r="L1771" s="23"/>
    </row>
    <row r="1772">
      <c r="B1772" s="19"/>
      <c r="E1772" s="23"/>
      <c r="L1772" s="23"/>
    </row>
    <row r="1773">
      <c r="B1773" s="19"/>
      <c r="E1773" s="23"/>
      <c r="L1773" s="23"/>
    </row>
    <row r="1774">
      <c r="B1774" s="19"/>
      <c r="E1774" s="23"/>
      <c r="L1774" s="23"/>
    </row>
    <row r="1775">
      <c r="B1775" s="19"/>
      <c r="E1775" s="23"/>
      <c r="L1775" s="23"/>
    </row>
    <row r="1776">
      <c r="B1776" s="19"/>
      <c r="E1776" s="23"/>
      <c r="L1776" s="23"/>
    </row>
    <row r="1777">
      <c r="B1777" s="19"/>
      <c r="E1777" s="23"/>
      <c r="L1777" s="23"/>
    </row>
    <row r="1778">
      <c r="B1778" s="19"/>
      <c r="E1778" s="23"/>
      <c r="L1778" s="23"/>
    </row>
    <row r="1779">
      <c r="B1779" s="19"/>
      <c r="E1779" s="23"/>
      <c r="L1779" s="23"/>
    </row>
    <row r="1780">
      <c r="B1780" s="19"/>
      <c r="E1780" s="23"/>
      <c r="L1780" s="23"/>
    </row>
    <row r="1781">
      <c r="B1781" s="19"/>
      <c r="E1781" s="23"/>
      <c r="L1781" s="23"/>
    </row>
    <row r="1782">
      <c r="B1782" s="19"/>
      <c r="E1782" s="23"/>
      <c r="L1782" s="23"/>
    </row>
    <row r="1783">
      <c r="B1783" s="19"/>
      <c r="E1783" s="23"/>
      <c r="L1783" s="23"/>
    </row>
    <row r="1784">
      <c r="B1784" s="19"/>
      <c r="E1784" s="23"/>
      <c r="L1784" s="23"/>
    </row>
    <row r="1785">
      <c r="B1785" s="19"/>
      <c r="E1785" s="23"/>
      <c r="L1785" s="23"/>
    </row>
    <row r="1786">
      <c r="B1786" s="19"/>
      <c r="E1786" s="23"/>
      <c r="L1786" s="23"/>
    </row>
    <row r="1787">
      <c r="B1787" s="19"/>
      <c r="E1787" s="23"/>
      <c r="L1787" s="23"/>
    </row>
    <row r="1788">
      <c r="B1788" s="19"/>
      <c r="E1788" s="23"/>
      <c r="L1788" s="23"/>
    </row>
    <row r="1789">
      <c r="B1789" s="19"/>
      <c r="E1789" s="23"/>
      <c r="L1789" s="23"/>
    </row>
    <row r="1790">
      <c r="B1790" s="19"/>
      <c r="E1790" s="23"/>
      <c r="L1790" s="23"/>
    </row>
    <row r="1791">
      <c r="B1791" s="19"/>
      <c r="E1791" s="23"/>
      <c r="L1791" s="23"/>
    </row>
    <row r="1792">
      <c r="B1792" s="19"/>
      <c r="E1792" s="23"/>
      <c r="L1792" s="23"/>
    </row>
    <row r="1793">
      <c r="B1793" s="19"/>
      <c r="E1793" s="23"/>
      <c r="L1793" s="23"/>
    </row>
    <row r="1794">
      <c r="B1794" s="19"/>
      <c r="E1794" s="23"/>
      <c r="L1794" s="23"/>
    </row>
    <row r="1795">
      <c r="B1795" s="19"/>
      <c r="E1795" s="23"/>
      <c r="L1795" s="23"/>
    </row>
    <row r="1796">
      <c r="B1796" s="19"/>
      <c r="E1796" s="23"/>
      <c r="L1796" s="23"/>
    </row>
    <row r="1797">
      <c r="B1797" s="19"/>
      <c r="E1797" s="23"/>
      <c r="L1797" s="23"/>
    </row>
    <row r="1798">
      <c r="B1798" s="19"/>
      <c r="E1798" s="23"/>
      <c r="L1798" s="23"/>
    </row>
    <row r="1799">
      <c r="B1799" s="19"/>
      <c r="E1799" s="23"/>
      <c r="L1799" s="23"/>
    </row>
    <row r="1800">
      <c r="B1800" s="19"/>
      <c r="E1800" s="23"/>
      <c r="L1800" s="23"/>
    </row>
    <row r="1801">
      <c r="B1801" s="19"/>
      <c r="E1801" s="23"/>
      <c r="L1801" s="23"/>
    </row>
    <row r="1802">
      <c r="B1802" s="19"/>
      <c r="E1802" s="23"/>
      <c r="L1802" s="23"/>
    </row>
    <row r="1803">
      <c r="B1803" s="19"/>
      <c r="E1803" s="23"/>
      <c r="L1803" s="23"/>
    </row>
    <row r="1804">
      <c r="B1804" s="19"/>
      <c r="E1804" s="23"/>
      <c r="L1804" s="23"/>
    </row>
    <row r="1805">
      <c r="B1805" s="19"/>
      <c r="E1805" s="23"/>
      <c r="L1805" s="23"/>
    </row>
    <row r="1806">
      <c r="B1806" s="19"/>
      <c r="E1806" s="23"/>
      <c r="L1806" s="23"/>
    </row>
    <row r="1807">
      <c r="B1807" s="19"/>
      <c r="E1807" s="23"/>
      <c r="L1807" s="23"/>
    </row>
    <row r="1808">
      <c r="B1808" s="19"/>
      <c r="E1808" s="23"/>
      <c r="L1808" s="23"/>
    </row>
    <row r="1809">
      <c r="B1809" s="19"/>
      <c r="E1809" s="23"/>
      <c r="L1809" s="23"/>
    </row>
    <row r="1810">
      <c r="B1810" s="19"/>
      <c r="E1810" s="23"/>
      <c r="L1810" s="23"/>
    </row>
    <row r="1811">
      <c r="B1811" s="19"/>
      <c r="E1811" s="23"/>
      <c r="L1811" s="23"/>
    </row>
    <row r="1812">
      <c r="B1812" s="19"/>
      <c r="E1812" s="23"/>
      <c r="L1812" s="23"/>
    </row>
    <row r="1813">
      <c r="B1813" s="19"/>
      <c r="E1813" s="23"/>
      <c r="L1813" s="23"/>
    </row>
    <row r="1814">
      <c r="B1814" s="19"/>
      <c r="E1814" s="23"/>
      <c r="L1814" s="23"/>
    </row>
    <row r="1815">
      <c r="B1815" s="19"/>
      <c r="E1815" s="23"/>
      <c r="L1815" s="23"/>
    </row>
    <row r="1816">
      <c r="B1816" s="19"/>
      <c r="E1816" s="23"/>
      <c r="L1816" s="23"/>
    </row>
    <row r="1817">
      <c r="B1817" s="19"/>
      <c r="E1817" s="23"/>
      <c r="L1817" s="23"/>
    </row>
    <row r="1818">
      <c r="B1818" s="19"/>
      <c r="E1818" s="23"/>
      <c r="L1818" s="23"/>
    </row>
    <row r="1819">
      <c r="B1819" s="19"/>
      <c r="E1819" s="23"/>
      <c r="L1819" s="23"/>
    </row>
    <row r="1820">
      <c r="B1820" s="19"/>
      <c r="E1820" s="23"/>
      <c r="L1820" s="23"/>
    </row>
    <row r="1821">
      <c r="B1821" s="19"/>
      <c r="E1821" s="23"/>
      <c r="L1821" s="23"/>
    </row>
    <row r="1822">
      <c r="B1822" s="19"/>
      <c r="E1822" s="23"/>
      <c r="L1822" s="23"/>
    </row>
    <row r="1823">
      <c r="B1823" s="19"/>
      <c r="E1823" s="23"/>
      <c r="L1823" s="23"/>
    </row>
    <row r="1824">
      <c r="B1824" s="19"/>
      <c r="E1824" s="23"/>
      <c r="L1824" s="23"/>
    </row>
    <row r="1825">
      <c r="B1825" s="19"/>
      <c r="E1825" s="23"/>
      <c r="L1825" s="23"/>
    </row>
    <row r="1826">
      <c r="B1826" s="19"/>
      <c r="E1826" s="23"/>
      <c r="L1826" s="23"/>
    </row>
    <row r="1827">
      <c r="B1827" s="19"/>
      <c r="E1827" s="23"/>
      <c r="L1827" s="23"/>
    </row>
    <row r="1828">
      <c r="B1828" s="19"/>
      <c r="E1828" s="23"/>
      <c r="L1828" s="23"/>
    </row>
    <row r="1829">
      <c r="B1829" s="19"/>
      <c r="E1829" s="23"/>
      <c r="L1829" s="23"/>
    </row>
    <row r="1830">
      <c r="B1830" s="19"/>
      <c r="E1830" s="23"/>
      <c r="L1830" s="23"/>
    </row>
    <row r="1831">
      <c r="B1831" s="19"/>
      <c r="E1831" s="23"/>
      <c r="L1831" s="23"/>
    </row>
    <row r="1832">
      <c r="B1832" s="19"/>
      <c r="E1832" s="23"/>
      <c r="L1832" s="23"/>
    </row>
    <row r="1833">
      <c r="B1833" s="19"/>
      <c r="E1833" s="23"/>
      <c r="L1833" s="23"/>
    </row>
    <row r="1834">
      <c r="B1834" s="19"/>
      <c r="E1834" s="23"/>
      <c r="L1834" s="23"/>
    </row>
    <row r="1835">
      <c r="B1835" s="19"/>
      <c r="E1835" s="23"/>
      <c r="L1835" s="23"/>
    </row>
    <row r="1836">
      <c r="B1836" s="19"/>
      <c r="E1836" s="23"/>
      <c r="L1836" s="23"/>
    </row>
    <row r="1837">
      <c r="B1837" s="19"/>
      <c r="E1837" s="23"/>
      <c r="L1837" s="23"/>
    </row>
    <row r="1838">
      <c r="B1838" s="19"/>
      <c r="E1838" s="23"/>
      <c r="L1838" s="23"/>
    </row>
    <row r="1839">
      <c r="B1839" s="19"/>
      <c r="E1839" s="23"/>
      <c r="L1839" s="23"/>
    </row>
    <row r="1840">
      <c r="B1840" s="19"/>
      <c r="E1840" s="23"/>
      <c r="L1840" s="23"/>
    </row>
    <row r="1841">
      <c r="B1841" s="19"/>
      <c r="E1841" s="23"/>
      <c r="L1841" s="23"/>
    </row>
    <row r="1842">
      <c r="B1842" s="19"/>
      <c r="E1842" s="23"/>
      <c r="L1842" s="23"/>
    </row>
    <row r="1843">
      <c r="B1843" s="19"/>
      <c r="E1843" s="23"/>
      <c r="L1843" s="23"/>
    </row>
    <row r="1844">
      <c r="B1844" s="19"/>
      <c r="E1844" s="23"/>
      <c r="L1844" s="23"/>
    </row>
    <row r="1845">
      <c r="B1845" s="19"/>
      <c r="E1845" s="23"/>
      <c r="L1845" s="23"/>
    </row>
    <row r="1846">
      <c r="B1846" s="19"/>
      <c r="E1846" s="23"/>
      <c r="L1846" s="23"/>
    </row>
    <row r="1847">
      <c r="B1847" s="19"/>
      <c r="E1847" s="23"/>
      <c r="L1847" s="23"/>
    </row>
    <row r="1848">
      <c r="B1848" s="19"/>
      <c r="E1848" s="23"/>
      <c r="L1848" s="23"/>
    </row>
    <row r="1849">
      <c r="B1849" s="19"/>
      <c r="E1849" s="23"/>
      <c r="L1849" s="23"/>
    </row>
    <row r="1850">
      <c r="B1850" s="19"/>
      <c r="E1850" s="23"/>
      <c r="L1850" s="23"/>
    </row>
    <row r="1851">
      <c r="B1851" s="19"/>
      <c r="E1851" s="23"/>
      <c r="L1851" s="23"/>
    </row>
    <row r="1852">
      <c r="B1852" s="19"/>
      <c r="E1852" s="23"/>
      <c r="L1852" s="23"/>
    </row>
    <row r="1853">
      <c r="B1853" s="19"/>
      <c r="E1853" s="23"/>
      <c r="L1853" s="23"/>
    </row>
    <row r="1854">
      <c r="B1854" s="19"/>
      <c r="E1854" s="23"/>
      <c r="L1854" s="23"/>
    </row>
    <row r="1855">
      <c r="B1855" s="19"/>
      <c r="E1855" s="23"/>
      <c r="L1855" s="23"/>
    </row>
    <row r="1856">
      <c r="B1856" s="19"/>
      <c r="E1856" s="23"/>
      <c r="L1856" s="23"/>
    </row>
    <row r="1857">
      <c r="B1857" s="19"/>
      <c r="E1857" s="23"/>
      <c r="L1857" s="23"/>
    </row>
    <row r="1858">
      <c r="B1858" s="19"/>
      <c r="E1858" s="23"/>
      <c r="L1858" s="23"/>
    </row>
    <row r="1859">
      <c r="B1859" s="19"/>
      <c r="E1859" s="23"/>
      <c r="L1859" s="23"/>
    </row>
    <row r="1860">
      <c r="B1860" s="19"/>
      <c r="E1860" s="23"/>
      <c r="L1860" s="23"/>
    </row>
    <row r="1861">
      <c r="B1861" s="19"/>
      <c r="E1861" s="23"/>
      <c r="L1861" s="23"/>
    </row>
    <row r="1862">
      <c r="B1862" s="19"/>
      <c r="E1862" s="23"/>
      <c r="L1862" s="23"/>
    </row>
    <row r="1863">
      <c r="B1863" s="19"/>
      <c r="E1863" s="23"/>
      <c r="L1863" s="23"/>
    </row>
    <row r="1864">
      <c r="B1864" s="19"/>
      <c r="E1864" s="23"/>
      <c r="L1864" s="23"/>
    </row>
    <row r="1865">
      <c r="B1865" s="19"/>
      <c r="E1865" s="23"/>
      <c r="L1865" s="23"/>
    </row>
    <row r="1866">
      <c r="B1866" s="19"/>
      <c r="E1866" s="23"/>
      <c r="L1866" s="23"/>
    </row>
    <row r="1867">
      <c r="B1867" s="19"/>
      <c r="E1867" s="23"/>
      <c r="L1867" s="23"/>
    </row>
    <row r="1868">
      <c r="B1868" s="19"/>
      <c r="E1868" s="23"/>
      <c r="L1868" s="23"/>
    </row>
    <row r="1869">
      <c r="B1869" s="19"/>
      <c r="E1869" s="23"/>
      <c r="L1869" s="23"/>
    </row>
    <row r="1870">
      <c r="B1870" s="19"/>
      <c r="E1870" s="23"/>
      <c r="L1870" s="23"/>
    </row>
    <row r="1871">
      <c r="B1871" s="19"/>
      <c r="E1871" s="23"/>
      <c r="L1871" s="23"/>
    </row>
    <row r="1872">
      <c r="B1872" s="19"/>
      <c r="E1872" s="23"/>
      <c r="L1872" s="23"/>
    </row>
    <row r="1873">
      <c r="B1873" s="19"/>
      <c r="E1873" s="23"/>
      <c r="L1873" s="23"/>
    </row>
    <row r="1874">
      <c r="B1874" s="19"/>
      <c r="E1874" s="23"/>
      <c r="L1874" s="23"/>
    </row>
    <row r="1875">
      <c r="B1875" s="19"/>
      <c r="E1875" s="23"/>
      <c r="L1875" s="23"/>
    </row>
    <row r="1876">
      <c r="B1876" s="19"/>
      <c r="E1876" s="23"/>
      <c r="L1876" s="23"/>
    </row>
    <row r="1877">
      <c r="B1877" s="19"/>
      <c r="E1877" s="23"/>
      <c r="L1877" s="23"/>
    </row>
    <row r="1878">
      <c r="B1878" s="19"/>
      <c r="E1878" s="23"/>
      <c r="L1878" s="23"/>
    </row>
    <row r="1879">
      <c r="B1879" s="19"/>
      <c r="E1879" s="23"/>
      <c r="L1879" s="23"/>
    </row>
    <row r="1880">
      <c r="B1880" s="19"/>
      <c r="E1880" s="23"/>
      <c r="L1880" s="23"/>
    </row>
    <row r="1881">
      <c r="B1881" s="19"/>
      <c r="E1881" s="23"/>
      <c r="L1881" s="23"/>
    </row>
    <row r="1882">
      <c r="B1882" s="19"/>
      <c r="E1882" s="23"/>
      <c r="L1882" s="23"/>
    </row>
    <row r="1883">
      <c r="B1883" s="19"/>
      <c r="E1883" s="23"/>
      <c r="L1883" s="23"/>
    </row>
    <row r="1884">
      <c r="B1884" s="19"/>
      <c r="E1884" s="23"/>
      <c r="L1884" s="23"/>
    </row>
    <row r="1885">
      <c r="B1885" s="19"/>
      <c r="E1885" s="23"/>
      <c r="L1885" s="23"/>
    </row>
    <row r="1886">
      <c r="B1886" s="19"/>
      <c r="E1886" s="23"/>
      <c r="L1886" s="23"/>
    </row>
    <row r="1887">
      <c r="B1887" s="19"/>
      <c r="E1887" s="23"/>
      <c r="L1887" s="23"/>
    </row>
    <row r="1888">
      <c r="B1888" s="19"/>
      <c r="E1888" s="23"/>
      <c r="L1888" s="23"/>
    </row>
    <row r="1889">
      <c r="B1889" s="19"/>
      <c r="E1889" s="23"/>
      <c r="L1889" s="23"/>
    </row>
    <row r="1890">
      <c r="B1890" s="19"/>
      <c r="E1890" s="23"/>
      <c r="L1890" s="23"/>
    </row>
    <row r="1891">
      <c r="B1891" s="19"/>
      <c r="E1891" s="23"/>
      <c r="L1891" s="23"/>
    </row>
    <row r="1892">
      <c r="B1892" s="19"/>
      <c r="E1892" s="23"/>
      <c r="L1892" s="23"/>
    </row>
    <row r="1893">
      <c r="B1893" s="19"/>
      <c r="E1893" s="23"/>
      <c r="L1893" s="23"/>
    </row>
    <row r="1894">
      <c r="B1894" s="19"/>
      <c r="E1894" s="23"/>
      <c r="L1894" s="23"/>
    </row>
    <row r="1895">
      <c r="B1895" s="19"/>
      <c r="E1895" s="23"/>
      <c r="L1895" s="23"/>
    </row>
    <row r="1896">
      <c r="B1896" s="19"/>
      <c r="E1896" s="23"/>
      <c r="L1896" s="23"/>
    </row>
    <row r="1897">
      <c r="B1897" s="19"/>
      <c r="E1897" s="23"/>
      <c r="L1897" s="23"/>
    </row>
    <row r="1898">
      <c r="B1898" s="19"/>
      <c r="E1898" s="23"/>
      <c r="L1898" s="23"/>
    </row>
    <row r="1899">
      <c r="B1899" s="19"/>
      <c r="E1899" s="23"/>
      <c r="L1899" s="23"/>
    </row>
    <row r="1900">
      <c r="B1900" s="19"/>
      <c r="E1900" s="23"/>
      <c r="L1900" s="23"/>
    </row>
    <row r="1901">
      <c r="B1901" s="19"/>
      <c r="E1901" s="23"/>
      <c r="L1901" s="23"/>
    </row>
    <row r="1902">
      <c r="B1902" s="19"/>
      <c r="E1902" s="23"/>
      <c r="L1902" s="23"/>
    </row>
    <row r="1903">
      <c r="B1903" s="19"/>
      <c r="E1903" s="23"/>
      <c r="L1903" s="23"/>
    </row>
    <row r="1904">
      <c r="B1904" s="19"/>
      <c r="E1904" s="23"/>
      <c r="L1904" s="23"/>
    </row>
    <row r="1905">
      <c r="B1905" s="19"/>
      <c r="E1905" s="23"/>
      <c r="L1905" s="23"/>
    </row>
    <row r="1906">
      <c r="B1906" s="19"/>
      <c r="E1906" s="23"/>
      <c r="L1906" s="23"/>
    </row>
    <row r="1907">
      <c r="B1907" s="19"/>
      <c r="E1907" s="23"/>
      <c r="L1907" s="23"/>
    </row>
    <row r="1908">
      <c r="B1908" s="19"/>
      <c r="E1908" s="23"/>
      <c r="L1908" s="23"/>
    </row>
    <row r="1909">
      <c r="B1909" s="19"/>
      <c r="E1909" s="23"/>
      <c r="L1909" s="23"/>
    </row>
    <row r="1910">
      <c r="B1910" s="19"/>
      <c r="E1910" s="23"/>
      <c r="L1910" s="23"/>
    </row>
    <row r="1911">
      <c r="B1911" s="19"/>
      <c r="E1911" s="23"/>
      <c r="L1911" s="23"/>
    </row>
    <row r="1912">
      <c r="B1912" s="19"/>
      <c r="E1912" s="23"/>
      <c r="L1912" s="23"/>
    </row>
    <row r="1913">
      <c r="B1913" s="19"/>
      <c r="E1913" s="23"/>
      <c r="L1913" s="23"/>
    </row>
    <row r="1914">
      <c r="B1914" s="19"/>
      <c r="E1914" s="23"/>
      <c r="L1914" s="23"/>
    </row>
    <row r="1915">
      <c r="B1915" s="19"/>
      <c r="E1915" s="23"/>
      <c r="L1915" s="23"/>
    </row>
    <row r="1916">
      <c r="B1916" s="19"/>
      <c r="E1916" s="23"/>
      <c r="L1916" s="23"/>
    </row>
    <row r="1917">
      <c r="B1917" s="19"/>
      <c r="E1917" s="23"/>
      <c r="L1917" s="23"/>
    </row>
    <row r="1918">
      <c r="B1918" s="19"/>
      <c r="E1918" s="23"/>
      <c r="L1918" s="23"/>
    </row>
    <row r="1919">
      <c r="B1919" s="19"/>
      <c r="E1919" s="23"/>
      <c r="L1919" s="23"/>
    </row>
    <row r="1920">
      <c r="B1920" s="19"/>
      <c r="E1920" s="23"/>
      <c r="L1920" s="23"/>
    </row>
    <row r="1921">
      <c r="B1921" s="19"/>
      <c r="E1921" s="23"/>
      <c r="L1921" s="23"/>
    </row>
    <row r="1922">
      <c r="B1922" s="19"/>
      <c r="E1922" s="23"/>
      <c r="L1922" s="23"/>
    </row>
    <row r="1923">
      <c r="B1923" s="19"/>
      <c r="E1923" s="23"/>
      <c r="L1923" s="23"/>
    </row>
    <row r="1924">
      <c r="B1924" s="19"/>
      <c r="E1924" s="23"/>
      <c r="L1924" s="23"/>
    </row>
    <row r="1925">
      <c r="B1925" s="19"/>
      <c r="E1925" s="23"/>
      <c r="L1925" s="23"/>
    </row>
    <row r="1926">
      <c r="B1926" s="19"/>
      <c r="E1926" s="23"/>
      <c r="L1926" s="23"/>
    </row>
    <row r="1927">
      <c r="B1927" s="19"/>
      <c r="E1927" s="23"/>
      <c r="L1927" s="23"/>
    </row>
    <row r="1928">
      <c r="B1928" s="19"/>
      <c r="E1928" s="23"/>
      <c r="L1928" s="23"/>
    </row>
    <row r="1929">
      <c r="B1929" s="19"/>
      <c r="E1929" s="23"/>
      <c r="L1929" s="23"/>
    </row>
    <row r="1930">
      <c r="B1930" s="19"/>
      <c r="E1930" s="23"/>
      <c r="L1930" s="23"/>
    </row>
    <row r="1931">
      <c r="B1931" s="19"/>
      <c r="E1931" s="23"/>
      <c r="L1931" s="23"/>
    </row>
    <row r="1932">
      <c r="B1932" s="19"/>
      <c r="E1932" s="23"/>
      <c r="L1932" s="23"/>
    </row>
    <row r="1933">
      <c r="B1933" s="19"/>
      <c r="E1933" s="23"/>
      <c r="L1933" s="23"/>
    </row>
    <row r="1934">
      <c r="B1934" s="19"/>
      <c r="E1934" s="23"/>
      <c r="L1934" s="23"/>
    </row>
    <row r="1935">
      <c r="B1935" s="19"/>
      <c r="E1935" s="23"/>
      <c r="L1935" s="23"/>
    </row>
    <row r="1936">
      <c r="B1936" s="19"/>
      <c r="E1936" s="23"/>
      <c r="L1936" s="23"/>
    </row>
    <row r="1937">
      <c r="B1937" s="19"/>
      <c r="E1937" s="23"/>
      <c r="L1937" s="23"/>
    </row>
    <row r="1938">
      <c r="B1938" s="19"/>
      <c r="E1938" s="23"/>
      <c r="L1938" s="23"/>
    </row>
    <row r="1939">
      <c r="B1939" s="19"/>
      <c r="E1939" s="23"/>
      <c r="L1939" s="23"/>
    </row>
    <row r="1940">
      <c r="B1940" s="19"/>
      <c r="E1940" s="23"/>
      <c r="L1940" s="23"/>
    </row>
    <row r="1941">
      <c r="B1941" s="19"/>
      <c r="E1941" s="23"/>
      <c r="L1941" s="23"/>
    </row>
    <row r="1942">
      <c r="B1942" s="19"/>
      <c r="E1942" s="23"/>
      <c r="L1942" s="23"/>
    </row>
    <row r="1943">
      <c r="B1943" s="19"/>
      <c r="E1943" s="23"/>
      <c r="L1943" s="23"/>
    </row>
    <row r="1944">
      <c r="B1944" s="19"/>
      <c r="E1944" s="23"/>
      <c r="L1944" s="23"/>
    </row>
    <row r="1945">
      <c r="B1945" s="19"/>
      <c r="E1945" s="23"/>
      <c r="L1945" s="23"/>
    </row>
    <row r="1946">
      <c r="B1946" s="19"/>
      <c r="E1946" s="23"/>
      <c r="L1946" s="23"/>
    </row>
    <row r="1947">
      <c r="B1947" s="19"/>
      <c r="E1947" s="23"/>
      <c r="L1947" s="23"/>
    </row>
    <row r="1948">
      <c r="B1948" s="19"/>
      <c r="E1948" s="23"/>
      <c r="L1948" s="23"/>
    </row>
    <row r="1949">
      <c r="B1949" s="19"/>
      <c r="E1949" s="23"/>
      <c r="L1949" s="23"/>
    </row>
    <row r="1950">
      <c r="B1950" s="19"/>
      <c r="E1950" s="23"/>
      <c r="L1950" s="23"/>
    </row>
    <row r="1951">
      <c r="B1951" s="19"/>
      <c r="E1951" s="23"/>
      <c r="L1951" s="23"/>
    </row>
    <row r="1952">
      <c r="B1952" s="19"/>
      <c r="E1952" s="23"/>
      <c r="L1952" s="23"/>
    </row>
    <row r="1953">
      <c r="B1953" s="19"/>
      <c r="E1953" s="23"/>
      <c r="L1953" s="23"/>
    </row>
    <row r="1954">
      <c r="B1954" s="19"/>
      <c r="E1954" s="23"/>
      <c r="L1954" s="23"/>
    </row>
    <row r="1955">
      <c r="B1955" s="19"/>
      <c r="E1955" s="23"/>
      <c r="L1955" s="23"/>
    </row>
    <row r="1956">
      <c r="B1956" s="19"/>
      <c r="E1956" s="23"/>
      <c r="L1956" s="23"/>
    </row>
    <row r="1957">
      <c r="B1957" s="19"/>
      <c r="E1957" s="23"/>
      <c r="L1957" s="23"/>
    </row>
    <row r="1958">
      <c r="B1958" s="19"/>
      <c r="E1958" s="23"/>
      <c r="L1958" s="23"/>
    </row>
    <row r="1959">
      <c r="B1959" s="19"/>
      <c r="E1959" s="23"/>
      <c r="L1959" s="23"/>
    </row>
    <row r="1960">
      <c r="B1960" s="19"/>
      <c r="E1960" s="23"/>
      <c r="L1960" s="23"/>
    </row>
    <row r="1961">
      <c r="B1961" s="19"/>
      <c r="E1961" s="23"/>
      <c r="L1961" s="23"/>
    </row>
    <row r="1962">
      <c r="B1962" s="19"/>
      <c r="E1962" s="23"/>
      <c r="L1962" s="23"/>
    </row>
    <row r="1963">
      <c r="B1963" s="19"/>
      <c r="E1963" s="23"/>
      <c r="L1963" s="23"/>
    </row>
    <row r="1964">
      <c r="B1964" s="19"/>
      <c r="E1964" s="23"/>
      <c r="L1964" s="23"/>
    </row>
    <row r="1965">
      <c r="B1965" s="19"/>
      <c r="E1965" s="23"/>
      <c r="L1965" s="23"/>
    </row>
    <row r="1966">
      <c r="B1966" s="19"/>
      <c r="E1966" s="23"/>
      <c r="L1966" s="23"/>
    </row>
    <row r="1967">
      <c r="B1967" s="19"/>
      <c r="E1967" s="23"/>
      <c r="L1967" s="23"/>
    </row>
    <row r="1968">
      <c r="B1968" s="19"/>
      <c r="E1968" s="23"/>
      <c r="L1968" s="23"/>
    </row>
    <row r="1969">
      <c r="B1969" s="19"/>
      <c r="E1969" s="23"/>
      <c r="L1969" s="23"/>
    </row>
    <row r="1970">
      <c r="B1970" s="19"/>
      <c r="E1970" s="23"/>
      <c r="L1970" s="23"/>
    </row>
    <row r="1971">
      <c r="B1971" s="19"/>
      <c r="E1971" s="23"/>
      <c r="L1971" s="23"/>
    </row>
    <row r="1972">
      <c r="B1972" s="19"/>
      <c r="E1972" s="23"/>
      <c r="L1972" s="23"/>
    </row>
    <row r="1973">
      <c r="B1973" s="19"/>
      <c r="E1973" s="23"/>
      <c r="L1973" s="23"/>
    </row>
    <row r="1974">
      <c r="B1974" s="19"/>
      <c r="E1974" s="23"/>
      <c r="L1974" s="23"/>
    </row>
    <row r="1975">
      <c r="B1975" s="19"/>
      <c r="E1975" s="23"/>
      <c r="L1975" s="23"/>
    </row>
    <row r="1976">
      <c r="B1976" s="19"/>
      <c r="E1976" s="23"/>
      <c r="L1976" s="23"/>
    </row>
    <row r="1977">
      <c r="B1977" s="19"/>
      <c r="E1977" s="23"/>
      <c r="L1977" s="23"/>
    </row>
    <row r="1978">
      <c r="B1978" s="19"/>
      <c r="E1978" s="23"/>
      <c r="L1978" s="23"/>
    </row>
    <row r="1979">
      <c r="B1979" s="19"/>
      <c r="E1979" s="23"/>
      <c r="L1979" s="23"/>
    </row>
    <row r="1980">
      <c r="B1980" s="19"/>
      <c r="E1980" s="23"/>
      <c r="L1980" s="23"/>
    </row>
    <row r="1981">
      <c r="B1981" s="19"/>
      <c r="E1981" s="23"/>
      <c r="L1981" s="23"/>
    </row>
    <row r="1982">
      <c r="B1982" s="19"/>
      <c r="E1982" s="23"/>
      <c r="L1982" s="23"/>
    </row>
    <row r="1983">
      <c r="B1983" s="19"/>
      <c r="E1983" s="23"/>
      <c r="L1983" s="23"/>
    </row>
    <row r="1984">
      <c r="B1984" s="19"/>
      <c r="E1984" s="23"/>
      <c r="L1984" s="23"/>
    </row>
    <row r="1985">
      <c r="B1985" s="19"/>
      <c r="E1985" s="23"/>
      <c r="L1985" s="23"/>
    </row>
    <row r="1986">
      <c r="B1986" s="19"/>
      <c r="E1986" s="23"/>
      <c r="L1986" s="23"/>
    </row>
    <row r="1987">
      <c r="B1987" s="19"/>
      <c r="E1987" s="23"/>
      <c r="L1987" s="23"/>
    </row>
    <row r="1988">
      <c r="B1988" s="19"/>
      <c r="E1988" s="23"/>
      <c r="L1988" s="23"/>
    </row>
    <row r="1989">
      <c r="B1989" s="19"/>
      <c r="E1989" s="23"/>
      <c r="L1989" s="23"/>
    </row>
    <row r="1990">
      <c r="B1990" s="19"/>
      <c r="E1990" s="23"/>
      <c r="L1990" s="23"/>
    </row>
    <row r="1991">
      <c r="B1991" s="19"/>
      <c r="E1991" s="23"/>
      <c r="L1991" s="23"/>
    </row>
    <row r="1992">
      <c r="B1992" s="19"/>
      <c r="E1992" s="23"/>
      <c r="L1992" s="23"/>
    </row>
    <row r="1993">
      <c r="B1993" s="19"/>
      <c r="E1993" s="23"/>
      <c r="L1993" s="23"/>
    </row>
    <row r="1994">
      <c r="B1994" s="19"/>
      <c r="E1994" s="23"/>
      <c r="L1994" s="23"/>
    </row>
    <row r="1995">
      <c r="B1995" s="19"/>
      <c r="E1995" s="23"/>
      <c r="L1995" s="23"/>
    </row>
    <row r="1996">
      <c r="B1996" s="19"/>
      <c r="E1996" s="23"/>
      <c r="L1996" s="23"/>
    </row>
    <row r="1997">
      <c r="B1997" s="19"/>
      <c r="E1997" s="23"/>
      <c r="L1997" s="23"/>
    </row>
    <row r="1998">
      <c r="B1998" s="19"/>
      <c r="E1998" s="23"/>
      <c r="L1998" s="23"/>
    </row>
    <row r="1999">
      <c r="B1999" s="19"/>
      <c r="E1999" s="23"/>
      <c r="L1999" s="23"/>
    </row>
    <row r="2000">
      <c r="B2000" s="19"/>
      <c r="E2000" s="23"/>
      <c r="L2000" s="23"/>
    </row>
    <row r="2001">
      <c r="B2001" s="19"/>
      <c r="E2001" s="23"/>
      <c r="L2001" s="23"/>
    </row>
    <row r="2002">
      <c r="B2002" s="19"/>
      <c r="E2002" s="23"/>
      <c r="L2002" s="23"/>
    </row>
    <row r="2003">
      <c r="B2003" s="19"/>
      <c r="E2003" s="23"/>
      <c r="L2003" s="23"/>
    </row>
    <row r="2004">
      <c r="B2004" s="19"/>
      <c r="E2004" s="23"/>
      <c r="L2004" s="23"/>
    </row>
    <row r="2005">
      <c r="B2005" s="19"/>
      <c r="E2005" s="23"/>
      <c r="L2005" s="23"/>
    </row>
    <row r="2006">
      <c r="B2006" s="19"/>
      <c r="E2006" s="23"/>
      <c r="L2006" s="23"/>
    </row>
    <row r="2007">
      <c r="B2007" s="19"/>
      <c r="E2007" s="23"/>
      <c r="L2007" s="23"/>
    </row>
    <row r="2008">
      <c r="B2008" s="19"/>
      <c r="E2008" s="23"/>
      <c r="L2008" s="23"/>
    </row>
    <row r="2009">
      <c r="B2009" s="19"/>
      <c r="E2009" s="23"/>
      <c r="L2009" s="23"/>
    </row>
    <row r="2010">
      <c r="B2010" s="19"/>
      <c r="E2010" s="23"/>
      <c r="L2010" s="23"/>
    </row>
    <row r="2011">
      <c r="B2011" s="19"/>
      <c r="E2011" s="23"/>
      <c r="L2011" s="23"/>
    </row>
    <row r="2012">
      <c r="B2012" s="19"/>
      <c r="E2012" s="23"/>
      <c r="L2012" s="23"/>
    </row>
    <row r="2013">
      <c r="B2013" s="19"/>
      <c r="E2013" s="23"/>
      <c r="L2013" s="23"/>
    </row>
    <row r="2014">
      <c r="B2014" s="19"/>
      <c r="E2014" s="23"/>
      <c r="L2014" s="23"/>
    </row>
    <row r="2015">
      <c r="B2015" s="19"/>
      <c r="E2015" s="23"/>
      <c r="L2015" s="23"/>
    </row>
    <row r="2016">
      <c r="B2016" s="19"/>
      <c r="E2016" s="23"/>
      <c r="L2016" s="23"/>
    </row>
    <row r="2017">
      <c r="B2017" s="19"/>
      <c r="E2017" s="23"/>
      <c r="L2017" s="23"/>
    </row>
    <row r="2018">
      <c r="B2018" s="19"/>
      <c r="E2018" s="23"/>
      <c r="L2018" s="23"/>
    </row>
    <row r="2019">
      <c r="B2019" s="19"/>
      <c r="E2019" s="23"/>
      <c r="L2019" s="23"/>
    </row>
    <row r="2020">
      <c r="B2020" s="19"/>
      <c r="E2020" s="23"/>
      <c r="L2020" s="23"/>
    </row>
    <row r="2021">
      <c r="B2021" s="19"/>
      <c r="E2021" s="23"/>
      <c r="L2021" s="23"/>
    </row>
    <row r="2022">
      <c r="B2022" s="19"/>
      <c r="E2022" s="23"/>
      <c r="L2022" s="23"/>
    </row>
    <row r="2023">
      <c r="B2023" s="19"/>
      <c r="E2023" s="23"/>
      <c r="L2023" s="23"/>
    </row>
    <row r="2024">
      <c r="B2024" s="19"/>
      <c r="E2024" s="23"/>
      <c r="L2024" s="23"/>
    </row>
    <row r="2025">
      <c r="B2025" s="19"/>
      <c r="E2025" s="23"/>
      <c r="L2025" s="23"/>
    </row>
    <row r="2026">
      <c r="B2026" s="19"/>
      <c r="E2026" s="23"/>
      <c r="L2026" s="23"/>
    </row>
    <row r="2027">
      <c r="B2027" s="19"/>
      <c r="E2027" s="23"/>
      <c r="L2027" s="23"/>
    </row>
    <row r="2028">
      <c r="B2028" s="19"/>
      <c r="E2028" s="23"/>
      <c r="L2028" s="23"/>
    </row>
    <row r="2029">
      <c r="B2029" s="19"/>
      <c r="E2029" s="23"/>
      <c r="L2029" s="23"/>
    </row>
    <row r="2030">
      <c r="B2030" s="19"/>
      <c r="E2030" s="23"/>
      <c r="L2030" s="23"/>
    </row>
    <row r="2031">
      <c r="B2031" s="19"/>
      <c r="E2031" s="23"/>
      <c r="L2031" s="23"/>
    </row>
    <row r="2032">
      <c r="B2032" s="19"/>
      <c r="E2032" s="23"/>
      <c r="L2032" s="23"/>
    </row>
    <row r="2033">
      <c r="B2033" s="19"/>
      <c r="E2033" s="23"/>
      <c r="L2033" s="23"/>
    </row>
    <row r="2034">
      <c r="B2034" s="19"/>
      <c r="E2034" s="23"/>
      <c r="L2034" s="23"/>
    </row>
    <row r="2035">
      <c r="B2035" s="19"/>
      <c r="E2035" s="23"/>
      <c r="L2035" s="23"/>
    </row>
    <row r="2036">
      <c r="B2036" s="19"/>
      <c r="E2036" s="23"/>
      <c r="L2036" s="23"/>
    </row>
    <row r="2037">
      <c r="B2037" s="19"/>
      <c r="E2037" s="23"/>
      <c r="L2037" s="23"/>
    </row>
    <row r="2038">
      <c r="B2038" s="19"/>
      <c r="E2038" s="23"/>
      <c r="L2038" s="23"/>
    </row>
    <row r="2039">
      <c r="B2039" s="19"/>
      <c r="E2039" s="23"/>
      <c r="L2039" s="23"/>
    </row>
    <row r="2040">
      <c r="B2040" s="19"/>
      <c r="E2040" s="23"/>
      <c r="L2040" s="23"/>
    </row>
    <row r="2041">
      <c r="B2041" s="19"/>
      <c r="E2041" s="23"/>
      <c r="L2041" s="23"/>
    </row>
    <row r="2042">
      <c r="B2042" s="19"/>
      <c r="E2042" s="23"/>
      <c r="L2042" s="23"/>
    </row>
    <row r="2043">
      <c r="B2043" s="19"/>
      <c r="E2043" s="23"/>
      <c r="L2043" s="23"/>
    </row>
    <row r="2044">
      <c r="B2044" s="19"/>
      <c r="E2044" s="23"/>
      <c r="L2044" s="23"/>
    </row>
    <row r="2045">
      <c r="B2045" s="19"/>
      <c r="E2045" s="23"/>
      <c r="L2045" s="23"/>
    </row>
    <row r="2046">
      <c r="B2046" s="19"/>
      <c r="E2046" s="23"/>
      <c r="L2046" s="23"/>
    </row>
    <row r="2047">
      <c r="B2047" s="19"/>
      <c r="E2047" s="23"/>
      <c r="L2047" s="23"/>
    </row>
    <row r="2048">
      <c r="B2048" s="19"/>
      <c r="E2048" s="23"/>
      <c r="L2048" s="23"/>
    </row>
    <row r="2049">
      <c r="B2049" s="19"/>
      <c r="E2049" s="23"/>
      <c r="L2049" s="23"/>
    </row>
    <row r="2050">
      <c r="B2050" s="19"/>
      <c r="E2050" s="23"/>
      <c r="L2050" s="23"/>
    </row>
    <row r="2051">
      <c r="B2051" s="19"/>
      <c r="E2051" s="23"/>
      <c r="L2051" s="23"/>
    </row>
    <row r="2052">
      <c r="B2052" s="19"/>
      <c r="E2052" s="23"/>
      <c r="L2052" s="23"/>
    </row>
    <row r="2053">
      <c r="B2053" s="19"/>
      <c r="E2053" s="23"/>
      <c r="L2053" s="23"/>
    </row>
    <row r="2054">
      <c r="B2054" s="19"/>
      <c r="E2054" s="23"/>
      <c r="L2054" s="23"/>
    </row>
    <row r="2055">
      <c r="B2055" s="19"/>
      <c r="E2055" s="23"/>
      <c r="L2055" s="23"/>
    </row>
    <row r="2056">
      <c r="B2056" s="19"/>
      <c r="E2056" s="23"/>
      <c r="L2056" s="23"/>
    </row>
    <row r="2057">
      <c r="B2057" s="19"/>
      <c r="E2057" s="23"/>
      <c r="L2057" s="23"/>
    </row>
    <row r="2058">
      <c r="B2058" s="19"/>
      <c r="E2058" s="23"/>
      <c r="L2058" s="23"/>
    </row>
    <row r="2059">
      <c r="B2059" s="19"/>
      <c r="E2059" s="23"/>
      <c r="L2059" s="23"/>
    </row>
    <row r="2060">
      <c r="B2060" s="19"/>
      <c r="E2060" s="23"/>
      <c r="L2060" s="23"/>
    </row>
    <row r="2061">
      <c r="B2061" s="19"/>
      <c r="E2061" s="23"/>
      <c r="L2061" s="23"/>
    </row>
    <row r="2062">
      <c r="B2062" s="19"/>
      <c r="E2062" s="23"/>
      <c r="L2062" s="23"/>
    </row>
    <row r="2063">
      <c r="B2063" s="19"/>
      <c r="E2063" s="23"/>
      <c r="L2063" s="23"/>
    </row>
    <row r="2064">
      <c r="B2064" s="19"/>
      <c r="E2064" s="23"/>
      <c r="L2064" s="23"/>
    </row>
    <row r="2065">
      <c r="B2065" s="19"/>
      <c r="E2065" s="23"/>
      <c r="L2065" s="23"/>
    </row>
    <row r="2066">
      <c r="B2066" s="19"/>
      <c r="E2066" s="23"/>
      <c r="L2066" s="23"/>
    </row>
    <row r="2067">
      <c r="B2067" s="19"/>
      <c r="E2067" s="23"/>
      <c r="L2067" s="23"/>
    </row>
    <row r="2068">
      <c r="B2068" s="19"/>
      <c r="E2068" s="23"/>
      <c r="L2068" s="23"/>
    </row>
    <row r="2069">
      <c r="B2069" s="19"/>
      <c r="E2069" s="23"/>
      <c r="L2069" s="23"/>
    </row>
    <row r="2070">
      <c r="B2070" s="19"/>
      <c r="E2070" s="23"/>
      <c r="L2070" s="23"/>
    </row>
    <row r="2071">
      <c r="B2071" s="19"/>
      <c r="E2071" s="23"/>
      <c r="L2071" s="23"/>
    </row>
    <row r="2072">
      <c r="B2072" s="19"/>
      <c r="E2072" s="23"/>
      <c r="L2072" s="23"/>
    </row>
    <row r="2073">
      <c r="B2073" s="19"/>
      <c r="E2073" s="23"/>
      <c r="L2073" s="23"/>
    </row>
    <row r="2074">
      <c r="B2074" s="19"/>
      <c r="E2074" s="23"/>
      <c r="L2074" s="23"/>
    </row>
    <row r="2075">
      <c r="B2075" s="19"/>
      <c r="E2075" s="23"/>
      <c r="L2075" s="23"/>
    </row>
    <row r="2076">
      <c r="B2076" s="19"/>
      <c r="E2076" s="23"/>
      <c r="L2076" s="23"/>
    </row>
    <row r="2077">
      <c r="B2077" s="19"/>
      <c r="E2077" s="23"/>
      <c r="L2077" s="23"/>
    </row>
    <row r="2078">
      <c r="B2078" s="19"/>
      <c r="E2078" s="23"/>
      <c r="L2078" s="23"/>
    </row>
    <row r="2079">
      <c r="B2079" s="19"/>
      <c r="E2079" s="23"/>
      <c r="L2079" s="23"/>
    </row>
    <row r="2080">
      <c r="B2080" s="19"/>
      <c r="E2080" s="23"/>
      <c r="L2080" s="23"/>
    </row>
    <row r="2081">
      <c r="B2081" s="19"/>
      <c r="E2081" s="23"/>
      <c r="L2081" s="23"/>
    </row>
    <row r="2082">
      <c r="B2082" s="19"/>
      <c r="E2082" s="23"/>
      <c r="L2082" s="23"/>
    </row>
    <row r="2083">
      <c r="B2083" s="19"/>
      <c r="E2083" s="23"/>
      <c r="L2083" s="23"/>
    </row>
    <row r="2084">
      <c r="B2084" s="19"/>
      <c r="E2084" s="23"/>
      <c r="L2084" s="23"/>
    </row>
    <row r="2085">
      <c r="B2085" s="19"/>
      <c r="E2085" s="23"/>
      <c r="L2085" s="23"/>
    </row>
    <row r="2086">
      <c r="B2086" s="19"/>
      <c r="E2086" s="23"/>
      <c r="L2086" s="23"/>
    </row>
    <row r="2087">
      <c r="B2087" s="19"/>
      <c r="E2087" s="23"/>
      <c r="L2087" s="23"/>
    </row>
    <row r="2088">
      <c r="B2088" s="19"/>
      <c r="E2088" s="23"/>
      <c r="L2088" s="23"/>
    </row>
    <row r="2089">
      <c r="B2089" s="19"/>
      <c r="E2089" s="23"/>
      <c r="L2089" s="23"/>
    </row>
    <row r="2090">
      <c r="B2090" s="19"/>
      <c r="E2090" s="23"/>
      <c r="L2090" s="23"/>
    </row>
    <row r="2091">
      <c r="B2091" s="19"/>
      <c r="E2091" s="23"/>
      <c r="L2091" s="23"/>
    </row>
    <row r="2092">
      <c r="B2092" s="19"/>
      <c r="E2092" s="23"/>
      <c r="L2092" s="23"/>
    </row>
    <row r="2093">
      <c r="B2093" s="19"/>
      <c r="E2093" s="23"/>
      <c r="L2093" s="23"/>
    </row>
    <row r="2094">
      <c r="B2094" s="19"/>
      <c r="E2094" s="23"/>
      <c r="L2094" s="23"/>
    </row>
    <row r="2095">
      <c r="B2095" s="19"/>
      <c r="E2095" s="23"/>
      <c r="L2095" s="23"/>
    </row>
    <row r="2096">
      <c r="B2096" s="19"/>
      <c r="E2096" s="23"/>
      <c r="L2096" s="23"/>
    </row>
    <row r="2097">
      <c r="B2097" s="19"/>
      <c r="E2097" s="23"/>
      <c r="L2097" s="23"/>
    </row>
    <row r="2098">
      <c r="B2098" s="19"/>
      <c r="E2098" s="23"/>
      <c r="L2098" s="23"/>
    </row>
    <row r="2099">
      <c r="B2099" s="19"/>
      <c r="E2099" s="23"/>
      <c r="L2099" s="23"/>
    </row>
    <row r="2100">
      <c r="B2100" s="19"/>
      <c r="E2100" s="23"/>
      <c r="L2100" s="23"/>
    </row>
    <row r="2101">
      <c r="B2101" s="19"/>
      <c r="E2101" s="23"/>
      <c r="L2101" s="23"/>
    </row>
    <row r="2102">
      <c r="B2102" s="19"/>
      <c r="E2102" s="23"/>
      <c r="L2102" s="23"/>
    </row>
    <row r="2103">
      <c r="B2103" s="19"/>
      <c r="E2103" s="23"/>
      <c r="L2103" s="23"/>
    </row>
    <row r="2104">
      <c r="B2104" s="19"/>
      <c r="E2104" s="23"/>
      <c r="L2104" s="23"/>
    </row>
    <row r="2105">
      <c r="B2105" s="19"/>
      <c r="E2105" s="23"/>
      <c r="L2105" s="23"/>
    </row>
    <row r="2106">
      <c r="B2106" s="19"/>
      <c r="E2106" s="23"/>
      <c r="L2106" s="23"/>
    </row>
    <row r="2107">
      <c r="B2107" s="19"/>
      <c r="E2107" s="23"/>
      <c r="L2107" s="23"/>
    </row>
    <row r="2108">
      <c r="B2108" s="19"/>
      <c r="E2108" s="23"/>
      <c r="L2108" s="23"/>
    </row>
    <row r="2109">
      <c r="B2109" s="19"/>
      <c r="E2109" s="23"/>
      <c r="L2109" s="23"/>
    </row>
    <row r="2110">
      <c r="B2110" s="19"/>
      <c r="E2110" s="23"/>
      <c r="L2110" s="23"/>
    </row>
    <row r="2111">
      <c r="B2111" s="19"/>
      <c r="E2111" s="23"/>
      <c r="L2111" s="23"/>
    </row>
    <row r="2112">
      <c r="B2112" s="19"/>
      <c r="E2112" s="23"/>
      <c r="L2112" s="23"/>
    </row>
    <row r="2113">
      <c r="B2113" s="19"/>
      <c r="E2113" s="23"/>
      <c r="L2113" s="23"/>
    </row>
    <row r="2114">
      <c r="B2114" s="19"/>
      <c r="E2114" s="23"/>
      <c r="L2114" s="23"/>
    </row>
    <row r="2115">
      <c r="B2115" s="19"/>
      <c r="E2115" s="23"/>
      <c r="L2115" s="23"/>
    </row>
    <row r="2116">
      <c r="B2116" s="19"/>
      <c r="E2116" s="23"/>
      <c r="L2116" s="23"/>
    </row>
    <row r="2117">
      <c r="B2117" s="19"/>
      <c r="E2117" s="23"/>
      <c r="L2117" s="23"/>
    </row>
    <row r="2118">
      <c r="B2118" s="19"/>
      <c r="E2118" s="23"/>
      <c r="L2118" s="23"/>
    </row>
    <row r="2119">
      <c r="B2119" s="19"/>
      <c r="E2119" s="23"/>
      <c r="L2119" s="23"/>
    </row>
    <row r="2120">
      <c r="B2120" s="19"/>
      <c r="E2120" s="23"/>
      <c r="L2120" s="23"/>
    </row>
    <row r="2121">
      <c r="B2121" s="19"/>
      <c r="E2121" s="23"/>
      <c r="L2121" s="23"/>
    </row>
    <row r="2122">
      <c r="B2122" s="19"/>
      <c r="E2122" s="23"/>
      <c r="L2122" s="23"/>
    </row>
    <row r="2123">
      <c r="B2123" s="19"/>
      <c r="E2123" s="23"/>
      <c r="L2123" s="23"/>
    </row>
    <row r="2124">
      <c r="B2124" s="19"/>
      <c r="E2124" s="23"/>
      <c r="L2124" s="23"/>
    </row>
    <row r="2125">
      <c r="B2125" s="19"/>
      <c r="E2125" s="23"/>
      <c r="L2125" s="23"/>
    </row>
    <row r="2126">
      <c r="B2126" s="19"/>
      <c r="E2126" s="23"/>
      <c r="L2126" s="23"/>
    </row>
    <row r="2127">
      <c r="B2127" s="19"/>
      <c r="E2127" s="23"/>
      <c r="L2127" s="23"/>
    </row>
    <row r="2128">
      <c r="B2128" s="19"/>
      <c r="E2128" s="23"/>
      <c r="L2128" s="23"/>
    </row>
    <row r="2129">
      <c r="B2129" s="19"/>
      <c r="E2129" s="23"/>
      <c r="L2129" s="23"/>
    </row>
    <row r="2130">
      <c r="B2130" s="19"/>
      <c r="E2130" s="23"/>
      <c r="L2130" s="23"/>
    </row>
    <row r="2131">
      <c r="B2131" s="19"/>
      <c r="E2131" s="23"/>
      <c r="L2131" s="23"/>
    </row>
    <row r="2132">
      <c r="B2132" s="19"/>
      <c r="E2132" s="23"/>
      <c r="L2132" s="23"/>
    </row>
    <row r="2133">
      <c r="B2133" s="19"/>
      <c r="E2133" s="23"/>
      <c r="L2133" s="23"/>
    </row>
    <row r="2134">
      <c r="B2134" s="19"/>
      <c r="E2134" s="23"/>
      <c r="L2134" s="23"/>
    </row>
    <row r="2135">
      <c r="B2135" s="19"/>
      <c r="E2135" s="23"/>
      <c r="L2135" s="23"/>
    </row>
    <row r="2136">
      <c r="B2136" s="19"/>
      <c r="E2136" s="23"/>
      <c r="L2136" s="23"/>
    </row>
    <row r="2137">
      <c r="B2137" s="19"/>
      <c r="E2137" s="23"/>
      <c r="L2137" s="23"/>
    </row>
    <row r="2138">
      <c r="B2138" s="19"/>
      <c r="E2138" s="23"/>
      <c r="L2138" s="23"/>
    </row>
    <row r="2139">
      <c r="B2139" s="19"/>
      <c r="E2139" s="23"/>
      <c r="L2139" s="23"/>
    </row>
    <row r="2140">
      <c r="B2140" s="19"/>
      <c r="E2140" s="23"/>
      <c r="L2140" s="23"/>
    </row>
    <row r="2141">
      <c r="B2141" s="19"/>
      <c r="E2141" s="23"/>
      <c r="L2141" s="23"/>
    </row>
    <row r="2142">
      <c r="B2142" s="19"/>
      <c r="E2142" s="23"/>
      <c r="L2142" s="23"/>
    </row>
    <row r="2143">
      <c r="B2143" s="19"/>
      <c r="E2143" s="23"/>
      <c r="L2143" s="23"/>
    </row>
    <row r="2144">
      <c r="B2144" s="19"/>
      <c r="E2144" s="23"/>
      <c r="L2144" s="23"/>
    </row>
    <row r="2145">
      <c r="B2145" s="19"/>
      <c r="E2145" s="23"/>
      <c r="L2145" s="23"/>
    </row>
    <row r="2146">
      <c r="B2146" s="19"/>
      <c r="E2146" s="23"/>
      <c r="L2146" s="23"/>
    </row>
    <row r="2147">
      <c r="B2147" s="19"/>
      <c r="E2147" s="23"/>
      <c r="L2147" s="23"/>
    </row>
    <row r="2148">
      <c r="B2148" s="19"/>
      <c r="E2148" s="23"/>
      <c r="L2148" s="23"/>
    </row>
    <row r="2149">
      <c r="B2149" s="19"/>
      <c r="E2149" s="23"/>
      <c r="L2149" s="23"/>
    </row>
    <row r="2150">
      <c r="B2150" s="19"/>
      <c r="E2150" s="23"/>
      <c r="L2150" s="23"/>
    </row>
    <row r="2151">
      <c r="B2151" s="19"/>
      <c r="E2151" s="23"/>
      <c r="L2151" s="23"/>
    </row>
    <row r="2152">
      <c r="B2152" s="19"/>
      <c r="E2152" s="23"/>
      <c r="L2152" s="23"/>
    </row>
    <row r="2153">
      <c r="B2153" s="19"/>
      <c r="E2153" s="23"/>
      <c r="L2153" s="23"/>
    </row>
    <row r="2154">
      <c r="B2154" s="19"/>
      <c r="E2154" s="23"/>
      <c r="L2154" s="23"/>
    </row>
    <row r="2155">
      <c r="B2155" s="19"/>
      <c r="E2155" s="23"/>
      <c r="L2155" s="23"/>
    </row>
    <row r="2156">
      <c r="B2156" s="19"/>
      <c r="E2156" s="23"/>
      <c r="L2156" s="23"/>
    </row>
    <row r="2157">
      <c r="B2157" s="19"/>
      <c r="E2157" s="23"/>
      <c r="L2157" s="23"/>
    </row>
    <row r="2158">
      <c r="B2158" s="19"/>
      <c r="E2158" s="23"/>
      <c r="L2158" s="23"/>
    </row>
    <row r="2159">
      <c r="B2159" s="19"/>
      <c r="E2159" s="23"/>
      <c r="L2159" s="23"/>
    </row>
    <row r="2160">
      <c r="B2160" s="19"/>
      <c r="E2160" s="23"/>
      <c r="L2160" s="23"/>
    </row>
    <row r="2161">
      <c r="B2161" s="19"/>
      <c r="E2161" s="23"/>
      <c r="L2161" s="23"/>
    </row>
    <row r="2162">
      <c r="B2162" s="19"/>
      <c r="E2162" s="23"/>
      <c r="L2162" s="23"/>
    </row>
    <row r="2163">
      <c r="B2163" s="19"/>
      <c r="E2163" s="23"/>
      <c r="L2163" s="23"/>
    </row>
    <row r="2164">
      <c r="B2164" s="19"/>
      <c r="E2164" s="23"/>
      <c r="L2164" s="23"/>
    </row>
    <row r="2165">
      <c r="B2165" s="19"/>
      <c r="E2165" s="23"/>
      <c r="L2165" s="23"/>
    </row>
    <row r="2166">
      <c r="B2166" s="19"/>
      <c r="E2166" s="23"/>
      <c r="L2166" s="23"/>
    </row>
    <row r="2167">
      <c r="B2167" s="19"/>
      <c r="E2167" s="23"/>
      <c r="L2167" s="23"/>
    </row>
    <row r="2168">
      <c r="B2168" s="19"/>
      <c r="E2168" s="23"/>
      <c r="L2168" s="23"/>
    </row>
    <row r="2169">
      <c r="B2169" s="19"/>
      <c r="E2169" s="23"/>
      <c r="L2169" s="23"/>
    </row>
    <row r="2170">
      <c r="B2170" s="19"/>
      <c r="E2170" s="23"/>
      <c r="L2170" s="23"/>
    </row>
    <row r="2171">
      <c r="B2171" s="19"/>
      <c r="E2171" s="23"/>
      <c r="L2171" s="23"/>
    </row>
    <row r="2172">
      <c r="B2172" s="19"/>
      <c r="E2172" s="23"/>
      <c r="L2172" s="23"/>
    </row>
    <row r="2173">
      <c r="B2173" s="19"/>
      <c r="E2173" s="23"/>
      <c r="L2173" s="23"/>
    </row>
    <row r="2174">
      <c r="B2174" s="19"/>
      <c r="E2174" s="23"/>
      <c r="L2174" s="23"/>
    </row>
    <row r="2175">
      <c r="B2175" s="19"/>
      <c r="E2175" s="23"/>
      <c r="L2175" s="23"/>
    </row>
    <row r="2176">
      <c r="B2176" s="19"/>
      <c r="E2176" s="23"/>
      <c r="L2176" s="23"/>
    </row>
    <row r="2177">
      <c r="B2177" s="19"/>
      <c r="E2177" s="23"/>
      <c r="L2177" s="23"/>
    </row>
    <row r="2178">
      <c r="B2178" s="19"/>
      <c r="E2178" s="23"/>
      <c r="L2178" s="23"/>
    </row>
    <row r="2179">
      <c r="B2179" s="19"/>
      <c r="E2179" s="23"/>
      <c r="L2179" s="23"/>
    </row>
    <row r="2180">
      <c r="B2180" s="19"/>
      <c r="E2180" s="23"/>
      <c r="L2180" s="23"/>
    </row>
    <row r="2181">
      <c r="B2181" s="19"/>
      <c r="E2181" s="23"/>
      <c r="L2181" s="23"/>
    </row>
    <row r="2182">
      <c r="B2182" s="19"/>
      <c r="E2182" s="23"/>
      <c r="L2182" s="23"/>
    </row>
    <row r="2183">
      <c r="B2183" s="19"/>
      <c r="E2183" s="23"/>
      <c r="L2183" s="23"/>
    </row>
    <row r="2184">
      <c r="B2184" s="19"/>
      <c r="E2184" s="23"/>
      <c r="L2184" s="23"/>
    </row>
    <row r="2185">
      <c r="B2185" s="19"/>
      <c r="E2185" s="23"/>
      <c r="L2185" s="23"/>
    </row>
    <row r="2186">
      <c r="B2186" s="19"/>
      <c r="E2186" s="23"/>
      <c r="L2186" s="23"/>
    </row>
    <row r="2187">
      <c r="B2187" s="19"/>
      <c r="E2187" s="23"/>
      <c r="L2187" s="23"/>
    </row>
    <row r="2188">
      <c r="B2188" s="19"/>
      <c r="E2188" s="23"/>
      <c r="L2188" s="23"/>
    </row>
    <row r="2189">
      <c r="B2189" s="19"/>
      <c r="E2189" s="23"/>
      <c r="L2189" s="23"/>
    </row>
    <row r="2190">
      <c r="B2190" s="19"/>
      <c r="E2190" s="23"/>
      <c r="L2190" s="23"/>
    </row>
    <row r="2191">
      <c r="B2191" s="19"/>
      <c r="E2191" s="23"/>
      <c r="L2191" s="23"/>
    </row>
    <row r="2192">
      <c r="B2192" s="19"/>
      <c r="E2192" s="23"/>
      <c r="L2192" s="23"/>
    </row>
    <row r="2193">
      <c r="B2193" s="19"/>
      <c r="E2193" s="23"/>
      <c r="L2193" s="23"/>
    </row>
    <row r="2194">
      <c r="B2194" s="19"/>
      <c r="E2194" s="23"/>
      <c r="L2194" s="23"/>
    </row>
    <row r="2195">
      <c r="B2195" s="19"/>
      <c r="E2195" s="23"/>
      <c r="L2195" s="23"/>
    </row>
    <row r="2196">
      <c r="B2196" s="19"/>
      <c r="E2196" s="23"/>
      <c r="L2196" s="23"/>
    </row>
    <row r="2197">
      <c r="B2197" s="19"/>
      <c r="E2197" s="23"/>
      <c r="L2197" s="23"/>
    </row>
    <row r="2198">
      <c r="B2198" s="19"/>
      <c r="E2198" s="23"/>
      <c r="L2198" s="23"/>
    </row>
    <row r="2199">
      <c r="B2199" s="19"/>
      <c r="E2199" s="23"/>
      <c r="L2199" s="23"/>
    </row>
    <row r="2200">
      <c r="B2200" s="19"/>
      <c r="E2200" s="23"/>
      <c r="L2200" s="23"/>
    </row>
    <row r="2201">
      <c r="B2201" s="19"/>
      <c r="E2201" s="23"/>
      <c r="L2201" s="23"/>
    </row>
    <row r="2202">
      <c r="B2202" s="19"/>
      <c r="E2202" s="23"/>
      <c r="L2202" s="23"/>
    </row>
    <row r="2203">
      <c r="B2203" s="19"/>
      <c r="E2203" s="23"/>
      <c r="L2203" s="23"/>
    </row>
    <row r="2204">
      <c r="B2204" s="19"/>
      <c r="E2204" s="23"/>
      <c r="L2204" s="23"/>
    </row>
    <row r="2205">
      <c r="B2205" s="19"/>
      <c r="E2205" s="23"/>
      <c r="L2205" s="23"/>
    </row>
    <row r="2206">
      <c r="B2206" s="19"/>
      <c r="E2206" s="23"/>
      <c r="L2206" s="23"/>
    </row>
    <row r="2207">
      <c r="B2207" s="19"/>
      <c r="E2207" s="23"/>
      <c r="L2207" s="23"/>
    </row>
    <row r="2208">
      <c r="B2208" s="19"/>
      <c r="E2208" s="23"/>
      <c r="L2208" s="23"/>
    </row>
    <row r="2209">
      <c r="B2209" s="19"/>
      <c r="E2209" s="23"/>
      <c r="L2209" s="23"/>
    </row>
    <row r="2210">
      <c r="B2210" s="19"/>
      <c r="E2210" s="23"/>
      <c r="L2210" s="23"/>
    </row>
    <row r="2211">
      <c r="B2211" s="19"/>
      <c r="E2211" s="23"/>
      <c r="L2211" s="23"/>
    </row>
    <row r="2212">
      <c r="B2212" s="19"/>
      <c r="E2212" s="23"/>
      <c r="L2212" s="23"/>
    </row>
    <row r="2213">
      <c r="B2213" s="19"/>
      <c r="E2213" s="23"/>
      <c r="L2213" s="23"/>
    </row>
    <row r="2214">
      <c r="B2214" s="19"/>
      <c r="E2214" s="23"/>
      <c r="L2214" s="23"/>
    </row>
    <row r="2215">
      <c r="B2215" s="19"/>
      <c r="E2215" s="23"/>
      <c r="L2215" s="23"/>
    </row>
    <row r="2216">
      <c r="B2216" s="19"/>
      <c r="E2216" s="23"/>
      <c r="L2216" s="23"/>
    </row>
    <row r="2217">
      <c r="B2217" s="19"/>
      <c r="E2217" s="23"/>
      <c r="L2217" s="23"/>
    </row>
    <row r="2218">
      <c r="B2218" s="19"/>
      <c r="E2218" s="23"/>
      <c r="L2218" s="23"/>
    </row>
    <row r="2219">
      <c r="B2219" s="19"/>
      <c r="E2219" s="23"/>
      <c r="L2219" s="23"/>
    </row>
    <row r="2220">
      <c r="B2220" s="19"/>
      <c r="E2220" s="23"/>
      <c r="L2220" s="23"/>
    </row>
    <row r="2221">
      <c r="B2221" s="19"/>
      <c r="E2221" s="23"/>
      <c r="L2221" s="23"/>
    </row>
    <row r="2222">
      <c r="B2222" s="19"/>
      <c r="E2222" s="23"/>
      <c r="L2222" s="23"/>
    </row>
    <row r="2223">
      <c r="B2223" s="19"/>
      <c r="E2223" s="23"/>
      <c r="L2223" s="23"/>
    </row>
    <row r="2224">
      <c r="B2224" s="19"/>
      <c r="E2224" s="23"/>
      <c r="L2224" s="23"/>
    </row>
    <row r="2225">
      <c r="B2225" s="19"/>
      <c r="E2225" s="23"/>
      <c r="L2225" s="23"/>
    </row>
    <row r="2226">
      <c r="B2226" s="19"/>
      <c r="E2226" s="23"/>
      <c r="L2226" s="23"/>
    </row>
    <row r="2227">
      <c r="B2227" s="19"/>
      <c r="E2227" s="23"/>
      <c r="L2227" s="23"/>
    </row>
    <row r="2228">
      <c r="B2228" s="19"/>
      <c r="E2228" s="23"/>
      <c r="L2228" s="23"/>
    </row>
    <row r="2229">
      <c r="B2229" s="19"/>
      <c r="E2229" s="23"/>
      <c r="L2229" s="23"/>
    </row>
    <row r="2230">
      <c r="B2230" s="19"/>
      <c r="E2230" s="23"/>
      <c r="L2230" s="23"/>
    </row>
    <row r="2231">
      <c r="B2231" s="19"/>
      <c r="E2231" s="23"/>
      <c r="L2231" s="23"/>
    </row>
    <row r="2232">
      <c r="B2232" s="19"/>
      <c r="E2232" s="23"/>
      <c r="L2232" s="23"/>
    </row>
    <row r="2233">
      <c r="B2233" s="19"/>
      <c r="E2233" s="23"/>
      <c r="L2233" s="23"/>
    </row>
    <row r="2234">
      <c r="B2234" s="19"/>
      <c r="E2234" s="23"/>
      <c r="L2234" s="23"/>
    </row>
    <row r="2235">
      <c r="B2235" s="19"/>
      <c r="E2235" s="23"/>
      <c r="L2235" s="23"/>
    </row>
    <row r="2236">
      <c r="B2236" s="19"/>
      <c r="E2236" s="23"/>
      <c r="L2236" s="23"/>
    </row>
    <row r="2237">
      <c r="B2237" s="19"/>
      <c r="E2237" s="23"/>
      <c r="L2237" s="23"/>
    </row>
    <row r="2238">
      <c r="B2238" s="19"/>
      <c r="E2238" s="23"/>
      <c r="L2238" s="23"/>
    </row>
    <row r="2239">
      <c r="B2239" s="19"/>
      <c r="E2239" s="23"/>
      <c r="L2239" s="23"/>
    </row>
    <row r="2240">
      <c r="B2240" s="19"/>
      <c r="E2240" s="23"/>
      <c r="L2240" s="23"/>
    </row>
    <row r="2241">
      <c r="B2241" s="19"/>
      <c r="E2241" s="23"/>
      <c r="L2241" s="23"/>
    </row>
    <row r="2242">
      <c r="B2242" s="19"/>
      <c r="E2242" s="23"/>
      <c r="L2242" s="23"/>
    </row>
    <row r="2243">
      <c r="B2243" s="19"/>
      <c r="E2243" s="23"/>
      <c r="L2243" s="23"/>
    </row>
    <row r="2244">
      <c r="B2244" s="19"/>
      <c r="E2244" s="23"/>
      <c r="L2244" s="23"/>
    </row>
    <row r="2245">
      <c r="B2245" s="19"/>
      <c r="E2245" s="23"/>
      <c r="L2245" s="23"/>
    </row>
    <row r="2246">
      <c r="B2246" s="19"/>
      <c r="E2246" s="23"/>
      <c r="L2246" s="23"/>
    </row>
    <row r="2247">
      <c r="B2247" s="19"/>
      <c r="E2247" s="23"/>
      <c r="L2247" s="23"/>
    </row>
    <row r="2248">
      <c r="B2248" s="19"/>
      <c r="E2248" s="23"/>
      <c r="L2248" s="23"/>
    </row>
    <row r="2249">
      <c r="B2249" s="19"/>
      <c r="E2249" s="23"/>
      <c r="L2249" s="23"/>
    </row>
    <row r="2250">
      <c r="B2250" s="19"/>
      <c r="E2250" s="23"/>
      <c r="L2250" s="23"/>
    </row>
    <row r="2251">
      <c r="B2251" s="19"/>
      <c r="E2251" s="23"/>
      <c r="L2251" s="23"/>
    </row>
    <row r="2252">
      <c r="B2252" s="19"/>
      <c r="E2252" s="23"/>
      <c r="L2252" s="23"/>
    </row>
    <row r="2253">
      <c r="B2253" s="19"/>
      <c r="E2253" s="23"/>
      <c r="L2253" s="23"/>
    </row>
    <row r="2254">
      <c r="B2254" s="19"/>
      <c r="E2254" s="23"/>
      <c r="L2254" s="23"/>
    </row>
    <row r="2255">
      <c r="B2255" s="19"/>
      <c r="E2255" s="23"/>
      <c r="L2255" s="23"/>
    </row>
    <row r="2256">
      <c r="B2256" s="19"/>
      <c r="E2256" s="23"/>
      <c r="L2256" s="23"/>
    </row>
    <row r="2257">
      <c r="B2257" s="19"/>
      <c r="E2257" s="23"/>
      <c r="L2257" s="23"/>
    </row>
    <row r="2258">
      <c r="B2258" s="19"/>
      <c r="E2258" s="23"/>
      <c r="L2258" s="23"/>
    </row>
    <row r="2259">
      <c r="B2259" s="19"/>
      <c r="E2259" s="23"/>
      <c r="L2259" s="23"/>
    </row>
    <row r="2260">
      <c r="B2260" s="19"/>
      <c r="E2260" s="23"/>
      <c r="L2260" s="23"/>
    </row>
    <row r="2261">
      <c r="B2261" s="19"/>
      <c r="E2261" s="23"/>
      <c r="L2261" s="23"/>
    </row>
    <row r="2262">
      <c r="B2262" s="19"/>
      <c r="E2262" s="23"/>
      <c r="L2262" s="23"/>
    </row>
    <row r="2263">
      <c r="B2263" s="19"/>
      <c r="E2263" s="23"/>
      <c r="L2263" s="23"/>
    </row>
    <row r="2264">
      <c r="B2264" s="19"/>
      <c r="E2264" s="23"/>
      <c r="L2264" s="23"/>
    </row>
    <row r="2265">
      <c r="B2265" s="19"/>
      <c r="E2265" s="23"/>
      <c r="L2265" s="23"/>
    </row>
    <row r="2266">
      <c r="B2266" s="19"/>
      <c r="E2266" s="23"/>
      <c r="L2266" s="23"/>
    </row>
    <row r="2267">
      <c r="B2267" s="19"/>
      <c r="E2267" s="23"/>
      <c r="L2267" s="23"/>
    </row>
    <row r="2268">
      <c r="B2268" s="19"/>
      <c r="E2268" s="23"/>
      <c r="L2268" s="23"/>
    </row>
    <row r="2269">
      <c r="B2269" s="19"/>
      <c r="E2269" s="23"/>
      <c r="L2269" s="23"/>
    </row>
    <row r="2270">
      <c r="B2270" s="19"/>
      <c r="E2270" s="23"/>
      <c r="L2270" s="23"/>
    </row>
    <row r="2271">
      <c r="B2271" s="19"/>
      <c r="E2271" s="23"/>
      <c r="L2271" s="23"/>
    </row>
    <row r="2272">
      <c r="B2272" s="19"/>
      <c r="E2272" s="23"/>
      <c r="L2272" s="23"/>
    </row>
    <row r="2273">
      <c r="B2273" s="19"/>
      <c r="E2273" s="23"/>
      <c r="L2273" s="23"/>
    </row>
    <row r="2274">
      <c r="B2274" s="19"/>
      <c r="E2274" s="23"/>
      <c r="L2274" s="23"/>
    </row>
    <row r="2275">
      <c r="B2275" s="19"/>
      <c r="E2275" s="23"/>
      <c r="L2275" s="23"/>
    </row>
    <row r="2276">
      <c r="B2276" s="19"/>
      <c r="E2276" s="23"/>
      <c r="L2276" s="23"/>
    </row>
    <row r="2277">
      <c r="B2277" s="19"/>
      <c r="E2277" s="23"/>
      <c r="L2277" s="23"/>
    </row>
    <row r="2278">
      <c r="B2278" s="19"/>
      <c r="E2278" s="23"/>
      <c r="L2278" s="23"/>
    </row>
    <row r="2279">
      <c r="B2279" s="19"/>
      <c r="E2279" s="23"/>
      <c r="L2279" s="23"/>
    </row>
    <row r="2280">
      <c r="B2280" s="19"/>
      <c r="E2280" s="23"/>
      <c r="L2280" s="23"/>
    </row>
    <row r="2281">
      <c r="B2281" s="19"/>
      <c r="E2281" s="23"/>
      <c r="L2281" s="23"/>
    </row>
    <row r="2282">
      <c r="B2282" s="19"/>
      <c r="E2282" s="23"/>
      <c r="L2282" s="23"/>
    </row>
    <row r="2283">
      <c r="B2283" s="19"/>
      <c r="E2283" s="23"/>
      <c r="L2283" s="23"/>
    </row>
    <row r="2284">
      <c r="B2284" s="19"/>
      <c r="E2284" s="23"/>
      <c r="L2284" s="23"/>
    </row>
    <row r="2285">
      <c r="B2285" s="19"/>
      <c r="E2285" s="23"/>
      <c r="L2285" s="23"/>
    </row>
    <row r="2286">
      <c r="B2286" s="19"/>
      <c r="E2286" s="23"/>
      <c r="L2286" s="23"/>
    </row>
    <row r="2287">
      <c r="B2287" s="19"/>
      <c r="E2287" s="23"/>
      <c r="L2287" s="23"/>
    </row>
    <row r="2288">
      <c r="B2288" s="19"/>
      <c r="E2288" s="23"/>
      <c r="L2288" s="23"/>
    </row>
    <row r="2289">
      <c r="B2289" s="19"/>
      <c r="E2289" s="23"/>
      <c r="L2289" s="23"/>
    </row>
    <row r="2290">
      <c r="B2290" s="19"/>
      <c r="E2290" s="23"/>
      <c r="L2290" s="23"/>
    </row>
    <row r="2291">
      <c r="B2291" s="19"/>
      <c r="E2291" s="23"/>
      <c r="L2291" s="23"/>
    </row>
    <row r="2292">
      <c r="B2292" s="19"/>
      <c r="E2292" s="23"/>
      <c r="L2292" s="23"/>
    </row>
    <row r="2293">
      <c r="B2293" s="19"/>
      <c r="E2293" s="23"/>
      <c r="L2293" s="23"/>
    </row>
    <row r="2294">
      <c r="B2294" s="19"/>
      <c r="E2294" s="23"/>
      <c r="L2294" s="23"/>
    </row>
    <row r="2295">
      <c r="B2295" s="19"/>
      <c r="E2295" s="23"/>
      <c r="L2295" s="23"/>
    </row>
    <row r="2296">
      <c r="B2296" s="19"/>
      <c r="E2296" s="23"/>
      <c r="L2296" s="23"/>
    </row>
    <row r="2297">
      <c r="B2297" s="19"/>
      <c r="E2297" s="23"/>
      <c r="L2297" s="23"/>
    </row>
    <row r="2298">
      <c r="B2298" s="19"/>
      <c r="E2298" s="23"/>
      <c r="L2298" s="23"/>
    </row>
    <row r="2299">
      <c r="B2299" s="19"/>
      <c r="E2299" s="23"/>
      <c r="L2299" s="23"/>
    </row>
    <row r="2300">
      <c r="B2300" s="19"/>
      <c r="E2300" s="23"/>
      <c r="L2300" s="23"/>
    </row>
    <row r="2301">
      <c r="B2301" s="19"/>
      <c r="E2301" s="23"/>
      <c r="L2301" s="23"/>
    </row>
    <row r="2302">
      <c r="B2302" s="19"/>
      <c r="E2302" s="23"/>
      <c r="L2302" s="23"/>
    </row>
    <row r="2303">
      <c r="B2303" s="19"/>
      <c r="E2303" s="23"/>
      <c r="L2303" s="23"/>
    </row>
    <row r="2304">
      <c r="B2304" s="19"/>
      <c r="E2304" s="23"/>
      <c r="L2304" s="23"/>
    </row>
    <row r="2305">
      <c r="B2305" s="19"/>
      <c r="E2305" s="23"/>
      <c r="L2305" s="23"/>
    </row>
    <row r="2306">
      <c r="B2306" s="19"/>
      <c r="E2306" s="23"/>
      <c r="L2306" s="23"/>
    </row>
    <row r="2307">
      <c r="B2307" s="19"/>
      <c r="E2307" s="23"/>
      <c r="L2307" s="23"/>
    </row>
    <row r="2308">
      <c r="B2308" s="19"/>
      <c r="E2308" s="23"/>
      <c r="L2308" s="23"/>
    </row>
    <row r="2309">
      <c r="B2309" s="19"/>
      <c r="E2309" s="23"/>
      <c r="L2309" s="23"/>
    </row>
    <row r="2310">
      <c r="B2310" s="19"/>
      <c r="E2310" s="23"/>
      <c r="L2310" s="23"/>
    </row>
    <row r="2311">
      <c r="B2311" s="19"/>
      <c r="E2311" s="23"/>
      <c r="L2311" s="23"/>
    </row>
    <row r="2312">
      <c r="B2312" s="19"/>
      <c r="E2312" s="23"/>
      <c r="L2312" s="23"/>
    </row>
    <row r="2313">
      <c r="B2313" s="19"/>
      <c r="E2313" s="23"/>
      <c r="L2313" s="23"/>
    </row>
    <row r="2314">
      <c r="B2314" s="19"/>
      <c r="E2314" s="23"/>
      <c r="L2314" s="23"/>
    </row>
    <row r="2315">
      <c r="B2315" s="19"/>
      <c r="E2315" s="23"/>
      <c r="L2315" s="23"/>
    </row>
    <row r="2316">
      <c r="B2316" s="19"/>
      <c r="E2316" s="23"/>
      <c r="L2316" s="23"/>
    </row>
    <row r="2317">
      <c r="B2317" s="19"/>
      <c r="E2317" s="23"/>
      <c r="L2317" s="23"/>
    </row>
    <row r="2318">
      <c r="B2318" s="19"/>
      <c r="E2318" s="23"/>
      <c r="L2318" s="23"/>
    </row>
    <row r="2319">
      <c r="B2319" s="19"/>
      <c r="E2319" s="23"/>
      <c r="L2319" s="23"/>
    </row>
    <row r="2320">
      <c r="B2320" s="19"/>
      <c r="E2320" s="23"/>
      <c r="L2320" s="23"/>
    </row>
    <row r="2321">
      <c r="B2321" s="19"/>
      <c r="E2321" s="23"/>
      <c r="L2321" s="23"/>
    </row>
    <row r="2322">
      <c r="B2322" s="19"/>
      <c r="E2322" s="23"/>
      <c r="L2322" s="23"/>
    </row>
    <row r="2323">
      <c r="B2323" s="19"/>
      <c r="E2323" s="23"/>
      <c r="L2323" s="23"/>
    </row>
    <row r="2324">
      <c r="B2324" s="19"/>
      <c r="E2324" s="23"/>
      <c r="L2324" s="23"/>
    </row>
    <row r="2325">
      <c r="B2325" s="19"/>
      <c r="E2325" s="23"/>
      <c r="L2325" s="23"/>
    </row>
    <row r="2326">
      <c r="B2326" s="19"/>
      <c r="E2326" s="23"/>
      <c r="L2326" s="23"/>
    </row>
    <row r="2327">
      <c r="B2327" s="19"/>
      <c r="E2327" s="23"/>
      <c r="L2327" s="23"/>
    </row>
    <row r="2328">
      <c r="B2328" s="19"/>
      <c r="E2328" s="23"/>
      <c r="L2328" s="23"/>
    </row>
    <row r="2329">
      <c r="B2329" s="19"/>
      <c r="E2329" s="23"/>
      <c r="L2329" s="23"/>
    </row>
    <row r="2330">
      <c r="B2330" s="19"/>
      <c r="E2330" s="23"/>
      <c r="L2330" s="23"/>
    </row>
    <row r="2331">
      <c r="B2331" s="19"/>
      <c r="E2331" s="23"/>
      <c r="L2331" s="23"/>
    </row>
    <row r="2332">
      <c r="B2332" s="19"/>
      <c r="E2332" s="23"/>
      <c r="L2332" s="23"/>
    </row>
    <row r="2333">
      <c r="B2333" s="19"/>
      <c r="E2333" s="23"/>
      <c r="L2333" s="23"/>
    </row>
    <row r="2334">
      <c r="B2334" s="19"/>
      <c r="E2334" s="23"/>
      <c r="L2334" s="23"/>
    </row>
    <row r="2335">
      <c r="B2335" s="19"/>
      <c r="E2335" s="23"/>
      <c r="L2335" s="23"/>
    </row>
    <row r="2336">
      <c r="B2336" s="19"/>
      <c r="E2336" s="23"/>
      <c r="L2336" s="23"/>
    </row>
    <row r="2337">
      <c r="B2337" s="19"/>
      <c r="E2337" s="23"/>
      <c r="L2337" s="23"/>
    </row>
    <row r="2338">
      <c r="B2338" s="19"/>
      <c r="E2338" s="23"/>
      <c r="L2338" s="23"/>
    </row>
    <row r="2339">
      <c r="B2339" s="19"/>
      <c r="E2339" s="23"/>
      <c r="L2339" s="23"/>
    </row>
    <row r="2340">
      <c r="B2340" s="19"/>
      <c r="E2340" s="23"/>
      <c r="L2340" s="23"/>
    </row>
    <row r="2341">
      <c r="B2341" s="19"/>
      <c r="E2341" s="23"/>
      <c r="L2341" s="23"/>
    </row>
    <row r="2342">
      <c r="B2342" s="19"/>
      <c r="E2342" s="23"/>
      <c r="L2342" s="23"/>
    </row>
    <row r="2343">
      <c r="B2343" s="19"/>
      <c r="E2343" s="23"/>
      <c r="L2343" s="23"/>
    </row>
    <row r="2344">
      <c r="B2344" s="19"/>
      <c r="E2344" s="23"/>
      <c r="L2344" s="23"/>
    </row>
    <row r="2345">
      <c r="B2345" s="19"/>
      <c r="E2345" s="23"/>
      <c r="L2345" s="23"/>
    </row>
    <row r="2346">
      <c r="B2346" s="19"/>
      <c r="E2346" s="23"/>
      <c r="L2346" s="23"/>
    </row>
    <row r="2347">
      <c r="B2347" s="19"/>
      <c r="E2347" s="23"/>
      <c r="L2347" s="23"/>
    </row>
    <row r="2348">
      <c r="B2348" s="19"/>
      <c r="E2348" s="23"/>
      <c r="L2348" s="23"/>
    </row>
    <row r="2349">
      <c r="B2349" s="19"/>
      <c r="E2349" s="23"/>
      <c r="L2349" s="23"/>
    </row>
    <row r="2350">
      <c r="B2350" s="19"/>
      <c r="E2350" s="23"/>
      <c r="L2350" s="23"/>
    </row>
    <row r="2351">
      <c r="B2351" s="19"/>
      <c r="E2351" s="23"/>
      <c r="L2351" s="23"/>
    </row>
    <row r="2352">
      <c r="B2352" s="19"/>
      <c r="E2352" s="23"/>
      <c r="L2352" s="23"/>
    </row>
    <row r="2353">
      <c r="B2353" s="19"/>
      <c r="E2353" s="23"/>
      <c r="L2353" s="23"/>
    </row>
    <row r="2354">
      <c r="B2354" s="19"/>
      <c r="E2354" s="23"/>
      <c r="L2354" s="23"/>
    </row>
    <row r="2355">
      <c r="B2355" s="19"/>
      <c r="E2355" s="23"/>
      <c r="L2355" s="23"/>
    </row>
    <row r="2356">
      <c r="B2356" s="19"/>
      <c r="E2356" s="23"/>
      <c r="L2356" s="23"/>
    </row>
    <row r="2357">
      <c r="B2357" s="19"/>
      <c r="E2357" s="23"/>
      <c r="L2357" s="23"/>
    </row>
    <row r="2358">
      <c r="B2358" s="19"/>
      <c r="E2358" s="23"/>
      <c r="L2358" s="23"/>
    </row>
    <row r="2359">
      <c r="B2359" s="19"/>
      <c r="E2359" s="23"/>
      <c r="L2359" s="23"/>
    </row>
    <row r="2360">
      <c r="B2360" s="19"/>
      <c r="E2360" s="23"/>
      <c r="L2360" s="23"/>
    </row>
    <row r="2361">
      <c r="B2361" s="19"/>
      <c r="E2361" s="23"/>
      <c r="L2361" s="23"/>
    </row>
    <row r="2362">
      <c r="B2362" s="19"/>
      <c r="E2362" s="23"/>
      <c r="L2362" s="23"/>
    </row>
    <row r="2363">
      <c r="B2363" s="19"/>
      <c r="E2363" s="23"/>
      <c r="L2363" s="23"/>
    </row>
    <row r="2364">
      <c r="B2364" s="19"/>
      <c r="E2364" s="23"/>
      <c r="L2364" s="23"/>
    </row>
    <row r="2365">
      <c r="B2365" s="19"/>
      <c r="E2365" s="23"/>
      <c r="L2365" s="23"/>
    </row>
    <row r="2366">
      <c r="B2366" s="19"/>
      <c r="E2366" s="23"/>
      <c r="L2366" s="23"/>
    </row>
    <row r="2367">
      <c r="B2367" s="19"/>
      <c r="E2367" s="23"/>
      <c r="L2367" s="23"/>
    </row>
    <row r="2368">
      <c r="B2368" s="19"/>
      <c r="E2368" s="23"/>
      <c r="L2368" s="23"/>
    </row>
    <row r="2369">
      <c r="B2369" s="19"/>
      <c r="E2369" s="23"/>
      <c r="L2369" s="23"/>
    </row>
    <row r="2370">
      <c r="B2370" s="19"/>
      <c r="E2370" s="23"/>
      <c r="L2370" s="23"/>
    </row>
    <row r="2371">
      <c r="B2371" s="19"/>
      <c r="E2371" s="23"/>
      <c r="L2371" s="23"/>
    </row>
    <row r="2372">
      <c r="B2372" s="19"/>
      <c r="E2372" s="23"/>
      <c r="L2372" s="23"/>
    </row>
    <row r="2373">
      <c r="B2373" s="19"/>
      <c r="E2373" s="23"/>
      <c r="L2373" s="23"/>
    </row>
    <row r="2374">
      <c r="B2374" s="19"/>
      <c r="E2374" s="23"/>
      <c r="L2374" s="23"/>
    </row>
    <row r="2375">
      <c r="B2375" s="19"/>
      <c r="E2375" s="23"/>
      <c r="L2375" s="23"/>
    </row>
    <row r="2376">
      <c r="B2376" s="19"/>
      <c r="E2376" s="23"/>
      <c r="L2376" s="23"/>
    </row>
    <row r="2377">
      <c r="B2377" s="19"/>
      <c r="E2377" s="23"/>
      <c r="L2377" s="23"/>
    </row>
    <row r="2378">
      <c r="B2378" s="19"/>
      <c r="E2378" s="23"/>
      <c r="L2378" s="23"/>
    </row>
    <row r="2379">
      <c r="B2379" s="19"/>
      <c r="E2379" s="23"/>
      <c r="L2379" s="23"/>
    </row>
    <row r="2380">
      <c r="B2380" s="19"/>
      <c r="E2380" s="23"/>
      <c r="L2380" s="23"/>
    </row>
    <row r="2381">
      <c r="B2381" s="19"/>
      <c r="E2381" s="23"/>
      <c r="L2381" s="23"/>
    </row>
    <row r="2382">
      <c r="B2382" s="19"/>
      <c r="E2382" s="23"/>
      <c r="L2382" s="23"/>
    </row>
    <row r="2383">
      <c r="B2383" s="19"/>
      <c r="E2383" s="23"/>
      <c r="L2383" s="23"/>
    </row>
    <row r="2384">
      <c r="B2384" s="19"/>
      <c r="E2384" s="23"/>
      <c r="L2384" s="23"/>
    </row>
    <row r="2385">
      <c r="B2385" s="19"/>
      <c r="E2385" s="23"/>
      <c r="L2385" s="23"/>
    </row>
    <row r="2386">
      <c r="B2386" s="19"/>
      <c r="E2386" s="23"/>
      <c r="L2386" s="23"/>
    </row>
    <row r="2387">
      <c r="B2387" s="19"/>
      <c r="E2387" s="23"/>
      <c r="L2387" s="23"/>
    </row>
    <row r="2388">
      <c r="B2388" s="19"/>
      <c r="E2388" s="23"/>
      <c r="L2388" s="23"/>
    </row>
    <row r="2389">
      <c r="B2389" s="19"/>
      <c r="E2389" s="23"/>
      <c r="L2389" s="23"/>
    </row>
    <row r="2390">
      <c r="B2390" s="19"/>
      <c r="E2390" s="23"/>
      <c r="L2390" s="23"/>
    </row>
    <row r="2391">
      <c r="B2391" s="19"/>
      <c r="E2391" s="23"/>
      <c r="L2391" s="23"/>
    </row>
    <row r="2392">
      <c r="B2392" s="19"/>
      <c r="E2392" s="23"/>
      <c r="L2392" s="23"/>
    </row>
    <row r="2393">
      <c r="B2393" s="19"/>
      <c r="E2393" s="23"/>
      <c r="L2393" s="23"/>
    </row>
    <row r="2394">
      <c r="B2394" s="19"/>
      <c r="E2394" s="23"/>
      <c r="L2394" s="23"/>
    </row>
    <row r="2395">
      <c r="B2395" s="19"/>
      <c r="E2395" s="23"/>
      <c r="L2395" s="23"/>
    </row>
    <row r="2396">
      <c r="B2396" s="19"/>
      <c r="E2396" s="23"/>
      <c r="L2396" s="23"/>
    </row>
    <row r="2397">
      <c r="B2397" s="19"/>
      <c r="E2397" s="23"/>
      <c r="L2397" s="23"/>
    </row>
    <row r="2398">
      <c r="B2398" s="19"/>
      <c r="E2398" s="23"/>
      <c r="L2398" s="23"/>
    </row>
    <row r="2399">
      <c r="B2399" s="19"/>
      <c r="E2399" s="23"/>
      <c r="L2399" s="23"/>
    </row>
    <row r="2400">
      <c r="B2400" s="19"/>
      <c r="E2400" s="23"/>
      <c r="L2400" s="23"/>
    </row>
    <row r="2401">
      <c r="B2401" s="19"/>
      <c r="E2401" s="23"/>
      <c r="L2401" s="23"/>
    </row>
    <row r="2402">
      <c r="B2402" s="19"/>
      <c r="E2402" s="23"/>
      <c r="L2402" s="23"/>
    </row>
    <row r="2403">
      <c r="B2403" s="19"/>
      <c r="E2403" s="23"/>
      <c r="L2403" s="23"/>
    </row>
    <row r="2404">
      <c r="B2404" s="19"/>
      <c r="E2404" s="23"/>
      <c r="L2404" s="23"/>
    </row>
    <row r="2405">
      <c r="B2405" s="19"/>
      <c r="E2405" s="23"/>
      <c r="L2405" s="23"/>
    </row>
    <row r="2406">
      <c r="B2406" s="19"/>
      <c r="E2406" s="23"/>
      <c r="L2406" s="23"/>
    </row>
    <row r="2407">
      <c r="B2407" s="19"/>
      <c r="E2407" s="23"/>
      <c r="L2407" s="23"/>
    </row>
    <row r="2408">
      <c r="B2408" s="19"/>
      <c r="E2408" s="23"/>
      <c r="L2408" s="23"/>
    </row>
    <row r="2409">
      <c r="B2409" s="19"/>
      <c r="E2409" s="23"/>
      <c r="L2409" s="23"/>
    </row>
    <row r="2410">
      <c r="B2410" s="19"/>
      <c r="E2410" s="23"/>
      <c r="L2410" s="23"/>
    </row>
    <row r="2411">
      <c r="B2411" s="19"/>
      <c r="E2411" s="23"/>
      <c r="L2411" s="23"/>
    </row>
    <row r="2412">
      <c r="B2412" s="19"/>
      <c r="E2412" s="23"/>
      <c r="L2412" s="23"/>
    </row>
    <row r="2413">
      <c r="B2413" s="19"/>
      <c r="E2413" s="23"/>
      <c r="L2413" s="23"/>
    </row>
    <row r="2414">
      <c r="B2414" s="19"/>
      <c r="E2414" s="23"/>
      <c r="L2414" s="23"/>
    </row>
    <row r="2415">
      <c r="B2415" s="19"/>
      <c r="E2415" s="23"/>
      <c r="L2415" s="23"/>
    </row>
    <row r="2416">
      <c r="B2416" s="19"/>
      <c r="E2416" s="23"/>
      <c r="L2416" s="23"/>
    </row>
    <row r="2417">
      <c r="B2417" s="19"/>
      <c r="E2417" s="23"/>
      <c r="L2417" s="23"/>
    </row>
    <row r="2418">
      <c r="B2418" s="19"/>
      <c r="E2418" s="23"/>
      <c r="L2418" s="23"/>
    </row>
    <row r="2419">
      <c r="B2419" s="19"/>
      <c r="E2419" s="23"/>
      <c r="L2419" s="23"/>
    </row>
    <row r="2420">
      <c r="B2420" s="19"/>
      <c r="E2420" s="23"/>
      <c r="L2420" s="23"/>
    </row>
    <row r="2421">
      <c r="B2421" s="19"/>
      <c r="E2421" s="23"/>
      <c r="L2421" s="23"/>
    </row>
    <row r="2422">
      <c r="B2422" s="19"/>
      <c r="E2422" s="23"/>
      <c r="L2422" s="23"/>
    </row>
    <row r="2423">
      <c r="B2423" s="19"/>
      <c r="E2423" s="23"/>
      <c r="L2423" s="23"/>
    </row>
    <row r="2424">
      <c r="B2424" s="19"/>
      <c r="E2424" s="23"/>
      <c r="L2424" s="23"/>
    </row>
    <row r="2425">
      <c r="B2425" s="19"/>
      <c r="E2425" s="23"/>
      <c r="L2425" s="23"/>
    </row>
    <row r="2426">
      <c r="B2426" s="19"/>
      <c r="E2426" s="23"/>
      <c r="L2426" s="23"/>
    </row>
    <row r="2427">
      <c r="B2427" s="19"/>
      <c r="E2427" s="23"/>
      <c r="L2427" s="23"/>
    </row>
    <row r="2428">
      <c r="B2428" s="19"/>
      <c r="E2428" s="23"/>
      <c r="L2428" s="23"/>
    </row>
    <row r="2429">
      <c r="B2429" s="19"/>
      <c r="E2429" s="23"/>
      <c r="L2429" s="23"/>
    </row>
    <row r="2430">
      <c r="B2430" s="19"/>
      <c r="E2430" s="23"/>
      <c r="L2430" s="23"/>
    </row>
    <row r="2431">
      <c r="B2431" s="19"/>
      <c r="E2431" s="23"/>
      <c r="L2431" s="23"/>
    </row>
    <row r="2432">
      <c r="B2432" s="19"/>
      <c r="E2432" s="23"/>
      <c r="L2432" s="23"/>
    </row>
    <row r="2433">
      <c r="B2433" s="19"/>
      <c r="E2433" s="23"/>
      <c r="L2433" s="23"/>
    </row>
    <row r="2434">
      <c r="B2434" s="19"/>
      <c r="E2434" s="23"/>
      <c r="L2434" s="23"/>
    </row>
    <row r="2435">
      <c r="B2435" s="19"/>
      <c r="E2435" s="23"/>
      <c r="L2435" s="23"/>
    </row>
    <row r="2436">
      <c r="B2436" s="19"/>
      <c r="E2436" s="23"/>
      <c r="L2436" s="23"/>
    </row>
    <row r="2437">
      <c r="B2437" s="19"/>
      <c r="E2437" s="23"/>
      <c r="L2437" s="23"/>
    </row>
    <row r="2438">
      <c r="B2438" s="19"/>
      <c r="E2438" s="23"/>
      <c r="L2438" s="23"/>
    </row>
    <row r="2439">
      <c r="B2439" s="19"/>
      <c r="E2439" s="23"/>
      <c r="L2439" s="23"/>
    </row>
    <row r="2440">
      <c r="B2440" s="19"/>
      <c r="E2440" s="23"/>
      <c r="L2440" s="23"/>
    </row>
    <row r="2441">
      <c r="B2441" s="19"/>
      <c r="E2441" s="23"/>
      <c r="L2441" s="23"/>
    </row>
    <row r="2442">
      <c r="B2442" s="19"/>
      <c r="E2442" s="23"/>
      <c r="L2442" s="23"/>
    </row>
    <row r="2443">
      <c r="B2443" s="19"/>
      <c r="E2443" s="23"/>
      <c r="L2443" s="23"/>
    </row>
    <row r="2444">
      <c r="B2444" s="19"/>
      <c r="E2444" s="23"/>
      <c r="L2444" s="23"/>
    </row>
    <row r="2445">
      <c r="B2445" s="19"/>
      <c r="E2445" s="23"/>
      <c r="L2445" s="23"/>
    </row>
    <row r="2446">
      <c r="B2446" s="19"/>
      <c r="E2446" s="23"/>
      <c r="L2446" s="23"/>
    </row>
    <row r="2447">
      <c r="B2447" s="19"/>
      <c r="E2447" s="23"/>
      <c r="L2447" s="23"/>
    </row>
    <row r="2448">
      <c r="B2448" s="19"/>
      <c r="E2448" s="23"/>
      <c r="L2448" s="23"/>
    </row>
    <row r="2449">
      <c r="B2449" s="19"/>
      <c r="E2449" s="23"/>
      <c r="L2449" s="23"/>
    </row>
    <row r="2450">
      <c r="B2450" s="19"/>
      <c r="E2450" s="23"/>
      <c r="L2450" s="23"/>
    </row>
    <row r="2451">
      <c r="B2451" s="19"/>
      <c r="E2451" s="23"/>
      <c r="L2451" s="23"/>
    </row>
    <row r="2452">
      <c r="B2452" s="19"/>
      <c r="E2452" s="23"/>
      <c r="L2452" s="23"/>
    </row>
    <row r="2453">
      <c r="B2453" s="19"/>
      <c r="E2453" s="23"/>
      <c r="L2453" s="23"/>
    </row>
    <row r="2454">
      <c r="B2454" s="19"/>
      <c r="E2454" s="23"/>
      <c r="L2454" s="23"/>
    </row>
    <row r="2455">
      <c r="B2455" s="19"/>
      <c r="E2455" s="23"/>
      <c r="L2455" s="23"/>
    </row>
    <row r="2456">
      <c r="B2456" s="19"/>
      <c r="E2456" s="23"/>
      <c r="L2456" s="23"/>
    </row>
    <row r="2457">
      <c r="B2457" s="19"/>
      <c r="E2457" s="23"/>
      <c r="L2457" s="23"/>
    </row>
    <row r="2458">
      <c r="B2458" s="19"/>
      <c r="E2458" s="23"/>
      <c r="L2458" s="23"/>
    </row>
    <row r="2459">
      <c r="B2459" s="19"/>
      <c r="E2459" s="23"/>
      <c r="L2459" s="23"/>
    </row>
    <row r="2460">
      <c r="B2460" s="19"/>
      <c r="E2460" s="23"/>
      <c r="L2460" s="23"/>
    </row>
    <row r="2461">
      <c r="B2461" s="19"/>
      <c r="E2461" s="23"/>
      <c r="L2461" s="23"/>
    </row>
    <row r="2462">
      <c r="B2462" s="19"/>
      <c r="E2462" s="23"/>
      <c r="L2462" s="23"/>
    </row>
    <row r="2463">
      <c r="B2463" s="19"/>
      <c r="E2463" s="23"/>
      <c r="L2463" s="23"/>
    </row>
    <row r="2464">
      <c r="B2464" s="19"/>
      <c r="E2464" s="23"/>
      <c r="L2464" s="23"/>
    </row>
    <row r="2465">
      <c r="B2465" s="19"/>
      <c r="E2465" s="23"/>
      <c r="L2465" s="23"/>
    </row>
    <row r="2466">
      <c r="B2466" s="19"/>
      <c r="E2466" s="23"/>
      <c r="L2466" s="23"/>
    </row>
    <row r="2467">
      <c r="B2467" s="19"/>
      <c r="E2467" s="23"/>
      <c r="L2467" s="23"/>
    </row>
    <row r="2468">
      <c r="B2468" s="19"/>
      <c r="E2468" s="23"/>
      <c r="L2468" s="23"/>
    </row>
    <row r="2469">
      <c r="B2469" s="19"/>
      <c r="E2469" s="23"/>
      <c r="L2469" s="23"/>
    </row>
    <row r="2470">
      <c r="B2470" s="19"/>
      <c r="E2470" s="23"/>
      <c r="L2470" s="23"/>
    </row>
    <row r="2471">
      <c r="B2471" s="19"/>
      <c r="E2471" s="23"/>
      <c r="L2471" s="23"/>
    </row>
    <row r="2472">
      <c r="B2472" s="19"/>
      <c r="E2472" s="23"/>
      <c r="L2472" s="23"/>
    </row>
    <row r="2473">
      <c r="B2473" s="19"/>
      <c r="E2473" s="23"/>
      <c r="L2473" s="23"/>
    </row>
    <row r="2474">
      <c r="B2474" s="19"/>
      <c r="E2474" s="23"/>
      <c r="L2474" s="23"/>
    </row>
    <row r="2475">
      <c r="B2475" s="19"/>
      <c r="E2475" s="23"/>
      <c r="L2475" s="23"/>
    </row>
    <row r="2476">
      <c r="B2476" s="19"/>
      <c r="E2476" s="23"/>
      <c r="L2476" s="23"/>
    </row>
    <row r="2477">
      <c r="B2477" s="19"/>
      <c r="E2477" s="23"/>
      <c r="L2477" s="23"/>
    </row>
    <row r="2478">
      <c r="B2478" s="19"/>
      <c r="E2478" s="23"/>
      <c r="L2478" s="23"/>
    </row>
    <row r="2479">
      <c r="B2479" s="19"/>
      <c r="E2479" s="23"/>
      <c r="L2479" s="23"/>
    </row>
    <row r="2480">
      <c r="B2480" s="19"/>
      <c r="E2480" s="23"/>
      <c r="L2480" s="23"/>
    </row>
    <row r="2481">
      <c r="B2481" s="19"/>
      <c r="E2481" s="23"/>
      <c r="L2481" s="23"/>
    </row>
    <row r="2482">
      <c r="B2482" s="19"/>
      <c r="E2482" s="23"/>
      <c r="L2482" s="23"/>
    </row>
    <row r="2483">
      <c r="B2483" s="19"/>
      <c r="E2483" s="23"/>
      <c r="L2483" s="23"/>
    </row>
    <row r="2484">
      <c r="B2484" s="19"/>
      <c r="E2484" s="23"/>
      <c r="L2484" s="23"/>
    </row>
    <row r="2485">
      <c r="B2485" s="19"/>
      <c r="E2485" s="23"/>
      <c r="L2485" s="23"/>
    </row>
    <row r="2486">
      <c r="B2486" s="19"/>
      <c r="E2486" s="23"/>
      <c r="L2486" s="23"/>
    </row>
    <row r="2487">
      <c r="B2487" s="19"/>
      <c r="E2487" s="23"/>
      <c r="L2487" s="23"/>
    </row>
    <row r="2488">
      <c r="B2488" s="19"/>
      <c r="E2488" s="23"/>
      <c r="L2488" s="23"/>
    </row>
    <row r="2489">
      <c r="B2489" s="19"/>
      <c r="E2489" s="23"/>
      <c r="L2489" s="23"/>
    </row>
    <row r="2490">
      <c r="B2490" s="19"/>
      <c r="E2490" s="23"/>
      <c r="L2490" s="23"/>
    </row>
    <row r="2491">
      <c r="B2491" s="19"/>
      <c r="E2491" s="23"/>
      <c r="L2491" s="23"/>
    </row>
    <row r="2492">
      <c r="B2492" s="19"/>
      <c r="E2492" s="23"/>
      <c r="L2492" s="23"/>
    </row>
    <row r="2493">
      <c r="B2493" s="19"/>
      <c r="E2493" s="23"/>
      <c r="L2493" s="23"/>
    </row>
    <row r="2494">
      <c r="B2494" s="19"/>
      <c r="E2494" s="23"/>
      <c r="L2494" s="23"/>
    </row>
    <row r="2495">
      <c r="B2495" s="19"/>
      <c r="E2495" s="23"/>
      <c r="L2495" s="23"/>
    </row>
    <row r="2496">
      <c r="B2496" s="19"/>
      <c r="E2496" s="23"/>
      <c r="L2496" s="23"/>
    </row>
    <row r="2497">
      <c r="B2497" s="19"/>
      <c r="E2497" s="23"/>
      <c r="L2497" s="23"/>
    </row>
    <row r="2498">
      <c r="B2498" s="19"/>
      <c r="E2498" s="23"/>
      <c r="L2498" s="23"/>
    </row>
    <row r="2499">
      <c r="B2499" s="19"/>
      <c r="E2499" s="23"/>
      <c r="L2499" s="23"/>
    </row>
    <row r="2500">
      <c r="B2500" s="19"/>
      <c r="E2500" s="23"/>
      <c r="L2500" s="23"/>
    </row>
    <row r="2501">
      <c r="B2501" s="19"/>
      <c r="E2501" s="23"/>
      <c r="L2501" s="23"/>
    </row>
    <row r="2502">
      <c r="B2502" s="19"/>
      <c r="E2502" s="23"/>
      <c r="L2502" s="23"/>
    </row>
    <row r="2503">
      <c r="B2503" s="19"/>
      <c r="E2503" s="23"/>
      <c r="L2503" s="23"/>
    </row>
    <row r="2504">
      <c r="B2504" s="19"/>
      <c r="E2504" s="23"/>
      <c r="L2504" s="23"/>
    </row>
    <row r="2505">
      <c r="B2505" s="19"/>
      <c r="E2505" s="23"/>
      <c r="L2505" s="23"/>
    </row>
    <row r="2506">
      <c r="B2506" s="19"/>
      <c r="E2506" s="23"/>
      <c r="L2506" s="23"/>
    </row>
    <row r="2507">
      <c r="B2507" s="19"/>
      <c r="E2507" s="23"/>
      <c r="L2507" s="23"/>
    </row>
    <row r="2508">
      <c r="B2508" s="19"/>
      <c r="E2508" s="23"/>
      <c r="L2508" s="23"/>
    </row>
    <row r="2509">
      <c r="B2509" s="19"/>
      <c r="E2509" s="23"/>
      <c r="L2509" s="23"/>
    </row>
    <row r="2510">
      <c r="B2510" s="19"/>
      <c r="E2510" s="23"/>
      <c r="L2510" s="23"/>
    </row>
    <row r="2511">
      <c r="B2511" s="19"/>
      <c r="E2511" s="23"/>
      <c r="L2511" s="23"/>
    </row>
    <row r="2512">
      <c r="B2512" s="19"/>
      <c r="E2512" s="23"/>
      <c r="L2512" s="23"/>
    </row>
    <row r="2513">
      <c r="B2513" s="19"/>
      <c r="E2513" s="23"/>
      <c r="L2513" s="23"/>
    </row>
    <row r="2514">
      <c r="B2514" s="19"/>
      <c r="E2514" s="23"/>
      <c r="L2514" s="23"/>
    </row>
    <row r="2515">
      <c r="B2515" s="19"/>
      <c r="E2515" s="23"/>
      <c r="L2515" s="23"/>
    </row>
    <row r="2516">
      <c r="B2516" s="19"/>
      <c r="E2516" s="23"/>
      <c r="L2516" s="23"/>
    </row>
    <row r="2517">
      <c r="B2517" s="19"/>
      <c r="E2517" s="23"/>
      <c r="L2517" s="23"/>
    </row>
    <row r="2518">
      <c r="B2518" s="19"/>
      <c r="E2518" s="23"/>
      <c r="L2518" s="23"/>
    </row>
    <row r="2519">
      <c r="B2519" s="19"/>
      <c r="E2519" s="23"/>
      <c r="L2519" s="23"/>
    </row>
    <row r="2520">
      <c r="B2520" s="19"/>
      <c r="E2520" s="23"/>
      <c r="L2520" s="23"/>
    </row>
    <row r="2521">
      <c r="B2521" s="19"/>
      <c r="E2521" s="23"/>
      <c r="L2521" s="23"/>
    </row>
    <row r="2522">
      <c r="B2522" s="19"/>
      <c r="E2522" s="23"/>
      <c r="L2522" s="23"/>
    </row>
    <row r="2523">
      <c r="B2523" s="19"/>
      <c r="E2523" s="23"/>
      <c r="L2523" s="23"/>
    </row>
    <row r="2524">
      <c r="B2524" s="19"/>
      <c r="E2524" s="23"/>
      <c r="L2524" s="23"/>
    </row>
    <row r="2525">
      <c r="B2525" s="19"/>
      <c r="E2525" s="23"/>
      <c r="L2525" s="23"/>
    </row>
    <row r="2526">
      <c r="B2526" s="19"/>
      <c r="E2526" s="23"/>
      <c r="L2526" s="23"/>
    </row>
    <row r="2527">
      <c r="B2527" s="19"/>
      <c r="E2527" s="23"/>
      <c r="L2527" s="23"/>
    </row>
    <row r="2528">
      <c r="B2528" s="19"/>
      <c r="E2528" s="23"/>
      <c r="L2528" s="23"/>
    </row>
    <row r="2529">
      <c r="B2529" s="19"/>
      <c r="E2529" s="23"/>
      <c r="L2529" s="23"/>
    </row>
    <row r="2530">
      <c r="B2530" s="19"/>
      <c r="E2530" s="23"/>
      <c r="L2530" s="23"/>
    </row>
    <row r="2531">
      <c r="B2531" s="19"/>
      <c r="E2531" s="23"/>
      <c r="L2531" s="23"/>
    </row>
    <row r="2532">
      <c r="B2532" s="19"/>
      <c r="E2532" s="23"/>
      <c r="L2532" s="23"/>
    </row>
    <row r="2533">
      <c r="B2533" s="19"/>
      <c r="E2533" s="23"/>
      <c r="L2533" s="23"/>
    </row>
    <row r="2534">
      <c r="B2534" s="19"/>
      <c r="E2534" s="23"/>
      <c r="L2534" s="23"/>
    </row>
    <row r="2535">
      <c r="B2535" s="19"/>
      <c r="E2535" s="23"/>
      <c r="L2535" s="23"/>
    </row>
    <row r="2536">
      <c r="B2536" s="19"/>
      <c r="E2536" s="23"/>
      <c r="L2536" s="23"/>
    </row>
    <row r="2537">
      <c r="B2537" s="19"/>
      <c r="E2537" s="23"/>
      <c r="L2537" s="23"/>
    </row>
    <row r="2538">
      <c r="B2538" s="19"/>
      <c r="E2538" s="23"/>
      <c r="L2538" s="23"/>
    </row>
    <row r="2539">
      <c r="B2539" s="19"/>
      <c r="E2539" s="23"/>
      <c r="L2539" s="23"/>
    </row>
    <row r="2540">
      <c r="B2540" s="19"/>
      <c r="E2540" s="23"/>
      <c r="L2540" s="23"/>
    </row>
    <row r="2541">
      <c r="B2541" s="19"/>
      <c r="E2541" s="23"/>
      <c r="L2541" s="23"/>
    </row>
    <row r="2542">
      <c r="B2542" s="19"/>
      <c r="E2542" s="23"/>
      <c r="L2542" s="23"/>
    </row>
    <row r="2543">
      <c r="B2543" s="19"/>
      <c r="E2543" s="23"/>
      <c r="L2543" s="23"/>
    </row>
    <row r="2544">
      <c r="B2544" s="19"/>
      <c r="E2544" s="23"/>
      <c r="L2544" s="23"/>
    </row>
    <row r="2545">
      <c r="B2545" s="19"/>
      <c r="E2545" s="23"/>
      <c r="L2545" s="23"/>
    </row>
    <row r="2546">
      <c r="B2546" s="19"/>
      <c r="E2546" s="23"/>
      <c r="L2546" s="23"/>
    </row>
    <row r="2547">
      <c r="B2547" s="19"/>
      <c r="E2547" s="23"/>
      <c r="L2547" s="23"/>
    </row>
    <row r="2548">
      <c r="B2548" s="19"/>
      <c r="E2548" s="23"/>
      <c r="L2548" s="23"/>
    </row>
    <row r="2549">
      <c r="B2549" s="19"/>
      <c r="E2549" s="23"/>
      <c r="L2549" s="23"/>
    </row>
    <row r="2550">
      <c r="B2550" s="19"/>
      <c r="E2550" s="23"/>
      <c r="L2550" s="23"/>
    </row>
    <row r="2551">
      <c r="B2551" s="19"/>
      <c r="E2551" s="23"/>
      <c r="L2551" s="23"/>
    </row>
    <row r="2552">
      <c r="B2552" s="19"/>
      <c r="E2552" s="23"/>
      <c r="L2552" s="23"/>
    </row>
    <row r="2553">
      <c r="B2553" s="19"/>
      <c r="E2553" s="23"/>
      <c r="L2553" s="23"/>
    </row>
    <row r="2554">
      <c r="B2554" s="19"/>
      <c r="E2554" s="23"/>
      <c r="L2554" s="23"/>
    </row>
    <row r="2555">
      <c r="B2555" s="19"/>
      <c r="E2555" s="23"/>
      <c r="L2555" s="23"/>
    </row>
    <row r="2556">
      <c r="B2556" s="19"/>
      <c r="E2556" s="23"/>
      <c r="L2556" s="23"/>
    </row>
    <row r="2557">
      <c r="B2557" s="19"/>
      <c r="E2557" s="23"/>
      <c r="L2557" s="23"/>
    </row>
    <row r="2558">
      <c r="B2558" s="19"/>
      <c r="E2558" s="23"/>
      <c r="L2558" s="23"/>
    </row>
    <row r="2559">
      <c r="B2559" s="19"/>
      <c r="E2559" s="23"/>
      <c r="L2559" s="23"/>
    </row>
    <row r="2560">
      <c r="B2560" s="19"/>
      <c r="E2560" s="23"/>
      <c r="L2560" s="23"/>
    </row>
    <row r="2561">
      <c r="B2561" s="19"/>
      <c r="E2561" s="23"/>
      <c r="L2561" s="23"/>
    </row>
    <row r="2562">
      <c r="B2562" s="19"/>
      <c r="E2562" s="23"/>
      <c r="L2562" s="23"/>
    </row>
    <row r="2563">
      <c r="B2563" s="19"/>
      <c r="E2563" s="23"/>
      <c r="L2563" s="23"/>
    </row>
    <row r="2564">
      <c r="B2564" s="19"/>
      <c r="E2564" s="23"/>
      <c r="L2564" s="23"/>
    </row>
    <row r="2565">
      <c r="B2565" s="19"/>
      <c r="E2565" s="23"/>
      <c r="L2565" s="23"/>
    </row>
    <row r="2566">
      <c r="B2566" s="19"/>
      <c r="E2566" s="23"/>
      <c r="L2566" s="23"/>
    </row>
    <row r="2567">
      <c r="B2567" s="19"/>
      <c r="E2567" s="23"/>
      <c r="L2567" s="23"/>
    </row>
    <row r="2568">
      <c r="B2568" s="19"/>
      <c r="E2568" s="23"/>
      <c r="L2568" s="23"/>
    </row>
    <row r="2569">
      <c r="B2569" s="19"/>
      <c r="E2569" s="23"/>
      <c r="L2569" s="23"/>
    </row>
    <row r="2570">
      <c r="B2570" s="19"/>
      <c r="E2570" s="23"/>
      <c r="L2570" s="23"/>
    </row>
    <row r="2571">
      <c r="B2571" s="19"/>
      <c r="E2571" s="23"/>
      <c r="L2571" s="23"/>
    </row>
    <row r="2572">
      <c r="B2572" s="19"/>
      <c r="E2572" s="23"/>
      <c r="L2572" s="23"/>
    </row>
    <row r="2573">
      <c r="B2573" s="19"/>
      <c r="E2573" s="23"/>
      <c r="L2573" s="23"/>
    </row>
    <row r="2574">
      <c r="B2574" s="19"/>
      <c r="E2574" s="23"/>
      <c r="L2574" s="23"/>
    </row>
    <row r="2575">
      <c r="B2575" s="19"/>
      <c r="E2575" s="23"/>
      <c r="L2575" s="23"/>
    </row>
    <row r="2576">
      <c r="B2576" s="19"/>
      <c r="E2576" s="23"/>
      <c r="L2576" s="23"/>
    </row>
    <row r="2577">
      <c r="B2577" s="19"/>
      <c r="E2577" s="23"/>
      <c r="L2577" s="23"/>
    </row>
    <row r="2578">
      <c r="B2578" s="19"/>
      <c r="E2578" s="23"/>
      <c r="L2578" s="23"/>
    </row>
    <row r="2579">
      <c r="B2579" s="19"/>
      <c r="E2579" s="23"/>
      <c r="L2579" s="23"/>
    </row>
    <row r="2580">
      <c r="B2580" s="19"/>
      <c r="E2580" s="23"/>
      <c r="L2580" s="23"/>
    </row>
    <row r="2581">
      <c r="B2581" s="19"/>
      <c r="E2581" s="23"/>
      <c r="L2581" s="23"/>
    </row>
    <row r="2582">
      <c r="B2582" s="19"/>
      <c r="E2582" s="23"/>
      <c r="L2582" s="23"/>
    </row>
    <row r="2583">
      <c r="B2583" s="19"/>
      <c r="E2583" s="23"/>
      <c r="L2583" s="23"/>
    </row>
    <row r="2584">
      <c r="B2584" s="19"/>
      <c r="E2584" s="23"/>
      <c r="L2584" s="23"/>
    </row>
    <row r="2585">
      <c r="B2585" s="19"/>
      <c r="E2585" s="23"/>
      <c r="L2585" s="23"/>
    </row>
    <row r="2586">
      <c r="B2586" s="19"/>
      <c r="E2586" s="23"/>
      <c r="L2586" s="23"/>
    </row>
    <row r="2587">
      <c r="B2587" s="19"/>
      <c r="E2587" s="23"/>
      <c r="L2587" s="23"/>
    </row>
    <row r="2588">
      <c r="B2588" s="19"/>
      <c r="E2588" s="23"/>
      <c r="L2588" s="23"/>
    </row>
    <row r="2589">
      <c r="B2589" s="19"/>
      <c r="E2589" s="23"/>
      <c r="L2589" s="23"/>
    </row>
    <row r="2590">
      <c r="B2590" s="19"/>
      <c r="E2590" s="23"/>
      <c r="L2590" s="23"/>
    </row>
    <row r="2591">
      <c r="B2591" s="19"/>
      <c r="E2591" s="23"/>
      <c r="L2591" s="23"/>
    </row>
    <row r="2592">
      <c r="B2592" s="19"/>
      <c r="E2592" s="23"/>
      <c r="L2592" s="23"/>
    </row>
    <row r="2593">
      <c r="B2593" s="19"/>
      <c r="E2593" s="23"/>
      <c r="L2593" s="23"/>
    </row>
    <row r="2594">
      <c r="B2594" s="19"/>
      <c r="E2594" s="23"/>
      <c r="L2594" s="23"/>
    </row>
    <row r="2595">
      <c r="B2595" s="19"/>
      <c r="E2595" s="23"/>
      <c r="L2595" s="23"/>
    </row>
    <row r="2596">
      <c r="B2596" s="19"/>
      <c r="E2596" s="23"/>
      <c r="L2596" s="23"/>
    </row>
    <row r="2597">
      <c r="B2597" s="19"/>
      <c r="E2597" s="23"/>
      <c r="L2597" s="23"/>
    </row>
    <row r="2598">
      <c r="B2598" s="19"/>
      <c r="E2598" s="23"/>
      <c r="L2598" s="23"/>
    </row>
    <row r="2599">
      <c r="B2599" s="19"/>
      <c r="E2599" s="23"/>
      <c r="L2599" s="23"/>
    </row>
    <row r="2600">
      <c r="B2600" s="19"/>
      <c r="E2600" s="23"/>
      <c r="L2600" s="23"/>
    </row>
    <row r="2601">
      <c r="B2601" s="19"/>
      <c r="E2601" s="23"/>
      <c r="L2601" s="23"/>
    </row>
    <row r="2602">
      <c r="B2602" s="19"/>
      <c r="E2602" s="23"/>
      <c r="L2602" s="23"/>
    </row>
    <row r="2603">
      <c r="B2603" s="19"/>
      <c r="E2603" s="23"/>
      <c r="L2603" s="23"/>
    </row>
    <row r="2604">
      <c r="B2604" s="19"/>
      <c r="E2604" s="23"/>
      <c r="L2604" s="23"/>
    </row>
    <row r="2605">
      <c r="B2605" s="19"/>
      <c r="E2605" s="23"/>
      <c r="L2605" s="23"/>
    </row>
    <row r="2606">
      <c r="B2606" s="19"/>
      <c r="E2606" s="23"/>
      <c r="L2606" s="23"/>
    </row>
    <row r="2607">
      <c r="B2607" s="19"/>
      <c r="E2607" s="23"/>
      <c r="L2607" s="23"/>
    </row>
    <row r="2608">
      <c r="B2608" s="19"/>
      <c r="E2608" s="23"/>
      <c r="L2608" s="23"/>
    </row>
    <row r="2609">
      <c r="B2609" s="19"/>
      <c r="E2609" s="23"/>
      <c r="L2609" s="23"/>
    </row>
    <row r="2610">
      <c r="B2610" s="19"/>
      <c r="E2610" s="23"/>
      <c r="L2610" s="23"/>
    </row>
    <row r="2611">
      <c r="B2611" s="19"/>
      <c r="E2611" s="23"/>
      <c r="L2611" s="23"/>
    </row>
    <row r="2612">
      <c r="B2612" s="19"/>
      <c r="E2612" s="23"/>
      <c r="L2612" s="23"/>
    </row>
    <row r="2613">
      <c r="B2613" s="19"/>
      <c r="E2613" s="23"/>
      <c r="L2613" s="23"/>
    </row>
    <row r="2614">
      <c r="B2614" s="19"/>
      <c r="E2614" s="23"/>
      <c r="L2614" s="23"/>
    </row>
    <row r="2615">
      <c r="B2615" s="19"/>
      <c r="E2615" s="23"/>
      <c r="L2615" s="23"/>
    </row>
    <row r="2616">
      <c r="B2616" s="19"/>
      <c r="E2616" s="23"/>
      <c r="L2616" s="23"/>
    </row>
    <row r="2617">
      <c r="B2617" s="19"/>
      <c r="E2617" s="23"/>
      <c r="L2617" s="23"/>
    </row>
    <row r="2618">
      <c r="B2618" s="19"/>
      <c r="E2618" s="23"/>
      <c r="L2618" s="23"/>
    </row>
    <row r="2619">
      <c r="B2619" s="19"/>
      <c r="E2619" s="23"/>
      <c r="L2619" s="23"/>
    </row>
    <row r="2620">
      <c r="B2620" s="19"/>
      <c r="E2620" s="23"/>
      <c r="L2620" s="23"/>
    </row>
    <row r="2621">
      <c r="B2621" s="19"/>
      <c r="E2621" s="23"/>
      <c r="L2621" s="23"/>
    </row>
    <row r="2622">
      <c r="B2622" s="19"/>
      <c r="E2622" s="23"/>
      <c r="L2622" s="23"/>
    </row>
    <row r="2623">
      <c r="B2623" s="19"/>
      <c r="E2623" s="23"/>
      <c r="L2623" s="23"/>
    </row>
    <row r="2624">
      <c r="B2624" s="19"/>
      <c r="E2624" s="23"/>
      <c r="L2624" s="23"/>
    </row>
    <row r="2625">
      <c r="B2625" s="19"/>
      <c r="E2625" s="23"/>
      <c r="L2625" s="23"/>
    </row>
    <row r="2626">
      <c r="B2626" s="19"/>
      <c r="E2626" s="23"/>
      <c r="L2626" s="23"/>
    </row>
    <row r="2627">
      <c r="B2627" s="19"/>
      <c r="E2627" s="23"/>
      <c r="L2627" s="23"/>
    </row>
    <row r="2628">
      <c r="B2628" s="19"/>
      <c r="E2628" s="23"/>
      <c r="L2628" s="23"/>
    </row>
    <row r="2629">
      <c r="B2629" s="19"/>
      <c r="E2629" s="23"/>
      <c r="L2629" s="23"/>
    </row>
    <row r="2630">
      <c r="B2630" s="19"/>
      <c r="E2630" s="23"/>
      <c r="L2630" s="23"/>
    </row>
    <row r="2631">
      <c r="B2631" s="19"/>
      <c r="E2631" s="23"/>
      <c r="L2631" s="23"/>
    </row>
    <row r="2632">
      <c r="B2632" s="19"/>
      <c r="E2632" s="23"/>
      <c r="L2632" s="23"/>
    </row>
    <row r="2633">
      <c r="B2633" s="19"/>
      <c r="E2633" s="23"/>
      <c r="L2633" s="23"/>
    </row>
    <row r="2634">
      <c r="B2634" s="19"/>
      <c r="E2634" s="23"/>
      <c r="L2634" s="23"/>
    </row>
    <row r="2635">
      <c r="B2635" s="19"/>
      <c r="E2635" s="23"/>
      <c r="L2635" s="23"/>
    </row>
    <row r="2636">
      <c r="B2636" s="19"/>
      <c r="E2636" s="23"/>
      <c r="L2636" s="23"/>
    </row>
    <row r="2637">
      <c r="B2637" s="19"/>
      <c r="E2637" s="23"/>
      <c r="L2637" s="23"/>
    </row>
    <row r="2638">
      <c r="B2638" s="19"/>
      <c r="E2638" s="23"/>
      <c r="L2638" s="23"/>
    </row>
    <row r="2639">
      <c r="B2639" s="19"/>
      <c r="E2639" s="23"/>
      <c r="L2639" s="23"/>
    </row>
    <row r="2640">
      <c r="B2640" s="19"/>
      <c r="E2640" s="23"/>
      <c r="L2640" s="23"/>
    </row>
    <row r="2641">
      <c r="B2641" s="19"/>
      <c r="E2641" s="23"/>
      <c r="L2641" s="23"/>
    </row>
    <row r="2642">
      <c r="B2642" s="19"/>
      <c r="E2642" s="23"/>
      <c r="L2642" s="23"/>
    </row>
    <row r="2643">
      <c r="B2643" s="19"/>
      <c r="E2643" s="23"/>
      <c r="L2643" s="23"/>
    </row>
    <row r="2644">
      <c r="B2644" s="19"/>
      <c r="E2644" s="23"/>
      <c r="L2644" s="23"/>
    </row>
    <row r="2645">
      <c r="B2645" s="19"/>
      <c r="E2645" s="23"/>
      <c r="L2645" s="23"/>
    </row>
    <row r="2646">
      <c r="B2646" s="19"/>
      <c r="E2646" s="23"/>
      <c r="L2646" s="23"/>
    </row>
    <row r="2647">
      <c r="B2647" s="19"/>
      <c r="E2647" s="23"/>
      <c r="L2647" s="23"/>
    </row>
    <row r="2648">
      <c r="B2648" s="19"/>
      <c r="E2648" s="23"/>
      <c r="L2648" s="23"/>
    </row>
    <row r="2649">
      <c r="B2649" s="19"/>
      <c r="E2649" s="23"/>
      <c r="L2649" s="23"/>
    </row>
    <row r="2650">
      <c r="B2650" s="19"/>
      <c r="E2650" s="23"/>
      <c r="L2650" s="23"/>
    </row>
    <row r="2651">
      <c r="B2651" s="19"/>
      <c r="E2651" s="23"/>
      <c r="L2651" s="23"/>
    </row>
    <row r="2652">
      <c r="B2652" s="19"/>
      <c r="E2652" s="23"/>
      <c r="L2652" s="23"/>
    </row>
    <row r="2653">
      <c r="B2653" s="19"/>
      <c r="E2653" s="23"/>
      <c r="L2653" s="23"/>
    </row>
    <row r="2654">
      <c r="B2654" s="19"/>
      <c r="E2654" s="23"/>
      <c r="L2654" s="23"/>
    </row>
    <row r="2655">
      <c r="B2655" s="19"/>
      <c r="E2655" s="23"/>
      <c r="L2655" s="23"/>
    </row>
    <row r="2656">
      <c r="B2656" s="19"/>
      <c r="E2656" s="23"/>
      <c r="L2656" s="23"/>
    </row>
    <row r="2657">
      <c r="B2657" s="19"/>
      <c r="E2657" s="23"/>
      <c r="L2657" s="23"/>
    </row>
    <row r="2658">
      <c r="B2658" s="19"/>
      <c r="E2658" s="23"/>
      <c r="L2658" s="23"/>
    </row>
    <row r="2659">
      <c r="B2659" s="19"/>
      <c r="E2659" s="23"/>
      <c r="L2659" s="23"/>
    </row>
    <row r="2660">
      <c r="B2660" s="19"/>
      <c r="E2660" s="23"/>
      <c r="L2660" s="23"/>
    </row>
    <row r="2661">
      <c r="B2661" s="19"/>
      <c r="E2661" s="23"/>
      <c r="L2661" s="23"/>
    </row>
    <row r="2662">
      <c r="B2662" s="19"/>
      <c r="E2662" s="23"/>
      <c r="L2662" s="23"/>
    </row>
    <row r="2663">
      <c r="B2663" s="19"/>
      <c r="E2663" s="23"/>
      <c r="L2663" s="23"/>
    </row>
    <row r="2664">
      <c r="B2664" s="19"/>
      <c r="E2664" s="23"/>
      <c r="L2664" s="23"/>
    </row>
    <row r="2665">
      <c r="B2665" s="19"/>
      <c r="E2665" s="23"/>
      <c r="L2665" s="23"/>
    </row>
    <row r="2666">
      <c r="B2666" s="19"/>
      <c r="E2666" s="23"/>
      <c r="L2666" s="23"/>
    </row>
    <row r="2667">
      <c r="B2667" s="19"/>
      <c r="E2667" s="23"/>
      <c r="L2667" s="23"/>
    </row>
    <row r="2668">
      <c r="B2668" s="19"/>
      <c r="E2668" s="23"/>
      <c r="L2668" s="23"/>
    </row>
    <row r="2669">
      <c r="B2669" s="19"/>
      <c r="E2669" s="23"/>
      <c r="L2669" s="23"/>
    </row>
    <row r="2670">
      <c r="B2670" s="19"/>
      <c r="E2670" s="23"/>
      <c r="L2670" s="23"/>
    </row>
    <row r="2671">
      <c r="B2671" s="19"/>
      <c r="E2671" s="23"/>
      <c r="L2671" s="23"/>
    </row>
    <row r="2672">
      <c r="B2672" s="19"/>
      <c r="E2672" s="23"/>
      <c r="L2672" s="23"/>
    </row>
    <row r="2673">
      <c r="B2673" s="19"/>
      <c r="E2673" s="23"/>
      <c r="L2673" s="23"/>
    </row>
    <row r="2674">
      <c r="B2674" s="19"/>
      <c r="E2674" s="23"/>
      <c r="L2674" s="23"/>
    </row>
    <row r="2675">
      <c r="B2675" s="19"/>
      <c r="E2675" s="23"/>
      <c r="L2675" s="23"/>
    </row>
    <row r="2676">
      <c r="B2676" s="19"/>
      <c r="E2676" s="23"/>
      <c r="L2676" s="23"/>
    </row>
    <row r="2677">
      <c r="B2677" s="19"/>
      <c r="E2677" s="23"/>
      <c r="L2677" s="23"/>
    </row>
    <row r="2678">
      <c r="B2678" s="19"/>
      <c r="E2678" s="23"/>
      <c r="L2678" s="23"/>
    </row>
    <row r="2679">
      <c r="B2679" s="19"/>
      <c r="E2679" s="23"/>
      <c r="L2679" s="23"/>
    </row>
    <row r="2680">
      <c r="B2680" s="19"/>
      <c r="E2680" s="23"/>
      <c r="L2680" s="23"/>
    </row>
    <row r="2681">
      <c r="B2681" s="19"/>
      <c r="E2681" s="23"/>
      <c r="L2681" s="23"/>
    </row>
    <row r="2682">
      <c r="B2682" s="19"/>
      <c r="E2682" s="23"/>
      <c r="L2682" s="23"/>
    </row>
    <row r="2683">
      <c r="B2683" s="19"/>
      <c r="E2683" s="23"/>
      <c r="L2683" s="23"/>
    </row>
    <row r="2684">
      <c r="B2684" s="19"/>
      <c r="E2684" s="23"/>
      <c r="L2684" s="23"/>
    </row>
    <row r="2685">
      <c r="B2685" s="19"/>
      <c r="E2685" s="23"/>
      <c r="L2685" s="23"/>
    </row>
    <row r="2686">
      <c r="B2686" s="19"/>
      <c r="E2686" s="23"/>
      <c r="L2686" s="23"/>
    </row>
    <row r="2687">
      <c r="B2687" s="19"/>
      <c r="E2687" s="23"/>
      <c r="L2687" s="23"/>
    </row>
    <row r="2688">
      <c r="B2688" s="19"/>
      <c r="E2688" s="23"/>
      <c r="L2688" s="23"/>
    </row>
    <row r="2689">
      <c r="B2689" s="19"/>
      <c r="E2689" s="23"/>
      <c r="L2689" s="23"/>
    </row>
    <row r="2690">
      <c r="B2690" s="19"/>
      <c r="E2690" s="23"/>
      <c r="L2690" s="23"/>
    </row>
    <row r="2691">
      <c r="B2691" s="19"/>
      <c r="E2691" s="23"/>
      <c r="L2691" s="23"/>
    </row>
    <row r="2692">
      <c r="B2692" s="19"/>
      <c r="E2692" s="23"/>
      <c r="L2692" s="23"/>
    </row>
    <row r="2693">
      <c r="B2693" s="19"/>
      <c r="E2693" s="23"/>
      <c r="L2693" s="23"/>
    </row>
    <row r="2694">
      <c r="B2694" s="19"/>
      <c r="E2694" s="23"/>
      <c r="L2694" s="23"/>
    </row>
    <row r="2695">
      <c r="B2695" s="19"/>
      <c r="E2695" s="23"/>
      <c r="L2695" s="23"/>
    </row>
    <row r="2696">
      <c r="B2696" s="19"/>
      <c r="E2696" s="23"/>
      <c r="L2696" s="23"/>
    </row>
    <row r="2697">
      <c r="B2697" s="19"/>
      <c r="E2697" s="23"/>
      <c r="L2697" s="23"/>
    </row>
    <row r="2698">
      <c r="B2698" s="19"/>
      <c r="E2698" s="23"/>
      <c r="L2698" s="23"/>
    </row>
    <row r="2699">
      <c r="B2699" s="19"/>
      <c r="E2699" s="23"/>
      <c r="L2699" s="23"/>
    </row>
    <row r="2700">
      <c r="B2700" s="19"/>
      <c r="E2700" s="23"/>
      <c r="L2700" s="23"/>
    </row>
    <row r="2701">
      <c r="B2701" s="19"/>
      <c r="E2701" s="23"/>
      <c r="L2701" s="23"/>
    </row>
    <row r="2702">
      <c r="B2702" s="19"/>
      <c r="E2702" s="23"/>
      <c r="L2702" s="23"/>
    </row>
    <row r="2703">
      <c r="B2703" s="19"/>
      <c r="E2703" s="23"/>
      <c r="L2703" s="23"/>
    </row>
    <row r="2704">
      <c r="B2704" s="19"/>
      <c r="E2704" s="23"/>
      <c r="L2704" s="23"/>
    </row>
    <row r="2705">
      <c r="B2705" s="19"/>
      <c r="E2705" s="23"/>
      <c r="L2705" s="23"/>
    </row>
    <row r="2706">
      <c r="B2706" s="19"/>
      <c r="E2706" s="23"/>
      <c r="L2706" s="23"/>
    </row>
    <row r="2707">
      <c r="B2707" s="19"/>
      <c r="E2707" s="23"/>
      <c r="L2707" s="23"/>
    </row>
    <row r="2708">
      <c r="B2708" s="19"/>
      <c r="E2708" s="23"/>
      <c r="L2708" s="23"/>
    </row>
    <row r="2709">
      <c r="B2709" s="19"/>
      <c r="E2709" s="23"/>
      <c r="L2709" s="23"/>
    </row>
    <row r="2710">
      <c r="B2710" s="19"/>
      <c r="E2710" s="23"/>
      <c r="L2710" s="23"/>
    </row>
    <row r="2711">
      <c r="B2711" s="19"/>
      <c r="E2711" s="23"/>
      <c r="L2711" s="23"/>
    </row>
    <row r="2712">
      <c r="B2712" s="19"/>
      <c r="E2712" s="23"/>
      <c r="L2712" s="23"/>
    </row>
    <row r="2713">
      <c r="B2713" s="19"/>
      <c r="E2713" s="23"/>
      <c r="L2713" s="23"/>
    </row>
    <row r="2714">
      <c r="B2714" s="19"/>
      <c r="E2714" s="23"/>
      <c r="L2714" s="23"/>
    </row>
    <row r="2715">
      <c r="B2715" s="19"/>
      <c r="E2715" s="23"/>
      <c r="L2715" s="23"/>
    </row>
    <row r="2716">
      <c r="B2716" s="19"/>
      <c r="E2716" s="23"/>
      <c r="L2716" s="23"/>
    </row>
    <row r="2717">
      <c r="B2717" s="19"/>
      <c r="E2717" s="23"/>
      <c r="L2717" s="23"/>
    </row>
    <row r="2718">
      <c r="B2718" s="19"/>
      <c r="E2718" s="23"/>
      <c r="L2718" s="23"/>
    </row>
    <row r="2719">
      <c r="B2719" s="19"/>
      <c r="E2719" s="23"/>
      <c r="L2719" s="23"/>
    </row>
    <row r="2720">
      <c r="B2720" s="19"/>
      <c r="E2720" s="23"/>
      <c r="L2720" s="23"/>
    </row>
    <row r="2721">
      <c r="B2721" s="19"/>
      <c r="E2721" s="23"/>
      <c r="L2721" s="23"/>
    </row>
    <row r="2722">
      <c r="B2722" s="19"/>
      <c r="E2722" s="23"/>
      <c r="L2722" s="23"/>
    </row>
    <row r="2723">
      <c r="B2723" s="19"/>
      <c r="E2723" s="23"/>
      <c r="L2723" s="23"/>
    </row>
    <row r="2724">
      <c r="B2724" s="19"/>
      <c r="E2724" s="23"/>
      <c r="L2724" s="23"/>
    </row>
    <row r="2725">
      <c r="B2725" s="19"/>
      <c r="E2725" s="23"/>
      <c r="L2725" s="23"/>
    </row>
    <row r="2726">
      <c r="B2726" s="19"/>
      <c r="E2726" s="23"/>
      <c r="L2726" s="23"/>
    </row>
    <row r="2727">
      <c r="B2727" s="19"/>
      <c r="E2727" s="23"/>
      <c r="L2727" s="23"/>
    </row>
    <row r="2728">
      <c r="B2728" s="19"/>
      <c r="E2728" s="23"/>
      <c r="L2728" s="23"/>
    </row>
    <row r="2729">
      <c r="B2729" s="19"/>
      <c r="E2729" s="23"/>
      <c r="L2729" s="23"/>
    </row>
    <row r="2730">
      <c r="B2730" s="19"/>
      <c r="E2730" s="23"/>
      <c r="L2730" s="23"/>
    </row>
    <row r="2731">
      <c r="B2731" s="19"/>
      <c r="E2731" s="23"/>
      <c r="L2731" s="23"/>
    </row>
    <row r="2732">
      <c r="B2732" s="19"/>
      <c r="E2732" s="23"/>
      <c r="L2732" s="23"/>
    </row>
    <row r="2733">
      <c r="B2733" s="19"/>
      <c r="E2733" s="23"/>
      <c r="L2733" s="23"/>
    </row>
    <row r="2734">
      <c r="B2734" s="19"/>
      <c r="E2734" s="23"/>
      <c r="L2734" s="23"/>
    </row>
    <row r="2735">
      <c r="B2735" s="19"/>
      <c r="E2735" s="23"/>
      <c r="L2735" s="23"/>
    </row>
    <row r="2736">
      <c r="B2736" s="19"/>
      <c r="E2736" s="23"/>
      <c r="L2736" s="23"/>
    </row>
    <row r="2737">
      <c r="B2737" s="19"/>
      <c r="E2737" s="23"/>
      <c r="L2737" s="23"/>
    </row>
    <row r="2738">
      <c r="B2738" s="19"/>
      <c r="E2738" s="23"/>
      <c r="L2738" s="23"/>
    </row>
    <row r="2739">
      <c r="B2739" s="19"/>
      <c r="E2739" s="23"/>
      <c r="L2739" s="23"/>
    </row>
    <row r="2740">
      <c r="B2740" s="19"/>
      <c r="E2740" s="23"/>
      <c r="L2740" s="23"/>
    </row>
    <row r="2741">
      <c r="B2741" s="19"/>
      <c r="E2741" s="23"/>
      <c r="L2741" s="23"/>
    </row>
    <row r="2742">
      <c r="B2742" s="19"/>
      <c r="E2742" s="23"/>
      <c r="L2742" s="23"/>
    </row>
    <row r="2743">
      <c r="B2743" s="19"/>
      <c r="E2743" s="23"/>
      <c r="L2743" s="23"/>
    </row>
    <row r="2744">
      <c r="B2744" s="19"/>
      <c r="E2744" s="23"/>
      <c r="L2744" s="23"/>
    </row>
    <row r="2745">
      <c r="B2745" s="19"/>
      <c r="E2745" s="23"/>
      <c r="L2745" s="23"/>
    </row>
    <row r="2746">
      <c r="B2746" s="19"/>
      <c r="E2746" s="23"/>
      <c r="L2746" s="23"/>
    </row>
    <row r="2747">
      <c r="B2747" s="19"/>
      <c r="E2747" s="23"/>
      <c r="L2747" s="23"/>
    </row>
    <row r="2748">
      <c r="B2748" s="19"/>
      <c r="E2748" s="23"/>
      <c r="L2748" s="23"/>
    </row>
    <row r="2749">
      <c r="B2749" s="19"/>
      <c r="E2749" s="23"/>
      <c r="L2749" s="23"/>
    </row>
    <row r="2750">
      <c r="B2750" s="19"/>
      <c r="E2750" s="23"/>
      <c r="L2750" s="23"/>
    </row>
    <row r="2751">
      <c r="B2751" s="19"/>
      <c r="E2751" s="23"/>
      <c r="L2751" s="23"/>
    </row>
    <row r="2752">
      <c r="B2752" s="19"/>
      <c r="E2752" s="23"/>
      <c r="L2752" s="23"/>
    </row>
    <row r="2753">
      <c r="B2753" s="19"/>
      <c r="E2753" s="23"/>
      <c r="L2753" s="23"/>
    </row>
    <row r="2754">
      <c r="B2754" s="19"/>
      <c r="E2754" s="23"/>
      <c r="L2754" s="23"/>
    </row>
    <row r="2755">
      <c r="B2755" s="19"/>
      <c r="E2755" s="23"/>
      <c r="L2755" s="23"/>
    </row>
    <row r="2756">
      <c r="B2756" s="19"/>
      <c r="E2756" s="23"/>
      <c r="L2756" s="23"/>
    </row>
    <row r="2757">
      <c r="B2757" s="19"/>
      <c r="E2757" s="23"/>
      <c r="L2757" s="23"/>
    </row>
    <row r="2758">
      <c r="B2758" s="19"/>
      <c r="E2758" s="23"/>
      <c r="L2758" s="23"/>
    </row>
    <row r="2759">
      <c r="B2759" s="19"/>
      <c r="E2759" s="23"/>
      <c r="L2759" s="23"/>
    </row>
    <row r="2760">
      <c r="B2760" s="19"/>
      <c r="E2760" s="23"/>
      <c r="L2760" s="23"/>
    </row>
    <row r="2761">
      <c r="B2761" s="19"/>
      <c r="E2761" s="23"/>
      <c r="L2761" s="23"/>
    </row>
    <row r="2762">
      <c r="B2762" s="19"/>
      <c r="E2762" s="23"/>
      <c r="L2762" s="23"/>
    </row>
    <row r="2763">
      <c r="B2763" s="19"/>
      <c r="E2763" s="23"/>
      <c r="L2763" s="23"/>
    </row>
    <row r="2764">
      <c r="B2764" s="19"/>
      <c r="E2764" s="23"/>
      <c r="L2764" s="23"/>
    </row>
    <row r="2765">
      <c r="B2765" s="19"/>
      <c r="E2765" s="23"/>
      <c r="L2765" s="23"/>
    </row>
    <row r="2766">
      <c r="B2766" s="19"/>
      <c r="E2766" s="23"/>
      <c r="L2766" s="23"/>
    </row>
    <row r="2767">
      <c r="B2767" s="19"/>
      <c r="E2767" s="23"/>
      <c r="L2767" s="23"/>
    </row>
    <row r="2768">
      <c r="B2768" s="19"/>
      <c r="E2768" s="23"/>
      <c r="L2768" s="23"/>
    </row>
    <row r="2769">
      <c r="B2769" s="19"/>
      <c r="E2769" s="23"/>
      <c r="L2769" s="23"/>
    </row>
    <row r="2770">
      <c r="B2770" s="19"/>
      <c r="E2770" s="23"/>
      <c r="L2770" s="23"/>
    </row>
    <row r="2771">
      <c r="B2771" s="19"/>
      <c r="E2771" s="23"/>
      <c r="L2771" s="23"/>
    </row>
    <row r="2772">
      <c r="B2772" s="19"/>
      <c r="E2772" s="23"/>
      <c r="L2772" s="23"/>
    </row>
    <row r="2773">
      <c r="B2773" s="19"/>
      <c r="E2773" s="23"/>
      <c r="L2773" s="23"/>
    </row>
    <row r="2774">
      <c r="B2774" s="19"/>
      <c r="E2774" s="23"/>
      <c r="L2774" s="23"/>
    </row>
    <row r="2775">
      <c r="B2775" s="19"/>
      <c r="E2775" s="23"/>
      <c r="L2775" s="23"/>
    </row>
    <row r="2776">
      <c r="B2776" s="19"/>
      <c r="E2776" s="23"/>
      <c r="L2776" s="23"/>
    </row>
    <row r="2777">
      <c r="B2777" s="19"/>
      <c r="E2777" s="23"/>
      <c r="L2777" s="23"/>
    </row>
    <row r="2778">
      <c r="B2778" s="19"/>
      <c r="E2778" s="23"/>
      <c r="L2778" s="23"/>
    </row>
    <row r="2779">
      <c r="B2779" s="19"/>
      <c r="E2779" s="23"/>
      <c r="L2779" s="23"/>
    </row>
    <row r="2780">
      <c r="B2780" s="19"/>
      <c r="E2780" s="23"/>
      <c r="L2780" s="23"/>
    </row>
    <row r="2781">
      <c r="B2781" s="19"/>
      <c r="E2781" s="23"/>
      <c r="L2781" s="23"/>
    </row>
    <row r="2782">
      <c r="B2782" s="19"/>
      <c r="E2782" s="23"/>
      <c r="L2782" s="23"/>
    </row>
    <row r="2783">
      <c r="B2783" s="19"/>
      <c r="E2783" s="23"/>
      <c r="L2783" s="23"/>
    </row>
    <row r="2784">
      <c r="B2784" s="19"/>
      <c r="E2784" s="23"/>
      <c r="L2784" s="23"/>
    </row>
    <row r="2785">
      <c r="B2785" s="19"/>
      <c r="E2785" s="23"/>
      <c r="L2785" s="23"/>
    </row>
    <row r="2786">
      <c r="B2786" s="19"/>
      <c r="E2786" s="23"/>
      <c r="L2786" s="23"/>
    </row>
    <row r="2787">
      <c r="B2787" s="19"/>
      <c r="E2787" s="23"/>
      <c r="L2787" s="23"/>
    </row>
    <row r="2788">
      <c r="B2788" s="19"/>
      <c r="E2788" s="23"/>
      <c r="L2788" s="23"/>
    </row>
    <row r="2789">
      <c r="B2789" s="19"/>
      <c r="E2789" s="23"/>
      <c r="L2789" s="23"/>
    </row>
    <row r="2790">
      <c r="B2790" s="19"/>
      <c r="E2790" s="23"/>
      <c r="L2790" s="23"/>
    </row>
    <row r="2791">
      <c r="B2791" s="19"/>
      <c r="E2791" s="23"/>
      <c r="L2791" s="23"/>
    </row>
    <row r="2792">
      <c r="B2792" s="19"/>
      <c r="E2792" s="23"/>
      <c r="L2792" s="23"/>
    </row>
    <row r="2793">
      <c r="B2793" s="19"/>
      <c r="E2793" s="23"/>
      <c r="L2793" s="23"/>
    </row>
    <row r="2794">
      <c r="B2794" s="19"/>
      <c r="E2794" s="23"/>
      <c r="L2794" s="23"/>
    </row>
    <row r="2795">
      <c r="B2795" s="19"/>
      <c r="E2795" s="23"/>
      <c r="L2795" s="23"/>
    </row>
    <row r="2796">
      <c r="B2796" s="19"/>
      <c r="E2796" s="23"/>
      <c r="L2796" s="23"/>
    </row>
    <row r="2797">
      <c r="B2797" s="19"/>
      <c r="E2797" s="23"/>
      <c r="L2797" s="23"/>
    </row>
    <row r="2798">
      <c r="B2798" s="19"/>
      <c r="E2798" s="23"/>
      <c r="L2798" s="23"/>
    </row>
    <row r="2799">
      <c r="B2799" s="19"/>
      <c r="E2799" s="23"/>
      <c r="L2799" s="23"/>
    </row>
    <row r="2800">
      <c r="B2800" s="19"/>
      <c r="E2800" s="23"/>
      <c r="L2800" s="23"/>
    </row>
    <row r="2801">
      <c r="B2801" s="19"/>
      <c r="E2801" s="23"/>
      <c r="L2801" s="23"/>
    </row>
    <row r="2802">
      <c r="B2802" s="19"/>
      <c r="E2802" s="23"/>
      <c r="L2802" s="23"/>
    </row>
    <row r="2803">
      <c r="B2803" s="19"/>
      <c r="E2803" s="23"/>
      <c r="L2803" s="23"/>
    </row>
    <row r="2804">
      <c r="B2804" s="19"/>
      <c r="E2804" s="23"/>
      <c r="L2804" s="23"/>
    </row>
    <row r="2805">
      <c r="B2805" s="19"/>
      <c r="E2805" s="23"/>
      <c r="L2805" s="23"/>
    </row>
    <row r="2806">
      <c r="B2806" s="19"/>
      <c r="E2806" s="23"/>
      <c r="L2806" s="23"/>
    </row>
    <row r="2807">
      <c r="B2807" s="19"/>
      <c r="E2807" s="23"/>
      <c r="L2807" s="23"/>
    </row>
    <row r="2808">
      <c r="B2808" s="19"/>
      <c r="E2808" s="23"/>
      <c r="L2808" s="23"/>
    </row>
    <row r="2809">
      <c r="B2809" s="19"/>
      <c r="E2809" s="23"/>
      <c r="L2809" s="23"/>
    </row>
    <row r="2810">
      <c r="B2810" s="19"/>
      <c r="E2810" s="23"/>
      <c r="L2810" s="23"/>
    </row>
    <row r="2811">
      <c r="B2811" s="19"/>
      <c r="E2811" s="23"/>
      <c r="L2811" s="23"/>
    </row>
    <row r="2812">
      <c r="B2812" s="19"/>
      <c r="E2812" s="23"/>
      <c r="L2812" s="23"/>
    </row>
    <row r="2813">
      <c r="B2813" s="19"/>
      <c r="E2813" s="23"/>
      <c r="L2813" s="23"/>
    </row>
    <row r="2814">
      <c r="B2814" s="19"/>
      <c r="E2814" s="23"/>
      <c r="L2814" s="23"/>
    </row>
    <row r="2815">
      <c r="B2815" s="19"/>
      <c r="E2815" s="23"/>
      <c r="L2815" s="23"/>
    </row>
    <row r="2816">
      <c r="B2816" s="19"/>
      <c r="E2816" s="23"/>
      <c r="L2816" s="23"/>
    </row>
    <row r="2817">
      <c r="B2817" s="19"/>
      <c r="E2817" s="23"/>
      <c r="L2817" s="23"/>
    </row>
    <row r="2818">
      <c r="B2818" s="19"/>
      <c r="E2818" s="23"/>
      <c r="L2818" s="23"/>
    </row>
    <row r="2819">
      <c r="B2819" s="19"/>
      <c r="E2819" s="23"/>
      <c r="L2819" s="23"/>
    </row>
    <row r="2820">
      <c r="B2820" s="19"/>
      <c r="E2820" s="23"/>
      <c r="L2820" s="23"/>
    </row>
    <row r="2821">
      <c r="B2821" s="19"/>
      <c r="E2821" s="23"/>
      <c r="L2821" s="23"/>
    </row>
    <row r="2822">
      <c r="B2822" s="19"/>
      <c r="E2822" s="23"/>
      <c r="L2822" s="23"/>
    </row>
    <row r="2823">
      <c r="B2823" s="19"/>
      <c r="E2823" s="23"/>
      <c r="L2823" s="23"/>
    </row>
    <row r="2824">
      <c r="B2824" s="19"/>
      <c r="E2824" s="23"/>
      <c r="L2824" s="23"/>
    </row>
    <row r="2825">
      <c r="B2825" s="19"/>
      <c r="E2825" s="23"/>
      <c r="L2825" s="23"/>
    </row>
    <row r="2826">
      <c r="B2826" s="19"/>
      <c r="E2826" s="23"/>
      <c r="L2826" s="23"/>
    </row>
    <row r="2827">
      <c r="B2827" s="19"/>
      <c r="E2827" s="23"/>
      <c r="L2827" s="23"/>
    </row>
    <row r="2828">
      <c r="B2828" s="19"/>
      <c r="E2828" s="23"/>
      <c r="L2828" s="23"/>
    </row>
    <row r="2829">
      <c r="B2829" s="19"/>
      <c r="E2829" s="23"/>
      <c r="L2829" s="23"/>
    </row>
    <row r="2830">
      <c r="B2830" s="19"/>
      <c r="E2830" s="23"/>
      <c r="L2830" s="23"/>
    </row>
    <row r="2831">
      <c r="B2831" s="19"/>
      <c r="E2831" s="23"/>
      <c r="L2831" s="23"/>
    </row>
    <row r="2832">
      <c r="B2832" s="19"/>
      <c r="E2832" s="23"/>
      <c r="L2832" s="23"/>
    </row>
    <row r="2833">
      <c r="B2833" s="19"/>
      <c r="E2833" s="23"/>
      <c r="L2833" s="23"/>
    </row>
    <row r="2834">
      <c r="B2834" s="19"/>
      <c r="E2834" s="23"/>
      <c r="L2834" s="23"/>
    </row>
    <row r="2835">
      <c r="B2835" s="19"/>
      <c r="E2835" s="23"/>
      <c r="L2835" s="23"/>
    </row>
    <row r="2836">
      <c r="B2836" s="19"/>
      <c r="E2836" s="23"/>
      <c r="L2836" s="23"/>
    </row>
    <row r="2837">
      <c r="B2837" s="19"/>
      <c r="E2837" s="23"/>
      <c r="L2837" s="23"/>
    </row>
    <row r="2838">
      <c r="B2838" s="19"/>
      <c r="E2838" s="23"/>
      <c r="L2838" s="23"/>
    </row>
    <row r="2839">
      <c r="B2839" s="19"/>
      <c r="E2839" s="23"/>
      <c r="L2839" s="23"/>
    </row>
    <row r="2840">
      <c r="B2840" s="19"/>
      <c r="E2840" s="23"/>
      <c r="L2840" s="23"/>
    </row>
    <row r="2841">
      <c r="B2841" s="19"/>
      <c r="E2841" s="23"/>
      <c r="L2841" s="23"/>
    </row>
    <row r="2842">
      <c r="B2842" s="19"/>
      <c r="E2842" s="23"/>
      <c r="L2842" s="23"/>
    </row>
    <row r="2843">
      <c r="B2843" s="19"/>
      <c r="E2843" s="23"/>
      <c r="L2843" s="23"/>
    </row>
    <row r="2844">
      <c r="B2844" s="19"/>
      <c r="E2844" s="23"/>
      <c r="L2844" s="23"/>
    </row>
    <row r="2845">
      <c r="B2845" s="19"/>
      <c r="E2845" s="23"/>
      <c r="L2845" s="23"/>
    </row>
    <row r="2846">
      <c r="B2846" s="19"/>
      <c r="E2846" s="23"/>
      <c r="L2846" s="23"/>
    </row>
    <row r="2847">
      <c r="B2847" s="19"/>
      <c r="E2847" s="23"/>
      <c r="L2847" s="23"/>
    </row>
    <row r="2848">
      <c r="B2848" s="19"/>
      <c r="E2848" s="23"/>
      <c r="L2848" s="23"/>
    </row>
    <row r="2849">
      <c r="B2849" s="19"/>
      <c r="E2849" s="23"/>
      <c r="L2849" s="23"/>
    </row>
    <row r="2850">
      <c r="B2850" s="19"/>
      <c r="E2850" s="23"/>
      <c r="L2850" s="23"/>
    </row>
    <row r="2851">
      <c r="B2851" s="19"/>
      <c r="E2851" s="23"/>
      <c r="L2851" s="23"/>
    </row>
    <row r="2852">
      <c r="B2852" s="19"/>
      <c r="E2852" s="23"/>
      <c r="L2852" s="23"/>
    </row>
    <row r="2853">
      <c r="B2853" s="19"/>
      <c r="E2853" s="23"/>
      <c r="L2853" s="23"/>
    </row>
    <row r="2854">
      <c r="B2854" s="19"/>
      <c r="E2854" s="23"/>
      <c r="L2854" s="23"/>
    </row>
    <row r="2855">
      <c r="B2855" s="19"/>
      <c r="E2855" s="23"/>
      <c r="L2855" s="23"/>
    </row>
    <row r="2856">
      <c r="B2856" s="19"/>
      <c r="E2856" s="23"/>
      <c r="L2856" s="23"/>
    </row>
    <row r="2857">
      <c r="B2857" s="19"/>
      <c r="E2857" s="23"/>
      <c r="L2857" s="23"/>
    </row>
    <row r="2858">
      <c r="B2858" s="19"/>
      <c r="E2858" s="23"/>
      <c r="L2858" s="23"/>
    </row>
    <row r="2859">
      <c r="B2859" s="19"/>
      <c r="E2859" s="23"/>
      <c r="L2859" s="23"/>
    </row>
    <row r="2860">
      <c r="B2860" s="19"/>
      <c r="E2860" s="23"/>
      <c r="L2860" s="23"/>
    </row>
    <row r="2861">
      <c r="B2861" s="19"/>
      <c r="E2861" s="23"/>
      <c r="L2861" s="23"/>
    </row>
    <row r="2862">
      <c r="B2862" s="19"/>
      <c r="E2862" s="23"/>
      <c r="L2862" s="23"/>
    </row>
    <row r="2863">
      <c r="B2863" s="19"/>
      <c r="E2863" s="23"/>
      <c r="L2863" s="23"/>
    </row>
    <row r="2864">
      <c r="B2864" s="19"/>
      <c r="E2864" s="23"/>
      <c r="L2864" s="23"/>
    </row>
    <row r="2865">
      <c r="B2865" s="19"/>
      <c r="E2865" s="23"/>
      <c r="L2865" s="23"/>
    </row>
    <row r="2866">
      <c r="B2866" s="19"/>
      <c r="E2866" s="23"/>
      <c r="L2866" s="23"/>
    </row>
    <row r="2867">
      <c r="B2867" s="19"/>
      <c r="E2867" s="23"/>
      <c r="L2867" s="23"/>
    </row>
    <row r="2868">
      <c r="B2868" s="19"/>
      <c r="E2868" s="23"/>
      <c r="L2868" s="23"/>
    </row>
    <row r="2869">
      <c r="B2869" s="19"/>
      <c r="E2869" s="23"/>
      <c r="L2869" s="23"/>
    </row>
    <row r="2870">
      <c r="B2870" s="19"/>
      <c r="E2870" s="23"/>
      <c r="L2870" s="23"/>
    </row>
    <row r="2871">
      <c r="B2871" s="19"/>
      <c r="E2871" s="23"/>
      <c r="L2871" s="23"/>
    </row>
    <row r="2872">
      <c r="B2872" s="19"/>
      <c r="E2872" s="23"/>
      <c r="L2872" s="23"/>
    </row>
    <row r="2873">
      <c r="B2873" s="19"/>
      <c r="E2873" s="23"/>
      <c r="L2873" s="23"/>
    </row>
    <row r="2874">
      <c r="B2874" s="19"/>
      <c r="E2874" s="23"/>
      <c r="L2874" s="23"/>
    </row>
    <row r="2875">
      <c r="B2875" s="19"/>
      <c r="E2875" s="23"/>
      <c r="L2875" s="23"/>
    </row>
    <row r="2876">
      <c r="B2876" s="19"/>
      <c r="E2876" s="23"/>
      <c r="L2876" s="23"/>
    </row>
    <row r="2877">
      <c r="B2877" s="19"/>
      <c r="E2877" s="23"/>
      <c r="L2877" s="23"/>
    </row>
    <row r="2878">
      <c r="B2878" s="19"/>
      <c r="E2878" s="23"/>
      <c r="L2878" s="23"/>
    </row>
    <row r="2879">
      <c r="B2879" s="19"/>
      <c r="E2879" s="23"/>
      <c r="L2879" s="23"/>
    </row>
    <row r="2880">
      <c r="B2880" s="19"/>
      <c r="E2880" s="23"/>
      <c r="L2880" s="23"/>
    </row>
    <row r="2881">
      <c r="B2881" s="19"/>
      <c r="E2881" s="23"/>
      <c r="L2881" s="23"/>
    </row>
    <row r="2882">
      <c r="B2882" s="19"/>
      <c r="E2882" s="23"/>
      <c r="L2882" s="23"/>
    </row>
    <row r="2883">
      <c r="B2883" s="19"/>
      <c r="E2883" s="23"/>
      <c r="L2883" s="23"/>
    </row>
    <row r="2884">
      <c r="B2884" s="19"/>
      <c r="E2884" s="23"/>
      <c r="L2884" s="23"/>
    </row>
    <row r="2885">
      <c r="B2885" s="19"/>
      <c r="E2885" s="23"/>
      <c r="L2885" s="23"/>
    </row>
    <row r="2886">
      <c r="B2886" s="19"/>
      <c r="E2886" s="23"/>
      <c r="L2886" s="23"/>
    </row>
    <row r="2887">
      <c r="B2887" s="19"/>
      <c r="E2887" s="23"/>
      <c r="L2887" s="23"/>
    </row>
    <row r="2888">
      <c r="B2888" s="19"/>
      <c r="E2888" s="23"/>
      <c r="L2888" s="23"/>
    </row>
    <row r="2889">
      <c r="B2889" s="19"/>
      <c r="E2889" s="23"/>
      <c r="L2889" s="23"/>
    </row>
    <row r="2890">
      <c r="B2890" s="19"/>
      <c r="E2890" s="23"/>
      <c r="L2890" s="23"/>
    </row>
    <row r="2891">
      <c r="B2891" s="19"/>
      <c r="E2891" s="23"/>
      <c r="L2891" s="23"/>
    </row>
    <row r="2892">
      <c r="B2892" s="19"/>
      <c r="E2892" s="23"/>
      <c r="L2892" s="23"/>
    </row>
    <row r="2893">
      <c r="B2893" s="19"/>
      <c r="E2893" s="23"/>
      <c r="L2893" s="23"/>
    </row>
    <row r="2894">
      <c r="B2894" s="19"/>
      <c r="E2894" s="23"/>
      <c r="L2894" s="23"/>
    </row>
    <row r="2895">
      <c r="B2895" s="19"/>
      <c r="E2895" s="23"/>
      <c r="L2895" s="23"/>
    </row>
    <row r="2896">
      <c r="B2896" s="19"/>
      <c r="E2896" s="23"/>
      <c r="L2896" s="23"/>
    </row>
    <row r="2897">
      <c r="B2897" s="19"/>
      <c r="E2897" s="23"/>
      <c r="L2897" s="23"/>
    </row>
    <row r="2898">
      <c r="B2898" s="19"/>
      <c r="E2898" s="23"/>
      <c r="L2898" s="23"/>
    </row>
    <row r="2899">
      <c r="B2899" s="19"/>
      <c r="E2899" s="23"/>
      <c r="L2899" s="23"/>
    </row>
    <row r="2900">
      <c r="B2900" s="19"/>
      <c r="E2900" s="23"/>
      <c r="L2900" s="23"/>
    </row>
    <row r="2901">
      <c r="B2901" s="19"/>
      <c r="E2901" s="23"/>
      <c r="L2901" s="23"/>
    </row>
    <row r="2902">
      <c r="B2902" s="19"/>
      <c r="E2902" s="23"/>
      <c r="L2902" s="23"/>
    </row>
    <row r="2903">
      <c r="B2903" s="19"/>
      <c r="E2903" s="23"/>
      <c r="L2903" s="23"/>
    </row>
    <row r="2904">
      <c r="B2904" s="19"/>
      <c r="E2904" s="23"/>
      <c r="L2904" s="23"/>
    </row>
    <row r="2905">
      <c r="B2905" s="19"/>
      <c r="E2905" s="23"/>
      <c r="L2905" s="23"/>
    </row>
    <row r="2906">
      <c r="B2906" s="19"/>
      <c r="E2906" s="23"/>
      <c r="L2906" s="23"/>
    </row>
    <row r="2907">
      <c r="B2907" s="19"/>
      <c r="E2907" s="23"/>
      <c r="L2907" s="23"/>
    </row>
    <row r="2908">
      <c r="B2908" s="19"/>
      <c r="E2908" s="23"/>
      <c r="L2908" s="23"/>
    </row>
    <row r="2909">
      <c r="B2909" s="19"/>
      <c r="E2909" s="23"/>
      <c r="L2909" s="23"/>
    </row>
    <row r="2910">
      <c r="B2910" s="19"/>
      <c r="E2910" s="23"/>
      <c r="L2910" s="23"/>
    </row>
    <row r="2911">
      <c r="B2911" s="19"/>
      <c r="E2911" s="23"/>
      <c r="L2911" s="23"/>
    </row>
    <row r="2912">
      <c r="B2912" s="19"/>
      <c r="E2912" s="23"/>
      <c r="L2912" s="23"/>
    </row>
    <row r="2913">
      <c r="B2913" s="19"/>
      <c r="E2913" s="23"/>
      <c r="L2913" s="23"/>
    </row>
    <row r="2914">
      <c r="B2914" s="19"/>
      <c r="E2914" s="23"/>
      <c r="L2914" s="23"/>
    </row>
    <row r="2915">
      <c r="B2915" s="19"/>
      <c r="E2915" s="23"/>
      <c r="L2915" s="23"/>
    </row>
    <row r="2916">
      <c r="B2916" s="19"/>
      <c r="E2916" s="23"/>
      <c r="L2916" s="23"/>
    </row>
    <row r="2917">
      <c r="B2917" s="19"/>
      <c r="E2917" s="23"/>
      <c r="L2917" s="23"/>
    </row>
    <row r="2918">
      <c r="B2918" s="19"/>
      <c r="E2918" s="23"/>
      <c r="L2918" s="23"/>
    </row>
    <row r="2919">
      <c r="B2919" s="19"/>
      <c r="E2919" s="23"/>
      <c r="L2919" s="23"/>
    </row>
    <row r="2920">
      <c r="B2920" s="19"/>
      <c r="E2920" s="23"/>
      <c r="L2920" s="23"/>
    </row>
    <row r="2921">
      <c r="B2921" s="19"/>
      <c r="E2921" s="23"/>
      <c r="L2921" s="23"/>
    </row>
    <row r="2922">
      <c r="B2922" s="19"/>
      <c r="E2922" s="23"/>
      <c r="L2922" s="23"/>
    </row>
    <row r="2923">
      <c r="B2923" s="19"/>
      <c r="E2923" s="23"/>
      <c r="L2923" s="23"/>
    </row>
    <row r="2924">
      <c r="B2924" s="19"/>
      <c r="E2924" s="23"/>
      <c r="L2924" s="23"/>
    </row>
    <row r="2925">
      <c r="B2925" s="19"/>
      <c r="E2925" s="23"/>
      <c r="L2925" s="23"/>
    </row>
    <row r="2926">
      <c r="B2926" s="19"/>
      <c r="E2926" s="23"/>
      <c r="L2926" s="23"/>
    </row>
    <row r="2927">
      <c r="B2927" s="19"/>
      <c r="E2927" s="23"/>
      <c r="L2927" s="23"/>
    </row>
    <row r="2928">
      <c r="B2928" s="19"/>
      <c r="E2928" s="23"/>
      <c r="L2928" s="23"/>
    </row>
    <row r="2929">
      <c r="B2929" s="19"/>
      <c r="E2929" s="23"/>
      <c r="L2929" s="23"/>
    </row>
    <row r="2930">
      <c r="B2930" s="19"/>
      <c r="E2930" s="23"/>
      <c r="L2930" s="23"/>
    </row>
    <row r="2931">
      <c r="B2931" s="19"/>
      <c r="E2931" s="23"/>
      <c r="L2931" s="23"/>
    </row>
    <row r="2932">
      <c r="B2932" s="19"/>
      <c r="E2932" s="23"/>
      <c r="L2932" s="23"/>
    </row>
    <row r="2933">
      <c r="B2933" s="19"/>
      <c r="E2933" s="23"/>
      <c r="L2933" s="23"/>
    </row>
    <row r="2934">
      <c r="B2934" s="19"/>
      <c r="E2934" s="23"/>
      <c r="L2934" s="23"/>
    </row>
    <row r="2935">
      <c r="B2935" s="19"/>
      <c r="E2935" s="23"/>
      <c r="L2935" s="23"/>
    </row>
    <row r="2936">
      <c r="B2936" s="19"/>
      <c r="E2936" s="23"/>
      <c r="L2936" s="23"/>
    </row>
    <row r="2937">
      <c r="B2937" s="19"/>
      <c r="E2937" s="23"/>
      <c r="L2937" s="23"/>
    </row>
    <row r="2938">
      <c r="B2938" s="19"/>
      <c r="E2938" s="23"/>
      <c r="L2938" s="23"/>
    </row>
    <row r="2939">
      <c r="B2939" s="19"/>
      <c r="E2939" s="23"/>
      <c r="L2939" s="23"/>
    </row>
    <row r="2940">
      <c r="B2940" s="19"/>
      <c r="E2940" s="23"/>
      <c r="L2940" s="23"/>
    </row>
    <row r="2941">
      <c r="B2941" s="19"/>
      <c r="E2941" s="23"/>
      <c r="L2941" s="23"/>
    </row>
    <row r="2942">
      <c r="B2942" s="19"/>
      <c r="E2942" s="23"/>
      <c r="L2942" s="23"/>
    </row>
    <row r="2943">
      <c r="B2943" s="19"/>
      <c r="E2943" s="23"/>
      <c r="L2943" s="23"/>
    </row>
    <row r="2944">
      <c r="B2944" s="19"/>
      <c r="E2944" s="23"/>
      <c r="L2944" s="23"/>
    </row>
    <row r="2945">
      <c r="B2945" s="19"/>
      <c r="E2945" s="23"/>
      <c r="L2945" s="23"/>
    </row>
    <row r="2946">
      <c r="B2946" s="19"/>
      <c r="E2946" s="23"/>
      <c r="L2946" s="23"/>
    </row>
    <row r="2947">
      <c r="B2947" s="19"/>
      <c r="E2947" s="23"/>
      <c r="L2947" s="23"/>
    </row>
    <row r="2948">
      <c r="B2948" s="19"/>
      <c r="E2948" s="23"/>
      <c r="L2948" s="23"/>
    </row>
    <row r="2949">
      <c r="B2949" s="19"/>
      <c r="E2949" s="23"/>
      <c r="L2949" s="23"/>
    </row>
    <row r="2950">
      <c r="B2950" s="19"/>
      <c r="E2950" s="23"/>
      <c r="L2950" s="23"/>
    </row>
    <row r="2951">
      <c r="B2951" s="19"/>
      <c r="E2951" s="23"/>
      <c r="L2951" s="23"/>
    </row>
    <row r="2952">
      <c r="B2952" s="19"/>
      <c r="E2952" s="23"/>
      <c r="L2952" s="23"/>
    </row>
    <row r="2953">
      <c r="B2953" s="19"/>
      <c r="E2953" s="23"/>
      <c r="L2953" s="23"/>
    </row>
    <row r="2954">
      <c r="B2954" s="19"/>
      <c r="E2954" s="23"/>
      <c r="L2954" s="23"/>
    </row>
    <row r="2955">
      <c r="B2955" s="19"/>
      <c r="E2955" s="23"/>
      <c r="L2955" s="23"/>
    </row>
    <row r="2956">
      <c r="B2956" s="19"/>
      <c r="E2956" s="23"/>
      <c r="L2956" s="23"/>
    </row>
    <row r="2957">
      <c r="B2957" s="19"/>
      <c r="E2957" s="23"/>
      <c r="L2957" s="23"/>
    </row>
    <row r="2958">
      <c r="B2958" s="19"/>
      <c r="E2958" s="23"/>
      <c r="L2958" s="23"/>
    </row>
    <row r="2959">
      <c r="B2959" s="19"/>
      <c r="E2959" s="23"/>
      <c r="L2959" s="23"/>
    </row>
    <row r="2960">
      <c r="B2960" s="19"/>
      <c r="E2960" s="23"/>
      <c r="L2960" s="23"/>
    </row>
    <row r="2961">
      <c r="B2961" s="19"/>
      <c r="E2961" s="23"/>
      <c r="L2961" s="23"/>
    </row>
    <row r="2962">
      <c r="B2962" s="19"/>
      <c r="E2962" s="23"/>
      <c r="L2962" s="23"/>
    </row>
    <row r="2963">
      <c r="B2963" s="19"/>
      <c r="E2963" s="23"/>
      <c r="L2963" s="23"/>
    </row>
    <row r="2964">
      <c r="B2964" s="19"/>
      <c r="E2964" s="23"/>
      <c r="L2964" s="23"/>
    </row>
    <row r="2965">
      <c r="B2965" s="19"/>
      <c r="E2965" s="23"/>
      <c r="L2965" s="23"/>
    </row>
    <row r="2966">
      <c r="B2966" s="19"/>
      <c r="E2966" s="23"/>
      <c r="L2966" s="23"/>
    </row>
    <row r="2967">
      <c r="B2967" s="19"/>
      <c r="E2967" s="23"/>
      <c r="L2967" s="23"/>
    </row>
    <row r="2968">
      <c r="B2968" s="19"/>
      <c r="E2968" s="23"/>
      <c r="L2968" s="23"/>
    </row>
    <row r="2969">
      <c r="B2969" s="19"/>
      <c r="E2969" s="23"/>
      <c r="L2969" s="23"/>
    </row>
    <row r="2970">
      <c r="B2970" s="19"/>
      <c r="E2970" s="23"/>
      <c r="L2970" s="23"/>
    </row>
    <row r="2971">
      <c r="B2971" s="19"/>
      <c r="E2971" s="23"/>
      <c r="L2971" s="23"/>
    </row>
    <row r="2972">
      <c r="B2972" s="19"/>
      <c r="E2972" s="23"/>
      <c r="L2972" s="23"/>
    </row>
    <row r="2973">
      <c r="B2973" s="19"/>
      <c r="E2973" s="23"/>
      <c r="L2973" s="23"/>
    </row>
    <row r="2974">
      <c r="B2974" s="19"/>
      <c r="E2974" s="23"/>
      <c r="L2974" s="23"/>
    </row>
    <row r="2975">
      <c r="B2975" s="19"/>
      <c r="E2975" s="23"/>
      <c r="L2975" s="23"/>
    </row>
    <row r="2976">
      <c r="B2976" s="19"/>
      <c r="E2976" s="23"/>
      <c r="L2976" s="23"/>
    </row>
    <row r="2977">
      <c r="B2977" s="19"/>
      <c r="E2977" s="23"/>
      <c r="L2977" s="23"/>
    </row>
    <row r="2978">
      <c r="B2978" s="19"/>
      <c r="E2978" s="23"/>
      <c r="L2978" s="23"/>
    </row>
    <row r="2979">
      <c r="B2979" s="19"/>
      <c r="E2979" s="23"/>
      <c r="L2979" s="23"/>
    </row>
    <row r="2980">
      <c r="B2980" s="19"/>
      <c r="E2980" s="23"/>
      <c r="L2980" s="23"/>
    </row>
    <row r="2981">
      <c r="B2981" s="19"/>
      <c r="E2981" s="23"/>
      <c r="L2981" s="23"/>
    </row>
    <row r="2982">
      <c r="B2982" s="19"/>
      <c r="E2982" s="23"/>
      <c r="L2982" s="23"/>
    </row>
    <row r="2983">
      <c r="B2983" s="19"/>
      <c r="E2983" s="23"/>
      <c r="L2983" s="23"/>
    </row>
    <row r="2984">
      <c r="B2984" s="19"/>
      <c r="E2984" s="23"/>
      <c r="L2984" s="23"/>
    </row>
    <row r="2985">
      <c r="B2985" s="19"/>
      <c r="E2985" s="23"/>
      <c r="L2985" s="23"/>
    </row>
    <row r="2986">
      <c r="B2986" s="19"/>
      <c r="E2986" s="23"/>
      <c r="L2986" s="23"/>
    </row>
    <row r="2987">
      <c r="B2987" s="19"/>
      <c r="E2987" s="23"/>
      <c r="L2987" s="23"/>
    </row>
    <row r="2988">
      <c r="B2988" s="19"/>
      <c r="E2988" s="23"/>
      <c r="L2988" s="23"/>
    </row>
    <row r="2989">
      <c r="B2989" s="19"/>
      <c r="E2989" s="23"/>
      <c r="L2989" s="23"/>
    </row>
    <row r="2990">
      <c r="B2990" s="19"/>
      <c r="E2990" s="23"/>
      <c r="L2990" s="23"/>
    </row>
    <row r="2991">
      <c r="B2991" s="19"/>
      <c r="E2991" s="23"/>
      <c r="L2991" s="23"/>
    </row>
    <row r="2992">
      <c r="B2992" s="19"/>
      <c r="E2992" s="23"/>
      <c r="L2992" s="23"/>
    </row>
    <row r="2993">
      <c r="B2993" s="19"/>
      <c r="E2993" s="23"/>
      <c r="L2993" s="23"/>
    </row>
    <row r="2994">
      <c r="B2994" s="19"/>
      <c r="E2994" s="23"/>
      <c r="L2994" s="23"/>
    </row>
    <row r="2995">
      <c r="B2995" s="19"/>
      <c r="E2995" s="23"/>
      <c r="L2995" s="23"/>
    </row>
    <row r="2996">
      <c r="B2996" s="19"/>
      <c r="E2996" s="23"/>
      <c r="L2996" s="23"/>
    </row>
    <row r="2997">
      <c r="B2997" s="19"/>
      <c r="E2997" s="23"/>
      <c r="L2997" s="23"/>
    </row>
    <row r="2998">
      <c r="B2998" s="19"/>
      <c r="E2998" s="23"/>
      <c r="L2998" s="23"/>
    </row>
    <row r="2999">
      <c r="B2999" s="19"/>
      <c r="E2999" s="23"/>
      <c r="L2999" s="23"/>
    </row>
    <row r="3000">
      <c r="B3000" s="19"/>
      <c r="E3000" s="23"/>
      <c r="L3000" s="23"/>
    </row>
    <row r="3001">
      <c r="B3001" s="19"/>
      <c r="E3001" s="23"/>
      <c r="L3001" s="23"/>
    </row>
    <row r="3002">
      <c r="B3002" s="19"/>
      <c r="E3002" s="23"/>
      <c r="L3002" s="23"/>
    </row>
    <row r="3003">
      <c r="B3003" s="19"/>
      <c r="E3003" s="23"/>
      <c r="L3003" s="23"/>
    </row>
    <row r="3004">
      <c r="B3004" s="19"/>
      <c r="E3004" s="23"/>
      <c r="L3004" s="23"/>
    </row>
    <row r="3005">
      <c r="B3005" s="19"/>
      <c r="E3005" s="23"/>
      <c r="L3005" s="23"/>
    </row>
    <row r="3006">
      <c r="B3006" s="19"/>
      <c r="E3006" s="23"/>
      <c r="L3006" s="23"/>
    </row>
    <row r="3007">
      <c r="B3007" s="19"/>
      <c r="E3007" s="23"/>
      <c r="L3007" s="23"/>
    </row>
    <row r="3008">
      <c r="B3008" s="19"/>
      <c r="E3008" s="23"/>
      <c r="L3008" s="23"/>
    </row>
    <row r="3009">
      <c r="B3009" s="19"/>
      <c r="E3009" s="23"/>
      <c r="L3009" s="23"/>
    </row>
    <row r="3010">
      <c r="B3010" s="19"/>
      <c r="E3010" s="23"/>
      <c r="L3010" s="23"/>
    </row>
    <row r="3011">
      <c r="B3011" s="19"/>
      <c r="E3011" s="23"/>
      <c r="L3011" s="23"/>
    </row>
    <row r="3012">
      <c r="B3012" s="19"/>
      <c r="E3012" s="23"/>
      <c r="L3012" s="23"/>
    </row>
    <row r="3013">
      <c r="B3013" s="19"/>
      <c r="E3013" s="23"/>
      <c r="L3013" s="23"/>
    </row>
    <row r="3014">
      <c r="B3014" s="19"/>
      <c r="E3014" s="23"/>
      <c r="L3014" s="23"/>
    </row>
    <row r="3015">
      <c r="B3015" s="19"/>
      <c r="E3015" s="23"/>
      <c r="L3015" s="23"/>
    </row>
    <row r="3016">
      <c r="B3016" s="19"/>
      <c r="E3016" s="23"/>
      <c r="L3016" s="23"/>
    </row>
    <row r="3017">
      <c r="B3017" s="19"/>
      <c r="E3017" s="23"/>
      <c r="L3017" s="23"/>
    </row>
    <row r="3018">
      <c r="B3018" s="19"/>
      <c r="E3018" s="23"/>
      <c r="L3018" s="23"/>
    </row>
    <row r="3019">
      <c r="B3019" s="19"/>
      <c r="E3019" s="23"/>
      <c r="L3019" s="23"/>
    </row>
    <row r="3020">
      <c r="B3020" s="19"/>
      <c r="E3020" s="23"/>
      <c r="L3020" s="23"/>
    </row>
    <row r="3021">
      <c r="B3021" s="19"/>
      <c r="E3021" s="23"/>
      <c r="L3021" s="23"/>
    </row>
    <row r="3022">
      <c r="B3022" s="19"/>
      <c r="E3022" s="23"/>
      <c r="L3022" s="23"/>
    </row>
    <row r="3023">
      <c r="B3023" s="19"/>
      <c r="E3023" s="23"/>
      <c r="L3023" s="23"/>
    </row>
    <row r="3024">
      <c r="B3024" s="19"/>
      <c r="E3024" s="23"/>
      <c r="L3024" s="23"/>
    </row>
    <row r="3025">
      <c r="B3025" s="19"/>
      <c r="E3025" s="23"/>
      <c r="L3025" s="23"/>
    </row>
    <row r="3026">
      <c r="B3026" s="19"/>
      <c r="E3026" s="23"/>
      <c r="L3026" s="23"/>
    </row>
    <row r="3027">
      <c r="B3027" s="19"/>
      <c r="E3027" s="23"/>
      <c r="L3027" s="23"/>
    </row>
    <row r="3028">
      <c r="B3028" s="19"/>
      <c r="E3028" s="23"/>
      <c r="L3028" s="23"/>
    </row>
    <row r="3029">
      <c r="B3029" s="19"/>
      <c r="E3029" s="23"/>
      <c r="L3029" s="23"/>
    </row>
    <row r="3030">
      <c r="B3030" s="19"/>
      <c r="E3030" s="23"/>
      <c r="L3030" s="23"/>
    </row>
    <row r="3031">
      <c r="B3031" s="19"/>
      <c r="E3031" s="23"/>
      <c r="L3031" s="23"/>
    </row>
    <row r="3032">
      <c r="B3032" s="19"/>
      <c r="E3032" s="23"/>
      <c r="L3032" s="23"/>
    </row>
    <row r="3033">
      <c r="B3033" s="19"/>
      <c r="E3033" s="23"/>
      <c r="L3033" s="23"/>
    </row>
    <row r="3034">
      <c r="B3034" s="19"/>
      <c r="E3034" s="23"/>
      <c r="L3034" s="23"/>
    </row>
    <row r="3035">
      <c r="B3035" s="19"/>
      <c r="E3035" s="23"/>
      <c r="L3035" s="23"/>
    </row>
    <row r="3036">
      <c r="B3036" s="19"/>
      <c r="E3036" s="23"/>
      <c r="L3036" s="23"/>
    </row>
    <row r="3037">
      <c r="B3037" s="19"/>
      <c r="E3037" s="23"/>
      <c r="L3037" s="23"/>
    </row>
    <row r="3038">
      <c r="B3038" s="19"/>
      <c r="E3038" s="23"/>
      <c r="L3038" s="23"/>
    </row>
    <row r="3039">
      <c r="B3039" s="19"/>
      <c r="E3039" s="23"/>
      <c r="L3039" s="23"/>
    </row>
    <row r="3040">
      <c r="B3040" s="19"/>
      <c r="E3040" s="23"/>
      <c r="L3040" s="23"/>
    </row>
    <row r="3041">
      <c r="B3041" s="19"/>
      <c r="E3041" s="23"/>
      <c r="L3041" s="23"/>
    </row>
    <row r="3042">
      <c r="B3042" s="19"/>
      <c r="E3042" s="23"/>
      <c r="L3042" s="23"/>
    </row>
    <row r="3043">
      <c r="B3043" s="19"/>
      <c r="E3043" s="23"/>
      <c r="L3043" s="23"/>
    </row>
    <row r="3044">
      <c r="B3044" s="19"/>
      <c r="E3044" s="23"/>
      <c r="L3044" s="23"/>
    </row>
    <row r="3045">
      <c r="B3045" s="19"/>
      <c r="E3045" s="23"/>
      <c r="L3045" s="23"/>
    </row>
    <row r="3046">
      <c r="B3046" s="19"/>
      <c r="E3046" s="23"/>
      <c r="L3046" s="23"/>
    </row>
    <row r="3047">
      <c r="B3047" s="19"/>
      <c r="E3047" s="23"/>
      <c r="L3047" s="23"/>
    </row>
    <row r="3048">
      <c r="B3048" s="19"/>
      <c r="E3048" s="23"/>
      <c r="L3048" s="23"/>
    </row>
    <row r="3049">
      <c r="B3049" s="19"/>
      <c r="E3049" s="23"/>
      <c r="L3049" s="23"/>
    </row>
    <row r="3050">
      <c r="B3050" s="19"/>
      <c r="E3050" s="23"/>
      <c r="L3050" s="23"/>
    </row>
    <row r="3051">
      <c r="B3051" s="19"/>
      <c r="E3051" s="23"/>
      <c r="L3051" s="23"/>
    </row>
    <row r="3052">
      <c r="B3052" s="19"/>
      <c r="E3052" s="23"/>
      <c r="L3052" s="23"/>
    </row>
    <row r="3053">
      <c r="B3053" s="19"/>
      <c r="E3053" s="23"/>
      <c r="L3053" s="23"/>
    </row>
    <row r="3054">
      <c r="B3054" s="19"/>
      <c r="E3054" s="23"/>
      <c r="L3054" s="23"/>
    </row>
    <row r="3055">
      <c r="B3055" s="19"/>
      <c r="E3055" s="23"/>
      <c r="L3055" s="23"/>
    </row>
    <row r="3056">
      <c r="B3056" s="19"/>
      <c r="E3056" s="23"/>
      <c r="L3056" s="23"/>
    </row>
    <row r="3057">
      <c r="B3057" s="19"/>
      <c r="E3057" s="23"/>
      <c r="L3057" s="23"/>
    </row>
    <row r="3058">
      <c r="B3058" s="19"/>
      <c r="E3058" s="23"/>
      <c r="L3058" s="23"/>
    </row>
    <row r="3059">
      <c r="B3059" s="19"/>
      <c r="E3059" s="23"/>
      <c r="L3059" s="23"/>
    </row>
    <row r="3060">
      <c r="B3060" s="19"/>
      <c r="E3060" s="23"/>
      <c r="L3060" s="23"/>
    </row>
    <row r="3061">
      <c r="B3061" s="19"/>
      <c r="E3061" s="23"/>
      <c r="L3061" s="23"/>
    </row>
    <row r="3062">
      <c r="B3062" s="19"/>
      <c r="E3062" s="23"/>
      <c r="L3062" s="23"/>
    </row>
    <row r="3063">
      <c r="B3063" s="19"/>
      <c r="E3063" s="23"/>
      <c r="L3063" s="23"/>
    </row>
    <row r="3064">
      <c r="B3064" s="19"/>
      <c r="E3064" s="23"/>
      <c r="L3064" s="23"/>
    </row>
    <row r="3065">
      <c r="B3065" s="19"/>
      <c r="E3065" s="23"/>
      <c r="L3065" s="23"/>
    </row>
    <row r="3066">
      <c r="B3066" s="19"/>
      <c r="E3066" s="23"/>
      <c r="L3066" s="23"/>
    </row>
    <row r="3067">
      <c r="B3067" s="19"/>
      <c r="E3067" s="23"/>
      <c r="L3067" s="23"/>
    </row>
    <row r="3068">
      <c r="B3068" s="19"/>
      <c r="E3068" s="23"/>
      <c r="L3068" s="23"/>
    </row>
    <row r="3069">
      <c r="B3069" s="19"/>
      <c r="E3069" s="23"/>
      <c r="L3069" s="23"/>
    </row>
    <row r="3070">
      <c r="B3070" s="19"/>
      <c r="E3070" s="23"/>
      <c r="L3070" s="23"/>
    </row>
    <row r="3071">
      <c r="B3071" s="19"/>
      <c r="E3071" s="23"/>
      <c r="L3071" s="23"/>
    </row>
    <row r="3072">
      <c r="B3072" s="19"/>
      <c r="E3072" s="23"/>
      <c r="L3072" s="23"/>
    </row>
    <row r="3073">
      <c r="B3073" s="19"/>
      <c r="E3073" s="23"/>
      <c r="L3073" s="23"/>
    </row>
    <row r="3074">
      <c r="B3074" s="19"/>
      <c r="E3074" s="23"/>
      <c r="L3074" s="23"/>
    </row>
    <row r="3075">
      <c r="B3075" s="19"/>
      <c r="E3075" s="23"/>
      <c r="L3075" s="23"/>
    </row>
    <row r="3076">
      <c r="B3076" s="19"/>
      <c r="E3076" s="23"/>
      <c r="L3076" s="23"/>
    </row>
    <row r="3077">
      <c r="B3077" s="19"/>
      <c r="E3077" s="23"/>
      <c r="L3077" s="23"/>
    </row>
    <row r="3078">
      <c r="B3078" s="19"/>
      <c r="E3078" s="23"/>
      <c r="L3078" s="23"/>
    </row>
    <row r="3079">
      <c r="B3079" s="19"/>
      <c r="E3079" s="23"/>
      <c r="L3079" s="23"/>
    </row>
    <row r="3080">
      <c r="B3080" s="19"/>
      <c r="E3080" s="23"/>
      <c r="L3080" s="23"/>
    </row>
    <row r="3081">
      <c r="B3081" s="19"/>
      <c r="E3081" s="23"/>
      <c r="L3081" s="23"/>
    </row>
    <row r="3082">
      <c r="B3082" s="19"/>
      <c r="E3082" s="23"/>
      <c r="L3082" s="23"/>
    </row>
    <row r="3083">
      <c r="B3083" s="19"/>
      <c r="E3083" s="23"/>
      <c r="L3083" s="23"/>
    </row>
    <row r="3084">
      <c r="B3084" s="19"/>
      <c r="E3084" s="23"/>
      <c r="L3084" s="23"/>
    </row>
    <row r="3085">
      <c r="B3085" s="19"/>
      <c r="E3085" s="23"/>
      <c r="L3085" s="23"/>
    </row>
    <row r="3086">
      <c r="B3086" s="19"/>
      <c r="E3086" s="23"/>
      <c r="L3086" s="23"/>
    </row>
    <row r="3087">
      <c r="B3087" s="19"/>
      <c r="E3087" s="23"/>
      <c r="L3087" s="23"/>
    </row>
    <row r="3088">
      <c r="B3088" s="19"/>
      <c r="E3088" s="23"/>
      <c r="L3088" s="23"/>
    </row>
    <row r="3089">
      <c r="B3089" s="19"/>
      <c r="E3089" s="23"/>
      <c r="L3089" s="23"/>
    </row>
    <row r="3090">
      <c r="B3090" s="19"/>
      <c r="E3090" s="23"/>
      <c r="L3090" s="23"/>
    </row>
    <row r="3091">
      <c r="B3091" s="19"/>
      <c r="E3091" s="23"/>
      <c r="L3091" s="23"/>
    </row>
    <row r="3092">
      <c r="B3092" s="19"/>
      <c r="E3092" s="23"/>
      <c r="L3092" s="23"/>
    </row>
    <row r="3093">
      <c r="B3093" s="19"/>
      <c r="E3093" s="23"/>
      <c r="L3093" s="23"/>
    </row>
    <row r="3094">
      <c r="B3094" s="19"/>
      <c r="E3094" s="23"/>
      <c r="L3094" s="23"/>
    </row>
    <row r="3095">
      <c r="B3095" s="19"/>
      <c r="E3095" s="23"/>
      <c r="L3095" s="23"/>
    </row>
    <row r="3096">
      <c r="B3096" s="19"/>
      <c r="E3096" s="23"/>
      <c r="L3096" s="23"/>
    </row>
    <row r="3097">
      <c r="B3097" s="19"/>
      <c r="E3097" s="23"/>
      <c r="L3097" s="23"/>
    </row>
    <row r="3098">
      <c r="B3098" s="19"/>
      <c r="E3098" s="23"/>
      <c r="L3098" s="23"/>
    </row>
    <row r="3099">
      <c r="B3099" s="19"/>
      <c r="E3099" s="23"/>
      <c r="L3099" s="23"/>
    </row>
    <row r="3100">
      <c r="B3100" s="19"/>
      <c r="E3100" s="23"/>
      <c r="L3100" s="23"/>
    </row>
    <row r="3101">
      <c r="B3101" s="19"/>
      <c r="E3101" s="23"/>
      <c r="L3101" s="23"/>
    </row>
    <row r="3102">
      <c r="B3102" s="19"/>
      <c r="E3102" s="23"/>
      <c r="L3102" s="23"/>
    </row>
    <row r="3103">
      <c r="B3103" s="19"/>
      <c r="E3103" s="23"/>
      <c r="L3103" s="23"/>
    </row>
    <row r="3104">
      <c r="B3104" s="19"/>
      <c r="E3104" s="23"/>
      <c r="L3104" s="23"/>
    </row>
    <row r="3105">
      <c r="B3105" s="19"/>
      <c r="E3105" s="23"/>
      <c r="L3105" s="23"/>
    </row>
    <row r="3106">
      <c r="B3106" s="19"/>
      <c r="E3106" s="23"/>
      <c r="L3106" s="23"/>
    </row>
    <row r="3107">
      <c r="B3107" s="19"/>
      <c r="E3107" s="23"/>
      <c r="L3107" s="23"/>
    </row>
    <row r="3108">
      <c r="B3108" s="19"/>
      <c r="E3108" s="23"/>
      <c r="L3108" s="23"/>
    </row>
    <row r="3109">
      <c r="B3109" s="19"/>
      <c r="E3109" s="23"/>
      <c r="L3109" s="23"/>
    </row>
    <row r="3110">
      <c r="B3110" s="19"/>
      <c r="E3110" s="23"/>
      <c r="L3110" s="23"/>
    </row>
    <row r="3111">
      <c r="B3111" s="19"/>
      <c r="E3111" s="23"/>
      <c r="L3111" s="23"/>
    </row>
    <row r="3112">
      <c r="B3112" s="19"/>
      <c r="E3112" s="23"/>
      <c r="L3112" s="23"/>
    </row>
    <row r="3113">
      <c r="B3113" s="19"/>
      <c r="E3113" s="23"/>
      <c r="L3113" s="23"/>
    </row>
    <row r="3114">
      <c r="B3114" s="19"/>
      <c r="E3114" s="23"/>
      <c r="L3114" s="23"/>
    </row>
    <row r="3115">
      <c r="B3115" s="19"/>
      <c r="E3115" s="23"/>
      <c r="L3115" s="23"/>
    </row>
    <row r="3116">
      <c r="B3116" s="19"/>
      <c r="E3116" s="23"/>
      <c r="L3116" s="23"/>
    </row>
    <row r="3117">
      <c r="B3117" s="19"/>
      <c r="E3117" s="23"/>
      <c r="L3117" s="23"/>
    </row>
    <row r="3118">
      <c r="B3118" s="19"/>
      <c r="E3118" s="23"/>
      <c r="L3118" s="23"/>
    </row>
    <row r="3119">
      <c r="B3119" s="19"/>
      <c r="E3119" s="23"/>
      <c r="L3119" s="23"/>
    </row>
    <row r="3120">
      <c r="B3120" s="19"/>
      <c r="E3120" s="23"/>
      <c r="L3120" s="23"/>
    </row>
    <row r="3121">
      <c r="B3121" s="19"/>
      <c r="E3121" s="23"/>
      <c r="L3121" s="23"/>
    </row>
    <row r="3122">
      <c r="B3122" s="19"/>
      <c r="E3122" s="23"/>
      <c r="L3122" s="23"/>
    </row>
    <row r="3123">
      <c r="B3123" s="19"/>
      <c r="E3123" s="23"/>
      <c r="L3123" s="23"/>
    </row>
    <row r="3124">
      <c r="B3124" s="19"/>
      <c r="E3124" s="23"/>
      <c r="L3124" s="23"/>
    </row>
    <row r="3125">
      <c r="B3125" s="19"/>
      <c r="E3125" s="23"/>
      <c r="L3125" s="23"/>
    </row>
    <row r="3126">
      <c r="B3126" s="19"/>
      <c r="E3126" s="23"/>
      <c r="L3126" s="23"/>
    </row>
    <row r="3127">
      <c r="B3127" s="19"/>
      <c r="E3127" s="23"/>
      <c r="L3127" s="23"/>
    </row>
    <row r="3128">
      <c r="B3128" s="19"/>
      <c r="E3128" s="23"/>
      <c r="L3128" s="23"/>
    </row>
    <row r="3129">
      <c r="B3129" s="19"/>
      <c r="E3129" s="23"/>
      <c r="L3129" s="23"/>
    </row>
    <row r="3130">
      <c r="B3130" s="19"/>
      <c r="E3130" s="23"/>
      <c r="L3130" s="23"/>
    </row>
    <row r="3131">
      <c r="B3131" s="19"/>
      <c r="E3131" s="23"/>
      <c r="L3131" s="23"/>
    </row>
    <row r="3132">
      <c r="B3132" s="19"/>
      <c r="E3132" s="23"/>
      <c r="L3132" s="23"/>
    </row>
    <row r="3133">
      <c r="B3133" s="19"/>
      <c r="E3133" s="23"/>
      <c r="L3133" s="23"/>
    </row>
    <row r="3134">
      <c r="B3134" s="19"/>
      <c r="E3134" s="23"/>
      <c r="L3134" s="23"/>
    </row>
    <row r="3135">
      <c r="B3135" s="19"/>
      <c r="E3135" s="23"/>
      <c r="L3135" s="23"/>
    </row>
    <row r="3136">
      <c r="B3136" s="19"/>
      <c r="E3136" s="23"/>
      <c r="L3136" s="23"/>
    </row>
    <row r="3137">
      <c r="B3137" s="19"/>
      <c r="E3137" s="23"/>
      <c r="L3137" s="23"/>
    </row>
    <row r="3138">
      <c r="B3138" s="19"/>
      <c r="E3138" s="23"/>
      <c r="L3138" s="23"/>
    </row>
    <row r="3139">
      <c r="B3139" s="19"/>
      <c r="E3139" s="23"/>
      <c r="L3139" s="23"/>
    </row>
    <row r="3140">
      <c r="B3140" s="19"/>
      <c r="E3140" s="23"/>
      <c r="L3140" s="23"/>
    </row>
    <row r="3141">
      <c r="B3141" s="19"/>
      <c r="E3141" s="23"/>
      <c r="L3141" s="23"/>
    </row>
    <row r="3142">
      <c r="B3142" s="19"/>
      <c r="E3142" s="23"/>
      <c r="L3142" s="23"/>
    </row>
    <row r="3143">
      <c r="B3143" s="19"/>
      <c r="E3143" s="23"/>
      <c r="L3143" s="23"/>
    </row>
    <row r="3144">
      <c r="B3144" s="19"/>
      <c r="E3144" s="23"/>
      <c r="L3144" s="23"/>
    </row>
    <row r="3145">
      <c r="B3145" s="19"/>
      <c r="E3145" s="23"/>
      <c r="L3145" s="23"/>
    </row>
    <row r="3146">
      <c r="B3146" s="19"/>
      <c r="E3146" s="23"/>
      <c r="L3146" s="23"/>
    </row>
    <row r="3147">
      <c r="B3147" s="19"/>
      <c r="E3147" s="23"/>
      <c r="L3147" s="23"/>
    </row>
    <row r="3148">
      <c r="B3148" s="19"/>
      <c r="E3148" s="23"/>
      <c r="L3148" s="23"/>
    </row>
    <row r="3149">
      <c r="B3149" s="19"/>
      <c r="E3149" s="23"/>
      <c r="L3149" s="23"/>
    </row>
    <row r="3150">
      <c r="B3150" s="19"/>
      <c r="E3150" s="23"/>
      <c r="L3150" s="23"/>
    </row>
    <row r="3151">
      <c r="B3151" s="19"/>
      <c r="E3151" s="23"/>
      <c r="L3151" s="23"/>
    </row>
    <row r="3152">
      <c r="B3152" s="19"/>
      <c r="E3152" s="23"/>
      <c r="L3152" s="23"/>
    </row>
    <row r="3153">
      <c r="B3153" s="19"/>
      <c r="E3153" s="23"/>
      <c r="L3153" s="23"/>
    </row>
    <row r="3154">
      <c r="B3154" s="19"/>
      <c r="E3154" s="23"/>
      <c r="L3154" s="23"/>
    </row>
    <row r="3155">
      <c r="B3155" s="19"/>
      <c r="E3155" s="23"/>
      <c r="L3155" s="23"/>
    </row>
    <row r="3156">
      <c r="B3156" s="19"/>
      <c r="E3156" s="23"/>
      <c r="L3156" s="23"/>
    </row>
    <row r="3157">
      <c r="B3157" s="19"/>
      <c r="E3157" s="23"/>
      <c r="L3157" s="23"/>
    </row>
    <row r="3158">
      <c r="B3158" s="19"/>
      <c r="E3158" s="23"/>
      <c r="L3158" s="23"/>
    </row>
    <row r="3159">
      <c r="B3159" s="19"/>
      <c r="E3159" s="23"/>
      <c r="L3159" s="23"/>
    </row>
    <row r="3160">
      <c r="B3160" s="19"/>
      <c r="E3160" s="23"/>
      <c r="L3160" s="23"/>
    </row>
    <row r="3161">
      <c r="B3161" s="19"/>
      <c r="E3161" s="23"/>
      <c r="L3161" s="23"/>
    </row>
    <row r="3162">
      <c r="B3162" s="19"/>
      <c r="E3162" s="23"/>
      <c r="L3162" s="23"/>
    </row>
    <row r="3163">
      <c r="B3163" s="19"/>
      <c r="E3163" s="23"/>
      <c r="L3163" s="23"/>
    </row>
    <row r="3164">
      <c r="B3164" s="19"/>
      <c r="E3164" s="23"/>
      <c r="L3164" s="23"/>
    </row>
    <row r="3165">
      <c r="B3165" s="19"/>
      <c r="E3165" s="23"/>
      <c r="L3165" s="23"/>
    </row>
    <row r="3166">
      <c r="B3166" s="19"/>
      <c r="E3166" s="23"/>
      <c r="L3166" s="23"/>
    </row>
    <row r="3167">
      <c r="B3167" s="19"/>
      <c r="E3167" s="23"/>
      <c r="L3167" s="23"/>
    </row>
    <row r="3168">
      <c r="B3168" s="19"/>
      <c r="E3168" s="23"/>
      <c r="L3168" s="23"/>
    </row>
    <row r="3169">
      <c r="B3169" s="19"/>
      <c r="E3169" s="23"/>
      <c r="L3169" s="23"/>
    </row>
    <row r="3170">
      <c r="B3170" s="19"/>
      <c r="E3170" s="23"/>
      <c r="L3170" s="23"/>
    </row>
    <row r="3171">
      <c r="B3171" s="19"/>
      <c r="E3171" s="23"/>
      <c r="L3171" s="23"/>
    </row>
    <row r="3172">
      <c r="B3172" s="19"/>
      <c r="E3172" s="23"/>
      <c r="L3172" s="23"/>
    </row>
    <row r="3173">
      <c r="B3173" s="19"/>
      <c r="E3173" s="23"/>
      <c r="L3173" s="23"/>
    </row>
    <row r="3174">
      <c r="B3174" s="19"/>
      <c r="E3174" s="23"/>
      <c r="L3174" s="23"/>
    </row>
    <row r="3175">
      <c r="B3175" s="19"/>
      <c r="E3175" s="23"/>
      <c r="L3175" s="23"/>
    </row>
    <row r="3176">
      <c r="B3176" s="19"/>
      <c r="E3176" s="23"/>
      <c r="L3176" s="23"/>
    </row>
    <row r="3177">
      <c r="B3177" s="19"/>
      <c r="E3177" s="23"/>
      <c r="L3177" s="23"/>
    </row>
    <row r="3178">
      <c r="B3178" s="19"/>
      <c r="E3178" s="23"/>
      <c r="L3178" s="23"/>
    </row>
    <row r="3179">
      <c r="B3179" s="19"/>
      <c r="E3179" s="23"/>
      <c r="L3179" s="23"/>
    </row>
    <row r="3180">
      <c r="B3180" s="19"/>
      <c r="E3180" s="23"/>
      <c r="L3180" s="23"/>
    </row>
    <row r="3181">
      <c r="B3181" s="19"/>
      <c r="E3181" s="23"/>
      <c r="L3181" s="23"/>
    </row>
    <row r="3182">
      <c r="B3182" s="19"/>
      <c r="E3182" s="23"/>
      <c r="L3182" s="23"/>
    </row>
    <row r="3183">
      <c r="B3183" s="19"/>
      <c r="E3183" s="23"/>
      <c r="L3183" s="23"/>
    </row>
    <row r="3184">
      <c r="B3184" s="19"/>
      <c r="E3184" s="23"/>
      <c r="L3184" s="23"/>
    </row>
    <row r="3185">
      <c r="B3185" s="19"/>
      <c r="E3185" s="23"/>
      <c r="L3185" s="23"/>
    </row>
    <row r="3186">
      <c r="B3186" s="19"/>
      <c r="E3186" s="23"/>
      <c r="L3186" s="23"/>
    </row>
    <row r="3187">
      <c r="B3187" s="19"/>
      <c r="E3187" s="23"/>
      <c r="L3187" s="23"/>
    </row>
    <row r="3188">
      <c r="B3188" s="19"/>
      <c r="E3188" s="23"/>
      <c r="L3188" s="23"/>
    </row>
    <row r="3189">
      <c r="B3189" s="19"/>
      <c r="E3189" s="23"/>
      <c r="L3189" s="23"/>
    </row>
    <row r="3190">
      <c r="B3190" s="19"/>
      <c r="E3190" s="23"/>
      <c r="L3190" s="23"/>
    </row>
    <row r="3191">
      <c r="B3191" s="19"/>
      <c r="E3191" s="23"/>
      <c r="L3191" s="23"/>
    </row>
    <row r="3192">
      <c r="B3192" s="19"/>
      <c r="E3192" s="23"/>
      <c r="L3192" s="23"/>
    </row>
    <row r="3193">
      <c r="B3193" s="19"/>
      <c r="E3193" s="23"/>
      <c r="L3193" s="23"/>
    </row>
    <row r="3194">
      <c r="B3194" s="19"/>
      <c r="E3194" s="23"/>
      <c r="L3194" s="23"/>
    </row>
    <row r="3195">
      <c r="B3195" s="19"/>
      <c r="E3195" s="23"/>
      <c r="L3195" s="23"/>
    </row>
    <row r="3196">
      <c r="B3196" s="19"/>
      <c r="E3196" s="23"/>
      <c r="L3196" s="23"/>
    </row>
    <row r="3197">
      <c r="B3197" s="19"/>
      <c r="E3197" s="23"/>
      <c r="L3197" s="23"/>
    </row>
    <row r="3198">
      <c r="B3198" s="19"/>
      <c r="E3198" s="23"/>
      <c r="L3198" s="23"/>
    </row>
    <row r="3199">
      <c r="B3199" s="19"/>
      <c r="E3199" s="23"/>
      <c r="L3199" s="23"/>
    </row>
    <row r="3200">
      <c r="B3200" s="19"/>
      <c r="E3200" s="23"/>
      <c r="L3200" s="23"/>
    </row>
    <row r="3201">
      <c r="B3201" s="19"/>
      <c r="E3201" s="23"/>
      <c r="L3201" s="23"/>
    </row>
    <row r="3202">
      <c r="B3202" s="19"/>
      <c r="E3202" s="23"/>
      <c r="L3202" s="23"/>
    </row>
    <row r="3203">
      <c r="B3203" s="19"/>
      <c r="E3203" s="23"/>
      <c r="L3203" s="23"/>
    </row>
    <row r="3204">
      <c r="B3204" s="19"/>
      <c r="E3204" s="23"/>
      <c r="L3204" s="23"/>
    </row>
    <row r="3205">
      <c r="B3205" s="19"/>
      <c r="E3205" s="23"/>
      <c r="L3205" s="23"/>
    </row>
    <row r="3206">
      <c r="B3206" s="19"/>
      <c r="E3206" s="23"/>
      <c r="L3206" s="23"/>
    </row>
    <row r="3207">
      <c r="B3207" s="19"/>
      <c r="E3207" s="23"/>
      <c r="L3207" s="23"/>
    </row>
    <row r="3208">
      <c r="B3208" s="19"/>
      <c r="E3208" s="23"/>
      <c r="L3208" s="23"/>
    </row>
    <row r="3209">
      <c r="B3209" s="19"/>
      <c r="E3209" s="23"/>
      <c r="L3209" s="23"/>
    </row>
    <row r="3210">
      <c r="B3210" s="19"/>
      <c r="E3210" s="23"/>
      <c r="L3210" s="23"/>
    </row>
    <row r="3211">
      <c r="B3211" s="19"/>
      <c r="E3211" s="23"/>
      <c r="L3211" s="23"/>
    </row>
    <row r="3212">
      <c r="B3212" s="19"/>
      <c r="E3212" s="23"/>
      <c r="L3212" s="23"/>
    </row>
    <row r="3213">
      <c r="B3213" s="19"/>
      <c r="E3213" s="23"/>
      <c r="L3213" s="23"/>
    </row>
    <row r="3214">
      <c r="B3214" s="19"/>
      <c r="E3214" s="23"/>
      <c r="L3214" s="23"/>
    </row>
    <row r="3215">
      <c r="B3215" s="19"/>
      <c r="E3215" s="23"/>
      <c r="L3215" s="23"/>
    </row>
    <row r="3216">
      <c r="B3216" s="19"/>
      <c r="E3216" s="23"/>
      <c r="L3216" s="23"/>
    </row>
    <row r="3217">
      <c r="B3217" s="19"/>
      <c r="E3217" s="23"/>
      <c r="L3217" s="23"/>
    </row>
    <row r="3218">
      <c r="B3218" s="19"/>
      <c r="E3218" s="23"/>
      <c r="L3218" s="23"/>
    </row>
    <row r="3219">
      <c r="B3219" s="19"/>
      <c r="E3219" s="23"/>
      <c r="L3219" s="23"/>
    </row>
    <row r="3220">
      <c r="B3220" s="19"/>
      <c r="E3220" s="23"/>
      <c r="L3220" s="23"/>
    </row>
    <row r="3221">
      <c r="B3221" s="19"/>
      <c r="E3221" s="23"/>
      <c r="L3221" s="23"/>
    </row>
    <row r="3222">
      <c r="B3222" s="19"/>
      <c r="E3222" s="23"/>
      <c r="L3222" s="23"/>
    </row>
    <row r="3223">
      <c r="B3223" s="19"/>
      <c r="E3223" s="23"/>
      <c r="L3223" s="23"/>
    </row>
    <row r="3224">
      <c r="B3224" s="19"/>
      <c r="E3224" s="23"/>
      <c r="L3224" s="23"/>
    </row>
    <row r="3225">
      <c r="B3225" s="19"/>
      <c r="E3225" s="23"/>
      <c r="L3225" s="23"/>
    </row>
    <row r="3226">
      <c r="B3226" s="19"/>
      <c r="E3226" s="23"/>
      <c r="L3226" s="23"/>
    </row>
    <row r="3227">
      <c r="B3227" s="19"/>
      <c r="E3227" s="23"/>
      <c r="L3227" s="23"/>
    </row>
    <row r="3228">
      <c r="B3228" s="19"/>
      <c r="E3228" s="23"/>
      <c r="L3228" s="23"/>
    </row>
    <row r="3229">
      <c r="B3229" s="19"/>
      <c r="E3229" s="23"/>
      <c r="L3229" s="23"/>
    </row>
    <row r="3230">
      <c r="B3230" s="19"/>
      <c r="E3230" s="23"/>
      <c r="L3230" s="23"/>
    </row>
    <row r="3231">
      <c r="B3231" s="19"/>
      <c r="E3231" s="23"/>
      <c r="L3231" s="23"/>
    </row>
    <row r="3232">
      <c r="B3232" s="19"/>
      <c r="E3232" s="23"/>
      <c r="L3232" s="23"/>
    </row>
    <row r="3233">
      <c r="B3233" s="19"/>
      <c r="E3233" s="23"/>
      <c r="L3233" s="23"/>
    </row>
    <row r="3234">
      <c r="B3234" s="19"/>
      <c r="E3234" s="23"/>
      <c r="L3234" s="23"/>
    </row>
    <row r="3235">
      <c r="B3235" s="19"/>
      <c r="E3235" s="23"/>
      <c r="L3235" s="23"/>
    </row>
    <row r="3236">
      <c r="B3236" s="19"/>
      <c r="E3236" s="23"/>
      <c r="L3236" s="23"/>
    </row>
    <row r="3237">
      <c r="B3237" s="19"/>
      <c r="E3237" s="23"/>
      <c r="L3237" s="23"/>
    </row>
    <row r="3238">
      <c r="B3238" s="19"/>
      <c r="E3238" s="23"/>
      <c r="L3238" s="23"/>
    </row>
    <row r="3239">
      <c r="B3239" s="19"/>
      <c r="E3239" s="23"/>
      <c r="L3239" s="23"/>
    </row>
    <row r="3240">
      <c r="B3240" s="19"/>
      <c r="E3240" s="23"/>
      <c r="L3240" s="23"/>
    </row>
    <row r="3241">
      <c r="B3241" s="19"/>
      <c r="E3241" s="23"/>
      <c r="L3241" s="23"/>
    </row>
    <row r="3242">
      <c r="B3242" s="19"/>
      <c r="E3242" s="23"/>
      <c r="L3242" s="23"/>
    </row>
    <row r="3243">
      <c r="B3243" s="19"/>
      <c r="E3243" s="23"/>
      <c r="L3243" s="23"/>
    </row>
    <row r="3244">
      <c r="B3244" s="19"/>
      <c r="E3244" s="23"/>
      <c r="L3244" s="23"/>
    </row>
    <row r="3245">
      <c r="B3245" s="19"/>
      <c r="E3245" s="23"/>
      <c r="L3245" s="23"/>
    </row>
    <row r="3246">
      <c r="B3246" s="19"/>
      <c r="E3246" s="23"/>
      <c r="L3246" s="23"/>
    </row>
    <row r="3247">
      <c r="B3247" s="19"/>
      <c r="E3247" s="23"/>
      <c r="L3247" s="23"/>
    </row>
    <row r="3248">
      <c r="B3248" s="19"/>
      <c r="E3248" s="23"/>
      <c r="L3248" s="23"/>
    </row>
    <row r="3249">
      <c r="B3249" s="19"/>
      <c r="E3249" s="23"/>
      <c r="L3249" s="23"/>
    </row>
    <row r="3250">
      <c r="B3250" s="19"/>
      <c r="E3250" s="23"/>
      <c r="L3250" s="23"/>
    </row>
    <row r="3251">
      <c r="B3251" s="19"/>
      <c r="E3251" s="23"/>
      <c r="L3251" s="23"/>
    </row>
    <row r="3252">
      <c r="B3252" s="19"/>
      <c r="E3252" s="23"/>
      <c r="L3252" s="23"/>
    </row>
    <row r="3253">
      <c r="B3253" s="19"/>
      <c r="E3253" s="23"/>
      <c r="L3253" s="23"/>
    </row>
    <row r="3254">
      <c r="B3254" s="19"/>
      <c r="E3254" s="23"/>
      <c r="L3254" s="23"/>
    </row>
    <row r="3255">
      <c r="B3255" s="19"/>
      <c r="E3255" s="23"/>
      <c r="L3255" s="23"/>
    </row>
    <row r="3256">
      <c r="B3256" s="19"/>
      <c r="E3256" s="23"/>
      <c r="L3256" s="23"/>
    </row>
    <row r="3257">
      <c r="B3257" s="19"/>
      <c r="E3257" s="23"/>
      <c r="L3257" s="23"/>
    </row>
    <row r="3258">
      <c r="B3258" s="19"/>
      <c r="E3258" s="23"/>
      <c r="L3258" s="23"/>
    </row>
    <row r="3259">
      <c r="B3259" s="19"/>
      <c r="E3259" s="23"/>
      <c r="L3259" s="23"/>
    </row>
    <row r="3260">
      <c r="B3260" s="19"/>
      <c r="E3260" s="23"/>
      <c r="L3260" s="23"/>
    </row>
    <row r="3261">
      <c r="B3261" s="19"/>
      <c r="E3261" s="23"/>
      <c r="L3261" s="23"/>
    </row>
    <row r="3262">
      <c r="B3262" s="19"/>
      <c r="E3262" s="23"/>
      <c r="L3262" s="23"/>
    </row>
    <row r="3263">
      <c r="B3263" s="19"/>
      <c r="E3263" s="23"/>
      <c r="L3263" s="23"/>
    </row>
    <row r="3264">
      <c r="B3264" s="19"/>
      <c r="E3264" s="23"/>
      <c r="L3264" s="23"/>
    </row>
    <row r="3265">
      <c r="B3265" s="19"/>
      <c r="E3265" s="23"/>
      <c r="L3265" s="23"/>
    </row>
    <row r="3266">
      <c r="B3266" s="19"/>
      <c r="E3266" s="23"/>
      <c r="L3266" s="23"/>
    </row>
    <row r="3267">
      <c r="B3267" s="19"/>
      <c r="E3267" s="23"/>
      <c r="L3267" s="23"/>
    </row>
    <row r="3268">
      <c r="B3268" s="19"/>
      <c r="E3268" s="23"/>
      <c r="L3268" s="23"/>
    </row>
    <row r="3269">
      <c r="B3269" s="19"/>
      <c r="E3269" s="23"/>
      <c r="L3269" s="23"/>
    </row>
    <row r="3270">
      <c r="B3270" s="19"/>
      <c r="E3270" s="23"/>
      <c r="L3270" s="23"/>
    </row>
    <row r="3271">
      <c r="B3271" s="19"/>
      <c r="E3271" s="23"/>
      <c r="L3271" s="23"/>
    </row>
    <row r="3272">
      <c r="B3272" s="19"/>
      <c r="E3272" s="23"/>
      <c r="L3272" s="23"/>
    </row>
    <row r="3273">
      <c r="B3273" s="19"/>
      <c r="E3273" s="23"/>
      <c r="L3273" s="23"/>
    </row>
    <row r="3274">
      <c r="B3274" s="19"/>
      <c r="E3274" s="23"/>
      <c r="L3274" s="23"/>
    </row>
    <row r="3275">
      <c r="B3275" s="19"/>
      <c r="E3275" s="23"/>
      <c r="L3275" s="23"/>
    </row>
    <row r="3276">
      <c r="B3276" s="19"/>
      <c r="E3276" s="23"/>
      <c r="L3276" s="23"/>
    </row>
    <row r="3277">
      <c r="B3277" s="19"/>
      <c r="E3277" s="23"/>
      <c r="L3277" s="23"/>
    </row>
    <row r="3278">
      <c r="B3278" s="19"/>
      <c r="E3278" s="23"/>
      <c r="L3278" s="23"/>
    </row>
    <row r="3279">
      <c r="B3279" s="19"/>
      <c r="E3279" s="23"/>
      <c r="L3279" s="23"/>
    </row>
    <row r="3280">
      <c r="B3280" s="19"/>
      <c r="E3280" s="23"/>
      <c r="L3280" s="23"/>
    </row>
    <row r="3281">
      <c r="B3281" s="19"/>
      <c r="E3281" s="23"/>
      <c r="L3281" s="23"/>
    </row>
    <row r="3282">
      <c r="B3282" s="19"/>
      <c r="E3282" s="23"/>
      <c r="L3282" s="23"/>
    </row>
    <row r="3283">
      <c r="B3283" s="19"/>
      <c r="E3283" s="23"/>
      <c r="L3283" s="23"/>
    </row>
    <row r="3284">
      <c r="B3284" s="19"/>
      <c r="E3284" s="23"/>
      <c r="L3284" s="23"/>
    </row>
    <row r="3285">
      <c r="B3285" s="19"/>
      <c r="E3285" s="23"/>
      <c r="L3285" s="23"/>
    </row>
    <row r="3286">
      <c r="B3286" s="19"/>
      <c r="E3286" s="23"/>
      <c r="L3286" s="23"/>
    </row>
    <row r="3287">
      <c r="B3287" s="19"/>
      <c r="E3287" s="23"/>
      <c r="L3287" s="23"/>
    </row>
    <row r="3288">
      <c r="B3288" s="19"/>
      <c r="E3288" s="23"/>
      <c r="L3288" s="23"/>
    </row>
    <row r="3289">
      <c r="B3289" s="19"/>
      <c r="E3289" s="23"/>
      <c r="L3289" s="23"/>
    </row>
    <row r="3290">
      <c r="B3290" s="19"/>
      <c r="E3290" s="23"/>
      <c r="L3290" s="23"/>
    </row>
    <row r="3291">
      <c r="B3291" s="19"/>
      <c r="E3291" s="23"/>
      <c r="L3291" s="23"/>
    </row>
    <row r="3292">
      <c r="B3292" s="19"/>
      <c r="E3292" s="23"/>
      <c r="L3292" s="23"/>
    </row>
    <row r="3293">
      <c r="B3293" s="19"/>
      <c r="E3293" s="23"/>
      <c r="L3293" s="23"/>
    </row>
    <row r="3294">
      <c r="B3294" s="19"/>
      <c r="E3294" s="23"/>
      <c r="L3294" s="23"/>
    </row>
    <row r="3295">
      <c r="B3295" s="19"/>
      <c r="E3295" s="23"/>
      <c r="L3295" s="23"/>
    </row>
    <row r="3296">
      <c r="B3296" s="19"/>
      <c r="E3296" s="23"/>
      <c r="L3296" s="23"/>
    </row>
    <row r="3297">
      <c r="B3297" s="19"/>
      <c r="E3297" s="23"/>
      <c r="L3297" s="23"/>
    </row>
    <row r="3298">
      <c r="B3298" s="19"/>
      <c r="E3298" s="23"/>
      <c r="L3298" s="23"/>
    </row>
    <row r="3299">
      <c r="B3299" s="19"/>
      <c r="E3299" s="23"/>
      <c r="L3299" s="23"/>
    </row>
    <row r="3300">
      <c r="B3300" s="19"/>
      <c r="E3300" s="23"/>
      <c r="L3300" s="23"/>
    </row>
    <row r="3301">
      <c r="B3301" s="19"/>
      <c r="E3301" s="23"/>
      <c r="L3301" s="23"/>
    </row>
    <row r="3302">
      <c r="B3302" s="19"/>
      <c r="E3302" s="23"/>
      <c r="L3302" s="23"/>
    </row>
    <row r="3303">
      <c r="B3303" s="19"/>
      <c r="E3303" s="23"/>
      <c r="L3303" s="23"/>
    </row>
    <row r="3304">
      <c r="B3304" s="19"/>
      <c r="E3304" s="23"/>
      <c r="L3304" s="23"/>
    </row>
    <row r="3305">
      <c r="B3305" s="19"/>
      <c r="E3305" s="23"/>
      <c r="L3305" s="23"/>
    </row>
    <row r="3306">
      <c r="B3306" s="19"/>
      <c r="E3306" s="23"/>
      <c r="L3306" s="23"/>
    </row>
    <row r="3307">
      <c r="B3307" s="19"/>
      <c r="E3307" s="23"/>
      <c r="L3307" s="23"/>
    </row>
    <row r="3308">
      <c r="B3308" s="19"/>
      <c r="E3308" s="23"/>
      <c r="L3308" s="23"/>
    </row>
    <row r="3309">
      <c r="B3309" s="19"/>
      <c r="E3309" s="23"/>
      <c r="L3309" s="23"/>
    </row>
    <row r="3310">
      <c r="B3310" s="19"/>
      <c r="E3310" s="23"/>
      <c r="L3310" s="23"/>
    </row>
    <row r="3311">
      <c r="B3311" s="19"/>
      <c r="E3311" s="23"/>
      <c r="L3311" s="23"/>
    </row>
    <row r="3312">
      <c r="B3312" s="19"/>
      <c r="E3312" s="23"/>
      <c r="L3312" s="23"/>
    </row>
    <row r="3313">
      <c r="B3313" s="19"/>
      <c r="E3313" s="23"/>
      <c r="L3313" s="23"/>
    </row>
    <row r="3314">
      <c r="B3314" s="19"/>
      <c r="E3314" s="23"/>
      <c r="L3314" s="23"/>
    </row>
    <row r="3315">
      <c r="B3315" s="19"/>
      <c r="E3315" s="23"/>
      <c r="L3315" s="23"/>
    </row>
    <row r="3316">
      <c r="B3316" s="19"/>
      <c r="E3316" s="23"/>
      <c r="L3316" s="23"/>
    </row>
    <row r="3317">
      <c r="B3317" s="19"/>
      <c r="E3317" s="23"/>
      <c r="L3317" s="23"/>
    </row>
    <row r="3318">
      <c r="B3318" s="19"/>
      <c r="E3318" s="23"/>
      <c r="L3318" s="23"/>
    </row>
    <row r="3319">
      <c r="B3319" s="19"/>
      <c r="E3319" s="23"/>
      <c r="L3319" s="23"/>
    </row>
    <row r="3320">
      <c r="B3320" s="19"/>
      <c r="E3320" s="23"/>
      <c r="L3320" s="23"/>
    </row>
    <row r="3321">
      <c r="B3321" s="19"/>
      <c r="E3321" s="23"/>
      <c r="L3321" s="23"/>
    </row>
    <row r="3322">
      <c r="B3322" s="19"/>
      <c r="E3322" s="23"/>
      <c r="L3322" s="23"/>
    </row>
    <row r="3323">
      <c r="B3323" s="19"/>
      <c r="E3323" s="23"/>
      <c r="L3323" s="23"/>
    </row>
    <row r="3324">
      <c r="B3324" s="19"/>
      <c r="E3324" s="23"/>
      <c r="L3324" s="23"/>
    </row>
    <row r="3325">
      <c r="B3325" s="19"/>
      <c r="E3325" s="23"/>
      <c r="L3325" s="23"/>
    </row>
    <row r="3326">
      <c r="B3326" s="19"/>
      <c r="E3326" s="23"/>
      <c r="L3326" s="23"/>
    </row>
    <row r="3327">
      <c r="B3327" s="19"/>
      <c r="E3327" s="23"/>
      <c r="L3327" s="23"/>
    </row>
    <row r="3328">
      <c r="B3328" s="19"/>
      <c r="E3328" s="23"/>
      <c r="L3328" s="23"/>
    </row>
    <row r="3329">
      <c r="B3329" s="19"/>
      <c r="E3329" s="23"/>
      <c r="L3329" s="23"/>
    </row>
    <row r="3330">
      <c r="B3330" s="19"/>
      <c r="E3330" s="23"/>
      <c r="L3330" s="23"/>
    </row>
    <row r="3331">
      <c r="B3331" s="19"/>
      <c r="E3331" s="23"/>
      <c r="L3331" s="23"/>
    </row>
    <row r="3332">
      <c r="B3332" s="19"/>
      <c r="E3332" s="23"/>
      <c r="L3332" s="23"/>
    </row>
    <row r="3333">
      <c r="B3333" s="19"/>
      <c r="E3333" s="23"/>
      <c r="L3333" s="23"/>
    </row>
    <row r="3334">
      <c r="B3334" s="19"/>
      <c r="E3334" s="23"/>
      <c r="L3334" s="23"/>
    </row>
    <row r="3335">
      <c r="B3335" s="19"/>
      <c r="E3335" s="23"/>
      <c r="L3335" s="23"/>
    </row>
    <row r="3336">
      <c r="B3336" s="19"/>
      <c r="E3336" s="23"/>
      <c r="L3336" s="23"/>
    </row>
    <row r="3337">
      <c r="B3337" s="19"/>
      <c r="E3337" s="23"/>
      <c r="L3337" s="23"/>
    </row>
    <row r="3338">
      <c r="B3338" s="19"/>
      <c r="E3338" s="23"/>
      <c r="L3338" s="23"/>
    </row>
    <row r="3339">
      <c r="B3339" s="19"/>
      <c r="E3339" s="23"/>
      <c r="L3339" s="23"/>
    </row>
    <row r="3340">
      <c r="B3340" s="19"/>
      <c r="E3340" s="23"/>
      <c r="L3340" s="23"/>
    </row>
    <row r="3341">
      <c r="B3341" s="19"/>
      <c r="E3341" s="23"/>
      <c r="L3341" s="23"/>
    </row>
    <row r="3342">
      <c r="B3342" s="19"/>
      <c r="E3342" s="23"/>
      <c r="L3342" s="23"/>
    </row>
    <row r="3343">
      <c r="B3343" s="19"/>
      <c r="E3343" s="23"/>
      <c r="L3343" s="23"/>
    </row>
    <row r="3344">
      <c r="B3344" s="19"/>
      <c r="E3344" s="23"/>
      <c r="L3344" s="23"/>
    </row>
    <row r="3345">
      <c r="B3345" s="19"/>
      <c r="E3345" s="23"/>
      <c r="L3345" s="23"/>
    </row>
    <row r="3346">
      <c r="B3346" s="19"/>
      <c r="E3346" s="23"/>
      <c r="L3346" s="23"/>
    </row>
    <row r="3347">
      <c r="B3347" s="19"/>
      <c r="E3347" s="23"/>
      <c r="L3347" s="23"/>
    </row>
    <row r="3348">
      <c r="B3348" s="19"/>
      <c r="E3348" s="23"/>
      <c r="L3348" s="23"/>
    </row>
    <row r="3349">
      <c r="B3349" s="19"/>
      <c r="E3349" s="23"/>
      <c r="L3349" s="23"/>
    </row>
    <row r="3350">
      <c r="B3350" s="19"/>
      <c r="E3350" s="23"/>
      <c r="L3350" s="23"/>
    </row>
    <row r="3351">
      <c r="B3351" s="19"/>
      <c r="E3351" s="23"/>
      <c r="L3351" s="23"/>
    </row>
    <row r="3352">
      <c r="B3352" s="19"/>
      <c r="E3352" s="23"/>
      <c r="L3352" s="23"/>
    </row>
    <row r="3353">
      <c r="B3353" s="19"/>
      <c r="E3353" s="23"/>
      <c r="L3353" s="23"/>
    </row>
    <row r="3354">
      <c r="B3354" s="19"/>
      <c r="E3354" s="23"/>
      <c r="L3354" s="23"/>
    </row>
    <row r="3355">
      <c r="B3355" s="19"/>
      <c r="E3355" s="23"/>
      <c r="L3355" s="23"/>
    </row>
    <row r="3356">
      <c r="B3356" s="19"/>
      <c r="E3356" s="23"/>
      <c r="L3356" s="23"/>
    </row>
    <row r="3357">
      <c r="B3357" s="19"/>
      <c r="E3357" s="23"/>
      <c r="L3357" s="23"/>
    </row>
    <row r="3358">
      <c r="B3358" s="19"/>
      <c r="E3358" s="23"/>
      <c r="L3358" s="23"/>
    </row>
    <row r="3359">
      <c r="B3359" s="19"/>
      <c r="E3359" s="23"/>
      <c r="L3359" s="23"/>
    </row>
    <row r="3360">
      <c r="B3360" s="19"/>
      <c r="E3360" s="23"/>
      <c r="L3360" s="23"/>
    </row>
    <row r="3361">
      <c r="B3361" s="19"/>
      <c r="E3361" s="23"/>
      <c r="L3361" s="23"/>
    </row>
    <row r="3362">
      <c r="B3362" s="19"/>
      <c r="E3362" s="23"/>
      <c r="L3362" s="23"/>
    </row>
    <row r="3363">
      <c r="B3363" s="19"/>
      <c r="E3363" s="23"/>
      <c r="L3363" s="23"/>
    </row>
    <row r="3364">
      <c r="B3364" s="19"/>
      <c r="E3364" s="23"/>
      <c r="L3364" s="23"/>
    </row>
    <row r="3365">
      <c r="B3365" s="19"/>
      <c r="E3365" s="23"/>
      <c r="L3365" s="23"/>
    </row>
    <row r="3366">
      <c r="B3366" s="19"/>
      <c r="E3366" s="23"/>
      <c r="L3366" s="23"/>
    </row>
    <row r="3367">
      <c r="B3367" s="19"/>
      <c r="E3367" s="23"/>
      <c r="L3367" s="23"/>
    </row>
    <row r="3368">
      <c r="B3368" s="19"/>
      <c r="E3368" s="23"/>
      <c r="L3368" s="23"/>
    </row>
    <row r="3369">
      <c r="B3369" s="19"/>
      <c r="E3369" s="23"/>
      <c r="L3369" s="23"/>
    </row>
    <row r="3370">
      <c r="B3370" s="19"/>
      <c r="E3370" s="23"/>
      <c r="L3370" s="23"/>
    </row>
    <row r="3371">
      <c r="B3371" s="19"/>
      <c r="E3371" s="23"/>
      <c r="L3371" s="23"/>
    </row>
    <row r="3372">
      <c r="B3372" s="19"/>
      <c r="E3372" s="23"/>
      <c r="L3372" s="23"/>
    </row>
    <row r="3373">
      <c r="B3373" s="19"/>
      <c r="E3373" s="23"/>
      <c r="L3373" s="23"/>
    </row>
    <row r="3374">
      <c r="B3374" s="19"/>
      <c r="E3374" s="23"/>
      <c r="L3374" s="23"/>
    </row>
    <row r="3375">
      <c r="B3375" s="19"/>
      <c r="E3375" s="23"/>
      <c r="L3375" s="23"/>
    </row>
    <row r="3376">
      <c r="B3376" s="19"/>
      <c r="E3376" s="23"/>
      <c r="L3376" s="23"/>
    </row>
    <row r="3377">
      <c r="B3377" s="19"/>
      <c r="E3377" s="23"/>
      <c r="L3377" s="23"/>
    </row>
    <row r="3378">
      <c r="B3378" s="19"/>
      <c r="E3378" s="23"/>
      <c r="L3378" s="23"/>
    </row>
    <row r="3379">
      <c r="B3379" s="19"/>
      <c r="E3379" s="23"/>
      <c r="L3379" s="23"/>
    </row>
    <row r="3380">
      <c r="B3380" s="19"/>
      <c r="E3380" s="23"/>
      <c r="L3380" s="23"/>
    </row>
    <row r="3381">
      <c r="B3381" s="19"/>
      <c r="E3381" s="23"/>
      <c r="L3381" s="23"/>
    </row>
    <row r="3382">
      <c r="B3382" s="19"/>
      <c r="E3382" s="23"/>
      <c r="L3382" s="23"/>
    </row>
    <row r="3383">
      <c r="B3383" s="19"/>
      <c r="E3383" s="23"/>
      <c r="L3383" s="23"/>
    </row>
    <row r="3384">
      <c r="B3384" s="19"/>
      <c r="E3384" s="23"/>
      <c r="L3384" s="23"/>
    </row>
    <row r="3385">
      <c r="B3385" s="19"/>
      <c r="E3385" s="23"/>
      <c r="L3385" s="23"/>
    </row>
    <row r="3386">
      <c r="B3386" s="19"/>
      <c r="E3386" s="23"/>
      <c r="L3386" s="23"/>
    </row>
    <row r="3387">
      <c r="B3387" s="19"/>
      <c r="E3387" s="23"/>
      <c r="L3387" s="23"/>
    </row>
    <row r="3388">
      <c r="B3388" s="19"/>
      <c r="E3388" s="23"/>
      <c r="L3388" s="23"/>
    </row>
    <row r="3389">
      <c r="B3389" s="19"/>
      <c r="E3389" s="23"/>
      <c r="L3389" s="23"/>
    </row>
    <row r="3390">
      <c r="B3390" s="19"/>
      <c r="E3390" s="23"/>
      <c r="L3390" s="23"/>
    </row>
    <row r="3391">
      <c r="B3391" s="19"/>
      <c r="E3391" s="23"/>
      <c r="L3391" s="23"/>
    </row>
    <row r="3392">
      <c r="B3392" s="19"/>
      <c r="E3392" s="23"/>
      <c r="L3392" s="23"/>
    </row>
    <row r="3393">
      <c r="B3393" s="19"/>
      <c r="E3393" s="23"/>
      <c r="L3393" s="23"/>
    </row>
    <row r="3394">
      <c r="B3394" s="19"/>
      <c r="E3394" s="23"/>
      <c r="L3394" s="23"/>
    </row>
    <row r="3395">
      <c r="B3395" s="19"/>
      <c r="E3395" s="23"/>
      <c r="L3395" s="23"/>
    </row>
    <row r="3396">
      <c r="B3396" s="19"/>
      <c r="E3396" s="23"/>
      <c r="L3396" s="23"/>
    </row>
    <row r="3397">
      <c r="B3397" s="19"/>
      <c r="E3397" s="23"/>
      <c r="L3397" s="23"/>
    </row>
    <row r="3398">
      <c r="B3398" s="19"/>
      <c r="E3398" s="23"/>
      <c r="L3398" s="23"/>
    </row>
    <row r="3399">
      <c r="B3399" s="19"/>
      <c r="E3399" s="23"/>
      <c r="L3399" s="23"/>
    </row>
    <row r="3400">
      <c r="B3400" s="19"/>
      <c r="E3400" s="23"/>
      <c r="L3400" s="23"/>
    </row>
    <row r="3401">
      <c r="B3401" s="19"/>
      <c r="E3401" s="23"/>
      <c r="L3401" s="23"/>
    </row>
    <row r="3402">
      <c r="B3402" s="19"/>
      <c r="E3402" s="23"/>
      <c r="L3402" s="23"/>
    </row>
    <row r="3403">
      <c r="B3403" s="19"/>
      <c r="E3403" s="23"/>
      <c r="L3403" s="23"/>
    </row>
    <row r="3404">
      <c r="B3404" s="19"/>
      <c r="E3404" s="23"/>
      <c r="L3404" s="23"/>
    </row>
    <row r="3405">
      <c r="B3405" s="19"/>
      <c r="E3405" s="23"/>
      <c r="L3405" s="23"/>
    </row>
    <row r="3406">
      <c r="B3406" s="19"/>
      <c r="E3406" s="23"/>
      <c r="L3406" s="23"/>
    </row>
    <row r="3407">
      <c r="B3407" s="19"/>
      <c r="E3407" s="23"/>
      <c r="L3407" s="23"/>
    </row>
    <row r="3408">
      <c r="B3408" s="19"/>
      <c r="E3408" s="23"/>
      <c r="L3408" s="23"/>
    </row>
    <row r="3409">
      <c r="B3409" s="19"/>
      <c r="E3409" s="23"/>
      <c r="L3409" s="23"/>
    </row>
    <row r="3410">
      <c r="B3410" s="19"/>
      <c r="E3410" s="23"/>
      <c r="L3410" s="23"/>
    </row>
    <row r="3411">
      <c r="B3411" s="19"/>
      <c r="E3411" s="23"/>
      <c r="L3411" s="23"/>
    </row>
    <row r="3412">
      <c r="B3412" s="19"/>
      <c r="E3412" s="23"/>
      <c r="L3412" s="23"/>
    </row>
    <row r="3413">
      <c r="B3413" s="19"/>
      <c r="E3413" s="23"/>
      <c r="L3413" s="23"/>
    </row>
    <row r="3414">
      <c r="B3414" s="19"/>
      <c r="E3414" s="23"/>
      <c r="L3414" s="23"/>
    </row>
    <row r="3415">
      <c r="B3415" s="19"/>
      <c r="E3415" s="23"/>
      <c r="L3415" s="23"/>
    </row>
    <row r="3416">
      <c r="B3416" s="19"/>
      <c r="E3416" s="23"/>
      <c r="L3416" s="23"/>
    </row>
    <row r="3417">
      <c r="B3417" s="19"/>
      <c r="E3417" s="23"/>
      <c r="L3417" s="23"/>
    </row>
    <row r="3418">
      <c r="B3418" s="19"/>
      <c r="E3418" s="23"/>
      <c r="L3418" s="23"/>
    </row>
    <row r="3419">
      <c r="B3419" s="19"/>
      <c r="E3419" s="23"/>
      <c r="L3419" s="23"/>
    </row>
    <row r="3420">
      <c r="B3420" s="19"/>
      <c r="E3420" s="23"/>
      <c r="L3420" s="23"/>
    </row>
    <row r="3421">
      <c r="B3421" s="19"/>
      <c r="E3421" s="23"/>
      <c r="L3421" s="23"/>
    </row>
    <row r="3422">
      <c r="B3422" s="19"/>
      <c r="E3422" s="23"/>
      <c r="L3422" s="23"/>
    </row>
    <row r="3423">
      <c r="B3423" s="19"/>
      <c r="E3423" s="23"/>
      <c r="L3423" s="23"/>
    </row>
    <row r="3424">
      <c r="B3424" s="19"/>
      <c r="E3424" s="23"/>
      <c r="L3424" s="23"/>
    </row>
    <row r="3425">
      <c r="B3425" s="19"/>
      <c r="E3425" s="23"/>
      <c r="L3425" s="23"/>
    </row>
    <row r="3426">
      <c r="B3426" s="19"/>
      <c r="E3426" s="23"/>
      <c r="L3426" s="23"/>
    </row>
    <row r="3427">
      <c r="B3427" s="19"/>
      <c r="E3427" s="23"/>
      <c r="L3427" s="23"/>
    </row>
    <row r="3428">
      <c r="B3428" s="19"/>
      <c r="E3428" s="23"/>
      <c r="L3428" s="23"/>
    </row>
    <row r="3429">
      <c r="B3429" s="19"/>
      <c r="E3429" s="23"/>
      <c r="L3429" s="23"/>
    </row>
    <row r="3430">
      <c r="B3430" s="19"/>
      <c r="E3430" s="23"/>
      <c r="L3430" s="23"/>
    </row>
    <row r="3431">
      <c r="B3431" s="19"/>
      <c r="E3431" s="23"/>
      <c r="L3431" s="23"/>
    </row>
    <row r="3432">
      <c r="B3432" s="19"/>
      <c r="E3432" s="23"/>
      <c r="L3432" s="23"/>
    </row>
    <row r="3433">
      <c r="B3433" s="19"/>
      <c r="E3433" s="23"/>
      <c r="L3433" s="23"/>
    </row>
    <row r="3434">
      <c r="B3434" s="19"/>
      <c r="E3434" s="23"/>
      <c r="L3434" s="23"/>
    </row>
    <row r="3435">
      <c r="B3435" s="19"/>
      <c r="E3435" s="23"/>
      <c r="L3435" s="23"/>
    </row>
    <row r="3436">
      <c r="B3436" s="19"/>
      <c r="E3436" s="23"/>
      <c r="L3436" s="23"/>
    </row>
    <row r="3437">
      <c r="B3437" s="19"/>
      <c r="E3437" s="23"/>
      <c r="L3437" s="23"/>
    </row>
    <row r="3438">
      <c r="B3438" s="19"/>
      <c r="E3438" s="23"/>
      <c r="L3438" s="23"/>
    </row>
    <row r="3439">
      <c r="B3439" s="19"/>
      <c r="E3439" s="23"/>
      <c r="L3439" s="23"/>
    </row>
    <row r="3440">
      <c r="B3440" s="19"/>
      <c r="E3440" s="23"/>
      <c r="L3440" s="23"/>
    </row>
    <row r="3441">
      <c r="B3441" s="19"/>
      <c r="E3441" s="23"/>
      <c r="L3441" s="23"/>
    </row>
    <row r="3442">
      <c r="B3442" s="19"/>
      <c r="E3442" s="23"/>
      <c r="L3442" s="23"/>
    </row>
    <row r="3443">
      <c r="B3443" s="19"/>
      <c r="E3443" s="23"/>
      <c r="L3443" s="23"/>
    </row>
    <row r="3444">
      <c r="B3444" s="19"/>
      <c r="E3444" s="23"/>
      <c r="L3444" s="23"/>
    </row>
    <row r="3445">
      <c r="B3445" s="19"/>
      <c r="E3445" s="23"/>
      <c r="L3445" s="23"/>
    </row>
    <row r="3446">
      <c r="B3446" s="19"/>
      <c r="E3446" s="23"/>
      <c r="L3446" s="23"/>
    </row>
    <row r="3447">
      <c r="B3447" s="19"/>
      <c r="E3447" s="23"/>
      <c r="L3447" s="23"/>
    </row>
    <row r="3448">
      <c r="B3448" s="19"/>
      <c r="E3448" s="23"/>
      <c r="L3448" s="23"/>
    </row>
    <row r="3449">
      <c r="B3449" s="19"/>
      <c r="E3449" s="23"/>
      <c r="L3449" s="23"/>
    </row>
    <row r="3450">
      <c r="B3450" s="19"/>
      <c r="E3450" s="23"/>
      <c r="L3450" s="23"/>
    </row>
    <row r="3451">
      <c r="B3451" s="19"/>
      <c r="E3451" s="23"/>
      <c r="L3451" s="23"/>
    </row>
    <row r="3452">
      <c r="B3452" s="19"/>
      <c r="E3452" s="23"/>
      <c r="L3452" s="23"/>
    </row>
    <row r="3453">
      <c r="B3453" s="19"/>
      <c r="E3453" s="23"/>
      <c r="L3453" s="23"/>
    </row>
    <row r="3454">
      <c r="B3454" s="19"/>
      <c r="E3454" s="23"/>
      <c r="L3454" s="23"/>
    </row>
    <row r="3455">
      <c r="B3455" s="19"/>
      <c r="E3455" s="23"/>
      <c r="L3455" s="23"/>
    </row>
    <row r="3456">
      <c r="B3456" s="19"/>
      <c r="E3456" s="23"/>
      <c r="L3456" s="23"/>
    </row>
    <row r="3457">
      <c r="B3457" s="19"/>
      <c r="E3457" s="23"/>
      <c r="L3457" s="23"/>
    </row>
    <row r="3458">
      <c r="B3458" s="19"/>
      <c r="E3458" s="23"/>
      <c r="L3458" s="23"/>
    </row>
    <row r="3459">
      <c r="B3459" s="19"/>
      <c r="E3459" s="23"/>
      <c r="L3459" s="23"/>
    </row>
    <row r="3460">
      <c r="B3460" s="19"/>
      <c r="E3460" s="23"/>
      <c r="L3460" s="23"/>
    </row>
    <row r="3461">
      <c r="B3461" s="19"/>
      <c r="E3461" s="23"/>
      <c r="L3461" s="23"/>
    </row>
    <row r="3462">
      <c r="B3462" s="19"/>
      <c r="E3462" s="23"/>
      <c r="L3462" s="23"/>
    </row>
    <row r="3463">
      <c r="B3463" s="19"/>
      <c r="E3463" s="23"/>
      <c r="L3463" s="23"/>
    </row>
    <row r="3464">
      <c r="B3464" s="19"/>
      <c r="E3464" s="23"/>
      <c r="L3464" s="23"/>
    </row>
    <row r="3465">
      <c r="B3465" s="19"/>
      <c r="E3465" s="23"/>
      <c r="L3465" s="23"/>
    </row>
    <row r="3466">
      <c r="B3466" s="19"/>
      <c r="E3466" s="23"/>
      <c r="L3466" s="23"/>
    </row>
    <row r="3467">
      <c r="B3467" s="19"/>
      <c r="E3467" s="23"/>
      <c r="L3467" s="23"/>
    </row>
    <row r="3468">
      <c r="B3468" s="19"/>
      <c r="E3468" s="23"/>
      <c r="L3468" s="23"/>
    </row>
    <row r="3469">
      <c r="B3469" s="19"/>
      <c r="E3469" s="23"/>
      <c r="L3469" s="23"/>
    </row>
    <row r="3470">
      <c r="B3470" s="19"/>
      <c r="E3470" s="23"/>
      <c r="L3470" s="23"/>
    </row>
    <row r="3471">
      <c r="B3471" s="19"/>
      <c r="E3471" s="23"/>
      <c r="L3471" s="23"/>
    </row>
    <row r="3472">
      <c r="B3472" s="19"/>
      <c r="E3472" s="23"/>
      <c r="L3472" s="23"/>
    </row>
    <row r="3473">
      <c r="B3473" s="19"/>
      <c r="E3473" s="23"/>
      <c r="L3473" s="23"/>
    </row>
    <row r="3474">
      <c r="B3474" s="19"/>
      <c r="E3474" s="23"/>
      <c r="L3474" s="23"/>
    </row>
    <row r="3475">
      <c r="B3475" s="19"/>
      <c r="E3475" s="23"/>
      <c r="L3475" s="23"/>
    </row>
    <row r="3476">
      <c r="B3476" s="19"/>
      <c r="E3476" s="23"/>
      <c r="L3476" s="23"/>
    </row>
    <row r="3477">
      <c r="B3477" s="19"/>
      <c r="E3477" s="23"/>
      <c r="L3477" s="23"/>
    </row>
    <row r="3478">
      <c r="B3478" s="19"/>
      <c r="E3478" s="23"/>
      <c r="L3478" s="23"/>
    </row>
    <row r="3479">
      <c r="B3479" s="19"/>
      <c r="E3479" s="23"/>
      <c r="L3479" s="23"/>
    </row>
    <row r="3480">
      <c r="B3480" s="19"/>
      <c r="E3480" s="23"/>
      <c r="L3480" s="23"/>
    </row>
    <row r="3481">
      <c r="B3481" s="19"/>
      <c r="E3481" s="23"/>
      <c r="L3481" s="23"/>
    </row>
    <row r="3482">
      <c r="B3482" s="19"/>
      <c r="E3482" s="23"/>
      <c r="L3482" s="23"/>
    </row>
    <row r="3483">
      <c r="B3483" s="19"/>
      <c r="E3483" s="23"/>
      <c r="L3483" s="23"/>
    </row>
    <row r="3484">
      <c r="B3484" s="19"/>
      <c r="E3484" s="23"/>
      <c r="L3484" s="23"/>
    </row>
    <row r="3485">
      <c r="B3485" s="19"/>
      <c r="E3485" s="23"/>
      <c r="L3485" s="23"/>
    </row>
    <row r="3486">
      <c r="B3486" s="19"/>
      <c r="E3486" s="23"/>
      <c r="L3486" s="23"/>
    </row>
    <row r="3487">
      <c r="B3487" s="19"/>
      <c r="E3487" s="23"/>
      <c r="L3487" s="23"/>
    </row>
    <row r="3488">
      <c r="B3488" s="19"/>
      <c r="E3488" s="23"/>
      <c r="L3488" s="23"/>
    </row>
    <row r="3489">
      <c r="B3489" s="19"/>
      <c r="E3489" s="23"/>
      <c r="L3489" s="23"/>
    </row>
    <row r="3490">
      <c r="B3490" s="19"/>
      <c r="E3490" s="23"/>
      <c r="L3490" s="23"/>
    </row>
    <row r="3491">
      <c r="B3491" s="19"/>
      <c r="E3491" s="23"/>
      <c r="L3491" s="23"/>
    </row>
    <row r="3492">
      <c r="B3492" s="19"/>
      <c r="E3492" s="23"/>
      <c r="L3492" s="23"/>
    </row>
    <row r="3493">
      <c r="B3493" s="19"/>
      <c r="E3493" s="23"/>
      <c r="L3493" s="23"/>
    </row>
    <row r="3494">
      <c r="B3494" s="19"/>
      <c r="E3494" s="23"/>
      <c r="L3494" s="23"/>
    </row>
    <row r="3495">
      <c r="B3495" s="19"/>
      <c r="E3495" s="23"/>
      <c r="L3495" s="23"/>
    </row>
    <row r="3496">
      <c r="B3496" s="19"/>
      <c r="E3496" s="23"/>
      <c r="L3496" s="23"/>
    </row>
    <row r="3497">
      <c r="B3497" s="19"/>
      <c r="E3497" s="23"/>
      <c r="L3497" s="23"/>
    </row>
    <row r="3498">
      <c r="B3498" s="19"/>
      <c r="E3498" s="23"/>
      <c r="L3498" s="23"/>
    </row>
    <row r="3499">
      <c r="B3499" s="19"/>
      <c r="E3499" s="23"/>
      <c r="L3499" s="23"/>
    </row>
    <row r="3500">
      <c r="B3500" s="19"/>
      <c r="E3500" s="23"/>
      <c r="L3500" s="23"/>
    </row>
    <row r="3501">
      <c r="B3501" s="19"/>
      <c r="E3501" s="23"/>
      <c r="L3501" s="23"/>
    </row>
    <row r="3502">
      <c r="B3502" s="19"/>
      <c r="E3502" s="23"/>
      <c r="L3502" s="23"/>
    </row>
    <row r="3503">
      <c r="B3503" s="19"/>
      <c r="E3503" s="23"/>
      <c r="L3503" s="23"/>
    </row>
    <row r="3504">
      <c r="B3504" s="19"/>
      <c r="E3504" s="23"/>
      <c r="L3504" s="23"/>
    </row>
    <row r="3505">
      <c r="B3505" s="19"/>
      <c r="E3505" s="23"/>
      <c r="L3505" s="23"/>
    </row>
    <row r="3506">
      <c r="B3506" s="19"/>
      <c r="E3506" s="23"/>
      <c r="L3506" s="23"/>
    </row>
    <row r="3507">
      <c r="B3507" s="19"/>
      <c r="E3507" s="23"/>
      <c r="L3507" s="23"/>
    </row>
    <row r="3508">
      <c r="B3508" s="19"/>
      <c r="E3508" s="23"/>
      <c r="L3508" s="23"/>
    </row>
    <row r="3509">
      <c r="B3509" s="19"/>
      <c r="E3509" s="23"/>
      <c r="L3509" s="23"/>
    </row>
    <row r="3510">
      <c r="B3510" s="19"/>
      <c r="E3510" s="23"/>
      <c r="L3510" s="23"/>
    </row>
    <row r="3511">
      <c r="B3511" s="19"/>
      <c r="E3511" s="23"/>
      <c r="L3511" s="23"/>
    </row>
    <row r="3512">
      <c r="B3512" s="19"/>
      <c r="E3512" s="23"/>
      <c r="L3512" s="23"/>
    </row>
    <row r="3513">
      <c r="B3513" s="19"/>
      <c r="E3513" s="23"/>
      <c r="L3513" s="23"/>
    </row>
    <row r="3514">
      <c r="B3514" s="19"/>
      <c r="E3514" s="23"/>
      <c r="L3514" s="23"/>
    </row>
    <row r="3515">
      <c r="B3515" s="19"/>
      <c r="E3515" s="23"/>
      <c r="L3515" s="23"/>
    </row>
    <row r="3516">
      <c r="B3516" s="19"/>
      <c r="E3516" s="23"/>
      <c r="L3516" s="23"/>
    </row>
    <row r="3517">
      <c r="B3517" s="19"/>
      <c r="E3517" s="23"/>
      <c r="L3517" s="23"/>
    </row>
    <row r="3518">
      <c r="B3518" s="19"/>
      <c r="E3518" s="23"/>
      <c r="L3518" s="23"/>
    </row>
    <row r="3519">
      <c r="B3519" s="19"/>
      <c r="E3519" s="23"/>
      <c r="L3519" s="23"/>
    </row>
    <row r="3520">
      <c r="B3520" s="19"/>
      <c r="E3520" s="23"/>
      <c r="L3520" s="23"/>
    </row>
    <row r="3521">
      <c r="B3521" s="19"/>
      <c r="E3521" s="23"/>
      <c r="L3521" s="23"/>
    </row>
    <row r="3522">
      <c r="B3522" s="19"/>
      <c r="E3522" s="23"/>
      <c r="L3522" s="23"/>
    </row>
    <row r="3523">
      <c r="B3523" s="19"/>
      <c r="E3523" s="23"/>
      <c r="L3523" s="23"/>
    </row>
    <row r="3524">
      <c r="B3524" s="19"/>
      <c r="E3524" s="23"/>
      <c r="L3524" s="23"/>
    </row>
    <row r="3525">
      <c r="B3525" s="19"/>
      <c r="E3525" s="23"/>
      <c r="L3525" s="23"/>
    </row>
    <row r="3526">
      <c r="B3526" s="19"/>
      <c r="E3526" s="23"/>
      <c r="L3526" s="23"/>
    </row>
    <row r="3527">
      <c r="B3527" s="19"/>
      <c r="E3527" s="23"/>
      <c r="L3527" s="23"/>
    </row>
    <row r="3528">
      <c r="B3528" s="19"/>
      <c r="E3528" s="23"/>
      <c r="L3528" s="23"/>
    </row>
    <row r="3529">
      <c r="B3529" s="19"/>
      <c r="E3529" s="23"/>
      <c r="L3529" s="23"/>
    </row>
    <row r="3530">
      <c r="B3530" s="19"/>
      <c r="E3530" s="23"/>
      <c r="L3530" s="23"/>
    </row>
    <row r="3531">
      <c r="B3531" s="19"/>
      <c r="E3531" s="23"/>
      <c r="L3531" s="23"/>
    </row>
    <row r="3532">
      <c r="B3532" s="19"/>
      <c r="E3532" s="23"/>
      <c r="L3532" s="23"/>
    </row>
    <row r="3533">
      <c r="B3533" s="19"/>
      <c r="E3533" s="23"/>
      <c r="L3533" s="23"/>
    </row>
    <row r="3534">
      <c r="B3534" s="19"/>
      <c r="E3534" s="23"/>
      <c r="L3534" s="23"/>
    </row>
    <row r="3535">
      <c r="B3535" s="19"/>
      <c r="E3535" s="23"/>
      <c r="L3535" s="23"/>
    </row>
    <row r="3536">
      <c r="B3536" s="19"/>
      <c r="E3536" s="23"/>
      <c r="L3536" s="23"/>
    </row>
    <row r="3537">
      <c r="B3537" s="19"/>
      <c r="E3537" s="23"/>
      <c r="L3537" s="23"/>
    </row>
    <row r="3538">
      <c r="B3538" s="19"/>
      <c r="E3538" s="23"/>
      <c r="L3538" s="23"/>
    </row>
    <row r="3539">
      <c r="B3539" s="19"/>
      <c r="E3539" s="23"/>
      <c r="L3539" s="23"/>
    </row>
    <row r="3540">
      <c r="B3540" s="19"/>
      <c r="E3540" s="23"/>
      <c r="L3540" s="23"/>
    </row>
    <row r="3541">
      <c r="B3541" s="19"/>
      <c r="E3541" s="23"/>
      <c r="L3541" s="23"/>
    </row>
    <row r="3542">
      <c r="B3542" s="19"/>
      <c r="E3542" s="23"/>
      <c r="L3542" s="23"/>
    </row>
    <row r="3543">
      <c r="B3543" s="19"/>
      <c r="E3543" s="23"/>
      <c r="L3543" s="23"/>
    </row>
    <row r="3544">
      <c r="B3544" s="19"/>
      <c r="E3544" s="23"/>
      <c r="L3544" s="23"/>
    </row>
    <row r="3545">
      <c r="B3545" s="19"/>
      <c r="E3545" s="23"/>
      <c r="L3545" s="23"/>
    </row>
    <row r="3546">
      <c r="B3546" s="19"/>
      <c r="E3546" s="23"/>
      <c r="L3546" s="23"/>
    </row>
    <row r="3547">
      <c r="B3547" s="19"/>
      <c r="E3547" s="23"/>
      <c r="L3547" s="23"/>
    </row>
    <row r="3548">
      <c r="B3548" s="19"/>
      <c r="E3548" s="23"/>
      <c r="L3548" s="23"/>
    </row>
    <row r="3549">
      <c r="B3549" s="19"/>
      <c r="E3549" s="23"/>
      <c r="L3549" s="23"/>
    </row>
    <row r="3550">
      <c r="B3550" s="19"/>
      <c r="E3550" s="23"/>
      <c r="L3550" s="23"/>
    </row>
    <row r="3551">
      <c r="B3551" s="19"/>
      <c r="E3551" s="23"/>
      <c r="L3551" s="23"/>
    </row>
    <row r="3552">
      <c r="B3552" s="19"/>
      <c r="E3552" s="23"/>
      <c r="L3552" s="23"/>
    </row>
    <row r="3553">
      <c r="B3553" s="19"/>
      <c r="E3553" s="23"/>
      <c r="L3553" s="23"/>
    </row>
    <row r="3554">
      <c r="B3554" s="19"/>
      <c r="E3554" s="23"/>
      <c r="L3554" s="23"/>
    </row>
    <row r="3555">
      <c r="B3555" s="19"/>
      <c r="E3555" s="23"/>
      <c r="L3555" s="23"/>
    </row>
    <row r="3556">
      <c r="B3556" s="19"/>
      <c r="E3556" s="23"/>
      <c r="L3556" s="23"/>
    </row>
    <row r="3557">
      <c r="B3557" s="19"/>
      <c r="E3557" s="23"/>
      <c r="L3557" s="23"/>
    </row>
    <row r="3558">
      <c r="B3558" s="19"/>
      <c r="E3558" s="23"/>
      <c r="L3558" s="23"/>
    </row>
    <row r="3559">
      <c r="B3559" s="19"/>
      <c r="E3559" s="23"/>
      <c r="L3559" s="23"/>
    </row>
    <row r="3560">
      <c r="B3560" s="19"/>
      <c r="E3560" s="23"/>
      <c r="L3560" s="23"/>
    </row>
    <row r="3561">
      <c r="B3561" s="19"/>
      <c r="E3561" s="23"/>
      <c r="L3561" s="23"/>
    </row>
    <row r="3562">
      <c r="B3562" s="19"/>
      <c r="E3562" s="23"/>
      <c r="L3562" s="23"/>
    </row>
    <row r="3563">
      <c r="B3563" s="19"/>
      <c r="E3563" s="23"/>
      <c r="L3563" s="23"/>
    </row>
    <row r="3564">
      <c r="B3564" s="19"/>
      <c r="E3564" s="23"/>
      <c r="L3564" s="23"/>
    </row>
    <row r="3565">
      <c r="B3565" s="19"/>
      <c r="E3565" s="23"/>
      <c r="L3565" s="23"/>
    </row>
    <row r="3566">
      <c r="B3566" s="19"/>
      <c r="E3566" s="23"/>
      <c r="L3566" s="23"/>
    </row>
    <row r="3567">
      <c r="B3567" s="19"/>
      <c r="E3567" s="23"/>
      <c r="L3567" s="23"/>
    </row>
    <row r="3568">
      <c r="B3568" s="19"/>
      <c r="E3568" s="23"/>
      <c r="L3568" s="23"/>
    </row>
    <row r="3569">
      <c r="B3569" s="19"/>
      <c r="E3569" s="23"/>
      <c r="L3569" s="23"/>
    </row>
    <row r="3570">
      <c r="B3570" s="19"/>
      <c r="E3570" s="23"/>
      <c r="L3570" s="23"/>
    </row>
    <row r="3571">
      <c r="B3571" s="19"/>
      <c r="E3571" s="23"/>
      <c r="L3571" s="23"/>
    </row>
    <row r="3572">
      <c r="B3572" s="19"/>
      <c r="E3572" s="23"/>
      <c r="L3572" s="23"/>
    </row>
    <row r="3573">
      <c r="B3573" s="19"/>
      <c r="E3573" s="23"/>
      <c r="L3573" s="23"/>
    </row>
    <row r="3574">
      <c r="B3574" s="19"/>
      <c r="E3574" s="23"/>
      <c r="L3574" s="23"/>
    </row>
    <row r="3575">
      <c r="B3575" s="19"/>
      <c r="E3575" s="23"/>
      <c r="L3575" s="23"/>
    </row>
    <row r="3576">
      <c r="B3576" s="19"/>
      <c r="E3576" s="23"/>
      <c r="L3576" s="23"/>
    </row>
    <row r="3577">
      <c r="B3577" s="19"/>
      <c r="E3577" s="23"/>
      <c r="L3577" s="23"/>
    </row>
    <row r="3578">
      <c r="B3578" s="19"/>
      <c r="E3578" s="23"/>
      <c r="L3578" s="23"/>
    </row>
    <row r="3579">
      <c r="B3579" s="19"/>
      <c r="E3579" s="23"/>
      <c r="L3579" s="23"/>
    </row>
    <row r="3580">
      <c r="B3580" s="19"/>
      <c r="E3580" s="23"/>
      <c r="L3580" s="23"/>
    </row>
    <row r="3581">
      <c r="B3581" s="19"/>
      <c r="E3581" s="23"/>
      <c r="L3581" s="23"/>
    </row>
    <row r="3582">
      <c r="B3582" s="19"/>
      <c r="E3582" s="23"/>
      <c r="L3582" s="23"/>
    </row>
    <row r="3583">
      <c r="B3583" s="19"/>
      <c r="E3583" s="23"/>
      <c r="L3583" s="23"/>
    </row>
    <row r="3584">
      <c r="B3584" s="19"/>
      <c r="E3584" s="23"/>
      <c r="L3584" s="23"/>
    </row>
    <row r="3585">
      <c r="B3585" s="19"/>
      <c r="E3585" s="23"/>
      <c r="L3585" s="23"/>
    </row>
    <row r="3586">
      <c r="B3586" s="19"/>
      <c r="E3586" s="23"/>
      <c r="L3586" s="23"/>
    </row>
    <row r="3587">
      <c r="B3587" s="19"/>
      <c r="E3587" s="23"/>
      <c r="L3587" s="23"/>
    </row>
    <row r="3588">
      <c r="B3588" s="19"/>
      <c r="E3588" s="23"/>
      <c r="L3588" s="23"/>
    </row>
    <row r="3589">
      <c r="B3589" s="19"/>
      <c r="E3589" s="23"/>
      <c r="L3589" s="23"/>
    </row>
    <row r="3590">
      <c r="B3590" s="19"/>
      <c r="E3590" s="23"/>
      <c r="L3590" s="23"/>
    </row>
    <row r="3591">
      <c r="B3591" s="19"/>
      <c r="E3591" s="23"/>
      <c r="L3591" s="23"/>
    </row>
    <row r="3592">
      <c r="B3592" s="19"/>
      <c r="E3592" s="23"/>
      <c r="L3592" s="23"/>
    </row>
    <row r="3593">
      <c r="B3593" s="19"/>
      <c r="E3593" s="23"/>
      <c r="L3593" s="23"/>
    </row>
    <row r="3594">
      <c r="B3594" s="19"/>
      <c r="E3594" s="23"/>
      <c r="L3594" s="23"/>
    </row>
    <row r="3595">
      <c r="B3595" s="19"/>
      <c r="E3595" s="23"/>
      <c r="L3595" s="23"/>
    </row>
    <row r="3596">
      <c r="B3596" s="19"/>
      <c r="E3596" s="23"/>
      <c r="L3596" s="23"/>
    </row>
    <row r="3597">
      <c r="B3597" s="19"/>
      <c r="E3597" s="23"/>
      <c r="L3597" s="23"/>
    </row>
    <row r="3598">
      <c r="B3598" s="19"/>
      <c r="E3598" s="23"/>
      <c r="L3598" s="23"/>
    </row>
    <row r="3599">
      <c r="B3599" s="19"/>
      <c r="E3599" s="23"/>
      <c r="L3599" s="23"/>
    </row>
    <row r="3600">
      <c r="B3600" s="19"/>
      <c r="E3600" s="23"/>
      <c r="L3600" s="23"/>
    </row>
    <row r="3601">
      <c r="B3601" s="19"/>
      <c r="E3601" s="23"/>
      <c r="L3601" s="23"/>
    </row>
    <row r="3602">
      <c r="B3602" s="19"/>
      <c r="E3602" s="23"/>
      <c r="L3602" s="23"/>
    </row>
    <row r="3603">
      <c r="B3603" s="19"/>
      <c r="E3603" s="23"/>
      <c r="L3603" s="23"/>
    </row>
    <row r="3604">
      <c r="B3604" s="19"/>
      <c r="E3604" s="23"/>
      <c r="L3604" s="23"/>
    </row>
    <row r="3605">
      <c r="B3605" s="19"/>
      <c r="E3605" s="23"/>
      <c r="L3605" s="23"/>
    </row>
    <row r="3606">
      <c r="B3606" s="19"/>
      <c r="E3606" s="23"/>
      <c r="L3606" s="23"/>
    </row>
    <row r="3607">
      <c r="B3607" s="19"/>
      <c r="E3607" s="23"/>
      <c r="L3607" s="23"/>
    </row>
    <row r="3608">
      <c r="B3608" s="19"/>
      <c r="E3608" s="23"/>
      <c r="L3608" s="23"/>
    </row>
    <row r="3609">
      <c r="B3609" s="19"/>
      <c r="E3609" s="23"/>
      <c r="L3609" s="23"/>
    </row>
    <row r="3610">
      <c r="B3610" s="19"/>
      <c r="E3610" s="23"/>
      <c r="L3610" s="23"/>
    </row>
    <row r="3611">
      <c r="B3611" s="19"/>
      <c r="E3611" s="23"/>
      <c r="L3611" s="23"/>
    </row>
    <row r="3612">
      <c r="B3612" s="19"/>
      <c r="E3612" s="23"/>
      <c r="L3612" s="23"/>
    </row>
    <row r="3613">
      <c r="B3613" s="19"/>
      <c r="E3613" s="23"/>
      <c r="L3613" s="23"/>
    </row>
    <row r="3614">
      <c r="B3614" s="19"/>
      <c r="E3614" s="23"/>
      <c r="L3614" s="23"/>
    </row>
    <row r="3615">
      <c r="B3615" s="19"/>
      <c r="E3615" s="23"/>
      <c r="L3615" s="23"/>
    </row>
    <row r="3616">
      <c r="B3616" s="19"/>
      <c r="E3616" s="23"/>
      <c r="L3616" s="23"/>
    </row>
    <row r="3617">
      <c r="B3617" s="19"/>
      <c r="E3617" s="23"/>
      <c r="L3617" s="23"/>
    </row>
    <row r="3618">
      <c r="B3618" s="19"/>
      <c r="E3618" s="23"/>
      <c r="L3618" s="23"/>
    </row>
    <row r="3619">
      <c r="B3619" s="19"/>
      <c r="E3619" s="23"/>
      <c r="L3619" s="23"/>
    </row>
    <row r="3620">
      <c r="B3620" s="19"/>
      <c r="E3620" s="23"/>
      <c r="L3620" s="23"/>
    </row>
    <row r="3621">
      <c r="B3621" s="19"/>
      <c r="E3621" s="23"/>
      <c r="L3621" s="23"/>
    </row>
    <row r="3622">
      <c r="B3622" s="19"/>
      <c r="E3622" s="23"/>
      <c r="L3622" s="23"/>
    </row>
    <row r="3623">
      <c r="B3623" s="19"/>
      <c r="E3623" s="23"/>
      <c r="L3623" s="23"/>
    </row>
    <row r="3624">
      <c r="B3624" s="19"/>
      <c r="E3624" s="23"/>
      <c r="L3624" s="23"/>
    </row>
    <row r="3625">
      <c r="B3625" s="19"/>
      <c r="E3625" s="23"/>
      <c r="L3625" s="23"/>
    </row>
    <row r="3626">
      <c r="B3626" s="19"/>
      <c r="E3626" s="23"/>
      <c r="L3626" s="23"/>
    </row>
    <row r="3627">
      <c r="B3627" s="19"/>
      <c r="E3627" s="23"/>
      <c r="L3627" s="23"/>
    </row>
    <row r="3628">
      <c r="B3628" s="19"/>
      <c r="E3628" s="23"/>
      <c r="L3628" s="23"/>
    </row>
    <row r="3629">
      <c r="B3629" s="19"/>
      <c r="E3629" s="23"/>
      <c r="L3629" s="23"/>
    </row>
    <row r="3630">
      <c r="B3630" s="19"/>
      <c r="E3630" s="23"/>
      <c r="L3630" s="23"/>
    </row>
    <row r="3631">
      <c r="B3631" s="19"/>
      <c r="E3631" s="23"/>
      <c r="L3631" s="23"/>
    </row>
    <row r="3632">
      <c r="B3632" s="19"/>
      <c r="E3632" s="23"/>
      <c r="L3632" s="23"/>
    </row>
    <row r="3633">
      <c r="B3633" s="19"/>
      <c r="E3633" s="23"/>
      <c r="L3633" s="23"/>
    </row>
    <row r="3634">
      <c r="B3634" s="19"/>
      <c r="E3634" s="23"/>
      <c r="L3634" s="23"/>
    </row>
    <row r="3635">
      <c r="B3635" s="19"/>
      <c r="E3635" s="23"/>
      <c r="L3635" s="23"/>
    </row>
    <row r="3636">
      <c r="B3636" s="19"/>
      <c r="E3636" s="23"/>
      <c r="L3636" s="23"/>
    </row>
    <row r="3637">
      <c r="B3637" s="19"/>
      <c r="E3637" s="23"/>
      <c r="L3637" s="23"/>
    </row>
    <row r="3638">
      <c r="B3638" s="19"/>
      <c r="E3638" s="23"/>
      <c r="L3638" s="23"/>
    </row>
    <row r="3639">
      <c r="B3639" s="19"/>
      <c r="E3639" s="23"/>
      <c r="L3639" s="23"/>
    </row>
    <row r="3640">
      <c r="B3640" s="19"/>
      <c r="E3640" s="23"/>
      <c r="L3640" s="23"/>
    </row>
    <row r="3641">
      <c r="B3641" s="19"/>
      <c r="E3641" s="23"/>
      <c r="L3641" s="23"/>
    </row>
    <row r="3642">
      <c r="B3642" s="19"/>
      <c r="E3642" s="23"/>
      <c r="L3642" s="23"/>
    </row>
    <row r="3643">
      <c r="B3643" s="19"/>
      <c r="E3643" s="23"/>
      <c r="L3643" s="23"/>
    </row>
    <row r="3644">
      <c r="B3644" s="19"/>
      <c r="E3644" s="23"/>
      <c r="L3644" s="23"/>
    </row>
    <row r="3645">
      <c r="B3645" s="19"/>
      <c r="E3645" s="23"/>
      <c r="L3645" s="23"/>
    </row>
    <row r="3646">
      <c r="B3646" s="19"/>
      <c r="E3646" s="23"/>
      <c r="L3646" s="23"/>
    </row>
    <row r="3647">
      <c r="B3647" s="19"/>
      <c r="E3647" s="23"/>
      <c r="L3647" s="23"/>
    </row>
    <row r="3648">
      <c r="B3648" s="19"/>
      <c r="E3648" s="23"/>
      <c r="L3648" s="23"/>
    </row>
    <row r="3649">
      <c r="B3649" s="19"/>
      <c r="E3649" s="23"/>
      <c r="L3649" s="23"/>
    </row>
    <row r="3650">
      <c r="B3650" s="19"/>
      <c r="E3650" s="23"/>
      <c r="L3650" s="23"/>
    </row>
    <row r="3651">
      <c r="B3651" s="19"/>
      <c r="E3651" s="23"/>
      <c r="L3651" s="23"/>
    </row>
    <row r="3652">
      <c r="B3652" s="19"/>
      <c r="E3652" s="23"/>
      <c r="L3652" s="23"/>
    </row>
    <row r="3653">
      <c r="B3653" s="19"/>
      <c r="E3653" s="23"/>
      <c r="L3653" s="23"/>
    </row>
    <row r="3654">
      <c r="B3654" s="19"/>
      <c r="E3654" s="23"/>
      <c r="L3654" s="23"/>
    </row>
    <row r="3655">
      <c r="B3655" s="19"/>
      <c r="E3655" s="23"/>
      <c r="L3655" s="23"/>
    </row>
    <row r="3656">
      <c r="B3656" s="19"/>
      <c r="E3656" s="23"/>
      <c r="L3656" s="23"/>
    </row>
    <row r="3657">
      <c r="B3657" s="19"/>
      <c r="E3657" s="23"/>
      <c r="L3657" s="23"/>
    </row>
    <row r="3658">
      <c r="B3658" s="19"/>
      <c r="E3658" s="23"/>
      <c r="L3658" s="23"/>
    </row>
    <row r="3659">
      <c r="B3659" s="19"/>
      <c r="E3659" s="23"/>
      <c r="L3659" s="23"/>
    </row>
    <row r="3660">
      <c r="B3660" s="19"/>
      <c r="E3660" s="23"/>
      <c r="L3660" s="23"/>
    </row>
    <row r="3661">
      <c r="B3661" s="19"/>
      <c r="E3661" s="23"/>
      <c r="L3661" s="23"/>
    </row>
    <row r="3662">
      <c r="B3662" s="19"/>
      <c r="E3662" s="23"/>
      <c r="L3662" s="23"/>
    </row>
    <row r="3663">
      <c r="B3663" s="19"/>
      <c r="E3663" s="23"/>
      <c r="L3663" s="23"/>
    </row>
    <row r="3664">
      <c r="B3664" s="19"/>
      <c r="E3664" s="23"/>
      <c r="L3664" s="23"/>
    </row>
    <row r="3665">
      <c r="B3665" s="19"/>
      <c r="E3665" s="23"/>
      <c r="L3665" s="23"/>
    </row>
    <row r="3666">
      <c r="B3666" s="19"/>
      <c r="E3666" s="23"/>
      <c r="L3666" s="23"/>
    </row>
    <row r="3667">
      <c r="B3667" s="19"/>
      <c r="E3667" s="23"/>
      <c r="L3667" s="23"/>
    </row>
    <row r="3668">
      <c r="B3668" s="19"/>
      <c r="E3668" s="23"/>
      <c r="L3668" s="23"/>
    </row>
    <row r="3669">
      <c r="B3669" s="19"/>
      <c r="E3669" s="23"/>
      <c r="L3669" s="23"/>
    </row>
    <row r="3670">
      <c r="B3670" s="19"/>
      <c r="E3670" s="23"/>
      <c r="L3670" s="23"/>
    </row>
    <row r="3671">
      <c r="B3671" s="19"/>
      <c r="E3671" s="23"/>
      <c r="L3671" s="23"/>
    </row>
    <row r="3672">
      <c r="B3672" s="19"/>
      <c r="E3672" s="23"/>
      <c r="L3672" s="23"/>
    </row>
    <row r="3673">
      <c r="B3673" s="19"/>
      <c r="E3673" s="23"/>
      <c r="L3673" s="23"/>
    </row>
    <row r="3674">
      <c r="B3674" s="19"/>
      <c r="E3674" s="23"/>
      <c r="L3674" s="23"/>
    </row>
    <row r="3675">
      <c r="B3675" s="19"/>
      <c r="E3675" s="23"/>
      <c r="L3675" s="23"/>
    </row>
    <row r="3676">
      <c r="B3676" s="19"/>
      <c r="E3676" s="23"/>
      <c r="L3676" s="23"/>
    </row>
    <row r="3677">
      <c r="B3677" s="19"/>
      <c r="E3677" s="23"/>
      <c r="L3677" s="23"/>
    </row>
    <row r="3678">
      <c r="B3678" s="19"/>
      <c r="E3678" s="23"/>
      <c r="L3678" s="23"/>
    </row>
    <row r="3679">
      <c r="B3679" s="19"/>
      <c r="E3679" s="23"/>
      <c r="L3679" s="23"/>
    </row>
    <row r="3680">
      <c r="B3680" s="19"/>
      <c r="E3680" s="23"/>
      <c r="L3680" s="23"/>
    </row>
    <row r="3681">
      <c r="B3681" s="19"/>
      <c r="E3681" s="23"/>
      <c r="L3681" s="23"/>
    </row>
    <row r="3682">
      <c r="B3682" s="19"/>
      <c r="E3682" s="23"/>
      <c r="L3682" s="23"/>
    </row>
    <row r="3683">
      <c r="B3683" s="19"/>
      <c r="E3683" s="23"/>
      <c r="L3683" s="23"/>
    </row>
    <row r="3684">
      <c r="B3684" s="19"/>
      <c r="E3684" s="23"/>
      <c r="L3684" s="23"/>
    </row>
    <row r="3685">
      <c r="B3685" s="19"/>
      <c r="E3685" s="23"/>
      <c r="L3685" s="23"/>
    </row>
    <row r="3686">
      <c r="B3686" s="19"/>
      <c r="E3686" s="23"/>
      <c r="L3686" s="23"/>
    </row>
    <row r="3687">
      <c r="B3687" s="19"/>
      <c r="E3687" s="23"/>
      <c r="L3687" s="23"/>
    </row>
    <row r="3688">
      <c r="B3688" s="19"/>
      <c r="E3688" s="23"/>
      <c r="L3688" s="23"/>
    </row>
    <row r="3689">
      <c r="B3689" s="19"/>
      <c r="E3689" s="23"/>
      <c r="L3689" s="23"/>
    </row>
    <row r="3690">
      <c r="B3690" s="19"/>
      <c r="E3690" s="23"/>
      <c r="L3690" s="23"/>
    </row>
    <row r="3691">
      <c r="B3691" s="19"/>
      <c r="E3691" s="23"/>
      <c r="L3691" s="23"/>
    </row>
    <row r="3692">
      <c r="B3692" s="19"/>
      <c r="E3692" s="23"/>
      <c r="L3692" s="23"/>
    </row>
    <row r="3693">
      <c r="B3693" s="19"/>
      <c r="E3693" s="23"/>
      <c r="L3693" s="23"/>
    </row>
    <row r="3694">
      <c r="B3694" s="19"/>
      <c r="E3694" s="23"/>
      <c r="L3694" s="23"/>
    </row>
    <row r="3695">
      <c r="B3695" s="19"/>
      <c r="E3695" s="23"/>
      <c r="L3695" s="23"/>
    </row>
    <row r="3696">
      <c r="B3696" s="19"/>
      <c r="E3696" s="23"/>
      <c r="L3696" s="23"/>
    </row>
    <row r="3697">
      <c r="B3697" s="19"/>
      <c r="E3697" s="23"/>
      <c r="L3697" s="23"/>
    </row>
    <row r="3698">
      <c r="B3698" s="19"/>
      <c r="E3698" s="23"/>
      <c r="L3698" s="23"/>
    </row>
    <row r="3699">
      <c r="B3699" s="19"/>
      <c r="E3699" s="23"/>
      <c r="L3699" s="23"/>
    </row>
    <row r="3700">
      <c r="B3700" s="19"/>
      <c r="E3700" s="23"/>
      <c r="L3700" s="23"/>
    </row>
    <row r="3701">
      <c r="B3701" s="19"/>
      <c r="E3701" s="23"/>
      <c r="L3701" s="23"/>
    </row>
    <row r="3702">
      <c r="B3702" s="19"/>
      <c r="E3702" s="23"/>
      <c r="L3702" s="23"/>
    </row>
    <row r="3703">
      <c r="B3703" s="19"/>
      <c r="E3703" s="23"/>
      <c r="L3703" s="23"/>
    </row>
    <row r="3704">
      <c r="B3704" s="19"/>
      <c r="E3704" s="23"/>
      <c r="L3704" s="23"/>
    </row>
    <row r="3705">
      <c r="B3705" s="19"/>
      <c r="E3705" s="23"/>
      <c r="L3705" s="23"/>
    </row>
    <row r="3706">
      <c r="B3706" s="19"/>
      <c r="E3706" s="23"/>
      <c r="L3706" s="23"/>
    </row>
    <row r="3707">
      <c r="B3707" s="19"/>
      <c r="E3707" s="23"/>
      <c r="L3707" s="23"/>
    </row>
    <row r="3708">
      <c r="B3708" s="19"/>
      <c r="E3708" s="23"/>
      <c r="L3708" s="23"/>
    </row>
    <row r="3709">
      <c r="B3709" s="19"/>
      <c r="E3709" s="23"/>
      <c r="L3709" s="23"/>
    </row>
    <row r="3710">
      <c r="B3710" s="19"/>
      <c r="E3710" s="23"/>
      <c r="L3710" s="23"/>
    </row>
    <row r="3711">
      <c r="B3711" s="19"/>
      <c r="E3711" s="23"/>
      <c r="L3711" s="23"/>
    </row>
    <row r="3712">
      <c r="B3712" s="19"/>
      <c r="E3712" s="23"/>
      <c r="L3712" s="23"/>
    </row>
    <row r="3713">
      <c r="B3713" s="19"/>
      <c r="E3713" s="23"/>
      <c r="L3713" s="23"/>
    </row>
    <row r="3714">
      <c r="B3714" s="19"/>
      <c r="E3714" s="23"/>
      <c r="L3714" s="23"/>
    </row>
    <row r="3715">
      <c r="B3715" s="19"/>
      <c r="E3715" s="23"/>
      <c r="L3715" s="23"/>
    </row>
    <row r="3716">
      <c r="B3716" s="19"/>
      <c r="E3716" s="23"/>
      <c r="L3716" s="23"/>
    </row>
    <row r="3717">
      <c r="B3717" s="19"/>
      <c r="E3717" s="23"/>
      <c r="L3717" s="23"/>
    </row>
    <row r="3718">
      <c r="B3718" s="19"/>
      <c r="E3718" s="23"/>
      <c r="L3718" s="23"/>
    </row>
    <row r="3719">
      <c r="B3719" s="19"/>
      <c r="E3719" s="23"/>
      <c r="L3719" s="23"/>
    </row>
    <row r="3720">
      <c r="B3720" s="19"/>
      <c r="E3720" s="23"/>
      <c r="L3720" s="23"/>
    </row>
    <row r="3721">
      <c r="B3721" s="19"/>
      <c r="E3721" s="23"/>
      <c r="L3721" s="23"/>
    </row>
    <row r="3722">
      <c r="B3722" s="19"/>
      <c r="E3722" s="23"/>
      <c r="L3722" s="23"/>
    </row>
    <row r="3723">
      <c r="B3723" s="19"/>
      <c r="E3723" s="23"/>
      <c r="L3723" s="23"/>
    </row>
    <row r="3724">
      <c r="B3724" s="19"/>
      <c r="E3724" s="23"/>
      <c r="L3724" s="23"/>
    </row>
    <row r="3725">
      <c r="B3725" s="19"/>
      <c r="E3725" s="23"/>
      <c r="L3725" s="23"/>
    </row>
    <row r="3726">
      <c r="B3726" s="19"/>
      <c r="E3726" s="23"/>
      <c r="L3726" s="23"/>
    </row>
    <row r="3727">
      <c r="B3727" s="19"/>
      <c r="E3727" s="23"/>
      <c r="L3727" s="23"/>
    </row>
    <row r="3728">
      <c r="B3728" s="19"/>
      <c r="E3728" s="23"/>
      <c r="L3728" s="23"/>
    </row>
    <row r="3729">
      <c r="B3729" s="19"/>
      <c r="E3729" s="23"/>
      <c r="L3729" s="23"/>
    </row>
    <row r="3730">
      <c r="B3730" s="19"/>
      <c r="E3730" s="23"/>
      <c r="L3730" s="23"/>
    </row>
    <row r="3731">
      <c r="B3731" s="19"/>
      <c r="E3731" s="23"/>
      <c r="L3731" s="23"/>
    </row>
    <row r="3732">
      <c r="B3732" s="19"/>
      <c r="E3732" s="23"/>
      <c r="L3732" s="23"/>
    </row>
    <row r="3733">
      <c r="B3733" s="19"/>
      <c r="E3733" s="23"/>
      <c r="L3733" s="23"/>
    </row>
    <row r="3734">
      <c r="B3734" s="19"/>
      <c r="E3734" s="23"/>
      <c r="L3734" s="23"/>
    </row>
    <row r="3735">
      <c r="B3735" s="19"/>
      <c r="E3735" s="23"/>
      <c r="L3735" s="23"/>
    </row>
    <row r="3736">
      <c r="B3736" s="19"/>
      <c r="E3736" s="23"/>
      <c r="L3736" s="23"/>
    </row>
    <row r="3737">
      <c r="B3737" s="19"/>
      <c r="E3737" s="23"/>
      <c r="L3737" s="23"/>
    </row>
    <row r="3738">
      <c r="B3738" s="19"/>
      <c r="E3738" s="23"/>
      <c r="L3738" s="23"/>
    </row>
    <row r="3739">
      <c r="B3739" s="19"/>
      <c r="E3739" s="23"/>
      <c r="L3739" s="23"/>
    </row>
    <row r="3740">
      <c r="B3740" s="19"/>
      <c r="E3740" s="23"/>
      <c r="L3740" s="23"/>
    </row>
    <row r="3741">
      <c r="B3741" s="19"/>
      <c r="E3741" s="23"/>
      <c r="L3741" s="23"/>
    </row>
    <row r="3742">
      <c r="B3742" s="19"/>
      <c r="E3742" s="23"/>
      <c r="L3742" s="23"/>
    </row>
    <row r="3743">
      <c r="B3743" s="19"/>
      <c r="E3743" s="23"/>
      <c r="L3743" s="23"/>
    </row>
    <row r="3744">
      <c r="B3744" s="19"/>
      <c r="E3744" s="23"/>
      <c r="L3744" s="23"/>
    </row>
    <row r="3745">
      <c r="B3745" s="19"/>
      <c r="E3745" s="23"/>
      <c r="L3745" s="23"/>
    </row>
    <row r="3746">
      <c r="B3746" s="19"/>
      <c r="E3746" s="23"/>
      <c r="L3746" s="23"/>
    </row>
    <row r="3747">
      <c r="B3747" s="19"/>
      <c r="E3747" s="23"/>
      <c r="L3747" s="23"/>
    </row>
    <row r="3748">
      <c r="B3748" s="19"/>
      <c r="E3748" s="23"/>
      <c r="L3748" s="23"/>
    </row>
    <row r="3749">
      <c r="B3749" s="19"/>
      <c r="E3749" s="23"/>
      <c r="L3749" s="23"/>
    </row>
    <row r="3750">
      <c r="B3750" s="19"/>
      <c r="E3750" s="23"/>
      <c r="L3750" s="23"/>
    </row>
    <row r="3751">
      <c r="B3751" s="19"/>
      <c r="E3751" s="23"/>
      <c r="L3751" s="23"/>
    </row>
    <row r="3752">
      <c r="B3752" s="19"/>
      <c r="E3752" s="23"/>
      <c r="L3752" s="23"/>
    </row>
    <row r="3753">
      <c r="B3753" s="19"/>
      <c r="E3753" s="23"/>
      <c r="L3753" s="23"/>
    </row>
    <row r="3754">
      <c r="B3754" s="19"/>
      <c r="E3754" s="23"/>
      <c r="L3754" s="23"/>
    </row>
    <row r="3755">
      <c r="B3755" s="19"/>
      <c r="E3755" s="23"/>
      <c r="L3755" s="23"/>
    </row>
    <row r="3756">
      <c r="B3756" s="19"/>
      <c r="E3756" s="23"/>
      <c r="L3756" s="23"/>
    </row>
    <row r="3757">
      <c r="B3757" s="19"/>
      <c r="E3757" s="23"/>
      <c r="L3757" s="23"/>
    </row>
    <row r="3758">
      <c r="B3758" s="19"/>
      <c r="E3758" s="23"/>
      <c r="L3758" s="23"/>
    </row>
    <row r="3759">
      <c r="B3759" s="19"/>
      <c r="E3759" s="23"/>
      <c r="L3759" s="23"/>
    </row>
    <row r="3760">
      <c r="B3760" s="19"/>
      <c r="E3760" s="23"/>
      <c r="L3760" s="23"/>
    </row>
    <row r="3761">
      <c r="B3761" s="19"/>
      <c r="E3761" s="23"/>
      <c r="L3761" s="23"/>
    </row>
    <row r="3762">
      <c r="B3762" s="19"/>
      <c r="E3762" s="23"/>
      <c r="L3762" s="23"/>
    </row>
    <row r="3763">
      <c r="B3763" s="19"/>
      <c r="E3763" s="23"/>
      <c r="L3763" s="23"/>
    </row>
    <row r="3764">
      <c r="B3764" s="19"/>
      <c r="E3764" s="23"/>
      <c r="L3764" s="23"/>
    </row>
    <row r="3765">
      <c r="B3765" s="19"/>
      <c r="E3765" s="23"/>
      <c r="L3765" s="23"/>
    </row>
    <row r="3766">
      <c r="B3766" s="19"/>
      <c r="E3766" s="23"/>
      <c r="L3766" s="23"/>
    </row>
    <row r="3767">
      <c r="B3767" s="19"/>
      <c r="E3767" s="23"/>
      <c r="L3767" s="23"/>
    </row>
    <row r="3768">
      <c r="B3768" s="19"/>
      <c r="E3768" s="23"/>
      <c r="L3768" s="23"/>
    </row>
    <row r="3769">
      <c r="B3769" s="19"/>
      <c r="E3769" s="23"/>
      <c r="L3769" s="23"/>
    </row>
    <row r="3770">
      <c r="B3770" s="19"/>
      <c r="E3770" s="23"/>
      <c r="L3770" s="23"/>
    </row>
    <row r="3771">
      <c r="B3771" s="19"/>
      <c r="E3771" s="23"/>
      <c r="L3771" s="23"/>
    </row>
    <row r="3772">
      <c r="B3772" s="19"/>
      <c r="E3772" s="23"/>
      <c r="L3772" s="23"/>
    </row>
    <row r="3773">
      <c r="B3773" s="19"/>
      <c r="E3773" s="23"/>
      <c r="L3773" s="23"/>
    </row>
    <row r="3774">
      <c r="B3774" s="19"/>
      <c r="E3774" s="23"/>
      <c r="L3774" s="23"/>
    </row>
    <row r="3775">
      <c r="B3775" s="19"/>
      <c r="E3775" s="23"/>
      <c r="L3775" s="23"/>
    </row>
    <row r="3776">
      <c r="B3776" s="19"/>
      <c r="E3776" s="23"/>
      <c r="L3776" s="23"/>
    </row>
    <row r="3777">
      <c r="B3777" s="19"/>
      <c r="E3777" s="23"/>
      <c r="L3777" s="23"/>
    </row>
    <row r="3778">
      <c r="B3778" s="19"/>
      <c r="E3778" s="23"/>
      <c r="L3778" s="23"/>
    </row>
    <row r="3779">
      <c r="B3779" s="19"/>
      <c r="E3779" s="23"/>
      <c r="L3779" s="23"/>
    </row>
    <row r="3780">
      <c r="B3780" s="19"/>
      <c r="E3780" s="23"/>
      <c r="L3780" s="23"/>
    </row>
    <row r="3781">
      <c r="B3781" s="19"/>
      <c r="E3781" s="23"/>
      <c r="L3781" s="23"/>
    </row>
    <row r="3782">
      <c r="B3782" s="19"/>
      <c r="E3782" s="23"/>
      <c r="L3782" s="23"/>
    </row>
    <row r="3783">
      <c r="B3783" s="19"/>
      <c r="E3783" s="23"/>
      <c r="L3783" s="23"/>
    </row>
    <row r="3784">
      <c r="B3784" s="19"/>
      <c r="E3784" s="23"/>
      <c r="L3784" s="23"/>
    </row>
    <row r="3785">
      <c r="B3785" s="19"/>
      <c r="E3785" s="23"/>
      <c r="L3785" s="23"/>
    </row>
    <row r="3786">
      <c r="B3786" s="19"/>
      <c r="E3786" s="23"/>
      <c r="L3786" s="23"/>
    </row>
    <row r="3787">
      <c r="B3787" s="19"/>
      <c r="E3787" s="23"/>
      <c r="L3787" s="23"/>
    </row>
    <row r="3788">
      <c r="B3788" s="19"/>
      <c r="E3788" s="23"/>
      <c r="L3788" s="23"/>
    </row>
    <row r="3789">
      <c r="B3789" s="19"/>
      <c r="E3789" s="23"/>
      <c r="L3789" s="23"/>
    </row>
    <row r="3790">
      <c r="B3790" s="19"/>
      <c r="E3790" s="23"/>
      <c r="L3790" s="23"/>
    </row>
    <row r="3791">
      <c r="B3791" s="19"/>
      <c r="E3791" s="23"/>
      <c r="L3791" s="23"/>
    </row>
    <row r="3792">
      <c r="B3792" s="19"/>
      <c r="E3792" s="23"/>
      <c r="L3792" s="23"/>
    </row>
    <row r="3793">
      <c r="B3793" s="19"/>
      <c r="E3793" s="23"/>
      <c r="L3793" s="23"/>
    </row>
    <row r="3794">
      <c r="B3794" s="19"/>
      <c r="E3794" s="23"/>
      <c r="L3794" s="23"/>
    </row>
    <row r="3795">
      <c r="B3795" s="19"/>
      <c r="E3795" s="23"/>
      <c r="L3795" s="23"/>
    </row>
    <row r="3796">
      <c r="B3796" s="19"/>
      <c r="E3796" s="23"/>
      <c r="L3796" s="23"/>
    </row>
    <row r="3797">
      <c r="B3797" s="19"/>
      <c r="E3797" s="23"/>
      <c r="L3797" s="23"/>
    </row>
    <row r="3798">
      <c r="B3798" s="19"/>
      <c r="E3798" s="23"/>
      <c r="L3798" s="23"/>
    </row>
    <row r="3799">
      <c r="B3799" s="19"/>
      <c r="E3799" s="23"/>
      <c r="L3799" s="23"/>
    </row>
    <row r="3800">
      <c r="B3800" s="19"/>
      <c r="E3800" s="23"/>
      <c r="L3800" s="23"/>
    </row>
    <row r="3801">
      <c r="B3801" s="19"/>
      <c r="E3801" s="23"/>
      <c r="L3801" s="23"/>
    </row>
    <row r="3802">
      <c r="B3802" s="19"/>
      <c r="E3802" s="23"/>
      <c r="L3802" s="23"/>
    </row>
    <row r="3803">
      <c r="B3803" s="19"/>
      <c r="E3803" s="23"/>
      <c r="L3803" s="23"/>
    </row>
    <row r="3804">
      <c r="B3804" s="19"/>
      <c r="E3804" s="23"/>
      <c r="L3804" s="23"/>
    </row>
    <row r="3805">
      <c r="B3805" s="19"/>
      <c r="E3805" s="23"/>
      <c r="L3805" s="23"/>
    </row>
    <row r="3806">
      <c r="B3806" s="19"/>
      <c r="E3806" s="23"/>
      <c r="L3806" s="23"/>
    </row>
    <row r="3807">
      <c r="B3807" s="19"/>
      <c r="E3807" s="23"/>
      <c r="L3807" s="23"/>
    </row>
    <row r="3808">
      <c r="B3808" s="19"/>
      <c r="E3808" s="23"/>
      <c r="L3808" s="23"/>
    </row>
    <row r="3809">
      <c r="B3809" s="19"/>
      <c r="E3809" s="23"/>
      <c r="L3809" s="23"/>
    </row>
    <row r="3810">
      <c r="B3810" s="19"/>
      <c r="E3810" s="23"/>
      <c r="L3810" s="23"/>
    </row>
    <row r="3811">
      <c r="B3811" s="19"/>
      <c r="E3811" s="23"/>
      <c r="L3811" s="23"/>
    </row>
    <row r="3812">
      <c r="B3812" s="19"/>
      <c r="E3812" s="23"/>
      <c r="L3812" s="23"/>
    </row>
    <row r="3813">
      <c r="B3813" s="19"/>
      <c r="E3813" s="23"/>
      <c r="L3813" s="23"/>
    </row>
    <row r="3814">
      <c r="B3814" s="19"/>
      <c r="E3814" s="23"/>
      <c r="L3814" s="23"/>
    </row>
    <row r="3815">
      <c r="B3815" s="19"/>
      <c r="E3815" s="23"/>
      <c r="L3815" s="23"/>
    </row>
    <row r="3816">
      <c r="B3816" s="19"/>
      <c r="E3816" s="23"/>
      <c r="L3816" s="23"/>
    </row>
    <row r="3817">
      <c r="B3817" s="19"/>
      <c r="E3817" s="23"/>
      <c r="L3817" s="23"/>
    </row>
    <row r="3818">
      <c r="B3818" s="19"/>
      <c r="E3818" s="23"/>
      <c r="L3818" s="23"/>
    </row>
    <row r="3819">
      <c r="B3819" s="19"/>
      <c r="E3819" s="23"/>
      <c r="L3819" s="23"/>
    </row>
    <row r="3820">
      <c r="B3820" s="19"/>
      <c r="E3820" s="23"/>
      <c r="L3820" s="23"/>
    </row>
    <row r="3821">
      <c r="B3821" s="19"/>
      <c r="E3821" s="23"/>
      <c r="L3821" s="23"/>
    </row>
    <row r="3822">
      <c r="B3822" s="19"/>
      <c r="E3822" s="23"/>
      <c r="L3822" s="23"/>
    </row>
    <row r="3823">
      <c r="B3823" s="19"/>
      <c r="E3823" s="23"/>
      <c r="L3823" s="23"/>
    </row>
    <row r="3824">
      <c r="B3824" s="19"/>
      <c r="E3824" s="23"/>
      <c r="L3824" s="23"/>
    </row>
    <row r="3825">
      <c r="B3825" s="19"/>
      <c r="E3825" s="23"/>
      <c r="L3825" s="23"/>
    </row>
    <row r="3826">
      <c r="B3826" s="19"/>
      <c r="E3826" s="23"/>
      <c r="L3826" s="23"/>
    </row>
    <row r="3827">
      <c r="B3827" s="19"/>
      <c r="E3827" s="23"/>
      <c r="L3827" s="23"/>
    </row>
    <row r="3828">
      <c r="B3828" s="19"/>
      <c r="E3828" s="23"/>
      <c r="L3828" s="23"/>
    </row>
    <row r="3829">
      <c r="B3829" s="19"/>
      <c r="E3829" s="23"/>
      <c r="L3829" s="23"/>
    </row>
    <row r="3830">
      <c r="B3830" s="19"/>
      <c r="E3830" s="23"/>
      <c r="L3830" s="23"/>
    </row>
    <row r="3831">
      <c r="B3831" s="19"/>
      <c r="E3831" s="23"/>
      <c r="L3831" s="23"/>
    </row>
    <row r="3832">
      <c r="B3832" s="19"/>
      <c r="E3832" s="23"/>
      <c r="L3832" s="23"/>
    </row>
    <row r="3833">
      <c r="B3833" s="19"/>
      <c r="E3833" s="23"/>
      <c r="L3833" s="23"/>
    </row>
    <row r="3834">
      <c r="B3834" s="19"/>
      <c r="E3834" s="23"/>
      <c r="L3834" s="23"/>
    </row>
    <row r="3835">
      <c r="B3835" s="19"/>
      <c r="E3835" s="23"/>
      <c r="L3835" s="23"/>
    </row>
    <row r="3836">
      <c r="B3836" s="19"/>
      <c r="E3836" s="23"/>
      <c r="L3836" s="23"/>
    </row>
    <row r="3837">
      <c r="B3837" s="19"/>
      <c r="E3837" s="23"/>
      <c r="L3837" s="23"/>
    </row>
    <row r="3838">
      <c r="B3838" s="19"/>
      <c r="E3838" s="23"/>
      <c r="L3838" s="23"/>
    </row>
    <row r="3839">
      <c r="B3839" s="19"/>
      <c r="E3839" s="23"/>
      <c r="L3839" s="23"/>
    </row>
    <row r="3840">
      <c r="B3840" s="19"/>
      <c r="E3840" s="23"/>
      <c r="L3840" s="23"/>
    </row>
    <row r="3841">
      <c r="B3841" s="19"/>
      <c r="E3841" s="23"/>
      <c r="L3841" s="23"/>
    </row>
    <row r="3842">
      <c r="B3842" s="19"/>
      <c r="E3842" s="23"/>
      <c r="L3842" s="23"/>
    </row>
    <row r="3843">
      <c r="B3843" s="19"/>
      <c r="E3843" s="23"/>
      <c r="L3843" s="23"/>
    </row>
    <row r="3844">
      <c r="B3844" s="19"/>
      <c r="E3844" s="23"/>
      <c r="L3844" s="23"/>
    </row>
    <row r="3845">
      <c r="B3845" s="19"/>
      <c r="E3845" s="23"/>
      <c r="L3845" s="23"/>
    </row>
    <row r="3846">
      <c r="B3846" s="19"/>
      <c r="E3846" s="23"/>
      <c r="L3846" s="23"/>
    </row>
    <row r="3847">
      <c r="B3847" s="19"/>
      <c r="E3847" s="23"/>
      <c r="L3847" s="23"/>
    </row>
    <row r="3848">
      <c r="B3848" s="19"/>
      <c r="E3848" s="23"/>
      <c r="L3848" s="23"/>
    </row>
    <row r="3849">
      <c r="B3849" s="19"/>
      <c r="E3849" s="23"/>
      <c r="L3849" s="23"/>
    </row>
    <row r="3850">
      <c r="B3850" s="19"/>
      <c r="E3850" s="23"/>
      <c r="L3850" s="23"/>
    </row>
    <row r="3851">
      <c r="B3851" s="19"/>
      <c r="E3851" s="23"/>
      <c r="L3851" s="23"/>
    </row>
    <row r="3852">
      <c r="B3852" s="19"/>
      <c r="E3852" s="23"/>
      <c r="L3852" s="23"/>
    </row>
    <row r="3853">
      <c r="B3853" s="19"/>
      <c r="E3853" s="23"/>
      <c r="L3853" s="23"/>
    </row>
    <row r="3854">
      <c r="B3854" s="19"/>
      <c r="E3854" s="23"/>
      <c r="L3854" s="23"/>
    </row>
    <row r="3855">
      <c r="B3855" s="19"/>
      <c r="E3855" s="23"/>
      <c r="L3855" s="23"/>
    </row>
    <row r="3856">
      <c r="B3856" s="19"/>
      <c r="E3856" s="23"/>
      <c r="L3856" s="23"/>
    </row>
    <row r="3857">
      <c r="B3857" s="19"/>
      <c r="E3857" s="23"/>
      <c r="L3857" s="23"/>
    </row>
    <row r="3858">
      <c r="B3858" s="19"/>
      <c r="E3858" s="23"/>
      <c r="L3858" s="23"/>
    </row>
    <row r="3859">
      <c r="B3859" s="19"/>
      <c r="E3859" s="23"/>
      <c r="L3859" s="23"/>
    </row>
    <row r="3860">
      <c r="B3860" s="19"/>
      <c r="E3860" s="23"/>
      <c r="L3860" s="23"/>
    </row>
    <row r="3861">
      <c r="B3861" s="19"/>
      <c r="E3861" s="23"/>
      <c r="L3861" s="23"/>
    </row>
    <row r="3862">
      <c r="B3862" s="19"/>
      <c r="E3862" s="23"/>
      <c r="L3862" s="23"/>
    </row>
    <row r="3863">
      <c r="B3863" s="19"/>
      <c r="E3863" s="23"/>
      <c r="L3863" s="23"/>
    </row>
    <row r="3864">
      <c r="B3864" s="19"/>
      <c r="E3864" s="23"/>
      <c r="L3864" s="23"/>
    </row>
    <row r="3865">
      <c r="B3865" s="19"/>
      <c r="E3865" s="23"/>
      <c r="L3865" s="23"/>
    </row>
    <row r="3866">
      <c r="B3866" s="19"/>
      <c r="E3866" s="23"/>
      <c r="L3866" s="23"/>
    </row>
    <row r="3867">
      <c r="B3867" s="19"/>
      <c r="E3867" s="23"/>
      <c r="L3867" s="23"/>
    </row>
    <row r="3868">
      <c r="B3868" s="19"/>
      <c r="E3868" s="23"/>
      <c r="L3868" s="23"/>
    </row>
    <row r="3869">
      <c r="B3869" s="19"/>
      <c r="E3869" s="23"/>
      <c r="L3869" s="23"/>
    </row>
    <row r="3870">
      <c r="B3870" s="19"/>
      <c r="E3870" s="23"/>
      <c r="L3870" s="23"/>
    </row>
    <row r="3871">
      <c r="B3871" s="19"/>
      <c r="E3871" s="23"/>
      <c r="L3871" s="23"/>
    </row>
    <row r="3872">
      <c r="B3872" s="19"/>
      <c r="E3872" s="23"/>
      <c r="L3872" s="23"/>
    </row>
    <row r="3873">
      <c r="B3873" s="19"/>
      <c r="E3873" s="23"/>
      <c r="L3873" s="23"/>
    </row>
    <row r="3874">
      <c r="B3874" s="19"/>
      <c r="E3874" s="23"/>
      <c r="L3874" s="23"/>
    </row>
    <row r="3875">
      <c r="B3875" s="19"/>
      <c r="E3875" s="23"/>
      <c r="L3875" s="23"/>
    </row>
    <row r="3876">
      <c r="B3876" s="19"/>
      <c r="E3876" s="23"/>
      <c r="L3876" s="23"/>
    </row>
    <row r="3877">
      <c r="B3877" s="19"/>
      <c r="E3877" s="23"/>
      <c r="L3877" s="23"/>
    </row>
    <row r="3878">
      <c r="B3878" s="19"/>
      <c r="E3878" s="23"/>
      <c r="L3878" s="23"/>
    </row>
    <row r="3879">
      <c r="B3879" s="19"/>
      <c r="E3879" s="23"/>
      <c r="L3879" s="23"/>
    </row>
    <row r="3880">
      <c r="B3880" s="19"/>
      <c r="E3880" s="23"/>
      <c r="L3880" s="23"/>
    </row>
    <row r="3881">
      <c r="B3881" s="19"/>
      <c r="E3881" s="23"/>
      <c r="L3881" s="23"/>
    </row>
    <row r="3882">
      <c r="B3882" s="19"/>
      <c r="E3882" s="23"/>
      <c r="L3882" s="23"/>
    </row>
    <row r="3883">
      <c r="B3883" s="19"/>
      <c r="E3883" s="23"/>
      <c r="L3883" s="23"/>
    </row>
    <row r="3884">
      <c r="B3884" s="19"/>
      <c r="E3884" s="23"/>
      <c r="L3884" s="23"/>
    </row>
    <row r="3885">
      <c r="B3885" s="19"/>
      <c r="E3885" s="23"/>
      <c r="L3885" s="23"/>
    </row>
    <row r="3886">
      <c r="B3886" s="19"/>
      <c r="E3886" s="23"/>
      <c r="L3886" s="23"/>
    </row>
    <row r="3887">
      <c r="B3887" s="19"/>
      <c r="E3887" s="23"/>
      <c r="L3887" s="23"/>
    </row>
    <row r="3888">
      <c r="B3888" s="19"/>
      <c r="E3888" s="23"/>
      <c r="L3888" s="23"/>
    </row>
    <row r="3889">
      <c r="B3889" s="19"/>
      <c r="E3889" s="23"/>
      <c r="L3889" s="23"/>
    </row>
    <row r="3890">
      <c r="B3890" s="19"/>
      <c r="E3890" s="23"/>
      <c r="L3890" s="23"/>
    </row>
    <row r="3891">
      <c r="B3891" s="19"/>
      <c r="E3891" s="23"/>
      <c r="L3891" s="23"/>
    </row>
    <row r="3892">
      <c r="B3892" s="19"/>
      <c r="E3892" s="23"/>
      <c r="L3892" s="23"/>
    </row>
    <row r="3893">
      <c r="B3893" s="19"/>
      <c r="E3893" s="23"/>
      <c r="L3893" s="23"/>
    </row>
    <row r="3894">
      <c r="B3894" s="19"/>
      <c r="E3894" s="23"/>
      <c r="L3894" s="23"/>
    </row>
    <row r="3895">
      <c r="B3895" s="19"/>
      <c r="E3895" s="23"/>
      <c r="L3895" s="23"/>
    </row>
    <row r="3896">
      <c r="B3896" s="19"/>
      <c r="E3896" s="23"/>
      <c r="L3896" s="23"/>
    </row>
    <row r="3897">
      <c r="B3897" s="19"/>
      <c r="E3897" s="23"/>
      <c r="L3897" s="23"/>
    </row>
    <row r="3898">
      <c r="B3898" s="19"/>
      <c r="E3898" s="23"/>
      <c r="L3898" s="23"/>
    </row>
    <row r="3899">
      <c r="B3899" s="19"/>
      <c r="E3899" s="23"/>
      <c r="L3899" s="23"/>
    </row>
    <row r="3900">
      <c r="B3900" s="19"/>
      <c r="E3900" s="23"/>
      <c r="L3900" s="23"/>
    </row>
    <row r="3901">
      <c r="B3901" s="19"/>
      <c r="E3901" s="23"/>
      <c r="L3901" s="23"/>
    </row>
    <row r="3902">
      <c r="B3902" s="19"/>
      <c r="E3902" s="23"/>
      <c r="L3902" s="23"/>
    </row>
    <row r="3903">
      <c r="B3903" s="19"/>
      <c r="E3903" s="23"/>
      <c r="L3903" s="23"/>
    </row>
    <row r="3904">
      <c r="B3904" s="19"/>
      <c r="E3904" s="23"/>
      <c r="L3904" s="23"/>
    </row>
    <row r="3905">
      <c r="B3905" s="19"/>
      <c r="E3905" s="23"/>
      <c r="L3905" s="23"/>
    </row>
    <row r="3906">
      <c r="B3906" s="19"/>
      <c r="E3906" s="23"/>
      <c r="L3906" s="23"/>
    </row>
    <row r="3907">
      <c r="B3907" s="19"/>
      <c r="E3907" s="23"/>
      <c r="L3907" s="23"/>
    </row>
    <row r="3908">
      <c r="B3908" s="19"/>
      <c r="E3908" s="23"/>
      <c r="L3908" s="23"/>
    </row>
    <row r="3909">
      <c r="B3909" s="19"/>
      <c r="E3909" s="23"/>
      <c r="L3909" s="23"/>
    </row>
    <row r="3910">
      <c r="B3910" s="19"/>
      <c r="E3910" s="23"/>
      <c r="L3910" s="23"/>
    </row>
    <row r="3911">
      <c r="B3911" s="19"/>
      <c r="E3911" s="23"/>
      <c r="L3911" s="23"/>
    </row>
    <row r="3912">
      <c r="B3912" s="19"/>
      <c r="E3912" s="23"/>
      <c r="L3912" s="23"/>
    </row>
    <row r="3913">
      <c r="B3913" s="19"/>
      <c r="E3913" s="23"/>
      <c r="L3913" s="23"/>
    </row>
    <row r="3914">
      <c r="B3914" s="19"/>
      <c r="E3914" s="23"/>
      <c r="L3914" s="23"/>
    </row>
    <row r="3915">
      <c r="B3915" s="19"/>
      <c r="E3915" s="23"/>
      <c r="L3915" s="23"/>
    </row>
    <row r="3916">
      <c r="B3916" s="19"/>
      <c r="E3916" s="23"/>
      <c r="L3916" s="23"/>
    </row>
    <row r="3917">
      <c r="B3917" s="19"/>
      <c r="E3917" s="23"/>
      <c r="L3917" s="23"/>
    </row>
    <row r="3918">
      <c r="B3918" s="19"/>
      <c r="E3918" s="23"/>
      <c r="L3918" s="23"/>
    </row>
    <row r="3919">
      <c r="B3919" s="19"/>
      <c r="E3919" s="23"/>
      <c r="L3919" s="23"/>
    </row>
    <row r="3920">
      <c r="B3920" s="19"/>
      <c r="E3920" s="23"/>
      <c r="L3920" s="23"/>
    </row>
    <row r="3921">
      <c r="B3921" s="19"/>
      <c r="E3921" s="23"/>
      <c r="L3921" s="23"/>
    </row>
    <row r="3922">
      <c r="B3922" s="19"/>
      <c r="E3922" s="23"/>
      <c r="L3922" s="23"/>
    </row>
    <row r="3923">
      <c r="B3923" s="19"/>
      <c r="E3923" s="23"/>
      <c r="L3923" s="23"/>
    </row>
    <row r="3924">
      <c r="B3924" s="19"/>
      <c r="E3924" s="23"/>
      <c r="L3924" s="23"/>
    </row>
    <row r="3925">
      <c r="B3925" s="19"/>
      <c r="E3925" s="23"/>
      <c r="L3925" s="23"/>
    </row>
    <row r="3926">
      <c r="B3926" s="19"/>
      <c r="E3926" s="23"/>
      <c r="L3926" s="23"/>
    </row>
    <row r="3927">
      <c r="B3927" s="19"/>
      <c r="E3927" s="23"/>
      <c r="L3927" s="23"/>
    </row>
    <row r="3928">
      <c r="B3928" s="19"/>
      <c r="E3928" s="23"/>
      <c r="L3928" s="23"/>
    </row>
    <row r="3929">
      <c r="B3929" s="19"/>
      <c r="E3929" s="23"/>
      <c r="L3929" s="23"/>
    </row>
    <row r="3930">
      <c r="B3930" s="19"/>
      <c r="E3930" s="23"/>
      <c r="L3930" s="23"/>
    </row>
    <row r="3931">
      <c r="B3931" s="19"/>
      <c r="E3931" s="23"/>
      <c r="L3931" s="23"/>
    </row>
    <row r="3932">
      <c r="B3932" s="19"/>
      <c r="E3932" s="23"/>
      <c r="L3932" s="23"/>
    </row>
    <row r="3933">
      <c r="B3933" s="19"/>
      <c r="E3933" s="23"/>
      <c r="L3933" s="23"/>
    </row>
    <row r="3934">
      <c r="B3934" s="19"/>
      <c r="E3934" s="23"/>
      <c r="L3934" s="23"/>
    </row>
    <row r="3935">
      <c r="B3935" s="19"/>
      <c r="E3935" s="23"/>
      <c r="L3935" s="23"/>
    </row>
    <row r="3936">
      <c r="B3936" s="19"/>
      <c r="E3936" s="23"/>
      <c r="L3936" s="23"/>
    </row>
    <row r="3937">
      <c r="B3937" s="19"/>
      <c r="E3937" s="23"/>
      <c r="L3937" s="23"/>
    </row>
    <row r="3938">
      <c r="B3938" s="19"/>
      <c r="E3938" s="23"/>
      <c r="L3938" s="23"/>
    </row>
    <row r="3939">
      <c r="B3939" s="19"/>
      <c r="E3939" s="23"/>
      <c r="L3939" s="23"/>
    </row>
    <row r="3940">
      <c r="B3940" s="19"/>
      <c r="E3940" s="23"/>
      <c r="L3940" s="23"/>
    </row>
    <row r="3941">
      <c r="B3941" s="19"/>
      <c r="E3941" s="23"/>
      <c r="L3941" s="23"/>
    </row>
    <row r="3942">
      <c r="B3942" s="19"/>
      <c r="E3942" s="23"/>
      <c r="L3942" s="23"/>
    </row>
    <row r="3943">
      <c r="B3943" s="19"/>
      <c r="E3943" s="23"/>
      <c r="L3943" s="23"/>
    </row>
    <row r="3944">
      <c r="B3944" s="19"/>
      <c r="E3944" s="23"/>
      <c r="L3944" s="23"/>
    </row>
    <row r="3945">
      <c r="B3945" s="19"/>
      <c r="E3945" s="23"/>
      <c r="L3945" s="23"/>
    </row>
    <row r="3946">
      <c r="B3946" s="19"/>
      <c r="E3946" s="23"/>
      <c r="L3946" s="23"/>
    </row>
    <row r="3947">
      <c r="B3947" s="19"/>
      <c r="E3947" s="23"/>
      <c r="L3947" s="23"/>
    </row>
    <row r="3948">
      <c r="B3948" s="19"/>
      <c r="E3948" s="23"/>
      <c r="L3948" s="23"/>
    </row>
    <row r="3949">
      <c r="B3949" s="19"/>
      <c r="E3949" s="23"/>
      <c r="L3949" s="23"/>
    </row>
    <row r="3950">
      <c r="B3950" s="19"/>
      <c r="E3950" s="23"/>
      <c r="L3950" s="23"/>
    </row>
    <row r="3951">
      <c r="B3951" s="19"/>
      <c r="E3951" s="23"/>
      <c r="L3951" s="23"/>
    </row>
    <row r="3952">
      <c r="B3952" s="19"/>
      <c r="E3952" s="23"/>
      <c r="L3952" s="23"/>
    </row>
    <row r="3953">
      <c r="B3953" s="19"/>
      <c r="E3953" s="23"/>
      <c r="L3953" s="23"/>
    </row>
    <row r="3954">
      <c r="B3954" s="19"/>
      <c r="E3954" s="23"/>
      <c r="L3954" s="23"/>
    </row>
    <row r="3955">
      <c r="B3955" s="19"/>
      <c r="E3955" s="23"/>
      <c r="L3955" s="23"/>
    </row>
    <row r="3956">
      <c r="B3956" s="19"/>
      <c r="E3956" s="23"/>
      <c r="L3956" s="23"/>
    </row>
    <row r="3957">
      <c r="B3957" s="19"/>
      <c r="E3957" s="23"/>
      <c r="L3957" s="23"/>
    </row>
    <row r="3958">
      <c r="B3958" s="19"/>
      <c r="E3958" s="23"/>
      <c r="L3958" s="23"/>
    </row>
    <row r="3959">
      <c r="B3959" s="19"/>
      <c r="E3959" s="23"/>
      <c r="L3959" s="23"/>
    </row>
    <row r="3960">
      <c r="B3960" s="19"/>
      <c r="E3960" s="23"/>
      <c r="L3960" s="23"/>
    </row>
    <row r="3961">
      <c r="B3961" s="19"/>
      <c r="E3961" s="23"/>
      <c r="L3961" s="23"/>
    </row>
    <row r="3962">
      <c r="B3962" s="19"/>
      <c r="E3962" s="23"/>
      <c r="L3962" s="23"/>
    </row>
    <row r="3963">
      <c r="B3963" s="19"/>
      <c r="E3963" s="23"/>
      <c r="L3963" s="23"/>
    </row>
    <row r="3964">
      <c r="B3964" s="19"/>
      <c r="E3964" s="23"/>
      <c r="L3964" s="23"/>
    </row>
    <row r="3965">
      <c r="B3965" s="19"/>
      <c r="E3965" s="23"/>
      <c r="L3965" s="23"/>
    </row>
    <row r="3966">
      <c r="B3966" s="19"/>
      <c r="E3966" s="23"/>
      <c r="L3966" s="23"/>
    </row>
    <row r="3967">
      <c r="B3967" s="19"/>
      <c r="E3967" s="23"/>
      <c r="L3967" s="23"/>
    </row>
    <row r="3968">
      <c r="B3968" s="19"/>
      <c r="E3968" s="23"/>
      <c r="L3968" s="23"/>
    </row>
    <row r="3969">
      <c r="B3969" s="19"/>
      <c r="E3969" s="23"/>
      <c r="L3969" s="23"/>
    </row>
    <row r="3970">
      <c r="B3970" s="19"/>
      <c r="E3970" s="23"/>
      <c r="L3970" s="23"/>
    </row>
    <row r="3971">
      <c r="B3971" s="19"/>
      <c r="E3971" s="23"/>
      <c r="L3971" s="23"/>
    </row>
    <row r="3972">
      <c r="B3972" s="19"/>
      <c r="E3972" s="23"/>
      <c r="L3972" s="23"/>
    </row>
    <row r="3973">
      <c r="B3973" s="19"/>
      <c r="E3973" s="23"/>
      <c r="L3973" s="23"/>
    </row>
    <row r="3974">
      <c r="B3974" s="19"/>
      <c r="E3974" s="23"/>
      <c r="L3974" s="23"/>
    </row>
    <row r="3975">
      <c r="B3975" s="19"/>
      <c r="E3975" s="23"/>
      <c r="L3975" s="23"/>
    </row>
    <row r="3976">
      <c r="B3976" s="19"/>
      <c r="E3976" s="23"/>
      <c r="L3976" s="23"/>
    </row>
    <row r="3977">
      <c r="B3977" s="19"/>
      <c r="E3977" s="23"/>
      <c r="L3977" s="23"/>
    </row>
    <row r="3978">
      <c r="B3978" s="19"/>
      <c r="E3978" s="23"/>
      <c r="L3978" s="23"/>
    </row>
    <row r="3979">
      <c r="B3979" s="19"/>
      <c r="E3979" s="23"/>
      <c r="L3979" s="23"/>
    </row>
    <row r="3980">
      <c r="B3980" s="19"/>
      <c r="E3980" s="23"/>
      <c r="L3980" s="23"/>
    </row>
    <row r="3981">
      <c r="B3981" s="19"/>
      <c r="E3981" s="23"/>
      <c r="L3981" s="23"/>
    </row>
    <row r="3982">
      <c r="B3982" s="19"/>
      <c r="E3982" s="23"/>
      <c r="L3982" s="23"/>
    </row>
    <row r="3983">
      <c r="B3983" s="19"/>
      <c r="E3983" s="23"/>
      <c r="L3983" s="23"/>
    </row>
    <row r="3984">
      <c r="B3984" s="19"/>
      <c r="E3984" s="23"/>
      <c r="L3984" s="23"/>
    </row>
    <row r="3985">
      <c r="B3985" s="19"/>
      <c r="E3985" s="23"/>
      <c r="L3985" s="23"/>
    </row>
    <row r="3986">
      <c r="B3986" s="19"/>
      <c r="E3986" s="23"/>
      <c r="L3986" s="23"/>
    </row>
    <row r="3987">
      <c r="B3987" s="19"/>
      <c r="E3987" s="23"/>
      <c r="L3987" s="23"/>
    </row>
    <row r="3988">
      <c r="B3988" s="19"/>
      <c r="E3988" s="23"/>
      <c r="L3988" s="23"/>
    </row>
    <row r="3989">
      <c r="B3989" s="19"/>
      <c r="E3989" s="23"/>
      <c r="L3989" s="23"/>
    </row>
    <row r="3990">
      <c r="B3990" s="19"/>
      <c r="E3990" s="23"/>
      <c r="L3990" s="23"/>
    </row>
    <row r="3991">
      <c r="B3991" s="19"/>
      <c r="E3991" s="23"/>
      <c r="L3991" s="23"/>
    </row>
    <row r="3992">
      <c r="B3992" s="19"/>
      <c r="E3992" s="23"/>
      <c r="L3992" s="23"/>
    </row>
    <row r="3993">
      <c r="B3993" s="19"/>
      <c r="E3993" s="23"/>
      <c r="L3993" s="23"/>
    </row>
    <row r="3994">
      <c r="B3994" s="19"/>
      <c r="E3994" s="23"/>
      <c r="L3994" s="23"/>
    </row>
    <row r="3995">
      <c r="B3995" s="19"/>
      <c r="E3995" s="23"/>
      <c r="L3995" s="23"/>
    </row>
    <row r="3996">
      <c r="B3996" s="19"/>
      <c r="E3996" s="23"/>
      <c r="L3996" s="23"/>
    </row>
    <row r="3997">
      <c r="B3997" s="19"/>
      <c r="E3997" s="23"/>
      <c r="L3997" s="23"/>
    </row>
    <row r="3998">
      <c r="B3998" s="19"/>
      <c r="E3998" s="23"/>
      <c r="L3998" s="23"/>
    </row>
    <row r="3999">
      <c r="B3999" s="19"/>
      <c r="E3999" s="23"/>
      <c r="L3999" s="23"/>
    </row>
    <row r="4000">
      <c r="B4000" s="19"/>
      <c r="E4000" s="23"/>
      <c r="L4000" s="23"/>
    </row>
    <row r="4001">
      <c r="B4001" s="19"/>
      <c r="E4001" s="23"/>
      <c r="L4001" s="23"/>
    </row>
    <row r="4002">
      <c r="B4002" s="19"/>
      <c r="E4002" s="23"/>
      <c r="L4002" s="23"/>
    </row>
    <row r="4003">
      <c r="B4003" s="19"/>
      <c r="E4003" s="23"/>
      <c r="L4003" s="23"/>
    </row>
    <row r="4004">
      <c r="B4004" s="19"/>
      <c r="E4004" s="23"/>
      <c r="L4004" s="23"/>
    </row>
    <row r="4005">
      <c r="B4005" s="19"/>
      <c r="E4005" s="23"/>
      <c r="L4005" s="23"/>
    </row>
    <row r="4006">
      <c r="B4006" s="19"/>
      <c r="E4006" s="23"/>
      <c r="L4006" s="23"/>
    </row>
    <row r="4007">
      <c r="B4007" s="19"/>
      <c r="E4007" s="23"/>
      <c r="L4007" s="23"/>
    </row>
    <row r="4008">
      <c r="B4008" s="19"/>
      <c r="E4008" s="23"/>
      <c r="L4008" s="23"/>
    </row>
    <row r="4009">
      <c r="B4009" s="19"/>
      <c r="E4009" s="23"/>
      <c r="L4009" s="23"/>
    </row>
    <row r="4010">
      <c r="B4010" s="19"/>
      <c r="E4010" s="23"/>
      <c r="L4010" s="23"/>
    </row>
    <row r="4011">
      <c r="B4011" s="19"/>
      <c r="E4011" s="23"/>
      <c r="L4011" s="23"/>
    </row>
    <row r="4012">
      <c r="B4012" s="19"/>
      <c r="E4012" s="23"/>
      <c r="L4012" s="23"/>
    </row>
    <row r="4013">
      <c r="B4013" s="19"/>
      <c r="E4013" s="23"/>
      <c r="L4013" s="23"/>
    </row>
    <row r="4014">
      <c r="B4014" s="19"/>
      <c r="E4014" s="23"/>
      <c r="L4014" s="23"/>
    </row>
    <row r="4015">
      <c r="B4015" s="19"/>
      <c r="E4015" s="23"/>
      <c r="L4015" s="23"/>
    </row>
    <row r="4016">
      <c r="B4016" s="19"/>
      <c r="E4016" s="23"/>
      <c r="L4016" s="23"/>
    </row>
    <row r="4017">
      <c r="B4017" s="19"/>
      <c r="E4017" s="23"/>
      <c r="L4017" s="23"/>
    </row>
    <row r="4018">
      <c r="B4018" s="19"/>
      <c r="E4018" s="23"/>
      <c r="L4018" s="23"/>
    </row>
    <row r="4019">
      <c r="B4019" s="19"/>
      <c r="E4019" s="23"/>
      <c r="L4019" s="23"/>
    </row>
    <row r="4020">
      <c r="B4020" s="19"/>
      <c r="E4020" s="23"/>
      <c r="L4020" s="23"/>
    </row>
    <row r="4021">
      <c r="B4021" s="19"/>
      <c r="E4021" s="23"/>
      <c r="L4021" s="23"/>
    </row>
    <row r="4022">
      <c r="B4022" s="19"/>
      <c r="E4022" s="23"/>
      <c r="L4022" s="23"/>
    </row>
    <row r="4023">
      <c r="B4023" s="19"/>
      <c r="E4023" s="23"/>
      <c r="L4023" s="23"/>
    </row>
    <row r="4024">
      <c r="B4024" s="19"/>
      <c r="E4024" s="23"/>
      <c r="L4024" s="23"/>
    </row>
    <row r="4025">
      <c r="B4025" s="19"/>
      <c r="E4025" s="23"/>
      <c r="L4025" s="23"/>
    </row>
    <row r="4026">
      <c r="B4026" s="19"/>
      <c r="E4026" s="23"/>
      <c r="L4026" s="23"/>
    </row>
    <row r="4027">
      <c r="B4027" s="19"/>
      <c r="E4027" s="23"/>
      <c r="L4027" s="23"/>
    </row>
    <row r="4028">
      <c r="B4028" s="19"/>
      <c r="E4028" s="23"/>
      <c r="L4028" s="23"/>
    </row>
    <row r="4029">
      <c r="B4029" s="19"/>
      <c r="E4029" s="23"/>
      <c r="L4029" s="23"/>
    </row>
    <row r="4030">
      <c r="B4030" s="19"/>
      <c r="E4030" s="23"/>
      <c r="L4030" s="23"/>
    </row>
    <row r="4031">
      <c r="B4031" s="19"/>
      <c r="E4031" s="23"/>
      <c r="L4031" s="23"/>
    </row>
    <row r="4032">
      <c r="B4032" s="19"/>
      <c r="E4032" s="23"/>
      <c r="L4032" s="23"/>
    </row>
    <row r="4033">
      <c r="B4033" s="19"/>
      <c r="E4033" s="23"/>
      <c r="L4033" s="23"/>
    </row>
    <row r="4034">
      <c r="B4034" s="19"/>
      <c r="E4034" s="23"/>
      <c r="L4034" s="23"/>
    </row>
    <row r="4035">
      <c r="B4035" s="19"/>
      <c r="E4035" s="23"/>
      <c r="L4035" s="23"/>
    </row>
    <row r="4036">
      <c r="B4036" s="19"/>
      <c r="E4036" s="23"/>
      <c r="L4036" s="23"/>
    </row>
    <row r="4037">
      <c r="B4037" s="19"/>
      <c r="E4037" s="23"/>
      <c r="L4037" s="23"/>
    </row>
    <row r="4038">
      <c r="B4038" s="19"/>
      <c r="E4038" s="23"/>
      <c r="L4038" s="23"/>
    </row>
    <row r="4039">
      <c r="B4039" s="19"/>
      <c r="E4039" s="23"/>
      <c r="L4039" s="23"/>
    </row>
    <row r="4040">
      <c r="B4040" s="19"/>
      <c r="E4040" s="23"/>
      <c r="L4040" s="23"/>
    </row>
    <row r="4041">
      <c r="B4041" s="19"/>
      <c r="E4041" s="23"/>
      <c r="L4041" s="23"/>
    </row>
    <row r="4042">
      <c r="B4042" s="19"/>
      <c r="E4042" s="23"/>
      <c r="L4042" s="23"/>
    </row>
    <row r="4043">
      <c r="B4043" s="19"/>
      <c r="E4043" s="23"/>
      <c r="L4043" s="23"/>
    </row>
    <row r="4044">
      <c r="B4044" s="19"/>
      <c r="E4044" s="23"/>
      <c r="L4044" s="23"/>
    </row>
    <row r="4045">
      <c r="B4045" s="19"/>
      <c r="E4045" s="23"/>
      <c r="L4045" s="23"/>
    </row>
    <row r="4046">
      <c r="B4046" s="19"/>
      <c r="E4046" s="23"/>
      <c r="L4046" s="23"/>
    </row>
    <row r="4047">
      <c r="B4047" s="19"/>
      <c r="E4047" s="23"/>
      <c r="L4047" s="23"/>
    </row>
    <row r="4048">
      <c r="B4048" s="19"/>
      <c r="E4048" s="23"/>
      <c r="L4048" s="23"/>
    </row>
    <row r="4049">
      <c r="B4049" s="19"/>
      <c r="E4049" s="23"/>
      <c r="L4049" s="23"/>
    </row>
    <row r="4050">
      <c r="B4050" s="19"/>
      <c r="E4050" s="23"/>
      <c r="L4050" s="23"/>
    </row>
    <row r="4051">
      <c r="B4051" s="19"/>
      <c r="E4051" s="23"/>
      <c r="L4051" s="23"/>
    </row>
    <row r="4052">
      <c r="B4052" s="19"/>
      <c r="E4052" s="23"/>
      <c r="L4052" s="23"/>
    </row>
    <row r="4053">
      <c r="B4053" s="19"/>
      <c r="E4053" s="23"/>
      <c r="L4053" s="23"/>
    </row>
    <row r="4054">
      <c r="B4054" s="19"/>
      <c r="E4054" s="23"/>
      <c r="L4054" s="23"/>
    </row>
    <row r="4055">
      <c r="B4055" s="19"/>
      <c r="E4055" s="23"/>
      <c r="L4055" s="23"/>
    </row>
    <row r="4056">
      <c r="B4056" s="19"/>
      <c r="E4056" s="23"/>
      <c r="L4056" s="23"/>
    </row>
    <row r="4057">
      <c r="B4057" s="19"/>
      <c r="E4057" s="23"/>
      <c r="L4057" s="23"/>
    </row>
    <row r="4058">
      <c r="B4058" s="19"/>
      <c r="E4058" s="23"/>
      <c r="L4058" s="23"/>
    </row>
    <row r="4059">
      <c r="B4059" s="19"/>
      <c r="E4059" s="23"/>
      <c r="L4059" s="23"/>
    </row>
    <row r="4060">
      <c r="B4060" s="19"/>
      <c r="E4060" s="23"/>
      <c r="L4060" s="23"/>
    </row>
    <row r="4061">
      <c r="B4061" s="19"/>
      <c r="E4061" s="23"/>
      <c r="L4061" s="23"/>
    </row>
    <row r="4062">
      <c r="B4062" s="19"/>
      <c r="E4062" s="23"/>
      <c r="L4062" s="23"/>
    </row>
    <row r="4063">
      <c r="B4063" s="19"/>
      <c r="E4063" s="23"/>
      <c r="L4063" s="23"/>
    </row>
    <row r="4064">
      <c r="B4064" s="19"/>
      <c r="E4064" s="23"/>
      <c r="L4064" s="23"/>
    </row>
    <row r="4065">
      <c r="B4065" s="19"/>
      <c r="E4065" s="23"/>
      <c r="L4065" s="23"/>
    </row>
    <row r="4066">
      <c r="B4066" s="19"/>
      <c r="E4066" s="23"/>
      <c r="L4066" s="23"/>
    </row>
    <row r="4067">
      <c r="B4067" s="19"/>
      <c r="E4067" s="23"/>
      <c r="L4067" s="23"/>
    </row>
    <row r="4068">
      <c r="B4068" s="19"/>
      <c r="E4068" s="23"/>
      <c r="L4068" s="23"/>
    </row>
    <row r="4069">
      <c r="B4069" s="19"/>
      <c r="E4069" s="23"/>
      <c r="L4069" s="23"/>
    </row>
    <row r="4070">
      <c r="B4070" s="19"/>
      <c r="E4070" s="23"/>
      <c r="L4070" s="23"/>
    </row>
    <row r="4071">
      <c r="B4071" s="19"/>
      <c r="E4071" s="23"/>
      <c r="L4071" s="23"/>
    </row>
    <row r="4072">
      <c r="B4072" s="19"/>
      <c r="E4072" s="23"/>
      <c r="L4072" s="23"/>
    </row>
    <row r="4073">
      <c r="B4073" s="19"/>
      <c r="E4073" s="23"/>
      <c r="L4073" s="23"/>
    </row>
    <row r="4074">
      <c r="B4074" s="19"/>
      <c r="E4074" s="23"/>
      <c r="L4074" s="23"/>
    </row>
    <row r="4075">
      <c r="B4075" s="19"/>
      <c r="E4075" s="23"/>
      <c r="L4075" s="23"/>
    </row>
    <row r="4076">
      <c r="B4076" s="19"/>
      <c r="E4076" s="23"/>
      <c r="L4076" s="23"/>
    </row>
    <row r="4077">
      <c r="B4077" s="19"/>
      <c r="E4077" s="23"/>
      <c r="L4077" s="23"/>
    </row>
    <row r="4078">
      <c r="B4078" s="19"/>
      <c r="E4078" s="23"/>
      <c r="L4078" s="23"/>
    </row>
    <row r="4079">
      <c r="B4079" s="19"/>
      <c r="E4079" s="23"/>
      <c r="L4079" s="23"/>
    </row>
    <row r="4080">
      <c r="B4080" s="19"/>
      <c r="E4080" s="23"/>
      <c r="L4080" s="23"/>
    </row>
    <row r="4081">
      <c r="B4081" s="19"/>
      <c r="E4081" s="23"/>
      <c r="L4081" s="23"/>
    </row>
    <row r="4082">
      <c r="B4082" s="19"/>
      <c r="E4082" s="23"/>
      <c r="L4082" s="23"/>
    </row>
    <row r="4083">
      <c r="B4083" s="19"/>
      <c r="E4083" s="23"/>
      <c r="L4083" s="23"/>
    </row>
    <row r="4084">
      <c r="B4084" s="19"/>
      <c r="E4084" s="23"/>
      <c r="L4084" s="23"/>
    </row>
    <row r="4085">
      <c r="B4085" s="19"/>
      <c r="E4085" s="23"/>
      <c r="L4085" s="23"/>
    </row>
    <row r="4086">
      <c r="B4086" s="19"/>
      <c r="E4086" s="23"/>
      <c r="L4086" s="23"/>
    </row>
    <row r="4087">
      <c r="B4087" s="19"/>
      <c r="E4087" s="23"/>
      <c r="L4087" s="23"/>
    </row>
    <row r="4088">
      <c r="B4088" s="19"/>
      <c r="E4088" s="23"/>
      <c r="L4088" s="23"/>
    </row>
    <row r="4089">
      <c r="B4089" s="19"/>
      <c r="E4089" s="23"/>
      <c r="L4089" s="23"/>
    </row>
    <row r="4090">
      <c r="B4090" s="19"/>
      <c r="E4090" s="23"/>
      <c r="L4090" s="23"/>
    </row>
    <row r="4091">
      <c r="B4091" s="19"/>
      <c r="E4091" s="23"/>
      <c r="L4091" s="23"/>
    </row>
    <row r="4092">
      <c r="B4092" s="19"/>
      <c r="E4092" s="23"/>
      <c r="L4092" s="23"/>
    </row>
    <row r="4093">
      <c r="B4093" s="19"/>
      <c r="E4093" s="23"/>
      <c r="L4093" s="23"/>
    </row>
    <row r="4094">
      <c r="B4094" s="19"/>
      <c r="E4094" s="23"/>
      <c r="L4094" s="23"/>
    </row>
    <row r="4095">
      <c r="B4095" s="19"/>
      <c r="E4095" s="23"/>
      <c r="L4095" s="23"/>
    </row>
    <row r="4096">
      <c r="B4096" s="19"/>
      <c r="E4096" s="23"/>
      <c r="L4096" s="23"/>
    </row>
    <row r="4097">
      <c r="B4097" s="19"/>
      <c r="E4097" s="23"/>
      <c r="L4097" s="23"/>
    </row>
    <row r="4098">
      <c r="B4098" s="19"/>
      <c r="E4098" s="23"/>
      <c r="L4098" s="23"/>
    </row>
    <row r="4099">
      <c r="B4099" s="19"/>
      <c r="E4099" s="23"/>
      <c r="L4099" s="23"/>
    </row>
    <row r="4100">
      <c r="B4100" s="19"/>
      <c r="E4100" s="23"/>
      <c r="L4100" s="23"/>
    </row>
    <row r="4101">
      <c r="B4101" s="19"/>
      <c r="E4101" s="23"/>
      <c r="L4101" s="23"/>
    </row>
    <row r="4102">
      <c r="B4102" s="19"/>
      <c r="E4102" s="23"/>
      <c r="L4102" s="23"/>
    </row>
    <row r="4103">
      <c r="B4103" s="19"/>
      <c r="E4103" s="23"/>
      <c r="L4103" s="23"/>
    </row>
    <row r="4104">
      <c r="B4104" s="19"/>
      <c r="E4104" s="23"/>
      <c r="L4104" s="23"/>
    </row>
    <row r="4105">
      <c r="B4105" s="19"/>
      <c r="E4105" s="23"/>
      <c r="L4105" s="23"/>
    </row>
    <row r="4106">
      <c r="B4106" s="19"/>
      <c r="E4106" s="23"/>
      <c r="L4106" s="23"/>
    </row>
    <row r="4107">
      <c r="B4107" s="19"/>
      <c r="E4107" s="23"/>
      <c r="L4107" s="23"/>
    </row>
    <row r="4108">
      <c r="B4108" s="19"/>
      <c r="E4108" s="23"/>
      <c r="L4108" s="23"/>
    </row>
    <row r="4109">
      <c r="B4109" s="19"/>
      <c r="E4109" s="23"/>
      <c r="L4109" s="23"/>
    </row>
    <row r="4110">
      <c r="B4110" s="19"/>
      <c r="E4110" s="23"/>
      <c r="L4110" s="23"/>
    </row>
    <row r="4111">
      <c r="B4111" s="19"/>
      <c r="E4111" s="23"/>
      <c r="L4111" s="23"/>
    </row>
    <row r="4112">
      <c r="B4112" s="19"/>
      <c r="E4112" s="23"/>
      <c r="L4112" s="23"/>
    </row>
    <row r="4113">
      <c r="B4113" s="19"/>
      <c r="E4113" s="23"/>
      <c r="L4113" s="23"/>
    </row>
    <row r="4114">
      <c r="B4114" s="19"/>
      <c r="E4114" s="23"/>
      <c r="L4114" s="23"/>
    </row>
    <row r="4115">
      <c r="B4115" s="19"/>
      <c r="E4115" s="23"/>
      <c r="L4115" s="23"/>
    </row>
    <row r="4116">
      <c r="B4116" s="19"/>
      <c r="E4116" s="23"/>
      <c r="L4116" s="23"/>
    </row>
    <row r="4117">
      <c r="B4117" s="19"/>
      <c r="E4117" s="23"/>
      <c r="L4117" s="23"/>
    </row>
    <row r="4118">
      <c r="B4118" s="19"/>
      <c r="E4118" s="23"/>
      <c r="L4118" s="23"/>
    </row>
    <row r="4119">
      <c r="B4119" s="19"/>
      <c r="E4119" s="23"/>
      <c r="L4119" s="23"/>
    </row>
    <row r="4120">
      <c r="B4120" s="19"/>
      <c r="E4120" s="23"/>
      <c r="L4120" s="23"/>
    </row>
    <row r="4121">
      <c r="B4121" s="19"/>
      <c r="E4121" s="23"/>
      <c r="L4121" s="23"/>
    </row>
    <row r="4122">
      <c r="B4122" s="19"/>
      <c r="E4122" s="23"/>
      <c r="L4122" s="23"/>
    </row>
    <row r="4123">
      <c r="B4123" s="19"/>
      <c r="E4123" s="23"/>
      <c r="L4123" s="23"/>
    </row>
    <row r="4124">
      <c r="B4124" s="19"/>
      <c r="E4124" s="23"/>
      <c r="L4124" s="23"/>
    </row>
    <row r="4125">
      <c r="B4125" s="19"/>
      <c r="E4125" s="23"/>
      <c r="L4125" s="23"/>
    </row>
    <row r="4126">
      <c r="B4126" s="19"/>
      <c r="E4126" s="23"/>
      <c r="L4126" s="23"/>
    </row>
    <row r="4127">
      <c r="B4127" s="19"/>
      <c r="E4127" s="23"/>
      <c r="L4127" s="23"/>
    </row>
    <row r="4128">
      <c r="B4128" s="19"/>
      <c r="E4128" s="23"/>
      <c r="L4128" s="23"/>
    </row>
    <row r="4129">
      <c r="B4129" s="19"/>
      <c r="E4129" s="23"/>
      <c r="L4129" s="23"/>
    </row>
    <row r="4130">
      <c r="B4130" s="19"/>
      <c r="E4130" s="23"/>
      <c r="L4130" s="23"/>
    </row>
    <row r="4131">
      <c r="B4131" s="19"/>
      <c r="E4131" s="23"/>
      <c r="L4131" s="23"/>
    </row>
    <row r="4132">
      <c r="B4132" s="19"/>
      <c r="E4132" s="23"/>
      <c r="L4132" s="23"/>
    </row>
    <row r="4133">
      <c r="B4133" s="19"/>
      <c r="E4133" s="23"/>
      <c r="L4133" s="23"/>
    </row>
    <row r="4134">
      <c r="B4134" s="19"/>
      <c r="E4134" s="23"/>
      <c r="L4134" s="23"/>
    </row>
    <row r="4135">
      <c r="B4135" s="19"/>
      <c r="E4135" s="23"/>
      <c r="L4135" s="23"/>
    </row>
    <row r="4136">
      <c r="B4136" s="19"/>
      <c r="E4136" s="23"/>
      <c r="L4136" s="23"/>
    </row>
    <row r="4137">
      <c r="B4137" s="19"/>
      <c r="E4137" s="23"/>
      <c r="L4137" s="23"/>
    </row>
    <row r="4138">
      <c r="B4138" s="19"/>
      <c r="E4138" s="23"/>
      <c r="L4138" s="23"/>
    </row>
    <row r="4139">
      <c r="B4139" s="19"/>
      <c r="E4139" s="23"/>
      <c r="L4139" s="23"/>
    </row>
    <row r="4140">
      <c r="B4140" s="19"/>
      <c r="E4140" s="23"/>
      <c r="L4140" s="23"/>
    </row>
    <row r="4141">
      <c r="B4141" s="19"/>
      <c r="E4141" s="23"/>
      <c r="L4141" s="23"/>
    </row>
    <row r="4142">
      <c r="B4142" s="19"/>
      <c r="E4142" s="23"/>
      <c r="L4142" s="23"/>
    </row>
    <row r="4143">
      <c r="B4143" s="19"/>
      <c r="E4143" s="23"/>
      <c r="L4143" s="23"/>
    </row>
    <row r="4144">
      <c r="B4144" s="19"/>
      <c r="E4144" s="23"/>
      <c r="L4144" s="23"/>
    </row>
    <row r="4145">
      <c r="B4145" s="19"/>
      <c r="E4145" s="23"/>
      <c r="L4145" s="23"/>
    </row>
    <row r="4146">
      <c r="B4146" s="19"/>
      <c r="E4146" s="23"/>
      <c r="L4146" s="23"/>
    </row>
    <row r="4147">
      <c r="B4147" s="19"/>
      <c r="E4147" s="23"/>
      <c r="L4147" s="23"/>
    </row>
    <row r="4148">
      <c r="B4148" s="19"/>
      <c r="E4148" s="23"/>
      <c r="L4148" s="23"/>
    </row>
    <row r="4149">
      <c r="B4149" s="19"/>
      <c r="E4149" s="23"/>
      <c r="L4149" s="23"/>
    </row>
    <row r="4150">
      <c r="B4150" s="19"/>
      <c r="E4150" s="23"/>
      <c r="L4150" s="23"/>
    </row>
    <row r="4151">
      <c r="B4151" s="19"/>
      <c r="E4151" s="23"/>
      <c r="L4151" s="23"/>
    </row>
    <row r="4152">
      <c r="B4152" s="19"/>
      <c r="E4152" s="23"/>
      <c r="L4152" s="23"/>
    </row>
    <row r="4153">
      <c r="B4153" s="19"/>
      <c r="E4153" s="23"/>
      <c r="L4153" s="23"/>
    </row>
    <row r="4154">
      <c r="B4154" s="19"/>
      <c r="E4154" s="23"/>
      <c r="L4154" s="23"/>
    </row>
    <row r="4155">
      <c r="B4155" s="19"/>
      <c r="E4155" s="23"/>
      <c r="L4155" s="23"/>
    </row>
    <row r="4156">
      <c r="B4156" s="19"/>
      <c r="E4156" s="23"/>
      <c r="L4156" s="23"/>
    </row>
    <row r="4157">
      <c r="B4157" s="19"/>
      <c r="E4157" s="23"/>
      <c r="L4157" s="23"/>
    </row>
    <row r="4158">
      <c r="B4158" s="19"/>
      <c r="E4158" s="23"/>
      <c r="L4158" s="23"/>
    </row>
    <row r="4159">
      <c r="B4159" s="19"/>
      <c r="E4159" s="23"/>
      <c r="L4159" s="23"/>
    </row>
    <row r="4160">
      <c r="B4160" s="19"/>
      <c r="E4160" s="23"/>
      <c r="L4160" s="23"/>
    </row>
    <row r="4161">
      <c r="B4161" s="19"/>
      <c r="E4161" s="23"/>
      <c r="L4161" s="23"/>
    </row>
    <row r="4162">
      <c r="B4162" s="19"/>
      <c r="E4162" s="23"/>
      <c r="L4162" s="23"/>
    </row>
    <row r="4163">
      <c r="B4163" s="19"/>
      <c r="E4163" s="23"/>
      <c r="L4163" s="23"/>
    </row>
    <row r="4164">
      <c r="B4164" s="19"/>
      <c r="E4164" s="23"/>
      <c r="L4164" s="23"/>
    </row>
    <row r="4165">
      <c r="B4165" s="19"/>
      <c r="E4165" s="23"/>
      <c r="L4165" s="23"/>
    </row>
    <row r="4166">
      <c r="B4166" s="19"/>
      <c r="E4166" s="23"/>
      <c r="L4166" s="23"/>
    </row>
    <row r="4167">
      <c r="B4167" s="19"/>
      <c r="E4167" s="23"/>
      <c r="L4167" s="23"/>
    </row>
    <row r="4168">
      <c r="B4168" s="19"/>
      <c r="E4168" s="23"/>
      <c r="L4168" s="23"/>
    </row>
    <row r="4169">
      <c r="B4169" s="19"/>
      <c r="E4169" s="23"/>
      <c r="L4169" s="23"/>
    </row>
    <row r="4170">
      <c r="B4170" s="19"/>
      <c r="E4170" s="23"/>
      <c r="L4170" s="23"/>
    </row>
    <row r="4171">
      <c r="B4171" s="19"/>
      <c r="E4171" s="23"/>
      <c r="L4171" s="23"/>
    </row>
    <row r="4172">
      <c r="B4172" s="19"/>
      <c r="E4172" s="23"/>
      <c r="L4172" s="23"/>
    </row>
    <row r="4173">
      <c r="B4173" s="19"/>
      <c r="E4173" s="23"/>
      <c r="L4173" s="23"/>
    </row>
    <row r="4174">
      <c r="B4174" s="19"/>
      <c r="E4174" s="23"/>
      <c r="L4174" s="23"/>
    </row>
    <row r="4175">
      <c r="B4175" s="19"/>
      <c r="E4175" s="23"/>
      <c r="L4175" s="23"/>
    </row>
    <row r="4176">
      <c r="B4176" s="19"/>
      <c r="E4176" s="23"/>
      <c r="L4176" s="23"/>
    </row>
    <row r="4177">
      <c r="B4177" s="19"/>
      <c r="E4177" s="23"/>
      <c r="L4177" s="23"/>
    </row>
    <row r="4178">
      <c r="B4178" s="19"/>
      <c r="E4178" s="23"/>
      <c r="L4178" s="23"/>
    </row>
    <row r="4179">
      <c r="B4179" s="19"/>
      <c r="E4179" s="23"/>
      <c r="L4179" s="23"/>
    </row>
    <row r="4180">
      <c r="B4180" s="19"/>
      <c r="E4180" s="23"/>
      <c r="L4180" s="23"/>
    </row>
    <row r="4181">
      <c r="B4181" s="19"/>
      <c r="E4181" s="23"/>
      <c r="L4181" s="23"/>
    </row>
    <row r="4182">
      <c r="B4182" s="19"/>
      <c r="E4182" s="23"/>
      <c r="L4182" s="23"/>
    </row>
    <row r="4183">
      <c r="B4183" s="19"/>
      <c r="E4183" s="23"/>
      <c r="L4183" s="23"/>
    </row>
    <row r="4184">
      <c r="B4184" s="19"/>
      <c r="E4184" s="23"/>
      <c r="L4184" s="23"/>
    </row>
    <row r="4185">
      <c r="B4185" s="19"/>
      <c r="E4185" s="23"/>
      <c r="L4185" s="23"/>
    </row>
    <row r="4186">
      <c r="B4186" s="19"/>
      <c r="E4186" s="23"/>
      <c r="L4186" s="23"/>
    </row>
    <row r="4187">
      <c r="B4187" s="19"/>
      <c r="E4187" s="23"/>
      <c r="L4187" s="23"/>
    </row>
    <row r="4188">
      <c r="B4188" s="19"/>
      <c r="E4188" s="23"/>
      <c r="L4188" s="23"/>
    </row>
    <row r="4189">
      <c r="B4189" s="19"/>
      <c r="E4189" s="23"/>
      <c r="L4189" s="23"/>
    </row>
    <row r="4190">
      <c r="B4190" s="19"/>
      <c r="E4190" s="23"/>
      <c r="L4190" s="23"/>
    </row>
    <row r="4191">
      <c r="B4191" s="19"/>
      <c r="E4191" s="23"/>
      <c r="L4191" s="23"/>
    </row>
    <row r="4192">
      <c r="B4192" s="19"/>
      <c r="E4192" s="23"/>
      <c r="L4192" s="23"/>
    </row>
    <row r="4193">
      <c r="B4193" s="19"/>
      <c r="E4193" s="23"/>
      <c r="L4193" s="23"/>
    </row>
    <row r="4194">
      <c r="B4194" s="19"/>
      <c r="E4194" s="23"/>
      <c r="L4194" s="23"/>
    </row>
    <row r="4195">
      <c r="B4195" s="19"/>
      <c r="E4195" s="23"/>
      <c r="L4195" s="23"/>
    </row>
    <row r="4196">
      <c r="B4196" s="19"/>
      <c r="E4196" s="23"/>
      <c r="L4196" s="23"/>
    </row>
    <row r="4197">
      <c r="B4197" s="19"/>
      <c r="E4197" s="23"/>
      <c r="L4197" s="23"/>
    </row>
    <row r="4198">
      <c r="B4198" s="19"/>
      <c r="E4198" s="23"/>
      <c r="L4198" s="23"/>
    </row>
    <row r="4199">
      <c r="B4199" s="19"/>
      <c r="E4199" s="23"/>
      <c r="L4199" s="23"/>
    </row>
    <row r="4200">
      <c r="B4200" s="19"/>
      <c r="E4200" s="23"/>
      <c r="L4200" s="23"/>
    </row>
    <row r="4201">
      <c r="B4201" s="19"/>
      <c r="E4201" s="23"/>
      <c r="L4201" s="23"/>
    </row>
    <row r="4202">
      <c r="B4202" s="19"/>
      <c r="E4202" s="23"/>
      <c r="L4202" s="23"/>
    </row>
    <row r="4203">
      <c r="B4203" s="19"/>
      <c r="E4203" s="23"/>
      <c r="L4203" s="23"/>
    </row>
    <row r="4204">
      <c r="B4204" s="19"/>
      <c r="E4204" s="23"/>
      <c r="L4204" s="23"/>
    </row>
    <row r="4205">
      <c r="B4205" s="19"/>
      <c r="E4205" s="23"/>
      <c r="L4205" s="23"/>
    </row>
    <row r="4206">
      <c r="B4206" s="19"/>
      <c r="E4206" s="23"/>
      <c r="L4206" s="23"/>
    </row>
    <row r="4207">
      <c r="B4207" s="19"/>
      <c r="E4207" s="23"/>
      <c r="L4207" s="23"/>
    </row>
    <row r="4208">
      <c r="B4208" s="19"/>
      <c r="E4208" s="23"/>
      <c r="L4208" s="23"/>
    </row>
    <row r="4209">
      <c r="B4209" s="19"/>
      <c r="E4209" s="23"/>
      <c r="L4209" s="23"/>
    </row>
    <row r="4210">
      <c r="B4210" s="19"/>
      <c r="E4210" s="23"/>
      <c r="L4210" s="23"/>
    </row>
    <row r="4211">
      <c r="B4211" s="19"/>
      <c r="E4211" s="23"/>
      <c r="L4211" s="23"/>
    </row>
    <row r="4212">
      <c r="B4212" s="19"/>
      <c r="E4212" s="23"/>
      <c r="L4212" s="23"/>
    </row>
    <row r="4213">
      <c r="B4213" s="19"/>
      <c r="E4213" s="23"/>
      <c r="L4213" s="23"/>
    </row>
    <row r="4214">
      <c r="B4214" s="19"/>
      <c r="E4214" s="23"/>
      <c r="L4214" s="23"/>
    </row>
    <row r="4215">
      <c r="B4215" s="19"/>
      <c r="E4215" s="23"/>
      <c r="L4215" s="23"/>
    </row>
    <row r="4216">
      <c r="B4216" s="19"/>
      <c r="E4216" s="23"/>
      <c r="L4216" s="23"/>
    </row>
    <row r="4217">
      <c r="B4217" s="19"/>
      <c r="E4217" s="23"/>
      <c r="L4217" s="23"/>
    </row>
    <row r="4218">
      <c r="B4218" s="19"/>
      <c r="E4218" s="23"/>
      <c r="L4218" s="23"/>
    </row>
    <row r="4219">
      <c r="B4219" s="19"/>
      <c r="E4219" s="23"/>
      <c r="L4219" s="23"/>
    </row>
    <row r="4220">
      <c r="B4220" s="19"/>
      <c r="E4220" s="23"/>
      <c r="L4220" s="23"/>
    </row>
    <row r="4221">
      <c r="B4221" s="19"/>
      <c r="E4221" s="23"/>
      <c r="L4221" s="23"/>
    </row>
    <row r="4222">
      <c r="B4222" s="19"/>
      <c r="E4222" s="23"/>
      <c r="L4222" s="23"/>
    </row>
    <row r="4223">
      <c r="B4223" s="19"/>
      <c r="E4223" s="23"/>
      <c r="L4223" s="23"/>
    </row>
    <row r="4224">
      <c r="B4224" s="19"/>
      <c r="E4224" s="23"/>
      <c r="L4224" s="23"/>
    </row>
    <row r="4225">
      <c r="B4225" s="19"/>
      <c r="E4225" s="23"/>
      <c r="L4225" s="23"/>
    </row>
    <row r="4226">
      <c r="B4226" s="19"/>
      <c r="E4226" s="23"/>
      <c r="L4226" s="23"/>
    </row>
    <row r="4227">
      <c r="B4227" s="19"/>
      <c r="E4227" s="23"/>
      <c r="L4227" s="23"/>
    </row>
    <row r="4228">
      <c r="B4228" s="19"/>
      <c r="E4228" s="23"/>
      <c r="L4228" s="23"/>
    </row>
    <row r="4229">
      <c r="B4229" s="19"/>
      <c r="E4229" s="23"/>
      <c r="L4229" s="23"/>
    </row>
    <row r="4230">
      <c r="B4230" s="19"/>
      <c r="E4230" s="23"/>
      <c r="L4230" s="23"/>
    </row>
    <row r="4231">
      <c r="B4231" s="19"/>
      <c r="E4231" s="23"/>
      <c r="L4231" s="23"/>
    </row>
    <row r="4232">
      <c r="B4232" s="19"/>
      <c r="E4232" s="23"/>
      <c r="L4232" s="23"/>
    </row>
    <row r="4233">
      <c r="B4233" s="19"/>
      <c r="E4233" s="23"/>
      <c r="L4233" s="23"/>
    </row>
    <row r="4234">
      <c r="B4234" s="19"/>
      <c r="E4234" s="23"/>
      <c r="L4234" s="23"/>
    </row>
    <row r="4235">
      <c r="B4235" s="19"/>
      <c r="E4235" s="23"/>
      <c r="L4235" s="23"/>
    </row>
    <row r="4236">
      <c r="B4236" s="19"/>
      <c r="E4236" s="23"/>
      <c r="L4236" s="23"/>
    </row>
    <row r="4237">
      <c r="B4237" s="19"/>
      <c r="E4237" s="23"/>
      <c r="L4237" s="23"/>
    </row>
    <row r="4238">
      <c r="B4238" s="19"/>
      <c r="E4238" s="23"/>
      <c r="L4238" s="23"/>
    </row>
    <row r="4239">
      <c r="B4239" s="19"/>
      <c r="E4239" s="23"/>
      <c r="L4239" s="23"/>
    </row>
    <row r="4240">
      <c r="B4240" s="19"/>
      <c r="E4240" s="23"/>
      <c r="L4240" s="23"/>
    </row>
    <row r="4241">
      <c r="B4241" s="19"/>
      <c r="E4241" s="23"/>
      <c r="L4241" s="23"/>
    </row>
    <row r="4242">
      <c r="B4242" s="19"/>
      <c r="E4242" s="23"/>
      <c r="L4242" s="23"/>
    </row>
    <row r="4243">
      <c r="B4243" s="19"/>
      <c r="E4243" s="23"/>
      <c r="L4243" s="23"/>
    </row>
    <row r="4244">
      <c r="B4244" s="19"/>
      <c r="E4244" s="23"/>
      <c r="L4244" s="23"/>
    </row>
    <row r="4245">
      <c r="B4245" s="19"/>
      <c r="E4245" s="23"/>
      <c r="L4245" s="23"/>
    </row>
    <row r="4246">
      <c r="B4246" s="19"/>
      <c r="E4246" s="23"/>
      <c r="L4246" s="23"/>
    </row>
    <row r="4247">
      <c r="B4247" s="19"/>
      <c r="E4247" s="23"/>
      <c r="L4247" s="23"/>
    </row>
    <row r="4248">
      <c r="B4248" s="19"/>
      <c r="E4248" s="23"/>
      <c r="L4248" s="23"/>
    </row>
    <row r="4249">
      <c r="B4249" s="19"/>
      <c r="E4249" s="23"/>
      <c r="L4249" s="23"/>
    </row>
    <row r="4250">
      <c r="B4250" s="19"/>
      <c r="E4250" s="23"/>
      <c r="L4250" s="23"/>
    </row>
    <row r="4251">
      <c r="B4251" s="19"/>
      <c r="E4251" s="23"/>
      <c r="L4251" s="23"/>
    </row>
    <row r="4252">
      <c r="B4252" s="19"/>
      <c r="E4252" s="23"/>
      <c r="L4252" s="23"/>
    </row>
    <row r="4253">
      <c r="B4253" s="19"/>
      <c r="E4253" s="23"/>
      <c r="L4253" s="23"/>
    </row>
    <row r="4254">
      <c r="B4254" s="19"/>
      <c r="E4254" s="23"/>
      <c r="L4254" s="23"/>
    </row>
    <row r="4255">
      <c r="B4255" s="19"/>
      <c r="E4255" s="23"/>
      <c r="L4255" s="23"/>
    </row>
    <row r="4256">
      <c r="B4256" s="19"/>
      <c r="E4256" s="23"/>
      <c r="L4256" s="23"/>
    </row>
    <row r="4257">
      <c r="B4257" s="19"/>
      <c r="E4257" s="23"/>
      <c r="L4257" s="23"/>
    </row>
    <row r="4258">
      <c r="B4258" s="19"/>
      <c r="E4258" s="23"/>
      <c r="L4258" s="23"/>
    </row>
    <row r="4259">
      <c r="B4259" s="19"/>
      <c r="E4259" s="23"/>
      <c r="L4259" s="23"/>
    </row>
    <row r="4260">
      <c r="B4260" s="19"/>
      <c r="E4260" s="23"/>
      <c r="L4260" s="23"/>
    </row>
    <row r="4261">
      <c r="B4261" s="19"/>
      <c r="E4261" s="23"/>
      <c r="L4261" s="23"/>
    </row>
    <row r="4262">
      <c r="B4262" s="19"/>
      <c r="E4262" s="23"/>
      <c r="L4262" s="23"/>
    </row>
    <row r="4263">
      <c r="B4263" s="19"/>
      <c r="E4263" s="23"/>
      <c r="L4263" s="23"/>
    </row>
    <row r="4264">
      <c r="B4264" s="19"/>
      <c r="E4264" s="23"/>
      <c r="L4264" s="23"/>
    </row>
    <row r="4265">
      <c r="B4265" s="19"/>
      <c r="E4265" s="23"/>
      <c r="L4265" s="23"/>
    </row>
    <row r="4266">
      <c r="B4266" s="19"/>
      <c r="E4266" s="23"/>
      <c r="L4266" s="23"/>
    </row>
    <row r="4267">
      <c r="B4267" s="19"/>
      <c r="E4267" s="23"/>
      <c r="L4267" s="23"/>
    </row>
    <row r="4268">
      <c r="B4268" s="19"/>
      <c r="E4268" s="23"/>
      <c r="L4268" s="23"/>
    </row>
    <row r="4269">
      <c r="B4269" s="19"/>
      <c r="E4269" s="23"/>
      <c r="L4269" s="23"/>
    </row>
    <row r="4270">
      <c r="B4270" s="19"/>
      <c r="E4270" s="23"/>
      <c r="L4270" s="23"/>
    </row>
    <row r="4271">
      <c r="B4271" s="19"/>
      <c r="E4271" s="23"/>
      <c r="L4271" s="23"/>
    </row>
    <row r="4272">
      <c r="B4272" s="19"/>
      <c r="E4272" s="23"/>
      <c r="L4272" s="23"/>
    </row>
    <row r="4273">
      <c r="B4273" s="19"/>
      <c r="E4273" s="23"/>
      <c r="L4273" s="23"/>
    </row>
    <row r="4274">
      <c r="B4274" s="19"/>
      <c r="E4274" s="23"/>
      <c r="L4274" s="23"/>
    </row>
    <row r="4275">
      <c r="B4275" s="19"/>
      <c r="E4275" s="23"/>
      <c r="L4275" s="23"/>
    </row>
    <row r="4276">
      <c r="B4276" s="19"/>
      <c r="E4276" s="23"/>
      <c r="L4276" s="23"/>
    </row>
    <row r="4277">
      <c r="B4277" s="19"/>
      <c r="E4277" s="23"/>
      <c r="L4277" s="23"/>
    </row>
    <row r="4278">
      <c r="B4278" s="19"/>
      <c r="E4278" s="23"/>
      <c r="L4278" s="23"/>
    </row>
    <row r="4279">
      <c r="B4279" s="19"/>
      <c r="E4279" s="23"/>
      <c r="L4279" s="23"/>
    </row>
    <row r="4280">
      <c r="B4280" s="19"/>
      <c r="E4280" s="23"/>
      <c r="L4280" s="23"/>
    </row>
    <row r="4281">
      <c r="B4281" s="19"/>
      <c r="E4281" s="23"/>
      <c r="L4281" s="23"/>
    </row>
    <row r="4282">
      <c r="B4282" s="19"/>
      <c r="E4282" s="23"/>
      <c r="L4282" s="23"/>
    </row>
    <row r="4283">
      <c r="B4283" s="19"/>
      <c r="E4283" s="23"/>
      <c r="L4283" s="23"/>
    </row>
    <row r="4284">
      <c r="B4284" s="19"/>
      <c r="E4284" s="23"/>
      <c r="L4284" s="23"/>
    </row>
    <row r="4285">
      <c r="B4285" s="19"/>
      <c r="E4285" s="23"/>
      <c r="L4285" s="23"/>
    </row>
    <row r="4286">
      <c r="B4286" s="19"/>
      <c r="E4286" s="23"/>
      <c r="L4286" s="23"/>
    </row>
    <row r="4287">
      <c r="B4287" s="19"/>
      <c r="E4287" s="23"/>
      <c r="L4287" s="23"/>
    </row>
    <row r="4288">
      <c r="B4288" s="19"/>
      <c r="E4288" s="23"/>
      <c r="L4288" s="23"/>
    </row>
    <row r="4289">
      <c r="B4289" s="19"/>
      <c r="E4289" s="23"/>
      <c r="L4289" s="23"/>
    </row>
    <row r="4290">
      <c r="B4290" s="19"/>
      <c r="E4290" s="23"/>
      <c r="L4290" s="23"/>
    </row>
    <row r="4291">
      <c r="B4291" s="19"/>
      <c r="E4291" s="23"/>
      <c r="L4291" s="23"/>
    </row>
    <row r="4292">
      <c r="B4292" s="19"/>
      <c r="E4292" s="23"/>
      <c r="L4292" s="23"/>
    </row>
    <row r="4293">
      <c r="B4293" s="19"/>
      <c r="E4293" s="23"/>
      <c r="L4293" s="23"/>
    </row>
    <row r="4294">
      <c r="B4294" s="19"/>
      <c r="E4294" s="23"/>
      <c r="L4294" s="23"/>
    </row>
    <row r="4295">
      <c r="B4295" s="19"/>
      <c r="E4295" s="23"/>
      <c r="L4295" s="23"/>
    </row>
    <row r="4296">
      <c r="B4296" s="19"/>
      <c r="E4296" s="23"/>
      <c r="L4296" s="23"/>
    </row>
    <row r="4297">
      <c r="B4297" s="19"/>
      <c r="E4297" s="23"/>
      <c r="L4297" s="23"/>
    </row>
    <row r="4298">
      <c r="B4298" s="19"/>
      <c r="E4298" s="23"/>
      <c r="L4298" s="23"/>
    </row>
    <row r="4299">
      <c r="B4299" s="19"/>
      <c r="E4299" s="23"/>
      <c r="L4299" s="23"/>
    </row>
    <row r="4300">
      <c r="B4300" s="19"/>
      <c r="E4300" s="23"/>
      <c r="L4300" s="23"/>
    </row>
    <row r="4301">
      <c r="B4301" s="19"/>
      <c r="E4301" s="23"/>
      <c r="L4301" s="23"/>
    </row>
    <row r="4302">
      <c r="B4302" s="19"/>
      <c r="E4302" s="23"/>
      <c r="L4302" s="23"/>
    </row>
    <row r="4303">
      <c r="B4303" s="19"/>
      <c r="E4303" s="23"/>
      <c r="L4303" s="23"/>
    </row>
    <row r="4304">
      <c r="B4304" s="19"/>
      <c r="E4304" s="23"/>
      <c r="L4304" s="23"/>
    </row>
    <row r="4305">
      <c r="B4305" s="19"/>
      <c r="E4305" s="23"/>
      <c r="L4305" s="23"/>
    </row>
    <row r="4306">
      <c r="B4306" s="19"/>
      <c r="E4306" s="23"/>
      <c r="L4306" s="23"/>
    </row>
    <row r="4307">
      <c r="B4307" s="19"/>
      <c r="E4307" s="23"/>
      <c r="L4307" s="23"/>
    </row>
    <row r="4308">
      <c r="B4308" s="19"/>
      <c r="E4308" s="23"/>
      <c r="L4308" s="23"/>
    </row>
    <row r="4309">
      <c r="B4309" s="19"/>
      <c r="E4309" s="23"/>
      <c r="L4309" s="23"/>
    </row>
    <row r="4310">
      <c r="B4310" s="19"/>
      <c r="E4310" s="23"/>
      <c r="L4310" s="23"/>
    </row>
    <row r="4311">
      <c r="B4311" s="19"/>
      <c r="E4311" s="23"/>
      <c r="L4311" s="23"/>
    </row>
    <row r="4312">
      <c r="B4312" s="19"/>
      <c r="E4312" s="23"/>
      <c r="L4312" s="23"/>
    </row>
    <row r="4313">
      <c r="B4313" s="19"/>
      <c r="E4313" s="23"/>
      <c r="L4313" s="23"/>
    </row>
    <row r="4314">
      <c r="B4314" s="19"/>
      <c r="E4314" s="23"/>
      <c r="L4314" s="23"/>
    </row>
    <row r="4315">
      <c r="B4315" s="19"/>
      <c r="E4315" s="23"/>
      <c r="L4315" s="23"/>
    </row>
    <row r="4316">
      <c r="B4316" s="19"/>
      <c r="E4316" s="23"/>
      <c r="L4316" s="23"/>
    </row>
    <row r="4317">
      <c r="B4317" s="19"/>
      <c r="E4317" s="23"/>
      <c r="L4317" s="23"/>
    </row>
    <row r="4318">
      <c r="B4318" s="19"/>
      <c r="E4318" s="23"/>
      <c r="L4318" s="23"/>
    </row>
    <row r="4319">
      <c r="B4319" s="19"/>
      <c r="E4319" s="23"/>
      <c r="L4319" s="23"/>
    </row>
    <row r="4320">
      <c r="B4320" s="19"/>
      <c r="E4320" s="23"/>
      <c r="L4320" s="23"/>
    </row>
    <row r="4321">
      <c r="B4321" s="19"/>
      <c r="E4321" s="23"/>
      <c r="L4321" s="23"/>
    </row>
    <row r="4322">
      <c r="B4322" s="19"/>
      <c r="E4322" s="23"/>
      <c r="L4322" s="23"/>
    </row>
    <row r="4323">
      <c r="B4323" s="19"/>
      <c r="E4323" s="23"/>
      <c r="L4323" s="23"/>
    </row>
    <row r="4324">
      <c r="B4324" s="19"/>
      <c r="E4324" s="23"/>
      <c r="L4324" s="23"/>
    </row>
    <row r="4325">
      <c r="B4325" s="19"/>
      <c r="E4325" s="23"/>
      <c r="L4325" s="23"/>
    </row>
    <row r="4326">
      <c r="B4326" s="19"/>
      <c r="E4326" s="23"/>
      <c r="L4326" s="23"/>
    </row>
    <row r="4327">
      <c r="B4327" s="19"/>
      <c r="E4327" s="23"/>
      <c r="L4327" s="23"/>
    </row>
    <row r="4328">
      <c r="B4328" s="19"/>
      <c r="E4328" s="23"/>
      <c r="L4328" s="23"/>
    </row>
    <row r="4329">
      <c r="B4329" s="19"/>
      <c r="E4329" s="23"/>
      <c r="L4329" s="23"/>
    </row>
    <row r="4330">
      <c r="B4330" s="19"/>
      <c r="E4330" s="23"/>
      <c r="L4330" s="23"/>
    </row>
    <row r="4331">
      <c r="B4331" s="19"/>
      <c r="E4331" s="23"/>
      <c r="L4331" s="23"/>
    </row>
    <row r="4332">
      <c r="B4332" s="19"/>
      <c r="E4332" s="23"/>
      <c r="L4332" s="23"/>
    </row>
    <row r="4333">
      <c r="B4333" s="19"/>
      <c r="E4333" s="23"/>
      <c r="L4333" s="23"/>
    </row>
    <row r="4334">
      <c r="B4334" s="19"/>
      <c r="E4334" s="23"/>
      <c r="L4334" s="23"/>
    </row>
    <row r="4335">
      <c r="B4335" s="19"/>
      <c r="E4335" s="23"/>
      <c r="L4335" s="23"/>
    </row>
    <row r="4336">
      <c r="B4336" s="19"/>
      <c r="E4336" s="23"/>
      <c r="L4336" s="23"/>
    </row>
    <row r="4337">
      <c r="B4337" s="19"/>
      <c r="E4337" s="23"/>
      <c r="L4337" s="23"/>
    </row>
    <row r="4338">
      <c r="B4338" s="19"/>
      <c r="E4338" s="23"/>
      <c r="L4338" s="23"/>
    </row>
    <row r="4339">
      <c r="B4339" s="19"/>
      <c r="E4339" s="23"/>
      <c r="L4339" s="23"/>
    </row>
    <row r="4340">
      <c r="B4340" s="19"/>
      <c r="E4340" s="23"/>
      <c r="L4340" s="23"/>
    </row>
    <row r="4341">
      <c r="B4341" s="19"/>
      <c r="E4341" s="23"/>
      <c r="L4341" s="23"/>
    </row>
    <row r="4342">
      <c r="B4342" s="19"/>
      <c r="E4342" s="23"/>
      <c r="L4342" s="23"/>
    </row>
    <row r="4343">
      <c r="B4343" s="19"/>
      <c r="E4343" s="23"/>
      <c r="L4343" s="23"/>
    </row>
    <row r="4344">
      <c r="B4344" s="19"/>
      <c r="E4344" s="23"/>
      <c r="L4344" s="23"/>
    </row>
    <row r="4345">
      <c r="B4345" s="19"/>
      <c r="E4345" s="23"/>
      <c r="L4345" s="23"/>
    </row>
    <row r="4346">
      <c r="B4346" s="19"/>
      <c r="E4346" s="23"/>
      <c r="L4346" s="23"/>
    </row>
    <row r="4347">
      <c r="B4347" s="19"/>
      <c r="E4347" s="23"/>
      <c r="L4347" s="23"/>
    </row>
    <row r="4348">
      <c r="B4348" s="19"/>
      <c r="E4348" s="23"/>
      <c r="L4348" s="23"/>
    </row>
    <row r="4349">
      <c r="B4349" s="19"/>
      <c r="E4349" s="23"/>
      <c r="L4349" s="23"/>
    </row>
    <row r="4350">
      <c r="B4350" s="19"/>
      <c r="E4350" s="23"/>
      <c r="L4350" s="23"/>
    </row>
    <row r="4351">
      <c r="B4351" s="19"/>
      <c r="E4351" s="23"/>
      <c r="L4351" s="23"/>
    </row>
    <row r="4352">
      <c r="B4352" s="19"/>
      <c r="E4352" s="23"/>
      <c r="L4352" s="23"/>
    </row>
    <row r="4353">
      <c r="B4353" s="19"/>
      <c r="E4353" s="23"/>
      <c r="L4353" s="23"/>
    </row>
    <row r="4354">
      <c r="B4354" s="19"/>
      <c r="E4354" s="23"/>
      <c r="L4354" s="23"/>
    </row>
    <row r="4355">
      <c r="B4355" s="19"/>
      <c r="E4355" s="23"/>
      <c r="L4355" s="23"/>
    </row>
    <row r="4356">
      <c r="B4356" s="19"/>
      <c r="E4356" s="23"/>
      <c r="L4356" s="23"/>
    </row>
    <row r="4357">
      <c r="B4357" s="19"/>
      <c r="E4357" s="23"/>
      <c r="L4357" s="23"/>
    </row>
    <row r="4358">
      <c r="B4358" s="19"/>
      <c r="E4358" s="23"/>
      <c r="L4358" s="23"/>
    </row>
    <row r="4359">
      <c r="B4359" s="19"/>
      <c r="E4359" s="23"/>
      <c r="L4359" s="23"/>
    </row>
    <row r="4360">
      <c r="B4360" s="19"/>
      <c r="E4360" s="23"/>
      <c r="L4360" s="23"/>
    </row>
    <row r="4361">
      <c r="B4361" s="19"/>
      <c r="E4361" s="23"/>
      <c r="L4361" s="23"/>
    </row>
    <row r="4362">
      <c r="B4362" s="19"/>
      <c r="E4362" s="23"/>
      <c r="L4362" s="23"/>
    </row>
    <row r="4363">
      <c r="B4363" s="19"/>
      <c r="E4363" s="23"/>
      <c r="L4363" s="23"/>
    </row>
    <row r="4364">
      <c r="B4364" s="19"/>
      <c r="E4364" s="23"/>
      <c r="L4364" s="23"/>
    </row>
    <row r="4365">
      <c r="B4365" s="19"/>
      <c r="E4365" s="23"/>
      <c r="L4365" s="23"/>
    </row>
    <row r="4366">
      <c r="B4366" s="19"/>
      <c r="E4366" s="23"/>
      <c r="L4366" s="23"/>
    </row>
    <row r="4367">
      <c r="B4367" s="19"/>
      <c r="E4367" s="23"/>
      <c r="L4367" s="23"/>
    </row>
    <row r="4368">
      <c r="B4368" s="19"/>
      <c r="E4368" s="23"/>
      <c r="L4368" s="23"/>
    </row>
    <row r="4369">
      <c r="B4369" s="19"/>
      <c r="E4369" s="23"/>
      <c r="L4369" s="23"/>
    </row>
    <row r="4370">
      <c r="B4370" s="19"/>
      <c r="E4370" s="23"/>
      <c r="L4370" s="23"/>
    </row>
    <row r="4371">
      <c r="B4371" s="19"/>
      <c r="E4371" s="23"/>
      <c r="L4371" s="23"/>
    </row>
    <row r="4372">
      <c r="B4372" s="19"/>
      <c r="E4372" s="23"/>
      <c r="L4372" s="23"/>
    </row>
    <row r="4373">
      <c r="B4373" s="19"/>
      <c r="E4373" s="23"/>
      <c r="L4373" s="23"/>
    </row>
    <row r="4374">
      <c r="B4374" s="19"/>
      <c r="E4374" s="23"/>
      <c r="L4374" s="23"/>
    </row>
    <row r="4375">
      <c r="B4375" s="19"/>
      <c r="E4375" s="23"/>
      <c r="L4375" s="23"/>
    </row>
    <row r="4376">
      <c r="B4376" s="19"/>
      <c r="E4376" s="23"/>
      <c r="L4376" s="23"/>
    </row>
    <row r="4377">
      <c r="B4377" s="19"/>
      <c r="E4377" s="23"/>
      <c r="L4377" s="23"/>
    </row>
    <row r="4378">
      <c r="B4378" s="19"/>
      <c r="E4378" s="23"/>
      <c r="L4378" s="23"/>
    </row>
    <row r="4379">
      <c r="B4379" s="19"/>
      <c r="E4379" s="23"/>
      <c r="L4379" s="23"/>
    </row>
    <row r="4380">
      <c r="B4380" s="19"/>
      <c r="E4380" s="23"/>
      <c r="L4380" s="23"/>
    </row>
    <row r="4381">
      <c r="B4381" s="19"/>
      <c r="E4381" s="23"/>
      <c r="L4381" s="23"/>
    </row>
    <row r="4382">
      <c r="B4382" s="19"/>
      <c r="E4382" s="23"/>
      <c r="L4382" s="23"/>
    </row>
    <row r="4383">
      <c r="B4383" s="19"/>
      <c r="E4383" s="23"/>
      <c r="L4383" s="23"/>
    </row>
    <row r="4384">
      <c r="B4384" s="19"/>
      <c r="E4384" s="23"/>
      <c r="L4384" s="23"/>
    </row>
    <row r="4385">
      <c r="B4385" s="19"/>
      <c r="E4385" s="23"/>
      <c r="L4385" s="23"/>
    </row>
    <row r="4386">
      <c r="B4386" s="19"/>
      <c r="E4386" s="23"/>
      <c r="L4386" s="23"/>
    </row>
    <row r="4387">
      <c r="B4387" s="19"/>
      <c r="E4387" s="23"/>
      <c r="L4387" s="23"/>
    </row>
    <row r="4388">
      <c r="B4388" s="19"/>
      <c r="E4388" s="23"/>
      <c r="L4388" s="23"/>
    </row>
    <row r="4389">
      <c r="B4389" s="19"/>
      <c r="E4389" s="23"/>
      <c r="L4389" s="23"/>
    </row>
    <row r="4390">
      <c r="B4390" s="19"/>
      <c r="E4390" s="23"/>
      <c r="L4390" s="23"/>
    </row>
    <row r="4391">
      <c r="B4391" s="19"/>
      <c r="E4391" s="23"/>
      <c r="L4391" s="23"/>
    </row>
    <row r="4392">
      <c r="B4392" s="19"/>
      <c r="E4392" s="23"/>
      <c r="L4392" s="23"/>
    </row>
    <row r="4393">
      <c r="B4393" s="19"/>
      <c r="E4393" s="23"/>
      <c r="L4393" s="23"/>
    </row>
    <row r="4394">
      <c r="B4394" s="19"/>
      <c r="E4394" s="23"/>
      <c r="L4394" s="23"/>
    </row>
    <row r="4395">
      <c r="B4395" s="19"/>
      <c r="E4395" s="23"/>
      <c r="L4395" s="23"/>
    </row>
    <row r="4396">
      <c r="B4396" s="19"/>
      <c r="E4396" s="23"/>
      <c r="L4396" s="23"/>
    </row>
    <row r="4397">
      <c r="B4397" s="19"/>
      <c r="E4397" s="23"/>
      <c r="L4397" s="23"/>
    </row>
    <row r="4398">
      <c r="B4398" s="19"/>
      <c r="E4398" s="23"/>
      <c r="L4398" s="23"/>
    </row>
    <row r="4399">
      <c r="B4399" s="19"/>
      <c r="E4399" s="23"/>
      <c r="L4399" s="23"/>
    </row>
    <row r="4400">
      <c r="B4400" s="19"/>
      <c r="E4400" s="23"/>
      <c r="L4400" s="23"/>
    </row>
    <row r="4401">
      <c r="B4401" s="19"/>
      <c r="E4401" s="23"/>
      <c r="L4401" s="23"/>
    </row>
    <row r="4402">
      <c r="B4402" s="19"/>
      <c r="E4402" s="23"/>
      <c r="L4402" s="23"/>
    </row>
    <row r="4403">
      <c r="B4403" s="19"/>
      <c r="E4403" s="23"/>
      <c r="L4403" s="23"/>
    </row>
    <row r="4404">
      <c r="B4404" s="19"/>
      <c r="E4404" s="23"/>
      <c r="L4404" s="23"/>
    </row>
    <row r="4405">
      <c r="B4405" s="19"/>
      <c r="E4405" s="23"/>
      <c r="L4405" s="23"/>
    </row>
    <row r="4406">
      <c r="B4406" s="19"/>
      <c r="E4406" s="23"/>
      <c r="L4406" s="23"/>
    </row>
    <row r="4407">
      <c r="B4407" s="19"/>
      <c r="E4407" s="23"/>
      <c r="L4407" s="23"/>
    </row>
    <row r="4408">
      <c r="B4408" s="19"/>
      <c r="E4408" s="23"/>
      <c r="L4408" s="23"/>
    </row>
    <row r="4409">
      <c r="B4409" s="19"/>
      <c r="E4409" s="23"/>
      <c r="L4409" s="23"/>
    </row>
    <row r="4410">
      <c r="B4410" s="19"/>
      <c r="E4410" s="23"/>
      <c r="L4410" s="23"/>
    </row>
    <row r="4411">
      <c r="B4411" s="19"/>
      <c r="E4411" s="23"/>
      <c r="L4411" s="23"/>
    </row>
    <row r="4412">
      <c r="B4412" s="19"/>
      <c r="E4412" s="23"/>
      <c r="L4412" s="23"/>
    </row>
    <row r="4413">
      <c r="B4413" s="19"/>
      <c r="E4413" s="23"/>
      <c r="L4413" s="23"/>
    </row>
    <row r="4414">
      <c r="B4414" s="19"/>
      <c r="E4414" s="23"/>
      <c r="L4414" s="23"/>
    </row>
    <row r="4415">
      <c r="B4415" s="19"/>
      <c r="E4415" s="23"/>
      <c r="L4415" s="23"/>
    </row>
    <row r="4416">
      <c r="B4416" s="19"/>
      <c r="E4416" s="23"/>
      <c r="L4416" s="23"/>
    </row>
    <row r="4417">
      <c r="B4417" s="19"/>
      <c r="E4417" s="23"/>
      <c r="L4417" s="23"/>
    </row>
    <row r="4418">
      <c r="B4418" s="19"/>
      <c r="E4418" s="23"/>
      <c r="L4418" s="23"/>
    </row>
    <row r="4419">
      <c r="B4419" s="19"/>
      <c r="E4419" s="23"/>
      <c r="L4419" s="23"/>
    </row>
    <row r="4420">
      <c r="B4420" s="19"/>
      <c r="E4420" s="23"/>
      <c r="L4420" s="23"/>
    </row>
    <row r="4421">
      <c r="B4421" s="19"/>
      <c r="E4421" s="23"/>
      <c r="L4421" s="23"/>
    </row>
    <row r="4422">
      <c r="B4422" s="19"/>
      <c r="E4422" s="23"/>
      <c r="L4422" s="23"/>
    </row>
    <row r="4423">
      <c r="B4423" s="19"/>
      <c r="E4423" s="23"/>
      <c r="L4423" s="23"/>
    </row>
    <row r="4424">
      <c r="B4424" s="19"/>
      <c r="E4424" s="23"/>
      <c r="L4424" s="23"/>
    </row>
    <row r="4425">
      <c r="B4425" s="19"/>
      <c r="E4425" s="23"/>
      <c r="L4425" s="23"/>
    </row>
    <row r="4426">
      <c r="B4426" s="19"/>
      <c r="E4426" s="23"/>
      <c r="L4426" s="23"/>
    </row>
    <row r="4427">
      <c r="B4427" s="19"/>
      <c r="E4427" s="23"/>
      <c r="L4427" s="23"/>
    </row>
    <row r="4428">
      <c r="B4428" s="19"/>
      <c r="E4428" s="23"/>
      <c r="L4428" s="23"/>
    </row>
    <row r="4429">
      <c r="B4429" s="19"/>
      <c r="E4429" s="23"/>
      <c r="L4429" s="23"/>
    </row>
    <row r="4430">
      <c r="B4430" s="19"/>
      <c r="E4430" s="23"/>
      <c r="L4430" s="23"/>
    </row>
    <row r="4431">
      <c r="B4431" s="19"/>
      <c r="E4431" s="23"/>
      <c r="L4431" s="23"/>
    </row>
    <row r="4432">
      <c r="B4432" s="19"/>
      <c r="E4432" s="23"/>
      <c r="L4432" s="23"/>
    </row>
    <row r="4433">
      <c r="B4433" s="19"/>
      <c r="E4433" s="23"/>
      <c r="L4433" s="23"/>
    </row>
    <row r="4434">
      <c r="B4434" s="19"/>
      <c r="E4434" s="23"/>
      <c r="L4434" s="23"/>
    </row>
    <row r="4435">
      <c r="B4435" s="19"/>
      <c r="E4435" s="23"/>
      <c r="L4435" s="23"/>
    </row>
    <row r="4436">
      <c r="B4436" s="19"/>
      <c r="E4436" s="23"/>
      <c r="L4436" s="23"/>
    </row>
    <row r="4437">
      <c r="B4437" s="19"/>
      <c r="E4437" s="23"/>
      <c r="L4437" s="23"/>
    </row>
    <row r="4438">
      <c r="B4438" s="19"/>
      <c r="E4438" s="23"/>
      <c r="L4438" s="23"/>
    </row>
    <row r="4439">
      <c r="B4439" s="19"/>
      <c r="E4439" s="23"/>
      <c r="L4439" s="23"/>
    </row>
    <row r="4440">
      <c r="B4440" s="19"/>
      <c r="E4440" s="23"/>
      <c r="L4440" s="23"/>
    </row>
    <row r="4441">
      <c r="B4441" s="19"/>
      <c r="E4441" s="23"/>
      <c r="L4441" s="23"/>
    </row>
    <row r="4442">
      <c r="B4442" s="19"/>
      <c r="E4442" s="23"/>
      <c r="L4442" s="23"/>
    </row>
    <row r="4443">
      <c r="B4443" s="19"/>
      <c r="E4443" s="23"/>
      <c r="L4443" s="23"/>
    </row>
    <row r="4444">
      <c r="B4444" s="19"/>
      <c r="E4444" s="23"/>
      <c r="L4444" s="23"/>
    </row>
    <row r="4445">
      <c r="B4445" s="19"/>
      <c r="E4445" s="23"/>
      <c r="L4445" s="23"/>
    </row>
    <row r="4446">
      <c r="B4446" s="19"/>
      <c r="E4446" s="23"/>
      <c r="L4446" s="23"/>
    </row>
    <row r="4447">
      <c r="B4447" s="19"/>
      <c r="E4447" s="23"/>
      <c r="L4447" s="23"/>
    </row>
    <row r="4448">
      <c r="B4448" s="19"/>
      <c r="E4448" s="23"/>
      <c r="L4448" s="23"/>
    </row>
    <row r="4449">
      <c r="B4449" s="19"/>
      <c r="E4449" s="23"/>
      <c r="L4449" s="23"/>
    </row>
    <row r="4450">
      <c r="B4450" s="19"/>
      <c r="E4450" s="23"/>
      <c r="L4450" s="23"/>
    </row>
    <row r="4451">
      <c r="B4451" s="19"/>
      <c r="E4451" s="23"/>
      <c r="L4451" s="23"/>
    </row>
    <row r="4452">
      <c r="B4452" s="19"/>
      <c r="E4452" s="23"/>
      <c r="L4452" s="23"/>
    </row>
    <row r="4453">
      <c r="B4453" s="19"/>
      <c r="E4453" s="23"/>
      <c r="L4453" s="23"/>
    </row>
    <row r="4454">
      <c r="B4454" s="19"/>
      <c r="E4454" s="23"/>
      <c r="L4454" s="23"/>
    </row>
    <row r="4455">
      <c r="B4455" s="19"/>
      <c r="E4455" s="23"/>
      <c r="L4455" s="23"/>
    </row>
    <row r="4456">
      <c r="B4456" s="19"/>
      <c r="E4456" s="23"/>
      <c r="L4456" s="23"/>
    </row>
    <row r="4457">
      <c r="B4457" s="19"/>
      <c r="E4457" s="23"/>
      <c r="L4457" s="23"/>
    </row>
    <row r="4458">
      <c r="B4458" s="19"/>
      <c r="E4458" s="23"/>
      <c r="L4458" s="23"/>
    </row>
    <row r="4459">
      <c r="B4459" s="19"/>
      <c r="E4459" s="23"/>
      <c r="L4459" s="23"/>
    </row>
    <row r="4460">
      <c r="B4460" s="19"/>
      <c r="E4460" s="23"/>
      <c r="L4460" s="23"/>
    </row>
    <row r="4461">
      <c r="B4461" s="19"/>
      <c r="E4461" s="23"/>
      <c r="L4461" s="23"/>
    </row>
    <row r="4462">
      <c r="B4462" s="19"/>
      <c r="E4462" s="23"/>
      <c r="L4462" s="23"/>
    </row>
    <row r="4463">
      <c r="B4463" s="19"/>
      <c r="E4463" s="23"/>
      <c r="L4463" s="23"/>
    </row>
    <row r="4464">
      <c r="B4464" s="19"/>
      <c r="E4464" s="23"/>
      <c r="L4464" s="23"/>
    </row>
    <row r="4465">
      <c r="B4465" s="19"/>
      <c r="E4465" s="23"/>
      <c r="L4465" s="23"/>
    </row>
    <row r="4466">
      <c r="B4466" s="19"/>
      <c r="E4466" s="23"/>
      <c r="L4466" s="23"/>
    </row>
    <row r="4467">
      <c r="B4467" s="19"/>
      <c r="E4467" s="23"/>
      <c r="L4467" s="23"/>
    </row>
    <row r="4468">
      <c r="B4468" s="19"/>
      <c r="E4468" s="23"/>
      <c r="L4468" s="23"/>
    </row>
    <row r="4469">
      <c r="B4469" s="19"/>
      <c r="E4469" s="23"/>
      <c r="L4469" s="23"/>
    </row>
    <row r="4470">
      <c r="B4470" s="19"/>
      <c r="E4470" s="23"/>
      <c r="L4470" s="23"/>
    </row>
    <row r="4471">
      <c r="B4471" s="19"/>
      <c r="E4471" s="23"/>
      <c r="L4471" s="23"/>
    </row>
    <row r="4472">
      <c r="B4472" s="19"/>
      <c r="E4472" s="23"/>
      <c r="L4472" s="23"/>
    </row>
    <row r="4473">
      <c r="B4473" s="19"/>
      <c r="E4473" s="23"/>
      <c r="L4473" s="23"/>
    </row>
    <row r="4474">
      <c r="B4474" s="19"/>
      <c r="E4474" s="23"/>
      <c r="L4474" s="23"/>
    </row>
    <row r="4475">
      <c r="B4475" s="19"/>
      <c r="E4475" s="23"/>
      <c r="L4475" s="23"/>
    </row>
    <row r="4476">
      <c r="B4476" s="19"/>
      <c r="E4476" s="23"/>
      <c r="L4476" s="23"/>
    </row>
    <row r="4477">
      <c r="B4477" s="19"/>
      <c r="E4477" s="23"/>
      <c r="L4477" s="23"/>
    </row>
    <row r="4478">
      <c r="B4478" s="19"/>
      <c r="E4478" s="23"/>
      <c r="L4478" s="23"/>
    </row>
    <row r="4479">
      <c r="B4479" s="19"/>
      <c r="E4479" s="23"/>
      <c r="L4479" s="23"/>
    </row>
    <row r="4480">
      <c r="B4480" s="19"/>
      <c r="E4480" s="23"/>
      <c r="L4480" s="23"/>
    </row>
    <row r="4481">
      <c r="B4481" s="19"/>
      <c r="E4481" s="23"/>
      <c r="L4481" s="23"/>
    </row>
    <row r="4482">
      <c r="B4482" s="19"/>
      <c r="E4482" s="23"/>
      <c r="L4482" s="23"/>
    </row>
    <row r="4483">
      <c r="B4483" s="19"/>
      <c r="E4483" s="23"/>
      <c r="L4483" s="23"/>
    </row>
    <row r="4484">
      <c r="B4484" s="19"/>
      <c r="E4484" s="23"/>
      <c r="L4484" s="23"/>
    </row>
    <row r="4485">
      <c r="B4485" s="19"/>
      <c r="E4485" s="23"/>
      <c r="L4485" s="23"/>
    </row>
    <row r="4486">
      <c r="B4486" s="19"/>
      <c r="E4486" s="23"/>
      <c r="L4486" s="23"/>
    </row>
    <row r="4487">
      <c r="B4487" s="19"/>
      <c r="E4487" s="23"/>
      <c r="L4487" s="23"/>
    </row>
    <row r="4488">
      <c r="B4488" s="19"/>
      <c r="E4488" s="23"/>
      <c r="L4488" s="23"/>
    </row>
    <row r="4489">
      <c r="B4489" s="19"/>
      <c r="E4489" s="23"/>
      <c r="L4489" s="23"/>
    </row>
    <row r="4490">
      <c r="B4490" s="19"/>
      <c r="E4490" s="23"/>
      <c r="L4490" s="23"/>
    </row>
    <row r="4491">
      <c r="B4491" s="19"/>
      <c r="E4491" s="23"/>
      <c r="L4491" s="23"/>
    </row>
    <row r="4492">
      <c r="B4492" s="19"/>
      <c r="E4492" s="23"/>
      <c r="L4492" s="23"/>
    </row>
    <row r="4493">
      <c r="B4493" s="19"/>
      <c r="E4493" s="23"/>
      <c r="L4493" s="23"/>
    </row>
    <row r="4494">
      <c r="B4494" s="19"/>
      <c r="E4494" s="23"/>
      <c r="L4494" s="23"/>
    </row>
    <row r="4495">
      <c r="B4495" s="19"/>
      <c r="E4495" s="23"/>
      <c r="L4495" s="23"/>
    </row>
    <row r="4496">
      <c r="B4496" s="19"/>
      <c r="E4496" s="23"/>
      <c r="L4496" s="23"/>
    </row>
    <row r="4497">
      <c r="B4497" s="19"/>
      <c r="E4497" s="23"/>
      <c r="L4497" s="23"/>
    </row>
    <row r="4498">
      <c r="B4498" s="19"/>
      <c r="E4498" s="23"/>
      <c r="L4498" s="23"/>
    </row>
    <row r="4499">
      <c r="B4499" s="19"/>
      <c r="E4499" s="23"/>
      <c r="L4499" s="23"/>
    </row>
    <row r="4500">
      <c r="B4500" s="19"/>
      <c r="E4500" s="23"/>
      <c r="L4500" s="23"/>
    </row>
    <row r="4501">
      <c r="B4501" s="19"/>
      <c r="E4501" s="23"/>
      <c r="L4501" s="23"/>
    </row>
    <row r="4502">
      <c r="B4502" s="19"/>
      <c r="E4502" s="23"/>
      <c r="L4502" s="23"/>
    </row>
    <row r="4503">
      <c r="B4503" s="19"/>
      <c r="E4503" s="23"/>
      <c r="L4503" s="23"/>
    </row>
    <row r="4504">
      <c r="B4504" s="19"/>
      <c r="E4504" s="23"/>
      <c r="L4504" s="23"/>
    </row>
    <row r="4505">
      <c r="B4505" s="19"/>
      <c r="E4505" s="23"/>
      <c r="L4505" s="23"/>
    </row>
    <row r="4506">
      <c r="B4506" s="19"/>
      <c r="E4506" s="23"/>
      <c r="L4506" s="23"/>
    </row>
    <row r="4507">
      <c r="B4507" s="19"/>
      <c r="E4507" s="23"/>
      <c r="L4507" s="23"/>
    </row>
    <row r="4508">
      <c r="B4508" s="19"/>
      <c r="E4508" s="23"/>
      <c r="L4508" s="23"/>
    </row>
    <row r="4509">
      <c r="B4509" s="19"/>
      <c r="E4509" s="23"/>
      <c r="L4509" s="23"/>
    </row>
    <row r="4510">
      <c r="B4510" s="19"/>
      <c r="E4510" s="23"/>
      <c r="L4510" s="23"/>
    </row>
    <row r="4511">
      <c r="B4511" s="19"/>
      <c r="E4511" s="23"/>
      <c r="L4511" s="23"/>
    </row>
    <row r="4512">
      <c r="B4512" s="19"/>
      <c r="E4512" s="23"/>
      <c r="L4512" s="23"/>
    </row>
    <row r="4513">
      <c r="B4513" s="19"/>
      <c r="E4513" s="23"/>
      <c r="L4513" s="23"/>
    </row>
    <row r="4514">
      <c r="B4514" s="19"/>
      <c r="E4514" s="23"/>
      <c r="L4514" s="23"/>
    </row>
    <row r="4515">
      <c r="B4515" s="19"/>
      <c r="E4515" s="23"/>
      <c r="L4515" s="23"/>
    </row>
    <row r="4516">
      <c r="B4516" s="19"/>
      <c r="E4516" s="23"/>
      <c r="L4516" s="23"/>
    </row>
    <row r="4517">
      <c r="B4517" s="19"/>
      <c r="E4517" s="23"/>
      <c r="L4517" s="23"/>
    </row>
    <row r="4518">
      <c r="B4518" s="19"/>
      <c r="E4518" s="23"/>
      <c r="L4518" s="23"/>
    </row>
    <row r="4519">
      <c r="B4519" s="19"/>
      <c r="E4519" s="23"/>
      <c r="L4519" s="23"/>
    </row>
    <row r="4520">
      <c r="B4520" s="19"/>
      <c r="E4520" s="23"/>
      <c r="L4520" s="23"/>
    </row>
    <row r="4521">
      <c r="B4521" s="19"/>
      <c r="E4521" s="23"/>
      <c r="L4521" s="23"/>
    </row>
    <row r="4522">
      <c r="B4522" s="19"/>
      <c r="E4522" s="23"/>
      <c r="L4522" s="23"/>
    </row>
    <row r="4523">
      <c r="B4523" s="19"/>
      <c r="E4523" s="23"/>
      <c r="L4523" s="23"/>
    </row>
    <row r="4524">
      <c r="B4524" s="19"/>
      <c r="E4524" s="23"/>
      <c r="L4524" s="23"/>
    </row>
    <row r="4525">
      <c r="B4525" s="19"/>
      <c r="E4525" s="23"/>
      <c r="L4525" s="23"/>
    </row>
    <row r="4526">
      <c r="B4526" s="19"/>
      <c r="E4526" s="23"/>
      <c r="L4526" s="23"/>
    </row>
    <row r="4527">
      <c r="B4527" s="19"/>
      <c r="E4527" s="23"/>
      <c r="L4527" s="23"/>
    </row>
    <row r="4528">
      <c r="B4528" s="19"/>
      <c r="E4528" s="23"/>
      <c r="L4528" s="23"/>
    </row>
    <row r="4529">
      <c r="B4529" s="19"/>
      <c r="E4529" s="23"/>
      <c r="L4529" s="23"/>
    </row>
    <row r="4530">
      <c r="B4530" s="19"/>
      <c r="E4530" s="23"/>
      <c r="L4530" s="23"/>
    </row>
    <row r="4531">
      <c r="B4531" s="19"/>
      <c r="E4531" s="23"/>
      <c r="L4531" s="23"/>
    </row>
    <row r="4532">
      <c r="B4532" s="19"/>
      <c r="E4532" s="23"/>
      <c r="L4532" s="23"/>
    </row>
    <row r="4533">
      <c r="B4533" s="19"/>
      <c r="E4533" s="23"/>
      <c r="L4533" s="23"/>
    </row>
    <row r="4534">
      <c r="B4534" s="19"/>
      <c r="E4534" s="23"/>
      <c r="L4534" s="23"/>
    </row>
    <row r="4535">
      <c r="B4535" s="19"/>
      <c r="E4535" s="23"/>
      <c r="L4535" s="23"/>
    </row>
    <row r="4536">
      <c r="B4536" s="19"/>
      <c r="E4536" s="23"/>
      <c r="L4536" s="23"/>
    </row>
    <row r="4537">
      <c r="B4537" s="19"/>
      <c r="E4537" s="23"/>
      <c r="L4537" s="23"/>
    </row>
    <row r="4538">
      <c r="B4538" s="19"/>
      <c r="E4538" s="23"/>
      <c r="L4538" s="23"/>
    </row>
    <row r="4539">
      <c r="B4539" s="19"/>
      <c r="E4539" s="23"/>
      <c r="L4539" s="23"/>
    </row>
    <row r="4540">
      <c r="B4540" s="19"/>
      <c r="E4540" s="23"/>
      <c r="L4540" s="23"/>
    </row>
    <row r="4541">
      <c r="B4541" s="19"/>
      <c r="E4541" s="23"/>
      <c r="L4541" s="23"/>
    </row>
    <row r="4542">
      <c r="B4542" s="19"/>
      <c r="E4542" s="23"/>
      <c r="L4542" s="23"/>
    </row>
    <row r="4543">
      <c r="B4543" s="19"/>
      <c r="E4543" s="23"/>
      <c r="L4543" s="23"/>
    </row>
    <row r="4544">
      <c r="B4544" s="19"/>
      <c r="E4544" s="23"/>
      <c r="L4544" s="23"/>
    </row>
    <row r="4545">
      <c r="B4545" s="19"/>
      <c r="E4545" s="23"/>
      <c r="L4545" s="23"/>
    </row>
    <row r="4546">
      <c r="B4546" s="19"/>
      <c r="E4546" s="23"/>
      <c r="L4546" s="23"/>
    </row>
    <row r="4547">
      <c r="B4547" s="19"/>
      <c r="E4547" s="23"/>
      <c r="L4547" s="23"/>
    </row>
    <row r="4548">
      <c r="B4548" s="19"/>
      <c r="E4548" s="23"/>
      <c r="L4548" s="23"/>
    </row>
    <row r="4549">
      <c r="B4549" s="19"/>
      <c r="E4549" s="23"/>
      <c r="L4549" s="23"/>
    </row>
    <row r="4550">
      <c r="B4550" s="19"/>
      <c r="E4550" s="23"/>
      <c r="L4550" s="23"/>
    </row>
    <row r="4551">
      <c r="B4551" s="19"/>
      <c r="E4551" s="23"/>
      <c r="L4551" s="23"/>
    </row>
    <row r="4552">
      <c r="B4552" s="19"/>
      <c r="E4552" s="23"/>
      <c r="L4552" s="23"/>
    </row>
    <row r="4553">
      <c r="B4553" s="19"/>
      <c r="E4553" s="23"/>
      <c r="L4553" s="23"/>
    </row>
    <row r="4554">
      <c r="B4554" s="19"/>
      <c r="E4554" s="23"/>
      <c r="L4554" s="23"/>
    </row>
    <row r="4555">
      <c r="B4555" s="19"/>
      <c r="E4555" s="23"/>
      <c r="L4555" s="23"/>
    </row>
    <row r="4556">
      <c r="B4556" s="19"/>
      <c r="E4556" s="23"/>
      <c r="L4556" s="23"/>
    </row>
    <row r="4557">
      <c r="B4557" s="19"/>
      <c r="E4557" s="23"/>
      <c r="L4557" s="23"/>
    </row>
    <row r="4558">
      <c r="B4558" s="19"/>
      <c r="E4558" s="23"/>
      <c r="L4558" s="23"/>
    </row>
    <row r="4559">
      <c r="B4559" s="19"/>
      <c r="E4559" s="23"/>
      <c r="L4559" s="23"/>
    </row>
    <row r="4560">
      <c r="B4560" s="19"/>
      <c r="E4560" s="23"/>
      <c r="L4560" s="23"/>
    </row>
    <row r="4561">
      <c r="B4561" s="19"/>
      <c r="E4561" s="23"/>
      <c r="L4561" s="23"/>
    </row>
    <row r="4562">
      <c r="B4562" s="19"/>
      <c r="E4562" s="23"/>
      <c r="L4562" s="23"/>
    </row>
    <row r="4563">
      <c r="B4563" s="19"/>
      <c r="E4563" s="23"/>
      <c r="L4563" s="23"/>
    </row>
    <row r="4564">
      <c r="B4564" s="19"/>
      <c r="E4564" s="23"/>
      <c r="L4564" s="23"/>
    </row>
    <row r="4565">
      <c r="B4565" s="19"/>
      <c r="E4565" s="23"/>
      <c r="L4565" s="23"/>
    </row>
    <row r="4566">
      <c r="B4566" s="19"/>
      <c r="E4566" s="23"/>
      <c r="L4566" s="23"/>
    </row>
    <row r="4567">
      <c r="B4567" s="19"/>
      <c r="E4567" s="23"/>
      <c r="L4567" s="23"/>
    </row>
    <row r="4568">
      <c r="B4568" s="19"/>
      <c r="E4568" s="23"/>
      <c r="L4568" s="23"/>
    </row>
    <row r="4569">
      <c r="B4569" s="19"/>
      <c r="E4569" s="23"/>
      <c r="L4569" s="23"/>
    </row>
    <row r="4570">
      <c r="B4570" s="19"/>
      <c r="E4570" s="23"/>
      <c r="L4570" s="23"/>
    </row>
    <row r="4571">
      <c r="B4571" s="19"/>
      <c r="E4571" s="23"/>
      <c r="L4571" s="23"/>
    </row>
    <row r="4572">
      <c r="B4572" s="19"/>
      <c r="E4572" s="23"/>
      <c r="L4572" s="23"/>
    </row>
    <row r="4573">
      <c r="B4573" s="19"/>
      <c r="E4573" s="23"/>
      <c r="L4573" s="23"/>
    </row>
    <row r="4574">
      <c r="B4574" s="19"/>
      <c r="E4574" s="23"/>
      <c r="L4574" s="23"/>
    </row>
    <row r="4575">
      <c r="B4575" s="19"/>
      <c r="E4575" s="23"/>
      <c r="L4575" s="23"/>
    </row>
    <row r="4576">
      <c r="B4576" s="19"/>
      <c r="E4576" s="23"/>
      <c r="L4576" s="23"/>
    </row>
    <row r="4577">
      <c r="B4577" s="19"/>
      <c r="E4577" s="23"/>
      <c r="L4577" s="23"/>
    </row>
    <row r="4578">
      <c r="B4578" s="19"/>
      <c r="E4578" s="23"/>
      <c r="L4578" s="23"/>
    </row>
    <row r="4579">
      <c r="B4579" s="19"/>
      <c r="E4579" s="23"/>
      <c r="L4579" s="23"/>
    </row>
    <row r="4580">
      <c r="B4580" s="19"/>
      <c r="E4580" s="23"/>
      <c r="L4580" s="23"/>
    </row>
    <row r="4581">
      <c r="B4581" s="19"/>
      <c r="E4581" s="23"/>
      <c r="L4581" s="23"/>
    </row>
    <row r="4582">
      <c r="B4582" s="19"/>
      <c r="E4582" s="23"/>
      <c r="L4582" s="23"/>
    </row>
    <row r="4583">
      <c r="B4583" s="19"/>
      <c r="E4583" s="23"/>
      <c r="L4583" s="23"/>
    </row>
    <row r="4584">
      <c r="B4584" s="19"/>
      <c r="E4584" s="23"/>
      <c r="L4584" s="23"/>
    </row>
    <row r="4585">
      <c r="B4585" s="19"/>
      <c r="E4585" s="23"/>
      <c r="L4585" s="23"/>
    </row>
    <row r="4586">
      <c r="B4586" s="19"/>
      <c r="E4586" s="23"/>
      <c r="L4586" s="23"/>
    </row>
    <row r="4587">
      <c r="B4587" s="19"/>
      <c r="E4587" s="23"/>
      <c r="L4587" s="23"/>
    </row>
    <row r="4588">
      <c r="B4588" s="19"/>
      <c r="E4588" s="23"/>
      <c r="L4588" s="23"/>
    </row>
    <row r="4589">
      <c r="B4589" s="19"/>
      <c r="E4589" s="23"/>
      <c r="L4589" s="23"/>
    </row>
    <row r="4590">
      <c r="B4590" s="19"/>
      <c r="E4590" s="23"/>
      <c r="L4590" s="23"/>
    </row>
    <row r="4591">
      <c r="B4591" s="19"/>
      <c r="E4591" s="23"/>
      <c r="L4591" s="23"/>
    </row>
    <row r="4592">
      <c r="B4592" s="19"/>
      <c r="E4592" s="23"/>
      <c r="L4592" s="23"/>
    </row>
    <row r="4593">
      <c r="B4593" s="19"/>
      <c r="E4593" s="23"/>
      <c r="L4593" s="23"/>
    </row>
    <row r="4594">
      <c r="B4594" s="19"/>
      <c r="E4594" s="23"/>
      <c r="L4594" s="23"/>
    </row>
    <row r="4595">
      <c r="B4595" s="19"/>
      <c r="E4595" s="23"/>
      <c r="L4595" s="23"/>
    </row>
    <row r="4596">
      <c r="B4596" s="19"/>
      <c r="E4596" s="23"/>
      <c r="L4596" s="23"/>
    </row>
    <row r="4597">
      <c r="B4597" s="19"/>
      <c r="E4597" s="23"/>
      <c r="L4597" s="23"/>
    </row>
    <row r="4598">
      <c r="B4598" s="19"/>
      <c r="E4598" s="23"/>
      <c r="L4598" s="23"/>
    </row>
    <row r="4599">
      <c r="B4599" s="19"/>
      <c r="E4599" s="23"/>
      <c r="L4599" s="23"/>
    </row>
    <row r="4600">
      <c r="B4600" s="19"/>
      <c r="E4600" s="23"/>
      <c r="L4600" s="23"/>
    </row>
    <row r="4601">
      <c r="B4601" s="19"/>
      <c r="E4601" s="23"/>
      <c r="L4601" s="23"/>
    </row>
    <row r="4602">
      <c r="B4602" s="19"/>
      <c r="E4602" s="23"/>
      <c r="L4602" s="23"/>
    </row>
    <row r="4603">
      <c r="B4603" s="19"/>
      <c r="E4603" s="23"/>
      <c r="L4603" s="23"/>
    </row>
    <row r="4604">
      <c r="B4604" s="19"/>
      <c r="E4604" s="23"/>
      <c r="L4604" s="23"/>
    </row>
    <row r="4605">
      <c r="B4605" s="19"/>
      <c r="E4605" s="23"/>
      <c r="L4605" s="23"/>
    </row>
    <row r="4606">
      <c r="B4606" s="19"/>
      <c r="E4606" s="23"/>
      <c r="L4606" s="23"/>
    </row>
    <row r="4607">
      <c r="B4607" s="19"/>
      <c r="E4607" s="23"/>
      <c r="L4607" s="23"/>
    </row>
    <row r="4608">
      <c r="B4608" s="19"/>
      <c r="E4608" s="23"/>
      <c r="L4608" s="23"/>
    </row>
    <row r="4609">
      <c r="B4609" s="19"/>
      <c r="E4609" s="23"/>
      <c r="L4609" s="23"/>
    </row>
    <row r="4610">
      <c r="B4610" s="19"/>
      <c r="E4610" s="23"/>
      <c r="L4610" s="23"/>
    </row>
    <row r="4611">
      <c r="B4611" s="19"/>
      <c r="E4611" s="23"/>
      <c r="L4611" s="23"/>
    </row>
    <row r="4612">
      <c r="B4612" s="19"/>
      <c r="E4612" s="23"/>
      <c r="L4612" s="23"/>
    </row>
    <row r="4613">
      <c r="B4613" s="19"/>
      <c r="E4613" s="23"/>
      <c r="L4613" s="23"/>
    </row>
    <row r="4614">
      <c r="B4614" s="19"/>
      <c r="E4614" s="23"/>
      <c r="L4614" s="23"/>
    </row>
    <row r="4615">
      <c r="B4615" s="19"/>
      <c r="E4615" s="23"/>
      <c r="L4615" s="23"/>
    </row>
    <row r="4616">
      <c r="B4616" s="19"/>
      <c r="E4616" s="23"/>
      <c r="L4616" s="23"/>
    </row>
    <row r="4617">
      <c r="B4617" s="19"/>
      <c r="E4617" s="23"/>
      <c r="L4617" s="23"/>
    </row>
    <row r="4618">
      <c r="B4618" s="19"/>
      <c r="E4618" s="23"/>
      <c r="L4618" s="23"/>
    </row>
    <row r="4619">
      <c r="B4619" s="19"/>
      <c r="E4619" s="23"/>
      <c r="L4619" s="23"/>
    </row>
    <row r="4620">
      <c r="B4620" s="19"/>
      <c r="E4620" s="23"/>
      <c r="L4620" s="23"/>
    </row>
    <row r="4621">
      <c r="B4621" s="19"/>
      <c r="E4621" s="23"/>
      <c r="L4621" s="23"/>
    </row>
    <row r="4622">
      <c r="B4622" s="19"/>
      <c r="E4622" s="23"/>
      <c r="L4622" s="23"/>
    </row>
    <row r="4623">
      <c r="B4623" s="19"/>
      <c r="E4623" s="23"/>
      <c r="L4623" s="23"/>
    </row>
    <row r="4624">
      <c r="B4624" s="19"/>
      <c r="E4624" s="23"/>
      <c r="L4624" s="23"/>
    </row>
    <row r="4625">
      <c r="B4625" s="19"/>
      <c r="E4625" s="23"/>
      <c r="L4625" s="23"/>
    </row>
    <row r="4626">
      <c r="B4626" s="19"/>
      <c r="E4626" s="23"/>
      <c r="L4626" s="23"/>
    </row>
    <row r="4627">
      <c r="B4627" s="19"/>
      <c r="E4627" s="23"/>
      <c r="L4627" s="23"/>
    </row>
    <row r="4628">
      <c r="B4628" s="19"/>
      <c r="E4628" s="23"/>
      <c r="L4628" s="23"/>
    </row>
    <row r="4629">
      <c r="B4629" s="19"/>
      <c r="E4629" s="23"/>
      <c r="L4629" s="23"/>
    </row>
    <row r="4630">
      <c r="B4630" s="19"/>
      <c r="E4630" s="23"/>
      <c r="L4630" s="23"/>
    </row>
    <row r="4631">
      <c r="B4631" s="19"/>
      <c r="E4631" s="23"/>
      <c r="L4631" s="23"/>
    </row>
    <row r="4632">
      <c r="B4632" s="19"/>
      <c r="E4632" s="23"/>
      <c r="L4632" s="23"/>
    </row>
    <row r="4633">
      <c r="B4633" s="19"/>
      <c r="E4633" s="23"/>
      <c r="L4633" s="23"/>
    </row>
    <row r="4634">
      <c r="B4634" s="19"/>
      <c r="E4634" s="23"/>
      <c r="L4634" s="23"/>
    </row>
    <row r="4635">
      <c r="B4635" s="19"/>
      <c r="E4635" s="23"/>
      <c r="L4635" s="23"/>
    </row>
    <row r="4636">
      <c r="B4636" s="19"/>
      <c r="E4636" s="23"/>
      <c r="L4636" s="23"/>
    </row>
    <row r="4637">
      <c r="B4637" s="19"/>
      <c r="E4637" s="23"/>
      <c r="L4637" s="23"/>
    </row>
    <row r="4638">
      <c r="B4638" s="19"/>
      <c r="E4638" s="23"/>
      <c r="L4638" s="23"/>
    </row>
    <row r="4639">
      <c r="B4639" s="19"/>
      <c r="E4639" s="23"/>
      <c r="L4639" s="23"/>
    </row>
    <row r="4640">
      <c r="B4640" s="19"/>
      <c r="E4640" s="23"/>
      <c r="L4640" s="23"/>
    </row>
    <row r="4641">
      <c r="B4641" s="19"/>
      <c r="E4641" s="23"/>
      <c r="L4641" s="23"/>
    </row>
    <row r="4642">
      <c r="B4642" s="19"/>
      <c r="E4642" s="23"/>
      <c r="L4642" s="23"/>
    </row>
    <row r="4643">
      <c r="B4643" s="19"/>
      <c r="E4643" s="23"/>
      <c r="L4643" s="23"/>
    </row>
    <row r="4644">
      <c r="B4644" s="19"/>
      <c r="E4644" s="23"/>
      <c r="L4644" s="23"/>
    </row>
    <row r="4645">
      <c r="B4645" s="19"/>
      <c r="E4645" s="23"/>
      <c r="L4645" s="23"/>
    </row>
    <row r="4646">
      <c r="B4646" s="19"/>
      <c r="E4646" s="23"/>
      <c r="L4646" s="23"/>
    </row>
    <row r="4647">
      <c r="B4647" s="19"/>
      <c r="E4647" s="23"/>
      <c r="L4647" s="23"/>
    </row>
    <row r="4648">
      <c r="B4648" s="19"/>
      <c r="E4648" s="23"/>
      <c r="L4648" s="23"/>
    </row>
    <row r="4649">
      <c r="B4649" s="19"/>
      <c r="E4649" s="23"/>
      <c r="L4649" s="23"/>
    </row>
    <row r="4650">
      <c r="B4650" s="19"/>
      <c r="E4650" s="23"/>
      <c r="L4650" s="23"/>
    </row>
    <row r="4651">
      <c r="B4651" s="19"/>
      <c r="E4651" s="23"/>
      <c r="L4651" s="23"/>
    </row>
    <row r="4652">
      <c r="B4652" s="19"/>
      <c r="E4652" s="23"/>
      <c r="L4652" s="23"/>
    </row>
    <row r="4653">
      <c r="B4653" s="19"/>
      <c r="E4653" s="23"/>
      <c r="L4653" s="23"/>
    </row>
    <row r="4654">
      <c r="B4654" s="19"/>
      <c r="E4654" s="23"/>
      <c r="L4654" s="23"/>
    </row>
    <row r="4655">
      <c r="B4655" s="19"/>
      <c r="E4655" s="23"/>
      <c r="L4655" s="23"/>
    </row>
    <row r="4656">
      <c r="B4656" s="19"/>
      <c r="E4656" s="23"/>
      <c r="L4656" s="23"/>
    </row>
    <row r="4657">
      <c r="B4657" s="19"/>
      <c r="E4657" s="23"/>
      <c r="L4657" s="23"/>
    </row>
    <row r="4658">
      <c r="B4658" s="19"/>
      <c r="E4658" s="23"/>
      <c r="L4658" s="23"/>
    </row>
    <row r="4659">
      <c r="B4659" s="19"/>
      <c r="E4659" s="23"/>
      <c r="L4659" s="23"/>
    </row>
    <row r="4660">
      <c r="B4660" s="19"/>
      <c r="E4660" s="23"/>
      <c r="L4660" s="23"/>
    </row>
    <row r="4661">
      <c r="B4661" s="19"/>
      <c r="E4661" s="23"/>
      <c r="L4661" s="23"/>
    </row>
    <row r="4662">
      <c r="B4662" s="19"/>
      <c r="E4662" s="23"/>
      <c r="L4662" s="23"/>
    </row>
    <row r="4663">
      <c r="B4663" s="19"/>
      <c r="E4663" s="23"/>
      <c r="L4663" s="23"/>
    </row>
    <row r="4664">
      <c r="B4664" s="19"/>
      <c r="E4664" s="23"/>
      <c r="L4664" s="23"/>
    </row>
    <row r="4665">
      <c r="B4665" s="19"/>
      <c r="E4665" s="23"/>
      <c r="L4665" s="23"/>
    </row>
    <row r="4666">
      <c r="B4666" s="19"/>
      <c r="E4666" s="23"/>
      <c r="L4666" s="23"/>
    </row>
    <row r="4667">
      <c r="B4667" s="19"/>
      <c r="E4667" s="23"/>
      <c r="L4667" s="23"/>
    </row>
    <row r="4668">
      <c r="B4668" s="19"/>
      <c r="E4668" s="23"/>
      <c r="L4668" s="23"/>
    </row>
    <row r="4669">
      <c r="B4669" s="19"/>
      <c r="E4669" s="23"/>
      <c r="L4669" s="23"/>
    </row>
    <row r="4670">
      <c r="B4670" s="19"/>
      <c r="E4670" s="23"/>
      <c r="L4670" s="23"/>
    </row>
    <row r="4671">
      <c r="B4671" s="19"/>
      <c r="E4671" s="23"/>
      <c r="L4671" s="23"/>
    </row>
    <row r="4672">
      <c r="B4672" s="19"/>
      <c r="E4672" s="23"/>
      <c r="L4672" s="23"/>
    </row>
    <row r="4673">
      <c r="B4673" s="19"/>
      <c r="E4673" s="23"/>
      <c r="L4673" s="23"/>
    </row>
    <row r="4674">
      <c r="B4674" s="19"/>
      <c r="E4674" s="23"/>
      <c r="L4674" s="23"/>
    </row>
    <row r="4675">
      <c r="B4675" s="19"/>
      <c r="E4675" s="23"/>
      <c r="L4675" s="23"/>
    </row>
    <row r="4676">
      <c r="B4676" s="19"/>
      <c r="E4676" s="23"/>
      <c r="L4676" s="23"/>
    </row>
    <row r="4677">
      <c r="B4677" s="19"/>
      <c r="E4677" s="23"/>
      <c r="L4677" s="23"/>
    </row>
    <row r="4678">
      <c r="B4678" s="19"/>
      <c r="E4678" s="23"/>
      <c r="L4678" s="23"/>
    </row>
    <row r="4679">
      <c r="B4679" s="19"/>
      <c r="E4679" s="23"/>
      <c r="L4679" s="23"/>
    </row>
    <row r="4680">
      <c r="B4680" s="19"/>
      <c r="E4680" s="23"/>
      <c r="L4680" s="23"/>
    </row>
    <row r="4681">
      <c r="B4681" s="19"/>
      <c r="E4681" s="23"/>
      <c r="L4681" s="23"/>
    </row>
    <row r="4682">
      <c r="B4682" s="19"/>
      <c r="E4682" s="23"/>
      <c r="L4682" s="23"/>
    </row>
    <row r="4683">
      <c r="B4683" s="19"/>
      <c r="E4683" s="23"/>
      <c r="L4683" s="23"/>
    </row>
    <row r="4684">
      <c r="B4684" s="19"/>
      <c r="E4684" s="23"/>
      <c r="L4684" s="23"/>
    </row>
    <row r="4685">
      <c r="B4685" s="19"/>
      <c r="E4685" s="23"/>
      <c r="L4685" s="23"/>
    </row>
    <row r="4686">
      <c r="B4686" s="19"/>
      <c r="E4686" s="23"/>
      <c r="L4686" s="23"/>
    </row>
    <row r="4687">
      <c r="B4687" s="19"/>
      <c r="E4687" s="23"/>
      <c r="L4687" s="23"/>
    </row>
    <row r="4688">
      <c r="B4688" s="19"/>
      <c r="E4688" s="23"/>
      <c r="L4688" s="23"/>
    </row>
    <row r="4689">
      <c r="B4689" s="19"/>
      <c r="E4689" s="23"/>
      <c r="L4689" s="23"/>
    </row>
    <row r="4690">
      <c r="B4690" s="19"/>
      <c r="E4690" s="23"/>
      <c r="L4690" s="23"/>
    </row>
    <row r="4691">
      <c r="B4691" s="19"/>
      <c r="E4691" s="23"/>
      <c r="L4691" s="23"/>
    </row>
    <row r="4692">
      <c r="B4692" s="19"/>
      <c r="E4692" s="23"/>
      <c r="L4692" s="23"/>
    </row>
    <row r="4693">
      <c r="B4693" s="19"/>
      <c r="E4693" s="23"/>
      <c r="L4693" s="23"/>
    </row>
    <row r="4694">
      <c r="B4694" s="19"/>
      <c r="E4694" s="23"/>
      <c r="L4694" s="23"/>
    </row>
    <row r="4695">
      <c r="B4695" s="19"/>
      <c r="E4695" s="23"/>
      <c r="L4695" s="23"/>
    </row>
    <row r="4696">
      <c r="B4696" s="19"/>
      <c r="E4696" s="23"/>
      <c r="L4696" s="23"/>
    </row>
    <row r="4697">
      <c r="B4697" s="19"/>
      <c r="E4697" s="23"/>
      <c r="L4697" s="23"/>
    </row>
    <row r="4698">
      <c r="B4698" s="19"/>
      <c r="E4698" s="23"/>
      <c r="L4698" s="23"/>
    </row>
    <row r="4699">
      <c r="B4699" s="19"/>
      <c r="E4699" s="23"/>
      <c r="L4699" s="23"/>
    </row>
    <row r="4700">
      <c r="B4700" s="19"/>
      <c r="E4700" s="23"/>
      <c r="L4700" s="23"/>
    </row>
    <row r="4701">
      <c r="B4701" s="19"/>
      <c r="E4701" s="23"/>
      <c r="L4701" s="23"/>
    </row>
    <row r="4702">
      <c r="B4702" s="19"/>
      <c r="E4702" s="23"/>
      <c r="L4702" s="23"/>
    </row>
    <row r="4703">
      <c r="B4703" s="19"/>
      <c r="E4703" s="23"/>
      <c r="L4703" s="23"/>
    </row>
    <row r="4704">
      <c r="B4704" s="19"/>
      <c r="E4704" s="23"/>
      <c r="L4704" s="23"/>
    </row>
    <row r="4705">
      <c r="B4705" s="19"/>
      <c r="E4705" s="23"/>
      <c r="L4705" s="23"/>
    </row>
    <row r="4706">
      <c r="B4706" s="19"/>
      <c r="E4706" s="23"/>
      <c r="L4706" s="23"/>
    </row>
    <row r="4707">
      <c r="B4707" s="19"/>
      <c r="E4707" s="23"/>
      <c r="L4707" s="23"/>
    </row>
    <row r="4708">
      <c r="B4708" s="19"/>
      <c r="E4708" s="23"/>
      <c r="L4708" s="23"/>
    </row>
    <row r="4709">
      <c r="B4709" s="19"/>
      <c r="E4709" s="23"/>
      <c r="L4709" s="23"/>
    </row>
    <row r="4710">
      <c r="B4710" s="19"/>
      <c r="E4710" s="23"/>
      <c r="L4710" s="23"/>
    </row>
    <row r="4711">
      <c r="B4711" s="19"/>
      <c r="E4711" s="23"/>
      <c r="L4711" s="23"/>
    </row>
    <row r="4712">
      <c r="B4712" s="19"/>
      <c r="E4712" s="23"/>
      <c r="L4712" s="23"/>
    </row>
    <row r="4713">
      <c r="B4713" s="19"/>
      <c r="E4713" s="23"/>
      <c r="L4713" s="23"/>
    </row>
    <row r="4714">
      <c r="B4714" s="19"/>
      <c r="E4714" s="23"/>
      <c r="L4714" s="23"/>
    </row>
    <row r="4715">
      <c r="B4715" s="19"/>
      <c r="E4715" s="23"/>
      <c r="L4715" s="23"/>
    </row>
    <row r="4716">
      <c r="B4716" s="19"/>
      <c r="E4716" s="23"/>
      <c r="L4716" s="23"/>
    </row>
    <row r="4717">
      <c r="B4717" s="19"/>
      <c r="E4717" s="23"/>
      <c r="L4717" s="23"/>
    </row>
    <row r="4718">
      <c r="B4718" s="19"/>
      <c r="E4718" s="23"/>
      <c r="L4718" s="23"/>
    </row>
    <row r="4719">
      <c r="B4719" s="19"/>
      <c r="E4719" s="23"/>
      <c r="L4719" s="23"/>
    </row>
    <row r="4720">
      <c r="B4720" s="19"/>
      <c r="E4720" s="23"/>
      <c r="L4720" s="23"/>
    </row>
    <row r="4721">
      <c r="B4721" s="19"/>
      <c r="E4721" s="23"/>
      <c r="L4721" s="23"/>
    </row>
    <row r="4722">
      <c r="B4722" s="19"/>
      <c r="E4722" s="23"/>
      <c r="L4722" s="23"/>
    </row>
    <row r="4723">
      <c r="B4723" s="19"/>
      <c r="E4723" s="23"/>
      <c r="L4723" s="23"/>
    </row>
    <row r="4724">
      <c r="B4724" s="19"/>
      <c r="E4724" s="23"/>
      <c r="L4724" s="23"/>
    </row>
    <row r="4725">
      <c r="B4725" s="19"/>
      <c r="E4725" s="23"/>
      <c r="L4725" s="23"/>
    </row>
    <row r="4726">
      <c r="B4726" s="19"/>
      <c r="E4726" s="23"/>
      <c r="L4726" s="23"/>
    </row>
    <row r="4727">
      <c r="B4727" s="19"/>
      <c r="E4727" s="23"/>
      <c r="L4727" s="23"/>
    </row>
    <row r="4728">
      <c r="B4728" s="19"/>
      <c r="E4728" s="23"/>
      <c r="L4728" s="23"/>
    </row>
    <row r="4729">
      <c r="B4729" s="19"/>
      <c r="E4729" s="23"/>
      <c r="L4729" s="23"/>
    </row>
    <row r="4730">
      <c r="B4730" s="19"/>
      <c r="E4730" s="23"/>
      <c r="L4730" s="23"/>
    </row>
    <row r="4731">
      <c r="B4731" s="19"/>
      <c r="E4731" s="23"/>
      <c r="L4731" s="23"/>
    </row>
    <row r="4732">
      <c r="B4732" s="19"/>
      <c r="E4732" s="23"/>
      <c r="L4732" s="23"/>
    </row>
    <row r="4733">
      <c r="B4733" s="19"/>
      <c r="E4733" s="23"/>
      <c r="L4733" s="23"/>
    </row>
    <row r="4734">
      <c r="B4734" s="19"/>
      <c r="E4734" s="23"/>
      <c r="L4734" s="23"/>
    </row>
    <row r="4735">
      <c r="B4735" s="19"/>
      <c r="E4735" s="23"/>
      <c r="L4735" s="23"/>
    </row>
    <row r="4736">
      <c r="B4736" s="19"/>
      <c r="E4736" s="23"/>
      <c r="L4736" s="23"/>
    </row>
    <row r="4737">
      <c r="B4737" s="19"/>
      <c r="E4737" s="23"/>
      <c r="L4737" s="23"/>
    </row>
    <row r="4738">
      <c r="B4738" s="19"/>
      <c r="E4738" s="23"/>
      <c r="L4738" s="23"/>
    </row>
    <row r="4739">
      <c r="B4739" s="19"/>
      <c r="E4739" s="23"/>
      <c r="L4739" s="23"/>
    </row>
    <row r="4740">
      <c r="B4740" s="19"/>
      <c r="E4740" s="23"/>
      <c r="L4740" s="23"/>
    </row>
    <row r="4741">
      <c r="B4741" s="19"/>
      <c r="E4741" s="23"/>
      <c r="L4741" s="23"/>
    </row>
    <row r="4742">
      <c r="B4742" s="19"/>
      <c r="E4742" s="23"/>
      <c r="L4742" s="23"/>
    </row>
    <row r="4743">
      <c r="B4743" s="19"/>
      <c r="E4743" s="23"/>
      <c r="L4743" s="23"/>
    </row>
    <row r="4744">
      <c r="B4744" s="19"/>
      <c r="E4744" s="23"/>
      <c r="L4744" s="23"/>
    </row>
    <row r="4745">
      <c r="B4745" s="19"/>
      <c r="E4745" s="23"/>
      <c r="L4745" s="23"/>
    </row>
    <row r="4746">
      <c r="B4746" s="19"/>
      <c r="E4746" s="23"/>
      <c r="L4746" s="23"/>
    </row>
    <row r="4747">
      <c r="B4747" s="19"/>
      <c r="E4747" s="23"/>
      <c r="L4747" s="23"/>
    </row>
    <row r="4748">
      <c r="B4748" s="19"/>
      <c r="E4748" s="23"/>
      <c r="L4748" s="23"/>
    </row>
    <row r="4749">
      <c r="B4749" s="19"/>
      <c r="E4749" s="23"/>
      <c r="L4749" s="23"/>
    </row>
    <row r="4750">
      <c r="B4750" s="19"/>
      <c r="E4750" s="23"/>
      <c r="L4750" s="23"/>
    </row>
    <row r="4751">
      <c r="B4751" s="19"/>
      <c r="E4751" s="23"/>
      <c r="L4751" s="23"/>
    </row>
    <row r="4752">
      <c r="B4752" s="19"/>
      <c r="E4752" s="23"/>
      <c r="L4752" s="23"/>
    </row>
    <row r="4753">
      <c r="B4753" s="19"/>
      <c r="E4753" s="23"/>
      <c r="L4753" s="23"/>
    </row>
    <row r="4754">
      <c r="B4754" s="19"/>
      <c r="E4754" s="23"/>
      <c r="L4754" s="23"/>
    </row>
    <row r="4755">
      <c r="B4755" s="19"/>
      <c r="E4755" s="23"/>
      <c r="L4755" s="23"/>
    </row>
    <row r="4756">
      <c r="B4756" s="19"/>
      <c r="E4756" s="23"/>
      <c r="L4756" s="23"/>
    </row>
    <row r="4757">
      <c r="B4757" s="19"/>
      <c r="E4757" s="23"/>
      <c r="L4757" s="23"/>
    </row>
    <row r="4758">
      <c r="B4758" s="19"/>
      <c r="E4758" s="23"/>
      <c r="L4758" s="23"/>
    </row>
    <row r="4759">
      <c r="B4759" s="19"/>
      <c r="E4759" s="23"/>
      <c r="L4759" s="23"/>
    </row>
    <row r="4760">
      <c r="B4760" s="19"/>
      <c r="E4760" s="23"/>
      <c r="L4760" s="23"/>
    </row>
    <row r="4761">
      <c r="B4761" s="19"/>
      <c r="E4761" s="23"/>
      <c r="L4761" s="23"/>
    </row>
    <row r="4762">
      <c r="B4762" s="19"/>
      <c r="E4762" s="23"/>
      <c r="L4762" s="23"/>
    </row>
    <row r="4763">
      <c r="B4763" s="19"/>
      <c r="E4763" s="23"/>
      <c r="L4763" s="23"/>
    </row>
    <row r="4764">
      <c r="B4764" s="19"/>
      <c r="E4764" s="23"/>
      <c r="L4764" s="23"/>
    </row>
    <row r="4765">
      <c r="B4765" s="19"/>
      <c r="E4765" s="23"/>
      <c r="L4765" s="23"/>
    </row>
    <row r="4766">
      <c r="B4766" s="19"/>
      <c r="E4766" s="23"/>
      <c r="L4766" s="23"/>
    </row>
    <row r="4767">
      <c r="B4767" s="19"/>
      <c r="E4767" s="23"/>
      <c r="L4767" s="23"/>
    </row>
    <row r="4768">
      <c r="B4768" s="19"/>
      <c r="E4768" s="23"/>
      <c r="L4768" s="23"/>
    </row>
    <row r="4769">
      <c r="B4769" s="19"/>
      <c r="E4769" s="23"/>
      <c r="L4769" s="23"/>
    </row>
    <row r="4770">
      <c r="B4770" s="19"/>
      <c r="E4770" s="23"/>
      <c r="L4770" s="23"/>
    </row>
    <row r="4771">
      <c r="B4771" s="19"/>
      <c r="E4771" s="23"/>
      <c r="L4771" s="23"/>
    </row>
    <row r="4772">
      <c r="B4772" s="19"/>
      <c r="E4772" s="23"/>
      <c r="L4772" s="23"/>
    </row>
    <row r="4773">
      <c r="B4773" s="19"/>
      <c r="E4773" s="23"/>
      <c r="L4773" s="23"/>
    </row>
    <row r="4774">
      <c r="B4774" s="19"/>
      <c r="E4774" s="23"/>
      <c r="L4774" s="23"/>
    </row>
    <row r="4775">
      <c r="B4775" s="19"/>
      <c r="E4775" s="23"/>
      <c r="L4775" s="23"/>
    </row>
    <row r="4776">
      <c r="B4776" s="19"/>
      <c r="E4776" s="23"/>
      <c r="L4776" s="23"/>
    </row>
    <row r="4777">
      <c r="B4777" s="19"/>
      <c r="E4777" s="23"/>
      <c r="L4777" s="23"/>
    </row>
    <row r="4778">
      <c r="B4778" s="19"/>
      <c r="E4778" s="23"/>
      <c r="L4778" s="23"/>
    </row>
    <row r="4779">
      <c r="B4779" s="19"/>
      <c r="E4779" s="23"/>
      <c r="L4779" s="23"/>
    </row>
    <row r="4780">
      <c r="B4780" s="19"/>
      <c r="E4780" s="23"/>
      <c r="L4780" s="23"/>
    </row>
    <row r="4781">
      <c r="B4781" s="19"/>
      <c r="E4781" s="23"/>
      <c r="L4781" s="23"/>
    </row>
    <row r="4782">
      <c r="B4782" s="19"/>
      <c r="E4782" s="23"/>
      <c r="L4782" s="23"/>
    </row>
    <row r="4783">
      <c r="B4783" s="19"/>
      <c r="E4783" s="23"/>
      <c r="L4783" s="23"/>
    </row>
    <row r="4784">
      <c r="B4784" s="19"/>
      <c r="E4784" s="23"/>
      <c r="L4784" s="23"/>
    </row>
    <row r="4785">
      <c r="B4785" s="19"/>
      <c r="E4785" s="23"/>
      <c r="L4785" s="23"/>
    </row>
    <row r="4786">
      <c r="B4786" s="19"/>
      <c r="E4786" s="23"/>
      <c r="L4786" s="23"/>
    </row>
    <row r="4787">
      <c r="B4787" s="19"/>
      <c r="E4787" s="23"/>
      <c r="L4787" s="23"/>
    </row>
    <row r="4788">
      <c r="B4788" s="19"/>
      <c r="E4788" s="23"/>
      <c r="L4788" s="23"/>
    </row>
    <row r="4789">
      <c r="B4789" s="19"/>
      <c r="E4789" s="23"/>
      <c r="L4789" s="23"/>
    </row>
    <row r="4790">
      <c r="B4790" s="19"/>
      <c r="E4790" s="23"/>
      <c r="L4790" s="23"/>
    </row>
    <row r="4791">
      <c r="B4791" s="19"/>
      <c r="E4791" s="23"/>
      <c r="L4791" s="23"/>
    </row>
    <row r="4792">
      <c r="B4792" s="19"/>
      <c r="E4792" s="23"/>
      <c r="L4792" s="23"/>
    </row>
    <row r="4793">
      <c r="B4793" s="19"/>
      <c r="E4793" s="23"/>
      <c r="L4793" s="23"/>
    </row>
    <row r="4794">
      <c r="B4794" s="19"/>
      <c r="E4794" s="23"/>
      <c r="L4794" s="23"/>
    </row>
    <row r="4795">
      <c r="B4795" s="19"/>
      <c r="E4795" s="23"/>
      <c r="L4795" s="23"/>
    </row>
    <row r="4796">
      <c r="B4796" s="19"/>
      <c r="E4796" s="23"/>
      <c r="L4796" s="23"/>
    </row>
    <row r="4797">
      <c r="B4797" s="19"/>
      <c r="E4797" s="23"/>
      <c r="L4797" s="23"/>
    </row>
    <row r="4798">
      <c r="B4798" s="19"/>
      <c r="E4798" s="23"/>
      <c r="L4798" s="23"/>
    </row>
    <row r="4799">
      <c r="B4799" s="19"/>
      <c r="E4799" s="23"/>
      <c r="L4799" s="23"/>
    </row>
    <row r="4800">
      <c r="B4800" s="19"/>
      <c r="E4800" s="23"/>
      <c r="L4800" s="23"/>
    </row>
    <row r="4801">
      <c r="B4801" s="19"/>
      <c r="E4801" s="23"/>
      <c r="L4801" s="23"/>
    </row>
    <row r="4802">
      <c r="B4802" s="19"/>
      <c r="E4802" s="23"/>
      <c r="L4802" s="23"/>
    </row>
    <row r="4803">
      <c r="B4803" s="19"/>
      <c r="E4803" s="23"/>
      <c r="L4803" s="23"/>
    </row>
    <row r="4804">
      <c r="B4804" s="19"/>
      <c r="E4804" s="23"/>
      <c r="L4804" s="23"/>
    </row>
    <row r="4805">
      <c r="B4805" s="19"/>
      <c r="E4805" s="23"/>
      <c r="L4805" s="23"/>
    </row>
    <row r="4806">
      <c r="B4806" s="19"/>
      <c r="E4806" s="23"/>
      <c r="L4806" s="23"/>
    </row>
    <row r="4807">
      <c r="B4807" s="19"/>
      <c r="E4807" s="23"/>
      <c r="L4807" s="23"/>
    </row>
    <row r="4808">
      <c r="B4808" s="19"/>
      <c r="E4808" s="23"/>
      <c r="L4808" s="23"/>
    </row>
    <row r="4809">
      <c r="B4809" s="19"/>
      <c r="E4809" s="23"/>
      <c r="L4809" s="23"/>
    </row>
    <row r="4810">
      <c r="B4810" s="19"/>
      <c r="E4810" s="23"/>
      <c r="L4810" s="23"/>
    </row>
    <row r="4811">
      <c r="B4811" s="19"/>
      <c r="E4811" s="23"/>
      <c r="L4811" s="23"/>
    </row>
    <row r="4812">
      <c r="B4812" s="19"/>
      <c r="E4812" s="23"/>
      <c r="L4812" s="23"/>
    </row>
    <row r="4813">
      <c r="B4813" s="19"/>
      <c r="E4813" s="23"/>
      <c r="L4813" s="23"/>
    </row>
    <row r="4814">
      <c r="B4814" s="19"/>
      <c r="E4814" s="23"/>
      <c r="L4814" s="23"/>
    </row>
    <row r="4815">
      <c r="B4815" s="19"/>
      <c r="E4815" s="23"/>
      <c r="L4815" s="23"/>
    </row>
    <row r="4816">
      <c r="B4816" s="19"/>
      <c r="E4816" s="23"/>
      <c r="L4816" s="23"/>
    </row>
    <row r="4817">
      <c r="B4817" s="19"/>
      <c r="E4817" s="23"/>
      <c r="L4817" s="23"/>
    </row>
    <row r="4818">
      <c r="B4818" s="19"/>
      <c r="E4818" s="23"/>
      <c r="L4818" s="23"/>
    </row>
    <row r="4819">
      <c r="B4819" s="19"/>
      <c r="E4819" s="23"/>
      <c r="L4819" s="23"/>
    </row>
    <row r="4820">
      <c r="B4820" s="19"/>
      <c r="E4820" s="23"/>
      <c r="L4820" s="23"/>
    </row>
    <row r="4821">
      <c r="B4821" s="19"/>
      <c r="E4821" s="23"/>
      <c r="L4821" s="23"/>
    </row>
    <row r="4822">
      <c r="B4822" s="19"/>
      <c r="E4822" s="23"/>
      <c r="L4822" s="23"/>
    </row>
    <row r="4823">
      <c r="B4823" s="19"/>
      <c r="E4823" s="23"/>
      <c r="L4823" s="23"/>
    </row>
    <row r="4824">
      <c r="B4824" s="19"/>
      <c r="E4824" s="23"/>
      <c r="L4824" s="23"/>
    </row>
    <row r="4825">
      <c r="B4825" s="19"/>
      <c r="E4825" s="23"/>
      <c r="L4825" s="23"/>
    </row>
    <row r="4826">
      <c r="B4826" s="19"/>
      <c r="E4826" s="23"/>
      <c r="L4826" s="23"/>
    </row>
    <row r="4827">
      <c r="B4827" s="19"/>
      <c r="E4827" s="23"/>
      <c r="L4827" s="23"/>
    </row>
    <row r="4828">
      <c r="B4828" s="19"/>
      <c r="E4828" s="23"/>
      <c r="L4828" s="23"/>
    </row>
    <row r="4829">
      <c r="B4829" s="19"/>
      <c r="E4829" s="23"/>
      <c r="L4829" s="23"/>
    </row>
    <row r="4830">
      <c r="B4830" s="19"/>
      <c r="E4830" s="23"/>
      <c r="L4830" s="23"/>
    </row>
    <row r="4831">
      <c r="B4831" s="19"/>
      <c r="E4831" s="23"/>
      <c r="L4831" s="23"/>
    </row>
    <row r="4832">
      <c r="B4832" s="19"/>
      <c r="E4832" s="23"/>
      <c r="L4832" s="23"/>
    </row>
    <row r="4833">
      <c r="B4833" s="19"/>
      <c r="E4833" s="23"/>
      <c r="L4833" s="23"/>
    </row>
    <row r="4834">
      <c r="B4834" s="19"/>
      <c r="E4834" s="23"/>
      <c r="L4834" s="23"/>
    </row>
    <row r="4835">
      <c r="B4835" s="19"/>
      <c r="E4835" s="23"/>
      <c r="L4835" s="23"/>
    </row>
    <row r="4836">
      <c r="B4836" s="19"/>
      <c r="E4836" s="23"/>
      <c r="L4836" s="23"/>
    </row>
    <row r="4837">
      <c r="B4837" s="19"/>
      <c r="E4837" s="23"/>
      <c r="L4837" s="23"/>
    </row>
    <row r="4838">
      <c r="B4838" s="19"/>
      <c r="E4838" s="23"/>
      <c r="L4838" s="23"/>
    </row>
    <row r="4839">
      <c r="B4839" s="19"/>
      <c r="E4839" s="23"/>
      <c r="L4839" s="23"/>
    </row>
    <row r="4840">
      <c r="B4840" s="19"/>
      <c r="E4840" s="23"/>
      <c r="L4840" s="23"/>
    </row>
    <row r="4841">
      <c r="B4841" s="19"/>
      <c r="E4841" s="23"/>
      <c r="L4841" s="23"/>
    </row>
    <row r="4842">
      <c r="B4842" s="19"/>
      <c r="E4842" s="23"/>
      <c r="L4842" s="23"/>
    </row>
    <row r="4843">
      <c r="B4843" s="19"/>
      <c r="E4843" s="23"/>
      <c r="L4843" s="23"/>
    </row>
    <row r="4844">
      <c r="B4844" s="19"/>
      <c r="E4844" s="23"/>
      <c r="L4844" s="23"/>
    </row>
    <row r="4845">
      <c r="B4845" s="19"/>
      <c r="E4845" s="23"/>
      <c r="L4845" s="23"/>
    </row>
    <row r="4846">
      <c r="B4846" s="19"/>
      <c r="E4846" s="23"/>
      <c r="L4846" s="23"/>
    </row>
    <row r="4847">
      <c r="B4847" s="19"/>
      <c r="E4847" s="23"/>
      <c r="L4847" s="23"/>
    </row>
    <row r="4848">
      <c r="B4848" s="19"/>
      <c r="E4848" s="23"/>
      <c r="L4848" s="23"/>
    </row>
    <row r="4849">
      <c r="B4849" s="19"/>
      <c r="E4849" s="23"/>
      <c r="L4849" s="23"/>
    </row>
    <row r="4850">
      <c r="B4850" s="19"/>
      <c r="E4850" s="23"/>
      <c r="L4850" s="23"/>
    </row>
    <row r="4851">
      <c r="B4851" s="19"/>
      <c r="E4851" s="23"/>
      <c r="L4851" s="23"/>
    </row>
    <row r="4852">
      <c r="B4852" s="19"/>
      <c r="E4852" s="23"/>
      <c r="L4852" s="23"/>
    </row>
    <row r="4853">
      <c r="B4853" s="19"/>
      <c r="E4853" s="23"/>
      <c r="L4853" s="23"/>
    </row>
    <row r="4854">
      <c r="B4854" s="19"/>
      <c r="E4854" s="23"/>
      <c r="L4854" s="23"/>
    </row>
    <row r="4855">
      <c r="B4855" s="19"/>
      <c r="E4855" s="23"/>
      <c r="L4855" s="23"/>
    </row>
    <row r="4856">
      <c r="B4856" s="19"/>
      <c r="E4856" s="23"/>
      <c r="L4856" s="23"/>
    </row>
    <row r="4857">
      <c r="B4857" s="19"/>
      <c r="E4857" s="23"/>
      <c r="L4857" s="23"/>
    </row>
    <row r="4858">
      <c r="B4858" s="19"/>
      <c r="E4858" s="23"/>
      <c r="L4858" s="23"/>
    </row>
    <row r="4859">
      <c r="B4859" s="19"/>
      <c r="E4859" s="23"/>
      <c r="L4859" s="23"/>
    </row>
    <row r="4860">
      <c r="B4860" s="19"/>
      <c r="E4860" s="23"/>
      <c r="L4860" s="23"/>
    </row>
    <row r="4861">
      <c r="B4861" s="19"/>
      <c r="E4861" s="23"/>
      <c r="L4861" s="23"/>
    </row>
    <row r="4862">
      <c r="B4862" s="19"/>
      <c r="E4862" s="23"/>
      <c r="L4862" s="23"/>
    </row>
    <row r="4863">
      <c r="B4863" s="19"/>
      <c r="E4863" s="23"/>
      <c r="L4863" s="23"/>
    </row>
    <row r="4864">
      <c r="B4864" s="19"/>
      <c r="E4864" s="23"/>
      <c r="L4864" s="23"/>
    </row>
    <row r="4865">
      <c r="B4865" s="19"/>
      <c r="E4865" s="23"/>
      <c r="L4865" s="23"/>
    </row>
    <row r="4866">
      <c r="B4866" s="19"/>
      <c r="E4866" s="23"/>
      <c r="L4866" s="23"/>
    </row>
    <row r="4867">
      <c r="B4867" s="19"/>
      <c r="E4867" s="23"/>
      <c r="L4867" s="23"/>
    </row>
    <row r="4868">
      <c r="B4868" s="19"/>
      <c r="E4868" s="23"/>
      <c r="L4868" s="23"/>
    </row>
    <row r="4869">
      <c r="B4869" s="19"/>
      <c r="E4869" s="23"/>
      <c r="L4869" s="23"/>
    </row>
    <row r="4870">
      <c r="B4870" s="19"/>
      <c r="E4870" s="23"/>
      <c r="L4870" s="23"/>
    </row>
    <row r="4871">
      <c r="B4871" s="19"/>
      <c r="E4871" s="23"/>
      <c r="L4871" s="23"/>
    </row>
    <row r="4872">
      <c r="B4872" s="19"/>
      <c r="E4872" s="23"/>
      <c r="L4872" s="23"/>
    </row>
    <row r="4873">
      <c r="B4873" s="19"/>
      <c r="E4873" s="23"/>
      <c r="L4873" s="23"/>
    </row>
    <row r="4874">
      <c r="B4874" s="19"/>
      <c r="E4874" s="23"/>
      <c r="L4874" s="23"/>
    </row>
    <row r="4875">
      <c r="B4875" s="19"/>
      <c r="E4875" s="23"/>
      <c r="L4875" s="23"/>
    </row>
    <row r="4876">
      <c r="B4876" s="19"/>
      <c r="E4876" s="23"/>
      <c r="L4876" s="23"/>
    </row>
    <row r="4877">
      <c r="B4877" s="19"/>
      <c r="E4877" s="23"/>
      <c r="L4877" s="23"/>
    </row>
    <row r="4878">
      <c r="B4878" s="19"/>
      <c r="E4878" s="23"/>
      <c r="L4878" s="23"/>
    </row>
    <row r="4879">
      <c r="B4879" s="19"/>
      <c r="E4879" s="23"/>
      <c r="L4879" s="23"/>
    </row>
    <row r="4880">
      <c r="B4880" s="19"/>
      <c r="E4880" s="23"/>
      <c r="L4880" s="23"/>
    </row>
    <row r="4881">
      <c r="B4881" s="19"/>
      <c r="E4881" s="23"/>
      <c r="L4881" s="23"/>
    </row>
    <row r="4882">
      <c r="B4882" s="19"/>
      <c r="E4882" s="23"/>
      <c r="L4882" s="23"/>
    </row>
    <row r="4883">
      <c r="B4883" s="19"/>
      <c r="E4883" s="23"/>
      <c r="L4883" s="23"/>
    </row>
    <row r="4884">
      <c r="B4884" s="19"/>
      <c r="E4884" s="23"/>
      <c r="L4884" s="23"/>
    </row>
    <row r="4885">
      <c r="B4885" s="19"/>
      <c r="E4885" s="23"/>
      <c r="L4885" s="23"/>
    </row>
    <row r="4886">
      <c r="B4886" s="19"/>
      <c r="E4886" s="23"/>
      <c r="L4886" s="23"/>
    </row>
    <row r="4887">
      <c r="B4887" s="19"/>
      <c r="E4887" s="23"/>
      <c r="L4887" s="23"/>
    </row>
    <row r="4888">
      <c r="B4888" s="19"/>
      <c r="E4888" s="23"/>
      <c r="L4888" s="23"/>
    </row>
    <row r="4889">
      <c r="B4889" s="19"/>
      <c r="E4889" s="23"/>
      <c r="L4889" s="23"/>
    </row>
    <row r="4890">
      <c r="B4890" s="19"/>
      <c r="E4890" s="23"/>
      <c r="L4890" s="23"/>
    </row>
    <row r="4891">
      <c r="B4891" s="19"/>
      <c r="E4891" s="23"/>
      <c r="L4891" s="23"/>
    </row>
    <row r="4892">
      <c r="B4892" s="19"/>
      <c r="E4892" s="23"/>
      <c r="L4892" s="23"/>
    </row>
    <row r="4893">
      <c r="B4893" s="19"/>
      <c r="E4893" s="23"/>
      <c r="L4893" s="23"/>
    </row>
    <row r="4894">
      <c r="B4894" s="19"/>
      <c r="E4894" s="23"/>
      <c r="L4894" s="23"/>
    </row>
    <row r="4895">
      <c r="B4895" s="19"/>
      <c r="E4895" s="23"/>
      <c r="L4895" s="23"/>
    </row>
    <row r="4896">
      <c r="B4896" s="19"/>
      <c r="E4896" s="23"/>
      <c r="L4896" s="23"/>
    </row>
    <row r="4897">
      <c r="B4897" s="19"/>
      <c r="E4897" s="23"/>
      <c r="L4897" s="23"/>
    </row>
    <row r="4898">
      <c r="B4898" s="19"/>
      <c r="E4898" s="23"/>
      <c r="L4898" s="23"/>
    </row>
    <row r="4899">
      <c r="B4899" s="19"/>
      <c r="E4899" s="23"/>
      <c r="L4899" s="23"/>
    </row>
    <row r="4900">
      <c r="B4900" s="19"/>
      <c r="E4900" s="23"/>
      <c r="L4900" s="23"/>
    </row>
    <row r="4901">
      <c r="B4901" s="19"/>
      <c r="E4901" s="23"/>
      <c r="L4901" s="23"/>
    </row>
    <row r="4902">
      <c r="B4902" s="19"/>
      <c r="E4902" s="23"/>
      <c r="L4902" s="23"/>
    </row>
    <row r="4903">
      <c r="B4903" s="19"/>
      <c r="E4903" s="23"/>
      <c r="L4903" s="23"/>
    </row>
    <row r="4904">
      <c r="B4904" s="19"/>
      <c r="E4904" s="23"/>
      <c r="L4904" s="23"/>
    </row>
    <row r="4905">
      <c r="B4905" s="19"/>
      <c r="E4905" s="23"/>
      <c r="L4905" s="23"/>
    </row>
    <row r="4906">
      <c r="B4906" s="19"/>
      <c r="E4906" s="23"/>
      <c r="L4906" s="23"/>
    </row>
    <row r="4907">
      <c r="B4907" s="19"/>
      <c r="E4907" s="23"/>
      <c r="L4907" s="23"/>
    </row>
    <row r="4908">
      <c r="B4908" s="19"/>
      <c r="E4908" s="23"/>
      <c r="L4908" s="23"/>
    </row>
    <row r="4909">
      <c r="B4909" s="19"/>
      <c r="E4909" s="23"/>
      <c r="L4909" s="23"/>
    </row>
    <row r="4910">
      <c r="B4910" s="19"/>
      <c r="E4910" s="23"/>
      <c r="L4910" s="23"/>
    </row>
    <row r="4911">
      <c r="B4911" s="19"/>
      <c r="E4911" s="23"/>
      <c r="L4911" s="23"/>
    </row>
    <row r="4912">
      <c r="B4912" s="19"/>
      <c r="E4912" s="23"/>
      <c r="L4912" s="23"/>
    </row>
    <row r="4913">
      <c r="B4913" s="19"/>
      <c r="E4913" s="23"/>
      <c r="L4913" s="23"/>
    </row>
    <row r="4914">
      <c r="B4914" s="19"/>
      <c r="E4914" s="23"/>
      <c r="L4914" s="23"/>
    </row>
    <row r="4915">
      <c r="B4915" s="19"/>
      <c r="E4915" s="23"/>
      <c r="L4915" s="23"/>
    </row>
    <row r="4916">
      <c r="B4916" s="19"/>
      <c r="E4916" s="23"/>
      <c r="L4916" s="23"/>
    </row>
    <row r="4917">
      <c r="B4917" s="19"/>
      <c r="E4917" s="23"/>
      <c r="L4917" s="23"/>
    </row>
    <row r="4918">
      <c r="B4918" s="19"/>
      <c r="E4918" s="23"/>
      <c r="L4918" s="23"/>
    </row>
    <row r="4919">
      <c r="B4919" s="19"/>
      <c r="E4919" s="23"/>
      <c r="L4919" s="23"/>
    </row>
    <row r="4920">
      <c r="B4920" s="19"/>
      <c r="E4920" s="23"/>
      <c r="L4920" s="23"/>
    </row>
    <row r="4921">
      <c r="B4921" s="19"/>
      <c r="E4921" s="23"/>
      <c r="L4921" s="23"/>
    </row>
    <row r="4922">
      <c r="B4922" s="19"/>
      <c r="E4922" s="23"/>
      <c r="L4922" s="23"/>
    </row>
    <row r="4923">
      <c r="B4923" s="19"/>
      <c r="E4923" s="23"/>
      <c r="L4923" s="23"/>
    </row>
    <row r="4924">
      <c r="B4924" s="19"/>
      <c r="E4924" s="23"/>
      <c r="L4924" s="23"/>
    </row>
    <row r="4925">
      <c r="B4925" s="19"/>
      <c r="E4925" s="23"/>
      <c r="L4925" s="23"/>
    </row>
    <row r="4926">
      <c r="B4926" s="19"/>
      <c r="E4926" s="23"/>
      <c r="L4926" s="23"/>
    </row>
    <row r="4927">
      <c r="B4927" s="19"/>
      <c r="E4927" s="23"/>
      <c r="L4927" s="23"/>
    </row>
    <row r="4928">
      <c r="B4928" s="19"/>
      <c r="E4928" s="23"/>
      <c r="L4928" s="23"/>
    </row>
    <row r="4929">
      <c r="B4929" s="19"/>
      <c r="E4929" s="23"/>
      <c r="L4929" s="23"/>
    </row>
    <row r="4930">
      <c r="B4930" s="19"/>
      <c r="E4930" s="23"/>
      <c r="L4930" s="23"/>
    </row>
    <row r="4931">
      <c r="B4931" s="19"/>
      <c r="E4931" s="23"/>
      <c r="L4931" s="23"/>
    </row>
    <row r="4932">
      <c r="B4932" s="19"/>
      <c r="E4932" s="23"/>
      <c r="L4932" s="23"/>
    </row>
    <row r="4933">
      <c r="B4933" s="19"/>
      <c r="E4933" s="23"/>
      <c r="L4933" s="23"/>
    </row>
    <row r="4934">
      <c r="B4934" s="19"/>
      <c r="E4934" s="23"/>
      <c r="L4934" s="23"/>
    </row>
    <row r="4935">
      <c r="B4935" s="19"/>
      <c r="E4935" s="23"/>
      <c r="L4935" s="23"/>
    </row>
    <row r="4936">
      <c r="B4936" s="19"/>
      <c r="E4936" s="23"/>
      <c r="L4936" s="23"/>
    </row>
    <row r="4937">
      <c r="B4937" s="19"/>
      <c r="E4937" s="23"/>
      <c r="L4937" s="23"/>
    </row>
    <row r="4938">
      <c r="B4938" s="19"/>
      <c r="E4938" s="23"/>
      <c r="L4938" s="23"/>
    </row>
    <row r="4939">
      <c r="B4939" s="19"/>
      <c r="E4939" s="23"/>
      <c r="L4939" s="23"/>
    </row>
    <row r="4940">
      <c r="B4940" s="19"/>
      <c r="E4940" s="23"/>
      <c r="L4940" s="23"/>
    </row>
    <row r="4941">
      <c r="B4941" s="19"/>
      <c r="E4941" s="23"/>
      <c r="L4941" s="23"/>
    </row>
    <row r="4942">
      <c r="B4942" s="19"/>
      <c r="E4942" s="23"/>
      <c r="L4942" s="23"/>
    </row>
    <row r="4943">
      <c r="B4943" s="19"/>
      <c r="E4943" s="23"/>
      <c r="L4943" s="23"/>
    </row>
    <row r="4944">
      <c r="B4944" s="19"/>
      <c r="E4944" s="23"/>
      <c r="L4944" s="23"/>
    </row>
    <row r="4945">
      <c r="B4945" s="19"/>
      <c r="E4945" s="23"/>
      <c r="L4945" s="23"/>
    </row>
    <row r="4946">
      <c r="B4946" s="19"/>
      <c r="E4946" s="23"/>
      <c r="L4946" s="23"/>
    </row>
    <row r="4947">
      <c r="B4947" s="19"/>
      <c r="E4947" s="23"/>
      <c r="L4947" s="23"/>
    </row>
    <row r="4948">
      <c r="B4948" s="19"/>
      <c r="E4948" s="23"/>
      <c r="L4948" s="23"/>
    </row>
    <row r="4949">
      <c r="B4949" s="19"/>
      <c r="E4949" s="23"/>
      <c r="L4949" s="23"/>
    </row>
    <row r="4950">
      <c r="B4950" s="19"/>
      <c r="E4950" s="23"/>
      <c r="L4950" s="23"/>
    </row>
    <row r="4951">
      <c r="B4951" s="19"/>
      <c r="E4951" s="23"/>
      <c r="L4951" s="23"/>
    </row>
    <row r="4952">
      <c r="B4952" s="19"/>
      <c r="E4952" s="23"/>
      <c r="L4952" s="23"/>
    </row>
    <row r="4953">
      <c r="B4953" s="19"/>
      <c r="E4953" s="23"/>
      <c r="L4953" s="23"/>
    </row>
    <row r="4954">
      <c r="B4954" s="19"/>
      <c r="E4954" s="23"/>
      <c r="L4954" s="23"/>
    </row>
    <row r="4955">
      <c r="B4955" s="19"/>
      <c r="E4955" s="23"/>
      <c r="L4955" s="23"/>
    </row>
    <row r="4956">
      <c r="B4956" s="19"/>
      <c r="E4956" s="23"/>
      <c r="L4956" s="23"/>
    </row>
    <row r="4957">
      <c r="B4957" s="19"/>
      <c r="E4957" s="23"/>
      <c r="L4957" s="23"/>
    </row>
    <row r="4958">
      <c r="B4958" s="19"/>
      <c r="E4958" s="23"/>
      <c r="L4958" s="23"/>
    </row>
    <row r="4959">
      <c r="B4959" s="19"/>
      <c r="E4959" s="23"/>
      <c r="L4959" s="23"/>
    </row>
    <row r="4960">
      <c r="B4960" s="19"/>
      <c r="E4960" s="23"/>
      <c r="L4960" s="23"/>
    </row>
    <row r="4961">
      <c r="B4961" s="19"/>
      <c r="E4961" s="23"/>
      <c r="L4961" s="23"/>
    </row>
    <row r="4962">
      <c r="B4962" s="19"/>
      <c r="E4962" s="23"/>
      <c r="L4962" s="23"/>
    </row>
    <row r="4963">
      <c r="B4963" s="19"/>
      <c r="E4963" s="23"/>
      <c r="L4963" s="23"/>
    </row>
    <row r="4964">
      <c r="B4964" s="19"/>
      <c r="E4964" s="23"/>
      <c r="L4964" s="23"/>
    </row>
    <row r="4965">
      <c r="B4965" s="19"/>
      <c r="E4965" s="23"/>
      <c r="L4965" s="23"/>
    </row>
    <row r="4966">
      <c r="B4966" s="19"/>
      <c r="E4966" s="23"/>
      <c r="L4966" s="23"/>
    </row>
    <row r="4967">
      <c r="B4967" s="19"/>
      <c r="E4967" s="23"/>
      <c r="L4967" s="23"/>
    </row>
    <row r="4968">
      <c r="B4968" s="19"/>
      <c r="E4968" s="23"/>
      <c r="L4968" s="23"/>
    </row>
    <row r="4969">
      <c r="B4969" s="19"/>
      <c r="E4969" s="23"/>
      <c r="L4969" s="23"/>
    </row>
    <row r="4970">
      <c r="B4970" s="19"/>
      <c r="E4970" s="23"/>
      <c r="L4970" s="23"/>
    </row>
    <row r="4971">
      <c r="B4971" s="19"/>
      <c r="E4971" s="23"/>
      <c r="L4971" s="23"/>
    </row>
    <row r="4972">
      <c r="B4972" s="19"/>
      <c r="E4972" s="23"/>
      <c r="L4972" s="23"/>
    </row>
    <row r="4973">
      <c r="B4973" s="19"/>
      <c r="E4973" s="23"/>
      <c r="L4973" s="23"/>
    </row>
    <row r="4974">
      <c r="B4974" s="19"/>
      <c r="E4974" s="23"/>
      <c r="L4974" s="23"/>
    </row>
    <row r="4975">
      <c r="B4975" s="19"/>
      <c r="E4975" s="23"/>
      <c r="L4975" s="23"/>
    </row>
    <row r="4976">
      <c r="B4976" s="19"/>
      <c r="E4976" s="23"/>
      <c r="L4976" s="23"/>
    </row>
    <row r="4977">
      <c r="B4977" s="19"/>
      <c r="E4977" s="23"/>
      <c r="L4977" s="23"/>
    </row>
    <row r="4978">
      <c r="B4978" s="19"/>
      <c r="E4978" s="23"/>
      <c r="L4978" s="23"/>
    </row>
    <row r="4979">
      <c r="B4979" s="19"/>
      <c r="E4979" s="23"/>
      <c r="L4979" s="23"/>
    </row>
    <row r="4980">
      <c r="B4980" s="19"/>
      <c r="E4980" s="23"/>
      <c r="L4980" s="23"/>
    </row>
    <row r="4981">
      <c r="B4981" s="19"/>
      <c r="E4981" s="23"/>
      <c r="L4981" s="23"/>
    </row>
    <row r="4982">
      <c r="B4982" s="19"/>
      <c r="E4982" s="23"/>
      <c r="L4982" s="23"/>
    </row>
    <row r="4983">
      <c r="B4983" s="19"/>
      <c r="E4983" s="23"/>
      <c r="L4983" s="23"/>
    </row>
    <row r="4984">
      <c r="B4984" s="19"/>
      <c r="E4984" s="23"/>
      <c r="L4984" s="23"/>
    </row>
    <row r="4985">
      <c r="B4985" s="19"/>
      <c r="E4985" s="23"/>
      <c r="L4985" s="23"/>
    </row>
    <row r="4986">
      <c r="B4986" s="19"/>
      <c r="E4986" s="23"/>
      <c r="L4986" s="23"/>
    </row>
    <row r="4987">
      <c r="B4987" s="19"/>
      <c r="E4987" s="23"/>
      <c r="L4987" s="23"/>
    </row>
    <row r="4988">
      <c r="B4988" s="19"/>
      <c r="E4988" s="23"/>
      <c r="L4988" s="23"/>
    </row>
    <row r="4989">
      <c r="B4989" s="19"/>
      <c r="E4989" s="23"/>
      <c r="L4989" s="23"/>
    </row>
    <row r="4990">
      <c r="B4990" s="19"/>
      <c r="E4990" s="23"/>
      <c r="L4990" s="23"/>
    </row>
    <row r="4991">
      <c r="B4991" s="19"/>
      <c r="E4991" s="23"/>
      <c r="L4991" s="23"/>
    </row>
    <row r="4992">
      <c r="B4992" s="19"/>
      <c r="E4992" s="23"/>
      <c r="L4992" s="23"/>
    </row>
    <row r="4993">
      <c r="B4993" s="19"/>
      <c r="E4993" s="23"/>
      <c r="L4993" s="23"/>
    </row>
    <row r="4994">
      <c r="B4994" s="19"/>
      <c r="E4994" s="23"/>
      <c r="L4994" s="23"/>
    </row>
    <row r="4995">
      <c r="B4995" s="19"/>
      <c r="E4995" s="23"/>
      <c r="L4995" s="23"/>
    </row>
    <row r="4996">
      <c r="B4996" s="19"/>
      <c r="E4996" s="23"/>
      <c r="L4996" s="23"/>
    </row>
    <row r="4997">
      <c r="B4997" s="19"/>
      <c r="E4997" s="23"/>
      <c r="L4997" s="23"/>
    </row>
    <row r="4998">
      <c r="B4998" s="19"/>
      <c r="E4998" s="23"/>
      <c r="L4998" s="23"/>
    </row>
    <row r="4999">
      <c r="B4999" s="19"/>
      <c r="E4999" s="23"/>
      <c r="L4999" s="23"/>
    </row>
    <row r="5000">
      <c r="B5000" s="19"/>
      <c r="E5000" s="23"/>
      <c r="L5000" s="23"/>
    </row>
    <row r="5001">
      <c r="B5001" s="19"/>
      <c r="E5001" s="23"/>
      <c r="L5001" s="23"/>
    </row>
    <row r="5002">
      <c r="B5002" s="19"/>
      <c r="E5002" s="23"/>
      <c r="L5002" s="23"/>
    </row>
    <row r="5003">
      <c r="B5003" s="19"/>
      <c r="E5003" s="23"/>
      <c r="L5003" s="23"/>
    </row>
    <row r="5004">
      <c r="B5004" s="19"/>
      <c r="E5004" s="23"/>
      <c r="L5004" s="23"/>
    </row>
    <row r="5005">
      <c r="B5005" s="19"/>
      <c r="E5005" s="23"/>
      <c r="L5005" s="23"/>
    </row>
    <row r="5006">
      <c r="B5006" s="19"/>
      <c r="E5006" s="23"/>
      <c r="L5006" s="23"/>
    </row>
    <row r="5007">
      <c r="B5007" s="19"/>
      <c r="E5007" s="23"/>
      <c r="L5007" s="23"/>
    </row>
    <row r="5008">
      <c r="B5008" s="19"/>
      <c r="E5008" s="23"/>
      <c r="L5008" s="23"/>
    </row>
    <row r="5009">
      <c r="B5009" s="19"/>
      <c r="E5009" s="23"/>
      <c r="L5009" s="23"/>
    </row>
    <row r="5010">
      <c r="B5010" s="19"/>
      <c r="E5010" s="23"/>
      <c r="L5010" s="23"/>
    </row>
    <row r="5011">
      <c r="B5011" s="19"/>
      <c r="E5011" s="23"/>
      <c r="L5011" s="23"/>
    </row>
    <row r="5012">
      <c r="B5012" s="19"/>
      <c r="E5012" s="23"/>
      <c r="L5012" s="23"/>
    </row>
    <row r="5013">
      <c r="B5013" s="19"/>
      <c r="E5013" s="23"/>
      <c r="L5013" s="23"/>
    </row>
    <row r="5014">
      <c r="B5014" s="19"/>
      <c r="E5014" s="23"/>
      <c r="L5014" s="23"/>
    </row>
    <row r="5015">
      <c r="B5015" s="19"/>
      <c r="E5015" s="23"/>
      <c r="L5015" s="23"/>
    </row>
    <row r="5016">
      <c r="B5016" s="19"/>
      <c r="E5016" s="23"/>
      <c r="L5016" s="23"/>
    </row>
    <row r="5017">
      <c r="B5017" s="19"/>
      <c r="E5017" s="23"/>
      <c r="L5017" s="23"/>
    </row>
    <row r="5018">
      <c r="B5018" s="19"/>
      <c r="E5018" s="23"/>
      <c r="L5018" s="23"/>
    </row>
    <row r="5019">
      <c r="B5019" s="19"/>
      <c r="E5019" s="23"/>
      <c r="L5019" s="23"/>
    </row>
    <row r="5020">
      <c r="B5020" s="19"/>
      <c r="E5020" s="23"/>
      <c r="L5020" s="23"/>
    </row>
    <row r="5021">
      <c r="B5021" s="19"/>
      <c r="E5021" s="23"/>
      <c r="L5021" s="23"/>
    </row>
    <row r="5022">
      <c r="B5022" s="19"/>
      <c r="E5022" s="23"/>
      <c r="L5022" s="23"/>
    </row>
    <row r="5023">
      <c r="B5023" s="19"/>
      <c r="E5023" s="23"/>
      <c r="L5023" s="23"/>
    </row>
    <row r="5024">
      <c r="B5024" s="19"/>
      <c r="E5024" s="23"/>
      <c r="L5024" s="23"/>
    </row>
    <row r="5025">
      <c r="B5025" s="19"/>
      <c r="E5025" s="23"/>
      <c r="L5025" s="23"/>
    </row>
    <row r="5026">
      <c r="B5026" s="19"/>
      <c r="E5026" s="23"/>
      <c r="L5026" s="23"/>
    </row>
    <row r="5027">
      <c r="B5027" s="19"/>
      <c r="E5027" s="23"/>
      <c r="L5027" s="23"/>
    </row>
    <row r="5028">
      <c r="B5028" s="19"/>
      <c r="E5028" s="23"/>
      <c r="L5028" s="23"/>
    </row>
    <row r="5029">
      <c r="B5029" s="19"/>
      <c r="E5029" s="23"/>
      <c r="L5029" s="23"/>
    </row>
    <row r="5030">
      <c r="B5030" s="19"/>
      <c r="E5030" s="23"/>
      <c r="L5030" s="23"/>
    </row>
    <row r="5031">
      <c r="B5031" s="19"/>
      <c r="E5031" s="23"/>
      <c r="L5031" s="23"/>
    </row>
    <row r="5032">
      <c r="B5032" s="19"/>
      <c r="E5032" s="23"/>
      <c r="L5032" s="23"/>
    </row>
    <row r="5033">
      <c r="B5033" s="19"/>
      <c r="E5033" s="23"/>
      <c r="L5033" s="23"/>
    </row>
    <row r="5034">
      <c r="B5034" s="19"/>
      <c r="E5034" s="23"/>
      <c r="L5034" s="23"/>
    </row>
    <row r="5035">
      <c r="B5035" s="19"/>
      <c r="E5035" s="23"/>
      <c r="L5035" s="23"/>
    </row>
    <row r="5036">
      <c r="B5036" s="19"/>
      <c r="E5036" s="23"/>
      <c r="L5036" s="23"/>
    </row>
    <row r="5037">
      <c r="B5037" s="19"/>
      <c r="E5037" s="23"/>
      <c r="L5037" s="23"/>
    </row>
    <row r="5038">
      <c r="B5038" s="19"/>
      <c r="E5038" s="23"/>
      <c r="L5038" s="23"/>
    </row>
    <row r="5039">
      <c r="B5039" s="19"/>
      <c r="E5039" s="23"/>
      <c r="L5039" s="23"/>
    </row>
    <row r="5040">
      <c r="B5040" s="19"/>
      <c r="E5040" s="23"/>
      <c r="L5040" s="23"/>
    </row>
    <row r="5041">
      <c r="B5041" s="19"/>
      <c r="E5041" s="23"/>
      <c r="L5041" s="23"/>
    </row>
    <row r="5042">
      <c r="B5042" s="19"/>
      <c r="E5042" s="23"/>
      <c r="L5042" s="23"/>
    </row>
    <row r="5043">
      <c r="B5043" s="19"/>
      <c r="E5043" s="23"/>
      <c r="L5043" s="23"/>
    </row>
    <row r="5044">
      <c r="B5044" s="19"/>
      <c r="E5044" s="23"/>
      <c r="L5044" s="23"/>
    </row>
    <row r="5045">
      <c r="B5045" s="19"/>
      <c r="E5045" s="23"/>
      <c r="L5045" s="23"/>
    </row>
    <row r="5046">
      <c r="B5046" s="19"/>
      <c r="E5046" s="23"/>
      <c r="L5046" s="23"/>
    </row>
    <row r="5047">
      <c r="B5047" s="19"/>
      <c r="E5047" s="23"/>
      <c r="L5047" s="23"/>
    </row>
    <row r="5048">
      <c r="B5048" s="19"/>
      <c r="E5048" s="23"/>
      <c r="L5048" s="23"/>
    </row>
    <row r="5049">
      <c r="B5049" s="19"/>
      <c r="E5049" s="23"/>
      <c r="L5049" s="23"/>
    </row>
    <row r="5050">
      <c r="B5050" s="19"/>
      <c r="E5050" s="23"/>
      <c r="L5050" s="23"/>
    </row>
    <row r="5051">
      <c r="B5051" s="19"/>
      <c r="E5051" s="23"/>
      <c r="L5051" s="23"/>
    </row>
    <row r="5052">
      <c r="B5052" s="19"/>
      <c r="E5052" s="23"/>
      <c r="L5052" s="23"/>
    </row>
    <row r="5053">
      <c r="B5053" s="19"/>
      <c r="E5053" s="23"/>
      <c r="L5053" s="23"/>
    </row>
    <row r="5054">
      <c r="B5054" s="19"/>
      <c r="E5054" s="23"/>
      <c r="L5054" s="23"/>
    </row>
    <row r="5055">
      <c r="B5055" s="19"/>
      <c r="E5055" s="23"/>
      <c r="L5055" s="23"/>
    </row>
    <row r="5056">
      <c r="B5056" s="19"/>
      <c r="E5056" s="23"/>
      <c r="L5056" s="23"/>
    </row>
    <row r="5057">
      <c r="B5057" s="19"/>
      <c r="E5057" s="23"/>
      <c r="L5057" s="23"/>
    </row>
    <row r="5058">
      <c r="B5058" s="19"/>
      <c r="E5058" s="23"/>
      <c r="L5058" s="23"/>
    </row>
    <row r="5059">
      <c r="B5059" s="19"/>
      <c r="E5059" s="23"/>
      <c r="L5059" s="23"/>
    </row>
    <row r="5060">
      <c r="B5060" s="19"/>
      <c r="E5060" s="23"/>
      <c r="L5060" s="23"/>
    </row>
    <row r="5061">
      <c r="B5061" s="19"/>
      <c r="E5061" s="23"/>
      <c r="L5061" s="23"/>
    </row>
    <row r="5062">
      <c r="B5062" s="19"/>
      <c r="E5062" s="23"/>
      <c r="L5062" s="23"/>
    </row>
    <row r="5063">
      <c r="B5063" s="19"/>
      <c r="E5063" s="23"/>
      <c r="L5063" s="23"/>
    </row>
    <row r="5064">
      <c r="B5064" s="19"/>
      <c r="E5064" s="23"/>
      <c r="L5064" s="23"/>
    </row>
    <row r="5065">
      <c r="B5065" s="19"/>
      <c r="E5065" s="23"/>
      <c r="L5065" s="23"/>
    </row>
    <row r="5066">
      <c r="B5066" s="19"/>
      <c r="E5066" s="23"/>
      <c r="L5066" s="23"/>
    </row>
    <row r="5067">
      <c r="B5067" s="19"/>
      <c r="E5067" s="23"/>
      <c r="L5067" s="23"/>
    </row>
    <row r="5068">
      <c r="B5068" s="19"/>
      <c r="E5068" s="23"/>
      <c r="L5068" s="23"/>
    </row>
    <row r="5069">
      <c r="B5069" s="19"/>
      <c r="E5069" s="23"/>
      <c r="L5069" s="23"/>
    </row>
    <row r="5070">
      <c r="B5070" s="19"/>
      <c r="E5070" s="23"/>
      <c r="L5070" s="23"/>
    </row>
    <row r="5071">
      <c r="B5071" s="19"/>
      <c r="E5071" s="23"/>
      <c r="L5071" s="23"/>
    </row>
    <row r="5072">
      <c r="B5072" s="19"/>
      <c r="E5072" s="23"/>
      <c r="L5072" s="23"/>
    </row>
    <row r="5073">
      <c r="B5073" s="19"/>
      <c r="E5073" s="23"/>
      <c r="L5073" s="23"/>
    </row>
    <row r="5074">
      <c r="B5074" s="19"/>
      <c r="E5074" s="23"/>
      <c r="L5074" s="23"/>
    </row>
    <row r="5075">
      <c r="B5075" s="19"/>
      <c r="E5075" s="23"/>
      <c r="L5075" s="23"/>
    </row>
    <row r="5076">
      <c r="B5076" s="19"/>
      <c r="E5076" s="23"/>
      <c r="L5076" s="23"/>
    </row>
    <row r="5077">
      <c r="B5077" s="19"/>
      <c r="E5077" s="23"/>
      <c r="L5077" s="23"/>
    </row>
    <row r="5078">
      <c r="B5078" s="19"/>
      <c r="E5078" s="23"/>
      <c r="L5078" s="23"/>
    </row>
    <row r="5079">
      <c r="B5079" s="19"/>
      <c r="E5079" s="23"/>
      <c r="L5079" s="23"/>
    </row>
    <row r="5080">
      <c r="B5080" s="19"/>
      <c r="E5080" s="23"/>
      <c r="L5080" s="23"/>
    </row>
    <row r="5081">
      <c r="B5081" s="19"/>
      <c r="E5081" s="23"/>
      <c r="L5081" s="23"/>
    </row>
    <row r="5082">
      <c r="B5082" s="19"/>
      <c r="E5082" s="23"/>
      <c r="L5082" s="23"/>
    </row>
    <row r="5083">
      <c r="B5083" s="19"/>
      <c r="E5083" s="23"/>
      <c r="L5083" s="23"/>
    </row>
    <row r="5084">
      <c r="B5084" s="19"/>
      <c r="E5084" s="23"/>
      <c r="L5084" s="23"/>
    </row>
    <row r="5085">
      <c r="B5085" s="19"/>
      <c r="E5085" s="23"/>
      <c r="L5085" s="23"/>
    </row>
    <row r="5086">
      <c r="B5086" s="19"/>
      <c r="E5086" s="23"/>
      <c r="L5086" s="23"/>
    </row>
    <row r="5087">
      <c r="B5087" s="19"/>
      <c r="E5087" s="23"/>
      <c r="L5087" s="23"/>
    </row>
    <row r="5088">
      <c r="B5088" s="19"/>
      <c r="E5088" s="23"/>
      <c r="L5088" s="23"/>
    </row>
    <row r="5089">
      <c r="B5089" s="19"/>
      <c r="E5089" s="23"/>
      <c r="L5089" s="23"/>
    </row>
    <row r="5090">
      <c r="B5090" s="19"/>
      <c r="E5090" s="23"/>
      <c r="L5090" s="23"/>
    </row>
    <row r="5091">
      <c r="B5091" s="19"/>
      <c r="E5091" s="23"/>
      <c r="L5091" s="23"/>
    </row>
    <row r="5092">
      <c r="B5092" s="19"/>
      <c r="E5092" s="23"/>
      <c r="L5092" s="23"/>
    </row>
    <row r="5093">
      <c r="B5093" s="19"/>
      <c r="E5093" s="23"/>
      <c r="L5093" s="23"/>
    </row>
    <row r="5094">
      <c r="B5094" s="19"/>
      <c r="E5094" s="23"/>
      <c r="L5094" s="23"/>
    </row>
    <row r="5095">
      <c r="B5095" s="19"/>
      <c r="E5095" s="23"/>
      <c r="L5095" s="23"/>
    </row>
    <row r="5096">
      <c r="B5096" s="19"/>
      <c r="E5096" s="23"/>
      <c r="L5096" s="23"/>
    </row>
    <row r="5097">
      <c r="B5097" s="19"/>
      <c r="E5097" s="23"/>
      <c r="L5097" s="23"/>
    </row>
    <row r="5098">
      <c r="B5098" s="19"/>
      <c r="E5098" s="23"/>
      <c r="L5098" s="23"/>
    </row>
    <row r="5099">
      <c r="B5099" s="19"/>
      <c r="E5099" s="23"/>
      <c r="L5099" s="23"/>
    </row>
    <row r="5100">
      <c r="B5100" s="19"/>
      <c r="E5100" s="23"/>
      <c r="L5100" s="23"/>
    </row>
    <row r="5101">
      <c r="B5101" s="19"/>
      <c r="E5101" s="23"/>
      <c r="L5101" s="23"/>
    </row>
    <row r="5102">
      <c r="B5102" s="19"/>
      <c r="E5102" s="23"/>
      <c r="L5102" s="23"/>
    </row>
    <row r="5103">
      <c r="B5103" s="19"/>
      <c r="E5103" s="23"/>
      <c r="L5103" s="23"/>
    </row>
    <row r="5104">
      <c r="B5104" s="19"/>
      <c r="E5104" s="23"/>
      <c r="L5104" s="23"/>
    </row>
    <row r="5105">
      <c r="B5105" s="19"/>
      <c r="E5105" s="23"/>
      <c r="L5105" s="23"/>
    </row>
    <row r="5106">
      <c r="B5106" s="19"/>
      <c r="E5106" s="23"/>
      <c r="L5106" s="23"/>
    </row>
    <row r="5107">
      <c r="B5107" s="19"/>
      <c r="E5107" s="23"/>
      <c r="L5107" s="23"/>
    </row>
    <row r="5108">
      <c r="B5108" s="19"/>
      <c r="E5108" s="23"/>
      <c r="L5108" s="23"/>
    </row>
    <row r="5109">
      <c r="B5109" s="19"/>
      <c r="E5109" s="23"/>
      <c r="L5109" s="23"/>
    </row>
    <row r="5110">
      <c r="B5110" s="19"/>
      <c r="E5110" s="23"/>
      <c r="L5110" s="23"/>
    </row>
    <row r="5111">
      <c r="B5111" s="19"/>
      <c r="E5111" s="23"/>
      <c r="L5111" s="23"/>
    </row>
    <row r="5112">
      <c r="B5112" s="19"/>
      <c r="E5112" s="23"/>
      <c r="L5112" s="23"/>
    </row>
    <row r="5113">
      <c r="B5113" s="19"/>
      <c r="E5113" s="23"/>
      <c r="L5113" s="23"/>
    </row>
    <row r="5114">
      <c r="B5114" s="19"/>
      <c r="E5114" s="23"/>
      <c r="L5114" s="23"/>
    </row>
    <row r="5115">
      <c r="B5115" s="19"/>
      <c r="E5115" s="23"/>
      <c r="L5115" s="23"/>
    </row>
    <row r="5116">
      <c r="B5116" s="19"/>
      <c r="E5116" s="23"/>
      <c r="L5116" s="23"/>
    </row>
    <row r="5117">
      <c r="B5117" s="19"/>
      <c r="E5117" s="23"/>
      <c r="L5117" s="23"/>
    </row>
    <row r="5118">
      <c r="B5118" s="19"/>
      <c r="E5118" s="23"/>
      <c r="L5118" s="23"/>
    </row>
    <row r="5119">
      <c r="B5119" s="19"/>
      <c r="E5119" s="23"/>
      <c r="L5119" s="23"/>
    </row>
    <row r="5120">
      <c r="B5120" s="19"/>
      <c r="E5120" s="23"/>
      <c r="L5120" s="23"/>
    </row>
    <row r="5121">
      <c r="B5121" s="19"/>
      <c r="E5121" s="23"/>
      <c r="L5121" s="23"/>
    </row>
    <row r="5122">
      <c r="B5122" s="19"/>
      <c r="E5122" s="23"/>
      <c r="L5122" s="23"/>
    </row>
    <row r="5123">
      <c r="B5123" s="19"/>
      <c r="E5123" s="23"/>
      <c r="L5123" s="23"/>
    </row>
    <row r="5124">
      <c r="B5124" s="19"/>
      <c r="E5124" s="23"/>
      <c r="L5124" s="23"/>
    </row>
    <row r="5125">
      <c r="B5125" s="19"/>
      <c r="E5125" s="23"/>
      <c r="L5125" s="23"/>
    </row>
    <row r="5126">
      <c r="B5126" s="19"/>
      <c r="E5126" s="23"/>
      <c r="L5126" s="23"/>
    </row>
    <row r="5127">
      <c r="B5127" s="19"/>
      <c r="E5127" s="23"/>
      <c r="L5127" s="23"/>
    </row>
    <row r="5128">
      <c r="B5128" s="19"/>
      <c r="E5128" s="23"/>
      <c r="L5128" s="23"/>
    </row>
    <row r="5129">
      <c r="B5129" s="19"/>
      <c r="E5129" s="23"/>
      <c r="L5129" s="23"/>
    </row>
    <row r="5130">
      <c r="B5130" s="19"/>
      <c r="E5130" s="23"/>
      <c r="L5130" s="23"/>
    </row>
    <row r="5131">
      <c r="B5131" s="19"/>
      <c r="E5131" s="23"/>
      <c r="L5131" s="23"/>
    </row>
    <row r="5132">
      <c r="B5132" s="19"/>
      <c r="E5132" s="23"/>
      <c r="L5132" s="23"/>
    </row>
    <row r="5133">
      <c r="B5133" s="19"/>
      <c r="E5133" s="23"/>
      <c r="L5133" s="23"/>
    </row>
    <row r="5134">
      <c r="B5134" s="19"/>
      <c r="E5134" s="23"/>
      <c r="L5134" s="23"/>
    </row>
    <row r="5135">
      <c r="B5135" s="19"/>
      <c r="E5135" s="23"/>
      <c r="L5135" s="23"/>
    </row>
    <row r="5136">
      <c r="B5136" s="19"/>
      <c r="E5136" s="23"/>
      <c r="L5136" s="23"/>
    </row>
    <row r="5137">
      <c r="B5137" s="19"/>
      <c r="E5137" s="23"/>
      <c r="L5137" s="23"/>
    </row>
    <row r="5138">
      <c r="B5138" s="19"/>
      <c r="E5138" s="23"/>
      <c r="L5138" s="23"/>
    </row>
    <row r="5139">
      <c r="B5139" s="19"/>
      <c r="E5139" s="23"/>
      <c r="L5139" s="23"/>
    </row>
    <row r="5140">
      <c r="B5140" s="19"/>
      <c r="E5140" s="23"/>
      <c r="L5140" s="23"/>
    </row>
    <row r="5141">
      <c r="B5141" s="19"/>
      <c r="E5141" s="23"/>
      <c r="L5141" s="23"/>
    </row>
    <row r="5142">
      <c r="B5142" s="19"/>
      <c r="E5142" s="23"/>
      <c r="L5142" s="23"/>
    </row>
    <row r="5143">
      <c r="B5143" s="19"/>
      <c r="E5143" s="23"/>
      <c r="L5143" s="23"/>
    </row>
    <row r="5144">
      <c r="B5144" s="19"/>
      <c r="E5144" s="23"/>
      <c r="L5144" s="23"/>
    </row>
    <row r="5145">
      <c r="B5145" s="19"/>
      <c r="E5145" s="23"/>
      <c r="L5145" s="23"/>
    </row>
    <row r="5146">
      <c r="B5146" s="19"/>
      <c r="E5146" s="23"/>
      <c r="L5146" s="23"/>
    </row>
    <row r="5147">
      <c r="B5147" s="19"/>
      <c r="E5147" s="23"/>
      <c r="L5147" s="23"/>
    </row>
    <row r="5148">
      <c r="B5148" s="19"/>
      <c r="E5148" s="23"/>
      <c r="L5148" s="23"/>
    </row>
    <row r="5149">
      <c r="B5149" s="19"/>
      <c r="E5149" s="23"/>
      <c r="L5149" s="23"/>
    </row>
    <row r="5150">
      <c r="B5150" s="19"/>
      <c r="E5150" s="23"/>
      <c r="L5150" s="23"/>
    </row>
    <row r="5151">
      <c r="B5151" s="19"/>
      <c r="E5151" s="23"/>
      <c r="L5151" s="23"/>
    </row>
    <row r="5152">
      <c r="B5152" s="19"/>
      <c r="E5152" s="23"/>
      <c r="L5152" s="23"/>
    </row>
    <row r="5153">
      <c r="B5153" s="19"/>
      <c r="E5153" s="23"/>
      <c r="L5153" s="23"/>
    </row>
    <row r="5154">
      <c r="B5154" s="19"/>
      <c r="E5154" s="23"/>
      <c r="L5154" s="23"/>
    </row>
    <row r="5155">
      <c r="B5155" s="19"/>
      <c r="E5155" s="23"/>
      <c r="L5155" s="23"/>
    </row>
    <row r="5156">
      <c r="B5156" s="19"/>
      <c r="E5156" s="23"/>
      <c r="L5156" s="23"/>
    </row>
    <row r="5157">
      <c r="B5157" s="19"/>
      <c r="E5157" s="23"/>
      <c r="L5157" s="23"/>
    </row>
    <row r="5158">
      <c r="B5158" s="19"/>
      <c r="E5158" s="23"/>
      <c r="L5158" s="23"/>
    </row>
    <row r="5159">
      <c r="B5159" s="19"/>
      <c r="E5159" s="23"/>
      <c r="L5159" s="23"/>
    </row>
    <row r="5160">
      <c r="B5160" s="19"/>
      <c r="E5160" s="23"/>
      <c r="L5160" s="23"/>
    </row>
    <row r="5161">
      <c r="B5161" s="19"/>
      <c r="E5161" s="23"/>
      <c r="L5161" s="23"/>
    </row>
    <row r="5162">
      <c r="B5162" s="19"/>
      <c r="E5162" s="23"/>
      <c r="L5162" s="23"/>
    </row>
    <row r="5163">
      <c r="B5163" s="19"/>
      <c r="E5163" s="23"/>
      <c r="L5163" s="23"/>
    </row>
    <row r="5164">
      <c r="B5164" s="19"/>
      <c r="E5164" s="23"/>
      <c r="L5164" s="23"/>
    </row>
    <row r="5165">
      <c r="B5165" s="19"/>
      <c r="E5165" s="23"/>
      <c r="L5165" s="23"/>
    </row>
    <row r="5166">
      <c r="B5166" s="19"/>
      <c r="E5166" s="23"/>
      <c r="L5166" s="23"/>
    </row>
    <row r="5167">
      <c r="B5167" s="19"/>
      <c r="E5167" s="23"/>
      <c r="L5167" s="23"/>
    </row>
    <row r="5168">
      <c r="B5168" s="19"/>
      <c r="E5168" s="23"/>
      <c r="L5168" s="23"/>
    </row>
    <row r="5169">
      <c r="B5169" s="19"/>
      <c r="E5169" s="23"/>
      <c r="L5169" s="23"/>
    </row>
    <row r="5170">
      <c r="B5170" s="19"/>
      <c r="E5170" s="23"/>
      <c r="L5170" s="23"/>
    </row>
    <row r="5171">
      <c r="B5171" s="19"/>
      <c r="E5171" s="23"/>
      <c r="L5171" s="23"/>
    </row>
    <row r="5172">
      <c r="B5172" s="19"/>
      <c r="E5172" s="23"/>
      <c r="L5172" s="23"/>
    </row>
    <row r="5173">
      <c r="B5173" s="19"/>
      <c r="E5173" s="23"/>
      <c r="L5173" s="23"/>
    </row>
    <row r="5174">
      <c r="B5174" s="19"/>
      <c r="E5174" s="23"/>
      <c r="L5174" s="23"/>
    </row>
    <row r="5175">
      <c r="B5175" s="19"/>
      <c r="E5175" s="23"/>
      <c r="L5175" s="23"/>
    </row>
    <row r="5176">
      <c r="B5176" s="19"/>
      <c r="E5176" s="23"/>
      <c r="L5176" s="23"/>
    </row>
    <row r="5177">
      <c r="B5177" s="19"/>
      <c r="E5177" s="23"/>
      <c r="L5177" s="23"/>
    </row>
    <row r="5178">
      <c r="B5178" s="19"/>
      <c r="E5178" s="23"/>
      <c r="L5178" s="23"/>
    </row>
    <row r="5179">
      <c r="B5179" s="19"/>
      <c r="E5179" s="23"/>
      <c r="L5179" s="23"/>
    </row>
    <row r="5180">
      <c r="B5180" s="19"/>
      <c r="E5180" s="23"/>
      <c r="L5180" s="23"/>
    </row>
    <row r="5181">
      <c r="B5181" s="19"/>
      <c r="E5181" s="23"/>
      <c r="L5181" s="23"/>
    </row>
    <row r="5182">
      <c r="B5182" s="19"/>
      <c r="E5182" s="23"/>
      <c r="L5182" s="23"/>
    </row>
    <row r="5183">
      <c r="B5183" s="19"/>
      <c r="E5183" s="23"/>
      <c r="L5183" s="23"/>
    </row>
    <row r="5184">
      <c r="B5184" s="19"/>
      <c r="E5184" s="23"/>
      <c r="L5184" s="23"/>
    </row>
    <row r="5185">
      <c r="B5185" s="19"/>
      <c r="E5185" s="23"/>
      <c r="L5185" s="23"/>
    </row>
    <row r="5186">
      <c r="B5186" s="19"/>
      <c r="E5186" s="23"/>
      <c r="L5186" s="23"/>
    </row>
    <row r="5187">
      <c r="B5187" s="19"/>
      <c r="E5187" s="23"/>
      <c r="L5187" s="23"/>
    </row>
    <row r="5188">
      <c r="B5188" s="19"/>
      <c r="E5188" s="23"/>
      <c r="L5188" s="23"/>
    </row>
    <row r="5189">
      <c r="B5189" s="19"/>
      <c r="E5189" s="23"/>
      <c r="L5189" s="23"/>
    </row>
    <row r="5190">
      <c r="B5190" s="19"/>
      <c r="E5190" s="23"/>
      <c r="L5190" s="23"/>
    </row>
    <row r="5191">
      <c r="B5191" s="19"/>
      <c r="E5191" s="23"/>
      <c r="L5191" s="23"/>
    </row>
    <row r="5192">
      <c r="B5192" s="19"/>
      <c r="E5192" s="23"/>
      <c r="L5192" s="23"/>
    </row>
    <row r="5193">
      <c r="B5193" s="19"/>
      <c r="E5193" s="23"/>
      <c r="L5193" s="23"/>
    </row>
    <row r="5194">
      <c r="B5194" s="19"/>
      <c r="E5194" s="23"/>
      <c r="L5194" s="23"/>
    </row>
    <row r="5195">
      <c r="B5195" s="19"/>
      <c r="E5195" s="23"/>
      <c r="L5195" s="23"/>
    </row>
    <row r="5196">
      <c r="B5196" s="19"/>
      <c r="E5196" s="23"/>
      <c r="L5196" s="23"/>
    </row>
    <row r="5197">
      <c r="B5197" s="19"/>
      <c r="E5197" s="23"/>
      <c r="L5197" s="23"/>
    </row>
    <row r="5198">
      <c r="B5198" s="19"/>
      <c r="E5198" s="23"/>
      <c r="L5198" s="23"/>
    </row>
    <row r="5199">
      <c r="B5199" s="19"/>
      <c r="E5199" s="23"/>
      <c r="L5199" s="23"/>
    </row>
    <row r="5200">
      <c r="B5200" s="19"/>
      <c r="E5200" s="23"/>
      <c r="L5200" s="23"/>
    </row>
    <row r="5201">
      <c r="B5201" s="19"/>
      <c r="E5201" s="23"/>
      <c r="L5201" s="23"/>
    </row>
    <row r="5202">
      <c r="B5202" s="19"/>
      <c r="E5202" s="23"/>
      <c r="L5202" s="23"/>
    </row>
    <row r="5203">
      <c r="B5203" s="19"/>
      <c r="E5203" s="23"/>
      <c r="L5203" s="23"/>
    </row>
    <row r="5204">
      <c r="B5204" s="19"/>
      <c r="E5204" s="23"/>
      <c r="L5204" s="23"/>
    </row>
    <row r="5205">
      <c r="B5205" s="19"/>
      <c r="E5205" s="23"/>
      <c r="L5205" s="23"/>
    </row>
    <row r="5206">
      <c r="B5206" s="19"/>
      <c r="E5206" s="23"/>
      <c r="L5206" s="23"/>
    </row>
    <row r="5207">
      <c r="B5207" s="19"/>
      <c r="E5207" s="23"/>
      <c r="L5207" s="23"/>
    </row>
    <row r="5208">
      <c r="B5208" s="19"/>
      <c r="E5208" s="23"/>
      <c r="L5208" s="23"/>
    </row>
    <row r="5209">
      <c r="B5209" s="19"/>
      <c r="E5209" s="23"/>
      <c r="L5209" s="23"/>
    </row>
    <row r="5210">
      <c r="B5210" s="19"/>
      <c r="E5210" s="23"/>
      <c r="L5210" s="23"/>
    </row>
    <row r="5211">
      <c r="B5211" s="19"/>
      <c r="E5211" s="23"/>
      <c r="L5211" s="23"/>
    </row>
    <row r="5212">
      <c r="B5212" s="19"/>
      <c r="E5212" s="23"/>
      <c r="L5212" s="23"/>
    </row>
    <row r="5213">
      <c r="B5213" s="19"/>
      <c r="E5213" s="23"/>
      <c r="L5213" s="23"/>
    </row>
    <row r="5214">
      <c r="B5214" s="19"/>
      <c r="E5214" s="23"/>
      <c r="L5214" s="23"/>
    </row>
    <row r="5215">
      <c r="B5215" s="19"/>
      <c r="E5215" s="23"/>
      <c r="L5215" s="23"/>
    </row>
    <row r="5216">
      <c r="B5216" s="19"/>
      <c r="E5216" s="23"/>
      <c r="L5216" s="23"/>
    </row>
    <row r="5217">
      <c r="B5217" s="19"/>
      <c r="E5217" s="23"/>
      <c r="L5217" s="23"/>
    </row>
    <row r="5218">
      <c r="B5218" s="19"/>
      <c r="E5218" s="23"/>
      <c r="L5218" s="23"/>
    </row>
    <row r="5219">
      <c r="B5219" s="19"/>
      <c r="E5219" s="23"/>
      <c r="L5219" s="23"/>
    </row>
    <row r="5220">
      <c r="B5220" s="19"/>
      <c r="E5220" s="23"/>
      <c r="L5220" s="23"/>
    </row>
    <row r="5221">
      <c r="B5221" s="19"/>
      <c r="E5221" s="23"/>
      <c r="L5221" s="23"/>
    </row>
    <row r="5222">
      <c r="B5222" s="19"/>
      <c r="E5222" s="23"/>
      <c r="L5222" s="23"/>
    </row>
    <row r="5223">
      <c r="B5223" s="19"/>
      <c r="E5223" s="23"/>
      <c r="L5223" s="23"/>
    </row>
    <row r="5224">
      <c r="B5224" s="19"/>
      <c r="E5224" s="23"/>
      <c r="L5224" s="23"/>
    </row>
    <row r="5225">
      <c r="B5225" s="19"/>
      <c r="E5225" s="23"/>
      <c r="L5225" s="23"/>
    </row>
    <row r="5226">
      <c r="B5226" s="19"/>
      <c r="E5226" s="23"/>
      <c r="L5226" s="23"/>
    </row>
    <row r="5227">
      <c r="B5227" s="19"/>
      <c r="E5227" s="23"/>
      <c r="L5227" s="23"/>
    </row>
    <row r="5228">
      <c r="B5228" s="19"/>
      <c r="E5228" s="23"/>
      <c r="L5228" s="23"/>
    </row>
    <row r="5229">
      <c r="B5229" s="19"/>
      <c r="E5229" s="23"/>
      <c r="L5229" s="23"/>
    </row>
    <row r="5230">
      <c r="B5230" s="19"/>
      <c r="E5230" s="23"/>
      <c r="L5230" s="23"/>
    </row>
    <row r="5231">
      <c r="B5231" s="19"/>
      <c r="E5231" s="23"/>
      <c r="L5231" s="23"/>
    </row>
    <row r="5232">
      <c r="B5232" s="19"/>
      <c r="E5232" s="23"/>
      <c r="L5232" s="23"/>
    </row>
    <row r="5233">
      <c r="B5233" s="19"/>
      <c r="E5233" s="23"/>
      <c r="L5233" s="23"/>
    </row>
    <row r="5234">
      <c r="B5234" s="19"/>
      <c r="E5234" s="23"/>
      <c r="L5234" s="23"/>
    </row>
    <row r="5235">
      <c r="B5235" s="19"/>
      <c r="E5235" s="23"/>
      <c r="L5235" s="23"/>
    </row>
    <row r="5236">
      <c r="B5236" s="19"/>
      <c r="E5236" s="23"/>
      <c r="L5236" s="23"/>
    </row>
    <row r="5237">
      <c r="B5237" s="19"/>
      <c r="E5237" s="23"/>
      <c r="L5237" s="23"/>
    </row>
    <row r="5238">
      <c r="B5238" s="19"/>
      <c r="E5238" s="23"/>
      <c r="L5238" s="23"/>
    </row>
    <row r="5239">
      <c r="B5239" s="19"/>
      <c r="E5239" s="23"/>
      <c r="L5239" s="23"/>
    </row>
    <row r="5240">
      <c r="B5240" s="19"/>
      <c r="E5240" s="23"/>
      <c r="L5240" s="23"/>
    </row>
    <row r="5241">
      <c r="B5241" s="19"/>
      <c r="E5241" s="23"/>
      <c r="L5241" s="23"/>
    </row>
    <row r="5242">
      <c r="B5242" s="19"/>
      <c r="E5242" s="23"/>
      <c r="L5242" s="23"/>
    </row>
    <row r="5243">
      <c r="B5243" s="19"/>
      <c r="E5243" s="23"/>
      <c r="L5243" s="23"/>
    </row>
    <row r="5244">
      <c r="B5244" s="19"/>
      <c r="E5244" s="23"/>
      <c r="L5244" s="23"/>
    </row>
    <row r="5245">
      <c r="B5245" s="19"/>
      <c r="E5245" s="23"/>
      <c r="L5245" s="23"/>
    </row>
    <row r="5246">
      <c r="B5246" s="19"/>
      <c r="E5246" s="23"/>
      <c r="L5246" s="23"/>
    </row>
    <row r="5247">
      <c r="B5247" s="19"/>
      <c r="E5247" s="23"/>
      <c r="L5247" s="23"/>
    </row>
    <row r="5248">
      <c r="B5248" s="19"/>
      <c r="E5248" s="23"/>
      <c r="L5248" s="23"/>
    </row>
    <row r="5249">
      <c r="B5249" s="19"/>
      <c r="E5249" s="23"/>
      <c r="L5249" s="23"/>
    </row>
    <row r="5250">
      <c r="B5250" s="19"/>
      <c r="E5250" s="23"/>
      <c r="L5250" s="23"/>
    </row>
    <row r="5251">
      <c r="B5251" s="19"/>
      <c r="E5251" s="23"/>
      <c r="L5251" s="23"/>
    </row>
    <row r="5252">
      <c r="B5252" s="19"/>
      <c r="E5252" s="23"/>
      <c r="L5252" s="23"/>
    </row>
    <row r="5253">
      <c r="B5253" s="19"/>
      <c r="E5253" s="23"/>
      <c r="L5253" s="23"/>
    </row>
    <row r="5254">
      <c r="B5254" s="19"/>
      <c r="E5254" s="23"/>
      <c r="L5254" s="23"/>
    </row>
    <row r="5255">
      <c r="B5255" s="19"/>
      <c r="E5255" s="23"/>
      <c r="L5255" s="23"/>
    </row>
    <row r="5256">
      <c r="B5256" s="19"/>
      <c r="E5256" s="23"/>
      <c r="L5256" s="23"/>
    </row>
    <row r="5257">
      <c r="B5257" s="19"/>
      <c r="E5257" s="23"/>
      <c r="L5257" s="23"/>
    </row>
    <row r="5258">
      <c r="B5258" s="19"/>
      <c r="E5258" s="23"/>
      <c r="L5258" s="23"/>
    </row>
    <row r="5259">
      <c r="B5259" s="19"/>
      <c r="E5259" s="23"/>
      <c r="L5259" s="23"/>
    </row>
    <row r="5260">
      <c r="B5260" s="19"/>
      <c r="E5260" s="23"/>
      <c r="L5260" s="23"/>
    </row>
    <row r="5261">
      <c r="B5261" s="19"/>
      <c r="E5261" s="23"/>
      <c r="L5261" s="23"/>
    </row>
    <row r="5262">
      <c r="B5262" s="19"/>
      <c r="E5262" s="23"/>
      <c r="L5262" s="23"/>
    </row>
    <row r="5263">
      <c r="B5263" s="19"/>
      <c r="E5263" s="23"/>
      <c r="L5263" s="23"/>
    </row>
    <row r="5264">
      <c r="B5264" s="19"/>
      <c r="E5264" s="23"/>
      <c r="L5264" s="23"/>
    </row>
    <row r="5265">
      <c r="B5265" s="19"/>
      <c r="E5265" s="23"/>
      <c r="L5265" s="23"/>
    </row>
    <row r="5266">
      <c r="B5266" s="19"/>
      <c r="E5266" s="23"/>
      <c r="L5266" s="23"/>
    </row>
    <row r="5267">
      <c r="B5267" s="19"/>
      <c r="E5267" s="23"/>
      <c r="L5267" s="23"/>
    </row>
    <row r="5268">
      <c r="B5268" s="19"/>
      <c r="E5268" s="23"/>
      <c r="L5268" s="23"/>
    </row>
    <row r="5269">
      <c r="B5269" s="19"/>
      <c r="E5269" s="23"/>
      <c r="L5269" s="23"/>
    </row>
    <row r="5270">
      <c r="B5270" s="19"/>
      <c r="E5270" s="23"/>
      <c r="L5270" s="23"/>
    </row>
    <row r="5271">
      <c r="B5271" s="19"/>
      <c r="E5271" s="23"/>
      <c r="L5271" s="23"/>
    </row>
    <row r="5272">
      <c r="B5272" s="19"/>
      <c r="E5272" s="23"/>
      <c r="L5272" s="23"/>
    </row>
    <row r="5273">
      <c r="B5273" s="19"/>
      <c r="E5273" s="23"/>
      <c r="L5273" s="23"/>
    </row>
    <row r="5274">
      <c r="B5274" s="19"/>
      <c r="E5274" s="23"/>
      <c r="L5274" s="23"/>
    </row>
    <row r="5275">
      <c r="B5275" s="19"/>
      <c r="E5275" s="23"/>
      <c r="L5275" s="23"/>
    </row>
    <row r="5276">
      <c r="B5276" s="19"/>
      <c r="E5276" s="23"/>
      <c r="L5276" s="23"/>
    </row>
    <row r="5277">
      <c r="B5277" s="19"/>
      <c r="E5277" s="23"/>
      <c r="L5277" s="23"/>
    </row>
    <row r="5278">
      <c r="B5278" s="19"/>
      <c r="E5278" s="23"/>
      <c r="L5278" s="23"/>
    </row>
    <row r="5279">
      <c r="B5279" s="19"/>
      <c r="E5279" s="23"/>
      <c r="L5279" s="23"/>
    </row>
    <row r="5280">
      <c r="B5280" s="19"/>
      <c r="E5280" s="23"/>
      <c r="L5280" s="23"/>
    </row>
    <row r="5281">
      <c r="B5281" s="19"/>
      <c r="E5281" s="23"/>
      <c r="L5281" s="23"/>
    </row>
    <row r="5282">
      <c r="B5282" s="19"/>
      <c r="E5282" s="23"/>
      <c r="L5282" s="23"/>
    </row>
    <row r="5283">
      <c r="B5283" s="19"/>
      <c r="E5283" s="23"/>
      <c r="L5283" s="23"/>
    </row>
    <row r="5284">
      <c r="B5284" s="19"/>
      <c r="E5284" s="23"/>
      <c r="L5284" s="23"/>
    </row>
    <row r="5285">
      <c r="B5285" s="19"/>
      <c r="E5285" s="23"/>
      <c r="L5285" s="23"/>
    </row>
    <row r="5286">
      <c r="B5286" s="19"/>
      <c r="E5286" s="23"/>
      <c r="L5286" s="23"/>
    </row>
    <row r="5287">
      <c r="B5287" s="19"/>
      <c r="E5287" s="23"/>
      <c r="L5287" s="23"/>
    </row>
    <row r="5288">
      <c r="B5288" s="19"/>
      <c r="E5288" s="23"/>
      <c r="L5288" s="23"/>
    </row>
    <row r="5289">
      <c r="B5289" s="19"/>
      <c r="E5289" s="23"/>
      <c r="L5289" s="23"/>
    </row>
    <row r="5290">
      <c r="B5290" s="19"/>
      <c r="E5290" s="23"/>
      <c r="L5290" s="23"/>
    </row>
    <row r="5291">
      <c r="B5291" s="19"/>
      <c r="E5291" s="23"/>
      <c r="L5291" s="23"/>
    </row>
    <row r="5292">
      <c r="B5292" s="19"/>
      <c r="E5292" s="23"/>
      <c r="L5292" s="23"/>
    </row>
    <row r="5293">
      <c r="B5293" s="19"/>
      <c r="E5293" s="23"/>
      <c r="L5293" s="23"/>
    </row>
    <row r="5294">
      <c r="B5294" s="19"/>
      <c r="E5294" s="23"/>
      <c r="L5294" s="23"/>
    </row>
    <row r="5295">
      <c r="B5295" s="19"/>
      <c r="E5295" s="23"/>
      <c r="L5295" s="23"/>
    </row>
    <row r="5296">
      <c r="B5296" s="19"/>
      <c r="E5296" s="23"/>
      <c r="L5296" s="23"/>
    </row>
    <row r="5297">
      <c r="B5297" s="19"/>
      <c r="E5297" s="23"/>
      <c r="L5297" s="23"/>
    </row>
    <row r="5298">
      <c r="B5298" s="19"/>
      <c r="E5298" s="23"/>
      <c r="L5298" s="23"/>
    </row>
    <row r="5299">
      <c r="B5299" s="19"/>
      <c r="E5299" s="23"/>
      <c r="L5299" s="23"/>
    </row>
    <row r="5300">
      <c r="B5300" s="19"/>
      <c r="E5300" s="23"/>
      <c r="L5300" s="23"/>
    </row>
    <row r="5301">
      <c r="B5301" s="19"/>
      <c r="E5301" s="23"/>
      <c r="L5301" s="23"/>
    </row>
    <row r="5302">
      <c r="B5302" s="19"/>
      <c r="E5302" s="23"/>
      <c r="L5302" s="23"/>
    </row>
    <row r="5303">
      <c r="B5303" s="19"/>
      <c r="E5303" s="23"/>
      <c r="L5303" s="23"/>
    </row>
    <row r="5304">
      <c r="B5304" s="19"/>
      <c r="E5304" s="23"/>
      <c r="L5304" s="23"/>
    </row>
    <row r="5305">
      <c r="B5305" s="19"/>
      <c r="E5305" s="23"/>
      <c r="L5305" s="23"/>
    </row>
    <row r="5306">
      <c r="B5306" s="19"/>
      <c r="E5306" s="23"/>
      <c r="L5306" s="23"/>
    </row>
    <row r="5307">
      <c r="B5307" s="19"/>
      <c r="E5307" s="23"/>
      <c r="L5307" s="23"/>
    </row>
    <row r="5308">
      <c r="B5308" s="19"/>
      <c r="E5308" s="23"/>
      <c r="L5308" s="23"/>
    </row>
    <row r="5309">
      <c r="B5309" s="19"/>
      <c r="E5309" s="23"/>
      <c r="L5309" s="23"/>
    </row>
    <row r="5310">
      <c r="B5310" s="19"/>
      <c r="E5310" s="23"/>
      <c r="L5310" s="23"/>
    </row>
    <row r="5311">
      <c r="B5311" s="19"/>
      <c r="E5311" s="23"/>
      <c r="L5311" s="23"/>
    </row>
    <row r="5312">
      <c r="B5312" s="19"/>
      <c r="E5312" s="23"/>
      <c r="L5312" s="23"/>
    </row>
    <row r="5313">
      <c r="B5313" s="19"/>
      <c r="E5313" s="23"/>
      <c r="L5313" s="23"/>
    </row>
    <row r="5314">
      <c r="B5314" s="19"/>
      <c r="E5314" s="23"/>
      <c r="L5314" s="23"/>
    </row>
    <row r="5315">
      <c r="B5315" s="19"/>
      <c r="E5315" s="23"/>
      <c r="L5315" s="23"/>
    </row>
    <row r="5316">
      <c r="B5316" s="19"/>
      <c r="E5316" s="23"/>
      <c r="L5316" s="23"/>
    </row>
    <row r="5317">
      <c r="B5317" s="19"/>
      <c r="E5317" s="23"/>
      <c r="L5317" s="23"/>
    </row>
    <row r="5318">
      <c r="B5318" s="19"/>
      <c r="E5318" s="23"/>
      <c r="L5318" s="23"/>
    </row>
    <row r="5319">
      <c r="B5319" s="19"/>
      <c r="E5319" s="23"/>
      <c r="L5319" s="23"/>
    </row>
    <row r="5320">
      <c r="B5320" s="19"/>
      <c r="E5320" s="23"/>
      <c r="L5320" s="23"/>
    </row>
    <row r="5321">
      <c r="B5321" s="19"/>
      <c r="E5321" s="23"/>
      <c r="L5321" s="23"/>
    </row>
    <row r="5322">
      <c r="B5322" s="19"/>
      <c r="E5322" s="23"/>
      <c r="L5322" s="23"/>
    </row>
    <row r="5323">
      <c r="B5323" s="19"/>
      <c r="E5323" s="23"/>
      <c r="L5323" s="23"/>
    </row>
    <row r="5324">
      <c r="B5324" s="19"/>
      <c r="E5324" s="23"/>
      <c r="L5324" s="23"/>
    </row>
    <row r="5325">
      <c r="B5325" s="19"/>
      <c r="E5325" s="23"/>
      <c r="L5325" s="23"/>
    </row>
    <row r="5326">
      <c r="B5326" s="19"/>
      <c r="E5326" s="23"/>
      <c r="L5326" s="23"/>
    </row>
    <row r="5327">
      <c r="B5327" s="19"/>
      <c r="E5327" s="23"/>
      <c r="L5327" s="23"/>
    </row>
    <row r="5328">
      <c r="B5328" s="19"/>
      <c r="E5328" s="23"/>
      <c r="L5328" s="23"/>
    </row>
    <row r="5329">
      <c r="B5329" s="19"/>
      <c r="E5329" s="23"/>
      <c r="L5329" s="23"/>
    </row>
    <row r="5330">
      <c r="B5330" s="19"/>
      <c r="E5330" s="23"/>
      <c r="L5330" s="23"/>
    </row>
    <row r="5331">
      <c r="B5331" s="19"/>
      <c r="E5331" s="23"/>
      <c r="L5331" s="23"/>
    </row>
    <row r="5332">
      <c r="B5332" s="19"/>
      <c r="E5332" s="23"/>
      <c r="L5332" s="23"/>
    </row>
    <row r="5333">
      <c r="B5333" s="19"/>
      <c r="E5333" s="23"/>
      <c r="L5333" s="23"/>
    </row>
    <row r="5334">
      <c r="B5334" s="19"/>
      <c r="E5334" s="23"/>
      <c r="L5334" s="23"/>
    </row>
    <row r="5335">
      <c r="B5335" s="19"/>
      <c r="E5335" s="23"/>
      <c r="L5335" s="23"/>
    </row>
    <row r="5336">
      <c r="B5336" s="19"/>
      <c r="E5336" s="23"/>
      <c r="L5336" s="23"/>
    </row>
    <row r="5337">
      <c r="B5337" s="19"/>
      <c r="E5337" s="23"/>
      <c r="L5337" s="23"/>
    </row>
    <row r="5338">
      <c r="B5338" s="19"/>
      <c r="E5338" s="23"/>
      <c r="L5338" s="23"/>
    </row>
    <row r="5339">
      <c r="B5339" s="19"/>
      <c r="E5339" s="23"/>
      <c r="L5339" s="23"/>
    </row>
    <row r="5340">
      <c r="B5340" s="19"/>
      <c r="E5340" s="23"/>
      <c r="L5340" s="23"/>
    </row>
    <row r="5341">
      <c r="B5341" s="19"/>
      <c r="E5341" s="23"/>
      <c r="L5341" s="23"/>
    </row>
    <row r="5342">
      <c r="B5342" s="19"/>
      <c r="E5342" s="23"/>
      <c r="L5342" s="23"/>
    </row>
    <row r="5343">
      <c r="B5343" s="19"/>
      <c r="E5343" s="23"/>
      <c r="L5343" s="23"/>
    </row>
    <row r="5344">
      <c r="B5344" s="19"/>
      <c r="E5344" s="23"/>
      <c r="L5344" s="23"/>
    </row>
    <row r="5345">
      <c r="B5345" s="19"/>
      <c r="E5345" s="23"/>
      <c r="L5345" s="23"/>
    </row>
    <row r="5346">
      <c r="B5346" s="19"/>
      <c r="E5346" s="23"/>
      <c r="L5346" s="23"/>
    </row>
    <row r="5347">
      <c r="B5347" s="19"/>
      <c r="E5347" s="23"/>
      <c r="L5347" s="23"/>
    </row>
    <row r="5348">
      <c r="B5348" s="19"/>
      <c r="E5348" s="23"/>
      <c r="L5348" s="23"/>
    </row>
    <row r="5349">
      <c r="B5349" s="19"/>
      <c r="E5349" s="23"/>
      <c r="L5349" s="23"/>
    </row>
    <row r="5350">
      <c r="B5350" s="19"/>
      <c r="E5350" s="23"/>
      <c r="L5350" s="23"/>
    </row>
    <row r="5351">
      <c r="B5351" s="19"/>
      <c r="E5351" s="23"/>
      <c r="L5351" s="23"/>
    </row>
    <row r="5352">
      <c r="B5352" s="19"/>
      <c r="E5352" s="23"/>
      <c r="L5352" s="23"/>
    </row>
    <row r="5353">
      <c r="B5353" s="19"/>
      <c r="E5353" s="23"/>
      <c r="L5353" s="23"/>
    </row>
    <row r="5354">
      <c r="B5354" s="19"/>
      <c r="E5354" s="23"/>
      <c r="L5354" s="23"/>
    </row>
    <row r="5355">
      <c r="B5355" s="19"/>
      <c r="E5355" s="23"/>
      <c r="L5355" s="23"/>
    </row>
    <row r="5356">
      <c r="B5356" s="19"/>
      <c r="E5356" s="23"/>
      <c r="L5356" s="23"/>
    </row>
    <row r="5357">
      <c r="B5357" s="19"/>
      <c r="E5357" s="23"/>
      <c r="L5357" s="23"/>
    </row>
    <row r="5358">
      <c r="B5358" s="19"/>
      <c r="E5358" s="23"/>
      <c r="L5358" s="23"/>
    </row>
    <row r="5359">
      <c r="B5359" s="19"/>
      <c r="E5359" s="23"/>
      <c r="L5359" s="23"/>
    </row>
    <row r="5360">
      <c r="B5360" s="19"/>
      <c r="E5360" s="23"/>
      <c r="L5360" s="23"/>
    </row>
    <row r="5361">
      <c r="B5361" s="19"/>
      <c r="E5361" s="23"/>
      <c r="L5361" s="23"/>
    </row>
    <row r="5362">
      <c r="B5362" s="19"/>
      <c r="E5362" s="23"/>
      <c r="L5362" s="23"/>
    </row>
    <row r="5363">
      <c r="B5363" s="19"/>
      <c r="E5363" s="23"/>
      <c r="L5363" s="23"/>
    </row>
    <row r="5364">
      <c r="B5364" s="19"/>
      <c r="E5364" s="23"/>
      <c r="L5364" s="23"/>
    </row>
    <row r="5365">
      <c r="B5365" s="19"/>
      <c r="E5365" s="23"/>
      <c r="L5365" s="23"/>
    </row>
    <row r="5366">
      <c r="B5366" s="19"/>
      <c r="E5366" s="23"/>
      <c r="L5366" s="23"/>
    </row>
    <row r="5367">
      <c r="B5367" s="19"/>
      <c r="E5367" s="23"/>
      <c r="L5367" s="23"/>
    </row>
    <row r="5368">
      <c r="B5368" s="19"/>
      <c r="E5368" s="23"/>
      <c r="L5368" s="23"/>
    </row>
    <row r="5369">
      <c r="B5369" s="19"/>
      <c r="E5369" s="23"/>
      <c r="L5369" s="23"/>
    </row>
    <row r="5370">
      <c r="B5370" s="19"/>
      <c r="E5370" s="23"/>
      <c r="L5370" s="23"/>
    </row>
    <row r="5371">
      <c r="B5371" s="19"/>
      <c r="E5371" s="23"/>
      <c r="L5371" s="23"/>
    </row>
    <row r="5372">
      <c r="B5372" s="19"/>
      <c r="E5372" s="23"/>
      <c r="L5372" s="23"/>
    </row>
    <row r="5373">
      <c r="B5373" s="19"/>
      <c r="E5373" s="23"/>
      <c r="L5373" s="23"/>
    </row>
    <row r="5374">
      <c r="B5374" s="19"/>
      <c r="E5374" s="23"/>
      <c r="L5374" s="23"/>
    </row>
    <row r="5375">
      <c r="B5375" s="19"/>
      <c r="E5375" s="23"/>
      <c r="L5375" s="23"/>
    </row>
    <row r="5376">
      <c r="B5376" s="19"/>
      <c r="E5376" s="23"/>
      <c r="L5376" s="23"/>
    </row>
    <row r="5377">
      <c r="B5377" s="19"/>
      <c r="E5377" s="23"/>
      <c r="L5377" s="23"/>
    </row>
    <row r="5378">
      <c r="B5378" s="19"/>
      <c r="E5378" s="23"/>
      <c r="L5378" s="23"/>
    </row>
    <row r="5379">
      <c r="B5379" s="19"/>
      <c r="E5379" s="23"/>
      <c r="L5379" s="23"/>
    </row>
    <row r="5380">
      <c r="B5380" s="19"/>
      <c r="E5380" s="23"/>
      <c r="L5380" s="23"/>
    </row>
    <row r="5381">
      <c r="B5381" s="19"/>
      <c r="E5381" s="23"/>
      <c r="L5381" s="23"/>
    </row>
    <row r="5382">
      <c r="B5382" s="19"/>
      <c r="E5382" s="23"/>
      <c r="L5382" s="23"/>
    </row>
    <row r="5383">
      <c r="B5383" s="19"/>
      <c r="E5383" s="23"/>
      <c r="L5383" s="23"/>
    </row>
    <row r="5384">
      <c r="B5384" s="19"/>
      <c r="E5384" s="23"/>
      <c r="L5384" s="23"/>
    </row>
    <row r="5385">
      <c r="B5385" s="19"/>
      <c r="E5385" s="23"/>
      <c r="L5385" s="23"/>
    </row>
    <row r="5386">
      <c r="B5386" s="19"/>
      <c r="E5386" s="23"/>
      <c r="L5386" s="23"/>
    </row>
    <row r="5387">
      <c r="B5387" s="19"/>
      <c r="E5387" s="23"/>
      <c r="L5387" s="23"/>
    </row>
    <row r="5388">
      <c r="B5388" s="19"/>
      <c r="E5388" s="23"/>
      <c r="L5388" s="23"/>
    </row>
    <row r="5389">
      <c r="B5389" s="19"/>
      <c r="E5389" s="23"/>
      <c r="L5389" s="23"/>
    </row>
    <row r="5390">
      <c r="B5390" s="19"/>
      <c r="E5390" s="23"/>
      <c r="L5390" s="23"/>
    </row>
    <row r="5391">
      <c r="B5391" s="19"/>
      <c r="E5391" s="23"/>
      <c r="L5391" s="23"/>
    </row>
    <row r="5392">
      <c r="B5392" s="19"/>
      <c r="E5392" s="23"/>
      <c r="L5392" s="23"/>
    </row>
    <row r="5393">
      <c r="B5393" s="19"/>
      <c r="E5393" s="23"/>
      <c r="L5393" s="23"/>
    </row>
    <row r="5394">
      <c r="B5394" s="19"/>
      <c r="E5394" s="23"/>
      <c r="L5394" s="23"/>
    </row>
    <row r="5395">
      <c r="B5395" s="19"/>
      <c r="E5395" s="23"/>
      <c r="L5395" s="23"/>
    </row>
    <row r="5396">
      <c r="B5396" s="19"/>
      <c r="E5396" s="23"/>
      <c r="L5396" s="23"/>
    </row>
    <row r="5397">
      <c r="B5397" s="19"/>
      <c r="E5397" s="23"/>
      <c r="L5397" s="23"/>
    </row>
    <row r="5398">
      <c r="B5398" s="19"/>
      <c r="E5398" s="23"/>
      <c r="L5398" s="23"/>
    </row>
    <row r="5399">
      <c r="B5399" s="19"/>
      <c r="E5399" s="23"/>
      <c r="L5399" s="23"/>
    </row>
    <row r="5400">
      <c r="B5400" s="19"/>
      <c r="E5400" s="23"/>
      <c r="L5400" s="23"/>
    </row>
    <row r="5401">
      <c r="B5401" s="19"/>
      <c r="E5401" s="23"/>
      <c r="L5401" s="23"/>
    </row>
    <row r="5402">
      <c r="B5402" s="19"/>
      <c r="E5402" s="23"/>
      <c r="L5402" s="23"/>
    </row>
    <row r="5403">
      <c r="B5403" s="19"/>
      <c r="E5403" s="23"/>
      <c r="L5403" s="23"/>
    </row>
    <row r="5404">
      <c r="B5404" s="19"/>
      <c r="E5404" s="23"/>
      <c r="L5404" s="23"/>
    </row>
    <row r="5405">
      <c r="B5405" s="19"/>
      <c r="E5405" s="23"/>
      <c r="L5405" s="23"/>
    </row>
    <row r="5406">
      <c r="B5406" s="19"/>
      <c r="E5406" s="23"/>
      <c r="L5406" s="23"/>
    </row>
    <row r="5407">
      <c r="B5407" s="19"/>
      <c r="E5407" s="23"/>
      <c r="L5407" s="23"/>
    </row>
    <row r="5408">
      <c r="B5408" s="19"/>
      <c r="E5408" s="23"/>
      <c r="L5408" s="23"/>
    </row>
    <row r="5409">
      <c r="B5409" s="19"/>
      <c r="E5409" s="23"/>
      <c r="L5409" s="23"/>
    </row>
    <row r="5410">
      <c r="B5410" s="19"/>
      <c r="E5410" s="23"/>
      <c r="L5410" s="23"/>
    </row>
    <row r="5411">
      <c r="B5411" s="19"/>
      <c r="E5411" s="23"/>
      <c r="L5411" s="23"/>
    </row>
    <row r="5412">
      <c r="B5412" s="19"/>
      <c r="E5412" s="23"/>
      <c r="L5412" s="23"/>
    </row>
    <row r="5413">
      <c r="B5413" s="19"/>
      <c r="E5413" s="23"/>
      <c r="L5413" s="23"/>
    </row>
    <row r="5414">
      <c r="B5414" s="19"/>
      <c r="E5414" s="23"/>
      <c r="L5414" s="23"/>
    </row>
    <row r="5415">
      <c r="B5415" s="19"/>
      <c r="E5415" s="23"/>
      <c r="L5415" s="23"/>
    </row>
    <row r="5416">
      <c r="B5416" s="19"/>
      <c r="E5416" s="23"/>
      <c r="L5416" s="23"/>
    </row>
    <row r="5417">
      <c r="B5417" s="19"/>
      <c r="E5417" s="23"/>
      <c r="L5417" s="23"/>
    </row>
    <row r="5418">
      <c r="B5418" s="19"/>
      <c r="E5418" s="23"/>
      <c r="L5418" s="23"/>
    </row>
    <row r="5419">
      <c r="B5419" s="19"/>
      <c r="E5419" s="23"/>
      <c r="L5419" s="23"/>
    </row>
    <row r="5420">
      <c r="B5420" s="19"/>
      <c r="E5420" s="23"/>
      <c r="L5420" s="23"/>
    </row>
    <row r="5421">
      <c r="B5421" s="19"/>
      <c r="E5421" s="23"/>
      <c r="L5421" s="23"/>
    </row>
    <row r="5422">
      <c r="B5422" s="19"/>
      <c r="E5422" s="23"/>
      <c r="L5422" s="23"/>
    </row>
    <row r="5423">
      <c r="B5423" s="19"/>
      <c r="E5423" s="23"/>
      <c r="L5423" s="23"/>
    </row>
    <row r="5424">
      <c r="B5424" s="19"/>
      <c r="E5424" s="23"/>
      <c r="L5424" s="23"/>
    </row>
    <row r="5425">
      <c r="B5425" s="19"/>
      <c r="E5425" s="23"/>
      <c r="L5425" s="23"/>
    </row>
    <row r="5426">
      <c r="B5426" s="19"/>
      <c r="E5426" s="23"/>
      <c r="L5426" s="23"/>
    </row>
    <row r="5427">
      <c r="B5427" s="19"/>
      <c r="E5427" s="23"/>
      <c r="L5427" s="23"/>
    </row>
    <row r="5428">
      <c r="B5428" s="19"/>
      <c r="E5428" s="23"/>
      <c r="L5428" s="23"/>
    </row>
    <row r="5429">
      <c r="B5429" s="19"/>
      <c r="E5429" s="23"/>
      <c r="L5429" s="23"/>
    </row>
    <row r="5430">
      <c r="B5430" s="19"/>
      <c r="E5430" s="23"/>
      <c r="L5430" s="23"/>
    </row>
    <row r="5431">
      <c r="B5431" s="19"/>
      <c r="E5431" s="23"/>
      <c r="L5431" s="23"/>
    </row>
    <row r="5432">
      <c r="B5432" s="19"/>
      <c r="E5432" s="23"/>
      <c r="L5432" s="23"/>
    </row>
    <row r="5433">
      <c r="B5433" s="19"/>
      <c r="E5433" s="23"/>
      <c r="L5433" s="23"/>
    </row>
    <row r="5434">
      <c r="B5434" s="19"/>
      <c r="E5434" s="23"/>
      <c r="L5434" s="23"/>
    </row>
    <row r="5435">
      <c r="B5435" s="19"/>
      <c r="E5435" s="23"/>
      <c r="L5435" s="23"/>
    </row>
    <row r="5436">
      <c r="B5436" s="19"/>
      <c r="E5436" s="23"/>
      <c r="L5436" s="23"/>
    </row>
    <row r="5437">
      <c r="B5437" s="19"/>
      <c r="E5437" s="23"/>
      <c r="L5437" s="23"/>
    </row>
    <row r="5438">
      <c r="B5438" s="19"/>
      <c r="E5438" s="23"/>
      <c r="L5438" s="23"/>
    </row>
    <row r="5439">
      <c r="B5439" s="19"/>
      <c r="E5439" s="23"/>
      <c r="L5439" s="23"/>
    </row>
    <row r="5440">
      <c r="B5440" s="19"/>
      <c r="E5440" s="23"/>
      <c r="L5440" s="23"/>
    </row>
    <row r="5441">
      <c r="B5441" s="19"/>
      <c r="E5441" s="23"/>
      <c r="L5441" s="23"/>
    </row>
    <row r="5442">
      <c r="B5442" s="19"/>
      <c r="E5442" s="23"/>
      <c r="L5442" s="23"/>
    </row>
    <row r="5443">
      <c r="B5443" s="19"/>
      <c r="E5443" s="23"/>
      <c r="L5443" s="23"/>
    </row>
    <row r="5444">
      <c r="B5444" s="19"/>
      <c r="E5444" s="23"/>
      <c r="L5444" s="23"/>
    </row>
    <row r="5445">
      <c r="B5445" s="19"/>
      <c r="E5445" s="23"/>
      <c r="L5445" s="23"/>
    </row>
    <row r="5446">
      <c r="B5446" s="19"/>
      <c r="E5446" s="23"/>
      <c r="L5446" s="23"/>
    </row>
    <row r="5447">
      <c r="B5447" s="19"/>
      <c r="E5447" s="23"/>
      <c r="L5447" s="23"/>
    </row>
    <row r="5448">
      <c r="B5448" s="19"/>
      <c r="E5448" s="23"/>
      <c r="L5448" s="23"/>
    </row>
    <row r="5449">
      <c r="B5449" s="19"/>
      <c r="E5449" s="23"/>
      <c r="L5449" s="23"/>
    </row>
    <row r="5450">
      <c r="B5450" s="19"/>
      <c r="E5450" s="23"/>
      <c r="L5450" s="23"/>
    </row>
    <row r="5451">
      <c r="B5451" s="19"/>
      <c r="E5451" s="23"/>
      <c r="L5451" s="23"/>
    </row>
    <row r="5452">
      <c r="B5452" s="19"/>
      <c r="E5452" s="23"/>
      <c r="L5452" s="23"/>
    </row>
    <row r="5453">
      <c r="B5453" s="19"/>
      <c r="E5453" s="23"/>
      <c r="L5453" s="23"/>
    </row>
    <row r="5454">
      <c r="B5454" s="19"/>
      <c r="E5454" s="23"/>
      <c r="L5454" s="23"/>
    </row>
    <row r="5455">
      <c r="B5455" s="19"/>
      <c r="E5455" s="23"/>
      <c r="L5455" s="23"/>
    </row>
    <row r="5456">
      <c r="B5456" s="19"/>
      <c r="E5456" s="23"/>
      <c r="L5456" s="23"/>
    </row>
    <row r="5457">
      <c r="B5457" s="19"/>
      <c r="E5457" s="23"/>
      <c r="L5457" s="23"/>
    </row>
    <row r="5458">
      <c r="B5458" s="19"/>
      <c r="E5458" s="23"/>
      <c r="L5458" s="23"/>
    </row>
    <row r="5459">
      <c r="B5459" s="19"/>
      <c r="E5459" s="23"/>
      <c r="L5459" s="23"/>
    </row>
    <row r="5460">
      <c r="B5460" s="19"/>
      <c r="E5460" s="23"/>
      <c r="L5460" s="23"/>
    </row>
    <row r="5461">
      <c r="B5461" s="19"/>
      <c r="E5461" s="23"/>
      <c r="L5461" s="23"/>
    </row>
    <row r="5462">
      <c r="B5462" s="19"/>
      <c r="E5462" s="23"/>
      <c r="L5462" s="23"/>
    </row>
    <row r="5463">
      <c r="B5463" s="19"/>
      <c r="E5463" s="23"/>
      <c r="L5463" s="23"/>
    </row>
    <row r="5464">
      <c r="B5464" s="19"/>
      <c r="E5464" s="23"/>
      <c r="L5464" s="23"/>
    </row>
    <row r="5465">
      <c r="B5465" s="19"/>
      <c r="E5465" s="23"/>
      <c r="L5465" s="23"/>
    </row>
    <row r="5466">
      <c r="B5466" s="19"/>
      <c r="E5466" s="23"/>
      <c r="L5466" s="23"/>
    </row>
    <row r="5467">
      <c r="B5467" s="19"/>
      <c r="E5467" s="23"/>
      <c r="L5467" s="23"/>
    </row>
    <row r="5468">
      <c r="B5468" s="19"/>
      <c r="E5468" s="23"/>
      <c r="L5468" s="23"/>
    </row>
    <row r="5469">
      <c r="B5469" s="19"/>
      <c r="E5469" s="23"/>
      <c r="L5469" s="23"/>
    </row>
    <row r="5470">
      <c r="B5470" s="19"/>
      <c r="E5470" s="23"/>
      <c r="L5470" s="23"/>
    </row>
    <row r="5471">
      <c r="B5471" s="19"/>
      <c r="E5471" s="23"/>
      <c r="L5471" s="23"/>
    </row>
    <row r="5472">
      <c r="B5472" s="19"/>
      <c r="E5472" s="23"/>
      <c r="L5472" s="23"/>
    </row>
    <row r="5473">
      <c r="B5473" s="19"/>
      <c r="E5473" s="23"/>
      <c r="L5473" s="23"/>
    </row>
    <row r="5474">
      <c r="B5474" s="19"/>
      <c r="E5474" s="23"/>
      <c r="L5474" s="23"/>
    </row>
    <row r="5475">
      <c r="B5475" s="19"/>
      <c r="E5475" s="23"/>
      <c r="L5475" s="23"/>
    </row>
    <row r="5476">
      <c r="B5476" s="19"/>
      <c r="E5476" s="23"/>
      <c r="L5476" s="23"/>
    </row>
    <row r="5477">
      <c r="B5477" s="19"/>
      <c r="E5477" s="23"/>
      <c r="L5477" s="23"/>
    </row>
    <row r="5478">
      <c r="B5478" s="19"/>
      <c r="E5478" s="23"/>
      <c r="L5478" s="23"/>
    </row>
    <row r="5479">
      <c r="B5479" s="19"/>
      <c r="E5479" s="23"/>
      <c r="L5479" s="23"/>
    </row>
    <row r="5480">
      <c r="B5480" s="19"/>
      <c r="E5480" s="23"/>
      <c r="L5480" s="23"/>
    </row>
    <row r="5481">
      <c r="B5481" s="19"/>
      <c r="E5481" s="23"/>
      <c r="L5481" s="23"/>
    </row>
    <row r="5482">
      <c r="B5482" s="19"/>
      <c r="E5482" s="23"/>
      <c r="L5482" s="23"/>
    </row>
    <row r="5483">
      <c r="B5483" s="19"/>
      <c r="E5483" s="23"/>
      <c r="L5483" s="23"/>
    </row>
    <row r="5484">
      <c r="B5484" s="19"/>
      <c r="E5484" s="23"/>
      <c r="L5484" s="23"/>
    </row>
    <row r="5485">
      <c r="B5485" s="19"/>
      <c r="E5485" s="23"/>
      <c r="L5485" s="23"/>
    </row>
    <row r="5486">
      <c r="B5486" s="19"/>
      <c r="E5486" s="23"/>
      <c r="L5486" s="23"/>
    </row>
    <row r="5487">
      <c r="B5487" s="19"/>
      <c r="E5487" s="23"/>
      <c r="L5487" s="23"/>
    </row>
    <row r="5488">
      <c r="B5488" s="19"/>
      <c r="E5488" s="23"/>
      <c r="L5488" s="23"/>
    </row>
    <row r="5489">
      <c r="B5489" s="19"/>
      <c r="E5489" s="23"/>
      <c r="L5489" s="23"/>
    </row>
    <row r="5490">
      <c r="B5490" s="19"/>
      <c r="E5490" s="23"/>
      <c r="L5490" s="23"/>
    </row>
    <row r="5491">
      <c r="B5491" s="19"/>
      <c r="E5491" s="23"/>
      <c r="L5491" s="23"/>
    </row>
    <row r="5492">
      <c r="B5492" s="19"/>
      <c r="E5492" s="23"/>
      <c r="L5492" s="23"/>
    </row>
    <row r="5493">
      <c r="B5493" s="19"/>
      <c r="E5493" s="23"/>
      <c r="L5493" s="23"/>
    </row>
    <row r="5494">
      <c r="B5494" s="19"/>
      <c r="E5494" s="23"/>
      <c r="L5494" s="23"/>
    </row>
    <row r="5495">
      <c r="B5495" s="19"/>
      <c r="E5495" s="23"/>
      <c r="L5495" s="23"/>
    </row>
    <row r="5496">
      <c r="B5496" s="19"/>
      <c r="E5496" s="23"/>
      <c r="L5496" s="23"/>
    </row>
    <row r="5497">
      <c r="B5497" s="19"/>
      <c r="E5497" s="23"/>
      <c r="L5497" s="23"/>
    </row>
    <row r="5498">
      <c r="B5498" s="19"/>
      <c r="E5498" s="23"/>
      <c r="L5498" s="23"/>
    </row>
    <row r="5499">
      <c r="B5499" s="19"/>
      <c r="E5499" s="23"/>
      <c r="L5499" s="23"/>
    </row>
    <row r="5500">
      <c r="B5500" s="19"/>
      <c r="E5500" s="23"/>
      <c r="L5500" s="23"/>
    </row>
    <row r="5501">
      <c r="B5501" s="19"/>
      <c r="E5501" s="23"/>
      <c r="L5501" s="23"/>
    </row>
    <row r="5502">
      <c r="B5502" s="19"/>
      <c r="E5502" s="23"/>
      <c r="L5502" s="23"/>
    </row>
    <row r="5503">
      <c r="B5503" s="19"/>
      <c r="E5503" s="23"/>
      <c r="L5503" s="23"/>
    </row>
    <row r="5504">
      <c r="B5504" s="19"/>
      <c r="E5504" s="23"/>
      <c r="L5504" s="23"/>
    </row>
    <row r="5505">
      <c r="B5505" s="19"/>
      <c r="E5505" s="23"/>
      <c r="L5505" s="23"/>
    </row>
    <row r="5506">
      <c r="B5506" s="19"/>
      <c r="E5506" s="23"/>
      <c r="L5506" s="23"/>
    </row>
    <row r="5507">
      <c r="B5507" s="19"/>
      <c r="E5507" s="23"/>
      <c r="L5507" s="23"/>
    </row>
    <row r="5508">
      <c r="B5508" s="19"/>
      <c r="E5508" s="23"/>
      <c r="L5508" s="23"/>
    </row>
    <row r="5509">
      <c r="B5509" s="19"/>
      <c r="E5509" s="23"/>
      <c r="L5509" s="23"/>
    </row>
    <row r="5510">
      <c r="B5510" s="19"/>
      <c r="E5510" s="23"/>
      <c r="L5510" s="23"/>
    </row>
    <row r="5511">
      <c r="B5511" s="19"/>
      <c r="E5511" s="23"/>
      <c r="L5511" s="23"/>
    </row>
    <row r="5512">
      <c r="B5512" s="19"/>
      <c r="E5512" s="23"/>
      <c r="L5512" s="23"/>
    </row>
    <row r="5513">
      <c r="B5513" s="19"/>
      <c r="E5513" s="23"/>
      <c r="L5513" s="23"/>
    </row>
    <row r="5514">
      <c r="B5514" s="19"/>
      <c r="E5514" s="23"/>
      <c r="L5514" s="23"/>
    </row>
    <row r="5515">
      <c r="B5515" s="19"/>
      <c r="E5515" s="23"/>
      <c r="L5515" s="23"/>
    </row>
    <row r="5516">
      <c r="B5516" s="19"/>
      <c r="E5516" s="23"/>
      <c r="L5516" s="23"/>
    </row>
    <row r="5517">
      <c r="B5517" s="19"/>
      <c r="E5517" s="23"/>
      <c r="L5517" s="23"/>
    </row>
    <row r="5518">
      <c r="B5518" s="19"/>
      <c r="E5518" s="23"/>
      <c r="L5518" s="23"/>
    </row>
    <row r="5519">
      <c r="B5519" s="19"/>
      <c r="E5519" s="23"/>
      <c r="L5519" s="23"/>
    </row>
    <row r="5520">
      <c r="B5520" s="19"/>
      <c r="E5520" s="23"/>
      <c r="L5520" s="23"/>
    </row>
    <row r="5521">
      <c r="B5521" s="19"/>
      <c r="E5521" s="23"/>
      <c r="L5521" s="23"/>
    </row>
    <row r="5522">
      <c r="B5522" s="19"/>
      <c r="E5522" s="23"/>
      <c r="L5522" s="23"/>
    </row>
    <row r="5523">
      <c r="B5523" s="19"/>
      <c r="E5523" s="23"/>
      <c r="L5523" s="23"/>
    </row>
    <row r="5524">
      <c r="B5524" s="19"/>
      <c r="E5524" s="23"/>
      <c r="L5524" s="23"/>
    </row>
    <row r="5525">
      <c r="B5525" s="19"/>
      <c r="E5525" s="23"/>
      <c r="L5525" s="23"/>
    </row>
    <row r="5526">
      <c r="B5526" s="19"/>
      <c r="E5526" s="23"/>
      <c r="L5526" s="23"/>
    </row>
    <row r="5527">
      <c r="B5527" s="19"/>
      <c r="E5527" s="23"/>
      <c r="L5527" s="23"/>
    </row>
    <row r="5528">
      <c r="B5528" s="19"/>
      <c r="E5528" s="23"/>
      <c r="L5528" s="23"/>
    </row>
    <row r="5529">
      <c r="B5529" s="19"/>
      <c r="E5529" s="23"/>
      <c r="L5529" s="23"/>
    </row>
    <row r="5530">
      <c r="B5530" s="19"/>
      <c r="E5530" s="23"/>
      <c r="L5530" s="23"/>
    </row>
    <row r="5531">
      <c r="B5531" s="19"/>
      <c r="E5531" s="23"/>
      <c r="L5531" s="23"/>
    </row>
    <row r="5532">
      <c r="B5532" s="19"/>
      <c r="E5532" s="23"/>
      <c r="L5532" s="23"/>
    </row>
    <row r="5533">
      <c r="B5533" s="19"/>
      <c r="E5533" s="23"/>
      <c r="L5533" s="23"/>
    </row>
    <row r="5534">
      <c r="B5534" s="19"/>
      <c r="E5534" s="23"/>
      <c r="L5534" s="23"/>
    </row>
    <row r="5535">
      <c r="B5535" s="19"/>
      <c r="E5535" s="23"/>
      <c r="L5535" s="23"/>
    </row>
    <row r="5536">
      <c r="B5536" s="19"/>
      <c r="E5536" s="23"/>
      <c r="L5536" s="23"/>
    </row>
    <row r="5537">
      <c r="B5537" s="19"/>
      <c r="E5537" s="23"/>
      <c r="L5537" s="23"/>
    </row>
    <row r="5538">
      <c r="B5538" s="19"/>
      <c r="E5538" s="23"/>
      <c r="L5538" s="23"/>
    </row>
    <row r="5539">
      <c r="B5539" s="19"/>
      <c r="E5539" s="23"/>
      <c r="L5539" s="23"/>
    </row>
    <row r="5540">
      <c r="B5540" s="19"/>
      <c r="E5540" s="23"/>
      <c r="L5540" s="23"/>
    </row>
    <row r="5541">
      <c r="B5541" s="19"/>
      <c r="E5541" s="23"/>
      <c r="L5541" s="23"/>
    </row>
    <row r="5542">
      <c r="B5542" s="19"/>
      <c r="E5542" s="23"/>
      <c r="L5542" s="23"/>
    </row>
    <row r="5543">
      <c r="B5543" s="19"/>
      <c r="E5543" s="23"/>
      <c r="L5543" s="23"/>
    </row>
    <row r="5544">
      <c r="B5544" s="19"/>
      <c r="E5544" s="23"/>
      <c r="L5544" s="23"/>
    </row>
    <row r="5545">
      <c r="B5545" s="19"/>
      <c r="E5545" s="23"/>
      <c r="L5545" s="23"/>
    </row>
    <row r="5546">
      <c r="B5546" s="19"/>
      <c r="E5546" s="23"/>
      <c r="L5546" s="23"/>
    </row>
    <row r="5547">
      <c r="B5547" s="19"/>
      <c r="E5547" s="23"/>
      <c r="L5547" s="23"/>
    </row>
    <row r="5548">
      <c r="B5548" s="19"/>
      <c r="E5548" s="23"/>
      <c r="L5548" s="23"/>
    </row>
    <row r="5549">
      <c r="B5549" s="19"/>
      <c r="E5549" s="23"/>
      <c r="L5549" s="23"/>
    </row>
    <row r="5550">
      <c r="B5550" s="19"/>
      <c r="E5550" s="23"/>
      <c r="L5550" s="23"/>
    </row>
    <row r="5551">
      <c r="B5551" s="19"/>
      <c r="E5551" s="23"/>
      <c r="L5551" s="23"/>
    </row>
    <row r="5552">
      <c r="B5552" s="19"/>
      <c r="E5552" s="23"/>
      <c r="L5552" s="23"/>
    </row>
    <row r="5553">
      <c r="B5553" s="19"/>
      <c r="E5553" s="23"/>
      <c r="L5553" s="23"/>
    </row>
    <row r="5554">
      <c r="B5554" s="19"/>
      <c r="E5554" s="23"/>
      <c r="L5554" s="23"/>
    </row>
    <row r="5555">
      <c r="B5555" s="19"/>
      <c r="E5555" s="23"/>
      <c r="L5555" s="23"/>
    </row>
    <row r="5556">
      <c r="B5556" s="19"/>
      <c r="E5556" s="23"/>
      <c r="L5556" s="23"/>
    </row>
    <row r="5557">
      <c r="B5557" s="19"/>
      <c r="E5557" s="23"/>
      <c r="L5557" s="23"/>
    </row>
    <row r="5558">
      <c r="B5558" s="19"/>
      <c r="E5558" s="23"/>
      <c r="L5558" s="23"/>
    </row>
    <row r="5559">
      <c r="B5559" s="19"/>
      <c r="E5559" s="23"/>
      <c r="L5559" s="23"/>
    </row>
    <row r="5560">
      <c r="B5560" s="19"/>
      <c r="E5560" s="23"/>
      <c r="L5560" s="23"/>
    </row>
    <row r="5561">
      <c r="B5561" s="19"/>
      <c r="E5561" s="23"/>
      <c r="L5561" s="23"/>
    </row>
    <row r="5562">
      <c r="B5562" s="19"/>
      <c r="E5562" s="23"/>
      <c r="L5562" s="23"/>
    </row>
    <row r="5563">
      <c r="B5563" s="19"/>
      <c r="E5563" s="23"/>
      <c r="L5563" s="23"/>
    </row>
    <row r="5564">
      <c r="B5564" s="19"/>
      <c r="E5564" s="23"/>
      <c r="L5564" s="23"/>
    </row>
    <row r="5565">
      <c r="B5565" s="19"/>
      <c r="E5565" s="23"/>
      <c r="L5565" s="23"/>
    </row>
    <row r="5566">
      <c r="B5566" s="19"/>
      <c r="E5566" s="23"/>
      <c r="L5566" s="23"/>
    </row>
    <row r="5567">
      <c r="B5567" s="19"/>
      <c r="E5567" s="23"/>
      <c r="L5567" s="23"/>
    </row>
    <row r="5568">
      <c r="B5568" s="19"/>
      <c r="E5568" s="23"/>
      <c r="L5568" s="23"/>
    </row>
    <row r="5569">
      <c r="B5569" s="19"/>
      <c r="E5569" s="23"/>
      <c r="L5569" s="23"/>
    </row>
    <row r="5570">
      <c r="B5570" s="19"/>
      <c r="E5570" s="23"/>
      <c r="L5570" s="23"/>
    </row>
    <row r="5571">
      <c r="B5571" s="19"/>
      <c r="E5571" s="23"/>
      <c r="L5571" s="23"/>
    </row>
    <row r="5572">
      <c r="B5572" s="19"/>
      <c r="E5572" s="23"/>
      <c r="L5572" s="23"/>
    </row>
    <row r="5573">
      <c r="B5573" s="19"/>
      <c r="E5573" s="23"/>
      <c r="L5573" s="23"/>
    </row>
    <row r="5574">
      <c r="B5574" s="19"/>
      <c r="E5574" s="23"/>
      <c r="L5574" s="23"/>
    </row>
    <row r="5575">
      <c r="B5575" s="19"/>
      <c r="E5575" s="23"/>
      <c r="L5575" s="23"/>
    </row>
    <row r="5576">
      <c r="B5576" s="19"/>
      <c r="E5576" s="23"/>
      <c r="L5576" s="23"/>
    </row>
    <row r="5577">
      <c r="B5577" s="19"/>
      <c r="E5577" s="23"/>
      <c r="L5577" s="23"/>
    </row>
    <row r="5578">
      <c r="B5578" s="19"/>
      <c r="E5578" s="23"/>
      <c r="L5578" s="23"/>
    </row>
    <row r="5579">
      <c r="B5579" s="19"/>
      <c r="E5579" s="23"/>
      <c r="L5579" s="23"/>
    </row>
    <row r="5580">
      <c r="B5580" s="19"/>
      <c r="E5580" s="23"/>
      <c r="L5580" s="23"/>
    </row>
    <row r="5581">
      <c r="B5581" s="19"/>
      <c r="E5581" s="23"/>
      <c r="L5581" s="23"/>
    </row>
    <row r="5582">
      <c r="B5582" s="19"/>
      <c r="E5582" s="23"/>
      <c r="L5582" s="23"/>
    </row>
    <row r="5583">
      <c r="B5583" s="19"/>
      <c r="E5583" s="23"/>
      <c r="L5583" s="23"/>
    </row>
    <row r="5584">
      <c r="B5584" s="19"/>
      <c r="E5584" s="23"/>
      <c r="L5584" s="23"/>
    </row>
    <row r="5585">
      <c r="B5585" s="19"/>
      <c r="E5585" s="23"/>
      <c r="L5585" s="23"/>
    </row>
    <row r="5586">
      <c r="B5586" s="19"/>
      <c r="E5586" s="23"/>
      <c r="L5586" s="23"/>
    </row>
    <row r="5587">
      <c r="B5587" s="19"/>
      <c r="E5587" s="23"/>
      <c r="L5587" s="23"/>
    </row>
    <row r="5588">
      <c r="B5588" s="19"/>
      <c r="E5588" s="23"/>
      <c r="L5588" s="23"/>
    </row>
    <row r="5589">
      <c r="B5589" s="19"/>
      <c r="E5589" s="23"/>
      <c r="L5589" s="23"/>
    </row>
    <row r="5590">
      <c r="B5590" s="19"/>
      <c r="E5590" s="23"/>
      <c r="L5590" s="23"/>
    </row>
    <row r="5591">
      <c r="B5591" s="19"/>
      <c r="E5591" s="23"/>
      <c r="L5591" s="23"/>
    </row>
    <row r="5592">
      <c r="B5592" s="19"/>
      <c r="E5592" s="23"/>
      <c r="L5592" s="23"/>
    </row>
    <row r="5593">
      <c r="B5593" s="19"/>
      <c r="E5593" s="23"/>
      <c r="L5593" s="23"/>
    </row>
    <row r="5594">
      <c r="B5594" s="19"/>
      <c r="E5594" s="23"/>
      <c r="L5594" s="23"/>
    </row>
    <row r="5595">
      <c r="B5595" s="19"/>
      <c r="E5595" s="23"/>
      <c r="L5595" s="23"/>
    </row>
    <row r="5596">
      <c r="B5596" s="19"/>
      <c r="E5596" s="23"/>
      <c r="L5596" s="23"/>
    </row>
    <row r="5597">
      <c r="B5597" s="19"/>
      <c r="E5597" s="23"/>
      <c r="L5597" s="23"/>
    </row>
    <row r="5598">
      <c r="B5598" s="19"/>
      <c r="E5598" s="23"/>
      <c r="L5598" s="23"/>
    </row>
    <row r="5599">
      <c r="B5599" s="19"/>
      <c r="E5599" s="23"/>
      <c r="L5599" s="23"/>
    </row>
    <row r="5600">
      <c r="B5600" s="19"/>
      <c r="E5600" s="23"/>
      <c r="L5600" s="23"/>
    </row>
    <row r="5601">
      <c r="B5601" s="19"/>
      <c r="E5601" s="23"/>
      <c r="L5601" s="23"/>
    </row>
    <row r="5602">
      <c r="B5602" s="19"/>
      <c r="E5602" s="23"/>
      <c r="L5602" s="23"/>
    </row>
    <row r="5603">
      <c r="B5603" s="19"/>
      <c r="E5603" s="23"/>
      <c r="L5603" s="23"/>
    </row>
    <row r="5604">
      <c r="B5604" s="19"/>
      <c r="E5604" s="23"/>
      <c r="L5604" s="23"/>
    </row>
    <row r="5605">
      <c r="B5605" s="19"/>
      <c r="E5605" s="23"/>
      <c r="L5605" s="23"/>
    </row>
    <row r="5606">
      <c r="B5606" s="19"/>
      <c r="E5606" s="23"/>
      <c r="L5606" s="23"/>
    </row>
    <row r="5607">
      <c r="B5607" s="19"/>
      <c r="E5607" s="23"/>
      <c r="L5607" s="23"/>
    </row>
    <row r="5608">
      <c r="B5608" s="19"/>
      <c r="E5608" s="23"/>
      <c r="L5608" s="23"/>
    </row>
    <row r="5609">
      <c r="B5609" s="19"/>
      <c r="E5609" s="23"/>
      <c r="L5609" s="23"/>
    </row>
    <row r="5610">
      <c r="B5610" s="19"/>
      <c r="E5610" s="23"/>
      <c r="L5610" s="23"/>
    </row>
    <row r="5611">
      <c r="B5611" s="19"/>
      <c r="E5611" s="23"/>
      <c r="L5611" s="23"/>
    </row>
    <row r="5612">
      <c r="B5612" s="19"/>
      <c r="E5612" s="23"/>
      <c r="L5612" s="23"/>
    </row>
    <row r="5613">
      <c r="B5613" s="19"/>
      <c r="E5613" s="23"/>
      <c r="L5613" s="23"/>
    </row>
    <row r="5614">
      <c r="B5614" s="19"/>
      <c r="E5614" s="23"/>
      <c r="L5614" s="23"/>
    </row>
    <row r="5615">
      <c r="B5615" s="19"/>
      <c r="E5615" s="23"/>
      <c r="L5615" s="23"/>
    </row>
    <row r="5616">
      <c r="B5616" s="19"/>
      <c r="E5616" s="23"/>
      <c r="L5616" s="23"/>
    </row>
    <row r="5617">
      <c r="B5617" s="19"/>
      <c r="E5617" s="23"/>
      <c r="L5617" s="23"/>
    </row>
    <row r="5618">
      <c r="B5618" s="19"/>
      <c r="E5618" s="23"/>
      <c r="L5618" s="23"/>
    </row>
    <row r="5619">
      <c r="B5619" s="19"/>
      <c r="E5619" s="23"/>
      <c r="L5619" s="23"/>
    </row>
    <row r="5620">
      <c r="B5620" s="19"/>
      <c r="E5620" s="23"/>
      <c r="L5620" s="23"/>
    </row>
    <row r="5621">
      <c r="B5621" s="19"/>
      <c r="E5621" s="23"/>
      <c r="L5621" s="23"/>
    </row>
    <row r="5622">
      <c r="B5622" s="19"/>
      <c r="E5622" s="23"/>
      <c r="L5622" s="23"/>
    </row>
    <row r="5623">
      <c r="B5623" s="19"/>
      <c r="E5623" s="23"/>
      <c r="L5623" s="23"/>
    </row>
    <row r="5624">
      <c r="B5624" s="19"/>
      <c r="E5624" s="23"/>
      <c r="L5624" s="23"/>
    </row>
    <row r="5625">
      <c r="B5625" s="19"/>
      <c r="E5625" s="23"/>
      <c r="L5625" s="23"/>
    </row>
    <row r="5626">
      <c r="B5626" s="19"/>
      <c r="E5626" s="23"/>
      <c r="L5626" s="23"/>
    </row>
    <row r="5627">
      <c r="B5627" s="19"/>
      <c r="E5627" s="23"/>
      <c r="L5627" s="23"/>
    </row>
    <row r="5628">
      <c r="B5628" s="19"/>
      <c r="E5628" s="23"/>
      <c r="L5628" s="23"/>
    </row>
    <row r="5629">
      <c r="B5629" s="19"/>
      <c r="E5629" s="23"/>
      <c r="L5629" s="23"/>
    </row>
    <row r="5630">
      <c r="B5630" s="19"/>
      <c r="E5630" s="23"/>
      <c r="L5630" s="23"/>
    </row>
    <row r="5631">
      <c r="B5631" s="19"/>
      <c r="E5631" s="23"/>
      <c r="L5631" s="23"/>
    </row>
    <row r="5632">
      <c r="B5632" s="19"/>
      <c r="E5632" s="23"/>
      <c r="L5632" s="23"/>
    </row>
    <row r="5633">
      <c r="B5633" s="19"/>
      <c r="E5633" s="23"/>
      <c r="L5633" s="23"/>
    </row>
    <row r="5634">
      <c r="B5634" s="19"/>
      <c r="E5634" s="23"/>
      <c r="L5634" s="23"/>
    </row>
    <row r="5635">
      <c r="B5635" s="19"/>
      <c r="E5635" s="23"/>
      <c r="L5635" s="23"/>
    </row>
    <row r="5636">
      <c r="B5636" s="19"/>
      <c r="E5636" s="23"/>
      <c r="L5636" s="23"/>
    </row>
    <row r="5637">
      <c r="B5637" s="19"/>
      <c r="E5637" s="23"/>
      <c r="L5637" s="23"/>
    </row>
    <row r="5638">
      <c r="B5638" s="19"/>
      <c r="E5638" s="23"/>
      <c r="L5638" s="23"/>
    </row>
    <row r="5639">
      <c r="B5639" s="19"/>
      <c r="E5639" s="23"/>
      <c r="L5639" s="23"/>
    </row>
    <row r="5640">
      <c r="B5640" s="19"/>
      <c r="E5640" s="23"/>
      <c r="L5640" s="23"/>
    </row>
    <row r="5641">
      <c r="B5641" s="19"/>
      <c r="E5641" s="23"/>
      <c r="L5641" s="23"/>
    </row>
    <row r="5642">
      <c r="B5642" s="19"/>
      <c r="E5642" s="23"/>
      <c r="L5642" s="23"/>
    </row>
    <row r="5643">
      <c r="B5643" s="19"/>
      <c r="E5643" s="23"/>
      <c r="L5643" s="23"/>
    </row>
    <row r="5644">
      <c r="B5644" s="19"/>
      <c r="E5644" s="23"/>
      <c r="L5644" s="23"/>
    </row>
    <row r="5645">
      <c r="B5645" s="19"/>
      <c r="E5645" s="23"/>
      <c r="L5645" s="23"/>
    </row>
    <row r="5646">
      <c r="B5646" s="19"/>
      <c r="E5646" s="23"/>
      <c r="L5646" s="23"/>
    </row>
    <row r="5647">
      <c r="B5647" s="19"/>
      <c r="E5647" s="23"/>
      <c r="L5647" s="23"/>
    </row>
    <row r="5648">
      <c r="B5648" s="19"/>
      <c r="E5648" s="23"/>
      <c r="L5648" s="23"/>
    </row>
    <row r="5649">
      <c r="B5649" s="19"/>
      <c r="E5649" s="23"/>
      <c r="L5649" s="23"/>
    </row>
    <row r="5650">
      <c r="B5650" s="19"/>
      <c r="E5650" s="23"/>
      <c r="L5650" s="23"/>
    </row>
    <row r="5651">
      <c r="B5651" s="19"/>
      <c r="E5651" s="23"/>
      <c r="L5651" s="23"/>
    </row>
    <row r="5652">
      <c r="B5652" s="19"/>
      <c r="E5652" s="23"/>
      <c r="L5652" s="23"/>
    </row>
    <row r="5653">
      <c r="B5653" s="19"/>
      <c r="E5653" s="23"/>
      <c r="L5653" s="23"/>
    </row>
    <row r="5654">
      <c r="B5654" s="19"/>
      <c r="E5654" s="23"/>
      <c r="L5654" s="23"/>
    </row>
    <row r="5655">
      <c r="B5655" s="19"/>
      <c r="E5655" s="23"/>
      <c r="L5655" s="23"/>
    </row>
    <row r="5656">
      <c r="B5656" s="19"/>
      <c r="E5656" s="23"/>
      <c r="L5656" s="23"/>
    </row>
    <row r="5657">
      <c r="B5657" s="19"/>
      <c r="E5657" s="23"/>
      <c r="L5657" s="23"/>
    </row>
    <row r="5658">
      <c r="B5658" s="19"/>
      <c r="E5658" s="23"/>
      <c r="L5658" s="23"/>
    </row>
    <row r="5659">
      <c r="B5659" s="19"/>
      <c r="E5659" s="23"/>
      <c r="L5659" s="23"/>
    </row>
    <row r="5660">
      <c r="B5660" s="19"/>
      <c r="E5660" s="23"/>
      <c r="L5660" s="23"/>
    </row>
    <row r="5661">
      <c r="B5661" s="19"/>
      <c r="E5661" s="23"/>
      <c r="L5661" s="23"/>
    </row>
    <row r="5662">
      <c r="B5662" s="19"/>
      <c r="E5662" s="23"/>
      <c r="L5662" s="23"/>
    </row>
    <row r="5663">
      <c r="B5663" s="19"/>
      <c r="E5663" s="23"/>
      <c r="L5663" s="23"/>
    </row>
    <row r="5664">
      <c r="B5664" s="19"/>
      <c r="E5664" s="23"/>
      <c r="L5664" s="23"/>
    </row>
    <row r="5665">
      <c r="B5665" s="19"/>
      <c r="E5665" s="23"/>
      <c r="L5665" s="23"/>
    </row>
    <row r="5666">
      <c r="B5666" s="19"/>
      <c r="E5666" s="23"/>
      <c r="L5666" s="23"/>
    </row>
    <row r="5667">
      <c r="B5667" s="19"/>
      <c r="E5667" s="23"/>
      <c r="L5667" s="23"/>
    </row>
    <row r="5668">
      <c r="B5668" s="19"/>
      <c r="E5668" s="23"/>
      <c r="L5668" s="23"/>
    </row>
    <row r="5669">
      <c r="B5669" s="19"/>
      <c r="E5669" s="23"/>
      <c r="L5669" s="23"/>
    </row>
    <row r="5670">
      <c r="B5670" s="19"/>
      <c r="E5670" s="23"/>
      <c r="L5670" s="23"/>
    </row>
    <row r="5671">
      <c r="B5671" s="19"/>
      <c r="E5671" s="23"/>
      <c r="L5671" s="23"/>
    </row>
    <row r="5672">
      <c r="B5672" s="19"/>
      <c r="E5672" s="23"/>
      <c r="L5672" s="23"/>
    </row>
    <row r="5673">
      <c r="B5673" s="19"/>
      <c r="E5673" s="23"/>
      <c r="L5673" s="23"/>
    </row>
    <row r="5674">
      <c r="B5674" s="19"/>
      <c r="E5674" s="23"/>
      <c r="L5674" s="23"/>
    </row>
    <row r="5675">
      <c r="B5675" s="19"/>
      <c r="E5675" s="23"/>
      <c r="L5675" s="23"/>
    </row>
    <row r="5676">
      <c r="B5676" s="19"/>
      <c r="E5676" s="23"/>
      <c r="L5676" s="23"/>
    </row>
    <row r="5677">
      <c r="B5677" s="19"/>
      <c r="E5677" s="23"/>
      <c r="L5677" s="23"/>
    </row>
    <row r="5678">
      <c r="B5678" s="19"/>
      <c r="E5678" s="23"/>
      <c r="L5678" s="23"/>
    </row>
    <row r="5679">
      <c r="B5679" s="19"/>
      <c r="E5679" s="23"/>
      <c r="L5679" s="23"/>
    </row>
    <row r="5680">
      <c r="B5680" s="19"/>
      <c r="E5680" s="23"/>
      <c r="L5680" s="23"/>
    </row>
    <row r="5681">
      <c r="B5681" s="19"/>
      <c r="E5681" s="23"/>
      <c r="L5681" s="23"/>
    </row>
    <row r="5682">
      <c r="B5682" s="19"/>
      <c r="E5682" s="23"/>
      <c r="L5682" s="23"/>
    </row>
    <row r="5683">
      <c r="B5683" s="19"/>
      <c r="E5683" s="23"/>
      <c r="L5683" s="23"/>
    </row>
    <row r="5684">
      <c r="B5684" s="19"/>
      <c r="E5684" s="23"/>
      <c r="L5684" s="23"/>
    </row>
    <row r="5685">
      <c r="B5685" s="19"/>
      <c r="E5685" s="23"/>
      <c r="L5685" s="23"/>
    </row>
    <row r="5686">
      <c r="B5686" s="19"/>
      <c r="E5686" s="23"/>
      <c r="L5686" s="23"/>
    </row>
    <row r="5687">
      <c r="B5687" s="19"/>
      <c r="E5687" s="23"/>
      <c r="L5687" s="23"/>
    </row>
    <row r="5688">
      <c r="B5688" s="19"/>
      <c r="E5688" s="23"/>
      <c r="L5688" s="23"/>
    </row>
    <row r="5689">
      <c r="B5689" s="19"/>
      <c r="E5689" s="23"/>
      <c r="L5689" s="23"/>
    </row>
    <row r="5690">
      <c r="B5690" s="19"/>
      <c r="E5690" s="23"/>
      <c r="L5690" s="23"/>
    </row>
    <row r="5691">
      <c r="B5691" s="19"/>
      <c r="E5691" s="23"/>
      <c r="L5691" s="23"/>
    </row>
    <row r="5692">
      <c r="B5692" s="19"/>
      <c r="E5692" s="23"/>
      <c r="L5692" s="23"/>
    </row>
    <row r="5693">
      <c r="B5693" s="19"/>
      <c r="E5693" s="23"/>
      <c r="L5693" s="23"/>
    </row>
    <row r="5694">
      <c r="B5694" s="19"/>
      <c r="E5694" s="23"/>
      <c r="L5694" s="23"/>
    </row>
    <row r="5695">
      <c r="B5695" s="19"/>
      <c r="E5695" s="23"/>
      <c r="L5695" s="23"/>
    </row>
    <row r="5696">
      <c r="B5696" s="19"/>
      <c r="E5696" s="23"/>
      <c r="L5696" s="23"/>
    </row>
    <row r="5697">
      <c r="B5697" s="19"/>
      <c r="E5697" s="23"/>
      <c r="L5697" s="23"/>
    </row>
    <row r="5698">
      <c r="B5698" s="19"/>
      <c r="E5698" s="23"/>
      <c r="L5698" s="23"/>
    </row>
    <row r="5699">
      <c r="B5699" s="19"/>
      <c r="E5699" s="23"/>
      <c r="L5699" s="23"/>
    </row>
    <row r="5700">
      <c r="B5700" s="19"/>
      <c r="E5700" s="23"/>
      <c r="L5700" s="23"/>
    </row>
    <row r="5701">
      <c r="B5701" s="19"/>
      <c r="E5701" s="23"/>
      <c r="L5701" s="23"/>
    </row>
    <row r="5702">
      <c r="B5702" s="19"/>
      <c r="E5702" s="23"/>
      <c r="L5702" s="23"/>
    </row>
    <row r="5703">
      <c r="B5703" s="19"/>
      <c r="E5703" s="23"/>
      <c r="L5703" s="23"/>
    </row>
    <row r="5704">
      <c r="B5704" s="19"/>
      <c r="E5704" s="23"/>
      <c r="L5704" s="23"/>
    </row>
    <row r="5705">
      <c r="B5705" s="19"/>
      <c r="E5705" s="23"/>
      <c r="L5705" s="23"/>
    </row>
    <row r="5706">
      <c r="B5706" s="19"/>
      <c r="E5706" s="23"/>
      <c r="L5706" s="23"/>
    </row>
    <row r="5707">
      <c r="B5707" s="19"/>
      <c r="E5707" s="23"/>
      <c r="L5707" s="23"/>
    </row>
    <row r="5708">
      <c r="B5708" s="19"/>
      <c r="E5708" s="23"/>
      <c r="L5708" s="23"/>
    </row>
    <row r="5709">
      <c r="B5709" s="19"/>
      <c r="E5709" s="23"/>
      <c r="L5709" s="23"/>
    </row>
    <row r="5710">
      <c r="B5710" s="19"/>
      <c r="E5710" s="23"/>
      <c r="L5710" s="23"/>
    </row>
    <row r="5711">
      <c r="B5711" s="19"/>
      <c r="E5711" s="23"/>
      <c r="L5711" s="23"/>
    </row>
    <row r="5712">
      <c r="B5712" s="19"/>
      <c r="E5712" s="23"/>
      <c r="L5712" s="23"/>
    </row>
    <row r="5713">
      <c r="B5713" s="19"/>
      <c r="E5713" s="23"/>
      <c r="L5713" s="23"/>
    </row>
    <row r="5714">
      <c r="B5714" s="19"/>
      <c r="E5714" s="23"/>
      <c r="L5714" s="23"/>
    </row>
    <row r="5715">
      <c r="B5715" s="19"/>
      <c r="E5715" s="23"/>
      <c r="L5715" s="23"/>
    </row>
    <row r="5716">
      <c r="B5716" s="19"/>
      <c r="E5716" s="23"/>
      <c r="L5716" s="23"/>
    </row>
    <row r="5717">
      <c r="B5717" s="19"/>
      <c r="E5717" s="23"/>
      <c r="L5717" s="23"/>
    </row>
    <row r="5718">
      <c r="B5718" s="19"/>
      <c r="E5718" s="23"/>
      <c r="L5718" s="23"/>
    </row>
    <row r="5719">
      <c r="B5719" s="19"/>
      <c r="E5719" s="23"/>
      <c r="L5719" s="23"/>
    </row>
    <row r="5720">
      <c r="B5720" s="19"/>
      <c r="E5720" s="23"/>
      <c r="L5720" s="23"/>
    </row>
    <row r="5721">
      <c r="B5721" s="19"/>
      <c r="E5721" s="23"/>
      <c r="L5721" s="23"/>
    </row>
    <row r="5722">
      <c r="B5722" s="19"/>
      <c r="E5722" s="23"/>
      <c r="L5722" s="23"/>
    </row>
    <row r="5723">
      <c r="B5723" s="19"/>
      <c r="E5723" s="23"/>
      <c r="L5723" s="23"/>
    </row>
    <row r="5724">
      <c r="B5724" s="19"/>
      <c r="E5724" s="23"/>
      <c r="L5724" s="23"/>
    </row>
    <row r="5725">
      <c r="B5725" s="19"/>
      <c r="E5725" s="23"/>
      <c r="L5725" s="23"/>
    </row>
    <row r="5726">
      <c r="B5726" s="19"/>
      <c r="E5726" s="23"/>
      <c r="L5726" s="23"/>
    </row>
    <row r="5727">
      <c r="B5727" s="19"/>
      <c r="E5727" s="23"/>
      <c r="L5727" s="23"/>
    </row>
    <row r="5728">
      <c r="B5728" s="19"/>
      <c r="E5728" s="23"/>
      <c r="L5728" s="23"/>
    </row>
    <row r="5729">
      <c r="B5729" s="19"/>
      <c r="E5729" s="23"/>
      <c r="L5729" s="23"/>
    </row>
    <row r="5730">
      <c r="B5730" s="19"/>
      <c r="E5730" s="23"/>
      <c r="L5730" s="23"/>
    </row>
    <row r="5731">
      <c r="B5731" s="19"/>
      <c r="E5731" s="23"/>
      <c r="L5731" s="23"/>
    </row>
    <row r="5732">
      <c r="B5732" s="19"/>
      <c r="E5732" s="23"/>
      <c r="L5732" s="23"/>
    </row>
    <row r="5733">
      <c r="B5733" s="19"/>
      <c r="E5733" s="23"/>
      <c r="L5733" s="23"/>
    </row>
    <row r="5734">
      <c r="B5734" s="19"/>
      <c r="E5734" s="23"/>
      <c r="L5734" s="23"/>
    </row>
    <row r="5735">
      <c r="B5735" s="19"/>
      <c r="E5735" s="23"/>
      <c r="L5735" s="23"/>
    </row>
    <row r="5736">
      <c r="B5736" s="19"/>
      <c r="E5736" s="23"/>
      <c r="L5736" s="23"/>
    </row>
    <row r="5737">
      <c r="B5737" s="19"/>
      <c r="E5737" s="23"/>
      <c r="L5737" s="23"/>
    </row>
    <row r="5738">
      <c r="B5738" s="19"/>
      <c r="E5738" s="23"/>
      <c r="L5738" s="23"/>
    </row>
    <row r="5739">
      <c r="B5739" s="19"/>
      <c r="E5739" s="23"/>
      <c r="L5739" s="23"/>
    </row>
    <row r="5740">
      <c r="B5740" s="19"/>
      <c r="E5740" s="23"/>
      <c r="L5740" s="23"/>
    </row>
    <row r="5741">
      <c r="B5741" s="19"/>
      <c r="E5741" s="23"/>
      <c r="L5741" s="23"/>
    </row>
    <row r="5742">
      <c r="B5742" s="19"/>
      <c r="E5742" s="23"/>
      <c r="L5742" s="23"/>
    </row>
    <row r="5743">
      <c r="B5743" s="19"/>
      <c r="E5743" s="23"/>
      <c r="L5743" s="23"/>
    </row>
    <row r="5744">
      <c r="B5744" s="19"/>
      <c r="E5744" s="23"/>
      <c r="L5744" s="23"/>
    </row>
    <row r="5745">
      <c r="B5745" s="19"/>
      <c r="E5745" s="23"/>
      <c r="L5745" s="23"/>
    </row>
    <row r="5746">
      <c r="B5746" s="19"/>
      <c r="E5746" s="23"/>
      <c r="L5746" s="23"/>
    </row>
    <row r="5747">
      <c r="B5747" s="19"/>
      <c r="E5747" s="23"/>
      <c r="L5747" s="23"/>
    </row>
    <row r="5748">
      <c r="B5748" s="19"/>
      <c r="E5748" s="23"/>
      <c r="L5748" s="23"/>
    </row>
    <row r="5749">
      <c r="B5749" s="19"/>
      <c r="E5749" s="23"/>
      <c r="L5749" s="23"/>
    </row>
    <row r="5750">
      <c r="B5750" s="19"/>
      <c r="E5750" s="23"/>
      <c r="L5750" s="23"/>
    </row>
    <row r="5751">
      <c r="B5751" s="19"/>
      <c r="E5751" s="23"/>
      <c r="L5751" s="23"/>
    </row>
    <row r="5752">
      <c r="B5752" s="19"/>
      <c r="E5752" s="23"/>
      <c r="L5752" s="23"/>
    </row>
    <row r="5753">
      <c r="B5753" s="19"/>
      <c r="E5753" s="23"/>
      <c r="L5753" s="23"/>
    </row>
    <row r="5754">
      <c r="B5754" s="19"/>
      <c r="E5754" s="23"/>
      <c r="L5754" s="23"/>
    </row>
    <row r="5755">
      <c r="B5755" s="19"/>
      <c r="E5755" s="23"/>
      <c r="L5755" s="23"/>
    </row>
    <row r="5756">
      <c r="B5756" s="19"/>
      <c r="E5756" s="23"/>
      <c r="L5756" s="23"/>
    </row>
    <row r="5757">
      <c r="B5757" s="19"/>
      <c r="E5757" s="23"/>
      <c r="L5757" s="23"/>
    </row>
    <row r="5758">
      <c r="B5758" s="19"/>
      <c r="E5758" s="23"/>
      <c r="L5758" s="23"/>
    </row>
    <row r="5759">
      <c r="B5759" s="19"/>
      <c r="E5759" s="23"/>
      <c r="L5759" s="23"/>
    </row>
    <row r="5760">
      <c r="B5760" s="19"/>
      <c r="E5760" s="23"/>
      <c r="L5760" s="23"/>
    </row>
    <row r="5761">
      <c r="B5761" s="19"/>
      <c r="E5761" s="23"/>
      <c r="L5761" s="23"/>
    </row>
    <row r="5762">
      <c r="B5762" s="19"/>
      <c r="E5762" s="23"/>
      <c r="L5762" s="23"/>
    </row>
    <row r="5763">
      <c r="B5763" s="19"/>
      <c r="E5763" s="23"/>
      <c r="L5763" s="23"/>
    </row>
    <row r="5764">
      <c r="B5764" s="19"/>
      <c r="E5764" s="23"/>
      <c r="L5764" s="23"/>
    </row>
    <row r="5765">
      <c r="B5765" s="19"/>
      <c r="E5765" s="23"/>
      <c r="L5765" s="23"/>
    </row>
    <row r="5766">
      <c r="B5766" s="19"/>
      <c r="E5766" s="23"/>
      <c r="L5766" s="23"/>
    </row>
    <row r="5767">
      <c r="B5767" s="19"/>
      <c r="E5767" s="23"/>
      <c r="L5767" s="23"/>
    </row>
    <row r="5768">
      <c r="B5768" s="19"/>
      <c r="E5768" s="23"/>
      <c r="L5768" s="23"/>
    </row>
    <row r="5769">
      <c r="B5769" s="19"/>
      <c r="E5769" s="23"/>
      <c r="L5769" s="23"/>
    </row>
    <row r="5770">
      <c r="B5770" s="19"/>
      <c r="E5770" s="23"/>
      <c r="L5770" s="23"/>
    </row>
    <row r="5771">
      <c r="B5771" s="19"/>
      <c r="E5771" s="23"/>
      <c r="L5771" s="23"/>
    </row>
    <row r="5772">
      <c r="B5772" s="19"/>
      <c r="E5772" s="23"/>
      <c r="L5772" s="23"/>
    </row>
    <row r="5773">
      <c r="B5773" s="19"/>
      <c r="E5773" s="23"/>
      <c r="L5773" s="23"/>
    </row>
    <row r="5774">
      <c r="B5774" s="19"/>
      <c r="E5774" s="23"/>
      <c r="L5774" s="23"/>
    </row>
    <row r="5775">
      <c r="B5775" s="19"/>
      <c r="E5775" s="23"/>
      <c r="L5775" s="23"/>
    </row>
    <row r="5776">
      <c r="B5776" s="19"/>
      <c r="E5776" s="23"/>
      <c r="L5776" s="23"/>
    </row>
    <row r="5777">
      <c r="B5777" s="19"/>
      <c r="E5777" s="23"/>
      <c r="L5777" s="23"/>
    </row>
    <row r="5778">
      <c r="B5778" s="19"/>
      <c r="E5778" s="23"/>
      <c r="L5778" s="23"/>
    </row>
    <row r="5779">
      <c r="B5779" s="19"/>
      <c r="E5779" s="23"/>
      <c r="L5779" s="23"/>
    </row>
    <row r="5780">
      <c r="B5780" s="19"/>
      <c r="E5780" s="23"/>
      <c r="L5780" s="23"/>
    </row>
    <row r="5781">
      <c r="B5781" s="19"/>
      <c r="E5781" s="23"/>
      <c r="L5781" s="23"/>
    </row>
    <row r="5782">
      <c r="B5782" s="19"/>
      <c r="E5782" s="23"/>
      <c r="L5782" s="23"/>
    </row>
    <row r="5783">
      <c r="B5783" s="19"/>
      <c r="E5783" s="23"/>
      <c r="L5783" s="23"/>
    </row>
    <row r="5784">
      <c r="B5784" s="19"/>
      <c r="E5784" s="23"/>
      <c r="L5784" s="23"/>
    </row>
    <row r="5785">
      <c r="B5785" s="19"/>
      <c r="E5785" s="23"/>
      <c r="L5785" s="23"/>
    </row>
    <row r="5786">
      <c r="B5786" s="19"/>
      <c r="E5786" s="23"/>
      <c r="L5786" s="23"/>
    </row>
    <row r="5787">
      <c r="B5787" s="19"/>
      <c r="E5787" s="23"/>
      <c r="L5787" s="23"/>
    </row>
    <row r="5788">
      <c r="B5788" s="19"/>
      <c r="E5788" s="23"/>
      <c r="L5788" s="23"/>
    </row>
    <row r="5789">
      <c r="B5789" s="19"/>
      <c r="E5789" s="23"/>
      <c r="L5789" s="23"/>
    </row>
    <row r="5790">
      <c r="B5790" s="19"/>
      <c r="E5790" s="23"/>
      <c r="L5790" s="23"/>
    </row>
    <row r="5791">
      <c r="B5791" s="19"/>
      <c r="E5791" s="23"/>
      <c r="L5791" s="23"/>
    </row>
    <row r="5792">
      <c r="B5792" s="19"/>
      <c r="E5792" s="23"/>
      <c r="L5792" s="23"/>
    </row>
    <row r="5793">
      <c r="B5793" s="19"/>
      <c r="E5793" s="23"/>
      <c r="L5793" s="23"/>
    </row>
    <row r="5794">
      <c r="B5794" s="19"/>
      <c r="E5794" s="23"/>
      <c r="L5794" s="23"/>
    </row>
    <row r="5795">
      <c r="B5795" s="19"/>
      <c r="E5795" s="23"/>
      <c r="L5795" s="23"/>
    </row>
    <row r="5796">
      <c r="B5796" s="19"/>
      <c r="E5796" s="23"/>
      <c r="L5796" s="23"/>
    </row>
    <row r="5797">
      <c r="B5797" s="19"/>
      <c r="E5797" s="23"/>
      <c r="L5797" s="23"/>
    </row>
    <row r="5798">
      <c r="B5798" s="19"/>
      <c r="E5798" s="23"/>
      <c r="L5798" s="23"/>
    </row>
    <row r="5799">
      <c r="B5799" s="19"/>
      <c r="E5799" s="23"/>
      <c r="L5799" s="23"/>
    </row>
    <row r="5800">
      <c r="B5800" s="19"/>
      <c r="E5800" s="23"/>
      <c r="L5800" s="23"/>
    </row>
    <row r="5801">
      <c r="B5801" s="19"/>
      <c r="E5801" s="23"/>
      <c r="L5801" s="23"/>
    </row>
    <row r="5802">
      <c r="B5802" s="19"/>
      <c r="E5802" s="23"/>
      <c r="L5802" s="23"/>
    </row>
    <row r="5803">
      <c r="B5803" s="19"/>
      <c r="E5803" s="23"/>
      <c r="L5803" s="23"/>
    </row>
    <row r="5804">
      <c r="B5804" s="19"/>
      <c r="E5804" s="23"/>
      <c r="L5804" s="23"/>
    </row>
    <row r="5805">
      <c r="B5805" s="19"/>
      <c r="E5805" s="23"/>
      <c r="L5805" s="23"/>
    </row>
    <row r="5806">
      <c r="B5806" s="19"/>
      <c r="E5806" s="23"/>
      <c r="L5806" s="23"/>
    </row>
    <row r="5807">
      <c r="B5807" s="19"/>
      <c r="E5807" s="23"/>
      <c r="L5807" s="23"/>
    </row>
    <row r="5808">
      <c r="B5808" s="19"/>
      <c r="E5808" s="23"/>
      <c r="L5808" s="23"/>
    </row>
    <row r="5809">
      <c r="B5809" s="19"/>
      <c r="E5809" s="23"/>
      <c r="L5809" s="23"/>
    </row>
    <row r="5810">
      <c r="B5810" s="19"/>
      <c r="E5810" s="23"/>
      <c r="L5810" s="23"/>
    </row>
    <row r="5811">
      <c r="B5811" s="19"/>
      <c r="E5811" s="23"/>
      <c r="L5811" s="23"/>
    </row>
    <row r="5812">
      <c r="B5812" s="19"/>
      <c r="E5812" s="23"/>
      <c r="L5812" s="23"/>
    </row>
    <row r="5813">
      <c r="B5813" s="19"/>
      <c r="E5813" s="23"/>
      <c r="L5813" s="23"/>
    </row>
    <row r="5814">
      <c r="B5814" s="19"/>
      <c r="E5814" s="23"/>
      <c r="L5814" s="23"/>
    </row>
    <row r="5815">
      <c r="B5815" s="19"/>
      <c r="E5815" s="23"/>
      <c r="L5815" s="23"/>
    </row>
    <row r="5816">
      <c r="B5816" s="19"/>
      <c r="E5816" s="23"/>
      <c r="L5816" s="23"/>
    </row>
    <row r="5817">
      <c r="B5817" s="19"/>
      <c r="E5817" s="23"/>
      <c r="L5817" s="23"/>
    </row>
    <row r="5818">
      <c r="B5818" s="19"/>
      <c r="E5818" s="23"/>
      <c r="L5818" s="23"/>
    </row>
    <row r="5819">
      <c r="B5819" s="19"/>
      <c r="E5819" s="23"/>
      <c r="L5819" s="23"/>
    </row>
    <row r="5820">
      <c r="B5820" s="19"/>
      <c r="E5820" s="23"/>
      <c r="L5820" s="23"/>
    </row>
    <row r="5821">
      <c r="B5821" s="19"/>
      <c r="E5821" s="23"/>
      <c r="L5821" s="23"/>
    </row>
    <row r="5822">
      <c r="B5822" s="19"/>
      <c r="E5822" s="23"/>
      <c r="L5822" s="23"/>
    </row>
    <row r="5823">
      <c r="B5823" s="19"/>
      <c r="E5823" s="23"/>
      <c r="L5823" s="23"/>
    </row>
    <row r="5824">
      <c r="B5824" s="19"/>
      <c r="E5824" s="23"/>
      <c r="L5824" s="23"/>
    </row>
    <row r="5825">
      <c r="B5825" s="19"/>
      <c r="E5825" s="23"/>
      <c r="L5825" s="23"/>
    </row>
    <row r="5826">
      <c r="B5826" s="19"/>
      <c r="E5826" s="23"/>
      <c r="L5826" s="23"/>
    </row>
    <row r="5827">
      <c r="B5827" s="19"/>
      <c r="E5827" s="23"/>
      <c r="L5827" s="23"/>
    </row>
    <row r="5828">
      <c r="B5828" s="19"/>
      <c r="E5828" s="23"/>
      <c r="L5828" s="23"/>
    </row>
    <row r="5829">
      <c r="B5829" s="19"/>
      <c r="E5829" s="23"/>
      <c r="L5829" s="23"/>
    </row>
    <row r="5830">
      <c r="B5830" s="19"/>
      <c r="E5830" s="23"/>
      <c r="L5830" s="23"/>
    </row>
    <row r="5831">
      <c r="B5831" s="19"/>
      <c r="E5831" s="23"/>
      <c r="L5831" s="23"/>
    </row>
    <row r="5832">
      <c r="B5832" s="19"/>
      <c r="E5832" s="23"/>
      <c r="L5832" s="23"/>
    </row>
    <row r="5833">
      <c r="B5833" s="19"/>
      <c r="E5833" s="23"/>
      <c r="L5833" s="23"/>
    </row>
    <row r="5834">
      <c r="B5834" s="19"/>
      <c r="E5834" s="23"/>
      <c r="L5834" s="23"/>
    </row>
    <row r="5835">
      <c r="B5835" s="19"/>
      <c r="E5835" s="23"/>
      <c r="L5835" s="23"/>
    </row>
    <row r="5836">
      <c r="B5836" s="19"/>
      <c r="E5836" s="23"/>
      <c r="L5836" s="23"/>
    </row>
    <row r="5837">
      <c r="B5837" s="19"/>
      <c r="E5837" s="23"/>
      <c r="L5837" s="23"/>
    </row>
    <row r="5838">
      <c r="B5838" s="19"/>
      <c r="E5838" s="23"/>
      <c r="L5838" s="23"/>
    </row>
    <row r="5839">
      <c r="B5839" s="19"/>
      <c r="E5839" s="23"/>
      <c r="L5839" s="23"/>
    </row>
    <row r="5840">
      <c r="B5840" s="19"/>
      <c r="E5840" s="23"/>
      <c r="L5840" s="23"/>
    </row>
    <row r="5841">
      <c r="B5841" s="19"/>
      <c r="E5841" s="23"/>
      <c r="L5841" s="23"/>
    </row>
    <row r="5842">
      <c r="B5842" s="19"/>
      <c r="E5842" s="23"/>
      <c r="L5842" s="23"/>
    </row>
    <row r="5843">
      <c r="B5843" s="19"/>
      <c r="E5843" s="23"/>
      <c r="L5843" s="23"/>
    </row>
    <row r="5844">
      <c r="B5844" s="19"/>
      <c r="E5844" s="23"/>
      <c r="L5844" s="23"/>
    </row>
    <row r="5845">
      <c r="B5845" s="19"/>
      <c r="E5845" s="23"/>
      <c r="L5845" s="23"/>
    </row>
    <row r="5846">
      <c r="B5846" s="19"/>
      <c r="E5846" s="23"/>
      <c r="L5846" s="23"/>
    </row>
    <row r="5847">
      <c r="B5847" s="19"/>
      <c r="E5847" s="23"/>
      <c r="L5847" s="23"/>
    </row>
    <row r="5848">
      <c r="B5848" s="19"/>
      <c r="E5848" s="23"/>
      <c r="L5848" s="23"/>
    </row>
    <row r="5849">
      <c r="B5849" s="19"/>
      <c r="E5849" s="23"/>
      <c r="L5849" s="23"/>
    </row>
    <row r="5850">
      <c r="B5850" s="19"/>
      <c r="E5850" s="23"/>
      <c r="L5850" s="23"/>
    </row>
    <row r="5851">
      <c r="B5851" s="19"/>
      <c r="E5851" s="23"/>
      <c r="L5851" s="23"/>
    </row>
    <row r="5852">
      <c r="B5852" s="19"/>
      <c r="E5852" s="23"/>
      <c r="L5852" s="23"/>
    </row>
    <row r="5853">
      <c r="B5853" s="19"/>
      <c r="E5853" s="23"/>
      <c r="L5853" s="23"/>
    </row>
    <row r="5854">
      <c r="B5854" s="19"/>
      <c r="E5854" s="23"/>
      <c r="L5854" s="23"/>
    </row>
    <row r="5855">
      <c r="B5855" s="19"/>
      <c r="E5855" s="23"/>
      <c r="L5855" s="23"/>
    </row>
    <row r="5856">
      <c r="B5856" s="19"/>
      <c r="E5856" s="23"/>
      <c r="L5856" s="23"/>
    </row>
    <row r="5857">
      <c r="B5857" s="19"/>
      <c r="E5857" s="23"/>
      <c r="L5857" s="23"/>
    </row>
    <row r="5858">
      <c r="B5858" s="19"/>
      <c r="E5858" s="23"/>
      <c r="L5858" s="23"/>
    </row>
    <row r="5859">
      <c r="B5859" s="19"/>
      <c r="E5859" s="23"/>
      <c r="L5859" s="23"/>
    </row>
    <row r="5860">
      <c r="B5860" s="19"/>
      <c r="E5860" s="23"/>
      <c r="L5860" s="23"/>
    </row>
    <row r="5861">
      <c r="B5861" s="19"/>
      <c r="E5861" s="23"/>
      <c r="L5861" s="23"/>
    </row>
    <row r="5862">
      <c r="B5862" s="19"/>
      <c r="E5862" s="23"/>
      <c r="L5862" s="23"/>
    </row>
    <row r="5863">
      <c r="B5863" s="19"/>
      <c r="E5863" s="23"/>
      <c r="L5863" s="23"/>
    </row>
    <row r="5864">
      <c r="B5864" s="19"/>
      <c r="E5864" s="23"/>
      <c r="L5864" s="23"/>
    </row>
    <row r="5865">
      <c r="B5865" s="19"/>
      <c r="E5865" s="23"/>
      <c r="L5865" s="23"/>
    </row>
    <row r="5866">
      <c r="B5866" s="19"/>
      <c r="E5866" s="23"/>
      <c r="L5866" s="23"/>
    </row>
    <row r="5867">
      <c r="B5867" s="19"/>
      <c r="E5867" s="23"/>
      <c r="L5867" s="23"/>
    </row>
    <row r="5868">
      <c r="B5868" s="19"/>
      <c r="E5868" s="23"/>
      <c r="L5868" s="23"/>
    </row>
    <row r="5869">
      <c r="B5869" s="19"/>
      <c r="E5869" s="23"/>
      <c r="L5869" s="23"/>
    </row>
    <row r="5870">
      <c r="B5870" s="19"/>
      <c r="E5870" s="23"/>
      <c r="L5870" s="23"/>
    </row>
    <row r="5871">
      <c r="B5871" s="19"/>
      <c r="E5871" s="23"/>
      <c r="L5871" s="23"/>
    </row>
    <row r="5872">
      <c r="B5872" s="19"/>
      <c r="E5872" s="23"/>
      <c r="L5872" s="23"/>
    </row>
    <row r="5873">
      <c r="B5873" s="19"/>
      <c r="E5873" s="23"/>
      <c r="L5873" s="23"/>
    </row>
    <row r="5874">
      <c r="B5874" s="19"/>
      <c r="E5874" s="23"/>
      <c r="L5874" s="23"/>
    </row>
    <row r="5875">
      <c r="B5875" s="19"/>
      <c r="E5875" s="23"/>
      <c r="L5875" s="23"/>
    </row>
    <row r="5876">
      <c r="B5876" s="19"/>
      <c r="E5876" s="23"/>
      <c r="L5876" s="23"/>
    </row>
    <row r="5877">
      <c r="B5877" s="19"/>
      <c r="E5877" s="23"/>
      <c r="L5877" s="23"/>
    </row>
    <row r="5878">
      <c r="B5878" s="19"/>
      <c r="E5878" s="23"/>
      <c r="L5878" s="23"/>
    </row>
    <row r="5879">
      <c r="B5879" s="19"/>
      <c r="E5879" s="23"/>
      <c r="L5879" s="23"/>
    </row>
    <row r="5880">
      <c r="B5880" s="19"/>
      <c r="E5880" s="23"/>
      <c r="L5880" s="23"/>
    </row>
    <row r="5881">
      <c r="B5881" s="19"/>
      <c r="E5881" s="23"/>
      <c r="L5881" s="23"/>
    </row>
    <row r="5882">
      <c r="B5882" s="19"/>
      <c r="E5882" s="23"/>
      <c r="L5882" s="23"/>
    </row>
    <row r="5883">
      <c r="B5883" s="19"/>
      <c r="E5883" s="23"/>
      <c r="L5883" s="23"/>
    </row>
    <row r="5884">
      <c r="B5884" s="19"/>
      <c r="E5884" s="23"/>
      <c r="L5884" s="23"/>
    </row>
    <row r="5885">
      <c r="B5885" s="19"/>
      <c r="E5885" s="23"/>
      <c r="L5885" s="23"/>
    </row>
    <row r="5886">
      <c r="B5886" s="19"/>
      <c r="E5886" s="23"/>
      <c r="L5886" s="23"/>
    </row>
    <row r="5887">
      <c r="B5887" s="19"/>
      <c r="E5887" s="23"/>
      <c r="L5887" s="23"/>
    </row>
    <row r="5888">
      <c r="B5888" s="19"/>
      <c r="E5888" s="23"/>
      <c r="L5888" s="23"/>
    </row>
    <row r="5889">
      <c r="B5889" s="19"/>
      <c r="E5889" s="23"/>
      <c r="L5889" s="23"/>
    </row>
    <row r="5890">
      <c r="B5890" s="19"/>
      <c r="E5890" s="23"/>
      <c r="L5890" s="23"/>
    </row>
    <row r="5891">
      <c r="B5891" s="19"/>
      <c r="E5891" s="23"/>
      <c r="L5891" s="23"/>
    </row>
    <row r="5892">
      <c r="B5892" s="19"/>
      <c r="E5892" s="23"/>
      <c r="L5892" s="23"/>
    </row>
    <row r="5893">
      <c r="B5893" s="19"/>
      <c r="E5893" s="23"/>
      <c r="L5893" s="23"/>
    </row>
    <row r="5894">
      <c r="B5894" s="19"/>
      <c r="E5894" s="23"/>
      <c r="L5894" s="23"/>
    </row>
    <row r="5895">
      <c r="B5895" s="19"/>
      <c r="E5895" s="23"/>
      <c r="L5895" s="23"/>
    </row>
    <row r="5896">
      <c r="B5896" s="19"/>
      <c r="E5896" s="23"/>
      <c r="L5896" s="23"/>
    </row>
    <row r="5897">
      <c r="B5897" s="19"/>
      <c r="E5897" s="23"/>
      <c r="L5897" s="23"/>
    </row>
    <row r="5898">
      <c r="B5898" s="19"/>
      <c r="E5898" s="23"/>
      <c r="L5898" s="23"/>
    </row>
    <row r="5899">
      <c r="B5899" s="19"/>
      <c r="E5899" s="23"/>
      <c r="L5899" s="23"/>
    </row>
    <row r="5900">
      <c r="B5900" s="19"/>
      <c r="E5900" s="23"/>
      <c r="L5900" s="23"/>
    </row>
    <row r="5901">
      <c r="B5901" s="19"/>
      <c r="E5901" s="23"/>
      <c r="L5901" s="23"/>
    </row>
    <row r="5902">
      <c r="B5902" s="19"/>
      <c r="E5902" s="23"/>
      <c r="L5902" s="23"/>
    </row>
    <row r="5903">
      <c r="B5903" s="19"/>
      <c r="E5903" s="23"/>
      <c r="L5903" s="23"/>
    </row>
    <row r="5904">
      <c r="B5904" s="19"/>
      <c r="E5904" s="23"/>
      <c r="L5904" s="23"/>
    </row>
    <row r="5905">
      <c r="B5905" s="19"/>
      <c r="E5905" s="23"/>
      <c r="L5905" s="23"/>
    </row>
    <row r="5906">
      <c r="B5906" s="19"/>
      <c r="E5906" s="23"/>
      <c r="L5906" s="23"/>
    </row>
    <row r="5907">
      <c r="B5907" s="19"/>
      <c r="E5907" s="23"/>
      <c r="L5907" s="23"/>
    </row>
    <row r="5908">
      <c r="B5908" s="19"/>
      <c r="E5908" s="23"/>
      <c r="L5908" s="23"/>
    </row>
    <row r="5909">
      <c r="B5909" s="19"/>
      <c r="E5909" s="23"/>
      <c r="L5909" s="23"/>
    </row>
    <row r="5910">
      <c r="B5910" s="19"/>
      <c r="E5910" s="23"/>
      <c r="L5910" s="23"/>
    </row>
    <row r="5911">
      <c r="B5911" s="19"/>
      <c r="E5911" s="23"/>
      <c r="L5911" s="23"/>
    </row>
    <row r="5912">
      <c r="B5912" s="19"/>
      <c r="E5912" s="23"/>
      <c r="L5912" s="23"/>
    </row>
    <row r="5913">
      <c r="B5913" s="19"/>
      <c r="E5913" s="23"/>
      <c r="L5913" s="23"/>
    </row>
    <row r="5914">
      <c r="B5914" s="19"/>
      <c r="E5914" s="23"/>
      <c r="L5914" s="23"/>
    </row>
    <row r="5915">
      <c r="B5915" s="19"/>
      <c r="E5915" s="23"/>
      <c r="L5915" s="23"/>
    </row>
    <row r="5916">
      <c r="B5916" s="19"/>
      <c r="E5916" s="23"/>
      <c r="L5916" s="23"/>
    </row>
    <row r="5917">
      <c r="B5917" s="19"/>
      <c r="E5917" s="23"/>
      <c r="L5917" s="23"/>
    </row>
    <row r="5918">
      <c r="B5918" s="19"/>
      <c r="E5918" s="23"/>
      <c r="L5918" s="23"/>
    </row>
    <row r="5919">
      <c r="B5919" s="19"/>
      <c r="E5919" s="23"/>
      <c r="L5919" s="23"/>
    </row>
    <row r="5920">
      <c r="B5920" s="19"/>
      <c r="E5920" s="23"/>
      <c r="L5920" s="23"/>
    </row>
    <row r="5921">
      <c r="B5921" s="19"/>
      <c r="E5921" s="23"/>
      <c r="L5921" s="23"/>
    </row>
    <row r="5922">
      <c r="B5922" s="19"/>
      <c r="E5922" s="23"/>
      <c r="L5922" s="23"/>
    </row>
    <row r="5923">
      <c r="B5923" s="19"/>
      <c r="E5923" s="23"/>
      <c r="L5923" s="23"/>
    </row>
    <row r="5924">
      <c r="B5924" s="19"/>
      <c r="E5924" s="23"/>
      <c r="L5924" s="23"/>
    </row>
    <row r="5925">
      <c r="B5925" s="19"/>
      <c r="E5925" s="23"/>
      <c r="L5925" s="23"/>
    </row>
    <row r="5926">
      <c r="B5926" s="19"/>
      <c r="E5926" s="23"/>
      <c r="L5926" s="23"/>
    </row>
    <row r="5927">
      <c r="B5927" s="19"/>
      <c r="E5927" s="23"/>
      <c r="L5927" s="23"/>
    </row>
    <row r="5928">
      <c r="B5928" s="19"/>
      <c r="E5928" s="23"/>
      <c r="L5928" s="23"/>
    </row>
    <row r="5929">
      <c r="B5929" s="19"/>
      <c r="E5929" s="23"/>
      <c r="L5929" s="23"/>
    </row>
    <row r="5930">
      <c r="B5930" s="19"/>
      <c r="E5930" s="23"/>
      <c r="L5930" s="23"/>
    </row>
    <row r="5931">
      <c r="B5931" s="19"/>
      <c r="E5931" s="23"/>
      <c r="L5931" s="23"/>
    </row>
    <row r="5932">
      <c r="B5932" s="19"/>
      <c r="E5932" s="23"/>
      <c r="L5932" s="23"/>
    </row>
    <row r="5933">
      <c r="B5933" s="19"/>
      <c r="E5933" s="23"/>
      <c r="L5933" s="23"/>
    </row>
    <row r="5934">
      <c r="B5934" s="19"/>
      <c r="E5934" s="23"/>
      <c r="L5934" s="23"/>
    </row>
    <row r="5935">
      <c r="B5935" s="19"/>
      <c r="E5935" s="23"/>
      <c r="L5935" s="23"/>
    </row>
    <row r="5936">
      <c r="B5936" s="19"/>
      <c r="E5936" s="23"/>
      <c r="L5936" s="23"/>
    </row>
    <row r="5937">
      <c r="B5937" s="19"/>
      <c r="E5937" s="23"/>
      <c r="L5937" s="23"/>
    </row>
    <row r="5938">
      <c r="B5938" s="19"/>
      <c r="E5938" s="23"/>
      <c r="L5938" s="23"/>
    </row>
    <row r="5939">
      <c r="B5939" s="19"/>
      <c r="E5939" s="23"/>
      <c r="L5939" s="23"/>
    </row>
    <row r="5940">
      <c r="B5940" s="19"/>
      <c r="E5940" s="23"/>
      <c r="L5940" s="23"/>
    </row>
    <row r="5941">
      <c r="B5941" s="19"/>
      <c r="E5941" s="23"/>
      <c r="L5941" s="23"/>
    </row>
    <row r="5942">
      <c r="B5942" s="19"/>
      <c r="E5942" s="23"/>
      <c r="L5942" s="23"/>
    </row>
    <row r="5943">
      <c r="B5943" s="19"/>
      <c r="E5943" s="23"/>
      <c r="L5943" s="23"/>
    </row>
    <row r="5944">
      <c r="B5944" s="19"/>
      <c r="E5944" s="23"/>
      <c r="L5944" s="23"/>
    </row>
    <row r="5945">
      <c r="B5945" s="19"/>
      <c r="E5945" s="23"/>
      <c r="L5945" s="23"/>
    </row>
    <row r="5946">
      <c r="B5946" s="19"/>
      <c r="E5946" s="23"/>
      <c r="L5946" s="23"/>
    </row>
    <row r="5947">
      <c r="B5947" s="19"/>
      <c r="E5947" s="23"/>
      <c r="L5947" s="23"/>
    </row>
    <row r="5948">
      <c r="B5948" s="19"/>
      <c r="E5948" s="23"/>
      <c r="L5948" s="23"/>
    </row>
    <row r="5949">
      <c r="B5949" s="19"/>
      <c r="E5949" s="23"/>
      <c r="L5949" s="23"/>
    </row>
    <row r="5950">
      <c r="B5950" s="19"/>
      <c r="E5950" s="23"/>
      <c r="L5950" s="23"/>
    </row>
    <row r="5951">
      <c r="B5951" s="19"/>
      <c r="E5951" s="23"/>
      <c r="L5951" s="23"/>
    </row>
    <row r="5952">
      <c r="B5952" s="19"/>
      <c r="E5952" s="23"/>
      <c r="L5952" s="23"/>
    </row>
    <row r="5953">
      <c r="B5953" s="19"/>
      <c r="E5953" s="23"/>
      <c r="L5953" s="23"/>
    </row>
    <row r="5954">
      <c r="B5954" s="19"/>
      <c r="E5954" s="23"/>
      <c r="L5954" s="23"/>
    </row>
    <row r="5955">
      <c r="B5955" s="19"/>
      <c r="E5955" s="23"/>
      <c r="L5955" s="23"/>
    </row>
    <row r="5956">
      <c r="B5956" s="19"/>
      <c r="E5956" s="23"/>
      <c r="L5956" s="23"/>
    </row>
    <row r="5957">
      <c r="B5957" s="19"/>
      <c r="E5957" s="23"/>
      <c r="L5957" s="23"/>
    </row>
    <row r="5958">
      <c r="B5958" s="19"/>
      <c r="E5958" s="23"/>
      <c r="L5958" s="23"/>
    </row>
    <row r="5959">
      <c r="B5959" s="19"/>
      <c r="E5959" s="23"/>
      <c r="L5959" s="23"/>
    </row>
    <row r="5960">
      <c r="B5960" s="19"/>
      <c r="E5960" s="23"/>
      <c r="L5960" s="23"/>
    </row>
    <row r="5961">
      <c r="B5961" s="19"/>
      <c r="E5961" s="23"/>
      <c r="L5961" s="23"/>
    </row>
    <row r="5962">
      <c r="B5962" s="19"/>
      <c r="E5962" s="23"/>
      <c r="L5962" s="23"/>
    </row>
    <row r="5963">
      <c r="B5963" s="19"/>
      <c r="E5963" s="23"/>
      <c r="L5963" s="23"/>
    </row>
    <row r="5964">
      <c r="B5964" s="19"/>
      <c r="E5964" s="23"/>
      <c r="L5964" s="23"/>
    </row>
    <row r="5965">
      <c r="B5965" s="19"/>
      <c r="E5965" s="23"/>
      <c r="L5965" s="23"/>
    </row>
    <row r="5966">
      <c r="B5966" s="19"/>
      <c r="E5966" s="23"/>
      <c r="L5966" s="23"/>
    </row>
    <row r="5967">
      <c r="B5967" s="19"/>
      <c r="E5967" s="23"/>
      <c r="L5967" s="23"/>
    </row>
    <row r="5968">
      <c r="B5968" s="19"/>
      <c r="E5968" s="23"/>
      <c r="L5968" s="23"/>
    </row>
    <row r="5969">
      <c r="B5969" s="19"/>
      <c r="E5969" s="23"/>
      <c r="L5969" s="23"/>
    </row>
    <row r="5970">
      <c r="B5970" s="19"/>
      <c r="E5970" s="23"/>
      <c r="L5970" s="23"/>
    </row>
    <row r="5971">
      <c r="B5971" s="19"/>
      <c r="E5971" s="23"/>
      <c r="L5971" s="23"/>
    </row>
    <row r="5972">
      <c r="B5972" s="19"/>
      <c r="E5972" s="23"/>
      <c r="L5972" s="23"/>
    </row>
    <row r="5973">
      <c r="B5973" s="19"/>
      <c r="E5973" s="23"/>
      <c r="L5973" s="23"/>
    </row>
    <row r="5974">
      <c r="B5974" s="19"/>
      <c r="E5974" s="23"/>
      <c r="L5974" s="23"/>
    </row>
    <row r="5975">
      <c r="B5975" s="19"/>
      <c r="E5975" s="23"/>
      <c r="L5975" s="23"/>
    </row>
    <row r="5976">
      <c r="B5976" s="19"/>
      <c r="E5976" s="23"/>
      <c r="L5976" s="23"/>
    </row>
    <row r="5977">
      <c r="B5977" s="19"/>
      <c r="E5977" s="23"/>
      <c r="L5977" s="23"/>
    </row>
    <row r="5978">
      <c r="B5978" s="19"/>
      <c r="E5978" s="23"/>
      <c r="L5978" s="23"/>
    </row>
    <row r="5979">
      <c r="B5979" s="19"/>
      <c r="E5979" s="23"/>
      <c r="L5979" s="23"/>
    </row>
    <row r="5980">
      <c r="B5980" s="19"/>
      <c r="E5980" s="23"/>
      <c r="L5980" s="23"/>
    </row>
    <row r="5981">
      <c r="B5981" s="19"/>
      <c r="E5981" s="23"/>
      <c r="L5981" s="23"/>
    </row>
    <row r="5982">
      <c r="B5982" s="19"/>
      <c r="E5982" s="23"/>
      <c r="L5982" s="23"/>
    </row>
    <row r="5983">
      <c r="B5983" s="19"/>
      <c r="E5983" s="23"/>
      <c r="L5983" s="23"/>
    </row>
    <row r="5984">
      <c r="B5984" s="19"/>
      <c r="E5984" s="23"/>
      <c r="L5984" s="23"/>
    </row>
    <row r="5985">
      <c r="B5985" s="19"/>
      <c r="E5985" s="23"/>
      <c r="L5985" s="23"/>
    </row>
    <row r="5986">
      <c r="B5986" s="19"/>
      <c r="E5986" s="23"/>
      <c r="L5986" s="23"/>
    </row>
    <row r="5987">
      <c r="B5987" s="19"/>
      <c r="E5987" s="23"/>
      <c r="L5987" s="23"/>
    </row>
    <row r="5988">
      <c r="B5988" s="19"/>
      <c r="E5988" s="23"/>
      <c r="L5988" s="23"/>
    </row>
    <row r="5989">
      <c r="B5989" s="19"/>
      <c r="E5989" s="23"/>
      <c r="L5989" s="23"/>
    </row>
    <row r="5990">
      <c r="B5990" s="19"/>
      <c r="E5990" s="23"/>
      <c r="L5990" s="23"/>
    </row>
    <row r="5991">
      <c r="B5991" s="19"/>
      <c r="E5991" s="23"/>
      <c r="L5991" s="23"/>
    </row>
    <row r="5992">
      <c r="B5992" s="19"/>
      <c r="E5992" s="23"/>
      <c r="L5992" s="23"/>
    </row>
    <row r="5993">
      <c r="B5993" s="19"/>
      <c r="E5993" s="23"/>
      <c r="L5993" s="23"/>
    </row>
    <row r="5994">
      <c r="B5994" s="19"/>
      <c r="E5994" s="23"/>
      <c r="L5994" s="23"/>
    </row>
    <row r="5995">
      <c r="B5995" s="19"/>
      <c r="E5995" s="23"/>
      <c r="L5995" s="23"/>
    </row>
    <row r="5996">
      <c r="B5996" s="19"/>
      <c r="E5996" s="23"/>
      <c r="L5996" s="23"/>
    </row>
    <row r="5997">
      <c r="B5997" s="19"/>
      <c r="E5997" s="23"/>
      <c r="L5997" s="23"/>
    </row>
    <row r="5998">
      <c r="B5998" s="19"/>
      <c r="E5998" s="23"/>
      <c r="L5998" s="23"/>
    </row>
    <row r="5999">
      <c r="B5999" s="19"/>
      <c r="E5999" s="23"/>
      <c r="L5999" s="23"/>
    </row>
    <row r="6000">
      <c r="B6000" s="19"/>
      <c r="E6000" s="23"/>
      <c r="L6000" s="23"/>
    </row>
    <row r="6001">
      <c r="B6001" s="19"/>
      <c r="E6001" s="23"/>
      <c r="L6001" s="23"/>
    </row>
    <row r="6002">
      <c r="B6002" s="19"/>
      <c r="E6002" s="23"/>
      <c r="L6002" s="23"/>
    </row>
    <row r="6003">
      <c r="B6003" s="19"/>
      <c r="E6003" s="23"/>
      <c r="L6003" s="23"/>
    </row>
    <row r="6004">
      <c r="B6004" s="19"/>
      <c r="E6004" s="23"/>
      <c r="L6004" s="23"/>
    </row>
    <row r="6005">
      <c r="B6005" s="19"/>
      <c r="E6005" s="23"/>
      <c r="L6005" s="23"/>
    </row>
    <row r="6006">
      <c r="B6006" s="19"/>
      <c r="E6006" s="23"/>
      <c r="L6006" s="23"/>
    </row>
    <row r="6007">
      <c r="B6007" s="19"/>
      <c r="E6007" s="23"/>
      <c r="L6007" s="23"/>
    </row>
    <row r="6008">
      <c r="B6008" s="19"/>
      <c r="E6008" s="23"/>
      <c r="L6008" s="23"/>
    </row>
    <row r="6009">
      <c r="B6009" s="19"/>
      <c r="E6009" s="23"/>
      <c r="L6009" s="23"/>
    </row>
    <row r="6010">
      <c r="B6010" s="19"/>
      <c r="E6010" s="23"/>
      <c r="L6010" s="23"/>
    </row>
    <row r="6011">
      <c r="B6011" s="19"/>
      <c r="E6011" s="23"/>
      <c r="L6011" s="23"/>
    </row>
    <row r="6012">
      <c r="B6012" s="19"/>
      <c r="E6012" s="23"/>
      <c r="L6012" s="23"/>
    </row>
    <row r="6013">
      <c r="B6013" s="19"/>
      <c r="E6013" s="23"/>
      <c r="L6013" s="23"/>
    </row>
    <row r="6014">
      <c r="B6014" s="19"/>
      <c r="E6014" s="23"/>
      <c r="L6014" s="23"/>
    </row>
    <row r="6015">
      <c r="B6015" s="19"/>
      <c r="E6015" s="23"/>
      <c r="L6015" s="23"/>
    </row>
    <row r="6016">
      <c r="B6016" s="19"/>
      <c r="E6016" s="23"/>
      <c r="L6016" s="23"/>
    </row>
    <row r="6017">
      <c r="B6017" s="19"/>
      <c r="E6017" s="23"/>
      <c r="L6017" s="23"/>
    </row>
    <row r="6018">
      <c r="B6018" s="19"/>
      <c r="E6018" s="23"/>
      <c r="L6018" s="23"/>
    </row>
    <row r="6019">
      <c r="B6019" s="19"/>
      <c r="E6019" s="23"/>
      <c r="L6019" s="23"/>
    </row>
    <row r="6020">
      <c r="B6020" s="19"/>
      <c r="E6020" s="23"/>
      <c r="L6020" s="23"/>
    </row>
    <row r="6021">
      <c r="B6021" s="19"/>
      <c r="E6021" s="23"/>
      <c r="L6021" s="23"/>
    </row>
    <row r="6022">
      <c r="B6022" s="19"/>
      <c r="E6022" s="23"/>
      <c r="L6022" s="23"/>
    </row>
    <row r="6023">
      <c r="B6023" s="19"/>
      <c r="E6023" s="23"/>
      <c r="L6023" s="23"/>
    </row>
    <row r="6024">
      <c r="B6024" s="19"/>
      <c r="E6024" s="23"/>
      <c r="L6024" s="23"/>
    </row>
    <row r="6025">
      <c r="B6025" s="19"/>
      <c r="E6025" s="23"/>
      <c r="L6025" s="23"/>
    </row>
    <row r="6026">
      <c r="B6026" s="19"/>
      <c r="E6026" s="23"/>
      <c r="L6026" s="23"/>
    </row>
    <row r="6027">
      <c r="B6027" s="19"/>
      <c r="E6027" s="23"/>
      <c r="L6027" s="23"/>
    </row>
    <row r="6028">
      <c r="B6028" s="19"/>
      <c r="E6028" s="23"/>
      <c r="L6028" s="23"/>
    </row>
    <row r="6029">
      <c r="B6029" s="19"/>
      <c r="E6029" s="23"/>
      <c r="L6029" s="23"/>
    </row>
    <row r="6030">
      <c r="B6030" s="19"/>
      <c r="E6030" s="23"/>
      <c r="L6030" s="23"/>
    </row>
    <row r="6031">
      <c r="B6031" s="19"/>
      <c r="E6031" s="23"/>
      <c r="L6031" s="23"/>
    </row>
    <row r="6032">
      <c r="B6032" s="19"/>
      <c r="E6032" s="23"/>
      <c r="L6032" s="23"/>
    </row>
    <row r="6033">
      <c r="B6033" s="19"/>
      <c r="E6033" s="23"/>
      <c r="L6033" s="23"/>
    </row>
    <row r="6034">
      <c r="B6034" s="19"/>
      <c r="E6034" s="23"/>
      <c r="L6034" s="23"/>
    </row>
    <row r="6035">
      <c r="B6035" s="19"/>
      <c r="E6035" s="23"/>
      <c r="L6035" s="23"/>
    </row>
    <row r="6036">
      <c r="B6036" s="19"/>
      <c r="E6036" s="23"/>
      <c r="L6036" s="23"/>
    </row>
    <row r="6037">
      <c r="B6037" s="19"/>
      <c r="E6037" s="23"/>
      <c r="L6037" s="23"/>
    </row>
    <row r="6038">
      <c r="B6038" s="19"/>
      <c r="E6038" s="23"/>
      <c r="L6038" s="23"/>
    </row>
    <row r="6039">
      <c r="B6039" s="19"/>
      <c r="E6039" s="23"/>
      <c r="L6039" s="23"/>
    </row>
    <row r="6040">
      <c r="B6040" s="19"/>
      <c r="E6040" s="23"/>
      <c r="L6040" s="23"/>
    </row>
    <row r="6041">
      <c r="B6041" s="19"/>
      <c r="E6041" s="23"/>
      <c r="L6041" s="23"/>
    </row>
    <row r="6042">
      <c r="B6042" s="19"/>
      <c r="E6042" s="23"/>
      <c r="L6042" s="23"/>
    </row>
    <row r="6043">
      <c r="B6043" s="19"/>
      <c r="E6043" s="23"/>
      <c r="L6043" s="23"/>
    </row>
    <row r="6044">
      <c r="B6044" s="19"/>
      <c r="E6044" s="23"/>
      <c r="L6044" s="23"/>
    </row>
    <row r="6045">
      <c r="B6045" s="19"/>
      <c r="E6045" s="23"/>
      <c r="L6045" s="23"/>
    </row>
    <row r="6046">
      <c r="B6046" s="19"/>
      <c r="E6046" s="23"/>
      <c r="L6046" s="23"/>
    </row>
    <row r="6047">
      <c r="B6047" s="19"/>
      <c r="E6047" s="23"/>
      <c r="L6047" s="23"/>
    </row>
    <row r="6048">
      <c r="B6048" s="19"/>
      <c r="E6048" s="23"/>
      <c r="L6048" s="23"/>
    </row>
    <row r="6049">
      <c r="B6049" s="19"/>
      <c r="E6049" s="23"/>
      <c r="L6049" s="23"/>
    </row>
    <row r="6050">
      <c r="B6050" s="19"/>
      <c r="E6050" s="23"/>
      <c r="L6050" s="23"/>
    </row>
    <row r="6051">
      <c r="B6051" s="19"/>
      <c r="E6051" s="23"/>
      <c r="L6051" s="23"/>
    </row>
    <row r="6052">
      <c r="B6052" s="19"/>
      <c r="E6052" s="23"/>
      <c r="L6052" s="23"/>
    </row>
    <row r="6053">
      <c r="B6053" s="19"/>
      <c r="E6053" s="23"/>
      <c r="L6053" s="23"/>
    </row>
    <row r="6054">
      <c r="B6054" s="19"/>
      <c r="E6054" s="23"/>
      <c r="L6054" s="23"/>
    </row>
    <row r="6055">
      <c r="B6055" s="19"/>
      <c r="E6055" s="23"/>
      <c r="L6055" s="23"/>
    </row>
    <row r="6056">
      <c r="B6056" s="19"/>
      <c r="E6056" s="23"/>
      <c r="L6056" s="23"/>
    </row>
    <row r="6057">
      <c r="B6057" s="19"/>
      <c r="E6057" s="23"/>
      <c r="L6057" s="23"/>
    </row>
    <row r="6058">
      <c r="B6058" s="19"/>
      <c r="E6058" s="23"/>
      <c r="L6058" s="23"/>
    </row>
    <row r="6059">
      <c r="B6059" s="19"/>
      <c r="E6059" s="23"/>
      <c r="L6059" s="23"/>
    </row>
    <row r="6060">
      <c r="B6060" s="19"/>
      <c r="E6060" s="23"/>
      <c r="L6060" s="23"/>
    </row>
    <row r="6061">
      <c r="B6061" s="19"/>
      <c r="E6061" s="23"/>
      <c r="L6061" s="23"/>
    </row>
    <row r="6062">
      <c r="B6062" s="19"/>
      <c r="E6062" s="23"/>
      <c r="L6062" s="23"/>
    </row>
    <row r="6063">
      <c r="B6063" s="19"/>
      <c r="E6063" s="23"/>
      <c r="L6063" s="23"/>
    </row>
    <row r="6064">
      <c r="B6064" s="19"/>
      <c r="E6064" s="23"/>
      <c r="L6064" s="23"/>
    </row>
    <row r="6065">
      <c r="B6065" s="19"/>
      <c r="E6065" s="23"/>
      <c r="L6065" s="23"/>
    </row>
    <row r="6066">
      <c r="B6066" s="19"/>
      <c r="E6066" s="23"/>
      <c r="L6066" s="23"/>
    </row>
    <row r="6067">
      <c r="B6067" s="19"/>
      <c r="E6067" s="23"/>
      <c r="L6067" s="23"/>
    </row>
    <row r="6068">
      <c r="B6068" s="19"/>
      <c r="E6068" s="23"/>
      <c r="L6068" s="23"/>
    </row>
    <row r="6069">
      <c r="B6069" s="19"/>
      <c r="E6069" s="23"/>
      <c r="L6069" s="23"/>
    </row>
    <row r="6070">
      <c r="B6070" s="19"/>
      <c r="E6070" s="23"/>
      <c r="L6070" s="23"/>
    </row>
    <row r="6071">
      <c r="B6071" s="19"/>
      <c r="E6071" s="23"/>
      <c r="L6071" s="23"/>
    </row>
    <row r="6072">
      <c r="B6072" s="19"/>
      <c r="E6072" s="23"/>
      <c r="L6072" s="23"/>
    </row>
    <row r="6073">
      <c r="B6073" s="19"/>
      <c r="E6073" s="23"/>
      <c r="L6073" s="23"/>
    </row>
    <row r="6074">
      <c r="B6074" s="19"/>
      <c r="E6074" s="23"/>
      <c r="L6074" s="23"/>
    </row>
    <row r="6075">
      <c r="B6075" s="19"/>
      <c r="E6075" s="23"/>
      <c r="L6075" s="23"/>
    </row>
    <row r="6076">
      <c r="B6076" s="19"/>
      <c r="E6076" s="23"/>
      <c r="L6076" s="23"/>
    </row>
    <row r="6077">
      <c r="B6077" s="19"/>
      <c r="E6077" s="23"/>
      <c r="L6077" s="23"/>
    </row>
    <row r="6078">
      <c r="B6078" s="19"/>
      <c r="E6078" s="23"/>
      <c r="L6078" s="23"/>
    </row>
    <row r="6079">
      <c r="B6079" s="19"/>
      <c r="E6079" s="23"/>
      <c r="L6079" s="23"/>
    </row>
    <row r="6080">
      <c r="B6080" s="19"/>
      <c r="E6080" s="23"/>
      <c r="L6080" s="23"/>
    </row>
    <row r="6081">
      <c r="B6081" s="19"/>
      <c r="E6081" s="23"/>
      <c r="L6081" s="23"/>
    </row>
    <row r="6082">
      <c r="B6082" s="19"/>
      <c r="E6082" s="23"/>
      <c r="L6082" s="23"/>
    </row>
    <row r="6083">
      <c r="B6083" s="19"/>
      <c r="E6083" s="23"/>
      <c r="L6083" s="23"/>
    </row>
    <row r="6084">
      <c r="B6084" s="19"/>
      <c r="E6084" s="23"/>
      <c r="L6084" s="23"/>
    </row>
    <row r="6085">
      <c r="B6085" s="19"/>
      <c r="E6085" s="23"/>
      <c r="L6085" s="23"/>
    </row>
    <row r="6086">
      <c r="B6086" s="19"/>
      <c r="E6086" s="23"/>
      <c r="L6086" s="23"/>
    </row>
    <row r="6087">
      <c r="B6087" s="19"/>
      <c r="E6087" s="23"/>
      <c r="L6087" s="23"/>
    </row>
    <row r="6088">
      <c r="B6088" s="19"/>
      <c r="E6088" s="23"/>
      <c r="L6088" s="23"/>
    </row>
    <row r="6089">
      <c r="B6089" s="19"/>
      <c r="E6089" s="23"/>
      <c r="L6089" s="23"/>
    </row>
    <row r="6090">
      <c r="B6090" s="19"/>
      <c r="E6090" s="23"/>
      <c r="L6090" s="23"/>
    </row>
    <row r="6091">
      <c r="B6091" s="19"/>
      <c r="E6091" s="23"/>
      <c r="L6091" s="23"/>
    </row>
    <row r="6092">
      <c r="B6092" s="19"/>
      <c r="E6092" s="23"/>
      <c r="L6092" s="23"/>
    </row>
    <row r="6093">
      <c r="B6093" s="19"/>
      <c r="E6093" s="23"/>
      <c r="L6093" s="23"/>
    </row>
    <row r="6094">
      <c r="B6094" s="19"/>
      <c r="E6094" s="23"/>
      <c r="L6094" s="23"/>
    </row>
    <row r="6095">
      <c r="B6095" s="19"/>
      <c r="E6095" s="23"/>
      <c r="L6095" s="23"/>
    </row>
    <row r="6096">
      <c r="B6096" s="19"/>
      <c r="E6096" s="23"/>
      <c r="L6096" s="23"/>
    </row>
    <row r="6097">
      <c r="B6097" s="19"/>
      <c r="E6097" s="23"/>
      <c r="L6097" s="23"/>
    </row>
    <row r="6098">
      <c r="B6098" s="19"/>
      <c r="E6098" s="23"/>
      <c r="L6098" s="23"/>
    </row>
    <row r="6099">
      <c r="B6099" s="19"/>
      <c r="E6099" s="23"/>
      <c r="L6099" s="23"/>
    </row>
    <row r="6100">
      <c r="B6100" s="19"/>
      <c r="E6100" s="23"/>
      <c r="L6100" s="23"/>
    </row>
    <row r="6101">
      <c r="B6101" s="19"/>
      <c r="E6101" s="23"/>
      <c r="L6101" s="23"/>
    </row>
    <row r="6102">
      <c r="B6102" s="19"/>
      <c r="E6102" s="23"/>
      <c r="L6102" s="23"/>
    </row>
    <row r="6103">
      <c r="B6103" s="19"/>
      <c r="E6103" s="23"/>
      <c r="L6103" s="23"/>
    </row>
    <row r="6104">
      <c r="B6104" s="19"/>
      <c r="E6104" s="23"/>
      <c r="L6104" s="23"/>
    </row>
    <row r="6105">
      <c r="B6105" s="19"/>
      <c r="E6105" s="23"/>
      <c r="L6105" s="23"/>
    </row>
    <row r="6106">
      <c r="B6106" s="19"/>
      <c r="E6106" s="23"/>
      <c r="L6106" s="23"/>
    </row>
    <row r="6107">
      <c r="B6107" s="19"/>
      <c r="E6107" s="23"/>
      <c r="L6107" s="23"/>
    </row>
    <row r="6108">
      <c r="B6108" s="19"/>
      <c r="E6108" s="23"/>
      <c r="L6108" s="23"/>
    </row>
    <row r="6109">
      <c r="B6109" s="19"/>
      <c r="E6109" s="23"/>
      <c r="L6109" s="23"/>
    </row>
    <row r="6110">
      <c r="B6110" s="19"/>
      <c r="E6110" s="23"/>
      <c r="L6110" s="23"/>
    </row>
    <row r="6111">
      <c r="B6111" s="19"/>
      <c r="E6111" s="23"/>
      <c r="L6111" s="23"/>
    </row>
    <row r="6112">
      <c r="B6112" s="19"/>
      <c r="E6112" s="23"/>
      <c r="L6112" s="23"/>
    </row>
    <row r="6113">
      <c r="B6113" s="19"/>
      <c r="E6113" s="23"/>
      <c r="L6113" s="23"/>
    </row>
    <row r="6114">
      <c r="B6114" s="19"/>
      <c r="E6114" s="23"/>
      <c r="L6114" s="23"/>
    </row>
    <row r="6115">
      <c r="B6115" s="19"/>
      <c r="E6115" s="23"/>
      <c r="L6115" s="23"/>
    </row>
    <row r="6116">
      <c r="B6116" s="19"/>
      <c r="E6116" s="23"/>
      <c r="L6116" s="23"/>
    </row>
    <row r="6117">
      <c r="B6117" s="19"/>
      <c r="E6117" s="23"/>
      <c r="L6117" s="23"/>
    </row>
    <row r="6118">
      <c r="B6118" s="19"/>
      <c r="E6118" s="23"/>
      <c r="L6118" s="23"/>
    </row>
    <row r="6119">
      <c r="B6119" s="19"/>
      <c r="E6119" s="23"/>
      <c r="L6119" s="23"/>
    </row>
    <row r="6120">
      <c r="B6120" s="19"/>
      <c r="E6120" s="23"/>
      <c r="L6120" s="23"/>
    </row>
    <row r="6121">
      <c r="B6121" s="19"/>
      <c r="E6121" s="23"/>
      <c r="L6121" s="23"/>
    </row>
    <row r="6122">
      <c r="B6122" s="19"/>
      <c r="E6122" s="23"/>
      <c r="L6122" s="23"/>
    </row>
    <row r="6123">
      <c r="B6123" s="19"/>
      <c r="E6123" s="23"/>
      <c r="L6123" s="23"/>
    </row>
    <row r="6124">
      <c r="B6124" s="19"/>
      <c r="E6124" s="23"/>
      <c r="L6124" s="23"/>
    </row>
    <row r="6125">
      <c r="B6125" s="19"/>
      <c r="E6125" s="23"/>
      <c r="L6125" s="23"/>
    </row>
    <row r="6126">
      <c r="B6126" s="19"/>
      <c r="E6126" s="23"/>
      <c r="L6126" s="23"/>
    </row>
    <row r="6127">
      <c r="B6127" s="19"/>
      <c r="E6127" s="23"/>
      <c r="L6127" s="23"/>
    </row>
    <row r="6128">
      <c r="B6128" s="19"/>
      <c r="E6128" s="23"/>
      <c r="L6128" s="23"/>
    </row>
    <row r="6129">
      <c r="B6129" s="19"/>
      <c r="E6129" s="23"/>
      <c r="L6129" s="23"/>
    </row>
    <row r="6130">
      <c r="B6130" s="19"/>
      <c r="E6130" s="23"/>
      <c r="L6130" s="23"/>
    </row>
    <row r="6131">
      <c r="B6131" s="19"/>
      <c r="E6131" s="23"/>
      <c r="L6131" s="23"/>
    </row>
    <row r="6132">
      <c r="B6132" s="19"/>
      <c r="E6132" s="23"/>
      <c r="L6132" s="23"/>
    </row>
    <row r="6133">
      <c r="B6133" s="19"/>
      <c r="E6133" s="23"/>
      <c r="L6133" s="23"/>
    </row>
    <row r="6134">
      <c r="B6134" s="19"/>
      <c r="E6134" s="23"/>
      <c r="L6134" s="23"/>
    </row>
    <row r="6135">
      <c r="B6135" s="19"/>
      <c r="E6135" s="23"/>
      <c r="L6135" s="23"/>
    </row>
    <row r="6136">
      <c r="B6136" s="19"/>
      <c r="E6136" s="23"/>
      <c r="L6136" s="23"/>
    </row>
    <row r="6137">
      <c r="B6137" s="19"/>
      <c r="E6137" s="23"/>
      <c r="L6137" s="23"/>
    </row>
    <row r="6138">
      <c r="B6138" s="19"/>
      <c r="E6138" s="23"/>
      <c r="L6138" s="23"/>
    </row>
    <row r="6139">
      <c r="B6139" s="19"/>
      <c r="E6139" s="23"/>
      <c r="L6139" s="23"/>
    </row>
    <row r="6140">
      <c r="B6140" s="19"/>
      <c r="E6140" s="23"/>
      <c r="L6140" s="23"/>
    </row>
    <row r="6141">
      <c r="B6141" s="19"/>
      <c r="E6141" s="23"/>
      <c r="L6141" s="23"/>
    </row>
    <row r="6142">
      <c r="B6142" s="19"/>
      <c r="E6142" s="23"/>
      <c r="L6142" s="23"/>
    </row>
    <row r="6143">
      <c r="B6143" s="19"/>
      <c r="E6143" s="23"/>
      <c r="L6143" s="23"/>
    </row>
    <row r="6144">
      <c r="B6144" s="19"/>
      <c r="E6144" s="23"/>
      <c r="L6144" s="23"/>
    </row>
    <row r="6145">
      <c r="B6145" s="19"/>
      <c r="E6145" s="23"/>
      <c r="L6145" s="23"/>
    </row>
    <row r="6146">
      <c r="B6146" s="19"/>
      <c r="E6146" s="23"/>
      <c r="L6146" s="23"/>
    </row>
    <row r="6147">
      <c r="B6147" s="19"/>
      <c r="E6147" s="23"/>
      <c r="L6147" s="23"/>
    </row>
    <row r="6148">
      <c r="B6148" s="19"/>
      <c r="E6148" s="23"/>
      <c r="L6148" s="23"/>
    </row>
    <row r="6149">
      <c r="B6149" s="19"/>
      <c r="E6149" s="23"/>
      <c r="L6149" s="23"/>
    </row>
    <row r="6150">
      <c r="B6150" s="19"/>
      <c r="E6150" s="23"/>
      <c r="L6150" s="23"/>
    </row>
    <row r="6151">
      <c r="B6151" s="19"/>
      <c r="E6151" s="23"/>
      <c r="L6151" s="23"/>
    </row>
    <row r="6152">
      <c r="B6152" s="19"/>
      <c r="E6152" s="23"/>
      <c r="L6152" s="23"/>
    </row>
    <row r="6153">
      <c r="B6153" s="19"/>
      <c r="E6153" s="23"/>
      <c r="L6153" s="23"/>
    </row>
    <row r="6154">
      <c r="B6154" s="19"/>
      <c r="E6154" s="23"/>
      <c r="L6154" s="23"/>
    </row>
    <row r="6155">
      <c r="B6155" s="19"/>
      <c r="E6155" s="23"/>
      <c r="L6155" s="23"/>
    </row>
    <row r="6156">
      <c r="B6156" s="19"/>
      <c r="E6156" s="23"/>
      <c r="L6156" s="23"/>
    </row>
    <row r="6157">
      <c r="B6157" s="19"/>
      <c r="E6157" s="23"/>
      <c r="L6157" s="23"/>
    </row>
    <row r="6158">
      <c r="B6158" s="19"/>
      <c r="E6158" s="23"/>
      <c r="L6158" s="23"/>
    </row>
    <row r="6159">
      <c r="B6159" s="19"/>
      <c r="E6159" s="23"/>
      <c r="L6159" s="23"/>
    </row>
    <row r="6160">
      <c r="B6160" s="19"/>
      <c r="E6160" s="23"/>
      <c r="L6160" s="23"/>
    </row>
    <row r="6161">
      <c r="B6161" s="19"/>
      <c r="E6161" s="23"/>
      <c r="L6161" s="23"/>
    </row>
    <row r="6162">
      <c r="B6162" s="19"/>
      <c r="E6162" s="23"/>
      <c r="L6162" s="23"/>
    </row>
    <row r="6163">
      <c r="B6163" s="19"/>
      <c r="E6163" s="23"/>
      <c r="L6163" s="23"/>
    </row>
    <row r="6164">
      <c r="B6164" s="19"/>
      <c r="E6164" s="23"/>
      <c r="L6164" s="23"/>
    </row>
    <row r="6165">
      <c r="B6165" s="19"/>
      <c r="E6165" s="23"/>
      <c r="L6165" s="23"/>
    </row>
    <row r="6166">
      <c r="B6166" s="19"/>
      <c r="E6166" s="23"/>
      <c r="L6166" s="23"/>
    </row>
    <row r="6167">
      <c r="B6167" s="19"/>
      <c r="E6167" s="23"/>
      <c r="L6167" s="23"/>
    </row>
    <row r="6168">
      <c r="B6168" s="19"/>
      <c r="E6168" s="23"/>
      <c r="L6168" s="23"/>
    </row>
    <row r="6169">
      <c r="B6169" s="19"/>
      <c r="E6169" s="23"/>
      <c r="L6169" s="23"/>
    </row>
    <row r="6170">
      <c r="B6170" s="19"/>
      <c r="E6170" s="23"/>
      <c r="L6170" s="23"/>
    </row>
    <row r="6171">
      <c r="B6171" s="19"/>
      <c r="E6171" s="23"/>
      <c r="L6171" s="23"/>
    </row>
    <row r="6172">
      <c r="B6172" s="19"/>
      <c r="E6172" s="23"/>
      <c r="L6172" s="23"/>
    </row>
    <row r="6173">
      <c r="B6173" s="19"/>
      <c r="E6173" s="23"/>
      <c r="L6173" s="23"/>
    </row>
    <row r="6174">
      <c r="B6174" s="19"/>
      <c r="E6174" s="23"/>
      <c r="L6174" s="23"/>
    </row>
    <row r="6175">
      <c r="B6175" s="19"/>
      <c r="E6175" s="23"/>
      <c r="L6175" s="23"/>
    </row>
    <row r="6176">
      <c r="B6176" s="19"/>
      <c r="E6176" s="23"/>
      <c r="L6176" s="23"/>
    </row>
    <row r="6177">
      <c r="B6177" s="19"/>
      <c r="E6177" s="23"/>
      <c r="L6177" s="23"/>
    </row>
    <row r="6178">
      <c r="B6178" s="19"/>
      <c r="E6178" s="23"/>
      <c r="L6178" s="23"/>
    </row>
    <row r="6179">
      <c r="B6179" s="19"/>
      <c r="E6179" s="23"/>
      <c r="L6179" s="23"/>
    </row>
    <row r="6180">
      <c r="B6180" s="19"/>
      <c r="E6180" s="23"/>
      <c r="L6180" s="23"/>
    </row>
    <row r="6181">
      <c r="B6181" s="19"/>
      <c r="E6181" s="23"/>
      <c r="L6181" s="23"/>
    </row>
    <row r="6182">
      <c r="B6182" s="19"/>
      <c r="E6182" s="23"/>
      <c r="L6182" s="23"/>
    </row>
    <row r="6183">
      <c r="B6183" s="19"/>
      <c r="E6183" s="23"/>
      <c r="L6183" s="23"/>
    </row>
    <row r="6184">
      <c r="B6184" s="19"/>
      <c r="E6184" s="23"/>
      <c r="L6184" s="23"/>
    </row>
    <row r="6185">
      <c r="B6185" s="19"/>
      <c r="E6185" s="23"/>
      <c r="L6185" s="23"/>
    </row>
    <row r="6186">
      <c r="B6186" s="19"/>
      <c r="E6186" s="23"/>
      <c r="L6186" s="23"/>
    </row>
    <row r="6187">
      <c r="B6187" s="19"/>
      <c r="E6187" s="23"/>
      <c r="L6187" s="23"/>
    </row>
    <row r="6188">
      <c r="B6188" s="19"/>
      <c r="E6188" s="23"/>
      <c r="L6188" s="23"/>
    </row>
    <row r="6189">
      <c r="B6189" s="19"/>
      <c r="E6189" s="23"/>
      <c r="L6189" s="23"/>
    </row>
    <row r="6190">
      <c r="B6190" s="19"/>
      <c r="E6190" s="23"/>
      <c r="L6190" s="23"/>
    </row>
    <row r="6191">
      <c r="B6191" s="19"/>
      <c r="E6191" s="23"/>
      <c r="L6191" s="23"/>
    </row>
    <row r="6192">
      <c r="B6192" s="19"/>
      <c r="E6192" s="23"/>
      <c r="L6192" s="23"/>
    </row>
    <row r="6193">
      <c r="B6193" s="19"/>
      <c r="E6193" s="23"/>
      <c r="L6193" s="23"/>
    </row>
    <row r="6194">
      <c r="B6194" s="19"/>
      <c r="E6194" s="23"/>
      <c r="L6194" s="23"/>
    </row>
    <row r="6195">
      <c r="B6195" s="19"/>
      <c r="E6195" s="23"/>
      <c r="L6195" s="23"/>
    </row>
    <row r="6196">
      <c r="B6196" s="19"/>
      <c r="E6196" s="23"/>
      <c r="L6196" s="23"/>
    </row>
    <row r="6197">
      <c r="B6197" s="19"/>
      <c r="E6197" s="23"/>
      <c r="L6197" s="23"/>
    </row>
    <row r="6198">
      <c r="B6198" s="19"/>
      <c r="E6198" s="23"/>
      <c r="L6198" s="23"/>
    </row>
    <row r="6199">
      <c r="B6199" s="19"/>
      <c r="E6199" s="23"/>
      <c r="L6199" s="23"/>
    </row>
    <row r="6200">
      <c r="B6200" s="19"/>
      <c r="E6200" s="23"/>
      <c r="L6200" s="23"/>
    </row>
    <row r="6201">
      <c r="B6201" s="19"/>
      <c r="E6201" s="23"/>
      <c r="L6201" s="23"/>
    </row>
    <row r="6202">
      <c r="B6202" s="19"/>
      <c r="E6202" s="23"/>
      <c r="L6202" s="23"/>
    </row>
    <row r="6203">
      <c r="B6203" s="19"/>
      <c r="E6203" s="23"/>
      <c r="L6203" s="23"/>
    </row>
    <row r="6204">
      <c r="B6204" s="19"/>
      <c r="E6204" s="23"/>
      <c r="L6204" s="23"/>
    </row>
    <row r="6205">
      <c r="B6205" s="19"/>
      <c r="E6205" s="23"/>
      <c r="L6205" s="23"/>
    </row>
    <row r="6206">
      <c r="B6206" s="19"/>
      <c r="E6206" s="23"/>
      <c r="L6206" s="23"/>
    </row>
    <row r="6207">
      <c r="B6207" s="19"/>
      <c r="E6207" s="23"/>
      <c r="L6207" s="23"/>
    </row>
    <row r="6208">
      <c r="B6208" s="19"/>
      <c r="E6208" s="23"/>
      <c r="L6208" s="23"/>
    </row>
    <row r="6209">
      <c r="B6209" s="19"/>
      <c r="E6209" s="23"/>
      <c r="L6209" s="23"/>
    </row>
    <row r="6210">
      <c r="B6210" s="19"/>
      <c r="E6210" s="23"/>
      <c r="L6210" s="23"/>
    </row>
    <row r="6211">
      <c r="B6211" s="19"/>
      <c r="E6211" s="23"/>
      <c r="L6211" s="23"/>
    </row>
    <row r="6212">
      <c r="B6212" s="19"/>
      <c r="E6212" s="23"/>
      <c r="L6212" s="23"/>
    </row>
    <row r="6213">
      <c r="B6213" s="19"/>
      <c r="E6213" s="23"/>
      <c r="L6213" s="23"/>
    </row>
    <row r="6214">
      <c r="B6214" s="19"/>
      <c r="E6214" s="23"/>
      <c r="L6214" s="23"/>
    </row>
    <row r="6215">
      <c r="B6215" s="19"/>
      <c r="E6215" s="23"/>
      <c r="L6215" s="23"/>
    </row>
    <row r="6216">
      <c r="B6216" s="19"/>
      <c r="E6216" s="23"/>
      <c r="L6216" s="23"/>
    </row>
    <row r="6217">
      <c r="B6217" s="19"/>
      <c r="E6217" s="23"/>
      <c r="L6217" s="23"/>
    </row>
    <row r="6218">
      <c r="B6218" s="19"/>
      <c r="E6218" s="23"/>
      <c r="L6218" s="23"/>
    </row>
    <row r="6219">
      <c r="B6219" s="19"/>
      <c r="E6219" s="23"/>
      <c r="L6219" s="23"/>
    </row>
    <row r="6220">
      <c r="B6220" s="19"/>
      <c r="E6220" s="23"/>
      <c r="L6220" s="23"/>
    </row>
    <row r="6221">
      <c r="B6221" s="19"/>
      <c r="E6221" s="23"/>
      <c r="L6221" s="23"/>
    </row>
    <row r="6222">
      <c r="B6222" s="19"/>
      <c r="E6222" s="23"/>
      <c r="L6222" s="23"/>
    </row>
    <row r="6223">
      <c r="B6223" s="19"/>
      <c r="E6223" s="23"/>
      <c r="L6223" s="23"/>
    </row>
    <row r="6224">
      <c r="B6224" s="19"/>
      <c r="E6224" s="23"/>
      <c r="L6224" s="23"/>
    </row>
    <row r="6225">
      <c r="B6225" s="19"/>
      <c r="E6225" s="23"/>
      <c r="L6225" s="23"/>
    </row>
    <row r="6226">
      <c r="B6226" s="19"/>
      <c r="E6226" s="23"/>
      <c r="L6226" s="23"/>
    </row>
    <row r="6227">
      <c r="B6227" s="19"/>
      <c r="E6227" s="23"/>
      <c r="L6227" s="23"/>
    </row>
    <row r="6228">
      <c r="B6228" s="19"/>
      <c r="E6228" s="23"/>
      <c r="L6228" s="23"/>
    </row>
    <row r="6229">
      <c r="B6229" s="19"/>
      <c r="E6229" s="23"/>
      <c r="L6229" s="23"/>
    </row>
    <row r="6230">
      <c r="B6230" s="19"/>
      <c r="E6230" s="23"/>
      <c r="L6230" s="23"/>
    </row>
    <row r="6231">
      <c r="B6231" s="19"/>
      <c r="E6231" s="23"/>
      <c r="L6231" s="23"/>
    </row>
    <row r="6232">
      <c r="B6232" s="19"/>
      <c r="E6232" s="23"/>
      <c r="L6232" s="23"/>
    </row>
    <row r="6233">
      <c r="B6233" s="19"/>
      <c r="E6233" s="23"/>
      <c r="L6233" s="23"/>
    </row>
    <row r="6234">
      <c r="B6234" s="19"/>
      <c r="E6234" s="23"/>
      <c r="L6234" s="23"/>
    </row>
    <row r="6235">
      <c r="B6235" s="19"/>
      <c r="E6235" s="23"/>
      <c r="L6235" s="23"/>
    </row>
    <row r="6236">
      <c r="B6236" s="19"/>
      <c r="E6236" s="23"/>
      <c r="L6236" s="23"/>
    </row>
    <row r="6237">
      <c r="B6237" s="19"/>
      <c r="E6237" s="23"/>
      <c r="L6237" s="23"/>
    </row>
    <row r="6238">
      <c r="B6238" s="19"/>
      <c r="E6238" s="23"/>
      <c r="L6238" s="23"/>
    </row>
    <row r="6239">
      <c r="B6239" s="19"/>
      <c r="E6239" s="23"/>
      <c r="L6239" s="23"/>
    </row>
    <row r="6240">
      <c r="B6240" s="19"/>
      <c r="E6240" s="23"/>
      <c r="L6240" s="23"/>
    </row>
    <row r="6241">
      <c r="B6241" s="19"/>
      <c r="E6241" s="23"/>
      <c r="L6241" s="23"/>
    </row>
    <row r="6242">
      <c r="B6242" s="19"/>
      <c r="E6242" s="23"/>
      <c r="L6242" s="23"/>
    </row>
    <row r="6243">
      <c r="B6243" s="19"/>
      <c r="E6243" s="23"/>
      <c r="L6243" s="23"/>
    </row>
    <row r="6244">
      <c r="B6244" s="19"/>
      <c r="E6244" s="23"/>
      <c r="L6244" s="23"/>
    </row>
    <row r="6245">
      <c r="B6245" s="19"/>
      <c r="E6245" s="23"/>
      <c r="L6245" s="23"/>
    </row>
    <row r="6246">
      <c r="B6246" s="19"/>
      <c r="E6246" s="23"/>
      <c r="L6246" s="23"/>
    </row>
    <row r="6247">
      <c r="B6247" s="19"/>
      <c r="E6247" s="23"/>
      <c r="L6247" s="23"/>
    </row>
    <row r="6248">
      <c r="B6248" s="19"/>
      <c r="E6248" s="23"/>
      <c r="L6248" s="23"/>
    </row>
    <row r="6249">
      <c r="B6249" s="19"/>
      <c r="E6249" s="23"/>
      <c r="L6249" s="23"/>
    </row>
    <row r="6250">
      <c r="B6250" s="19"/>
      <c r="E6250" s="23"/>
      <c r="L6250" s="23"/>
    </row>
    <row r="6251">
      <c r="B6251" s="19"/>
      <c r="E6251" s="23"/>
      <c r="L6251" s="23"/>
    </row>
    <row r="6252">
      <c r="B6252" s="19"/>
      <c r="E6252" s="23"/>
      <c r="L6252" s="23"/>
    </row>
    <row r="6253">
      <c r="B6253" s="19"/>
      <c r="E6253" s="23"/>
      <c r="L6253" s="23"/>
    </row>
    <row r="6254">
      <c r="B6254" s="19"/>
      <c r="E6254" s="23"/>
      <c r="L6254" s="23"/>
    </row>
    <row r="6255">
      <c r="B6255" s="19"/>
      <c r="E6255" s="23"/>
      <c r="L6255" s="23"/>
    </row>
    <row r="6256">
      <c r="B6256" s="19"/>
      <c r="E6256" s="23"/>
      <c r="L6256" s="23"/>
    </row>
    <row r="6257">
      <c r="B6257" s="19"/>
      <c r="E6257" s="23"/>
      <c r="L6257" s="23"/>
    </row>
    <row r="6258">
      <c r="B6258" s="19"/>
      <c r="E6258" s="23"/>
      <c r="L6258" s="23"/>
    </row>
    <row r="6259">
      <c r="B6259" s="19"/>
      <c r="E6259" s="23"/>
      <c r="L6259" s="23"/>
    </row>
    <row r="6260">
      <c r="B6260" s="19"/>
      <c r="E6260" s="23"/>
      <c r="L6260" s="23"/>
    </row>
    <row r="6261">
      <c r="B6261" s="19"/>
      <c r="E6261" s="23"/>
      <c r="L6261" s="23"/>
    </row>
    <row r="6262">
      <c r="B6262" s="19"/>
      <c r="E6262" s="23"/>
      <c r="L6262" s="23"/>
    </row>
    <row r="6263">
      <c r="B6263" s="19"/>
      <c r="E6263" s="23"/>
      <c r="L6263" s="23"/>
    </row>
    <row r="6264">
      <c r="B6264" s="19"/>
      <c r="E6264" s="23"/>
      <c r="L6264" s="23"/>
    </row>
    <row r="6265">
      <c r="B6265" s="19"/>
      <c r="E6265" s="23"/>
      <c r="L6265" s="23"/>
    </row>
    <row r="6266">
      <c r="B6266" s="19"/>
      <c r="E6266" s="23"/>
      <c r="L6266" s="23"/>
    </row>
    <row r="6267">
      <c r="B6267" s="19"/>
      <c r="E6267" s="23"/>
      <c r="L6267" s="23"/>
    </row>
    <row r="6268">
      <c r="B6268" s="19"/>
      <c r="E6268" s="23"/>
      <c r="L6268" s="23"/>
    </row>
    <row r="6269">
      <c r="B6269" s="19"/>
      <c r="E6269" s="23"/>
      <c r="L6269" s="23"/>
    </row>
    <row r="6270">
      <c r="B6270" s="19"/>
      <c r="E6270" s="23"/>
      <c r="L6270" s="23"/>
    </row>
    <row r="6271">
      <c r="B6271" s="19"/>
      <c r="E6271" s="23"/>
      <c r="L6271" s="23"/>
    </row>
    <row r="6272">
      <c r="B6272" s="19"/>
      <c r="E6272" s="23"/>
      <c r="L6272" s="23"/>
    </row>
    <row r="6273">
      <c r="B6273" s="19"/>
      <c r="E6273" s="23"/>
      <c r="L6273" s="23"/>
    </row>
    <row r="6274">
      <c r="B6274" s="19"/>
      <c r="E6274" s="23"/>
      <c r="L6274" s="23"/>
    </row>
    <row r="6275">
      <c r="B6275" s="19"/>
      <c r="E6275" s="23"/>
      <c r="L6275" s="23"/>
    </row>
    <row r="6276">
      <c r="B6276" s="19"/>
      <c r="E6276" s="23"/>
      <c r="L6276" s="23"/>
    </row>
    <row r="6277">
      <c r="B6277" s="19"/>
      <c r="E6277" s="23"/>
      <c r="L6277" s="23"/>
    </row>
    <row r="6278">
      <c r="B6278" s="19"/>
      <c r="E6278" s="23"/>
      <c r="L6278" s="23"/>
    </row>
    <row r="6279">
      <c r="B6279" s="19"/>
      <c r="E6279" s="23"/>
      <c r="L6279" s="23"/>
    </row>
    <row r="6280">
      <c r="B6280" s="19"/>
      <c r="E6280" s="23"/>
      <c r="L6280" s="23"/>
    </row>
    <row r="6281">
      <c r="B6281" s="19"/>
      <c r="E6281" s="23"/>
      <c r="L6281" s="23"/>
    </row>
    <row r="6282">
      <c r="B6282" s="19"/>
      <c r="E6282" s="23"/>
      <c r="L6282" s="23"/>
    </row>
    <row r="6283">
      <c r="B6283" s="19"/>
      <c r="E6283" s="23"/>
      <c r="L6283" s="23"/>
    </row>
    <row r="6284">
      <c r="B6284" s="19"/>
      <c r="E6284" s="23"/>
      <c r="L6284" s="23"/>
    </row>
    <row r="6285">
      <c r="B6285" s="19"/>
      <c r="E6285" s="23"/>
      <c r="L6285" s="23"/>
    </row>
    <row r="6286">
      <c r="B6286" s="19"/>
      <c r="E6286" s="23"/>
      <c r="L6286" s="23"/>
    </row>
    <row r="6287">
      <c r="B6287" s="19"/>
      <c r="E6287" s="23"/>
      <c r="L6287" s="23"/>
    </row>
    <row r="6288">
      <c r="B6288" s="19"/>
      <c r="E6288" s="23"/>
      <c r="L6288" s="23"/>
    </row>
    <row r="6289">
      <c r="B6289" s="19"/>
      <c r="E6289" s="23"/>
      <c r="L6289" s="23"/>
    </row>
    <row r="6290">
      <c r="B6290" s="19"/>
      <c r="E6290" s="23"/>
      <c r="L6290" s="23"/>
    </row>
    <row r="6291">
      <c r="B6291" s="19"/>
      <c r="E6291" s="23"/>
      <c r="L6291" s="23"/>
    </row>
    <row r="6292">
      <c r="B6292" s="19"/>
      <c r="E6292" s="23"/>
      <c r="L6292" s="23"/>
    </row>
    <row r="6293">
      <c r="B6293" s="19"/>
      <c r="E6293" s="23"/>
      <c r="L6293" s="23"/>
    </row>
    <row r="6294">
      <c r="B6294" s="19"/>
      <c r="E6294" s="23"/>
      <c r="L6294" s="23"/>
    </row>
    <row r="6295">
      <c r="B6295" s="19"/>
      <c r="E6295" s="23"/>
      <c r="L6295" s="23"/>
    </row>
    <row r="6296">
      <c r="B6296" s="19"/>
      <c r="E6296" s="23"/>
      <c r="L6296" s="23"/>
    </row>
    <row r="6297">
      <c r="B6297" s="19"/>
      <c r="E6297" s="23"/>
      <c r="L6297" s="23"/>
    </row>
    <row r="6298">
      <c r="B6298" s="19"/>
      <c r="E6298" s="23"/>
      <c r="L6298" s="23"/>
    </row>
    <row r="6299">
      <c r="B6299" s="19"/>
      <c r="E6299" s="23"/>
      <c r="L6299" s="23"/>
    </row>
    <row r="6300">
      <c r="B6300" s="19"/>
      <c r="E6300" s="23"/>
      <c r="L6300" s="23"/>
    </row>
    <row r="6301">
      <c r="B6301" s="19"/>
      <c r="E6301" s="23"/>
      <c r="L6301" s="23"/>
    </row>
    <row r="6302">
      <c r="B6302" s="19"/>
      <c r="E6302" s="23"/>
      <c r="L6302" s="23"/>
    </row>
    <row r="6303">
      <c r="B6303" s="19"/>
      <c r="E6303" s="23"/>
      <c r="L6303" s="23"/>
    </row>
    <row r="6304">
      <c r="B6304" s="19"/>
      <c r="E6304" s="23"/>
      <c r="L6304" s="23"/>
    </row>
    <row r="6305">
      <c r="B6305" s="19"/>
      <c r="E6305" s="23"/>
      <c r="L6305" s="23"/>
    </row>
    <row r="6306">
      <c r="B6306" s="19"/>
      <c r="E6306" s="23"/>
      <c r="L6306" s="23"/>
    </row>
    <row r="6307">
      <c r="B6307" s="19"/>
      <c r="E6307" s="23"/>
      <c r="L6307" s="23"/>
    </row>
    <row r="6308">
      <c r="B6308" s="19"/>
      <c r="E6308" s="23"/>
      <c r="L6308" s="23"/>
    </row>
    <row r="6309">
      <c r="B6309" s="19"/>
      <c r="E6309" s="23"/>
      <c r="L6309" s="23"/>
    </row>
    <row r="6310">
      <c r="B6310" s="19"/>
      <c r="E6310" s="23"/>
      <c r="L6310" s="23"/>
    </row>
    <row r="6311">
      <c r="B6311" s="19"/>
      <c r="E6311" s="23"/>
      <c r="L6311" s="23"/>
    </row>
    <row r="6312">
      <c r="B6312" s="19"/>
      <c r="E6312" s="23"/>
      <c r="L6312" s="23"/>
    </row>
    <row r="6313">
      <c r="B6313" s="19"/>
      <c r="E6313" s="23"/>
      <c r="L6313" s="23"/>
    </row>
    <row r="6314">
      <c r="B6314" s="19"/>
      <c r="E6314" s="23"/>
      <c r="L6314" s="23"/>
    </row>
    <row r="6315">
      <c r="B6315" s="19"/>
      <c r="E6315" s="23"/>
      <c r="L6315" s="23"/>
    </row>
    <row r="6316">
      <c r="B6316" s="19"/>
      <c r="E6316" s="23"/>
      <c r="L6316" s="23"/>
    </row>
    <row r="6317">
      <c r="B6317" s="19"/>
      <c r="E6317" s="23"/>
      <c r="L6317" s="23"/>
    </row>
    <row r="6318">
      <c r="B6318" s="19"/>
      <c r="E6318" s="23"/>
      <c r="L6318" s="23"/>
    </row>
    <row r="6319">
      <c r="B6319" s="19"/>
      <c r="E6319" s="23"/>
      <c r="L6319" s="23"/>
    </row>
    <row r="6320">
      <c r="B6320" s="19"/>
      <c r="E6320" s="23"/>
      <c r="L6320" s="23"/>
    </row>
    <row r="6321">
      <c r="B6321" s="19"/>
      <c r="E6321" s="23"/>
      <c r="L6321" s="23"/>
    </row>
    <row r="6322">
      <c r="B6322" s="19"/>
      <c r="E6322" s="23"/>
      <c r="L6322" s="23"/>
    </row>
    <row r="6323">
      <c r="B6323" s="19"/>
      <c r="E6323" s="23"/>
      <c r="L6323" s="23"/>
    </row>
    <row r="6324">
      <c r="B6324" s="19"/>
      <c r="E6324" s="23"/>
      <c r="L6324" s="23"/>
    </row>
    <row r="6325">
      <c r="B6325" s="19"/>
      <c r="E6325" s="23"/>
      <c r="L6325" s="23"/>
    </row>
    <row r="6326">
      <c r="B6326" s="19"/>
      <c r="E6326" s="23"/>
      <c r="L6326" s="23"/>
    </row>
    <row r="6327">
      <c r="B6327" s="19"/>
      <c r="E6327" s="23"/>
      <c r="L6327" s="23"/>
    </row>
    <row r="6328">
      <c r="B6328" s="19"/>
      <c r="E6328" s="23"/>
      <c r="L6328" s="23"/>
    </row>
    <row r="6329">
      <c r="B6329" s="19"/>
      <c r="E6329" s="23"/>
      <c r="L6329" s="23"/>
    </row>
    <row r="6330">
      <c r="B6330" s="19"/>
      <c r="E6330" s="23"/>
      <c r="L6330" s="23"/>
    </row>
    <row r="6331">
      <c r="B6331" s="19"/>
      <c r="E6331" s="23"/>
      <c r="L6331" s="23"/>
    </row>
    <row r="6332">
      <c r="B6332" s="19"/>
      <c r="E6332" s="23"/>
      <c r="L6332" s="23"/>
    </row>
    <row r="6333">
      <c r="B6333" s="19"/>
      <c r="E6333" s="23"/>
      <c r="L6333" s="23"/>
    </row>
    <row r="6334">
      <c r="B6334" s="19"/>
      <c r="E6334" s="23"/>
      <c r="L6334" s="23"/>
    </row>
    <row r="6335">
      <c r="B6335" s="19"/>
      <c r="E6335" s="23"/>
      <c r="L6335" s="23"/>
    </row>
    <row r="6336">
      <c r="B6336" s="19"/>
      <c r="E6336" s="23"/>
      <c r="L6336" s="23"/>
    </row>
    <row r="6337">
      <c r="B6337" s="19"/>
      <c r="E6337" s="23"/>
      <c r="L6337" s="23"/>
    </row>
    <row r="6338">
      <c r="B6338" s="19"/>
      <c r="E6338" s="23"/>
      <c r="L6338" s="23"/>
    </row>
    <row r="6339">
      <c r="B6339" s="19"/>
      <c r="E6339" s="23"/>
      <c r="L6339" s="23"/>
    </row>
    <row r="6340">
      <c r="B6340" s="19"/>
      <c r="E6340" s="23"/>
      <c r="L6340" s="23"/>
    </row>
    <row r="6341">
      <c r="B6341" s="19"/>
      <c r="E6341" s="23"/>
      <c r="L6341" s="23"/>
    </row>
    <row r="6342">
      <c r="B6342" s="19"/>
      <c r="E6342" s="23"/>
      <c r="L6342" s="23"/>
    </row>
    <row r="6343">
      <c r="B6343" s="19"/>
      <c r="E6343" s="23"/>
      <c r="L6343" s="23"/>
    </row>
    <row r="6344">
      <c r="B6344" s="19"/>
      <c r="E6344" s="23"/>
      <c r="L6344" s="23"/>
    </row>
    <row r="6345">
      <c r="B6345" s="19"/>
      <c r="E6345" s="23"/>
      <c r="L6345" s="23"/>
    </row>
    <row r="6346">
      <c r="B6346" s="19"/>
      <c r="E6346" s="23"/>
      <c r="L6346" s="23"/>
    </row>
    <row r="6347">
      <c r="B6347" s="19"/>
      <c r="E6347" s="23"/>
      <c r="L6347" s="23"/>
    </row>
    <row r="6348">
      <c r="B6348" s="19"/>
      <c r="E6348" s="23"/>
      <c r="L6348" s="23"/>
    </row>
    <row r="6349">
      <c r="B6349" s="19"/>
      <c r="E6349" s="23"/>
      <c r="L6349" s="23"/>
    </row>
    <row r="6350">
      <c r="B6350" s="19"/>
      <c r="E6350" s="23"/>
      <c r="L6350" s="23"/>
    </row>
    <row r="6351">
      <c r="B6351" s="19"/>
      <c r="E6351" s="23"/>
      <c r="L6351" s="23"/>
    </row>
    <row r="6352">
      <c r="B6352" s="19"/>
      <c r="E6352" s="23"/>
      <c r="L6352" s="23"/>
    </row>
    <row r="6353">
      <c r="B6353" s="19"/>
      <c r="E6353" s="23"/>
      <c r="L6353" s="23"/>
    </row>
    <row r="6354">
      <c r="B6354" s="19"/>
      <c r="E6354" s="23"/>
      <c r="L6354" s="23"/>
    </row>
    <row r="6355">
      <c r="B6355" s="19"/>
      <c r="E6355" s="23"/>
      <c r="L6355" s="23"/>
    </row>
    <row r="6356">
      <c r="B6356" s="19"/>
      <c r="E6356" s="23"/>
      <c r="L6356" s="23"/>
    </row>
    <row r="6357">
      <c r="B6357" s="19"/>
      <c r="E6357" s="23"/>
      <c r="L6357" s="23"/>
    </row>
    <row r="6358">
      <c r="B6358" s="19"/>
      <c r="E6358" s="23"/>
      <c r="L6358" s="23"/>
    </row>
    <row r="6359">
      <c r="B6359" s="19"/>
      <c r="E6359" s="23"/>
      <c r="L6359" s="23"/>
    </row>
    <row r="6360">
      <c r="B6360" s="19"/>
      <c r="E6360" s="23"/>
      <c r="L6360" s="23"/>
    </row>
    <row r="6361">
      <c r="B6361" s="19"/>
      <c r="E6361" s="23"/>
      <c r="L6361" s="23"/>
    </row>
    <row r="6362">
      <c r="B6362" s="19"/>
      <c r="E6362" s="23"/>
      <c r="L6362" s="23"/>
    </row>
    <row r="6363">
      <c r="B6363" s="19"/>
      <c r="E6363" s="23"/>
      <c r="L6363" s="23"/>
    </row>
    <row r="6364">
      <c r="B6364" s="19"/>
      <c r="E6364" s="23"/>
      <c r="L6364" s="23"/>
    </row>
    <row r="6365">
      <c r="B6365" s="19"/>
      <c r="E6365" s="23"/>
      <c r="L6365" s="23"/>
    </row>
    <row r="6366">
      <c r="B6366" s="19"/>
      <c r="E6366" s="23"/>
      <c r="L6366" s="23"/>
    </row>
    <row r="6367">
      <c r="B6367" s="19"/>
      <c r="E6367" s="23"/>
      <c r="L6367" s="23"/>
    </row>
    <row r="6368">
      <c r="B6368" s="19"/>
      <c r="E6368" s="23"/>
      <c r="L6368" s="23"/>
    </row>
    <row r="6369">
      <c r="B6369" s="19"/>
      <c r="E6369" s="23"/>
      <c r="L6369" s="23"/>
    </row>
    <row r="6370">
      <c r="B6370" s="19"/>
      <c r="E6370" s="23"/>
      <c r="L6370" s="23"/>
    </row>
    <row r="6371">
      <c r="B6371" s="19"/>
      <c r="E6371" s="23"/>
      <c r="L6371" s="23"/>
    </row>
    <row r="6372">
      <c r="B6372" s="19"/>
      <c r="E6372" s="23"/>
      <c r="L6372" s="23"/>
    </row>
    <row r="6373">
      <c r="B6373" s="19"/>
      <c r="E6373" s="23"/>
      <c r="L6373" s="23"/>
    </row>
    <row r="6374">
      <c r="B6374" s="19"/>
      <c r="E6374" s="23"/>
      <c r="L6374" s="23"/>
    </row>
    <row r="6375">
      <c r="B6375" s="19"/>
      <c r="E6375" s="23"/>
      <c r="L6375" s="23"/>
    </row>
    <row r="6376">
      <c r="B6376" s="19"/>
      <c r="E6376" s="23"/>
      <c r="L6376" s="23"/>
    </row>
    <row r="6377">
      <c r="B6377" s="19"/>
      <c r="E6377" s="23"/>
      <c r="L6377" s="23"/>
    </row>
    <row r="6378">
      <c r="B6378" s="19"/>
      <c r="E6378" s="23"/>
      <c r="L6378" s="23"/>
    </row>
    <row r="6379">
      <c r="B6379" s="19"/>
      <c r="E6379" s="23"/>
      <c r="L6379" s="23"/>
    </row>
    <row r="6380">
      <c r="B6380" s="19"/>
      <c r="E6380" s="23"/>
      <c r="L6380" s="23"/>
    </row>
    <row r="6381">
      <c r="B6381" s="19"/>
      <c r="E6381" s="23"/>
      <c r="L6381" s="23"/>
    </row>
    <row r="6382">
      <c r="B6382" s="19"/>
      <c r="E6382" s="23"/>
      <c r="L6382" s="23"/>
    </row>
    <row r="6383">
      <c r="B6383" s="19"/>
      <c r="E6383" s="23"/>
      <c r="L6383" s="23"/>
    </row>
    <row r="6384">
      <c r="B6384" s="19"/>
      <c r="E6384" s="23"/>
      <c r="L6384" s="23"/>
    </row>
    <row r="6385">
      <c r="B6385" s="19"/>
      <c r="E6385" s="23"/>
      <c r="L6385" s="23"/>
    </row>
    <row r="6386">
      <c r="B6386" s="19"/>
      <c r="E6386" s="23"/>
      <c r="L6386" s="23"/>
    </row>
    <row r="6387">
      <c r="B6387" s="19"/>
      <c r="E6387" s="23"/>
      <c r="L6387" s="23"/>
    </row>
    <row r="6388">
      <c r="B6388" s="19"/>
      <c r="E6388" s="23"/>
      <c r="L6388" s="23"/>
    </row>
    <row r="6389">
      <c r="B6389" s="19"/>
      <c r="E6389" s="23"/>
      <c r="L6389" s="23"/>
    </row>
    <row r="6390">
      <c r="B6390" s="19"/>
      <c r="E6390" s="23"/>
      <c r="L6390" s="23"/>
    </row>
    <row r="6391">
      <c r="B6391" s="19"/>
      <c r="E6391" s="23"/>
      <c r="L6391" s="23"/>
    </row>
    <row r="6392">
      <c r="B6392" s="19"/>
      <c r="E6392" s="23"/>
      <c r="L6392" s="23"/>
    </row>
    <row r="6393">
      <c r="B6393" s="19"/>
      <c r="E6393" s="23"/>
      <c r="L6393" s="23"/>
    </row>
    <row r="6394">
      <c r="B6394" s="19"/>
      <c r="E6394" s="23"/>
      <c r="L6394" s="23"/>
    </row>
    <row r="6395">
      <c r="B6395" s="19"/>
      <c r="E6395" s="23"/>
      <c r="L6395" s="23"/>
    </row>
    <row r="6396">
      <c r="B6396" s="19"/>
      <c r="E6396" s="23"/>
      <c r="L6396" s="23"/>
    </row>
    <row r="6397">
      <c r="B6397" s="19"/>
      <c r="E6397" s="23"/>
      <c r="L6397" s="23"/>
    </row>
    <row r="6398">
      <c r="B6398" s="19"/>
      <c r="E6398" s="23"/>
      <c r="L6398" s="23"/>
    </row>
    <row r="6399">
      <c r="B6399" s="19"/>
      <c r="E6399" s="23"/>
      <c r="L6399" s="23"/>
    </row>
    <row r="6400">
      <c r="B6400" s="19"/>
      <c r="E6400" s="23"/>
      <c r="L6400" s="23"/>
    </row>
    <row r="6401">
      <c r="B6401" s="19"/>
      <c r="E6401" s="23"/>
      <c r="L6401" s="23"/>
    </row>
    <row r="6402">
      <c r="B6402" s="19"/>
      <c r="E6402" s="23"/>
      <c r="L6402" s="23"/>
    </row>
    <row r="6403">
      <c r="B6403" s="19"/>
      <c r="E6403" s="23"/>
      <c r="L6403" s="23"/>
    </row>
    <row r="6404">
      <c r="B6404" s="19"/>
      <c r="E6404" s="23"/>
      <c r="L6404" s="23"/>
    </row>
    <row r="6405">
      <c r="B6405" s="19"/>
      <c r="E6405" s="23"/>
      <c r="L6405" s="23"/>
    </row>
    <row r="6406">
      <c r="B6406" s="19"/>
      <c r="E6406" s="23"/>
      <c r="L6406" s="23"/>
    </row>
    <row r="6407">
      <c r="B6407" s="19"/>
      <c r="E6407" s="23"/>
      <c r="L6407" s="23"/>
    </row>
    <row r="6408">
      <c r="B6408" s="19"/>
      <c r="E6408" s="23"/>
      <c r="L6408" s="23"/>
    </row>
    <row r="6409">
      <c r="B6409" s="19"/>
      <c r="E6409" s="23"/>
      <c r="L6409" s="23"/>
    </row>
    <row r="6410">
      <c r="B6410" s="19"/>
      <c r="E6410" s="23"/>
      <c r="L6410" s="23"/>
    </row>
    <row r="6411">
      <c r="B6411" s="19"/>
      <c r="E6411" s="23"/>
      <c r="L6411" s="23"/>
    </row>
    <row r="6412">
      <c r="B6412" s="19"/>
      <c r="E6412" s="23"/>
      <c r="L6412" s="23"/>
    </row>
    <row r="6413">
      <c r="B6413" s="19"/>
      <c r="E6413" s="23"/>
      <c r="L6413" s="23"/>
    </row>
    <row r="6414">
      <c r="B6414" s="19"/>
      <c r="E6414" s="23"/>
      <c r="L6414" s="23"/>
    </row>
    <row r="6415">
      <c r="B6415" s="19"/>
      <c r="E6415" s="23"/>
      <c r="L6415" s="23"/>
    </row>
    <row r="6416">
      <c r="B6416" s="19"/>
      <c r="E6416" s="23"/>
      <c r="L6416" s="23"/>
    </row>
    <row r="6417">
      <c r="B6417" s="19"/>
      <c r="E6417" s="23"/>
      <c r="L6417" s="23"/>
    </row>
    <row r="6418">
      <c r="B6418" s="19"/>
      <c r="E6418" s="23"/>
      <c r="L6418" s="23"/>
    </row>
    <row r="6419">
      <c r="B6419" s="19"/>
      <c r="E6419" s="23"/>
      <c r="L6419" s="23"/>
    </row>
    <row r="6420">
      <c r="B6420" s="19"/>
      <c r="E6420" s="23"/>
      <c r="L6420" s="23"/>
    </row>
    <row r="6421">
      <c r="B6421" s="19"/>
      <c r="E6421" s="23"/>
      <c r="L6421" s="23"/>
    </row>
    <row r="6422">
      <c r="B6422" s="19"/>
      <c r="E6422" s="23"/>
      <c r="L6422" s="23"/>
    </row>
    <row r="6423">
      <c r="B6423" s="19"/>
      <c r="E6423" s="23"/>
      <c r="L6423" s="23"/>
    </row>
    <row r="6424">
      <c r="B6424" s="19"/>
      <c r="E6424" s="23"/>
      <c r="L6424" s="23"/>
    </row>
    <row r="6425">
      <c r="B6425" s="19"/>
      <c r="E6425" s="23"/>
      <c r="L6425" s="23"/>
    </row>
    <row r="6426">
      <c r="B6426" s="19"/>
      <c r="E6426" s="23"/>
      <c r="L6426" s="23"/>
    </row>
    <row r="6427">
      <c r="B6427" s="19"/>
      <c r="E6427" s="23"/>
      <c r="L6427" s="23"/>
    </row>
    <row r="6428">
      <c r="B6428" s="19"/>
      <c r="E6428" s="23"/>
      <c r="L6428" s="23"/>
    </row>
    <row r="6429">
      <c r="B6429" s="19"/>
      <c r="E6429" s="23"/>
      <c r="L6429" s="23"/>
    </row>
    <row r="6430">
      <c r="B6430" s="19"/>
      <c r="E6430" s="23"/>
      <c r="L6430" s="23"/>
    </row>
    <row r="6431">
      <c r="B6431" s="19"/>
      <c r="E6431" s="23"/>
      <c r="L6431" s="23"/>
    </row>
    <row r="6432">
      <c r="B6432" s="19"/>
      <c r="E6432" s="23"/>
      <c r="L6432" s="23"/>
    </row>
    <row r="6433">
      <c r="B6433" s="19"/>
      <c r="E6433" s="23"/>
      <c r="L6433" s="23"/>
    </row>
    <row r="6434">
      <c r="B6434" s="19"/>
      <c r="E6434" s="23"/>
      <c r="L6434" s="23"/>
    </row>
    <row r="6435">
      <c r="B6435" s="19"/>
      <c r="E6435" s="23"/>
      <c r="L6435" s="23"/>
    </row>
    <row r="6436">
      <c r="B6436" s="19"/>
      <c r="E6436" s="23"/>
      <c r="L6436" s="23"/>
    </row>
    <row r="6437">
      <c r="B6437" s="19"/>
      <c r="E6437" s="23"/>
      <c r="L6437" s="23"/>
    </row>
    <row r="6438">
      <c r="B6438" s="19"/>
      <c r="E6438" s="23"/>
      <c r="L6438" s="23"/>
    </row>
    <row r="6439">
      <c r="B6439" s="19"/>
      <c r="E6439" s="23"/>
      <c r="L6439" s="23"/>
    </row>
    <row r="6440">
      <c r="B6440" s="19"/>
      <c r="E6440" s="23"/>
      <c r="L6440" s="23"/>
    </row>
    <row r="6441">
      <c r="B6441" s="19"/>
      <c r="E6441" s="23"/>
      <c r="L6441" s="23"/>
    </row>
    <row r="6442">
      <c r="B6442" s="19"/>
      <c r="E6442" s="23"/>
      <c r="L6442" s="23"/>
    </row>
    <row r="6443">
      <c r="B6443" s="19"/>
      <c r="E6443" s="23"/>
      <c r="L6443" s="23"/>
    </row>
    <row r="6444">
      <c r="B6444" s="19"/>
      <c r="E6444" s="23"/>
      <c r="L6444" s="23"/>
    </row>
    <row r="6445">
      <c r="B6445" s="19"/>
      <c r="E6445" s="23"/>
      <c r="L6445" s="23"/>
    </row>
    <row r="6446">
      <c r="B6446" s="19"/>
      <c r="E6446" s="23"/>
      <c r="L6446" s="23"/>
    </row>
    <row r="6447">
      <c r="B6447" s="19"/>
      <c r="E6447" s="23"/>
      <c r="L6447" s="23"/>
    </row>
    <row r="6448">
      <c r="B6448" s="19"/>
      <c r="E6448" s="23"/>
      <c r="L6448" s="23"/>
    </row>
    <row r="6449">
      <c r="B6449" s="19"/>
      <c r="E6449" s="23"/>
      <c r="L6449" s="23"/>
    </row>
    <row r="6450">
      <c r="B6450" s="19"/>
      <c r="E6450" s="23"/>
      <c r="L6450" s="23"/>
    </row>
    <row r="6451">
      <c r="B6451" s="19"/>
      <c r="E6451" s="23"/>
      <c r="L6451" s="23"/>
    </row>
    <row r="6452">
      <c r="B6452" s="19"/>
      <c r="E6452" s="23"/>
      <c r="L6452" s="23"/>
    </row>
    <row r="6453">
      <c r="B6453" s="19"/>
      <c r="E6453" s="23"/>
      <c r="L6453" s="23"/>
    </row>
    <row r="6454">
      <c r="B6454" s="19"/>
      <c r="E6454" s="23"/>
      <c r="L6454" s="23"/>
    </row>
    <row r="6455">
      <c r="B6455" s="19"/>
      <c r="E6455" s="23"/>
      <c r="L6455" s="23"/>
    </row>
    <row r="6456">
      <c r="B6456" s="19"/>
      <c r="E6456" s="23"/>
      <c r="L6456" s="23"/>
    </row>
    <row r="6457">
      <c r="B6457" s="19"/>
      <c r="E6457" s="23"/>
      <c r="L6457" s="23"/>
    </row>
    <row r="6458">
      <c r="B6458" s="19"/>
      <c r="E6458" s="23"/>
      <c r="L6458" s="23"/>
    </row>
    <row r="6459">
      <c r="B6459" s="19"/>
      <c r="E6459" s="23"/>
      <c r="L6459" s="23"/>
    </row>
    <row r="6460">
      <c r="B6460" s="19"/>
      <c r="E6460" s="23"/>
      <c r="L6460" s="23"/>
    </row>
    <row r="6461">
      <c r="B6461" s="19"/>
      <c r="E6461" s="23"/>
      <c r="L6461" s="23"/>
    </row>
    <row r="6462">
      <c r="B6462" s="19"/>
      <c r="E6462" s="23"/>
      <c r="L6462" s="23"/>
    </row>
    <row r="6463">
      <c r="B6463" s="19"/>
      <c r="E6463" s="23"/>
      <c r="L6463" s="23"/>
    </row>
    <row r="6464">
      <c r="B6464" s="19"/>
      <c r="E6464" s="23"/>
      <c r="L6464" s="23"/>
    </row>
    <row r="6465">
      <c r="B6465" s="19"/>
      <c r="E6465" s="23"/>
      <c r="L6465" s="23"/>
    </row>
    <row r="6466">
      <c r="B6466" s="19"/>
      <c r="E6466" s="23"/>
      <c r="L6466" s="23"/>
    </row>
    <row r="6467">
      <c r="B6467" s="19"/>
      <c r="E6467" s="23"/>
      <c r="L6467" s="23"/>
    </row>
    <row r="6468">
      <c r="B6468" s="19"/>
      <c r="E6468" s="23"/>
      <c r="L6468" s="23"/>
    </row>
    <row r="6469">
      <c r="B6469" s="19"/>
      <c r="E6469" s="23"/>
      <c r="L6469" s="23"/>
    </row>
    <row r="6470">
      <c r="B6470" s="19"/>
      <c r="E6470" s="23"/>
      <c r="L6470" s="23"/>
    </row>
    <row r="6471">
      <c r="B6471" s="19"/>
      <c r="E6471" s="23"/>
      <c r="L6471" s="23"/>
    </row>
    <row r="6472">
      <c r="B6472" s="19"/>
      <c r="E6472" s="23"/>
      <c r="L6472" s="23"/>
    </row>
    <row r="6473">
      <c r="B6473" s="19"/>
      <c r="E6473" s="23"/>
      <c r="L6473" s="23"/>
    </row>
    <row r="6474">
      <c r="B6474" s="19"/>
      <c r="E6474" s="23"/>
      <c r="L6474" s="23"/>
    </row>
    <row r="6475">
      <c r="B6475" s="19"/>
      <c r="E6475" s="23"/>
      <c r="L6475" s="23"/>
    </row>
    <row r="6476">
      <c r="B6476" s="19"/>
      <c r="E6476" s="23"/>
      <c r="L6476" s="23"/>
    </row>
    <row r="6477">
      <c r="B6477" s="19"/>
      <c r="E6477" s="23"/>
      <c r="L6477" s="23"/>
    </row>
    <row r="6478">
      <c r="B6478" s="19"/>
      <c r="E6478" s="23"/>
      <c r="L6478" s="23"/>
    </row>
    <row r="6479">
      <c r="B6479" s="19"/>
      <c r="E6479" s="23"/>
      <c r="L6479" s="23"/>
    </row>
    <row r="6480">
      <c r="B6480" s="19"/>
      <c r="E6480" s="23"/>
      <c r="L6480" s="23"/>
    </row>
    <row r="6481">
      <c r="B6481" s="19"/>
      <c r="E6481" s="23"/>
      <c r="L6481" s="23"/>
    </row>
    <row r="6482">
      <c r="B6482" s="19"/>
      <c r="E6482" s="23"/>
      <c r="L6482" s="23"/>
    </row>
    <row r="6483">
      <c r="B6483" s="19"/>
      <c r="E6483" s="23"/>
      <c r="L6483" s="23"/>
    </row>
    <row r="6484">
      <c r="B6484" s="19"/>
      <c r="E6484" s="23"/>
      <c r="L6484" s="23"/>
    </row>
    <row r="6485">
      <c r="B6485" s="19"/>
      <c r="E6485" s="23"/>
      <c r="L6485" s="23"/>
    </row>
    <row r="6486">
      <c r="B6486" s="19"/>
      <c r="E6486" s="23"/>
      <c r="L6486" s="23"/>
    </row>
    <row r="6487">
      <c r="B6487" s="19"/>
      <c r="E6487" s="23"/>
      <c r="L6487" s="23"/>
    </row>
    <row r="6488">
      <c r="B6488" s="19"/>
      <c r="E6488" s="23"/>
      <c r="L6488" s="23"/>
    </row>
    <row r="6489">
      <c r="B6489" s="19"/>
      <c r="E6489" s="23"/>
      <c r="L6489" s="23"/>
    </row>
    <row r="6490">
      <c r="B6490" s="19"/>
      <c r="E6490" s="23"/>
      <c r="L6490" s="23"/>
    </row>
    <row r="6491">
      <c r="B6491" s="19"/>
      <c r="E6491" s="23"/>
      <c r="L6491" s="23"/>
    </row>
    <row r="6492">
      <c r="B6492" s="19"/>
      <c r="E6492" s="23"/>
      <c r="L6492" s="23"/>
    </row>
    <row r="6493">
      <c r="B6493" s="19"/>
      <c r="E6493" s="23"/>
      <c r="L6493" s="23"/>
    </row>
    <row r="6494">
      <c r="B6494" s="19"/>
      <c r="E6494" s="23"/>
      <c r="L6494" s="23"/>
    </row>
    <row r="6495">
      <c r="B6495" s="19"/>
      <c r="E6495" s="23"/>
      <c r="L6495" s="23"/>
    </row>
    <row r="6496">
      <c r="B6496" s="19"/>
      <c r="E6496" s="23"/>
      <c r="L6496" s="23"/>
    </row>
    <row r="6497">
      <c r="B6497" s="19"/>
      <c r="E6497" s="23"/>
      <c r="L6497" s="23"/>
    </row>
    <row r="6498">
      <c r="B6498" s="19"/>
      <c r="E6498" s="23"/>
      <c r="L6498" s="23"/>
    </row>
    <row r="6499">
      <c r="B6499" s="19"/>
      <c r="E6499" s="23"/>
      <c r="L6499" s="23"/>
    </row>
    <row r="6500">
      <c r="B6500" s="19"/>
      <c r="E6500" s="23"/>
      <c r="L6500" s="23"/>
    </row>
    <row r="6501">
      <c r="B6501" s="19"/>
      <c r="E6501" s="23"/>
      <c r="L6501" s="23"/>
    </row>
    <row r="6502">
      <c r="B6502" s="19"/>
      <c r="E6502" s="23"/>
      <c r="L6502" s="23"/>
    </row>
    <row r="6503">
      <c r="B6503" s="19"/>
      <c r="E6503" s="23"/>
      <c r="L6503" s="23"/>
    </row>
    <row r="6504">
      <c r="B6504" s="19"/>
      <c r="E6504" s="23"/>
      <c r="L6504" s="23"/>
    </row>
    <row r="6505">
      <c r="B6505" s="19"/>
      <c r="E6505" s="23"/>
      <c r="L6505" s="23"/>
    </row>
    <row r="6506">
      <c r="B6506" s="19"/>
      <c r="E6506" s="23"/>
      <c r="L6506" s="23"/>
    </row>
    <row r="6507">
      <c r="B6507" s="19"/>
      <c r="E6507" s="23"/>
      <c r="L6507" s="23"/>
    </row>
    <row r="6508">
      <c r="B6508" s="19"/>
      <c r="E6508" s="23"/>
      <c r="L6508" s="23"/>
    </row>
    <row r="6509">
      <c r="B6509" s="19"/>
      <c r="E6509" s="23"/>
      <c r="L6509" s="23"/>
    </row>
    <row r="6510">
      <c r="B6510" s="19"/>
      <c r="E6510" s="23"/>
      <c r="L6510" s="23"/>
    </row>
    <row r="6511">
      <c r="B6511" s="19"/>
      <c r="E6511" s="23"/>
      <c r="L6511" s="23"/>
    </row>
    <row r="6512">
      <c r="B6512" s="19"/>
      <c r="E6512" s="23"/>
      <c r="L6512" s="23"/>
    </row>
    <row r="6513">
      <c r="B6513" s="19"/>
      <c r="E6513" s="23"/>
      <c r="L6513" s="23"/>
    </row>
    <row r="6514">
      <c r="B6514" s="19"/>
      <c r="E6514" s="23"/>
      <c r="L6514" s="23"/>
    </row>
    <row r="6515">
      <c r="B6515" s="19"/>
      <c r="E6515" s="23"/>
      <c r="L6515" s="23"/>
    </row>
    <row r="6516">
      <c r="B6516" s="19"/>
      <c r="E6516" s="23"/>
      <c r="L6516" s="23"/>
    </row>
    <row r="6517">
      <c r="B6517" s="19"/>
      <c r="E6517" s="23"/>
      <c r="L6517" s="23"/>
    </row>
    <row r="6518">
      <c r="B6518" s="19"/>
      <c r="E6518" s="23"/>
      <c r="L6518" s="23"/>
    </row>
    <row r="6519">
      <c r="B6519" s="19"/>
      <c r="E6519" s="23"/>
      <c r="L6519" s="23"/>
    </row>
    <row r="6520">
      <c r="B6520" s="19"/>
      <c r="E6520" s="23"/>
      <c r="L6520" s="23"/>
    </row>
    <row r="6521">
      <c r="B6521" s="19"/>
      <c r="E6521" s="23"/>
      <c r="L6521" s="23"/>
    </row>
    <row r="6522">
      <c r="B6522" s="19"/>
      <c r="E6522" s="23"/>
      <c r="L6522" s="23"/>
    </row>
    <row r="6523">
      <c r="B6523" s="19"/>
      <c r="E6523" s="23"/>
      <c r="L6523" s="23"/>
    </row>
    <row r="6524">
      <c r="B6524" s="19"/>
      <c r="E6524" s="23"/>
      <c r="L6524" s="23"/>
    </row>
    <row r="6525">
      <c r="B6525" s="19"/>
      <c r="E6525" s="23"/>
      <c r="L6525" s="23"/>
    </row>
    <row r="6526">
      <c r="B6526" s="19"/>
      <c r="E6526" s="23"/>
      <c r="L6526" s="23"/>
    </row>
    <row r="6527">
      <c r="B6527" s="19"/>
      <c r="E6527" s="23"/>
      <c r="L6527" s="23"/>
    </row>
    <row r="6528">
      <c r="B6528" s="19"/>
      <c r="E6528" s="23"/>
      <c r="L6528" s="23"/>
    </row>
    <row r="6529">
      <c r="B6529" s="19"/>
      <c r="E6529" s="23"/>
      <c r="L6529" s="23"/>
    </row>
    <row r="6530">
      <c r="B6530" s="19"/>
      <c r="E6530" s="23"/>
      <c r="L6530" s="23"/>
    </row>
    <row r="6531">
      <c r="B6531" s="19"/>
      <c r="E6531" s="23"/>
      <c r="L6531" s="23"/>
    </row>
    <row r="6532">
      <c r="B6532" s="19"/>
      <c r="E6532" s="23"/>
      <c r="L6532" s="23"/>
    </row>
    <row r="6533">
      <c r="B6533" s="19"/>
      <c r="E6533" s="23"/>
      <c r="L6533" s="23"/>
    </row>
    <row r="6534">
      <c r="B6534" s="19"/>
      <c r="E6534" s="23"/>
      <c r="L6534" s="23"/>
    </row>
    <row r="6535">
      <c r="B6535" s="19"/>
      <c r="E6535" s="23"/>
      <c r="L6535" s="23"/>
    </row>
    <row r="6536">
      <c r="B6536" s="19"/>
      <c r="E6536" s="23"/>
      <c r="L6536" s="23"/>
    </row>
    <row r="6537">
      <c r="B6537" s="19"/>
      <c r="E6537" s="23"/>
      <c r="L6537" s="23"/>
    </row>
    <row r="6538">
      <c r="B6538" s="19"/>
      <c r="E6538" s="23"/>
      <c r="L6538" s="23"/>
    </row>
    <row r="6539">
      <c r="B6539" s="19"/>
      <c r="E6539" s="23"/>
      <c r="L6539" s="23"/>
    </row>
    <row r="6540">
      <c r="B6540" s="19"/>
      <c r="E6540" s="23"/>
      <c r="L6540" s="23"/>
    </row>
    <row r="6541">
      <c r="B6541" s="19"/>
      <c r="E6541" s="23"/>
      <c r="L6541" s="23"/>
    </row>
    <row r="6542">
      <c r="B6542" s="19"/>
      <c r="E6542" s="23"/>
      <c r="L6542" s="23"/>
    </row>
    <row r="6543">
      <c r="B6543" s="19"/>
      <c r="E6543" s="23"/>
      <c r="L6543" s="23"/>
    </row>
    <row r="6544">
      <c r="B6544" s="19"/>
      <c r="E6544" s="23"/>
      <c r="L6544" s="23"/>
    </row>
    <row r="6545">
      <c r="B6545" s="19"/>
      <c r="E6545" s="23"/>
      <c r="L6545" s="23"/>
    </row>
    <row r="6546">
      <c r="B6546" s="19"/>
      <c r="E6546" s="23"/>
      <c r="L6546" s="23"/>
    </row>
    <row r="6547">
      <c r="B6547" s="19"/>
      <c r="E6547" s="23"/>
      <c r="L6547" s="23"/>
    </row>
    <row r="6548">
      <c r="B6548" s="19"/>
      <c r="E6548" s="23"/>
      <c r="L6548" s="23"/>
    </row>
    <row r="6549">
      <c r="B6549" s="19"/>
      <c r="E6549" s="23"/>
      <c r="L6549" s="23"/>
    </row>
    <row r="6550">
      <c r="B6550" s="19"/>
      <c r="E6550" s="23"/>
      <c r="L6550" s="23"/>
    </row>
    <row r="6551">
      <c r="B6551" s="19"/>
      <c r="E6551" s="23"/>
      <c r="L6551" s="23"/>
    </row>
    <row r="6552">
      <c r="B6552" s="19"/>
      <c r="E6552" s="23"/>
      <c r="L6552" s="23"/>
    </row>
    <row r="6553">
      <c r="B6553" s="19"/>
      <c r="E6553" s="23"/>
      <c r="L6553" s="23"/>
    </row>
    <row r="6554">
      <c r="B6554" s="19"/>
      <c r="E6554" s="23"/>
      <c r="L6554" s="23"/>
    </row>
    <row r="6555">
      <c r="B6555" s="19"/>
      <c r="E6555" s="23"/>
      <c r="L6555" s="23"/>
    </row>
    <row r="6556">
      <c r="B6556" s="19"/>
      <c r="E6556" s="23"/>
      <c r="L6556" s="23"/>
    </row>
    <row r="6557">
      <c r="B6557" s="19"/>
      <c r="E6557" s="23"/>
      <c r="L6557" s="23"/>
    </row>
    <row r="6558">
      <c r="B6558" s="19"/>
      <c r="E6558" s="23"/>
      <c r="L6558" s="23"/>
    </row>
    <row r="6559">
      <c r="B6559" s="19"/>
      <c r="E6559" s="23"/>
      <c r="L6559" s="23"/>
    </row>
    <row r="6560">
      <c r="B6560" s="19"/>
      <c r="E6560" s="23"/>
      <c r="L6560" s="23"/>
    </row>
    <row r="6561">
      <c r="B6561" s="19"/>
      <c r="E6561" s="23"/>
      <c r="L6561" s="23"/>
    </row>
    <row r="6562">
      <c r="B6562" s="19"/>
      <c r="E6562" s="23"/>
      <c r="L6562" s="23"/>
    </row>
    <row r="6563">
      <c r="B6563" s="19"/>
      <c r="E6563" s="23"/>
      <c r="L6563" s="23"/>
    </row>
    <row r="6564">
      <c r="B6564" s="19"/>
      <c r="E6564" s="23"/>
      <c r="L6564" s="23"/>
    </row>
    <row r="6565">
      <c r="B6565" s="19"/>
      <c r="E6565" s="23"/>
      <c r="L6565" s="23"/>
    </row>
    <row r="6566">
      <c r="B6566" s="19"/>
      <c r="E6566" s="23"/>
      <c r="L6566" s="23"/>
    </row>
    <row r="6567">
      <c r="B6567" s="19"/>
      <c r="E6567" s="23"/>
      <c r="L6567" s="23"/>
    </row>
    <row r="6568">
      <c r="B6568" s="19"/>
      <c r="E6568" s="23"/>
      <c r="L6568" s="23"/>
    </row>
    <row r="6569">
      <c r="B6569" s="19"/>
      <c r="E6569" s="23"/>
      <c r="L6569" s="23"/>
    </row>
    <row r="6570">
      <c r="B6570" s="19"/>
      <c r="E6570" s="23"/>
      <c r="L6570" s="23"/>
    </row>
    <row r="6571">
      <c r="B6571" s="19"/>
      <c r="E6571" s="23"/>
      <c r="L6571" s="23"/>
    </row>
    <row r="6572">
      <c r="B6572" s="19"/>
      <c r="E6572" s="23"/>
      <c r="L6572" s="23"/>
    </row>
    <row r="6573">
      <c r="B6573" s="19"/>
      <c r="E6573" s="23"/>
      <c r="L6573" s="23"/>
    </row>
    <row r="6574">
      <c r="B6574" s="19"/>
      <c r="E6574" s="23"/>
      <c r="L6574" s="23"/>
    </row>
    <row r="6575">
      <c r="B6575" s="19"/>
      <c r="E6575" s="23"/>
      <c r="L6575" s="23"/>
    </row>
    <row r="6576">
      <c r="B6576" s="19"/>
      <c r="E6576" s="23"/>
      <c r="L6576" s="23"/>
    </row>
    <row r="6577">
      <c r="B6577" s="19"/>
      <c r="E6577" s="23"/>
      <c r="L6577" s="23"/>
    </row>
    <row r="6578">
      <c r="B6578" s="19"/>
      <c r="E6578" s="23"/>
      <c r="L6578" s="23"/>
    </row>
    <row r="6579">
      <c r="B6579" s="19"/>
      <c r="E6579" s="23"/>
      <c r="L6579" s="23"/>
    </row>
    <row r="6580">
      <c r="B6580" s="19"/>
      <c r="E6580" s="23"/>
      <c r="L6580" s="23"/>
    </row>
    <row r="6581">
      <c r="B6581" s="19"/>
      <c r="E6581" s="23"/>
      <c r="L6581" s="23"/>
    </row>
    <row r="6582">
      <c r="B6582" s="19"/>
      <c r="E6582" s="23"/>
      <c r="L6582" s="23"/>
    </row>
    <row r="6583">
      <c r="B6583" s="19"/>
      <c r="E6583" s="23"/>
      <c r="L6583" s="23"/>
    </row>
    <row r="6584">
      <c r="B6584" s="19"/>
      <c r="E6584" s="23"/>
      <c r="L6584" s="23"/>
    </row>
    <row r="6585">
      <c r="B6585" s="19"/>
      <c r="E6585" s="23"/>
      <c r="L6585" s="23"/>
    </row>
    <row r="6586">
      <c r="B6586" s="19"/>
      <c r="E6586" s="23"/>
      <c r="L6586" s="23"/>
    </row>
    <row r="6587">
      <c r="B6587" s="19"/>
      <c r="E6587" s="23"/>
      <c r="L6587" s="23"/>
    </row>
    <row r="6588">
      <c r="B6588" s="19"/>
      <c r="E6588" s="23"/>
      <c r="L6588" s="23"/>
    </row>
    <row r="6589">
      <c r="B6589" s="19"/>
      <c r="E6589" s="23"/>
      <c r="L6589" s="23"/>
    </row>
    <row r="6590">
      <c r="B6590" s="19"/>
      <c r="E6590" s="23"/>
      <c r="L6590" s="23"/>
    </row>
    <row r="6591">
      <c r="B6591" s="19"/>
      <c r="E6591" s="23"/>
      <c r="L6591" s="23"/>
    </row>
    <row r="6592">
      <c r="B6592" s="19"/>
      <c r="E6592" s="23"/>
      <c r="L6592" s="23"/>
    </row>
    <row r="6593">
      <c r="B6593" s="19"/>
      <c r="E6593" s="23"/>
      <c r="L6593" s="23"/>
    </row>
    <row r="6594">
      <c r="B6594" s="19"/>
      <c r="E6594" s="23"/>
      <c r="L6594" s="23"/>
    </row>
    <row r="6595">
      <c r="B6595" s="19"/>
      <c r="E6595" s="23"/>
      <c r="L6595" s="23"/>
    </row>
    <row r="6596">
      <c r="B6596" s="19"/>
      <c r="E6596" s="23"/>
      <c r="L6596" s="23"/>
    </row>
    <row r="6597">
      <c r="B6597" s="19"/>
      <c r="E6597" s="23"/>
      <c r="L6597" s="23"/>
    </row>
    <row r="6598">
      <c r="B6598" s="19"/>
      <c r="E6598" s="23"/>
      <c r="L6598" s="23"/>
    </row>
    <row r="6599">
      <c r="B6599" s="19"/>
      <c r="E6599" s="23"/>
      <c r="L6599" s="23"/>
    </row>
    <row r="6600">
      <c r="B6600" s="19"/>
      <c r="E6600" s="23"/>
      <c r="L6600" s="23"/>
    </row>
    <row r="6601">
      <c r="B6601" s="19"/>
      <c r="E6601" s="23"/>
      <c r="L6601" s="23"/>
    </row>
    <row r="6602">
      <c r="B6602" s="19"/>
      <c r="E6602" s="23"/>
      <c r="L6602" s="23"/>
    </row>
    <row r="6603">
      <c r="B6603" s="19"/>
      <c r="E6603" s="23"/>
      <c r="L6603" s="23"/>
    </row>
    <row r="6604">
      <c r="B6604" s="19"/>
      <c r="E6604" s="23"/>
      <c r="L6604" s="23"/>
    </row>
    <row r="6605">
      <c r="B6605" s="19"/>
      <c r="E6605" s="23"/>
      <c r="L6605" s="23"/>
    </row>
    <row r="6606">
      <c r="B6606" s="19"/>
      <c r="E6606" s="23"/>
      <c r="L6606" s="23"/>
    </row>
    <row r="6607">
      <c r="B6607" s="19"/>
      <c r="E6607" s="23"/>
      <c r="L6607" s="23"/>
    </row>
    <row r="6608">
      <c r="B6608" s="19"/>
      <c r="E6608" s="23"/>
      <c r="L6608" s="23"/>
    </row>
    <row r="6609">
      <c r="B6609" s="19"/>
      <c r="E6609" s="23"/>
      <c r="L6609" s="23"/>
    </row>
    <row r="6610">
      <c r="B6610" s="19"/>
      <c r="E6610" s="23"/>
      <c r="L6610" s="23"/>
    </row>
    <row r="6611">
      <c r="B6611" s="19"/>
      <c r="E6611" s="23"/>
      <c r="L6611" s="23"/>
    </row>
    <row r="6612">
      <c r="B6612" s="19"/>
      <c r="E6612" s="23"/>
      <c r="L6612" s="23"/>
    </row>
    <row r="6613">
      <c r="B6613" s="19"/>
      <c r="E6613" s="23"/>
      <c r="L6613" s="23"/>
    </row>
    <row r="6614">
      <c r="B6614" s="19"/>
      <c r="E6614" s="23"/>
      <c r="L6614" s="23"/>
    </row>
    <row r="6615">
      <c r="B6615" s="19"/>
      <c r="E6615" s="23"/>
      <c r="L6615" s="23"/>
    </row>
    <row r="6616">
      <c r="B6616" s="19"/>
      <c r="E6616" s="23"/>
      <c r="L6616" s="23"/>
    </row>
    <row r="6617">
      <c r="B6617" s="19"/>
      <c r="E6617" s="23"/>
      <c r="L6617" s="23"/>
    </row>
    <row r="6618">
      <c r="B6618" s="19"/>
      <c r="E6618" s="23"/>
      <c r="L6618" s="23"/>
    </row>
    <row r="6619">
      <c r="B6619" s="19"/>
      <c r="E6619" s="23"/>
      <c r="L6619" s="23"/>
    </row>
    <row r="6620">
      <c r="B6620" s="19"/>
      <c r="E6620" s="23"/>
      <c r="L6620" s="23"/>
    </row>
    <row r="6621">
      <c r="B6621" s="19"/>
      <c r="E6621" s="23"/>
      <c r="L6621" s="23"/>
    </row>
    <row r="6622">
      <c r="B6622" s="19"/>
      <c r="E6622" s="23"/>
      <c r="L6622" s="23"/>
    </row>
    <row r="6623">
      <c r="B6623" s="19"/>
      <c r="E6623" s="23"/>
      <c r="L6623" s="23"/>
    </row>
    <row r="6624">
      <c r="B6624" s="19"/>
      <c r="E6624" s="23"/>
      <c r="L6624" s="23"/>
    </row>
    <row r="6625">
      <c r="B6625" s="19"/>
      <c r="E6625" s="23"/>
      <c r="L6625" s="23"/>
    </row>
    <row r="6626">
      <c r="B6626" s="19"/>
      <c r="E6626" s="23"/>
      <c r="L6626" s="23"/>
    </row>
    <row r="6627">
      <c r="B6627" s="19"/>
      <c r="E6627" s="23"/>
      <c r="L6627" s="23"/>
    </row>
    <row r="6628">
      <c r="B6628" s="19"/>
      <c r="E6628" s="23"/>
      <c r="L6628" s="23"/>
    </row>
    <row r="6629">
      <c r="B6629" s="19"/>
      <c r="E6629" s="23"/>
      <c r="L6629" s="23"/>
    </row>
    <row r="6630">
      <c r="B6630" s="19"/>
      <c r="E6630" s="23"/>
      <c r="L6630" s="23"/>
    </row>
    <row r="6631">
      <c r="B6631" s="19"/>
      <c r="E6631" s="23"/>
      <c r="L6631" s="23"/>
    </row>
    <row r="6632">
      <c r="B6632" s="19"/>
      <c r="E6632" s="23"/>
      <c r="L6632" s="23"/>
    </row>
    <row r="6633">
      <c r="B6633" s="19"/>
      <c r="E6633" s="23"/>
      <c r="L6633" s="23"/>
    </row>
    <row r="6634">
      <c r="B6634" s="19"/>
      <c r="E6634" s="23"/>
      <c r="L6634" s="23"/>
    </row>
    <row r="6635">
      <c r="B6635" s="19"/>
      <c r="E6635" s="23"/>
      <c r="L6635" s="23"/>
    </row>
    <row r="6636">
      <c r="B6636" s="19"/>
      <c r="E6636" s="23"/>
      <c r="L6636" s="23"/>
    </row>
    <row r="6637">
      <c r="B6637" s="19"/>
      <c r="E6637" s="23"/>
      <c r="L6637" s="23"/>
    </row>
    <row r="6638">
      <c r="B6638" s="19"/>
      <c r="E6638" s="23"/>
      <c r="L6638" s="23"/>
    </row>
    <row r="6639">
      <c r="B6639" s="19"/>
      <c r="E6639" s="23"/>
      <c r="L6639" s="23"/>
    </row>
    <row r="6640">
      <c r="B6640" s="19"/>
      <c r="E6640" s="23"/>
      <c r="L6640" s="23"/>
    </row>
    <row r="6641">
      <c r="B6641" s="19"/>
      <c r="E6641" s="23"/>
      <c r="L6641" s="23"/>
    </row>
    <row r="6642">
      <c r="B6642" s="19"/>
      <c r="E6642" s="23"/>
      <c r="L6642" s="23"/>
    </row>
    <row r="6643">
      <c r="B6643" s="19"/>
      <c r="E6643" s="23"/>
      <c r="L6643" s="23"/>
    </row>
    <row r="6644">
      <c r="B6644" s="19"/>
      <c r="E6644" s="23"/>
      <c r="L6644" s="23"/>
    </row>
    <row r="6645">
      <c r="B6645" s="19"/>
      <c r="E6645" s="23"/>
      <c r="L6645" s="23"/>
    </row>
    <row r="6646">
      <c r="B6646" s="19"/>
      <c r="E6646" s="23"/>
      <c r="L6646" s="23"/>
    </row>
    <row r="6647">
      <c r="B6647" s="19"/>
      <c r="E6647" s="23"/>
      <c r="L6647" s="23"/>
    </row>
    <row r="6648">
      <c r="B6648" s="19"/>
      <c r="E6648" s="23"/>
      <c r="L6648" s="23"/>
    </row>
    <row r="6649">
      <c r="B6649" s="19"/>
      <c r="E6649" s="23"/>
      <c r="L6649" s="23"/>
    </row>
    <row r="6650">
      <c r="B6650" s="19"/>
      <c r="E6650" s="23"/>
      <c r="L6650" s="23"/>
    </row>
    <row r="6651">
      <c r="B6651" s="19"/>
      <c r="E6651" s="23"/>
      <c r="L6651" s="23"/>
    </row>
    <row r="6652">
      <c r="B6652" s="19"/>
      <c r="E6652" s="23"/>
      <c r="L6652" s="23"/>
    </row>
    <row r="6653">
      <c r="B6653" s="19"/>
      <c r="E6653" s="23"/>
      <c r="L6653" s="23"/>
    </row>
    <row r="6654">
      <c r="B6654" s="19"/>
      <c r="E6654" s="23"/>
      <c r="L6654" s="23"/>
    </row>
    <row r="6655">
      <c r="B6655" s="19"/>
      <c r="E6655" s="23"/>
      <c r="L6655" s="23"/>
    </row>
    <row r="6656">
      <c r="B6656" s="19"/>
      <c r="E6656" s="23"/>
      <c r="L6656" s="23"/>
    </row>
    <row r="6657">
      <c r="B6657" s="19"/>
      <c r="E6657" s="23"/>
      <c r="L6657" s="23"/>
    </row>
    <row r="6658">
      <c r="B6658" s="19"/>
      <c r="E6658" s="23"/>
      <c r="L6658" s="23"/>
    </row>
    <row r="6659">
      <c r="B6659" s="19"/>
      <c r="E6659" s="23"/>
      <c r="L6659" s="23"/>
    </row>
    <row r="6660">
      <c r="B6660" s="19"/>
      <c r="E6660" s="23"/>
      <c r="L6660" s="23"/>
    </row>
    <row r="6661">
      <c r="B6661" s="19"/>
      <c r="E6661" s="23"/>
      <c r="L6661" s="23"/>
    </row>
    <row r="6662">
      <c r="B6662" s="19"/>
      <c r="E6662" s="23"/>
      <c r="L6662" s="23"/>
    </row>
    <row r="6663">
      <c r="B6663" s="19"/>
      <c r="E6663" s="23"/>
      <c r="L6663" s="23"/>
    </row>
    <row r="6664">
      <c r="B6664" s="19"/>
      <c r="E6664" s="23"/>
      <c r="L6664" s="23"/>
    </row>
    <row r="6665">
      <c r="B6665" s="19"/>
      <c r="E6665" s="23"/>
      <c r="L6665" s="23"/>
    </row>
    <row r="6666">
      <c r="B6666" s="19"/>
      <c r="E6666" s="23"/>
      <c r="L6666" s="23"/>
    </row>
    <row r="6667">
      <c r="B6667" s="19"/>
      <c r="E6667" s="23"/>
      <c r="L6667" s="23"/>
    </row>
    <row r="6668">
      <c r="B6668" s="19"/>
      <c r="E6668" s="23"/>
      <c r="L6668" s="23"/>
    </row>
    <row r="6669">
      <c r="B6669" s="19"/>
      <c r="E6669" s="23"/>
      <c r="L6669" s="23"/>
    </row>
    <row r="6670">
      <c r="B6670" s="19"/>
      <c r="E6670" s="23"/>
      <c r="L6670" s="23"/>
    </row>
    <row r="6671">
      <c r="B6671" s="19"/>
      <c r="E6671" s="23"/>
      <c r="L6671" s="23"/>
    </row>
    <row r="6672">
      <c r="B6672" s="19"/>
      <c r="E6672" s="23"/>
      <c r="L6672" s="23"/>
    </row>
    <row r="6673">
      <c r="B6673" s="19"/>
      <c r="E6673" s="23"/>
      <c r="L6673" s="23"/>
    </row>
    <row r="6674">
      <c r="B6674" s="19"/>
      <c r="E6674" s="23"/>
      <c r="L6674" s="23"/>
    </row>
    <row r="6675">
      <c r="B6675" s="19"/>
      <c r="E6675" s="23"/>
      <c r="L6675" s="23"/>
    </row>
    <row r="6676">
      <c r="B6676" s="19"/>
      <c r="E6676" s="23"/>
      <c r="L6676" s="23"/>
    </row>
    <row r="6677">
      <c r="B6677" s="19"/>
      <c r="E6677" s="23"/>
      <c r="L6677" s="23"/>
    </row>
    <row r="6678">
      <c r="B6678" s="19"/>
      <c r="E6678" s="23"/>
      <c r="L6678" s="23"/>
    </row>
    <row r="6679">
      <c r="B6679" s="19"/>
      <c r="E6679" s="23"/>
      <c r="L6679" s="23"/>
    </row>
    <row r="6680">
      <c r="B6680" s="19"/>
      <c r="E6680" s="23"/>
      <c r="L6680" s="23"/>
    </row>
    <row r="6681">
      <c r="B6681" s="19"/>
      <c r="E6681" s="23"/>
      <c r="L6681" s="23"/>
    </row>
    <row r="6682">
      <c r="B6682" s="19"/>
      <c r="E6682" s="23"/>
      <c r="L6682" s="23"/>
    </row>
    <row r="6683">
      <c r="B6683" s="19"/>
      <c r="E6683" s="23"/>
      <c r="L6683" s="23"/>
    </row>
    <row r="6684">
      <c r="B6684" s="19"/>
      <c r="E6684" s="23"/>
      <c r="L6684" s="23"/>
    </row>
    <row r="6685">
      <c r="B6685" s="19"/>
      <c r="E6685" s="23"/>
      <c r="L6685" s="23"/>
    </row>
    <row r="6686">
      <c r="B6686" s="19"/>
      <c r="E6686" s="23"/>
      <c r="L6686" s="23"/>
    </row>
    <row r="6687">
      <c r="B6687" s="19"/>
      <c r="E6687" s="23"/>
      <c r="L6687" s="23"/>
    </row>
    <row r="6688">
      <c r="B6688" s="19"/>
      <c r="E6688" s="23"/>
      <c r="L6688" s="23"/>
    </row>
    <row r="6689">
      <c r="B6689" s="19"/>
      <c r="E6689" s="23"/>
      <c r="L6689" s="23"/>
    </row>
    <row r="6690">
      <c r="B6690" s="19"/>
      <c r="E6690" s="23"/>
      <c r="L6690" s="23"/>
    </row>
    <row r="6691">
      <c r="B6691" s="19"/>
      <c r="E6691" s="23"/>
      <c r="L6691" s="23"/>
    </row>
    <row r="6692">
      <c r="B6692" s="19"/>
      <c r="E6692" s="23"/>
      <c r="L6692" s="23"/>
    </row>
    <row r="6693">
      <c r="B6693" s="19"/>
      <c r="E6693" s="23"/>
      <c r="L6693" s="23"/>
    </row>
    <row r="6694">
      <c r="B6694" s="19"/>
      <c r="E6694" s="23"/>
      <c r="L6694" s="23"/>
    </row>
    <row r="6695">
      <c r="B6695" s="19"/>
      <c r="E6695" s="23"/>
      <c r="L6695" s="23"/>
    </row>
    <row r="6696">
      <c r="B6696" s="19"/>
      <c r="E6696" s="23"/>
      <c r="L6696" s="23"/>
    </row>
    <row r="6697">
      <c r="B6697" s="19"/>
      <c r="E6697" s="23"/>
      <c r="L6697" s="23"/>
    </row>
    <row r="6698">
      <c r="B6698" s="19"/>
      <c r="E6698" s="23"/>
      <c r="L6698" s="23"/>
    </row>
    <row r="6699">
      <c r="B6699" s="19"/>
      <c r="E6699" s="23"/>
      <c r="L6699" s="23"/>
    </row>
    <row r="6700">
      <c r="B6700" s="19"/>
      <c r="E6700" s="23"/>
      <c r="L6700" s="23"/>
    </row>
    <row r="6701">
      <c r="B6701" s="19"/>
      <c r="E6701" s="23"/>
      <c r="L6701" s="23"/>
    </row>
    <row r="6702">
      <c r="B6702" s="19"/>
      <c r="E6702" s="23"/>
      <c r="L6702" s="23"/>
    </row>
    <row r="6703">
      <c r="B6703" s="19"/>
      <c r="E6703" s="23"/>
      <c r="L6703" s="23"/>
    </row>
    <row r="6704">
      <c r="B6704" s="19"/>
      <c r="E6704" s="23"/>
      <c r="L6704" s="23"/>
    </row>
    <row r="6705">
      <c r="B6705" s="19"/>
      <c r="E6705" s="23"/>
      <c r="L6705" s="23"/>
    </row>
    <row r="6706">
      <c r="B6706" s="19"/>
      <c r="E6706" s="23"/>
      <c r="L6706" s="23"/>
    </row>
    <row r="6707">
      <c r="B6707" s="19"/>
      <c r="E6707" s="23"/>
      <c r="L6707" s="23"/>
    </row>
    <row r="6708">
      <c r="B6708" s="19"/>
      <c r="E6708" s="23"/>
      <c r="L6708" s="23"/>
    </row>
    <row r="6709">
      <c r="B6709" s="19"/>
      <c r="E6709" s="23"/>
      <c r="L6709" s="23"/>
    </row>
    <row r="6710">
      <c r="B6710" s="19"/>
      <c r="E6710" s="23"/>
      <c r="L6710" s="23"/>
    </row>
    <row r="6711">
      <c r="B6711" s="19"/>
      <c r="E6711" s="23"/>
      <c r="L6711" s="23"/>
    </row>
    <row r="6712">
      <c r="B6712" s="19"/>
      <c r="E6712" s="23"/>
      <c r="L6712" s="23"/>
    </row>
    <row r="6713">
      <c r="B6713" s="19"/>
      <c r="E6713" s="23"/>
      <c r="L6713" s="23"/>
    </row>
    <row r="6714">
      <c r="B6714" s="19"/>
      <c r="E6714" s="23"/>
      <c r="L6714" s="23"/>
    </row>
    <row r="6715">
      <c r="B6715" s="19"/>
      <c r="E6715" s="23"/>
      <c r="L6715" s="23"/>
    </row>
    <row r="6716">
      <c r="B6716" s="19"/>
      <c r="E6716" s="23"/>
      <c r="L6716" s="23"/>
    </row>
    <row r="6717">
      <c r="B6717" s="19"/>
      <c r="E6717" s="23"/>
      <c r="L6717" s="23"/>
    </row>
    <row r="6718">
      <c r="B6718" s="19"/>
      <c r="E6718" s="23"/>
      <c r="L6718" s="23"/>
    </row>
    <row r="6719">
      <c r="B6719" s="19"/>
      <c r="E6719" s="23"/>
      <c r="L6719" s="23"/>
    </row>
    <row r="6720">
      <c r="B6720" s="19"/>
      <c r="E6720" s="23"/>
      <c r="L6720" s="23"/>
    </row>
    <row r="6721">
      <c r="B6721" s="19"/>
      <c r="E6721" s="23"/>
      <c r="L6721" s="23"/>
    </row>
    <row r="6722">
      <c r="B6722" s="19"/>
      <c r="E6722" s="23"/>
      <c r="L6722" s="23"/>
    </row>
    <row r="6723">
      <c r="B6723" s="19"/>
      <c r="E6723" s="23"/>
      <c r="L6723" s="23"/>
    </row>
    <row r="6724">
      <c r="B6724" s="19"/>
      <c r="E6724" s="23"/>
      <c r="L6724" s="23"/>
    </row>
    <row r="6725">
      <c r="B6725" s="19"/>
      <c r="E6725" s="23"/>
      <c r="L6725" s="23"/>
    </row>
    <row r="6726">
      <c r="B6726" s="19"/>
      <c r="E6726" s="23"/>
      <c r="L6726" s="23"/>
    </row>
    <row r="6727">
      <c r="B6727" s="19"/>
      <c r="E6727" s="23"/>
      <c r="L6727" s="23"/>
    </row>
    <row r="6728">
      <c r="B6728" s="19"/>
      <c r="E6728" s="23"/>
      <c r="L6728" s="23"/>
    </row>
    <row r="6729">
      <c r="B6729" s="19"/>
      <c r="E6729" s="23"/>
      <c r="L6729" s="23"/>
    </row>
    <row r="6730">
      <c r="B6730" s="19"/>
      <c r="E6730" s="23"/>
      <c r="L6730" s="23"/>
    </row>
    <row r="6731">
      <c r="B6731" s="19"/>
      <c r="E6731" s="23"/>
      <c r="L6731" s="23"/>
    </row>
    <row r="6732">
      <c r="B6732" s="19"/>
      <c r="E6732" s="23"/>
      <c r="L6732" s="23"/>
    </row>
    <row r="6733">
      <c r="B6733" s="19"/>
      <c r="E6733" s="23"/>
      <c r="L6733" s="23"/>
    </row>
    <row r="6734">
      <c r="B6734" s="19"/>
      <c r="E6734" s="23"/>
      <c r="L6734" s="23"/>
    </row>
    <row r="6735">
      <c r="B6735" s="19"/>
      <c r="E6735" s="23"/>
      <c r="L6735" s="23"/>
    </row>
    <row r="6736">
      <c r="B6736" s="19"/>
      <c r="E6736" s="23"/>
      <c r="L6736" s="23"/>
    </row>
    <row r="6737">
      <c r="B6737" s="19"/>
      <c r="E6737" s="23"/>
      <c r="L6737" s="23"/>
    </row>
    <row r="6738">
      <c r="B6738" s="19"/>
      <c r="E6738" s="23"/>
      <c r="L6738" s="23"/>
    </row>
    <row r="6739">
      <c r="B6739" s="19"/>
      <c r="E6739" s="23"/>
      <c r="L6739" s="23"/>
    </row>
    <row r="6740">
      <c r="B6740" s="19"/>
      <c r="E6740" s="23"/>
      <c r="L6740" s="23"/>
    </row>
    <row r="6741">
      <c r="B6741" s="19"/>
      <c r="E6741" s="23"/>
      <c r="L6741" s="23"/>
    </row>
    <row r="6742">
      <c r="B6742" s="19"/>
      <c r="E6742" s="23"/>
      <c r="L6742" s="23"/>
    </row>
    <row r="6743">
      <c r="B6743" s="19"/>
      <c r="E6743" s="23"/>
      <c r="L6743" s="23"/>
    </row>
    <row r="6744">
      <c r="B6744" s="19"/>
      <c r="E6744" s="23"/>
      <c r="L6744" s="23"/>
    </row>
    <row r="6745">
      <c r="B6745" s="19"/>
      <c r="E6745" s="23"/>
      <c r="L6745" s="23"/>
    </row>
    <row r="6746">
      <c r="B6746" s="19"/>
      <c r="E6746" s="23"/>
      <c r="L6746" s="23"/>
    </row>
    <row r="6747">
      <c r="B6747" s="19"/>
      <c r="E6747" s="23"/>
      <c r="L6747" s="23"/>
    </row>
    <row r="6748">
      <c r="B6748" s="19"/>
      <c r="E6748" s="23"/>
      <c r="L6748" s="23"/>
    </row>
    <row r="6749">
      <c r="B6749" s="19"/>
      <c r="E6749" s="23"/>
      <c r="L6749" s="23"/>
    </row>
    <row r="6750">
      <c r="B6750" s="19"/>
      <c r="E6750" s="23"/>
      <c r="L6750" s="23"/>
    </row>
    <row r="6751">
      <c r="B6751" s="19"/>
      <c r="E6751" s="23"/>
      <c r="L6751" s="23"/>
    </row>
    <row r="6752">
      <c r="B6752" s="19"/>
      <c r="E6752" s="23"/>
      <c r="L6752" s="23"/>
    </row>
    <row r="6753">
      <c r="B6753" s="19"/>
      <c r="E6753" s="23"/>
      <c r="L6753" s="23"/>
    </row>
    <row r="6754">
      <c r="B6754" s="19"/>
      <c r="E6754" s="23"/>
      <c r="L6754" s="23"/>
    </row>
    <row r="6755">
      <c r="B6755" s="19"/>
      <c r="E6755" s="23"/>
      <c r="L6755" s="23"/>
    </row>
    <row r="6756">
      <c r="B6756" s="19"/>
      <c r="E6756" s="23"/>
      <c r="L6756" s="23"/>
    </row>
    <row r="6757">
      <c r="B6757" s="19"/>
      <c r="E6757" s="23"/>
      <c r="L6757" s="23"/>
    </row>
    <row r="6758">
      <c r="B6758" s="19"/>
      <c r="E6758" s="23"/>
      <c r="L6758" s="23"/>
    </row>
    <row r="6759">
      <c r="B6759" s="19"/>
      <c r="E6759" s="23"/>
      <c r="L6759" s="23"/>
    </row>
    <row r="6760">
      <c r="B6760" s="19"/>
      <c r="E6760" s="23"/>
      <c r="L6760" s="23"/>
    </row>
    <row r="6761">
      <c r="B6761" s="19"/>
      <c r="E6761" s="23"/>
      <c r="L6761" s="23"/>
    </row>
    <row r="6762">
      <c r="B6762" s="19"/>
      <c r="E6762" s="23"/>
      <c r="L6762" s="23"/>
    </row>
    <row r="6763">
      <c r="B6763" s="19"/>
      <c r="E6763" s="23"/>
      <c r="L6763" s="23"/>
    </row>
    <row r="6764">
      <c r="B6764" s="19"/>
      <c r="E6764" s="23"/>
      <c r="L6764" s="23"/>
    </row>
    <row r="6765">
      <c r="B6765" s="19"/>
      <c r="E6765" s="23"/>
      <c r="L6765" s="23"/>
    </row>
    <row r="6766">
      <c r="B6766" s="19"/>
      <c r="E6766" s="23"/>
      <c r="L6766" s="23"/>
    </row>
    <row r="6767">
      <c r="B6767" s="19"/>
      <c r="E6767" s="23"/>
      <c r="L6767" s="23"/>
    </row>
    <row r="6768">
      <c r="B6768" s="19"/>
      <c r="E6768" s="23"/>
      <c r="L6768" s="23"/>
    </row>
    <row r="6769">
      <c r="B6769" s="19"/>
      <c r="E6769" s="23"/>
      <c r="L6769" s="23"/>
    </row>
    <row r="6770">
      <c r="B6770" s="19"/>
      <c r="E6770" s="23"/>
      <c r="L6770" s="23"/>
    </row>
    <row r="6771">
      <c r="B6771" s="19"/>
      <c r="E6771" s="23"/>
      <c r="L6771" s="23"/>
    </row>
    <row r="6772">
      <c r="B6772" s="19"/>
      <c r="E6772" s="23"/>
      <c r="L6772" s="23"/>
    </row>
    <row r="6773">
      <c r="B6773" s="19"/>
      <c r="E6773" s="23"/>
      <c r="L6773" s="23"/>
    </row>
    <row r="6774">
      <c r="B6774" s="19"/>
      <c r="E6774" s="23"/>
      <c r="L6774" s="23"/>
    </row>
    <row r="6775">
      <c r="B6775" s="19"/>
      <c r="E6775" s="23"/>
      <c r="L6775" s="23"/>
    </row>
    <row r="6776">
      <c r="B6776" s="19"/>
      <c r="E6776" s="23"/>
      <c r="L6776" s="23"/>
    </row>
    <row r="6777">
      <c r="B6777" s="19"/>
      <c r="E6777" s="23"/>
      <c r="L6777" s="23"/>
    </row>
    <row r="6778">
      <c r="B6778" s="19"/>
      <c r="E6778" s="23"/>
      <c r="L6778" s="23"/>
    </row>
    <row r="6779">
      <c r="B6779" s="19"/>
      <c r="E6779" s="23"/>
      <c r="L6779" s="23"/>
    </row>
    <row r="6780">
      <c r="B6780" s="19"/>
      <c r="E6780" s="23"/>
      <c r="L6780" s="23"/>
    </row>
    <row r="6781">
      <c r="B6781" s="19"/>
      <c r="E6781" s="23"/>
      <c r="L6781" s="23"/>
    </row>
    <row r="6782">
      <c r="B6782" s="19"/>
      <c r="E6782" s="23"/>
      <c r="L6782" s="23"/>
    </row>
    <row r="6783">
      <c r="B6783" s="19"/>
      <c r="E6783" s="23"/>
      <c r="L6783" s="23"/>
    </row>
    <row r="6784">
      <c r="B6784" s="19"/>
      <c r="E6784" s="23"/>
      <c r="L6784" s="23"/>
    </row>
    <row r="6785">
      <c r="B6785" s="19"/>
      <c r="E6785" s="23"/>
      <c r="L6785" s="23"/>
    </row>
    <row r="6786">
      <c r="B6786" s="19"/>
      <c r="E6786" s="23"/>
      <c r="L6786" s="23"/>
    </row>
    <row r="6787">
      <c r="B6787" s="19"/>
      <c r="E6787" s="23"/>
      <c r="L6787" s="23"/>
    </row>
    <row r="6788">
      <c r="B6788" s="19"/>
      <c r="E6788" s="23"/>
      <c r="L6788" s="23"/>
    </row>
    <row r="6789">
      <c r="B6789" s="19"/>
      <c r="E6789" s="23"/>
      <c r="L6789" s="23"/>
    </row>
    <row r="6790">
      <c r="B6790" s="19"/>
      <c r="E6790" s="23"/>
      <c r="L6790" s="23"/>
    </row>
    <row r="6791">
      <c r="B6791" s="19"/>
      <c r="E6791" s="23"/>
      <c r="L6791" s="23"/>
    </row>
    <row r="6792">
      <c r="B6792" s="19"/>
      <c r="E6792" s="23"/>
      <c r="L6792" s="23"/>
    </row>
    <row r="6793">
      <c r="B6793" s="19"/>
      <c r="E6793" s="23"/>
      <c r="L6793" s="23"/>
    </row>
    <row r="6794">
      <c r="B6794" s="19"/>
      <c r="E6794" s="23"/>
      <c r="L6794" s="23"/>
    </row>
    <row r="6795">
      <c r="B6795" s="19"/>
      <c r="E6795" s="23"/>
      <c r="L6795" s="23"/>
    </row>
    <row r="6796">
      <c r="B6796" s="19"/>
      <c r="E6796" s="23"/>
      <c r="L6796" s="23"/>
    </row>
    <row r="6797">
      <c r="B6797" s="19"/>
      <c r="E6797" s="23"/>
      <c r="L6797" s="23"/>
    </row>
    <row r="6798">
      <c r="B6798" s="19"/>
      <c r="E6798" s="23"/>
      <c r="L6798" s="23"/>
    </row>
    <row r="6799">
      <c r="B6799" s="19"/>
      <c r="E6799" s="23"/>
      <c r="L6799" s="23"/>
    </row>
    <row r="6800">
      <c r="B6800" s="19"/>
      <c r="E6800" s="23"/>
      <c r="L6800" s="23"/>
    </row>
    <row r="6801">
      <c r="B6801" s="19"/>
      <c r="E6801" s="23"/>
      <c r="L6801" s="23"/>
    </row>
    <row r="6802">
      <c r="B6802" s="19"/>
      <c r="E6802" s="23"/>
      <c r="L6802" s="23"/>
    </row>
    <row r="6803">
      <c r="B6803" s="19"/>
      <c r="E6803" s="23"/>
      <c r="L6803" s="23"/>
    </row>
    <row r="6804">
      <c r="B6804" s="19"/>
      <c r="E6804" s="23"/>
      <c r="L6804" s="23"/>
    </row>
    <row r="6805">
      <c r="B6805" s="19"/>
      <c r="E6805" s="23"/>
      <c r="L6805" s="23"/>
    </row>
    <row r="6806">
      <c r="B6806" s="19"/>
      <c r="E6806" s="23"/>
      <c r="L6806" s="23"/>
    </row>
    <row r="6807">
      <c r="B6807" s="19"/>
      <c r="E6807" s="23"/>
      <c r="L6807" s="23"/>
    </row>
    <row r="6808">
      <c r="B6808" s="19"/>
      <c r="E6808" s="23"/>
      <c r="L6808" s="23"/>
    </row>
    <row r="6809">
      <c r="B6809" s="19"/>
      <c r="E6809" s="23"/>
      <c r="L6809" s="23"/>
    </row>
    <row r="6810">
      <c r="B6810" s="19"/>
      <c r="E6810" s="23"/>
      <c r="L6810" s="23"/>
    </row>
    <row r="6811">
      <c r="B6811" s="19"/>
      <c r="E6811" s="23"/>
      <c r="L6811" s="23"/>
    </row>
    <row r="6812">
      <c r="B6812" s="19"/>
      <c r="E6812" s="23"/>
      <c r="L6812" s="23"/>
    </row>
    <row r="6813">
      <c r="B6813" s="19"/>
      <c r="E6813" s="23"/>
      <c r="L6813" s="23"/>
    </row>
    <row r="6814">
      <c r="B6814" s="19"/>
      <c r="E6814" s="23"/>
      <c r="L6814" s="23"/>
    </row>
    <row r="6815">
      <c r="B6815" s="19"/>
      <c r="E6815" s="23"/>
      <c r="L6815" s="23"/>
    </row>
    <row r="6816">
      <c r="B6816" s="19"/>
      <c r="E6816" s="23"/>
      <c r="L6816" s="23"/>
    </row>
    <row r="6817">
      <c r="B6817" s="19"/>
      <c r="E6817" s="23"/>
      <c r="L6817" s="23"/>
    </row>
    <row r="6818">
      <c r="B6818" s="19"/>
      <c r="E6818" s="23"/>
      <c r="L6818" s="23"/>
    </row>
    <row r="6819">
      <c r="B6819" s="19"/>
      <c r="E6819" s="23"/>
      <c r="L6819" s="23"/>
    </row>
    <row r="6820">
      <c r="B6820" s="19"/>
      <c r="E6820" s="23"/>
      <c r="L6820" s="23"/>
    </row>
    <row r="6821">
      <c r="B6821" s="19"/>
      <c r="E6821" s="23"/>
      <c r="L6821" s="23"/>
    </row>
    <row r="6822">
      <c r="B6822" s="19"/>
      <c r="E6822" s="23"/>
      <c r="L6822" s="23"/>
    </row>
    <row r="6823">
      <c r="B6823" s="19"/>
      <c r="E6823" s="23"/>
      <c r="L6823" s="23"/>
    </row>
    <row r="6824">
      <c r="B6824" s="19"/>
      <c r="E6824" s="23"/>
      <c r="L6824" s="23"/>
    </row>
    <row r="6825">
      <c r="B6825" s="19"/>
      <c r="E6825" s="23"/>
      <c r="L6825" s="23"/>
    </row>
    <row r="6826">
      <c r="B6826" s="19"/>
      <c r="E6826" s="23"/>
      <c r="L6826" s="23"/>
    </row>
    <row r="6827">
      <c r="B6827" s="19"/>
      <c r="E6827" s="23"/>
      <c r="L6827" s="23"/>
    </row>
    <row r="6828">
      <c r="B6828" s="19"/>
      <c r="E6828" s="23"/>
      <c r="L6828" s="23"/>
    </row>
    <row r="6829">
      <c r="B6829" s="19"/>
      <c r="E6829" s="23"/>
      <c r="L6829" s="23"/>
    </row>
    <row r="6830">
      <c r="B6830" s="19"/>
      <c r="E6830" s="23"/>
      <c r="L6830" s="23"/>
    </row>
    <row r="6831">
      <c r="B6831" s="19"/>
      <c r="E6831" s="23"/>
      <c r="L6831" s="23"/>
    </row>
    <row r="6832">
      <c r="B6832" s="19"/>
      <c r="E6832" s="23"/>
      <c r="L6832" s="23"/>
    </row>
    <row r="6833">
      <c r="B6833" s="19"/>
      <c r="E6833" s="23"/>
      <c r="L6833" s="23"/>
    </row>
    <row r="6834">
      <c r="B6834" s="19"/>
      <c r="E6834" s="23"/>
      <c r="L6834" s="23"/>
    </row>
    <row r="6835">
      <c r="B6835" s="19"/>
      <c r="E6835" s="23"/>
      <c r="L6835" s="23"/>
    </row>
    <row r="6836">
      <c r="B6836" s="19"/>
      <c r="E6836" s="23"/>
      <c r="L6836" s="23"/>
    </row>
    <row r="6837">
      <c r="B6837" s="19"/>
      <c r="E6837" s="23"/>
      <c r="L6837" s="23"/>
    </row>
    <row r="6838">
      <c r="B6838" s="19"/>
      <c r="E6838" s="23"/>
      <c r="L6838" s="23"/>
    </row>
    <row r="6839">
      <c r="B6839" s="19"/>
      <c r="E6839" s="23"/>
      <c r="L6839" s="23"/>
    </row>
    <row r="6840">
      <c r="B6840" s="19"/>
      <c r="E6840" s="23"/>
      <c r="L6840" s="23"/>
    </row>
    <row r="6841">
      <c r="B6841" s="19"/>
      <c r="E6841" s="23"/>
      <c r="L6841" s="23"/>
    </row>
    <row r="6842">
      <c r="B6842" s="19"/>
      <c r="E6842" s="23"/>
      <c r="L6842" s="23"/>
    </row>
    <row r="6843">
      <c r="B6843" s="19"/>
      <c r="E6843" s="23"/>
      <c r="L6843" s="23"/>
    </row>
    <row r="6844">
      <c r="B6844" s="19"/>
      <c r="E6844" s="23"/>
      <c r="L6844" s="23"/>
    </row>
    <row r="6845">
      <c r="B6845" s="19"/>
      <c r="E6845" s="23"/>
      <c r="L6845" s="23"/>
    </row>
    <row r="6846">
      <c r="B6846" s="19"/>
      <c r="E6846" s="23"/>
      <c r="L6846" s="23"/>
    </row>
    <row r="6847">
      <c r="B6847" s="19"/>
      <c r="E6847" s="23"/>
      <c r="L6847" s="23"/>
    </row>
    <row r="6848">
      <c r="B6848" s="19"/>
      <c r="E6848" s="23"/>
      <c r="L6848" s="23"/>
    </row>
    <row r="6849">
      <c r="B6849" s="19"/>
      <c r="E6849" s="23"/>
      <c r="L6849" s="23"/>
    </row>
    <row r="6850">
      <c r="B6850" s="19"/>
      <c r="E6850" s="23"/>
      <c r="L6850" s="23"/>
    </row>
    <row r="6851">
      <c r="B6851" s="19"/>
      <c r="E6851" s="23"/>
      <c r="L6851" s="23"/>
    </row>
    <row r="6852">
      <c r="B6852" s="19"/>
      <c r="E6852" s="23"/>
      <c r="L6852" s="23"/>
    </row>
    <row r="6853">
      <c r="B6853" s="19"/>
      <c r="E6853" s="23"/>
      <c r="L6853" s="23"/>
    </row>
    <row r="6854">
      <c r="B6854" s="19"/>
      <c r="E6854" s="23"/>
      <c r="L6854" s="23"/>
    </row>
    <row r="6855">
      <c r="B6855" s="19"/>
      <c r="E6855" s="23"/>
      <c r="L6855" s="23"/>
    </row>
    <row r="6856">
      <c r="B6856" s="19"/>
      <c r="E6856" s="23"/>
      <c r="L6856" s="23"/>
    </row>
    <row r="6857">
      <c r="B6857" s="19"/>
      <c r="E6857" s="23"/>
      <c r="L6857" s="23"/>
    </row>
    <row r="6858">
      <c r="B6858" s="19"/>
      <c r="E6858" s="23"/>
      <c r="L6858" s="23"/>
    </row>
    <row r="6859">
      <c r="B6859" s="19"/>
      <c r="E6859" s="23"/>
      <c r="L6859" s="23"/>
    </row>
    <row r="6860">
      <c r="B6860" s="19"/>
      <c r="E6860" s="23"/>
      <c r="L6860" s="23"/>
    </row>
    <row r="6861">
      <c r="B6861" s="19"/>
      <c r="E6861" s="23"/>
      <c r="L6861" s="23"/>
    </row>
    <row r="6862">
      <c r="B6862" s="19"/>
      <c r="E6862" s="23"/>
      <c r="L6862" s="23"/>
    </row>
    <row r="6863">
      <c r="B6863" s="19"/>
      <c r="E6863" s="23"/>
      <c r="L6863" s="23"/>
    </row>
    <row r="6864">
      <c r="B6864" s="19"/>
      <c r="E6864" s="23"/>
      <c r="L6864" s="23"/>
    </row>
    <row r="6865">
      <c r="B6865" s="19"/>
      <c r="E6865" s="23"/>
      <c r="L6865" s="23"/>
    </row>
    <row r="6866">
      <c r="B6866" s="19"/>
      <c r="E6866" s="23"/>
      <c r="L6866" s="23"/>
    </row>
    <row r="6867">
      <c r="B6867" s="19"/>
      <c r="E6867" s="23"/>
      <c r="L6867" s="23"/>
    </row>
    <row r="6868">
      <c r="B6868" s="19"/>
      <c r="E6868" s="23"/>
      <c r="L6868" s="23"/>
    </row>
    <row r="6869">
      <c r="B6869" s="19"/>
      <c r="E6869" s="23"/>
      <c r="L6869" s="23"/>
    </row>
    <row r="6870">
      <c r="B6870" s="19"/>
      <c r="E6870" s="23"/>
      <c r="L6870" s="23"/>
    </row>
    <row r="6871">
      <c r="B6871" s="19"/>
      <c r="E6871" s="23"/>
      <c r="L6871" s="23"/>
    </row>
    <row r="6872">
      <c r="B6872" s="19"/>
      <c r="E6872" s="23"/>
      <c r="L6872" s="23"/>
    </row>
    <row r="6873">
      <c r="B6873" s="19"/>
      <c r="E6873" s="23"/>
      <c r="L6873" s="23"/>
    </row>
    <row r="6874">
      <c r="B6874" s="19"/>
      <c r="E6874" s="23"/>
      <c r="L6874" s="23"/>
    </row>
    <row r="6875">
      <c r="B6875" s="19"/>
      <c r="E6875" s="23"/>
      <c r="L6875" s="23"/>
    </row>
    <row r="6876">
      <c r="B6876" s="19"/>
      <c r="E6876" s="23"/>
      <c r="L6876" s="23"/>
    </row>
    <row r="6877">
      <c r="B6877" s="19"/>
      <c r="E6877" s="23"/>
      <c r="L6877" s="23"/>
    </row>
    <row r="6878">
      <c r="B6878" s="19"/>
      <c r="E6878" s="23"/>
      <c r="L6878" s="23"/>
    </row>
    <row r="6879">
      <c r="B6879" s="19"/>
      <c r="E6879" s="23"/>
      <c r="L6879" s="23"/>
    </row>
    <row r="6880">
      <c r="B6880" s="19"/>
      <c r="E6880" s="23"/>
      <c r="L6880" s="23"/>
    </row>
    <row r="6881">
      <c r="B6881" s="19"/>
      <c r="E6881" s="23"/>
      <c r="L6881" s="23"/>
    </row>
    <row r="6882">
      <c r="B6882" s="19"/>
      <c r="E6882" s="23"/>
      <c r="L6882" s="23"/>
    </row>
    <row r="6883">
      <c r="B6883" s="19"/>
      <c r="E6883" s="23"/>
      <c r="L6883" s="23"/>
    </row>
    <row r="6884">
      <c r="B6884" s="19"/>
      <c r="E6884" s="23"/>
      <c r="L6884" s="23"/>
    </row>
    <row r="6885">
      <c r="B6885" s="19"/>
      <c r="E6885" s="23"/>
      <c r="L6885" s="23"/>
    </row>
    <row r="6886">
      <c r="B6886" s="19"/>
      <c r="E6886" s="23"/>
      <c r="L6886" s="23"/>
    </row>
    <row r="6887">
      <c r="B6887" s="19"/>
      <c r="E6887" s="23"/>
      <c r="L6887" s="23"/>
    </row>
    <row r="6888">
      <c r="B6888" s="19"/>
      <c r="E6888" s="23"/>
      <c r="L6888" s="23"/>
    </row>
    <row r="6889">
      <c r="B6889" s="19"/>
      <c r="E6889" s="23"/>
      <c r="L6889" s="23"/>
    </row>
    <row r="6890">
      <c r="B6890" s="19"/>
      <c r="E6890" s="23"/>
      <c r="L6890" s="23"/>
    </row>
    <row r="6891">
      <c r="B6891" s="19"/>
      <c r="E6891" s="23"/>
      <c r="L6891" s="23"/>
    </row>
    <row r="6892">
      <c r="B6892" s="19"/>
      <c r="E6892" s="23"/>
      <c r="L6892" s="23"/>
    </row>
    <row r="6893">
      <c r="B6893" s="19"/>
      <c r="E6893" s="23"/>
      <c r="L6893" s="23"/>
    </row>
    <row r="6894">
      <c r="B6894" s="19"/>
      <c r="E6894" s="23"/>
      <c r="L6894" s="23"/>
    </row>
    <row r="6895">
      <c r="B6895" s="19"/>
      <c r="E6895" s="23"/>
      <c r="L6895" s="23"/>
    </row>
    <row r="6896">
      <c r="B6896" s="19"/>
      <c r="E6896" s="23"/>
      <c r="L6896" s="23"/>
    </row>
    <row r="6897">
      <c r="B6897" s="19"/>
      <c r="E6897" s="23"/>
      <c r="L6897" s="23"/>
    </row>
    <row r="6898">
      <c r="B6898" s="19"/>
      <c r="E6898" s="23"/>
      <c r="L6898" s="23"/>
    </row>
    <row r="6899">
      <c r="B6899" s="19"/>
      <c r="E6899" s="23"/>
      <c r="L6899" s="23"/>
    </row>
    <row r="6900">
      <c r="B6900" s="19"/>
      <c r="E6900" s="23"/>
      <c r="L6900" s="23"/>
    </row>
    <row r="6901">
      <c r="B6901" s="19"/>
      <c r="E6901" s="23"/>
      <c r="L6901" s="23"/>
    </row>
    <row r="6902">
      <c r="B6902" s="19"/>
      <c r="E6902" s="23"/>
      <c r="L6902" s="23"/>
    </row>
    <row r="6903">
      <c r="B6903" s="19"/>
      <c r="E6903" s="23"/>
      <c r="L6903" s="23"/>
    </row>
    <row r="6904">
      <c r="B6904" s="19"/>
      <c r="E6904" s="23"/>
      <c r="L6904" s="23"/>
    </row>
    <row r="6905">
      <c r="B6905" s="19"/>
      <c r="E6905" s="23"/>
      <c r="L6905" s="23"/>
    </row>
    <row r="6906">
      <c r="B6906" s="19"/>
      <c r="E6906" s="23"/>
      <c r="L6906" s="23"/>
    </row>
    <row r="6907">
      <c r="B6907" s="19"/>
      <c r="E6907" s="23"/>
      <c r="L6907" s="23"/>
    </row>
    <row r="6908">
      <c r="B6908" s="19"/>
      <c r="E6908" s="23"/>
      <c r="L6908" s="23"/>
    </row>
    <row r="6909">
      <c r="B6909" s="19"/>
      <c r="E6909" s="23"/>
      <c r="L6909" s="23"/>
    </row>
    <row r="6910">
      <c r="B6910" s="19"/>
      <c r="E6910" s="23"/>
      <c r="L6910" s="23"/>
    </row>
    <row r="6911">
      <c r="B6911" s="19"/>
      <c r="E6911" s="23"/>
      <c r="L6911" s="23"/>
    </row>
    <row r="6912">
      <c r="B6912" s="19"/>
      <c r="E6912" s="23"/>
      <c r="L6912" s="23"/>
    </row>
    <row r="6913">
      <c r="B6913" s="19"/>
      <c r="E6913" s="23"/>
      <c r="L6913" s="23"/>
    </row>
    <row r="6914">
      <c r="B6914" s="19"/>
      <c r="E6914" s="23"/>
      <c r="L6914" s="23"/>
    </row>
    <row r="6915">
      <c r="B6915" s="19"/>
      <c r="E6915" s="23"/>
      <c r="L6915" s="23"/>
    </row>
    <row r="6916">
      <c r="B6916" s="19"/>
      <c r="E6916" s="23"/>
      <c r="L6916" s="23"/>
    </row>
    <row r="6917">
      <c r="B6917" s="19"/>
      <c r="E6917" s="23"/>
      <c r="L6917" s="23"/>
    </row>
    <row r="6918">
      <c r="B6918" s="19"/>
      <c r="E6918" s="23"/>
      <c r="L6918" s="23"/>
    </row>
    <row r="6919">
      <c r="B6919" s="19"/>
      <c r="E6919" s="23"/>
      <c r="L6919" s="23"/>
    </row>
    <row r="6920">
      <c r="B6920" s="19"/>
      <c r="E6920" s="23"/>
      <c r="L6920" s="23"/>
    </row>
    <row r="6921">
      <c r="B6921" s="19"/>
      <c r="E6921" s="23"/>
      <c r="L6921" s="23"/>
    </row>
    <row r="6922">
      <c r="B6922" s="19"/>
      <c r="E6922" s="23"/>
      <c r="L6922" s="23"/>
    </row>
    <row r="6923">
      <c r="B6923" s="19"/>
      <c r="E6923" s="23"/>
      <c r="L6923" s="23"/>
    </row>
    <row r="6924">
      <c r="B6924" s="19"/>
      <c r="E6924" s="23"/>
      <c r="L6924" s="23"/>
    </row>
    <row r="6925">
      <c r="B6925" s="19"/>
      <c r="E6925" s="23"/>
      <c r="L6925" s="23"/>
    </row>
    <row r="6926">
      <c r="B6926" s="19"/>
      <c r="E6926" s="23"/>
      <c r="L6926" s="23"/>
    </row>
    <row r="6927">
      <c r="B6927" s="19"/>
      <c r="E6927" s="23"/>
      <c r="L6927" s="23"/>
    </row>
    <row r="6928">
      <c r="B6928" s="19"/>
      <c r="E6928" s="23"/>
      <c r="L6928" s="23"/>
    </row>
    <row r="6929">
      <c r="B6929" s="19"/>
      <c r="E6929" s="23"/>
      <c r="L6929" s="23"/>
    </row>
    <row r="6930">
      <c r="B6930" s="19"/>
      <c r="E6930" s="23"/>
      <c r="L6930" s="23"/>
    </row>
    <row r="6931">
      <c r="B6931" s="19"/>
      <c r="E6931" s="23"/>
      <c r="L6931" s="23"/>
    </row>
    <row r="6932">
      <c r="B6932" s="19"/>
      <c r="E6932" s="23"/>
      <c r="L6932" s="23"/>
    </row>
    <row r="6933">
      <c r="B6933" s="19"/>
      <c r="E6933" s="23"/>
      <c r="L6933" s="23"/>
    </row>
    <row r="6934">
      <c r="B6934" s="19"/>
      <c r="E6934" s="23"/>
      <c r="L6934" s="23"/>
    </row>
    <row r="6935">
      <c r="B6935" s="19"/>
      <c r="E6935" s="23"/>
      <c r="L6935" s="23"/>
    </row>
    <row r="6936">
      <c r="B6936" s="19"/>
      <c r="E6936" s="23"/>
      <c r="L6936" s="23"/>
    </row>
    <row r="6937">
      <c r="B6937" s="19"/>
      <c r="E6937" s="23"/>
      <c r="L6937" s="23"/>
    </row>
    <row r="6938">
      <c r="B6938" s="19"/>
      <c r="E6938" s="23"/>
      <c r="L6938" s="23"/>
    </row>
    <row r="6939">
      <c r="B6939" s="19"/>
      <c r="E6939" s="23"/>
      <c r="L6939" s="23"/>
    </row>
    <row r="6940">
      <c r="B6940" s="19"/>
      <c r="E6940" s="23"/>
      <c r="L6940" s="23"/>
    </row>
    <row r="6941">
      <c r="B6941" s="19"/>
      <c r="E6941" s="23"/>
      <c r="L6941" s="23"/>
    </row>
    <row r="6942">
      <c r="B6942" s="19"/>
      <c r="E6942" s="23"/>
      <c r="L6942" s="23"/>
    </row>
    <row r="6943">
      <c r="B6943" s="19"/>
      <c r="E6943" s="23"/>
      <c r="L6943" s="23"/>
    </row>
    <row r="6944">
      <c r="B6944" s="19"/>
      <c r="E6944" s="23"/>
      <c r="L6944" s="23"/>
    </row>
    <row r="6945">
      <c r="B6945" s="19"/>
      <c r="E6945" s="23"/>
      <c r="L6945" s="23"/>
    </row>
    <row r="6946">
      <c r="B6946" s="19"/>
      <c r="E6946" s="23"/>
      <c r="L6946" s="23"/>
    </row>
    <row r="6947">
      <c r="B6947" s="19"/>
      <c r="E6947" s="23"/>
      <c r="L6947" s="23"/>
    </row>
    <row r="6948">
      <c r="B6948" s="19"/>
      <c r="E6948" s="23"/>
      <c r="L6948" s="23"/>
    </row>
    <row r="6949">
      <c r="B6949" s="19"/>
      <c r="E6949" s="23"/>
      <c r="L6949" s="23"/>
    </row>
    <row r="6950">
      <c r="B6950" s="19"/>
      <c r="E6950" s="23"/>
      <c r="L6950" s="23"/>
    </row>
    <row r="6951">
      <c r="B6951" s="19"/>
      <c r="E6951" s="23"/>
      <c r="L6951" s="23"/>
    </row>
    <row r="6952">
      <c r="B6952" s="19"/>
      <c r="E6952" s="23"/>
      <c r="L6952" s="23"/>
    </row>
    <row r="6953">
      <c r="B6953" s="19"/>
      <c r="E6953" s="23"/>
      <c r="L6953" s="23"/>
    </row>
    <row r="6954">
      <c r="B6954" s="19"/>
      <c r="E6954" s="23"/>
      <c r="L6954" s="23"/>
    </row>
    <row r="6955">
      <c r="B6955" s="19"/>
      <c r="E6955" s="23"/>
      <c r="L6955" s="23"/>
    </row>
    <row r="6956">
      <c r="B6956" s="19"/>
      <c r="E6956" s="23"/>
      <c r="L6956" s="23"/>
    </row>
    <row r="6957">
      <c r="B6957" s="19"/>
      <c r="E6957" s="23"/>
      <c r="L6957" s="23"/>
    </row>
    <row r="6958">
      <c r="B6958" s="19"/>
      <c r="E6958" s="23"/>
      <c r="L6958" s="23"/>
    </row>
    <row r="6959">
      <c r="B6959" s="19"/>
      <c r="E6959" s="23"/>
      <c r="L6959" s="23"/>
    </row>
    <row r="6960">
      <c r="B6960" s="19"/>
      <c r="E6960" s="23"/>
      <c r="L6960" s="23"/>
    </row>
    <row r="6961">
      <c r="B6961" s="19"/>
      <c r="E6961" s="23"/>
      <c r="L6961" s="23"/>
    </row>
    <row r="6962">
      <c r="B6962" s="19"/>
      <c r="E6962" s="23"/>
      <c r="L6962" s="23"/>
    </row>
    <row r="6963">
      <c r="B6963" s="19"/>
      <c r="E6963" s="23"/>
      <c r="L6963" s="23"/>
    </row>
    <row r="6964">
      <c r="B6964" s="19"/>
      <c r="E6964" s="23"/>
      <c r="L6964" s="23"/>
    </row>
    <row r="6965">
      <c r="B6965" s="19"/>
      <c r="E6965" s="23"/>
      <c r="L6965" s="23"/>
    </row>
    <row r="6966">
      <c r="B6966" s="19"/>
      <c r="E6966" s="23"/>
      <c r="L6966" s="23"/>
    </row>
    <row r="6967">
      <c r="B6967" s="19"/>
      <c r="E6967" s="23"/>
      <c r="L6967" s="23"/>
    </row>
    <row r="6968">
      <c r="B6968" s="19"/>
      <c r="E6968" s="23"/>
      <c r="L6968" s="23"/>
    </row>
    <row r="6969">
      <c r="B6969" s="19"/>
      <c r="E6969" s="23"/>
      <c r="L6969" s="23"/>
    </row>
    <row r="6970">
      <c r="B6970" s="19"/>
      <c r="E6970" s="23"/>
      <c r="L6970" s="23"/>
    </row>
    <row r="6971">
      <c r="B6971" s="19"/>
      <c r="E6971" s="23"/>
      <c r="L6971" s="23"/>
    </row>
    <row r="6972">
      <c r="B6972" s="19"/>
      <c r="E6972" s="23"/>
      <c r="L6972" s="23"/>
    </row>
    <row r="6973">
      <c r="B6973" s="19"/>
      <c r="E6973" s="23"/>
      <c r="L6973" s="23"/>
    </row>
    <row r="6974">
      <c r="B6974" s="19"/>
      <c r="E6974" s="23"/>
      <c r="L6974" s="23"/>
    </row>
    <row r="6975">
      <c r="B6975" s="19"/>
      <c r="E6975" s="23"/>
      <c r="L6975" s="23"/>
    </row>
    <row r="6976">
      <c r="B6976" s="19"/>
      <c r="E6976" s="23"/>
      <c r="L6976" s="23"/>
    </row>
    <row r="6977">
      <c r="B6977" s="19"/>
      <c r="E6977" s="23"/>
      <c r="L6977" s="23"/>
    </row>
    <row r="6978">
      <c r="B6978" s="19"/>
      <c r="E6978" s="23"/>
      <c r="L6978" s="23"/>
    </row>
    <row r="6979">
      <c r="B6979" s="19"/>
      <c r="E6979" s="23"/>
      <c r="L6979" s="23"/>
    </row>
    <row r="6980">
      <c r="B6980" s="19"/>
      <c r="E6980" s="23"/>
      <c r="L6980" s="23"/>
    </row>
    <row r="6981">
      <c r="B6981" s="19"/>
      <c r="E6981" s="23"/>
      <c r="L6981" s="23"/>
    </row>
    <row r="6982">
      <c r="B6982" s="19"/>
      <c r="E6982" s="23"/>
      <c r="L6982" s="23"/>
    </row>
    <row r="6983">
      <c r="B6983" s="19"/>
      <c r="E6983" s="23"/>
      <c r="L6983" s="23"/>
    </row>
    <row r="6984">
      <c r="B6984" s="19"/>
      <c r="E6984" s="23"/>
      <c r="L6984" s="23"/>
    </row>
    <row r="6985">
      <c r="B6985" s="19"/>
      <c r="E6985" s="23"/>
      <c r="L6985" s="23"/>
    </row>
    <row r="6986">
      <c r="B6986" s="19"/>
      <c r="E6986" s="23"/>
      <c r="L6986" s="23"/>
    </row>
    <row r="6987">
      <c r="B6987" s="19"/>
      <c r="E6987" s="23"/>
      <c r="L6987" s="23"/>
    </row>
    <row r="6988">
      <c r="B6988" s="19"/>
      <c r="E6988" s="23"/>
      <c r="L6988" s="23"/>
    </row>
    <row r="6989">
      <c r="B6989" s="19"/>
      <c r="E6989" s="23"/>
      <c r="L6989" s="23"/>
    </row>
    <row r="6990">
      <c r="B6990" s="19"/>
      <c r="E6990" s="23"/>
      <c r="L6990" s="23"/>
    </row>
    <row r="6991">
      <c r="B6991" s="19"/>
      <c r="E6991" s="23"/>
      <c r="L6991" s="23"/>
    </row>
    <row r="6992">
      <c r="B6992" s="19"/>
      <c r="E6992" s="23"/>
      <c r="L6992" s="23"/>
    </row>
    <row r="6993">
      <c r="B6993" s="19"/>
      <c r="E6993" s="23"/>
      <c r="L6993" s="23"/>
    </row>
    <row r="6994">
      <c r="B6994" s="19"/>
      <c r="E6994" s="23"/>
      <c r="L6994" s="23"/>
    </row>
    <row r="6995">
      <c r="B6995" s="19"/>
      <c r="E6995" s="23"/>
      <c r="L6995" s="23"/>
    </row>
    <row r="6996">
      <c r="B6996" s="19"/>
      <c r="E6996" s="23"/>
      <c r="L6996" s="23"/>
    </row>
    <row r="6997">
      <c r="B6997" s="19"/>
      <c r="E6997" s="23"/>
      <c r="L6997" s="23"/>
    </row>
    <row r="6998">
      <c r="B6998" s="19"/>
      <c r="E6998" s="23"/>
      <c r="L6998" s="23"/>
    </row>
    <row r="6999">
      <c r="B6999" s="19"/>
      <c r="E6999" s="23"/>
      <c r="L6999" s="23"/>
    </row>
    <row r="7000">
      <c r="B7000" s="19"/>
      <c r="E7000" s="23"/>
      <c r="L7000" s="23"/>
    </row>
    <row r="7001">
      <c r="B7001" s="19"/>
      <c r="E7001" s="23"/>
      <c r="L7001" s="23"/>
    </row>
    <row r="7002">
      <c r="B7002" s="19"/>
      <c r="E7002" s="23"/>
      <c r="L7002" s="23"/>
    </row>
    <row r="7003">
      <c r="B7003" s="19"/>
      <c r="E7003" s="23"/>
      <c r="L7003" s="23"/>
    </row>
    <row r="7004">
      <c r="B7004" s="19"/>
      <c r="E7004" s="23"/>
      <c r="L7004" s="23"/>
    </row>
    <row r="7005">
      <c r="B7005" s="19"/>
      <c r="E7005" s="23"/>
      <c r="L7005" s="23"/>
    </row>
    <row r="7006">
      <c r="B7006" s="19"/>
      <c r="E7006" s="23"/>
      <c r="L7006" s="23"/>
    </row>
    <row r="7007">
      <c r="B7007" s="19"/>
      <c r="E7007" s="23"/>
      <c r="L7007" s="23"/>
    </row>
    <row r="7008">
      <c r="B7008" s="19"/>
      <c r="E7008" s="23"/>
      <c r="L7008" s="23"/>
    </row>
    <row r="7009">
      <c r="B7009" s="19"/>
      <c r="E7009" s="23"/>
      <c r="L7009" s="23"/>
    </row>
    <row r="7010">
      <c r="B7010" s="19"/>
      <c r="E7010" s="23"/>
      <c r="L7010" s="23"/>
    </row>
    <row r="7011">
      <c r="B7011" s="19"/>
      <c r="E7011" s="23"/>
      <c r="L7011" s="23"/>
    </row>
    <row r="7012">
      <c r="B7012" s="19"/>
      <c r="E7012" s="23"/>
      <c r="L7012" s="23"/>
    </row>
    <row r="7013">
      <c r="B7013" s="19"/>
      <c r="E7013" s="23"/>
      <c r="L7013" s="23"/>
    </row>
    <row r="7014">
      <c r="B7014" s="19"/>
      <c r="E7014" s="23"/>
      <c r="L7014" s="23"/>
    </row>
    <row r="7015">
      <c r="B7015" s="19"/>
      <c r="E7015" s="23"/>
      <c r="L7015" s="23"/>
    </row>
    <row r="7016">
      <c r="B7016" s="19"/>
      <c r="E7016" s="23"/>
      <c r="L7016" s="23"/>
    </row>
    <row r="7017">
      <c r="B7017" s="19"/>
      <c r="E7017" s="23"/>
      <c r="L7017" s="23"/>
    </row>
    <row r="7018">
      <c r="B7018" s="19"/>
      <c r="E7018" s="23"/>
      <c r="L7018" s="23"/>
    </row>
    <row r="7019">
      <c r="B7019" s="19"/>
      <c r="E7019" s="23"/>
      <c r="L7019" s="23"/>
    </row>
    <row r="7020">
      <c r="B7020" s="19"/>
      <c r="E7020" s="23"/>
      <c r="L7020" s="23"/>
    </row>
    <row r="7021">
      <c r="B7021" s="19"/>
      <c r="E7021" s="23"/>
      <c r="L7021" s="23"/>
    </row>
    <row r="7022">
      <c r="B7022" s="19"/>
      <c r="E7022" s="23"/>
      <c r="L7022" s="23"/>
    </row>
    <row r="7023">
      <c r="B7023" s="19"/>
      <c r="E7023" s="23"/>
      <c r="L7023" s="23"/>
    </row>
    <row r="7024">
      <c r="B7024" s="19"/>
      <c r="E7024" s="23"/>
      <c r="L7024" s="23"/>
    </row>
    <row r="7025">
      <c r="B7025" s="19"/>
      <c r="E7025" s="23"/>
      <c r="L7025" s="23"/>
    </row>
    <row r="7026">
      <c r="B7026" s="19"/>
      <c r="E7026" s="23"/>
      <c r="L7026" s="23"/>
    </row>
    <row r="7027">
      <c r="B7027" s="19"/>
      <c r="E7027" s="23"/>
      <c r="L7027" s="23"/>
    </row>
    <row r="7028">
      <c r="B7028" s="19"/>
      <c r="E7028" s="23"/>
      <c r="L7028" s="23"/>
    </row>
    <row r="7029">
      <c r="B7029" s="19"/>
      <c r="E7029" s="23"/>
      <c r="L7029" s="23"/>
    </row>
    <row r="7030">
      <c r="B7030" s="19"/>
      <c r="E7030" s="23"/>
      <c r="L7030" s="23"/>
    </row>
    <row r="7031">
      <c r="B7031" s="19"/>
      <c r="E7031" s="23"/>
      <c r="L7031" s="23"/>
    </row>
    <row r="7032">
      <c r="B7032" s="19"/>
      <c r="E7032" s="23"/>
      <c r="L7032" s="23"/>
    </row>
    <row r="7033">
      <c r="B7033" s="19"/>
      <c r="E7033" s="23"/>
      <c r="L7033" s="23"/>
    </row>
    <row r="7034">
      <c r="B7034" s="19"/>
      <c r="E7034" s="23"/>
      <c r="L7034" s="23"/>
    </row>
    <row r="7035">
      <c r="B7035" s="19"/>
      <c r="E7035" s="23"/>
      <c r="L7035" s="23"/>
    </row>
    <row r="7036">
      <c r="B7036" s="19"/>
      <c r="E7036" s="23"/>
      <c r="L7036" s="23"/>
    </row>
    <row r="7037">
      <c r="B7037" s="19"/>
      <c r="E7037" s="23"/>
      <c r="L7037" s="23"/>
    </row>
    <row r="7038">
      <c r="B7038" s="19"/>
      <c r="E7038" s="23"/>
      <c r="L7038" s="23"/>
    </row>
    <row r="7039">
      <c r="B7039" s="19"/>
      <c r="E7039" s="23"/>
      <c r="L7039" s="23"/>
    </row>
    <row r="7040">
      <c r="B7040" s="19"/>
      <c r="E7040" s="23"/>
      <c r="L7040" s="23"/>
    </row>
    <row r="7041">
      <c r="B7041" s="19"/>
      <c r="E7041" s="23"/>
      <c r="L7041" s="23"/>
    </row>
    <row r="7042">
      <c r="B7042" s="19"/>
      <c r="E7042" s="23"/>
      <c r="L7042" s="23"/>
    </row>
    <row r="7043">
      <c r="B7043" s="19"/>
      <c r="E7043" s="23"/>
      <c r="L7043" s="23"/>
    </row>
    <row r="7044">
      <c r="B7044" s="19"/>
      <c r="E7044" s="23"/>
      <c r="L7044" s="23"/>
    </row>
    <row r="7045">
      <c r="B7045" s="19"/>
      <c r="E7045" s="23"/>
      <c r="L7045" s="23"/>
    </row>
    <row r="7046">
      <c r="B7046" s="19"/>
      <c r="E7046" s="23"/>
      <c r="L7046" s="23"/>
    </row>
    <row r="7047">
      <c r="B7047" s="19"/>
      <c r="E7047" s="23"/>
      <c r="L7047" s="23"/>
    </row>
    <row r="7048">
      <c r="B7048" s="19"/>
      <c r="E7048" s="23"/>
      <c r="L7048" s="23"/>
    </row>
    <row r="7049">
      <c r="B7049" s="19"/>
      <c r="E7049" s="23"/>
      <c r="L7049" s="23"/>
    </row>
    <row r="7050">
      <c r="B7050" s="19"/>
      <c r="E7050" s="23"/>
      <c r="L7050" s="23"/>
    </row>
    <row r="7051">
      <c r="B7051" s="19"/>
      <c r="E7051" s="23"/>
      <c r="L7051" s="23"/>
    </row>
    <row r="7052">
      <c r="B7052" s="19"/>
      <c r="E7052" s="23"/>
      <c r="L7052" s="23"/>
    </row>
    <row r="7053">
      <c r="B7053" s="19"/>
      <c r="E7053" s="23"/>
      <c r="L7053" s="23"/>
    </row>
    <row r="7054">
      <c r="B7054" s="19"/>
      <c r="E7054" s="23"/>
      <c r="L7054" s="23"/>
    </row>
    <row r="7055">
      <c r="B7055" s="19"/>
      <c r="E7055" s="23"/>
      <c r="L7055" s="23"/>
    </row>
    <row r="7056">
      <c r="B7056" s="19"/>
      <c r="E7056" s="23"/>
      <c r="L7056" s="23"/>
    </row>
    <row r="7057">
      <c r="B7057" s="19"/>
      <c r="E7057" s="23"/>
      <c r="L7057" s="23"/>
    </row>
    <row r="7058">
      <c r="B7058" s="19"/>
      <c r="E7058" s="23"/>
      <c r="L7058" s="23"/>
    </row>
    <row r="7059">
      <c r="B7059" s="19"/>
      <c r="E7059" s="23"/>
      <c r="L7059" s="23"/>
    </row>
    <row r="7060">
      <c r="B7060" s="19"/>
      <c r="E7060" s="23"/>
      <c r="L7060" s="23"/>
    </row>
    <row r="7061">
      <c r="B7061" s="19"/>
      <c r="E7061" s="23"/>
      <c r="L7061" s="23"/>
    </row>
    <row r="7062">
      <c r="B7062" s="19"/>
      <c r="E7062" s="23"/>
      <c r="L7062" s="23"/>
    </row>
    <row r="7063">
      <c r="B7063" s="19"/>
      <c r="E7063" s="23"/>
      <c r="L7063" s="23"/>
    </row>
    <row r="7064">
      <c r="B7064" s="19"/>
      <c r="E7064" s="23"/>
      <c r="L7064" s="23"/>
    </row>
    <row r="7065">
      <c r="B7065" s="19"/>
      <c r="E7065" s="23"/>
      <c r="L7065" s="23"/>
    </row>
    <row r="7066">
      <c r="B7066" s="19"/>
      <c r="E7066" s="23"/>
      <c r="L7066" s="23"/>
    </row>
    <row r="7067">
      <c r="B7067" s="19"/>
      <c r="E7067" s="23"/>
      <c r="L7067" s="23"/>
    </row>
    <row r="7068">
      <c r="B7068" s="19"/>
      <c r="E7068" s="23"/>
      <c r="L7068" s="23"/>
    </row>
    <row r="7069">
      <c r="B7069" s="19"/>
      <c r="E7069" s="23"/>
      <c r="L7069" s="23"/>
    </row>
    <row r="7070">
      <c r="B7070" s="19"/>
      <c r="E7070" s="23"/>
      <c r="L7070" s="23"/>
    </row>
    <row r="7071">
      <c r="B7071" s="19"/>
      <c r="E7071" s="23"/>
      <c r="L7071" s="23"/>
    </row>
    <row r="7072">
      <c r="B7072" s="19"/>
      <c r="E7072" s="23"/>
      <c r="L7072" s="23"/>
    </row>
    <row r="7073">
      <c r="B7073" s="19"/>
      <c r="E7073" s="23"/>
      <c r="L7073" s="23"/>
    </row>
    <row r="7074">
      <c r="B7074" s="19"/>
      <c r="E7074" s="23"/>
      <c r="L7074" s="23"/>
    </row>
    <row r="7075">
      <c r="B7075" s="19"/>
      <c r="E7075" s="23"/>
      <c r="L7075" s="23"/>
    </row>
    <row r="7076">
      <c r="B7076" s="19"/>
      <c r="E7076" s="23"/>
      <c r="L7076" s="23"/>
    </row>
    <row r="7077">
      <c r="B7077" s="19"/>
      <c r="E7077" s="23"/>
      <c r="L7077" s="23"/>
    </row>
    <row r="7078">
      <c r="B7078" s="19"/>
      <c r="E7078" s="23"/>
      <c r="L7078" s="23"/>
    </row>
    <row r="7079">
      <c r="B7079" s="19"/>
      <c r="E7079" s="23"/>
      <c r="L7079" s="23"/>
    </row>
    <row r="7080">
      <c r="B7080" s="19"/>
      <c r="E7080" s="23"/>
      <c r="L7080" s="23"/>
    </row>
    <row r="7081">
      <c r="B7081" s="19"/>
      <c r="E7081" s="23"/>
      <c r="L7081" s="23"/>
    </row>
    <row r="7082">
      <c r="B7082" s="19"/>
      <c r="E7082" s="23"/>
      <c r="L7082" s="23"/>
    </row>
    <row r="7083">
      <c r="B7083" s="19"/>
      <c r="E7083" s="23"/>
      <c r="L7083" s="23"/>
    </row>
    <row r="7084">
      <c r="B7084" s="19"/>
      <c r="E7084" s="23"/>
      <c r="L7084" s="23"/>
    </row>
    <row r="7085">
      <c r="B7085" s="19"/>
      <c r="E7085" s="23"/>
      <c r="L7085" s="23"/>
    </row>
    <row r="7086">
      <c r="B7086" s="19"/>
      <c r="E7086" s="23"/>
      <c r="L7086" s="23"/>
    </row>
    <row r="7087">
      <c r="B7087" s="19"/>
      <c r="E7087" s="23"/>
      <c r="L7087" s="23"/>
    </row>
    <row r="7088">
      <c r="B7088" s="19"/>
      <c r="E7088" s="23"/>
      <c r="L7088" s="23"/>
    </row>
    <row r="7089">
      <c r="B7089" s="19"/>
      <c r="E7089" s="23"/>
      <c r="L7089" s="23"/>
    </row>
    <row r="7090">
      <c r="B7090" s="19"/>
      <c r="E7090" s="23"/>
      <c r="L7090" s="23"/>
    </row>
    <row r="7091">
      <c r="B7091" s="19"/>
      <c r="E7091" s="23"/>
      <c r="L7091" s="23"/>
    </row>
    <row r="7092">
      <c r="B7092" s="19"/>
      <c r="E7092" s="23"/>
      <c r="L7092" s="23"/>
    </row>
    <row r="7093">
      <c r="B7093" s="19"/>
      <c r="E7093" s="23"/>
      <c r="L7093" s="23"/>
    </row>
    <row r="7094">
      <c r="B7094" s="19"/>
      <c r="E7094" s="23"/>
      <c r="L7094" s="23"/>
    </row>
    <row r="7095">
      <c r="B7095" s="19"/>
      <c r="E7095" s="23"/>
      <c r="L7095" s="23"/>
    </row>
    <row r="7096">
      <c r="B7096" s="19"/>
      <c r="E7096" s="23"/>
      <c r="L7096" s="23"/>
    </row>
    <row r="7097">
      <c r="B7097" s="19"/>
      <c r="E7097" s="23"/>
      <c r="L7097" s="23"/>
    </row>
    <row r="7098">
      <c r="B7098" s="19"/>
      <c r="E7098" s="23"/>
      <c r="L7098" s="23"/>
    </row>
    <row r="7099">
      <c r="B7099" s="19"/>
      <c r="E7099" s="23"/>
      <c r="L7099" s="23"/>
    </row>
    <row r="7100">
      <c r="B7100" s="19"/>
      <c r="E7100" s="23"/>
      <c r="L7100" s="23"/>
    </row>
    <row r="7101">
      <c r="B7101" s="19"/>
      <c r="E7101" s="23"/>
      <c r="L7101" s="23"/>
    </row>
    <row r="7102">
      <c r="B7102" s="19"/>
      <c r="E7102" s="23"/>
      <c r="L7102" s="23"/>
    </row>
    <row r="7103">
      <c r="B7103" s="19"/>
      <c r="E7103" s="23"/>
      <c r="L7103" s="23"/>
    </row>
    <row r="7104">
      <c r="B7104" s="19"/>
      <c r="E7104" s="23"/>
      <c r="L7104" s="23"/>
    </row>
    <row r="7105">
      <c r="B7105" s="19"/>
      <c r="E7105" s="23"/>
      <c r="L7105" s="23"/>
    </row>
    <row r="7106">
      <c r="B7106" s="19"/>
      <c r="E7106" s="23"/>
      <c r="L7106" s="23"/>
    </row>
    <row r="7107">
      <c r="B7107" s="19"/>
      <c r="E7107" s="23"/>
      <c r="L7107" s="23"/>
    </row>
    <row r="7108">
      <c r="B7108" s="19"/>
      <c r="E7108" s="23"/>
      <c r="L7108" s="23"/>
    </row>
    <row r="7109">
      <c r="B7109" s="19"/>
      <c r="E7109" s="23"/>
      <c r="L7109" s="23"/>
    </row>
    <row r="7110">
      <c r="B7110" s="19"/>
      <c r="E7110" s="23"/>
      <c r="L7110" s="23"/>
    </row>
    <row r="7111">
      <c r="B7111" s="19"/>
      <c r="E7111" s="23"/>
      <c r="L7111" s="23"/>
    </row>
    <row r="7112">
      <c r="B7112" s="19"/>
      <c r="E7112" s="23"/>
      <c r="L7112" s="23"/>
    </row>
    <row r="7113">
      <c r="B7113" s="19"/>
      <c r="E7113" s="23"/>
      <c r="L7113" s="23"/>
    </row>
    <row r="7114">
      <c r="B7114" s="19"/>
      <c r="E7114" s="23"/>
      <c r="L7114" s="23"/>
    </row>
    <row r="7115">
      <c r="B7115" s="19"/>
      <c r="E7115" s="23"/>
      <c r="L7115" s="23"/>
    </row>
    <row r="7116">
      <c r="B7116" s="19"/>
      <c r="E7116" s="23"/>
      <c r="L7116" s="23"/>
    </row>
    <row r="7117">
      <c r="B7117" s="19"/>
      <c r="E7117" s="23"/>
      <c r="L7117" s="23"/>
    </row>
    <row r="7118">
      <c r="B7118" s="19"/>
      <c r="E7118" s="23"/>
      <c r="L7118" s="23"/>
    </row>
    <row r="7119">
      <c r="B7119" s="19"/>
      <c r="E7119" s="23"/>
      <c r="L7119" s="23"/>
    </row>
    <row r="7120">
      <c r="B7120" s="19"/>
      <c r="E7120" s="23"/>
      <c r="L7120" s="23"/>
    </row>
    <row r="7121">
      <c r="B7121" s="19"/>
      <c r="E7121" s="23"/>
      <c r="L7121" s="23"/>
    </row>
    <row r="7122">
      <c r="B7122" s="19"/>
      <c r="E7122" s="23"/>
      <c r="L7122" s="23"/>
    </row>
    <row r="7123">
      <c r="B7123" s="19"/>
      <c r="E7123" s="23"/>
      <c r="L7123" s="23"/>
    </row>
    <row r="7124">
      <c r="B7124" s="19"/>
      <c r="E7124" s="23"/>
      <c r="L7124" s="23"/>
    </row>
    <row r="7125">
      <c r="B7125" s="19"/>
      <c r="E7125" s="23"/>
      <c r="L7125" s="23"/>
    </row>
    <row r="7126">
      <c r="B7126" s="19"/>
      <c r="E7126" s="23"/>
      <c r="L7126" s="23"/>
    </row>
    <row r="7127">
      <c r="B7127" s="19"/>
      <c r="E7127" s="23"/>
      <c r="L7127" s="23"/>
    </row>
    <row r="7128">
      <c r="B7128" s="19"/>
      <c r="E7128" s="23"/>
      <c r="L7128" s="23"/>
    </row>
    <row r="7129">
      <c r="B7129" s="19"/>
      <c r="E7129" s="23"/>
      <c r="L7129" s="23"/>
    </row>
    <row r="7130">
      <c r="B7130" s="19"/>
      <c r="E7130" s="23"/>
      <c r="L7130" s="23"/>
    </row>
    <row r="7131">
      <c r="B7131" s="19"/>
      <c r="E7131" s="23"/>
      <c r="L7131" s="23"/>
    </row>
    <row r="7132">
      <c r="B7132" s="19"/>
      <c r="E7132" s="23"/>
      <c r="L7132" s="23"/>
    </row>
    <row r="7133">
      <c r="B7133" s="19"/>
      <c r="E7133" s="23"/>
      <c r="L7133" s="23"/>
    </row>
    <row r="7134">
      <c r="B7134" s="19"/>
      <c r="E7134" s="23"/>
      <c r="L7134" s="23"/>
    </row>
    <row r="7135">
      <c r="B7135" s="19"/>
      <c r="E7135" s="23"/>
      <c r="L7135" s="23"/>
    </row>
    <row r="7136">
      <c r="B7136" s="19"/>
      <c r="E7136" s="23"/>
      <c r="L7136" s="23"/>
    </row>
    <row r="7137">
      <c r="B7137" s="19"/>
      <c r="E7137" s="23"/>
      <c r="L7137" s="23"/>
    </row>
    <row r="7138">
      <c r="B7138" s="19"/>
      <c r="E7138" s="23"/>
      <c r="L7138" s="23"/>
    </row>
    <row r="7139">
      <c r="B7139" s="19"/>
      <c r="E7139" s="23"/>
      <c r="L7139" s="23"/>
    </row>
    <row r="7140">
      <c r="B7140" s="19"/>
      <c r="E7140" s="23"/>
      <c r="L7140" s="23"/>
    </row>
    <row r="7141">
      <c r="B7141" s="19"/>
      <c r="E7141" s="23"/>
      <c r="L7141" s="23"/>
    </row>
    <row r="7142">
      <c r="B7142" s="19"/>
      <c r="E7142" s="23"/>
      <c r="L7142" s="23"/>
    </row>
    <row r="7143">
      <c r="B7143" s="19"/>
      <c r="E7143" s="23"/>
      <c r="L7143" s="23"/>
    </row>
    <row r="7144">
      <c r="B7144" s="19"/>
      <c r="E7144" s="23"/>
      <c r="L7144" s="23"/>
    </row>
    <row r="7145">
      <c r="B7145" s="19"/>
      <c r="E7145" s="23"/>
      <c r="L7145" s="23"/>
    </row>
    <row r="7146">
      <c r="B7146" s="19"/>
      <c r="E7146" s="23"/>
      <c r="L7146" s="23"/>
    </row>
    <row r="7147">
      <c r="B7147" s="19"/>
      <c r="E7147" s="23"/>
      <c r="L7147" s="23"/>
    </row>
    <row r="7148">
      <c r="B7148" s="19"/>
      <c r="E7148" s="23"/>
      <c r="L7148" s="23"/>
    </row>
    <row r="7149">
      <c r="B7149" s="19"/>
      <c r="E7149" s="23"/>
      <c r="L7149" s="23"/>
    </row>
    <row r="7150">
      <c r="B7150" s="19"/>
      <c r="E7150" s="23"/>
      <c r="L7150" s="23"/>
    </row>
    <row r="7151">
      <c r="B7151" s="19"/>
      <c r="E7151" s="23"/>
      <c r="L7151" s="23"/>
    </row>
    <row r="7152">
      <c r="B7152" s="19"/>
      <c r="E7152" s="23"/>
      <c r="L7152" s="23"/>
    </row>
    <row r="7153">
      <c r="B7153" s="19"/>
      <c r="E7153" s="23"/>
      <c r="L7153" s="23"/>
    </row>
    <row r="7154">
      <c r="B7154" s="19"/>
      <c r="E7154" s="23"/>
      <c r="L7154" s="23"/>
    </row>
    <row r="7155">
      <c r="B7155" s="19"/>
      <c r="E7155" s="23"/>
      <c r="L7155" s="23"/>
    </row>
    <row r="7156">
      <c r="B7156" s="19"/>
      <c r="E7156" s="23"/>
      <c r="L7156" s="23"/>
    </row>
    <row r="7157">
      <c r="B7157" s="19"/>
      <c r="E7157" s="23"/>
      <c r="L7157" s="23"/>
    </row>
    <row r="7158">
      <c r="B7158" s="19"/>
      <c r="E7158" s="23"/>
      <c r="L7158" s="23"/>
    </row>
    <row r="7159">
      <c r="B7159" s="19"/>
      <c r="E7159" s="23"/>
      <c r="L7159" s="23"/>
    </row>
    <row r="7160">
      <c r="B7160" s="19"/>
      <c r="E7160" s="23"/>
      <c r="L7160" s="23"/>
    </row>
    <row r="7161">
      <c r="B7161" s="19"/>
      <c r="E7161" s="23"/>
      <c r="L7161" s="23"/>
    </row>
    <row r="7162">
      <c r="B7162" s="19"/>
      <c r="E7162" s="23"/>
      <c r="L7162" s="23"/>
    </row>
    <row r="7163">
      <c r="B7163" s="19"/>
      <c r="E7163" s="23"/>
      <c r="L7163" s="23"/>
    </row>
    <row r="7164">
      <c r="B7164" s="19"/>
      <c r="E7164" s="23"/>
      <c r="L7164" s="23"/>
    </row>
    <row r="7165">
      <c r="B7165" s="19"/>
      <c r="E7165" s="23"/>
      <c r="L7165" s="23"/>
    </row>
    <row r="7166">
      <c r="B7166" s="19"/>
      <c r="E7166" s="23"/>
      <c r="L7166" s="23"/>
    </row>
    <row r="7167">
      <c r="B7167" s="19"/>
      <c r="E7167" s="23"/>
      <c r="L7167" s="23"/>
    </row>
    <row r="7168">
      <c r="B7168" s="19"/>
      <c r="E7168" s="23"/>
      <c r="L7168" s="23"/>
    </row>
    <row r="7169">
      <c r="B7169" s="19"/>
      <c r="E7169" s="23"/>
      <c r="L7169" s="23"/>
    </row>
    <row r="7170">
      <c r="B7170" s="19"/>
      <c r="E7170" s="23"/>
      <c r="L7170" s="23"/>
    </row>
    <row r="7171">
      <c r="B7171" s="19"/>
      <c r="E7171" s="23"/>
      <c r="L7171" s="23"/>
    </row>
    <row r="7172">
      <c r="B7172" s="19"/>
      <c r="E7172" s="23"/>
      <c r="L7172" s="23"/>
    </row>
    <row r="7173">
      <c r="B7173" s="19"/>
      <c r="E7173" s="23"/>
      <c r="L7173" s="23"/>
    </row>
    <row r="7174">
      <c r="B7174" s="19"/>
      <c r="E7174" s="23"/>
      <c r="L7174" s="23"/>
    </row>
    <row r="7175">
      <c r="B7175" s="19"/>
      <c r="E7175" s="23"/>
      <c r="L7175" s="23"/>
    </row>
    <row r="7176">
      <c r="B7176" s="19"/>
      <c r="E7176" s="23"/>
      <c r="L7176" s="23"/>
    </row>
    <row r="7177">
      <c r="B7177" s="19"/>
      <c r="E7177" s="23"/>
      <c r="L7177" s="23"/>
    </row>
    <row r="7178">
      <c r="B7178" s="19"/>
      <c r="E7178" s="23"/>
      <c r="L7178" s="23"/>
    </row>
    <row r="7179">
      <c r="B7179" s="19"/>
      <c r="E7179" s="23"/>
      <c r="L7179" s="23"/>
    </row>
    <row r="7180">
      <c r="B7180" s="19"/>
      <c r="E7180" s="23"/>
      <c r="L7180" s="23"/>
    </row>
    <row r="7181">
      <c r="B7181" s="19"/>
      <c r="E7181" s="23"/>
      <c r="L7181" s="23"/>
    </row>
    <row r="7182">
      <c r="B7182" s="19"/>
      <c r="E7182" s="23"/>
      <c r="L7182" s="23"/>
    </row>
    <row r="7183">
      <c r="B7183" s="19"/>
      <c r="E7183" s="23"/>
      <c r="L7183" s="23"/>
    </row>
    <row r="7184">
      <c r="B7184" s="19"/>
      <c r="E7184" s="23"/>
      <c r="L7184" s="23"/>
    </row>
    <row r="7185">
      <c r="B7185" s="19"/>
      <c r="E7185" s="23"/>
      <c r="L7185" s="23"/>
    </row>
    <row r="7186">
      <c r="B7186" s="19"/>
      <c r="E7186" s="23"/>
      <c r="L7186" s="23"/>
    </row>
    <row r="7187">
      <c r="B7187" s="19"/>
      <c r="E7187" s="23"/>
      <c r="L7187" s="23"/>
    </row>
    <row r="7188">
      <c r="B7188" s="19"/>
      <c r="E7188" s="23"/>
      <c r="L7188" s="23"/>
    </row>
    <row r="7189">
      <c r="B7189" s="19"/>
      <c r="E7189" s="23"/>
      <c r="L7189" s="23"/>
    </row>
    <row r="7190">
      <c r="B7190" s="19"/>
      <c r="E7190" s="23"/>
      <c r="L7190" s="23"/>
    </row>
    <row r="7191">
      <c r="B7191" s="19"/>
      <c r="E7191" s="23"/>
      <c r="L7191" s="23"/>
    </row>
    <row r="7192">
      <c r="B7192" s="19"/>
      <c r="E7192" s="23"/>
      <c r="L7192" s="23"/>
    </row>
    <row r="7193">
      <c r="B7193" s="19"/>
      <c r="E7193" s="23"/>
      <c r="L7193" s="23"/>
    </row>
    <row r="7194">
      <c r="B7194" s="19"/>
      <c r="E7194" s="23"/>
      <c r="L7194" s="23"/>
    </row>
    <row r="7195">
      <c r="B7195" s="19"/>
      <c r="E7195" s="23"/>
      <c r="L7195" s="23"/>
    </row>
    <row r="7196">
      <c r="B7196" s="19"/>
      <c r="E7196" s="23"/>
      <c r="L7196" s="23"/>
    </row>
    <row r="7197">
      <c r="B7197" s="19"/>
      <c r="E7197" s="23"/>
      <c r="L7197" s="23"/>
    </row>
    <row r="7198">
      <c r="B7198" s="19"/>
      <c r="E7198" s="23"/>
      <c r="L7198" s="23"/>
    </row>
    <row r="7199">
      <c r="B7199" s="19"/>
      <c r="E7199" s="23"/>
      <c r="L7199" s="23"/>
    </row>
    <row r="7200">
      <c r="B7200" s="19"/>
      <c r="E7200" s="23"/>
      <c r="L7200" s="23"/>
    </row>
    <row r="7201">
      <c r="B7201" s="19"/>
      <c r="E7201" s="23"/>
      <c r="L7201" s="23"/>
    </row>
    <row r="7202">
      <c r="B7202" s="19"/>
      <c r="E7202" s="23"/>
      <c r="L7202" s="23"/>
    </row>
    <row r="7203">
      <c r="B7203" s="19"/>
      <c r="E7203" s="23"/>
      <c r="L7203" s="23"/>
    </row>
    <row r="7204">
      <c r="B7204" s="19"/>
      <c r="E7204" s="23"/>
      <c r="L7204" s="23"/>
    </row>
    <row r="7205">
      <c r="B7205" s="19"/>
      <c r="E7205" s="23"/>
      <c r="L7205" s="23"/>
    </row>
    <row r="7206">
      <c r="B7206" s="19"/>
      <c r="E7206" s="23"/>
      <c r="L7206" s="23"/>
    </row>
    <row r="7207">
      <c r="B7207" s="19"/>
      <c r="E7207" s="23"/>
      <c r="L7207" s="23"/>
    </row>
    <row r="7208">
      <c r="B7208" s="19"/>
      <c r="E7208" s="23"/>
      <c r="L7208" s="23"/>
    </row>
    <row r="7209">
      <c r="B7209" s="19"/>
      <c r="E7209" s="23"/>
      <c r="L7209" s="23"/>
    </row>
    <row r="7210">
      <c r="B7210" s="19"/>
      <c r="E7210" s="23"/>
      <c r="L7210" s="23"/>
    </row>
    <row r="7211">
      <c r="B7211" s="19"/>
      <c r="E7211" s="23"/>
      <c r="L7211" s="23"/>
    </row>
    <row r="7212">
      <c r="B7212" s="19"/>
      <c r="E7212" s="23"/>
      <c r="L7212" s="23"/>
    </row>
    <row r="7213">
      <c r="B7213" s="19"/>
      <c r="E7213" s="23"/>
      <c r="L7213" s="23"/>
    </row>
    <row r="7214">
      <c r="B7214" s="19"/>
      <c r="E7214" s="23"/>
      <c r="L7214" s="23"/>
    </row>
    <row r="7215">
      <c r="B7215" s="19"/>
      <c r="E7215" s="23"/>
      <c r="L7215" s="23"/>
    </row>
    <row r="7216">
      <c r="B7216" s="19"/>
      <c r="E7216" s="23"/>
      <c r="L7216" s="23"/>
    </row>
    <row r="7217">
      <c r="B7217" s="19"/>
      <c r="E7217" s="23"/>
      <c r="L7217" s="23"/>
    </row>
    <row r="7218">
      <c r="B7218" s="19"/>
      <c r="E7218" s="23"/>
      <c r="L7218" s="23"/>
    </row>
    <row r="7219">
      <c r="B7219" s="19"/>
      <c r="E7219" s="23"/>
      <c r="L7219" s="23"/>
    </row>
    <row r="7220">
      <c r="B7220" s="19"/>
      <c r="E7220" s="23"/>
      <c r="L7220" s="23"/>
    </row>
    <row r="7221">
      <c r="B7221" s="19"/>
      <c r="E7221" s="23"/>
      <c r="L7221" s="23"/>
    </row>
    <row r="7222">
      <c r="B7222" s="19"/>
      <c r="E7222" s="23"/>
      <c r="L7222" s="23"/>
    </row>
    <row r="7223">
      <c r="B7223" s="19"/>
      <c r="E7223" s="23"/>
      <c r="L7223" s="23"/>
    </row>
    <row r="7224">
      <c r="B7224" s="19"/>
      <c r="E7224" s="23"/>
      <c r="L7224" s="23"/>
    </row>
    <row r="7225">
      <c r="B7225" s="19"/>
      <c r="E7225" s="23"/>
      <c r="L7225" s="23"/>
    </row>
    <row r="7226">
      <c r="B7226" s="19"/>
      <c r="E7226" s="23"/>
      <c r="L7226" s="23"/>
    </row>
    <row r="7227">
      <c r="B7227" s="19"/>
      <c r="E7227" s="23"/>
      <c r="L7227" s="23"/>
    </row>
    <row r="7228">
      <c r="B7228" s="19"/>
      <c r="E7228" s="23"/>
      <c r="L7228" s="23"/>
    </row>
    <row r="7229">
      <c r="B7229" s="19"/>
      <c r="E7229" s="23"/>
      <c r="L7229" s="23"/>
    </row>
    <row r="7230">
      <c r="B7230" s="19"/>
      <c r="E7230" s="23"/>
      <c r="L7230" s="23"/>
    </row>
    <row r="7231">
      <c r="B7231" s="19"/>
      <c r="E7231" s="23"/>
      <c r="L7231" s="23"/>
    </row>
    <row r="7232">
      <c r="B7232" s="19"/>
      <c r="E7232" s="23"/>
      <c r="L7232" s="23"/>
    </row>
    <row r="7233">
      <c r="B7233" s="19"/>
      <c r="E7233" s="23"/>
      <c r="L7233" s="23"/>
    </row>
    <row r="7234">
      <c r="B7234" s="19"/>
      <c r="E7234" s="23"/>
      <c r="L7234" s="23"/>
    </row>
    <row r="7235">
      <c r="B7235" s="19"/>
      <c r="E7235" s="23"/>
      <c r="L7235" s="23"/>
    </row>
    <row r="7236">
      <c r="B7236" s="19"/>
      <c r="E7236" s="23"/>
      <c r="L7236" s="23"/>
    </row>
    <row r="7237">
      <c r="B7237" s="19"/>
      <c r="E7237" s="23"/>
      <c r="L7237" s="23"/>
    </row>
    <row r="7238">
      <c r="B7238" s="19"/>
      <c r="E7238" s="23"/>
      <c r="L7238" s="23"/>
    </row>
    <row r="7239">
      <c r="B7239" s="19"/>
      <c r="E7239" s="23"/>
      <c r="L7239" s="23"/>
    </row>
    <row r="7240">
      <c r="B7240" s="19"/>
      <c r="E7240" s="23"/>
      <c r="L7240" s="23"/>
    </row>
    <row r="7241">
      <c r="B7241" s="19"/>
      <c r="E7241" s="23"/>
      <c r="L7241" s="23"/>
    </row>
    <row r="7242">
      <c r="B7242" s="19"/>
      <c r="E7242" s="23"/>
      <c r="L7242" s="23"/>
    </row>
    <row r="7243">
      <c r="B7243" s="19"/>
      <c r="E7243" s="23"/>
      <c r="L7243" s="23"/>
    </row>
    <row r="7244">
      <c r="B7244" s="19"/>
      <c r="E7244" s="23"/>
      <c r="L7244" s="23"/>
    </row>
    <row r="7245">
      <c r="B7245" s="19"/>
      <c r="E7245" s="23"/>
      <c r="L7245" s="23"/>
    </row>
    <row r="7246">
      <c r="B7246" s="19"/>
      <c r="E7246" s="23"/>
      <c r="L7246" s="23"/>
    </row>
    <row r="7247">
      <c r="B7247" s="19"/>
      <c r="E7247" s="23"/>
      <c r="L7247" s="23"/>
    </row>
    <row r="7248">
      <c r="B7248" s="19"/>
      <c r="E7248" s="23"/>
      <c r="L7248" s="23"/>
    </row>
    <row r="7249">
      <c r="B7249" s="19"/>
      <c r="E7249" s="23"/>
      <c r="L7249" s="23"/>
    </row>
    <row r="7250">
      <c r="B7250" s="19"/>
      <c r="E7250" s="23"/>
      <c r="L7250" s="23"/>
    </row>
    <row r="7251">
      <c r="B7251" s="19"/>
      <c r="E7251" s="23"/>
      <c r="L7251" s="23"/>
    </row>
    <row r="7252">
      <c r="B7252" s="19"/>
      <c r="E7252" s="23"/>
      <c r="L7252" s="23"/>
    </row>
    <row r="7253">
      <c r="B7253" s="19"/>
      <c r="E7253" s="23"/>
      <c r="L7253" s="23"/>
    </row>
    <row r="7254">
      <c r="B7254" s="19"/>
      <c r="E7254" s="23"/>
      <c r="L7254" s="23"/>
    </row>
    <row r="7255">
      <c r="B7255" s="19"/>
      <c r="E7255" s="23"/>
      <c r="L7255" s="23"/>
    </row>
    <row r="7256">
      <c r="B7256" s="19"/>
      <c r="E7256" s="23"/>
      <c r="L7256" s="23"/>
    </row>
    <row r="7257">
      <c r="B7257" s="19"/>
      <c r="E7257" s="23"/>
      <c r="L7257" s="23"/>
    </row>
    <row r="7258">
      <c r="B7258" s="19"/>
      <c r="E7258" s="23"/>
      <c r="L7258" s="23"/>
    </row>
    <row r="7259">
      <c r="B7259" s="19"/>
      <c r="E7259" s="23"/>
      <c r="L7259" s="23"/>
    </row>
    <row r="7260">
      <c r="B7260" s="19"/>
      <c r="E7260" s="23"/>
      <c r="L7260" s="23"/>
    </row>
    <row r="7261">
      <c r="B7261" s="19"/>
      <c r="E7261" s="23"/>
      <c r="L7261" s="23"/>
    </row>
    <row r="7262">
      <c r="B7262" s="19"/>
      <c r="E7262" s="23"/>
      <c r="L7262" s="23"/>
    </row>
    <row r="7263">
      <c r="B7263" s="19"/>
      <c r="E7263" s="23"/>
      <c r="L7263" s="23"/>
    </row>
    <row r="7264">
      <c r="B7264" s="19"/>
      <c r="E7264" s="23"/>
      <c r="L7264" s="23"/>
    </row>
    <row r="7265">
      <c r="B7265" s="19"/>
      <c r="E7265" s="23"/>
      <c r="L7265" s="23"/>
    </row>
    <row r="7266">
      <c r="B7266" s="19"/>
      <c r="E7266" s="23"/>
      <c r="L7266" s="23"/>
    </row>
    <row r="7267">
      <c r="B7267" s="19"/>
      <c r="E7267" s="23"/>
      <c r="L7267" s="23"/>
    </row>
    <row r="7268">
      <c r="B7268" s="19"/>
      <c r="E7268" s="23"/>
      <c r="L7268" s="23"/>
    </row>
    <row r="7269">
      <c r="B7269" s="19"/>
      <c r="E7269" s="23"/>
      <c r="L7269" s="23"/>
    </row>
    <row r="7270">
      <c r="B7270" s="19"/>
      <c r="E7270" s="23"/>
      <c r="L7270" s="23"/>
    </row>
    <row r="7271">
      <c r="B7271" s="19"/>
      <c r="E7271" s="23"/>
      <c r="L7271" s="23"/>
    </row>
    <row r="7272">
      <c r="B7272" s="19"/>
      <c r="E7272" s="23"/>
      <c r="L7272" s="23"/>
    </row>
    <row r="7273">
      <c r="B7273" s="19"/>
      <c r="E7273" s="23"/>
      <c r="L7273" s="23"/>
    </row>
    <row r="7274">
      <c r="B7274" s="19"/>
      <c r="E7274" s="23"/>
      <c r="L7274" s="23"/>
    </row>
    <row r="7275">
      <c r="B7275" s="19"/>
      <c r="E7275" s="23"/>
      <c r="L7275" s="23"/>
    </row>
    <row r="7276">
      <c r="B7276" s="19"/>
      <c r="E7276" s="23"/>
      <c r="L7276" s="23"/>
    </row>
    <row r="7277">
      <c r="B7277" s="19"/>
      <c r="E7277" s="23"/>
      <c r="L7277" s="23"/>
    </row>
    <row r="7278">
      <c r="B7278" s="19"/>
      <c r="E7278" s="23"/>
      <c r="L7278" s="23"/>
    </row>
    <row r="7279">
      <c r="B7279" s="19"/>
      <c r="E7279" s="23"/>
      <c r="L7279" s="23"/>
    </row>
    <row r="7280">
      <c r="B7280" s="19"/>
      <c r="E7280" s="23"/>
      <c r="L7280" s="23"/>
    </row>
    <row r="7281">
      <c r="B7281" s="19"/>
      <c r="E7281" s="23"/>
      <c r="L7281" s="23"/>
    </row>
    <row r="7282">
      <c r="B7282" s="19"/>
      <c r="E7282" s="23"/>
      <c r="L7282" s="23"/>
    </row>
    <row r="7283">
      <c r="B7283" s="19"/>
      <c r="E7283" s="23"/>
      <c r="L7283" s="23"/>
    </row>
    <row r="7284">
      <c r="B7284" s="19"/>
      <c r="E7284" s="23"/>
      <c r="L7284" s="23"/>
    </row>
    <row r="7285">
      <c r="B7285" s="19"/>
      <c r="E7285" s="23"/>
      <c r="L7285" s="23"/>
    </row>
    <row r="7286">
      <c r="B7286" s="19"/>
      <c r="E7286" s="23"/>
      <c r="L7286" s="23"/>
    </row>
    <row r="7287">
      <c r="B7287" s="19"/>
      <c r="E7287" s="23"/>
      <c r="L7287" s="23"/>
    </row>
    <row r="7288">
      <c r="B7288" s="19"/>
      <c r="E7288" s="23"/>
      <c r="L7288" s="23"/>
    </row>
    <row r="7289">
      <c r="B7289" s="19"/>
      <c r="E7289" s="23"/>
      <c r="L7289" s="23"/>
    </row>
    <row r="7290">
      <c r="B7290" s="19"/>
      <c r="E7290" s="23"/>
      <c r="L7290" s="23"/>
    </row>
    <row r="7291">
      <c r="B7291" s="19"/>
      <c r="E7291" s="23"/>
      <c r="L7291" s="23"/>
    </row>
    <row r="7292">
      <c r="B7292" s="19"/>
      <c r="E7292" s="23"/>
      <c r="L7292" s="23"/>
    </row>
    <row r="7293">
      <c r="B7293" s="19"/>
      <c r="E7293" s="23"/>
      <c r="L7293" s="23"/>
    </row>
    <row r="7294">
      <c r="B7294" s="19"/>
      <c r="E7294" s="23"/>
      <c r="L7294" s="23"/>
    </row>
    <row r="7295">
      <c r="B7295" s="19"/>
      <c r="E7295" s="23"/>
      <c r="L7295" s="23"/>
    </row>
    <row r="7296">
      <c r="B7296" s="19"/>
      <c r="E7296" s="23"/>
      <c r="L7296" s="23"/>
    </row>
    <row r="7297">
      <c r="B7297" s="19"/>
      <c r="E7297" s="23"/>
      <c r="L7297" s="23"/>
    </row>
    <row r="7298">
      <c r="B7298" s="19"/>
      <c r="E7298" s="23"/>
      <c r="L7298" s="23"/>
    </row>
    <row r="7299">
      <c r="B7299" s="19"/>
      <c r="E7299" s="23"/>
      <c r="L7299" s="23"/>
    </row>
    <row r="7300">
      <c r="B7300" s="19"/>
      <c r="E7300" s="23"/>
      <c r="L7300" s="23"/>
    </row>
    <row r="7301">
      <c r="B7301" s="19"/>
      <c r="E7301" s="23"/>
      <c r="L7301" s="23"/>
    </row>
    <row r="7302">
      <c r="B7302" s="19"/>
      <c r="E7302" s="23"/>
      <c r="L7302" s="23"/>
    </row>
    <row r="7303">
      <c r="B7303" s="19"/>
      <c r="E7303" s="23"/>
      <c r="L7303" s="23"/>
    </row>
    <row r="7304">
      <c r="B7304" s="19"/>
      <c r="E7304" s="23"/>
      <c r="L7304" s="23"/>
    </row>
    <row r="7305">
      <c r="B7305" s="19"/>
      <c r="E7305" s="23"/>
      <c r="L7305" s="23"/>
    </row>
    <row r="7306">
      <c r="B7306" s="19"/>
      <c r="E7306" s="23"/>
      <c r="L7306" s="23"/>
    </row>
    <row r="7307">
      <c r="B7307" s="19"/>
      <c r="E7307" s="23"/>
      <c r="L7307" s="23"/>
    </row>
    <row r="7308">
      <c r="B7308" s="19"/>
      <c r="E7308" s="23"/>
      <c r="L7308" s="23"/>
    </row>
    <row r="7309">
      <c r="B7309" s="19"/>
      <c r="E7309" s="23"/>
      <c r="L7309" s="23"/>
    </row>
    <row r="7310">
      <c r="B7310" s="19"/>
      <c r="E7310" s="23"/>
      <c r="L7310" s="23"/>
    </row>
    <row r="7311">
      <c r="B7311" s="19"/>
      <c r="E7311" s="23"/>
      <c r="L7311" s="23"/>
    </row>
    <row r="7312">
      <c r="B7312" s="19"/>
      <c r="E7312" s="23"/>
      <c r="L7312" s="23"/>
    </row>
    <row r="7313">
      <c r="B7313" s="19"/>
      <c r="E7313" s="23"/>
      <c r="L7313" s="23"/>
    </row>
    <row r="7314">
      <c r="B7314" s="19"/>
      <c r="E7314" s="23"/>
      <c r="L7314" s="23"/>
    </row>
    <row r="7315">
      <c r="B7315" s="19"/>
      <c r="E7315" s="23"/>
      <c r="L7315" s="23"/>
    </row>
    <row r="7316">
      <c r="B7316" s="19"/>
      <c r="E7316" s="23"/>
      <c r="L7316" s="23"/>
    </row>
    <row r="7317">
      <c r="B7317" s="19"/>
      <c r="E7317" s="23"/>
      <c r="L7317" s="23"/>
    </row>
    <row r="7318">
      <c r="B7318" s="19"/>
      <c r="E7318" s="23"/>
      <c r="L7318" s="23"/>
    </row>
    <row r="7319">
      <c r="B7319" s="19"/>
      <c r="E7319" s="23"/>
      <c r="L7319" s="23"/>
    </row>
    <row r="7320">
      <c r="B7320" s="19"/>
      <c r="E7320" s="23"/>
      <c r="L7320" s="23"/>
    </row>
    <row r="7321">
      <c r="B7321" s="19"/>
      <c r="E7321" s="23"/>
      <c r="L7321" s="23"/>
    </row>
    <row r="7322">
      <c r="B7322" s="19"/>
      <c r="E7322" s="23"/>
      <c r="L7322" s="23"/>
    </row>
    <row r="7323">
      <c r="B7323" s="19"/>
      <c r="E7323" s="23"/>
      <c r="L7323" s="23"/>
    </row>
    <row r="7324">
      <c r="B7324" s="19"/>
      <c r="E7324" s="23"/>
      <c r="L7324" s="23"/>
    </row>
    <row r="7325">
      <c r="B7325" s="19"/>
      <c r="E7325" s="23"/>
      <c r="L7325" s="23"/>
    </row>
    <row r="7326">
      <c r="B7326" s="19"/>
      <c r="E7326" s="23"/>
      <c r="L7326" s="23"/>
    </row>
    <row r="7327">
      <c r="B7327" s="19"/>
      <c r="E7327" s="23"/>
      <c r="L7327" s="23"/>
    </row>
    <row r="7328">
      <c r="B7328" s="19"/>
      <c r="E7328" s="23"/>
      <c r="L7328" s="23"/>
    </row>
    <row r="7329">
      <c r="B7329" s="19"/>
      <c r="E7329" s="23"/>
      <c r="L7329" s="23"/>
    </row>
    <row r="7330">
      <c r="B7330" s="19"/>
      <c r="E7330" s="23"/>
      <c r="L7330" s="23"/>
    </row>
    <row r="7331">
      <c r="B7331" s="19"/>
      <c r="E7331" s="23"/>
      <c r="L7331" s="23"/>
    </row>
    <row r="7332">
      <c r="B7332" s="19"/>
      <c r="E7332" s="23"/>
      <c r="L7332" s="23"/>
    </row>
    <row r="7333">
      <c r="B7333" s="19"/>
      <c r="E7333" s="23"/>
      <c r="L7333" s="23"/>
    </row>
    <row r="7334">
      <c r="B7334" s="19"/>
      <c r="E7334" s="23"/>
      <c r="L7334" s="23"/>
    </row>
    <row r="7335">
      <c r="B7335" s="19"/>
      <c r="E7335" s="23"/>
      <c r="L7335" s="23"/>
    </row>
    <row r="7336">
      <c r="B7336" s="19"/>
      <c r="E7336" s="23"/>
      <c r="L7336" s="23"/>
    </row>
    <row r="7337">
      <c r="B7337" s="19"/>
      <c r="E7337" s="23"/>
      <c r="L7337" s="23"/>
    </row>
    <row r="7338">
      <c r="B7338" s="19"/>
      <c r="E7338" s="23"/>
      <c r="L7338" s="23"/>
    </row>
    <row r="7339">
      <c r="B7339" s="19"/>
      <c r="E7339" s="23"/>
      <c r="L7339" s="23"/>
    </row>
    <row r="7340">
      <c r="B7340" s="19"/>
      <c r="E7340" s="23"/>
      <c r="L7340" s="23"/>
    </row>
    <row r="7341">
      <c r="B7341" s="19"/>
      <c r="E7341" s="23"/>
      <c r="L7341" s="23"/>
    </row>
    <row r="7342">
      <c r="B7342" s="19"/>
      <c r="E7342" s="23"/>
      <c r="L7342" s="23"/>
    </row>
    <row r="7343">
      <c r="B7343" s="19"/>
      <c r="E7343" s="23"/>
      <c r="L7343" s="23"/>
    </row>
    <row r="7344">
      <c r="B7344" s="19"/>
      <c r="E7344" s="23"/>
      <c r="L7344" s="23"/>
    </row>
    <row r="7345">
      <c r="B7345" s="19"/>
      <c r="E7345" s="23"/>
      <c r="L7345" s="23"/>
    </row>
    <row r="7346">
      <c r="B7346" s="19"/>
      <c r="E7346" s="23"/>
      <c r="L7346" s="23"/>
    </row>
    <row r="7347">
      <c r="B7347" s="19"/>
      <c r="E7347" s="23"/>
      <c r="L7347" s="23"/>
    </row>
    <row r="7348">
      <c r="B7348" s="19"/>
      <c r="E7348" s="23"/>
      <c r="L7348" s="23"/>
    </row>
    <row r="7349">
      <c r="B7349" s="19"/>
      <c r="E7349" s="23"/>
      <c r="L7349" s="23"/>
    </row>
    <row r="7350">
      <c r="B7350" s="19"/>
      <c r="E7350" s="23"/>
      <c r="L7350" s="23"/>
    </row>
    <row r="7351">
      <c r="B7351" s="19"/>
      <c r="E7351" s="23"/>
      <c r="L7351" s="23"/>
    </row>
    <row r="7352">
      <c r="B7352" s="19"/>
      <c r="E7352" s="23"/>
      <c r="L7352" s="23"/>
    </row>
    <row r="7353">
      <c r="B7353" s="19"/>
      <c r="E7353" s="23"/>
      <c r="L7353" s="23"/>
    </row>
    <row r="7354">
      <c r="B7354" s="19"/>
      <c r="E7354" s="23"/>
      <c r="L7354" s="23"/>
    </row>
    <row r="7355">
      <c r="B7355" s="19"/>
      <c r="E7355" s="23"/>
      <c r="L7355" s="23"/>
    </row>
    <row r="7356">
      <c r="B7356" s="19"/>
      <c r="E7356" s="23"/>
      <c r="L7356" s="23"/>
    </row>
    <row r="7357">
      <c r="B7357" s="19"/>
      <c r="E7357" s="23"/>
      <c r="L7357" s="23"/>
    </row>
    <row r="7358">
      <c r="B7358" s="19"/>
      <c r="E7358" s="23"/>
      <c r="L7358" s="23"/>
    </row>
    <row r="7359">
      <c r="B7359" s="19"/>
      <c r="E7359" s="23"/>
      <c r="L7359" s="23"/>
    </row>
    <row r="7360">
      <c r="B7360" s="19"/>
      <c r="E7360" s="23"/>
      <c r="L7360" s="23"/>
    </row>
    <row r="7361">
      <c r="B7361" s="19"/>
      <c r="E7361" s="23"/>
      <c r="L7361" s="23"/>
    </row>
    <row r="7362">
      <c r="B7362" s="19"/>
      <c r="E7362" s="23"/>
      <c r="L7362" s="23"/>
    </row>
    <row r="7363">
      <c r="B7363" s="19"/>
      <c r="E7363" s="23"/>
      <c r="L7363" s="23"/>
    </row>
    <row r="7364">
      <c r="B7364" s="19"/>
      <c r="E7364" s="23"/>
      <c r="L7364" s="23"/>
    </row>
    <row r="7365">
      <c r="B7365" s="19"/>
      <c r="E7365" s="23"/>
      <c r="L7365" s="23"/>
    </row>
    <row r="7366">
      <c r="B7366" s="19"/>
      <c r="E7366" s="23"/>
      <c r="L7366" s="23"/>
    </row>
    <row r="7367">
      <c r="B7367" s="19"/>
      <c r="E7367" s="23"/>
      <c r="L7367" s="23"/>
    </row>
    <row r="7368">
      <c r="B7368" s="19"/>
      <c r="E7368" s="23"/>
      <c r="L7368" s="23"/>
    </row>
    <row r="7369">
      <c r="B7369" s="19"/>
      <c r="E7369" s="23"/>
      <c r="L7369" s="23"/>
    </row>
    <row r="7370">
      <c r="B7370" s="19"/>
      <c r="E7370" s="23"/>
      <c r="L7370" s="23"/>
    </row>
    <row r="7371">
      <c r="B7371" s="19"/>
      <c r="E7371" s="23"/>
      <c r="L7371" s="23"/>
    </row>
    <row r="7372">
      <c r="B7372" s="19"/>
      <c r="E7372" s="23"/>
      <c r="L7372" s="23"/>
    </row>
    <row r="7373">
      <c r="B7373" s="19"/>
      <c r="E7373" s="23"/>
      <c r="L7373" s="23"/>
    </row>
    <row r="7374">
      <c r="B7374" s="19"/>
      <c r="E7374" s="23"/>
      <c r="L7374" s="23"/>
    </row>
    <row r="7375">
      <c r="B7375" s="19"/>
      <c r="E7375" s="23"/>
      <c r="L7375" s="23"/>
    </row>
    <row r="7376">
      <c r="B7376" s="19"/>
      <c r="E7376" s="23"/>
      <c r="L7376" s="23"/>
    </row>
    <row r="7377">
      <c r="B7377" s="19"/>
      <c r="E7377" s="23"/>
      <c r="L7377" s="23"/>
    </row>
    <row r="7378">
      <c r="B7378" s="19"/>
      <c r="E7378" s="23"/>
      <c r="L7378" s="23"/>
    </row>
    <row r="7379">
      <c r="B7379" s="19"/>
      <c r="E7379" s="23"/>
      <c r="L7379" s="23"/>
    </row>
    <row r="7380">
      <c r="B7380" s="19"/>
      <c r="E7380" s="23"/>
      <c r="L7380" s="23"/>
    </row>
    <row r="7381">
      <c r="B7381" s="19"/>
      <c r="E7381" s="23"/>
      <c r="L7381" s="23"/>
    </row>
    <row r="7382">
      <c r="B7382" s="19"/>
      <c r="E7382" s="23"/>
      <c r="L7382" s="23"/>
    </row>
    <row r="7383">
      <c r="B7383" s="19"/>
      <c r="E7383" s="23"/>
      <c r="L7383" s="23"/>
    </row>
    <row r="7384">
      <c r="B7384" s="19"/>
      <c r="E7384" s="23"/>
      <c r="L7384" s="23"/>
    </row>
    <row r="7385">
      <c r="B7385" s="19"/>
      <c r="E7385" s="23"/>
      <c r="L7385" s="23"/>
    </row>
    <row r="7386">
      <c r="B7386" s="19"/>
      <c r="E7386" s="23"/>
      <c r="L7386" s="23"/>
    </row>
    <row r="7387">
      <c r="B7387" s="19"/>
      <c r="E7387" s="23"/>
      <c r="L7387" s="23"/>
    </row>
    <row r="7388">
      <c r="B7388" s="19"/>
      <c r="E7388" s="23"/>
      <c r="L7388" s="23"/>
    </row>
    <row r="7389">
      <c r="B7389" s="19"/>
      <c r="E7389" s="23"/>
      <c r="L7389" s="23"/>
    </row>
    <row r="7390">
      <c r="B7390" s="19"/>
      <c r="E7390" s="23"/>
      <c r="L7390" s="23"/>
    </row>
    <row r="7391">
      <c r="B7391" s="19"/>
      <c r="E7391" s="23"/>
      <c r="L7391" s="23"/>
    </row>
    <row r="7392">
      <c r="B7392" s="19"/>
      <c r="E7392" s="23"/>
      <c r="L7392" s="23"/>
    </row>
    <row r="7393">
      <c r="B7393" s="19"/>
      <c r="E7393" s="23"/>
      <c r="L7393" s="23"/>
    </row>
    <row r="7394">
      <c r="B7394" s="19"/>
      <c r="E7394" s="23"/>
      <c r="L7394" s="23"/>
    </row>
    <row r="7395">
      <c r="B7395" s="19"/>
      <c r="E7395" s="23"/>
      <c r="L7395" s="23"/>
    </row>
    <row r="7396">
      <c r="B7396" s="19"/>
      <c r="E7396" s="23"/>
      <c r="L7396" s="23"/>
    </row>
    <row r="7397">
      <c r="B7397" s="19"/>
      <c r="E7397" s="23"/>
      <c r="L7397" s="23"/>
    </row>
    <row r="7398">
      <c r="B7398" s="19"/>
      <c r="E7398" s="23"/>
      <c r="L7398" s="23"/>
    </row>
    <row r="7399">
      <c r="B7399" s="19"/>
      <c r="E7399" s="23"/>
      <c r="L7399" s="23"/>
    </row>
    <row r="7400">
      <c r="B7400" s="19"/>
      <c r="E7400" s="23"/>
      <c r="L7400" s="23"/>
    </row>
    <row r="7401">
      <c r="B7401" s="19"/>
      <c r="E7401" s="23"/>
      <c r="L7401" s="23"/>
    </row>
    <row r="7402">
      <c r="B7402" s="19"/>
      <c r="E7402" s="23"/>
      <c r="L7402" s="23"/>
    </row>
    <row r="7403">
      <c r="B7403" s="19"/>
      <c r="E7403" s="23"/>
      <c r="L7403" s="23"/>
    </row>
    <row r="7404">
      <c r="B7404" s="19"/>
      <c r="E7404" s="23"/>
      <c r="L7404" s="23"/>
    </row>
    <row r="7405">
      <c r="B7405" s="19"/>
      <c r="E7405" s="23"/>
      <c r="L7405" s="23"/>
    </row>
    <row r="7406">
      <c r="B7406" s="19"/>
      <c r="E7406" s="23"/>
      <c r="L7406" s="23"/>
    </row>
    <row r="7407">
      <c r="B7407" s="19"/>
      <c r="E7407" s="23"/>
      <c r="L7407" s="23"/>
    </row>
    <row r="7408">
      <c r="B7408" s="19"/>
      <c r="E7408" s="23"/>
      <c r="L7408" s="23"/>
    </row>
    <row r="7409">
      <c r="B7409" s="19"/>
      <c r="E7409" s="23"/>
      <c r="L7409" s="23"/>
    </row>
    <row r="7410">
      <c r="B7410" s="19"/>
      <c r="E7410" s="23"/>
      <c r="L7410" s="23"/>
    </row>
    <row r="7411">
      <c r="B7411" s="19"/>
      <c r="E7411" s="23"/>
      <c r="L7411" s="23"/>
    </row>
    <row r="7412">
      <c r="B7412" s="19"/>
      <c r="E7412" s="23"/>
      <c r="L7412" s="23"/>
    </row>
    <row r="7413">
      <c r="B7413" s="19"/>
      <c r="E7413" s="23"/>
      <c r="L7413" s="23"/>
    </row>
    <row r="7414">
      <c r="B7414" s="19"/>
      <c r="E7414" s="23"/>
      <c r="L7414" s="23"/>
    </row>
    <row r="7415">
      <c r="B7415" s="19"/>
      <c r="E7415" s="23"/>
      <c r="L7415" s="23"/>
    </row>
    <row r="7416">
      <c r="B7416" s="19"/>
      <c r="E7416" s="23"/>
      <c r="L7416" s="23"/>
    </row>
    <row r="7417">
      <c r="B7417" s="19"/>
      <c r="E7417" s="23"/>
      <c r="L7417" s="23"/>
    </row>
    <row r="7418">
      <c r="B7418" s="19"/>
      <c r="E7418" s="23"/>
      <c r="L7418" s="23"/>
    </row>
    <row r="7419">
      <c r="B7419" s="19"/>
      <c r="E7419" s="23"/>
      <c r="L7419" s="23"/>
    </row>
    <row r="7420">
      <c r="B7420" s="19"/>
      <c r="E7420" s="23"/>
      <c r="L7420" s="23"/>
    </row>
    <row r="7421">
      <c r="B7421" s="19"/>
      <c r="E7421" s="23"/>
      <c r="L7421" s="23"/>
    </row>
    <row r="7422">
      <c r="B7422" s="19"/>
      <c r="E7422" s="23"/>
      <c r="L7422" s="23"/>
    </row>
    <row r="7423">
      <c r="B7423" s="19"/>
      <c r="E7423" s="23"/>
      <c r="L7423" s="23"/>
    </row>
    <row r="7424">
      <c r="B7424" s="19"/>
      <c r="E7424" s="23"/>
      <c r="L7424" s="23"/>
    </row>
    <row r="7425">
      <c r="B7425" s="19"/>
      <c r="E7425" s="23"/>
      <c r="L7425" s="23"/>
    </row>
    <row r="7426">
      <c r="B7426" s="19"/>
      <c r="E7426" s="23"/>
      <c r="L7426" s="23"/>
    </row>
    <row r="7427">
      <c r="B7427" s="19"/>
      <c r="E7427" s="23"/>
      <c r="L7427" s="23"/>
    </row>
    <row r="7428">
      <c r="B7428" s="19"/>
      <c r="E7428" s="23"/>
      <c r="L7428" s="23"/>
    </row>
    <row r="7429">
      <c r="B7429" s="19"/>
      <c r="E7429" s="23"/>
      <c r="L7429" s="23"/>
    </row>
    <row r="7430">
      <c r="B7430" s="19"/>
      <c r="E7430" s="23"/>
      <c r="L7430" s="23"/>
    </row>
    <row r="7431">
      <c r="B7431" s="19"/>
      <c r="E7431" s="23"/>
      <c r="L7431" s="23"/>
    </row>
    <row r="7432">
      <c r="B7432" s="19"/>
      <c r="E7432" s="23"/>
      <c r="L7432" s="23"/>
    </row>
    <row r="7433">
      <c r="B7433" s="19"/>
      <c r="E7433" s="23"/>
      <c r="L7433" s="23"/>
    </row>
    <row r="7434">
      <c r="B7434" s="19"/>
      <c r="E7434" s="23"/>
      <c r="L7434" s="23"/>
    </row>
    <row r="7435">
      <c r="B7435" s="19"/>
      <c r="E7435" s="23"/>
      <c r="L7435" s="23"/>
    </row>
    <row r="7436">
      <c r="B7436" s="19"/>
      <c r="E7436" s="23"/>
      <c r="L7436" s="23"/>
    </row>
    <row r="7437">
      <c r="B7437" s="19"/>
      <c r="E7437" s="23"/>
      <c r="L7437" s="23"/>
    </row>
    <row r="7438">
      <c r="B7438" s="19"/>
      <c r="E7438" s="23"/>
      <c r="L7438" s="23"/>
    </row>
    <row r="7439">
      <c r="B7439" s="19"/>
      <c r="E7439" s="23"/>
      <c r="L7439" s="23"/>
    </row>
    <row r="7440">
      <c r="B7440" s="19"/>
      <c r="E7440" s="23"/>
      <c r="L7440" s="23"/>
    </row>
    <row r="7441">
      <c r="B7441" s="19"/>
      <c r="E7441" s="23"/>
      <c r="L7441" s="23"/>
    </row>
    <row r="7442">
      <c r="B7442" s="19"/>
      <c r="E7442" s="23"/>
      <c r="L7442" s="23"/>
    </row>
    <row r="7443">
      <c r="B7443" s="19"/>
      <c r="E7443" s="23"/>
      <c r="L7443" s="23"/>
    </row>
    <row r="7444">
      <c r="B7444" s="19"/>
      <c r="E7444" s="23"/>
      <c r="L7444" s="23"/>
    </row>
    <row r="7445">
      <c r="B7445" s="19"/>
      <c r="E7445" s="23"/>
      <c r="L7445" s="23"/>
    </row>
    <row r="7446">
      <c r="B7446" s="19"/>
      <c r="E7446" s="23"/>
      <c r="L7446" s="23"/>
    </row>
    <row r="7447">
      <c r="B7447" s="19"/>
      <c r="E7447" s="23"/>
      <c r="L7447" s="23"/>
    </row>
    <row r="7448">
      <c r="B7448" s="19"/>
      <c r="E7448" s="23"/>
      <c r="L7448" s="23"/>
    </row>
    <row r="7449">
      <c r="B7449" s="19"/>
      <c r="E7449" s="23"/>
      <c r="L7449" s="23"/>
    </row>
    <row r="7450">
      <c r="B7450" s="19"/>
      <c r="E7450" s="23"/>
      <c r="L7450" s="23"/>
    </row>
    <row r="7451">
      <c r="B7451" s="19"/>
      <c r="E7451" s="23"/>
      <c r="L7451" s="23"/>
    </row>
    <row r="7452">
      <c r="B7452" s="19"/>
      <c r="E7452" s="23"/>
      <c r="L7452" s="23"/>
    </row>
    <row r="7453">
      <c r="B7453" s="19"/>
      <c r="E7453" s="23"/>
      <c r="L7453" s="23"/>
    </row>
    <row r="7454">
      <c r="B7454" s="19"/>
      <c r="E7454" s="23"/>
      <c r="L7454" s="23"/>
    </row>
    <row r="7455">
      <c r="B7455" s="19"/>
      <c r="E7455" s="23"/>
      <c r="L7455" s="23"/>
    </row>
    <row r="7456">
      <c r="B7456" s="19"/>
      <c r="E7456" s="23"/>
      <c r="L7456" s="23"/>
    </row>
    <row r="7457">
      <c r="B7457" s="19"/>
      <c r="E7457" s="23"/>
      <c r="L7457" s="23"/>
    </row>
    <row r="7458">
      <c r="B7458" s="19"/>
      <c r="E7458" s="23"/>
      <c r="L7458" s="23"/>
    </row>
    <row r="7459">
      <c r="B7459" s="19"/>
      <c r="E7459" s="23"/>
      <c r="L7459" s="23"/>
    </row>
    <row r="7460">
      <c r="B7460" s="19"/>
      <c r="E7460" s="23"/>
      <c r="L7460" s="23"/>
    </row>
    <row r="7461">
      <c r="B7461" s="19"/>
      <c r="E7461" s="23"/>
      <c r="L7461" s="23"/>
    </row>
    <row r="7462">
      <c r="B7462" s="19"/>
      <c r="E7462" s="23"/>
      <c r="L7462" s="23"/>
    </row>
    <row r="7463">
      <c r="B7463" s="19"/>
      <c r="E7463" s="23"/>
      <c r="L7463" s="23"/>
    </row>
    <row r="7464">
      <c r="B7464" s="19"/>
      <c r="E7464" s="23"/>
      <c r="L7464" s="23"/>
    </row>
    <row r="7465">
      <c r="B7465" s="19"/>
      <c r="E7465" s="23"/>
      <c r="L7465" s="23"/>
    </row>
    <row r="7466">
      <c r="B7466" s="19"/>
      <c r="E7466" s="23"/>
      <c r="L7466" s="23"/>
    </row>
    <row r="7467">
      <c r="B7467" s="19"/>
      <c r="E7467" s="23"/>
      <c r="L7467" s="23"/>
    </row>
    <row r="7468">
      <c r="B7468" s="19"/>
      <c r="E7468" s="23"/>
      <c r="L7468" s="23"/>
    </row>
    <row r="7469">
      <c r="B7469" s="19"/>
      <c r="E7469" s="23"/>
      <c r="L7469" s="23"/>
    </row>
    <row r="7470">
      <c r="B7470" s="19"/>
      <c r="E7470" s="23"/>
      <c r="L7470" s="23"/>
    </row>
    <row r="7471">
      <c r="B7471" s="19"/>
      <c r="E7471" s="23"/>
      <c r="L7471" s="23"/>
    </row>
    <row r="7472">
      <c r="B7472" s="19"/>
      <c r="E7472" s="23"/>
      <c r="L7472" s="23"/>
    </row>
    <row r="7473">
      <c r="B7473" s="19"/>
      <c r="E7473" s="23"/>
      <c r="L7473" s="23"/>
    </row>
    <row r="7474">
      <c r="B7474" s="19"/>
      <c r="E7474" s="23"/>
      <c r="L7474" s="23"/>
    </row>
    <row r="7475">
      <c r="B7475" s="19"/>
      <c r="E7475" s="23"/>
      <c r="L7475" s="23"/>
    </row>
    <row r="7476">
      <c r="B7476" s="19"/>
      <c r="E7476" s="23"/>
      <c r="L7476" s="23"/>
    </row>
    <row r="7477">
      <c r="B7477" s="19"/>
      <c r="E7477" s="23"/>
      <c r="L7477" s="23"/>
    </row>
    <row r="7478">
      <c r="B7478" s="19"/>
      <c r="E7478" s="23"/>
      <c r="L7478" s="23"/>
    </row>
    <row r="7479">
      <c r="B7479" s="19"/>
      <c r="E7479" s="23"/>
      <c r="L7479" s="23"/>
    </row>
    <row r="7480">
      <c r="B7480" s="19"/>
      <c r="E7480" s="23"/>
      <c r="L7480" s="23"/>
    </row>
    <row r="7481">
      <c r="B7481" s="19"/>
      <c r="E7481" s="23"/>
      <c r="L7481" s="23"/>
    </row>
    <row r="7482">
      <c r="B7482" s="19"/>
      <c r="E7482" s="23"/>
      <c r="L7482" s="23"/>
    </row>
    <row r="7483">
      <c r="B7483" s="19"/>
      <c r="E7483" s="23"/>
      <c r="L7483" s="23"/>
    </row>
    <row r="7484">
      <c r="B7484" s="19"/>
      <c r="E7484" s="23"/>
      <c r="L7484" s="23"/>
    </row>
    <row r="7485">
      <c r="B7485" s="19"/>
      <c r="E7485" s="23"/>
      <c r="L7485" s="23"/>
    </row>
    <row r="7486">
      <c r="B7486" s="19"/>
      <c r="E7486" s="23"/>
      <c r="L7486" s="23"/>
    </row>
    <row r="7487">
      <c r="B7487" s="19"/>
      <c r="E7487" s="23"/>
      <c r="L7487" s="23"/>
    </row>
    <row r="7488">
      <c r="B7488" s="19"/>
      <c r="E7488" s="23"/>
      <c r="L7488" s="23"/>
    </row>
    <row r="7489">
      <c r="B7489" s="19"/>
      <c r="E7489" s="23"/>
      <c r="L7489" s="23"/>
    </row>
    <row r="7490">
      <c r="B7490" s="19"/>
      <c r="E7490" s="23"/>
      <c r="L7490" s="23"/>
    </row>
    <row r="7491">
      <c r="B7491" s="19"/>
      <c r="E7491" s="23"/>
      <c r="L7491" s="23"/>
    </row>
    <row r="7492">
      <c r="B7492" s="19"/>
      <c r="E7492" s="23"/>
      <c r="L7492" s="23"/>
    </row>
    <row r="7493">
      <c r="B7493" s="19"/>
      <c r="E7493" s="23"/>
      <c r="L7493" s="23"/>
    </row>
    <row r="7494">
      <c r="B7494" s="19"/>
      <c r="E7494" s="23"/>
      <c r="L7494" s="23"/>
    </row>
    <row r="7495">
      <c r="B7495" s="19"/>
      <c r="E7495" s="23"/>
      <c r="L7495" s="23"/>
    </row>
    <row r="7496">
      <c r="B7496" s="19"/>
      <c r="E7496" s="23"/>
      <c r="L7496" s="23"/>
    </row>
    <row r="7497">
      <c r="B7497" s="19"/>
      <c r="E7497" s="23"/>
      <c r="L7497" s="23"/>
    </row>
    <row r="7498">
      <c r="B7498" s="19"/>
      <c r="E7498" s="23"/>
      <c r="L7498" s="23"/>
    </row>
    <row r="7499">
      <c r="B7499" s="19"/>
      <c r="E7499" s="23"/>
      <c r="L7499" s="23"/>
    </row>
    <row r="7500">
      <c r="B7500" s="19"/>
      <c r="E7500" s="23"/>
      <c r="L7500" s="23"/>
    </row>
    <row r="7501">
      <c r="B7501" s="19"/>
      <c r="E7501" s="23"/>
      <c r="L7501" s="23"/>
    </row>
    <row r="7502">
      <c r="B7502" s="19"/>
      <c r="E7502" s="23"/>
      <c r="L7502" s="23"/>
    </row>
    <row r="7503">
      <c r="B7503" s="19"/>
      <c r="E7503" s="23"/>
      <c r="L7503" s="23"/>
    </row>
    <row r="7504">
      <c r="B7504" s="19"/>
      <c r="E7504" s="23"/>
      <c r="L7504" s="23"/>
    </row>
    <row r="7505">
      <c r="B7505" s="19"/>
      <c r="E7505" s="23"/>
      <c r="L7505" s="23"/>
    </row>
    <row r="7506">
      <c r="B7506" s="19"/>
      <c r="E7506" s="23"/>
      <c r="L7506" s="23"/>
    </row>
    <row r="7507">
      <c r="B7507" s="19"/>
      <c r="E7507" s="23"/>
      <c r="L7507" s="23"/>
    </row>
    <row r="7508">
      <c r="B7508" s="19"/>
      <c r="E7508" s="23"/>
      <c r="L7508" s="23"/>
    </row>
    <row r="7509">
      <c r="B7509" s="19"/>
      <c r="E7509" s="23"/>
      <c r="L7509" s="23"/>
    </row>
    <row r="7510">
      <c r="B7510" s="19"/>
      <c r="E7510" s="23"/>
      <c r="L7510" s="23"/>
    </row>
    <row r="7511">
      <c r="B7511" s="19"/>
      <c r="E7511" s="23"/>
      <c r="L7511" s="23"/>
    </row>
    <row r="7512">
      <c r="B7512" s="19"/>
      <c r="E7512" s="23"/>
      <c r="L7512" s="23"/>
    </row>
    <row r="7513">
      <c r="B7513" s="19"/>
      <c r="E7513" s="23"/>
      <c r="L7513" s="23"/>
    </row>
    <row r="7514">
      <c r="B7514" s="19"/>
      <c r="E7514" s="23"/>
      <c r="L7514" s="23"/>
    </row>
    <row r="7515">
      <c r="B7515" s="19"/>
      <c r="E7515" s="23"/>
      <c r="L7515" s="23"/>
    </row>
    <row r="7516">
      <c r="B7516" s="19"/>
      <c r="E7516" s="23"/>
      <c r="L7516" s="23"/>
    </row>
    <row r="7517">
      <c r="B7517" s="19"/>
      <c r="E7517" s="23"/>
      <c r="L7517" s="23"/>
    </row>
    <row r="7518">
      <c r="B7518" s="19"/>
      <c r="E7518" s="23"/>
      <c r="L7518" s="23"/>
    </row>
    <row r="7519">
      <c r="B7519" s="19"/>
      <c r="E7519" s="23"/>
      <c r="L7519" s="23"/>
    </row>
    <row r="7520">
      <c r="B7520" s="19"/>
      <c r="E7520" s="23"/>
      <c r="L7520" s="23"/>
    </row>
    <row r="7521">
      <c r="B7521" s="19"/>
      <c r="E7521" s="23"/>
      <c r="L7521" s="23"/>
    </row>
    <row r="7522">
      <c r="B7522" s="19"/>
      <c r="E7522" s="23"/>
      <c r="L7522" s="23"/>
    </row>
    <row r="7523">
      <c r="B7523" s="19"/>
      <c r="E7523" s="23"/>
      <c r="L7523" s="23"/>
    </row>
    <row r="7524">
      <c r="B7524" s="19"/>
      <c r="E7524" s="23"/>
      <c r="L7524" s="23"/>
    </row>
    <row r="7525">
      <c r="B7525" s="19"/>
      <c r="E7525" s="23"/>
      <c r="L7525" s="23"/>
    </row>
    <row r="7526">
      <c r="B7526" s="19"/>
      <c r="E7526" s="23"/>
      <c r="L7526" s="23"/>
    </row>
    <row r="7527">
      <c r="B7527" s="19"/>
      <c r="E7527" s="23"/>
      <c r="L7527" s="23"/>
    </row>
    <row r="7528">
      <c r="B7528" s="19"/>
      <c r="E7528" s="23"/>
      <c r="L7528" s="23"/>
    </row>
    <row r="7529">
      <c r="B7529" s="19"/>
      <c r="E7529" s="23"/>
      <c r="L7529" s="23"/>
    </row>
    <row r="7530">
      <c r="B7530" s="19"/>
      <c r="E7530" s="23"/>
      <c r="L7530" s="23"/>
    </row>
    <row r="7531">
      <c r="B7531" s="19"/>
      <c r="E7531" s="23"/>
      <c r="L7531" s="23"/>
    </row>
    <row r="7532">
      <c r="B7532" s="19"/>
      <c r="E7532" s="23"/>
      <c r="L7532" s="23"/>
    </row>
    <row r="7533">
      <c r="B7533" s="19"/>
      <c r="E7533" s="23"/>
      <c r="L7533" s="23"/>
    </row>
    <row r="7534">
      <c r="B7534" s="19"/>
      <c r="E7534" s="23"/>
      <c r="L7534" s="23"/>
    </row>
    <row r="7535">
      <c r="B7535" s="19"/>
      <c r="E7535" s="23"/>
      <c r="L7535" s="23"/>
    </row>
    <row r="7536">
      <c r="B7536" s="19"/>
      <c r="E7536" s="23"/>
      <c r="L7536" s="23"/>
    </row>
    <row r="7537">
      <c r="B7537" s="19"/>
      <c r="E7537" s="23"/>
      <c r="L7537" s="23"/>
    </row>
    <row r="7538">
      <c r="B7538" s="19"/>
      <c r="E7538" s="23"/>
      <c r="L7538" s="23"/>
    </row>
    <row r="7539">
      <c r="B7539" s="19"/>
      <c r="E7539" s="23"/>
      <c r="L7539" s="23"/>
    </row>
    <row r="7540">
      <c r="B7540" s="19"/>
      <c r="E7540" s="23"/>
      <c r="L7540" s="23"/>
    </row>
    <row r="7541">
      <c r="B7541" s="19"/>
      <c r="E7541" s="23"/>
      <c r="L7541" s="23"/>
    </row>
    <row r="7542">
      <c r="B7542" s="19"/>
      <c r="E7542" s="23"/>
      <c r="L7542" s="23"/>
    </row>
    <row r="7543">
      <c r="B7543" s="19"/>
      <c r="E7543" s="23"/>
      <c r="L7543" s="23"/>
    </row>
    <row r="7544">
      <c r="B7544" s="19"/>
      <c r="E7544" s="23"/>
      <c r="L7544" s="23"/>
    </row>
    <row r="7545">
      <c r="B7545" s="19"/>
      <c r="E7545" s="23"/>
      <c r="L7545" s="23"/>
    </row>
    <row r="7546">
      <c r="B7546" s="19"/>
      <c r="E7546" s="23"/>
      <c r="L7546" s="23"/>
    </row>
    <row r="7547">
      <c r="B7547" s="19"/>
      <c r="E7547" s="23"/>
      <c r="L7547" s="23"/>
    </row>
    <row r="7548">
      <c r="B7548" s="19"/>
      <c r="E7548" s="23"/>
      <c r="L7548" s="23"/>
    </row>
    <row r="7549">
      <c r="B7549" s="19"/>
      <c r="E7549" s="23"/>
      <c r="L7549" s="23"/>
    </row>
    <row r="7550">
      <c r="B7550" s="19"/>
      <c r="E7550" s="23"/>
      <c r="L7550" s="23"/>
    </row>
    <row r="7551">
      <c r="B7551" s="19"/>
      <c r="E7551" s="23"/>
      <c r="L7551" s="23"/>
    </row>
    <row r="7552">
      <c r="B7552" s="19"/>
      <c r="E7552" s="23"/>
      <c r="L7552" s="23"/>
    </row>
    <row r="7553">
      <c r="B7553" s="19"/>
      <c r="E7553" s="23"/>
      <c r="L7553" s="23"/>
    </row>
    <row r="7554">
      <c r="B7554" s="19"/>
      <c r="E7554" s="23"/>
      <c r="L7554" s="23"/>
    </row>
    <row r="7555">
      <c r="B7555" s="19"/>
      <c r="E7555" s="23"/>
      <c r="L7555" s="23"/>
    </row>
    <row r="7556">
      <c r="B7556" s="19"/>
      <c r="E7556" s="23"/>
      <c r="L7556" s="23"/>
    </row>
    <row r="7557">
      <c r="B7557" s="19"/>
      <c r="E7557" s="23"/>
      <c r="L7557" s="23"/>
    </row>
    <row r="7558">
      <c r="B7558" s="19"/>
      <c r="E7558" s="23"/>
      <c r="L7558" s="23"/>
    </row>
    <row r="7559">
      <c r="B7559" s="19"/>
      <c r="E7559" s="23"/>
      <c r="L7559" s="23"/>
    </row>
    <row r="7560">
      <c r="B7560" s="19"/>
      <c r="E7560" s="23"/>
      <c r="L7560" s="23"/>
    </row>
    <row r="7561">
      <c r="B7561" s="19"/>
      <c r="E7561" s="23"/>
      <c r="L7561" s="23"/>
    </row>
    <row r="7562">
      <c r="B7562" s="19"/>
      <c r="E7562" s="23"/>
      <c r="L7562" s="23"/>
    </row>
    <row r="7563">
      <c r="B7563" s="19"/>
      <c r="E7563" s="23"/>
      <c r="L7563" s="23"/>
    </row>
    <row r="7564">
      <c r="B7564" s="19"/>
      <c r="E7564" s="23"/>
      <c r="L7564" s="23"/>
    </row>
    <row r="7565">
      <c r="B7565" s="19"/>
      <c r="E7565" s="23"/>
      <c r="L7565" s="23"/>
    </row>
    <row r="7566">
      <c r="B7566" s="19"/>
      <c r="E7566" s="23"/>
      <c r="L7566" s="23"/>
    </row>
    <row r="7567">
      <c r="B7567" s="19"/>
      <c r="E7567" s="23"/>
      <c r="L7567" s="23"/>
    </row>
    <row r="7568">
      <c r="B7568" s="19"/>
      <c r="E7568" s="23"/>
      <c r="L7568" s="23"/>
    </row>
    <row r="7569">
      <c r="B7569" s="19"/>
      <c r="E7569" s="23"/>
      <c r="L7569" s="23"/>
    </row>
    <row r="7570">
      <c r="B7570" s="19"/>
      <c r="E7570" s="23"/>
      <c r="L7570" s="23"/>
    </row>
    <row r="7571">
      <c r="B7571" s="19"/>
      <c r="E7571" s="23"/>
      <c r="L7571" s="23"/>
    </row>
    <row r="7572">
      <c r="B7572" s="19"/>
      <c r="E7572" s="23"/>
      <c r="L7572" s="23"/>
    </row>
    <row r="7573">
      <c r="B7573" s="19"/>
      <c r="E7573" s="23"/>
      <c r="L7573" s="23"/>
    </row>
    <row r="7574">
      <c r="B7574" s="19"/>
      <c r="E7574" s="23"/>
      <c r="L7574" s="23"/>
    </row>
    <row r="7575">
      <c r="B7575" s="19"/>
      <c r="E7575" s="23"/>
      <c r="L7575" s="23"/>
    </row>
    <row r="7576">
      <c r="B7576" s="19"/>
      <c r="E7576" s="23"/>
      <c r="L7576" s="23"/>
    </row>
    <row r="7577">
      <c r="B7577" s="19"/>
      <c r="E7577" s="23"/>
      <c r="L7577" s="23"/>
    </row>
    <row r="7578">
      <c r="B7578" s="19"/>
      <c r="E7578" s="23"/>
      <c r="L7578" s="23"/>
    </row>
    <row r="7579">
      <c r="B7579" s="19"/>
      <c r="E7579" s="23"/>
      <c r="L7579" s="23"/>
    </row>
    <row r="7580">
      <c r="B7580" s="19"/>
      <c r="E7580" s="23"/>
      <c r="L7580" s="23"/>
    </row>
    <row r="7581">
      <c r="B7581" s="19"/>
      <c r="E7581" s="23"/>
      <c r="L7581" s="23"/>
    </row>
    <row r="7582">
      <c r="B7582" s="19"/>
      <c r="E7582" s="23"/>
      <c r="L7582" s="23"/>
    </row>
    <row r="7583">
      <c r="B7583" s="19"/>
      <c r="E7583" s="23"/>
      <c r="L7583" s="23"/>
    </row>
    <row r="7584">
      <c r="B7584" s="19"/>
      <c r="E7584" s="23"/>
      <c r="L7584" s="23"/>
    </row>
    <row r="7585">
      <c r="B7585" s="19"/>
      <c r="E7585" s="23"/>
      <c r="L7585" s="23"/>
    </row>
    <row r="7586">
      <c r="B7586" s="19"/>
      <c r="E7586" s="23"/>
      <c r="L7586" s="23"/>
    </row>
    <row r="7587">
      <c r="B7587" s="19"/>
      <c r="E7587" s="23"/>
      <c r="L7587" s="23"/>
    </row>
    <row r="7588">
      <c r="B7588" s="19"/>
      <c r="E7588" s="23"/>
      <c r="L7588" s="23"/>
    </row>
    <row r="7589">
      <c r="B7589" s="19"/>
      <c r="E7589" s="23"/>
      <c r="L7589" s="23"/>
    </row>
    <row r="7590">
      <c r="B7590" s="19"/>
      <c r="E7590" s="23"/>
      <c r="L7590" s="23"/>
    </row>
    <row r="7591">
      <c r="B7591" s="19"/>
      <c r="E7591" s="23"/>
      <c r="L7591" s="23"/>
    </row>
    <row r="7592">
      <c r="B7592" s="19"/>
      <c r="E7592" s="23"/>
      <c r="L7592" s="23"/>
    </row>
    <row r="7593">
      <c r="B7593" s="19"/>
      <c r="E7593" s="23"/>
      <c r="L7593" s="23"/>
    </row>
    <row r="7594">
      <c r="B7594" s="19"/>
      <c r="E7594" s="23"/>
      <c r="L7594" s="23"/>
    </row>
    <row r="7595">
      <c r="B7595" s="19"/>
      <c r="E7595" s="23"/>
      <c r="L7595" s="23"/>
    </row>
    <row r="7596">
      <c r="B7596" s="19"/>
      <c r="E7596" s="23"/>
      <c r="L7596" s="23"/>
    </row>
    <row r="7597">
      <c r="B7597" s="19"/>
      <c r="E7597" s="23"/>
      <c r="L7597" s="23"/>
    </row>
    <row r="7598">
      <c r="B7598" s="19"/>
      <c r="E7598" s="23"/>
      <c r="L7598" s="23"/>
    </row>
    <row r="7599">
      <c r="B7599" s="19"/>
      <c r="E7599" s="23"/>
      <c r="L7599" s="23"/>
    </row>
    <row r="7600">
      <c r="B7600" s="19"/>
      <c r="E7600" s="23"/>
      <c r="L7600" s="23"/>
    </row>
    <row r="7601">
      <c r="B7601" s="19"/>
      <c r="E7601" s="23"/>
      <c r="L7601" s="23"/>
    </row>
    <row r="7602">
      <c r="B7602" s="19"/>
      <c r="E7602" s="23"/>
      <c r="L7602" s="23"/>
    </row>
    <row r="7603">
      <c r="B7603" s="19"/>
      <c r="E7603" s="23"/>
      <c r="L7603" s="23"/>
    </row>
    <row r="7604">
      <c r="B7604" s="19"/>
      <c r="E7604" s="23"/>
      <c r="L7604" s="23"/>
    </row>
    <row r="7605">
      <c r="B7605" s="19"/>
      <c r="E7605" s="23"/>
      <c r="L7605" s="23"/>
    </row>
    <row r="7606">
      <c r="B7606" s="19"/>
      <c r="E7606" s="23"/>
      <c r="L7606" s="23"/>
    </row>
    <row r="7607">
      <c r="B7607" s="19"/>
      <c r="E7607" s="23"/>
      <c r="L7607" s="23"/>
    </row>
    <row r="7608">
      <c r="B7608" s="19"/>
      <c r="E7608" s="23"/>
      <c r="L7608" s="23"/>
    </row>
    <row r="7609">
      <c r="B7609" s="19"/>
      <c r="E7609" s="23"/>
      <c r="L7609" s="23"/>
    </row>
    <row r="7610">
      <c r="B7610" s="19"/>
      <c r="E7610" s="23"/>
      <c r="L7610" s="23"/>
    </row>
    <row r="7611">
      <c r="B7611" s="19"/>
      <c r="E7611" s="23"/>
      <c r="L7611" s="23"/>
    </row>
    <row r="7612">
      <c r="B7612" s="19"/>
      <c r="E7612" s="23"/>
      <c r="L7612" s="23"/>
    </row>
    <row r="7613">
      <c r="B7613" s="19"/>
      <c r="E7613" s="23"/>
      <c r="L7613" s="23"/>
    </row>
    <row r="7614">
      <c r="B7614" s="19"/>
      <c r="E7614" s="23"/>
      <c r="L7614" s="23"/>
    </row>
    <row r="7615">
      <c r="B7615" s="19"/>
      <c r="E7615" s="23"/>
      <c r="L7615" s="23"/>
    </row>
    <row r="7616">
      <c r="B7616" s="19"/>
      <c r="E7616" s="23"/>
      <c r="L7616" s="23"/>
    </row>
    <row r="7617">
      <c r="B7617" s="19"/>
      <c r="E7617" s="23"/>
      <c r="L7617" s="23"/>
    </row>
    <row r="7618">
      <c r="B7618" s="19"/>
      <c r="E7618" s="23"/>
      <c r="L7618" s="23"/>
    </row>
    <row r="7619">
      <c r="B7619" s="19"/>
      <c r="E7619" s="23"/>
      <c r="L7619" s="23"/>
    </row>
    <row r="7620">
      <c r="B7620" s="19"/>
      <c r="E7620" s="23"/>
      <c r="L7620" s="23"/>
    </row>
    <row r="7621">
      <c r="B7621" s="19"/>
      <c r="E7621" s="23"/>
      <c r="L7621" s="23"/>
    </row>
    <row r="7622">
      <c r="B7622" s="19"/>
      <c r="E7622" s="23"/>
      <c r="L7622" s="23"/>
    </row>
    <row r="7623">
      <c r="B7623" s="19"/>
      <c r="E7623" s="23"/>
      <c r="L7623" s="23"/>
    </row>
    <row r="7624">
      <c r="B7624" s="19"/>
      <c r="E7624" s="23"/>
      <c r="L7624" s="23"/>
    </row>
    <row r="7625">
      <c r="B7625" s="19"/>
      <c r="E7625" s="23"/>
      <c r="L7625" s="23"/>
    </row>
    <row r="7626">
      <c r="B7626" s="19"/>
      <c r="E7626" s="23"/>
      <c r="L7626" s="23"/>
    </row>
    <row r="7627">
      <c r="B7627" s="19"/>
      <c r="E7627" s="23"/>
      <c r="L7627" s="23"/>
    </row>
    <row r="7628">
      <c r="B7628" s="19"/>
      <c r="E7628" s="23"/>
      <c r="L7628" s="23"/>
    </row>
    <row r="7629">
      <c r="B7629" s="19"/>
      <c r="E7629" s="23"/>
      <c r="L7629" s="23"/>
    </row>
    <row r="7630">
      <c r="B7630" s="19"/>
      <c r="E7630" s="23"/>
      <c r="L7630" s="23"/>
    </row>
    <row r="7631">
      <c r="B7631" s="19"/>
      <c r="E7631" s="23"/>
      <c r="L7631" s="23"/>
    </row>
    <row r="7632">
      <c r="B7632" s="19"/>
      <c r="E7632" s="23"/>
      <c r="L7632" s="23"/>
    </row>
    <row r="7633">
      <c r="B7633" s="19"/>
      <c r="E7633" s="23"/>
      <c r="L7633" s="23"/>
    </row>
    <row r="7634">
      <c r="B7634" s="19"/>
      <c r="E7634" s="23"/>
      <c r="L7634" s="23"/>
    </row>
    <row r="7635">
      <c r="B7635" s="19"/>
      <c r="E7635" s="23"/>
      <c r="L7635" s="23"/>
    </row>
    <row r="7636">
      <c r="B7636" s="19"/>
      <c r="E7636" s="23"/>
      <c r="L7636" s="23"/>
    </row>
    <row r="7637">
      <c r="B7637" s="19"/>
      <c r="E7637" s="23"/>
      <c r="L7637" s="23"/>
    </row>
    <row r="7638">
      <c r="B7638" s="19"/>
      <c r="E7638" s="23"/>
      <c r="L7638" s="23"/>
    </row>
    <row r="7639">
      <c r="B7639" s="19"/>
      <c r="E7639" s="23"/>
      <c r="L7639" s="23"/>
    </row>
    <row r="7640">
      <c r="B7640" s="19"/>
      <c r="E7640" s="23"/>
      <c r="L7640" s="23"/>
    </row>
    <row r="7641">
      <c r="B7641" s="19"/>
      <c r="E7641" s="23"/>
      <c r="L7641" s="23"/>
    </row>
    <row r="7642">
      <c r="B7642" s="19"/>
      <c r="E7642" s="23"/>
      <c r="L7642" s="23"/>
    </row>
    <row r="7643">
      <c r="B7643" s="19"/>
      <c r="E7643" s="23"/>
      <c r="L7643" s="23"/>
    </row>
    <row r="7644">
      <c r="B7644" s="19"/>
      <c r="E7644" s="23"/>
      <c r="L7644" s="23"/>
    </row>
    <row r="7645">
      <c r="B7645" s="19"/>
      <c r="E7645" s="23"/>
      <c r="L7645" s="23"/>
    </row>
    <row r="7646">
      <c r="B7646" s="19"/>
      <c r="E7646" s="23"/>
      <c r="L7646" s="23"/>
    </row>
    <row r="7647">
      <c r="B7647" s="19"/>
      <c r="E7647" s="23"/>
      <c r="L7647" s="23"/>
    </row>
    <row r="7648">
      <c r="B7648" s="19"/>
      <c r="E7648" s="23"/>
      <c r="L7648" s="23"/>
    </row>
    <row r="7649">
      <c r="B7649" s="19"/>
      <c r="E7649" s="23"/>
      <c r="L7649" s="23"/>
    </row>
    <row r="7650">
      <c r="B7650" s="19"/>
      <c r="E7650" s="23"/>
      <c r="L7650" s="23"/>
    </row>
    <row r="7651">
      <c r="B7651" s="19"/>
      <c r="E7651" s="23"/>
      <c r="L7651" s="23"/>
    </row>
    <row r="7652">
      <c r="B7652" s="19"/>
      <c r="E7652" s="23"/>
      <c r="L7652" s="23"/>
    </row>
    <row r="7653">
      <c r="B7653" s="19"/>
      <c r="E7653" s="23"/>
      <c r="L7653" s="23"/>
    </row>
    <row r="7654">
      <c r="B7654" s="19"/>
      <c r="E7654" s="23"/>
      <c r="L7654" s="23"/>
    </row>
    <row r="7655">
      <c r="B7655" s="19"/>
      <c r="E7655" s="23"/>
      <c r="L7655" s="23"/>
    </row>
    <row r="7656">
      <c r="B7656" s="19"/>
      <c r="E7656" s="23"/>
      <c r="L7656" s="23"/>
    </row>
    <row r="7657">
      <c r="B7657" s="19"/>
      <c r="E7657" s="23"/>
      <c r="L7657" s="23"/>
    </row>
    <row r="7658">
      <c r="B7658" s="19"/>
      <c r="E7658" s="23"/>
      <c r="L7658" s="23"/>
    </row>
    <row r="7659">
      <c r="B7659" s="19"/>
      <c r="E7659" s="23"/>
      <c r="L7659" s="23"/>
    </row>
    <row r="7660">
      <c r="B7660" s="19"/>
      <c r="E7660" s="23"/>
      <c r="L7660" s="23"/>
    </row>
    <row r="7661">
      <c r="B7661" s="19"/>
      <c r="E7661" s="23"/>
      <c r="L7661" s="23"/>
    </row>
    <row r="7662">
      <c r="B7662" s="19"/>
      <c r="E7662" s="23"/>
      <c r="L7662" s="23"/>
    </row>
    <row r="7663">
      <c r="B7663" s="19"/>
      <c r="E7663" s="23"/>
      <c r="L7663" s="23"/>
    </row>
    <row r="7664">
      <c r="B7664" s="19"/>
      <c r="E7664" s="23"/>
      <c r="L7664" s="23"/>
    </row>
    <row r="7665">
      <c r="B7665" s="19"/>
      <c r="E7665" s="23"/>
      <c r="L7665" s="23"/>
    </row>
    <row r="7666">
      <c r="B7666" s="19"/>
      <c r="E7666" s="23"/>
      <c r="L7666" s="23"/>
    </row>
    <row r="7667">
      <c r="B7667" s="19"/>
      <c r="E7667" s="23"/>
      <c r="L7667" s="23"/>
    </row>
    <row r="7668">
      <c r="B7668" s="19"/>
      <c r="E7668" s="23"/>
      <c r="L7668" s="23"/>
    </row>
    <row r="7669">
      <c r="B7669" s="19"/>
      <c r="E7669" s="23"/>
      <c r="L7669" s="23"/>
    </row>
    <row r="7670">
      <c r="B7670" s="19"/>
      <c r="E7670" s="23"/>
      <c r="L7670" s="23"/>
    </row>
    <row r="7671">
      <c r="B7671" s="19"/>
      <c r="E7671" s="23"/>
      <c r="L7671" s="23"/>
    </row>
    <row r="7672">
      <c r="B7672" s="19"/>
      <c r="E7672" s="23"/>
      <c r="L7672" s="23"/>
    </row>
    <row r="7673">
      <c r="B7673" s="19"/>
      <c r="E7673" s="23"/>
      <c r="L7673" s="23"/>
    </row>
    <row r="7674">
      <c r="B7674" s="19"/>
      <c r="E7674" s="23"/>
      <c r="L7674" s="23"/>
    </row>
    <row r="7675">
      <c r="B7675" s="19"/>
      <c r="E7675" s="23"/>
      <c r="L7675" s="23"/>
    </row>
    <row r="7676">
      <c r="B7676" s="19"/>
      <c r="E7676" s="23"/>
      <c r="L7676" s="23"/>
    </row>
    <row r="7677">
      <c r="B7677" s="19"/>
      <c r="E7677" s="23"/>
      <c r="L7677" s="23"/>
    </row>
    <row r="7678">
      <c r="B7678" s="19"/>
      <c r="E7678" s="23"/>
      <c r="L7678" s="23"/>
    </row>
    <row r="7679">
      <c r="B7679" s="19"/>
      <c r="E7679" s="23"/>
      <c r="L7679" s="23"/>
    </row>
    <row r="7680">
      <c r="B7680" s="19"/>
      <c r="E7680" s="23"/>
      <c r="L7680" s="23"/>
    </row>
    <row r="7681">
      <c r="B7681" s="19"/>
      <c r="E7681" s="23"/>
      <c r="L7681" s="23"/>
    </row>
    <row r="7682">
      <c r="B7682" s="19"/>
      <c r="E7682" s="23"/>
      <c r="L7682" s="23"/>
    </row>
    <row r="7683">
      <c r="B7683" s="19"/>
      <c r="E7683" s="23"/>
      <c r="L7683" s="23"/>
    </row>
    <row r="7684">
      <c r="B7684" s="19"/>
      <c r="E7684" s="23"/>
      <c r="L7684" s="23"/>
    </row>
    <row r="7685">
      <c r="B7685" s="19"/>
      <c r="E7685" s="23"/>
      <c r="L7685" s="23"/>
    </row>
    <row r="7686">
      <c r="B7686" s="19"/>
      <c r="E7686" s="23"/>
      <c r="L7686" s="23"/>
    </row>
    <row r="7687">
      <c r="B7687" s="19"/>
      <c r="E7687" s="23"/>
      <c r="L7687" s="23"/>
    </row>
    <row r="7688">
      <c r="B7688" s="19"/>
      <c r="E7688" s="23"/>
      <c r="L7688" s="23"/>
    </row>
    <row r="7689">
      <c r="B7689" s="19"/>
      <c r="E7689" s="23"/>
      <c r="L7689" s="23"/>
    </row>
    <row r="7690">
      <c r="B7690" s="19"/>
      <c r="E7690" s="23"/>
      <c r="L7690" s="23"/>
    </row>
    <row r="7691">
      <c r="B7691" s="19"/>
      <c r="E7691" s="23"/>
      <c r="L7691" s="23"/>
    </row>
    <row r="7692">
      <c r="B7692" s="19"/>
      <c r="E7692" s="23"/>
      <c r="L7692" s="23"/>
    </row>
    <row r="7693">
      <c r="B7693" s="19"/>
      <c r="E7693" s="23"/>
      <c r="L7693" s="23"/>
    </row>
    <row r="7694">
      <c r="B7694" s="19"/>
      <c r="E7694" s="23"/>
      <c r="L7694" s="23"/>
    </row>
    <row r="7695">
      <c r="B7695" s="19"/>
      <c r="E7695" s="23"/>
      <c r="L7695" s="23"/>
    </row>
    <row r="7696">
      <c r="B7696" s="19"/>
      <c r="E7696" s="23"/>
      <c r="L7696" s="23"/>
    </row>
    <row r="7697">
      <c r="B7697" s="19"/>
      <c r="E7697" s="23"/>
      <c r="L7697" s="23"/>
    </row>
    <row r="7698">
      <c r="B7698" s="19"/>
      <c r="E7698" s="23"/>
      <c r="L7698" s="23"/>
    </row>
    <row r="7699">
      <c r="B7699" s="19"/>
      <c r="E7699" s="23"/>
      <c r="L7699" s="23"/>
    </row>
    <row r="7700">
      <c r="B7700" s="19"/>
      <c r="E7700" s="23"/>
      <c r="L7700" s="23"/>
    </row>
    <row r="7701">
      <c r="B7701" s="19"/>
      <c r="E7701" s="23"/>
      <c r="L7701" s="23"/>
    </row>
    <row r="7702">
      <c r="B7702" s="19"/>
      <c r="E7702" s="23"/>
      <c r="L7702" s="23"/>
    </row>
    <row r="7703">
      <c r="B7703" s="19"/>
      <c r="E7703" s="23"/>
      <c r="L7703" s="23"/>
    </row>
    <row r="7704">
      <c r="B7704" s="19"/>
      <c r="E7704" s="23"/>
      <c r="L7704" s="23"/>
    </row>
    <row r="7705">
      <c r="B7705" s="19"/>
      <c r="E7705" s="23"/>
      <c r="L7705" s="23"/>
    </row>
    <row r="7706">
      <c r="B7706" s="19"/>
      <c r="E7706" s="23"/>
      <c r="L7706" s="23"/>
    </row>
    <row r="7707">
      <c r="B7707" s="19"/>
      <c r="E7707" s="23"/>
      <c r="L7707" s="23"/>
    </row>
    <row r="7708">
      <c r="B7708" s="19"/>
      <c r="E7708" s="23"/>
      <c r="L7708" s="23"/>
    </row>
    <row r="7709">
      <c r="B7709" s="19"/>
      <c r="E7709" s="23"/>
      <c r="L7709" s="23"/>
    </row>
    <row r="7710">
      <c r="B7710" s="19"/>
      <c r="E7710" s="23"/>
      <c r="L7710" s="23"/>
    </row>
    <row r="7711">
      <c r="B7711" s="19"/>
      <c r="E7711" s="23"/>
      <c r="L7711" s="23"/>
    </row>
    <row r="7712">
      <c r="B7712" s="19"/>
      <c r="E7712" s="23"/>
      <c r="L7712" s="23"/>
    </row>
    <row r="7713">
      <c r="B7713" s="19"/>
      <c r="E7713" s="23"/>
      <c r="L7713" s="23"/>
    </row>
    <row r="7714">
      <c r="B7714" s="19"/>
      <c r="E7714" s="23"/>
      <c r="L7714" s="23"/>
    </row>
    <row r="7715">
      <c r="B7715" s="19"/>
      <c r="E7715" s="23"/>
      <c r="L7715" s="23"/>
    </row>
    <row r="7716">
      <c r="B7716" s="19"/>
      <c r="E7716" s="23"/>
      <c r="L7716" s="23"/>
    </row>
    <row r="7717">
      <c r="B7717" s="19"/>
      <c r="E7717" s="23"/>
      <c r="L7717" s="23"/>
    </row>
    <row r="7718">
      <c r="B7718" s="19"/>
      <c r="E7718" s="23"/>
      <c r="L7718" s="23"/>
    </row>
    <row r="7719">
      <c r="B7719" s="19"/>
      <c r="E7719" s="23"/>
      <c r="L7719" s="23"/>
    </row>
    <row r="7720">
      <c r="B7720" s="19"/>
      <c r="E7720" s="23"/>
      <c r="L7720" s="23"/>
    </row>
    <row r="7721">
      <c r="B7721" s="19"/>
      <c r="E7721" s="23"/>
      <c r="L7721" s="23"/>
    </row>
    <row r="7722">
      <c r="B7722" s="19"/>
      <c r="E7722" s="23"/>
      <c r="L7722" s="23"/>
    </row>
    <row r="7723">
      <c r="B7723" s="19"/>
      <c r="E7723" s="23"/>
      <c r="L7723" s="23"/>
    </row>
    <row r="7724">
      <c r="B7724" s="19"/>
      <c r="E7724" s="23"/>
      <c r="L7724" s="23"/>
    </row>
    <row r="7725">
      <c r="B7725" s="19"/>
      <c r="E7725" s="23"/>
      <c r="L7725" s="23"/>
    </row>
    <row r="7726">
      <c r="B7726" s="19"/>
      <c r="E7726" s="23"/>
      <c r="L7726" s="23"/>
    </row>
    <row r="7727">
      <c r="B7727" s="19"/>
      <c r="E7727" s="23"/>
      <c r="L7727" s="23"/>
    </row>
    <row r="7728">
      <c r="B7728" s="19"/>
      <c r="E7728" s="23"/>
      <c r="L7728" s="23"/>
    </row>
    <row r="7729">
      <c r="B7729" s="19"/>
      <c r="E7729" s="23"/>
      <c r="L7729" s="23"/>
    </row>
    <row r="7730">
      <c r="B7730" s="19"/>
      <c r="E7730" s="23"/>
      <c r="L7730" s="23"/>
    </row>
    <row r="7731">
      <c r="B7731" s="19"/>
      <c r="E7731" s="23"/>
      <c r="L7731" s="23"/>
    </row>
    <row r="7732">
      <c r="B7732" s="19"/>
      <c r="E7732" s="23"/>
      <c r="L7732" s="23"/>
    </row>
    <row r="7733">
      <c r="B7733" s="19"/>
      <c r="E7733" s="23"/>
      <c r="L7733" s="23"/>
    </row>
    <row r="7734">
      <c r="B7734" s="19"/>
      <c r="E7734" s="23"/>
      <c r="L7734" s="23"/>
    </row>
    <row r="7735">
      <c r="B7735" s="19"/>
      <c r="E7735" s="23"/>
      <c r="L7735" s="23"/>
    </row>
    <row r="7736">
      <c r="B7736" s="19"/>
      <c r="E7736" s="23"/>
      <c r="L7736" s="23"/>
    </row>
    <row r="7737">
      <c r="B7737" s="19"/>
      <c r="E7737" s="23"/>
      <c r="L7737" s="23"/>
    </row>
    <row r="7738">
      <c r="B7738" s="19"/>
      <c r="E7738" s="23"/>
      <c r="L7738" s="23"/>
    </row>
    <row r="7739">
      <c r="B7739" s="19"/>
      <c r="E7739" s="23"/>
      <c r="L7739" s="23"/>
    </row>
    <row r="7740">
      <c r="B7740" s="19"/>
      <c r="E7740" s="23"/>
      <c r="L7740" s="23"/>
    </row>
    <row r="7741">
      <c r="B7741" s="19"/>
      <c r="E7741" s="23"/>
      <c r="L7741" s="23"/>
    </row>
    <row r="7742">
      <c r="B7742" s="19"/>
      <c r="E7742" s="23"/>
      <c r="L7742" s="23"/>
    </row>
    <row r="7743">
      <c r="B7743" s="19"/>
      <c r="E7743" s="23"/>
      <c r="L7743" s="23"/>
    </row>
    <row r="7744">
      <c r="B7744" s="19"/>
      <c r="E7744" s="23"/>
      <c r="L7744" s="23"/>
    </row>
    <row r="7745">
      <c r="B7745" s="19"/>
      <c r="E7745" s="23"/>
      <c r="L7745" s="23"/>
    </row>
    <row r="7746">
      <c r="B7746" s="19"/>
      <c r="E7746" s="23"/>
      <c r="L7746" s="23"/>
    </row>
    <row r="7747">
      <c r="B7747" s="19"/>
      <c r="E7747" s="23"/>
      <c r="L7747" s="23"/>
    </row>
    <row r="7748">
      <c r="B7748" s="19"/>
      <c r="E7748" s="23"/>
      <c r="L7748" s="23"/>
    </row>
    <row r="7749">
      <c r="B7749" s="19"/>
      <c r="E7749" s="23"/>
      <c r="L7749" s="23"/>
    </row>
    <row r="7750">
      <c r="B7750" s="19"/>
      <c r="E7750" s="23"/>
      <c r="L7750" s="23"/>
    </row>
    <row r="7751">
      <c r="B7751" s="19"/>
      <c r="E7751" s="23"/>
      <c r="L7751" s="23"/>
    </row>
    <row r="7752">
      <c r="B7752" s="19"/>
      <c r="E7752" s="23"/>
      <c r="L7752" s="23"/>
    </row>
    <row r="7753">
      <c r="B7753" s="19"/>
      <c r="E7753" s="23"/>
      <c r="L7753" s="23"/>
    </row>
    <row r="7754">
      <c r="B7754" s="19"/>
      <c r="E7754" s="23"/>
      <c r="L7754" s="23"/>
    </row>
    <row r="7755">
      <c r="B7755" s="19"/>
      <c r="E7755" s="23"/>
      <c r="L7755" s="23"/>
    </row>
    <row r="7756">
      <c r="B7756" s="19"/>
      <c r="E7756" s="23"/>
      <c r="L7756" s="23"/>
    </row>
    <row r="7757">
      <c r="B7757" s="19"/>
      <c r="E7757" s="23"/>
      <c r="L7757" s="23"/>
    </row>
    <row r="7758">
      <c r="B7758" s="19"/>
      <c r="E7758" s="23"/>
      <c r="L7758" s="23"/>
    </row>
    <row r="7759">
      <c r="B7759" s="19"/>
      <c r="E7759" s="23"/>
      <c r="L7759" s="23"/>
    </row>
    <row r="7760">
      <c r="B7760" s="19"/>
      <c r="E7760" s="23"/>
      <c r="L7760" s="23"/>
    </row>
    <row r="7761">
      <c r="B7761" s="19"/>
      <c r="E7761" s="23"/>
      <c r="L7761" s="23"/>
    </row>
    <row r="7762">
      <c r="B7762" s="19"/>
      <c r="E7762" s="23"/>
      <c r="L7762" s="23"/>
    </row>
    <row r="7763">
      <c r="B7763" s="19"/>
      <c r="E7763" s="23"/>
      <c r="L7763" s="23"/>
    </row>
    <row r="7764">
      <c r="B7764" s="19"/>
      <c r="E7764" s="23"/>
      <c r="L7764" s="23"/>
    </row>
    <row r="7765">
      <c r="B7765" s="19"/>
      <c r="E7765" s="23"/>
      <c r="L7765" s="23"/>
    </row>
    <row r="7766">
      <c r="B7766" s="19"/>
      <c r="E7766" s="23"/>
      <c r="L7766" s="23"/>
    </row>
    <row r="7767">
      <c r="B7767" s="19"/>
      <c r="E7767" s="23"/>
      <c r="L7767" s="23"/>
    </row>
    <row r="7768">
      <c r="B7768" s="19"/>
      <c r="E7768" s="23"/>
      <c r="L7768" s="23"/>
    </row>
    <row r="7769">
      <c r="B7769" s="19"/>
      <c r="E7769" s="23"/>
      <c r="L7769" s="23"/>
    </row>
    <row r="7770">
      <c r="B7770" s="19"/>
      <c r="E7770" s="23"/>
      <c r="L7770" s="23"/>
    </row>
    <row r="7771">
      <c r="B7771" s="19"/>
      <c r="E7771" s="23"/>
      <c r="L7771" s="23"/>
    </row>
    <row r="7772">
      <c r="B7772" s="19"/>
      <c r="E7772" s="23"/>
      <c r="L7772" s="23"/>
    </row>
    <row r="7773">
      <c r="B7773" s="19"/>
      <c r="E7773" s="23"/>
      <c r="L7773" s="23"/>
    </row>
    <row r="7774">
      <c r="B7774" s="19"/>
      <c r="E7774" s="23"/>
      <c r="L7774" s="23"/>
    </row>
    <row r="7775">
      <c r="B7775" s="19"/>
      <c r="E7775" s="23"/>
      <c r="L7775" s="23"/>
    </row>
    <row r="7776">
      <c r="B7776" s="19"/>
      <c r="E7776" s="23"/>
      <c r="L7776" s="23"/>
    </row>
    <row r="7777">
      <c r="B7777" s="19"/>
      <c r="E7777" s="23"/>
      <c r="L7777" s="23"/>
    </row>
    <row r="7778">
      <c r="B7778" s="19"/>
      <c r="E7778" s="23"/>
      <c r="L7778" s="23"/>
    </row>
    <row r="7779">
      <c r="B7779" s="19"/>
      <c r="E7779" s="23"/>
      <c r="L7779" s="23"/>
    </row>
    <row r="7780">
      <c r="B7780" s="19"/>
      <c r="E7780" s="23"/>
      <c r="L7780" s="23"/>
    </row>
    <row r="7781">
      <c r="B7781" s="19"/>
      <c r="E7781" s="23"/>
      <c r="L7781" s="23"/>
    </row>
    <row r="7782">
      <c r="B7782" s="19"/>
      <c r="E7782" s="23"/>
      <c r="L7782" s="23"/>
    </row>
    <row r="7783">
      <c r="B7783" s="19"/>
      <c r="E7783" s="23"/>
      <c r="L7783" s="23"/>
    </row>
    <row r="7784">
      <c r="B7784" s="19"/>
      <c r="E7784" s="23"/>
      <c r="L7784" s="23"/>
    </row>
    <row r="7785">
      <c r="B7785" s="19"/>
      <c r="E7785" s="23"/>
      <c r="L7785" s="23"/>
    </row>
    <row r="7786">
      <c r="B7786" s="19"/>
      <c r="E7786" s="23"/>
      <c r="L7786" s="23"/>
    </row>
    <row r="7787">
      <c r="B7787" s="19"/>
      <c r="E7787" s="23"/>
      <c r="L7787" s="23"/>
    </row>
    <row r="7788">
      <c r="B7788" s="19"/>
      <c r="E7788" s="23"/>
      <c r="L7788" s="23"/>
    </row>
    <row r="7789">
      <c r="B7789" s="19"/>
      <c r="E7789" s="23"/>
      <c r="L7789" s="23"/>
    </row>
    <row r="7790">
      <c r="B7790" s="19"/>
      <c r="E7790" s="23"/>
      <c r="L7790" s="23"/>
    </row>
    <row r="7791">
      <c r="B7791" s="19"/>
      <c r="E7791" s="23"/>
      <c r="L7791" s="23"/>
    </row>
    <row r="7792">
      <c r="B7792" s="19"/>
      <c r="E7792" s="23"/>
      <c r="L7792" s="23"/>
    </row>
    <row r="7793">
      <c r="B7793" s="19"/>
      <c r="E7793" s="23"/>
      <c r="L7793" s="23"/>
    </row>
    <row r="7794">
      <c r="B7794" s="19"/>
      <c r="E7794" s="23"/>
      <c r="L7794" s="23"/>
    </row>
    <row r="7795">
      <c r="B7795" s="19"/>
      <c r="E7795" s="23"/>
      <c r="L7795" s="23"/>
    </row>
    <row r="7796">
      <c r="B7796" s="19"/>
      <c r="E7796" s="23"/>
      <c r="L7796" s="23"/>
    </row>
    <row r="7797">
      <c r="B7797" s="19"/>
      <c r="E7797" s="23"/>
      <c r="L7797" s="23"/>
    </row>
    <row r="7798">
      <c r="B7798" s="19"/>
      <c r="E7798" s="23"/>
      <c r="L7798" s="23"/>
    </row>
    <row r="7799">
      <c r="B7799" s="19"/>
      <c r="E7799" s="23"/>
      <c r="L7799" s="23"/>
    </row>
    <row r="7800">
      <c r="B7800" s="19"/>
      <c r="E7800" s="23"/>
      <c r="L7800" s="23"/>
    </row>
    <row r="7801">
      <c r="B7801" s="19"/>
      <c r="E7801" s="23"/>
      <c r="L7801" s="23"/>
    </row>
    <row r="7802">
      <c r="B7802" s="19"/>
      <c r="E7802" s="23"/>
      <c r="L7802" s="23"/>
    </row>
    <row r="7803">
      <c r="B7803" s="19"/>
      <c r="E7803" s="23"/>
      <c r="L7803" s="23"/>
    </row>
    <row r="7804">
      <c r="B7804" s="19"/>
      <c r="E7804" s="23"/>
      <c r="L7804" s="23"/>
    </row>
    <row r="7805">
      <c r="B7805" s="19"/>
      <c r="E7805" s="23"/>
      <c r="L7805" s="23"/>
    </row>
    <row r="7806">
      <c r="B7806" s="19"/>
      <c r="E7806" s="23"/>
      <c r="L7806" s="23"/>
    </row>
    <row r="7807">
      <c r="B7807" s="19"/>
      <c r="E7807" s="23"/>
      <c r="L7807" s="23"/>
    </row>
    <row r="7808">
      <c r="B7808" s="19"/>
      <c r="E7808" s="23"/>
      <c r="L7808" s="23"/>
    </row>
    <row r="7809">
      <c r="B7809" s="19"/>
      <c r="E7809" s="23"/>
      <c r="L7809" s="23"/>
    </row>
    <row r="7810">
      <c r="B7810" s="19"/>
      <c r="E7810" s="23"/>
      <c r="L7810" s="23"/>
    </row>
    <row r="7811">
      <c r="B7811" s="19"/>
      <c r="E7811" s="23"/>
      <c r="L7811" s="23"/>
    </row>
    <row r="7812">
      <c r="B7812" s="19"/>
      <c r="E7812" s="23"/>
      <c r="L7812" s="23"/>
    </row>
    <row r="7813">
      <c r="B7813" s="19"/>
      <c r="E7813" s="23"/>
      <c r="L7813" s="23"/>
    </row>
    <row r="7814">
      <c r="B7814" s="19"/>
      <c r="E7814" s="23"/>
      <c r="L7814" s="23"/>
    </row>
    <row r="7815">
      <c r="B7815" s="19"/>
      <c r="E7815" s="23"/>
      <c r="L7815" s="23"/>
    </row>
    <row r="7816">
      <c r="B7816" s="19"/>
      <c r="E7816" s="23"/>
      <c r="L7816" s="23"/>
    </row>
    <row r="7817">
      <c r="B7817" s="19"/>
      <c r="E7817" s="23"/>
      <c r="L7817" s="23"/>
    </row>
    <row r="7818">
      <c r="B7818" s="19"/>
      <c r="E7818" s="23"/>
      <c r="L7818" s="23"/>
    </row>
    <row r="7819">
      <c r="B7819" s="19"/>
      <c r="E7819" s="23"/>
      <c r="L7819" s="23"/>
    </row>
    <row r="7820">
      <c r="B7820" s="19"/>
      <c r="E7820" s="23"/>
      <c r="L7820" s="23"/>
    </row>
    <row r="7821">
      <c r="B7821" s="19"/>
      <c r="E7821" s="23"/>
      <c r="L7821" s="23"/>
    </row>
    <row r="7822">
      <c r="B7822" s="19"/>
      <c r="E7822" s="23"/>
      <c r="L7822" s="23"/>
    </row>
    <row r="7823">
      <c r="B7823" s="19"/>
      <c r="E7823" s="23"/>
      <c r="L7823" s="23"/>
    </row>
    <row r="7824">
      <c r="B7824" s="19"/>
      <c r="E7824" s="23"/>
      <c r="L7824" s="23"/>
    </row>
    <row r="7825">
      <c r="B7825" s="19"/>
      <c r="E7825" s="23"/>
      <c r="L7825" s="23"/>
    </row>
    <row r="7826">
      <c r="B7826" s="19"/>
      <c r="E7826" s="23"/>
      <c r="L7826" s="23"/>
    </row>
    <row r="7827">
      <c r="B7827" s="19"/>
      <c r="E7827" s="23"/>
      <c r="L7827" s="23"/>
    </row>
    <row r="7828">
      <c r="B7828" s="19"/>
      <c r="E7828" s="23"/>
      <c r="L7828" s="23"/>
    </row>
    <row r="7829">
      <c r="B7829" s="19"/>
      <c r="E7829" s="23"/>
      <c r="L7829" s="23"/>
    </row>
    <row r="7830">
      <c r="B7830" s="19"/>
      <c r="E7830" s="23"/>
      <c r="L7830" s="23"/>
    </row>
    <row r="7831">
      <c r="B7831" s="19"/>
      <c r="E7831" s="23"/>
      <c r="L7831" s="23"/>
    </row>
    <row r="7832">
      <c r="B7832" s="19"/>
      <c r="E7832" s="23"/>
      <c r="L7832" s="23"/>
    </row>
    <row r="7833">
      <c r="B7833" s="19"/>
      <c r="E7833" s="23"/>
      <c r="L7833" s="23"/>
    </row>
    <row r="7834">
      <c r="B7834" s="19"/>
      <c r="E7834" s="23"/>
      <c r="L7834" s="23"/>
    </row>
    <row r="7835">
      <c r="B7835" s="19"/>
      <c r="E7835" s="23"/>
      <c r="L7835" s="23"/>
    </row>
    <row r="7836">
      <c r="B7836" s="19"/>
      <c r="E7836" s="23"/>
      <c r="L7836" s="23"/>
    </row>
    <row r="7837">
      <c r="B7837" s="19"/>
      <c r="E7837" s="23"/>
      <c r="L7837" s="23"/>
    </row>
    <row r="7838">
      <c r="B7838" s="19"/>
      <c r="E7838" s="23"/>
      <c r="L7838" s="23"/>
    </row>
    <row r="7839">
      <c r="B7839" s="19"/>
      <c r="E7839" s="23"/>
      <c r="L7839" s="23"/>
    </row>
    <row r="7840">
      <c r="B7840" s="19"/>
      <c r="E7840" s="23"/>
      <c r="L7840" s="23"/>
    </row>
    <row r="7841">
      <c r="B7841" s="19"/>
      <c r="E7841" s="23"/>
      <c r="L7841" s="23"/>
    </row>
    <row r="7842">
      <c r="B7842" s="19"/>
      <c r="E7842" s="23"/>
      <c r="L7842" s="23"/>
    </row>
    <row r="7843">
      <c r="B7843" s="19"/>
      <c r="E7843" s="23"/>
      <c r="L7843" s="23"/>
    </row>
    <row r="7844">
      <c r="B7844" s="19"/>
      <c r="E7844" s="23"/>
      <c r="L7844" s="23"/>
    </row>
    <row r="7845">
      <c r="B7845" s="19"/>
      <c r="E7845" s="23"/>
      <c r="L7845" s="23"/>
    </row>
    <row r="7846">
      <c r="B7846" s="19"/>
      <c r="E7846" s="23"/>
      <c r="L7846" s="23"/>
    </row>
    <row r="7847">
      <c r="B7847" s="19"/>
      <c r="E7847" s="23"/>
      <c r="L7847" s="23"/>
    </row>
    <row r="7848">
      <c r="B7848" s="19"/>
      <c r="E7848" s="23"/>
      <c r="L7848" s="23"/>
    </row>
    <row r="7849">
      <c r="B7849" s="19"/>
      <c r="E7849" s="23"/>
      <c r="L7849" s="23"/>
    </row>
    <row r="7850">
      <c r="B7850" s="19"/>
      <c r="E7850" s="23"/>
      <c r="L7850" s="23"/>
    </row>
    <row r="7851">
      <c r="B7851" s="19"/>
      <c r="E7851" s="23"/>
      <c r="L7851" s="23"/>
    </row>
    <row r="7852">
      <c r="B7852" s="19"/>
      <c r="E7852" s="23"/>
      <c r="L7852" s="23"/>
    </row>
    <row r="7853">
      <c r="B7853" s="19"/>
      <c r="E7853" s="23"/>
      <c r="L7853" s="23"/>
    </row>
    <row r="7854">
      <c r="B7854" s="19"/>
      <c r="E7854" s="23"/>
      <c r="L7854" s="23"/>
    </row>
    <row r="7855">
      <c r="B7855" s="19"/>
      <c r="E7855" s="23"/>
      <c r="L7855" s="23"/>
    </row>
    <row r="7856">
      <c r="B7856" s="19"/>
      <c r="E7856" s="23"/>
      <c r="L7856" s="23"/>
    </row>
    <row r="7857">
      <c r="B7857" s="19"/>
      <c r="E7857" s="23"/>
      <c r="L7857" s="23"/>
    </row>
    <row r="7858">
      <c r="B7858" s="19"/>
      <c r="E7858" s="23"/>
      <c r="L7858" s="23"/>
    </row>
    <row r="7859">
      <c r="B7859" s="19"/>
      <c r="E7859" s="23"/>
      <c r="L7859" s="23"/>
    </row>
    <row r="7860">
      <c r="B7860" s="19"/>
      <c r="E7860" s="23"/>
      <c r="L7860" s="23"/>
    </row>
    <row r="7861">
      <c r="B7861" s="19"/>
      <c r="E7861" s="23"/>
      <c r="L7861" s="23"/>
    </row>
    <row r="7862">
      <c r="B7862" s="19"/>
      <c r="E7862" s="23"/>
      <c r="L7862" s="23"/>
    </row>
    <row r="7863">
      <c r="B7863" s="19"/>
      <c r="E7863" s="23"/>
      <c r="L7863" s="23"/>
    </row>
    <row r="7864">
      <c r="B7864" s="19"/>
      <c r="E7864" s="23"/>
      <c r="L7864" s="23"/>
    </row>
    <row r="7865">
      <c r="B7865" s="19"/>
      <c r="E7865" s="23"/>
      <c r="L7865" s="23"/>
    </row>
    <row r="7866">
      <c r="B7866" s="19"/>
      <c r="E7866" s="23"/>
      <c r="L7866" s="23"/>
    </row>
    <row r="7867">
      <c r="B7867" s="19"/>
      <c r="E7867" s="23"/>
      <c r="L7867" s="23"/>
    </row>
    <row r="7868">
      <c r="B7868" s="19"/>
      <c r="E7868" s="23"/>
      <c r="L7868" s="23"/>
    </row>
    <row r="7869">
      <c r="B7869" s="19"/>
      <c r="E7869" s="23"/>
      <c r="L7869" s="23"/>
    </row>
    <row r="7870">
      <c r="B7870" s="19"/>
      <c r="E7870" s="23"/>
      <c r="L7870" s="23"/>
    </row>
    <row r="7871">
      <c r="B7871" s="19"/>
      <c r="E7871" s="23"/>
      <c r="L7871" s="23"/>
    </row>
    <row r="7872">
      <c r="B7872" s="19"/>
      <c r="E7872" s="23"/>
      <c r="L7872" s="23"/>
    </row>
    <row r="7873">
      <c r="B7873" s="19"/>
      <c r="E7873" s="23"/>
      <c r="L7873" s="23"/>
    </row>
    <row r="7874">
      <c r="B7874" s="19"/>
      <c r="E7874" s="23"/>
      <c r="L7874" s="23"/>
    </row>
    <row r="7875">
      <c r="B7875" s="19"/>
      <c r="E7875" s="23"/>
      <c r="L7875" s="23"/>
    </row>
    <row r="7876">
      <c r="B7876" s="19"/>
      <c r="E7876" s="23"/>
      <c r="L7876" s="23"/>
    </row>
    <row r="7877">
      <c r="B7877" s="19"/>
      <c r="E7877" s="23"/>
      <c r="L7877" s="23"/>
    </row>
    <row r="7878">
      <c r="B7878" s="19"/>
      <c r="E7878" s="23"/>
      <c r="L7878" s="23"/>
    </row>
    <row r="7879">
      <c r="B7879" s="19"/>
      <c r="E7879" s="23"/>
      <c r="L7879" s="23"/>
    </row>
    <row r="7880">
      <c r="B7880" s="19"/>
      <c r="E7880" s="23"/>
      <c r="L7880" s="23"/>
    </row>
    <row r="7881">
      <c r="B7881" s="19"/>
      <c r="E7881" s="23"/>
      <c r="L7881" s="23"/>
    </row>
    <row r="7882">
      <c r="B7882" s="19"/>
      <c r="E7882" s="23"/>
      <c r="L7882" s="23"/>
    </row>
    <row r="7883">
      <c r="B7883" s="19"/>
      <c r="E7883" s="23"/>
      <c r="L7883" s="23"/>
    </row>
    <row r="7884">
      <c r="B7884" s="19"/>
      <c r="E7884" s="23"/>
      <c r="L7884" s="23"/>
    </row>
    <row r="7885">
      <c r="B7885" s="19"/>
      <c r="E7885" s="23"/>
      <c r="L7885" s="23"/>
    </row>
    <row r="7886">
      <c r="B7886" s="19"/>
      <c r="E7886" s="23"/>
      <c r="L7886" s="23"/>
    </row>
    <row r="7887">
      <c r="B7887" s="19"/>
      <c r="E7887" s="23"/>
      <c r="L7887" s="23"/>
    </row>
    <row r="7888">
      <c r="B7888" s="19"/>
      <c r="E7888" s="23"/>
      <c r="L7888" s="23"/>
    </row>
    <row r="7889">
      <c r="B7889" s="19"/>
      <c r="E7889" s="23"/>
      <c r="L7889" s="23"/>
    </row>
    <row r="7890">
      <c r="B7890" s="19"/>
      <c r="E7890" s="23"/>
      <c r="L7890" s="23"/>
    </row>
    <row r="7891">
      <c r="B7891" s="19"/>
      <c r="E7891" s="23"/>
      <c r="L7891" s="23"/>
    </row>
    <row r="7892">
      <c r="B7892" s="19"/>
      <c r="E7892" s="23"/>
      <c r="L7892" s="23"/>
    </row>
    <row r="7893">
      <c r="B7893" s="19"/>
      <c r="E7893" s="23"/>
      <c r="L7893" s="23"/>
    </row>
    <row r="7894">
      <c r="B7894" s="19"/>
      <c r="E7894" s="23"/>
      <c r="L7894" s="23"/>
    </row>
    <row r="7895">
      <c r="B7895" s="19"/>
      <c r="E7895" s="23"/>
      <c r="L7895" s="23"/>
    </row>
    <row r="7896">
      <c r="B7896" s="19"/>
      <c r="E7896" s="23"/>
      <c r="L7896" s="23"/>
    </row>
    <row r="7897">
      <c r="B7897" s="19"/>
      <c r="E7897" s="23"/>
      <c r="L7897" s="23"/>
    </row>
    <row r="7898">
      <c r="B7898" s="19"/>
      <c r="E7898" s="23"/>
      <c r="L7898" s="23"/>
    </row>
    <row r="7899">
      <c r="B7899" s="19"/>
      <c r="E7899" s="23"/>
      <c r="L7899" s="23"/>
    </row>
    <row r="7900">
      <c r="B7900" s="19"/>
      <c r="E7900" s="23"/>
      <c r="L7900" s="23"/>
    </row>
    <row r="7901">
      <c r="B7901" s="19"/>
      <c r="E7901" s="23"/>
      <c r="L7901" s="23"/>
    </row>
    <row r="7902">
      <c r="B7902" s="19"/>
      <c r="E7902" s="23"/>
      <c r="L7902" s="23"/>
    </row>
    <row r="7903">
      <c r="B7903" s="19"/>
      <c r="E7903" s="23"/>
      <c r="L7903" s="23"/>
    </row>
    <row r="7904">
      <c r="B7904" s="19"/>
      <c r="E7904" s="23"/>
      <c r="L7904" s="23"/>
    </row>
    <row r="7905">
      <c r="B7905" s="19"/>
      <c r="E7905" s="23"/>
      <c r="L7905" s="23"/>
    </row>
    <row r="7906">
      <c r="B7906" s="19"/>
      <c r="E7906" s="23"/>
      <c r="L7906" s="23"/>
    </row>
    <row r="7907">
      <c r="B7907" s="19"/>
      <c r="E7907" s="23"/>
      <c r="L7907" s="23"/>
    </row>
    <row r="7908">
      <c r="B7908" s="19"/>
      <c r="E7908" s="23"/>
      <c r="L7908" s="23"/>
    </row>
    <row r="7909">
      <c r="B7909" s="19"/>
      <c r="E7909" s="23"/>
      <c r="L7909" s="23"/>
    </row>
    <row r="7910">
      <c r="B7910" s="19"/>
      <c r="E7910" s="23"/>
      <c r="L7910" s="23"/>
    </row>
    <row r="7911">
      <c r="B7911" s="19"/>
      <c r="E7911" s="23"/>
      <c r="L7911" s="23"/>
    </row>
    <row r="7912">
      <c r="B7912" s="19"/>
      <c r="E7912" s="23"/>
      <c r="L7912" s="23"/>
    </row>
    <row r="7913">
      <c r="B7913" s="19"/>
      <c r="E7913" s="23"/>
      <c r="L7913" s="23"/>
    </row>
    <row r="7914">
      <c r="B7914" s="19"/>
      <c r="E7914" s="23"/>
      <c r="L7914" s="23"/>
    </row>
    <row r="7915">
      <c r="B7915" s="19"/>
      <c r="E7915" s="23"/>
      <c r="L7915" s="23"/>
    </row>
    <row r="7916">
      <c r="B7916" s="19"/>
      <c r="E7916" s="23"/>
      <c r="L7916" s="23"/>
    </row>
    <row r="7917">
      <c r="B7917" s="19"/>
      <c r="E7917" s="23"/>
      <c r="L7917" s="23"/>
    </row>
    <row r="7918">
      <c r="B7918" s="19"/>
      <c r="E7918" s="23"/>
      <c r="L7918" s="23"/>
    </row>
    <row r="7919">
      <c r="B7919" s="19"/>
      <c r="E7919" s="23"/>
      <c r="L7919" s="23"/>
    </row>
    <row r="7920">
      <c r="B7920" s="19"/>
      <c r="E7920" s="23"/>
      <c r="L7920" s="23"/>
    </row>
    <row r="7921">
      <c r="B7921" s="19"/>
      <c r="E7921" s="23"/>
      <c r="L7921" s="23"/>
    </row>
    <row r="7922">
      <c r="B7922" s="19"/>
      <c r="E7922" s="23"/>
      <c r="L7922" s="23"/>
    </row>
    <row r="7923">
      <c r="B7923" s="19"/>
      <c r="E7923" s="23"/>
      <c r="L7923" s="23"/>
    </row>
    <row r="7924">
      <c r="B7924" s="19"/>
      <c r="E7924" s="23"/>
      <c r="L7924" s="23"/>
    </row>
    <row r="7925">
      <c r="B7925" s="19"/>
      <c r="E7925" s="23"/>
      <c r="L7925" s="23"/>
    </row>
    <row r="7926">
      <c r="B7926" s="19"/>
      <c r="E7926" s="23"/>
      <c r="L7926" s="23"/>
    </row>
    <row r="7927">
      <c r="B7927" s="19"/>
      <c r="E7927" s="23"/>
      <c r="L7927" s="23"/>
    </row>
    <row r="7928">
      <c r="B7928" s="19"/>
      <c r="E7928" s="23"/>
      <c r="L7928" s="23"/>
    </row>
    <row r="7929">
      <c r="B7929" s="19"/>
      <c r="E7929" s="23"/>
      <c r="L7929" s="23"/>
    </row>
    <row r="7930">
      <c r="B7930" s="19"/>
      <c r="E7930" s="23"/>
      <c r="L7930" s="23"/>
    </row>
    <row r="7931">
      <c r="B7931" s="19"/>
      <c r="E7931" s="23"/>
      <c r="L7931" s="23"/>
    </row>
    <row r="7932">
      <c r="B7932" s="19"/>
      <c r="E7932" s="23"/>
      <c r="L7932" s="23"/>
    </row>
    <row r="7933">
      <c r="B7933" s="19"/>
      <c r="E7933" s="23"/>
      <c r="L7933" s="23"/>
    </row>
    <row r="7934">
      <c r="B7934" s="19"/>
      <c r="E7934" s="23"/>
      <c r="L7934" s="23"/>
    </row>
    <row r="7935">
      <c r="B7935" s="19"/>
      <c r="E7935" s="23"/>
      <c r="L7935" s="23"/>
    </row>
    <row r="7936">
      <c r="B7936" s="19"/>
      <c r="E7936" s="23"/>
      <c r="L7936" s="23"/>
    </row>
    <row r="7937">
      <c r="B7937" s="19"/>
      <c r="E7937" s="23"/>
      <c r="L7937" s="23"/>
    </row>
    <row r="7938">
      <c r="B7938" s="19"/>
      <c r="E7938" s="23"/>
      <c r="L7938" s="23"/>
    </row>
    <row r="7939">
      <c r="B7939" s="19"/>
      <c r="E7939" s="23"/>
      <c r="L7939" s="23"/>
    </row>
    <row r="7940">
      <c r="B7940" s="19"/>
      <c r="E7940" s="23"/>
      <c r="L7940" s="23"/>
    </row>
    <row r="7941">
      <c r="B7941" s="19"/>
      <c r="E7941" s="23"/>
      <c r="L7941" s="23"/>
    </row>
    <row r="7942">
      <c r="B7942" s="19"/>
      <c r="E7942" s="23"/>
      <c r="L7942" s="23"/>
    </row>
    <row r="7943">
      <c r="B7943" s="19"/>
      <c r="E7943" s="23"/>
      <c r="L7943" s="23"/>
    </row>
    <row r="7944">
      <c r="B7944" s="19"/>
      <c r="E7944" s="23"/>
      <c r="L7944" s="23"/>
    </row>
    <row r="7945">
      <c r="B7945" s="19"/>
      <c r="E7945" s="23"/>
      <c r="L7945" s="23"/>
    </row>
    <row r="7946">
      <c r="B7946" s="19"/>
      <c r="E7946" s="23"/>
      <c r="L7946" s="23"/>
    </row>
    <row r="7947">
      <c r="B7947" s="19"/>
      <c r="E7947" s="23"/>
      <c r="L7947" s="23"/>
    </row>
    <row r="7948">
      <c r="B7948" s="19"/>
      <c r="E7948" s="23"/>
      <c r="L7948" s="23"/>
    </row>
    <row r="7949">
      <c r="B7949" s="19"/>
      <c r="E7949" s="23"/>
      <c r="L7949" s="23"/>
    </row>
    <row r="7950">
      <c r="B7950" s="19"/>
      <c r="E7950" s="23"/>
      <c r="L7950" s="23"/>
    </row>
    <row r="7951">
      <c r="B7951" s="19"/>
      <c r="E7951" s="23"/>
      <c r="L7951" s="23"/>
    </row>
    <row r="7952">
      <c r="B7952" s="19"/>
      <c r="E7952" s="23"/>
      <c r="L7952" s="23"/>
    </row>
    <row r="7953">
      <c r="B7953" s="19"/>
      <c r="E7953" s="23"/>
      <c r="L7953" s="23"/>
    </row>
    <row r="7954">
      <c r="B7954" s="19"/>
      <c r="E7954" s="23"/>
      <c r="L7954" s="23"/>
    </row>
    <row r="7955">
      <c r="B7955" s="19"/>
      <c r="E7955" s="23"/>
      <c r="L7955" s="23"/>
    </row>
    <row r="7956">
      <c r="B7956" s="19"/>
      <c r="E7956" s="23"/>
      <c r="L7956" s="23"/>
    </row>
    <row r="7957">
      <c r="B7957" s="19"/>
      <c r="E7957" s="23"/>
      <c r="L7957" s="23"/>
    </row>
    <row r="7958">
      <c r="B7958" s="19"/>
      <c r="E7958" s="23"/>
      <c r="L7958" s="23"/>
    </row>
    <row r="7959">
      <c r="B7959" s="19"/>
      <c r="E7959" s="23"/>
      <c r="L7959" s="23"/>
    </row>
    <row r="7960">
      <c r="B7960" s="19"/>
      <c r="E7960" s="23"/>
      <c r="L7960" s="23"/>
    </row>
    <row r="7961">
      <c r="B7961" s="19"/>
      <c r="E7961" s="23"/>
      <c r="L7961" s="23"/>
    </row>
    <row r="7962">
      <c r="B7962" s="19"/>
      <c r="E7962" s="23"/>
      <c r="L7962" s="23"/>
    </row>
    <row r="7963">
      <c r="B7963" s="19"/>
      <c r="E7963" s="23"/>
      <c r="L7963" s="23"/>
    </row>
    <row r="7964">
      <c r="B7964" s="19"/>
      <c r="E7964" s="23"/>
      <c r="L7964" s="23"/>
    </row>
    <row r="7965">
      <c r="B7965" s="19"/>
      <c r="E7965" s="23"/>
      <c r="L7965" s="23"/>
    </row>
    <row r="7966">
      <c r="B7966" s="19"/>
      <c r="E7966" s="23"/>
      <c r="L7966" s="23"/>
    </row>
    <row r="7967">
      <c r="B7967" s="19"/>
      <c r="E7967" s="23"/>
      <c r="L7967" s="23"/>
    </row>
    <row r="7968">
      <c r="B7968" s="19"/>
      <c r="E7968" s="23"/>
      <c r="L7968" s="23"/>
    </row>
    <row r="7969">
      <c r="B7969" s="19"/>
      <c r="E7969" s="23"/>
      <c r="L7969" s="23"/>
    </row>
    <row r="7970">
      <c r="B7970" s="19"/>
      <c r="E7970" s="23"/>
      <c r="L7970" s="23"/>
    </row>
    <row r="7971">
      <c r="B7971" s="19"/>
      <c r="E7971" s="23"/>
      <c r="L7971" s="23"/>
    </row>
    <row r="7972">
      <c r="B7972" s="19"/>
      <c r="E7972" s="23"/>
      <c r="L7972" s="23"/>
    </row>
    <row r="7973">
      <c r="B7973" s="19"/>
      <c r="E7973" s="23"/>
      <c r="L7973" s="23"/>
    </row>
    <row r="7974">
      <c r="B7974" s="19"/>
      <c r="E7974" s="23"/>
      <c r="L7974" s="23"/>
    </row>
    <row r="7975">
      <c r="B7975" s="19"/>
      <c r="E7975" s="23"/>
      <c r="L7975" s="23"/>
    </row>
    <row r="7976">
      <c r="B7976" s="19"/>
      <c r="E7976" s="23"/>
      <c r="L7976" s="23"/>
    </row>
    <row r="7977">
      <c r="B7977" s="19"/>
      <c r="E7977" s="23"/>
      <c r="L7977" s="23"/>
    </row>
    <row r="7978">
      <c r="B7978" s="19"/>
      <c r="E7978" s="23"/>
      <c r="L7978" s="23"/>
    </row>
    <row r="7979">
      <c r="B7979" s="19"/>
      <c r="E7979" s="23"/>
      <c r="L7979" s="23"/>
    </row>
    <row r="7980">
      <c r="B7980" s="19"/>
      <c r="E7980" s="23"/>
      <c r="L7980" s="23"/>
    </row>
    <row r="7981">
      <c r="B7981" s="19"/>
      <c r="E7981" s="23"/>
      <c r="L7981" s="23"/>
    </row>
    <row r="7982">
      <c r="B7982" s="19"/>
      <c r="E7982" s="23"/>
      <c r="L7982" s="23"/>
    </row>
    <row r="7983">
      <c r="B7983" s="19"/>
      <c r="E7983" s="23"/>
      <c r="L7983" s="23"/>
    </row>
    <row r="7984">
      <c r="B7984" s="19"/>
      <c r="E7984" s="23"/>
      <c r="L7984" s="23"/>
    </row>
    <row r="7985">
      <c r="B7985" s="19"/>
      <c r="E7985" s="23"/>
      <c r="L7985" s="23"/>
    </row>
    <row r="7986">
      <c r="B7986" s="19"/>
      <c r="E7986" s="23"/>
      <c r="L7986" s="23"/>
    </row>
    <row r="7987">
      <c r="B7987" s="19"/>
      <c r="E7987" s="23"/>
      <c r="L7987" s="23"/>
    </row>
    <row r="7988">
      <c r="B7988" s="19"/>
      <c r="E7988" s="23"/>
      <c r="L7988" s="23"/>
    </row>
    <row r="7989">
      <c r="B7989" s="19"/>
      <c r="E7989" s="23"/>
      <c r="L7989" s="23"/>
    </row>
    <row r="7990">
      <c r="B7990" s="19"/>
      <c r="E7990" s="23"/>
      <c r="L7990" s="23"/>
    </row>
    <row r="7991">
      <c r="B7991" s="19"/>
      <c r="E7991" s="23"/>
      <c r="L7991" s="23"/>
    </row>
    <row r="7992">
      <c r="B7992" s="19"/>
      <c r="E7992" s="23"/>
      <c r="L7992" s="23"/>
    </row>
    <row r="7993">
      <c r="B7993" s="19"/>
      <c r="E7993" s="23"/>
      <c r="L7993" s="23"/>
    </row>
    <row r="7994">
      <c r="B7994" s="19"/>
      <c r="E7994" s="23"/>
      <c r="L7994" s="23"/>
    </row>
    <row r="7995">
      <c r="B7995" s="19"/>
      <c r="E7995" s="23"/>
      <c r="L7995" s="23"/>
    </row>
    <row r="7996">
      <c r="B7996" s="19"/>
      <c r="E7996" s="23"/>
      <c r="L7996" s="23"/>
    </row>
    <row r="7997">
      <c r="B7997" s="19"/>
      <c r="E7997" s="23"/>
      <c r="L7997" s="23"/>
    </row>
    <row r="7998">
      <c r="B7998" s="19"/>
      <c r="E7998" s="23"/>
      <c r="L7998" s="23"/>
    </row>
    <row r="7999">
      <c r="B7999" s="19"/>
      <c r="E7999" s="23"/>
      <c r="L7999" s="23"/>
    </row>
    <row r="8000">
      <c r="B8000" s="19"/>
      <c r="E8000" s="23"/>
      <c r="L8000" s="23"/>
    </row>
    <row r="8001">
      <c r="B8001" s="19"/>
      <c r="E8001" s="23"/>
      <c r="L8001" s="23"/>
    </row>
    <row r="8002">
      <c r="B8002" s="19"/>
      <c r="E8002" s="23"/>
      <c r="L8002" s="23"/>
    </row>
    <row r="8003">
      <c r="B8003" s="19"/>
      <c r="E8003" s="23"/>
      <c r="L8003" s="23"/>
    </row>
    <row r="8004">
      <c r="B8004" s="19"/>
      <c r="E8004" s="23"/>
      <c r="L8004" s="23"/>
    </row>
    <row r="8005">
      <c r="B8005" s="19"/>
      <c r="E8005" s="23"/>
      <c r="L8005" s="23"/>
    </row>
    <row r="8006">
      <c r="B8006" s="19"/>
      <c r="E8006" s="23"/>
      <c r="L8006" s="23"/>
    </row>
    <row r="8007">
      <c r="B8007" s="19"/>
      <c r="E8007" s="23"/>
      <c r="L8007" s="23"/>
    </row>
    <row r="8008">
      <c r="B8008" s="19"/>
      <c r="E8008" s="23"/>
      <c r="L8008" s="23"/>
    </row>
    <row r="8009">
      <c r="B8009" s="19"/>
      <c r="E8009" s="23"/>
      <c r="L8009" s="23"/>
    </row>
    <row r="8010">
      <c r="B8010" s="19"/>
      <c r="E8010" s="23"/>
      <c r="L8010" s="23"/>
    </row>
    <row r="8011">
      <c r="B8011" s="19"/>
      <c r="E8011" s="23"/>
      <c r="L8011" s="23"/>
    </row>
    <row r="8012">
      <c r="B8012" s="19"/>
      <c r="E8012" s="23"/>
      <c r="L8012" s="23"/>
    </row>
    <row r="8013">
      <c r="B8013" s="19"/>
      <c r="E8013" s="23"/>
      <c r="L8013" s="23"/>
    </row>
    <row r="8014">
      <c r="B8014" s="19"/>
      <c r="E8014" s="23"/>
      <c r="L8014" s="23"/>
    </row>
    <row r="8015">
      <c r="B8015" s="19"/>
      <c r="E8015" s="23"/>
      <c r="L8015" s="23"/>
    </row>
    <row r="8016">
      <c r="B8016" s="19"/>
      <c r="E8016" s="23"/>
      <c r="L8016" s="23"/>
    </row>
    <row r="8017">
      <c r="B8017" s="19"/>
      <c r="E8017" s="23"/>
      <c r="L8017" s="23"/>
    </row>
    <row r="8018">
      <c r="B8018" s="19"/>
      <c r="E8018" s="23"/>
      <c r="L8018" s="23"/>
    </row>
    <row r="8019">
      <c r="B8019" s="19"/>
      <c r="E8019" s="23"/>
      <c r="L8019" s="23"/>
    </row>
    <row r="8020">
      <c r="B8020" s="19"/>
      <c r="E8020" s="23"/>
      <c r="L8020" s="23"/>
    </row>
    <row r="8021">
      <c r="B8021" s="19"/>
      <c r="E8021" s="23"/>
      <c r="L8021" s="23"/>
    </row>
    <row r="8022">
      <c r="B8022" s="19"/>
      <c r="E8022" s="23"/>
      <c r="L8022" s="23"/>
    </row>
    <row r="8023">
      <c r="B8023" s="19"/>
      <c r="E8023" s="23"/>
      <c r="L8023" s="23"/>
    </row>
    <row r="8024">
      <c r="B8024" s="19"/>
      <c r="E8024" s="23"/>
      <c r="L8024" s="23"/>
    </row>
    <row r="8025">
      <c r="B8025" s="19"/>
      <c r="E8025" s="23"/>
      <c r="L8025" s="23"/>
    </row>
    <row r="8026">
      <c r="B8026" s="19"/>
      <c r="E8026" s="23"/>
      <c r="L8026" s="23"/>
    </row>
    <row r="8027">
      <c r="B8027" s="19"/>
      <c r="E8027" s="23"/>
      <c r="L8027" s="23"/>
    </row>
    <row r="8028">
      <c r="B8028" s="19"/>
      <c r="E8028" s="23"/>
      <c r="L8028" s="23"/>
    </row>
    <row r="8029">
      <c r="B8029" s="19"/>
      <c r="E8029" s="23"/>
      <c r="L8029" s="23"/>
    </row>
    <row r="8030">
      <c r="B8030" s="19"/>
      <c r="E8030" s="23"/>
      <c r="L8030" s="23"/>
    </row>
    <row r="8031">
      <c r="B8031" s="19"/>
      <c r="E8031" s="23"/>
      <c r="L8031" s="23"/>
    </row>
    <row r="8032">
      <c r="B8032" s="19"/>
      <c r="E8032" s="23"/>
      <c r="L8032" s="23"/>
    </row>
    <row r="8033">
      <c r="B8033" s="19"/>
      <c r="E8033" s="23"/>
      <c r="L8033" s="23"/>
    </row>
    <row r="8034">
      <c r="B8034" s="19"/>
      <c r="E8034" s="23"/>
      <c r="L8034" s="23"/>
    </row>
    <row r="8035">
      <c r="B8035" s="19"/>
      <c r="E8035" s="23"/>
      <c r="L8035" s="23"/>
    </row>
    <row r="8036">
      <c r="B8036" s="19"/>
      <c r="E8036" s="23"/>
      <c r="L8036" s="23"/>
    </row>
    <row r="8037">
      <c r="B8037" s="19"/>
      <c r="E8037" s="23"/>
      <c r="L8037" s="23"/>
    </row>
    <row r="8038">
      <c r="B8038" s="19"/>
      <c r="E8038" s="23"/>
      <c r="L8038" s="23"/>
    </row>
    <row r="8039">
      <c r="B8039" s="19"/>
      <c r="E8039" s="23"/>
      <c r="L8039" s="23"/>
    </row>
    <row r="8040">
      <c r="B8040" s="19"/>
      <c r="E8040" s="23"/>
      <c r="L8040" s="23"/>
    </row>
    <row r="8041">
      <c r="B8041" s="19"/>
      <c r="E8041" s="23"/>
      <c r="L8041" s="23"/>
    </row>
    <row r="8042">
      <c r="B8042" s="19"/>
      <c r="E8042" s="23"/>
      <c r="L8042" s="23"/>
    </row>
    <row r="8043">
      <c r="B8043" s="19"/>
      <c r="E8043" s="23"/>
      <c r="L8043" s="23"/>
    </row>
    <row r="8044">
      <c r="B8044" s="19"/>
      <c r="E8044" s="23"/>
      <c r="L8044" s="23"/>
    </row>
    <row r="8045">
      <c r="B8045" s="19"/>
      <c r="E8045" s="23"/>
      <c r="L8045" s="23"/>
    </row>
    <row r="8046">
      <c r="B8046" s="19"/>
      <c r="E8046" s="23"/>
      <c r="L8046" s="23"/>
    </row>
    <row r="8047">
      <c r="B8047" s="19"/>
      <c r="E8047" s="23"/>
      <c r="L8047" s="23"/>
    </row>
    <row r="8048">
      <c r="B8048" s="19"/>
      <c r="E8048" s="23"/>
      <c r="L8048" s="23"/>
    </row>
    <row r="8049">
      <c r="B8049" s="19"/>
      <c r="E8049" s="23"/>
      <c r="L8049" s="23"/>
    </row>
    <row r="8050">
      <c r="B8050" s="19"/>
      <c r="E8050" s="23"/>
      <c r="L8050" s="23"/>
    </row>
    <row r="8051">
      <c r="B8051" s="19"/>
      <c r="E8051" s="23"/>
      <c r="L8051" s="23"/>
    </row>
    <row r="8052">
      <c r="B8052" s="19"/>
      <c r="E8052" s="23"/>
      <c r="L8052" s="23"/>
    </row>
    <row r="8053">
      <c r="B8053" s="19"/>
      <c r="E8053" s="23"/>
      <c r="L8053" s="23"/>
    </row>
    <row r="8054">
      <c r="B8054" s="19"/>
      <c r="E8054" s="23"/>
      <c r="L8054" s="23"/>
    </row>
    <row r="8055">
      <c r="B8055" s="19"/>
      <c r="E8055" s="23"/>
      <c r="L8055" s="23"/>
    </row>
    <row r="8056">
      <c r="B8056" s="19"/>
      <c r="E8056" s="23"/>
      <c r="L8056" s="23"/>
    </row>
    <row r="8057">
      <c r="B8057" s="19"/>
      <c r="E8057" s="23"/>
      <c r="L8057" s="23"/>
    </row>
    <row r="8058">
      <c r="B8058" s="19"/>
      <c r="E8058" s="23"/>
      <c r="L8058" s="23"/>
    </row>
    <row r="8059">
      <c r="B8059" s="19"/>
      <c r="E8059" s="23"/>
      <c r="L8059" s="23"/>
    </row>
    <row r="8060">
      <c r="B8060" s="19"/>
      <c r="E8060" s="23"/>
      <c r="L8060" s="23"/>
    </row>
    <row r="8061">
      <c r="B8061" s="19"/>
      <c r="E8061" s="23"/>
      <c r="L8061" s="23"/>
    </row>
    <row r="8062">
      <c r="B8062" s="19"/>
      <c r="E8062" s="23"/>
      <c r="L8062" s="23"/>
    </row>
    <row r="8063">
      <c r="B8063" s="19"/>
      <c r="E8063" s="23"/>
      <c r="L8063" s="23"/>
    </row>
    <row r="8064">
      <c r="B8064" s="19"/>
      <c r="E8064" s="23"/>
      <c r="L8064" s="23"/>
    </row>
    <row r="8065">
      <c r="B8065" s="19"/>
      <c r="E8065" s="23"/>
      <c r="L8065" s="23"/>
    </row>
    <row r="8066">
      <c r="B8066" s="19"/>
      <c r="E8066" s="23"/>
      <c r="L8066" s="23"/>
    </row>
    <row r="8067">
      <c r="B8067" s="19"/>
      <c r="E8067" s="23"/>
      <c r="L8067" s="23"/>
    </row>
    <row r="8068">
      <c r="B8068" s="19"/>
      <c r="E8068" s="23"/>
      <c r="L8068" s="23"/>
    </row>
    <row r="8069">
      <c r="B8069" s="19"/>
      <c r="E8069" s="23"/>
      <c r="L8069" s="23"/>
    </row>
    <row r="8070">
      <c r="B8070" s="19"/>
      <c r="E8070" s="23"/>
      <c r="L8070" s="23"/>
    </row>
    <row r="8071">
      <c r="B8071" s="19"/>
      <c r="E8071" s="23"/>
      <c r="L8071" s="23"/>
    </row>
    <row r="8072">
      <c r="B8072" s="19"/>
      <c r="E8072" s="23"/>
      <c r="L8072" s="23"/>
    </row>
    <row r="8073">
      <c r="B8073" s="19"/>
      <c r="E8073" s="23"/>
      <c r="L8073" s="23"/>
    </row>
    <row r="8074">
      <c r="B8074" s="19"/>
      <c r="E8074" s="23"/>
      <c r="L8074" s="23"/>
    </row>
    <row r="8075">
      <c r="B8075" s="19"/>
      <c r="E8075" s="23"/>
      <c r="L8075" s="23"/>
    </row>
    <row r="8076">
      <c r="B8076" s="19"/>
      <c r="E8076" s="23"/>
      <c r="L8076" s="23"/>
    </row>
    <row r="8077">
      <c r="B8077" s="19"/>
      <c r="E8077" s="23"/>
      <c r="L8077" s="23"/>
    </row>
    <row r="8078">
      <c r="B8078" s="19"/>
      <c r="E8078" s="23"/>
      <c r="L8078" s="23"/>
    </row>
    <row r="8079">
      <c r="B8079" s="19"/>
      <c r="E8079" s="23"/>
      <c r="L8079" s="23"/>
    </row>
    <row r="8080">
      <c r="B8080" s="19"/>
      <c r="E8080" s="23"/>
      <c r="L8080" s="23"/>
    </row>
    <row r="8081">
      <c r="B8081" s="19"/>
      <c r="E8081" s="23"/>
      <c r="L8081" s="23"/>
    </row>
    <row r="8082">
      <c r="B8082" s="19"/>
      <c r="E8082" s="23"/>
      <c r="L8082" s="23"/>
    </row>
    <row r="8083">
      <c r="B8083" s="19"/>
      <c r="E8083" s="23"/>
      <c r="L8083" s="23"/>
    </row>
    <row r="8084">
      <c r="B8084" s="19"/>
      <c r="E8084" s="23"/>
      <c r="L8084" s="23"/>
    </row>
    <row r="8085">
      <c r="B8085" s="19"/>
      <c r="E8085" s="23"/>
      <c r="L8085" s="23"/>
    </row>
    <row r="8086">
      <c r="B8086" s="19"/>
      <c r="E8086" s="23"/>
      <c r="L8086" s="23"/>
    </row>
    <row r="8087">
      <c r="B8087" s="19"/>
      <c r="E8087" s="23"/>
      <c r="L8087" s="23"/>
    </row>
    <row r="8088">
      <c r="B8088" s="19"/>
      <c r="E8088" s="23"/>
      <c r="L8088" s="23"/>
    </row>
    <row r="8089">
      <c r="B8089" s="19"/>
      <c r="E8089" s="23"/>
      <c r="L8089" s="23"/>
    </row>
    <row r="8090">
      <c r="B8090" s="19"/>
      <c r="E8090" s="23"/>
      <c r="L8090" s="23"/>
    </row>
    <row r="8091">
      <c r="B8091" s="19"/>
      <c r="E8091" s="23"/>
      <c r="L8091" s="23"/>
    </row>
    <row r="8092">
      <c r="B8092" s="19"/>
      <c r="E8092" s="23"/>
      <c r="L8092" s="23"/>
    </row>
    <row r="8093">
      <c r="B8093" s="19"/>
      <c r="E8093" s="23"/>
      <c r="L8093" s="23"/>
    </row>
    <row r="8094">
      <c r="B8094" s="19"/>
      <c r="E8094" s="23"/>
      <c r="L8094" s="23"/>
    </row>
    <row r="8095">
      <c r="B8095" s="19"/>
      <c r="E8095" s="23"/>
      <c r="L8095" s="23"/>
    </row>
    <row r="8096">
      <c r="B8096" s="19"/>
      <c r="E8096" s="23"/>
      <c r="L8096" s="23"/>
    </row>
    <row r="8097">
      <c r="B8097" s="19"/>
      <c r="E8097" s="23"/>
      <c r="L8097" s="23"/>
    </row>
    <row r="8098">
      <c r="B8098" s="19"/>
      <c r="E8098" s="23"/>
      <c r="L8098" s="23"/>
    </row>
    <row r="8099">
      <c r="B8099" s="19"/>
      <c r="E8099" s="23"/>
      <c r="L8099" s="23"/>
    </row>
    <row r="8100">
      <c r="B8100" s="19"/>
      <c r="E8100" s="23"/>
      <c r="L8100" s="23"/>
    </row>
    <row r="8101">
      <c r="B8101" s="19"/>
      <c r="E8101" s="23"/>
      <c r="L8101" s="23"/>
    </row>
    <row r="8102">
      <c r="B8102" s="19"/>
      <c r="E8102" s="23"/>
      <c r="L8102" s="23"/>
    </row>
    <row r="8103">
      <c r="B8103" s="19"/>
      <c r="E8103" s="23"/>
      <c r="L8103" s="23"/>
    </row>
    <row r="8104">
      <c r="B8104" s="19"/>
      <c r="E8104" s="23"/>
      <c r="L8104" s="23"/>
    </row>
    <row r="8105">
      <c r="B8105" s="19"/>
      <c r="E8105" s="23"/>
      <c r="L8105" s="23"/>
    </row>
    <row r="8106">
      <c r="B8106" s="19"/>
      <c r="E8106" s="23"/>
      <c r="L8106" s="23"/>
    </row>
    <row r="8107">
      <c r="B8107" s="19"/>
      <c r="E8107" s="23"/>
      <c r="L8107" s="23"/>
    </row>
    <row r="8108">
      <c r="B8108" s="19"/>
      <c r="E8108" s="23"/>
      <c r="L8108" s="23"/>
    </row>
    <row r="8109">
      <c r="B8109" s="19"/>
      <c r="E8109" s="23"/>
      <c r="L8109" s="23"/>
    </row>
    <row r="8110">
      <c r="B8110" s="19"/>
      <c r="E8110" s="23"/>
      <c r="L8110" s="23"/>
    </row>
    <row r="8111">
      <c r="B8111" s="19"/>
      <c r="E8111" s="23"/>
      <c r="L8111" s="23"/>
    </row>
    <row r="8112">
      <c r="B8112" s="19"/>
      <c r="E8112" s="23"/>
      <c r="L8112" s="23"/>
    </row>
    <row r="8113">
      <c r="B8113" s="19"/>
      <c r="E8113" s="23"/>
      <c r="L8113" s="23"/>
    </row>
    <row r="8114">
      <c r="B8114" s="19"/>
      <c r="E8114" s="23"/>
      <c r="L8114" s="23"/>
    </row>
    <row r="8115">
      <c r="B8115" s="19"/>
      <c r="E8115" s="23"/>
      <c r="L8115" s="23"/>
    </row>
    <row r="8116">
      <c r="B8116" s="19"/>
      <c r="E8116" s="23"/>
      <c r="L8116" s="23"/>
    </row>
    <row r="8117">
      <c r="B8117" s="19"/>
      <c r="E8117" s="23"/>
      <c r="L8117" s="23"/>
    </row>
    <row r="8118">
      <c r="B8118" s="19"/>
      <c r="E8118" s="23"/>
      <c r="L8118" s="23"/>
    </row>
    <row r="8119">
      <c r="B8119" s="19"/>
      <c r="E8119" s="23"/>
      <c r="L8119" s="23"/>
    </row>
    <row r="8120">
      <c r="B8120" s="19"/>
      <c r="E8120" s="23"/>
      <c r="L8120" s="23"/>
    </row>
    <row r="8121">
      <c r="B8121" s="19"/>
      <c r="E8121" s="23"/>
      <c r="L8121" s="23"/>
    </row>
    <row r="8122">
      <c r="B8122" s="19"/>
      <c r="E8122" s="23"/>
      <c r="L8122" s="23"/>
    </row>
    <row r="8123">
      <c r="B8123" s="19"/>
      <c r="E8123" s="23"/>
      <c r="L8123" s="23"/>
    </row>
    <row r="8124">
      <c r="B8124" s="19"/>
      <c r="E8124" s="23"/>
      <c r="L8124" s="23"/>
    </row>
    <row r="8125">
      <c r="B8125" s="19"/>
      <c r="E8125" s="23"/>
      <c r="L8125" s="23"/>
    </row>
    <row r="8126">
      <c r="B8126" s="19"/>
      <c r="E8126" s="23"/>
      <c r="L8126" s="23"/>
    </row>
    <row r="8127">
      <c r="B8127" s="19"/>
      <c r="E8127" s="23"/>
      <c r="L8127" s="23"/>
    </row>
    <row r="8128">
      <c r="B8128" s="19"/>
      <c r="E8128" s="23"/>
      <c r="L8128" s="23"/>
    </row>
    <row r="8129">
      <c r="B8129" s="19"/>
      <c r="E8129" s="23"/>
      <c r="L8129" s="23"/>
    </row>
    <row r="8130">
      <c r="B8130" s="19"/>
      <c r="E8130" s="23"/>
      <c r="L8130" s="23"/>
    </row>
    <row r="8131">
      <c r="B8131" s="19"/>
      <c r="E8131" s="23"/>
      <c r="L8131" s="23"/>
    </row>
    <row r="8132">
      <c r="B8132" s="19"/>
      <c r="E8132" s="23"/>
      <c r="L8132" s="23"/>
    </row>
    <row r="8133">
      <c r="B8133" s="19"/>
      <c r="E8133" s="23"/>
      <c r="L8133" s="23"/>
    </row>
    <row r="8134">
      <c r="B8134" s="19"/>
      <c r="E8134" s="23"/>
      <c r="L8134" s="23"/>
    </row>
    <row r="8135">
      <c r="B8135" s="19"/>
      <c r="E8135" s="23"/>
      <c r="L8135" s="23"/>
    </row>
    <row r="8136">
      <c r="B8136" s="19"/>
      <c r="E8136" s="23"/>
      <c r="L8136" s="23"/>
    </row>
    <row r="8137">
      <c r="B8137" s="19"/>
      <c r="E8137" s="23"/>
      <c r="L8137" s="23"/>
    </row>
    <row r="8138">
      <c r="B8138" s="19"/>
      <c r="E8138" s="23"/>
      <c r="L8138" s="23"/>
    </row>
    <row r="8139">
      <c r="B8139" s="19"/>
      <c r="E8139" s="23"/>
      <c r="L8139" s="23"/>
    </row>
    <row r="8140">
      <c r="B8140" s="19"/>
      <c r="E8140" s="23"/>
      <c r="L8140" s="23"/>
    </row>
    <row r="8141">
      <c r="B8141" s="19"/>
      <c r="E8141" s="23"/>
      <c r="L8141" s="23"/>
    </row>
    <row r="8142">
      <c r="B8142" s="19"/>
      <c r="E8142" s="23"/>
      <c r="L8142" s="23"/>
    </row>
    <row r="8143">
      <c r="B8143" s="19"/>
      <c r="E8143" s="23"/>
      <c r="L8143" s="23"/>
    </row>
    <row r="8144">
      <c r="B8144" s="19"/>
      <c r="E8144" s="23"/>
      <c r="L8144" s="23"/>
    </row>
    <row r="8145">
      <c r="B8145" s="19"/>
      <c r="E8145" s="23"/>
      <c r="L8145" s="23"/>
    </row>
    <row r="8146">
      <c r="B8146" s="19"/>
      <c r="E8146" s="23"/>
      <c r="L8146" s="23"/>
    </row>
    <row r="8147">
      <c r="B8147" s="19"/>
      <c r="E8147" s="23"/>
      <c r="L8147" s="23"/>
    </row>
    <row r="8148">
      <c r="B8148" s="19"/>
      <c r="E8148" s="23"/>
      <c r="L8148" s="23"/>
    </row>
    <row r="8149">
      <c r="B8149" s="19"/>
      <c r="E8149" s="23"/>
      <c r="L8149" s="23"/>
    </row>
    <row r="8150">
      <c r="B8150" s="19"/>
      <c r="E8150" s="23"/>
      <c r="L8150" s="23"/>
    </row>
    <row r="8151">
      <c r="B8151" s="19"/>
      <c r="E8151" s="23"/>
      <c r="L8151" s="23"/>
    </row>
    <row r="8152">
      <c r="B8152" s="19"/>
      <c r="E8152" s="23"/>
      <c r="L8152" s="23"/>
    </row>
    <row r="8153">
      <c r="B8153" s="19"/>
      <c r="E8153" s="23"/>
      <c r="L8153" s="23"/>
    </row>
    <row r="8154">
      <c r="B8154" s="19"/>
      <c r="E8154" s="23"/>
      <c r="L8154" s="23"/>
    </row>
    <row r="8155">
      <c r="B8155" s="19"/>
      <c r="E8155" s="23"/>
      <c r="L8155" s="23"/>
    </row>
    <row r="8156">
      <c r="B8156" s="19"/>
      <c r="E8156" s="23"/>
      <c r="L8156" s="23"/>
    </row>
    <row r="8157">
      <c r="B8157" s="19"/>
      <c r="E8157" s="23"/>
      <c r="L8157" s="23"/>
    </row>
    <row r="8158">
      <c r="B8158" s="19"/>
      <c r="E8158" s="23"/>
      <c r="L8158" s="23"/>
    </row>
    <row r="8159">
      <c r="B8159" s="19"/>
      <c r="E8159" s="23"/>
      <c r="L8159" s="23"/>
    </row>
    <row r="8160">
      <c r="B8160" s="19"/>
      <c r="E8160" s="23"/>
      <c r="L8160" s="23"/>
    </row>
    <row r="8161">
      <c r="B8161" s="19"/>
      <c r="E8161" s="23"/>
      <c r="L8161" s="23"/>
    </row>
    <row r="8162">
      <c r="B8162" s="19"/>
      <c r="E8162" s="23"/>
      <c r="L8162" s="23"/>
    </row>
    <row r="8163">
      <c r="B8163" s="19"/>
      <c r="E8163" s="23"/>
      <c r="L8163" s="23"/>
    </row>
    <row r="8164">
      <c r="B8164" s="19"/>
      <c r="E8164" s="23"/>
      <c r="L8164" s="23"/>
    </row>
    <row r="8165">
      <c r="B8165" s="19"/>
      <c r="E8165" s="23"/>
      <c r="L8165" s="23"/>
    </row>
    <row r="8166">
      <c r="B8166" s="19"/>
      <c r="E8166" s="23"/>
      <c r="L8166" s="23"/>
    </row>
    <row r="8167">
      <c r="B8167" s="19"/>
      <c r="E8167" s="23"/>
      <c r="L8167" s="23"/>
    </row>
    <row r="8168">
      <c r="B8168" s="19"/>
      <c r="E8168" s="23"/>
      <c r="L8168" s="23"/>
    </row>
    <row r="8169">
      <c r="B8169" s="19"/>
      <c r="E8169" s="23"/>
      <c r="L8169" s="23"/>
    </row>
    <row r="8170">
      <c r="B8170" s="19"/>
      <c r="E8170" s="23"/>
      <c r="L8170" s="23"/>
    </row>
    <row r="8171">
      <c r="B8171" s="19"/>
      <c r="E8171" s="23"/>
      <c r="L8171" s="23"/>
    </row>
    <row r="8172">
      <c r="B8172" s="19"/>
      <c r="E8172" s="23"/>
      <c r="L8172" s="23"/>
    </row>
    <row r="8173">
      <c r="B8173" s="19"/>
      <c r="E8173" s="23"/>
      <c r="L8173" s="23"/>
    </row>
    <row r="8174">
      <c r="B8174" s="19"/>
      <c r="E8174" s="23"/>
      <c r="L8174" s="23"/>
    </row>
    <row r="8175">
      <c r="B8175" s="19"/>
      <c r="E8175" s="23"/>
      <c r="L8175" s="23"/>
    </row>
    <row r="8176">
      <c r="B8176" s="19"/>
      <c r="E8176" s="23"/>
      <c r="L8176" s="23"/>
    </row>
    <row r="8177">
      <c r="B8177" s="19"/>
      <c r="E8177" s="23"/>
      <c r="L8177" s="23"/>
    </row>
    <row r="8178">
      <c r="B8178" s="19"/>
      <c r="E8178" s="23"/>
      <c r="L8178" s="23"/>
    </row>
    <row r="8179">
      <c r="B8179" s="19"/>
      <c r="E8179" s="23"/>
      <c r="L8179" s="23"/>
    </row>
    <row r="8180">
      <c r="B8180" s="19"/>
      <c r="E8180" s="23"/>
      <c r="L8180" s="23"/>
    </row>
    <row r="8181">
      <c r="B8181" s="19"/>
      <c r="E8181" s="23"/>
      <c r="L8181" s="23"/>
    </row>
    <row r="8182">
      <c r="B8182" s="19"/>
      <c r="E8182" s="23"/>
      <c r="L8182" s="23"/>
    </row>
    <row r="8183">
      <c r="B8183" s="19"/>
      <c r="E8183" s="23"/>
      <c r="L8183" s="23"/>
    </row>
    <row r="8184">
      <c r="B8184" s="19"/>
      <c r="E8184" s="23"/>
      <c r="L8184" s="23"/>
    </row>
    <row r="8185">
      <c r="B8185" s="19"/>
      <c r="E8185" s="23"/>
      <c r="L8185" s="23"/>
    </row>
    <row r="8186">
      <c r="B8186" s="19"/>
      <c r="E8186" s="23"/>
      <c r="L8186" s="23"/>
    </row>
    <row r="8187">
      <c r="B8187" s="19"/>
      <c r="E8187" s="23"/>
      <c r="L8187" s="23"/>
    </row>
    <row r="8188">
      <c r="B8188" s="19"/>
      <c r="E8188" s="23"/>
      <c r="L8188" s="23"/>
    </row>
    <row r="8189">
      <c r="B8189" s="19"/>
      <c r="E8189" s="23"/>
      <c r="L8189" s="23"/>
    </row>
    <row r="8190">
      <c r="B8190" s="19"/>
      <c r="E8190" s="23"/>
      <c r="L8190" s="23"/>
    </row>
    <row r="8191">
      <c r="B8191" s="19"/>
      <c r="E8191" s="23"/>
      <c r="L8191" s="23"/>
    </row>
    <row r="8192">
      <c r="B8192" s="19"/>
      <c r="E8192" s="23"/>
      <c r="L8192" s="23"/>
    </row>
    <row r="8193">
      <c r="B8193" s="19"/>
      <c r="E8193" s="23"/>
      <c r="L8193" s="23"/>
    </row>
    <row r="8194">
      <c r="B8194" s="19"/>
      <c r="E8194" s="23"/>
      <c r="L8194" s="23"/>
    </row>
    <row r="8195">
      <c r="B8195" s="19"/>
      <c r="E8195" s="23"/>
      <c r="L8195" s="23"/>
    </row>
    <row r="8196">
      <c r="B8196" s="19"/>
      <c r="E8196" s="23"/>
      <c r="L8196" s="23"/>
    </row>
    <row r="8197">
      <c r="B8197" s="19"/>
      <c r="E8197" s="23"/>
      <c r="L8197" s="23"/>
    </row>
    <row r="8198">
      <c r="B8198" s="19"/>
      <c r="E8198" s="23"/>
      <c r="L8198" s="23"/>
    </row>
    <row r="8199">
      <c r="B8199" s="19"/>
      <c r="E8199" s="23"/>
      <c r="L8199" s="23"/>
    </row>
    <row r="8200">
      <c r="B8200" s="19"/>
      <c r="E8200" s="23"/>
      <c r="L8200" s="23"/>
    </row>
    <row r="8201">
      <c r="B8201" s="19"/>
      <c r="E8201" s="23"/>
      <c r="L8201" s="23"/>
    </row>
    <row r="8202">
      <c r="B8202" s="19"/>
      <c r="E8202" s="23"/>
      <c r="L8202" s="23"/>
    </row>
    <row r="8203">
      <c r="B8203" s="19"/>
      <c r="E8203" s="23"/>
      <c r="L8203" s="23"/>
    </row>
    <row r="8204">
      <c r="B8204" s="19"/>
      <c r="E8204" s="23"/>
      <c r="L8204" s="23"/>
    </row>
    <row r="8205">
      <c r="B8205" s="19"/>
      <c r="E8205" s="23"/>
      <c r="L8205" s="23"/>
    </row>
    <row r="8206">
      <c r="B8206" s="19"/>
      <c r="E8206" s="23"/>
      <c r="L8206" s="23"/>
    </row>
    <row r="8207">
      <c r="B8207" s="19"/>
      <c r="E8207" s="23"/>
      <c r="L8207" s="23"/>
    </row>
    <row r="8208">
      <c r="B8208" s="19"/>
      <c r="E8208" s="23"/>
      <c r="L8208" s="23"/>
    </row>
    <row r="8209">
      <c r="B8209" s="19"/>
      <c r="E8209" s="23"/>
      <c r="L8209" s="23"/>
    </row>
    <row r="8210">
      <c r="B8210" s="19"/>
      <c r="E8210" s="23"/>
      <c r="L8210" s="23"/>
    </row>
    <row r="8211">
      <c r="B8211" s="19"/>
      <c r="E8211" s="23"/>
      <c r="L8211" s="23"/>
    </row>
    <row r="8212">
      <c r="B8212" s="19"/>
      <c r="E8212" s="23"/>
      <c r="L8212" s="23"/>
    </row>
    <row r="8213">
      <c r="B8213" s="19"/>
      <c r="E8213" s="23"/>
      <c r="L8213" s="23"/>
    </row>
    <row r="8214">
      <c r="B8214" s="19"/>
      <c r="E8214" s="23"/>
      <c r="L8214" s="23"/>
    </row>
    <row r="8215">
      <c r="B8215" s="19"/>
      <c r="E8215" s="23"/>
      <c r="L8215" s="23"/>
    </row>
    <row r="8216">
      <c r="B8216" s="19"/>
      <c r="E8216" s="23"/>
      <c r="L8216" s="23"/>
    </row>
    <row r="8217">
      <c r="B8217" s="19"/>
      <c r="E8217" s="23"/>
      <c r="L8217" s="23"/>
    </row>
    <row r="8218">
      <c r="B8218" s="19"/>
      <c r="E8218" s="23"/>
      <c r="L8218" s="23"/>
    </row>
    <row r="8219">
      <c r="B8219" s="19"/>
      <c r="E8219" s="23"/>
      <c r="L8219" s="23"/>
    </row>
    <row r="8220">
      <c r="B8220" s="19"/>
      <c r="E8220" s="23"/>
      <c r="L8220" s="23"/>
    </row>
    <row r="8221">
      <c r="B8221" s="19"/>
      <c r="E8221" s="23"/>
      <c r="L8221" s="23"/>
    </row>
    <row r="8222">
      <c r="B8222" s="19"/>
      <c r="E8222" s="23"/>
      <c r="L8222" s="23"/>
    </row>
    <row r="8223">
      <c r="B8223" s="19"/>
      <c r="E8223" s="23"/>
      <c r="L8223" s="23"/>
    </row>
    <row r="8224">
      <c r="B8224" s="19"/>
      <c r="E8224" s="23"/>
      <c r="L8224" s="23"/>
    </row>
    <row r="8225">
      <c r="B8225" s="19"/>
      <c r="E8225" s="23"/>
      <c r="L8225" s="23"/>
    </row>
    <row r="8226">
      <c r="B8226" s="19"/>
      <c r="E8226" s="23"/>
      <c r="L8226" s="23"/>
    </row>
    <row r="8227">
      <c r="B8227" s="19"/>
      <c r="E8227" s="23"/>
      <c r="L8227" s="23"/>
    </row>
    <row r="8228">
      <c r="B8228" s="19"/>
      <c r="E8228" s="23"/>
      <c r="L8228" s="23"/>
    </row>
    <row r="8229">
      <c r="B8229" s="19"/>
      <c r="E8229" s="23"/>
      <c r="L8229" s="23"/>
    </row>
    <row r="8230">
      <c r="B8230" s="19"/>
      <c r="E8230" s="23"/>
      <c r="L8230" s="23"/>
    </row>
    <row r="8231">
      <c r="B8231" s="19"/>
      <c r="E8231" s="23"/>
      <c r="L8231" s="23"/>
    </row>
    <row r="8232">
      <c r="B8232" s="19"/>
      <c r="E8232" s="23"/>
      <c r="L8232" s="23"/>
    </row>
    <row r="8233">
      <c r="B8233" s="19"/>
      <c r="E8233" s="23"/>
      <c r="L8233" s="23"/>
    </row>
    <row r="8234">
      <c r="B8234" s="19"/>
      <c r="E8234" s="23"/>
      <c r="L8234" s="23"/>
    </row>
    <row r="8235">
      <c r="B8235" s="19"/>
      <c r="E8235" s="23"/>
      <c r="L8235" s="23"/>
    </row>
    <row r="8236">
      <c r="B8236" s="19"/>
      <c r="E8236" s="23"/>
      <c r="L8236" s="23"/>
    </row>
    <row r="8237">
      <c r="B8237" s="19"/>
      <c r="E8237" s="23"/>
      <c r="L8237" s="23"/>
    </row>
    <row r="8238">
      <c r="B8238" s="19"/>
      <c r="E8238" s="23"/>
      <c r="L8238" s="23"/>
    </row>
    <row r="8239">
      <c r="B8239" s="19"/>
      <c r="E8239" s="23"/>
      <c r="L8239" s="23"/>
    </row>
    <row r="8240">
      <c r="B8240" s="19"/>
      <c r="E8240" s="23"/>
      <c r="L8240" s="23"/>
    </row>
    <row r="8241">
      <c r="B8241" s="19"/>
      <c r="E8241" s="23"/>
      <c r="L8241" s="23"/>
    </row>
    <row r="8242">
      <c r="B8242" s="19"/>
      <c r="E8242" s="23"/>
      <c r="L8242" s="23"/>
    </row>
    <row r="8243">
      <c r="B8243" s="19"/>
      <c r="E8243" s="23"/>
      <c r="L8243" s="23"/>
    </row>
    <row r="8244">
      <c r="B8244" s="19"/>
      <c r="E8244" s="23"/>
      <c r="L8244" s="23"/>
    </row>
    <row r="8245">
      <c r="B8245" s="19"/>
      <c r="E8245" s="23"/>
      <c r="L8245" s="23"/>
    </row>
    <row r="8246">
      <c r="B8246" s="19"/>
      <c r="E8246" s="23"/>
      <c r="L8246" s="23"/>
    </row>
    <row r="8247">
      <c r="B8247" s="19"/>
      <c r="E8247" s="23"/>
      <c r="L8247" s="23"/>
    </row>
    <row r="8248">
      <c r="B8248" s="19"/>
      <c r="E8248" s="23"/>
      <c r="L8248" s="23"/>
    </row>
    <row r="8249">
      <c r="B8249" s="19"/>
      <c r="E8249" s="23"/>
      <c r="L8249" s="23"/>
    </row>
    <row r="8250">
      <c r="B8250" s="19"/>
      <c r="E8250" s="23"/>
      <c r="L8250" s="23"/>
    </row>
    <row r="8251">
      <c r="B8251" s="19"/>
      <c r="E8251" s="23"/>
      <c r="L8251" s="23"/>
    </row>
    <row r="8252">
      <c r="B8252" s="19"/>
      <c r="E8252" s="23"/>
      <c r="L8252" s="23"/>
    </row>
    <row r="8253">
      <c r="B8253" s="19"/>
      <c r="E8253" s="23"/>
      <c r="L8253" s="23"/>
    </row>
    <row r="8254">
      <c r="B8254" s="19"/>
      <c r="E8254" s="23"/>
      <c r="L8254" s="23"/>
    </row>
    <row r="8255">
      <c r="B8255" s="19"/>
      <c r="E8255" s="23"/>
      <c r="L8255" s="23"/>
    </row>
    <row r="8256">
      <c r="B8256" s="19"/>
      <c r="E8256" s="23"/>
      <c r="L8256" s="23"/>
    </row>
    <row r="8257">
      <c r="B8257" s="19"/>
      <c r="E8257" s="23"/>
      <c r="L8257" s="23"/>
    </row>
    <row r="8258">
      <c r="B8258" s="19"/>
      <c r="E8258" s="23"/>
      <c r="L8258" s="23"/>
    </row>
    <row r="8259">
      <c r="B8259" s="19"/>
      <c r="E8259" s="23"/>
      <c r="L8259" s="23"/>
    </row>
    <row r="8260">
      <c r="B8260" s="19"/>
      <c r="E8260" s="23"/>
      <c r="L8260" s="23"/>
    </row>
    <row r="8261">
      <c r="B8261" s="19"/>
      <c r="E8261" s="23"/>
      <c r="L8261" s="23"/>
    </row>
    <row r="8262">
      <c r="B8262" s="19"/>
      <c r="E8262" s="23"/>
      <c r="L8262" s="23"/>
    </row>
    <row r="8263">
      <c r="B8263" s="19"/>
      <c r="E8263" s="23"/>
      <c r="L8263" s="23"/>
    </row>
    <row r="8264">
      <c r="B8264" s="19"/>
      <c r="E8264" s="23"/>
      <c r="L8264" s="23"/>
    </row>
    <row r="8265">
      <c r="B8265" s="19"/>
      <c r="E8265" s="23"/>
      <c r="L8265" s="23"/>
    </row>
    <row r="8266">
      <c r="B8266" s="19"/>
      <c r="E8266" s="23"/>
      <c r="L8266" s="23"/>
    </row>
    <row r="8267">
      <c r="B8267" s="19"/>
      <c r="E8267" s="23"/>
      <c r="L8267" s="23"/>
    </row>
    <row r="8268">
      <c r="B8268" s="19"/>
      <c r="E8268" s="23"/>
      <c r="L8268" s="23"/>
    </row>
    <row r="8269">
      <c r="B8269" s="19"/>
      <c r="E8269" s="23"/>
      <c r="L8269" s="23"/>
    </row>
    <row r="8270">
      <c r="B8270" s="19"/>
      <c r="E8270" s="23"/>
      <c r="L8270" s="23"/>
    </row>
    <row r="8271">
      <c r="B8271" s="19"/>
      <c r="E8271" s="23"/>
      <c r="L8271" s="23"/>
    </row>
    <row r="8272">
      <c r="B8272" s="19"/>
      <c r="E8272" s="23"/>
      <c r="L8272" s="23"/>
    </row>
    <row r="8273">
      <c r="B8273" s="19"/>
      <c r="E8273" s="23"/>
      <c r="L8273" s="23"/>
    </row>
    <row r="8274">
      <c r="B8274" s="19"/>
      <c r="E8274" s="23"/>
      <c r="L8274" s="23"/>
    </row>
    <row r="8275">
      <c r="B8275" s="19"/>
      <c r="E8275" s="23"/>
      <c r="L8275" s="23"/>
    </row>
    <row r="8276">
      <c r="B8276" s="19"/>
      <c r="E8276" s="23"/>
      <c r="L8276" s="23"/>
    </row>
    <row r="8277">
      <c r="B8277" s="19"/>
      <c r="E8277" s="23"/>
      <c r="L8277" s="23"/>
    </row>
    <row r="8278">
      <c r="B8278" s="19"/>
      <c r="E8278" s="23"/>
      <c r="L8278" s="23"/>
    </row>
    <row r="8279">
      <c r="B8279" s="19"/>
      <c r="E8279" s="23"/>
      <c r="L8279" s="23"/>
    </row>
    <row r="8280">
      <c r="B8280" s="19"/>
      <c r="E8280" s="23"/>
      <c r="L8280" s="23"/>
    </row>
    <row r="8281">
      <c r="B8281" s="19"/>
      <c r="E8281" s="23"/>
      <c r="L8281" s="23"/>
    </row>
    <row r="8282">
      <c r="B8282" s="19"/>
      <c r="E8282" s="23"/>
      <c r="L8282" s="23"/>
    </row>
    <row r="8283">
      <c r="B8283" s="19"/>
      <c r="E8283" s="23"/>
      <c r="L8283" s="23"/>
    </row>
    <row r="8284">
      <c r="B8284" s="19"/>
      <c r="E8284" s="23"/>
      <c r="L8284" s="23"/>
    </row>
    <row r="8285">
      <c r="B8285" s="19"/>
      <c r="E8285" s="23"/>
      <c r="L8285" s="23"/>
    </row>
    <row r="8286">
      <c r="B8286" s="19"/>
      <c r="E8286" s="23"/>
      <c r="L8286" s="23"/>
    </row>
    <row r="8287">
      <c r="B8287" s="19"/>
      <c r="E8287" s="23"/>
      <c r="L8287" s="23"/>
    </row>
    <row r="8288">
      <c r="B8288" s="19"/>
      <c r="E8288" s="23"/>
      <c r="L8288" s="23"/>
    </row>
    <row r="8289">
      <c r="B8289" s="19"/>
      <c r="E8289" s="23"/>
      <c r="L8289" s="23"/>
    </row>
    <row r="8290">
      <c r="B8290" s="19"/>
      <c r="E8290" s="23"/>
      <c r="L8290" s="23"/>
    </row>
    <row r="8291">
      <c r="B8291" s="19"/>
      <c r="E8291" s="23"/>
      <c r="L8291" s="23"/>
    </row>
    <row r="8292">
      <c r="B8292" s="19"/>
      <c r="E8292" s="23"/>
      <c r="L8292" s="23"/>
    </row>
    <row r="8293">
      <c r="B8293" s="19"/>
      <c r="E8293" s="23"/>
      <c r="L8293" s="23"/>
    </row>
    <row r="8294">
      <c r="B8294" s="19"/>
      <c r="E8294" s="23"/>
      <c r="L8294" s="23"/>
    </row>
    <row r="8295">
      <c r="B8295" s="19"/>
      <c r="E8295" s="23"/>
      <c r="L8295" s="23"/>
    </row>
    <row r="8296">
      <c r="B8296" s="19"/>
      <c r="E8296" s="23"/>
      <c r="L8296" s="23"/>
    </row>
    <row r="8297">
      <c r="B8297" s="19"/>
      <c r="E8297" s="23"/>
      <c r="L8297" s="23"/>
    </row>
    <row r="8298">
      <c r="B8298" s="19"/>
      <c r="E8298" s="23"/>
      <c r="L8298" s="23"/>
    </row>
    <row r="8299">
      <c r="B8299" s="19"/>
      <c r="E8299" s="23"/>
      <c r="L8299" s="23"/>
    </row>
    <row r="8300">
      <c r="B8300" s="19"/>
      <c r="E8300" s="23"/>
      <c r="L8300" s="23"/>
    </row>
    <row r="8301">
      <c r="B8301" s="19"/>
      <c r="E8301" s="23"/>
      <c r="L8301" s="23"/>
    </row>
    <row r="8302">
      <c r="B8302" s="19"/>
      <c r="E8302" s="23"/>
      <c r="L8302" s="23"/>
    </row>
    <row r="8303">
      <c r="B8303" s="19"/>
      <c r="E8303" s="23"/>
      <c r="L8303" s="23"/>
    </row>
    <row r="8304">
      <c r="B8304" s="19"/>
      <c r="E8304" s="23"/>
      <c r="L8304" s="23"/>
    </row>
    <row r="8305">
      <c r="B8305" s="19"/>
      <c r="E8305" s="23"/>
      <c r="L8305" s="23"/>
    </row>
    <row r="8306">
      <c r="B8306" s="19"/>
      <c r="E8306" s="23"/>
      <c r="L8306" s="23"/>
    </row>
    <row r="8307">
      <c r="B8307" s="19"/>
      <c r="E8307" s="23"/>
      <c r="L8307" s="23"/>
    </row>
    <row r="8308">
      <c r="B8308" s="19"/>
      <c r="E8308" s="23"/>
      <c r="L8308" s="23"/>
    </row>
    <row r="8309">
      <c r="B8309" s="19"/>
      <c r="E8309" s="23"/>
      <c r="L8309" s="23"/>
    </row>
    <row r="8310">
      <c r="B8310" s="19"/>
      <c r="E8310" s="23"/>
      <c r="L8310" s="23"/>
    </row>
    <row r="8311">
      <c r="B8311" s="19"/>
      <c r="E8311" s="23"/>
      <c r="L8311" s="23"/>
    </row>
    <row r="8312">
      <c r="B8312" s="19"/>
      <c r="E8312" s="23"/>
      <c r="L8312" s="23"/>
    </row>
    <row r="8313">
      <c r="B8313" s="19"/>
      <c r="E8313" s="23"/>
      <c r="L8313" s="23"/>
    </row>
    <row r="8314">
      <c r="B8314" s="19"/>
      <c r="E8314" s="23"/>
      <c r="L8314" s="23"/>
    </row>
    <row r="8315">
      <c r="B8315" s="19"/>
      <c r="E8315" s="23"/>
      <c r="L8315" s="23"/>
    </row>
    <row r="8316">
      <c r="B8316" s="19"/>
      <c r="E8316" s="23"/>
      <c r="L8316" s="23"/>
    </row>
    <row r="8317">
      <c r="B8317" s="19"/>
      <c r="E8317" s="23"/>
      <c r="L8317" s="23"/>
    </row>
    <row r="8318">
      <c r="B8318" s="19"/>
      <c r="E8318" s="23"/>
      <c r="L8318" s="23"/>
    </row>
    <row r="8319">
      <c r="B8319" s="19"/>
      <c r="E8319" s="23"/>
      <c r="L8319" s="23"/>
    </row>
    <row r="8320">
      <c r="B8320" s="19"/>
      <c r="E8320" s="23"/>
      <c r="L8320" s="23"/>
    </row>
    <row r="8321">
      <c r="B8321" s="19"/>
      <c r="E8321" s="23"/>
      <c r="L8321" s="23"/>
    </row>
    <row r="8322">
      <c r="B8322" s="19"/>
      <c r="E8322" s="23"/>
      <c r="L8322" s="23"/>
    </row>
    <row r="8323">
      <c r="B8323" s="19"/>
      <c r="E8323" s="23"/>
      <c r="L8323" s="23"/>
    </row>
    <row r="8324">
      <c r="B8324" s="19"/>
      <c r="E8324" s="23"/>
      <c r="L8324" s="23"/>
    </row>
    <row r="8325">
      <c r="B8325" s="19"/>
      <c r="E8325" s="23"/>
      <c r="L8325" s="23"/>
    </row>
    <row r="8326">
      <c r="B8326" s="19"/>
      <c r="E8326" s="23"/>
      <c r="L8326" s="23"/>
    </row>
    <row r="8327">
      <c r="B8327" s="19"/>
      <c r="E8327" s="23"/>
      <c r="L8327" s="23"/>
    </row>
    <row r="8328">
      <c r="B8328" s="19"/>
      <c r="E8328" s="23"/>
      <c r="L8328" s="23"/>
    </row>
    <row r="8329">
      <c r="B8329" s="19"/>
      <c r="E8329" s="23"/>
      <c r="L8329" s="23"/>
    </row>
    <row r="8330">
      <c r="B8330" s="19"/>
      <c r="E8330" s="23"/>
      <c r="L8330" s="23"/>
    </row>
    <row r="8331">
      <c r="B8331" s="19"/>
      <c r="E8331" s="23"/>
      <c r="L8331" s="23"/>
    </row>
    <row r="8332">
      <c r="B8332" s="19"/>
      <c r="E8332" s="23"/>
      <c r="L8332" s="23"/>
    </row>
    <row r="8333">
      <c r="B8333" s="19"/>
      <c r="E8333" s="23"/>
      <c r="L8333" s="23"/>
    </row>
    <row r="8334">
      <c r="B8334" s="19"/>
      <c r="E8334" s="23"/>
      <c r="L8334" s="23"/>
    </row>
    <row r="8335">
      <c r="B8335" s="19"/>
      <c r="E8335" s="23"/>
      <c r="L8335" s="23"/>
    </row>
    <row r="8336">
      <c r="B8336" s="19"/>
      <c r="E8336" s="23"/>
      <c r="L8336" s="23"/>
    </row>
    <row r="8337">
      <c r="B8337" s="19"/>
      <c r="E8337" s="23"/>
      <c r="L8337" s="23"/>
    </row>
    <row r="8338">
      <c r="B8338" s="19"/>
      <c r="E8338" s="23"/>
      <c r="L8338" s="23"/>
    </row>
    <row r="8339">
      <c r="B8339" s="19"/>
      <c r="E8339" s="23"/>
      <c r="L8339" s="23"/>
    </row>
    <row r="8340">
      <c r="B8340" s="19"/>
      <c r="E8340" s="23"/>
      <c r="L8340" s="23"/>
    </row>
    <row r="8341">
      <c r="B8341" s="19"/>
      <c r="E8341" s="23"/>
      <c r="L8341" s="23"/>
    </row>
    <row r="8342">
      <c r="B8342" s="19"/>
      <c r="E8342" s="23"/>
      <c r="L8342" s="23"/>
    </row>
    <row r="8343">
      <c r="B8343" s="19"/>
      <c r="E8343" s="23"/>
      <c r="L8343" s="23"/>
    </row>
    <row r="8344">
      <c r="B8344" s="19"/>
      <c r="E8344" s="23"/>
      <c r="L8344" s="23"/>
    </row>
    <row r="8345">
      <c r="B8345" s="19"/>
      <c r="E8345" s="23"/>
      <c r="L8345" s="23"/>
    </row>
    <row r="8346">
      <c r="B8346" s="19"/>
      <c r="E8346" s="23"/>
      <c r="L8346" s="23"/>
    </row>
    <row r="8347">
      <c r="B8347" s="19"/>
      <c r="E8347" s="23"/>
      <c r="L8347" s="23"/>
    </row>
    <row r="8348">
      <c r="B8348" s="19"/>
      <c r="E8348" s="23"/>
      <c r="L8348" s="23"/>
    </row>
    <row r="8349">
      <c r="B8349" s="19"/>
      <c r="E8349" s="23"/>
      <c r="L8349" s="23"/>
    </row>
    <row r="8350">
      <c r="B8350" s="19"/>
      <c r="E8350" s="23"/>
      <c r="L8350" s="23"/>
    </row>
    <row r="8351">
      <c r="B8351" s="19"/>
      <c r="E8351" s="23"/>
      <c r="L8351" s="23"/>
    </row>
    <row r="8352">
      <c r="B8352" s="19"/>
      <c r="E8352" s="23"/>
      <c r="L8352" s="23"/>
    </row>
    <row r="8353">
      <c r="B8353" s="19"/>
      <c r="E8353" s="23"/>
      <c r="L8353" s="23"/>
    </row>
    <row r="8354">
      <c r="B8354" s="19"/>
      <c r="E8354" s="23"/>
      <c r="L8354" s="23"/>
    </row>
    <row r="8355">
      <c r="B8355" s="19"/>
      <c r="E8355" s="23"/>
      <c r="L8355" s="23"/>
    </row>
    <row r="8356">
      <c r="B8356" s="19"/>
      <c r="E8356" s="23"/>
      <c r="L8356" s="23"/>
    </row>
    <row r="8357">
      <c r="B8357" s="19"/>
      <c r="E8357" s="23"/>
      <c r="L8357" s="23"/>
    </row>
    <row r="8358">
      <c r="B8358" s="19"/>
      <c r="E8358" s="23"/>
      <c r="L8358" s="23"/>
    </row>
    <row r="8359">
      <c r="B8359" s="19"/>
      <c r="E8359" s="23"/>
      <c r="L8359" s="23"/>
    </row>
    <row r="8360">
      <c r="B8360" s="19"/>
      <c r="E8360" s="23"/>
      <c r="L8360" s="23"/>
    </row>
    <row r="8361">
      <c r="B8361" s="19"/>
      <c r="E8361" s="23"/>
      <c r="L8361" s="23"/>
    </row>
    <row r="8362">
      <c r="B8362" s="19"/>
      <c r="E8362" s="23"/>
      <c r="L8362" s="23"/>
    </row>
    <row r="8363">
      <c r="B8363" s="19"/>
      <c r="E8363" s="23"/>
      <c r="L8363" s="23"/>
    </row>
    <row r="8364">
      <c r="B8364" s="19"/>
      <c r="E8364" s="23"/>
      <c r="L8364" s="23"/>
    </row>
    <row r="8365">
      <c r="B8365" s="19"/>
      <c r="E8365" s="23"/>
      <c r="L8365" s="23"/>
    </row>
    <row r="8366">
      <c r="B8366" s="19"/>
      <c r="E8366" s="23"/>
      <c r="L8366" s="23"/>
    </row>
    <row r="8367">
      <c r="B8367" s="19"/>
      <c r="E8367" s="23"/>
      <c r="L8367" s="23"/>
    </row>
    <row r="8368">
      <c r="B8368" s="19"/>
      <c r="E8368" s="23"/>
      <c r="L8368" s="23"/>
    </row>
    <row r="8369">
      <c r="B8369" s="19"/>
      <c r="E8369" s="23"/>
      <c r="L8369" s="23"/>
    </row>
    <row r="8370">
      <c r="B8370" s="19"/>
      <c r="E8370" s="23"/>
      <c r="L8370" s="23"/>
    </row>
    <row r="8371">
      <c r="B8371" s="19"/>
      <c r="E8371" s="23"/>
      <c r="L8371" s="23"/>
    </row>
    <row r="8372">
      <c r="B8372" s="19"/>
      <c r="E8372" s="23"/>
      <c r="L8372" s="23"/>
    </row>
    <row r="8373">
      <c r="B8373" s="19"/>
      <c r="E8373" s="23"/>
      <c r="L8373" s="23"/>
    </row>
    <row r="8374">
      <c r="B8374" s="19"/>
      <c r="E8374" s="23"/>
      <c r="L8374" s="23"/>
    </row>
    <row r="8375">
      <c r="B8375" s="19"/>
      <c r="E8375" s="23"/>
      <c r="L8375" s="23"/>
    </row>
    <row r="8376">
      <c r="B8376" s="19"/>
      <c r="E8376" s="23"/>
      <c r="L8376" s="23"/>
    </row>
    <row r="8377">
      <c r="B8377" s="19"/>
      <c r="E8377" s="23"/>
      <c r="L8377" s="23"/>
    </row>
    <row r="8378">
      <c r="B8378" s="19"/>
      <c r="E8378" s="23"/>
      <c r="L8378" s="23"/>
    </row>
    <row r="8379">
      <c r="B8379" s="19"/>
      <c r="E8379" s="23"/>
      <c r="L8379" s="23"/>
    </row>
    <row r="8380">
      <c r="B8380" s="19"/>
      <c r="E8380" s="23"/>
      <c r="L8380" s="23"/>
    </row>
    <row r="8381">
      <c r="B8381" s="19"/>
      <c r="E8381" s="23"/>
      <c r="L8381" s="23"/>
    </row>
    <row r="8382">
      <c r="B8382" s="19"/>
      <c r="E8382" s="23"/>
      <c r="L8382" s="23"/>
    </row>
    <row r="8383">
      <c r="B8383" s="19"/>
      <c r="E8383" s="23"/>
      <c r="L8383" s="23"/>
    </row>
    <row r="8384">
      <c r="B8384" s="19"/>
      <c r="E8384" s="23"/>
      <c r="L8384" s="23"/>
    </row>
    <row r="8385">
      <c r="B8385" s="19"/>
      <c r="E8385" s="23"/>
      <c r="L8385" s="23"/>
    </row>
    <row r="8386">
      <c r="B8386" s="19"/>
      <c r="E8386" s="23"/>
      <c r="L8386" s="23"/>
    </row>
    <row r="8387">
      <c r="B8387" s="19"/>
      <c r="E8387" s="23"/>
      <c r="L8387" s="23"/>
    </row>
    <row r="8388">
      <c r="B8388" s="19"/>
      <c r="E8388" s="23"/>
      <c r="L8388" s="23"/>
    </row>
    <row r="8389">
      <c r="B8389" s="19"/>
      <c r="E8389" s="23"/>
      <c r="L8389" s="23"/>
    </row>
    <row r="8390">
      <c r="B8390" s="19"/>
      <c r="E8390" s="23"/>
      <c r="L8390" s="23"/>
    </row>
    <row r="8391">
      <c r="B8391" s="19"/>
      <c r="E8391" s="23"/>
      <c r="L8391" s="23"/>
    </row>
    <row r="8392">
      <c r="B8392" s="19"/>
      <c r="E8392" s="23"/>
      <c r="L8392" s="23"/>
    </row>
    <row r="8393">
      <c r="B8393" s="19"/>
      <c r="E8393" s="23"/>
      <c r="L8393" s="23"/>
    </row>
    <row r="8394">
      <c r="B8394" s="19"/>
      <c r="E8394" s="23"/>
      <c r="L8394" s="23"/>
    </row>
    <row r="8395">
      <c r="B8395" s="19"/>
      <c r="E8395" s="23"/>
      <c r="L8395" s="23"/>
    </row>
    <row r="8396">
      <c r="B8396" s="19"/>
      <c r="E8396" s="23"/>
      <c r="L8396" s="23"/>
    </row>
    <row r="8397">
      <c r="B8397" s="19"/>
      <c r="E8397" s="23"/>
      <c r="L8397" s="23"/>
    </row>
    <row r="8398">
      <c r="B8398" s="19"/>
      <c r="E8398" s="23"/>
      <c r="L8398" s="23"/>
    </row>
    <row r="8399">
      <c r="B8399" s="19"/>
      <c r="E8399" s="23"/>
      <c r="L8399" s="23"/>
    </row>
    <row r="8400">
      <c r="B8400" s="19"/>
      <c r="E8400" s="23"/>
      <c r="L8400" s="23"/>
    </row>
    <row r="8401">
      <c r="B8401" s="19"/>
      <c r="E8401" s="23"/>
      <c r="L8401" s="23"/>
    </row>
    <row r="8402">
      <c r="B8402" s="19"/>
      <c r="E8402" s="23"/>
      <c r="L8402" s="23"/>
    </row>
    <row r="8403">
      <c r="B8403" s="19"/>
      <c r="E8403" s="23"/>
      <c r="L8403" s="23"/>
    </row>
    <row r="8404">
      <c r="B8404" s="19"/>
      <c r="E8404" s="23"/>
      <c r="L8404" s="23"/>
    </row>
    <row r="8405">
      <c r="B8405" s="19"/>
      <c r="E8405" s="23"/>
      <c r="L8405" s="23"/>
    </row>
    <row r="8406">
      <c r="B8406" s="19"/>
      <c r="E8406" s="23"/>
      <c r="L8406" s="23"/>
    </row>
    <row r="8407">
      <c r="B8407" s="19"/>
      <c r="E8407" s="23"/>
      <c r="L8407" s="23"/>
    </row>
    <row r="8408">
      <c r="B8408" s="19"/>
      <c r="E8408" s="23"/>
      <c r="L8408" s="23"/>
    </row>
    <row r="8409">
      <c r="B8409" s="19"/>
      <c r="E8409" s="23"/>
      <c r="L8409" s="23"/>
    </row>
    <row r="8410">
      <c r="B8410" s="19"/>
      <c r="E8410" s="23"/>
      <c r="L8410" s="23"/>
    </row>
    <row r="8411">
      <c r="B8411" s="19"/>
      <c r="E8411" s="23"/>
      <c r="L8411" s="23"/>
    </row>
    <row r="8412">
      <c r="B8412" s="19"/>
      <c r="E8412" s="23"/>
      <c r="L8412" s="23"/>
    </row>
    <row r="8413">
      <c r="B8413" s="19"/>
      <c r="E8413" s="23"/>
      <c r="L8413" s="23"/>
    </row>
    <row r="8414">
      <c r="B8414" s="19"/>
      <c r="E8414" s="23"/>
      <c r="L8414" s="23"/>
    </row>
    <row r="8415">
      <c r="B8415" s="19"/>
      <c r="E8415" s="23"/>
      <c r="L8415" s="23"/>
    </row>
    <row r="8416">
      <c r="B8416" s="19"/>
      <c r="E8416" s="23"/>
      <c r="L8416" s="23"/>
    </row>
    <row r="8417">
      <c r="B8417" s="19"/>
      <c r="E8417" s="23"/>
      <c r="L8417" s="23"/>
    </row>
    <row r="8418">
      <c r="B8418" s="19"/>
      <c r="E8418" s="23"/>
      <c r="L8418" s="23"/>
    </row>
    <row r="8419">
      <c r="B8419" s="19"/>
      <c r="E8419" s="23"/>
      <c r="L8419" s="23"/>
    </row>
    <row r="8420">
      <c r="B8420" s="19"/>
      <c r="E8420" s="23"/>
      <c r="L8420" s="23"/>
    </row>
    <row r="8421">
      <c r="B8421" s="19"/>
      <c r="E8421" s="23"/>
      <c r="L8421" s="23"/>
    </row>
    <row r="8422">
      <c r="B8422" s="19"/>
      <c r="E8422" s="23"/>
      <c r="L8422" s="23"/>
    </row>
    <row r="8423">
      <c r="B8423" s="19"/>
      <c r="E8423" s="23"/>
      <c r="L8423" s="23"/>
    </row>
    <row r="8424">
      <c r="B8424" s="19"/>
      <c r="E8424" s="23"/>
      <c r="L8424" s="23"/>
    </row>
    <row r="8425">
      <c r="B8425" s="19"/>
      <c r="E8425" s="23"/>
      <c r="L8425" s="23"/>
    </row>
    <row r="8426">
      <c r="B8426" s="19"/>
      <c r="E8426" s="23"/>
      <c r="L8426" s="23"/>
    </row>
    <row r="8427">
      <c r="B8427" s="19"/>
      <c r="E8427" s="23"/>
      <c r="L8427" s="23"/>
    </row>
    <row r="8428">
      <c r="B8428" s="19"/>
      <c r="E8428" s="23"/>
      <c r="L8428" s="23"/>
    </row>
    <row r="8429">
      <c r="B8429" s="19"/>
      <c r="E8429" s="23"/>
      <c r="L8429" s="23"/>
    </row>
    <row r="8430">
      <c r="B8430" s="19"/>
      <c r="E8430" s="23"/>
      <c r="L8430" s="23"/>
    </row>
    <row r="8431">
      <c r="B8431" s="19"/>
      <c r="E8431" s="23"/>
      <c r="L8431" s="23"/>
    </row>
    <row r="8432">
      <c r="B8432" s="19"/>
      <c r="E8432" s="23"/>
      <c r="L8432" s="23"/>
    </row>
    <row r="8433">
      <c r="B8433" s="19"/>
      <c r="E8433" s="23"/>
      <c r="L8433" s="23"/>
    </row>
    <row r="8434">
      <c r="B8434" s="19"/>
      <c r="E8434" s="23"/>
      <c r="L8434" s="23"/>
    </row>
    <row r="8435">
      <c r="B8435" s="19"/>
      <c r="E8435" s="23"/>
      <c r="L8435" s="23"/>
    </row>
    <row r="8436">
      <c r="B8436" s="19"/>
      <c r="E8436" s="23"/>
      <c r="L8436" s="23"/>
    </row>
    <row r="8437">
      <c r="B8437" s="19"/>
      <c r="E8437" s="23"/>
      <c r="L8437" s="23"/>
    </row>
    <row r="8438">
      <c r="B8438" s="19"/>
      <c r="E8438" s="23"/>
      <c r="L8438" s="23"/>
    </row>
    <row r="8439">
      <c r="B8439" s="19"/>
      <c r="E8439" s="23"/>
      <c r="L8439" s="23"/>
    </row>
    <row r="8440">
      <c r="B8440" s="19"/>
      <c r="E8440" s="23"/>
      <c r="L8440" s="23"/>
    </row>
    <row r="8441">
      <c r="B8441" s="19"/>
      <c r="E8441" s="23"/>
      <c r="L8441" s="23"/>
    </row>
    <row r="8442">
      <c r="B8442" s="19"/>
      <c r="E8442" s="23"/>
      <c r="L8442" s="23"/>
    </row>
    <row r="8443">
      <c r="B8443" s="19"/>
      <c r="E8443" s="23"/>
      <c r="L8443" s="23"/>
    </row>
    <row r="8444">
      <c r="B8444" s="19"/>
      <c r="E8444" s="23"/>
      <c r="L8444" s="23"/>
    </row>
    <row r="8445">
      <c r="B8445" s="19"/>
      <c r="E8445" s="23"/>
      <c r="L8445" s="23"/>
    </row>
    <row r="8446">
      <c r="B8446" s="19"/>
      <c r="E8446" s="23"/>
      <c r="L8446" s="23"/>
    </row>
    <row r="8447">
      <c r="B8447" s="19"/>
      <c r="E8447" s="23"/>
      <c r="L8447" s="23"/>
    </row>
    <row r="8448">
      <c r="B8448" s="19"/>
      <c r="E8448" s="23"/>
      <c r="L8448" s="23"/>
    </row>
    <row r="8449">
      <c r="B8449" s="19"/>
      <c r="E8449" s="23"/>
      <c r="L8449" s="23"/>
    </row>
    <row r="8450">
      <c r="B8450" s="19"/>
      <c r="E8450" s="23"/>
      <c r="L8450" s="23"/>
    </row>
    <row r="8451">
      <c r="B8451" s="19"/>
      <c r="E8451" s="23"/>
      <c r="L8451" s="23"/>
    </row>
    <row r="8452">
      <c r="B8452" s="19"/>
      <c r="E8452" s="23"/>
      <c r="L8452" s="23"/>
    </row>
    <row r="8453">
      <c r="B8453" s="19"/>
      <c r="E8453" s="23"/>
      <c r="L8453" s="23"/>
    </row>
    <row r="8454">
      <c r="B8454" s="19"/>
      <c r="E8454" s="23"/>
      <c r="L8454" s="23"/>
    </row>
    <row r="8455">
      <c r="B8455" s="19"/>
      <c r="E8455" s="23"/>
      <c r="L8455" s="23"/>
    </row>
    <row r="8456">
      <c r="B8456" s="19"/>
      <c r="E8456" s="23"/>
      <c r="L8456" s="23"/>
    </row>
    <row r="8457">
      <c r="B8457" s="19"/>
      <c r="E8457" s="23"/>
      <c r="L8457" s="23"/>
    </row>
    <row r="8458">
      <c r="B8458" s="19"/>
      <c r="E8458" s="23"/>
      <c r="L8458" s="23"/>
    </row>
    <row r="8459">
      <c r="B8459" s="19"/>
      <c r="E8459" s="23"/>
      <c r="L8459" s="23"/>
    </row>
    <row r="8460">
      <c r="B8460" s="19"/>
      <c r="E8460" s="23"/>
      <c r="L8460" s="23"/>
    </row>
    <row r="8461">
      <c r="B8461" s="19"/>
      <c r="E8461" s="23"/>
      <c r="L8461" s="23"/>
    </row>
    <row r="8462">
      <c r="B8462" s="19"/>
      <c r="E8462" s="23"/>
      <c r="L8462" s="23"/>
    </row>
    <row r="8463">
      <c r="B8463" s="19"/>
      <c r="E8463" s="23"/>
      <c r="L8463" s="23"/>
    </row>
    <row r="8464">
      <c r="B8464" s="19"/>
      <c r="E8464" s="23"/>
      <c r="L8464" s="23"/>
    </row>
    <row r="8465">
      <c r="B8465" s="19"/>
      <c r="E8465" s="23"/>
      <c r="L8465" s="23"/>
    </row>
    <row r="8466">
      <c r="B8466" s="19"/>
      <c r="E8466" s="23"/>
      <c r="L8466" s="23"/>
    </row>
    <row r="8467">
      <c r="B8467" s="19"/>
      <c r="E8467" s="23"/>
      <c r="L8467" s="23"/>
    </row>
    <row r="8468">
      <c r="B8468" s="19"/>
      <c r="E8468" s="23"/>
      <c r="L8468" s="23"/>
    </row>
    <row r="8469">
      <c r="B8469" s="19"/>
      <c r="E8469" s="23"/>
      <c r="L8469" s="23"/>
    </row>
    <row r="8470">
      <c r="B8470" s="19"/>
      <c r="E8470" s="23"/>
      <c r="L8470" s="23"/>
    </row>
    <row r="8471">
      <c r="B8471" s="19"/>
      <c r="E8471" s="23"/>
      <c r="L8471" s="23"/>
    </row>
    <row r="8472">
      <c r="B8472" s="19"/>
      <c r="E8472" s="23"/>
      <c r="L8472" s="23"/>
    </row>
    <row r="8473">
      <c r="B8473" s="19"/>
      <c r="E8473" s="23"/>
      <c r="L8473" s="23"/>
    </row>
    <row r="8474">
      <c r="B8474" s="19"/>
      <c r="E8474" s="23"/>
      <c r="L8474" s="23"/>
    </row>
    <row r="8475">
      <c r="B8475" s="19"/>
      <c r="E8475" s="23"/>
      <c r="L8475" s="23"/>
    </row>
    <row r="8476">
      <c r="B8476" s="19"/>
      <c r="E8476" s="23"/>
      <c r="L8476" s="23"/>
    </row>
    <row r="8477">
      <c r="B8477" s="19"/>
      <c r="E8477" s="23"/>
      <c r="L8477" s="23"/>
    </row>
    <row r="8478">
      <c r="B8478" s="19"/>
      <c r="E8478" s="23"/>
      <c r="L8478" s="23"/>
    </row>
    <row r="8479">
      <c r="B8479" s="19"/>
      <c r="E8479" s="23"/>
      <c r="L8479" s="23"/>
    </row>
    <row r="8480">
      <c r="B8480" s="19"/>
      <c r="E8480" s="23"/>
      <c r="L8480" s="23"/>
    </row>
    <row r="8481">
      <c r="B8481" s="19"/>
      <c r="E8481" s="23"/>
      <c r="L8481" s="23"/>
    </row>
    <row r="8482">
      <c r="B8482" s="19"/>
      <c r="E8482" s="23"/>
      <c r="L8482" s="23"/>
    </row>
    <row r="8483">
      <c r="B8483" s="19"/>
      <c r="E8483" s="23"/>
      <c r="L8483" s="23"/>
    </row>
    <row r="8484">
      <c r="B8484" s="19"/>
      <c r="E8484" s="23"/>
      <c r="L8484" s="23"/>
    </row>
    <row r="8485">
      <c r="B8485" s="19"/>
      <c r="E8485" s="23"/>
      <c r="L8485" s="23"/>
    </row>
    <row r="8486">
      <c r="B8486" s="19"/>
      <c r="E8486" s="23"/>
      <c r="L8486" s="23"/>
    </row>
    <row r="8487">
      <c r="B8487" s="19"/>
      <c r="E8487" s="23"/>
      <c r="L8487" s="23"/>
    </row>
    <row r="8488">
      <c r="B8488" s="19"/>
      <c r="E8488" s="23"/>
      <c r="L8488" s="23"/>
    </row>
    <row r="8489">
      <c r="B8489" s="19"/>
      <c r="E8489" s="23"/>
      <c r="L8489" s="23"/>
    </row>
    <row r="8490">
      <c r="B8490" s="19"/>
      <c r="E8490" s="23"/>
      <c r="L8490" s="23"/>
    </row>
    <row r="8491">
      <c r="B8491" s="19"/>
      <c r="E8491" s="23"/>
      <c r="L8491" s="23"/>
    </row>
    <row r="8492">
      <c r="B8492" s="19"/>
      <c r="E8492" s="23"/>
      <c r="L8492" s="23"/>
    </row>
    <row r="8493">
      <c r="B8493" s="19"/>
      <c r="E8493" s="23"/>
      <c r="L8493" s="23"/>
    </row>
    <row r="8494">
      <c r="B8494" s="19"/>
      <c r="E8494" s="23"/>
      <c r="L8494" s="23"/>
    </row>
    <row r="8495">
      <c r="B8495" s="19"/>
      <c r="E8495" s="23"/>
      <c r="L8495" s="23"/>
    </row>
    <row r="8496">
      <c r="B8496" s="19"/>
      <c r="E8496" s="23"/>
      <c r="L8496" s="23"/>
    </row>
    <row r="8497">
      <c r="B8497" s="19"/>
      <c r="E8497" s="23"/>
      <c r="L8497" s="23"/>
    </row>
    <row r="8498">
      <c r="B8498" s="19"/>
      <c r="E8498" s="23"/>
      <c r="L8498" s="23"/>
    </row>
    <row r="8499">
      <c r="B8499" s="19"/>
      <c r="E8499" s="23"/>
      <c r="L8499" s="23"/>
    </row>
    <row r="8500">
      <c r="B8500" s="19"/>
      <c r="E8500" s="23"/>
      <c r="L8500" s="23"/>
    </row>
    <row r="8501">
      <c r="B8501" s="19"/>
      <c r="E8501" s="23"/>
      <c r="L8501" s="23"/>
    </row>
    <row r="8502">
      <c r="B8502" s="19"/>
      <c r="E8502" s="23"/>
      <c r="L8502" s="23"/>
    </row>
    <row r="8503">
      <c r="B8503" s="19"/>
      <c r="E8503" s="23"/>
      <c r="L8503" s="23"/>
    </row>
    <row r="8504">
      <c r="B8504" s="19"/>
      <c r="E8504" s="23"/>
      <c r="L8504" s="23"/>
    </row>
    <row r="8505">
      <c r="B8505" s="19"/>
      <c r="E8505" s="23"/>
      <c r="L8505" s="23"/>
    </row>
    <row r="8506">
      <c r="B8506" s="19"/>
      <c r="E8506" s="23"/>
      <c r="L8506" s="23"/>
    </row>
    <row r="8507">
      <c r="B8507" s="19"/>
      <c r="E8507" s="23"/>
      <c r="L8507" s="23"/>
    </row>
    <row r="8508">
      <c r="B8508" s="19"/>
      <c r="E8508" s="23"/>
      <c r="L8508" s="23"/>
    </row>
    <row r="8509">
      <c r="B8509" s="19"/>
      <c r="E8509" s="23"/>
      <c r="L8509" s="23"/>
    </row>
    <row r="8510">
      <c r="B8510" s="19"/>
      <c r="E8510" s="23"/>
      <c r="L8510" s="23"/>
    </row>
    <row r="8511">
      <c r="B8511" s="19"/>
      <c r="E8511" s="23"/>
      <c r="L8511" s="23"/>
    </row>
    <row r="8512">
      <c r="B8512" s="19"/>
      <c r="E8512" s="23"/>
      <c r="L8512" s="23"/>
    </row>
    <row r="8513">
      <c r="B8513" s="19"/>
      <c r="E8513" s="23"/>
      <c r="L8513" s="23"/>
    </row>
    <row r="8514">
      <c r="B8514" s="19"/>
      <c r="E8514" s="23"/>
      <c r="L8514" s="23"/>
    </row>
    <row r="8515">
      <c r="B8515" s="19"/>
      <c r="E8515" s="23"/>
      <c r="L8515" s="23"/>
    </row>
    <row r="8516">
      <c r="B8516" s="19"/>
      <c r="E8516" s="23"/>
      <c r="L8516" s="23"/>
    </row>
    <row r="8517">
      <c r="B8517" s="19"/>
      <c r="E8517" s="23"/>
      <c r="L8517" s="23"/>
    </row>
    <row r="8518">
      <c r="B8518" s="19"/>
      <c r="E8518" s="23"/>
      <c r="L8518" s="23"/>
    </row>
    <row r="8519">
      <c r="B8519" s="19"/>
      <c r="E8519" s="23"/>
      <c r="L8519" s="23"/>
    </row>
    <row r="8520">
      <c r="B8520" s="19"/>
      <c r="E8520" s="23"/>
      <c r="L8520" s="23"/>
    </row>
    <row r="8521">
      <c r="B8521" s="19"/>
      <c r="E8521" s="23"/>
      <c r="L8521" s="23"/>
    </row>
    <row r="8522">
      <c r="B8522" s="19"/>
      <c r="E8522" s="23"/>
      <c r="L8522" s="23"/>
    </row>
    <row r="8523">
      <c r="B8523" s="19"/>
      <c r="E8523" s="23"/>
      <c r="L8523" s="23"/>
    </row>
    <row r="8524">
      <c r="B8524" s="19"/>
      <c r="E8524" s="23"/>
      <c r="L8524" s="23"/>
    </row>
    <row r="8525">
      <c r="B8525" s="19"/>
      <c r="E8525" s="23"/>
      <c r="L8525" s="23"/>
    </row>
    <row r="8526">
      <c r="B8526" s="19"/>
      <c r="E8526" s="23"/>
      <c r="L8526" s="23"/>
    </row>
    <row r="8527">
      <c r="B8527" s="19"/>
      <c r="E8527" s="23"/>
      <c r="L8527" s="23"/>
    </row>
    <row r="8528">
      <c r="B8528" s="19"/>
      <c r="E8528" s="23"/>
      <c r="L8528" s="23"/>
    </row>
    <row r="8529">
      <c r="B8529" s="19"/>
      <c r="E8529" s="23"/>
      <c r="L8529" s="23"/>
    </row>
    <row r="8530">
      <c r="B8530" s="19"/>
      <c r="E8530" s="23"/>
      <c r="L8530" s="23"/>
    </row>
    <row r="8531">
      <c r="B8531" s="19"/>
      <c r="E8531" s="23"/>
      <c r="L8531" s="23"/>
    </row>
    <row r="8532">
      <c r="B8532" s="19"/>
      <c r="E8532" s="23"/>
      <c r="L8532" s="23"/>
    </row>
    <row r="8533">
      <c r="B8533" s="19"/>
      <c r="E8533" s="23"/>
      <c r="L8533" s="23"/>
    </row>
    <row r="8534">
      <c r="B8534" s="19"/>
      <c r="E8534" s="23"/>
      <c r="L8534" s="23"/>
    </row>
    <row r="8535">
      <c r="B8535" s="19"/>
      <c r="E8535" s="23"/>
      <c r="L8535" s="23"/>
    </row>
    <row r="8536">
      <c r="B8536" s="19"/>
      <c r="E8536" s="23"/>
      <c r="L8536" s="23"/>
    </row>
    <row r="8537">
      <c r="B8537" s="19"/>
      <c r="E8537" s="23"/>
      <c r="L8537" s="23"/>
    </row>
    <row r="8538">
      <c r="B8538" s="19"/>
      <c r="E8538" s="23"/>
      <c r="L8538" s="23"/>
    </row>
    <row r="8539">
      <c r="B8539" s="19"/>
      <c r="E8539" s="23"/>
      <c r="L8539" s="23"/>
    </row>
    <row r="8540">
      <c r="B8540" s="19"/>
      <c r="E8540" s="23"/>
      <c r="L8540" s="23"/>
    </row>
    <row r="8541">
      <c r="B8541" s="19"/>
      <c r="E8541" s="23"/>
      <c r="L8541" s="23"/>
    </row>
    <row r="8542">
      <c r="B8542" s="19"/>
      <c r="E8542" s="23"/>
      <c r="L8542" s="23"/>
    </row>
    <row r="8543">
      <c r="B8543" s="19"/>
      <c r="E8543" s="23"/>
      <c r="L8543" s="23"/>
    </row>
    <row r="8544">
      <c r="B8544" s="19"/>
      <c r="E8544" s="23"/>
      <c r="L8544" s="23"/>
    </row>
    <row r="8545">
      <c r="B8545" s="19"/>
      <c r="E8545" s="23"/>
      <c r="L8545" s="23"/>
    </row>
    <row r="8546">
      <c r="B8546" s="19"/>
      <c r="E8546" s="23"/>
      <c r="L8546" s="23"/>
    </row>
    <row r="8547">
      <c r="B8547" s="19"/>
      <c r="E8547" s="23"/>
      <c r="L8547" s="23"/>
    </row>
    <row r="8548">
      <c r="B8548" s="19"/>
      <c r="E8548" s="23"/>
      <c r="L8548" s="23"/>
    </row>
    <row r="8549">
      <c r="B8549" s="19"/>
      <c r="E8549" s="23"/>
      <c r="L8549" s="23"/>
    </row>
    <row r="8550">
      <c r="B8550" s="19"/>
      <c r="E8550" s="23"/>
      <c r="L8550" s="23"/>
    </row>
    <row r="8551">
      <c r="B8551" s="19"/>
      <c r="E8551" s="23"/>
      <c r="L8551" s="23"/>
    </row>
    <row r="8552">
      <c r="B8552" s="19"/>
      <c r="E8552" s="23"/>
      <c r="L8552" s="23"/>
    </row>
    <row r="8553">
      <c r="B8553" s="19"/>
      <c r="E8553" s="23"/>
      <c r="L8553" s="23"/>
    </row>
    <row r="8554">
      <c r="B8554" s="19"/>
      <c r="E8554" s="23"/>
      <c r="L8554" s="23"/>
    </row>
    <row r="8555">
      <c r="B8555" s="19"/>
      <c r="E8555" s="23"/>
      <c r="L8555" s="23"/>
    </row>
    <row r="8556">
      <c r="B8556" s="19"/>
      <c r="E8556" s="23"/>
      <c r="L8556" s="23"/>
    </row>
    <row r="8557">
      <c r="B8557" s="19"/>
      <c r="E8557" s="23"/>
      <c r="L8557" s="23"/>
    </row>
    <row r="8558">
      <c r="B8558" s="19"/>
      <c r="E8558" s="23"/>
      <c r="L8558" s="23"/>
    </row>
    <row r="8559">
      <c r="B8559" s="19"/>
      <c r="E8559" s="23"/>
      <c r="L8559" s="23"/>
    </row>
    <row r="8560">
      <c r="B8560" s="19"/>
      <c r="E8560" s="23"/>
      <c r="L8560" s="23"/>
    </row>
    <row r="8561">
      <c r="B8561" s="19"/>
      <c r="E8561" s="23"/>
      <c r="L8561" s="23"/>
    </row>
    <row r="8562">
      <c r="B8562" s="19"/>
      <c r="E8562" s="23"/>
      <c r="L8562" s="23"/>
    </row>
    <row r="8563">
      <c r="B8563" s="19"/>
      <c r="E8563" s="23"/>
      <c r="L8563" s="23"/>
    </row>
    <row r="8564">
      <c r="B8564" s="19"/>
      <c r="E8564" s="23"/>
      <c r="L8564" s="23"/>
    </row>
    <row r="8565">
      <c r="B8565" s="19"/>
      <c r="E8565" s="23"/>
      <c r="L8565" s="23"/>
    </row>
    <row r="8566">
      <c r="B8566" s="19"/>
      <c r="E8566" s="23"/>
      <c r="L8566" s="23"/>
    </row>
    <row r="8567">
      <c r="B8567" s="19"/>
      <c r="E8567" s="23"/>
      <c r="L8567" s="23"/>
    </row>
    <row r="8568">
      <c r="B8568" s="19"/>
      <c r="E8568" s="23"/>
      <c r="L8568" s="23"/>
    </row>
    <row r="8569">
      <c r="B8569" s="19"/>
      <c r="E8569" s="23"/>
      <c r="L8569" s="23"/>
    </row>
    <row r="8570">
      <c r="B8570" s="19"/>
      <c r="E8570" s="23"/>
      <c r="L8570" s="23"/>
    </row>
    <row r="8571">
      <c r="B8571" s="19"/>
      <c r="E8571" s="23"/>
      <c r="L8571" s="23"/>
    </row>
    <row r="8572">
      <c r="B8572" s="19"/>
      <c r="E8572" s="23"/>
      <c r="L8572" s="23"/>
    </row>
    <row r="8573">
      <c r="B8573" s="19"/>
      <c r="E8573" s="23"/>
      <c r="L8573" s="23"/>
    </row>
    <row r="8574">
      <c r="B8574" s="19"/>
      <c r="E8574" s="23"/>
      <c r="L8574" s="23"/>
    </row>
    <row r="8575">
      <c r="B8575" s="19"/>
      <c r="E8575" s="23"/>
      <c r="L8575" s="23"/>
    </row>
    <row r="8576">
      <c r="B8576" s="19"/>
      <c r="E8576" s="23"/>
      <c r="L8576" s="23"/>
    </row>
    <row r="8577">
      <c r="B8577" s="19"/>
      <c r="E8577" s="23"/>
      <c r="L8577" s="23"/>
    </row>
    <row r="8578">
      <c r="B8578" s="19"/>
      <c r="E8578" s="23"/>
      <c r="L8578" s="23"/>
    </row>
    <row r="8579">
      <c r="B8579" s="19"/>
      <c r="E8579" s="23"/>
      <c r="L8579" s="23"/>
    </row>
    <row r="8580">
      <c r="B8580" s="19"/>
      <c r="E8580" s="23"/>
      <c r="L8580" s="23"/>
    </row>
    <row r="8581">
      <c r="B8581" s="19"/>
      <c r="E8581" s="23"/>
      <c r="L8581" s="23"/>
    </row>
    <row r="8582">
      <c r="B8582" s="19"/>
      <c r="E8582" s="23"/>
      <c r="L8582" s="23"/>
    </row>
    <row r="8583">
      <c r="B8583" s="19"/>
      <c r="E8583" s="23"/>
      <c r="L8583" s="23"/>
    </row>
    <row r="8584">
      <c r="B8584" s="19"/>
      <c r="E8584" s="23"/>
      <c r="L8584" s="23"/>
    </row>
    <row r="8585">
      <c r="B8585" s="19"/>
      <c r="E8585" s="23"/>
      <c r="L8585" s="23"/>
    </row>
    <row r="8586">
      <c r="B8586" s="19"/>
      <c r="E8586" s="23"/>
      <c r="L8586" s="23"/>
    </row>
    <row r="8587">
      <c r="B8587" s="19"/>
      <c r="E8587" s="23"/>
      <c r="L8587" s="23"/>
    </row>
    <row r="8588">
      <c r="B8588" s="19"/>
      <c r="E8588" s="23"/>
      <c r="L8588" s="23"/>
    </row>
    <row r="8589">
      <c r="B8589" s="19"/>
      <c r="E8589" s="23"/>
      <c r="L8589" s="23"/>
    </row>
    <row r="8590">
      <c r="B8590" s="19"/>
      <c r="E8590" s="23"/>
      <c r="L8590" s="23"/>
    </row>
    <row r="8591">
      <c r="B8591" s="19"/>
      <c r="E8591" s="23"/>
      <c r="L8591" s="23"/>
    </row>
    <row r="8592">
      <c r="B8592" s="19"/>
      <c r="E8592" s="23"/>
      <c r="L8592" s="23"/>
    </row>
    <row r="8593">
      <c r="B8593" s="19"/>
      <c r="E8593" s="23"/>
      <c r="L8593" s="23"/>
    </row>
    <row r="8594">
      <c r="B8594" s="19"/>
      <c r="E8594" s="23"/>
      <c r="L8594" s="23"/>
    </row>
    <row r="8595">
      <c r="B8595" s="19"/>
      <c r="E8595" s="23"/>
      <c r="L8595" s="23"/>
    </row>
    <row r="8596">
      <c r="B8596" s="19"/>
      <c r="E8596" s="23"/>
      <c r="L8596" s="23"/>
    </row>
    <row r="8597">
      <c r="B8597" s="19"/>
      <c r="E8597" s="23"/>
      <c r="L8597" s="23"/>
    </row>
    <row r="8598">
      <c r="B8598" s="19"/>
      <c r="E8598" s="23"/>
      <c r="L8598" s="23"/>
    </row>
    <row r="8599">
      <c r="B8599" s="19"/>
      <c r="E8599" s="23"/>
      <c r="L8599" s="23"/>
    </row>
    <row r="8600">
      <c r="B8600" s="19"/>
      <c r="E8600" s="23"/>
      <c r="L8600" s="23"/>
    </row>
    <row r="8601">
      <c r="B8601" s="19"/>
      <c r="E8601" s="23"/>
      <c r="L8601" s="23"/>
    </row>
    <row r="8602">
      <c r="B8602" s="19"/>
      <c r="E8602" s="23"/>
      <c r="L8602" s="23"/>
    </row>
    <row r="8603">
      <c r="B8603" s="19"/>
      <c r="E8603" s="23"/>
      <c r="L8603" s="23"/>
    </row>
    <row r="8604">
      <c r="B8604" s="19"/>
      <c r="E8604" s="23"/>
      <c r="L8604" s="23"/>
    </row>
    <row r="8605">
      <c r="B8605" s="19"/>
      <c r="E8605" s="23"/>
      <c r="L8605" s="23"/>
    </row>
    <row r="8606">
      <c r="B8606" s="19"/>
      <c r="E8606" s="23"/>
      <c r="L8606" s="23"/>
    </row>
    <row r="8607">
      <c r="B8607" s="19"/>
      <c r="E8607" s="23"/>
      <c r="L8607" s="23"/>
    </row>
    <row r="8608">
      <c r="B8608" s="19"/>
      <c r="E8608" s="23"/>
      <c r="L8608" s="23"/>
    </row>
    <row r="8609">
      <c r="B8609" s="19"/>
      <c r="E8609" s="23"/>
      <c r="L8609" s="23"/>
    </row>
    <row r="8610">
      <c r="B8610" s="19"/>
      <c r="E8610" s="23"/>
      <c r="L8610" s="23"/>
    </row>
    <row r="8611">
      <c r="B8611" s="19"/>
      <c r="E8611" s="23"/>
      <c r="L8611" s="23"/>
    </row>
    <row r="8612">
      <c r="B8612" s="19"/>
      <c r="E8612" s="23"/>
      <c r="L8612" s="23"/>
    </row>
    <row r="8613">
      <c r="B8613" s="19"/>
      <c r="E8613" s="23"/>
      <c r="L8613" s="23"/>
    </row>
    <row r="8614">
      <c r="B8614" s="19"/>
      <c r="E8614" s="23"/>
      <c r="L8614" s="23"/>
    </row>
    <row r="8615">
      <c r="B8615" s="19"/>
      <c r="E8615" s="23"/>
      <c r="L8615" s="23"/>
    </row>
    <row r="8616">
      <c r="B8616" s="19"/>
      <c r="E8616" s="23"/>
      <c r="L8616" s="23"/>
    </row>
    <row r="8617">
      <c r="B8617" s="19"/>
      <c r="E8617" s="23"/>
      <c r="L8617" s="23"/>
    </row>
    <row r="8618">
      <c r="B8618" s="19"/>
      <c r="E8618" s="23"/>
      <c r="L8618" s="23"/>
    </row>
    <row r="8619">
      <c r="B8619" s="19"/>
      <c r="E8619" s="23"/>
      <c r="L8619" s="23"/>
    </row>
    <row r="8620">
      <c r="B8620" s="19"/>
      <c r="E8620" s="23"/>
      <c r="L8620" s="23"/>
    </row>
    <row r="8621">
      <c r="B8621" s="19"/>
      <c r="E8621" s="23"/>
      <c r="L8621" s="23"/>
    </row>
    <row r="8622">
      <c r="B8622" s="19"/>
      <c r="E8622" s="23"/>
      <c r="L8622" s="23"/>
    </row>
    <row r="8623">
      <c r="B8623" s="19"/>
      <c r="E8623" s="23"/>
      <c r="L8623" s="23"/>
    </row>
    <row r="8624">
      <c r="B8624" s="19"/>
      <c r="E8624" s="23"/>
      <c r="L8624" s="23"/>
    </row>
    <row r="8625">
      <c r="B8625" s="19"/>
      <c r="E8625" s="23"/>
      <c r="L8625" s="23"/>
    </row>
    <row r="8626">
      <c r="B8626" s="19"/>
      <c r="E8626" s="23"/>
      <c r="L8626" s="23"/>
    </row>
    <row r="8627">
      <c r="B8627" s="19"/>
      <c r="E8627" s="23"/>
      <c r="L8627" s="23"/>
    </row>
    <row r="8628">
      <c r="B8628" s="19"/>
      <c r="E8628" s="23"/>
      <c r="L8628" s="23"/>
    </row>
    <row r="8629">
      <c r="B8629" s="19"/>
      <c r="E8629" s="23"/>
      <c r="L8629" s="23"/>
    </row>
    <row r="8630">
      <c r="B8630" s="19"/>
      <c r="E8630" s="23"/>
      <c r="L8630" s="23"/>
    </row>
    <row r="8631">
      <c r="B8631" s="19"/>
      <c r="E8631" s="23"/>
      <c r="L8631" s="23"/>
    </row>
    <row r="8632">
      <c r="B8632" s="19"/>
      <c r="E8632" s="23"/>
      <c r="L8632" s="23"/>
    </row>
    <row r="8633">
      <c r="B8633" s="19"/>
      <c r="E8633" s="23"/>
      <c r="L8633" s="23"/>
    </row>
    <row r="8634">
      <c r="B8634" s="19"/>
      <c r="E8634" s="23"/>
      <c r="L8634" s="23"/>
    </row>
    <row r="8635">
      <c r="B8635" s="19"/>
      <c r="E8635" s="23"/>
      <c r="L8635" s="23"/>
    </row>
    <row r="8636">
      <c r="B8636" s="19"/>
      <c r="E8636" s="23"/>
      <c r="L8636" s="23"/>
    </row>
    <row r="8637">
      <c r="B8637" s="19"/>
      <c r="E8637" s="23"/>
      <c r="L8637" s="23"/>
    </row>
    <row r="8638">
      <c r="B8638" s="19"/>
      <c r="E8638" s="23"/>
      <c r="L8638" s="23"/>
    </row>
    <row r="8639">
      <c r="B8639" s="19"/>
      <c r="E8639" s="23"/>
      <c r="L8639" s="23"/>
    </row>
    <row r="8640">
      <c r="B8640" s="19"/>
      <c r="E8640" s="23"/>
      <c r="L8640" s="23"/>
    </row>
    <row r="8641">
      <c r="B8641" s="19"/>
      <c r="E8641" s="23"/>
      <c r="L8641" s="23"/>
    </row>
    <row r="8642">
      <c r="B8642" s="19"/>
      <c r="E8642" s="23"/>
      <c r="L8642" s="23"/>
    </row>
    <row r="8643">
      <c r="B8643" s="19"/>
      <c r="E8643" s="23"/>
      <c r="L8643" s="23"/>
    </row>
    <row r="8644">
      <c r="B8644" s="19"/>
      <c r="E8644" s="23"/>
      <c r="L8644" s="23"/>
    </row>
    <row r="8645">
      <c r="B8645" s="19"/>
      <c r="E8645" s="23"/>
      <c r="L8645" s="23"/>
    </row>
    <row r="8646">
      <c r="B8646" s="19"/>
      <c r="E8646" s="23"/>
      <c r="L8646" s="23"/>
    </row>
    <row r="8647">
      <c r="B8647" s="19"/>
      <c r="E8647" s="23"/>
      <c r="L8647" s="23"/>
    </row>
    <row r="8648">
      <c r="B8648" s="19"/>
      <c r="E8648" s="23"/>
      <c r="L8648" s="23"/>
    </row>
    <row r="8649">
      <c r="B8649" s="19"/>
      <c r="E8649" s="23"/>
      <c r="L8649" s="23"/>
    </row>
    <row r="8650">
      <c r="B8650" s="19"/>
      <c r="E8650" s="23"/>
      <c r="L8650" s="23"/>
    </row>
    <row r="8651">
      <c r="B8651" s="19"/>
      <c r="E8651" s="23"/>
      <c r="L8651" s="23"/>
    </row>
    <row r="8652">
      <c r="B8652" s="19"/>
      <c r="E8652" s="23"/>
      <c r="L8652" s="23"/>
    </row>
    <row r="8653">
      <c r="B8653" s="19"/>
      <c r="E8653" s="23"/>
      <c r="L8653" s="23"/>
    </row>
    <row r="8654">
      <c r="B8654" s="19"/>
      <c r="E8654" s="23"/>
      <c r="L8654" s="23"/>
    </row>
    <row r="8655">
      <c r="B8655" s="19"/>
      <c r="E8655" s="23"/>
      <c r="L8655" s="23"/>
    </row>
    <row r="8656">
      <c r="B8656" s="19"/>
      <c r="E8656" s="23"/>
      <c r="L8656" s="23"/>
    </row>
    <row r="8657">
      <c r="B8657" s="19"/>
      <c r="E8657" s="23"/>
      <c r="L8657" s="23"/>
    </row>
    <row r="8658">
      <c r="B8658" s="19"/>
      <c r="E8658" s="23"/>
      <c r="L8658" s="23"/>
    </row>
    <row r="8659">
      <c r="B8659" s="19"/>
      <c r="E8659" s="23"/>
      <c r="L8659" s="23"/>
    </row>
    <row r="8660">
      <c r="B8660" s="19"/>
      <c r="E8660" s="23"/>
      <c r="L8660" s="23"/>
    </row>
    <row r="8661">
      <c r="B8661" s="19"/>
      <c r="E8661" s="23"/>
      <c r="L8661" s="23"/>
    </row>
    <row r="8662">
      <c r="B8662" s="19"/>
      <c r="E8662" s="23"/>
      <c r="L8662" s="23"/>
    </row>
    <row r="8663">
      <c r="B8663" s="19"/>
      <c r="E8663" s="23"/>
      <c r="L8663" s="23"/>
    </row>
    <row r="8664">
      <c r="B8664" s="19"/>
      <c r="E8664" s="23"/>
      <c r="L8664" s="23"/>
    </row>
    <row r="8665">
      <c r="B8665" s="19"/>
      <c r="E8665" s="23"/>
      <c r="L8665" s="23"/>
    </row>
    <row r="8666">
      <c r="B8666" s="19"/>
      <c r="E8666" s="23"/>
      <c r="L8666" s="23"/>
    </row>
    <row r="8667">
      <c r="B8667" s="19"/>
      <c r="E8667" s="23"/>
      <c r="L8667" s="23"/>
    </row>
    <row r="8668">
      <c r="B8668" s="19"/>
      <c r="E8668" s="23"/>
      <c r="L8668" s="23"/>
    </row>
    <row r="8669">
      <c r="B8669" s="19"/>
      <c r="E8669" s="23"/>
      <c r="L8669" s="23"/>
    </row>
    <row r="8670">
      <c r="B8670" s="19"/>
      <c r="E8670" s="23"/>
      <c r="L8670" s="23"/>
    </row>
    <row r="8671">
      <c r="B8671" s="19"/>
      <c r="E8671" s="23"/>
      <c r="L8671" s="23"/>
    </row>
    <row r="8672">
      <c r="B8672" s="19"/>
      <c r="E8672" s="23"/>
      <c r="L8672" s="23"/>
    </row>
    <row r="8673">
      <c r="B8673" s="19"/>
      <c r="E8673" s="23"/>
      <c r="L8673" s="23"/>
    </row>
    <row r="8674">
      <c r="B8674" s="19"/>
      <c r="E8674" s="23"/>
      <c r="L8674" s="23"/>
    </row>
    <row r="8675">
      <c r="B8675" s="19"/>
      <c r="E8675" s="23"/>
      <c r="L8675" s="23"/>
    </row>
    <row r="8676">
      <c r="B8676" s="19"/>
      <c r="E8676" s="23"/>
      <c r="L8676" s="23"/>
    </row>
    <row r="8677">
      <c r="B8677" s="19"/>
      <c r="E8677" s="23"/>
      <c r="L8677" s="23"/>
    </row>
    <row r="8678">
      <c r="B8678" s="19"/>
      <c r="E8678" s="23"/>
      <c r="L8678" s="23"/>
    </row>
    <row r="8679">
      <c r="B8679" s="19"/>
      <c r="E8679" s="23"/>
      <c r="L8679" s="23"/>
    </row>
    <row r="8680">
      <c r="B8680" s="19"/>
      <c r="E8680" s="23"/>
      <c r="L8680" s="23"/>
    </row>
    <row r="8681">
      <c r="B8681" s="19"/>
      <c r="E8681" s="23"/>
      <c r="L8681" s="23"/>
    </row>
    <row r="8682">
      <c r="B8682" s="19"/>
      <c r="E8682" s="23"/>
      <c r="L8682" s="23"/>
    </row>
    <row r="8683">
      <c r="B8683" s="19"/>
      <c r="E8683" s="23"/>
      <c r="L8683" s="23"/>
    </row>
    <row r="8684">
      <c r="B8684" s="19"/>
      <c r="E8684" s="23"/>
      <c r="L8684" s="23"/>
    </row>
    <row r="8685">
      <c r="B8685" s="19"/>
      <c r="E8685" s="23"/>
      <c r="L8685" s="23"/>
    </row>
    <row r="8686">
      <c r="B8686" s="19"/>
      <c r="E8686" s="23"/>
      <c r="L8686" s="23"/>
    </row>
    <row r="8687">
      <c r="B8687" s="19"/>
      <c r="E8687" s="23"/>
      <c r="L8687" s="23"/>
    </row>
    <row r="8688">
      <c r="B8688" s="19"/>
      <c r="E8688" s="23"/>
      <c r="L8688" s="23"/>
    </row>
    <row r="8689">
      <c r="B8689" s="19"/>
      <c r="E8689" s="23"/>
      <c r="L8689" s="23"/>
    </row>
    <row r="8690">
      <c r="B8690" s="19"/>
      <c r="E8690" s="23"/>
      <c r="L8690" s="23"/>
    </row>
    <row r="8691">
      <c r="B8691" s="19"/>
      <c r="E8691" s="23"/>
      <c r="L8691" s="23"/>
    </row>
    <row r="8692">
      <c r="B8692" s="19"/>
      <c r="E8692" s="23"/>
      <c r="L8692" s="23"/>
    </row>
    <row r="8693">
      <c r="B8693" s="19"/>
      <c r="E8693" s="23"/>
      <c r="L8693" s="23"/>
    </row>
    <row r="8694">
      <c r="B8694" s="19"/>
      <c r="E8694" s="23"/>
      <c r="L8694" s="23"/>
    </row>
    <row r="8695">
      <c r="B8695" s="19"/>
      <c r="E8695" s="23"/>
      <c r="L8695" s="23"/>
    </row>
    <row r="8696">
      <c r="B8696" s="19"/>
      <c r="E8696" s="23"/>
      <c r="L8696" s="23"/>
    </row>
    <row r="8697">
      <c r="B8697" s="19"/>
      <c r="E8697" s="23"/>
      <c r="L8697" s="23"/>
    </row>
    <row r="8698">
      <c r="B8698" s="19"/>
      <c r="E8698" s="23"/>
      <c r="L8698" s="23"/>
    </row>
    <row r="8699">
      <c r="B8699" s="19"/>
      <c r="E8699" s="23"/>
      <c r="L8699" s="23"/>
    </row>
    <row r="8700">
      <c r="B8700" s="19"/>
      <c r="E8700" s="23"/>
      <c r="L8700" s="23"/>
    </row>
    <row r="8701">
      <c r="B8701" s="19"/>
      <c r="E8701" s="23"/>
      <c r="L8701" s="23"/>
    </row>
    <row r="8702">
      <c r="B8702" s="19"/>
      <c r="E8702" s="23"/>
      <c r="L8702" s="23"/>
    </row>
    <row r="8703">
      <c r="B8703" s="19"/>
      <c r="E8703" s="23"/>
      <c r="L8703" s="23"/>
    </row>
    <row r="8704">
      <c r="B8704" s="19"/>
      <c r="E8704" s="23"/>
      <c r="L8704" s="23"/>
    </row>
    <row r="8705">
      <c r="B8705" s="19"/>
      <c r="E8705" s="23"/>
      <c r="L8705" s="23"/>
    </row>
    <row r="8706">
      <c r="B8706" s="19"/>
      <c r="E8706" s="23"/>
      <c r="L8706" s="23"/>
    </row>
    <row r="8707">
      <c r="B8707" s="19"/>
      <c r="E8707" s="23"/>
      <c r="L8707" s="23"/>
    </row>
    <row r="8708">
      <c r="B8708" s="19"/>
      <c r="E8708" s="23"/>
      <c r="L8708" s="23"/>
    </row>
    <row r="8709">
      <c r="B8709" s="19"/>
      <c r="E8709" s="23"/>
      <c r="L8709" s="23"/>
    </row>
    <row r="8710">
      <c r="B8710" s="19"/>
      <c r="E8710" s="23"/>
      <c r="L8710" s="23"/>
    </row>
    <row r="8711">
      <c r="B8711" s="19"/>
      <c r="E8711" s="23"/>
      <c r="L8711" s="23"/>
    </row>
    <row r="8712">
      <c r="B8712" s="19"/>
      <c r="E8712" s="23"/>
      <c r="L8712" s="23"/>
    </row>
    <row r="8713">
      <c r="B8713" s="19"/>
      <c r="E8713" s="23"/>
      <c r="L8713" s="23"/>
    </row>
    <row r="8714">
      <c r="B8714" s="19"/>
      <c r="E8714" s="23"/>
      <c r="L8714" s="23"/>
    </row>
    <row r="8715">
      <c r="B8715" s="19"/>
      <c r="E8715" s="23"/>
      <c r="L8715" s="23"/>
    </row>
    <row r="8716">
      <c r="B8716" s="19"/>
      <c r="E8716" s="23"/>
      <c r="L8716" s="23"/>
    </row>
    <row r="8717">
      <c r="B8717" s="19"/>
      <c r="E8717" s="23"/>
      <c r="L8717" s="23"/>
    </row>
    <row r="8718">
      <c r="B8718" s="19"/>
      <c r="E8718" s="23"/>
      <c r="L8718" s="23"/>
    </row>
    <row r="8719">
      <c r="B8719" s="19"/>
      <c r="E8719" s="23"/>
      <c r="L8719" s="23"/>
    </row>
    <row r="8720">
      <c r="B8720" s="19"/>
      <c r="E8720" s="23"/>
      <c r="L8720" s="23"/>
    </row>
    <row r="8721">
      <c r="B8721" s="19"/>
      <c r="E8721" s="23"/>
      <c r="L8721" s="23"/>
    </row>
    <row r="8722">
      <c r="B8722" s="19"/>
      <c r="E8722" s="23"/>
      <c r="L8722" s="23"/>
    </row>
    <row r="8723">
      <c r="B8723" s="19"/>
      <c r="E8723" s="23"/>
      <c r="L8723" s="23"/>
    </row>
    <row r="8724">
      <c r="B8724" s="19"/>
      <c r="E8724" s="23"/>
      <c r="L8724" s="23"/>
    </row>
    <row r="8725">
      <c r="B8725" s="19"/>
      <c r="E8725" s="23"/>
      <c r="L8725" s="23"/>
    </row>
    <row r="8726">
      <c r="B8726" s="19"/>
      <c r="E8726" s="23"/>
      <c r="L8726" s="23"/>
    </row>
    <row r="8727">
      <c r="B8727" s="19"/>
      <c r="E8727" s="23"/>
      <c r="L8727" s="23"/>
    </row>
    <row r="8728">
      <c r="B8728" s="19"/>
      <c r="E8728" s="23"/>
      <c r="L8728" s="23"/>
    </row>
    <row r="8729">
      <c r="B8729" s="19"/>
      <c r="E8729" s="23"/>
      <c r="L8729" s="23"/>
    </row>
    <row r="8730">
      <c r="B8730" s="19"/>
      <c r="E8730" s="23"/>
      <c r="L8730" s="23"/>
    </row>
    <row r="8731">
      <c r="B8731" s="19"/>
      <c r="E8731" s="23"/>
      <c r="L8731" s="23"/>
    </row>
    <row r="8732">
      <c r="B8732" s="19"/>
      <c r="E8732" s="23"/>
      <c r="L8732" s="23"/>
    </row>
    <row r="8733">
      <c r="B8733" s="19"/>
      <c r="E8733" s="23"/>
      <c r="L8733" s="23"/>
    </row>
    <row r="8734">
      <c r="B8734" s="19"/>
      <c r="E8734" s="23"/>
      <c r="L8734" s="23"/>
    </row>
    <row r="8735">
      <c r="B8735" s="19"/>
      <c r="E8735" s="23"/>
      <c r="L8735" s="23"/>
    </row>
    <row r="8736">
      <c r="B8736" s="19"/>
      <c r="E8736" s="23"/>
      <c r="L8736" s="23"/>
    </row>
    <row r="8737">
      <c r="B8737" s="19"/>
      <c r="E8737" s="23"/>
      <c r="L8737" s="23"/>
    </row>
    <row r="8738">
      <c r="B8738" s="19"/>
      <c r="E8738" s="23"/>
      <c r="L8738" s="23"/>
    </row>
    <row r="8739">
      <c r="B8739" s="19"/>
      <c r="E8739" s="23"/>
      <c r="L8739" s="23"/>
    </row>
    <row r="8740">
      <c r="B8740" s="19"/>
      <c r="E8740" s="23"/>
      <c r="L8740" s="23"/>
    </row>
    <row r="8741">
      <c r="B8741" s="19"/>
      <c r="E8741" s="23"/>
      <c r="L8741" s="23"/>
    </row>
    <row r="8742">
      <c r="B8742" s="19"/>
      <c r="E8742" s="23"/>
      <c r="L8742" s="23"/>
    </row>
    <row r="8743">
      <c r="B8743" s="19"/>
      <c r="E8743" s="23"/>
      <c r="L8743" s="23"/>
    </row>
    <row r="8744">
      <c r="B8744" s="19"/>
      <c r="E8744" s="23"/>
      <c r="L8744" s="23"/>
    </row>
    <row r="8745">
      <c r="B8745" s="19"/>
      <c r="E8745" s="23"/>
      <c r="L8745" s="23"/>
    </row>
    <row r="8746">
      <c r="B8746" s="19"/>
      <c r="E8746" s="23"/>
      <c r="L8746" s="23"/>
    </row>
    <row r="8747">
      <c r="B8747" s="19"/>
      <c r="E8747" s="23"/>
      <c r="L8747" s="23"/>
    </row>
    <row r="8748">
      <c r="B8748" s="19"/>
      <c r="E8748" s="23"/>
      <c r="L8748" s="23"/>
    </row>
    <row r="8749">
      <c r="B8749" s="19"/>
      <c r="E8749" s="23"/>
      <c r="L8749" s="23"/>
    </row>
    <row r="8750">
      <c r="B8750" s="19"/>
      <c r="E8750" s="23"/>
      <c r="L8750" s="23"/>
    </row>
    <row r="8751">
      <c r="B8751" s="19"/>
      <c r="E8751" s="23"/>
      <c r="L8751" s="23"/>
    </row>
    <row r="8752">
      <c r="B8752" s="19"/>
      <c r="E8752" s="23"/>
      <c r="L8752" s="23"/>
    </row>
    <row r="8753">
      <c r="B8753" s="19"/>
      <c r="E8753" s="23"/>
      <c r="L8753" s="23"/>
    </row>
    <row r="8754">
      <c r="B8754" s="19"/>
      <c r="E8754" s="23"/>
      <c r="L8754" s="23"/>
    </row>
    <row r="8755">
      <c r="B8755" s="19"/>
      <c r="E8755" s="23"/>
      <c r="L8755" s="23"/>
    </row>
    <row r="8756">
      <c r="B8756" s="19"/>
      <c r="E8756" s="23"/>
      <c r="L8756" s="23"/>
    </row>
    <row r="8757">
      <c r="B8757" s="19"/>
      <c r="E8757" s="23"/>
      <c r="L8757" s="23"/>
    </row>
    <row r="8758">
      <c r="B8758" s="19"/>
      <c r="E8758" s="23"/>
      <c r="L8758" s="23"/>
    </row>
    <row r="8759">
      <c r="B8759" s="19"/>
      <c r="E8759" s="23"/>
      <c r="L8759" s="23"/>
    </row>
    <row r="8760">
      <c r="B8760" s="19"/>
      <c r="E8760" s="23"/>
      <c r="L8760" s="23"/>
    </row>
    <row r="8761">
      <c r="B8761" s="19"/>
      <c r="E8761" s="23"/>
      <c r="L8761" s="23"/>
    </row>
    <row r="8762">
      <c r="B8762" s="19"/>
      <c r="E8762" s="23"/>
      <c r="L8762" s="23"/>
    </row>
    <row r="8763">
      <c r="B8763" s="19"/>
      <c r="E8763" s="23"/>
      <c r="L8763" s="23"/>
    </row>
    <row r="8764">
      <c r="B8764" s="19"/>
      <c r="E8764" s="23"/>
      <c r="L8764" s="23"/>
    </row>
    <row r="8765">
      <c r="B8765" s="19"/>
      <c r="E8765" s="23"/>
      <c r="L8765" s="23"/>
    </row>
    <row r="8766">
      <c r="B8766" s="19"/>
      <c r="E8766" s="23"/>
      <c r="L8766" s="23"/>
    </row>
    <row r="8767">
      <c r="B8767" s="19"/>
      <c r="E8767" s="23"/>
      <c r="L8767" s="23"/>
    </row>
    <row r="8768">
      <c r="B8768" s="19"/>
      <c r="E8768" s="23"/>
      <c r="L8768" s="23"/>
    </row>
    <row r="8769">
      <c r="B8769" s="19"/>
      <c r="E8769" s="23"/>
      <c r="L8769" s="23"/>
    </row>
    <row r="8770">
      <c r="B8770" s="19"/>
      <c r="E8770" s="23"/>
      <c r="L8770" s="23"/>
    </row>
    <row r="8771">
      <c r="B8771" s="19"/>
      <c r="E8771" s="23"/>
      <c r="L8771" s="23"/>
    </row>
    <row r="8772">
      <c r="B8772" s="19"/>
      <c r="E8772" s="23"/>
      <c r="L8772" s="23"/>
    </row>
    <row r="8773">
      <c r="B8773" s="19"/>
      <c r="E8773" s="23"/>
      <c r="L8773" s="23"/>
    </row>
    <row r="8774">
      <c r="B8774" s="19"/>
      <c r="E8774" s="23"/>
      <c r="L8774" s="23"/>
    </row>
    <row r="8775">
      <c r="B8775" s="19"/>
      <c r="E8775" s="23"/>
      <c r="L8775" s="23"/>
    </row>
    <row r="8776">
      <c r="B8776" s="19"/>
      <c r="E8776" s="23"/>
      <c r="L8776" s="23"/>
    </row>
    <row r="8777">
      <c r="B8777" s="19"/>
      <c r="E8777" s="23"/>
      <c r="L8777" s="23"/>
    </row>
    <row r="8778">
      <c r="B8778" s="19"/>
      <c r="E8778" s="23"/>
      <c r="L8778" s="23"/>
    </row>
    <row r="8779">
      <c r="B8779" s="19"/>
      <c r="E8779" s="23"/>
      <c r="L8779" s="23"/>
    </row>
    <row r="8780">
      <c r="B8780" s="19"/>
      <c r="E8780" s="23"/>
      <c r="L8780" s="23"/>
    </row>
    <row r="8781">
      <c r="B8781" s="19"/>
      <c r="E8781" s="23"/>
      <c r="L8781" s="23"/>
    </row>
    <row r="8782">
      <c r="B8782" s="19"/>
      <c r="E8782" s="23"/>
      <c r="L8782" s="23"/>
    </row>
    <row r="8783">
      <c r="B8783" s="19"/>
      <c r="E8783" s="23"/>
      <c r="L8783" s="23"/>
    </row>
    <row r="8784">
      <c r="B8784" s="19"/>
      <c r="E8784" s="23"/>
      <c r="L8784" s="23"/>
    </row>
    <row r="8785">
      <c r="B8785" s="19"/>
      <c r="E8785" s="23"/>
      <c r="L8785" s="23"/>
    </row>
    <row r="8786">
      <c r="B8786" s="19"/>
      <c r="E8786" s="23"/>
      <c r="L8786" s="23"/>
    </row>
    <row r="8787">
      <c r="B8787" s="19"/>
      <c r="E8787" s="23"/>
      <c r="L8787" s="23"/>
    </row>
    <row r="8788">
      <c r="B8788" s="19"/>
      <c r="E8788" s="23"/>
      <c r="L8788" s="23"/>
    </row>
    <row r="8789">
      <c r="B8789" s="19"/>
      <c r="E8789" s="23"/>
      <c r="L8789" s="23"/>
    </row>
    <row r="8790">
      <c r="B8790" s="19"/>
      <c r="E8790" s="23"/>
      <c r="L8790" s="23"/>
    </row>
    <row r="8791">
      <c r="B8791" s="19"/>
      <c r="E8791" s="23"/>
      <c r="L8791" s="23"/>
    </row>
    <row r="8792">
      <c r="B8792" s="19"/>
      <c r="E8792" s="23"/>
      <c r="L8792" s="23"/>
    </row>
    <row r="8793">
      <c r="B8793" s="19"/>
      <c r="E8793" s="23"/>
      <c r="L8793" s="23"/>
    </row>
    <row r="8794">
      <c r="B8794" s="19"/>
      <c r="E8794" s="23"/>
      <c r="L8794" s="23"/>
    </row>
    <row r="8795">
      <c r="B8795" s="19"/>
      <c r="E8795" s="23"/>
      <c r="L8795" s="23"/>
    </row>
    <row r="8796">
      <c r="B8796" s="19"/>
      <c r="E8796" s="23"/>
      <c r="L8796" s="23"/>
    </row>
    <row r="8797">
      <c r="B8797" s="19"/>
      <c r="E8797" s="23"/>
      <c r="L8797" s="23"/>
    </row>
    <row r="8798">
      <c r="B8798" s="19"/>
      <c r="E8798" s="23"/>
      <c r="L8798" s="23"/>
    </row>
    <row r="8799">
      <c r="B8799" s="19"/>
      <c r="E8799" s="23"/>
      <c r="L8799" s="23"/>
    </row>
    <row r="8800">
      <c r="B8800" s="19"/>
      <c r="E8800" s="23"/>
      <c r="L8800" s="23"/>
    </row>
    <row r="8801">
      <c r="B8801" s="19"/>
      <c r="E8801" s="23"/>
      <c r="L8801" s="23"/>
    </row>
    <row r="8802">
      <c r="B8802" s="19"/>
      <c r="E8802" s="23"/>
      <c r="L8802" s="23"/>
    </row>
    <row r="8803">
      <c r="B8803" s="19"/>
      <c r="E8803" s="23"/>
      <c r="L8803" s="23"/>
    </row>
    <row r="8804">
      <c r="B8804" s="19"/>
      <c r="E8804" s="23"/>
      <c r="L8804" s="23"/>
    </row>
    <row r="8805">
      <c r="B8805" s="19"/>
      <c r="E8805" s="23"/>
      <c r="L8805" s="23"/>
    </row>
    <row r="8806">
      <c r="B8806" s="19"/>
      <c r="E8806" s="23"/>
      <c r="L8806" s="23"/>
    </row>
    <row r="8807">
      <c r="B8807" s="19"/>
      <c r="E8807" s="23"/>
      <c r="L8807" s="23"/>
    </row>
    <row r="8808">
      <c r="B8808" s="19"/>
      <c r="E8808" s="23"/>
      <c r="L8808" s="23"/>
    </row>
    <row r="8809">
      <c r="B8809" s="19"/>
      <c r="E8809" s="23"/>
      <c r="L8809" s="23"/>
    </row>
    <row r="8810">
      <c r="B8810" s="19"/>
      <c r="E8810" s="23"/>
      <c r="L8810" s="23"/>
    </row>
    <row r="8811">
      <c r="B8811" s="19"/>
      <c r="E8811" s="23"/>
      <c r="L8811" s="23"/>
    </row>
    <row r="8812">
      <c r="B8812" s="19"/>
      <c r="E8812" s="23"/>
      <c r="L8812" s="23"/>
    </row>
    <row r="8813">
      <c r="B8813" s="19"/>
      <c r="E8813" s="23"/>
      <c r="L8813" s="23"/>
    </row>
    <row r="8814">
      <c r="B8814" s="19"/>
      <c r="E8814" s="23"/>
      <c r="L8814" s="23"/>
    </row>
    <row r="8815">
      <c r="B8815" s="19"/>
      <c r="E8815" s="23"/>
      <c r="L8815" s="23"/>
    </row>
    <row r="8816">
      <c r="B8816" s="19"/>
      <c r="E8816" s="23"/>
      <c r="L8816" s="23"/>
    </row>
    <row r="8817">
      <c r="B8817" s="19"/>
      <c r="E8817" s="23"/>
      <c r="L8817" s="23"/>
    </row>
    <row r="8818">
      <c r="B8818" s="19"/>
      <c r="E8818" s="23"/>
      <c r="L8818" s="23"/>
    </row>
    <row r="8819">
      <c r="B8819" s="19"/>
      <c r="E8819" s="23"/>
      <c r="L8819" s="23"/>
    </row>
    <row r="8820">
      <c r="B8820" s="19"/>
      <c r="E8820" s="23"/>
      <c r="L8820" s="23"/>
    </row>
    <row r="8821">
      <c r="B8821" s="19"/>
      <c r="E8821" s="23"/>
      <c r="L8821" s="23"/>
    </row>
    <row r="8822">
      <c r="B8822" s="19"/>
      <c r="E8822" s="23"/>
      <c r="L8822" s="23"/>
    </row>
    <row r="8823">
      <c r="B8823" s="19"/>
      <c r="E8823" s="23"/>
      <c r="L8823" s="23"/>
    </row>
    <row r="8824">
      <c r="B8824" s="19"/>
      <c r="E8824" s="23"/>
      <c r="L8824" s="23"/>
    </row>
    <row r="8825">
      <c r="B8825" s="19"/>
      <c r="E8825" s="23"/>
      <c r="L8825" s="23"/>
    </row>
    <row r="8826">
      <c r="B8826" s="19"/>
      <c r="E8826" s="23"/>
      <c r="L8826" s="23"/>
    </row>
    <row r="8827">
      <c r="B8827" s="19"/>
      <c r="E8827" s="23"/>
      <c r="L8827" s="23"/>
    </row>
    <row r="8828">
      <c r="B8828" s="19"/>
      <c r="E8828" s="23"/>
      <c r="L8828" s="23"/>
    </row>
    <row r="8829">
      <c r="B8829" s="19"/>
      <c r="E8829" s="23"/>
      <c r="L8829" s="23"/>
    </row>
    <row r="8830">
      <c r="B8830" s="19"/>
      <c r="E8830" s="23"/>
      <c r="L8830" s="23"/>
    </row>
    <row r="8831">
      <c r="B8831" s="19"/>
      <c r="E8831" s="23"/>
      <c r="L8831" s="23"/>
    </row>
    <row r="8832">
      <c r="B8832" s="19"/>
      <c r="E8832" s="23"/>
      <c r="L8832" s="23"/>
    </row>
    <row r="8833">
      <c r="B8833" s="19"/>
      <c r="E8833" s="23"/>
      <c r="L8833" s="23"/>
    </row>
    <row r="8834">
      <c r="B8834" s="19"/>
      <c r="E8834" s="23"/>
      <c r="L8834" s="23"/>
    </row>
    <row r="8835">
      <c r="B8835" s="19"/>
      <c r="E8835" s="23"/>
      <c r="L8835" s="23"/>
    </row>
    <row r="8836">
      <c r="B8836" s="19"/>
      <c r="E8836" s="23"/>
      <c r="L8836" s="23"/>
    </row>
    <row r="8837">
      <c r="B8837" s="19"/>
      <c r="E8837" s="23"/>
      <c r="L8837" s="23"/>
    </row>
    <row r="8838">
      <c r="B8838" s="19"/>
      <c r="E8838" s="23"/>
      <c r="L8838" s="23"/>
    </row>
    <row r="8839">
      <c r="B8839" s="19"/>
      <c r="E8839" s="23"/>
      <c r="L8839" s="23"/>
    </row>
    <row r="8840">
      <c r="B8840" s="19"/>
      <c r="E8840" s="23"/>
      <c r="L8840" s="23"/>
    </row>
    <row r="8841">
      <c r="B8841" s="19"/>
      <c r="E8841" s="23"/>
      <c r="L8841" s="23"/>
    </row>
    <row r="8842">
      <c r="B8842" s="19"/>
      <c r="E8842" s="23"/>
      <c r="L8842" s="23"/>
    </row>
    <row r="8843">
      <c r="B8843" s="19"/>
      <c r="E8843" s="23"/>
      <c r="L8843" s="23"/>
    </row>
    <row r="8844">
      <c r="B8844" s="19"/>
      <c r="E8844" s="23"/>
      <c r="L8844" s="23"/>
    </row>
    <row r="8845">
      <c r="B8845" s="19"/>
      <c r="E8845" s="23"/>
      <c r="L8845" s="23"/>
    </row>
    <row r="8846">
      <c r="B8846" s="19"/>
      <c r="E8846" s="23"/>
      <c r="L8846" s="23"/>
    </row>
    <row r="8847">
      <c r="B8847" s="19"/>
      <c r="E8847" s="23"/>
      <c r="L8847" s="23"/>
    </row>
    <row r="8848">
      <c r="B8848" s="19"/>
      <c r="E8848" s="23"/>
      <c r="L8848" s="23"/>
    </row>
    <row r="8849">
      <c r="B8849" s="19"/>
      <c r="E8849" s="23"/>
      <c r="L8849" s="23"/>
    </row>
    <row r="8850">
      <c r="B8850" s="19"/>
      <c r="E8850" s="23"/>
      <c r="L8850" s="23"/>
    </row>
    <row r="8851">
      <c r="B8851" s="19"/>
      <c r="E8851" s="23"/>
      <c r="L8851" s="23"/>
    </row>
    <row r="8852">
      <c r="B8852" s="19"/>
      <c r="E8852" s="23"/>
      <c r="L8852" s="23"/>
    </row>
    <row r="8853">
      <c r="B8853" s="19"/>
      <c r="E8853" s="23"/>
      <c r="L8853" s="23"/>
    </row>
    <row r="8854">
      <c r="B8854" s="19"/>
      <c r="E8854" s="23"/>
      <c r="L8854" s="23"/>
    </row>
    <row r="8855">
      <c r="B8855" s="19"/>
      <c r="E8855" s="23"/>
      <c r="L8855" s="23"/>
    </row>
    <row r="8856">
      <c r="B8856" s="19"/>
      <c r="E8856" s="23"/>
      <c r="L8856" s="23"/>
    </row>
    <row r="8857">
      <c r="B8857" s="19"/>
      <c r="E8857" s="23"/>
      <c r="L8857" s="23"/>
    </row>
    <row r="8858">
      <c r="B8858" s="19"/>
      <c r="E8858" s="23"/>
      <c r="L8858" s="23"/>
    </row>
    <row r="8859">
      <c r="B8859" s="19"/>
      <c r="E8859" s="23"/>
      <c r="L8859" s="23"/>
    </row>
    <row r="8860">
      <c r="B8860" s="19"/>
      <c r="E8860" s="23"/>
      <c r="L8860" s="23"/>
    </row>
    <row r="8861">
      <c r="B8861" s="19"/>
      <c r="E8861" s="23"/>
      <c r="L8861" s="23"/>
    </row>
    <row r="8862">
      <c r="B8862" s="19"/>
      <c r="E8862" s="23"/>
      <c r="L8862" s="23"/>
    </row>
    <row r="8863">
      <c r="B8863" s="19"/>
      <c r="E8863" s="23"/>
      <c r="L8863" s="23"/>
    </row>
    <row r="8864">
      <c r="B8864" s="19"/>
      <c r="E8864" s="23"/>
      <c r="L8864" s="23"/>
    </row>
    <row r="8865">
      <c r="B8865" s="19"/>
      <c r="E8865" s="23"/>
      <c r="L8865" s="23"/>
    </row>
    <row r="8866">
      <c r="B8866" s="19"/>
      <c r="E8866" s="23"/>
      <c r="L8866" s="23"/>
    </row>
    <row r="8867">
      <c r="B8867" s="19"/>
      <c r="E8867" s="23"/>
      <c r="L8867" s="23"/>
    </row>
    <row r="8868">
      <c r="B8868" s="19"/>
      <c r="E8868" s="23"/>
      <c r="L8868" s="23"/>
    </row>
    <row r="8869">
      <c r="B8869" s="19"/>
      <c r="E8869" s="23"/>
      <c r="L8869" s="23"/>
    </row>
    <row r="8870">
      <c r="B8870" s="19"/>
      <c r="E8870" s="23"/>
      <c r="L8870" s="23"/>
    </row>
    <row r="8871">
      <c r="B8871" s="19"/>
      <c r="E8871" s="23"/>
      <c r="L8871" s="23"/>
    </row>
    <row r="8872">
      <c r="B8872" s="19"/>
      <c r="E8872" s="23"/>
      <c r="L8872" s="23"/>
    </row>
    <row r="8873">
      <c r="B8873" s="19"/>
      <c r="E8873" s="23"/>
      <c r="L8873" s="23"/>
    </row>
    <row r="8874">
      <c r="B8874" s="19"/>
      <c r="E8874" s="23"/>
      <c r="L8874" s="23"/>
    </row>
    <row r="8875">
      <c r="B8875" s="19"/>
      <c r="E8875" s="23"/>
      <c r="L8875" s="23"/>
    </row>
    <row r="8876">
      <c r="B8876" s="19"/>
      <c r="E8876" s="23"/>
      <c r="L8876" s="23"/>
    </row>
    <row r="8877">
      <c r="B8877" s="19"/>
      <c r="E8877" s="23"/>
      <c r="L8877" s="23"/>
    </row>
    <row r="8878">
      <c r="B8878" s="19"/>
      <c r="E8878" s="23"/>
      <c r="L8878" s="23"/>
    </row>
    <row r="8879">
      <c r="B8879" s="19"/>
      <c r="E8879" s="23"/>
      <c r="L8879" s="23"/>
    </row>
    <row r="8880">
      <c r="B8880" s="19"/>
      <c r="E8880" s="23"/>
      <c r="L8880" s="23"/>
    </row>
    <row r="8881">
      <c r="B8881" s="19"/>
      <c r="E8881" s="23"/>
      <c r="L8881" s="23"/>
    </row>
    <row r="8882">
      <c r="B8882" s="19"/>
      <c r="E8882" s="23"/>
      <c r="L8882" s="23"/>
    </row>
    <row r="8883">
      <c r="B8883" s="19"/>
      <c r="E8883" s="23"/>
      <c r="L8883" s="23"/>
    </row>
    <row r="8884">
      <c r="B8884" s="19"/>
      <c r="E8884" s="23"/>
      <c r="L8884" s="23"/>
    </row>
    <row r="8885">
      <c r="B8885" s="19"/>
      <c r="E8885" s="23"/>
      <c r="L8885" s="23"/>
    </row>
    <row r="8886">
      <c r="B8886" s="19"/>
      <c r="E8886" s="23"/>
      <c r="L8886" s="23"/>
    </row>
    <row r="8887">
      <c r="B8887" s="19"/>
      <c r="E8887" s="23"/>
      <c r="L8887" s="23"/>
    </row>
    <row r="8888">
      <c r="B8888" s="19"/>
      <c r="E8888" s="23"/>
      <c r="L8888" s="23"/>
    </row>
    <row r="8889">
      <c r="B8889" s="19"/>
      <c r="E8889" s="23"/>
      <c r="L8889" s="23"/>
    </row>
    <row r="8890">
      <c r="B8890" s="19"/>
      <c r="E8890" s="23"/>
      <c r="L8890" s="23"/>
    </row>
    <row r="8891">
      <c r="B8891" s="19"/>
      <c r="E8891" s="23"/>
      <c r="L8891" s="23"/>
    </row>
    <row r="8892">
      <c r="B8892" s="19"/>
      <c r="E8892" s="23"/>
      <c r="L8892" s="23"/>
    </row>
    <row r="8893">
      <c r="B8893" s="19"/>
      <c r="E8893" s="23"/>
      <c r="L8893" s="23"/>
    </row>
    <row r="8894">
      <c r="B8894" s="19"/>
      <c r="E8894" s="23"/>
      <c r="L8894" s="23"/>
    </row>
    <row r="8895">
      <c r="B8895" s="19"/>
      <c r="E8895" s="23"/>
      <c r="L8895" s="23"/>
    </row>
    <row r="8896">
      <c r="B8896" s="19"/>
      <c r="E8896" s="23"/>
      <c r="L8896" s="23"/>
    </row>
    <row r="8897">
      <c r="B8897" s="19"/>
      <c r="E8897" s="23"/>
      <c r="L8897" s="23"/>
    </row>
    <row r="8898">
      <c r="B8898" s="19"/>
      <c r="E8898" s="23"/>
      <c r="L8898" s="23"/>
    </row>
    <row r="8899">
      <c r="B8899" s="19"/>
      <c r="E8899" s="23"/>
      <c r="L8899" s="23"/>
    </row>
    <row r="8900">
      <c r="B8900" s="19"/>
      <c r="E8900" s="23"/>
      <c r="L8900" s="23"/>
    </row>
    <row r="8901">
      <c r="B8901" s="19"/>
      <c r="E8901" s="23"/>
      <c r="L8901" s="23"/>
    </row>
    <row r="8902">
      <c r="B8902" s="19"/>
      <c r="E8902" s="23"/>
      <c r="L8902" s="23"/>
    </row>
    <row r="8903">
      <c r="B8903" s="19"/>
      <c r="E8903" s="23"/>
      <c r="L8903" s="23"/>
    </row>
    <row r="8904">
      <c r="B8904" s="19"/>
      <c r="E8904" s="23"/>
      <c r="L8904" s="23"/>
    </row>
    <row r="8905">
      <c r="B8905" s="19"/>
      <c r="E8905" s="23"/>
      <c r="L8905" s="23"/>
    </row>
    <row r="8906">
      <c r="B8906" s="19"/>
      <c r="E8906" s="23"/>
      <c r="L8906" s="23"/>
    </row>
    <row r="8907">
      <c r="B8907" s="19"/>
      <c r="E8907" s="23"/>
      <c r="L8907" s="23"/>
    </row>
    <row r="8908">
      <c r="B8908" s="19"/>
      <c r="E8908" s="23"/>
      <c r="L8908" s="23"/>
    </row>
    <row r="8909">
      <c r="B8909" s="19"/>
      <c r="E8909" s="23"/>
      <c r="L8909" s="23"/>
    </row>
    <row r="8910">
      <c r="B8910" s="19"/>
      <c r="E8910" s="23"/>
      <c r="L8910" s="23"/>
    </row>
    <row r="8911">
      <c r="B8911" s="19"/>
      <c r="E8911" s="23"/>
      <c r="L8911" s="23"/>
    </row>
    <row r="8912">
      <c r="B8912" s="19"/>
      <c r="E8912" s="23"/>
      <c r="L8912" s="23"/>
    </row>
    <row r="8913">
      <c r="B8913" s="19"/>
      <c r="E8913" s="23"/>
      <c r="L8913" s="23"/>
    </row>
    <row r="8914">
      <c r="B8914" s="19"/>
      <c r="E8914" s="23"/>
      <c r="L8914" s="23"/>
    </row>
    <row r="8915">
      <c r="B8915" s="19"/>
      <c r="E8915" s="23"/>
      <c r="L8915" s="23"/>
    </row>
    <row r="8916">
      <c r="B8916" s="19"/>
      <c r="E8916" s="23"/>
      <c r="L8916" s="23"/>
    </row>
    <row r="8917">
      <c r="B8917" s="19"/>
      <c r="E8917" s="23"/>
      <c r="L8917" s="23"/>
    </row>
    <row r="8918">
      <c r="B8918" s="19"/>
      <c r="E8918" s="23"/>
      <c r="L8918" s="23"/>
    </row>
    <row r="8919">
      <c r="B8919" s="19"/>
      <c r="E8919" s="23"/>
      <c r="L8919" s="23"/>
    </row>
    <row r="8920">
      <c r="B8920" s="19"/>
      <c r="E8920" s="23"/>
      <c r="L8920" s="23"/>
    </row>
    <row r="8921">
      <c r="B8921" s="19"/>
      <c r="E8921" s="23"/>
      <c r="L8921" s="23"/>
    </row>
    <row r="8922">
      <c r="B8922" s="19"/>
      <c r="E8922" s="23"/>
      <c r="L8922" s="23"/>
    </row>
    <row r="8923">
      <c r="B8923" s="19"/>
      <c r="E8923" s="23"/>
      <c r="L8923" s="23"/>
    </row>
    <row r="8924">
      <c r="B8924" s="19"/>
      <c r="E8924" s="23"/>
      <c r="L8924" s="23"/>
    </row>
    <row r="8925">
      <c r="B8925" s="19"/>
      <c r="E8925" s="23"/>
      <c r="L8925" s="23"/>
    </row>
    <row r="8926">
      <c r="B8926" s="19"/>
      <c r="E8926" s="23"/>
      <c r="L8926" s="23"/>
    </row>
    <row r="8927">
      <c r="B8927" s="19"/>
      <c r="E8927" s="23"/>
      <c r="L8927" s="23"/>
    </row>
    <row r="8928">
      <c r="B8928" s="19"/>
      <c r="E8928" s="23"/>
      <c r="L8928" s="23"/>
    </row>
    <row r="8929">
      <c r="B8929" s="19"/>
      <c r="E8929" s="23"/>
      <c r="L8929" s="23"/>
    </row>
    <row r="8930">
      <c r="B8930" s="19"/>
      <c r="E8930" s="23"/>
      <c r="L8930" s="23"/>
    </row>
    <row r="8931">
      <c r="B8931" s="19"/>
      <c r="E8931" s="23"/>
      <c r="L8931" s="23"/>
    </row>
    <row r="8932">
      <c r="B8932" s="19"/>
      <c r="E8932" s="23"/>
      <c r="L8932" s="23"/>
    </row>
    <row r="8933">
      <c r="B8933" s="19"/>
      <c r="E8933" s="23"/>
      <c r="L8933" s="23"/>
    </row>
    <row r="8934">
      <c r="B8934" s="19"/>
      <c r="E8934" s="23"/>
      <c r="L8934" s="23"/>
    </row>
    <row r="8935">
      <c r="B8935" s="19"/>
      <c r="E8935" s="23"/>
      <c r="L8935" s="23"/>
    </row>
    <row r="8936">
      <c r="B8936" s="19"/>
      <c r="E8936" s="23"/>
      <c r="L8936" s="23"/>
    </row>
    <row r="8937">
      <c r="B8937" s="19"/>
      <c r="E8937" s="23"/>
      <c r="L8937" s="23"/>
    </row>
    <row r="8938">
      <c r="B8938" s="19"/>
      <c r="E8938" s="23"/>
      <c r="L8938" s="23"/>
    </row>
    <row r="8939">
      <c r="B8939" s="19"/>
      <c r="E8939" s="23"/>
      <c r="L8939" s="23"/>
    </row>
    <row r="8940">
      <c r="B8940" s="19"/>
      <c r="E8940" s="23"/>
      <c r="L8940" s="23"/>
    </row>
    <row r="8941">
      <c r="B8941" s="19"/>
      <c r="E8941" s="23"/>
      <c r="L8941" s="23"/>
    </row>
    <row r="8942">
      <c r="B8942" s="19"/>
      <c r="E8942" s="23"/>
      <c r="L8942" s="23"/>
    </row>
    <row r="8943">
      <c r="B8943" s="19"/>
      <c r="E8943" s="23"/>
      <c r="L8943" s="23"/>
    </row>
    <row r="8944">
      <c r="B8944" s="19"/>
      <c r="E8944" s="23"/>
      <c r="L8944" s="23"/>
    </row>
    <row r="8945">
      <c r="B8945" s="19"/>
      <c r="E8945" s="23"/>
      <c r="L8945" s="23"/>
    </row>
    <row r="8946">
      <c r="B8946" s="19"/>
      <c r="E8946" s="23"/>
      <c r="L8946" s="23"/>
    </row>
    <row r="8947">
      <c r="B8947" s="19"/>
      <c r="E8947" s="23"/>
      <c r="L8947" s="23"/>
    </row>
    <row r="8948">
      <c r="B8948" s="19"/>
      <c r="E8948" s="23"/>
      <c r="L8948" s="23"/>
    </row>
    <row r="8949">
      <c r="B8949" s="19"/>
      <c r="E8949" s="23"/>
      <c r="L8949" s="23"/>
    </row>
    <row r="8950">
      <c r="B8950" s="19"/>
      <c r="E8950" s="23"/>
      <c r="L8950" s="23"/>
    </row>
    <row r="8951">
      <c r="B8951" s="19"/>
      <c r="E8951" s="23"/>
      <c r="L8951" s="23"/>
    </row>
    <row r="8952">
      <c r="B8952" s="19"/>
      <c r="E8952" s="23"/>
      <c r="L8952" s="23"/>
    </row>
    <row r="8953">
      <c r="B8953" s="19"/>
      <c r="E8953" s="23"/>
      <c r="L8953" s="23"/>
    </row>
    <row r="8954">
      <c r="B8954" s="19"/>
      <c r="E8954" s="23"/>
      <c r="L8954" s="23"/>
    </row>
    <row r="8955">
      <c r="B8955" s="19"/>
      <c r="E8955" s="23"/>
      <c r="L8955" s="23"/>
    </row>
    <row r="8956">
      <c r="B8956" s="19"/>
      <c r="E8956" s="23"/>
      <c r="L8956" s="23"/>
    </row>
    <row r="8957">
      <c r="B8957" s="19"/>
      <c r="E8957" s="23"/>
      <c r="L8957" s="23"/>
    </row>
    <row r="8958">
      <c r="B8958" s="19"/>
      <c r="E8958" s="23"/>
      <c r="L8958" s="23"/>
    </row>
    <row r="8959">
      <c r="B8959" s="19"/>
      <c r="E8959" s="23"/>
      <c r="L8959" s="23"/>
    </row>
    <row r="8960">
      <c r="B8960" s="19"/>
      <c r="E8960" s="23"/>
      <c r="L8960" s="23"/>
    </row>
    <row r="8961">
      <c r="B8961" s="19"/>
      <c r="E8961" s="23"/>
      <c r="L8961" s="23"/>
    </row>
    <row r="8962">
      <c r="B8962" s="19"/>
      <c r="E8962" s="23"/>
      <c r="L8962" s="23"/>
    </row>
    <row r="8963">
      <c r="B8963" s="19"/>
      <c r="E8963" s="23"/>
      <c r="L8963" s="23"/>
    </row>
    <row r="8964">
      <c r="B8964" s="19"/>
      <c r="E8964" s="23"/>
      <c r="L8964" s="23"/>
    </row>
    <row r="8965">
      <c r="B8965" s="19"/>
      <c r="E8965" s="23"/>
      <c r="L8965" s="23"/>
    </row>
    <row r="8966">
      <c r="B8966" s="19"/>
      <c r="E8966" s="23"/>
      <c r="L8966" s="23"/>
    </row>
    <row r="8967">
      <c r="B8967" s="19"/>
      <c r="E8967" s="23"/>
      <c r="L8967" s="23"/>
    </row>
    <row r="8968">
      <c r="B8968" s="19"/>
      <c r="E8968" s="23"/>
      <c r="L8968" s="23"/>
    </row>
    <row r="8969">
      <c r="B8969" s="19"/>
      <c r="E8969" s="23"/>
      <c r="L8969" s="23"/>
    </row>
    <row r="8970">
      <c r="B8970" s="19"/>
      <c r="E8970" s="23"/>
      <c r="L8970" s="23"/>
    </row>
    <row r="8971">
      <c r="B8971" s="19"/>
      <c r="E8971" s="23"/>
      <c r="L8971" s="23"/>
    </row>
    <row r="8972">
      <c r="B8972" s="19"/>
      <c r="E8972" s="23"/>
      <c r="L8972" s="23"/>
    </row>
    <row r="8973">
      <c r="B8973" s="19"/>
      <c r="E8973" s="23"/>
      <c r="L8973" s="23"/>
    </row>
    <row r="8974">
      <c r="B8974" s="19"/>
      <c r="E8974" s="23"/>
      <c r="L8974" s="23"/>
    </row>
    <row r="8975">
      <c r="B8975" s="19"/>
      <c r="E8975" s="23"/>
      <c r="L8975" s="23"/>
    </row>
    <row r="8976">
      <c r="B8976" s="19"/>
      <c r="E8976" s="23"/>
      <c r="L8976" s="23"/>
    </row>
    <row r="8977">
      <c r="B8977" s="19"/>
      <c r="E8977" s="23"/>
      <c r="L8977" s="23"/>
    </row>
    <row r="8978">
      <c r="B8978" s="19"/>
      <c r="E8978" s="23"/>
      <c r="L8978" s="23"/>
    </row>
    <row r="8979">
      <c r="B8979" s="19"/>
      <c r="E8979" s="23"/>
      <c r="L8979" s="23"/>
    </row>
    <row r="8980">
      <c r="B8980" s="19"/>
      <c r="E8980" s="23"/>
      <c r="L8980" s="23"/>
    </row>
    <row r="8981">
      <c r="B8981" s="19"/>
      <c r="E8981" s="23"/>
      <c r="L8981" s="23"/>
    </row>
    <row r="8982">
      <c r="B8982" s="19"/>
      <c r="E8982" s="23"/>
      <c r="L8982" s="23"/>
    </row>
    <row r="8983">
      <c r="B8983" s="19"/>
      <c r="E8983" s="23"/>
      <c r="L8983" s="23"/>
    </row>
    <row r="8984">
      <c r="B8984" s="19"/>
      <c r="E8984" s="23"/>
      <c r="L8984" s="23"/>
    </row>
    <row r="8985">
      <c r="B8985" s="19"/>
      <c r="E8985" s="23"/>
      <c r="L8985" s="23"/>
    </row>
    <row r="8986">
      <c r="B8986" s="19"/>
      <c r="E8986" s="23"/>
      <c r="L8986" s="23"/>
    </row>
    <row r="8987">
      <c r="B8987" s="19"/>
      <c r="E8987" s="23"/>
      <c r="L8987" s="23"/>
    </row>
    <row r="8988">
      <c r="B8988" s="19"/>
      <c r="E8988" s="23"/>
      <c r="L8988" s="23"/>
    </row>
    <row r="8989">
      <c r="B8989" s="19"/>
      <c r="E8989" s="23"/>
      <c r="L8989" s="23"/>
    </row>
    <row r="8990">
      <c r="B8990" s="19"/>
      <c r="E8990" s="23"/>
      <c r="L8990" s="23"/>
    </row>
    <row r="8991">
      <c r="B8991" s="19"/>
      <c r="E8991" s="23"/>
      <c r="L8991" s="23"/>
    </row>
    <row r="8992">
      <c r="B8992" s="19"/>
      <c r="E8992" s="23"/>
      <c r="L8992" s="23"/>
    </row>
    <row r="8993">
      <c r="B8993" s="19"/>
      <c r="E8993" s="23"/>
      <c r="L8993" s="23"/>
    </row>
    <row r="8994">
      <c r="B8994" s="19"/>
      <c r="E8994" s="23"/>
      <c r="L8994" s="23"/>
    </row>
    <row r="8995">
      <c r="B8995" s="19"/>
      <c r="E8995" s="23"/>
      <c r="L8995" s="23"/>
    </row>
    <row r="8996">
      <c r="B8996" s="19"/>
      <c r="E8996" s="23"/>
      <c r="L8996" s="23"/>
    </row>
    <row r="8997">
      <c r="B8997" s="19"/>
      <c r="E8997" s="23"/>
      <c r="L8997" s="23"/>
    </row>
    <row r="8998">
      <c r="B8998" s="19"/>
      <c r="E8998" s="23"/>
      <c r="L8998" s="23"/>
    </row>
    <row r="8999">
      <c r="B8999" s="19"/>
      <c r="E8999" s="23"/>
      <c r="L8999" s="23"/>
    </row>
    <row r="9000">
      <c r="B9000" s="19"/>
      <c r="E9000" s="23"/>
      <c r="L9000" s="23"/>
    </row>
    <row r="9001">
      <c r="B9001" s="19"/>
      <c r="E9001" s="23"/>
      <c r="L9001" s="23"/>
    </row>
    <row r="9002">
      <c r="B9002" s="19"/>
      <c r="E9002" s="23"/>
      <c r="L9002" s="23"/>
    </row>
    <row r="9003">
      <c r="B9003" s="19"/>
      <c r="E9003" s="23"/>
      <c r="L9003" s="23"/>
    </row>
    <row r="9004">
      <c r="B9004" s="19"/>
      <c r="E9004" s="23"/>
      <c r="L9004" s="23"/>
    </row>
    <row r="9005">
      <c r="B9005" s="19"/>
      <c r="E9005" s="23"/>
      <c r="L9005" s="23"/>
    </row>
    <row r="9006">
      <c r="B9006" s="19"/>
      <c r="E9006" s="23"/>
      <c r="L9006" s="23"/>
    </row>
    <row r="9007">
      <c r="B9007" s="19"/>
      <c r="E9007" s="23"/>
      <c r="L9007" s="23"/>
    </row>
    <row r="9008">
      <c r="B9008" s="19"/>
      <c r="E9008" s="23"/>
      <c r="L9008" s="23"/>
    </row>
    <row r="9009">
      <c r="B9009" s="19"/>
      <c r="E9009" s="23"/>
      <c r="L9009" s="23"/>
    </row>
    <row r="9010">
      <c r="B9010" s="19"/>
      <c r="E9010" s="23"/>
      <c r="L9010" s="23"/>
    </row>
    <row r="9011">
      <c r="B9011" s="19"/>
      <c r="E9011" s="23"/>
      <c r="L9011" s="23"/>
    </row>
    <row r="9012">
      <c r="B9012" s="19"/>
      <c r="E9012" s="23"/>
      <c r="L9012" s="23"/>
    </row>
    <row r="9013">
      <c r="B9013" s="19"/>
      <c r="E9013" s="23"/>
      <c r="L9013" s="23"/>
    </row>
    <row r="9014">
      <c r="B9014" s="19"/>
      <c r="E9014" s="23"/>
      <c r="L9014" s="23"/>
    </row>
    <row r="9015">
      <c r="B9015" s="19"/>
      <c r="E9015" s="23"/>
      <c r="L9015" s="23"/>
    </row>
    <row r="9016">
      <c r="B9016" s="19"/>
      <c r="E9016" s="23"/>
      <c r="L9016" s="23"/>
    </row>
    <row r="9017">
      <c r="B9017" s="19"/>
      <c r="E9017" s="23"/>
      <c r="L9017" s="23"/>
    </row>
    <row r="9018">
      <c r="B9018" s="19"/>
      <c r="E9018" s="23"/>
      <c r="L9018" s="23"/>
    </row>
    <row r="9019">
      <c r="B9019" s="19"/>
      <c r="E9019" s="23"/>
      <c r="L9019" s="23"/>
    </row>
    <row r="9020">
      <c r="B9020" s="19"/>
      <c r="E9020" s="23"/>
      <c r="L9020" s="23"/>
    </row>
    <row r="9021">
      <c r="B9021" s="19"/>
      <c r="E9021" s="23"/>
      <c r="L9021" s="23"/>
    </row>
    <row r="9022">
      <c r="B9022" s="19"/>
      <c r="E9022" s="23"/>
      <c r="L9022" s="23"/>
    </row>
    <row r="9023">
      <c r="B9023" s="19"/>
      <c r="E9023" s="23"/>
      <c r="L9023" s="23"/>
    </row>
    <row r="9024">
      <c r="B9024" s="19"/>
      <c r="E9024" s="23"/>
      <c r="L9024" s="23"/>
    </row>
    <row r="9025">
      <c r="B9025" s="19"/>
      <c r="E9025" s="23"/>
      <c r="L9025" s="23"/>
    </row>
    <row r="9026">
      <c r="B9026" s="19"/>
      <c r="E9026" s="23"/>
      <c r="L9026" s="23"/>
    </row>
    <row r="9027">
      <c r="B9027" s="19"/>
      <c r="E9027" s="23"/>
      <c r="L9027" s="23"/>
    </row>
    <row r="9028">
      <c r="B9028" s="19"/>
      <c r="E9028" s="23"/>
      <c r="L9028" s="23"/>
    </row>
    <row r="9029">
      <c r="B9029" s="19"/>
      <c r="E9029" s="23"/>
      <c r="L9029" s="23"/>
    </row>
    <row r="9030">
      <c r="B9030" s="19"/>
      <c r="E9030" s="23"/>
      <c r="L9030" s="23"/>
    </row>
    <row r="9031">
      <c r="B9031" s="19"/>
      <c r="E9031" s="23"/>
      <c r="L9031" s="23"/>
    </row>
    <row r="9032">
      <c r="B9032" s="19"/>
      <c r="E9032" s="23"/>
      <c r="L9032" s="23"/>
    </row>
    <row r="9033">
      <c r="B9033" s="19"/>
      <c r="E9033" s="23"/>
      <c r="L9033" s="23"/>
    </row>
    <row r="9034">
      <c r="B9034" s="19"/>
      <c r="E9034" s="23"/>
      <c r="L9034" s="23"/>
    </row>
    <row r="9035">
      <c r="B9035" s="19"/>
      <c r="E9035" s="23"/>
      <c r="L9035" s="23"/>
    </row>
    <row r="9036">
      <c r="B9036" s="19"/>
      <c r="E9036" s="23"/>
      <c r="L9036" s="23"/>
    </row>
    <row r="9037">
      <c r="B9037" s="19"/>
      <c r="E9037" s="23"/>
      <c r="L9037" s="23"/>
    </row>
    <row r="9038">
      <c r="B9038" s="19"/>
      <c r="E9038" s="23"/>
      <c r="L9038" s="23"/>
    </row>
    <row r="9039">
      <c r="B9039" s="19"/>
      <c r="E9039" s="23"/>
      <c r="L9039" s="23"/>
    </row>
    <row r="9040">
      <c r="B9040" s="19"/>
      <c r="E9040" s="23"/>
      <c r="L9040" s="23"/>
    </row>
    <row r="9041">
      <c r="B9041" s="19"/>
      <c r="E9041" s="23"/>
      <c r="L9041" s="23"/>
    </row>
    <row r="9042">
      <c r="B9042" s="19"/>
      <c r="E9042" s="23"/>
      <c r="L9042" s="23"/>
    </row>
    <row r="9043">
      <c r="B9043" s="19"/>
      <c r="E9043" s="23"/>
      <c r="L9043" s="23"/>
    </row>
    <row r="9044">
      <c r="B9044" s="19"/>
      <c r="E9044" s="23"/>
      <c r="L9044" s="23"/>
    </row>
    <row r="9045">
      <c r="B9045" s="19"/>
      <c r="E9045" s="23"/>
      <c r="L9045" s="23"/>
    </row>
    <row r="9046">
      <c r="B9046" s="19"/>
      <c r="E9046" s="23"/>
      <c r="L9046" s="23"/>
    </row>
    <row r="9047">
      <c r="B9047" s="19"/>
      <c r="E9047" s="23"/>
      <c r="L9047" s="23"/>
    </row>
    <row r="9048">
      <c r="B9048" s="19"/>
      <c r="E9048" s="23"/>
      <c r="L9048" s="23"/>
    </row>
    <row r="9049">
      <c r="B9049" s="19"/>
      <c r="E9049" s="23"/>
      <c r="L9049" s="23"/>
    </row>
    <row r="9050">
      <c r="B9050" s="19"/>
      <c r="E9050" s="23"/>
      <c r="L9050" s="23"/>
    </row>
    <row r="9051">
      <c r="B9051" s="19"/>
      <c r="E9051" s="23"/>
      <c r="L9051" s="23"/>
    </row>
    <row r="9052">
      <c r="B9052" s="19"/>
      <c r="E9052" s="23"/>
      <c r="L9052" s="23"/>
    </row>
    <row r="9053">
      <c r="B9053" s="19"/>
      <c r="E9053" s="23"/>
      <c r="L9053" s="23"/>
    </row>
    <row r="9054">
      <c r="B9054" s="19"/>
      <c r="E9054" s="23"/>
      <c r="L9054" s="23"/>
    </row>
    <row r="9055">
      <c r="B9055" s="19"/>
      <c r="E9055" s="23"/>
      <c r="L9055" s="23"/>
    </row>
    <row r="9056">
      <c r="B9056" s="19"/>
      <c r="E9056" s="23"/>
      <c r="L9056" s="23"/>
    </row>
    <row r="9057">
      <c r="B9057" s="19"/>
      <c r="E9057" s="23"/>
      <c r="L9057" s="23"/>
    </row>
    <row r="9058">
      <c r="B9058" s="19"/>
      <c r="E9058" s="23"/>
      <c r="L9058" s="23"/>
    </row>
    <row r="9059">
      <c r="B9059" s="19"/>
      <c r="E9059" s="23"/>
      <c r="L9059" s="23"/>
    </row>
    <row r="9060">
      <c r="B9060" s="19"/>
      <c r="E9060" s="23"/>
      <c r="L9060" s="23"/>
    </row>
    <row r="9061">
      <c r="B9061" s="19"/>
      <c r="E9061" s="23"/>
      <c r="L9061" s="23"/>
    </row>
    <row r="9062">
      <c r="B9062" s="19"/>
      <c r="E9062" s="23"/>
      <c r="L9062" s="23"/>
    </row>
    <row r="9063">
      <c r="B9063" s="19"/>
      <c r="E9063" s="23"/>
      <c r="L9063" s="23"/>
    </row>
    <row r="9064">
      <c r="B9064" s="19"/>
      <c r="E9064" s="23"/>
      <c r="L9064" s="23"/>
    </row>
    <row r="9065">
      <c r="B9065" s="19"/>
      <c r="E9065" s="23"/>
      <c r="L9065" s="23"/>
    </row>
    <row r="9066">
      <c r="B9066" s="19"/>
      <c r="E9066" s="23"/>
      <c r="L9066" s="23"/>
    </row>
    <row r="9067">
      <c r="B9067" s="19"/>
      <c r="E9067" s="23"/>
      <c r="L9067" s="23"/>
    </row>
    <row r="9068">
      <c r="B9068" s="19"/>
      <c r="E9068" s="23"/>
      <c r="L9068" s="23"/>
    </row>
    <row r="9069">
      <c r="B9069" s="19"/>
      <c r="E9069" s="23"/>
      <c r="L9069" s="23"/>
    </row>
    <row r="9070">
      <c r="B9070" s="19"/>
      <c r="E9070" s="23"/>
      <c r="L9070" s="23"/>
    </row>
    <row r="9071">
      <c r="B9071" s="19"/>
      <c r="E9071" s="23"/>
      <c r="L9071" s="23"/>
    </row>
    <row r="9072">
      <c r="B9072" s="19"/>
      <c r="E9072" s="23"/>
      <c r="L9072" s="23"/>
    </row>
    <row r="9073">
      <c r="B9073" s="19"/>
      <c r="E9073" s="23"/>
      <c r="L9073" s="23"/>
    </row>
    <row r="9074">
      <c r="B9074" s="19"/>
      <c r="E9074" s="23"/>
      <c r="L9074" s="23"/>
    </row>
    <row r="9075">
      <c r="B9075" s="19"/>
      <c r="E9075" s="23"/>
      <c r="L9075" s="23"/>
    </row>
    <row r="9076">
      <c r="B9076" s="19"/>
      <c r="E9076" s="23"/>
      <c r="L9076" s="23"/>
    </row>
    <row r="9077">
      <c r="B9077" s="19"/>
      <c r="E9077" s="23"/>
      <c r="L9077" s="23"/>
    </row>
    <row r="9078">
      <c r="B9078" s="19"/>
      <c r="E9078" s="23"/>
      <c r="L9078" s="23"/>
    </row>
    <row r="9079">
      <c r="B9079" s="19"/>
      <c r="E9079" s="23"/>
      <c r="L9079" s="23"/>
    </row>
    <row r="9080">
      <c r="B9080" s="19"/>
      <c r="E9080" s="23"/>
      <c r="L9080" s="23"/>
    </row>
    <row r="9081">
      <c r="B9081" s="19"/>
      <c r="E9081" s="23"/>
      <c r="L9081" s="23"/>
    </row>
    <row r="9082">
      <c r="B9082" s="19"/>
      <c r="E9082" s="23"/>
      <c r="L9082" s="23"/>
    </row>
    <row r="9083">
      <c r="B9083" s="19"/>
      <c r="E9083" s="23"/>
      <c r="L9083" s="23"/>
    </row>
    <row r="9084">
      <c r="B9084" s="19"/>
      <c r="E9084" s="23"/>
      <c r="L9084" s="23"/>
    </row>
    <row r="9085">
      <c r="B9085" s="19"/>
      <c r="E9085" s="23"/>
      <c r="L9085" s="23"/>
    </row>
    <row r="9086">
      <c r="B9086" s="19"/>
      <c r="E9086" s="23"/>
      <c r="L9086" s="23"/>
    </row>
    <row r="9087">
      <c r="B9087" s="19"/>
      <c r="E9087" s="23"/>
      <c r="L9087" s="23"/>
    </row>
    <row r="9088">
      <c r="B9088" s="19"/>
      <c r="E9088" s="23"/>
      <c r="L9088" s="23"/>
    </row>
    <row r="9089">
      <c r="B9089" s="19"/>
      <c r="E9089" s="23"/>
      <c r="L9089" s="23"/>
    </row>
    <row r="9090">
      <c r="B9090" s="19"/>
      <c r="E9090" s="23"/>
      <c r="L9090" s="23"/>
    </row>
    <row r="9091">
      <c r="B9091" s="19"/>
      <c r="E9091" s="23"/>
      <c r="L9091" s="23"/>
    </row>
    <row r="9092">
      <c r="B9092" s="19"/>
      <c r="E9092" s="23"/>
      <c r="L9092" s="23"/>
    </row>
    <row r="9093">
      <c r="B9093" s="19"/>
      <c r="E9093" s="23"/>
      <c r="L9093" s="23"/>
    </row>
    <row r="9094">
      <c r="B9094" s="19"/>
      <c r="E9094" s="23"/>
      <c r="L9094" s="23"/>
    </row>
    <row r="9095">
      <c r="B9095" s="19"/>
      <c r="E9095" s="23"/>
      <c r="L9095" s="23"/>
    </row>
    <row r="9096">
      <c r="B9096" s="19"/>
      <c r="E9096" s="23"/>
      <c r="L9096" s="23"/>
    </row>
    <row r="9097">
      <c r="B9097" s="19"/>
      <c r="E9097" s="23"/>
      <c r="L9097" s="23"/>
    </row>
    <row r="9098">
      <c r="B9098" s="19"/>
      <c r="E9098" s="23"/>
      <c r="L9098" s="23"/>
    </row>
    <row r="9099">
      <c r="B9099" s="19"/>
      <c r="E9099" s="23"/>
      <c r="L9099" s="23"/>
    </row>
    <row r="9100">
      <c r="B9100" s="19"/>
      <c r="E9100" s="23"/>
      <c r="L9100" s="23"/>
    </row>
    <row r="9101">
      <c r="B9101" s="19"/>
      <c r="E9101" s="23"/>
      <c r="L9101" s="23"/>
    </row>
    <row r="9102">
      <c r="B9102" s="19"/>
      <c r="E9102" s="23"/>
      <c r="L9102" s="23"/>
    </row>
    <row r="9103">
      <c r="B9103" s="19"/>
      <c r="E9103" s="23"/>
      <c r="L9103" s="23"/>
    </row>
    <row r="9104">
      <c r="B9104" s="19"/>
      <c r="E9104" s="23"/>
      <c r="L9104" s="23"/>
    </row>
    <row r="9105">
      <c r="B9105" s="19"/>
      <c r="E9105" s="23"/>
      <c r="L9105" s="23"/>
    </row>
    <row r="9106">
      <c r="B9106" s="19"/>
      <c r="E9106" s="23"/>
      <c r="L9106" s="23"/>
    </row>
    <row r="9107">
      <c r="B9107" s="19"/>
      <c r="E9107" s="23"/>
      <c r="L9107" s="23"/>
    </row>
    <row r="9108">
      <c r="B9108" s="19"/>
      <c r="E9108" s="23"/>
      <c r="L9108" s="23"/>
    </row>
    <row r="9109">
      <c r="B9109" s="19"/>
      <c r="E9109" s="23"/>
      <c r="L9109" s="23"/>
    </row>
    <row r="9110">
      <c r="B9110" s="19"/>
      <c r="E9110" s="23"/>
      <c r="L9110" s="23"/>
    </row>
    <row r="9111">
      <c r="B9111" s="19"/>
      <c r="E9111" s="23"/>
      <c r="L9111" s="23"/>
    </row>
    <row r="9112">
      <c r="B9112" s="19"/>
      <c r="E9112" s="23"/>
      <c r="L9112" s="23"/>
    </row>
    <row r="9113">
      <c r="B9113" s="19"/>
      <c r="E9113" s="23"/>
      <c r="L9113" s="23"/>
    </row>
    <row r="9114">
      <c r="B9114" s="19"/>
      <c r="E9114" s="23"/>
      <c r="L9114" s="23"/>
    </row>
    <row r="9115">
      <c r="B9115" s="19"/>
      <c r="E9115" s="23"/>
      <c r="L9115" s="23"/>
    </row>
    <row r="9116">
      <c r="B9116" s="19"/>
      <c r="E9116" s="23"/>
      <c r="L9116" s="23"/>
    </row>
    <row r="9117">
      <c r="B9117" s="19"/>
      <c r="E9117" s="23"/>
      <c r="L9117" s="23"/>
    </row>
    <row r="9118">
      <c r="B9118" s="19"/>
      <c r="E9118" s="23"/>
      <c r="L9118" s="23"/>
    </row>
    <row r="9119">
      <c r="B9119" s="19"/>
      <c r="E9119" s="23"/>
      <c r="L9119" s="23"/>
    </row>
    <row r="9120">
      <c r="B9120" s="19"/>
      <c r="E9120" s="23"/>
      <c r="L9120" s="23"/>
    </row>
    <row r="9121">
      <c r="B9121" s="19"/>
      <c r="E9121" s="23"/>
      <c r="L9121" s="23"/>
    </row>
    <row r="9122">
      <c r="B9122" s="19"/>
      <c r="E9122" s="23"/>
      <c r="L9122" s="23"/>
    </row>
    <row r="9123">
      <c r="B9123" s="19"/>
      <c r="E9123" s="23"/>
      <c r="L9123" s="23"/>
    </row>
    <row r="9124">
      <c r="B9124" s="19"/>
      <c r="E9124" s="23"/>
      <c r="L9124" s="23"/>
    </row>
    <row r="9125">
      <c r="B9125" s="19"/>
      <c r="E9125" s="23"/>
      <c r="L9125" s="23"/>
    </row>
    <row r="9126">
      <c r="B9126" s="19"/>
      <c r="E9126" s="23"/>
      <c r="L9126" s="23"/>
    </row>
    <row r="9127">
      <c r="B9127" s="19"/>
      <c r="E9127" s="23"/>
      <c r="L9127" s="23"/>
    </row>
    <row r="9128">
      <c r="B9128" s="19"/>
      <c r="E9128" s="23"/>
      <c r="L9128" s="23"/>
    </row>
    <row r="9129">
      <c r="B9129" s="19"/>
      <c r="E9129" s="23"/>
      <c r="L9129" s="23"/>
    </row>
    <row r="9130">
      <c r="B9130" s="19"/>
      <c r="E9130" s="23"/>
      <c r="L9130" s="23"/>
    </row>
    <row r="9131">
      <c r="B9131" s="19"/>
      <c r="E9131" s="23"/>
      <c r="L9131" s="23"/>
    </row>
    <row r="9132">
      <c r="B9132" s="19"/>
      <c r="E9132" s="23"/>
      <c r="L9132" s="23"/>
    </row>
    <row r="9133">
      <c r="B9133" s="19"/>
      <c r="E9133" s="23"/>
      <c r="L9133" s="23"/>
    </row>
    <row r="9134">
      <c r="B9134" s="19"/>
      <c r="E9134" s="23"/>
      <c r="L9134" s="23"/>
    </row>
    <row r="9135">
      <c r="B9135" s="19"/>
      <c r="E9135" s="23"/>
      <c r="L9135" s="23"/>
    </row>
    <row r="9136">
      <c r="B9136" s="19"/>
      <c r="E9136" s="23"/>
      <c r="L9136" s="23"/>
    </row>
    <row r="9137">
      <c r="B9137" s="19"/>
      <c r="E9137" s="23"/>
      <c r="L9137" s="23"/>
    </row>
    <row r="9138">
      <c r="B9138" s="19"/>
      <c r="E9138" s="23"/>
      <c r="L9138" s="23"/>
    </row>
    <row r="9139">
      <c r="B9139" s="19"/>
      <c r="E9139" s="23"/>
      <c r="L9139" s="23"/>
    </row>
    <row r="9140">
      <c r="B9140" s="19"/>
      <c r="E9140" s="23"/>
      <c r="L9140" s="23"/>
    </row>
    <row r="9141">
      <c r="B9141" s="19"/>
      <c r="E9141" s="23"/>
      <c r="L9141" s="23"/>
    </row>
    <row r="9142">
      <c r="B9142" s="19"/>
      <c r="E9142" s="23"/>
      <c r="L9142" s="23"/>
    </row>
    <row r="9143">
      <c r="B9143" s="19"/>
      <c r="E9143" s="23"/>
      <c r="L9143" s="23"/>
    </row>
    <row r="9144">
      <c r="B9144" s="19"/>
      <c r="E9144" s="23"/>
      <c r="L9144" s="23"/>
    </row>
    <row r="9145">
      <c r="B9145" s="19"/>
      <c r="E9145" s="23"/>
      <c r="L9145" s="23"/>
    </row>
    <row r="9146">
      <c r="B9146" s="19"/>
      <c r="E9146" s="23"/>
      <c r="L9146" s="23"/>
    </row>
    <row r="9147">
      <c r="B9147" s="19"/>
      <c r="E9147" s="23"/>
      <c r="L9147" s="23"/>
    </row>
    <row r="9148">
      <c r="B9148" s="19"/>
      <c r="E9148" s="23"/>
      <c r="L9148" s="23"/>
    </row>
    <row r="9149">
      <c r="B9149" s="19"/>
      <c r="E9149" s="23"/>
      <c r="L9149" s="23"/>
    </row>
    <row r="9150">
      <c r="B9150" s="19"/>
      <c r="E9150" s="23"/>
      <c r="L9150" s="23"/>
    </row>
    <row r="9151">
      <c r="B9151" s="19"/>
      <c r="E9151" s="23"/>
      <c r="L9151" s="23"/>
    </row>
    <row r="9152">
      <c r="B9152" s="19"/>
      <c r="E9152" s="23"/>
      <c r="L9152" s="23"/>
    </row>
    <row r="9153">
      <c r="B9153" s="19"/>
      <c r="E9153" s="23"/>
      <c r="L9153" s="23"/>
    </row>
    <row r="9154">
      <c r="B9154" s="19"/>
      <c r="E9154" s="23"/>
      <c r="L9154" s="23"/>
    </row>
    <row r="9155">
      <c r="B9155" s="19"/>
      <c r="E9155" s="23"/>
      <c r="L9155" s="23"/>
    </row>
    <row r="9156">
      <c r="B9156" s="19"/>
      <c r="E9156" s="23"/>
      <c r="L9156" s="23"/>
    </row>
    <row r="9157">
      <c r="B9157" s="19"/>
      <c r="E9157" s="23"/>
      <c r="L9157" s="23"/>
    </row>
    <row r="9158">
      <c r="B9158" s="19"/>
      <c r="E9158" s="23"/>
      <c r="L9158" s="23"/>
    </row>
    <row r="9159">
      <c r="B9159" s="19"/>
      <c r="E9159" s="23"/>
      <c r="L9159" s="23"/>
    </row>
    <row r="9160">
      <c r="B9160" s="19"/>
      <c r="E9160" s="23"/>
      <c r="L9160" s="23"/>
    </row>
    <row r="9161">
      <c r="B9161" s="19"/>
      <c r="E9161" s="23"/>
      <c r="L9161" s="23"/>
    </row>
    <row r="9162">
      <c r="B9162" s="19"/>
      <c r="E9162" s="23"/>
      <c r="L9162" s="23"/>
    </row>
    <row r="9163">
      <c r="B9163" s="19"/>
      <c r="E9163" s="23"/>
      <c r="L9163" s="23"/>
    </row>
    <row r="9164">
      <c r="B9164" s="19"/>
      <c r="E9164" s="23"/>
      <c r="L9164" s="23"/>
    </row>
    <row r="9165">
      <c r="B9165" s="19"/>
      <c r="E9165" s="23"/>
      <c r="L9165" s="23"/>
    </row>
    <row r="9166">
      <c r="B9166" s="19"/>
      <c r="E9166" s="23"/>
      <c r="L9166" s="23"/>
    </row>
    <row r="9167">
      <c r="B9167" s="19"/>
      <c r="E9167" s="23"/>
      <c r="L9167" s="23"/>
    </row>
    <row r="9168">
      <c r="B9168" s="19"/>
      <c r="E9168" s="23"/>
      <c r="L9168" s="23"/>
    </row>
    <row r="9169">
      <c r="B9169" s="19"/>
      <c r="E9169" s="23"/>
      <c r="L9169" s="23"/>
    </row>
    <row r="9170">
      <c r="B9170" s="19"/>
      <c r="E9170" s="23"/>
      <c r="L9170" s="23"/>
    </row>
    <row r="9171">
      <c r="B9171" s="19"/>
      <c r="E9171" s="23"/>
      <c r="L9171" s="23"/>
    </row>
    <row r="9172">
      <c r="B9172" s="19"/>
      <c r="E9172" s="23"/>
      <c r="L9172" s="23"/>
    </row>
    <row r="9173">
      <c r="B9173" s="19"/>
      <c r="E9173" s="23"/>
      <c r="L9173" s="23"/>
    </row>
    <row r="9174">
      <c r="B9174" s="19"/>
      <c r="E9174" s="23"/>
      <c r="L9174" s="23"/>
    </row>
    <row r="9175">
      <c r="B9175" s="19"/>
      <c r="E9175" s="23"/>
      <c r="L9175" s="23"/>
    </row>
    <row r="9176">
      <c r="B9176" s="19"/>
      <c r="E9176" s="23"/>
      <c r="L9176" s="23"/>
    </row>
    <row r="9177">
      <c r="B9177" s="19"/>
      <c r="E9177" s="23"/>
      <c r="L9177" s="23"/>
    </row>
    <row r="9178">
      <c r="B9178" s="19"/>
      <c r="E9178" s="23"/>
      <c r="L9178" s="23"/>
    </row>
    <row r="9179">
      <c r="B9179" s="19"/>
      <c r="E9179" s="23"/>
      <c r="L9179" s="23"/>
    </row>
    <row r="9180">
      <c r="B9180" s="19"/>
      <c r="E9180" s="23"/>
      <c r="L9180" s="23"/>
    </row>
    <row r="9181">
      <c r="B9181" s="19"/>
      <c r="E9181" s="23"/>
      <c r="L9181" s="23"/>
    </row>
    <row r="9182">
      <c r="B9182" s="19"/>
      <c r="E9182" s="23"/>
      <c r="L9182" s="23"/>
    </row>
    <row r="9183">
      <c r="B9183" s="19"/>
      <c r="E9183" s="23"/>
      <c r="L9183" s="23"/>
    </row>
    <row r="9184">
      <c r="B9184" s="19"/>
      <c r="E9184" s="23"/>
      <c r="L9184" s="23"/>
    </row>
    <row r="9185">
      <c r="B9185" s="19"/>
      <c r="E9185" s="23"/>
      <c r="L9185" s="23"/>
    </row>
    <row r="9186">
      <c r="B9186" s="19"/>
      <c r="E9186" s="23"/>
      <c r="L9186" s="23"/>
    </row>
    <row r="9187">
      <c r="B9187" s="19"/>
      <c r="E9187" s="23"/>
      <c r="L9187" s="23"/>
    </row>
    <row r="9188">
      <c r="B9188" s="19"/>
      <c r="E9188" s="23"/>
      <c r="L9188" s="23"/>
    </row>
    <row r="9189">
      <c r="B9189" s="19"/>
      <c r="E9189" s="23"/>
      <c r="L9189" s="23"/>
    </row>
    <row r="9190">
      <c r="B9190" s="19"/>
      <c r="E9190" s="23"/>
      <c r="L9190" s="23"/>
    </row>
    <row r="9191">
      <c r="B9191" s="19"/>
      <c r="E9191" s="23"/>
      <c r="L9191" s="23"/>
    </row>
    <row r="9192">
      <c r="B9192" s="19"/>
      <c r="E9192" s="23"/>
      <c r="L9192" s="23"/>
    </row>
    <row r="9193">
      <c r="B9193" s="19"/>
      <c r="E9193" s="23"/>
      <c r="L9193" s="23"/>
    </row>
    <row r="9194">
      <c r="B9194" s="19"/>
      <c r="E9194" s="23"/>
      <c r="L9194" s="23"/>
    </row>
    <row r="9195">
      <c r="B9195" s="19"/>
      <c r="E9195" s="23"/>
      <c r="L9195" s="23"/>
    </row>
    <row r="9196">
      <c r="B9196" s="19"/>
      <c r="E9196" s="23"/>
      <c r="L9196" s="23"/>
    </row>
    <row r="9197">
      <c r="B9197" s="19"/>
      <c r="E9197" s="23"/>
      <c r="L9197" s="23"/>
    </row>
    <row r="9198">
      <c r="B9198" s="19"/>
      <c r="E9198" s="23"/>
      <c r="L9198" s="23"/>
    </row>
    <row r="9199">
      <c r="B9199" s="19"/>
      <c r="E9199" s="23"/>
      <c r="L9199" s="23"/>
    </row>
    <row r="9200">
      <c r="B9200" s="19"/>
      <c r="E9200" s="23"/>
      <c r="L9200" s="23"/>
    </row>
    <row r="9201">
      <c r="B9201" s="19"/>
      <c r="E9201" s="23"/>
      <c r="L9201" s="23"/>
    </row>
    <row r="9202">
      <c r="B9202" s="19"/>
      <c r="E9202" s="23"/>
      <c r="L9202" s="23"/>
    </row>
    <row r="9203">
      <c r="B9203" s="19"/>
      <c r="E9203" s="23"/>
      <c r="L9203" s="23"/>
    </row>
    <row r="9204">
      <c r="B9204" s="19"/>
      <c r="E9204" s="23"/>
      <c r="L9204" s="23"/>
    </row>
    <row r="9205">
      <c r="B9205" s="19"/>
      <c r="E9205" s="23"/>
      <c r="L9205" s="23"/>
    </row>
    <row r="9206">
      <c r="B9206" s="19"/>
      <c r="E9206" s="23"/>
      <c r="L9206" s="23"/>
    </row>
    <row r="9207">
      <c r="B9207" s="19"/>
      <c r="E9207" s="23"/>
      <c r="L9207" s="23"/>
    </row>
    <row r="9208">
      <c r="B9208" s="19"/>
      <c r="E9208" s="23"/>
      <c r="L9208" s="23"/>
    </row>
    <row r="9209">
      <c r="B9209" s="19"/>
      <c r="E9209" s="23"/>
      <c r="L9209" s="23"/>
    </row>
    <row r="9210">
      <c r="B9210" s="19"/>
      <c r="E9210" s="23"/>
      <c r="L9210" s="23"/>
    </row>
    <row r="9211">
      <c r="B9211" s="19"/>
      <c r="E9211" s="23"/>
      <c r="L9211" s="23"/>
    </row>
    <row r="9212">
      <c r="B9212" s="19"/>
      <c r="E9212" s="23"/>
      <c r="L9212" s="23"/>
    </row>
    <row r="9213">
      <c r="B9213" s="19"/>
      <c r="E9213" s="23"/>
      <c r="L9213" s="23"/>
    </row>
    <row r="9214">
      <c r="B9214" s="19"/>
      <c r="E9214" s="23"/>
      <c r="L9214" s="23"/>
    </row>
    <row r="9215">
      <c r="B9215" s="19"/>
      <c r="E9215" s="23"/>
      <c r="L9215" s="23"/>
    </row>
    <row r="9216">
      <c r="B9216" s="19"/>
      <c r="E9216" s="23"/>
      <c r="L9216" s="23"/>
    </row>
    <row r="9217">
      <c r="B9217" s="19"/>
      <c r="E9217" s="23"/>
      <c r="L9217" s="23"/>
    </row>
    <row r="9218">
      <c r="B9218" s="19"/>
      <c r="E9218" s="23"/>
      <c r="L9218" s="23"/>
    </row>
    <row r="9219">
      <c r="B9219" s="19"/>
      <c r="E9219" s="23"/>
      <c r="L9219" s="23"/>
    </row>
    <row r="9220">
      <c r="B9220" s="19"/>
      <c r="E9220" s="23"/>
      <c r="L9220" s="23"/>
    </row>
    <row r="9221">
      <c r="B9221" s="19"/>
      <c r="E9221" s="23"/>
      <c r="L9221" s="23"/>
    </row>
    <row r="9222">
      <c r="B9222" s="19"/>
      <c r="E9222" s="23"/>
      <c r="L9222" s="23"/>
    </row>
    <row r="9223">
      <c r="B9223" s="19"/>
      <c r="E9223" s="23"/>
      <c r="L9223" s="23"/>
    </row>
    <row r="9224">
      <c r="B9224" s="19"/>
      <c r="E9224" s="23"/>
      <c r="L9224" s="23"/>
    </row>
    <row r="9225">
      <c r="B9225" s="19"/>
      <c r="E9225" s="23"/>
      <c r="L9225" s="23"/>
    </row>
    <row r="9226">
      <c r="B9226" s="19"/>
      <c r="E9226" s="23"/>
      <c r="L9226" s="23"/>
    </row>
    <row r="9227">
      <c r="B9227" s="19"/>
      <c r="E9227" s="23"/>
      <c r="L9227" s="23"/>
    </row>
    <row r="9228">
      <c r="B9228" s="19"/>
      <c r="E9228" s="23"/>
      <c r="L9228" s="23"/>
    </row>
    <row r="9229">
      <c r="B9229" s="19"/>
      <c r="E9229" s="23"/>
      <c r="L9229" s="23"/>
    </row>
    <row r="9230">
      <c r="B9230" s="19"/>
      <c r="E9230" s="23"/>
      <c r="L9230" s="23"/>
    </row>
    <row r="9231">
      <c r="B9231" s="19"/>
      <c r="E9231" s="23"/>
      <c r="L9231" s="23"/>
    </row>
    <row r="9232">
      <c r="B9232" s="19"/>
      <c r="E9232" s="23"/>
      <c r="L9232" s="23"/>
    </row>
    <row r="9233">
      <c r="B9233" s="19"/>
      <c r="E9233" s="23"/>
      <c r="L9233" s="23"/>
    </row>
    <row r="9234">
      <c r="B9234" s="19"/>
      <c r="E9234" s="23"/>
      <c r="L9234" s="23"/>
    </row>
    <row r="9235">
      <c r="B9235" s="19"/>
      <c r="E9235" s="23"/>
      <c r="L9235" s="23"/>
    </row>
    <row r="9236">
      <c r="B9236" s="19"/>
      <c r="E9236" s="23"/>
      <c r="L9236" s="23"/>
    </row>
    <row r="9237">
      <c r="B9237" s="19"/>
      <c r="E9237" s="23"/>
      <c r="L9237" s="23"/>
    </row>
    <row r="9238">
      <c r="B9238" s="19"/>
      <c r="E9238" s="23"/>
      <c r="L9238" s="23"/>
    </row>
    <row r="9239">
      <c r="B9239" s="19"/>
      <c r="E9239" s="23"/>
      <c r="L9239" s="23"/>
    </row>
    <row r="9240">
      <c r="B9240" s="19"/>
      <c r="E9240" s="23"/>
      <c r="L9240" s="23"/>
    </row>
    <row r="9241">
      <c r="B9241" s="19"/>
      <c r="E9241" s="23"/>
      <c r="L9241" s="23"/>
    </row>
    <row r="9242">
      <c r="B9242" s="19"/>
      <c r="E9242" s="23"/>
      <c r="L9242" s="23"/>
    </row>
    <row r="9243">
      <c r="B9243" s="19"/>
      <c r="E9243" s="23"/>
      <c r="L9243" s="23"/>
    </row>
    <row r="9244">
      <c r="B9244" s="19"/>
      <c r="E9244" s="23"/>
      <c r="L9244" s="23"/>
    </row>
    <row r="9245">
      <c r="B9245" s="19"/>
      <c r="E9245" s="23"/>
      <c r="L9245" s="23"/>
    </row>
    <row r="9246">
      <c r="B9246" s="19"/>
      <c r="E9246" s="23"/>
      <c r="L9246" s="23"/>
    </row>
    <row r="9247">
      <c r="B9247" s="19"/>
      <c r="E9247" s="23"/>
      <c r="L9247" s="23"/>
    </row>
    <row r="9248">
      <c r="B9248" s="19"/>
      <c r="E9248" s="23"/>
      <c r="L9248" s="23"/>
    </row>
    <row r="9249">
      <c r="B9249" s="19"/>
      <c r="E9249" s="23"/>
      <c r="L9249" s="23"/>
    </row>
    <row r="9250">
      <c r="B9250" s="19"/>
      <c r="E9250" s="23"/>
      <c r="L9250" s="23"/>
    </row>
    <row r="9251">
      <c r="B9251" s="19"/>
      <c r="E9251" s="23"/>
      <c r="L9251" s="23"/>
    </row>
    <row r="9252">
      <c r="B9252" s="19"/>
      <c r="E9252" s="23"/>
      <c r="L9252" s="23"/>
    </row>
    <row r="9253">
      <c r="B9253" s="19"/>
      <c r="E9253" s="23"/>
      <c r="L9253" s="23"/>
    </row>
    <row r="9254">
      <c r="B9254" s="19"/>
      <c r="E9254" s="23"/>
      <c r="L9254" s="23"/>
    </row>
    <row r="9255">
      <c r="B9255" s="19"/>
      <c r="E9255" s="23"/>
      <c r="L9255" s="23"/>
    </row>
    <row r="9256">
      <c r="B9256" s="19"/>
      <c r="E9256" s="23"/>
      <c r="L9256" s="23"/>
    </row>
    <row r="9257">
      <c r="B9257" s="19"/>
      <c r="E9257" s="23"/>
      <c r="L9257" s="23"/>
    </row>
    <row r="9258">
      <c r="B9258" s="19"/>
      <c r="E9258" s="23"/>
      <c r="L9258" s="23"/>
    </row>
    <row r="9259">
      <c r="B9259" s="19"/>
      <c r="E9259" s="23"/>
      <c r="L9259" s="23"/>
    </row>
    <row r="9260">
      <c r="B9260" s="19"/>
      <c r="E9260" s="23"/>
      <c r="L9260" s="23"/>
    </row>
    <row r="9261">
      <c r="B9261" s="19"/>
      <c r="E9261" s="23"/>
      <c r="L9261" s="23"/>
    </row>
    <row r="9262">
      <c r="B9262" s="19"/>
      <c r="E9262" s="23"/>
      <c r="L9262" s="23"/>
    </row>
    <row r="9263">
      <c r="B9263" s="19"/>
      <c r="E9263" s="23"/>
      <c r="L9263" s="23"/>
    </row>
    <row r="9264">
      <c r="B9264" s="19"/>
      <c r="E9264" s="23"/>
      <c r="L9264" s="23"/>
    </row>
    <row r="9265">
      <c r="B9265" s="19"/>
      <c r="E9265" s="23"/>
      <c r="L9265" s="23"/>
    </row>
    <row r="9266">
      <c r="B9266" s="19"/>
      <c r="E9266" s="23"/>
      <c r="L9266" s="23"/>
    </row>
    <row r="9267">
      <c r="B9267" s="19"/>
      <c r="E9267" s="23"/>
      <c r="L9267" s="23"/>
    </row>
    <row r="9268">
      <c r="B9268" s="19"/>
      <c r="E9268" s="23"/>
      <c r="L9268" s="23"/>
    </row>
    <row r="9269">
      <c r="B9269" s="19"/>
      <c r="E9269" s="23"/>
      <c r="L9269" s="23"/>
    </row>
    <row r="9270">
      <c r="B9270" s="19"/>
      <c r="E9270" s="23"/>
      <c r="L9270" s="23"/>
    </row>
    <row r="9271">
      <c r="B9271" s="19"/>
      <c r="E9271" s="23"/>
      <c r="L9271" s="23"/>
    </row>
    <row r="9272">
      <c r="B9272" s="19"/>
      <c r="E9272" s="23"/>
      <c r="L9272" s="23"/>
    </row>
    <row r="9273">
      <c r="B9273" s="19"/>
      <c r="E9273" s="23"/>
      <c r="L9273" s="23"/>
    </row>
    <row r="9274">
      <c r="B9274" s="19"/>
      <c r="E9274" s="23"/>
      <c r="L9274" s="23"/>
    </row>
    <row r="9275">
      <c r="B9275" s="19"/>
      <c r="E9275" s="23"/>
      <c r="L9275" s="23"/>
    </row>
    <row r="9276">
      <c r="B9276" s="19"/>
      <c r="E9276" s="23"/>
      <c r="L9276" s="23"/>
    </row>
    <row r="9277">
      <c r="B9277" s="19"/>
      <c r="E9277" s="23"/>
      <c r="L9277" s="23"/>
    </row>
    <row r="9278">
      <c r="B9278" s="19"/>
      <c r="E9278" s="23"/>
      <c r="L9278" s="23"/>
    </row>
    <row r="9279">
      <c r="B9279" s="19"/>
      <c r="E9279" s="23"/>
      <c r="L9279" s="23"/>
    </row>
    <row r="9280">
      <c r="B9280" s="19"/>
      <c r="E9280" s="23"/>
      <c r="L9280" s="23"/>
    </row>
    <row r="9281">
      <c r="B9281" s="19"/>
      <c r="E9281" s="23"/>
      <c r="L9281" s="23"/>
    </row>
    <row r="9282">
      <c r="B9282" s="19"/>
      <c r="E9282" s="23"/>
      <c r="L9282" s="23"/>
    </row>
    <row r="9283">
      <c r="B9283" s="19"/>
      <c r="E9283" s="23"/>
      <c r="L9283" s="23"/>
    </row>
    <row r="9284">
      <c r="B9284" s="19"/>
      <c r="E9284" s="23"/>
      <c r="L9284" s="23"/>
    </row>
    <row r="9285">
      <c r="B9285" s="19"/>
      <c r="E9285" s="23"/>
      <c r="L9285" s="23"/>
    </row>
    <row r="9286">
      <c r="B9286" s="19"/>
      <c r="E9286" s="23"/>
      <c r="L9286" s="23"/>
    </row>
    <row r="9287">
      <c r="B9287" s="19"/>
      <c r="E9287" s="23"/>
      <c r="L9287" s="23"/>
    </row>
    <row r="9288">
      <c r="B9288" s="19"/>
      <c r="E9288" s="23"/>
      <c r="L9288" s="23"/>
    </row>
    <row r="9289">
      <c r="B9289" s="19"/>
      <c r="E9289" s="23"/>
      <c r="L9289" s="23"/>
    </row>
    <row r="9290">
      <c r="B9290" s="19"/>
      <c r="E9290" s="23"/>
      <c r="L9290" s="23"/>
    </row>
    <row r="9291">
      <c r="B9291" s="19"/>
      <c r="E9291" s="23"/>
      <c r="L9291" s="23"/>
    </row>
    <row r="9292">
      <c r="B9292" s="19"/>
      <c r="E9292" s="23"/>
      <c r="L9292" s="23"/>
    </row>
    <row r="9293">
      <c r="B9293" s="19"/>
      <c r="E9293" s="23"/>
      <c r="L9293" s="23"/>
    </row>
    <row r="9294">
      <c r="B9294" s="19"/>
      <c r="E9294" s="23"/>
      <c r="L9294" s="23"/>
    </row>
    <row r="9295">
      <c r="B9295" s="19"/>
      <c r="E9295" s="23"/>
      <c r="L9295" s="23"/>
    </row>
    <row r="9296">
      <c r="B9296" s="19"/>
      <c r="E9296" s="23"/>
      <c r="L9296" s="23"/>
    </row>
    <row r="9297">
      <c r="B9297" s="19"/>
      <c r="E9297" s="23"/>
      <c r="L9297" s="23"/>
    </row>
    <row r="9298">
      <c r="B9298" s="19"/>
      <c r="E9298" s="23"/>
      <c r="L9298" s="23"/>
    </row>
    <row r="9299">
      <c r="B9299" s="19"/>
      <c r="E9299" s="23"/>
      <c r="L9299" s="23"/>
    </row>
    <row r="9300">
      <c r="B9300" s="19"/>
      <c r="E9300" s="23"/>
      <c r="L9300" s="23"/>
    </row>
    <row r="9301">
      <c r="B9301" s="19"/>
      <c r="E9301" s="23"/>
      <c r="L9301" s="23"/>
    </row>
    <row r="9302">
      <c r="B9302" s="19"/>
      <c r="E9302" s="23"/>
      <c r="L9302" s="23"/>
    </row>
    <row r="9303">
      <c r="B9303" s="19"/>
      <c r="E9303" s="23"/>
      <c r="L9303" s="23"/>
    </row>
    <row r="9304">
      <c r="B9304" s="19"/>
      <c r="E9304" s="23"/>
      <c r="L9304" s="23"/>
    </row>
    <row r="9305">
      <c r="B9305" s="19"/>
      <c r="E9305" s="23"/>
      <c r="L9305" s="23"/>
    </row>
    <row r="9306">
      <c r="B9306" s="19"/>
      <c r="E9306" s="23"/>
      <c r="L9306" s="23"/>
    </row>
    <row r="9307">
      <c r="B9307" s="19"/>
      <c r="E9307" s="23"/>
      <c r="L9307" s="23"/>
    </row>
    <row r="9308">
      <c r="B9308" s="19"/>
      <c r="E9308" s="23"/>
      <c r="L9308" s="23"/>
    </row>
    <row r="9309">
      <c r="B9309" s="19"/>
      <c r="E9309" s="23"/>
      <c r="L9309" s="23"/>
    </row>
    <row r="9310">
      <c r="B9310" s="19"/>
      <c r="E9310" s="23"/>
      <c r="L9310" s="23"/>
    </row>
    <row r="9311">
      <c r="B9311" s="19"/>
      <c r="E9311" s="23"/>
      <c r="L9311" s="23"/>
    </row>
    <row r="9312">
      <c r="B9312" s="19"/>
      <c r="E9312" s="23"/>
      <c r="L9312" s="23"/>
    </row>
    <row r="9313">
      <c r="B9313" s="19"/>
      <c r="E9313" s="23"/>
      <c r="L9313" s="23"/>
    </row>
    <row r="9314">
      <c r="B9314" s="19"/>
      <c r="E9314" s="23"/>
      <c r="L9314" s="23"/>
    </row>
    <row r="9315">
      <c r="B9315" s="19"/>
      <c r="E9315" s="23"/>
      <c r="L9315" s="23"/>
    </row>
    <row r="9316">
      <c r="B9316" s="19"/>
      <c r="E9316" s="23"/>
      <c r="L9316" s="23"/>
    </row>
    <row r="9317">
      <c r="B9317" s="19"/>
      <c r="E9317" s="23"/>
      <c r="L9317" s="23"/>
    </row>
    <row r="9318">
      <c r="B9318" s="19"/>
      <c r="E9318" s="23"/>
      <c r="L9318" s="23"/>
    </row>
    <row r="9319">
      <c r="B9319" s="19"/>
      <c r="E9319" s="23"/>
      <c r="L9319" s="23"/>
    </row>
    <row r="9320">
      <c r="B9320" s="19"/>
      <c r="E9320" s="23"/>
      <c r="L9320" s="23"/>
    </row>
    <row r="9321">
      <c r="B9321" s="19"/>
      <c r="E9321" s="23"/>
      <c r="L9321" s="23"/>
    </row>
    <row r="9322">
      <c r="B9322" s="19"/>
      <c r="E9322" s="23"/>
      <c r="L9322" s="23"/>
    </row>
    <row r="9323">
      <c r="B9323" s="19"/>
      <c r="E9323" s="23"/>
      <c r="L9323" s="23"/>
    </row>
    <row r="9324">
      <c r="B9324" s="19"/>
      <c r="E9324" s="23"/>
      <c r="L9324" s="23"/>
    </row>
    <row r="9325">
      <c r="B9325" s="19"/>
      <c r="E9325" s="23"/>
      <c r="L9325" s="23"/>
    </row>
    <row r="9326">
      <c r="B9326" s="19"/>
      <c r="E9326" s="23"/>
      <c r="L9326" s="23"/>
    </row>
    <row r="9327">
      <c r="B9327" s="19"/>
      <c r="E9327" s="23"/>
      <c r="L9327" s="23"/>
    </row>
    <row r="9328">
      <c r="B9328" s="19"/>
      <c r="E9328" s="23"/>
      <c r="L9328" s="23"/>
    </row>
    <row r="9329">
      <c r="B9329" s="19"/>
      <c r="E9329" s="23"/>
      <c r="L9329" s="23"/>
    </row>
    <row r="9330">
      <c r="B9330" s="19"/>
      <c r="E9330" s="23"/>
      <c r="L9330" s="23"/>
    </row>
    <row r="9331">
      <c r="B9331" s="19"/>
      <c r="E9331" s="23"/>
      <c r="L9331" s="23"/>
    </row>
    <row r="9332">
      <c r="B9332" s="19"/>
      <c r="E9332" s="23"/>
      <c r="L9332" s="23"/>
    </row>
    <row r="9333">
      <c r="B9333" s="19"/>
      <c r="E9333" s="23"/>
      <c r="L9333" s="23"/>
    </row>
    <row r="9334">
      <c r="B9334" s="19"/>
      <c r="E9334" s="23"/>
      <c r="L9334" s="23"/>
    </row>
    <row r="9335">
      <c r="B9335" s="19"/>
      <c r="E9335" s="23"/>
      <c r="L9335" s="23"/>
    </row>
    <row r="9336">
      <c r="B9336" s="19"/>
      <c r="E9336" s="23"/>
      <c r="L9336" s="23"/>
    </row>
    <row r="9337">
      <c r="B9337" s="19"/>
      <c r="E9337" s="23"/>
      <c r="L9337" s="23"/>
    </row>
    <row r="9338">
      <c r="B9338" s="19"/>
      <c r="E9338" s="23"/>
      <c r="L9338" s="23"/>
    </row>
    <row r="9339">
      <c r="B9339" s="19"/>
      <c r="E9339" s="23"/>
      <c r="L9339" s="23"/>
    </row>
    <row r="9340">
      <c r="B9340" s="19"/>
      <c r="E9340" s="23"/>
      <c r="L9340" s="23"/>
    </row>
    <row r="9341">
      <c r="B9341" s="19"/>
      <c r="E9341" s="23"/>
      <c r="L9341" s="23"/>
    </row>
    <row r="9342">
      <c r="B9342" s="19"/>
      <c r="E9342" s="23"/>
      <c r="L9342" s="23"/>
    </row>
    <row r="9343">
      <c r="B9343" s="19"/>
      <c r="E9343" s="23"/>
      <c r="L9343" s="23"/>
    </row>
    <row r="9344">
      <c r="B9344" s="19"/>
      <c r="E9344" s="23"/>
      <c r="L9344" s="23"/>
    </row>
    <row r="9345">
      <c r="B9345" s="19"/>
      <c r="E9345" s="23"/>
      <c r="L9345" s="23"/>
    </row>
    <row r="9346">
      <c r="B9346" s="19"/>
      <c r="E9346" s="23"/>
      <c r="L9346" s="23"/>
    </row>
    <row r="9347">
      <c r="B9347" s="19"/>
      <c r="E9347" s="23"/>
      <c r="L9347" s="23"/>
    </row>
    <row r="9348">
      <c r="B9348" s="19"/>
      <c r="E9348" s="23"/>
      <c r="L9348" s="23"/>
    </row>
    <row r="9349">
      <c r="B9349" s="19"/>
      <c r="E9349" s="23"/>
      <c r="L9349" s="23"/>
    </row>
    <row r="9350">
      <c r="B9350" s="19"/>
      <c r="E9350" s="23"/>
      <c r="L9350" s="23"/>
    </row>
    <row r="9351">
      <c r="B9351" s="19"/>
      <c r="E9351" s="23"/>
      <c r="L9351" s="23"/>
    </row>
    <row r="9352">
      <c r="B9352" s="19"/>
      <c r="E9352" s="23"/>
      <c r="L9352" s="23"/>
    </row>
    <row r="9353">
      <c r="B9353" s="19"/>
      <c r="E9353" s="23"/>
      <c r="L9353" s="23"/>
    </row>
    <row r="9354">
      <c r="B9354" s="19"/>
      <c r="E9354" s="23"/>
      <c r="L9354" s="23"/>
    </row>
    <row r="9355">
      <c r="B9355" s="19"/>
      <c r="E9355" s="23"/>
      <c r="L9355" s="23"/>
    </row>
    <row r="9356">
      <c r="B9356" s="19"/>
      <c r="E9356" s="23"/>
      <c r="L9356" s="23"/>
    </row>
    <row r="9357">
      <c r="B9357" s="19"/>
      <c r="E9357" s="23"/>
      <c r="L9357" s="23"/>
    </row>
    <row r="9358">
      <c r="B9358" s="19"/>
      <c r="E9358" s="23"/>
      <c r="L9358" s="23"/>
    </row>
    <row r="9359">
      <c r="B9359" s="19"/>
      <c r="E9359" s="23"/>
      <c r="L9359" s="23"/>
    </row>
    <row r="9360">
      <c r="B9360" s="19"/>
      <c r="E9360" s="23"/>
      <c r="L9360" s="23"/>
    </row>
    <row r="9361">
      <c r="B9361" s="19"/>
      <c r="E9361" s="23"/>
      <c r="L9361" s="23"/>
    </row>
    <row r="9362">
      <c r="B9362" s="19"/>
      <c r="E9362" s="23"/>
      <c r="L9362" s="23"/>
    </row>
    <row r="9363">
      <c r="B9363" s="19"/>
      <c r="E9363" s="23"/>
      <c r="L9363" s="23"/>
    </row>
    <row r="9364">
      <c r="B9364" s="19"/>
      <c r="E9364" s="23"/>
      <c r="L9364" s="23"/>
    </row>
    <row r="9365">
      <c r="B9365" s="19"/>
      <c r="E9365" s="23"/>
      <c r="L9365" s="23"/>
    </row>
    <row r="9366">
      <c r="B9366" s="19"/>
      <c r="E9366" s="23"/>
      <c r="L9366" s="23"/>
    </row>
    <row r="9367">
      <c r="B9367" s="19"/>
      <c r="E9367" s="23"/>
      <c r="L9367" s="23"/>
    </row>
    <row r="9368">
      <c r="B9368" s="19"/>
      <c r="E9368" s="23"/>
      <c r="L9368" s="23"/>
    </row>
    <row r="9369">
      <c r="B9369" s="19"/>
      <c r="E9369" s="23"/>
      <c r="L9369" s="23"/>
    </row>
    <row r="9370">
      <c r="B9370" s="19"/>
      <c r="E9370" s="23"/>
      <c r="L9370" s="23"/>
    </row>
    <row r="9371">
      <c r="B9371" s="19"/>
      <c r="E9371" s="23"/>
      <c r="L9371" s="23"/>
    </row>
    <row r="9372">
      <c r="B9372" s="19"/>
      <c r="E9372" s="23"/>
      <c r="L9372" s="23"/>
    </row>
    <row r="9373">
      <c r="B9373" s="19"/>
      <c r="E9373" s="23"/>
      <c r="L9373" s="23"/>
    </row>
    <row r="9374">
      <c r="B9374" s="19"/>
      <c r="E9374" s="23"/>
      <c r="L9374" s="23"/>
    </row>
    <row r="9375">
      <c r="B9375" s="19"/>
      <c r="E9375" s="23"/>
      <c r="L9375" s="23"/>
    </row>
    <row r="9376">
      <c r="B9376" s="19"/>
      <c r="E9376" s="23"/>
      <c r="L9376" s="23"/>
    </row>
    <row r="9377">
      <c r="B9377" s="19"/>
      <c r="E9377" s="23"/>
      <c r="L9377" s="23"/>
    </row>
    <row r="9378">
      <c r="B9378" s="19"/>
      <c r="E9378" s="23"/>
      <c r="L9378" s="23"/>
    </row>
    <row r="9379">
      <c r="B9379" s="19"/>
      <c r="E9379" s="23"/>
      <c r="L9379" s="23"/>
    </row>
    <row r="9380">
      <c r="B9380" s="19"/>
      <c r="E9380" s="23"/>
      <c r="L9380" s="23"/>
    </row>
    <row r="9381">
      <c r="B9381" s="19"/>
      <c r="E9381" s="23"/>
      <c r="L9381" s="23"/>
    </row>
    <row r="9382">
      <c r="B9382" s="19"/>
      <c r="E9382" s="23"/>
      <c r="L9382" s="23"/>
    </row>
    <row r="9383">
      <c r="B9383" s="19"/>
      <c r="E9383" s="23"/>
      <c r="L9383" s="23"/>
    </row>
    <row r="9384">
      <c r="B9384" s="19"/>
      <c r="E9384" s="23"/>
      <c r="L9384" s="23"/>
    </row>
    <row r="9385">
      <c r="B9385" s="19"/>
      <c r="E9385" s="23"/>
      <c r="L9385" s="23"/>
    </row>
    <row r="9386">
      <c r="B9386" s="19"/>
      <c r="E9386" s="23"/>
      <c r="L9386" s="23"/>
    </row>
    <row r="9387">
      <c r="B9387" s="19"/>
      <c r="E9387" s="23"/>
      <c r="L9387" s="23"/>
    </row>
    <row r="9388">
      <c r="B9388" s="19"/>
      <c r="E9388" s="23"/>
      <c r="L9388" s="23"/>
    </row>
    <row r="9389">
      <c r="B9389" s="19"/>
      <c r="E9389" s="23"/>
      <c r="L9389" s="23"/>
    </row>
    <row r="9390">
      <c r="B9390" s="19"/>
      <c r="E9390" s="23"/>
      <c r="L9390" s="23"/>
    </row>
    <row r="9391">
      <c r="B9391" s="19"/>
      <c r="E9391" s="23"/>
      <c r="L9391" s="23"/>
    </row>
    <row r="9392">
      <c r="B9392" s="19"/>
      <c r="E9392" s="23"/>
      <c r="L9392" s="23"/>
    </row>
    <row r="9393">
      <c r="B9393" s="19"/>
      <c r="E9393" s="23"/>
      <c r="L9393" s="23"/>
    </row>
    <row r="9394">
      <c r="B9394" s="19"/>
      <c r="E9394" s="23"/>
      <c r="L9394" s="23"/>
    </row>
    <row r="9395">
      <c r="B9395" s="19"/>
      <c r="E9395" s="23"/>
      <c r="L9395" s="23"/>
    </row>
    <row r="9396">
      <c r="B9396" s="19"/>
      <c r="E9396" s="23"/>
      <c r="L9396" s="23"/>
    </row>
    <row r="9397">
      <c r="B9397" s="19"/>
      <c r="E9397" s="23"/>
      <c r="L9397" s="23"/>
    </row>
    <row r="9398">
      <c r="B9398" s="19"/>
      <c r="E9398" s="23"/>
      <c r="L9398" s="23"/>
    </row>
    <row r="9399">
      <c r="B9399" s="19"/>
      <c r="E9399" s="23"/>
      <c r="L9399" s="23"/>
    </row>
    <row r="9400">
      <c r="B9400" s="19"/>
      <c r="E9400" s="23"/>
      <c r="L9400" s="23"/>
    </row>
    <row r="9401">
      <c r="B9401" s="19"/>
      <c r="E9401" s="23"/>
      <c r="L9401" s="23"/>
    </row>
    <row r="9402">
      <c r="B9402" s="19"/>
      <c r="E9402" s="23"/>
      <c r="L9402" s="23"/>
    </row>
    <row r="9403">
      <c r="B9403" s="19"/>
      <c r="E9403" s="23"/>
      <c r="L9403" s="23"/>
    </row>
    <row r="9404">
      <c r="B9404" s="19"/>
      <c r="E9404" s="23"/>
      <c r="L9404" s="23"/>
    </row>
    <row r="9405">
      <c r="B9405" s="19"/>
      <c r="E9405" s="23"/>
      <c r="L9405" s="23"/>
    </row>
    <row r="9406">
      <c r="B9406" s="19"/>
      <c r="E9406" s="23"/>
      <c r="L9406" s="23"/>
    </row>
    <row r="9407">
      <c r="B9407" s="19"/>
      <c r="E9407" s="23"/>
      <c r="L9407" s="23"/>
    </row>
    <row r="9408">
      <c r="B9408" s="19"/>
      <c r="E9408" s="23"/>
      <c r="L9408" s="23"/>
    </row>
    <row r="9409">
      <c r="B9409" s="19"/>
      <c r="E9409" s="23"/>
      <c r="L9409" s="23"/>
    </row>
    <row r="9410">
      <c r="B9410" s="19"/>
      <c r="E9410" s="23"/>
      <c r="L9410" s="23"/>
    </row>
    <row r="9411">
      <c r="B9411" s="19"/>
      <c r="E9411" s="23"/>
      <c r="L9411" s="23"/>
    </row>
    <row r="9412">
      <c r="B9412" s="19"/>
      <c r="E9412" s="23"/>
      <c r="L9412" s="23"/>
    </row>
    <row r="9413">
      <c r="B9413" s="19"/>
      <c r="E9413" s="23"/>
      <c r="L9413" s="23"/>
    </row>
    <row r="9414">
      <c r="B9414" s="19"/>
      <c r="E9414" s="23"/>
      <c r="L9414" s="23"/>
    </row>
    <row r="9415">
      <c r="B9415" s="19"/>
      <c r="E9415" s="23"/>
      <c r="L9415" s="23"/>
    </row>
    <row r="9416">
      <c r="B9416" s="19"/>
      <c r="E9416" s="23"/>
      <c r="L9416" s="23"/>
    </row>
    <row r="9417">
      <c r="B9417" s="19"/>
      <c r="E9417" s="23"/>
      <c r="L9417" s="23"/>
    </row>
    <row r="9418">
      <c r="B9418" s="19"/>
      <c r="E9418" s="23"/>
      <c r="L9418" s="23"/>
    </row>
    <row r="9419">
      <c r="B9419" s="19"/>
      <c r="E9419" s="23"/>
      <c r="L9419" s="23"/>
    </row>
    <row r="9420">
      <c r="B9420" s="19"/>
      <c r="E9420" s="23"/>
      <c r="L9420" s="23"/>
    </row>
    <row r="9421">
      <c r="B9421" s="19"/>
      <c r="E9421" s="23"/>
      <c r="L9421" s="23"/>
    </row>
    <row r="9422">
      <c r="B9422" s="19"/>
      <c r="E9422" s="23"/>
      <c r="L9422" s="23"/>
    </row>
    <row r="9423">
      <c r="B9423" s="19"/>
      <c r="E9423" s="23"/>
      <c r="L9423" s="23"/>
    </row>
    <row r="9424">
      <c r="B9424" s="19"/>
      <c r="E9424" s="23"/>
      <c r="L9424" s="23"/>
    </row>
    <row r="9425">
      <c r="B9425" s="19"/>
      <c r="E9425" s="23"/>
      <c r="L9425" s="23"/>
    </row>
    <row r="9426">
      <c r="B9426" s="19"/>
      <c r="E9426" s="23"/>
      <c r="L9426" s="23"/>
    </row>
    <row r="9427">
      <c r="B9427" s="19"/>
      <c r="E9427" s="23"/>
      <c r="L9427" s="23"/>
    </row>
    <row r="9428">
      <c r="B9428" s="19"/>
      <c r="E9428" s="23"/>
      <c r="L9428" s="23"/>
    </row>
    <row r="9429">
      <c r="B9429" s="19"/>
      <c r="E9429" s="23"/>
      <c r="L9429" s="23"/>
    </row>
    <row r="9430">
      <c r="B9430" s="19"/>
      <c r="E9430" s="23"/>
      <c r="L9430" s="23"/>
    </row>
    <row r="9431">
      <c r="B9431" s="19"/>
      <c r="E9431" s="23"/>
      <c r="L9431" s="23"/>
    </row>
    <row r="9432">
      <c r="B9432" s="19"/>
      <c r="E9432" s="23"/>
      <c r="L9432" s="23"/>
    </row>
    <row r="9433">
      <c r="B9433" s="19"/>
      <c r="E9433" s="23"/>
      <c r="L9433" s="23"/>
    </row>
    <row r="9434">
      <c r="B9434" s="19"/>
      <c r="E9434" s="23"/>
      <c r="L9434" s="23"/>
    </row>
    <row r="9435">
      <c r="B9435" s="19"/>
      <c r="E9435" s="23"/>
      <c r="L9435" s="23"/>
    </row>
    <row r="9436">
      <c r="B9436" s="19"/>
      <c r="E9436" s="23"/>
      <c r="L9436" s="23"/>
    </row>
    <row r="9437">
      <c r="B9437" s="19"/>
      <c r="E9437" s="23"/>
      <c r="L9437" s="23"/>
    </row>
    <row r="9438">
      <c r="B9438" s="19"/>
      <c r="E9438" s="23"/>
      <c r="L9438" s="23"/>
    </row>
    <row r="9439">
      <c r="B9439" s="19"/>
      <c r="E9439" s="23"/>
      <c r="L9439" s="23"/>
    </row>
    <row r="9440">
      <c r="B9440" s="19"/>
      <c r="E9440" s="23"/>
      <c r="L9440" s="23"/>
    </row>
    <row r="9441">
      <c r="B9441" s="19"/>
      <c r="E9441" s="23"/>
      <c r="L9441" s="23"/>
    </row>
    <row r="9442">
      <c r="B9442" s="19"/>
      <c r="E9442" s="23"/>
      <c r="L9442" s="23"/>
    </row>
    <row r="9443">
      <c r="B9443" s="19"/>
      <c r="E9443" s="23"/>
      <c r="L9443" s="23"/>
    </row>
    <row r="9444">
      <c r="B9444" s="19"/>
      <c r="E9444" s="23"/>
      <c r="L9444" s="23"/>
    </row>
    <row r="9445">
      <c r="B9445" s="19"/>
      <c r="E9445" s="23"/>
      <c r="L9445" s="23"/>
    </row>
    <row r="9446">
      <c r="B9446" s="19"/>
      <c r="E9446" s="23"/>
      <c r="L9446" s="23"/>
    </row>
    <row r="9447">
      <c r="B9447" s="19"/>
      <c r="E9447" s="23"/>
      <c r="L9447" s="23"/>
    </row>
    <row r="9448">
      <c r="B9448" s="19"/>
      <c r="E9448" s="23"/>
      <c r="L9448" s="23"/>
    </row>
    <row r="9449">
      <c r="B9449" s="19"/>
      <c r="E9449" s="23"/>
      <c r="L9449" s="23"/>
    </row>
    <row r="9450">
      <c r="B9450" s="19"/>
      <c r="E9450" s="23"/>
      <c r="L9450" s="23"/>
    </row>
    <row r="9451">
      <c r="B9451" s="19"/>
      <c r="E9451" s="23"/>
      <c r="L9451" s="23"/>
    </row>
    <row r="9452">
      <c r="B9452" s="19"/>
      <c r="E9452" s="23"/>
      <c r="L9452" s="23"/>
    </row>
    <row r="9453">
      <c r="B9453" s="19"/>
      <c r="E9453" s="23"/>
      <c r="L9453" s="23"/>
    </row>
    <row r="9454">
      <c r="B9454" s="19"/>
      <c r="E9454" s="23"/>
      <c r="L9454" s="23"/>
    </row>
    <row r="9455">
      <c r="B9455" s="19"/>
      <c r="E9455" s="23"/>
      <c r="L9455" s="23"/>
    </row>
    <row r="9456">
      <c r="B9456" s="19"/>
      <c r="E9456" s="23"/>
      <c r="L9456" s="23"/>
    </row>
    <row r="9457">
      <c r="B9457" s="19"/>
      <c r="E9457" s="23"/>
      <c r="L9457" s="23"/>
    </row>
    <row r="9458">
      <c r="B9458" s="19"/>
      <c r="E9458" s="23"/>
      <c r="L9458" s="23"/>
    </row>
    <row r="9459">
      <c r="B9459" s="19"/>
      <c r="E9459" s="23"/>
      <c r="L9459" s="23"/>
    </row>
    <row r="9460">
      <c r="B9460" s="19"/>
      <c r="E9460" s="23"/>
      <c r="L9460" s="23"/>
    </row>
    <row r="9461">
      <c r="B9461" s="19"/>
      <c r="E9461" s="23"/>
      <c r="L9461" s="23"/>
    </row>
    <row r="9462">
      <c r="B9462" s="19"/>
      <c r="E9462" s="23"/>
      <c r="L9462" s="23"/>
    </row>
    <row r="9463">
      <c r="B9463" s="19"/>
      <c r="E9463" s="23"/>
      <c r="L9463" s="23"/>
    </row>
    <row r="9464">
      <c r="B9464" s="19"/>
      <c r="E9464" s="23"/>
      <c r="L9464" s="23"/>
    </row>
    <row r="9465">
      <c r="B9465" s="19"/>
      <c r="E9465" s="23"/>
      <c r="L9465" s="23"/>
    </row>
    <row r="9466">
      <c r="B9466" s="19"/>
      <c r="E9466" s="23"/>
      <c r="L9466" s="23"/>
    </row>
    <row r="9467">
      <c r="B9467" s="19"/>
      <c r="E9467" s="23"/>
      <c r="L9467" s="23"/>
    </row>
    <row r="9468">
      <c r="B9468" s="19"/>
      <c r="E9468" s="23"/>
      <c r="L9468" s="23"/>
    </row>
    <row r="9469">
      <c r="B9469" s="19"/>
      <c r="E9469" s="23"/>
      <c r="L9469" s="23"/>
    </row>
    <row r="9470">
      <c r="B9470" s="19"/>
      <c r="E9470" s="23"/>
      <c r="L9470" s="23"/>
    </row>
    <row r="9471">
      <c r="B9471" s="19"/>
      <c r="E9471" s="23"/>
      <c r="L9471" s="23"/>
    </row>
    <row r="9472">
      <c r="B9472" s="19"/>
      <c r="E9472" s="23"/>
      <c r="L9472" s="23"/>
    </row>
    <row r="9473">
      <c r="B9473" s="19"/>
      <c r="E9473" s="23"/>
      <c r="L9473" s="23"/>
    </row>
    <row r="9474">
      <c r="B9474" s="19"/>
      <c r="E9474" s="23"/>
      <c r="L9474" s="23"/>
    </row>
    <row r="9475">
      <c r="B9475" s="19"/>
      <c r="E9475" s="23"/>
      <c r="L9475" s="23"/>
    </row>
    <row r="9476">
      <c r="B9476" s="19"/>
      <c r="E9476" s="23"/>
      <c r="L9476" s="23"/>
    </row>
    <row r="9477">
      <c r="B9477" s="19"/>
      <c r="E9477" s="23"/>
      <c r="L9477" s="23"/>
    </row>
    <row r="9478">
      <c r="B9478" s="19"/>
      <c r="E9478" s="23"/>
      <c r="L9478" s="23"/>
    </row>
    <row r="9479">
      <c r="B9479" s="19"/>
      <c r="E9479" s="23"/>
      <c r="L9479" s="23"/>
    </row>
    <row r="9480">
      <c r="B9480" s="19"/>
      <c r="E9480" s="23"/>
      <c r="L9480" s="23"/>
    </row>
    <row r="9481">
      <c r="B9481" s="19"/>
      <c r="E9481" s="23"/>
      <c r="L9481" s="23"/>
    </row>
    <row r="9482">
      <c r="B9482" s="19"/>
      <c r="E9482" s="23"/>
      <c r="L9482" s="23"/>
    </row>
    <row r="9483">
      <c r="B9483" s="19"/>
      <c r="E9483" s="23"/>
      <c r="L9483" s="23"/>
    </row>
    <row r="9484">
      <c r="B9484" s="19"/>
      <c r="E9484" s="23"/>
      <c r="L9484" s="23"/>
    </row>
    <row r="9485">
      <c r="B9485" s="19"/>
      <c r="E9485" s="23"/>
      <c r="L9485" s="23"/>
    </row>
    <row r="9486">
      <c r="B9486" s="19"/>
      <c r="E9486" s="23"/>
      <c r="L9486" s="23"/>
    </row>
    <row r="9487">
      <c r="B9487" s="19"/>
      <c r="E9487" s="23"/>
      <c r="L9487" s="23"/>
    </row>
    <row r="9488">
      <c r="B9488" s="19"/>
      <c r="E9488" s="23"/>
      <c r="L9488" s="23"/>
    </row>
    <row r="9489">
      <c r="B9489" s="19"/>
      <c r="E9489" s="23"/>
      <c r="L9489" s="23"/>
    </row>
    <row r="9490">
      <c r="B9490" s="19"/>
      <c r="E9490" s="23"/>
      <c r="L9490" s="23"/>
    </row>
    <row r="9491">
      <c r="B9491" s="19"/>
      <c r="E9491" s="23"/>
      <c r="L9491" s="23"/>
    </row>
    <row r="9492">
      <c r="B9492" s="19"/>
      <c r="E9492" s="23"/>
      <c r="L9492" s="23"/>
    </row>
    <row r="9493">
      <c r="B9493" s="19"/>
      <c r="E9493" s="23"/>
      <c r="L9493" s="23"/>
    </row>
    <row r="9494">
      <c r="B9494" s="19"/>
      <c r="E9494" s="23"/>
      <c r="L9494" s="23"/>
    </row>
    <row r="9495">
      <c r="B9495" s="19"/>
      <c r="E9495" s="23"/>
      <c r="L9495" s="23"/>
    </row>
    <row r="9496">
      <c r="B9496" s="19"/>
      <c r="E9496" s="23"/>
      <c r="L9496" s="23"/>
    </row>
    <row r="9497">
      <c r="B9497" s="19"/>
      <c r="E9497" s="23"/>
      <c r="L9497" s="23"/>
    </row>
    <row r="9498">
      <c r="B9498" s="19"/>
      <c r="E9498" s="23"/>
      <c r="L9498" s="23"/>
    </row>
    <row r="9499">
      <c r="B9499" s="19"/>
      <c r="E9499" s="23"/>
      <c r="L9499" s="23"/>
    </row>
    <row r="9500">
      <c r="B9500" s="19"/>
      <c r="E9500" s="23"/>
      <c r="L9500" s="23"/>
    </row>
    <row r="9501">
      <c r="B9501" s="19"/>
      <c r="E9501" s="23"/>
      <c r="L9501" s="23"/>
    </row>
    <row r="9502">
      <c r="B9502" s="19"/>
      <c r="E9502" s="23"/>
      <c r="L9502" s="23"/>
    </row>
    <row r="9503">
      <c r="B9503" s="19"/>
      <c r="E9503" s="23"/>
      <c r="L9503" s="23"/>
    </row>
    <row r="9504">
      <c r="B9504" s="19"/>
      <c r="E9504" s="23"/>
      <c r="L9504" s="23"/>
    </row>
    <row r="9505">
      <c r="B9505" s="19"/>
      <c r="E9505" s="23"/>
      <c r="L9505" s="23"/>
    </row>
    <row r="9506">
      <c r="B9506" s="19"/>
      <c r="E9506" s="23"/>
      <c r="L9506" s="23"/>
    </row>
    <row r="9507">
      <c r="B9507" s="19"/>
      <c r="E9507" s="23"/>
      <c r="L9507" s="23"/>
    </row>
    <row r="9508">
      <c r="B9508" s="19"/>
      <c r="E9508" s="23"/>
      <c r="L9508" s="23"/>
    </row>
    <row r="9509">
      <c r="B9509" s="19"/>
      <c r="E9509" s="23"/>
      <c r="L9509" s="23"/>
    </row>
    <row r="9510">
      <c r="B9510" s="19"/>
      <c r="E9510" s="23"/>
      <c r="L9510" s="23"/>
    </row>
    <row r="9511">
      <c r="B9511" s="19"/>
      <c r="E9511" s="23"/>
      <c r="L9511" s="23"/>
    </row>
    <row r="9512">
      <c r="B9512" s="19"/>
      <c r="E9512" s="23"/>
      <c r="L9512" s="23"/>
    </row>
    <row r="9513">
      <c r="B9513" s="19"/>
      <c r="E9513" s="23"/>
      <c r="L9513" s="23"/>
    </row>
    <row r="9514">
      <c r="B9514" s="19"/>
      <c r="E9514" s="23"/>
      <c r="L9514" s="23"/>
    </row>
    <row r="9515">
      <c r="B9515" s="19"/>
      <c r="E9515" s="23"/>
      <c r="L9515" s="23"/>
    </row>
    <row r="9516">
      <c r="B9516" s="19"/>
      <c r="E9516" s="23"/>
      <c r="L9516" s="23"/>
    </row>
    <row r="9517">
      <c r="B9517" s="19"/>
      <c r="E9517" s="23"/>
      <c r="L9517" s="23"/>
    </row>
    <row r="9518">
      <c r="B9518" s="19"/>
      <c r="E9518" s="23"/>
      <c r="L9518" s="23"/>
    </row>
    <row r="9519">
      <c r="B9519" s="19"/>
      <c r="E9519" s="23"/>
      <c r="L9519" s="23"/>
    </row>
    <row r="9520">
      <c r="B9520" s="19"/>
      <c r="E9520" s="23"/>
      <c r="L9520" s="23"/>
    </row>
    <row r="9521">
      <c r="B9521" s="19"/>
      <c r="E9521" s="23"/>
      <c r="L9521" s="23"/>
    </row>
    <row r="9522">
      <c r="B9522" s="19"/>
      <c r="E9522" s="23"/>
      <c r="L9522" s="23"/>
    </row>
    <row r="9523">
      <c r="B9523" s="19"/>
      <c r="E9523" s="23"/>
      <c r="L9523" s="23"/>
    </row>
    <row r="9524">
      <c r="B9524" s="19"/>
      <c r="E9524" s="23"/>
      <c r="L9524" s="23"/>
    </row>
    <row r="9525">
      <c r="B9525" s="19"/>
      <c r="E9525" s="23"/>
      <c r="L9525" s="23"/>
    </row>
    <row r="9526">
      <c r="B9526" s="19"/>
      <c r="E9526" s="23"/>
      <c r="L9526" s="23"/>
    </row>
    <row r="9527">
      <c r="B9527" s="19"/>
      <c r="E9527" s="23"/>
      <c r="L9527" s="23"/>
    </row>
    <row r="9528">
      <c r="B9528" s="19"/>
      <c r="E9528" s="23"/>
      <c r="L9528" s="23"/>
    </row>
    <row r="9529">
      <c r="B9529" s="19"/>
      <c r="E9529" s="23"/>
      <c r="L9529" s="23"/>
    </row>
    <row r="9530">
      <c r="B9530" s="19"/>
      <c r="E9530" s="23"/>
      <c r="L9530" s="23"/>
    </row>
    <row r="9531">
      <c r="B9531" s="19"/>
      <c r="E9531" s="23"/>
      <c r="L9531" s="23"/>
    </row>
    <row r="9532">
      <c r="B9532" s="19"/>
      <c r="E9532" s="23"/>
      <c r="L9532" s="23"/>
    </row>
    <row r="9533">
      <c r="B9533" s="19"/>
      <c r="E9533" s="23"/>
      <c r="L9533" s="23"/>
    </row>
    <row r="9534">
      <c r="B9534" s="19"/>
      <c r="E9534" s="23"/>
      <c r="L9534" s="23"/>
    </row>
    <row r="9535">
      <c r="B9535" s="19"/>
      <c r="E9535" s="23"/>
      <c r="L9535" s="23"/>
    </row>
    <row r="9536">
      <c r="B9536" s="19"/>
      <c r="E9536" s="23"/>
      <c r="L9536" s="23"/>
    </row>
    <row r="9537">
      <c r="B9537" s="19"/>
      <c r="E9537" s="23"/>
      <c r="L9537" s="23"/>
    </row>
    <row r="9538">
      <c r="B9538" s="19"/>
      <c r="E9538" s="23"/>
      <c r="L9538" s="23"/>
    </row>
    <row r="9539">
      <c r="B9539" s="19"/>
      <c r="E9539" s="23"/>
      <c r="L9539" s="23"/>
    </row>
    <row r="9540">
      <c r="B9540" s="19"/>
      <c r="E9540" s="23"/>
      <c r="L9540" s="23"/>
    </row>
    <row r="9541">
      <c r="B9541" s="19"/>
      <c r="E9541" s="23"/>
      <c r="L9541" s="23"/>
    </row>
    <row r="9542">
      <c r="B9542" s="19"/>
      <c r="E9542" s="23"/>
      <c r="L9542" s="23"/>
    </row>
    <row r="9543">
      <c r="B9543" s="19"/>
      <c r="E9543" s="23"/>
      <c r="L9543" s="23"/>
    </row>
    <row r="9544">
      <c r="B9544" s="19"/>
      <c r="E9544" s="23"/>
      <c r="L9544" s="23"/>
    </row>
    <row r="9545">
      <c r="B9545" s="19"/>
      <c r="E9545" s="23"/>
      <c r="L9545" s="23"/>
    </row>
    <row r="9546">
      <c r="B9546" s="19"/>
      <c r="E9546" s="23"/>
      <c r="L9546" s="23"/>
    </row>
    <row r="9547">
      <c r="B9547" s="19"/>
      <c r="E9547" s="23"/>
      <c r="L9547" s="23"/>
    </row>
    <row r="9548">
      <c r="B9548" s="19"/>
      <c r="E9548" s="23"/>
      <c r="L9548" s="23"/>
    </row>
    <row r="9549">
      <c r="B9549" s="19"/>
      <c r="E9549" s="23"/>
      <c r="L9549" s="23"/>
    </row>
    <row r="9550">
      <c r="B9550" s="19"/>
      <c r="E9550" s="23"/>
      <c r="L9550" s="23"/>
    </row>
    <row r="9551">
      <c r="B9551" s="19"/>
      <c r="E9551" s="23"/>
      <c r="L9551" s="23"/>
    </row>
    <row r="9552">
      <c r="B9552" s="19"/>
      <c r="E9552" s="23"/>
      <c r="L9552" s="23"/>
    </row>
    <row r="9553">
      <c r="B9553" s="19"/>
      <c r="E9553" s="23"/>
      <c r="L9553" s="23"/>
    </row>
    <row r="9554">
      <c r="B9554" s="19"/>
      <c r="E9554" s="23"/>
      <c r="L9554" s="23"/>
    </row>
    <row r="9555">
      <c r="B9555" s="19"/>
      <c r="E9555" s="23"/>
      <c r="L9555" s="23"/>
    </row>
    <row r="9556">
      <c r="B9556" s="19"/>
      <c r="E9556" s="23"/>
      <c r="L9556" s="23"/>
    </row>
    <row r="9557">
      <c r="B9557" s="19"/>
      <c r="E9557" s="23"/>
      <c r="L9557" s="23"/>
    </row>
    <row r="9558">
      <c r="B9558" s="19"/>
      <c r="E9558" s="23"/>
      <c r="L9558" s="23"/>
    </row>
    <row r="9559">
      <c r="B9559" s="19"/>
      <c r="E9559" s="23"/>
      <c r="L9559" s="23"/>
    </row>
    <row r="9560">
      <c r="B9560" s="19"/>
      <c r="E9560" s="23"/>
      <c r="L9560" s="23"/>
    </row>
    <row r="9561">
      <c r="B9561" s="19"/>
      <c r="E9561" s="23"/>
      <c r="L9561" s="23"/>
    </row>
    <row r="9562">
      <c r="B9562" s="19"/>
      <c r="E9562" s="23"/>
      <c r="L9562" s="23"/>
    </row>
    <row r="9563">
      <c r="B9563" s="19"/>
      <c r="E9563" s="23"/>
      <c r="L9563" s="23"/>
    </row>
    <row r="9564">
      <c r="B9564" s="19"/>
      <c r="E9564" s="23"/>
      <c r="L9564" s="23"/>
    </row>
    <row r="9565">
      <c r="B9565" s="19"/>
      <c r="E9565" s="23"/>
      <c r="L9565" s="23"/>
    </row>
    <row r="9566">
      <c r="B9566" s="19"/>
      <c r="E9566" s="23"/>
      <c r="L9566" s="23"/>
    </row>
    <row r="9567">
      <c r="B9567" s="19"/>
      <c r="E9567" s="23"/>
      <c r="L9567" s="23"/>
    </row>
    <row r="9568">
      <c r="B9568" s="19"/>
      <c r="E9568" s="23"/>
      <c r="L9568" s="23"/>
    </row>
    <row r="9569">
      <c r="B9569" s="19"/>
      <c r="E9569" s="23"/>
      <c r="L9569" s="23"/>
    </row>
    <row r="9570">
      <c r="B9570" s="19"/>
      <c r="E9570" s="23"/>
      <c r="L9570" s="23"/>
    </row>
    <row r="9571">
      <c r="B9571" s="19"/>
      <c r="E9571" s="23"/>
      <c r="L9571" s="23"/>
    </row>
    <row r="9572">
      <c r="B9572" s="19"/>
      <c r="E9572" s="23"/>
      <c r="L9572" s="23"/>
    </row>
    <row r="9573">
      <c r="B9573" s="19"/>
      <c r="E9573" s="23"/>
      <c r="L9573" s="23"/>
    </row>
    <row r="9574">
      <c r="B9574" s="19"/>
      <c r="E9574" s="23"/>
      <c r="L9574" s="23"/>
    </row>
    <row r="9575">
      <c r="B9575" s="19"/>
      <c r="E9575" s="23"/>
      <c r="L9575" s="23"/>
    </row>
    <row r="9576">
      <c r="B9576" s="19"/>
      <c r="E9576" s="23"/>
      <c r="L9576" s="23"/>
    </row>
    <row r="9577">
      <c r="B9577" s="19"/>
      <c r="E9577" s="23"/>
      <c r="L9577" s="23"/>
    </row>
    <row r="9578">
      <c r="B9578" s="19"/>
      <c r="E9578" s="23"/>
      <c r="L9578" s="23"/>
    </row>
    <row r="9579">
      <c r="B9579" s="19"/>
      <c r="E9579" s="23"/>
      <c r="L9579" s="23"/>
    </row>
    <row r="9580">
      <c r="B9580" s="19"/>
      <c r="E9580" s="23"/>
      <c r="L9580" s="23"/>
    </row>
    <row r="9581">
      <c r="B9581" s="19"/>
      <c r="E9581" s="23"/>
      <c r="L9581" s="23"/>
    </row>
    <row r="9582">
      <c r="B9582" s="19"/>
      <c r="E9582" s="23"/>
      <c r="L9582" s="23"/>
    </row>
    <row r="9583">
      <c r="B9583" s="19"/>
      <c r="E9583" s="23"/>
      <c r="L9583" s="23"/>
    </row>
    <row r="9584">
      <c r="B9584" s="19"/>
      <c r="E9584" s="23"/>
      <c r="L9584" s="23"/>
    </row>
    <row r="9585">
      <c r="B9585" s="19"/>
      <c r="E9585" s="23"/>
      <c r="L9585" s="23"/>
    </row>
    <row r="9586">
      <c r="B9586" s="19"/>
      <c r="E9586" s="23"/>
      <c r="L9586" s="23"/>
    </row>
    <row r="9587">
      <c r="B9587" s="19"/>
      <c r="E9587" s="23"/>
      <c r="L9587" s="23"/>
    </row>
    <row r="9588">
      <c r="B9588" s="19"/>
      <c r="E9588" s="23"/>
      <c r="L9588" s="23"/>
    </row>
    <row r="9589">
      <c r="B9589" s="19"/>
      <c r="E9589" s="23"/>
      <c r="L9589" s="23"/>
    </row>
    <row r="9590">
      <c r="B9590" s="19"/>
      <c r="E9590" s="23"/>
      <c r="L9590" s="23"/>
    </row>
    <row r="9591">
      <c r="B9591" s="19"/>
      <c r="E9591" s="23"/>
      <c r="L9591" s="23"/>
    </row>
    <row r="9592">
      <c r="B9592" s="19"/>
      <c r="E9592" s="23"/>
      <c r="L9592" s="23"/>
    </row>
    <row r="9593">
      <c r="B9593" s="19"/>
      <c r="E9593" s="23"/>
      <c r="L9593" s="23"/>
    </row>
    <row r="9594">
      <c r="B9594" s="19"/>
      <c r="E9594" s="23"/>
      <c r="L9594" s="23"/>
    </row>
    <row r="9595">
      <c r="B9595" s="19"/>
      <c r="E9595" s="23"/>
      <c r="L9595" s="23"/>
    </row>
    <row r="9596">
      <c r="B9596" s="19"/>
      <c r="E9596" s="23"/>
      <c r="L9596" s="23"/>
    </row>
    <row r="9597">
      <c r="B9597" s="19"/>
      <c r="E9597" s="23"/>
      <c r="L9597" s="23"/>
    </row>
    <row r="9598">
      <c r="B9598" s="19"/>
      <c r="E9598" s="23"/>
      <c r="L9598" s="23"/>
    </row>
    <row r="9599">
      <c r="B9599" s="19"/>
      <c r="E9599" s="23"/>
      <c r="L9599" s="23"/>
    </row>
    <row r="9600">
      <c r="B9600" s="19"/>
      <c r="E9600" s="23"/>
      <c r="L9600" s="23"/>
    </row>
    <row r="9601">
      <c r="B9601" s="19"/>
      <c r="E9601" s="23"/>
      <c r="L9601" s="23"/>
    </row>
    <row r="9602">
      <c r="B9602" s="19"/>
      <c r="E9602" s="23"/>
      <c r="L9602" s="23"/>
    </row>
    <row r="9603">
      <c r="B9603" s="19"/>
      <c r="E9603" s="23"/>
      <c r="L9603" s="23"/>
    </row>
    <row r="9604">
      <c r="B9604" s="19"/>
      <c r="E9604" s="23"/>
      <c r="L9604" s="23"/>
    </row>
    <row r="9605">
      <c r="B9605" s="19"/>
      <c r="E9605" s="23"/>
      <c r="L9605" s="23"/>
    </row>
    <row r="9606">
      <c r="B9606" s="19"/>
      <c r="E9606" s="23"/>
      <c r="L9606" s="23"/>
    </row>
    <row r="9607">
      <c r="B9607" s="19"/>
      <c r="E9607" s="23"/>
      <c r="L9607" s="23"/>
    </row>
    <row r="9608">
      <c r="B9608" s="19"/>
      <c r="E9608" s="23"/>
      <c r="L9608" s="23"/>
    </row>
    <row r="9609">
      <c r="B9609" s="19"/>
      <c r="E9609" s="23"/>
      <c r="L9609" s="23"/>
    </row>
    <row r="9610">
      <c r="B9610" s="19"/>
      <c r="E9610" s="23"/>
      <c r="L9610" s="23"/>
    </row>
    <row r="9611">
      <c r="B9611" s="19"/>
      <c r="E9611" s="23"/>
      <c r="L9611" s="23"/>
    </row>
    <row r="9612">
      <c r="B9612" s="19"/>
      <c r="E9612" s="23"/>
      <c r="L9612" s="23"/>
    </row>
    <row r="9613">
      <c r="B9613" s="19"/>
      <c r="E9613" s="23"/>
      <c r="L9613" s="23"/>
    </row>
    <row r="9614">
      <c r="B9614" s="19"/>
      <c r="E9614" s="23"/>
      <c r="L9614" s="23"/>
    </row>
    <row r="9615">
      <c r="B9615" s="19"/>
      <c r="E9615" s="23"/>
      <c r="L9615" s="23"/>
    </row>
    <row r="9616">
      <c r="B9616" s="19"/>
      <c r="E9616" s="23"/>
      <c r="L9616" s="23"/>
    </row>
    <row r="9617">
      <c r="B9617" s="19"/>
      <c r="E9617" s="23"/>
      <c r="L9617" s="23"/>
    </row>
    <row r="9618">
      <c r="B9618" s="19"/>
      <c r="E9618" s="23"/>
      <c r="L9618" s="23"/>
    </row>
    <row r="9619">
      <c r="B9619" s="19"/>
      <c r="E9619" s="23"/>
      <c r="L9619" s="23"/>
    </row>
    <row r="9620">
      <c r="B9620" s="19"/>
      <c r="E9620" s="23"/>
      <c r="L9620" s="23"/>
    </row>
    <row r="9621">
      <c r="B9621" s="19"/>
      <c r="E9621" s="23"/>
      <c r="L9621" s="23"/>
    </row>
    <row r="9622">
      <c r="B9622" s="19"/>
      <c r="E9622" s="23"/>
      <c r="L9622" s="23"/>
    </row>
    <row r="9623">
      <c r="B9623" s="19"/>
      <c r="E9623" s="23"/>
      <c r="L9623" s="23"/>
    </row>
    <row r="9624">
      <c r="B9624" s="19"/>
      <c r="E9624" s="23"/>
      <c r="L9624" s="23"/>
    </row>
    <row r="9625">
      <c r="B9625" s="19"/>
      <c r="E9625" s="23"/>
      <c r="L9625" s="23"/>
    </row>
    <row r="9626">
      <c r="B9626" s="19"/>
      <c r="E9626" s="23"/>
      <c r="L9626" s="23"/>
    </row>
    <row r="9627">
      <c r="B9627" s="19"/>
      <c r="E9627" s="23"/>
      <c r="L9627" s="23"/>
    </row>
    <row r="9628">
      <c r="B9628" s="19"/>
      <c r="E9628" s="23"/>
      <c r="L9628" s="23"/>
    </row>
    <row r="9629">
      <c r="B9629" s="19"/>
      <c r="E9629" s="23"/>
      <c r="L9629" s="23"/>
    </row>
    <row r="9630">
      <c r="B9630" s="19"/>
      <c r="E9630" s="23"/>
      <c r="L9630" s="23"/>
    </row>
    <row r="9631">
      <c r="B9631" s="19"/>
      <c r="E9631" s="23"/>
      <c r="L9631" s="23"/>
    </row>
    <row r="9632">
      <c r="B9632" s="19"/>
      <c r="E9632" s="23"/>
      <c r="L9632" s="23"/>
    </row>
    <row r="9633">
      <c r="B9633" s="19"/>
      <c r="E9633" s="23"/>
      <c r="L9633" s="23"/>
    </row>
    <row r="9634">
      <c r="B9634" s="19"/>
      <c r="E9634" s="23"/>
      <c r="L9634" s="23"/>
    </row>
    <row r="9635">
      <c r="B9635" s="19"/>
      <c r="E9635" s="23"/>
      <c r="L9635" s="23"/>
    </row>
    <row r="9636">
      <c r="B9636" s="19"/>
      <c r="E9636" s="23"/>
      <c r="L9636" s="23"/>
    </row>
    <row r="9637">
      <c r="B9637" s="19"/>
      <c r="E9637" s="23"/>
      <c r="L9637" s="23"/>
    </row>
    <row r="9638">
      <c r="B9638" s="19"/>
      <c r="E9638" s="23"/>
      <c r="L9638" s="23"/>
    </row>
    <row r="9639">
      <c r="B9639" s="19"/>
      <c r="E9639" s="23"/>
      <c r="L9639" s="23"/>
    </row>
    <row r="9640">
      <c r="B9640" s="19"/>
      <c r="E9640" s="23"/>
      <c r="L9640" s="23"/>
    </row>
    <row r="9641">
      <c r="B9641" s="19"/>
      <c r="E9641" s="23"/>
      <c r="L9641" s="23"/>
    </row>
    <row r="9642">
      <c r="B9642" s="19"/>
      <c r="E9642" s="23"/>
      <c r="L9642" s="23"/>
    </row>
    <row r="9643">
      <c r="B9643" s="19"/>
      <c r="E9643" s="23"/>
      <c r="L9643" s="23"/>
    </row>
    <row r="9644">
      <c r="B9644" s="19"/>
      <c r="E9644" s="23"/>
      <c r="L9644" s="23"/>
    </row>
    <row r="9645">
      <c r="B9645" s="19"/>
      <c r="E9645" s="23"/>
      <c r="L9645" s="23"/>
    </row>
    <row r="9646">
      <c r="B9646" s="19"/>
      <c r="E9646" s="23"/>
      <c r="L9646" s="23"/>
    </row>
    <row r="9647">
      <c r="B9647" s="19"/>
      <c r="E9647" s="23"/>
      <c r="L9647" s="23"/>
    </row>
    <row r="9648">
      <c r="B9648" s="19"/>
      <c r="E9648" s="23"/>
      <c r="L9648" s="23"/>
    </row>
    <row r="9649">
      <c r="B9649" s="19"/>
      <c r="E9649" s="23"/>
      <c r="L9649" s="23"/>
    </row>
    <row r="9650">
      <c r="B9650" s="19"/>
      <c r="E9650" s="23"/>
      <c r="L9650" s="23"/>
    </row>
    <row r="9651">
      <c r="B9651" s="19"/>
      <c r="E9651" s="23"/>
      <c r="L9651" s="23"/>
    </row>
    <row r="9652">
      <c r="B9652" s="19"/>
      <c r="E9652" s="23"/>
      <c r="L9652" s="23"/>
    </row>
    <row r="9653">
      <c r="B9653" s="19"/>
      <c r="E9653" s="23"/>
      <c r="L9653" s="23"/>
    </row>
    <row r="9654">
      <c r="B9654" s="19"/>
      <c r="E9654" s="23"/>
      <c r="L9654" s="23"/>
    </row>
    <row r="9655">
      <c r="B9655" s="19"/>
      <c r="E9655" s="23"/>
      <c r="L9655" s="23"/>
    </row>
    <row r="9656">
      <c r="B9656" s="19"/>
      <c r="E9656" s="23"/>
      <c r="L9656" s="23"/>
    </row>
    <row r="9657">
      <c r="B9657" s="19"/>
      <c r="E9657" s="23"/>
      <c r="L9657" s="23"/>
    </row>
    <row r="9658">
      <c r="B9658" s="19"/>
      <c r="E9658" s="23"/>
      <c r="L9658" s="23"/>
    </row>
    <row r="9659">
      <c r="B9659" s="19"/>
      <c r="E9659" s="23"/>
      <c r="L9659" s="23"/>
    </row>
    <row r="9660">
      <c r="B9660" s="19"/>
      <c r="E9660" s="23"/>
      <c r="L9660" s="23"/>
    </row>
    <row r="9661">
      <c r="B9661" s="19"/>
      <c r="E9661" s="23"/>
      <c r="L9661" s="23"/>
    </row>
    <row r="9662">
      <c r="B9662" s="19"/>
      <c r="E9662" s="23"/>
      <c r="L9662" s="23"/>
    </row>
    <row r="9663">
      <c r="B9663" s="19"/>
      <c r="E9663" s="23"/>
      <c r="L9663" s="23"/>
    </row>
    <row r="9664">
      <c r="B9664" s="19"/>
      <c r="E9664" s="23"/>
      <c r="L9664" s="23"/>
    </row>
    <row r="9665">
      <c r="B9665" s="19"/>
      <c r="E9665" s="23"/>
      <c r="L9665" s="23"/>
    </row>
    <row r="9666">
      <c r="B9666" s="19"/>
      <c r="E9666" s="23"/>
      <c r="L9666" s="23"/>
    </row>
    <row r="9667">
      <c r="B9667" s="19"/>
      <c r="E9667" s="23"/>
      <c r="L9667" s="23"/>
    </row>
    <row r="9668">
      <c r="B9668" s="19"/>
      <c r="E9668" s="23"/>
      <c r="L9668" s="23"/>
    </row>
    <row r="9669">
      <c r="B9669" s="19"/>
      <c r="E9669" s="23"/>
      <c r="L9669" s="23"/>
    </row>
    <row r="9670">
      <c r="B9670" s="19"/>
      <c r="E9670" s="23"/>
      <c r="L9670" s="23"/>
    </row>
    <row r="9671">
      <c r="B9671" s="19"/>
      <c r="E9671" s="23"/>
      <c r="L9671" s="23"/>
    </row>
    <row r="9672">
      <c r="B9672" s="19"/>
      <c r="E9672" s="23"/>
      <c r="L9672" s="23"/>
    </row>
    <row r="9673">
      <c r="B9673" s="19"/>
      <c r="E9673" s="23"/>
      <c r="L9673" s="23"/>
    </row>
    <row r="9674">
      <c r="B9674" s="19"/>
      <c r="E9674" s="23"/>
      <c r="L9674" s="23"/>
    </row>
    <row r="9675">
      <c r="B9675" s="19"/>
      <c r="E9675" s="23"/>
      <c r="L9675" s="23"/>
    </row>
    <row r="9676">
      <c r="B9676" s="19"/>
      <c r="E9676" s="23"/>
      <c r="L9676" s="23"/>
    </row>
    <row r="9677">
      <c r="B9677" s="19"/>
      <c r="E9677" s="23"/>
      <c r="L9677" s="23"/>
    </row>
    <row r="9678">
      <c r="B9678" s="19"/>
      <c r="E9678" s="23"/>
      <c r="L9678" s="23"/>
    </row>
    <row r="9679">
      <c r="B9679" s="19"/>
      <c r="E9679" s="23"/>
      <c r="L9679" s="23"/>
    </row>
    <row r="9680">
      <c r="B9680" s="19"/>
      <c r="E9680" s="23"/>
      <c r="L9680" s="23"/>
    </row>
    <row r="9681">
      <c r="B9681" s="19"/>
      <c r="E9681" s="23"/>
      <c r="L9681" s="23"/>
    </row>
    <row r="9682">
      <c r="B9682" s="19"/>
      <c r="E9682" s="23"/>
      <c r="L9682" s="23"/>
    </row>
    <row r="9683">
      <c r="B9683" s="19"/>
      <c r="E9683" s="23"/>
      <c r="L9683" s="23"/>
    </row>
    <row r="9684">
      <c r="B9684" s="19"/>
      <c r="E9684" s="23"/>
      <c r="L9684" s="23"/>
    </row>
    <row r="9685">
      <c r="B9685" s="19"/>
      <c r="E9685" s="23"/>
      <c r="L9685" s="23"/>
    </row>
    <row r="9686">
      <c r="B9686" s="19"/>
      <c r="E9686" s="23"/>
      <c r="L9686" s="23"/>
    </row>
    <row r="9687">
      <c r="B9687" s="19"/>
      <c r="E9687" s="23"/>
      <c r="L9687" s="23"/>
    </row>
    <row r="9688">
      <c r="B9688" s="19"/>
      <c r="E9688" s="23"/>
      <c r="L9688" s="23"/>
    </row>
    <row r="9689">
      <c r="B9689" s="19"/>
      <c r="E9689" s="23"/>
      <c r="L9689" s="23"/>
    </row>
    <row r="9690">
      <c r="B9690" s="19"/>
      <c r="E9690" s="23"/>
      <c r="L9690" s="23"/>
    </row>
    <row r="9691">
      <c r="B9691" s="19"/>
      <c r="E9691" s="23"/>
      <c r="L9691" s="23"/>
    </row>
    <row r="9692">
      <c r="B9692" s="19"/>
      <c r="E9692" s="23"/>
      <c r="L9692" s="23"/>
    </row>
    <row r="9693">
      <c r="B9693" s="19"/>
      <c r="E9693" s="23"/>
      <c r="L9693" s="23"/>
    </row>
    <row r="9694">
      <c r="B9694" s="19"/>
      <c r="E9694" s="23"/>
      <c r="L9694" s="23"/>
    </row>
    <row r="9695">
      <c r="B9695" s="19"/>
      <c r="E9695" s="23"/>
      <c r="L9695" s="23"/>
    </row>
    <row r="9696">
      <c r="B9696" s="19"/>
      <c r="E9696" s="23"/>
      <c r="L9696" s="23"/>
    </row>
    <row r="9697">
      <c r="B9697" s="19"/>
      <c r="E9697" s="23"/>
      <c r="L9697" s="23"/>
    </row>
    <row r="9698">
      <c r="B9698" s="19"/>
      <c r="E9698" s="23"/>
      <c r="L9698" s="23"/>
    </row>
    <row r="9699">
      <c r="B9699" s="19"/>
      <c r="E9699" s="23"/>
      <c r="L9699" s="23"/>
    </row>
    <row r="9700">
      <c r="B9700" s="19"/>
      <c r="E9700" s="23"/>
      <c r="L9700" s="23"/>
    </row>
    <row r="9701">
      <c r="B9701" s="19"/>
      <c r="E9701" s="23"/>
      <c r="L9701" s="23"/>
    </row>
    <row r="9702">
      <c r="B9702" s="19"/>
      <c r="E9702" s="23"/>
      <c r="L9702" s="23"/>
    </row>
    <row r="9703">
      <c r="B9703" s="19"/>
      <c r="E9703" s="23"/>
      <c r="L9703" s="23"/>
    </row>
    <row r="9704">
      <c r="B9704" s="19"/>
      <c r="E9704" s="23"/>
      <c r="L9704" s="23"/>
    </row>
    <row r="9705">
      <c r="B9705" s="19"/>
      <c r="E9705" s="23"/>
      <c r="L9705" s="23"/>
    </row>
    <row r="9706">
      <c r="B9706" s="19"/>
      <c r="E9706" s="23"/>
      <c r="L9706" s="23"/>
    </row>
    <row r="9707">
      <c r="B9707" s="19"/>
      <c r="E9707" s="23"/>
      <c r="L9707" s="23"/>
    </row>
    <row r="9708">
      <c r="B9708" s="19"/>
      <c r="E9708" s="23"/>
      <c r="L9708" s="23"/>
    </row>
    <row r="9709">
      <c r="B9709" s="19"/>
      <c r="E9709" s="23"/>
      <c r="L9709" s="23"/>
    </row>
    <row r="9710">
      <c r="B9710" s="19"/>
      <c r="E9710" s="23"/>
      <c r="L9710" s="23"/>
    </row>
    <row r="9711">
      <c r="B9711" s="19"/>
      <c r="E9711" s="23"/>
      <c r="L9711" s="23"/>
    </row>
    <row r="9712">
      <c r="B9712" s="19"/>
      <c r="E9712" s="23"/>
      <c r="L9712" s="23"/>
    </row>
    <row r="9713">
      <c r="B9713" s="19"/>
      <c r="E9713" s="23"/>
      <c r="L9713" s="23"/>
    </row>
    <row r="9714">
      <c r="B9714" s="19"/>
      <c r="E9714" s="23"/>
      <c r="L9714" s="23"/>
    </row>
    <row r="9715">
      <c r="B9715" s="19"/>
      <c r="E9715" s="23"/>
      <c r="L9715" s="23"/>
    </row>
    <row r="9716">
      <c r="B9716" s="19"/>
      <c r="E9716" s="23"/>
      <c r="L9716" s="23"/>
    </row>
    <row r="9717">
      <c r="B9717" s="19"/>
      <c r="E9717" s="23"/>
      <c r="L9717" s="23"/>
    </row>
    <row r="9718">
      <c r="B9718" s="19"/>
      <c r="E9718" s="23"/>
      <c r="L9718" s="23"/>
    </row>
    <row r="9719">
      <c r="B9719" s="19"/>
      <c r="E9719" s="23"/>
      <c r="L9719" s="23"/>
    </row>
    <row r="9720">
      <c r="B9720" s="19"/>
      <c r="E9720" s="23"/>
      <c r="L9720" s="23"/>
    </row>
    <row r="9721">
      <c r="B9721" s="19"/>
      <c r="E9721" s="23"/>
      <c r="L9721" s="23"/>
    </row>
    <row r="9722">
      <c r="B9722" s="19"/>
      <c r="E9722" s="23"/>
      <c r="L9722" s="23"/>
    </row>
    <row r="9723">
      <c r="B9723" s="19"/>
      <c r="E9723" s="23"/>
      <c r="L9723" s="23"/>
    </row>
    <row r="9724">
      <c r="B9724" s="19"/>
      <c r="E9724" s="23"/>
      <c r="L9724" s="23"/>
    </row>
    <row r="9725">
      <c r="B9725" s="19"/>
      <c r="E9725" s="23"/>
      <c r="L9725" s="23"/>
    </row>
    <row r="9726">
      <c r="B9726" s="19"/>
      <c r="E9726" s="23"/>
      <c r="L9726" s="23"/>
    </row>
    <row r="9727">
      <c r="B9727" s="19"/>
      <c r="E9727" s="23"/>
      <c r="L9727" s="23"/>
    </row>
    <row r="9728">
      <c r="B9728" s="19"/>
      <c r="E9728" s="23"/>
      <c r="L9728" s="23"/>
    </row>
    <row r="9729">
      <c r="B9729" s="19"/>
      <c r="E9729" s="23"/>
      <c r="L9729" s="23"/>
    </row>
    <row r="9730">
      <c r="B9730" s="19"/>
      <c r="E9730" s="23"/>
      <c r="L9730" s="23"/>
    </row>
    <row r="9731">
      <c r="B9731" s="19"/>
      <c r="E9731" s="23"/>
      <c r="L9731" s="23"/>
    </row>
    <row r="9732">
      <c r="B9732" s="19"/>
      <c r="E9732" s="23"/>
      <c r="L9732" s="23"/>
    </row>
    <row r="9733">
      <c r="B9733" s="19"/>
      <c r="E9733" s="23"/>
      <c r="L9733" s="23"/>
    </row>
    <row r="9734">
      <c r="B9734" s="19"/>
      <c r="E9734" s="23"/>
      <c r="L9734" s="23"/>
    </row>
    <row r="9735">
      <c r="B9735" s="19"/>
      <c r="E9735" s="23"/>
      <c r="L9735" s="23"/>
    </row>
    <row r="9736">
      <c r="B9736" s="19"/>
      <c r="E9736" s="23"/>
      <c r="L9736" s="23"/>
    </row>
    <row r="9737">
      <c r="B9737" s="19"/>
      <c r="E9737" s="23"/>
      <c r="L9737" s="23"/>
    </row>
    <row r="9738">
      <c r="B9738" s="19"/>
      <c r="E9738" s="23"/>
      <c r="L9738" s="23"/>
    </row>
    <row r="9739">
      <c r="B9739" s="19"/>
      <c r="E9739" s="23"/>
      <c r="L9739" s="23"/>
    </row>
    <row r="9740">
      <c r="B9740" s="19"/>
      <c r="E9740" s="23"/>
      <c r="L9740" s="23"/>
    </row>
    <row r="9741">
      <c r="B9741" s="19"/>
      <c r="E9741" s="23"/>
      <c r="L9741" s="23"/>
    </row>
    <row r="9742">
      <c r="B9742" s="19"/>
      <c r="E9742" s="23"/>
      <c r="L9742" s="23"/>
    </row>
    <row r="9743">
      <c r="B9743" s="19"/>
      <c r="E9743" s="23"/>
      <c r="L9743" s="23"/>
    </row>
    <row r="9744">
      <c r="B9744" s="19"/>
      <c r="E9744" s="23"/>
      <c r="L9744" s="23"/>
    </row>
    <row r="9745">
      <c r="B9745" s="19"/>
      <c r="E9745" s="23"/>
      <c r="L9745" s="23"/>
    </row>
    <row r="9746">
      <c r="B9746" s="19"/>
      <c r="E9746" s="23"/>
      <c r="L9746" s="23"/>
    </row>
    <row r="9747">
      <c r="B9747" s="19"/>
      <c r="E9747" s="23"/>
      <c r="L9747" s="23"/>
    </row>
    <row r="9748">
      <c r="B9748" s="19"/>
      <c r="E9748" s="23"/>
      <c r="L9748" s="23"/>
    </row>
    <row r="9749">
      <c r="B9749" s="19"/>
      <c r="E9749" s="23"/>
      <c r="L9749" s="23"/>
    </row>
    <row r="9750">
      <c r="B9750" s="19"/>
      <c r="E9750" s="23"/>
      <c r="L9750" s="23"/>
    </row>
    <row r="9751">
      <c r="B9751" s="19"/>
      <c r="E9751" s="23"/>
      <c r="L9751" s="23"/>
    </row>
    <row r="9752">
      <c r="B9752" s="19"/>
      <c r="E9752" s="23"/>
      <c r="L9752" s="23"/>
    </row>
    <row r="9753">
      <c r="B9753" s="19"/>
      <c r="E9753" s="23"/>
      <c r="L9753" s="23"/>
    </row>
    <row r="9754">
      <c r="B9754" s="19"/>
      <c r="E9754" s="23"/>
      <c r="L9754" s="23"/>
    </row>
    <row r="9755">
      <c r="B9755" s="19"/>
      <c r="E9755" s="23"/>
      <c r="L9755" s="23"/>
    </row>
    <row r="9756">
      <c r="B9756" s="19"/>
      <c r="E9756" s="23"/>
      <c r="L9756" s="23"/>
    </row>
    <row r="9757">
      <c r="B9757" s="19"/>
      <c r="E9757" s="23"/>
      <c r="L9757" s="23"/>
    </row>
    <row r="9758">
      <c r="B9758" s="19"/>
      <c r="E9758" s="23"/>
      <c r="L9758" s="23"/>
    </row>
    <row r="9759">
      <c r="B9759" s="19"/>
      <c r="E9759" s="23"/>
      <c r="L9759" s="23"/>
    </row>
    <row r="9760">
      <c r="B9760" s="19"/>
      <c r="E9760" s="23"/>
      <c r="L9760" s="23"/>
    </row>
    <row r="9761">
      <c r="B9761" s="19"/>
      <c r="E9761" s="23"/>
      <c r="L9761" s="23"/>
    </row>
    <row r="9762">
      <c r="B9762" s="19"/>
      <c r="E9762" s="23"/>
      <c r="L9762" s="23"/>
    </row>
    <row r="9763">
      <c r="B9763" s="19"/>
      <c r="E9763" s="23"/>
      <c r="L9763" s="23"/>
    </row>
    <row r="9764">
      <c r="B9764" s="19"/>
      <c r="E9764" s="23"/>
      <c r="L9764" s="23"/>
    </row>
    <row r="9765">
      <c r="B9765" s="19"/>
      <c r="E9765" s="23"/>
      <c r="L9765" s="23"/>
    </row>
    <row r="9766">
      <c r="B9766" s="19"/>
      <c r="E9766" s="23"/>
      <c r="L9766" s="23"/>
    </row>
    <row r="9767">
      <c r="B9767" s="19"/>
      <c r="E9767" s="23"/>
      <c r="L9767" s="23"/>
    </row>
    <row r="9768">
      <c r="B9768" s="19"/>
      <c r="E9768" s="23"/>
      <c r="L9768" s="23"/>
    </row>
    <row r="9769">
      <c r="B9769" s="19"/>
      <c r="E9769" s="23"/>
      <c r="L9769" s="23"/>
    </row>
    <row r="9770">
      <c r="B9770" s="19"/>
      <c r="E9770" s="23"/>
      <c r="L9770" s="23"/>
    </row>
    <row r="9771">
      <c r="B9771" s="19"/>
      <c r="E9771" s="23"/>
      <c r="L9771" s="23"/>
    </row>
    <row r="9772">
      <c r="B9772" s="19"/>
      <c r="E9772" s="23"/>
      <c r="L9772" s="23"/>
    </row>
    <row r="9773">
      <c r="B9773" s="19"/>
      <c r="E9773" s="23"/>
      <c r="L9773" s="23"/>
    </row>
    <row r="9774">
      <c r="B9774" s="19"/>
      <c r="E9774" s="23"/>
      <c r="L9774" s="23"/>
    </row>
    <row r="9775">
      <c r="B9775" s="19"/>
      <c r="E9775" s="23"/>
      <c r="L9775" s="23"/>
    </row>
    <row r="9776">
      <c r="B9776" s="19"/>
      <c r="E9776" s="23"/>
      <c r="L9776" s="23"/>
    </row>
    <row r="9777">
      <c r="B9777" s="19"/>
      <c r="E9777" s="23"/>
      <c r="L9777" s="23"/>
    </row>
    <row r="9778">
      <c r="B9778" s="19"/>
      <c r="E9778" s="23"/>
      <c r="L9778" s="23"/>
    </row>
    <row r="9779">
      <c r="B9779" s="19"/>
      <c r="E9779" s="23"/>
      <c r="L9779" s="23"/>
    </row>
    <row r="9780">
      <c r="B9780" s="19"/>
      <c r="E9780" s="23"/>
      <c r="L9780" s="23"/>
    </row>
    <row r="9781">
      <c r="B9781" s="19"/>
      <c r="E9781" s="23"/>
      <c r="L9781" s="23"/>
    </row>
    <row r="9782">
      <c r="B9782" s="19"/>
      <c r="E9782" s="23"/>
      <c r="L9782" s="23"/>
    </row>
    <row r="9783">
      <c r="B9783" s="19"/>
      <c r="E9783" s="23"/>
      <c r="L9783" s="23"/>
    </row>
    <row r="9784">
      <c r="B9784" s="19"/>
      <c r="E9784" s="23"/>
      <c r="L9784" s="23"/>
    </row>
    <row r="9785">
      <c r="B9785" s="19"/>
      <c r="E9785" s="23"/>
      <c r="L9785" s="23"/>
    </row>
    <row r="9786">
      <c r="B9786" s="19"/>
      <c r="E9786" s="23"/>
      <c r="L9786" s="23"/>
    </row>
    <row r="9787">
      <c r="B9787" s="19"/>
      <c r="E9787" s="23"/>
      <c r="L9787" s="23"/>
    </row>
    <row r="9788">
      <c r="B9788" s="19"/>
      <c r="E9788" s="23"/>
      <c r="L9788" s="23"/>
    </row>
    <row r="9789">
      <c r="B9789" s="19"/>
      <c r="E9789" s="23"/>
      <c r="L9789" s="23"/>
    </row>
    <row r="9790">
      <c r="B9790" s="19"/>
      <c r="E9790" s="23"/>
      <c r="L9790" s="23"/>
    </row>
    <row r="9791">
      <c r="B9791" s="19"/>
      <c r="E9791" s="23"/>
      <c r="L9791" s="23"/>
    </row>
    <row r="9792">
      <c r="B9792" s="19"/>
      <c r="E9792" s="23"/>
      <c r="L9792" s="23"/>
    </row>
    <row r="9793">
      <c r="B9793" s="19"/>
      <c r="E9793" s="23"/>
      <c r="L9793" s="23"/>
    </row>
    <row r="9794">
      <c r="B9794" s="19"/>
      <c r="E9794" s="23"/>
      <c r="L9794" s="23"/>
    </row>
    <row r="9795">
      <c r="B9795" s="19"/>
      <c r="E9795" s="23"/>
      <c r="L9795" s="23"/>
    </row>
    <row r="9796">
      <c r="B9796" s="19"/>
      <c r="E9796" s="23"/>
      <c r="L9796" s="23"/>
    </row>
    <row r="9797">
      <c r="B9797" s="19"/>
      <c r="E9797" s="23"/>
      <c r="L9797" s="23"/>
    </row>
    <row r="9798">
      <c r="B9798" s="19"/>
      <c r="E9798" s="23"/>
      <c r="L9798" s="23"/>
    </row>
    <row r="9799">
      <c r="B9799" s="19"/>
      <c r="E9799" s="23"/>
      <c r="L9799" s="23"/>
    </row>
    <row r="9800">
      <c r="B9800" s="19"/>
      <c r="E9800" s="23"/>
      <c r="L9800" s="23"/>
    </row>
    <row r="9801">
      <c r="B9801" s="19"/>
      <c r="E9801" s="23"/>
      <c r="L9801" s="23"/>
    </row>
    <row r="9802">
      <c r="B9802" s="19"/>
      <c r="E9802" s="23"/>
      <c r="L9802" s="23"/>
    </row>
    <row r="9803">
      <c r="B9803" s="19"/>
      <c r="E9803" s="23"/>
      <c r="L9803" s="23"/>
    </row>
    <row r="9804">
      <c r="B9804" s="19"/>
      <c r="E9804" s="23"/>
      <c r="L9804" s="23"/>
    </row>
    <row r="9805">
      <c r="B9805" s="19"/>
      <c r="E9805" s="23"/>
      <c r="L9805" s="23"/>
    </row>
    <row r="9806">
      <c r="B9806" s="19"/>
      <c r="E9806" s="23"/>
      <c r="L9806" s="23"/>
    </row>
    <row r="9807">
      <c r="B9807" s="19"/>
      <c r="E9807" s="23"/>
      <c r="L9807" s="23"/>
    </row>
    <row r="9808">
      <c r="B9808" s="19"/>
      <c r="E9808" s="23"/>
      <c r="L9808" s="23"/>
    </row>
    <row r="9809">
      <c r="B9809" s="19"/>
      <c r="E9809" s="23"/>
      <c r="L9809" s="23"/>
    </row>
    <row r="9810">
      <c r="B9810" s="19"/>
      <c r="E9810" s="23"/>
      <c r="L9810" s="23"/>
    </row>
    <row r="9811">
      <c r="B9811" s="19"/>
      <c r="E9811" s="23"/>
      <c r="L9811" s="23"/>
    </row>
    <row r="9812">
      <c r="B9812" s="19"/>
      <c r="E9812" s="23"/>
      <c r="L9812" s="23"/>
    </row>
    <row r="9813">
      <c r="B9813" s="19"/>
      <c r="E9813" s="23"/>
      <c r="L9813" s="23"/>
    </row>
    <row r="9814">
      <c r="B9814" s="19"/>
      <c r="E9814" s="23"/>
      <c r="L9814" s="23"/>
    </row>
    <row r="9815">
      <c r="B9815" s="19"/>
      <c r="E9815" s="23"/>
      <c r="L9815" s="23"/>
    </row>
    <row r="9816">
      <c r="B9816" s="19"/>
      <c r="E9816" s="23"/>
      <c r="L9816" s="23"/>
    </row>
    <row r="9817">
      <c r="B9817" s="19"/>
      <c r="E9817" s="23"/>
      <c r="L9817" s="23"/>
    </row>
    <row r="9818">
      <c r="B9818" s="19"/>
      <c r="E9818" s="23"/>
      <c r="L9818" s="23"/>
    </row>
    <row r="9819">
      <c r="B9819" s="19"/>
      <c r="E9819" s="23"/>
      <c r="L9819" s="23"/>
    </row>
    <row r="9820">
      <c r="B9820" s="19"/>
      <c r="E9820" s="23"/>
      <c r="L9820" s="23"/>
    </row>
    <row r="9821">
      <c r="B9821" s="19"/>
      <c r="E9821" s="23"/>
      <c r="L9821" s="23"/>
    </row>
    <row r="9822">
      <c r="B9822" s="19"/>
      <c r="E9822" s="23"/>
      <c r="L9822" s="23"/>
    </row>
    <row r="9823">
      <c r="B9823" s="19"/>
      <c r="E9823" s="23"/>
      <c r="L9823" s="23"/>
    </row>
    <row r="9824">
      <c r="B9824" s="19"/>
      <c r="E9824" s="23"/>
      <c r="L9824" s="23"/>
    </row>
    <row r="9825">
      <c r="B9825" s="19"/>
      <c r="E9825" s="23"/>
      <c r="L9825" s="23"/>
    </row>
    <row r="9826">
      <c r="B9826" s="19"/>
      <c r="E9826" s="23"/>
      <c r="L9826" s="23"/>
    </row>
    <row r="9827">
      <c r="B9827" s="19"/>
      <c r="E9827" s="23"/>
      <c r="L9827" s="23"/>
    </row>
    <row r="9828">
      <c r="B9828" s="19"/>
      <c r="E9828" s="23"/>
      <c r="L9828" s="23"/>
    </row>
    <row r="9829">
      <c r="B9829" s="19"/>
      <c r="E9829" s="23"/>
      <c r="L9829" s="23"/>
    </row>
    <row r="9830">
      <c r="B9830" s="19"/>
      <c r="E9830" s="23"/>
      <c r="L9830" s="23"/>
    </row>
    <row r="9831">
      <c r="B9831" s="19"/>
      <c r="E9831" s="23"/>
      <c r="L9831" s="23"/>
    </row>
    <row r="9832">
      <c r="B9832" s="19"/>
      <c r="E9832" s="23"/>
      <c r="L9832" s="23"/>
    </row>
    <row r="9833">
      <c r="B9833" s="19"/>
      <c r="E9833" s="23"/>
      <c r="L9833" s="23"/>
    </row>
    <row r="9834">
      <c r="B9834" s="19"/>
      <c r="E9834" s="23"/>
      <c r="L9834" s="23"/>
    </row>
    <row r="9835">
      <c r="B9835" s="19"/>
      <c r="E9835" s="23"/>
      <c r="L9835" s="23"/>
    </row>
    <row r="9836">
      <c r="B9836" s="19"/>
      <c r="E9836" s="23"/>
      <c r="L9836" s="23"/>
    </row>
    <row r="9837">
      <c r="B9837" s="19"/>
      <c r="E9837" s="23"/>
      <c r="L9837" s="23"/>
    </row>
    <row r="9838">
      <c r="B9838" s="19"/>
      <c r="E9838" s="23"/>
      <c r="L9838" s="23"/>
    </row>
    <row r="9839">
      <c r="B9839" s="19"/>
      <c r="E9839" s="23"/>
      <c r="L9839" s="23"/>
    </row>
    <row r="9840">
      <c r="B9840" s="19"/>
      <c r="E9840" s="23"/>
      <c r="L9840" s="23"/>
    </row>
    <row r="9841">
      <c r="B9841" s="19"/>
      <c r="E9841" s="23"/>
      <c r="L9841" s="23"/>
    </row>
    <row r="9842">
      <c r="B9842" s="19"/>
      <c r="E9842" s="23"/>
      <c r="L9842" s="23"/>
    </row>
    <row r="9843">
      <c r="B9843" s="19"/>
      <c r="E9843" s="23"/>
      <c r="L9843" s="23"/>
    </row>
    <row r="9844">
      <c r="B9844" s="19"/>
      <c r="E9844" s="23"/>
      <c r="L9844" s="23"/>
    </row>
    <row r="9845">
      <c r="B9845" s="19"/>
      <c r="E9845" s="23"/>
      <c r="L9845" s="23"/>
    </row>
    <row r="9846">
      <c r="B9846" s="19"/>
      <c r="E9846" s="23"/>
      <c r="L9846" s="23"/>
    </row>
    <row r="9847">
      <c r="B9847" s="19"/>
      <c r="E9847" s="23"/>
      <c r="L9847" s="23"/>
    </row>
    <row r="9848">
      <c r="B9848" s="19"/>
      <c r="E9848" s="23"/>
      <c r="L9848" s="23"/>
    </row>
    <row r="9849">
      <c r="B9849" s="19"/>
      <c r="E9849" s="23"/>
      <c r="L9849" s="23"/>
    </row>
    <row r="9850">
      <c r="B9850" s="19"/>
      <c r="E9850" s="23"/>
      <c r="L9850" s="23"/>
    </row>
    <row r="9851">
      <c r="B9851" s="19"/>
      <c r="E9851" s="23"/>
      <c r="L9851" s="23"/>
    </row>
    <row r="9852">
      <c r="B9852" s="19"/>
      <c r="E9852" s="23"/>
      <c r="L9852" s="23"/>
    </row>
    <row r="9853">
      <c r="B9853" s="19"/>
      <c r="E9853" s="23"/>
      <c r="L9853" s="23"/>
    </row>
    <row r="9854">
      <c r="B9854" s="19"/>
      <c r="E9854" s="23"/>
      <c r="L9854" s="23"/>
    </row>
    <row r="9855">
      <c r="B9855" s="19"/>
      <c r="E9855" s="23"/>
      <c r="L9855" s="23"/>
    </row>
    <row r="9856">
      <c r="B9856" s="19"/>
      <c r="E9856" s="23"/>
      <c r="L9856" s="23"/>
    </row>
    <row r="9857">
      <c r="B9857" s="19"/>
      <c r="E9857" s="23"/>
      <c r="L9857" s="23"/>
    </row>
    <row r="9858">
      <c r="B9858" s="19"/>
      <c r="E9858" s="23"/>
      <c r="L9858" s="23"/>
    </row>
    <row r="9859">
      <c r="B9859" s="19"/>
      <c r="E9859" s="23"/>
      <c r="L9859" s="23"/>
    </row>
    <row r="9860">
      <c r="B9860" s="19"/>
      <c r="E9860" s="23"/>
      <c r="L9860" s="23"/>
    </row>
    <row r="9861">
      <c r="B9861" s="19"/>
      <c r="E9861" s="23"/>
      <c r="L9861" s="23"/>
    </row>
    <row r="9862">
      <c r="B9862" s="19"/>
      <c r="E9862" s="23"/>
      <c r="L9862" s="23"/>
    </row>
    <row r="9863">
      <c r="B9863" s="19"/>
      <c r="E9863" s="23"/>
      <c r="L9863" s="23"/>
    </row>
    <row r="9864">
      <c r="B9864" s="19"/>
      <c r="E9864" s="23"/>
      <c r="L9864" s="23"/>
    </row>
    <row r="9865">
      <c r="B9865" s="19"/>
      <c r="E9865" s="23"/>
      <c r="L9865" s="23"/>
    </row>
    <row r="9866">
      <c r="B9866" s="19"/>
      <c r="E9866" s="23"/>
      <c r="L9866" s="23"/>
    </row>
    <row r="9867">
      <c r="B9867" s="19"/>
      <c r="E9867" s="23"/>
      <c r="L9867" s="23"/>
    </row>
    <row r="9868">
      <c r="B9868" s="19"/>
      <c r="E9868" s="23"/>
      <c r="L9868" s="23"/>
    </row>
    <row r="9869">
      <c r="B9869" s="19"/>
      <c r="E9869" s="23"/>
      <c r="L9869" s="23"/>
    </row>
    <row r="9870">
      <c r="B9870" s="19"/>
      <c r="E9870" s="23"/>
      <c r="L9870" s="23"/>
    </row>
    <row r="9871">
      <c r="B9871" s="19"/>
      <c r="E9871" s="23"/>
      <c r="L9871" s="23"/>
    </row>
    <row r="9872">
      <c r="B9872" s="19"/>
      <c r="E9872" s="23"/>
      <c r="L9872" s="23"/>
    </row>
    <row r="9873">
      <c r="B9873" s="19"/>
      <c r="E9873" s="23"/>
      <c r="L9873" s="23"/>
    </row>
    <row r="9874">
      <c r="B9874" s="19"/>
      <c r="E9874" s="23"/>
      <c r="L9874" s="23"/>
    </row>
    <row r="9875">
      <c r="B9875" s="19"/>
      <c r="E9875" s="23"/>
      <c r="L9875" s="23"/>
    </row>
    <row r="9876">
      <c r="B9876" s="19"/>
      <c r="E9876" s="23"/>
      <c r="L9876" s="23"/>
    </row>
    <row r="9877">
      <c r="B9877" s="19"/>
      <c r="E9877" s="23"/>
      <c r="L9877" s="23"/>
    </row>
    <row r="9878">
      <c r="B9878" s="19"/>
      <c r="E9878" s="23"/>
      <c r="L9878" s="23"/>
    </row>
    <row r="9879">
      <c r="B9879" s="19"/>
      <c r="E9879" s="23"/>
      <c r="L9879" s="23"/>
    </row>
    <row r="9880">
      <c r="B9880" s="19"/>
      <c r="E9880" s="23"/>
      <c r="L9880" s="23"/>
    </row>
    <row r="9881">
      <c r="B9881" s="19"/>
      <c r="E9881" s="23"/>
      <c r="L9881" s="23"/>
    </row>
    <row r="9882">
      <c r="B9882" s="19"/>
      <c r="E9882" s="23"/>
      <c r="L9882" s="23"/>
    </row>
    <row r="9883">
      <c r="B9883" s="19"/>
      <c r="E9883" s="23"/>
      <c r="L9883" s="23"/>
    </row>
    <row r="9884">
      <c r="B9884" s="19"/>
      <c r="E9884" s="23"/>
      <c r="L9884" s="23"/>
    </row>
    <row r="9885">
      <c r="B9885" s="19"/>
      <c r="E9885" s="23"/>
      <c r="L9885" s="23"/>
    </row>
    <row r="9886">
      <c r="B9886" s="19"/>
      <c r="E9886" s="23"/>
      <c r="L9886" s="23"/>
    </row>
    <row r="9887">
      <c r="B9887" s="19"/>
      <c r="E9887" s="23"/>
      <c r="L9887" s="23"/>
    </row>
    <row r="9888">
      <c r="B9888" s="19"/>
      <c r="E9888" s="23"/>
      <c r="L9888" s="23"/>
    </row>
    <row r="9889">
      <c r="B9889" s="19"/>
      <c r="E9889" s="23"/>
      <c r="L9889" s="23"/>
    </row>
    <row r="9890">
      <c r="B9890" s="19"/>
      <c r="E9890" s="23"/>
      <c r="L9890" s="23"/>
    </row>
    <row r="9891">
      <c r="B9891" s="19"/>
      <c r="E9891" s="23"/>
      <c r="L9891" s="23"/>
    </row>
    <row r="9892">
      <c r="B9892" s="19"/>
      <c r="E9892" s="23"/>
      <c r="L9892" s="23"/>
    </row>
    <row r="9893">
      <c r="B9893" s="19"/>
      <c r="E9893" s="23"/>
      <c r="L9893" s="23"/>
    </row>
    <row r="9894">
      <c r="B9894" s="19"/>
      <c r="E9894" s="23"/>
      <c r="L9894" s="23"/>
    </row>
    <row r="9895">
      <c r="B9895" s="19"/>
      <c r="E9895" s="23"/>
      <c r="L9895" s="23"/>
    </row>
    <row r="9896">
      <c r="B9896" s="19"/>
      <c r="E9896" s="23"/>
      <c r="L9896" s="23"/>
    </row>
    <row r="9897">
      <c r="B9897" s="19"/>
      <c r="E9897" s="23"/>
      <c r="L9897" s="23"/>
    </row>
    <row r="9898">
      <c r="B9898" s="19"/>
      <c r="E9898" s="23"/>
      <c r="L9898" s="23"/>
    </row>
    <row r="9899">
      <c r="B9899" s="19"/>
      <c r="E9899" s="23"/>
      <c r="L9899" s="23"/>
    </row>
    <row r="9900">
      <c r="B9900" s="19"/>
      <c r="E9900" s="23"/>
      <c r="L9900" s="23"/>
    </row>
    <row r="9901">
      <c r="B9901" s="19"/>
      <c r="E9901" s="23"/>
      <c r="L9901" s="23"/>
    </row>
    <row r="9902">
      <c r="B9902" s="19"/>
      <c r="E9902" s="23"/>
      <c r="L9902" s="23"/>
    </row>
    <row r="9903">
      <c r="B9903" s="19"/>
      <c r="E9903" s="23"/>
      <c r="L9903" s="23"/>
    </row>
    <row r="9904">
      <c r="B9904" s="19"/>
      <c r="E9904" s="23"/>
      <c r="L9904" s="23"/>
    </row>
    <row r="9905">
      <c r="B9905" s="19"/>
      <c r="E9905" s="23"/>
      <c r="L9905" s="23"/>
    </row>
    <row r="9906">
      <c r="B9906" s="19"/>
      <c r="E9906" s="23"/>
      <c r="L9906" s="23"/>
    </row>
    <row r="9907">
      <c r="B9907" s="19"/>
      <c r="E9907" s="23"/>
      <c r="L9907" s="23"/>
    </row>
    <row r="9908">
      <c r="B9908" s="19"/>
      <c r="E9908" s="23"/>
      <c r="L9908" s="23"/>
    </row>
    <row r="9909">
      <c r="B9909" s="19"/>
      <c r="E9909" s="23"/>
      <c r="L9909" s="23"/>
    </row>
    <row r="9910">
      <c r="B9910" s="19"/>
      <c r="E9910" s="23"/>
      <c r="L9910" s="23"/>
    </row>
    <row r="9911">
      <c r="B9911" s="19"/>
      <c r="E9911" s="23"/>
      <c r="L9911" s="23"/>
    </row>
    <row r="9912">
      <c r="B9912" s="19"/>
      <c r="E9912" s="23"/>
      <c r="L9912" s="23"/>
    </row>
    <row r="9913">
      <c r="B9913" s="19"/>
      <c r="E9913" s="23"/>
      <c r="L9913" s="23"/>
    </row>
    <row r="9914">
      <c r="B9914" s="19"/>
      <c r="E9914" s="23"/>
      <c r="L9914" s="23"/>
    </row>
    <row r="9915">
      <c r="B9915" s="19"/>
      <c r="E9915" s="23"/>
      <c r="L9915" s="23"/>
    </row>
    <row r="9916">
      <c r="B9916" s="19"/>
      <c r="E9916" s="23"/>
      <c r="L9916" s="23"/>
    </row>
    <row r="9917">
      <c r="B9917" s="19"/>
      <c r="E9917" s="23"/>
      <c r="L9917" s="23"/>
    </row>
    <row r="9918">
      <c r="B9918" s="19"/>
      <c r="E9918" s="23"/>
      <c r="L9918" s="23"/>
    </row>
    <row r="9919">
      <c r="B9919" s="19"/>
      <c r="E9919" s="23"/>
      <c r="L9919" s="23"/>
    </row>
    <row r="9920">
      <c r="B9920" s="19"/>
      <c r="E9920" s="23"/>
      <c r="L9920" s="23"/>
    </row>
    <row r="9921">
      <c r="B9921" s="19"/>
      <c r="E9921" s="23"/>
      <c r="L9921" s="23"/>
    </row>
    <row r="9922">
      <c r="B9922" s="19"/>
      <c r="E9922" s="23"/>
      <c r="L9922" s="23"/>
    </row>
    <row r="9923">
      <c r="B9923" s="19"/>
      <c r="E9923" s="23"/>
      <c r="L9923" s="23"/>
    </row>
    <row r="9924">
      <c r="B9924" s="19"/>
      <c r="E9924" s="23"/>
      <c r="L9924" s="23"/>
    </row>
    <row r="9925">
      <c r="B9925" s="19"/>
      <c r="E9925" s="23"/>
      <c r="L9925" s="23"/>
    </row>
    <row r="9926">
      <c r="B9926" s="19"/>
      <c r="E9926" s="23"/>
      <c r="L9926" s="23"/>
    </row>
    <row r="9927">
      <c r="B9927" s="19"/>
      <c r="E9927" s="23"/>
      <c r="L9927" s="23"/>
    </row>
    <row r="9928">
      <c r="B9928" s="19"/>
      <c r="E9928" s="23"/>
      <c r="L9928" s="23"/>
    </row>
    <row r="9929">
      <c r="B9929" s="19"/>
      <c r="E9929" s="23"/>
      <c r="L9929" s="23"/>
    </row>
    <row r="9930">
      <c r="B9930" s="19"/>
      <c r="E9930" s="23"/>
      <c r="L9930" s="23"/>
    </row>
    <row r="9931">
      <c r="B9931" s="19"/>
      <c r="E9931" s="23"/>
      <c r="L9931" s="23"/>
    </row>
    <row r="9932">
      <c r="B9932" s="19"/>
      <c r="E9932" s="23"/>
      <c r="L9932" s="23"/>
    </row>
    <row r="9933">
      <c r="B9933" s="19"/>
      <c r="E9933" s="23"/>
      <c r="L9933" s="23"/>
    </row>
    <row r="9934">
      <c r="B9934" s="19"/>
      <c r="E9934" s="23"/>
      <c r="L9934" s="23"/>
    </row>
    <row r="9935">
      <c r="B9935" s="19"/>
      <c r="E9935" s="23"/>
      <c r="L9935" s="23"/>
    </row>
    <row r="9936">
      <c r="B9936" s="19"/>
      <c r="E9936" s="23"/>
      <c r="L9936" s="23"/>
    </row>
    <row r="9937">
      <c r="B9937" s="19"/>
      <c r="E9937" s="23"/>
      <c r="L9937" s="23"/>
    </row>
    <row r="9938">
      <c r="B9938" s="19"/>
      <c r="E9938" s="23"/>
      <c r="L9938" s="23"/>
    </row>
    <row r="9939">
      <c r="B9939" s="19"/>
      <c r="E9939" s="23"/>
      <c r="L9939" s="23"/>
    </row>
    <row r="9940">
      <c r="B9940" s="19"/>
      <c r="E9940" s="23"/>
      <c r="L9940" s="23"/>
    </row>
    <row r="9941">
      <c r="B9941" s="19"/>
      <c r="E9941" s="23"/>
      <c r="L9941" s="23"/>
    </row>
    <row r="9942">
      <c r="B9942" s="19"/>
      <c r="E9942" s="23"/>
      <c r="L9942" s="23"/>
    </row>
    <row r="9943">
      <c r="B9943" s="19"/>
      <c r="E9943" s="23"/>
      <c r="L9943" s="23"/>
    </row>
    <row r="9944">
      <c r="B9944" s="19"/>
      <c r="E9944" s="23"/>
      <c r="L9944" s="23"/>
    </row>
    <row r="9945">
      <c r="B9945" s="19"/>
      <c r="E9945" s="23"/>
      <c r="L9945" s="23"/>
    </row>
    <row r="9946">
      <c r="B9946" s="19"/>
      <c r="E9946" s="23"/>
      <c r="L9946" s="23"/>
    </row>
    <row r="9947">
      <c r="B9947" s="19"/>
      <c r="E9947" s="23"/>
      <c r="L9947" s="23"/>
    </row>
    <row r="9948">
      <c r="B9948" s="19"/>
      <c r="E9948" s="23"/>
      <c r="L9948" s="23"/>
    </row>
    <row r="9949">
      <c r="B9949" s="19"/>
      <c r="E9949" s="23"/>
      <c r="L9949" s="23"/>
    </row>
    <row r="9950">
      <c r="B9950" s="19"/>
      <c r="E9950" s="23"/>
      <c r="L9950" s="23"/>
    </row>
    <row r="9951">
      <c r="B9951" s="19"/>
      <c r="E9951" s="23"/>
      <c r="L9951" s="23"/>
    </row>
    <row r="9952">
      <c r="B9952" s="19"/>
      <c r="E9952" s="23"/>
      <c r="L9952" s="23"/>
    </row>
    <row r="9953">
      <c r="B9953" s="19"/>
      <c r="E9953" s="23"/>
      <c r="L9953" s="23"/>
    </row>
    <row r="9954">
      <c r="B9954" s="19"/>
      <c r="E9954" s="23"/>
      <c r="L9954" s="23"/>
    </row>
    <row r="9955">
      <c r="B9955" s="19"/>
      <c r="E9955" s="23"/>
      <c r="L9955" s="23"/>
    </row>
    <row r="9956">
      <c r="B9956" s="19"/>
      <c r="E9956" s="23"/>
      <c r="L9956" s="23"/>
    </row>
    <row r="9957">
      <c r="B9957" s="19"/>
      <c r="E9957" s="23"/>
      <c r="L9957" s="23"/>
    </row>
    <row r="9958">
      <c r="B9958" s="19"/>
      <c r="E9958" s="23"/>
      <c r="L9958" s="23"/>
    </row>
    <row r="9959">
      <c r="B9959" s="19"/>
      <c r="E9959" s="23"/>
      <c r="L9959" s="23"/>
    </row>
    <row r="9960">
      <c r="B9960" s="19"/>
      <c r="E9960" s="23"/>
      <c r="L9960" s="23"/>
    </row>
    <row r="9961">
      <c r="B9961" s="19"/>
      <c r="E9961" s="23"/>
      <c r="L9961" s="23"/>
    </row>
    <row r="9962">
      <c r="B9962" s="19"/>
      <c r="E9962" s="23"/>
      <c r="L9962" s="23"/>
    </row>
    <row r="9963">
      <c r="B9963" s="19"/>
      <c r="E9963" s="23"/>
      <c r="L9963" s="23"/>
    </row>
    <row r="9964">
      <c r="B9964" s="19"/>
      <c r="E9964" s="23"/>
      <c r="L9964" s="23"/>
    </row>
    <row r="9965">
      <c r="B9965" s="19"/>
      <c r="E9965" s="23"/>
      <c r="L9965" s="23"/>
    </row>
    <row r="9966">
      <c r="B9966" s="19"/>
      <c r="E9966" s="23"/>
      <c r="L9966" s="23"/>
    </row>
    <row r="9967">
      <c r="B9967" s="19"/>
      <c r="E9967" s="23"/>
      <c r="L9967" s="23"/>
    </row>
    <row r="9968">
      <c r="B9968" s="19"/>
      <c r="E9968" s="23"/>
      <c r="L9968" s="23"/>
    </row>
    <row r="9969">
      <c r="B9969" s="19"/>
      <c r="E9969" s="23"/>
      <c r="L9969" s="23"/>
    </row>
    <row r="9970">
      <c r="B9970" s="19"/>
      <c r="E9970" s="23"/>
      <c r="L9970" s="23"/>
    </row>
    <row r="9971">
      <c r="B9971" s="19"/>
      <c r="E9971" s="23"/>
      <c r="L9971" s="23"/>
    </row>
    <row r="9972">
      <c r="B9972" s="19"/>
      <c r="E9972" s="23"/>
      <c r="L9972" s="23"/>
    </row>
    <row r="9973">
      <c r="B9973" s="19"/>
      <c r="E9973" s="23"/>
      <c r="L9973" s="23"/>
    </row>
    <row r="9974">
      <c r="B9974" s="19"/>
      <c r="E9974" s="23"/>
      <c r="L9974" s="23"/>
    </row>
    <row r="9975">
      <c r="B9975" s="19"/>
      <c r="E9975" s="23"/>
      <c r="L9975" s="23"/>
    </row>
    <row r="9976">
      <c r="B9976" s="19"/>
      <c r="E9976" s="23"/>
      <c r="L9976" s="23"/>
    </row>
    <row r="9977">
      <c r="B9977" s="19"/>
      <c r="E9977" s="23"/>
      <c r="L9977" s="23"/>
    </row>
    <row r="9978">
      <c r="B9978" s="19"/>
      <c r="E9978" s="23"/>
      <c r="L9978" s="23"/>
    </row>
    <row r="9979">
      <c r="B9979" s="19"/>
      <c r="E9979" s="23"/>
      <c r="L9979" s="23"/>
    </row>
    <row r="9980">
      <c r="B9980" s="19"/>
      <c r="E9980" s="23"/>
      <c r="L9980" s="23"/>
    </row>
    <row r="9981">
      <c r="B9981" s="19"/>
      <c r="E9981" s="23"/>
      <c r="L9981" s="23"/>
    </row>
    <row r="9982">
      <c r="B9982" s="19"/>
      <c r="E9982" s="23"/>
      <c r="L9982" s="23"/>
    </row>
    <row r="9983">
      <c r="B9983" s="19"/>
      <c r="E9983" s="23"/>
      <c r="L9983" s="23"/>
    </row>
    <row r="9984">
      <c r="B9984" s="19"/>
      <c r="E9984" s="23"/>
      <c r="L9984" s="23"/>
    </row>
    <row r="9985">
      <c r="B9985" s="19"/>
      <c r="E9985" s="23"/>
      <c r="L9985" s="23"/>
    </row>
    <row r="9986">
      <c r="B9986" s="19"/>
      <c r="E9986" s="23"/>
      <c r="L9986" s="23"/>
    </row>
    <row r="9987">
      <c r="B9987" s="19"/>
      <c r="E9987" s="23"/>
      <c r="L9987" s="23"/>
    </row>
    <row r="9988">
      <c r="B9988" s="19"/>
      <c r="E9988" s="23"/>
      <c r="L9988" s="23"/>
    </row>
    <row r="9989">
      <c r="B9989" s="19"/>
      <c r="E9989" s="23"/>
      <c r="L9989" s="23"/>
    </row>
    <row r="9990">
      <c r="B9990" s="19"/>
      <c r="E9990" s="23"/>
      <c r="L9990" s="23"/>
    </row>
    <row r="9991">
      <c r="B9991" s="19"/>
      <c r="E9991" s="23"/>
      <c r="L9991" s="23"/>
    </row>
    <row r="9992">
      <c r="B9992" s="19"/>
      <c r="E9992" s="23"/>
      <c r="L9992" s="23"/>
    </row>
    <row r="9993">
      <c r="B9993" s="19"/>
      <c r="E9993" s="23"/>
      <c r="L9993" s="23"/>
    </row>
    <row r="9994">
      <c r="B9994" s="19"/>
      <c r="E9994" s="23"/>
      <c r="L9994" s="23"/>
    </row>
    <row r="9995">
      <c r="B9995" s="19"/>
      <c r="E9995" s="23"/>
      <c r="L9995" s="23"/>
    </row>
    <row r="9996">
      <c r="B9996" s="19"/>
      <c r="E9996" s="23"/>
      <c r="L9996" s="23"/>
    </row>
    <row r="9997">
      <c r="B9997" s="19"/>
      <c r="E9997" s="23"/>
      <c r="L9997" s="23"/>
    </row>
    <row r="9998">
      <c r="B9998" s="19"/>
      <c r="E9998" s="23"/>
      <c r="L9998" s="23"/>
    </row>
    <row r="9999">
      <c r="B9999" s="19"/>
      <c r="E9999" s="23"/>
      <c r="L9999" s="23"/>
    </row>
    <row r="10000">
      <c r="B10000" s="19"/>
      <c r="E10000" s="23"/>
      <c r="L10000" s="23"/>
    </row>
    <row r="10001">
      <c r="B10001" s="19"/>
      <c r="E10001" s="23"/>
      <c r="L10001" s="23"/>
    </row>
    <row r="10002">
      <c r="B10002" s="19"/>
      <c r="E10002" s="23"/>
      <c r="L10002" s="23"/>
    </row>
    <row r="10003">
      <c r="B10003" s="19"/>
      <c r="E10003" s="23"/>
      <c r="L10003" s="23"/>
    </row>
    <row r="10004">
      <c r="B10004" s="19"/>
      <c r="E10004" s="23"/>
      <c r="L10004" s="23"/>
    </row>
    <row r="10005">
      <c r="B10005" s="19"/>
      <c r="E10005" s="23"/>
      <c r="L10005" s="23"/>
    </row>
    <row r="10006">
      <c r="B10006" s="19"/>
      <c r="E10006" s="23"/>
      <c r="L10006" s="23"/>
    </row>
    <row r="10007">
      <c r="B10007" s="19"/>
      <c r="E10007" s="23"/>
      <c r="L10007" s="23"/>
    </row>
    <row r="10008">
      <c r="B10008" s="19"/>
      <c r="E10008" s="23"/>
      <c r="L10008" s="23"/>
    </row>
    <row r="10009">
      <c r="B10009" s="19"/>
      <c r="E10009" s="23"/>
      <c r="L10009" s="23"/>
    </row>
    <row r="10010">
      <c r="B10010" s="19"/>
      <c r="E10010" s="23"/>
      <c r="L10010" s="23"/>
    </row>
    <row r="10011">
      <c r="B10011" s="19"/>
      <c r="E10011" s="23"/>
      <c r="L10011" s="23"/>
    </row>
    <row r="10012">
      <c r="B10012" s="19"/>
      <c r="E10012" s="23"/>
      <c r="L10012" s="23"/>
    </row>
    <row r="10013">
      <c r="B10013" s="19"/>
      <c r="E10013" s="23"/>
      <c r="L10013" s="23"/>
    </row>
    <row r="10014">
      <c r="B10014" s="19"/>
      <c r="E10014" s="23"/>
      <c r="L10014" s="23"/>
    </row>
    <row r="10015">
      <c r="B10015" s="19"/>
      <c r="E10015" s="23"/>
      <c r="L10015" s="23"/>
    </row>
    <row r="10016">
      <c r="B10016" s="19"/>
      <c r="E10016" s="23"/>
      <c r="L10016" s="23"/>
    </row>
    <row r="10017">
      <c r="B10017" s="19"/>
      <c r="E10017" s="23"/>
      <c r="L10017" s="23"/>
    </row>
    <row r="10018">
      <c r="B10018" s="19"/>
      <c r="E10018" s="23"/>
      <c r="L10018" s="23"/>
    </row>
    <row r="10019">
      <c r="B10019" s="19"/>
      <c r="E10019" s="23"/>
      <c r="L10019" s="23"/>
    </row>
    <row r="10020">
      <c r="B10020" s="19"/>
      <c r="E10020" s="23"/>
      <c r="L10020" s="23"/>
    </row>
    <row r="10021">
      <c r="B10021" s="19"/>
      <c r="E10021" s="23"/>
      <c r="L10021" s="23"/>
    </row>
    <row r="10022">
      <c r="B10022" s="19"/>
      <c r="E10022" s="23"/>
      <c r="L10022" s="23"/>
    </row>
    <row r="10023">
      <c r="B10023" s="19"/>
      <c r="E10023" s="23"/>
      <c r="L10023" s="23"/>
    </row>
    <row r="10024">
      <c r="B10024" s="19"/>
      <c r="E10024" s="23"/>
      <c r="L10024" s="23"/>
    </row>
    <row r="10025">
      <c r="B10025" s="19"/>
      <c r="E10025" s="23"/>
      <c r="L10025" s="23"/>
    </row>
    <row r="10026">
      <c r="B10026" s="19"/>
      <c r="E10026" s="23"/>
      <c r="L10026" s="23"/>
    </row>
    <row r="10027">
      <c r="B10027" s="19"/>
      <c r="E10027" s="23"/>
      <c r="L10027" s="23"/>
    </row>
    <row r="10028">
      <c r="B10028" s="19"/>
      <c r="E10028" s="23"/>
      <c r="L10028" s="23"/>
    </row>
    <row r="10029">
      <c r="B10029" s="19"/>
      <c r="E10029" s="23"/>
      <c r="L10029" s="23"/>
    </row>
    <row r="10030">
      <c r="B10030" s="19"/>
      <c r="E10030" s="23"/>
      <c r="L10030" s="23"/>
    </row>
    <row r="10031">
      <c r="B10031" s="19"/>
      <c r="E10031" s="23"/>
      <c r="L10031" s="23"/>
    </row>
    <row r="10032">
      <c r="B10032" s="19"/>
      <c r="E10032" s="23"/>
      <c r="L10032" s="23"/>
    </row>
    <row r="10033">
      <c r="B10033" s="19"/>
      <c r="E10033" s="23"/>
      <c r="L10033" s="23"/>
    </row>
    <row r="10034">
      <c r="B10034" s="19"/>
      <c r="E10034" s="23"/>
      <c r="L10034" s="23"/>
    </row>
    <row r="10035">
      <c r="B10035" s="19"/>
      <c r="E10035" s="23"/>
      <c r="L10035" s="23"/>
    </row>
    <row r="10036">
      <c r="B10036" s="19"/>
      <c r="E10036" s="23"/>
      <c r="L10036" s="23"/>
    </row>
    <row r="10037">
      <c r="B10037" s="19"/>
      <c r="E10037" s="23"/>
      <c r="L10037" s="23"/>
    </row>
    <row r="10038">
      <c r="B10038" s="19"/>
      <c r="E10038" s="23"/>
      <c r="L10038" s="23"/>
    </row>
    <row r="10039">
      <c r="B10039" s="19"/>
      <c r="E10039" s="23"/>
      <c r="L10039" s="23"/>
    </row>
    <row r="10040">
      <c r="B10040" s="19"/>
      <c r="E10040" s="23"/>
      <c r="L10040" s="23"/>
    </row>
    <row r="10041">
      <c r="B10041" s="19"/>
      <c r="E10041" s="23"/>
      <c r="L10041" s="23"/>
    </row>
    <row r="10042">
      <c r="B10042" s="19"/>
      <c r="E10042" s="23"/>
      <c r="L10042" s="23"/>
    </row>
    <row r="10043">
      <c r="B10043" s="19"/>
      <c r="E10043" s="23"/>
      <c r="L10043" s="23"/>
    </row>
    <row r="10044">
      <c r="B10044" s="19"/>
      <c r="E10044" s="23"/>
      <c r="L10044" s="23"/>
    </row>
    <row r="10045">
      <c r="B10045" s="19"/>
      <c r="E10045" s="23"/>
      <c r="L10045" s="23"/>
    </row>
    <row r="10046">
      <c r="B10046" s="19"/>
      <c r="E10046" s="23"/>
      <c r="L10046" s="23"/>
    </row>
    <row r="10047">
      <c r="B10047" s="19"/>
      <c r="E10047" s="23"/>
      <c r="L10047" s="23"/>
    </row>
    <row r="10048">
      <c r="B10048" s="19"/>
      <c r="E10048" s="23"/>
      <c r="L10048" s="23"/>
    </row>
    <row r="10049">
      <c r="B10049" s="19"/>
      <c r="E10049" s="23"/>
      <c r="L10049" s="23"/>
    </row>
    <row r="10050">
      <c r="B10050" s="19"/>
      <c r="E10050" s="23"/>
      <c r="L10050" s="23"/>
    </row>
    <row r="10051">
      <c r="B10051" s="19"/>
      <c r="E10051" s="23"/>
      <c r="L10051" s="23"/>
    </row>
    <row r="10052">
      <c r="B10052" s="19"/>
      <c r="E10052" s="23"/>
      <c r="L10052" s="23"/>
    </row>
    <row r="10053">
      <c r="B10053" s="19"/>
      <c r="E10053" s="23"/>
      <c r="L10053" s="23"/>
    </row>
    <row r="10054">
      <c r="B10054" s="19"/>
      <c r="E10054" s="23"/>
      <c r="L10054" s="23"/>
    </row>
    <row r="10055">
      <c r="B10055" s="19"/>
      <c r="E10055" s="23"/>
      <c r="L10055" s="23"/>
    </row>
    <row r="10056">
      <c r="B10056" s="19"/>
      <c r="E10056" s="23"/>
      <c r="L10056" s="23"/>
    </row>
    <row r="10057">
      <c r="B10057" s="19"/>
      <c r="E10057" s="23"/>
      <c r="L10057" s="23"/>
    </row>
    <row r="10058">
      <c r="B10058" s="19"/>
      <c r="E10058" s="23"/>
      <c r="L10058" s="23"/>
    </row>
    <row r="10059">
      <c r="B10059" s="19"/>
      <c r="E10059" s="23"/>
      <c r="L10059" s="23"/>
    </row>
    <row r="10060">
      <c r="B10060" s="19"/>
      <c r="E10060" s="23"/>
      <c r="L10060" s="23"/>
    </row>
    <row r="10061">
      <c r="B10061" s="19"/>
      <c r="E10061" s="23"/>
      <c r="L10061" s="23"/>
    </row>
    <row r="10062">
      <c r="B10062" s="19"/>
      <c r="E10062" s="23"/>
      <c r="L10062" s="23"/>
    </row>
    <row r="10063">
      <c r="B10063" s="19"/>
      <c r="E10063" s="23"/>
      <c r="L10063" s="23"/>
    </row>
    <row r="10064">
      <c r="B10064" s="19"/>
      <c r="E10064" s="23"/>
      <c r="L10064" s="23"/>
    </row>
    <row r="10065">
      <c r="B10065" s="19"/>
      <c r="E10065" s="23"/>
      <c r="L10065" s="23"/>
    </row>
    <row r="10066">
      <c r="B10066" s="19"/>
      <c r="E10066" s="23"/>
      <c r="L10066" s="23"/>
    </row>
    <row r="10067">
      <c r="B10067" s="19"/>
      <c r="E10067" s="23"/>
      <c r="L10067" s="23"/>
    </row>
    <row r="10068">
      <c r="B10068" s="19"/>
      <c r="E10068" s="23"/>
      <c r="L10068" s="23"/>
    </row>
    <row r="10069">
      <c r="B10069" s="19"/>
      <c r="E10069" s="23"/>
      <c r="L10069" s="23"/>
    </row>
    <row r="10070">
      <c r="B10070" s="19"/>
      <c r="E10070" s="23"/>
      <c r="L10070" s="23"/>
    </row>
    <row r="10071">
      <c r="B10071" s="19"/>
      <c r="E10071" s="23"/>
      <c r="L10071" s="23"/>
    </row>
    <row r="10072">
      <c r="B10072" s="19"/>
      <c r="E10072" s="23"/>
      <c r="L10072" s="23"/>
    </row>
    <row r="10073">
      <c r="B10073" s="19"/>
      <c r="E10073" s="23"/>
      <c r="L10073" s="23"/>
    </row>
    <row r="10074">
      <c r="B10074" s="19"/>
      <c r="E10074" s="23"/>
      <c r="L10074" s="23"/>
    </row>
    <row r="10075">
      <c r="B10075" s="19"/>
      <c r="E10075" s="23"/>
      <c r="L10075" s="23"/>
    </row>
    <row r="10076">
      <c r="B10076" s="19"/>
      <c r="E10076" s="23"/>
      <c r="L10076" s="23"/>
    </row>
    <row r="10077">
      <c r="B10077" s="19"/>
      <c r="E10077" s="23"/>
      <c r="L10077" s="23"/>
    </row>
    <row r="10078">
      <c r="B10078" s="19"/>
      <c r="E10078" s="23"/>
      <c r="L10078" s="23"/>
    </row>
    <row r="10079">
      <c r="B10079" s="19"/>
      <c r="E10079" s="23"/>
      <c r="L10079" s="23"/>
    </row>
    <row r="10080">
      <c r="B10080" s="19"/>
      <c r="E10080" s="23"/>
      <c r="L10080" s="23"/>
    </row>
    <row r="10081">
      <c r="B10081" s="19"/>
      <c r="E10081" s="23"/>
      <c r="L10081" s="23"/>
    </row>
    <row r="10082">
      <c r="B10082" s="19"/>
      <c r="E10082" s="23"/>
      <c r="L10082" s="23"/>
    </row>
    <row r="10083">
      <c r="B10083" s="19"/>
      <c r="E10083" s="23"/>
      <c r="L10083" s="23"/>
    </row>
    <row r="10084">
      <c r="B10084" s="19"/>
      <c r="E10084" s="23"/>
      <c r="L10084" s="23"/>
    </row>
    <row r="10085">
      <c r="B10085" s="19"/>
      <c r="E10085" s="23"/>
      <c r="L10085" s="23"/>
    </row>
    <row r="10086">
      <c r="B10086" s="19"/>
      <c r="E10086" s="23"/>
      <c r="L10086" s="23"/>
    </row>
    <row r="10087">
      <c r="B10087" s="19"/>
      <c r="E10087" s="23"/>
      <c r="L10087" s="23"/>
    </row>
    <row r="10088">
      <c r="B10088" s="19"/>
      <c r="E10088" s="23"/>
      <c r="L10088" s="23"/>
    </row>
    <row r="10089">
      <c r="B10089" s="19"/>
      <c r="E10089" s="23"/>
      <c r="L10089" s="23"/>
    </row>
    <row r="10090">
      <c r="B10090" s="19"/>
      <c r="E10090" s="23"/>
      <c r="L10090" s="23"/>
    </row>
    <row r="10091">
      <c r="B10091" s="19"/>
      <c r="E10091" s="23"/>
      <c r="L10091" s="23"/>
    </row>
    <row r="10092">
      <c r="B10092" s="19"/>
      <c r="E10092" s="23"/>
      <c r="L10092" s="23"/>
    </row>
    <row r="10093">
      <c r="B10093" s="19"/>
      <c r="E10093" s="23"/>
      <c r="L10093" s="23"/>
    </row>
    <row r="10094">
      <c r="B10094" s="19"/>
      <c r="E10094" s="23"/>
      <c r="L10094" s="23"/>
    </row>
    <row r="10095">
      <c r="B10095" s="19"/>
      <c r="E10095" s="23"/>
      <c r="L10095" s="23"/>
    </row>
    <row r="10096">
      <c r="B10096" s="19"/>
      <c r="E10096" s="23"/>
      <c r="L10096" s="23"/>
    </row>
    <row r="10097">
      <c r="B10097" s="19"/>
      <c r="E10097" s="23"/>
      <c r="L10097" s="23"/>
    </row>
    <row r="10098">
      <c r="B10098" s="19"/>
      <c r="E10098" s="23"/>
      <c r="L10098" s="23"/>
    </row>
    <row r="10099">
      <c r="B10099" s="19"/>
      <c r="E10099" s="23"/>
      <c r="L10099" s="23"/>
    </row>
    <row r="10100">
      <c r="B10100" s="19"/>
      <c r="E10100" s="23"/>
      <c r="L10100" s="23"/>
    </row>
    <row r="10101">
      <c r="B10101" s="19"/>
      <c r="E10101" s="23"/>
      <c r="L10101" s="23"/>
    </row>
    <row r="10102">
      <c r="B10102" s="19"/>
      <c r="E10102" s="23"/>
      <c r="L10102" s="23"/>
    </row>
    <row r="10103">
      <c r="B10103" s="19"/>
      <c r="E10103" s="23"/>
      <c r="L10103" s="23"/>
    </row>
    <row r="10104">
      <c r="B10104" s="19"/>
      <c r="E10104" s="23"/>
      <c r="L10104" s="23"/>
    </row>
    <row r="10105">
      <c r="B10105" s="19"/>
      <c r="E10105" s="23"/>
      <c r="L10105" s="23"/>
    </row>
    <row r="10106">
      <c r="B10106" s="19"/>
      <c r="E10106" s="23"/>
      <c r="L10106" s="23"/>
    </row>
    <row r="10107">
      <c r="B10107" s="19"/>
      <c r="E10107" s="23"/>
      <c r="L10107" s="23"/>
    </row>
    <row r="10108">
      <c r="B10108" s="19"/>
      <c r="E10108" s="23"/>
      <c r="L10108" s="23"/>
    </row>
    <row r="10109">
      <c r="B10109" s="19"/>
      <c r="E10109" s="23"/>
      <c r="L10109" s="23"/>
    </row>
    <row r="10110">
      <c r="B10110" s="19"/>
      <c r="E10110" s="23"/>
      <c r="L10110" s="23"/>
    </row>
    <row r="10111">
      <c r="B10111" s="19"/>
      <c r="E10111" s="23"/>
      <c r="L10111" s="23"/>
    </row>
    <row r="10112">
      <c r="B10112" s="19"/>
      <c r="E10112" s="23"/>
      <c r="L10112" s="23"/>
    </row>
    <row r="10113">
      <c r="B10113" s="19"/>
      <c r="E10113" s="23"/>
      <c r="L10113" s="23"/>
    </row>
    <row r="10114">
      <c r="B10114" s="19"/>
      <c r="E10114" s="23"/>
      <c r="L10114" s="23"/>
    </row>
    <row r="10115">
      <c r="B10115" s="19"/>
      <c r="E10115" s="23"/>
      <c r="L10115" s="23"/>
    </row>
    <row r="10116">
      <c r="B10116" s="19"/>
      <c r="E10116" s="23"/>
      <c r="L10116" s="23"/>
    </row>
    <row r="10117">
      <c r="B10117" s="19"/>
      <c r="E10117" s="23"/>
      <c r="L10117" s="23"/>
    </row>
    <row r="10118">
      <c r="B10118" s="19"/>
      <c r="E10118" s="23"/>
      <c r="L10118" s="23"/>
    </row>
    <row r="10119">
      <c r="B10119" s="19"/>
      <c r="E10119" s="23"/>
      <c r="L10119" s="23"/>
    </row>
    <row r="10120">
      <c r="B10120" s="19"/>
      <c r="E10120" s="23"/>
      <c r="L10120" s="23"/>
    </row>
    <row r="10121">
      <c r="B10121" s="19"/>
      <c r="E10121" s="23"/>
      <c r="L10121" s="23"/>
    </row>
    <row r="10122">
      <c r="B10122" s="19"/>
      <c r="E10122" s="23"/>
      <c r="L10122" s="23"/>
    </row>
    <row r="10123">
      <c r="B10123" s="19"/>
      <c r="E10123" s="23"/>
      <c r="L10123" s="23"/>
    </row>
    <row r="10124">
      <c r="B10124" s="19"/>
      <c r="E10124" s="23"/>
      <c r="L10124" s="23"/>
    </row>
    <row r="10125">
      <c r="B10125" s="19"/>
      <c r="E10125" s="23"/>
      <c r="L10125" s="23"/>
    </row>
    <row r="10126">
      <c r="B10126" s="19"/>
      <c r="E10126" s="23"/>
      <c r="L10126" s="23"/>
    </row>
    <row r="10127">
      <c r="B10127" s="19"/>
      <c r="E10127" s="23"/>
      <c r="L10127" s="23"/>
    </row>
    <row r="10128">
      <c r="B10128" s="19"/>
      <c r="E10128" s="23"/>
      <c r="L10128" s="23"/>
    </row>
    <row r="10129">
      <c r="B10129" s="19"/>
      <c r="E10129" s="23"/>
      <c r="L10129" s="23"/>
    </row>
    <row r="10130">
      <c r="B10130" s="19"/>
      <c r="E10130" s="23"/>
      <c r="L10130" s="23"/>
    </row>
    <row r="10131">
      <c r="B10131" s="19"/>
      <c r="E10131" s="23"/>
      <c r="L10131" s="23"/>
    </row>
    <row r="10132">
      <c r="B10132" s="19"/>
      <c r="E10132" s="23"/>
      <c r="L10132" s="23"/>
    </row>
    <row r="10133">
      <c r="B10133" s="19"/>
      <c r="E10133" s="23"/>
      <c r="L10133" s="23"/>
    </row>
    <row r="10134">
      <c r="B10134" s="19"/>
      <c r="E10134" s="23"/>
      <c r="L10134" s="23"/>
    </row>
    <row r="10135">
      <c r="B10135" s="19"/>
      <c r="E10135" s="23"/>
      <c r="L10135" s="23"/>
    </row>
    <row r="10136">
      <c r="B10136" s="19"/>
      <c r="E10136" s="23"/>
      <c r="L10136" s="23"/>
    </row>
    <row r="10137">
      <c r="B10137" s="19"/>
      <c r="E10137" s="23"/>
      <c r="L10137" s="23"/>
    </row>
    <row r="10138">
      <c r="B10138" s="19"/>
      <c r="E10138" s="23"/>
      <c r="L10138" s="23"/>
    </row>
    <row r="10139">
      <c r="B10139" s="19"/>
      <c r="E10139" s="23"/>
      <c r="L10139" s="23"/>
    </row>
    <row r="10140">
      <c r="B10140" s="19"/>
      <c r="E10140" s="23"/>
      <c r="L10140" s="23"/>
    </row>
    <row r="10141">
      <c r="B10141" s="19"/>
      <c r="E10141" s="23"/>
      <c r="L10141" s="23"/>
    </row>
    <row r="10142">
      <c r="B10142" s="19"/>
      <c r="E10142" s="23"/>
      <c r="L10142" s="23"/>
    </row>
    <row r="10143">
      <c r="B10143" s="19"/>
      <c r="E10143" s="23"/>
      <c r="L10143" s="23"/>
    </row>
    <row r="10144">
      <c r="B10144" s="19"/>
      <c r="E10144" s="23"/>
      <c r="L10144" s="23"/>
    </row>
    <row r="10145">
      <c r="B10145" s="19"/>
      <c r="E10145" s="23"/>
      <c r="L10145" s="23"/>
    </row>
    <row r="10146">
      <c r="B10146" s="19"/>
      <c r="E10146" s="23"/>
      <c r="L10146" s="23"/>
    </row>
    <row r="10147">
      <c r="B10147" s="19"/>
      <c r="E10147" s="23"/>
      <c r="L10147" s="23"/>
    </row>
    <row r="10148">
      <c r="B10148" s="19"/>
      <c r="E10148" s="23"/>
      <c r="L10148" s="23"/>
    </row>
    <row r="10149">
      <c r="B10149" s="19"/>
      <c r="E10149" s="23"/>
      <c r="L10149" s="23"/>
    </row>
    <row r="10150">
      <c r="B10150" s="19"/>
      <c r="E10150" s="23"/>
      <c r="L10150" s="23"/>
    </row>
    <row r="10151">
      <c r="B10151" s="19"/>
      <c r="E10151" s="23"/>
      <c r="L10151" s="23"/>
    </row>
    <row r="10152">
      <c r="B10152" s="19"/>
      <c r="E10152" s="23"/>
      <c r="L10152" s="23"/>
    </row>
    <row r="10153">
      <c r="B10153" s="19"/>
      <c r="E10153" s="23"/>
      <c r="L10153" s="23"/>
    </row>
    <row r="10154">
      <c r="B10154" s="19"/>
      <c r="E10154" s="23"/>
      <c r="L10154" s="23"/>
    </row>
    <row r="10155">
      <c r="B10155" s="19"/>
      <c r="E10155" s="23"/>
      <c r="L10155" s="23"/>
    </row>
    <row r="10156">
      <c r="B10156" s="19"/>
      <c r="E10156" s="23"/>
      <c r="L10156" s="23"/>
    </row>
    <row r="10157">
      <c r="B10157" s="19"/>
      <c r="E10157" s="23"/>
      <c r="L10157" s="23"/>
    </row>
    <row r="10158">
      <c r="B10158" s="19"/>
      <c r="E10158" s="23"/>
      <c r="L10158" s="23"/>
    </row>
    <row r="10159">
      <c r="B10159" s="19"/>
      <c r="E10159" s="23"/>
      <c r="L10159" s="23"/>
    </row>
    <row r="10160">
      <c r="B10160" s="19"/>
      <c r="E10160" s="23"/>
      <c r="L10160" s="23"/>
    </row>
    <row r="10161">
      <c r="B10161" s="19"/>
      <c r="E10161" s="23"/>
      <c r="L10161" s="23"/>
    </row>
    <row r="10162">
      <c r="B10162" s="19"/>
      <c r="E10162" s="23"/>
      <c r="L10162" s="23"/>
    </row>
    <row r="10163">
      <c r="B10163" s="19"/>
      <c r="E10163" s="23"/>
      <c r="L10163" s="23"/>
    </row>
    <row r="10164">
      <c r="B10164" s="19"/>
      <c r="E10164" s="23"/>
      <c r="L10164" s="23"/>
    </row>
    <row r="10165">
      <c r="B10165" s="19"/>
      <c r="E10165" s="23"/>
      <c r="L10165" s="23"/>
    </row>
    <row r="10166">
      <c r="B10166" s="19"/>
      <c r="E10166" s="23"/>
      <c r="L10166" s="23"/>
    </row>
    <row r="10167">
      <c r="B10167" s="19"/>
      <c r="E10167" s="23"/>
      <c r="L10167" s="23"/>
    </row>
    <row r="10168">
      <c r="B10168" s="19"/>
      <c r="E10168" s="23"/>
      <c r="L10168" s="23"/>
    </row>
    <row r="10169">
      <c r="B10169" s="19"/>
      <c r="E10169" s="23"/>
      <c r="L10169" s="23"/>
    </row>
    <row r="10170">
      <c r="B10170" s="19"/>
      <c r="E10170" s="23"/>
      <c r="L10170" s="23"/>
    </row>
    <row r="10171">
      <c r="B10171" s="19"/>
      <c r="E10171" s="23"/>
      <c r="L10171" s="23"/>
    </row>
    <row r="10172">
      <c r="B10172" s="19"/>
      <c r="E10172" s="23"/>
      <c r="L10172" s="23"/>
    </row>
    <row r="10173">
      <c r="B10173" s="19"/>
      <c r="E10173" s="23"/>
      <c r="L10173" s="23"/>
    </row>
    <row r="10174">
      <c r="B10174" s="19"/>
      <c r="E10174" s="23"/>
      <c r="L10174" s="23"/>
    </row>
    <row r="10175">
      <c r="B10175" s="19"/>
      <c r="E10175" s="23"/>
      <c r="L10175" s="23"/>
    </row>
    <row r="10176">
      <c r="B10176" s="19"/>
      <c r="E10176" s="23"/>
      <c r="L10176" s="23"/>
    </row>
    <row r="10177">
      <c r="B10177" s="19"/>
      <c r="E10177" s="23"/>
      <c r="L10177" s="23"/>
    </row>
    <row r="10178">
      <c r="B10178" s="19"/>
      <c r="E10178" s="23"/>
      <c r="L10178" s="23"/>
    </row>
    <row r="10179">
      <c r="B10179" s="19"/>
      <c r="E10179" s="23"/>
      <c r="L10179" s="23"/>
    </row>
    <row r="10180">
      <c r="B10180" s="19"/>
      <c r="E10180" s="23"/>
      <c r="L10180" s="23"/>
    </row>
    <row r="10181">
      <c r="B10181" s="19"/>
      <c r="E10181" s="23"/>
      <c r="L10181" s="23"/>
    </row>
    <row r="10182">
      <c r="B10182" s="19"/>
      <c r="E10182" s="23"/>
      <c r="L10182" s="23"/>
    </row>
    <row r="10183">
      <c r="B10183" s="19"/>
      <c r="E10183" s="23"/>
      <c r="L10183" s="23"/>
    </row>
    <row r="10184">
      <c r="B10184" s="19"/>
      <c r="E10184" s="23"/>
      <c r="L10184" s="23"/>
    </row>
    <row r="10185">
      <c r="B10185" s="19"/>
      <c r="E10185" s="23"/>
      <c r="L10185" s="23"/>
    </row>
    <row r="10186">
      <c r="B10186" s="19"/>
      <c r="E10186" s="23"/>
      <c r="L10186" s="23"/>
    </row>
    <row r="10187">
      <c r="B10187" s="19"/>
      <c r="E10187" s="23"/>
      <c r="L10187" s="23"/>
    </row>
    <row r="10188">
      <c r="B10188" s="19"/>
      <c r="E10188" s="23"/>
      <c r="L10188" s="23"/>
    </row>
    <row r="10189">
      <c r="B10189" s="19"/>
      <c r="E10189" s="23"/>
      <c r="L10189" s="23"/>
    </row>
    <row r="10190">
      <c r="B10190" s="19"/>
      <c r="E10190" s="23"/>
      <c r="L10190" s="23"/>
    </row>
    <row r="10191">
      <c r="B10191" s="19"/>
      <c r="E10191" s="23"/>
      <c r="L10191" s="23"/>
    </row>
    <row r="10192">
      <c r="B10192" s="19"/>
      <c r="E10192" s="23"/>
      <c r="L10192" s="23"/>
    </row>
    <row r="10193">
      <c r="B10193" s="19"/>
      <c r="E10193" s="23"/>
      <c r="L10193" s="23"/>
    </row>
    <row r="10194">
      <c r="B10194" s="19"/>
      <c r="E10194" s="23"/>
      <c r="L10194" s="23"/>
    </row>
    <row r="10195">
      <c r="B10195" s="19"/>
      <c r="E10195" s="23"/>
      <c r="L10195" s="23"/>
    </row>
    <row r="10196">
      <c r="B10196" s="19"/>
      <c r="E10196" s="23"/>
      <c r="L10196" s="23"/>
    </row>
    <row r="10197">
      <c r="B10197" s="19"/>
      <c r="E10197" s="23"/>
      <c r="L10197" s="23"/>
    </row>
    <row r="10198">
      <c r="B10198" s="19"/>
      <c r="E10198" s="23"/>
      <c r="L10198" s="23"/>
    </row>
    <row r="10199">
      <c r="B10199" s="19"/>
      <c r="E10199" s="23"/>
      <c r="L10199" s="23"/>
    </row>
    <row r="10200">
      <c r="B10200" s="19"/>
      <c r="E10200" s="23"/>
      <c r="L10200" s="23"/>
    </row>
    <row r="10201">
      <c r="B10201" s="19"/>
      <c r="E10201" s="23"/>
      <c r="L10201" s="23"/>
    </row>
    <row r="10202">
      <c r="B10202" s="19"/>
      <c r="E10202" s="23"/>
      <c r="L10202" s="23"/>
    </row>
    <row r="10203">
      <c r="B10203" s="19"/>
      <c r="E10203" s="23"/>
      <c r="L10203" s="23"/>
    </row>
    <row r="10204">
      <c r="B10204" s="19"/>
      <c r="E10204" s="23"/>
      <c r="L10204" s="23"/>
    </row>
    <row r="10205">
      <c r="B10205" s="19"/>
      <c r="E10205" s="23"/>
      <c r="L10205" s="23"/>
    </row>
    <row r="10206">
      <c r="B10206" s="19"/>
      <c r="E10206" s="23"/>
      <c r="L10206" s="23"/>
    </row>
    <row r="10207">
      <c r="B10207" s="19"/>
      <c r="E10207" s="23"/>
      <c r="L10207" s="23"/>
    </row>
    <row r="10208">
      <c r="B10208" s="19"/>
      <c r="E10208" s="23"/>
      <c r="L10208" s="23"/>
    </row>
    <row r="10209">
      <c r="B10209" s="19"/>
      <c r="E10209" s="23"/>
      <c r="L10209" s="23"/>
    </row>
    <row r="10210">
      <c r="B10210" s="19"/>
      <c r="E10210" s="23"/>
      <c r="L10210" s="23"/>
    </row>
    <row r="10211">
      <c r="B10211" s="19"/>
      <c r="E10211" s="23"/>
      <c r="L10211" s="23"/>
    </row>
    <row r="10212">
      <c r="B10212" s="19"/>
      <c r="E10212" s="23"/>
      <c r="L10212" s="23"/>
    </row>
    <row r="10213">
      <c r="B10213" s="19"/>
      <c r="E10213" s="23"/>
      <c r="L10213" s="23"/>
    </row>
    <row r="10214">
      <c r="B10214" s="19"/>
      <c r="E10214" s="23"/>
      <c r="L10214" s="23"/>
    </row>
    <row r="10215">
      <c r="B10215" s="19"/>
      <c r="E10215" s="23"/>
      <c r="L10215" s="23"/>
    </row>
    <row r="10216">
      <c r="B10216" s="19"/>
      <c r="E10216" s="23"/>
      <c r="L10216" s="23"/>
    </row>
    <row r="10217">
      <c r="B10217" s="19"/>
      <c r="E10217" s="23"/>
      <c r="L10217" s="23"/>
    </row>
    <row r="10218">
      <c r="B10218" s="19"/>
      <c r="E10218" s="23"/>
      <c r="L10218" s="23"/>
    </row>
    <row r="10219">
      <c r="B10219" s="19"/>
      <c r="E10219" s="23"/>
      <c r="L10219" s="23"/>
    </row>
    <row r="10220">
      <c r="B10220" s="19"/>
      <c r="E10220" s="23"/>
      <c r="L10220" s="23"/>
    </row>
    <row r="10221">
      <c r="B10221" s="19"/>
      <c r="E10221" s="23"/>
      <c r="L10221" s="23"/>
    </row>
    <row r="10222">
      <c r="B10222" s="19"/>
      <c r="E10222" s="23"/>
      <c r="L10222" s="23"/>
    </row>
    <row r="10223">
      <c r="B10223" s="19"/>
      <c r="E10223" s="23"/>
      <c r="L10223" s="23"/>
    </row>
    <row r="10224">
      <c r="B10224" s="19"/>
      <c r="E10224" s="23"/>
      <c r="L10224" s="23"/>
    </row>
    <row r="10225">
      <c r="B10225" s="19"/>
      <c r="E10225" s="23"/>
      <c r="L10225" s="23"/>
    </row>
    <row r="10226">
      <c r="B10226" s="19"/>
      <c r="E10226" s="23"/>
      <c r="L10226" s="23"/>
    </row>
    <row r="10227">
      <c r="B10227" s="19"/>
      <c r="E10227" s="23"/>
      <c r="L10227" s="23"/>
    </row>
    <row r="10228">
      <c r="B10228" s="19"/>
      <c r="E10228" s="23"/>
      <c r="L10228" s="23"/>
    </row>
    <row r="10229">
      <c r="B10229" s="19"/>
      <c r="E10229" s="23"/>
      <c r="L10229" s="23"/>
    </row>
    <row r="10230">
      <c r="B10230" s="19"/>
      <c r="E10230" s="23"/>
      <c r="L10230" s="23"/>
    </row>
    <row r="10231">
      <c r="B10231" s="19"/>
      <c r="E10231" s="23"/>
      <c r="L10231" s="23"/>
    </row>
    <row r="10232">
      <c r="B10232" s="19"/>
      <c r="E10232" s="23"/>
      <c r="L10232" s="23"/>
    </row>
    <row r="10233">
      <c r="B10233" s="19"/>
      <c r="E10233" s="23"/>
      <c r="L10233" s="23"/>
    </row>
    <row r="10234">
      <c r="B10234" s="19"/>
      <c r="E10234" s="23"/>
      <c r="L10234" s="23"/>
    </row>
    <row r="10235">
      <c r="B10235" s="19"/>
      <c r="E10235" s="23"/>
      <c r="L10235" s="23"/>
    </row>
    <row r="10236">
      <c r="B10236" s="19"/>
      <c r="E10236" s="23"/>
      <c r="L10236" s="23"/>
    </row>
    <row r="10237">
      <c r="B10237" s="19"/>
      <c r="E10237" s="23"/>
      <c r="L10237" s="23"/>
    </row>
    <row r="10238">
      <c r="B10238" s="19"/>
      <c r="E10238" s="23"/>
      <c r="L10238" s="23"/>
    </row>
    <row r="10239">
      <c r="B10239" s="19"/>
      <c r="E10239" s="23"/>
      <c r="L10239" s="23"/>
    </row>
    <row r="10240">
      <c r="B10240" s="19"/>
      <c r="E10240" s="23"/>
      <c r="L10240" s="23"/>
    </row>
    <row r="10241">
      <c r="B10241" s="19"/>
      <c r="E10241" s="23"/>
      <c r="L10241" s="23"/>
    </row>
    <row r="10242">
      <c r="B10242" s="19"/>
      <c r="E10242" s="23"/>
      <c r="L10242" s="23"/>
    </row>
    <row r="10243">
      <c r="B10243" s="19"/>
      <c r="E10243" s="23"/>
      <c r="L10243" s="23"/>
    </row>
    <row r="10244">
      <c r="B10244" s="19"/>
      <c r="E10244" s="23"/>
      <c r="L10244" s="23"/>
    </row>
    <row r="10245">
      <c r="B10245" s="19"/>
      <c r="E10245" s="23"/>
      <c r="L10245" s="23"/>
    </row>
    <row r="10246">
      <c r="B10246" s="19"/>
      <c r="E10246" s="23"/>
      <c r="L10246" s="23"/>
    </row>
    <row r="10247">
      <c r="B10247" s="19"/>
      <c r="E10247" s="23"/>
      <c r="L10247" s="23"/>
    </row>
    <row r="10248">
      <c r="B10248" s="19"/>
      <c r="E10248" s="23"/>
      <c r="L10248" s="23"/>
    </row>
    <row r="10249">
      <c r="B10249" s="19"/>
      <c r="E10249" s="23"/>
      <c r="L10249" s="23"/>
    </row>
    <row r="10250">
      <c r="B10250" s="19"/>
      <c r="E10250" s="23"/>
      <c r="L10250" s="23"/>
    </row>
    <row r="10251">
      <c r="B10251" s="19"/>
      <c r="E10251" s="23"/>
      <c r="L10251" s="23"/>
    </row>
    <row r="10252">
      <c r="B10252" s="19"/>
      <c r="E10252" s="23"/>
      <c r="L10252" s="23"/>
    </row>
    <row r="10253">
      <c r="B10253" s="19"/>
      <c r="E10253" s="23"/>
      <c r="L10253" s="23"/>
    </row>
    <row r="10254">
      <c r="B10254" s="19"/>
      <c r="E10254" s="23"/>
      <c r="L10254" s="23"/>
    </row>
    <row r="10255">
      <c r="B10255" s="19"/>
      <c r="E10255" s="23"/>
      <c r="L10255" s="23"/>
    </row>
    <row r="10256">
      <c r="B10256" s="19"/>
      <c r="E10256" s="23"/>
      <c r="L10256" s="23"/>
    </row>
    <row r="10257">
      <c r="B10257" s="19"/>
      <c r="E10257" s="23"/>
      <c r="L10257" s="23"/>
    </row>
    <row r="10258">
      <c r="B10258" s="19"/>
      <c r="E10258" s="23"/>
      <c r="L10258" s="23"/>
    </row>
    <row r="10259">
      <c r="B10259" s="19"/>
      <c r="E10259" s="23"/>
      <c r="L10259" s="23"/>
    </row>
    <row r="10260">
      <c r="B10260" s="19"/>
      <c r="E10260" s="23"/>
      <c r="L10260" s="23"/>
    </row>
    <row r="10261">
      <c r="B10261" s="19"/>
      <c r="E10261" s="23"/>
      <c r="L10261" s="23"/>
    </row>
    <row r="10262">
      <c r="B10262" s="19"/>
      <c r="E10262" s="23"/>
      <c r="L10262" s="23"/>
    </row>
    <row r="10263">
      <c r="B10263" s="19"/>
      <c r="E10263" s="23"/>
      <c r="L10263" s="23"/>
    </row>
    <row r="10264">
      <c r="B10264" s="19"/>
      <c r="E10264" s="23"/>
      <c r="L10264" s="23"/>
    </row>
    <row r="10265">
      <c r="B10265" s="19"/>
      <c r="E10265" s="23"/>
      <c r="L10265" s="23"/>
    </row>
    <row r="10266">
      <c r="B10266" s="19"/>
      <c r="E10266" s="23"/>
      <c r="L10266" s="23"/>
    </row>
    <row r="10267">
      <c r="B10267" s="19"/>
      <c r="E10267" s="23"/>
      <c r="L10267" s="23"/>
    </row>
    <row r="10268">
      <c r="B10268" s="19"/>
      <c r="E10268" s="23"/>
      <c r="L10268" s="23"/>
    </row>
    <row r="10269">
      <c r="B10269" s="19"/>
      <c r="E10269" s="23"/>
      <c r="L10269" s="23"/>
    </row>
    <row r="10270">
      <c r="B10270" s="19"/>
      <c r="E10270" s="23"/>
      <c r="L10270" s="23"/>
    </row>
    <row r="10271">
      <c r="B10271" s="19"/>
      <c r="E10271" s="23"/>
      <c r="L10271" s="23"/>
    </row>
    <row r="10272">
      <c r="B10272" s="19"/>
      <c r="E10272" s="23"/>
      <c r="L10272" s="23"/>
    </row>
    <row r="10273">
      <c r="B10273" s="19"/>
      <c r="E10273" s="23"/>
      <c r="L10273" s="23"/>
    </row>
    <row r="10274">
      <c r="B10274" s="19"/>
      <c r="E10274" s="23"/>
      <c r="L10274" s="23"/>
    </row>
    <row r="10275">
      <c r="B10275" s="19"/>
      <c r="E10275" s="23"/>
      <c r="L10275" s="23"/>
    </row>
    <row r="10276">
      <c r="B10276" s="19"/>
      <c r="E10276" s="23"/>
      <c r="L10276" s="23"/>
    </row>
    <row r="10277">
      <c r="B10277" s="19"/>
      <c r="E10277" s="23"/>
      <c r="L10277" s="23"/>
    </row>
    <row r="10278">
      <c r="B10278" s="19"/>
      <c r="E10278" s="23"/>
      <c r="L10278" s="23"/>
    </row>
    <row r="10279">
      <c r="B10279" s="19"/>
      <c r="E10279" s="23"/>
      <c r="L10279" s="23"/>
    </row>
    <row r="10280">
      <c r="B10280" s="19"/>
      <c r="E10280" s="23"/>
      <c r="L10280" s="23"/>
    </row>
    <row r="10281">
      <c r="B10281" s="19"/>
      <c r="E10281" s="23"/>
      <c r="L10281" s="23"/>
    </row>
    <row r="10282">
      <c r="B10282" s="19"/>
      <c r="E10282" s="23"/>
      <c r="L10282" s="23"/>
    </row>
    <row r="10283">
      <c r="B10283" s="19"/>
      <c r="E10283" s="23"/>
      <c r="L10283" s="23"/>
    </row>
    <row r="10284">
      <c r="B10284" s="19"/>
      <c r="E10284" s="23"/>
      <c r="L10284" s="23"/>
    </row>
    <row r="10285">
      <c r="B10285" s="19"/>
      <c r="E10285" s="23"/>
      <c r="L10285" s="23"/>
    </row>
    <row r="10286">
      <c r="B10286" s="19"/>
      <c r="E10286" s="23"/>
      <c r="L10286" s="23"/>
    </row>
    <row r="10287">
      <c r="B10287" s="19"/>
      <c r="E10287" s="23"/>
      <c r="L10287" s="23"/>
    </row>
    <row r="10288">
      <c r="B10288" s="19"/>
      <c r="E10288" s="23"/>
      <c r="L10288" s="23"/>
    </row>
    <row r="10289">
      <c r="B10289" s="19"/>
      <c r="E10289" s="23"/>
      <c r="L10289" s="23"/>
    </row>
    <row r="10290">
      <c r="B10290" s="19"/>
      <c r="E10290" s="23"/>
      <c r="L10290" s="23"/>
    </row>
    <row r="10291">
      <c r="B10291" s="19"/>
      <c r="E10291" s="23"/>
      <c r="L10291" s="23"/>
    </row>
    <row r="10292">
      <c r="B10292" s="19"/>
      <c r="E10292" s="23"/>
      <c r="L10292" s="23"/>
    </row>
    <row r="10293">
      <c r="B10293" s="19"/>
      <c r="E10293" s="23"/>
      <c r="L10293" s="23"/>
    </row>
    <row r="10294">
      <c r="B10294" s="19"/>
      <c r="E10294" s="23"/>
      <c r="L10294" s="23"/>
    </row>
    <row r="10295">
      <c r="B10295" s="19"/>
      <c r="E10295" s="23"/>
      <c r="L10295" s="23"/>
    </row>
    <row r="10296">
      <c r="B10296" s="19"/>
      <c r="E10296" s="23"/>
      <c r="L10296" s="23"/>
    </row>
    <row r="10297">
      <c r="B10297" s="19"/>
      <c r="E10297" s="23"/>
      <c r="L10297" s="23"/>
    </row>
    <row r="10298">
      <c r="B10298" s="19"/>
      <c r="E10298" s="23"/>
      <c r="L10298" s="23"/>
    </row>
    <row r="10299">
      <c r="B10299" s="19"/>
      <c r="E10299" s="23"/>
      <c r="L10299" s="23"/>
    </row>
    <row r="10300">
      <c r="B10300" s="19"/>
      <c r="E10300" s="23"/>
      <c r="L10300" s="23"/>
    </row>
    <row r="10301">
      <c r="B10301" s="19"/>
      <c r="E10301" s="23"/>
      <c r="L10301" s="23"/>
    </row>
    <row r="10302">
      <c r="B10302" s="19"/>
      <c r="E10302" s="23"/>
      <c r="L10302" s="23"/>
    </row>
    <row r="10303">
      <c r="B10303" s="19"/>
      <c r="E10303" s="23"/>
      <c r="L10303" s="23"/>
    </row>
    <row r="10304">
      <c r="B10304" s="19"/>
      <c r="E10304" s="23"/>
      <c r="L10304" s="23"/>
    </row>
    <row r="10305">
      <c r="B10305" s="19"/>
      <c r="E10305" s="23"/>
      <c r="L10305" s="23"/>
    </row>
    <row r="10306">
      <c r="B10306" s="19"/>
      <c r="E10306" s="23"/>
      <c r="L10306" s="23"/>
    </row>
    <row r="10307">
      <c r="B10307" s="19"/>
      <c r="E10307" s="23"/>
      <c r="L10307" s="23"/>
    </row>
    <row r="10308">
      <c r="B10308" s="19"/>
      <c r="E10308" s="23"/>
      <c r="L10308" s="23"/>
    </row>
    <row r="10309">
      <c r="B10309" s="19"/>
      <c r="E10309" s="23"/>
      <c r="L10309" s="23"/>
    </row>
    <row r="10310">
      <c r="B10310" s="19"/>
      <c r="E10310" s="23"/>
      <c r="L10310" s="23"/>
    </row>
    <row r="10311">
      <c r="B10311" s="19"/>
      <c r="E10311" s="23"/>
      <c r="L10311" s="23"/>
    </row>
    <row r="10312">
      <c r="B10312" s="19"/>
      <c r="E10312" s="23"/>
      <c r="L10312" s="23"/>
    </row>
    <row r="10313">
      <c r="B10313" s="19"/>
      <c r="E10313" s="23"/>
      <c r="L10313" s="23"/>
    </row>
    <row r="10314">
      <c r="B10314" s="19"/>
      <c r="E10314" s="23"/>
      <c r="L10314" s="23"/>
    </row>
    <row r="10315">
      <c r="B10315" s="19"/>
      <c r="E10315" s="23"/>
      <c r="L10315" s="23"/>
    </row>
    <row r="10316">
      <c r="B10316" s="19"/>
      <c r="E10316" s="23"/>
      <c r="L10316" s="23"/>
    </row>
    <row r="10317">
      <c r="B10317" s="19"/>
      <c r="E10317" s="23"/>
      <c r="L10317" s="23"/>
    </row>
    <row r="10318">
      <c r="B10318" s="19"/>
      <c r="E10318" s="23"/>
      <c r="L10318" s="23"/>
    </row>
    <row r="10319">
      <c r="B10319" s="19"/>
      <c r="E10319" s="23"/>
      <c r="L10319" s="23"/>
    </row>
    <row r="10320">
      <c r="B10320" s="19"/>
      <c r="E10320" s="23"/>
      <c r="L10320" s="23"/>
    </row>
    <row r="10321">
      <c r="B10321" s="19"/>
      <c r="E10321" s="23"/>
      <c r="L10321" s="23"/>
    </row>
    <row r="10322">
      <c r="B10322" s="19"/>
      <c r="E10322" s="23"/>
      <c r="L10322" s="23"/>
    </row>
    <row r="10323">
      <c r="B10323" s="19"/>
      <c r="E10323" s="23"/>
      <c r="L10323" s="23"/>
    </row>
    <row r="10324">
      <c r="B10324" s="19"/>
      <c r="E10324" s="23"/>
      <c r="L10324" s="23"/>
    </row>
    <row r="10325">
      <c r="B10325" s="19"/>
      <c r="E10325" s="23"/>
      <c r="L10325" s="23"/>
    </row>
    <row r="10326">
      <c r="B10326" s="19"/>
      <c r="E10326" s="23"/>
      <c r="L10326" s="23"/>
    </row>
    <row r="10327">
      <c r="B10327" s="19"/>
      <c r="E10327" s="23"/>
      <c r="L10327" s="23"/>
    </row>
    <row r="10328">
      <c r="B10328" s="19"/>
      <c r="E10328" s="23"/>
      <c r="L10328" s="23"/>
    </row>
    <row r="10329">
      <c r="B10329" s="19"/>
      <c r="E10329" s="23"/>
      <c r="L10329" s="23"/>
    </row>
    <row r="10330">
      <c r="B10330" s="19"/>
      <c r="E10330" s="23"/>
      <c r="L10330" s="23"/>
    </row>
    <row r="10331">
      <c r="B10331" s="19"/>
      <c r="E10331" s="23"/>
      <c r="L10331" s="23"/>
    </row>
    <row r="10332">
      <c r="B10332" s="19"/>
      <c r="E10332" s="23"/>
      <c r="L10332" s="23"/>
    </row>
    <row r="10333">
      <c r="B10333" s="19"/>
      <c r="E10333" s="23"/>
      <c r="L10333" s="23"/>
    </row>
    <row r="10334">
      <c r="B10334" s="19"/>
      <c r="E10334" s="23"/>
      <c r="L10334" s="23"/>
    </row>
    <row r="10335">
      <c r="B10335" s="19"/>
      <c r="E10335" s="23"/>
      <c r="L10335" s="23"/>
    </row>
    <row r="10336">
      <c r="B10336" s="19"/>
      <c r="E10336" s="23"/>
      <c r="L10336" s="23"/>
    </row>
    <row r="10337">
      <c r="B10337" s="19"/>
      <c r="E10337" s="23"/>
      <c r="L10337" s="23"/>
    </row>
    <row r="10338">
      <c r="B10338" s="19"/>
      <c r="E10338" s="23"/>
      <c r="L10338" s="23"/>
    </row>
    <row r="10339">
      <c r="B10339" s="19"/>
      <c r="E10339" s="23"/>
      <c r="L10339" s="23"/>
    </row>
    <row r="10340">
      <c r="B10340" s="19"/>
      <c r="E10340" s="23"/>
      <c r="L10340" s="23"/>
    </row>
    <row r="10341">
      <c r="B10341" s="19"/>
      <c r="E10341" s="23"/>
      <c r="L10341" s="23"/>
    </row>
    <row r="10342">
      <c r="B10342" s="19"/>
      <c r="E10342" s="23"/>
      <c r="L10342" s="23"/>
    </row>
    <row r="10343">
      <c r="B10343" s="19"/>
      <c r="E10343" s="23"/>
      <c r="L10343" s="23"/>
    </row>
    <row r="10344">
      <c r="B10344" s="19"/>
      <c r="E10344" s="23"/>
      <c r="L10344" s="23"/>
    </row>
    <row r="10345">
      <c r="B10345" s="19"/>
      <c r="E10345" s="23"/>
      <c r="L10345" s="23"/>
    </row>
    <row r="10346">
      <c r="B10346" s="19"/>
      <c r="E10346" s="23"/>
      <c r="L10346" s="23"/>
    </row>
    <row r="10347">
      <c r="B10347" s="19"/>
      <c r="E10347" s="23"/>
      <c r="L10347" s="23"/>
    </row>
    <row r="10348">
      <c r="B10348" s="19"/>
      <c r="E10348" s="23"/>
      <c r="L10348" s="23"/>
    </row>
    <row r="10349">
      <c r="B10349" s="19"/>
      <c r="E10349" s="23"/>
      <c r="L10349" s="23"/>
    </row>
    <row r="10350">
      <c r="B10350" s="19"/>
      <c r="E10350" s="23"/>
      <c r="L10350" s="23"/>
    </row>
    <row r="10351">
      <c r="B10351" s="19"/>
      <c r="E10351" s="23"/>
      <c r="L10351" s="23"/>
    </row>
    <row r="10352">
      <c r="B10352" s="19"/>
      <c r="E10352" s="23"/>
      <c r="L10352" s="23"/>
    </row>
    <row r="10353">
      <c r="B10353" s="19"/>
      <c r="E10353" s="23"/>
      <c r="L10353" s="23"/>
    </row>
    <row r="10354">
      <c r="B10354" s="19"/>
      <c r="E10354" s="23"/>
      <c r="L10354" s="23"/>
    </row>
    <row r="10355">
      <c r="B10355" s="19"/>
      <c r="E10355" s="23"/>
      <c r="L10355" s="23"/>
    </row>
    <row r="10356">
      <c r="B10356" s="19"/>
      <c r="E10356" s="23"/>
      <c r="L10356" s="23"/>
    </row>
    <row r="10357">
      <c r="B10357" s="19"/>
      <c r="E10357" s="23"/>
      <c r="L10357" s="23"/>
    </row>
    <row r="10358">
      <c r="B10358" s="19"/>
      <c r="E10358" s="23"/>
      <c r="L10358" s="23"/>
    </row>
    <row r="10359">
      <c r="B10359" s="19"/>
      <c r="E10359" s="23"/>
      <c r="L10359" s="23"/>
    </row>
    <row r="10360">
      <c r="B10360" s="19"/>
      <c r="E10360" s="23"/>
      <c r="L10360" s="23"/>
    </row>
    <row r="10361">
      <c r="B10361" s="19"/>
      <c r="E10361" s="23"/>
      <c r="L10361" s="23"/>
    </row>
    <row r="10362">
      <c r="B10362" s="19"/>
      <c r="E10362" s="23"/>
      <c r="L10362" s="23"/>
    </row>
    <row r="10363">
      <c r="B10363" s="19"/>
      <c r="E10363" s="23"/>
      <c r="L10363" s="23"/>
    </row>
    <row r="10364">
      <c r="B10364" s="19"/>
      <c r="E10364" s="23"/>
      <c r="L10364" s="23"/>
    </row>
    <row r="10365">
      <c r="B10365" s="19"/>
      <c r="E10365" s="23"/>
      <c r="L10365" s="23"/>
    </row>
    <row r="10366">
      <c r="B10366" s="19"/>
      <c r="E10366" s="23"/>
      <c r="L10366" s="23"/>
    </row>
    <row r="10367">
      <c r="B10367" s="19"/>
      <c r="E10367" s="23"/>
      <c r="L10367" s="23"/>
    </row>
    <row r="10368">
      <c r="B10368" s="19"/>
      <c r="E10368" s="23"/>
      <c r="L10368" s="23"/>
    </row>
    <row r="10369">
      <c r="B10369" s="19"/>
      <c r="E10369" s="23"/>
      <c r="L10369" s="23"/>
    </row>
    <row r="10370">
      <c r="B10370" s="19"/>
      <c r="E10370" s="23"/>
      <c r="L10370" s="23"/>
    </row>
    <row r="10371">
      <c r="B10371" s="19"/>
      <c r="E10371" s="23"/>
      <c r="L10371" s="23"/>
    </row>
    <row r="10372">
      <c r="B10372" s="19"/>
      <c r="E10372" s="23"/>
      <c r="L10372" s="23"/>
    </row>
    <row r="10373">
      <c r="B10373" s="19"/>
      <c r="E10373" s="23"/>
      <c r="L10373" s="23"/>
    </row>
    <row r="10374">
      <c r="B10374" s="19"/>
      <c r="E10374" s="23"/>
      <c r="L10374" s="23"/>
    </row>
    <row r="10375">
      <c r="B10375" s="19"/>
      <c r="E10375" s="23"/>
      <c r="L10375" s="23"/>
    </row>
    <row r="10376">
      <c r="B10376" s="19"/>
      <c r="E10376" s="23"/>
      <c r="L10376" s="23"/>
    </row>
    <row r="10377">
      <c r="B10377" s="19"/>
      <c r="E10377" s="23"/>
      <c r="L10377" s="23"/>
    </row>
    <row r="10378">
      <c r="B10378" s="19"/>
      <c r="E10378" s="23"/>
      <c r="L10378" s="23"/>
    </row>
    <row r="10379">
      <c r="B10379" s="19"/>
      <c r="E10379" s="23"/>
      <c r="L10379" s="23"/>
    </row>
    <row r="10380">
      <c r="B10380" s="19"/>
      <c r="E10380" s="23"/>
      <c r="L10380" s="23"/>
    </row>
    <row r="10381">
      <c r="B10381" s="19"/>
      <c r="E10381" s="23"/>
      <c r="L10381" s="23"/>
    </row>
    <row r="10382">
      <c r="B10382" s="19"/>
      <c r="E10382" s="23"/>
      <c r="L10382" s="23"/>
    </row>
    <row r="10383">
      <c r="B10383" s="19"/>
      <c r="E10383" s="23"/>
      <c r="L10383" s="23"/>
    </row>
    <row r="10384">
      <c r="B10384" s="19"/>
      <c r="E10384" s="23"/>
      <c r="L10384" s="23"/>
    </row>
    <row r="10385">
      <c r="B10385" s="19"/>
      <c r="E10385" s="23"/>
      <c r="L10385" s="23"/>
    </row>
    <row r="10386">
      <c r="B10386" s="19"/>
      <c r="E10386" s="23"/>
      <c r="L10386" s="23"/>
    </row>
    <row r="10387">
      <c r="B10387" s="19"/>
      <c r="E10387" s="23"/>
      <c r="L10387" s="23"/>
    </row>
    <row r="10388">
      <c r="B10388" s="19"/>
      <c r="E10388" s="23"/>
      <c r="L10388" s="23"/>
    </row>
    <row r="10389">
      <c r="B10389" s="19"/>
      <c r="E10389" s="23"/>
      <c r="L10389" s="23"/>
    </row>
    <row r="10390">
      <c r="B10390" s="19"/>
      <c r="E10390" s="23"/>
      <c r="L10390" s="23"/>
    </row>
    <row r="10391">
      <c r="B10391" s="19"/>
      <c r="E10391" s="23"/>
      <c r="L10391" s="23"/>
    </row>
    <row r="10392">
      <c r="B10392" s="19"/>
      <c r="E10392" s="23"/>
      <c r="L10392" s="23"/>
    </row>
    <row r="10393">
      <c r="B10393" s="19"/>
      <c r="E10393" s="23"/>
      <c r="L10393" s="23"/>
    </row>
    <row r="10394">
      <c r="B10394" s="19"/>
      <c r="E10394" s="23"/>
      <c r="L10394" s="23"/>
    </row>
    <row r="10395">
      <c r="B10395" s="19"/>
      <c r="E10395" s="23"/>
      <c r="L10395" s="23"/>
    </row>
    <row r="10396">
      <c r="B10396" s="19"/>
      <c r="E10396" s="23"/>
      <c r="L10396" s="23"/>
    </row>
    <row r="10397">
      <c r="B10397" s="19"/>
      <c r="E10397" s="23"/>
      <c r="L10397" s="23"/>
    </row>
    <row r="10398">
      <c r="B10398" s="19"/>
      <c r="E10398" s="23"/>
      <c r="L10398" s="23"/>
    </row>
    <row r="10399">
      <c r="B10399" s="19"/>
      <c r="E10399" s="23"/>
      <c r="L10399" s="23"/>
    </row>
    <row r="10400">
      <c r="B10400" s="19"/>
      <c r="E10400" s="23"/>
      <c r="L10400" s="23"/>
    </row>
    <row r="10401">
      <c r="B10401" s="19"/>
      <c r="E10401" s="23"/>
      <c r="L10401" s="23"/>
    </row>
    <row r="10402">
      <c r="B10402" s="19"/>
      <c r="E10402" s="23"/>
      <c r="L10402" s="23"/>
    </row>
    <row r="10403">
      <c r="B10403" s="19"/>
      <c r="E10403" s="23"/>
      <c r="L10403" s="23"/>
    </row>
    <row r="10404">
      <c r="B10404" s="19"/>
      <c r="E10404" s="23"/>
      <c r="L10404" s="23"/>
    </row>
    <row r="10405">
      <c r="B10405" s="19"/>
      <c r="E10405" s="23"/>
      <c r="L10405" s="23"/>
    </row>
    <row r="10406">
      <c r="B10406" s="19"/>
      <c r="E10406" s="23"/>
      <c r="L10406" s="23"/>
    </row>
    <row r="10407">
      <c r="B10407" s="19"/>
      <c r="E10407" s="23"/>
      <c r="L10407" s="23"/>
    </row>
    <row r="10408">
      <c r="B10408" s="19"/>
      <c r="E10408" s="23"/>
      <c r="L10408" s="23"/>
    </row>
    <row r="10409">
      <c r="B10409" s="19"/>
      <c r="E10409" s="23"/>
      <c r="L10409" s="23"/>
    </row>
    <row r="10410">
      <c r="B10410" s="19"/>
      <c r="E10410" s="23"/>
      <c r="L10410" s="23"/>
    </row>
    <row r="10411">
      <c r="B10411" s="19"/>
      <c r="E10411" s="23"/>
      <c r="L10411" s="23"/>
    </row>
    <row r="10412">
      <c r="B10412" s="19"/>
      <c r="E10412" s="23"/>
      <c r="L10412" s="23"/>
    </row>
    <row r="10413">
      <c r="B10413" s="19"/>
      <c r="E10413" s="23"/>
      <c r="L10413" s="23"/>
    </row>
    <row r="10414">
      <c r="B10414" s="19"/>
      <c r="E10414" s="23"/>
      <c r="L10414" s="23"/>
    </row>
    <row r="10415">
      <c r="B10415" s="19"/>
      <c r="E10415" s="23"/>
      <c r="L10415" s="23"/>
    </row>
    <row r="10416">
      <c r="B10416" s="19"/>
      <c r="E10416" s="23"/>
      <c r="L10416" s="23"/>
    </row>
    <row r="10417">
      <c r="B10417" s="19"/>
      <c r="E10417" s="23"/>
      <c r="L10417" s="23"/>
    </row>
    <row r="10418">
      <c r="B10418" s="19"/>
      <c r="E10418" s="23"/>
      <c r="L10418" s="23"/>
    </row>
    <row r="10419">
      <c r="B10419" s="19"/>
      <c r="E10419" s="23"/>
      <c r="L10419" s="23"/>
    </row>
    <row r="10420">
      <c r="B10420" s="19"/>
      <c r="E10420" s="23"/>
      <c r="L10420" s="23"/>
    </row>
    <row r="10421">
      <c r="B10421" s="19"/>
      <c r="E10421" s="23"/>
      <c r="L10421" s="23"/>
    </row>
    <row r="10422">
      <c r="B10422" s="19"/>
      <c r="E10422" s="23"/>
      <c r="L10422" s="23"/>
    </row>
    <row r="10423">
      <c r="B10423" s="19"/>
      <c r="E10423" s="23"/>
      <c r="L10423" s="23"/>
    </row>
    <row r="10424">
      <c r="B10424" s="19"/>
      <c r="E10424" s="23"/>
      <c r="L10424" s="23"/>
    </row>
    <row r="10425">
      <c r="B10425" s="19"/>
      <c r="E10425" s="23"/>
      <c r="L10425" s="23"/>
    </row>
    <row r="10426">
      <c r="B10426" s="19"/>
      <c r="E10426" s="23"/>
      <c r="L10426" s="23"/>
    </row>
    <row r="10427">
      <c r="B10427" s="19"/>
      <c r="E10427" s="23"/>
      <c r="L10427" s="23"/>
    </row>
    <row r="10428">
      <c r="B10428" s="19"/>
      <c r="E10428" s="23"/>
      <c r="L10428" s="23"/>
    </row>
    <row r="10429">
      <c r="B10429" s="19"/>
      <c r="E10429" s="23"/>
      <c r="L10429" s="23"/>
    </row>
    <row r="10430">
      <c r="B10430" s="19"/>
      <c r="E10430" s="23"/>
      <c r="L10430" s="23"/>
    </row>
    <row r="10431">
      <c r="B10431" s="19"/>
      <c r="E10431" s="23"/>
      <c r="L10431" s="23"/>
    </row>
    <row r="10432">
      <c r="B10432" s="19"/>
      <c r="E10432" s="23"/>
      <c r="L10432" s="23"/>
    </row>
    <row r="10433">
      <c r="B10433" s="19"/>
      <c r="E10433" s="23"/>
      <c r="L10433" s="23"/>
    </row>
    <row r="10434">
      <c r="B10434" s="19"/>
      <c r="E10434" s="23"/>
      <c r="L10434" s="23"/>
    </row>
    <row r="10435">
      <c r="B10435" s="19"/>
      <c r="E10435" s="23"/>
      <c r="L10435" s="23"/>
    </row>
    <row r="10436">
      <c r="B10436" s="19"/>
      <c r="E10436" s="23"/>
      <c r="L10436" s="23"/>
    </row>
    <row r="10437">
      <c r="B10437" s="19"/>
      <c r="E10437" s="23"/>
      <c r="L10437" s="23"/>
    </row>
    <row r="10438">
      <c r="B10438" s="19"/>
      <c r="E10438" s="23"/>
      <c r="L10438" s="23"/>
    </row>
    <row r="10439">
      <c r="B10439" s="19"/>
      <c r="E10439" s="23"/>
      <c r="L10439" s="23"/>
    </row>
    <row r="10440">
      <c r="B10440" s="19"/>
      <c r="E10440" s="23"/>
      <c r="L10440" s="23"/>
    </row>
    <row r="10441">
      <c r="B10441" s="19"/>
      <c r="E10441" s="23"/>
      <c r="L10441" s="23"/>
    </row>
    <row r="10442">
      <c r="B10442" s="19"/>
      <c r="E10442" s="23"/>
      <c r="L10442" s="23"/>
    </row>
    <row r="10443">
      <c r="B10443" s="19"/>
      <c r="E10443" s="23"/>
      <c r="L10443" s="23"/>
    </row>
    <row r="10444">
      <c r="B10444" s="19"/>
      <c r="E10444" s="23"/>
      <c r="L10444" s="23"/>
    </row>
    <row r="10445">
      <c r="B10445" s="19"/>
      <c r="E10445" s="23"/>
      <c r="L10445" s="23"/>
    </row>
    <row r="10446">
      <c r="B10446" s="19"/>
      <c r="E10446" s="23"/>
      <c r="L10446" s="23"/>
    </row>
    <row r="10447">
      <c r="B10447" s="19"/>
      <c r="E10447" s="23"/>
      <c r="L10447" s="23"/>
    </row>
    <row r="10448">
      <c r="B10448" s="19"/>
      <c r="E10448" s="23"/>
      <c r="L10448" s="23"/>
    </row>
    <row r="10449">
      <c r="B10449" s="19"/>
      <c r="E10449" s="23"/>
      <c r="L10449" s="23"/>
    </row>
    <row r="10450">
      <c r="B10450" s="19"/>
      <c r="E10450" s="23"/>
      <c r="L10450" s="23"/>
    </row>
    <row r="10451">
      <c r="B10451" s="19"/>
      <c r="E10451" s="23"/>
      <c r="L10451" s="23"/>
    </row>
    <row r="10452">
      <c r="B10452" s="19"/>
      <c r="E10452" s="23"/>
      <c r="L10452" s="23"/>
    </row>
    <row r="10453">
      <c r="B10453" s="19"/>
      <c r="E10453" s="23"/>
      <c r="L10453" s="23"/>
    </row>
    <row r="10454">
      <c r="B10454" s="19"/>
      <c r="E10454" s="23"/>
      <c r="L10454" s="23"/>
    </row>
    <row r="10455">
      <c r="B10455" s="19"/>
      <c r="E10455" s="23"/>
      <c r="L10455" s="23"/>
    </row>
    <row r="10456">
      <c r="B10456" s="19"/>
      <c r="E10456" s="23"/>
      <c r="L10456" s="23"/>
    </row>
    <row r="10457">
      <c r="B10457" s="19"/>
      <c r="E10457" s="23"/>
      <c r="L10457" s="23"/>
    </row>
    <row r="10458">
      <c r="B10458" s="19"/>
      <c r="E10458" s="23"/>
      <c r="L10458" s="23"/>
    </row>
    <row r="10459">
      <c r="B10459" s="19"/>
      <c r="E10459" s="23"/>
      <c r="L10459" s="23"/>
    </row>
    <row r="10460">
      <c r="B10460" s="19"/>
      <c r="E10460" s="23"/>
      <c r="L10460" s="23"/>
    </row>
    <row r="10461">
      <c r="B10461" s="19"/>
      <c r="E10461" s="23"/>
      <c r="L10461" s="23"/>
    </row>
    <row r="10462">
      <c r="B10462" s="19"/>
      <c r="E10462" s="23"/>
      <c r="L10462" s="23"/>
    </row>
    <row r="10463">
      <c r="B10463" s="19"/>
      <c r="E10463" s="23"/>
      <c r="L10463" s="23"/>
    </row>
    <row r="10464">
      <c r="B10464" s="19"/>
      <c r="E10464" s="23"/>
      <c r="L10464" s="23"/>
    </row>
    <row r="10465">
      <c r="B10465" s="19"/>
      <c r="E10465" s="23"/>
      <c r="L10465" s="23"/>
    </row>
    <row r="10466">
      <c r="B10466" s="19"/>
      <c r="E10466" s="23"/>
      <c r="L10466" s="23"/>
    </row>
    <row r="10467">
      <c r="B10467" s="19"/>
      <c r="E10467" s="23"/>
      <c r="L10467" s="23"/>
    </row>
    <row r="10468">
      <c r="B10468" s="19"/>
      <c r="E10468" s="23"/>
      <c r="L10468" s="23"/>
    </row>
    <row r="10469">
      <c r="B10469" s="19"/>
      <c r="E10469" s="23"/>
      <c r="L10469" s="23"/>
    </row>
    <row r="10470">
      <c r="B10470" s="19"/>
      <c r="E10470" s="23"/>
      <c r="L10470" s="23"/>
    </row>
    <row r="10471">
      <c r="B10471" s="19"/>
      <c r="E10471" s="23"/>
      <c r="L10471" s="23"/>
    </row>
    <row r="10472">
      <c r="B10472" s="19"/>
      <c r="E10472" s="23"/>
      <c r="L10472" s="23"/>
    </row>
    <row r="10473">
      <c r="B10473" s="19"/>
      <c r="E10473" s="23"/>
      <c r="L10473" s="23"/>
    </row>
    <row r="10474">
      <c r="B10474" s="19"/>
      <c r="E10474" s="23"/>
      <c r="L10474" s="23"/>
    </row>
    <row r="10475">
      <c r="B10475" s="19"/>
      <c r="E10475" s="23"/>
      <c r="L10475" s="23"/>
    </row>
    <row r="10476">
      <c r="B10476" s="19"/>
      <c r="E10476" s="23"/>
      <c r="L10476" s="23"/>
    </row>
    <row r="10477">
      <c r="B10477" s="19"/>
      <c r="E10477" s="23"/>
      <c r="L10477" s="23"/>
    </row>
    <row r="10478">
      <c r="B10478" s="19"/>
      <c r="E10478" s="23"/>
      <c r="L10478" s="23"/>
    </row>
    <row r="10479">
      <c r="B10479" s="19"/>
      <c r="E10479" s="23"/>
      <c r="L10479" s="23"/>
    </row>
    <row r="10480">
      <c r="B10480" s="19"/>
      <c r="E10480" s="23"/>
      <c r="L10480" s="23"/>
    </row>
    <row r="10481">
      <c r="B10481" s="19"/>
      <c r="E10481" s="23"/>
      <c r="L10481" s="23"/>
    </row>
    <row r="10482">
      <c r="B10482" s="19"/>
      <c r="E10482" s="23"/>
      <c r="L10482" s="23"/>
    </row>
    <row r="10483">
      <c r="B10483" s="19"/>
      <c r="E10483" s="23"/>
      <c r="L10483" s="23"/>
    </row>
    <row r="10484">
      <c r="B10484" s="19"/>
      <c r="E10484" s="23"/>
      <c r="L10484" s="23"/>
    </row>
    <row r="10485">
      <c r="B10485" s="19"/>
      <c r="E10485" s="23"/>
      <c r="L10485" s="23"/>
    </row>
    <row r="10486">
      <c r="B10486" s="19"/>
      <c r="E10486" s="23"/>
      <c r="L10486" s="23"/>
    </row>
    <row r="10487">
      <c r="B10487" s="19"/>
      <c r="E10487" s="23"/>
      <c r="L10487" s="23"/>
    </row>
    <row r="10488">
      <c r="B10488" s="19"/>
      <c r="E10488" s="23"/>
      <c r="L10488" s="23"/>
    </row>
    <row r="10489">
      <c r="B10489" s="19"/>
      <c r="E10489" s="23"/>
      <c r="L10489" s="23"/>
    </row>
    <row r="10490">
      <c r="B10490" s="19"/>
      <c r="E10490" s="23"/>
      <c r="L10490" s="23"/>
    </row>
    <row r="10491">
      <c r="B10491" s="19"/>
      <c r="E10491" s="23"/>
      <c r="L10491" s="23"/>
    </row>
    <row r="10492">
      <c r="B10492" s="19"/>
      <c r="E10492" s="23"/>
      <c r="L10492" s="23"/>
    </row>
    <row r="10493">
      <c r="B10493" s="19"/>
      <c r="E10493" s="23"/>
      <c r="L10493" s="23"/>
    </row>
    <row r="10494">
      <c r="B10494" s="19"/>
      <c r="E10494" s="23"/>
      <c r="L10494" s="23"/>
    </row>
    <row r="10495">
      <c r="B10495" s="19"/>
      <c r="E10495" s="23"/>
      <c r="L10495" s="23"/>
    </row>
    <row r="10496">
      <c r="B10496" s="19"/>
      <c r="E10496" s="23"/>
      <c r="L10496" s="23"/>
    </row>
    <row r="10497">
      <c r="B10497" s="19"/>
      <c r="E10497" s="23"/>
      <c r="L10497" s="23"/>
    </row>
    <row r="10498">
      <c r="B10498" s="19"/>
      <c r="E10498" s="23"/>
      <c r="L10498" s="23"/>
    </row>
    <row r="10499">
      <c r="B10499" s="19"/>
      <c r="E10499" s="23"/>
      <c r="L10499" s="23"/>
    </row>
    <row r="10500">
      <c r="B10500" s="19"/>
      <c r="E10500" s="23"/>
      <c r="L10500" s="23"/>
    </row>
    <row r="10501">
      <c r="B10501" s="19"/>
      <c r="E10501" s="23"/>
      <c r="L10501" s="23"/>
    </row>
    <row r="10502">
      <c r="B10502" s="19"/>
      <c r="E10502" s="23"/>
      <c r="L10502" s="23"/>
    </row>
    <row r="10503">
      <c r="B10503" s="19"/>
      <c r="E10503" s="23"/>
      <c r="L10503" s="23"/>
    </row>
    <row r="10504">
      <c r="B10504" s="19"/>
      <c r="E10504" s="23"/>
      <c r="L10504" s="23"/>
    </row>
    <row r="10505">
      <c r="B10505" s="19"/>
      <c r="E10505" s="23"/>
      <c r="L10505" s="23"/>
    </row>
    <row r="10506">
      <c r="B10506" s="19"/>
      <c r="E10506" s="23"/>
      <c r="L10506" s="23"/>
    </row>
    <row r="10507">
      <c r="B10507" s="19"/>
      <c r="E10507" s="23"/>
      <c r="L10507" s="23"/>
    </row>
    <row r="10508">
      <c r="B10508" s="19"/>
      <c r="E10508" s="23"/>
      <c r="L10508" s="23"/>
    </row>
    <row r="10509">
      <c r="B10509" s="19"/>
      <c r="E10509" s="23"/>
      <c r="L10509" s="23"/>
    </row>
    <row r="10510">
      <c r="B10510" s="19"/>
      <c r="E10510" s="23"/>
      <c r="L10510" s="23"/>
    </row>
    <row r="10511">
      <c r="B10511" s="19"/>
      <c r="E10511" s="23"/>
      <c r="L10511" s="23"/>
    </row>
    <row r="10512">
      <c r="B10512" s="19"/>
      <c r="E10512" s="23"/>
      <c r="L10512" s="23"/>
    </row>
    <row r="10513">
      <c r="B10513" s="19"/>
      <c r="E10513" s="23"/>
      <c r="L10513" s="23"/>
    </row>
    <row r="10514">
      <c r="B10514" s="19"/>
      <c r="E10514" s="23"/>
      <c r="L10514" s="23"/>
    </row>
    <row r="10515">
      <c r="B10515" s="19"/>
      <c r="E10515" s="23"/>
      <c r="L10515" s="23"/>
    </row>
    <row r="10516">
      <c r="B10516" s="19"/>
      <c r="E10516" s="23"/>
      <c r="L10516" s="23"/>
    </row>
    <row r="10517">
      <c r="B10517" s="19"/>
      <c r="E10517" s="23"/>
      <c r="L10517" s="23"/>
    </row>
    <row r="10518">
      <c r="B10518" s="19"/>
      <c r="E10518" s="23"/>
      <c r="L10518" s="23"/>
    </row>
    <row r="10519">
      <c r="B10519" s="19"/>
      <c r="E10519" s="23"/>
      <c r="L10519" s="23"/>
    </row>
    <row r="10520">
      <c r="B10520" s="19"/>
      <c r="E10520" s="23"/>
      <c r="L10520" s="23"/>
    </row>
    <row r="10521">
      <c r="B10521" s="19"/>
      <c r="E10521" s="23"/>
      <c r="L10521" s="23"/>
    </row>
    <row r="10522">
      <c r="B10522" s="19"/>
      <c r="E10522" s="23"/>
      <c r="L10522" s="23"/>
    </row>
    <row r="10523">
      <c r="B10523" s="19"/>
      <c r="E10523" s="23"/>
      <c r="L10523" s="23"/>
    </row>
    <row r="10524">
      <c r="B10524" s="19"/>
      <c r="E10524" s="23"/>
      <c r="L10524" s="23"/>
    </row>
    <row r="10525">
      <c r="B10525" s="19"/>
      <c r="E10525" s="23"/>
      <c r="L10525" s="23"/>
    </row>
    <row r="10526">
      <c r="B10526" s="19"/>
      <c r="E10526" s="23"/>
      <c r="L10526" s="23"/>
    </row>
    <row r="10527">
      <c r="B10527" s="19"/>
      <c r="E10527" s="23"/>
      <c r="L10527" s="23"/>
    </row>
    <row r="10528">
      <c r="B10528" s="19"/>
      <c r="E10528" s="23"/>
      <c r="L10528" s="23"/>
    </row>
    <row r="10529">
      <c r="B10529" s="19"/>
      <c r="E10529" s="23"/>
      <c r="L10529" s="23"/>
    </row>
    <row r="10530">
      <c r="B10530" s="19"/>
      <c r="E10530" s="23"/>
      <c r="L10530" s="23"/>
    </row>
    <row r="10531">
      <c r="B10531" s="19"/>
      <c r="E10531" s="23"/>
      <c r="L10531" s="23"/>
    </row>
    <row r="10532">
      <c r="B10532" s="19"/>
      <c r="E10532" s="23"/>
      <c r="L10532" s="23"/>
    </row>
    <row r="10533">
      <c r="B10533" s="19"/>
      <c r="E10533" s="23"/>
      <c r="L10533" s="23"/>
    </row>
    <row r="10534">
      <c r="B10534" s="19"/>
      <c r="E10534" s="23"/>
      <c r="L10534" s="23"/>
    </row>
    <row r="10535">
      <c r="B10535" s="19"/>
      <c r="E10535" s="23"/>
      <c r="L10535" s="23"/>
    </row>
    <row r="10536">
      <c r="B10536" s="19"/>
      <c r="E10536" s="23"/>
      <c r="L10536" s="23"/>
    </row>
    <row r="10537">
      <c r="B10537" s="19"/>
      <c r="E10537" s="23"/>
      <c r="L10537" s="23"/>
    </row>
    <row r="10538">
      <c r="B10538" s="19"/>
      <c r="E10538" s="23"/>
      <c r="L10538" s="23"/>
    </row>
    <row r="10539">
      <c r="B10539" s="19"/>
      <c r="E10539" s="23"/>
      <c r="L10539" s="23"/>
    </row>
    <row r="10540">
      <c r="B10540" s="19"/>
      <c r="E10540" s="23"/>
      <c r="L10540" s="23"/>
    </row>
    <row r="10541">
      <c r="B10541" s="19"/>
      <c r="E10541" s="23"/>
      <c r="L10541" s="23"/>
    </row>
    <row r="10542">
      <c r="B10542" s="19"/>
      <c r="E10542" s="23"/>
      <c r="L10542" s="23"/>
    </row>
    <row r="10543">
      <c r="B10543" s="19"/>
      <c r="E10543" s="23"/>
      <c r="L10543" s="23"/>
    </row>
    <row r="10544">
      <c r="B10544" s="19"/>
      <c r="E10544" s="23"/>
      <c r="L10544" s="23"/>
    </row>
    <row r="10545">
      <c r="B10545" s="19"/>
      <c r="E10545" s="23"/>
      <c r="L10545" s="23"/>
    </row>
    <row r="10546">
      <c r="B10546" s="19"/>
      <c r="E10546" s="23"/>
      <c r="L10546" s="23"/>
    </row>
    <row r="10547">
      <c r="B10547" s="19"/>
      <c r="E10547" s="23"/>
      <c r="L10547" s="23"/>
    </row>
    <row r="10548">
      <c r="B10548" s="19"/>
      <c r="E10548" s="23"/>
      <c r="L10548" s="23"/>
    </row>
    <row r="10549">
      <c r="B10549" s="19"/>
      <c r="E10549" s="23"/>
      <c r="L10549" s="23"/>
    </row>
    <row r="10550">
      <c r="B10550" s="19"/>
      <c r="E10550" s="23"/>
      <c r="L10550" s="23"/>
    </row>
    <row r="10551">
      <c r="B10551" s="19"/>
      <c r="E10551" s="23"/>
      <c r="L10551" s="23"/>
    </row>
    <row r="10552">
      <c r="B10552" s="19"/>
      <c r="E10552" s="23"/>
      <c r="L10552" s="23"/>
    </row>
    <row r="10553">
      <c r="B10553" s="19"/>
      <c r="E10553" s="23"/>
      <c r="L10553" s="23"/>
    </row>
    <row r="10554">
      <c r="B10554" s="19"/>
      <c r="E10554" s="23"/>
      <c r="L10554" s="23"/>
    </row>
    <row r="10555">
      <c r="B10555" s="19"/>
      <c r="E10555" s="23"/>
      <c r="L10555" s="23"/>
    </row>
    <row r="10556">
      <c r="B10556" s="19"/>
      <c r="E10556" s="23"/>
      <c r="L10556" s="23"/>
    </row>
    <row r="10557">
      <c r="B10557" s="19"/>
      <c r="E10557" s="23"/>
      <c r="L10557" s="23"/>
    </row>
    <row r="10558">
      <c r="B10558" s="19"/>
      <c r="E10558" s="23"/>
      <c r="L10558" s="23"/>
    </row>
    <row r="10559">
      <c r="B10559" s="19"/>
      <c r="E10559" s="23"/>
      <c r="L10559" s="23"/>
    </row>
    <row r="10560">
      <c r="B10560" s="19"/>
      <c r="E10560" s="23"/>
      <c r="L10560" s="23"/>
    </row>
    <row r="10561">
      <c r="B10561" s="19"/>
      <c r="E10561" s="23"/>
      <c r="L10561" s="23"/>
    </row>
    <row r="10562">
      <c r="B10562" s="19"/>
      <c r="E10562" s="23"/>
      <c r="L10562" s="23"/>
    </row>
    <row r="10563">
      <c r="B10563" s="19"/>
      <c r="E10563" s="23"/>
      <c r="L10563" s="23"/>
    </row>
    <row r="10564">
      <c r="B10564" s="19"/>
      <c r="E10564" s="23"/>
      <c r="L10564" s="23"/>
    </row>
    <row r="10565">
      <c r="B10565" s="19"/>
      <c r="E10565" s="23"/>
      <c r="L10565" s="23"/>
    </row>
    <row r="10566">
      <c r="B10566" s="19"/>
      <c r="E10566" s="23"/>
      <c r="L10566" s="23"/>
    </row>
    <row r="10567">
      <c r="B10567" s="19"/>
      <c r="E10567" s="23"/>
      <c r="L10567" s="23"/>
    </row>
    <row r="10568">
      <c r="B10568" s="19"/>
      <c r="E10568" s="23"/>
      <c r="L10568" s="23"/>
    </row>
    <row r="10569">
      <c r="B10569" s="19"/>
      <c r="E10569" s="23"/>
      <c r="L10569" s="23"/>
    </row>
    <row r="10570">
      <c r="B10570" s="19"/>
      <c r="E10570" s="23"/>
      <c r="L10570" s="23"/>
    </row>
    <row r="10571">
      <c r="B10571" s="19"/>
      <c r="E10571" s="23"/>
      <c r="L10571" s="23"/>
    </row>
    <row r="10572">
      <c r="B10572" s="19"/>
      <c r="E10572" s="23"/>
      <c r="L10572" s="23"/>
    </row>
    <row r="10573">
      <c r="B10573" s="19"/>
      <c r="E10573" s="23"/>
      <c r="L10573" s="23"/>
    </row>
    <row r="10574">
      <c r="B10574" s="19"/>
      <c r="E10574" s="23"/>
      <c r="L10574" s="23"/>
    </row>
    <row r="10575">
      <c r="B10575" s="19"/>
      <c r="E10575" s="23"/>
      <c r="L10575" s="23"/>
    </row>
    <row r="10576">
      <c r="B10576" s="19"/>
      <c r="E10576" s="23"/>
      <c r="L10576" s="23"/>
    </row>
    <row r="10577">
      <c r="B10577" s="19"/>
      <c r="E10577" s="23"/>
      <c r="L10577" s="23"/>
    </row>
    <row r="10578">
      <c r="B10578" s="19"/>
      <c r="E10578" s="23"/>
      <c r="L10578" s="23"/>
    </row>
    <row r="10579">
      <c r="B10579" s="19"/>
      <c r="E10579" s="23"/>
      <c r="L10579" s="23"/>
    </row>
    <row r="10580">
      <c r="B10580" s="19"/>
      <c r="E10580" s="23"/>
      <c r="L10580" s="23"/>
    </row>
    <row r="10581">
      <c r="B10581" s="19"/>
      <c r="E10581" s="23"/>
      <c r="L10581" s="23"/>
    </row>
    <row r="10582">
      <c r="B10582" s="19"/>
      <c r="E10582" s="23"/>
      <c r="L10582" s="23"/>
    </row>
    <row r="10583">
      <c r="B10583" s="19"/>
      <c r="E10583" s="23"/>
      <c r="L10583" s="23"/>
    </row>
    <row r="10584">
      <c r="B10584" s="19"/>
      <c r="E10584" s="23"/>
      <c r="L10584" s="23"/>
    </row>
    <row r="10585">
      <c r="B10585" s="19"/>
      <c r="E10585" s="23"/>
      <c r="L10585" s="23"/>
    </row>
    <row r="10586">
      <c r="B10586" s="19"/>
      <c r="E10586" s="23"/>
      <c r="L10586" s="23"/>
    </row>
    <row r="10587">
      <c r="B10587" s="19"/>
      <c r="E10587" s="23"/>
      <c r="L10587" s="23"/>
    </row>
    <row r="10588">
      <c r="B10588" s="19"/>
      <c r="E10588" s="23"/>
      <c r="L10588" s="23"/>
    </row>
    <row r="10589">
      <c r="B10589" s="19"/>
      <c r="E10589" s="23"/>
      <c r="L10589" s="23"/>
    </row>
    <row r="10590">
      <c r="B10590" s="19"/>
      <c r="E10590" s="23"/>
      <c r="L10590" s="23"/>
    </row>
    <row r="10591">
      <c r="B10591" s="19"/>
      <c r="E10591" s="23"/>
      <c r="L10591" s="23"/>
    </row>
    <row r="10592">
      <c r="B10592" s="19"/>
      <c r="E10592" s="23"/>
      <c r="L10592" s="23"/>
    </row>
    <row r="10593">
      <c r="B10593" s="19"/>
      <c r="E10593" s="23"/>
      <c r="L10593" s="23"/>
    </row>
    <row r="10594">
      <c r="B10594" s="19"/>
      <c r="E10594" s="23"/>
      <c r="L10594" s="23"/>
    </row>
    <row r="10595">
      <c r="B10595" s="19"/>
      <c r="E10595" s="23"/>
      <c r="L10595" s="23"/>
    </row>
    <row r="10596">
      <c r="B10596" s="19"/>
      <c r="E10596" s="23"/>
      <c r="L10596" s="23"/>
    </row>
    <row r="10597">
      <c r="B10597" s="19"/>
      <c r="E10597" s="23"/>
      <c r="L10597" s="23"/>
    </row>
    <row r="10598">
      <c r="B10598" s="19"/>
      <c r="E10598" s="23"/>
      <c r="L10598" s="23"/>
    </row>
    <row r="10599">
      <c r="B10599" s="19"/>
      <c r="E10599" s="23"/>
      <c r="L10599" s="23"/>
    </row>
    <row r="10600">
      <c r="B10600" s="19"/>
      <c r="E10600" s="23"/>
      <c r="L10600" s="23"/>
    </row>
    <row r="10601">
      <c r="B10601" s="19"/>
      <c r="E10601" s="23"/>
      <c r="L10601" s="23"/>
    </row>
    <row r="10602">
      <c r="B10602" s="19"/>
      <c r="E10602" s="23"/>
      <c r="L10602" s="23"/>
    </row>
    <row r="10603">
      <c r="B10603" s="19"/>
      <c r="E10603" s="23"/>
      <c r="L10603" s="23"/>
    </row>
    <row r="10604">
      <c r="B10604" s="19"/>
      <c r="E10604" s="23"/>
      <c r="L10604" s="23"/>
    </row>
    <row r="10605">
      <c r="B10605" s="19"/>
      <c r="E10605" s="23"/>
      <c r="L10605" s="23"/>
    </row>
    <row r="10606">
      <c r="B10606" s="19"/>
      <c r="E10606" s="23"/>
      <c r="L10606" s="23"/>
    </row>
    <row r="10607">
      <c r="B10607" s="19"/>
      <c r="E10607" s="23"/>
      <c r="L10607" s="23"/>
    </row>
    <row r="10608">
      <c r="B10608" s="19"/>
      <c r="E10608" s="23"/>
      <c r="L10608" s="23"/>
    </row>
    <row r="10609">
      <c r="B10609" s="19"/>
      <c r="E10609" s="23"/>
      <c r="L10609" s="23"/>
    </row>
    <row r="10610">
      <c r="B10610" s="19"/>
      <c r="E10610" s="23"/>
      <c r="L10610" s="23"/>
    </row>
    <row r="10611">
      <c r="B10611" s="19"/>
      <c r="E10611" s="23"/>
      <c r="L10611" s="23"/>
    </row>
    <row r="10612">
      <c r="B10612" s="19"/>
      <c r="E10612" s="23"/>
      <c r="L10612" s="23"/>
    </row>
    <row r="10613">
      <c r="B10613" s="19"/>
      <c r="E10613" s="23"/>
      <c r="L10613" s="23"/>
    </row>
    <row r="10614">
      <c r="B10614" s="19"/>
      <c r="E10614" s="23"/>
      <c r="L10614" s="23"/>
    </row>
    <row r="10615">
      <c r="B10615" s="19"/>
      <c r="E10615" s="23"/>
      <c r="L10615" s="23"/>
    </row>
    <row r="10616">
      <c r="B10616" s="19"/>
      <c r="E10616" s="23"/>
      <c r="L10616" s="23"/>
    </row>
    <row r="10617">
      <c r="B10617" s="19"/>
      <c r="E10617" s="23"/>
      <c r="L10617" s="23"/>
    </row>
    <row r="10618">
      <c r="B10618" s="19"/>
      <c r="E10618" s="23"/>
      <c r="L10618" s="23"/>
    </row>
    <row r="10619">
      <c r="B10619" s="19"/>
      <c r="E10619" s="23"/>
      <c r="L10619" s="23"/>
    </row>
    <row r="10620">
      <c r="B10620" s="19"/>
      <c r="E10620" s="23"/>
      <c r="L10620" s="23"/>
    </row>
    <row r="10621">
      <c r="B10621" s="19"/>
      <c r="E10621" s="23"/>
      <c r="L10621" s="23"/>
    </row>
    <row r="10622">
      <c r="B10622" s="19"/>
      <c r="E10622" s="23"/>
      <c r="L10622" s="23"/>
    </row>
    <row r="10623">
      <c r="B10623" s="19"/>
      <c r="E10623" s="23"/>
      <c r="L10623" s="23"/>
    </row>
    <row r="10624">
      <c r="B10624" s="19"/>
      <c r="E10624" s="23"/>
      <c r="L10624" s="23"/>
    </row>
    <row r="10625">
      <c r="B10625" s="19"/>
      <c r="E10625" s="23"/>
      <c r="L10625" s="23"/>
    </row>
    <row r="10626">
      <c r="B10626" s="19"/>
      <c r="E10626" s="23"/>
      <c r="L10626" s="23"/>
    </row>
    <row r="10627">
      <c r="B10627" s="19"/>
      <c r="E10627" s="23"/>
      <c r="L10627" s="23"/>
    </row>
    <row r="10628">
      <c r="B10628" s="19"/>
      <c r="E10628" s="23"/>
      <c r="L10628" s="23"/>
    </row>
    <row r="10629">
      <c r="B10629" s="19"/>
      <c r="E10629" s="23"/>
      <c r="L10629" s="23"/>
    </row>
    <row r="10630">
      <c r="B10630" s="19"/>
      <c r="E10630" s="23"/>
      <c r="L10630" s="23"/>
    </row>
    <row r="10631">
      <c r="B10631" s="19"/>
      <c r="E10631" s="23"/>
      <c r="L10631" s="23"/>
    </row>
    <row r="10632">
      <c r="B10632" s="19"/>
      <c r="E10632" s="23"/>
      <c r="L10632" s="23"/>
    </row>
    <row r="10633">
      <c r="B10633" s="19"/>
      <c r="E10633" s="23"/>
      <c r="L10633" s="23"/>
    </row>
    <row r="10634">
      <c r="B10634" s="19"/>
      <c r="E10634" s="23"/>
      <c r="L10634" s="23"/>
    </row>
    <row r="10635">
      <c r="B10635" s="19"/>
      <c r="E10635" s="23"/>
      <c r="L10635" s="23"/>
    </row>
    <row r="10636">
      <c r="B10636" s="19"/>
      <c r="E10636" s="23"/>
      <c r="L10636" s="23"/>
    </row>
    <row r="10637">
      <c r="B10637" s="19"/>
      <c r="E10637" s="23"/>
      <c r="L10637" s="23"/>
    </row>
    <row r="10638">
      <c r="B10638" s="19"/>
      <c r="E10638" s="23"/>
      <c r="L10638" s="23"/>
    </row>
    <row r="10639">
      <c r="B10639" s="19"/>
      <c r="E10639" s="23"/>
      <c r="L10639" s="23"/>
    </row>
    <row r="10640">
      <c r="B10640" s="19"/>
      <c r="E10640" s="23"/>
      <c r="L10640" s="23"/>
    </row>
    <row r="10641">
      <c r="B10641" s="19"/>
      <c r="E10641" s="23"/>
      <c r="L10641" s="23"/>
    </row>
    <row r="10642">
      <c r="B10642" s="19"/>
      <c r="E10642" s="23"/>
      <c r="L10642" s="23"/>
    </row>
    <row r="10643">
      <c r="B10643" s="19"/>
      <c r="E10643" s="23"/>
      <c r="L10643" s="23"/>
    </row>
    <row r="10644">
      <c r="B10644" s="19"/>
      <c r="E10644" s="23"/>
      <c r="L10644" s="23"/>
    </row>
    <row r="10645">
      <c r="B10645" s="19"/>
      <c r="E10645" s="23"/>
      <c r="L10645" s="23"/>
    </row>
    <row r="10646">
      <c r="B10646" s="19"/>
      <c r="E10646" s="23"/>
      <c r="L10646" s="23"/>
    </row>
    <row r="10647">
      <c r="B10647" s="19"/>
      <c r="E10647" s="23"/>
      <c r="L10647" s="23"/>
    </row>
    <row r="10648">
      <c r="B10648" s="19"/>
      <c r="E10648" s="23"/>
      <c r="L10648" s="23"/>
    </row>
    <row r="10649">
      <c r="B10649" s="19"/>
      <c r="E10649" s="23"/>
      <c r="L10649" s="23"/>
    </row>
    <row r="10650">
      <c r="B10650" s="19"/>
      <c r="E10650" s="23"/>
      <c r="L10650" s="23"/>
    </row>
    <row r="10651">
      <c r="B10651" s="19"/>
      <c r="E10651" s="23"/>
      <c r="L10651" s="23"/>
    </row>
    <row r="10652">
      <c r="B10652" s="19"/>
      <c r="E10652" s="23"/>
      <c r="L10652" s="23"/>
    </row>
    <row r="10653">
      <c r="B10653" s="19"/>
      <c r="E10653" s="23"/>
      <c r="L10653" s="23"/>
    </row>
    <row r="10654">
      <c r="B10654" s="19"/>
      <c r="E10654" s="23"/>
      <c r="L10654" s="23"/>
    </row>
    <row r="10655">
      <c r="B10655" s="19"/>
      <c r="E10655" s="23"/>
      <c r="L10655" s="23"/>
    </row>
    <row r="10656">
      <c r="B10656" s="19"/>
      <c r="E10656" s="23"/>
      <c r="L10656" s="23"/>
    </row>
    <row r="10657">
      <c r="B10657" s="19"/>
      <c r="E10657" s="23"/>
      <c r="L10657" s="23"/>
    </row>
    <row r="10658">
      <c r="B10658" s="19"/>
      <c r="E10658" s="23"/>
      <c r="L10658" s="23"/>
    </row>
    <row r="10659">
      <c r="B10659" s="19"/>
      <c r="E10659" s="23"/>
      <c r="L10659" s="23"/>
    </row>
    <row r="10660">
      <c r="B10660" s="19"/>
      <c r="E10660" s="23"/>
      <c r="L10660" s="23"/>
    </row>
    <row r="10661">
      <c r="B10661" s="19"/>
      <c r="E10661" s="23"/>
      <c r="L10661" s="23"/>
    </row>
    <row r="10662">
      <c r="B10662" s="19"/>
      <c r="E10662" s="23"/>
      <c r="L10662" s="23"/>
    </row>
    <row r="10663">
      <c r="B10663" s="19"/>
      <c r="E10663" s="23"/>
      <c r="L10663" s="23"/>
    </row>
    <row r="10664">
      <c r="B10664" s="19"/>
      <c r="E10664" s="23"/>
      <c r="L10664" s="23"/>
    </row>
    <row r="10665">
      <c r="B10665" s="19"/>
      <c r="E10665" s="23"/>
      <c r="L10665" s="23"/>
    </row>
    <row r="10666">
      <c r="B10666" s="19"/>
      <c r="E10666" s="23"/>
      <c r="L10666" s="23"/>
    </row>
    <row r="10667">
      <c r="B10667" s="19"/>
      <c r="E10667" s="23"/>
      <c r="L10667" s="23"/>
    </row>
    <row r="10668">
      <c r="B10668" s="19"/>
      <c r="E10668" s="23"/>
      <c r="L10668" s="23"/>
    </row>
    <row r="10669">
      <c r="B10669" s="19"/>
      <c r="E10669" s="23"/>
      <c r="L10669" s="23"/>
    </row>
    <row r="10670">
      <c r="B10670" s="19"/>
      <c r="E10670" s="23"/>
      <c r="L10670" s="23"/>
    </row>
    <row r="10671">
      <c r="B10671" s="19"/>
      <c r="E10671" s="23"/>
      <c r="L10671" s="23"/>
    </row>
    <row r="10672">
      <c r="B10672" s="19"/>
      <c r="E10672" s="23"/>
      <c r="L10672" s="23"/>
    </row>
    <row r="10673">
      <c r="B10673" s="19"/>
      <c r="E10673" s="23"/>
      <c r="L10673" s="23"/>
    </row>
    <row r="10674">
      <c r="B10674" s="19"/>
      <c r="E10674" s="23"/>
      <c r="L10674" s="23"/>
    </row>
    <row r="10675">
      <c r="B10675" s="19"/>
      <c r="E10675" s="23"/>
      <c r="L10675" s="23"/>
    </row>
    <row r="10676">
      <c r="B10676" s="19"/>
      <c r="E10676" s="23"/>
      <c r="L10676" s="23"/>
    </row>
    <row r="10677">
      <c r="B10677" s="19"/>
      <c r="E10677" s="23"/>
      <c r="L10677" s="23"/>
    </row>
    <row r="10678">
      <c r="B10678" s="19"/>
      <c r="E10678" s="23"/>
      <c r="L10678" s="23"/>
    </row>
    <row r="10679">
      <c r="B10679" s="19"/>
      <c r="E10679" s="23"/>
      <c r="L10679" s="23"/>
    </row>
    <row r="10680">
      <c r="B10680" s="19"/>
      <c r="E10680" s="23"/>
      <c r="L10680" s="23"/>
    </row>
    <row r="10681">
      <c r="B10681" s="19"/>
      <c r="E10681" s="23"/>
      <c r="L10681" s="23"/>
    </row>
    <row r="10682">
      <c r="B10682" s="19"/>
      <c r="E10682" s="23"/>
      <c r="L10682" s="23"/>
    </row>
    <row r="10683">
      <c r="B10683" s="19"/>
      <c r="E10683" s="23"/>
      <c r="L10683" s="23"/>
    </row>
    <row r="10684">
      <c r="B10684" s="19"/>
      <c r="E10684" s="23"/>
      <c r="L10684" s="23"/>
    </row>
    <row r="10685">
      <c r="B10685" s="19"/>
      <c r="E10685" s="23"/>
      <c r="L10685" s="23"/>
    </row>
    <row r="10686">
      <c r="B10686" s="19"/>
      <c r="E10686" s="23"/>
      <c r="L10686" s="23"/>
    </row>
    <row r="10687">
      <c r="B10687" s="19"/>
      <c r="E10687" s="23"/>
      <c r="L10687" s="23"/>
    </row>
    <row r="10688">
      <c r="B10688" s="19"/>
      <c r="E10688" s="23"/>
      <c r="L10688" s="23"/>
    </row>
    <row r="10689">
      <c r="B10689" s="19"/>
      <c r="E10689" s="23"/>
      <c r="L10689" s="23"/>
    </row>
    <row r="10690">
      <c r="B10690" s="19"/>
      <c r="E10690" s="23"/>
      <c r="L10690" s="23"/>
    </row>
    <row r="10691">
      <c r="B10691" s="19"/>
      <c r="E10691" s="23"/>
      <c r="L10691" s="23"/>
    </row>
    <row r="10692">
      <c r="B10692" s="19"/>
      <c r="E10692" s="23"/>
      <c r="L10692" s="23"/>
    </row>
    <row r="10693">
      <c r="B10693" s="19"/>
      <c r="E10693" s="23"/>
      <c r="L10693" s="23"/>
    </row>
    <row r="10694">
      <c r="B10694" s="19"/>
      <c r="E10694" s="23"/>
      <c r="L10694" s="23"/>
    </row>
    <row r="10695">
      <c r="B10695" s="19"/>
      <c r="E10695" s="23"/>
      <c r="L10695" s="23"/>
    </row>
    <row r="10696">
      <c r="B10696" s="19"/>
      <c r="E10696" s="23"/>
      <c r="L10696" s="23"/>
    </row>
    <row r="10697">
      <c r="B10697" s="19"/>
      <c r="E10697" s="23"/>
      <c r="L10697" s="23"/>
    </row>
    <row r="10698">
      <c r="B10698" s="19"/>
      <c r="E10698" s="23"/>
      <c r="L10698" s="23"/>
    </row>
    <row r="10699">
      <c r="B10699" s="19"/>
      <c r="E10699" s="23"/>
      <c r="L10699" s="23"/>
    </row>
    <row r="10700">
      <c r="B10700" s="19"/>
      <c r="E10700" s="23"/>
      <c r="L10700" s="23"/>
    </row>
    <row r="10701">
      <c r="B10701" s="19"/>
      <c r="E10701" s="23"/>
      <c r="L10701" s="23"/>
    </row>
    <row r="10702">
      <c r="B10702" s="19"/>
      <c r="E10702" s="23"/>
      <c r="L10702" s="23"/>
    </row>
    <row r="10703">
      <c r="B10703" s="19"/>
      <c r="E10703" s="23"/>
      <c r="L10703" s="23"/>
    </row>
    <row r="10704">
      <c r="B10704" s="19"/>
      <c r="E10704" s="23"/>
      <c r="L10704" s="23"/>
    </row>
    <row r="10705">
      <c r="B10705" s="19"/>
      <c r="E10705" s="23"/>
      <c r="L10705" s="23"/>
    </row>
    <row r="10706">
      <c r="B10706" s="19"/>
      <c r="E10706" s="23"/>
      <c r="L10706" s="23"/>
    </row>
    <row r="10707">
      <c r="B10707" s="19"/>
      <c r="E10707" s="23"/>
      <c r="L10707" s="23"/>
    </row>
    <row r="10708">
      <c r="B10708" s="19"/>
      <c r="E10708" s="23"/>
      <c r="L10708" s="23"/>
    </row>
    <row r="10709">
      <c r="B10709" s="19"/>
      <c r="E10709" s="23"/>
      <c r="L10709" s="23"/>
    </row>
    <row r="10710">
      <c r="B10710" s="19"/>
      <c r="E10710" s="23"/>
      <c r="L10710" s="23"/>
    </row>
    <row r="10711">
      <c r="B10711" s="19"/>
      <c r="E10711" s="23"/>
      <c r="L10711" s="23"/>
    </row>
    <row r="10712">
      <c r="B10712" s="19"/>
      <c r="E10712" s="23"/>
      <c r="L10712" s="23"/>
    </row>
    <row r="10713">
      <c r="B10713" s="19"/>
      <c r="E10713" s="23"/>
      <c r="L10713" s="23"/>
    </row>
    <row r="10714">
      <c r="B10714" s="19"/>
      <c r="E10714" s="23"/>
      <c r="L10714" s="23"/>
    </row>
    <row r="10715">
      <c r="B10715" s="19"/>
      <c r="E10715" s="23"/>
      <c r="L10715" s="23"/>
    </row>
    <row r="10716">
      <c r="B10716" s="19"/>
      <c r="E10716" s="23"/>
      <c r="L10716" s="23"/>
    </row>
    <row r="10717">
      <c r="B10717" s="19"/>
      <c r="E10717" s="23"/>
      <c r="L10717" s="23"/>
    </row>
    <row r="10718">
      <c r="B10718" s="19"/>
      <c r="E10718" s="23"/>
      <c r="L10718" s="23"/>
    </row>
    <row r="10719">
      <c r="B10719" s="19"/>
      <c r="E10719" s="23"/>
      <c r="L10719" s="23"/>
    </row>
    <row r="10720">
      <c r="B10720" s="19"/>
      <c r="E10720" s="23"/>
      <c r="L10720" s="23"/>
    </row>
    <row r="10721">
      <c r="B10721" s="19"/>
      <c r="E10721" s="23"/>
      <c r="L10721" s="23"/>
    </row>
    <row r="10722">
      <c r="B10722" s="19"/>
      <c r="E10722" s="23"/>
      <c r="L10722" s="23"/>
    </row>
    <row r="10723">
      <c r="B10723" s="19"/>
      <c r="E10723" s="23"/>
      <c r="L10723" s="23"/>
    </row>
    <row r="10724">
      <c r="B10724" s="19"/>
      <c r="E10724" s="23"/>
      <c r="L10724" s="23"/>
    </row>
    <row r="10725">
      <c r="B10725" s="19"/>
      <c r="E10725" s="23"/>
      <c r="L10725" s="23"/>
    </row>
    <row r="10726">
      <c r="B10726" s="19"/>
      <c r="E10726" s="23"/>
      <c r="L10726" s="23"/>
    </row>
    <row r="10727">
      <c r="B10727" s="19"/>
      <c r="E10727" s="23"/>
      <c r="L10727" s="23"/>
    </row>
    <row r="10728">
      <c r="B10728" s="19"/>
      <c r="E10728" s="23"/>
      <c r="L10728" s="23"/>
    </row>
    <row r="10729">
      <c r="B10729" s="19"/>
      <c r="E10729" s="23"/>
      <c r="L10729" s="23"/>
    </row>
    <row r="10730">
      <c r="B10730" s="19"/>
      <c r="E10730" s="23"/>
      <c r="L10730" s="23"/>
    </row>
    <row r="10731">
      <c r="B10731" s="19"/>
      <c r="E10731" s="23"/>
      <c r="L10731" s="23"/>
    </row>
    <row r="10732">
      <c r="B10732" s="19"/>
      <c r="E10732" s="23"/>
      <c r="L10732" s="23"/>
    </row>
    <row r="10733">
      <c r="B10733" s="19"/>
      <c r="E10733" s="23"/>
      <c r="L10733" s="23"/>
    </row>
    <row r="10734">
      <c r="B10734" s="19"/>
      <c r="E10734" s="23"/>
      <c r="L10734" s="23"/>
    </row>
    <row r="10735">
      <c r="B10735" s="19"/>
      <c r="E10735" s="23"/>
      <c r="L10735" s="23"/>
    </row>
    <row r="10736">
      <c r="B10736" s="19"/>
      <c r="E10736" s="23"/>
      <c r="L10736" s="23"/>
    </row>
    <row r="10737">
      <c r="B10737" s="19"/>
      <c r="E10737" s="23"/>
      <c r="L10737" s="23"/>
    </row>
    <row r="10738">
      <c r="B10738" s="19"/>
      <c r="E10738" s="23"/>
      <c r="L10738" s="23"/>
    </row>
    <row r="10739">
      <c r="B10739" s="19"/>
      <c r="E10739" s="23"/>
      <c r="L10739" s="23"/>
    </row>
    <row r="10740">
      <c r="B10740" s="19"/>
      <c r="E10740" s="23"/>
      <c r="L10740" s="23"/>
    </row>
    <row r="10741">
      <c r="B10741" s="19"/>
      <c r="E10741" s="23"/>
      <c r="L10741" s="23"/>
    </row>
    <row r="10742">
      <c r="B10742" s="19"/>
      <c r="E10742" s="23"/>
      <c r="L10742" s="23"/>
    </row>
    <row r="10743">
      <c r="B10743" s="19"/>
      <c r="E10743" s="23"/>
      <c r="L10743" s="23"/>
    </row>
    <row r="10744">
      <c r="B10744" s="19"/>
      <c r="E10744" s="23"/>
      <c r="L10744" s="23"/>
    </row>
    <row r="10745">
      <c r="B10745" s="19"/>
      <c r="E10745" s="23"/>
      <c r="L10745" s="23"/>
    </row>
    <row r="10746">
      <c r="B10746" s="19"/>
      <c r="E10746" s="23"/>
      <c r="L10746" s="23"/>
    </row>
    <row r="10747">
      <c r="B10747" s="19"/>
      <c r="E10747" s="23"/>
      <c r="L10747" s="23"/>
    </row>
    <row r="10748">
      <c r="B10748" s="19"/>
      <c r="E10748" s="23"/>
      <c r="L10748" s="23"/>
    </row>
    <row r="10749">
      <c r="B10749" s="19"/>
      <c r="E10749" s="23"/>
      <c r="L10749" s="23"/>
    </row>
    <row r="10750">
      <c r="B10750" s="19"/>
      <c r="E10750" s="23"/>
      <c r="L10750" s="23"/>
    </row>
    <row r="10751">
      <c r="B10751" s="19"/>
      <c r="E10751" s="23"/>
      <c r="L10751" s="23"/>
    </row>
    <row r="10752">
      <c r="B10752" s="19"/>
      <c r="E10752" s="23"/>
      <c r="L10752" s="23"/>
    </row>
    <row r="10753">
      <c r="B10753" s="19"/>
      <c r="E10753" s="23"/>
      <c r="L10753" s="23"/>
    </row>
    <row r="10754">
      <c r="B10754" s="19"/>
      <c r="E10754" s="23"/>
      <c r="L10754" s="23"/>
    </row>
    <row r="10755">
      <c r="B10755" s="19"/>
      <c r="E10755" s="23"/>
      <c r="L10755" s="23"/>
    </row>
    <row r="10756">
      <c r="B10756" s="19"/>
      <c r="E10756" s="23"/>
      <c r="L10756" s="23"/>
    </row>
    <row r="10757">
      <c r="B10757" s="19"/>
      <c r="E10757" s="23"/>
      <c r="L10757" s="23"/>
    </row>
    <row r="10758">
      <c r="B10758" s="19"/>
      <c r="E10758" s="23"/>
      <c r="L10758" s="23"/>
    </row>
    <row r="10759">
      <c r="B10759" s="19"/>
      <c r="E10759" s="23"/>
      <c r="L10759" s="23"/>
    </row>
    <row r="10760">
      <c r="B10760" s="19"/>
      <c r="E10760" s="23"/>
      <c r="L10760" s="23"/>
    </row>
    <row r="10761">
      <c r="B10761" s="19"/>
      <c r="E10761" s="23"/>
      <c r="L10761" s="23"/>
    </row>
    <row r="10762">
      <c r="B10762" s="19"/>
      <c r="E10762" s="23"/>
      <c r="L10762" s="23"/>
    </row>
    <row r="10763">
      <c r="B10763" s="19"/>
      <c r="E10763" s="23"/>
      <c r="L10763" s="23"/>
    </row>
    <row r="10764">
      <c r="B10764" s="19"/>
      <c r="E10764" s="23"/>
      <c r="L10764" s="23"/>
    </row>
    <row r="10765">
      <c r="B10765" s="19"/>
      <c r="E10765" s="23"/>
      <c r="L10765" s="23"/>
    </row>
    <row r="10766">
      <c r="B10766" s="19"/>
      <c r="E10766" s="23"/>
      <c r="L10766" s="23"/>
    </row>
    <row r="10767">
      <c r="B10767" s="19"/>
      <c r="E10767" s="23"/>
      <c r="L10767" s="23"/>
    </row>
    <row r="10768">
      <c r="B10768" s="19"/>
      <c r="E10768" s="23"/>
      <c r="L10768" s="23"/>
    </row>
    <row r="10769">
      <c r="B10769" s="19"/>
      <c r="E10769" s="23"/>
      <c r="L10769" s="23"/>
    </row>
    <row r="10770">
      <c r="B10770" s="19"/>
      <c r="E10770" s="23"/>
      <c r="L10770" s="23"/>
    </row>
    <row r="10771">
      <c r="B10771" s="19"/>
      <c r="E10771" s="23"/>
      <c r="L10771" s="23"/>
    </row>
    <row r="10772">
      <c r="B10772" s="19"/>
      <c r="E10772" s="23"/>
      <c r="L10772" s="23"/>
    </row>
    <row r="10773">
      <c r="B10773" s="19"/>
      <c r="E10773" s="23"/>
      <c r="L10773" s="23"/>
    </row>
    <row r="10774">
      <c r="B10774" s="19"/>
      <c r="E10774" s="23"/>
      <c r="L10774" s="23"/>
    </row>
    <row r="10775">
      <c r="B10775" s="19"/>
      <c r="E10775" s="23"/>
      <c r="L10775" s="23"/>
    </row>
    <row r="10776">
      <c r="B10776" s="19"/>
      <c r="E10776" s="23"/>
      <c r="L10776" s="23"/>
    </row>
    <row r="10777">
      <c r="B10777" s="19"/>
      <c r="E10777" s="23"/>
      <c r="L10777" s="23"/>
    </row>
    <row r="10778">
      <c r="B10778" s="19"/>
      <c r="E10778" s="23"/>
      <c r="L10778" s="23"/>
    </row>
    <row r="10779">
      <c r="B10779" s="19"/>
      <c r="E10779" s="23"/>
      <c r="L10779" s="23"/>
    </row>
    <row r="10780">
      <c r="B10780" s="19"/>
      <c r="E10780" s="23"/>
      <c r="L10780" s="23"/>
    </row>
    <row r="10781">
      <c r="B10781" s="19"/>
      <c r="E10781" s="23"/>
      <c r="L10781" s="23"/>
    </row>
    <row r="10782">
      <c r="B10782" s="19"/>
      <c r="E10782" s="23"/>
      <c r="L10782" s="23"/>
    </row>
    <row r="10783">
      <c r="B10783" s="19"/>
      <c r="E10783" s="23"/>
      <c r="L10783" s="23"/>
    </row>
    <row r="10784">
      <c r="B10784" s="19"/>
      <c r="E10784" s="23"/>
      <c r="L10784" s="23"/>
    </row>
    <row r="10785">
      <c r="B10785" s="19"/>
      <c r="E10785" s="23"/>
      <c r="L10785" s="23"/>
    </row>
    <row r="10786">
      <c r="B10786" s="19"/>
      <c r="E10786" s="23"/>
      <c r="L10786" s="23"/>
    </row>
    <row r="10787">
      <c r="B10787" s="19"/>
      <c r="E10787" s="23"/>
      <c r="L10787" s="23"/>
    </row>
    <row r="10788">
      <c r="B10788" s="19"/>
      <c r="E10788" s="23"/>
      <c r="L10788" s="23"/>
    </row>
    <row r="10789">
      <c r="B10789" s="19"/>
      <c r="E10789" s="23"/>
      <c r="L10789" s="23"/>
    </row>
    <row r="10790">
      <c r="B10790" s="19"/>
      <c r="E10790" s="23"/>
      <c r="L10790" s="23"/>
    </row>
    <row r="10791">
      <c r="B10791" s="19"/>
      <c r="E10791" s="23"/>
      <c r="L10791" s="23"/>
    </row>
    <row r="10792">
      <c r="B10792" s="19"/>
      <c r="E10792" s="23"/>
      <c r="L10792" s="23"/>
    </row>
    <row r="10793">
      <c r="B10793" s="19"/>
      <c r="E10793" s="23"/>
      <c r="L10793" s="23"/>
    </row>
    <row r="10794">
      <c r="B10794" s="19"/>
      <c r="E10794" s="23"/>
      <c r="L10794" s="23"/>
    </row>
    <row r="10795">
      <c r="B10795" s="19"/>
      <c r="E10795" s="23"/>
      <c r="L10795" s="23"/>
    </row>
    <row r="10796">
      <c r="B10796" s="19"/>
      <c r="E10796" s="23"/>
      <c r="L10796" s="23"/>
    </row>
    <row r="10797">
      <c r="B10797" s="19"/>
      <c r="E10797" s="23"/>
      <c r="L10797" s="23"/>
    </row>
    <row r="10798">
      <c r="B10798" s="19"/>
      <c r="E10798" s="23"/>
      <c r="L10798" s="23"/>
    </row>
    <row r="10799">
      <c r="B10799" s="19"/>
      <c r="E10799" s="23"/>
      <c r="L10799" s="23"/>
    </row>
    <row r="10800">
      <c r="B10800" s="19"/>
      <c r="E10800" s="23"/>
      <c r="L10800" s="23"/>
    </row>
    <row r="10801">
      <c r="B10801" s="19"/>
      <c r="E10801" s="23"/>
      <c r="L10801" s="23"/>
    </row>
    <row r="10802">
      <c r="B10802" s="19"/>
      <c r="E10802" s="23"/>
      <c r="L10802" s="23"/>
    </row>
    <row r="10803">
      <c r="B10803" s="19"/>
      <c r="E10803" s="23"/>
      <c r="L10803" s="23"/>
    </row>
    <row r="10804">
      <c r="B10804" s="19"/>
      <c r="E10804" s="23"/>
      <c r="L10804" s="23"/>
    </row>
    <row r="10805">
      <c r="B10805" s="19"/>
      <c r="E10805" s="23"/>
      <c r="L10805" s="23"/>
    </row>
    <row r="10806">
      <c r="B10806" s="19"/>
      <c r="E10806" s="23"/>
      <c r="L10806" s="23"/>
    </row>
    <row r="10807">
      <c r="B10807" s="19"/>
      <c r="E10807" s="23"/>
      <c r="L10807" s="23"/>
    </row>
    <row r="10808">
      <c r="B10808" s="19"/>
      <c r="E10808" s="23"/>
      <c r="L10808" s="23"/>
    </row>
    <row r="10809">
      <c r="B10809" s="19"/>
      <c r="E10809" s="23"/>
      <c r="L10809" s="23"/>
    </row>
    <row r="10810">
      <c r="B10810" s="19"/>
      <c r="E10810" s="23"/>
      <c r="L10810" s="23"/>
    </row>
    <row r="10811">
      <c r="B10811" s="19"/>
      <c r="E10811" s="23"/>
      <c r="L10811" s="23"/>
    </row>
    <row r="10812">
      <c r="B10812" s="19"/>
      <c r="E10812" s="23"/>
      <c r="L10812" s="23"/>
    </row>
    <row r="10813">
      <c r="B10813" s="19"/>
      <c r="E10813" s="23"/>
      <c r="L10813" s="23"/>
    </row>
    <row r="10814">
      <c r="B10814" s="19"/>
      <c r="E10814" s="23"/>
      <c r="L10814" s="23"/>
    </row>
    <row r="10815">
      <c r="B10815" s="19"/>
      <c r="E10815" s="23"/>
      <c r="L10815" s="23"/>
    </row>
    <row r="10816">
      <c r="B10816" s="19"/>
      <c r="E10816" s="23"/>
      <c r="L10816" s="23"/>
    </row>
    <row r="10817">
      <c r="B10817" s="19"/>
      <c r="E10817" s="23"/>
      <c r="L10817" s="23"/>
    </row>
    <row r="10818">
      <c r="B10818" s="19"/>
      <c r="E10818" s="23"/>
      <c r="L10818" s="23"/>
    </row>
    <row r="10819">
      <c r="B10819" s="19"/>
      <c r="E10819" s="23"/>
      <c r="L10819" s="23"/>
    </row>
    <row r="10820">
      <c r="B10820" s="19"/>
      <c r="E10820" s="23"/>
      <c r="L10820" s="23"/>
    </row>
    <row r="10821">
      <c r="B10821" s="19"/>
      <c r="E10821" s="23"/>
      <c r="L10821" s="23"/>
    </row>
    <row r="10822">
      <c r="B10822" s="19"/>
      <c r="E10822" s="23"/>
      <c r="L10822" s="23"/>
    </row>
    <row r="10823">
      <c r="B10823" s="19"/>
      <c r="E10823" s="23"/>
      <c r="L10823" s="23"/>
    </row>
    <row r="10824">
      <c r="B10824" s="19"/>
      <c r="E10824" s="23"/>
      <c r="L10824" s="23"/>
    </row>
    <row r="10825">
      <c r="B10825" s="19"/>
      <c r="E10825" s="23"/>
      <c r="L10825" s="23"/>
    </row>
    <row r="10826">
      <c r="B10826" s="19"/>
      <c r="E10826" s="23"/>
      <c r="L10826" s="23"/>
    </row>
    <row r="10827">
      <c r="B10827" s="19"/>
      <c r="E10827" s="23"/>
      <c r="L10827" s="23"/>
    </row>
    <row r="10828">
      <c r="B10828" s="19"/>
      <c r="E10828" s="23"/>
      <c r="L10828" s="23"/>
    </row>
    <row r="10829">
      <c r="B10829" s="19"/>
      <c r="E10829" s="23"/>
      <c r="L10829" s="23"/>
    </row>
    <row r="10830">
      <c r="B10830" s="19"/>
      <c r="E10830" s="23"/>
      <c r="L10830" s="23"/>
    </row>
    <row r="10831">
      <c r="B10831" s="19"/>
      <c r="E10831" s="23"/>
      <c r="L10831" s="23"/>
    </row>
    <row r="10832">
      <c r="B10832" s="19"/>
      <c r="E10832" s="23"/>
      <c r="L10832" s="23"/>
    </row>
    <row r="10833">
      <c r="B10833" s="19"/>
      <c r="E10833" s="23"/>
      <c r="L10833" s="23"/>
    </row>
    <row r="10834">
      <c r="B10834" s="19"/>
      <c r="E10834" s="23"/>
      <c r="L10834" s="23"/>
    </row>
    <row r="10835">
      <c r="B10835" s="19"/>
      <c r="E10835" s="23"/>
      <c r="L10835" s="23"/>
    </row>
    <row r="10836">
      <c r="B10836" s="19"/>
      <c r="E10836" s="23"/>
      <c r="L10836" s="23"/>
    </row>
    <row r="10837">
      <c r="B10837" s="19"/>
      <c r="E10837" s="23"/>
      <c r="L10837" s="23"/>
    </row>
    <row r="10838">
      <c r="B10838" s="19"/>
      <c r="E10838" s="23"/>
      <c r="L10838" s="23"/>
    </row>
    <row r="10839">
      <c r="B10839" s="19"/>
      <c r="E10839" s="23"/>
      <c r="L10839" s="23"/>
    </row>
    <row r="10840">
      <c r="B10840" s="19"/>
      <c r="E10840" s="23"/>
      <c r="L10840" s="23"/>
    </row>
    <row r="10841">
      <c r="B10841" s="19"/>
      <c r="E10841" s="23"/>
      <c r="L10841" s="23"/>
    </row>
    <row r="10842">
      <c r="B10842" s="19"/>
      <c r="E10842" s="23"/>
      <c r="L10842" s="23"/>
    </row>
    <row r="10843">
      <c r="B10843" s="19"/>
      <c r="E10843" s="23"/>
      <c r="L10843" s="23"/>
    </row>
    <row r="10844">
      <c r="B10844" s="19"/>
      <c r="E10844" s="23"/>
      <c r="L10844" s="23"/>
    </row>
    <row r="10845">
      <c r="B10845" s="19"/>
      <c r="E10845" s="23"/>
      <c r="L10845" s="23"/>
    </row>
    <row r="10846">
      <c r="B10846" s="19"/>
      <c r="E10846" s="23"/>
      <c r="L10846" s="23"/>
    </row>
    <row r="10847">
      <c r="B10847" s="19"/>
      <c r="E10847" s="23"/>
      <c r="L10847" s="23"/>
    </row>
    <row r="10848">
      <c r="B10848" s="19"/>
      <c r="E10848" s="23"/>
      <c r="L10848" s="23"/>
    </row>
    <row r="10849">
      <c r="B10849" s="19"/>
      <c r="E10849" s="23"/>
      <c r="L10849" s="23"/>
    </row>
    <row r="10850">
      <c r="B10850" s="19"/>
      <c r="E10850" s="23"/>
      <c r="L10850" s="23"/>
    </row>
    <row r="10851">
      <c r="B10851" s="19"/>
      <c r="E10851" s="23"/>
      <c r="L10851" s="23"/>
    </row>
    <row r="10852">
      <c r="B10852" s="19"/>
      <c r="E10852" s="23"/>
      <c r="L10852" s="23"/>
    </row>
    <row r="10853">
      <c r="B10853" s="19"/>
      <c r="E10853" s="23"/>
      <c r="L10853" s="23"/>
    </row>
    <row r="10854">
      <c r="B10854" s="19"/>
      <c r="E10854" s="23"/>
      <c r="L10854" s="23"/>
    </row>
    <row r="10855">
      <c r="B10855" s="19"/>
      <c r="E10855" s="23"/>
      <c r="L10855" s="23"/>
    </row>
    <row r="10856">
      <c r="B10856" s="19"/>
      <c r="E10856" s="23"/>
      <c r="L10856" s="23"/>
    </row>
    <row r="10857">
      <c r="B10857" s="19"/>
      <c r="E10857" s="23"/>
      <c r="L10857" s="23"/>
    </row>
    <row r="10858">
      <c r="B10858" s="19"/>
      <c r="E10858" s="23"/>
      <c r="L10858" s="23"/>
    </row>
    <row r="10859">
      <c r="B10859" s="19"/>
      <c r="E10859" s="23"/>
      <c r="L10859" s="23"/>
    </row>
    <row r="10860">
      <c r="B10860" s="19"/>
      <c r="E10860" s="23"/>
      <c r="L10860" s="23"/>
    </row>
    <row r="10861">
      <c r="B10861" s="19"/>
      <c r="E10861" s="23"/>
      <c r="L10861" s="23"/>
    </row>
    <row r="10862">
      <c r="B10862" s="19"/>
      <c r="E10862" s="23"/>
      <c r="L10862" s="23"/>
    </row>
    <row r="10863">
      <c r="B10863" s="19"/>
      <c r="E10863" s="23"/>
      <c r="L10863" s="23"/>
    </row>
    <row r="10864">
      <c r="B10864" s="19"/>
      <c r="E10864" s="23"/>
      <c r="L10864" s="23"/>
    </row>
    <row r="10865">
      <c r="B10865" s="19"/>
      <c r="E10865" s="23"/>
      <c r="L10865" s="23"/>
    </row>
    <row r="10866">
      <c r="B10866" s="19"/>
      <c r="E10866" s="23"/>
      <c r="L10866" s="23"/>
    </row>
    <row r="10867">
      <c r="B10867" s="19"/>
      <c r="E10867" s="23"/>
      <c r="L10867" s="23"/>
    </row>
    <row r="10868">
      <c r="B10868" s="19"/>
      <c r="E10868" s="23"/>
      <c r="L10868" s="23"/>
    </row>
    <row r="10869">
      <c r="B10869" s="19"/>
      <c r="E10869" s="23"/>
      <c r="L10869" s="23"/>
    </row>
    <row r="10870">
      <c r="B10870" s="19"/>
      <c r="E10870" s="23"/>
      <c r="L10870" s="23"/>
    </row>
    <row r="10871">
      <c r="B10871" s="19"/>
      <c r="E10871" s="23"/>
      <c r="L10871" s="23"/>
    </row>
    <row r="10872">
      <c r="B10872" s="19"/>
      <c r="E10872" s="23"/>
      <c r="L10872" s="23"/>
    </row>
    <row r="10873">
      <c r="B10873" s="19"/>
      <c r="E10873" s="23"/>
      <c r="L10873" s="23"/>
    </row>
    <row r="10874">
      <c r="B10874" s="19"/>
      <c r="E10874" s="23"/>
      <c r="L10874" s="23"/>
    </row>
    <row r="10875">
      <c r="B10875" s="19"/>
      <c r="E10875" s="23"/>
      <c r="L10875" s="23"/>
    </row>
    <row r="10876">
      <c r="B10876" s="19"/>
      <c r="E10876" s="23"/>
      <c r="L10876" s="23"/>
    </row>
    <row r="10877">
      <c r="B10877" s="19"/>
      <c r="E10877" s="23"/>
      <c r="L10877" s="23"/>
    </row>
    <row r="10878">
      <c r="B10878" s="19"/>
      <c r="E10878" s="23"/>
      <c r="L10878" s="23"/>
    </row>
    <row r="10879">
      <c r="B10879" s="19"/>
      <c r="E10879" s="23"/>
      <c r="L10879" s="23"/>
    </row>
    <row r="10880">
      <c r="B10880" s="19"/>
      <c r="E10880" s="23"/>
      <c r="L10880" s="23"/>
    </row>
    <row r="10881">
      <c r="B10881" s="19"/>
      <c r="E10881" s="23"/>
      <c r="L10881" s="23"/>
    </row>
    <row r="10882">
      <c r="B10882" s="19"/>
      <c r="E10882" s="23"/>
      <c r="L10882" s="23"/>
    </row>
    <row r="10883">
      <c r="B10883" s="19"/>
      <c r="E10883" s="23"/>
      <c r="L10883" s="23"/>
    </row>
    <row r="10884">
      <c r="B10884" s="19"/>
      <c r="E10884" s="23"/>
      <c r="L10884" s="23"/>
    </row>
    <row r="10885">
      <c r="B10885" s="19"/>
      <c r="E10885" s="23"/>
      <c r="L10885" s="23"/>
    </row>
    <row r="10886">
      <c r="B10886" s="19"/>
      <c r="E10886" s="23"/>
      <c r="L10886" s="23"/>
    </row>
    <row r="10887">
      <c r="B10887" s="19"/>
      <c r="E10887" s="23"/>
      <c r="L10887" s="23"/>
    </row>
    <row r="10888">
      <c r="B10888" s="19"/>
      <c r="E10888" s="23"/>
      <c r="L10888" s="23"/>
    </row>
    <row r="10889">
      <c r="B10889" s="19"/>
      <c r="E10889" s="23"/>
      <c r="L10889" s="23"/>
    </row>
    <row r="10890">
      <c r="B10890" s="19"/>
      <c r="E10890" s="23"/>
      <c r="L10890" s="23"/>
    </row>
    <row r="10891">
      <c r="B10891" s="19"/>
      <c r="E10891" s="23"/>
      <c r="L10891" s="23"/>
    </row>
    <row r="10892">
      <c r="B10892" s="19"/>
      <c r="E10892" s="23"/>
      <c r="L10892" s="23"/>
    </row>
    <row r="10893">
      <c r="B10893" s="19"/>
      <c r="E10893" s="23"/>
      <c r="L10893" s="23"/>
    </row>
    <row r="10894">
      <c r="B10894" s="19"/>
      <c r="E10894" s="23"/>
      <c r="L10894" s="23"/>
    </row>
    <row r="10895">
      <c r="B10895" s="19"/>
      <c r="E10895" s="23"/>
      <c r="L10895" s="23"/>
    </row>
    <row r="10896">
      <c r="B10896" s="19"/>
      <c r="E10896" s="23"/>
      <c r="L10896" s="23"/>
    </row>
    <row r="10897">
      <c r="B10897" s="19"/>
      <c r="E10897" s="23"/>
      <c r="L10897" s="23"/>
    </row>
    <row r="10898">
      <c r="B10898" s="19"/>
      <c r="E10898" s="23"/>
      <c r="L10898" s="23"/>
    </row>
    <row r="10899">
      <c r="B10899" s="19"/>
      <c r="E10899" s="23"/>
      <c r="L10899" s="23"/>
    </row>
    <row r="10900">
      <c r="B10900" s="19"/>
      <c r="E10900" s="23"/>
      <c r="L10900" s="23"/>
    </row>
    <row r="10901">
      <c r="B10901" s="19"/>
      <c r="E10901" s="23"/>
      <c r="L10901" s="23"/>
    </row>
    <row r="10902">
      <c r="B10902" s="19"/>
      <c r="E10902" s="23"/>
      <c r="L10902" s="23"/>
    </row>
    <row r="10903">
      <c r="B10903" s="19"/>
      <c r="E10903" s="23"/>
      <c r="L10903" s="23"/>
    </row>
    <row r="10904">
      <c r="B10904" s="19"/>
      <c r="E10904" s="23"/>
      <c r="L10904" s="23"/>
    </row>
    <row r="10905">
      <c r="B10905" s="19"/>
      <c r="E10905" s="23"/>
      <c r="L10905" s="23"/>
    </row>
    <row r="10906">
      <c r="B10906" s="19"/>
      <c r="E10906" s="23"/>
      <c r="L10906" s="23"/>
    </row>
    <row r="10907">
      <c r="B10907" s="19"/>
      <c r="E10907" s="23"/>
      <c r="L10907" s="23"/>
    </row>
    <row r="10908">
      <c r="B10908" s="19"/>
      <c r="E10908" s="23"/>
      <c r="L10908" s="23"/>
    </row>
    <row r="10909">
      <c r="B10909" s="19"/>
      <c r="E10909" s="23"/>
      <c r="L10909" s="23"/>
    </row>
    <row r="10910">
      <c r="B10910" s="19"/>
      <c r="E10910" s="23"/>
      <c r="L10910" s="23"/>
    </row>
    <row r="10911">
      <c r="B10911" s="19"/>
      <c r="E10911" s="23"/>
      <c r="L10911" s="23"/>
    </row>
    <row r="10912">
      <c r="B10912" s="19"/>
      <c r="E10912" s="23"/>
      <c r="L10912" s="23"/>
    </row>
    <row r="10913">
      <c r="B10913" s="19"/>
      <c r="E10913" s="23"/>
      <c r="L10913" s="23"/>
    </row>
    <row r="10914">
      <c r="B10914" s="19"/>
      <c r="E10914" s="23"/>
      <c r="L10914" s="23"/>
    </row>
    <row r="10915">
      <c r="B10915" s="19"/>
      <c r="E10915" s="23"/>
      <c r="L10915" s="23"/>
    </row>
    <row r="10916">
      <c r="B10916" s="19"/>
      <c r="E10916" s="23"/>
      <c r="L10916" s="23"/>
    </row>
    <row r="10917">
      <c r="B10917" s="19"/>
      <c r="E10917" s="23"/>
      <c r="L10917" s="23"/>
    </row>
    <row r="10918">
      <c r="B10918" s="19"/>
      <c r="E10918" s="23"/>
      <c r="L10918" s="23"/>
    </row>
    <row r="10919">
      <c r="B10919" s="19"/>
      <c r="E10919" s="23"/>
      <c r="L10919" s="23"/>
    </row>
    <row r="10920">
      <c r="B10920" s="19"/>
      <c r="E10920" s="23"/>
      <c r="L10920" s="23"/>
    </row>
    <row r="10921">
      <c r="B10921" s="19"/>
      <c r="E10921" s="23"/>
      <c r="L10921" s="23"/>
    </row>
    <row r="10922">
      <c r="B10922" s="19"/>
      <c r="E10922" s="23"/>
      <c r="L10922" s="23"/>
    </row>
    <row r="10923">
      <c r="B10923" s="19"/>
      <c r="E10923" s="23"/>
      <c r="L10923" s="23"/>
    </row>
    <row r="10924">
      <c r="B10924" s="19"/>
      <c r="E10924" s="23"/>
      <c r="L10924" s="23"/>
    </row>
    <row r="10925">
      <c r="B10925" s="19"/>
      <c r="E10925" s="23"/>
      <c r="L10925" s="23"/>
    </row>
    <row r="10926">
      <c r="B10926" s="19"/>
      <c r="E10926" s="23"/>
      <c r="L10926" s="23"/>
    </row>
    <row r="10927">
      <c r="B10927" s="19"/>
      <c r="E10927" s="23"/>
      <c r="L10927" s="23"/>
    </row>
    <row r="10928">
      <c r="B10928" s="19"/>
      <c r="E10928" s="23"/>
      <c r="L10928" s="23"/>
    </row>
    <row r="10929">
      <c r="B10929" s="19"/>
      <c r="E10929" s="23"/>
      <c r="L10929" s="23"/>
    </row>
    <row r="10930">
      <c r="B10930" s="19"/>
      <c r="E10930" s="23"/>
      <c r="L10930" s="23"/>
    </row>
    <row r="10931">
      <c r="B10931" s="19"/>
      <c r="E10931" s="23"/>
      <c r="L10931" s="23"/>
    </row>
    <row r="10932">
      <c r="B10932" s="19"/>
      <c r="E10932" s="23"/>
      <c r="L10932" s="23"/>
    </row>
    <row r="10933">
      <c r="B10933" s="19"/>
      <c r="E10933" s="23"/>
      <c r="L10933" s="23"/>
    </row>
    <row r="10934">
      <c r="B10934" s="19"/>
      <c r="E10934" s="23"/>
      <c r="L10934" s="23"/>
    </row>
    <row r="10935">
      <c r="B10935" s="19"/>
      <c r="E10935" s="23"/>
      <c r="L10935" s="23"/>
    </row>
    <row r="10936">
      <c r="B10936" s="19"/>
      <c r="E10936" s="23"/>
      <c r="L10936" s="23"/>
    </row>
    <row r="10937">
      <c r="B10937" s="19"/>
      <c r="E10937" s="23"/>
      <c r="L10937" s="23"/>
    </row>
    <row r="10938">
      <c r="B10938" s="19"/>
      <c r="E10938" s="23"/>
      <c r="L10938" s="23"/>
    </row>
    <row r="10939">
      <c r="B10939" s="19"/>
      <c r="E10939" s="23"/>
      <c r="L10939" s="23"/>
    </row>
    <row r="10940">
      <c r="B10940" s="19"/>
      <c r="E10940" s="23"/>
      <c r="L10940" s="23"/>
    </row>
    <row r="10941">
      <c r="B10941" s="19"/>
      <c r="E10941" s="23"/>
      <c r="L10941" s="23"/>
    </row>
    <row r="10942">
      <c r="B10942" s="19"/>
      <c r="E10942" s="23"/>
      <c r="L10942" s="23"/>
    </row>
    <row r="10943">
      <c r="B10943" s="19"/>
      <c r="E10943" s="23"/>
      <c r="L10943" s="23"/>
    </row>
    <row r="10944">
      <c r="B10944" s="19"/>
      <c r="E10944" s="23"/>
      <c r="L10944" s="23"/>
    </row>
    <row r="10945">
      <c r="B10945" s="19"/>
      <c r="E10945" s="23"/>
      <c r="L10945" s="23"/>
    </row>
    <row r="10946">
      <c r="B10946" s="19"/>
      <c r="E10946" s="23"/>
      <c r="L10946" s="23"/>
    </row>
    <row r="10947">
      <c r="B10947" s="19"/>
      <c r="E10947" s="23"/>
      <c r="L10947" s="23"/>
    </row>
    <row r="10948">
      <c r="B10948" s="19"/>
      <c r="E10948" s="23"/>
      <c r="L10948" s="23"/>
    </row>
    <row r="10949">
      <c r="B10949" s="19"/>
      <c r="E10949" s="23"/>
      <c r="L10949" s="23"/>
    </row>
    <row r="10950">
      <c r="B10950" s="19"/>
      <c r="E10950" s="23"/>
      <c r="L10950" s="23"/>
    </row>
    <row r="10951">
      <c r="B10951" s="19"/>
      <c r="E10951" s="23"/>
      <c r="L10951" s="23"/>
    </row>
    <row r="10952">
      <c r="B10952" s="19"/>
      <c r="E10952" s="23"/>
      <c r="L10952" s="23"/>
    </row>
    <row r="10953">
      <c r="B10953" s="19"/>
      <c r="E10953" s="23"/>
      <c r="L10953" s="23"/>
    </row>
    <row r="10954">
      <c r="B10954" s="19"/>
      <c r="E10954" s="23"/>
      <c r="L10954" s="23"/>
    </row>
    <row r="10955">
      <c r="B10955" s="19"/>
      <c r="E10955" s="23"/>
      <c r="L10955" s="23"/>
    </row>
    <row r="10956">
      <c r="B10956" s="19"/>
      <c r="E10956" s="23"/>
      <c r="L10956" s="23"/>
    </row>
    <row r="10957">
      <c r="B10957" s="19"/>
      <c r="E10957" s="23"/>
      <c r="L10957" s="23"/>
    </row>
    <row r="10958">
      <c r="B10958" s="19"/>
      <c r="E10958" s="23"/>
      <c r="L10958" s="23"/>
    </row>
    <row r="10959">
      <c r="B10959" s="19"/>
      <c r="E10959" s="23"/>
      <c r="L10959" s="23"/>
    </row>
    <row r="10960">
      <c r="B10960" s="19"/>
      <c r="E10960" s="23"/>
      <c r="L10960" s="23"/>
    </row>
    <row r="10961">
      <c r="B10961" s="19"/>
      <c r="E10961" s="23"/>
      <c r="L10961" s="23"/>
    </row>
    <row r="10962">
      <c r="B10962" s="19"/>
      <c r="E10962" s="23"/>
      <c r="L10962" s="23"/>
    </row>
    <row r="10963">
      <c r="B10963" s="19"/>
      <c r="E10963" s="23"/>
      <c r="L10963" s="23"/>
    </row>
    <row r="10964">
      <c r="B10964" s="19"/>
      <c r="E10964" s="23"/>
      <c r="L10964" s="23"/>
    </row>
    <row r="10965">
      <c r="B10965" s="19"/>
      <c r="E10965" s="23"/>
      <c r="L10965" s="23"/>
    </row>
    <row r="10966">
      <c r="B10966" s="19"/>
      <c r="E10966" s="23"/>
      <c r="L10966" s="23"/>
    </row>
    <row r="10967">
      <c r="B10967" s="19"/>
      <c r="E10967" s="23"/>
      <c r="L10967" s="23"/>
    </row>
    <row r="10968">
      <c r="B10968" s="19"/>
      <c r="E10968" s="23"/>
      <c r="L10968" s="23"/>
    </row>
    <row r="10969">
      <c r="B10969" s="19"/>
      <c r="E10969" s="23"/>
      <c r="L10969" s="23"/>
    </row>
    <row r="10970">
      <c r="B10970" s="19"/>
      <c r="E10970" s="23"/>
      <c r="L10970" s="23"/>
    </row>
    <row r="10971">
      <c r="B10971" s="19"/>
      <c r="E10971" s="23"/>
      <c r="L10971" s="23"/>
    </row>
    <row r="10972">
      <c r="B10972" s="19"/>
      <c r="E10972" s="23"/>
      <c r="L10972" s="23"/>
    </row>
    <row r="10973">
      <c r="B10973" s="19"/>
      <c r="E10973" s="23"/>
      <c r="L10973" s="23"/>
    </row>
    <row r="10974">
      <c r="B10974" s="19"/>
      <c r="E10974" s="23"/>
      <c r="L10974" s="23"/>
    </row>
    <row r="10975">
      <c r="B10975" s="19"/>
      <c r="E10975" s="23"/>
      <c r="L10975" s="23"/>
    </row>
    <row r="10976">
      <c r="B10976" s="19"/>
      <c r="E10976" s="23"/>
      <c r="L10976" s="23"/>
    </row>
    <row r="10977">
      <c r="B10977" s="19"/>
      <c r="E10977" s="23"/>
      <c r="L10977" s="23"/>
    </row>
    <row r="10978">
      <c r="B10978" s="19"/>
      <c r="E10978" s="23"/>
      <c r="L10978" s="23"/>
    </row>
    <row r="10979">
      <c r="B10979" s="19"/>
      <c r="E10979" s="23"/>
      <c r="L10979" s="23"/>
    </row>
    <row r="10980">
      <c r="B10980" s="19"/>
      <c r="E10980" s="23"/>
      <c r="L10980" s="23"/>
    </row>
    <row r="10981">
      <c r="B10981" s="19"/>
      <c r="E10981" s="23"/>
      <c r="L10981" s="23"/>
    </row>
    <row r="10982">
      <c r="B10982" s="19"/>
      <c r="E10982" s="23"/>
      <c r="L10982" s="23"/>
    </row>
    <row r="10983">
      <c r="B10983" s="19"/>
      <c r="E10983" s="23"/>
      <c r="L10983" s="23"/>
    </row>
    <row r="10984">
      <c r="B10984" s="19"/>
      <c r="E10984" s="23"/>
      <c r="L10984" s="23"/>
    </row>
    <row r="10985">
      <c r="B10985" s="19"/>
      <c r="E10985" s="23"/>
      <c r="L10985" s="23"/>
    </row>
    <row r="10986">
      <c r="B10986" s="19"/>
      <c r="E10986" s="23"/>
      <c r="L10986" s="23"/>
    </row>
    <row r="10987">
      <c r="B10987" s="19"/>
      <c r="E10987" s="23"/>
      <c r="L10987" s="23"/>
    </row>
    <row r="10988">
      <c r="B10988" s="19"/>
      <c r="E10988" s="23"/>
      <c r="L10988" s="23"/>
    </row>
    <row r="10989">
      <c r="B10989" s="19"/>
      <c r="E10989" s="23"/>
      <c r="L10989" s="23"/>
    </row>
    <row r="10990">
      <c r="B10990" s="19"/>
      <c r="E10990" s="23"/>
      <c r="L10990" s="23"/>
    </row>
    <row r="10991">
      <c r="B10991" s="19"/>
      <c r="E10991" s="23"/>
      <c r="L10991" s="23"/>
    </row>
    <row r="10992">
      <c r="B10992" s="19"/>
      <c r="E10992" s="23"/>
      <c r="L10992" s="23"/>
    </row>
    <row r="10993">
      <c r="B10993" s="19"/>
      <c r="E10993" s="23"/>
      <c r="L10993" s="23"/>
    </row>
    <row r="10994">
      <c r="B10994" s="19"/>
      <c r="E10994" s="23"/>
      <c r="L10994" s="23"/>
    </row>
    <row r="10995">
      <c r="B10995" s="19"/>
      <c r="E10995" s="23"/>
      <c r="L10995" s="23"/>
    </row>
    <row r="10996">
      <c r="B10996" s="19"/>
      <c r="E10996" s="23"/>
      <c r="L10996" s="23"/>
    </row>
    <row r="10997">
      <c r="B10997" s="19"/>
      <c r="E10997" s="23"/>
      <c r="L10997" s="23"/>
    </row>
    <row r="10998">
      <c r="B10998" s="19"/>
      <c r="E10998" s="23"/>
      <c r="L10998" s="23"/>
    </row>
    <row r="10999">
      <c r="B10999" s="19"/>
      <c r="E10999" s="23"/>
      <c r="L10999" s="23"/>
    </row>
    <row r="11000">
      <c r="B11000" s="19"/>
      <c r="E11000" s="23"/>
      <c r="L11000" s="23"/>
    </row>
    <row r="11001">
      <c r="B11001" s="19"/>
      <c r="E11001" s="23"/>
      <c r="L11001" s="23"/>
    </row>
    <row r="11002">
      <c r="B11002" s="19"/>
      <c r="E11002" s="23"/>
      <c r="L11002" s="23"/>
    </row>
    <row r="11003">
      <c r="B11003" s="19"/>
      <c r="E11003" s="23"/>
      <c r="L11003" s="23"/>
    </row>
    <row r="11004">
      <c r="B11004" s="19"/>
      <c r="E11004" s="23"/>
      <c r="L11004" s="23"/>
    </row>
    <row r="11005">
      <c r="B11005" s="19"/>
      <c r="E11005" s="23"/>
      <c r="L11005" s="23"/>
    </row>
    <row r="11006">
      <c r="B11006" s="19"/>
      <c r="E11006" s="23"/>
      <c r="L11006" s="23"/>
    </row>
    <row r="11007">
      <c r="B11007" s="19"/>
      <c r="E11007" s="23"/>
      <c r="L11007" s="23"/>
    </row>
    <row r="11008">
      <c r="B11008" s="19"/>
      <c r="E11008" s="23"/>
      <c r="L11008" s="23"/>
    </row>
    <row r="11009">
      <c r="B11009" s="19"/>
      <c r="E11009" s="23"/>
      <c r="L11009" s="23"/>
    </row>
    <row r="11010">
      <c r="B11010" s="19"/>
      <c r="E11010" s="23"/>
      <c r="L11010" s="23"/>
    </row>
    <row r="11011">
      <c r="B11011" s="19"/>
      <c r="E11011" s="23"/>
      <c r="L11011" s="23"/>
    </row>
    <row r="11012">
      <c r="B11012" s="19"/>
      <c r="E11012" s="23"/>
      <c r="L11012" s="23"/>
    </row>
    <row r="11013">
      <c r="B11013" s="19"/>
      <c r="E11013" s="23"/>
      <c r="L11013" s="23"/>
    </row>
    <row r="11014">
      <c r="B11014" s="19"/>
      <c r="E11014" s="23"/>
      <c r="L11014" s="23"/>
    </row>
    <row r="11015">
      <c r="B11015" s="19"/>
      <c r="E11015" s="23"/>
      <c r="L11015" s="23"/>
    </row>
    <row r="11016">
      <c r="B11016" s="19"/>
      <c r="E11016" s="23"/>
      <c r="L11016" s="23"/>
    </row>
    <row r="11017">
      <c r="B11017" s="19"/>
      <c r="E11017" s="23"/>
      <c r="L11017" s="23"/>
    </row>
    <row r="11018">
      <c r="B11018" s="19"/>
      <c r="E11018" s="23"/>
      <c r="L11018" s="23"/>
    </row>
    <row r="11019">
      <c r="B11019" s="19"/>
      <c r="E11019" s="23"/>
      <c r="L11019" s="23"/>
    </row>
    <row r="11020">
      <c r="B11020" s="19"/>
      <c r="E11020" s="23"/>
      <c r="L11020" s="23"/>
    </row>
    <row r="11021">
      <c r="B11021" s="19"/>
      <c r="E11021" s="23"/>
      <c r="L11021" s="23"/>
    </row>
    <row r="11022">
      <c r="B11022" s="19"/>
      <c r="E11022" s="23"/>
      <c r="L11022" s="23"/>
    </row>
    <row r="11023">
      <c r="B11023" s="19"/>
      <c r="E11023" s="23"/>
      <c r="L11023" s="23"/>
    </row>
    <row r="11024">
      <c r="B11024" s="19"/>
      <c r="E11024" s="23"/>
      <c r="L11024" s="23"/>
    </row>
    <row r="11025">
      <c r="B11025" s="19"/>
      <c r="E11025" s="23"/>
      <c r="L11025" s="23"/>
    </row>
    <row r="11026">
      <c r="B11026" s="19"/>
      <c r="E11026" s="23"/>
      <c r="L11026" s="23"/>
    </row>
    <row r="11027">
      <c r="B11027" s="19"/>
      <c r="E11027" s="23"/>
      <c r="L11027" s="23"/>
    </row>
    <row r="11028">
      <c r="B11028" s="19"/>
      <c r="E11028" s="23"/>
      <c r="L11028" s="23"/>
    </row>
    <row r="11029">
      <c r="B11029" s="19"/>
      <c r="E11029" s="23"/>
      <c r="L11029" s="23"/>
    </row>
    <row r="11030">
      <c r="B11030" s="19"/>
      <c r="E11030" s="23"/>
      <c r="L11030" s="23"/>
    </row>
    <row r="11031">
      <c r="B11031" s="19"/>
      <c r="E11031" s="23"/>
      <c r="L11031" s="23"/>
    </row>
    <row r="11032">
      <c r="B11032" s="19"/>
      <c r="E11032" s="23"/>
      <c r="L11032" s="23"/>
    </row>
    <row r="11033">
      <c r="B11033" s="19"/>
      <c r="E11033" s="23"/>
      <c r="L11033" s="23"/>
    </row>
    <row r="11034">
      <c r="B11034" s="19"/>
      <c r="E11034" s="23"/>
      <c r="L11034" s="23"/>
    </row>
    <row r="11035">
      <c r="B11035" s="19"/>
      <c r="E11035" s="23"/>
      <c r="L11035" s="23"/>
    </row>
    <row r="11036">
      <c r="B11036" s="19"/>
      <c r="E11036" s="23"/>
      <c r="L11036" s="23"/>
    </row>
    <row r="11037">
      <c r="B11037" s="19"/>
      <c r="E11037" s="23"/>
      <c r="L11037" s="23"/>
    </row>
    <row r="11038">
      <c r="B11038" s="19"/>
      <c r="E11038" s="23"/>
      <c r="L11038" s="23"/>
    </row>
    <row r="11039">
      <c r="B11039" s="19"/>
      <c r="E11039" s="23"/>
      <c r="L11039" s="23"/>
    </row>
    <row r="11040">
      <c r="B11040" s="19"/>
      <c r="E11040" s="23"/>
      <c r="L11040" s="23"/>
    </row>
    <row r="11041">
      <c r="B11041" s="19"/>
      <c r="E11041" s="23"/>
      <c r="L11041" s="23"/>
    </row>
    <row r="11042">
      <c r="B11042" s="19"/>
      <c r="E11042" s="23"/>
      <c r="L11042" s="23"/>
    </row>
    <row r="11043">
      <c r="B11043" s="19"/>
      <c r="E11043" s="23"/>
      <c r="L11043" s="23"/>
    </row>
    <row r="11044">
      <c r="B11044" s="19"/>
      <c r="E11044" s="23"/>
      <c r="L11044" s="23"/>
    </row>
    <row r="11045">
      <c r="B11045" s="19"/>
      <c r="E11045" s="23"/>
      <c r="L11045" s="23"/>
    </row>
    <row r="11046">
      <c r="B11046" s="19"/>
      <c r="E11046" s="23"/>
      <c r="L11046" s="23"/>
    </row>
    <row r="11047">
      <c r="B11047" s="19"/>
      <c r="E11047" s="23"/>
      <c r="L11047" s="23"/>
    </row>
    <row r="11048">
      <c r="B11048" s="19"/>
      <c r="E11048" s="23"/>
      <c r="L11048" s="23"/>
    </row>
    <row r="11049">
      <c r="B11049" s="19"/>
      <c r="E11049" s="23"/>
      <c r="L11049" s="23"/>
    </row>
    <row r="11050">
      <c r="B11050" s="19"/>
      <c r="E11050" s="23"/>
      <c r="L11050" s="23"/>
    </row>
    <row r="11051">
      <c r="B11051" s="19"/>
      <c r="E11051" s="23"/>
      <c r="L11051" s="23"/>
    </row>
    <row r="11052">
      <c r="B11052" s="19"/>
      <c r="E11052" s="23"/>
      <c r="L11052" s="23"/>
    </row>
    <row r="11053">
      <c r="B11053" s="19"/>
      <c r="E11053" s="23"/>
      <c r="L11053" s="23"/>
    </row>
    <row r="11054">
      <c r="B11054" s="19"/>
      <c r="E11054" s="23"/>
      <c r="L11054" s="23"/>
    </row>
    <row r="11055">
      <c r="B11055" s="19"/>
      <c r="E11055" s="23"/>
      <c r="L11055" s="23"/>
    </row>
    <row r="11056">
      <c r="B11056" s="19"/>
      <c r="E11056" s="23"/>
      <c r="L11056" s="23"/>
    </row>
    <row r="11057">
      <c r="B11057" s="19"/>
      <c r="E11057" s="23"/>
      <c r="L11057" s="23"/>
    </row>
    <row r="11058">
      <c r="B11058" s="19"/>
      <c r="E11058" s="23"/>
      <c r="L11058" s="23"/>
    </row>
    <row r="11059">
      <c r="B11059" s="19"/>
      <c r="E11059" s="23"/>
      <c r="L11059" s="23"/>
    </row>
    <row r="11060">
      <c r="B11060" s="19"/>
      <c r="E11060" s="23"/>
      <c r="L11060" s="23"/>
    </row>
    <row r="11061">
      <c r="B11061" s="19"/>
      <c r="E11061" s="23"/>
      <c r="L11061" s="23"/>
    </row>
    <row r="11062">
      <c r="B11062" s="19"/>
      <c r="E11062" s="23"/>
      <c r="L11062" s="23"/>
    </row>
    <row r="11063">
      <c r="B11063" s="19"/>
      <c r="E11063" s="23"/>
      <c r="L11063" s="23"/>
    </row>
    <row r="11064">
      <c r="B11064" s="19"/>
      <c r="E11064" s="23"/>
      <c r="L11064" s="23"/>
    </row>
    <row r="11065">
      <c r="B11065" s="19"/>
      <c r="E11065" s="23"/>
      <c r="L11065" s="23"/>
    </row>
    <row r="11066">
      <c r="B11066" s="19"/>
      <c r="E11066" s="23"/>
      <c r="L11066" s="23"/>
    </row>
    <row r="11067">
      <c r="B11067" s="19"/>
      <c r="E11067" s="23"/>
      <c r="L11067" s="23"/>
    </row>
    <row r="11068">
      <c r="B11068" s="19"/>
      <c r="E11068" s="23"/>
      <c r="L11068" s="23"/>
    </row>
    <row r="11069">
      <c r="B11069" s="19"/>
      <c r="E11069" s="23"/>
      <c r="L11069" s="23"/>
    </row>
    <row r="11070">
      <c r="B11070" s="19"/>
      <c r="E11070" s="23"/>
      <c r="L11070" s="23"/>
    </row>
    <row r="11071">
      <c r="B11071" s="19"/>
      <c r="E11071" s="23"/>
      <c r="L11071" s="23"/>
    </row>
    <row r="11072">
      <c r="B11072" s="19"/>
      <c r="E11072" s="23"/>
      <c r="L11072" s="23"/>
    </row>
    <row r="11073">
      <c r="B11073" s="19"/>
      <c r="E11073" s="23"/>
      <c r="L11073" s="23"/>
    </row>
    <row r="11074">
      <c r="B11074" s="19"/>
      <c r="E11074" s="23"/>
      <c r="L11074" s="23"/>
    </row>
    <row r="11075">
      <c r="B11075" s="19"/>
      <c r="E11075" s="23"/>
      <c r="L11075" s="23"/>
    </row>
    <row r="11076">
      <c r="B11076" s="19"/>
      <c r="E11076" s="23"/>
      <c r="L11076" s="23"/>
    </row>
    <row r="11077">
      <c r="B11077" s="19"/>
      <c r="E11077" s="23"/>
      <c r="L11077" s="23"/>
    </row>
    <row r="11078">
      <c r="B11078" s="19"/>
      <c r="E11078" s="23"/>
      <c r="L11078" s="23"/>
    </row>
    <row r="11079">
      <c r="B11079" s="19"/>
      <c r="E11079" s="23"/>
      <c r="L11079" s="23"/>
    </row>
    <row r="11080">
      <c r="B11080" s="19"/>
      <c r="E11080" s="23"/>
      <c r="L11080" s="23"/>
    </row>
    <row r="11081">
      <c r="B11081" s="19"/>
      <c r="E11081" s="23"/>
      <c r="L11081" s="23"/>
    </row>
    <row r="11082">
      <c r="B11082" s="19"/>
      <c r="E11082" s="23"/>
      <c r="L11082" s="23"/>
    </row>
    <row r="11083">
      <c r="B11083" s="19"/>
      <c r="E11083" s="23"/>
      <c r="L11083" s="23"/>
    </row>
    <row r="11084">
      <c r="B11084" s="19"/>
      <c r="E11084" s="23"/>
      <c r="L11084" s="23"/>
    </row>
    <row r="11085">
      <c r="B11085" s="19"/>
      <c r="E11085" s="23"/>
      <c r="L11085" s="23"/>
    </row>
    <row r="11086">
      <c r="B11086" s="19"/>
      <c r="E11086" s="23"/>
      <c r="L11086" s="23"/>
    </row>
    <row r="11087">
      <c r="B11087" s="19"/>
      <c r="E11087" s="23"/>
      <c r="L11087" s="23"/>
    </row>
    <row r="11088">
      <c r="B11088" s="19"/>
      <c r="E11088" s="23"/>
      <c r="L11088" s="23"/>
    </row>
    <row r="11089">
      <c r="B11089" s="19"/>
      <c r="E11089" s="23"/>
      <c r="L11089" s="23"/>
    </row>
    <row r="11090">
      <c r="B11090" s="19"/>
      <c r="E11090" s="23"/>
      <c r="L11090" s="23"/>
    </row>
    <row r="11091">
      <c r="B11091" s="19"/>
      <c r="E11091" s="23"/>
      <c r="L11091" s="23"/>
    </row>
    <row r="11092">
      <c r="B11092" s="19"/>
      <c r="E11092" s="23"/>
      <c r="L11092" s="23"/>
    </row>
    <row r="11093">
      <c r="B11093" s="19"/>
      <c r="E11093" s="23"/>
      <c r="L11093" s="23"/>
    </row>
    <row r="11094">
      <c r="B11094" s="19"/>
      <c r="E11094" s="23"/>
      <c r="L11094" s="23"/>
    </row>
    <row r="11095">
      <c r="B11095" s="19"/>
      <c r="E11095" s="23"/>
      <c r="L11095" s="23"/>
    </row>
    <row r="11096">
      <c r="B11096" s="19"/>
      <c r="E11096" s="23"/>
      <c r="L11096" s="23"/>
    </row>
    <row r="11097">
      <c r="B11097" s="19"/>
      <c r="E11097" s="23"/>
      <c r="L11097" s="23"/>
    </row>
    <row r="11098">
      <c r="B11098" s="19"/>
      <c r="E11098" s="23"/>
      <c r="L11098" s="23"/>
    </row>
    <row r="11099">
      <c r="B11099" s="19"/>
      <c r="E11099" s="23"/>
      <c r="L11099" s="23"/>
    </row>
    <row r="11100">
      <c r="B11100" s="19"/>
      <c r="E11100" s="23"/>
      <c r="L11100" s="23"/>
    </row>
    <row r="11101">
      <c r="B11101" s="19"/>
      <c r="E11101" s="23"/>
      <c r="L11101" s="23"/>
    </row>
    <row r="11102">
      <c r="B11102" s="19"/>
      <c r="E11102" s="23"/>
      <c r="L11102" s="23"/>
    </row>
    <row r="11103">
      <c r="B11103" s="19"/>
      <c r="E11103" s="23"/>
      <c r="L11103" s="23"/>
    </row>
    <row r="11104">
      <c r="B11104" s="19"/>
      <c r="E11104" s="23"/>
      <c r="L11104" s="23"/>
    </row>
    <row r="11105">
      <c r="B11105" s="19"/>
      <c r="E11105" s="23"/>
      <c r="L11105" s="23"/>
    </row>
    <row r="11106">
      <c r="B11106" s="19"/>
      <c r="E11106" s="23"/>
      <c r="L11106" s="23"/>
    </row>
    <row r="11107">
      <c r="B11107" s="19"/>
      <c r="E11107" s="23"/>
      <c r="L11107" s="23"/>
    </row>
    <row r="11108">
      <c r="B11108" s="19"/>
      <c r="E11108" s="23"/>
      <c r="L11108" s="23"/>
    </row>
    <row r="11109">
      <c r="B11109" s="19"/>
      <c r="E11109" s="23"/>
      <c r="L11109" s="23"/>
    </row>
    <row r="11110">
      <c r="B11110" s="19"/>
      <c r="E11110" s="23"/>
      <c r="L11110" s="23"/>
    </row>
    <row r="11111">
      <c r="B11111" s="19"/>
      <c r="E11111" s="23"/>
      <c r="L11111" s="23"/>
    </row>
    <row r="11112">
      <c r="B11112" s="19"/>
      <c r="E11112" s="23"/>
      <c r="L11112" s="23"/>
    </row>
    <row r="11113">
      <c r="B11113" s="19"/>
      <c r="E11113" s="23"/>
      <c r="L11113" s="23"/>
    </row>
    <row r="11114">
      <c r="B11114" s="19"/>
      <c r="E11114" s="23"/>
      <c r="L11114" s="23"/>
    </row>
    <row r="11115">
      <c r="B11115" s="19"/>
      <c r="E11115" s="23"/>
      <c r="L11115" s="23"/>
    </row>
    <row r="11116">
      <c r="B11116" s="19"/>
      <c r="E11116" s="23"/>
      <c r="L11116" s="23"/>
    </row>
    <row r="11117">
      <c r="B11117" s="19"/>
      <c r="E11117" s="23"/>
      <c r="L11117" s="23"/>
    </row>
    <row r="11118">
      <c r="B11118" s="19"/>
      <c r="E11118" s="23"/>
      <c r="L11118" s="23"/>
    </row>
    <row r="11119">
      <c r="B11119" s="19"/>
      <c r="E11119" s="23"/>
      <c r="L11119" s="23"/>
    </row>
    <row r="11120">
      <c r="B11120" s="19"/>
      <c r="E11120" s="23"/>
      <c r="L11120" s="23"/>
    </row>
    <row r="11121">
      <c r="B11121" s="19"/>
      <c r="E11121" s="23"/>
      <c r="L11121" s="23"/>
    </row>
    <row r="11122">
      <c r="B11122" s="19"/>
      <c r="E11122" s="23"/>
      <c r="L11122" s="23"/>
    </row>
    <row r="11123">
      <c r="B11123" s="19"/>
      <c r="E11123" s="23"/>
      <c r="L11123" s="23"/>
    </row>
    <row r="11124">
      <c r="B11124" s="19"/>
      <c r="E11124" s="23"/>
      <c r="L11124" s="23"/>
    </row>
    <row r="11125">
      <c r="B11125" s="19"/>
      <c r="E11125" s="23"/>
      <c r="L11125" s="23"/>
    </row>
    <row r="11126">
      <c r="B11126" s="19"/>
      <c r="E11126" s="23"/>
      <c r="L11126" s="23"/>
    </row>
    <row r="11127">
      <c r="B11127" s="19"/>
      <c r="E11127" s="23"/>
      <c r="L11127" s="23"/>
    </row>
    <row r="11128">
      <c r="B11128" s="19"/>
      <c r="E11128" s="23"/>
      <c r="L11128" s="23"/>
    </row>
    <row r="11129">
      <c r="B11129" s="19"/>
      <c r="E11129" s="23"/>
      <c r="L11129" s="23"/>
    </row>
    <row r="11130">
      <c r="B11130" s="19"/>
      <c r="E11130" s="23"/>
      <c r="L11130" s="23"/>
    </row>
    <row r="11131">
      <c r="B11131" s="19"/>
      <c r="E11131" s="23"/>
      <c r="L11131" s="23"/>
    </row>
    <row r="11132">
      <c r="B11132" s="19"/>
      <c r="E11132" s="23"/>
      <c r="L11132" s="23"/>
    </row>
    <row r="11133">
      <c r="B11133" s="19"/>
      <c r="E11133" s="23"/>
      <c r="L11133" s="23"/>
    </row>
    <row r="11134">
      <c r="B11134" s="19"/>
      <c r="E11134" s="23"/>
      <c r="L11134" s="23"/>
    </row>
    <row r="11135">
      <c r="B11135" s="19"/>
      <c r="E11135" s="23"/>
      <c r="L11135" s="23"/>
    </row>
    <row r="11136">
      <c r="B11136" s="19"/>
      <c r="E11136" s="23"/>
      <c r="L11136" s="23"/>
    </row>
    <row r="11137">
      <c r="B11137" s="19"/>
      <c r="E11137" s="23"/>
      <c r="L11137" s="23"/>
    </row>
    <row r="11138">
      <c r="B11138" s="19"/>
      <c r="E11138" s="23"/>
      <c r="L11138" s="23"/>
    </row>
    <row r="11139">
      <c r="B11139" s="19"/>
      <c r="E11139" s="23"/>
      <c r="L11139" s="23"/>
    </row>
    <row r="11140">
      <c r="B11140" s="19"/>
      <c r="E11140" s="23"/>
      <c r="L11140" s="23"/>
    </row>
    <row r="11141">
      <c r="B11141" s="19"/>
      <c r="E11141" s="23"/>
      <c r="L11141" s="23"/>
    </row>
    <row r="11142">
      <c r="B11142" s="19"/>
      <c r="E11142" s="23"/>
      <c r="L11142" s="23"/>
    </row>
    <row r="11143">
      <c r="B11143" s="19"/>
      <c r="E11143" s="23"/>
      <c r="L11143" s="23"/>
    </row>
    <row r="11144">
      <c r="B11144" s="19"/>
      <c r="E11144" s="23"/>
      <c r="L11144" s="23"/>
    </row>
    <row r="11145">
      <c r="B11145" s="19"/>
      <c r="E11145" s="23"/>
      <c r="L11145" s="23"/>
    </row>
    <row r="11146">
      <c r="B11146" s="19"/>
      <c r="E11146" s="23"/>
      <c r="L11146" s="23"/>
    </row>
    <row r="11147">
      <c r="B11147" s="19"/>
      <c r="E11147" s="23"/>
      <c r="L11147" s="23"/>
    </row>
    <row r="11148">
      <c r="B11148" s="19"/>
      <c r="E11148" s="23"/>
      <c r="L11148" s="23"/>
    </row>
    <row r="11149">
      <c r="B11149" s="19"/>
      <c r="E11149" s="23"/>
      <c r="L11149" s="23"/>
    </row>
    <row r="11150">
      <c r="B11150" s="19"/>
      <c r="E11150" s="23"/>
      <c r="L11150" s="23"/>
    </row>
    <row r="11151">
      <c r="B11151" s="19"/>
      <c r="E11151" s="23"/>
      <c r="L11151" s="23"/>
    </row>
    <row r="11152">
      <c r="B11152" s="19"/>
      <c r="E11152" s="23"/>
      <c r="L11152" s="23"/>
    </row>
    <row r="11153">
      <c r="B11153" s="19"/>
      <c r="E11153" s="23"/>
      <c r="L11153" s="23"/>
    </row>
    <row r="11154">
      <c r="B11154" s="19"/>
      <c r="E11154" s="23"/>
      <c r="L11154" s="23"/>
    </row>
    <row r="11155">
      <c r="B11155" s="19"/>
      <c r="E11155" s="23"/>
      <c r="L11155" s="23"/>
    </row>
    <row r="11156">
      <c r="B11156" s="19"/>
      <c r="E11156" s="23"/>
      <c r="L11156" s="23"/>
    </row>
    <row r="11157">
      <c r="B11157" s="19"/>
      <c r="E11157" s="23"/>
      <c r="L11157" s="23"/>
    </row>
    <row r="11158">
      <c r="B11158" s="19"/>
      <c r="E11158" s="23"/>
      <c r="L11158" s="23"/>
    </row>
    <row r="11159">
      <c r="B11159" s="19"/>
      <c r="E11159" s="23"/>
      <c r="L11159" s="23"/>
    </row>
    <row r="11160">
      <c r="B11160" s="19"/>
      <c r="E11160" s="23"/>
      <c r="L11160" s="23"/>
    </row>
    <row r="11161">
      <c r="B11161" s="19"/>
      <c r="E11161" s="23"/>
      <c r="L11161" s="23"/>
    </row>
    <row r="11162">
      <c r="B11162" s="19"/>
      <c r="E11162" s="23"/>
      <c r="L11162" s="23"/>
    </row>
    <row r="11163">
      <c r="B11163" s="19"/>
      <c r="E11163" s="23"/>
      <c r="L11163" s="23"/>
    </row>
    <row r="11164">
      <c r="B11164" s="19"/>
      <c r="E11164" s="23"/>
      <c r="L11164" s="23"/>
    </row>
    <row r="11165">
      <c r="B11165" s="19"/>
      <c r="E11165" s="23"/>
      <c r="L11165" s="23"/>
    </row>
    <row r="11166">
      <c r="B11166" s="19"/>
      <c r="E11166" s="23"/>
      <c r="L11166" s="23"/>
    </row>
    <row r="11167">
      <c r="B11167" s="19"/>
      <c r="E11167" s="23"/>
      <c r="L11167" s="23"/>
    </row>
    <row r="11168">
      <c r="B11168" s="19"/>
      <c r="E11168" s="23"/>
      <c r="L11168" s="23"/>
    </row>
    <row r="11169">
      <c r="B11169" s="19"/>
      <c r="E11169" s="23"/>
      <c r="L11169" s="23"/>
    </row>
    <row r="11170">
      <c r="B11170" s="19"/>
      <c r="E11170" s="23"/>
      <c r="L11170" s="23"/>
    </row>
    <row r="11171">
      <c r="B11171" s="19"/>
      <c r="E11171" s="23"/>
      <c r="L11171" s="23"/>
    </row>
    <row r="11172">
      <c r="B11172" s="19"/>
      <c r="E11172" s="23"/>
      <c r="L11172" s="23"/>
    </row>
    <row r="11173">
      <c r="B11173" s="19"/>
      <c r="E11173" s="23"/>
      <c r="L11173" s="23"/>
    </row>
    <row r="11174">
      <c r="B11174" s="19"/>
      <c r="E11174" s="23"/>
      <c r="L11174" s="23"/>
    </row>
    <row r="11175">
      <c r="B11175" s="19"/>
      <c r="E11175" s="23"/>
      <c r="L11175" s="23"/>
    </row>
    <row r="11176">
      <c r="B11176" s="19"/>
      <c r="E11176" s="23"/>
      <c r="L11176" s="23"/>
    </row>
    <row r="11177">
      <c r="B11177" s="19"/>
      <c r="E11177" s="23"/>
      <c r="L11177" s="23"/>
    </row>
    <row r="11178">
      <c r="B11178" s="19"/>
      <c r="E11178" s="23"/>
      <c r="L11178" s="23"/>
    </row>
    <row r="11179">
      <c r="B11179" s="19"/>
      <c r="E11179" s="23"/>
      <c r="L11179" s="23"/>
    </row>
    <row r="11180">
      <c r="B11180" s="19"/>
      <c r="E11180" s="23"/>
      <c r="L11180" s="23"/>
    </row>
    <row r="11181">
      <c r="B11181" s="19"/>
      <c r="E11181" s="23"/>
      <c r="L11181" s="23"/>
    </row>
    <row r="11182">
      <c r="B11182" s="19"/>
      <c r="E11182" s="23"/>
      <c r="L11182" s="23"/>
    </row>
    <row r="11183">
      <c r="B11183" s="19"/>
      <c r="E11183" s="23"/>
      <c r="L11183" s="23"/>
    </row>
    <row r="11184">
      <c r="B11184" s="19"/>
      <c r="E11184" s="23"/>
      <c r="L11184" s="23"/>
    </row>
    <row r="11185">
      <c r="B11185" s="19"/>
      <c r="E11185" s="23"/>
      <c r="L11185" s="23"/>
    </row>
    <row r="11186">
      <c r="B11186" s="19"/>
      <c r="E11186" s="23"/>
      <c r="L11186" s="23"/>
    </row>
    <row r="11187">
      <c r="B11187" s="19"/>
      <c r="E11187" s="23"/>
      <c r="L11187" s="23"/>
    </row>
    <row r="11188">
      <c r="B11188" s="19"/>
      <c r="E11188" s="23"/>
      <c r="L11188" s="23"/>
    </row>
    <row r="11189">
      <c r="B11189" s="19"/>
      <c r="E11189" s="23"/>
      <c r="L11189" s="23"/>
    </row>
    <row r="11190">
      <c r="B11190" s="19"/>
      <c r="E11190" s="23"/>
      <c r="L11190" s="23"/>
    </row>
    <row r="11191">
      <c r="B11191" s="19"/>
      <c r="E11191" s="23"/>
      <c r="L11191" s="23"/>
    </row>
    <row r="11192">
      <c r="B11192" s="19"/>
      <c r="E11192" s="23"/>
      <c r="L11192" s="23"/>
    </row>
    <row r="11193">
      <c r="B11193" s="19"/>
      <c r="E11193" s="23"/>
      <c r="L11193" s="23"/>
    </row>
    <row r="11194">
      <c r="B11194" s="19"/>
      <c r="E11194" s="23"/>
      <c r="L11194" s="23"/>
    </row>
    <row r="11195">
      <c r="B11195" s="19"/>
      <c r="E11195" s="23"/>
      <c r="L11195" s="23"/>
    </row>
    <row r="11196">
      <c r="B11196" s="19"/>
      <c r="E11196" s="23"/>
      <c r="L11196" s="23"/>
    </row>
    <row r="11197">
      <c r="B11197" s="19"/>
      <c r="E11197" s="23"/>
      <c r="L11197" s="23"/>
    </row>
    <row r="11198">
      <c r="B11198" s="19"/>
      <c r="E11198" s="23"/>
      <c r="L11198" s="23"/>
    </row>
    <row r="11199">
      <c r="B11199" s="19"/>
      <c r="E11199" s="23"/>
      <c r="L11199" s="23"/>
    </row>
    <row r="11200">
      <c r="B11200" s="19"/>
      <c r="E11200" s="23"/>
      <c r="L11200" s="23"/>
    </row>
    <row r="11201">
      <c r="B11201" s="19"/>
      <c r="E11201" s="23"/>
      <c r="L11201" s="23"/>
    </row>
    <row r="11202">
      <c r="B11202" s="19"/>
      <c r="E11202" s="23"/>
      <c r="L11202" s="23"/>
    </row>
    <row r="11203">
      <c r="B11203" s="19"/>
      <c r="E11203" s="23"/>
      <c r="L11203" s="23"/>
    </row>
    <row r="11204">
      <c r="B11204" s="19"/>
      <c r="E11204" s="23"/>
      <c r="L11204" s="23"/>
    </row>
    <row r="11205">
      <c r="B11205" s="19"/>
      <c r="E11205" s="23"/>
      <c r="L11205" s="23"/>
    </row>
    <row r="11206">
      <c r="B11206" s="19"/>
      <c r="E11206" s="23"/>
      <c r="L11206" s="23"/>
    </row>
    <row r="11207">
      <c r="B11207" s="19"/>
      <c r="E11207" s="23"/>
      <c r="L11207" s="23"/>
    </row>
    <row r="11208">
      <c r="B11208" s="19"/>
      <c r="E11208" s="23"/>
      <c r="L11208" s="23"/>
    </row>
    <row r="11209">
      <c r="B11209" s="19"/>
      <c r="E11209" s="23"/>
      <c r="L11209" s="23"/>
    </row>
    <row r="11210">
      <c r="B11210" s="19"/>
      <c r="E11210" s="23"/>
      <c r="L11210" s="23"/>
    </row>
    <row r="11211">
      <c r="B11211" s="19"/>
      <c r="E11211" s="23"/>
      <c r="L11211" s="23"/>
    </row>
    <row r="11212">
      <c r="B11212" s="19"/>
      <c r="E11212" s="23"/>
      <c r="L11212" s="23"/>
    </row>
    <row r="11213">
      <c r="B11213" s="19"/>
      <c r="E11213" s="23"/>
      <c r="L11213" s="23"/>
    </row>
    <row r="11214">
      <c r="B11214" s="19"/>
      <c r="E11214" s="23"/>
      <c r="L11214" s="23"/>
    </row>
    <row r="11215">
      <c r="B11215" s="19"/>
      <c r="E11215" s="23"/>
      <c r="L11215" s="23"/>
    </row>
    <row r="11216">
      <c r="B11216" s="19"/>
      <c r="E11216" s="23"/>
      <c r="L11216" s="23"/>
    </row>
    <row r="11217">
      <c r="B11217" s="19"/>
      <c r="E11217" s="23"/>
      <c r="L11217" s="23"/>
    </row>
    <row r="11218">
      <c r="B11218" s="19"/>
      <c r="E11218" s="23"/>
      <c r="L11218" s="23"/>
    </row>
    <row r="11219">
      <c r="B11219" s="19"/>
      <c r="E11219" s="23"/>
      <c r="L11219" s="23"/>
    </row>
    <row r="11220">
      <c r="B11220" s="19"/>
      <c r="E11220" s="23"/>
      <c r="L11220" s="23"/>
    </row>
    <row r="11221">
      <c r="B11221" s="19"/>
      <c r="E11221" s="23"/>
      <c r="L11221" s="23"/>
    </row>
    <row r="11222">
      <c r="B11222" s="19"/>
      <c r="E11222" s="23"/>
      <c r="L11222" s="23"/>
    </row>
    <row r="11223">
      <c r="B11223" s="19"/>
      <c r="E11223" s="23"/>
      <c r="L11223" s="23"/>
    </row>
    <row r="11224">
      <c r="B11224" s="19"/>
      <c r="E11224" s="23"/>
      <c r="L11224" s="23"/>
    </row>
    <row r="11225">
      <c r="B11225" s="19"/>
      <c r="E11225" s="23"/>
      <c r="L11225" s="23"/>
    </row>
    <row r="11226">
      <c r="B11226" s="19"/>
      <c r="E11226" s="23"/>
      <c r="L11226" s="23"/>
    </row>
    <row r="11227">
      <c r="B11227" s="19"/>
      <c r="E11227" s="23"/>
      <c r="L11227" s="23"/>
    </row>
    <row r="11228">
      <c r="B11228" s="19"/>
      <c r="E11228" s="23"/>
      <c r="L11228" s="23"/>
    </row>
    <row r="11229">
      <c r="B11229" s="19"/>
      <c r="E11229" s="23"/>
      <c r="L11229" s="23"/>
    </row>
    <row r="11230">
      <c r="B11230" s="19"/>
      <c r="E11230" s="23"/>
      <c r="L11230" s="23"/>
    </row>
    <row r="11231">
      <c r="B11231" s="19"/>
      <c r="E11231" s="23"/>
      <c r="L11231" s="23"/>
    </row>
    <row r="11232">
      <c r="B11232" s="19"/>
      <c r="E11232" s="23"/>
      <c r="L11232" s="23"/>
    </row>
    <row r="11233">
      <c r="B11233" s="19"/>
      <c r="E11233" s="23"/>
      <c r="L11233" s="23"/>
    </row>
    <row r="11234">
      <c r="B11234" s="19"/>
      <c r="E11234" s="23"/>
      <c r="L11234" s="23"/>
    </row>
    <row r="11235">
      <c r="B11235" s="19"/>
      <c r="E11235" s="23"/>
      <c r="L11235" s="23"/>
    </row>
    <row r="11236">
      <c r="B11236" s="19"/>
      <c r="E11236" s="23"/>
      <c r="L11236" s="23"/>
    </row>
    <row r="11237">
      <c r="B11237" s="19"/>
      <c r="E11237" s="23"/>
      <c r="L11237" s="23"/>
    </row>
    <row r="11238">
      <c r="B11238" s="19"/>
      <c r="E11238" s="23"/>
      <c r="L11238" s="23"/>
    </row>
    <row r="11239">
      <c r="B11239" s="19"/>
      <c r="E11239" s="23"/>
      <c r="L11239" s="23"/>
    </row>
    <row r="11240">
      <c r="B11240" s="19"/>
      <c r="E11240" s="23"/>
      <c r="L11240" s="23"/>
    </row>
    <row r="11241">
      <c r="B11241" s="19"/>
      <c r="E11241" s="23"/>
      <c r="L11241" s="23"/>
    </row>
    <row r="11242">
      <c r="B11242" s="19"/>
      <c r="E11242" s="23"/>
      <c r="L11242" s="23"/>
    </row>
    <row r="11243">
      <c r="B11243" s="19"/>
      <c r="E11243" s="23"/>
      <c r="L11243" s="23"/>
    </row>
    <row r="11244">
      <c r="B11244" s="19"/>
      <c r="E11244" s="23"/>
      <c r="L11244" s="23"/>
    </row>
    <row r="11245">
      <c r="B11245" s="19"/>
      <c r="E11245" s="23"/>
      <c r="L11245" s="23"/>
    </row>
    <row r="11246">
      <c r="B11246" s="19"/>
      <c r="E11246" s="23"/>
      <c r="L11246" s="23"/>
    </row>
    <row r="11247">
      <c r="B11247" s="19"/>
      <c r="E11247" s="23"/>
      <c r="L11247" s="23"/>
    </row>
    <row r="11248">
      <c r="B11248" s="19"/>
      <c r="E11248" s="23"/>
      <c r="L11248" s="23"/>
    </row>
    <row r="11249">
      <c r="B11249" s="19"/>
      <c r="E11249" s="23"/>
      <c r="L11249" s="23"/>
    </row>
    <row r="11250">
      <c r="B11250" s="19"/>
      <c r="E11250" s="23"/>
      <c r="L11250" s="23"/>
    </row>
    <row r="11251">
      <c r="B11251" s="19"/>
      <c r="E11251" s="23"/>
      <c r="L11251" s="23"/>
    </row>
    <row r="11252">
      <c r="B11252" s="19"/>
      <c r="E11252" s="23"/>
      <c r="L11252" s="23"/>
    </row>
    <row r="11253">
      <c r="B11253" s="19"/>
      <c r="E11253" s="23"/>
      <c r="L11253" s="23"/>
    </row>
    <row r="11254">
      <c r="B11254" s="19"/>
      <c r="E11254" s="23"/>
      <c r="L11254" s="23"/>
    </row>
    <row r="11255">
      <c r="B11255" s="19"/>
      <c r="E11255" s="23"/>
      <c r="L11255" s="23"/>
    </row>
    <row r="11256">
      <c r="B11256" s="19"/>
      <c r="E11256" s="23"/>
      <c r="L11256" s="23"/>
    </row>
    <row r="11257">
      <c r="B11257" s="19"/>
      <c r="E11257" s="23"/>
      <c r="L11257" s="23"/>
    </row>
    <row r="11258">
      <c r="B11258" s="19"/>
      <c r="E11258" s="23"/>
      <c r="L11258" s="23"/>
    </row>
    <row r="11259">
      <c r="B11259" s="19"/>
      <c r="E11259" s="23"/>
      <c r="L11259" s="23"/>
    </row>
    <row r="11260">
      <c r="B11260" s="19"/>
      <c r="E11260" s="23"/>
      <c r="L11260" s="23"/>
    </row>
    <row r="11261">
      <c r="B11261" s="19"/>
      <c r="E11261" s="23"/>
      <c r="L11261" s="23"/>
    </row>
    <row r="11262">
      <c r="B11262" s="19"/>
      <c r="E11262" s="23"/>
      <c r="L11262" s="23"/>
    </row>
    <row r="11263">
      <c r="B11263" s="19"/>
      <c r="E11263" s="23"/>
      <c r="L11263" s="23"/>
    </row>
    <row r="11264">
      <c r="B11264" s="19"/>
      <c r="E11264" s="23"/>
      <c r="L11264" s="23"/>
    </row>
    <row r="11265">
      <c r="B11265" s="19"/>
      <c r="E11265" s="23"/>
      <c r="L11265" s="23"/>
    </row>
    <row r="11266">
      <c r="B11266" s="19"/>
      <c r="E11266" s="23"/>
      <c r="L11266" s="23"/>
    </row>
    <row r="11267">
      <c r="B11267" s="19"/>
      <c r="E11267" s="23"/>
      <c r="L11267" s="23"/>
    </row>
    <row r="11268">
      <c r="B11268" s="19"/>
      <c r="E11268" s="23"/>
      <c r="L11268" s="23"/>
    </row>
    <row r="11269">
      <c r="B11269" s="19"/>
      <c r="E11269" s="23"/>
      <c r="L11269" s="23"/>
    </row>
    <row r="11270">
      <c r="B11270" s="19"/>
      <c r="E11270" s="23"/>
      <c r="L11270" s="23"/>
    </row>
    <row r="11271">
      <c r="B11271" s="19"/>
      <c r="E11271" s="23"/>
      <c r="L11271" s="23"/>
    </row>
    <row r="11272">
      <c r="B11272" s="19"/>
      <c r="E11272" s="23"/>
      <c r="L11272" s="23"/>
    </row>
    <row r="11273">
      <c r="B11273" s="19"/>
      <c r="E11273" s="23"/>
      <c r="L11273" s="23"/>
    </row>
    <row r="11274">
      <c r="B11274" s="19"/>
      <c r="E11274" s="23"/>
      <c r="L11274" s="23"/>
    </row>
    <row r="11275">
      <c r="B11275" s="19"/>
      <c r="E11275" s="23"/>
      <c r="L11275" s="23"/>
    </row>
    <row r="11276">
      <c r="B11276" s="19"/>
      <c r="E11276" s="23"/>
      <c r="L11276" s="23"/>
    </row>
    <row r="11277">
      <c r="B11277" s="19"/>
      <c r="E11277" s="23"/>
      <c r="L11277" s="23"/>
    </row>
    <row r="11278">
      <c r="B11278" s="19"/>
      <c r="E11278" s="23"/>
      <c r="L11278" s="23"/>
    </row>
    <row r="11279">
      <c r="B11279" s="19"/>
      <c r="E11279" s="23"/>
      <c r="L11279" s="23"/>
    </row>
    <row r="11280">
      <c r="B11280" s="19"/>
      <c r="E11280" s="23"/>
      <c r="L11280" s="23"/>
    </row>
    <row r="11281">
      <c r="B11281" s="19"/>
      <c r="E11281" s="23"/>
      <c r="L11281" s="23"/>
    </row>
    <row r="11282">
      <c r="B11282" s="19"/>
      <c r="E11282" s="23"/>
      <c r="L11282" s="23"/>
    </row>
    <row r="11283">
      <c r="B11283" s="19"/>
      <c r="E11283" s="23"/>
      <c r="L11283" s="23"/>
    </row>
    <row r="11284">
      <c r="B11284" s="19"/>
      <c r="E11284" s="23"/>
      <c r="L11284" s="23"/>
    </row>
    <row r="11285">
      <c r="B11285" s="19"/>
      <c r="E11285" s="23"/>
      <c r="L11285" s="23"/>
    </row>
    <row r="11286">
      <c r="B11286" s="19"/>
      <c r="E11286" s="23"/>
      <c r="L11286" s="23"/>
    </row>
    <row r="11287">
      <c r="B11287" s="19"/>
      <c r="E11287" s="23"/>
      <c r="L11287" s="23"/>
    </row>
    <row r="11288">
      <c r="B11288" s="19"/>
      <c r="E11288" s="23"/>
      <c r="L11288" s="23"/>
    </row>
    <row r="11289">
      <c r="B11289" s="19"/>
      <c r="E11289" s="23"/>
      <c r="L11289" s="23"/>
    </row>
    <row r="11290">
      <c r="B11290" s="19"/>
      <c r="E11290" s="23"/>
      <c r="L11290" s="23"/>
    </row>
    <row r="11291">
      <c r="B11291" s="19"/>
      <c r="E11291" s="23"/>
      <c r="L11291" s="23"/>
    </row>
    <row r="11292">
      <c r="B11292" s="19"/>
      <c r="E11292" s="23"/>
      <c r="L11292" s="23"/>
    </row>
    <row r="11293">
      <c r="B11293" s="19"/>
      <c r="E11293" s="23"/>
      <c r="L11293" s="23"/>
    </row>
    <row r="11294">
      <c r="B11294" s="19"/>
      <c r="E11294" s="23"/>
      <c r="L11294" s="23"/>
    </row>
    <row r="11295">
      <c r="B11295" s="19"/>
      <c r="E11295" s="23"/>
      <c r="L11295" s="23"/>
    </row>
    <row r="11296">
      <c r="B11296" s="19"/>
      <c r="E11296" s="23"/>
      <c r="L11296" s="23"/>
    </row>
    <row r="11297">
      <c r="B11297" s="19"/>
      <c r="E11297" s="23"/>
      <c r="L11297" s="23"/>
    </row>
    <row r="11298">
      <c r="B11298" s="19"/>
      <c r="E11298" s="23"/>
      <c r="L11298" s="23"/>
    </row>
    <row r="11299">
      <c r="B11299" s="19"/>
      <c r="E11299" s="23"/>
      <c r="L11299" s="23"/>
    </row>
    <row r="11300">
      <c r="B11300" s="19"/>
      <c r="E11300" s="23"/>
      <c r="L11300" s="23"/>
    </row>
    <row r="11301">
      <c r="B11301" s="19"/>
      <c r="E11301" s="23"/>
      <c r="L11301" s="23"/>
    </row>
    <row r="11302">
      <c r="B11302" s="19"/>
      <c r="E11302" s="23"/>
      <c r="L11302" s="23"/>
    </row>
    <row r="11303">
      <c r="B11303" s="19"/>
      <c r="E11303" s="23"/>
      <c r="L11303" s="23"/>
    </row>
    <row r="11304">
      <c r="B11304" s="19"/>
      <c r="E11304" s="23"/>
      <c r="L11304" s="23"/>
    </row>
    <row r="11305">
      <c r="B11305" s="19"/>
      <c r="E11305" s="23"/>
      <c r="L11305" s="23"/>
    </row>
    <row r="11306">
      <c r="B11306" s="19"/>
      <c r="E11306" s="23"/>
      <c r="L11306" s="23"/>
    </row>
    <row r="11307">
      <c r="B11307" s="19"/>
      <c r="E11307" s="23"/>
      <c r="L11307" s="23"/>
    </row>
    <row r="11308">
      <c r="B11308" s="19"/>
      <c r="E11308" s="23"/>
      <c r="L11308" s="23"/>
    </row>
    <row r="11309">
      <c r="B11309" s="19"/>
      <c r="E11309" s="23"/>
      <c r="L11309" s="23"/>
    </row>
    <row r="11310">
      <c r="B11310" s="19"/>
      <c r="E11310" s="23"/>
      <c r="L11310" s="23"/>
    </row>
    <row r="11311">
      <c r="B11311" s="19"/>
      <c r="E11311" s="23"/>
      <c r="L11311" s="23"/>
    </row>
    <row r="11312">
      <c r="B11312" s="19"/>
      <c r="E11312" s="23"/>
      <c r="L11312" s="23"/>
    </row>
    <row r="11313">
      <c r="B11313" s="19"/>
      <c r="E11313" s="23"/>
      <c r="L11313" s="23"/>
    </row>
    <row r="11314">
      <c r="B11314" s="19"/>
      <c r="E11314" s="23"/>
      <c r="L11314" s="23"/>
    </row>
    <row r="11315">
      <c r="B11315" s="19"/>
      <c r="E11315" s="23"/>
      <c r="L11315" s="23"/>
    </row>
    <row r="11316">
      <c r="B11316" s="19"/>
      <c r="E11316" s="23"/>
      <c r="L11316" s="23"/>
    </row>
    <row r="11317">
      <c r="B11317" s="19"/>
      <c r="E11317" s="23"/>
      <c r="L11317" s="23"/>
    </row>
    <row r="11318">
      <c r="B11318" s="19"/>
      <c r="E11318" s="23"/>
      <c r="L11318" s="23"/>
    </row>
    <row r="11319">
      <c r="B11319" s="19"/>
      <c r="E11319" s="23"/>
      <c r="L11319" s="23"/>
    </row>
    <row r="11320">
      <c r="B11320" s="19"/>
      <c r="E11320" s="23"/>
      <c r="L11320" s="23"/>
    </row>
    <row r="11321">
      <c r="B11321" s="19"/>
      <c r="E11321" s="23"/>
      <c r="L11321" s="23"/>
    </row>
    <row r="11322">
      <c r="B11322" s="19"/>
      <c r="E11322" s="23"/>
      <c r="L11322" s="23"/>
    </row>
    <row r="11323">
      <c r="B11323" s="19"/>
      <c r="E11323" s="23"/>
      <c r="L11323" s="23"/>
    </row>
    <row r="11324">
      <c r="B11324" s="19"/>
      <c r="E11324" s="23"/>
      <c r="L11324" s="23"/>
    </row>
    <row r="11325">
      <c r="B11325" s="19"/>
      <c r="E11325" s="23"/>
      <c r="L11325" s="23"/>
    </row>
    <row r="11326">
      <c r="B11326" s="19"/>
      <c r="E11326" s="23"/>
      <c r="L11326" s="23"/>
    </row>
    <row r="11327">
      <c r="B11327" s="19"/>
      <c r="E11327" s="23"/>
      <c r="L11327" s="23"/>
    </row>
    <row r="11328">
      <c r="B11328" s="19"/>
      <c r="E11328" s="23"/>
      <c r="L11328" s="23"/>
    </row>
    <row r="11329">
      <c r="B11329" s="19"/>
      <c r="E11329" s="23"/>
      <c r="L11329" s="23"/>
    </row>
    <row r="11330">
      <c r="B11330" s="19"/>
      <c r="E11330" s="23"/>
      <c r="L11330" s="23"/>
    </row>
    <row r="11331">
      <c r="B11331" s="19"/>
      <c r="E11331" s="23"/>
      <c r="L11331" s="23"/>
    </row>
    <row r="11332">
      <c r="B11332" s="19"/>
      <c r="E11332" s="23"/>
      <c r="L11332" s="23"/>
    </row>
    <row r="11333">
      <c r="B11333" s="19"/>
      <c r="E11333" s="23"/>
      <c r="L11333" s="23"/>
    </row>
    <row r="11334">
      <c r="B11334" s="19"/>
      <c r="E11334" s="23"/>
      <c r="L11334" s="23"/>
    </row>
    <row r="11335">
      <c r="B11335" s="19"/>
      <c r="E11335" s="23"/>
      <c r="L11335" s="23"/>
    </row>
    <row r="11336">
      <c r="B11336" s="19"/>
      <c r="E11336" s="23"/>
      <c r="L11336" s="23"/>
    </row>
    <row r="11337">
      <c r="B11337" s="19"/>
      <c r="E11337" s="23"/>
      <c r="L11337" s="23"/>
    </row>
    <row r="11338">
      <c r="B11338" s="19"/>
      <c r="E11338" s="23"/>
      <c r="L11338" s="23"/>
    </row>
    <row r="11339">
      <c r="B11339" s="19"/>
      <c r="E11339" s="23"/>
      <c r="L11339" s="23"/>
    </row>
    <row r="11340">
      <c r="B11340" s="19"/>
      <c r="E11340" s="23"/>
      <c r="L11340" s="23"/>
    </row>
    <row r="11341">
      <c r="B11341" s="19"/>
      <c r="E11341" s="23"/>
      <c r="L11341" s="23"/>
    </row>
    <row r="11342">
      <c r="B11342" s="19"/>
      <c r="E11342" s="23"/>
      <c r="L11342" s="23"/>
    </row>
    <row r="11343">
      <c r="B11343" s="19"/>
      <c r="E11343" s="23"/>
      <c r="L11343" s="23"/>
    </row>
    <row r="11344">
      <c r="B11344" s="19"/>
      <c r="E11344" s="23"/>
      <c r="L11344" s="23"/>
    </row>
    <row r="11345">
      <c r="B11345" s="19"/>
      <c r="E11345" s="23"/>
      <c r="L11345" s="23"/>
    </row>
    <row r="11346">
      <c r="B11346" s="19"/>
      <c r="E11346" s="23"/>
      <c r="L11346" s="23"/>
    </row>
    <row r="11347">
      <c r="B11347" s="19"/>
      <c r="E11347" s="23"/>
      <c r="L11347" s="23"/>
    </row>
    <row r="11348">
      <c r="B11348" s="19"/>
      <c r="E11348" s="23"/>
      <c r="L11348" s="23"/>
    </row>
    <row r="11349">
      <c r="B11349" s="19"/>
      <c r="E11349" s="23"/>
      <c r="L11349" s="23"/>
    </row>
    <row r="11350">
      <c r="B11350" s="19"/>
      <c r="E11350" s="23"/>
      <c r="L11350" s="23"/>
    </row>
    <row r="11351">
      <c r="B11351" s="19"/>
      <c r="E11351" s="23"/>
      <c r="L11351" s="23"/>
    </row>
    <row r="11352">
      <c r="B11352" s="19"/>
      <c r="E11352" s="23"/>
      <c r="L11352" s="23"/>
    </row>
    <row r="11353">
      <c r="B11353" s="19"/>
      <c r="E11353" s="23"/>
      <c r="L11353" s="23"/>
    </row>
    <row r="11354">
      <c r="B11354" s="19"/>
      <c r="E11354" s="23"/>
      <c r="L11354" s="23"/>
    </row>
    <row r="11355">
      <c r="B11355" s="19"/>
      <c r="E11355" s="23"/>
      <c r="L11355" s="23"/>
    </row>
    <row r="11356">
      <c r="B11356" s="19"/>
      <c r="E11356" s="23"/>
      <c r="L11356" s="23"/>
    </row>
    <row r="11357">
      <c r="B11357" s="19"/>
      <c r="E11357" s="23"/>
      <c r="L11357" s="23"/>
    </row>
    <row r="11358">
      <c r="B11358" s="19"/>
      <c r="E11358" s="23"/>
      <c r="L11358" s="23"/>
    </row>
    <row r="11359">
      <c r="B11359" s="19"/>
      <c r="E11359" s="23"/>
      <c r="L11359" s="23"/>
    </row>
    <row r="11360">
      <c r="B11360" s="19"/>
      <c r="E11360" s="23"/>
      <c r="L11360" s="23"/>
    </row>
    <row r="11361">
      <c r="B11361" s="19"/>
      <c r="E11361" s="23"/>
      <c r="L11361" s="23"/>
    </row>
    <row r="11362">
      <c r="B11362" s="19"/>
      <c r="E11362" s="23"/>
      <c r="L11362" s="23"/>
    </row>
    <row r="11363">
      <c r="B11363" s="19"/>
      <c r="E11363" s="23"/>
      <c r="L11363" s="23"/>
    </row>
    <row r="11364">
      <c r="B11364" s="19"/>
      <c r="E11364" s="23"/>
      <c r="L11364" s="23"/>
    </row>
    <row r="11365">
      <c r="B11365" s="19"/>
      <c r="E11365" s="23"/>
      <c r="L11365" s="23"/>
    </row>
    <row r="11366">
      <c r="B11366" s="19"/>
      <c r="E11366" s="23"/>
      <c r="L11366" s="23"/>
    </row>
    <row r="11367">
      <c r="B11367" s="19"/>
      <c r="E11367" s="23"/>
      <c r="L11367" s="23"/>
    </row>
    <row r="11368">
      <c r="B11368" s="19"/>
      <c r="E11368" s="23"/>
      <c r="L11368" s="23"/>
    </row>
    <row r="11369">
      <c r="B11369" s="19"/>
      <c r="E11369" s="23"/>
      <c r="L11369" s="23"/>
    </row>
    <row r="11370">
      <c r="B11370" s="19"/>
      <c r="E11370" s="23"/>
      <c r="L11370" s="23"/>
    </row>
    <row r="11371">
      <c r="B11371" s="19"/>
      <c r="E11371" s="23"/>
      <c r="L11371" s="23"/>
    </row>
    <row r="11372">
      <c r="B11372" s="19"/>
      <c r="E11372" s="23"/>
      <c r="L11372" s="23"/>
    </row>
    <row r="11373">
      <c r="B11373" s="19"/>
      <c r="E11373" s="23"/>
      <c r="L11373" s="23"/>
    </row>
    <row r="11374">
      <c r="B11374" s="19"/>
      <c r="E11374" s="23"/>
      <c r="L11374" s="23"/>
    </row>
    <row r="11375">
      <c r="B11375" s="19"/>
      <c r="E11375" s="23"/>
      <c r="L11375" s="23"/>
    </row>
    <row r="11376">
      <c r="B11376" s="19"/>
      <c r="E11376" s="23"/>
      <c r="L11376" s="23"/>
    </row>
    <row r="11377">
      <c r="B11377" s="19"/>
      <c r="E11377" s="23"/>
      <c r="L11377" s="23"/>
    </row>
    <row r="11378">
      <c r="B11378" s="19"/>
      <c r="E11378" s="23"/>
      <c r="L11378" s="23"/>
    </row>
    <row r="11379">
      <c r="B11379" s="19"/>
      <c r="E11379" s="23"/>
      <c r="L11379" s="23"/>
    </row>
    <row r="11380">
      <c r="B11380" s="19"/>
      <c r="E11380" s="23"/>
      <c r="L11380" s="23"/>
    </row>
    <row r="11381">
      <c r="B11381" s="19"/>
      <c r="E11381" s="23"/>
      <c r="L11381" s="23"/>
    </row>
    <row r="11382">
      <c r="B11382" s="19"/>
      <c r="E11382" s="23"/>
      <c r="L11382" s="23"/>
    </row>
    <row r="11383">
      <c r="B11383" s="19"/>
      <c r="E11383" s="23"/>
      <c r="L11383" s="23"/>
    </row>
    <row r="11384">
      <c r="B11384" s="19"/>
      <c r="E11384" s="23"/>
      <c r="L11384" s="23"/>
    </row>
    <row r="11385">
      <c r="B11385" s="19"/>
      <c r="E11385" s="23"/>
      <c r="L11385" s="23"/>
    </row>
    <row r="11386">
      <c r="B11386" s="19"/>
      <c r="E11386" s="23"/>
      <c r="L11386" s="23"/>
    </row>
    <row r="11387">
      <c r="B11387" s="19"/>
      <c r="E11387" s="23"/>
      <c r="L11387" s="23"/>
    </row>
    <row r="11388">
      <c r="B11388" s="19"/>
      <c r="E11388" s="23"/>
      <c r="L11388" s="23"/>
    </row>
    <row r="11389">
      <c r="B11389" s="19"/>
      <c r="E11389" s="23"/>
      <c r="L11389" s="23"/>
    </row>
    <row r="11390">
      <c r="B11390" s="19"/>
      <c r="E11390" s="23"/>
      <c r="L11390" s="23"/>
    </row>
    <row r="11391">
      <c r="B11391" s="19"/>
      <c r="E11391" s="23"/>
      <c r="L11391" s="23"/>
    </row>
    <row r="11392">
      <c r="B11392" s="19"/>
      <c r="E11392" s="23"/>
      <c r="L11392" s="23"/>
    </row>
    <row r="11393">
      <c r="B11393" s="19"/>
      <c r="E11393" s="23"/>
      <c r="L11393" s="23"/>
    </row>
    <row r="11394">
      <c r="B11394" s="19"/>
      <c r="E11394" s="23"/>
      <c r="L11394" s="23"/>
    </row>
    <row r="11395">
      <c r="B11395" s="19"/>
      <c r="E11395" s="23"/>
      <c r="L11395" s="23"/>
    </row>
    <row r="11396">
      <c r="B11396" s="19"/>
      <c r="E11396" s="23"/>
      <c r="L11396" s="23"/>
    </row>
    <row r="11397">
      <c r="B11397" s="19"/>
      <c r="E11397" s="23"/>
      <c r="L11397" s="23"/>
    </row>
    <row r="11398">
      <c r="B11398" s="19"/>
      <c r="E11398" s="23"/>
      <c r="L11398" s="23"/>
    </row>
    <row r="11399">
      <c r="B11399" s="19"/>
      <c r="E11399" s="23"/>
      <c r="L11399" s="23"/>
    </row>
    <row r="11400">
      <c r="B11400" s="19"/>
      <c r="E11400" s="23"/>
      <c r="L11400" s="23"/>
    </row>
    <row r="11401">
      <c r="B11401" s="19"/>
      <c r="E11401" s="23"/>
      <c r="L11401" s="23"/>
    </row>
    <row r="11402">
      <c r="B11402" s="19"/>
      <c r="E11402" s="23"/>
      <c r="L11402" s="23"/>
    </row>
    <row r="11403">
      <c r="B11403" s="19"/>
      <c r="E11403" s="23"/>
      <c r="L11403" s="23"/>
    </row>
    <row r="11404">
      <c r="B11404" s="19"/>
      <c r="E11404" s="23"/>
      <c r="L11404" s="23"/>
    </row>
    <row r="11405">
      <c r="B11405" s="19"/>
      <c r="E11405" s="23"/>
      <c r="L11405" s="23"/>
    </row>
    <row r="11406">
      <c r="B11406" s="19"/>
      <c r="E11406" s="23"/>
      <c r="L11406" s="23"/>
    </row>
    <row r="11407">
      <c r="B11407" s="19"/>
      <c r="E11407" s="23"/>
      <c r="L11407" s="23"/>
    </row>
    <row r="11408">
      <c r="B11408" s="19"/>
      <c r="E11408" s="23"/>
      <c r="L11408" s="23"/>
    </row>
    <row r="11409">
      <c r="B11409" s="19"/>
      <c r="E11409" s="23"/>
      <c r="L11409" s="23"/>
    </row>
    <row r="11410">
      <c r="B11410" s="19"/>
      <c r="E11410" s="23"/>
      <c r="L11410" s="23"/>
    </row>
    <row r="11411">
      <c r="B11411" s="19"/>
      <c r="E11411" s="23"/>
      <c r="L11411" s="23"/>
    </row>
    <row r="11412">
      <c r="B11412" s="19"/>
      <c r="E11412" s="23"/>
      <c r="L11412" s="23"/>
    </row>
    <row r="11413">
      <c r="B11413" s="19"/>
      <c r="E11413" s="23"/>
      <c r="L11413" s="23"/>
    </row>
    <row r="11414">
      <c r="B11414" s="19"/>
      <c r="E11414" s="23"/>
      <c r="L11414" s="23"/>
    </row>
    <row r="11415">
      <c r="B11415" s="19"/>
      <c r="E11415" s="23"/>
      <c r="L11415" s="23"/>
    </row>
    <row r="11416">
      <c r="B11416" s="19"/>
      <c r="E11416" s="23"/>
      <c r="L11416" s="23"/>
    </row>
    <row r="11417">
      <c r="B11417" s="19"/>
      <c r="E11417" s="23"/>
      <c r="L11417" s="23"/>
    </row>
    <row r="11418">
      <c r="B11418" s="19"/>
      <c r="E11418" s="23"/>
      <c r="L11418" s="23"/>
    </row>
    <row r="11419">
      <c r="B11419" s="19"/>
      <c r="E11419" s="23"/>
      <c r="L11419" s="23"/>
    </row>
    <row r="11420">
      <c r="B11420" s="19"/>
      <c r="E11420" s="23"/>
      <c r="L11420" s="23"/>
    </row>
    <row r="11421">
      <c r="B11421" s="19"/>
      <c r="E11421" s="23"/>
      <c r="L11421" s="23"/>
    </row>
    <row r="11422">
      <c r="B11422" s="19"/>
      <c r="E11422" s="23"/>
      <c r="L11422" s="23"/>
    </row>
    <row r="11423">
      <c r="B11423" s="19"/>
      <c r="E11423" s="23"/>
      <c r="L11423" s="23"/>
    </row>
    <row r="11424">
      <c r="B11424" s="19"/>
      <c r="E11424" s="23"/>
      <c r="L11424" s="23"/>
    </row>
    <row r="11425">
      <c r="B11425" s="19"/>
      <c r="E11425" s="23"/>
      <c r="L11425" s="23"/>
    </row>
    <row r="11426">
      <c r="B11426" s="19"/>
      <c r="E11426" s="23"/>
      <c r="L11426" s="23"/>
    </row>
    <row r="11427">
      <c r="B11427" s="19"/>
      <c r="E11427" s="23"/>
      <c r="L11427" s="23"/>
    </row>
    <row r="11428">
      <c r="B11428" s="19"/>
      <c r="E11428" s="23"/>
      <c r="L11428" s="23"/>
    </row>
    <row r="11429">
      <c r="B11429" s="19"/>
      <c r="E11429" s="23"/>
      <c r="L11429" s="23"/>
    </row>
    <row r="11430">
      <c r="B11430" s="19"/>
      <c r="E11430" s="23"/>
      <c r="L11430" s="23"/>
    </row>
    <row r="11431">
      <c r="B11431" s="19"/>
      <c r="E11431" s="23"/>
      <c r="L11431" s="23"/>
    </row>
    <row r="11432">
      <c r="B11432" s="19"/>
      <c r="E11432" s="23"/>
      <c r="L11432" s="23"/>
    </row>
    <row r="11433">
      <c r="B11433" s="19"/>
      <c r="E11433" s="23"/>
      <c r="L11433" s="23"/>
    </row>
    <row r="11434">
      <c r="B11434" s="19"/>
      <c r="E11434" s="23"/>
      <c r="L11434" s="23"/>
    </row>
    <row r="11435">
      <c r="B11435" s="19"/>
      <c r="E11435" s="23"/>
      <c r="L11435" s="23"/>
    </row>
    <row r="11436">
      <c r="B11436" s="19"/>
      <c r="E11436" s="23"/>
      <c r="L11436" s="23"/>
    </row>
    <row r="11437">
      <c r="B11437" s="19"/>
      <c r="E11437" s="23"/>
      <c r="L11437" s="23"/>
    </row>
    <row r="11438">
      <c r="B11438" s="19"/>
      <c r="E11438" s="23"/>
      <c r="L11438" s="23"/>
    </row>
    <row r="11439">
      <c r="B11439" s="19"/>
      <c r="E11439" s="23"/>
      <c r="L11439" s="23"/>
    </row>
    <row r="11440">
      <c r="B11440" s="19"/>
      <c r="E11440" s="23"/>
      <c r="L11440" s="23"/>
    </row>
    <row r="11441">
      <c r="B11441" s="19"/>
      <c r="E11441" s="23"/>
      <c r="L11441" s="23"/>
    </row>
    <row r="11442">
      <c r="B11442" s="19"/>
      <c r="E11442" s="23"/>
      <c r="L11442" s="23"/>
    </row>
    <row r="11443">
      <c r="B11443" s="19"/>
      <c r="E11443" s="23"/>
      <c r="L11443" s="23"/>
    </row>
    <row r="11444">
      <c r="B11444" s="19"/>
      <c r="E11444" s="23"/>
      <c r="L11444" s="23"/>
    </row>
    <row r="11445">
      <c r="B11445" s="19"/>
      <c r="E11445" s="23"/>
      <c r="L11445" s="23"/>
    </row>
    <row r="11446">
      <c r="B11446" s="19"/>
      <c r="E11446" s="23"/>
      <c r="L11446" s="23"/>
    </row>
    <row r="11447">
      <c r="B11447" s="19"/>
      <c r="E11447" s="23"/>
      <c r="L11447" s="23"/>
    </row>
    <row r="11448">
      <c r="B11448" s="19"/>
      <c r="E11448" s="23"/>
      <c r="L11448" s="23"/>
    </row>
    <row r="11449">
      <c r="B11449" s="19"/>
      <c r="E11449" s="23"/>
      <c r="L11449" s="23"/>
    </row>
    <row r="11450">
      <c r="B11450" s="19"/>
      <c r="E11450" s="23"/>
      <c r="L11450" s="23"/>
    </row>
    <row r="11451">
      <c r="B11451" s="19"/>
      <c r="E11451" s="23"/>
      <c r="L11451" s="23"/>
    </row>
    <row r="11452">
      <c r="B11452" s="19"/>
      <c r="E11452" s="23"/>
      <c r="L11452" s="23"/>
    </row>
    <row r="11453">
      <c r="B11453" s="19"/>
      <c r="E11453" s="23"/>
      <c r="L11453" s="23"/>
    </row>
    <row r="11454">
      <c r="B11454" s="19"/>
      <c r="E11454" s="23"/>
      <c r="L11454" s="23"/>
    </row>
    <row r="11455">
      <c r="B11455" s="19"/>
      <c r="E11455" s="23"/>
      <c r="L11455" s="23"/>
    </row>
    <row r="11456">
      <c r="B11456" s="19"/>
      <c r="E11456" s="23"/>
      <c r="L11456" s="23"/>
    </row>
    <row r="11457">
      <c r="B11457" s="19"/>
      <c r="E11457" s="23"/>
      <c r="L11457" s="23"/>
    </row>
    <row r="11458">
      <c r="B11458" s="19"/>
      <c r="E11458" s="23"/>
      <c r="L11458" s="23"/>
    </row>
    <row r="11459">
      <c r="B11459" s="19"/>
      <c r="E11459" s="23"/>
      <c r="L11459" s="23"/>
    </row>
    <row r="11460">
      <c r="B11460" s="19"/>
      <c r="E11460" s="23"/>
      <c r="L11460" s="23"/>
    </row>
    <row r="11461">
      <c r="B11461" s="19"/>
      <c r="E11461" s="23"/>
      <c r="L11461" s="23"/>
    </row>
    <row r="11462">
      <c r="B11462" s="19"/>
      <c r="E11462" s="23"/>
      <c r="L11462" s="23"/>
    </row>
    <row r="11463">
      <c r="B11463" s="19"/>
      <c r="E11463" s="23"/>
      <c r="L11463" s="23"/>
    </row>
    <row r="11464">
      <c r="B11464" s="19"/>
      <c r="E11464" s="23"/>
      <c r="L11464" s="23"/>
    </row>
    <row r="11465">
      <c r="B11465" s="19"/>
      <c r="E11465" s="23"/>
      <c r="L11465" s="23"/>
    </row>
    <row r="11466">
      <c r="B11466" s="19"/>
      <c r="E11466" s="23"/>
      <c r="L11466" s="23"/>
    </row>
    <row r="11467">
      <c r="B11467" s="19"/>
      <c r="E11467" s="23"/>
      <c r="L11467" s="23"/>
    </row>
    <row r="11468">
      <c r="B11468" s="19"/>
      <c r="E11468" s="23"/>
      <c r="L11468" s="23"/>
    </row>
    <row r="11469">
      <c r="B11469" s="19"/>
      <c r="E11469" s="23"/>
      <c r="L11469" s="23"/>
    </row>
    <row r="11470">
      <c r="B11470" s="19"/>
      <c r="E11470" s="23"/>
      <c r="L11470" s="23"/>
    </row>
    <row r="11471">
      <c r="B11471" s="19"/>
      <c r="E11471" s="23"/>
      <c r="L11471" s="23"/>
    </row>
    <row r="11472">
      <c r="B11472" s="19"/>
      <c r="E11472" s="23"/>
      <c r="L11472" s="23"/>
    </row>
    <row r="11473">
      <c r="B11473" s="19"/>
      <c r="E11473" s="23"/>
      <c r="L11473" s="23"/>
    </row>
    <row r="11474">
      <c r="B11474" s="19"/>
      <c r="E11474" s="23"/>
      <c r="L11474" s="23"/>
    </row>
    <row r="11475">
      <c r="B11475" s="19"/>
      <c r="E11475" s="23"/>
      <c r="L11475" s="23"/>
    </row>
    <row r="11476">
      <c r="B11476" s="19"/>
      <c r="E11476" s="23"/>
      <c r="L11476" s="23"/>
    </row>
    <row r="11477">
      <c r="B11477" s="19"/>
      <c r="E11477" s="23"/>
      <c r="L11477" s="23"/>
    </row>
    <row r="11478">
      <c r="B11478" s="19"/>
      <c r="E11478" s="23"/>
      <c r="L11478" s="23"/>
    </row>
    <row r="11479">
      <c r="B11479" s="19"/>
      <c r="E11479" s="23"/>
      <c r="L11479" s="23"/>
    </row>
    <row r="11480">
      <c r="B11480" s="19"/>
      <c r="E11480" s="23"/>
      <c r="L11480" s="23"/>
    </row>
    <row r="11481">
      <c r="B11481" s="19"/>
      <c r="E11481" s="23"/>
      <c r="L11481" s="23"/>
    </row>
    <row r="11482">
      <c r="B11482" s="19"/>
      <c r="E11482" s="23"/>
      <c r="L11482" s="23"/>
    </row>
    <row r="11483">
      <c r="B11483" s="19"/>
      <c r="E11483" s="23"/>
      <c r="L11483" s="23"/>
    </row>
    <row r="11484">
      <c r="B11484" s="19"/>
      <c r="E11484" s="23"/>
      <c r="L11484" s="23"/>
    </row>
    <row r="11485">
      <c r="B11485" s="19"/>
      <c r="E11485" s="23"/>
      <c r="L11485" s="23"/>
    </row>
    <row r="11486">
      <c r="B11486" s="19"/>
      <c r="E11486" s="23"/>
      <c r="L11486" s="23"/>
    </row>
    <row r="11487">
      <c r="B11487" s="19"/>
      <c r="E11487" s="23"/>
      <c r="L11487" s="23"/>
    </row>
    <row r="11488">
      <c r="B11488" s="19"/>
      <c r="E11488" s="23"/>
      <c r="L11488" s="23"/>
    </row>
    <row r="11489">
      <c r="B11489" s="19"/>
      <c r="E11489" s="23"/>
      <c r="L11489" s="23"/>
    </row>
    <row r="11490">
      <c r="B11490" s="19"/>
      <c r="E11490" s="23"/>
      <c r="L11490" s="23"/>
    </row>
    <row r="11491">
      <c r="B11491" s="19"/>
      <c r="E11491" s="23"/>
      <c r="L11491" s="23"/>
    </row>
    <row r="11492">
      <c r="B11492" s="19"/>
      <c r="E11492" s="23"/>
      <c r="L11492" s="23"/>
    </row>
    <row r="11493">
      <c r="B11493" s="19"/>
      <c r="E11493" s="23"/>
      <c r="L11493" s="23"/>
    </row>
    <row r="11494">
      <c r="B11494" s="19"/>
      <c r="E11494" s="23"/>
      <c r="L11494" s="23"/>
    </row>
    <row r="11495">
      <c r="B11495" s="19"/>
      <c r="E11495" s="23"/>
      <c r="L11495" s="23"/>
    </row>
    <row r="11496">
      <c r="B11496" s="19"/>
      <c r="E11496" s="23"/>
      <c r="L11496" s="23"/>
    </row>
    <row r="11497">
      <c r="B11497" s="19"/>
      <c r="E11497" s="23"/>
      <c r="L11497" s="23"/>
    </row>
    <row r="11498">
      <c r="B11498" s="19"/>
      <c r="E11498" s="23"/>
      <c r="L11498" s="23"/>
    </row>
    <row r="11499">
      <c r="B11499" s="19"/>
      <c r="E11499" s="23"/>
      <c r="L11499" s="23"/>
    </row>
    <row r="11500">
      <c r="B11500" s="19"/>
      <c r="E11500" s="23"/>
      <c r="L11500" s="23"/>
    </row>
    <row r="11501">
      <c r="B11501" s="19"/>
      <c r="E11501" s="23"/>
      <c r="L11501" s="23"/>
    </row>
    <row r="11502">
      <c r="B11502" s="19"/>
      <c r="E11502" s="23"/>
      <c r="L11502" s="23"/>
    </row>
    <row r="11503">
      <c r="B11503" s="19"/>
      <c r="E11503" s="23"/>
      <c r="L11503" s="23"/>
    </row>
    <row r="11504">
      <c r="B11504" s="19"/>
      <c r="E11504" s="23"/>
      <c r="L11504" s="23"/>
    </row>
    <row r="11505">
      <c r="B11505" s="19"/>
      <c r="E11505" s="23"/>
      <c r="L11505" s="23"/>
    </row>
    <row r="11506">
      <c r="B11506" s="19"/>
      <c r="E11506" s="23"/>
      <c r="L11506" s="23"/>
    </row>
    <row r="11507">
      <c r="B11507" s="19"/>
      <c r="E11507" s="23"/>
      <c r="L11507" s="23"/>
    </row>
    <row r="11508">
      <c r="B11508" s="19"/>
      <c r="E11508" s="23"/>
      <c r="L11508" s="23"/>
    </row>
    <row r="11509">
      <c r="B11509" s="19"/>
      <c r="E11509" s="23"/>
      <c r="L11509" s="23"/>
    </row>
    <row r="11510">
      <c r="B11510" s="19"/>
      <c r="E11510" s="23"/>
      <c r="L11510" s="23"/>
    </row>
    <row r="11511">
      <c r="B11511" s="19"/>
      <c r="E11511" s="23"/>
      <c r="L11511" s="23"/>
    </row>
    <row r="11512">
      <c r="B11512" s="19"/>
      <c r="E11512" s="23"/>
      <c r="L11512" s="23"/>
    </row>
    <row r="11513">
      <c r="B11513" s="19"/>
      <c r="E11513" s="23"/>
      <c r="L11513" s="23"/>
    </row>
    <row r="11514">
      <c r="B11514" s="19"/>
      <c r="E11514" s="23"/>
      <c r="L11514" s="23"/>
    </row>
    <row r="11515">
      <c r="B11515" s="19"/>
      <c r="E11515" s="23"/>
      <c r="L11515" s="23"/>
    </row>
    <row r="11516">
      <c r="B11516" s="19"/>
      <c r="E11516" s="23"/>
      <c r="L11516" s="23"/>
    </row>
    <row r="11517">
      <c r="B11517" s="19"/>
      <c r="E11517" s="23"/>
      <c r="L11517" s="23"/>
    </row>
    <row r="11518">
      <c r="B11518" s="19"/>
      <c r="E11518" s="23"/>
      <c r="L11518" s="23"/>
    </row>
    <row r="11519">
      <c r="B11519" s="19"/>
      <c r="E11519" s="23"/>
      <c r="L11519" s="23"/>
    </row>
    <row r="11520">
      <c r="B11520" s="19"/>
      <c r="E11520" s="23"/>
      <c r="L11520" s="23"/>
    </row>
    <row r="11521">
      <c r="B11521" s="19"/>
      <c r="E11521" s="23"/>
      <c r="L11521" s="23"/>
    </row>
    <row r="11522">
      <c r="B11522" s="19"/>
      <c r="E11522" s="23"/>
      <c r="L11522" s="23"/>
    </row>
    <row r="11523">
      <c r="B11523" s="19"/>
      <c r="E11523" s="23"/>
      <c r="L11523" s="23"/>
    </row>
    <row r="11524">
      <c r="B11524" s="19"/>
      <c r="E11524" s="23"/>
      <c r="L11524" s="23"/>
    </row>
    <row r="11525">
      <c r="B11525" s="19"/>
      <c r="E11525" s="23"/>
      <c r="L11525" s="23"/>
    </row>
    <row r="11526">
      <c r="B11526" s="19"/>
      <c r="E11526" s="23"/>
      <c r="L11526" s="23"/>
    </row>
    <row r="11527">
      <c r="B11527" s="19"/>
      <c r="E11527" s="23"/>
      <c r="L11527" s="23"/>
    </row>
    <row r="11528">
      <c r="B11528" s="19"/>
      <c r="E11528" s="23"/>
      <c r="L11528" s="23"/>
    </row>
    <row r="11529">
      <c r="B11529" s="19"/>
      <c r="E11529" s="23"/>
      <c r="L11529" s="23"/>
    </row>
    <row r="11530">
      <c r="B11530" s="19"/>
      <c r="E11530" s="23"/>
      <c r="L11530" s="23"/>
    </row>
    <row r="11531">
      <c r="B11531" s="19"/>
      <c r="E11531" s="23"/>
      <c r="L11531" s="23"/>
    </row>
    <row r="11532">
      <c r="B11532" s="19"/>
      <c r="E11532" s="23"/>
      <c r="L11532" s="23"/>
    </row>
    <row r="11533">
      <c r="B11533" s="19"/>
      <c r="E11533" s="23"/>
      <c r="L11533" s="23"/>
    </row>
    <row r="11534">
      <c r="B11534" s="19"/>
      <c r="E11534" s="23"/>
      <c r="L11534" s="23"/>
    </row>
    <row r="11535">
      <c r="B11535" s="19"/>
      <c r="E11535" s="23"/>
      <c r="L11535" s="23"/>
    </row>
    <row r="11536">
      <c r="B11536" s="19"/>
      <c r="E11536" s="23"/>
      <c r="L11536" s="23"/>
    </row>
    <row r="11537">
      <c r="B11537" s="19"/>
      <c r="E11537" s="23"/>
      <c r="L11537" s="23"/>
    </row>
    <row r="11538">
      <c r="B11538" s="19"/>
      <c r="E11538" s="23"/>
      <c r="L11538" s="23"/>
    </row>
    <row r="11539">
      <c r="B11539" s="19"/>
      <c r="E11539" s="23"/>
      <c r="L11539" s="23"/>
    </row>
    <row r="11540">
      <c r="B11540" s="19"/>
      <c r="E11540" s="23"/>
      <c r="L11540" s="23"/>
    </row>
    <row r="11541">
      <c r="B11541" s="19"/>
      <c r="E11541" s="23"/>
      <c r="L11541" s="23"/>
    </row>
    <row r="11542">
      <c r="B11542" s="19"/>
      <c r="E11542" s="23"/>
      <c r="L11542" s="23"/>
    </row>
    <row r="11543">
      <c r="B11543" s="19"/>
      <c r="E11543" s="23"/>
      <c r="L11543" s="23"/>
    </row>
    <row r="11544">
      <c r="B11544" s="19"/>
      <c r="E11544" s="23"/>
      <c r="L11544" s="23"/>
    </row>
    <row r="11545">
      <c r="B11545" s="19"/>
      <c r="E11545" s="23"/>
      <c r="L11545" s="23"/>
    </row>
    <row r="11546">
      <c r="B11546" s="19"/>
      <c r="E11546" s="23"/>
      <c r="L11546" s="23"/>
    </row>
    <row r="11547">
      <c r="B11547" s="19"/>
      <c r="E11547" s="23"/>
      <c r="L11547" s="23"/>
    </row>
    <row r="11548">
      <c r="B11548" s="19"/>
      <c r="E11548" s="23"/>
      <c r="L11548" s="23"/>
    </row>
    <row r="11549">
      <c r="B11549" s="19"/>
      <c r="E11549" s="23"/>
      <c r="L11549" s="23"/>
    </row>
    <row r="11550">
      <c r="B11550" s="19"/>
      <c r="E11550" s="23"/>
      <c r="L11550" s="23"/>
    </row>
    <row r="11551">
      <c r="B11551" s="19"/>
      <c r="E11551" s="23"/>
      <c r="L11551" s="23"/>
    </row>
    <row r="11552">
      <c r="B11552" s="19"/>
      <c r="E11552" s="23"/>
      <c r="L11552" s="23"/>
    </row>
    <row r="11553">
      <c r="B11553" s="19"/>
      <c r="E11553" s="23"/>
      <c r="L11553" s="23"/>
    </row>
    <row r="11554">
      <c r="B11554" s="19"/>
      <c r="E11554" s="23"/>
      <c r="L11554" s="23"/>
    </row>
    <row r="11555">
      <c r="B11555" s="19"/>
      <c r="E11555" s="23"/>
      <c r="L11555" s="23"/>
    </row>
    <row r="11556">
      <c r="B11556" s="19"/>
      <c r="E11556" s="23"/>
      <c r="L11556" s="23"/>
    </row>
    <row r="11557">
      <c r="B11557" s="19"/>
      <c r="E11557" s="23"/>
      <c r="L11557" s="23"/>
    </row>
    <row r="11558">
      <c r="B11558" s="19"/>
      <c r="E11558" s="23"/>
      <c r="L11558" s="23"/>
    </row>
    <row r="11559">
      <c r="B11559" s="19"/>
      <c r="E11559" s="23"/>
      <c r="L11559" s="23"/>
    </row>
    <row r="11560">
      <c r="B11560" s="19"/>
      <c r="E11560" s="23"/>
      <c r="L11560" s="23"/>
    </row>
    <row r="11561">
      <c r="B11561" s="19"/>
      <c r="E11561" s="23"/>
      <c r="L11561" s="23"/>
    </row>
    <row r="11562">
      <c r="B11562" s="19"/>
      <c r="E11562" s="23"/>
      <c r="L11562" s="23"/>
    </row>
    <row r="11563">
      <c r="B11563" s="19"/>
      <c r="E11563" s="23"/>
      <c r="L11563" s="23"/>
    </row>
    <row r="11564">
      <c r="B11564" s="19"/>
      <c r="E11564" s="23"/>
      <c r="L11564" s="23"/>
    </row>
    <row r="11565">
      <c r="B11565" s="19"/>
      <c r="E11565" s="23"/>
      <c r="L11565" s="23"/>
    </row>
    <row r="11566">
      <c r="B11566" s="19"/>
      <c r="E11566" s="23"/>
      <c r="L11566" s="23"/>
    </row>
    <row r="11567">
      <c r="B11567" s="19"/>
      <c r="E11567" s="23"/>
      <c r="L11567" s="23"/>
    </row>
    <row r="11568">
      <c r="B11568" s="19"/>
      <c r="E11568" s="23"/>
      <c r="L11568" s="23"/>
    </row>
    <row r="11569">
      <c r="B11569" s="19"/>
      <c r="E11569" s="23"/>
      <c r="L11569" s="23"/>
    </row>
    <row r="11570">
      <c r="B11570" s="19"/>
      <c r="E11570" s="23"/>
      <c r="L11570" s="23"/>
    </row>
    <row r="11571">
      <c r="B11571" s="19"/>
      <c r="E11571" s="23"/>
      <c r="L11571" s="23"/>
    </row>
    <row r="11572">
      <c r="B11572" s="19"/>
      <c r="E11572" s="23"/>
      <c r="L11572" s="23"/>
    </row>
    <row r="11573">
      <c r="B11573" s="19"/>
      <c r="E11573" s="23"/>
      <c r="L11573" s="23"/>
    </row>
    <row r="11574">
      <c r="B11574" s="19"/>
      <c r="E11574" s="23"/>
      <c r="L11574" s="23"/>
    </row>
    <row r="11575">
      <c r="B11575" s="19"/>
      <c r="E11575" s="23"/>
      <c r="L11575" s="23"/>
    </row>
    <row r="11576">
      <c r="B11576" s="19"/>
      <c r="E11576" s="23"/>
      <c r="L11576" s="23"/>
    </row>
    <row r="11577">
      <c r="B11577" s="19"/>
      <c r="E11577" s="23"/>
      <c r="L11577" s="23"/>
    </row>
    <row r="11578">
      <c r="B11578" s="19"/>
      <c r="E11578" s="23"/>
      <c r="L11578" s="23"/>
    </row>
    <row r="11579">
      <c r="B11579" s="19"/>
      <c r="E11579" s="23"/>
      <c r="L11579" s="23"/>
    </row>
    <row r="11580">
      <c r="B11580" s="19"/>
      <c r="E11580" s="23"/>
      <c r="L11580" s="23"/>
    </row>
    <row r="11581">
      <c r="B11581" s="19"/>
      <c r="E11581" s="23"/>
      <c r="L11581" s="23"/>
    </row>
    <row r="11582">
      <c r="B11582" s="19"/>
      <c r="E11582" s="23"/>
      <c r="L11582" s="23"/>
    </row>
    <row r="11583">
      <c r="B11583" s="19"/>
      <c r="E11583" s="23"/>
      <c r="L11583" s="23"/>
    </row>
    <row r="11584">
      <c r="B11584" s="19"/>
      <c r="E11584" s="23"/>
      <c r="L11584" s="23"/>
    </row>
    <row r="11585">
      <c r="B11585" s="19"/>
      <c r="E11585" s="23"/>
      <c r="L11585" s="23"/>
    </row>
    <row r="11586">
      <c r="B11586" s="19"/>
      <c r="E11586" s="23"/>
      <c r="L11586" s="23"/>
    </row>
    <row r="11587">
      <c r="B11587" s="19"/>
      <c r="E11587" s="23"/>
      <c r="L11587" s="23"/>
    </row>
    <row r="11588">
      <c r="B11588" s="19"/>
      <c r="E11588" s="23"/>
      <c r="L11588" s="23"/>
    </row>
    <row r="11589">
      <c r="B11589" s="19"/>
      <c r="E11589" s="23"/>
      <c r="L11589" s="23"/>
    </row>
    <row r="11590">
      <c r="B11590" s="19"/>
      <c r="E11590" s="23"/>
      <c r="L11590" s="23"/>
    </row>
    <row r="11591">
      <c r="B11591" s="19"/>
      <c r="E11591" s="23"/>
      <c r="L11591" s="23"/>
    </row>
    <row r="11592">
      <c r="B11592" s="19"/>
      <c r="E11592" s="23"/>
      <c r="L11592" s="23"/>
    </row>
    <row r="11593">
      <c r="B11593" s="19"/>
      <c r="E11593" s="23"/>
      <c r="L11593" s="23"/>
    </row>
    <row r="11594">
      <c r="B11594" s="19"/>
      <c r="E11594" s="23"/>
      <c r="L11594" s="23"/>
    </row>
    <row r="11595">
      <c r="B11595" s="19"/>
      <c r="E11595" s="23"/>
      <c r="L11595" s="23"/>
    </row>
    <row r="11596">
      <c r="B11596" s="19"/>
      <c r="E11596" s="23"/>
      <c r="L11596" s="23"/>
    </row>
    <row r="11597">
      <c r="B11597" s="19"/>
      <c r="E11597" s="23"/>
      <c r="L11597" s="23"/>
    </row>
    <row r="11598">
      <c r="B11598" s="19"/>
      <c r="E11598" s="23"/>
      <c r="L11598" s="23"/>
    </row>
    <row r="11599">
      <c r="B11599" s="19"/>
      <c r="E11599" s="23"/>
      <c r="L11599" s="23"/>
    </row>
    <row r="11600">
      <c r="B11600" s="19"/>
      <c r="E11600" s="23"/>
      <c r="L11600" s="23"/>
    </row>
    <row r="11601">
      <c r="B11601" s="19"/>
      <c r="E11601" s="23"/>
      <c r="L11601" s="23"/>
    </row>
    <row r="11602">
      <c r="B11602" s="19"/>
      <c r="E11602" s="23"/>
      <c r="L11602" s="23"/>
    </row>
    <row r="11603">
      <c r="B11603" s="19"/>
      <c r="E11603" s="23"/>
      <c r="L11603" s="23"/>
    </row>
    <row r="11604">
      <c r="B11604" s="19"/>
      <c r="E11604" s="23"/>
      <c r="L11604" s="23"/>
    </row>
    <row r="11605">
      <c r="B11605" s="19"/>
      <c r="E11605" s="23"/>
      <c r="L11605" s="23"/>
    </row>
    <row r="11606">
      <c r="B11606" s="19"/>
      <c r="E11606" s="23"/>
      <c r="L11606" s="23"/>
    </row>
    <row r="11607">
      <c r="B11607" s="19"/>
      <c r="E11607" s="23"/>
      <c r="L11607" s="23"/>
    </row>
    <row r="11608">
      <c r="B11608" s="19"/>
      <c r="E11608" s="23"/>
      <c r="L11608" s="23"/>
    </row>
    <row r="11609">
      <c r="B11609" s="19"/>
      <c r="E11609" s="23"/>
      <c r="L11609" s="23"/>
    </row>
    <row r="11610">
      <c r="B11610" s="19"/>
      <c r="E11610" s="23"/>
      <c r="L11610" s="23"/>
    </row>
    <row r="11611">
      <c r="B11611" s="19"/>
      <c r="E11611" s="23"/>
      <c r="L11611" s="23"/>
    </row>
    <row r="11612">
      <c r="B11612" s="19"/>
      <c r="E11612" s="23"/>
      <c r="L11612" s="23"/>
    </row>
    <row r="11613">
      <c r="B11613" s="19"/>
      <c r="E11613" s="23"/>
      <c r="L11613" s="23"/>
    </row>
    <row r="11614">
      <c r="B11614" s="19"/>
      <c r="E11614" s="23"/>
      <c r="L11614" s="23"/>
    </row>
    <row r="11615">
      <c r="B11615" s="19"/>
      <c r="E11615" s="23"/>
      <c r="L11615" s="23"/>
    </row>
    <row r="11616">
      <c r="B11616" s="19"/>
      <c r="E11616" s="23"/>
      <c r="L11616" s="23"/>
    </row>
    <row r="11617">
      <c r="B11617" s="19"/>
      <c r="E11617" s="23"/>
      <c r="L11617" s="23"/>
    </row>
    <row r="11618">
      <c r="B11618" s="19"/>
      <c r="E11618" s="23"/>
      <c r="L11618" s="23"/>
    </row>
    <row r="11619">
      <c r="B11619" s="19"/>
      <c r="E11619" s="23"/>
      <c r="L11619" s="23"/>
    </row>
    <row r="11620">
      <c r="B11620" s="19"/>
      <c r="E11620" s="23"/>
      <c r="L11620" s="23"/>
    </row>
    <row r="11621">
      <c r="B11621" s="19"/>
      <c r="E11621" s="23"/>
      <c r="L11621" s="23"/>
    </row>
    <row r="11622">
      <c r="B11622" s="19"/>
      <c r="E11622" s="23"/>
      <c r="L11622" s="23"/>
    </row>
    <row r="11623">
      <c r="B11623" s="19"/>
      <c r="E11623" s="23"/>
      <c r="L11623" s="23"/>
    </row>
    <row r="11624">
      <c r="B11624" s="19"/>
      <c r="E11624" s="23"/>
      <c r="L11624" s="23"/>
    </row>
    <row r="11625">
      <c r="B11625" s="19"/>
      <c r="E11625" s="23"/>
      <c r="L11625" s="23"/>
    </row>
    <row r="11626">
      <c r="B11626" s="19"/>
      <c r="E11626" s="23"/>
      <c r="L11626" s="23"/>
    </row>
    <row r="11627">
      <c r="B11627" s="19"/>
      <c r="E11627" s="23"/>
      <c r="L11627" s="23"/>
    </row>
    <row r="11628">
      <c r="B11628" s="19"/>
      <c r="E11628" s="23"/>
      <c r="L11628" s="23"/>
    </row>
    <row r="11629">
      <c r="B11629" s="19"/>
      <c r="E11629" s="23"/>
      <c r="L11629" s="23"/>
    </row>
    <row r="11630">
      <c r="B11630" s="19"/>
      <c r="E11630" s="23"/>
      <c r="L11630" s="23"/>
    </row>
    <row r="11631">
      <c r="B11631" s="19"/>
      <c r="E11631" s="23"/>
      <c r="L11631" s="23"/>
    </row>
    <row r="11632">
      <c r="B11632" s="19"/>
      <c r="E11632" s="23"/>
      <c r="L11632" s="23"/>
    </row>
    <row r="11633">
      <c r="B11633" s="19"/>
      <c r="E11633" s="23"/>
      <c r="L11633" s="23"/>
    </row>
    <row r="11634">
      <c r="B11634" s="19"/>
      <c r="E11634" s="23"/>
      <c r="L11634" s="23"/>
    </row>
    <row r="11635">
      <c r="B11635" s="19"/>
      <c r="E11635" s="23"/>
      <c r="L11635" s="23"/>
    </row>
    <row r="11636">
      <c r="B11636" s="19"/>
      <c r="E11636" s="23"/>
      <c r="L11636" s="23"/>
    </row>
    <row r="11637">
      <c r="B11637" s="19"/>
      <c r="E11637" s="23"/>
      <c r="L11637" s="23"/>
    </row>
    <row r="11638">
      <c r="B11638" s="19"/>
      <c r="E11638" s="23"/>
      <c r="L11638" s="23"/>
    </row>
    <row r="11639">
      <c r="B11639" s="19"/>
      <c r="E11639" s="23"/>
      <c r="L11639" s="23"/>
    </row>
    <row r="11640">
      <c r="B11640" s="19"/>
      <c r="E11640" s="23"/>
      <c r="L11640" s="23"/>
    </row>
    <row r="11641">
      <c r="B11641" s="19"/>
      <c r="E11641" s="23"/>
      <c r="L11641" s="23"/>
    </row>
    <row r="11642">
      <c r="B11642" s="19"/>
      <c r="E11642" s="23"/>
      <c r="L11642" s="23"/>
    </row>
    <row r="11643">
      <c r="B11643" s="19"/>
      <c r="E11643" s="23"/>
      <c r="L11643" s="23"/>
    </row>
    <row r="11644">
      <c r="B11644" s="19"/>
      <c r="E11644" s="23"/>
      <c r="L11644" s="23"/>
    </row>
    <row r="11645">
      <c r="B11645" s="19"/>
      <c r="E11645" s="23"/>
      <c r="L11645" s="23"/>
    </row>
    <row r="11646">
      <c r="B11646" s="19"/>
      <c r="E11646" s="23"/>
      <c r="L11646" s="23"/>
    </row>
    <row r="11647">
      <c r="B11647" s="19"/>
      <c r="E11647" s="23"/>
      <c r="L11647" s="23"/>
    </row>
    <row r="11648">
      <c r="B11648" s="19"/>
      <c r="E11648" s="23"/>
      <c r="L11648" s="23"/>
    </row>
    <row r="11649">
      <c r="B11649" s="19"/>
      <c r="E11649" s="23"/>
      <c r="L11649" s="23"/>
    </row>
    <row r="11650">
      <c r="B11650" s="19"/>
      <c r="E11650" s="23"/>
      <c r="L11650" s="23"/>
    </row>
    <row r="11651">
      <c r="B11651" s="19"/>
      <c r="E11651" s="23"/>
      <c r="L11651" s="23"/>
    </row>
    <row r="11652">
      <c r="B11652" s="19"/>
      <c r="E11652" s="23"/>
      <c r="L11652" s="23"/>
    </row>
    <row r="11653">
      <c r="B11653" s="19"/>
      <c r="E11653" s="23"/>
      <c r="L11653" s="23"/>
    </row>
    <row r="11654">
      <c r="B11654" s="19"/>
      <c r="E11654" s="23"/>
      <c r="L11654" s="23"/>
    </row>
    <row r="11655">
      <c r="B11655" s="19"/>
      <c r="E11655" s="23"/>
      <c r="L11655" s="23"/>
    </row>
    <row r="11656">
      <c r="B11656" s="19"/>
      <c r="E11656" s="23"/>
      <c r="L11656" s="23"/>
    </row>
    <row r="11657">
      <c r="B11657" s="19"/>
      <c r="E11657" s="23"/>
      <c r="L11657" s="23"/>
    </row>
    <row r="11658">
      <c r="B11658" s="19"/>
      <c r="E11658" s="23"/>
      <c r="L11658" s="23"/>
    </row>
    <row r="11659">
      <c r="B11659" s="19"/>
      <c r="E11659" s="23"/>
      <c r="L11659" s="23"/>
    </row>
    <row r="11660">
      <c r="B11660" s="19"/>
      <c r="E11660" s="23"/>
      <c r="L11660" s="23"/>
    </row>
    <row r="11661">
      <c r="B11661" s="19"/>
      <c r="E11661" s="23"/>
      <c r="L11661" s="23"/>
    </row>
    <row r="11662">
      <c r="B11662" s="19"/>
      <c r="E11662" s="23"/>
      <c r="L11662" s="23"/>
    </row>
    <row r="11663">
      <c r="B11663" s="19"/>
      <c r="E11663" s="23"/>
      <c r="L11663" s="23"/>
    </row>
    <row r="11664">
      <c r="B11664" s="19"/>
      <c r="E11664" s="23"/>
      <c r="L11664" s="23"/>
    </row>
    <row r="11665">
      <c r="B11665" s="19"/>
      <c r="E11665" s="23"/>
      <c r="L11665" s="23"/>
    </row>
    <row r="11666">
      <c r="B11666" s="19"/>
      <c r="E11666" s="23"/>
      <c r="L11666" s="23"/>
    </row>
    <row r="11667">
      <c r="B11667" s="19"/>
      <c r="E11667" s="23"/>
      <c r="L11667" s="23"/>
    </row>
    <row r="11668">
      <c r="B11668" s="19"/>
      <c r="E11668" s="23"/>
      <c r="L11668" s="23"/>
    </row>
    <row r="11669">
      <c r="B11669" s="19"/>
      <c r="E11669" s="23"/>
      <c r="L11669" s="23"/>
    </row>
    <row r="11670">
      <c r="B11670" s="19"/>
      <c r="E11670" s="23"/>
      <c r="L11670" s="23"/>
    </row>
    <row r="11671">
      <c r="B11671" s="19"/>
      <c r="E11671" s="23"/>
      <c r="L11671" s="23"/>
    </row>
    <row r="11672">
      <c r="B11672" s="19"/>
      <c r="E11672" s="23"/>
      <c r="L11672" s="23"/>
    </row>
    <row r="11673">
      <c r="B11673" s="19"/>
      <c r="E11673" s="23"/>
      <c r="L11673" s="23"/>
    </row>
    <row r="11674">
      <c r="B11674" s="19"/>
      <c r="E11674" s="23"/>
      <c r="L11674" s="23"/>
    </row>
    <row r="11675">
      <c r="B11675" s="19"/>
      <c r="E11675" s="23"/>
      <c r="L11675" s="23"/>
    </row>
    <row r="11676">
      <c r="B11676" s="19"/>
      <c r="E11676" s="23"/>
      <c r="L11676" s="23"/>
    </row>
    <row r="11677">
      <c r="B11677" s="19"/>
      <c r="E11677" s="23"/>
      <c r="L11677" s="23"/>
    </row>
    <row r="11678">
      <c r="B11678" s="19"/>
      <c r="E11678" s="23"/>
      <c r="L11678" s="23"/>
    </row>
    <row r="11679">
      <c r="B11679" s="19"/>
      <c r="E11679" s="23"/>
      <c r="L11679" s="23"/>
    </row>
    <row r="11680">
      <c r="B11680" s="19"/>
      <c r="E11680" s="23"/>
      <c r="L11680" s="23"/>
    </row>
    <row r="11681">
      <c r="B11681" s="19"/>
      <c r="E11681" s="23"/>
      <c r="L11681" s="23"/>
    </row>
    <row r="11682">
      <c r="B11682" s="19"/>
      <c r="E11682" s="23"/>
      <c r="L11682" s="23"/>
    </row>
    <row r="11683">
      <c r="B11683" s="19"/>
      <c r="E11683" s="23"/>
      <c r="L11683" s="23"/>
    </row>
    <row r="11684">
      <c r="B11684" s="19"/>
      <c r="E11684" s="23"/>
      <c r="L11684" s="23"/>
    </row>
    <row r="11685">
      <c r="B11685" s="19"/>
      <c r="E11685" s="23"/>
      <c r="L11685" s="23"/>
    </row>
    <row r="11686">
      <c r="B11686" s="19"/>
      <c r="E11686" s="23"/>
      <c r="L11686" s="23"/>
    </row>
    <row r="11687">
      <c r="B11687" s="19"/>
      <c r="E11687" s="23"/>
      <c r="L11687" s="23"/>
    </row>
    <row r="11688">
      <c r="B11688" s="19"/>
      <c r="E11688" s="23"/>
      <c r="L11688" s="23"/>
    </row>
    <row r="11689">
      <c r="B11689" s="19"/>
      <c r="E11689" s="23"/>
      <c r="L11689" s="23"/>
    </row>
    <row r="11690">
      <c r="B11690" s="19"/>
      <c r="E11690" s="23"/>
      <c r="L11690" s="23"/>
    </row>
    <row r="11691">
      <c r="B11691" s="19"/>
      <c r="E11691" s="23"/>
      <c r="L11691" s="23"/>
    </row>
    <row r="11692">
      <c r="B11692" s="19"/>
      <c r="E11692" s="23"/>
      <c r="L11692" s="23"/>
    </row>
    <row r="11693">
      <c r="B11693" s="19"/>
      <c r="E11693" s="23"/>
      <c r="L11693" s="23"/>
    </row>
    <row r="11694">
      <c r="B11694" s="19"/>
      <c r="E11694" s="23"/>
      <c r="L11694" s="23"/>
    </row>
    <row r="11695">
      <c r="B11695" s="19"/>
      <c r="E11695" s="23"/>
      <c r="L11695" s="23"/>
    </row>
    <row r="11696">
      <c r="B11696" s="19"/>
      <c r="E11696" s="23"/>
      <c r="L11696" s="23"/>
    </row>
    <row r="11697">
      <c r="B11697" s="19"/>
      <c r="E11697" s="23"/>
      <c r="L11697" s="23"/>
    </row>
    <row r="11698">
      <c r="B11698" s="19"/>
      <c r="E11698" s="23"/>
      <c r="L11698" s="23"/>
    </row>
    <row r="11699">
      <c r="B11699" s="19"/>
      <c r="E11699" s="23"/>
      <c r="L11699" s="23"/>
    </row>
    <row r="11700">
      <c r="B11700" s="19"/>
      <c r="E11700" s="23"/>
      <c r="L11700" s="23"/>
    </row>
    <row r="11701">
      <c r="B11701" s="19"/>
      <c r="E11701" s="23"/>
      <c r="L11701" s="23"/>
    </row>
    <row r="11702">
      <c r="B11702" s="19"/>
      <c r="E11702" s="23"/>
      <c r="L11702" s="23"/>
    </row>
    <row r="11703">
      <c r="B11703" s="19"/>
      <c r="E11703" s="23"/>
      <c r="L11703" s="23"/>
    </row>
    <row r="11704">
      <c r="B11704" s="19"/>
      <c r="E11704" s="23"/>
      <c r="L11704" s="23"/>
    </row>
    <row r="11705">
      <c r="B11705" s="19"/>
      <c r="E11705" s="23"/>
      <c r="L11705" s="23"/>
    </row>
    <row r="11706">
      <c r="B11706" s="19"/>
      <c r="E11706" s="23"/>
      <c r="L11706" s="23"/>
    </row>
    <row r="11707">
      <c r="B11707" s="19"/>
      <c r="E11707" s="23"/>
      <c r="L11707" s="23"/>
    </row>
    <row r="11708">
      <c r="B11708" s="19"/>
      <c r="E11708" s="23"/>
      <c r="L11708" s="23"/>
    </row>
    <row r="11709">
      <c r="B11709" s="19"/>
      <c r="E11709" s="23"/>
      <c r="L11709" s="23"/>
    </row>
    <row r="11710">
      <c r="B11710" s="19"/>
      <c r="E11710" s="23"/>
      <c r="L11710" s="23"/>
    </row>
    <row r="11711">
      <c r="B11711" s="19"/>
      <c r="E11711" s="23"/>
      <c r="L11711" s="23"/>
    </row>
    <row r="11712">
      <c r="B11712" s="19"/>
      <c r="E11712" s="23"/>
      <c r="L11712" s="23"/>
    </row>
    <row r="11713">
      <c r="B11713" s="19"/>
      <c r="E11713" s="23"/>
      <c r="L11713" s="23"/>
    </row>
    <row r="11714">
      <c r="B11714" s="19"/>
      <c r="E11714" s="23"/>
      <c r="L11714" s="23"/>
    </row>
    <row r="11715">
      <c r="B11715" s="19"/>
      <c r="E11715" s="23"/>
      <c r="L11715" s="23"/>
    </row>
    <row r="11716">
      <c r="B11716" s="19"/>
      <c r="E11716" s="23"/>
      <c r="L11716" s="23"/>
    </row>
    <row r="11717">
      <c r="B11717" s="19"/>
      <c r="E11717" s="23"/>
      <c r="L11717" s="23"/>
    </row>
    <row r="11718">
      <c r="B11718" s="19"/>
      <c r="E11718" s="23"/>
      <c r="L11718" s="23"/>
    </row>
    <row r="11719">
      <c r="B11719" s="19"/>
      <c r="E11719" s="23"/>
      <c r="L11719" s="23"/>
    </row>
    <row r="11720">
      <c r="B11720" s="19"/>
      <c r="E11720" s="23"/>
      <c r="L11720" s="23"/>
    </row>
    <row r="11721">
      <c r="B11721" s="19"/>
      <c r="E11721" s="23"/>
      <c r="L11721" s="23"/>
    </row>
    <row r="11722">
      <c r="B11722" s="19"/>
      <c r="E11722" s="23"/>
      <c r="L11722" s="23"/>
    </row>
    <row r="11723">
      <c r="B11723" s="19"/>
      <c r="E11723" s="23"/>
      <c r="L11723" s="23"/>
    </row>
    <row r="11724">
      <c r="B11724" s="19"/>
      <c r="E11724" s="23"/>
      <c r="L11724" s="23"/>
    </row>
    <row r="11725">
      <c r="B11725" s="19"/>
      <c r="E11725" s="23"/>
      <c r="L11725" s="23"/>
    </row>
    <row r="11726">
      <c r="B11726" s="19"/>
      <c r="E11726" s="23"/>
      <c r="L11726" s="23"/>
    </row>
    <row r="11727">
      <c r="B11727" s="19"/>
      <c r="E11727" s="23"/>
      <c r="L11727" s="23"/>
    </row>
    <row r="11728">
      <c r="B11728" s="19"/>
      <c r="E11728" s="23"/>
      <c r="L11728" s="23"/>
    </row>
    <row r="11729">
      <c r="B11729" s="19"/>
      <c r="E11729" s="23"/>
      <c r="L11729" s="23"/>
    </row>
    <row r="11730">
      <c r="B11730" s="19"/>
      <c r="E11730" s="23"/>
      <c r="L11730" s="23"/>
    </row>
    <row r="11731">
      <c r="B11731" s="19"/>
      <c r="E11731" s="23"/>
      <c r="L11731" s="23"/>
    </row>
    <row r="11732">
      <c r="B11732" s="19"/>
      <c r="E11732" s="23"/>
      <c r="L11732" s="23"/>
    </row>
    <row r="11733">
      <c r="B11733" s="19"/>
      <c r="E11733" s="23"/>
      <c r="L11733" s="23"/>
    </row>
    <row r="11734">
      <c r="B11734" s="19"/>
      <c r="E11734" s="23"/>
      <c r="L11734" s="23"/>
    </row>
    <row r="11735">
      <c r="B11735" s="19"/>
      <c r="E11735" s="23"/>
      <c r="L11735" s="23"/>
    </row>
    <row r="11736">
      <c r="B11736" s="19"/>
      <c r="E11736" s="23"/>
      <c r="L11736" s="23"/>
    </row>
    <row r="11737">
      <c r="B11737" s="19"/>
      <c r="E11737" s="23"/>
      <c r="L11737" s="23"/>
    </row>
    <row r="11738">
      <c r="B11738" s="19"/>
      <c r="E11738" s="23"/>
      <c r="L11738" s="23"/>
    </row>
    <row r="11739">
      <c r="B11739" s="19"/>
      <c r="E11739" s="23"/>
      <c r="L11739" s="23"/>
    </row>
    <row r="11740">
      <c r="B11740" s="19"/>
      <c r="E11740" s="23"/>
      <c r="L11740" s="23"/>
    </row>
    <row r="11741">
      <c r="B11741" s="19"/>
      <c r="E11741" s="23"/>
      <c r="L11741" s="23"/>
    </row>
    <row r="11742">
      <c r="B11742" s="19"/>
      <c r="E11742" s="23"/>
      <c r="L11742" s="23"/>
    </row>
    <row r="11743">
      <c r="B11743" s="19"/>
      <c r="E11743" s="23"/>
      <c r="L11743" s="23"/>
    </row>
    <row r="11744">
      <c r="B11744" s="19"/>
      <c r="E11744" s="23"/>
      <c r="L11744" s="23"/>
    </row>
    <row r="11745">
      <c r="B11745" s="19"/>
      <c r="E11745" s="23"/>
      <c r="L11745" s="23"/>
    </row>
    <row r="11746">
      <c r="B11746" s="19"/>
      <c r="E11746" s="23"/>
      <c r="L11746" s="23"/>
    </row>
    <row r="11747">
      <c r="B11747" s="19"/>
      <c r="E11747" s="23"/>
      <c r="L11747" s="23"/>
    </row>
    <row r="11748">
      <c r="B11748" s="19"/>
      <c r="E11748" s="23"/>
      <c r="L11748" s="23"/>
    </row>
    <row r="11749">
      <c r="B11749" s="19"/>
      <c r="E11749" s="23"/>
      <c r="L11749" s="23"/>
    </row>
    <row r="11750">
      <c r="B11750" s="19"/>
      <c r="E11750" s="23"/>
      <c r="L11750" s="23"/>
    </row>
    <row r="11751">
      <c r="B11751" s="19"/>
      <c r="E11751" s="23"/>
      <c r="L11751" s="23"/>
    </row>
    <row r="11752">
      <c r="B11752" s="19"/>
      <c r="E11752" s="23"/>
      <c r="L11752" s="23"/>
    </row>
    <row r="11753">
      <c r="B11753" s="19"/>
      <c r="E11753" s="23"/>
      <c r="L11753" s="23"/>
    </row>
    <row r="11754">
      <c r="B11754" s="19"/>
      <c r="E11754" s="23"/>
      <c r="L11754" s="23"/>
    </row>
    <row r="11755">
      <c r="B11755" s="19"/>
      <c r="E11755" s="23"/>
      <c r="L11755" s="23"/>
    </row>
    <row r="11756">
      <c r="B11756" s="19"/>
      <c r="E11756" s="23"/>
      <c r="L11756" s="23"/>
    </row>
    <row r="11757">
      <c r="B11757" s="19"/>
      <c r="E11757" s="23"/>
      <c r="L11757" s="23"/>
    </row>
    <row r="11758">
      <c r="B11758" s="19"/>
      <c r="E11758" s="23"/>
      <c r="L11758" s="23"/>
    </row>
    <row r="11759">
      <c r="B11759" s="19"/>
      <c r="E11759" s="23"/>
      <c r="L11759" s="23"/>
    </row>
    <row r="11760">
      <c r="B11760" s="19"/>
      <c r="E11760" s="23"/>
      <c r="L11760" s="23"/>
    </row>
    <row r="11761">
      <c r="B11761" s="19"/>
      <c r="E11761" s="23"/>
      <c r="L11761" s="23"/>
    </row>
    <row r="11762">
      <c r="B11762" s="19"/>
      <c r="E11762" s="23"/>
      <c r="L11762" s="23"/>
    </row>
    <row r="11763">
      <c r="B11763" s="19"/>
      <c r="E11763" s="23"/>
      <c r="L11763" s="23"/>
    </row>
    <row r="11764">
      <c r="B11764" s="19"/>
      <c r="E11764" s="23"/>
      <c r="L11764" s="23"/>
    </row>
    <row r="11765">
      <c r="B11765" s="19"/>
      <c r="E11765" s="23"/>
      <c r="L11765" s="23"/>
    </row>
    <row r="11766">
      <c r="B11766" s="19"/>
      <c r="E11766" s="23"/>
      <c r="L11766" s="23"/>
    </row>
    <row r="11767">
      <c r="B11767" s="19"/>
      <c r="E11767" s="23"/>
      <c r="L11767" s="23"/>
    </row>
    <row r="11768">
      <c r="B11768" s="19"/>
      <c r="E11768" s="23"/>
      <c r="L11768" s="23"/>
    </row>
    <row r="11769">
      <c r="B11769" s="19"/>
      <c r="E11769" s="23"/>
      <c r="L11769" s="23"/>
    </row>
    <row r="11770">
      <c r="B11770" s="19"/>
      <c r="E11770" s="23"/>
      <c r="L11770" s="23"/>
    </row>
    <row r="11771">
      <c r="B11771" s="19"/>
      <c r="E11771" s="23"/>
      <c r="L11771" s="23"/>
    </row>
    <row r="11772">
      <c r="B11772" s="19"/>
      <c r="E11772" s="23"/>
      <c r="L11772" s="23"/>
    </row>
    <row r="11773">
      <c r="B11773" s="19"/>
      <c r="E11773" s="23"/>
      <c r="L11773" s="23"/>
    </row>
    <row r="11774">
      <c r="B11774" s="19"/>
      <c r="E11774" s="23"/>
      <c r="L11774" s="23"/>
    </row>
    <row r="11775">
      <c r="B11775" s="19"/>
      <c r="E11775" s="23"/>
      <c r="L11775" s="23"/>
    </row>
    <row r="11776">
      <c r="B11776" s="19"/>
      <c r="E11776" s="23"/>
      <c r="L11776" s="23"/>
    </row>
    <row r="11777">
      <c r="B11777" s="19"/>
      <c r="E11777" s="23"/>
      <c r="L11777" s="23"/>
    </row>
    <row r="11778">
      <c r="B11778" s="19"/>
      <c r="E11778" s="23"/>
      <c r="L11778" s="23"/>
    </row>
    <row r="11779">
      <c r="B11779" s="19"/>
      <c r="E11779" s="23"/>
      <c r="L11779" s="23"/>
    </row>
    <row r="11780">
      <c r="B11780" s="19"/>
      <c r="E11780" s="23"/>
      <c r="L11780" s="23"/>
    </row>
    <row r="11781">
      <c r="B11781" s="19"/>
      <c r="E11781" s="23"/>
      <c r="L11781" s="23"/>
    </row>
    <row r="11782">
      <c r="B11782" s="19"/>
      <c r="E11782" s="23"/>
      <c r="L11782" s="23"/>
    </row>
    <row r="11783">
      <c r="B11783" s="19"/>
      <c r="E11783" s="23"/>
      <c r="L11783" s="23"/>
    </row>
    <row r="11784">
      <c r="B11784" s="19"/>
      <c r="E11784" s="23"/>
      <c r="L11784" s="23"/>
    </row>
    <row r="11785">
      <c r="B11785" s="19"/>
      <c r="E11785" s="23"/>
      <c r="L11785" s="23"/>
    </row>
    <row r="11786">
      <c r="B11786" s="19"/>
      <c r="E11786" s="23"/>
      <c r="L11786" s="23"/>
    </row>
    <row r="11787">
      <c r="B11787" s="19"/>
      <c r="E11787" s="23"/>
      <c r="L11787" s="23"/>
    </row>
    <row r="11788">
      <c r="B11788" s="19"/>
      <c r="E11788" s="23"/>
      <c r="L11788" s="23"/>
    </row>
    <row r="11789">
      <c r="B11789" s="19"/>
      <c r="E11789" s="23"/>
      <c r="L11789" s="23"/>
    </row>
    <row r="11790">
      <c r="B11790" s="19"/>
      <c r="E11790" s="23"/>
      <c r="L11790" s="23"/>
    </row>
    <row r="11791">
      <c r="B11791" s="19"/>
      <c r="E11791" s="23"/>
      <c r="L11791" s="23"/>
    </row>
    <row r="11792">
      <c r="B11792" s="19"/>
      <c r="E11792" s="23"/>
      <c r="L11792" s="23"/>
    </row>
    <row r="11793">
      <c r="B11793" s="19"/>
      <c r="E11793" s="23"/>
      <c r="L11793" s="23"/>
    </row>
    <row r="11794">
      <c r="B11794" s="19"/>
      <c r="E11794" s="23"/>
      <c r="L11794" s="23"/>
    </row>
    <row r="11795">
      <c r="B11795" s="19"/>
      <c r="E11795" s="23"/>
      <c r="L11795" s="23"/>
    </row>
    <row r="11796">
      <c r="B11796" s="19"/>
      <c r="E11796" s="23"/>
      <c r="L11796" s="23"/>
    </row>
    <row r="11797">
      <c r="B11797" s="19"/>
      <c r="E11797" s="23"/>
      <c r="L11797" s="23"/>
    </row>
    <row r="11798">
      <c r="B11798" s="19"/>
      <c r="E11798" s="23"/>
      <c r="L11798" s="23"/>
    </row>
    <row r="11799">
      <c r="B11799" s="19"/>
      <c r="E11799" s="23"/>
      <c r="L11799" s="23"/>
    </row>
    <row r="11800">
      <c r="B11800" s="19"/>
      <c r="E11800" s="23"/>
      <c r="L11800" s="23"/>
    </row>
    <row r="11801">
      <c r="B11801" s="19"/>
      <c r="E11801" s="23"/>
      <c r="L11801" s="23"/>
    </row>
    <row r="11802">
      <c r="B11802" s="19"/>
      <c r="E11802" s="23"/>
      <c r="L11802" s="23"/>
    </row>
    <row r="11803">
      <c r="B11803" s="19"/>
      <c r="E11803" s="23"/>
      <c r="L11803" s="23"/>
    </row>
    <row r="11804">
      <c r="B11804" s="19"/>
      <c r="E11804" s="23"/>
      <c r="L11804" s="23"/>
    </row>
    <row r="11805">
      <c r="B11805" s="19"/>
      <c r="E11805" s="23"/>
      <c r="L11805" s="23"/>
    </row>
    <row r="11806">
      <c r="B11806" s="19"/>
      <c r="E11806" s="23"/>
      <c r="L11806" s="23"/>
    </row>
    <row r="11807">
      <c r="B11807" s="19"/>
      <c r="E11807" s="23"/>
      <c r="L11807" s="23"/>
    </row>
    <row r="11808">
      <c r="B11808" s="19"/>
      <c r="E11808" s="23"/>
      <c r="L11808" s="23"/>
    </row>
    <row r="11809">
      <c r="B11809" s="19"/>
      <c r="E11809" s="23"/>
      <c r="L11809" s="23"/>
    </row>
    <row r="11810">
      <c r="B11810" s="19"/>
      <c r="E11810" s="23"/>
      <c r="L11810" s="23"/>
    </row>
    <row r="11811">
      <c r="B11811" s="19"/>
      <c r="E11811" s="23"/>
      <c r="L11811" s="23"/>
    </row>
    <row r="11812">
      <c r="B11812" s="19"/>
      <c r="E11812" s="23"/>
      <c r="L11812" s="23"/>
    </row>
    <row r="11813">
      <c r="B11813" s="19"/>
      <c r="E11813" s="23"/>
      <c r="L11813" s="23"/>
    </row>
    <row r="11814">
      <c r="B11814" s="19"/>
      <c r="E11814" s="23"/>
      <c r="L11814" s="23"/>
    </row>
    <row r="11815">
      <c r="B11815" s="19"/>
      <c r="E11815" s="23"/>
      <c r="L11815" s="23"/>
    </row>
    <row r="11816">
      <c r="B11816" s="19"/>
      <c r="E11816" s="23"/>
      <c r="L11816" s="23"/>
    </row>
    <row r="11817">
      <c r="B11817" s="19"/>
      <c r="E11817" s="23"/>
      <c r="L11817" s="23"/>
    </row>
    <row r="11818">
      <c r="B11818" s="19"/>
      <c r="E11818" s="23"/>
      <c r="L11818" s="23"/>
    </row>
    <row r="11819">
      <c r="B11819" s="19"/>
      <c r="E11819" s="23"/>
      <c r="L11819" s="23"/>
    </row>
    <row r="11820">
      <c r="B11820" s="19"/>
      <c r="E11820" s="23"/>
      <c r="L11820" s="23"/>
    </row>
    <row r="11821">
      <c r="B11821" s="19"/>
      <c r="E11821" s="23"/>
      <c r="L11821" s="23"/>
    </row>
    <row r="11822">
      <c r="B11822" s="19"/>
      <c r="E11822" s="23"/>
      <c r="L11822" s="23"/>
    </row>
    <row r="11823">
      <c r="B11823" s="19"/>
      <c r="E11823" s="23"/>
      <c r="L11823" s="23"/>
    </row>
    <row r="11824">
      <c r="B11824" s="19"/>
      <c r="E11824" s="23"/>
      <c r="L11824" s="23"/>
    </row>
    <row r="11825">
      <c r="B11825" s="19"/>
      <c r="E11825" s="23"/>
      <c r="L11825" s="23"/>
    </row>
    <row r="11826">
      <c r="B11826" s="19"/>
      <c r="E11826" s="23"/>
      <c r="L11826" s="23"/>
    </row>
    <row r="11827">
      <c r="B11827" s="19"/>
      <c r="E11827" s="23"/>
      <c r="L11827" s="23"/>
    </row>
    <row r="11828">
      <c r="B11828" s="19"/>
      <c r="E11828" s="23"/>
      <c r="L11828" s="23"/>
    </row>
    <row r="11829">
      <c r="B11829" s="19"/>
      <c r="E11829" s="23"/>
      <c r="L11829" s="23"/>
    </row>
    <row r="11830">
      <c r="B11830" s="19"/>
      <c r="E11830" s="23"/>
      <c r="L11830" s="23"/>
    </row>
    <row r="11831">
      <c r="B11831" s="19"/>
      <c r="E11831" s="23"/>
      <c r="L11831" s="23"/>
    </row>
    <row r="11832">
      <c r="B11832" s="19"/>
      <c r="E11832" s="23"/>
      <c r="L11832" s="23"/>
    </row>
    <row r="11833">
      <c r="B11833" s="19"/>
      <c r="E11833" s="23"/>
      <c r="L11833" s="23"/>
    </row>
    <row r="11834">
      <c r="B11834" s="19"/>
      <c r="E11834" s="23"/>
      <c r="L11834" s="23"/>
    </row>
    <row r="11835">
      <c r="B11835" s="19"/>
      <c r="E11835" s="23"/>
      <c r="L11835" s="23"/>
    </row>
    <row r="11836">
      <c r="B11836" s="19"/>
      <c r="E11836" s="23"/>
      <c r="L11836" s="23"/>
    </row>
    <row r="11837">
      <c r="B11837" s="19"/>
      <c r="E11837" s="23"/>
      <c r="L11837" s="23"/>
    </row>
    <row r="11838">
      <c r="B11838" s="19"/>
      <c r="E11838" s="23"/>
      <c r="L11838" s="23"/>
    </row>
    <row r="11839">
      <c r="B11839" s="19"/>
      <c r="E11839" s="23"/>
      <c r="L11839" s="23"/>
    </row>
    <row r="11840">
      <c r="B11840" s="19"/>
      <c r="E11840" s="23"/>
      <c r="L11840" s="23"/>
    </row>
    <row r="11841">
      <c r="B11841" s="19"/>
      <c r="E11841" s="23"/>
      <c r="L11841" s="23"/>
    </row>
    <row r="11842">
      <c r="B11842" s="19"/>
      <c r="E11842" s="23"/>
      <c r="L11842" s="23"/>
    </row>
    <row r="11843">
      <c r="B11843" s="19"/>
      <c r="E11843" s="23"/>
      <c r="L11843" s="23"/>
    </row>
    <row r="11844">
      <c r="B11844" s="19"/>
      <c r="E11844" s="23"/>
      <c r="L11844" s="23"/>
    </row>
    <row r="11845">
      <c r="B11845" s="19"/>
      <c r="E11845" s="23"/>
      <c r="L11845" s="23"/>
    </row>
    <row r="11846">
      <c r="B11846" s="19"/>
      <c r="E11846" s="23"/>
      <c r="L11846" s="23"/>
    </row>
    <row r="11847">
      <c r="B11847" s="19"/>
      <c r="E11847" s="23"/>
      <c r="L11847" s="23"/>
    </row>
    <row r="11848">
      <c r="B11848" s="19"/>
      <c r="E11848" s="23"/>
      <c r="L11848" s="23"/>
    </row>
    <row r="11849">
      <c r="B11849" s="19"/>
      <c r="E11849" s="23"/>
      <c r="L11849" s="23"/>
    </row>
    <row r="11850">
      <c r="B11850" s="19"/>
      <c r="E11850" s="23"/>
      <c r="L11850" s="23"/>
    </row>
    <row r="11851">
      <c r="B11851" s="19"/>
      <c r="E11851" s="23"/>
      <c r="L11851" s="23"/>
    </row>
    <row r="11852">
      <c r="B11852" s="19"/>
      <c r="E11852" s="23"/>
      <c r="L11852" s="23"/>
    </row>
    <row r="11853">
      <c r="B11853" s="19"/>
      <c r="E11853" s="23"/>
      <c r="L11853" s="23"/>
    </row>
    <row r="11854">
      <c r="B11854" s="19"/>
      <c r="E11854" s="23"/>
      <c r="L11854" s="23"/>
    </row>
    <row r="11855">
      <c r="B11855" s="19"/>
      <c r="E11855" s="23"/>
      <c r="L11855" s="23"/>
    </row>
    <row r="11856">
      <c r="B11856" s="19"/>
      <c r="E11856" s="23"/>
      <c r="L11856" s="23"/>
    </row>
    <row r="11857">
      <c r="B11857" s="19"/>
      <c r="E11857" s="23"/>
      <c r="L11857" s="23"/>
    </row>
    <row r="11858">
      <c r="B11858" s="19"/>
      <c r="E11858" s="23"/>
      <c r="L11858" s="23"/>
    </row>
    <row r="11859">
      <c r="B11859" s="19"/>
      <c r="E11859" s="23"/>
      <c r="L11859" s="23"/>
    </row>
    <row r="11860">
      <c r="B11860" s="19"/>
      <c r="E11860" s="23"/>
      <c r="L11860" s="23"/>
    </row>
    <row r="11861">
      <c r="B11861" s="19"/>
      <c r="E11861" s="23"/>
      <c r="L11861" s="23"/>
    </row>
    <row r="11862">
      <c r="B11862" s="19"/>
      <c r="E11862" s="23"/>
      <c r="L11862" s="23"/>
    </row>
    <row r="11863">
      <c r="B11863" s="19"/>
      <c r="E11863" s="23"/>
      <c r="L11863" s="23"/>
    </row>
    <row r="11864">
      <c r="B11864" s="19"/>
      <c r="E11864" s="23"/>
      <c r="L11864" s="23"/>
    </row>
    <row r="11865">
      <c r="B11865" s="19"/>
      <c r="E11865" s="23"/>
      <c r="L11865" s="23"/>
    </row>
    <row r="11866">
      <c r="B11866" s="19"/>
      <c r="E11866" s="23"/>
      <c r="L11866" s="23"/>
    </row>
    <row r="11867">
      <c r="B11867" s="19"/>
      <c r="E11867" s="23"/>
      <c r="L11867" s="23"/>
    </row>
    <row r="11868">
      <c r="B11868" s="19"/>
      <c r="E11868" s="23"/>
      <c r="L11868" s="23"/>
    </row>
    <row r="11869">
      <c r="B11869" s="19"/>
      <c r="E11869" s="23"/>
      <c r="L11869" s="23"/>
    </row>
    <row r="11870">
      <c r="B11870" s="19"/>
      <c r="E11870" s="23"/>
      <c r="L11870" s="23"/>
    </row>
    <row r="11871">
      <c r="B11871" s="19"/>
      <c r="E11871" s="23"/>
      <c r="L11871" s="23"/>
    </row>
    <row r="11872">
      <c r="B11872" s="19"/>
      <c r="E11872" s="23"/>
      <c r="L11872" s="23"/>
    </row>
    <row r="11873">
      <c r="B11873" s="19"/>
      <c r="E11873" s="23"/>
      <c r="L11873" s="23"/>
    </row>
    <row r="11874">
      <c r="B11874" s="19"/>
      <c r="E11874" s="23"/>
      <c r="L11874" s="23"/>
    </row>
    <row r="11875">
      <c r="B11875" s="19"/>
      <c r="E11875" s="23"/>
      <c r="L11875" s="23"/>
    </row>
    <row r="11876">
      <c r="B11876" s="19"/>
      <c r="E11876" s="23"/>
      <c r="L11876" s="23"/>
    </row>
    <row r="11877">
      <c r="B11877" s="19"/>
      <c r="E11877" s="23"/>
      <c r="L11877" s="23"/>
    </row>
    <row r="11878">
      <c r="B11878" s="19"/>
      <c r="E11878" s="23"/>
      <c r="L11878" s="23"/>
    </row>
    <row r="11879">
      <c r="B11879" s="19"/>
      <c r="E11879" s="23"/>
      <c r="L11879" s="23"/>
    </row>
    <row r="11880">
      <c r="B11880" s="19"/>
      <c r="E11880" s="23"/>
      <c r="L11880" s="23"/>
    </row>
    <row r="11881">
      <c r="B11881" s="19"/>
      <c r="E11881" s="23"/>
      <c r="L11881" s="23"/>
    </row>
    <row r="11882">
      <c r="B11882" s="19"/>
      <c r="E11882" s="23"/>
      <c r="L11882" s="23"/>
    </row>
    <row r="11883">
      <c r="B11883" s="19"/>
      <c r="E11883" s="23"/>
      <c r="L11883" s="23"/>
    </row>
    <row r="11884">
      <c r="B11884" s="19"/>
      <c r="E11884" s="23"/>
      <c r="L11884" s="23"/>
    </row>
    <row r="11885">
      <c r="B11885" s="19"/>
      <c r="E11885" s="23"/>
      <c r="L11885" s="23"/>
    </row>
    <row r="11886">
      <c r="B11886" s="19"/>
      <c r="E11886" s="23"/>
      <c r="L11886" s="23"/>
    </row>
    <row r="11887">
      <c r="B11887" s="19"/>
      <c r="E11887" s="23"/>
      <c r="L11887" s="23"/>
    </row>
    <row r="11888">
      <c r="B11888" s="19"/>
      <c r="E11888" s="23"/>
      <c r="L11888" s="23"/>
    </row>
    <row r="11889">
      <c r="B11889" s="19"/>
      <c r="E11889" s="23"/>
      <c r="L11889" s="23"/>
    </row>
    <row r="11890">
      <c r="B11890" s="19"/>
      <c r="E11890" s="23"/>
      <c r="L11890" s="23"/>
    </row>
    <row r="11891">
      <c r="B11891" s="19"/>
      <c r="E11891" s="23"/>
      <c r="L11891" s="23"/>
    </row>
    <row r="11892">
      <c r="B11892" s="19"/>
      <c r="E11892" s="23"/>
      <c r="L11892" s="23"/>
    </row>
    <row r="11893">
      <c r="B11893" s="19"/>
      <c r="E11893" s="23"/>
      <c r="L11893" s="23"/>
    </row>
    <row r="11894">
      <c r="B11894" s="19"/>
      <c r="E11894" s="23"/>
      <c r="L11894" s="23"/>
    </row>
    <row r="11895">
      <c r="B11895" s="19"/>
      <c r="E11895" s="23"/>
      <c r="L11895" s="23"/>
    </row>
    <row r="11896">
      <c r="B11896" s="19"/>
      <c r="E11896" s="23"/>
      <c r="L11896" s="23"/>
    </row>
    <row r="11897">
      <c r="B11897" s="19"/>
      <c r="E11897" s="23"/>
      <c r="L11897" s="23"/>
    </row>
    <row r="11898">
      <c r="B11898" s="19"/>
      <c r="E11898" s="23"/>
      <c r="L11898" s="23"/>
    </row>
    <row r="11899">
      <c r="B11899" s="19"/>
      <c r="E11899" s="23"/>
      <c r="L11899" s="23"/>
    </row>
    <row r="11900">
      <c r="B11900" s="19"/>
      <c r="E11900" s="23"/>
      <c r="L11900" s="23"/>
    </row>
    <row r="11901">
      <c r="B11901" s="19"/>
      <c r="E11901" s="23"/>
      <c r="L11901" s="23"/>
    </row>
    <row r="11902">
      <c r="B11902" s="19"/>
      <c r="E11902" s="23"/>
      <c r="L11902" s="23"/>
    </row>
    <row r="11903">
      <c r="B11903" s="19"/>
      <c r="E11903" s="23"/>
      <c r="L11903" s="23"/>
    </row>
    <row r="11904">
      <c r="B11904" s="19"/>
      <c r="E11904" s="23"/>
      <c r="L11904" s="23"/>
    </row>
    <row r="11905">
      <c r="B11905" s="19"/>
      <c r="E11905" s="23"/>
      <c r="L11905" s="23"/>
    </row>
    <row r="11906">
      <c r="B11906" s="19"/>
      <c r="E11906" s="23"/>
      <c r="L11906" s="23"/>
    </row>
    <row r="11907">
      <c r="B11907" s="19"/>
      <c r="E11907" s="23"/>
      <c r="L11907" s="23"/>
    </row>
    <row r="11908">
      <c r="B11908" s="19"/>
      <c r="E11908" s="23"/>
      <c r="L11908" s="23"/>
    </row>
    <row r="11909">
      <c r="B11909" s="19"/>
      <c r="E11909" s="23"/>
      <c r="L11909" s="23"/>
    </row>
    <row r="11910">
      <c r="B11910" s="19"/>
      <c r="E11910" s="23"/>
      <c r="L11910" s="23"/>
    </row>
    <row r="11911">
      <c r="B11911" s="19"/>
      <c r="E11911" s="23"/>
      <c r="L11911" s="23"/>
    </row>
    <row r="11912">
      <c r="B11912" s="19"/>
      <c r="E11912" s="23"/>
      <c r="L11912" s="23"/>
    </row>
    <row r="11913">
      <c r="B11913" s="19"/>
      <c r="E11913" s="23"/>
      <c r="L11913" s="23"/>
    </row>
    <row r="11914">
      <c r="B11914" s="19"/>
      <c r="E11914" s="23"/>
      <c r="L11914" s="23"/>
    </row>
    <row r="11915">
      <c r="B11915" s="19"/>
      <c r="E11915" s="23"/>
      <c r="L11915" s="23"/>
    </row>
    <row r="11916">
      <c r="B11916" s="19"/>
      <c r="E11916" s="23"/>
      <c r="L11916" s="23"/>
    </row>
    <row r="11917">
      <c r="B11917" s="19"/>
      <c r="E11917" s="23"/>
      <c r="L11917" s="23"/>
    </row>
    <row r="11918">
      <c r="B11918" s="19"/>
      <c r="E11918" s="23"/>
      <c r="L11918" s="23"/>
    </row>
    <row r="11919">
      <c r="B11919" s="19"/>
      <c r="E11919" s="23"/>
      <c r="L11919" s="23"/>
    </row>
    <row r="11920">
      <c r="B11920" s="19"/>
      <c r="E11920" s="23"/>
      <c r="L11920" s="23"/>
    </row>
    <row r="11921">
      <c r="B11921" s="19"/>
      <c r="E11921" s="23"/>
      <c r="L11921" s="23"/>
    </row>
    <row r="11922">
      <c r="B11922" s="19"/>
      <c r="E11922" s="23"/>
      <c r="L11922" s="23"/>
    </row>
    <row r="11923">
      <c r="B11923" s="19"/>
      <c r="E11923" s="23"/>
      <c r="L11923" s="23"/>
    </row>
    <row r="11924">
      <c r="B11924" s="19"/>
      <c r="E11924" s="23"/>
      <c r="L11924" s="23"/>
    </row>
    <row r="11925">
      <c r="B11925" s="19"/>
      <c r="E11925" s="23"/>
      <c r="L11925" s="23"/>
    </row>
    <row r="11926">
      <c r="B11926" s="19"/>
      <c r="E11926" s="23"/>
      <c r="L11926" s="23"/>
    </row>
    <row r="11927">
      <c r="B11927" s="19"/>
      <c r="E11927" s="23"/>
      <c r="L11927" s="23"/>
    </row>
    <row r="11928">
      <c r="B11928" s="19"/>
      <c r="E11928" s="23"/>
      <c r="L11928" s="23"/>
    </row>
    <row r="11929">
      <c r="B11929" s="19"/>
      <c r="E11929" s="23"/>
      <c r="L11929" s="23"/>
    </row>
    <row r="11930">
      <c r="B11930" s="19"/>
      <c r="E11930" s="23"/>
      <c r="L11930" s="23"/>
    </row>
    <row r="11931">
      <c r="B11931" s="19"/>
      <c r="E11931" s="23"/>
      <c r="L11931" s="23"/>
    </row>
    <row r="11932">
      <c r="B11932" s="19"/>
      <c r="E11932" s="23"/>
      <c r="L11932" s="23"/>
    </row>
    <row r="11933">
      <c r="B11933" s="19"/>
      <c r="E11933" s="23"/>
      <c r="L11933" s="23"/>
    </row>
    <row r="11934">
      <c r="B11934" s="19"/>
      <c r="E11934" s="23"/>
      <c r="L11934" s="23"/>
    </row>
    <row r="11935">
      <c r="B11935" s="19"/>
      <c r="E11935" s="23"/>
      <c r="L11935" s="23"/>
    </row>
    <row r="11936">
      <c r="B11936" s="19"/>
      <c r="E11936" s="23"/>
      <c r="L11936" s="23"/>
    </row>
    <row r="11937">
      <c r="B11937" s="19"/>
      <c r="E11937" s="23"/>
      <c r="L11937" s="23"/>
    </row>
    <row r="11938">
      <c r="B11938" s="19"/>
      <c r="E11938" s="23"/>
      <c r="L11938" s="23"/>
    </row>
    <row r="11939">
      <c r="B11939" s="19"/>
      <c r="E11939" s="23"/>
      <c r="L11939" s="23"/>
    </row>
    <row r="11940">
      <c r="B11940" s="19"/>
      <c r="E11940" s="23"/>
      <c r="L11940" s="23"/>
    </row>
    <row r="11941">
      <c r="B11941" s="19"/>
      <c r="E11941" s="23"/>
      <c r="L11941" s="23"/>
    </row>
    <row r="11942">
      <c r="B11942" s="19"/>
      <c r="E11942" s="23"/>
      <c r="L11942" s="23"/>
    </row>
    <row r="11943">
      <c r="B11943" s="19"/>
      <c r="E11943" s="23"/>
      <c r="L11943" s="23"/>
    </row>
    <row r="11944">
      <c r="B11944" s="19"/>
      <c r="E11944" s="23"/>
      <c r="L11944" s="23"/>
    </row>
    <row r="11945">
      <c r="B11945" s="19"/>
      <c r="E11945" s="23"/>
      <c r="L11945" s="23"/>
    </row>
    <row r="11946">
      <c r="B11946" s="19"/>
      <c r="E11946" s="23"/>
      <c r="L11946" s="23"/>
    </row>
    <row r="11947">
      <c r="B11947" s="19"/>
      <c r="E11947" s="23"/>
      <c r="L11947" s="23"/>
    </row>
    <row r="11948">
      <c r="B11948" s="19"/>
      <c r="E11948" s="23"/>
      <c r="L11948" s="23"/>
    </row>
    <row r="11949">
      <c r="B11949" s="19"/>
      <c r="E11949" s="23"/>
      <c r="L11949" s="23"/>
    </row>
    <row r="11950">
      <c r="B11950" s="19"/>
      <c r="E11950" s="23"/>
      <c r="L11950" s="23"/>
    </row>
    <row r="11951">
      <c r="B11951" s="19"/>
      <c r="E11951" s="23"/>
      <c r="L11951" s="23"/>
    </row>
    <row r="11952">
      <c r="B11952" s="19"/>
      <c r="E11952" s="23"/>
      <c r="L11952" s="23"/>
    </row>
    <row r="11953">
      <c r="B11953" s="19"/>
      <c r="E11953" s="23"/>
      <c r="L11953" s="23"/>
    </row>
    <row r="11954">
      <c r="B11954" s="19"/>
      <c r="E11954" s="23"/>
      <c r="L11954" s="23"/>
    </row>
    <row r="11955">
      <c r="B11955" s="19"/>
      <c r="E11955" s="23"/>
      <c r="L11955" s="23"/>
    </row>
    <row r="11956">
      <c r="B11956" s="19"/>
      <c r="E11956" s="23"/>
      <c r="L11956" s="23"/>
    </row>
    <row r="11957">
      <c r="B11957" s="19"/>
      <c r="E11957" s="23"/>
      <c r="L11957" s="23"/>
    </row>
    <row r="11958">
      <c r="B11958" s="19"/>
      <c r="E11958" s="23"/>
      <c r="L11958" s="23"/>
    </row>
    <row r="11959">
      <c r="B11959" s="19"/>
      <c r="E11959" s="23"/>
      <c r="L11959" s="23"/>
    </row>
    <row r="11960">
      <c r="B11960" s="19"/>
      <c r="E11960" s="23"/>
      <c r="L11960" s="23"/>
    </row>
    <row r="11961">
      <c r="B11961" s="19"/>
      <c r="E11961" s="23"/>
      <c r="L11961" s="23"/>
    </row>
    <row r="11962">
      <c r="B11962" s="19"/>
      <c r="E11962" s="23"/>
      <c r="L11962" s="23"/>
    </row>
    <row r="11963">
      <c r="B11963" s="19"/>
      <c r="E11963" s="23"/>
      <c r="L11963" s="23"/>
    </row>
    <row r="11964">
      <c r="B11964" s="19"/>
      <c r="E11964" s="23"/>
      <c r="L11964" s="23"/>
    </row>
    <row r="11965">
      <c r="B11965" s="19"/>
      <c r="E11965" s="23"/>
      <c r="L11965" s="23"/>
    </row>
    <row r="11966">
      <c r="B11966" s="19"/>
      <c r="E11966" s="23"/>
      <c r="L11966" s="23"/>
    </row>
    <row r="11967">
      <c r="B11967" s="19"/>
      <c r="E11967" s="23"/>
      <c r="L11967" s="23"/>
    </row>
    <row r="11968">
      <c r="B11968" s="19"/>
      <c r="E11968" s="23"/>
      <c r="L11968" s="23"/>
    </row>
    <row r="11969">
      <c r="B11969" s="19"/>
      <c r="E11969" s="23"/>
      <c r="L11969" s="23"/>
    </row>
    <row r="11970">
      <c r="B11970" s="19"/>
      <c r="E11970" s="23"/>
      <c r="L11970" s="23"/>
    </row>
    <row r="11971">
      <c r="B11971" s="19"/>
      <c r="E11971" s="23"/>
      <c r="L11971" s="23"/>
    </row>
    <row r="11972">
      <c r="B11972" s="19"/>
      <c r="E11972" s="23"/>
      <c r="L11972" s="23"/>
    </row>
    <row r="11973">
      <c r="B11973" s="19"/>
      <c r="E11973" s="23"/>
      <c r="L11973" s="23"/>
    </row>
    <row r="11974">
      <c r="B11974" s="19"/>
      <c r="E11974" s="23"/>
      <c r="L11974" s="23"/>
    </row>
    <row r="11975">
      <c r="B11975" s="19"/>
      <c r="E11975" s="23"/>
      <c r="L11975" s="23"/>
    </row>
    <row r="11976">
      <c r="B11976" s="19"/>
      <c r="E11976" s="23"/>
      <c r="L11976" s="23"/>
    </row>
    <row r="11977">
      <c r="B11977" s="19"/>
      <c r="E11977" s="23"/>
      <c r="L11977" s="23"/>
    </row>
    <row r="11978">
      <c r="B11978" s="19"/>
      <c r="E11978" s="23"/>
      <c r="L11978" s="23"/>
    </row>
    <row r="11979">
      <c r="B11979" s="19"/>
      <c r="E11979" s="23"/>
      <c r="L11979" s="23"/>
    </row>
    <row r="11980">
      <c r="B11980" s="19"/>
      <c r="E11980" s="23"/>
      <c r="L11980" s="23"/>
    </row>
    <row r="11981">
      <c r="B11981" s="19"/>
      <c r="E11981" s="23"/>
      <c r="L11981" s="23"/>
    </row>
    <row r="11982">
      <c r="B11982" s="19"/>
      <c r="E11982" s="23"/>
      <c r="L11982" s="23"/>
    </row>
    <row r="11983">
      <c r="B11983" s="19"/>
      <c r="E11983" s="23"/>
      <c r="L11983" s="23"/>
    </row>
    <row r="11984">
      <c r="B11984" s="19"/>
      <c r="E11984" s="23"/>
      <c r="L11984" s="23"/>
    </row>
    <row r="11985">
      <c r="B11985" s="19"/>
      <c r="E11985" s="23"/>
      <c r="L11985" s="23"/>
    </row>
    <row r="11986">
      <c r="B11986" s="19"/>
      <c r="E11986" s="23"/>
      <c r="L11986" s="23"/>
    </row>
    <row r="11987">
      <c r="B11987" s="19"/>
      <c r="E11987" s="23"/>
      <c r="L11987" s="23"/>
    </row>
    <row r="11988">
      <c r="B11988" s="19"/>
      <c r="E11988" s="23"/>
      <c r="L11988" s="23"/>
    </row>
    <row r="11989">
      <c r="B11989" s="19"/>
      <c r="E11989" s="23"/>
      <c r="L11989" s="23"/>
    </row>
    <row r="11990">
      <c r="B11990" s="19"/>
      <c r="E11990" s="23"/>
      <c r="L11990" s="23"/>
    </row>
    <row r="11991">
      <c r="B11991" s="19"/>
      <c r="E11991" s="23"/>
      <c r="L11991" s="23"/>
    </row>
    <row r="11992">
      <c r="B11992" s="19"/>
      <c r="E11992" s="23"/>
      <c r="L11992" s="23"/>
    </row>
    <row r="11993">
      <c r="B11993" s="19"/>
      <c r="E11993" s="23"/>
      <c r="L11993" s="23"/>
    </row>
    <row r="11994">
      <c r="B11994" s="19"/>
      <c r="E11994" s="23"/>
      <c r="L11994" s="23"/>
    </row>
    <row r="11995">
      <c r="B11995" s="19"/>
      <c r="E11995" s="23"/>
      <c r="L11995" s="23"/>
    </row>
    <row r="11996">
      <c r="B11996" s="19"/>
      <c r="E11996" s="23"/>
      <c r="L11996" s="23"/>
    </row>
    <row r="11997">
      <c r="B11997" s="19"/>
      <c r="E11997" s="23"/>
      <c r="L11997" s="23"/>
    </row>
    <row r="11998">
      <c r="B11998" s="19"/>
      <c r="E11998" s="23"/>
      <c r="L11998" s="23"/>
    </row>
    <row r="11999">
      <c r="B11999" s="19"/>
      <c r="E11999" s="23"/>
      <c r="L11999" s="23"/>
    </row>
    <row r="12000">
      <c r="B12000" s="19"/>
      <c r="E12000" s="23"/>
      <c r="L12000" s="23"/>
    </row>
    <row r="12001">
      <c r="B12001" s="19"/>
      <c r="E12001" s="23"/>
      <c r="L12001" s="23"/>
    </row>
    <row r="12002">
      <c r="B12002" s="19"/>
      <c r="E12002" s="23"/>
      <c r="L12002" s="23"/>
    </row>
    <row r="12003">
      <c r="B12003" s="19"/>
      <c r="E12003" s="23"/>
      <c r="L12003" s="23"/>
    </row>
    <row r="12004">
      <c r="B12004" s="19"/>
      <c r="E12004" s="23"/>
      <c r="L12004" s="23"/>
    </row>
    <row r="12005">
      <c r="B12005" s="19"/>
      <c r="E12005" s="23"/>
      <c r="L12005" s="23"/>
    </row>
    <row r="12006">
      <c r="B12006" s="19"/>
      <c r="E12006" s="23"/>
      <c r="L12006" s="23"/>
    </row>
    <row r="12007">
      <c r="B12007" s="19"/>
      <c r="E12007" s="23"/>
      <c r="L12007" s="23"/>
    </row>
    <row r="12008">
      <c r="B12008" s="19"/>
      <c r="E12008" s="23"/>
      <c r="L12008" s="23"/>
    </row>
    <row r="12009">
      <c r="B12009" s="19"/>
      <c r="E12009" s="23"/>
      <c r="L12009" s="23"/>
    </row>
    <row r="12010">
      <c r="B12010" s="19"/>
      <c r="E12010" s="23"/>
      <c r="L12010" s="23"/>
    </row>
    <row r="12011">
      <c r="B12011" s="19"/>
      <c r="E12011" s="23"/>
      <c r="L12011" s="23"/>
    </row>
    <row r="12012">
      <c r="B12012" s="19"/>
      <c r="E12012" s="23"/>
      <c r="L12012" s="23"/>
    </row>
    <row r="12013">
      <c r="B12013" s="19"/>
      <c r="E12013" s="23"/>
      <c r="L12013" s="23"/>
    </row>
    <row r="12014">
      <c r="B12014" s="19"/>
      <c r="E12014" s="23"/>
      <c r="L12014" s="23"/>
    </row>
    <row r="12015">
      <c r="B12015" s="19"/>
      <c r="E12015" s="23"/>
      <c r="L12015" s="23"/>
    </row>
    <row r="12016">
      <c r="B12016" s="19"/>
      <c r="E12016" s="23"/>
      <c r="L12016" s="23"/>
    </row>
    <row r="12017">
      <c r="B12017" s="19"/>
      <c r="E12017" s="23"/>
      <c r="L12017" s="23"/>
    </row>
    <row r="12018">
      <c r="B12018" s="19"/>
      <c r="E12018" s="23"/>
      <c r="L12018" s="23"/>
    </row>
    <row r="12019">
      <c r="B12019" s="19"/>
      <c r="E12019" s="23"/>
      <c r="L12019" s="23"/>
    </row>
    <row r="12020">
      <c r="B12020" s="19"/>
      <c r="E12020" s="23"/>
      <c r="L12020" s="23"/>
    </row>
    <row r="12021">
      <c r="B12021" s="19"/>
      <c r="E12021" s="23"/>
      <c r="L12021" s="23"/>
    </row>
    <row r="12022">
      <c r="B12022" s="19"/>
      <c r="E12022" s="23"/>
      <c r="L12022" s="23"/>
    </row>
    <row r="12023">
      <c r="B12023" s="19"/>
      <c r="E12023" s="23"/>
      <c r="L12023" s="23"/>
    </row>
    <row r="12024">
      <c r="B12024" s="19"/>
      <c r="E12024" s="23"/>
      <c r="L12024" s="23"/>
    </row>
    <row r="12025">
      <c r="B12025" s="19"/>
      <c r="E12025" s="23"/>
      <c r="L12025" s="23"/>
    </row>
    <row r="12026">
      <c r="B12026" s="19"/>
      <c r="E12026" s="23"/>
      <c r="L12026" s="23"/>
    </row>
    <row r="12027">
      <c r="B12027" s="19"/>
      <c r="E12027" s="23"/>
      <c r="L12027" s="23"/>
    </row>
    <row r="12028">
      <c r="B12028" s="19"/>
      <c r="E12028" s="23"/>
      <c r="L12028" s="23"/>
    </row>
    <row r="12029">
      <c r="B12029" s="19"/>
      <c r="E12029" s="23"/>
      <c r="L12029" s="23"/>
    </row>
    <row r="12030">
      <c r="B12030" s="19"/>
      <c r="E12030" s="23"/>
      <c r="L12030" s="23"/>
    </row>
    <row r="12031">
      <c r="B12031" s="19"/>
      <c r="E12031" s="23"/>
      <c r="L12031" s="23"/>
    </row>
    <row r="12032">
      <c r="B12032" s="19"/>
      <c r="E12032" s="23"/>
      <c r="L12032" s="23"/>
    </row>
    <row r="12033">
      <c r="B12033" s="19"/>
      <c r="E12033" s="23"/>
      <c r="L12033" s="23"/>
    </row>
    <row r="12034">
      <c r="B12034" s="19"/>
      <c r="E12034" s="23"/>
      <c r="L12034" s="23"/>
    </row>
    <row r="12035">
      <c r="B12035" s="19"/>
      <c r="E12035" s="23"/>
      <c r="L12035" s="23"/>
    </row>
    <row r="12036">
      <c r="B12036" s="19"/>
      <c r="E12036" s="23"/>
      <c r="L12036" s="23"/>
    </row>
    <row r="12037">
      <c r="B12037" s="19"/>
      <c r="E12037" s="23"/>
      <c r="L12037" s="23"/>
    </row>
    <row r="12038">
      <c r="B12038" s="19"/>
      <c r="E12038" s="23"/>
      <c r="L12038" s="23"/>
    </row>
    <row r="12039">
      <c r="B12039" s="19"/>
      <c r="E12039" s="23"/>
      <c r="L12039" s="23"/>
    </row>
    <row r="12040">
      <c r="B12040" s="19"/>
      <c r="E12040" s="23"/>
      <c r="L12040" s="23"/>
    </row>
    <row r="12041">
      <c r="B12041" s="19"/>
      <c r="E12041" s="23"/>
      <c r="L12041" s="23"/>
    </row>
    <row r="12042">
      <c r="B12042" s="19"/>
      <c r="E12042" s="23"/>
      <c r="L12042" s="23"/>
    </row>
    <row r="12043">
      <c r="B12043" s="19"/>
      <c r="E12043" s="23"/>
      <c r="L12043" s="23"/>
    </row>
    <row r="12044">
      <c r="B12044" s="19"/>
      <c r="E12044" s="23"/>
      <c r="L12044" s="23"/>
    </row>
    <row r="12045">
      <c r="B12045" s="19"/>
      <c r="E12045" s="23"/>
      <c r="L12045" s="23"/>
    </row>
    <row r="12046">
      <c r="B12046" s="19"/>
      <c r="E12046" s="23"/>
      <c r="L12046" s="23"/>
    </row>
    <row r="12047">
      <c r="B12047" s="19"/>
      <c r="E12047" s="23"/>
      <c r="L12047" s="23"/>
    </row>
    <row r="12048">
      <c r="B12048" s="19"/>
      <c r="E12048" s="23"/>
      <c r="L12048" s="23"/>
    </row>
    <row r="12049">
      <c r="B12049" s="19"/>
      <c r="E12049" s="23"/>
      <c r="L12049" s="23"/>
    </row>
    <row r="12050">
      <c r="B12050" s="19"/>
      <c r="E12050" s="23"/>
      <c r="L12050" s="23"/>
    </row>
    <row r="12051">
      <c r="B12051" s="19"/>
      <c r="E12051" s="23"/>
      <c r="L12051" s="23"/>
    </row>
    <row r="12052">
      <c r="B12052" s="19"/>
      <c r="E12052" s="23"/>
      <c r="L12052" s="23"/>
    </row>
    <row r="12053">
      <c r="B12053" s="19"/>
      <c r="E12053" s="23"/>
      <c r="L12053" s="23"/>
    </row>
    <row r="12054">
      <c r="B12054" s="19"/>
      <c r="E12054" s="23"/>
      <c r="L12054" s="23"/>
    </row>
    <row r="12055">
      <c r="B12055" s="19"/>
      <c r="E12055" s="23"/>
      <c r="L12055" s="23"/>
    </row>
    <row r="12056">
      <c r="B12056" s="19"/>
      <c r="E12056" s="23"/>
      <c r="L12056" s="23"/>
    </row>
    <row r="12057">
      <c r="B12057" s="19"/>
      <c r="E12057" s="23"/>
      <c r="L12057" s="23"/>
    </row>
    <row r="12058">
      <c r="B12058" s="19"/>
      <c r="E12058" s="23"/>
      <c r="L12058" s="23"/>
    </row>
    <row r="12059">
      <c r="B12059" s="19"/>
      <c r="E12059" s="23"/>
      <c r="L12059" s="23"/>
    </row>
    <row r="12060">
      <c r="B12060" s="19"/>
      <c r="E12060" s="23"/>
      <c r="L12060" s="23"/>
    </row>
    <row r="12061">
      <c r="B12061" s="19"/>
      <c r="E12061" s="23"/>
      <c r="L12061" s="23"/>
    </row>
    <row r="12062">
      <c r="B12062" s="19"/>
      <c r="E12062" s="23"/>
      <c r="L12062" s="23"/>
    </row>
    <row r="12063">
      <c r="B12063" s="19"/>
      <c r="E12063" s="23"/>
      <c r="L12063" s="23"/>
    </row>
    <row r="12064">
      <c r="B12064" s="19"/>
      <c r="E12064" s="23"/>
      <c r="L12064" s="23"/>
    </row>
    <row r="12065">
      <c r="B12065" s="19"/>
      <c r="E12065" s="23"/>
      <c r="L12065" s="23"/>
    </row>
    <row r="12066">
      <c r="B12066" s="19"/>
      <c r="E12066" s="23"/>
      <c r="L12066" s="23"/>
    </row>
    <row r="12067">
      <c r="B12067" s="19"/>
      <c r="E12067" s="23"/>
      <c r="L12067" s="23"/>
    </row>
    <row r="12068">
      <c r="B12068" s="19"/>
      <c r="E12068" s="23"/>
      <c r="L12068" s="23"/>
    </row>
    <row r="12069">
      <c r="B12069" s="19"/>
      <c r="E12069" s="23"/>
      <c r="L12069" s="23"/>
    </row>
    <row r="12070">
      <c r="B12070" s="19"/>
      <c r="E12070" s="23"/>
      <c r="L12070" s="23"/>
    </row>
    <row r="12071">
      <c r="B12071" s="19"/>
      <c r="E12071" s="23"/>
      <c r="L12071" s="23"/>
    </row>
    <row r="12072">
      <c r="B12072" s="19"/>
      <c r="E12072" s="23"/>
      <c r="L12072" s="23"/>
    </row>
    <row r="12073">
      <c r="B12073" s="19"/>
      <c r="E12073" s="23"/>
      <c r="L12073" s="23"/>
    </row>
    <row r="12074">
      <c r="B12074" s="19"/>
      <c r="E12074" s="23"/>
      <c r="L12074" s="23"/>
    </row>
    <row r="12075">
      <c r="B12075" s="19"/>
      <c r="E12075" s="23"/>
      <c r="L12075" s="23"/>
    </row>
    <row r="12076">
      <c r="B12076" s="19"/>
      <c r="E12076" s="23"/>
      <c r="L12076" s="23"/>
    </row>
    <row r="12077">
      <c r="B12077" s="19"/>
      <c r="E12077" s="23"/>
      <c r="L12077" s="23"/>
    </row>
    <row r="12078">
      <c r="B12078" s="19"/>
      <c r="E12078" s="23"/>
      <c r="L12078" s="23"/>
    </row>
    <row r="12079">
      <c r="B12079" s="19"/>
      <c r="E12079" s="23"/>
      <c r="L12079" s="23"/>
    </row>
    <row r="12080">
      <c r="B12080" s="19"/>
      <c r="E12080" s="23"/>
      <c r="L12080" s="23"/>
    </row>
    <row r="12081">
      <c r="B12081" s="19"/>
      <c r="E12081" s="23"/>
      <c r="L12081" s="23"/>
    </row>
    <row r="12082">
      <c r="B12082" s="19"/>
      <c r="E12082" s="23"/>
      <c r="L12082" s="23"/>
    </row>
    <row r="12083">
      <c r="B12083" s="19"/>
      <c r="E12083" s="23"/>
      <c r="L12083" s="23"/>
    </row>
    <row r="12084">
      <c r="B12084" s="19"/>
      <c r="E12084" s="23"/>
      <c r="L12084" s="23"/>
    </row>
    <row r="12085">
      <c r="B12085" s="19"/>
      <c r="E12085" s="23"/>
      <c r="L12085" s="23"/>
    </row>
    <row r="12086">
      <c r="B12086" s="19"/>
      <c r="E12086" s="23"/>
      <c r="L12086" s="23"/>
    </row>
    <row r="12087">
      <c r="B12087" s="19"/>
      <c r="E12087" s="23"/>
      <c r="L12087" s="23"/>
    </row>
    <row r="12088">
      <c r="B12088" s="19"/>
      <c r="E12088" s="23"/>
      <c r="L12088" s="23"/>
    </row>
    <row r="12089">
      <c r="B12089" s="19"/>
      <c r="E12089" s="23"/>
      <c r="L12089" s="23"/>
    </row>
    <row r="12090">
      <c r="B12090" s="19"/>
      <c r="E12090" s="23"/>
      <c r="L12090" s="23"/>
    </row>
    <row r="12091">
      <c r="B12091" s="19"/>
      <c r="E12091" s="23"/>
      <c r="L12091" s="23"/>
    </row>
    <row r="12092">
      <c r="B12092" s="19"/>
      <c r="E12092" s="23"/>
      <c r="L12092" s="23"/>
    </row>
    <row r="12093">
      <c r="B12093" s="19"/>
      <c r="E12093" s="23"/>
      <c r="L12093" s="23"/>
    </row>
    <row r="12094">
      <c r="B12094" s="19"/>
      <c r="E12094" s="23"/>
      <c r="L12094" s="23"/>
    </row>
    <row r="12095">
      <c r="B12095" s="19"/>
      <c r="E12095" s="23"/>
      <c r="L12095" s="23"/>
    </row>
    <row r="12096">
      <c r="B12096" s="19"/>
      <c r="E12096" s="23"/>
      <c r="L12096" s="23"/>
    </row>
    <row r="12097">
      <c r="B12097" s="19"/>
      <c r="E12097" s="23"/>
      <c r="L12097" s="23"/>
    </row>
    <row r="12098">
      <c r="B12098" s="19"/>
      <c r="E12098" s="23"/>
      <c r="L12098" s="23"/>
    </row>
    <row r="12099">
      <c r="B12099" s="19"/>
      <c r="E12099" s="23"/>
      <c r="L12099" s="23"/>
    </row>
    <row r="12100">
      <c r="B12100" s="19"/>
      <c r="E12100" s="23"/>
      <c r="L12100" s="23"/>
    </row>
    <row r="12101">
      <c r="B12101" s="19"/>
      <c r="E12101" s="23"/>
      <c r="L12101" s="23"/>
    </row>
    <row r="12102">
      <c r="B12102" s="19"/>
      <c r="E12102" s="23"/>
      <c r="L12102" s="23"/>
    </row>
    <row r="12103">
      <c r="B12103" s="19"/>
      <c r="E12103" s="23"/>
      <c r="L12103" s="23"/>
    </row>
    <row r="12104">
      <c r="B12104" s="19"/>
      <c r="E12104" s="23"/>
      <c r="L12104" s="23"/>
    </row>
    <row r="12105">
      <c r="B12105" s="19"/>
      <c r="E12105" s="23"/>
      <c r="L12105" s="23"/>
    </row>
    <row r="12106">
      <c r="B12106" s="19"/>
      <c r="E12106" s="23"/>
      <c r="L12106" s="23"/>
    </row>
    <row r="12107">
      <c r="B12107" s="19"/>
      <c r="E12107" s="23"/>
      <c r="L12107" s="23"/>
    </row>
    <row r="12108">
      <c r="B12108" s="19"/>
      <c r="E12108" s="23"/>
      <c r="L12108" s="23"/>
    </row>
    <row r="12109">
      <c r="B12109" s="19"/>
      <c r="E12109" s="23"/>
      <c r="L12109" s="23"/>
    </row>
    <row r="12110">
      <c r="B12110" s="19"/>
      <c r="E12110" s="23"/>
      <c r="L12110" s="23"/>
    </row>
    <row r="12111">
      <c r="B12111" s="19"/>
      <c r="E12111" s="23"/>
      <c r="L12111" s="23"/>
    </row>
    <row r="12112">
      <c r="B12112" s="19"/>
      <c r="E12112" s="23"/>
      <c r="L12112" s="23"/>
    </row>
    <row r="12113">
      <c r="B12113" s="19"/>
      <c r="E12113" s="23"/>
      <c r="L12113" s="23"/>
    </row>
    <row r="12114">
      <c r="B12114" s="19"/>
      <c r="E12114" s="23"/>
      <c r="L12114" s="23"/>
    </row>
    <row r="12115">
      <c r="B12115" s="19"/>
      <c r="E12115" s="23"/>
      <c r="L12115" s="23"/>
    </row>
    <row r="12116">
      <c r="B12116" s="19"/>
      <c r="E12116" s="23"/>
      <c r="L12116" s="23"/>
    </row>
    <row r="12117">
      <c r="B12117" s="19"/>
      <c r="E12117" s="23"/>
      <c r="L12117" s="23"/>
    </row>
    <row r="12118">
      <c r="B12118" s="19"/>
      <c r="E12118" s="23"/>
      <c r="L12118" s="23"/>
    </row>
    <row r="12119">
      <c r="B12119" s="19"/>
      <c r="E12119" s="23"/>
      <c r="L12119" s="23"/>
    </row>
    <row r="12120">
      <c r="B12120" s="19"/>
      <c r="E12120" s="23"/>
      <c r="L12120" s="23"/>
    </row>
    <row r="12121">
      <c r="B12121" s="19"/>
      <c r="E12121" s="23"/>
      <c r="L12121" s="23"/>
    </row>
    <row r="12122">
      <c r="B12122" s="19"/>
      <c r="E12122" s="23"/>
      <c r="L12122" s="23"/>
    </row>
    <row r="12123">
      <c r="B12123" s="19"/>
      <c r="E12123" s="23"/>
      <c r="L12123" s="23"/>
    </row>
    <row r="12124">
      <c r="B12124" s="19"/>
      <c r="E12124" s="23"/>
      <c r="L12124" s="23"/>
    </row>
    <row r="12125">
      <c r="B12125" s="19"/>
      <c r="E12125" s="23"/>
      <c r="L12125" s="23"/>
    </row>
    <row r="12126">
      <c r="B12126" s="19"/>
      <c r="E12126" s="23"/>
      <c r="L12126" s="23"/>
    </row>
    <row r="12127">
      <c r="B12127" s="19"/>
      <c r="E12127" s="23"/>
      <c r="L12127" s="23"/>
    </row>
    <row r="12128">
      <c r="B12128" s="19"/>
      <c r="E12128" s="23"/>
      <c r="L12128" s="23"/>
    </row>
    <row r="12129">
      <c r="B12129" s="19"/>
      <c r="E12129" s="23"/>
      <c r="L12129" s="23"/>
    </row>
    <row r="12130">
      <c r="B12130" s="19"/>
      <c r="E12130" s="23"/>
      <c r="L12130" s="23"/>
    </row>
    <row r="12131">
      <c r="B12131" s="19"/>
      <c r="E12131" s="23"/>
      <c r="L12131" s="23"/>
    </row>
    <row r="12132">
      <c r="B12132" s="19"/>
      <c r="E12132" s="23"/>
      <c r="L12132" s="23"/>
    </row>
    <row r="12133">
      <c r="B12133" s="19"/>
      <c r="E12133" s="23"/>
      <c r="L12133" s="23"/>
    </row>
    <row r="12134">
      <c r="B12134" s="19"/>
      <c r="E12134" s="23"/>
      <c r="L12134" s="23"/>
    </row>
    <row r="12135">
      <c r="B12135" s="19"/>
      <c r="E12135" s="23"/>
      <c r="L12135" s="23"/>
    </row>
    <row r="12136">
      <c r="B12136" s="19"/>
      <c r="E12136" s="23"/>
      <c r="L12136" s="23"/>
    </row>
    <row r="12137">
      <c r="B12137" s="19"/>
      <c r="E12137" s="23"/>
      <c r="L12137" s="23"/>
    </row>
    <row r="12138">
      <c r="B12138" s="19"/>
      <c r="E12138" s="23"/>
      <c r="L12138" s="23"/>
    </row>
    <row r="12139">
      <c r="B12139" s="19"/>
      <c r="E12139" s="23"/>
      <c r="L12139" s="23"/>
    </row>
    <row r="12140">
      <c r="B12140" s="19"/>
      <c r="E12140" s="23"/>
      <c r="L12140" s="23"/>
    </row>
    <row r="12141">
      <c r="B12141" s="19"/>
      <c r="E12141" s="23"/>
      <c r="L12141" s="23"/>
    </row>
    <row r="12142">
      <c r="B12142" s="19"/>
      <c r="E12142" s="23"/>
      <c r="L12142" s="23"/>
    </row>
    <row r="12143">
      <c r="B12143" s="19"/>
      <c r="E12143" s="23"/>
      <c r="L12143" s="23"/>
    </row>
    <row r="12144">
      <c r="B12144" s="19"/>
      <c r="E12144" s="23"/>
      <c r="L12144" s="23"/>
    </row>
    <row r="12145">
      <c r="B12145" s="19"/>
      <c r="E12145" s="23"/>
      <c r="L12145" s="23"/>
    </row>
    <row r="12146">
      <c r="B12146" s="19"/>
      <c r="E12146" s="23"/>
      <c r="L12146" s="23"/>
    </row>
    <row r="12147">
      <c r="B12147" s="19"/>
      <c r="E12147" s="23"/>
      <c r="L12147" s="23"/>
    </row>
    <row r="12148">
      <c r="B12148" s="19"/>
      <c r="E12148" s="23"/>
      <c r="L12148" s="23"/>
    </row>
    <row r="12149">
      <c r="B12149" s="19"/>
      <c r="E12149" s="23"/>
      <c r="L12149" s="23"/>
    </row>
    <row r="12150">
      <c r="B12150" s="19"/>
      <c r="E12150" s="23"/>
      <c r="L12150" s="23"/>
    </row>
    <row r="12151">
      <c r="B12151" s="19"/>
      <c r="E12151" s="23"/>
      <c r="L12151" s="23"/>
    </row>
    <row r="12152">
      <c r="B12152" s="19"/>
      <c r="E12152" s="23"/>
      <c r="L12152" s="23"/>
    </row>
    <row r="12153">
      <c r="B12153" s="19"/>
      <c r="E12153" s="23"/>
      <c r="L12153" s="23"/>
    </row>
    <row r="12154">
      <c r="B12154" s="19"/>
      <c r="E12154" s="23"/>
      <c r="L12154" s="23"/>
    </row>
    <row r="12155">
      <c r="B12155" s="19"/>
      <c r="E12155" s="23"/>
      <c r="L12155" s="23"/>
    </row>
    <row r="12156">
      <c r="B12156" s="19"/>
      <c r="E12156" s="23"/>
      <c r="L12156" s="23"/>
    </row>
    <row r="12157">
      <c r="B12157" s="19"/>
      <c r="E12157" s="23"/>
      <c r="L12157" s="23"/>
    </row>
    <row r="12158">
      <c r="B12158" s="19"/>
      <c r="E12158" s="23"/>
      <c r="L12158" s="23"/>
    </row>
    <row r="12159">
      <c r="B12159" s="19"/>
      <c r="E12159" s="23"/>
      <c r="L12159" s="23"/>
    </row>
    <row r="12160">
      <c r="B12160" s="19"/>
      <c r="E12160" s="23"/>
      <c r="L12160" s="23"/>
    </row>
    <row r="12161">
      <c r="B12161" s="19"/>
      <c r="E12161" s="23"/>
      <c r="L12161" s="23"/>
    </row>
    <row r="12162">
      <c r="B12162" s="19"/>
      <c r="E12162" s="23"/>
      <c r="L12162" s="23"/>
    </row>
    <row r="12163">
      <c r="B12163" s="19"/>
      <c r="E12163" s="23"/>
      <c r="L12163" s="23"/>
    </row>
    <row r="12164">
      <c r="B12164" s="19"/>
      <c r="E12164" s="23"/>
      <c r="L12164" s="23"/>
    </row>
    <row r="12165">
      <c r="B12165" s="19"/>
      <c r="E12165" s="23"/>
      <c r="L12165" s="23"/>
    </row>
    <row r="12166">
      <c r="B12166" s="19"/>
      <c r="E12166" s="23"/>
      <c r="L12166" s="23"/>
    </row>
    <row r="12167">
      <c r="B12167" s="19"/>
      <c r="E12167" s="23"/>
      <c r="L12167" s="23"/>
    </row>
    <row r="12168">
      <c r="B12168" s="19"/>
      <c r="E12168" s="23"/>
      <c r="L12168" s="23"/>
    </row>
    <row r="12169">
      <c r="B12169" s="19"/>
      <c r="E12169" s="23"/>
      <c r="L12169" s="23"/>
    </row>
    <row r="12170">
      <c r="B12170" s="19"/>
      <c r="E12170" s="23"/>
      <c r="L12170" s="23"/>
    </row>
    <row r="12171">
      <c r="B12171" s="19"/>
      <c r="E12171" s="23"/>
      <c r="L12171" s="23"/>
    </row>
    <row r="12172">
      <c r="B12172" s="19"/>
      <c r="E12172" s="23"/>
      <c r="L12172" s="23"/>
    </row>
    <row r="12173">
      <c r="B12173" s="19"/>
      <c r="E12173" s="23"/>
      <c r="L12173" s="23"/>
    </row>
    <row r="12174">
      <c r="B12174" s="19"/>
      <c r="E12174" s="23"/>
      <c r="L12174" s="23"/>
    </row>
    <row r="12175">
      <c r="B12175" s="19"/>
      <c r="E12175" s="23"/>
      <c r="L12175" s="23"/>
    </row>
    <row r="12176">
      <c r="B12176" s="19"/>
      <c r="E12176" s="23"/>
      <c r="L12176" s="23"/>
    </row>
    <row r="12177">
      <c r="B12177" s="19"/>
      <c r="E12177" s="23"/>
      <c r="L12177" s="23"/>
    </row>
    <row r="12178">
      <c r="B12178" s="19"/>
      <c r="E12178" s="23"/>
      <c r="L12178" s="23"/>
    </row>
    <row r="12179">
      <c r="B12179" s="19"/>
      <c r="E12179" s="23"/>
      <c r="L12179" s="23"/>
    </row>
    <row r="12180">
      <c r="B12180" s="19"/>
      <c r="E12180" s="23"/>
      <c r="L12180" s="23"/>
    </row>
    <row r="12181">
      <c r="B12181" s="19"/>
      <c r="E12181" s="23"/>
      <c r="L12181" s="23"/>
    </row>
    <row r="12182">
      <c r="B12182" s="19"/>
      <c r="E12182" s="23"/>
      <c r="L12182" s="23"/>
    </row>
    <row r="12183">
      <c r="B12183" s="19"/>
      <c r="E12183" s="23"/>
      <c r="L12183" s="23"/>
    </row>
    <row r="12184">
      <c r="B12184" s="19"/>
      <c r="E12184" s="23"/>
      <c r="L12184" s="23"/>
    </row>
    <row r="12185">
      <c r="B12185" s="19"/>
      <c r="E12185" s="23"/>
      <c r="L12185" s="23"/>
    </row>
    <row r="12186">
      <c r="B12186" s="19"/>
      <c r="E12186" s="23"/>
      <c r="L12186" s="23"/>
    </row>
    <row r="12187">
      <c r="B12187" s="19"/>
      <c r="E12187" s="23"/>
      <c r="L12187" s="23"/>
    </row>
    <row r="12188">
      <c r="B12188" s="19"/>
      <c r="E12188" s="23"/>
      <c r="L12188" s="23"/>
    </row>
    <row r="12189">
      <c r="B12189" s="19"/>
      <c r="E12189" s="23"/>
      <c r="L12189" s="23"/>
    </row>
    <row r="12190">
      <c r="B12190" s="19"/>
      <c r="E12190" s="23"/>
      <c r="L12190" s="23"/>
    </row>
    <row r="12191">
      <c r="B12191" s="19"/>
      <c r="E12191" s="23"/>
      <c r="L12191" s="23"/>
    </row>
    <row r="12192">
      <c r="B12192" s="19"/>
      <c r="E12192" s="23"/>
      <c r="L12192" s="23"/>
    </row>
    <row r="12193">
      <c r="B12193" s="19"/>
      <c r="E12193" s="23"/>
      <c r="L12193" s="23"/>
    </row>
    <row r="12194">
      <c r="B12194" s="19"/>
      <c r="E12194" s="23"/>
      <c r="L12194" s="23"/>
    </row>
    <row r="12195">
      <c r="B12195" s="19"/>
      <c r="E12195" s="23"/>
      <c r="L12195" s="23"/>
    </row>
    <row r="12196">
      <c r="B12196" s="19"/>
      <c r="E12196" s="23"/>
      <c r="L12196" s="23"/>
    </row>
    <row r="12197">
      <c r="B12197" s="19"/>
      <c r="E12197" s="23"/>
      <c r="L12197" s="23"/>
    </row>
    <row r="12198">
      <c r="B12198" s="19"/>
      <c r="E12198" s="23"/>
      <c r="L12198" s="23"/>
    </row>
    <row r="12199">
      <c r="B12199" s="19"/>
      <c r="E12199" s="23"/>
      <c r="L12199" s="23"/>
    </row>
    <row r="12200">
      <c r="B12200" s="19"/>
      <c r="E12200" s="23"/>
      <c r="L12200" s="23"/>
    </row>
    <row r="12201">
      <c r="B12201" s="19"/>
      <c r="E12201" s="23"/>
      <c r="L12201" s="23"/>
    </row>
    <row r="12202">
      <c r="B12202" s="19"/>
      <c r="E12202" s="23"/>
      <c r="L12202" s="23"/>
    </row>
    <row r="12203">
      <c r="B12203" s="19"/>
      <c r="E12203" s="23"/>
      <c r="L12203" s="23"/>
    </row>
    <row r="12204">
      <c r="B12204" s="19"/>
      <c r="E12204" s="23"/>
      <c r="L12204" s="23"/>
    </row>
    <row r="12205">
      <c r="B12205" s="19"/>
      <c r="E12205" s="23"/>
      <c r="L12205" s="23"/>
    </row>
    <row r="12206">
      <c r="B12206" s="19"/>
      <c r="E12206" s="23"/>
      <c r="L12206" s="23"/>
    </row>
    <row r="12207">
      <c r="B12207" s="19"/>
      <c r="E12207" s="23"/>
      <c r="L12207" s="23"/>
    </row>
    <row r="12208">
      <c r="B12208" s="19"/>
      <c r="E12208" s="23"/>
      <c r="L12208" s="23"/>
    </row>
    <row r="12209">
      <c r="B12209" s="19"/>
      <c r="E12209" s="23"/>
      <c r="L12209" s="23"/>
    </row>
    <row r="12210">
      <c r="B12210" s="19"/>
      <c r="E12210" s="23"/>
      <c r="L12210" s="23"/>
    </row>
    <row r="12211">
      <c r="B12211" s="19"/>
      <c r="E12211" s="23"/>
      <c r="L12211" s="23"/>
    </row>
    <row r="12212">
      <c r="B12212" s="19"/>
      <c r="E12212" s="23"/>
      <c r="L12212" s="23"/>
    </row>
    <row r="12213">
      <c r="B12213" s="19"/>
      <c r="E12213" s="23"/>
      <c r="L12213" s="23"/>
    </row>
    <row r="12214">
      <c r="B12214" s="19"/>
      <c r="E12214" s="23"/>
      <c r="L12214" s="23"/>
    </row>
    <row r="12215">
      <c r="B12215" s="19"/>
      <c r="E12215" s="23"/>
      <c r="L12215" s="23"/>
    </row>
    <row r="12216">
      <c r="B12216" s="19"/>
      <c r="E12216" s="23"/>
      <c r="L12216" s="23"/>
    </row>
    <row r="12217">
      <c r="B12217" s="19"/>
      <c r="E12217" s="23"/>
      <c r="L12217" s="23"/>
    </row>
    <row r="12218">
      <c r="B12218" s="19"/>
      <c r="E12218" s="23"/>
      <c r="L12218" s="23"/>
    </row>
    <row r="12219">
      <c r="B12219" s="19"/>
      <c r="E12219" s="23"/>
      <c r="L12219" s="23"/>
    </row>
    <row r="12220">
      <c r="B12220" s="19"/>
      <c r="E12220" s="23"/>
      <c r="L12220" s="23"/>
    </row>
    <row r="12221">
      <c r="B12221" s="19"/>
      <c r="E12221" s="23"/>
      <c r="L12221" s="23"/>
    </row>
    <row r="12222">
      <c r="B12222" s="19"/>
      <c r="E12222" s="23"/>
      <c r="L12222" s="23"/>
    </row>
    <row r="12223">
      <c r="B12223" s="19"/>
      <c r="E12223" s="23"/>
      <c r="L12223" s="23"/>
    </row>
    <row r="12224">
      <c r="B12224" s="19"/>
      <c r="E12224" s="23"/>
      <c r="L12224" s="23"/>
    </row>
    <row r="12225">
      <c r="B12225" s="19"/>
      <c r="E12225" s="23"/>
      <c r="L12225" s="23"/>
    </row>
    <row r="12226">
      <c r="B12226" s="19"/>
      <c r="E12226" s="23"/>
      <c r="L12226" s="23"/>
    </row>
    <row r="12227">
      <c r="B12227" s="19"/>
      <c r="E12227" s="23"/>
      <c r="L12227" s="23"/>
    </row>
    <row r="12228">
      <c r="B12228" s="19"/>
      <c r="E12228" s="23"/>
      <c r="L12228" s="23"/>
    </row>
    <row r="12229">
      <c r="B12229" s="19"/>
      <c r="E12229" s="23"/>
      <c r="L12229" s="23"/>
    </row>
    <row r="12230">
      <c r="B12230" s="19"/>
      <c r="E12230" s="23"/>
      <c r="L12230" s="23"/>
    </row>
    <row r="12231">
      <c r="B12231" s="19"/>
      <c r="E12231" s="23"/>
      <c r="L12231" s="23"/>
    </row>
    <row r="12232">
      <c r="B12232" s="19"/>
      <c r="E12232" s="23"/>
      <c r="L12232" s="23"/>
    </row>
    <row r="12233">
      <c r="B12233" s="19"/>
      <c r="E12233" s="23"/>
      <c r="L12233" s="23"/>
    </row>
    <row r="12234">
      <c r="B12234" s="19"/>
      <c r="E12234" s="23"/>
      <c r="L12234" s="23"/>
    </row>
    <row r="12235">
      <c r="B12235" s="19"/>
      <c r="E12235" s="23"/>
      <c r="L12235" s="23"/>
    </row>
    <row r="12236">
      <c r="B12236" s="19"/>
      <c r="E12236" s="23"/>
      <c r="L12236" s="23"/>
    </row>
    <row r="12237">
      <c r="B12237" s="19"/>
      <c r="E12237" s="23"/>
      <c r="L12237" s="23"/>
    </row>
    <row r="12238">
      <c r="B12238" s="19"/>
      <c r="E12238" s="23"/>
      <c r="L12238" s="23"/>
    </row>
    <row r="12239">
      <c r="B12239" s="19"/>
      <c r="E12239" s="23"/>
      <c r="L12239" s="23"/>
    </row>
    <row r="12240">
      <c r="B12240" s="19"/>
      <c r="E12240" s="23"/>
      <c r="L12240" s="23"/>
    </row>
    <row r="12241">
      <c r="B12241" s="19"/>
      <c r="E12241" s="23"/>
      <c r="L12241" s="23"/>
    </row>
    <row r="12242">
      <c r="B12242" s="19"/>
      <c r="E12242" s="23"/>
      <c r="L12242" s="23"/>
    </row>
    <row r="12243">
      <c r="B12243" s="19"/>
      <c r="E12243" s="23"/>
      <c r="L12243" s="23"/>
    </row>
    <row r="12244">
      <c r="B12244" s="19"/>
      <c r="E12244" s="23"/>
      <c r="L12244" s="23"/>
    </row>
    <row r="12245">
      <c r="B12245" s="19"/>
      <c r="E12245" s="23"/>
      <c r="L12245" s="23"/>
    </row>
    <row r="12246">
      <c r="B12246" s="19"/>
      <c r="E12246" s="23"/>
      <c r="L12246" s="23"/>
    </row>
    <row r="12247">
      <c r="B12247" s="19"/>
      <c r="E12247" s="23"/>
      <c r="L12247" s="23"/>
    </row>
    <row r="12248">
      <c r="B12248" s="19"/>
      <c r="E12248" s="23"/>
      <c r="L12248" s="23"/>
    </row>
    <row r="12249">
      <c r="B12249" s="19"/>
      <c r="E12249" s="23"/>
      <c r="L12249" s="23"/>
    </row>
    <row r="12250">
      <c r="B12250" s="19"/>
      <c r="E12250" s="23"/>
      <c r="L12250" s="23"/>
    </row>
    <row r="12251">
      <c r="B12251" s="19"/>
      <c r="E12251" s="23"/>
      <c r="L12251" s="23"/>
    </row>
    <row r="12252">
      <c r="B12252" s="19"/>
      <c r="E12252" s="23"/>
      <c r="L12252" s="23"/>
    </row>
    <row r="12253">
      <c r="B12253" s="19"/>
      <c r="E12253" s="23"/>
      <c r="L12253" s="23"/>
    </row>
    <row r="12254">
      <c r="B12254" s="19"/>
      <c r="E12254" s="23"/>
      <c r="L12254" s="23"/>
    </row>
    <row r="12255">
      <c r="B12255" s="19"/>
      <c r="E12255" s="23"/>
      <c r="L12255" s="23"/>
    </row>
    <row r="12256">
      <c r="B12256" s="19"/>
      <c r="E12256" s="23"/>
      <c r="L12256" s="23"/>
    </row>
    <row r="12257">
      <c r="B12257" s="19"/>
      <c r="E12257" s="23"/>
      <c r="L12257" s="23"/>
    </row>
    <row r="12258">
      <c r="B12258" s="19"/>
      <c r="E12258" s="23"/>
      <c r="L12258" s="23"/>
    </row>
    <row r="12259">
      <c r="B12259" s="19"/>
      <c r="E12259" s="23"/>
      <c r="L12259" s="23"/>
    </row>
    <row r="12260">
      <c r="B12260" s="19"/>
      <c r="E12260" s="23"/>
      <c r="L12260" s="23"/>
    </row>
    <row r="12261">
      <c r="B12261" s="19"/>
      <c r="E12261" s="23"/>
      <c r="L12261" s="23"/>
    </row>
    <row r="12262">
      <c r="B12262" s="19"/>
      <c r="E12262" s="23"/>
      <c r="L12262" s="23"/>
    </row>
    <row r="12263">
      <c r="B12263" s="19"/>
      <c r="E12263" s="23"/>
      <c r="L12263" s="23"/>
    </row>
    <row r="12264">
      <c r="B12264" s="19"/>
      <c r="E12264" s="23"/>
      <c r="L12264" s="23"/>
    </row>
    <row r="12265">
      <c r="B12265" s="19"/>
      <c r="E12265" s="23"/>
      <c r="L12265" s="23"/>
    </row>
    <row r="12266">
      <c r="B12266" s="19"/>
      <c r="E12266" s="23"/>
      <c r="L12266" s="23"/>
    </row>
    <row r="12267">
      <c r="B12267" s="19"/>
      <c r="E12267" s="23"/>
      <c r="L12267" s="23"/>
    </row>
    <row r="12268">
      <c r="B12268" s="19"/>
      <c r="E12268" s="23"/>
      <c r="L12268" s="23"/>
    </row>
    <row r="12269">
      <c r="B12269" s="19"/>
      <c r="E12269" s="23"/>
      <c r="L12269" s="23"/>
    </row>
    <row r="12270">
      <c r="B12270" s="19"/>
      <c r="E12270" s="23"/>
      <c r="L12270" s="23"/>
    </row>
    <row r="12271">
      <c r="B12271" s="19"/>
      <c r="E12271" s="23"/>
      <c r="L12271" s="23"/>
    </row>
    <row r="12272">
      <c r="B12272" s="19"/>
      <c r="E12272" s="23"/>
      <c r="L12272" s="23"/>
    </row>
    <row r="12273">
      <c r="B12273" s="19"/>
      <c r="E12273" s="23"/>
      <c r="L12273" s="23"/>
    </row>
    <row r="12274">
      <c r="B12274" s="19"/>
      <c r="E12274" s="23"/>
      <c r="L12274" s="23"/>
    </row>
    <row r="12275">
      <c r="B12275" s="19"/>
      <c r="E12275" s="23"/>
      <c r="L12275" s="23"/>
    </row>
    <row r="12276">
      <c r="B12276" s="19"/>
      <c r="E12276" s="23"/>
      <c r="L12276" s="23"/>
    </row>
    <row r="12277">
      <c r="B12277" s="19"/>
      <c r="E12277" s="23"/>
      <c r="L12277" s="23"/>
    </row>
    <row r="12278">
      <c r="B12278" s="19"/>
      <c r="E12278" s="23"/>
      <c r="L12278" s="23"/>
    </row>
    <row r="12279">
      <c r="B12279" s="19"/>
      <c r="E12279" s="23"/>
      <c r="L12279" s="23"/>
    </row>
    <row r="12280">
      <c r="B12280" s="19"/>
      <c r="E12280" s="23"/>
      <c r="L12280" s="23"/>
    </row>
    <row r="12281">
      <c r="B12281" s="19"/>
      <c r="E12281" s="23"/>
      <c r="L12281" s="23"/>
    </row>
    <row r="12282">
      <c r="B12282" s="19"/>
      <c r="E12282" s="23"/>
      <c r="L12282" s="23"/>
    </row>
    <row r="12283">
      <c r="B12283" s="19"/>
      <c r="E12283" s="23"/>
      <c r="L12283" s="23"/>
    </row>
    <row r="12284">
      <c r="B12284" s="19"/>
      <c r="E12284" s="23"/>
      <c r="L12284" s="23"/>
    </row>
    <row r="12285">
      <c r="B12285" s="19"/>
      <c r="E12285" s="23"/>
      <c r="L12285" s="23"/>
    </row>
    <row r="12286">
      <c r="B12286" s="19"/>
      <c r="E12286" s="23"/>
      <c r="L12286" s="23"/>
    </row>
    <row r="12287">
      <c r="B12287" s="19"/>
      <c r="E12287" s="23"/>
      <c r="L12287" s="23"/>
    </row>
    <row r="12288">
      <c r="B12288" s="19"/>
      <c r="E12288" s="23"/>
      <c r="L12288" s="23"/>
    </row>
    <row r="12289">
      <c r="B12289" s="19"/>
      <c r="E12289" s="23"/>
      <c r="L12289" s="23"/>
    </row>
    <row r="12290">
      <c r="B12290" s="19"/>
      <c r="E12290" s="23"/>
      <c r="L12290" s="23"/>
    </row>
    <row r="12291">
      <c r="B12291" s="19"/>
      <c r="E12291" s="23"/>
      <c r="L12291" s="23"/>
    </row>
    <row r="12292">
      <c r="B12292" s="19"/>
      <c r="E12292" s="23"/>
      <c r="L12292" s="23"/>
    </row>
    <row r="12293">
      <c r="B12293" s="19"/>
      <c r="E12293" s="23"/>
      <c r="L12293" s="23"/>
    </row>
    <row r="12294">
      <c r="B12294" s="19"/>
      <c r="E12294" s="23"/>
      <c r="L12294" s="23"/>
    </row>
    <row r="12295">
      <c r="B12295" s="19"/>
      <c r="E12295" s="23"/>
      <c r="L12295" s="23"/>
    </row>
    <row r="12296">
      <c r="B12296" s="19"/>
      <c r="E12296" s="23"/>
      <c r="L12296" s="23"/>
    </row>
    <row r="12297">
      <c r="B12297" s="19"/>
      <c r="E12297" s="23"/>
      <c r="L12297" s="23"/>
    </row>
    <row r="12298">
      <c r="B12298" s="19"/>
      <c r="E12298" s="23"/>
      <c r="L12298" s="23"/>
    </row>
    <row r="12299">
      <c r="B12299" s="19"/>
      <c r="E12299" s="23"/>
      <c r="L12299" s="23"/>
    </row>
    <row r="12300">
      <c r="B12300" s="19"/>
      <c r="E12300" s="23"/>
      <c r="L12300" s="23"/>
    </row>
    <row r="12301">
      <c r="B12301" s="19"/>
      <c r="E12301" s="23"/>
      <c r="L12301" s="23"/>
    </row>
    <row r="12302">
      <c r="B12302" s="19"/>
      <c r="E12302" s="23"/>
      <c r="L12302" s="23"/>
    </row>
    <row r="12303">
      <c r="B12303" s="19"/>
      <c r="E12303" s="23"/>
      <c r="L12303" s="23"/>
    </row>
    <row r="12304">
      <c r="B12304" s="19"/>
      <c r="E12304" s="23"/>
      <c r="L12304" s="23"/>
    </row>
    <row r="12305">
      <c r="B12305" s="19"/>
      <c r="E12305" s="23"/>
      <c r="L12305" s="23"/>
    </row>
    <row r="12306">
      <c r="B12306" s="19"/>
      <c r="E12306" s="23"/>
      <c r="L12306" s="23"/>
    </row>
    <row r="12307">
      <c r="B12307" s="19"/>
      <c r="E12307" s="23"/>
      <c r="L12307" s="23"/>
    </row>
    <row r="12308">
      <c r="B12308" s="19"/>
      <c r="E12308" s="23"/>
      <c r="L12308" s="23"/>
    </row>
    <row r="12309">
      <c r="B12309" s="19"/>
      <c r="E12309" s="23"/>
      <c r="L12309" s="23"/>
    </row>
    <row r="12310">
      <c r="B12310" s="19"/>
      <c r="E12310" s="23"/>
      <c r="L12310" s="23"/>
    </row>
    <row r="12311">
      <c r="B12311" s="19"/>
      <c r="E12311" s="23"/>
      <c r="L12311" s="23"/>
    </row>
    <row r="12312">
      <c r="B12312" s="19"/>
      <c r="E12312" s="23"/>
      <c r="L12312" s="23"/>
    </row>
    <row r="12313">
      <c r="B12313" s="19"/>
      <c r="E12313" s="23"/>
      <c r="L12313" s="23"/>
    </row>
    <row r="12314">
      <c r="B12314" s="19"/>
      <c r="E12314" s="23"/>
      <c r="L12314" s="23"/>
    </row>
    <row r="12315">
      <c r="B12315" s="19"/>
      <c r="E12315" s="23"/>
      <c r="L12315" s="23"/>
    </row>
    <row r="12316">
      <c r="B12316" s="19"/>
      <c r="E12316" s="23"/>
      <c r="L12316" s="23"/>
    </row>
    <row r="12317">
      <c r="B12317" s="19"/>
      <c r="E12317" s="23"/>
      <c r="L12317" s="23"/>
    </row>
    <row r="12318">
      <c r="B12318" s="19"/>
      <c r="E12318" s="23"/>
      <c r="L12318" s="23"/>
    </row>
    <row r="12319">
      <c r="B12319" s="19"/>
      <c r="E12319" s="23"/>
      <c r="L12319" s="23"/>
    </row>
    <row r="12320">
      <c r="B12320" s="19"/>
      <c r="E12320" s="23"/>
      <c r="L12320" s="23"/>
    </row>
    <row r="12321">
      <c r="B12321" s="19"/>
      <c r="E12321" s="23"/>
      <c r="L12321" s="23"/>
    </row>
    <row r="12322">
      <c r="B12322" s="19"/>
      <c r="E12322" s="23"/>
      <c r="L12322" s="23"/>
    </row>
    <row r="12323">
      <c r="B12323" s="19"/>
      <c r="E12323" s="23"/>
      <c r="L12323" s="23"/>
    </row>
    <row r="12324">
      <c r="B12324" s="19"/>
      <c r="E12324" s="23"/>
      <c r="L12324" s="23"/>
    </row>
    <row r="12325">
      <c r="B12325" s="19"/>
      <c r="E12325" s="23"/>
      <c r="L12325" s="23"/>
    </row>
    <row r="12326">
      <c r="B12326" s="19"/>
      <c r="E12326" s="23"/>
      <c r="L12326" s="23"/>
    </row>
    <row r="12327">
      <c r="B12327" s="19"/>
      <c r="E12327" s="23"/>
      <c r="L12327" s="23"/>
    </row>
    <row r="12328">
      <c r="B12328" s="19"/>
      <c r="E12328" s="23"/>
      <c r="L12328" s="23"/>
    </row>
    <row r="12329">
      <c r="B12329" s="19"/>
      <c r="E12329" s="23"/>
      <c r="L12329" s="23"/>
    </row>
    <row r="12330">
      <c r="B12330" s="19"/>
      <c r="E12330" s="23"/>
      <c r="L12330" s="23"/>
    </row>
    <row r="12331">
      <c r="B12331" s="19"/>
      <c r="E12331" s="23"/>
      <c r="L12331" s="23"/>
    </row>
    <row r="12332">
      <c r="B12332" s="19"/>
      <c r="E12332" s="23"/>
      <c r="L12332" s="23"/>
    </row>
    <row r="12333">
      <c r="B12333" s="19"/>
      <c r="E12333" s="23"/>
      <c r="L12333" s="23"/>
    </row>
    <row r="12334">
      <c r="B12334" s="19"/>
      <c r="E12334" s="23"/>
      <c r="L12334" s="23"/>
    </row>
    <row r="12335">
      <c r="B12335" s="19"/>
      <c r="E12335" s="23"/>
      <c r="L12335" s="23"/>
    </row>
    <row r="12336">
      <c r="B12336" s="19"/>
      <c r="E12336" s="23"/>
      <c r="L12336" s="23"/>
    </row>
    <row r="12337">
      <c r="B12337" s="19"/>
      <c r="E12337" s="23"/>
      <c r="L12337" s="23"/>
    </row>
    <row r="12338">
      <c r="B12338" s="19"/>
      <c r="E12338" s="23"/>
      <c r="L12338" s="23"/>
    </row>
    <row r="12339">
      <c r="B12339" s="19"/>
      <c r="E12339" s="23"/>
      <c r="L12339" s="23"/>
    </row>
    <row r="12340">
      <c r="B12340" s="19"/>
      <c r="E12340" s="23"/>
      <c r="L12340" s="23"/>
    </row>
    <row r="12341">
      <c r="B12341" s="19"/>
      <c r="E12341" s="23"/>
      <c r="L12341" s="23"/>
    </row>
    <row r="12342">
      <c r="B12342" s="19"/>
      <c r="E12342" s="23"/>
      <c r="L12342" s="23"/>
    </row>
    <row r="12343">
      <c r="B12343" s="19"/>
      <c r="E12343" s="23"/>
      <c r="L12343" s="23"/>
    </row>
    <row r="12344">
      <c r="B12344" s="19"/>
      <c r="E12344" s="23"/>
      <c r="L12344" s="23"/>
    </row>
    <row r="12345">
      <c r="B12345" s="19"/>
      <c r="E12345" s="23"/>
      <c r="L12345" s="23"/>
    </row>
    <row r="12346">
      <c r="B12346" s="19"/>
      <c r="E12346" s="23"/>
      <c r="L12346" s="23"/>
    </row>
    <row r="12347">
      <c r="B12347" s="19"/>
      <c r="E12347" s="23"/>
      <c r="L12347" s="23"/>
    </row>
    <row r="12348">
      <c r="B12348" s="19"/>
      <c r="E12348" s="23"/>
      <c r="L12348" s="23"/>
    </row>
    <row r="12349">
      <c r="B12349" s="19"/>
      <c r="E12349" s="23"/>
      <c r="L12349" s="23"/>
    </row>
    <row r="12350">
      <c r="B12350" s="19"/>
      <c r="E12350" s="23"/>
      <c r="L12350" s="23"/>
    </row>
    <row r="12351">
      <c r="B12351" s="19"/>
      <c r="E12351" s="23"/>
      <c r="L12351" s="23"/>
    </row>
    <row r="12352">
      <c r="B12352" s="19"/>
      <c r="E12352" s="23"/>
      <c r="L12352" s="23"/>
    </row>
    <row r="12353">
      <c r="B12353" s="19"/>
      <c r="E12353" s="23"/>
      <c r="L12353" s="23"/>
    </row>
    <row r="12354">
      <c r="B12354" s="19"/>
      <c r="E12354" s="23"/>
      <c r="L12354" s="23"/>
    </row>
    <row r="12355">
      <c r="B12355" s="19"/>
      <c r="E12355" s="23"/>
      <c r="L12355" s="23"/>
    </row>
    <row r="12356">
      <c r="B12356" s="19"/>
      <c r="E12356" s="23"/>
      <c r="L12356" s="23"/>
    </row>
    <row r="12357">
      <c r="B12357" s="19"/>
      <c r="E12357" s="23"/>
      <c r="L12357" s="23"/>
    </row>
    <row r="12358">
      <c r="B12358" s="19"/>
      <c r="E12358" s="23"/>
      <c r="L12358" s="23"/>
    </row>
    <row r="12359">
      <c r="B12359" s="19"/>
      <c r="E12359" s="23"/>
      <c r="L12359" s="23"/>
    </row>
    <row r="12360">
      <c r="B12360" s="19"/>
      <c r="E12360" s="23"/>
      <c r="L12360" s="23"/>
    </row>
    <row r="12361">
      <c r="B12361" s="19"/>
      <c r="E12361" s="23"/>
      <c r="L12361" s="23"/>
    </row>
    <row r="12362">
      <c r="B12362" s="19"/>
      <c r="E12362" s="23"/>
      <c r="L12362" s="23"/>
    </row>
    <row r="12363">
      <c r="B12363" s="19"/>
      <c r="E12363" s="23"/>
      <c r="L12363" s="23"/>
    </row>
    <row r="12364">
      <c r="B12364" s="19"/>
      <c r="E12364" s="23"/>
      <c r="L12364" s="23"/>
    </row>
    <row r="12365">
      <c r="B12365" s="19"/>
      <c r="E12365" s="23"/>
      <c r="L12365" s="23"/>
    </row>
    <row r="12366">
      <c r="B12366" s="19"/>
      <c r="E12366" s="23"/>
      <c r="L12366" s="23"/>
    </row>
    <row r="12367">
      <c r="B12367" s="19"/>
      <c r="E12367" s="23"/>
      <c r="L12367" s="23"/>
    </row>
    <row r="12368">
      <c r="B12368" s="19"/>
      <c r="E12368" s="23"/>
      <c r="L12368" s="23"/>
    </row>
    <row r="12369">
      <c r="B12369" s="19"/>
      <c r="E12369" s="23"/>
      <c r="L12369" s="23"/>
    </row>
    <row r="12370">
      <c r="B12370" s="19"/>
      <c r="E12370" s="23"/>
      <c r="L12370" s="23"/>
    </row>
    <row r="12371">
      <c r="B12371" s="19"/>
      <c r="E12371" s="23"/>
      <c r="L12371" s="23"/>
    </row>
    <row r="12372">
      <c r="B12372" s="19"/>
      <c r="E12372" s="23"/>
      <c r="L12372" s="23"/>
    </row>
    <row r="12373">
      <c r="B12373" s="19"/>
      <c r="E12373" s="23"/>
      <c r="L12373" s="23"/>
    </row>
    <row r="12374">
      <c r="B12374" s="19"/>
      <c r="E12374" s="23"/>
      <c r="L12374" s="23"/>
    </row>
    <row r="12375">
      <c r="B12375" s="19"/>
      <c r="E12375" s="23"/>
      <c r="L12375" s="23"/>
    </row>
    <row r="12376">
      <c r="B12376" s="19"/>
      <c r="E12376" s="23"/>
      <c r="L12376" s="23"/>
    </row>
    <row r="12377">
      <c r="B12377" s="19"/>
      <c r="E12377" s="23"/>
      <c r="L12377" s="23"/>
    </row>
    <row r="12378">
      <c r="B12378" s="19"/>
      <c r="E12378" s="23"/>
      <c r="L12378" s="23"/>
    </row>
    <row r="12379">
      <c r="B12379" s="19"/>
      <c r="E12379" s="23"/>
      <c r="L12379" s="23"/>
    </row>
    <row r="12380">
      <c r="B12380" s="19"/>
      <c r="E12380" s="23"/>
      <c r="L12380" s="23"/>
    </row>
    <row r="12381">
      <c r="B12381" s="19"/>
      <c r="E12381" s="23"/>
      <c r="L12381" s="23"/>
    </row>
    <row r="12382">
      <c r="B12382" s="19"/>
      <c r="E12382" s="23"/>
      <c r="L12382" s="23"/>
    </row>
    <row r="12383">
      <c r="B12383" s="19"/>
      <c r="E12383" s="23"/>
      <c r="L12383" s="23"/>
    </row>
    <row r="12384">
      <c r="B12384" s="19"/>
      <c r="E12384" s="23"/>
      <c r="L12384" s="23"/>
    </row>
    <row r="12385">
      <c r="B12385" s="19"/>
      <c r="E12385" s="23"/>
      <c r="L12385" s="23"/>
    </row>
    <row r="12386">
      <c r="B12386" s="19"/>
      <c r="E12386" s="23"/>
      <c r="L12386" s="23"/>
    </row>
    <row r="12387">
      <c r="B12387" s="19"/>
      <c r="E12387" s="23"/>
      <c r="L12387" s="23"/>
    </row>
    <row r="12388">
      <c r="B12388" s="19"/>
      <c r="E12388" s="23"/>
      <c r="L12388" s="23"/>
    </row>
    <row r="12389">
      <c r="B12389" s="19"/>
      <c r="E12389" s="23"/>
      <c r="L12389" s="23"/>
    </row>
    <row r="12390">
      <c r="B12390" s="19"/>
      <c r="E12390" s="23"/>
      <c r="L12390" s="23"/>
    </row>
    <row r="12391">
      <c r="B12391" s="19"/>
      <c r="E12391" s="23"/>
      <c r="L12391" s="23"/>
    </row>
    <row r="12392">
      <c r="B12392" s="19"/>
      <c r="E12392" s="23"/>
      <c r="L12392" s="23"/>
    </row>
    <row r="12393">
      <c r="B12393" s="19"/>
      <c r="E12393" s="23"/>
      <c r="L12393" s="23"/>
    </row>
    <row r="12394">
      <c r="B12394" s="19"/>
      <c r="E12394" s="23"/>
      <c r="L12394" s="23"/>
    </row>
    <row r="12395">
      <c r="B12395" s="19"/>
      <c r="E12395" s="23"/>
      <c r="L12395" s="23"/>
    </row>
    <row r="12396">
      <c r="B12396" s="19"/>
      <c r="E12396" s="23"/>
      <c r="L12396" s="23"/>
    </row>
    <row r="12397">
      <c r="B12397" s="19"/>
      <c r="E12397" s="23"/>
      <c r="L12397" s="23"/>
    </row>
    <row r="12398">
      <c r="B12398" s="19"/>
      <c r="E12398" s="23"/>
      <c r="L12398" s="23"/>
    </row>
    <row r="12399">
      <c r="B12399" s="19"/>
      <c r="E12399" s="23"/>
      <c r="L12399" s="23"/>
    </row>
    <row r="12400">
      <c r="B12400" s="19"/>
      <c r="E12400" s="23"/>
      <c r="L12400" s="23"/>
    </row>
    <row r="12401">
      <c r="B12401" s="19"/>
      <c r="E12401" s="23"/>
      <c r="L12401" s="23"/>
    </row>
    <row r="12402">
      <c r="B12402" s="19"/>
      <c r="E12402" s="23"/>
      <c r="L12402" s="23"/>
    </row>
    <row r="12403">
      <c r="B12403" s="19"/>
      <c r="E12403" s="23"/>
      <c r="L12403" s="23"/>
    </row>
    <row r="12404">
      <c r="B12404" s="19"/>
      <c r="E12404" s="23"/>
      <c r="L12404" s="23"/>
    </row>
    <row r="12405">
      <c r="B12405" s="19"/>
      <c r="E12405" s="23"/>
      <c r="L12405" s="23"/>
    </row>
    <row r="12406">
      <c r="B12406" s="19"/>
      <c r="E12406" s="23"/>
      <c r="L12406" s="23"/>
    </row>
    <row r="12407">
      <c r="B12407" s="19"/>
      <c r="E12407" s="23"/>
      <c r="L12407" s="23"/>
    </row>
    <row r="12408">
      <c r="B12408" s="19"/>
      <c r="E12408" s="23"/>
      <c r="L12408" s="23"/>
    </row>
    <row r="12409">
      <c r="B12409" s="19"/>
      <c r="E12409" s="23"/>
      <c r="L12409" s="23"/>
    </row>
    <row r="12410">
      <c r="B12410" s="19"/>
      <c r="E12410" s="23"/>
      <c r="L12410" s="23"/>
    </row>
    <row r="12411">
      <c r="B12411" s="19"/>
      <c r="E12411" s="23"/>
      <c r="L12411" s="23"/>
    </row>
    <row r="12412">
      <c r="B12412" s="19"/>
      <c r="E12412" s="23"/>
      <c r="L12412" s="23"/>
    </row>
    <row r="12413">
      <c r="B12413" s="19"/>
      <c r="E12413" s="23"/>
      <c r="L12413" s="23"/>
    </row>
    <row r="12414">
      <c r="B12414" s="19"/>
      <c r="E12414" s="23"/>
      <c r="L12414" s="23"/>
    </row>
    <row r="12415">
      <c r="B12415" s="19"/>
      <c r="E12415" s="23"/>
      <c r="L12415" s="23"/>
    </row>
    <row r="12416">
      <c r="B12416" s="19"/>
      <c r="E12416" s="23"/>
      <c r="L12416" s="23"/>
    </row>
    <row r="12417">
      <c r="B12417" s="19"/>
      <c r="E12417" s="23"/>
      <c r="L12417" s="23"/>
    </row>
    <row r="12418">
      <c r="B12418" s="19"/>
      <c r="E12418" s="23"/>
      <c r="L12418" s="23"/>
    </row>
    <row r="12419">
      <c r="B12419" s="19"/>
      <c r="E12419" s="23"/>
      <c r="L12419" s="23"/>
    </row>
    <row r="12420">
      <c r="B12420" s="19"/>
      <c r="E12420" s="23"/>
      <c r="L12420" s="23"/>
    </row>
    <row r="12421">
      <c r="B12421" s="19"/>
      <c r="E12421" s="23"/>
      <c r="L12421" s="23"/>
    </row>
    <row r="12422">
      <c r="B12422" s="19"/>
      <c r="E12422" s="23"/>
      <c r="L12422" s="23"/>
    </row>
    <row r="12423">
      <c r="B12423" s="19"/>
      <c r="E12423" s="23"/>
      <c r="L12423" s="23"/>
    </row>
    <row r="12424">
      <c r="B12424" s="19"/>
      <c r="E12424" s="23"/>
      <c r="L12424" s="23"/>
    </row>
    <row r="12425">
      <c r="B12425" s="19"/>
      <c r="E12425" s="23"/>
      <c r="L12425" s="23"/>
    </row>
    <row r="12426">
      <c r="B12426" s="19"/>
      <c r="E12426" s="23"/>
      <c r="L12426" s="23"/>
    </row>
    <row r="12427">
      <c r="B12427" s="19"/>
      <c r="E12427" s="23"/>
      <c r="L12427" s="23"/>
    </row>
    <row r="12428">
      <c r="B12428" s="19"/>
      <c r="E12428" s="23"/>
      <c r="L12428" s="23"/>
    </row>
    <row r="12429">
      <c r="B12429" s="19"/>
      <c r="E12429" s="23"/>
      <c r="L12429" s="23"/>
    </row>
    <row r="12430">
      <c r="B12430" s="19"/>
      <c r="E12430" s="23"/>
      <c r="L12430" s="23"/>
    </row>
    <row r="12431">
      <c r="B12431" s="19"/>
      <c r="E12431" s="23"/>
      <c r="L12431" s="23"/>
    </row>
    <row r="12432">
      <c r="B12432" s="19"/>
      <c r="E12432" s="23"/>
      <c r="L12432" s="23"/>
    </row>
    <row r="12433">
      <c r="B12433" s="19"/>
      <c r="E12433" s="23"/>
      <c r="L12433" s="23"/>
    </row>
    <row r="12434">
      <c r="B12434" s="19"/>
      <c r="E12434" s="23"/>
      <c r="L12434" s="23"/>
    </row>
    <row r="12435">
      <c r="B12435" s="19"/>
      <c r="E12435" s="23"/>
      <c r="L12435" s="23"/>
    </row>
    <row r="12436">
      <c r="B12436" s="19"/>
      <c r="E12436" s="23"/>
      <c r="L12436" s="23"/>
    </row>
    <row r="12437">
      <c r="B12437" s="19"/>
      <c r="E12437" s="23"/>
      <c r="L12437" s="23"/>
    </row>
    <row r="12438">
      <c r="B12438" s="19"/>
      <c r="E12438" s="23"/>
      <c r="L12438" s="23"/>
    </row>
    <row r="12439">
      <c r="B12439" s="19"/>
      <c r="E12439" s="23"/>
      <c r="L12439" s="23"/>
    </row>
    <row r="12440">
      <c r="B12440" s="19"/>
      <c r="E12440" s="23"/>
      <c r="L12440" s="23"/>
    </row>
    <row r="12441">
      <c r="B12441" s="19"/>
      <c r="E12441" s="23"/>
      <c r="L12441" s="23"/>
    </row>
    <row r="12442">
      <c r="B12442" s="19"/>
      <c r="E12442" s="23"/>
      <c r="L12442" s="23"/>
    </row>
    <row r="12443">
      <c r="B12443" s="19"/>
      <c r="E12443" s="23"/>
      <c r="L12443" s="23"/>
    </row>
    <row r="12444">
      <c r="B12444" s="19"/>
      <c r="E12444" s="23"/>
      <c r="L12444" s="23"/>
    </row>
    <row r="12445">
      <c r="B12445" s="19"/>
      <c r="E12445" s="23"/>
      <c r="L12445" s="23"/>
    </row>
    <row r="12446">
      <c r="B12446" s="19"/>
      <c r="E12446" s="23"/>
      <c r="L12446" s="23"/>
    </row>
    <row r="12447">
      <c r="B12447" s="19"/>
      <c r="E12447" s="23"/>
      <c r="L12447" s="23"/>
    </row>
    <row r="12448">
      <c r="B12448" s="19"/>
      <c r="E12448" s="23"/>
      <c r="L12448" s="23"/>
    </row>
    <row r="12449">
      <c r="B12449" s="19"/>
      <c r="E12449" s="23"/>
      <c r="L12449" s="23"/>
    </row>
    <row r="12450">
      <c r="B12450" s="19"/>
      <c r="E12450" s="23"/>
      <c r="L12450" s="23"/>
    </row>
    <row r="12451">
      <c r="B12451" s="19"/>
      <c r="E12451" s="23"/>
      <c r="L12451" s="23"/>
    </row>
    <row r="12452">
      <c r="B12452" s="19"/>
      <c r="E12452" s="23"/>
      <c r="L12452" s="23"/>
    </row>
    <row r="12453">
      <c r="B12453" s="19"/>
      <c r="E12453" s="23"/>
      <c r="L12453" s="23"/>
    </row>
    <row r="12454">
      <c r="B12454" s="19"/>
      <c r="E12454" s="23"/>
      <c r="L12454" s="23"/>
    </row>
    <row r="12455">
      <c r="B12455" s="19"/>
      <c r="E12455" s="23"/>
      <c r="L12455" s="23"/>
    </row>
    <row r="12456">
      <c r="B12456" s="19"/>
      <c r="E12456" s="23"/>
      <c r="L12456" s="23"/>
    </row>
    <row r="12457">
      <c r="B12457" s="19"/>
      <c r="E12457" s="23"/>
      <c r="L12457" s="23"/>
    </row>
    <row r="12458">
      <c r="B12458" s="19"/>
      <c r="E12458" s="23"/>
      <c r="L12458" s="23"/>
    </row>
    <row r="12459">
      <c r="B12459" s="19"/>
      <c r="E12459" s="23"/>
      <c r="L12459" s="23"/>
    </row>
    <row r="12460">
      <c r="B12460" s="19"/>
      <c r="E12460" s="23"/>
      <c r="L12460" s="23"/>
    </row>
    <row r="12461">
      <c r="B12461" s="19"/>
      <c r="E12461" s="23"/>
      <c r="L12461" s="23"/>
    </row>
    <row r="12462">
      <c r="B12462" s="19"/>
      <c r="E12462" s="23"/>
      <c r="L12462" s="23"/>
    </row>
    <row r="12463">
      <c r="B12463" s="19"/>
      <c r="E12463" s="23"/>
      <c r="L12463" s="23"/>
    </row>
    <row r="12464">
      <c r="B12464" s="19"/>
      <c r="E12464" s="23"/>
      <c r="L12464" s="23"/>
    </row>
    <row r="12465">
      <c r="B12465" s="19"/>
      <c r="E12465" s="23"/>
      <c r="L12465" s="23"/>
    </row>
    <row r="12466">
      <c r="B12466" s="19"/>
      <c r="E12466" s="23"/>
      <c r="L12466" s="23"/>
    </row>
    <row r="12467">
      <c r="B12467" s="19"/>
      <c r="E12467" s="23"/>
      <c r="L12467" s="23"/>
    </row>
    <row r="12468">
      <c r="B12468" s="19"/>
      <c r="E12468" s="23"/>
      <c r="L12468" s="23"/>
    </row>
    <row r="12469">
      <c r="B12469" s="19"/>
      <c r="E12469" s="23"/>
      <c r="L12469" s="23"/>
    </row>
    <row r="12470">
      <c r="B12470" s="19"/>
      <c r="E12470" s="23"/>
      <c r="L12470" s="23"/>
    </row>
    <row r="12471">
      <c r="B12471" s="19"/>
      <c r="E12471" s="23"/>
      <c r="L12471" s="23"/>
    </row>
    <row r="12472">
      <c r="B12472" s="19"/>
      <c r="E12472" s="23"/>
      <c r="L12472" s="23"/>
    </row>
    <row r="12473">
      <c r="B12473" s="19"/>
      <c r="E12473" s="23"/>
      <c r="L12473" s="23"/>
    </row>
    <row r="12474">
      <c r="B12474" s="19"/>
      <c r="E12474" s="23"/>
      <c r="L12474" s="23"/>
    </row>
    <row r="12475">
      <c r="B12475" s="19"/>
      <c r="E12475" s="23"/>
      <c r="L12475" s="23"/>
    </row>
    <row r="12476">
      <c r="B12476" s="19"/>
      <c r="E12476" s="23"/>
      <c r="L12476" s="23"/>
    </row>
    <row r="12477">
      <c r="B12477" s="19"/>
      <c r="E12477" s="23"/>
      <c r="L12477" s="23"/>
    </row>
    <row r="12478">
      <c r="B12478" s="19"/>
      <c r="E12478" s="23"/>
      <c r="L12478" s="23"/>
    </row>
    <row r="12479">
      <c r="B12479" s="19"/>
      <c r="E12479" s="23"/>
      <c r="L12479" s="23"/>
    </row>
    <row r="12480">
      <c r="B12480" s="19"/>
      <c r="E12480" s="23"/>
      <c r="L12480" s="23"/>
    </row>
    <row r="12481">
      <c r="B12481" s="19"/>
      <c r="E12481" s="23"/>
      <c r="L12481" s="23"/>
    </row>
    <row r="12482">
      <c r="B12482" s="19"/>
      <c r="E12482" s="23"/>
      <c r="L12482" s="23"/>
    </row>
    <row r="12483">
      <c r="B12483" s="19"/>
      <c r="E12483" s="23"/>
      <c r="L12483" s="23"/>
    </row>
    <row r="12484">
      <c r="B12484" s="19"/>
      <c r="E12484" s="23"/>
      <c r="L12484" s="23"/>
    </row>
    <row r="12485">
      <c r="B12485" s="19"/>
      <c r="E12485" s="23"/>
      <c r="L12485" s="23"/>
    </row>
    <row r="12486">
      <c r="B12486" s="19"/>
      <c r="E12486" s="23"/>
      <c r="L12486" s="23"/>
    </row>
    <row r="12487">
      <c r="B12487" s="19"/>
      <c r="E12487" s="23"/>
      <c r="L12487" s="23"/>
    </row>
    <row r="12488">
      <c r="B12488" s="19"/>
      <c r="E12488" s="23"/>
      <c r="L12488" s="23"/>
    </row>
    <row r="12489">
      <c r="B12489" s="19"/>
      <c r="E12489" s="23"/>
      <c r="L12489" s="23"/>
    </row>
    <row r="12490">
      <c r="B12490" s="19"/>
      <c r="E12490" s="23"/>
      <c r="L12490" s="23"/>
    </row>
    <row r="12491">
      <c r="B12491" s="19"/>
      <c r="E12491" s="23"/>
      <c r="L12491" s="23"/>
    </row>
    <row r="12492">
      <c r="B12492" s="19"/>
      <c r="E12492" s="23"/>
      <c r="L12492" s="23"/>
    </row>
    <row r="12493">
      <c r="B12493" s="19"/>
      <c r="E12493" s="23"/>
      <c r="L12493" s="23"/>
    </row>
    <row r="12494">
      <c r="B12494" s="19"/>
      <c r="E12494" s="23"/>
      <c r="L12494" s="23"/>
    </row>
    <row r="12495">
      <c r="B12495" s="19"/>
      <c r="E12495" s="23"/>
      <c r="L12495" s="23"/>
    </row>
    <row r="12496">
      <c r="B12496" s="19"/>
      <c r="E12496" s="23"/>
      <c r="L12496" s="23"/>
    </row>
    <row r="12497">
      <c r="B12497" s="19"/>
      <c r="E12497" s="23"/>
      <c r="L12497" s="23"/>
    </row>
    <row r="12498">
      <c r="B12498" s="19"/>
      <c r="E12498" s="23"/>
      <c r="L12498" s="23"/>
    </row>
    <row r="12499">
      <c r="B12499" s="19"/>
      <c r="E12499" s="23"/>
      <c r="L12499" s="23"/>
    </row>
    <row r="12500">
      <c r="B12500" s="19"/>
      <c r="E12500" s="23"/>
      <c r="L12500" s="23"/>
    </row>
    <row r="12501">
      <c r="B12501" s="19"/>
      <c r="E12501" s="23"/>
      <c r="L12501" s="23"/>
    </row>
    <row r="12502">
      <c r="B12502" s="19"/>
      <c r="E12502" s="23"/>
      <c r="L12502" s="23"/>
    </row>
    <row r="12503">
      <c r="B12503" s="19"/>
      <c r="E12503" s="23"/>
      <c r="L12503" s="23"/>
    </row>
    <row r="12504">
      <c r="B12504" s="19"/>
      <c r="E12504" s="23"/>
      <c r="L12504" s="23"/>
    </row>
    <row r="12505">
      <c r="B12505" s="19"/>
      <c r="E12505" s="23"/>
      <c r="L12505" s="23"/>
    </row>
    <row r="12506">
      <c r="B12506" s="19"/>
      <c r="E12506" s="23"/>
      <c r="L12506" s="23"/>
    </row>
    <row r="12507">
      <c r="B12507" s="19"/>
      <c r="E12507" s="23"/>
      <c r="L12507" s="23"/>
    </row>
    <row r="12508">
      <c r="B12508" s="19"/>
      <c r="E12508" s="23"/>
      <c r="L12508" s="23"/>
    </row>
    <row r="12509">
      <c r="B12509" s="19"/>
      <c r="E12509" s="23"/>
      <c r="L12509" s="23"/>
    </row>
    <row r="12510">
      <c r="B12510" s="19"/>
      <c r="E12510" s="23"/>
      <c r="L12510" s="23"/>
    </row>
    <row r="12511">
      <c r="B12511" s="19"/>
      <c r="E12511" s="23"/>
      <c r="L12511" s="23"/>
    </row>
    <row r="12512">
      <c r="B12512" s="19"/>
      <c r="E12512" s="23"/>
      <c r="L12512" s="23"/>
    </row>
    <row r="12513">
      <c r="B12513" s="19"/>
      <c r="E12513" s="23"/>
      <c r="L12513" s="23"/>
    </row>
    <row r="12514">
      <c r="B12514" s="19"/>
      <c r="E12514" s="23"/>
      <c r="L12514" s="23"/>
    </row>
    <row r="12515">
      <c r="B12515" s="19"/>
      <c r="E12515" s="23"/>
      <c r="L12515" s="23"/>
    </row>
    <row r="12516">
      <c r="B12516" s="19"/>
      <c r="E12516" s="23"/>
      <c r="L12516" s="23"/>
    </row>
    <row r="12517">
      <c r="B12517" s="19"/>
      <c r="E12517" s="23"/>
      <c r="L12517" s="23"/>
    </row>
    <row r="12518">
      <c r="B12518" s="19"/>
      <c r="E12518" s="23"/>
      <c r="L12518" s="23"/>
    </row>
    <row r="12519">
      <c r="B12519" s="19"/>
      <c r="E12519" s="23"/>
      <c r="L12519" s="23"/>
    </row>
    <row r="12520">
      <c r="B12520" s="19"/>
      <c r="E12520" s="23"/>
      <c r="L12520" s="23"/>
    </row>
    <row r="12521">
      <c r="B12521" s="19"/>
      <c r="E12521" s="23"/>
      <c r="L12521" s="23"/>
    </row>
    <row r="12522">
      <c r="B12522" s="19"/>
      <c r="E12522" s="23"/>
      <c r="L12522" s="23"/>
    </row>
    <row r="12523">
      <c r="B12523" s="19"/>
      <c r="E12523" s="23"/>
      <c r="L12523" s="23"/>
    </row>
    <row r="12524">
      <c r="B12524" s="19"/>
      <c r="E12524" s="23"/>
      <c r="L12524" s="23"/>
    </row>
    <row r="12525">
      <c r="B12525" s="19"/>
      <c r="E12525" s="23"/>
      <c r="L12525" s="23"/>
    </row>
    <row r="12526">
      <c r="B12526" s="19"/>
      <c r="E12526" s="23"/>
      <c r="L12526" s="23"/>
    </row>
    <row r="12527">
      <c r="B12527" s="19"/>
      <c r="E12527" s="23"/>
      <c r="L12527" s="23"/>
    </row>
    <row r="12528">
      <c r="B12528" s="19"/>
      <c r="E12528" s="23"/>
      <c r="L12528" s="23"/>
    </row>
    <row r="12529">
      <c r="B12529" s="19"/>
      <c r="E12529" s="23"/>
      <c r="L12529" s="23"/>
    </row>
    <row r="12530">
      <c r="B12530" s="19"/>
      <c r="E12530" s="23"/>
      <c r="L12530" s="23"/>
    </row>
    <row r="12531">
      <c r="B12531" s="19"/>
      <c r="E12531" s="23"/>
      <c r="L12531" s="23"/>
    </row>
    <row r="12532">
      <c r="B12532" s="19"/>
      <c r="E12532" s="23"/>
      <c r="L12532" s="23"/>
    </row>
    <row r="12533">
      <c r="B12533" s="19"/>
      <c r="E12533" s="23"/>
      <c r="L12533" s="23"/>
    </row>
    <row r="12534">
      <c r="B12534" s="19"/>
      <c r="E12534" s="23"/>
      <c r="L12534" s="23"/>
    </row>
    <row r="12535">
      <c r="B12535" s="19"/>
      <c r="E12535" s="23"/>
      <c r="L12535" s="23"/>
    </row>
    <row r="12536">
      <c r="B12536" s="19"/>
      <c r="E12536" s="23"/>
      <c r="L12536" s="23"/>
    </row>
    <row r="12537">
      <c r="B12537" s="19"/>
      <c r="E12537" s="23"/>
      <c r="L12537" s="23"/>
    </row>
    <row r="12538">
      <c r="B12538" s="19"/>
      <c r="E12538" s="23"/>
      <c r="L12538" s="23"/>
    </row>
    <row r="12539">
      <c r="B12539" s="19"/>
      <c r="E12539" s="23"/>
      <c r="L12539" s="23"/>
    </row>
    <row r="12540">
      <c r="B12540" s="19"/>
      <c r="E12540" s="23"/>
      <c r="L12540" s="23"/>
    </row>
    <row r="12541">
      <c r="B12541" s="19"/>
      <c r="E12541" s="23"/>
      <c r="L12541" s="23"/>
    </row>
    <row r="12542">
      <c r="B12542" s="19"/>
      <c r="E12542" s="23"/>
      <c r="L12542" s="23"/>
    </row>
    <row r="12543">
      <c r="B12543" s="19"/>
      <c r="E12543" s="23"/>
      <c r="L12543" s="23"/>
    </row>
    <row r="12544">
      <c r="B12544" s="19"/>
      <c r="E12544" s="23"/>
      <c r="L12544" s="23"/>
    </row>
    <row r="12545">
      <c r="B12545" s="19"/>
      <c r="E12545" s="23"/>
      <c r="L12545" s="23"/>
    </row>
    <row r="12546">
      <c r="B12546" s="19"/>
      <c r="E12546" s="23"/>
      <c r="L12546" s="23"/>
    </row>
    <row r="12547">
      <c r="B12547" s="19"/>
      <c r="E12547" s="23"/>
      <c r="L12547" s="23"/>
    </row>
    <row r="12548">
      <c r="B12548" s="19"/>
      <c r="E12548" s="23"/>
      <c r="L12548" s="23"/>
    </row>
    <row r="12549">
      <c r="B12549" s="19"/>
      <c r="E12549" s="23"/>
      <c r="L12549" s="23"/>
    </row>
    <row r="12550">
      <c r="B12550" s="19"/>
      <c r="E12550" s="23"/>
      <c r="L12550" s="23"/>
    </row>
    <row r="12551">
      <c r="B12551" s="19"/>
      <c r="E12551" s="23"/>
      <c r="L12551" s="23"/>
    </row>
    <row r="12552">
      <c r="B12552" s="19"/>
      <c r="E12552" s="23"/>
      <c r="L12552" s="23"/>
    </row>
    <row r="12553">
      <c r="B12553" s="19"/>
      <c r="E12553" s="23"/>
      <c r="L12553" s="23"/>
    </row>
    <row r="12554">
      <c r="B12554" s="19"/>
      <c r="E12554" s="23"/>
      <c r="L12554" s="23"/>
    </row>
    <row r="12555">
      <c r="B12555" s="19"/>
      <c r="E12555" s="23"/>
      <c r="L12555" s="23"/>
    </row>
    <row r="12556">
      <c r="B12556" s="19"/>
      <c r="E12556" s="23"/>
      <c r="L12556" s="23"/>
    </row>
    <row r="12557">
      <c r="B12557" s="19"/>
      <c r="E12557" s="23"/>
      <c r="L12557" s="23"/>
    </row>
    <row r="12558">
      <c r="B12558" s="19"/>
      <c r="E12558" s="23"/>
      <c r="L12558" s="23"/>
    </row>
    <row r="12559">
      <c r="B12559" s="19"/>
      <c r="E12559" s="23"/>
      <c r="L12559" s="23"/>
    </row>
    <row r="12560">
      <c r="B12560" s="19"/>
      <c r="E12560" s="23"/>
      <c r="L12560" s="23"/>
    </row>
    <row r="12561">
      <c r="B12561" s="19"/>
      <c r="E12561" s="23"/>
      <c r="L12561" s="23"/>
    </row>
    <row r="12562">
      <c r="B12562" s="19"/>
      <c r="E12562" s="23"/>
      <c r="L12562" s="23"/>
    </row>
    <row r="12563">
      <c r="B12563" s="19"/>
      <c r="E12563" s="23"/>
      <c r="L12563" s="23"/>
    </row>
    <row r="12564">
      <c r="B12564" s="19"/>
      <c r="E12564" s="23"/>
      <c r="L12564" s="23"/>
    </row>
    <row r="12565">
      <c r="B12565" s="19"/>
      <c r="E12565" s="23"/>
      <c r="L12565" s="23"/>
    </row>
    <row r="12566">
      <c r="B12566" s="19"/>
      <c r="E12566" s="23"/>
      <c r="L12566" s="23"/>
    </row>
    <row r="12567">
      <c r="B12567" s="19"/>
      <c r="E12567" s="23"/>
      <c r="L12567" s="23"/>
    </row>
    <row r="12568">
      <c r="B12568" s="19"/>
      <c r="E12568" s="23"/>
      <c r="L12568" s="23"/>
    </row>
    <row r="12569">
      <c r="B12569" s="19"/>
      <c r="E12569" s="23"/>
      <c r="L12569" s="23"/>
    </row>
    <row r="12570">
      <c r="B12570" s="19"/>
      <c r="E12570" s="23"/>
      <c r="L12570" s="23"/>
    </row>
    <row r="12571">
      <c r="B12571" s="19"/>
      <c r="E12571" s="23"/>
      <c r="L12571" s="23"/>
    </row>
    <row r="12572">
      <c r="B12572" s="19"/>
      <c r="E12572" s="23"/>
      <c r="L12572" s="23"/>
    </row>
    <row r="12573">
      <c r="B12573" s="19"/>
      <c r="E12573" s="23"/>
      <c r="L12573" s="23"/>
    </row>
    <row r="12574">
      <c r="B12574" s="19"/>
      <c r="E12574" s="23"/>
      <c r="L12574" s="23"/>
    </row>
    <row r="12575">
      <c r="B12575" s="19"/>
      <c r="E12575" s="23"/>
      <c r="L12575" s="23"/>
    </row>
    <row r="12576">
      <c r="B12576" s="19"/>
      <c r="E12576" s="23"/>
      <c r="L12576" s="23"/>
    </row>
    <row r="12577">
      <c r="B12577" s="19"/>
      <c r="E12577" s="23"/>
      <c r="L12577" s="23"/>
    </row>
    <row r="12578">
      <c r="B12578" s="19"/>
      <c r="E12578" s="23"/>
      <c r="L12578" s="23"/>
    </row>
    <row r="12579">
      <c r="B12579" s="19"/>
      <c r="E12579" s="23"/>
      <c r="L12579" s="23"/>
    </row>
    <row r="12580">
      <c r="B12580" s="19"/>
      <c r="E12580" s="23"/>
      <c r="L12580" s="23"/>
    </row>
    <row r="12581">
      <c r="B12581" s="19"/>
      <c r="E12581" s="23"/>
      <c r="L12581" s="23"/>
    </row>
    <row r="12582">
      <c r="B12582" s="19"/>
      <c r="E12582" s="23"/>
      <c r="L12582" s="23"/>
    </row>
    <row r="12583">
      <c r="B12583" s="19"/>
      <c r="E12583" s="23"/>
      <c r="L12583" s="23"/>
    </row>
    <row r="12584">
      <c r="B12584" s="19"/>
      <c r="E12584" s="23"/>
      <c r="L12584" s="23"/>
    </row>
    <row r="12585">
      <c r="B12585" s="19"/>
      <c r="E12585" s="23"/>
      <c r="L12585" s="23"/>
    </row>
    <row r="12586">
      <c r="B12586" s="19"/>
      <c r="E12586" s="23"/>
      <c r="L12586" s="23"/>
    </row>
    <row r="12587">
      <c r="B12587" s="19"/>
      <c r="E12587" s="23"/>
      <c r="L12587" s="23"/>
    </row>
    <row r="12588">
      <c r="B12588" s="19"/>
      <c r="E12588" s="23"/>
      <c r="L12588" s="23"/>
    </row>
    <row r="12589">
      <c r="B12589" s="19"/>
      <c r="E12589" s="23"/>
      <c r="L12589" s="23"/>
    </row>
    <row r="12590">
      <c r="B12590" s="19"/>
      <c r="E12590" s="23"/>
      <c r="L12590" s="23"/>
    </row>
    <row r="12591">
      <c r="B12591" s="19"/>
      <c r="E12591" s="23"/>
      <c r="L12591" s="23"/>
    </row>
    <row r="12592">
      <c r="B12592" s="19"/>
      <c r="E12592" s="23"/>
      <c r="L12592" s="23"/>
    </row>
    <row r="12593">
      <c r="B12593" s="19"/>
      <c r="E12593" s="23"/>
      <c r="L12593" s="23"/>
    </row>
    <row r="12594">
      <c r="B12594" s="19"/>
      <c r="E12594" s="23"/>
      <c r="L12594" s="23"/>
    </row>
    <row r="12595">
      <c r="B12595" s="19"/>
      <c r="E12595" s="23"/>
      <c r="L12595" s="23"/>
    </row>
    <row r="12596">
      <c r="B12596" s="19"/>
      <c r="E12596" s="23"/>
      <c r="L12596" s="23"/>
    </row>
    <row r="12597">
      <c r="B12597" s="19"/>
      <c r="E12597" s="23"/>
      <c r="L12597" s="23"/>
    </row>
    <row r="12598">
      <c r="B12598" s="19"/>
      <c r="E12598" s="23"/>
      <c r="L12598" s="23"/>
    </row>
    <row r="12599">
      <c r="B12599" s="19"/>
      <c r="E12599" s="23"/>
      <c r="L12599" s="23"/>
    </row>
    <row r="12600">
      <c r="B12600" s="19"/>
      <c r="E12600" s="23"/>
      <c r="L12600" s="23"/>
    </row>
    <row r="12601">
      <c r="B12601" s="19"/>
      <c r="E12601" s="23"/>
      <c r="L12601" s="23"/>
    </row>
    <row r="12602">
      <c r="B12602" s="19"/>
      <c r="E12602" s="23"/>
      <c r="L12602" s="23"/>
    </row>
    <row r="12603">
      <c r="B12603" s="19"/>
      <c r="E12603" s="23"/>
      <c r="L12603" s="23"/>
    </row>
    <row r="12604">
      <c r="B12604" s="19"/>
      <c r="E12604" s="23"/>
      <c r="L12604" s="23"/>
    </row>
    <row r="12605">
      <c r="B12605" s="19"/>
      <c r="E12605" s="23"/>
      <c r="L12605" s="23"/>
    </row>
    <row r="12606">
      <c r="B12606" s="19"/>
      <c r="E12606" s="23"/>
      <c r="L12606" s="23"/>
    </row>
    <row r="12607">
      <c r="B12607" s="19"/>
      <c r="E12607" s="23"/>
      <c r="L12607" s="23"/>
    </row>
    <row r="12608">
      <c r="B12608" s="19"/>
      <c r="E12608" s="23"/>
      <c r="L12608" s="23"/>
    </row>
    <row r="12609">
      <c r="B12609" s="19"/>
      <c r="E12609" s="23"/>
      <c r="L12609" s="23"/>
    </row>
    <row r="12610">
      <c r="B12610" s="19"/>
      <c r="E12610" s="23"/>
      <c r="L12610" s="23"/>
    </row>
    <row r="12611">
      <c r="B12611" s="19"/>
      <c r="E12611" s="23"/>
      <c r="L12611" s="23"/>
    </row>
    <row r="12612">
      <c r="B12612" s="19"/>
      <c r="E12612" s="23"/>
      <c r="L12612" s="23"/>
    </row>
    <row r="12613">
      <c r="B12613" s="19"/>
      <c r="E12613" s="23"/>
      <c r="L12613" s="23"/>
    </row>
    <row r="12614">
      <c r="B12614" s="19"/>
      <c r="E12614" s="23"/>
      <c r="L12614" s="23"/>
    </row>
    <row r="12615">
      <c r="B12615" s="19"/>
      <c r="E12615" s="23"/>
      <c r="L12615" s="23"/>
    </row>
    <row r="12616">
      <c r="B12616" s="19"/>
      <c r="E12616" s="23"/>
      <c r="L12616" s="23"/>
    </row>
    <row r="12617">
      <c r="B12617" s="19"/>
      <c r="E12617" s="23"/>
      <c r="L12617" s="23"/>
    </row>
    <row r="12618">
      <c r="B12618" s="19"/>
      <c r="E12618" s="23"/>
      <c r="L12618" s="23"/>
    </row>
    <row r="12619">
      <c r="B12619" s="19"/>
      <c r="E12619" s="23"/>
      <c r="L12619" s="23"/>
    </row>
    <row r="12620">
      <c r="B12620" s="19"/>
      <c r="E12620" s="23"/>
      <c r="L12620" s="23"/>
    </row>
    <row r="12621">
      <c r="B12621" s="19"/>
      <c r="E12621" s="23"/>
      <c r="L12621" s="23"/>
    </row>
    <row r="12622">
      <c r="B12622" s="19"/>
      <c r="E12622" s="23"/>
      <c r="L12622" s="23"/>
    </row>
    <row r="12623">
      <c r="B12623" s="19"/>
      <c r="E12623" s="23"/>
      <c r="L12623" s="23"/>
    </row>
    <row r="12624">
      <c r="B12624" s="19"/>
      <c r="E12624" s="23"/>
      <c r="L12624" s="23"/>
    </row>
    <row r="12625">
      <c r="B12625" s="19"/>
      <c r="E12625" s="23"/>
      <c r="L12625" s="23"/>
    </row>
    <row r="12626">
      <c r="B12626" s="19"/>
      <c r="E12626" s="23"/>
      <c r="L12626" s="23"/>
    </row>
    <row r="12627">
      <c r="B12627" s="19"/>
      <c r="E12627" s="23"/>
      <c r="L12627" s="23"/>
    </row>
    <row r="12628">
      <c r="B12628" s="19"/>
      <c r="E12628" s="23"/>
      <c r="L12628" s="23"/>
    </row>
    <row r="12629">
      <c r="B12629" s="19"/>
      <c r="E12629" s="23"/>
      <c r="L12629" s="23"/>
    </row>
    <row r="12630">
      <c r="B12630" s="19"/>
      <c r="E12630" s="23"/>
      <c r="L12630" s="23"/>
    </row>
    <row r="12631">
      <c r="B12631" s="19"/>
      <c r="E12631" s="23"/>
      <c r="L12631" s="23"/>
    </row>
    <row r="12632">
      <c r="B12632" s="19"/>
      <c r="E12632" s="23"/>
      <c r="L12632" s="23"/>
    </row>
    <row r="12633">
      <c r="B12633" s="19"/>
      <c r="E12633" s="23"/>
      <c r="L12633" s="23"/>
    </row>
    <row r="12634">
      <c r="B12634" s="19"/>
      <c r="E12634" s="23"/>
      <c r="L12634" s="23"/>
    </row>
    <row r="12635">
      <c r="B12635" s="19"/>
      <c r="E12635" s="23"/>
      <c r="L12635" s="23"/>
    </row>
    <row r="12636">
      <c r="B12636" s="19"/>
      <c r="E12636" s="23"/>
      <c r="L12636" s="23"/>
    </row>
    <row r="12637">
      <c r="B12637" s="19"/>
      <c r="E12637" s="23"/>
      <c r="L12637" s="23"/>
    </row>
    <row r="12638">
      <c r="B12638" s="19"/>
      <c r="E12638" s="23"/>
      <c r="L12638" s="23"/>
    </row>
    <row r="12639">
      <c r="B12639" s="19"/>
      <c r="E12639" s="23"/>
      <c r="L12639" s="23"/>
    </row>
    <row r="12640">
      <c r="B12640" s="19"/>
      <c r="E12640" s="23"/>
      <c r="L12640" s="23"/>
    </row>
    <row r="12641">
      <c r="B12641" s="19"/>
      <c r="E12641" s="23"/>
      <c r="L12641" s="23"/>
    </row>
    <row r="12642">
      <c r="B12642" s="19"/>
      <c r="E12642" s="23"/>
      <c r="L12642" s="23"/>
    </row>
    <row r="12643">
      <c r="B12643" s="19"/>
      <c r="E12643" s="23"/>
      <c r="L12643" s="23"/>
    </row>
    <row r="12644">
      <c r="B12644" s="19"/>
      <c r="E12644" s="23"/>
      <c r="L12644" s="23"/>
    </row>
    <row r="12645">
      <c r="B12645" s="19"/>
      <c r="E12645" s="23"/>
      <c r="L12645" s="23"/>
    </row>
    <row r="12646">
      <c r="B12646" s="19"/>
      <c r="E12646" s="23"/>
      <c r="L12646" s="23"/>
    </row>
    <row r="12647">
      <c r="B12647" s="19"/>
      <c r="E12647" s="23"/>
      <c r="L12647" s="23"/>
    </row>
    <row r="12648">
      <c r="B12648" s="19"/>
      <c r="E12648" s="23"/>
      <c r="L12648" s="23"/>
    </row>
    <row r="12649">
      <c r="B12649" s="19"/>
      <c r="E12649" s="23"/>
      <c r="L12649" s="23"/>
    </row>
    <row r="12650">
      <c r="B12650" s="19"/>
      <c r="E12650" s="23"/>
      <c r="L12650" s="23"/>
    </row>
    <row r="12651">
      <c r="B12651" s="19"/>
      <c r="E12651" s="23"/>
      <c r="L12651" s="23"/>
    </row>
    <row r="12652">
      <c r="B12652" s="19"/>
      <c r="E12652" s="23"/>
      <c r="L12652" s="23"/>
    </row>
    <row r="12653">
      <c r="B12653" s="19"/>
      <c r="E12653" s="23"/>
      <c r="L12653" s="23"/>
    </row>
    <row r="12654">
      <c r="B12654" s="19"/>
      <c r="E12654" s="23"/>
      <c r="L12654" s="23"/>
    </row>
    <row r="12655">
      <c r="B12655" s="19"/>
      <c r="E12655" s="23"/>
      <c r="L12655" s="23"/>
    </row>
    <row r="12656">
      <c r="B12656" s="19"/>
      <c r="E12656" s="23"/>
      <c r="L12656" s="23"/>
    </row>
    <row r="12657">
      <c r="B12657" s="19"/>
      <c r="E12657" s="23"/>
      <c r="L12657" s="23"/>
    </row>
    <row r="12658">
      <c r="B12658" s="19"/>
      <c r="E12658" s="23"/>
      <c r="L12658" s="23"/>
    </row>
    <row r="12659">
      <c r="B12659" s="19"/>
      <c r="E12659" s="23"/>
      <c r="L12659" s="23"/>
    </row>
    <row r="12660">
      <c r="B12660" s="19"/>
      <c r="E12660" s="23"/>
      <c r="L12660" s="23"/>
    </row>
    <row r="12661">
      <c r="B12661" s="19"/>
      <c r="E12661" s="23"/>
      <c r="L12661" s="23"/>
    </row>
    <row r="12662">
      <c r="B12662" s="19"/>
      <c r="E12662" s="23"/>
      <c r="L12662" s="23"/>
    </row>
    <row r="12663">
      <c r="B12663" s="19"/>
      <c r="E12663" s="23"/>
      <c r="L12663" s="23"/>
    </row>
    <row r="12664">
      <c r="B12664" s="19"/>
      <c r="E12664" s="23"/>
      <c r="L12664" s="23"/>
    </row>
    <row r="12665">
      <c r="B12665" s="19"/>
      <c r="E12665" s="23"/>
      <c r="L12665" s="23"/>
    </row>
    <row r="12666">
      <c r="B12666" s="19"/>
      <c r="E12666" s="23"/>
      <c r="L12666" s="23"/>
    </row>
    <row r="12667">
      <c r="B12667" s="19"/>
      <c r="E12667" s="23"/>
      <c r="L12667" s="23"/>
    </row>
    <row r="12668">
      <c r="B12668" s="19"/>
      <c r="E12668" s="23"/>
      <c r="L12668" s="23"/>
    </row>
    <row r="12669">
      <c r="B12669" s="19"/>
      <c r="E12669" s="23"/>
      <c r="L12669" s="23"/>
    </row>
    <row r="12670">
      <c r="B12670" s="19"/>
      <c r="E12670" s="23"/>
      <c r="L12670" s="23"/>
    </row>
    <row r="12671">
      <c r="B12671" s="19"/>
      <c r="E12671" s="23"/>
      <c r="L12671" s="23"/>
    </row>
    <row r="12672">
      <c r="B12672" s="19"/>
      <c r="E12672" s="23"/>
      <c r="L12672" s="23"/>
    </row>
    <row r="12673">
      <c r="B12673" s="19"/>
      <c r="E12673" s="23"/>
      <c r="L12673" s="23"/>
    </row>
    <row r="12674">
      <c r="B12674" s="19"/>
      <c r="E12674" s="23"/>
      <c r="L12674" s="23"/>
    </row>
    <row r="12675">
      <c r="B12675" s="19"/>
      <c r="E12675" s="23"/>
      <c r="L12675" s="23"/>
    </row>
    <row r="12676">
      <c r="B12676" s="19"/>
      <c r="E12676" s="23"/>
      <c r="L12676" s="23"/>
    </row>
    <row r="12677">
      <c r="B12677" s="19"/>
      <c r="E12677" s="23"/>
      <c r="L12677" s="23"/>
    </row>
    <row r="12678">
      <c r="B12678" s="19"/>
      <c r="E12678" s="23"/>
      <c r="L12678" s="23"/>
    </row>
    <row r="12679">
      <c r="B12679" s="19"/>
      <c r="E12679" s="23"/>
      <c r="L12679" s="23"/>
    </row>
    <row r="12680">
      <c r="B12680" s="19"/>
      <c r="E12680" s="23"/>
      <c r="L12680" s="23"/>
    </row>
    <row r="12681">
      <c r="B12681" s="19"/>
      <c r="E12681" s="23"/>
      <c r="L12681" s="23"/>
    </row>
    <row r="12682">
      <c r="B12682" s="19"/>
      <c r="E12682" s="23"/>
      <c r="L12682" s="23"/>
    </row>
    <row r="12683">
      <c r="B12683" s="19"/>
      <c r="E12683" s="23"/>
      <c r="L12683" s="23"/>
    </row>
    <row r="12684">
      <c r="B12684" s="19"/>
      <c r="E12684" s="23"/>
      <c r="L12684" s="23"/>
    </row>
    <row r="12685">
      <c r="B12685" s="19"/>
      <c r="E12685" s="23"/>
      <c r="L12685" s="23"/>
    </row>
    <row r="12686">
      <c r="B12686" s="19"/>
      <c r="E12686" s="23"/>
      <c r="L12686" s="23"/>
    </row>
    <row r="12687">
      <c r="B12687" s="19"/>
      <c r="E12687" s="23"/>
      <c r="L12687" s="23"/>
    </row>
    <row r="12688">
      <c r="B12688" s="19"/>
      <c r="E12688" s="23"/>
      <c r="L12688" s="23"/>
    </row>
    <row r="12689">
      <c r="B12689" s="19"/>
      <c r="E12689" s="23"/>
      <c r="L12689" s="23"/>
    </row>
    <row r="12690">
      <c r="B12690" s="19"/>
      <c r="E12690" s="23"/>
      <c r="L12690" s="23"/>
    </row>
    <row r="12691">
      <c r="B12691" s="19"/>
      <c r="E12691" s="23"/>
      <c r="L12691" s="23"/>
    </row>
    <row r="12692">
      <c r="B12692" s="19"/>
      <c r="E12692" s="23"/>
      <c r="L12692" s="23"/>
    </row>
    <row r="12693">
      <c r="B12693" s="19"/>
      <c r="E12693" s="23"/>
      <c r="L12693" s="23"/>
    </row>
    <row r="12694">
      <c r="B12694" s="19"/>
      <c r="E12694" s="23"/>
      <c r="L12694" s="23"/>
    </row>
    <row r="12695">
      <c r="B12695" s="19"/>
      <c r="E12695" s="23"/>
      <c r="L12695" s="23"/>
    </row>
    <row r="12696">
      <c r="B12696" s="19"/>
      <c r="E12696" s="23"/>
      <c r="L12696" s="23"/>
    </row>
    <row r="12697">
      <c r="B12697" s="19"/>
      <c r="E12697" s="23"/>
      <c r="L12697" s="23"/>
    </row>
    <row r="12698">
      <c r="B12698" s="19"/>
      <c r="E12698" s="23"/>
      <c r="L12698" s="23"/>
    </row>
    <row r="12699">
      <c r="B12699" s="19"/>
      <c r="E12699" s="23"/>
      <c r="L12699" s="23"/>
    </row>
    <row r="12700">
      <c r="B12700" s="19"/>
      <c r="E12700" s="23"/>
      <c r="L12700" s="23"/>
    </row>
    <row r="12701">
      <c r="B12701" s="19"/>
      <c r="E12701" s="23"/>
      <c r="L12701" s="23"/>
    </row>
    <row r="12702">
      <c r="B12702" s="19"/>
      <c r="E12702" s="23"/>
      <c r="L12702" s="23"/>
    </row>
    <row r="12703">
      <c r="B12703" s="19"/>
      <c r="E12703" s="23"/>
      <c r="L12703" s="23"/>
    </row>
    <row r="12704">
      <c r="B12704" s="19"/>
      <c r="E12704" s="23"/>
      <c r="L12704" s="23"/>
    </row>
    <row r="12705">
      <c r="B12705" s="19"/>
      <c r="E12705" s="23"/>
      <c r="L12705" s="23"/>
    </row>
    <row r="12706">
      <c r="B12706" s="19"/>
      <c r="E12706" s="23"/>
      <c r="L12706" s="23"/>
    </row>
    <row r="12707">
      <c r="B12707" s="19"/>
      <c r="E12707" s="23"/>
      <c r="L12707" s="23"/>
    </row>
    <row r="12708">
      <c r="B12708" s="19"/>
      <c r="E12708" s="23"/>
      <c r="L12708" s="23"/>
    </row>
    <row r="12709">
      <c r="B12709" s="19"/>
      <c r="E12709" s="23"/>
      <c r="L12709" s="23"/>
    </row>
    <row r="12710">
      <c r="B12710" s="19"/>
      <c r="E12710" s="23"/>
      <c r="L12710" s="23"/>
    </row>
    <row r="12711">
      <c r="B12711" s="19"/>
      <c r="E12711" s="23"/>
      <c r="L12711" s="23"/>
    </row>
    <row r="12712">
      <c r="B12712" s="19"/>
      <c r="E12712" s="23"/>
      <c r="L12712" s="23"/>
    </row>
    <row r="12713">
      <c r="B12713" s="19"/>
      <c r="E12713" s="23"/>
      <c r="L12713" s="23"/>
    </row>
    <row r="12714">
      <c r="B12714" s="19"/>
      <c r="E12714" s="23"/>
      <c r="L12714" s="23"/>
    </row>
    <row r="12715">
      <c r="B12715" s="19"/>
      <c r="E12715" s="23"/>
      <c r="L12715" s="23"/>
    </row>
    <row r="12716">
      <c r="B12716" s="19"/>
      <c r="E12716" s="23"/>
      <c r="L12716" s="23"/>
    </row>
    <row r="12717">
      <c r="B12717" s="19"/>
      <c r="E12717" s="23"/>
      <c r="L12717" s="23"/>
    </row>
    <row r="12718">
      <c r="B12718" s="19"/>
      <c r="E12718" s="23"/>
      <c r="L12718" s="23"/>
    </row>
    <row r="12719">
      <c r="B12719" s="19"/>
      <c r="E12719" s="23"/>
      <c r="L12719" s="23"/>
    </row>
    <row r="12720">
      <c r="B12720" s="19"/>
      <c r="E12720" s="23"/>
      <c r="L12720" s="23"/>
    </row>
    <row r="12721">
      <c r="B12721" s="19"/>
      <c r="E12721" s="23"/>
      <c r="L12721" s="23"/>
    </row>
    <row r="12722">
      <c r="B12722" s="19"/>
      <c r="E12722" s="23"/>
      <c r="L12722" s="23"/>
    </row>
    <row r="12723">
      <c r="B12723" s="19"/>
      <c r="E12723" s="23"/>
      <c r="L12723" s="23"/>
    </row>
    <row r="12724">
      <c r="B12724" s="19"/>
      <c r="E12724" s="23"/>
      <c r="L12724" s="23"/>
    </row>
    <row r="12725">
      <c r="B12725" s="19"/>
      <c r="E12725" s="23"/>
      <c r="L12725" s="23"/>
    </row>
    <row r="12726">
      <c r="B12726" s="19"/>
      <c r="E12726" s="23"/>
      <c r="L12726" s="23"/>
    </row>
    <row r="12727">
      <c r="B12727" s="19"/>
      <c r="E12727" s="23"/>
      <c r="L12727" s="23"/>
    </row>
    <row r="12728">
      <c r="B12728" s="19"/>
      <c r="E12728" s="23"/>
      <c r="L12728" s="23"/>
    </row>
    <row r="12729">
      <c r="B12729" s="19"/>
      <c r="E12729" s="23"/>
      <c r="L12729" s="23"/>
    </row>
    <row r="12730">
      <c r="B12730" s="19"/>
      <c r="E12730" s="23"/>
      <c r="L12730" s="23"/>
    </row>
    <row r="12731">
      <c r="B12731" s="19"/>
      <c r="E12731" s="23"/>
      <c r="L12731" s="23"/>
    </row>
    <row r="12732">
      <c r="B12732" s="19"/>
      <c r="E12732" s="23"/>
      <c r="L12732" s="23"/>
    </row>
    <row r="12733">
      <c r="B12733" s="19"/>
      <c r="E12733" s="23"/>
      <c r="L12733" s="23"/>
    </row>
    <row r="12734">
      <c r="B12734" s="19"/>
      <c r="E12734" s="23"/>
      <c r="L12734" s="23"/>
    </row>
    <row r="12735">
      <c r="B12735" s="19"/>
      <c r="E12735" s="23"/>
      <c r="L12735" s="23"/>
    </row>
    <row r="12736">
      <c r="B12736" s="19"/>
      <c r="E12736" s="23"/>
      <c r="L12736" s="23"/>
    </row>
    <row r="12737">
      <c r="B12737" s="19"/>
      <c r="E12737" s="23"/>
      <c r="L12737" s="23"/>
    </row>
    <row r="12738">
      <c r="B12738" s="19"/>
      <c r="E12738" s="23"/>
      <c r="L12738" s="23"/>
    </row>
    <row r="12739">
      <c r="B12739" s="19"/>
      <c r="E12739" s="23"/>
      <c r="L12739" s="23"/>
    </row>
    <row r="12740">
      <c r="B12740" s="19"/>
      <c r="E12740" s="23"/>
      <c r="L12740" s="23"/>
    </row>
    <row r="12741">
      <c r="B12741" s="19"/>
      <c r="E12741" s="23"/>
      <c r="L12741" s="23"/>
    </row>
    <row r="12742">
      <c r="B12742" s="19"/>
      <c r="E12742" s="23"/>
      <c r="L12742" s="23"/>
    </row>
    <row r="12743">
      <c r="B12743" s="19"/>
      <c r="E12743" s="23"/>
      <c r="L12743" s="23"/>
    </row>
    <row r="12744">
      <c r="B12744" s="19"/>
      <c r="E12744" s="23"/>
      <c r="L12744" s="23"/>
    </row>
    <row r="12745">
      <c r="B12745" s="19"/>
      <c r="E12745" s="23"/>
      <c r="L12745" s="23"/>
    </row>
    <row r="12746">
      <c r="B12746" s="19"/>
      <c r="E12746" s="23"/>
      <c r="L12746" s="23"/>
    </row>
    <row r="12747">
      <c r="B12747" s="19"/>
      <c r="E12747" s="23"/>
      <c r="L12747" s="23"/>
    </row>
    <row r="12748">
      <c r="B12748" s="19"/>
      <c r="E12748" s="23"/>
      <c r="L12748" s="23"/>
    </row>
    <row r="12749">
      <c r="B12749" s="19"/>
      <c r="E12749" s="23"/>
      <c r="L12749" s="23"/>
    </row>
    <row r="12750">
      <c r="B12750" s="19"/>
      <c r="E12750" s="23"/>
      <c r="L12750" s="23"/>
    </row>
    <row r="12751">
      <c r="B12751" s="19"/>
      <c r="E12751" s="23"/>
      <c r="L12751" s="23"/>
    </row>
    <row r="12752">
      <c r="B12752" s="19"/>
      <c r="E12752" s="23"/>
      <c r="L12752" s="23"/>
    </row>
    <row r="12753">
      <c r="B12753" s="19"/>
      <c r="E12753" s="23"/>
      <c r="L12753" s="23"/>
    </row>
    <row r="12754">
      <c r="B12754" s="19"/>
      <c r="E12754" s="23"/>
      <c r="L12754" s="23"/>
    </row>
    <row r="12755">
      <c r="B12755" s="19"/>
      <c r="E12755" s="23"/>
      <c r="L12755" s="23"/>
    </row>
    <row r="12756">
      <c r="B12756" s="19"/>
      <c r="E12756" s="23"/>
      <c r="L12756" s="23"/>
    </row>
    <row r="12757">
      <c r="B12757" s="19"/>
      <c r="E12757" s="23"/>
      <c r="L12757" s="23"/>
    </row>
    <row r="12758">
      <c r="B12758" s="19"/>
      <c r="E12758" s="23"/>
      <c r="L12758" s="23"/>
    </row>
    <row r="12759">
      <c r="B12759" s="19"/>
      <c r="E12759" s="23"/>
      <c r="L12759" s="23"/>
    </row>
    <row r="12760">
      <c r="B12760" s="19"/>
      <c r="E12760" s="23"/>
      <c r="L12760" s="23"/>
    </row>
    <row r="12761">
      <c r="B12761" s="19"/>
      <c r="E12761" s="23"/>
      <c r="L12761" s="23"/>
    </row>
    <row r="12762">
      <c r="B12762" s="19"/>
      <c r="E12762" s="23"/>
      <c r="L12762" s="23"/>
    </row>
    <row r="12763">
      <c r="B12763" s="19"/>
      <c r="E12763" s="23"/>
      <c r="L12763" s="23"/>
    </row>
    <row r="12764">
      <c r="B12764" s="19"/>
      <c r="E12764" s="23"/>
      <c r="L12764" s="23"/>
    </row>
    <row r="12765">
      <c r="B12765" s="19"/>
      <c r="E12765" s="23"/>
      <c r="L12765" s="23"/>
    </row>
    <row r="12766">
      <c r="B12766" s="19"/>
      <c r="E12766" s="23"/>
      <c r="L12766" s="23"/>
    </row>
    <row r="12767">
      <c r="B12767" s="19"/>
      <c r="E12767" s="23"/>
      <c r="L12767" s="23"/>
    </row>
    <row r="12768">
      <c r="B12768" s="19"/>
      <c r="E12768" s="23"/>
      <c r="L12768" s="23"/>
    </row>
    <row r="12769">
      <c r="B12769" s="19"/>
      <c r="E12769" s="23"/>
      <c r="L12769" s="23"/>
    </row>
    <row r="12770">
      <c r="B12770" s="19"/>
      <c r="E12770" s="23"/>
      <c r="L12770" s="23"/>
    </row>
    <row r="12771">
      <c r="B12771" s="19"/>
      <c r="E12771" s="23"/>
      <c r="L12771" s="23"/>
    </row>
    <row r="12772">
      <c r="B12772" s="19"/>
      <c r="E12772" s="23"/>
      <c r="L12772" s="23"/>
    </row>
    <row r="12773">
      <c r="B12773" s="19"/>
      <c r="E12773" s="23"/>
      <c r="L12773" s="23"/>
    </row>
    <row r="12774">
      <c r="B12774" s="19"/>
      <c r="E12774" s="23"/>
      <c r="L12774" s="23"/>
    </row>
    <row r="12775">
      <c r="B12775" s="19"/>
      <c r="E12775" s="23"/>
      <c r="L12775" s="23"/>
    </row>
    <row r="12776">
      <c r="B12776" s="19"/>
      <c r="E12776" s="23"/>
      <c r="L12776" s="23"/>
    </row>
    <row r="12777">
      <c r="B12777" s="19"/>
      <c r="E12777" s="23"/>
      <c r="L12777" s="23"/>
    </row>
    <row r="12778">
      <c r="B12778" s="19"/>
      <c r="E12778" s="23"/>
      <c r="L12778" s="23"/>
    </row>
    <row r="12779">
      <c r="B12779" s="19"/>
      <c r="E12779" s="23"/>
      <c r="L12779" s="23"/>
    </row>
    <row r="12780">
      <c r="B12780" s="19"/>
      <c r="E12780" s="23"/>
      <c r="L12780" s="23"/>
    </row>
    <row r="12781">
      <c r="B12781" s="19"/>
      <c r="E12781" s="23"/>
      <c r="L12781" s="23"/>
    </row>
    <row r="12782">
      <c r="B12782" s="19"/>
      <c r="E12782" s="23"/>
      <c r="L12782" s="23"/>
    </row>
    <row r="12783">
      <c r="B12783" s="19"/>
      <c r="E12783" s="23"/>
      <c r="L12783" s="23"/>
    </row>
    <row r="12784">
      <c r="B12784" s="19"/>
      <c r="E12784" s="23"/>
      <c r="L12784" s="23"/>
    </row>
    <row r="12785">
      <c r="B12785" s="19"/>
      <c r="E12785" s="23"/>
      <c r="L12785" s="23"/>
    </row>
    <row r="12786">
      <c r="B12786" s="19"/>
      <c r="E12786" s="23"/>
      <c r="L12786" s="23"/>
    </row>
    <row r="12787">
      <c r="B12787" s="19"/>
      <c r="E12787" s="23"/>
      <c r="L12787" s="23"/>
    </row>
    <row r="12788">
      <c r="B12788" s="19"/>
      <c r="E12788" s="23"/>
      <c r="L12788" s="23"/>
    </row>
    <row r="12789">
      <c r="B12789" s="19"/>
      <c r="E12789" s="23"/>
      <c r="L12789" s="23"/>
    </row>
    <row r="12790">
      <c r="B12790" s="19"/>
      <c r="E12790" s="23"/>
      <c r="L12790" s="23"/>
    </row>
    <row r="12791">
      <c r="B12791" s="19"/>
      <c r="E12791" s="23"/>
      <c r="L12791" s="23"/>
    </row>
    <row r="12792">
      <c r="B12792" s="19"/>
      <c r="E12792" s="23"/>
      <c r="L12792" s="23"/>
    </row>
    <row r="12793">
      <c r="B12793" s="19"/>
      <c r="E12793" s="23"/>
      <c r="L12793" s="23"/>
    </row>
    <row r="12794">
      <c r="B12794" s="19"/>
      <c r="E12794" s="23"/>
      <c r="L12794" s="23"/>
    </row>
    <row r="12795">
      <c r="B12795" s="19"/>
      <c r="E12795" s="23"/>
      <c r="L12795" s="23"/>
    </row>
    <row r="12796">
      <c r="B12796" s="19"/>
      <c r="E12796" s="23"/>
      <c r="L12796" s="23"/>
    </row>
    <row r="12797">
      <c r="B12797" s="19"/>
      <c r="E12797" s="23"/>
      <c r="L12797" s="23"/>
    </row>
    <row r="12798">
      <c r="B12798" s="19"/>
      <c r="E12798" s="23"/>
      <c r="L12798" s="23"/>
    </row>
    <row r="12799">
      <c r="B12799" s="19"/>
      <c r="E12799" s="23"/>
      <c r="L12799" s="23"/>
    </row>
    <row r="12800">
      <c r="B12800" s="19"/>
      <c r="E12800" s="23"/>
      <c r="L12800" s="23"/>
    </row>
    <row r="12801">
      <c r="B12801" s="19"/>
      <c r="E12801" s="23"/>
      <c r="L12801" s="23"/>
    </row>
    <row r="12802">
      <c r="B12802" s="19"/>
      <c r="E12802" s="23"/>
      <c r="L12802" s="23"/>
    </row>
    <row r="12803">
      <c r="B12803" s="19"/>
      <c r="E12803" s="23"/>
      <c r="L12803" s="23"/>
    </row>
    <row r="12804">
      <c r="B12804" s="19"/>
      <c r="E12804" s="23"/>
      <c r="L12804" s="23"/>
    </row>
    <row r="12805">
      <c r="B12805" s="19"/>
      <c r="E12805" s="23"/>
      <c r="L12805" s="23"/>
    </row>
    <row r="12806">
      <c r="B12806" s="19"/>
      <c r="E12806" s="23"/>
      <c r="L12806" s="23"/>
    </row>
    <row r="12807">
      <c r="B12807" s="19"/>
      <c r="E12807" s="23"/>
      <c r="L12807" s="23"/>
    </row>
    <row r="12808">
      <c r="B12808" s="19"/>
      <c r="E12808" s="23"/>
      <c r="L12808" s="23"/>
    </row>
    <row r="12809">
      <c r="B12809" s="19"/>
      <c r="E12809" s="23"/>
      <c r="L12809" s="23"/>
    </row>
    <row r="12810">
      <c r="B12810" s="19"/>
      <c r="E12810" s="23"/>
      <c r="L12810" s="23"/>
    </row>
    <row r="12811">
      <c r="B12811" s="19"/>
      <c r="E12811" s="23"/>
      <c r="L12811" s="23"/>
    </row>
    <row r="12812">
      <c r="B12812" s="19"/>
      <c r="E12812" s="23"/>
      <c r="L12812" s="23"/>
    </row>
    <row r="12813">
      <c r="B12813" s="19"/>
      <c r="E12813" s="23"/>
      <c r="L12813" s="23"/>
    </row>
    <row r="12814">
      <c r="B12814" s="19"/>
      <c r="E12814" s="23"/>
      <c r="L12814" s="23"/>
    </row>
    <row r="12815">
      <c r="B12815" s="19"/>
      <c r="E12815" s="23"/>
      <c r="L12815" s="23"/>
    </row>
    <row r="12816">
      <c r="B12816" s="19"/>
      <c r="E12816" s="23"/>
      <c r="L12816" s="23"/>
    </row>
    <row r="12817">
      <c r="B12817" s="19"/>
      <c r="E12817" s="23"/>
      <c r="L12817" s="23"/>
    </row>
    <row r="12818">
      <c r="B12818" s="19"/>
      <c r="E12818" s="23"/>
      <c r="L12818" s="23"/>
    </row>
    <row r="12819">
      <c r="B12819" s="19"/>
      <c r="E12819" s="23"/>
      <c r="L12819" s="23"/>
    </row>
    <row r="12820">
      <c r="B12820" s="19"/>
      <c r="E12820" s="23"/>
      <c r="L12820" s="23"/>
    </row>
    <row r="12821">
      <c r="B12821" s="19"/>
      <c r="E12821" s="23"/>
      <c r="L12821" s="23"/>
    </row>
    <row r="12822">
      <c r="B12822" s="19"/>
      <c r="E12822" s="23"/>
      <c r="L12822" s="23"/>
    </row>
    <row r="12823">
      <c r="B12823" s="19"/>
      <c r="E12823" s="23"/>
      <c r="L12823" s="23"/>
    </row>
    <row r="12824">
      <c r="B12824" s="19"/>
      <c r="E12824" s="23"/>
      <c r="L12824" s="23"/>
    </row>
    <row r="12825">
      <c r="B12825" s="19"/>
      <c r="E12825" s="23"/>
      <c r="L12825" s="23"/>
    </row>
    <row r="12826">
      <c r="B12826" s="19"/>
      <c r="E12826" s="23"/>
      <c r="L12826" s="23"/>
    </row>
    <row r="12827">
      <c r="B12827" s="19"/>
      <c r="E12827" s="23"/>
      <c r="L12827" s="23"/>
    </row>
    <row r="12828">
      <c r="B12828" s="19"/>
      <c r="E12828" s="23"/>
      <c r="L12828" s="23"/>
    </row>
    <row r="12829">
      <c r="B12829" s="19"/>
      <c r="E12829" s="23"/>
      <c r="L12829" s="23"/>
    </row>
    <row r="12830">
      <c r="B12830" s="19"/>
      <c r="E12830" s="23"/>
      <c r="L12830" s="23"/>
    </row>
    <row r="12831">
      <c r="B12831" s="19"/>
      <c r="E12831" s="23"/>
      <c r="L12831" s="23"/>
    </row>
    <row r="12832">
      <c r="B12832" s="19"/>
      <c r="E12832" s="23"/>
      <c r="L12832" s="23"/>
    </row>
    <row r="12833">
      <c r="B12833" s="19"/>
      <c r="E12833" s="23"/>
      <c r="L12833" s="23"/>
    </row>
    <row r="12834">
      <c r="B12834" s="19"/>
      <c r="E12834" s="23"/>
      <c r="L12834" s="23"/>
    </row>
    <row r="12835">
      <c r="B12835" s="19"/>
      <c r="E12835" s="23"/>
      <c r="L12835" s="23"/>
    </row>
    <row r="12836">
      <c r="B12836" s="19"/>
      <c r="E12836" s="23"/>
      <c r="L12836" s="23"/>
    </row>
    <row r="12837">
      <c r="B12837" s="19"/>
      <c r="E12837" s="23"/>
      <c r="L12837" s="23"/>
    </row>
    <row r="12838">
      <c r="B12838" s="19"/>
      <c r="E12838" s="23"/>
      <c r="L12838" s="23"/>
    </row>
    <row r="12839">
      <c r="B12839" s="19"/>
      <c r="E12839" s="23"/>
      <c r="L12839" s="23"/>
    </row>
    <row r="12840">
      <c r="B12840" s="19"/>
      <c r="E12840" s="23"/>
      <c r="L12840" s="23"/>
    </row>
    <row r="12841">
      <c r="B12841" s="19"/>
      <c r="E12841" s="23"/>
      <c r="L12841" s="23"/>
    </row>
    <row r="12842">
      <c r="B12842" s="19"/>
      <c r="E12842" s="23"/>
      <c r="L12842" s="23"/>
    </row>
    <row r="12843">
      <c r="B12843" s="19"/>
      <c r="E12843" s="23"/>
      <c r="L12843" s="23"/>
    </row>
    <row r="12844">
      <c r="B12844" s="19"/>
      <c r="E12844" s="23"/>
      <c r="L12844" s="23"/>
    </row>
    <row r="12845">
      <c r="B12845" s="19"/>
      <c r="E12845" s="23"/>
      <c r="L12845" s="23"/>
    </row>
    <row r="12846">
      <c r="B12846" s="19"/>
      <c r="E12846" s="23"/>
      <c r="L12846" s="23"/>
    </row>
    <row r="12847">
      <c r="B12847" s="19"/>
      <c r="E12847" s="23"/>
      <c r="L12847" s="23"/>
    </row>
    <row r="12848">
      <c r="B12848" s="19"/>
      <c r="E12848" s="23"/>
      <c r="L12848" s="23"/>
    </row>
    <row r="12849">
      <c r="B12849" s="19"/>
      <c r="E12849" s="23"/>
      <c r="L12849" s="23"/>
    </row>
    <row r="12850">
      <c r="B12850" s="19"/>
      <c r="E12850" s="23"/>
      <c r="L12850" s="23"/>
    </row>
    <row r="12851">
      <c r="B12851" s="19"/>
      <c r="E12851" s="23"/>
      <c r="L12851" s="23"/>
    </row>
    <row r="12852">
      <c r="B12852" s="19"/>
      <c r="E12852" s="23"/>
      <c r="L12852" s="23"/>
    </row>
    <row r="12853">
      <c r="B12853" s="19"/>
      <c r="E12853" s="23"/>
      <c r="L12853" s="23"/>
    </row>
    <row r="12854">
      <c r="B12854" s="19"/>
      <c r="E12854" s="23"/>
      <c r="L12854" s="23"/>
    </row>
    <row r="12855">
      <c r="B12855" s="19"/>
      <c r="E12855" s="23"/>
      <c r="L12855" s="23"/>
    </row>
    <row r="12856">
      <c r="B12856" s="19"/>
      <c r="E12856" s="23"/>
      <c r="L12856" s="23"/>
    </row>
    <row r="12857">
      <c r="B12857" s="19"/>
      <c r="E12857" s="23"/>
      <c r="L12857" s="23"/>
    </row>
    <row r="12858">
      <c r="B12858" s="19"/>
      <c r="E12858" s="23"/>
      <c r="L12858" s="23"/>
    </row>
    <row r="12859">
      <c r="B12859" s="19"/>
      <c r="E12859" s="23"/>
      <c r="L12859" s="23"/>
    </row>
    <row r="12860">
      <c r="B12860" s="19"/>
      <c r="E12860" s="23"/>
      <c r="L12860" s="23"/>
    </row>
    <row r="12861">
      <c r="B12861" s="19"/>
      <c r="E12861" s="23"/>
      <c r="L12861" s="23"/>
    </row>
    <row r="12862">
      <c r="B12862" s="19"/>
      <c r="E12862" s="23"/>
      <c r="L12862" s="23"/>
    </row>
    <row r="12863">
      <c r="B12863" s="19"/>
      <c r="E12863" s="23"/>
      <c r="L12863" s="23"/>
    </row>
    <row r="12864">
      <c r="B12864" s="19"/>
      <c r="E12864" s="23"/>
      <c r="L12864" s="23"/>
    </row>
    <row r="12865">
      <c r="B12865" s="19"/>
      <c r="E12865" s="23"/>
      <c r="L12865" s="23"/>
    </row>
    <row r="12866">
      <c r="B12866" s="19"/>
      <c r="E12866" s="23"/>
      <c r="L12866" s="23"/>
    </row>
    <row r="12867">
      <c r="B12867" s="19"/>
      <c r="E12867" s="23"/>
      <c r="L12867" s="23"/>
    </row>
    <row r="12868">
      <c r="B12868" s="19"/>
      <c r="E12868" s="23"/>
      <c r="L12868" s="23"/>
    </row>
    <row r="12869">
      <c r="B12869" s="19"/>
      <c r="E12869" s="23"/>
      <c r="L12869" s="23"/>
    </row>
    <row r="12870">
      <c r="B12870" s="19"/>
      <c r="E12870" s="23"/>
      <c r="L12870" s="23"/>
    </row>
    <row r="12871">
      <c r="B12871" s="19"/>
      <c r="E12871" s="23"/>
      <c r="L12871" s="23"/>
    </row>
    <row r="12872">
      <c r="B12872" s="19"/>
      <c r="E12872" s="23"/>
      <c r="L12872" s="23"/>
    </row>
    <row r="12873">
      <c r="B12873" s="19"/>
      <c r="E12873" s="23"/>
      <c r="L12873" s="23"/>
    </row>
    <row r="12874">
      <c r="B12874" s="19"/>
      <c r="E12874" s="23"/>
      <c r="L12874" s="23"/>
    </row>
    <row r="12875">
      <c r="B12875" s="19"/>
      <c r="E12875" s="23"/>
      <c r="L12875" s="23"/>
    </row>
    <row r="12876">
      <c r="B12876" s="19"/>
      <c r="E12876" s="23"/>
      <c r="L12876" s="23"/>
    </row>
    <row r="12877">
      <c r="B12877" s="19"/>
      <c r="E12877" s="23"/>
      <c r="L12877" s="23"/>
    </row>
    <row r="12878">
      <c r="B12878" s="19"/>
      <c r="E12878" s="23"/>
      <c r="L12878" s="23"/>
    </row>
    <row r="12879">
      <c r="B12879" s="19"/>
      <c r="E12879" s="23"/>
      <c r="L12879" s="23"/>
    </row>
    <row r="12880">
      <c r="B12880" s="19"/>
      <c r="E12880" s="23"/>
      <c r="L12880" s="23"/>
    </row>
    <row r="12881">
      <c r="B12881" s="19"/>
      <c r="E12881" s="23"/>
      <c r="L12881" s="23"/>
    </row>
    <row r="12882">
      <c r="B12882" s="19"/>
      <c r="E12882" s="23"/>
      <c r="L12882" s="23"/>
    </row>
    <row r="12883">
      <c r="B12883" s="19"/>
      <c r="E12883" s="23"/>
      <c r="L12883" s="23"/>
    </row>
    <row r="12884">
      <c r="B12884" s="19"/>
      <c r="E12884" s="23"/>
      <c r="L12884" s="23"/>
    </row>
    <row r="12885">
      <c r="B12885" s="19"/>
      <c r="E12885" s="23"/>
      <c r="L12885" s="23"/>
    </row>
    <row r="12886">
      <c r="B12886" s="19"/>
      <c r="E12886" s="23"/>
      <c r="L12886" s="23"/>
    </row>
    <row r="12887">
      <c r="B12887" s="19"/>
      <c r="E12887" s="23"/>
      <c r="L12887" s="23"/>
    </row>
    <row r="12888">
      <c r="B12888" s="19"/>
      <c r="E12888" s="23"/>
      <c r="L12888" s="23"/>
    </row>
    <row r="12889">
      <c r="B12889" s="19"/>
      <c r="E12889" s="23"/>
      <c r="L12889" s="23"/>
    </row>
    <row r="12890">
      <c r="B12890" s="19"/>
      <c r="E12890" s="23"/>
      <c r="L12890" s="23"/>
    </row>
    <row r="12891">
      <c r="B12891" s="19"/>
      <c r="E12891" s="23"/>
      <c r="L12891" s="23"/>
    </row>
    <row r="12892">
      <c r="B12892" s="19"/>
      <c r="E12892" s="23"/>
      <c r="L12892" s="23"/>
    </row>
    <row r="12893">
      <c r="B12893" s="19"/>
      <c r="E12893" s="23"/>
      <c r="L12893" s="23"/>
    </row>
    <row r="12894">
      <c r="B12894" s="19"/>
      <c r="E12894" s="23"/>
      <c r="L12894" s="23"/>
    </row>
    <row r="12895">
      <c r="B12895" s="19"/>
      <c r="E12895" s="23"/>
      <c r="L12895" s="23"/>
    </row>
    <row r="12896">
      <c r="B12896" s="19"/>
      <c r="E12896" s="23"/>
      <c r="L12896" s="23"/>
    </row>
    <row r="12897">
      <c r="B12897" s="19"/>
      <c r="E12897" s="23"/>
      <c r="L12897" s="23"/>
    </row>
    <row r="12898">
      <c r="B12898" s="19"/>
      <c r="E12898" s="23"/>
      <c r="L12898" s="23"/>
    </row>
    <row r="12899">
      <c r="B12899" s="19"/>
      <c r="E12899" s="23"/>
      <c r="L12899" s="23"/>
    </row>
    <row r="12900">
      <c r="B12900" s="19"/>
      <c r="E12900" s="23"/>
      <c r="L12900" s="23"/>
    </row>
    <row r="12901">
      <c r="B12901" s="19"/>
      <c r="E12901" s="23"/>
      <c r="L12901" s="23"/>
    </row>
    <row r="12902">
      <c r="B12902" s="19"/>
      <c r="E12902" s="23"/>
      <c r="L12902" s="23"/>
    </row>
    <row r="12903">
      <c r="B12903" s="19"/>
      <c r="E12903" s="23"/>
      <c r="L12903" s="23"/>
    </row>
    <row r="12904">
      <c r="B12904" s="19"/>
      <c r="E12904" s="23"/>
      <c r="L12904" s="23"/>
    </row>
    <row r="12905">
      <c r="B12905" s="19"/>
      <c r="E12905" s="23"/>
      <c r="L12905" s="23"/>
    </row>
    <row r="12906">
      <c r="B12906" s="19"/>
      <c r="E12906" s="23"/>
      <c r="L12906" s="23"/>
    </row>
    <row r="12907">
      <c r="B12907" s="19"/>
      <c r="E12907" s="23"/>
      <c r="L12907" s="23"/>
    </row>
    <row r="12908">
      <c r="B12908" s="19"/>
      <c r="E12908" s="23"/>
      <c r="L12908" s="23"/>
    </row>
    <row r="12909">
      <c r="B12909" s="19"/>
      <c r="E12909" s="23"/>
      <c r="L12909" s="23"/>
    </row>
    <row r="12910">
      <c r="B12910" s="19"/>
      <c r="E12910" s="23"/>
      <c r="L12910" s="23"/>
    </row>
    <row r="12911">
      <c r="B12911" s="19"/>
      <c r="E12911" s="23"/>
      <c r="L12911" s="23"/>
    </row>
    <row r="12912">
      <c r="B12912" s="19"/>
      <c r="E12912" s="23"/>
      <c r="L12912" s="23"/>
    </row>
    <row r="12913">
      <c r="B12913" s="19"/>
      <c r="E12913" s="23"/>
      <c r="L12913" s="23"/>
    </row>
    <row r="12914">
      <c r="B12914" s="19"/>
      <c r="E12914" s="23"/>
      <c r="L12914" s="23"/>
    </row>
    <row r="12915">
      <c r="B12915" s="19"/>
      <c r="E12915" s="23"/>
      <c r="L12915" s="23"/>
    </row>
    <row r="12916">
      <c r="B12916" s="19"/>
      <c r="E12916" s="23"/>
      <c r="L12916" s="23"/>
    </row>
    <row r="12917">
      <c r="B12917" s="19"/>
      <c r="E12917" s="23"/>
      <c r="L12917" s="23"/>
    </row>
    <row r="12918">
      <c r="B12918" s="19"/>
      <c r="E12918" s="23"/>
      <c r="L12918" s="23"/>
    </row>
    <row r="12919">
      <c r="B12919" s="19"/>
      <c r="E12919" s="23"/>
      <c r="L12919" s="23"/>
    </row>
    <row r="12920">
      <c r="B12920" s="19"/>
      <c r="E12920" s="23"/>
      <c r="L12920" s="23"/>
    </row>
    <row r="12921">
      <c r="B12921" s="19"/>
      <c r="E12921" s="23"/>
      <c r="L12921" s="23"/>
    </row>
    <row r="12922">
      <c r="B12922" s="19"/>
      <c r="E12922" s="23"/>
      <c r="L12922" s="23"/>
    </row>
    <row r="12923">
      <c r="B12923" s="19"/>
      <c r="E12923" s="23"/>
      <c r="L12923" s="23"/>
    </row>
    <row r="12924">
      <c r="B12924" s="19"/>
      <c r="E12924" s="23"/>
      <c r="L12924" s="23"/>
    </row>
    <row r="12925">
      <c r="B12925" s="19"/>
      <c r="E12925" s="23"/>
      <c r="L12925" s="23"/>
    </row>
    <row r="12926">
      <c r="B12926" s="19"/>
      <c r="E12926" s="23"/>
      <c r="L12926" s="23"/>
    </row>
    <row r="12927">
      <c r="B12927" s="19"/>
      <c r="E12927" s="23"/>
      <c r="L12927" s="23"/>
    </row>
    <row r="12928">
      <c r="B12928" s="19"/>
      <c r="E12928" s="23"/>
      <c r="L12928" s="23"/>
    </row>
    <row r="12929">
      <c r="B12929" s="19"/>
      <c r="E12929" s="23"/>
      <c r="L12929" s="23"/>
    </row>
    <row r="12930">
      <c r="B12930" s="19"/>
      <c r="E12930" s="23"/>
      <c r="L12930" s="23"/>
    </row>
    <row r="12931">
      <c r="B12931" s="19"/>
      <c r="E12931" s="23"/>
      <c r="L12931" s="23"/>
    </row>
    <row r="12932">
      <c r="B12932" s="19"/>
      <c r="E12932" s="23"/>
      <c r="L12932" s="23"/>
    </row>
    <row r="12933">
      <c r="B12933" s="19"/>
      <c r="E12933" s="23"/>
      <c r="L12933" s="23"/>
    </row>
    <row r="12934">
      <c r="B12934" s="19"/>
      <c r="E12934" s="23"/>
      <c r="L12934" s="23"/>
    </row>
    <row r="12935">
      <c r="B12935" s="19"/>
      <c r="E12935" s="23"/>
      <c r="L12935" s="23"/>
    </row>
    <row r="12936">
      <c r="B12936" s="19"/>
      <c r="E12936" s="23"/>
      <c r="L12936" s="23"/>
    </row>
    <row r="12937">
      <c r="B12937" s="19"/>
      <c r="E12937" s="23"/>
      <c r="L12937" s="23"/>
    </row>
    <row r="12938">
      <c r="B12938" s="19"/>
      <c r="E12938" s="23"/>
      <c r="L12938" s="23"/>
    </row>
    <row r="12939">
      <c r="B12939" s="19"/>
      <c r="E12939" s="23"/>
      <c r="L12939" s="23"/>
    </row>
    <row r="12940">
      <c r="B12940" s="19"/>
      <c r="E12940" s="23"/>
      <c r="L12940" s="23"/>
    </row>
    <row r="12941">
      <c r="B12941" s="19"/>
      <c r="E12941" s="23"/>
      <c r="L12941" s="23"/>
    </row>
    <row r="12942">
      <c r="B12942" s="19"/>
      <c r="E12942" s="23"/>
      <c r="L12942" s="23"/>
    </row>
    <row r="12943">
      <c r="B12943" s="19"/>
      <c r="E12943" s="23"/>
      <c r="L12943" s="23"/>
    </row>
    <row r="12944">
      <c r="B12944" s="19"/>
      <c r="E12944" s="23"/>
      <c r="L12944" s="23"/>
    </row>
    <row r="12945">
      <c r="B12945" s="19"/>
      <c r="E12945" s="23"/>
      <c r="L12945" s="23"/>
    </row>
    <row r="12946">
      <c r="B12946" s="19"/>
      <c r="E12946" s="23"/>
      <c r="L12946" s="23"/>
    </row>
    <row r="12947">
      <c r="B12947" s="19"/>
      <c r="E12947" s="23"/>
      <c r="L12947" s="23"/>
    </row>
    <row r="12948">
      <c r="B12948" s="19"/>
      <c r="E12948" s="23"/>
      <c r="L12948" s="23"/>
    </row>
    <row r="12949">
      <c r="B12949" s="19"/>
      <c r="E12949" s="23"/>
      <c r="L12949" s="23"/>
    </row>
    <row r="12950">
      <c r="B12950" s="19"/>
      <c r="E12950" s="23"/>
      <c r="L12950" s="23"/>
    </row>
    <row r="12951">
      <c r="B12951" s="19"/>
      <c r="E12951" s="23"/>
      <c r="L12951" s="23"/>
    </row>
    <row r="12952">
      <c r="B12952" s="19"/>
      <c r="E12952" s="23"/>
      <c r="L12952" s="23"/>
    </row>
    <row r="12953">
      <c r="B12953" s="19"/>
      <c r="E12953" s="23"/>
      <c r="L12953" s="23"/>
    </row>
    <row r="12954">
      <c r="B12954" s="19"/>
      <c r="E12954" s="23"/>
      <c r="L12954" s="23"/>
    </row>
    <row r="12955">
      <c r="B12955" s="19"/>
      <c r="E12955" s="23"/>
      <c r="L12955" s="23"/>
    </row>
    <row r="12956">
      <c r="B12956" s="19"/>
      <c r="E12956" s="23"/>
      <c r="L12956" s="23"/>
    </row>
    <row r="12957">
      <c r="B12957" s="19"/>
      <c r="E12957" s="23"/>
      <c r="L12957" s="23"/>
    </row>
    <row r="12958">
      <c r="B12958" s="19"/>
      <c r="E12958" s="23"/>
      <c r="L12958" s="23"/>
    </row>
    <row r="12959">
      <c r="B12959" s="19"/>
      <c r="E12959" s="23"/>
      <c r="L12959" s="23"/>
    </row>
    <row r="12960">
      <c r="B12960" s="19"/>
      <c r="E12960" s="23"/>
      <c r="L12960" s="23"/>
    </row>
    <row r="12961">
      <c r="B12961" s="19"/>
      <c r="E12961" s="23"/>
      <c r="L12961" s="23"/>
    </row>
    <row r="12962">
      <c r="B12962" s="19"/>
      <c r="E12962" s="23"/>
      <c r="L12962" s="23"/>
    </row>
    <row r="12963">
      <c r="B12963" s="19"/>
      <c r="E12963" s="23"/>
      <c r="L12963" s="23"/>
    </row>
    <row r="12964">
      <c r="B12964" s="19"/>
      <c r="E12964" s="23"/>
      <c r="L12964" s="23"/>
    </row>
    <row r="12965">
      <c r="B12965" s="19"/>
      <c r="E12965" s="23"/>
      <c r="L12965" s="23"/>
    </row>
    <row r="12966">
      <c r="B12966" s="19"/>
      <c r="E12966" s="23"/>
      <c r="L12966" s="23"/>
    </row>
    <row r="12967">
      <c r="B12967" s="19"/>
      <c r="E12967" s="23"/>
      <c r="L12967" s="23"/>
    </row>
    <row r="12968">
      <c r="B12968" s="19"/>
      <c r="E12968" s="23"/>
      <c r="L12968" s="23"/>
    </row>
    <row r="12969">
      <c r="B12969" s="19"/>
      <c r="E12969" s="23"/>
      <c r="L12969" s="23"/>
    </row>
    <row r="12970">
      <c r="B12970" s="19"/>
      <c r="E12970" s="23"/>
      <c r="L12970" s="23"/>
    </row>
    <row r="12971">
      <c r="B12971" s="19"/>
      <c r="E12971" s="23"/>
      <c r="L12971" s="23"/>
    </row>
    <row r="12972">
      <c r="B12972" s="19"/>
      <c r="E12972" s="23"/>
      <c r="L12972" s="23"/>
    </row>
    <row r="12973">
      <c r="B12973" s="19"/>
      <c r="E12973" s="23"/>
      <c r="L12973" s="23"/>
    </row>
    <row r="12974">
      <c r="B12974" s="19"/>
      <c r="E12974" s="23"/>
      <c r="L12974" s="23"/>
    </row>
    <row r="12975">
      <c r="B12975" s="19"/>
      <c r="E12975" s="23"/>
      <c r="L12975" s="23"/>
    </row>
    <row r="12976">
      <c r="B12976" s="19"/>
      <c r="E12976" s="23"/>
      <c r="L12976" s="23"/>
    </row>
    <row r="12977">
      <c r="B12977" s="19"/>
      <c r="E12977" s="23"/>
      <c r="L12977" s="23"/>
    </row>
    <row r="12978">
      <c r="B12978" s="19"/>
      <c r="E12978" s="23"/>
      <c r="L12978" s="23"/>
    </row>
    <row r="12979">
      <c r="B12979" s="19"/>
      <c r="E12979" s="23"/>
      <c r="L12979" s="23"/>
    </row>
    <row r="12980">
      <c r="B12980" s="19"/>
      <c r="E12980" s="23"/>
      <c r="L12980" s="23"/>
    </row>
    <row r="12981">
      <c r="B12981" s="19"/>
      <c r="E12981" s="23"/>
      <c r="L12981" s="23"/>
    </row>
    <row r="12982">
      <c r="B12982" s="19"/>
      <c r="E12982" s="23"/>
      <c r="L12982" s="23"/>
    </row>
    <row r="12983">
      <c r="B12983" s="19"/>
      <c r="E12983" s="23"/>
      <c r="L12983" s="23"/>
    </row>
    <row r="12984">
      <c r="B12984" s="19"/>
      <c r="E12984" s="23"/>
      <c r="L12984" s="23"/>
    </row>
    <row r="12985">
      <c r="B12985" s="19"/>
      <c r="E12985" s="23"/>
      <c r="L12985" s="23"/>
    </row>
    <row r="12986">
      <c r="B12986" s="19"/>
      <c r="E12986" s="23"/>
      <c r="L12986" s="23"/>
    </row>
    <row r="12987">
      <c r="B12987" s="19"/>
      <c r="E12987" s="23"/>
      <c r="L12987" s="23"/>
    </row>
    <row r="12988">
      <c r="B12988" s="19"/>
      <c r="E12988" s="23"/>
      <c r="L12988" s="23"/>
    </row>
    <row r="12989">
      <c r="B12989" s="19"/>
      <c r="E12989" s="23"/>
      <c r="L12989" s="23"/>
    </row>
    <row r="12990">
      <c r="B12990" s="19"/>
      <c r="E12990" s="23"/>
      <c r="L12990" s="23"/>
    </row>
    <row r="12991">
      <c r="B12991" s="19"/>
      <c r="E12991" s="23"/>
      <c r="L12991" s="23"/>
    </row>
    <row r="12992">
      <c r="B12992" s="19"/>
      <c r="E12992" s="23"/>
      <c r="L12992" s="23"/>
    </row>
    <row r="12993">
      <c r="B12993" s="19"/>
      <c r="E12993" s="23"/>
      <c r="L12993" s="23"/>
    </row>
    <row r="12994">
      <c r="B12994" s="19"/>
      <c r="E12994" s="23"/>
      <c r="L12994" s="23"/>
    </row>
    <row r="12995">
      <c r="B12995" s="19"/>
      <c r="E12995" s="23"/>
      <c r="L12995" s="23"/>
    </row>
    <row r="12996">
      <c r="B12996" s="19"/>
      <c r="E12996" s="23"/>
      <c r="L12996" s="23"/>
    </row>
    <row r="12997">
      <c r="B12997" s="19"/>
      <c r="E12997" s="23"/>
      <c r="L12997" s="23"/>
    </row>
    <row r="12998">
      <c r="B12998" s="19"/>
      <c r="E12998" s="23"/>
      <c r="L12998" s="23"/>
    </row>
    <row r="12999">
      <c r="B12999" s="19"/>
      <c r="E12999" s="23"/>
      <c r="L12999" s="23"/>
    </row>
    <row r="13000">
      <c r="B13000" s="19"/>
      <c r="E13000" s="23"/>
      <c r="L13000" s="23"/>
    </row>
    <row r="13001">
      <c r="B13001" s="19"/>
      <c r="E13001" s="23"/>
      <c r="L13001" s="23"/>
    </row>
    <row r="13002">
      <c r="B13002" s="19"/>
      <c r="E13002" s="23"/>
      <c r="L13002" s="23"/>
    </row>
    <row r="13003">
      <c r="B13003" s="19"/>
      <c r="E13003" s="23"/>
      <c r="L13003" s="23"/>
    </row>
    <row r="13004">
      <c r="B13004" s="19"/>
      <c r="E13004" s="23"/>
      <c r="L13004" s="23"/>
    </row>
    <row r="13005">
      <c r="B13005" s="19"/>
      <c r="E13005" s="23"/>
      <c r="L13005" s="23"/>
    </row>
    <row r="13006">
      <c r="B13006" s="19"/>
      <c r="E13006" s="23"/>
      <c r="L13006" s="23"/>
    </row>
    <row r="13007">
      <c r="B13007" s="19"/>
      <c r="E13007" s="23"/>
      <c r="L13007" s="23"/>
    </row>
    <row r="13008">
      <c r="B13008" s="19"/>
      <c r="E13008" s="23"/>
      <c r="L13008" s="23"/>
    </row>
    <row r="13009">
      <c r="B13009" s="19"/>
      <c r="E13009" s="23"/>
      <c r="L13009" s="23"/>
    </row>
    <row r="13010">
      <c r="B13010" s="19"/>
      <c r="E13010" s="23"/>
      <c r="L13010" s="23"/>
    </row>
    <row r="13011">
      <c r="B13011" s="19"/>
      <c r="E13011" s="23"/>
      <c r="L13011" s="23"/>
    </row>
    <row r="13012">
      <c r="B13012" s="19"/>
      <c r="E13012" s="23"/>
      <c r="L13012" s="23"/>
    </row>
    <row r="13013">
      <c r="B13013" s="19"/>
      <c r="E13013" s="23"/>
      <c r="L13013" s="23"/>
    </row>
    <row r="13014">
      <c r="B13014" s="19"/>
      <c r="E13014" s="23"/>
      <c r="L13014" s="23"/>
    </row>
    <row r="13015">
      <c r="B13015" s="19"/>
      <c r="E13015" s="23"/>
      <c r="L13015" s="23"/>
    </row>
    <row r="13016">
      <c r="B13016" s="19"/>
      <c r="E13016" s="23"/>
      <c r="L13016" s="23"/>
    </row>
    <row r="13017">
      <c r="B13017" s="19"/>
      <c r="E13017" s="23"/>
      <c r="L13017" s="23"/>
    </row>
    <row r="13018">
      <c r="B13018" s="19"/>
      <c r="E13018" s="23"/>
      <c r="L13018" s="23"/>
    </row>
    <row r="13019">
      <c r="B13019" s="19"/>
      <c r="E13019" s="23"/>
      <c r="L13019" s="23"/>
    </row>
    <row r="13020">
      <c r="B13020" s="19"/>
      <c r="E13020" s="23"/>
      <c r="L13020" s="23"/>
    </row>
    <row r="13021">
      <c r="B13021" s="19"/>
      <c r="E13021" s="23"/>
      <c r="L13021" s="23"/>
    </row>
    <row r="13022">
      <c r="B13022" s="19"/>
      <c r="E13022" s="23"/>
      <c r="L13022" s="23"/>
    </row>
    <row r="13023">
      <c r="B13023" s="19"/>
      <c r="E13023" s="23"/>
      <c r="L13023" s="23"/>
    </row>
    <row r="13024">
      <c r="B13024" s="19"/>
      <c r="E13024" s="23"/>
      <c r="L13024" s="23"/>
    </row>
    <row r="13025">
      <c r="B13025" s="19"/>
      <c r="E13025" s="23"/>
      <c r="L13025" s="23"/>
    </row>
    <row r="13026">
      <c r="B13026" s="19"/>
      <c r="E13026" s="23"/>
      <c r="L13026" s="23"/>
    </row>
    <row r="13027">
      <c r="B13027" s="19"/>
      <c r="E13027" s="23"/>
      <c r="L13027" s="23"/>
    </row>
    <row r="13028">
      <c r="B13028" s="19"/>
      <c r="E13028" s="23"/>
      <c r="L13028" s="23"/>
    </row>
    <row r="13029">
      <c r="B13029" s="19"/>
      <c r="E13029" s="23"/>
      <c r="L13029" s="23"/>
    </row>
    <row r="13030">
      <c r="B13030" s="19"/>
      <c r="E13030" s="23"/>
      <c r="L13030" s="23"/>
    </row>
    <row r="13031">
      <c r="B13031" s="19"/>
      <c r="E13031" s="23"/>
      <c r="L13031" s="23"/>
    </row>
    <row r="13032">
      <c r="B13032" s="19"/>
      <c r="E13032" s="23"/>
      <c r="L13032" s="23"/>
    </row>
    <row r="13033">
      <c r="B13033" s="19"/>
      <c r="E13033" s="23"/>
      <c r="L13033" s="23"/>
    </row>
    <row r="13034">
      <c r="B13034" s="19"/>
      <c r="E13034" s="23"/>
      <c r="L13034" s="23"/>
    </row>
    <row r="13035">
      <c r="B13035" s="19"/>
      <c r="E13035" s="23"/>
      <c r="L13035" s="23"/>
    </row>
    <row r="13036">
      <c r="B13036" s="19"/>
      <c r="E13036" s="23"/>
      <c r="L13036" s="23"/>
    </row>
    <row r="13037">
      <c r="B13037" s="19"/>
      <c r="E13037" s="23"/>
      <c r="L13037" s="23"/>
    </row>
    <row r="13038">
      <c r="B13038" s="19"/>
      <c r="E13038" s="23"/>
      <c r="L13038" s="23"/>
    </row>
    <row r="13039">
      <c r="B13039" s="19"/>
      <c r="E13039" s="23"/>
      <c r="L13039" s="23"/>
    </row>
    <row r="13040">
      <c r="B13040" s="19"/>
      <c r="E13040" s="23"/>
      <c r="L13040" s="23"/>
    </row>
    <row r="13041">
      <c r="B13041" s="19"/>
      <c r="E13041" s="23"/>
      <c r="L13041" s="23"/>
    </row>
    <row r="13042">
      <c r="B13042" s="19"/>
      <c r="E13042" s="23"/>
      <c r="L13042" s="23"/>
    </row>
    <row r="13043">
      <c r="B13043" s="19"/>
      <c r="E13043" s="23"/>
      <c r="L13043" s="23"/>
    </row>
    <row r="13044">
      <c r="B13044" s="19"/>
      <c r="E13044" s="23"/>
      <c r="L13044" s="23"/>
    </row>
    <row r="13045">
      <c r="B13045" s="19"/>
      <c r="E13045" s="23"/>
      <c r="L13045" s="23"/>
    </row>
    <row r="13046">
      <c r="B13046" s="19"/>
      <c r="E13046" s="23"/>
      <c r="L13046" s="23"/>
    </row>
    <row r="13047">
      <c r="B13047" s="19"/>
      <c r="E13047" s="23"/>
      <c r="L13047" s="23"/>
    </row>
    <row r="13048">
      <c r="B13048" s="19"/>
      <c r="E13048" s="23"/>
      <c r="L13048" s="23"/>
    </row>
    <row r="13049">
      <c r="B13049" s="19"/>
      <c r="E13049" s="23"/>
      <c r="L13049" s="23"/>
    </row>
    <row r="13050">
      <c r="B13050" s="19"/>
      <c r="E13050" s="23"/>
      <c r="L13050" s="23"/>
    </row>
    <row r="13051">
      <c r="B13051" s="19"/>
      <c r="E13051" s="23"/>
      <c r="L13051" s="23"/>
    </row>
    <row r="13052">
      <c r="B13052" s="19"/>
      <c r="E13052" s="23"/>
      <c r="L13052" s="23"/>
    </row>
    <row r="13053">
      <c r="B13053" s="19"/>
      <c r="E13053" s="23"/>
      <c r="L13053" s="23"/>
    </row>
    <row r="13054">
      <c r="B13054" s="19"/>
      <c r="E13054" s="23"/>
      <c r="L13054" s="23"/>
    </row>
    <row r="13055">
      <c r="B13055" s="19"/>
      <c r="E13055" s="23"/>
      <c r="L13055" s="23"/>
    </row>
    <row r="13056">
      <c r="B13056" s="19"/>
      <c r="E13056" s="23"/>
      <c r="L13056" s="23"/>
    </row>
    <row r="13057">
      <c r="B13057" s="19"/>
      <c r="E13057" s="23"/>
      <c r="L13057" s="23"/>
    </row>
    <row r="13058">
      <c r="B13058" s="19"/>
      <c r="E13058" s="23"/>
      <c r="L13058" s="23"/>
    </row>
    <row r="13059">
      <c r="B13059" s="19"/>
      <c r="E13059" s="23"/>
      <c r="L13059" s="23"/>
    </row>
    <row r="13060">
      <c r="B13060" s="19"/>
      <c r="E13060" s="23"/>
      <c r="L13060" s="23"/>
    </row>
    <row r="13061">
      <c r="B13061" s="19"/>
      <c r="E13061" s="23"/>
      <c r="L13061" s="23"/>
    </row>
    <row r="13062">
      <c r="B13062" s="19"/>
      <c r="E13062" s="23"/>
      <c r="L13062" s="23"/>
    </row>
    <row r="13063">
      <c r="B13063" s="19"/>
      <c r="E13063" s="23"/>
      <c r="L13063" s="23"/>
    </row>
    <row r="13064">
      <c r="B13064" s="19"/>
      <c r="E13064" s="23"/>
      <c r="L13064" s="23"/>
    </row>
    <row r="13065">
      <c r="B13065" s="19"/>
      <c r="E13065" s="23"/>
      <c r="L13065" s="23"/>
    </row>
    <row r="13066">
      <c r="B13066" s="19"/>
      <c r="E13066" s="23"/>
      <c r="L13066" s="23"/>
    </row>
    <row r="13067">
      <c r="B13067" s="19"/>
      <c r="E13067" s="23"/>
      <c r="L13067" s="23"/>
    </row>
    <row r="13068">
      <c r="B13068" s="19"/>
      <c r="E13068" s="23"/>
      <c r="L13068" s="23"/>
    </row>
    <row r="13069">
      <c r="B13069" s="19"/>
      <c r="E13069" s="23"/>
      <c r="L13069" s="23"/>
    </row>
    <row r="13070">
      <c r="B13070" s="19"/>
      <c r="E13070" s="23"/>
      <c r="L13070" s="23"/>
    </row>
    <row r="13071">
      <c r="B13071" s="19"/>
      <c r="E13071" s="23"/>
      <c r="L13071" s="23"/>
    </row>
    <row r="13072">
      <c r="B13072" s="19"/>
      <c r="E13072" s="23"/>
      <c r="L13072" s="23"/>
    </row>
    <row r="13073">
      <c r="B13073" s="19"/>
      <c r="E13073" s="23"/>
      <c r="L13073" s="23"/>
    </row>
    <row r="13074">
      <c r="B13074" s="19"/>
      <c r="E13074" s="23"/>
      <c r="L13074" s="23"/>
    </row>
    <row r="13075">
      <c r="B13075" s="19"/>
      <c r="E13075" s="23"/>
      <c r="L13075" s="23"/>
    </row>
    <row r="13076">
      <c r="B13076" s="19"/>
      <c r="E13076" s="23"/>
      <c r="L13076" s="23"/>
    </row>
    <row r="13077">
      <c r="B13077" s="19"/>
      <c r="E13077" s="23"/>
      <c r="L13077" s="23"/>
    </row>
    <row r="13078">
      <c r="B13078" s="19"/>
      <c r="E13078" s="23"/>
      <c r="L13078" s="23"/>
    </row>
    <row r="13079">
      <c r="B13079" s="19"/>
      <c r="E13079" s="23"/>
      <c r="L13079" s="23"/>
    </row>
    <row r="13080">
      <c r="B13080" s="19"/>
      <c r="E13080" s="23"/>
      <c r="L13080" s="23"/>
    </row>
    <row r="13081">
      <c r="B13081" s="19"/>
      <c r="E13081" s="23"/>
      <c r="L13081" s="23"/>
    </row>
    <row r="13082">
      <c r="B13082" s="19"/>
      <c r="E13082" s="23"/>
      <c r="L13082" s="23"/>
    </row>
    <row r="13083">
      <c r="B13083" s="19"/>
      <c r="E13083" s="23"/>
      <c r="L13083" s="23"/>
    </row>
    <row r="13084">
      <c r="B13084" s="19"/>
      <c r="E13084" s="23"/>
      <c r="L13084" s="23"/>
    </row>
    <row r="13085">
      <c r="B13085" s="19"/>
      <c r="E13085" s="23"/>
      <c r="L13085" s="23"/>
    </row>
    <row r="13086">
      <c r="B13086" s="19"/>
      <c r="E13086" s="23"/>
      <c r="L13086" s="23"/>
    </row>
    <row r="13087">
      <c r="B13087" s="19"/>
      <c r="E13087" s="23"/>
      <c r="L13087" s="23"/>
    </row>
    <row r="13088">
      <c r="B13088" s="19"/>
      <c r="E13088" s="23"/>
      <c r="L13088" s="23"/>
    </row>
    <row r="13089">
      <c r="B13089" s="19"/>
      <c r="E13089" s="23"/>
      <c r="L13089" s="23"/>
    </row>
    <row r="13090">
      <c r="B13090" s="19"/>
      <c r="E13090" s="23"/>
      <c r="L13090" s="23"/>
    </row>
    <row r="13091">
      <c r="B13091" s="19"/>
      <c r="E13091" s="23"/>
      <c r="L13091" s="23"/>
    </row>
    <row r="13092">
      <c r="B13092" s="19"/>
      <c r="E13092" s="23"/>
      <c r="L13092" s="23"/>
    </row>
    <row r="13093">
      <c r="B13093" s="19"/>
      <c r="E13093" s="23"/>
      <c r="L13093" s="23"/>
    </row>
    <row r="13094">
      <c r="B13094" s="19"/>
      <c r="E13094" s="23"/>
      <c r="L13094" s="23"/>
    </row>
    <row r="13095">
      <c r="B13095" s="19"/>
      <c r="E13095" s="23"/>
      <c r="L13095" s="23"/>
    </row>
    <row r="13096">
      <c r="B13096" s="19"/>
      <c r="E13096" s="23"/>
      <c r="L13096" s="23"/>
    </row>
    <row r="13097">
      <c r="B13097" s="19"/>
      <c r="E13097" s="23"/>
      <c r="L13097" s="23"/>
    </row>
    <row r="13098">
      <c r="B13098" s="19"/>
      <c r="E13098" s="23"/>
      <c r="L13098" s="23"/>
    </row>
    <row r="13099">
      <c r="B13099" s="19"/>
      <c r="E13099" s="23"/>
      <c r="L13099" s="23"/>
    </row>
    <row r="13100">
      <c r="B13100" s="19"/>
      <c r="E13100" s="23"/>
      <c r="L13100" s="23"/>
    </row>
    <row r="13101">
      <c r="B13101" s="19"/>
      <c r="E13101" s="23"/>
      <c r="L13101" s="23"/>
    </row>
    <row r="13102">
      <c r="B13102" s="19"/>
      <c r="E13102" s="23"/>
      <c r="L13102" s="23"/>
    </row>
    <row r="13103">
      <c r="B13103" s="19"/>
      <c r="E13103" s="23"/>
      <c r="L13103" s="23"/>
    </row>
    <row r="13104">
      <c r="B13104" s="19"/>
      <c r="E13104" s="23"/>
      <c r="L13104" s="23"/>
    </row>
    <row r="13105">
      <c r="B13105" s="19"/>
      <c r="E13105" s="23"/>
      <c r="L13105" s="23"/>
    </row>
    <row r="13106">
      <c r="B13106" s="19"/>
      <c r="E13106" s="23"/>
      <c r="L13106" s="23"/>
    </row>
    <row r="13107">
      <c r="B13107" s="19"/>
      <c r="E13107" s="23"/>
      <c r="L13107" s="23"/>
    </row>
    <row r="13108">
      <c r="B13108" s="19"/>
      <c r="E13108" s="23"/>
      <c r="L13108" s="23"/>
    </row>
    <row r="13109">
      <c r="B13109" s="19"/>
      <c r="E13109" s="23"/>
      <c r="L13109" s="23"/>
    </row>
    <row r="13110">
      <c r="B13110" s="19"/>
      <c r="E13110" s="23"/>
      <c r="L13110" s="23"/>
    </row>
    <row r="13111">
      <c r="B13111" s="19"/>
      <c r="E13111" s="23"/>
      <c r="L13111" s="23"/>
    </row>
    <row r="13112">
      <c r="B13112" s="19"/>
      <c r="E13112" s="23"/>
      <c r="L13112" s="23"/>
    </row>
    <row r="13113">
      <c r="B13113" s="19"/>
      <c r="E13113" s="23"/>
      <c r="L13113" s="23"/>
    </row>
    <row r="13114">
      <c r="B13114" s="19"/>
      <c r="E13114" s="23"/>
      <c r="L13114" s="23"/>
    </row>
    <row r="13115">
      <c r="B13115" s="19"/>
      <c r="E13115" s="23"/>
      <c r="L13115" s="23"/>
    </row>
    <row r="13116">
      <c r="B13116" s="19"/>
      <c r="E13116" s="23"/>
      <c r="L13116" s="23"/>
    </row>
    <row r="13117">
      <c r="B13117" s="19"/>
      <c r="E13117" s="23"/>
      <c r="L13117" s="23"/>
    </row>
    <row r="13118">
      <c r="B13118" s="19"/>
      <c r="E13118" s="23"/>
      <c r="L13118" s="23"/>
    </row>
    <row r="13119">
      <c r="B13119" s="19"/>
      <c r="E13119" s="23"/>
      <c r="L13119" s="23"/>
    </row>
    <row r="13120">
      <c r="B13120" s="19"/>
      <c r="E13120" s="23"/>
      <c r="L13120" s="23"/>
    </row>
    <row r="13121">
      <c r="B13121" s="19"/>
      <c r="E13121" s="23"/>
      <c r="L13121" s="23"/>
    </row>
    <row r="13122">
      <c r="B13122" s="19"/>
      <c r="E13122" s="23"/>
      <c r="L13122" s="23"/>
    </row>
    <row r="13123">
      <c r="B13123" s="19"/>
      <c r="E13123" s="23"/>
      <c r="L13123" s="23"/>
    </row>
    <row r="13124">
      <c r="B13124" s="19"/>
      <c r="E13124" s="23"/>
      <c r="L13124" s="23"/>
    </row>
    <row r="13125">
      <c r="B13125" s="19"/>
      <c r="E13125" s="23"/>
      <c r="L13125" s="23"/>
    </row>
    <row r="13126">
      <c r="B13126" s="19"/>
      <c r="E13126" s="23"/>
      <c r="L13126" s="23"/>
    </row>
    <row r="13127">
      <c r="B13127" s="19"/>
      <c r="E13127" s="23"/>
      <c r="L13127" s="23"/>
    </row>
    <row r="13128">
      <c r="B13128" s="19"/>
      <c r="E13128" s="23"/>
      <c r="L13128" s="23"/>
    </row>
    <row r="13129">
      <c r="B13129" s="19"/>
      <c r="E13129" s="23"/>
      <c r="L13129" s="23"/>
    </row>
    <row r="13130">
      <c r="B13130" s="19"/>
      <c r="E13130" s="23"/>
      <c r="L13130" s="23"/>
    </row>
    <row r="13131">
      <c r="B13131" s="19"/>
      <c r="E13131" s="23"/>
      <c r="L13131" s="23"/>
    </row>
    <row r="13132">
      <c r="B13132" s="19"/>
      <c r="E13132" s="23"/>
      <c r="L13132" s="23"/>
    </row>
    <row r="13133">
      <c r="B13133" s="19"/>
      <c r="E13133" s="23"/>
      <c r="L13133" s="23"/>
    </row>
    <row r="13134">
      <c r="B13134" s="19"/>
      <c r="E13134" s="23"/>
      <c r="L13134" s="23"/>
    </row>
    <row r="13135">
      <c r="B13135" s="19"/>
      <c r="E13135" s="23"/>
      <c r="L13135" s="23"/>
    </row>
    <row r="13136">
      <c r="B13136" s="19"/>
      <c r="E13136" s="23"/>
      <c r="L13136" s="23"/>
    </row>
    <row r="13137">
      <c r="B13137" s="19"/>
      <c r="E13137" s="23"/>
      <c r="L13137" s="23"/>
    </row>
    <row r="13138">
      <c r="B13138" s="19"/>
      <c r="E13138" s="23"/>
      <c r="L13138" s="23"/>
    </row>
    <row r="13139">
      <c r="B13139" s="19"/>
      <c r="E13139" s="23"/>
      <c r="L13139" s="23"/>
    </row>
    <row r="13140">
      <c r="B13140" s="19"/>
      <c r="E13140" s="23"/>
      <c r="L13140" s="23"/>
    </row>
    <row r="13141">
      <c r="B13141" s="19"/>
      <c r="E13141" s="23"/>
      <c r="L13141" s="23"/>
    </row>
    <row r="13142">
      <c r="B13142" s="19"/>
      <c r="E13142" s="23"/>
      <c r="L13142" s="23"/>
    </row>
    <row r="13143">
      <c r="B13143" s="19"/>
      <c r="E13143" s="23"/>
      <c r="L13143" s="23"/>
    </row>
    <row r="13144">
      <c r="B13144" s="19"/>
      <c r="E13144" s="23"/>
      <c r="L13144" s="23"/>
    </row>
    <row r="13145">
      <c r="B13145" s="19"/>
      <c r="E13145" s="23"/>
      <c r="L13145" s="23"/>
    </row>
    <row r="13146">
      <c r="B13146" s="19"/>
      <c r="E13146" s="23"/>
      <c r="L13146" s="23"/>
    </row>
    <row r="13147">
      <c r="B13147" s="19"/>
      <c r="E13147" s="23"/>
      <c r="L13147" s="23"/>
    </row>
    <row r="13148">
      <c r="B13148" s="19"/>
      <c r="E13148" s="23"/>
      <c r="L13148" s="23"/>
    </row>
    <row r="13149">
      <c r="B13149" s="19"/>
      <c r="E13149" s="23"/>
      <c r="L13149" s="23"/>
    </row>
    <row r="13150">
      <c r="B13150" s="19"/>
      <c r="E13150" s="23"/>
      <c r="L13150" s="23"/>
    </row>
    <row r="13151">
      <c r="B13151" s="19"/>
      <c r="E13151" s="23"/>
      <c r="L13151" s="23"/>
    </row>
    <row r="13152">
      <c r="B13152" s="19"/>
      <c r="E13152" s="23"/>
      <c r="L13152" s="23"/>
    </row>
    <row r="13153">
      <c r="B13153" s="19"/>
      <c r="E13153" s="23"/>
      <c r="L13153" s="23"/>
    </row>
    <row r="13154">
      <c r="B13154" s="19"/>
      <c r="E13154" s="23"/>
      <c r="L13154" s="23"/>
    </row>
    <row r="13155">
      <c r="B13155" s="19"/>
      <c r="E13155" s="23"/>
      <c r="L13155" s="23"/>
    </row>
    <row r="13156">
      <c r="B13156" s="19"/>
      <c r="E13156" s="23"/>
      <c r="L13156" s="23"/>
    </row>
    <row r="13157">
      <c r="B13157" s="19"/>
      <c r="E13157" s="23"/>
      <c r="L13157" s="23"/>
    </row>
    <row r="13158">
      <c r="B13158" s="19"/>
      <c r="E13158" s="23"/>
      <c r="L13158" s="23"/>
    </row>
    <row r="13159">
      <c r="B13159" s="19"/>
      <c r="E13159" s="23"/>
      <c r="L13159" s="23"/>
    </row>
    <row r="13160">
      <c r="B13160" s="19"/>
      <c r="E13160" s="23"/>
      <c r="L13160" s="23"/>
    </row>
    <row r="13161">
      <c r="B13161" s="19"/>
      <c r="E13161" s="23"/>
      <c r="L13161" s="23"/>
    </row>
    <row r="13162">
      <c r="B13162" s="19"/>
      <c r="E13162" s="23"/>
      <c r="L13162" s="23"/>
    </row>
    <row r="13163">
      <c r="B13163" s="19"/>
      <c r="E13163" s="23"/>
      <c r="L13163" s="23"/>
    </row>
    <row r="13164">
      <c r="B13164" s="19"/>
      <c r="E13164" s="23"/>
      <c r="L13164" s="23"/>
    </row>
    <row r="13165">
      <c r="B13165" s="19"/>
      <c r="E13165" s="23"/>
      <c r="L13165" s="23"/>
    </row>
    <row r="13166">
      <c r="B13166" s="19"/>
      <c r="E13166" s="23"/>
      <c r="L13166" s="23"/>
    </row>
    <row r="13167">
      <c r="B13167" s="19"/>
      <c r="E13167" s="23"/>
      <c r="L13167" s="23"/>
    </row>
    <row r="13168">
      <c r="B13168" s="19"/>
      <c r="E13168" s="23"/>
      <c r="L13168" s="23"/>
    </row>
    <row r="13169">
      <c r="B13169" s="19"/>
      <c r="E13169" s="23"/>
      <c r="L13169" s="23"/>
    </row>
    <row r="13170">
      <c r="B13170" s="19"/>
      <c r="E13170" s="23"/>
      <c r="L13170" s="23"/>
    </row>
    <row r="13171">
      <c r="B13171" s="19"/>
      <c r="E13171" s="23"/>
      <c r="L13171" s="23"/>
    </row>
    <row r="13172">
      <c r="B13172" s="19"/>
      <c r="E13172" s="23"/>
      <c r="L13172" s="23"/>
    </row>
    <row r="13173">
      <c r="B13173" s="19"/>
      <c r="E13173" s="23"/>
      <c r="L13173" s="23"/>
    </row>
    <row r="13174">
      <c r="B13174" s="19"/>
      <c r="E13174" s="23"/>
      <c r="L13174" s="23"/>
    </row>
    <row r="13175">
      <c r="B13175" s="19"/>
      <c r="E13175" s="23"/>
      <c r="L13175" s="23"/>
    </row>
    <row r="13176">
      <c r="B13176" s="19"/>
      <c r="E13176" s="23"/>
      <c r="L13176" s="23"/>
    </row>
    <row r="13177">
      <c r="B13177" s="19"/>
      <c r="E13177" s="23"/>
      <c r="L13177" s="23"/>
    </row>
    <row r="13178">
      <c r="B13178" s="19"/>
      <c r="E13178" s="23"/>
      <c r="L13178" s="23"/>
    </row>
    <row r="13179">
      <c r="B13179" s="19"/>
      <c r="E13179" s="23"/>
      <c r="L13179" s="23"/>
    </row>
    <row r="13180">
      <c r="B13180" s="19"/>
      <c r="E13180" s="23"/>
      <c r="L13180" s="23"/>
    </row>
    <row r="13181">
      <c r="B13181" s="19"/>
      <c r="E13181" s="23"/>
      <c r="L13181" s="23"/>
    </row>
    <row r="13182">
      <c r="B13182" s="19"/>
      <c r="E13182" s="23"/>
      <c r="L13182" s="23"/>
    </row>
    <row r="13183">
      <c r="B13183" s="19"/>
      <c r="E13183" s="23"/>
      <c r="L13183" s="23"/>
    </row>
    <row r="13184">
      <c r="B13184" s="19"/>
      <c r="E13184" s="23"/>
      <c r="L13184" s="23"/>
    </row>
    <row r="13185">
      <c r="B13185" s="19"/>
      <c r="E13185" s="23"/>
      <c r="L13185" s="23"/>
    </row>
    <row r="13186">
      <c r="B13186" s="19"/>
      <c r="E13186" s="23"/>
      <c r="L13186" s="23"/>
    </row>
    <row r="13187">
      <c r="B13187" s="19"/>
      <c r="E13187" s="23"/>
      <c r="L13187" s="23"/>
    </row>
    <row r="13188">
      <c r="B13188" s="19"/>
      <c r="E13188" s="23"/>
      <c r="L13188" s="23"/>
    </row>
    <row r="13189">
      <c r="B13189" s="19"/>
      <c r="E13189" s="23"/>
      <c r="L13189" s="23"/>
    </row>
    <row r="13190">
      <c r="B13190" s="19"/>
      <c r="E13190" s="23"/>
      <c r="L13190" s="23"/>
    </row>
    <row r="13191">
      <c r="B13191" s="19"/>
      <c r="E13191" s="23"/>
      <c r="L13191" s="23"/>
    </row>
    <row r="13192">
      <c r="B13192" s="19"/>
      <c r="E13192" s="23"/>
      <c r="L13192" s="23"/>
    </row>
    <row r="13193">
      <c r="B13193" s="19"/>
      <c r="E13193" s="23"/>
      <c r="L13193" s="23"/>
    </row>
    <row r="13194">
      <c r="B13194" s="19"/>
      <c r="E13194" s="23"/>
      <c r="L13194" s="23"/>
    </row>
    <row r="13195">
      <c r="B13195" s="19"/>
      <c r="E13195" s="23"/>
      <c r="L13195" s="23"/>
    </row>
    <row r="13196">
      <c r="B13196" s="19"/>
      <c r="E13196" s="23"/>
      <c r="L13196" s="23"/>
    </row>
    <row r="13197">
      <c r="B13197" s="19"/>
      <c r="E13197" s="23"/>
      <c r="L13197" s="23"/>
    </row>
    <row r="13198">
      <c r="B13198" s="19"/>
      <c r="E13198" s="23"/>
      <c r="L13198" s="23"/>
    </row>
    <row r="13199">
      <c r="B13199" s="19"/>
      <c r="E13199" s="23"/>
      <c r="L13199" s="23"/>
    </row>
    <row r="13200">
      <c r="B13200" s="19"/>
      <c r="E13200" s="23"/>
      <c r="L13200" s="23"/>
    </row>
    <row r="13201">
      <c r="B13201" s="19"/>
      <c r="E13201" s="23"/>
      <c r="L13201" s="23"/>
    </row>
    <row r="13202">
      <c r="B13202" s="19"/>
      <c r="E13202" s="23"/>
      <c r="L13202" s="23"/>
    </row>
    <row r="13203">
      <c r="B13203" s="19"/>
      <c r="E13203" s="23"/>
      <c r="L13203" s="23"/>
    </row>
    <row r="13204">
      <c r="B13204" s="19"/>
      <c r="E13204" s="23"/>
      <c r="L13204" s="23"/>
    </row>
    <row r="13205">
      <c r="B13205" s="19"/>
      <c r="E13205" s="23"/>
      <c r="L13205" s="23"/>
    </row>
    <row r="13206">
      <c r="B13206" s="19"/>
      <c r="E13206" s="23"/>
      <c r="L13206" s="23"/>
    </row>
    <row r="13207">
      <c r="B13207" s="19"/>
      <c r="E13207" s="23"/>
      <c r="L13207" s="23"/>
    </row>
    <row r="13208">
      <c r="B13208" s="19"/>
      <c r="E13208" s="23"/>
      <c r="L13208" s="23"/>
    </row>
    <row r="13209">
      <c r="B13209" s="19"/>
      <c r="E13209" s="23"/>
      <c r="L13209" s="23"/>
    </row>
    <row r="13210">
      <c r="B13210" s="19"/>
      <c r="E13210" s="23"/>
      <c r="L13210" s="23"/>
    </row>
    <row r="13211">
      <c r="B13211" s="19"/>
      <c r="E13211" s="23"/>
      <c r="L13211" s="23"/>
    </row>
    <row r="13212">
      <c r="B13212" s="19"/>
      <c r="E13212" s="23"/>
      <c r="L13212" s="23"/>
    </row>
    <row r="13213">
      <c r="B13213" s="19"/>
      <c r="E13213" s="23"/>
      <c r="L13213" s="23"/>
    </row>
    <row r="13214">
      <c r="B13214" s="19"/>
      <c r="E13214" s="23"/>
      <c r="L13214" s="23"/>
    </row>
    <row r="13215">
      <c r="B13215" s="19"/>
      <c r="E13215" s="23"/>
      <c r="L13215" s="23"/>
    </row>
    <row r="13216">
      <c r="B13216" s="19"/>
      <c r="E13216" s="23"/>
      <c r="L13216" s="23"/>
    </row>
    <row r="13217">
      <c r="B13217" s="19"/>
      <c r="E13217" s="23"/>
      <c r="L13217" s="23"/>
    </row>
    <row r="13218">
      <c r="B13218" s="19"/>
      <c r="E13218" s="23"/>
      <c r="L13218" s="23"/>
    </row>
    <row r="13219">
      <c r="B13219" s="19"/>
      <c r="E13219" s="23"/>
      <c r="L13219" s="23"/>
    </row>
    <row r="13220">
      <c r="B13220" s="19"/>
      <c r="E13220" s="23"/>
      <c r="L13220" s="23"/>
    </row>
    <row r="13221">
      <c r="B13221" s="19"/>
      <c r="E13221" s="23"/>
      <c r="L13221" s="23"/>
    </row>
    <row r="13222">
      <c r="B13222" s="19"/>
      <c r="E13222" s="23"/>
      <c r="L13222" s="23"/>
    </row>
    <row r="13223">
      <c r="B13223" s="19"/>
      <c r="E13223" s="23"/>
      <c r="L13223" s="23"/>
    </row>
    <row r="13224">
      <c r="B13224" s="19"/>
      <c r="E13224" s="23"/>
      <c r="L13224" s="23"/>
    </row>
    <row r="13225">
      <c r="B13225" s="19"/>
      <c r="E13225" s="23"/>
      <c r="L13225" s="23"/>
    </row>
    <row r="13226">
      <c r="B13226" s="19"/>
      <c r="E13226" s="23"/>
      <c r="L13226" s="23"/>
    </row>
    <row r="13227">
      <c r="B13227" s="19"/>
      <c r="E13227" s="23"/>
      <c r="L13227" s="23"/>
    </row>
    <row r="13228">
      <c r="B13228" s="19"/>
      <c r="E13228" s="23"/>
      <c r="L13228" s="23"/>
    </row>
    <row r="13229">
      <c r="B13229" s="19"/>
      <c r="E13229" s="23"/>
      <c r="L13229" s="23"/>
    </row>
    <row r="13230">
      <c r="B13230" s="19"/>
      <c r="E13230" s="23"/>
      <c r="L13230" s="23"/>
    </row>
    <row r="13231">
      <c r="B13231" s="19"/>
      <c r="E13231" s="23"/>
      <c r="L13231" s="23"/>
    </row>
    <row r="13232">
      <c r="B13232" s="19"/>
      <c r="E13232" s="23"/>
      <c r="L13232" s="23"/>
    </row>
    <row r="13233">
      <c r="B13233" s="19"/>
      <c r="E13233" s="23"/>
      <c r="L13233" s="23"/>
    </row>
    <row r="13234">
      <c r="B13234" s="19"/>
      <c r="E13234" s="23"/>
      <c r="L13234" s="23"/>
    </row>
    <row r="13235">
      <c r="B13235" s="19"/>
      <c r="E13235" s="23"/>
      <c r="L13235" s="23"/>
    </row>
    <row r="13236">
      <c r="B13236" s="19"/>
      <c r="E13236" s="23"/>
      <c r="L13236" s="23"/>
    </row>
    <row r="13237">
      <c r="B13237" s="19"/>
      <c r="E13237" s="23"/>
      <c r="L13237" s="23"/>
    </row>
    <row r="13238">
      <c r="B13238" s="19"/>
      <c r="E13238" s="23"/>
      <c r="L13238" s="23"/>
    </row>
    <row r="13239">
      <c r="B13239" s="19"/>
      <c r="E13239" s="23"/>
      <c r="L13239" s="23"/>
    </row>
    <row r="13240">
      <c r="B13240" s="19"/>
      <c r="E13240" s="23"/>
      <c r="L13240" s="23"/>
    </row>
    <row r="13241">
      <c r="B13241" s="19"/>
      <c r="E13241" s="23"/>
      <c r="L13241" s="23"/>
    </row>
    <row r="13242">
      <c r="B13242" s="19"/>
      <c r="E13242" s="23"/>
      <c r="L13242" s="23"/>
    </row>
    <row r="13243">
      <c r="B13243" s="19"/>
      <c r="E13243" s="23"/>
      <c r="L13243" s="23"/>
    </row>
    <row r="13244">
      <c r="B13244" s="19"/>
      <c r="E13244" s="23"/>
      <c r="L13244" s="23"/>
    </row>
    <row r="13245">
      <c r="B13245" s="19"/>
      <c r="E13245" s="23"/>
      <c r="L13245" s="23"/>
    </row>
    <row r="13246">
      <c r="B13246" s="19"/>
      <c r="E13246" s="23"/>
      <c r="L13246" s="23"/>
    </row>
    <row r="13247">
      <c r="B13247" s="19"/>
      <c r="E13247" s="23"/>
      <c r="L13247" s="23"/>
    </row>
    <row r="13248">
      <c r="B13248" s="19"/>
      <c r="E13248" s="23"/>
      <c r="L13248" s="23"/>
    </row>
    <row r="13249">
      <c r="B13249" s="19"/>
      <c r="E13249" s="23"/>
      <c r="L13249" s="23"/>
    </row>
    <row r="13250">
      <c r="B13250" s="19"/>
      <c r="E13250" s="23"/>
      <c r="L13250" s="23"/>
    </row>
    <row r="13251">
      <c r="B13251" s="19"/>
      <c r="E13251" s="23"/>
      <c r="L13251" s="23"/>
    </row>
    <row r="13252">
      <c r="B13252" s="19"/>
      <c r="E13252" s="23"/>
      <c r="L13252" s="23"/>
    </row>
    <row r="13253">
      <c r="B13253" s="19"/>
      <c r="E13253" s="23"/>
      <c r="L13253" s="23"/>
    </row>
    <row r="13254">
      <c r="B13254" s="19"/>
      <c r="E13254" s="23"/>
      <c r="L13254" s="23"/>
    </row>
    <row r="13255">
      <c r="B13255" s="19"/>
      <c r="E13255" s="23"/>
      <c r="L13255" s="23"/>
    </row>
    <row r="13256">
      <c r="B13256" s="19"/>
      <c r="E13256" s="23"/>
      <c r="L13256" s="23"/>
    </row>
    <row r="13257">
      <c r="B13257" s="19"/>
      <c r="E13257" s="23"/>
      <c r="L13257" s="23"/>
    </row>
    <row r="13258">
      <c r="B13258" s="19"/>
      <c r="E13258" s="23"/>
      <c r="L13258" s="23"/>
    </row>
    <row r="13259">
      <c r="B13259" s="19"/>
      <c r="E13259" s="23"/>
      <c r="L13259" s="23"/>
    </row>
    <row r="13260">
      <c r="B13260" s="19"/>
      <c r="E13260" s="23"/>
      <c r="L13260" s="23"/>
    </row>
    <row r="13261">
      <c r="B13261" s="19"/>
      <c r="E13261" s="23"/>
      <c r="L13261" s="23"/>
    </row>
    <row r="13262">
      <c r="B13262" s="19"/>
      <c r="E13262" s="23"/>
      <c r="L13262" s="23"/>
    </row>
    <row r="13263">
      <c r="B13263" s="19"/>
      <c r="E13263" s="23"/>
      <c r="L13263" s="23"/>
    </row>
    <row r="13264">
      <c r="B13264" s="19"/>
      <c r="E13264" s="23"/>
      <c r="L13264" s="23"/>
    </row>
    <row r="13265">
      <c r="B13265" s="19"/>
      <c r="E13265" s="23"/>
      <c r="L13265" s="23"/>
    </row>
    <row r="13266">
      <c r="B13266" s="19"/>
      <c r="E13266" s="23"/>
      <c r="L13266" s="23"/>
    </row>
    <row r="13267">
      <c r="B13267" s="19"/>
      <c r="E13267" s="23"/>
      <c r="L13267" s="23"/>
    </row>
    <row r="13268">
      <c r="B13268" s="19"/>
      <c r="E13268" s="23"/>
      <c r="L13268" s="23"/>
    </row>
    <row r="13269">
      <c r="B13269" s="19"/>
      <c r="E13269" s="23"/>
      <c r="L13269" s="23"/>
    </row>
    <row r="13270">
      <c r="B13270" s="19"/>
      <c r="E13270" s="23"/>
      <c r="L13270" s="23"/>
    </row>
    <row r="13271">
      <c r="B13271" s="19"/>
      <c r="E13271" s="23"/>
      <c r="L13271" s="23"/>
    </row>
    <row r="13272">
      <c r="B13272" s="19"/>
      <c r="E13272" s="23"/>
      <c r="L13272" s="23"/>
    </row>
    <row r="13273">
      <c r="B13273" s="19"/>
      <c r="E13273" s="23"/>
      <c r="L13273" s="23"/>
    </row>
    <row r="13274">
      <c r="B13274" s="19"/>
      <c r="E13274" s="23"/>
      <c r="L13274" s="23"/>
    </row>
    <row r="13275">
      <c r="B13275" s="19"/>
      <c r="E13275" s="23"/>
      <c r="L13275" s="23"/>
    </row>
    <row r="13276">
      <c r="B13276" s="19"/>
      <c r="E13276" s="23"/>
      <c r="L13276" s="23"/>
    </row>
    <row r="13277">
      <c r="B13277" s="19"/>
      <c r="E13277" s="23"/>
      <c r="L13277" s="23"/>
    </row>
    <row r="13278">
      <c r="B13278" s="19"/>
      <c r="E13278" s="23"/>
      <c r="L13278" s="23"/>
    </row>
    <row r="13279">
      <c r="B13279" s="19"/>
      <c r="E13279" s="23"/>
      <c r="L13279" s="23"/>
    </row>
    <row r="13280">
      <c r="B13280" s="19"/>
      <c r="E13280" s="23"/>
      <c r="L13280" s="23"/>
    </row>
    <row r="13281">
      <c r="B13281" s="19"/>
      <c r="E13281" s="23"/>
      <c r="L13281" s="23"/>
    </row>
    <row r="13282">
      <c r="B13282" s="19"/>
      <c r="E13282" s="23"/>
      <c r="L13282" s="23"/>
    </row>
    <row r="13283">
      <c r="B13283" s="19"/>
      <c r="E13283" s="23"/>
      <c r="L13283" s="23"/>
    </row>
    <row r="13284">
      <c r="B13284" s="19"/>
      <c r="E13284" s="23"/>
      <c r="L13284" s="23"/>
    </row>
    <row r="13285">
      <c r="B13285" s="19"/>
      <c r="E13285" s="23"/>
      <c r="L13285" s="23"/>
    </row>
    <row r="13286">
      <c r="B13286" s="19"/>
      <c r="E13286" s="23"/>
      <c r="L13286" s="23"/>
    </row>
    <row r="13287">
      <c r="B13287" s="19"/>
      <c r="E13287" s="23"/>
      <c r="L13287" s="23"/>
    </row>
    <row r="13288">
      <c r="B13288" s="19"/>
      <c r="E13288" s="23"/>
      <c r="L13288" s="23"/>
    </row>
    <row r="13289">
      <c r="B13289" s="19"/>
      <c r="E13289" s="23"/>
      <c r="L13289" s="23"/>
    </row>
    <row r="13290">
      <c r="B13290" s="19"/>
      <c r="E13290" s="23"/>
      <c r="L13290" s="23"/>
    </row>
    <row r="13291">
      <c r="B13291" s="19"/>
      <c r="E13291" s="23"/>
      <c r="L13291" s="23"/>
    </row>
    <row r="13292">
      <c r="B13292" s="19"/>
      <c r="E13292" s="23"/>
      <c r="L13292" s="23"/>
    </row>
    <row r="13293">
      <c r="B13293" s="19"/>
      <c r="E13293" s="23"/>
      <c r="L13293" s="23"/>
    </row>
    <row r="13294">
      <c r="B13294" s="19"/>
      <c r="E13294" s="23"/>
      <c r="L13294" s="23"/>
    </row>
    <row r="13295">
      <c r="B13295" s="19"/>
      <c r="E13295" s="23"/>
      <c r="L13295" s="23"/>
    </row>
    <row r="13296">
      <c r="B13296" s="19"/>
      <c r="E13296" s="23"/>
      <c r="L13296" s="23"/>
    </row>
    <row r="13297">
      <c r="B13297" s="19"/>
      <c r="E13297" s="23"/>
      <c r="L13297" s="23"/>
    </row>
    <row r="13298">
      <c r="B13298" s="19"/>
      <c r="E13298" s="23"/>
      <c r="L13298" s="23"/>
    </row>
    <row r="13299">
      <c r="B13299" s="19"/>
      <c r="E13299" s="23"/>
      <c r="L13299" s="23"/>
    </row>
    <row r="13300">
      <c r="B13300" s="19"/>
      <c r="E13300" s="23"/>
      <c r="L13300" s="23"/>
    </row>
    <row r="13301">
      <c r="B13301" s="19"/>
      <c r="E13301" s="23"/>
      <c r="L13301" s="23"/>
    </row>
    <row r="13302">
      <c r="B13302" s="19"/>
      <c r="E13302" s="23"/>
      <c r="L13302" s="23"/>
    </row>
    <row r="13303">
      <c r="B13303" s="19"/>
      <c r="E13303" s="23"/>
      <c r="L13303" s="23"/>
    </row>
    <row r="13304">
      <c r="B13304" s="19"/>
      <c r="E13304" s="23"/>
      <c r="L13304" s="23"/>
    </row>
    <row r="13305">
      <c r="B13305" s="19"/>
      <c r="E13305" s="23"/>
      <c r="L13305" s="23"/>
    </row>
    <row r="13306">
      <c r="B13306" s="19"/>
      <c r="E13306" s="23"/>
      <c r="L13306" s="23"/>
    </row>
    <row r="13307">
      <c r="B13307" s="19"/>
      <c r="E13307" s="23"/>
      <c r="L13307" s="23"/>
    </row>
    <row r="13308">
      <c r="B13308" s="19"/>
      <c r="E13308" s="23"/>
      <c r="L13308" s="23"/>
    </row>
    <row r="13309">
      <c r="B13309" s="19"/>
      <c r="E13309" s="23"/>
      <c r="L13309" s="23"/>
    </row>
    <row r="13310">
      <c r="B13310" s="19"/>
      <c r="E13310" s="23"/>
      <c r="L13310" s="23"/>
    </row>
    <row r="13311">
      <c r="B13311" s="19"/>
      <c r="E13311" s="23"/>
      <c r="L13311" s="23"/>
    </row>
    <row r="13312">
      <c r="B13312" s="19"/>
      <c r="E13312" s="23"/>
      <c r="L13312" s="23"/>
    </row>
    <row r="13313">
      <c r="B13313" s="19"/>
      <c r="E13313" s="23"/>
      <c r="L13313" s="23"/>
    </row>
    <row r="13314">
      <c r="B13314" s="19"/>
      <c r="E13314" s="23"/>
      <c r="L13314" s="23"/>
    </row>
    <row r="13315">
      <c r="B13315" s="19"/>
      <c r="E13315" s="23"/>
      <c r="L13315" s="23"/>
    </row>
    <row r="13316">
      <c r="B13316" s="19"/>
      <c r="E13316" s="23"/>
      <c r="L13316" s="23"/>
    </row>
    <row r="13317">
      <c r="B13317" s="19"/>
      <c r="E13317" s="23"/>
      <c r="L13317" s="23"/>
    </row>
    <row r="13318">
      <c r="B13318" s="19"/>
      <c r="E13318" s="23"/>
      <c r="L13318" s="23"/>
    </row>
    <row r="13319">
      <c r="B13319" s="19"/>
      <c r="E13319" s="23"/>
      <c r="L13319" s="23"/>
    </row>
    <row r="13320">
      <c r="B13320" s="19"/>
      <c r="E13320" s="23"/>
      <c r="L13320" s="23"/>
    </row>
    <row r="13321">
      <c r="B13321" s="19"/>
      <c r="E13321" s="23"/>
      <c r="L13321" s="23"/>
    </row>
    <row r="13322">
      <c r="B13322" s="19"/>
      <c r="E13322" s="23"/>
      <c r="L13322" s="23"/>
    </row>
    <row r="13323">
      <c r="B13323" s="19"/>
      <c r="E13323" s="23"/>
      <c r="L13323" s="23"/>
    </row>
    <row r="13324">
      <c r="B13324" s="19"/>
      <c r="E13324" s="23"/>
      <c r="L13324" s="23"/>
    </row>
    <row r="13325">
      <c r="B13325" s="19"/>
      <c r="E13325" s="23"/>
      <c r="L13325" s="23"/>
    </row>
    <row r="13326">
      <c r="B13326" s="19"/>
      <c r="E13326" s="23"/>
      <c r="L13326" s="23"/>
    </row>
    <row r="13327">
      <c r="B13327" s="19"/>
      <c r="E13327" s="23"/>
      <c r="L13327" s="23"/>
    </row>
    <row r="13328">
      <c r="B13328" s="19"/>
      <c r="E13328" s="23"/>
      <c r="L13328" s="23"/>
    </row>
    <row r="13329">
      <c r="B13329" s="19"/>
      <c r="E13329" s="23"/>
      <c r="L13329" s="23"/>
    </row>
    <row r="13330">
      <c r="B13330" s="19"/>
      <c r="E13330" s="23"/>
      <c r="L13330" s="23"/>
    </row>
    <row r="13331">
      <c r="B13331" s="19"/>
      <c r="E13331" s="23"/>
      <c r="L13331" s="23"/>
    </row>
    <row r="13332">
      <c r="B13332" s="19"/>
      <c r="E13332" s="23"/>
      <c r="L13332" s="23"/>
    </row>
    <row r="13333">
      <c r="B13333" s="19"/>
      <c r="E13333" s="23"/>
      <c r="L13333" s="23"/>
    </row>
    <row r="13334">
      <c r="B13334" s="19"/>
      <c r="E13334" s="23"/>
      <c r="L13334" s="23"/>
    </row>
    <row r="13335">
      <c r="B13335" s="19"/>
      <c r="E13335" s="23"/>
      <c r="L13335" s="23"/>
    </row>
    <row r="13336">
      <c r="B13336" s="19"/>
      <c r="E13336" s="23"/>
      <c r="L13336" s="23"/>
    </row>
    <row r="13337">
      <c r="B13337" s="19"/>
      <c r="E13337" s="23"/>
      <c r="L13337" s="23"/>
    </row>
    <row r="13338">
      <c r="B13338" s="19"/>
      <c r="E13338" s="23"/>
      <c r="L13338" s="23"/>
    </row>
    <row r="13339">
      <c r="B13339" s="19"/>
      <c r="E13339" s="23"/>
      <c r="L13339" s="23"/>
    </row>
    <row r="13340">
      <c r="B13340" s="19"/>
      <c r="E13340" s="23"/>
      <c r="L13340" s="23"/>
    </row>
    <row r="13341">
      <c r="B13341" s="19"/>
      <c r="E13341" s="23"/>
      <c r="L13341" s="23"/>
    </row>
    <row r="13342">
      <c r="B13342" s="19"/>
      <c r="E13342" s="23"/>
      <c r="L13342" s="23"/>
    </row>
    <row r="13343">
      <c r="B13343" s="19"/>
      <c r="E13343" s="23"/>
      <c r="L13343" s="23"/>
    </row>
    <row r="13344">
      <c r="B13344" s="19"/>
      <c r="E13344" s="23"/>
      <c r="L13344" s="23"/>
    </row>
    <row r="13345">
      <c r="B13345" s="19"/>
      <c r="E13345" s="23"/>
      <c r="L13345" s="23"/>
    </row>
    <row r="13346">
      <c r="B13346" s="19"/>
      <c r="E13346" s="23"/>
      <c r="L13346" s="23"/>
    </row>
    <row r="13347">
      <c r="B13347" s="19"/>
      <c r="E13347" s="23"/>
      <c r="L13347" s="23"/>
    </row>
    <row r="13348">
      <c r="B13348" s="19"/>
      <c r="E13348" s="23"/>
      <c r="L13348" s="23"/>
    </row>
    <row r="13349">
      <c r="B13349" s="19"/>
      <c r="E13349" s="23"/>
      <c r="L13349" s="23"/>
    </row>
    <row r="13350">
      <c r="B13350" s="19"/>
      <c r="E13350" s="23"/>
      <c r="L13350" s="23"/>
    </row>
    <row r="13351">
      <c r="B13351" s="19"/>
      <c r="E13351" s="23"/>
      <c r="L13351" s="23"/>
    </row>
    <row r="13352">
      <c r="B13352" s="19"/>
      <c r="E13352" s="23"/>
      <c r="L13352" s="23"/>
    </row>
    <row r="13353">
      <c r="B13353" s="19"/>
      <c r="E13353" s="23"/>
      <c r="L13353" s="23"/>
    </row>
    <row r="13354">
      <c r="B13354" s="19"/>
      <c r="E13354" s="23"/>
      <c r="L13354" s="23"/>
    </row>
    <row r="13355">
      <c r="B13355" s="19"/>
      <c r="E13355" s="23"/>
      <c r="L13355" s="23"/>
    </row>
    <row r="13356">
      <c r="B13356" s="19"/>
      <c r="E13356" s="23"/>
      <c r="L13356" s="23"/>
    </row>
    <row r="13357">
      <c r="B13357" s="19"/>
      <c r="E13357" s="23"/>
      <c r="L13357" s="23"/>
    </row>
    <row r="13358">
      <c r="B13358" s="19"/>
      <c r="E13358" s="23"/>
      <c r="L13358" s="23"/>
    </row>
    <row r="13359">
      <c r="B13359" s="19"/>
      <c r="E13359" s="23"/>
      <c r="L13359" s="23"/>
    </row>
    <row r="13360">
      <c r="B13360" s="19"/>
      <c r="E13360" s="23"/>
      <c r="L13360" s="23"/>
    </row>
    <row r="13361">
      <c r="B13361" s="19"/>
      <c r="E13361" s="23"/>
      <c r="L13361" s="23"/>
    </row>
    <row r="13362">
      <c r="B13362" s="19"/>
      <c r="E13362" s="23"/>
      <c r="L13362" s="23"/>
    </row>
    <row r="13363">
      <c r="B13363" s="19"/>
      <c r="E13363" s="23"/>
      <c r="L13363" s="23"/>
    </row>
    <row r="13364">
      <c r="B13364" s="19"/>
      <c r="E13364" s="23"/>
      <c r="L13364" s="23"/>
    </row>
    <row r="13365">
      <c r="B13365" s="19"/>
      <c r="E13365" s="23"/>
      <c r="L13365" s="23"/>
    </row>
    <row r="13366">
      <c r="B13366" s="19"/>
      <c r="E13366" s="23"/>
      <c r="L13366" s="23"/>
    </row>
    <row r="13367">
      <c r="B13367" s="19"/>
      <c r="E13367" s="23"/>
      <c r="L13367" s="23"/>
    </row>
    <row r="13368">
      <c r="B13368" s="19"/>
      <c r="E13368" s="23"/>
      <c r="L13368" s="23"/>
    </row>
    <row r="13369">
      <c r="B13369" s="19"/>
      <c r="E13369" s="23"/>
      <c r="L13369" s="23"/>
    </row>
    <row r="13370">
      <c r="B13370" s="19"/>
      <c r="E13370" s="23"/>
      <c r="L13370" s="23"/>
    </row>
    <row r="13371">
      <c r="B13371" s="19"/>
      <c r="E13371" s="23"/>
      <c r="L13371" s="23"/>
    </row>
    <row r="13372">
      <c r="B13372" s="19"/>
      <c r="E13372" s="23"/>
      <c r="L13372" s="23"/>
    </row>
    <row r="13373">
      <c r="B13373" s="19"/>
      <c r="E13373" s="23"/>
      <c r="L13373" s="23"/>
    </row>
    <row r="13374">
      <c r="B13374" s="19"/>
      <c r="E13374" s="23"/>
      <c r="L13374" s="23"/>
    </row>
    <row r="13375">
      <c r="B13375" s="19"/>
      <c r="E13375" s="23"/>
      <c r="L13375" s="23"/>
    </row>
    <row r="13376">
      <c r="B13376" s="19"/>
      <c r="E13376" s="23"/>
      <c r="L13376" s="23"/>
    </row>
    <row r="13377">
      <c r="B13377" s="19"/>
      <c r="E13377" s="23"/>
      <c r="L13377" s="23"/>
    </row>
    <row r="13378">
      <c r="B13378" s="19"/>
      <c r="E13378" s="23"/>
      <c r="L13378" s="23"/>
    </row>
    <row r="13379">
      <c r="B13379" s="19"/>
      <c r="E13379" s="23"/>
      <c r="L13379" s="23"/>
    </row>
    <row r="13380">
      <c r="B13380" s="19"/>
      <c r="E13380" s="23"/>
      <c r="L13380" s="23"/>
    </row>
    <row r="13381">
      <c r="B13381" s="19"/>
      <c r="E13381" s="23"/>
      <c r="L13381" s="23"/>
    </row>
    <row r="13382">
      <c r="B13382" s="19"/>
      <c r="E13382" s="23"/>
      <c r="L13382" s="23"/>
    </row>
    <row r="13383">
      <c r="B13383" s="19"/>
      <c r="E13383" s="23"/>
      <c r="L13383" s="23"/>
    </row>
    <row r="13384">
      <c r="B13384" s="19"/>
      <c r="E13384" s="23"/>
      <c r="L13384" s="23"/>
    </row>
    <row r="13385">
      <c r="B13385" s="19"/>
      <c r="E13385" s="23"/>
      <c r="L13385" s="23"/>
    </row>
    <row r="13386">
      <c r="B13386" s="19"/>
      <c r="E13386" s="23"/>
      <c r="L13386" s="23"/>
    </row>
    <row r="13387">
      <c r="B13387" s="19"/>
      <c r="E13387" s="23"/>
      <c r="L13387" s="23"/>
    </row>
    <row r="13388">
      <c r="B13388" s="19"/>
      <c r="E13388" s="23"/>
      <c r="L13388" s="23"/>
    </row>
    <row r="13389">
      <c r="B13389" s="19"/>
      <c r="E13389" s="23"/>
      <c r="L13389" s="23"/>
    </row>
    <row r="13390">
      <c r="B13390" s="19"/>
      <c r="E13390" s="23"/>
      <c r="L13390" s="23"/>
    </row>
    <row r="13391">
      <c r="B13391" s="19"/>
      <c r="E13391" s="23"/>
      <c r="L13391" s="23"/>
    </row>
    <row r="13392">
      <c r="B13392" s="19"/>
      <c r="E13392" s="23"/>
      <c r="L13392" s="23"/>
    </row>
    <row r="13393">
      <c r="B13393" s="19"/>
      <c r="E13393" s="23"/>
      <c r="L13393" s="23"/>
    </row>
    <row r="13394">
      <c r="B13394" s="19"/>
      <c r="E13394" s="23"/>
      <c r="L13394" s="23"/>
    </row>
    <row r="13395">
      <c r="B13395" s="19"/>
      <c r="E13395" s="23"/>
      <c r="L13395" s="23"/>
    </row>
    <row r="13396">
      <c r="B13396" s="19"/>
      <c r="E13396" s="23"/>
      <c r="L13396" s="23"/>
    </row>
    <row r="13397">
      <c r="B13397" s="19"/>
      <c r="E13397" s="23"/>
      <c r="L13397" s="23"/>
    </row>
    <row r="13398">
      <c r="B13398" s="19"/>
      <c r="E13398" s="23"/>
      <c r="L13398" s="23"/>
    </row>
    <row r="13399">
      <c r="B13399" s="19"/>
      <c r="E13399" s="23"/>
      <c r="L13399" s="23"/>
    </row>
    <row r="13400">
      <c r="B13400" s="19"/>
      <c r="E13400" s="23"/>
      <c r="L13400" s="23"/>
    </row>
    <row r="13401">
      <c r="B13401" s="19"/>
      <c r="E13401" s="23"/>
      <c r="L13401" s="23"/>
    </row>
    <row r="13402">
      <c r="B13402" s="19"/>
      <c r="E13402" s="23"/>
      <c r="L13402" s="23"/>
    </row>
    <row r="13403">
      <c r="B13403" s="19"/>
      <c r="E13403" s="23"/>
      <c r="L13403" s="23"/>
    </row>
    <row r="13404">
      <c r="B13404" s="19"/>
      <c r="E13404" s="23"/>
      <c r="L13404" s="23"/>
    </row>
    <row r="13405">
      <c r="B13405" s="19"/>
      <c r="E13405" s="23"/>
      <c r="L13405" s="23"/>
    </row>
    <row r="13406">
      <c r="B13406" s="19"/>
      <c r="E13406" s="23"/>
      <c r="L13406" s="23"/>
    </row>
    <row r="13407">
      <c r="B13407" s="19"/>
      <c r="E13407" s="23"/>
      <c r="L13407" s="23"/>
    </row>
    <row r="13408">
      <c r="B13408" s="19"/>
      <c r="E13408" s="23"/>
      <c r="L13408" s="23"/>
    </row>
    <row r="13409">
      <c r="B13409" s="19"/>
      <c r="E13409" s="23"/>
      <c r="L13409" s="23"/>
    </row>
    <row r="13410">
      <c r="B13410" s="19"/>
      <c r="E13410" s="23"/>
      <c r="L13410" s="23"/>
    </row>
    <row r="13411">
      <c r="B13411" s="19"/>
      <c r="E13411" s="23"/>
      <c r="L13411" s="23"/>
    </row>
    <row r="13412">
      <c r="B13412" s="19"/>
      <c r="E13412" s="23"/>
      <c r="L13412" s="23"/>
    </row>
    <row r="13413">
      <c r="B13413" s="19"/>
      <c r="E13413" s="23"/>
      <c r="L13413" s="23"/>
    </row>
    <row r="13414">
      <c r="B13414" s="19"/>
      <c r="E13414" s="23"/>
      <c r="L13414" s="23"/>
    </row>
    <row r="13415">
      <c r="B13415" s="19"/>
      <c r="E13415" s="23"/>
      <c r="L13415" s="23"/>
    </row>
    <row r="13416">
      <c r="B13416" s="19"/>
      <c r="E13416" s="23"/>
      <c r="L13416" s="23"/>
    </row>
    <row r="13417">
      <c r="B13417" s="19"/>
      <c r="E13417" s="23"/>
      <c r="L13417" s="23"/>
    </row>
    <row r="13418">
      <c r="B13418" s="19"/>
      <c r="E13418" s="23"/>
      <c r="L13418" s="23"/>
    </row>
    <row r="13419">
      <c r="B13419" s="19"/>
      <c r="E13419" s="23"/>
      <c r="L13419" s="23"/>
    </row>
    <row r="13420">
      <c r="B13420" s="19"/>
      <c r="E13420" s="23"/>
      <c r="L13420" s="23"/>
    </row>
    <row r="13421">
      <c r="B13421" s="19"/>
      <c r="E13421" s="23"/>
      <c r="L13421" s="23"/>
    </row>
    <row r="13422">
      <c r="B13422" s="19"/>
      <c r="E13422" s="23"/>
      <c r="L13422" s="23"/>
    </row>
    <row r="13423">
      <c r="B13423" s="19"/>
      <c r="E13423" s="23"/>
      <c r="L13423" s="23"/>
    </row>
    <row r="13424">
      <c r="B13424" s="19"/>
      <c r="E13424" s="23"/>
      <c r="L13424" s="23"/>
    </row>
    <row r="13425">
      <c r="B13425" s="19"/>
      <c r="E13425" s="23"/>
      <c r="L13425" s="23"/>
    </row>
    <row r="13426">
      <c r="B13426" s="19"/>
      <c r="E13426" s="23"/>
      <c r="L13426" s="23"/>
    </row>
    <row r="13427">
      <c r="B13427" s="19"/>
      <c r="E13427" s="23"/>
      <c r="L13427" s="23"/>
    </row>
    <row r="13428">
      <c r="B13428" s="19"/>
      <c r="E13428" s="23"/>
      <c r="L13428" s="23"/>
    </row>
    <row r="13429">
      <c r="B13429" s="19"/>
      <c r="E13429" s="23"/>
      <c r="L13429" s="23"/>
    </row>
    <row r="13430">
      <c r="B13430" s="19"/>
      <c r="E13430" s="23"/>
      <c r="L13430" s="23"/>
    </row>
    <row r="13431">
      <c r="B13431" s="19"/>
      <c r="E13431" s="23"/>
      <c r="L13431" s="23"/>
    </row>
    <row r="13432">
      <c r="B13432" s="19"/>
      <c r="E13432" s="23"/>
      <c r="L13432" s="23"/>
    </row>
    <row r="13433">
      <c r="B13433" s="19"/>
      <c r="E13433" s="23"/>
      <c r="L13433" s="23"/>
    </row>
    <row r="13434">
      <c r="B13434" s="19"/>
      <c r="E13434" s="23"/>
      <c r="L13434" s="23"/>
    </row>
    <row r="13435">
      <c r="B13435" s="19"/>
      <c r="E13435" s="23"/>
      <c r="L13435" s="23"/>
    </row>
    <row r="13436">
      <c r="B13436" s="19"/>
      <c r="E13436" s="23"/>
      <c r="L13436" s="23"/>
    </row>
    <row r="13437">
      <c r="B13437" s="19"/>
      <c r="E13437" s="23"/>
      <c r="L13437" s="23"/>
    </row>
    <row r="13438">
      <c r="B13438" s="19"/>
      <c r="E13438" s="23"/>
      <c r="L13438" s="23"/>
    </row>
    <row r="13439">
      <c r="B13439" s="19"/>
      <c r="E13439" s="23"/>
      <c r="L13439" s="23"/>
    </row>
    <row r="13440">
      <c r="B13440" s="19"/>
      <c r="E13440" s="23"/>
      <c r="L13440" s="23"/>
    </row>
    <row r="13441">
      <c r="B13441" s="19"/>
      <c r="E13441" s="23"/>
      <c r="L13441" s="23"/>
    </row>
    <row r="13442">
      <c r="B13442" s="19"/>
      <c r="E13442" s="23"/>
      <c r="L13442" s="23"/>
    </row>
    <row r="13443">
      <c r="B13443" s="19"/>
      <c r="E13443" s="23"/>
      <c r="L13443" s="23"/>
    </row>
    <row r="13444">
      <c r="B13444" s="19"/>
      <c r="E13444" s="23"/>
      <c r="L13444" s="23"/>
    </row>
    <row r="13445">
      <c r="B13445" s="19"/>
      <c r="E13445" s="23"/>
      <c r="L13445" s="23"/>
    </row>
    <row r="13446">
      <c r="B13446" s="19"/>
      <c r="E13446" s="23"/>
      <c r="L13446" s="23"/>
    </row>
    <row r="13447">
      <c r="B13447" s="19"/>
      <c r="E13447" s="23"/>
      <c r="L13447" s="23"/>
    </row>
    <row r="13448">
      <c r="B13448" s="19"/>
      <c r="E13448" s="23"/>
      <c r="L13448" s="23"/>
    </row>
    <row r="13449">
      <c r="B13449" s="19"/>
      <c r="E13449" s="23"/>
      <c r="L13449" s="23"/>
    </row>
    <row r="13450">
      <c r="B13450" s="19"/>
      <c r="E13450" s="23"/>
      <c r="L13450" s="23"/>
    </row>
    <row r="13451">
      <c r="B13451" s="19"/>
      <c r="E13451" s="23"/>
      <c r="L13451" s="23"/>
    </row>
    <row r="13452">
      <c r="B13452" s="19"/>
      <c r="E13452" s="23"/>
      <c r="L13452" s="23"/>
    </row>
    <row r="13453">
      <c r="B13453" s="19"/>
      <c r="E13453" s="23"/>
      <c r="L13453" s="23"/>
    </row>
    <row r="13454">
      <c r="B13454" s="19"/>
      <c r="E13454" s="23"/>
      <c r="L13454" s="23"/>
    </row>
    <row r="13455">
      <c r="B13455" s="19"/>
      <c r="E13455" s="23"/>
      <c r="L13455" s="23"/>
    </row>
    <row r="13456">
      <c r="B13456" s="19"/>
      <c r="E13456" s="23"/>
      <c r="L13456" s="23"/>
    </row>
    <row r="13457">
      <c r="B13457" s="19"/>
      <c r="E13457" s="23"/>
      <c r="L13457" s="23"/>
    </row>
    <row r="13458">
      <c r="B13458" s="19"/>
      <c r="E13458" s="23"/>
      <c r="L13458" s="23"/>
    </row>
    <row r="13459">
      <c r="B13459" s="19"/>
      <c r="E13459" s="23"/>
      <c r="L13459" s="23"/>
    </row>
    <row r="13460">
      <c r="B13460" s="19"/>
      <c r="E13460" s="23"/>
      <c r="L13460" s="23"/>
    </row>
    <row r="13461">
      <c r="B13461" s="19"/>
      <c r="E13461" s="23"/>
      <c r="L13461" s="23"/>
    </row>
    <row r="13462">
      <c r="B13462" s="19"/>
      <c r="E13462" s="23"/>
      <c r="L13462" s="23"/>
    </row>
    <row r="13463">
      <c r="B13463" s="19"/>
      <c r="E13463" s="23"/>
      <c r="L13463" s="23"/>
    </row>
    <row r="13464">
      <c r="B13464" s="19"/>
      <c r="E13464" s="23"/>
      <c r="L13464" s="23"/>
    </row>
    <row r="13465">
      <c r="B13465" s="19"/>
      <c r="E13465" s="23"/>
      <c r="L13465" s="23"/>
    </row>
    <row r="13466">
      <c r="B13466" s="19"/>
      <c r="E13466" s="23"/>
      <c r="L13466" s="23"/>
    </row>
    <row r="13467">
      <c r="B13467" s="19"/>
      <c r="E13467" s="23"/>
      <c r="L13467" s="23"/>
    </row>
    <row r="13468">
      <c r="B13468" s="19"/>
      <c r="E13468" s="23"/>
      <c r="L13468" s="23"/>
    </row>
    <row r="13469">
      <c r="B13469" s="19"/>
      <c r="E13469" s="23"/>
      <c r="L13469" s="23"/>
    </row>
    <row r="13470">
      <c r="B13470" s="19"/>
      <c r="E13470" s="23"/>
      <c r="L13470" s="23"/>
    </row>
    <row r="13471">
      <c r="B13471" s="19"/>
      <c r="E13471" s="23"/>
      <c r="L13471" s="23"/>
    </row>
    <row r="13472">
      <c r="B13472" s="19"/>
      <c r="E13472" s="23"/>
      <c r="L13472" s="23"/>
    </row>
    <row r="13473">
      <c r="B13473" s="19"/>
      <c r="E13473" s="23"/>
      <c r="L13473" s="23"/>
    </row>
    <row r="13474">
      <c r="B13474" s="19"/>
      <c r="E13474" s="23"/>
      <c r="L13474" s="23"/>
    </row>
    <row r="13475">
      <c r="B13475" s="19"/>
      <c r="E13475" s="23"/>
      <c r="L13475" s="23"/>
    </row>
    <row r="13476">
      <c r="B13476" s="19"/>
      <c r="E13476" s="23"/>
      <c r="L13476" s="23"/>
    </row>
    <row r="13477">
      <c r="B13477" s="19"/>
      <c r="E13477" s="23"/>
      <c r="L13477" s="23"/>
    </row>
    <row r="13478">
      <c r="B13478" s="19"/>
      <c r="E13478" s="23"/>
      <c r="L13478" s="23"/>
    </row>
    <row r="13479">
      <c r="B13479" s="19"/>
      <c r="E13479" s="23"/>
      <c r="L13479" s="23"/>
    </row>
    <row r="13480">
      <c r="B13480" s="19"/>
      <c r="E13480" s="23"/>
      <c r="L13480" s="23"/>
    </row>
    <row r="13481">
      <c r="B13481" s="19"/>
      <c r="E13481" s="23"/>
      <c r="L13481" s="23"/>
    </row>
    <row r="13482">
      <c r="B13482" s="19"/>
      <c r="E13482" s="23"/>
      <c r="L13482" s="23"/>
    </row>
    <row r="13483">
      <c r="B13483" s="19"/>
      <c r="E13483" s="23"/>
      <c r="L13483" s="23"/>
    </row>
    <row r="13484">
      <c r="B13484" s="19"/>
      <c r="E13484" s="23"/>
      <c r="L13484" s="23"/>
    </row>
    <row r="13485">
      <c r="B13485" s="19"/>
      <c r="E13485" s="23"/>
      <c r="L13485" s="23"/>
    </row>
    <row r="13486">
      <c r="B13486" s="19"/>
      <c r="E13486" s="23"/>
      <c r="L13486" s="23"/>
    </row>
    <row r="13487">
      <c r="B13487" s="19"/>
      <c r="E13487" s="23"/>
      <c r="L13487" s="23"/>
    </row>
    <row r="13488">
      <c r="B13488" s="19"/>
      <c r="E13488" s="23"/>
      <c r="L13488" s="23"/>
    </row>
    <row r="13489">
      <c r="B13489" s="19"/>
      <c r="E13489" s="23"/>
      <c r="L13489" s="23"/>
    </row>
    <row r="13490">
      <c r="B13490" s="19"/>
      <c r="E13490" s="23"/>
      <c r="L13490" s="23"/>
    </row>
    <row r="13491">
      <c r="B13491" s="19"/>
      <c r="E13491" s="23"/>
      <c r="L13491" s="23"/>
    </row>
    <row r="13492">
      <c r="B13492" s="19"/>
      <c r="E13492" s="23"/>
      <c r="L13492" s="23"/>
    </row>
    <row r="13493">
      <c r="B13493" s="19"/>
      <c r="E13493" s="23"/>
      <c r="L13493" s="23"/>
    </row>
    <row r="13494">
      <c r="B13494" s="19"/>
      <c r="E13494" s="23"/>
      <c r="L13494" s="23"/>
    </row>
    <row r="13495">
      <c r="B13495" s="19"/>
      <c r="E13495" s="23"/>
      <c r="L13495" s="23"/>
    </row>
    <row r="13496">
      <c r="B13496" s="19"/>
      <c r="E13496" s="23"/>
      <c r="L13496" s="23"/>
    </row>
    <row r="13497">
      <c r="B13497" s="19"/>
      <c r="E13497" s="23"/>
      <c r="L13497" s="23"/>
    </row>
    <row r="13498">
      <c r="B13498" s="19"/>
      <c r="E13498" s="23"/>
      <c r="L13498" s="23"/>
    </row>
    <row r="13499">
      <c r="B13499" s="19"/>
      <c r="E13499" s="23"/>
      <c r="L13499" s="23"/>
    </row>
    <row r="13500">
      <c r="B13500" s="19"/>
      <c r="E13500" s="23"/>
      <c r="L13500" s="23"/>
    </row>
    <row r="13501">
      <c r="B13501" s="19"/>
      <c r="E13501" s="23"/>
      <c r="L13501" s="23"/>
    </row>
    <row r="13502">
      <c r="B13502" s="19"/>
      <c r="E13502" s="23"/>
      <c r="L13502" s="23"/>
    </row>
    <row r="13503">
      <c r="B13503" s="19"/>
      <c r="E13503" s="23"/>
      <c r="L13503" s="23"/>
    </row>
    <row r="13504">
      <c r="B13504" s="19"/>
      <c r="E13504" s="23"/>
      <c r="L13504" s="23"/>
    </row>
    <row r="13505">
      <c r="B13505" s="19"/>
      <c r="E13505" s="23"/>
      <c r="L13505" s="23"/>
    </row>
    <row r="13506">
      <c r="B13506" s="19"/>
      <c r="E13506" s="23"/>
      <c r="L13506" s="23"/>
    </row>
    <row r="13507">
      <c r="B13507" s="19"/>
      <c r="E13507" s="23"/>
      <c r="L13507" s="23"/>
    </row>
    <row r="13508">
      <c r="B13508" s="19"/>
      <c r="E13508" s="23"/>
      <c r="L13508" s="23"/>
    </row>
    <row r="13509">
      <c r="B13509" s="19"/>
      <c r="E13509" s="23"/>
      <c r="L13509" s="23"/>
    </row>
    <row r="13510">
      <c r="B13510" s="19"/>
      <c r="E13510" s="23"/>
      <c r="L13510" s="23"/>
    </row>
    <row r="13511">
      <c r="B13511" s="19"/>
      <c r="E13511" s="23"/>
      <c r="L13511" s="23"/>
    </row>
    <row r="13512">
      <c r="B13512" s="19"/>
      <c r="E13512" s="23"/>
      <c r="L13512" s="23"/>
    </row>
    <row r="13513">
      <c r="B13513" s="19"/>
      <c r="E13513" s="23"/>
      <c r="L13513" s="23"/>
    </row>
    <row r="13514">
      <c r="B13514" s="19"/>
      <c r="E13514" s="23"/>
      <c r="L13514" s="23"/>
    </row>
    <row r="13515">
      <c r="B13515" s="19"/>
      <c r="E13515" s="23"/>
      <c r="L13515" s="23"/>
    </row>
    <row r="13516">
      <c r="B13516" s="19"/>
      <c r="E13516" s="23"/>
      <c r="L13516" s="23"/>
    </row>
    <row r="13517">
      <c r="B13517" s="19"/>
      <c r="E13517" s="23"/>
      <c r="L13517" s="23"/>
    </row>
    <row r="13518">
      <c r="B13518" s="19"/>
      <c r="E13518" s="23"/>
      <c r="L13518" s="23"/>
    </row>
    <row r="13519">
      <c r="B13519" s="19"/>
      <c r="E13519" s="23"/>
      <c r="L13519" s="23"/>
    </row>
    <row r="13520">
      <c r="B13520" s="19"/>
      <c r="E13520" s="23"/>
      <c r="L13520" s="23"/>
    </row>
    <row r="13521">
      <c r="B13521" s="19"/>
      <c r="E13521" s="23"/>
      <c r="L13521" s="23"/>
    </row>
    <row r="13522">
      <c r="B13522" s="19"/>
      <c r="E13522" s="23"/>
      <c r="L13522" s="23"/>
    </row>
    <row r="13523">
      <c r="B13523" s="19"/>
      <c r="E13523" s="23"/>
      <c r="L13523" s="23"/>
    </row>
    <row r="13524">
      <c r="B13524" s="19"/>
      <c r="E13524" s="23"/>
      <c r="L13524" s="23"/>
    </row>
    <row r="13525">
      <c r="B13525" s="19"/>
      <c r="E13525" s="23"/>
      <c r="L13525" s="23"/>
    </row>
    <row r="13526">
      <c r="B13526" s="19"/>
      <c r="E13526" s="23"/>
      <c r="L13526" s="23"/>
    </row>
    <row r="13527">
      <c r="B13527" s="19"/>
      <c r="E13527" s="23"/>
      <c r="L13527" s="23"/>
    </row>
    <row r="13528">
      <c r="B13528" s="19"/>
      <c r="E13528" s="23"/>
      <c r="L13528" s="23"/>
    </row>
    <row r="13529">
      <c r="B13529" s="19"/>
      <c r="E13529" s="23"/>
      <c r="L13529" s="23"/>
    </row>
    <row r="13530">
      <c r="B13530" s="19"/>
      <c r="E13530" s="23"/>
      <c r="L13530" s="23"/>
    </row>
    <row r="13531">
      <c r="B13531" s="19"/>
      <c r="E13531" s="23"/>
      <c r="L13531" s="23"/>
    </row>
    <row r="13532">
      <c r="B13532" s="19"/>
      <c r="E13532" s="23"/>
      <c r="L13532" s="23"/>
    </row>
    <row r="13533">
      <c r="B13533" s="19"/>
      <c r="E13533" s="23"/>
      <c r="L13533" s="23"/>
    </row>
    <row r="13534">
      <c r="B13534" s="19"/>
      <c r="E13534" s="23"/>
      <c r="L13534" s="23"/>
    </row>
    <row r="13535">
      <c r="B13535" s="19"/>
      <c r="E13535" s="23"/>
      <c r="L13535" s="23"/>
    </row>
    <row r="13536">
      <c r="B13536" s="19"/>
      <c r="E13536" s="23"/>
      <c r="L13536" s="23"/>
    </row>
    <row r="13537">
      <c r="B13537" s="19"/>
      <c r="E13537" s="23"/>
      <c r="L13537" s="23"/>
    </row>
    <row r="13538">
      <c r="B13538" s="19"/>
      <c r="E13538" s="23"/>
      <c r="L13538" s="23"/>
    </row>
    <row r="13539">
      <c r="B13539" s="19"/>
      <c r="E13539" s="23"/>
      <c r="L13539" s="23"/>
    </row>
    <row r="13540">
      <c r="B13540" s="19"/>
      <c r="E13540" s="23"/>
      <c r="L13540" s="23"/>
    </row>
    <row r="13541">
      <c r="B13541" s="19"/>
      <c r="E13541" s="23"/>
      <c r="L13541" s="23"/>
    </row>
    <row r="13542">
      <c r="B13542" s="19"/>
      <c r="E13542" s="23"/>
      <c r="L13542" s="23"/>
    </row>
    <row r="13543">
      <c r="B13543" s="19"/>
      <c r="E13543" s="23"/>
      <c r="L13543" s="23"/>
    </row>
    <row r="13544">
      <c r="B13544" s="19"/>
      <c r="E13544" s="23"/>
      <c r="L13544" s="23"/>
    </row>
    <row r="13545">
      <c r="B13545" s="19"/>
      <c r="E13545" s="23"/>
      <c r="L13545" s="23"/>
    </row>
    <row r="13546">
      <c r="B13546" s="19"/>
      <c r="E13546" s="23"/>
      <c r="L13546" s="23"/>
    </row>
    <row r="13547">
      <c r="B13547" s="19"/>
      <c r="E13547" s="23"/>
      <c r="L13547" s="23"/>
    </row>
    <row r="13548">
      <c r="B13548" s="19"/>
      <c r="E13548" s="23"/>
      <c r="L13548" s="23"/>
    </row>
    <row r="13549">
      <c r="B13549" s="19"/>
      <c r="E13549" s="23"/>
      <c r="L13549" s="23"/>
    </row>
    <row r="13550">
      <c r="B13550" s="19"/>
      <c r="E13550" s="23"/>
      <c r="L13550" s="23"/>
    </row>
    <row r="13551">
      <c r="B13551" s="19"/>
      <c r="E13551" s="23"/>
      <c r="L13551" s="23"/>
    </row>
    <row r="13552">
      <c r="B13552" s="19"/>
      <c r="E13552" s="23"/>
      <c r="L13552" s="23"/>
    </row>
    <row r="13553">
      <c r="B13553" s="19"/>
      <c r="E13553" s="23"/>
      <c r="L13553" s="23"/>
    </row>
    <row r="13554">
      <c r="B13554" s="19"/>
      <c r="E13554" s="23"/>
      <c r="L13554" s="23"/>
    </row>
    <row r="13555">
      <c r="B13555" s="19"/>
      <c r="E13555" s="23"/>
      <c r="L13555" s="23"/>
    </row>
    <row r="13556">
      <c r="B13556" s="19"/>
      <c r="E13556" s="23"/>
      <c r="L13556" s="23"/>
    </row>
    <row r="13557">
      <c r="B13557" s="19"/>
      <c r="E13557" s="23"/>
      <c r="L13557" s="23"/>
    </row>
    <row r="13558">
      <c r="B13558" s="19"/>
      <c r="E13558" s="23"/>
      <c r="L13558" s="23"/>
    </row>
    <row r="13559">
      <c r="B13559" s="19"/>
      <c r="E13559" s="23"/>
      <c r="L13559" s="23"/>
    </row>
    <row r="13560">
      <c r="B13560" s="19"/>
      <c r="E13560" s="23"/>
      <c r="L13560" s="23"/>
    </row>
    <row r="13561">
      <c r="B13561" s="19"/>
      <c r="E13561" s="23"/>
      <c r="L13561" s="23"/>
    </row>
    <row r="13562">
      <c r="B13562" s="19"/>
      <c r="E13562" s="23"/>
      <c r="L13562" s="23"/>
    </row>
    <row r="13563">
      <c r="B13563" s="19"/>
      <c r="E13563" s="23"/>
      <c r="L13563" s="23"/>
    </row>
    <row r="13564">
      <c r="B13564" s="19"/>
      <c r="E13564" s="23"/>
      <c r="L13564" s="23"/>
    </row>
    <row r="13565">
      <c r="B13565" s="19"/>
      <c r="E13565" s="23"/>
      <c r="L13565" s="23"/>
    </row>
    <row r="13566">
      <c r="B13566" s="19"/>
      <c r="E13566" s="23"/>
      <c r="L13566" s="23"/>
    </row>
    <row r="13567">
      <c r="B13567" s="19"/>
      <c r="E13567" s="23"/>
      <c r="L13567" s="23"/>
    </row>
    <row r="13568">
      <c r="B13568" s="19"/>
      <c r="E13568" s="23"/>
      <c r="L13568" s="23"/>
    </row>
    <row r="13569">
      <c r="B13569" s="19"/>
      <c r="E13569" s="23"/>
      <c r="L13569" s="23"/>
    </row>
    <row r="13570">
      <c r="B13570" s="19"/>
      <c r="E13570" s="23"/>
      <c r="L13570" s="23"/>
    </row>
    <row r="13571">
      <c r="B13571" s="19"/>
      <c r="E13571" s="23"/>
      <c r="L13571" s="23"/>
    </row>
    <row r="13572">
      <c r="B13572" s="19"/>
      <c r="E13572" s="23"/>
      <c r="L13572" s="23"/>
    </row>
    <row r="13573">
      <c r="B13573" s="19"/>
      <c r="E13573" s="23"/>
      <c r="L13573" s="23"/>
    </row>
    <row r="13574">
      <c r="B13574" s="19"/>
      <c r="E13574" s="23"/>
      <c r="L13574" s="23"/>
    </row>
    <row r="13575">
      <c r="B13575" s="19"/>
      <c r="E13575" s="23"/>
      <c r="L13575" s="23"/>
    </row>
    <row r="13576">
      <c r="B13576" s="19"/>
      <c r="E13576" s="23"/>
      <c r="L13576" s="23"/>
    </row>
    <row r="13577">
      <c r="B13577" s="19"/>
      <c r="E13577" s="23"/>
      <c r="L13577" s="23"/>
    </row>
    <row r="13578">
      <c r="B13578" s="19"/>
      <c r="E13578" s="23"/>
      <c r="L13578" s="23"/>
    </row>
    <row r="13579">
      <c r="B13579" s="19"/>
      <c r="E13579" s="23"/>
      <c r="L13579" s="23"/>
    </row>
    <row r="13580">
      <c r="B13580" s="19"/>
      <c r="E13580" s="23"/>
      <c r="L13580" s="23"/>
    </row>
    <row r="13581">
      <c r="B13581" s="19"/>
      <c r="E13581" s="23"/>
      <c r="L13581" s="23"/>
    </row>
    <row r="13582">
      <c r="B13582" s="19"/>
      <c r="E13582" s="23"/>
      <c r="L13582" s="23"/>
    </row>
    <row r="13583">
      <c r="B13583" s="19"/>
      <c r="E13583" s="23"/>
      <c r="L13583" s="23"/>
    </row>
    <row r="13584">
      <c r="B13584" s="19"/>
      <c r="E13584" s="23"/>
      <c r="L13584" s="23"/>
    </row>
    <row r="13585">
      <c r="B13585" s="19"/>
      <c r="E13585" s="23"/>
      <c r="L13585" s="23"/>
    </row>
    <row r="13586">
      <c r="B13586" s="19"/>
      <c r="E13586" s="23"/>
      <c r="L13586" s="23"/>
    </row>
    <row r="13587">
      <c r="B13587" s="19"/>
      <c r="E13587" s="23"/>
      <c r="L13587" s="23"/>
    </row>
    <row r="13588">
      <c r="B13588" s="19"/>
      <c r="E13588" s="23"/>
      <c r="L13588" s="23"/>
    </row>
    <row r="13589">
      <c r="B13589" s="19"/>
      <c r="E13589" s="23"/>
      <c r="L13589" s="23"/>
    </row>
    <row r="13590">
      <c r="B13590" s="19"/>
      <c r="E13590" s="23"/>
      <c r="L13590" s="23"/>
    </row>
    <row r="13591">
      <c r="B13591" s="19"/>
      <c r="E13591" s="23"/>
      <c r="L13591" s="23"/>
    </row>
    <row r="13592">
      <c r="B13592" s="19"/>
      <c r="E13592" s="23"/>
      <c r="L13592" s="23"/>
    </row>
    <row r="13593">
      <c r="B13593" s="19"/>
      <c r="E13593" s="23"/>
      <c r="L13593" s="23"/>
    </row>
    <row r="13594">
      <c r="B13594" s="19"/>
      <c r="E13594" s="23"/>
      <c r="L13594" s="23"/>
    </row>
    <row r="13595">
      <c r="B13595" s="19"/>
      <c r="E13595" s="23"/>
      <c r="L13595" s="23"/>
    </row>
    <row r="13596">
      <c r="B13596" s="19"/>
      <c r="E13596" s="23"/>
      <c r="L13596" s="23"/>
    </row>
    <row r="13597">
      <c r="B13597" s="19"/>
      <c r="E13597" s="23"/>
      <c r="L13597" s="23"/>
    </row>
    <row r="13598">
      <c r="B13598" s="19"/>
      <c r="E13598" s="23"/>
      <c r="L13598" s="23"/>
    </row>
    <row r="13599">
      <c r="B13599" s="19"/>
      <c r="E13599" s="23"/>
      <c r="L13599" s="23"/>
    </row>
    <row r="13600">
      <c r="B13600" s="19"/>
      <c r="E13600" s="23"/>
      <c r="L13600" s="23"/>
    </row>
    <row r="13601">
      <c r="B13601" s="19"/>
      <c r="E13601" s="23"/>
      <c r="L13601" s="23"/>
    </row>
    <row r="13602">
      <c r="B13602" s="19"/>
      <c r="E13602" s="23"/>
      <c r="L13602" s="23"/>
    </row>
    <row r="13603">
      <c r="B13603" s="19"/>
      <c r="E13603" s="23"/>
      <c r="L13603" s="23"/>
    </row>
    <row r="13604">
      <c r="B13604" s="19"/>
      <c r="E13604" s="23"/>
      <c r="L13604" s="23"/>
    </row>
    <row r="13605">
      <c r="B13605" s="19"/>
      <c r="E13605" s="23"/>
      <c r="L13605" s="23"/>
    </row>
    <row r="13606">
      <c r="B13606" s="19"/>
      <c r="E13606" s="23"/>
      <c r="L13606" s="23"/>
    </row>
    <row r="13607">
      <c r="B13607" s="19"/>
      <c r="E13607" s="23"/>
      <c r="L13607" s="23"/>
    </row>
    <row r="13608">
      <c r="B13608" s="19"/>
      <c r="E13608" s="23"/>
      <c r="L13608" s="23"/>
    </row>
    <row r="13609">
      <c r="B13609" s="19"/>
      <c r="E13609" s="23"/>
      <c r="L13609" s="23"/>
    </row>
    <row r="13610">
      <c r="B13610" s="19"/>
      <c r="E13610" s="23"/>
      <c r="L13610" s="23"/>
    </row>
    <row r="13611">
      <c r="B13611" s="19"/>
      <c r="E13611" s="23"/>
      <c r="L13611" s="23"/>
    </row>
    <row r="13612">
      <c r="B13612" s="19"/>
      <c r="E13612" s="23"/>
      <c r="L13612" s="23"/>
    </row>
    <row r="13613">
      <c r="B13613" s="19"/>
      <c r="E13613" s="23"/>
      <c r="L13613" s="23"/>
    </row>
    <row r="13614">
      <c r="B13614" s="19"/>
      <c r="E13614" s="23"/>
      <c r="L13614" s="23"/>
    </row>
    <row r="13615">
      <c r="B13615" s="19"/>
      <c r="E13615" s="23"/>
      <c r="L13615" s="23"/>
    </row>
    <row r="13616">
      <c r="B13616" s="19"/>
      <c r="E13616" s="23"/>
      <c r="L13616" s="23"/>
    </row>
    <row r="13617">
      <c r="B13617" s="19"/>
      <c r="E13617" s="23"/>
      <c r="L13617" s="23"/>
    </row>
    <row r="13618">
      <c r="B13618" s="19"/>
      <c r="E13618" s="23"/>
      <c r="L13618" s="23"/>
    </row>
    <row r="13619">
      <c r="B13619" s="19"/>
      <c r="E13619" s="23"/>
      <c r="L13619" s="23"/>
    </row>
    <row r="13620">
      <c r="B13620" s="19"/>
      <c r="E13620" s="23"/>
      <c r="L13620" s="23"/>
    </row>
    <row r="13621">
      <c r="B13621" s="19"/>
      <c r="E13621" s="23"/>
      <c r="L13621" s="23"/>
    </row>
    <row r="13622">
      <c r="B13622" s="19"/>
      <c r="E13622" s="23"/>
      <c r="L13622" s="23"/>
    </row>
    <row r="13623">
      <c r="B13623" s="19"/>
      <c r="E13623" s="23"/>
      <c r="L13623" s="23"/>
    </row>
    <row r="13624">
      <c r="B13624" s="19"/>
      <c r="E13624" s="23"/>
      <c r="L13624" s="23"/>
    </row>
    <row r="13625">
      <c r="B13625" s="19"/>
      <c r="E13625" s="23"/>
      <c r="L13625" s="23"/>
    </row>
    <row r="13626">
      <c r="B13626" s="19"/>
      <c r="E13626" s="23"/>
      <c r="L13626" s="23"/>
    </row>
    <row r="13627">
      <c r="B13627" s="19"/>
      <c r="E13627" s="23"/>
      <c r="L13627" s="23"/>
    </row>
    <row r="13628">
      <c r="B13628" s="19"/>
      <c r="E13628" s="23"/>
      <c r="L13628" s="23"/>
    </row>
    <row r="13629">
      <c r="B13629" s="19"/>
      <c r="E13629" s="23"/>
      <c r="L13629" s="23"/>
    </row>
    <row r="13630">
      <c r="B13630" s="19"/>
      <c r="E13630" s="23"/>
      <c r="L13630" s="23"/>
    </row>
    <row r="13631">
      <c r="B13631" s="19"/>
      <c r="E13631" s="23"/>
      <c r="L13631" s="23"/>
    </row>
    <row r="13632">
      <c r="B13632" s="19"/>
      <c r="E13632" s="23"/>
      <c r="L13632" s="23"/>
    </row>
    <row r="13633">
      <c r="B13633" s="19"/>
      <c r="E13633" s="23"/>
      <c r="L13633" s="23"/>
    </row>
    <row r="13634">
      <c r="B13634" s="19"/>
      <c r="E13634" s="23"/>
      <c r="L13634" s="23"/>
    </row>
    <row r="13635">
      <c r="B13635" s="19"/>
      <c r="E13635" s="23"/>
      <c r="L13635" s="23"/>
    </row>
    <row r="13636">
      <c r="B13636" s="19"/>
      <c r="E13636" s="23"/>
      <c r="L13636" s="23"/>
    </row>
    <row r="13637">
      <c r="B13637" s="19"/>
      <c r="E13637" s="23"/>
      <c r="L13637" s="23"/>
    </row>
    <row r="13638">
      <c r="B13638" s="19"/>
      <c r="E13638" s="23"/>
      <c r="L13638" s="23"/>
    </row>
    <row r="13639">
      <c r="B13639" s="19"/>
      <c r="E13639" s="23"/>
      <c r="L13639" s="23"/>
    </row>
    <row r="13640">
      <c r="B13640" s="19"/>
      <c r="E13640" s="23"/>
      <c r="L13640" s="23"/>
    </row>
    <row r="13641">
      <c r="B13641" s="19"/>
      <c r="E13641" s="23"/>
      <c r="L13641" s="23"/>
    </row>
    <row r="13642">
      <c r="B13642" s="19"/>
      <c r="E13642" s="23"/>
      <c r="L13642" s="23"/>
    </row>
    <row r="13643">
      <c r="B13643" s="19"/>
      <c r="E13643" s="23"/>
      <c r="L13643" s="23"/>
    </row>
    <row r="13644">
      <c r="B13644" s="19"/>
      <c r="E13644" s="23"/>
      <c r="L13644" s="23"/>
    </row>
    <row r="13645">
      <c r="B13645" s="19"/>
      <c r="E13645" s="23"/>
      <c r="L13645" s="23"/>
    </row>
    <row r="13646">
      <c r="B13646" s="19"/>
      <c r="E13646" s="23"/>
      <c r="L13646" s="23"/>
    </row>
    <row r="13647">
      <c r="B13647" s="19"/>
      <c r="E13647" s="23"/>
      <c r="L13647" s="23"/>
    </row>
    <row r="13648">
      <c r="B13648" s="19"/>
      <c r="E13648" s="23"/>
      <c r="L13648" s="23"/>
    </row>
    <row r="13649">
      <c r="B13649" s="19"/>
      <c r="E13649" s="23"/>
      <c r="L13649" s="23"/>
    </row>
    <row r="13650">
      <c r="B13650" s="19"/>
      <c r="E13650" s="23"/>
      <c r="L13650" s="23"/>
    </row>
    <row r="13651">
      <c r="B13651" s="19"/>
      <c r="E13651" s="23"/>
      <c r="L13651" s="23"/>
    </row>
    <row r="13652">
      <c r="B13652" s="19"/>
      <c r="E13652" s="23"/>
      <c r="L13652" s="23"/>
    </row>
    <row r="13653">
      <c r="B13653" s="19"/>
      <c r="E13653" s="23"/>
      <c r="L13653" s="23"/>
    </row>
    <row r="13654">
      <c r="B13654" s="19"/>
      <c r="E13654" s="23"/>
      <c r="L13654" s="23"/>
    </row>
    <row r="13655">
      <c r="B13655" s="19"/>
      <c r="E13655" s="23"/>
      <c r="L13655" s="23"/>
    </row>
    <row r="13656">
      <c r="B13656" s="19"/>
      <c r="E13656" s="23"/>
      <c r="L13656" s="23"/>
    </row>
    <row r="13657">
      <c r="B13657" s="19"/>
      <c r="E13657" s="23"/>
      <c r="L13657" s="23"/>
    </row>
    <row r="13658">
      <c r="B13658" s="19"/>
      <c r="E13658" s="23"/>
      <c r="L13658" s="23"/>
    </row>
    <row r="13659">
      <c r="B13659" s="19"/>
      <c r="E13659" s="23"/>
      <c r="L13659" s="23"/>
    </row>
    <row r="13660">
      <c r="B13660" s="19"/>
      <c r="E13660" s="23"/>
      <c r="L13660" s="23"/>
    </row>
    <row r="13661">
      <c r="B13661" s="19"/>
      <c r="E13661" s="23"/>
      <c r="L13661" s="23"/>
    </row>
    <row r="13662">
      <c r="B13662" s="19"/>
      <c r="E13662" s="23"/>
      <c r="L13662" s="23"/>
    </row>
    <row r="13663">
      <c r="B13663" s="19"/>
      <c r="E13663" s="23"/>
      <c r="L13663" s="23"/>
    </row>
    <row r="13664">
      <c r="B13664" s="19"/>
      <c r="E13664" s="23"/>
      <c r="L13664" s="23"/>
    </row>
    <row r="13665">
      <c r="B13665" s="19"/>
      <c r="E13665" s="23"/>
      <c r="L13665" s="23"/>
    </row>
    <row r="13666">
      <c r="B13666" s="19"/>
      <c r="E13666" s="23"/>
      <c r="L13666" s="23"/>
    </row>
    <row r="13667">
      <c r="B13667" s="19"/>
      <c r="E13667" s="23"/>
      <c r="L13667" s="23"/>
    </row>
    <row r="13668">
      <c r="B13668" s="19"/>
      <c r="E13668" s="23"/>
      <c r="L13668" s="23"/>
    </row>
    <row r="13669">
      <c r="B13669" s="19"/>
      <c r="E13669" s="23"/>
      <c r="L13669" s="23"/>
    </row>
    <row r="13670">
      <c r="B13670" s="19"/>
      <c r="E13670" s="23"/>
      <c r="L13670" s="23"/>
    </row>
    <row r="13671">
      <c r="B13671" s="19"/>
      <c r="E13671" s="23"/>
      <c r="L13671" s="23"/>
    </row>
    <row r="13672">
      <c r="B13672" s="19"/>
      <c r="E13672" s="23"/>
      <c r="L13672" s="23"/>
    </row>
    <row r="13673">
      <c r="B13673" s="19"/>
      <c r="E13673" s="23"/>
      <c r="L13673" s="23"/>
    </row>
    <row r="13674">
      <c r="B13674" s="19"/>
      <c r="E13674" s="23"/>
      <c r="L13674" s="23"/>
    </row>
    <row r="13675">
      <c r="B13675" s="19"/>
      <c r="E13675" s="23"/>
      <c r="L13675" s="23"/>
    </row>
    <row r="13676">
      <c r="B13676" s="19"/>
      <c r="E13676" s="23"/>
      <c r="L13676" s="23"/>
    </row>
    <row r="13677">
      <c r="B13677" s="19"/>
      <c r="E13677" s="23"/>
      <c r="L13677" s="23"/>
    </row>
    <row r="13678">
      <c r="B13678" s="19"/>
      <c r="E13678" s="23"/>
      <c r="L13678" s="23"/>
    </row>
    <row r="13679">
      <c r="B13679" s="19"/>
      <c r="E13679" s="23"/>
      <c r="L13679" s="23"/>
    </row>
    <row r="13680">
      <c r="B13680" s="19"/>
      <c r="E13680" s="23"/>
      <c r="L13680" s="23"/>
    </row>
    <row r="13681">
      <c r="B13681" s="19"/>
      <c r="E13681" s="23"/>
      <c r="L13681" s="23"/>
    </row>
    <row r="13682">
      <c r="B13682" s="19"/>
      <c r="E13682" s="23"/>
      <c r="L13682" s="23"/>
    </row>
    <row r="13683">
      <c r="B13683" s="19"/>
      <c r="E13683" s="23"/>
      <c r="L13683" s="23"/>
    </row>
    <row r="13684">
      <c r="B13684" s="19"/>
      <c r="E13684" s="23"/>
      <c r="L13684" s="23"/>
    </row>
    <row r="13685">
      <c r="B13685" s="19"/>
      <c r="E13685" s="23"/>
      <c r="L13685" s="23"/>
    </row>
    <row r="13686">
      <c r="B13686" s="19"/>
      <c r="E13686" s="23"/>
      <c r="L13686" s="23"/>
    </row>
    <row r="13687">
      <c r="B13687" s="19"/>
      <c r="E13687" s="23"/>
      <c r="L13687" s="23"/>
    </row>
    <row r="13688">
      <c r="B13688" s="19"/>
      <c r="E13688" s="23"/>
      <c r="L13688" s="23"/>
    </row>
    <row r="13689">
      <c r="B13689" s="19"/>
      <c r="E13689" s="23"/>
      <c r="L13689" s="23"/>
    </row>
    <row r="13690">
      <c r="B13690" s="19"/>
      <c r="E13690" s="23"/>
      <c r="L13690" s="23"/>
    </row>
    <row r="13691">
      <c r="B13691" s="19"/>
      <c r="E13691" s="23"/>
      <c r="L13691" s="23"/>
    </row>
    <row r="13692">
      <c r="B13692" s="19"/>
      <c r="E13692" s="23"/>
      <c r="L13692" s="23"/>
    </row>
    <row r="13693">
      <c r="B13693" s="19"/>
      <c r="E13693" s="23"/>
      <c r="L13693" s="23"/>
    </row>
    <row r="13694">
      <c r="B13694" s="19"/>
      <c r="E13694" s="23"/>
      <c r="L13694" s="23"/>
    </row>
    <row r="13695">
      <c r="B13695" s="19"/>
      <c r="E13695" s="23"/>
      <c r="L13695" s="23"/>
    </row>
    <row r="13696">
      <c r="B13696" s="19"/>
      <c r="E13696" s="23"/>
      <c r="L13696" s="23"/>
    </row>
    <row r="13697">
      <c r="B13697" s="19"/>
      <c r="E13697" s="23"/>
      <c r="L13697" s="23"/>
    </row>
    <row r="13698">
      <c r="B13698" s="19"/>
      <c r="E13698" s="23"/>
      <c r="L13698" s="23"/>
    </row>
    <row r="13699">
      <c r="B13699" s="19"/>
      <c r="E13699" s="23"/>
      <c r="L13699" s="23"/>
    </row>
    <row r="13700">
      <c r="B13700" s="19"/>
      <c r="E13700" s="23"/>
      <c r="L13700" s="23"/>
    </row>
    <row r="13701">
      <c r="B13701" s="19"/>
      <c r="E13701" s="23"/>
      <c r="L13701" s="23"/>
    </row>
    <row r="13702">
      <c r="B13702" s="19"/>
      <c r="E13702" s="23"/>
      <c r="L13702" s="23"/>
    </row>
    <row r="13703">
      <c r="B13703" s="19"/>
      <c r="E13703" s="23"/>
      <c r="L13703" s="23"/>
    </row>
    <row r="13704">
      <c r="B13704" s="19"/>
      <c r="E13704" s="23"/>
      <c r="L13704" s="23"/>
    </row>
    <row r="13705">
      <c r="B13705" s="19"/>
      <c r="E13705" s="23"/>
      <c r="L13705" s="23"/>
    </row>
    <row r="13706">
      <c r="B13706" s="19"/>
      <c r="E13706" s="23"/>
      <c r="L13706" s="23"/>
    </row>
    <row r="13707">
      <c r="B13707" s="19"/>
      <c r="E13707" s="23"/>
      <c r="L13707" s="23"/>
    </row>
    <row r="13708">
      <c r="B13708" s="19"/>
      <c r="E13708" s="23"/>
      <c r="L13708" s="23"/>
    </row>
    <row r="13709">
      <c r="B13709" s="19"/>
      <c r="E13709" s="23"/>
      <c r="L13709" s="23"/>
    </row>
    <row r="13710">
      <c r="B13710" s="19"/>
      <c r="E13710" s="23"/>
      <c r="L13710" s="23"/>
    </row>
    <row r="13711">
      <c r="B13711" s="19"/>
      <c r="E13711" s="23"/>
      <c r="L13711" s="23"/>
    </row>
    <row r="13712">
      <c r="B13712" s="19"/>
      <c r="E13712" s="23"/>
      <c r="L13712" s="23"/>
    </row>
    <row r="13713">
      <c r="B13713" s="19"/>
      <c r="E13713" s="23"/>
      <c r="L13713" s="23"/>
    </row>
    <row r="13714">
      <c r="B13714" s="19"/>
      <c r="E13714" s="23"/>
      <c r="L13714" s="23"/>
    </row>
    <row r="13715">
      <c r="B13715" s="19"/>
      <c r="E13715" s="23"/>
      <c r="L13715" s="23"/>
    </row>
    <row r="13716">
      <c r="B13716" s="19"/>
      <c r="E13716" s="23"/>
      <c r="L13716" s="23"/>
    </row>
    <row r="13717">
      <c r="B13717" s="19"/>
      <c r="E13717" s="23"/>
      <c r="L13717" s="23"/>
    </row>
    <row r="13718">
      <c r="B13718" s="19"/>
      <c r="E13718" s="23"/>
      <c r="L13718" s="23"/>
    </row>
    <row r="13719">
      <c r="B13719" s="19"/>
      <c r="E13719" s="23"/>
      <c r="L13719" s="23"/>
    </row>
    <row r="13720">
      <c r="B13720" s="19"/>
      <c r="E13720" s="23"/>
      <c r="L13720" s="23"/>
    </row>
    <row r="13721">
      <c r="B13721" s="19"/>
      <c r="E13721" s="23"/>
      <c r="L13721" s="23"/>
    </row>
    <row r="13722">
      <c r="B13722" s="19"/>
      <c r="E13722" s="23"/>
      <c r="L13722" s="23"/>
    </row>
    <row r="13723">
      <c r="B13723" s="19"/>
      <c r="E13723" s="23"/>
      <c r="L13723" s="23"/>
    </row>
    <row r="13724">
      <c r="B13724" s="19"/>
      <c r="E13724" s="23"/>
      <c r="L13724" s="23"/>
    </row>
    <row r="13725">
      <c r="B13725" s="19"/>
      <c r="E13725" s="23"/>
      <c r="L13725" s="23"/>
    </row>
    <row r="13726">
      <c r="B13726" s="19"/>
      <c r="E13726" s="23"/>
      <c r="L13726" s="23"/>
    </row>
    <row r="13727">
      <c r="B13727" s="19"/>
      <c r="E13727" s="23"/>
      <c r="L13727" s="23"/>
    </row>
    <row r="13728">
      <c r="B13728" s="19"/>
      <c r="E13728" s="23"/>
      <c r="L13728" s="23"/>
    </row>
    <row r="13729">
      <c r="B13729" s="19"/>
      <c r="E13729" s="23"/>
      <c r="L13729" s="23"/>
    </row>
    <row r="13730">
      <c r="B13730" s="19"/>
      <c r="E13730" s="23"/>
      <c r="L13730" s="23"/>
    </row>
    <row r="13731">
      <c r="B13731" s="19"/>
      <c r="E13731" s="23"/>
      <c r="L13731" s="23"/>
    </row>
    <row r="13732">
      <c r="B13732" s="19"/>
      <c r="E13732" s="23"/>
      <c r="L13732" s="23"/>
    </row>
    <row r="13733">
      <c r="B13733" s="19"/>
      <c r="E13733" s="23"/>
      <c r="L13733" s="23"/>
    </row>
    <row r="13734">
      <c r="B13734" s="19"/>
      <c r="E13734" s="23"/>
      <c r="L13734" s="23"/>
    </row>
    <row r="13735">
      <c r="B13735" s="19"/>
      <c r="E13735" s="23"/>
      <c r="L13735" s="23"/>
    </row>
    <row r="13736">
      <c r="B13736" s="19"/>
      <c r="E13736" s="23"/>
      <c r="L13736" s="23"/>
    </row>
    <row r="13737">
      <c r="B13737" s="19"/>
      <c r="E13737" s="23"/>
      <c r="L13737" s="23"/>
    </row>
    <row r="13738">
      <c r="B13738" s="19"/>
      <c r="E13738" s="23"/>
      <c r="L13738" s="23"/>
    </row>
    <row r="13739">
      <c r="B13739" s="19"/>
      <c r="E13739" s="23"/>
      <c r="L13739" s="23"/>
    </row>
    <row r="13740">
      <c r="B13740" s="19"/>
      <c r="E13740" s="23"/>
      <c r="L13740" s="23"/>
    </row>
    <row r="13741">
      <c r="B13741" s="19"/>
      <c r="E13741" s="23"/>
      <c r="L13741" s="23"/>
    </row>
    <row r="13742">
      <c r="B13742" s="19"/>
      <c r="E13742" s="23"/>
      <c r="L13742" s="23"/>
    </row>
    <row r="13743">
      <c r="B13743" s="19"/>
      <c r="E13743" s="23"/>
      <c r="L13743" s="23"/>
    </row>
    <row r="13744">
      <c r="B13744" s="19"/>
      <c r="E13744" s="23"/>
      <c r="L13744" s="23"/>
    </row>
    <row r="13745">
      <c r="B13745" s="19"/>
      <c r="E13745" s="23"/>
      <c r="L13745" s="23"/>
    </row>
    <row r="13746">
      <c r="B13746" s="19"/>
      <c r="E13746" s="23"/>
      <c r="L13746" s="23"/>
    </row>
    <row r="13747">
      <c r="B13747" s="19"/>
      <c r="E13747" s="23"/>
      <c r="L13747" s="23"/>
    </row>
    <row r="13748">
      <c r="B13748" s="19"/>
      <c r="E13748" s="23"/>
      <c r="L13748" s="23"/>
    </row>
    <row r="13749">
      <c r="B13749" s="19"/>
      <c r="E13749" s="23"/>
      <c r="L13749" s="23"/>
    </row>
    <row r="13750">
      <c r="B13750" s="19"/>
      <c r="E13750" s="23"/>
      <c r="L13750" s="23"/>
    </row>
    <row r="13751">
      <c r="B13751" s="19"/>
      <c r="E13751" s="23"/>
      <c r="L13751" s="23"/>
    </row>
    <row r="13752">
      <c r="B13752" s="19"/>
      <c r="E13752" s="23"/>
      <c r="L13752" s="23"/>
    </row>
    <row r="13753">
      <c r="B13753" s="19"/>
      <c r="E13753" s="23"/>
      <c r="L13753" s="23"/>
    </row>
    <row r="13754">
      <c r="B13754" s="19"/>
      <c r="E13754" s="23"/>
      <c r="L13754" s="23"/>
    </row>
    <row r="13755">
      <c r="B13755" s="19"/>
      <c r="E13755" s="23"/>
      <c r="L13755" s="23"/>
    </row>
    <row r="13756">
      <c r="B13756" s="19"/>
      <c r="E13756" s="23"/>
      <c r="L13756" s="23"/>
    </row>
    <row r="13757">
      <c r="B13757" s="19"/>
      <c r="E13757" s="23"/>
      <c r="L13757" s="23"/>
    </row>
    <row r="13758">
      <c r="B13758" s="19"/>
      <c r="E13758" s="23"/>
      <c r="L13758" s="23"/>
    </row>
    <row r="13759">
      <c r="B13759" s="19"/>
      <c r="E13759" s="23"/>
      <c r="L13759" s="23"/>
    </row>
    <row r="13760">
      <c r="B13760" s="19"/>
      <c r="E13760" s="23"/>
      <c r="L13760" s="23"/>
    </row>
    <row r="13761">
      <c r="B13761" s="19"/>
      <c r="E13761" s="23"/>
      <c r="L13761" s="23"/>
    </row>
    <row r="13762">
      <c r="B13762" s="19"/>
      <c r="E13762" s="23"/>
      <c r="L13762" s="23"/>
    </row>
    <row r="13763">
      <c r="B13763" s="19"/>
      <c r="E13763" s="23"/>
      <c r="L13763" s="23"/>
    </row>
    <row r="13764">
      <c r="B13764" s="19"/>
      <c r="E13764" s="23"/>
      <c r="L13764" s="23"/>
    </row>
    <row r="13765">
      <c r="B13765" s="19"/>
      <c r="E13765" s="23"/>
      <c r="L13765" s="23"/>
    </row>
    <row r="13766">
      <c r="B13766" s="19"/>
      <c r="E13766" s="23"/>
      <c r="L13766" s="23"/>
    </row>
    <row r="13767">
      <c r="B13767" s="19"/>
      <c r="E13767" s="23"/>
      <c r="L13767" s="23"/>
    </row>
    <row r="13768">
      <c r="B13768" s="19"/>
      <c r="E13768" s="23"/>
      <c r="L13768" s="23"/>
    </row>
    <row r="13769">
      <c r="B13769" s="19"/>
      <c r="E13769" s="23"/>
      <c r="L13769" s="23"/>
    </row>
    <row r="13770">
      <c r="B13770" s="19"/>
      <c r="E13770" s="23"/>
      <c r="L13770" s="23"/>
    </row>
    <row r="13771">
      <c r="B13771" s="19"/>
      <c r="E13771" s="23"/>
      <c r="L13771" s="23"/>
    </row>
    <row r="13772">
      <c r="B13772" s="19"/>
      <c r="E13772" s="23"/>
      <c r="L13772" s="23"/>
    </row>
    <row r="13773">
      <c r="B13773" s="19"/>
      <c r="E13773" s="23"/>
      <c r="L13773" s="23"/>
    </row>
    <row r="13774">
      <c r="B13774" s="19"/>
      <c r="E13774" s="23"/>
      <c r="L13774" s="23"/>
    </row>
    <row r="13775">
      <c r="B13775" s="19"/>
      <c r="E13775" s="23"/>
      <c r="L13775" s="23"/>
    </row>
    <row r="13776">
      <c r="B13776" s="19"/>
      <c r="E13776" s="23"/>
      <c r="L13776" s="23"/>
    </row>
    <row r="13777">
      <c r="B13777" s="19"/>
      <c r="E13777" s="23"/>
      <c r="L13777" s="23"/>
    </row>
    <row r="13778">
      <c r="B13778" s="19"/>
      <c r="E13778" s="23"/>
      <c r="L13778" s="23"/>
    </row>
    <row r="13779">
      <c r="B13779" s="19"/>
      <c r="E13779" s="23"/>
      <c r="L13779" s="23"/>
    </row>
    <row r="13780">
      <c r="B13780" s="19"/>
      <c r="E13780" s="23"/>
      <c r="L13780" s="23"/>
    </row>
    <row r="13781">
      <c r="B13781" s="19"/>
      <c r="E13781" s="23"/>
      <c r="L13781" s="23"/>
    </row>
    <row r="13782">
      <c r="B13782" s="19"/>
      <c r="E13782" s="23"/>
      <c r="L13782" s="23"/>
    </row>
    <row r="13783">
      <c r="B13783" s="19"/>
      <c r="E13783" s="23"/>
      <c r="L13783" s="23"/>
    </row>
    <row r="13784">
      <c r="B13784" s="19"/>
      <c r="E13784" s="23"/>
      <c r="L13784" s="23"/>
    </row>
    <row r="13785">
      <c r="B13785" s="19"/>
      <c r="E13785" s="23"/>
      <c r="L13785" s="23"/>
    </row>
    <row r="13786">
      <c r="B13786" s="19"/>
      <c r="E13786" s="23"/>
      <c r="L13786" s="23"/>
    </row>
    <row r="13787">
      <c r="B13787" s="19"/>
      <c r="E13787" s="23"/>
      <c r="L13787" s="23"/>
    </row>
    <row r="13788">
      <c r="B13788" s="19"/>
      <c r="E13788" s="23"/>
      <c r="L13788" s="23"/>
    </row>
    <row r="13789">
      <c r="B13789" s="19"/>
      <c r="E13789" s="23"/>
      <c r="L13789" s="23"/>
    </row>
    <row r="13790">
      <c r="B13790" s="19"/>
      <c r="E13790" s="23"/>
      <c r="L13790" s="23"/>
    </row>
    <row r="13791">
      <c r="B13791" s="19"/>
      <c r="E13791" s="23"/>
      <c r="L13791" s="23"/>
    </row>
    <row r="13792">
      <c r="B13792" s="19"/>
      <c r="E13792" s="23"/>
      <c r="L13792" s="23"/>
    </row>
    <row r="13793">
      <c r="B13793" s="19"/>
      <c r="E13793" s="23"/>
      <c r="L13793" s="23"/>
    </row>
    <row r="13794">
      <c r="B13794" s="19"/>
      <c r="E13794" s="23"/>
      <c r="L13794" s="23"/>
    </row>
    <row r="13795">
      <c r="B13795" s="19"/>
      <c r="E13795" s="23"/>
      <c r="L13795" s="23"/>
    </row>
    <row r="13796">
      <c r="B13796" s="19"/>
      <c r="E13796" s="23"/>
      <c r="L13796" s="23"/>
    </row>
    <row r="13797">
      <c r="B13797" s="19"/>
      <c r="E13797" s="23"/>
      <c r="L13797" s="23"/>
    </row>
    <row r="13798">
      <c r="B13798" s="19"/>
      <c r="E13798" s="23"/>
      <c r="L13798" s="23"/>
    </row>
    <row r="13799">
      <c r="B13799" s="19"/>
      <c r="E13799" s="23"/>
      <c r="L13799" s="23"/>
    </row>
    <row r="13800">
      <c r="B13800" s="19"/>
      <c r="E13800" s="23"/>
      <c r="L13800" s="23"/>
    </row>
    <row r="13801">
      <c r="B13801" s="19"/>
      <c r="E13801" s="23"/>
      <c r="L13801" s="23"/>
    </row>
    <row r="13802">
      <c r="B13802" s="19"/>
      <c r="E13802" s="23"/>
      <c r="L13802" s="23"/>
    </row>
    <row r="13803">
      <c r="B13803" s="19"/>
      <c r="E13803" s="23"/>
      <c r="L13803" s="23"/>
    </row>
    <row r="13804">
      <c r="B13804" s="19"/>
      <c r="E13804" s="23"/>
      <c r="L13804" s="23"/>
    </row>
    <row r="13805">
      <c r="B13805" s="19"/>
      <c r="E13805" s="23"/>
      <c r="L13805" s="23"/>
    </row>
    <row r="13806">
      <c r="B13806" s="19"/>
      <c r="E13806" s="23"/>
      <c r="L13806" s="23"/>
    </row>
    <row r="13807">
      <c r="B13807" s="19"/>
      <c r="E13807" s="23"/>
      <c r="L13807" s="23"/>
    </row>
    <row r="13808">
      <c r="B13808" s="19"/>
      <c r="E13808" s="23"/>
      <c r="L13808" s="23"/>
    </row>
    <row r="13809">
      <c r="B13809" s="19"/>
      <c r="E13809" s="23"/>
      <c r="L13809" s="23"/>
    </row>
    <row r="13810">
      <c r="B13810" s="19"/>
      <c r="E13810" s="23"/>
      <c r="L13810" s="23"/>
    </row>
    <row r="13811">
      <c r="B13811" s="19"/>
      <c r="E13811" s="23"/>
      <c r="L13811" s="23"/>
    </row>
    <row r="13812">
      <c r="B13812" s="19"/>
      <c r="E13812" s="23"/>
      <c r="L13812" s="23"/>
    </row>
    <row r="13813">
      <c r="B13813" s="19"/>
      <c r="E13813" s="23"/>
      <c r="L13813" s="23"/>
    </row>
    <row r="13814">
      <c r="B13814" s="19"/>
      <c r="E13814" s="23"/>
      <c r="L13814" s="23"/>
    </row>
    <row r="13815">
      <c r="B13815" s="19"/>
      <c r="E13815" s="23"/>
      <c r="L13815" s="23"/>
    </row>
    <row r="13816">
      <c r="B13816" s="19"/>
      <c r="E13816" s="23"/>
      <c r="L13816" s="23"/>
    </row>
    <row r="13817">
      <c r="B13817" s="19"/>
      <c r="E13817" s="23"/>
      <c r="L13817" s="23"/>
    </row>
    <row r="13818">
      <c r="B13818" s="19"/>
      <c r="E13818" s="23"/>
      <c r="L13818" s="23"/>
    </row>
    <row r="13819">
      <c r="B13819" s="19"/>
      <c r="E13819" s="23"/>
      <c r="L13819" s="23"/>
    </row>
    <row r="13820">
      <c r="B13820" s="19"/>
      <c r="E13820" s="23"/>
      <c r="L13820" s="23"/>
    </row>
    <row r="13821">
      <c r="B13821" s="19"/>
      <c r="E13821" s="23"/>
      <c r="L13821" s="23"/>
    </row>
    <row r="13822">
      <c r="B13822" s="19"/>
      <c r="E13822" s="23"/>
      <c r="L13822" s="23"/>
    </row>
    <row r="13823">
      <c r="B13823" s="19"/>
      <c r="E13823" s="23"/>
      <c r="L13823" s="23"/>
    </row>
    <row r="13824">
      <c r="B13824" s="19"/>
      <c r="E13824" s="23"/>
      <c r="L13824" s="23"/>
    </row>
    <row r="13825">
      <c r="B13825" s="19"/>
      <c r="E13825" s="23"/>
      <c r="L13825" s="23"/>
    </row>
    <row r="13826">
      <c r="B13826" s="19"/>
      <c r="E13826" s="23"/>
      <c r="L13826" s="23"/>
    </row>
    <row r="13827">
      <c r="B13827" s="19"/>
      <c r="E13827" s="23"/>
      <c r="L13827" s="23"/>
    </row>
    <row r="13828">
      <c r="B13828" s="19"/>
      <c r="E13828" s="23"/>
      <c r="L13828" s="23"/>
    </row>
    <row r="13829">
      <c r="B13829" s="19"/>
      <c r="E13829" s="23"/>
      <c r="L13829" s="23"/>
    </row>
    <row r="13830">
      <c r="B13830" s="19"/>
      <c r="E13830" s="23"/>
      <c r="L13830" s="23"/>
    </row>
    <row r="13831">
      <c r="B13831" s="19"/>
      <c r="E13831" s="23"/>
      <c r="L13831" s="23"/>
    </row>
    <row r="13832">
      <c r="B13832" s="19"/>
      <c r="E13832" s="23"/>
      <c r="L13832" s="23"/>
    </row>
    <row r="13833">
      <c r="B13833" s="19"/>
      <c r="E13833" s="23"/>
      <c r="L13833" s="23"/>
    </row>
    <row r="13834">
      <c r="B13834" s="19"/>
      <c r="E13834" s="23"/>
      <c r="L13834" s="23"/>
    </row>
    <row r="13835">
      <c r="B13835" s="19"/>
      <c r="E13835" s="23"/>
      <c r="L13835" s="23"/>
    </row>
    <row r="13836">
      <c r="B13836" s="19"/>
      <c r="E13836" s="23"/>
      <c r="L13836" s="23"/>
    </row>
    <row r="13837">
      <c r="B13837" s="19"/>
      <c r="E13837" s="23"/>
      <c r="L13837" s="23"/>
    </row>
    <row r="13838">
      <c r="B13838" s="19"/>
      <c r="E13838" s="23"/>
      <c r="L13838" s="23"/>
    </row>
    <row r="13839">
      <c r="B13839" s="19"/>
      <c r="E13839" s="23"/>
      <c r="L13839" s="23"/>
    </row>
    <row r="13840">
      <c r="B13840" s="19"/>
      <c r="E13840" s="23"/>
      <c r="L13840" s="23"/>
    </row>
    <row r="13841">
      <c r="B13841" s="19"/>
      <c r="E13841" s="23"/>
      <c r="L13841" s="23"/>
    </row>
    <row r="13842">
      <c r="B13842" s="19"/>
      <c r="E13842" s="23"/>
      <c r="L13842" s="23"/>
    </row>
    <row r="13843">
      <c r="B13843" s="19"/>
      <c r="E13843" s="23"/>
      <c r="L13843" s="23"/>
    </row>
    <row r="13844">
      <c r="B13844" s="19"/>
      <c r="E13844" s="23"/>
      <c r="L13844" s="23"/>
    </row>
    <row r="13845">
      <c r="B13845" s="19"/>
      <c r="E13845" s="23"/>
      <c r="L13845" s="23"/>
    </row>
    <row r="13846">
      <c r="B13846" s="19"/>
      <c r="E13846" s="23"/>
      <c r="L13846" s="23"/>
    </row>
    <row r="13847">
      <c r="B13847" s="19"/>
      <c r="E13847" s="23"/>
      <c r="L13847" s="23"/>
    </row>
    <row r="13848">
      <c r="B13848" s="19"/>
      <c r="E13848" s="23"/>
      <c r="L13848" s="23"/>
    </row>
    <row r="13849">
      <c r="B13849" s="19"/>
      <c r="E13849" s="23"/>
      <c r="L13849" s="23"/>
    </row>
    <row r="13850">
      <c r="B13850" s="19"/>
      <c r="E13850" s="23"/>
      <c r="L13850" s="23"/>
    </row>
    <row r="13851">
      <c r="B13851" s="19"/>
      <c r="E13851" s="23"/>
      <c r="L13851" s="23"/>
    </row>
    <row r="13852">
      <c r="B13852" s="19"/>
      <c r="E13852" s="23"/>
      <c r="L13852" s="23"/>
    </row>
    <row r="13853">
      <c r="B13853" s="19"/>
      <c r="E13853" s="23"/>
      <c r="L13853" s="23"/>
    </row>
    <row r="13854">
      <c r="B13854" s="19"/>
      <c r="E13854" s="23"/>
      <c r="L13854" s="23"/>
    </row>
    <row r="13855">
      <c r="B13855" s="19"/>
      <c r="E13855" s="23"/>
      <c r="L13855" s="23"/>
    </row>
    <row r="13856">
      <c r="B13856" s="19"/>
      <c r="E13856" s="23"/>
      <c r="L13856" s="23"/>
    </row>
    <row r="13857">
      <c r="B13857" s="19"/>
      <c r="E13857" s="23"/>
      <c r="L13857" s="23"/>
    </row>
    <row r="13858">
      <c r="B13858" s="19"/>
      <c r="E13858" s="23"/>
      <c r="L13858" s="23"/>
    </row>
    <row r="13859">
      <c r="B13859" s="19"/>
      <c r="E13859" s="23"/>
      <c r="L13859" s="23"/>
    </row>
    <row r="13860">
      <c r="B13860" s="19"/>
      <c r="E13860" s="23"/>
      <c r="L13860" s="23"/>
    </row>
    <row r="13861">
      <c r="B13861" s="19"/>
      <c r="E13861" s="23"/>
      <c r="L13861" s="23"/>
    </row>
    <row r="13862">
      <c r="B13862" s="19"/>
      <c r="E13862" s="23"/>
      <c r="L13862" s="23"/>
    </row>
    <row r="13863">
      <c r="B13863" s="19"/>
      <c r="E13863" s="23"/>
      <c r="L13863" s="23"/>
    </row>
    <row r="13864">
      <c r="B13864" s="19"/>
      <c r="E13864" s="23"/>
      <c r="L13864" s="23"/>
    </row>
    <row r="13865">
      <c r="B13865" s="19"/>
      <c r="E13865" s="23"/>
      <c r="L13865" s="23"/>
    </row>
    <row r="13866">
      <c r="B13866" s="19"/>
      <c r="E13866" s="23"/>
      <c r="L13866" s="23"/>
    </row>
    <row r="13867">
      <c r="B13867" s="19"/>
      <c r="E13867" s="23"/>
      <c r="L13867" s="23"/>
    </row>
    <row r="13868">
      <c r="B13868" s="19"/>
      <c r="E13868" s="23"/>
      <c r="L13868" s="23"/>
    </row>
    <row r="13869">
      <c r="B13869" s="19"/>
      <c r="E13869" s="23"/>
      <c r="L13869" s="23"/>
    </row>
    <row r="13870">
      <c r="B13870" s="19"/>
      <c r="E13870" s="23"/>
      <c r="L13870" s="23"/>
    </row>
    <row r="13871">
      <c r="B13871" s="19"/>
      <c r="E13871" s="23"/>
      <c r="L13871" s="23"/>
    </row>
    <row r="13872">
      <c r="B13872" s="19"/>
      <c r="E13872" s="23"/>
      <c r="L13872" s="23"/>
    </row>
    <row r="13873">
      <c r="B13873" s="19"/>
      <c r="E13873" s="23"/>
      <c r="L13873" s="23"/>
    </row>
    <row r="13874">
      <c r="B13874" s="19"/>
      <c r="E13874" s="23"/>
      <c r="L13874" s="23"/>
    </row>
    <row r="13875">
      <c r="B13875" s="19"/>
      <c r="E13875" s="23"/>
      <c r="L13875" s="23"/>
    </row>
    <row r="13876">
      <c r="B13876" s="19"/>
      <c r="E13876" s="23"/>
      <c r="L13876" s="23"/>
    </row>
    <row r="13877">
      <c r="B13877" s="19"/>
      <c r="E13877" s="23"/>
      <c r="L13877" s="23"/>
    </row>
    <row r="13878">
      <c r="B13878" s="19"/>
      <c r="E13878" s="23"/>
      <c r="L13878" s="23"/>
    </row>
    <row r="13879">
      <c r="B13879" s="19"/>
      <c r="E13879" s="23"/>
      <c r="L13879" s="23"/>
    </row>
    <row r="13880">
      <c r="B13880" s="19"/>
      <c r="E13880" s="23"/>
      <c r="L13880" s="23"/>
    </row>
    <row r="13881">
      <c r="B13881" s="19"/>
      <c r="E13881" s="23"/>
      <c r="L13881" s="23"/>
    </row>
    <row r="13882">
      <c r="B13882" s="19"/>
      <c r="E13882" s="23"/>
      <c r="L13882" s="23"/>
    </row>
    <row r="13883">
      <c r="B13883" s="19"/>
      <c r="E13883" s="23"/>
      <c r="L13883" s="23"/>
    </row>
    <row r="13884">
      <c r="B13884" s="19"/>
      <c r="E13884" s="23"/>
      <c r="L13884" s="23"/>
    </row>
    <row r="13885">
      <c r="B13885" s="19"/>
      <c r="E13885" s="23"/>
      <c r="L13885" s="23"/>
    </row>
    <row r="13886">
      <c r="B13886" s="19"/>
      <c r="E13886" s="23"/>
      <c r="L13886" s="23"/>
    </row>
    <row r="13887">
      <c r="B13887" s="19"/>
      <c r="E13887" s="23"/>
      <c r="L13887" s="23"/>
    </row>
    <row r="13888">
      <c r="B13888" s="19"/>
      <c r="E13888" s="23"/>
      <c r="L13888" s="23"/>
    </row>
    <row r="13889">
      <c r="B13889" s="19"/>
      <c r="E13889" s="23"/>
      <c r="L13889" s="23"/>
    </row>
    <row r="13890">
      <c r="B13890" s="19"/>
      <c r="E13890" s="23"/>
      <c r="L13890" s="23"/>
    </row>
    <row r="13891">
      <c r="B13891" s="19"/>
      <c r="E13891" s="23"/>
      <c r="L13891" s="23"/>
    </row>
    <row r="13892">
      <c r="B13892" s="19"/>
      <c r="E13892" s="23"/>
      <c r="L13892" s="23"/>
    </row>
    <row r="13893">
      <c r="B13893" s="19"/>
      <c r="E13893" s="23"/>
      <c r="L13893" s="23"/>
    </row>
    <row r="13894">
      <c r="B13894" s="19"/>
      <c r="E13894" s="23"/>
      <c r="L13894" s="23"/>
    </row>
    <row r="13895">
      <c r="B13895" s="19"/>
      <c r="E13895" s="23"/>
      <c r="L13895" s="23"/>
    </row>
    <row r="13896">
      <c r="B13896" s="19"/>
      <c r="E13896" s="23"/>
      <c r="L13896" s="23"/>
    </row>
    <row r="13897">
      <c r="B13897" s="19"/>
      <c r="E13897" s="23"/>
      <c r="L13897" s="23"/>
    </row>
    <row r="13898">
      <c r="B13898" s="19"/>
      <c r="E13898" s="23"/>
      <c r="L13898" s="23"/>
    </row>
    <row r="13899">
      <c r="B13899" s="19"/>
      <c r="E13899" s="23"/>
      <c r="L13899" s="23"/>
    </row>
    <row r="13900">
      <c r="B13900" s="19"/>
      <c r="E13900" s="23"/>
      <c r="L13900" s="23"/>
    </row>
    <row r="13901">
      <c r="B13901" s="19"/>
      <c r="E13901" s="23"/>
      <c r="L13901" s="23"/>
    </row>
    <row r="13902">
      <c r="B13902" s="19"/>
      <c r="E13902" s="23"/>
      <c r="L13902" s="23"/>
    </row>
    <row r="13903">
      <c r="B13903" s="19"/>
      <c r="E13903" s="23"/>
      <c r="L13903" s="23"/>
    </row>
    <row r="13904">
      <c r="B13904" s="19"/>
      <c r="E13904" s="23"/>
      <c r="L13904" s="23"/>
    </row>
    <row r="13905">
      <c r="B13905" s="19"/>
      <c r="E13905" s="23"/>
      <c r="L13905" s="23"/>
    </row>
    <row r="13906">
      <c r="B13906" s="19"/>
      <c r="E13906" s="23"/>
      <c r="L13906" s="23"/>
    </row>
    <row r="13907">
      <c r="B13907" s="19"/>
      <c r="E13907" s="23"/>
      <c r="L13907" s="23"/>
    </row>
    <row r="13908">
      <c r="B13908" s="19"/>
      <c r="E13908" s="23"/>
      <c r="L13908" s="23"/>
    </row>
    <row r="13909">
      <c r="B13909" s="19"/>
      <c r="E13909" s="23"/>
      <c r="L13909" s="23"/>
    </row>
    <row r="13910">
      <c r="B13910" s="19"/>
      <c r="E13910" s="23"/>
      <c r="L13910" s="23"/>
    </row>
    <row r="13911">
      <c r="B13911" s="19"/>
      <c r="E13911" s="23"/>
      <c r="L13911" s="23"/>
    </row>
    <row r="13912">
      <c r="B13912" s="19"/>
      <c r="E13912" s="23"/>
      <c r="L13912" s="23"/>
    </row>
    <row r="13913">
      <c r="B13913" s="19"/>
      <c r="E13913" s="23"/>
      <c r="L13913" s="23"/>
    </row>
    <row r="13914">
      <c r="B13914" s="19"/>
      <c r="E13914" s="23"/>
      <c r="L13914" s="23"/>
    </row>
    <row r="13915">
      <c r="B13915" s="19"/>
      <c r="E13915" s="23"/>
      <c r="L13915" s="23"/>
    </row>
    <row r="13916">
      <c r="B13916" s="19"/>
      <c r="E13916" s="23"/>
      <c r="L13916" s="23"/>
    </row>
    <row r="13917">
      <c r="B13917" s="19"/>
      <c r="E13917" s="23"/>
      <c r="L13917" s="23"/>
    </row>
    <row r="13918">
      <c r="B13918" s="19"/>
      <c r="E13918" s="23"/>
      <c r="L13918" s="23"/>
    </row>
    <row r="13919">
      <c r="B13919" s="19"/>
      <c r="E13919" s="23"/>
      <c r="L13919" s="23"/>
    </row>
    <row r="13920">
      <c r="B13920" s="19"/>
      <c r="E13920" s="23"/>
      <c r="L13920" s="23"/>
    </row>
    <row r="13921">
      <c r="B13921" s="19"/>
      <c r="E13921" s="23"/>
      <c r="L13921" s="23"/>
    </row>
    <row r="13922">
      <c r="B13922" s="19"/>
      <c r="E13922" s="23"/>
      <c r="L13922" s="23"/>
    </row>
    <row r="13923">
      <c r="B13923" s="19"/>
      <c r="E13923" s="23"/>
      <c r="L13923" s="23"/>
    </row>
    <row r="13924">
      <c r="B13924" s="19"/>
      <c r="E13924" s="23"/>
      <c r="L13924" s="23"/>
    </row>
    <row r="13925">
      <c r="B13925" s="19"/>
      <c r="E13925" s="23"/>
      <c r="L13925" s="23"/>
    </row>
    <row r="13926">
      <c r="B13926" s="19"/>
      <c r="E13926" s="23"/>
      <c r="L13926" s="23"/>
    </row>
    <row r="13927">
      <c r="B13927" s="19"/>
      <c r="E13927" s="23"/>
      <c r="L13927" s="23"/>
    </row>
    <row r="13928">
      <c r="B13928" s="19"/>
      <c r="E13928" s="23"/>
      <c r="L13928" s="23"/>
    </row>
    <row r="13929">
      <c r="B13929" s="19"/>
      <c r="E13929" s="23"/>
      <c r="L13929" s="23"/>
    </row>
    <row r="13930">
      <c r="B13930" s="19"/>
      <c r="E13930" s="23"/>
      <c r="L13930" s="23"/>
    </row>
    <row r="13931">
      <c r="B13931" s="19"/>
      <c r="E13931" s="23"/>
      <c r="L13931" s="23"/>
    </row>
    <row r="13932">
      <c r="B13932" s="19"/>
      <c r="E13932" s="23"/>
      <c r="L13932" s="23"/>
    </row>
    <row r="13933">
      <c r="B13933" s="19"/>
      <c r="E13933" s="23"/>
      <c r="L13933" s="23"/>
    </row>
    <row r="13934">
      <c r="B13934" s="19"/>
      <c r="E13934" s="23"/>
      <c r="L13934" s="23"/>
    </row>
    <row r="13935">
      <c r="B13935" s="19"/>
      <c r="E13935" s="23"/>
      <c r="L13935" s="23"/>
    </row>
    <row r="13936">
      <c r="B13936" s="19"/>
      <c r="E13936" s="23"/>
      <c r="L13936" s="23"/>
    </row>
    <row r="13937">
      <c r="B13937" s="19"/>
      <c r="E13937" s="23"/>
      <c r="L13937" s="23"/>
    </row>
    <row r="13938">
      <c r="B13938" s="19"/>
      <c r="E13938" s="23"/>
      <c r="L13938" s="23"/>
    </row>
    <row r="13939">
      <c r="B13939" s="19"/>
      <c r="E13939" s="23"/>
      <c r="L13939" s="23"/>
    </row>
    <row r="13940">
      <c r="B13940" s="19"/>
      <c r="E13940" s="23"/>
      <c r="L13940" s="23"/>
    </row>
    <row r="13941">
      <c r="B13941" s="19"/>
      <c r="E13941" s="23"/>
      <c r="L13941" s="23"/>
    </row>
    <row r="13942">
      <c r="B13942" s="19"/>
      <c r="E13942" s="23"/>
      <c r="L13942" s="23"/>
    </row>
    <row r="13943">
      <c r="B13943" s="19"/>
      <c r="E13943" s="23"/>
      <c r="L13943" s="23"/>
    </row>
    <row r="13944">
      <c r="B13944" s="19"/>
      <c r="E13944" s="23"/>
      <c r="L13944" s="23"/>
    </row>
    <row r="13945">
      <c r="B13945" s="19"/>
      <c r="E13945" s="23"/>
      <c r="L13945" s="23"/>
    </row>
    <row r="13946">
      <c r="B13946" s="19"/>
      <c r="E13946" s="23"/>
      <c r="L13946" s="23"/>
    </row>
    <row r="13947">
      <c r="B13947" s="19"/>
      <c r="E13947" s="23"/>
      <c r="L13947" s="23"/>
    </row>
    <row r="13948">
      <c r="B13948" s="19"/>
      <c r="E13948" s="23"/>
      <c r="L13948" s="23"/>
    </row>
    <row r="13949">
      <c r="B13949" s="19"/>
      <c r="E13949" s="23"/>
      <c r="L13949" s="23"/>
    </row>
    <row r="13950">
      <c r="B13950" s="19"/>
      <c r="E13950" s="23"/>
      <c r="L13950" s="23"/>
    </row>
    <row r="13951">
      <c r="B13951" s="19"/>
      <c r="E13951" s="23"/>
      <c r="L13951" s="23"/>
    </row>
    <row r="13952">
      <c r="B13952" s="19"/>
      <c r="E13952" s="23"/>
      <c r="L13952" s="23"/>
    </row>
    <row r="13953">
      <c r="B13953" s="19"/>
      <c r="E13953" s="23"/>
      <c r="L13953" s="23"/>
    </row>
    <row r="13954">
      <c r="B13954" s="19"/>
      <c r="E13954" s="23"/>
      <c r="L13954" s="23"/>
    </row>
    <row r="13955">
      <c r="B13955" s="19"/>
      <c r="E13955" s="23"/>
      <c r="L13955" s="23"/>
    </row>
    <row r="13956">
      <c r="B13956" s="19"/>
      <c r="E13956" s="23"/>
      <c r="L13956" s="23"/>
    </row>
    <row r="13957">
      <c r="B13957" s="19"/>
      <c r="E13957" s="23"/>
      <c r="L13957" s="23"/>
    </row>
    <row r="13958">
      <c r="B13958" s="19"/>
      <c r="E13958" s="23"/>
      <c r="L13958" s="23"/>
    </row>
    <row r="13959">
      <c r="B13959" s="19"/>
      <c r="E13959" s="23"/>
      <c r="L13959" s="23"/>
    </row>
    <row r="13960">
      <c r="B13960" s="19"/>
      <c r="E13960" s="23"/>
      <c r="L13960" s="23"/>
    </row>
    <row r="13961">
      <c r="B13961" s="19"/>
      <c r="E13961" s="23"/>
      <c r="L13961" s="23"/>
    </row>
    <row r="13962">
      <c r="B13962" s="19"/>
      <c r="E13962" s="23"/>
      <c r="L13962" s="23"/>
    </row>
    <row r="13963">
      <c r="B13963" s="19"/>
      <c r="E13963" s="23"/>
      <c r="L13963" s="23"/>
    </row>
    <row r="13964">
      <c r="B13964" s="19"/>
      <c r="E13964" s="23"/>
      <c r="L13964" s="23"/>
    </row>
    <row r="13965">
      <c r="B13965" s="19"/>
      <c r="E13965" s="23"/>
      <c r="L13965" s="23"/>
    </row>
    <row r="13966">
      <c r="B13966" s="19"/>
      <c r="E13966" s="23"/>
      <c r="L13966" s="23"/>
    </row>
    <row r="13967">
      <c r="B13967" s="19"/>
      <c r="E13967" s="23"/>
      <c r="L13967" s="23"/>
    </row>
    <row r="13968">
      <c r="B13968" s="19"/>
      <c r="E13968" s="23"/>
      <c r="L13968" s="23"/>
    </row>
    <row r="13969">
      <c r="B13969" s="19"/>
      <c r="E13969" s="23"/>
      <c r="L13969" s="23"/>
    </row>
    <row r="13970">
      <c r="B13970" s="19"/>
      <c r="E13970" s="23"/>
      <c r="L13970" s="23"/>
    </row>
    <row r="13971">
      <c r="B13971" s="19"/>
      <c r="E13971" s="23"/>
      <c r="L13971" s="23"/>
    </row>
    <row r="13972">
      <c r="B13972" s="19"/>
      <c r="E13972" s="23"/>
      <c r="L13972" s="23"/>
    </row>
    <row r="13973">
      <c r="B13973" s="19"/>
      <c r="E13973" s="23"/>
      <c r="L13973" s="23"/>
    </row>
    <row r="13974">
      <c r="B13974" s="19"/>
      <c r="E13974" s="23"/>
      <c r="L13974" s="23"/>
    </row>
    <row r="13975">
      <c r="B13975" s="19"/>
      <c r="E13975" s="23"/>
      <c r="L13975" s="23"/>
    </row>
    <row r="13976">
      <c r="B13976" s="19"/>
      <c r="E13976" s="23"/>
      <c r="L13976" s="23"/>
    </row>
    <row r="13977">
      <c r="B13977" s="19"/>
      <c r="E13977" s="23"/>
      <c r="L13977" s="23"/>
    </row>
    <row r="13978">
      <c r="B13978" s="19"/>
      <c r="E13978" s="23"/>
      <c r="L13978" s="23"/>
    </row>
    <row r="13979">
      <c r="B13979" s="19"/>
      <c r="E13979" s="23"/>
      <c r="L13979" s="23"/>
    </row>
    <row r="13980">
      <c r="B13980" s="19"/>
      <c r="E13980" s="23"/>
      <c r="L13980" s="23"/>
    </row>
    <row r="13981">
      <c r="B13981" s="19"/>
      <c r="E13981" s="23"/>
      <c r="L13981" s="23"/>
    </row>
    <row r="13982">
      <c r="B13982" s="19"/>
      <c r="E13982" s="23"/>
      <c r="L13982" s="23"/>
    </row>
    <row r="13983">
      <c r="B13983" s="19"/>
      <c r="E13983" s="23"/>
      <c r="L13983" s="23"/>
    </row>
    <row r="13984">
      <c r="B13984" s="19"/>
      <c r="E13984" s="23"/>
      <c r="L13984" s="23"/>
    </row>
    <row r="13985">
      <c r="B13985" s="19"/>
      <c r="E13985" s="23"/>
      <c r="L13985" s="23"/>
    </row>
    <row r="13986">
      <c r="B13986" s="19"/>
      <c r="E13986" s="23"/>
      <c r="L13986" s="23"/>
    </row>
    <row r="13987">
      <c r="B13987" s="19"/>
      <c r="E13987" s="23"/>
      <c r="L13987" s="23"/>
    </row>
    <row r="13988">
      <c r="B13988" s="19"/>
      <c r="E13988" s="23"/>
      <c r="L13988" s="23"/>
    </row>
    <row r="13989">
      <c r="B13989" s="19"/>
      <c r="E13989" s="23"/>
      <c r="L13989" s="23"/>
    </row>
    <row r="13990">
      <c r="B13990" s="19"/>
      <c r="E13990" s="23"/>
      <c r="L13990" s="23"/>
    </row>
    <row r="13991">
      <c r="B13991" s="19"/>
      <c r="E13991" s="23"/>
      <c r="L13991" s="23"/>
    </row>
    <row r="13992">
      <c r="B13992" s="19"/>
      <c r="E13992" s="23"/>
      <c r="L13992" s="23"/>
    </row>
    <row r="13993">
      <c r="B13993" s="19"/>
      <c r="E13993" s="23"/>
      <c r="L13993" s="23"/>
    </row>
    <row r="13994">
      <c r="B13994" s="19"/>
      <c r="E13994" s="23"/>
      <c r="L13994" s="23"/>
    </row>
    <row r="13995">
      <c r="B13995" s="19"/>
      <c r="E13995" s="23"/>
      <c r="L13995" s="23"/>
    </row>
    <row r="13996">
      <c r="B13996" s="19"/>
      <c r="E13996" s="23"/>
      <c r="L13996" s="23"/>
    </row>
    <row r="13997">
      <c r="B13997" s="19"/>
      <c r="E13997" s="23"/>
      <c r="L13997" s="23"/>
    </row>
    <row r="13998">
      <c r="B13998" s="19"/>
      <c r="E13998" s="23"/>
      <c r="L13998" s="23"/>
    </row>
    <row r="13999">
      <c r="B13999" s="19"/>
      <c r="E13999" s="23"/>
      <c r="L13999" s="23"/>
    </row>
    <row r="14000">
      <c r="B14000" s="19"/>
      <c r="E14000" s="23"/>
      <c r="L14000" s="23"/>
    </row>
    <row r="14001">
      <c r="B14001" s="19"/>
      <c r="E14001" s="23"/>
      <c r="L14001" s="23"/>
    </row>
    <row r="14002">
      <c r="B14002" s="19"/>
      <c r="E14002" s="23"/>
      <c r="L14002" s="23"/>
    </row>
    <row r="14003">
      <c r="B14003" s="19"/>
      <c r="E14003" s="23"/>
      <c r="L14003" s="23"/>
    </row>
    <row r="14004">
      <c r="B14004" s="19"/>
      <c r="E14004" s="23"/>
      <c r="L14004" s="23"/>
    </row>
    <row r="14005">
      <c r="B14005" s="19"/>
      <c r="E14005" s="23"/>
      <c r="L14005" s="23"/>
    </row>
    <row r="14006">
      <c r="B14006" s="19"/>
      <c r="E14006" s="23"/>
      <c r="L14006" s="23"/>
    </row>
    <row r="14007">
      <c r="B14007" s="19"/>
      <c r="E14007" s="23"/>
      <c r="L14007" s="23"/>
    </row>
    <row r="14008">
      <c r="B14008" s="19"/>
      <c r="E14008" s="23"/>
      <c r="L14008" s="23"/>
    </row>
    <row r="14009">
      <c r="B14009" s="19"/>
      <c r="E14009" s="23"/>
      <c r="L14009" s="23"/>
    </row>
    <row r="14010">
      <c r="B14010" s="19"/>
      <c r="E14010" s="23"/>
      <c r="L14010" s="23"/>
    </row>
    <row r="14011">
      <c r="B14011" s="19"/>
      <c r="E14011" s="23"/>
      <c r="L14011" s="23"/>
    </row>
    <row r="14012">
      <c r="B14012" s="19"/>
      <c r="E14012" s="23"/>
      <c r="L14012" s="23"/>
    </row>
    <row r="14013">
      <c r="B14013" s="19"/>
      <c r="E14013" s="23"/>
      <c r="L14013" s="23"/>
    </row>
    <row r="14014">
      <c r="B14014" s="19"/>
      <c r="E14014" s="23"/>
      <c r="L14014" s="23"/>
    </row>
    <row r="14015">
      <c r="B14015" s="19"/>
      <c r="E14015" s="23"/>
      <c r="L14015" s="23"/>
    </row>
    <row r="14016">
      <c r="B14016" s="19"/>
      <c r="E14016" s="23"/>
      <c r="L14016" s="23"/>
    </row>
    <row r="14017">
      <c r="B14017" s="19"/>
      <c r="E14017" s="23"/>
      <c r="L14017" s="23"/>
    </row>
    <row r="14018">
      <c r="B14018" s="19"/>
      <c r="E14018" s="23"/>
      <c r="L14018" s="23"/>
    </row>
    <row r="14019">
      <c r="B14019" s="19"/>
      <c r="E14019" s="23"/>
      <c r="L14019" s="23"/>
    </row>
    <row r="14020">
      <c r="B14020" s="19"/>
      <c r="E14020" s="23"/>
      <c r="L14020" s="23"/>
    </row>
    <row r="14021">
      <c r="B14021" s="19"/>
      <c r="E14021" s="23"/>
      <c r="L14021" s="23"/>
    </row>
    <row r="14022">
      <c r="B14022" s="19"/>
      <c r="E14022" s="23"/>
      <c r="L14022" s="23"/>
    </row>
    <row r="14023">
      <c r="B14023" s="19"/>
      <c r="E14023" s="23"/>
      <c r="L14023" s="23"/>
    </row>
    <row r="14024">
      <c r="B14024" s="19"/>
      <c r="E14024" s="23"/>
      <c r="L14024" s="23"/>
    </row>
    <row r="14025">
      <c r="B14025" s="19"/>
      <c r="E14025" s="23"/>
      <c r="L14025" s="23"/>
    </row>
    <row r="14026">
      <c r="B14026" s="19"/>
      <c r="E14026" s="23"/>
      <c r="L14026" s="23"/>
    </row>
    <row r="14027">
      <c r="B14027" s="19"/>
      <c r="E14027" s="23"/>
      <c r="L14027" s="23"/>
    </row>
    <row r="14028">
      <c r="B14028" s="19"/>
      <c r="E14028" s="23"/>
      <c r="L14028" s="23"/>
    </row>
    <row r="14029">
      <c r="B14029" s="19"/>
      <c r="E14029" s="23"/>
      <c r="L14029" s="23"/>
    </row>
    <row r="14030">
      <c r="B14030" s="19"/>
      <c r="E14030" s="23"/>
      <c r="L14030" s="23"/>
    </row>
    <row r="14031">
      <c r="B14031" s="19"/>
      <c r="E14031" s="23"/>
      <c r="L14031" s="23"/>
    </row>
    <row r="14032">
      <c r="B14032" s="19"/>
      <c r="E14032" s="23"/>
      <c r="L14032" s="23"/>
    </row>
    <row r="14033">
      <c r="B14033" s="19"/>
      <c r="E14033" s="23"/>
      <c r="L14033" s="23"/>
    </row>
    <row r="14034">
      <c r="B14034" s="19"/>
      <c r="E14034" s="23"/>
      <c r="L14034" s="23"/>
    </row>
    <row r="14035">
      <c r="B14035" s="19"/>
      <c r="E14035" s="23"/>
      <c r="L14035" s="23"/>
    </row>
    <row r="14036">
      <c r="B14036" s="19"/>
      <c r="E14036" s="23"/>
      <c r="L14036" s="23"/>
    </row>
    <row r="14037">
      <c r="B14037" s="19"/>
      <c r="E14037" s="23"/>
      <c r="L14037" s="23"/>
    </row>
    <row r="14038">
      <c r="B14038" s="19"/>
      <c r="E14038" s="23"/>
      <c r="L14038" s="23"/>
    </row>
    <row r="14039">
      <c r="B14039" s="19"/>
      <c r="E14039" s="23"/>
      <c r="L14039" s="23"/>
    </row>
    <row r="14040">
      <c r="B14040" s="19"/>
      <c r="E14040" s="23"/>
      <c r="L14040" s="23"/>
    </row>
    <row r="14041">
      <c r="B14041" s="19"/>
      <c r="E14041" s="23"/>
      <c r="L14041" s="23"/>
    </row>
    <row r="14042">
      <c r="B14042" s="19"/>
      <c r="E14042" s="23"/>
      <c r="L14042" s="23"/>
    </row>
    <row r="14043">
      <c r="B14043" s="19"/>
      <c r="E14043" s="23"/>
      <c r="L14043" s="23"/>
    </row>
    <row r="14044">
      <c r="B14044" s="19"/>
      <c r="E14044" s="23"/>
      <c r="L14044" s="23"/>
    </row>
    <row r="14045">
      <c r="B14045" s="19"/>
      <c r="E14045" s="23"/>
      <c r="L14045" s="23"/>
    </row>
    <row r="14046">
      <c r="B14046" s="19"/>
      <c r="E14046" s="23"/>
      <c r="L14046" s="23"/>
    </row>
    <row r="14047">
      <c r="B14047" s="19"/>
      <c r="E14047" s="23"/>
      <c r="L14047" s="23"/>
    </row>
    <row r="14048">
      <c r="B14048" s="19"/>
      <c r="E14048" s="23"/>
      <c r="L14048" s="23"/>
    </row>
    <row r="14049">
      <c r="B14049" s="19"/>
      <c r="E14049" s="23"/>
      <c r="L14049" s="23"/>
    </row>
    <row r="14050">
      <c r="B14050" s="19"/>
      <c r="E14050" s="23"/>
      <c r="L14050" s="23"/>
    </row>
    <row r="14051">
      <c r="B14051" s="19"/>
      <c r="E14051" s="23"/>
      <c r="L14051" s="23"/>
    </row>
    <row r="14052">
      <c r="B14052" s="19"/>
      <c r="E14052" s="23"/>
      <c r="L14052" s="23"/>
    </row>
    <row r="14053">
      <c r="B14053" s="19"/>
      <c r="E14053" s="23"/>
      <c r="L14053" s="23"/>
    </row>
    <row r="14054">
      <c r="B14054" s="19"/>
      <c r="E14054" s="23"/>
      <c r="L14054" s="23"/>
    </row>
    <row r="14055">
      <c r="B14055" s="19"/>
      <c r="E14055" s="23"/>
      <c r="L14055" s="23"/>
    </row>
    <row r="14056">
      <c r="B14056" s="19"/>
      <c r="E14056" s="23"/>
      <c r="L14056" s="23"/>
    </row>
    <row r="14057">
      <c r="B14057" s="19"/>
      <c r="E14057" s="23"/>
      <c r="L14057" s="23"/>
    </row>
    <row r="14058">
      <c r="B14058" s="19"/>
      <c r="E14058" s="23"/>
      <c r="L14058" s="23"/>
    </row>
    <row r="14059">
      <c r="B14059" s="19"/>
      <c r="E14059" s="23"/>
      <c r="L14059" s="23"/>
    </row>
    <row r="14060">
      <c r="B14060" s="19"/>
      <c r="E14060" s="23"/>
      <c r="L14060" s="23"/>
    </row>
    <row r="14061">
      <c r="B14061" s="19"/>
      <c r="E14061" s="23"/>
      <c r="L14061" s="23"/>
    </row>
    <row r="14062">
      <c r="B14062" s="19"/>
      <c r="E14062" s="23"/>
      <c r="L14062" s="23"/>
    </row>
    <row r="14063">
      <c r="B14063" s="19"/>
      <c r="E14063" s="23"/>
      <c r="L14063" s="23"/>
    </row>
    <row r="14064">
      <c r="B14064" s="19"/>
      <c r="E14064" s="23"/>
      <c r="L14064" s="23"/>
    </row>
    <row r="14065">
      <c r="B14065" s="19"/>
      <c r="E14065" s="23"/>
      <c r="L14065" s="23"/>
    </row>
    <row r="14066">
      <c r="B14066" s="19"/>
      <c r="E14066" s="23"/>
      <c r="L14066" s="23"/>
    </row>
    <row r="14067">
      <c r="B14067" s="19"/>
      <c r="E14067" s="23"/>
      <c r="L14067" s="23"/>
    </row>
    <row r="14068">
      <c r="B14068" s="19"/>
      <c r="E14068" s="23"/>
      <c r="L14068" s="23"/>
    </row>
    <row r="14069">
      <c r="B14069" s="19"/>
      <c r="E14069" s="23"/>
      <c r="L14069" s="23"/>
    </row>
    <row r="14070">
      <c r="B14070" s="19"/>
      <c r="E14070" s="23"/>
      <c r="L14070" s="23"/>
    </row>
    <row r="14071">
      <c r="B14071" s="19"/>
      <c r="E14071" s="23"/>
      <c r="L14071" s="23"/>
    </row>
    <row r="14072">
      <c r="B14072" s="19"/>
      <c r="E14072" s="23"/>
      <c r="L14072" s="23"/>
    </row>
    <row r="14073">
      <c r="B14073" s="19"/>
      <c r="E14073" s="23"/>
      <c r="L14073" s="23"/>
    </row>
    <row r="14074">
      <c r="B14074" s="19"/>
      <c r="E14074" s="23"/>
      <c r="L14074" s="23"/>
    </row>
    <row r="14075">
      <c r="B14075" s="19"/>
      <c r="E14075" s="23"/>
      <c r="L14075" s="23"/>
    </row>
    <row r="14076">
      <c r="B14076" s="19"/>
      <c r="E14076" s="23"/>
      <c r="L14076" s="23"/>
    </row>
    <row r="14077">
      <c r="B14077" s="19"/>
      <c r="E14077" s="23"/>
      <c r="L14077" s="23"/>
    </row>
    <row r="14078">
      <c r="B14078" s="19"/>
      <c r="E14078" s="23"/>
      <c r="L14078" s="23"/>
    </row>
    <row r="14079">
      <c r="B14079" s="19"/>
      <c r="E14079" s="23"/>
      <c r="L14079" s="23"/>
    </row>
    <row r="14080">
      <c r="B14080" s="19"/>
      <c r="E14080" s="23"/>
      <c r="L14080" s="23"/>
    </row>
    <row r="14081">
      <c r="B14081" s="19"/>
      <c r="E14081" s="23"/>
      <c r="L14081" s="23"/>
    </row>
    <row r="14082">
      <c r="B14082" s="19"/>
      <c r="E14082" s="23"/>
      <c r="L14082" s="23"/>
    </row>
    <row r="14083">
      <c r="B14083" s="19"/>
      <c r="E14083" s="23"/>
      <c r="L14083" s="23"/>
    </row>
    <row r="14084">
      <c r="B14084" s="19"/>
      <c r="E14084" s="23"/>
      <c r="L14084" s="23"/>
    </row>
    <row r="14085">
      <c r="B14085" s="19"/>
      <c r="E14085" s="23"/>
      <c r="L14085" s="23"/>
    </row>
    <row r="14086">
      <c r="B14086" s="19"/>
      <c r="E14086" s="23"/>
      <c r="L14086" s="23"/>
    </row>
    <row r="14087">
      <c r="B14087" s="19"/>
      <c r="E14087" s="23"/>
      <c r="L14087" s="23"/>
    </row>
    <row r="14088">
      <c r="B14088" s="19"/>
      <c r="E14088" s="23"/>
      <c r="L14088" s="23"/>
    </row>
    <row r="14089">
      <c r="B14089" s="19"/>
      <c r="E14089" s="23"/>
      <c r="L14089" s="23"/>
    </row>
    <row r="14090">
      <c r="B14090" s="19"/>
      <c r="E14090" s="23"/>
      <c r="L14090" s="23"/>
    </row>
    <row r="14091">
      <c r="B14091" s="19"/>
      <c r="E14091" s="23"/>
      <c r="L14091" s="23"/>
    </row>
    <row r="14092">
      <c r="B14092" s="19"/>
      <c r="E14092" s="23"/>
      <c r="L14092" s="23"/>
    </row>
    <row r="14093">
      <c r="B14093" s="19"/>
      <c r="E14093" s="23"/>
      <c r="L14093" s="23"/>
    </row>
    <row r="14094">
      <c r="B14094" s="19"/>
      <c r="E14094" s="23"/>
      <c r="L14094" s="23"/>
    </row>
    <row r="14095">
      <c r="B14095" s="19"/>
      <c r="E14095" s="23"/>
      <c r="L14095" s="23"/>
    </row>
    <row r="14096">
      <c r="B14096" s="19"/>
      <c r="E14096" s="23"/>
      <c r="L14096" s="23"/>
    </row>
    <row r="14097">
      <c r="B14097" s="19"/>
      <c r="E14097" s="23"/>
      <c r="L14097" s="23"/>
    </row>
    <row r="14098">
      <c r="B14098" s="19"/>
      <c r="E14098" s="23"/>
      <c r="L14098" s="23"/>
    </row>
    <row r="14099">
      <c r="B14099" s="19"/>
      <c r="E14099" s="23"/>
      <c r="L14099" s="23"/>
    </row>
    <row r="14100">
      <c r="B14100" s="19"/>
      <c r="E14100" s="23"/>
      <c r="L14100" s="23"/>
    </row>
    <row r="14101">
      <c r="B14101" s="19"/>
      <c r="E14101" s="23"/>
      <c r="L14101" s="23"/>
    </row>
    <row r="14102">
      <c r="B14102" s="19"/>
      <c r="E14102" s="23"/>
      <c r="L14102" s="23"/>
    </row>
    <row r="14103">
      <c r="B14103" s="19"/>
      <c r="E14103" s="23"/>
      <c r="L14103" s="23"/>
    </row>
    <row r="14104">
      <c r="B14104" s="19"/>
      <c r="E14104" s="23"/>
      <c r="L14104" s="23"/>
    </row>
    <row r="14105">
      <c r="B14105" s="19"/>
      <c r="E14105" s="23"/>
      <c r="L14105" s="23"/>
    </row>
    <row r="14106">
      <c r="B14106" s="19"/>
      <c r="E14106" s="23"/>
      <c r="L14106" s="23"/>
    </row>
    <row r="14107">
      <c r="B14107" s="19"/>
      <c r="E14107" s="23"/>
      <c r="L14107" s="23"/>
    </row>
    <row r="14108">
      <c r="B14108" s="19"/>
      <c r="E14108" s="23"/>
      <c r="L14108" s="23"/>
    </row>
    <row r="14109">
      <c r="B14109" s="19"/>
      <c r="E14109" s="23"/>
      <c r="L14109" s="23"/>
    </row>
    <row r="14110">
      <c r="B14110" s="19"/>
      <c r="E14110" s="23"/>
      <c r="L14110" s="23"/>
    </row>
    <row r="14111">
      <c r="B14111" s="19"/>
      <c r="E14111" s="23"/>
      <c r="L14111" s="23"/>
    </row>
    <row r="14112">
      <c r="B14112" s="19"/>
      <c r="E14112" s="23"/>
      <c r="L14112" s="23"/>
    </row>
    <row r="14113">
      <c r="B14113" s="19"/>
      <c r="E14113" s="23"/>
      <c r="L14113" s="23"/>
    </row>
    <row r="14114">
      <c r="B14114" s="19"/>
      <c r="E14114" s="23"/>
      <c r="L14114" s="23"/>
    </row>
    <row r="14115">
      <c r="B14115" s="19"/>
      <c r="E14115" s="23"/>
      <c r="L14115" s="23"/>
    </row>
    <row r="14116">
      <c r="B14116" s="19"/>
      <c r="E14116" s="23"/>
      <c r="L14116" s="23"/>
    </row>
    <row r="14117">
      <c r="B14117" s="19"/>
      <c r="E14117" s="23"/>
      <c r="L14117" s="23"/>
    </row>
    <row r="14118">
      <c r="B14118" s="19"/>
      <c r="E14118" s="23"/>
      <c r="L14118" s="23"/>
    </row>
    <row r="14119">
      <c r="B14119" s="19"/>
      <c r="E14119" s="23"/>
      <c r="L14119" s="23"/>
    </row>
    <row r="14120">
      <c r="B14120" s="19"/>
      <c r="E14120" s="23"/>
      <c r="L14120" s="23"/>
    </row>
    <row r="14121">
      <c r="B14121" s="19"/>
      <c r="E14121" s="23"/>
      <c r="L14121" s="23"/>
    </row>
    <row r="14122">
      <c r="B14122" s="19"/>
      <c r="E14122" s="23"/>
      <c r="L14122" s="23"/>
    </row>
    <row r="14123">
      <c r="B14123" s="19"/>
      <c r="E14123" s="23"/>
      <c r="L14123" s="23"/>
    </row>
    <row r="14124">
      <c r="B14124" s="19"/>
      <c r="E14124" s="23"/>
      <c r="L14124" s="23"/>
    </row>
    <row r="14125">
      <c r="B14125" s="19"/>
      <c r="E14125" s="23"/>
      <c r="L14125" s="23"/>
    </row>
    <row r="14126">
      <c r="B14126" s="19"/>
      <c r="E14126" s="23"/>
      <c r="L14126" s="23"/>
    </row>
    <row r="14127">
      <c r="B14127" s="19"/>
      <c r="E14127" s="23"/>
      <c r="L14127" s="23"/>
    </row>
    <row r="14128">
      <c r="B14128" s="19"/>
      <c r="E14128" s="23"/>
      <c r="L14128" s="23"/>
    </row>
    <row r="14129">
      <c r="B14129" s="19"/>
      <c r="E14129" s="23"/>
      <c r="L14129" s="23"/>
    </row>
    <row r="14130">
      <c r="B14130" s="19"/>
      <c r="E14130" s="23"/>
      <c r="L14130" s="23"/>
    </row>
    <row r="14131">
      <c r="B14131" s="19"/>
      <c r="E14131" s="23"/>
      <c r="L14131" s="23"/>
    </row>
    <row r="14132">
      <c r="B14132" s="19"/>
      <c r="E14132" s="23"/>
      <c r="L14132" s="23"/>
    </row>
    <row r="14133">
      <c r="B14133" s="19"/>
      <c r="E14133" s="23"/>
      <c r="L14133" s="23"/>
    </row>
    <row r="14134">
      <c r="B14134" s="19"/>
      <c r="E14134" s="23"/>
      <c r="L14134" s="23"/>
    </row>
    <row r="14135">
      <c r="B14135" s="19"/>
      <c r="E14135" s="23"/>
      <c r="L14135" s="23"/>
    </row>
    <row r="14136">
      <c r="B14136" s="19"/>
      <c r="E14136" s="23"/>
      <c r="L14136" s="23"/>
    </row>
    <row r="14137">
      <c r="B14137" s="19"/>
      <c r="E14137" s="23"/>
      <c r="L14137" s="23"/>
    </row>
    <row r="14138">
      <c r="B14138" s="19"/>
      <c r="E14138" s="23"/>
      <c r="L14138" s="23"/>
    </row>
    <row r="14139">
      <c r="B14139" s="19"/>
      <c r="E14139" s="23"/>
      <c r="L14139" s="23"/>
    </row>
    <row r="14140">
      <c r="B14140" s="19"/>
      <c r="E14140" s="23"/>
      <c r="L14140" s="23"/>
    </row>
    <row r="14141">
      <c r="B14141" s="19"/>
      <c r="E14141" s="23"/>
      <c r="L14141" s="23"/>
    </row>
    <row r="14142">
      <c r="B14142" s="19"/>
      <c r="E14142" s="23"/>
      <c r="L14142" s="23"/>
    </row>
    <row r="14143">
      <c r="B14143" s="19"/>
      <c r="E14143" s="23"/>
      <c r="L14143" s="23"/>
    </row>
    <row r="14144">
      <c r="B14144" s="19"/>
      <c r="E14144" s="23"/>
      <c r="L14144" s="23"/>
    </row>
    <row r="14145">
      <c r="B14145" s="19"/>
      <c r="E14145" s="23"/>
      <c r="L14145" s="23"/>
    </row>
    <row r="14146">
      <c r="B14146" s="19"/>
      <c r="E14146" s="23"/>
      <c r="L14146" s="23"/>
    </row>
    <row r="14147">
      <c r="B14147" s="19"/>
      <c r="E14147" s="23"/>
      <c r="L14147" s="23"/>
    </row>
    <row r="14148">
      <c r="B14148" s="19"/>
      <c r="E14148" s="23"/>
      <c r="L14148" s="23"/>
    </row>
    <row r="14149">
      <c r="B14149" s="19"/>
      <c r="E14149" s="23"/>
      <c r="L14149" s="23"/>
    </row>
    <row r="14150">
      <c r="B14150" s="19"/>
      <c r="E14150" s="23"/>
      <c r="L14150" s="23"/>
    </row>
    <row r="14151">
      <c r="B14151" s="19"/>
      <c r="E14151" s="23"/>
      <c r="L14151" s="23"/>
    </row>
    <row r="14152">
      <c r="B14152" s="19"/>
      <c r="E14152" s="23"/>
      <c r="L14152" s="23"/>
    </row>
    <row r="14153">
      <c r="B14153" s="19"/>
      <c r="E14153" s="23"/>
      <c r="L14153" s="23"/>
    </row>
    <row r="14154">
      <c r="B14154" s="19"/>
      <c r="E14154" s="23"/>
      <c r="L14154" s="23"/>
    </row>
    <row r="14155">
      <c r="B14155" s="19"/>
      <c r="E14155" s="23"/>
      <c r="L14155" s="23"/>
    </row>
    <row r="14156">
      <c r="B14156" s="19"/>
      <c r="E14156" s="23"/>
      <c r="L14156" s="23"/>
    </row>
    <row r="14157">
      <c r="B14157" s="19"/>
      <c r="E14157" s="23"/>
      <c r="L14157" s="23"/>
    </row>
    <row r="14158">
      <c r="B14158" s="19"/>
      <c r="E14158" s="23"/>
      <c r="L14158" s="23"/>
    </row>
    <row r="14159">
      <c r="B14159" s="19"/>
      <c r="E14159" s="23"/>
      <c r="L14159" s="23"/>
    </row>
    <row r="14160">
      <c r="B14160" s="19"/>
      <c r="E14160" s="23"/>
      <c r="L14160" s="23"/>
    </row>
    <row r="14161">
      <c r="B14161" s="19"/>
      <c r="E14161" s="23"/>
      <c r="L14161" s="23"/>
    </row>
    <row r="14162">
      <c r="B14162" s="19"/>
      <c r="E14162" s="23"/>
      <c r="L14162" s="23"/>
    </row>
    <row r="14163">
      <c r="B14163" s="19"/>
      <c r="E14163" s="23"/>
      <c r="L14163" s="23"/>
    </row>
    <row r="14164">
      <c r="B14164" s="19"/>
      <c r="E14164" s="23"/>
      <c r="L14164" s="23"/>
    </row>
    <row r="14165">
      <c r="B14165" s="19"/>
      <c r="E14165" s="23"/>
      <c r="L14165" s="23"/>
    </row>
    <row r="14166">
      <c r="B14166" s="19"/>
      <c r="E14166" s="23"/>
      <c r="L14166" s="23"/>
    </row>
    <row r="14167">
      <c r="B14167" s="19"/>
      <c r="E14167" s="23"/>
      <c r="L14167" s="23"/>
    </row>
    <row r="14168">
      <c r="B14168" s="19"/>
      <c r="E14168" s="23"/>
      <c r="L14168" s="23"/>
    </row>
    <row r="14169">
      <c r="B14169" s="19"/>
      <c r="E14169" s="23"/>
      <c r="L14169" s="23"/>
    </row>
    <row r="14170">
      <c r="B14170" s="19"/>
      <c r="E14170" s="23"/>
      <c r="L14170" s="23"/>
    </row>
    <row r="14171">
      <c r="B14171" s="19"/>
      <c r="E14171" s="23"/>
      <c r="L14171" s="23"/>
    </row>
    <row r="14172">
      <c r="B14172" s="19"/>
      <c r="E14172" s="23"/>
      <c r="L14172" s="23"/>
    </row>
    <row r="14173">
      <c r="B14173" s="19"/>
      <c r="E14173" s="23"/>
      <c r="L14173" s="23"/>
    </row>
    <row r="14174">
      <c r="B14174" s="19"/>
      <c r="E14174" s="23"/>
      <c r="L14174" s="23"/>
    </row>
    <row r="14175">
      <c r="B14175" s="19"/>
      <c r="E14175" s="23"/>
      <c r="L14175" s="23"/>
    </row>
    <row r="14176">
      <c r="B14176" s="19"/>
      <c r="E14176" s="23"/>
      <c r="L14176" s="23"/>
    </row>
    <row r="14177">
      <c r="B14177" s="19"/>
      <c r="E14177" s="23"/>
      <c r="L14177" s="23"/>
    </row>
    <row r="14178">
      <c r="B14178" s="19"/>
      <c r="E14178" s="23"/>
      <c r="L14178" s="23"/>
    </row>
    <row r="14179">
      <c r="B14179" s="19"/>
      <c r="E14179" s="23"/>
      <c r="L14179" s="23"/>
    </row>
    <row r="14180">
      <c r="B14180" s="19"/>
      <c r="E14180" s="23"/>
      <c r="L14180" s="23"/>
    </row>
    <row r="14181">
      <c r="B14181" s="19"/>
      <c r="E14181" s="23"/>
      <c r="L14181" s="23"/>
    </row>
    <row r="14182">
      <c r="B14182" s="19"/>
      <c r="E14182" s="23"/>
      <c r="L14182" s="23"/>
    </row>
    <row r="14183">
      <c r="B14183" s="19"/>
      <c r="E14183" s="23"/>
      <c r="L14183" s="23"/>
    </row>
    <row r="14184">
      <c r="B14184" s="19"/>
      <c r="E14184" s="23"/>
      <c r="L14184" s="23"/>
    </row>
    <row r="14185">
      <c r="B14185" s="19"/>
      <c r="E14185" s="23"/>
      <c r="L14185" s="23"/>
    </row>
    <row r="14186">
      <c r="B14186" s="19"/>
      <c r="E14186" s="23"/>
      <c r="L14186" s="23"/>
    </row>
    <row r="14187">
      <c r="B14187" s="19"/>
      <c r="E14187" s="23"/>
      <c r="L14187" s="23"/>
    </row>
    <row r="14188">
      <c r="B14188" s="19"/>
      <c r="E14188" s="23"/>
      <c r="L14188" s="23"/>
    </row>
    <row r="14189">
      <c r="B14189" s="19"/>
      <c r="E14189" s="23"/>
      <c r="L14189" s="23"/>
    </row>
    <row r="14190">
      <c r="B14190" s="19"/>
      <c r="E14190" s="23"/>
      <c r="L14190" s="23"/>
    </row>
    <row r="14191">
      <c r="B14191" s="19"/>
      <c r="E14191" s="23"/>
      <c r="L14191" s="23"/>
    </row>
    <row r="14192">
      <c r="B14192" s="19"/>
      <c r="E14192" s="23"/>
      <c r="L14192" s="23"/>
    </row>
    <row r="14193">
      <c r="B14193" s="19"/>
      <c r="E14193" s="23"/>
      <c r="L14193" s="23"/>
    </row>
    <row r="14194">
      <c r="B14194" s="19"/>
      <c r="E14194" s="23"/>
      <c r="L14194" s="23"/>
    </row>
    <row r="14195">
      <c r="B14195" s="19"/>
      <c r="E14195" s="23"/>
      <c r="L14195" s="23"/>
    </row>
    <row r="14196">
      <c r="B14196" s="19"/>
      <c r="E14196" s="23"/>
      <c r="L14196" s="23"/>
    </row>
    <row r="14197">
      <c r="B14197" s="19"/>
      <c r="E14197" s="23"/>
      <c r="L14197" s="23"/>
    </row>
    <row r="14198">
      <c r="B14198" s="19"/>
      <c r="E14198" s="23"/>
      <c r="L14198" s="23"/>
    </row>
    <row r="14199">
      <c r="B14199" s="19"/>
      <c r="E14199" s="23"/>
      <c r="L14199" s="23"/>
    </row>
    <row r="14200">
      <c r="B14200" s="19"/>
      <c r="E14200" s="23"/>
      <c r="L14200" s="23"/>
    </row>
    <row r="14201">
      <c r="B14201" s="19"/>
      <c r="E14201" s="23"/>
      <c r="L14201" s="23"/>
    </row>
    <row r="14202">
      <c r="B14202" s="19"/>
      <c r="E14202" s="23"/>
      <c r="L14202" s="23"/>
    </row>
    <row r="14203">
      <c r="B14203" s="19"/>
      <c r="E14203" s="23"/>
      <c r="L14203" s="23"/>
    </row>
    <row r="14204">
      <c r="B14204" s="19"/>
      <c r="E14204" s="23"/>
      <c r="L14204" s="23"/>
    </row>
    <row r="14205">
      <c r="B14205" s="19"/>
      <c r="E14205" s="23"/>
      <c r="L14205" s="23"/>
    </row>
    <row r="14206">
      <c r="B14206" s="19"/>
      <c r="E14206" s="23"/>
      <c r="L14206" s="23"/>
    </row>
    <row r="14207">
      <c r="B14207" s="19"/>
      <c r="E14207" s="23"/>
      <c r="L14207" s="23"/>
    </row>
    <row r="14208">
      <c r="B14208" s="19"/>
      <c r="E14208" s="23"/>
      <c r="L14208" s="23"/>
    </row>
    <row r="14209">
      <c r="B14209" s="19"/>
      <c r="E14209" s="23"/>
      <c r="L14209" s="23"/>
    </row>
    <row r="14210">
      <c r="B14210" s="19"/>
      <c r="E14210" s="23"/>
      <c r="L14210" s="23"/>
    </row>
    <row r="14211">
      <c r="B14211" s="19"/>
      <c r="E14211" s="23"/>
      <c r="L14211" s="23"/>
    </row>
    <row r="14212">
      <c r="B14212" s="19"/>
      <c r="E14212" s="23"/>
      <c r="L14212" s="23"/>
    </row>
    <row r="14213">
      <c r="B14213" s="19"/>
      <c r="E14213" s="23"/>
      <c r="L14213" s="23"/>
    </row>
    <row r="14214">
      <c r="B14214" s="19"/>
      <c r="E14214" s="23"/>
      <c r="L14214" s="23"/>
    </row>
    <row r="14215">
      <c r="B14215" s="19"/>
      <c r="E14215" s="23"/>
      <c r="L14215" s="23"/>
    </row>
    <row r="14216">
      <c r="B14216" s="19"/>
      <c r="E14216" s="23"/>
      <c r="L14216" s="23"/>
    </row>
    <row r="14217">
      <c r="B14217" s="19"/>
      <c r="E14217" s="23"/>
      <c r="L14217" s="23"/>
    </row>
    <row r="14218">
      <c r="B14218" s="19"/>
      <c r="E14218" s="23"/>
      <c r="L14218" s="23"/>
    </row>
    <row r="14219">
      <c r="B14219" s="19"/>
      <c r="E14219" s="23"/>
      <c r="L14219" s="23"/>
    </row>
    <row r="14220">
      <c r="B14220" s="19"/>
      <c r="E14220" s="23"/>
      <c r="L14220" s="23"/>
    </row>
    <row r="14221">
      <c r="B14221" s="19"/>
      <c r="E14221" s="23"/>
      <c r="L14221" s="23"/>
    </row>
    <row r="14222">
      <c r="B14222" s="19"/>
      <c r="E14222" s="23"/>
      <c r="L14222" s="23"/>
    </row>
    <row r="14223">
      <c r="B14223" s="19"/>
      <c r="E14223" s="23"/>
      <c r="L14223" s="23"/>
    </row>
    <row r="14224">
      <c r="B14224" s="19"/>
      <c r="E14224" s="23"/>
      <c r="L14224" s="23"/>
    </row>
    <row r="14225">
      <c r="B14225" s="19"/>
      <c r="E14225" s="23"/>
      <c r="L14225" s="23"/>
    </row>
    <row r="14226">
      <c r="B14226" s="19"/>
      <c r="E14226" s="23"/>
      <c r="L14226" s="23"/>
    </row>
    <row r="14227">
      <c r="B14227" s="19"/>
      <c r="E14227" s="23"/>
      <c r="L14227" s="23"/>
    </row>
    <row r="14228">
      <c r="B14228" s="19"/>
      <c r="E14228" s="23"/>
      <c r="L14228" s="23"/>
    </row>
    <row r="14229">
      <c r="B14229" s="19"/>
      <c r="E14229" s="23"/>
      <c r="L14229" s="23"/>
    </row>
    <row r="14230">
      <c r="B14230" s="19"/>
      <c r="E14230" s="23"/>
      <c r="L14230" s="23"/>
    </row>
    <row r="14231">
      <c r="B14231" s="19"/>
      <c r="E14231" s="23"/>
      <c r="L14231" s="23"/>
    </row>
    <row r="14232">
      <c r="B14232" s="19"/>
      <c r="E14232" s="23"/>
      <c r="L14232" s="23"/>
    </row>
    <row r="14233">
      <c r="B14233" s="19"/>
      <c r="E14233" s="23"/>
      <c r="L14233" s="23"/>
    </row>
    <row r="14234">
      <c r="B14234" s="19"/>
      <c r="E14234" s="23"/>
      <c r="L14234" s="23"/>
    </row>
    <row r="14235">
      <c r="B14235" s="19"/>
      <c r="E14235" s="23"/>
      <c r="L14235" s="23"/>
    </row>
    <row r="14236">
      <c r="B14236" s="19"/>
      <c r="E14236" s="23"/>
      <c r="L14236" s="23"/>
    </row>
    <row r="14237">
      <c r="B14237" s="19"/>
      <c r="E14237" s="23"/>
      <c r="L14237" s="23"/>
    </row>
    <row r="14238">
      <c r="B14238" s="19"/>
      <c r="E14238" s="23"/>
      <c r="L14238" s="23"/>
    </row>
    <row r="14239">
      <c r="B14239" s="19"/>
      <c r="E14239" s="23"/>
      <c r="L14239" s="23"/>
    </row>
    <row r="14240">
      <c r="B14240" s="19"/>
      <c r="E14240" s="23"/>
      <c r="L14240" s="23"/>
    </row>
    <row r="14241">
      <c r="B14241" s="19"/>
      <c r="E14241" s="23"/>
      <c r="L14241" s="23"/>
    </row>
    <row r="14242">
      <c r="B14242" s="19"/>
      <c r="E14242" s="23"/>
      <c r="L14242" s="23"/>
    </row>
    <row r="14243">
      <c r="B14243" s="19"/>
      <c r="E14243" s="23"/>
      <c r="L14243" s="23"/>
    </row>
    <row r="14244">
      <c r="B14244" s="19"/>
      <c r="E14244" s="23"/>
      <c r="L14244" s="23"/>
    </row>
    <row r="14245">
      <c r="B14245" s="19"/>
      <c r="E14245" s="23"/>
      <c r="L14245" s="23"/>
    </row>
    <row r="14246">
      <c r="B14246" s="19"/>
      <c r="E14246" s="23"/>
      <c r="L14246" s="23"/>
    </row>
    <row r="14247">
      <c r="B14247" s="19"/>
      <c r="E14247" s="23"/>
      <c r="L14247" s="23"/>
    </row>
    <row r="14248">
      <c r="B14248" s="19"/>
      <c r="E14248" s="23"/>
      <c r="L14248" s="23"/>
    </row>
    <row r="14249">
      <c r="B14249" s="19"/>
      <c r="E14249" s="23"/>
      <c r="L14249" s="23"/>
    </row>
    <row r="14250">
      <c r="B14250" s="19"/>
      <c r="E14250" s="23"/>
      <c r="L14250" s="23"/>
    </row>
    <row r="14251">
      <c r="B14251" s="19"/>
      <c r="E14251" s="23"/>
      <c r="L14251" s="23"/>
    </row>
    <row r="14252">
      <c r="B14252" s="19"/>
      <c r="E14252" s="23"/>
      <c r="L14252" s="23"/>
    </row>
    <row r="14253">
      <c r="B14253" s="19"/>
      <c r="E14253" s="23"/>
      <c r="L14253" s="23"/>
    </row>
    <row r="14254">
      <c r="B14254" s="19"/>
      <c r="E14254" s="23"/>
      <c r="L14254" s="23"/>
    </row>
    <row r="14255">
      <c r="B14255" s="19"/>
      <c r="E14255" s="23"/>
      <c r="L14255" s="23"/>
    </row>
    <row r="14256">
      <c r="B14256" s="19"/>
      <c r="E14256" s="23"/>
      <c r="L14256" s="23"/>
    </row>
    <row r="14257">
      <c r="B14257" s="19"/>
      <c r="E14257" s="23"/>
      <c r="L14257" s="23"/>
    </row>
    <row r="14258">
      <c r="B14258" s="19"/>
      <c r="E14258" s="23"/>
      <c r="L14258" s="23"/>
    </row>
    <row r="14259">
      <c r="B14259" s="19"/>
      <c r="E14259" s="23"/>
      <c r="L14259" s="23"/>
    </row>
    <row r="14260">
      <c r="B14260" s="19"/>
      <c r="E14260" s="23"/>
      <c r="L14260" s="23"/>
    </row>
    <row r="14261">
      <c r="B14261" s="19"/>
      <c r="E14261" s="23"/>
      <c r="L14261" s="23"/>
    </row>
    <row r="14262">
      <c r="B14262" s="19"/>
      <c r="E14262" s="23"/>
      <c r="L14262" s="23"/>
    </row>
    <row r="14263">
      <c r="B14263" s="19"/>
      <c r="E14263" s="23"/>
      <c r="L14263" s="23"/>
    </row>
    <row r="14264">
      <c r="B14264" s="19"/>
      <c r="E14264" s="23"/>
      <c r="L14264" s="23"/>
    </row>
    <row r="14265">
      <c r="B14265" s="19"/>
      <c r="E14265" s="23"/>
      <c r="L14265" s="23"/>
    </row>
    <row r="14266">
      <c r="B14266" s="19"/>
      <c r="E14266" s="23"/>
      <c r="L14266" s="23"/>
    </row>
    <row r="14267">
      <c r="B14267" s="19"/>
      <c r="E14267" s="23"/>
      <c r="L14267" s="23"/>
    </row>
    <row r="14268">
      <c r="B14268" s="19"/>
      <c r="E14268" s="23"/>
      <c r="L14268" s="23"/>
    </row>
    <row r="14269">
      <c r="B14269" s="19"/>
      <c r="E14269" s="23"/>
      <c r="L14269" s="23"/>
    </row>
    <row r="14270">
      <c r="B14270" s="19"/>
      <c r="E14270" s="23"/>
      <c r="L14270" s="23"/>
    </row>
    <row r="14271">
      <c r="B14271" s="19"/>
      <c r="E14271" s="23"/>
      <c r="L14271" s="23"/>
    </row>
    <row r="14272">
      <c r="B14272" s="19"/>
      <c r="E14272" s="23"/>
      <c r="L14272" s="23"/>
    </row>
    <row r="14273">
      <c r="B14273" s="19"/>
      <c r="E14273" s="23"/>
      <c r="L14273" s="23"/>
    </row>
    <row r="14274">
      <c r="B14274" s="19"/>
      <c r="E14274" s="23"/>
      <c r="L14274" s="23"/>
    </row>
    <row r="14275">
      <c r="B14275" s="19"/>
      <c r="E14275" s="23"/>
      <c r="L14275" s="23"/>
    </row>
    <row r="14276">
      <c r="B14276" s="19"/>
      <c r="E14276" s="23"/>
      <c r="L14276" s="23"/>
    </row>
    <row r="14277">
      <c r="B14277" s="19"/>
      <c r="E14277" s="23"/>
      <c r="L14277" s="23"/>
    </row>
    <row r="14278">
      <c r="B14278" s="19"/>
      <c r="E14278" s="23"/>
      <c r="L14278" s="23"/>
    </row>
    <row r="14279">
      <c r="B14279" s="19"/>
      <c r="E14279" s="23"/>
      <c r="L14279" s="23"/>
    </row>
    <row r="14280">
      <c r="B14280" s="19"/>
      <c r="E14280" s="23"/>
      <c r="L14280" s="23"/>
    </row>
    <row r="14281">
      <c r="B14281" s="19"/>
      <c r="E14281" s="23"/>
      <c r="L14281" s="23"/>
    </row>
    <row r="14282">
      <c r="B14282" s="19"/>
      <c r="E14282" s="23"/>
      <c r="L14282" s="23"/>
    </row>
    <row r="14283">
      <c r="B14283" s="19"/>
      <c r="E14283" s="23"/>
      <c r="L14283" s="23"/>
    </row>
    <row r="14284">
      <c r="B14284" s="19"/>
      <c r="E14284" s="23"/>
      <c r="L14284" s="23"/>
    </row>
    <row r="14285">
      <c r="B14285" s="19"/>
      <c r="E14285" s="23"/>
      <c r="L14285" s="23"/>
    </row>
    <row r="14286">
      <c r="B14286" s="19"/>
      <c r="E14286" s="23"/>
      <c r="L14286" s="23"/>
    </row>
    <row r="14287">
      <c r="B14287" s="19"/>
      <c r="E14287" s="23"/>
      <c r="L14287" s="23"/>
    </row>
    <row r="14288">
      <c r="B14288" s="19"/>
      <c r="E14288" s="23"/>
      <c r="L14288" s="23"/>
    </row>
    <row r="14289">
      <c r="B14289" s="19"/>
      <c r="E14289" s="23"/>
      <c r="L14289" s="23"/>
    </row>
    <row r="14290">
      <c r="B14290" s="19"/>
      <c r="E14290" s="23"/>
      <c r="L14290" s="23"/>
    </row>
    <row r="14291">
      <c r="B14291" s="19"/>
      <c r="E14291" s="23"/>
      <c r="L14291" s="23"/>
    </row>
    <row r="14292">
      <c r="B14292" s="19"/>
      <c r="E14292" s="23"/>
      <c r="L14292" s="23"/>
    </row>
    <row r="14293">
      <c r="B14293" s="19"/>
      <c r="E14293" s="23"/>
      <c r="L14293" s="23"/>
    </row>
    <row r="14294">
      <c r="B14294" s="19"/>
      <c r="E14294" s="23"/>
      <c r="L14294" s="23"/>
    </row>
    <row r="14295">
      <c r="B14295" s="19"/>
      <c r="E14295" s="23"/>
      <c r="L14295" s="23"/>
    </row>
    <row r="14296">
      <c r="B14296" s="19"/>
      <c r="E14296" s="23"/>
      <c r="L14296" s="23"/>
    </row>
    <row r="14297">
      <c r="B14297" s="19"/>
      <c r="E14297" s="23"/>
      <c r="L14297" s="23"/>
    </row>
    <row r="14298">
      <c r="B14298" s="19"/>
      <c r="E14298" s="23"/>
      <c r="L14298" s="23"/>
    </row>
    <row r="14299">
      <c r="B14299" s="19"/>
      <c r="E14299" s="23"/>
      <c r="L14299" s="23"/>
    </row>
    <row r="14300">
      <c r="B14300" s="19"/>
      <c r="E14300" s="23"/>
      <c r="L14300" s="23"/>
    </row>
    <row r="14301">
      <c r="B14301" s="19"/>
      <c r="E14301" s="23"/>
      <c r="L14301" s="23"/>
    </row>
    <row r="14302">
      <c r="B14302" s="19"/>
      <c r="E14302" s="23"/>
      <c r="L14302" s="23"/>
    </row>
    <row r="14303">
      <c r="B14303" s="19"/>
      <c r="E14303" s="23"/>
      <c r="L14303" s="23"/>
    </row>
    <row r="14304">
      <c r="B14304" s="19"/>
      <c r="E14304" s="23"/>
      <c r="L14304" s="23"/>
    </row>
    <row r="14305">
      <c r="B14305" s="19"/>
      <c r="E14305" s="23"/>
      <c r="L14305" s="23"/>
    </row>
    <row r="14306">
      <c r="B14306" s="19"/>
      <c r="E14306" s="23"/>
      <c r="L14306" s="23"/>
    </row>
    <row r="14307">
      <c r="B14307" s="19"/>
      <c r="E14307" s="23"/>
      <c r="L14307" s="23"/>
    </row>
    <row r="14308">
      <c r="B14308" s="19"/>
      <c r="E14308" s="23"/>
      <c r="L14308" s="23"/>
    </row>
    <row r="14309">
      <c r="B14309" s="19"/>
      <c r="E14309" s="23"/>
      <c r="L14309" s="23"/>
    </row>
    <row r="14310">
      <c r="B14310" s="19"/>
      <c r="E14310" s="23"/>
      <c r="L14310" s="23"/>
    </row>
    <row r="14311">
      <c r="B14311" s="19"/>
      <c r="E14311" s="23"/>
      <c r="L14311" s="23"/>
    </row>
    <row r="14312">
      <c r="B14312" s="19"/>
      <c r="E14312" s="23"/>
      <c r="L14312" s="23"/>
    </row>
    <row r="14313">
      <c r="B14313" s="19"/>
      <c r="E14313" s="23"/>
      <c r="L14313" s="23"/>
    </row>
    <row r="14314">
      <c r="B14314" s="19"/>
      <c r="E14314" s="23"/>
      <c r="L14314" s="23"/>
    </row>
    <row r="14315">
      <c r="B14315" s="19"/>
      <c r="E14315" s="23"/>
      <c r="L14315" s="23"/>
    </row>
    <row r="14316">
      <c r="B14316" s="19"/>
      <c r="E14316" s="23"/>
      <c r="L14316" s="23"/>
    </row>
    <row r="14317">
      <c r="B14317" s="19"/>
      <c r="E14317" s="23"/>
      <c r="L14317" s="23"/>
    </row>
    <row r="14318">
      <c r="B14318" s="19"/>
      <c r="E14318" s="23"/>
      <c r="L14318" s="23"/>
    </row>
    <row r="14319">
      <c r="B14319" s="19"/>
      <c r="E14319" s="23"/>
      <c r="L14319" s="23"/>
    </row>
    <row r="14320">
      <c r="B14320" s="19"/>
      <c r="E14320" s="23"/>
      <c r="L14320" s="23"/>
    </row>
    <row r="14321">
      <c r="B14321" s="19"/>
      <c r="E14321" s="23"/>
      <c r="L14321" s="23"/>
    </row>
    <row r="14322">
      <c r="B14322" s="19"/>
      <c r="E14322" s="23"/>
      <c r="L14322" s="23"/>
    </row>
    <row r="14323">
      <c r="B14323" s="19"/>
      <c r="E14323" s="23"/>
      <c r="L14323" s="23"/>
    </row>
    <row r="14324">
      <c r="B14324" s="19"/>
      <c r="E14324" s="23"/>
      <c r="L14324" s="23"/>
    </row>
    <row r="14325">
      <c r="B14325" s="19"/>
      <c r="E14325" s="23"/>
      <c r="L14325" s="23"/>
    </row>
    <row r="14326">
      <c r="B14326" s="19"/>
      <c r="E14326" s="23"/>
      <c r="L14326" s="23"/>
    </row>
    <row r="14327">
      <c r="B14327" s="19"/>
      <c r="E14327" s="23"/>
      <c r="L14327" s="23"/>
    </row>
    <row r="14328">
      <c r="B14328" s="19"/>
      <c r="E14328" s="23"/>
      <c r="L14328" s="23"/>
    </row>
    <row r="14329">
      <c r="B14329" s="19"/>
      <c r="E14329" s="23"/>
      <c r="L14329" s="23"/>
    </row>
    <row r="14330">
      <c r="B14330" s="19"/>
      <c r="E14330" s="23"/>
      <c r="L14330" s="23"/>
    </row>
    <row r="14331">
      <c r="B14331" s="19"/>
      <c r="E14331" s="23"/>
      <c r="L14331" s="23"/>
    </row>
    <row r="14332">
      <c r="B14332" s="19"/>
      <c r="E14332" s="23"/>
      <c r="L14332" s="23"/>
    </row>
    <row r="14333">
      <c r="B14333" s="19"/>
      <c r="E14333" s="23"/>
      <c r="L14333" s="23"/>
    </row>
    <row r="14334">
      <c r="B14334" s="19"/>
      <c r="E14334" s="23"/>
      <c r="L14334" s="23"/>
    </row>
    <row r="14335">
      <c r="B14335" s="19"/>
      <c r="E14335" s="23"/>
      <c r="L14335" s="23"/>
    </row>
    <row r="14336">
      <c r="B14336" s="19"/>
      <c r="E14336" s="23"/>
      <c r="L14336" s="23"/>
    </row>
    <row r="14337">
      <c r="B14337" s="19"/>
      <c r="E14337" s="23"/>
      <c r="L14337" s="23"/>
    </row>
    <row r="14338">
      <c r="B14338" s="19"/>
      <c r="E14338" s="23"/>
      <c r="L14338" s="23"/>
    </row>
    <row r="14339">
      <c r="B14339" s="19"/>
      <c r="E14339" s="23"/>
      <c r="L14339" s="23"/>
    </row>
    <row r="14340">
      <c r="B14340" s="19"/>
      <c r="E14340" s="23"/>
      <c r="L14340" s="23"/>
    </row>
    <row r="14341">
      <c r="B14341" s="19"/>
      <c r="E14341" s="23"/>
      <c r="L14341" s="23"/>
    </row>
    <row r="14342">
      <c r="B14342" s="19"/>
      <c r="E14342" s="23"/>
      <c r="L14342" s="23"/>
    </row>
    <row r="14343">
      <c r="B14343" s="19"/>
      <c r="E14343" s="23"/>
      <c r="L14343" s="23"/>
    </row>
    <row r="14344">
      <c r="B14344" s="19"/>
      <c r="E14344" s="23"/>
      <c r="L14344" s="23"/>
    </row>
    <row r="14345">
      <c r="B14345" s="19"/>
      <c r="E14345" s="23"/>
      <c r="L14345" s="23"/>
    </row>
    <row r="14346">
      <c r="B14346" s="19"/>
      <c r="E14346" s="23"/>
      <c r="L14346" s="23"/>
    </row>
    <row r="14347">
      <c r="B14347" s="19"/>
      <c r="E14347" s="23"/>
      <c r="L14347" s="23"/>
    </row>
    <row r="14348">
      <c r="B14348" s="19"/>
      <c r="E14348" s="23"/>
      <c r="L14348" s="23"/>
    </row>
    <row r="14349">
      <c r="B14349" s="19"/>
      <c r="E14349" s="23"/>
      <c r="L14349" s="23"/>
    </row>
    <row r="14350">
      <c r="B14350" s="19"/>
      <c r="E14350" s="23"/>
      <c r="L14350" s="23"/>
    </row>
    <row r="14351">
      <c r="B14351" s="19"/>
      <c r="E14351" s="23"/>
      <c r="L14351" s="23"/>
    </row>
    <row r="14352">
      <c r="B14352" s="19"/>
      <c r="E14352" s="23"/>
      <c r="L14352" s="23"/>
    </row>
    <row r="14353">
      <c r="B14353" s="19"/>
      <c r="E14353" s="23"/>
      <c r="L14353" s="23"/>
    </row>
    <row r="14354">
      <c r="B14354" s="19"/>
      <c r="E14354" s="23"/>
      <c r="L14354" s="23"/>
    </row>
    <row r="14355">
      <c r="B14355" s="19"/>
      <c r="E14355" s="23"/>
      <c r="L14355" s="23"/>
    </row>
    <row r="14356">
      <c r="B14356" s="19"/>
      <c r="E14356" s="23"/>
      <c r="L14356" s="23"/>
    </row>
    <row r="14357">
      <c r="B14357" s="19"/>
      <c r="E14357" s="23"/>
      <c r="L14357" s="23"/>
    </row>
    <row r="14358">
      <c r="B14358" s="19"/>
      <c r="E14358" s="23"/>
      <c r="L14358" s="23"/>
    </row>
    <row r="14359">
      <c r="B14359" s="19"/>
      <c r="E14359" s="23"/>
      <c r="L14359" s="23"/>
    </row>
    <row r="14360">
      <c r="B14360" s="19"/>
      <c r="E14360" s="23"/>
      <c r="L14360" s="23"/>
    </row>
    <row r="14361">
      <c r="B14361" s="19"/>
      <c r="E14361" s="23"/>
      <c r="L14361" s="23"/>
    </row>
    <row r="14362">
      <c r="B14362" s="19"/>
      <c r="E14362" s="23"/>
      <c r="L14362" s="23"/>
    </row>
    <row r="14363">
      <c r="B14363" s="19"/>
      <c r="E14363" s="23"/>
      <c r="L14363" s="23"/>
    </row>
    <row r="14364">
      <c r="B14364" s="19"/>
      <c r="E14364" s="23"/>
      <c r="L14364" s="23"/>
    </row>
    <row r="14365">
      <c r="B14365" s="19"/>
      <c r="E14365" s="23"/>
      <c r="L14365" s="23"/>
    </row>
    <row r="14366">
      <c r="B14366" s="19"/>
      <c r="E14366" s="23"/>
      <c r="L14366" s="23"/>
    </row>
    <row r="14367">
      <c r="B14367" s="19"/>
      <c r="E14367" s="23"/>
      <c r="L14367" s="23"/>
    </row>
    <row r="14368">
      <c r="B14368" s="19"/>
      <c r="E14368" s="23"/>
      <c r="L14368" s="23"/>
    </row>
    <row r="14369">
      <c r="B14369" s="19"/>
      <c r="E14369" s="23"/>
      <c r="L14369" s="23"/>
    </row>
    <row r="14370">
      <c r="B14370" s="19"/>
      <c r="E14370" s="23"/>
      <c r="L14370" s="23"/>
    </row>
    <row r="14371">
      <c r="B14371" s="19"/>
      <c r="E14371" s="23"/>
      <c r="L14371" s="23"/>
    </row>
    <row r="14372">
      <c r="B14372" s="19"/>
      <c r="E14372" s="23"/>
      <c r="L14372" s="23"/>
    </row>
    <row r="14373">
      <c r="B14373" s="19"/>
      <c r="E14373" s="23"/>
      <c r="L14373" s="23"/>
    </row>
    <row r="14374">
      <c r="B14374" s="19"/>
      <c r="E14374" s="23"/>
      <c r="L14374" s="23"/>
    </row>
    <row r="14375">
      <c r="B14375" s="19"/>
      <c r="E14375" s="23"/>
      <c r="L14375" s="23"/>
    </row>
    <row r="14376">
      <c r="B14376" s="19"/>
      <c r="E14376" s="23"/>
      <c r="L14376" s="23"/>
    </row>
    <row r="14377">
      <c r="B14377" s="19"/>
      <c r="E14377" s="23"/>
      <c r="L14377" s="23"/>
    </row>
    <row r="14378">
      <c r="B14378" s="19"/>
      <c r="E14378" s="23"/>
      <c r="L14378" s="23"/>
    </row>
    <row r="14379">
      <c r="B14379" s="19"/>
      <c r="E14379" s="23"/>
      <c r="L14379" s="23"/>
    </row>
    <row r="14380">
      <c r="B14380" s="19"/>
      <c r="E14380" s="23"/>
      <c r="L14380" s="23"/>
    </row>
    <row r="14381">
      <c r="B14381" s="19"/>
      <c r="E14381" s="23"/>
      <c r="L14381" s="23"/>
    </row>
    <row r="14382">
      <c r="B14382" s="19"/>
      <c r="E14382" s="23"/>
      <c r="L14382" s="23"/>
    </row>
    <row r="14383">
      <c r="B14383" s="19"/>
      <c r="E14383" s="23"/>
      <c r="L14383" s="23"/>
    </row>
    <row r="14384">
      <c r="B14384" s="19"/>
      <c r="E14384" s="23"/>
      <c r="L14384" s="23"/>
    </row>
    <row r="14385">
      <c r="B14385" s="19"/>
      <c r="E14385" s="23"/>
      <c r="L14385" s="23"/>
    </row>
    <row r="14386">
      <c r="B14386" s="19"/>
      <c r="E14386" s="23"/>
      <c r="L14386" s="23"/>
    </row>
    <row r="14387">
      <c r="B14387" s="19"/>
      <c r="E14387" s="23"/>
      <c r="L14387" s="23"/>
    </row>
    <row r="14388">
      <c r="B14388" s="19"/>
      <c r="E14388" s="23"/>
      <c r="L14388" s="23"/>
    </row>
    <row r="14389">
      <c r="B14389" s="19"/>
      <c r="E14389" s="23"/>
      <c r="L14389" s="23"/>
    </row>
    <row r="14390">
      <c r="B14390" s="19"/>
      <c r="E14390" s="23"/>
      <c r="L14390" s="23"/>
    </row>
    <row r="14391">
      <c r="B14391" s="19"/>
      <c r="E14391" s="23"/>
      <c r="L14391" s="23"/>
    </row>
    <row r="14392">
      <c r="B14392" s="19"/>
      <c r="E14392" s="23"/>
      <c r="L14392" s="23"/>
    </row>
    <row r="14393">
      <c r="B14393" s="19"/>
      <c r="E14393" s="23"/>
      <c r="L14393" s="23"/>
    </row>
    <row r="14394">
      <c r="B14394" s="19"/>
      <c r="E14394" s="23"/>
      <c r="L14394" s="23"/>
    </row>
    <row r="14395">
      <c r="B14395" s="19"/>
      <c r="E14395" s="23"/>
      <c r="L14395" s="23"/>
    </row>
    <row r="14396">
      <c r="B14396" s="19"/>
      <c r="E14396" s="23"/>
      <c r="L14396" s="23"/>
    </row>
    <row r="14397">
      <c r="B14397" s="19"/>
      <c r="E14397" s="23"/>
      <c r="L14397" s="23"/>
    </row>
    <row r="14398">
      <c r="B14398" s="19"/>
      <c r="E14398" s="23"/>
      <c r="L14398" s="23"/>
    </row>
    <row r="14399">
      <c r="B14399" s="19"/>
      <c r="E14399" s="23"/>
      <c r="L14399" s="23"/>
    </row>
    <row r="14400">
      <c r="B14400" s="19"/>
      <c r="E14400" s="23"/>
      <c r="L14400" s="23"/>
    </row>
    <row r="14401">
      <c r="B14401" s="19"/>
      <c r="E14401" s="23"/>
      <c r="L14401" s="23"/>
    </row>
    <row r="14402">
      <c r="B14402" s="19"/>
      <c r="E14402" s="23"/>
      <c r="L14402" s="23"/>
    </row>
    <row r="14403">
      <c r="B14403" s="19"/>
      <c r="E14403" s="23"/>
      <c r="L14403" s="23"/>
    </row>
    <row r="14404">
      <c r="B14404" s="19"/>
      <c r="E14404" s="23"/>
      <c r="L14404" s="23"/>
    </row>
    <row r="14405">
      <c r="B14405" s="19"/>
      <c r="E14405" s="23"/>
      <c r="L14405" s="23"/>
    </row>
    <row r="14406">
      <c r="B14406" s="19"/>
      <c r="E14406" s="23"/>
      <c r="L14406" s="23"/>
    </row>
    <row r="14407">
      <c r="B14407" s="19"/>
      <c r="E14407" s="23"/>
      <c r="L14407" s="23"/>
    </row>
    <row r="14408">
      <c r="B14408" s="19"/>
      <c r="E14408" s="23"/>
      <c r="L14408" s="23"/>
    </row>
    <row r="14409">
      <c r="B14409" s="19"/>
      <c r="E14409" s="23"/>
      <c r="L14409" s="23"/>
    </row>
    <row r="14410">
      <c r="B14410" s="19"/>
      <c r="E14410" s="23"/>
      <c r="L14410" s="23"/>
    </row>
    <row r="14411">
      <c r="B14411" s="19"/>
      <c r="E14411" s="23"/>
      <c r="L14411" s="23"/>
    </row>
    <row r="14412">
      <c r="B14412" s="19"/>
      <c r="E14412" s="23"/>
      <c r="L14412" s="23"/>
    </row>
    <row r="14413">
      <c r="B14413" s="19"/>
      <c r="E14413" s="23"/>
      <c r="L14413" s="23"/>
    </row>
    <row r="14414">
      <c r="B14414" s="19"/>
      <c r="E14414" s="23"/>
      <c r="L14414" s="23"/>
    </row>
    <row r="14415">
      <c r="B14415" s="19"/>
      <c r="E14415" s="23"/>
      <c r="L14415" s="23"/>
    </row>
    <row r="14416">
      <c r="B14416" s="19"/>
      <c r="E14416" s="23"/>
      <c r="L14416" s="23"/>
    </row>
    <row r="14417">
      <c r="B14417" s="19"/>
      <c r="E14417" s="23"/>
      <c r="L14417" s="23"/>
    </row>
    <row r="14418">
      <c r="B14418" s="19"/>
      <c r="E14418" s="23"/>
      <c r="L14418" s="23"/>
    </row>
    <row r="14419">
      <c r="B14419" s="19"/>
      <c r="E14419" s="23"/>
      <c r="L14419" s="23"/>
    </row>
    <row r="14420">
      <c r="B14420" s="19"/>
      <c r="E14420" s="23"/>
      <c r="L14420" s="23"/>
    </row>
    <row r="14421">
      <c r="B14421" s="19"/>
      <c r="E14421" s="23"/>
      <c r="L14421" s="23"/>
    </row>
    <row r="14422">
      <c r="B14422" s="19"/>
      <c r="E14422" s="23"/>
      <c r="L14422" s="23"/>
    </row>
    <row r="14423">
      <c r="B14423" s="19"/>
      <c r="E14423" s="23"/>
      <c r="L14423" s="23"/>
    </row>
    <row r="14424">
      <c r="B14424" s="19"/>
      <c r="E14424" s="23"/>
      <c r="L14424" s="23"/>
    </row>
    <row r="14425">
      <c r="B14425" s="19"/>
      <c r="E14425" s="23"/>
      <c r="L14425" s="23"/>
    </row>
    <row r="14426">
      <c r="B14426" s="19"/>
      <c r="E14426" s="23"/>
      <c r="L14426" s="23"/>
    </row>
    <row r="14427">
      <c r="B14427" s="19"/>
      <c r="E14427" s="23"/>
      <c r="L14427" s="23"/>
    </row>
    <row r="14428">
      <c r="B14428" s="19"/>
      <c r="E14428" s="23"/>
      <c r="L14428" s="23"/>
    </row>
    <row r="14429">
      <c r="B14429" s="19"/>
      <c r="E14429" s="23"/>
      <c r="L14429" s="23"/>
    </row>
    <row r="14430">
      <c r="B14430" s="19"/>
      <c r="E14430" s="23"/>
      <c r="L14430" s="23"/>
    </row>
    <row r="14431">
      <c r="B14431" s="19"/>
      <c r="E14431" s="23"/>
      <c r="L14431" s="23"/>
    </row>
    <row r="14432">
      <c r="B14432" s="19"/>
      <c r="E14432" s="23"/>
      <c r="L14432" s="23"/>
    </row>
    <row r="14433">
      <c r="B14433" s="19"/>
      <c r="E14433" s="23"/>
      <c r="L14433" s="23"/>
    </row>
    <row r="14434">
      <c r="B14434" s="19"/>
      <c r="E14434" s="23"/>
      <c r="L14434" s="23"/>
    </row>
    <row r="14435">
      <c r="B14435" s="19"/>
      <c r="E14435" s="23"/>
      <c r="L14435" s="23"/>
    </row>
    <row r="14436">
      <c r="B14436" s="19"/>
      <c r="E14436" s="23"/>
      <c r="L14436" s="23"/>
    </row>
    <row r="14437">
      <c r="B14437" s="19"/>
      <c r="E14437" s="23"/>
      <c r="L14437" s="23"/>
    </row>
    <row r="14438">
      <c r="B14438" s="19"/>
      <c r="E14438" s="23"/>
      <c r="L14438" s="23"/>
    </row>
    <row r="14439">
      <c r="B14439" s="19"/>
      <c r="E14439" s="23"/>
      <c r="L14439" s="23"/>
    </row>
    <row r="14440">
      <c r="B14440" s="19"/>
      <c r="E14440" s="23"/>
      <c r="L14440" s="23"/>
    </row>
    <row r="14441">
      <c r="B14441" s="19"/>
      <c r="E14441" s="23"/>
      <c r="L14441" s="23"/>
    </row>
    <row r="14442">
      <c r="B14442" s="19"/>
      <c r="E14442" s="23"/>
      <c r="L14442" s="23"/>
    </row>
    <row r="14443">
      <c r="B14443" s="19"/>
      <c r="E14443" s="23"/>
      <c r="L14443" s="23"/>
    </row>
    <row r="14444">
      <c r="B14444" s="19"/>
      <c r="E14444" s="23"/>
      <c r="L14444" s="23"/>
    </row>
    <row r="14445">
      <c r="B14445" s="19"/>
      <c r="E14445" s="23"/>
      <c r="L14445" s="23"/>
    </row>
    <row r="14446">
      <c r="B14446" s="19"/>
      <c r="E14446" s="23"/>
      <c r="L14446" s="23"/>
    </row>
    <row r="14447">
      <c r="B14447" s="19"/>
      <c r="E14447" s="23"/>
      <c r="L14447" s="23"/>
    </row>
    <row r="14448">
      <c r="B14448" s="19"/>
      <c r="E14448" s="23"/>
      <c r="L14448" s="23"/>
    </row>
    <row r="14449">
      <c r="B14449" s="19"/>
      <c r="E14449" s="23"/>
      <c r="L14449" s="23"/>
    </row>
    <row r="14450">
      <c r="B14450" s="19"/>
      <c r="E14450" s="23"/>
      <c r="L14450" s="23"/>
    </row>
    <row r="14451">
      <c r="B14451" s="19"/>
      <c r="E14451" s="23"/>
      <c r="L14451" s="23"/>
    </row>
    <row r="14452">
      <c r="B14452" s="19"/>
      <c r="E14452" s="23"/>
      <c r="L14452" s="23"/>
    </row>
    <row r="14453">
      <c r="B14453" s="19"/>
      <c r="E14453" s="23"/>
      <c r="L14453" s="23"/>
    </row>
    <row r="14454">
      <c r="B14454" s="19"/>
      <c r="E14454" s="23"/>
      <c r="L14454" s="23"/>
    </row>
    <row r="14455">
      <c r="B14455" s="19"/>
      <c r="E14455" s="23"/>
      <c r="L14455" s="23"/>
    </row>
    <row r="14456">
      <c r="B14456" s="19"/>
      <c r="E14456" s="23"/>
      <c r="L14456" s="23"/>
    </row>
    <row r="14457">
      <c r="B14457" s="19"/>
      <c r="E14457" s="23"/>
      <c r="L14457" s="23"/>
    </row>
    <row r="14458">
      <c r="B14458" s="19"/>
      <c r="E14458" s="23"/>
      <c r="L14458" s="23"/>
    </row>
    <row r="14459">
      <c r="B14459" s="19"/>
      <c r="E14459" s="23"/>
      <c r="L14459" s="23"/>
    </row>
    <row r="14460">
      <c r="B14460" s="19"/>
      <c r="E14460" s="23"/>
      <c r="L14460" s="23"/>
    </row>
    <row r="14461">
      <c r="B14461" s="19"/>
      <c r="E14461" s="23"/>
      <c r="L14461" s="23"/>
    </row>
    <row r="14462">
      <c r="B14462" s="19"/>
      <c r="E14462" s="23"/>
      <c r="L14462" s="23"/>
    </row>
    <row r="14463">
      <c r="B14463" s="19"/>
      <c r="E14463" s="23"/>
      <c r="L14463" s="23"/>
    </row>
    <row r="14464">
      <c r="B14464" s="19"/>
      <c r="E14464" s="23"/>
      <c r="L14464" s="23"/>
    </row>
    <row r="14465">
      <c r="B14465" s="19"/>
      <c r="E14465" s="23"/>
      <c r="L14465" s="23"/>
    </row>
    <row r="14466">
      <c r="B14466" s="19"/>
      <c r="E14466" s="23"/>
      <c r="L14466" s="23"/>
    </row>
    <row r="14467">
      <c r="B14467" s="19"/>
      <c r="E14467" s="23"/>
      <c r="L14467" s="23"/>
    </row>
    <row r="14468">
      <c r="B14468" s="19"/>
      <c r="E14468" s="23"/>
      <c r="L14468" s="23"/>
    </row>
    <row r="14469">
      <c r="B14469" s="19"/>
      <c r="E14469" s="23"/>
      <c r="L14469" s="23"/>
    </row>
    <row r="14470">
      <c r="B14470" s="19"/>
      <c r="E14470" s="23"/>
      <c r="L14470" s="23"/>
    </row>
    <row r="14471">
      <c r="B14471" s="19"/>
      <c r="E14471" s="23"/>
      <c r="L14471" s="23"/>
    </row>
    <row r="14472">
      <c r="B14472" s="19"/>
      <c r="E14472" s="23"/>
      <c r="L14472" s="23"/>
    </row>
    <row r="14473">
      <c r="B14473" s="19"/>
      <c r="E14473" s="23"/>
      <c r="L14473" s="23"/>
    </row>
    <row r="14474">
      <c r="B14474" s="19"/>
      <c r="E14474" s="23"/>
      <c r="L14474" s="23"/>
    </row>
    <row r="14475">
      <c r="B14475" s="19"/>
      <c r="E14475" s="23"/>
      <c r="L14475" s="23"/>
    </row>
    <row r="14476">
      <c r="B14476" s="19"/>
      <c r="E14476" s="23"/>
      <c r="L14476" s="23"/>
    </row>
    <row r="14477">
      <c r="B14477" s="19"/>
      <c r="E14477" s="23"/>
      <c r="L14477" s="23"/>
    </row>
    <row r="14478">
      <c r="B14478" s="19"/>
      <c r="E14478" s="23"/>
      <c r="L14478" s="23"/>
    </row>
    <row r="14479">
      <c r="B14479" s="19"/>
      <c r="E14479" s="23"/>
      <c r="L14479" s="23"/>
    </row>
    <row r="14480">
      <c r="B14480" s="19"/>
      <c r="E14480" s="23"/>
      <c r="L14480" s="23"/>
    </row>
    <row r="14481">
      <c r="B14481" s="19"/>
      <c r="E14481" s="23"/>
      <c r="L14481" s="23"/>
    </row>
    <row r="14482">
      <c r="B14482" s="19"/>
      <c r="E14482" s="23"/>
      <c r="L14482" s="23"/>
    </row>
    <row r="14483">
      <c r="B14483" s="19"/>
      <c r="E14483" s="23"/>
      <c r="L14483" s="23"/>
    </row>
    <row r="14484">
      <c r="B14484" s="19"/>
      <c r="E14484" s="23"/>
      <c r="L14484" s="23"/>
    </row>
    <row r="14485">
      <c r="B14485" s="19"/>
      <c r="E14485" s="23"/>
      <c r="L14485" s="23"/>
    </row>
    <row r="14486">
      <c r="B14486" s="19"/>
      <c r="E14486" s="23"/>
      <c r="L14486" s="23"/>
    </row>
    <row r="14487">
      <c r="B14487" s="19"/>
      <c r="E14487" s="23"/>
      <c r="L14487" s="23"/>
    </row>
    <row r="14488">
      <c r="B14488" s="19"/>
      <c r="E14488" s="23"/>
      <c r="L14488" s="23"/>
    </row>
    <row r="14489">
      <c r="B14489" s="19"/>
      <c r="E14489" s="23"/>
      <c r="L14489" s="23"/>
    </row>
    <row r="14490">
      <c r="B14490" s="19"/>
      <c r="E14490" s="23"/>
      <c r="L14490" s="23"/>
    </row>
    <row r="14491">
      <c r="B14491" s="19"/>
      <c r="E14491" s="23"/>
      <c r="L14491" s="23"/>
    </row>
    <row r="14492">
      <c r="B14492" s="19"/>
      <c r="E14492" s="23"/>
      <c r="L14492" s="23"/>
    </row>
    <row r="14493">
      <c r="B14493" s="19"/>
      <c r="E14493" s="23"/>
      <c r="L14493" s="23"/>
    </row>
    <row r="14494">
      <c r="B14494" s="19"/>
      <c r="E14494" s="23"/>
      <c r="L14494" s="23"/>
    </row>
    <row r="14495">
      <c r="B14495" s="19"/>
      <c r="E14495" s="23"/>
      <c r="L14495" s="23"/>
    </row>
    <row r="14496">
      <c r="B14496" s="19"/>
      <c r="E14496" s="23"/>
      <c r="L14496" s="23"/>
    </row>
    <row r="14497">
      <c r="B14497" s="19"/>
      <c r="E14497" s="23"/>
      <c r="L14497" s="23"/>
    </row>
    <row r="14498">
      <c r="B14498" s="19"/>
      <c r="E14498" s="23"/>
      <c r="L14498" s="23"/>
    </row>
    <row r="14499">
      <c r="B14499" s="19"/>
      <c r="E14499" s="23"/>
      <c r="L14499" s="23"/>
    </row>
    <row r="14500">
      <c r="B14500" s="19"/>
      <c r="E14500" s="23"/>
      <c r="L14500" s="23"/>
    </row>
    <row r="14501">
      <c r="B14501" s="19"/>
      <c r="E14501" s="23"/>
      <c r="L14501" s="23"/>
    </row>
    <row r="14502">
      <c r="B14502" s="19"/>
      <c r="E14502" s="23"/>
      <c r="L14502" s="23"/>
    </row>
    <row r="14503">
      <c r="B14503" s="19"/>
      <c r="E14503" s="23"/>
      <c r="L14503" s="23"/>
    </row>
    <row r="14504">
      <c r="B14504" s="19"/>
      <c r="E14504" s="23"/>
      <c r="L14504" s="23"/>
    </row>
    <row r="14505">
      <c r="B14505" s="19"/>
      <c r="E14505" s="23"/>
      <c r="L14505" s="23"/>
    </row>
    <row r="14506">
      <c r="B14506" s="19"/>
      <c r="E14506" s="23"/>
      <c r="L14506" s="23"/>
    </row>
    <row r="14507">
      <c r="B14507" s="19"/>
      <c r="E14507" s="23"/>
      <c r="L14507" s="23"/>
    </row>
    <row r="14508">
      <c r="B14508" s="19"/>
      <c r="E14508" s="23"/>
      <c r="L14508" s="23"/>
    </row>
    <row r="14509">
      <c r="B14509" s="19"/>
      <c r="E14509" s="23"/>
      <c r="L14509" s="23"/>
    </row>
    <row r="14510">
      <c r="B14510" s="19"/>
      <c r="E14510" s="23"/>
      <c r="L14510" s="23"/>
    </row>
    <row r="14511">
      <c r="B14511" s="19"/>
      <c r="E14511" s="23"/>
      <c r="L14511" s="23"/>
    </row>
    <row r="14512">
      <c r="B14512" s="19"/>
      <c r="E14512" s="23"/>
      <c r="L14512" s="23"/>
    </row>
    <row r="14513">
      <c r="B14513" s="19"/>
      <c r="E14513" s="23"/>
      <c r="L14513" s="23"/>
    </row>
    <row r="14514">
      <c r="B14514" s="19"/>
      <c r="E14514" s="23"/>
      <c r="L14514" s="23"/>
    </row>
    <row r="14515">
      <c r="B14515" s="19"/>
      <c r="E14515" s="23"/>
      <c r="L14515" s="23"/>
    </row>
    <row r="14516">
      <c r="B14516" s="19"/>
      <c r="E14516" s="23"/>
      <c r="L14516" s="23"/>
    </row>
    <row r="14517">
      <c r="B14517" s="19"/>
      <c r="E14517" s="23"/>
      <c r="L14517" s="23"/>
    </row>
    <row r="14518">
      <c r="B14518" s="19"/>
      <c r="E14518" s="23"/>
      <c r="L14518" s="23"/>
    </row>
    <row r="14519">
      <c r="B14519" s="19"/>
      <c r="E14519" s="23"/>
      <c r="L14519" s="23"/>
    </row>
    <row r="14520">
      <c r="B14520" s="19"/>
      <c r="E14520" s="23"/>
      <c r="L14520" s="23"/>
    </row>
    <row r="14521">
      <c r="B14521" s="19"/>
      <c r="E14521" s="23"/>
      <c r="L14521" s="23"/>
    </row>
    <row r="14522">
      <c r="B14522" s="19"/>
      <c r="E14522" s="23"/>
      <c r="L14522" s="23"/>
    </row>
    <row r="14523">
      <c r="B14523" s="19"/>
      <c r="E14523" s="23"/>
      <c r="L14523" s="23"/>
    </row>
    <row r="14524">
      <c r="B14524" s="19"/>
      <c r="E14524" s="23"/>
      <c r="L14524" s="23"/>
    </row>
    <row r="14525">
      <c r="B14525" s="19"/>
      <c r="E14525" s="23"/>
      <c r="L14525" s="23"/>
    </row>
    <row r="14526">
      <c r="B14526" s="19"/>
      <c r="E14526" s="23"/>
      <c r="L14526" s="23"/>
    </row>
    <row r="14527">
      <c r="B14527" s="19"/>
      <c r="E14527" s="23"/>
      <c r="L14527" s="23"/>
    </row>
    <row r="14528">
      <c r="B14528" s="19"/>
      <c r="E14528" s="23"/>
      <c r="L14528" s="23"/>
    </row>
    <row r="14529">
      <c r="B14529" s="19"/>
      <c r="E14529" s="23"/>
      <c r="L14529" s="23"/>
    </row>
    <row r="14530">
      <c r="B14530" s="19"/>
      <c r="E14530" s="23"/>
      <c r="L14530" s="23"/>
    </row>
    <row r="14531">
      <c r="B14531" s="19"/>
      <c r="E14531" s="23"/>
      <c r="L14531" s="23"/>
    </row>
    <row r="14532">
      <c r="B14532" s="19"/>
      <c r="E14532" s="23"/>
      <c r="L14532" s="23"/>
    </row>
    <row r="14533">
      <c r="B14533" s="19"/>
      <c r="E14533" s="23"/>
      <c r="L14533" s="23"/>
    </row>
    <row r="14534">
      <c r="B14534" s="19"/>
      <c r="E14534" s="23"/>
      <c r="L14534" s="23"/>
    </row>
    <row r="14535">
      <c r="B14535" s="19"/>
      <c r="E14535" s="23"/>
      <c r="L14535" s="23"/>
    </row>
    <row r="14536">
      <c r="B14536" s="19"/>
      <c r="E14536" s="23"/>
      <c r="L14536" s="23"/>
    </row>
    <row r="14537">
      <c r="B14537" s="19"/>
      <c r="E14537" s="23"/>
      <c r="L14537" s="23"/>
    </row>
    <row r="14538">
      <c r="B14538" s="19"/>
      <c r="E14538" s="23"/>
      <c r="L14538" s="23"/>
    </row>
    <row r="14539">
      <c r="B14539" s="19"/>
      <c r="E14539" s="23"/>
      <c r="L14539" s="23"/>
    </row>
    <row r="14540">
      <c r="B14540" s="19"/>
      <c r="E14540" s="23"/>
      <c r="L14540" s="23"/>
    </row>
    <row r="14541">
      <c r="B14541" s="19"/>
      <c r="E14541" s="23"/>
      <c r="L14541" s="23"/>
    </row>
    <row r="14542">
      <c r="B14542" s="19"/>
      <c r="E14542" s="23"/>
      <c r="L14542" s="23"/>
    </row>
    <row r="14543">
      <c r="B14543" s="19"/>
      <c r="E14543" s="23"/>
      <c r="L14543" s="23"/>
    </row>
    <row r="14544">
      <c r="B14544" s="19"/>
      <c r="E14544" s="23"/>
      <c r="L14544" s="23"/>
    </row>
    <row r="14545">
      <c r="B14545" s="19"/>
      <c r="E14545" s="23"/>
      <c r="L14545" s="23"/>
    </row>
    <row r="14546">
      <c r="B14546" s="19"/>
      <c r="E14546" s="23"/>
      <c r="L14546" s="23"/>
    </row>
    <row r="14547">
      <c r="B14547" s="19"/>
      <c r="E14547" s="23"/>
      <c r="L14547" s="23"/>
    </row>
    <row r="14548">
      <c r="B14548" s="19"/>
      <c r="E14548" s="23"/>
      <c r="L14548" s="23"/>
    </row>
    <row r="14549">
      <c r="B14549" s="19"/>
      <c r="E14549" s="23"/>
      <c r="L14549" s="23"/>
    </row>
    <row r="14550">
      <c r="B14550" s="19"/>
      <c r="E14550" s="23"/>
      <c r="L14550" s="23"/>
    </row>
    <row r="14551">
      <c r="B14551" s="19"/>
      <c r="E14551" s="23"/>
      <c r="L14551" s="23"/>
    </row>
    <row r="14552">
      <c r="B14552" s="19"/>
      <c r="E14552" s="23"/>
      <c r="L14552" s="23"/>
    </row>
    <row r="14553">
      <c r="B14553" s="19"/>
      <c r="E14553" s="23"/>
      <c r="L14553" s="23"/>
    </row>
    <row r="14554">
      <c r="B14554" s="19"/>
      <c r="E14554" s="23"/>
      <c r="L14554" s="23"/>
    </row>
    <row r="14555">
      <c r="B14555" s="19"/>
      <c r="E14555" s="23"/>
      <c r="L14555" s="23"/>
    </row>
    <row r="14556">
      <c r="B14556" s="19"/>
      <c r="E14556" s="23"/>
      <c r="L14556" s="23"/>
    </row>
    <row r="14557">
      <c r="B14557" s="19"/>
      <c r="E14557" s="23"/>
      <c r="L14557" s="23"/>
    </row>
    <row r="14558">
      <c r="B14558" s="19"/>
      <c r="E14558" s="23"/>
      <c r="L14558" s="23"/>
    </row>
    <row r="14559">
      <c r="B14559" s="19"/>
      <c r="E14559" s="23"/>
      <c r="L14559" s="23"/>
    </row>
    <row r="14560">
      <c r="B14560" s="19"/>
      <c r="E14560" s="23"/>
      <c r="L14560" s="23"/>
    </row>
    <row r="14561">
      <c r="B14561" s="19"/>
      <c r="E14561" s="23"/>
      <c r="L14561" s="23"/>
    </row>
    <row r="14562">
      <c r="B14562" s="19"/>
      <c r="E14562" s="23"/>
      <c r="L14562" s="23"/>
    </row>
    <row r="14563">
      <c r="B14563" s="19"/>
      <c r="E14563" s="23"/>
      <c r="L14563" s="23"/>
    </row>
    <row r="14564">
      <c r="B14564" s="19"/>
      <c r="E14564" s="23"/>
      <c r="L14564" s="23"/>
    </row>
    <row r="14565">
      <c r="B14565" s="19"/>
      <c r="E14565" s="23"/>
      <c r="L14565" s="23"/>
    </row>
    <row r="14566">
      <c r="B14566" s="19"/>
      <c r="E14566" s="23"/>
      <c r="L14566" s="23"/>
    </row>
    <row r="14567">
      <c r="B14567" s="19"/>
      <c r="E14567" s="23"/>
      <c r="L14567" s="23"/>
    </row>
    <row r="14568">
      <c r="B14568" s="19"/>
      <c r="E14568" s="23"/>
      <c r="L14568" s="23"/>
    </row>
    <row r="14569">
      <c r="B14569" s="19"/>
      <c r="E14569" s="23"/>
      <c r="L14569" s="23"/>
    </row>
    <row r="14570">
      <c r="B14570" s="19"/>
      <c r="E14570" s="23"/>
      <c r="L14570" s="23"/>
    </row>
    <row r="14571">
      <c r="B14571" s="19"/>
      <c r="E14571" s="23"/>
      <c r="L14571" s="23"/>
    </row>
    <row r="14572">
      <c r="B14572" s="19"/>
      <c r="E14572" s="23"/>
      <c r="L14572" s="23"/>
    </row>
    <row r="14573">
      <c r="B14573" s="19"/>
      <c r="E14573" s="23"/>
      <c r="L14573" s="23"/>
    </row>
    <row r="14574">
      <c r="B14574" s="19"/>
      <c r="E14574" s="23"/>
      <c r="L14574" s="23"/>
    </row>
    <row r="14575">
      <c r="B14575" s="19"/>
      <c r="E14575" s="23"/>
      <c r="L14575" s="23"/>
    </row>
    <row r="14576">
      <c r="B14576" s="19"/>
      <c r="E14576" s="23"/>
      <c r="L14576" s="23"/>
    </row>
    <row r="14577">
      <c r="B14577" s="19"/>
      <c r="E14577" s="23"/>
      <c r="L14577" s="23"/>
    </row>
    <row r="14578">
      <c r="B14578" s="19"/>
      <c r="E14578" s="23"/>
      <c r="L14578" s="23"/>
    </row>
    <row r="14579">
      <c r="B14579" s="19"/>
      <c r="E14579" s="23"/>
      <c r="L14579" s="23"/>
    </row>
    <row r="14580">
      <c r="B14580" s="19"/>
      <c r="E14580" s="23"/>
      <c r="L14580" s="23"/>
    </row>
    <row r="14581">
      <c r="B14581" s="19"/>
      <c r="E14581" s="23"/>
      <c r="L14581" s="23"/>
    </row>
    <row r="14582">
      <c r="B14582" s="19"/>
      <c r="E14582" s="23"/>
      <c r="L14582" s="23"/>
    </row>
    <row r="14583">
      <c r="B14583" s="19"/>
      <c r="E14583" s="23"/>
      <c r="L14583" s="23"/>
    </row>
    <row r="14584">
      <c r="B14584" s="19"/>
      <c r="E14584" s="23"/>
      <c r="L14584" s="23"/>
    </row>
    <row r="14585">
      <c r="B14585" s="19"/>
      <c r="E14585" s="23"/>
      <c r="L14585" s="23"/>
    </row>
    <row r="14586">
      <c r="B14586" s="19"/>
      <c r="E14586" s="23"/>
      <c r="L14586" s="23"/>
    </row>
    <row r="14587">
      <c r="B14587" s="19"/>
      <c r="E14587" s="23"/>
      <c r="L14587" s="23"/>
    </row>
    <row r="14588">
      <c r="B14588" s="19"/>
      <c r="E14588" s="23"/>
      <c r="L14588" s="23"/>
    </row>
    <row r="14589">
      <c r="B14589" s="19"/>
      <c r="E14589" s="23"/>
      <c r="L14589" s="23"/>
    </row>
    <row r="14590">
      <c r="B14590" s="19"/>
      <c r="E14590" s="23"/>
      <c r="L14590" s="23"/>
    </row>
    <row r="14591">
      <c r="B14591" s="19"/>
      <c r="E14591" s="23"/>
      <c r="L14591" s="23"/>
    </row>
    <row r="14592">
      <c r="B14592" s="19"/>
      <c r="E14592" s="23"/>
      <c r="L14592" s="23"/>
    </row>
    <row r="14593">
      <c r="B14593" s="19"/>
      <c r="E14593" s="23"/>
      <c r="L14593" s="23"/>
    </row>
    <row r="14594">
      <c r="B14594" s="19"/>
      <c r="E14594" s="23"/>
      <c r="L14594" s="23"/>
    </row>
    <row r="14595">
      <c r="B14595" s="19"/>
      <c r="E14595" s="23"/>
      <c r="L14595" s="23"/>
    </row>
    <row r="14596">
      <c r="B14596" s="19"/>
      <c r="E14596" s="23"/>
      <c r="L14596" s="23"/>
    </row>
    <row r="14597">
      <c r="B14597" s="19"/>
      <c r="E14597" s="23"/>
      <c r="L14597" s="23"/>
    </row>
    <row r="14598">
      <c r="B14598" s="19"/>
      <c r="E14598" s="23"/>
      <c r="L14598" s="23"/>
    </row>
    <row r="14599">
      <c r="B14599" s="19"/>
      <c r="E14599" s="23"/>
      <c r="L14599" s="23"/>
    </row>
    <row r="14600">
      <c r="B14600" s="19"/>
      <c r="E14600" s="23"/>
      <c r="L14600" s="23"/>
    </row>
    <row r="14601">
      <c r="B14601" s="19"/>
      <c r="E14601" s="23"/>
      <c r="L14601" s="23"/>
    </row>
    <row r="14602">
      <c r="B14602" s="19"/>
      <c r="E14602" s="23"/>
      <c r="L14602" s="23"/>
    </row>
    <row r="14603">
      <c r="B14603" s="19"/>
      <c r="E14603" s="23"/>
      <c r="L14603" s="23"/>
    </row>
    <row r="14604">
      <c r="B14604" s="19"/>
      <c r="E14604" s="23"/>
      <c r="L14604" s="23"/>
    </row>
    <row r="14605">
      <c r="B14605" s="19"/>
      <c r="E14605" s="23"/>
      <c r="L14605" s="23"/>
    </row>
    <row r="14606">
      <c r="B14606" s="19"/>
      <c r="E14606" s="23"/>
      <c r="L14606" s="23"/>
    </row>
    <row r="14607">
      <c r="B14607" s="19"/>
      <c r="E14607" s="23"/>
      <c r="L14607" s="23"/>
    </row>
    <row r="14608">
      <c r="B14608" s="19"/>
      <c r="E14608" s="23"/>
      <c r="L14608" s="23"/>
    </row>
    <row r="14609">
      <c r="B14609" s="19"/>
      <c r="E14609" s="23"/>
      <c r="L14609" s="23"/>
    </row>
    <row r="14610">
      <c r="B14610" s="19"/>
      <c r="E14610" s="23"/>
      <c r="L14610" s="23"/>
    </row>
    <row r="14611">
      <c r="B14611" s="19"/>
      <c r="E14611" s="23"/>
      <c r="L14611" s="23"/>
    </row>
    <row r="14612">
      <c r="B14612" s="19"/>
      <c r="E14612" s="23"/>
      <c r="L14612" s="23"/>
    </row>
    <row r="14613">
      <c r="B14613" s="19"/>
      <c r="E14613" s="23"/>
      <c r="L14613" s="23"/>
    </row>
    <row r="14614">
      <c r="B14614" s="19"/>
      <c r="E14614" s="23"/>
      <c r="L14614" s="23"/>
    </row>
    <row r="14615">
      <c r="B14615" s="19"/>
      <c r="E14615" s="23"/>
      <c r="L14615" s="23"/>
    </row>
    <row r="14616">
      <c r="B14616" s="19"/>
      <c r="E14616" s="23"/>
      <c r="L14616" s="23"/>
    </row>
    <row r="14617">
      <c r="B14617" s="19"/>
      <c r="E14617" s="23"/>
      <c r="L14617" s="23"/>
    </row>
    <row r="14618">
      <c r="B14618" s="19"/>
      <c r="E14618" s="23"/>
      <c r="L14618" s="23"/>
    </row>
    <row r="14619">
      <c r="B14619" s="19"/>
      <c r="E14619" s="23"/>
      <c r="L14619" s="23"/>
    </row>
    <row r="14620">
      <c r="B14620" s="19"/>
      <c r="E14620" s="23"/>
      <c r="L14620" s="23"/>
    </row>
    <row r="14621">
      <c r="B14621" s="19"/>
      <c r="E14621" s="23"/>
      <c r="L14621" s="23"/>
    </row>
    <row r="14622">
      <c r="B14622" s="19"/>
      <c r="E14622" s="23"/>
      <c r="L14622" s="23"/>
    </row>
    <row r="14623">
      <c r="B14623" s="19"/>
      <c r="E14623" s="23"/>
      <c r="L14623" s="23"/>
    </row>
    <row r="14624">
      <c r="B14624" s="19"/>
      <c r="E14624" s="23"/>
      <c r="L14624" s="23"/>
    </row>
    <row r="14625">
      <c r="B14625" s="19"/>
      <c r="E14625" s="23"/>
      <c r="L14625" s="23"/>
    </row>
    <row r="14626">
      <c r="B14626" s="19"/>
      <c r="E14626" s="23"/>
      <c r="L14626" s="23"/>
    </row>
    <row r="14627">
      <c r="B14627" s="19"/>
      <c r="E14627" s="23"/>
      <c r="L14627" s="23"/>
    </row>
    <row r="14628">
      <c r="B14628" s="19"/>
      <c r="E14628" s="23"/>
      <c r="L14628" s="23"/>
    </row>
    <row r="14629">
      <c r="B14629" s="19"/>
      <c r="E14629" s="23"/>
      <c r="L14629" s="23"/>
    </row>
    <row r="14630">
      <c r="B14630" s="19"/>
      <c r="E14630" s="23"/>
      <c r="L14630" s="23"/>
    </row>
    <row r="14631">
      <c r="B14631" s="19"/>
      <c r="E14631" s="23"/>
      <c r="L14631" s="23"/>
    </row>
    <row r="14632">
      <c r="B14632" s="19"/>
      <c r="E14632" s="23"/>
      <c r="L14632" s="23"/>
    </row>
    <row r="14633">
      <c r="B14633" s="19"/>
      <c r="E14633" s="23"/>
      <c r="L14633" s="23"/>
    </row>
    <row r="14634">
      <c r="B14634" s="19"/>
      <c r="E14634" s="23"/>
      <c r="L14634" s="23"/>
    </row>
    <row r="14635">
      <c r="B14635" s="19"/>
      <c r="E14635" s="23"/>
      <c r="L14635" s="23"/>
    </row>
    <row r="14636">
      <c r="B14636" s="19"/>
      <c r="E14636" s="23"/>
      <c r="L14636" s="23"/>
    </row>
    <row r="14637">
      <c r="B14637" s="19"/>
      <c r="E14637" s="23"/>
      <c r="L14637" s="23"/>
    </row>
    <row r="14638">
      <c r="B14638" s="19"/>
      <c r="E14638" s="23"/>
      <c r="L14638" s="23"/>
    </row>
    <row r="14639">
      <c r="B14639" s="19"/>
      <c r="E14639" s="23"/>
      <c r="L14639" s="23"/>
    </row>
    <row r="14640">
      <c r="B14640" s="19"/>
      <c r="E14640" s="23"/>
      <c r="L14640" s="23"/>
    </row>
    <row r="14641">
      <c r="B14641" s="19"/>
      <c r="E14641" s="23"/>
      <c r="L14641" s="23"/>
    </row>
    <row r="14642">
      <c r="B14642" s="19"/>
      <c r="E14642" s="23"/>
      <c r="L14642" s="23"/>
    </row>
    <row r="14643">
      <c r="B14643" s="19"/>
      <c r="E14643" s="23"/>
      <c r="L14643" s="23"/>
    </row>
    <row r="14644">
      <c r="B14644" s="19"/>
      <c r="E14644" s="23"/>
      <c r="L14644" s="23"/>
    </row>
    <row r="14645">
      <c r="B14645" s="19"/>
      <c r="E14645" s="23"/>
      <c r="L14645" s="23"/>
    </row>
    <row r="14646">
      <c r="B14646" s="19"/>
      <c r="E14646" s="23"/>
      <c r="L14646" s="23"/>
    </row>
    <row r="14647">
      <c r="B14647" s="19"/>
      <c r="E14647" s="23"/>
      <c r="L14647" s="23"/>
    </row>
    <row r="14648">
      <c r="B14648" s="19"/>
      <c r="E14648" s="23"/>
      <c r="L14648" s="23"/>
    </row>
    <row r="14649">
      <c r="B14649" s="19"/>
      <c r="E14649" s="23"/>
      <c r="L14649" s="23"/>
    </row>
    <row r="14650">
      <c r="B14650" s="19"/>
      <c r="E14650" s="23"/>
      <c r="L14650" s="23"/>
    </row>
    <row r="14651">
      <c r="B14651" s="19"/>
      <c r="E14651" s="23"/>
      <c r="L14651" s="23"/>
    </row>
    <row r="14652">
      <c r="B14652" s="19"/>
      <c r="E14652" s="23"/>
      <c r="L14652" s="23"/>
    </row>
    <row r="14653">
      <c r="B14653" s="19"/>
      <c r="E14653" s="23"/>
      <c r="L14653" s="23"/>
    </row>
    <row r="14654">
      <c r="B14654" s="19"/>
      <c r="E14654" s="23"/>
      <c r="L14654" s="23"/>
    </row>
    <row r="14655">
      <c r="B14655" s="19"/>
      <c r="E14655" s="23"/>
      <c r="L14655" s="23"/>
    </row>
    <row r="14656">
      <c r="B14656" s="19"/>
      <c r="E14656" s="23"/>
      <c r="L14656" s="23"/>
    </row>
    <row r="14657">
      <c r="B14657" s="19"/>
      <c r="E14657" s="23"/>
      <c r="L14657" s="23"/>
    </row>
    <row r="14658">
      <c r="B14658" s="19"/>
      <c r="E14658" s="23"/>
      <c r="L14658" s="23"/>
    </row>
    <row r="14659">
      <c r="B14659" s="19"/>
      <c r="E14659" s="23"/>
      <c r="L14659" s="23"/>
    </row>
    <row r="14660">
      <c r="B14660" s="19"/>
      <c r="E14660" s="23"/>
      <c r="L14660" s="23"/>
    </row>
    <row r="14661">
      <c r="B14661" s="19"/>
      <c r="E14661" s="23"/>
      <c r="L14661" s="23"/>
    </row>
    <row r="14662">
      <c r="B14662" s="19"/>
      <c r="E14662" s="23"/>
      <c r="L14662" s="23"/>
    </row>
    <row r="14663">
      <c r="B14663" s="19"/>
      <c r="E14663" s="23"/>
      <c r="L14663" s="23"/>
    </row>
    <row r="14664">
      <c r="B14664" s="19"/>
      <c r="E14664" s="23"/>
      <c r="L14664" s="23"/>
    </row>
    <row r="14665">
      <c r="B14665" s="19"/>
      <c r="E14665" s="23"/>
      <c r="L14665" s="23"/>
    </row>
    <row r="14666">
      <c r="B14666" s="19"/>
      <c r="E14666" s="23"/>
      <c r="L14666" s="23"/>
    </row>
    <row r="14667">
      <c r="B14667" s="19"/>
      <c r="E14667" s="23"/>
      <c r="L14667" s="23"/>
    </row>
    <row r="14668">
      <c r="B14668" s="19"/>
      <c r="E14668" s="23"/>
      <c r="L14668" s="23"/>
    </row>
    <row r="14669">
      <c r="B14669" s="19"/>
      <c r="E14669" s="23"/>
      <c r="L14669" s="23"/>
    </row>
    <row r="14670">
      <c r="B14670" s="19"/>
      <c r="E14670" s="23"/>
      <c r="L14670" s="23"/>
    </row>
    <row r="14671">
      <c r="B14671" s="19"/>
      <c r="E14671" s="23"/>
      <c r="L14671" s="23"/>
    </row>
    <row r="14672">
      <c r="B14672" s="19"/>
      <c r="E14672" s="23"/>
      <c r="L14672" s="23"/>
    </row>
    <row r="14673">
      <c r="B14673" s="19"/>
      <c r="E14673" s="23"/>
      <c r="L14673" s="23"/>
    </row>
    <row r="14674">
      <c r="B14674" s="19"/>
      <c r="E14674" s="23"/>
      <c r="L14674" s="23"/>
    </row>
    <row r="14675">
      <c r="B14675" s="19"/>
      <c r="E14675" s="23"/>
      <c r="L14675" s="23"/>
    </row>
    <row r="14676">
      <c r="B14676" s="19"/>
      <c r="E14676" s="23"/>
      <c r="L14676" s="23"/>
    </row>
    <row r="14677">
      <c r="B14677" s="19"/>
      <c r="E14677" s="23"/>
      <c r="L14677" s="23"/>
    </row>
    <row r="14678">
      <c r="B14678" s="19"/>
      <c r="E14678" s="23"/>
      <c r="L14678" s="23"/>
    </row>
    <row r="14679">
      <c r="B14679" s="19"/>
      <c r="E14679" s="23"/>
      <c r="L14679" s="23"/>
    </row>
    <row r="14680">
      <c r="B14680" s="19"/>
      <c r="E14680" s="23"/>
      <c r="L14680" s="23"/>
    </row>
    <row r="14681">
      <c r="B14681" s="19"/>
      <c r="E14681" s="23"/>
      <c r="L14681" s="23"/>
    </row>
    <row r="14682">
      <c r="B14682" s="19"/>
      <c r="E14682" s="23"/>
      <c r="L14682" s="23"/>
    </row>
    <row r="14683">
      <c r="B14683" s="19"/>
      <c r="E14683" s="23"/>
      <c r="L14683" s="23"/>
    </row>
    <row r="14684">
      <c r="B14684" s="19"/>
      <c r="E14684" s="23"/>
      <c r="L14684" s="23"/>
    </row>
    <row r="14685">
      <c r="B14685" s="19"/>
      <c r="E14685" s="23"/>
      <c r="L14685" s="23"/>
    </row>
    <row r="14686">
      <c r="B14686" s="19"/>
      <c r="E14686" s="23"/>
      <c r="L14686" s="23"/>
    </row>
    <row r="14687">
      <c r="B14687" s="19"/>
      <c r="E14687" s="23"/>
      <c r="L14687" s="23"/>
    </row>
    <row r="14688">
      <c r="B14688" s="19"/>
      <c r="E14688" s="23"/>
      <c r="L14688" s="23"/>
    </row>
    <row r="14689">
      <c r="B14689" s="19"/>
      <c r="E14689" s="23"/>
      <c r="L14689" s="23"/>
    </row>
    <row r="14690">
      <c r="B14690" s="19"/>
      <c r="E14690" s="23"/>
      <c r="L14690" s="23"/>
    </row>
    <row r="14691">
      <c r="B14691" s="19"/>
      <c r="E14691" s="23"/>
      <c r="L14691" s="23"/>
    </row>
    <row r="14692">
      <c r="B14692" s="19"/>
      <c r="E14692" s="23"/>
      <c r="L14692" s="23"/>
    </row>
    <row r="14693">
      <c r="B14693" s="19"/>
      <c r="E14693" s="23"/>
      <c r="L14693" s="23"/>
    </row>
    <row r="14694">
      <c r="B14694" s="19"/>
      <c r="E14694" s="23"/>
      <c r="L14694" s="23"/>
    </row>
    <row r="14695">
      <c r="B14695" s="19"/>
      <c r="E14695" s="23"/>
      <c r="L14695" s="23"/>
    </row>
    <row r="14696">
      <c r="B14696" s="19"/>
      <c r="E14696" s="23"/>
      <c r="L14696" s="23"/>
    </row>
    <row r="14697">
      <c r="B14697" s="19"/>
      <c r="E14697" s="23"/>
      <c r="L14697" s="23"/>
    </row>
    <row r="14698">
      <c r="B14698" s="19"/>
      <c r="E14698" s="23"/>
      <c r="L14698" s="23"/>
    </row>
    <row r="14699">
      <c r="B14699" s="19"/>
      <c r="E14699" s="23"/>
      <c r="L14699" s="23"/>
    </row>
    <row r="14700">
      <c r="B14700" s="19"/>
      <c r="E14700" s="23"/>
      <c r="L14700" s="23"/>
    </row>
    <row r="14701">
      <c r="B14701" s="19"/>
      <c r="E14701" s="23"/>
      <c r="L14701" s="23"/>
    </row>
    <row r="14702">
      <c r="B14702" s="19"/>
      <c r="E14702" s="23"/>
      <c r="L14702" s="23"/>
    </row>
    <row r="14703">
      <c r="B14703" s="19"/>
      <c r="E14703" s="23"/>
      <c r="L14703" s="23"/>
    </row>
    <row r="14704">
      <c r="B14704" s="19"/>
      <c r="E14704" s="23"/>
      <c r="L14704" s="23"/>
    </row>
    <row r="14705">
      <c r="B14705" s="19"/>
      <c r="E14705" s="23"/>
      <c r="L14705" s="23"/>
    </row>
    <row r="14706">
      <c r="B14706" s="19"/>
      <c r="E14706" s="23"/>
      <c r="L14706" s="23"/>
    </row>
    <row r="14707">
      <c r="B14707" s="19"/>
      <c r="E14707" s="23"/>
      <c r="L14707" s="23"/>
    </row>
    <row r="14708">
      <c r="B14708" s="19"/>
      <c r="E14708" s="23"/>
      <c r="L14708" s="23"/>
    </row>
    <row r="14709">
      <c r="B14709" s="19"/>
      <c r="E14709" s="23"/>
      <c r="L14709" s="23"/>
    </row>
    <row r="14710">
      <c r="B14710" s="19"/>
      <c r="E14710" s="23"/>
      <c r="L14710" s="23"/>
    </row>
    <row r="14711">
      <c r="B14711" s="19"/>
      <c r="E14711" s="23"/>
      <c r="L14711" s="23"/>
    </row>
    <row r="14712">
      <c r="B14712" s="19"/>
      <c r="E14712" s="23"/>
      <c r="L14712" s="23"/>
    </row>
    <row r="14713">
      <c r="B14713" s="19"/>
      <c r="E14713" s="23"/>
      <c r="L14713" s="23"/>
    </row>
    <row r="14714">
      <c r="B14714" s="19"/>
      <c r="E14714" s="23"/>
      <c r="L14714" s="23"/>
    </row>
    <row r="14715">
      <c r="B14715" s="19"/>
      <c r="E14715" s="23"/>
      <c r="L14715" s="23"/>
    </row>
    <row r="14716">
      <c r="B14716" s="19"/>
      <c r="E14716" s="23"/>
      <c r="L14716" s="23"/>
    </row>
    <row r="14717">
      <c r="B14717" s="19"/>
      <c r="E14717" s="23"/>
      <c r="L14717" s="23"/>
    </row>
    <row r="14718">
      <c r="B14718" s="19"/>
      <c r="E14718" s="23"/>
      <c r="L14718" s="23"/>
    </row>
    <row r="14719">
      <c r="B14719" s="19"/>
      <c r="E14719" s="23"/>
      <c r="L14719" s="23"/>
    </row>
    <row r="14720">
      <c r="B14720" s="19"/>
      <c r="E14720" s="23"/>
      <c r="L14720" s="23"/>
    </row>
    <row r="14721">
      <c r="B14721" s="19"/>
      <c r="E14721" s="23"/>
      <c r="L14721" s="23"/>
    </row>
    <row r="14722">
      <c r="B14722" s="19"/>
      <c r="E14722" s="23"/>
      <c r="L14722" s="23"/>
    </row>
    <row r="14723">
      <c r="B14723" s="19"/>
      <c r="E14723" s="23"/>
      <c r="L14723" s="23"/>
    </row>
    <row r="14724">
      <c r="B14724" s="19"/>
      <c r="E14724" s="23"/>
      <c r="L14724" s="23"/>
    </row>
    <row r="14725">
      <c r="B14725" s="19"/>
      <c r="E14725" s="23"/>
      <c r="L14725" s="23"/>
    </row>
    <row r="14726">
      <c r="B14726" s="19"/>
      <c r="E14726" s="23"/>
      <c r="L14726" s="23"/>
    </row>
    <row r="14727">
      <c r="B14727" s="19"/>
      <c r="E14727" s="23"/>
      <c r="L14727" s="23"/>
    </row>
    <row r="14728">
      <c r="B14728" s="19"/>
      <c r="E14728" s="23"/>
      <c r="L14728" s="23"/>
    </row>
    <row r="14729">
      <c r="B14729" s="19"/>
      <c r="E14729" s="23"/>
      <c r="L14729" s="23"/>
    </row>
    <row r="14730">
      <c r="B14730" s="19"/>
      <c r="E14730" s="23"/>
      <c r="L14730" s="23"/>
    </row>
    <row r="14731">
      <c r="B14731" s="19"/>
      <c r="E14731" s="23"/>
      <c r="L14731" s="23"/>
    </row>
    <row r="14732">
      <c r="B14732" s="19"/>
      <c r="E14732" s="23"/>
      <c r="L14732" s="23"/>
    </row>
    <row r="14733">
      <c r="B14733" s="19"/>
      <c r="E14733" s="23"/>
      <c r="L14733" s="23"/>
    </row>
    <row r="14734">
      <c r="B14734" s="19"/>
      <c r="E14734" s="23"/>
      <c r="L14734" s="23"/>
    </row>
    <row r="14735">
      <c r="B14735" s="19"/>
      <c r="E14735" s="23"/>
      <c r="L14735" s="23"/>
    </row>
    <row r="14736">
      <c r="B14736" s="19"/>
      <c r="E14736" s="23"/>
      <c r="L14736" s="23"/>
    </row>
    <row r="14737">
      <c r="B14737" s="19"/>
      <c r="E14737" s="23"/>
      <c r="L14737" s="23"/>
    </row>
    <row r="14738">
      <c r="B14738" s="19"/>
      <c r="E14738" s="23"/>
      <c r="L14738" s="23"/>
    </row>
    <row r="14739">
      <c r="B14739" s="19"/>
      <c r="E14739" s="23"/>
      <c r="L14739" s="23"/>
    </row>
    <row r="14740">
      <c r="B14740" s="19"/>
      <c r="E14740" s="23"/>
      <c r="L14740" s="23"/>
    </row>
    <row r="14741">
      <c r="B14741" s="19"/>
      <c r="E14741" s="23"/>
      <c r="L14741" s="23"/>
    </row>
    <row r="14742">
      <c r="B14742" s="19"/>
      <c r="E14742" s="23"/>
      <c r="L14742" s="23"/>
    </row>
    <row r="14743">
      <c r="B14743" s="19"/>
      <c r="E14743" s="23"/>
      <c r="L14743" s="23"/>
    </row>
    <row r="14744">
      <c r="B14744" s="19"/>
      <c r="E14744" s="23"/>
      <c r="L14744" s="23"/>
    </row>
    <row r="14745">
      <c r="B14745" s="19"/>
      <c r="E14745" s="23"/>
      <c r="L14745" s="23"/>
    </row>
    <row r="14746">
      <c r="B14746" s="19"/>
      <c r="E14746" s="23"/>
      <c r="L14746" s="23"/>
    </row>
    <row r="14747">
      <c r="B14747" s="19"/>
      <c r="E14747" s="23"/>
      <c r="L14747" s="23"/>
    </row>
    <row r="14748">
      <c r="B14748" s="19"/>
      <c r="E14748" s="23"/>
      <c r="L14748" s="23"/>
    </row>
    <row r="14749">
      <c r="B14749" s="19"/>
      <c r="E14749" s="23"/>
      <c r="L14749" s="23"/>
    </row>
    <row r="14750">
      <c r="B14750" s="19"/>
      <c r="E14750" s="23"/>
      <c r="L14750" s="23"/>
    </row>
    <row r="14751">
      <c r="B14751" s="19"/>
      <c r="E14751" s="23"/>
      <c r="L14751" s="23"/>
    </row>
    <row r="14752">
      <c r="B14752" s="19"/>
      <c r="E14752" s="23"/>
      <c r="L14752" s="23"/>
    </row>
    <row r="14753">
      <c r="B14753" s="19"/>
      <c r="E14753" s="23"/>
      <c r="L14753" s="23"/>
    </row>
    <row r="14754">
      <c r="B14754" s="19"/>
      <c r="E14754" s="23"/>
      <c r="L14754" s="23"/>
    </row>
    <row r="14755">
      <c r="B14755" s="19"/>
      <c r="E14755" s="23"/>
      <c r="L14755" s="23"/>
    </row>
    <row r="14756">
      <c r="B14756" s="19"/>
      <c r="E14756" s="23"/>
      <c r="L14756" s="23"/>
    </row>
    <row r="14757">
      <c r="B14757" s="19"/>
      <c r="E14757" s="23"/>
      <c r="L14757" s="23"/>
    </row>
    <row r="14758">
      <c r="B14758" s="19"/>
      <c r="E14758" s="23"/>
      <c r="L14758" s="23"/>
    </row>
    <row r="14759">
      <c r="B14759" s="19"/>
      <c r="E14759" s="23"/>
      <c r="L14759" s="23"/>
    </row>
    <row r="14760">
      <c r="B14760" s="19"/>
      <c r="E14760" s="23"/>
      <c r="L14760" s="23"/>
    </row>
    <row r="14761">
      <c r="B14761" s="19"/>
      <c r="E14761" s="23"/>
      <c r="L14761" s="23"/>
    </row>
    <row r="14762">
      <c r="B14762" s="19"/>
      <c r="E14762" s="23"/>
      <c r="L14762" s="23"/>
    </row>
    <row r="14763">
      <c r="B14763" s="19"/>
      <c r="E14763" s="23"/>
      <c r="L14763" s="23"/>
    </row>
    <row r="14764">
      <c r="B14764" s="19"/>
      <c r="E14764" s="23"/>
      <c r="L14764" s="23"/>
    </row>
    <row r="14765">
      <c r="B14765" s="19"/>
      <c r="E14765" s="23"/>
      <c r="L14765" s="23"/>
    </row>
    <row r="14766">
      <c r="B14766" s="19"/>
      <c r="E14766" s="23"/>
      <c r="L14766" s="23"/>
    </row>
    <row r="14767">
      <c r="B14767" s="19"/>
      <c r="E14767" s="23"/>
      <c r="L14767" s="23"/>
    </row>
    <row r="14768">
      <c r="B14768" s="19"/>
      <c r="E14768" s="23"/>
      <c r="L14768" s="23"/>
    </row>
    <row r="14769">
      <c r="B14769" s="19"/>
      <c r="E14769" s="23"/>
      <c r="L14769" s="23"/>
    </row>
    <row r="14770">
      <c r="B14770" s="19"/>
      <c r="E14770" s="23"/>
      <c r="L14770" s="23"/>
    </row>
    <row r="14771">
      <c r="B14771" s="19"/>
      <c r="E14771" s="23"/>
      <c r="L14771" s="23"/>
    </row>
    <row r="14772">
      <c r="B14772" s="19"/>
      <c r="E14772" s="23"/>
      <c r="L14772" s="23"/>
    </row>
    <row r="14773">
      <c r="B14773" s="19"/>
      <c r="E14773" s="23"/>
      <c r="L14773" s="23"/>
    </row>
    <row r="14774">
      <c r="B14774" s="19"/>
      <c r="E14774" s="23"/>
      <c r="L14774" s="23"/>
    </row>
    <row r="14775">
      <c r="B14775" s="19"/>
      <c r="E14775" s="23"/>
      <c r="L14775" s="23"/>
    </row>
    <row r="14776">
      <c r="B14776" s="19"/>
      <c r="E14776" s="23"/>
      <c r="L14776" s="23"/>
    </row>
    <row r="14777">
      <c r="B14777" s="19"/>
      <c r="E14777" s="23"/>
      <c r="L14777" s="23"/>
    </row>
    <row r="14778">
      <c r="B14778" s="19"/>
      <c r="E14778" s="23"/>
      <c r="L14778" s="23"/>
    </row>
    <row r="14779">
      <c r="B14779" s="19"/>
      <c r="E14779" s="23"/>
      <c r="L14779" s="23"/>
    </row>
    <row r="14780">
      <c r="B14780" s="19"/>
      <c r="E14780" s="23"/>
      <c r="L14780" s="23"/>
    </row>
    <row r="14781">
      <c r="B14781" s="19"/>
      <c r="E14781" s="23"/>
      <c r="L14781" s="23"/>
    </row>
    <row r="14782">
      <c r="B14782" s="19"/>
      <c r="E14782" s="23"/>
      <c r="L14782" s="23"/>
    </row>
    <row r="14783">
      <c r="B14783" s="19"/>
      <c r="E14783" s="23"/>
      <c r="L14783" s="23"/>
    </row>
    <row r="14784">
      <c r="B14784" s="19"/>
      <c r="E14784" s="23"/>
      <c r="L14784" s="23"/>
    </row>
    <row r="14785">
      <c r="B14785" s="19"/>
      <c r="E14785" s="23"/>
      <c r="L14785" s="23"/>
    </row>
    <row r="14786">
      <c r="B14786" s="19"/>
      <c r="E14786" s="23"/>
      <c r="L14786" s="23"/>
    </row>
    <row r="14787">
      <c r="B14787" s="19"/>
      <c r="E14787" s="23"/>
      <c r="L14787" s="23"/>
    </row>
    <row r="14788">
      <c r="B14788" s="19"/>
      <c r="E14788" s="23"/>
      <c r="L14788" s="23"/>
    </row>
    <row r="14789">
      <c r="B14789" s="19"/>
      <c r="E14789" s="23"/>
      <c r="L14789" s="23"/>
    </row>
    <row r="14790">
      <c r="B14790" s="19"/>
      <c r="E14790" s="23"/>
      <c r="L14790" s="23"/>
    </row>
    <row r="14791">
      <c r="B14791" s="19"/>
      <c r="E14791" s="23"/>
      <c r="L14791" s="23"/>
    </row>
    <row r="14792">
      <c r="B14792" s="19"/>
      <c r="E14792" s="23"/>
      <c r="L14792" s="23"/>
    </row>
    <row r="14793">
      <c r="B14793" s="19"/>
      <c r="E14793" s="23"/>
      <c r="L14793" s="23"/>
    </row>
    <row r="14794">
      <c r="B14794" s="19"/>
      <c r="E14794" s="23"/>
      <c r="L14794" s="23"/>
    </row>
    <row r="14795">
      <c r="B14795" s="19"/>
      <c r="E14795" s="23"/>
      <c r="L14795" s="23"/>
    </row>
    <row r="14796">
      <c r="B14796" s="19"/>
      <c r="E14796" s="23"/>
      <c r="L14796" s="23"/>
    </row>
    <row r="14797">
      <c r="B14797" s="19"/>
      <c r="E14797" s="23"/>
      <c r="L14797" s="23"/>
    </row>
    <row r="14798">
      <c r="B14798" s="19"/>
      <c r="E14798" s="23"/>
      <c r="L14798" s="23"/>
    </row>
    <row r="14799">
      <c r="B14799" s="19"/>
      <c r="E14799" s="23"/>
      <c r="L14799" s="23"/>
    </row>
    <row r="14800">
      <c r="B14800" s="19"/>
      <c r="E14800" s="23"/>
      <c r="L14800" s="23"/>
    </row>
    <row r="14801">
      <c r="B14801" s="19"/>
      <c r="E14801" s="23"/>
      <c r="L14801" s="23"/>
    </row>
    <row r="14802">
      <c r="B14802" s="19"/>
      <c r="E14802" s="23"/>
      <c r="L14802" s="23"/>
    </row>
    <row r="14803">
      <c r="B14803" s="19"/>
      <c r="E14803" s="23"/>
      <c r="L14803" s="23"/>
    </row>
    <row r="14804">
      <c r="B14804" s="19"/>
      <c r="E14804" s="23"/>
      <c r="L14804" s="23"/>
    </row>
    <row r="14805">
      <c r="B14805" s="19"/>
      <c r="E14805" s="23"/>
      <c r="L14805" s="23"/>
    </row>
    <row r="14806">
      <c r="B14806" s="19"/>
      <c r="E14806" s="23"/>
      <c r="L14806" s="23"/>
    </row>
    <row r="14807">
      <c r="B14807" s="19"/>
      <c r="E14807" s="23"/>
      <c r="L14807" s="23"/>
    </row>
    <row r="14808">
      <c r="B14808" s="19"/>
      <c r="E14808" s="23"/>
      <c r="L14808" s="23"/>
    </row>
    <row r="14809">
      <c r="B14809" s="19"/>
      <c r="E14809" s="23"/>
      <c r="L14809" s="23"/>
    </row>
    <row r="14810">
      <c r="B14810" s="19"/>
      <c r="E14810" s="23"/>
      <c r="L14810" s="23"/>
    </row>
    <row r="14811">
      <c r="B14811" s="19"/>
      <c r="E14811" s="23"/>
      <c r="L14811" s="23"/>
    </row>
    <row r="14812">
      <c r="B14812" s="19"/>
      <c r="E14812" s="23"/>
      <c r="L14812" s="23"/>
    </row>
    <row r="14813">
      <c r="B14813" s="19"/>
      <c r="E14813" s="23"/>
      <c r="L14813" s="23"/>
    </row>
    <row r="14814">
      <c r="B14814" s="19"/>
      <c r="E14814" s="23"/>
      <c r="L14814" s="23"/>
    </row>
    <row r="14815">
      <c r="B14815" s="19"/>
      <c r="E14815" s="23"/>
      <c r="L14815" s="23"/>
    </row>
    <row r="14816">
      <c r="B14816" s="19"/>
      <c r="E14816" s="23"/>
      <c r="L14816" s="23"/>
    </row>
    <row r="14817">
      <c r="B14817" s="19"/>
      <c r="E14817" s="23"/>
      <c r="L14817" s="23"/>
    </row>
    <row r="14818">
      <c r="B14818" s="19"/>
      <c r="E14818" s="23"/>
      <c r="L14818" s="23"/>
    </row>
    <row r="14819">
      <c r="B14819" s="19"/>
      <c r="E14819" s="23"/>
      <c r="L14819" s="23"/>
    </row>
    <row r="14820">
      <c r="B14820" s="19"/>
      <c r="E14820" s="23"/>
      <c r="L14820" s="23"/>
    </row>
    <row r="14821">
      <c r="B14821" s="19"/>
      <c r="E14821" s="23"/>
      <c r="L14821" s="23"/>
    </row>
    <row r="14822">
      <c r="B14822" s="19"/>
      <c r="E14822" s="23"/>
      <c r="L14822" s="23"/>
    </row>
    <row r="14823">
      <c r="B14823" s="19"/>
      <c r="E14823" s="23"/>
      <c r="L14823" s="23"/>
    </row>
    <row r="14824">
      <c r="B14824" s="19"/>
      <c r="E14824" s="23"/>
      <c r="L14824" s="23"/>
    </row>
    <row r="14825">
      <c r="B14825" s="19"/>
      <c r="E14825" s="23"/>
      <c r="L14825" s="23"/>
    </row>
    <row r="14826">
      <c r="B14826" s="19"/>
      <c r="E14826" s="23"/>
      <c r="L14826" s="23"/>
    </row>
    <row r="14827">
      <c r="B14827" s="19"/>
      <c r="E14827" s="23"/>
      <c r="L14827" s="23"/>
    </row>
    <row r="14828">
      <c r="B14828" s="19"/>
      <c r="E14828" s="23"/>
      <c r="L14828" s="23"/>
    </row>
    <row r="14829">
      <c r="B14829" s="19"/>
      <c r="E14829" s="23"/>
      <c r="L14829" s="23"/>
    </row>
    <row r="14830">
      <c r="B14830" s="19"/>
      <c r="E14830" s="23"/>
      <c r="L14830" s="23"/>
    </row>
    <row r="14831">
      <c r="B14831" s="19"/>
      <c r="E14831" s="23"/>
      <c r="L14831" s="23"/>
    </row>
    <row r="14832">
      <c r="B14832" s="19"/>
      <c r="E14832" s="23"/>
      <c r="L14832" s="23"/>
    </row>
    <row r="14833">
      <c r="B14833" s="19"/>
      <c r="E14833" s="23"/>
      <c r="L14833" s="23"/>
    </row>
    <row r="14834">
      <c r="B14834" s="19"/>
      <c r="E14834" s="23"/>
      <c r="L14834" s="23"/>
    </row>
    <row r="14835">
      <c r="B14835" s="19"/>
      <c r="E14835" s="23"/>
      <c r="L14835" s="23"/>
    </row>
    <row r="14836">
      <c r="B14836" s="19"/>
      <c r="E14836" s="23"/>
      <c r="L14836" s="23"/>
    </row>
    <row r="14837">
      <c r="B14837" s="19"/>
      <c r="E14837" s="23"/>
      <c r="L14837" s="23"/>
    </row>
    <row r="14838">
      <c r="B14838" s="19"/>
      <c r="E14838" s="23"/>
      <c r="L14838" s="23"/>
    </row>
    <row r="14839">
      <c r="B14839" s="19"/>
      <c r="E14839" s="23"/>
      <c r="L14839" s="23"/>
    </row>
    <row r="14840">
      <c r="B14840" s="19"/>
      <c r="E14840" s="23"/>
      <c r="L14840" s="23"/>
    </row>
    <row r="14841">
      <c r="B14841" s="19"/>
      <c r="E14841" s="23"/>
      <c r="L14841" s="23"/>
    </row>
    <row r="14842">
      <c r="B14842" s="19"/>
      <c r="E14842" s="23"/>
      <c r="L14842" s="23"/>
    </row>
    <row r="14843">
      <c r="B14843" s="19"/>
      <c r="E14843" s="23"/>
      <c r="L14843" s="23"/>
    </row>
    <row r="14844">
      <c r="B14844" s="19"/>
      <c r="E14844" s="23"/>
      <c r="L14844" s="23"/>
    </row>
    <row r="14845">
      <c r="B14845" s="19"/>
      <c r="E14845" s="23"/>
      <c r="L14845" s="23"/>
    </row>
    <row r="14846">
      <c r="B14846" s="19"/>
      <c r="E14846" s="23"/>
      <c r="L14846" s="23"/>
    </row>
    <row r="14847">
      <c r="B14847" s="19"/>
      <c r="E14847" s="23"/>
      <c r="L14847" s="23"/>
    </row>
    <row r="14848">
      <c r="B14848" s="19"/>
      <c r="E14848" s="23"/>
      <c r="L14848" s="23"/>
    </row>
    <row r="14849">
      <c r="B14849" s="19"/>
      <c r="E14849" s="23"/>
      <c r="L14849" s="23"/>
    </row>
    <row r="14850">
      <c r="B14850" s="19"/>
      <c r="E14850" s="23"/>
      <c r="L14850" s="23"/>
    </row>
    <row r="14851">
      <c r="B14851" s="19"/>
      <c r="E14851" s="23"/>
      <c r="L14851" s="23"/>
    </row>
    <row r="14852">
      <c r="B14852" s="19"/>
      <c r="E14852" s="23"/>
      <c r="L14852" s="23"/>
    </row>
    <row r="14853">
      <c r="B14853" s="19"/>
      <c r="E14853" s="23"/>
      <c r="L14853" s="23"/>
    </row>
    <row r="14854">
      <c r="B14854" s="19"/>
      <c r="E14854" s="23"/>
      <c r="L14854" s="23"/>
    </row>
    <row r="14855">
      <c r="B14855" s="19"/>
      <c r="E14855" s="23"/>
      <c r="L14855" s="23"/>
    </row>
    <row r="14856">
      <c r="B14856" s="19"/>
      <c r="E14856" s="23"/>
      <c r="L14856" s="23"/>
    </row>
    <row r="14857">
      <c r="B14857" s="19"/>
      <c r="E14857" s="23"/>
      <c r="L14857" s="23"/>
    </row>
    <row r="14858">
      <c r="B14858" s="19"/>
      <c r="E14858" s="23"/>
      <c r="L14858" s="23"/>
    </row>
    <row r="14859">
      <c r="B14859" s="19"/>
      <c r="E14859" s="23"/>
      <c r="L14859" s="23"/>
    </row>
    <row r="14860">
      <c r="B14860" s="19"/>
      <c r="E14860" s="23"/>
      <c r="L14860" s="23"/>
    </row>
    <row r="14861">
      <c r="B14861" s="19"/>
      <c r="E14861" s="23"/>
      <c r="L14861" s="23"/>
    </row>
    <row r="14862">
      <c r="B14862" s="19"/>
      <c r="E14862" s="23"/>
      <c r="L14862" s="23"/>
    </row>
    <row r="14863">
      <c r="B14863" s="19"/>
      <c r="E14863" s="23"/>
      <c r="L14863" s="23"/>
    </row>
    <row r="14864">
      <c r="B14864" s="19"/>
      <c r="E14864" s="23"/>
      <c r="L14864" s="23"/>
    </row>
    <row r="14865">
      <c r="B14865" s="19"/>
      <c r="E14865" s="23"/>
      <c r="L14865" s="23"/>
    </row>
    <row r="14866">
      <c r="B14866" s="19"/>
      <c r="E14866" s="23"/>
      <c r="L14866" s="23"/>
    </row>
    <row r="14867">
      <c r="B14867" s="19"/>
      <c r="E14867" s="23"/>
      <c r="L14867" s="23"/>
    </row>
    <row r="14868">
      <c r="B14868" s="19"/>
      <c r="E14868" s="23"/>
      <c r="L14868" s="23"/>
    </row>
    <row r="14869">
      <c r="B14869" s="19"/>
      <c r="E14869" s="23"/>
      <c r="L14869" s="23"/>
    </row>
    <row r="14870">
      <c r="B14870" s="19"/>
      <c r="E14870" s="23"/>
      <c r="L14870" s="23"/>
    </row>
    <row r="14871">
      <c r="B14871" s="19"/>
      <c r="E14871" s="23"/>
      <c r="L14871" s="23"/>
    </row>
    <row r="14872">
      <c r="B14872" s="19"/>
      <c r="E14872" s="23"/>
      <c r="L14872" s="23"/>
    </row>
    <row r="14873">
      <c r="B14873" s="19"/>
      <c r="E14873" s="23"/>
      <c r="L14873" s="23"/>
    </row>
    <row r="14874">
      <c r="B14874" s="19"/>
      <c r="E14874" s="23"/>
      <c r="L14874" s="23"/>
    </row>
    <row r="14875">
      <c r="B14875" s="19"/>
      <c r="E14875" s="23"/>
      <c r="L14875" s="23"/>
    </row>
    <row r="14876">
      <c r="B14876" s="19"/>
      <c r="E14876" s="23"/>
      <c r="L14876" s="23"/>
    </row>
    <row r="14877">
      <c r="B14877" s="19"/>
      <c r="E14877" s="23"/>
      <c r="L14877" s="23"/>
    </row>
    <row r="14878">
      <c r="B14878" s="19"/>
      <c r="E14878" s="23"/>
      <c r="L14878" s="23"/>
    </row>
    <row r="14879">
      <c r="B14879" s="19"/>
      <c r="E14879" s="23"/>
      <c r="L14879" s="23"/>
    </row>
    <row r="14880">
      <c r="B14880" s="19"/>
      <c r="E14880" s="23"/>
      <c r="L14880" s="23"/>
    </row>
    <row r="14881">
      <c r="B14881" s="19"/>
      <c r="E14881" s="23"/>
      <c r="L14881" s="23"/>
    </row>
    <row r="14882">
      <c r="B14882" s="19"/>
      <c r="E14882" s="23"/>
      <c r="L14882" s="23"/>
    </row>
    <row r="14883">
      <c r="B14883" s="19"/>
      <c r="E14883" s="23"/>
      <c r="L14883" s="23"/>
    </row>
    <row r="14884">
      <c r="B14884" s="19"/>
      <c r="E14884" s="23"/>
      <c r="L14884" s="23"/>
    </row>
    <row r="14885">
      <c r="B14885" s="19"/>
      <c r="E14885" s="23"/>
      <c r="L14885" s="23"/>
    </row>
    <row r="14886">
      <c r="B14886" s="19"/>
      <c r="E14886" s="23"/>
      <c r="L14886" s="23"/>
    </row>
    <row r="14887">
      <c r="B14887" s="19"/>
      <c r="E14887" s="23"/>
      <c r="L14887" s="23"/>
    </row>
    <row r="14888">
      <c r="B14888" s="19"/>
      <c r="E14888" s="23"/>
      <c r="L14888" s="23"/>
    </row>
    <row r="14889">
      <c r="B14889" s="19"/>
      <c r="E14889" s="23"/>
      <c r="L14889" s="23"/>
    </row>
    <row r="14890">
      <c r="B14890" s="19"/>
      <c r="E14890" s="23"/>
      <c r="L14890" s="23"/>
    </row>
    <row r="14891">
      <c r="B14891" s="19"/>
      <c r="E14891" s="23"/>
      <c r="L14891" s="23"/>
    </row>
    <row r="14892">
      <c r="B14892" s="19"/>
      <c r="E14892" s="23"/>
      <c r="L14892" s="23"/>
    </row>
    <row r="14893">
      <c r="B14893" s="19"/>
      <c r="E14893" s="23"/>
      <c r="L14893" s="23"/>
    </row>
    <row r="14894">
      <c r="B14894" s="19"/>
      <c r="E14894" s="23"/>
      <c r="L14894" s="23"/>
    </row>
    <row r="14895">
      <c r="B14895" s="19"/>
      <c r="E14895" s="23"/>
      <c r="L14895" s="23"/>
    </row>
    <row r="14896">
      <c r="B14896" s="19"/>
      <c r="E14896" s="23"/>
      <c r="L14896" s="23"/>
    </row>
    <row r="14897">
      <c r="B14897" s="19"/>
      <c r="E14897" s="23"/>
      <c r="L14897" s="23"/>
    </row>
    <row r="14898">
      <c r="B14898" s="19"/>
      <c r="E14898" s="23"/>
      <c r="L14898" s="23"/>
    </row>
    <row r="14899">
      <c r="B14899" s="19"/>
      <c r="E14899" s="23"/>
      <c r="L14899" s="23"/>
    </row>
    <row r="14900">
      <c r="B14900" s="19"/>
      <c r="E14900" s="23"/>
      <c r="L14900" s="23"/>
    </row>
    <row r="14901">
      <c r="B14901" s="19"/>
      <c r="E14901" s="23"/>
      <c r="L14901" s="23"/>
    </row>
    <row r="14902">
      <c r="B14902" s="19"/>
      <c r="E14902" s="23"/>
      <c r="L14902" s="23"/>
    </row>
    <row r="14903">
      <c r="B14903" s="19"/>
      <c r="E14903" s="23"/>
      <c r="L14903" s="23"/>
    </row>
    <row r="14904">
      <c r="B14904" s="19"/>
      <c r="E14904" s="23"/>
      <c r="L14904" s="23"/>
    </row>
    <row r="14905">
      <c r="B14905" s="19"/>
      <c r="E14905" s="23"/>
      <c r="L14905" s="23"/>
    </row>
    <row r="14906">
      <c r="B14906" s="19"/>
      <c r="E14906" s="23"/>
      <c r="L14906" s="23"/>
    </row>
    <row r="14907">
      <c r="B14907" s="19"/>
      <c r="E14907" s="23"/>
      <c r="L14907" s="23"/>
    </row>
    <row r="14908">
      <c r="B14908" s="19"/>
      <c r="E14908" s="23"/>
      <c r="L14908" s="23"/>
    </row>
    <row r="14909">
      <c r="B14909" s="19"/>
      <c r="E14909" s="23"/>
      <c r="L14909" s="23"/>
    </row>
    <row r="14910">
      <c r="B14910" s="19"/>
      <c r="E14910" s="23"/>
      <c r="L14910" s="23"/>
    </row>
    <row r="14911">
      <c r="B14911" s="19"/>
      <c r="E14911" s="23"/>
      <c r="L14911" s="23"/>
    </row>
    <row r="14912">
      <c r="B14912" s="19"/>
      <c r="E14912" s="23"/>
      <c r="L14912" s="23"/>
    </row>
    <row r="14913">
      <c r="B14913" s="19"/>
      <c r="E14913" s="23"/>
      <c r="L14913" s="23"/>
    </row>
    <row r="14914">
      <c r="B14914" s="19"/>
      <c r="E14914" s="23"/>
      <c r="L14914" s="23"/>
    </row>
    <row r="14915">
      <c r="B14915" s="19"/>
      <c r="E14915" s="23"/>
      <c r="L14915" s="23"/>
    </row>
    <row r="14916">
      <c r="B14916" s="19"/>
      <c r="E14916" s="23"/>
      <c r="L14916" s="23"/>
    </row>
    <row r="14917">
      <c r="B14917" s="19"/>
      <c r="E14917" s="23"/>
      <c r="L14917" s="23"/>
    </row>
    <row r="14918">
      <c r="B14918" s="19"/>
      <c r="E14918" s="23"/>
      <c r="L14918" s="23"/>
    </row>
    <row r="14919">
      <c r="B14919" s="19"/>
      <c r="E14919" s="23"/>
      <c r="L14919" s="23"/>
    </row>
    <row r="14920">
      <c r="B14920" s="19"/>
      <c r="E14920" s="23"/>
      <c r="L14920" s="23"/>
    </row>
    <row r="14921">
      <c r="B14921" s="19"/>
      <c r="E14921" s="23"/>
      <c r="L14921" s="23"/>
    </row>
    <row r="14922">
      <c r="B14922" s="19"/>
      <c r="E14922" s="23"/>
      <c r="L14922" s="23"/>
    </row>
    <row r="14923">
      <c r="B14923" s="19"/>
      <c r="E14923" s="23"/>
      <c r="L14923" s="23"/>
    </row>
    <row r="14924">
      <c r="B14924" s="19"/>
      <c r="E14924" s="23"/>
      <c r="L14924" s="23"/>
    </row>
    <row r="14925">
      <c r="B14925" s="19"/>
      <c r="E14925" s="23"/>
      <c r="L14925" s="23"/>
    </row>
    <row r="14926">
      <c r="B14926" s="19"/>
      <c r="E14926" s="23"/>
      <c r="L14926" s="23"/>
    </row>
    <row r="14927">
      <c r="B14927" s="19"/>
      <c r="E14927" s="23"/>
      <c r="L14927" s="23"/>
    </row>
    <row r="14928">
      <c r="B14928" s="19"/>
      <c r="E14928" s="23"/>
      <c r="L14928" s="23"/>
    </row>
    <row r="14929">
      <c r="B14929" s="19"/>
      <c r="E14929" s="23"/>
      <c r="L14929" s="23"/>
    </row>
    <row r="14930">
      <c r="B14930" s="19"/>
      <c r="E14930" s="23"/>
      <c r="L14930" s="23"/>
    </row>
    <row r="14931">
      <c r="B14931" s="19"/>
      <c r="E14931" s="23"/>
      <c r="L14931" s="23"/>
    </row>
    <row r="14932">
      <c r="B14932" s="19"/>
      <c r="E14932" s="23"/>
      <c r="L14932" s="23"/>
    </row>
    <row r="14933">
      <c r="B14933" s="19"/>
      <c r="E14933" s="23"/>
      <c r="L14933" s="23"/>
    </row>
    <row r="14934">
      <c r="B14934" s="19"/>
      <c r="E14934" s="23"/>
      <c r="L14934" s="23"/>
    </row>
    <row r="14935">
      <c r="B14935" s="19"/>
      <c r="E14935" s="23"/>
      <c r="L14935" s="23"/>
    </row>
    <row r="14936">
      <c r="B14936" s="19"/>
      <c r="E14936" s="23"/>
      <c r="L14936" s="23"/>
    </row>
    <row r="14937">
      <c r="B14937" s="19"/>
      <c r="E14937" s="23"/>
      <c r="L14937" s="23"/>
    </row>
    <row r="14938">
      <c r="B14938" s="19"/>
      <c r="E14938" s="23"/>
      <c r="L14938" s="23"/>
    </row>
    <row r="14939">
      <c r="B14939" s="19"/>
      <c r="E14939" s="23"/>
      <c r="L14939" s="23"/>
    </row>
    <row r="14940">
      <c r="B14940" s="19"/>
      <c r="E14940" s="23"/>
      <c r="L14940" s="23"/>
    </row>
    <row r="14941">
      <c r="B14941" s="19"/>
      <c r="E14941" s="23"/>
      <c r="L14941" s="23"/>
    </row>
    <row r="14942">
      <c r="B14942" s="19"/>
      <c r="E14942" s="23"/>
      <c r="L14942" s="23"/>
    </row>
    <row r="14943">
      <c r="B14943" s="19"/>
      <c r="E14943" s="23"/>
      <c r="L14943" s="23"/>
    </row>
    <row r="14944">
      <c r="B14944" s="19"/>
      <c r="E14944" s="23"/>
      <c r="L14944" s="23"/>
    </row>
    <row r="14945">
      <c r="B14945" s="19"/>
      <c r="E14945" s="23"/>
      <c r="L14945" s="23"/>
    </row>
    <row r="14946">
      <c r="B14946" s="19"/>
      <c r="E14946" s="23"/>
      <c r="L14946" s="23"/>
    </row>
    <row r="14947">
      <c r="B14947" s="19"/>
      <c r="E14947" s="23"/>
      <c r="L14947" s="23"/>
    </row>
    <row r="14948">
      <c r="B14948" s="19"/>
      <c r="E14948" s="23"/>
      <c r="L14948" s="23"/>
    </row>
    <row r="14949">
      <c r="B14949" s="19"/>
      <c r="E14949" s="23"/>
      <c r="L14949" s="23"/>
    </row>
    <row r="14950">
      <c r="B14950" s="19"/>
      <c r="E14950" s="23"/>
      <c r="L14950" s="23"/>
    </row>
    <row r="14951">
      <c r="B14951" s="19"/>
      <c r="E14951" s="23"/>
      <c r="L14951" s="23"/>
    </row>
    <row r="14952">
      <c r="B14952" s="19"/>
      <c r="E14952" s="23"/>
      <c r="L14952" s="23"/>
    </row>
    <row r="14953">
      <c r="B14953" s="19"/>
      <c r="E14953" s="23"/>
      <c r="L14953" s="23"/>
    </row>
    <row r="14954">
      <c r="B14954" s="19"/>
      <c r="E14954" s="23"/>
      <c r="L14954" s="23"/>
    </row>
    <row r="14955">
      <c r="B14955" s="19"/>
      <c r="E14955" s="23"/>
      <c r="L14955" s="23"/>
    </row>
    <row r="14956">
      <c r="B14956" s="19"/>
      <c r="E14956" s="23"/>
      <c r="L14956" s="23"/>
    </row>
    <row r="14957">
      <c r="B14957" s="19"/>
      <c r="E14957" s="23"/>
      <c r="L14957" s="23"/>
    </row>
    <row r="14958">
      <c r="B14958" s="19"/>
      <c r="E14958" s="23"/>
      <c r="L14958" s="23"/>
    </row>
    <row r="14959">
      <c r="B14959" s="19"/>
      <c r="E14959" s="23"/>
      <c r="L14959" s="23"/>
    </row>
    <row r="14960">
      <c r="B14960" s="19"/>
      <c r="E14960" s="23"/>
      <c r="L14960" s="23"/>
    </row>
    <row r="14961">
      <c r="B14961" s="19"/>
      <c r="E14961" s="23"/>
      <c r="L14961" s="23"/>
    </row>
    <row r="14962">
      <c r="B14962" s="19"/>
      <c r="E14962" s="23"/>
      <c r="L14962" s="23"/>
    </row>
    <row r="14963">
      <c r="B14963" s="19"/>
      <c r="E14963" s="23"/>
      <c r="L14963" s="23"/>
    </row>
    <row r="14964">
      <c r="B14964" s="19"/>
      <c r="E14964" s="23"/>
      <c r="L14964" s="23"/>
    </row>
    <row r="14965">
      <c r="B14965" s="19"/>
      <c r="E14965" s="23"/>
      <c r="L14965" s="23"/>
    </row>
    <row r="14966">
      <c r="B14966" s="19"/>
      <c r="E14966" s="23"/>
      <c r="L14966" s="23"/>
    </row>
    <row r="14967">
      <c r="B14967" s="19"/>
      <c r="E14967" s="23"/>
      <c r="L14967" s="23"/>
    </row>
    <row r="14968">
      <c r="B14968" s="19"/>
      <c r="E14968" s="23"/>
      <c r="L14968" s="23"/>
    </row>
    <row r="14969">
      <c r="B14969" s="19"/>
      <c r="E14969" s="23"/>
      <c r="L14969" s="23"/>
    </row>
    <row r="14970">
      <c r="B14970" s="19"/>
      <c r="E14970" s="23"/>
      <c r="L14970" s="23"/>
    </row>
    <row r="14971">
      <c r="B14971" s="19"/>
      <c r="E14971" s="23"/>
      <c r="L14971" s="23"/>
    </row>
    <row r="14972">
      <c r="B14972" s="19"/>
      <c r="E14972" s="23"/>
      <c r="L14972" s="23"/>
    </row>
    <row r="14973">
      <c r="B14973" s="19"/>
      <c r="E14973" s="23"/>
      <c r="L14973" s="23"/>
    </row>
    <row r="14974">
      <c r="B14974" s="19"/>
      <c r="E14974" s="23"/>
      <c r="L14974" s="23"/>
    </row>
    <row r="14975">
      <c r="B14975" s="19"/>
      <c r="E14975" s="23"/>
      <c r="L14975" s="23"/>
    </row>
    <row r="14976">
      <c r="B14976" s="19"/>
      <c r="E14976" s="23"/>
      <c r="L14976" s="23"/>
    </row>
    <row r="14977">
      <c r="B14977" s="19"/>
      <c r="E14977" s="23"/>
      <c r="L14977" s="23"/>
    </row>
    <row r="14978">
      <c r="B14978" s="19"/>
      <c r="E14978" s="23"/>
      <c r="L14978" s="23"/>
    </row>
    <row r="14979">
      <c r="B14979" s="19"/>
      <c r="E14979" s="23"/>
      <c r="L14979" s="23"/>
    </row>
    <row r="14980">
      <c r="B14980" s="19"/>
      <c r="E14980" s="23"/>
      <c r="L14980" s="23"/>
    </row>
    <row r="14981">
      <c r="B14981" s="19"/>
      <c r="E14981" s="23"/>
      <c r="L14981" s="23"/>
    </row>
    <row r="14982">
      <c r="B14982" s="19"/>
      <c r="E14982" s="23"/>
      <c r="L14982" s="23"/>
    </row>
    <row r="14983">
      <c r="B14983" s="19"/>
      <c r="E14983" s="23"/>
      <c r="L14983" s="23"/>
    </row>
    <row r="14984">
      <c r="B14984" s="19"/>
      <c r="E14984" s="23"/>
      <c r="L14984" s="23"/>
    </row>
    <row r="14985">
      <c r="B14985" s="19"/>
      <c r="E14985" s="23"/>
      <c r="L14985" s="23"/>
    </row>
    <row r="14986">
      <c r="B14986" s="19"/>
      <c r="E14986" s="23"/>
      <c r="L14986" s="23"/>
    </row>
    <row r="14987">
      <c r="B14987" s="19"/>
      <c r="E14987" s="23"/>
      <c r="L14987" s="23"/>
    </row>
    <row r="14988">
      <c r="B14988" s="19"/>
      <c r="E14988" s="23"/>
      <c r="L14988" s="23"/>
    </row>
    <row r="14989">
      <c r="B14989" s="19"/>
      <c r="E14989" s="23"/>
      <c r="L14989" s="23"/>
    </row>
    <row r="14990">
      <c r="B14990" s="19"/>
      <c r="E14990" s="23"/>
      <c r="L14990" s="23"/>
    </row>
    <row r="14991">
      <c r="B14991" s="19"/>
      <c r="E14991" s="23"/>
      <c r="L14991" s="23"/>
    </row>
    <row r="14992">
      <c r="B14992" s="19"/>
      <c r="E14992" s="23"/>
      <c r="L14992" s="23"/>
    </row>
    <row r="14993">
      <c r="B14993" s="19"/>
      <c r="E14993" s="23"/>
      <c r="L14993" s="23"/>
    </row>
    <row r="14994">
      <c r="B14994" s="19"/>
      <c r="E14994" s="23"/>
      <c r="L14994" s="23"/>
    </row>
    <row r="14995">
      <c r="B14995" s="19"/>
      <c r="E14995" s="23"/>
      <c r="L14995" s="23"/>
    </row>
    <row r="14996">
      <c r="B14996" s="19"/>
      <c r="E14996" s="23"/>
      <c r="L14996" s="23"/>
    </row>
    <row r="14997">
      <c r="B14997" s="19"/>
      <c r="E14997" s="23"/>
      <c r="L14997" s="23"/>
    </row>
    <row r="14998">
      <c r="B14998" s="19"/>
      <c r="E14998" s="23"/>
      <c r="L14998" s="23"/>
    </row>
    <row r="14999">
      <c r="B14999" s="19"/>
      <c r="E14999" s="23"/>
      <c r="L14999" s="23"/>
    </row>
    <row r="15000">
      <c r="B15000" s="19"/>
      <c r="E15000" s="23"/>
      <c r="L15000" s="23"/>
    </row>
    <row r="15001">
      <c r="B15001" s="19"/>
      <c r="E15001" s="23"/>
      <c r="L15001" s="23"/>
    </row>
    <row r="15002">
      <c r="B15002" s="19"/>
      <c r="E15002" s="23"/>
      <c r="L15002" s="23"/>
    </row>
    <row r="15003">
      <c r="B15003" s="19"/>
      <c r="E15003" s="23"/>
      <c r="L15003" s="23"/>
    </row>
    <row r="15004">
      <c r="B15004" s="19"/>
      <c r="E15004" s="23"/>
      <c r="L15004" s="23"/>
    </row>
    <row r="15005">
      <c r="B15005" s="19"/>
      <c r="E15005" s="23"/>
      <c r="L15005" s="23"/>
    </row>
    <row r="15006">
      <c r="B15006" s="19"/>
      <c r="E15006" s="23"/>
      <c r="L15006" s="23"/>
    </row>
    <row r="15007">
      <c r="B15007" s="19"/>
      <c r="E15007" s="23"/>
      <c r="L15007" s="23"/>
    </row>
    <row r="15008">
      <c r="B15008" s="19"/>
      <c r="E15008" s="23"/>
      <c r="L15008" s="23"/>
    </row>
    <row r="15009">
      <c r="B15009" s="19"/>
      <c r="E15009" s="23"/>
      <c r="L15009" s="23"/>
    </row>
    <row r="15010">
      <c r="B15010" s="19"/>
      <c r="E15010" s="23"/>
      <c r="L15010" s="23"/>
    </row>
    <row r="15011">
      <c r="B15011" s="19"/>
      <c r="E15011" s="23"/>
      <c r="L15011" s="23"/>
    </row>
    <row r="15012">
      <c r="B15012" s="19"/>
      <c r="E15012" s="23"/>
      <c r="L15012" s="23"/>
    </row>
    <row r="15013">
      <c r="B15013" s="19"/>
      <c r="E15013" s="23"/>
      <c r="L15013" s="23"/>
    </row>
    <row r="15014">
      <c r="B15014" s="19"/>
      <c r="E15014" s="23"/>
      <c r="L15014" s="23"/>
    </row>
    <row r="15015">
      <c r="B15015" s="19"/>
      <c r="E15015" s="23"/>
      <c r="L15015" s="23"/>
    </row>
    <row r="15016">
      <c r="B15016" s="19"/>
      <c r="E15016" s="23"/>
      <c r="L15016" s="23"/>
    </row>
    <row r="15017">
      <c r="B15017" s="19"/>
      <c r="E15017" s="23"/>
      <c r="L15017" s="23"/>
    </row>
    <row r="15018">
      <c r="B15018" s="19"/>
      <c r="E15018" s="23"/>
      <c r="L15018" s="23"/>
    </row>
    <row r="15019">
      <c r="B15019" s="19"/>
      <c r="E15019" s="23"/>
      <c r="L15019" s="23"/>
    </row>
    <row r="15020">
      <c r="B15020" s="19"/>
      <c r="E15020" s="23"/>
      <c r="L15020" s="23"/>
    </row>
    <row r="15021">
      <c r="B15021" s="19"/>
      <c r="E15021" s="23"/>
      <c r="L15021" s="23"/>
    </row>
    <row r="15022">
      <c r="B15022" s="19"/>
      <c r="E15022" s="23"/>
      <c r="L15022" s="23"/>
    </row>
    <row r="15023">
      <c r="B15023" s="19"/>
      <c r="E15023" s="23"/>
      <c r="L15023" s="23"/>
    </row>
    <row r="15024">
      <c r="B15024" s="19"/>
      <c r="E15024" s="23"/>
      <c r="L15024" s="23"/>
    </row>
    <row r="15025">
      <c r="B15025" s="19"/>
      <c r="E15025" s="23"/>
      <c r="L15025" s="23"/>
    </row>
    <row r="15026">
      <c r="B15026" s="19"/>
      <c r="E15026" s="23"/>
      <c r="L15026" s="23"/>
    </row>
    <row r="15027">
      <c r="B15027" s="19"/>
      <c r="E15027" s="23"/>
      <c r="L15027" s="23"/>
    </row>
    <row r="15028">
      <c r="B15028" s="19"/>
      <c r="E15028" s="23"/>
      <c r="L15028" s="23"/>
    </row>
    <row r="15029">
      <c r="B15029" s="19"/>
      <c r="E15029" s="23"/>
      <c r="L15029" s="23"/>
    </row>
    <row r="15030">
      <c r="B15030" s="19"/>
      <c r="E15030" s="23"/>
      <c r="L15030" s="23"/>
    </row>
    <row r="15031">
      <c r="B15031" s="19"/>
      <c r="E15031" s="23"/>
      <c r="L15031" s="23"/>
    </row>
    <row r="15032">
      <c r="B15032" s="19"/>
      <c r="E15032" s="23"/>
      <c r="L15032" s="23"/>
    </row>
    <row r="15033">
      <c r="B15033" s="19"/>
      <c r="E15033" s="23"/>
      <c r="L15033" s="23"/>
    </row>
    <row r="15034">
      <c r="B15034" s="19"/>
      <c r="E15034" s="23"/>
      <c r="L15034" s="23"/>
    </row>
    <row r="15035">
      <c r="B15035" s="19"/>
      <c r="E15035" s="23"/>
      <c r="L15035" s="23"/>
    </row>
    <row r="15036">
      <c r="B15036" s="19"/>
      <c r="E15036" s="23"/>
      <c r="L15036" s="23"/>
    </row>
    <row r="15037">
      <c r="B15037" s="19"/>
      <c r="E15037" s="23"/>
      <c r="L15037" s="23"/>
    </row>
    <row r="15038">
      <c r="B15038" s="19"/>
      <c r="E15038" s="23"/>
      <c r="L15038" s="23"/>
    </row>
    <row r="15039">
      <c r="B15039" s="19"/>
      <c r="E15039" s="23"/>
      <c r="L15039" s="23"/>
    </row>
    <row r="15040">
      <c r="B15040" s="19"/>
      <c r="E15040" s="23"/>
      <c r="L15040" s="23"/>
    </row>
    <row r="15041">
      <c r="B15041" s="19"/>
      <c r="E15041" s="23"/>
      <c r="L15041" s="23"/>
    </row>
    <row r="15042">
      <c r="B15042" s="19"/>
      <c r="E15042" s="23"/>
      <c r="L15042" s="23"/>
    </row>
    <row r="15043">
      <c r="B15043" s="19"/>
      <c r="E15043" s="23"/>
      <c r="L15043" s="23"/>
    </row>
    <row r="15044">
      <c r="B15044" s="19"/>
      <c r="E15044" s="23"/>
      <c r="L15044" s="23"/>
    </row>
    <row r="15045">
      <c r="B15045" s="19"/>
      <c r="E15045" s="23"/>
      <c r="L15045" s="23"/>
    </row>
    <row r="15046">
      <c r="B15046" s="19"/>
      <c r="E15046" s="23"/>
      <c r="L15046" s="23"/>
    </row>
    <row r="15047">
      <c r="B15047" s="19"/>
      <c r="E15047" s="23"/>
      <c r="L15047" s="23"/>
    </row>
    <row r="15048">
      <c r="B15048" s="19"/>
      <c r="E15048" s="23"/>
      <c r="L15048" s="23"/>
    </row>
    <row r="15049">
      <c r="B15049" s="19"/>
      <c r="E15049" s="23"/>
      <c r="L15049" s="23"/>
    </row>
    <row r="15050">
      <c r="B15050" s="19"/>
      <c r="E15050" s="23"/>
      <c r="L15050" s="23"/>
    </row>
    <row r="15051">
      <c r="B15051" s="19"/>
      <c r="E15051" s="23"/>
      <c r="L15051" s="23"/>
    </row>
    <row r="15052">
      <c r="B15052" s="19"/>
      <c r="E15052" s="23"/>
      <c r="L15052" s="23"/>
    </row>
    <row r="15053">
      <c r="B15053" s="19"/>
      <c r="E15053" s="23"/>
      <c r="L15053" s="23"/>
    </row>
    <row r="15054">
      <c r="B15054" s="19"/>
      <c r="E15054" s="23"/>
      <c r="L15054" s="23"/>
    </row>
    <row r="15055">
      <c r="B15055" s="19"/>
      <c r="E15055" s="23"/>
      <c r="L15055" s="23"/>
    </row>
    <row r="15056">
      <c r="B15056" s="19"/>
      <c r="E15056" s="23"/>
      <c r="L15056" s="23"/>
    </row>
    <row r="15057">
      <c r="B15057" s="19"/>
      <c r="E15057" s="23"/>
      <c r="L15057" s="23"/>
    </row>
    <row r="15058">
      <c r="B15058" s="19"/>
      <c r="E15058" s="23"/>
      <c r="L15058" s="23"/>
    </row>
    <row r="15059">
      <c r="B15059" s="19"/>
      <c r="E15059" s="23"/>
      <c r="L15059" s="23"/>
    </row>
    <row r="15060">
      <c r="B15060" s="19"/>
      <c r="E15060" s="23"/>
      <c r="L15060" s="23"/>
    </row>
    <row r="15061">
      <c r="B15061" s="19"/>
      <c r="E15061" s="23"/>
      <c r="L15061" s="23"/>
    </row>
    <row r="15062">
      <c r="B15062" s="19"/>
      <c r="E15062" s="23"/>
      <c r="L15062" s="23"/>
    </row>
    <row r="15063">
      <c r="B15063" s="19"/>
      <c r="E15063" s="23"/>
      <c r="L15063" s="23"/>
    </row>
    <row r="15064">
      <c r="B15064" s="19"/>
      <c r="E15064" s="23"/>
      <c r="L15064" s="23"/>
    </row>
    <row r="15065">
      <c r="B15065" s="19"/>
      <c r="E15065" s="23"/>
      <c r="L15065" s="23"/>
    </row>
    <row r="15066">
      <c r="B15066" s="19"/>
      <c r="E15066" s="23"/>
      <c r="L15066" s="23"/>
    </row>
    <row r="15067">
      <c r="B15067" s="19"/>
      <c r="E15067" s="23"/>
      <c r="L15067" s="23"/>
    </row>
    <row r="15068">
      <c r="B15068" s="19"/>
      <c r="E15068" s="23"/>
      <c r="L15068" s="23"/>
    </row>
    <row r="15069">
      <c r="B15069" s="19"/>
      <c r="E15069" s="23"/>
      <c r="L15069" s="23"/>
    </row>
    <row r="15070">
      <c r="B15070" s="19"/>
      <c r="E15070" s="23"/>
      <c r="L15070" s="23"/>
    </row>
    <row r="15071">
      <c r="B15071" s="19"/>
      <c r="E15071" s="23"/>
      <c r="L15071" s="23"/>
    </row>
    <row r="15072">
      <c r="B15072" s="19"/>
      <c r="E15072" s="23"/>
      <c r="L15072" s="23"/>
    </row>
    <row r="15073">
      <c r="B15073" s="19"/>
      <c r="E15073" s="23"/>
      <c r="L15073" s="23"/>
    </row>
    <row r="15074">
      <c r="B15074" s="19"/>
      <c r="E15074" s="23"/>
      <c r="L15074" s="23"/>
    </row>
    <row r="15075">
      <c r="B15075" s="19"/>
      <c r="E15075" s="23"/>
      <c r="L15075" s="23"/>
    </row>
    <row r="15076">
      <c r="B15076" s="19"/>
      <c r="E15076" s="23"/>
      <c r="L15076" s="23"/>
    </row>
    <row r="15077">
      <c r="B15077" s="19"/>
      <c r="E15077" s="23"/>
      <c r="L15077" s="23"/>
    </row>
    <row r="15078">
      <c r="B15078" s="19"/>
      <c r="E15078" s="23"/>
      <c r="L15078" s="23"/>
    </row>
    <row r="15079">
      <c r="B15079" s="19"/>
      <c r="E15079" s="23"/>
      <c r="L15079" s="23"/>
    </row>
    <row r="15080">
      <c r="B15080" s="19"/>
      <c r="E15080" s="23"/>
      <c r="L15080" s="23"/>
    </row>
    <row r="15081">
      <c r="B15081" s="19"/>
      <c r="E15081" s="23"/>
      <c r="L15081" s="23"/>
    </row>
    <row r="15082">
      <c r="B15082" s="19"/>
      <c r="E15082" s="23"/>
      <c r="L15082" s="23"/>
    </row>
    <row r="15083">
      <c r="B15083" s="19"/>
      <c r="E15083" s="23"/>
      <c r="L15083" s="23"/>
    </row>
    <row r="15084">
      <c r="B15084" s="19"/>
      <c r="E15084" s="23"/>
      <c r="L15084" s="23"/>
    </row>
    <row r="15085">
      <c r="B15085" s="19"/>
      <c r="E15085" s="23"/>
      <c r="L15085" s="23"/>
    </row>
    <row r="15086">
      <c r="B15086" s="19"/>
      <c r="E15086" s="23"/>
      <c r="L15086" s="23"/>
    </row>
    <row r="15087">
      <c r="B15087" s="19"/>
      <c r="E15087" s="23"/>
      <c r="L15087" s="23"/>
    </row>
    <row r="15088">
      <c r="B15088" s="19"/>
      <c r="E15088" s="23"/>
      <c r="L15088" s="23"/>
    </row>
    <row r="15089">
      <c r="B15089" s="19"/>
      <c r="E15089" s="23"/>
      <c r="L15089" s="23"/>
    </row>
    <row r="15090">
      <c r="B15090" s="19"/>
      <c r="E15090" s="23"/>
      <c r="L15090" s="23"/>
    </row>
    <row r="15091">
      <c r="B15091" s="19"/>
      <c r="E15091" s="23"/>
      <c r="L15091" s="23"/>
    </row>
    <row r="15092">
      <c r="B15092" s="19"/>
      <c r="E15092" s="23"/>
      <c r="L15092" s="23"/>
    </row>
    <row r="15093">
      <c r="B15093" s="19"/>
      <c r="E15093" s="23"/>
      <c r="L15093" s="23"/>
    </row>
    <row r="15094">
      <c r="B15094" s="19"/>
      <c r="E15094" s="23"/>
      <c r="L15094" s="23"/>
    </row>
    <row r="15095">
      <c r="B15095" s="19"/>
      <c r="E15095" s="23"/>
      <c r="L15095" s="23"/>
    </row>
    <row r="15096">
      <c r="B15096" s="19"/>
      <c r="E15096" s="23"/>
      <c r="L15096" s="23"/>
    </row>
    <row r="15097">
      <c r="B15097" s="19"/>
      <c r="E15097" s="23"/>
      <c r="L15097" s="23"/>
    </row>
    <row r="15098">
      <c r="B15098" s="19"/>
      <c r="E15098" s="23"/>
      <c r="L15098" s="23"/>
    </row>
    <row r="15099">
      <c r="B15099" s="19"/>
      <c r="E15099" s="23"/>
      <c r="L15099" s="23"/>
    </row>
    <row r="15100">
      <c r="B15100" s="19"/>
      <c r="E15100" s="23"/>
      <c r="L15100" s="23"/>
    </row>
    <row r="15101">
      <c r="B15101" s="19"/>
      <c r="E15101" s="23"/>
      <c r="L15101" s="23"/>
    </row>
    <row r="15102">
      <c r="B15102" s="19"/>
      <c r="E15102" s="23"/>
      <c r="L15102" s="23"/>
    </row>
    <row r="15103">
      <c r="B15103" s="19"/>
      <c r="E15103" s="23"/>
      <c r="L15103" s="23"/>
    </row>
    <row r="15104">
      <c r="B15104" s="19"/>
      <c r="E15104" s="23"/>
      <c r="L15104" s="23"/>
    </row>
    <row r="15105">
      <c r="B15105" s="19"/>
      <c r="E15105" s="23"/>
      <c r="L15105" s="23"/>
    </row>
    <row r="15106">
      <c r="B15106" s="19"/>
      <c r="E15106" s="23"/>
      <c r="L15106" s="23"/>
    </row>
    <row r="15107">
      <c r="B15107" s="19"/>
      <c r="E15107" s="23"/>
      <c r="L15107" s="23"/>
    </row>
    <row r="15108">
      <c r="B15108" s="19"/>
      <c r="E15108" s="23"/>
      <c r="L15108" s="23"/>
    </row>
    <row r="15109">
      <c r="B15109" s="19"/>
      <c r="E15109" s="23"/>
      <c r="L15109" s="23"/>
    </row>
    <row r="15110">
      <c r="B15110" s="19"/>
      <c r="E15110" s="23"/>
      <c r="L15110" s="23"/>
    </row>
    <row r="15111">
      <c r="B15111" s="19"/>
      <c r="E15111" s="23"/>
      <c r="L15111" s="23"/>
    </row>
    <row r="15112">
      <c r="B15112" s="19"/>
      <c r="E15112" s="23"/>
      <c r="L15112" s="23"/>
    </row>
    <row r="15113">
      <c r="B15113" s="19"/>
      <c r="E15113" s="23"/>
      <c r="L15113" s="23"/>
    </row>
    <row r="15114">
      <c r="B15114" s="19"/>
      <c r="E15114" s="23"/>
      <c r="L15114" s="23"/>
    </row>
    <row r="15115">
      <c r="B15115" s="19"/>
      <c r="E15115" s="23"/>
      <c r="L15115" s="23"/>
    </row>
    <row r="15116">
      <c r="B15116" s="19"/>
      <c r="E15116" s="23"/>
      <c r="L15116" s="23"/>
    </row>
    <row r="15117">
      <c r="B15117" s="19"/>
      <c r="E15117" s="23"/>
      <c r="L15117" s="23"/>
    </row>
    <row r="15118">
      <c r="B15118" s="19"/>
      <c r="E15118" s="23"/>
      <c r="L15118" s="23"/>
    </row>
    <row r="15119">
      <c r="B15119" s="19"/>
      <c r="E15119" s="23"/>
      <c r="L15119" s="23"/>
    </row>
    <row r="15120">
      <c r="B15120" s="19"/>
      <c r="E15120" s="23"/>
      <c r="L15120" s="23"/>
    </row>
    <row r="15121">
      <c r="B15121" s="19"/>
      <c r="E15121" s="23"/>
      <c r="L15121" s="23"/>
    </row>
    <row r="15122">
      <c r="B15122" s="19"/>
      <c r="E15122" s="23"/>
      <c r="L15122" s="23"/>
    </row>
    <row r="15123">
      <c r="B15123" s="19"/>
      <c r="E15123" s="23"/>
      <c r="L15123" s="23"/>
    </row>
    <row r="15124">
      <c r="B15124" s="19"/>
      <c r="E15124" s="23"/>
      <c r="L15124" s="23"/>
    </row>
    <row r="15125">
      <c r="B15125" s="19"/>
      <c r="E15125" s="23"/>
      <c r="L15125" s="23"/>
    </row>
    <row r="15126">
      <c r="B15126" s="19"/>
      <c r="E15126" s="23"/>
      <c r="L15126" s="23"/>
    </row>
    <row r="15127">
      <c r="B15127" s="19"/>
      <c r="E15127" s="23"/>
      <c r="L15127" s="23"/>
    </row>
    <row r="15128">
      <c r="B15128" s="19"/>
      <c r="E15128" s="23"/>
      <c r="L15128" s="23"/>
    </row>
    <row r="15129">
      <c r="B15129" s="19"/>
      <c r="E15129" s="23"/>
      <c r="L15129" s="23"/>
    </row>
    <row r="15130">
      <c r="B15130" s="19"/>
      <c r="E15130" s="23"/>
      <c r="L15130" s="23"/>
    </row>
    <row r="15131">
      <c r="B15131" s="19"/>
      <c r="E15131" s="23"/>
      <c r="L15131" s="23"/>
    </row>
    <row r="15132">
      <c r="B15132" s="19"/>
      <c r="E15132" s="23"/>
      <c r="L15132" s="23"/>
    </row>
    <row r="15133">
      <c r="B15133" s="19"/>
      <c r="E15133" s="23"/>
      <c r="L15133" s="23"/>
    </row>
    <row r="15134">
      <c r="B15134" s="19"/>
      <c r="E15134" s="23"/>
      <c r="L15134" s="23"/>
    </row>
    <row r="15135">
      <c r="B15135" s="19"/>
      <c r="E15135" s="23"/>
      <c r="L15135" s="23"/>
    </row>
    <row r="15136">
      <c r="B15136" s="19"/>
      <c r="E15136" s="23"/>
      <c r="L15136" s="23"/>
    </row>
    <row r="15137">
      <c r="B15137" s="19"/>
      <c r="E15137" s="23"/>
      <c r="L15137" s="23"/>
    </row>
    <row r="15138">
      <c r="B15138" s="19"/>
      <c r="E15138" s="23"/>
      <c r="L15138" s="23"/>
    </row>
    <row r="15139">
      <c r="B15139" s="19"/>
      <c r="E15139" s="23"/>
      <c r="L15139" s="23"/>
    </row>
    <row r="15140">
      <c r="B15140" s="19"/>
      <c r="E15140" s="23"/>
      <c r="L15140" s="23"/>
    </row>
    <row r="15141">
      <c r="B15141" s="19"/>
      <c r="E15141" s="23"/>
      <c r="L15141" s="23"/>
    </row>
    <row r="15142">
      <c r="B15142" s="19"/>
      <c r="E15142" s="23"/>
      <c r="L15142" s="23"/>
    </row>
    <row r="15143">
      <c r="B15143" s="19"/>
      <c r="E15143" s="23"/>
      <c r="L15143" s="23"/>
    </row>
    <row r="15144">
      <c r="B15144" s="19"/>
      <c r="E15144" s="23"/>
      <c r="L15144" s="23"/>
    </row>
    <row r="15145">
      <c r="B15145" s="19"/>
      <c r="E15145" s="23"/>
      <c r="L15145" s="23"/>
    </row>
    <row r="15146">
      <c r="B15146" s="19"/>
      <c r="E15146" s="23"/>
      <c r="L15146" s="23"/>
    </row>
    <row r="15147">
      <c r="B15147" s="19"/>
      <c r="E15147" s="23"/>
      <c r="L15147" s="23"/>
    </row>
    <row r="15148">
      <c r="B15148" s="19"/>
      <c r="E15148" s="23"/>
      <c r="L15148" s="23"/>
    </row>
    <row r="15149">
      <c r="B15149" s="19"/>
      <c r="E15149" s="23"/>
      <c r="L15149" s="23"/>
    </row>
    <row r="15150">
      <c r="B15150" s="19"/>
      <c r="E15150" s="23"/>
      <c r="L15150" s="23"/>
    </row>
    <row r="15151">
      <c r="B15151" s="19"/>
      <c r="E15151" s="23"/>
      <c r="L15151" s="23"/>
    </row>
    <row r="15152">
      <c r="B15152" s="19"/>
      <c r="E15152" s="23"/>
      <c r="L15152" s="23"/>
    </row>
    <row r="15153">
      <c r="B15153" s="19"/>
      <c r="E15153" s="23"/>
      <c r="L15153" s="23"/>
    </row>
    <row r="15154">
      <c r="B15154" s="19"/>
      <c r="E15154" s="23"/>
      <c r="L15154" s="23"/>
    </row>
    <row r="15155">
      <c r="B15155" s="19"/>
      <c r="E15155" s="23"/>
      <c r="L15155" s="23"/>
    </row>
    <row r="15156">
      <c r="B15156" s="19"/>
      <c r="E15156" s="23"/>
      <c r="L15156" s="23"/>
    </row>
    <row r="15157">
      <c r="B15157" s="19"/>
      <c r="E15157" s="23"/>
      <c r="L15157" s="23"/>
    </row>
    <row r="15158">
      <c r="B15158" s="19"/>
      <c r="E15158" s="23"/>
      <c r="L15158" s="23"/>
    </row>
    <row r="15159">
      <c r="B15159" s="19"/>
      <c r="E15159" s="23"/>
      <c r="L15159" s="23"/>
    </row>
    <row r="15160">
      <c r="B15160" s="19"/>
      <c r="E15160" s="23"/>
      <c r="L15160" s="23"/>
    </row>
    <row r="15161">
      <c r="B15161" s="19"/>
      <c r="E15161" s="23"/>
      <c r="L15161" s="23"/>
    </row>
    <row r="15162">
      <c r="B15162" s="19"/>
      <c r="E15162" s="23"/>
      <c r="L15162" s="23"/>
    </row>
    <row r="15163">
      <c r="B15163" s="19"/>
      <c r="E15163" s="23"/>
      <c r="L15163" s="23"/>
    </row>
    <row r="15164">
      <c r="B15164" s="19"/>
      <c r="E15164" s="23"/>
      <c r="L15164" s="23"/>
    </row>
    <row r="15165">
      <c r="B15165" s="19"/>
      <c r="E15165" s="23"/>
      <c r="L15165" s="23"/>
    </row>
    <row r="15166">
      <c r="B15166" s="19"/>
      <c r="E15166" s="23"/>
      <c r="L15166" s="23"/>
    </row>
    <row r="15167">
      <c r="B15167" s="19"/>
      <c r="E15167" s="23"/>
      <c r="L15167" s="23"/>
    </row>
    <row r="15168">
      <c r="B15168" s="19"/>
      <c r="E15168" s="23"/>
      <c r="L15168" s="23"/>
    </row>
    <row r="15169">
      <c r="B15169" s="19"/>
      <c r="E15169" s="23"/>
      <c r="L15169" s="23"/>
    </row>
    <row r="15170">
      <c r="B15170" s="19"/>
      <c r="E15170" s="23"/>
      <c r="L15170" s="23"/>
    </row>
    <row r="15171">
      <c r="B15171" s="19"/>
      <c r="E15171" s="23"/>
      <c r="L15171" s="23"/>
    </row>
    <row r="15172">
      <c r="B15172" s="19"/>
      <c r="E15172" s="23"/>
      <c r="L15172" s="23"/>
    </row>
    <row r="15173">
      <c r="B15173" s="19"/>
      <c r="E15173" s="23"/>
      <c r="L15173" s="23"/>
    </row>
    <row r="15174">
      <c r="B15174" s="19"/>
      <c r="E15174" s="23"/>
      <c r="L15174" s="23"/>
    </row>
    <row r="15175">
      <c r="B15175" s="19"/>
      <c r="E15175" s="23"/>
      <c r="L15175" s="23"/>
    </row>
    <row r="15176">
      <c r="B15176" s="19"/>
      <c r="E15176" s="23"/>
      <c r="L15176" s="23"/>
    </row>
    <row r="15177">
      <c r="B15177" s="19"/>
      <c r="E15177" s="23"/>
      <c r="L15177" s="23"/>
    </row>
    <row r="15178">
      <c r="B15178" s="19"/>
      <c r="E15178" s="23"/>
      <c r="L15178" s="23"/>
    </row>
    <row r="15179">
      <c r="B15179" s="19"/>
      <c r="E15179" s="23"/>
      <c r="L15179" s="23"/>
    </row>
    <row r="15180">
      <c r="B15180" s="19"/>
      <c r="E15180" s="23"/>
      <c r="L15180" s="23"/>
    </row>
    <row r="15181">
      <c r="B15181" s="19"/>
      <c r="E15181" s="23"/>
      <c r="L15181" s="23"/>
    </row>
    <row r="15182">
      <c r="B15182" s="19"/>
      <c r="E15182" s="23"/>
      <c r="L15182" s="23"/>
    </row>
    <row r="15183">
      <c r="B15183" s="19"/>
      <c r="E15183" s="23"/>
      <c r="L15183" s="23"/>
    </row>
    <row r="15184">
      <c r="B15184" s="19"/>
      <c r="E15184" s="23"/>
      <c r="L15184" s="23"/>
    </row>
    <row r="15185">
      <c r="B15185" s="19"/>
      <c r="E15185" s="23"/>
      <c r="L15185" s="23"/>
    </row>
    <row r="15186">
      <c r="B15186" s="19"/>
      <c r="E15186" s="23"/>
      <c r="L15186" s="23"/>
    </row>
    <row r="15187">
      <c r="B15187" s="19"/>
      <c r="E15187" s="23"/>
      <c r="L15187" s="23"/>
    </row>
    <row r="15188">
      <c r="B15188" s="19"/>
      <c r="E15188" s="23"/>
      <c r="L15188" s="23"/>
    </row>
    <row r="15189">
      <c r="B15189" s="19"/>
      <c r="E15189" s="23"/>
      <c r="L15189" s="23"/>
    </row>
    <row r="15190">
      <c r="B15190" s="19"/>
      <c r="E15190" s="23"/>
      <c r="L15190" s="23"/>
    </row>
    <row r="15191">
      <c r="B15191" s="19"/>
      <c r="E15191" s="23"/>
      <c r="L15191" s="23"/>
    </row>
    <row r="15192">
      <c r="B15192" s="19"/>
      <c r="E15192" s="23"/>
      <c r="L15192" s="23"/>
    </row>
    <row r="15193">
      <c r="B15193" s="19"/>
      <c r="E15193" s="23"/>
      <c r="L15193" s="23"/>
    </row>
    <row r="15194">
      <c r="B15194" s="19"/>
      <c r="E15194" s="23"/>
      <c r="L15194" s="23"/>
    </row>
    <row r="15195">
      <c r="B15195" s="19"/>
      <c r="E15195" s="23"/>
      <c r="L15195" s="23"/>
    </row>
    <row r="15196">
      <c r="B15196" s="19"/>
      <c r="E15196" s="23"/>
      <c r="L15196" s="23"/>
    </row>
    <row r="15197">
      <c r="B15197" s="19"/>
      <c r="E15197" s="23"/>
      <c r="L15197" s="23"/>
    </row>
    <row r="15198">
      <c r="B15198" s="19"/>
      <c r="E15198" s="23"/>
      <c r="L15198" s="23"/>
    </row>
    <row r="15199">
      <c r="B15199" s="19"/>
      <c r="E15199" s="23"/>
      <c r="L15199" s="23"/>
    </row>
    <row r="15200">
      <c r="B15200" s="19"/>
      <c r="E15200" s="23"/>
      <c r="L15200" s="23"/>
    </row>
    <row r="15201">
      <c r="B15201" s="19"/>
      <c r="E15201" s="23"/>
      <c r="L15201" s="23"/>
    </row>
    <row r="15202">
      <c r="B15202" s="19"/>
      <c r="E15202" s="23"/>
      <c r="L15202" s="23"/>
    </row>
    <row r="15203">
      <c r="B15203" s="19"/>
      <c r="E15203" s="23"/>
      <c r="L15203" s="23"/>
    </row>
    <row r="15204">
      <c r="B15204" s="19"/>
      <c r="E15204" s="23"/>
      <c r="L15204" s="23"/>
    </row>
    <row r="15205">
      <c r="B15205" s="19"/>
      <c r="E15205" s="23"/>
      <c r="L15205" s="23"/>
    </row>
    <row r="15206">
      <c r="B15206" s="19"/>
      <c r="E15206" s="23"/>
      <c r="L15206" s="23"/>
    </row>
    <row r="15207">
      <c r="B15207" s="19"/>
      <c r="E15207" s="23"/>
      <c r="L15207" s="23"/>
    </row>
    <row r="15208">
      <c r="B15208" s="19"/>
      <c r="E15208" s="23"/>
      <c r="L15208" s="23"/>
    </row>
    <row r="15209">
      <c r="B15209" s="19"/>
      <c r="E15209" s="23"/>
      <c r="L15209" s="23"/>
    </row>
    <row r="15210">
      <c r="B15210" s="19"/>
      <c r="E15210" s="23"/>
      <c r="L15210" s="23"/>
    </row>
    <row r="15211">
      <c r="B15211" s="19"/>
      <c r="E15211" s="23"/>
      <c r="L15211" s="23"/>
    </row>
    <row r="15212">
      <c r="B15212" s="19"/>
      <c r="E15212" s="23"/>
      <c r="L15212" s="23"/>
    </row>
    <row r="15213">
      <c r="B15213" s="19"/>
      <c r="E15213" s="23"/>
      <c r="L15213" s="23"/>
    </row>
    <row r="15214">
      <c r="B15214" s="19"/>
      <c r="E15214" s="23"/>
      <c r="L15214" s="23"/>
    </row>
    <row r="15215">
      <c r="B15215" s="19"/>
      <c r="E15215" s="23"/>
      <c r="L15215" s="23"/>
    </row>
    <row r="15216">
      <c r="B15216" s="19"/>
      <c r="E15216" s="23"/>
      <c r="L15216" s="23"/>
    </row>
    <row r="15217">
      <c r="B15217" s="19"/>
      <c r="E15217" s="23"/>
      <c r="L15217" s="23"/>
    </row>
    <row r="15218">
      <c r="B15218" s="19"/>
      <c r="E15218" s="23"/>
      <c r="L15218" s="23"/>
    </row>
    <row r="15219">
      <c r="B15219" s="19"/>
      <c r="E15219" s="23"/>
      <c r="L15219" s="23"/>
    </row>
    <row r="15220">
      <c r="B15220" s="19"/>
      <c r="E15220" s="23"/>
      <c r="L15220" s="23"/>
    </row>
    <row r="15221">
      <c r="B15221" s="19"/>
      <c r="E15221" s="23"/>
      <c r="L15221" s="23"/>
    </row>
    <row r="15222">
      <c r="B15222" s="19"/>
      <c r="E15222" s="23"/>
      <c r="L15222" s="23"/>
    </row>
    <row r="15223">
      <c r="B15223" s="19"/>
      <c r="E15223" s="23"/>
      <c r="L15223" s="23"/>
    </row>
    <row r="15224">
      <c r="B15224" s="19"/>
      <c r="E15224" s="23"/>
      <c r="L15224" s="23"/>
    </row>
    <row r="15225">
      <c r="B15225" s="19"/>
      <c r="E15225" s="23"/>
      <c r="L15225" s="23"/>
    </row>
    <row r="15226">
      <c r="B15226" s="19"/>
      <c r="E15226" s="23"/>
      <c r="L15226" s="23"/>
    </row>
    <row r="15227">
      <c r="B15227" s="19"/>
      <c r="E15227" s="23"/>
      <c r="L15227" s="23"/>
    </row>
    <row r="15228">
      <c r="B15228" s="19"/>
      <c r="E15228" s="23"/>
      <c r="L15228" s="23"/>
    </row>
    <row r="15229">
      <c r="B15229" s="19"/>
      <c r="E15229" s="23"/>
      <c r="L15229" s="23"/>
    </row>
    <row r="15230">
      <c r="B15230" s="19"/>
      <c r="E15230" s="23"/>
      <c r="L15230" s="23"/>
    </row>
    <row r="15231">
      <c r="B15231" s="19"/>
      <c r="E15231" s="23"/>
      <c r="L15231" s="23"/>
    </row>
    <row r="15232">
      <c r="B15232" s="19"/>
      <c r="E15232" s="23"/>
      <c r="L15232" s="23"/>
    </row>
    <row r="15233">
      <c r="B15233" s="19"/>
      <c r="E15233" s="23"/>
      <c r="L15233" s="23"/>
    </row>
    <row r="15234">
      <c r="B15234" s="19"/>
      <c r="E15234" s="23"/>
      <c r="L15234" s="23"/>
    </row>
    <row r="15235">
      <c r="B15235" s="19"/>
      <c r="E15235" s="23"/>
      <c r="L15235" s="23"/>
    </row>
    <row r="15236">
      <c r="B15236" s="19"/>
      <c r="E15236" s="23"/>
      <c r="L15236" s="23"/>
    </row>
    <row r="15237">
      <c r="B15237" s="19"/>
      <c r="E15237" s="23"/>
      <c r="L15237" s="23"/>
    </row>
    <row r="15238">
      <c r="B15238" s="19"/>
      <c r="E15238" s="23"/>
      <c r="L15238" s="23"/>
    </row>
    <row r="15239">
      <c r="B15239" s="19"/>
      <c r="E15239" s="23"/>
      <c r="L15239" s="23"/>
    </row>
    <row r="15240">
      <c r="B15240" s="19"/>
      <c r="E15240" s="23"/>
      <c r="L15240" s="23"/>
    </row>
    <row r="15241">
      <c r="B15241" s="19"/>
      <c r="E15241" s="23"/>
      <c r="L15241" s="23"/>
    </row>
    <row r="15242">
      <c r="B15242" s="19"/>
      <c r="E15242" s="23"/>
      <c r="L15242" s="23"/>
    </row>
    <row r="15243">
      <c r="B15243" s="19"/>
      <c r="E15243" s="23"/>
      <c r="L15243" s="23"/>
    </row>
    <row r="15244">
      <c r="B15244" s="19"/>
      <c r="E15244" s="23"/>
      <c r="L15244" s="23"/>
    </row>
    <row r="15245">
      <c r="B15245" s="19"/>
      <c r="E15245" s="23"/>
      <c r="L15245" s="23"/>
    </row>
    <row r="15246">
      <c r="B15246" s="19"/>
      <c r="E15246" s="23"/>
      <c r="L15246" s="23"/>
    </row>
    <row r="15247">
      <c r="B15247" s="19"/>
      <c r="E15247" s="23"/>
      <c r="L15247" s="23"/>
    </row>
    <row r="15248">
      <c r="B15248" s="19"/>
      <c r="E15248" s="23"/>
      <c r="L15248" s="23"/>
    </row>
    <row r="15249">
      <c r="B15249" s="19"/>
      <c r="E15249" s="23"/>
      <c r="L15249" s="23"/>
    </row>
    <row r="15250">
      <c r="B15250" s="19"/>
      <c r="E15250" s="23"/>
      <c r="L15250" s="23"/>
    </row>
    <row r="15251">
      <c r="B15251" s="19"/>
      <c r="E15251" s="23"/>
      <c r="L15251" s="23"/>
    </row>
    <row r="15252">
      <c r="B15252" s="19"/>
      <c r="E15252" s="23"/>
      <c r="L15252" s="23"/>
    </row>
    <row r="15253">
      <c r="B15253" s="19"/>
      <c r="E15253" s="23"/>
      <c r="L15253" s="23"/>
    </row>
    <row r="15254">
      <c r="B15254" s="19"/>
      <c r="E15254" s="23"/>
      <c r="L15254" s="23"/>
    </row>
    <row r="15255">
      <c r="B15255" s="19"/>
      <c r="E15255" s="23"/>
      <c r="L15255" s="23"/>
    </row>
    <row r="15256">
      <c r="B15256" s="19"/>
      <c r="E15256" s="23"/>
      <c r="L15256" s="23"/>
    </row>
    <row r="15257">
      <c r="B15257" s="19"/>
      <c r="E15257" s="23"/>
      <c r="L15257" s="23"/>
    </row>
    <row r="15258">
      <c r="B15258" s="19"/>
      <c r="E15258" s="23"/>
      <c r="L15258" s="23"/>
    </row>
    <row r="15259">
      <c r="B15259" s="19"/>
      <c r="E15259" s="23"/>
      <c r="L15259" s="23"/>
    </row>
    <row r="15260">
      <c r="B15260" s="19"/>
      <c r="E15260" s="23"/>
      <c r="L15260" s="23"/>
    </row>
    <row r="15261">
      <c r="B15261" s="19"/>
      <c r="E15261" s="23"/>
      <c r="L15261" s="23"/>
    </row>
    <row r="15262">
      <c r="B15262" s="19"/>
      <c r="E15262" s="23"/>
      <c r="L15262" s="23"/>
    </row>
    <row r="15263">
      <c r="B15263" s="19"/>
      <c r="E15263" s="23"/>
      <c r="L15263" s="23"/>
    </row>
    <row r="15264">
      <c r="B15264" s="19"/>
      <c r="E15264" s="23"/>
      <c r="L15264" s="23"/>
    </row>
    <row r="15265">
      <c r="B15265" s="19"/>
      <c r="E15265" s="23"/>
      <c r="L15265" s="23"/>
    </row>
    <row r="15266">
      <c r="B15266" s="19"/>
      <c r="E15266" s="23"/>
      <c r="L15266" s="23"/>
    </row>
    <row r="15267">
      <c r="B15267" s="19"/>
      <c r="E15267" s="23"/>
      <c r="L15267" s="23"/>
    </row>
    <row r="15268">
      <c r="B15268" s="19"/>
      <c r="E15268" s="23"/>
      <c r="L15268" s="23"/>
    </row>
    <row r="15269">
      <c r="B15269" s="19"/>
      <c r="E15269" s="23"/>
      <c r="L15269" s="23"/>
    </row>
    <row r="15270">
      <c r="B15270" s="19"/>
      <c r="E15270" s="23"/>
      <c r="L15270" s="23"/>
    </row>
    <row r="15271">
      <c r="B15271" s="19"/>
      <c r="E15271" s="23"/>
      <c r="L15271" s="23"/>
    </row>
    <row r="15272">
      <c r="B15272" s="19"/>
      <c r="E15272" s="23"/>
      <c r="L15272" s="23"/>
    </row>
    <row r="15273">
      <c r="B15273" s="19"/>
      <c r="E15273" s="23"/>
      <c r="L15273" s="23"/>
    </row>
    <row r="15274">
      <c r="B15274" s="19"/>
      <c r="E15274" s="23"/>
      <c r="L15274" s="23"/>
    </row>
    <row r="15275">
      <c r="B15275" s="19"/>
      <c r="E15275" s="23"/>
      <c r="L15275" s="23"/>
    </row>
    <row r="15276">
      <c r="B15276" s="19"/>
      <c r="E15276" s="23"/>
      <c r="L15276" s="23"/>
    </row>
    <row r="15277">
      <c r="B15277" s="19"/>
      <c r="E15277" s="23"/>
      <c r="L15277" s="23"/>
    </row>
    <row r="15278">
      <c r="B15278" s="19"/>
      <c r="E15278" s="23"/>
      <c r="L15278" s="23"/>
    </row>
    <row r="15279">
      <c r="B15279" s="19"/>
      <c r="E15279" s="23"/>
      <c r="L15279" s="23"/>
    </row>
    <row r="15280">
      <c r="B15280" s="19"/>
      <c r="E15280" s="23"/>
      <c r="L15280" s="23"/>
    </row>
    <row r="15281">
      <c r="B15281" s="19"/>
      <c r="E15281" s="23"/>
      <c r="L15281" s="23"/>
    </row>
    <row r="15282">
      <c r="B15282" s="19"/>
      <c r="E15282" s="23"/>
      <c r="L15282" s="23"/>
    </row>
    <row r="15283">
      <c r="B15283" s="19"/>
      <c r="E15283" s="23"/>
      <c r="L15283" s="23"/>
    </row>
    <row r="15284">
      <c r="B15284" s="19"/>
      <c r="E15284" s="23"/>
      <c r="L15284" s="23"/>
    </row>
    <row r="15285">
      <c r="B15285" s="19"/>
      <c r="E15285" s="23"/>
      <c r="L15285" s="23"/>
    </row>
    <row r="15286">
      <c r="B15286" s="19"/>
      <c r="E15286" s="23"/>
      <c r="L15286" s="23"/>
    </row>
    <row r="15287">
      <c r="B15287" s="19"/>
      <c r="E15287" s="23"/>
      <c r="L15287" s="23"/>
    </row>
    <row r="15288">
      <c r="B15288" s="19"/>
      <c r="E15288" s="23"/>
      <c r="L15288" s="23"/>
    </row>
    <row r="15289">
      <c r="B15289" s="19"/>
      <c r="E15289" s="23"/>
      <c r="L15289" s="23"/>
    </row>
    <row r="15290">
      <c r="B15290" s="19"/>
      <c r="E15290" s="23"/>
      <c r="L15290" s="23"/>
    </row>
    <row r="15291">
      <c r="B15291" s="19"/>
      <c r="E15291" s="23"/>
      <c r="L15291" s="23"/>
    </row>
    <row r="15292">
      <c r="B15292" s="19"/>
      <c r="E15292" s="23"/>
      <c r="L15292" s="23"/>
    </row>
    <row r="15293">
      <c r="B15293" s="19"/>
      <c r="E15293" s="23"/>
      <c r="L15293" s="23"/>
    </row>
    <row r="15294">
      <c r="B15294" s="19"/>
      <c r="E15294" s="23"/>
      <c r="L15294" s="23"/>
    </row>
    <row r="15295">
      <c r="B15295" s="19"/>
      <c r="E15295" s="23"/>
      <c r="L15295" s="23"/>
    </row>
    <row r="15296">
      <c r="B15296" s="19"/>
      <c r="E15296" s="23"/>
      <c r="L15296" s="23"/>
    </row>
    <row r="15297">
      <c r="B15297" s="19"/>
      <c r="E15297" s="23"/>
      <c r="L15297" s="23"/>
    </row>
    <row r="15298">
      <c r="B15298" s="19"/>
      <c r="E15298" s="23"/>
      <c r="L15298" s="23"/>
    </row>
    <row r="15299">
      <c r="B15299" s="19"/>
      <c r="E15299" s="23"/>
      <c r="L15299" s="23"/>
    </row>
    <row r="15300">
      <c r="B15300" s="19"/>
      <c r="E15300" s="23"/>
      <c r="L15300" s="23"/>
    </row>
    <row r="15301">
      <c r="B15301" s="19"/>
      <c r="E15301" s="23"/>
      <c r="L15301" s="23"/>
    </row>
    <row r="15302">
      <c r="B15302" s="19"/>
      <c r="E15302" s="23"/>
      <c r="L15302" s="23"/>
    </row>
    <row r="15303">
      <c r="B15303" s="19"/>
      <c r="E15303" s="23"/>
      <c r="L15303" s="23"/>
    </row>
    <row r="15304">
      <c r="B15304" s="19"/>
      <c r="E15304" s="23"/>
      <c r="L15304" s="23"/>
    </row>
    <row r="15305">
      <c r="B15305" s="19"/>
      <c r="E15305" s="23"/>
      <c r="L15305" s="23"/>
    </row>
    <row r="15306">
      <c r="B15306" s="19"/>
      <c r="E15306" s="23"/>
      <c r="L15306" s="23"/>
    </row>
    <row r="15307">
      <c r="B15307" s="19"/>
      <c r="E15307" s="23"/>
      <c r="L15307" s="23"/>
    </row>
    <row r="15308">
      <c r="B15308" s="19"/>
      <c r="E15308" s="23"/>
      <c r="L15308" s="23"/>
    </row>
    <row r="15309">
      <c r="B15309" s="19"/>
      <c r="E15309" s="23"/>
      <c r="L15309" s="23"/>
    </row>
    <row r="15310">
      <c r="B15310" s="19"/>
      <c r="E15310" s="23"/>
      <c r="L15310" s="23"/>
    </row>
    <row r="15311">
      <c r="B15311" s="19"/>
      <c r="E15311" s="23"/>
      <c r="L15311" s="23"/>
    </row>
    <row r="15312">
      <c r="B15312" s="19"/>
      <c r="E15312" s="23"/>
      <c r="L15312" s="23"/>
    </row>
    <row r="15313">
      <c r="B15313" s="19"/>
      <c r="E15313" s="23"/>
      <c r="L15313" s="23"/>
    </row>
    <row r="15314">
      <c r="B15314" s="19"/>
      <c r="E15314" s="23"/>
      <c r="L15314" s="23"/>
    </row>
    <row r="15315">
      <c r="B15315" s="19"/>
      <c r="E15315" s="23"/>
      <c r="L15315" s="23"/>
    </row>
    <row r="15316">
      <c r="B15316" s="19"/>
      <c r="E15316" s="23"/>
      <c r="L15316" s="23"/>
    </row>
    <row r="15317">
      <c r="B15317" s="19"/>
      <c r="E15317" s="23"/>
      <c r="L15317" s="23"/>
    </row>
    <row r="15318">
      <c r="B15318" s="19"/>
      <c r="E15318" s="23"/>
      <c r="L15318" s="23"/>
    </row>
    <row r="15319">
      <c r="B15319" s="19"/>
      <c r="E15319" s="23"/>
      <c r="L15319" s="23"/>
    </row>
    <row r="15320">
      <c r="B15320" s="19"/>
      <c r="E15320" s="23"/>
      <c r="L15320" s="23"/>
    </row>
    <row r="15321">
      <c r="B15321" s="19"/>
      <c r="E15321" s="23"/>
      <c r="L15321" s="23"/>
    </row>
    <row r="15322">
      <c r="B15322" s="19"/>
      <c r="E15322" s="23"/>
      <c r="L15322" s="23"/>
    </row>
    <row r="15323">
      <c r="B15323" s="19"/>
      <c r="E15323" s="23"/>
      <c r="L15323" s="23"/>
    </row>
    <row r="15324">
      <c r="B15324" s="19"/>
      <c r="E15324" s="23"/>
      <c r="L15324" s="23"/>
    </row>
    <row r="15325">
      <c r="B15325" s="19"/>
      <c r="E15325" s="23"/>
      <c r="L15325" s="23"/>
    </row>
    <row r="15326">
      <c r="B15326" s="19"/>
      <c r="E15326" s="23"/>
      <c r="L15326" s="23"/>
    </row>
    <row r="15327">
      <c r="B15327" s="19"/>
      <c r="E15327" s="23"/>
      <c r="L15327" s="23"/>
    </row>
    <row r="15328">
      <c r="B15328" s="19"/>
      <c r="E15328" s="23"/>
      <c r="L15328" s="23"/>
    </row>
    <row r="15329">
      <c r="B15329" s="19"/>
      <c r="E15329" s="23"/>
      <c r="L15329" s="23"/>
    </row>
    <row r="15330">
      <c r="B15330" s="19"/>
      <c r="E15330" s="23"/>
      <c r="L15330" s="23"/>
    </row>
    <row r="15331">
      <c r="B15331" s="19"/>
      <c r="E15331" s="23"/>
      <c r="L15331" s="23"/>
    </row>
    <row r="15332">
      <c r="B15332" s="19"/>
      <c r="E15332" s="23"/>
      <c r="L15332" s="23"/>
    </row>
    <row r="15333">
      <c r="B15333" s="19"/>
      <c r="E15333" s="23"/>
      <c r="L15333" s="23"/>
    </row>
    <row r="15334">
      <c r="B15334" s="19"/>
      <c r="E15334" s="23"/>
      <c r="L15334" s="23"/>
    </row>
    <row r="15335">
      <c r="B15335" s="19"/>
      <c r="E15335" s="23"/>
      <c r="L15335" s="23"/>
    </row>
    <row r="15336">
      <c r="B15336" s="19"/>
      <c r="E15336" s="23"/>
      <c r="L15336" s="23"/>
    </row>
    <row r="15337">
      <c r="B15337" s="19"/>
      <c r="E15337" s="23"/>
      <c r="L15337" s="23"/>
    </row>
    <row r="15338">
      <c r="B15338" s="19"/>
      <c r="E15338" s="23"/>
      <c r="L15338" s="23"/>
    </row>
    <row r="15339">
      <c r="B15339" s="19"/>
      <c r="E15339" s="23"/>
      <c r="L15339" s="23"/>
    </row>
    <row r="15340">
      <c r="B15340" s="19"/>
      <c r="E15340" s="23"/>
      <c r="L15340" s="23"/>
    </row>
    <row r="15341">
      <c r="B15341" s="19"/>
      <c r="E15341" s="23"/>
      <c r="L15341" s="23"/>
    </row>
    <row r="15342">
      <c r="B15342" s="19"/>
      <c r="E15342" s="23"/>
      <c r="L15342" s="23"/>
    </row>
    <row r="15343">
      <c r="B15343" s="19"/>
      <c r="E15343" s="23"/>
      <c r="L15343" s="23"/>
    </row>
    <row r="15344">
      <c r="B15344" s="19"/>
      <c r="E15344" s="23"/>
      <c r="L15344" s="23"/>
    </row>
    <row r="15345">
      <c r="B15345" s="19"/>
      <c r="E15345" s="23"/>
      <c r="L15345" s="23"/>
    </row>
    <row r="15346">
      <c r="B15346" s="19"/>
      <c r="E15346" s="23"/>
      <c r="L15346" s="23"/>
    </row>
    <row r="15347">
      <c r="B15347" s="19"/>
      <c r="E15347" s="23"/>
      <c r="L15347" s="23"/>
    </row>
    <row r="15348">
      <c r="B15348" s="19"/>
      <c r="E15348" s="23"/>
      <c r="L15348" s="23"/>
    </row>
    <row r="15349">
      <c r="B15349" s="19"/>
      <c r="E15349" s="23"/>
      <c r="L15349" s="23"/>
    </row>
    <row r="15350">
      <c r="B15350" s="19"/>
      <c r="E15350" s="23"/>
      <c r="L15350" s="23"/>
    </row>
    <row r="15351">
      <c r="B15351" s="19"/>
      <c r="E15351" s="23"/>
      <c r="L15351" s="23"/>
    </row>
    <row r="15352">
      <c r="B15352" s="19"/>
      <c r="E15352" s="23"/>
      <c r="L15352" s="23"/>
    </row>
    <row r="15353">
      <c r="B15353" s="19"/>
      <c r="E15353" s="23"/>
      <c r="L15353" s="23"/>
    </row>
    <row r="15354">
      <c r="B15354" s="19"/>
      <c r="E15354" s="23"/>
      <c r="L15354" s="23"/>
    </row>
    <row r="15355">
      <c r="B15355" s="19"/>
      <c r="E15355" s="23"/>
      <c r="L15355" s="23"/>
    </row>
    <row r="15356">
      <c r="B15356" s="19"/>
      <c r="E15356" s="23"/>
      <c r="L15356" s="23"/>
    </row>
    <row r="15357">
      <c r="B15357" s="19"/>
      <c r="E15357" s="23"/>
      <c r="L15357" s="23"/>
    </row>
    <row r="15358">
      <c r="B15358" s="19"/>
      <c r="E15358" s="23"/>
      <c r="L15358" s="23"/>
    </row>
    <row r="15359">
      <c r="B15359" s="19"/>
      <c r="E15359" s="23"/>
      <c r="L15359" s="23"/>
    </row>
    <row r="15360">
      <c r="B15360" s="19"/>
      <c r="E15360" s="23"/>
      <c r="L15360" s="23"/>
    </row>
    <row r="15361">
      <c r="B15361" s="19"/>
      <c r="E15361" s="23"/>
      <c r="L15361" s="23"/>
    </row>
    <row r="15362">
      <c r="B15362" s="19"/>
      <c r="E15362" s="23"/>
      <c r="L15362" s="23"/>
    </row>
    <row r="15363">
      <c r="B15363" s="19"/>
      <c r="E15363" s="23"/>
      <c r="L15363" s="23"/>
    </row>
    <row r="15364">
      <c r="B15364" s="19"/>
      <c r="E15364" s="23"/>
      <c r="L15364" s="23"/>
    </row>
    <row r="15365">
      <c r="B15365" s="19"/>
      <c r="E15365" s="23"/>
      <c r="L15365" s="23"/>
    </row>
    <row r="15366">
      <c r="B15366" s="19"/>
      <c r="E15366" s="23"/>
      <c r="L15366" s="23"/>
    </row>
    <row r="15367">
      <c r="B15367" s="19"/>
      <c r="E15367" s="23"/>
      <c r="L15367" s="23"/>
    </row>
    <row r="15368">
      <c r="B15368" s="19"/>
      <c r="E15368" s="23"/>
      <c r="L15368" s="23"/>
    </row>
    <row r="15369">
      <c r="B15369" s="19"/>
      <c r="E15369" s="23"/>
      <c r="L15369" s="23"/>
    </row>
    <row r="15370">
      <c r="B15370" s="19"/>
      <c r="E15370" s="23"/>
      <c r="L15370" s="23"/>
    </row>
    <row r="15371">
      <c r="B15371" s="19"/>
      <c r="E15371" s="23"/>
      <c r="L15371" s="23"/>
    </row>
    <row r="15372">
      <c r="B15372" s="19"/>
      <c r="E15372" s="23"/>
      <c r="L15372" s="23"/>
    </row>
    <row r="15373">
      <c r="B15373" s="19"/>
      <c r="E15373" s="23"/>
      <c r="L15373" s="23"/>
    </row>
    <row r="15374">
      <c r="B15374" s="19"/>
      <c r="E15374" s="23"/>
      <c r="L15374" s="23"/>
    </row>
    <row r="15375">
      <c r="B15375" s="19"/>
      <c r="E15375" s="23"/>
      <c r="L15375" s="23"/>
    </row>
    <row r="15376">
      <c r="B15376" s="19"/>
      <c r="E15376" s="23"/>
      <c r="L15376" s="23"/>
    </row>
    <row r="15377">
      <c r="B15377" s="19"/>
      <c r="E15377" s="23"/>
      <c r="L15377" s="23"/>
    </row>
    <row r="15378">
      <c r="B15378" s="19"/>
      <c r="E15378" s="23"/>
      <c r="L15378" s="23"/>
    </row>
    <row r="15379">
      <c r="B15379" s="19"/>
      <c r="E15379" s="23"/>
      <c r="L15379" s="23"/>
    </row>
    <row r="15380">
      <c r="B15380" s="19"/>
      <c r="E15380" s="23"/>
      <c r="L15380" s="23"/>
    </row>
    <row r="15381">
      <c r="B15381" s="19"/>
      <c r="E15381" s="23"/>
      <c r="L15381" s="23"/>
    </row>
    <row r="15382">
      <c r="B15382" s="19"/>
      <c r="E15382" s="23"/>
      <c r="L15382" s="23"/>
    </row>
    <row r="15383">
      <c r="B15383" s="19"/>
      <c r="E15383" s="23"/>
      <c r="L15383" s="23"/>
    </row>
    <row r="15384">
      <c r="B15384" s="19"/>
      <c r="E15384" s="23"/>
      <c r="L15384" s="23"/>
    </row>
    <row r="15385">
      <c r="B15385" s="19"/>
      <c r="E15385" s="23"/>
      <c r="L15385" s="23"/>
    </row>
    <row r="15386">
      <c r="B15386" s="19"/>
      <c r="E15386" s="23"/>
      <c r="L15386" s="23"/>
    </row>
    <row r="15387">
      <c r="B15387" s="19"/>
      <c r="E15387" s="23"/>
      <c r="L15387" s="23"/>
    </row>
    <row r="15388">
      <c r="B15388" s="19"/>
      <c r="E15388" s="23"/>
      <c r="L15388" s="23"/>
    </row>
    <row r="15389">
      <c r="B15389" s="19"/>
      <c r="E15389" s="23"/>
      <c r="L15389" s="23"/>
    </row>
    <row r="15390">
      <c r="B15390" s="19"/>
      <c r="E15390" s="23"/>
      <c r="L15390" s="23"/>
    </row>
    <row r="15391">
      <c r="B15391" s="19"/>
      <c r="E15391" s="23"/>
      <c r="L15391" s="23"/>
    </row>
    <row r="15392">
      <c r="B15392" s="19"/>
      <c r="E15392" s="23"/>
      <c r="L15392" s="23"/>
    </row>
    <row r="15393">
      <c r="B15393" s="19"/>
      <c r="E15393" s="23"/>
      <c r="L15393" s="23"/>
    </row>
    <row r="15394">
      <c r="B15394" s="19"/>
      <c r="E15394" s="23"/>
      <c r="L15394" s="23"/>
    </row>
    <row r="15395">
      <c r="B15395" s="19"/>
      <c r="E15395" s="23"/>
      <c r="L15395" s="23"/>
    </row>
    <row r="15396">
      <c r="B15396" s="19"/>
      <c r="E15396" s="23"/>
      <c r="L15396" s="23"/>
    </row>
    <row r="15397">
      <c r="B15397" s="19"/>
      <c r="E15397" s="23"/>
      <c r="L15397" s="23"/>
    </row>
    <row r="15398">
      <c r="B15398" s="19"/>
      <c r="E15398" s="23"/>
      <c r="L15398" s="23"/>
    </row>
    <row r="15399">
      <c r="B15399" s="19"/>
      <c r="E15399" s="23"/>
      <c r="L15399" s="23"/>
    </row>
    <row r="15400">
      <c r="B15400" s="19"/>
      <c r="E15400" s="23"/>
      <c r="L15400" s="23"/>
    </row>
    <row r="15401">
      <c r="B15401" s="19"/>
      <c r="E15401" s="23"/>
      <c r="L15401" s="23"/>
    </row>
    <row r="15402">
      <c r="B15402" s="19"/>
      <c r="E15402" s="23"/>
      <c r="L15402" s="23"/>
    </row>
    <row r="15403">
      <c r="B15403" s="19"/>
      <c r="E15403" s="23"/>
      <c r="L15403" s="23"/>
    </row>
    <row r="15404">
      <c r="B15404" s="19"/>
      <c r="E15404" s="23"/>
      <c r="L15404" s="23"/>
    </row>
    <row r="15405">
      <c r="B15405" s="19"/>
      <c r="E15405" s="23"/>
      <c r="L15405" s="23"/>
    </row>
    <row r="15406">
      <c r="B15406" s="19"/>
      <c r="E15406" s="23"/>
      <c r="L15406" s="23"/>
    </row>
    <row r="15407">
      <c r="B15407" s="19"/>
      <c r="E15407" s="23"/>
      <c r="L15407" s="23"/>
    </row>
    <row r="15408">
      <c r="B15408" s="19"/>
      <c r="E15408" s="23"/>
      <c r="L15408" s="23"/>
    </row>
    <row r="15409">
      <c r="B15409" s="19"/>
      <c r="E15409" s="23"/>
      <c r="L15409" s="23"/>
    </row>
    <row r="15410">
      <c r="B15410" s="19"/>
      <c r="E15410" s="23"/>
      <c r="L15410" s="23"/>
    </row>
    <row r="15411">
      <c r="B15411" s="19"/>
      <c r="E15411" s="23"/>
      <c r="L15411" s="23"/>
    </row>
    <row r="15412">
      <c r="B15412" s="19"/>
      <c r="E15412" s="23"/>
      <c r="L15412" s="23"/>
    </row>
    <row r="15413">
      <c r="B15413" s="19"/>
      <c r="E15413" s="23"/>
      <c r="L15413" s="23"/>
    </row>
    <row r="15414">
      <c r="B15414" s="19"/>
      <c r="E15414" s="23"/>
      <c r="L15414" s="23"/>
    </row>
    <row r="15415">
      <c r="B15415" s="19"/>
      <c r="E15415" s="23"/>
      <c r="L15415" s="23"/>
    </row>
    <row r="15416">
      <c r="B15416" s="19"/>
      <c r="E15416" s="23"/>
      <c r="L15416" s="23"/>
    </row>
    <row r="15417">
      <c r="B15417" s="19"/>
      <c r="E15417" s="23"/>
      <c r="L15417" s="23"/>
    </row>
    <row r="15418">
      <c r="B15418" s="19"/>
      <c r="E15418" s="23"/>
      <c r="L15418" s="23"/>
    </row>
    <row r="15419">
      <c r="B15419" s="19"/>
      <c r="E15419" s="23"/>
      <c r="L15419" s="23"/>
    </row>
    <row r="15420">
      <c r="B15420" s="19"/>
      <c r="E15420" s="23"/>
      <c r="L15420" s="23"/>
    </row>
    <row r="15421">
      <c r="B15421" s="19"/>
      <c r="E15421" s="23"/>
      <c r="L15421" s="23"/>
    </row>
    <row r="15422">
      <c r="B15422" s="19"/>
      <c r="E15422" s="23"/>
      <c r="L15422" s="23"/>
    </row>
    <row r="15423">
      <c r="B15423" s="19"/>
      <c r="E15423" s="23"/>
      <c r="L15423" s="23"/>
    </row>
    <row r="15424">
      <c r="B15424" s="19"/>
      <c r="E15424" s="23"/>
      <c r="L15424" s="23"/>
    </row>
    <row r="15425">
      <c r="B15425" s="19"/>
      <c r="E15425" s="23"/>
      <c r="L15425" s="23"/>
    </row>
    <row r="15426">
      <c r="B15426" s="19"/>
      <c r="E15426" s="23"/>
      <c r="L15426" s="23"/>
    </row>
    <row r="15427">
      <c r="B15427" s="19"/>
      <c r="E15427" s="23"/>
      <c r="L15427" s="23"/>
    </row>
    <row r="15428">
      <c r="B15428" s="19"/>
      <c r="E15428" s="23"/>
      <c r="L15428" s="23"/>
    </row>
    <row r="15429">
      <c r="B15429" s="19"/>
      <c r="E15429" s="23"/>
      <c r="L15429" s="23"/>
    </row>
    <row r="15430">
      <c r="B15430" s="19"/>
      <c r="E15430" s="23"/>
      <c r="L15430" s="23"/>
    </row>
    <row r="15431">
      <c r="B15431" s="19"/>
      <c r="E15431" s="23"/>
      <c r="L15431" s="23"/>
    </row>
    <row r="15432">
      <c r="B15432" s="19"/>
      <c r="E15432" s="23"/>
      <c r="L15432" s="23"/>
    </row>
    <row r="15433">
      <c r="B15433" s="19"/>
      <c r="E15433" s="23"/>
      <c r="L15433" s="23"/>
    </row>
    <row r="15434">
      <c r="B15434" s="19"/>
      <c r="E15434" s="23"/>
      <c r="L15434" s="23"/>
    </row>
    <row r="15435">
      <c r="B15435" s="19"/>
      <c r="E15435" s="23"/>
      <c r="L15435" s="23"/>
    </row>
    <row r="15436">
      <c r="B15436" s="19"/>
      <c r="E15436" s="23"/>
      <c r="L15436" s="23"/>
    </row>
    <row r="15437">
      <c r="B15437" s="19"/>
      <c r="E15437" s="23"/>
      <c r="L15437" s="23"/>
    </row>
    <row r="15438">
      <c r="B15438" s="19"/>
      <c r="E15438" s="23"/>
      <c r="L15438" s="23"/>
    </row>
    <row r="15439">
      <c r="B15439" s="19"/>
      <c r="E15439" s="23"/>
      <c r="L15439" s="23"/>
    </row>
    <row r="15440">
      <c r="B15440" s="19"/>
      <c r="E15440" s="23"/>
      <c r="L15440" s="23"/>
    </row>
    <row r="15441">
      <c r="B15441" s="19"/>
      <c r="E15441" s="23"/>
      <c r="L15441" s="23"/>
    </row>
    <row r="15442">
      <c r="B15442" s="19"/>
      <c r="E15442" s="23"/>
      <c r="L15442" s="23"/>
    </row>
    <row r="15443">
      <c r="B15443" s="19"/>
      <c r="E15443" s="23"/>
      <c r="L15443" s="23"/>
    </row>
    <row r="15444">
      <c r="B15444" s="19"/>
      <c r="E15444" s="23"/>
      <c r="L15444" s="23"/>
    </row>
    <row r="15445">
      <c r="B15445" s="19"/>
      <c r="E15445" s="23"/>
      <c r="L15445" s="23"/>
    </row>
    <row r="15446">
      <c r="B15446" s="19"/>
      <c r="E15446" s="23"/>
      <c r="L15446" s="23"/>
    </row>
    <row r="15447">
      <c r="B15447" s="19"/>
      <c r="E15447" s="23"/>
      <c r="L15447" s="23"/>
    </row>
    <row r="15448">
      <c r="B15448" s="19"/>
      <c r="E15448" s="23"/>
      <c r="L15448" s="23"/>
    </row>
    <row r="15449">
      <c r="B15449" s="19"/>
      <c r="E15449" s="23"/>
      <c r="L15449" s="23"/>
    </row>
    <row r="15450">
      <c r="B15450" s="19"/>
      <c r="E15450" s="23"/>
      <c r="L15450" s="23"/>
    </row>
    <row r="15451">
      <c r="B15451" s="19"/>
      <c r="E15451" s="23"/>
      <c r="L15451" s="23"/>
    </row>
    <row r="15452">
      <c r="B15452" s="19"/>
      <c r="E15452" s="23"/>
      <c r="L15452" s="23"/>
    </row>
    <row r="15453">
      <c r="B15453" s="19"/>
      <c r="E15453" s="23"/>
      <c r="L15453" s="23"/>
    </row>
    <row r="15454">
      <c r="B15454" s="19"/>
      <c r="E15454" s="23"/>
      <c r="L15454" s="23"/>
    </row>
    <row r="15455">
      <c r="B15455" s="19"/>
      <c r="E15455" s="23"/>
      <c r="L15455" s="23"/>
    </row>
    <row r="15456">
      <c r="B15456" s="19"/>
      <c r="E15456" s="23"/>
      <c r="L15456" s="23"/>
    </row>
    <row r="15457">
      <c r="B15457" s="19"/>
      <c r="E15457" s="23"/>
      <c r="L15457" s="23"/>
    </row>
    <row r="15458">
      <c r="B15458" s="19"/>
      <c r="E15458" s="23"/>
      <c r="L15458" s="23"/>
    </row>
    <row r="15459">
      <c r="B15459" s="19"/>
      <c r="E15459" s="23"/>
      <c r="L15459" s="23"/>
    </row>
    <row r="15460">
      <c r="B15460" s="19"/>
      <c r="E15460" s="23"/>
      <c r="L15460" s="23"/>
    </row>
    <row r="15461">
      <c r="B15461" s="19"/>
      <c r="E15461" s="23"/>
      <c r="L15461" s="23"/>
    </row>
    <row r="15462">
      <c r="B15462" s="19"/>
      <c r="E15462" s="23"/>
      <c r="L15462" s="23"/>
    </row>
    <row r="15463">
      <c r="B15463" s="19"/>
      <c r="E15463" s="23"/>
      <c r="L15463" s="23"/>
    </row>
    <row r="15464">
      <c r="B15464" s="19"/>
      <c r="E15464" s="23"/>
      <c r="L15464" s="23"/>
    </row>
    <row r="15465">
      <c r="B15465" s="19"/>
      <c r="E15465" s="23"/>
      <c r="L15465" s="23"/>
    </row>
    <row r="15466">
      <c r="B15466" s="19"/>
      <c r="E15466" s="23"/>
      <c r="L15466" s="23"/>
    </row>
    <row r="15467">
      <c r="B15467" s="19"/>
      <c r="E15467" s="23"/>
      <c r="L15467" s="23"/>
    </row>
    <row r="15468">
      <c r="B15468" s="19"/>
      <c r="E15468" s="23"/>
      <c r="L15468" s="23"/>
    </row>
    <row r="15469">
      <c r="B15469" s="19"/>
      <c r="E15469" s="23"/>
      <c r="L15469" s="23"/>
    </row>
    <row r="15470">
      <c r="B15470" s="19"/>
      <c r="E15470" s="23"/>
      <c r="L15470" s="23"/>
    </row>
    <row r="15471">
      <c r="B15471" s="19"/>
      <c r="E15471" s="23"/>
      <c r="L15471" s="23"/>
    </row>
    <row r="15472">
      <c r="B15472" s="19"/>
      <c r="E15472" s="23"/>
      <c r="L15472" s="23"/>
    </row>
    <row r="15473">
      <c r="B15473" s="19"/>
      <c r="E15473" s="23"/>
      <c r="L15473" s="23"/>
    </row>
    <row r="15474">
      <c r="B15474" s="19"/>
      <c r="E15474" s="23"/>
      <c r="L15474" s="23"/>
    </row>
    <row r="15475">
      <c r="B15475" s="19"/>
      <c r="E15475" s="23"/>
      <c r="L15475" s="23"/>
    </row>
    <row r="15476">
      <c r="B15476" s="19"/>
      <c r="E15476" s="23"/>
      <c r="L15476" s="23"/>
    </row>
    <row r="15477">
      <c r="B15477" s="19"/>
      <c r="E15477" s="23"/>
      <c r="L15477" s="23"/>
    </row>
    <row r="15478">
      <c r="B15478" s="19"/>
      <c r="E15478" s="23"/>
      <c r="L15478" s="23"/>
    </row>
    <row r="15479">
      <c r="B15479" s="19"/>
      <c r="E15479" s="23"/>
      <c r="L15479" s="23"/>
    </row>
    <row r="15480">
      <c r="B15480" s="19"/>
      <c r="E15480" s="23"/>
      <c r="L15480" s="23"/>
    </row>
    <row r="15481">
      <c r="B15481" s="19"/>
      <c r="E15481" s="23"/>
      <c r="L15481" s="23"/>
    </row>
    <row r="15482">
      <c r="B15482" s="19"/>
      <c r="E15482" s="23"/>
      <c r="L15482" s="23"/>
    </row>
    <row r="15483">
      <c r="B15483" s="19"/>
      <c r="E15483" s="23"/>
      <c r="L15483" s="23"/>
    </row>
    <row r="15484">
      <c r="B15484" s="19"/>
      <c r="E15484" s="23"/>
      <c r="L15484" s="23"/>
    </row>
    <row r="15485">
      <c r="B15485" s="19"/>
      <c r="E15485" s="23"/>
      <c r="L15485" s="23"/>
    </row>
    <row r="15486">
      <c r="B15486" s="19"/>
      <c r="E15486" s="23"/>
      <c r="L15486" s="23"/>
    </row>
    <row r="15487">
      <c r="B15487" s="19"/>
      <c r="E15487" s="23"/>
      <c r="L15487" s="23"/>
    </row>
    <row r="15488">
      <c r="B15488" s="19"/>
      <c r="E15488" s="23"/>
      <c r="L15488" s="23"/>
    </row>
    <row r="15489">
      <c r="B15489" s="19"/>
      <c r="E15489" s="23"/>
      <c r="L15489" s="23"/>
    </row>
    <row r="15490">
      <c r="B15490" s="19"/>
      <c r="E15490" s="23"/>
      <c r="L15490" s="23"/>
    </row>
    <row r="15491">
      <c r="B15491" s="19"/>
      <c r="E15491" s="23"/>
      <c r="L15491" s="23"/>
    </row>
    <row r="15492">
      <c r="B15492" s="19"/>
      <c r="E15492" s="23"/>
      <c r="L15492" s="23"/>
    </row>
    <row r="15493">
      <c r="B15493" s="19"/>
      <c r="E15493" s="23"/>
      <c r="L15493" s="23"/>
    </row>
    <row r="15494">
      <c r="B15494" s="19"/>
      <c r="E15494" s="23"/>
      <c r="L15494" s="23"/>
    </row>
    <row r="15495">
      <c r="B15495" s="19"/>
      <c r="E15495" s="23"/>
      <c r="L15495" s="23"/>
    </row>
    <row r="15496">
      <c r="B15496" s="19"/>
      <c r="E15496" s="23"/>
      <c r="L15496" s="23"/>
    </row>
    <row r="15497">
      <c r="B15497" s="19"/>
      <c r="E15497" s="23"/>
      <c r="L15497" s="23"/>
    </row>
    <row r="15498">
      <c r="B15498" s="19"/>
      <c r="E15498" s="23"/>
      <c r="L15498" s="23"/>
    </row>
    <row r="15499">
      <c r="B15499" s="19"/>
      <c r="E15499" s="23"/>
      <c r="L15499" s="23"/>
    </row>
    <row r="15500">
      <c r="B15500" s="19"/>
      <c r="E15500" s="23"/>
      <c r="L15500" s="23"/>
    </row>
    <row r="15501">
      <c r="B15501" s="19"/>
      <c r="E15501" s="23"/>
      <c r="L15501" s="23"/>
    </row>
    <row r="15502">
      <c r="B15502" s="19"/>
      <c r="E15502" s="23"/>
      <c r="L15502" s="23"/>
    </row>
    <row r="15503">
      <c r="B15503" s="19"/>
      <c r="E15503" s="23"/>
      <c r="L15503" s="23"/>
    </row>
    <row r="15504">
      <c r="B15504" s="19"/>
      <c r="E15504" s="23"/>
      <c r="L15504" s="23"/>
    </row>
    <row r="15505">
      <c r="B15505" s="19"/>
      <c r="E15505" s="23"/>
      <c r="L15505" s="23"/>
    </row>
    <row r="15506">
      <c r="B15506" s="19"/>
      <c r="E15506" s="23"/>
      <c r="L15506" s="23"/>
    </row>
    <row r="15507">
      <c r="B15507" s="19"/>
      <c r="E15507" s="23"/>
      <c r="L15507" s="23"/>
    </row>
    <row r="15508">
      <c r="B15508" s="19"/>
      <c r="E15508" s="23"/>
      <c r="L15508" s="23"/>
    </row>
    <row r="15509">
      <c r="B15509" s="19"/>
      <c r="E15509" s="23"/>
      <c r="L15509" s="23"/>
    </row>
    <row r="15510">
      <c r="B15510" s="19"/>
      <c r="E15510" s="23"/>
      <c r="L15510" s="23"/>
    </row>
    <row r="15511">
      <c r="B15511" s="19"/>
      <c r="E15511" s="23"/>
      <c r="L15511" s="23"/>
    </row>
    <row r="15512">
      <c r="B15512" s="19"/>
      <c r="E15512" s="23"/>
      <c r="L15512" s="23"/>
    </row>
    <row r="15513">
      <c r="B15513" s="19"/>
      <c r="E15513" s="23"/>
      <c r="L15513" s="23"/>
    </row>
    <row r="15514">
      <c r="B15514" s="19"/>
      <c r="E15514" s="23"/>
      <c r="L15514" s="23"/>
    </row>
    <row r="15515">
      <c r="B15515" s="19"/>
      <c r="E15515" s="23"/>
      <c r="L15515" s="23"/>
    </row>
    <row r="15516">
      <c r="B15516" s="19"/>
      <c r="E15516" s="23"/>
      <c r="L15516" s="23"/>
    </row>
    <row r="15517">
      <c r="B15517" s="19"/>
      <c r="E15517" s="23"/>
      <c r="L15517" s="23"/>
    </row>
    <row r="15518">
      <c r="B15518" s="19"/>
      <c r="E15518" s="23"/>
      <c r="L15518" s="23"/>
    </row>
    <row r="15519">
      <c r="B15519" s="19"/>
      <c r="E15519" s="23"/>
      <c r="L15519" s="23"/>
    </row>
    <row r="15520">
      <c r="B15520" s="19"/>
      <c r="E15520" s="23"/>
      <c r="L15520" s="23"/>
    </row>
    <row r="15521">
      <c r="B15521" s="19"/>
      <c r="E15521" s="23"/>
      <c r="L15521" s="23"/>
    </row>
    <row r="15522">
      <c r="B15522" s="19"/>
      <c r="E15522" s="23"/>
      <c r="L15522" s="23"/>
    </row>
    <row r="15523">
      <c r="B15523" s="19"/>
      <c r="E15523" s="23"/>
      <c r="L15523" s="23"/>
    </row>
    <row r="15524">
      <c r="B15524" s="19"/>
      <c r="E15524" s="23"/>
      <c r="L15524" s="23"/>
    </row>
    <row r="15525">
      <c r="B15525" s="19"/>
      <c r="E15525" s="23"/>
      <c r="L15525" s="23"/>
    </row>
    <row r="15526">
      <c r="B15526" s="19"/>
      <c r="E15526" s="23"/>
      <c r="L15526" s="23"/>
    </row>
    <row r="15527">
      <c r="B15527" s="19"/>
      <c r="E15527" s="23"/>
      <c r="L15527" s="23"/>
    </row>
    <row r="15528">
      <c r="B15528" s="19"/>
      <c r="E15528" s="23"/>
      <c r="L15528" s="23"/>
    </row>
    <row r="15529">
      <c r="B15529" s="19"/>
      <c r="E15529" s="23"/>
      <c r="L15529" s="23"/>
    </row>
    <row r="15530">
      <c r="B15530" s="19"/>
      <c r="E15530" s="23"/>
      <c r="L15530" s="23"/>
    </row>
    <row r="15531">
      <c r="B15531" s="19"/>
      <c r="E15531" s="23"/>
      <c r="L15531" s="23"/>
    </row>
    <row r="15532">
      <c r="B15532" s="19"/>
      <c r="E15532" s="23"/>
      <c r="L15532" s="23"/>
    </row>
    <row r="15533">
      <c r="B15533" s="19"/>
      <c r="E15533" s="23"/>
      <c r="L15533" s="23"/>
    </row>
    <row r="15534">
      <c r="B15534" s="19"/>
      <c r="E15534" s="23"/>
      <c r="L15534" s="23"/>
    </row>
    <row r="15535">
      <c r="B15535" s="19"/>
      <c r="E15535" s="23"/>
      <c r="L15535" s="23"/>
    </row>
    <row r="15536">
      <c r="B15536" s="19"/>
      <c r="E15536" s="23"/>
      <c r="L15536" s="23"/>
    </row>
    <row r="15537">
      <c r="B15537" s="19"/>
      <c r="E15537" s="23"/>
      <c r="L15537" s="23"/>
    </row>
    <row r="15538">
      <c r="B15538" s="19"/>
      <c r="E15538" s="23"/>
      <c r="L15538" s="23"/>
    </row>
    <row r="15539">
      <c r="B15539" s="19"/>
      <c r="E15539" s="23"/>
      <c r="L15539" s="23"/>
    </row>
    <row r="15540">
      <c r="B15540" s="19"/>
      <c r="E15540" s="23"/>
      <c r="L15540" s="23"/>
    </row>
    <row r="15541">
      <c r="B15541" s="19"/>
      <c r="E15541" s="23"/>
      <c r="L15541" s="23"/>
    </row>
    <row r="15542">
      <c r="B15542" s="19"/>
      <c r="E15542" s="23"/>
      <c r="L15542" s="23"/>
    </row>
    <row r="15543">
      <c r="B15543" s="19"/>
      <c r="E15543" s="23"/>
      <c r="L15543" s="23"/>
    </row>
    <row r="15544">
      <c r="B15544" s="19"/>
      <c r="E15544" s="23"/>
      <c r="L15544" s="23"/>
    </row>
    <row r="15545">
      <c r="B15545" s="19"/>
      <c r="E15545" s="23"/>
      <c r="L15545" s="23"/>
    </row>
    <row r="15546">
      <c r="B15546" s="19"/>
      <c r="E15546" s="23"/>
      <c r="L15546" s="23"/>
    </row>
    <row r="15547">
      <c r="B15547" s="19"/>
      <c r="E15547" s="23"/>
      <c r="L15547" s="23"/>
    </row>
    <row r="15548">
      <c r="B15548" s="19"/>
      <c r="E15548" s="23"/>
      <c r="L15548" s="23"/>
    </row>
    <row r="15549">
      <c r="B15549" s="19"/>
      <c r="E15549" s="23"/>
      <c r="L15549" s="23"/>
    </row>
    <row r="15550">
      <c r="B15550" s="19"/>
      <c r="E15550" s="23"/>
      <c r="L15550" s="23"/>
    </row>
    <row r="15551">
      <c r="B15551" s="19"/>
      <c r="E15551" s="23"/>
      <c r="L15551" s="23"/>
    </row>
    <row r="15552">
      <c r="B15552" s="19"/>
      <c r="E15552" s="23"/>
      <c r="L15552" s="23"/>
    </row>
    <row r="15553">
      <c r="B15553" s="19"/>
      <c r="E15553" s="23"/>
      <c r="L15553" s="23"/>
    </row>
    <row r="15554">
      <c r="B15554" s="19"/>
      <c r="E15554" s="23"/>
      <c r="L15554" s="23"/>
    </row>
    <row r="15555">
      <c r="B15555" s="19"/>
      <c r="E15555" s="23"/>
      <c r="L15555" s="23"/>
    </row>
    <row r="15556">
      <c r="B15556" s="19"/>
      <c r="E15556" s="23"/>
      <c r="L15556" s="23"/>
    </row>
    <row r="15557">
      <c r="B15557" s="19"/>
      <c r="E15557" s="23"/>
      <c r="L15557" s="23"/>
    </row>
    <row r="15558">
      <c r="B15558" s="19"/>
      <c r="E15558" s="23"/>
      <c r="L15558" s="23"/>
    </row>
    <row r="15559">
      <c r="B15559" s="19"/>
      <c r="E15559" s="23"/>
      <c r="L15559" s="23"/>
    </row>
    <row r="15560">
      <c r="B15560" s="19"/>
      <c r="E15560" s="23"/>
      <c r="L15560" s="23"/>
    </row>
    <row r="15561">
      <c r="B15561" s="19"/>
      <c r="E15561" s="23"/>
      <c r="L15561" s="23"/>
    </row>
    <row r="15562">
      <c r="B15562" s="19"/>
      <c r="E15562" s="23"/>
      <c r="L15562" s="23"/>
    </row>
    <row r="15563">
      <c r="B15563" s="19"/>
      <c r="E15563" s="23"/>
      <c r="L15563" s="23"/>
    </row>
    <row r="15564">
      <c r="B15564" s="19"/>
      <c r="E15564" s="23"/>
      <c r="L15564" s="23"/>
    </row>
    <row r="15565">
      <c r="B15565" s="19"/>
      <c r="E15565" s="23"/>
      <c r="L15565" s="23"/>
    </row>
    <row r="15566">
      <c r="B15566" s="19"/>
      <c r="E15566" s="23"/>
      <c r="L15566" s="23"/>
    </row>
    <row r="15567">
      <c r="B15567" s="19"/>
      <c r="E15567" s="23"/>
      <c r="L15567" s="23"/>
    </row>
    <row r="15568">
      <c r="B15568" s="19"/>
      <c r="E15568" s="23"/>
      <c r="L15568" s="23"/>
    </row>
    <row r="15569">
      <c r="B15569" s="19"/>
      <c r="E15569" s="23"/>
      <c r="L15569" s="23"/>
    </row>
    <row r="15570">
      <c r="B15570" s="19"/>
      <c r="E15570" s="23"/>
      <c r="L15570" s="23"/>
    </row>
    <row r="15571">
      <c r="B15571" s="19"/>
      <c r="E15571" s="23"/>
      <c r="L15571" s="23"/>
    </row>
    <row r="15572">
      <c r="B15572" s="19"/>
      <c r="E15572" s="23"/>
      <c r="L15572" s="23"/>
    </row>
    <row r="15573">
      <c r="B15573" s="19"/>
      <c r="E15573" s="23"/>
      <c r="L15573" s="23"/>
    </row>
    <row r="15574">
      <c r="B15574" s="19"/>
      <c r="E15574" s="23"/>
      <c r="L15574" s="23"/>
    </row>
    <row r="15575">
      <c r="B15575" s="19"/>
      <c r="E15575" s="23"/>
      <c r="L15575" s="23"/>
    </row>
    <row r="15576">
      <c r="B15576" s="19"/>
      <c r="E15576" s="23"/>
      <c r="L15576" s="23"/>
    </row>
    <row r="15577">
      <c r="B15577" s="19"/>
      <c r="E15577" s="23"/>
      <c r="L15577" s="23"/>
    </row>
    <row r="15578">
      <c r="B15578" s="19"/>
      <c r="E15578" s="23"/>
      <c r="L15578" s="23"/>
    </row>
    <row r="15579">
      <c r="B15579" s="19"/>
      <c r="E15579" s="23"/>
      <c r="L15579" s="23"/>
    </row>
    <row r="15580">
      <c r="B15580" s="19"/>
      <c r="E15580" s="23"/>
      <c r="L15580" s="23"/>
    </row>
    <row r="15581">
      <c r="B15581" s="19"/>
      <c r="E15581" s="23"/>
      <c r="L15581" s="23"/>
    </row>
    <row r="15582">
      <c r="B15582" s="19"/>
      <c r="E15582" s="23"/>
      <c r="L15582" s="23"/>
    </row>
    <row r="15583">
      <c r="B15583" s="19"/>
      <c r="E15583" s="23"/>
      <c r="L15583" s="23"/>
    </row>
    <row r="15584">
      <c r="B15584" s="19"/>
      <c r="E15584" s="23"/>
      <c r="L15584" s="23"/>
    </row>
    <row r="15585">
      <c r="B15585" s="19"/>
      <c r="E15585" s="23"/>
      <c r="L15585" s="23"/>
    </row>
    <row r="15586">
      <c r="B15586" s="19"/>
      <c r="E15586" s="23"/>
      <c r="L15586" s="23"/>
    </row>
    <row r="15587">
      <c r="B15587" s="19"/>
      <c r="E15587" s="23"/>
      <c r="L15587" s="23"/>
    </row>
    <row r="15588">
      <c r="B15588" s="19"/>
      <c r="E15588" s="23"/>
      <c r="L15588" s="23"/>
    </row>
    <row r="15589">
      <c r="B15589" s="19"/>
      <c r="E15589" s="23"/>
      <c r="L15589" s="23"/>
    </row>
    <row r="15590">
      <c r="B15590" s="19"/>
      <c r="E15590" s="23"/>
      <c r="L15590" s="23"/>
    </row>
    <row r="15591">
      <c r="B15591" s="19"/>
      <c r="E15591" s="23"/>
      <c r="L15591" s="23"/>
    </row>
    <row r="15592">
      <c r="B15592" s="19"/>
      <c r="E15592" s="23"/>
      <c r="L15592" s="23"/>
    </row>
    <row r="15593">
      <c r="B15593" s="19"/>
      <c r="E15593" s="23"/>
      <c r="L15593" s="23"/>
    </row>
    <row r="15594">
      <c r="B15594" s="19"/>
      <c r="E15594" s="23"/>
      <c r="L15594" s="23"/>
    </row>
    <row r="15595">
      <c r="B15595" s="19"/>
      <c r="E15595" s="23"/>
      <c r="L15595" s="23"/>
    </row>
    <row r="15596">
      <c r="B15596" s="19"/>
      <c r="E15596" s="23"/>
      <c r="L15596" s="23"/>
    </row>
    <row r="15597">
      <c r="B15597" s="19"/>
      <c r="E15597" s="23"/>
      <c r="L15597" s="23"/>
    </row>
    <row r="15598">
      <c r="B15598" s="19"/>
      <c r="E15598" s="23"/>
      <c r="L15598" s="23"/>
    </row>
    <row r="15599">
      <c r="B15599" s="19"/>
      <c r="E15599" s="23"/>
      <c r="L15599" s="23"/>
    </row>
    <row r="15600">
      <c r="B15600" s="19"/>
      <c r="E15600" s="23"/>
      <c r="L15600" s="23"/>
    </row>
    <row r="15601">
      <c r="B15601" s="19"/>
      <c r="E15601" s="23"/>
      <c r="L15601" s="23"/>
    </row>
    <row r="15602">
      <c r="B15602" s="19"/>
      <c r="E15602" s="23"/>
      <c r="L15602" s="23"/>
    </row>
    <row r="15603">
      <c r="B15603" s="19"/>
      <c r="E15603" s="23"/>
      <c r="L15603" s="23"/>
    </row>
    <row r="15604">
      <c r="B15604" s="19"/>
      <c r="E15604" s="23"/>
      <c r="L15604" s="23"/>
    </row>
    <row r="15605">
      <c r="B15605" s="19"/>
      <c r="E15605" s="23"/>
      <c r="L15605" s="23"/>
    </row>
    <row r="15606">
      <c r="B15606" s="19"/>
      <c r="E15606" s="23"/>
      <c r="L15606" s="23"/>
    </row>
    <row r="15607">
      <c r="B15607" s="19"/>
      <c r="E15607" s="23"/>
      <c r="L15607" s="23"/>
    </row>
    <row r="15608">
      <c r="B15608" s="19"/>
      <c r="E15608" s="23"/>
      <c r="L15608" s="23"/>
    </row>
    <row r="15609">
      <c r="B15609" s="19"/>
      <c r="E15609" s="23"/>
      <c r="L15609" s="23"/>
    </row>
    <row r="15610">
      <c r="B15610" s="19"/>
      <c r="E15610" s="23"/>
      <c r="L15610" s="23"/>
    </row>
    <row r="15611">
      <c r="B15611" s="19"/>
      <c r="E15611" s="23"/>
      <c r="L15611" s="23"/>
    </row>
    <row r="15612">
      <c r="B15612" s="19"/>
      <c r="E15612" s="23"/>
      <c r="L15612" s="23"/>
    </row>
    <row r="15613">
      <c r="B15613" s="19"/>
      <c r="E15613" s="23"/>
      <c r="L15613" s="23"/>
    </row>
    <row r="15614">
      <c r="B15614" s="19"/>
      <c r="E15614" s="23"/>
      <c r="L15614" s="23"/>
    </row>
    <row r="15615">
      <c r="B15615" s="19"/>
      <c r="E15615" s="23"/>
      <c r="L15615" s="23"/>
    </row>
    <row r="15616">
      <c r="B15616" s="19"/>
      <c r="E15616" s="23"/>
      <c r="L15616" s="23"/>
    </row>
    <row r="15617">
      <c r="B15617" s="19"/>
      <c r="E15617" s="23"/>
      <c r="L15617" s="23"/>
    </row>
    <row r="15618">
      <c r="B15618" s="19"/>
      <c r="E15618" s="23"/>
      <c r="L15618" s="23"/>
    </row>
    <row r="15619">
      <c r="B15619" s="19"/>
      <c r="E15619" s="23"/>
      <c r="L15619" s="23"/>
    </row>
    <row r="15620">
      <c r="B15620" s="19"/>
      <c r="E15620" s="23"/>
      <c r="L15620" s="23"/>
    </row>
    <row r="15621">
      <c r="B15621" s="19"/>
      <c r="E15621" s="23"/>
      <c r="L15621" s="23"/>
    </row>
    <row r="15622">
      <c r="B15622" s="19"/>
      <c r="E15622" s="23"/>
      <c r="L15622" s="23"/>
    </row>
    <row r="15623">
      <c r="B15623" s="19"/>
      <c r="E15623" s="23"/>
      <c r="L15623" s="23"/>
    </row>
    <row r="15624">
      <c r="B15624" s="19"/>
      <c r="E15624" s="23"/>
      <c r="L15624" s="23"/>
    </row>
    <row r="15625">
      <c r="B15625" s="19"/>
      <c r="E15625" s="23"/>
      <c r="L15625" s="23"/>
    </row>
    <row r="15626">
      <c r="B15626" s="19"/>
      <c r="E15626" s="23"/>
      <c r="L15626" s="23"/>
    </row>
    <row r="15627">
      <c r="B15627" s="19"/>
      <c r="E15627" s="23"/>
      <c r="L15627" s="23"/>
    </row>
    <row r="15628">
      <c r="B15628" s="19"/>
      <c r="E15628" s="23"/>
      <c r="L15628" s="23"/>
    </row>
    <row r="15629">
      <c r="B15629" s="19"/>
      <c r="E15629" s="23"/>
      <c r="L15629" s="23"/>
    </row>
    <row r="15630">
      <c r="B15630" s="19"/>
      <c r="E15630" s="23"/>
      <c r="L15630" s="23"/>
    </row>
    <row r="15631">
      <c r="B15631" s="19"/>
      <c r="E15631" s="23"/>
      <c r="L15631" s="23"/>
    </row>
    <row r="15632">
      <c r="B15632" s="19"/>
      <c r="E15632" s="23"/>
      <c r="L15632" s="23"/>
    </row>
    <row r="15633">
      <c r="B15633" s="19"/>
      <c r="E15633" s="23"/>
      <c r="L15633" s="23"/>
    </row>
    <row r="15634">
      <c r="B15634" s="19"/>
      <c r="E15634" s="23"/>
      <c r="L15634" s="23"/>
    </row>
    <row r="15635">
      <c r="B15635" s="19"/>
      <c r="E15635" s="23"/>
      <c r="L15635" s="23"/>
    </row>
    <row r="15636">
      <c r="B15636" s="19"/>
      <c r="E15636" s="23"/>
      <c r="L15636" s="23"/>
    </row>
    <row r="15637">
      <c r="B15637" s="19"/>
      <c r="E15637" s="23"/>
      <c r="L15637" s="23"/>
    </row>
    <row r="15638">
      <c r="B15638" s="19"/>
      <c r="E15638" s="23"/>
      <c r="L15638" s="23"/>
    </row>
    <row r="15639">
      <c r="B15639" s="19"/>
      <c r="E15639" s="23"/>
      <c r="L15639" s="23"/>
    </row>
    <row r="15640">
      <c r="B15640" s="19"/>
      <c r="E15640" s="23"/>
      <c r="L15640" s="23"/>
    </row>
    <row r="15641">
      <c r="B15641" s="19"/>
      <c r="E15641" s="23"/>
      <c r="L15641" s="23"/>
    </row>
    <row r="15642">
      <c r="B15642" s="19"/>
      <c r="E15642" s="23"/>
      <c r="L15642" s="23"/>
    </row>
    <row r="15643">
      <c r="B15643" s="19"/>
      <c r="E15643" s="23"/>
      <c r="L15643" s="23"/>
    </row>
    <row r="15644">
      <c r="B15644" s="19"/>
      <c r="E15644" s="23"/>
      <c r="L15644" s="23"/>
    </row>
    <row r="15645">
      <c r="B15645" s="19"/>
      <c r="E15645" s="23"/>
      <c r="L15645" s="23"/>
    </row>
    <row r="15646">
      <c r="B15646" s="19"/>
      <c r="E15646" s="23"/>
      <c r="L15646" s="23"/>
    </row>
    <row r="15647">
      <c r="B15647" s="19"/>
      <c r="E15647" s="23"/>
      <c r="L15647" s="23"/>
    </row>
    <row r="15648">
      <c r="B15648" s="19"/>
      <c r="E15648" s="23"/>
      <c r="L15648" s="23"/>
    </row>
    <row r="15649">
      <c r="B15649" s="19"/>
      <c r="E15649" s="23"/>
      <c r="L15649" s="23"/>
    </row>
    <row r="15650">
      <c r="B15650" s="19"/>
      <c r="E15650" s="23"/>
      <c r="L15650" s="23"/>
    </row>
    <row r="15651">
      <c r="B15651" s="19"/>
      <c r="E15651" s="23"/>
      <c r="L15651" s="23"/>
    </row>
    <row r="15652">
      <c r="B15652" s="19"/>
      <c r="E15652" s="23"/>
      <c r="L15652" s="23"/>
    </row>
    <row r="15653">
      <c r="B15653" s="19"/>
      <c r="E15653" s="23"/>
      <c r="L15653" s="23"/>
    </row>
    <row r="15654">
      <c r="B15654" s="19"/>
      <c r="E15654" s="23"/>
      <c r="L15654" s="23"/>
    </row>
    <row r="15655">
      <c r="B15655" s="19"/>
      <c r="E15655" s="23"/>
      <c r="L15655" s="23"/>
    </row>
    <row r="15656">
      <c r="B15656" s="19"/>
      <c r="E15656" s="23"/>
      <c r="L15656" s="23"/>
    </row>
    <row r="15657">
      <c r="B15657" s="19"/>
      <c r="E15657" s="23"/>
      <c r="L15657" s="23"/>
    </row>
    <row r="15658">
      <c r="B15658" s="19"/>
      <c r="E15658" s="23"/>
      <c r="L15658" s="23"/>
    </row>
    <row r="15659">
      <c r="B15659" s="19"/>
      <c r="E15659" s="23"/>
      <c r="L15659" s="23"/>
    </row>
    <row r="15660">
      <c r="B15660" s="19"/>
      <c r="E15660" s="23"/>
      <c r="L15660" s="23"/>
    </row>
    <row r="15661">
      <c r="B15661" s="19"/>
      <c r="E15661" s="23"/>
      <c r="L15661" s="23"/>
    </row>
    <row r="15662">
      <c r="B15662" s="19"/>
      <c r="E15662" s="23"/>
      <c r="L15662" s="23"/>
    </row>
    <row r="15663">
      <c r="B15663" s="19"/>
      <c r="E15663" s="23"/>
      <c r="L15663" s="23"/>
    </row>
    <row r="15664">
      <c r="B15664" s="19"/>
      <c r="E15664" s="23"/>
      <c r="L15664" s="23"/>
    </row>
    <row r="15665">
      <c r="B15665" s="19"/>
      <c r="E15665" s="23"/>
      <c r="L15665" s="23"/>
    </row>
    <row r="15666">
      <c r="B15666" s="19"/>
      <c r="E15666" s="23"/>
      <c r="L15666" s="23"/>
    </row>
    <row r="15667">
      <c r="B15667" s="19"/>
      <c r="E15667" s="23"/>
      <c r="L15667" s="23"/>
    </row>
    <row r="15668">
      <c r="B15668" s="19"/>
      <c r="E15668" s="23"/>
      <c r="L15668" s="23"/>
    </row>
    <row r="15669">
      <c r="B15669" s="19"/>
      <c r="E15669" s="23"/>
      <c r="L15669" s="23"/>
    </row>
    <row r="15670">
      <c r="B15670" s="19"/>
      <c r="E15670" s="23"/>
      <c r="L15670" s="23"/>
    </row>
    <row r="15671">
      <c r="B15671" s="19"/>
      <c r="E15671" s="23"/>
      <c r="L15671" s="23"/>
    </row>
    <row r="15672">
      <c r="B15672" s="19"/>
      <c r="E15672" s="23"/>
      <c r="L15672" s="23"/>
    </row>
    <row r="15673">
      <c r="B15673" s="19"/>
      <c r="E15673" s="23"/>
      <c r="L15673" s="23"/>
    </row>
    <row r="15674">
      <c r="B15674" s="19"/>
      <c r="E15674" s="23"/>
      <c r="L15674" s="23"/>
    </row>
    <row r="15675">
      <c r="B15675" s="19"/>
      <c r="E15675" s="23"/>
      <c r="L15675" s="23"/>
    </row>
    <row r="15676">
      <c r="B15676" s="19"/>
      <c r="E15676" s="23"/>
      <c r="L15676" s="23"/>
    </row>
    <row r="15677">
      <c r="B15677" s="19"/>
      <c r="E15677" s="23"/>
      <c r="L15677" s="23"/>
    </row>
    <row r="15678">
      <c r="B15678" s="19"/>
      <c r="E15678" s="23"/>
      <c r="L15678" s="23"/>
    </row>
    <row r="15679">
      <c r="B15679" s="19"/>
      <c r="E15679" s="23"/>
      <c r="L15679" s="23"/>
    </row>
    <row r="15680">
      <c r="B15680" s="19"/>
      <c r="E15680" s="23"/>
      <c r="L15680" s="23"/>
    </row>
    <row r="15681">
      <c r="B15681" s="19"/>
      <c r="E15681" s="23"/>
      <c r="L15681" s="23"/>
    </row>
    <row r="15682">
      <c r="B15682" s="19"/>
      <c r="E15682" s="23"/>
      <c r="L15682" s="23"/>
    </row>
    <row r="15683">
      <c r="B15683" s="19"/>
      <c r="E15683" s="23"/>
      <c r="L15683" s="23"/>
    </row>
    <row r="15684">
      <c r="B15684" s="19"/>
      <c r="E15684" s="23"/>
      <c r="L15684" s="23"/>
    </row>
    <row r="15685">
      <c r="B15685" s="19"/>
      <c r="E15685" s="23"/>
      <c r="L15685" s="23"/>
    </row>
    <row r="15686">
      <c r="B15686" s="19"/>
      <c r="E15686" s="23"/>
      <c r="L15686" s="23"/>
    </row>
    <row r="15687">
      <c r="B15687" s="19"/>
      <c r="E15687" s="23"/>
      <c r="L15687" s="23"/>
    </row>
    <row r="15688">
      <c r="B15688" s="19"/>
      <c r="E15688" s="23"/>
      <c r="L15688" s="23"/>
    </row>
    <row r="15689">
      <c r="B15689" s="19"/>
      <c r="E15689" s="23"/>
      <c r="L15689" s="23"/>
    </row>
    <row r="15690">
      <c r="B15690" s="19"/>
      <c r="E15690" s="23"/>
      <c r="L15690" s="23"/>
    </row>
    <row r="15691">
      <c r="B15691" s="19"/>
      <c r="E15691" s="23"/>
      <c r="L15691" s="23"/>
    </row>
    <row r="15692">
      <c r="B15692" s="19"/>
      <c r="E15692" s="23"/>
      <c r="L15692" s="23"/>
    </row>
    <row r="15693">
      <c r="B15693" s="19"/>
      <c r="E15693" s="23"/>
      <c r="L15693" s="23"/>
    </row>
    <row r="15694">
      <c r="B15694" s="19"/>
      <c r="E15694" s="23"/>
      <c r="L15694" s="23"/>
    </row>
    <row r="15695">
      <c r="B15695" s="19"/>
      <c r="E15695" s="23"/>
      <c r="L15695" s="23"/>
    </row>
    <row r="15696">
      <c r="B15696" s="19"/>
      <c r="E15696" s="23"/>
      <c r="L15696" s="23"/>
    </row>
    <row r="15697">
      <c r="B15697" s="19"/>
      <c r="E15697" s="23"/>
      <c r="L15697" s="23"/>
    </row>
    <row r="15698">
      <c r="B15698" s="19"/>
      <c r="E15698" s="23"/>
      <c r="L15698" s="23"/>
    </row>
    <row r="15699">
      <c r="B15699" s="19"/>
      <c r="E15699" s="23"/>
      <c r="L15699" s="23"/>
    </row>
    <row r="15700">
      <c r="B15700" s="19"/>
      <c r="E15700" s="23"/>
      <c r="L15700" s="23"/>
    </row>
    <row r="15701">
      <c r="B15701" s="19"/>
      <c r="E15701" s="23"/>
      <c r="L15701" s="23"/>
    </row>
    <row r="15702">
      <c r="B15702" s="19"/>
      <c r="E15702" s="23"/>
      <c r="L15702" s="23"/>
    </row>
    <row r="15703">
      <c r="B15703" s="19"/>
      <c r="E15703" s="23"/>
      <c r="L15703" s="23"/>
    </row>
    <row r="15704">
      <c r="B15704" s="19"/>
      <c r="E15704" s="23"/>
      <c r="L15704" s="23"/>
    </row>
    <row r="15705">
      <c r="B15705" s="19"/>
      <c r="E15705" s="23"/>
      <c r="L15705" s="23"/>
    </row>
    <row r="15706">
      <c r="B15706" s="19"/>
      <c r="E15706" s="23"/>
      <c r="L15706" s="23"/>
    </row>
    <row r="15707">
      <c r="B15707" s="19"/>
      <c r="E15707" s="23"/>
      <c r="L15707" s="23"/>
    </row>
    <row r="15708">
      <c r="B15708" s="19"/>
      <c r="E15708" s="23"/>
      <c r="L15708" s="23"/>
    </row>
    <row r="15709">
      <c r="B15709" s="19"/>
      <c r="E15709" s="23"/>
      <c r="L15709" s="23"/>
    </row>
    <row r="15710">
      <c r="B15710" s="19"/>
      <c r="E15710" s="23"/>
      <c r="L15710" s="23"/>
    </row>
    <row r="15711">
      <c r="B15711" s="19"/>
      <c r="E15711" s="23"/>
      <c r="L15711" s="23"/>
    </row>
    <row r="15712">
      <c r="B15712" s="19"/>
      <c r="E15712" s="23"/>
      <c r="L15712" s="23"/>
    </row>
    <row r="15713">
      <c r="B15713" s="19"/>
      <c r="E15713" s="23"/>
      <c r="L15713" s="23"/>
    </row>
    <row r="15714">
      <c r="B15714" s="19"/>
      <c r="E15714" s="23"/>
      <c r="L15714" s="23"/>
    </row>
    <row r="15715">
      <c r="B15715" s="19"/>
      <c r="E15715" s="23"/>
      <c r="L15715" s="23"/>
    </row>
    <row r="15716">
      <c r="B15716" s="19"/>
      <c r="E15716" s="23"/>
      <c r="L15716" s="23"/>
    </row>
    <row r="15717">
      <c r="B15717" s="19"/>
      <c r="E15717" s="23"/>
      <c r="L15717" s="23"/>
    </row>
    <row r="15718">
      <c r="B15718" s="19"/>
      <c r="E15718" s="23"/>
      <c r="L15718" s="23"/>
    </row>
    <row r="15719">
      <c r="B15719" s="19"/>
      <c r="E15719" s="23"/>
      <c r="L15719" s="23"/>
    </row>
    <row r="15720">
      <c r="B15720" s="19"/>
      <c r="E15720" s="23"/>
      <c r="L15720" s="23"/>
    </row>
    <row r="15721">
      <c r="B15721" s="19"/>
      <c r="E15721" s="23"/>
      <c r="L15721" s="23"/>
    </row>
    <row r="15722">
      <c r="B15722" s="19"/>
      <c r="E15722" s="23"/>
      <c r="L15722" s="23"/>
    </row>
    <row r="15723">
      <c r="B15723" s="19"/>
      <c r="E15723" s="23"/>
      <c r="L15723" s="23"/>
    </row>
    <row r="15724">
      <c r="B15724" s="19"/>
      <c r="E15724" s="23"/>
      <c r="L15724" s="23"/>
    </row>
    <row r="15725">
      <c r="B15725" s="19"/>
      <c r="E15725" s="23"/>
      <c r="L15725" s="23"/>
    </row>
    <row r="15726">
      <c r="B15726" s="19"/>
      <c r="E15726" s="23"/>
      <c r="L15726" s="23"/>
    </row>
    <row r="15727">
      <c r="B15727" s="19"/>
      <c r="E15727" s="23"/>
      <c r="L15727" s="23"/>
    </row>
    <row r="15728">
      <c r="B15728" s="19"/>
      <c r="E15728" s="23"/>
      <c r="L15728" s="23"/>
    </row>
    <row r="15729">
      <c r="B15729" s="19"/>
      <c r="E15729" s="23"/>
      <c r="L15729" s="23"/>
    </row>
    <row r="15730">
      <c r="B15730" s="19"/>
      <c r="E15730" s="23"/>
      <c r="L15730" s="23"/>
    </row>
    <row r="15731">
      <c r="B15731" s="19"/>
      <c r="E15731" s="23"/>
      <c r="L15731" s="23"/>
    </row>
    <row r="15732">
      <c r="B15732" s="19"/>
      <c r="E15732" s="23"/>
      <c r="L15732" s="23"/>
    </row>
    <row r="15733">
      <c r="B15733" s="19"/>
      <c r="E15733" s="23"/>
      <c r="L15733" s="23"/>
    </row>
    <row r="15734">
      <c r="B15734" s="19"/>
      <c r="E15734" s="23"/>
      <c r="L15734" s="23"/>
    </row>
    <row r="15735">
      <c r="B15735" s="19"/>
      <c r="E15735" s="23"/>
      <c r="L15735" s="23"/>
    </row>
    <row r="15736">
      <c r="B15736" s="19"/>
      <c r="E15736" s="23"/>
      <c r="L15736" s="23"/>
    </row>
    <row r="15737">
      <c r="B15737" s="19"/>
      <c r="E15737" s="23"/>
      <c r="L15737" s="23"/>
    </row>
    <row r="15738">
      <c r="B15738" s="19"/>
      <c r="E15738" s="23"/>
      <c r="L15738" s="23"/>
    </row>
    <row r="15739">
      <c r="B15739" s="19"/>
      <c r="E15739" s="23"/>
      <c r="L15739" s="23"/>
    </row>
    <row r="15740">
      <c r="B15740" s="19"/>
      <c r="E15740" s="23"/>
      <c r="L15740" s="23"/>
    </row>
    <row r="15741">
      <c r="B15741" s="19"/>
      <c r="E15741" s="23"/>
      <c r="L15741" s="23"/>
    </row>
    <row r="15742">
      <c r="B15742" s="19"/>
      <c r="E15742" s="23"/>
      <c r="L15742" s="23"/>
    </row>
    <row r="15743">
      <c r="B15743" s="19"/>
      <c r="E15743" s="23"/>
      <c r="L15743" s="23"/>
    </row>
    <row r="15744">
      <c r="B15744" s="19"/>
      <c r="E15744" s="23"/>
      <c r="L15744" s="23"/>
    </row>
    <row r="15745">
      <c r="B15745" s="19"/>
      <c r="E15745" s="23"/>
      <c r="L15745" s="23"/>
    </row>
    <row r="15746">
      <c r="B15746" s="19"/>
      <c r="E15746" s="23"/>
      <c r="L15746" s="23"/>
    </row>
    <row r="15747">
      <c r="B15747" s="19"/>
      <c r="E15747" s="23"/>
      <c r="L15747" s="23"/>
    </row>
    <row r="15748">
      <c r="B15748" s="19"/>
      <c r="E15748" s="23"/>
      <c r="L15748" s="23"/>
    </row>
    <row r="15749">
      <c r="B15749" s="19"/>
      <c r="E15749" s="23"/>
      <c r="L15749" s="23"/>
    </row>
    <row r="15750">
      <c r="B15750" s="19"/>
      <c r="E15750" s="23"/>
      <c r="L15750" s="23"/>
    </row>
    <row r="15751">
      <c r="B15751" s="19"/>
      <c r="E15751" s="23"/>
      <c r="L15751" s="23"/>
    </row>
    <row r="15752">
      <c r="B15752" s="19"/>
      <c r="E15752" s="23"/>
      <c r="L15752" s="23"/>
    </row>
    <row r="15753">
      <c r="B15753" s="19"/>
      <c r="E15753" s="23"/>
      <c r="L15753" s="23"/>
    </row>
    <row r="15754">
      <c r="B15754" s="19"/>
      <c r="E15754" s="23"/>
      <c r="L15754" s="23"/>
    </row>
    <row r="15755">
      <c r="B15755" s="19"/>
      <c r="E15755" s="23"/>
      <c r="L15755" s="23"/>
    </row>
    <row r="15756">
      <c r="B15756" s="19"/>
      <c r="E15756" s="23"/>
      <c r="L15756" s="23"/>
    </row>
    <row r="15757">
      <c r="B15757" s="19"/>
      <c r="E15757" s="23"/>
      <c r="L15757" s="23"/>
    </row>
    <row r="15758">
      <c r="B15758" s="19"/>
      <c r="E15758" s="23"/>
      <c r="L15758" s="23"/>
    </row>
    <row r="15759">
      <c r="B15759" s="19"/>
      <c r="E15759" s="23"/>
      <c r="L15759" s="23"/>
    </row>
    <row r="15760">
      <c r="B15760" s="19"/>
      <c r="E15760" s="23"/>
      <c r="L15760" s="23"/>
    </row>
    <row r="15761">
      <c r="B15761" s="19"/>
      <c r="E15761" s="23"/>
      <c r="L15761" s="23"/>
    </row>
    <row r="15762">
      <c r="B15762" s="19"/>
      <c r="E15762" s="23"/>
      <c r="L15762" s="23"/>
    </row>
    <row r="15763">
      <c r="B15763" s="19"/>
      <c r="E15763" s="23"/>
      <c r="L15763" s="23"/>
    </row>
    <row r="15764">
      <c r="B15764" s="19"/>
      <c r="E15764" s="23"/>
      <c r="L15764" s="23"/>
    </row>
    <row r="15765">
      <c r="B15765" s="19"/>
      <c r="E15765" s="23"/>
      <c r="L15765" s="23"/>
    </row>
    <row r="15766">
      <c r="B15766" s="19"/>
      <c r="E15766" s="23"/>
      <c r="L15766" s="23"/>
    </row>
    <row r="15767">
      <c r="B15767" s="19"/>
      <c r="E15767" s="23"/>
      <c r="L15767" s="23"/>
    </row>
    <row r="15768">
      <c r="B15768" s="19"/>
      <c r="E15768" s="23"/>
      <c r="L15768" s="23"/>
    </row>
    <row r="15769">
      <c r="B15769" s="19"/>
      <c r="E15769" s="23"/>
      <c r="L15769" s="23"/>
    </row>
    <row r="15770">
      <c r="B15770" s="19"/>
      <c r="E15770" s="23"/>
      <c r="L15770" s="23"/>
    </row>
    <row r="15771">
      <c r="B15771" s="19"/>
      <c r="E15771" s="23"/>
      <c r="L15771" s="23"/>
    </row>
    <row r="15772">
      <c r="B15772" s="19"/>
      <c r="E15772" s="23"/>
      <c r="L15772" s="23"/>
    </row>
    <row r="15773">
      <c r="B15773" s="19"/>
      <c r="E15773" s="23"/>
      <c r="L15773" s="23"/>
    </row>
    <row r="15774">
      <c r="B15774" s="19"/>
      <c r="E15774" s="23"/>
      <c r="L15774" s="23"/>
    </row>
    <row r="15775">
      <c r="B15775" s="19"/>
      <c r="E15775" s="23"/>
      <c r="L15775" s="23"/>
    </row>
    <row r="15776">
      <c r="B15776" s="19"/>
      <c r="E15776" s="23"/>
      <c r="L15776" s="23"/>
    </row>
    <row r="15777">
      <c r="B15777" s="19"/>
      <c r="E15777" s="23"/>
      <c r="L15777" s="23"/>
    </row>
    <row r="15778">
      <c r="B15778" s="19"/>
      <c r="E15778" s="23"/>
      <c r="L15778" s="23"/>
    </row>
    <row r="15779">
      <c r="B15779" s="19"/>
      <c r="E15779" s="23"/>
      <c r="L15779" s="23"/>
    </row>
    <row r="15780">
      <c r="B15780" s="19"/>
      <c r="E15780" s="23"/>
      <c r="L15780" s="23"/>
    </row>
    <row r="15781">
      <c r="B15781" s="19"/>
      <c r="E15781" s="23"/>
      <c r="L15781" s="23"/>
    </row>
    <row r="15782">
      <c r="B15782" s="19"/>
      <c r="E15782" s="23"/>
      <c r="L15782" s="23"/>
    </row>
    <row r="15783">
      <c r="B15783" s="19"/>
      <c r="E15783" s="23"/>
      <c r="L15783" s="23"/>
    </row>
    <row r="15784">
      <c r="B15784" s="19"/>
      <c r="E15784" s="23"/>
      <c r="L15784" s="23"/>
    </row>
    <row r="15785">
      <c r="B15785" s="19"/>
      <c r="E15785" s="23"/>
      <c r="L15785" s="23"/>
    </row>
    <row r="15786">
      <c r="B15786" s="19"/>
      <c r="E15786" s="23"/>
      <c r="L15786" s="23"/>
    </row>
    <row r="15787">
      <c r="B15787" s="19"/>
      <c r="E15787" s="23"/>
      <c r="L15787" s="23"/>
    </row>
    <row r="15788">
      <c r="B15788" s="19"/>
      <c r="E15788" s="23"/>
      <c r="L15788" s="23"/>
    </row>
    <row r="15789">
      <c r="B15789" s="19"/>
      <c r="E15789" s="23"/>
      <c r="L15789" s="23"/>
    </row>
    <row r="15790">
      <c r="B15790" s="19"/>
      <c r="E15790" s="23"/>
      <c r="L15790" s="23"/>
    </row>
    <row r="15791">
      <c r="B15791" s="19"/>
      <c r="E15791" s="23"/>
      <c r="L15791" s="23"/>
    </row>
    <row r="15792">
      <c r="B15792" s="19"/>
      <c r="E15792" s="23"/>
      <c r="L15792" s="23"/>
    </row>
    <row r="15793">
      <c r="B15793" s="19"/>
      <c r="E15793" s="23"/>
      <c r="L15793" s="23"/>
    </row>
    <row r="15794">
      <c r="B15794" s="19"/>
      <c r="E15794" s="23"/>
      <c r="L15794" s="23"/>
    </row>
    <row r="15795">
      <c r="B15795" s="19"/>
      <c r="E15795" s="23"/>
      <c r="L15795" s="23"/>
    </row>
    <row r="15796">
      <c r="B15796" s="19"/>
      <c r="E15796" s="23"/>
      <c r="L15796" s="23"/>
    </row>
    <row r="15797">
      <c r="B15797" s="19"/>
      <c r="E15797" s="23"/>
      <c r="L15797" s="23"/>
    </row>
    <row r="15798">
      <c r="B15798" s="19"/>
      <c r="E15798" s="23"/>
      <c r="L15798" s="23"/>
    </row>
    <row r="15799">
      <c r="B15799" s="19"/>
      <c r="E15799" s="23"/>
      <c r="L15799" s="23"/>
    </row>
    <row r="15800">
      <c r="B15800" s="19"/>
      <c r="E15800" s="23"/>
      <c r="L15800" s="23"/>
    </row>
    <row r="15801">
      <c r="B15801" s="19"/>
      <c r="E15801" s="23"/>
      <c r="L15801" s="23"/>
    </row>
    <row r="15802">
      <c r="B15802" s="19"/>
      <c r="E15802" s="23"/>
      <c r="L15802" s="23"/>
    </row>
    <row r="15803">
      <c r="B15803" s="19"/>
      <c r="E15803" s="23"/>
      <c r="L15803" s="23"/>
    </row>
    <row r="15804">
      <c r="B15804" s="19"/>
      <c r="E15804" s="23"/>
      <c r="L15804" s="23"/>
    </row>
    <row r="15805">
      <c r="B15805" s="19"/>
      <c r="E15805" s="23"/>
      <c r="L15805" s="23"/>
    </row>
    <row r="15806">
      <c r="B15806" s="19"/>
      <c r="E15806" s="23"/>
      <c r="L15806" s="23"/>
    </row>
    <row r="15807">
      <c r="B15807" s="19"/>
      <c r="E15807" s="23"/>
      <c r="L15807" s="23"/>
    </row>
    <row r="15808">
      <c r="B15808" s="19"/>
      <c r="E15808" s="23"/>
      <c r="L15808" s="23"/>
    </row>
    <row r="15809">
      <c r="B15809" s="19"/>
      <c r="E15809" s="23"/>
      <c r="L15809" s="23"/>
    </row>
    <row r="15810">
      <c r="B15810" s="19"/>
      <c r="E15810" s="23"/>
      <c r="L15810" s="23"/>
    </row>
    <row r="15811">
      <c r="B15811" s="19"/>
      <c r="E15811" s="23"/>
      <c r="L15811" s="23"/>
    </row>
    <row r="15812">
      <c r="B15812" s="19"/>
      <c r="E15812" s="23"/>
      <c r="L15812" s="23"/>
    </row>
    <row r="15813">
      <c r="B15813" s="19"/>
      <c r="E15813" s="23"/>
      <c r="L15813" s="23"/>
    </row>
    <row r="15814">
      <c r="B15814" s="19"/>
      <c r="E15814" s="23"/>
      <c r="L15814" s="23"/>
    </row>
    <row r="15815">
      <c r="B15815" s="19"/>
      <c r="E15815" s="23"/>
      <c r="L15815" s="23"/>
    </row>
    <row r="15816">
      <c r="B15816" s="19"/>
      <c r="E15816" s="23"/>
      <c r="L15816" s="23"/>
    </row>
    <row r="15817">
      <c r="B15817" s="19"/>
      <c r="E15817" s="23"/>
      <c r="L15817" s="23"/>
    </row>
    <row r="15818">
      <c r="B15818" s="19"/>
      <c r="E15818" s="23"/>
      <c r="L15818" s="23"/>
    </row>
    <row r="15819">
      <c r="B15819" s="19"/>
      <c r="E15819" s="23"/>
      <c r="L15819" s="23"/>
    </row>
    <row r="15820">
      <c r="B15820" s="19"/>
      <c r="E15820" s="23"/>
      <c r="L15820" s="23"/>
    </row>
    <row r="15821">
      <c r="B15821" s="19"/>
      <c r="E15821" s="23"/>
      <c r="L15821" s="23"/>
    </row>
    <row r="15822">
      <c r="B15822" s="19"/>
      <c r="E15822" s="23"/>
      <c r="L15822" s="23"/>
    </row>
    <row r="15823">
      <c r="B15823" s="19"/>
      <c r="E15823" s="23"/>
      <c r="L15823" s="23"/>
    </row>
    <row r="15824">
      <c r="B15824" s="19"/>
      <c r="E15824" s="23"/>
      <c r="L15824" s="23"/>
    </row>
    <row r="15825">
      <c r="B15825" s="19"/>
      <c r="E15825" s="23"/>
      <c r="L15825" s="23"/>
    </row>
    <row r="15826">
      <c r="B15826" s="19"/>
      <c r="E15826" s="23"/>
      <c r="L15826" s="23"/>
    </row>
    <row r="15827">
      <c r="B15827" s="19"/>
      <c r="E15827" s="23"/>
      <c r="L15827" s="23"/>
    </row>
    <row r="15828">
      <c r="B15828" s="19"/>
      <c r="E15828" s="23"/>
      <c r="L15828" s="23"/>
    </row>
    <row r="15829">
      <c r="B15829" s="19"/>
      <c r="E15829" s="23"/>
      <c r="L15829" s="23"/>
    </row>
    <row r="15830">
      <c r="B15830" s="19"/>
      <c r="E15830" s="23"/>
      <c r="L15830" s="23"/>
    </row>
    <row r="15831">
      <c r="B15831" s="19"/>
      <c r="E15831" s="23"/>
      <c r="L15831" s="23"/>
    </row>
    <row r="15832">
      <c r="B15832" s="19"/>
      <c r="E15832" s="23"/>
      <c r="L15832" s="23"/>
    </row>
    <row r="15833">
      <c r="B15833" s="19"/>
      <c r="E15833" s="23"/>
      <c r="L15833" s="23"/>
    </row>
    <row r="15834">
      <c r="B15834" s="19"/>
      <c r="E15834" s="23"/>
      <c r="L15834" s="23"/>
    </row>
    <row r="15835">
      <c r="B15835" s="19"/>
      <c r="E15835" s="23"/>
      <c r="L15835" s="23"/>
    </row>
    <row r="15836">
      <c r="B15836" s="19"/>
      <c r="E15836" s="23"/>
      <c r="L15836" s="23"/>
    </row>
    <row r="15837">
      <c r="B15837" s="19"/>
      <c r="E15837" s="23"/>
      <c r="L15837" s="23"/>
    </row>
    <row r="15838">
      <c r="B15838" s="19"/>
      <c r="E15838" s="23"/>
      <c r="L15838" s="23"/>
    </row>
    <row r="15839">
      <c r="B15839" s="19"/>
      <c r="E15839" s="23"/>
      <c r="L15839" s="23"/>
    </row>
    <row r="15840">
      <c r="B15840" s="19"/>
      <c r="E15840" s="23"/>
      <c r="L15840" s="23"/>
    </row>
    <row r="15841">
      <c r="B15841" s="19"/>
      <c r="E15841" s="23"/>
      <c r="L15841" s="23"/>
    </row>
    <row r="15842">
      <c r="B15842" s="19"/>
      <c r="E15842" s="23"/>
      <c r="L15842" s="23"/>
    </row>
    <row r="15843">
      <c r="B15843" s="19"/>
      <c r="E15843" s="23"/>
      <c r="L15843" s="23"/>
    </row>
    <row r="15844">
      <c r="B15844" s="19"/>
      <c r="E15844" s="23"/>
      <c r="L15844" s="23"/>
    </row>
    <row r="15845">
      <c r="B15845" s="19"/>
      <c r="E15845" s="23"/>
      <c r="L15845" s="23"/>
    </row>
    <row r="15846">
      <c r="B15846" s="19"/>
      <c r="E15846" s="23"/>
      <c r="L15846" s="23"/>
    </row>
    <row r="15847">
      <c r="B15847" s="19"/>
      <c r="E15847" s="23"/>
      <c r="L15847" s="23"/>
    </row>
    <row r="15848">
      <c r="B15848" s="19"/>
      <c r="E15848" s="23"/>
      <c r="L15848" s="23"/>
    </row>
    <row r="15849">
      <c r="B15849" s="19"/>
      <c r="E15849" s="23"/>
      <c r="L15849" s="23"/>
    </row>
    <row r="15850">
      <c r="B15850" s="19"/>
      <c r="E15850" s="23"/>
      <c r="L15850" s="23"/>
    </row>
    <row r="15851">
      <c r="B15851" s="19"/>
      <c r="E15851" s="23"/>
      <c r="L15851" s="23"/>
    </row>
    <row r="15852">
      <c r="B15852" s="19"/>
      <c r="E15852" s="23"/>
      <c r="L15852" s="23"/>
    </row>
    <row r="15853">
      <c r="B15853" s="19"/>
      <c r="E15853" s="23"/>
      <c r="L15853" s="23"/>
    </row>
    <row r="15854">
      <c r="B15854" s="19"/>
      <c r="E15854" s="23"/>
      <c r="L15854" s="23"/>
    </row>
    <row r="15855">
      <c r="B15855" s="19"/>
      <c r="E15855" s="23"/>
      <c r="L15855" s="23"/>
    </row>
    <row r="15856">
      <c r="B15856" s="19"/>
      <c r="E15856" s="23"/>
      <c r="L15856" s="23"/>
    </row>
    <row r="15857">
      <c r="B15857" s="19"/>
      <c r="E15857" s="23"/>
      <c r="L15857" s="23"/>
    </row>
    <row r="15858">
      <c r="B15858" s="19"/>
      <c r="E15858" s="23"/>
      <c r="L15858" s="23"/>
    </row>
    <row r="15859">
      <c r="B15859" s="19"/>
      <c r="E15859" s="23"/>
      <c r="L15859" s="23"/>
    </row>
    <row r="15860">
      <c r="B15860" s="19"/>
      <c r="E15860" s="23"/>
      <c r="L15860" s="23"/>
    </row>
    <row r="15861">
      <c r="B15861" s="19"/>
      <c r="E15861" s="23"/>
      <c r="L15861" s="23"/>
    </row>
    <row r="15862">
      <c r="B15862" s="19"/>
      <c r="E15862" s="23"/>
      <c r="L15862" s="23"/>
    </row>
    <row r="15863">
      <c r="B15863" s="19"/>
      <c r="E15863" s="23"/>
      <c r="L15863" s="23"/>
    </row>
    <row r="15864">
      <c r="B15864" s="19"/>
      <c r="E15864" s="23"/>
      <c r="L15864" s="23"/>
    </row>
    <row r="15865">
      <c r="B15865" s="19"/>
      <c r="E15865" s="23"/>
      <c r="L15865" s="23"/>
    </row>
    <row r="15866">
      <c r="B15866" s="19"/>
      <c r="E15866" s="23"/>
      <c r="L15866" s="23"/>
    </row>
    <row r="15867">
      <c r="B15867" s="19"/>
      <c r="E15867" s="23"/>
      <c r="L15867" s="23"/>
    </row>
    <row r="15868">
      <c r="B15868" s="19"/>
      <c r="E15868" s="23"/>
      <c r="L15868" s="23"/>
    </row>
    <row r="15869">
      <c r="B15869" s="19"/>
      <c r="E15869" s="23"/>
      <c r="L15869" s="23"/>
    </row>
    <row r="15870">
      <c r="B15870" s="19"/>
      <c r="E15870" s="23"/>
      <c r="L15870" s="23"/>
    </row>
    <row r="15871">
      <c r="B15871" s="19"/>
      <c r="E15871" s="23"/>
      <c r="L15871" s="23"/>
    </row>
    <row r="15872">
      <c r="B15872" s="19"/>
      <c r="E15872" s="23"/>
      <c r="L15872" s="23"/>
    </row>
    <row r="15873">
      <c r="B15873" s="19"/>
      <c r="E15873" s="23"/>
      <c r="L15873" s="23"/>
    </row>
    <row r="15874">
      <c r="B15874" s="19"/>
      <c r="E15874" s="23"/>
      <c r="L15874" s="23"/>
    </row>
    <row r="15875">
      <c r="B15875" s="19"/>
      <c r="E15875" s="23"/>
      <c r="L15875" s="23"/>
    </row>
    <row r="15876">
      <c r="B15876" s="19"/>
      <c r="E15876" s="23"/>
      <c r="L15876" s="23"/>
    </row>
    <row r="15877">
      <c r="B15877" s="19"/>
      <c r="E15877" s="23"/>
      <c r="L15877" s="23"/>
    </row>
    <row r="15878">
      <c r="B15878" s="19"/>
      <c r="E15878" s="23"/>
      <c r="L15878" s="23"/>
    </row>
    <row r="15879">
      <c r="B15879" s="19"/>
      <c r="E15879" s="23"/>
      <c r="L15879" s="23"/>
    </row>
    <row r="15880">
      <c r="B15880" s="19"/>
      <c r="E15880" s="23"/>
      <c r="L15880" s="23"/>
    </row>
    <row r="15881">
      <c r="B15881" s="19"/>
      <c r="E15881" s="23"/>
      <c r="L15881" s="23"/>
    </row>
    <row r="15882">
      <c r="B15882" s="19"/>
      <c r="E15882" s="23"/>
      <c r="L15882" s="23"/>
    </row>
    <row r="15883">
      <c r="B15883" s="19"/>
      <c r="E15883" s="23"/>
      <c r="L15883" s="23"/>
    </row>
    <row r="15884">
      <c r="B15884" s="19"/>
      <c r="E15884" s="23"/>
      <c r="L15884" s="23"/>
    </row>
    <row r="15885">
      <c r="B15885" s="19"/>
      <c r="E15885" s="23"/>
      <c r="L15885" s="23"/>
    </row>
    <row r="15886">
      <c r="B15886" s="19"/>
      <c r="E15886" s="23"/>
      <c r="L15886" s="23"/>
    </row>
    <row r="15887">
      <c r="B15887" s="19"/>
      <c r="E15887" s="23"/>
      <c r="L15887" s="23"/>
    </row>
    <row r="15888">
      <c r="B15888" s="19"/>
      <c r="E15888" s="23"/>
      <c r="L15888" s="23"/>
    </row>
    <row r="15889">
      <c r="B15889" s="19"/>
      <c r="E15889" s="23"/>
      <c r="L15889" s="23"/>
    </row>
    <row r="15890">
      <c r="B15890" s="19"/>
      <c r="E15890" s="23"/>
      <c r="L15890" s="23"/>
    </row>
    <row r="15891">
      <c r="B15891" s="19"/>
      <c r="E15891" s="23"/>
      <c r="L15891" s="23"/>
    </row>
    <row r="15892">
      <c r="B15892" s="19"/>
      <c r="E15892" s="23"/>
      <c r="L15892" s="23"/>
    </row>
    <row r="15893">
      <c r="B15893" s="19"/>
      <c r="E15893" s="23"/>
      <c r="L15893" s="23"/>
    </row>
    <row r="15894">
      <c r="B15894" s="19"/>
      <c r="E15894" s="23"/>
      <c r="L15894" s="23"/>
    </row>
    <row r="15895">
      <c r="B15895" s="19"/>
      <c r="E15895" s="23"/>
      <c r="L15895" s="23"/>
    </row>
    <row r="15896">
      <c r="B15896" s="19"/>
      <c r="E15896" s="23"/>
      <c r="L15896" s="23"/>
    </row>
    <row r="15897">
      <c r="B15897" s="19"/>
      <c r="E15897" s="23"/>
      <c r="L15897" s="23"/>
    </row>
    <row r="15898">
      <c r="B15898" s="19"/>
      <c r="E15898" s="23"/>
      <c r="L15898" s="23"/>
    </row>
    <row r="15899">
      <c r="B15899" s="19"/>
      <c r="E15899" s="23"/>
      <c r="L15899" s="23"/>
    </row>
    <row r="15900">
      <c r="B15900" s="19"/>
      <c r="E15900" s="23"/>
      <c r="L15900" s="23"/>
    </row>
    <row r="15901">
      <c r="B15901" s="19"/>
      <c r="E15901" s="23"/>
      <c r="L15901" s="23"/>
    </row>
    <row r="15902">
      <c r="B15902" s="19"/>
      <c r="E15902" s="23"/>
      <c r="L15902" s="23"/>
    </row>
    <row r="15903">
      <c r="B15903" s="19"/>
      <c r="E15903" s="23"/>
      <c r="L15903" s="23"/>
    </row>
    <row r="15904">
      <c r="B15904" s="19"/>
      <c r="E15904" s="23"/>
      <c r="L15904" s="23"/>
    </row>
    <row r="15905">
      <c r="B15905" s="19"/>
      <c r="E15905" s="23"/>
      <c r="L15905" s="23"/>
    </row>
    <row r="15906">
      <c r="B15906" s="19"/>
      <c r="E15906" s="23"/>
      <c r="L15906" s="23"/>
    </row>
    <row r="15907">
      <c r="B15907" s="19"/>
      <c r="E15907" s="23"/>
      <c r="L15907" s="23"/>
    </row>
    <row r="15908">
      <c r="B15908" s="19"/>
      <c r="E15908" s="23"/>
      <c r="L15908" s="23"/>
    </row>
    <row r="15909">
      <c r="B15909" s="19"/>
      <c r="E15909" s="23"/>
      <c r="L15909" s="23"/>
    </row>
    <row r="15910">
      <c r="B15910" s="19"/>
      <c r="E15910" s="23"/>
      <c r="L15910" s="23"/>
    </row>
    <row r="15911">
      <c r="B15911" s="19"/>
      <c r="E15911" s="23"/>
      <c r="L15911" s="23"/>
    </row>
    <row r="15912">
      <c r="B15912" s="19"/>
      <c r="E15912" s="23"/>
      <c r="L15912" s="23"/>
    </row>
    <row r="15913">
      <c r="B15913" s="19"/>
      <c r="E15913" s="23"/>
      <c r="L15913" s="23"/>
    </row>
    <row r="15914">
      <c r="B15914" s="19"/>
      <c r="E15914" s="23"/>
      <c r="L15914" s="23"/>
    </row>
    <row r="15915">
      <c r="B15915" s="19"/>
      <c r="E15915" s="23"/>
      <c r="L15915" s="23"/>
    </row>
    <row r="15916">
      <c r="B15916" s="19"/>
      <c r="E15916" s="23"/>
      <c r="L15916" s="23"/>
    </row>
    <row r="15917">
      <c r="B15917" s="19"/>
      <c r="E15917" s="23"/>
      <c r="L15917" s="23"/>
    </row>
    <row r="15918">
      <c r="B15918" s="19"/>
      <c r="E15918" s="23"/>
      <c r="L15918" s="23"/>
    </row>
    <row r="15919">
      <c r="B15919" s="19"/>
      <c r="E15919" s="23"/>
      <c r="L15919" s="23"/>
    </row>
    <row r="15920">
      <c r="B15920" s="19"/>
      <c r="E15920" s="23"/>
      <c r="L15920" s="23"/>
    </row>
    <row r="15921">
      <c r="B15921" s="19"/>
      <c r="E15921" s="23"/>
      <c r="L15921" s="23"/>
    </row>
    <row r="15922">
      <c r="B15922" s="19"/>
      <c r="E15922" s="23"/>
      <c r="L15922" s="23"/>
    </row>
    <row r="15923">
      <c r="B15923" s="19"/>
      <c r="E15923" s="23"/>
      <c r="L15923" s="23"/>
    </row>
    <row r="15924">
      <c r="B15924" s="19"/>
      <c r="E15924" s="23"/>
      <c r="L15924" s="23"/>
    </row>
    <row r="15925">
      <c r="B15925" s="19"/>
      <c r="E15925" s="23"/>
      <c r="L15925" s="23"/>
    </row>
    <row r="15926">
      <c r="B15926" s="19"/>
      <c r="E15926" s="23"/>
      <c r="L15926" s="23"/>
    </row>
    <row r="15927">
      <c r="B15927" s="19"/>
      <c r="E15927" s="23"/>
      <c r="L15927" s="23"/>
    </row>
    <row r="15928">
      <c r="B15928" s="19"/>
      <c r="E15928" s="23"/>
      <c r="L15928" s="23"/>
    </row>
    <row r="15929">
      <c r="B15929" s="19"/>
      <c r="E15929" s="23"/>
      <c r="L15929" s="23"/>
    </row>
    <row r="15930">
      <c r="B15930" s="19"/>
      <c r="E15930" s="23"/>
      <c r="L15930" s="23"/>
    </row>
    <row r="15931">
      <c r="B15931" s="19"/>
      <c r="E15931" s="23"/>
      <c r="L15931" s="23"/>
    </row>
    <row r="15932">
      <c r="B15932" s="19"/>
      <c r="E15932" s="23"/>
      <c r="L15932" s="23"/>
    </row>
    <row r="15933">
      <c r="B15933" s="19"/>
      <c r="E15933" s="23"/>
      <c r="L15933" s="23"/>
    </row>
    <row r="15934">
      <c r="B15934" s="19"/>
      <c r="E15934" s="23"/>
      <c r="L15934" s="23"/>
    </row>
    <row r="15935">
      <c r="B15935" s="19"/>
      <c r="E15935" s="23"/>
      <c r="L15935" s="23"/>
    </row>
    <row r="15936">
      <c r="B15936" s="19"/>
      <c r="E15936" s="23"/>
      <c r="L15936" s="23"/>
    </row>
    <row r="15937">
      <c r="B15937" s="19"/>
      <c r="E15937" s="23"/>
      <c r="L15937" s="23"/>
    </row>
    <row r="15938">
      <c r="B15938" s="19"/>
      <c r="E15938" s="23"/>
      <c r="L15938" s="23"/>
    </row>
    <row r="15939">
      <c r="B15939" s="19"/>
      <c r="E15939" s="23"/>
      <c r="L15939" s="23"/>
    </row>
    <row r="15940">
      <c r="B15940" s="19"/>
      <c r="E15940" s="23"/>
      <c r="L15940" s="23"/>
    </row>
    <row r="15941">
      <c r="B15941" s="19"/>
      <c r="E15941" s="23"/>
      <c r="L15941" s="23"/>
    </row>
    <row r="15942">
      <c r="B15942" s="19"/>
      <c r="E15942" s="23"/>
      <c r="L15942" s="23"/>
    </row>
    <row r="15943">
      <c r="B15943" s="19"/>
      <c r="E15943" s="23"/>
      <c r="L15943" s="23"/>
    </row>
    <row r="15944">
      <c r="B15944" s="19"/>
      <c r="E15944" s="23"/>
      <c r="L15944" s="23"/>
    </row>
    <row r="15945">
      <c r="B15945" s="19"/>
      <c r="E15945" s="23"/>
      <c r="L15945" s="23"/>
    </row>
    <row r="15946">
      <c r="B15946" s="19"/>
      <c r="E15946" s="23"/>
      <c r="L15946" s="23"/>
    </row>
    <row r="15947">
      <c r="B15947" s="19"/>
      <c r="E15947" s="23"/>
      <c r="L15947" s="23"/>
    </row>
    <row r="15948">
      <c r="B15948" s="19"/>
      <c r="E15948" s="23"/>
      <c r="L15948" s="23"/>
    </row>
    <row r="15949">
      <c r="B15949" s="19"/>
      <c r="E15949" s="23"/>
      <c r="L15949" s="23"/>
    </row>
    <row r="15950">
      <c r="B15950" s="19"/>
      <c r="E15950" s="23"/>
      <c r="L15950" s="23"/>
    </row>
    <row r="15951">
      <c r="B15951" s="19"/>
      <c r="E15951" s="23"/>
      <c r="L15951" s="23"/>
    </row>
    <row r="15952">
      <c r="B15952" s="19"/>
      <c r="E15952" s="23"/>
      <c r="L15952" s="23"/>
    </row>
    <row r="15953">
      <c r="B15953" s="19"/>
      <c r="E15953" s="23"/>
      <c r="L15953" s="23"/>
    </row>
    <row r="15954">
      <c r="B15954" s="19"/>
      <c r="E15954" s="23"/>
      <c r="L15954" s="23"/>
    </row>
    <row r="15955">
      <c r="B15955" s="19"/>
      <c r="E15955" s="23"/>
      <c r="L15955" s="23"/>
    </row>
    <row r="15956">
      <c r="B15956" s="19"/>
      <c r="E15956" s="23"/>
      <c r="L15956" s="23"/>
    </row>
    <row r="15957">
      <c r="B15957" s="19"/>
      <c r="E15957" s="23"/>
      <c r="L15957" s="23"/>
    </row>
    <row r="15958">
      <c r="B15958" s="19"/>
      <c r="E15958" s="23"/>
      <c r="L15958" s="23"/>
    </row>
    <row r="15959">
      <c r="B15959" s="19"/>
      <c r="E15959" s="23"/>
      <c r="L15959" s="23"/>
    </row>
    <row r="15960">
      <c r="B15960" s="19"/>
      <c r="E15960" s="23"/>
      <c r="L15960" s="23"/>
    </row>
    <row r="15961">
      <c r="B15961" s="19"/>
      <c r="E15961" s="23"/>
      <c r="L15961" s="23"/>
    </row>
    <row r="15962">
      <c r="B15962" s="19"/>
      <c r="E15962" s="23"/>
      <c r="L15962" s="23"/>
    </row>
    <row r="15963">
      <c r="B15963" s="19"/>
      <c r="E15963" s="23"/>
      <c r="L15963" s="23"/>
    </row>
    <row r="15964">
      <c r="B15964" s="19"/>
      <c r="E15964" s="23"/>
      <c r="L15964" s="23"/>
    </row>
    <row r="15965">
      <c r="B15965" s="19"/>
      <c r="E15965" s="23"/>
      <c r="L15965" s="23"/>
    </row>
    <row r="15966">
      <c r="B15966" s="19"/>
      <c r="E15966" s="23"/>
      <c r="L15966" s="23"/>
    </row>
    <row r="15967">
      <c r="B15967" s="19"/>
      <c r="E15967" s="23"/>
      <c r="L15967" s="23"/>
    </row>
    <row r="15968">
      <c r="B15968" s="19"/>
      <c r="E15968" s="23"/>
      <c r="L15968" s="23"/>
    </row>
    <row r="15969">
      <c r="B15969" s="19"/>
      <c r="E15969" s="23"/>
      <c r="L15969" s="23"/>
    </row>
    <row r="15970">
      <c r="B15970" s="19"/>
      <c r="E15970" s="23"/>
      <c r="L15970" s="23"/>
    </row>
    <row r="15971">
      <c r="B15971" s="19"/>
      <c r="E15971" s="23"/>
      <c r="L15971" s="23"/>
    </row>
    <row r="15972">
      <c r="B15972" s="19"/>
      <c r="E15972" s="23"/>
      <c r="L15972" s="23"/>
    </row>
    <row r="15973">
      <c r="B15973" s="19"/>
      <c r="E15973" s="23"/>
      <c r="L15973" s="23"/>
    </row>
    <row r="15974">
      <c r="B15974" s="19"/>
      <c r="E15974" s="23"/>
      <c r="L15974" s="23"/>
    </row>
    <row r="15975">
      <c r="B15975" s="19"/>
      <c r="E15975" s="23"/>
      <c r="L15975" s="23"/>
    </row>
    <row r="15976">
      <c r="B15976" s="19"/>
      <c r="E15976" s="23"/>
      <c r="L15976" s="23"/>
    </row>
    <row r="15977">
      <c r="B15977" s="19"/>
      <c r="E15977" s="23"/>
      <c r="L15977" s="23"/>
    </row>
    <row r="15978">
      <c r="B15978" s="19"/>
      <c r="E15978" s="23"/>
      <c r="L15978" s="23"/>
    </row>
    <row r="15979">
      <c r="B15979" s="19"/>
      <c r="E15979" s="23"/>
      <c r="L15979" s="23"/>
    </row>
    <row r="15980">
      <c r="B15980" s="19"/>
      <c r="E15980" s="23"/>
      <c r="L15980" s="23"/>
    </row>
    <row r="15981">
      <c r="B15981" s="19"/>
      <c r="E15981" s="23"/>
      <c r="L15981" s="23"/>
    </row>
    <row r="15982">
      <c r="B15982" s="19"/>
      <c r="E15982" s="23"/>
      <c r="L15982" s="23"/>
    </row>
    <row r="15983">
      <c r="B15983" s="19"/>
      <c r="E15983" s="23"/>
      <c r="L15983" s="23"/>
    </row>
    <row r="15984">
      <c r="B15984" s="19"/>
      <c r="E15984" s="23"/>
      <c r="L15984" s="23"/>
    </row>
    <row r="15985">
      <c r="B15985" s="19"/>
      <c r="E15985" s="23"/>
      <c r="L15985" s="23"/>
    </row>
    <row r="15986">
      <c r="B15986" s="19"/>
      <c r="E15986" s="23"/>
      <c r="L15986" s="23"/>
    </row>
    <row r="15987">
      <c r="B15987" s="19"/>
      <c r="E15987" s="23"/>
      <c r="L15987" s="23"/>
    </row>
    <row r="15988">
      <c r="B15988" s="19"/>
      <c r="E15988" s="23"/>
      <c r="L15988" s="23"/>
    </row>
    <row r="15989">
      <c r="B15989" s="19"/>
      <c r="E15989" s="23"/>
      <c r="L15989" s="23"/>
    </row>
    <row r="15990">
      <c r="B15990" s="19"/>
      <c r="E15990" s="23"/>
      <c r="L15990" s="23"/>
    </row>
    <row r="15991">
      <c r="B15991" s="19"/>
      <c r="E15991" s="23"/>
      <c r="L15991" s="23"/>
    </row>
    <row r="15992">
      <c r="B15992" s="19"/>
      <c r="E15992" s="23"/>
      <c r="L15992" s="23"/>
    </row>
    <row r="15993">
      <c r="B15993" s="19"/>
      <c r="E15993" s="23"/>
      <c r="L15993" s="23"/>
    </row>
    <row r="15994">
      <c r="B15994" s="19"/>
      <c r="E15994" s="23"/>
      <c r="L15994" s="23"/>
    </row>
    <row r="15995">
      <c r="B15995" s="19"/>
      <c r="E15995" s="23"/>
      <c r="L15995" s="23"/>
    </row>
    <row r="15996">
      <c r="B15996" s="19"/>
      <c r="E15996" s="23"/>
      <c r="L15996" s="23"/>
    </row>
    <row r="15997">
      <c r="B15997" s="19"/>
      <c r="E15997" s="23"/>
      <c r="L15997" s="23"/>
    </row>
    <row r="15998">
      <c r="B15998" s="19"/>
      <c r="E15998" s="23"/>
      <c r="L15998" s="23"/>
    </row>
    <row r="15999">
      <c r="B15999" s="19"/>
      <c r="E15999" s="23"/>
      <c r="L15999" s="23"/>
    </row>
    <row r="16000">
      <c r="B16000" s="19"/>
      <c r="E16000" s="23"/>
      <c r="L16000" s="23"/>
    </row>
    <row r="16001">
      <c r="B16001" s="19"/>
      <c r="E16001" s="23"/>
      <c r="L16001" s="23"/>
    </row>
    <row r="16002">
      <c r="B16002" s="19"/>
      <c r="E16002" s="23"/>
      <c r="L16002" s="23"/>
    </row>
    <row r="16003">
      <c r="B16003" s="19"/>
      <c r="E16003" s="23"/>
      <c r="L16003" s="23"/>
    </row>
    <row r="16004">
      <c r="B16004" s="19"/>
      <c r="E16004" s="23"/>
      <c r="L16004" s="23"/>
    </row>
    <row r="16005">
      <c r="B16005" s="19"/>
      <c r="E16005" s="23"/>
      <c r="L16005" s="23"/>
    </row>
    <row r="16006">
      <c r="B16006" s="19"/>
      <c r="E16006" s="23"/>
      <c r="L16006" s="23"/>
    </row>
    <row r="16007">
      <c r="B16007" s="19"/>
      <c r="E16007" s="23"/>
      <c r="L16007" s="23"/>
    </row>
    <row r="16008">
      <c r="B16008" s="19"/>
      <c r="E16008" s="23"/>
      <c r="L16008" s="23"/>
    </row>
    <row r="16009">
      <c r="B16009" s="19"/>
      <c r="E16009" s="23"/>
      <c r="L16009" s="23"/>
    </row>
    <row r="16010">
      <c r="B16010" s="19"/>
      <c r="E16010" s="23"/>
      <c r="L16010" s="23"/>
    </row>
    <row r="16011">
      <c r="B16011" s="19"/>
      <c r="E16011" s="23"/>
      <c r="L16011" s="23"/>
    </row>
    <row r="16012">
      <c r="B16012" s="19"/>
      <c r="E16012" s="23"/>
      <c r="L16012" s="23"/>
    </row>
    <row r="16013">
      <c r="B16013" s="19"/>
      <c r="E16013" s="23"/>
      <c r="L16013" s="23"/>
    </row>
    <row r="16014">
      <c r="B16014" s="19"/>
      <c r="E16014" s="23"/>
      <c r="L16014" s="23"/>
    </row>
    <row r="16015">
      <c r="B16015" s="19"/>
      <c r="E16015" s="23"/>
      <c r="L16015" s="23"/>
    </row>
    <row r="16016">
      <c r="B16016" s="19"/>
      <c r="E16016" s="23"/>
      <c r="L16016" s="23"/>
    </row>
    <row r="16017">
      <c r="B16017" s="19"/>
      <c r="E16017" s="23"/>
      <c r="L16017" s="23"/>
    </row>
    <row r="16018">
      <c r="B16018" s="19"/>
      <c r="E16018" s="23"/>
      <c r="L16018" s="23"/>
    </row>
    <row r="16019">
      <c r="B16019" s="19"/>
      <c r="E16019" s="23"/>
      <c r="L16019" s="23"/>
    </row>
    <row r="16020">
      <c r="B16020" s="19"/>
      <c r="E16020" s="23"/>
      <c r="L16020" s="23"/>
    </row>
    <row r="16021">
      <c r="B16021" s="19"/>
      <c r="E16021" s="23"/>
      <c r="L16021" s="23"/>
    </row>
    <row r="16022">
      <c r="B16022" s="19"/>
      <c r="E16022" s="23"/>
      <c r="L16022" s="23"/>
    </row>
    <row r="16023">
      <c r="B16023" s="19"/>
      <c r="E16023" s="23"/>
      <c r="L16023" s="23"/>
    </row>
    <row r="16024">
      <c r="B16024" s="19"/>
      <c r="E16024" s="23"/>
      <c r="L16024" s="23"/>
    </row>
    <row r="16025">
      <c r="B16025" s="19"/>
      <c r="E16025" s="23"/>
      <c r="L16025" s="23"/>
    </row>
    <row r="16026">
      <c r="B16026" s="19"/>
      <c r="E16026" s="23"/>
      <c r="L16026" s="23"/>
    </row>
    <row r="16027">
      <c r="B16027" s="19"/>
      <c r="E16027" s="23"/>
      <c r="L16027" s="23"/>
    </row>
    <row r="16028">
      <c r="B16028" s="19"/>
      <c r="E16028" s="23"/>
      <c r="L16028" s="23"/>
    </row>
    <row r="16029">
      <c r="B16029" s="19"/>
      <c r="E16029" s="23"/>
      <c r="L16029" s="23"/>
    </row>
    <row r="16030">
      <c r="B16030" s="19"/>
      <c r="E16030" s="23"/>
      <c r="L16030" s="23"/>
    </row>
    <row r="16031">
      <c r="B16031" s="19"/>
      <c r="E16031" s="23"/>
      <c r="L16031" s="23"/>
    </row>
    <row r="16032">
      <c r="B16032" s="19"/>
      <c r="E16032" s="23"/>
      <c r="L16032" s="23"/>
    </row>
    <row r="16033">
      <c r="B16033" s="19"/>
      <c r="E16033" s="23"/>
      <c r="L16033" s="23"/>
    </row>
    <row r="16034">
      <c r="B16034" s="19"/>
      <c r="E16034" s="23"/>
      <c r="L16034" s="23"/>
    </row>
    <row r="16035">
      <c r="B16035" s="19"/>
      <c r="E16035" s="23"/>
      <c r="L16035" s="23"/>
    </row>
    <row r="16036">
      <c r="B16036" s="19"/>
      <c r="E16036" s="23"/>
      <c r="L16036" s="23"/>
    </row>
    <row r="16037">
      <c r="B16037" s="19"/>
      <c r="E16037" s="23"/>
      <c r="L16037" s="23"/>
    </row>
    <row r="16038">
      <c r="B16038" s="19"/>
      <c r="E16038" s="23"/>
      <c r="L16038" s="23"/>
    </row>
    <row r="16039">
      <c r="B16039" s="19"/>
      <c r="E16039" s="23"/>
      <c r="L16039" s="23"/>
    </row>
    <row r="16040">
      <c r="B16040" s="19"/>
      <c r="E16040" s="23"/>
      <c r="L16040" s="23"/>
    </row>
    <row r="16041">
      <c r="B16041" s="19"/>
      <c r="E16041" s="23"/>
      <c r="L16041" s="23"/>
    </row>
    <row r="16042">
      <c r="B16042" s="19"/>
      <c r="E16042" s="23"/>
      <c r="L16042" s="23"/>
    </row>
    <row r="16043">
      <c r="B16043" s="19"/>
      <c r="E16043" s="23"/>
      <c r="L16043" s="23"/>
    </row>
    <row r="16044">
      <c r="B16044" s="19"/>
      <c r="E16044" s="23"/>
      <c r="L16044" s="23"/>
    </row>
    <row r="16045">
      <c r="B16045" s="19"/>
      <c r="E16045" s="23"/>
      <c r="L16045" s="23"/>
    </row>
    <row r="16046">
      <c r="B16046" s="19"/>
      <c r="E16046" s="23"/>
      <c r="L16046" s="23"/>
    </row>
    <row r="16047">
      <c r="B16047" s="19"/>
      <c r="E16047" s="23"/>
      <c r="L16047" s="23"/>
    </row>
    <row r="16048">
      <c r="B16048" s="19"/>
      <c r="E16048" s="23"/>
      <c r="L16048" s="23"/>
    </row>
    <row r="16049">
      <c r="B16049" s="19"/>
      <c r="E16049" s="23"/>
      <c r="L16049" s="23"/>
    </row>
    <row r="16050">
      <c r="B16050" s="19"/>
      <c r="E16050" s="23"/>
      <c r="L16050" s="23"/>
    </row>
    <row r="16051">
      <c r="B16051" s="19"/>
      <c r="E16051" s="23"/>
      <c r="L16051" s="23"/>
    </row>
    <row r="16052">
      <c r="B16052" s="19"/>
      <c r="E16052" s="23"/>
      <c r="L16052" s="23"/>
    </row>
    <row r="16053">
      <c r="B16053" s="19"/>
      <c r="E16053" s="23"/>
      <c r="L16053" s="23"/>
    </row>
    <row r="16054">
      <c r="B16054" s="19"/>
      <c r="E16054" s="23"/>
      <c r="L16054" s="23"/>
    </row>
    <row r="16055">
      <c r="B16055" s="19"/>
      <c r="E16055" s="23"/>
      <c r="L16055" s="23"/>
    </row>
    <row r="16056">
      <c r="B16056" s="19"/>
      <c r="E16056" s="23"/>
      <c r="L16056" s="23"/>
    </row>
    <row r="16057">
      <c r="B16057" s="19"/>
      <c r="E16057" s="23"/>
      <c r="L16057" s="23"/>
    </row>
    <row r="16058">
      <c r="B16058" s="19"/>
      <c r="E16058" s="23"/>
      <c r="L16058" s="23"/>
    </row>
    <row r="16059">
      <c r="B16059" s="19"/>
      <c r="E16059" s="23"/>
      <c r="L16059" s="23"/>
    </row>
    <row r="16060">
      <c r="B16060" s="19"/>
      <c r="E16060" s="23"/>
      <c r="L16060" s="23"/>
    </row>
    <row r="16061">
      <c r="B16061" s="19"/>
      <c r="E16061" s="23"/>
      <c r="L16061" s="23"/>
    </row>
    <row r="16062">
      <c r="B16062" s="19"/>
      <c r="E16062" s="23"/>
      <c r="L16062" s="23"/>
    </row>
    <row r="16063">
      <c r="B16063" s="19"/>
      <c r="E16063" s="23"/>
      <c r="L16063" s="23"/>
    </row>
    <row r="16064">
      <c r="B16064" s="19"/>
      <c r="E16064" s="23"/>
      <c r="L16064" s="23"/>
    </row>
    <row r="16065">
      <c r="B16065" s="19"/>
      <c r="E16065" s="23"/>
      <c r="L16065" s="23"/>
    </row>
    <row r="16066">
      <c r="B16066" s="19"/>
      <c r="E16066" s="23"/>
      <c r="L16066" s="23"/>
    </row>
    <row r="16067">
      <c r="B16067" s="19"/>
      <c r="E16067" s="23"/>
      <c r="L16067" s="23"/>
    </row>
    <row r="16068">
      <c r="B16068" s="19"/>
      <c r="E16068" s="23"/>
      <c r="L16068" s="23"/>
    </row>
    <row r="16069">
      <c r="B16069" s="19"/>
      <c r="E16069" s="23"/>
      <c r="L16069" s="23"/>
    </row>
    <row r="16070">
      <c r="B16070" s="19"/>
      <c r="E16070" s="23"/>
      <c r="L16070" s="23"/>
    </row>
    <row r="16071">
      <c r="B16071" s="19"/>
      <c r="E16071" s="23"/>
      <c r="L16071" s="23"/>
    </row>
    <row r="16072">
      <c r="B16072" s="19"/>
      <c r="E16072" s="23"/>
      <c r="L16072" s="23"/>
    </row>
    <row r="16073">
      <c r="B16073" s="19"/>
      <c r="E16073" s="23"/>
      <c r="L16073" s="23"/>
    </row>
    <row r="16074">
      <c r="B16074" s="19"/>
      <c r="E16074" s="23"/>
      <c r="L16074" s="23"/>
    </row>
    <row r="16075">
      <c r="B16075" s="19"/>
      <c r="E16075" s="23"/>
      <c r="L16075" s="23"/>
    </row>
    <row r="16076">
      <c r="B16076" s="19"/>
      <c r="E16076" s="23"/>
      <c r="L16076" s="23"/>
    </row>
    <row r="16077">
      <c r="B16077" s="19"/>
      <c r="E16077" s="23"/>
      <c r="L16077" s="23"/>
    </row>
    <row r="16078">
      <c r="B16078" s="19"/>
      <c r="E16078" s="23"/>
      <c r="L16078" s="23"/>
    </row>
    <row r="16079">
      <c r="B16079" s="19"/>
      <c r="E16079" s="23"/>
      <c r="L16079" s="23"/>
    </row>
    <row r="16080">
      <c r="B16080" s="19"/>
      <c r="E16080" s="23"/>
      <c r="L16080" s="23"/>
    </row>
    <row r="16081">
      <c r="B16081" s="19"/>
      <c r="E16081" s="23"/>
      <c r="L16081" s="23"/>
    </row>
    <row r="16082">
      <c r="B16082" s="19"/>
      <c r="E16082" s="23"/>
      <c r="L16082" s="23"/>
    </row>
    <row r="16083">
      <c r="B16083" s="19"/>
      <c r="E16083" s="23"/>
      <c r="L16083" s="23"/>
    </row>
    <row r="16084">
      <c r="B16084" s="19"/>
      <c r="E16084" s="23"/>
      <c r="L16084" s="23"/>
    </row>
    <row r="16085">
      <c r="B16085" s="19"/>
      <c r="E16085" s="23"/>
      <c r="L16085" s="23"/>
    </row>
    <row r="16086">
      <c r="B16086" s="19"/>
      <c r="E16086" s="23"/>
      <c r="L16086" s="23"/>
    </row>
    <row r="16087">
      <c r="B16087" s="19"/>
      <c r="E16087" s="23"/>
      <c r="L16087" s="23"/>
    </row>
    <row r="16088">
      <c r="B16088" s="19"/>
      <c r="E16088" s="23"/>
      <c r="L16088" s="23"/>
    </row>
    <row r="16089">
      <c r="B16089" s="19"/>
      <c r="E16089" s="23"/>
      <c r="L16089" s="23"/>
    </row>
    <row r="16090">
      <c r="B16090" s="19"/>
      <c r="E16090" s="23"/>
      <c r="L16090" s="23"/>
    </row>
    <row r="16091">
      <c r="B16091" s="19"/>
      <c r="E16091" s="23"/>
      <c r="L16091" s="23"/>
    </row>
    <row r="16092">
      <c r="B16092" s="19"/>
      <c r="E16092" s="23"/>
      <c r="L16092" s="23"/>
    </row>
    <row r="16093">
      <c r="B16093" s="19"/>
      <c r="E16093" s="23"/>
      <c r="L16093" s="23"/>
    </row>
    <row r="16094">
      <c r="B16094" s="19"/>
      <c r="E16094" s="23"/>
      <c r="L16094" s="23"/>
    </row>
    <row r="16095">
      <c r="B16095" s="19"/>
      <c r="E16095" s="23"/>
      <c r="L16095" s="23"/>
    </row>
    <row r="16096">
      <c r="B16096" s="19"/>
      <c r="E16096" s="23"/>
      <c r="L16096" s="23"/>
    </row>
    <row r="16097">
      <c r="B16097" s="19"/>
      <c r="E16097" s="23"/>
      <c r="L16097" s="23"/>
    </row>
    <row r="16098">
      <c r="B16098" s="19"/>
      <c r="E16098" s="23"/>
      <c r="L16098" s="23"/>
    </row>
    <row r="16099">
      <c r="B16099" s="19"/>
      <c r="E16099" s="23"/>
      <c r="L16099" s="23"/>
    </row>
    <row r="16100">
      <c r="B16100" s="19"/>
      <c r="E16100" s="23"/>
      <c r="L16100" s="23"/>
    </row>
    <row r="16101">
      <c r="B16101" s="19"/>
      <c r="E16101" s="23"/>
      <c r="L16101" s="23"/>
    </row>
    <row r="16102">
      <c r="B16102" s="19"/>
      <c r="E16102" s="23"/>
      <c r="L16102" s="23"/>
    </row>
    <row r="16103">
      <c r="B16103" s="19"/>
      <c r="E16103" s="23"/>
      <c r="L16103" s="23"/>
    </row>
    <row r="16104">
      <c r="B16104" s="19"/>
      <c r="E16104" s="23"/>
      <c r="L16104" s="23"/>
    </row>
    <row r="16105">
      <c r="B16105" s="19"/>
      <c r="E16105" s="23"/>
      <c r="L16105" s="23"/>
    </row>
    <row r="16106">
      <c r="B16106" s="19"/>
      <c r="E16106" s="23"/>
      <c r="L16106" s="23"/>
    </row>
    <row r="16107">
      <c r="B16107" s="19"/>
      <c r="E16107" s="23"/>
      <c r="L16107" s="23"/>
    </row>
    <row r="16108">
      <c r="B16108" s="19"/>
      <c r="E16108" s="23"/>
      <c r="L16108" s="23"/>
    </row>
    <row r="16109">
      <c r="B16109" s="19"/>
      <c r="E16109" s="23"/>
      <c r="L16109" s="23"/>
    </row>
    <row r="16110">
      <c r="B16110" s="19"/>
      <c r="E16110" s="23"/>
      <c r="L16110" s="23"/>
    </row>
    <row r="16111">
      <c r="B16111" s="19"/>
      <c r="E16111" s="23"/>
      <c r="L16111" s="23"/>
    </row>
    <row r="16112">
      <c r="B16112" s="19"/>
      <c r="E16112" s="23"/>
      <c r="L16112" s="23"/>
    </row>
    <row r="16113">
      <c r="B16113" s="19"/>
      <c r="E16113" s="23"/>
      <c r="L16113" s="23"/>
    </row>
    <row r="16114">
      <c r="B16114" s="19"/>
      <c r="E16114" s="23"/>
      <c r="L16114" s="23"/>
    </row>
    <row r="16115">
      <c r="B16115" s="19"/>
      <c r="E16115" s="23"/>
      <c r="L16115" s="23"/>
    </row>
    <row r="16116">
      <c r="B16116" s="19"/>
      <c r="E16116" s="23"/>
      <c r="L16116" s="23"/>
    </row>
    <row r="16117">
      <c r="B16117" s="19"/>
      <c r="E16117" s="23"/>
      <c r="L16117" s="23"/>
    </row>
    <row r="16118">
      <c r="B16118" s="19"/>
      <c r="E16118" s="23"/>
      <c r="L16118" s="23"/>
    </row>
    <row r="16119">
      <c r="B16119" s="19"/>
      <c r="E16119" s="23"/>
      <c r="L16119" s="23"/>
    </row>
    <row r="16120">
      <c r="B16120" s="19"/>
      <c r="E16120" s="23"/>
      <c r="L16120" s="23"/>
    </row>
    <row r="16121">
      <c r="B16121" s="19"/>
      <c r="E16121" s="23"/>
      <c r="L16121" s="23"/>
    </row>
    <row r="16122">
      <c r="B16122" s="19"/>
      <c r="E16122" s="23"/>
      <c r="L16122" s="23"/>
    </row>
    <row r="16123">
      <c r="B16123" s="19"/>
      <c r="E16123" s="23"/>
      <c r="L16123" s="23"/>
    </row>
    <row r="16124">
      <c r="B16124" s="19"/>
      <c r="E16124" s="23"/>
      <c r="L16124" s="23"/>
    </row>
    <row r="16125">
      <c r="B16125" s="19"/>
      <c r="E16125" s="23"/>
      <c r="L16125" s="23"/>
    </row>
    <row r="16126">
      <c r="B16126" s="19"/>
      <c r="E16126" s="23"/>
      <c r="L16126" s="23"/>
    </row>
    <row r="16127">
      <c r="B16127" s="19"/>
      <c r="E16127" s="23"/>
      <c r="L16127" s="23"/>
    </row>
    <row r="16128">
      <c r="B16128" s="19"/>
      <c r="E16128" s="23"/>
      <c r="L16128" s="23"/>
    </row>
    <row r="16129">
      <c r="B16129" s="19"/>
      <c r="E16129" s="23"/>
      <c r="L16129" s="23"/>
    </row>
    <row r="16130">
      <c r="B16130" s="19"/>
      <c r="E16130" s="23"/>
      <c r="L16130" s="23"/>
    </row>
    <row r="16131">
      <c r="B16131" s="19"/>
      <c r="E16131" s="23"/>
      <c r="L16131" s="23"/>
    </row>
    <row r="16132">
      <c r="B16132" s="19"/>
      <c r="E16132" s="23"/>
      <c r="L16132" s="23"/>
    </row>
    <row r="16133">
      <c r="B16133" s="19"/>
      <c r="E16133" s="23"/>
      <c r="L16133" s="23"/>
    </row>
    <row r="16134">
      <c r="B16134" s="19"/>
      <c r="E16134" s="23"/>
      <c r="L16134" s="23"/>
    </row>
    <row r="16135">
      <c r="B16135" s="19"/>
      <c r="E16135" s="23"/>
      <c r="L16135" s="23"/>
    </row>
    <row r="16136">
      <c r="B16136" s="19"/>
      <c r="E16136" s="23"/>
      <c r="L16136" s="23"/>
    </row>
    <row r="16137">
      <c r="B16137" s="19"/>
      <c r="E16137" s="23"/>
      <c r="L16137" s="23"/>
    </row>
    <row r="16138">
      <c r="B16138" s="19"/>
      <c r="E16138" s="23"/>
      <c r="L16138" s="23"/>
    </row>
    <row r="16139">
      <c r="B16139" s="19"/>
      <c r="E16139" s="23"/>
      <c r="L16139" s="23"/>
    </row>
    <row r="16140">
      <c r="B16140" s="19"/>
      <c r="E16140" s="23"/>
      <c r="L16140" s="23"/>
    </row>
    <row r="16141">
      <c r="B16141" s="19"/>
      <c r="E16141" s="23"/>
      <c r="L16141" s="23"/>
    </row>
    <row r="16142">
      <c r="B16142" s="19"/>
      <c r="E16142" s="23"/>
      <c r="L16142" s="23"/>
    </row>
    <row r="16143">
      <c r="B16143" s="19"/>
      <c r="E16143" s="23"/>
      <c r="L16143" s="23"/>
    </row>
    <row r="16144">
      <c r="B16144" s="19"/>
      <c r="E16144" s="23"/>
      <c r="L16144" s="23"/>
    </row>
    <row r="16145">
      <c r="B16145" s="19"/>
      <c r="E16145" s="23"/>
      <c r="L16145" s="23"/>
    </row>
    <row r="16146">
      <c r="B16146" s="19"/>
      <c r="E16146" s="23"/>
      <c r="L16146" s="23"/>
    </row>
    <row r="16147">
      <c r="B16147" s="19"/>
      <c r="E16147" s="23"/>
      <c r="L16147" s="23"/>
    </row>
    <row r="16148">
      <c r="B16148" s="19"/>
      <c r="E16148" s="23"/>
      <c r="L16148" s="23"/>
    </row>
    <row r="16149">
      <c r="B16149" s="19"/>
      <c r="E16149" s="23"/>
      <c r="L16149" s="23"/>
    </row>
    <row r="16150">
      <c r="B16150" s="19"/>
      <c r="E16150" s="23"/>
      <c r="L16150" s="23"/>
    </row>
    <row r="16151">
      <c r="B16151" s="19"/>
      <c r="E16151" s="23"/>
      <c r="L16151" s="23"/>
    </row>
    <row r="16152">
      <c r="B16152" s="19"/>
      <c r="E16152" s="23"/>
      <c r="L16152" s="23"/>
    </row>
    <row r="16153">
      <c r="B16153" s="19"/>
      <c r="E16153" s="23"/>
      <c r="L16153" s="23"/>
    </row>
    <row r="16154">
      <c r="B16154" s="19"/>
      <c r="E16154" s="23"/>
      <c r="L16154" s="23"/>
    </row>
    <row r="16155">
      <c r="B16155" s="19"/>
      <c r="E16155" s="23"/>
      <c r="L16155" s="23"/>
    </row>
    <row r="16156">
      <c r="B16156" s="19"/>
      <c r="E16156" s="23"/>
      <c r="L16156" s="23"/>
    </row>
    <row r="16157">
      <c r="B16157" s="19"/>
      <c r="E16157" s="23"/>
      <c r="L16157" s="23"/>
    </row>
    <row r="16158">
      <c r="B16158" s="19"/>
      <c r="E16158" s="23"/>
      <c r="L16158" s="23"/>
    </row>
    <row r="16159">
      <c r="B16159" s="19"/>
      <c r="E16159" s="23"/>
      <c r="L16159" s="23"/>
    </row>
    <row r="16160">
      <c r="B16160" s="19"/>
      <c r="E16160" s="23"/>
      <c r="L16160" s="23"/>
    </row>
    <row r="16161">
      <c r="B16161" s="19"/>
      <c r="E16161" s="23"/>
      <c r="L16161" s="23"/>
    </row>
    <row r="16162">
      <c r="B16162" s="19"/>
      <c r="E16162" s="23"/>
      <c r="L16162" s="23"/>
    </row>
    <row r="16163">
      <c r="B16163" s="19"/>
      <c r="E16163" s="23"/>
      <c r="L16163" s="23"/>
    </row>
    <row r="16164">
      <c r="B16164" s="19"/>
      <c r="E16164" s="23"/>
      <c r="L16164" s="23"/>
    </row>
    <row r="16165">
      <c r="B16165" s="19"/>
      <c r="E16165" s="23"/>
      <c r="L16165" s="23"/>
    </row>
    <row r="16166">
      <c r="B16166" s="19"/>
      <c r="E16166" s="23"/>
      <c r="L16166" s="23"/>
    </row>
    <row r="16167">
      <c r="B16167" s="19"/>
      <c r="E16167" s="23"/>
      <c r="L16167" s="23"/>
    </row>
    <row r="16168">
      <c r="B16168" s="19"/>
      <c r="E16168" s="23"/>
      <c r="L16168" s="23"/>
    </row>
    <row r="16169">
      <c r="B16169" s="19"/>
      <c r="E16169" s="23"/>
      <c r="L16169" s="23"/>
    </row>
    <row r="16170">
      <c r="B16170" s="19"/>
      <c r="E16170" s="23"/>
      <c r="L16170" s="23"/>
    </row>
    <row r="16171">
      <c r="B16171" s="19"/>
      <c r="E16171" s="23"/>
      <c r="L16171" s="23"/>
    </row>
    <row r="16172">
      <c r="B16172" s="19"/>
      <c r="E16172" s="23"/>
      <c r="L16172" s="23"/>
    </row>
    <row r="16173">
      <c r="B16173" s="19"/>
      <c r="E16173" s="23"/>
      <c r="L16173" s="23"/>
    </row>
    <row r="16174">
      <c r="B16174" s="19"/>
      <c r="E16174" s="23"/>
      <c r="L16174" s="23"/>
    </row>
    <row r="16175">
      <c r="B16175" s="19"/>
      <c r="E16175" s="23"/>
      <c r="L16175" s="23"/>
    </row>
    <row r="16176">
      <c r="B16176" s="19"/>
      <c r="E16176" s="23"/>
      <c r="L16176" s="23"/>
    </row>
    <row r="16177">
      <c r="B16177" s="19"/>
      <c r="E16177" s="23"/>
      <c r="L16177" s="23"/>
    </row>
    <row r="16178">
      <c r="B16178" s="19"/>
      <c r="E16178" s="23"/>
      <c r="L16178" s="23"/>
    </row>
    <row r="16179">
      <c r="B16179" s="19"/>
      <c r="E16179" s="23"/>
      <c r="L16179" s="23"/>
    </row>
    <row r="16180">
      <c r="B16180" s="19"/>
      <c r="E16180" s="23"/>
      <c r="L16180" s="23"/>
    </row>
    <row r="16181">
      <c r="B16181" s="19"/>
      <c r="E16181" s="23"/>
      <c r="L16181" s="23"/>
    </row>
    <row r="16182">
      <c r="B16182" s="19"/>
      <c r="E16182" s="23"/>
      <c r="L16182" s="23"/>
    </row>
    <row r="16183">
      <c r="B16183" s="19"/>
      <c r="E16183" s="23"/>
      <c r="L16183" s="23"/>
    </row>
    <row r="16184">
      <c r="B16184" s="19"/>
      <c r="E16184" s="23"/>
      <c r="L16184" s="23"/>
    </row>
    <row r="16185">
      <c r="B16185" s="19"/>
      <c r="E16185" s="23"/>
      <c r="L16185" s="23"/>
    </row>
    <row r="16186">
      <c r="B16186" s="19"/>
      <c r="E16186" s="23"/>
      <c r="L16186" s="23"/>
    </row>
    <row r="16187">
      <c r="B16187" s="19"/>
      <c r="E16187" s="23"/>
      <c r="L16187" s="23"/>
    </row>
    <row r="16188">
      <c r="B16188" s="19"/>
      <c r="E16188" s="23"/>
      <c r="L16188" s="23"/>
    </row>
    <row r="16189">
      <c r="B16189" s="19"/>
      <c r="E16189" s="23"/>
      <c r="L16189" s="23"/>
    </row>
    <row r="16190">
      <c r="B16190" s="19"/>
      <c r="E16190" s="23"/>
      <c r="L16190" s="23"/>
    </row>
    <row r="16191">
      <c r="B16191" s="19"/>
      <c r="E16191" s="23"/>
      <c r="L16191" s="23"/>
    </row>
    <row r="16192">
      <c r="B16192" s="19"/>
      <c r="E16192" s="23"/>
      <c r="L16192" s="23"/>
    </row>
    <row r="16193">
      <c r="B16193" s="19"/>
      <c r="E16193" s="23"/>
      <c r="L16193" s="23"/>
    </row>
    <row r="16194">
      <c r="B16194" s="19"/>
      <c r="E16194" s="23"/>
      <c r="L16194" s="23"/>
    </row>
    <row r="16195">
      <c r="B16195" s="19"/>
      <c r="E16195" s="23"/>
      <c r="L16195" s="23"/>
    </row>
    <row r="16196">
      <c r="B16196" s="19"/>
      <c r="E16196" s="23"/>
      <c r="L16196" s="23"/>
    </row>
    <row r="16197">
      <c r="B16197" s="19"/>
      <c r="E16197" s="23"/>
      <c r="L16197" s="23"/>
    </row>
    <row r="16198">
      <c r="B16198" s="19"/>
      <c r="E16198" s="23"/>
      <c r="L16198" s="23"/>
    </row>
    <row r="16199">
      <c r="B16199" s="19"/>
      <c r="E16199" s="23"/>
      <c r="L16199" s="23"/>
    </row>
    <row r="16200">
      <c r="B16200" s="19"/>
      <c r="E16200" s="23"/>
      <c r="L16200" s="23"/>
    </row>
    <row r="16201">
      <c r="B16201" s="19"/>
      <c r="E16201" s="23"/>
      <c r="L16201" s="23"/>
    </row>
    <row r="16202">
      <c r="B16202" s="19"/>
      <c r="E16202" s="23"/>
      <c r="L16202" s="23"/>
    </row>
    <row r="16203">
      <c r="B16203" s="19"/>
      <c r="E16203" s="23"/>
      <c r="L16203" s="23"/>
    </row>
    <row r="16204">
      <c r="B16204" s="19"/>
      <c r="E16204" s="23"/>
      <c r="L16204" s="23"/>
    </row>
    <row r="16205">
      <c r="B16205" s="19"/>
      <c r="E16205" s="23"/>
      <c r="L16205" s="23"/>
    </row>
    <row r="16206">
      <c r="B16206" s="19"/>
      <c r="E16206" s="23"/>
      <c r="L16206" s="23"/>
    </row>
    <row r="16207">
      <c r="B16207" s="19"/>
      <c r="E16207" s="23"/>
      <c r="L16207" s="23"/>
    </row>
    <row r="16208">
      <c r="B16208" s="19"/>
      <c r="E16208" s="23"/>
      <c r="L16208" s="23"/>
    </row>
    <row r="16209">
      <c r="B16209" s="19"/>
      <c r="E16209" s="23"/>
      <c r="L16209" s="23"/>
    </row>
    <row r="16210">
      <c r="B16210" s="19"/>
      <c r="E16210" s="23"/>
      <c r="L16210" s="23"/>
    </row>
    <row r="16211">
      <c r="B16211" s="19"/>
      <c r="E16211" s="23"/>
      <c r="L16211" s="23"/>
    </row>
    <row r="16212">
      <c r="B16212" s="19"/>
      <c r="E16212" s="23"/>
      <c r="L16212" s="23"/>
    </row>
    <row r="16213">
      <c r="B16213" s="19"/>
      <c r="E16213" s="23"/>
      <c r="L16213" s="23"/>
    </row>
    <row r="16214">
      <c r="B16214" s="19"/>
      <c r="E16214" s="23"/>
      <c r="L16214" s="23"/>
    </row>
    <row r="16215">
      <c r="B16215" s="19"/>
      <c r="E16215" s="23"/>
      <c r="L16215" s="23"/>
    </row>
    <row r="16216">
      <c r="B16216" s="19"/>
      <c r="E16216" s="23"/>
      <c r="L16216" s="23"/>
    </row>
    <row r="16217">
      <c r="B16217" s="19"/>
      <c r="E16217" s="23"/>
      <c r="L16217" s="23"/>
    </row>
    <row r="16218">
      <c r="B16218" s="19"/>
      <c r="E16218" s="23"/>
      <c r="L16218" s="23"/>
    </row>
    <row r="16219">
      <c r="B16219" s="19"/>
      <c r="E16219" s="23"/>
      <c r="L16219" s="23"/>
    </row>
    <row r="16220">
      <c r="B16220" s="19"/>
      <c r="E16220" s="23"/>
      <c r="L16220" s="23"/>
    </row>
    <row r="16221">
      <c r="B16221" s="19"/>
      <c r="E16221" s="23"/>
      <c r="L16221" s="23"/>
    </row>
    <row r="16222">
      <c r="B16222" s="19"/>
      <c r="E16222" s="23"/>
      <c r="L16222" s="23"/>
    </row>
    <row r="16223">
      <c r="B16223" s="19"/>
      <c r="E16223" s="23"/>
      <c r="L16223" s="23"/>
    </row>
    <row r="16224">
      <c r="B16224" s="19"/>
      <c r="E16224" s="23"/>
      <c r="L16224" s="23"/>
    </row>
    <row r="16225">
      <c r="B16225" s="19"/>
      <c r="E16225" s="23"/>
      <c r="L16225" s="23"/>
    </row>
    <row r="16226">
      <c r="B16226" s="19"/>
      <c r="E16226" s="23"/>
      <c r="L16226" s="23"/>
    </row>
    <row r="16227">
      <c r="B16227" s="19"/>
      <c r="E16227" s="23"/>
      <c r="L16227" s="23"/>
    </row>
    <row r="16228">
      <c r="B16228" s="19"/>
      <c r="E16228" s="23"/>
      <c r="L16228" s="23"/>
    </row>
    <row r="16229">
      <c r="B16229" s="19"/>
      <c r="E16229" s="23"/>
      <c r="L16229" s="23"/>
    </row>
    <row r="16230">
      <c r="B16230" s="19"/>
      <c r="E16230" s="23"/>
      <c r="L16230" s="23"/>
    </row>
    <row r="16231">
      <c r="B16231" s="19"/>
      <c r="E16231" s="23"/>
      <c r="L16231" s="23"/>
    </row>
    <row r="16232">
      <c r="B16232" s="19"/>
      <c r="E16232" s="23"/>
      <c r="L16232" s="23"/>
    </row>
    <row r="16233">
      <c r="B16233" s="19"/>
      <c r="E16233" s="23"/>
      <c r="L16233" s="23"/>
    </row>
    <row r="16234">
      <c r="B16234" s="19"/>
      <c r="E16234" s="23"/>
      <c r="L16234" s="23"/>
    </row>
    <row r="16235">
      <c r="B16235" s="19"/>
      <c r="E16235" s="23"/>
      <c r="L16235" s="23"/>
    </row>
    <row r="16236">
      <c r="B16236" s="19"/>
      <c r="E16236" s="23"/>
      <c r="L16236" s="23"/>
    </row>
    <row r="16237">
      <c r="B16237" s="19"/>
      <c r="E16237" s="23"/>
      <c r="L16237" s="23"/>
    </row>
    <row r="16238">
      <c r="B16238" s="19"/>
      <c r="E16238" s="23"/>
      <c r="L16238" s="23"/>
    </row>
    <row r="16239">
      <c r="B16239" s="19"/>
      <c r="E16239" s="23"/>
      <c r="L16239" s="23"/>
    </row>
    <row r="16240">
      <c r="B16240" s="19"/>
      <c r="E16240" s="23"/>
      <c r="L16240" s="23"/>
    </row>
    <row r="16241">
      <c r="B16241" s="19"/>
      <c r="E16241" s="23"/>
      <c r="L16241" s="23"/>
    </row>
    <row r="16242">
      <c r="B16242" s="19"/>
      <c r="E16242" s="23"/>
      <c r="L16242" s="23"/>
    </row>
    <row r="16243">
      <c r="B16243" s="19"/>
      <c r="E16243" s="23"/>
      <c r="L16243" s="23"/>
    </row>
    <row r="16244">
      <c r="B16244" s="19"/>
      <c r="E16244" s="23"/>
      <c r="L16244" s="23"/>
    </row>
    <row r="16245">
      <c r="B16245" s="19"/>
      <c r="E16245" s="23"/>
      <c r="L16245" s="23"/>
    </row>
    <row r="16246">
      <c r="B16246" s="19"/>
      <c r="E16246" s="23"/>
      <c r="L16246" s="23"/>
    </row>
    <row r="16247">
      <c r="B16247" s="19"/>
      <c r="E16247" s="23"/>
      <c r="L16247" s="23"/>
    </row>
    <row r="16248">
      <c r="B16248" s="19"/>
      <c r="E16248" s="23"/>
      <c r="L16248" s="23"/>
    </row>
    <row r="16249">
      <c r="B16249" s="19"/>
      <c r="E16249" s="23"/>
      <c r="L16249" s="23"/>
    </row>
    <row r="16250">
      <c r="B16250" s="19"/>
      <c r="E16250" s="23"/>
      <c r="L16250" s="23"/>
    </row>
    <row r="16251">
      <c r="B16251" s="19"/>
      <c r="E16251" s="23"/>
      <c r="L16251" s="23"/>
    </row>
    <row r="16252">
      <c r="B16252" s="19"/>
      <c r="E16252" s="23"/>
      <c r="L16252" s="23"/>
    </row>
    <row r="16253">
      <c r="B16253" s="19"/>
      <c r="E16253" s="23"/>
      <c r="L16253" s="23"/>
    </row>
    <row r="16254">
      <c r="B16254" s="19"/>
      <c r="E16254" s="23"/>
      <c r="L16254" s="23"/>
    </row>
    <row r="16255">
      <c r="B16255" s="19"/>
      <c r="E16255" s="23"/>
      <c r="L16255" s="23"/>
    </row>
    <row r="16256">
      <c r="B16256" s="19"/>
      <c r="E16256" s="23"/>
      <c r="L16256" s="23"/>
    </row>
    <row r="16257">
      <c r="B16257" s="19"/>
      <c r="E16257" s="23"/>
      <c r="L16257" s="23"/>
    </row>
    <row r="16258">
      <c r="B16258" s="19"/>
      <c r="E16258" s="23"/>
      <c r="L16258" s="23"/>
    </row>
    <row r="16259">
      <c r="B16259" s="19"/>
      <c r="E16259" s="23"/>
      <c r="L16259" s="23"/>
    </row>
    <row r="16260">
      <c r="B16260" s="19"/>
      <c r="E16260" s="23"/>
      <c r="L16260" s="23"/>
    </row>
    <row r="16261">
      <c r="B16261" s="19"/>
      <c r="E16261" s="23"/>
      <c r="L16261" s="23"/>
    </row>
    <row r="16262">
      <c r="B16262" s="19"/>
      <c r="E16262" s="23"/>
      <c r="L16262" s="23"/>
    </row>
    <row r="16263">
      <c r="B16263" s="19"/>
      <c r="E16263" s="23"/>
      <c r="L16263" s="23"/>
    </row>
    <row r="16264">
      <c r="B16264" s="19"/>
      <c r="E16264" s="23"/>
      <c r="L16264" s="23"/>
    </row>
    <row r="16265">
      <c r="B16265" s="19"/>
      <c r="E16265" s="23"/>
      <c r="L16265" s="23"/>
    </row>
    <row r="16266">
      <c r="B16266" s="19"/>
      <c r="E16266" s="23"/>
      <c r="L16266" s="23"/>
    </row>
    <row r="16267">
      <c r="B16267" s="19"/>
      <c r="E16267" s="23"/>
      <c r="L16267" s="23"/>
    </row>
    <row r="16268">
      <c r="B16268" s="19"/>
      <c r="E16268" s="23"/>
      <c r="L16268" s="23"/>
    </row>
    <row r="16269">
      <c r="B16269" s="19"/>
      <c r="E16269" s="23"/>
      <c r="L16269" s="23"/>
    </row>
    <row r="16270">
      <c r="B16270" s="19"/>
      <c r="E16270" s="23"/>
      <c r="L16270" s="23"/>
    </row>
    <row r="16271">
      <c r="B16271" s="19"/>
      <c r="E16271" s="23"/>
      <c r="L16271" s="23"/>
    </row>
    <row r="16272">
      <c r="B16272" s="19"/>
      <c r="E16272" s="23"/>
      <c r="L16272" s="23"/>
    </row>
    <row r="16273">
      <c r="B16273" s="19"/>
      <c r="E16273" s="23"/>
      <c r="L16273" s="23"/>
    </row>
    <row r="16274">
      <c r="B16274" s="19"/>
      <c r="E16274" s="23"/>
      <c r="L16274" s="23"/>
    </row>
    <row r="16275">
      <c r="B16275" s="19"/>
      <c r="E16275" s="23"/>
      <c r="L16275" s="23"/>
    </row>
    <row r="16276">
      <c r="B16276" s="19"/>
      <c r="E16276" s="23"/>
      <c r="L16276" s="23"/>
    </row>
    <row r="16277">
      <c r="B16277" s="19"/>
      <c r="E16277" s="23"/>
      <c r="L16277" s="23"/>
    </row>
    <row r="16278">
      <c r="B16278" s="19"/>
      <c r="E16278" s="23"/>
      <c r="L16278" s="23"/>
    </row>
    <row r="16279">
      <c r="B16279" s="19"/>
      <c r="E16279" s="23"/>
      <c r="L16279" s="23"/>
    </row>
    <row r="16280">
      <c r="B16280" s="19"/>
      <c r="E16280" s="23"/>
      <c r="L16280" s="23"/>
    </row>
    <row r="16281">
      <c r="B16281" s="19"/>
      <c r="E16281" s="23"/>
      <c r="L16281" s="23"/>
    </row>
    <row r="16282">
      <c r="B16282" s="19"/>
      <c r="E16282" s="23"/>
      <c r="L16282" s="23"/>
    </row>
    <row r="16283">
      <c r="B16283" s="19"/>
      <c r="E16283" s="23"/>
      <c r="L16283" s="23"/>
    </row>
    <row r="16284">
      <c r="B16284" s="19"/>
      <c r="E16284" s="23"/>
      <c r="L16284" s="23"/>
    </row>
    <row r="16285">
      <c r="B16285" s="19"/>
      <c r="E16285" s="23"/>
      <c r="L16285" s="23"/>
    </row>
    <row r="16286">
      <c r="B16286" s="19"/>
      <c r="E16286" s="23"/>
      <c r="L16286" s="23"/>
    </row>
    <row r="16287">
      <c r="B16287" s="19"/>
      <c r="E16287" s="23"/>
      <c r="L16287" s="23"/>
    </row>
    <row r="16288">
      <c r="B16288" s="19"/>
      <c r="E16288" s="23"/>
      <c r="L16288" s="23"/>
    </row>
    <row r="16289">
      <c r="B16289" s="19"/>
      <c r="E16289" s="23"/>
      <c r="L16289" s="23"/>
    </row>
    <row r="16290">
      <c r="B16290" s="19"/>
      <c r="E16290" s="23"/>
      <c r="L16290" s="23"/>
    </row>
    <row r="16291">
      <c r="B16291" s="19"/>
      <c r="E16291" s="23"/>
      <c r="L16291" s="23"/>
    </row>
    <row r="16292">
      <c r="B16292" s="19"/>
      <c r="E16292" s="23"/>
      <c r="L16292" s="23"/>
    </row>
    <row r="16293">
      <c r="B16293" s="19"/>
      <c r="E16293" s="23"/>
      <c r="L16293" s="23"/>
    </row>
    <row r="16294">
      <c r="B16294" s="19"/>
      <c r="E16294" s="23"/>
      <c r="L16294" s="23"/>
    </row>
    <row r="16295">
      <c r="B16295" s="19"/>
      <c r="E16295" s="23"/>
      <c r="L16295" s="23"/>
    </row>
    <row r="16296">
      <c r="B16296" s="19"/>
      <c r="E16296" s="23"/>
      <c r="L16296" s="23"/>
    </row>
    <row r="16297">
      <c r="B16297" s="19"/>
      <c r="E16297" s="23"/>
      <c r="L16297" s="23"/>
    </row>
    <row r="16298">
      <c r="B16298" s="19"/>
      <c r="E16298" s="23"/>
      <c r="L16298" s="23"/>
    </row>
    <row r="16299">
      <c r="B16299" s="19"/>
      <c r="E16299" s="23"/>
      <c r="L16299" s="23"/>
    </row>
    <row r="16300">
      <c r="B16300" s="19"/>
      <c r="E16300" s="23"/>
      <c r="L16300" s="23"/>
    </row>
    <row r="16301">
      <c r="B16301" s="19"/>
      <c r="E16301" s="23"/>
      <c r="L16301" s="23"/>
    </row>
    <row r="16302">
      <c r="B16302" s="19"/>
      <c r="E16302" s="23"/>
      <c r="L16302" s="23"/>
    </row>
    <row r="16303">
      <c r="B16303" s="19"/>
      <c r="E16303" s="23"/>
      <c r="L16303" s="23"/>
    </row>
    <row r="16304">
      <c r="B16304" s="19"/>
      <c r="E16304" s="23"/>
      <c r="L16304" s="23"/>
    </row>
    <row r="16305">
      <c r="B16305" s="19"/>
      <c r="E16305" s="23"/>
      <c r="L16305" s="23"/>
    </row>
    <row r="16306">
      <c r="B16306" s="19"/>
      <c r="E16306" s="23"/>
      <c r="L16306" s="23"/>
    </row>
    <row r="16307">
      <c r="B16307" s="19"/>
      <c r="E16307" s="23"/>
      <c r="L16307" s="23"/>
    </row>
    <row r="16308">
      <c r="B16308" s="19"/>
      <c r="E16308" s="23"/>
      <c r="L16308" s="23"/>
    </row>
    <row r="16309">
      <c r="B16309" s="19"/>
      <c r="E16309" s="23"/>
      <c r="L16309" s="23"/>
    </row>
    <row r="16310">
      <c r="B16310" s="19"/>
      <c r="E16310" s="23"/>
      <c r="L16310" s="23"/>
    </row>
    <row r="16311">
      <c r="B16311" s="19"/>
      <c r="E16311" s="23"/>
      <c r="L16311" s="23"/>
    </row>
    <row r="16312">
      <c r="B16312" s="19"/>
      <c r="E16312" s="23"/>
      <c r="L16312" s="23"/>
    </row>
    <row r="16313">
      <c r="B16313" s="19"/>
      <c r="E16313" s="23"/>
      <c r="L16313" s="23"/>
    </row>
    <row r="16314">
      <c r="B16314" s="19"/>
      <c r="E16314" s="23"/>
      <c r="L16314" s="23"/>
    </row>
    <row r="16315">
      <c r="B16315" s="19"/>
      <c r="E16315" s="23"/>
      <c r="L16315" s="23"/>
    </row>
    <row r="16316">
      <c r="B16316" s="19"/>
      <c r="E16316" s="23"/>
      <c r="L16316" s="23"/>
    </row>
    <row r="16317">
      <c r="B16317" s="19"/>
      <c r="E16317" s="23"/>
      <c r="L16317" s="23"/>
    </row>
    <row r="16318">
      <c r="B16318" s="19"/>
      <c r="E16318" s="23"/>
      <c r="L16318" s="23"/>
    </row>
    <row r="16319">
      <c r="B16319" s="19"/>
      <c r="E16319" s="23"/>
      <c r="L16319" s="23"/>
    </row>
    <row r="16320">
      <c r="B16320" s="19"/>
      <c r="E16320" s="23"/>
      <c r="L16320" s="23"/>
    </row>
    <row r="16321">
      <c r="B16321" s="19"/>
      <c r="E16321" s="23"/>
      <c r="L16321" s="23"/>
    </row>
    <row r="16322">
      <c r="B16322" s="19"/>
      <c r="E16322" s="23"/>
      <c r="L16322" s="23"/>
    </row>
    <row r="16323">
      <c r="B16323" s="19"/>
      <c r="E16323" s="23"/>
      <c r="L16323" s="23"/>
    </row>
    <row r="16324">
      <c r="B16324" s="19"/>
      <c r="E16324" s="23"/>
      <c r="L16324" s="23"/>
    </row>
    <row r="16325">
      <c r="B16325" s="19"/>
      <c r="E16325" s="23"/>
      <c r="L16325" s="23"/>
    </row>
    <row r="16326">
      <c r="B16326" s="19"/>
      <c r="E16326" s="23"/>
      <c r="L16326" s="23"/>
    </row>
    <row r="16327">
      <c r="B16327" s="19"/>
      <c r="E16327" s="23"/>
      <c r="L16327" s="23"/>
    </row>
    <row r="16328">
      <c r="B16328" s="19"/>
      <c r="E16328" s="23"/>
      <c r="L16328" s="23"/>
    </row>
    <row r="16329">
      <c r="B16329" s="19"/>
      <c r="E16329" s="23"/>
      <c r="L16329" s="23"/>
    </row>
    <row r="16330">
      <c r="B16330" s="19"/>
      <c r="E16330" s="23"/>
      <c r="L16330" s="23"/>
    </row>
    <row r="16331">
      <c r="B16331" s="19"/>
      <c r="E16331" s="23"/>
      <c r="L16331" s="23"/>
    </row>
    <row r="16332">
      <c r="B16332" s="19"/>
      <c r="E16332" s="23"/>
      <c r="L16332" s="23"/>
    </row>
    <row r="16333">
      <c r="B16333" s="19"/>
      <c r="E16333" s="23"/>
      <c r="L16333" s="23"/>
    </row>
    <row r="16334">
      <c r="B16334" s="19"/>
      <c r="E16334" s="23"/>
      <c r="L16334" s="23"/>
    </row>
    <row r="16335">
      <c r="B16335" s="19"/>
      <c r="E16335" s="23"/>
      <c r="L16335" s="23"/>
    </row>
    <row r="16336">
      <c r="B16336" s="19"/>
      <c r="E16336" s="23"/>
      <c r="L16336" s="23"/>
    </row>
    <row r="16337">
      <c r="B16337" s="19"/>
      <c r="E16337" s="23"/>
      <c r="L16337" s="23"/>
    </row>
    <row r="16338">
      <c r="B16338" s="19"/>
      <c r="E16338" s="23"/>
      <c r="L16338" s="23"/>
    </row>
    <row r="16339">
      <c r="B16339" s="19"/>
      <c r="E16339" s="23"/>
      <c r="L16339" s="23"/>
    </row>
    <row r="16340">
      <c r="B16340" s="19"/>
      <c r="E16340" s="23"/>
      <c r="L16340" s="23"/>
    </row>
    <row r="16341">
      <c r="B16341" s="19"/>
      <c r="E16341" s="23"/>
      <c r="L16341" s="23"/>
    </row>
    <row r="16342">
      <c r="B16342" s="19"/>
      <c r="E16342" s="23"/>
      <c r="L16342" s="23"/>
    </row>
    <row r="16343">
      <c r="B16343" s="19"/>
      <c r="E16343" s="23"/>
      <c r="L16343" s="23"/>
    </row>
    <row r="16344">
      <c r="B16344" s="19"/>
      <c r="E16344" s="23"/>
      <c r="L16344" s="23"/>
    </row>
    <row r="16345">
      <c r="B16345" s="19"/>
      <c r="E16345" s="23"/>
      <c r="L16345" s="23"/>
    </row>
    <row r="16346">
      <c r="B16346" s="19"/>
      <c r="E16346" s="23"/>
      <c r="L16346" s="23"/>
    </row>
    <row r="16347">
      <c r="B16347" s="19"/>
      <c r="E16347" s="23"/>
      <c r="L16347" s="23"/>
    </row>
    <row r="16348">
      <c r="B16348" s="19"/>
      <c r="E16348" s="23"/>
      <c r="L16348" s="23"/>
    </row>
    <row r="16349">
      <c r="B16349" s="19"/>
      <c r="E16349" s="23"/>
      <c r="L16349" s="23"/>
    </row>
    <row r="16350">
      <c r="B16350" s="19"/>
      <c r="E16350" s="23"/>
      <c r="L16350" s="23"/>
    </row>
    <row r="16351">
      <c r="B16351" s="19"/>
      <c r="E16351" s="23"/>
      <c r="L16351" s="23"/>
    </row>
    <row r="16352">
      <c r="B16352" s="19"/>
      <c r="E16352" s="23"/>
      <c r="L16352" s="23"/>
    </row>
    <row r="16353">
      <c r="B16353" s="19"/>
      <c r="E16353" s="23"/>
      <c r="L16353" s="23"/>
    </row>
    <row r="16354">
      <c r="B16354" s="19"/>
      <c r="E16354" s="23"/>
      <c r="L16354" s="23"/>
    </row>
    <row r="16355">
      <c r="B16355" s="19"/>
      <c r="E16355" s="23"/>
      <c r="L16355" s="23"/>
    </row>
    <row r="16356">
      <c r="B16356" s="19"/>
      <c r="E16356" s="23"/>
      <c r="L16356" s="23"/>
    </row>
    <row r="16357">
      <c r="B16357" s="19"/>
      <c r="E16357" s="23"/>
      <c r="L16357" s="23"/>
    </row>
    <row r="16358">
      <c r="B16358" s="19"/>
      <c r="E16358" s="23"/>
      <c r="L16358" s="23"/>
    </row>
    <row r="16359">
      <c r="B16359" s="19"/>
      <c r="E16359" s="23"/>
      <c r="L16359" s="23"/>
    </row>
    <row r="16360">
      <c r="B16360" s="19"/>
      <c r="E16360" s="23"/>
      <c r="L16360" s="23"/>
    </row>
    <row r="16361">
      <c r="B16361" s="19"/>
      <c r="E16361" s="23"/>
      <c r="L16361" s="23"/>
    </row>
    <row r="16362">
      <c r="B16362" s="19"/>
      <c r="E16362" s="23"/>
      <c r="L16362" s="23"/>
    </row>
    <row r="16363">
      <c r="B16363" s="19"/>
      <c r="E16363" s="23"/>
      <c r="L16363" s="23"/>
    </row>
    <row r="16364">
      <c r="B16364" s="19"/>
      <c r="E16364" s="23"/>
      <c r="L16364" s="23"/>
    </row>
    <row r="16365">
      <c r="B16365" s="19"/>
      <c r="E16365" s="23"/>
      <c r="L16365" s="23"/>
    </row>
    <row r="16366">
      <c r="B16366" s="19"/>
      <c r="E16366" s="23"/>
      <c r="L16366" s="23"/>
    </row>
    <row r="16367">
      <c r="B16367" s="19"/>
      <c r="E16367" s="23"/>
      <c r="L16367" s="23"/>
    </row>
    <row r="16368">
      <c r="B16368" s="19"/>
      <c r="E16368" s="23"/>
      <c r="L16368" s="23"/>
    </row>
    <row r="16369">
      <c r="B16369" s="19"/>
      <c r="E16369" s="23"/>
      <c r="L16369" s="23"/>
    </row>
    <row r="16370">
      <c r="B16370" s="19"/>
      <c r="E16370" s="23"/>
      <c r="L16370" s="23"/>
    </row>
    <row r="16371">
      <c r="B16371" s="19"/>
      <c r="E16371" s="23"/>
      <c r="L16371" s="23"/>
    </row>
    <row r="16372">
      <c r="B16372" s="19"/>
      <c r="E16372" s="23"/>
      <c r="L16372" s="23"/>
    </row>
    <row r="16373">
      <c r="B16373" s="19"/>
      <c r="E16373" s="23"/>
      <c r="L16373" s="23"/>
    </row>
    <row r="16374">
      <c r="B16374" s="19"/>
      <c r="E16374" s="23"/>
      <c r="L16374" s="23"/>
    </row>
    <row r="16375">
      <c r="B16375" s="19"/>
      <c r="E16375" s="23"/>
      <c r="L16375" s="23"/>
    </row>
    <row r="16376">
      <c r="B16376" s="19"/>
      <c r="E16376" s="23"/>
      <c r="L16376" s="23"/>
    </row>
    <row r="16377">
      <c r="B16377" s="19"/>
      <c r="E16377" s="23"/>
      <c r="L16377" s="23"/>
    </row>
    <row r="16378">
      <c r="B16378" s="19"/>
      <c r="E16378" s="23"/>
      <c r="L16378" s="23"/>
    </row>
    <row r="16379">
      <c r="B16379" s="19"/>
      <c r="E16379" s="23"/>
      <c r="L16379" s="23"/>
    </row>
    <row r="16380">
      <c r="B16380" s="19"/>
      <c r="E16380" s="23"/>
      <c r="L16380" s="23"/>
    </row>
    <row r="16381">
      <c r="B16381" s="19"/>
      <c r="E16381" s="23"/>
      <c r="L16381" s="23"/>
    </row>
    <row r="16382">
      <c r="B16382" s="19"/>
      <c r="E16382" s="23"/>
      <c r="L16382" s="23"/>
    </row>
    <row r="16383">
      <c r="B16383" s="19"/>
      <c r="E16383" s="23"/>
      <c r="L16383" s="23"/>
    </row>
    <row r="16384">
      <c r="B16384" s="19"/>
      <c r="E16384" s="23"/>
      <c r="L16384" s="23"/>
    </row>
    <row r="16385">
      <c r="B16385" s="19"/>
      <c r="E16385" s="23"/>
      <c r="L16385" s="23"/>
    </row>
    <row r="16386">
      <c r="B16386" s="19"/>
      <c r="E16386" s="23"/>
      <c r="L16386" s="23"/>
    </row>
    <row r="16387">
      <c r="B16387" s="19"/>
      <c r="E16387" s="23"/>
      <c r="L16387" s="23"/>
    </row>
    <row r="16388">
      <c r="B16388" s="19"/>
      <c r="E16388" s="23"/>
      <c r="L16388" s="23"/>
    </row>
    <row r="16389">
      <c r="B16389" s="19"/>
      <c r="E16389" s="23"/>
      <c r="L16389" s="23"/>
    </row>
    <row r="16390">
      <c r="B16390" s="19"/>
      <c r="E16390" s="23"/>
      <c r="L16390" s="23"/>
    </row>
    <row r="16391">
      <c r="B16391" s="19"/>
      <c r="E16391" s="23"/>
      <c r="L16391" s="23"/>
    </row>
    <row r="16392">
      <c r="B16392" s="19"/>
      <c r="E16392" s="23"/>
      <c r="L16392" s="23"/>
    </row>
    <row r="16393">
      <c r="B16393" s="19"/>
      <c r="E16393" s="23"/>
      <c r="L16393" s="23"/>
    </row>
    <row r="16394">
      <c r="B16394" s="19"/>
      <c r="E16394" s="23"/>
      <c r="L16394" s="23"/>
    </row>
    <row r="16395">
      <c r="B16395" s="19"/>
      <c r="E16395" s="23"/>
      <c r="L16395" s="23"/>
    </row>
    <row r="16396">
      <c r="B16396" s="19"/>
      <c r="E16396" s="23"/>
      <c r="L16396" s="23"/>
    </row>
    <row r="16397">
      <c r="B16397" s="19"/>
      <c r="E16397" s="23"/>
      <c r="L16397" s="23"/>
    </row>
    <row r="16398">
      <c r="B16398" s="19"/>
      <c r="E16398" s="23"/>
      <c r="L16398" s="23"/>
    </row>
    <row r="16399">
      <c r="B16399" s="19"/>
      <c r="E16399" s="23"/>
      <c r="L16399" s="23"/>
    </row>
    <row r="16400">
      <c r="B16400" s="19"/>
      <c r="E16400" s="23"/>
      <c r="L16400" s="23"/>
    </row>
    <row r="16401">
      <c r="B16401" s="19"/>
      <c r="E16401" s="23"/>
      <c r="L16401" s="23"/>
    </row>
    <row r="16402">
      <c r="B16402" s="19"/>
      <c r="E16402" s="23"/>
      <c r="L16402" s="23"/>
    </row>
    <row r="16403">
      <c r="B16403" s="19"/>
      <c r="E16403" s="23"/>
      <c r="L16403" s="23"/>
    </row>
    <row r="16404">
      <c r="B16404" s="19"/>
      <c r="E16404" s="23"/>
      <c r="L16404" s="23"/>
    </row>
    <row r="16405">
      <c r="B16405" s="19"/>
      <c r="E16405" s="23"/>
      <c r="L16405" s="23"/>
    </row>
    <row r="16406">
      <c r="B16406" s="19"/>
      <c r="E16406" s="23"/>
      <c r="L16406" s="23"/>
    </row>
    <row r="16407">
      <c r="B16407" s="19"/>
      <c r="E16407" s="23"/>
      <c r="L16407" s="23"/>
    </row>
    <row r="16408">
      <c r="B16408" s="19"/>
      <c r="E16408" s="23"/>
      <c r="L16408" s="23"/>
    </row>
    <row r="16409">
      <c r="B16409" s="19"/>
      <c r="E16409" s="23"/>
      <c r="L16409" s="23"/>
    </row>
    <row r="16410">
      <c r="B16410" s="19"/>
      <c r="E16410" s="23"/>
      <c r="L16410" s="23"/>
    </row>
    <row r="16411">
      <c r="B16411" s="19"/>
      <c r="E16411" s="23"/>
      <c r="L16411" s="23"/>
    </row>
    <row r="16412">
      <c r="B16412" s="19"/>
      <c r="E16412" s="23"/>
      <c r="L16412" s="23"/>
    </row>
    <row r="16413">
      <c r="B16413" s="19"/>
      <c r="E16413" s="23"/>
      <c r="L16413" s="23"/>
    </row>
    <row r="16414">
      <c r="B16414" s="19"/>
      <c r="E16414" s="23"/>
      <c r="L16414" s="23"/>
    </row>
    <row r="16415">
      <c r="B16415" s="19"/>
      <c r="E16415" s="23"/>
      <c r="L16415" s="23"/>
    </row>
    <row r="16416">
      <c r="B16416" s="19"/>
      <c r="E16416" s="23"/>
      <c r="L16416" s="23"/>
    </row>
    <row r="16417">
      <c r="B16417" s="19"/>
      <c r="E16417" s="23"/>
      <c r="L16417" s="23"/>
    </row>
    <row r="16418">
      <c r="B16418" s="19"/>
      <c r="E16418" s="23"/>
      <c r="L16418" s="23"/>
    </row>
    <row r="16419">
      <c r="B16419" s="19"/>
      <c r="E16419" s="23"/>
      <c r="L16419" s="23"/>
    </row>
    <row r="16420">
      <c r="B16420" s="19"/>
      <c r="E16420" s="23"/>
      <c r="L16420" s="23"/>
    </row>
    <row r="16421">
      <c r="B16421" s="19"/>
      <c r="E16421" s="23"/>
      <c r="L16421" s="23"/>
    </row>
    <row r="16422">
      <c r="B16422" s="19"/>
      <c r="E16422" s="23"/>
      <c r="L16422" s="23"/>
    </row>
    <row r="16423">
      <c r="B16423" s="19"/>
      <c r="E16423" s="23"/>
      <c r="L16423" s="23"/>
    </row>
    <row r="16424">
      <c r="B16424" s="19"/>
      <c r="E16424" s="23"/>
      <c r="L16424" s="23"/>
    </row>
    <row r="16425">
      <c r="B16425" s="19"/>
      <c r="E16425" s="23"/>
      <c r="L16425" s="23"/>
    </row>
    <row r="16426">
      <c r="B16426" s="19"/>
      <c r="E16426" s="23"/>
      <c r="L16426" s="23"/>
    </row>
    <row r="16427">
      <c r="B16427" s="19"/>
      <c r="E16427" s="23"/>
      <c r="L16427" s="23"/>
    </row>
    <row r="16428">
      <c r="B16428" s="19"/>
      <c r="E16428" s="23"/>
      <c r="L16428" s="23"/>
    </row>
    <row r="16429">
      <c r="B16429" s="19"/>
      <c r="E16429" s="23"/>
      <c r="L16429" s="23"/>
    </row>
    <row r="16430">
      <c r="B16430" s="19"/>
      <c r="E16430" s="23"/>
      <c r="L16430" s="23"/>
    </row>
    <row r="16431">
      <c r="B16431" s="19"/>
      <c r="E16431" s="23"/>
      <c r="L16431" s="23"/>
    </row>
    <row r="16432">
      <c r="B16432" s="19"/>
      <c r="E16432" s="23"/>
      <c r="L16432" s="23"/>
    </row>
    <row r="16433">
      <c r="B16433" s="19"/>
      <c r="E16433" s="23"/>
      <c r="L16433" s="23"/>
    </row>
    <row r="16434">
      <c r="B16434" s="19"/>
      <c r="E16434" s="23"/>
      <c r="L16434" s="23"/>
    </row>
    <row r="16435">
      <c r="B16435" s="19"/>
      <c r="E16435" s="23"/>
      <c r="L16435" s="23"/>
    </row>
    <row r="16436">
      <c r="B16436" s="19"/>
      <c r="E16436" s="23"/>
      <c r="L16436" s="23"/>
    </row>
    <row r="16437">
      <c r="B16437" s="19"/>
      <c r="E16437" s="23"/>
      <c r="L16437" s="23"/>
    </row>
    <row r="16438">
      <c r="B16438" s="19"/>
      <c r="E16438" s="23"/>
      <c r="L16438" s="23"/>
    </row>
    <row r="16439">
      <c r="B16439" s="19"/>
      <c r="E16439" s="23"/>
      <c r="L16439" s="23"/>
    </row>
    <row r="16440">
      <c r="B16440" s="19"/>
      <c r="E16440" s="23"/>
      <c r="L16440" s="23"/>
    </row>
    <row r="16441">
      <c r="B16441" s="19"/>
      <c r="E16441" s="23"/>
      <c r="L16441" s="23"/>
    </row>
    <row r="16442">
      <c r="B16442" s="19"/>
      <c r="E16442" s="23"/>
      <c r="L16442" s="23"/>
    </row>
    <row r="16443">
      <c r="B16443" s="19"/>
      <c r="E16443" s="23"/>
      <c r="L16443" s="23"/>
    </row>
    <row r="16444">
      <c r="B16444" s="19"/>
      <c r="E16444" s="23"/>
      <c r="L16444" s="23"/>
    </row>
    <row r="16445">
      <c r="B16445" s="19"/>
      <c r="E16445" s="23"/>
      <c r="L16445" s="23"/>
    </row>
    <row r="16446">
      <c r="B16446" s="19"/>
      <c r="E16446" s="23"/>
      <c r="L16446" s="23"/>
    </row>
    <row r="16447">
      <c r="B16447" s="19"/>
      <c r="E16447" s="23"/>
      <c r="L16447" s="23"/>
    </row>
    <row r="16448">
      <c r="B16448" s="19"/>
      <c r="E16448" s="23"/>
      <c r="L16448" s="23"/>
    </row>
    <row r="16449">
      <c r="B16449" s="19"/>
      <c r="E16449" s="23"/>
      <c r="L16449" s="23"/>
    </row>
    <row r="16450">
      <c r="B16450" s="19"/>
      <c r="E16450" s="23"/>
      <c r="L16450" s="23"/>
    </row>
    <row r="16451">
      <c r="B16451" s="19"/>
      <c r="E16451" s="23"/>
      <c r="L16451" s="23"/>
    </row>
    <row r="16452">
      <c r="B16452" s="19"/>
      <c r="E16452" s="23"/>
      <c r="L16452" s="23"/>
    </row>
    <row r="16453">
      <c r="B16453" s="19"/>
      <c r="E16453" s="23"/>
      <c r="L16453" s="23"/>
    </row>
    <row r="16454">
      <c r="B16454" s="19"/>
      <c r="E16454" s="23"/>
      <c r="L16454" s="23"/>
    </row>
    <row r="16455">
      <c r="B16455" s="19"/>
      <c r="E16455" s="23"/>
      <c r="L16455" s="23"/>
    </row>
    <row r="16456">
      <c r="B16456" s="19"/>
      <c r="E16456" s="23"/>
      <c r="L16456" s="23"/>
    </row>
    <row r="16457">
      <c r="B16457" s="19"/>
      <c r="E16457" s="23"/>
      <c r="L16457" s="23"/>
    </row>
    <row r="16458">
      <c r="B16458" s="19"/>
      <c r="E16458" s="23"/>
      <c r="L16458" s="23"/>
    </row>
    <row r="16459">
      <c r="B16459" s="19"/>
      <c r="E16459" s="23"/>
      <c r="L16459" s="23"/>
    </row>
    <row r="16460">
      <c r="B16460" s="19"/>
      <c r="E16460" s="23"/>
      <c r="L16460" s="23"/>
    </row>
    <row r="16461">
      <c r="B16461" s="19"/>
      <c r="E16461" s="23"/>
      <c r="L16461" s="23"/>
    </row>
    <row r="16462">
      <c r="B16462" s="19"/>
      <c r="E16462" s="23"/>
      <c r="L16462" s="23"/>
    </row>
    <row r="16463">
      <c r="B16463" s="19"/>
      <c r="E16463" s="23"/>
      <c r="L16463" s="23"/>
    </row>
    <row r="16464">
      <c r="B16464" s="19"/>
      <c r="E16464" s="23"/>
      <c r="L16464" s="23"/>
    </row>
    <row r="16465">
      <c r="B16465" s="19"/>
      <c r="E16465" s="23"/>
      <c r="L16465" s="23"/>
    </row>
    <row r="16466">
      <c r="B16466" s="19"/>
      <c r="E16466" s="23"/>
      <c r="L16466" s="23"/>
    </row>
    <row r="16467">
      <c r="B16467" s="19"/>
      <c r="E16467" s="23"/>
      <c r="L16467" s="23"/>
    </row>
    <row r="16468">
      <c r="B16468" s="19"/>
      <c r="E16468" s="23"/>
      <c r="L16468" s="23"/>
    </row>
    <row r="16469">
      <c r="B16469" s="19"/>
      <c r="E16469" s="23"/>
      <c r="L16469" s="23"/>
    </row>
    <row r="16470">
      <c r="B16470" s="19"/>
      <c r="E16470" s="23"/>
      <c r="L16470" s="23"/>
    </row>
    <row r="16471">
      <c r="B16471" s="19"/>
      <c r="E16471" s="23"/>
      <c r="L16471" s="23"/>
    </row>
    <row r="16472">
      <c r="B16472" s="19"/>
      <c r="E16472" s="23"/>
      <c r="L16472" s="23"/>
    </row>
    <row r="16473">
      <c r="B16473" s="19"/>
      <c r="E16473" s="23"/>
      <c r="L16473" s="23"/>
    </row>
    <row r="16474">
      <c r="B16474" s="19"/>
      <c r="E16474" s="23"/>
      <c r="L16474" s="23"/>
    </row>
    <row r="16475">
      <c r="B16475" s="19"/>
      <c r="E16475" s="23"/>
      <c r="L16475" s="23"/>
    </row>
    <row r="16476">
      <c r="B16476" s="19"/>
      <c r="E16476" s="23"/>
      <c r="L16476" s="23"/>
    </row>
    <row r="16477">
      <c r="B16477" s="19"/>
      <c r="E16477" s="23"/>
      <c r="L16477" s="23"/>
    </row>
    <row r="16478">
      <c r="B16478" s="19"/>
      <c r="E16478" s="23"/>
      <c r="L16478" s="23"/>
    </row>
    <row r="16479">
      <c r="B16479" s="19"/>
      <c r="E16479" s="23"/>
      <c r="L16479" s="23"/>
    </row>
    <row r="16480">
      <c r="B16480" s="19"/>
      <c r="E16480" s="23"/>
      <c r="L16480" s="23"/>
    </row>
    <row r="16481">
      <c r="B16481" s="19"/>
      <c r="E16481" s="23"/>
      <c r="L16481" s="23"/>
    </row>
    <row r="16482">
      <c r="B16482" s="19"/>
      <c r="E16482" s="23"/>
      <c r="L16482" s="23"/>
    </row>
    <row r="16483">
      <c r="B16483" s="19"/>
      <c r="E16483" s="23"/>
      <c r="L16483" s="23"/>
    </row>
    <row r="16484">
      <c r="B16484" s="19"/>
      <c r="E16484" s="23"/>
      <c r="L16484" s="23"/>
    </row>
    <row r="16485">
      <c r="B16485" s="19"/>
      <c r="E16485" s="23"/>
      <c r="L16485" s="23"/>
    </row>
    <row r="16486">
      <c r="B16486" s="19"/>
      <c r="E16486" s="23"/>
      <c r="L16486" s="23"/>
    </row>
    <row r="16487">
      <c r="B16487" s="19"/>
      <c r="E16487" s="23"/>
      <c r="L16487" s="23"/>
    </row>
    <row r="16488">
      <c r="B16488" s="19"/>
      <c r="E16488" s="23"/>
      <c r="L16488" s="23"/>
    </row>
    <row r="16489">
      <c r="B16489" s="19"/>
      <c r="E16489" s="23"/>
      <c r="L16489" s="23"/>
    </row>
    <row r="16490">
      <c r="B16490" s="19"/>
      <c r="E16490" s="23"/>
      <c r="L16490" s="23"/>
    </row>
    <row r="16491">
      <c r="B16491" s="19"/>
      <c r="E16491" s="23"/>
      <c r="L16491" s="23"/>
    </row>
    <row r="16492">
      <c r="B16492" s="19"/>
      <c r="E16492" s="23"/>
      <c r="L16492" s="23"/>
    </row>
    <row r="16493">
      <c r="B16493" s="19"/>
      <c r="E16493" s="23"/>
      <c r="L16493" s="23"/>
    </row>
    <row r="16494">
      <c r="B16494" s="19"/>
      <c r="E16494" s="23"/>
      <c r="L16494" s="23"/>
    </row>
    <row r="16495">
      <c r="B16495" s="19"/>
      <c r="E16495" s="23"/>
      <c r="L16495" s="23"/>
    </row>
    <row r="16496">
      <c r="B16496" s="19"/>
      <c r="E16496" s="23"/>
      <c r="L16496" s="23"/>
    </row>
    <row r="16497">
      <c r="B16497" s="19"/>
      <c r="E16497" s="23"/>
      <c r="L16497" s="23"/>
    </row>
    <row r="16498">
      <c r="B16498" s="19"/>
      <c r="E16498" s="23"/>
      <c r="L16498" s="23"/>
    </row>
    <row r="16499">
      <c r="B16499" s="19"/>
      <c r="E16499" s="23"/>
      <c r="L16499" s="23"/>
    </row>
    <row r="16500">
      <c r="B16500" s="19"/>
      <c r="E16500" s="23"/>
      <c r="L16500" s="23"/>
    </row>
    <row r="16501">
      <c r="B16501" s="19"/>
      <c r="E16501" s="23"/>
      <c r="L16501" s="23"/>
    </row>
    <row r="16502">
      <c r="B16502" s="19"/>
      <c r="E16502" s="23"/>
      <c r="L16502" s="23"/>
    </row>
    <row r="16503">
      <c r="B16503" s="19"/>
      <c r="E16503" s="23"/>
      <c r="L16503" s="23"/>
    </row>
    <row r="16504">
      <c r="B16504" s="19"/>
      <c r="E16504" s="23"/>
      <c r="L16504" s="23"/>
    </row>
    <row r="16505">
      <c r="B16505" s="19"/>
      <c r="E16505" s="23"/>
      <c r="L16505" s="23"/>
    </row>
    <row r="16506">
      <c r="B16506" s="19"/>
      <c r="E16506" s="23"/>
      <c r="L16506" s="23"/>
    </row>
    <row r="16507">
      <c r="B16507" s="19"/>
      <c r="E16507" s="23"/>
      <c r="L16507" s="23"/>
    </row>
    <row r="16508">
      <c r="B16508" s="19"/>
      <c r="E16508" s="23"/>
      <c r="L16508" s="23"/>
    </row>
    <row r="16509">
      <c r="B16509" s="19"/>
      <c r="E16509" s="23"/>
      <c r="L16509" s="23"/>
    </row>
    <row r="16510">
      <c r="B16510" s="19"/>
      <c r="E16510" s="23"/>
      <c r="L16510" s="23"/>
    </row>
    <row r="16511">
      <c r="B16511" s="19"/>
      <c r="E16511" s="23"/>
      <c r="L16511" s="23"/>
    </row>
    <row r="16512">
      <c r="B16512" s="19"/>
      <c r="E16512" s="23"/>
      <c r="L16512" s="23"/>
    </row>
    <row r="16513">
      <c r="B16513" s="19"/>
      <c r="E16513" s="23"/>
      <c r="L16513" s="23"/>
    </row>
    <row r="16514">
      <c r="B16514" s="19"/>
      <c r="E16514" s="23"/>
      <c r="L16514" s="23"/>
    </row>
    <row r="16515">
      <c r="B16515" s="19"/>
      <c r="E16515" s="23"/>
      <c r="L16515" s="23"/>
    </row>
    <row r="16516">
      <c r="B16516" s="19"/>
      <c r="E16516" s="23"/>
      <c r="L16516" s="23"/>
    </row>
    <row r="16517">
      <c r="B16517" s="19"/>
      <c r="E16517" s="23"/>
      <c r="L16517" s="23"/>
    </row>
    <row r="16518">
      <c r="B16518" s="19"/>
      <c r="E16518" s="23"/>
      <c r="L16518" s="23"/>
    </row>
    <row r="16519">
      <c r="B16519" s="19"/>
      <c r="E16519" s="23"/>
      <c r="L16519" s="23"/>
    </row>
    <row r="16520">
      <c r="B16520" s="19"/>
      <c r="E16520" s="23"/>
      <c r="L16520" s="23"/>
    </row>
    <row r="16521">
      <c r="B16521" s="19"/>
      <c r="E16521" s="23"/>
      <c r="L16521" s="23"/>
    </row>
    <row r="16522">
      <c r="B16522" s="19"/>
      <c r="E16522" s="23"/>
      <c r="L16522" s="23"/>
    </row>
    <row r="16523">
      <c r="B16523" s="19"/>
      <c r="E16523" s="23"/>
      <c r="L16523" s="23"/>
    </row>
    <row r="16524">
      <c r="B16524" s="19"/>
      <c r="E16524" s="23"/>
      <c r="L16524" s="23"/>
    </row>
    <row r="16525">
      <c r="B16525" s="19"/>
      <c r="E16525" s="23"/>
      <c r="L16525" s="23"/>
    </row>
    <row r="16526">
      <c r="B16526" s="19"/>
      <c r="E16526" s="23"/>
      <c r="L16526" s="23"/>
    </row>
    <row r="16527">
      <c r="B16527" s="19"/>
      <c r="E16527" s="23"/>
      <c r="L16527" s="23"/>
    </row>
    <row r="16528">
      <c r="B16528" s="19"/>
      <c r="E16528" s="23"/>
      <c r="L16528" s="23"/>
    </row>
    <row r="16529">
      <c r="B16529" s="19"/>
      <c r="E16529" s="23"/>
      <c r="L16529" s="23"/>
    </row>
    <row r="16530">
      <c r="B16530" s="19"/>
      <c r="E16530" s="23"/>
      <c r="L16530" s="23"/>
    </row>
    <row r="16531">
      <c r="B16531" s="19"/>
      <c r="E16531" s="23"/>
      <c r="L16531" s="23"/>
    </row>
    <row r="16532">
      <c r="B16532" s="19"/>
      <c r="E16532" s="23"/>
      <c r="L16532" s="23"/>
    </row>
    <row r="16533">
      <c r="B16533" s="19"/>
      <c r="E16533" s="23"/>
      <c r="L16533" s="23"/>
    </row>
    <row r="16534">
      <c r="B16534" s="19"/>
      <c r="E16534" s="23"/>
      <c r="L16534" s="23"/>
    </row>
    <row r="16535">
      <c r="B16535" s="19"/>
      <c r="E16535" s="23"/>
      <c r="L16535" s="23"/>
    </row>
    <row r="16536">
      <c r="B16536" s="19"/>
      <c r="E16536" s="23"/>
      <c r="L16536" s="23"/>
    </row>
    <row r="16537">
      <c r="B16537" s="19"/>
      <c r="E16537" s="23"/>
      <c r="L16537" s="23"/>
    </row>
    <row r="16538">
      <c r="B16538" s="19"/>
      <c r="E16538" s="23"/>
      <c r="L16538" s="23"/>
    </row>
    <row r="16539">
      <c r="B16539" s="19"/>
      <c r="E16539" s="23"/>
      <c r="L16539" s="23"/>
    </row>
    <row r="16540">
      <c r="B16540" s="19"/>
      <c r="E16540" s="23"/>
      <c r="L16540" s="23"/>
    </row>
    <row r="16541">
      <c r="B16541" s="19"/>
      <c r="E16541" s="23"/>
      <c r="L16541" s="23"/>
    </row>
    <row r="16542">
      <c r="B16542" s="19"/>
      <c r="E16542" s="23"/>
      <c r="L16542" s="23"/>
    </row>
    <row r="16543">
      <c r="B16543" s="19"/>
      <c r="E16543" s="23"/>
      <c r="L16543" s="23"/>
    </row>
    <row r="16544">
      <c r="B16544" s="19"/>
      <c r="E16544" s="23"/>
      <c r="L16544" s="23"/>
    </row>
    <row r="16545">
      <c r="B16545" s="19"/>
      <c r="E16545" s="23"/>
      <c r="L16545" s="23"/>
    </row>
    <row r="16546">
      <c r="B16546" s="19"/>
      <c r="E16546" s="23"/>
      <c r="L16546" s="23"/>
    </row>
    <row r="16547">
      <c r="B16547" s="19"/>
      <c r="E16547" s="23"/>
      <c r="L16547" s="23"/>
    </row>
    <row r="16548">
      <c r="B16548" s="19"/>
      <c r="E16548" s="23"/>
      <c r="L16548" s="23"/>
    </row>
    <row r="16549">
      <c r="B16549" s="19"/>
      <c r="E16549" s="23"/>
      <c r="L16549" s="23"/>
    </row>
    <row r="16550">
      <c r="B16550" s="19"/>
      <c r="E16550" s="23"/>
      <c r="L16550" s="23"/>
    </row>
    <row r="16551">
      <c r="B16551" s="19"/>
      <c r="E16551" s="23"/>
      <c r="L16551" s="23"/>
    </row>
    <row r="16552">
      <c r="B16552" s="19"/>
      <c r="E16552" s="23"/>
      <c r="L16552" s="23"/>
    </row>
    <row r="16553">
      <c r="B16553" s="19"/>
      <c r="E16553" s="23"/>
      <c r="L16553" s="23"/>
    </row>
    <row r="16554">
      <c r="B16554" s="19"/>
      <c r="E16554" s="23"/>
      <c r="L16554" s="23"/>
    </row>
    <row r="16555">
      <c r="B16555" s="19"/>
      <c r="E16555" s="23"/>
      <c r="L16555" s="23"/>
    </row>
    <row r="16556">
      <c r="B16556" s="19"/>
      <c r="E16556" s="23"/>
      <c r="L16556" s="23"/>
    </row>
    <row r="16557">
      <c r="B16557" s="19"/>
      <c r="E16557" s="23"/>
      <c r="L16557" s="23"/>
    </row>
    <row r="16558">
      <c r="B16558" s="19"/>
      <c r="E16558" s="23"/>
      <c r="L16558" s="23"/>
    </row>
    <row r="16559">
      <c r="B16559" s="19"/>
      <c r="E16559" s="23"/>
      <c r="L16559" s="23"/>
    </row>
    <row r="16560">
      <c r="B16560" s="19"/>
      <c r="E16560" s="23"/>
      <c r="L16560" s="23"/>
    </row>
    <row r="16561">
      <c r="B16561" s="19"/>
      <c r="E16561" s="23"/>
      <c r="L16561" s="23"/>
    </row>
    <row r="16562">
      <c r="B16562" s="19"/>
      <c r="E16562" s="23"/>
      <c r="L16562" s="23"/>
    </row>
    <row r="16563">
      <c r="B16563" s="19"/>
      <c r="E16563" s="23"/>
      <c r="L16563" s="23"/>
    </row>
    <row r="16564">
      <c r="B16564" s="19"/>
      <c r="E16564" s="23"/>
      <c r="L16564" s="23"/>
    </row>
    <row r="16565">
      <c r="B16565" s="19"/>
      <c r="E16565" s="23"/>
      <c r="L16565" s="23"/>
    </row>
    <row r="16566">
      <c r="B16566" s="19"/>
      <c r="E16566" s="23"/>
      <c r="L16566" s="23"/>
    </row>
    <row r="16567">
      <c r="B16567" s="19"/>
      <c r="E16567" s="23"/>
      <c r="L16567" s="23"/>
    </row>
    <row r="16568">
      <c r="B16568" s="19"/>
      <c r="E16568" s="23"/>
      <c r="L16568" s="23"/>
    </row>
    <row r="16569">
      <c r="B16569" s="19"/>
      <c r="E16569" s="23"/>
      <c r="L16569" s="23"/>
    </row>
    <row r="16570">
      <c r="B16570" s="19"/>
      <c r="E16570" s="23"/>
      <c r="L16570" s="23"/>
    </row>
    <row r="16571">
      <c r="B16571" s="19"/>
      <c r="E16571" s="23"/>
      <c r="L16571" s="23"/>
    </row>
    <row r="16572">
      <c r="B16572" s="19"/>
      <c r="E16572" s="23"/>
      <c r="L16572" s="23"/>
    </row>
    <row r="16573">
      <c r="B16573" s="19"/>
      <c r="E16573" s="23"/>
      <c r="L16573" s="23"/>
    </row>
    <row r="16574">
      <c r="B16574" s="19"/>
      <c r="E16574" s="23"/>
      <c r="L16574" s="23"/>
    </row>
    <row r="16575">
      <c r="B16575" s="19"/>
      <c r="E16575" s="23"/>
      <c r="L16575" s="23"/>
    </row>
    <row r="16576">
      <c r="B16576" s="19"/>
      <c r="E16576" s="23"/>
      <c r="L16576" s="23"/>
    </row>
    <row r="16577">
      <c r="B16577" s="19"/>
      <c r="E16577" s="23"/>
      <c r="L16577" s="23"/>
    </row>
    <row r="16578">
      <c r="B16578" s="19"/>
      <c r="E16578" s="23"/>
      <c r="L16578" s="23"/>
    </row>
    <row r="16579">
      <c r="B16579" s="19"/>
      <c r="E16579" s="23"/>
      <c r="L16579" s="23"/>
    </row>
    <row r="16580">
      <c r="B16580" s="19"/>
      <c r="E16580" s="23"/>
      <c r="L16580" s="23"/>
    </row>
    <row r="16581">
      <c r="B16581" s="19"/>
      <c r="E16581" s="23"/>
      <c r="L16581" s="23"/>
    </row>
    <row r="16582">
      <c r="B16582" s="19"/>
      <c r="E16582" s="23"/>
      <c r="L16582" s="23"/>
    </row>
    <row r="16583">
      <c r="B16583" s="19"/>
      <c r="E16583" s="23"/>
      <c r="L16583" s="23"/>
    </row>
    <row r="16584">
      <c r="B16584" s="19"/>
      <c r="E16584" s="23"/>
      <c r="L16584" s="23"/>
    </row>
    <row r="16585">
      <c r="B16585" s="19"/>
      <c r="E16585" s="23"/>
      <c r="L16585" s="23"/>
    </row>
    <row r="16586">
      <c r="B16586" s="19"/>
      <c r="E16586" s="23"/>
      <c r="L16586" s="23"/>
    </row>
    <row r="16587">
      <c r="B16587" s="19"/>
      <c r="E16587" s="23"/>
      <c r="L16587" s="23"/>
    </row>
    <row r="16588">
      <c r="B16588" s="19"/>
      <c r="E16588" s="23"/>
      <c r="L16588" s="23"/>
    </row>
    <row r="16589">
      <c r="B16589" s="19"/>
      <c r="E16589" s="23"/>
      <c r="L16589" s="23"/>
    </row>
    <row r="16590">
      <c r="B16590" s="19"/>
      <c r="E16590" s="23"/>
      <c r="L16590" s="23"/>
    </row>
    <row r="16591">
      <c r="B16591" s="19"/>
      <c r="E16591" s="23"/>
      <c r="L16591" s="23"/>
    </row>
    <row r="16592">
      <c r="B16592" s="19"/>
      <c r="E16592" s="23"/>
      <c r="L16592" s="23"/>
    </row>
    <row r="16593">
      <c r="B16593" s="19"/>
      <c r="E16593" s="23"/>
      <c r="L16593" s="23"/>
    </row>
    <row r="16594">
      <c r="B16594" s="19"/>
      <c r="E16594" s="23"/>
      <c r="L16594" s="23"/>
    </row>
    <row r="16595">
      <c r="B16595" s="19"/>
      <c r="E16595" s="23"/>
      <c r="L16595" s="23"/>
    </row>
    <row r="16596">
      <c r="B16596" s="19"/>
      <c r="E16596" s="23"/>
      <c r="L16596" s="23"/>
    </row>
    <row r="16597">
      <c r="B16597" s="19"/>
      <c r="E16597" s="23"/>
      <c r="L16597" s="23"/>
    </row>
    <row r="16598">
      <c r="B16598" s="19"/>
      <c r="E16598" s="23"/>
      <c r="L16598" s="23"/>
    </row>
    <row r="16599">
      <c r="B16599" s="19"/>
      <c r="E16599" s="23"/>
      <c r="L16599" s="23"/>
    </row>
    <row r="16600">
      <c r="B16600" s="19"/>
      <c r="E16600" s="23"/>
      <c r="L16600" s="23"/>
    </row>
    <row r="16601">
      <c r="B16601" s="19"/>
      <c r="E16601" s="23"/>
      <c r="L16601" s="23"/>
    </row>
    <row r="16602">
      <c r="B16602" s="19"/>
      <c r="E16602" s="23"/>
      <c r="L16602" s="23"/>
    </row>
    <row r="16603">
      <c r="B16603" s="19"/>
      <c r="E16603" s="23"/>
      <c r="L16603" s="23"/>
    </row>
    <row r="16604">
      <c r="B16604" s="19"/>
      <c r="E16604" s="23"/>
      <c r="L16604" s="23"/>
    </row>
    <row r="16605">
      <c r="B16605" s="19"/>
      <c r="E16605" s="23"/>
      <c r="L16605" s="23"/>
    </row>
    <row r="16606">
      <c r="B16606" s="19"/>
      <c r="E16606" s="23"/>
      <c r="L16606" s="23"/>
    </row>
    <row r="16607">
      <c r="B16607" s="19"/>
      <c r="E16607" s="23"/>
      <c r="L16607" s="23"/>
    </row>
    <row r="16608">
      <c r="B16608" s="19"/>
      <c r="E16608" s="23"/>
      <c r="L16608" s="23"/>
    </row>
    <row r="16609">
      <c r="B16609" s="19"/>
      <c r="E16609" s="23"/>
      <c r="L16609" s="23"/>
    </row>
    <row r="16610">
      <c r="B16610" s="19"/>
      <c r="E16610" s="23"/>
      <c r="L16610" s="23"/>
    </row>
    <row r="16611">
      <c r="B16611" s="19"/>
      <c r="E16611" s="23"/>
      <c r="L16611" s="23"/>
    </row>
    <row r="16612">
      <c r="B16612" s="19"/>
      <c r="E16612" s="23"/>
      <c r="L16612" s="23"/>
    </row>
    <row r="16613">
      <c r="B16613" s="19"/>
      <c r="E16613" s="23"/>
      <c r="L16613" s="23"/>
    </row>
    <row r="16614">
      <c r="B16614" s="19"/>
      <c r="E16614" s="23"/>
      <c r="L16614" s="23"/>
    </row>
    <row r="16615">
      <c r="B16615" s="19"/>
      <c r="E16615" s="23"/>
      <c r="L16615" s="23"/>
    </row>
    <row r="16616">
      <c r="B16616" s="19"/>
      <c r="E16616" s="23"/>
      <c r="L16616" s="23"/>
    </row>
    <row r="16617">
      <c r="B16617" s="19"/>
      <c r="E16617" s="23"/>
      <c r="L16617" s="23"/>
    </row>
    <row r="16618">
      <c r="B16618" s="19"/>
      <c r="E16618" s="23"/>
      <c r="L16618" s="23"/>
    </row>
    <row r="16619">
      <c r="B16619" s="19"/>
      <c r="E16619" s="23"/>
      <c r="L16619" s="23"/>
    </row>
    <row r="16620">
      <c r="B16620" s="19"/>
      <c r="E16620" s="23"/>
      <c r="L16620" s="23"/>
    </row>
    <row r="16621">
      <c r="B16621" s="19"/>
      <c r="E16621" s="23"/>
      <c r="L16621" s="23"/>
    </row>
    <row r="16622">
      <c r="B16622" s="19"/>
      <c r="E16622" s="23"/>
      <c r="L16622" s="23"/>
    </row>
    <row r="16623">
      <c r="B16623" s="19"/>
      <c r="E16623" s="23"/>
      <c r="L16623" s="23"/>
    </row>
    <row r="16624">
      <c r="B16624" s="19"/>
      <c r="E16624" s="23"/>
      <c r="L16624" s="23"/>
    </row>
    <row r="16625">
      <c r="B16625" s="19"/>
      <c r="E16625" s="23"/>
      <c r="L16625" s="23"/>
    </row>
    <row r="16626">
      <c r="B16626" s="19"/>
      <c r="E16626" s="23"/>
      <c r="L16626" s="23"/>
    </row>
    <row r="16627">
      <c r="B16627" s="19"/>
      <c r="E16627" s="23"/>
      <c r="L16627" s="23"/>
    </row>
    <row r="16628">
      <c r="B16628" s="19"/>
      <c r="E16628" s="23"/>
      <c r="L16628" s="23"/>
    </row>
    <row r="16629">
      <c r="B16629" s="19"/>
      <c r="E16629" s="23"/>
      <c r="L16629" s="23"/>
    </row>
    <row r="16630">
      <c r="B16630" s="19"/>
      <c r="E16630" s="23"/>
      <c r="L16630" s="23"/>
    </row>
    <row r="16631">
      <c r="B16631" s="19"/>
      <c r="E16631" s="23"/>
      <c r="L16631" s="23"/>
    </row>
    <row r="16632">
      <c r="B16632" s="19"/>
      <c r="E16632" s="23"/>
      <c r="L16632" s="23"/>
    </row>
    <row r="16633">
      <c r="B16633" s="19"/>
      <c r="E16633" s="23"/>
      <c r="L16633" s="23"/>
    </row>
    <row r="16634">
      <c r="B16634" s="19"/>
      <c r="E16634" s="23"/>
      <c r="L16634" s="23"/>
    </row>
    <row r="16635">
      <c r="B16635" s="19"/>
      <c r="E16635" s="23"/>
      <c r="L16635" s="23"/>
    </row>
    <row r="16636">
      <c r="B16636" s="19"/>
      <c r="E16636" s="23"/>
      <c r="L16636" s="23"/>
    </row>
    <row r="16637">
      <c r="B16637" s="19"/>
      <c r="E16637" s="23"/>
      <c r="L16637" s="23"/>
    </row>
    <row r="16638">
      <c r="B16638" s="19"/>
      <c r="E16638" s="23"/>
      <c r="L16638" s="23"/>
    </row>
    <row r="16639">
      <c r="B16639" s="19"/>
      <c r="E16639" s="23"/>
      <c r="L16639" s="23"/>
    </row>
    <row r="16640">
      <c r="B16640" s="19"/>
      <c r="E16640" s="23"/>
      <c r="L16640" s="23"/>
    </row>
    <row r="16641">
      <c r="B16641" s="19"/>
      <c r="E16641" s="23"/>
      <c r="L16641" s="23"/>
    </row>
    <row r="16642">
      <c r="B16642" s="19"/>
      <c r="E16642" s="23"/>
      <c r="L16642" s="23"/>
    </row>
    <row r="16643">
      <c r="B16643" s="19"/>
      <c r="E16643" s="23"/>
      <c r="L16643" s="23"/>
    </row>
    <row r="16644">
      <c r="B16644" s="19"/>
      <c r="E16644" s="23"/>
      <c r="L16644" s="23"/>
    </row>
    <row r="16645">
      <c r="B16645" s="19"/>
      <c r="E16645" s="23"/>
      <c r="L16645" s="23"/>
    </row>
    <row r="16646">
      <c r="B16646" s="19"/>
      <c r="E16646" s="23"/>
      <c r="L16646" s="23"/>
    </row>
    <row r="16647">
      <c r="B16647" s="19"/>
      <c r="E16647" s="23"/>
      <c r="L16647" s="23"/>
    </row>
    <row r="16648">
      <c r="B16648" s="19"/>
      <c r="E16648" s="23"/>
      <c r="L16648" s="23"/>
    </row>
    <row r="16649">
      <c r="B16649" s="19"/>
      <c r="E16649" s="23"/>
      <c r="L16649" s="23"/>
    </row>
    <row r="16650">
      <c r="B16650" s="19"/>
      <c r="E16650" s="23"/>
      <c r="L16650" s="23"/>
    </row>
    <row r="16651">
      <c r="B16651" s="19"/>
      <c r="E16651" s="23"/>
      <c r="L16651" s="23"/>
    </row>
    <row r="16652">
      <c r="B16652" s="19"/>
      <c r="E16652" s="23"/>
      <c r="L16652" s="23"/>
    </row>
    <row r="16653">
      <c r="B16653" s="19"/>
      <c r="E16653" s="23"/>
      <c r="L16653" s="23"/>
    </row>
    <row r="16654">
      <c r="B16654" s="19"/>
      <c r="E16654" s="23"/>
      <c r="L16654" s="23"/>
    </row>
    <row r="16655">
      <c r="B16655" s="19"/>
      <c r="E16655" s="23"/>
      <c r="L16655" s="23"/>
    </row>
    <row r="16656">
      <c r="B16656" s="19"/>
      <c r="E16656" s="23"/>
      <c r="L16656" s="23"/>
    </row>
    <row r="16657">
      <c r="B16657" s="19"/>
      <c r="E16657" s="23"/>
      <c r="L16657" s="23"/>
    </row>
    <row r="16658">
      <c r="B16658" s="19"/>
      <c r="E16658" s="23"/>
      <c r="L16658" s="23"/>
    </row>
    <row r="16659">
      <c r="B16659" s="19"/>
      <c r="E16659" s="23"/>
      <c r="L16659" s="23"/>
    </row>
    <row r="16660">
      <c r="B16660" s="19"/>
      <c r="E16660" s="23"/>
      <c r="L16660" s="23"/>
    </row>
    <row r="16661">
      <c r="B16661" s="19"/>
      <c r="E16661" s="23"/>
      <c r="L16661" s="23"/>
    </row>
    <row r="16662">
      <c r="B16662" s="19"/>
      <c r="E16662" s="23"/>
      <c r="L16662" s="23"/>
    </row>
    <row r="16663">
      <c r="B16663" s="19"/>
      <c r="E16663" s="23"/>
      <c r="L16663" s="23"/>
    </row>
    <row r="16664">
      <c r="B16664" s="19"/>
      <c r="E16664" s="23"/>
      <c r="L16664" s="23"/>
    </row>
    <row r="16665">
      <c r="B16665" s="19"/>
      <c r="E16665" s="23"/>
      <c r="L16665" s="23"/>
    </row>
    <row r="16666">
      <c r="B16666" s="19"/>
      <c r="E16666" s="23"/>
      <c r="L16666" s="23"/>
    </row>
    <row r="16667">
      <c r="B16667" s="19"/>
      <c r="E16667" s="23"/>
      <c r="L16667" s="23"/>
    </row>
    <row r="16668">
      <c r="B16668" s="19"/>
      <c r="E16668" s="23"/>
      <c r="L16668" s="23"/>
    </row>
    <row r="16669">
      <c r="B16669" s="19"/>
      <c r="E16669" s="23"/>
      <c r="L16669" s="23"/>
    </row>
    <row r="16670">
      <c r="B16670" s="19"/>
      <c r="E16670" s="23"/>
      <c r="L16670" s="23"/>
    </row>
    <row r="16671">
      <c r="B16671" s="19"/>
      <c r="E16671" s="23"/>
      <c r="L16671" s="23"/>
    </row>
    <row r="16672">
      <c r="B16672" s="19"/>
      <c r="E16672" s="23"/>
      <c r="L16672" s="23"/>
    </row>
    <row r="16673">
      <c r="B16673" s="19"/>
      <c r="E16673" s="23"/>
      <c r="L16673" s="23"/>
    </row>
    <row r="16674">
      <c r="B16674" s="19"/>
      <c r="E16674" s="23"/>
      <c r="L16674" s="23"/>
    </row>
    <row r="16675">
      <c r="B16675" s="19"/>
      <c r="E16675" s="23"/>
      <c r="L16675" s="23"/>
    </row>
    <row r="16676">
      <c r="B16676" s="19"/>
      <c r="E16676" s="23"/>
      <c r="L16676" s="23"/>
    </row>
    <row r="16677">
      <c r="B16677" s="19"/>
      <c r="E16677" s="23"/>
      <c r="L16677" s="23"/>
    </row>
    <row r="16678">
      <c r="B16678" s="19"/>
      <c r="E16678" s="23"/>
      <c r="L16678" s="23"/>
    </row>
    <row r="16679">
      <c r="B16679" s="19"/>
      <c r="E16679" s="23"/>
      <c r="L16679" s="23"/>
    </row>
    <row r="16680">
      <c r="B16680" s="19"/>
      <c r="E16680" s="23"/>
      <c r="L16680" s="23"/>
    </row>
    <row r="16681">
      <c r="B16681" s="19"/>
      <c r="E16681" s="23"/>
      <c r="L16681" s="23"/>
    </row>
    <row r="16682">
      <c r="B16682" s="19"/>
      <c r="E16682" s="23"/>
      <c r="L16682" s="23"/>
    </row>
    <row r="16683">
      <c r="B16683" s="19"/>
      <c r="E16683" s="23"/>
      <c r="L16683" s="23"/>
    </row>
    <row r="16684">
      <c r="B16684" s="19"/>
      <c r="E16684" s="23"/>
      <c r="L16684" s="23"/>
    </row>
    <row r="16685">
      <c r="B16685" s="19"/>
      <c r="E16685" s="23"/>
      <c r="L16685" s="23"/>
    </row>
    <row r="16686">
      <c r="B16686" s="19"/>
      <c r="E16686" s="23"/>
      <c r="L16686" s="23"/>
    </row>
    <row r="16687">
      <c r="B16687" s="19"/>
      <c r="E16687" s="23"/>
      <c r="L16687" s="23"/>
    </row>
    <row r="16688">
      <c r="B16688" s="19"/>
      <c r="E16688" s="23"/>
      <c r="L16688" s="23"/>
    </row>
    <row r="16689">
      <c r="B16689" s="19"/>
      <c r="E16689" s="23"/>
      <c r="L16689" s="23"/>
    </row>
    <row r="16690">
      <c r="B16690" s="19"/>
      <c r="E16690" s="23"/>
      <c r="L16690" s="23"/>
    </row>
    <row r="16691">
      <c r="B16691" s="19"/>
      <c r="E16691" s="23"/>
      <c r="L16691" s="23"/>
    </row>
    <row r="16692">
      <c r="B16692" s="19"/>
      <c r="E16692" s="23"/>
      <c r="L16692" s="23"/>
    </row>
    <row r="16693">
      <c r="B16693" s="19"/>
      <c r="E16693" s="23"/>
      <c r="L16693" s="23"/>
    </row>
    <row r="16694">
      <c r="B16694" s="19"/>
      <c r="E16694" s="23"/>
      <c r="L16694" s="23"/>
    </row>
    <row r="16695">
      <c r="B16695" s="19"/>
      <c r="E16695" s="23"/>
      <c r="L16695" s="23"/>
    </row>
    <row r="16696">
      <c r="B16696" s="19"/>
      <c r="E16696" s="23"/>
      <c r="L16696" s="23"/>
    </row>
    <row r="16697">
      <c r="B16697" s="19"/>
      <c r="E16697" s="23"/>
      <c r="L16697" s="23"/>
    </row>
    <row r="16698">
      <c r="B16698" s="19"/>
      <c r="E16698" s="23"/>
      <c r="L16698" s="23"/>
    </row>
    <row r="16699">
      <c r="B16699" s="19"/>
      <c r="E16699" s="23"/>
      <c r="L16699" s="23"/>
    </row>
    <row r="16700">
      <c r="B16700" s="19"/>
      <c r="E16700" s="23"/>
      <c r="L16700" s="23"/>
    </row>
    <row r="16701">
      <c r="B16701" s="19"/>
      <c r="E16701" s="23"/>
      <c r="L16701" s="23"/>
    </row>
    <row r="16702">
      <c r="B16702" s="19"/>
      <c r="E16702" s="23"/>
      <c r="L16702" s="23"/>
    </row>
    <row r="16703">
      <c r="B16703" s="19"/>
      <c r="E16703" s="23"/>
      <c r="L16703" s="23"/>
    </row>
    <row r="16704">
      <c r="B16704" s="19"/>
      <c r="E16704" s="23"/>
      <c r="L16704" s="23"/>
    </row>
    <row r="16705">
      <c r="B16705" s="19"/>
      <c r="E16705" s="23"/>
      <c r="L16705" s="23"/>
    </row>
    <row r="16706">
      <c r="B16706" s="19"/>
      <c r="E16706" s="23"/>
      <c r="L16706" s="23"/>
    </row>
    <row r="16707">
      <c r="B16707" s="19"/>
      <c r="E16707" s="23"/>
      <c r="L16707" s="23"/>
    </row>
    <row r="16708">
      <c r="B16708" s="19"/>
      <c r="E16708" s="23"/>
      <c r="L16708" s="23"/>
    </row>
    <row r="16709">
      <c r="B16709" s="19"/>
      <c r="E16709" s="23"/>
      <c r="L16709" s="23"/>
    </row>
    <row r="16710">
      <c r="B16710" s="19"/>
      <c r="E16710" s="23"/>
      <c r="L16710" s="23"/>
    </row>
    <row r="16711">
      <c r="B16711" s="19"/>
      <c r="E16711" s="23"/>
      <c r="L16711" s="23"/>
    </row>
    <row r="16712">
      <c r="B16712" s="19"/>
      <c r="E16712" s="23"/>
      <c r="L16712" s="23"/>
    </row>
    <row r="16713">
      <c r="B16713" s="19"/>
      <c r="E16713" s="23"/>
      <c r="L16713" s="23"/>
    </row>
    <row r="16714">
      <c r="B16714" s="19"/>
      <c r="E16714" s="23"/>
      <c r="L16714" s="23"/>
    </row>
    <row r="16715">
      <c r="B16715" s="19"/>
      <c r="E16715" s="23"/>
      <c r="L16715" s="23"/>
    </row>
    <row r="16716">
      <c r="B16716" s="19"/>
      <c r="E16716" s="23"/>
      <c r="L16716" s="23"/>
    </row>
    <row r="16717">
      <c r="B16717" s="19"/>
      <c r="E16717" s="23"/>
      <c r="L16717" s="23"/>
    </row>
    <row r="16718">
      <c r="B16718" s="19"/>
      <c r="E16718" s="23"/>
      <c r="L16718" s="23"/>
    </row>
    <row r="16719">
      <c r="B16719" s="19"/>
      <c r="E16719" s="23"/>
      <c r="L16719" s="23"/>
    </row>
    <row r="16720">
      <c r="B16720" s="19"/>
      <c r="E16720" s="23"/>
      <c r="L16720" s="23"/>
    </row>
    <row r="16721">
      <c r="B16721" s="19"/>
      <c r="E16721" s="23"/>
      <c r="L16721" s="23"/>
    </row>
    <row r="16722">
      <c r="B16722" s="19"/>
      <c r="E16722" s="23"/>
      <c r="L16722" s="23"/>
    </row>
    <row r="16723">
      <c r="B16723" s="19"/>
      <c r="E16723" s="23"/>
      <c r="L16723" s="23"/>
    </row>
    <row r="16724">
      <c r="B16724" s="19"/>
      <c r="E16724" s="23"/>
      <c r="L16724" s="23"/>
    </row>
    <row r="16725">
      <c r="B16725" s="19"/>
      <c r="E16725" s="23"/>
      <c r="L16725" s="23"/>
    </row>
    <row r="16726">
      <c r="B16726" s="19"/>
      <c r="E16726" s="23"/>
      <c r="L16726" s="23"/>
    </row>
    <row r="16727">
      <c r="B16727" s="19"/>
      <c r="E16727" s="23"/>
      <c r="L16727" s="23"/>
    </row>
    <row r="16728">
      <c r="B16728" s="19"/>
      <c r="E16728" s="23"/>
      <c r="L16728" s="23"/>
    </row>
    <row r="16729">
      <c r="B16729" s="19"/>
      <c r="E16729" s="23"/>
      <c r="L16729" s="23"/>
    </row>
    <row r="16730">
      <c r="B16730" s="19"/>
      <c r="E16730" s="23"/>
      <c r="L16730" s="23"/>
    </row>
    <row r="16731">
      <c r="B16731" s="19"/>
      <c r="E16731" s="23"/>
      <c r="L16731" s="23"/>
    </row>
    <row r="16732">
      <c r="B16732" s="19"/>
      <c r="E16732" s="23"/>
      <c r="L16732" s="23"/>
    </row>
    <row r="16733">
      <c r="B16733" s="19"/>
      <c r="E16733" s="23"/>
      <c r="L16733" s="23"/>
    </row>
    <row r="16734">
      <c r="B16734" s="19"/>
      <c r="E16734" s="23"/>
      <c r="L16734" s="23"/>
    </row>
    <row r="16735">
      <c r="B16735" s="19"/>
      <c r="E16735" s="23"/>
      <c r="L16735" s="23"/>
    </row>
    <row r="16736">
      <c r="B16736" s="19"/>
      <c r="E16736" s="23"/>
      <c r="L16736" s="23"/>
    </row>
    <row r="16737">
      <c r="B16737" s="19"/>
      <c r="E16737" s="23"/>
      <c r="L16737" s="23"/>
    </row>
    <row r="16738">
      <c r="B16738" s="19"/>
      <c r="E16738" s="23"/>
      <c r="L16738" s="23"/>
    </row>
    <row r="16739">
      <c r="B16739" s="19"/>
      <c r="E16739" s="23"/>
      <c r="L16739" s="23"/>
    </row>
    <row r="16740">
      <c r="B16740" s="19"/>
      <c r="E16740" s="23"/>
      <c r="L16740" s="23"/>
    </row>
    <row r="16741">
      <c r="B16741" s="19"/>
      <c r="E16741" s="23"/>
      <c r="L16741" s="23"/>
    </row>
    <row r="16742">
      <c r="B16742" s="19"/>
      <c r="E16742" s="23"/>
      <c r="L16742" s="23"/>
    </row>
    <row r="16743">
      <c r="B16743" s="19"/>
      <c r="E16743" s="23"/>
      <c r="L16743" s="23"/>
    </row>
    <row r="16744">
      <c r="B16744" s="19"/>
      <c r="E16744" s="23"/>
      <c r="L16744" s="23"/>
    </row>
    <row r="16745">
      <c r="B16745" s="19"/>
      <c r="E16745" s="23"/>
      <c r="L16745" s="23"/>
    </row>
    <row r="16746">
      <c r="B16746" s="19"/>
      <c r="E16746" s="23"/>
      <c r="L16746" s="23"/>
    </row>
    <row r="16747">
      <c r="B16747" s="19"/>
      <c r="E16747" s="23"/>
      <c r="L16747" s="23"/>
    </row>
    <row r="16748">
      <c r="B16748" s="19"/>
      <c r="E16748" s="23"/>
      <c r="L16748" s="23"/>
    </row>
    <row r="16749">
      <c r="B16749" s="19"/>
      <c r="E16749" s="23"/>
      <c r="L16749" s="23"/>
    </row>
    <row r="16750">
      <c r="B16750" s="19"/>
      <c r="E16750" s="23"/>
      <c r="L16750" s="23"/>
    </row>
    <row r="16751">
      <c r="B16751" s="19"/>
      <c r="E16751" s="23"/>
      <c r="L16751" s="23"/>
    </row>
    <row r="16752">
      <c r="B16752" s="19"/>
      <c r="E16752" s="23"/>
      <c r="L16752" s="23"/>
    </row>
    <row r="16753">
      <c r="B16753" s="19"/>
      <c r="E16753" s="23"/>
      <c r="L16753" s="23"/>
    </row>
    <row r="16754">
      <c r="B16754" s="19"/>
      <c r="E16754" s="23"/>
      <c r="L16754" s="23"/>
    </row>
    <row r="16755">
      <c r="B16755" s="19"/>
      <c r="E16755" s="23"/>
      <c r="L16755" s="23"/>
    </row>
    <row r="16756">
      <c r="B16756" s="19"/>
      <c r="E16756" s="23"/>
      <c r="L16756" s="23"/>
    </row>
    <row r="16757">
      <c r="B16757" s="19"/>
      <c r="E16757" s="23"/>
      <c r="L16757" s="23"/>
    </row>
    <row r="16758">
      <c r="B16758" s="19"/>
      <c r="E16758" s="23"/>
      <c r="L16758" s="23"/>
    </row>
    <row r="16759">
      <c r="B16759" s="19"/>
      <c r="E16759" s="23"/>
      <c r="L16759" s="23"/>
    </row>
    <row r="16760">
      <c r="B16760" s="19"/>
      <c r="E16760" s="23"/>
      <c r="L16760" s="23"/>
    </row>
    <row r="16761">
      <c r="B16761" s="19"/>
      <c r="E16761" s="23"/>
      <c r="L16761" s="23"/>
    </row>
    <row r="16762">
      <c r="B16762" s="19"/>
      <c r="E16762" s="23"/>
      <c r="L16762" s="23"/>
    </row>
    <row r="16763">
      <c r="B16763" s="19"/>
      <c r="E16763" s="23"/>
      <c r="L16763" s="23"/>
    </row>
    <row r="16764">
      <c r="B16764" s="19"/>
      <c r="E16764" s="23"/>
      <c r="L16764" s="23"/>
    </row>
    <row r="16765">
      <c r="B16765" s="19"/>
      <c r="E16765" s="23"/>
      <c r="L16765" s="23"/>
    </row>
    <row r="16766">
      <c r="B16766" s="19"/>
      <c r="E16766" s="23"/>
      <c r="L16766" s="23"/>
    </row>
    <row r="16767">
      <c r="B16767" s="19"/>
      <c r="E16767" s="23"/>
      <c r="L16767" s="23"/>
    </row>
    <row r="16768">
      <c r="B16768" s="19"/>
      <c r="E16768" s="23"/>
      <c r="L16768" s="23"/>
    </row>
    <row r="16769">
      <c r="B16769" s="19"/>
      <c r="E16769" s="23"/>
      <c r="L16769" s="23"/>
    </row>
    <row r="16770">
      <c r="B16770" s="19"/>
      <c r="E16770" s="23"/>
      <c r="L16770" s="23"/>
    </row>
    <row r="16771">
      <c r="B16771" s="19"/>
      <c r="E16771" s="23"/>
      <c r="L16771" s="23"/>
    </row>
    <row r="16772">
      <c r="B16772" s="19"/>
      <c r="E16772" s="23"/>
      <c r="L16772" s="23"/>
    </row>
    <row r="16773">
      <c r="B16773" s="19"/>
      <c r="E16773" s="23"/>
      <c r="L16773" s="23"/>
    </row>
    <row r="16774">
      <c r="B16774" s="19"/>
      <c r="E16774" s="23"/>
      <c r="L16774" s="23"/>
    </row>
    <row r="16775">
      <c r="B16775" s="19"/>
      <c r="E16775" s="23"/>
      <c r="L16775" s="23"/>
    </row>
    <row r="16776">
      <c r="B16776" s="19"/>
      <c r="E16776" s="23"/>
      <c r="L16776" s="23"/>
    </row>
    <row r="16777">
      <c r="B16777" s="19"/>
      <c r="E16777" s="23"/>
      <c r="L16777" s="23"/>
    </row>
    <row r="16778">
      <c r="B16778" s="19"/>
      <c r="E16778" s="23"/>
      <c r="L16778" s="23"/>
    </row>
    <row r="16779">
      <c r="B16779" s="19"/>
      <c r="E16779" s="23"/>
      <c r="L16779" s="23"/>
    </row>
    <row r="16780">
      <c r="B16780" s="19"/>
      <c r="E16780" s="23"/>
      <c r="L16780" s="23"/>
    </row>
    <row r="16781">
      <c r="B16781" s="19"/>
      <c r="E16781" s="23"/>
      <c r="L16781" s="23"/>
    </row>
    <row r="16782">
      <c r="B16782" s="19"/>
      <c r="E16782" s="23"/>
      <c r="L16782" s="23"/>
    </row>
    <row r="16783">
      <c r="B16783" s="19"/>
      <c r="E16783" s="23"/>
      <c r="L16783" s="23"/>
    </row>
    <row r="16784">
      <c r="B16784" s="19"/>
      <c r="E16784" s="23"/>
      <c r="L16784" s="23"/>
    </row>
    <row r="16785">
      <c r="B16785" s="19"/>
      <c r="E16785" s="23"/>
      <c r="L16785" s="23"/>
    </row>
    <row r="16786">
      <c r="B16786" s="19"/>
      <c r="E16786" s="23"/>
      <c r="L16786" s="23"/>
    </row>
    <row r="16787">
      <c r="B16787" s="19"/>
      <c r="E16787" s="23"/>
      <c r="L16787" s="23"/>
    </row>
    <row r="16788">
      <c r="B16788" s="19"/>
      <c r="E16788" s="23"/>
      <c r="L16788" s="23"/>
    </row>
    <row r="16789">
      <c r="B16789" s="19"/>
      <c r="E16789" s="23"/>
      <c r="L16789" s="23"/>
    </row>
    <row r="16790">
      <c r="B16790" s="19"/>
      <c r="E16790" s="23"/>
      <c r="L16790" s="23"/>
    </row>
    <row r="16791">
      <c r="B16791" s="19"/>
      <c r="E16791" s="23"/>
      <c r="L16791" s="23"/>
    </row>
    <row r="16792">
      <c r="B16792" s="19"/>
      <c r="E16792" s="23"/>
      <c r="L16792" s="23"/>
    </row>
    <row r="16793">
      <c r="B16793" s="19"/>
      <c r="E16793" s="23"/>
      <c r="L16793" s="23"/>
    </row>
    <row r="16794">
      <c r="B16794" s="19"/>
      <c r="E16794" s="23"/>
      <c r="L16794" s="23"/>
    </row>
    <row r="16795">
      <c r="B16795" s="19"/>
      <c r="E16795" s="23"/>
      <c r="L16795" s="23"/>
    </row>
    <row r="16796">
      <c r="B16796" s="19"/>
      <c r="E16796" s="23"/>
      <c r="L16796" s="23"/>
    </row>
    <row r="16797">
      <c r="B16797" s="19"/>
      <c r="E16797" s="23"/>
      <c r="L16797" s="23"/>
    </row>
    <row r="16798">
      <c r="B16798" s="19"/>
      <c r="E16798" s="23"/>
      <c r="L16798" s="23"/>
    </row>
    <row r="16799">
      <c r="B16799" s="19"/>
      <c r="E16799" s="23"/>
      <c r="L16799" s="23"/>
    </row>
    <row r="16800">
      <c r="B16800" s="19"/>
      <c r="E16800" s="23"/>
      <c r="L16800" s="23"/>
    </row>
    <row r="16801">
      <c r="B16801" s="19"/>
      <c r="E16801" s="23"/>
      <c r="L16801" s="23"/>
    </row>
    <row r="16802">
      <c r="B16802" s="19"/>
      <c r="E16802" s="23"/>
      <c r="L16802" s="23"/>
    </row>
    <row r="16803">
      <c r="B16803" s="19"/>
      <c r="E16803" s="23"/>
      <c r="L16803" s="23"/>
    </row>
    <row r="16804">
      <c r="B16804" s="19"/>
      <c r="E16804" s="23"/>
      <c r="L16804" s="23"/>
    </row>
    <row r="16805">
      <c r="B16805" s="19"/>
      <c r="E16805" s="23"/>
      <c r="L16805" s="23"/>
    </row>
    <row r="16806">
      <c r="B16806" s="19"/>
      <c r="E16806" s="23"/>
      <c r="L16806" s="23"/>
    </row>
    <row r="16807">
      <c r="B16807" s="19"/>
      <c r="E16807" s="23"/>
      <c r="L16807" s="23"/>
    </row>
    <row r="16808">
      <c r="B16808" s="19"/>
      <c r="E16808" s="23"/>
      <c r="L16808" s="23"/>
    </row>
    <row r="16809">
      <c r="B16809" s="19"/>
      <c r="E16809" s="23"/>
      <c r="L16809" s="23"/>
    </row>
    <row r="16810">
      <c r="B16810" s="19"/>
      <c r="E16810" s="23"/>
      <c r="L16810" s="23"/>
    </row>
    <row r="16811">
      <c r="B16811" s="19"/>
      <c r="E16811" s="23"/>
      <c r="L16811" s="23"/>
    </row>
    <row r="16812">
      <c r="B16812" s="19"/>
      <c r="E16812" s="23"/>
      <c r="L16812" s="23"/>
    </row>
    <row r="16813">
      <c r="B16813" s="19"/>
      <c r="E16813" s="23"/>
      <c r="L16813" s="23"/>
    </row>
    <row r="16814">
      <c r="B16814" s="19"/>
      <c r="E16814" s="23"/>
      <c r="L16814" s="23"/>
    </row>
    <row r="16815">
      <c r="B16815" s="19"/>
      <c r="E16815" s="23"/>
      <c r="L16815" s="23"/>
    </row>
    <row r="16816">
      <c r="B16816" s="19"/>
      <c r="E16816" s="23"/>
      <c r="L16816" s="23"/>
    </row>
    <row r="16817">
      <c r="B16817" s="19"/>
      <c r="E16817" s="23"/>
      <c r="L16817" s="23"/>
    </row>
    <row r="16818">
      <c r="B16818" s="19"/>
      <c r="E16818" s="23"/>
      <c r="L16818" s="23"/>
    </row>
    <row r="16819">
      <c r="B16819" s="19"/>
      <c r="E16819" s="23"/>
      <c r="L16819" s="23"/>
    </row>
    <row r="16820">
      <c r="B16820" s="19"/>
      <c r="E16820" s="23"/>
      <c r="L16820" s="23"/>
    </row>
    <row r="16821">
      <c r="B16821" s="19"/>
      <c r="E16821" s="23"/>
      <c r="L16821" s="23"/>
    </row>
    <row r="16822">
      <c r="B16822" s="19"/>
      <c r="E16822" s="23"/>
      <c r="L16822" s="23"/>
    </row>
    <row r="16823">
      <c r="B16823" s="19"/>
      <c r="E16823" s="23"/>
      <c r="L16823" s="23"/>
    </row>
    <row r="16824">
      <c r="B16824" s="19"/>
      <c r="E16824" s="23"/>
      <c r="L16824" s="23"/>
    </row>
    <row r="16825">
      <c r="B16825" s="19"/>
      <c r="E16825" s="23"/>
      <c r="L16825" s="23"/>
    </row>
    <row r="16826">
      <c r="B16826" s="19"/>
      <c r="E16826" s="23"/>
      <c r="L16826" s="23"/>
    </row>
    <row r="16827">
      <c r="B16827" s="19"/>
      <c r="E16827" s="23"/>
      <c r="L16827" s="23"/>
    </row>
    <row r="16828">
      <c r="B16828" s="19"/>
      <c r="E16828" s="23"/>
      <c r="L16828" s="23"/>
    </row>
    <row r="16829">
      <c r="B16829" s="19"/>
      <c r="E16829" s="23"/>
      <c r="L16829" s="23"/>
    </row>
    <row r="16830">
      <c r="B16830" s="19"/>
      <c r="E16830" s="23"/>
      <c r="L16830" s="23"/>
    </row>
    <row r="16831">
      <c r="B16831" s="19"/>
      <c r="E16831" s="23"/>
      <c r="L16831" s="23"/>
    </row>
    <row r="16832">
      <c r="B16832" s="19"/>
      <c r="E16832" s="23"/>
      <c r="L16832" s="23"/>
    </row>
    <row r="16833">
      <c r="B16833" s="19"/>
      <c r="E16833" s="23"/>
      <c r="L16833" s="23"/>
    </row>
    <row r="16834">
      <c r="B16834" s="19"/>
      <c r="E16834" s="23"/>
      <c r="L16834" s="23"/>
    </row>
    <row r="16835">
      <c r="B16835" s="19"/>
      <c r="E16835" s="23"/>
      <c r="L16835" s="23"/>
    </row>
    <row r="16836">
      <c r="B16836" s="19"/>
      <c r="E16836" s="23"/>
      <c r="L16836" s="23"/>
    </row>
    <row r="16837">
      <c r="B16837" s="19"/>
      <c r="E16837" s="23"/>
      <c r="L16837" s="23"/>
    </row>
    <row r="16838">
      <c r="B16838" s="19"/>
      <c r="E16838" s="23"/>
      <c r="L16838" s="23"/>
    </row>
    <row r="16839">
      <c r="B16839" s="19"/>
      <c r="E16839" s="23"/>
      <c r="L16839" s="23"/>
    </row>
    <row r="16840">
      <c r="B16840" s="19"/>
      <c r="E16840" s="23"/>
      <c r="L16840" s="23"/>
    </row>
    <row r="16841">
      <c r="B16841" s="19"/>
      <c r="E16841" s="23"/>
      <c r="L16841" s="23"/>
    </row>
    <row r="16842">
      <c r="B16842" s="19"/>
      <c r="E16842" s="23"/>
      <c r="L16842" s="23"/>
    </row>
    <row r="16843">
      <c r="B16843" s="19"/>
      <c r="E16843" s="23"/>
      <c r="L16843" s="23"/>
    </row>
    <row r="16844">
      <c r="B16844" s="19"/>
      <c r="E16844" s="23"/>
      <c r="L16844" s="23"/>
    </row>
    <row r="16845">
      <c r="B16845" s="19"/>
      <c r="E16845" s="23"/>
      <c r="L16845" s="23"/>
    </row>
    <row r="16846">
      <c r="B16846" s="19"/>
      <c r="E16846" s="23"/>
      <c r="L16846" s="23"/>
    </row>
    <row r="16847">
      <c r="B16847" s="19"/>
      <c r="E16847" s="23"/>
      <c r="L16847" s="23"/>
    </row>
    <row r="16848">
      <c r="B16848" s="19"/>
      <c r="E16848" s="23"/>
      <c r="L16848" s="23"/>
    </row>
    <row r="16849">
      <c r="B16849" s="19"/>
      <c r="E16849" s="23"/>
      <c r="L16849" s="23"/>
    </row>
    <row r="16850">
      <c r="B16850" s="19"/>
      <c r="E16850" s="23"/>
      <c r="L16850" s="23"/>
    </row>
    <row r="16851">
      <c r="B16851" s="19"/>
      <c r="E16851" s="23"/>
      <c r="L16851" s="23"/>
    </row>
    <row r="16852">
      <c r="B16852" s="19"/>
      <c r="E16852" s="23"/>
      <c r="L16852" s="23"/>
    </row>
    <row r="16853">
      <c r="B16853" s="19"/>
      <c r="E16853" s="23"/>
      <c r="L16853" s="23"/>
    </row>
    <row r="16854">
      <c r="B16854" s="19"/>
      <c r="E16854" s="23"/>
      <c r="L16854" s="23"/>
    </row>
    <row r="16855">
      <c r="B16855" s="19"/>
      <c r="E16855" s="23"/>
      <c r="L16855" s="23"/>
    </row>
    <row r="16856">
      <c r="B16856" s="19"/>
      <c r="E16856" s="23"/>
      <c r="L16856" s="23"/>
    </row>
    <row r="16857">
      <c r="B16857" s="19"/>
      <c r="E16857" s="23"/>
      <c r="L16857" s="23"/>
    </row>
    <row r="16858">
      <c r="B16858" s="19"/>
      <c r="E16858" s="23"/>
      <c r="L16858" s="23"/>
    </row>
    <row r="16859">
      <c r="B16859" s="19"/>
      <c r="E16859" s="23"/>
      <c r="L16859" s="23"/>
    </row>
    <row r="16860">
      <c r="B16860" s="19"/>
      <c r="E16860" s="23"/>
      <c r="L16860" s="23"/>
    </row>
    <row r="16861">
      <c r="B16861" s="19"/>
      <c r="E16861" s="23"/>
      <c r="L16861" s="23"/>
    </row>
    <row r="16862">
      <c r="B16862" s="19"/>
      <c r="E16862" s="23"/>
      <c r="L16862" s="23"/>
    </row>
    <row r="16863">
      <c r="B16863" s="19"/>
      <c r="E16863" s="23"/>
      <c r="L16863" s="23"/>
    </row>
    <row r="16864">
      <c r="B16864" s="19"/>
      <c r="E16864" s="23"/>
      <c r="L16864" s="23"/>
    </row>
    <row r="16865">
      <c r="B16865" s="19"/>
      <c r="E16865" s="23"/>
      <c r="L16865" s="23"/>
    </row>
    <row r="16866">
      <c r="B16866" s="19"/>
      <c r="E16866" s="23"/>
      <c r="L16866" s="23"/>
    </row>
    <row r="16867">
      <c r="B16867" s="19"/>
      <c r="E16867" s="23"/>
      <c r="L16867" s="23"/>
    </row>
    <row r="16868">
      <c r="B16868" s="19"/>
      <c r="E16868" s="23"/>
      <c r="L16868" s="23"/>
    </row>
    <row r="16869">
      <c r="B16869" s="19"/>
      <c r="E16869" s="23"/>
      <c r="L16869" s="23"/>
    </row>
    <row r="16870">
      <c r="B16870" s="19"/>
      <c r="E16870" s="23"/>
      <c r="L16870" s="23"/>
    </row>
    <row r="16871">
      <c r="B16871" s="19"/>
      <c r="E16871" s="23"/>
      <c r="L16871" s="23"/>
    </row>
    <row r="16872">
      <c r="B16872" s="19"/>
      <c r="E16872" s="23"/>
      <c r="L16872" s="23"/>
    </row>
    <row r="16873">
      <c r="B16873" s="19"/>
      <c r="E16873" s="23"/>
      <c r="L16873" s="23"/>
    </row>
    <row r="16874">
      <c r="B16874" s="19"/>
      <c r="E16874" s="23"/>
      <c r="L16874" s="23"/>
    </row>
    <row r="16875">
      <c r="B16875" s="19"/>
      <c r="E16875" s="23"/>
      <c r="L16875" s="23"/>
    </row>
    <row r="16876">
      <c r="B16876" s="19"/>
      <c r="E16876" s="23"/>
      <c r="L16876" s="23"/>
    </row>
    <row r="16877">
      <c r="B16877" s="19"/>
      <c r="E16877" s="23"/>
      <c r="L16877" s="23"/>
    </row>
    <row r="16878">
      <c r="B16878" s="19"/>
      <c r="E16878" s="23"/>
      <c r="L16878" s="23"/>
    </row>
    <row r="16879">
      <c r="B16879" s="19"/>
      <c r="E16879" s="23"/>
      <c r="L16879" s="23"/>
    </row>
    <row r="16880">
      <c r="B16880" s="19"/>
      <c r="E16880" s="23"/>
      <c r="L16880" s="23"/>
    </row>
    <row r="16881">
      <c r="B16881" s="19"/>
      <c r="E16881" s="23"/>
      <c r="L16881" s="23"/>
    </row>
    <row r="16882">
      <c r="B16882" s="19"/>
      <c r="E16882" s="23"/>
      <c r="L16882" s="23"/>
    </row>
    <row r="16883">
      <c r="B16883" s="19"/>
      <c r="E16883" s="23"/>
      <c r="L16883" s="23"/>
    </row>
    <row r="16884">
      <c r="B16884" s="19"/>
      <c r="E16884" s="23"/>
      <c r="L16884" s="23"/>
    </row>
    <row r="16885">
      <c r="B16885" s="19"/>
      <c r="E16885" s="23"/>
      <c r="L16885" s="23"/>
    </row>
    <row r="16886">
      <c r="B16886" s="19"/>
      <c r="E16886" s="23"/>
      <c r="L16886" s="23"/>
    </row>
    <row r="16887">
      <c r="B16887" s="19"/>
      <c r="E16887" s="23"/>
      <c r="L16887" s="23"/>
    </row>
    <row r="16888">
      <c r="B16888" s="19"/>
      <c r="E16888" s="23"/>
      <c r="L16888" s="23"/>
    </row>
    <row r="16889">
      <c r="B16889" s="19"/>
      <c r="E16889" s="23"/>
      <c r="L16889" s="23"/>
    </row>
    <row r="16890">
      <c r="B16890" s="19"/>
      <c r="E16890" s="23"/>
      <c r="L16890" s="23"/>
    </row>
    <row r="16891">
      <c r="B16891" s="19"/>
      <c r="E16891" s="23"/>
      <c r="L16891" s="23"/>
    </row>
    <row r="16892">
      <c r="B16892" s="19"/>
      <c r="E16892" s="23"/>
      <c r="L16892" s="23"/>
    </row>
    <row r="16893">
      <c r="B16893" s="19"/>
      <c r="E16893" s="23"/>
      <c r="L16893" s="23"/>
    </row>
    <row r="16894">
      <c r="B16894" s="19"/>
      <c r="E16894" s="23"/>
      <c r="L16894" s="23"/>
    </row>
    <row r="16895">
      <c r="B16895" s="19"/>
      <c r="E16895" s="23"/>
      <c r="L16895" s="23"/>
    </row>
    <row r="16896">
      <c r="B16896" s="19"/>
      <c r="E16896" s="23"/>
      <c r="L16896" s="23"/>
    </row>
    <row r="16897">
      <c r="B16897" s="19"/>
      <c r="E16897" s="23"/>
      <c r="L16897" s="23"/>
    </row>
    <row r="16898">
      <c r="B16898" s="19"/>
      <c r="E16898" s="23"/>
      <c r="L16898" s="23"/>
    </row>
    <row r="16899">
      <c r="B16899" s="19"/>
      <c r="E16899" s="23"/>
      <c r="L16899" s="23"/>
    </row>
    <row r="16900">
      <c r="B16900" s="19"/>
      <c r="E16900" s="23"/>
      <c r="L16900" s="23"/>
    </row>
    <row r="16901">
      <c r="B16901" s="19"/>
      <c r="E16901" s="23"/>
      <c r="L16901" s="23"/>
    </row>
    <row r="16902">
      <c r="B16902" s="19"/>
      <c r="E16902" s="23"/>
      <c r="L16902" s="23"/>
    </row>
    <row r="16903">
      <c r="B16903" s="19"/>
      <c r="E16903" s="23"/>
      <c r="L16903" s="23"/>
    </row>
    <row r="16904">
      <c r="B16904" s="19"/>
      <c r="E16904" s="23"/>
      <c r="L16904" s="23"/>
    </row>
    <row r="16905">
      <c r="B16905" s="19"/>
      <c r="E16905" s="23"/>
      <c r="L16905" s="23"/>
    </row>
    <row r="16906">
      <c r="B16906" s="19"/>
      <c r="E16906" s="23"/>
      <c r="L16906" s="23"/>
    </row>
    <row r="16907">
      <c r="B16907" s="19"/>
      <c r="E16907" s="23"/>
      <c r="L16907" s="23"/>
    </row>
    <row r="16908">
      <c r="B16908" s="19"/>
      <c r="E16908" s="23"/>
      <c r="L16908" s="23"/>
    </row>
    <row r="16909">
      <c r="B16909" s="19"/>
      <c r="E16909" s="23"/>
      <c r="L16909" s="23"/>
    </row>
    <row r="16910">
      <c r="B16910" s="19"/>
      <c r="E16910" s="23"/>
      <c r="L16910" s="23"/>
    </row>
    <row r="16911">
      <c r="B16911" s="19"/>
      <c r="E16911" s="23"/>
      <c r="L16911" s="23"/>
    </row>
    <row r="16912">
      <c r="B16912" s="19"/>
      <c r="E16912" s="23"/>
      <c r="L16912" s="23"/>
    </row>
    <row r="16913">
      <c r="B16913" s="19"/>
      <c r="E16913" s="23"/>
      <c r="L16913" s="23"/>
    </row>
    <row r="16914">
      <c r="B16914" s="19"/>
      <c r="E16914" s="23"/>
      <c r="L16914" s="23"/>
    </row>
    <row r="16915">
      <c r="B16915" s="19"/>
      <c r="E16915" s="23"/>
      <c r="L16915" s="23"/>
    </row>
    <row r="16916">
      <c r="B16916" s="19"/>
      <c r="E16916" s="23"/>
      <c r="L16916" s="23"/>
    </row>
    <row r="16917">
      <c r="B16917" s="19"/>
      <c r="E16917" s="23"/>
      <c r="L16917" s="23"/>
    </row>
    <row r="16918">
      <c r="B16918" s="19"/>
      <c r="E16918" s="23"/>
      <c r="L16918" s="23"/>
    </row>
    <row r="16919">
      <c r="B16919" s="19"/>
      <c r="E16919" s="23"/>
      <c r="L16919" s="23"/>
    </row>
    <row r="16920">
      <c r="B16920" s="19"/>
      <c r="E16920" s="23"/>
      <c r="L16920" s="23"/>
    </row>
    <row r="16921">
      <c r="B16921" s="19"/>
      <c r="E16921" s="23"/>
      <c r="L16921" s="23"/>
    </row>
    <row r="16922">
      <c r="B16922" s="19"/>
      <c r="E16922" s="23"/>
      <c r="L16922" s="23"/>
    </row>
    <row r="16923">
      <c r="B16923" s="19"/>
      <c r="E16923" s="23"/>
      <c r="L16923" s="23"/>
    </row>
    <row r="16924">
      <c r="B16924" s="19"/>
      <c r="E16924" s="23"/>
      <c r="L16924" s="23"/>
    </row>
    <row r="16925">
      <c r="B16925" s="19"/>
      <c r="E16925" s="23"/>
      <c r="L16925" s="23"/>
    </row>
    <row r="16926">
      <c r="B16926" s="19"/>
      <c r="E16926" s="23"/>
      <c r="L16926" s="23"/>
    </row>
    <row r="16927">
      <c r="B16927" s="19"/>
      <c r="E16927" s="23"/>
      <c r="L16927" s="23"/>
    </row>
    <row r="16928">
      <c r="B16928" s="19"/>
      <c r="E16928" s="23"/>
      <c r="L16928" s="23"/>
    </row>
    <row r="16929">
      <c r="B16929" s="19"/>
      <c r="E16929" s="23"/>
      <c r="L16929" s="23"/>
    </row>
    <row r="16930">
      <c r="B16930" s="19"/>
      <c r="E16930" s="23"/>
      <c r="L16930" s="23"/>
    </row>
    <row r="16931">
      <c r="B16931" s="19"/>
      <c r="E16931" s="23"/>
      <c r="L16931" s="23"/>
    </row>
    <row r="16932">
      <c r="B16932" s="19"/>
      <c r="E16932" s="23"/>
      <c r="L16932" s="23"/>
    </row>
    <row r="16933">
      <c r="B16933" s="19"/>
      <c r="E16933" s="23"/>
      <c r="L16933" s="23"/>
    </row>
    <row r="16934">
      <c r="B16934" s="19"/>
      <c r="E16934" s="23"/>
      <c r="L16934" s="23"/>
    </row>
    <row r="16935">
      <c r="B16935" s="19"/>
      <c r="E16935" s="23"/>
      <c r="L16935" s="23"/>
    </row>
    <row r="16936">
      <c r="B16936" s="19"/>
      <c r="E16936" s="23"/>
      <c r="L16936" s="23"/>
    </row>
    <row r="16937">
      <c r="B16937" s="19"/>
      <c r="E16937" s="23"/>
      <c r="L16937" s="23"/>
    </row>
    <row r="16938">
      <c r="B16938" s="19"/>
      <c r="E16938" s="23"/>
      <c r="L16938" s="23"/>
    </row>
    <row r="16939">
      <c r="B16939" s="19"/>
      <c r="E16939" s="23"/>
      <c r="L16939" s="23"/>
    </row>
    <row r="16940">
      <c r="B16940" s="19"/>
      <c r="E16940" s="23"/>
      <c r="L16940" s="23"/>
    </row>
    <row r="16941">
      <c r="B16941" s="19"/>
      <c r="E16941" s="23"/>
      <c r="L16941" s="23"/>
    </row>
    <row r="16942">
      <c r="B16942" s="19"/>
      <c r="E16942" s="23"/>
      <c r="L16942" s="23"/>
    </row>
    <row r="16943">
      <c r="B16943" s="19"/>
      <c r="E16943" s="23"/>
      <c r="L16943" s="23"/>
    </row>
    <row r="16944">
      <c r="B16944" s="19"/>
      <c r="E16944" s="23"/>
      <c r="L16944" s="23"/>
    </row>
    <row r="16945">
      <c r="B16945" s="19"/>
      <c r="E16945" s="23"/>
      <c r="L16945" s="23"/>
    </row>
    <row r="16946">
      <c r="B16946" s="19"/>
      <c r="E16946" s="23"/>
      <c r="L16946" s="23"/>
    </row>
    <row r="16947">
      <c r="B16947" s="19"/>
      <c r="E16947" s="23"/>
      <c r="L16947" s="23"/>
    </row>
    <row r="16948">
      <c r="B16948" s="19"/>
      <c r="E16948" s="23"/>
      <c r="L16948" s="23"/>
    </row>
    <row r="16949">
      <c r="B16949" s="19"/>
      <c r="E16949" s="23"/>
      <c r="L16949" s="23"/>
    </row>
    <row r="16950">
      <c r="B16950" s="19"/>
      <c r="E16950" s="23"/>
      <c r="L16950" s="23"/>
    </row>
    <row r="16951">
      <c r="B16951" s="19"/>
      <c r="E16951" s="23"/>
      <c r="L16951" s="23"/>
    </row>
    <row r="16952">
      <c r="B16952" s="19"/>
      <c r="E16952" s="23"/>
      <c r="L16952" s="23"/>
    </row>
    <row r="16953">
      <c r="B16953" s="19"/>
      <c r="E16953" s="23"/>
      <c r="L16953" s="23"/>
    </row>
    <row r="16954">
      <c r="B16954" s="19"/>
      <c r="E16954" s="23"/>
      <c r="L16954" s="23"/>
    </row>
    <row r="16955">
      <c r="B16955" s="19"/>
      <c r="E16955" s="23"/>
      <c r="L16955" s="23"/>
    </row>
    <row r="16956">
      <c r="B16956" s="19"/>
      <c r="E16956" s="23"/>
      <c r="L16956" s="23"/>
    </row>
    <row r="16957">
      <c r="B16957" s="19"/>
      <c r="E16957" s="23"/>
      <c r="L16957" s="23"/>
    </row>
    <row r="16958">
      <c r="B16958" s="19"/>
      <c r="E16958" s="23"/>
      <c r="L16958" s="23"/>
    </row>
    <row r="16959">
      <c r="B16959" s="19"/>
      <c r="E16959" s="23"/>
      <c r="L16959" s="23"/>
    </row>
    <row r="16960">
      <c r="B16960" s="19"/>
      <c r="E16960" s="23"/>
      <c r="L16960" s="23"/>
    </row>
    <row r="16961">
      <c r="B16961" s="19"/>
      <c r="E16961" s="23"/>
      <c r="L16961" s="23"/>
    </row>
    <row r="16962">
      <c r="B16962" s="19"/>
      <c r="E16962" s="23"/>
      <c r="L16962" s="23"/>
    </row>
    <row r="16963">
      <c r="B16963" s="19"/>
      <c r="E16963" s="23"/>
      <c r="L16963" s="23"/>
    </row>
    <row r="16964">
      <c r="B16964" s="19"/>
      <c r="E16964" s="23"/>
      <c r="L16964" s="23"/>
    </row>
    <row r="16965">
      <c r="B16965" s="19"/>
      <c r="E16965" s="23"/>
      <c r="L16965" s="23"/>
    </row>
    <row r="16966">
      <c r="B16966" s="19"/>
      <c r="E16966" s="23"/>
      <c r="L16966" s="23"/>
    </row>
    <row r="16967">
      <c r="B16967" s="19"/>
      <c r="E16967" s="23"/>
      <c r="L16967" s="23"/>
    </row>
    <row r="16968">
      <c r="B16968" s="19"/>
      <c r="E16968" s="23"/>
      <c r="L16968" s="23"/>
    </row>
    <row r="16969">
      <c r="B16969" s="19"/>
      <c r="E16969" s="23"/>
      <c r="L16969" s="23"/>
    </row>
    <row r="16970">
      <c r="B16970" s="19"/>
      <c r="E16970" s="23"/>
      <c r="L16970" s="23"/>
    </row>
    <row r="16971">
      <c r="B16971" s="19"/>
      <c r="E16971" s="23"/>
      <c r="L16971" s="23"/>
    </row>
    <row r="16972">
      <c r="B16972" s="19"/>
      <c r="E16972" s="23"/>
      <c r="L16972" s="23"/>
    </row>
    <row r="16973">
      <c r="B16973" s="19"/>
      <c r="E16973" s="23"/>
      <c r="L16973" s="23"/>
    </row>
    <row r="16974">
      <c r="B16974" s="19"/>
      <c r="E16974" s="23"/>
      <c r="L16974" s="23"/>
    </row>
    <row r="16975">
      <c r="B16975" s="19"/>
      <c r="E16975" s="23"/>
      <c r="L16975" s="23"/>
    </row>
    <row r="16976">
      <c r="B16976" s="19"/>
      <c r="E16976" s="23"/>
      <c r="L16976" s="23"/>
    </row>
    <row r="16977">
      <c r="B16977" s="19"/>
      <c r="E16977" s="23"/>
      <c r="L16977" s="23"/>
    </row>
    <row r="16978">
      <c r="B16978" s="19"/>
      <c r="E16978" s="23"/>
      <c r="L16978" s="23"/>
    </row>
    <row r="16979">
      <c r="B16979" s="19"/>
      <c r="E16979" s="23"/>
      <c r="L16979" s="23"/>
    </row>
    <row r="16980">
      <c r="B16980" s="19"/>
      <c r="E16980" s="23"/>
      <c r="L16980" s="23"/>
    </row>
    <row r="16981">
      <c r="B16981" s="19"/>
      <c r="E16981" s="23"/>
      <c r="L16981" s="23"/>
    </row>
    <row r="16982">
      <c r="B16982" s="19"/>
      <c r="E16982" s="23"/>
      <c r="L16982" s="23"/>
    </row>
    <row r="16983">
      <c r="B16983" s="19"/>
      <c r="E16983" s="23"/>
      <c r="L16983" s="23"/>
    </row>
    <row r="16984">
      <c r="B16984" s="19"/>
      <c r="E16984" s="23"/>
      <c r="L16984" s="23"/>
    </row>
    <row r="16985">
      <c r="B16985" s="19"/>
      <c r="E16985" s="23"/>
      <c r="L16985" s="23"/>
    </row>
    <row r="16986">
      <c r="B16986" s="19"/>
      <c r="E16986" s="23"/>
      <c r="L16986" s="23"/>
    </row>
    <row r="16987">
      <c r="B16987" s="19"/>
      <c r="E16987" s="23"/>
      <c r="L16987" s="23"/>
    </row>
    <row r="16988">
      <c r="B16988" s="19"/>
      <c r="E16988" s="23"/>
      <c r="L16988" s="23"/>
    </row>
    <row r="16989">
      <c r="B16989" s="19"/>
      <c r="E16989" s="23"/>
      <c r="L16989" s="23"/>
    </row>
    <row r="16990">
      <c r="B16990" s="19"/>
      <c r="E16990" s="23"/>
      <c r="L16990" s="23"/>
    </row>
    <row r="16991">
      <c r="B16991" s="19"/>
      <c r="E16991" s="23"/>
      <c r="L16991" s="23"/>
    </row>
    <row r="16992">
      <c r="B16992" s="19"/>
      <c r="E16992" s="23"/>
      <c r="L16992" s="23"/>
    </row>
    <row r="16993">
      <c r="B16993" s="19"/>
      <c r="E16993" s="23"/>
      <c r="L16993" s="23"/>
    </row>
    <row r="16994">
      <c r="B16994" s="19"/>
      <c r="E16994" s="23"/>
      <c r="L16994" s="23"/>
    </row>
    <row r="16995">
      <c r="B16995" s="19"/>
      <c r="E16995" s="23"/>
      <c r="L16995" s="23"/>
    </row>
    <row r="16996">
      <c r="B16996" s="19"/>
      <c r="E16996" s="23"/>
      <c r="L16996" s="23"/>
    </row>
    <row r="16997">
      <c r="B16997" s="19"/>
      <c r="E16997" s="23"/>
      <c r="L16997" s="23"/>
    </row>
    <row r="16998">
      <c r="B16998" s="19"/>
      <c r="E16998" s="23"/>
      <c r="L16998" s="23"/>
    </row>
    <row r="16999">
      <c r="B16999" s="19"/>
      <c r="E16999" s="23"/>
      <c r="L16999" s="23"/>
    </row>
    <row r="17000">
      <c r="B17000" s="19"/>
      <c r="E17000" s="23"/>
      <c r="L17000" s="23"/>
    </row>
    <row r="17001">
      <c r="B17001" s="19"/>
      <c r="E17001" s="23"/>
      <c r="L17001" s="23"/>
    </row>
    <row r="17002">
      <c r="B17002" s="19"/>
      <c r="E17002" s="23"/>
      <c r="L17002" s="23"/>
    </row>
    <row r="17003">
      <c r="B17003" s="19"/>
      <c r="E17003" s="23"/>
      <c r="L17003" s="23"/>
    </row>
    <row r="17004">
      <c r="B17004" s="19"/>
      <c r="E17004" s="23"/>
      <c r="L17004" s="23"/>
    </row>
    <row r="17005">
      <c r="B17005" s="19"/>
      <c r="E17005" s="23"/>
      <c r="L17005" s="23"/>
    </row>
    <row r="17006">
      <c r="B17006" s="19"/>
      <c r="E17006" s="23"/>
      <c r="L17006" s="23"/>
    </row>
    <row r="17007">
      <c r="B17007" s="19"/>
      <c r="E17007" s="23"/>
      <c r="L17007" s="23"/>
    </row>
    <row r="17008">
      <c r="B17008" s="19"/>
      <c r="E17008" s="23"/>
      <c r="L17008" s="23"/>
    </row>
    <row r="17009">
      <c r="B17009" s="19"/>
      <c r="E17009" s="23"/>
      <c r="L17009" s="23"/>
    </row>
    <row r="17010">
      <c r="B17010" s="19"/>
      <c r="E17010" s="23"/>
      <c r="L17010" s="23"/>
    </row>
    <row r="17011">
      <c r="B17011" s="19"/>
      <c r="E17011" s="23"/>
      <c r="L17011" s="23"/>
    </row>
    <row r="17012">
      <c r="B17012" s="19"/>
      <c r="E17012" s="23"/>
      <c r="L17012" s="23"/>
    </row>
    <row r="17013">
      <c r="B17013" s="19"/>
      <c r="E17013" s="23"/>
      <c r="L17013" s="23"/>
    </row>
    <row r="17014">
      <c r="B17014" s="19"/>
      <c r="E17014" s="23"/>
      <c r="L17014" s="23"/>
    </row>
    <row r="17015">
      <c r="B17015" s="19"/>
      <c r="E17015" s="23"/>
      <c r="L17015" s="23"/>
    </row>
    <row r="17016">
      <c r="B17016" s="19"/>
      <c r="E17016" s="23"/>
      <c r="L17016" s="23"/>
    </row>
    <row r="17017">
      <c r="B17017" s="19"/>
      <c r="E17017" s="23"/>
      <c r="L17017" s="23"/>
    </row>
    <row r="17018">
      <c r="B17018" s="19"/>
      <c r="E17018" s="23"/>
      <c r="L17018" s="23"/>
    </row>
    <row r="17019">
      <c r="B17019" s="19"/>
      <c r="E17019" s="23"/>
      <c r="L17019" s="23"/>
    </row>
    <row r="17020">
      <c r="B17020" s="19"/>
      <c r="E17020" s="23"/>
      <c r="L17020" s="23"/>
    </row>
    <row r="17021">
      <c r="B17021" s="19"/>
      <c r="E17021" s="23"/>
      <c r="L17021" s="23"/>
    </row>
    <row r="17022">
      <c r="B17022" s="19"/>
      <c r="E17022" s="23"/>
      <c r="L17022" s="23"/>
    </row>
    <row r="17023">
      <c r="B17023" s="19"/>
      <c r="E17023" s="23"/>
      <c r="L17023" s="23"/>
    </row>
    <row r="17024">
      <c r="B17024" s="19"/>
      <c r="E17024" s="23"/>
      <c r="L17024" s="23"/>
    </row>
    <row r="17025">
      <c r="B17025" s="19"/>
      <c r="E17025" s="23"/>
      <c r="L17025" s="23"/>
    </row>
    <row r="17026">
      <c r="B17026" s="19"/>
      <c r="E17026" s="23"/>
      <c r="L17026" s="23"/>
    </row>
    <row r="17027">
      <c r="B17027" s="19"/>
      <c r="E17027" s="23"/>
      <c r="L17027" s="23"/>
    </row>
    <row r="17028">
      <c r="B17028" s="19"/>
      <c r="E17028" s="23"/>
      <c r="L17028" s="23"/>
    </row>
    <row r="17029">
      <c r="B17029" s="19"/>
      <c r="E17029" s="23"/>
      <c r="L17029" s="23"/>
    </row>
    <row r="17030">
      <c r="B17030" s="19"/>
      <c r="E17030" s="23"/>
      <c r="L17030" s="23"/>
    </row>
    <row r="17031">
      <c r="B17031" s="19"/>
      <c r="E17031" s="23"/>
      <c r="L17031" s="23"/>
    </row>
    <row r="17032">
      <c r="B17032" s="19"/>
      <c r="E17032" s="23"/>
      <c r="L17032" s="23"/>
    </row>
    <row r="17033">
      <c r="B17033" s="19"/>
      <c r="E17033" s="23"/>
      <c r="L17033" s="23"/>
    </row>
    <row r="17034">
      <c r="B17034" s="19"/>
      <c r="E17034" s="23"/>
      <c r="L17034" s="23"/>
    </row>
    <row r="17035">
      <c r="B17035" s="19"/>
      <c r="E17035" s="23"/>
      <c r="L17035" s="23"/>
    </row>
    <row r="17036">
      <c r="B17036" s="19"/>
      <c r="E17036" s="23"/>
      <c r="L17036" s="23"/>
    </row>
    <row r="17037">
      <c r="B17037" s="19"/>
      <c r="E17037" s="23"/>
      <c r="L17037" s="23"/>
    </row>
    <row r="17038">
      <c r="B17038" s="19"/>
      <c r="E17038" s="23"/>
      <c r="L17038" s="23"/>
    </row>
    <row r="17039">
      <c r="B17039" s="19"/>
      <c r="E17039" s="23"/>
      <c r="L17039" s="23"/>
    </row>
    <row r="17040">
      <c r="B17040" s="19"/>
      <c r="E17040" s="23"/>
      <c r="L17040" s="23"/>
    </row>
    <row r="17041">
      <c r="B17041" s="19"/>
      <c r="E17041" s="23"/>
      <c r="L17041" s="23"/>
    </row>
    <row r="17042">
      <c r="B17042" s="19"/>
      <c r="E17042" s="23"/>
      <c r="L17042" s="23"/>
    </row>
    <row r="17043">
      <c r="B17043" s="19"/>
      <c r="E17043" s="23"/>
      <c r="L17043" s="23"/>
    </row>
    <row r="17044">
      <c r="B17044" s="19"/>
      <c r="E17044" s="23"/>
      <c r="L17044" s="23"/>
    </row>
    <row r="17045">
      <c r="B17045" s="19"/>
      <c r="E17045" s="23"/>
      <c r="L17045" s="23"/>
    </row>
    <row r="17046">
      <c r="B17046" s="19"/>
      <c r="E17046" s="23"/>
      <c r="L17046" s="23"/>
    </row>
    <row r="17047">
      <c r="B17047" s="19"/>
      <c r="E17047" s="23"/>
      <c r="L17047" s="23"/>
    </row>
    <row r="17048">
      <c r="B17048" s="19"/>
      <c r="E17048" s="23"/>
      <c r="L17048" s="23"/>
    </row>
    <row r="17049">
      <c r="B17049" s="19"/>
      <c r="E17049" s="23"/>
      <c r="L17049" s="23"/>
    </row>
    <row r="17050">
      <c r="B17050" s="19"/>
      <c r="E17050" s="23"/>
      <c r="L17050" s="23"/>
    </row>
    <row r="17051">
      <c r="B17051" s="19"/>
      <c r="E17051" s="23"/>
      <c r="L17051" s="23"/>
    </row>
    <row r="17052">
      <c r="B17052" s="19"/>
      <c r="E17052" s="23"/>
      <c r="L17052" s="23"/>
    </row>
    <row r="17053">
      <c r="B17053" s="19"/>
      <c r="E17053" s="23"/>
      <c r="L17053" s="23"/>
    </row>
    <row r="17054">
      <c r="B17054" s="19"/>
      <c r="E17054" s="23"/>
      <c r="L17054" s="23"/>
    </row>
    <row r="17055">
      <c r="B17055" s="19"/>
      <c r="E17055" s="23"/>
      <c r="L17055" s="23"/>
    </row>
    <row r="17056">
      <c r="B17056" s="19"/>
      <c r="E17056" s="23"/>
      <c r="L17056" s="23"/>
    </row>
    <row r="17057">
      <c r="B17057" s="19"/>
      <c r="E17057" s="23"/>
      <c r="L17057" s="23"/>
    </row>
    <row r="17058">
      <c r="B17058" s="19"/>
      <c r="E17058" s="23"/>
      <c r="L17058" s="23"/>
    </row>
    <row r="17059">
      <c r="B17059" s="19"/>
      <c r="E17059" s="23"/>
      <c r="L17059" s="23"/>
    </row>
    <row r="17060">
      <c r="B17060" s="19"/>
      <c r="E17060" s="23"/>
      <c r="L17060" s="23"/>
    </row>
    <row r="17061">
      <c r="B17061" s="19"/>
      <c r="E17061" s="23"/>
      <c r="L17061" s="23"/>
    </row>
    <row r="17062">
      <c r="B17062" s="19"/>
      <c r="E17062" s="23"/>
      <c r="L17062" s="23"/>
    </row>
    <row r="17063">
      <c r="B17063" s="19"/>
      <c r="E17063" s="23"/>
      <c r="L17063" s="23"/>
    </row>
    <row r="17064">
      <c r="B17064" s="19"/>
      <c r="E17064" s="23"/>
      <c r="L17064" s="23"/>
    </row>
    <row r="17065">
      <c r="B17065" s="19"/>
      <c r="E17065" s="23"/>
      <c r="L17065" s="23"/>
    </row>
    <row r="17066">
      <c r="B17066" s="19"/>
      <c r="E17066" s="23"/>
      <c r="L17066" s="23"/>
    </row>
    <row r="17067">
      <c r="B17067" s="19"/>
      <c r="E17067" s="23"/>
      <c r="L17067" s="23"/>
    </row>
    <row r="17068">
      <c r="B17068" s="19"/>
      <c r="E17068" s="23"/>
      <c r="L17068" s="23"/>
    </row>
    <row r="17069">
      <c r="B17069" s="19"/>
      <c r="E17069" s="23"/>
      <c r="L17069" s="23"/>
    </row>
    <row r="17070">
      <c r="B17070" s="19"/>
      <c r="E17070" s="23"/>
      <c r="L17070" s="23"/>
    </row>
    <row r="17071">
      <c r="B17071" s="19"/>
      <c r="E17071" s="23"/>
      <c r="L17071" s="23"/>
    </row>
    <row r="17072">
      <c r="B17072" s="19"/>
      <c r="E17072" s="23"/>
      <c r="L17072" s="23"/>
    </row>
    <row r="17073">
      <c r="B17073" s="19"/>
      <c r="E17073" s="23"/>
      <c r="L17073" s="23"/>
    </row>
    <row r="17074">
      <c r="B17074" s="19"/>
      <c r="E17074" s="23"/>
      <c r="L17074" s="23"/>
    </row>
    <row r="17075">
      <c r="B17075" s="19"/>
      <c r="E17075" s="23"/>
      <c r="L17075" s="23"/>
    </row>
    <row r="17076">
      <c r="B17076" s="19"/>
      <c r="E17076" s="23"/>
      <c r="L17076" s="23"/>
    </row>
    <row r="17077">
      <c r="B17077" s="19"/>
      <c r="E17077" s="23"/>
      <c r="L17077" s="23"/>
    </row>
    <row r="17078">
      <c r="B17078" s="19"/>
      <c r="E17078" s="23"/>
      <c r="L17078" s="23"/>
    </row>
    <row r="17079">
      <c r="B17079" s="19"/>
      <c r="E17079" s="23"/>
      <c r="L17079" s="23"/>
    </row>
    <row r="17080">
      <c r="B17080" s="19"/>
      <c r="E17080" s="23"/>
      <c r="L17080" s="23"/>
    </row>
    <row r="17081">
      <c r="B17081" s="19"/>
      <c r="E17081" s="23"/>
      <c r="L17081" s="23"/>
    </row>
    <row r="17082">
      <c r="B17082" s="19"/>
      <c r="E17082" s="23"/>
      <c r="L17082" s="23"/>
    </row>
    <row r="17083">
      <c r="B17083" s="19"/>
      <c r="E17083" s="23"/>
      <c r="L17083" s="23"/>
    </row>
    <row r="17084">
      <c r="B17084" s="19"/>
      <c r="E17084" s="23"/>
      <c r="L17084" s="23"/>
    </row>
    <row r="17085">
      <c r="B17085" s="19"/>
      <c r="E17085" s="23"/>
      <c r="L17085" s="23"/>
    </row>
    <row r="17086">
      <c r="B17086" s="19"/>
      <c r="E17086" s="23"/>
      <c r="L17086" s="23"/>
    </row>
    <row r="17087">
      <c r="B17087" s="19"/>
      <c r="E17087" s="23"/>
      <c r="L17087" s="23"/>
    </row>
    <row r="17088">
      <c r="B17088" s="19"/>
      <c r="E17088" s="23"/>
      <c r="L17088" s="23"/>
    </row>
    <row r="17089">
      <c r="B17089" s="19"/>
      <c r="E17089" s="23"/>
      <c r="L17089" s="23"/>
    </row>
    <row r="17090">
      <c r="B17090" s="19"/>
      <c r="E17090" s="23"/>
      <c r="L17090" s="23"/>
    </row>
    <row r="17091">
      <c r="B17091" s="19"/>
      <c r="E17091" s="23"/>
      <c r="L17091" s="23"/>
    </row>
    <row r="17092">
      <c r="B17092" s="19"/>
      <c r="E17092" s="23"/>
      <c r="L17092" s="23"/>
    </row>
    <row r="17093">
      <c r="B17093" s="19"/>
      <c r="E17093" s="23"/>
      <c r="L17093" s="23"/>
    </row>
    <row r="17094">
      <c r="B17094" s="19"/>
      <c r="E17094" s="23"/>
      <c r="L17094" s="23"/>
    </row>
    <row r="17095">
      <c r="B17095" s="19"/>
      <c r="E17095" s="23"/>
      <c r="L17095" s="23"/>
    </row>
    <row r="17096">
      <c r="B17096" s="19"/>
      <c r="E17096" s="23"/>
      <c r="L17096" s="23"/>
    </row>
    <row r="17097">
      <c r="B17097" s="19"/>
      <c r="E17097" s="23"/>
      <c r="L17097" s="23"/>
    </row>
    <row r="17098">
      <c r="B17098" s="19"/>
      <c r="E17098" s="23"/>
      <c r="L17098" s="23"/>
    </row>
    <row r="17099">
      <c r="B17099" s="19"/>
      <c r="E17099" s="23"/>
      <c r="L17099" s="23"/>
    </row>
    <row r="17100">
      <c r="B17100" s="19"/>
      <c r="E17100" s="23"/>
      <c r="L17100" s="23"/>
    </row>
    <row r="17101">
      <c r="B17101" s="19"/>
      <c r="E17101" s="23"/>
      <c r="L17101" s="23"/>
    </row>
    <row r="17102">
      <c r="B17102" s="19"/>
      <c r="E17102" s="23"/>
      <c r="L17102" s="23"/>
    </row>
    <row r="17103">
      <c r="B17103" s="19"/>
      <c r="E17103" s="23"/>
      <c r="L17103" s="23"/>
    </row>
    <row r="17104">
      <c r="B17104" s="19"/>
      <c r="E17104" s="23"/>
      <c r="L17104" s="23"/>
    </row>
    <row r="17105">
      <c r="B17105" s="19"/>
      <c r="E17105" s="23"/>
      <c r="L17105" s="23"/>
    </row>
    <row r="17106">
      <c r="B17106" s="19"/>
      <c r="E17106" s="23"/>
      <c r="L17106" s="23"/>
    </row>
    <row r="17107">
      <c r="B17107" s="19"/>
      <c r="E17107" s="23"/>
      <c r="L17107" s="23"/>
    </row>
    <row r="17108">
      <c r="B17108" s="19"/>
      <c r="E17108" s="23"/>
      <c r="L17108" s="23"/>
    </row>
    <row r="17109">
      <c r="B17109" s="19"/>
      <c r="E17109" s="23"/>
      <c r="L17109" s="23"/>
    </row>
    <row r="17110">
      <c r="B17110" s="19"/>
      <c r="E17110" s="23"/>
      <c r="L17110" s="23"/>
    </row>
    <row r="17111">
      <c r="B17111" s="19"/>
      <c r="E17111" s="23"/>
      <c r="L17111" s="23"/>
    </row>
    <row r="17112">
      <c r="B17112" s="19"/>
      <c r="E17112" s="23"/>
      <c r="L17112" s="23"/>
    </row>
    <row r="17113">
      <c r="B17113" s="19"/>
      <c r="E17113" s="23"/>
      <c r="L17113" s="23"/>
    </row>
    <row r="17114">
      <c r="B17114" s="19"/>
      <c r="E17114" s="23"/>
      <c r="L17114" s="23"/>
    </row>
    <row r="17115">
      <c r="B17115" s="19"/>
      <c r="E17115" s="23"/>
      <c r="L17115" s="23"/>
    </row>
    <row r="17116">
      <c r="B17116" s="19"/>
      <c r="E17116" s="23"/>
      <c r="L17116" s="23"/>
    </row>
    <row r="17117">
      <c r="B17117" s="19"/>
      <c r="E17117" s="23"/>
      <c r="L17117" s="23"/>
    </row>
    <row r="17118">
      <c r="B17118" s="19"/>
      <c r="E17118" s="23"/>
      <c r="L17118" s="23"/>
    </row>
    <row r="17119">
      <c r="B17119" s="19"/>
      <c r="E17119" s="23"/>
      <c r="L17119" s="23"/>
    </row>
    <row r="17120">
      <c r="B17120" s="19"/>
      <c r="E17120" s="23"/>
      <c r="L17120" s="23"/>
    </row>
    <row r="17121">
      <c r="B17121" s="19"/>
      <c r="E17121" s="23"/>
      <c r="L17121" s="23"/>
    </row>
    <row r="17122">
      <c r="B17122" s="19"/>
      <c r="E17122" s="23"/>
      <c r="L17122" s="23"/>
    </row>
    <row r="17123">
      <c r="B17123" s="19"/>
      <c r="E17123" s="23"/>
      <c r="L17123" s="23"/>
    </row>
    <row r="17124">
      <c r="B17124" s="19"/>
      <c r="E17124" s="23"/>
      <c r="L17124" s="23"/>
    </row>
    <row r="17125">
      <c r="B17125" s="19"/>
      <c r="E17125" s="23"/>
      <c r="L17125" s="23"/>
    </row>
    <row r="17126">
      <c r="B17126" s="19"/>
      <c r="E17126" s="23"/>
      <c r="L17126" s="23"/>
    </row>
    <row r="17127">
      <c r="B17127" s="19"/>
      <c r="E17127" s="23"/>
      <c r="L17127" s="23"/>
    </row>
    <row r="17128">
      <c r="B17128" s="19"/>
      <c r="E17128" s="23"/>
      <c r="L17128" s="23"/>
    </row>
    <row r="17129">
      <c r="B17129" s="19"/>
      <c r="E17129" s="23"/>
      <c r="L17129" s="23"/>
    </row>
    <row r="17130">
      <c r="B17130" s="19"/>
      <c r="E17130" s="23"/>
      <c r="L17130" s="23"/>
    </row>
    <row r="17131">
      <c r="B17131" s="19"/>
      <c r="E17131" s="23"/>
      <c r="L17131" s="23"/>
    </row>
    <row r="17132">
      <c r="B17132" s="19"/>
      <c r="E17132" s="23"/>
      <c r="L17132" s="23"/>
    </row>
    <row r="17133">
      <c r="B17133" s="19"/>
      <c r="E17133" s="23"/>
      <c r="L17133" s="23"/>
    </row>
    <row r="17134">
      <c r="B17134" s="19"/>
      <c r="E17134" s="23"/>
      <c r="L17134" s="23"/>
    </row>
    <row r="17135">
      <c r="B17135" s="19"/>
      <c r="E17135" s="23"/>
      <c r="L17135" s="23"/>
    </row>
    <row r="17136">
      <c r="B17136" s="19"/>
      <c r="E17136" s="23"/>
      <c r="L17136" s="23"/>
    </row>
    <row r="17137">
      <c r="B17137" s="19"/>
      <c r="E17137" s="23"/>
      <c r="L17137" s="23"/>
    </row>
    <row r="17138">
      <c r="B17138" s="19"/>
      <c r="E17138" s="23"/>
      <c r="L17138" s="23"/>
    </row>
    <row r="17139">
      <c r="B17139" s="19"/>
      <c r="E17139" s="23"/>
      <c r="L17139" s="23"/>
    </row>
    <row r="17140">
      <c r="B17140" s="19"/>
      <c r="E17140" s="23"/>
      <c r="L17140" s="23"/>
    </row>
    <row r="17141">
      <c r="B17141" s="19"/>
      <c r="E17141" s="23"/>
      <c r="L17141" s="23"/>
    </row>
    <row r="17142">
      <c r="B17142" s="19"/>
      <c r="E17142" s="23"/>
      <c r="L17142" s="23"/>
    </row>
    <row r="17143">
      <c r="B17143" s="19"/>
      <c r="E17143" s="23"/>
      <c r="L17143" s="23"/>
    </row>
    <row r="17144">
      <c r="B17144" s="19"/>
      <c r="E17144" s="23"/>
      <c r="L17144" s="23"/>
    </row>
    <row r="17145">
      <c r="B17145" s="19"/>
      <c r="E17145" s="23"/>
      <c r="L17145" s="23"/>
    </row>
    <row r="17146">
      <c r="B17146" s="19"/>
      <c r="E17146" s="23"/>
      <c r="L17146" s="23"/>
    </row>
    <row r="17147">
      <c r="B17147" s="19"/>
      <c r="E17147" s="23"/>
      <c r="L17147" s="23"/>
    </row>
    <row r="17148">
      <c r="B17148" s="19"/>
      <c r="E17148" s="23"/>
      <c r="L17148" s="23"/>
    </row>
    <row r="17149">
      <c r="B17149" s="19"/>
      <c r="E17149" s="23"/>
      <c r="L17149" s="23"/>
    </row>
    <row r="17150">
      <c r="B17150" s="19"/>
      <c r="E17150" s="23"/>
      <c r="L17150" s="23"/>
    </row>
    <row r="17151">
      <c r="B17151" s="19"/>
      <c r="E17151" s="23"/>
      <c r="L17151" s="23"/>
    </row>
    <row r="17152">
      <c r="B17152" s="19"/>
      <c r="E17152" s="23"/>
      <c r="L17152" s="23"/>
    </row>
    <row r="17153">
      <c r="B17153" s="19"/>
      <c r="E17153" s="23"/>
      <c r="L17153" s="23"/>
    </row>
    <row r="17154">
      <c r="B17154" s="19"/>
      <c r="E17154" s="23"/>
      <c r="L17154" s="23"/>
    </row>
    <row r="17155">
      <c r="B17155" s="19"/>
      <c r="E17155" s="23"/>
      <c r="L17155" s="23"/>
    </row>
    <row r="17156">
      <c r="B17156" s="19"/>
      <c r="E17156" s="23"/>
      <c r="L17156" s="23"/>
    </row>
    <row r="17157">
      <c r="B17157" s="19"/>
      <c r="E17157" s="23"/>
      <c r="L17157" s="23"/>
    </row>
    <row r="17158">
      <c r="B17158" s="19"/>
      <c r="E17158" s="23"/>
      <c r="L17158" s="23"/>
    </row>
    <row r="17159">
      <c r="B17159" s="19"/>
      <c r="E17159" s="23"/>
      <c r="L17159" s="23"/>
    </row>
    <row r="17160">
      <c r="B17160" s="19"/>
      <c r="E17160" s="23"/>
      <c r="L17160" s="23"/>
    </row>
    <row r="17161">
      <c r="B17161" s="19"/>
      <c r="E17161" s="23"/>
      <c r="L17161" s="23"/>
    </row>
    <row r="17162">
      <c r="B17162" s="19"/>
      <c r="E17162" s="23"/>
      <c r="L17162" s="23"/>
    </row>
    <row r="17163">
      <c r="B17163" s="19"/>
      <c r="E17163" s="23"/>
      <c r="L17163" s="23"/>
    </row>
    <row r="17164">
      <c r="B17164" s="19"/>
      <c r="E17164" s="23"/>
      <c r="L17164" s="23"/>
    </row>
    <row r="17165">
      <c r="B17165" s="19"/>
      <c r="E17165" s="23"/>
      <c r="L17165" s="23"/>
    </row>
    <row r="17166">
      <c r="B17166" s="19"/>
      <c r="E17166" s="23"/>
      <c r="L17166" s="23"/>
    </row>
    <row r="17167">
      <c r="B17167" s="19"/>
      <c r="E17167" s="23"/>
      <c r="L17167" s="23"/>
    </row>
    <row r="17168">
      <c r="B17168" s="19"/>
      <c r="E17168" s="23"/>
      <c r="L17168" s="23"/>
    </row>
    <row r="17169">
      <c r="B17169" s="19"/>
      <c r="E17169" s="23"/>
      <c r="L17169" s="23"/>
    </row>
    <row r="17170">
      <c r="B17170" s="19"/>
      <c r="E17170" s="23"/>
      <c r="L17170" s="23"/>
    </row>
    <row r="17171">
      <c r="B17171" s="19"/>
      <c r="E17171" s="23"/>
      <c r="L17171" s="23"/>
    </row>
    <row r="17172">
      <c r="B17172" s="19"/>
      <c r="E17172" s="23"/>
      <c r="L17172" s="23"/>
    </row>
    <row r="17173">
      <c r="B17173" s="19"/>
      <c r="E17173" s="23"/>
      <c r="L17173" s="23"/>
    </row>
    <row r="17174">
      <c r="B17174" s="19"/>
      <c r="E17174" s="23"/>
      <c r="L17174" s="23"/>
    </row>
    <row r="17175">
      <c r="B17175" s="19"/>
      <c r="E17175" s="23"/>
      <c r="L17175" s="23"/>
    </row>
    <row r="17176">
      <c r="B17176" s="19"/>
      <c r="E17176" s="23"/>
      <c r="L17176" s="23"/>
    </row>
    <row r="17177">
      <c r="B17177" s="19"/>
      <c r="E17177" s="23"/>
      <c r="L17177" s="23"/>
    </row>
    <row r="17178">
      <c r="B17178" s="19"/>
      <c r="E17178" s="23"/>
      <c r="L17178" s="23"/>
    </row>
    <row r="17179">
      <c r="B17179" s="19"/>
      <c r="E17179" s="23"/>
      <c r="L17179" s="23"/>
    </row>
    <row r="17180">
      <c r="B17180" s="19"/>
      <c r="E17180" s="23"/>
      <c r="L17180" s="23"/>
    </row>
    <row r="17181">
      <c r="B17181" s="19"/>
      <c r="E17181" s="23"/>
      <c r="L17181" s="23"/>
    </row>
    <row r="17182">
      <c r="B17182" s="19"/>
      <c r="E17182" s="23"/>
      <c r="L17182" s="23"/>
    </row>
    <row r="17183">
      <c r="B17183" s="19"/>
      <c r="E17183" s="23"/>
      <c r="L17183" s="23"/>
    </row>
    <row r="17184">
      <c r="B17184" s="19"/>
      <c r="E17184" s="23"/>
      <c r="L17184" s="23"/>
    </row>
    <row r="17185">
      <c r="B17185" s="19"/>
      <c r="E17185" s="23"/>
      <c r="L17185" s="23"/>
    </row>
    <row r="17186">
      <c r="B17186" s="19"/>
      <c r="E17186" s="23"/>
      <c r="L17186" s="23"/>
    </row>
    <row r="17187">
      <c r="B17187" s="19"/>
      <c r="E17187" s="23"/>
      <c r="L17187" s="23"/>
    </row>
    <row r="17188">
      <c r="B17188" s="19"/>
      <c r="E17188" s="23"/>
      <c r="L17188" s="23"/>
    </row>
    <row r="17189">
      <c r="B17189" s="19"/>
      <c r="E17189" s="23"/>
      <c r="L17189" s="23"/>
    </row>
    <row r="17190">
      <c r="B17190" s="19"/>
      <c r="E17190" s="23"/>
      <c r="L17190" s="23"/>
    </row>
    <row r="17191">
      <c r="B17191" s="19"/>
      <c r="E17191" s="23"/>
      <c r="L17191" s="23"/>
    </row>
    <row r="17192">
      <c r="B17192" s="19"/>
      <c r="E17192" s="23"/>
      <c r="L17192" s="23"/>
    </row>
    <row r="17193">
      <c r="B17193" s="19"/>
      <c r="E17193" s="23"/>
      <c r="L17193" s="23"/>
    </row>
    <row r="17194">
      <c r="B17194" s="19"/>
      <c r="E17194" s="23"/>
      <c r="L17194" s="23"/>
    </row>
    <row r="17195">
      <c r="B17195" s="19"/>
      <c r="E17195" s="23"/>
      <c r="L17195" s="23"/>
    </row>
    <row r="17196">
      <c r="B17196" s="19"/>
      <c r="E17196" s="23"/>
      <c r="L17196" s="23"/>
    </row>
    <row r="17197">
      <c r="B17197" s="19"/>
      <c r="E17197" s="23"/>
      <c r="L17197" s="23"/>
    </row>
    <row r="17198">
      <c r="B17198" s="19"/>
      <c r="E17198" s="23"/>
      <c r="L17198" s="23"/>
    </row>
    <row r="17199">
      <c r="B17199" s="19"/>
      <c r="E17199" s="23"/>
      <c r="L17199" s="23"/>
    </row>
    <row r="17200">
      <c r="B17200" s="19"/>
      <c r="E17200" s="23"/>
      <c r="L17200" s="23"/>
    </row>
    <row r="17201">
      <c r="B17201" s="19"/>
      <c r="E17201" s="23"/>
      <c r="L17201" s="23"/>
    </row>
    <row r="17202">
      <c r="B17202" s="19"/>
      <c r="E17202" s="23"/>
      <c r="L17202" s="23"/>
    </row>
    <row r="17203">
      <c r="B17203" s="19"/>
      <c r="E17203" s="23"/>
      <c r="L17203" s="23"/>
    </row>
    <row r="17204">
      <c r="B17204" s="19"/>
      <c r="E17204" s="23"/>
      <c r="L17204" s="23"/>
    </row>
    <row r="17205">
      <c r="B17205" s="19"/>
      <c r="E17205" s="23"/>
      <c r="L17205" s="23"/>
    </row>
    <row r="17206">
      <c r="B17206" s="19"/>
      <c r="E17206" s="23"/>
      <c r="L17206" s="23"/>
    </row>
    <row r="17207">
      <c r="B17207" s="19"/>
      <c r="E17207" s="23"/>
      <c r="L17207" s="23"/>
    </row>
    <row r="17208">
      <c r="B17208" s="19"/>
      <c r="E17208" s="23"/>
      <c r="L17208" s="23"/>
    </row>
    <row r="17209">
      <c r="B17209" s="19"/>
      <c r="E17209" s="23"/>
      <c r="L17209" s="23"/>
    </row>
    <row r="17210">
      <c r="B17210" s="19"/>
      <c r="E17210" s="23"/>
      <c r="L17210" s="23"/>
    </row>
    <row r="17211">
      <c r="B17211" s="19"/>
      <c r="E17211" s="23"/>
      <c r="L17211" s="23"/>
    </row>
    <row r="17212">
      <c r="B17212" s="19"/>
      <c r="E17212" s="23"/>
      <c r="L17212" s="23"/>
    </row>
    <row r="17213">
      <c r="B17213" s="19"/>
      <c r="E17213" s="23"/>
      <c r="L17213" s="23"/>
    </row>
    <row r="17214">
      <c r="B17214" s="19"/>
      <c r="E17214" s="23"/>
      <c r="L17214" s="23"/>
    </row>
    <row r="17215">
      <c r="B17215" s="19"/>
      <c r="E17215" s="23"/>
      <c r="L17215" s="23"/>
    </row>
    <row r="17216">
      <c r="B17216" s="19"/>
      <c r="E17216" s="23"/>
      <c r="L17216" s="23"/>
    </row>
    <row r="17217">
      <c r="B17217" s="19"/>
      <c r="E17217" s="23"/>
      <c r="L17217" s="23"/>
    </row>
    <row r="17218">
      <c r="B17218" s="19"/>
      <c r="E17218" s="23"/>
      <c r="L17218" s="23"/>
    </row>
    <row r="17219">
      <c r="B17219" s="19"/>
      <c r="E17219" s="23"/>
      <c r="L17219" s="23"/>
    </row>
    <row r="17220">
      <c r="B17220" s="19"/>
      <c r="E17220" s="23"/>
      <c r="L17220" s="23"/>
    </row>
    <row r="17221">
      <c r="B17221" s="19"/>
      <c r="E17221" s="23"/>
      <c r="L17221" s="23"/>
    </row>
    <row r="17222">
      <c r="B17222" s="19"/>
      <c r="E17222" s="23"/>
      <c r="L17222" s="23"/>
    </row>
    <row r="17223">
      <c r="B17223" s="19"/>
      <c r="E17223" s="23"/>
      <c r="L17223" s="23"/>
    </row>
    <row r="17224">
      <c r="B17224" s="19"/>
      <c r="E17224" s="23"/>
      <c r="L17224" s="23"/>
    </row>
    <row r="17225">
      <c r="B17225" s="19"/>
      <c r="E17225" s="23"/>
      <c r="L17225" s="23"/>
    </row>
    <row r="17226">
      <c r="B17226" s="19"/>
      <c r="E17226" s="23"/>
      <c r="L17226" s="23"/>
    </row>
    <row r="17227">
      <c r="B17227" s="19"/>
      <c r="E17227" s="23"/>
      <c r="L17227" s="23"/>
    </row>
    <row r="17228">
      <c r="B17228" s="19"/>
      <c r="E17228" s="23"/>
      <c r="L17228" s="23"/>
    </row>
    <row r="17229">
      <c r="B17229" s="19"/>
      <c r="E17229" s="23"/>
      <c r="L17229" s="23"/>
    </row>
    <row r="17230">
      <c r="B17230" s="19"/>
      <c r="E17230" s="23"/>
      <c r="L17230" s="23"/>
    </row>
    <row r="17231">
      <c r="B17231" s="19"/>
      <c r="E17231" s="23"/>
      <c r="L17231" s="23"/>
    </row>
    <row r="17232">
      <c r="B17232" s="19"/>
      <c r="E17232" s="23"/>
      <c r="L17232" s="23"/>
    </row>
    <row r="17233">
      <c r="B17233" s="19"/>
      <c r="E17233" s="23"/>
      <c r="L17233" s="23"/>
    </row>
    <row r="17234">
      <c r="B17234" s="19"/>
      <c r="E17234" s="23"/>
      <c r="L17234" s="23"/>
    </row>
    <row r="17235">
      <c r="B17235" s="19"/>
      <c r="E17235" s="23"/>
      <c r="L17235" s="23"/>
    </row>
    <row r="17236">
      <c r="B17236" s="19"/>
      <c r="E17236" s="23"/>
      <c r="L17236" s="23"/>
    </row>
    <row r="17237">
      <c r="B17237" s="19"/>
      <c r="E17237" s="23"/>
      <c r="L17237" s="23"/>
    </row>
    <row r="17238">
      <c r="B17238" s="19"/>
      <c r="E17238" s="23"/>
      <c r="L17238" s="23"/>
    </row>
    <row r="17239">
      <c r="B17239" s="19"/>
      <c r="E17239" s="23"/>
      <c r="L17239" s="23"/>
    </row>
    <row r="17240">
      <c r="B17240" s="19"/>
      <c r="E17240" s="23"/>
      <c r="L17240" s="23"/>
    </row>
    <row r="17241">
      <c r="B17241" s="19"/>
      <c r="E17241" s="23"/>
      <c r="L17241" s="23"/>
    </row>
    <row r="17242">
      <c r="B17242" s="19"/>
      <c r="E17242" s="23"/>
      <c r="L17242" s="23"/>
    </row>
    <row r="17243">
      <c r="B17243" s="19"/>
      <c r="E17243" s="23"/>
      <c r="L17243" s="23"/>
    </row>
    <row r="17244">
      <c r="B17244" s="19"/>
      <c r="E17244" s="23"/>
      <c r="L17244" s="23"/>
    </row>
    <row r="17245">
      <c r="B17245" s="19"/>
      <c r="E17245" s="23"/>
      <c r="L17245" s="23"/>
    </row>
    <row r="17246">
      <c r="B17246" s="19"/>
      <c r="E17246" s="23"/>
      <c r="L17246" s="23"/>
    </row>
    <row r="17247">
      <c r="B17247" s="19"/>
      <c r="E17247" s="23"/>
      <c r="L17247" s="23"/>
    </row>
    <row r="17248">
      <c r="B17248" s="19"/>
      <c r="E17248" s="23"/>
      <c r="L17248" s="23"/>
    </row>
    <row r="17249">
      <c r="B17249" s="19"/>
      <c r="E17249" s="23"/>
      <c r="L17249" s="23"/>
    </row>
    <row r="17250">
      <c r="B17250" s="19"/>
      <c r="E17250" s="23"/>
      <c r="L17250" s="23"/>
    </row>
    <row r="17251">
      <c r="B17251" s="19"/>
      <c r="E17251" s="23"/>
      <c r="L17251" s="23"/>
    </row>
    <row r="17252">
      <c r="B17252" s="19"/>
      <c r="E17252" s="23"/>
      <c r="L17252" s="23"/>
    </row>
    <row r="17253">
      <c r="B17253" s="19"/>
      <c r="E17253" s="23"/>
      <c r="L17253" s="23"/>
    </row>
    <row r="17254">
      <c r="B17254" s="19"/>
      <c r="E17254" s="23"/>
      <c r="L17254" s="23"/>
    </row>
    <row r="17255">
      <c r="B17255" s="19"/>
      <c r="E17255" s="23"/>
      <c r="L17255" s="23"/>
    </row>
    <row r="17256">
      <c r="B17256" s="19"/>
      <c r="E17256" s="23"/>
      <c r="L17256" s="23"/>
    </row>
    <row r="17257">
      <c r="B17257" s="19"/>
      <c r="E17257" s="23"/>
      <c r="L17257" s="23"/>
    </row>
    <row r="17258">
      <c r="B17258" s="19"/>
      <c r="E17258" s="23"/>
      <c r="L17258" s="23"/>
    </row>
    <row r="17259">
      <c r="B17259" s="19"/>
      <c r="E17259" s="23"/>
      <c r="L17259" s="23"/>
    </row>
    <row r="17260">
      <c r="B17260" s="19"/>
      <c r="E17260" s="23"/>
      <c r="L17260" s="23"/>
    </row>
    <row r="17261">
      <c r="B17261" s="19"/>
      <c r="E17261" s="23"/>
      <c r="L17261" s="23"/>
    </row>
    <row r="17262">
      <c r="B17262" s="19"/>
      <c r="E17262" s="23"/>
      <c r="L17262" s="23"/>
    </row>
    <row r="17263">
      <c r="B17263" s="19"/>
      <c r="E17263" s="23"/>
      <c r="L17263" s="23"/>
    </row>
    <row r="17264">
      <c r="B17264" s="19"/>
      <c r="E17264" s="23"/>
      <c r="L17264" s="23"/>
    </row>
    <row r="17265">
      <c r="B17265" s="19"/>
      <c r="E17265" s="23"/>
      <c r="L17265" s="23"/>
    </row>
    <row r="17266">
      <c r="B17266" s="19"/>
      <c r="E17266" s="23"/>
      <c r="L17266" s="23"/>
    </row>
    <row r="17267">
      <c r="B17267" s="19"/>
      <c r="E17267" s="23"/>
      <c r="L17267" s="23"/>
    </row>
    <row r="17268">
      <c r="B17268" s="19"/>
      <c r="E17268" s="23"/>
      <c r="L17268" s="23"/>
    </row>
    <row r="17269">
      <c r="B17269" s="19"/>
      <c r="E17269" s="23"/>
      <c r="L17269" s="23"/>
    </row>
    <row r="17270">
      <c r="B17270" s="19"/>
      <c r="E17270" s="23"/>
      <c r="L17270" s="23"/>
    </row>
    <row r="17271">
      <c r="B17271" s="19"/>
      <c r="E17271" s="23"/>
      <c r="L17271" s="23"/>
    </row>
    <row r="17272">
      <c r="B17272" s="19"/>
      <c r="E17272" s="23"/>
      <c r="L17272" s="23"/>
    </row>
    <row r="17273">
      <c r="B17273" s="19"/>
      <c r="E17273" s="23"/>
      <c r="L17273" s="23"/>
    </row>
    <row r="17274">
      <c r="B17274" s="19"/>
      <c r="E17274" s="23"/>
      <c r="L17274" s="23"/>
    </row>
    <row r="17275">
      <c r="B17275" s="19"/>
      <c r="E17275" s="23"/>
      <c r="L17275" s="23"/>
    </row>
    <row r="17276">
      <c r="B17276" s="19"/>
      <c r="E17276" s="23"/>
      <c r="L17276" s="23"/>
    </row>
    <row r="17277">
      <c r="B17277" s="19"/>
      <c r="E17277" s="23"/>
      <c r="L17277" s="23"/>
    </row>
    <row r="17278">
      <c r="B17278" s="19"/>
      <c r="E17278" s="23"/>
      <c r="L17278" s="23"/>
    </row>
    <row r="17279">
      <c r="B17279" s="19"/>
      <c r="E17279" s="23"/>
      <c r="L17279" s="23"/>
    </row>
    <row r="17280">
      <c r="B17280" s="19"/>
      <c r="E17280" s="23"/>
      <c r="L17280" s="23"/>
    </row>
    <row r="17281">
      <c r="B17281" s="19"/>
      <c r="E17281" s="23"/>
      <c r="L17281" s="23"/>
    </row>
    <row r="17282">
      <c r="B17282" s="19"/>
      <c r="E17282" s="23"/>
      <c r="L17282" s="23"/>
    </row>
    <row r="17283">
      <c r="B17283" s="19"/>
      <c r="E17283" s="23"/>
      <c r="L17283" s="23"/>
    </row>
    <row r="17284">
      <c r="B17284" s="19"/>
      <c r="E17284" s="23"/>
      <c r="L17284" s="23"/>
    </row>
    <row r="17285">
      <c r="B17285" s="19"/>
      <c r="E17285" s="23"/>
      <c r="L17285" s="23"/>
    </row>
    <row r="17286">
      <c r="B17286" s="19"/>
      <c r="E17286" s="23"/>
      <c r="L17286" s="23"/>
    </row>
    <row r="17287">
      <c r="B17287" s="19"/>
      <c r="E17287" s="23"/>
      <c r="L17287" s="23"/>
    </row>
    <row r="17288">
      <c r="B17288" s="19"/>
      <c r="E17288" s="23"/>
      <c r="L17288" s="23"/>
    </row>
    <row r="17289">
      <c r="B17289" s="19"/>
      <c r="E17289" s="23"/>
      <c r="L17289" s="23"/>
    </row>
    <row r="17290">
      <c r="B17290" s="19"/>
      <c r="E17290" s="23"/>
      <c r="L17290" s="23"/>
    </row>
    <row r="17291">
      <c r="B17291" s="19"/>
      <c r="E17291" s="23"/>
      <c r="L17291" s="23"/>
    </row>
    <row r="17292">
      <c r="B17292" s="19"/>
      <c r="E17292" s="23"/>
      <c r="L17292" s="23"/>
    </row>
    <row r="17293">
      <c r="B17293" s="19"/>
      <c r="E17293" s="23"/>
      <c r="L17293" s="23"/>
    </row>
    <row r="17294">
      <c r="B17294" s="19"/>
      <c r="E17294" s="23"/>
      <c r="L17294" s="23"/>
    </row>
    <row r="17295">
      <c r="B17295" s="19"/>
      <c r="E17295" s="23"/>
      <c r="L17295" s="23"/>
    </row>
    <row r="17296">
      <c r="B17296" s="19"/>
      <c r="E17296" s="23"/>
      <c r="L17296" s="23"/>
    </row>
    <row r="17297">
      <c r="B17297" s="19"/>
      <c r="E17297" s="23"/>
      <c r="L17297" s="23"/>
    </row>
    <row r="17298">
      <c r="B17298" s="19"/>
      <c r="E17298" s="23"/>
      <c r="L17298" s="23"/>
    </row>
    <row r="17299">
      <c r="B17299" s="19"/>
      <c r="E17299" s="23"/>
      <c r="L17299" s="23"/>
    </row>
    <row r="17300">
      <c r="B17300" s="19"/>
      <c r="E17300" s="23"/>
      <c r="L17300" s="23"/>
    </row>
    <row r="17301">
      <c r="B17301" s="19"/>
      <c r="E17301" s="23"/>
      <c r="L17301" s="23"/>
    </row>
    <row r="17302">
      <c r="B17302" s="19"/>
      <c r="E17302" s="23"/>
      <c r="L17302" s="23"/>
    </row>
    <row r="17303">
      <c r="B17303" s="19"/>
      <c r="E17303" s="23"/>
      <c r="L17303" s="23"/>
    </row>
    <row r="17304">
      <c r="B17304" s="19"/>
      <c r="E17304" s="23"/>
      <c r="L17304" s="23"/>
    </row>
    <row r="17305">
      <c r="B17305" s="19"/>
      <c r="E17305" s="23"/>
      <c r="L17305" s="23"/>
    </row>
    <row r="17306">
      <c r="B17306" s="19"/>
      <c r="E17306" s="23"/>
      <c r="L17306" s="23"/>
    </row>
    <row r="17307">
      <c r="B17307" s="19"/>
      <c r="E17307" s="23"/>
      <c r="L17307" s="23"/>
    </row>
    <row r="17308">
      <c r="B17308" s="19"/>
      <c r="E17308" s="23"/>
      <c r="L17308" s="23"/>
    </row>
    <row r="17309">
      <c r="B17309" s="19"/>
      <c r="E17309" s="23"/>
      <c r="L17309" s="23"/>
    </row>
    <row r="17310">
      <c r="B17310" s="19"/>
      <c r="E17310" s="23"/>
      <c r="L17310" s="23"/>
    </row>
    <row r="17311">
      <c r="B17311" s="19"/>
      <c r="E17311" s="23"/>
      <c r="L17311" s="23"/>
    </row>
    <row r="17312">
      <c r="B17312" s="19"/>
      <c r="E17312" s="23"/>
      <c r="L17312" s="23"/>
    </row>
    <row r="17313">
      <c r="B17313" s="19"/>
      <c r="E17313" s="23"/>
      <c r="L17313" s="23"/>
    </row>
    <row r="17314">
      <c r="B17314" s="19"/>
      <c r="E17314" s="23"/>
      <c r="L17314" s="23"/>
    </row>
    <row r="17315">
      <c r="B17315" s="19"/>
      <c r="E17315" s="23"/>
      <c r="L17315" s="23"/>
    </row>
    <row r="17316">
      <c r="B17316" s="19"/>
      <c r="E17316" s="23"/>
      <c r="L17316" s="23"/>
    </row>
    <row r="17317">
      <c r="B17317" s="19"/>
      <c r="E17317" s="23"/>
      <c r="L17317" s="23"/>
    </row>
    <row r="17318">
      <c r="B17318" s="19"/>
      <c r="E17318" s="23"/>
      <c r="L17318" s="23"/>
    </row>
    <row r="17319">
      <c r="B17319" s="19"/>
      <c r="E17319" s="23"/>
      <c r="L17319" s="23"/>
    </row>
    <row r="17320">
      <c r="B17320" s="19"/>
      <c r="E17320" s="23"/>
      <c r="L17320" s="23"/>
    </row>
    <row r="17321">
      <c r="B17321" s="19"/>
      <c r="E17321" s="23"/>
      <c r="L17321" s="23"/>
    </row>
    <row r="17322">
      <c r="B17322" s="19"/>
      <c r="E17322" s="23"/>
      <c r="L17322" s="23"/>
    </row>
    <row r="17323">
      <c r="B17323" s="19"/>
      <c r="E17323" s="23"/>
      <c r="L17323" s="23"/>
    </row>
    <row r="17324">
      <c r="B17324" s="19"/>
      <c r="E17324" s="23"/>
      <c r="L17324" s="23"/>
    </row>
    <row r="17325">
      <c r="B17325" s="19"/>
      <c r="E17325" s="23"/>
      <c r="L17325" s="23"/>
    </row>
    <row r="17326">
      <c r="B17326" s="19"/>
      <c r="E17326" s="23"/>
      <c r="L17326" s="23"/>
    </row>
    <row r="17327">
      <c r="B17327" s="19"/>
      <c r="E17327" s="23"/>
      <c r="L17327" s="23"/>
    </row>
    <row r="17328">
      <c r="B17328" s="19"/>
      <c r="E17328" s="23"/>
      <c r="L17328" s="23"/>
    </row>
    <row r="17329">
      <c r="B17329" s="19"/>
      <c r="E17329" s="23"/>
      <c r="L17329" s="23"/>
    </row>
    <row r="17330">
      <c r="B17330" s="19"/>
      <c r="E17330" s="23"/>
      <c r="L17330" s="23"/>
    </row>
    <row r="17331">
      <c r="B17331" s="19"/>
      <c r="E17331" s="23"/>
      <c r="L17331" s="23"/>
    </row>
    <row r="17332">
      <c r="B17332" s="19"/>
      <c r="E17332" s="23"/>
      <c r="L17332" s="23"/>
    </row>
    <row r="17333">
      <c r="B17333" s="19"/>
      <c r="E17333" s="23"/>
      <c r="L17333" s="23"/>
    </row>
    <row r="17334">
      <c r="B17334" s="19"/>
      <c r="E17334" s="23"/>
      <c r="L17334" s="23"/>
    </row>
    <row r="17335">
      <c r="B17335" s="19"/>
      <c r="E17335" s="23"/>
      <c r="L17335" s="23"/>
    </row>
    <row r="17336">
      <c r="B17336" s="19"/>
      <c r="E17336" s="23"/>
      <c r="L17336" s="23"/>
    </row>
    <row r="17337">
      <c r="B17337" s="19"/>
      <c r="E17337" s="23"/>
      <c r="L17337" s="23"/>
    </row>
    <row r="17338">
      <c r="B17338" s="19"/>
      <c r="E17338" s="23"/>
      <c r="L17338" s="23"/>
    </row>
    <row r="17339">
      <c r="B17339" s="19"/>
      <c r="E17339" s="23"/>
      <c r="L17339" s="23"/>
    </row>
    <row r="17340">
      <c r="B17340" s="19"/>
      <c r="E17340" s="23"/>
      <c r="L17340" s="23"/>
    </row>
    <row r="17341">
      <c r="B17341" s="19"/>
      <c r="E17341" s="23"/>
      <c r="L17341" s="23"/>
    </row>
    <row r="17342">
      <c r="B17342" s="19"/>
      <c r="E17342" s="23"/>
      <c r="L17342" s="23"/>
    </row>
    <row r="17343">
      <c r="B17343" s="19"/>
      <c r="E17343" s="23"/>
      <c r="L17343" s="23"/>
    </row>
    <row r="17344">
      <c r="B17344" s="19"/>
      <c r="E17344" s="23"/>
      <c r="L17344" s="23"/>
    </row>
    <row r="17345">
      <c r="B17345" s="19"/>
      <c r="E17345" s="23"/>
      <c r="L17345" s="23"/>
    </row>
    <row r="17346">
      <c r="B17346" s="19"/>
      <c r="E17346" s="23"/>
      <c r="L17346" s="23"/>
    </row>
    <row r="17347">
      <c r="B17347" s="19"/>
      <c r="E17347" s="23"/>
      <c r="L17347" s="23"/>
    </row>
    <row r="17348">
      <c r="B17348" s="19"/>
      <c r="E17348" s="23"/>
      <c r="L17348" s="23"/>
    </row>
    <row r="17349">
      <c r="B17349" s="19"/>
      <c r="E17349" s="23"/>
      <c r="L17349" s="23"/>
    </row>
    <row r="17350">
      <c r="B17350" s="19"/>
      <c r="E17350" s="23"/>
      <c r="L17350" s="23"/>
    </row>
    <row r="17351">
      <c r="B17351" s="19"/>
      <c r="E17351" s="23"/>
      <c r="L17351" s="23"/>
    </row>
    <row r="17352">
      <c r="B17352" s="19"/>
      <c r="E17352" s="23"/>
      <c r="L17352" s="23"/>
    </row>
    <row r="17353">
      <c r="B17353" s="19"/>
      <c r="E17353" s="23"/>
      <c r="L17353" s="23"/>
    </row>
    <row r="17354">
      <c r="B17354" s="19"/>
      <c r="E17354" s="23"/>
      <c r="L17354" s="23"/>
    </row>
    <row r="17355">
      <c r="B17355" s="19"/>
      <c r="E17355" s="23"/>
      <c r="L17355" s="23"/>
    </row>
    <row r="17356">
      <c r="B17356" s="19"/>
      <c r="E17356" s="23"/>
      <c r="L17356" s="23"/>
    </row>
    <row r="17357">
      <c r="B17357" s="19"/>
      <c r="E17357" s="23"/>
      <c r="L17357" s="23"/>
    </row>
    <row r="17358">
      <c r="B17358" s="19"/>
      <c r="E17358" s="23"/>
      <c r="L17358" s="23"/>
    </row>
    <row r="17359">
      <c r="B17359" s="19"/>
      <c r="E17359" s="23"/>
      <c r="L17359" s="23"/>
    </row>
    <row r="17360">
      <c r="B17360" s="19"/>
      <c r="E17360" s="23"/>
      <c r="L17360" s="23"/>
    </row>
    <row r="17361">
      <c r="B17361" s="19"/>
      <c r="E17361" s="23"/>
      <c r="L17361" s="23"/>
    </row>
    <row r="17362">
      <c r="B17362" s="19"/>
      <c r="E17362" s="23"/>
      <c r="L17362" s="23"/>
    </row>
    <row r="17363">
      <c r="B17363" s="19"/>
      <c r="E17363" s="23"/>
      <c r="L17363" s="23"/>
    </row>
    <row r="17364">
      <c r="B17364" s="19"/>
      <c r="E17364" s="23"/>
      <c r="L17364" s="23"/>
    </row>
    <row r="17365">
      <c r="B17365" s="19"/>
      <c r="E17365" s="23"/>
      <c r="L17365" s="23"/>
    </row>
    <row r="17366">
      <c r="B17366" s="19"/>
      <c r="E17366" s="23"/>
      <c r="L17366" s="23"/>
    </row>
    <row r="17367">
      <c r="B17367" s="19"/>
      <c r="E17367" s="23"/>
      <c r="L17367" s="23"/>
    </row>
    <row r="17368">
      <c r="B17368" s="19"/>
      <c r="E17368" s="23"/>
      <c r="L17368" s="23"/>
    </row>
    <row r="17369">
      <c r="B17369" s="19"/>
      <c r="E17369" s="23"/>
      <c r="L17369" s="23"/>
    </row>
    <row r="17370">
      <c r="B17370" s="19"/>
      <c r="E17370" s="23"/>
      <c r="L17370" s="23"/>
    </row>
    <row r="17371">
      <c r="B17371" s="19"/>
      <c r="E17371" s="23"/>
      <c r="L17371" s="23"/>
    </row>
    <row r="17372">
      <c r="B17372" s="19"/>
      <c r="E17372" s="23"/>
      <c r="L17372" s="23"/>
    </row>
    <row r="17373">
      <c r="B17373" s="19"/>
      <c r="E17373" s="23"/>
      <c r="L17373" s="23"/>
    </row>
    <row r="17374">
      <c r="B17374" s="19"/>
      <c r="E17374" s="23"/>
      <c r="L17374" s="23"/>
    </row>
    <row r="17375">
      <c r="B17375" s="19"/>
      <c r="E17375" s="23"/>
      <c r="L17375" s="23"/>
    </row>
    <row r="17376">
      <c r="B17376" s="19"/>
      <c r="E17376" s="23"/>
      <c r="L17376" s="23"/>
    </row>
    <row r="17377">
      <c r="B17377" s="19"/>
      <c r="E17377" s="23"/>
      <c r="L17377" s="23"/>
    </row>
    <row r="17378">
      <c r="B17378" s="19"/>
      <c r="E17378" s="23"/>
      <c r="L17378" s="23"/>
    </row>
    <row r="17379">
      <c r="B17379" s="19"/>
      <c r="E17379" s="23"/>
      <c r="L17379" s="23"/>
    </row>
    <row r="17380">
      <c r="B17380" s="19"/>
      <c r="E17380" s="23"/>
      <c r="L17380" s="23"/>
    </row>
    <row r="17381">
      <c r="B17381" s="19"/>
      <c r="E17381" s="23"/>
      <c r="L17381" s="23"/>
    </row>
    <row r="17382">
      <c r="B17382" s="19"/>
      <c r="E17382" s="23"/>
      <c r="L17382" s="23"/>
    </row>
    <row r="17383">
      <c r="B17383" s="19"/>
      <c r="E17383" s="23"/>
      <c r="L17383" s="23"/>
    </row>
    <row r="17384">
      <c r="B17384" s="19"/>
      <c r="E17384" s="23"/>
      <c r="L17384" s="23"/>
    </row>
    <row r="17385">
      <c r="B17385" s="19"/>
      <c r="E17385" s="23"/>
      <c r="L17385" s="23"/>
    </row>
    <row r="17386">
      <c r="B17386" s="19"/>
      <c r="E17386" s="23"/>
      <c r="L17386" s="23"/>
    </row>
    <row r="17387">
      <c r="B17387" s="19"/>
      <c r="E17387" s="23"/>
      <c r="L17387" s="23"/>
    </row>
    <row r="17388">
      <c r="B17388" s="19"/>
      <c r="E17388" s="23"/>
      <c r="L17388" s="23"/>
    </row>
    <row r="17389">
      <c r="B17389" s="19"/>
      <c r="E17389" s="23"/>
      <c r="L17389" s="23"/>
    </row>
    <row r="17390">
      <c r="B17390" s="19"/>
      <c r="E17390" s="23"/>
      <c r="L17390" s="23"/>
    </row>
    <row r="17391">
      <c r="B17391" s="19"/>
      <c r="E17391" s="23"/>
      <c r="L17391" s="23"/>
    </row>
    <row r="17392">
      <c r="B17392" s="19"/>
      <c r="E17392" s="23"/>
      <c r="L17392" s="23"/>
    </row>
    <row r="17393">
      <c r="B17393" s="19"/>
      <c r="E17393" s="23"/>
      <c r="L17393" s="23"/>
    </row>
    <row r="17394">
      <c r="B17394" s="19"/>
      <c r="E17394" s="23"/>
      <c r="L17394" s="23"/>
    </row>
    <row r="17395">
      <c r="B17395" s="19"/>
      <c r="E17395" s="23"/>
      <c r="L17395" s="23"/>
    </row>
    <row r="17396">
      <c r="B17396" s="19"/>
      <c r="E17396" s="23"/>
      <c r="L17396" s="23"/>
    </row>
    <row r="17397">
      <c r="B17397" s="19"/>
      <c r="E17397" s="23"/>
      <c r="L17397" s="23"/>
    </row>
    <row r="17398">
      <c r="B17398" s="19"/>
      <c r="E17398" s="23"/>
      <c r="L17398" s="23"/>
    </row>
    <row r="17399">
      <c r="B17399" s="19"/>
      <c r="E17399" s="23"/>
      <c r="L17399" s="23"/>
    </row>
    <row r="17400">
      <c r="B17400" s="19"/>
      <c r="E17400" s="23"/>
      <c r="L17400" s="23"/>
    </row>
    <row r="17401">
      <c r="B17401" s="19"/>
      <c r="E17401" s="23"/>
      <c r="L17401" s="23"/>
    </row>
    <row r="17402">
      <c r="B17402" s="19"/>
      <c r="E17402" s="23"/>
      <c r="L17402" s="23"/>
    </row>
    <row r="17403">
      <c r="B17403" s="19"/>
      <c r="E17403" s="23"/>
      <c r="L17403" s="23"/>
    </row>
    <row r="17404">
      <c r="B17404" s="19"/>
      <c r="E17404" s="23"/>
      <c r="L17404" s="23"/>
    </row>
    <row r="17405">
      <c r="B17405" s="19"/>
      <c r="E17405" s="23"/>
      <c r="L17405" s="23"/>
    </row>
    <row r="17406">
      <c r="B17406" s="19"/>
      <c r="E17406" s="23"/>
      <c r="L17406" s="23"/>
    </row>
    <row r="17407">
      <c r="B17407" s="19"/>
      <c r="E17407" s="23"/>
      <c r="L17407" s="23"/>
    </row>
    <row r="17408">
      <c r="B17408" s="19"/>
      <c r="E17408" s="23"/>
      <c r="L17408" s="23"/>
    </row>
    <row r="17409">
      <c r="B17409" s="19"/>
      <c r="E17409" s="23"/>
      <c r="L17409" s="23"/>
    </row>
    <row r="17410">
      <c r="B17410" s="19"/>
      <c r="E17410" s="23"/>
      <c r="L17410" s="23"/>
    </row>
    <row r="17411">
      <c r="B17411" s="19"/>
      <c r="E17411" s="23"/>
      <c r="L17411" s="23"/>
    </row>
    <row r="17412">
      <c r="B17412" s="19"/>
      <c r="E17412" s="23"/>
      <c r="L17412" s="23"/>
    </row>
    <row r="17413">
      <c r="B17413" s="19"/>
      <c r="E17413" s="23"/>
      <c r="L17413" s="23"/>
    </row>
    <row r="17414">
      <c r="B17414" s="19"/>
      <c r="E17414" s="23"/>
      <c r="L17414" s="23"/>
    </row>
    <row r="17415">
      <c r="B17415" s="19"/>
      <c r="E17415" s="23"/>
      <c r="L17415" s="23"/>
    </row>
    <row r="17416">
      <c r="B17416" s="19"/>
      <c r="E17416" s="23"/>
      <c r="L17416" s="23"/>
    </row>
    <row r="17417">
      <c r="B17417" s="19"/>
      <c r="E17417" s="23"/>
      <c r="L17417" s="23"/>
    </row>
    <row r="17418">
      <c r="B17418" s="19"/>
      <c r="E17418" s="23"/>
      <c r="L17418" s="23"/>
    </row>
    <row r="17419">
      <c r="B17419" s="19"/>
      <c r="E17419" s="23"/>
      <c r="L17419" s="23"/>
    </row>
    <row r="17420">
      <c r="B17420" s="19"/>
      <c r="E17420" s="23"/>
      <c r="L17420" s="23"/>
    </row>
    <row r="17421">
      <c r="B17421" s="19"/>
      <c r="E17421" s="23"/>
      <c r="L17421" s="23"/>
    </row>
    <row r="17422">
      <c r="B17422" s="19"/>
      <c r="E17422" s="23"/>
      <c r="L17422" s="23"/>
    </row>
    <row r="17423">
      <c r="B17423" s="19"/>
      <c r="E17423" s="23"/>
      <c r="L17423" s="23"/>
    </row>
    <row r="17424">
      <c r="B17424" s="19"/>
      <c r="E17424" s="23"/>
      <c r="L17424" s="23"/>
    </row>
    <row r="17425">
      <c r="B17425" s="19"/>
      <c r="E17425" s="23"/>
      <c r="L17425" s="23"/>
    </row>
    <row r="17426">
      <c r="B17426" s="19"/>
      <c r="E17426" s="23"/>
      <c r="L17426" s="23"/>
    </row>
    <row r="17427">
      <c r="B17427" s="19"/>
      <c r="E17427" s="23"/>
      <c r="L17427" s="23"/>
    </row>
    <row r="17428">
      <c r="B17428" s="19"/>
      <c r="E17428" s="23"/>
      <c r="L17428" s="23"/>
    </row>
    <row r="17429">
      <c r="B17429" s="19"/>
      <c r="E17429" s="23"/>
      <c r="L17429" s="23"/>
    </row>
    <row r="17430">
      <c r="B17430" s="19"/>
      <c r="E17430" s="23"/>
      <c r="L17430" s="23"/>
    </row>
    <row r="17431">
      <c r="B17431" s="19"/>
      <c r="E17431" s="23"/>
      <c r="L17431" s="23"/>
    </row>
    <row r="17432">
      <c r="B17432" s="19"/>
      <c r="E17432" s="23"/>
      <c r="L17432" s="23"/>
    </row>
    <row r="17433">
      <c r="B17433" s="19"/>
      <c r="E17433" s="23"/>
      <c r="L17433" s="23"/>
    </row>
    <row r="17434">
      <c r="B17434" s="19"/>
      <c r="E17434" s="23"/>
      <c r="L17434" s="23"/>
    </row>
    <row r="17435">
      <c r="B17435" s="19"/>
      <c r="E17435" s="23"/>
      <c r="L17435" s="23"/>
    </row>
    <row r="17436">
      <c r="B17436" s="19"/>
      <c r="E17436" s="23"/>
      <c r="L17436" s="23"/>
    </row>
    <row r="17437">
      <c r="B17437" s="19"/>
      <c r="E17437" s="23"/>
      <c r="L17437" s="23"/>
    </row>
    <row r="17438">
      <c r="B17438" s="19"/>
      <c r="E17438" s="23"/>
      <c r="L17438" s="23"/>
    </row>
    <row r="17439">
      <c r="B17439" s="19"/>
      <c r="E17439" s="23"/>
      <c r="L17439" s="23"/>
    </row>
    <row r="17440">
      <c r="B17440" s="19"/>
      <c r="E17440" s="23"/>
      <c r="L17440" s="23"/>
    </row>
    <row r="17441">
      <c r="B17441" s="19"/>
      <c r="E17441" s="23"/>
      <c r="L17441" s="23"/>
    </row>
    <row r="17442">
      <c r="B17442" s="19"/>
      <c r="E17442" s="23"/>
      <c r="L17442" s="23"/>
    </row>
    <row r="17443">
      <c r="B17443" s="19"/>
      <c r="E17443" s="23"/>
      <c r="L17443" s="23"/>
    </row>
    <row r="17444">
      <c r="B17444" s="19"/>
      <c r="E17444" s="23"/>
      <c r="L17444" s="23"/>
    </row>
    <row r="17445">
      <c r="B17445" s="19"/>
      <c r="E17445" s="23"/>
      <c r="L17445" s="23"/>
    </row>
    <row r="17446">
      <c r="B17446" s="19"/>
      <c r="E17446" s="23"/>
      <c r="L17446" s="23"/>
    </row>
    <row r="17447">
      <c r="B17447" s="19"/>
      <c r="E17447" s="23"/>
      <c r="L17447" s="23"/>
    </row>
    <row r="17448">
      <c r="B17448" s="19"/>
      <c r="E17448" s="23"/>
      <c r="L17448" s="23"/>
    </row>
    <row r="17449">
      <c r="B17449" s="19"/>
      <c r="E17449" s="23"/>
      <c r="L17449" s="23"/>
    </row>
    <row r="17450">
      <c r="B17450" s="19"/>
      <c r="E17450" s="23"/>
      <c r="L17450" s="23"/>
    </row>
    <row r="17451">
      <c r="B17451" s="19"/>
      <c r="E17451" s="23"/>
      <c r="L17451" s="23"/>
    </row>
    <row r="17452">
      <c r="B17452" s="19"/>
      <c r="E17452" s="23"/>
      <c r="L17452" s="23"/>
    </row>
    <row r="17453">
      <c r="B17453" s="19"/>
      <c r="E17453" s="23"/>
      <c r="L17453" s="23"/>
    </row>
    <row r="17454">
      <c r="B17454" s="19"/>
      <c r="E17454" s="23"/>
      <c r="L17454" s="23"/>
    </row>
    <row r="17455">
      <c r="B17455" s="19"/>
      <c r="E17455" s="23"/>
      <c r="L17455" s="23"/>
    </row>
    <row r="17456">
      <c r="B17456" s="19"/>
      <c r="E17456" s="23"/>
      <c r="L17456" s="23"/>
    </row>
    <row r="17457">
      <c r="B17457" s="19"/>
      <c r="E17457" s="23"/>
      <c r="L17457" s="23"/>
    </row>
    <row r="17458">
      <c r="B17458" s="19"/>
      <c r="E17458" s="23"/>
      <c r="L17458" s="23"/>
    </row>
    <row r="17459">
      <c r="B17459" s="19"/>
      <c r="E17459" s="23"/>
      <c r="L17459" s="23"/>
    </row>
    <row r="17460">
      <c r="B17460" s="19"/>
      <c r="E17460" s="23"/>
      <c r="L17460" s="23"/>
    </row>
    <row r="17461">
      <c r="B17461" s="19"/>
      <c r="E17461" s="23"/>
      <c r="L17461" s="23"/>
    </row>
    <row r="17462">
      <c r="B17462" s="19"/>
      <c r="E17462" s="23"/>
      <c r="L17462" s="23"/>
    </row>
    <row r="17463">
      <c r="B17463" s="19"/>
      <c r="E17463" s="23"/>
      <c r="L17463" s="23"/>
    </row>
    <row r="17464">
      <c r="B17464" s="19"/>
      <c r="E17464" s="23"/>
      <c r="L17464" s="23"/>
    </row>
    <row r="17465">
      <c r="B17465" s="19"/>
      <c r="E17465" s="23"/>
      <c r="L17465" s="23"/>
    </row>
    <row r="17466">
      <c r="B17466" s="19"/>
      <c r="E17466" s="23"/>
      <c r="L17466" s="23"/>
    </row>
    <row r="17467">
      <c r="B17467" s="19"/>
      <c r="E17467" s="23"/>
      <c r="L17467" s="23"/>
    </row>
    <row r="17468">
      <c r="B17468" s="19"/>
      <c r="E17468" s="23"/>
      <c r="L17468" s="23"/>
    </row>
    <row r="17469">
      <c r="B17469" s="19"/>
      <c r="E17469" s="23"/>
      <c r="L17469" s="23"/>
    </row>
    <row r="17470">
      <c r="B17470" s="19"/>
      <c r="E17470" s="23"/>
      <c r="L17470" s="23"/>
    </row>
    <row r="17471">
      <c r="B17471" s="19"/>
      <c r="E17471" s="23"/>
      <c r="L17471" s="23"/>
    </row>
    <row r="17472">
      <c r="B17472" s="19"/>
      <c r="E17472" s="23"/>
      <c r="L17472" s="23"/>
    </row>
    <row r="17473">
      <c r="B17473" s="19"/>
      <c r="E17473" s="23"/>
      <c r="L17473" s="23"/>
    </row>
    <row r="17474">
      <c r="B17474" s="19"/>
      <c r="E17474" s="23"/>
      <c r="L17474" s="23"/>
    </row>
    <row r="17475">
      <c r="B17475" s="19"/>
      <c r="E17475" s="23"/>
      <c r="L17475" s="23"/>
    </row>
    <row r="17476">
      <c r="B17476" s="19"/>
      <c r="E17476" s="23"/>
      <c r="L17476" s="23"/>
    </row>
    <row r="17477">
      <c r="B17477" s="19"/>
      <c r="E17477" s="23"/>
      <c r="L17477" s="23"/>
    </row>
    <row r="17478">
      <c r="B17478" s="19"/>
      <c r="E17478" s="23"/>
      <c r="L17478" s="23"/>
    </row>
    <row r="17479">
      <c r="B17479" s="19"/>
      <c r="E17479" s="23"/>
      <c r="L17479" s="23"/>
    </row>
    <row r="17480">
      <c r="B17480" s="19"/>
      <c r="E17480" s="23"/>
      <c r="L17480" s="23"/>
    </row>
    <row r="17481">
      <c r="B17481" s="19"/>
      <c r="E17481" s="23"/>
      <c r="L17481" s="23"/>
    </row>
    <row r="17482">
      <c r="B17482" s="19"/>
      <c r="E17482" s="23"/>
      <c r="L17482" s="23"/>
    </row>
    <row r="17483">
      <c r="B17483" s="19"/>
      <c r="E17483" s="23"/>
      <c r="L17483" s="23"/>
    </row>
    <row r="17484">
      <c r="B17484" s="19"/>
      <c r="E17484" s="23"/>
      <c r="L17484" s="23"/>
    </row>
    <row r="17485">
      <c r="B17485" s="19"/>
      <c r="E17485" s="23"/>
      <c r="L17485" s="23"/>
    </row>
    <row r="17486">
      <c r="B17486" s="19"/>
      <c r="E17486" s="23"/>
      <c r="L17486" s="23"/>
    </row>
    <row r="17487">
      <c r="B17487" s="19"/>
      <c r="E17487" s="23"/>
      <c r="L17487" s="23"/>
    </row>
    <row r="17488">
      <c r="B17488" s="19"/>
      <c r="E17488" s="23"/>
      <c r="L17488" s="23"/>
    </row>
    <row r="17489">
      <c r="B17489" s="19"/>
      <c r="E17489" s="23"/>
      <c r="L17489" s="23"/>
    </row>
    <row r="17490">
      <c r="B17490" s="19"/>
      <c r="E17490" s="23"/>
      <c r="L17490" s="23"/>
    </row>
    <row r="17491">
      <c r="B17491" s="19"/>
      <c r="E17491" s="23"/>
      <c r="L17491" s="23"/>
    </row>
    <row r="17492">
      <c r="B17492" s="19"/>
      <c r="E17492" s="23"/>
      <c r="L17492" s="23"/>
    </row>
    <row r="17493">
      <c r="B17493" s="19"/>
      <c r="E17493" s="23"/>
      <c r="L17493" s="23"/>
    </row>
    <row r="17494">
      <c r="B17494" s="19"/>
      <c r="E17494" s="23"/>
      <c r="L17494" s="23"/>
    </row>
    <row r="17495">
      <c r="B17495" s="19"/>
      <c r="E17495" s="23"/>
      <c r="L17495" s="23"/>
    </row>
    <row r="17496">
      <c r="B17496" s="19"/>
      <c r="E17496" s="23"/>
      <c r="L17496" s="23"/>
    </row>
    <row r="17497">
      <c r="B17497" s="19"/>
      <c r="E17497" s="23"/>
      <c r="L17497" s="23"/>
    </row>
    <row r="17498">
      <c r="B17498" s="19"/>
      <c r="E17498" s="23"/>
      <c r="L17498" s="23"/>
    </row>
    <row r="17499">
      <c r="B17499" s="19"/>
      <c r="E17499" s="23"/>
      <c r="L17499" s="23"/>
    </row>
    <row r="17500">
      <c r="B17500" s="19"/>
      <c r="E17500" s="23"/>
      <c r="L17500" s="23"/>
    </row>
    <row r="17501">
      <c r="B17501" s="19"/>
      <c r="E17501" s="23"/>
      <c r="L17501" s="23"/>
    </row>
    <row r="17502">
      <c r="B17502" s="19"/>
      <c r="E17502" s="23"/>
      <c r="L17502" s="23"/>
    </row>
    <row r="17503">
      <c r="B17503" s="19"/>
      <c r="E17503" s="23"/>
      <c r="L17503" s="23"/>
    </row>
    <row r="17504">
      <c r="B17504" s="19"/>
      <c r="E17504" s="23"/>
      <c r="L17504" s="23"/>
    </row>
    <row r="17505">
      <c r="B17505" s="19"/>
      <c r="E17505" s="23"/>
      <c r="L17505" s="23"/>
    </row>
    <row r="17506">
      <c r="B17506" s="19"/>
      <c r="E17506" s="23"/>
      <c r="L17506" s="23"/>
    </row>
    <row r="17507">
      <c r="B17507" s="19"/>
      <c r="E17507" s="23"/>
      <c r="L17507" s="23"/>
    </row>
    <row r="17508">
      <c r="B17508" s="19"/>
      <c r="E17508" s="23"/>
      <c r="L17508" s="23"/>
    </row>
    <row r="17509">
      <c r="B17509" s="19"/>
      <c r="E17509" s="23"/>
      <c r="L17509" s="23"/>
    </row>
    <row r="17510">
      <c r="B17510" s="19"/>
      <c r="E17510" s="23"/>
      <c r="L17510" s="23"/>
    </row>
    <row r="17511">
      <c r="B17511" s="19"/>
      <c r="E17511" s="23"/>
      <c r="L17511" s="23"/>
    </row>
    <row r="17512">
      <c r="B17512" s="19"/>
      <c r="E17512" s="23"/>
      <c r="L17512" s="23"/>
    </row>
    <row r="17513">
      <c r="B17513" s="19"/>
      <c r="E17513" s="23"/>
      <c r="L17513" s="23"/>
    </row>
    <row r="17514">
      <c r="B17514" s="19"/>
      <c r="E17514" s="23"/>
      <c r="L17514" s="23"/>
    </row>
    <row r="17515">
      <c r="B17515" s="19"/>
      <c r="E17515" s="23"/>
      <c r="L17515" s="23"/>
    </row>
    <row r="17516">
      <c r="B17516" s="19"/>
      <c r="E17516" s="23"/>
      <c r="L17516" s="23"/>
    </row>
    <row r="17517">
      <c r="B17517" s="19"/>
      <c r="E17517" s="23"/>
      <c r="L17517" s="23"/>
    </row>
    <row r="17518">
      <c r="B17518" s="19"/>
      <c r="E17518" s="23"/>
      <c r="L17518" s="23"/>
    </row>
    <row r="17519">
      <c r="B17519" s="19"/>
      <c r="E17519" s="23"/>
      <c r="L17519" s="23"/>
    </row>
    <row r="17520">
      <c r="B17520" s="19"/>
      <c r="E17520" s="23"/>
      <c r="L17520" s="23"/>
    </row>
    <row r="17521">
      <c r="B17521" s="19"/>
      <c r="E17521" s="23"/>
      <c r="L17521" s="23"/>
    </row>
    <row r="17522">
      <c r="B17522" s="19"/>
      <c r="E17522" s="23"/>
      <c r="L17522" s="23"/>
    </row>
    <row r="17523">
      <c r="B17523" s="19"/>
      <c r="E17523" s="23"/>
      <c r="L17523" s="23"/>
    </row>
    <row r="17524">
      <c r="B17524" s="19"/>
      <c r="E17524" s="23"/>
      <c r="L17524" s="23"/>
    </row>
    <row r="17525">
      <c r="B17525" s="19"/>
      <c r="E17525" s="23"/>
      <c r="L17525" s="23"/>
    </row>
    <row r="17526">
      <c r="B17526" s="19"/>
      <c r="E17526" s="23"/>
      <c r="L17526" s="23"/>
    </row>
    <row r="17527">
      <c r="B17527" s="19"/>
      <c r="E17527" s="23"/>
      <c r="L17527" s="23"/>
    </row>
    <row r="17528">
      <c r="B17528" s="19"/>
      <c r="E17528" s="23"/>
      <c r="L17528" s="23"/>
    </row>
    <row r="17529">
      <c r="B17529" s="19"/>
      <c r="E17529" s="23"/>
      <c r="L17529" s="23"/>
    </row>
    <row r="17530">
      <c r="B17530" s="19"/>
      <c r="E17530" s="23"/>
      <c r="L17530" s="23"/>
    </row>
    <row r="17531">
      <c r="B17531" s="19"/>
      <c r="E17531" s="23"/>
      <c r="L17531" s="23"/>
    </row>
    <row r="17532">
      <c r="B17532" s="19"/>
      <c r="E17532" s="23"/>
      <c r="L17532" s="23"/>
    </row>
    <row r="17533">
      <c r="B17533" s="19"/>
      <c r="E17533" s="23"/>
      <c r="L17533" s="23"/>
    </row>
    <row r="17534">
      <c r="B17534" s="19"/>
      <c r="E17534" s="23"/>
      <c r="L17534" s="23"/>
    </row>
    <row r="17535">
      <c r="B17535" s="19"/>
      <c r="E17535" s="23"/>
      <c r="L17535" s="23"/>
    </row>
    <row r="17536">
      <c r="B17536" s="19"/>
      <c r="E17536" s="23"/>
      <c r="L17536" s="23"/>
    </row>
    <row r="17537">
      <c r="B17537" s="19"/>
      <c r="E17537" s="23"/>
      <c r="L17537" s="23"/>
    </row>
    <row r="17538">
      <c r="B17538" s="19"/>
      <c r="E17538" s="23"/>
      <c r="L17538" s="23"/>
    </row>
    <row r="17539">
      <c r="B17539" s="19"/>
      <c r="E17539" s="23"/>
      <c r="L17539" s="23"/>
    </row>
    <row r="17540">
      <c r="B17540" s="19"/>
      <c r="E17540" s="23"/>
      <c r="L17540" s="23"/>
    </row>
    <row r="17541">
      <c r="B17541" s="19"/>
      <c r="E17541" s="23"/>
      <c r="L17541" s="23"/>
    </row>
    <row r="17542">
      <c r="B17542" s="19"/>
      <c r="E17542" s="23"/>
      <c r="L17542" s="23"/>
    </row>
    <row r="17543">
      <c r="B17543" s="19"/>
      <c r="E17543" s="23"/>
      <c r="L17543" s="23"/>
    </row>
    <row r="17544">
      <c r="B17544" s="19"/>
      <c r="E17544" s="23"/>
      <c r="L17544" s="23"/>
    </row>
    <row r="17545">
      <c r="B17545" s="19"/>
      <c r="E17545" s="23"/>
      <c r="L17545" s="23"/>
    </row>
    <row r="17546">
      <c r="B17546" s="19"/>
      <c r="E17546" s="23"/>
      <c r="L17546" s="23"/>
    </row>
    <row r="17547">
      <c r="B17547" s="19"/>
      <c r="E17547" s="23"/>
      <c r="L17547" s="23"/>
    </row>
    <row r="17548">
      <c r="B17548" s="19"/>
      <c r="E17548" s="23"/>
      <c r="L17548" s="23"/>
    </row>
    <row r="17549">
      <c r="B17549" s="19"/>
      <c r="E17549" s="23"/>
      <c r="L17549" s="23"/>
    </row>
    <row r="17550">
      <c r="B17550" s="19"/>
      <c r="E17550" s="23"/>
      <c r="L17550" s="23"/>
    </row>
    <row r="17551">
      <c r="B17551" s="19"/>
      <c r="E17551" s="23"/>
      <c r="L17551" s="23"/>
    </row>
    <row r="17552">
      <c r="B17552" s="19"/>
      <c r="E17552" s="23"/>
      <c r="L17552" s="23"/>
    </row>
    <row r="17553">
      <c r="B17553" s="19"/>
      <c r="E17553" s="23"/>
      <c r="L17553" s="23"/>
    </row>
    <row r="17554">
      <c r="B17554" s="19"/>
      <c r="E17554" s="23"/>
      <c r="L17554" s="23"/>
    </row>
    <row r="17555">
      <c r="B17555" s="19"/>
      <c r="E17555" s="23"/>
      <c r="L17555" s="23"/>
    </row>
    <row r="17556">
      <c r="B17556" s="19"/>
      <c r="E17556" s="23"/>
      <c r="L17556" s="23"/>
    </row>
    <row r="17557">
      <c r="B17557" s="19"/>
      <c r="E17557" s="23"/>
      <c r="L17557" s="23"/>
    </row>
    <row r="17558">
      <c r="B17558" s="19"/>
      <c r="E17558" s="23"/>
      <c r="L17558" s="23"/>
    </row>
    <row r="17559">
      <c r="B17559" s="19"/>
      <c r="E17559" s="23"/>
      <c r="L17559" s="23"/>
    </row>
    <row r="17560">
      <c r="B17560" s="19"/>
      <c r="E17560" s="23"/>
      <c r="L17560" s="23"/>
    </row>
    <row r="17561">
      <c r="B17561" s="19"/>
      <c r="E17561" s="23"/>
      <c r="L17561" s="23"/>
    </row>
    <row r="17562">
      <c r="B17562" s="19"/>
      <c r="E17562" s="23"/>
      <c r="L17562" s="23"/>
    </row>
    <row r="17563">
      <c r="B17563" s="19"/>
      <c r="E17563" s="23"/>
      <c r="L17563" s="23"/>
    </row>
    <row r="17564">
      <c r="B17564" s="19"/>
      <c r="E17564" s="23"/>
      <c r="L17564" s="23"/>
    </row>
    <row r="17565">
      <c r="B17565" s="19"/>
      <c r="E17565" s="23"/>
      <c r="L17565" s="23"/>
    </row>
    <row r="17566">
      <c r="B17566" s="19"/>
      <c r="E17566" s="23"/>
      <c r="L17566" s="23"/>
    </row>
    <row r="17567">
      <c r="B17567" s="19"/>
      <c r="E17567" s="23"/>
      <c r="L17567" s="23"/>
    </row>
    <row r="17568">
      <c r="B17568" s="19"/>
      <c r="E17568" s="23"/>
      <c r="L17568" s="23"/>
    </row>
    <row r="17569">
      <c r="B17569" s="19"/>
      <c r="E17569" s="23"/>
      <c r="L17569" s="23"/>
    </row>
    <row r="17570">
      <c r="B17570" s="19"/>
      <c r="E17570" s="23"/>
      <c r="L17570" s="23"/>
    </row>
    <row r="17571">
      <c r="B17571" s="19"/>
      <c r="E17571" s="23"/>
      <c r="L17571" s="23"/>
    </row>
    <row r="17572">
      <c r="B17572" s="19"/>
      <c r="E17572" s="23"/>
      <c r="L17572" s="23"/>
    </row>
    <row r="17573">
      <c r="B17573" s="19"/>
      <c r="E17573" s="23"/>
      <c r="L17573" s="23"/>
    </row>
    <row r="17574">
      <c r="B17574" s="19"/>
      <c r="E17574" s="23"/>
      <c r="L17574" s="23"/>
    </row>
    <row r="17575">
      <c r="B17575" s="19"/>
      <c r="E17575" s="23"/>
      <c r="L17575" s="23"/>
    </row>
    <row r="17576">
      <c r="B17576" s="19"/>
      <c r="E17576" s="23"/>
      <c r="L17576" s="23"/>
    </row>
    <row r="17577">
      <c r="B17577" s="19"/>
      <c r="E17577" s="23"/>
      <c r="L17577" s="23"/>
    </row>
    <row r="17578">
      <c r="B17578" s="19"/>
      <c r="E17578" s="23"/>
      <c r="L17578" s="23"/>
    </row>
    <row r="17579">
      <c r="B17579" s="19"/>
      <c r="E17579" s="23"/>
      <c r="L17579" s="23"/>
    </row>
    <row r="17580">
      <c r="B17580" s="19"/>
      <c r="E17580" s="23"/>
      <c r="L17580" s="23"/>
    </row>
    <row r="17581">
      <c r="B17581" s="19"/>
      <c r="E17581" s="23"/>
      <c r="L17581" s="23"/>
    </row>
    <row r="17582">
      <c r="B17582" s="19"/>
      <c r="E17582" s="23"/>
      <c r="L17582" s="23"/>
    </row>
    <row r="17583">
      <c r="B17583" s="19"/>
      <c r="E17583" s="23"/>
      <c r="L17583" s="23"/>
    </row>
    <row r="17584">
      <c r="B17584" s="19"/>
      <c r="E17584" s="23"/>
      <c r="L17584" s="23"/>
    </row>
    <row r="17585">
      <c r="B17585" s="19"/>
      <c r="E17585" s="23"/>
      <c r="L17585" s="23"/>
    </row>
    <row r="17586">
      <c r="B17586" s="19"/>
      <c r="E17586" s="23"/>
      <c r="L17586" s="23"/>
    </row>
    <row r="17587">
      <c r="B17587" s="19"/>
      <c r="E17587" s="23"/>
      <c r="L17587" s="23"/>
    </row>
    <row r="17588">
      <c r="B17588" s="19"/>
      <c r="E17588" s="23"/>
      <c r="L17588" s="23"/>
    </row>
    <row r="17589">
      <c r="B17589" s="19"/>
      <c r="E17589" s="23"/>
      <c r="L17589" s="23"/>
    </row>
    <row r="17590">
      <c r="B17590" s="19"/>
      <c r="E17590" s="23"/>
      <c r="L17590" s="23"/>
    </row>
    <row r="17591">
      <c r="B17591" s="19"/>
      <c r="E17591" s="23"/>
      <c r="L17591" s="23"/>
    </row>
    <row r="17592">
      <c r="B17592" s="19"/>
      <c r="E17592" s="23"/>
      <c r="L17592" s="23"/>
    </row>
    <row r="17593">
      <c r="B17593" s="19"/>
      <c r="E17593" s="23"/>
      <c r="L17593" s="23"/>
    </row>
    <row r="17594">
      <c r="B17594" s="19"/>
      <c r="E17594" s="23"/>
      <c r="L17594" s="23"/>
    </row>
    <row r="17595">
      <c r="B17595" s="19"/>
      <c r="E17595" s="23"/>
      <c r="L17595" s="23"/>
    </row>
    <row r="17596">
      <c r="B17596" s="19"/>
      <c r="E17596" s="23"/>
      <c r="L17596" s="23"/>
    </row>
    <row r="17597">
      <c r="B17597" s="19"/>
      <c r="E17597" s="23"/>
      <c r="L17597" s="23"/>
    </row>
    <row r="17598">
      <c r="B17598" s="19"/>
      <c r="E17598" s="23"/>
      <c r="L17598" s="23"/>
    </row>
    <row r="17599">
      <c r="B17599" s="19"/>
      <c r="E17599" s="23"/>
      <c r="L17599" s="23"/>
    </row>
    <row r="17600">
      <c r="B17600" s="19"/>
      <c r="E17600" s="23"/>
      <c r="L17600" s="23"/>
    </row>
    <row r="17601">
      <c r="B17601" s="19"/>
      <c r="E17601" s="23"/>
      <c r="L17601" s="23"/>
    </row>
    <row r="17602">
      <c r="B17602" s="19"/>
      <c r="E17602" s="23"/>
      <c r="L17602" s="23"/>
    </row>
    <row r="17603">
      <c r="B17603" s="19"/>
      <c r="E17603" s="23"/>
      <c r="L17603" s="23"/>
    </row>
    <row r="17604">
      <c r="B17604" s="19"/>
      <c r="E17604" s="23"/>
      <c r="L17604" s="23"/>
    </row>
    <row r="17605">
      <c r="B17605" s="19"/>
      <c r="E17605" s="23"/>
      <c r="L17605" s="23"/>
    </row>
    <row r="17606">
      <c r="B17606" s="19"/>
      <c r="E17606" s="23"/>
      <c r="L17606" s="23"/>
    </row>
    <row r="17607">
      <c r="B17607" s="19"/>
      <c r="E17607" s="23"/>
      <c r="L17607" s="23"/>
    </row>
    <row r="17608">
      <c r="B17608" s="19"/>
      <c r="E17608" s="23"/>
      <c r="L17608" s="23"/>
    </row>
    <row r="17609">
      <c r="B17609" s="19"/>
      <c r="E17609" s="23"/>
      <c r="L17609" s="23"/>
    </row>
    <row r="17610">
      <c r="B17610" s="19"/>
      <c r="E17610" s="23"/>
      <c r="L17610" s="23"/>
    </row>
    <row r="17611">
      <c r="B17611" s="19"/>
      <c r="E17611" s="23"/>
      <c r="L17611" s="23"/>
    </row>
    <row r="17612">
      <c r="B17612" s="19"/>
      <c r="E17612" s="23"/>
      <c r="L17612" s="23"/>
    </row>
    <row r="17613">
      <c r="B17613" s="19"/>
      <c r="E17613" s="23"/>
      <c r="L17613" s="23"/>
    </row>
    <row r="17614">
      <c r="B17614" s="19"/>
      <c r="E17614" s="23"/>
      <c r="L17614" s="23"/>
    </row>
    <row r="17615">
      <c r="B17615" s="19"/>
      <c r="E17615" s="23"/>
      <c r="L17615" s="23"/>
    </row>
    <row r="17616">
      <c r="B17616" s="19"/>
      <c r="E17616" s="23"/>
      <c r="L17616" s="23"/>
    </row>
    <row r="17617">
      <c r="B17617" s="19"/>
      <c r="E17617" s="23"/>
      <c r="L17617" s="23"/>
    </row>
    <row r="17618">
      <c r="B17618" s="19"/>
      <c r="E17618" s="23"/>
      <c r="L17618" s="23"/>
    </row>
    <row r="17619">
      <c r="B17619" s="19"/>
      <c r="E17619" s="23"/>
      <c r="L17619" s="23"/>
    </row>
    <row r="17620">
      <c r="B17620" s="19"/>
      <c r="E17620" s="23"/>
      <c r="L17620" s="23"/>
    </row>
    <row r="17621">
      <c r="B17621" s="19"/>
      <c r="E17621" s="23"/>
      <c r="L17621" s="23"/>
    </row>
    <row r="17622">
      <c r="B17622" s="19"/>
      <c r="E17622" s="23"/>
      <c r="L17622" s="23"/>
    </row>
    <row r="17623">
      <c r="B17623" s="19"/>
      <c r="E17623" s="23"/>
      <c r="L17623" s="23"/>
    </row>
    <row r="17624">
      <c r="B17624" s="19"/>
      <c r="E17624" s="23"/>
      <c r="L17624" s="23"/>
    </row>
    <row r="17625">
      <c r="B17625" s="19"/>
      <c r="E17625" s="23"/>
      <c r="L17625" s="23"/>
    </row>
    <row r="17626">
      <c r="B17626" s="19"/>
      <c r="E17626" s="23"/>
      <c r="L17626" s="23"/>
    </row>
    <row r="17627">
      <c r="B17627" s="19"/>
      <c r="E17627" s="23"/>
      <c r="L17627" s="23"/>
    </row>
    <row r="17628">
      <c r="B17628" s="19"/>
      <c r="E17628" s="23"/>
      <c r="L17628" s="23"/>
    </row>
    <row r="17629">
      <c r="B17629" s="19"/>
      <c r="E17629" s="23"/>
      <c r="L17629" s="23"/>
    </row>
    <row r="17630">
      <c r="B17630" s="19"/>
      <c r="E17630" s="23"/>
      <c r="L17630" s="23"/>
    </row>
    <row r="17631">
      <c r="B17631" s="19"/>
      <c r="E17631" s="23"/>
      <c r="L17631" s="23"/>
    </row>
    <row r="17632">
      <c r="B17632" s="19"/>
      <c r="E17632" s="23"/>
      <c r="L17632" s="23"/>
    </row>
    <row r="17633">
      <c r="B17633" s="19"/>
      <c r="E17633" s="23"/>
      <c r="L17633" s="23"/>
    </row>
    <row r="17634">
      <c r="B17634" s="19"/>
      <c r="E17634" s="23"/>
      <c r="L17634" s="23"/>
    </row>
    <row r="17635">
      <c r="B17635" s="19"/>
      <c r="E17635" s="23"/>
      <c r="L17635" s="23"/>
    </row>
    <row r="17636">
      <c r="B17636" s="19"/>
      <c r="E17636" s="23"/>
      <c r="L17636" s="23"/>
    </row>
    <row r="17637">
      <c r="B17637" s="19"/>
      <c r="E17637" s="23"/>
      <c r="L17637" s="23"/>
    </row>
    <row r="17638">
      <c r="B17638" s="19"/>
      <c r="E17638" s="23"/>
      <c r="L17638" s="23"/>
    </row>
    <row r="17639">
      <c r="B17639" s="19"/>
      <c r="E17639" s="23"/>
      <c r="L17639" s="23"/>
    </row>
    <row r="17640">
      <c r="B17640" s="19"/>
      <c r="E17640" s="23"/>
      <c r="L17640" s="23"/>
    </row>
    <row r="17641">
      <c r="B17641" s="19"/>
      <c r="E17641" s="23"/>
      <c r="L17641" s="23"/>
    </row>
    <row r="17642">
      <c r="B17642" s="19"/>
      <c r="E17642" s="23"/>
      <c r="L17642" s="23"/>
    </row>
    <row r="17643">
      <c r="B17643" s="19"/>
      <c r="E17643" s="23"/>
      <c r="L17643" s="23"/>
    </row>
    <row r="17644">
      <c r="B17644" s="19"/>
      <c r="E17644" s="23"/>
      <c r="L17644" s="23"/>
    </row>
    <row r="17645">
      <c r="B17645" s="19"/>
      <c r="E17645" s="23"/>
      <c r="L17645" s="23"/>
    </row>
    <row r="17646">
      <c r="B17646" s="19"/>
      <c r="E17646" s="23"/>
      <c r="L17646" s="23"/>
    </row>
    <row r="17647">
      <c r="B17647" s="19"/>
      <c r="E17647" s="23"/>
      <c r="L17647" s="23"/>
    </row>
    <row r="17648">
      <c r="B17648" s="19"/>
      <c r="E17648" s="23"/>
      <c r="L17648" s="23"/>
    </row>
    <row r="17649">
      <c r="B17649" s="19"/>
      <c r="E17649" s="23"/>
      <c r="L17649" s="23"/>
    </row>
    <row r="17650">
      <c r="B17650" s="19"/>
      <c r="E17650" s="23"/>
      <c r="L17650" s="23"/>
    </row>
    <row r="17651">
      <c r="B17651" s="19"/>
      <c r="E17651" s="23"/>
      <c r="L17651" s="23"/>
    </row>
    <row r="17652">
      <c r="B17652" s="19"/>
      <c r="E17652" s="23"/>
      <c r="L17652" s="23"/>
    </row>
    <row r="17653">
      <c r="B17653" s="19"/>
      <c r="E17653" s="23"/>
      <c r="L17653" s="23"/>
    </row>
    <row r="17654">
      <c r="B17654" s="19"/>
      <c r="E17654" s="23"/>
      <c r="L17654" s="23"/>
    </row>
    <row r="17655">
      <c r="B17655" s="19"/>
      <c r="E17655" s="23"/>
      <c r="L17655" s="23"/>
    </row>
    <row r="17656">
      <c r="B17656" s="19"/>
      <c r="E17656" s="23"/>
      <c r="L17656" s="23"/>
    </row>
    <row r="17657">
      <c r="B17657" s="19"/>
      <c r="E17657" s="23"/>
      <c r="L17657" s="23"/>
    </row>
    <row r="17658">
      <c r="B17658" s="19"/>
      <c r="E17658" s="23"/>
      <c r="L17658" s="23"/>
    </row>
    <row r="17659">
      <c r="B17659" s="19"/>
      <c r="E17659" s="23"/>
      <c r="L17659" s="23"/>
    </row>
    <row r="17660">
      <c r="B17660" s="19"/>
      <c r="E17660" s="23"/>
      <c r="L17660" s="23"/>
    </row>
    <row r="17661">
      <c r="B17661" s="19"/>
      <c r="E17661" s="23"/>
      <c r="L17661" s="23"/>
    </row>
    <row r="17662">
      <c r="B17662" s="19"/>
      <c r="E17662" s="23"/>
      <c r="L17662" s="23"/>
    </row>
    <row r="17663">
      <c r="B17663" s="19"/>
      <c r="E17663" s="23"/>
      <c r="L17663" s="23"/>
    </row>
    <row r="17664">
      <c r="B17664" s="19"/>
      <c r="E17664" s="23"/>
      <c r="L17664" s="23"/>
    </row>
    <row r="17665">
      <c r="B17665" s="19"/>
      <c r="E17665" s="23"/>
      <c r="L17665" s="23"/>
    </row>
    <row r="17666">
      <c r="B17666" s="19"/>
      <c r="E17666" s="23"/>
      <c r="L17666" s="23"/>
    </row>
    <row r="17667">
      <c r="B17667" s="19"/>
      <c r="E17667" s="23"/>
      <c r="L17667" s="23"/>
    </row>
    <row r="17668">
      <c r="B17668" s="19"/>
      <c r="E17668" s="23"/>
      <c r="L17668" s="23"/>
    </row>
    <row r="17669">
      <c r="B17669" s="19"/>
      <c r="E17669" s="23"/>
      <c r="L17669" s="23"/>
    </row>
    <row r="17670">
      <c r="B17670" s="19"/>
      <c r="E17670" s="23"/>
      <c r="L17670" s="23"/>
    </row>
    <row r="17671">
      <c r="B17671" s="19"/>
      <c r="E17671" s="23"/>
      <c r="L17671" s="23"/>
    </row>
    <row r="17672">
      <c r="B17672" s="19"/>
      <c r="E17672" s="23"/>
      <c r="L17672" s="23"/>
    </row>
    <row r="17673">
      <c r="B17673" s="19"/>
      <c r="E17673" s="23"/>
      <c r="L17673" s="23"/>
    </row>
    <row r="17674">
      <c r="B17674" s="19"/>
      <c r="E17674" s="23"/>
      <c r="L17674" s="23"/>
    </row>
    <row r="17675">
      <c r="B17675" s="19"/>
      <c r="E17675" s="23"/>
      <c r="L17675" s="23"/>
    </row>
    <row r="17676">
      <c r="B17676" s="19"/>
      <c r="E17676" s="23"/>
      <c r="L17676" s="23"/>
    </row>
    <row r="17677">
      <c r="B17677" s="19"/>
      <c r="E17677" s="23"/>
      <c r="L17677" s="23"/>
    </row>
    <row r="17678">
      <c r="B17678" s="19"/>
      <c r="E17678" s="23"/>
      <c r="L17678" s="23"/>
    </row>
    <row r="17679">
      <c r="B17679" s="19"/>
      <c r="E17679" s="23"/>
      <c r="L17679" s="23"/>
    </row>
    <row r="17680">
      <c r="B17680" s="19"/>
      <c r="E17680" s="23"/>
      <c r="L17680" s="23"/>
    </row>
    <row r="17681">
      <c r="B17681" s="19"/>
      <c r="E17681" s="23"/>
      <c r="L17681" s="23"/>
    </row>
    <row r="17682">
      <c r="B17682" s="19"/>
      <c r="E17682" s="23"/>
      <c r="L17682" s="23"/>
    </row>
    <row r="17683">
      <c r="B17683" s="19"/>
      <c r="E17683" s="23"/>
      <c r="L17683" s="23"/>
    </row>
    <row r="17684">
      <c r="B17684" s="19"/>
      <c r="E17684" s="23"/>
      <c r="L17684" s="23"/>
    </row>
    <row r="17685">
      <c r="B17685" s="19"/>
      <c r="E17685" s="23"/>
      <c r="L17685" s="23"/>
    </row>
    <row r="17686">
      <c r="B17686" s="19"/>
      <c r="E17686" s="23"/>
      <c r="L17686" s="23"/>
    </row>
    <row r="17687">
      <c r="B17687" s="19"/>
      <c r="E17687" s="23"/>
      <c r="L17687" s="23"/>
    </row>
    <row r="17688">
      <c r="B17688" s="19"/>
      <c r="E17688" s="23"/>
      <c r="L17688" s="23"/>
    </row>
    <row r="17689">
      <c r="B17689" s="19"/>
      <c r="E17689" s="23"/>
      <c r="L17689" s="23"/>
    </row>
    <row r="17690">
      <c r="B17690" s="19"/>
      <c r="E17690" s="23"/>
      <c r="L17690" s="23"/>
    </row>
    <row r="17691">
      <c r="B17691" s="19"/>
      <c r="E17691" s="23"/>
      <c r="L17691" s="23"/>
    </row>
    <row r="17692">
      <c r="B17692" s="19"/>
      <c r="E17692" s="23"/>
      <c r="L17692" s="23"/>
    </row>
    <row r="17693">
      <c r="B17693" s="19"/>
      <c r="E17693" s="23"/>
      <c r="L17693" s="23"/>
    </row>
    <row r="17694">
      <c r="B17694" s="19"/>
      <c r="E17694" s="23"/>
      <c r="L17694" s="23"/>
    </row>
    <row r="17695">
      <c r="B17695" s="19"/>
      <c r="E17695" s="23"/>
      <c r="L17695" s="23"/>
    </row>
    <row r="17696">
      <c r="B17696" s="19"/>
      <c r="E17696" s="23"/>
      <c r="L17696" s="23"/>
    </row>
    <row r="17697">
      <c r="B17697" s="19"/>
      <c r="E17697" s="23"/>
      <c r="L17697" s="23"/>
    </row>
    <row r="17698">
      <c r="B17698" s="19"/>
      <c r="E17698" s="23"/>
      <c r="L17698" s="23"/>
    </row>
    <row r="17699">
      <c r="B17699" s="19"/>
      <c r="E17699" s="23"/>
      <c r="L17699" s="23"/>
    </row>
    <row r="17700">
      <c r="B17700" s="19"/>
      <c r="E17700" s="23"/>
      <c r="L17700" s="23"/>
    </row>
    <row r="17701">
      <c r="B17701" s="19"/>
      <c r="E17701" s="23"/>
      <c r="L17701" s="23"/>
    </row>
    <row r="17702">
      <c r="B17702" s="19"/>
      <c r="E17702" s="23"/>
      <c r="L17702" s="23"/>
    </row>
    <row r="17703">
      <c r="B17703" s="19"/>
      <c r="E17703" s="23"/>
      <c r="L17703" s="23"/>
    </row>
    <row r="17704">
      <c r="B17704" s="19"/>
      <c r="E17704" s="23"/>
      <c r="L17704" s="23"/>
    </row>
    <row r="17705">
      <c r="B17705" s="19"/>
      <c r="E17705" s="23"/>
      <c r="L17705" s="23"/>
    </row>
    <row r="17706">
      <c r="B17706" s="19"/>
      <c r="E17706" s="23"/>
      <c r="L17706" s="23"/>
    </row>
    <row r="17707">
      <c r="B17707" s="19"/>
      <c r="E17707" s="23"/>
      <c r="L17707" s="23"/>
    </row>
    <row r="17708">
      <c r="B17708" s="19"/>
      <c r="E17708" s="23"/>
      <c r="L17708" s="23"/>
    </row>
    <row r="17709">
      <c r="B17709" s="19"/>
      <c r="E17709" s="23"/>
      <c r="L17709" s="23"/>
    </row>
    <row r="17710">
      <c r="B17710" s="19"/>
      <c r="E17710" s="23"/>
      <c r="L17710" s="23"/>
    </row>
    <row r="17711">
      <c r="B17711" s="19"/>
      <c r="E17711" s="23"/>
      <c r="L17711" s="23"/>
    </row>
    <row r="17712">
      <c r="B17712" s="19"/>
      <c r="E17712" s="23"/>
      <c r="L17712" s="23"/>
    </row>
    <row r="17713">
      <c r="B17713" s="19"/>
      <c r="E17713" s="23"/>
      <c r="L17713" s="23"/>
    </row>
    <row r="17714">
      <c r="B17714" s="19"/>
      <c r="E17714" s="23"/>
      <c r="L17714" s="23"/>
    </row>
    <row r="17715">
      <c r="B17715" s="19"/>
      <c r="E17715" s="23"/>
      <c r="L17715" s="23"/>
    </row>
    <row r="17716">
      <c r="B17716" s="19"/>
      <c r="E17716" s="23"/>
      <c r="L17716" s="23"/>
    </row>
    <row r="17717">
      <c r="B17717" s="19"/>
      <c r="E17717" s="23"/>
      <c r="L17717" s="23"/>
    </row>
    <row r="17718">
      <c r="B17718" s="19"/>
      <c r="E17718" s="23"/>
      <c r="L17718" s="23"/>
    </row>
    <row r="17719">
      <c r="B17719" s="19"/>
      <c r="E17719" s="23"/>
      <c r="L17719" s="23"/>
    </row>
    <row r="17720">
      <c r="B17720" s="19"/>
      <c r="E17720" s="23"/>
      <c r="L17720" s="23"/>
    </row>
    <row r="17721">
      <c r="B17721" s="19"/>
      <c r="E17721" s="23"/>
      <c r="L17721" s="23"/>
    </row>
    <row r="17722">
      <c r="B17722" s="19"/>
      <c r="E17722" s="23"/>
      <c r="L17722" s="23"/>
    </row>
    <row r="17723">
      <c r="B17723" s="19"/>
      <c r="E17723" s="23"/>
      <c r="L17723" s="23"/>
    </row>
    <row r="17724">
      <c r="B17724" s="19"/>
      <c r="E17724" s="23"/>
      <c r="L17724" s="23"/>
    </row>
    <row r="17725">
      <c r="B17725" s="19"/>
      <c r="E17725" s="23"/>
      <c r="L17725" s="23"/>
    </row>
    <row r="17726">
      <c r="B17726" s="19"/>
      <c r="E17726" s="23"/>
      <c r="L17726" s="23"/>
    </row>
    <row r="17727">
      <c r="B17727" s="19"/>
      <c r="E17727" s="23"/>
      <c r="L17727" s="23"/>
    </row>
    <row r="17728">
      <c r="B17728" s="19"/>
      <c r="E17728" s="23"/>
      <c r="L17728" s="23"/>
    </row>
    <row r="17729">
      <c r="B17729" s="19"/>
      <c r="E17729" s="23"/>
      <c r="L17729" s="23"/>
    </row>
    <row r="17730">
      <c r="B17730" s="19"/>
      <c r="E17730" s="23"/>
      <c r="L17730" s="23"/>
    </row>
    <row r="17731">
      <c r="B17731" s="19"/>
      <c r="E17731" s="23"/>
      <c r="L17731" s="23"/>
    </row>
    <row r="17732">
      <c r="B17732" s="19"/>
      <c r="E17732" s="23"/>
      <c r="L17732" s="23"/>
    </row>
    <row r="17733">
      <c r="B17733" s="19"/>
      <c r="E17733" s="23"/>
      <c r="L17733" s="23"/>
    </row>
    <row r="17734">
      <c r="B17734" s="19"/>
      <c r="E17734" s="23"/>
      <c r="L17734" s="23"/>
    </row>
    <row r="17735">
      <c r="B17735" s="19"/>
      <c r="E17735" s="23"/>
      <c r="L17735" s="23"/>
    </row>
    <row r="17736">
      <c r="B17736" s="19"/>
      <c r="E17736" s="23"/>
      <c r="L17736" s="23"/>
    </row>
    <row r="17737">
      <c r="B17737" s="19"/>
      <c r="E17737" s="23"/>
      <c r="L17737" s="23"/>
    </row>
    <row r="17738">
      <c r="B17738" s="19"/>
      <c r="E17738" s="23"/>
      <c r="L17738" s="23"/>
    </row>
    <row r="17739">
      <c r="B17739" s="19"/>
      <c r="E17739" s="23"/>
      <c r="L17739" s="23"/>
    </row>
    <row r="17740">
      <c r="B17740" s="19"/>
      <c r="E17740" s="23"/>
      <c r="L17740" s="23"/>
    </row>
    <row r="17741">
      <c r="B17741" s="19"/>
      <c r="E17741" s="23"/>
      <c r="L17741" s="23"/>
    </row>
    <row r="17742">
      <c r="B17742" s="19"/>
      <c r="E17742" s="23"/>
      <c r="L17742" s="23"/>
    </row>
    <row r="17743">
      <c r="B17743" s="19"/>
      <c r="E17743" s="23"/>
      <c r="L17743" s="23"/>
    </row>
    <row r="17744">
      <c r="B17744" s="19"/>
      <c r="E17744" s="23"/>
      <c r="L17744" s="23"/>
    </row>
    <row r="17745">
      <c r="B17745" s="19"/>
      <c r="E17745" s="23"/>
      <c r="L17745" s="23"/>
    </row>
    <row r="17746">
      <c r="B17746" s="19"/>
      <c r="E17746" s="23"/>
      <c r="L17746" s="23"/>
    </row>
    <row r="17747">
      <c r="B17747" s="19"/>
      <c r="E17747" s="23"/>
      <c r="L17747" s="23"/>
    </row>
    <row r="17748">
      <c r="B17748" s="19"/>
      <c r="E17748" s="23"/>
      <c r="L17748" s="23"/>
    </row>
    <row r="17749">
      <c r="B17749" s="19"/>
      <c r="E17749" s="23"/>
      <c r="L17749" s="23"/>
    </row>
    <row r="17750">
      <c r="B17750" s="19"/>
      <c r="E17750" s="23"/>
      <c r="L17750" s="23"/>
    </row>
    <row r="17751">
      <c r="B17751" s="19"/>
      <c r="E17751" s="23"/>
      <c r="L17751" s="23"/>
    </row>
    <row r="17752">
      <c r="B17752" s="19"/>
      <c r="E17752" s="23"/>
      <c r="L17752" s="23"/>
    </row>
    <row r="17753">
      <c r="B17753" s="19"/>
      <c r="E17753" s="23"/>
      <c r="L17753" s="23"/>
    </row>
    <row r="17754">
      <c r="B17754" s="19"/>
      <c r="E17754" s="23"/>
      <c r="L17754" s="23"/>
    </row>
    <row r="17755">
      <c r="B17755" s="19"/>
      <c r="E17755" s="23"/>
      <c r="L17755" s="23"/>
    </row>
    <row r="17756">
      <c r="B17756" s="19"/>
      <c r="E17756" s="23"/>
      <c r="L17756" s="23"/>
    </row>
    <row r="17757">
      <c r="B17757" s="19"/>
      <c r="E17757" s="23"/>
      <c r="L17757" s="23"/>
    </row>
    <row r="17758">
      <c r="B17758" s="19"/>
      <c r="E17758" s="23"/>
      <c r="L17758" s="23"/>
    </row>
    <row r="17759">
      <c r="B17759" s="19"/>
      <c r="E17759" s="23"/>
      <c r="L17759" s="23"/>
    </row>
    <row r="17760">
      <c r="B17760" s="19"/>
      <c r="E17760" s="23"/>
      <c r="L17760" s="23"/>
    </row>
    <row r="17761">
      <c r="B17761" s="19"/>
      <c r="E17761" s="23"/>
      <c r="L17761" s="23"/>
    </row>
    <row r="17762">
      <c r="B17762" s="19"/>
      <c r="E17762" s="23"/>
      <c r="L17762" s="23"/>
    </row>
    <row r="17763">
      <c r="B17763" s="19"/>
      <c r="E17763" s="23"/>
      <c r="L17763" s="23"/>
    </row>
    <row r="17764">
      <c r="B17764" s="19"/>
      <c r="E17764" s="23"/>
      <c r="L17764" s="23"/>
    </row>
    <row r="17765">
      <c r="B17765" s="19"/>
      <c r="E17765" s="23"/>
      <c r="L17765" s="23"/>
    </row>
    <row r="17766">
      <c r="B17766" s="19"/>
      <c r="E17766" s="23"/>
      <c r="L17766" s="23"/>
    </row>
    <row r="17767">
      <c r="B17767" s="19"/>
      <c r="E17767" s="23"/>
      <c r="L17767" s="23"/>
    </row>
    <row r="17768">
      <c r="B17768" s="19"/>
      <c r="E17768" s="23"/>
      <c r="L17768" s="23"/>
    </row>
    <row r="17769">
      <c r="B17769" s="19"/>
      <c r="E17769" s="23"/>
      <c r="L17769" s="23"/>
    </row>
    <row r="17770">
      <c r="B17770" s="19"/>
      <c r="E17770" s="23"/>
      <c r="L17770" s="23"/>
    </row>
    <row r="17771">
      <c r="B17771" s="19"/>
      <c r="E17771" s="23"/>
      <c r="L17771" s="23"/>
    </row>
    <row r="17772">
      <c r="B17772" s="19"/>
      <c r="E17772" s="23"/>
      <c r="L17772" s="23"/>
    </row>
    <row r="17773">
      <c r="B17773" s="19"/>
      <c r="E17773" s="23"/>
      <c r="L17773" s="23"/>
    </row>
    <row r="17774">
      <c r="B17774" s="19"/>
      <c r="E17774" s="23"/>
      <c r="L17774" s="23"/>
    </row>
    <row r="17775">
      <c r="B17775" s="19"/>
      <c r="E17775" s="23"/>
      <c r="L17775" s="23"/>
    </row>
    <row r="17776">
      <c r="B17776" s="19"/>
      <c r="E17776" s="23"/>
      <c r="L17776" s="23"/>
    </row>
    <row r="17777">
      <c r="B17777" s="19"/>
      <c r="E17777" s="23"/>
      <c r="L17777" s="23"/>
    </row>
    <row r="17778">
      <c r="B17778" s="19"/>
      <c r="E17778" s="23"/>
      <c r="L17778" s="23"/>
    </row>
    <row r="17779">
      <c r="B17779" s="19"/>
      <c r="E17779" s="23"/>
      <c r="L17779" s="23"/>
    </row>
    <row r="17780">
      <c r="B17780" s="19"/>
      <c r="E17780" s="23"/>
      <c r="L17780" s="23"/>
    </row>
    <row r="17781">
      <c r="B17781" s="19"/>
      <c r="E17781" s="23"/>
      <c r="L17781" s="23"/>
    </row>
    <row r="17782">
      <c r="B17782" s="19"/>
      <c r="E17782" s="23"/>
      <c r="L17782" s="23"/>
    </row>
    <row r="17783">
      <c r="B17783" s="19"/>
      <c r="E17783" s="23"/>
      <c r="L17783" s="23"/>
    </row>
    <row r="17784">
      <c r="B17784" s="19"/>
      <c r="E17784" s="23"/>
      <c r="L17784" s="23"/>
    </row>
    <row r="17785">
      <c r="B17785" s="19"/>
      <c r="E17785" s="23"/>
      <c r="L17785" s="23"/>
    </row>
    <row r="17786">
      <c r="B17786" s="19"/>
      <c r="E17786" s="23"/>
      <c r="L17786" s="23"/>
    </row>
    <row r="17787">
      <c r="B17787" s="19"/>
      <c r="E17787" s="23"/>
      <c r="L17787" s="23"/>
    </row>
    <row r="17788">
      <c r="B17788" s="19"/>
      <c r="E17788" s="23"/>
      <c r="L17788" s="23"/>
    </row>
    <row r="17789">
      <c r="B17789" s="19"/>
      <c r="E17789" s="23"/>
      <c r="L17789" s="23"/>
    </row>
    <row r="17790">
      <c r="B17790" s="19"/>
      <c r="E17790" s="23"/>
      <c r="L17790" s="23"/>
    </row>
    <row r="17791">
      <c r="B17791" s="19"/>
      <c r="E17791" s="23"/>
      <c r="L17791" s="23"/>
    </row>
    <row r="17792">
      <c r="B17792" s="19"/>
      <c r="E17792" s="23"/>
      <c r="L17792" s="23"/>
    </row>
    <row r="17793">
      <c r="B17793" s="19"/>
      <c r="E17793" s="23"/>
      <c r="L17793" s="23"/>
    </row>
    <row r="17794">
      <c r="B17794" s="19"/>
      <c r="E17794" s="23"/>
      <c r="L17794" s="23"/>
    </row>
    <row r="17795">
      <c r="B17795" s="19"/>
      <c r="E17795" s="23"/>
      <c r="L17795" s="23"/>
    </row>
    <row r="17796">
      <c r="B17796" s="19"/>
      <c r="E17796" s="23"/>
      <c r="L17796" s="23"/>
    </row>
    <row r="17797">
      <c r="B17797" s="19"/>
      <c r="E17797" s="23"/>
      <c r="L17797" s="23"/>
    </row>
    <row r="17798">
      <c r="B17798" s="19"/>
      <c r="E17798" s="23"/>
      <c r="L17798" s="23"/>
    </row>
    <row r="17799">
      <c r="B17799" s="19"/>
      <c r="E17799" s="23"/>
      <c r="L17799" s="23"/>
    </row>
    <row r="17800">
      <c r="B17800" s="19"/>
      <c r="E17800" s="23"/>
      <c r="L17800" s="23"/>
    </row>
    <row r="17801">
      <c r="B17801" s="19"/>
      <c r="E17801" s="23"/>
      <c r="L17801" s="23"/>
    </row>
    <row r="17802">
      <c r="B17802" s="19"/>
      <c r="E17802" s="23"/>
      <c r="L17802" s="23"/>
    </row>
    <row r="17803">
      <c r="B17803" s="19"/>
      <c r="E17803" s="23"/>
      <c r="L17803" s="23"/>
    </row>
    <row r="17804">
      <c r="B17804" s="19"/>
      <c r="E17804" s="23"/>
      <c r="L17804" s="23"/>
    </row>
    <row r="17805">
      <c r="B17805" s="19"/>
      <c r="E17805" s="23"/>
      <c r="L17805" s="23"/>
    </row>
    <row r="17806">
      <c r="B17806" s="19"/>
      <c r="E17806" s="23"/>
      <c r="L17806" s="23"/>
    </row>
    <row r="17807">
      <c r="B17807" s="19"/>
      <c r="E17807" s="23"/>
      <c r="L17807" s="23"/>
    </row>
    <row r="17808">
      <c r="B17808" s="19"/>
      <c r="E17808" s="23"/>
      <c r="L17808" s="23"/>
    </row>
    <row r="17809">
      <c r="B17809" s="19"/>
      <c r="E17809" s="23"/>
      <c r="L17809" s="23"/>
    </row>
    <row r="17810">
      <c r="B17810" s="19"/>
      <c r="E17810" s="23"/>
      <c r="L17810" s="23"/>
    </row>
    <row r="17811">
      <c r="B17811" s="19"/>
      <c r="E17811" s="23"/>
      <c r="L17811" s="23"/>
    </row>
    <row r="17812">
      <c r="B17812" s="19"/>
      <c r="E17812" s="23"/>
      <c r="L17812" s="23"/>
    </row>
    <row r="17813">
      <c r="B17813" s="19"/>
      <c r="E17813" s="23"/>
      <c r="L17813" s="23"/>
    </row>
    <row r="17814">
      <c r="B17814" s="19"/>
      <c r="E17814" s="23"/>
      <c r="L17814" s="23"/>
    </row>
    <row r="17815">
      <c r="B17815" s="19"/>
      <c r="E17815" s="23"/>
      <c r="L17815" s="23"/>
    </row>
    <row r="17816">
      <c r="B17816" s="19"/>
      <c r="E17816" s="23"/>
      <c r="L17816" s="23"/>
    </row>
    <row r="17817">
      <c r="B17817" s="19"/>
      <c r="E17817" s="23"/>
      <c r="L17817" s="23"/>
    </row>
    <row r="17818">
      <c r="B17818" s="19"/>
      <c r="E17818" s="23"/>
      <c r="L17818" s="23"/>
    </row>
    <row r="17819">
      <c r="B17819" s="19"/>
      <c r="E17819" s="23"/>
      <c r="L17819" s="23"/>
    </row>
    <row r="17820">
      <c r="B17820" s="19"/>
      <c r="E17820" s="23"/>
      <c r="L17820" s="23"/>
    </row>
    <row r="17821">
      <c r="B17821" s="19"/>
      <c r="E17821" s="23"/>
      <c r="L17821" s="23"/>
    </row>
    <row r="17822">
      <c r="B17822" s="19"/>
      <c r="E17822" s="23"/>
      <c r="L17822" s="23"/>
    </row>
    <row r="17823">
      <c r="B17823" s="19"/>
      <c r="E17823" s="23"/>
      <c r="L17823" s="23"/>
    </row>
    <row r="17824">
      <c r="B17824" s="19"/>
      <c r="E17824" s="23"/>
      <c r="L17824" s="23"/>
    </row>
    <row r="17825">
      <c r="B17825" s="19"/>
      <c r="E17825" s="23"/>
      <c r="L17825" s="23"/>
    </row>
    <row r="17826">
      <c r="B17826" s="19"/>
      <c r="E17826" s="23"/>
      <c r="L17826" s="23"/>
    </row>
    <row r="17827">
      <c r="B17827" s="19"/>
      <c r="E17827" s="23"/>
      <c r="L17827" s="23"/>
    </row>
    <row r="17828">
      <c r="B17828" s="19"/>
      <c r="E17828" s="23"/>
      <c r="L17828" s="23"/>
    </row>
    <row r="17829">
      <c r="B17829" s="19"/>
      <c r="E17829" s="23"/>
      <c r="L17829" s="23"/>
    </row>
    <row r="17830">
      <c r="B17830" s="19"/>
      <c r="E17830" s="23"/>
      <c r="L17830" s="23"/>
    </row>
    <row r="17831">
      <c r="B17831" s="19"/>
      <c r="E17831" s="23"/>
      <c r="L17831" s="23"/>
    </row>
    <row r="17832">
      <c r="B17832" s="19"/>
      <c r="E17832" s="23"/>
      <c r="L17832" s="23"/>
    </row>
    <row r="17833">
      <c r="B17833" s="19"/>
      <c r="E17833" s="23"/>
      <c r="L17833" s="23"/>
    </row>
    <row r="17834">
      <c r="B17834" s="19"/>
      <c r="E17834" s="23"/>
      <c r="L17834" s="23"/>
    </row>
    <row r="17835">
      <c r="B17835" s="19"/>
      <c r="E17835" s="23"/>
      <c r="L17835" s="23"/>
    </row>
    <row r="17836">
      <c r="B17836" s="19"/>
      <c r="E17836" s="23"/>
      <c r="L17836" s="23"/>
    </row>
    <row r="17837">
      <c r="B17837" s="19"/>
      <c r="E17837" s="23"/>
      <c r="L17837" s="23"/>
    </row>
    <row r="17838">
      <c r="B17838" s="19"/>
      <c r="E17838" s="23"/>
      <c r="L17838" s="23"/>
    </row>
    <row r="17839">
      <c r="B17839" s="19"/>
      <c r="E17839" s="23"/>
      <c r="L17839" s="23"/>
    </row>
    <row r="17840">
      <c r="B17840" s="19"/>
      <c r="E17840" s="23"/>
      <c r="L17840" s="23"/>
    </row>
    <row r="17841">
      <c r="B17841" s="19"/>
      <c r="E17841" s="23"/>
      <c r="L17841" s="23"/>
    </row>
    <row r="17842">
      <c r="B17842" s="19"/>
      <c r="E17842" s="23"/>
      <c r="L17842" s="23"/>
    </row>
    <row r="17843">
      <c r="B17843" s="19"/>
      <c r="E17843" s="23"/>
      <c r="L17843" s="23"/>
    </row>
    <row r="17844">
      <c r="B17844" s="19"/>
      <c r="E17844" s="23"/>
      <c r="L17844" s="23"/>
    </row>
    <row r="17845">
      <c r="B17845" s="19"/>
      <c r="E17845" s="23"/>
      <c r="L17845" s="23"/>
    </row>
    <row r="17846">
      <c r="B17846" s="19"/>
      <c r="E17846" s="23"/>
      <c r="L17846" s="23"/>
    </row>
    <row r="17847">
      <c r="B17847" s="19"/>
      <c r="E17847" s="23"/>
      <c r="L17847" s="23"/>
    </row>
    <row r="17848">
      <c r="B17848" s="19"/>
      <c r="E17848" s="23"/>
      <c r="L17848" s="23"/>
    </row>
    <row r="17849">
      <c r="B17849" s="19"/>
      <c r="E17849" s="23"/>
      <c r="L17849" s="23"/>
    </row>
    <row r="17850">
      <c r="B17850" s="19"/>
      <c r="E17850" s="23"/>
      <c r="L17850" s="23"/>
    </row>
    <row r="17851">
      <c r="B17851" s="19"/>
      <c r="E17851" s="23"/>
      <c r="L17851" s="23"/>
    </row>
    <row r="17852">
      <c r="B17852" s="19"/>
      <c r="E17852" s="23"/>
      <c r="L17852" s="23"/>
    </row>
    <row r="17853">
      <c r="B17853" s="19"/>
      <c r="E17853" s="23"/>
      <c r="L17853" s="23"/>
    </row>
    <row r="17854">
      <c r="B17854" s="19"/>
      <c r="E17854" s="23"/>
      <c r="L17854" s="23"/>
    </row>
    <row r="17855">
      <c r="B17855" s="19"/>
      <c r="E17855" s="23"/>
      <c r="L17855" s="23"/>
    </row>
    <row r="17856">
      <c r="B17856" s="19"/>
      <c r="E17856" s="23"/>
      <c r="L17856" s="23"/>
    </row>
    <row r="17857">
      <c r="B17857" s="19"/>
      <c r="E17857" s="23"/>
      <c r="L17857" s="23"/>
    </row>
    <row r="17858">
      <c r="B17858" s="19"/>
      <c r="E17858" s="23"/>
      <c r="L17858" s="23"/>
    </row>
    <row r="17859">
      <c r="B17859" s="19"/>
      <c r="E17859" s="23"/>
      <c r="L17859" s="23"/>
    </row>
    <row r="17860">
      <c r="B17860" s="19"/>
      <c r="E17860" s="23"/>
      <c r="L17860" s="23"/>
    </row>
    <row r="17861">
      <c r="B17861" s="19"/>
      <c r="E17861" s="23"/>
      <c r="L17861" s="23"/>
    </row>
    <row r="17862">
      <c r="B17862" s="19"/>
      <c r="E17862" s="23"/>
      <c r="L17862" s="23"/>
    </row>
    <row r="17863">
      <c r="B17863" s="19"/>
      <c r="E17863" s="23"/>
      <c r="L17863" s="23"/>
    </row>
    <row r="17864">
      <c r="B17864" s="19"/>
      <c r="E17864" s="23"/>
      <c r="L17864" s="23"/>
    </row>
    <row r="17865">
      <c r="B17865" s="19"/>
      <c r="E17865" s="23"/>
      <c r="L17865" s="23"/>
    </row>
    <row r="17866">
      <c r="B17866" s="19"/>
      <c r="E17866" s="23"/>
      <c r="L17866" s="23"/>
    </row>
    <row r="17867">
      <c r="B17867" s="19"/>
      <c r="E17867" s="23"/>
      <c r="L17867" s="23"/>
    </row>
    <row r="17868">
      <c r="B17868" s="19"/>
      <c r="E17868" s="23"/>
      <c r="L17868" s="23"/>
    </row>
    <row r="17869">
      <c r="B17869" s="19"/>
      <c r="E17869" s="23"/>
      <c r="L17869" s="23"/>
    </row>
    <row r="17870">
      <c r="B17870" s="19"/>
      <c r="E17870" s="23"/>
      <c r="L17870" s="23"/>
    </row>
    <row r="17871">
      <c r="B17871" s="19"/>
      <c r="E17871" s="23"/>
      <c r="L17871" s="23"/>
    </row>
    <row r="17872">
      <c r="B17872" s="19"/>
      <c r="E17872" s="23"/>
      <c r="L17872" s="23"/>
    </row>
    <row r="17873">
      <c r="B17873" s="19"/>
      <c r="E17873" s="23"/>
      <c r="L17873" s="23"/>
    </row>
    <row r="17874">
      <c r="B17874" s="19"/>
      <c r="E17874" s="23"/>
      <c r="L17874" s="23"/>
    </row>
    <row r="17875">
      <c r="B17875" s="19"/>
      <c r="E17875" s="23"/>
      <c r="L17875" s="23"/>
    </row>
    <row r="17876">
      <c r="B17876" s="19"/>
      <c r="E17876" s="23"/>
      <c r="L17876" s="23"/>
    </row>
    <row r="17877">
      <c r="B17877" s="19"/>
      <c r="E17877" s="23"/>
      <c r="L17877" s="23"/>
    </row>
    <row r="17878">
      <c r="B17878" s="19"/>
      <c r="E17878" s="23"/>
      <c r="L17878" s="23"/>
    </row>
    <row r="17879">
      <c r="B17879" s="19"/>
      <c r="E17879" s="23"/>
      <c r="L17879" s="23"/>
    </row>
    <row r="17880">
      <c r="B17880" s="19"/>
      <c r="E17880" s="23"/>
      <c r="L17880" s="23"/>
    </row>
    <row r="17881">
      <c r="B17881" s="19"/>
      <c r="E17881" s="23"/>
      <c r="L17881" s="23"/>
    </row>
    <row r="17882">
      <c r="B17882" s="19"/>
      <c r="E17882" s="23"/>
      <c r="L17882" s="23"/>
    </row>
    <row r="17883">
      <c r="B17883" s="19"/>
      <c r="E17883" s="23"/>
      <c r="L17883" s="23"/>
    </row>
    <row r="17884">
      <c r="B17884" s="19"/>
      <c r="E17884" s="23"/>
      <c r="L17884" s="23"/>
    </row>
    <row r="17885">
      <c r="B17885" s="19"/>
      <c r="E17885" s="23"/>
      <c r="L17885" s="23"/>
    </row>
    <row r="17886">
      <c r="B17886" s="19"/>
      <c r="E17886" s="23"/>
      <c r="L17886" s="23"/>
    </row>
    <row r="17887">
      <c r="B17887" s="19"/>
      <c r="E17887" s="23"/>
      <c r="L17887" s="23"/>
    </row>
    <row r="17888">
      <c r="B17888" s="19"/>
      <c r="E17888" s="23"/>
      <c r="L17888" s="23"/>
    </row>
    <row r="17889">
      <c r="B17889" s="19"/>
      <c r="E17889" s="23"/>
      <c r="L17889" s="23"/>
    </row>
    <row r="17890">
      <c r="B17890" s="19"/>
      <c r="E17890" s="23"/>
      <c r="L17890" s="23"/>
    </row>
    <row r="17891">
      <c r="B17891" s="19"/>
      <c r="E17891" s="23"/>
      <c r="L17891" s="23"/>
    </row>
    <row r="17892">
      <c r="B17892" s="19"/>
      <c r="E17892" s="23"/>
      <c r="L17892" s="23"/>
    </row>
    <row r="17893">
      <c r="B17893" s="19"/>
      <c r="E17893" s="23"/>
      <c r="L17893" s="23"/>
    </row>
    <row r="17894">
      <c r="B17894" s="19"/>
      <c r="E17894" s="23"/>
      <c r="L17894" s="23"/>
    </row>
    <row r="17895">
      <c r="B17895" s="19"/>
      <c r="E17895" s="23"/>
      <c r="L17895" s="23"/>
    </row>
    <row r="17896">
      <c r="B17896" s="19"/>
      <c r="E17896" s="23"/>
      <c r="L17896" s="23"/>
    </row>
    <row r="17897">
      <c r="B17897" s="19"/>
      <c r="E17897" s="23"/>
      <c r="L17897" s="23"/>
    </row>
    <row r="17898">
      <c r="B17898" s="19"/>
      <c r="E17898" s="23"/>
      <c r="L17898" s="23"/>
    </row>
    <row r="17899">
      <c r="B17899" s="19"/>
      <c r="E17899" s="23"/>
      <c r="L17899" s="23"/>
    </row>
    <row r="17900">
      <c r="B17900" s="19"/>
      <c r="E17900" s="23"/>
      <c r="L17900" s="23"/>
    </row>
    <row r="17901">
      <c r="B17901" s="19"/>
      <c r="E17901" s="23"/>
      <c r="L17901" s="23"/>
    </row>
    <row r="17902">
      <c r="B17902" s="19"/>
      <c r="E17902" s="23"/>
      <c r="L17902" s="23"/>
    </row>
    <row r="17903">
      <c r="B17903" s="19"/>
      <c r="E17903" s="23"/>
      <c r="L17903" s="23"/>
    </row>
    <row r="17904">
      <c r="B17904" s="19"/>
      <c r="E17904" s="23"/>
      <c r="L17904" s="23"/>
    </row>
    <row r="17905">
      <c r="B17905" s="19"/>
      <c r="E17905" s="23"/>
      <c r="L17905" s="23"/>
    </row>
    <row r="17906">
      <c r="B17906" s="19"/>
      <c r="E17906" s="23"/>
      <c r="L17906" s="23"/>
    </row>
    <row r="17907">
      <c r="B17907" s="19"/>
      <c r="E17907" s="23"/>
      <c r="L17907" s="23"/>
    </row>
    <row r="17908">
      <c r="B17908" s="19"/>
      <c r="E17908" s="23"/>
      <c r="L17908" s="23"/>
    </row>
    <row r="17909">
      <c r="B17909" s="19"/>
      <c r="E17909" s="23"/>
      <c r="L17909" s="23"/>
    </row>
    <row r="17910">
      <c r="B17910" s="19"/>
      <c r="E17910" s="23"/>
      <c r="L17910" s="23"/>
    </row>
    <row r="17911">
      <c r="B17911" s="19"/>
      <c r="E17911" s="23"/>
      <c r="L17911" s="23"/>
    </row>
    <row r="17912">
      <c r="B17912" s="19"/>
      <c r="E17912" s="23"/>
      <c r="L17912" s="23"/>
    </row>
    <row r="17913">
      <c r="B17913" s="19"/>
      <c r="E17913" s="23"/>
      <c r="L17913" s="23"/>
    </row>
    <row r="17914">
      <c r="B17914" s="19"/>
      <c r="E17914" s="23"/>
      <c r="L17914" s="23"/>
    </row>
    <row r="17915">
      <c r="B17915" s="19"/>
      <c r="E17915" s="23"/>
      <c r="L17915" s="23"/>
    </row>
    <row r="17916">
      <c r="B17916" s="19"/>
      <c r="E17916" s="23"/>
      <c r="L17916" s="23"/>
    </row>
    <row r="17917">
      <c r="B17917" s="19"/>
      <c r="E17917" s="23"/>
      <c r="L17917" s="23"/>
    </row>
    <row r="17918">
      <c r="B17918" s="19"/>
      <c r="E17918" s="23"/>
      <c r="L17918" s="23"/>
    </row>
    <row r="17919">
      <c r="B17919" s="19"/>
      <c r="E17919" s="23"/>
      <c r="L17919" s="23"/>
    </row>
    <row r="17920">
      <c r="B17920" s="19"/>
      <c r="E17920" s="23"/>
      <c r="L17920" s="23"/>
    </row>
    <row r="17921">
      <c r="B17921" s="19"/>
      <c r="E17921" s="23"/>
      <c r="L17921" s="23"/>
    </row>
    <row r="17922">
      <c r="B17922" s="19"/>
      <c r="E17922" s="23"/>
      <c r="L17922" s="23"/>
    </row>
    <row r="17923">
      <c r="B17923" s="19"/>
      <c r="E17923" s="23"/>
      <c r="L17923" s="23"/>
    </row>
    <row r="17924">
      <c r="B17924" s="19"/>
      <c r="E17924" s="23"/>
      <c r="L17924" s="23"/>
    </row>
    <row r="17925">
      <c r="B17925" s="19"/>
      <c r="E17925" s="23"/>
      <c r="L17925" s="23"/>
    </row>
    <row r="17926">
      <c r="B17926" s="19"/>
      <c r="E17926" s="23"/>
      <c r="L17926" s="23"/>
    </row>
    <row r="17927">
      <c r="B17927" s="19"/>
      <c r="E17927" s="23"/>
      <c r="L17927" s="23"/>
    </row>
    <row r="17928">
      <c r="B17928" s="19"/>
      <c r="E17928" s="23"/>
      <c r="L17928" s="23"/>
    </row>
    <row r="17929">
      <c r="B17929" s="19"/>
      <c r="E17929" s="23"/>
      <c r="L17929" s="23"/>
    </row>
    <row r="17930">
      <c r="B17930" s="19"/>
      <c r="E17930" s="23"/>
      <c r="L17930" s="23"/>
    </row>
    <row r="17931">
      <c r="B17931" s="19"/>
      <c r="E17931" s="23"/>
      <c r="L17931" s="23"/>
    </row>
    <row r="17932">
      <c r="B17932" s="19"/>
      <c r="E17932" s="23"/>
      <c r="L17932" s="23"/>
    </row>
    <row r="17933">
      <c r="B17933" s="19"/>
      <c r="E17933" s="23"/>
      <c r="L17933" s="23"/>
    </row>
    <row r="17934">
      <c r="B17934" s="19"/>
      <c r="E17934" s="23"/>
      <c r="L17934" s="23"/>
    </row>
    <row r="17935">
      <c r="B17935" s="19"/>
      <c r="E17935" s="23"/>
      <c r="L17935" s="23"/>
    </row>
    <row r="17936">
      <c r="B17936" s="19"/>
      <c r="E17936" s="23"/>
      <c r="L17936" s="23"/>
    </row>
    <row r="17937">
      <c r="B17937" s="19"/>
      <c r="E17937" s="23"/>
      <c r="L17937" s="23"/>
    </row>
    <row r="17938">
      <c r="B17938" s="19"/>
      <c r="E17938" s="23"/>
      <c r="L17938" s="23"/>
    </row>
    <row r="17939">
      <c r="B17939" s="19"/>
      <c r="E17939" s="23"/>
      <c r="L17939" s="23"/>
    </row>
    <row r="17940">
      <c r="B17940" s="19"/>
      <c r="E17940" s="23"/>
      <c r="L17940" s="23"/>
    </row>
    <row r="17941">
      <c r="B17941" s="19"/>
      <c r="E17941" s="23"/>
      <c r="L17941" s="23"/>
    </row>
    <row r="17942">
      <c r="B17942" s="19"/>
      <c r="E17942" s="23"/>
      <c r="L17942" s="23"/>
    </row>
    <row r="17943">
      <c r="B17943" s="19"/>
      <c r="E17943" s="23"/>
      <c r="L17943" s="23"/>
    </row>
    <row r="17944">
      <c r="B17944" s="19"/>
      <c r="E17944" s="23"/>
      <c r="L17944" s="23"/>
    </row>
    <row r="17945">
      <c r="B17945" s="19"/>
      <c r="E17945" s="23"/>
      <c r="L17945" s="23"/>
    </row>
    <row r="17946">
      <c r="B17946" s="19"/>
      <c r="E17946" s="23"/>
      <c r="L17946" s="23"/>
    </row>
    <row r="17947">
      <c r="B17947" s="19"/>
      <c r="E17947" s="23"/>
      <c r="L17947" s="23"/>
    </row>
    <row r="17948">
      <c r="B17948" s="19"/>
      <c r="E17948" s="23"/>
      <c r="L17948" s="23"/>
    </row>
    <row r="17949">
      <c r="B17949" s="19"/>
      <c r="E17949" s="23"/>
      <c r="L17949" s="23"/>
    </row>
    <row r="17950">
      <c r="B17950" s="19"/>
      <c r="E17950" s="23"/>
      <c r="L17950" s="23"/>
    </row>
    <row r="17951">
      <c r="B17951" s="19"/>
      <c r="E17951" s="23"/>
      <c r="L17951" s="23"/>
    </row>
    <row r="17952">
      <c r="B17952" s="19"/>
      <c r="E17952" s="23"/>
      <c r="L17952" s="23"/>
    </row>
    <row r="17953">
      <c r="B17953" s="19"/>
      <c r="E17953" s="23"/>
      <c r="L17953" s="23"/>
    </row>
    <row r="17954">
      <c r="B17954" s="19"/>
      <c r="E17954" s="23"/>
      <c r="L17954" s="23"/>
    </row>
    <row r="17955">
      <c r="B17955" s="19"/>
      <c r="E17955" s="23"/>
      <c r="L17955" s="23"/>
    </row>
    <row r="17956">
      <c r="B17956" s="19"/>
      <c r="E17956" s="23"/>
      <c r="L17956" s="23"/>
    </row>
    <row r="17957">
      <c r="B17957" s="19"/>
      <c r="E17957" s="23"/>
      <c r="L17957" s="23"/>
    </row>
    <row r="17958">
      <c r="B17958" s="19"/>
      <c r="E17958" s="23"/>
      <c r="L17958" s="23"/>
    </row>
    <row r="17959">
      <c r="B17959" s="19"/>
      <c r="E17959" s="23"/>
      <c r="L17959" s="23"/>
    </row>
    <row r="17960">
      <c r="B17960" s="19"/>
      <c r="E17960" s="23"/>
      <c r="L17960" s="23"/>
    </row>
    <row r="17961">
      <c r="B17961" s="19"/>
      <c r="E17961" s="23"/>
      <c r="L17961" s="23"/>
    </row>
    <row r="17962">
      <c r="B17962" s="19"/>
      <c r="E17962" s="23"/>
      <c r="L17962" s="23"/>
    </row>
    <row r="17963">
      <c r="B17963" s="19"/>
      <c r="E17963" s="23"/>
      <c r="L17963" s="23"/>
    </row>
    <row r="17964">
      <c r="B17964" s="19"/>
      <c r="E17964" s="23"/>
      <c r="L17964" s="23"/>
    </row>
    <row r="17965">
      <c r="B17965" s="19"/>
      <c r="E17965" s="23"/>
      <c r="L17965" s="23"/>
    </row>
    <row r="17966">
      <c r="B17966" s="19"/>
      <c r="E17966" s="23"/>
      <c r="L17966" s="23"/>
    </row>
    <row r="17967">
      <c r="B17967" s="19"/>
      <c r="E17967" s="23"/>
      <c r="L17967" s="23"/>
    </row>
    <row r="17968">
      <c r="B17968" s="19"/>
      <c r="E17968" s="23"/>
      <c r="L17968" s="23"/>
    </row>
    <row r="17969">
      <c r="B17969" s="19"/>
      <c r="E17969" s="23"/>
      <c r="L17969" s="23"/>
    </row>
    <row r="17970">
      <c r="B17970" s="19"/>
      <c r="E17970" s="23"/>
      <c r="L17970" s="23"/>
    </row>
    <row r="17971">
      <c r="B17971" s="19"/>
      <c r="E17971" s="23"/>
      <c r="L17971" s="23"/>
    </row>
    <row r="17972">
      <c r="B17972" s="19"/>
      <c r="E17972" s="23"/>
      <c r="L17972" s="23"/>
    </row>
    <row r="17973">
      <c r="B17973" s="19"/>
      <c r="E17973" s="23"/>
      <c r="L17973" s="23"/>
    </row>
    <row r="17974">
      <c r="B17974" s="19"/>
      <c r="E17974" s="23"/>
      <c r="L17974" s="23"/>
    </row>
    <row r="17975">
      <c r="B17975" s="19"/>
      <c r="E17975" s="23"/>
      <c r="L17975" s="23"/>
    </row>
    <row r="17976">
      <c r="B17976" s="19"/>
      <c r="E17976" s="23"/>
      <c r="L17976" s="23"/>
    </row>
    <row r="17977">
      <c r="B17977" s="19"/>
      <c r="E17977" s="23"/>
      <c r="L17977" s="23"/>
    </row>
    <row r="17978">
      <c r="B17978" s="19"/>
      <c r="E17978" s="23"/>
      <c r="L17978" s="23"/>
    </row>
    <row r="17979">
      <c r="B17979" s="19"/>
      <c r="E17979" s="23"/>
      <c r="L17979" s="23"/>
    </row>
    <row r="17980">
      <c r="B17980" s="19"/>
      <c r="E17980" s="23"/>
      <c r="L17980" s="23"/>
    </row>
    <row r="17981">
      <c r="B17981" s="19"/>
      <c r="E17981" s="23"/>
      <c r="L17981" s="23"/>
    </row>
    <row r="17982">
      <c r="B17982" s="19"/>
      <c r="E17982" s="23"/>
      <c r="L17982" s="23"/>
    </row>
    <row r="17983">
      <c r="B17983" s="19"/>
      <c r="E17983" s="23"/>
      <c r="L17983" s="23"/>
    </row>
    <row r="17984">
      <c r="B17984" s="19"/>
      <c r="E17984" s="23"/>
      <c r="L17984" s="23"/>
    </row>
    <row r="17985">
      <c r="B17985" s="19"/>
      <c r="E17985" s="23"/>
      <c r="L17985" s="23"/>
    </row>
    <row r="17986">
      <c r="B17986" s="19"/>
      <c r="E17986" s="23"/>
      <c r="L17986" s="23"/>
    </row>
    <row r="17987">
      <c r="B17987" s="19"/>
      <c r="E17987" s="23"/>
      <c r="L17987" s="23"/>
    </row>
    <row r="17988">
      <c r="B17988" s="19"/>
      <c r="E17988" s="23"/>
      <c r="L17988" s="23"/>
    </row>
    <row r="17989">
      <c r="B17989" s="19"/>
      <c r="E17989" s="23"/>
      <c r="L17989" s="23"/>
    </row>
    <row r="17990">
      <c r="B17990" s="19"/>
      <c r="E17990" s="23"/>
      <c r="L17990" s="23"/>
    </row>
    <row r="17991">
      <c r="B17991" s="19"/>
      <c r="E17991" s="23"/>
      <c r="L17991" s="23"/>
    </row>
    <row r="17992">
      <c r="B17992" s="19"/>
      <c r="E17992" s="23"/>
      <c r="L17992" s="23"/>
    </row>
    <row r="17993">
      <c r="B17993" s="19"/>
      <c r="E17993" s="23"/>
      <c r="L17993" s="23"/>
    </row>
    <row r="17994">
      <c r="B17994" s="19"/>
      <c r="E17994" s="23"/>
      <c r="L17994" s="23"/>
    </row>
    <row r="17995">
      <c r="B17995" s="19"/>
      <c r="E17995" s="23"/>
      <c r="L17995" s="23"/>
    </row>
    <row r="17996">
      <c r="B17996" s="19"/>
      <c r="E17996" s="23"/>
      <c r="L17996" s="23"/>
    </row>
    <row r="17997">
      <c r="B17997" s="19"/>
      <c r="E17997" s="23"/>
      <c r="L17997" s="23"/>
    </row>
    <row r="17998">
      <c r="B17998" s="19"/>
      <c r="E17998" s="23"/>
      <c r="L17998" s="23"/>
    </row>
    <row r="17999">
      <c r="B17999" s="19"/>
      <c r="E17999" s="23"/>
      <c r="L17999" s="23"/>
    </row>
    <row r="18000">
      <c r="B18000" s="19"/>
      <c r="E18000" s="23"/>
      <c r="L18000" s="23"/>
    </row>
    <row r="18001">
      <c r="B18001" s="19"/>
      <c r="E18001" s="23"/>
      <c r="L18001" s="23"/>
    </row>
    <row r="18002">
      <c r="B18002" s="19"/>
      <c r="E18002" s="23"/>
      <c r="L18002" s="23"/>
    </row>
    <row r="18003">
      <c r="B18003" s="19"/>
      <c r="E18003" s="23"/>
      <c r="L18003" s="23"/>
    </row>
    <row r="18004">
      <c r="B18004" s="19"/>
      <c r="E18004" s="23"/>
      <c r="L18004" s="23"/>
    </row>
    <row r="18005">
      <c r="B18005" s="19"/>
      <c r="E18005" s="23"/>
      <c r="L18005" s="23"/>
    </row>
    <row r="18006">
      <c r="B18006" s="19"/>
      <c r="E18006" s="23"/>
      <c r="L18006" s="23"/>
    </row>
    <row r="18007">
      <c r="B18007" s="19"/>
      <c r="E18007" s="23"/>
      <c r="L18007" s="23"/>
    </row>
    <row r="18008">
      <c r="B18008" s="19"/>
      <c r="E18008" s="23"/>
      <c r="L18008" s="23"/>
    </row>
    <row r="18009">
      <c r="B18009" s="19"/>
      <c r="E18009" s="23"/>
      <c r="L18009" s="23"/>
    </row>
    <row r="18010">
      <c r="B18010" s="19"/>
      <c r="E18010" s="23"/>
      <c r="L18010" s="23"/>
    </row>
    <row r="18011">
      <c r="B18011" s="19"/>
      <c r="E18011" s="23"/>
      <c r="L18011" s="23"/>
    </row>
    <row r="18012">
      <c r="B18012" s="19"/>
      <c r="E18012" s="23"/>
      <c r="L18012" s="23"/>
    </row>
    <row r="18013">
      <c r="B18013" s="19"/>
      <c r="E18013" s="23"/>
      <c r="L18013" s="23"/>
    </row>
    <row r="18014">
      <c r="B18014" s="19"/>
      <c r="E18014" s="23"/>
      <c r="L18014" s="23"/>
    </row>
    <row r="18015">
      <c r="B18015" s="19"/>
      <c r="E18015" s="23"/>
      <c r="L18015" s="23"/>
    </row>
    <row r="18016">
      <c r="B18016" s="19"/>
      <c r="E18016" s="23"/>
      <c r="L18016" s="23"/>
    </row>
    <row r="18017">
      <c r="B18017" s="19"/>
      <c r="E18017" s="23"/>
      <c r="L18017" s="23"/>
    </row>
    <row r="18018">
      <c r="B18018" s="19"/>
      <c r="E18018" s="23"/>
      <c r="L18018" s="23"/>
    </row>
    <row r="18019">
      <c r="B18019" s="19"/>
      <c r="E18019" s="23"/>
      <c r="L18019" s="23"/>
    </row>
    <row r="18020">
      <c r="B18020" s="19"/>
      <c r="E18020" s="23"/>
      <c r="L18020" s="23"/>
    </row>
    <row r="18021">
      <c r="B18021" s="19"/>
      <c r="E18021" s="23"/>
      <c r="L18021" s="23"/>
    </row>
    <row r="18022">
      <c r="B18022" s="19"/>
      <c r="E18022" s="23"/>
      <c r="L18022" s="23"/>
    </row>
    <row r="18023">
      <c r="B18023" s="19"/>
      <c r="E18023" s="23"/>
      <c r="L18023" s="23"/>
    </row>
    <row r="18024">
      <c r="B18024" s="19"/>
      <c r="E18024" s="23"/>
      <c r="L18024" s="23"/>
    </row>
    <row r="18025">
      <c r="B18025" s="19"/>
      <c r="E18025" s="23"/>
      <c r="L18025" s="23"/>
    </row>
    <row r="18026">
      <c r="B18026" s="19"/>
      <c r="E18026" s="23"/>
      <c r="L18026" s="23"/>
    </row>
    <row r="18027">
      <c r="B18027" s="19"/>
      <c r="E18027" s="23"/>
      <c r="L18027" s="23"/>
    </row>
    <row r="18028">
      <c r="B18028" s="19"/>
      <c r="E18028" s="23"/>
      <c r="L18028" s="23"/>
    </row>
    <row r="18029">
      <c r="B18029" s="19"/>
      <c r="E18029" s="23"/>
      <c r="L18029" s="23"/>
    </row>
    <row r="18030">
      <c r="B18030" s="19"/>
      <c r="E18030" s="23"/>
      <c r="L18030" s="23"/>
    </row>
    <row r="18031">
      <c r="B18031" s="19"/>
      <c r="E18031" s="23"/>
      <c r="L18031" s="23"/>
    </row>
    <row r="18032">
      <c r="B18032" s="19"/>
      <c r="E18032" s="23"/>
      <c r="L18032" s="23"/>
    </row>
    <row r="18033">
      <c r="B18033" s="19"/>
      <c r="E18033" s="23"/>
      <c r="L18033" s="23"/>
    </row>
    <row r="18034">
      <c r="B18034" s="19"/>
      <c r="E18034" s="23"/>
      <c r="L18034" s="23"/>
    </row>
    <row r="18035">
      <c r="B18035" s="19"/>
      <c r="E18035" s="23"/>
      <c r="L18035" s="23"/>
    </row>
    <row r="18036">
      <c r="B18036" s="19"/>
      <c r="E18036" s="23"/>
      <c r="L18036" s="23"/>
    </row>
    <row r="18037">
      <c r="B18037" s="19"/>
      <c r="E18037" s="23"/>
      <c r="L18037" s="23"/>
    </row>
    <row r="18038">
      <c r="B18038" s="19"/>
      <c r="E18038" s="23"/>
      <c r="L18038" s="23"/>
    </row>
    <row r="18039">
      <c r="B18039" s="19"/>
      <c r="E18039" s="23"/>
      <c r="L18039" s="23"/>
    </row>
    <row r="18040">
      <c r="B18040" s="19"/>
      <c r="E18040" s="23"/>
      <c r="L18040" s="23"/>
    </row>
    <row r="18041">
      <c r="B18041" s="19"/>
      <c r="E18041" s="23"/>
      <c r="L18041" s="23"/>
    </row>
    <row r="18042">
      <c r="B18042" s="19"/>
      <c r="E18042" s="23"/>
      <c r="L18042" s="23"/>
    </row>
    <row r="18043">
      <c r="B18043" s="19"/>
      <c r="E18043" s="23"/>
      <c r="L18043" s="23"/>
    </row>
    <row r="18044">
      <c r="B18044" s="19"/>
      <c r="E18044" s="23"/>
      <c r="L18044" s="23"/>
    </row>
    <row r="18045">
      <c r="B18045" s="19"/>
      <c r="E18045" s="23"/>
      <c r="L18045" s="23"/>
    </row>
    <row r="18046">
      <c r="B18046" s="19"/>
      <c r="E18046" s="23"/>
      <c r="L18046" s="23"/>
    </row>
    <row r="18047">
      <c r="B18047" s="19"/>
      <c r="E18047" s="23"/>
      <c r="L18047" s="23"/>
    </row>
    <row r="18048">
      <c r="B18048" s="19"/>
      <c r="E18048" s="23"/>
      <c r="L18048" s="23"/>
    </row>
    <row r="18049">
      <c r="B18049" s="19"/>
      <c r="E18049" s="23"/>
      <c r="L18049" s="23"/>
    </row>
    <row r="18050">
      <c r="B18050" s="19"/>
      <c r="E18050" s="23"/>
      <c r="L18050" s="23"/>
    </row>
    <row r="18051">
      <c r="B18051" s="19"/>
      <c r="E18051" s="23"/>
      <c r="L18051" s="23"/>
    </row>
    <row r="18052">
      <c r="B18052" s="19"/>
      <c r="E18052" s="23"/>
      <c r="L18052" s="23"/>
    </row>
    <row r="18053">
      <c r="B18053" s="19"/>
      <c r="E18053" s="23"/>
      <c r="L18053" s="23"/>
    </row>
    <row r="18054">
      <c r="B18054" s="19"/>
      <c r="E18054" s="23"/>
      <c r="L18054" s="23"/>
    </row>
    <row r="18055">
      <c r="B18055" s="19"/>
      <c r="E18055" s="23"/>
      <c r="L18055" s="23"/>
    </row>
    <row r="18056">
      <c r="B18056" s="19"/>
      <c r="E18056" s="23"/>
      <c r="L18056" s="23"/>
    </row>
    <row r="18057">
      <c r="B18057" s="19"/>
      <c r="E18057" s="23"/>
      <c r="L18057" s="23"/>
    </row>
    <row r="18058">
      <c r="B18058" s="19"/>
      <c r="E18058" s="23"/>
      <c r="L18058" s="23"/>
    </row>
    <row r="18059">
      <c r="B18059" s="19"/>
      <c r="E18059" s="23"/>
      <c r="L18059" s="23"/>
    </row>
    <row r="18060">
      <c r="B18060" s="19"/>
      <c r="E18060" s="23"/>
      <c r="L18060" s="23"/>
    </row>
    <row r="18061">
      <c r="B18061" s="19"/>
      <c r="E18061" s="23"/>
      <c r="L18061" s="23"/>
    </row>
    <row r="18062">
      <c r="B18062" s="19"/>
      <c r="E18062" s="23"/>
      <c r="L18062" s="23"/>
    </row>
    <row r="18063">
      <c r="B18063" s="19"/>
      <c r="E18063" s="23"/>
      <c r="L18063" s="23"/>
    </row>
    <row r="18064">
      <c r="B18064" s="19"/>
      <c r="E18064" s="23"/>
      <c r="L18064" s="23"/>
    </row>
    <row r="18065">
      <c r="B18065" s="19"/>
      <c r="E18065" s="23"/>
      <c r="L18065" s="23"/>
    </row>
    <row r="18066">
      <c r="B18066" s="19"/>
      <c r="E18066" s="23"/>
      <c r="L18066" s="23"/>
    </row>
    <row r="18067">
      <c r="B18067" s="19"/>
      <c r="E18067" s="23"/>
      <c r="L18067" s="23"/>
    </row>
    <row r="18068">
      <c r="B18068" s="19"/>
      <c r="E18068" s="23"/>
      <c r="L18068" s="23"/>
    </row>
    <row r="18069">
      <c r="B18069" s="19"/>
      <c r="E18069" s="23"/>
      <c r="L18069" s="23"/>
    </row>
    <row r="18070">
      <c r="B18070" s="19"/>
      <c r="E18070" s="23"/>
      <c r="L18070" s="23"/>
    </row>
    <row r="18071">
      <c r="B18071" s="19"/>
      <c r="E18071" s="23"/>
      <c r="L18071" s="23"/>
    </row>
    <row r="18072">
      <c r="B18072" s="19"/>
      <c r="E18072" s="23"/>
      <c r="L18072" s="23"/>
    </row>
    <row r="18073">
      <c r="B18073" s="19"/>
      <c r="E18073" s="23"/>
      <c r="L18073" s="23"/>
    </row>
    <row r="18074">
      <c r="B18074" s="19"/>
      <c r="E18074" s="23"/>
      <c r="L18074" s="23"/>
    </row>
    <row r="18075">
      <c r="B18075" s="19"/>
      <c r="E18075" s="23"/>
      <c r="L18075" s="23"/>
    </row>
    <row r="18076">
      <c r="B18076" s="19"/>
      <c r="E18076" s="23"/>
      <c r="L18076" s="23"/>
    </row>
    <row r="18077">
      <c r="B18077" s="19"/>
      <c r="E18077" s="23"/>
      <c r="L18077" s="23"/>
    </row>
    <row r="18078">
      <c r="B18078" s="19"/>
      <c r="E18078" s="23"/>
      <c r="L18078" s="23"/>
    </row>
    <row r="18079">
      <c r="B18079" s="19"/>
      <c r="E18079" s="23"/>
      <c r="L18079" s="23"/>
    </row>
    <row r="18080">
      <c r="B18080" s="19"/>
      <c r="E18080" s="23"/>
      <c r="L18080" s="23"/>
    </row>
    <row r="18081">
      <c r="B18081" s="19"/>
      <c r="E18081" s="23"/>
      <c r="L18081" s="23"/>
    </row>
    <row r="18082">
      <c r="B18082" s="19"/>
      <c r="E18082" s="23"/>
      <c r="L18082" s="23"/>
    </row>
    <row r="18083">
      <c r="B18083" s="19"/>
      <c r="E18083" s="23"/>
      <c r="L18083" s="23"/>
    </row>
    <row r="18084">
      <c r="B18084" s="19"/>
      <c r="E18084" s="23"/>
      <c r="L18084" s="23"/>
    </row>
    <row r="18085">
      <c r="B18085" s="19"/>
      <c r="E18085" s="23"/>
      <c r="L18085" s="23"/>
    </row>
    <row r="18086">
      <c r="B18086" s="19"/>
      <c r="E18086" s="23"/>
      <c r="L18086" s="23"/>
    </row>
    <row r="18087">
      <c r="B18087" s="19"/>
      <c r="E18087" s="23"/>
      <c r="L18087" s="23"/>
    </row>
    <row r="18088">
      <c r="B18088" s="19"/>
      <c r="E18088" s="23"/>
      <c r="L18088" s="23"/>
    </row>
    <row r="18089">
      <c r="B18089" s="19"/>
      <c r="E18089" s="23"/>
      <c r="L18089" s="23"/>
    </row>
    <row r="18090">
      <c r="B18090" s="19"/>
      <c r="E18090" s="23"/>
      <c r="L18090" s="23"/>
    </row>
    <row r="18091">
      <c r="B18091" s="19"/>
      <c r="E18091" s="23"/>
      <c r="L18091" s="23"/>
    </row>
    <row r="18092">
      <c r="B18092" s="19"/>
      <c r="E18092" s="23"/>
      <c r="L18092" s="23"/>
    </row>
    <row r="18093">
      <c r="B18093" s="19"/>
      <c r="E18093" s="23"/>
      <c r="L18093" s="23"/>
    </row>
    <row r="18094">
      <c r="B18094" s="19"/>
      <c r="E18094" s="23"/>
      <c r="L18094" s="23"/>
    </row>
    <row r="18095">
      <c r="B18095" s="19"/>
      <c r="E18095" s="23"/>
      <c r="L18095" s="23"/>
    </row>
    <row r="18096">
      <c r="B18096" s="19"/>
      <c r="E18096" s="23"/>
      <c r="L18096" s="23"/>
    </row>
    <row r="18097">
      <c r="B18097" s="19"/>
      <c r="E18097" s="23"/>
      <c r="L18097" s="23"/>
    </row>
    <row r="18098">
      <c r="B18098" s="19"/>
      <c r="E18098" s="23"/>
      <c r="L18098" s="23"/>
    </row>
    <row r="18099">
      <c r="B18099" s="19"/>
      <c r="E18099" s="23"/>
      <c r="L18099" s="23"/>
    </row>
    <row r="18100">
      <c r="B18100" s="19"/>
      <c r="E18100" s="23"/>
      <c r="L18100" s="23"/>
    </row>
    <row r="18101">
      <c r="B18101" s="19"/>
      <c r="E18101" s="23"/>
      <c r="L18101" s="23"/>
    </row>
    <row r="18102">
      <c r="B18102" s="19"/>
      <c r="E18102" s="23"/>
      <c r="L18102" s="23"/>
    </row>
    <row r="18103">
      <c r="B18103" s="19"/>
      <c r="E18103" s="23"/>
      <c r="L18103" s="23"/>
    </row>
    <row r="18104">
      <c r="B18104" s="19"/>
      <c r="E18104" s="23"/>
      <c r="L18104" s="23"/>
    </row>
    <row r="18105">
      <c r="B18105" s="19"/>
      <c r="E18105" s="23"/>
      <c r="L18105" s="23"/>
    </row>
    <row r="18106">
      <c r="B18106" s="19"/>
      <c r="E18106" s="23"/>
      <c r="L18106" s="23"/>
    </row>
    <row r="18107">
      <c r="B18107" s="19"/>
      <c r="E18107" s="23"/>
      <c r="L18107" s="23"/>
    </row>
    <row r="18108">
      <c r="B18108" s="19"/>
      <c r="E18108" s="23"/>
      <c r="L18108" s="23"/>
    </row>
    <row r="18109">
      <c r="B18109" s="19"/>
      <c r="E18109" s="23"/>
      <c r="L18109" s="23"/>
    </row>
    <row r="18110">
      <c r="B18110" s="19"/>
      <c r="E18110" s="23"/>
      <c r="L18110" s="23"/>
    </row>
    <row r="18111">
      <c r="B18111" s="19"/>
      <c r="E18111" s="23"/>
      <c r="L18111" s="23"/>
    </row>
    <row r="18112">
      <c r="B18112" s="19"/>
      <c r="E18112" s="23"/>
      <c r="L18112" s="23"/>
    </row>
    <row r="18113">
      <c r="B18113" s="19"/>
      <c r="E18113" s="23"/>
      <c r="L18113" s="23"/>
    </row>
    <row r="18114">
      <c r="B18114" s="19"/>
      <c r="E18114" s="23"/>
      <c r="L18114" s="23"/>
    </row>
    <row r="18115">
      <c r="B18115" s="19"/>
      <c r="E18115" s="23"/>
      <c r="L18115" s="23"/>
    </row>
    <row r="18116">
      <c r="B18116" s="19"/>
      <c r="E18116" s="23"/>
      <c r="L18116" s="23"/>
    </row>
    <row r="18117">
      <c r="B18117" s="19"/>
      <c r="E18117" s="23"/>
      <c r="L18117" s="23"/>
    </row>
    <row r="18118">
      <c r="B18118" s="19"/>
      <c r="E18118" s="23"/>
      <c r="L18118" s="23"/>
    </row>
    <row r="18119">
      <c r="B18119" s="19"/>
      <c r="E18119" s="23"/>
      <c r="L18119" s="23"/>
    </row>
    <row r="18120">
      <c r="B18120" s="19"/>
      <c r="E18120" s="23"/>
      <c r="L18120" s="23"/>
    </row>
    <row r="18121">
      <c r="B18121" s="19"/>
      <c r="E18121" s="23"/>
      <c r="L18121" s="23"/>
    </row>
    <row r="18122">
      <c r="B18122" s="19"/>
      <c r="E18122" s="23"/>
      <c r="L18122" s="23"/>
    </row>
    <row r="18123">
      <c r="B18123" s="19"/>
      <c r="E18123" s="23"/>
      <c r="L18123" s="23"/>
    </row>
    <row r="18124">
      <c r="B18124" s="19"/>
      <c r="E18124" s="23"/>
      <c r="L18124" s="23"/>
    </row>
    <row r="18125">
      <c r="B18125" s="19"/>
      <c r="E18125" s="23"/>
      <c r="L18125" s="23"/>
    </row>
    <row r="18126">
      <c r="B18126" s="19"/>
      <c r="E18126" s="23"/>
      <c r="L18126" s="23"/>
    </row>
    <row r="18127">
      <c r="B18127" s="19"/>
      <c r="E18127" s="23"/>
      <c r="L18127" s="23"/>
    </row>
    <row r="18128">
      <c r="B18128" s="19"/>
      <c r="E18128" s="23"/>
      <c r="L18128" s="23"/>
    </row>
    <row r="18129">
      <c r="B18129" s="19"/>
      <c r="E18129" s="23"/>
      <c r="L18129" s="23"/>
    </row>
    <row r="18130">
      <c r="B18130" s="19"/>
      <c r="E18130" s="23"/>
      <c r="L18130" s="23"/>
    </row>
    <row r="18131">
      <c r="B18131" s="19"/>
      <c r="E18131" s="23"/>
      <c r="L18131" s="23"/>
    </row>
    <row r="18132">
      <c r="B18132" s="19"/>
      <c r="E18132" s="23"/>
      <c r="L18132" s="23"/>
    </row>
    <row r="18133">
      <c r="B18133" s="19"/>
      <c r="E18133" s="23"/>
      <c r="L18133" s="23"/>
    </row>
    <row r="18134">
      <c r="B18134" s="19"/>
      <c r="E18134" s="23"/>
      <c r="L18134" s="23"/>
    </row>
    <row r="18135">
      <c r="B18135" s="19"/>
      <c r="E18135" s="23"/>
      <c r="L18135" s="23"/>
    </row>
    <row r="18136">
      <c r="B18136" s="19"/>
      <c r="E18136" s="23"/>
      <c r="L18136" s="23"/>
    </row>
    <row r="18137">
      <c r="B18137" s="19"/>
      <c r="E18137" s="23"/>
      <c r="L18137" s="23"/>
    </row>
    <row r="18138">
      <c r="B18138" s="19"/>
      <c r="E18138" s="23"/>
      <c r="L18138" s="23"/>
    </row>
    <row r="18139">
      <c r="B18139" s="19"/>
      <c r="E18139" s="23"/>
      <c r="L18139" s="23"/>
    </row>
    <row r="18140">
      <c r="B18140" s="19"/>
      <c r="E18140" s="23"/>
      <c r="L18140" s="23"/>
    </row>
    <row r="18141">
      <c r="B18141" s="19"/>
      <c r="E18141" s="23"/>
      <c r="L18141" s="23"/>
    </row>
    <row r="18142">
      <c r="B18142" s="19"/>
      <c r="E18142" s="23"/>
      <c r="L18142" s="23"/>
    </row>
    <row r="18143">
      <c r="B18143" s="19"/>
      <c r="E18143" s="23"/>
      <c r="L18143" s="23"/>
    </row>
    <row r="18144">
      <c r="B18144" s="19"/>
      <c r="E18144" s="23"/>
      <c r="L18144" s="23"/>
    </row>
    <row r="18145">
      <c r="B18145" s="19"/>
      <c r="E18145" s="23"/>
      <c r="L18145" s="23"/>
    </row>
    <row r="18146">
      <c r="B18146" s="19"/>
      <c r="E18146" s="23"/>
      <c r="L18146" s="23"/>
    </row>
    <row r="18147">
      <c r="B18147" s="19"/>
      <c r="E18147" s="23"/>
      <c r="L18147" s="23"/>
    </row>
    <row r="18148">
      <c r="B18148" s="19"/>
      <c r="E18148" s="23"/>
      <c r="L18148" s="23"/>
    </row>
    <row r="18149">
      <c r="B18149" s="19"/>
      <c r="E18149" s="23"/>
      <c r="L18149" s="23"/>
    </row>
    <row r="18150">
      <c r="B18150" s="19"/>
      <c r="E18150" s="23"/>
      <c r="L18150" s="23"/>
    </row>
    <row r="18151">
      <c r="B18151" s="19"/>
      <c r="E18151" s="23"/>
      <c r="L18151" s="23"/>
    </row>
    <row r="18152">
      <c r="B18152" s="19"/>
      <c r="E18152" s="23"/>
      <c r="L18152" s="23"/>
    </row>
    <row r="18153">
      <c r="B18153" s="19"/>
      <c r="E18153" s="23"/>
      <c r="L18153" s="23"/>
    </row>
    <row r="18154">
      <c r="B18154" s="19"/>
      <c r="E18154" s="23"/>
      <c r="L18154" s="23"/>
    </row>
    <row r="18155">
      <c r="B18155" s="19"/>
      <c r="E18155" s="23"/>
      <c r="L18155" s="23"/>
    </row>
    <row r="18156">
      <c r="B18156" s="19"/>
      <c r="E18156" s="23"/>
      <c r="L18156" s="23"/>
    </row>
    <row r="18157">
      <c r="B18157" s="19"/>
      <c r="E18157" s="23"/>
      <c r="L18157" s="23"/>
    </row>
    <row r="18158">
      <c r="B18158" s="19"/>
      <c r="E18158" s="23"/>
      <c r="L18158" s="23"/>
    </row>
    <row r="18159">
      <c r="B18159" s="19"/>
      <c r="E18159" s="23"/>
      <c r="L18159" s="23"/>
    </row>
    <row r="18160">
      <c r="B18160" s="19"/>
      <c r="E18160" s="23"/>
      <c r="L18160" s="23"/>
    </row>
    <row r="18161">
      <c r="B18161" s="19"/>
      <c r="E18161" s="23"/>
      <c r="L18161" s="23"/>
    </row>
    <row r="18162">
      <c r="B18162" s="19"/>
      <c r="E18162" s="23"/>
      <c r="L18162" s="23"/>
    </row>
    <row r="18163">
      <c r="B18163" s="19"/>
      <c r="E18163" s="23"/>
      <c r="L18163" s="23"/>
    </row>
    <row r="18164">
      <c r="B18164" s="19"/>
      <c r="E18164" s="23"/>
      <c r="L18164" s="23"/>
    </row>
    <row r="18165">
      <c r="B18165" s="19"/>
      <c r="E18165" s="23"/>
      <c r="L18165" s="23"/>
    </row>
    <row r="18166">
      <c r="B18166" s="19"/>
      <c r="E18166" s="23"/>
      <c r="L18166" s="23"/>
    </row>
    <row r="18167">
      <c r="B18167" s="19"/>
      <c r="E18167" s="23"/>
      <c r="L18167" s="23"/>
    </row>
    <row r="18168">
      <c r="B18168" s="19"/>
      <c r="E18168" s="23"/>
      <c r="L18168" s="23"/>
    </row>
    <row r="18169">
      <c r="B18169" s="19"/>
      <c r="E18169" s="23"/>
      <c r="L18169" s="23"/>
    </row>
    <row r="18170">
      <c r="B18170" s="19"/>
      <c r="E18170" s="23"/>
      <c r="L18170" s="23"/>
    </row>
    <row r="18171">
      <c r="B18171" s="19"/>
      <c r="E18171" s="23"/>
      <c r="L18171" s="23"/>
    </row>
    <row r="18172">
      <c r="B18172" s="19"/>
      <c r="E18172" s="23"/>
      <c r="L18172" s="23"/>
    </row>
    <row r="18173">
      <c r="B18173" s="19"/>
      <c r="E18173" s="23"/>
      <c r="L18173" s="23"/>
    </row>
    <row r="18174">
      <c r="B18174" s="19"/>
      <c r="E18174" s="23"/>
      <c r="L18174" s="23"/>
    </row>
    <row r="18175">
      <c r="B18175" s="19"/>
      <c r="E18175" s="23"/>
      <c r="L18175" s="23"/>
    </row>
    <row r="18176">
      <c r="B18176" s="19"/>
      <c r="E18176" s="23"/>
      <c r="L18176" s="23"/>
    </row>
    <row r="18177">
      <c r="B18177" s="19"/>
      <c r="E18177" s="23"/>
      <c r="L18177" s="23"/>
    </row>
    <row r="18178">
      <c r="B18178" s="19"/>
      <c r="E18178" s="23"/>
      <c r="L18178" s="23"/>
    </row>
    <row r="18179">
      <c r="B18179" s="19"/>
      <c r="E18179" s="23"/>
      <c r="L18179" s="23"/>
    </row>
    <row r="18180">
      <c r="B18180" s="19"/>
      <c r="E18180" s="23"/>
      <c r="L18180" s="23"/>
    </row>
    <row r="18181">
      <c r="B18181" s="19"/>
      <c r="E18181" s="23"/>
      <c r="L18181" s="23"/>
    </row>
    <row r="18182">
      <c r="B18182" s="19"/>
      <c r="E18182" s="23"/>
      <c r="L18182" s="23"/>
    </row>
    <row r="18183">
      <c r="B18183" s="19"/>
      <c r="E18183" s="23"/>
      <c r="L18183" s="23"/>
    </row>
    <row r="18184">
      <c r="B18184" s="19"/>
      <c r="E18184" s="23"/>
      <c r="L18184" s="23"/>
    </row>
    <row r="18185">
      <c r="B18185" s="19"/>
      <c r="E18185" s="23"/>
      <c r="L18185" s="23"/>
    </row>
    <row r="18186">
      <c r="B18186" s="19"/>
      <c r="E18186" s="23"/>
      <c r="L18186" s="23"/>
    </row>
    <row r="18187">
      <c r="B18187" s="19"/>
      <c r="E18187" s="23"/>
      <c r="L18187" s="23"/>
    </row>
    <row r="18188">
      <c r="B18188" s="19"/>
      <c r="E18188" s="23"/>
      <c r="L18188" s="23"/>
    </row>
    <row r="18189">
      <c r="B18189" s="19"/>
      <c r="E18189" s="23"/>
      <c r="L18189" s="23"/>
    </row>
    <row r="18190">
      <c r="B18190" s="19"/>
      <c r="E18190" s="23"/>
      <c r="L18190" s="23"/>
    </row>
    <row r="18191">
      <c r="B18191" s="19"/>
      <c r="E18191" s="23"/>
      <c r="L18191" s="23"/>
    </row>
    <row r="18192">
      <c r="B18192" s="19"/>
      <c r="E18192" s="23"/>
      <c r="L18192" s="23"/>
    </row>
    <row r="18193">
      <c r="B18193" s="19"/>
      <c r="E18193" s="23"/>
      <c r="L18193" s="23"/>
    </row>
    <row r="18194">
      <c r="B18194" s="19"/>
      <c r="E18194" s="23"/>
      <c r="L18194" s="23"/>
    </row>
    <row r="18195">
      <c r="B18195" s="19"/>
      <c r="E18195" s="23"/>
      <c r="L18195" s="23"/>
    </row>
    <row r="18196">
      <c r="B18196" s="19"/>
      <c r="E18196" s="23"/>
      <c r="L18196" s="23"/>
    </row>
    <row r="18197">
      <c r="B18197" s="19"/>
      <c r="E18197" s="23"/>
      <c r="L18197" s="23"/>
    </row>
    <row r="18198">
      <c r="B18198" s="19"/>
      <c r="E18198" s="23"/>
      <c r="L18198" s="23"/>
    </row>
    <row r="18199">
      <c r="B18199" s="19"/>
      <c r="E18199" s="23"/>
      <c r="L18199" s="23"/>
    </row>
    <row r="18200">
      <c r="B18200" s="19"/>
      <c r="E18200" s="23"/>
      <c r="L18200" s="23"/>
    </row>
    <row r="18201">
      <c r="B18201" s="19"/>
      <c r="E18201" s="23"/>
      <c r="L18201" s="23"/>
    </row>
    <row r="18202">
      <c r="B18202" s="19"/>
      <c r="E18202" s="23"/>
      <c r="L18202" s="23"/>
    </row>
    <row r="18203">
      <c r="B18203" s="19"/>
      <c r="E18203" s="23"/>
      <c r="L18203" s="23"/>
    </row>
    <row r="18204">
      <c r="B18204" s="19"/>
      <c r="E18204" s="23"/>
      <c r="L18204" s="23"/>
    </row>
    <row r="18205">
      <c r="B18205" s="19"/>
      <c r="E18205" s="23"/>
      <c r="L18205" s="23"/>
    </row>
    <row r="18206">
      <c r="B18206" s="19"/>
      <c r="E18206" s="23"/>
      <c r="L18206" s="23"/>
    </row>
    <row r="18207">
      <c r="B18207" s="19"/>
      <c r="E18207" s="23"/>
      <c r="L18207" s="23"/>
    </row>
    <row r="18208">
      <c r="B18208" s="19"/>
      <c r="E18208" s="23"/>
      <c r="L18208" s="23"/>
    </row>
    <row r="18209">
      <c r="B18209" s="19"/>
      <c r="E18209" s="23"/>
      <c r="L18209" s="23"/>
    </row>
    <row r="18210">
      <c r="B18210" s="19"/>
      <c r="E18210" s="23"/>
      <c r="L18210" s="23"/>
    </row>
    <row r="18211">
      <c r="B18211" s="19"/>
      <c r="E18211" s="23"/>
      <c r="L18211" s="23"/>
    </row>
    <row r="18212">
      <c r="B18212" s="19"/>
      <c r="E18212" s="23"/>
      <c r="L18212" s="23"/>
    </row>
    <row r="18213">
      <c r="B18213" s="19"/>
      <c r="E18213" s="23"/>
      <c r="L18213" s="23"/>
    </row>
    <row r="18214">
      <c r="B18214" s="19"/>
      <c r="E18214" s="23"/>
      <c r="L18214" s="23"/>
    </row>
    <row r="18215">
      <c r="B18215" s="19"/>
      <c r="E18215" s="23"/>
      <c r="L18215" s="23"/>
    </row>
    <row r="18216">
      <c r="B18216" s="19"/>
      <c r="E18216" s="23"/>
      <c r="L18216" s="23"/>
    </row>
    <row r="18217">
      <c r="B18217" s="19"/>
      <c r="E18217" s="23"/>
      <c r="L18217" s="23"/>
    </row>
    <row r="18218">
      <c r="B18218" s="19"/>
      <c r="E18218" s="23"/>
      <c r="L18218" s="23"/>
    </row>
    <row r="18219">
      <c r="B18219" s="19"/>
      <c r="E18219" s="23"/>
      <c r="L18219" s="23"/>
    </row>
    <row r="18220">
      <c r="B18220" s="19"/>
      <c r="E18220" s="23"/>
      <c r="L18220" s="23"/>
    </row>
    <row r="18221">
      <c r="B18221" s="19"/>
      <c r="E18221" s="23"/>
      <c r="L18221" s="23"/>
    </row>
    <row r="18222">
      <c r="B18222" s="19"/>
      <c r="E18222" s="23"/>
      <c r="L18222" s="23"/>
    </row>
    <row r="18223">
      <c r="B18223" s="19"/>
      <c r="E18223" s="23"/>
      <c r="L18223" s="23"/>
    </row>
    <row r="18224">
      <c r="B18224" s="19"/>
      <c r="E18224" s="23"/>
      <c r="L18224" s="23"/>
    </row>
    <row r="18225">
      <c r="B18225" s="19"/>
      <c r="E18225" s="23"/>
      <c r="L18225" s="23"/>
    </row>
    <row r="18226">
      <c r="B18226" s="19"/>
      <c r="E18226" s="23"/>
      <c r="L18226" s="23"/>
    </row>
    <row r="18227">
      <c r="B18227" s="19"/>
      <c r="E18227" s="23"/>
      <c r="L18227" s="23"/>
    </row>
    <row r="18228">
      <c r="B18228" s="19"/>
      <c r="E18228" s="23"/>
      <c r="L18228" s="23"/>
    </row>
    <row r="18229">
      <c r="B18229" s="19"/>
      <c r="E18229" s="23"/>
      <c r="L18229" s="23"/>
    </row>
    <row r="18230">
      <c r="B18230" s="19"/>
      <c r="E18230" s="23"/>
      <c r="L18230" s="23"/>
    </row>
    <row r="18231">
      <c r="B18231" s="19"/>
      <c r="E18231" s="23"/>
      <c r="L18231" s="23"/>
    </row>
    <row r="18232">
      <c r="B18232" s="19"/>
      <c r="E18232" s="23"/>
      <c r="L18232" s="23"/>
    </row>
    <row r="18233">
      <c r="B18233" s="19"/>
      <c r="E18233" s="23"/>
      <c r="L18233" s="23"/>
    </row>
    <row r="18234">
      <c r="B18234" s="19"/>
      <c r="E18234" s="23"/>
      <c r="L18234" s="23"/>
    </row>
    <row r="18235">
      <c r="B18235" s="19"/>
      <c r="E18235" s="23"/>
      <c r="L18235" s="23"/>
    </row>
    <row r="18236">
      <c r="B18236" s="19"/>
      <c r="E18236" s="23"/>
      <c r="L18236" s="23"/>
    </row>
    <row r="18237">
      <c r="B18237" s="19"/>
      <c r="E18237" s="23"/>
      <c r="L18237" s="23"/>
    </row>
    <row r="18238">
      <c r="B18238" s="19"/>
      <c r="E18238" s="23"/>
      <c r="L18238" s="23"/>
    </row>
    <row r="18239">
      <c r="B18239" s="19"/>
      <c r="E18239" s="23"/>
      <c r="L18239" s="23"/>
    </row>
    <row r="18240">
      <c r="B18240" s="19"/>
      <c r="E18240" s="23"/>
      <c r="L18240" s="23"/>
    </row>
    <row r="18241">
      <c r="B18241" s="19"/>
      <c r="E18241" s="23"/>
      <c r="L18241" s="23"/>
    </row>
    <row r="18242">
      <c r="B18242" s="19"/>
      <c r="E18242" s="23"/>
      <c r="L18242" s="23"/>
    </row>
    <row r="18243">
      <c r="B18243" s="19"/>
      <c r="E18243" s="23"/>
      <c r="L18243" s="23"/>
    </row>
    <row r="18244">
      <c r="B18244" s="19"/>
      <c r="E18244" s="23"/>
      <c r="L18244" s="23"/>
    </row>
    <row r="18245">
      <c r="B18245" s="19"/>
      <c r="E18245" s="23"/>
      <c r="L18245" s="23"/>
    </row>
    <row r="18246">
      <c r="B18246" s="19"/>
      <c r="E18246" s="23"/>
      <c r="L18246" s="23"/>
    </row>
    <row r="18247">
      <c r="B18247" s="19"/>
      <c r="E18247" s="23"/>
      <c r="L18247" s="23"/>
    </row>
    <row r="18248">
      <c r="B18248" s="19"/>
      <c r="E18248" s="23"/>
      <c r="L18248" s="23"/>
    </row>
    <row r="18249">
      <c r="B18249" s="19"/>
      <c r="E18249" s="23"/>
      <c r="L18249" s="23"/>
    </row>
    <row r="18250">
      <c r="B18250" s="19"/>
      <c r="E18250" s="23"/>
      <c r="L18250" s="23"/>
    </row>
    <row r="18251">
      <c r="B18251" s="19"/>
      <c r="E18251" s="23"/>
      <c r="L18251" s="23"/>
    </row>
    <row r="18252">
      <c r="B18252" s="19"/>
      <c r="E18252" s="23"/>
      <c r="L18252" s="23"/>
    </row>
    <row r="18253">
      <c r="B18253" s="19"/>
      <c r="E18253" s="23"/>
      <c r="L18253" s="23"/>
    </row>
    <row r="18254">
      <c r="B18254" s="19"/>
      <c r="E18254" s="23"/>
      <c r="L18254" s="23"/>
    </row>
    <row r="18255">
      <c r="B18255" s="19"/>
      <c r="E18255" s="23"/>
      <c r="L18255" s="23"/>
    </row>
    <row r="18256">
      <c r="B18256" s="19"/>
      <c r="E18256" s="23"/>
      <c r="L18256" s="23"/>
    </row>
    <row r="18257">
      <c r="B18257" s="19"/>
      <c r="E18257" s="23"/>
      <c r="L18257" s="23"/>
    </row>
    <row r="18258">
      <c r="B18258" s="19"/>
      <c r="E18258" s="23"/>
      <c r="L18258" s="23"/>
    </row>
    <row r="18259">
      <c r="B18259" s="19"/>
      <c r="E18259" s="23"/>
      <c r="L18259" s="23"/>
    </row>
    <row r="18260">
      <c r="B18260" s="19"/>
      <c r="E18260" s="23"/>
      <c r="L18260" s="23"/>
    </row>
    <row r="18261">
      <c r="B18261" s="19"/>
      <c r="E18261" s="23"/>
      <c r="L18261" s="23"/>
    </row>
    <row r="18262">
      <c r="B18262" s="19"/>
      <c r="E18262" s="23"/>
      <c r="L18262" s="23"/>
    </row>
    <row r="18263">
      <c r="B18263" s="19"/>
      <c r="E18263" s="23"/>
      <c r="L18263" s="23"/>
    </row>
    <row r="18264">
      <c r="B18264" s="19"/>
      <c r="E18264" s="23"/>
      <c r="L18264" s="23"/>
    </row>
    <row r="18265">
      <c r="B18265" s="19"/>
      <c r="E18265" s="23"/>
      <c r="L18265" s="23"/>
    </row>
    <row r="18266">
      <c r="B18266" s="19"/>
      <c r="E18266" s="23"/>
      <c r="L18266" s="23"/>
    </row>
    <row r="18267">
      <c r="B18267" s="19"/>
      <c r="E18267" s="23"/>
      <c r="L18267" s="23"/>
    </row>
    <row r="18268">
      <c r="B18268" s="19"/>
      <c r="E18268" s="23"/>
      <c r="L18268" s="23"/>
    </row>
    <row r="18269">
      <c r="B18269" s="19"/>
      <c r="E18269" s="23"/>
      <c r="L18269" s="23"/>
    </row>
    <row r="18270">
      <c r="B18270" s="19"/>
      <c r="E18270" s="23"/>
      <c r="L18270" s="23"/>
    </row>
    <row r="18271">
      <c r="B18271" s="19"/>
      <c r="E18271" s="23"/>
      <c r="L18271" s="23"/>
    </row>
    <row r="18272">
      <c r="B18272" s="19"/>
      <c r="E18272" s="23"/>
      <c r="L18272" s="23"/>
    </row>
    <row r="18273">
      <c r="B18273" s="19"/>
      <c r="E18273" s="23"/>
      <c r="L18273" s="23"/>
    </row>
    <row r="18274">
      <c r="B18274" s="19"/>
      <c r="E18274" s="23"/>
      <c r="L18274" s="23"/>
    </row>
    <row r="18275">
      <c r="B18275" s="19"/>
      <c r="E18275" s="23"/>
      <c r="L18275" s="23"/>
    </row>
    <row r="18276">
      <c r="B18276" s="19"/>
      <c r="E18276" s="23"/>
      <c r="L18276" s="23"/>
    </row>
    <row r="18277">
      <c r="B18277" s="19"/>
      <c r="E18277" s="23"/>
      <c r="L18277" s="23"/>
    </row>
    <row r="18278">
      <c r="B18278" s="19"/>
      <c r="E18278" s="23"/>
      <c r="L18278" s="23"/>
    </row>
    <row r="18279">
      <c r="B18279" s="19"/>
      <c r="E18279" s="23"/>
      <c r="L18279" s="23"/>
    </row>
    <row r="18280">
      <c r="B18280" s="19"/>
      <c r="E18280" s="23"/>
      <c r="L18280" s="23"/>
    </row>
    <row r="18281">
      <c r="B18281" s="19"/>
      <c r="E18281" s="23"/>
      <c r="L18281" s="23"/>
    </row>
    <row r="18282">
      <c r="B18282" s="19"/>
      <c r="E18282" s="23"/>
      <c r="L18282" s="23"/>
    </row>
    <row r="18283">
      <c r="B18283" s="19"/>
      <c r="E18283" s="23"/>
      <c r="L18283" s="23"/>
    </row>
    <row r="18284">
      <c r="B18284" s="19"/>
      <c r="E18284" s="23"/>
      <c r="L18284" s="23"/>
    </row>
    <row r="18285">
      <c r="B18285" s="19"/>
      <c r="E18285" s="23"/>
      <c r="L18285" s="23"/>
    </row>
    <row r="18286">
      <c r="B18286" s="19"/>
      <c r="E18286" s="23"/>
      <c r="L18286" s="23"/>
    </row>
    <row r="18287">
      <c r="B18287" s="19"/>
      <c r="E18287" s="23"/>
      <c r="L18287" s="23"/>
    </row>
    <row r="18288">
      <c r="B18288" s="19"/>
      <c r="E18288" s="23"/>
      <c r="L18288" s="23"/>
    </row>
    <row r="18289">
      <c r="B18289" s="19"/>
      <c r="E18289" s="23"/>
      <c r="L18289" s="23"/>
    </row>
    <row r="18290">
      <c r="B18290" s="19"/>
      <c r="E18290" s="23"/>
      <c r="L18290" s="23"/>
    </row>
    <row r="18291">
      <c r="B18291" s="19"/>
      <c r="E18291" s="23"/>
      <c r="L18291" s="23"/>
    </row>
    <row r="18292">
      <c r="B18292" s="19"/>
      <c r="E18292" s="23"/>
      <c r="L18292" s="23"/>
    </row>
    <row r="18293">
      <c r="B18293" s="19"/>
      <c r="E18293" s="23"/>
      <c r="L18293" s="23"/>
    </row>
    <row r="18294">
      <c r="B18294" s="19"/>
      <c r="E18294" s="23"/>
      <c r="L18294" s="23"/>
    </row>
    <row r="18295">
      <c r="B18295" s="19"/>
      <c r="E18295" s="23"/>
      <c r="L18295" s="23"/>
    </row>
    <row r="18296">
      <c r="B18296" s="19"/>
      <c r="E18296" s="23"/>
      <c r="L18296" s="23"/>
    </row>
    <row r="18297">
      <c r="B18297" s="19"/>
      <c r="E18297" s="23"/>
      <c r="L18297" s="23"/>
    </row>
    <row r="18298">
      <c r="B18298" s="19"/>
      <c r="E18298" s="23"/>
      <c r="L18298" s="23"/>
    </row>
    <row r="18299">
      <c r="B18299" s="19"/>
      <c r="E18299" s="23"/>
      <c r="L18299" s="23"/>
    </row>
    <row r="18300">
      <c r="B18300" s="19"/>
      <c r="E18300" s="23"/>
      <c r="L18300" s="23"/>
    </row>
    <row r="18301">
      <c r="B18301" s="19"/>
      <c r="E18301" s="23"/>
      <c r="L18301" s="23"/>
    </row>
    <row r="18302">
      <c r="B18302" s="19"/>
      <c r="E18302" s="23"/>
      <c r="L18302" s="23"/>
    </row>
    <row r="18303">
      <c r="B18303" s="19"/>
      <c r="E18303" s="23"/>
      <c r="L18303" s="23"/>
    </row>
    <row r="18304">
      <c r="B18304" s="19"/>
      <c r="E18304" s="23"/>
      <c r="L18304" s="23"/>
    </row>
    <row r="18305">
      <c r="B18305" s="19"/>
      <c r="E18305" s="23"/>
      <c r="L18305" s="23"/>
    </row>
    <row r="18306">
      <c r="B18306" s="19"/>
      <c r="E18306" s="23"/>
      <c r="L18306" s="23"/>
    </row>
    <row r="18307">
      <c r="B18307" s="19"/>
      <c r="E18307" s="23"/>
      <c r="L18307" s="23"/>
    </row>
    <row r="18308">
      <c r="B18308" s="19"/>
      <c r="E18308" s="23"/>
      <c r="L18308" s="23"/>
    </row>
    <row r="18309">
      <c r="B18309" s="19"/>
      <c r="E18309" s="23"/>
      <c r="L18309" s="23"/>
    </row>
    <row r="18310">
      <c r="B18310" s="19"/>
      <c r="E18310" s="23"/>
      <c r="L18310" s="23"/>
    </row>
    <row r="18311">
      <c r="B18311" s="19"/>
      <c r="E18311" s="23"/>
      <c r="L18311" s="23"/>
    </row>
    <row r="18312">
      <c r="B18312" s="19"/>
      <c r="E18312" s="23"/>
      <c r="L18312" s="23"/>
    </row>
    <row r="18313">
      <c r="B18313" s="19"/>
      <c r="E18313" s="23"/>
      <c r="L18313" s="23"/>
    </row>
    <row r="18314">
      <c r="B18314" s="19"/>
      <c r="E18314" s="23"/>
      <c r="L18314" s="23"/>
    </row>
    <row r="18315">
      <c r="B18315" s="19"/>
      <c r="E18315" s="23"/>
      <c r="L18315" s="23"/>
    </row>
    <row r="18316">
      <c r="B18316" s="19"/>
      <c r="E18316" s="23"/>
      <c r="L18316" s="23"/>
    </row>
    <row r="18317">
      <c r="B18317" s="19"/>
      <c r="E18317" s="23"/>
      <c r="L18317" s="23"/>
    </row>
    <row r="18318">
      <c r="B18318" s="19"/>
      <c r="E18318" s="23"/>
      <c r="L18318" s="23"/>
    </row>
    <row r="18319">
      <c r="B18319" s="19"/>
      <c r="E18319" s="23"/>
      <c r="L18319" s="23"/>
    </row>
    <row r="18320">
      <c r="B18320" s="19"/>
      <c r="E18320" s="23"/>
      <c r="L18320" s="23"/>
    </row>
    <row r="18321">
      <c r="B18321" s="19"/>
      <c r="E18321" s="23"/>
      <c r="L18321" s="23"/>
    </row>
    <row r="18322">
      <c r="B18322" s="19"/>
      <c r="E18322" s="23"/>
      <c r="L18322" s="23"/>
    </row>
    <row r="18323">
      <c r="B18323" s="19"/>
      <c r="E18323" s="23"/>
      <c r="L18323" s="23"/>
    </row>
    <row r="18324">
      <c r="B18324" s="19"/>
      <c r="E18324" s="23"/>
      <c r="L18324" s="23"/>
    </row>
    <row r="18325">
      <c r="B18325" s="19"/>
      <c r="E18325" s="23"/>
      <c r="L18325" s="23"/>
    </row>
    <row r="18326">
      <c r="B18326" s="19"/>
      <c r="E18326" s="23"/>
      <c r="L18326" s="23"/>
    </row>
    <row r="18327">
      <c r="B18327" s="19"/>
      <c r="E18327" s="23"/>
      <c r="L18327" s="23"/>
    </row>
    <row r="18328">
      <c r="B18328" s="19"/>
      <c r="E18328" s="23"/>
      <c r="L18328" s="23"/>
    </row>
    <row r="18329">
      <c r="B18329" s="19"/>
      <c r="E18329" s="23"/>
      <c r="L18329" s="23"/>
    </row>
    <row r="18330">
      <c r="B18330" s="19"/>
      <c r="E18330" s="23"/>
      <c r="L18330" s="23"/>
    </row>
    <row r="18331">
      <c r="B18331" s="19"/>
      <c r="E18331" s="23"/>
      <c r="L18331" s="23"/>
    </row>
    <row r="18332">
      <c r="B18332" s="19"/>
      <c r="E18332" s="23"/>
      <c r="L18332" s="23"/>
    </row>
    <row r="18333">
      <c r="B18333" s="19"/>
      <c r="E18333" s="23"/>
      <c r="L18333" s="23"/>
    </row>
    <row r="18334">
      <c r="B18334" s="19"/>
      <c r="E18334" s="23"/>
      <c r="L18334" s="23"/>
    </row>
    <row r="18335">
      <c r="B18335" s="19"/>
      <c r="E18335" s="23"/>
      <c r="L18335" s="23"/>
    </row>
    <row r="18336">
      <c r="B18336" s="19"/>
      <c r="E18336" s="23"/>
      <c r="L18336" s="23"/>
    </row>
    <row r="18337">
      <c r="B18337" s="19"/>
      <c r="E18337" s="23"/>
      <c r="L18337" s="23"/>
    </row>
    <row r="18338">
      <c r="B18338" s="19"/>
      <c r="E18338" s="23"/>
      <c r="L18338" s="23"/>
    </row>
    <row r="18339">
      <c r="B18339" s="19"/>
      <c r="E18339" s="23"/>
      <c r="L18339" s="23"/>
    </row>
    <row r="18340">
      <c r="B18340" s="19"/>
      <c r="E18340" s="23"/>
      <c r="L18340" s="23"/>
    </row>
    <row r="18341">
      <c r="B18341" s="19"/>
      <c r="E18341" s="23"/>
      <c r="L18341" s="23"/>
    </row>
    <row r="18342">
      <c r="B18342" s="19"/>
      <c r="E18342" s="23"/>
      <c r="L18342" s="23"/>
    </row>
    <row r="18343">
      <c r="B18343" s="19"/>
      <c r="E18343" s="23"/>
      <c r="L18343" s="23"/>
    </row>
    <row r="18344">
      <c r="B18344" s="19"/>
      <c r="E18344" s="23"/>
      <c r="L18344" s="23"/>
    </row>
    <row r="18345">
      <c r="B18345" s="19"/>
      <c r="E18345" s="23"/>
      <c r="L18345" s="23"/>
    </row>
    <row r="18346">
      <c r="B18346" s="19"/>
      <c r="E18346" s="23"/>
      <c r="L18346" s="23"/>
    </row>
    <row r="18347">
      <c r="B18347" s="19"/>
      <c r="E18347" s="23"/>
      <c r="L18347" s="23"/>
    </row>
    <row r="18348">
      <c r="B18348" s="19"/>
      <c r="E18348" s="23"/>
      <c r="L18348" s="23"/>
    </row>
    <row r="18349">
      <c r="B18349" s="19"/>
      <c r="E18349" s="23"/>
      <c r="L18349" s="23"/>
    </row>
    <row r="18350">
      <c r="B18350" s="19"/>
      <c r="E18350" s="23"/>
      <c r="L18350" s="23"/>
    </row>
    <row r="18351">
      <c r="B18351" s="19"/>
      <c r="E18351" s="23"/>
      <c r="L18351" s="23"/>
    </row>
    <row r="18352">
      <c r="B18352" s="19"/>
      <c r="E18352" s="23"/>
      <c r="L18352" s="23"/>
    </row>
    <row r="18353">
      <c r="B18353" s="19"/>
      <c r="E18353" s="23"/>
      <c r="L18353" s="23"/>
    </row>
    <row r="18354">
      <c r="B18354" s="19"/>
      <c r="E18354" s="23"/>
      <c r="L18354" s="23"/>
    </row>
    <row r="18355">
      <c r="B18355" s="19"/>
      <c r="E18355" s="23"/>
      <c r="L18355" s="23"/>
    </row>
    <row r="18356">
      <c r="B18356" s="19"/>
      <c r="E18356" s="23"/>
      <c r="L18356" s="23"/>
    </row>
    <row r="18357">
      <c r="B18357" s="19"/>
      <c r="E18357" s="23"/>
      <c r="L18357" s="23"/>
    </row>
    <row r="18358">
      <c r="B18358" s="19"/>
      <c r="E18358" s="23"/>
      <c r="L18358" s="23"/>
    </row>
    <row r="18359">
      <c r="B18359" s="19"/>
      <c r="E18359" s="23"/>
      <c r="L18359" s="23"/>
    </row>
    <row r="18360">
      <c r="B18360" s="19"/>
      <c r="E18360" s="23"/>
      <c r="L18360" s="23"/>
    </row>
    <row r="18361">
      <c r="B18361" s="19"/>
      <c r="E18361" s="23"/>
      <c r="L18361" s="23"/>
    </row>
    <row r="18362">
      <c r="B18362" s="19"/>
      <c r="E18362" s="23"/>
      <c r="L18362" s="23"/>
    </row>
    <row r="18363">
      <c r="B18363" s="19"/>
      <c r="E18363" s="23"/>
      <c r="L18363" s="23"/>
    </row>
    <row r="18364">
      <c r="B18364" s="19"/>
      <c r="E18364" s="23"/>
      <c r="L18364" s="23"/>
    </row>
    <row r="18365">
      <c r="B18365" s="19"/>
      <c r="E18365" s="23"/>
      <c r="L18365" s="23"/>
    </row>
    <row r="18366">
      <c r="B18366" s="19"/>
      <c r="E18366" s="23"/>
      <c r="L18366" s="23"/>
    </row>
    <row r="18367">
      <c r="B18367" s="19"/>
      <c r="E18367" s="23"/>
      <c r="L18367" s="23"/>
    </row>
    <row r="18368">
      <c r="B18368" s="19"/>
      <c r="E18368" s="23"/>
      <c r="L18368" s="23"/>
    </row>
    <row r="18369">
      <c r="B18369" s="19"/>
      <c r="E18369" s="23"/>
      <c r="L18369" s="23"/>
    </row>
    <row r="18370">
      <c r="B18370" s="19"/>
      <c r="E18370" s="23"/>
      <c r="L18370" s="23"/>
    </row>
    <row r="18371">
      <c r="B18371" s="19"/>
      <c r="E18371" s="23"/>
      <c r="L18371" s="23"/>
    </row>
    <row r="18372">
      <c r="B18372" s="19"/>
      <c r="E18372" s="23"/>
      <c r="L18372" s="23"/>
    </row>
    <row r="18373">
      <c r="B18373" s="19"/>
      <c r="E18373" s="23"/>
      <c r="L18373" s="23"/>
    </row>
    <row r="18374">
      <c r="B18374" s="19"/>
      <c r="E18374" s="23"/>
      <c r="L18374" s="23"/>
    </row>
    <row r="18375">
      <c r="B18375" s="19"/>
      <c r="E18375" s="23"/>
      <c r="L18375" s="23"/>
    </row>
    <row r="18376">
      <c r="B18376" s="19"/>
      <c r="E18376" s="23"/>
      <c r="L18376" s="23"/>
    </row>
    <row r="18377">
      <c r="B18377" s="19"/>
      <c r="E18377" s="23"/>
      <c r="L18377" s="23"/>
    </row>
    <row r="18378">
      <c r="B18378" s="19"/>
      <c r="E18378" s="23"/>
      <c r="L18378" s="23"/>
    </row>
    <row r="18379">
      <c r="B18379" s="19"/>
      <c r="E18379" s="23"/>
      <c r="L18379" s="23"/>
    </row>
    <row r="18380">
      <c r="B18380" s="19"/>
      <c r="E18380" s="23"/>
      <c r="L18380" s="23"/>
    </row>
    <row r="18381">
      <c r="B18381" s="19"/>
      <c r="E18381" s="23"/>
      <c r="L18381" s="23"/>
    </row>
    <row r="18382">
      <c r="B18382" s="19"/>
      <c r="E18382" s="23"/>
      <c r="L18382" s="23"/>
    </row>
    <row r="18383">
      <c r="B18383" s="19"/>
      <c r="E18383" s="23"/>
      <c r="L18383" s="23"/>
    </row>
    <row r="18384">
      <c r="B18384" s="19"/>
      <c r="E18384" s="23"/>
      <c r="L18384" s="23"/>
    </row>
    <row r="18385">
      <c r="B18385" s="19"/>
      <c r="E18385" s="23"/>
      <c r="L18385" s="23"/>
    </row>
    <row r="18386">
      <c r="B18386" s="19"/>
      <c r="E18386" s="23"/>
      <c r="L18386" s="23"/>
    </row>
    <row r="18387">
      <c r="B18387" s="19"/>
      <c r="E18387" s="23"/>
      <c r="L18387" s="23"/>
    </row>
    <row r="18388">
      <c r="B18388" s="19"/>
      <c r="E18388" s="23"/>
      <c r="L18388" s="23"/>
    </row>
    <row r="18389">
      <c r="B18389" s="19"/>
      <c r="E18389" s="23"/>
      <c r="L18389" s="23"/>
    </row>
    <row r="18390">
      <c r="B18390" s="19"/>
      <c r="E18390" s="23"/>
      <c r="L18390" s="23"/>
    </row>
    <row r="18391">
      <c r="B18391" s="19"/>
      <c r="E18391" s="23"/>
      <c r="L18391" s="23"/>
    </row>
    <row r="18392">
      <c r="B18392" s="19"/>
      <c r="E18392" s="23"/>
      <c r="L18392" s="23"/>
    </row>
    <row r="18393">
      <c r="B18393" s="19"/>
      <c r="E18393" s="23"/>
      <c r="L18393" s="23"/>
    </row>
    <row r="18394">
      <c r="B18394" s="19"/>
      <c r="E18394" s="23"/>
      <c r="L18394" s="23"/>
    </row>
    <row r="18395">
      <c r="B18395" s="19"/>
      <c r="E18395" s="23"/>
      <c r="L18395" s="23"/>
    </row>
    <row r="18396">
      <c r="B18396" s="19"/>
      <c r="E18396" s="23"/>
      <c r="L18396" s="23"/>
    </row>
    <row r="18397">
      <c r="B18397" s="19"/>
      <c r="E18397" s="23"/>
      <c r="L18397" s="23"/>
    </row>
    <row r="18398">
      <c r="B18398" s="19"/>
      <c r="E18398" s="23"/>
      <c r="L18398" s="23"/>
    </row>
    <row r="18399">
      <c r="B18399" s="19"/>
      <c r="E18399" s="23"/>
      <c r="L18399" s="23"/>
    </row>
    <row r="18400">
      <c r="B18400" s="19"/>
      <c r="E18400" s="23"/>
      <c r="L18400" s="23"/>
    </row>
    <row r="18401">
      <c r="B18401" s="19"/>
      <c r="E18401" s="23"/>
      <c r="L18401" s="23"/>
    </row>
    <row r="18402">
      <c r="B18402" s="19"/>
      <c r="E18402" s="23"/>
      <c r="L18402" s="23"/>
    </row>
    <row r="18403">
      <c r="B18403" s="19"/>
      <c r="E18403" s="23"/>
      <c r="L18403" s="23"/>
    </row>
    <row r="18404">
      <c r="B18404" s="19"/>
      <c r="E18404" s="23"/>
      <c r="L18404" s="23"/>
    </row>
    <row r="18405">
      <c r="B18405" s="19"/>
      <c r="E18405" s="23"/>
      <c r="L18405" s="23"/>
    </row>
    <row r="18406">
      <c r="B18406" s="19"/>
      <c r="E18406" s="23"/>
      <c r="L18406" s="23"/>
    </row>
    <row r="18407">
      <c r="B18407" s="19"/>
      <c r="E18407" s="23"/>
      <c r="L18407" s="23"/>
    </row>
    <row r="18408">
      <c r="B18408" s="19"/>
      <c r="E18408" s="23"/>
      <c r="L18408" s="23"/>
    </row>
    <row r="18409">
      <c r="B18409" s="19"/>
      <c r="E18409" s="23"/>
      <c r="L18409" s="23"/>
    </row>
    <row r="18410">
      <c r="B18410" s="19"/>
      <c r="E18410" s="23"/>
      <c r="L18410" s="23"/>
    </row>
    <row r="18411">
      <c r="B18411" s="19"/>
      <c r="E18411" s="23"/>
      <c r="L18411" s="23"/>
    </row>
    <row r="18412">
      <c r="B18412" s="19"/>
      <c r="E18412" s="23"/>
      <c r="L18412" s="23"/>
    </row>
    <row r="18413">
      <c r="B18413" s="19"/>
      <c r="E18413" s="23"/>
      <c r="L18413" s="23"/>
    </row>
    <row r="18414">
      <c r="B18414" s="19"/>
      <c r="E18414" s="23"/>
      <c r="L18414" s="23"/>
    </row>
    <row r="18415">
      <c r="B18415" s="19"/>
      <c r="E18415" s="23"/>
      <c r="L18415" s="23"/>
    </row>
    <row r="18416">
      <c r="B18416" s="19"/>
      <c r="E18416" s="23"/>
      <c r="L18416" s="23"/>
    </row>
    <row r="18417">
      <c r="B18417" s="19"/>
      <c r="E18417" s="23"/>
      <c r="L18417" s="23"/>
    </row>
    <row r="18418">
      <c r="B18418" s="19"/>
      <c r="E18418" s="23"/>
      <c r="L18418" s="23"/>
    </row>
    <row r="18419">
      <c r="B18419" s="19"/>
      <c r="E18419" s="23"/>
      <c r="L18419" s="23"/>
    </row>
    <row r="18420">
      <c r="B18420" s="19"/>
      <c r="E18420" s="23"/>
      <c r="L18420" s="23"/>
    </row>
    <row r="18421">
      <c r="B18421" s="19"/>
      <c r="E18421" s="23"/>
      <c r="L18421" s="23"/>
    </row>
    <row r="18422">
      <c r="B18422" s="19"/>
      <c r="E18422" s="23"/>
      <c r="L18422" s="23"/>
    </row>
    <row r="18423">
      <c r="B18423" s="19"/>
      <c r="E18423" s="23"/>
      <c r="L18423" s="23"/>
    </row>
    <row r="18424">
      <c r="B18424" s="19"/>
      <c r="E18424" s="23"/>
      <c r="L18424" s="23"/>
    </row>
    <row r="18425">
      <c r="B18425" s="19"/>
      <c r="E18425" s="23"/>
      <c r="L18425" s="23"/>
    </row>
    <row r="18426">
      <c r="B18426" s="19"/>
      <c r="E18426" s="23"/>
      <c r="L18426" s="23"/>
    </row>
    <row r="18427">
      <c r="B18427" s="19"/>
      <c r="E18427" s="23"/>
      <c r="L18427" s="23"/>
    </row>
    <row r="18428">
      <c r="B18428" s="19"/>
      <c r="E18428" s="23"/>
      <c r="L18428" s="23"/>
    </row>
    <row r="18429">
      <c r="B18429" s="19"/>
      <c r="E18429" s="23"/>
      <c r="L18429" s="23"/>
    </row>
    <row r="18430">
      <c r="B18430" s="19"/>
      <c r="E18430" s="23"/>
      <c r="L18430" s="23"/>
    </row>
    <row r="18431">
      <c r="B18431" s="19"/>
      <c r="E18431" s="23"/>
      <c r="L18431" s="23"/>
    </row>
    <row r="18432">
      <c r="B18432" s="19"/>
      <c r="E18432" s="23"/>
      <c r="L18432" s="23"/>
    </row>
    <row r="18433">
      <c r="B18433" s="19"/>
      <c r="E18433" s="23"/>
      <c r="L18433" s="23"/>
    </row>
    <row r="18434">
      <c r="B18434" s="19"/>
      <c r="E18434" s="23"/>
      <c r="L18434" s="23"/>
    </row>
    <row r="18435">
      <c r="B18435" s="19"/>
      <c r="E18435" s="23"/>
      <c r="L18435" s="23"/>
    </row>
    <row r="18436">
      <c r="B18436" s="19"/>
      <c r="E18436" s="23"/>
      <c r="L18436" s="23"/>
    </row>
    <row r="18437">
      <c r="B18437" s="19"/>
      <c r="E18437" s="23"/>
      <c r="L18437" s="23"/>
    </row>
    <row r="18438">
      <c r="B18438" s="19"/>
      <c r="E18438" s="23"/>
      <c r="L18438" s="23"/>
    </row>
    <row r="18439">
      <c r="B18439" s="19"/>
      <c r="E18439" s="23"/>
      <c r="L18439" s="23"/>
    </row>
    <row r="18440">
      <c r="B18440" s="19"/>
      <c r="E18440" s="23"/>
      <c r="L18440" s="23"/>
    </row>
    <row r="18441">
      <c r="B18441" s="19"/>
      <c r="E18441" s="23"/>
      <c r="L18441" s="23"/>
    </row>
    <row r="18442">
      <c r="B18442" s="19"/>
      <c r="E18442" s="23"/>
      <c r="L18442" s="23"/>
    </row>
    <row r="18443">
      <c r="B18443" s="19"/>
      <c r="E18443" s="23"/>
      <c r="L18443" s="23"/>
    </row>
    <row r="18444">
      <c r="B18444" s="19"/>
      <c r="E18444" s="23"/>
      <c r="L18444" s="23"/>
    </row>
    <row r="18445">
      <c r="B18445" s="19"/>
      <c r="E18445" s="23"/>
      <c r="L18445" s="23"/>
    </row>
    <row r="18446">
      <c r="B18446" s="19"/>
      <c r="E18446" s="23"/>
      <c r="L18446" s="23"/>
    </row>
    <row r="18447">
      <c r="B18447" s="19"/>
      <c r="E18447" s="23"/>
      <c r="L18447" s="23"/>
    </row>
    <row r="18448">
      <c r="B18448" s="19"/>
      <c r="E18448" s="23"/>
      <c r="L18448" s="23"/>
    </row>
    <row r="18449">
      <c r="B18449" s="19"/>
      <c r="E18449" s="23"/>
      <c r="L18449" s="23"/>
    </row>
    <row r="18450">
      <c r="B18450" s="19"/>
      <c r="E18450" s="23"/>
      <c r="L18450" s="23"/>
    </row>
    <row r="18451">
      <c r="B18451" s="19"/>
      <c r="E18451" s="23"/>
      <c r="L18451" s="23"/>
    </row>
    <row r="18452">
      <c r="B18452" s="19"/>
      <c r="E18452" s="23"/>
      <c r="L18452" s="23"/>
    </row>
    <row r="18453">
      <c r="B18453" s="19"/>
      <c r="E18453" s="23"/>
      <c r="L18453" s="23"/>
    </row>
    <row r="18454">
      <c r="B18454" s="19"/>
      <c r="E18454" s="23"/>
      <c r="L18454" s="23"/>
    </row>
    <row r="18455">
      <c r="B18455" s="19"/>
      <c r="E18455" s="23"/>
      <c r="L18455" s="23"/>
    </row>
    <row r="18456">
      <c r="B18456" s="19"/>
      <c r="E18456" s="23"/>
      <c r="L18456" s="23"/>
    </row>
    <row r="18457">
      <c r="B18457" s="19"/>
      <c r="E18457" s="23"/>
      <c r="L18457" s="23"/>
    </row>
    <row r="18458">
      <c r="B18458" s="19"/>
      <c r="E18458" s="23"/>
      <c r="L18458" s="23"/>
    </row>
    <row r="18459">
      <c r="B18459" s="19"/>
      <c r="E18459" s="23"/>
      <c r="L18459" s="23"/>
    </row>
    <row r="18460">
      <c r="B18460" s="19"/>
      <c r="E18460" s="23"/>
      <c r="L18460" s="23"/>
    </row>
    <row r="18461">
      <c r="B18461" s="19"/>
      <c r="E18461" s="23"/>
      <c r="L18461" s="23"/>
    </row>
    <row r="18462">
      <c r="B18462" s="19"/>
      <c r="E18462" s="23"/>
      <c r="L18462" s="23"/>
    </row>
    <row r="18463">
      <c r="B18463" s="19"/>
      <c r="E18463" s="23"/>
      <c r="L18463" s="23"/>
    </row>
    <row r="18464">
      <c r="B18464" s="19"/>
      <c r="E18464" s="23"/>
      <c r="L18464" s="23"/>
    </row>
    <row r="18465">
      <c r="B18465" s="19"/>
      <c r="E18465" s="23"/>
      <c r="L18465" s="23"/>
    </row>
    <row r="18466">
      <c r="B18466" s="19"/>
      <c r="E18466" s="23"/>
      <c r="L18466" s="23"/>
    </row>
    <row r="18467">
      <c r="B18467" s="19"/>
      <c r="E18467" s="23"/>
      <c r="L18467" s="23"/>
    </row>
    <row r="18468">
      <c r="B18468" s="19"/>
      <c r="E18468" s="23"/>
      <c r="L18468" s="23"/>
    </row>
    <row r="18469">
      <c r="B18469" s="19"/>
      <c r="E18469" s="23"/>
      <c r="L18469" s="23"/>
    </row>
    <row r="18470">
      <c r="B18470" s="19"/>
      <c r="E18470" s="23"/>
      <c r="L18470" s="23"/>
    </row>
    <row r="18471">
      <c r="B18471" s="19"/>
      <c r="E18471" s="23"/>
      <c r="L18471" s="23"/>
    </row>
    <row r="18472">
      <c r="B18472" s="19"/>
      <c r="E18472" s="23"/>
      <c r="L18472" s="23"/>
    </row>
    <row r="18473">
      <c r="B18473" s="19"/>
      <c r="E18473" s="23"/>
      <c r="L18473" s="23"/>
    </row>
    <row r="18474">
      <c r="B18474" s="19"/>
      <c r="E18474" s="23"/>
      <c r="L18474" s="23"/>
    </row>
    <row r="18475">
      <c r="B18475" s="19"/>
      <c r="E18475" s="23"/>
      <c r="L18475" s="23"/>
    </row>
    <row r="18476">
      <c r="B18476" s="19"/>
      <c r="E18476" s="23"/>
      <c r="L18476" s="23"/>
    </row>
    <row r="18477">
      <c r="B18477" s="19"/>
      <c r="E18477" s="23"/>
      <c r="L18477" s="23"/>
    </row>
    <row r="18478">
      <c r="B18478" s="19"/>
      <c r="E18478" s="23"/>
      <c r="L18478" s="23"/>
    </row>
    <row r="18479">
      <c r="B18479" s="19"/>
      <c r="E18479" s="23"/>
      <c r="L18479" s="23"/>
    </row>
    <row r="18480">
      <c r="B18480" s="19"/>
      <c r="E18480" s="23"/>
      <c r="L18480" s="23"/>
    </row>
    <row r="18481">
      <c r="B18481" s="19"/>
      <c r="E18481" s="23"/>
      <c r="L18481" s="23"/>
    </row>
    <row r="18482">
      <c r="B18482" s="19"/>
      <c r="E18482" s="23"/>
      <c r="L18482" s="23"/>
    </row>
    <row r="18483">
      <c r="B18483" s="19"/>
      <c r="E18483" s="23"/>
      <c r="L18483" s="23"/>
    </row>
    <row r="18484">
      <c r="B18484" s="19"/>
      <c r="E18484" s="23"/>
      <c r="L18484" s="23"/>
    </row>
    <row r="18485">
      <c r="B18485" s="19"/>
      <c r="E18485" s="23"/>
      <c r="L18485" s="23"/>
    </row>
    <row r="18486">
      <c r="B18486" s="19"/>
      <c r="E18486" s="23"/>
      <c r="L18486" s="23"/>
    </row>
    <row r="18487">
      <c r="B18487" s="19"/>
      <c r="E18487" s="23"/>
      <c r="L18487" s="23"/>
    </row>
    <row r="18488">
      <c r="B18488" s="19"/>
      <c r="E18488" s="23"/>
      <c r="L18488" s="23"/>
    </row>
    <row r="18489">
      <c r="B18489" s="19"/>
      <c r="E18489" s="23"/>
      <c r="L18489" s="23"/>
    </row>
    <row r="18490">
      <c r="B18490" s="19"/>
      <c r="E18490" s="23"/>
      <c r="L18490" s="23"/>
    </row>
    <row r="18491">
      <c r="B18491" s="19"/>
      <c r="E18491" s="23"/>
      <c r="L18491" s="23"/>
    </row>
    <row r="18492">
      <c r="B18492" s="19"/>
      <c r="E18492" s="23"/>
      <c r="L18492" s="23"/>
    </row>
    <row r="18493">
      <c r="B18493" s="19"/>
      <c r="E18493" s="23"/>
      <c r="L18493" s="23"/>
    </row>
    <row r="18494">
      <c r="B18494" s="19"/>
      <c r="E18494" s="23"/>
      <c r="L18494" s="23"/>
    </row>
    <row r="18495">
      <c r="B18495" s="19"/>
      <c r="E18495" s="23"/>
      <c r="L18495" s="23"/>
    </row>
    <row r="18496">
      <c r="B18496" s="19"/>
      <c r="E18496" s="23"/>
      <c r="L18496" s="23"/>
    </row>
    <row r="18497">
      <c r="B18497" s="19"/>
      <c r="E18497" s="23"/>
      <c r="L18497" s="23"/>
    </row>
    <row r="18498">
      <c r="B18498" s="19"/>
      <c r="E18498" s="23"/>
      <c r="L18498" s="23"/>
    </row>
    <row r="18499">
      <c r="B18499" s="19"/>
      <c r="E18499" s="23"/>
      <c r="L18499" s="23"/>
    </row>
    <row r="18500">
      <c r="B18500" s="19"/>
      <c r="E18500" s="23"/>
      <c r="L18500" s="23"/>
    </row>
    <row r="18501">
      <c r="B18501" s="19"/>
      <c r="E18501" s="23"/>
      <c r="L18501" s="23"/>
    </row>
    <row r="18502">
      <c r="B18502" s="19"/>
      <c r="E18502" s="23"/>
      <c r="L18502" s="23"/>
    </row>
    <row r="18503">
      <c r="B18503" s="19"/>
      <c r="E18503" s="23"/>
      <c r="L18503" s="23"/>
    </row>
    <row r="18504">
      <c r="B18504" s="19"/>
      <c r="E18504" s="23"/>
      <c r="L18504" s="23"/>
    </row>
    <row r="18505">
      <c r="B18505" s="19"/>
      <c r="E18505" s="23"/>
      <c r="L18505" s="23"/>
    </row>
    <row r="18506">
      <c r="B18506" s="19"/>
      <c r="E18506" s="23"/>
      <c r="L18506" s="23"/>
    </row>
    <row r="18507">
      <c r="B18507" s="19"/>
      <c r="E18507" s="23"/>
      <c r="L18507" s="23"/>
    </row>
    <row r="18508">
      <c r="B18508" s="19"/>
      <c r="E18508" s="23"/>
      <c r="L18508" s="23"/>
    </row>
    <row r="18509">
      <c r="B18509" s="19"/>
      <c r="E18509" s="23"/>
      <c r="L18509" s="23"/>
    </row>
    <row r="18510">
      <c r="B18510" s="19"/>
      <c r="E18510" s="23"/>
      <c r="L18510" s="23"/>
    </row>
    <row r="18511">
      <c r="B18511" s="19"/>
      <c r="E18511" s="23"/>
      <c r="L18511" s="23"/>
    </row>
    <row r="18512">
      <c r="B18512" s="19"/>
      <c r="E18512" s="23"/>
      <c r="L18512" s="23"/>
    </row>
    <row r="18513">
      <c r="B18513" s="19"/>
      <c r="E18513" s="23"/>
      <c r="L18513" s="23"/>
    </row>
    <row r="18514">
      <c r="B18514" s="19"/>
      <c r="E18514" s="23"/>
      <c r="L18514" s="23"/>
    </row>
    <row r="18515">
      <c r="B18515" s="19"/>
      <c r="E18515" s="23"/>
      <c r="L18515" s="23"/>
    </row>
    <row r="18516">
      <c r="B18516" s="19"/>
      <c r="E18516" s="23"/>
      <c r="L18516" s="23"/>
    </row>
    <row r="18517">
      <c r="B18517" s="19"/>
      <c r="E18517" s="23"/>
      <c r="L18517" s="23"/>
    </row>
    <row r="18518">
      <c r="B18518" s="19"/>
      <c r="E18518" s="23"/>
      <c r="L18518" s="23"/>
    </row>
    <row r="18519">
      <c r="B18519" s="19"/>
      <c r="E18519" s="23"/>
      <c r="L18519" s="23"/>
    </row>
    <row r="18520">
      <c r="B18520" s="19"/>
      <c r="E18520" s="23"/>
      <c r="L18520" s="23"/>
    </row>
    <row r="18521">
      <c r="B18521" s="19"/>
      <c r="E18521" s="23"/>
      <c r="L18521" s="23"/>
    </row>
    <row r="18522">
      <c r="B18522" s="19"/>
      <c r="E18522" s="23"/>
      <c r="L18522" s="23"/>
    </row>
    <row r="18523">
      <c r="B18523" s="19"/>
      <c r="E18523" s="23"/>
      <c r="L18523" s="23"/>
    </row>
    <row r="18524">
      <c r="B18524" s="19"/>
      <c r="E18524" s="23"/>
      <c r="L18524" s="23"/>
    </row>
    <row r="18525">
      <c r="B18525" s="19"/>
      <c r="E18525" s="23"/>
      <c r="L18525" s="23"/>
    </row>
    <row r="18526">
      <c r="B18526" s="19"/>
      <c r="E18526" s="23"/>
      <c r="L18526" s="23"/>
    </row>
    <row r="18527">
      <c r="B18527" s="19"/>
      <c r="E18527" s="23"/>
      <c r="L18527" s="23"/>
    </row>
    <row r="18528">
      <c r="B18528" s="19"/>
      <c r="E18528" s="23"/>
      <c r="L18528" s="23"/>
    </row>
    <row r="18529">
      <c r="B18529" s="19"/>
      <c r="E18529" s="23"/>
      <c r="L18529" s="23"/>
    </row>
    <row r="18530">
      <c r="B18530" s="19"/>
      <c r="E18530" s="23"/>
      <c r="L18530" s="23"/>
    </row>
    <row r="18531">
      <c r="B18531" s="19"/>
      <c r="E18531" s="23"/>
      <c r="L18531" s="23"/>
    </row>
    <row r="18532">
      <c r="B18532" s="19"/>
      <c r="E18532" s="23"/>
      <c r="L18532" s="23"/>
    </row>
    <row r="18533">
      <c r="B18533" s="19"/>
      <c r="E18533" s="23"/>
      <c r="L18533" s="23"/>
    </row>
    <row r="18534">
      <c r="B18534" s="19"/>
      <c r="E18534" s="23"/>
      <c r="L18534" s="23"/>
    </row>
    <row r="18535">
      <c r="B18535" s="19"/>
      <c r="E18535" s="23"/>
      <c r="L18535" s="23"/>
    </row>
    <row r="18536">
      <c r="B18536" s="19"/>
      <c r="E18536" s="23"/>
      <c r="L18536" s="23"/>
    </row>
    <row r="18537">
      <c r="B18537" s="19"/>
      <c r="E18537" s="23"/>
      <c r="L18537" s="23"/>
    </row>
    <row r="18538">
      <c r="B18538" s="19"/>
      <c r="E18538" s="23"/>
      <c r="L18538" s="23"/>
    </row>
    <row r="18539">
      <c r="B18539" s="19"/>
      <c r="E18539" s="23"/>
      <c r="L18539" s="23"/>
    </row>
    <row r="18540">
      <c r="B18540" s="19"/>
      <c r="E18540" s="23"/>
      <c r="L18540" s="23"/>
    </row>
    <row r="18541">
      <c r="B18541" s="19"/>
      <c r="E18541" s="23"/>
      <c r="L18541" s="23"/>
    </row>
    <row r="18542">
      <c r="B18542" s="19"/>
      <c r="E18542" s="23"/>
      <c r="L18542" s="23"/>
    </row>
    <row r="18543">
      <c r="B18543" s="19"/>
      <c r="E18543" s="23"/>
      <c r="L18543" s="23"/>
    </row>
    <row r="18544">
      <c r="B18544" s="19"/>
      <c r="E18544" s="23"/>
      <c r="L18544" s="23"/>
    </row>
    <row r="18545">
      <c r="B18545" s="19"/>
      <c r="E18545" s="23"/>
      <c r="L18545" s="23"/>
    </row>
    <row r="18546">
      <c r="B18546" s="19"/>
      <c r="E18546" s="23"/>
      <c r="L18546" s="23"/>
    </row>
    <row r="18547">
      <c r="B18547" s="19"/>
      <c r="E18547" s="23"/>
      <c r="L18547" s="23"/>
    </row>
    <row r="18548">
      <c r="B18548" s="19"/>
      <c r="E18548" s="23"/>
      <c r="L18548" s="23"/>
    </row>
    <row r="18549">
      <c r="B18549" s="19"/>
      <c r="E18549" s="23"/>
      <c r="L18549" s="23"/>
    </row>
    <row r="18550">
      <c r="B18550" s="19"/>
      <c r="E18550" s="23"/>
      <c r="L18550" s="23"/>
    </row>
    <row r="18551">
      <c r="B18551" s="19"/>
      <c r="E18551" s="23"/>
      <c r="L18551" s="23"/>
    </row>
    <row r="18552">
      <c r="B18552" s="19"/>
      <c r="E18552" s="23"/>
      <c r="L18552" s="23"/>
    </row>
    <row r="18553">
      <c r="B18553" s="19"/>
      <c r="E18553" s="23"/>
      <c r="L18553" s="23"/>
    </row>
    <row r="18554">
      <c r="B18554" s="19"/>
      <c r="E18554" s="23"/>
      <c r="L18554" s="23"/>
    </row>
    <row r="18555">
      <c r="B18555" s="19"/>
      <c r="E18555" s="23"/>
      <c r="L18555" s="23"/>
    </row>
    <row r="18556">
      <c r="B18556" s="19"/>
      <c r="E18556" s="23"/>
      <c r="L18556" s="23"/>
    </row>
    <row r="18557">
      <c r="B18557" s="19"/>
      <c r="E18557" s="23"/>
      <c r="L18557" s="23"/>
    </row>
    <row r="18558">
      <c r="B18558" s="19"/>
      <c r="E18558" s="23"/>
      <c r="L18558" s="23"/>
    </row>
    <row r="18559">
      <c r="B18559" s="19"/>
      <c r="E18559" s="23"/>
      <c r="L18559" s="23"/>
    </row>
    <row r="18560">
      <c r="B18560" s="19"/>
      <c r="E18560" s="23"/>
      <c r="L18560" s="23"/>
    </row>
    <row r="18561">
      <c r="B18561" s="19"/>
      <c r="E18561" s="23"/>
      <c r="L18561" s="23"/>
    </row>
    <row r="18562">
      <c r="B18562" s="19"/>
      <c r="E18562" s="23"/>
      <c r="L18562" s="23"/>
    </row>
    <row r="18563">
      <c r="B18563" s="19"/>
      <c r="E18563" s="23"/>
      <c r="L18563" s="23"/>
    </row>
    <row r="18564">
      <c r="B18564" s="19"/>
      <c r="E18564" s="23"/>
      <c r="L18564" s="23"/>
    </row>
    <row r="18565">
      <c r="B18565" s="19"/>
      <c r="E18565" s="23"/>
      <c r="L18565" s="23"/>
    </row>
    <row r="18566">
      <c r="B18566" s="19"/>
      <c r="E18566" s="23"/>
      <c r="L18566" s="23"/>
    </row>
    <row r="18567">
      <c r="B18567" s="19"/>
      <c r="E18567" s="23"/>
      <c r="L18567" s="23"/>
    </row>
    <row r="18568">
      <c r="B18568" s="19"/>
      <c r="E18568" s="23"/>
      <c r="L18568" s="23"/>
    </row>
    <row r="18569">
      <c r="B18569" s="19"/>
      <c r="E18569" s="23"/>
      <c r="L18569" s="23"/>
    </row>
    <row r="18570">
      <c r="B18570" s="19"/>
      <c r="E18570" s="23"/>
      <c r="L18570" s="23"/>
    </row>
    <row r="18571">
      <c r="B18571" s="19"/>
      <c r="E18571" s="23"/>
      <c r="L18571" s="23"/>
    </row>
    <row r="18572">
      <c r="B18572" s="19"/>
      <c r="E18572" s="23"/>
      <c r="L18572" s="23"/>
    </row>
    <row r="18573">
      <c r="B18573" s="19"/>
      <c r="E18573" s="23"/>
      <c r="L18573" s="23"/>
    </row>
    <row r="18574">
      <c r="B18574" s="19"/>
      <c r="E18574" s="23"/>
      <c r="L18574" s="23"/>
    </row>
    <row r="18575">
      <c r="B18575" s="19"/>
      <c r="E18575" s="23"/>
      <c r="L18575" s="23"/>
    </row>
    <row r="18576">
      <c r="B18576" s="19"/>
      <c r="E18576" s="23"/>
      <c r="L18576" s="23"/>
    </row>
    <row r="18577">
      <c r="B18577" s="19"/>
      <c r="E18577" s="23"/>
      <c r="L18577" s="23"/>
    </row>
    <row r="18578">
      <c r="B18578" s="19"/>
      <c r="E18578" s="23"/>
      <c r="L18578" s="23"/>
    </row>
    <row r="18579">
      <c r="B18579" s="19"/>
      <c r="E18579" s="23"/>
      <c r="L18579" s="23"/>
    </row>
    <row r="18580">
      <c r="B18580" s="19"/>
      <c r="E18580" s="23"/>
      <c r="L18580" s="23"/>
    </row>
    <row r="18581">
      <c r="B18581" s="19"/>
      <c r="E18581" s="23"/>
      <c r="L18581" s="23"/>
    </row>
    <row r="18582">
      <c r="B18582" s="19"/>
      <c r="E18582" s="23"/>
      <c r="L18582" s="23"/>
    </row>
    <row r="18583">
      <c r="B18583" s="19"/>
      <c r="E18583" s="23"/>
      <c r="L18583" s="23"/>
    </row>
    <row r="18584">
      <c r="B18584" s="19"/>
      <c r="E18584" s="23"/>
      <c r="L18584" s="23"/>
    </row>
    <row r="18585">
      <c r="B18585" s="19"/>
      <c r="E18585" s="23"/>
      <c r="L18585" s="23"/>
    </row>
    <row r="18586">
      <c r="B18586" s="19"/>
      <c r="E18586" s="23"/>
      <c r="L18586" s="23"/>
    </row>
    <row r="18587">
      <c r="B18587" s="19"/>
      <c r="E18587" s="23"/>
      <c r="L18587" s="23"/>
    </row>
    <row r="18588">
      <c r="B18588" s="19"/>
      <c r="E18588" s="23"/>
      <c r="L18588" s="23"/>
    </row>
    <row r="18589">
      <c r="B18589" s="19"/>
      <c r="E18589" s="23"/>
      <c r="L18589" s="23"/>
    </row>
    <row r="18590">
      <c r="B18590" s="19"/>
      <c r="E18590" s="23"/>
      <c r="L18590" s="23"/>
    </row>
    <row r="18591">
      <c r="B18591" s="19"/>
      <c r="E18591" s="23"/>
      <c r="L18591" s="23"/>
    </row>
    <row r="18592">
      <c r="B18592" s="19"/>
      <c r="E18592" s="23"/>
      <c r="L18592" s="23"/>
    </row>
    <row r="18593">
      <c r="B18593" s="19"/>
      <c r="E18593" s="23"/>
      <c r="L18593" s="23"/>
    </row>
    <row r="18594">
      <c r="B18594" s="19"/>
      <c r="E18594" s="23"/>
      <c r="L18594" s="23"/>
    </row>
    <row r="18595">
      <c r="B18595" s="19"/>
      <c r="E18595" s="23"/>
      <c r="L18595" s="23"/>
    </row>
    <row r="18596">
      <c r="B18596" s="19"/>
      <c r="E18596" s="23"/>
      <c r="L18596" s="23"/>
    </row>
    <row r="18597">
      <c r="B18597" s="19"/>
      <c r="E18597" s="23"/>
      <c r="L18597" s="23"/>
    </row>
    <row r="18598">
      <c r="B18598" s="19"/>
      <c r="E18598" s="23"/>
      <c r="L18598" s="23"/>
    </row>
    <row r="18599">
      <c r="B18599" s="19"/>
      <c r="E18599" s="23"/>
      <c r="L18599" s="23"/>
    </row>
    <row r="18600">
      <c r="B18600" s="19"/>
      <c r="E18600" s="23"/>
      <c r="L18600" s="23"/>
    </row>
    <row r="18601">
      <c r="B18601" s="19"/>
      <c r="E18601" s="23"/>
      <c r="L18601" s="23"/>
    </row>
    <row r="18602">
      <c r="B18602" s="19"/>
      <c r="E18602" s="23"/>
      <c r="L18602" s="23"/>
    </row>
    <row r="18603">
      <c r="B18603" s="19"/>
      <c r="E18603" s="23"/>
      <c r="L18603" s="23"/>
    </row>
    <row r="18604">
      <c r="B18604" s="19"/>
      <c r="E18604" s="23"/>
      <c r="L18604" s="23"/>
    </row>
    <row r="18605">
      <c r="B18605" s="19"/>
      <c r="E18605" s="23"/>
      <c r="L18605" s="23"/>
    </row>
    <row r="18606">
      <c r="B18606" s="19"/>
      <c r="E18606" s="23"/>
      <c r="L18606" s="23"/>
    </row>
    <row r="18607">
      <c r="B18607" s="19"/>
      <c r="E18607" s="23"/>
      <c r="L18607" s="23"/>
    </row>
    <row r="18608">
      <c r="B18608" s="19"/>
      <c r="E18608" s="23"/>
      <c r="L18608" s="23"/>
    </row>
    <row r="18609">
      <c r="B18609" s="19"/>
      <c r="E18609" s="23"/>
      <c r="L18609" s="23"/>
    </row>
    <row r="18610">
      <c r="B18610" s="19"/>
      <c r="E18610" s="23"/>
      <c r="L18610" s="23"/>
    </row>
    <row r="18611">
      <c r="B18611" s="19"/>
      <c r="E18611" s="23"/>
      <c r="L18611" s="23"/>
    </row>
    <row r="18612">
      <c r="B18612" s="19"/>
      <c r="E18612" s="23"/>
      <c r="L18612" s="23"/>
    </row>
    <row r="18613">
      <c r="B18613" s="19"/>
      <c r="E18613" s="23"/>
      <c r="L18613" s="23"/>
    </row>
    <row r="18614">
      <c r="B18614" s="19"/>
      <c r="E18614" s="23"/>
      <c r="L18614" s="23"/>
    </row>
    <row r="18615">
      <c r="B18615" s="19"/>
      <c r="E18615" s="23"/>
      <c r="L18615" s="23"/>
    </row>
    <row r="18616">
      <c r="B18616" s="19"/>
      <c r="E18616" s="23"/>
      <c r="L18616" s="23"/>
    </row>
    <row r="18617">
      <c r="B18617" s="19"/>
      <c r="E18617" s="23"/>
      <c r="L18617" s="23"/>
    </row>
    <row r="18618">
      <c r="B18618" s="19"/>
      <c r="E18618" s="23"/>
      <c r="L18618" s="23"/>
    </row>
    <row r="18619">
      <c r="B18619" s="19"/>
      <c r="E18619" s="23"/>
      <c r="L18619" s="23"/>
    </row>
    <row r="18620">
      <c r="B18620" s="19"/>
      <c r="E18620" s="23"/>
      <c r="L18620" s="23"/>
    </row>
    <row r="18621">
      <c r="B18621" s="19"/>
      <c r="E18621" s="23"/>
      <c r="L18621" s="23"/>
    </row>
    <row r="18622">
      <c r="B18622" s="19"/>
      <c r="E18622" s="23"/>
      <c r="L18622" s="23"/>
    </row>
    <row r="18623">
      <c r="B18623" s="19"/>
      <c r="E18623" s="23"/>
      <c r="L18623" s="23"/>
    </row>
    <row r="18624">
      <c r="B18624" s="19"/>
      <c r="E18624" s="23"/>
      <c r="L18624" s="23"/>
    </row>
    <row r="18625">
      <c r="B18625" s="19"/>
      <c r="E18625" s="23"/>
      <c r="L18625" s="23"/>
    </row>
    <row r="18626">
      <c r="B18626" s="19"/>
      <c r="E18626" s="23"/>
      <c r="L18626" s="23"/>
    </row>
    <row r="18627">
      <c r="B18627" s="19"/>
      <c r="E18627" s="23"/>
      <c r="L18627" s="23"/>
    </row>
    <row r="18628">
      <c r="B18628" s="19"/>
      <c r="E18628" s="23"/>
      <c r="L18628" s="23"/>
    </row>
    <row r="18629">
      <c r="B18629" s="19"/>
      <c r="E18629" s="23"/>
      <c r="L18629" s="23"/>
    </row>
    <row r="18630">
      <c r="B18630" s="19"/>
      <c r="E18630" s="23"/>
      <c r="L18630" s="23"/>
    </row>
    <row r="18631">
      <c r="B18631" s="19"/>
      <c r="E18631" s="23"/>
      <c r="L18631" s="23"/>
    </row>
    <row r="18632">
      <c r="B18632" s="19"/>
      <c r="E18632" s="23"/>
      <c r="L18632" s="23"/>
    </row>
    <row r="18633">
      <c r="B18633" s="19"/>
      <c r="E18633" s="23"/>
      <c r="L18633" s="23"/>
    </row>
    <row r="18634">
      <c r="B18634" s="19"/>
      <c r="E18634" s="23"/>
      <c r="L18634" s="23"/>
    </row>
    <row r="18635">
      <c r="B18635" s="19"/>
      <c r="E18635" s="23"/>
      <c r="L18635" s="23"/>
    </row>
    <row r="18636">
      <c r="B18636" s="19"/>
      <c r="E18636" s="23"/>
      <c r="L18636" s="23"/>
    </row>
    <row r="18637">
      <c r="B18637" s="19"/>
      <c r="E18637" s="23"/>
      <c r="L18637" s="23"/>
    </row>
    <row r="18638">
      <c r="B18638" s="19"/>
      <c r="E18638" s="23"/>
      <c r="L18638" s="23"/>
    </row>
    <row r="18639">
      <c r="B18639" s="19"/>
      <c r="E18639" s="23"/>
      <c r="L18639" s="23"/>
    </row>
    <row r="18640">
      <c r="B18640" s="19"/>
      <c r="E18640" s="23"/>
      <c r="L18640" s="23"/>
    </row>
    <row r="18641">
      <c r="B18641" s="19"/>
      <c r="E18641" s="23"/>
      <c r="L18641" s="23"/>
    </row>
    <row r="18642">
      <c r="B18642" s="19"/>
      <c r="E18642" s="23"/>
      <c r="L18642" s="23"/>
    </row>
    <row r="18643">
      <c r="B18643" s="19"/>
      <c r="E18643" s="23"/>
      <c r="L18643" s="23"/>
    </row>
    <row r="18644">
      <c r="B18644" s="19"/>
      <c r="E18644" s="23"/>
      <c r="L18644" s="23"/>
    </row>
    <row r="18645">
      <c r="B18645" s="19"/>
      <c r="E18645" s="23"/>
      <c r="L18645" s="23"/>
    </row>
    <row r="18646">
      <c r="B18646" s="19"/>
      <c r="E18646" s="23"/>
      <c r="L18646" s="23"/>
    </row>
    <row r="18647">
      <c r="B18647" s="19"/>
      <c r="E18647" s="23"/>
      <c r="L18647" s="23"/>
    </row>
    <row r="18648">
      <c r="B18648" s="19"/>
      <c r="E18648" s="23"/>
      <c r="L18648" s="23"/>
    </row>
    <row r="18649">
      <c r="B18649" s="19"/>
      <c r="E18649" s="23"/>
      <c r="L18649" s="23"/>
    </row>
    <row r="18650">
      <c r="B18650" s="19"/>
      <c r="E18650" s="23"/>
      <c r="L18650" s="23"/>
    </row>
    <row r="18651">
      <c r="B18651" s="19"/>
      <c r="E18651" s="23"/>
      <c r="L18651" s="23"/>
    </row>
    <row r="18652">
      <c r="B18652" s="19"/>
      <c r="E18652" s="23"/>
      <c r="L18652" s="23"/>
    </row>
    <row r="18653">
      <c r="B18653" s="19"/>
      <c r="E18653" s="23"/>
      <c r="L18653" s="23"/>
    </row>
    <row r="18654">
      <c r="B18654" s="19"/>
      <c r="E18654" s="23"/>
      <c r="L18654" s="23"/>
    </row>
    <row r="18655">
      <c r="B18655" s="19"/>
      <c r="E18655" s="23"/>
      <c r="L18655" s="23"/>
    </row>
    <row r="18656">
      <c r="B18656" s="19"/>
      <c r="E18656" s="23"/>
      <c r="L18656" s="23"/>
    </row>
    <row r="18657">
      <c r="B18657" s="19"/>
      <c r="E18657" s="23"/>
      <c r="L18657" s="23"/>
    </row>
    <row r="18658">
      <c r="B18658" s="19"/>
      <c r="E18658" s="23"/>
      <c r="L18658" s="23"/>
    </row>
    <row r="18659">
      <c r="B18659" s="19"/>
      <c r="E18659" s="23"/>
      <c r="L18659" s="23"/>
    </row>
    <row r="18660">
      <c r="B18660" s="19"/>
      <c r="E18660" s="23"/>
      <c r="L18660" s="23"/>
    </row>
    <row r="18661">
      <c r="B18661" s="19"/>
      <c r="E18661" s="23"/>
      <c r="L18661" s="23"/>
    </row>
    <row r="18662">
      <c r="B18662" s="19"/>
      <c r="E18662" s="23"/>
      <c r="L18662" s="23"/>
    </row>
    <row r="18663">
      <c r="B18663" s="19"/>
      <c r="E18663" s="23"/>
      <c r="L18663" s="23"/>
    </row>
    <row r="18664">
      <c r="B18664" s="19"/>
      <c r="E18664" s="23"/>
      <c r="L18664" s="23"/>
    </row>
    <row r="18665">
      <c r="B18665" s="19"/>
      <c r="E18665" s="23"/>
      <c r="L18665" s="23"/>
    </row>
    <row r="18666">
      <c r="B18666" s="19"/>
      <c r="E18666" s="23"/>
      <c r="L18666" s="23"/>
    </row>
    <row r="18667">
      <c r="B18667" s="19"/>
      <c r="E18667" s="23"/>
      <c r="L18667" s="23"/>
    </row>
    <row r="18668">
      <c r="B18668" s="19"/>
      <c r="E18668" s="23"/>
      <c r="L18668" s="23"/>
    </row>
    <row r="18669">
      <c r="B18669" s="19"/>
      <c r="E18669" s="23"/>
      <c r="L18669" s="23"/>
    </row>
    <row r="18670">
      <c r="B18670" s="19"/>
      <c r="E18670" s="23"/>
      <c r="L18670" s="23"/>
    </row>
    <row r="18671">
      <c r="B18671" s="19"/>
      <c r="E18671" s="23"/>
      <c r="L18671" s="23"/>
    </row>
    <row r="18672">
      <c r="B18672" s="19"/>
      <c r="E18672" s="23"/>
      <c r="L18672" s="23"/>
    </row>
    <row r="18673">
      <c r="B18673" s="19"/>
      <c r="E18673" s="23"/>
      <c r="L18673" s="23"/>
    </row>
    <row r="18674">
      <c r="B18674" s="19"/>
      <c r="E18674" s="23"/>
      <c r="L18674" s="23"/>
    </row>
    <row r="18675">
      <c r="B18675" s="19"/>
      <c r="E18675" s="23"/>
      <c r="L18675" s="23"/>
    </row>
    <row r="18676">
      <c r="B18676" s="19"/>
      <c r="E18676" s="23"/>
      <c r="L18676" s="23"/>
    </row>
    <row r="18677">
      <c r="B18677" s="19"/>
      <c r="E18677" s="23"/>
      <c r="L18677" s="23"/>
    </row>
    <row r="18678">
      <c r="B18678" s="19"/>
      <c r="E18678" s="23"/>
      <c r="L18678" s="23"/>
    </row>
    <row r="18679">
      <c r="B18679" s="19"/>
      <c r="E18679" s="23"/>
      <c r="L18679" s="23"/>
    </row>
    <row r="18680">
      <c r="B18680" s="19"/>
      <c r="E18680" s="23"/>
      <c r="L18680" s="23"/>
    </row>
    <row r="18681">
      <c r="B18681" s="19"/>
      <c r="E18681" s="23"/>
      <c r="L18681" s="23"/>
    </row>
    <row r="18682">
      <c r="B18682" s="19"/>
      <c r="E18682" s="23"/>
      <c r="L18682" s="23"/>
    </row>
    <row r="18683">
      <c r="B18683" s="19"/>
      <c r="E18683" s="23"/>
      <c r="L18683" s="23"/>
    </row>
    <row r="18684">
      <c r="B18684" s="19"/>
      <c r="E18684" s="23"/>
      <c r="L18684" s="23"/>
    </row>
    <row r="18685">
      <c r="B18685" s="19"/>
      <c r="E18685" s="23"/>
      <c r="L18685" s="23"/>
    </row>
    <row r="18686">
      <c r="B18686" s="19"/>
      <c r="E18686" s="23"/>
      <c r="L18686" s="23"/>
    </row>
    <row r="18687">
      <c r="B18687" s="19"/>
      <c r="E18687" s="23"/>
      <c r="L18687" s="23"/>
    </row>
    <row r="18688">
      <c r="B18688" s="19"/>
      <c r="E18688" s="23"/>
      <c r="L18688" s="23"/>
    </row>
    <row r="18689">
      <c r="B18689" s="19"/>
      <c r="E18689" s="23"/>
      <c r="L18689" s="23"/>
    </row>
    <row r="18690">
      <c r="B18690" s="19"/>
      <c r="E18690" s="23"/>
      <c r="L18690" s="23"/>
    </row>
    <row r="18691">
      <c r="B18691" s="19"/>
      <c r="E18691" s="23"/>
      <c r="L18691" s="23"/>
    </row>
    <row r="18692">
      <c r="B18692" s="19"/>
      <c r="E18692" s="23"/>
      <c r="L18692" s="23"/>
    </row>
    <row r="18693">
      <c r="B18693" s="19"/>
      <c r="E18693" s="23"/>
      <c r="L18693" s="23"/>
    </row>
    <row r="18694">
      <c r="B18694" s="19"/>
      <c r="E18694" s="23"/>
      <c r="L18694" s="23"/>
    </row>
    <row r="18695">
      <c r="B18695" s="19"/>
      <c r="E18695" s="23"/>
      <c r="L18695" s="23"/>
    </row>
    <row r="18696">
      <c r="B18696" s="19"/>
      <c r="E18696" s="23"/>
      <c r="L18696" s="23"/>
    </row>
    <row r="18697">
      <c r="B18697" s="19"/>
      <c r="E18697" s="23"/>
      <c r="L18697" s="23"/>
    </row>
    <row r="18698">
      <c r="B18698" s="19"/>
      <c r="E18698" s="23"/>
      <c r="L18698" s="23"/>
    </row>
    <row r="18699">
      <c r="B18699" s="19"/>
      <c r="E18699" s="23"/>
      <c r="L18699" s="23"/>
    </row>
    <row r="18700">
      <c r="B18700" s="19"/>
      <c r="E18700" s="23"/>
      <c r="L18700" s="23"/>
    </row>
    <row r="18701">
      <c r="B18701" s="19"/>
      <c r="E18701" s="23"/>
      <c r="L18701" s="23"/>
    </row>
    <row r="18702">
      <c r="B18702" s="19"/>
      <c r="E18702" s="23"/>
      <c r="L18702" s="23"/>
    </row>
    <row r="18703">
      <c r="B18703" s="19"/>
      <c r="E18703" s="23"/>
      <c r="L18703" s="23"/>
    </row>
    <row r="18704">
      <c r="B18704" s="19"/>
      <c r="E18704" s="23"/>
      <c r="L18704" s="23"/>
    </row>
    <row r="18705">
      <c r="B18705" s="19"/>
      <c r="E18705" s="23"/>
      <c r="L18705" s="23"/>
    </row>
    <row r="18706">
      <c r="B18706" s="19"/>
      <c r="E18706" s="23"/>
      <c r="L18706" s="23"/>
    </row>
    <row r="18707">
      <c r="B18707" s="19"/>
      <c r="E18707" s="23"/>
      <c r="L18707" s="23"/>
    </row>
    <row r="18708">
      <c r="B18708" s="19"/>
      <c r="E18708" s="23"/>
      <c r="L18708" s="23"/>
    </row>
    <row r="18709">
      <c r="B18709" s="19"/>
      <c r="E18709" s="23"/>
      <c r="L18709" s="23"/>
    </row>
    <row r="18710">
      <c r="B18710" s="19"/>
      <c r="E18710" s="23"/>
      <c r="L18710" s="23"/>
    </row>
    <row r="18711">
      <c r="B18711" s="19"/>
      <c r="E18711" s="23"/>
      <c r="L18711" s="23"/>
    </row>
    <row r="18712">
      <c r="B18712" s="19"/>
      <c r="E18712" s="23"/>
      <c r="L18712" s="23"/>
    </row>
    <row r="18713">
      <c r="B18713" s="19"/>
      <c r="E18713" s="23"/>
      <c r="L18713" s="23"/>
    </row>
    <row r="18714">
      <c r="B18714" s="19"/>
      <c r="E18714" s="23"/>
      <c r="L18714" s="23"/>
    </row>
    <row r="18715">
      <c r="B18715" s="19"/>
      <c r="E18715" s="23"/>
      <c r="L18715" s="23"/>
    </row>
    <row r="18716">
      <c r="B18716" s="19"/>
      <c r="E18716" s="23"/>
      <c r="L18716" s="23"/>
    </row>
    <row r="18717">
      <c r="B18717" s="19"/>
      <c r="E18717" s="23"/>
      <c r="L18717" s="23"/>
    </row>
    <row r="18718">
      <c r="B18718" s="19"/>
      <c r="E18718" s="23"/>
      <c r="L18718" s="23"/>
    </row>
    <row r="18719">
      <c r="B18719" s="19"/>
      <c r="E18719" s="23"/>
      <c r="L18719" s="23"/>
    </row>
    <row r="18720">
      <c r="B18720" s="19"/>
      <c r="E18720" s="23"/>
      <c r="L18720" s="23"/>
    </row>
    <row r="18721">
      <c r="B18721" s="19"/>
      <c r="E18721" s="23"/>
      <c r="L18721" s="23"/>
    </row>
    <row r="18722">
      <c r="B18722" s="19"/>
      <c r="E18722" s="23"/>
      <c r="L18722" s="23"/>
    </row>
    <row r="18723">
      <c r="B18723" s="19"/>
      <c r="E18723" s="23"/>
      <c r="L18723" s="23"/>
    </row>
    <row r="18724">
      <c r="B18724" s="19"/>
      <c r="E18724" s="23"/>
      <c r="L18724" s="23"/>
    </row>
    <row r="18725">
      <c r="B18725" s="19"/>
      <c r="E18725" s="23"/>
      <c r="L18725" s="23"/>
    </row>
    <row r="18726">
      <c r="B18726" s="19"/>
      <c r="E18726" s="23"/>
      <c r="L18726" s="23"/>
    </row>
    <row r="18727">
      <c r="B18727" s="19"/>
      <c r="E18727" s="23"/>
      <c r="L18727" s="23"/>
    </row>
    <row r="18728">
      <c r="B18728" s="19"/>
      <c r="E18728" s="23"/>
      <c r="L18728" s="23"/>
    </row>
    <row r="18729">
      <c r="B18729" s="19"/>
      <c r="E18729" s="23"/>
      <c r="L18729" s="23"/>
    </row>
    <row r="18730">
      <c r="B18730" s="19"/>
      <c r="E18730" s="23"/>
      <c r="L18730" s="23"/>
    </row>
    <row r="18731">
      <c r="B18731" s="19"/>
      <c r="E18731" s="23"/>
      <c r="L18731" s="23"/>
    </row>
    <row r="18732">
      <c r="B18732" s="19"/>
      <c r="E18732" s="23"/>
      <c r="L18732" s="23"/>
    </row>
    <row r="18733">
      <c r="B18733" s="19"/>
      <c r="E18733" s="23"/>
      <c r="L18733" s="23"/>
    </row>
    <row r="18734">
      <c r="B18734" s="19"/>
      <c r="E18734" s="23"/>
      <c r="L18734" s="23"/>
    </row>
    <row r="18735">
      <c r="B18735" s="19"/>
      <c r="E18735" s="23"/>
      <c r="L18735" s="23"/>
    </row>
    <row r="18736">
      <c r="B18736" s="19"/>
      <c r="E18736" s="23"/>
      <c r="L18736" s="23"/>
    </row>
    <row r="18737">
      <c r="B18737" s="19"/>
      <c r="E18737" s="23"/>
      <c r="L18737" s="23"/>
    </row>
    <row r="18738">
      <c r="B18738" s="19"/>
      <c r="E18738" s="23"/>
      <c r="L18738" s="23"/>
    </row>
    <row r="18739">
      <c r="B18739" s="19"/>
      <c r="E18739" s="23"/>
      <c r="L18739" s="23"/>
    </row>
    <row r="18740">
      <c r="B18740" s="19"/>
      <c r="E18740" s="23"/>
      <c r="L18740" s="23"/>
    </row>
    <row r="18741">
      <c r="B18741" s="19"/>
      <c r="E18741" s="23"/>
      <c r="L18741" s="23"/>
    </row>
    <row r="18742">
      <c r="B18742" s="19"/>
      <c r="E18742" s="23"/>
      <c r="L18742" s="23"/>
    </row>
    <row r="18743">
      <c r="B18743" s="19"/>
      <c r="E18743" s="23"/>
      <c r="L18743" s="23"/>
    </row>
    <row r="18744">
      <c r="B18744" s="19"/>
      <c r="E18744" s="23"/>
      <c r="L18744" s="23"/>
    </row>
    <row r="18745">
      <c r="B18745" s="19"/>
      <c r="E18745" s="23"/>
      <c r="L18745" s="23"/>
    </row>
    <row r="18746">
      <c r="B18746" s="19"/>
      <c r="E18746" s="23"/>
      <c r="L18746" s="23"/>
    </row>
    <row r="18747">
      <c r="B18747" s="19"/>
      <c r="E18747" s="23"/>
      <c r="L18747" s="23"/>
    </row>
    <row r="18748">
      <c r="B18748" s="19"/>
      <c r="E18748" s="23"/>
      <c r="L18748" s="23"/>
    </row>
    <row r="18749">
      <c r="B18749" s="19"/>
      <c r="E18749" s="23"/>
      <c r="L18749" s="23"/>
    </row>
    <row r="18750">
      <c r="B18750" s="19"/>
      <c r="E18750" s="23"/>
      <c r="L18750" s="23"/>
    </row>
    <row r="18751">
      <c r="B18751" s="19"/>
      <c r="E18751" s="23"/>
      <c r="L18751" s="23"/>
    </row>
    <row r="18752">
      <c r="B18752" s="19"/>
      <c r="E18752" s="23"/>
      <c r="L18752" s="23"/>
    </row>
    <row r="18753">
      <c r="B18753" s="19"/>
      <c r="E18753" s="23"/>
      <c r="L18753" s="23"/>
    </row>
    <row r="18754">
      <c r="B18754" s="19"/>
      <c r="E18754" s="23"/>
      <c r="L18754" s="23"/>
    </row>
    <row r="18755">
      <c r="B18755" s="19"/>
      <c r="E18755" s="23"/>
      <c r="L18755" s="23"/>
    </row>
    <row r="18756">
      <c r="B18756" s="19"/>
      <c r="E18756" s="23"/>
      <c r="L18756" s="23"/>
    </row>
    <row r="18757">
      <c r="B18757" s="19"/>
      <c r="E18757" s="23"/>
      <c r="L18757" s="23"/>
    </row>
    <row r="18758">
      <c r="B18758" s="19"/>
      <c r="E18758" s="23"/>
      <c r="L18758" s="23"/>
    </row>
    <row r="18759">
      <c r="B18759" s="19"/>
      <c r="E18759" s="23"/>
      <c r="L18759" s="23"/>
    </row>
    <row r="18760">
      <c r="B18760" s="19"/>
      <c r="E18760" s="23"/>
      <c r="L18760" s="23"/>
    </row>
    <row r="18761">
      <c r="B18761" s="19"/>
      <c r="E18761" s="23"/>
      <c r="L18761" s="23"/>
    </row>
    <row r="18762">
      <c r="B18762" s="19"/>
      <c r="E18762" s="23"/>
      <c r="L18762" s="23"/>
    </row>
    <row r="18763">
      <c r="B18763" s="19"/>
      <c r="E18763" s="23"/>
      <c r="L18763" s="23"/>
    </row>
    <row r="18764">
      <c r="B18764" s="19"/>
      <c r="E18764" s="23"/>
      <c r="L18764" s="23"/>
    </row>
    <row r="18765">
      <c r="B18765" s="19"/>
      <c r="E18765" s="23"/>
      <c r="L18765" s="23"/>
    </row>
    <row r="18766">
      <c r="B18766" s="19"/>
      <c r="E18766" s="23"/>
      <c r="L18766" s="23"/>
    </row>
    <row r="18767">
      <c r="B18767" s="19"/>
      <c r="E18767" s="23"/>
      <c r="L18767" s="23"/>
    </row>
    <row r="18768">
      <c r="B18768" s="19"/>
      <c r="E18768" s="23"/>
      <c r="L18768" s="23"/>
    </row>
    <row r="18769">
      <c r="B18769" s="19"/>
      <c r="E18769" s="23"/>
      <c r="L18769" s="23"/>
    </row>
    <row r="18770">
      <c r="B18770" s="19"/>
      <c r="E18770" s="23"/>
      <c r="L18770" s="23"/>
    </row>
    <row r="18771">
      <c r="B18771" s="19"/>
      <c r="E18771" s="23"/>
      <c r="L18771" s="23"/>
    </row>
    <row r="18772">
      <c r="B18772" s="19"/>
      <c r="E18772" s="23"/>
      <c r="L18772" s="23"/>
    </row>
    <row r="18773">
      <c r="B18773" s="19"/>
      <c r="E18773" s="23"/>
      <c r="L18773" s="23"/>
    </row>
    <row r="18774">
      <c r="B18774" s="19"/>
      <c r="E18774" s="23"/>
      <c r="L18774" s="23"/>
    </row>
    <row r="18775">
      <c r="B18775" s="19"/>
      <c r="E18775" s="23"/>
      <c r="L18775" s="23"/>
    </row>
    <row r="18776">
      <c r="B18776" s="19"/>
      <c r="E18776" s="23"/>
      <c r="L18776" s="23"/>
    </row>
    <row r="18777">
      <c r="B18777" s="19"/>
      <c r="E18777" s="23"/>
      <c r="L18777" s="23"/>
    </row>
    <row r="18778">
      <c r="B18778" s="19"/>
      <c r="E18778" s="23"/>
      <c r="L18778" s="23"/>
    </row>
    <row r="18779">
      <c r="B18779" s="19"/>
      <c r="E18779" s="23"/>
      <c r="L18779" s="23"/>
    </row>
    <row r="18780">
      <c r="B18780" s="19"/>
      <c r="E18780" s="23"/>
      <c r="L18780" s="23"/>
    </row>
    <row r="18781">
      <c r="B18781" s="19"/>
      <c r="E18781" s="23"/>
      <c r="L18781" s="23"/>
    </row>
    <row r="18782">
      <c r="B18782" s="19"/>
      <c r="E18782" s="23"/>
      <c r="L18782" s="23"/>
    </row>
    <row r="18783">
      <c r="B18783" s="19"/>
      <c r="E18783" s="23"/>
      <c r="L18783" s="23"/>
    </row>
    <row r="18784">
      <c r="B18784" s="19"/>
      <c r="E18784" s="23"/>
      <c r="L18784" s="23"/>
    </row>
    <row r="18785">
      <c r="B18785" s="19"/>
      <c r="E18785" s="23"/>
      <c r="L18785" s="23"/>
    </row>
    <row r="18786">
      <c r="B18786" s="19"/>
      <c r="E18786" s="23"/>
      <c r="L18786" s="23"/>
    </row>
    <row r="18787">
      <c r="B18787" s="19"/>
      <c r="E18787" s="23"/>
      <c r="L18787" s="23"/>
    </row>
    <row r="18788">
      <c r="B18788" s="19"/>
      <c r="E18788" s="23"/>
      <c r="L18788" s="23"/>
    </row>
    <row r="18789">
      <c r="B18789" s="19"/>
      <c r="E18789" s="23"/>
      <c r="L18789" s="23"/>
    </row>
    <row r="18790">
      <c r="B18790" s="19"/>
      <c r="E18790" s="23"/>
      <c r="L18790" s="23"/>
    </row>
    <row r="18791">
      <c r="B18791" s="19"/>
      <c r="E18791" s="23"/>
      <c r="L18791" s="23"/>
    </row>
    <row r="18792">
      <c r="B18792" s="19"/>
      <c r="E18792" s="23"/>
      <c r="L18792" s="23"/>
    </row>
    <row r="18793">
      <c r="B18793" s="19"/>
      <c r="E18793" s="23"/>
      <c r="L18793" s="23"/>
    </row>
    <row r="18794">
      <c r="B18794" s="19"/>
      <c r="E18794" s="23"/>
      <c r="L18794" s="23"/>
    </row>
    <row r="18795">
      <c r="B18795" s="19"/>
      <c r="E18795" s="23"/>
      <c r="L18795" s="23"/>
    </row>
    <row r="18796">
      <c r="B18796" s="19"/>
      <c r="E18796" s="23"/>
      <c r="L18796" s="23"/>
    </row>
    <row r="18797">
      <c r="B18797" s="19"/>
      <c r="E18797" s="23"/>
      <c r="L18797" s="23"/>
    </row>
    <row r="18798">
      <c r="B18798" s="19"/>
      <c r="E18798" s="23"/>
      <c r="L18798" s="23"/>
    </row>
    <row r="18799">
      <c r="B18799" s="19"/>
      <c r="E18799" s="23"/>
      <c r="L18799" s="23"/>
    </row>
    <row r="18800">
      <c r="B18800" s="19"/>
      <c r="E18800" s="23"/>
      <c r="L18800" s="23"/>
    </row>
    <row r="18801">
      <c r="B18801" s="19"/>
      <c r="E18801" s="23"/>
      <c r="L18801" s="23"/>
    </row>
    <row r="18802">
      <c r="B18802" s="19"/>
      <c r="E18802" s="23"/>
      <c r="L18802" s="23"/>
    </row>
    <row r="18803">
      <c r="B18803" s="19"/>
      <c r="E18803" s="23"/>
      <c r="L18803" s="23"/>
    </row>
    <row r="18804">
      <c r="B18804" s="19"/>
      <c r="E18804" s="23"/>
      <c r="L18804" s="23"/>
    </row>
    <row r="18805">
      <c r="B18805" s="19"/>
      <c r="E18805" s="23"/>
      <c r="L18805" s="23"/>
    </row>
    <row r="18806">
      <c r="B18806" s="19"/>
      <c r="E18806" s="23"/>
      <c r="L18806" s="23"/>
    </row>
    <row r="18807">
      <c r="B18807" s="19"/>
      <c r="E18807" s="23"/>
      <c r="L18807" s="23"/>
    </row>
    <row r="18808">
      <c r="B18808" s="19"/>
      <c r="E18808" s="23"/>
      <c r="L18808" s="23"/>
    </row>
    <row r="18809">
      <c r="B18809" s="19"/>
      <c r="E18809" s="23"/>
      <c r="L18809" s="23"/>
    </row>
    <row r="18810">
      <c r="B18810" s="19"/>
      <c r="E18810" s="23"/>
      <c r="L18810" s="23"/>
    </row>
    <row r="18811">
      <c r="B18811" s="19"/>
      <c r="E18811" s="23"/>
      <c r="L18811" s="23"/>
    </row>
    <row r="18812">
      <c r="B18812" s="19"/>
      <c r="E18812" s="23"/>
      <c r="L18812" s="23"/>
    </row>
    <row r="18813">
      <c r="B18813" s="19"/>
      <c r="E18813" s="23"/>
      <c r="L18813" s="23"/>
    </row>
    <row r="18814">
      <c r="B18814" s="19"/>
      <c r="E18814" s="23"/>
      <c r="L18814" s="23"/>
    </row>
    <row r="18815">
      <c r="B18815" s="19"/>
      <c r="E18815" s="23"/>
      <c r="L18815" s="23"/>
    </row>
    <row r="18816">
      <c r="B18816" s="19"/>
      <c r="E18816" s="23"/>
      <c r="L18816" s="23"/>
    </row>
    <row r="18817">
      <c r="B18817" s="19"/>
      <c r="E18817" s="23"/>
      <c r="L18817" s="23"/>
    </row>
    <row r="18818">
      <c r="B18818" s="19"/>
      <c r="E18818" s="23"/>
      <c r="L18818" s="23"/>
    </row>
    <row r="18819">
      <c r="B18819" s="19"/>
      <c r="E18819" s="23"/>
      <c r="L18819" s="23"/>
    </row>
    <row r="18820">
      <c r="B18820" s="19"/>
      <c r="E18820" s="23"/>
      <c r="L18820" s="23"/>
    </row>
    <row r="18821">
      <c r="B18821" s="19"/>
      <c r="E18821" s="23"/>
      <c r="L18821" s="23"/>
    </row>
    <row r="18822">
      <c r="B18822" s="19"/>
      <c r="E18822" s="23"/>
      <c r="L18822" s="23"/>
    </row>
    <row r="18823">
      <c r="B18823" s="19"/>
      <c r="E18823" s="23"/>
      <c r="L18823" s="23"/>
    </row>
    <row r="18824">
      <c r="B18824" s="19"/>
      <c r="E18824" s="23"/>
      <c r="L18824" s="23"/>
    </row>
    <row r="18825">
      <c r="B18825" s="19"/>
      <c r="E18825" s="23"/>
      <c r="L18825" s="23"/>
    </row>
    <row r="18826">
      <c r="B18826" s="19"/>
      <c r="E18826" s="23"/>
      <c r="L18826" s="23"/>
    </row>
    <row r="18827">
      <c r="B18827" s="19"/>
      <c r="E18827" s="23"/>
      <c r="L18827" s="23"/>
    </row>
    <row r="18828">
      <c r="B18828" s="19"/>
      <c r="E18828" s="23"/>
      <c r="L18828" s="23"/>
    </row>
    <row r="18829">
      <c r="B18829" s="19"/>
      <c r="E18829" s="23"/>
      <c r="L18829" s="23"/>
    </row>
    <row r="18830">
      <c r="B18830" s="19"/>
      <c r="E18830" s="23"/>
      <c r="L18830" s="23"/>
    </row>
    <row r="18831">
      <c r="B18831" s="19"/>
      <c r="E18831" s="23"/>
      <c r="L18831" s="23"/>
    </row>
    <row r="18832">
      <c r="B18832" s="19"/>
      <c r="E18832" s="23"/>
      <c r="L18832" s="23"/>
    </row>
    <row r="18833">
      <c r="B18833" s="19"/>
      <c r="E18833" s="23"/>
      <c r="L18833" s="23"/>
    </row>
    <row r="18834">
      <c r="B18834" s="19"/>
      <c r="E18834" s="23"/>
      <c r="L18834" s="23"/>
    </row>
    <row r="18835">
      <c r="B18835" s="19"/>
      <c r="E18835" s="23"/>
      <c r="L18835" s="23"/>
    </row>
    <row r="18836">
      <c r="B18836" s="19"/>
      <c r="E18836" s="23"/>
      <c r="L18836" s="23"/>
    </row>
    <row r="18837">
      <c r="B18837" s="19"/>
      <c r="E18837" s="23"/>
      <c r="L18837" s="23"/>
    </row>
    <row r="18838">
      <c r="B18838" s="19"/>
      <c r="E18838" s="23"/>
      <c r="L18838" s="23"/>
    </row>
    <row r="18839">
      <c r="B18839" s="19"/>
      <c r="E18839" s="23"/>
      <c r="L18839" s="23"/>
    </row>
    <row r="18840">
      <c r="B18840" s="19"/>
      <c r="E18840" s="23"/>
      <c r="L18840" s="23"/>
    </row>
    <row r="18841">
      <c r="B18841" s="19"/>
      <c r="E18841" s="23"/>
      <c r="L18841" s="23"/>
    </row>
    <row r="18842">
      <c r="B18842" s="19"/>
      <c r="E18842" s="23"/>
      <c r="L18842" s="23"/>
    </row>
    <row r="18843">
      <c r="B18843" s="19"/>
      <c r="E18843" s="23"/>
      <c r="L18843" s="23"/>
    </row>
    <row r="18844">
      <c r="B18844" s="19"/>
      <c r="E18844" s="23"/>
      <c r="L18844" s="23"/>
    </row>
    <row r="18845">
      <c r="B18845" s="19"/>
      <c r="E18845" s="23"/>
      <c r="L18845" s="23"/>
    </row>
    <row r="18846">
      <c r="B18846" s="19"/>
      <c r="E18846" s="23"/>
      <c r="L18846" s="23"/>
    </row>
    <row r="18847">
      <c r="B18847" s="19"/>
      <c r="E18847" s="23"/>
      <c r="L18847" s="23"/>
    </row>
    <row r="18848">
      <c r="B18848" s="19"/>
      <c r="E18848" s="23"/>
      <c r="L18848" s="23"/>
    </row>
    <row r="18849">
      <c r="B18849" s="19"/>
      <c r="E18849" s="23"/>
      <c r="L18849" s="23"/>
    </row>
    <row r="18850">
      <c r="B18850" s="19"/>
      <c r="E18850" s="23"/>
      <c r="L18850" s="23"/>
    </row>
    <row r="18851">
      <c r="B18851" s="19"/>
      <c r="E18851" s="23"/>
      <c r="L18851" s="23"/>
    </row>
    <row r="18852">
      <c r="B18852" s="19"/>
      <c r="E18852" s="23"/>
      <c r="L18852" s="23"/>
    </row>
    <row r="18853">
      <c r="B18853" s="19"/>
      <c r="E18853" s="23"/>
      <c r="L18853" s="23"/>
    </row>
    <row r="18854">
      <c r="B18854" s="19"/>
      <c r="E18854" s="23"/>
      <c r="L18854" s="23"/>
    </row>
    <row r="18855">
      <c r="B18855" s="19"/>
      <c r="E18855" s="23"/>
      <c r="L18855" s="23"/>
    </row>
    <row r="18856">
      <c r="B18856" s="19"/>
      <c r="E18856" s="23"/>
      <c r="L18856" s="23"/>
    </row>
    <row r="18857">
      <c r="B18857" s="19"/>
      <c r="E18857" s="23"/>
      <c r="L18857" s="23"/>
    </row>
    <row r="18858">
      <c r="B18858" s="19"/>
      <c r="E18858" s="23"/>
      <c r="L18858" s="23"/>
    </row>
    <row r="18859">
      <c r="B18859" s="19"/>
      <c r="E18859" s="23"/>
      <c r="L18859" s="23"/>
    </row>
    <row r="18860">
      <c r="B18860" s="19"/>
      <c r="E18860" s="23"/>
      <c r="L18860" s="23"/>
    </row>
    <row r="18861">
      <c r="B18861" s="19"/>
      <c r="E18861" s="23"/>
      <c r="L18861" s="23"/>
    </row>
    <row r="18862">
      <c r="B18862" s="19"/>
      <c r="E18862" s="23"/>
      <c r="L18862" s="23"/>
    </row>
    <row r="18863">
      <c r="B18863" s="19"/>
      <c r="E18863" s="23"/>
      <c r="L18863" s="23"/>
    </row>
    <row r="18864">
      <c r="B18864" s="19"/>
      <c r="E18864" s="23"/>
      <c r="L18864" s="23"/>
    </row>
    <row r="18865">
      <c r="B18865" s="19"/>
      <c r="E18865" s="23"/>
      <c r="L18865" s="23"/>
    </row>
    <row r="18866">
      <c r="B18866" s="19"/>
      <c r="E18866" s="23"/>
      <c r="L18866" s="23"/>
    </row>
    <row r="18867">
      <c r="B18867" s="19"/>
      <c r="E18867" s="23"/>
      <c r="L18867" s="23"/>
    </row>
    <row r="18868">
      <c r="B18868" s="19"/>
      <c r="E18868" s="23"/>
      <c r="L18868" s="23"/>
    </row>
    <row r="18869">
      <c r="B18869" s="19"/>
      <c r="E18869" s="23"/>
      <c r="L18869" s="23"/>
    </row>
    <row r="18870">
      <c r="B18870" s="19"/>
      <c r="E18870" s="23"/>
      <c r="L18870" s="23"/>
    </row>
    <row r="18871">
      <c r="B18871" s="19"/>
      <c r="E18871" s="23"/>
      <c r="L18871" s="23"/>
    </row>
    <row r="18872">
      <c r="B18872" s="19"/>
      <c r="E18872" s="23"/>
      <c r="L18872" s="23"/>
    </row>
    <row r="18873">
      <c r="B18873" s="19"/>
      <c r="E18873" s="23"/>
      <c r="L18873" s="23"/>
    </row>
    <row r="18874">
      <c r="B18874" s="19"/>
      <c r="E18874" s="23"/>
      <c r="L18874" s="23"/>
    </row>
    <row r="18875">
      <c r="B18875" s="19"/>
      <c r="E18875" s="23"/>
      <c r="L18875" s="23"/>
    </row>
    <row r="18876">
      <c r="B18876" s="19"/>
      <c r="E18876" s="23"/>
      <c r="L18876" s="23"/>
    </row>
    <row r="18877">
      <c r="B18877" s="19"/>
      <c r="E18877" s="23"/>
      <c r="L18877" s="23"/>
    </row>
    <row r="18878">
      <c r="B18878" s="19"/>
      <c r="E18878" s="23"/>
      <c r="L18878" s="23"/>
    </row>
    <row r="18879">
      <c r="B18879" s="19"/>
      <c r="E18879" s="23"/>
      <c r="L18879" s="23"/>
    </row>
    <row r="18880">
      <c r="B18880" s="19"/>
      <c r="E18880" s="23"/>
      <c r="L18880" s="23"/>
    </row>
    <row r="18881">
      <c r="B18881" s="19"/>
      <c r="E18881" s="23"/>
      <c r="L18881" s="23"/>
    </row>
    <row r="18882">
      <c r="B18882" s="19"/>
      <c r="E18882" s="23"/>
      <c r="L18882" s="23"/>
    </row>
    <row r="18883">
      <c r="B18883" s="19"/>
      <c r="E18883" s="23"/>
      <c r="L18883" s="23"/>
    </row>
    <row r="18884">
      <c r="B18884" s="19"/>
      <c r="E18884" s="23"/>
      <c r="L18884" s="23"/>
    </row>
    <row r="18885">
      <c r="B18885" s="19"/>
      <c r="E18885" s="23"/>
      <c r="L18885" s="23"/>
    </row>
    <row r="18886">
      <c r="B18886" s="19"/>
      <c r="E18886" s="23"/>
      <c r="L18886" s="23"/>
    </row>
    <row r="18887">
      <c r="B18887" s="19"/>
      <c r="E18887" s="23"/>
      <c r="L18887" s="23"/>
    </row>
    <row r="18888">
      <c r="B18888" s="19"/>
      <c r="E18888" s="23"/>
      <c r="L18888" s="23"/>
    </row>
    <row r="18889">
      <c r="B18889" s="19"/>
      <c r="E18889" s="23"/>
      <c r="L18889" s="23"/>
    </row>
    <row r="18890">
      <c r="B18890" s="19"/>
      <c r="E18890" s="23"/>
      <c r="L18890" s="23"/>
    </row>
    <row r="18891">
      <c r="B18891" s="19"/>
      <c r="E18891" s="23"/>
      <c r="L18891" s="23"/>
    </row>
    <row r="18892">
      <c r="B18892" s="19"/>
      <c r="E18892" s="23"/>
      <c r="L18892" s="23"/>
    </row>
    <row r="18893">
      <c r="B18893" s="19"/>
      <c r="E18893" s="23"/>
      <c r="L18893" s="23"/>
    </row>
    <row r="18894">
      <c r="B18894" s="19"/>
      <c r="E18894" s="23"/>
      <c r="L18894" s="23"/>
    </row>
    <row r="18895">
      <c r="B18895" s="19"/>
      <c r="E18895" s="23"/>
      <c r="L18895" s="23"/>
    </row>
    <row r="18896">
      <c r="B18896" s="19"/>
      <c r="E18896" s="23"/>
      <c r="L18896" s="23"/>
    </row>
    <row r="18897">
      <c r="B18897" s="19"/>
      <c r="E18897" s="23"/>
      <c r="L18897" s="23"/>
    </row>
    <row r="18898">
      <c r="B18898" s="19"/>
      <c r="E18898" s="23"/>
      <c r="L18898" s="23"/>
    </row>
    <row r="18899">
      <c r="B18899" s="19"/>
      <c r="E18899" s="23"/>
      <c r="L18899" s="23"/>
    </row>
    <row r="18900">
      <c r="B18900" s="19"/>
      <c r="E18900" s="23"/>
      <c r="L18900" s="23"/>
    </row>
    <row r="18901">
      <c r="B18901" s="19"/>
      <c r="E18901" s="23"/>
      <c r="L18901" s="23"/>
    </row>
    <row r="18902">
      <c r="B18902" s="19"/>
      <c r="E18902" s="23"/>
      <c r="L18902" s="23"/>
    </row>
    <row r="18903">
      <c r="B18903" s="19"/>
      <c r="E18903" s="23"/>
      <c r="L18903" s="23"/>
    </row>
    <row r="18904">
      <c r="B18904" s="19"/>
      <c r="E18904" s="23"/>
      <c r="L18904" s="23"/>
    </row>
    <row r="18905">
      <c r="B18905" s="19"/>
      <c r="E18905" s="23"/>
      <c r="L18905" s="23"/>
    </row>
    <row r="18906">
      <c r="B18906" s="19"/>
      <c r="E18906" s="23"/>
      <c r="L18906" s="23"/>
    </row>
    <row r="18907">
      <c r="B18907" s="19"/>
      <c r="E18907" s="23"/>
      <c r="L18907" s="23"/>
    </row>
    <row r="18908">
      <c r="B18908" s="19"/>
      <c r="E18908" s="23"/>
      <c r="L18908" s="23"/>
    </row>
    <row r="18909">
      <c r="B18909" s="19"/>
      <c r="E18909" s="23"/>
      <c r="L18909" s="23"/>
    </row>
    <row r="18910">
      <c r="B18910" s="19"/>
      <c r="E18910" s="23"/>
      <c r="L18910" s="23"/>
    </row>
    <row r="18911">
      <c r="B18911" s="19"/>
      <c r="E18911" s="23"/>
      <c r="L18911" s="23"/>
    </row>
    <row r="18912">
      <c r="B18912" s="19"/>
      <c r="E18912" s="23"/>
      <c r="L18912" s="23"/>
    </row>
    <row r="18913">
      <c r="B18913" s="19"/>
      <c r="E18913" s="23"/>
      <c r="L18913" s="23"/>
    </row>
    <row r="18914">
      <c r="B18914" s="19"/>
      <c r="E18914" s="23"/>
      <c r="L18914" s="23"/>
    </row>
    <row r="18915">
      <c r="B18915" s="19"/>
      <c r="E18915" s="23"/>
      <c r="L18915" s="23"/>
    </row>
    <row r="18916">
      <c r="B18916" s="19"/>
      <c r="E18916" s="23"/>
      <c r="L18916" s="23"/>
    </row>
    <row r="18917">
      <c r="B18917" s="19"/>
      <c r="E18917" s="23"/>
      <c r="L18917" s="23"/>
    </row>
    <row r="18918">
      <c r="B18918" s="19"/>
      <c r="E18918" s="23"/>
      <c r="L18918" s="23"/>
    </row>
    <row r="18919">
      <c r="B18919" s="19"/>
      <c r="E18919" s="23"/>
      <c r="L18919" s="23"/>
    </row>
    <row r="18920">
      <c r="B18920" s="19"/>
      <c r="E18920" s="23"/>
      <c r="L18920" s="23"/>
    </row>
    <row r="18921">
      <c r="B18921" s="19"/>
      <c r="E18921" s="23"/>
      <c r="L18921" s="23"/>
    </row>
    <row r="18922">
      <c r="B18922" s="19"/>
      <c r="E18922" s="23"/>
      <c r="L18922" s="23"/>
    </row>
    <row r="18923">
      <c r="B18923" s="19"/>
      <c r="E18923" s="23"/>
      <c r="L18923" s="23"/>
    </row>
    <row r="18924">
      <c r="B18924" s="19"/>
      <c r="E18924" s="23"/>
      <c r="L18924" s="23"/>
    </row>
    <row r="18925">
      <c r="B18925" s="19"/>
      <c r="E18925" s="23"/>
      <c r="L18925" s="23"/>
    </row>
    <row r="18926">
      <c r="B18926" s="19"/>
      <c r="E18926" s="23"/>
      <c r="L18926" s="23"/>
    </row>
    <row r="18927">
      <c r="B18927" s="19"/>
      <c r="E18927" s="23"/>
      <c r="L18927" s="23"/>
    </row>
    <row r="18928">
      <c r="B18928" s="19"/>
      <c r="E18928" s="23"/>
      <c r="L18928" s="23"/>
    </row>
    <row r="18929">
      <c r="B18929" s="19"/>
      <c r="E18929" s="23"/>
      <c r="L18929" s="23"/>
    </row>
    <row r="18930">
      <c r="B18930" s="19"/>
      <c r="E18930" s="23"/>
      <c r="L18930" s="23"/>
    </row>
    <row r="18931">
      <c r="B18931" s="19"/>
      <c r="E18931" s="23"/>
      <c r="L18931" s="23"/>
    </row>
    <row r="18932">
      <c r="B18932" s="19"/>
      <c r="E18932" s="23"/>
      <c r="L18932" s="23"/>
    </row>
    <row r="18933">
      <c r="B18933" s="19"/>
      <c r="E18933" s="23"/>
      <c r="L18933" s="23"/>
    </row>
    <row r="18934">
      <c r="B18934" s="19"/>
      <c r="E18934" s="23"/>
      <c r="L18934" s="23"/>
    </row>
    <row r="18935">
      <c r="B18935" s="19"/>
      <c r="E18935" s="23"/>
      <c r="L18935" s="23"/>
    </row>
    <row r="18936">
      <c r="B18936" s="19"/>
      <c r="E18936" s="23"/>
      <c r="L18936" s="23"/>
    </row>
    <row r="18937">
      <c r="B18937" s="19"/>
      <c r="E18937" s="23"/>
      <c r="L18937" s="23"/>
    </row>
    <row r="18938">
      <c r="B18938" s="19"/>
      <c r="E18938" s="23"/>
      <c r="L18938" s="23"/>
    </row>
    <row r="18939">
      <c r="B18939" s="19"/>
      <c r="E18939" s="23"/>
      <c r="L18939" s="23"/>
    </row>
    <row r="18940">
      <c r="B18940" s="19"/>
      <c r="E18940" s="23"/>
      <c r="L18940" s="23"/>
    </row>
    <row r="18941">
      <c r="B18941" s="19"/>
      <c r="E18941" s="23"/>
      <c r="L18941" s="23"/>
    </row>
    <row r="18942">
      <c r="B18942" s="19"/>
      <c r="E18942" s="23"/>
      <c r="L18942" s="23"/>
    </row>
    <row r="18943">
      <c r="B18943" s="19"/>
      <c r="E18943" s="23"/>
      <c r="L18943" s="23"/>
    </row>
    <row r="18944">
      <c r="B18944" s="19"/>
      <c r="E18944" s="23"/>
      <c r="L18944" s="23"/>
    </row>
    <row r="18945">
      <c r="B18945" s="19"/>
      <c r="E18945" s="23"/>
      <c r="L18945" s="23"/>
    </row>
    <row r="18946">
      <c r="B18946" s="19"/>
      <c r="E18946" s="23"/>
      <c r="L18946" s="23"/>
    </row>
    <row r="18947">
      <c r="B18947" s="19"/>
      <c r="E18947" s="23"/>
      <c r="L18947" s="23"/>
    </row>
    <row r="18948">
      <c r="B18948" s="19"/>
      <c r="E18948" s="23"/>
      <c r="L18948" s="23"/>
    </row>
    <row r="18949">
      <c r="B18949" s="19"/>
      <c r="E18949" s="23"/>
      <c r="L18949" s="23"/>
    </row>
    <row r="18950">
      <c r="B18950" s="19"/>
      <c r="E18950" s="23"/>
      <c r="L18950" s="23"/>
    </row>
    <row r="18951">
      <c r="B18951" s="19"/>
      <c r="E18951" s="23"/>
      <c r="L18951" s="23"/>
    </row>
    <row r="18952">
      <c r="B18952" s="19"/>
      <c r="E18952" s="23"/>
      <c r="L18952" s="23"/>
    </row>
    <row r="18953">
      <c r="B18953" s="19"/>
      <c r="E18953" s="23"/>
      <c r="L18953" s="23"/>
    </row>
    <row r="18954">
      <c r="B18954" s="19"/>
      <c r="E18954" s="23"/>
      <c r="L18954" s="23"/>
    </row>
    <row r="18955">
      <c r="B18955" s="19"/>
      <c r="E18955" s="23"/>
      <c r="L18955" s="23"/>
    </row>
    <row r="18956">
      <c r="B18956" s="19"/>
      <c r="E18956" s="23"/>
      <c r="L18956" s="23"/>
    </row>
    <row r="18957">
      <c r="B18957" s="19"/>
      <c r="E18957" s="23"/>
      <c r="L18957" s="23"/>
    </row>
    <row r="18958">
      <c r="B18958" s="19"/>
      <c r="E18958" s="23"/>
      <c r="L18958" s="23"/>
    </row>
    <row r="18959">
      <c r="B18959" s="19"/>
      <c r="E18959" s="23"/>
      <c r="L18959" s="23"/>
    </row>
    <row r="18960">
      <c r="B18960" s="19"/>
      <c r="E18960" s="23"/>
      <c r="L18960" s="23"/>
    </row>
    <row r="18961">
      <c r="B18961" s="19"/>
      <c r="E18961" s="23"/>
      <c r="L18961" s="23"/>
    </row>
    <row r="18962">
      <c r="B18962" s="19"/>
      <c r="E18962" s="23"/>
      <c r="L18962" s="23"/>
    </row>
    <row r="18963">
      <c r="B18963" s="19"/>
      <c r="E18963" s="23"/>
      <c r="L18963" s="23"/>
    </row>
    <row r="18964">
      <c r="B18964" s="19"/>
      <c r="E18964" s="23"/>
      <c r="L18964" s="23"/>
    </row>
    <row r="18965">
      <c r="B18965" s="19"/>
      <c r="E18965" s="23"/>
      <c r="L18965" s="23"/>
    </row>
    <row r="18966">
      <c r="B18966" s="19"/>
      <c r="E18966" s="23"/>
      <c r="L18966" s="23"/>
    </row>
    <row r="18967">
      <c r="B18967" s="19"/>
      <c r="E18967" s="23"/>
      <c r="L18967" s="23"/>
    </row>
    <row r="18968">
      <c r="B18968" s="19"/>
      <c r="E18968" s="23"/>
      <c r="L18968" s="23"/>
    </row>
    <row r="18969">
      <c r="B18969" s="19"/>
      <c r="E18969" s="23"/>
      <c r="L18969" s="23"/>
    </row>
    <row r="18970">
      <c r="B18970" s="19"/>
      <c r="E18970" s="23"/>
      <c r="L18970" s="23"/>
    </row>
    <row r="18971">
      <c r="B18971" s="19"/>
      <c r="E18971" s="23"/>
      <c r="L18971" s="23"/>
    </row>
    <row r="18972">
      <c r="B18972" s="19"/>
      <c r="E18972" s="23"/>
      <c r="L18972" s="23"/>
    </row>
    <row r="18973">
      <c r="B18973" s="19"/>
      <c r="E18973" s="23"/>
      <c r="L18973" s="23"/>
    </row>
    <row r="18974">
      <c r="B18974" s="19"/>
      <c r="E18974" s="23"/>
      <c r="L18974" s="23"/>
    </row>
    <row r="18975">
      <c r="B18975" s="19"/>
      <c r="E18975" s="23"/>
      <c r="L18975" s="23"/>
    </row>
    <row r="18976">
      <c r="B18976" s="19"/>
      <c r="E18976" s="23"/>
      <c r="L18976" s="23"/>
    </row>
    <row r="18977">
      <c r="B18977" s="19"/>
      <c r="E18977" s="23"/>
      <c r="L18977" s="23"/>
    </row>
    <row r="18978">
      <c r="B18978" s="19"/>
      <c r="E18978" s="23"/>
      <c r="L18978" s="23"/>
    </row>
    <row r="18979">
      <c r="B18979" s="19"/>
      <c r="E18979" s="23"/>
      <c r="L18979" s="23"/>
    </row>
    <row r="18980">
      <c r="B18980" s="19"/>
      <c r="E18980" s="23"/>
      <c r="L18980" s="23"/>
    </row>
    <row r="18981">
      <c r="B18981" s="19"/>
      <c r="E18981" s="23"/>
      <c r="L18981" s="23"/>
    </row>
    <row r="18982">
      <c r="B18982" s="19"/>
      <c r="E18982" s="23"/>
      <c r="L18982" s="23"/>
    </row>
    <row r="18983">
      <c r="B18983" s="19"/>
      <c r="E18983" s="23"/>
      <c r="L18983" s="23"/>
    </row>
    <row r="18984">
      <c r="B18984" s="19"/>
      <c r="E18984" s="23"/>
      <c r="L18984" s="23"/>
    </row>
    <row r="18985">
      <c r="B18985" s="19"/>
      <c r="E18985" s="23"/>
      <c r="L18985" s="23"/>
    </row>
    <row r="18986">
      <c r="B18986" s="19"/>
      <c r="E18986" s="23"/>
      <c r="L18986" s="23"/>
    </row>
    <row r="18987">
      <c r="B18987" s="19"/>
      <c r="E18987" s="23"/>
      <c r="L18987" s="23"/>
    </row>
    <row r="18988">
      <c r="B18988" s="19"/>
      <c r="E18988" s="23"/>
      <c r="L18988" s="23"/>
    </row>
    <row r="18989">
      <c r="B18989" s="19"/>
      <c r="E18989" s="23"/>
      <c r="L18989" s="23"/>
    </row>
    <row r="18990">
      <c r="B18990" s="19"/>
      <c r="E18990" s="23"/>
      <c r="L18990" s="23"/>
    </row>
    <row r="18991">
      <c r="B18991" s="19"/>
      <c r="E18991" s="23"/>
      <c r="L18991" s="23"/>
    </row>
    <row r="18992">
      <c r="B18992" s="19"/>
      <c r="E18992" s="23"/>
      <c r="L18992" s="23"/>
    </row>
    <row r="18993">
      <c r="B18993" s="19"/>
      <c r="E18993" s="23"/>
      <c r="L18993" s="23"/>
    </row>
    <row r="18994">
      <c r="B18994" s="19"/>
      <c r="E18994" s="23"/>
      <c r="L18994" s="23"/>
    </row>
    <row r="18995">
      <c r="B18995" s="19"/>
      <c r="E18995" s="23"/>
      <c r="L18995" s="23"/>
    </row>
    <row r="18996">
      <c r="B18996" s="19"/>
      <c r="E18996" s="23"/>
      <c r="L18996" s="23"/>
    </row>
    <row r="18997">
      <c r="B18997" s="19"/>
      <c r="E18997" s="23"/>
      <c r="L18997" s="23"/>
    </row>
    <row r="18998">
      <c r="B18998" s="19"/>
      <c r="E18998" s="23"/>
      <c r="L18998" s="23"/>
    </row>
    <row r="18999">
      <c r="B18999" s="19"/>
      <c r="E18999" s="23"/>
      <c r="L18999" s="23"/>
    </row>
    <row r="19000">
      <c r="B19000" s="19"/>
      <c r="E19000" s="23"/>
      <c r="L19000" s="23"/>
    </row>
    <row r="19001">
      <c r="B19001" s="19"/>
      <c r="E19001" s="23"/>
      <c r="L19001" s="23"/>
    </row>
    <row r="19002">
      <c r="B19002" s="19"/>
      <c r="E19002" s="23"/>
      <c r="L19002" s="23"/>
    </row>
    <row r="19003">
      <c r="B19003" s="19"/>
      <c r="E19003" s="23"/>
      <c r="L19003" s="23"/>
    </row>
    <row r="19004">
      <c r="B19004" s="19"/>
      <c r="E19004" s="23"/>
      <c r="L19004" s="23"/>
    </row>
    <row r="19005">
      <c r="B19005" s="19"/>
      <c r="E19005" s="23"/>
      <c r="L19005" s="23"/>
    </row>
    <row r="19006">
      <c r="B19006" s="19"/>
      <c r="E19006" s="23"/>
      <c r="L19006" s="23"/>
    </row>
    <row r="19007">
      <c r="B19007" s="19"/>
      <c r="E19007" s="23"/>
      <c r="L19007" s="23"/>
    </row>
    <row r="19008">
      <c r="B19008" s="19"/>
      <c r="E19008" s="23"/>
      <c r="L19008" s="23"/>
    </row>
    <row r="19009">
      <c r="B19009" s="19"/>
      <c r="E19009" s="23"/>
      <c r="L19009" s="23"/>
    </row>
    <row r="19010">
      <c r="B19010" s="19"/>
      <c r="E19010" s="23"/>
      <c r="L19010" s="23"/>
    </row>
    <row r="19011">
      <c r="B19011" s="19"/>
      <c r="E19011" s="23"/>
      <c r="L19011" s="23"/>
    </row>
    <row r="19012">
      <c r="B19012" s="19"/>
      <c r="E19012" s="23"/>
      <c r="L19012" s="23"/>
    </row>
    <row r="19013">
      <c r="B19013" s="19"/>
      <c r="E19013" s="23"/>
      <c r="L19013" s="23"/>
    </row>
    <row r="19014">
      <c r="B19014" s="19"/>
      <c r="E19014" s="23"/>
      <c r="L19014" s="23"/>
    </row>
    <row r="19015">
      <c r="B19015" s="19"/>
      <c r="E19015" s="23"/>
      <c r="L19015" s="23"/>
    </row>
    <row r="19016">
      <c r="B19016" s="19"/>
      <c r="E19016" s="23"/>
      <c r="L19016" s="23"/>
    </row>
    <row r="19017">
      <c r="B19017" s="19"/>
      <c r="E19017" s="23"/>
      <c r="L19017" s="23"/>
    </row>
    <row r="19018">
      <c r="B19018" s="19"/>
      <c r="E19018" s="23"/>
      <c r="L19018" s="23"/>
    </row>
    <row r="19019">
      <c r="B19019" s="19"/>
      <c r="E19019" s="23"/>
      <c r="L19019" s="23"/>
    </row>
    <row r="19020">
      <c r="B19020" s="19"/>
      <c r="E19020" s="23"/>
      <c r="L19020" s="23"/>
    </row>
    <row r="19021">
      <c r="B19021" s="19"/>
      <c r="E19021" s="23"/>
      <c r="L19021" s="23"/>
    </row>
    <row r="19022">
      <c r="B19022" s="19"/>
      <c r="E19022" s="23"/>
      <c r="L19022" s="23"/>
    </row>
    <row r="19023">
      <c r="B19023" s="19"/>
      <c r="E19023" s="23"/>
      <c r="L19023" s="23"/>
    </row>
    <row r="19024">
      <c r="B19024" s="19"/>
      <c r="E19024" s="23"/>
      <c r="L19024" s="23"/>
    </row>
    <row r="19025">
      <c r="B19025" s="19"/>
      <c r="E19025" s="23"/>
      <c r="L19025" s="23"/>
    </row>
    <row r="19026">
      <c r="B19026" s="19"/>
      <c r="E19026" s="23"/>
      <c r="L19026" s="23"/>
    </row>
    <row r="19027">
      <c r="B19027" s="19"/>
      <c r="E19027" s="23"/>
      <c r="L19027" s="23"/>
    </row>
    <row r="19028">
      <c r="B19028" s="19"/>
      <c r="E19028" s="23"/>
      <c r="L19028" s="23"/>
    </row>
    <row r="19029">
      <c r="B19029" s="19"/>
      <c r="E19029" s="23"/>
      <c r="L19029" s="23"/>
    </row>
    <row r="19030">
      <c r="B19030" s="19"/>
      <c r="E19030" s="23"/>
      <c r="L19030" s="23"/>
    </row>
    <row r="19031">
      <c r="B19031" s="19"/>
      <c r="E19031" s="23"/>
      <c r="L19031" s="23"/>
    </row>
    <row r="19032">
      <c r="B19032" s="19"/>
      <c r="E19032" s="23"/>
      <c r="L19032" s="23"/>
    </row>
    <row r="19033">
      <c r="B19033" s="19"/>
      <c r="E19033" s="23"/>
      <c r="L19033" s="23"/>
    </row>
    <row r="19034">
      <c r="B19034" s="19"/>
      <c r="E19034" s="23"/>
      <c r="L19034" s="23"/>
    </row>
    <row r="19035">
      <c r="B19035" s="19"/>
      <c r="E19035" s="23"/>
      <c r="L19035" s="23"/>
    </row>
    <row r="19036">
      <c r="B19036" s="19"/>
      <c r="E19036" s="23"/>
      <c r="L19036" s="23"/>
    </row>
    <row r="19037">
      <c r="B19037" s="19"/>
      <c r="E19037" s="23"/>
      <c r="L19037" s="23"/>
    </row>
    <row r="19038">
      <c r="B19038" s="19"/>
      <c r="E19038" s="23"/>
      <c r="L19038" s="23"/>
    </row>
    <row r="19039">
      <c r="B19039" s="19"/>
      <c r="E19039" s="23"/>
      <c r="L19039" s="23"/>
    </row>
    <row r="19040">
      <c r="B19040" s="19"/>
      <c r="E19040" s="23"/>
      <c r="L19040" s="23"/>
    </row>
    <row r="19041">
      <c r="B19041" s="19"/>
      <c r="E19041" s="23"/>
      <c r="L19041" s="23"/>
    </row>
    <row r="19042">
      <c r="B19042" s="19"/>
      <c r="E19042" s="23"/>
      <c r="L19042" s="23"/>
    </row>
    <row r="19043">
      <c r="B19043" s="19"/>
      <c r="E19043" s="23"/>
      <c r="L19043" s="23"/>
    </row>
    <row r="19044">
      <c r="B19044" s="19"/>
      <c r="E19044" s="23"/>
      <c r="L19044" s="23"/>
    </row>
    <row r="19045">
      <c r="B19045" s="19"/>
      <c r="E19045" s="23"/>
      <c r="L19045" s="23"/>
    </row>
    <row r="19046">
      <c r="B19046" s="19"/>
      <c r="E19046" s="23"/>
      <c r="L19046" s="23"/>
    </row>
    <row r="19047">
      <c r="B19047" s="19"/>
      <c r="E19047" s="23"/>
      <c r="L19047" s="23"/>
    </row>
    <row r="19048">
      <c r="B19048" s="19"/>
      <c r="E19048" s="23"/>
      <c r="L19048" s="23"/>
    </row>
    <row r="19049">
      <c r="B19049" s="19"/>
      <c r="E19049" s="23"/>
      <c r="L19049" s="23"/>
    </row>
    <row r="19050">
      <c r="B19050" s="19"/>
      <c r="E19050" s="23"/>
      <c r="L19050" s="23"/>
    </row>
    <row r="19051">
      <c r="B19051" s="19"/>
      <c r="E19051" s="23"/>
      <c r="L19051" s="23"/>
    </row>
    <row r="19052">
      <c r="B19052" s="19"/>
      <c r="E19052" s="23"/>
      <c r="L19052" s="23"/>
    </row>
    <row r="19053">
      <c r="B19053" s="19"/>
      <c r="E19053" s="23"/>
      <c r="L19053" s="23"/>
    </row>
    <row r="19054">
      <c r="B19054" s="19"/>
      <c r="E19054" s="23"/>
      <c r="L19054" s="23"/>
    </row>
    <row r="19055">
      <c r="B19055" s="19"/>
      <c r="E19055" s="23"/>
      <c r="L19055" s="23"/>
    </row>
    <row r="19056">
      <c r="B19056" s="19"/>
      <c r="E19056" s="23"/>
      <c r="L19056" s="23"/>
    </row>
    <row r="19057">
      <c r="B19057" s="19"/>
      <c r="E19057" s="23"/>
      <c r="L19057" s="23"/>
    </row>
    <row r="19058">
      <c r="B19058" s="19"/>
      <c r="E19058" s="23"/>
      <c r="L19058" s="23"/>
    </row>
    <row r="19059">
      <c r="B19059" s="19"/>
      <c r="E19059" s="23"/>
      <c r="L19059" s="23"/>
    </row>
    <row r="19060">
      <c r="B19060" s="19"/>
      <c r="E19060" s="23"/>
      <c r="L19060" s="23"/>
    </row>
    <row r="19061">
      <c r="B19061" s="19"/>
      <c r="E19061" s="23"/>
      <c r="L19061" s="23"/>
    </row>
    <row r="19062">
      <c r="B19062" s="19"/>
      <c r="E19062" s="23"/>
      <c r="L19062" s="23"/>
    </row>
    <row r="19063">
      <c r="B19063" s="19"/>
      <c r="E19063" s="23"/>
      <c r="L19063" s="23"/>
    </row>
    <row r="19064">
      <c r="B19064" s="19"/>
      <c r="E19064" s="23"/>
      <c r="L19064" s="23"/>
    </row>
    <row r="19065">
      <c r="B19065" s="19"/>
      <c r="E19065" s="23"/>
      <c r="L19065" s="23"/>
    </row>
    <row r="19066">
      <c r="B19066" s="19"/>
      <c r="E19066" s="23"/>
      <c r="L19066" s="23"/>
    </row>
    <row r="19067">
      <c r="B19067" s="19"/>
      <c r="E19067" s="23"/>
      <c r="L19067" s="23"/>
    </row>
    <row r="19068">
      <c r="B19068" s="19"/>
      <c r="E19068" s="23"/>
      <c r="L19068" s="23"/>
    </row>
    <row r="19069">
      <c r="B19069" s="19"/>
      <c r="E19069" s="23"/>
      <c r="L19069" s="23"/>
    </row>
    <row r="19070">
      <c r="B19070" s="19"/>
      <c r="E19070" s="23"/>
      <c r="L19070" s="23"/>
    </row>
    <row r="19071">
      <c r="B19071" s="19"/>
      <c r="E19071" s="23"/>
      <c r="L19071" s="23"/>
    </row>
    <row r="19072">
      <c r="B19072" s="19"/>
      <c r="E19072" s="23"/>
      <c r="L19072" s="23"/>
    </row>
    <row r="19073">
      <c r="B19073" s="19"/>
      <c r="E19073" s="23"/>
      <c r="L19073" s="23"/>
    </row>
    <row r="19074">
      <c r="B19074" s="19"/>
      <c r="E19074" s="23"/>
      <c r="L19074" s="23"/>
    </row>
    <row r="19075">
      <c r="B19075" s="19"/>
      <c r="E19075" s="23"/>
      <c r="L19075" s="23"/>
    </row>
    <row r="19076">
      <c r="B19076" s="19"/>
      <c r="E19076" s="23"/>
      <c r="L19076" s="23"/>
    </row>
    <row r="19077">
      <c r="B19077" s="19"/>
      <c r="E19077" s="23"/>
      <c r="L19077" s="23"/>
    </row>
    <row r="19078">
      <c r="B19078" s="19"/>
      <c r="E19078" s="23"/>
      <c r="L19078" s="23"/>
    </row>
    <row r="19079">
      <c r="B19079" s="19"/>
      <c r="E19079" s="23"/>
      <c r="L19079" s="23"/>
    </row>
    <row r="19080">
      <c r="B19080" s="19"/>
      <c r="E19080" s="23"/>
      <c r="L19080" s="23"/>
    </row>
    <row r="19081">
      <c r="B19081" s="19"/>
      <c r="E19081" s="23"/>
      <c r="L19081" s="23"/>
    </row>
    <row r="19082">
      <c r="B19082" s="19"/>
      <c r="E19082" s="23"/>
      <c r="L19082" s="23"/>
    </row>
    <row r="19083">
      <c r="B19083" s="19"/>
      <c r="E19083" s="23"/>
      <c r="L19083" s="23"/>
    </row>
    <row r="19084">
      <c r="B19084" s="19"/>
      <c r="E19084" s="23"/>
      <c r="L19084" s="23"/>
    </row>
    <row r="19085">
      <c r="B19085" s="19"/>
      <c r="E19085" s="23"/>
      <c r="L19085" s="23"/>
    </row>
    <row r="19086">
      <c r="B19086" s="19"/>
      <c r="E19086" s="23"/>
      <c r="L19086" s="23"/>
    </row>
    <row r="19087">
      <c r="B19087" s="19"/>
      <c r="E19087" s="23"/>
      <c r="L19087" s="23"/>
    </row>
    <row r="19088">
      <c r="B19088" s="19"/>
      <c r="E19088" s="23"/>
      <c r="L19088" s="23"/>
    </row>
    <row r="19089">
      <c r="B19089" s="19"/>
      <c r="E19089" s="23"/>
      <c r="L19089" s="23"/>
    </row>
    <row r="19090">
      <c r="B19090" s="19"/>
      <c r="E19090" s="23"/>
      <c r="L19090" s="23"/>
    </row>
    <row r="19091">
      <c r="B19091" s="19"/>
      <c r="E19091" s="23"/>
      <c r="L19091" s="23"/>
    </row>
    <row r="19092">
      <c r="B19092" s="19"/>
      <c r="E19092" s="23"/>
      <c r="L19092" s="23"/>
    </row>
    <row r="19093">
      <c r="B19093" s="19"/>
      <c r="E19093" s="23"/>
      <c r="L19093" s="23"/>
    </row>
    <row r="19094">
      <c r="B19094" s="19"/>
      <c r="E19094" s="23"/>
      <c r="L19094" s="23"/>
    </row>
    <row r="19095">
      <c r="B19095" s="19"/>
      <c r="E19095" s="23"/>
      <c r="L19095" s="23"/>
    </row>
    <row r="19096">
      <c r="B19096" s="19"/>
      <c r="E19096" s="23"/>
      <c r="L19096" s="23"/>
    </row>
    <row r="19097">
      <c r="B19097" s="19"/>
      <c r="E19097" s="23"/>
      <c r="L19097" s="23"/>
    </row>
    <row r="19098">
      <c r="B19098" s="19"/>
      <c r="E19098" s="23"/>
      <c r="L19098" s="23"/>
    </row>
    <row r="19099">
      <c r="B19099" s="19"/>
      <c r="E19099" s="23"/>
      <c r="L19099" s="23"/>
    </row>
    <row r="19100">
      <c r="B19100" s="19"/>
      <c r="E19100" s="23"/>
      <c r="L19100" s="23"/>
    </row>
    <row r="19101">
      <c r="B19101" s="19"/>
      <c r="E19101" s="23"/>
      <c r="L19101" s="23"/>
    </row>
    <row r="19102">
      <c r="B19102" s="19"/>
      <c r="E19102" s="23"/>
      <c r="L19102" s="23"/>
    </row>
    <row r="19103">
      <c r="B19103" s="19"/>
      <c r="E19103" s="23"/>
      <c r="L19103" s="23"/>
    </row>
    <row r="19104">
      <c r="B19104" s="19"/>
      <c r="E19104" s="23"/>
      <c r="L19104" s="23"/>
    </row>
    <row r="19105">
      <c r="B19105" s="19"/>
      <c r="E19105" s="23"/>
      <c r="L19105" s="23"/>
    </row>
    <row r="19106">
      <c r="B19106" s="19"/>
      <c r="E19106" s="23"/>
      <c r="L19106" s="23"/>
    </row>
    <row r="19107">
      <c r="B19107" s="19"/>
      <c r="E19107" s="23"/>
      <c r="L19107" s="23"/>
    </row>
    <row r="19108">
      <c r="B19108" s="19"/>
      <c r="E19108" s="23"/>
      <c r="L19108" s="23"/>
    </row>
    <row r="19109">
      <c r="B19109" s="19"/>
      <c r="E19109" s="23"/>
      <c r="L19109" s="23"/>
    </row>
    <row r="19110">
      <c r="B19110" s="19"/>
      <c r="E19110" s="23"/>
      <c r="L19110" s="23"/>
    </row>
    <row r="19111">
      <c r="B19111" s="19"/>
      <c r="E19111" s="23"/>
      <c r="L19111" s="23"/>
    </row>
    <row r="19112">
      <c r="B19112" s="19"/>
      <c r="E19112" s="23"/>
      <c r="L19112" s="23"/>
    </row>
    <row r="19113">
      <c r="B19113" s="19"/>
      <c r="E19113" s="23"/>
      <c r="L19113" s="23"/>
    </row>
    <row r="19114">
      <c r="B19114" s="19"/>
      <c r="E19114" s="23"/>
      <c r="L19114" s="23"/>
    </row>
    <row r="19115">
      <c r="B19115" s="19"/>
      <c r="E19115" s="23"/>
      <c r="L19115" s="23"/>
    </row>
    <row r="19116">
      <c r="B19116" s="19"/>
      <c r="E19116" s="23"/>
      <c r="L19116" s="23"/>
    </row>
    <row r="19117">
      <c r="B19117" s="19"/>
      <c r="E19117" s="23"/>
      <c r="L19117" s="23"/>
    </row>
    <row r="19118">
      <c r="B19118" s="19"/>
      <c r="E19118" s="23"/>
      <c r="L19118" s="23"/>
    </row>
    <row r="19119">
      <c r="B19119" s="19"/>
      <c r="E19119" s="23"/>
      <c r="L19119" s="23"/>
    </row>
    <row r="19120">
      <c r="B19120" s="19"/>
      <c r="E19120" s="23"/>
      <c r="L19120" s="23"/>
    </row>
    <row r="19121">
      <c r="B19121" s="19"/>
      <c r="E19121" s="23"/>
      <c r="L19121" s="23"/>
    </row>
    <row r="19122">
      <c r="B19122" s="19"/>
      <c r="E19122" s="23"/>
      <c r="L19122" s="23"/>
    </row>
    <row r="19123">
      <c r="B19123" s="19"/>
      <c r="E19123" s="23"/>
      <c r="L19123" s="23"/>
    </row>
    <row r="19124">
      <c r="B19124" s="19"/>
      <c r="E19124" s="23"/>
      <c r="L19124" s="23"/>
    </row>
    <row r="19125">
      <c r="B19125" s="19"/>
      <c r="E19125" s="23"/>
      <c r="L19125" s="23"/>
    </row>
    <row r="19126">
      <c r="B19126" s="19"/>
      <c r="E19126" s="23"/>
      <c r="L19126" s="23"/>
    </row>
    <row r="19127">
      <c r="B19127" s="19"/>
      <c r="E19127" s="23"/>
      <c r="L19127" s="23"/>
    </row>
    <row r="19128">
      <c r="B19128" s="19"/>
      <c r="E19128" s="23"/>
      <c r="L19128" s="23"/>
    </row>
    <row r="19129">
      <c r="B19129" s="19"/>
      <c r="E19129" s="23"/>
      <c r="L19129" s="23"/>
    </row>
    <row r="19130">
      <c r="B19130" s="19"/>
      <c r="E19130" s="23"/>
      <c r="L19130" s="23"/>
    </row>
    <row r="19131">
      <c r="B19131" s="19"/>
      <c r="E19131" s="23"/>
      <c r="L19131" s="23"/>
    </row>
    <row r="19132">
      <c r="B19132" s="19"/>
      <c r="E19132" s="23"/>
      <c r="L19132" s="23"/>
    </row>
    <row r="19133">
      <c r="B19133" s="19"/>
      <c r="E19133" s="23"/>
      <c r="L19133" s="23"/>
    </row>
    <row r="19134">
      <c r="B19134" s="19"/>
      <c r="E19134" s="23"/>
      <c r="L19134" s="23"/>
    </row>
    <row r="19135">
      <c r="B19135" s="19"/>
      <c r="E19135" s="23"/>
      <c r="L19135" s="23"/>
    </row>
    <row r="19136">
      <c r="B19136" s="19"/>
      <c r="E19136" s="23"/>
      <c r="L19136" s="23"/>
    </row>
    <row r="19137">
      <c r="B19137" s="19"/>
      <c r="E19137" s="23"/>
      <c r="L19137" s="23"/>
    </row>
    <row r="19138">
      <c r="B19138" s="19"/>
      <c r="E19138" s="23"/>
      <c r="L19138" s="23"/>
    </row>
    <row r="19139">
      <c r="B19139" s="19"/>
      <c r="E19139" s="23"/>
      <c r="L19139" s="23"/>
    </row>
    <row r="19140">
      <c r="B19140" s="19"/>
      <c r="E19140" s="23"/>
      <c r="L19140" s="23"/>
    </row>
    <row r="19141">
      <c r="B19141" s="19"/>
      <c r="E19141" s="23"/>
      <c r="L19141" s="23"/>
    </row>
    <row r="19142">
      <c r="B19142" s="19"/>
      <c r="E19142" s="23"/>
      <c r="L19142" s="23"/>
    </row>
    <row r="19143">
      <c r="B19143" s="19"/>
      <c r="E19143" s="23"/>
      <c r="L19143" s="23"/>
    </row>
    <row r="19144">
      <c r="B19144" s="19"/>
      <c r="E19144" s="23"/>
      <c r="L19144" s="23"/>
    </row>
    <row r="19145">
      <c r="B19145" s="19"/>
      <c r="E19145" s="23"/>
      <c r="L19145" s="23"/>
    </row>
    <row r="19146">
      <c r="B19146" s="19"/>
      <c r="E19146" s="23"/>
      <c r="L19146" s="23"/>
    </row>
    <row r="19147">
      <c r="B19147" s="19"/>
      <c r="E19147" s="23"/>
      <c r="L19147" s="23"/>
    </row>
    <row r="19148">
      <c r="B19148" s="19"/>
      <c r="E19148" s="23"/>
      <c r="L19148" s="23"/>
    </row>
    <row r="19149">
      <c r="B19149" s="19"/>
      <c r="E19149" s="23"/>
      <c r="L19149" s="23"/>
    </row>
    <row r="19150">
      <c r="B19150" s="19"/>
      <c r="E19150" s="23"/>
      <c r="L19150" s="23"/>
    </row>
    <row r="19151">
      <c r="B19151" s="19"/>
      <c r="E19151" s="23"/>
      <c r="L19151" s="23"/>
    </row>
    <row r="19152">
      <c r="B19152" s="19"/>
      <c r="E19152" s="23"/>
      <c r="L19152" s="23"/>
    </row>
    <row r="19153">
      <c r="B19153" s="19"/>
      <c r="E19153" s="23"/>
      <c r="L19153" s="23"/>
    </row>
    <row r="19154">
      <c r="B19154" s="19"/>
      <c r="E19154" s="23"/>
      <c r="L19154" s="23"/>
    </row>
    <row r="19155">
      <c r="B19155" s="19"/>
      <c r="E19155" s="23"/>
      <c r="L19155" s="23"/>
    </row>
    <row r="19156">
      <c r="B19156" s="19"/>
      <c r="E19156" s="23"/>
      <c r="L19156" s="23"/>
    </row>
    <row r="19157">
      <c r="B19157" s="19"/>
      <c r="E19157" s="23"/>
      <c r="L19157" s="23"/>
    </row>
    <row r="19158">
      <c r="B19158" s="19"/>
      <c r="E19158" s="23"/>
      <c r="L19158" s="23"/>
    </row>
    <row r="19159">
      <c r="B19159" s="19"/>
      <c r="E19159" s="23"/>
      <c r="L19159" s="23"/>
    </row>
    <row r="19160">
      <c r="B19160" s="19"/>
      <c r="E19160" s="23"/>
      <c r="L19160" s="23"/>
    </row>
    <row r="19161">
      <c r="B19161" s="19"/>
      <c r="E19161" s="23"/>
      <c r="L19161" s="23"/>
    </row>
    <row r="19162">
      <c r="B19162" s="19"/>
      <c r="E19162" s="23"/>
      <c r="L19162" s="23"/>
    </row>
    <row r="19163">
      <c r="B19163" s="19"/>
      <c r="E19163" s="23"/>
      <c r="L19163" s="23"/>
    </row>
    <row r="19164">
      <c r="B19164" s="19"/>
      <c r="E19164" s="23"/>
      <c r="L19164" s="23"/>
    </row>
    <row r="19165">
      <c r="B19165" s="19"/>
      <c r="E19165" s="23"/>
      <c r="L19165" s="23"/>
    </row>
    <row r="19166">
      <c r="B19166" s="19"/>
      <c r="E19166" s="23"/>
      <c r="L19166" s="23"/>
    </row>
    <row r="19167">
      <c r="B19167" s="19"/>
      <c r="E19167" s="23"/>
      <c r="L19167" s="23"/>
    </row>
    <row r="19168">
      <c r="B19168" s="19"/>
      <c r="E19168" s="23"/>
      <c r="L19168" s="23"/>
    </row>
    <row r="19169">
      <c r="B19169" s="19"/>
      <c r="E19169" s="23"/>
      <c r="L19169" s="23"/>
    </row>
    <row r="19170">
      <c r="B19170" s="19"/>
      <c r="E19170" s="23"/>
      <c r="L19170" s="23"/>
    </row>
    <row r="19171">
      <c r="B19171" s="19"/>
      <c r="E19171" s="23"/>
      <c r="L19171" s="23"/>
    </row>
    <row r="19172">
      <c r="B19172" s="19"/>
      <c r="E19172" s="23"/>
      <c r="L19172" s="23"/>
    </row>
    <row r="19173">
      <c r="B19173" s="19"/>
      <c r="E19173" s="23"/>
      <c r="L19173" s="23"/>
    </row>
    <row r="19174">
      <c r="B19174" s="19"/>
      <c r="E19174" s="23"/>
      <c r="L19174" s="23"/>
    </row>
    <row r="19175">
      <c r="B19175" s="19"/>
      <c r="E19175" s="23"/>
      <c r="L19175" s="23"/>
    </row>
    <row r="19176">
      <c r="B19176" s="19"/>
      <c r="E19176" s="23"/>
      <c r="L19176" s="23"/>
    </row>
    <row r="19177">
      <c r="B19177" s="19"/>
      <c r="E19177" s="23"/>
      <c r="L19177" s="23"/>
    </row>
    <row r="19178">
      <c r="B19178" s="19"/>
      <c r="E19178" s="23"/>
      <c r="L19178" s="23"/>
    </row>
    <row r="19179">
      <c r="B19179" s="19"/>
      <c r="E19179" s="23"/>
      <c r="L19179" s="23"/>
    </row>
    <row r="19180">
      <c r="B19180" s="19"/>
      <c r="E19180" s="23"/>
      <c r="L19180" s="23"/>
    </row>
    <row r="19181">
      <c r="B19181" s="19"/>
      <c r="E19181" s="23"/>
      <c r="L19181" s="23"/>
    </row>
    <row r="19182">
      <c r="B19182" s="19"/>
      <c r="E19182" s="23"/>
      <c r="L19182" s="23"/>
    </row>
    <row r="19183">
      <c r="B19183" s="19"/>
      <c r="E19183" s="23"/>
      <c r="L19183" s="23"/>
    </row>
    <row r="19184">
      <c r="B19184" s="19"/>
      <c r="E19184" s="23"/>
      <c r="L19184" s="23"/>
    </row>
    <row r="19185">
      <c r="B19185" s="19"/>
      <c r="E19185" s="23"/>
      <c r="L19185" s="23"/>
    </row>
    <row r="19186">
      <c r="B19186" s="19"/>
      <c r="E19186" s="23"/>
      <c r="L19186" s="23"/>
    </row>
    <row r="19187">
      <c r="B19187" s="19"/>
      <c r="E19187" s="23"/>
      <c r="L19187" s="23"/>
    </row>
    <row r="19188">
      <c r="B19188" s="19"/>
      <c r="E19188" s="23"/>
      <c r="L19188" s="23"/>
    </row>
    <row r="19189">
      <c r="B19189" s="19"/>
      <c r="E19189" s="23"/>
      <c r="L19189" s="23"/>
    </row>
    <row r="19190">
      <c r="B19190" s="19"/>
      <c r="E19190" s="23"/>
      <c r="L19190" s="23"/>
    </row>
    <row r="19191">
      <c r="B19191" s="19"/>
      <c r="E19191" s="23"/>
      <c r="L19191" s="23"/>
    </row>
    <row r="19192">
      <c r="B19192" s="19"/>
      <c r="E19192" s="23"/>
      <c r="L19192" s="23"/>
    </row>
    <row r="19193">
      <c r="B19193" s="19"/>
      <c r="E19193" s="23"/>
      <c r="L19193" s="23"/>
    </row>
    <row r="19194">
      <c r="B19194" s="19"/>
      <c r="E19194" s="23"/>
      <c r="L19194" s="23"/>
    </row>
    <row r="19195">
      <c r="B19195" s="19"/>
      <c r="E19195" s="23"/>
      <c r="L19195" s="23"/>
    </row>
    <row r="19196">
      <c r="B19196" s="19"/>
      <c r="E19196" s="23"/>
      <c r="L19196" s="23"/>
    </row>
    <row r="19197">
      <c r="B19197" s="19"/>
      <c r="E19197" s="23"/>
      <c r="L19197" s="23"/>
    </row>
    <row r="19198">
      <c r="B19198" s="19"/>
      <c r="E19198" s="23"/>
      <c r="L19198" s="23"/>
    </row>
    <row r="19199">
      <c r="B19199" s="19"/>
      <c r="E19199" s="23"/>
      <c r="L19199" s="23"/>
    </row>
    <row r="19200">
      <c r="B19200" s="19"/>
      <c r="E19200" s="23"/>
      <c r="L19200" s="23"/>
    </row>
    <row r="19201">
      <c r="B19201" s="19"/>
      <c r="E19201" s="23"/>
      <c r="L19201" s="23"/>
    </row>
    <row r="19202">
      <c r="B19202" s="19"/>
      <c r="E19202" s="23"/>
      <c r="L19202" s="23"/>
    </row>
    <row r="19203">
      <c r="B19203" s="19"/>
      <c r="E19203" s="23"/>
      <c r="L19203" s="23"/>
    </row>
    <row r="19204">
      <c r="B19204" s="19"/>
      <c r="E19204" s="23"/>
      <c r="L19204" s="23"/>
    </row>
    <row r="19205">
      <c r="B19205" s="19"/>
      <c r="E19205" s="23"/>
      <c r="L19205" s="23"/>
    </row>
    <row r="19206">
      <c r="B19206" s="19"/>
      <c r="E19206" s="23"/>
      <c r="L19206" s="23"/>
    </row>
    <row r="19207">
      <c r="B19207" s="19"/>
      <c r="E19207" s="23"/>
      <c r="L19207" s="23"/>
    </row>
    <row r="19208">
      <c r="B19208" s="19"/>
      <c r="E19208" s="23"/>
      <c r="L19208" s="23"/>
    </row>
    <row r="19209">
      <c r="B19209" s="19"/>
      <c r="E19209" s="23"/>
      <c r="L19209" s="23"/>
    </row>
    <row r="19210">
      <c r="B19210" s="19"/>
      <c r="E19210" s="23"/>
      <c r="L19210" s="23"/>
    </row>
    <row r="19211">
      <c r="B19211" s="19"/>
      <c r="E19211" s="23"/>
      <c r="L19211" s="23"/>
    </row>
    <row r="19212">
      <c r="B19212" s="19"/>
      <c r="E19212" s="23"/>
      <c r="L19212" s="23"/>
    </row>
    <row r="19213">
      <c r="B19213" s="19"/>
      <c r="E19213" s="23"/>
      <c r="L19213" s="23"/>
    </row>
    <row r="19214">
      <c r="B19214" s="19"/>
      <c r="E19214" s="23"/>
      <c r="L19214" s="23"/>
    </row>
    <row r="19215">
      <c r="B19215" s="19"/>
      <c r="E19215" s="23"/>
      <c r="L19215" s="23"/>
    </row>
    <row r="19216">
      <c r="B19216" s="19"/>
      <c r="E19216" s="23"/>
      <c r="L19216" s="23"/>
    </row>
    <row r="19217">
      <c r="B19217" s="19"/>
      <c r="E19217" s="23"/>
      <c r="L19217" s="23"/>
    </row>
    <row r="19218">
      <c r="B19218" s="19"/>
      <c r="E19218" s="23"/>
      <c r="L19218" s="23"/>
    </row>
    <row r="19219">
      <c r="B19219" s="19"/>
      <c r="E19219" s="23"/>
      <c r="L19219" s="23"/>
    </row>
    <row r="19220">
      <c r="B19220" s="19"/>
      <c r="E19220" s="23"/>
      <c r="L19220" s="23"/>
    </row>
    <row r="19221">
      <c r="B19221" s="19"/>
      <c r="E19221" s="23"/>
      <c r="L19221" s="23"/>
    </row>
    <row r="19222">
      <c r="B19222" s="19"/>
      <c r="E19222" s="23"/>
      <c r="L19222" s="23"/>
    </row>
    <row r="19223">
      <c r="B19223" s="19"/>
      <c r="E19223" s="23"/>
      <c r="L19223" s="23"/>
    </row>
    <row r="19224">
      <c r="B19224" s="19"/>
      <c r="E19224" s="23"/>
      <c r="L19224" s="23"/>
    </row>
    <row r="19225">
      <c r="B19225" s="19"/>
      <c r="E19225" s="23"/>
      <c r="L19225" s="23"/>
    </row>
    <row r="19226">
      <c r="B19226" s="19"/>
      <c r="E19226" s="23"/>
      <c r="L19226" s="23"/>
    </row>
    <row r="19227">
      <c r="B19227" s="19"/>
      <c r="E19227" s="23"/>
      <c r="L19227" s="23"/>
    </row>
    <row r="19228">
      <c r="B19228" s="19"/>
      <c r="E19228" s="23"/>
      <c r="L19228" s="23"/>
    </row>
    <row r="19229">
      <c r="B19229" s="19"/>
      <c r="E19229" s="23"/>
      <c r="L19229" s="23"/>
    </row>
    <row r="19230">
      <c r="B19230" s="19"/>
      <c r="E19230" s="23"/>
      <c r="L19230" s="23"/>
    </row>
    <row r="19231">
      <c r="B19231" s="19"/>
      <c r="E19231" s="23"/>
      <c r="L19231" s="23"/>
    </row>
    <row r="19232">
      <c r="B19232" s="19"/>
      <c r="E19232" s="23"/>
      <c r="L19232" s="23"/>
    </row>
    <row r="19233">
      <c r="B19233" s="19"/>
      <c r="E19233" s="23"/>
      <c r="L19233" s="23"/>
    </row>
    <row r="19234">
      <c r="B19234" s="19"/>
      <c r="E19234" s="23"/>
      <c r="L19234" s="23"/>
    </row>
    <row r="19235">
      <c r="B19235" s="19"/>
      <c r="E19235" s="23"/>
      <c r="L19235" s="23"/>
    </row>
    <row r="19236">
      <c r="B19236" s="19"/>
      <c r="E19236" s="23"/>
      <c r="L19236" s="23"/>
    </row>
    <row r="19237">
      <c r="B19237" s="19"/>
      <c r="E19237" s="23"/>
      <c r="L19237" s="23"/>
    </row>
    <row r="19238">
      <c r="B19238" s="19"/>
      <c r="E19238" s="23"/>
      <c r="L19238" s="23"/>
    </row>
    <row r="19239">
      <c r="B19239" s="19"/>
      <c r="E19239" s="23"/>
      <c r="L19239" s="23"/>
    </row>
    <row r="19240">
      <c r="B19240" s="19"/>
      <c r="E19240" s="23"/>
      <c r="L19240" s="23"/>
    </row>
    <row r="19241">
      <c r="B19241" s="19"/>
      <c r="E19241" s="23"/>
      <c r="L19241" s="23"/>
    </row>
    <row r="19242">
      <c r="B19242" s="19"/>
      <c r="E19242" s="23"/>
      <c r="L19242" s="23"/>
    </row>
    <row r="19243">
      <c r="B19243" s="19"/>
      <c r="E19243" s="23"/>
      <c r="L19243" s="23"/>
    </row>
    <row r="19244">
      <c r="B19244" s="19"/>
      <c r="E19244" s="23"/>
      <c r="L19244" s="23"/>
    </row>
    <row r="19245">
      <c r="B19245" s="19"/>
      <c r="E19245" s="23"/>
      <c r="L19245" s="23"/>
    </row>
    <row r="19246">
      <c r="B19246" s="19"/>
      <c r="E19246" s="23"/>
      <c r="L19246" s="23"/>
    </row>
    <row r="19247">
      <c r="B19247" s="19"/>
      <c r="E19247" s="23"/>
      <c r="L19247" s="23"/>
    </row>
    <row r="19248">
      <c r="B19248" s="19"/>
      <c r="E19248" s="23"/>
      <c r="L19248" s="23"/>
    </row>
    <row r="19249">
      <c r="B19249" s="19"/>
      <c r="E19249" s="23"/>
      <c r="L19249" s="23"/>
    </row>
    <row r="19250">
      <c r="B19250" s="19"/>
      <c r="E19250" s="23"/>
      <c r="L19250" s="23"/>
    </row>
    <row r="19251">
      <c r="B19251" s="19"/>
      <c r="E19251" s="23"/>
      <c r="L19251" s="23"/>
    </row>
    <row r="19252">
      <c r="B19252" s="19"/>
      <c r="E19252" s="23"/>
      <c r="L19252" s="23"/>
    </row>
    <row r="19253">
      <c r="B19253" s="19"/>
      <c r="E19253" s="23"/>
      <c r="L19253" s="23"/>
    </row>
    <row r="19254">
      <c r="B19254" s="19"/>
      <c r="E19254" s="23"/>
      <c r="L19254" s="23"/>
    </row>
    <row r="19255">
      <c r="B19255" s="19"/>
      <c r="E19255" s="23"/>
      <c r="L19255" s="23"/>
    </row>
    <row r="19256">
      <c r="B19256" s="19"/>
      <c r="E19256" s="23"/>
      <c r="L19256" s="23"/>
    </row>
    <row r="19257">
      <c r="B19257" s="19"/>
      <c r="E19257" s="23"/>
      <c r="L19257" s="23"/>
    </row>
    <row r="19258">
      <c r="B19258" s="19"/>
      <c r="E19258" s="23"/>
      <c r="L19258" s="23"/>
    </row>
    <row r="19259">
      <c r="B19259" s="19"/>
      <c r="E19259" s="23"/>
      <c r="L19259" s="23"/>
    </row>
    <row r="19260">
      <c r="B19260" s="19"/>
      <c r="E19260" s="23"/>
      <c r="L19260" s="23"/>
    </row>
    <row r="19261">
      <c r="B19261" s="19"/>
      <c r="E19261" s="23"/>
      <c r="L19261" s="23"/>
    </row>
    <row r="19262">
      <c r="B19262" s="19"/>
      <c r="E19262" s="23"/>
      <c r="L19262" s="23"/>
    </row>
    <row r="19263">
      <c r="B19263" s="19"/>
      <c r="E19263" s="23"/>
      <c r="L19263" s="23"/>
    </row>
    <row r="19264">
      <c r="B19264" s="19"/>
      <c r="E19264" s="23"/>
      <c r="L19264" s="23"/>
    </row>
    <row r="19265">
      <c r="B19265" s="19"/>
      <c r="E19265" s="23"/>
      <c r="L19265" s="23"/>
    </row>
    <row r="19266">
      <c r="B19266" s="19"/>
      <c r="E19266" s="23"/>
      <c r="L19266" s="23"/>
    </row>
    <row r="19267">
      <c r="B19267" s="19"/>
      <c r="E19267" s="23"/>
      <c r="L19267" s="23"/>
    </row>
    <row r="19268">
      <c r="B19268" s="19"/>
      <c r="E19268" s="23"/>
      <c r="L19268" s="23"/>
    </row>
    <row r="19269">
      <c r="B19269" s="19"/>
      <c r="E19269" s="23"/>
      <c r="L19269" s="23"/>
    </row>
    <row r="19270">
      <c r="B19270" s="19"/>
      <c r="E19270" s="23"/>
      <c r="L19270" s="23"/>
    </row>
    <row r="19271">
      <c r="B19271" s="19"/>
      <c r="E19271" s="23"/>
      <c r="L19271" s="23"/>
    </row>
    <row r="19272">
      <c r="B19272" s="19"/>
      <c r="E19272" s="23"/>
      <c r="L19272" s="23"/>
    </row>
    <row r="19273">
      <c r="B19273" s="19"/>
      <c r="E19273" s="23"/>
      <c r="L19273" s="23"/>
    </row>
    <row r="19274">
      <c r="B19274" s="19"/>
      <c r="E19274" s="23"/>
      <c r="L19274" s="23"/>
    </row>
    <row r="19275">
      <c r="B19275" s="19"/>
      <c r="E19275" s="23"/>
      <c r="L19275" s="23"/>
    </row>
    <row r="19276">
      <c r="B19276" s="19"/>
      <c r="E19276" s="23"/>
      <c r="L19276" s="23"/>
    </row>
    <row r="19277">
      <c r="B19277" s="19"/>
      <c r="E19277" s="23"/>
      <c r="L19277" s="23"/>
    </row>
    <row r="19278">
      <c r="B19278" s="19"/>
      <c r="E19278" s="23"/>
      <c r="L19278" s="23"/>
    </row>
    <row r="19279">
      <c r="B19279" s="19"/>
      <c r="E19279" s="23"/>
      <c r="L19279" s="23"/>
    </row>
    <row r="19280">
      <c r="B19280" s="19"/>
      <c r="E19280" s="23"/>
      <c r="L19280" s="23"/>
    </row>
    <row r="19281">
      <c r="B19281" s="19"/>
      <c r="E19281" s="23"/>
      <c r="L19281" s="23"/>
    </row>
    <row r="19282">
      <c r="B19282" s="19"/>
      <c r="E19282" s="23"/>
      <c r="L19282" s="23"/>
    </row>
    <row r="19283">
      <c r="B19283" s="19"/>
      <c r="E19283" s="23"/>
      <c r="L19283" s="23"/>
    </row>
    <row r="19284">
      <c r="B19284" s="19"/>
      <c r="E19284" s="23"/>
      <c r="L19284" s="23"/>
    </row>
    <row r="19285">
      <c r="B19285" s="19"/>
      <c r="E19285" s="23"/>
      <c r="L19285" s="23"/>
    </row>
    <row r="19286">
      <c r="B19286" s="19"/>
      <c r="E19286" s="23"/>
      <c r="L19286" s="23"/>
    </row>
    <row r="19287">
      <c r="B19287" s="19"/>
      <c r="E19287" s="23"/>
      <c r="L19287" s="23"/>
    </row>
    <row r="19288">
      <c r="B19288" s="19"/>
      <c r="E19288" s="23"/>
      <c r="L19288" s="23"/>
    </row>
    <row r="19289">
      <c r="B19289" s="19"/>
      <c r="E19289" s="23"/>
      <c r="L19289" s="23"/>
    </row>
    <row r="19290">
      <c r="B19290" s="19"/>
      <c r="E19290" s="23"/>
      <c r="L19290" s="23"/>
    </row>
    <row r="19291">
      <c r="B19291" s="19"/>
      <c r="E19291" s="23"/>
      <c r="L19291" s="23"/>
    </row>
    <row r="19292">
      <c r="B19292" s="19"/>
      <c r="E19292" s="23"/>
      <c r="L19292" s="23"/>
    </row>
    <row r="19293">
      <c r="B19293" s="19"/>
      <c r="E19293" s="23"/>
      <c r="L19293" s="23"/>
    </row>
    <row r="19294">
      <c r="B19294" s="19"/>
      <c r="E19294" s="23"/>
      <c r="L19294" s="23"/>
    </row>
    <row r="19295">
      <c r="B19295" s="19"/>
      <c r="E19295" s="23"/>
      <c r="L19295" s="23"/>
    </row>
    <row r="19296">
      <c r="B19296" s="19"/>
      <c r="E19296" s="23"/>
      <c r="L19296" s="23"/>
    </row>
    <row r="19297">
      <c r="B19297" s="19"/>
      <c r="E19297" s="23"/>
      <c r="L19297" s="23"/>
    </row>
    <row r="19298">
      <c r="B19298" s="19"/>
      <c r="E19298" s="23"/>
      <c r="L19298" s="23"/>
    </row>
    <row r="19299">
      <c r="B19299" s="19"/>
      <c r="E19299" s="23"/>
      <c r="L19299" s="23"/>
    </row>
    <row r="19300">
      <c r="B19300" s="19"/>
      <c r="E19300" s="23"/>
      <c r="L19300" s="23"/>
    </row>
    <row r="19301">
      <c r="B19301" s="19"/>
      <c r="E19301" s="23"/>
      <c r="L19301" s="23"/>
    </row>
    <row r="19302">
      <c r="B19302" s="19"/>
      <c r="E19302" s="23"/>
      <c r="L19302" s="23"/>
    </row>
    <row r="19303">
      <c r="B19303" s="19"/>
      <c r="E19303" s="23"/>
      <c r="L19303" s="23"/>
    </row>
    <row r="19304">
      <c r="B19304" s="19"/>
      <c r="E19304" s="23"/>
      <c r="L19304" s="23"/>
    </row>
    <row r="19305">
      <c r="B19305" s="19"/>
      <c r="E19305" s="23"/>
      <c r="L19305" s="23"/>
    </row>
    <row r="19306">
      <c r="B19306" s="19"/>
      <c r="E19306" s="23"/>
      <c r="L19306" s="23"/>
    </row>
    <row r="19307">
      <c r="B19307" s="19"/>
      <c r="E19307" s="23"/>
      <c r="L19307" s="23"/>
    </row>
    <row r="19308">
      <c r="B19308" s="19"/>
      <c r="E19308" s="23"/>
      <c r="L19308" s="23"/>
    </row>
    <row r="19309">
      <c r="B19309" s="19"/>
      <c r="E19309" s="23"/>
      <c r="L19309" s="23"/>
    </row>
    <row r="19310">
      <c r="B19310" s="19"/>
      <c r="E19310" s="23"/>
      <c r="L19310" s="23"/>
    </row>
    <row r="19311">
      <c r="B19311" s="19"/>
      <c r="E19311" s="23"/>
      <c r="L19311" s="23"/>
    </row>
    <row r="19312">
      <c r="B19312" s="19"/>
      <c r="E19312" s="23"/>
      <c r="L19312" s="23"/>
    </row>
    <row r="19313">
      <c r="B19313" s="19"/>
      <c r="E19313" s="23"/>
      <c r="L19313" s="23"/>
    </row>
    <row r="19314">
      <c r="B19314" s="19"/>
      <c r="E19314" s="23"/>
      <c r="L19314" s="23"/>
    </row>
    <row r="19315">
      <c r="B19315" s="19"/>
      <c r="E19315" s="23"/>
      <c r="L19315" s="23"/>
    </row>
    <row r="19316">
      <c r="B19316" s="19"/>
      <c r="E19316" s="23"/>
      <c r="L19316" s="23"/>
    </row>
    <row r="19317">
      <c r="B19317" s="19"/>
      <c r="E19317" s="23"/>
      <c r="L19317" s="23"/>
    </row>
    <row r="19318">
      <c r="B19318" s="19"/>
      <c r="E19318" s="23"/>
      <c r="L19318" s="23"/>
    </row>
    <row r="19319">
      <c r="B19319" s="19"/>
      <c r="E19319" s="23"/>
      <c r="L19319" s="23"/>
    </row>
    <row r="19320">
      <c r="B19320" s="19"/>
      <c r="E19320" s="23"/>
      <c r="L19320" s="23"/>
    </row>
    <row r="19321">
      <c r="B19321" s="19"/>
      <c r="E19321" s="23"/>
      <c r="L19321" s="23"/>
    </row>
    <row r="19322">
      <c r="B19322" s="19"/>
      <c r="E19322" s="23"/>
      <c r="L19322" s="23"/>
    </row>
    <row r="19323">
      <c r="B19323" s="19"/>
      <c r="E19323" s="23"/>
      <c r="L19323" s="23"/>
    </row>
    <row r="19324">
      <c r="B19324" s="19"/>
      <c r="E19324" s="23"/>
      <c r="L19324" s="23"/>
    </row>
    <row r="19325">
      <c r="B19325" s="19"/>
      <c r="E19325" s="23"/>
      <c r="L19325" s="23"/>
    </row>
    <row r="19326">
      <c r="B19326" s="19"/>
      <c r="E19326" s="23"/>
      <c r="L19326" s="23"/>
    </row>
    <row r="19327">
      <c r="B19327" s="19"/>
      <c r="E19327" s="23"/>
      <c r="L19327" s="23"/>
    </row>
    <row r="19328">
      <c r="B19328" s="19"/>
      <c r="E19328" s="23"/>
      <c r="L19328" s="23"/>
    </row>
    <row r="19329">
      <c r="B19329" s="19"/>
      <c r="E19329" s="23"/>
      <c r="L19329" s="23"/>
    </row>
    <row r="19330">
      <c r="B19330" s="19"/>
      <c r="E19330" s="23"/>
      <c r="L19330" s="23"/>
    </row>
    <row r="19331">
      <c r="B19331" s="19"/>
      <c r="E19331" s="23"/>
      <c r="L19331" s="23"/>
    </row>
    <row r="19332">
      <c r="B19332" s="19"/>
      <c r="E19332" s="23"/>
      <c r="L19332" s="23"/>
    </row>
    <row r="19333">
      <c r="B19333" s="19"/>
      <c r="E19333" s="23"/>
      <c r="L19333" s="23"/>
    </row>
    <row r="19334">
      <c r="B19334" s="19"/>
      <c r="E19334" s="23"/>
      <c r="L19334" s="23"/>
    </row>
    <row r="19335">
      <c r="B19335" s="19"/>
      <c r="E19335" s="23"/>
      <c r="L19335" s="23"/>
    </row>
    <row r="19336">
      <c r="B19336" s="19"/>
      <c r="E19336" s="23"/>
      <c r="L19336" s="23"/>
    </row>
    <row r="19337">
      <c r="B19337" s="19"/>
      <c r="E19337" s="23"/>
      <c r="L19337" s="23"/>
    </row>
    <row r="19338">
      <c r="B19338" s="19"/>
      <c r="E19338" s="23"/>
      <c r="L19338" s="23"/>
    </row>
    <row r="19339">
      <c r="B19339" s="19"/>
      <c r="E19339" s="23"/>
      <c r="L19339" s="23"/>
    </row>
    <row r="19340">
      <c r="B19340" s="19"/>
      <c r="E19340" s="23"/>
      <c r="L19340" s="23"/>
    </row>
    <row r="19341">
      <c r="B19341" s="19"/>
      <c r="E19341" s="23"/>
      <c r="L19341" s="23"/>
    </row>
    <row r="19342">
      <c r="B19342" s="19"/>
      <c r="E19342" s="23"/>
      <c r="L19342" s="23"/>
    </row>
    <row r="19343">
      <c r="B19343" s="19"/>
      <c r="E19343" s="23"/>
      <c r="L19343" s="23"/>
    </row>
    <row r="19344">
      <c r="B19344" s="19"/>
      <c r="E19344" s="23"/>
      <c r="L19344" s="23"/>
    </row>
    <row r="19345">
      <c r="B19345" s="19"/>
      <c r="E19345" s="23"/>
      <c r="L19345" s="23"/>
    </row>
    <row r="19346">
      <c r="B19346" s="19"/>
      <c r="E19346" s="23"/>
      <c r="L19346" s="23"/>
    </row>
    <row r="19347">
      <c r="B19347" s="19"/>
      <c r="E19347" s="23"/>
      <c r="L19347" s="23"/>
    </row>
    <row r="19348">
      <c r="B19348" s="19"/>
      <c r="E19348" s="23"/>
      <c r="L19348" s="23"/>
    </row>
    <row r="19349">
      <c r="B19349" s="19"/>
      <c r="E19349" s="23"/>
      <c r="L19349" s="23"/>
    </row>
    <row r="19350">
      <c r="B19350" s="19"/>
      <c r="E19350" s="23"/>
      <c r="L19350" s="23"/>
    </row>
    <row r="19351">
      <c r="B19351" s="19"/>
      <c r="E19351" s="23"/>
      <c r="L19351" s="23"/>
    </row>
    <row r="19352">
      <c r="B19352" s="19"/>
      <c r="E19352" s="23"/>
      <c r="L19352" s="23"/>
    </row>
    <row r="19353">
      <c r="B19353" s="19"/>
      <c r="E19353" s="23"/>
      <c r="L19353" s="23"/>
    </row>
    <row r="19354">
      <c r="B19354" s="19"/>
      <c r="E19354" s="23"/>
      <c r="L19354" s="23"/>
    </row>
    <row r="19355">
      <c r="B19355" s="19"/>
      <c r="E19355" s="23"/>
      <c r="L19355" s="23"/>
    </row>
    <row r="19356">
      <c r="B19356" s="19"/>
      <c r="E19356" s="23"/>
      <c r="L19356" s="23"/>
    </row>
    <row r="19357">
      <c r="B19357" s="19"/>
      <c r="E19357" s="23"/>
      <c r="L19357" s="23"/>
    </row>
    <row r="19358">
      <c r="B19358" s="19"/>
      <c r="E19358" s="23"/>
      <c r="L19358" s="23"/>
    </row>
    <row r="19359">
      <c r="B19359" s="19"/>
      <c r="E19359" s="23"/>
      <c r="L19359" s="23"/>
    </row>
    <row r="19360">
      <c r="B19360" s="19"/>
      <c r="E19360" s="23"/>
      <c r="L19360" s="23"/>
    </row>
    <row r="19361">
      <c r="B19361" s="19"/>
      <c r="E19361" s="23"/>
      <c r="L19361" s="23"/>
    </row>
    <row r="19362">
      <c r="B19362" s="19"/>
      <c r="E19362" s="23"/>
      <c r="L19362" s="23"/>
    </row>
    <row r="19363">
      <c r="B19363" s="19"/>
      <c r="E19363" s="23"/>
      <c r="L19363" s="23"/>
    </row>
    <row r="19364">
      <c r="B19364" s="19"/>
      <c r="E19364" s="23"/>
      <c r="L19364" s="23"/>
    </row>
    <row r="19365">
      <c r="B19365" s="19"/>
      <c r="E19365" s="23"/>
      <c r="L19365" s="23"/>
    </row>
    <row r="19366">
      <c r="B19366" s="19"/>
      <c r="E19366" s="23"/>
      <c r="L19366" s="23"/>
    </row>
    <row r="19367">
      <c r="B19367" s="19"/>
      <c r="E19367" s="23"/>
      <c r="L19367" s="23"/>
    </row>
    <row r="19368">
      <c r="B19368" s="19"/>
      <c r="E19368" s="23"/>
      <c r="L19368" s="23"/>
    </row>
    <row r="19369">
      <c r="B19369" s="19"/>
      <c r="E19369" s="23"/>
      <c r="L19369" s="23"/>
    </row>
    <row r="19370">
      <c r="B19370" s="19"/>
      <c r="E19370" s="23"/>
      <c r="L19370" s="23"/>
    </row>
    <row r="19371">
      <c r="B19371" s="19"/>
      <c r="E19371" s="23"/>
      <c r="L19371" s="23"/>
    </row>
    <row r="19372">
      <c r="B19372" s="19"/>
      <c r="E19372" s="23"/>
      <c r="L19372" s="23"/>
    </row>
    <row r="19373">
      <c r="B19373" s="19"/>
      <c r="E19373" s="23"/>
      <c r="L19373" s="23"/>
    </row>
    <row r="19374">
      <c r="B19374" s="19"/>
      <c r="E19374" s="23"/>
      <c r="L19374" s="23"/>
    </row>
    <row r="19375">
      <c r="B19375" s="19"/>
      <c r="E19375" s="23"/>
      <c r="L19375" s="23"/>
    </row>
    <row r="19376">
      <c r="B19376" s="19"/>
      <c r="E19376" s="23"/>
      <c r="L19376" s="23"/>
    </row>
    <row r="19377">
      <c r="B19377" s="19"/>
      <c r="E19377" s="23"/>
      <c r="L19377" s="23"/>
    </row>
    <row r="19378">
      <c r="B19378" s="19"/>
      <c r="E19378" s="23"/>
      <c r="L19378" s="23"/>
    </row>
    <row r="19379">
      <c r="B19379" s="19"/>
      <c r="E19379" s="23"/>
      <c r="L19379" s="23"/>
    </row>
    <row r="19380">
      <c r="B19380" s="19"/>
      <c r="E19380" s="23"/>
      <c r="L19380" s="23"/>
    </row>
    <row r="19381">
      <c r="B19381" s="19"/>
      <c r="E19381" s="23"/>
      <c r="L19381" s="23"/>
    </row>
    <row r="19382">
      <c r="B19382" s="19"/>
      <c r="E19382" s="23"/>
      <c r="L19382" s="23"/>
    </row>
    <row r="19383">
      <c r="B19383" s="19"/>
      <c r="E19383" s="23"/>
      <c r="L19383" s="23"/>
    </row>
    <row r="19384">
      <c r="B19384" s="19"/>
      <c r="E19384" s="23"/>
      <c r="L19384" s="23"/>
    </row>
    <row r="19385">
      <c r="B19385" s="19"/>
      <c r="E19385" s="23"/>
      <c r="L19385" s="23"/>
    </row>
    <row r="19386">
      <c r="B19386" s="19"/>
      <c r="E19386" s="23"/>
      <c r="L19386" s="23"/>
    </row>
    <row r="19387">
      <c r="B19387" s="19"/>
      <c r="E19387" s="23"/>
      <c r="L19387" s="23"/>
    </row>
    <row r="19388">
      <c r="B19388" s="19"/>
      <c r="E19388" s="23"/>
      <c r="L19388" s="23"/>
    </row>
    <row r="19389">
      <c r="B19389" s="19"/>
      <c r="E19389" s="23"/>
      <c r="L19389" s="23"/>
    </row>
    <row r="19390">
      <c r="B19390" s="19"/>
      <c r="E19390" s="23"/>
      <c r="L19390" s="23"/>
    </row>
    <row r="19391">
      <c r="B19391" s="19"/>
      <c r="E19391" s="23"/>
      <c r="L19391" s="23"/>
    </row>
    <row r="19392">
      <c r="B19392" s="19"/>
      <c r="E19392" s="23"/>
      <c r="L19392" s="23"/>
    </row>
    <row r="19393">
      <c r="B19393" s="19"/>
      <c r="E19393" s="23"/>
      <c r="L19393" s="23"/>
    </row>
    <row r="19394">
      <c r="B19394" s="19"/>
      <c r="E19394" s="23"/>
      <c r="L19394" s="23"/>
    </row>
    <row r="19395">
      <c r="B19395" s="19"/>
      <c r="E19395" s="23"/>
      <c r="L19395" s="23"/>
    </row>
    <row r="19396">
      <c r="B19396" s="19"/>
      <c r="E19396" s="23"/>
      <c r="L19396" s="23"/>
    </row>
    <row r="19397">
      <c r="B19397" s="19"/>
      <c r="E19397" s="23"/>
      <c r="L19397" s="23"/>
    </row>
    <row r="19398">
      <c r="B19398" s="19"/>
      <c r="E19398" s="23"/>
      <c r="L19398" s="23"/>
    </row>
    <row r="19399">
      <c r="B19399" s="19"/>
      <c r="E19399" s="23"/>
      <c r="L19399" s="23"/>
    </row>
    <row r="19400">
      <c r="B19400" s="19"/>
      <c r="E19400" s="23"/>
      <c r="L19400" s="23"/>
    </row>
    <row r="19401">
      <c r="B19401" s="19"/>
      <c r="E19401" s="23"/>
      <c r="L19401" s="23"/>
    </row>
    <row r="19402">
      <c r="B19402" s="19"/>
      <c r="E19402" s="23"/>
      <c r="L19402" s="23"/>
    </row>
    <row r="19403">
      <c r="B19403" s="19"/>
      <c r="E19403" s="23"/>
      <c r="L19403" s="23"/>
    </row>
    <row r="19404">
      <c r="B19404" s="19"/>
      <c r="E19404" s="23"/>
      <c r="L19404" s="23"/>
    </row>
    <row r="19405">
      <c r="B19405" s="19"/>
      <c r="E19405" s="23"/>
      <c r="L19405" s="23"/>
    </row>
    <row r="19406">
      <c r="B19406" s="19"/>
      <c r="E19406" s="23"/>
      <c r="L19406" s="23"/>
    </row>
    <row r="19407">
      <c r="B19407" s="19"/>
      <c r="E19407" s="23"/>
      <c r="L19407" s="23"/>
    </row>
    <row r="19408">
      <c r="B19408" s="19"/>
      <c r="E19408" s="23"/>
      <c r="L19408" s="23"/>
    </row>
    <row r="19409">
      <c r="B19409" s="19"/>
      <c r="E19409" s="23"/>
      <c r="L19409" s="23"/>
    </row>
    <row r="19410">
      <c r="B19410" s="19"/>
      <c r="E19410" s="23"/>
      <c r="L19410" s="23"/>
    </row>
    <row r="19411">
      <c r="B19411" s="19"/>
      <c r="E19411" s="23"/>
      <c r="L19411" s="23"/>
    </row>
    <row r="19412">
      <c r="B19412" s="19"/>
      <c r="E19412" s="23"/>
      <c r="L19412" s="23"/>
    </row>
    <row r="19413">
      <c r="B19413" s="19"/>
      <c r="E19413" s="23"/>
      <c r="L19413" s="23"/>
    </row>
    <row r="19414">
      <c r="B19414" s="19"/>
      <c r="E19414" s="23"/>
      <c r="L19414" s="23"/>
    </row>
    <row r="19415">
      <c r="B19415" s="19"/>
      <c r="E19415" s="23"/>
      <c r="L19415" s="23"/>
    </row>
    <row r="19416">
      <c r="B19416" s="19"/>
      <c r="E19416" s="23"/>
      <c r="L19416" s="23"/>
    </row>
    <row r="19417">
      <c r="B19417" s="19"/>
      <c r="E19417" s="23"/>
      <c r="L19417" s="23"/>
    </row>
    <row r="19418">
      <c r="B19418" s="19"/>
      <c r="E19418" s="23"/>
      <c r="L19418" s="23"/>
    </row>
    <row r="19419">
      <c r="B19419" s="19"/>
      <c r="E19419" s="23"/>
      <c r="L19419" s="23"/>
    </row>
    <row r="19420">
      <c r="B19420" s="19"/>
      <c r="E19420" s="23"/>
      <c r="L19420" s="23"/>
    </row>
    <row r="19421">
      <c r="B19421" s="19"/>
      <c r="E19421" s="23"/>
      <c r="L19421" s="23"/>
    </row>
    <row r="19422">
      <c r="B19422" s="19"/>
      <c r="E19422" s="23"/>
      <c r="L19422" s="23"/>
    </row>
    <row r="19423">
      <c r="B19423" s="19"/>
      <c r="E19423" s="23"/>
      <c r="L19423" s="23"/>
    </row>
    <row r="19424">
      <c r="B19424" s="19"/>
      <c r="E19424" s="23"/>
      <c r="L19424" s="23"/>
    </row>
    <row r="19425">
      <c r="B19425" s="19"/>
      <c r="E19425" s="23"/>
      <c r="L19425" s="23"/>
    </row>
    <row r="19426">
      <c r="B19426" s="19"/>
      <c r="E19426" s="23"/>
      <c r="L19426" s="23"/>
    </row>
    <row r="19427">
      <c r="B19427" s="19"/>
      <c r="E19427" s="23"/>
      <c r="L19427" s="23"/>
    </row>
    <row r="19428">
      <c r="B19428" s="19"/>
      <c r="E19428" s="23"/>
      <c r="L19428" s="23"/>
    </row>
    <row r="19429">
      <c r="B19429" s="19"/>
      <c r="E19429" s="23"/>
      <c r="L19429" s="23"/>
    </row>
    <row r="19430">
      <c r="B19430" s="19"/>
      <c r="E19430" s="23"/>
      <c r="L19430" s="23"/>
    </row>
    <row r="19431">
      <c r="B19431" s="19"/>
      <c r="E19431" s="23"/>
      <c r="L19431" s="23"/>
    </row>
    <row r="19432">
      <c r="B19432" s="19"/>
      <c r="E19432" s="23"/>
      <c r="L19432" s="23"/>
    </row>
    <row r="19433">
      <c r="B19433" s="19"/>
      <c r="E19433" s="23"/>
      <c r="L19433" s="23"/>
    </row>
    <row r="19434">
      <c r="B19434" s="19"/>
      <c r="E19434" s="23"/>
      <c r="L19434" s="23"/>
    </row>
    <row r="19435">
      <c r="B19435" s="19"/>
      <c r="E19435" s="23"/>
      <c r="L19435" s="23"/>
    </row>
    <row r="19436">
      <c r="B19436" s="19"/>
      <c r="E19436" s="23"/>
      <c r="L19436" s="23"/>
    </row>
    <row r="19437">
      <c r="B19437" s="19"/>
      <c r="E19437" s="23"/>
      <c r="L19437" s="23"/>
    </row>
    <row r="19438">
      <c r="B19438" s="19"/>
      <c r="E19438" s="23"/>
      <c r="L19438" s="23"/>
    </row>
    <row r="19439">
      <c r="B19439" s="19"/>
      <c r="E19439" s="23"/>
      <c r="L19439" s="23"/>
    </row>
    <row r="19440">
      <c r="B19440" s="19"/>
      <c r="E19440" s="23"/>
      <c r="L19440" s="23"/>
    </row>
    <row r="19441">
      <c r="B19441" s="19"/>
      <c r="E19441" s="23"/>
      <c r="L19441" s="23"/>
    </row>
    <row r="19442">
      <c r="B19442" s="19"/>
      <c r="E19442" s="23"/>
      <c r="L19442" s="23"/>
    </row>
    <row r="19443">
      <c r="B19443" s="19"/>
      <c r="E19443" s="23"/>
      <c r="L19443" s="23"/>
    </row>
    <row r="19444">
      <c r="B19444" s="19"/>
      <c r="E19444" s="23"/>
      <c r="L19444" s="23"/>
    </row>
    <row r="19445">
      <c r="B19445" s="19"/>
      <c r="E19445" s="23"/>
      <c r="L19445" s="23"/>
    </row>
    <row r="19446">
      <c r="B19446" s="19"/>
      <c r="E19446" s="23"/>
      <c r="L19446" s="23"/>
    </row>
    <row r="19447">
      <c r="B19447" s="19"/>
      <c r="E19447" s="23"/>
      <c r="L19447" s="23"/>
    </row>
    <row r="19448">
      <c r="B19448" s="19"/>
      <c r="E19448" s="23"/>
      <c r="L19448" s="23"/>
    </row>
    <row r="19449">
      <c r="B19449" s="19"/>
      <c r="E19449" s="23"/>
      <c r="L19449" s="23"/>
    </row>
    <row r="19450">
      <c r="B19450" s="19"/>
      <c r="E19450" s="23"/>
      <c r="L19450" s="23"/>
    </row>
    <row r="19451">
      <c r="B19451" s="19"/>
      <c r="E19451" s="23"/>
      <c r="L19451" s="23"/>
    </row>
    <row r="19452">
      <c r="B19452" s="19"/>
      <c r="E19452" s="23"/>
      <c r="L19452" s="23"/>
    </row>
    <row r="19453">
      <c r="B19453" s="19"/>
      <c r="E19453" s="23"/>
      <c r="L19453" s="23"/>
    </row>
    <row r="19454">
      <c r="B19454" s="19"/>
      <c r="E19454" s="23"/>
      <c r="L19454" s="23"/>
    </row>
    <row r="19455">
      <c r="B19455" s="19"/>
      <c r="E19455" s="23"/>
      <c r="L19455" s="23"/>
    </row>
    <row r="19456">
      <c r="B19456" s="19"/>
      <c r="E19456" s="23"/>
      <c r="L19456" s="23"/>
    </row>
    <row r="19457">
      <c r="B19457" s="19"/>
      <c r="E19457" s="23"/>
      <c r="L19457" s="23"/>
    </row>
    <row r="19458">
      <c r="B19458" s="19"/>
      <c r="E19458" s="23"/>
      <c r="L19458" s="23"/>
    </row>
    <row r="19459">
      <c r="B19459" s="19"/>
      <c r="E19459" s="23"/>
      <c r="L19459" s="23"/>
    </row>
    <row r="19460">
      <c r="B19460" s="19"/>
      <c r="E19460" s="23"/>
      <c r="L19460" s="23"/>
    </row>
    <row r="19461">
      <c r="B19461" s="19"/>
      <c r="E19461" s="23"/>
      <c r="L19461" s="23"/>
    </row>
    <row r="19462">
      <c r="B19462" s="19"/>
      <c r="E19462" s="23"/>
      <c r="L19462" s="23"/>
    </row>
    <row r="19463">
      <c r="B19463" s="19"/>
      <c r="E19463" s="23"/>
      <c r="L19463" s="23"/>
    </row>
    <row r="19464">
      <c r="B19464" s="19"/>
      <c r="E19464" s="23"/>
      <c r="L19464" s="23"/>
    </row>
    <row r="19465">
      <c r="B19465" s="19"/>
      <c r="E19465" s="23"/>
      <c r="L19465" s="23"/>
    </row>
    <row r="19466">
      <c r="B19466" s="19"/>
      <c r="E19466" s="23"/>
      <c r="L19466" s="23"/>
    </row>
    <row r="19467">
      <c r="B19467" s="19"/>
      <c r="E19467" s="23"/>
      <c r="L19467" s="23"/>
    </row>
    <row r="19468">
      <c r="B19468" s="19"/>
      <c r="E19468" s="23"/>
      <c r="L19468" s="23"/>
    </row>
    <row r="19469">
      <c r="B19469" s="19"/>
      <c r="E19469" s="23"/>
      <c r="L19469" s="23"/>
    </row>
    <row r="19470">
      <c r="B19470" s="19"/>
      <c r="E19470" s="23"/>
      <c r="L19470" s="23"/>
    </row>
    <row r="19471">
      <c r="B19471" s="19"/>
      <c r="E19471" s="23"/>
      <c r="L19471" s="23"/>
    </row>
    <row r="19472">
      <c r="B19472" s="19"/>
      <c r="E19472" s="23"/>
      <c r="L19472" s="23"/>
    </row>
    <row r="19473">
      <c r="B19473" s="19"/>
      <c r="E19473" s="23"/>
      <c r="L19473" s="23"/>
    </row>
    <row r="19474">
      <c r="B19474" s="19"/>
      <c r="E19474" s="23"/>
      <c r="L19474" s="23"/>
    </row>
    <row r="19475">
      <c r="B19475" s="19"/>
      <c r="E19475" s="23"/>
      <c r="L19475" s="23"/>
    </row>
    <row r="19476">
      <c r="B19476" s="19"/>
      <c r="E19476" s="23"/>
      <c r="L19476" s="23"/>
    </row>
    <row r="19477">
      <c r="B19477" s="19"/>
      <c r="E19477" s="23"/>
      <c r="L19477" s="23"/>
    </row>
    <row r="19478">
      <c r="B19478" s="19"/>
      <c r="E19478" s="23"/>
      <c r="L19478" s="23"/>
    </row>
    <row r="19479">
      <c r="B19479" s="19"/>
      <c r="E19479" s="23"/>
      <c r="L19479" s="23"/>
    </row>
    <row r="19480">
      <c r="B19480" s="19"/>
      <c r="E19480" s="23"/>
      <c r="L19480" s="23"/>
    </row>
    <row r="19481">
      <c r="B19481" s="19"/>
      <c r="E19481" s="23"/>
      <c r="L19481" s="23"/>
    </row>
    <row r="19482">
      <c r="B19482" s="19"/>
      <c r="E19482" s="23"/>
      <c r="L19482" s="23"/>
    </row>
    <row r="19483">
      <c r="B19483" s="19"/>
      <c r="E19483" s="23"/>
      <c r="L19483" s="23"/>
    </row>
    <row r="19484">
      <c r="B19484" s="19"/>
      <c r="E19484" s="23"/>
      <c r="L19484" s="23"/>
    </row>
    <row r="19485">
      <c r="B19485" s="19"/>
      <c r="E19485" s="23"/>
      <c r="L19485" s="23"/>
    </row>
    <row r="19486">
      <c r="B19486" s="19"/>
      <c r="E19486" s="23"/>
      <c r="L19486" s="23"/>
    </row>
    <row r="19487">
      <c r="B19487" s="19"/>
      <c r="E19487" s="23"/>
      <c r="L19487" s="23"/>
    </row>
    <row r="19488">
      <c r="B19488" s="19"/>
      <c r="E19488" s="23"/>
      <c r="L19488" s="23"/>
    </row>
    <row r="19489">
      <c r="B19489" s="19"/>
      <c r="E19489" s="23"/>
      <c r="L19489" s="23"/>
    </row>
    <row r="19490">
      <c r="B19490" s="19"/>
      <c r="E19490" s="23"/>
      <c r="L19490" s="23"/>
    </row>
    <row r="19491">
      <c r="B19491" s="19"/>
      <c r="E19491" s="23"/>
      <c r="L19491" s="23"/>
    </row>
    <row r="19492">
      <c r="B19492" s="19"/>
      <c r="E19492" s="23"/>
      <c r="L19492" s="23"/>
    </row>
    <row r="19493">
      <c r="B19493" s="19"/>
      <c r="E19493" s="23"/>
      <c r="L19493" s="23"/>
    </row>
    <row r="19494">
      <c r="B19494" s="19"/>
      <c r="E19494" s="23"/>
      <c r="L19494" s="23"/>
    </row>
    <row r="19495">
      <c r="B19495" s="19"/>
      <c r="E19495" s="23"/>
      <c r="L19495" s="23"/>
    </row>
    <row r="19496">
      <c r="B19496" s="19"/>
      <c r="E19496" s="23"/>
      <c r="L19496" s="23"/>
    </row>
    <row r="19497">
      <c r="B19497" s="19"/>
      <c r="E19497" s="23"/>
      <c r="L19497" s="23"/>
    </row>
    <row r="19498">
      <c r="B19498" s="19"/>
      <c r="E19498" s="23"/>
      <c r="L19498" s="23"/>
    </row>
    <row r="19499">
      <c r="B19499" s="19"/>
      <c r="E19499" s="23"/>
      <c r="L19499" s="23"/>
    </row>
    <row r="19500">
      <c r="B19500" s="19"/>
      <c r="E19500" s="23"/>
      <c r="L19500" s="23"/>
    </row>
    <row r="19501">
      <c r="B19501" s="19"/>
      <c r="E19501" s="23"/>
      <c r="L19501" s="23"/>
    </row>
    <row r="19502">
      <c r="B19502" s="19"/>
      <c r="E19502" s="23"/>
      <c r="L19502" s="23"/>
    </row>
    <row r="19503">
      <c r="B19503" s="19"/>
      <c r="E19503" s="23"/>
      <c r="L19503" s="23"/>
    </row>
    <row r="19504">
      <c r="B19504" s="19"/>
      <c r="E19504" s="23"/>
      <c r="L19504" s="23"/>
    </row>
    <row r="19505">
      <c r="B19505" s="19"/>
      <c r="E19505" s="23"/>
      <c r="L19505" s="23"/>
    </row>
    <row r="19506">
      <c r="B19506" s="19"/>
      <c r="E19506" s="23"/>
      <c r="L19506" s="23"/>
    </row>
    <row r="19507">
      <c r="B19507" s="19"/>
      <c r="E19507" s="23"/>
      <c r="L19507" s="23"/>
    </row>
    <row r="19508">
      <c r="B19508" s="19"/>
      <c r="E19508" s="23"/>
      <c r="L19508" s="23"/>
    </row>
    <row r="19509">
      <c r="B19509" s="19"/>
      <c r="E19509" s="23"/>
      <c r="L19509" s="23"/>
    </row>
    <row r="19510">
      <c r="B19510" s="19"/>
      <c r="E19510" s="23"/>
      <c r="L19510" s="23"/>
    </row>
    <row r="19511">
      <c r="B19511" s="19"/>
      <c r="E19511" s="23"/>
      <c r="L19511" s="23"/>
    </row>
    <row r="19512">
      <c r="B19512" s="19"/>
      <c r="E19512" s="23"/>
      <c r="L19512" s="23"/>
    </row>
    <row r="19513">
      <c r="B19513" s="19"/>
      <c r="E19513" s="23"/>
      <c r="L19513" s="23"/>
    </row>
    <row r="19514">
      <c r="B19514" s="19"/>
      <c r="E19514" s="23"/>
      <c r="L19514" s="23"/>
    </row>
    <row r="19515">
      <c r="B19515" s="19"/>
      <c r="E19515" s="23"/>
      <c r="L19515" s="23"/>
    </row>
    <row r="19516">
      <c r="B19516" s="19"/>
      <c r="E19516" s="23"/>
      <c r="L19516" s="23"/>
    </row>
    <row r="19517">
      <c r="B19517" s="19"/>
      <c r="E19517" s="23"/>
      <c r="L19517" s="23"/>
    </row>
    <row r="19518">
      <c r="B19518" s="19"/>
      <c r="E19518" s="23"/>
      <c r="L19518" s="23"/>
    </row>
    <row r="19519">
      <c r="B19519" s="19"/>
      <c r="E19519" s="23"/>
      <c r="L19519" s="23"/>
    </row>
    <row r="19520">
      <c r="B19520" s="19"/>
      <c r="E19520" s="23"/>
      <c r="L19520" s="23"/>
    </row>
    <row r="19521">
      <c r="B19521" s="19"/>
      <c r="E19521" s="23"/>
      <c r="L19521" s="23"/>
    </row>
    <row r="19522">
      <c r="B19522" s="19"/>
      <c r="E19522" s="23"/>
      <c r="L19522" s="23"/>
    </row>
    <row r="19523">
      <c r="B19523" s="19"/>
      <c r="E19523" s="23"/>
      <c r="L19523" s="23"/>
    </row>
    <row r="19524">
      <c r="B19524" s="19"/>
      <c r="E19524" s="23"/>
      <c r="L19524" s="23"/>
    </row>
    <row r="19525">
      <c r="B19525" s="19"/>
      <c r="E19525" s="23"/>
      <c r="L19525" s="23"/>
    </row>
    <row r="19526">
      <c r="B19526" s="19"/>
      <c r="E19526" s="23"/>
      <c r="L19526" s="23"/>
    </row>
    <row r="19527">
      <c r="B19527" s="19"/>
      <c r="E19527" s="23"/>
      <c r="L19527" s="23"/>
    </row>
    <row r="19528">
      <c r="B19528" s="19"/>
      <c r="E19528" s="23"/>
      <c r="L19528" s="23"/>
    </row>
    <row r="19529">
      <c r="B19529" s="19"/>
      <c r="E19529" s="23"/>
      <c r="L19529" s="23"/>
    </row>
    <row r="19530">
      <c r="B19530" s="19"/>
      <c r="E19530" s="23"/>
      <c r="L19530" s="23"/>
    </row>
    <row r="19531">
      <c r="B19531" s="19"/>
      <c r="E19531" s="23"/>
      <c r="L19531" s="23"/>
    </row>
    <row r="19532">
      <c r="B19532" s="19"/>
      <c r="E19532" s="23"/>
      <c r="L19532" s="23"/>
    </row>
    <row r="19533">
      <c r="B19533" s="19"/>
      <c r="E19533" s="23"/>
      <c r="L19533" s="23"/>
    </row>
    <row r="19534">
      <c r="B19534" s="19"/>
      <c r="E19534" s="23"/>
      <c r="L19534" s="23"/>
    </row>
    <row r="19535">
      <c r="B19535" s="19"/>
      <c r="E19535" s="23"/>
      <c r="L19535" s="23"/>
    </row>
    <row r="19536">
      <c r="B19536" s="19"/>
      <c r="E19536" s="23"/>
      <c r="L19536" s="23"/>
    </row>
    <row r="19537">
      <c r="B19537" s="19"/>
      <c r="E19537" s="23"/>
      <c r="L19537" s="23"/>
    </row>
    <row r="19538">
      <c r="B19538" s="19"/>
      <c r="E19538" s="23"/>
      <c r="L19538" s="23"/>
    </row>
    <row r="19539">
      <c r="B19539" s="19"/>
      <c r="E19539" s="23"/>
      <c r="L19539" s="23"/>
    </row>
    <row r="19540">
      <c r="B19540" s="19"/>
      <c r="E19540" s="23"/>
      <c r="L19540" s="23"/>
    </row>
    <row r="19541">
      <c r="B19541" s="19"/>
      <c r="E19541" s="23"/>
      <c r="L19541" s="23"/>
    </row>
    <row r="19542">
      <c r="B19542" s="19"/>
      <c r="E19542" s="23"/>
      <c r="L19542" s="23"/>
    </row>
    <row r="19543">
      <c r="B19543" s="19"/>
      <c r="E19543" s="23"/>
      <c r="L19543" s="23"/>
    </row>
    <row r="19544">
      <c r="B19544" s="19"/>
      <c r="E19544" s="23"/>
      <c r="L19544" s="23"/>
    </row>
    <row r="19545">
      <c r="B19545" s="19"/>
      <c r="E19545" s="23"/>
      <c r="L19545" s="23"/>
    </row>
    <row r="19546">
      <c r="B19546" s="19"/>
      <c r="E19546" s="23"/>
      <c r="L19546" s="23"/>
    </row>
    <row r="19547">
      <c r="B19547" s="19"/>
      <c r="E19547" s="23"/>
      <c r="L19547" s="23"/>
    </row>
    <row r="19548">
      <c r="B19548" s="19"/>
      <c r="E19548" s="23"/>
      <c r="L19548" s="23"/>
    </row>
    <row r="19549">
      <c r="B19549" s="19"/>
      <c r="E19549" s="23"/>
      <c r="L19549" s="23"/>
    </row>
    <row r="19550">
      <c r="B19550" s="19"/>
      <c r="E19550" s="23"/>
      <c r="L19550" s="23"/>
    </row>
    <row r="19551">
      <c r="B19551" s="19"/>
      <c r="E19551" s="23"/>
      <c r="L19551" s="23"/>
    </row>
    <row r="19552">
      <c r="B19552" s="19"/>
      <c r="E19552" s="23"/>
      <c r="L19552" s="23"/>
    </row>
    <row r="19553">
      <c r="B19553" s="19"/>
      <c r="E19553" s="23"/>
      <c r="L19553" s="23"/>
    </row>
    <row r="19554">
      <c r="B19554" s="19"/>
      <c r="E19554" s="23"/>
      <c r="L19554" s="23"/>
    </row>
    <row r="19555">
      <c r="B19555" s="19"/>
      <c r="E19555" s="23"/>
      <c r="L19555" s="23"/>
    </row>
    <row r="19556">
      <c r="B19556" s="19"/>
      <c r="E19556" s="23"/>
      <c r="L19556" s="23"/>
    </row>
    <row r="19557">
      <c r="B19557" s="19"/>
      <c r="E19557" s="23"/>
      <c r="L19557" s="23"/>
    </row>
    <row r="19558">
      <c r="B19558" s="19"/>
      <c r="E19558" s="23"/>
      <c r="L19558" s="23"/>
    </row>
    <row r="19559">
      <c r="B19559" s="19"/>
      <c r="E19559" s="23"/>
      <c r="L19559" s="23"/>
    </row>
    <row r="19560">
      <c r="B19560" s="19"/>
      <c r="E19560" s="23"/>
      <c r="L19560" s="23"/>
    </row>
    <row r="19561">
      <c r="B19561" s="19"/>
      <c r="E19561" s="23"/>
      <c r="L19561" s="23"/>
    </row>
    <row r="19562">
      <c r="B19562" s="19"/>
      <c r="E19562" s="23"/>
      <c r="L19562" s="23"/>
    </row>
    <row r="19563">
      <c r="B19563" s="19"/>
      <c r="E19563" s="23"/>
      <c r="L19563" s="23"/>
    </row>
    <row r="19564">
      <c r="B19564" s="19"/>
      <c r="E19564" s="23"/>
      <c r="L19564" s="23"/>
    </row>
    <row r="19565">
      <c r="B19565" s="19"/>
      <c r="E19565" s="23"/>
      <c r="L19565" s="23"/>
    </row>
    <row r="19566">
      <c r="B19566" s="19"/>
      <c r="E19566" s="23"/>
      <c r="L19566" s="23"/>
    </row>
    <row r="19567">
      <c r="B19567" s="19"/>
      <c r="E19567" s="23"/>
      <c r="L19567" s="23"/>
    </row>
    <row r="19568">
      <c r="B19568" s="19"/>
      <c r="E19568" s="23"/>
      <c r="L19568" s="23"/>
    </row>
    <row r="19569">
      <c r="B19569" s="19"/>
      <c r="E19569" s="23"/>
      <c r="L19569" s="23"/>
    </row>
    <row r="19570">
      <c r="B19570" s="19"/>
      <c r="E19570" s="23"/>
      <c r="L19570" s="23"/>
    </row>
    <row r="19571">
      <c r="B19571" s="19"/>
      <c r="E19571" s="23"/>
      <c r="L19571" s="23"/>
    </row>
    <row r="19572">
      <c r="B19572" s="19"/>
      <c r="E19572" s="23"/>
      <c r="L19572" s="23"/>
    </row>
    <row r="19573">
      <c r="B19573" s="19"/>
      <c r="E19573" s="23"/>
      <c r="L19573" s="23"/>
    </row>
    <row r="19574">
      <c r="B19574" s="19"/>
      <c r="E19574" s="23"/>
      <c r="L19574" s="23"/>
    </row>
    <row r="19575">
      <c r="B19575" s="19"/>
      <c r="E19575" s="23"/>
      <c r="L19575" s="23"/>
    </row>
    <row r="19576">
      <c r="B19576" s="19"/>
      <c r="E19576" s="23"/>
      <c r="L19576" s="23"/>
    </row>
    <row r="19577">
      <c r="B19577" s="19"/>
      <c r="E19577" s="23"/>
      <c r="L19577" s="23"/>
    </row>
    <row r="19578">
      <c r="B19578" s="19"/>
      <c r="E19578" s="23"/>
      <c r="L19578" s="23"/>
    </row>
    <row r="19579">
      <c r="B19579" s="19"/>
      <c r="E19579" s="23"/>
      <c r="L19579" s="23"/>
    </row>
    <row r="19580">
      <c r="B19580" s="19"/>
      <c r="E19580" s="23"/>
      <c r="L19580" s="23"/>
    </row>
    <row r="19581">
      <c r="B19581" s="19"/>
      <c r="E19581" s="23"/>
      <c r="L19581" s="23"/>
    </row>
    <row r="19582">
      <c r="B19582" s="19"/>
      <c r="E19582" s="23"/>
      <c r="L19582" s="23"/>
    </row>
    <row r="19583">
      <c r="B19583" s="19"/>
      <c r="E19583" s="23"/>
      <c r="L19583" s="23"/>
    </row>
    <row r="19584">
      <c r="B19584" s="19"/>
      <c r="E19584" s="23"/>
      <c r="L19584" s="23"/>
    </row>
    <row r="19585">
      <c r="B19585" s="19"/>
      <c r="E19585" s="23"/>
      <c r="L19585" s="23"/>
    </row>
    <row r="19586">
      <c r="B19586" s="19"/>
      <c r="E19586" s="23"/>
      <c r="L19586" s="23"/>
    </row>
    <row r="19587">
      <c r="B19587" s="19"/>
      <c r="E19587" s="23"/>
      <c r="L19587" s="23"/>
    </row>
    <row r="19588">
      <c r="B19588" s="19"/>
      <c r="E19588" s="23"/>
      <c r="L19588" s="23"/>
    </row>
    <row r="19589">
      <c r="B19589" s="19"/>
      <c r="E19589" s="23"/>
      <c r="L19589" s="23"/>
    </row>
    <row r="19590">
      <c r="B19590" s="19"/>
      <c r="E19590" s="23"/>
      <c r="L19590" s="23"/>
    </row>
    <row r="19591">
      <c r="B19591" s="19"/>
      <c r="E19591" s="23"/>
      <c r="L19591" s="23"/>
    </row>
    <row r="19592">
      <c r="B19592" s="19"/>
      <c r="E19592" s="23"/>
      <c r="L19592" s="23"/>
    </row>
    <row r="19593">
      <c r="B19593" s="19"/>
      <c r="E19593" s="23"/>
      <c r="L19593" s="23"/>
    </row>
    <row r="19594">
      <c r="B19594" s="19"/>
      <c r="E19594" s="23"/>
      <c r="L19594" s="23"/>
    </row>
    <row r="19595">
      <c r="B19595" s="19"/>
      <c r="E19595" s="23"/>
      <c r="L19595" s="23"/>
    </row>
    <row r="19596">
      <c r="B19596" s="19"/>
      <c r="E19596" s="23"/>
      <c r="L19596" s="23"/>
    </row>
    <row r="19597">
      <c r="B19597" s="19"/>
      <c r="E19597" s="23"/>
      <c r="L19597" s="23"/>
    </row>
    <row r="19598">
      <c r="B19598" s="19"/>
      <c r="E19598" s="23"/>
      <c r="L19598" s="23"/>
    </row>
    <row r="19599">
      <c r="B19599" s="19"/>
      <c r="E19599" s="23"/>
      <c r="L19599" s="23"/>
    </row>
    <row r="19600">
      <c r="B19600" s="19"/>
      <c r="E19600" s="23"/>
      <c r="L19600" s="23"/>
    </row>
    <row r="19601">
      <c r="B19601" s="19"/>
      <c r="E19601" s="23"/>
      <c r="L19601" s="23"/>
    </row>
    <row r="19602">
      <c r="B19602" s="19"/>
      <c r="E19602" s="23"/>
      <c r="L19602" s="23"/>
    </row>
    <row r="19603">
      <c r="B19603" s="19"/>
      <c r="E19603" s="23"/>
      <c r="L19603" s="23"/>
    </row>
    <row r="19604">
      <c r="B19604" s="19"/>
      <c r="E19604" s="23"/>
      <c r="L19604" s="23"/>
    </row>
    <row r="19605">
      <c r="B19605" s="19"/>
      <c r="E19605" s="23"/>
      <c r="L19605" s="23"/>
    </row>
    <row r="19606">
      <c r="B19606" s="19"/>
      <c r="E19606" s="23"/>
      <c r="L19606" s="23"/>
    </row>
    <row r="19607">
      <c r="B19607" s="19"/>
      <c r="E19607" s="23"/>
      <c r="L19607" s="23"/>
    </row>
    <row r="19608">
      <c r="B19608" s="19"/>
      <c r="E19608" s="23"/>
      <c r="L19608" s="23"/>
    </row>
    <row r="19609">
      <c r="B19609" s="19"/>
      <c r="E19609" s="23"/>
      <c r="L19609" s="23"/>
    </row>
    <row r="19610">
      <c r="B19610" s="19"/>
      <c r="E19610" s="23"/>
      <c r="L19610" s="23"/>
    </row>
    <row r="19611">
      <c r="B19611" s="19"/>
      <c r="E19611" s="23"/>
      <c r="L19611" s="23"/>
    </row>
    <row r="19612">
      <c r="B19612" s="19"/>
      <c r="E19612" s="23"/>
      <c r="L19612" s="23"/>
    </row>
    <row r="19613">
      <c r="B19613" s="19"/>
      <c r="E19613" s="23"/>
      <c r="L19613" s="23"/>
    </row>
    <row r="19614">
      <c r="B19614" s="19"/>
      <c r="E19614" s="23"/>
      <c r="L19614" s="23"/>
    </row>
    <row r="19615">
      <c r="B19615" s="19"/>
      <c r="E19615" s="23"/>
      <c r="L19615" s="23"/>
    </row>
    <row r="19616">
      <c r="B19616" s="19"/>
      <c r="E19616" s="23"/>
      <c r="L19616" s="23"/>
    </row>
    <row r="19617">
      <c r="B19617" s="19"/>
      <c r="E19617" s="23"/>
      <c r="L19617" s="23"/>
    </row>
    <row r="19618">
      <c r="B19618" s="19"/>
      <c r="E19618" s="23"/>
      <c r="L19618" s="23"/>
    </row>
    <row r="19619">
      <c r="B19619" s="19"/>
      <c r="E19619" s="23"/>
      <c r="L19619" s="23"/>
    </row>
    <row r="19620">
      <c r="B19620" s="19"/>
      <c r="E19620" s="23"/>
      <c r="L19620" s="23"/>
    </row>
    <row r="19621">
      <c r="B19621" s="19"/>
      <c r="E19621" s="23"/>
      <c r="L19621" s="23"/>
    </row>
    <row r="19622">
      <c r="B19622" s="19"/>
      <c r="E19622" s="23"/>
      <c r="L19622" s="23"/>
    </row>
    <row r="19623">
      <c r="B19623" s="19"/>
      <c r="E19623" s="23"/>
      <c r="L19623" s="23"/>
    </row>
    <row r="19624">
      <c r="B19624" s="19"/>
      <c r="E19624" s="23"/>
      <c r="L19624" s="23"/>
    </row>
    <row r="19625">
      <c r="B19625" s="19"/>
      <c r="E19625" s="23"/>
      <c r="L19625" s="23"/>
    </row>
    <row r="19626">
      <c r="B19626" s="19"/>
      <c r="E19626" s="23"/>
      <c r="L19626" s="23"/>
    </row>
    <row r="19627">
      <c r="B19627" s="19"/>
      <c r="E19627" s="23"/>
      <c r="L19627" s="23"/>
    </row>
    <row r="19628">
      <c r="B19628" s="19"/>
      <c r="E19628" s="23"/>
      <c r="L19628" s="23"/>
    </row>
    <row r="19629">
      <c r="B19629" s="19"/>
      <c r="E19629" s="23"/>
      <c r="L19629" s="23"/>
    </row>
    <row r="19630">
      <c r="B19630" s="19"/>
      <c r="E19630" s="23"/>
      <c r="L19630" s="23"/>
    </row>
    <row r="19631">
      <c r="B19631" s="19"/>
      <c r="E19631" s="23"/>
      <c r="L19631" s="23"/>
    </row>
    <row r="19632">
      <c r="B19632" s="19"/>
      <c r="E19632" s="23"/>
      <c r="L19632" s="23"/>
    </row>
    <row r="19633">
      <c r="B19633" s="19"/>
      <c r="E19633" s="23"/>
      <c r="L19633" s="23"/>
    </row>
    <row r="19634">
      <c r="B19634" s="19"/>
      <c r="E19634" s="23"/>
      <c r="L19634" s="23"/>
    </row>
    <row r="19635">
      <c r="B19635" s="19"/>
      <c r="E19635" s="23"/>
      <c r="L19635" s="23"/>
    </row>
    <row r="19636">
      <c r="B19636" s="19"/>
      <c r="E19636" s="23"/>
      <c r="L19636" s="23"/>
    </row>
    <row r="19637">
      <c r="B19637" s="19"/>
      <c r="E19637" s="23"/>
      <c r="L19637" s="23"/>
    </row>
    <row r="19638">
      <c r="B19638" s="19"/>
      <c r="E19638" s="23"/>
      <c r="L19638" s="23"/>
    </row>
    <row r="19639">
      <c r="B19639" s="19"/>
      <c r="E19639" s="23"/>
      <c r="L19639" s="23"/>
    </row>
    <row r="19640">
      <c r="B19640" s="19"/>
      <c r="E19640" s="23"/>
      <c r="L19640" s="23"/>
    </row>
    <row r="19641">
      <c r="B19641" s="19"/>
      <c r="E19641" s="23"/>
      <c r="L19641" s="23"/>
    </row>
    <row r="19642">
      <c r="B19642" s="19"/>
      <c r="E19642" s="23"/>
      <c r="L19642" s="23"/>
    </row>
    <row r="19643">
      <c r="B19643" s="19"/>
      <c r="E19643" s="23"/>
      <c r="L19643" s="23"/>
    </row>
    <row r="19644">
      <c r="B19644" s="19"/>
      <c r="E19644" s="23"/>
      <c r="L19644" s="23"/>
    </row>
    <row r="19645">
      <c r="B19645" s="19"/>
      <c r="E19645" s="23"/>
      <c r="L19645" s="23"/>
    </row>
    <row r="19646">
      <c r="B19646" s="19"/>
      <c r="E19646" s="23"/>
      <c r="L19646" s="23"/>
    </row>
    <row r="19647">
      <c r="B19647" s="19"/>
      <c r="E19647" s="23"/>
      <c r="L19647" s="23"/>
    </row>
    <row r="19648">
      <c r="B19648" s="19"/>
      <c r="E19648" s="23"/>
      <c r="L19648" s="23"/>
    </row>
    <row r="19649">
      <c r="B19649" s="19"/>
      <c r="E19649" s="23"/>
      <c r="L19649" s="23"/>
    </row>
    <row r="19650">
      <c r="B19650" s="19"/>
      <c r="E19650" s="23"/>
      <c r="L19650" s="23"/>
    </row>
    <row r="19651">
      <c r="B19651" s="19"/>
      <c r="E19651" s="23"/>
      <c r="L19651" s="23"/>
    </row>
    <row r="19652">
      <c r="B19652" s="19"/>
      <c r="E19652" s="23"/>
      <c r="L19652" s="23"/>
    </row>
    <row r="19653">
      <c r="B19653" s="19"/>
      <c r="E19653" s="23"/>
      <c r="L19653" s="23"/>
    </row>
    <row r="19654">
      <c r="B19654" s="19"/>
      <c r="E19654" s="23"/>
      <c r="L19654" s="23"/>
    </row>
    <row r="19655">
      <c r="B19655" s="19"/>
      <c r="E19655" s="23"/>
      <c r="L19655" s="23"/>
    </row>
    <row r="19656">
      <c r="B19656" s="19"/>
      <c r="E19656" s="23"/>
      <c r="L19656" s="23"/>
    </row>
    <row r="19657">
      <c r="B19657" s="19"/>
      <c r="E19657" s="23"/>
      <c r="L19657" s="23"/>
    </row>
    <row r="19658">
      <c r="B19658" s="19"/>
      <c r="E19658" s="23"/>
      <c r="L19658" s="23"/>
    </row>
    <row r="19659">
      <c r="B19659" s="19"/>
      <c r="E19659" s="23"/>
      <c r="L19659" s="23"/>
    </row>
    <row r="19660">
      <c r="B19660" s="19"/>
      <c r="E19660" s="23"/>
      <c r="L19660" s="23"/>
    </row>
    <row r="19661">
      <c r="B19661" s="19"/>
      <c r="E19661" s="23"/>
      <c r="L19661" s="23"/>
    </row>
    <row r="19662">
      <c r="B19662" s="19"/>
      <c r="E19662" s="23"/>
      <c r="L19662" s="23"/>
    </row>
    <row r="19663">
      <c r="B19663" s="19"/>
      <c r="E19663" s="23"/>
      <c r="L19663" s="23"/>
    </row>
    <row r="19664">
      <c r="B19664" s="19"/>
      <c r="E19664" s="23"/>
      <c r="L19664" s="23"/>
    </row>
    <row r="19665">
      <c r="B19665" s="19"/>
      <c r="E19665" s="23"/>
      <c r="L19665" s="23"/>
    </row>
    <row r="19666">
      <c r="B19666" s="19"/>
      <c r="E19666" s="23"/>
      <c r="L19666" s="23"/>
    </row>
    <row r="19667">
      <c r="B19667" s="19"/>
      <c r="E19667" s="23"/>
      <c r="L19667" s="23"/>
    </row>
    <row r="19668">
      <c r="B19668" s="19"/>
      <c r="E19668" s="23"/>
      <c r="L19668" s="23"/>
    </row>
    <row r="19669">
      <c r="B19669" s="19"/>
      <c r="E19669" s="23"/>
      <c r="L19669" s="23"/>
    </row>
    <row r="19670">
      <c r="B19670" s="19"/>
      <c r="E19670" s="23"/>
      <c r="L19670" s="23"/>
    </row>
    <row r="19671">
      <c r="B19671" s="19"/>
      <c r="E19671" s="23"/>
      <c r="L19671" s="23"/>
    </row>
    <row r="19672">
      <c r="B19672" s="19"/>
      <c r="E19672" s="23"/>
      <c r="L19672" s="23"/>
    </row>
    <row r="19673">
      <c r="B19673" s="19"/>
      <c r="E19673" s="23"/>
      <c r="L19673" s="23"/>
    </row>
    <row r="19674">
      <c r="B19674" s="19"/>
      <c r="E19674" s="23"/>
      <c r="L19674" s="23"/>
    </row>
    <row r="19675">
      <c r="B19675" s="19"/>
      <c r="E19675" s="23"/>
      <c r="L19675" s="23"/>
    </row>
    <row r="19676">
      <c r="B19676" s="19"/>
      <c r="E19676" s="23"/>
      <c r="L19676" s="23"/>
    </row>
    <row r="19677">
      <c r="B19677" s="19"/>
      <c r="E19677" s="23"/>
      <c r="L19677" s="23"/>
    </row>
    <row r="19678">
      <c r="B19678" s="19"/>
      <c r="E19678" s="23"/>
      <c r="L19678" s="23"/>
    </row>
    <row r="19679">
      <c r="B19679" s="19"/>
      <c r="E19679" s="23"/>
      <c r="L19679" s="23"/>
    </row>
    <row r="19680">
      <c r="B19680" s="19"/>
      <c r="E19680" s="23"/>
      <c r="L19680" s="23"/>
    </row>
    <row r="19681">
      <c r="B19681" s="19"/>
      <c r="E19681" s="23"/>
      <c r="L19681" s="23"/>
    </row>
    <row r="19682">
      <c r="B19682" s="19"/>
      <c r="E19682" s="23"/>
      <c r="L19682" s="23"/>
    </row>
    <row r="19683">
      <c r="B19683" s="19"/>
      <c r="E19683" s="23"/>
      <c r="L19683" s="23"/>
    </row>
    <row r="19684">
      <c r="B19684" s="19"/>
      <c r="E19684" s="23"/>
      <c r="L19684" s="23"/>
    </row>
    <row r="19685">
      <c r="B19685" s="19"/>
      <c r="E19685" s="23"/>
      <c r="L19685" s="23"/>
    </row>
    <row r="19686">
      <c r="B19686" s="19"/>
      <c r="E19686" s="23"/>
      <c r="L19686" s="23"/>
    </row>
    <row r="19687">
      <c r="B19687" s="19"/>
      <c r="E19687" s="23"/>
      <c r="L19687" s="23"/>
    </row>
    <row r="19688">
      <c r="B19688" s="19"/>
      <c r="E19688" s="23"/>
      <c r="L19688" s="23"/>
    </row>
    <row r="19689">
      <c r="B19689" s="19"/>
      <c r="E19689" s="23"/>
      <c r="L19689" s="23"/>
    </row>
    <row r="19690">
      <c r="B19690" s="19"/>
      <c r="E19690" s="23"/>
      <c r="L19690" s="23"/>
    </row>
    <row r="19691">
      <c r="B19691" s="19"/>
      <c r="E19691" s="23"/>
      <c r="L19691" s="23"/>
    </row>
    <row r="19692">
      <c r="B19692" s="19"/>
      <c r="E19692" s="23"/>
      <c r="L19692" s="23"/>
    </row>
    <row r="19693">
      <c r="B19693" s="19"/>
      <c r="E19693" s="23"/>
      <c r="L19693" s="23"/>
    </row>
    <row r="19694">
      <c r="B19694" s="19"/>
      <c r="E19694" s="23"/>
      <c r="L19694" s="23"/>
    </row>
    <row r="19695">
      <c r="B19695" s="19"/>
      <c r="E19695" s="23"/>
      <c r="L19695" s="23"/>
    </row>
    <row r="19696">
      <c r="B19696" s="19"/>
      <c r="E19696" s="23"/>
      <c r="L19696" s="23"/>
    </row>
    <row r="19697">
      <c r="B19697" s="19"/>
      <c r="E19697" s="23"/>
      <c r="L19697" s="23"/>
    </row>
    <row r="19698">
      <c r="B19698" s="19"/>
      <c r="E19698" s="23"/>
      <c r="L19698" s="23"/>
    </row>
    <row r="19699">
      <c r="B19699" s="19"/>
      <c r="E19699" s="23"/>
      <c r="L19699" s="23"/>
    </row>
    <row r="19700">
      <c r="B19700" s="19"/>
      <c r="E19700" s="23"/>
      <c r="L19700" s="23"/>
    </row>
    <row r="19701">
      <c r="B19701" s="19"/>
      <c r="E19701" s="23"/>
      <c r="L19701" s="23"/>
    </row>
    <row r="19702">
      <c r="B19702" s="19"/>
      <c r="E19702" s="23"/>
      <c r="L19702" s="23"/>
    </row>
    <row r="19703">
      <c r="B19703" s="19"/>
      <c r="E19703" s="23"/>
      <c r="L19703" s="23"/>
    </row>
    <row r="19704">
      <c r="B19704" s="19"/>
      <c r="E19704" s="23"/>
      <c r="L19704" s="23"/>
    </row>
    <row r="19705">
      <c r="B19705" s="19"/>
      <c r="E19705" s="23"/>
      <c r="L19705" s="23"/>
    </row>
    <row r="19706">
      <c r="B19706" s="19"/>
      <c r="E19706" s="23"/>
      <c r="L19706" s="23"/>
    </row>
    <row r="19707">
      <c r="B19707" s="19"/>
      <c r="E19707" s="23"/>
      <c r="L19707" s="23"/>
    </row>
    <row r="19708">
      <c r="B19708" s="19"/>
      <c r="E19708" s="23"/>
      <c r="L19708" s="23"/>
    </row>
    <row r="19709">
      <c r="B19709" s="19"/>
      <c r="E19709" s="23"/>
      <c r="L19709" s="23"/>
    </row>
    <row r="19710">
      <c r="B19710" s="19"/>
      <c r="E19710" s="23"/>
      <c r="L19710" s="23"/>
    </row>
    <row r="19711">
      <c r="B19711" s="19"/>
      <c r="E19711" s="23"/>
      <c r="L19711" s="23"/>
    </row>
    <row r="19712">
      <c r="B19712" s="19"/>
      <c r="E19712" s="23"/>
      <c r="L19712" s="23"/>
    </row>
    <row r="19713">
      <c r="B19713" s="19"/>
      <c r="E19713" s="23"/>
      <c r="L19713" s="23"/>
    </row>
    <row r="19714">
      <c r="B19714" s="19"/>
      <c r="E19714" s="23"/>
      <c r="L19714" s="23"/>
    </row>
    <row r="19715">
      <c r="B19715" s="19"/>
      <c r="E19715" s="23"/>
      <c r="L19715" s="23"/>
    </row>
    <row r="19716">
      <c r="B19716" s="19"/>
      <c r="E19716" s="23"/>
      <c r="L19716" s="23"/>
    </row>
    <row r="19717">
      <c r="B19717" s="19"/>
      <c r="E19717" s="23"/>
      <c r="L19717" s="23"/>
    </row>
    <row r="19718">
      <c r="B19718" s="19"/>
      <c r="E19718" s="23"/>
      <c r="L19718" s="23"/>
    </row>
    <row r="19719">
      <c r="B19719" s="19"/>
      <c r="E19719" s="23"/>
      <c r="L19719" s="23"/>
    </row>
    <row r="19720">
      <c r="B19720" s="19"/>
      <c r="E19720" s="23"/>
      <c r="L19720" s="23"/>
    </row>
    <row r="19721">
      <c r="B19721" s="19"/>
      <c r="E19721" s="23"/>
      <c r="L19721" s="23"/>
    </row>
    <row r="19722">
      <c r="B19722" s="19"/>
      <c r="E19722" s="23"/>
      <c r="L19722" s="23"/>
    </row>
    <row r="19723">
      <c r="B19723" s="19"/>
      <c r="E19723" s="23"/>
      <c r="L19723" s="23"/>
    </row>
    <row r="19724">
      <c r="B19724" s="19"/>
      <c r="E19724" s="23"/>
      <c r="L19724" s="23"/>
    </row>
    <row r="19725">
      <c r="B19725" s="19"/>
      <c r="E19725" s="23"/>
      <c r="L19725" s="23"/>
    </row>
    <row r="19726">
      <c r="B19726" s="19"/>
      <c r="E19726" s="23"/>
      <c r="L19726" s="23"/>
    </row>
    <row r="19727">
      <c r="B19727" s="19"/>
      <c r="E19727" s="23"/>
      <c r="L19727" s="23"/>
    </row>
    <row r="19728">
      <c r="B19728" s="19"/>
      <c r="E19728" s="23"/>
      <c r="L19728" s="23"/>
    </row>
    <row r="19729">
      <c r="B19729" s="19"/>
      <c r="E19729" s="23"/>
      <c r="L19729" s="23"/>
    </row>
    <row r="19730">
      <c r="B19730" s="19"/>
      <c r="E19730" s="23"/>
      <c r="L19730" s="23"/>
    </row>
    <row r="19731">
      <c r="B19731" s="19"/>
      <c r="E19731" s="23"/>
      <c r="L19731" s="23"/>
    </row>
    <row r="19732">
      <c r="B19732" s="19"/>
      <c r="E19732" s="23"/>
      <c r="L19732" s="23"/>
    </row>
    <row r="19733">
      <c r="B19733" s="19"/>
      <c r="E19733" s="23"/>
      <c r="L19733" s="23"/>
    </row>
    <row r="19734">
      <c r="B19734" s="19"/>
      <c r="E19734" s="23"/>
      <c r="L19734" s="23"/>
    </row>
    <row r="19735">
      <c r="B19735" s="19"/>
      <c r="E19735" s="23"/>
      <c r="L19735" s="23"/>
    </row>
    <row r="19736">
      <c r="B19736" s="19"/>
      <c r="E19736" s="23"/>
      <c r="L19736" s="23"/>
    </row>
    <row r="19737">
      <c r="B19737" s="19"/>
      <c r="E19737" s="23"/>
      <c r="L19737" s="23"/>
    </row>
    <row r="19738">
      <c r="B19738" s="19"/>
      <c r="E19738" s="23"/>
      <c r="L19738" s="23"/>
    </row>
    <row r="19739">
      <c r="B19739" s="19"/>
      <c r="E19739" s="23"/>
      <c r="L19739" s="23"/>
    </row>
    <row r="19740">
      <c r="B19740" s="19"/>
      <c r="E19740" s="23"/>
      <c r="L19740" s="23"/>
    </row>
    <row r="19741">
      <c r="B19741" s="19"/>
      <c r="E19741" s="23"/>
      <c r="L19741" s="23"/>
    </row>
    <row r="19742">
      <c r="B19742" s="19"/>
      <c r="E19742" s="23"/>
      <c r="L19742" s="23"/>
    </row>
    <row r="19743">
      <c r="B19743" s="19"/>
      <c r="E19743" s="23"/>
      <c r="L19743" s="23"/>
    </row>
    <row r="19744">
      <c r="B19744" s="19"/>
      <c r="E19744" s="23"/>
      <c r="L19744" s="23"/>
    </row>
    <row r="19745">
      <c r="B19745" s="19"/>
      <c r="E19745" s="23"/>
      <c r="L19745" s="23"/>
    </row>
    <row r="19746">
      <c r="B19746" s="19"/>
      <c r="E19746" s="23"/>
      <c r="L19746" s="23"/>
    </row>
    <row r="19747">
      <c r="B19747" s="19"/>
      <c r="E19747" s="23"/>
      <c r="L19747" s="23"/>
    </row>
    <row r="19748">
      <c r="B19748" s="19"/>
      <c r="E19748" s="23"/>
      <c r="L19748" s="23"/>
    </row>
    <row r="19749">
      <c r="B19749" s="19"/>
      <c r="E19749" s="23"/>
      <c r="L19749" s="23"/>
    </row>
    <row r="19750">
      <c r="B19750" s="19"/>
      <c r="E19750" s="23"/>
      <c r="L19750" s="23"/>
    </row>
    <row r="19751">
      <c r="B19751" s="19"/>
      <c r="E19751" s="23"/>
      <c r="L19751" s="23"/>
    </row>
    <row r="19752">
      <c r="B19752" s="19"/>
      <c r="E19752" s="23"/>
      <c r="L19752" s="23"/>
    </row>
    <row r="19753">
      <c r="B19753" s="19"/>
      <c r="E19753" s="23"/>
      <c r="L19753" s="23"/>
    </row>
    <row r="19754">
      <c r="B19754" s="19"/>
      <c r="E19754" s="23"/>
      <c r="L19754" s="23"/>
    </row>
    <row r="19755">
      <c r="B19755" s="19"/>
      <c r="E19755" s="23"/>
      <c r="L19755" s="23"/>
    </row>
    <row r="19756">
      <c r="B19756" s="19"/>
      <c r="E19756" s="23"/>
      <c r="L19756" s="23"/>
    </row>
    <row r="19757">
      <c r="B19757" s="19"/>
      <c r="E19757" s="23"/>
      <c r="L19757" s="23"/>
    </row>
    <row r="19758">
      <c r="B19758" s="19"/>
      <c r="E19758" s="23"/>
      <c r="L19758" s="23"/>
    </row>
    <row r="19759">
      <c r="B19759" s="19"/>
      <c r="E19759" s="23"/>
      <c r="L19759" s="23"/>
    </row>
    <row r="19760">
      <c r="B19760" s="19"/>
      <c r="E19760" s="23"/>
      <c r="L19760" s="23"/>
    </row>
    <row r="19761">
      <c r="B19761" s="19"/>
      <c r="E19761" s="23"/>
      <c r="L19761" s="23"/>
    </row>
    <row r="19762">
      <c r="B19762" s="19"/>
      <c r="E19762" s="23"/>
      <c r="L19762" s="23"/>
    </row>
    <row r="19763">
      <c r="B19763" s="19"/>
      <c r="E19763" s="23"/>
      <c r="L19763" s="23"/>
    </row>
    <row r="19764">
      <c r="B19764" s="19"/>
      <c r="E19764" s="23"/>
      <c r="L19764" s="23"/>
    </row>
    <row r="19765">
      <c r="B19765" s="19"/>
      <c r="E19765" s="23"/>
      <c r="L19765" s="23"/>
    </row>
    <row r="19766">
      <c r="B19766" s="19"/>
      <c r="E19766" s="23"/>
      <c r="L19766" s="23"/>
    </row>
    <row r="19767">
      <c r="B19767" s="19"/>
      <c r="E19767" s="23"/>
      <c r="L19767" s="23"/>
    </row>
    <row r="19768">
      <c r="B19768" s="19"/>
      <c r="E19768" s="23"/>
      <c r="L19768" s="23"/>
    </row>
    <row r="19769">
      <c r="B19769" s="19"/>
      <c r="E19769" s="23"/>
      <c r="L19769" s="23"/>
    </row>
    <row r="19770">
      <c r="B19770" s="19"/>
      <c r="E19770" s="23"/>
      <c r="L19770" s="23"/>
    </row>
    <row r="19771">
      <c r="B19771" s="19"/>
      <c r="E19771" s="23"/>
      <c r="L19771" s="23"/>
    </row>
    <row r="19772">
      <c r="B19772" s="19"/>
      <c r="E19772" s="23"/>
      <c r="L19772" s="23"/>
    </row>
    <row r="19773">
      <c r="B19773" s="19"/>
      <c r="E19773" s="23"/>
      <c r="L19773" s="23"/>
    </row>
    <row r="19774">
      <c r="B19774" s="19"/>
      <c r="E19774" s="23"/>
      <c r="L19774" s="23"/>
    </row>
    <row r="19775">
      <c r="B19775" s="19"/>
      <c r="E19775" s="23"/>
      <c r="L19775" s="23"/>
    </row>
    <row r="19776">
      <c r="B19776" s="19"/>
      <c r="E19776" s="23"/>
      <c r="L19776" s="23"/>
    </row>
    <row r="19777">
      <c r="B19777" s="19"/>
      <c r="E19777" s="23"/>
      <c r="L19777" s="23"/>
    </row>
    <row r="19778">
      <c r="B19778" s="19"/>
      <c r="E19778" s="23"/>
      <c r="L19778" s="23"/>
    </row>
    <row r="19779">
      <c r="B19779" s="19"/>
      <c r="E19779" s="23"/>
      <c r="L19779" s="23"/>
    </row>
    <row r="19780">
      <c r="B19780" s="19"/>
      <c r="E19780" s="23"/>
      <c r="L19780" s="23"/>
    </row>
    <row r="19781">
      <c r="B19781" s="19"/>
      <c r="E19781" s="23"/>
      <c r="L19781" s="23"/>
    </row>
    <row r="19782">
      <c r="B19782" s="19"/>
      <c r="E19782" s="23"/>
      <c r="L19782" s="23"/>
    </row>
    <row r="19783">
      <c r="B19783" s="19"/>
      <c r="E19783" s="23"/>
      <c r="L19783" s="23"/>
    </row>
    <row r="19784">
      <c r="B19784" s="19"/>
      <c r="E19784" s="23"/>
      <c r="L19784" s="23"/>
    </row>
    <row r="19785">
      <c r="B19785" s="19"/>
      <c r="E19785" s="23"/>
      <c r="L19785" s="23"/>
    </row>
    <row r="19786">
      <c r="B19786" s="19"/>
      <c r="E19786" s="23"/>
      <c r="L19786" s="23"/>
    </row>
    <row r="19787">
      <c r="B19787" s="19"/>
      <c r="E19787" s="23"/>
      <c r="L19787" s="23"/>
    </row>
    <row r="19788">
      <c r="B19788" s="19"/>
      <c r="E19788" s="23"/>
      <c r="L19788" s="23"/>
    </row>
    <row r="19789">
      <c r="B19789" s="19"/>
      <c r="E19789" s="23"/>
      <c r="L19789" s="23"/>
    </row>
    <row r="19790">
      <c r="B19790" s="19"/>
      <c r="E19790" s="23"/>
      <c r="L19790" s="23"/>
    </row>
    <row r="19791">
      <c r="B19791" s="19"/>
      <c r="E19791" s="23"/>
      <c r="L19791" s="23"/>
    </row>
    <row r="19792">
      <c r="B19792" s="19"/>
      <c r="E19792" s="23"/>
      <c r="L19792" s="23"/>
    </row>
    <row r="19793">
      <c r="B19793" s="19"/>
      <c r="E19793" s="23"/>
      <c r="L19793" s="23"/>
    </row>
    <row r="19794">
      <c r="B19794" s="19"/>
      <c r="E19794" s="23"/>
      <c r="L19794" s="23"/>
    </row>
    <row r="19795">
      <c r="B19795" s="19"/>
      <c r="E19795" s="23"/>
      <c r="L19795" s="23"/>
    </row>
    <row r="19796">
      <c r="B19796" s="19"/>
      <c r="E19796" s="23"/>
      <c r="L19796" s="23"/>
    </row>
    <row r="19797">
      <c r="B19797" s="19"/>
      <c r="E19797" s="23"/>
      <c r="L19797" s="23"/>
    </row>
    <row r="19798">
      <c r="B19798" s="19"/>
      <c r="E19798" s="23"/>
      <c r="L19798" s="23"/>
    </row>
    <row r="19799">
      <c r="B19799" s="19"/>
      <c r="E19799" s="23"/>
      <c r="L19799" s="23"/>
    </row>
    <row r="19800">
      <c r="B19800" s="19"/>
      <c r="E19800" s="23"/>
      <c r="L19800" s="23"/>
    </row>
    <row r="19801">
      <c r="B19801" s="19"/>
      <c r="E19801" s="23"/>
      <c r="L19801" s="23"/>
    </row>
    <row r="19802">
      <c r="B19802" s="19"/>
      <c r="E19802" s="23"/>
      <c r="L19802" s="23"/>
    </row>
    <row r="19803">
      <c r="B19803" s="19"/>
      <c r="E19803" s="23"/>
      <c r="L19803" s="23"/>
    </row>
    <row r="19804">
      <c r="B19804" s="19"/>
      <c r="E19804" s="23"/>
      <c r="L19804" s="23"/>
    </row>
    <row r="19805">
      <c r="B19805" s="19"/>
      <c r="E19805" s="23"/>
      <c r="L19805" s="23"/>
    </row>
    <row r="19806">
      <c r="B19806" s="19"/>
      <c r="E19806" s="23"/>
      <c r="L19806" s="23"/>
    </row>
    <row r="19807">
      <c r="B19807" s="19"/>
      <c r="E19807" s="23"/>
      <c r="L19807" s="23"/>
    </row>
    <row r="19808">
      <c r="B19808" s="19"/>
      <c r="E19808" s="23"/>
      <c r="L19808" s="23"/>
    </row>
    <row r="19809">
      <c r="B19809" s="19"/>
      <c r="E19809" s="23"/>
      <c r="L19809" s="23"/>
    </row>
    <row r="19810">
      <c r="B19810" s="19"/>
      <c r="E19810" s="23"/>
      <c r="L19810" s="23"/>
    </row>
    <row r="19811">
      <c r="B19811" s="19"/>
      <c r="E19811" s="23"/>
      <c r="L19811" s="23"/>
    </row>
    <row r="19812">
      <c r="B19812" s="19"/>
      <c r="E19812" s="23"/>
      <c r="L19812" s="23"/>
    </row>
    <row r="19813">
      <c r="B19813" s="19"/>
      <c r="E19813" s="23"/>
      <c r="L19813" s="23"/>
    </row>
    <row r="19814">
      <c r="B19814" s="19"/>
      <c r="E19814" s="23"/>
      <c r="L19814" s="23"/>
    </row>
    <row r="19815">
      <c r="B19815" s="19"/>
      <c r="E19815" s="23"/>
      <c r="L19815" s="23"/>
    </row>
    <row r="19816">
      <c r="B19816" s="19"/>
      <c r="E19816" s="23"/>
      <c r="L19816" s="23"/>
    </row>
    <row r="19817">
      <c r="B19817" s="19"/>
      <c r="E19817" s="23"/>
      <c r="L19817" s="23"/>
    </row>
    <row r="19818">
      <c r="B19818" s="19"/>
      <c r="E19818" s="23"/>
      <c r="L19818" s="23"/>
    </row>
    <row r="19819">
      <c r="B19819" s="19"/>
      <c r="E19819" s="23"/>
      <c r="L19819" s="23"/>
    </row>
    <row r="19820">
      <c r="B19820" s="19"/>
      <c r="E19820" s="23"/>
      <c r="L19820" s="23"/>
    </row>
    <row r="19821">
      <c r="B19821" s="19"/>
      <c r="E19821" s="23"/>
      <c r="L19821" s="23"/>
    </row>
    <row r="19822">
      <c r="B19822" s="19"/>
      <c r="E19822" s="23"/>
      <c r="L19822" s="23"/>
    </row>
    <row r="19823">
      <c r="B19823" s="19"/>
      <c r="E19823" s="23"/>
      <c r="L19823" s="23"/>
    </row>
    <row r="19824">
      <c r="B19824" s="19"/>
      <c r="E19824" s="23"/>
      <c r="L19824" s="23"/>
    </row>
    <row r="19825">
      <c r="B19825" s="19"/>
      <c r="E19825" s="23"/>
      <c r="L19825" s="23"/>
    </row>
    <row r="19826">
      <c r="B19826" s="19"/>
      <c r="E19826" s="23"/>
      <c r="L19826" s="23"/>
    </row>
    <row r="19827">
      <c r="B19827" s="19"/>
      <c r="E19827" s="23"/>
      <c r="L19827" s="23"/>
    </row>
    <row r="19828">
      <c r="B19828" s="19"/>
      <c r="E19828" s="23"/>
      <c r="L19828" s="23"/>
    </row>
    <row r="19829">
      <c r="B19829" s="19"/>
      <c r="E19829" s="23"/>
      <c r="L19829" s="23"/>
    </row>
    <row r="19830">
      <c r="B19830" s="19"/>
      <c r="E19830" s="23"/>
      <c r="L19830" s="23"/>
    </row>
    <row r="19831">
      <c r="B19831" s="19"/>
      <c r="E19831" s="23"/>
      <c r="L19831" s="23"/>
    </row>
    <row r="19832">
      <c r="B19832" s="19"/>
      <c r="E19832" s="23"/>
      <c r="L19832" s="23"/>
    </row>
    <row r="19833">
      <c r="B19833" s="19"/>
      <c r="E19833" s="23"/>
      <c r="L19833" s="23"/>
    </row>
    <row r="19834">
      <c r="B19834" s="19"/>
      <c r="E19834" s="23"/>
      <c r="L19834" s="23"/>
    </row>
    <row r="19835">
      <c r="B19835" s="19"/>
      <c r="E19835" s="23"/>
      <c r="L19835" s="23"/>
    </row>
    <row r="19836">
      <c r="B19836" s="19"/>
      <c r="E19836" s="23"/>
      <c r="L19836" s="23"/>
    </row>
    <row r="19837">
      <c r="B19837" s="19"/>
      <c r="E19837" s="23"/>
      <c r="L19837" s="23"/>
    </row>
    <row r="19838">
      <c r="B19838" s="19"/>
      <c r="E19838" s="23"/>
      <c r="L19838" s="23"/>
    </row>
    <row r="19839">
      <c r="B19839" s="19"/>
      <c r="E19839" s="23"/>
      <c r="L19839" s="23"/>
    </row>
    <row r="19840">
      <c r="B19840" s="19"/>
      <c r="E19840" s="23"/>
      <c r="L19840" s="23"/>
    </row>
    <row r="19841">
      <c r="B19841" s="19"/>
      <c r="E19841" s="23"/>
      <c r="L19841" s="23"/>
    </row>
    <row r="19842">
      <c r="B19842" s="19"/>
      <c r="E19842" s="23"/>
      <c r="L19842" s="23"/>
    </row>
    <row r="19843">
      <c r="B19843" s="19"/>
      <c r="E19843" s="23"/>
      <c r="L19843" s="23"/>
    </row>
    <row r="19844">
      <c r="B19844" s="19"/>
      <c r="E19844" s="23"/>
      <c r="L19844" s="23"/>
    </row>
    <row r="19845">
      <c r="B19845" s="19"/>
      <c r="E19845" s="23"/>
      <c r="L19845" s="23"/>
    </row>
    <row r="19846">
      <c r="B19846" s="19"/>
      <c r="E19846" s="23"/>
      <c r="L19846" s="23"/>
    </row>
    <row r="19847">
      <c r="B19847" s="19"/>
      <c r="E19847" s="23"/>
      <c r="L19847" s="23"/>
    </row>
    <row r="19848">
      <c r="B19848" s="19"/>
      <c r="E19848" s="23"/>
      <c r="L19848" s="23"/>
    </row>
    <row r="19849">
      <c r="B19849" s="19"/>
      <c r="E19849" s="23"/>
      <c r="L19849" s="23"/>
    </row>
    <row r="19850">
      <c r="B19850" s="19"/>
      <c r="E19850" s="23"/>
      <c r="L19850" s="23"/>
    </row>
    <row r="19851">
      <c r="B19851" s="19"/>
      <c r="E19851" s="23"/>
      <c r="L19851" s="23"/>
    </row>
    <row r="19852">
      <c r="B19852" s="19"/>
      <c r="E19852" s="23"/>
      <c r="L19852" s="23"/>
    </row>
    <row r="19853">
      <c r="B19853" s="19"/>
      <c r="E19853" s="23"/>
      <c r="L19853" s="23"/>
    </row>
    <row r="19854">
      <c r="B19854" s="19"/>
      <c r="E19854" s="23"/>
      <c r="L19854" s="23"/>
    </row>
    <row r="19855">
      <c r="B19855" s="19"/>
      <c r="E19855" s="23"/>
      <c r="L19855" s="23"/>
    </row>
    <row r="19856">
      <c r="B19856" s="19"/>
      <c r="E19856" s="23"/>
      <c r="L19856" s="23"/>
    </row>
    <row r="19857">
      <c r="B19857" s="19"/>
      <c r="E19857" s="23"/>
      <c r="L19857" s="23"/>
    </row>
    <row r="19858">
      <c r="B19858" s="19"/>
      <c r="E19858" s="23"/>
      <c r="L19858" s="23"/>
    </row>
    <row r="19859">
      <c r="B19859" s="19"/>
      <c r="E19859" s="23"/>
      <c r="L19859" s="23"/>
    </row>
    <row r="19860">
      <c r="B19860" s="19"/>
      <c r="E19860" s="23"/>
      <c r="L19860" s="23"/>
    </row>
    <row r="19861">
      <c r="B19861" s="19"/>
      <c r="E19861" s="23"/>
      <c r="L19861" s="23"/>
    </row>
    <row r="19862">
      <c r="B19862" s="19"/>
      <c r="E19862" s="23"/>
      <c r="L19862" s="23"/>
    </row>
    <row r="19863">
      <c r="B19863" s="19"/>
      <c r="E19863" s="23"/>
      <c r="L19863" s="23"/>
    </row>
    <row r="19864">
      <c r="B19864" s="19"/>
      <c r="E19864" s="23"/>
      <c r="L19864" s="23"/>
    </row>
    <row r="19865">
      <c r="B19865" s="19"/>
      <c r="E19865" s="23"/>
      <c r="L19865" s="23"/>
    </row>
    <row r="19866">
      <c r="B19866" s="19"/>
      <c r="E19866" s="23"/>
      <c r="L19866" s="23"/>
    </row>
    <row r="19867">
      <c r="B19867" s="19"/>
      <c r="E19867" s="23"/>
      <c r="L19867" s="23"/>
    </row>
    <row r="19868">
      <c r="B19868" s="19"/>
      <c r="E19868" s="23"/>
      <c r="L19868" s="23"/>
    </row>
    <row r="19869">
      <c r="B19869" s="19"/>
      <c r="E19869" s="23"/>
      <c r="L19869" s="23"/>
    </row>
    <row r="19870">
      <c r="B19870" s="19"/>
      <c r="E19870" s="23"/>
      <c r="L19870" s="23"/>
    </row>
    <row r="19871">
      <c r="B19871" s="19"/>
      <c r="E19871" s="23"/>
      <c r="L19871" s="23"/>
    </row>
    <row r="19872">
      <c r="B19872" s="19"/>
      <c r="E19872" s="23"/>
      <c r="L19872" s="23"/>
    </row>
    <row r="19873">
      <c r="B19873" s="19"/>
      <c r="E19873" s="23"/>
      <c r="L19873" s="23"/>
    </row>
    <row r="19874">
      <c r="B19874" s="19"/>
      <c r="E19874" s="23"/>
      <c r="L19874" s="23"/>
    </row>
    <row r="19875">
      <c r="B19875" s="19"/>
      <c r="E19875" s="23"/>
      <c r="L19875" s="23"/>
    </row>
    <row r="19876">
      <c r="B19876" s="19"/>
      <c r="E19876" s="23"/>
      <c r="L19876" s="23"/>
    </row>
    <row r="19877">
      <c r="B19877" s="19"/>
      <c r="E19877" s="23"/>
      <c r="L19877" s="23"/>
    </row>
    <row r="19878">
      <c r="B19878" s="19"/>
      <c r="E19878" s="23"/>
      <c r="L19878" s="23"/>
    </row>
    <row r="19879">
      <c r="B19879" s="19"/>
      <c r="E19879" s="23"/>
      <c r="L19879" s="23"/>
    </row>
    <row r="19880">
      <c r="B19880" s="19"/>
      <c r="E19880" s="23"/>
      <c r="L19880" s="23"/>
    </row>
    <row r="19881">
      <c r="B19881" s="19"/>
      <c r="E19881" s="23"/>
      <c r="L19881" s="23"/>
    </row>
    <row r="19882">
      <c r="B19882" s="19"/>
      <c r="E19882" s="23"/>
      <c r="L19882" s="23"/>
    </row>
    <row r="19883">
      <c r="B19883" s="19"/>
      <c r="E19883" s="23"/>
      <c r="L19883" s="23"/>
    </row>
    <row r="19884">
      <c r="B19884" s="19"/>
      <c r="E19884" s="23"/>
      <c r="L19884" s="23"/>
    </row>
    <row r="19885">
      <c r="B19885" s="19"/>
      <c r="E19885" s="23"/>
      <c r="L19885" s="23"/>
    </row>
    <row r="19886">
      <c r="B19886" s="19"/>
      <c r="E19886" s="23"/>
      <c r="L19886" s="23"/>
    </row>
    <row r="19887">
      <c r="B19887" s="19"/>
      <c r="E19887" s="23"/>
      <c r="L19887" s="23"/>
    </row>
    <row r="19888">
      <c r="B19888" s="19"/>
      <c r="E19888" s="23"/>
      <c r="L19888" s="23"/>
    </row>
    <row r="19889">
      <c r="B19889" s="19"/>
      <c r="E19889" s="23"/>
      <c r="L19889" s="23"/>
    </row>
    <row r="19890">
      <c r="B19890" s="19"/>
      <c r="E19890" s="23"/>
      <c r="L19890" s="23"/>
    </row>
    <row r="19891">
      <c r="B19891" s="19"/>
      <c r="E19891" s="23"/>
      <c r="L19891" s="23"/>
    </row>
    <row r="19892">
      <c r="B19892" s="19"/>
      <c r="E19892" s="23"/>
      <c r="L19892" s="23"/>
    </row>
    <row r="19893">
      <c r="B19893" s="19"/>
      <c r="E19893" s="23"/>
      <c r="L19893" s="23"/>
    </row>
    <row r="19894">
      <c r="B19894" s="19"/>
      <c r="E19894" s="23"/>
      <c r="L19894" s="23"/>
    </row>
    <row r="19895">
      <c r="B19895" s="19"/>
      <c r="E19895" s="23"/>
      <c r="L19895" s="23"/>
    </row>
    <row r="19896">
      <c r="B19896" s="19"/>
      <c r="E19896" s="23"/>
      <c r="L19896" s="23"/>
    </row>
    <row r="19897">
      <c r="B19897" s="19"/>
      <c r="E19897" s="23"/>
      <c r="L19897" s="23"/>
    </row>
    <row r="19898">
      <c r="B19898" s="19"/>
      <c r="E19898" s="23"/>
      <c r="L19898" s="23"/>
    </row>
    <row r="19899">
      <c r="B19899" s="19"/>
      <c r="E19899" s="23"/>
      <c r="L19899" s="23"/>
    </row>
    <row r="19900">
      <c r="B19900" s="19"/>
      <c r="E19900" s="23"/>
      <c r="L19900" s="23"/>
    </row>
    <row r="19901">
      <c r="B19901" s="19"/>
      <c r="E19901" s="23"/>
      <c r="L19901" s="23"/>
    </row>
    <row r="19902">
      <c r="B19902" s="19"/>
      <c r="E19902" s="23"/>
      <c r="L19902" s="23"/>
    </row>
    <row r="19903">
      <c r="B19903" s="19"/>
      <c r="E19903" s="23"/>
      <c r="L19903" s="23"/>
    </row>
    <row r="19904">
      <c r="B19904" s="19"/>
      <c r="E19904" s="23"/>
      <c r="L19904" s="23"/>
    </row>
    <row r="19905">
      <c r="B19905" s="19"/>
      <c r="E19905" s="23"/>
      <c r="L19905" s="23"/>
    </row>
    <row r="19906">
      <c r="B19906" s="19"/>
      <c r="E19906" s="23"/>
      <c r="L19906" s="23"/>
    </row>
    <row r="19907">
      <c r="B19907" s="19"/>
      <c r="E19907" s="23"/>
      <c r="L19907" s="23"/>
    </row>
    <row r="19908">
      <c r="B19908" s="19"/>
      <c r="E19908" s="23"/>
      <c r="L19908" s="23"/>
    </row>
    <row r="19909">
      <c r="B19909" s="19"/>
      <c r="E19909" s="23"/>
      <c r="L19909" s="23"/>
    </row>
    <row r="19910">
      <c r="B19910" s="19"/>
      <c r="E19910" s="23"/>
      <c r="L19910" s="23"/>
    </row>
    <row r="19911">
      <c r="B19911" s="19"/>
      <c r="E19911" s="23"/>
      <c r="L19911" s="23"/>
    </row>
    <row r="19912">
      <c r="B19912" s="19"/>
      <c r="E19912" s="23"/>
      <c r="L19912" s="23"/>
    </row>
    <row r="19913">
      <c r="B19913" s="19"/>
      <c r="E19913" s="23"/>
      <c r="L19913" s="23"/>
    </row>
    <row r="19914">
      <c r="B19914" s="19"/>
      <c r="E19914" s="23"/>
      <c r="L19914" s="23"/>
    </row>
    <row r="19915">
      <c r="B19915" s="19"/>
      <c r="E19915" s="23"/>
      <c r="L19915" s="23"/>
    </row>
    <row r="19916">
      <c r="B19916" s="19"/>
      <c r="E19916" s="23"/>
      <c r="L19916" s="23"/>
    </row>
    <row r="19917">
      <c r="B19917" s="19"/>
      <c r="E19917" s="23"/>
      <c r="L19917" s="23"/>
    </row>
    <row r="19918">
      <c r="B19918" s="19"/>
      <c r="E19918" s="23"/>
      <c r="L19918" s="23"/>
    </row>
    <row r="19919">
      <c r="B19919" s="19"/>
      <c r="E19919" s="23"/>
      <c r="L19919" s="23"/>
    </row>
    <row r="19920">
      <c r="B19920" s="19"/>
      <c r="E19920" s="23"/>
      <c r="L19920" s="23"/>
    </row>
    <row r="19921">
      <c r="B19921" s="19"/>
      <c r="E19921" s="23"/>
      <c r="L19921" s="23"/>
    </row>
    <row r="19922">
      <c r="B19922" s="19"/>
      <c r="E19922" s="23"/>
      <c r="L19922" s="23"/>
    </row>
    <row r="19923">
      <c r="B19923" s="19"/>
      <c r="E19923" s="23"/>
      <c r="L19923" s="23"/>
    </row>
    <row r="19924">
      <c r="B19924" s="19"/>
      <c r="E19924" s="23"/>
      <c r="L19924" s="23"/>
    </row>
    <row r="19925">
      <c r="B19925" s="19"/>
      <c r="E19925" s="23"/>
      <c r="L19925" s="23"/>
    </row>
    <row r="19926">
      <c r="B19926" s="19"/>
      <c r="E19926" s="23"/>
      <c r="L19926" s="23"/>
    </row>
    <row r="19927">
      <c r="B19927" s="19"/>
      <c r="E19927" s="23"/>
      <c r="L19927" s="23"/>
    </row>
    <row r="19928">
      <c r="B19928" s="19"/>
      <c r="E19928" s="23"/>
      <c r="L19928" s="23"/>
    </row>
    <row r="19929">
      <c r="B19929" s="19"/>
      <c r="E19929" s="23"/>
      <c r="L19929" s="23"/>
    </row>
    <row r="19930">
      <c r="B19930" s="19"/>
      <c r="E19930" s="23"/>
      <c r="L19930" s="23"/>
    </row>
    <row r="19931">
      <c r="B19931" s="19"/>
      <c r="E19931" s="23"/>
      <c r="L19931" s="23"/>
    </row>
    <row r="19932">
      <c r="B19932" s="19"/>
      <c r="E19932" s="23"/>
      <c r="L19932" s="23"/>
    </row>
    <row r="19933">
      <c r="B19933" s="19"/>
      <c r="E19933" s="23"/>
      <c r="L19933" s="23"/>
    </row>
    <row r="19934">
      <c r="B19934" s="19"/>
      <c r="E19934" s="23"/>
      <c r="L19934" s="23"/>
    </row>
    <row r="19935">
      <c r="B19935" s="19"/>
      <c r="E19935" s="23"/>
      <c r="L19935" s="23"/>
    </row>
    <row r="19936">
      <c r="B19936" s="19"/>
      <c r="E19936" s="23"/>
      <c r="L19936" s="23"/>
    </row>
    <row r="19937">
      <c r="B19937" s="19"/>
      <c r="E19937" s="23"/>
      <c r="L19937" s="23"/>
    </row>
    <row r="19938">
      <c r="B19938" s="19"/>
      <c r="E19938" s="23"/>
      <c r="L19938" s="23"/>
    </row>
    <row r="19939">
      <c r="B19939" s="19"/>
      <c r="E19939" s="23"/>
      <c r="L19939" s="23"/>
    </row>
    <row r="19940">
      <c r="B19940" s="19"/>
      <c r="E19940" s="23"/>
      <c r="L19940" s="23"/>
    </row>
    <row r="19941">
      <c r="B19941" s="19"/>
      <c r="E19941" s="23"/>
      <c r="L19941" s="23"/>
    </row>
    <row r="19942">
      <c r="B19942" s="19"/>
      <c r="E19942" s="23"/>
      <c r="L19942" s="23"/>
    </row>
    <row r="19943">
      <c r="B19943" s="19"/>
      <c r="E19943" s="23"/>
      <c r="L19943" s="23"/>
    </row>
    <row r="19944">
      <c r="B19944" s="19"/>
      <c r="E19944" s="23"/>
      <c r="L19944" s="23"/>
    </row>
    <row r="19945">
      <c r="B19945" s="19"/>
      <c r="E19945" s="23"/>
      <c r="L19945" s="23"/>
    </row>
    <row r="19946">
      <c r="B19946" s="19"/>
      <c r="E19946" s="23"/>
      <c r="L19946" s="23"/>
    </row>
    <row r="19947">
      <c r="B19947" s="19"/>
      <c r="E19947" s="23"/>
      <c r="L19947" s="23"/>
    </row>
    <row r="19948">
      <c r="B19948" s="19"/>
      <c r="E19948" s="23"/>
      <c r="L19948" s="23"/>
    </row>
    <row r="19949">
      <c r="B19949" s="19"/>
      <c r="E19949" s="23"/>
      <c r="L19949" s="23"/>
    </row>
    <row r="19950">
      <c r="B19950" s="19"/>
      <c r="E19950" s="23"/>
      <c r="L19950" s="23"/>
    </row>
    <row r="19951">
      <c r="B19951" s="19"/>
      <c r="E19951" s="23"/>
      <c r="L19951" s="23"/>
    </row>
    <row r="19952">
      <c r="B19952" s="19"/>
      <c r="E19952" s="23"/>
      <c r="L19952" s="23"/>
    </row>
    <row r="19953">
      <c r="B19953" s="19"/>
      <c r="E19953" s="23"/>
      <c r="L19953" s="23"/>
    </row>
    <row r="19954">
      <c r="B19954" s="19"/>
      <c r="E19954" s="23"/>
      <c r="L19954" s="23"/>
    </row>
    <row r="19955">
      <c r="B19955" s="19"/>
      <c r="E19955" s="23"/>
      <c r="L19955" s="23"/>
    </row>
    <row r="19956">
      <c r="B19956" s="19"/>
      <c r="E19956" s="23"/>
      <c r="L19956" s="23"/>
    </row>
    <row r="19957">
      <c r="B19957" s="19"/>
      <c r="E19957" s="23"/>
      <c r="L19957" s="23"/>
    </row>
    <row r="19958">
      <c r="B19958" s="19"/>
      <c r="E19958" s="23"/>
      <c r="L19958" s="23"/>
    </row>
    <row r="19959">
      <c r="B19959" s="19"/>
      <c r="E19959" s="23"/>
      <c r="L19959" s="23"/>
    </row>
    <row r="19960">
      <c r="B19960" s="19"/>
      <c r="E19960" s="23"/>
      <c r="L19960" s="23"/>
    </row>
    <row r="19961">
      <c r="B19961" s="19"/>
      <c r="E19961" s="23"/>
      <c r="L19961" s="23"/>
    </row>
    <row r="19962">
      <c r="B19962" s="19"/>
      <c r="E19962" s="23"/>
      <c r="L19962" s="23"/>
    </row>
    <row r="19963">
      <c r="B19963" s="19"/>
      <c r="E19963" s="23"/>
      <c r="L19963" s="23"/>
    </row>
    <row r="19964">
      <c r="B19964" s="19"/>
      <c r="E19964" s="23"/>
      <c r="L19964" s="23"/>
    </row>
    <row r="19965">
      <c r="B19965" s="19"/>
      <c r="E19965" s="23"/>
      <c r="L19965" s="23"/>
    </row>
    <row r="19966">
      <c r="B19966" s="19"/>
      <c r="E19966" s="23"/>
      <c r="L19966" s="23"/>
    </row>
    <row r="19967">
      <c r="B19967" s="19"/>
      <c r="E19967" s="23"/>
      <c r="L19967" s="23"/>
    </row>
    <row r="19968">
      <c r="B19968" s="19"/>
      <c r="E19968" s="23"/>
      <c r="L19968" s="23"/>
    </row>
    <row r="19969">
      <c r="B19969" s="19"/>
      <c r="E19969" s="23"/>
      <c r="L19969" s="23"/>
    </row>
    <row r="19970">
      <c r="B19970" s="19"/>
      <c r="E19970" s="23"/>
      <c r="L19970" s="23"/>
    </row>
    <row r="19971">
      <c r="B19971" s="19"/>
      <c r="E19971" s="23"/>
      <c r="L19971" s="23"/>
    </row>
    <row r="19972">
      <c r="B19972" s="19"/>
      <c r="E19972" s="23"/>
      <c r="L19972" s="23"/>
    </row>
    <row r="19973">
      <c r="B19973" s="19"/>
      <c r="E19973" s="23"/>
      <c r="L19973" s="23"/>
    </row>
    <row r="19974">
      <c r="B19974" s="19"/>
      <c r="E19974" s="23"/>
      <c r="L19974" s="23"/>
    </row>
    <row r="19975">
      <c r="B19975" s="19"/>
      <c r="E19975" s="23"/>
      <c r="L19975" s="23"/>
    </row>
    <row r="19976">
      <c r="B19976" s="19"/>
      <c r="E19976" s="23"/>
      <c r="L19976" s="23"/>
    </row>
    <row r="19977">
      <c r="B19977" s="19"/>
      <c r="E19977" s="23"/>
      <c r="L19977" s="23"/>
    </row>
    <row r="19978">
      <c r="B19978" s="19"/>
      <c r="E19978" s="23"/>
      <c r="L19978" s="23"/>
    </row>
    <row r="19979">
      <c r="B19979" s="19"/>
      <c r="E19979" s="23"/>
      <c r="L19979" s="23"/>
    </row>
    <row r="19980">
      <c r="B19980" s="19"/>
      <c r="E19980" s="23"/>
      <c r="L19980" s="23"/>
    </row>
    <row r="19981">
      <c r="B19981" s="19"/>
      <c r="E19981" s="23"/>
      <c r="L19981" s="23"/>
    </row>
    <row r="19982">
      <c r="B19982" s="19"/>
      <c r="E19982" s="23"/>
      <c r="L19982" s="23"/>
    </row>
    <row r="19983">
      <c r="B19983" s="19"/>
      <c r="E19983" s="23"/>
      <c r="L19983" s="23"/>
    </row>
    <row r="19984">
      <c r="B19984" s="19"/>
      <c r="E19984" s="23"/>
      <c r="L19984" s="23"/>
    </row>
    <row r="19985">
      <c r="B19985" s="19"/>
      <c r="E19985" s="23"/>
      <c r="L19985" s="23"/>
    </row>
    <row r="19986">
      <c r="B19986" s="19"/>
      <c r="E19986" s="23"/>
      <c r="L19986" s="23"/>
    </row>
    <row r="19987">
      <c r="B19987" s="19"/>
      <c r="E19987" s="23"/>
      <c r="L19987" s="23"/>
    </row>
    <row r="19988">
      <c r="B19988" s="19"/>
      <c r="E19988" s="23"/>
      <c r="L19988" s="23"/>
    </row>
    <row r="19989">
      <c r="B19989" s="19"/>
      <c r="E19989" s="23"/>
      <c r="L19989" s="23"/>
    </row>
    <row r="19990">
      <c r="B19990" s="19"/>
      <c r="E19990" s="23"/>
      <c r="L19990" s="23"/>
    </row>
    <row r="19991">
      <c r="B19991" s="19"/>
      <c r="E19991" s="23"/>
      <c r="L19991" s="23"/>
    </row>
    <row r="19992">
      <c r="B19992" s="19"/>
      <c r="E19992" s="23"/>
      <c r="L19992" s="23"/>
    </row>
    <row r="19993">
      <c r="B19993" s="19"/>
      <c r="E19993" s="23"/>
      <c r="L19993" s="23"/>
    </row>
    <row r="19994">
      <c r="B19994" s="19"/>
      <c r="E19994" s="23"/>
      <c r="L19994" s="23"/>
    </row>
    <row r="19995">
      <c r="B19995" s="19"/>
      <c r="E19995" s="23"/>
      <c r="L19995" s="23"/>
    </row>
    <row r="19996">
      <c r="B19996" s="19"/>
      <c r="E19996" s="23"/>
      <c r="L19996" s="23"/>
    </row>
    <row r="19997">
      <c r="B19997" s="19"/>
      <c r="E19997" s="23"/>
      <c r="L19997" s="23"/>
    </row>
    <row r="19998">
      <c r="B19998" s="19"/>
      <c r="E19998" s="23"/>
      <c r="L19998" s="23"/>
    </row>
    <row r="19999">
      <c r="B19999" s="19"/>
      <c r="E19999" s="23"/>
      <c r="L19999" s="23"/>
    </row>
    <row r="20000">
      <c r="B20000" s="19"/>
      <c r="E20000" s="23"/>
      <c r="L20000" s="23"/>
    </row>
    <row r="20001">
      <c r="B20001" s="19"/>
      <c r="E20001" s="23"/>
      <c r="L20001" s="23"/>
    </row>
    <row r="20002">
      <c r="B20002" s="19"/>
      <c r="E20002" s="23"/>
      <c r="L20002" s="23"/>
    </row>
    <row r="20003">
      <c r="B20003" s="19"/>
      <c r="E20003" s="23"/>
      <c r="L20003" s="23"/>
    </row>
    <row r="20004">
      <c r="B20004" s="19"/>
      <c r="E20004" s="23"/>
      <c r="L20004" s="23"/>
    </row>
    <row r="20005">
      <c r="B20005" s="19"/>
      <c r="E20005" s="23"/>
      <c r="L20005" s="23"/>
    </row>
    <row r="20006">
      <c r="B20006" s="19"/>
      <c r="E20006" s="23"/>
      <c r="L20006" s="23"/>
    </row>
    <row r="20007">
      <c r="B20007" s="19"/>
      <c r="E20007" s="23"/>
      <c r="L20007" s="23"/>
    </row>
    <row r="20008">
      <c r="B20008" s="19"/>
      <c r="E20008" s="23"/>
      <c r="L20008" s="23"/>
    </row>
    <row r="20009">
      <c r="B20009" s="19"/>
      <c r="E20009" s="23"/>
      <c r="L20009" s="23"/>
    </row>
    <row r="20010">
      <c r="B20010" s="19"/>
      <c r="E20010" s="23"/>
      <c r="L20010" s="23"/>
    </row>
    <row r="20011">
      <c r="B20011" s="19"/>
      <c r="E20011" s="23"/>
      <c r="L20011" s="23"/>
    </row>
    <row r="20012">
      <c r="B20012" s="19"/>
      <c r="E20012" s="23"/>
      <c r="L20012" s="23"/>
    </row>
    <row r="20013">
      <c r="B20013" s="19"/>
      <c r="E20013" s="23"/>
      <c r="L20013" s="23"/>
    </row>
    <row r="20014">
      <c r="B20014" s="19"/>
      <c r="E20014" s="23"/>
      <c r="L20014" s="23"/>
    </row>
    <row r="20015">
      <c r="B20015" s="19"/>
      <c r="E20015" s="23"/>
      <c r="L20015" s="23"/>
    </row>
    <row r="20016">
      <c r="B20016" s="19"/>
      <c r="E20016" s="23"/>
      <c r="L20016" s="23"/>
    </row>
    <row r="20017">
      <c r="B20017" s="19"/>
      <c r="E20017" s="23"/>
      <c r="L20017" s="23"/>
    </row>
    <row r="20018">
      <c r="B20018" s="19"/>
      <c r="E20018" s="23"/>
      <c r="L20018" s="23"/>
    </row>
    <row r="20019">
      <c r="B20019" s="19"/>
      <c r="E20019" s="23"/>
      <c r="L20019" s="23"/>
    </row>
    <row r="20020">
      <c r="B20020" s="19"/>
      <c r="E20020" s="23"/>
      <c r="L20020" s="23"/>
    </row>
    <row r="20021">
      <c r="B20021" s="19"/>
      <c r="E20021" s="23"/>
      <c r="L20021" s="23"/>
    </row>
    <row r="20022">
      <c r="B20022" s="19"/>
      <c r="E20022" s="23"/>
      <c r="L20022" s="23"/>
    </row>
    <row r="20023">
      <c r="B20023" s="19"/>
      <c r="E20023" s="23"/>
      <c r="L20023" s="23"/>
    </row>
    <row r="20024">
      <c r="B20024" s="19"/>
      <c r="E20024" s="23"/>
      <c r="L20024" s="23"/>
    </row>
    <row r="20025">
      <c r="B20025" s="19"/>
      <c r="E20025" s="23"/>
      <c r="L20025" s="23"/>
    </row>
    <row r="20026">
      <c r="B20026" s="19"/>
      <c r="E20026" s="23"/>
      <c r="L20026" s="23"/>
    </row>
    <row r="20027">
      <c r="B20027" s="19"/>
      <c r="E20027" s="23"/>
      <c r="L20027" s="23"/>
    </row>
    <row r="20028">
      <c r="B20028" s="19"/>
      <c r="E20028" s="23"/>
      <c r="L20028" s="23"/>
    </row>
    <row r="20029">
      <c r="B20029" s="19"/>
      <c r="E20029" s="23"/>
      <c r="L20029" s="23"/>
    </row>
    <row r="20030">
      <c r="B20030" s="19"/>
      <c r="E20030" s="23"/>
      <c r="L20030" s="23"/>
    </row>
    <row r="20031">
      <c r="B20031" s="19"/>
      <c r="E20031" s="23"/>
      <c r="L20031" s="23"/>
    </row>
    <row r="20032">
      <c r="B20032" s="19"/>
      <c r="E20032" s="23"/>
      <c r="L20032" s="23"/>
    </row>
    <row r="20033">
      <c r="B20033" s="19"/>
      <c r="E20033" s="23"/>
      <c r="L20033" s="23"/>
    </row>
    <row r="20034">
      <c r="B20034" s="19"/>
      <c r="E20034" s="23"/>
      <c r="L20034" s="23"/>
    </row>
    <row r="20035">
      <c r="B20035" s="19"/>
      <c r="E20035" s="23"/>
      <c r="L20035" s="23"/>
    </row>
    <row r="20036">
      <c r="B20036" s="19"/>
      <c r="E20036" s="23"/>
      <c r="L20036" s="23"/>
    </row>
    <row r="20037">
      <c r="B20037" s="19"/>
      <c r="E20037" s="23"/>
      <c r="L20037" s="23"/>
    </row>
    <row r="20038">
      <c r="B20038" s="19"/>
      <c r="E20038" s="23"/>
      <c r="L20038" s="23"/>
    </row>
    <row r="20039">
      <c r="B20039" s="19"/>
      <c r="E20039" s="23"/>
      <c r="L20039" s="23"/>
    </row>
    <row r="20040">
      <c r="B20040" s="19"/>
      <c r="E20040" s="23"/>
      <c r="L20040" s="23"/>
    </row>
    <row r="20041">
      <c r="B20041" s="19"/>
      <c r="E20041" s="23"/>
      <c r="L20041" s="23"/>
    </row>
    <row r="20042">
      <c r="B20042" s="19"/>
      <c r="E20042" s="23"/>
      <c r="L20042" s="23"/>
    </row>
    <row r="20043">
      <c r="B20043" s="19"/>
      <c r="E20043" s="23"/>
      <c r="L20043" s="23"/>
    </row>
    <row r="20044">
      <c r="B20044" s="19"/>
      <c r="E20044" s="23"/>
      <c r="L20044" s="23"/>
    </row>
    <row r="20045">
      <c r="B20045" s="19"/>
      <c r="E20045" s="23"/>
      <c r="L20045" s="23"/>
    </row>
    <row r="20046">
      <c r="B20046" s="19"/>
      <c r="E20046" s="23"/>
      <c r="L20046" s="23"/>
    </row>
    <row r="20047">
      <c r="B20047" s="19"/>
      <c r="E20047" s="23"/>
      <c r="L20047" s="23"/>
    </row>
    <row r="20048">
      <c r="B20048" s="19"/>
      <c r="E20048" s="23"/>
      <c r="L20048" s="23"/>
    </row>
    <row r="20049">
      <c r="B20049" s="19"/>
      <c r="E20049" s="23"/>
      <c r="L20049" s="23"/>
    </row>
    <row r="20050">
      <c r="B20050" s="19"/>
      <c r="E20050" s="23"/>
      <c r="L20050" s="23"/>
    </row>
    <row r="20051">
      <c r="B20051" s="19"/>
      <c r="E20051" s="23"/>
      <c r="L20051" s="23"/>
    </row>
    <row r="20052">
      <c r="B20052" s="19"/>
      <c r="E20052" s="23"/>
      <c r="L20052" s="23"/>
    </row>
    <row r="20053">
      <c r="B20053" s="19"/>
      <c r="E20053" s="23"/>
      <c r="L20053" s="23"/>
    </row>
    <row r="20054">
      <c r="B20054" s="19"/>
      <c r="E20054" s="23"/>
      <c r="L20054" s="23"/>
    </row>
    <row r="20055">
      <c r="B20055" s="19"/>
      <c r="E20055" s="23"/>
      <c r="L20055" s="23"/>
    </row>
    <row r="20056">
      <c r="B20056" s="19"/>
      <c r="E20056" s="23"/>
      <c r="L20056" s="23"/>
    </row>
    <row r="20057">
      <c r="B20057" s="19"/>
      <c r="E20057" s="23"/>
      <c r="L20057" s="23"/>
    </row>
    <row r="20058">
      <c r="B20058" s="19"/>
      <c r="E20058" s="23"/>
      <c r="L20058" s="23"/>
    </row>
    <row r="20059">
      <c r="B20059" s="19"/>
      <c r="E20059" s="23"/>
      <c r="L20059" s="23"/>
    </row>
    <row r="20060">
      <c r="B20060" s="19"/>
      <c r="E20060" s="23"/>
      <c r="L20060" s="23"/>
    </row>
    <row r="20061">
      <c r="B20061" s="19"/>
      <c r="E20061" s="23"/>
      <c r="L20061" s="23"/>
    </row>
    <row r="20062">
      <c r="B20062" s="19"/>
      <c r="E20062" s="23"/>
      <c r="L20062" s="23"/>
    </row>
    <row r="20063">
      <c r="B20063" s="19"/>
      <c r="E20063" s="23"/>
      <c r="L20063" s="23"/>
    </row>
    <row r="20064">
      <c r="B20064" s="19"/>
      <c r="E20064" s="23"/>
      <c r="L20064" s="23"/>
    </row>
    <row r="20065">
      <c r="B20065" s="19"/>
      <c r="E20065" s="23"/>
      <c r="L20065" s="23"/>
    </row>
    <row r="20066">
      <c r="B20066" s="19"/>
      <c r="E20066" s="23"/>
      <c r="L20066" s="23"/>
    </row>
    <row r="20067">
      <c r="B20067" s="19"/>
      <c r="E20067" s="23"/>
      <c r="L20067" s="23"/>
    </row>
    <row r="20068">
      <c r="B20068" s="19"/>
      <c r="E20068" s="23"/>
      <c r="L20068" s="23"/>
    </row>
    <row r="20069">
      <c r="B20069" s="19"/>
      <c r="E20069" s="23"/>
      <c r="L20069" s="23"/>
    </row>
    <row r="20070">
      <c r="B20070" s="19"/>
      <c r="E20070" s="23"/>
      <c r="L20070" s="23"/>
    </row>
    <row r="20071">
      <c r="B20071" s="19"/>
      <c r="E20071" s="23"/>
      <c r="L20071" s="23"/>
    </row>
    <row r="20072">
      <c r="B20072" s="19"/>
      <c r="E20072" s="23"/>
      <c r="L20072" s="23"/>
    </row>
    <row r="20073">
      <c r="B20073" s="19"/>
      <c r="E20073" s="23"/>
      <c r="L20073" s="23"/>
    </row>
    <row r="20074">
      <c r="B20074" s="19"/>
      <c r="E20074" s="23"/>
      <c r="L20074" s="23"/>
    </row>
    <row r="20075">
      <c r="B20075" s="19"/>
      <c r="E20075" s="23"/>
      <c r="L20075" s="23"/>
    </row>
    <row r="20076">
      <c r="B20076" s="19"/>
      <c r="E20076" s="23"/>
      <c r="L20076" s="23"/>
    </row>
    <row r="20077">
      <c r="B20077" s="19"/>
      <c r="E20077" s="23"/>
      <c r="L20077" s="23"/>
    </row>
    <row r="20078">
      <c r="B20078" s="19"/>
      <c r="E20078" s="23"/>
      <c r="L20078" s="23"/>
    </row>
    <row r="20079">
      <c r="B20079" s="19"/>
      <c r="E20079" s="23"/>
      <c r="L20079" s="23"/>
    </row>
    <row r="20080">
      <c r="B20080" s="19"/>
      <c r="E20080" s="23"/>
      <c r="L20080" s="23"/>
    </row>
    <row r="20081">
      <c r="B20081" s="19"/>
      <c r="E20081" s="23"/>
      <c r="L20081" s="23"/>
    </row>
    <row r="20082">
      <c r="B20082" s="19"/>
      <c r="E20082" s="23"/>
      <c r="L20082" s="23"/>
    </row>
    <row r="20083">
      <c r="B20083" s="19"/>
      <c r="E20083" s="23"/>
      <c r="L20083" s="23"/>
    </row>
    <row r="20084">
      <c r="B20084" s="19"/>
      <c r="E20084" s="23"/>
      <c r="L20084" s="23"/>
    </row>
    <row r="20085">
      <c r="B20085" s="19"/>
      <c r="E20085" s="23"/>
      <c r="L20085" s="23"/>
    </row>
    <row r="20086">
      <c r="B20086" s="19"/>
      <c r="E20086" s="23"/>
      <c r="L20086" s="23"/>
    </row>
    <row r="20087">
      <c r="B20087" s="19"/>
      <c r="E20087" s="23"/>
      <c r="L20087" s="23"/>
    </row>
    <row r="20088">
      <c r="B20088" s="19"/>
      <c r="E20088" s="23"/>
      <c r="L20088" s="23"/>
    </row>
    <row r="20089">
      <c r="B20089" s="19"/>
      <c r="E20089" s="23"/>
      <c r="L20089" s="23"/>
    </row>
    <row r="20090">
      <c r="B20090" s="19"/>
      <c r="E20090" s="23"/>
      <c r="L20090" s="23"/>
    </row>
    <row r="20091">
      <c r="B20091" s="19"/>
      <c r="E20091" s="23"/>
      <c r="L20091" s="23"/>
    </row>
    <row r="20092">
      <c r="B20092" s="19"/>
      <c r="E20092" s="23"/>
      <c r="L20092" s="23"/>
    </row>
    <row r="20093">
      <c r="B20093" s="19"/>
      <c r="E20093" s="23"/>
      <c r="L20093" s="23"/>
    </row>
    <row r="20094">
      <c r="B20094" s="19"/>
      <c r="E20094" s="23"/>
      <c r="L20094" s="23"/>
    </row>
    <row r="20095">
      <c r="B20095" s="19"/>
      <c r="E20095" s="23"/>
      <c r="L20095" s="23"/>
    </row>
    <row r="20096">
      <c r="B20096" s="19"/>
      <c r="E20096" s="23"/>
      <c r="L20096" s="23"/>
    </row>
    <row r="20097">
      <c r="B20097" s="19"/>
      <c r="E20097" s="23"/>
      <c r="L20097" s="23"/>
    </row>
    <row r="20098">
      <c r="B20098" s="19"/>
      <c r="E20098" s="23"/>
      <c r="L20098" s="23"/>
    </row>
    <row r="20099">
      <c r="B20099" s="19"/>
      <c r="E20099" s="23"/>
      <c r="L20099" s="23"/>
    </row>
    <row r="20100">
      <c r="B20100" s="19"/>
      <c r="E20100" s="23"/>
      <c r="L20100" s="23"/>
    </row>
    <row r="20101">
      <c r="B20101" s="19"/>
      <c r="E20101" s="23"/>
      <c r="L20101" s="23"/>
    </row>
    <row r="20102">
      <c r="B20102" s="19"/>
      <c r="E20102" s="23"/>
      <c r="L20102" s="23"/>
    </row>
    <row r="20103">
      <c r="B20103" s="19"/>
      <c r="E20103" s="23"/>
      <c r="L20103" s="23"/>
    </row>
    <row r="20104">
      <c r="B20104" s="19"/>
      <c r="E20104" s="23"/>
      <c r="L20104" s="23"/>
    </row>
    <row r="20105">
      <c r="B20105" s="19"/>
      <c r="E20105" s="23"/>
      <c r="L20105" s="23"/>
    </row>
    <row r="20106">
      <c r="B20106" s="19"/>
      <c r="E20106" s="23"/>
      <c r="L20106" s="23"/>
    </row>
    <row r="20107">
      <c r="B20107" s="19"/>
      <c r="E20107" s="23"/>
      <c r="L20107" s="23"/>
    </row>
    <row r="20108">
      <c r="B20108" s="19"/>
      <c r="E20108" s="23"/>
      <c r="L20108" s="23"/>
    </row>
    <row r="20109">
      <c r="B20109" s="19"/>
      <c r="E20109" s="23"/>
      <c r="L20109" s="23"/>
    </row>
    <row r="20110">
      <c r="B20110" s="19"/>
      <c r="E20110" s="23"/>
      <c r="L20110" s="23"/>
    </row>
    <row r="20111">
      <c r="B20111" s="19"/>
      <c r="E20111" s="23"/>
      <c r="L20111" s="23"/>
    </row>
    <row r="20112">
      <c r="B20112" s="19"/>
      <c r="E20112" s="23"/>
      <c r="L20112" s="23"/>
    </row>
    <row r="20113">
      <c r="B20113" s="19"/>
      <c r="E20113" s="23"/>
      <c r="L20113" s="23"/>
    </row>
    <row r="20114">
      <c r="B20114" s="19"/>
      <c r="E20114" s="23"/>
      <c r="L20114" s="23"/>
    </row>
    <row r="20115">
      <c r="B20115" s="19"/>
      <c r="E20115" s="23"/>
      <c r="L20115" s="23"/>
    </row>
    <row r="20116">
      <c r="B20116" s="19"/>
      <c r="E20116" s="23"/>
      <c r="L20116" s="23"/>
    </row>
    <row r="20117">
      <c r="B20117" s="19"/>
      <c r="E20117" s="23"/>
      <c r="L20117" s="23"/>
    </row>
    <row r="20118">
      <c r="B20118" s="19"/>
      <c r="E20118" s="23"/>
      <c r="L20118" s="23"/>
    </row>
    <row r="20119">
      <c r="B20119" s="19"/>
      <c r="E20119" s="23"/>
      <c r="L20119" s="23"/>
    </row>
    <row r="20120">
      <c r="B20120" s="19"/>
      <c r="E20120" s="23"/>
      <c r="L20120" s="23"/>
    </row>
    <row r="20121">
      <c r="B20121" s="19"/>
      <c r="E20121" s="23"/>
      <c r="L20121" s="23"/>
    </row>
    <row r="20122">
      <c r="B20122" s="19"/>
      <c r="E20122" s="23"/>
      <c r="L20122" s="23"/>
    </row>
    <row r="20123">
      <c r="B20123" s="19"/>
      <c r="E20123" s="23"/>
      <c r="L20123" s="23"/>
    </row>
    <row r="20124">
      <c r="B20124" s="19"/>
      <c r="E20124" s="23"/>
      <c r="L20124" s="23"/>
    </row>
    <row r="20125">
      <c r="B20125" s="19"/>
      <c r="E20125" s="23"/>
      <c r="L20125" s="23"/>
    </row>
    <row r="20126">
      <c r="B20126" s="19"/>
      <c r="E20126" s="23"/>
      <c r="L20126" s="23"/>
    </row>
    <row r="20127">
      <c r="B20127" s="19"/>
      <c r="E20127" s="23"/>
      <c r="L20127" s="23"/>
    </row>
    <row r="20128">
      <c r="B20128" s="19"/>
      <c r="E20128" s="23"/>
      <c r="L20128" s="23"/>
    </row>
    <row r="20129">
      <c r="B20129" s="19"/>
      <c r="E20129" s="23"/>
      <c r="L20129" s="23"/>
    </row>
    <row r="20130">
      <c r="B20130" s="19"/>
      <c r="E20130" s="23"/>
      <c r="L20130" s="23"/>
    </row>
    <row r="20131">
      <c r="B20131" s="19"/>
      <c r="E20131" s="23"/>
      <c r="L20131" s="23"/>
    </row>
    <row r="20132">
      <c r="B20132" s="19"/>
      <c r="E20132" s="23"/>
      <c r="L20132" s="23"/>
    </row>
    <row r="20133">
      <c r="B20133" s="19"/>
      <c r="E20133" s="23"/>
      <c r="L20133" s="23"/>
    </row>
    <row r="20134">
      <c r="B20134" s="19"/>
      <c r="E20134" s="23"/>
      <c r="L20134" s="23"/>
    </row>
    <row r="20135">
      <c r="B20135" s="19"/>
      <c r="E20135" s="23"/>
      <c r="L20135" s="23"/>
    </row>
    <row r="20136">
      <c r="B20136" s="19"/>
      <c r="E20136" s="23"/>
      <c r="L20136" s="23"/>
    </row>
    <row r="20137">
      <c r="B20137" s="19"/>
      <c r="E20137" s="23"/>
      <c r="L20137" s="23"/>
    </row>
    <row r="20138">
      <c r="B20138" s="19"/>
      <c r="E20138" s="23"/>
      <c r="L20138" s="23"/>
    </row>
    <row r="20139">
      <c r="B20139" s="19"/>
      <c r="E20139" s="23"/>
      <c r="L20139" s="23"/>
    </row>
    <row r="20140">
      <c r="B20140" s="19"/>
      <c r="E20140" s="23"/>
      <c r="L20140" s="23"/>
    </row>
    <row r="20141">
      <c r="B20141" s="19"/>
      <c r="E20141" s="23"/>
      <c r="L20141" s="23"/>
    </row>
    <row r="20142">
      <c r="B20142" s="19"/>
      <c r="E20142" s="23"/>
      <c r="L20142" s="23"/>
    </row>
    <row r="20143">
      <c r="B20143" s="19"/>
      <c r="E20143" s="23"/>
      <c r="L20143" s="23"/>
    </row>
    <row r="20144">
      <c r="B20144" s="19"/>
      <c r="E20144" s="23"/>
      <c r="L20144" s="23"/>
    </row>
    <row r="20145">
      <c r="B20145" s="19"/>
      <c r="E20145" s="23"/>
      <c r="L20145" s="23"/>
    </row>
    <row r="20146">
      <c r="B20146" s="19"/>
      <c r="E20146" s="23"/>
      <c r="L20146" s="23"/>
    </row>
    <row r="20147">
      <c r="B20147" s="19"/>
      <c r="E20147" s="23"/>
      <c r="L20147" s="23"/>
    </row>
    <row r="20148">
      <c r="B20148" s="19"/>
      <c r="E20148" s="23"/>
      <c r="L20148" s="23"/>
    </row>
    <row r="20149">
      <c r="B20149" s="19"/>
      <c r="E20149" s="23"/>
      <c r="L20149" s="23"/>
    </row>
    <row r="20150">
      <c r="B20150" s="19"/>
      <c r="E20150" s="23"/>
      <c r="L20150" s="23"/>
    </row>
    <row r="20151">
      <c r="B20151" s="19"/>
      <c r="E20151" s="23"/>
      <c r="L20151" s="23"/>
    </row>
    <row r="20152">
      <c r="B20152" s="19"/>
      <c r="E20152" s="23"/>
      <c r="L20152" s="23"/>
    </row>
    <row r="20153">
      <c r="B20153" s="19"/>
      <c r="E20153" s="23"/>
      <c r="L20153" s="23"/>
    </row>
    <row r="20154">
      <c r="B20154" s="19"/>
      <c r="E20154" s="23"/>
      <c r="L20154" s="23"/>
    </row>
    <row r="20155">
      <c r="B20155" s="19"/>
      <c r="E20155" s="23"/>
      <c r="L20155" s="23"/>
    </row>
    <row r="20156">
      <c r="B20156" s="19"/>
      <c r="E20156" s="23"/>
      <c r="L20156" s="23"/>
    </row>
    <row r="20157">
      <c r="B20157" s="19"/>
      <c r="E20157" s="23"/>
      <c r="L20157" s="23"/>
    </row>
    <row r="20158">
      <c r="B20158" s="19"/>
      <c r="E20158" s="23"/>
      <c r="L20158" s="23"/>
    </row>
    <row r="20159">
      <c r="B20159" s="19"/>
      <c r="E20159" s="23"/>
      <c r="L20159" s="23"/>
    </row>
    <row r="20160">
      <c r="B20160" s="19"/>
      <c r="E20160" s="23"/>
      <c r="L20160" s="23"/>
    </row>
    <row r="20161">
      <c r="B20161" s="19"/>
      <c r="E20161" s="23"/>
      <c r="L20161" s="23"/>
    </row>
    <row r="20162">
      <c r="B20162" s="19"/>
      <c r="E20162" s="23"/>
      <c r="L20162" s="23"/>
    </row>
    <row r="20163">
      <c r="B20163" s="19"/>
      <c r="E20163" s="23"/>
      <c r="L20163" s="23"/>
    </row>
    <row r="20164">
      <c r="B20164" s="19"/>
      <c r="E20164" s="23"/>
      <c r="L20164" s="23"/>
    </row>
    <row r="20165">
      <c r="B20165" s="19"/>
      <c r="E20165" s="23"/>
      <c r="L20165" s="23"/>
    </row>
    <row r="20166">
      <c r="B20166" s="19"/>
      <c r="E20166" s="23"/>
      <c r="L20166" s="23"/>
    </row>
    <row r="20167">
      <c r="B20167" s="19"/>
      <c r="E20167" s="23"/>
      <c r="L20167" s="23"/>
    </row>
    <row r="20168">
      <c r="B20168" s="19"/>
      <c r="E20168" s="23"/>
      <c r="L20168" s="23"/>
    </row>
    <row r="20169">
      <c r="B20169" s="19"/>
      <c r="E20169" s="23"/>
      <c r="L20169" s="23"/>
    </row>
    <row r="20170">
      <c r="B20170" s="19"/>
      <c r="E20170" s="23"/>
      <c r="L20170" s="23"/>
    </row>
    <row r="20171">
      <c r="B20171" s="19"/>
      <c r="E20171" s="23"/>
      <c r="L20171" s="23"/>
    </row>
    <row r="20172">
      <c r="B20172" s="19"/>
      <c r="E20172" s="23"/>
      <c r="L20172" s="23"/>
    </row>
    <row r="20173">
      <c r="B20173" s="19"/>
      <c r="E20173" s="23"/>
      <c r="L20173" s="23"/>
    </row>
    <row r="20174">
      <c r="B20174" s="19"/>
      <c r="E20174" s="23"/>
      <c r="L20174" s="23"/>
    </row>
    <row r="20175">
      <c r="B20175" s="19"/>
      <c r="E20175" s="23"/>
      <c r="L20175" s="23"/>
    </row>
    <row r="20176">
      <c r="B20176" s="19"/>
      <c r="E20176" s="23"/>
      <c r="L20176" s="23"/>
    </row>
    <row r="20177">
      <c r="B20177" s="19"/>
      <c r="E20177" s="23"/>
      <c r="L20177" s="23"/>
    </row>
    <row r="20178">
      <c r="B20178" s="19"/>
      <c r="E20178" s="23"/>
      <c r="L20178" s="23"/>
    </row>
    <row r="20179">
      <c r="B20179" s="19"/>
      <c r="E20179" s="23"/>
      <c r="L20179" s="23"/>
    </row>
    <row r="20180">
      <c r="B20180" s="19"/>
      <c r="E20180" s="23"/>
      <c r="L20180" s="23"/>
    </row>
    <row r="20181">
      <c r="B20181" s="19"/>
      <c r="E20181" s="23"/>
      <c r="L20181" s="23"/>
    </row>
    <row r="20182">
      <c r="B20182" s="19"/>
      <c r="E20182" s="23"/>
      <c r="L20182" s="23"/>
    </row>
    <row r="20183">
      <c r="B20183" s="19"/>
      <c r="E20183" s="23"/>
      <c r="L20183" s="23"/>
    </row>
    <row r="20184">
      <c r="B20184" s="19"/>
      <c r="E20184" s="23"/>
      <c r="L20184" s="23"/>
    </row>
    <row r="20185">
      <c r="B20185" s="19"/>
      <c r="E20185" s="23"/>
      <c r="L20185" s="23"/>
    </row>
    <row r="20186">
      <c r="B20186" s="19"/>
      <c r="E20186" s="23"/>
      <c r="L20186" s="23"/>
    </row>
    <row r="20187">
      <c r="B20187" s="19"/>
      <c r="E20187" s="23"/>
      <c r="L20187" s="23"/>
    </row>
    <row r="20188">
      <c r="B20188" s="19"/>
      <c r="E20188" s="23"/>
      <c r="L20188" s="23"/>
    </row>
    <row r="20189">
      <c r="B20189" s="19"/>
      <c r="E20189" s="23"/>
      <c r="L20189" s="23"/>
    </row>
    <row r="20190">
      <c r="B20190" s="19"/>
      <c r="E20190" s="23"/>
      <c r="L20190" s="23"/>
    </row>
    <row r="20191">
      <c r="B20191" s="19"/>
      <c r="E20191" s="23"/>
      <c r="L20191" s="23"/>
    </row>
    <row r="20192">
      <c r="B20192" s="19"/>
      <c r="E20192" s="23"/>
      <c r="L20192" s="23"/>
    </row>
    <row r="20193">
      <c r="B20193" s="19"/>
      <c r="E20193" s="23"/>
      <c r="L20193" s="23"/>
    </row>
    <row r="20194">
      <c r="B20194" s="19"/>
      <c r="E20194" s="23"/>
      <c r="L20194" s="23"/>
    </row>
    <row r="20195">
      <c r="B20195" s="19"/>
      <c r="E20195" s="23"/>
      <c r="L20195" s="23"/>
    </row>
    <row r="20196">
      <c r="B20196" s="19"/>
      <c r="E20196" s="23"/>
      <c r="L20196" s="23"/>
    </row>
    <row r="20197">
      <c r="B20197" s="19"/>
      <c r="E20197" s="23"/>
      <c r="L20197" s="23"/>
    </row>
    <row r="20198">
      <c r="B20198" s="19"/>
      <c r="E20198" s="23"/>
      <c r="L20198" s="23"/>
    </row>
    <row r="20199">
      <c r="B20199" s="19"/>
      <c r="E20199" s="23"/>
      <c r="L20199" s="23"/>
    </row>
    <row r="20200">
      <c r="B20200" s="19"/>
      <c r="E20200" s="23"/>
      <c r="L20200" s="23"/>
    </row>
    <row r="20201">
      <c r="B20201" s="19"/>
      <c r="E20201" s="23"/>
      <c r="L20201" s="23"/>
    </row>
    <row r="20202">
      <c r="B20202" s="19"/>
      <c r="E20202" s="23"/>
      <c r="L20202" s="23"/>
    </row>
    <row r="20203">
      <c r="B20203" s="19"/>
      <c r="E20203" s="23"/>
      <c r="L20203" s="23"/>
    </row>
    <row r="20204">
      <c r="B20204" s="19"/>
      <c r="E20204" s="23"/>
      <c r="L20204" s="23"/>
    </row>
    <row r="20205">
      <c r="B20205" s="19"/>
      <c r="E20205" s="23"/>
      <c r="L20205" s="23"/>
    </row>
    <row r="20206">
      <c r="B20206" s="19"/>
      <c r="E20206" s="23"/>
      <c r="L20206" s="23"/>
    </row>
    <row r="20207">
      <c r="B20207" s="19"/>
      <c r="E20207" s="23"/>
      <c r="L20207" s="23"/>
    </row>
    <row r="20208">
      <c r="B20208" s="19"/>
      <c r="E20208" s="23"/>
      <c r="L20208" s="23"/>
    </row>
    <row r="20209">
      <c r="B20209" s="19"/>
      <c r="E20209" s="23"/>
      <c r="L20209" s="23"/>
    </row>
    <row r="20210">
      <c r="B20210" s="19"/>
      <c r="E20210" s="23"/>
      <c r="L20210" s="23"/>
    </row>
    <row r="20211">
      <c r="B20211" s="19"/>
      <c r="E20211" s="23"/>
      <c r="L20211" s="23"/>
    </row>
    <row r="20212">
      <c r="B20212" s="19"/>
      <c r="E20212" s="23"/>
      <c r="L20212" s="23"/>
    </row>
    <row r="20213">
      <c r="B20213" s="19"/>
      <c r="E20213" s="23"/>
      <c r="L20213" s="23"/>
    </row>
    <row r="20214">
      <c r="B20214" s="19"/>
      <c r="E20214" s="23"/>
      <c r="L20214" s="23"/>
    </row>
    <row r="20215">
      <c r="B20215" s="19"/>
      <c r="E20215" s="23"/>
      <c r="L20215" s="23"/>
    </row>
    <row r="20216">
      <c r="B20216" s="19"/>
      <c r="E20216" s="23"/>
      <c r="L20216" s="23"/>
    </row>
    <row r="20217">
      <c r="B20217" s="19"/>
      <c r="E20217" s="23"/>
      <c r="L20217" s="23"/>
    </row>
    <row r="20218">
      <c r="B20218" s="19"/>
      <c r="E20218" s="23"/>
      <c r="L20218" s="23"/>
    </row>
    <row r="20219">
      <c r="B20219" s="19"/>
      <c r="E20219" s="23"/>
      <c r="L20219" s="23"/>
    </row>
    <row r="20220">
      <c r="B20220" s="19"/>
      <c r="E20220" s="23"/>
      <c r="L20220" s="23"/>
    </row>
    <row r="20221">
      <c r="B20221" s="19"/>
      <c r="E20221" s="23"/>
      <c r="L20221" s="23"/>
    </row>
    <row r="20222">
      <c r="B20222" s="19"/>
      <c r="E20222" s="23"/>
      <c r="L20222" s="23"/>
    </row>
    <row r="20223">
      <c r="B20223" s="19"/>
      <c r="E20223" s="23"/>
      <c r="L20223" s="23"/>
    </row>
    <row r="20224">
      <c r="B20224" s="19"/>
      <c r="E20224" s="23"/>
      <c r="L20224" s="23"/>
    </row>
    <row r="20225">
      <c r="B20225" s="19"/>
      <c r="E20225" s="23"/>
      <c r="L20225" s="23"/>
    </row>
    <row r="20226">
      <c r="B20226" s="19"/>
      <c r="E20226" s="23"/>
      <c r="L20226" s="23"/>
    </row>
    <row r="20227">
      <c r="B20227" s="19"/>
      <c r="E20227" s="23"/>
      <c r="L20227" s="23"/>
    </row>
    <row r="20228">
      <c r="B20228" s="19"/>
      <c r="E20228" s="23"/>
      <c r="L20228" s="23"/>
    </row>
    <row r="20229">
      <c r="B20229" s="19"/>
      <c r="E20229" s="23"/>
      <c r="L20229" s="23"/>
    </row>
    <row r="20230">
      <c r="B20230" s="19"/>
      <c r="E20230" s="23"/>
      <c r="L20230" s="23"/>
    </row>
    <row r="20231">
      <c r="B20231" s="19"/>
      <c r="E20231" s="23"/>
      <c r="L20231" s="23"/>
    </row>
    <row r="20232">
      <c r="B20232" s="19"/>
      <c r="E20232" s="23"/>
      <c r="L20232" s="23"/>
    </row>
    <row r="20233">
      <c r="B20233" s="19"/>
      <c r="E20233" s="23"/>
      <c r="L20233" s="23"/>
    </row>
    <row r="20234">
      <c r="B20234" s="19"/>
      <c r="E20234" s="23"/>
      <c r="L20234" s="23"/>
    </row>
    <row r="20235">
      <c r="B20235" s="19"/>
      <c r="E20235" s="23"/>
      <c r="L20235" s="23"/>
    </row>
    <row r="20236">
      <c r="B20236" s="19"/>
      <c r="E20236" s="23"/>
      <c r="L20236" s="23"/>
    </row>
    <row r="20237">
      <c r="B20237" s="19"/>
      <c r="E20237" s="23"/>
      <c r="L20237" s="23"/>
    </row>
    <row r="20238">
      <c r="B20238" s="19"/>
      <c r="E20238" s="23"/>
      <c r="L20238" s="23"/>
    </row>
    <row r="20239">
      <c r="B20239" s="19"/>
      <c r="E20239" s="23"/>
      <c r="L20239" s="23"/>
    </row>
    <row r="20240">
      <c r="B20240" s="19"/>
      <c r="E20240" s="23"/>
      <c r="L20240" s="23"/>
    </row>
    <row r="20241">
      <c r="B20241" s="19"/>
      <c r="E20241" s="23"/>
      <c r="L20241" s="23"/>
    </row>
    <row r="20242">
      <c r="B20242" s="19"/>
      <c r="E20242" s="23"/>
      <c r="L20242" s="23"/>
    </row>
    <row r="20243">
      <c r="B20243" s="19"/>
      <c r="E20243" s="23"/>
      <c r="L20243" s="23"/>
    </row>
    <row r="20244">
      <c r="B20244" s="19"/>
      <c r="E20244" s="23"/>
      <c r="L20244" s="23"/>
    </row>
    <row r="20245">
      <c r="B20245" s="19"/>
      <c r="E20245" s="23"/>
      <c r="L20245" s="23"/>
    </row>
    <row r="20246">
      <c r="B20246" s="19"/>
      <c r="E20246" s="23"/>
      <c r="L20246" s="23"/>
    </row>
    <row r="20247">
      <c r="B20247" s="19"/>
      <c r="E20247" s="23"/>
      <c r="L20247" s="23"/>
    </row>
    <row r="20248">
      <c r="B20248" s="19"/>
      <c r="E20248" s="23"/>
      <c r="L20248" s="23"/>
    </row>
    <row r="20249">
      <c r="B20249" s="19"/>
      <c r="E20249" s="23"/>
      <c r="L20249" s="23"/>
    </row>
    <row r="20250">
      <c r="B20250" s="19"/>
      <c r="E20250" s="23"/>
      <c r="L20250" s="23"/>
    </row>
    <row r="20251">
      <c r="B20251" s="19"/>
      <c r="E20251" s="23"/>
      <c r="L20251" s="23"/>
    </row>
    <row r="20252">
      <c r="B20252" s="19"/>
      <c r="E20252" s="23"/>
      <c r="L20252" s="23"/>
    </row>
    <row r="20253">
      <c r="B20253" s="19"/>
      <c r="E20253" s="23"/>
      <c r="L20253" s="23"/>
    </row>
    <row r="20254">
      <c r="B20254" s="19"/>
      <c r="E20254" s="23"/>
      <c r="L20254" s="23"/>
    </row>
    <row r="20255">
      <c r="B20255" s="19"/>
      <c r="E20255" s="23"/>
      <c r="L20255" s="23"/>
    </row>
    <row r="20256">
      <c r="B20256" s="19"/>
      <c r="E20256" s="23"/>
      <c r="L20256" s="23"/>
    </row>
    <row r="20257">
      <c r="B20257" s="19"/>
      <c r="E20257" s="23"/>
      <c r="L20257" s="23"/>
    </row>
    <row r="20258">
      <c r="B20258" s="19"/>
      <c r="E20258" s="23"/>
      <c r="L20258" s="23"/>
    </row>
    <row r="20259">
      <c r="B20259" s="19"/>
      <c r="E20259" s="23"/>
      <c r="L20259" s="23"/>
    </row>
    <row r="20260">
      <c r="B20260" s="19"/>
      <c r="E20260" s="23"/>
      <c r="L20260" s="23"/>
    </row>
    <row r="20261">
      <c r="B20261" s="19"/>
      <c r="E20261" s="23"/>
      <c r="L20261" s="23"/>
    </row>
    <row r="20262">
      <c r="B20262" s="19"/>
      <c r="E20262" s="23"/>
      <c r="L20262" s="23"/>
    </row>
    <row r="20263">
      <c r="B20263" s="19"/>
      <c r="E20263" s="23"/>
      <c r="L20263" s="23"/>
    </row>
    <row r="20264">
      <c r="B20264" s="19"/>
      <c r="E20264" s="23"/>
      <c r="L20264" s="23"/>
    </row>
    <row r="20265">
      <c r="B20265" s="19"/>
      <c r="E20265" s="23"/>
      <c r="L20265" s="23"/>
    </row>
    <row r="20266">
      <c r="B20266" s="19"/>
      <c r="E20266" s="23"/>
      <c r="L20266" s="23"/>
    </row>
    <row r="20267">
      <c r="B20267" s="19"/>
      <c r="E20267" s="23"/>
      <c r="L20267" s="23"/>
    </row>
    <row r="20268">
      <c r="B20268" s="19"/>
      <c r="E20268" s="23"/>
      <c r="L20268" s="23"/>
    </row>
    <row r="20269">
      <c r="B20269" s="19"/>
      <c r="E20269" s="23"/>
      <c r="L20269" s="23"/>
    </row>
    <row r="20270">
      <c r="B20270" s="19"/>
      <c r="E20270" s="23"/>
      <c r="L20270" s="23"/>
    </row>
    <row r="20271">
      <c r="B20271" s="19"/>
      <c r="E20271" s="23"/>
      <c r="L20271" s="23"/>
    </row>
    <row r="20272">
      <c r="B20272" s="19"/>
      <c r="E20272" s="23"/>
      <c r="L20272" s="23"/>
    </row>
    <row r="20273">
      <c r="B20273" s="19"/>
      <c r="E20273" s="23"/>
      <c r="L20273" s="23"/>
    </row>
    <row r="20274">
      <c r="B20274" s="19"/>
      <c r="E20274" s="23"/>
      <c r="L20274" s="23"/>
    </row>
    <row r="20275">
      <c r="B20275" s="19"/>
      <c r="E20275" s="23"/>
      <c r="L20275" s="23"/>
    </row>
    <row r="20276">
      <c r="B20276" s="19"/>
      <c r="E20276" s="23"/>
      <c r="L20276" s="23"/>
    </row>
    <row r="20277">
      <c r="B20277" s="19"/>
      <c r="E20277" s="23"/>
      <c r="L20277" s="23"/>
    </row>
    <row r="20278">
      <c r="B20278" s="19"/>
      <c r="E20278" s="23"/>
      <c r="L20278" s="23"/>
    </row>
    <row r="20279">
      <c r="B20279" s="19"/>
      <c r="E20279" s="23"/>
      <c r="L20279" s="23"/>
    </row>
    <row r="20280">
      <c r="B20280" s="19"/>
      <c r="E20280" s="23"/>
      <c r="L20280" s="23"/>
    </row>
    <row r="20281">
      <c r="B20281" s="19"/>
      <c r="E20281" s="23"/>
      <c r="L20281" s="23"/>
    </row>
    <row r="20282">
      <c r="B20282" s="19"/>
      <c r="E20282" s="23"/>
      <c r="L20282" s="23"/>
    </row>
    <row r="20283">
      <c r="B20283" s="19"/>
      <c r="E20283" s="23"/>
      <c r="L20283" s="23"/>
    </row>
    <row r="20284">
      <c r="B20284" s="19"/>
      <c r="E20284" s="23"/>
      <c r="L20284" s="23"/>
    </row>
    <row r="20285">
      <c r="B20285" s="19"/>
      <c r="E20285" s="23"/>
      <c r="L20285" s="23"/>
    </row>
    <row r="20286">
      <c r="B20286" s="19"/>
      <c r="E20286" s="23"/>
      <c r="L20286" s="23"/>
    </row>
    <row r="20287">
      <c r="B20287" s="19"/>
      <c r="E20287" s="23"/>
      <c r="L20287" s="23"/>
    </row>
    <row r="20288">
      <c r="B20288" s="19"/>
      <c r="E20288" s="23"/>
      <c r="L20288" s="23"/>
    </row>
    <row r="20289">
      <c r="B20289" s="19"/>
      <c r="E20289" s="23"/>
      <c r="L20289" s="23"/>
    </row>
    <row r="20290">
      <c r="B20290" s="19"/>
      <c r="E20290" s="23"/>
      <c r="L20290" s="23"/>
    </row>
    <row r="20291">
      <c r="B20291" s="19"/>
      <c r="E20291" s="23"/>
      <c r="L20291" s="23"/>
    </row>
    <row r="20292">
      <c r="B20292" s="19"/>
      <c r="E20292" s="23"/>
      <c r="L20292" s="23"/>
    </row>
    <row r="20293">
      <c r="B20293" s="19"/>
      <c r="E20293" s="23"/>
      <c r="L20293" s="23"/>
    </row>
    <row r="20294">
      <c r="B20294" s="19"/>
      <c r="E20294" s="23"/>
      <c r="L20294" s="23"/>
    </row>
    <row r="20295">
      <c r="B20295" s="19"/>
      <c r="E20295" s="23"/>
      <c r="L20295" s="23"/>
    </row>
    <row r="20296">
      <c r="B20296" s="19"/>
      <c r="E20296" s="23"/>
      <c r="L20296" s="23"/>
    </row>
    <row r="20297">
      <c r="B20297" s="19"/>
      <c r="E20297" s="23"/>
      <c r="L20297" s="23"/>
    </row>
    <row r="20298">
      <c r="B20298" s="19"/>
      <c r="E20298" s="23"/>
      <c r="L20298" s="23"/>
    </row>
    <row r="20299">
      <c r="B20299" s="19"/>
      <c r="E20299" s="23"/>
      <c r="L20299" s="23"/>
    </row>
    <row r="20300">
      <c r="B20300" s="19"/>
      <c r="E20300" s="23"/>
      <c r="L20300" s="23"/>
    </row>
    <row r="20301">
      <c r="B20301" s="19"/>
      <c r="E20301" s="23"/>
      <c r="L20301" s="23"/>
    </row>
    <row r="20302">
      <c r="B20302" s="19"/>
      <c r="E20302" s="23"/>
      <c r="L20302" s="23"/>
    </row>
    <row r="20303">
      <c r="B20303" s="19"/>
      <c r="E20303" s="23"/>
      <c r="L20303" s="23"/>
    </row>
    <row r="20304">
      <c r="B20304" s="19"/>
      <c r="E20304" s="23"/>
      <c r="L20304" s="23"/>
    </row>
    <row r="20305">
      <c r="B20305" s="19"/>
      <c r="E20305" s="23"/>
      <c r="L20305" s="23"/>
    </row>
    <row r="20306">
      <c r="B20306" s="19"/>
      <c r="E20306" s="23"/>
      <c r="L20306" s="23"/>
    </row>
    <row r="20307">
      <c r="B20307" s="19"/>
      <c r="E20307" s="23"/>
      <c r="L20307" s="23"/>
    </row>
    <row r="20308">
      <c r="B20308" s="19"/>
      <c r="E20308" s="23"/>
      <c r="L20308" s="23"/>
    </row>
    <row r="20309">
      <c r="B20309" s="19"/>
      <c r="E20309" s="23"/>
      <c r="L20309" s="23"/>
    </row>
    <row r="20310">
      <c r="B20310" s="19"/>
      <c r="E20310" s="23"/>
      <c r="L20310" s="23"/>
    </row>
    <row r="20311">
      <c r="B20311" s="19"/>
      <c r="E20311" s="23"/>
      <c r="L20311" s="23"/>
    </row>
    <row r="20312">
      <c r="B20312" s="19"/>
      <c r="E20312" s="23"/>
      <c r="L20312" s="23"/>
    </row>
    <row r="20313">
      <c r="B20313" s="19"/>
      <c r="E20313" s="23"/>
      <c r="L20313" s="23"/>
    </row>
    <row r="20314">
      <c r="B20314" s="19"/>
      <c r="E20314" s="23"/>
      <c r="L20314" s="23"/>
    </row>
    <row r="20315">
      <c r="B20315" s="19"/>
      <c r="E20315" s="23"/>
      <c r="L20315" s="23"/>
    </row>
    <row r="20316">
      <c r="B20316" s="19"/>
      <c r="E20316" s="23"/>
      <c r="L20316" s="23"/>
    </row>
    <row r="20317">
      <c r="B20317" s="19"/>
      <c r="E20317" s="23"/>
      <c r="L20317" s="23"/>
    </row>
    <row r="20318">
      <c r="B20318" s="19"/>
      <c r="E20318" s="23"/>
      <c r="L20318" s="23"/>
    </row>
    <row r="20319">
      <c r="B20319" s="19"/>
      <c r="E20319" s="23"/>
      <c r="L20319" s="23"/>
    </row>
    <row r="20320">
      <c r="B20320" s="19"/>
      <c r="E20320" s="23"/>
      <c r="L20320" s="23"/>
    </row>
    <row r="20321">
      <c r="B20321" s="19"/>
      <c r="E20321" s="23"/>
      <c r="L20321" s="23"/>
    </row>
    <row r="20322">
      <c r="B20322" s="19"/>
      <c r="E20322" s="23"/>
      <c r="L20322" s="23"/>
    </row>
    <row r="20323">
      <c r="B20323" s="19"/>
      <c r="E20323" s="23"/>
      <c r="L20323" s="23"/>
    </row>
    <row r="20324">
      <c r="B20324" s="19"/>
      <c r="E20324" s="23"/>
      <c r="L20324" s="23"/>
    </row>
    <row r="20325">
      <c r="B20325" s="19"/>
      <c r="E20325" s="23"/>
      <c r="L20325" s="23"/>
    </row>
    <row r="20326">
      <c r="B20326" s="19"/>
      <c r="E20326" s="23"/>
      <c r="L20326" s="23"/>
    </row>
    <row r="20327">
      <c r="B20327" s="19"/>
      <c r="E20327" s="23"/>
      <c r="L20327" s="23"/>
    </row>
    <row r="20328">
      <c r="B20328" s="19"/>
      <c r="E20328" s="23"/>
      <c r="L20328" s="23"/>
    </row>
    <row r="20329">
      <c r="B20329" s="19"/>
      <c r="E20329" s="23"/>
      <c r="L20329" s="23"/>
    </row>
    <row r="20330">
      <c r="B20330" s="19"/>
      <c r="E20330" s="23"/>
      <c r="L20330" s="23"/>
    </row>
    <row r="20331">
      <c r="B20331" s="19"/>
      <c r="E20331" s="23"/>
      <c r="L20331" s="23"/>
    </row>
    <row r="20332">
      <c r="B20332" s="19"/>
      <c r="E20332" s="23"/>
      <c r="L20332" s="23"/>
    </row>
    <row r="20333">
      <c r="B20333" s="19"/>
      <c r="E20333" s="23"/>
      <c r="L20333" s="23"/>
    </row>
    <row r="20334">
      <c r="B20334" s="19"/>
      <c r="E20334" s="23"/>
      <c r="L20334" s="23"/>
    </row>
    <row r="20335">
      <c r="B20335" s="19"/>
      <c r="E20335" s="23"/>
      <c r="L20335" s="23"/>
    </row>
    <row r="20336">
      <c r="B20336" s="19"/>
      <c r="E20336" s="23"/>
      <c r="L20336" s="23"/>
    </row>
    <row r="20337">
      <c r="B20337" s="19"/>
      <c r="E20337" s="23"/>
      <c r="L20337" s="23"/>
    </row>
    <row r="20338">
      <c r="B20338" s="19"/>
      <c r="E20338" s="23"/>
      <c r="L20338" s="23"/>
    </row>
    <row r="20339">
      <c r="B20339" s="19"/>
      <c r="E20339" s="23"/>
      <c r="L20339" s="23"/>
    </row>
    <row r="20340">
      <c r="B20340" s="19"/>
      <c r="E20340" s="23"/>
      <c r="L20340" s="23"/>
    </row>
    <row r="20341">
      <c r="B20341" s="19"/>
      <c r="E20341" s="23"/>
      <c r="L20341" s="23"/>
    </row>
    <row r="20342">
      <c r="B20342" s="19"/>
      <c r="E20342" s="23"/>
      <c r="L20342" s="23"/>
    </row>
    <row r="20343">
      <c r="B20343" s="19"/>
      <c r="E20343" s="23"/>
      <c r="L20343" s="23"/>
    </row>
    <row r="20344">
      <c r="B20344" s="19"/>
      <c r="E20344" s="23"/>
      <c r="L20344" s="23"/>
    </row>
    <row r="20345">
      <c r="B20345" s="19"/>
      <c r="E20345" s="23"/>
      <c r="L20345" s="23"/>
    </row>
    <row r="20346">
      <c r="B20346" s="19"/>
      <c r="E20346" s="23"/>
      <c r="L20346" s="23"/>
    </row>
    <row r="20347">
      <c r="B20347" s="19"/>
      <c r="E20347" s="23"/>
      <c r="L20347" s="23"/>
    </row>
    <row r="20348">
      <c r="B20348" s="19"/>
      <c r="E20348" s="23"/>
      <c r="L20348" s="23"/>
    </row>
    <row r="20349">
      <c r="B20349" s="19"/>
      <c r="E20349" s="23"/>
      <c r="L20349" s="23"/>
    </row>
    <row r="20350">
      <c r="B20350" s="19"/>
      <c r="E20350" s="23"/>
      <c r="L20350" s="23"/>
    </row>
    <row r="20351">
      <c r="B20351" s="19"/>
      <c r="E20351" s="23"/>
      <c r="L20351" s="23"/>
    </row>
    <row r="20352">
      <c r="B20352" s="19"/>
      <c r="E20352" s="23"/>
      <c r="L20352" s="23"/>
    </row>
    <row r="20353">
      <c r="B20353" s="19"/>
      <c r="E20353" s="23"/>
      <c r="L20353" s="23"/>
    </row>
    <row r="20354">
      <c r="B20354" s="19"/>
      <c r="E20354" s="23"/>
      <c r="L20354" s="23"/>
    </row>
    <row r="20355">
      <c r="B20355" s="19"/>
      <c r="E20355" s="23"/>
      <c r="L20355" s="23"/>
    </row>
    <row r="20356">
      <c r="B20356" s="19"/>
      <c r="E20356" s="23"/>
      <c r="L20356" s="23"/>
    </row>
    <row r="20357">
      <c r="B20357" s="19"/>
      <c r="E20357" s="23"/>
      <c r="L20357" s="23"/>
    </row>
    <row r="20358">
      <c r="B20358" s="19"/>
      <c r="E20358" s="23"/>
      <c r="L20358" s="23"/>
    </row>
    <row r="20359">
      <c r="B20359" s="19"/>
      <c r="E20359" s="23"/>
      <c r="L20359" s="23"/>
    </row>
    <row r="20360">
      <c r="B20360" s="19"/>
      <c r="E20360" s="23"/>
      <c r="L20360" s="23"/>
    </row>
    <row r="20361">
      <c r="B20361" s="19"/>
      <c r="E20361" s="23"/>
      <c r="L20361" s="23"/>
    </row>
    <row r="20362">
      <c r="B20362" s="19"/>
      <c r="E20362" s="23"/>
      <c r="L20362" s="23"/>
    </row>
    <row r="20363">
      <c r="B20363" s="19"/>
      <c r="E20363" s="23"/>
      <c r="L20363" s="23"/>
    </row>
    <row r="20364">
      <c r="B20364" s="19"/>
      <c r="E20364" s="23"/>
      <c r="L20364" s="23"/>
    </row>
    <row r="20365">
      <c r="B20365" s="19"/>
      <c r="E20365" s="23"/>
      <c r="L20365" s="23"/>
    </row>
    <row r="20366">
      <c r="B20366" s="19"/>
      <c r="E20366" s="23"/>
      <c r="L20366" s="23"/>
    </row>
    <row r="20367">
      <c r="B20367" s="19"/>
      <c r="E20367" s="23"/>
      <c r="L20367" s="23"/>
    </row>
    <row r="20368">
      <c r="B20368" s="19"/>
      <c r="E20368" s="23"/>
      <c r="L20368" s="23"/>
    </row>
    <row r="20369">
      <c r="B20369" s="19"/>
      <c r="E20369" s="23"/>
      <c r="L20369" s="23"/>
    </row>
    <row r="20370">
      <c r="B20370" s="19"/>
      <c r="E20370" s="23"/>
      <c r="L20370" s="23"/>
    </row>
    <row r="20371">
      <c r="B20371" s="19"/>
      <c r="E20371" s="23"/>
      <c r="L20371" s="23"/>
    </row>
    <row r="20372">
      <c r="B20372" s="19"/>
      <c r="E20372" s="23"/>
      <c r="L20372" s="23"/>
    </row>
    <row r="20373">
      <c r="B20373" s="19"/>
      <c r="E20373" s="23"/>
      <c r="L20373" s="23"/>
    </row>
    <row r="20374">
      <c r="B20374" s="19"/>
      <c r="E20374" s="23"/>
      <c r="L20374" s="23"/>
    </row>
    <row r="20375">
      <c r="B20375" s="19"/>
      <c r="E20375" s="23"/>
      <c r="L20375" s="23"/>
    </row>
    <row r="20376">
      <c r="B20376" s="19"/>
      <c r="E20376" s="23"/>
      <c r="L20376" s="23"/>
    </row>
    <row r="20377">
      <c r="B20377" s="19"/>
      <c r="E20377" s="23"/>
      <c r="L20377" s="23"/>
    </row>
    <row r="20378">
      <c r="B20378" s="19"/>
      <c r="E20378" s="23"/>
      <c r="L20378" s="23"/>
    </row>
    <row r="20379">
      <c r="B20379" s="19"/>
      <c r="E20379" s="23"/>
      <c r="L20379" s="23"/>
    </row>
    <row r="20380">
      <c r="B20380" s="19"/>
      <c r="E20380" s="23"/>
      <c r="L20380" s="23"/>
    </row>
    <row r="20381">
      <c r="B20381" s="19"/>
      <c r="E20381" s="23"/>
      <c r="L20381" s="23"/>
    </row>
    <row r="20382">
      <c r="B20382" s="19"/>
      <c r="E20382" s="23"/>
      <c r="L20382" s="23"/>
    </row>
    <row r="20383">
      <c r="B20383" s="19"/>
      <c r="E20383" s="23"/>
      <c r="L20383" s="23"/>
    </row>
    <row r="20384">
      <c r="B20384" s="19"/>
      <c r="E20384" s="23"/>
      <c r="L20384" s="23"/>
    </row>
    <row r="20385">
      <c r="B20385" s="19"/>
      <c r="E20385" s="23"/>
      <c r="L20385" s="23"/>
    </row>
    <row r="20386">
      <c r="B20386" s="19"/>
      <c r="E20386" s="23"/>
      <c r="L20386" s="23"/>
    </row>
    <row r="20387">
      <c r="B20387" s="19"/>
      <c r="E20387" s="23"/>
      <c r="L20387" s="23"/>
    </row>
    <row r="20388">
      <c r="B20388" s="19"/>
      <c r="E20388" s="23"/>
      <c r="L20388" s="23"/>
    </row>
    <row r="20389">
      <c r="B20389" s="19"/>
      <c r="E20389" s="23"/>
      <c r="L20389" s="23"/>
    </row>
    <row r="20390">
      <c r="B20390" s="19"/>
      <c r="E20390" s="23"/>
      <c r="L20390" s="23"/>
    </row>
    <row r="20391">
      <c r="B20391" s="19"/>
      <c r="E20391" s="23"/>
      <c r="L20391" s="23"/>
    </row>
    <row r="20392">
      <c r="B20392" s="19"/>
      <c r="E20392" s="23"/>
      <c r="L20392" s="23"/>
    </row>
    <row r="20393">
      <c r="B20393" s="19"/>
      <c r="E20393" s="23"/>
      <c r="L20393" s="23"/>
    </row>
    <row r="20394">
      <c r="B20394" s="19"/>
      <c r="E20394" s="23"/>
      <c r="L20394" s="23"/>
    </row>
    <row r="20395">
      <c r="B20395" s="19"/>
      <c r="E20395" s="23"/>
      <c r="L20395" s="23"/>
    </row>
    <row r="20396">
      <c r="B20396" s="19"/>
      <c r="E20396" s="23"/>
      <c r="L20396" s="23"/>
    </row>
    <row r="20397">
      <c r="B20397" s="19"/>
      <c r="E20397" s="23"/>
      <c r="L20397" s="23"/>
    </row>
    <row r="20398">
      <c r="B20398" s="19"/>
      <c r="E20398" s="23"/>
      <c r="L20398" s="23"/>
    </row>
    <row r="20399">
      <c r="B20399" s="19"/>
      <c r="E20399" s="23"/>
      <c r="L20399" s="23"/>
    </row>
    <row r="20400">
      <c r="B20400" s="19"/>
      <c r="E20400" s="23"/>
      <c r="L20400" s="23"/>
    </row>
    <row r="20401">
      <c r="B20401" s="19"/>
      <c r="E20401" s="23"/>
      <c r="L20401" s="23"/>
    </row>
    <row r="20402">
      <c r="B20402" s="19"/>
      <c r="E20402" s="23"/>
      <c r="L20402" s="23"/>
    </row>
    <row r="20403">
      <c r="B20403" s="19"/>
      <c r="E20403" s="23"/>
      <c r="L20403" s="23"/>
    </row>
    <row r="20404">
      <c r="B20404" s="19"/>
      <c r="E20404" s="23"/>
      <c r="L20404" s="23"/>
    </row>
    <row r="20405">
      <c r="B20405" s="19"/>
      <c r="E20405" s="23"/>
      <c r="L20405" s="23"/>
    </row>
    <row r="20406">
      <c r="B20406" s="19"/>
      <c r="E20406" s="23"/>
      <c r="L20406" s="23"/>
    </row>
    <row r="20407">
      <c r="B20407" s="19"/>
      <c r="E20407" s="23"/>
      <c r="L20407" s="23"/>
    </row>
    <row r="20408">
      <c r="B20408" s="19"/>
      <c r="E20408" s="23"/>
      <c r="L20408" s="23"/>
    </row>
    <row r="20409">
      <c r="B20409" s="19"/>
      <c r="E20409" s="23"/>
      <c r="L20409" s="23"/>
    </row>
    <row r="20410">
      <c r="B20410" s="19"/>
      <c r="E20410" s="23"/>
      <c r="L20410" s="23"/>
    </row>
    <row r="20411">
      <c r="B20411" s="19"/>
      <c r="E20411" s="23"/>
      <c r="L20411" s="23"/>
    </row>
    <row r="20412">
      <c r="B20412" s="19"/>
      <c r="E20412" s="23"/>
      <c r="L20412" s="23"/>
    </row>
    <row r="20413">
      <c r="B20413" s="19"/>
      <c r="E20413" s="23"/>
      <c r="L20413" s="23"/>
    </row>
    <row r="20414">
      <c r="B20414" s="19"/>
      <c r="E20414" s="23"/>
      <c r="L20414" s="23"/>
    </row>
    <row r="20415">
      <c r="B20415" s="19"/>
      <c r="E20415" s="23"/>
      <c r="L20415" s="23"/>
    </row>
    <row r="20416">
      <c r="B20416" s="19"/>
      <c r="E20416" s="23"/>
      <c r="L20416" s="23"/>
    </row>
    <row r="20417">
      <c r="B20417" s="19"/>
      <c r="E20417" s="23"/>
      <c r="L20417" s="23"/>
    </row>
    <row r="20418">
      <c r="B20418" s="19"/>
      <c r="E20418" s="23"/>
      <c r="L20418" s="23"/>
    </row>
    <row r="20419">
      <c r="B20419" s="19"/>
      <c r="E20419" s="23"/>
      <c r="L20419" s="23"/>
    </row>
    <row r="20420">
      <c r="B20420" s="19"/>
      <c r="E20420" s="23"/>
      <c r="L20420" s="23"/>
    </row>
    <row r="20421">
      <c r="B20421" s="19"/>
      <c r="E20421" s="23"/>
      <c r="L20421" s="23"/>
    </row>
    <row r="20422">
      <c r="B20422" s="19"/>
      <c r="E20422" s="23"/>
      <c r="L20422" s="23"/>
    </row>
    <row r="20423">
      <c r="B20423" s="19"/>
      <c r="E20423" s="23"/>
      <c r="L20423" s="23"/>
    </row>
    <row r="20424">
      <c r="B20424" s="19"/>
      <c r="E20424" s="23"/>
      <c r="L20424" s="23"/>
    </row>
    <row r="20425">
      <c r="B20425" s="19"/>
      <c r="E20425" s="23"/>
      <c r="L20425" s="23"/>
    </row>
    <row r="20426">
      <c r="B20426" s="19"/>
      <c r="E20426" s="23"/>
      <c r="L20426" s="23"/>
    </row>
    <row r="20427">
      <c r="B20427" s="19"/>
      <c r="E20427" s="23"/>
      <c r="L20427" s="23"/>
    </row>
    <row r="20428">
      <c r="B20428" s="19"/>
      <c r="E20428" s="23"/>
      <c r="L20428" s="23"/>
    </row>
    <row r="20429">
      <c r="B20429" s="19"/>
      <c r="E20429" s="23"/>
      <c r="L20429" s="23"/>
    </row>
    <row r="20430">
      <c r="B20430" s="19"/>
      <c r="E20430" s="23"/>
      <c r="L20430" s="23"/>
    </row>
    <row r="20431">
      <c r="B20431" s="19"/>
      <c r="E20431" s="23"/>
      <c r="L20431" s="23"/>
    </row>
    <row r="20432">
      <c r="B20432" s="19"/>
      <c r="E20432" s="23"/>
      <c r="L20432" s="23"/>
    </row>
    <row r="20433">
      <c r="B20433" s="19"/>
      <c r="E20433" s="23"/>
      <c r="L20433" s="23"/>
    </row>
    <row r="20434">
      <c r="B20434" s="19"/>
      <c r="E20434" s="23"/>
      <c r="L20434" s="23"/>
    </row>
    <row r="20435">
      <c r="B20435" s="19"/>
      <c r="E20435" s="23"/>
      <c r="L20435" s="23"/>
    </row>
    <row r="20436">
      <c r="B20436" s="19"/>
      <c r="E20436" s="23"/>
      <c r="L20436" s="23"/>
    </row>
    <row r="20437">
      <c r="B20437" s="19"/>
      <c r="E20437" s="23"/>
      <c r="L20437" s="23"/>
    </row>
    <row r="20438">
      <c r="B20438" s="19"/>
      <c r="E20438" s="23"/>
      <c r="L20438" s="23"/>
    </row>
    <row r="20439">
      <c r="B20439" s="19"/>
      <c r="E20439" s="23"/>
      <c r="L20439" s="23"/>
    </row>
    <row r="20440">
      <c r="B20440" s="19"/>
      <c r="E20440" s="23"/>
      <c r="L20440" s="23"/>
    </row>
    <row r="20441">
      <c r="B20441" s="19"/>
      <c r="E20441" s="23"/>
      <c r="L20441" s="23"/>
    </row>
    <row r="20442">
      <c r="B20442" s="19"/>
      <c r="E20442" s="23"/>
      <c r="L20442" s="23"/>
    </row>
    <row r="20443">
      <c r="B20443" s="19"/>
      <c r="E20443" s="23"/>
      <c r="L20443" s="23"/>
    </row>
    <row r="20444">
      <c r="B20444" s="19"/>
      <c r="E20444" s="23"/>
      <c r="L20444" s="23"/>
    </row>
    <row r="20445">
      <c r="B20445" s="19"/>
      <c r="E20445" s="23"/>
      <c r="L20445" s="23"/>
    </row>
    <row r="20446">
      <c r="B20446" s="19"/>
      <c r="E20446" s="23"/>
      <c r="L20446" s="23"/>
    </row>
    <row r="20447">
      <c r="B20447" s="19"/>
      <c r="E20447" s="23"/>
      <c r="L20447" s="23"/>
    </row>
    <row r="20448">
      <c r="B20448" s="19"/>
      <c r="E20448" s="23"/>
      <c r="L20448" s="23"/>
    </row>
    <row r="20449">
      <c r="B20449" s="19"/>
      <c r="E20449" s="23"/>
      <c r="L20449" s="23"/>
    </row>
    <row r="20450">
      <c r="B20450" s="19"/>
      <c r="E20450" s="23"/>
      <c r="L20450" s="23"/>
    </row>
    <row r="20451">
      <c r="B20451" s="19"/>
      <c r="E20451" s="23"/>
      <c r="L20451" s="23"/>
    </row>
    <row r="20452">
      <c r="B20452" s="19"/>
      <c r="E20452" s="23"/>
      <c r="L20452" s="23"/>
    </row>
    <row r="20453">
      <c r="B20453" s="19"/>
      <c r="E20453" s="23"/>
      <c r="L20453" s="23"/>
    </row>
    <row r="20454">
      <c r="B20454" s="19"/>
      <c r="E20454" s="23"/>
      <c r="L20454" s="23"/>
    </row>
    <row r="20455">
      <c r="B20455" s="19"/>
      <c r="E20455" s="23"/>
      <c r="L20455" s="23"/>
    </row>
    <row r="20456">
      <c r="B20456" s="19"/>
      <c r="E20456" s="23"/>
      <c r="L20456" s="23"/>
    </row>
    <row r="20457">
      <c r="B20457" s="19"/>
      <c r="E20457" s="23"/>
      <c r="L20457" s="23"/>
    </row>
    <row r="20458">
      <c r="B20458" s="19"/>
      <c r="E20458" s="23"/>
      <c r="L20458" s="23"/>
    </row>
    <row r="20459">
      <c r="B20459" s="19"/>
      <c r="E20459" s="23"/>
      <c r="L20459" s="23"/>
    </row>
    <row r="20460">
      <c r="B20460" s="19"/>
      <c r="E20460" s="23"/>
      <c r="L20460" s="23"/>
    </row>
    <row r="20461">
      <c r="B20461" s="19"/>
      <c r="E20461" s="23"/>
      <c r="L20461" s="23"/>
    </row>
    <row r="20462">
      <c r="B20462" s="19"/>
      <c r="E20462" s="23"/>
      <c r="L20462" s="23"/>
    </row>
    <row r="20463">
      <c r="B20463" s="19"/>
      <c r="E20463" s="23"/>
      <c r="L20463" s="23"/>
    </row>
    <row r="20464">
      <c r="B20464" s="19"/>
      <c r="E20464" s="23"/>
      <c r="L20464" s="23"/>
    </row>
    <row r="20465">
      <c r="B20465" s="19"/>
      <c r="E20465" s="23"/>
      <c r="L20465" s="23"/>
    </row>
    <row r="20466">
      <c r="B20466" s="19"/>
      <c r="E20466" s="23"/>
      <c r="L20466" s="23"/>
    </row>
    <row r="20467">
      <c r="B20467" s="19"/>
      <c r="E20467" s="23"/>
      <c r="L20467" s="23"/>
    </row>
    <row r="20468">
      <c r="B20468" s="19"/>
      <c r="E20468" s="23"/>
      <c r="L20468" s="23"/>
    </row>
    <row r="20469">
      <c r="B20469" s="19"/>
      <c r="E20469" s="23"/>
      <c r="L20469" s="23"/>
    </row>
    <row r="20470">
      <c r="B20470" s="19"/>
      <c r="E20470" s="23"/>
      <c r="L20470" s="23"/>
    </row>
    <row r="20471">
      <c r="B20471" s="19"/>
      <c r="E20471" s="23"/>
      <c r="L20471" s="23"/>
    </row>
    <row r="20472">
      <c r="B20472" s="19"/>
      <c r="E20472" s="23"/>
      <c r="L20472" s="23"/>
    </row>
    <row r="20473">
      <c r="B20473" s="19"/>
      <c r="E20473" s="23"/>
      <c r="L20473" s="23"/>
    </row>
    <row r="20474">
      <c r="B20474" s="19"/>
      <c r="E20474" s="23"/>
      <c r="L20474" s="23"/>
    </row>
    <row r="20475">
      <c r="B20475" s="19"/>
      <c r="E20475" s="23"/>
      <c r="L20475" s="23"/>
    </row>
    <row r="20476">
      <c r="B20476" s="19"/>
      <c r="E20476" s="23"/>
      <c r="L20476" s="23"/>
    </row>
    <row r="20477">
      <c r="B20477" s="19"/>
      <c r="E20477" s="23"/>
      <c r="L20477" s="23"/>
    </row>
    <row r="20478">
      <c r="B20478" s="19"/>
      <c r="E20478" s="23"/>
      <c r="L20478" s="23"/>
    </row>
    <row r="20479">
      <c r="B20479" s="19"/>
      <c r="E20479" s="23"/>
      <c r="L20479" s="23"/>
    </row>
    <row r="20480">
      <c r="B20480" s="19"/>
      <c r="E20480" s="23"/>
      <c r="L20480" s="23"/>
    </row>
    <row r="20481">
      <c r="B20481" s="19"/>
      <c r="E20481" s="23"/>
      <c r="L20481" s="23"/>
    </row>
    <row r="20482">
      <c r="B20482" s="19"/>
      <c r="E20482" s="23"/>
      <c r="L20482" s="23"/>
    </row>
    <row r="20483">
      <c r="B20483" s="19"/>
      <c r="E20483" s="23"/>
      <c r="L20483" s="23"/>
    </row>
    <row r="20484">
      <c r="B20484" s="19"/>
      <c r="E20484" s="23"/>
      <c r="L20484" s="23"/>
    </row>
    <row r="20485">
      <c r="B20485" s="19"/>
      <c r="E20485" s="23"/>
      <c r="L20485" s="23"/>
    </row>
    <row r="20486">
      <c r="B20486" s="19"/>
      <c r="E20486" s="23"/>
      <c r="L20486" s="23"/>
    </row>
    <row r="20487">
      <c r="B20487" s="19"/>
      <c r="E20487" s="23"/>
      <c r="L20487" s="23"/>
    </row>
    <row r="20488">
      <c r="B20488" s="19"/>
      <c r="E20488" s="23"/>
      <c r="L20488" s="23"/>
    </row>
    <row r="20489">
      <c r="B20489" s="19"/>
      <c r="E20489" s="23"/>
      <c r="L20489" s="23"/>
    </row>
    <row r="20490">
      <c r="B20490" s="19"/>
      <c r="E20490" s="23"/>
      <c r="L20490" s="23"/>
    </row>
    <row r="20491">
      <c r="B20491" s="19"/>
      <c r="E20491" s="23"/>
      <c r="L20491" s="23"/>
    </row>
    <row r="20492">
      <c r="B20492" s="19"/>
      <c r="E20492" s="23"/>
      <c r="L20492" s="23"/>
    </row>
    <row r="20493">
      <c r="B20493" s="19"/>
      <c r="E20493" s="23"/>
      <c r="L20493" s="23"/>
    </row>
    <row r="20494">
      <c r="B20494" s="19"/>
      <c r="E20494" s="23"/>
      <c r="L20494" s="23"/>
    </row>
    <row r="20495">
      <c r="B20495" s="19"/>
      <c r="E20495" s="23"/>
      <c r="L20495" s="23"/>
    </row>
    <row r="20496">
      <c r="B20496" s="19"/>
      <c r="E20496" s="23"/>
      <c r="L20496" s="23"/>
    </row>
    <row r="20497">
      <c r="B20497" s="19"/>
      <c r="E20497" s="23"/>
      <c r="L20497" s="23"/>
    </row>
    <row r="20498">
      <c r="B20498" s="19"/>
      <c r="E20498" s="23"/>
      <c r="L20498" s="23"/>
    </row>
    <row r="20499">
      <c r="B20499" s="19"/>
      <c r="E20499" s="23"/>
      <c r="L20499" s="23"/>
    </row>
    <row r="20500">
      <c r="B20500" s="19"/>
      <c r="E20500" s="23"/>
      <c r="L20500" s="23"/>
    </row>
    <row r="20501">
      <c r="B20501" s="19"/>
      <c r="E20501" s="23"/>
      <c r="L20501" s="23"/>
    </row>
    <row r="20502">
      <c r="B20502" s="19"/>
      <c r="E20502" s="23"/>
      <c r="L20502" s="23"/>
    </row>
    <row r="20503">
      <c r="B20503" s="19"/>
      <c r="E20503" s="23"/>
      <c r="L20503" s="23"/>
    </row>
    <row r="20504">
      <c r="B20504" s="19"/>
      <c r="E20504" s="23"/>
      <c r="L20504" s="23"/>
    </row>
    <row r="20505">
      <c r="B20505" s="19"/>
      <c r="E20505" s="23"/>
      <c r="L20505" s="23"/>
    </row>
    <row r="20506">
      <c r="B20506" s="19"/>
      <c r="E20506" s="23"/>
      <c r="L20506" s="23"/>
    </row>
    <row r="20507">
      <c r="B20507" s="19"/>
      <c r="E20507" s="23"/>
      <c r="L20507" s="23"/>
    </row>
    <row r="20508">
      <c r="B20508" s="19"/>
      <c r="E20508" s="23"/>
      <c r="L20508" s="23"/>
    </row>
    <row r="20509">
      <c r="B20509" s="19"/>
      <c r="E20509" s="23"/>
      <c r="L20509" s="23"/>
    </row>
    <row r="20510">
      <c r="B20510" s="19"/>
      <c r="E20510" s="23"/>
      <c r="L20510" s="23"/>
    </row>
    <row r="20511">
      <c r="B20511" s="19"/>
      <c r="E20511" s="23"/>
      <c r="L20511" s="23"/>
    </row>
    <row r="20512">
      <c r="B20512" s="19"/>
      <c r="E20512" s="23"/>
      <c r="L20512" s="23"/>
    </row>
    <row r="20513">
      <c r="B20513" s="19"/>
      <c r="E20513" s="23"/>
      <c r="L20513" s="23"/>
    </row>
    <row r="20514">
      <c r="B20514" s="19"/>
      <c r="E20514" s="23"/>
      <c r="L20514" s="23"/>
    </row>
    <row r="20515">
      <c r="B20515" s="19"/>
      <c r="E20515" s="23"/>
      <c r="L20515" s="23"/>
    </row>
    <row r="20516">
      <c r="B20516" s="19"/>
      <c r="E20516" s="23"/>
      <c r="L20516" s="23"/>
    </row>
    <row r="20517">
      <c r="B20517" s="19"/>
      <c r="E20517" s="23"/>
      <c r="L20517" s="23"/>
    </row>
    <row r="20518">
      <c r="B20518" s="19"/>
      <c r="E20518" s="23"/>
      <c r="L20518" s="23"/>
    </row>
    <row r="20519">
      <c r="B20519" s="19"/>
      <c r="E20519" s="23"/>
      <c r="L20519" s="23"/>
    </row>
    <row r="20520">
      <c r="B20520" s="19"/>
      <c r="E20520" s="23"/>
      <c r="L20520" s="23"/>
    </row>
    <row r="20521">
      <c r="B20521" s="19"/>
      <c r="E20521" s="23"/>
      <c r="L20521" s="23"/>
    </row>
    <row r="20522">
      <c r="B20522" s="19"/>
      <c r="E20522" s="23"/>
      <c r="L20522" s="23"/>
    </row>
    <row r="20523">
      <c r="B20523" s="19"/>
      <c r="E20523" s="23"/>
      <c r="L20523" s="23"/>
    </row>
    <row r="20524">
      <c r="B20524" s="19"/>
      <c r="E20524" s="23"/>
      <c r="L20524" s="23"/>
    </row>
    <row r="20525">
      <c r="B20525" s="19"/>
      <c r="E20525" s="23"/>
      <c r="L20525" s="23"/>
    </row>
    <row r="20526">
      <c r="B20526" s="19"/>
      <c r="E20526" s="23"/>
      <c r="L20526" s="23"/>
    </row>
    <row r="20527">
      <c r="B20527" s="19"/>
      <c r="E20527" s="23"/>
      <c r="L20527" s="23"/>
    </row>
    <row r="20528">
      <c r="B20528" s="19"/>
      <c r="E20528" s="23"/>
      <c r="L20528" s="23"/>
    </row>
    <row r="20529">
      <c r="B20529" s="19"/>
      <c r="E20529" s="23"/>
      <c r="L20529" s="23"/>
    </row>
    <row r="20530">
      <c r="B20530" s="19"/>
      <c r="E20530" s="23"/>
      <c r="L20530" s="23"/>
    </row>
    <row r="20531">
      <c r="B20531" s="19"/>
      <c r="E20531" s="23"/>
      <c r="L20531" s="23"/>
    </row>
    <row r="20532">
      <c r="B20532" s="19"/>
      <c r="E20532" s="23"/>
      <c r="L20532" s="23"/>
    </row>
    <row r="20533">
      <c r="B20533" s="19"/>
      <c r="E20533" s="23"/>
      <c r="L20533" s="23"/>
    </row>
    <row r="20534">
      <c r="B20534" s="19"/>
      <c r="E20534" s="23"/>
      <c r="L20534" s="23"/>
    </row>
    <row r="20535">
      <c r="B20535" s="19"/>
      <c r="E20535" s="23"/>
      <c r="L20535" s="23"/>
    </row>
    <row r="20536">
      <c r="B20536" s="19"/>
      <c r="E20536" s="23"/>
      <c r="L20536" s="23"/>
    </row>
    <row r="20537">
      <c r="B20537" s="19"/>
      <c r="E20537" s="23"/>
      <c r="L20537" s="23"/>
    </row>
    <row r="20538">
      <c r="B20538" s="19"/>
      <c r="E20538" s="23"/>
      <c r="L20538" s="23"/>
    </row>
    <row r="20539">
      <c r="B20539" s="19"/>
      <c r="E20539" s="23"/>
      <c r="L20539" s="23"/>
    </row>
    <row r="20540">
      <c r="B20540" s="19"/>
      <c r="E20540" s="23"/>
      <c r="L20540" s="23"/>
    </row>
    <row r="20541">
      <c r="B20541" s="19"/>
      <c r="E20541" s="23"/>
      <c r="L20541" s="23"/>
    </row>
    <row r="20542">
      <c r="B20542" s="19"/>
      <c r="E20542" s="23"/>
      <c r="L20542" s="23"/>
    </row>
    <row r="20543">
      <c r="B20543" s="19"/>
      <c r="E20543" s="23"/>
      <c r="L20543" s="23"/>
    </row>
    <row r="20544">
      <c r="B20544" s="19"/>
      <c r="E20544" s="23"/>
      <c r="L20544" s="23"/>
    </row>
    <row r="20545">
      <c r="B20545" s="19"/>
      <c r="E20545" s="23"/>
      <c r="L20545" s="23"/>
    </row>
    <row r="20546">
      <c r="B20546" s="19"/>
      <c r="E20546" s="23"/>
      <c r="L20546" s="23"/>
    </row>
    <row r="20547">
      <c r="B20547" s="19"/>
      <c r="E20547" s="23"/>
      <c r="L20547" s="23"/>
    </row>
    <row r="20548">
      <c r="B20548" s="19"/>
      <c r="E20548" s="23"/>
      <c r="L20548" s="23"/>
    </row>
    <row r="20549">
      <c r="B20549" s="19"/>
      <c r="E20549" s="23"/>
      <c r="L20549" s="23"/>
    </row>
    <row r="20550">
      <c r="B20550" s="19"/>
      <c r="E20550" s="23"/>
      <c r="L20550" s="23"/>
    </row>
    <row r="20551">
      <c r="B20551" s="19"/>
      <c r="E20551" s="23"/>
      <c r="L20551" s="23"/>
    </row>
    <row r="20552">
      <c r="B20552" s="19"/>
      <c r="E20552" s="23"/>
      <c r="L20552" s="23"/>
    </row>
    <row r="20553">
      <c r="B20553" s="19"/>
      <c r="E20553" s="23"/>
      <c r="L20553" s="23"/>
    </row>
    <row r="20554">
      <c r="B20554" s="19"/>
      <c r="E20554" s="23"/>
      <c r="L20554" s="23"/>
    </row>
    <row r="20555">
      <c r="B20555" s="19"/>
      <c r="E20555" s="23"/>
      <c r="L20555" s="23"/>
    </row>
    <row r="20556">
      <c r="B20556" s="19"/>
      <c r="E20556" s="23"/>
      <c r="L20556" s="23"/>
    </row>
    <row r="20557">
      <c r="B20557" s="19"/>
      <c r="E20557" s="23"/>
      <c r="L20557" s="23"/>
    </row>
    <row r="20558">
      <c r="B20558" s="19"/>
      <c r="E20558" s="23"/>
      <c r="L20558" s="23"/>
    </row>
    <row r="20559">
      <c r="B20559" s="19"/>
      <c r="E20559" s="23"/>
      <c r="L20559" s="23"/>
    </row>
    <row r="20560">
      <c r="B20560" s="19"/>
      <c r="E20560" s="23"/>
      <c r="L20560" s="23"/>
    </row>
    <row r="20561">
      <c r="B20561" s="19"/>
      <c r="E20561" s="23"/>
      <c r="L20561" s="23"/>
    </row>
    <row r="20562">
      <c r="B20562" s="19"/>
      <c r="E20562" s="23"/>
      <c r="L20562" s="23"/>
    </row>
    <row r="20563">
      <c r="B20563" s="19"/>
      <c r="E20563" s="23"/>
      <c r="L20563" s="23"/>
    </row>
    <row r="20564">
      <c r="B20564" s="19"/>
      <c r="E20564" s="23"/>
      <c r="L20564" s="23"/>
    </row>
    <row r="20565">
      <c r="B20565" s="19"/>
      <c r="E20565" s="23"/>
      <c r="L20565" s="23"/>
    </row>
    <row r="20566">
      <c r="B20566" s="19"/>
      <c r="E20566" s="23"/>
      <c r="L20566" s="23"/>
    </row>
    <row r="20567">
      <c r="B20567" s="19"/>
      <c r="E20567" s="23"/>
      <c r="L20567" s="23"/>
    </row>
    <row r="20568">
      <c r="B20568" s="19"/>
      <c r="E20568" s="23"/>
      <c r="L20568" s="23"/>
    </row>
    <row r="20569">
      <c r="B20569" s="19"/>
      <c r="E20569" s="23"/>
      <c r="L20569" s="23"/>
    </row>
    <row r="20570">
      <c r="B20570" s="19"/>
      <c r="E20570" s="23"/>
      <c r="L20570" s="23"/>
    </row>
    <row r="20571">
      <c r="B20571" s="19"/>
      <c r="E20571" s="23"/>
      <c r="L20571" s="23"/>
    </row>
    <row r="20572">
      <c r="B20572" s="19"/>
      <c r="E20572" s="23"/>
      <c r="L20572" s="23"/>
    </row>
    <row r="20573">
      <c r="B20573" s="19"/>
      <c r="E20573" s="23"/>
      <c r="L20573" s="23"/>
    </row>
    <row r="20574">
      <c r="B20574" s="19"/>
      <c r="E20574" s="23"/>
      <c r="L20574" s="23"/>
    </row>
    <row r="20575">
      <c r="B20575" s="19"/>
      <c r="E20575" s="23"/>
      <c r="L20575" s="23"/>
    </row>
    <row r="20576">
      <c r="B20576" s="19"/>
      <c r="E20576" s="23"/>
      <c r="L20576" s="23"/>
    </row>
    <row r="20577">
      <c r="B20577" s="19"/>
      <c r="E20577" s="23"/>
      <c r="L20577" s="23"/>
    </row>
    <row r="20578">
      <c r="B20578" s="19"/>
      <c r="E20578" s="23"/>
      <c r="L20578" s="23"/>
    </row>
    <row r="20579">
      <c r="B20579" s="19"/>
      <c r="E20579" s="23"/>
      <c r="L20579" s="23"/>
    </row>
    <row r="20580">
      <c r="B20580" s="19"/>
      <c r="E20580" s="23"/>
      <c r="L20580" s="23"/>
    </row>
    <row r="20581">
      <c r="B20581" s="19"/>
      <c r="E20581" s="23"/>
      <c r="L20581" s="23"/>
    </row>
    <row r="20582">
      <c r="B20582" s="19"/>
      <c r="E20582" s="23"/>
      <c r="L20582" s="23"/>
    </row>
    <row r="20583">
      <c r="B20583" s="19"/>
      <c r="E20583" s="23"/>
      <c r="L20583" s="23"/>
    </row>
    <row r="20584">
      <c r="B20584" s="19"/>
      <c r="E20584" s="23"/>
      <c r="L20584" s="23"/>
    </row>
    <row r="20585">
      <c r="B20585" s="19"/>
      <c r="E20585" s="23"/>
      <c r="L20585" s="23"/>
    </row>
    <row r="20586">
      <c r="B20586" s="19"/>
      <c r="E20586" s="23"/>
      <c r="L20586" s="23"/>
    </row>
    <row r="20587">
      <c r="B20587" s="19"/>
      <c r="E20587" s="23"/>
      <c r="L20587" s="23"/>
    </row>
    <row r="20588">
      <c r="B20588" s="19"/>
      <c r="E20588" s="23"/>
      <c r="L20588" s="23"/>
    </row>
    <row r="20589">
      <c r="B20589" s="19"/>
      <c r="E20589" s="23"/>
      <c r="L20589" s="23"/>
    </row>
    <row r="20590">
      <c r="B20590" s="19"/>
      <c r="E20590" s="23"/>
      <c r="L20590" s="23"/>
    </row>
    <row r="20591">
      <c r="B20591" s="19"/>
      <c r="E20591" s="23"/>
      <c r="L20591" s="23"/>
    </row>
    <row r="20592">
      <c r="B20592" s="19"/>
      <c r="E20592" s="23"/>
      <c r="L20592" s="23"/>
    </row>
    <row r="20593">
      <c r="B20593" s="19"/>
      <c r="E20593" s="23"/>
      <c r="L20593" s="23"/>
    </row>
    <row r="20594">
      <c r="B20594" s="19"/>
      <c r="E20594" s="23"/>
      <c r="L20594" s="23"/>
    </row>
    <row r="20595">
      <c r="B20595" s="19"/>
      <c r="E20595" s="23"/>
      <c r="L20595" s="23"/>
    </row>
    <row r="20596">
      <c r="B20596" s="19"/>
      <c r="E20596" s="23"/>
      <c r="L20596" s="23"/>
    </row>
    <row r="20597">
      <c r="B20597" s="19"/>
      <c r="E20597" s="23"/>
      <c r="L20597" s="23"/>
    </row>
    <row r="20598">
      <c r="B20598" s="19"/>
      <c r="E20598" s="23"/>
      <c r="L20598" s="23"/>
    </row>
    <row r="20599">
      <c r="B20599" s="19"/>
      <c r="E20599" s="23"/>
      <c r="L20599" s="23"/>
    </row>
    <row r="20600">
      <c r="B20600" s="19"/>
      <c r="E20600" s="23"/>
      <c r="L20600" s="23"/>
    </row>
    <row r="20601">
      <c r="B20601" s="19"/>
      <c r="E20601" s="23"/>
      <c r="L20601" s="23"/>
    </row>
    <row r="20602">
      <c r="B20602" s="19"/>
      <c r="E20602" s="23"/>
      <c r="L20602" s="23"/>
    </row>
    <row r="20603">
      <c r="B20603" s="19"/>
      <c r="E20603" s="23"/>
      <c r="L20603" s="23"/>
    </row>
    <row r="20604">
      <c r="B20604" s="19"/>
      <c r="E20604" s="23"/>
      <c r="L20604" s="23"/>
    </row>
    <row r="20605">
      <c r="B20605" s="19"/>
      <c r="E20605" s="23"/>
      <c r="L20605" s="23"/>
    </row>
    <row r="20606">
      <c r="B20606" s="19"/>
      <c r="E20606" s="23"/>
      <c r="L20606" s="23"/>
    </row>
    <row r="20607">
      <c r="B20607" s="19"/>
      <c r="E20607" s="23"/>
      <c r="L20607" s="23"/>
    </row>
    <row r="20608">
      <c r="B20608" s="19"/>
      <c r="E20608" s="23"/>
      <c r="L20608" s="23"/>
    </row>
    <row r="20609">
      <c r="B20609" s="19"/>
      <c r="E20609" s="23"/>
      <c r="L20609" s="23"/>
    </row>
    <row r="20610">
      <c r="B20610" s="19"/>
      <c r="E20610" s="23"/>
      <c r="L20610" s="23"/>
    </row>
    <row r="20611">
      <c r="B20611" s="19"/>
      <c r="E20611" s="23"/>
      <c r="L20611" s="23"/>
    </row>
    <row r="20612">
      <c r="B20612" s="19"/>
      <c r="E20612" s="23"/>
      <c r="L20612" s="23"/>
    </row>
    <row r="20613">
      <c r="B20613" s="19"/>
      <c r="E20613" s="23"/>
      <c r="L20613" s="23"/>
    </row>
    <row r="20614">
      <c r="B20614" s="19"/>
      <c r="E20614" s="23"/>
      <c r="L20614" s="23"/>
    </row>
    <row r="20615">
      <c r="B20615" s="19"/>
      <c r="E20615" s="23"/>
      <c r="L20615" s="23"/>
    </row>
    <row r="20616">
      <c r="B20616" s="19"/>
      <c r="E20616" s="23"/>
      <c r="L20616" s="23"/>
    </row>
    <row r="20617">
      <c r="B20617" s="19"/>
      <c r="E20617" s="23"/>
      <c r="L20617" s="23"/>
    </row>
    <row r="20618">
      <c r="B20618" s="19"/>
      <c r="E20618" s="23"/>
      <c r="L20618" s="23"/>
    </row>
    <row r="20619">
      <c r="B20619" s="19"/>
      <c r="E20619" s="23"/>
      <c r="L20619" s="23"/>
    </row>
    <row r="20620">
      <c r="B20620" s="19"/>
      <c r="E20620" s="23"/>
      <c r="L20620" s="23"/>
    </row>
    <row r="20621">
      <c r="B20621" s="19"/>
      <c r="E20621" s="23"/>
      <c r="L20621" s="23"/>
    </row>
    <row r="20622">
      <c r="B20622" s="19"/>
      <c r="E20622" s="23"/>
      <c r="L20622" s="23"/>
    </row>
    <row r="20623">
      <c r="B20623" s="19"/>
      <c r="E20623" s="23"/>
      <c r="L20623" s="23"/>
    </row>
    <row r="20624">
      <c r="B20624" s="19"/>
      <c r="E20624" s="23"/>
      <c r="L20624" s="23"/>
    </row>
    <row r="20625">
      <c r="B20625" s="19"/>
      <c r="E20625" s="23"/>
      <c r="L20625" s="23"/>
    </row>
    <row r="20626">
      <c r="B20626" s="19"/>
      <c r="E20626" s="23"/>
      <c r="L20626" s="23"/>
    </row>
    <row r="20627">
      <c r="B20627" s="19"/>
      <c r="E20627" s="23"/>
      <c r="L20627" s="23"/>
    </row>
    <row r="20628">
      <c r="B20628" s="19"/>
      <c r="E20628" s="23"/>
      <c r="L20628" s="23"/>
    </row>
    <row r="20629">
      <c r="B20629" s="19"/>
      <c r="E20629" s="23"/>
      <c r="L20629" s="23"/>
    </row>
    <row r="20630">
      <c r="B20630" s="19"/>
      <c r="E20630" s="23"/>
      <c r="L20630" s="23"/>
    </row>
    <row r="20631">
      <c r="B20631" s="19"/>
      <c r="E20631" s="23"/>
      <c r="L20631" s="23"/>
    </row>
    <row r="20632">
      <c r="B20632" s="19"/>
      <c r="E20632" s="23"/>
      <c r="L20632" s="23"/>
    </row>
    <row r="20633">
      <c r="B20633" s="19"/>
      <c r="E20633" s="23"/>
      <c r="L20633" s="23"/>
    </row>
    <row r="20634">
      <c r="B20634" s="19"/>
      <c r="E20634" s="23"/>
      <c r="L20634" s="23"/>
    </row>
    <row r="20635">
      <c r="B20635" s="19"/>
      <c r="E20635" s="23"/>
      <c r="L20635" s="23"/>
    </row>
    <row r="20636">
      <c r="B20636" s="19"/>
      <c r="E20636" s="23"/>
      <c r="L20636" s="23"/>
    </row>
    <row r="20637">
      <c r="B20637" s="19"/>
      <c r="E20637" s="23"/>
      <c r="L20637" s="23"/>
    </row>
    <row r="20638">
      <c r="B20638" s="19"/>
      <c r="E20638" s="23"/>
      <c r="L20638" s="23"/>
    </row>
    <row r="20639">
      <c r="B20639" s="19"/>
      <c r="E20639" s="23"/>
      <c r="L20639" s="23"/>
    </row>
    <row r="20640">
      <c r="B20640" s="19"/>
      <c r="E20640" s="23"/>
      <c r="L20640" s="23"/>
    </row>
    <row r="20641">
      <c r="B20641" s="19"/>
      <c r="E20641" s="23"/>
      <c r="L20641" s="23"/>
    </row>
    <row r="20642">
      <c r="B20642" s="19"/>
      <c r="E20642" s="23"/>
      <c r="L20642" s="23"/>
    </row>
    <row r="20643">
      <c r="B20643" s="19"/>
      <c r="E20643" s="23"/>
      <c r="L20643" s="23"/>
    </row>
    <row r="20644">
      <c r="B20644" s="19"/>
      <c r="E20644" s="23"/>
      <c r="L20644" s="23"/>
    </row>
    <row r="20645">
      <c r="B20645" s="19"/>
      <c r="E20645" s="23"/>
      <c r="L20645" s="23"/>
    </row>
    <row r="20646">
      <c r="B20646" s="19"/>
      <c r="E20646" s="23"/>
      <c r="L20646" s="23"/>
    </row>
    <row r="20647">
      <c r="B20647" s="19"/>
      <c r="E20647" s="23"/>
      <c r="L20647" s="23"/>
    </row>
    <row r="20648">
      <c r="B20648" s="19"/>
      <c r="E20648" s="23"/>
      <c r="L20648" s="23"/>
    </row>
    <row r="20649">
      <c r="B20649" s="19"/>
      <c r="E20649" s="23"/>
      <c r="L20649" s="23"/>
    </row>
    <row r="20650">
      <c r="B20650" s="19"/>
      <c r="E20650" s="23"/>
      <c r="L20650" s="23"/>
    </row>
    <row r="20651">
      <c r="B20651" s="19"/>
      <c r="E20651" s="23"/>
      <c r="L20651" s="23"/>
    </row>
    <row r="20652">
      <c r="B20652" s="19"/>
      <c r="E20652" s="23"/>
      <c r="L20652" s="23"/>
    </row>
    <row r="20653">
      <c r="B20653" s="19"/>
      <c r="E20653" s="23"/>
      <c r="L20653" s="23"/>
    </row>
    <row r="20654">
      <c r="B20654" s="19"/>
      <c r="E20654" s="23"/>
      <c r="L20654" s="23"/>
    </row>
    <row r="20655">
      <c r="B20655" s="19"/>
      <c r="E20655" s="23"/>
      <c r="L20655" s="23"/>
    </row>
    <row r="20656">
      <c r="B20656" s="19"/>
      <c r="E20656" s="23"/>
      <c r="L20656" s="23"/>
    </row>
    <row r="20657">
      <c r="B20657" s="19"/>
      <c r="E20657" s="23"/>
      <c r="L20657" s="23"/>
    </row>
    <row r="20658">
      <c r="B20658" s="19"/>
      <c r="E20658" s="23"/>
      <c r="L20658" s="23"/>
    </row>
    <row r="20659">
      <c r="B20659" s="19"/>
      <c r="E20659" s="23"/>
      <c r="L20659" s="23"/>
    </row>
    <row r="20660">
      <c r="B20660" s="19"/>
      <c r="E20660" s="23"/>
      <c r="L20660" s="23"/>
    </row>
    <row r="20661">
      <c r="B20661" s="19"/>
      <c r="E20661" s="23"/>
      <c r="L20661" s="23"/>
    </row>
    <row r="20662">
      <c r="B20662" s="19"/>
      <c r="E20662" s="23"/>
      <c r="L20662" s="23"/>
    </row>
    <row r="20663">
      <c r="B20663" s="19"/>
      <c r="E20663" s="23"/>
      <c r="L20663" s="23"/>
    </row>
    <row r="20664">
      <c r="B20664" s="19"/>
      <c r="E20664" s="23"/>
      <c r="L20664" s="23"/>
    </row>
    <row r="20665">
      <c r="B20665" s="19"/>
      <c r="E20665" s="23"/>
      <c r="L20665" s="23"/>
    </row>
    <row r="20666">
      <c r="B20666" s="19"/>
      <c r="E20666" s="23"/>
      <c r="L20666" s="23"/>
    </row>
    <row r="20667">
      <c r="B20667" s="19"/>
      <c r="E20667" s="23"/>
      <c r="L20667" s="23"/>
    </row>
    <row r="20668">
      <c r="B20668" s="19"/>
      <c r="E20668" s="23"/>
      <c r="L20668" s="23"/>
    </row>
    <row r="20669">
      <c r="B20669" s="19"/>
      <c r="E20669" s="23"/>
      <c r="L20669" s="23"/>
    </row>
    <row r="20670">
      <c r="B20670" s="19"/>
      <c r="E20670" s="23"/>
      <c r="L20670" s="23"/>
    </row>
    <row r="20671">
      <c r="B20671" s="19"/>
      <c r="E20671" s="23"/>
      <c r="L20671" s="23"/>
    </row>
    <row r="20672">
      <c r="B20672" s="19"/>
      <c r="E20672" s="23"/>
      <c r="L20672" s="23"/>
    </row>
    <row r="20673">
      <c r="B20673" s="19"/>
      <c r="E20673" s="23"/>
      <c r="L20673" s="23"/>
    </row>
    <row r="20674">
      <c r="B20674" s="19"/>
      <c r="E20674" s="23"/>
      <c r="L20674" s="23"/>
    </row>
    <row r="20675">
      <c r="B20675" s="19"/>
      <c r="E20675" s="23"/>
      <c r="L20675" s="23"/>
    </row>
    <row r="20676">
      <c r="B20676" s="19"/>
      <c r="E20676" s="23"/>
      <c r="L20676" s="23"/>
    </row>
    <row r="20677">
      <c r="B20677" s="19"/>
      <c r="E20677" s="23"/>
      <c r="L20677" s="23"/>
    </row>
    <row r="20678">
      <c r="B20678" s="19"/>
      <c r="E20678" s="23"/>
      <c r="L20678" s="23"/>
    </row>
    <row r="20679">
      <c r="B20679" s="19"/>
      <c r="E20679" s="23"/>
      <c r="L20679" s="23"/>
    </row>
    <row r="20680">
      <c r="B20680" s="19"/>
      <c r="E20680" s="23"/>
      <c r="L20680" s="23"/>
    </row>
    <row r="20681">
      <c r="B20681" s="19"/>
      <c r="E20681" s="23"/>
      <c r="L20681" s="23"/>
    </row>
    <row r="20682">
      <c r="B20682" s="19"/>
      <c r="E20682" s="23"/>
      <c r="L20682" s="23"/>
    </row>
    <row r="20683">
      <c r="B20683" s="19"/>
      <c r="E20683" s="23"/>
      <c r="L20683" s="23"/>
    </row>
    <row r="20684">
      <c r="B20684" s="19"/>
      <c r="E20684" s="23"/>
      <c r="L20684" s="23"/>
    </row>
    <row r="20685">
      <c r="B20685" s="19"/>
      <c r="E20685" s="23"/>
      <c r="L20685" s="23"/>
    </row>
    <row r="20686">
      <c r="B20686" s="19"/>
      <c r="E20686" s="23"/>
      <c r="L20686" s="23"/>
    </row>
    <row r="20687">
      <c r="B20687" s="19"/>
      <c r="E20687" s="23"/>
      <c r="L20687" s="23"/>
    </row>
    <row r="20688">
      <c r="B20688" s="19"/>
      <c r="E20688" s="23"/>
      <c r="L20688" s="23"/>
    </row>
    <row r="20689">
      <c r="B20689" s="19"/>
      <c r="E20689" s="23"/>
      <c r="L20689" s="23"/>
    </row>
    <row r="20690">
      <c r="B20690" s="19"/>
      <c r="E20690" s="23"/>
      <c r="L20690" s="23"/>
    </row>
    <row r="20691">
      <c r="B20691" s="19"/>
      <c r="E20691" s="23"/>
      <c r="L20691" s="23"/>
    </row>
    <row r="20692">
      <c r="B20692" s="19"/>
      <c r="E20692" s="23"/>
      <c r="L20692" s="23"/>
    </row>
    <row r="20693">
      <c r="B20693" s="19"/>
      <c r="E20693" s="23"/>
      <c r="L20693" s="23"/>
    </row>
    <row r="20694">
      <c r="B20694" s="19"/>
      <c r="E20694" s="23"/>
      <c r="L20694" s="23"/>
    </row>
    <row r="20695">
      <c r="B20695" s="19"/>
      <c r="E20695" s="23"/>
      <c r="L20695" s="23"/>
    </row>
    <row r="20696">
      <c r="B20696" s="19"/>
      <c r="E20696" s="23"/>
      <c r="L20696" s="23"/>
    </row>
    <row r="20697">
      <c r="B20697" s="19"/>
      <c r="E20697" s="23"/>
      <c r="L20697" s="23"/>
    </row>
    <row r="20698">
      <c r="B20698" s="19"/>
      <c r="E20698" s="23"/>
      <c r="L20698" s="23"/>
    </row>
    <row r="20699">
      <c r="B20699" s="19"/>
      <c r="E20699" s="23"/>
      <c r="L20699" s="23"/>
    </row>
    <row r="20700">
      <c r="B20700" s="19"/>
      <c r="E20700" s="23"/>
      <c r="L20700" s="23"/>
    </row>
    <row r="20701">
      <c r="B20701" s="19"/>
      <c r="E20701" s="23"/>
      <c r="L20701" s="23"/>
    </row>
    <row r="20702">
      <c r="B20702" s="19"/>
      <c r="E20702" s="23"/>
      <c r="L20702" s="23"/>
    </row>
    <row r="20703">
      <c r="B20703" s="19"/>
      <c r="E20703" s="23"/>
      <c r="L20703" s="23"/>
    </row>
    <row r="20704">
      <c r="B20704" s="19"/>
      <c r="E20704" s="23"/>
      <c r="L20704" s="23"/>
    </row>
    <row r="20705">
      <c r="B20705" s="19"/>
      <c r="E20705" s="23"/>
      <c r="L20705" s="23"/>
    </row>
    <row r="20706">
      <c r="B20706" s="19"/>
      <c r="E20706" s="23"/>
      <c r="L20706" s="23"/>
    </row>
    <row r="20707">
      <c r="B20707" s="19"/>
      <c r="E20707" s="23"/>
      <c r="L20707" s="23"/>
    </row>
    <row r="20708">
      <c r="B20708" s="19"/>
      <c r="E20708" s="23"/>
      <c r="L20708" s="23"/>
    </row>
    <row r="20709">
      <c r="B20709" s="19"/>
      <c r="E20709" s="23"/>
      <c r="L20709" s="23"/>
    </row>
    <row r="20710">
      <c r="B20710" s="19"/>
      <c r="E20710" s="23"/>
      <c r="L20710" s="23"/>
    </row>
    <row r="20711">
      <c r="B20711" s="19"/>
      <c r="E20711" s="23"/>
      <c r="L20711" s="23"/>
    </row>
    <row r="20712">
      <c r="B20712" s="19"/>
      <c r="E20712" s="23"/>
      <c r="L20712" s="23"/>
    </row>
    <row r="20713">
      <c r="B20713" s="19"/>
      <c r="E20713" s="23"/>
      <c r="L20713" s="23"/>
    </row>
    <row r="20714">
      <c r="B20714" s="19"/>
      <c r="E20714" s="23"/>
      <c r="L20714" s="23"/>
    </row>
    <row r="20715">
      <c r="B20715" s="19"/>
      <c r="E20715" s="23"/>
      <c r="L20715" s="23"/>
    </row>
    <row r="20716">
      <c r="B20716" s="19"/>
      <c r="E20716" s="23"/>
      <c r="L20716" s="23"/>
    </row>
    <row r="20717">
      <c r="B20717" s="19"/>
      <c r="E20717" s="23"/>
      <c r="L20717" s="23"/>
    </row>
    <row r="20718">
      <c r="B20718" s="19"/>
      <c r="E20718" s="23"/>
      <c r="L20718" s="23"/>
    </row>
    <row r="20719">
      <c r="B20719" s="19"/>
      <c r="E20719" s="23"/>
      <c r="L20719" s="23"/>
    </row>
    <row r="20720">
      <c r="B20720" s="19"/>
      <c r="E20720" s="23"/>
      <c r="L20720" s="23"/>
    </row>
    <row r="20721">
      <c r="B20721" s="19"/>
      <c r="E20721" s="23"/>
      <c r="L20721" s="23"/>
    </row>
    <row r="20722">
      <c r="B20722" s="19"/>
      <c r="E20722" s="23"/>
      <c r="L20722" s="23"/>
    </row>
    <row r="20723">
      <c r="B20723" s="19"/>
      <c r="E20723" s="23"/>
      <c r="L20723" s="23"/>
    </row>
    <row r="20724">
      <c r="B20724" s="19"/>
      <c r="E20724" s="23"/>
      <c r="L20724" s="23"/>
    </row>
    <row r="20725">
      <c r="B20725" s="19"/>
      <c r="E20725" s="23"/>
      <c r="L20725" s="23"/>
    </row>
    <row r="20726">
      <c r="B20726" s="19"/>
      <c r="E20726" s="23"/>
      <c r="L20726" s="23"/>
    </row>
    <row r="20727">
      <c r="B20727" s="19"/>
      <c r="E20727" s="23"/>
      <c r="L20727" s="23"/>
    </row>
    <row r="20728">
      <c r="B20728" s="19"/>
      <c r="E20728" s="23"/>
      <c r="L20728" s="23"/>
    </row>
    <row r="20729">
      <c r="B20729" s="19"/>
      <c r="E20729" s="23"/>
      <c r="L20729" s="23"/>
    </row>
    <row r="20730">
      <c r="B20730" s="19"/>
      <c r="E20730" s="23"/>
      <c r="L20730" s="23"/>
    </row>
    <row r="20731">
      <c r="B20731" s="19"/>
      <c r="E20731" s="23"/>
      <c r="L20731" s="23"/>
    </row>
    <row r="20732">
      <c r="B20732" s="19"/>
      <c r="E20732" s="23"/>
      <c r="L20732" s="23"/>
    </row>
    <row r="20733">
      <c r="B20733" s="19"/>
      <c r="E20733" s="23"/>
      <c r="L20733" s="23"/>
    </row>
    <row r="20734">
      <c r="B20734" s="19"/>
      <c r="E20734" s="23"/>
      <c r="L20734" s="23"/>
    </row>
    <row r="20735">
      <c r="B20735" s="19"/>
      <c r="E20735" s="23"/>
      <c r="L20735" s="23"/>
    </row>
    <row r="20736">
      <c r="B20736" s="19"/>
      <c r="E20736" s="23"/>
      <c r="L20736" s="23"/>
    </row>
    <row r="20737">
      <c r="B20737" s="19"/>
      <c r="E20737" s="23"/>
      <c r="L20737" s="23"/>
    </row>
    <row r="20738">
      <c r="B20738" s="19"/>
      <c r="E20738" s="23"/>
      <c r="L20738" s="23"/>
    </row>
    <row r="20739">
      <c r="B20739" s="19"/>
      <c r="E20739" s="23"/>
      <c r="L20739" s="23"/>
    </row>
    <row r="20740">
      <c r="B20740" s="19"/>
      <c r="E20740" s="23"/>
      <c r="L20740" s="23"/>
    </row>
    <row r="20741">
      <c r="B20741" s="19"/>
      <c r="E20741" s="23"/>
      <c r="L20741" s="23"/>
    </row>
    <row r="20742">
      <c r="B20742" s="19"/>
      <c r="E20742" s="23"/>
      <c r="L20742" s="23"/>
    </row>
    <row r="20743">
      <c r="B20743" s="19"/>
      <c r="E20743" s="23"/>
      <c r="L20743" s="23"/>
    </row>
    <row r="20744">
      <c r="B20744" s="19"/>
      <c r="E20744" s="23"/>
      <c r="L20744" s="23"/>
    </row>
    <row r="20745">
      <c r="B20745" s="19"/>
      <c r="E20745" s="23"/>
      <c r="L20745" s="23"/>
    </row>
    <row r="20746">
      <c r="B20746" s="19"/>
      <c r="E20746" s="23"/>
      <c r="L20746" s="23"/>
    </row>
    <row r="20747">
      <c r="B20747" s="19"/>
      <c r="E20747" s="23"/>
      <c r="L20747" s="23"/>
    </row>
    <row r="20748">
      <c r="B20748" s="19"/>
      <c r="E20748" s="23"/>
      <c r="L20748" s="23"/>
    </row>
    <row r="20749">
      <c r="B20749" s="19"/>
      <c r="E20749" s="23"/>
      <c r="L20749" s="23"/>
    </row>
    <row r="20750">
      <c r="B20750" s="19"/>
      <c r="E20750" s="23"/>
      <c r="L20750" s="23"/>
    </row>
    <row r="20751">
      <c r="B20751" s="19"/>
      <c r="E20751" s="23"/>
      <c r="L20751" s="23"/>
    </row>
    <row r="20752">
      <c r="B20752" s="19"/>
      <c r="E20752" s="23"/>
      <c r="L20752" s="23"/>
    </row>
    <row r="20753">
      <c r="B20753" s="19"/>
      <c r="E20753" s="23"/>
      <c r="L20753" s="23"/>
    </row>
    <row r="20754">
      <c r="B20754" s="19"/>
      <c r="E20754" s="23"/>
      <c r="L20754" s="23"/>
    </row>
    <row r="20755">
      <c r="B20755" s="19"/>
      <c r="E20755" s="23"/>
      <c r="L20755" s="23"/>
    </row>
    <row r="20756">
      <c r="B20756" s="19"/>
      <c r="E20756" s="23"/>
      <c r="L20756" s="23"/>
    </row>
    <row r="20757">
      <c r="B20757" s="19"/>
      <c r="E20757" s="23"/>
      <c r="L20757" s="23"/>
    </row>
    <row r="20758">
      <c r="B20758" s="19"/>
      <c r="E20758" s="23"/>
      <c r="L20758" s="23"/>
    </row>
    <row r="20759">
      <c r="B20759" s="19"/>
      <c r="E20759" s="23"/>
      <c r="L20759" s="23"/>
    </row>
    <row r="20760">
      <c r="B20760" s="19"/>
      <c r="E20760" s="23"/>
      <c r="L20760" s="23"/>
    </row>
    <row r="20761">
      <c r="B20761" s="19"/>
      <c r="E20761" s="23"/>
      <c r="L20761" s="23"/>
    </row>
    <row r="20762">
      <c r="B20762" s="19"/>
      <c r="E20762" s="23"/>
      <c r="L20762" s="23"/>
    </row>
    <row r="20763">
      <c r="B20763" s="19"/>
      <c r="E20763" s="23"/>
      <c r="L20763" s="23"/>
    </row>
    <row r="20764">
      <c r="B20764" s="19"/>
      <c r="E20764" s="23"/>
      <c r="L20764" s="23"/>
    </row>
    <row r="20765">
      <c r="B20765" s="19"/>
      <c r="E20765" s="23"/>
      <c r="L20765" s="23"/>
    </row>
    <row r="20766">
      <c r="B20766" s="19"/>
      <c r="E20766" s="23"/>
      <c r="L20766" s="23"/>
    </row>
    <row r="20767">
      <c r="B20767" s="19"/>
      <c r="E20767" s="23"/>
      <c r="L20767" s="23"/>
    </row>
    <row r="20768">
      <c r="B20768" s="19"/>
      <c r="E20768" s="23"/>
      <c r="L20768" s="23"/>
    </row>
    <row r="20769">
      <c r="B20769" s="19"/>
      <c r="E20769" s="23"/>
      <c r="L20769" s="23"/>
    </row>
    <row r="20770">
      <c r="B20770" s="19"/>
      <c r="E20770" s="23"/>
      <c r="L20770" s="23"/>
    </row>
    <row r="20771">
      <c r="B20771" s="19"/>
      <c r="E20771" s="23"/>
      <c r="L20771" s="23"/>
    </row>
    <row r="20772">
      <c r="B20772" s="19"/>
      <c r="E20772" s="23"/>
      <c r="L20772" s="23"/>
    </row>
    <row r="20773">
      <c r="B20773" s="19"/>
      <c r="E20773" s="23"/>
      <c r="L20773" s="23"/>
    </row>
    <row r="20774">
      <c r="B20774" s="19"/>
      <c r="E20774" s="23"/>
      <c r="L20774" s="23"/>
    </row>
    <row r="20775">
      <c r="B20775" s="19"/>
      <c r="E20775" s="23"/>
      <c r="L20775" s="23"/>
    </row>
    <row r="20776">
      <c r="B20776" s="19"/>
      <c r="E20776" s="23"/>
      <c r="L20776" s="23"/>
    </row>
    <row r="20777">
      <c r="B20777" s="19"/>
      <c r="E20777" s="23"/>
      <c r="L20777" s="23"/>
    </row>
    <row r="20778">
      <c r="B20778" s="19"/>
      <c r="E20778" s="23"/>
      <c r="L20778" s="23"/>
    </row>
    <row r="20779">
      <c r="B20779" s="19"/>
      <c r="E20779" s="23"/>
      <c r="L20779" s="23"/>
    </row>
    <row r="20780">
      <c r="B20780" s="19"/>
      <c r="E20780" s="23"/>
      <c r="L20780" s="23"/>
    </row>
    <row r="20781">
      <c r="B20781" s="19"/>
      <c r="E20781" s="23"/>
      <c r="L20781" s="23"/>
    </row>
    <row r="20782">
      <c r="B20782" s="19"/>
      <c r="E20782" s="23"/>
      <c r="L20782" s="23"/>
    </row>
    <row r="20783">
      <c r="B20783" s="19"/>
      <c r="E20783" s="23"/>
      <c r="L20783" s="23"/>
    </row>
    <row r="20784">
      <c r="B20784" s="19"/>
      <c r="E20784" s="23"/>
      <c r="L20784" s="23"/>
    </row>
    <row r="20785">
      <c r="B20785" s="19"/>
      <c r="E20785" s="23"/>
      <c r="L20785" s="23"/>
    </row>
    <row r="20786">
      <c r="B20786" s="19"/>
      <c r="E20786" s="23"/>
      <c r="L20786" s="23"/>
    </row>
    <row r="20787">
      <c r="B20787" s="19"/>
      <c r="E20787" s="23"/>
      <c r="L20787" s="23"/>
    </row>
    <row r="20788">
      <c r="B20788" s="19"/>
      <c r="E20788" s="23"/>
      <c r="L20788" s="23"/>
    </row>
    <row r="20789">
      <c r="B20789" s="19"/>
      <c r="E20789" s="23"/>
      <c r="L20789" s="23"/>
    </row>
    <row r="20790">
      <c r="B20790" s="19"/>
      <c r="E20790" s="23"/>
      <c r="L20790" s="23"/>
    </row>
    <row r="20791">
      <c r="B20791" s="19"/>
      <c r="E20791" s="23"/>
      <c r="L20791" s="23"/>
    </row>
    <row r="20792">
      <c r="B20792" s="19"/>
      <c r="E20792" s="23"/>
      <c r="L20792" s="23"/>
    </row>
    <row r="20793">
      <c r="B20793" s="19"/>
      <c r="E20793" s="23"/>
      <c r="L20793" s="23"/>
    </row>
    <row r="20794">
      <c r="B20794" s="19"/>
      <c r="E20794" s="23"/>
      <c r="L20794" s="23"/>
    </row>
    <row r="20795">
      <c r="B20795" s="19"/>
      <c r="E20795" s="23"/>
      <c r="L20795" s="23"/>
    </row>
    <row r="20796">
      <c r="B20796" s="19"/>
      <c r="E20796" s="23"/>
      <c r="L20796" s="23"/>
    </row>
    <row r="20797">
      <c r="B20797" s="19"/>
      <c r="E20797" s="23"/>
      <c r="L20797" s="23"/>
    </row>
    <row r="20798">
      <c r="B20798" s="19"/>
      <c r="E20798" s="23"/>
      <c r="L20798" s="23"/>
    </row>
    <row r="20799">
      <c r="B20799" s="19"/>
      <c r="E20799" s="23"/>
      <c r="L20799" s="23"/>
    </row>
    <row r="20800">
      <c r="B20800" s="19"/>
      <c r="E20800" s="23"/>
      <c r="L20800" s="23"/>
    </row>
    <row r="20801">
      <c r="B20801" s="19"/>
      <c r="E20801" s="23"/>
      <c r="L20801" s="23"/>
    </row>
    <row r="20802">
      <c r="B20802" s="19"/>
      <c r="E20802" s="23"/>
      <c r="L20802" s="23"/>
    </row>
    <row r="20803">
      <c r="B20803" s="19"/>
      <c r="E20803" s="23"/>
      <c r="L20803" s="23"/>
    </row>
    <row r="20804">
      <c r="B20804" s="19"/>
      <c r="E20804" s="23"/>
      <c r="L20804" s="23"/>
    </row>
    <row r="20805">
      <c r="B20805" s="19"/>
      <c r="E20805" s="23"/>
      <c r="L20805" s="23"/>
    </row>
    <row r="20806">
      <c r="B20806" s="19"/>
      <c r="E20806" s="23"/>
      <c r="L20806" s="23"/>
    </row>
    <row r="20807">
      <c r="B20807" s="19"/>
      <c r="E20807" s="23"/>
      <c r="L20807" s="23"/>
    </row>
    <row r="20808">
      <c r="B20808" s="19"/>
      <c r="E20808" s="23"/>
      <c r="L20808" s="23"/>
    </row>
    <row r="20809">
      <c r="B20809" s="19"/>
      <c r="E20809" s="23"/>
      <c r="L20809" s="23"/>
    </row>
    <row r="20810">
      <c r="B20810" s="19"/>
      <c r="E20810" s="23"/>
      <c r="L20810" s="23"/>
    </row>
    <row r="20811">
      <c r="B20811" s="19"/>
      <c r="E20811" s="23"/>
      <c r="L20811" s="23"/>
    </row>
    <row r="20812">
      <c r="B20812" s="19"/>
      <c r="E20812" s="23"/>
      <c r="L20812" s="23"/>
    </row>
    <row r="20813">
      <c r="B20813" s="19"/>
      <c r="E20813" s="23"/>
      <c r="L20813" s="23"/>
    </row>
    <row r="20814">
      <c r="B20814" s="19"/>
      <c r="E20814" s="23"/>
      <c r="L20814" s="23"/>
    </row>
    <row r="20815">
      <c r="B20815" s="19"/>
      <c r="E20815" s="23"/>
      <c r="L20815" s="23"/>
    </row>
    <row r="20816">
      <c r="B20816" s="19"/>
      <c r="E20816" s="23"/>
      <c r="L20816" s="23"/>
    </row>
    <row r="20817">
      <c r="B20817" s="19"/>
      <c r="E20817" s="23"/>
      <c r="L20817" s="23"/>
    </row>
    <row r="20818">
      <c r="B20818" s="19"/>
      <c r="E20818" s="23"/>
      <c r="L20818" s="23"/>
    </row>
    <row r="20819">
      <c r="B20819" s="19"/>
      <c r="E20819" s="23"/>
      <c r="L20819" s="23"/>
    </row>
    <row r="20820">
      <c r="B20820" s="19"/>
      <c r="E20820" s="23"/>
      <c r="L20820" s="23"/>
    </row>
    <row r="20821">
      <c r="B20821" s="19"/>
      <c r="E20821" s="23"/>
      <c r="L20821" s="23"/>
    </row>
    <row r="20822">
      <c r="B20822" s="19"/>
      <c r="E20822" s="23"/>
      <c r="L20822" s="23"/>
    </row>
    <row r="20823">
      <c r="B20823" s="19"/>
      <c r="E20823" s="23"/>
      <c r="L20823" s="23"/>
    </row>
    <row r="20824">
      <c r="B20824" s="19"/>
      <c r="E20824" s="23"/>
      <c r="L20824" s="23"/>
    </row>
    <row r="20825">
      <c r="B20825" s="19"/>
      <c r="E20825" s="23"/>
      <c r="L20825" s="23"/>
    </row>
    <row r="20826">
      <c r="B20826" s="19"/>
      <c r="E20826" s="23"/>
      <c r="L20826" s="23"/>
    </row>
    <row r="20827">
      <c r="B20827" s="19"/>
      <c r="E20827" s="23"/>
      <c r="L20827" s="23"/>
    </row>
    <row r="20828">
      <c r="B20828" s="19"/>
      <c r="E20828" s="23"/>
      <c r="L20828" s="23"/>
    </row>
    <row r="20829">
      <c r="B20829" s="19"/>
      <c r="E20829" s="23"/>
      <c r="L20829" s="23"/>
    </row>
    <row r="20830">
      <c r="B20830" s="19"/>
      <c r="E20830" s="23"/>
      <c r="L20830" s="23"/>
    </row>
    <row r="20831">
      <c r="B20831" s="19"/>
      <c r="E20831" s="23"/>
      <c r="L20831" s="23"/>
    </row>
    <row r="20832">
      <c r="B20832" s="19"/>
      <c r="E20832" s="23"/>
      <c r="L20832" s="23"/>
    </row>
    <row r="20833">
      <c r="B20833" s="19"/>
      <c r="E20833" s="23"/>
      <c r="L20833" s="23"/>
    </row>
    <row r="20834">
      <c r="B20834" s="19"/>
      <c r="E20834" s="23"/>
      <c r="L20834" s="23"/>
    </row>
    <row r="20835">
      <c r="B20835" s="19"/>
      <c r="E20835" s="23"/>
      <c r="L20835" s="23"/>
    </row>
    <row r="20836">
      <c r="B20836" s="19"/>
      <c r="E20836" s="23"/>
      <c r="L20836" s="23"/>
    </row>
    <row r="20837">
      <c r="B20837" s="19"/>
      <c r="E20837" s="23"/>
      <c r="L20837" s="23"/>
    </row>
    <row r="20838">
      <c r="B20838" s="19"/>
      <c r="E20838" s="23"/>
      <c r="L20838" s="23"/>
    </row>
    <row r="20839">
      <c r="B20839" s="19"/>
      <c r="E20839" s="23"/>
      <c r="L20839" s="23"/>
    </row>
    <row r="20840">
      <c r="B20840" s="19"/>
      <c r="E20840" s="23"/>
      <c r="L20840" s="23"/>
    </row>
    <row r="20841">
      <c r="B20841" s="19"/>
      <c r="E20841" s="23"/>
      <c r="L20841" s="23"/>
    </row>
    <row r="20842">
      <c r="B20842" s="19"/>
      <c r="E20842" s="23"/>
      <c r="L20842" s="23"/>
    </row>
    <row r="20843">
      <c r="B20843" s="19"/>
      <c r="E20843" s="23"/>
      <c r="L20843" s="23"/>
    </row>
    <row r="20844">
      <c r="B20844" s="19"/>
      <c r="E20844" s="23"/>
      <c r="L20844" s="23"/>
    </row>
    <row r="20845">
      <c r="B20845" s="19"/>
      <c r="E20845" s="23"/>
      <c r="L20845" s="23"/>
    </row>
    <row r="20846">
      <c r="B20846" s="19"/>
      <c r="E20846" s="23"/>
      <c r="L20846" s="23"/>
    </row>
    <row r="20847">
      <c r="B20847" s="19"/>
      <c r="E20847" s="23"/>
      <c r="L20847" s="23"/>
    </row>
    <row r="20848">
      <c r="B20848" s="19"/>
      <c r="E20848" s="23"/>
      <c r="L20848" s="23"/>
    </row>
    <row r="20849">
      <c r="B20849" s="19"/>
      <c r="E20849" s="23"/>
      <c r="L20849" s="23"/>
    </row>
    <row r="20850">
      <c r="B20850" s="19"/>
      <c r="E20850" s="23"/>
      <c r="L20850" s="23"/>
    </row>
    <row r="20851">
      <c r="B20851" s="19"/>
      <c r="E20851" s="23"/>
      <c r="L20851" s="23"/>
    </row>
    <row r="20852">
      <c r="B20852" s="19"/>
      <c r="E20852" s="23"/>
      <c r="L20852" s="23"/>
    </row>
    <row r="20853">
      <c r="B20853" s="19"/>
      <c r="E20853" s="23"/>
      <c r="L20853" s="23"/>
    </row>
    <row r="20854">
      <c r="B20854" s="19"/>
      <c r="E20854" s="23"/>
      <c r="L20854" s="23"/>
    </row>
    <row r="20855">
      <c r="B20855" s="19"/>
      <c r="E20855" s="23"/>
      <c r="L20855" s="23"/>
    </row>
    <row r="20856">
      <c r="B20856" s="19"/>
      <c r="E20856" s="23"/>
      <c r="L20856" s="23"/>
    </row>
    <row r="20857">
      <c r="B20857" s="19"/>
      <c r="E20857" s="23"/>
      <c r="L20857" s="23"/>
    </row>
    <row r="20858">
      <c r="B20858" s="19"/>
      <c r="E20858" s="23"/>
      <c r="L20858" s="23"/>
    </row>
    <row r="20859">
      <c r="B20859" s="19"/>
      <c r="E20859" s="23"/>
      <c r="L20859" s="23"/>
    </row>
    <row r="20860">
      <c r="B20860" s="19"/>
      <c r="E20860" s="23"/>
      <c r="L20860" s="23"/>
    </row>
    <row r="20861">
      <c r="B20861" s="19"/>
      <c r="E20861" s="23"/>
      <c r="L20861" s="23"/>
    </row>
    <row r="20862">
      <c r="B20862" s="19"/>
      <c r="E20862" s="23"/>
      <c r="L20862" s="23"/>
    </row>
    <row r="20863">
      <c r="B20863" s="19"/>
      <c r="E20863" s="23"/>
      <c r="L20863" s="23"/>
    </row>
    <row r="20864">
      <c r="B20864" s="19"/>
      <c r="E20864" s="23"/>
      <c r="L20864" s="23"/>
    </row>
    <row r="20865">
      <c r="B20865" s="19"/>
      <c r="E20865" s="23"/>
      <c r="L20865" s="23"/>
    </row>
    <row r="20866">
      <c r="B20866" s="19"/>
      <c r="E20866" s="23"/>
      <c r="L20866" s="23"/>
    </row>
    <row r="20867">
      <c r="B20867" s="19"/>
      <c r="E20867" s="23"/>
      <c r="L20867" s="23"/>
    </row>
    <row r="20868">
      <c r="B20868" s="19"/>
      <c r="E20868" s="23"/>
      <c r="L20868" s="23"/>
    </row>
    <row r="20869">
      <c r="B20869" s="19"/>
      <c r="E20869" s="23"/>
      <c r="L20869" s="23"/>
    </row>
    <row r="20870">
      <c r="B20870" s="19"/>
      <c r="E20870" s="23"/>
      <c r="L20870" s="23"/>
    </row>
    <row r="20871">
      <c r="B20871" s="19"/>
      <c r="E20871" s="23"/>
      <c r="L20871" s="23"/>
    </row>
    <row r="20872">
      <c r="B20872" s="19"/>
      <c r="E20872" s="23"/>
      <c r="L20872" s="23"/>
    </row>
    <row r="20873">
      <c r="B20873" s="19"/>
      <c r="E20873" s="23"/>
      <c r="L20873" s="23"/>
    </row>
    <row r="20874">
      <c r="B20874" s="19"/>
      <c r="E20874" s="23"/>
      <c r="L20874" s="23"/>
    </row>
    <row r="20875">
      <c r="B20875" s="19"/>
      <c r="E20875" s="23"/>
      <c r="L20875" s="23"/>
    </row>
    <row r="20876">
      <c r="B20876" s="19"/>
      <c r="E20876" s="23"/>
      <c r="L20876" s="23"/>
    </row>
    <row r="20877">
      <c r="B20877" s="19"/>
      <c r="E20877" s="23"/>
      <c r="L20877" s="23"/>
    </row>
    <row r="20878">
      <c r="B20878" s="19"/>
      <c r="E20878" s="23"/>
      <c r="L20878" s="23"/>
    </row>
    <row r="20879">
      <c r="B20879" s="19"/>
      <c r="E20879" s="23"/>
      <c r="L20879" s="23"/>
    </row>
    <row r="20880">
      <c r="B20880" s="19"/>
      <c r="E20880" s="23"/>
      <c r="L20880" s="23"/>
    </row>
    <row r="20881">
      <c r="B20881" s="19"/>
      <c r="E20881" s="23"/>
      <c r="L20881" s="23"/>
    </row>
    <row r="20882">
      <c r="B20882" s="19"/>
      <c r="E20882" s="23"/>
      <c r="L20882" s="23"/>
    </row>
    <row r="20883">
      <c r="B20883" s="19"/>
      <c r="E20883" s="23"/>
      <c r="L20883" s="23"/>
    </row>
    <row r="20884">
      <c r="B20884" s="19"/>
      <c r="E20884" s="23"/>
      <c r="L20884" s="23"/>
    </row>
    <row r="20885">
      <c r="B20885" s="19"/>
      <c r="E20885" s="23"/>
      <c r="L20885" s="23"/>
    </row>
    <row r="20886">
      <c r="B20886" s="19"/>
      <c r="E20886" s="23"/>
      <c r="L20886" s="23"/>
    </row>
    <row r="20887">
      <c r="B20887" s="19"/>
      <c r="E20887" s="23"/>
      <c r="L20887" s="23"/>
    </row>
    <row r="20888">
      <c r="B20888" s="19"/>
      <c r="E20888" s="23"/>
      <c r="L20888" s="23"/>
    </row>
    <row r="20889">
      <c r="B20889" s="19"/>
      <c r="E20889" s="23"/>
      <c r="L20889" s="23"/>
    </row>
    <row r="20890">
      <c r="B20890" s="19"/>
      <c r="E20890" s="23"/>
      <c r="L20890" s="23"/>
    </row>
    <row r="20891">
      <c r="B20891" s="19"/>
      <c r="E20891" s="23"/>
      <c r="L20891" s="23"/>
    </row>
    <row r="20892">
      <c r="B20892" s="19"/>
      <c r="E20892" s="23"/>
      <c r="L20892" s="23"/>
    </row>
    <row r="20893">
      <c r="B20893" s="19"/>
      <c r="E20893" s="23"/>
      <c r="L20893" s="23"/>
    </row>
    <row r="20894">
      <c r="B20894" s="19"/>
      <c r="E20894" s="23"/>
      <c r="L20894" s="23"/>
    </row>
    <row r="20895">
      <c r="B20895" s="19"/>
      <c r="E20895" s="23"/>
      <c r="L20895" s="23"/>
    </row>
    <row r="20896">
      <c r="B20896" s="19"/>
      <c r="E20896" s="23"/>
      <c r="L20896" s="23"/>
    </row>
    <row r="20897">
      <c r="B20897" s="19"/>
      <c r="E20897" s="23"/>
      <c r="L20897" s="23"/>
    </row>
    <row r="20898">
      <c r="B20898" s="19"/>
      <c r="E20898" s="23"/>
      <c r="L20898" s="23"/>
    </row>
    <row r="20899">
      <c r="B20899" s="19"/>
      <c r="E20899" s="23"/>
      <c r="L20899" s="23"/>
    </row>
    <row r="20900">
      <c r="B20900" s="19"/>
      <c r="E20900" s="23"/>
      <c r="L20900" s="23"/>
    </row>
    <row r="20901">
      <c r="B20901" s="19"/>
      <c r="E20901" s="23"/>
      <c r="L20901" s="23"/>
    </row>
    <row r="20902">
      <c r="B20902" s="19"/>
      <c r="E20902" s="23"/>
      <c r="L20902" s="23"/>
    </row>
    <row r="20903">
      <c r="B20903" s="19"/>
      <c r="E20903" s="23"/>
      <c r="L20903" s="23"/>
    </row>
    <row r="20904">
      <c r="B20904" s="19"/>
      <c r="E20904" s="23"/>
      <c r="L20904" s="23"/>
    </row>
    <row r="20905">
      <c r="B20905" s="19"/>
      <c r="E20905" s="23"/>
      <c r="L20905" s="23"/>
    </row>
    <row r="20906">
      <c r="B20906" s="19"/>
      <c r="E20906" s="23"/>
      <c r="L20906" s="23"/>
    </row>
    <row r="20907">
      <c r="B20907" s="19"/>
      <c r="E20907" s="23"/>
      <c r="L20907" s="23"/>
    </row>
    <row r="20908">
      <c r="B20908" s="19"/>
      <c r="E20908" s="23"/>
      <c r="L20908" s="23"/>
    </row>
    <row r="20909">
      <c r="B20909" s="19"/>
      <c r="E20909" s="23"/>
      <c r="L20909" s="23"/>
    </row>
    <row r="20910">
      <c r="B20910" s="19"/>
      <c r="E20910" s="23"/>
      <c r="L20910" s="23"/>
    </row>
    <row r="20911">
      <c r="B20911" s="19"/>
      <c r="E20911" s="23"/>
      <c r="L20911" s="23"/>
    </row>
    <row r="20912">
      <c r="B20912" s="19"/>
      <c r="E20912" s="23"/>
      <c r="L20912" s="23"/>
    </row>
    <row r="20913">
      <c r="B20913" s="19"/>
      <c r="E20913" s="23"/>
      <c r="L20913" s="23"/>
    </row>
    <row r="20914">
      <c r="B20914" s="19"/>
      <c r="E20914" s="23"/>
      <c r="L20914" s="23"/>
    </row>
    <row r="20915">
      <c r="B20915" s="19"/>
      <c r="E20915" s="23"/>
      <c r="L20915" s="23"/>
    </row>
    <row r="20916">
      <c r="B20916" s="19"/>
      <c r="E20916" s="23"/>
      <c r="L20916" s="23"/>
    </row>
    <row r="20917">
      <c r="B20917" s="19"/>
      <c r="E20917" s="23"/>
      <c r="L20917" s="23"/>
    </row>
    <row r="20918">
      <c r="B20918" s="19"/>
      <c r="E20918" s="23"/>
      <c r="L20918" s="23"/>
    </row>
    <row r="20919">
      <c r="B20919" s="19"/>
      <c r="E20919" s="23"/>
      <c r="L20919" s="23"/>
    </row>
    <row r="20920">
      <c r="B20920" s="19"/>
      <c r="E20920" s="23"/>
      <c r="L20920" s="23"/>
    </row>
    <row r="20921">
      <c r="B20921" s="19"/>
      <c r="E20921" s="23"/>
      <c r="L20921" s="23"/>
    </row>
    <row r="20922">
      <c r="B20922" s="19"/>
      <c r="E20922" s="23"/>
      <c r="L20922" s="23"/>
    </row>
    <row r="20923">
      <c r="B20923" s="19"/>
      <c r="E20923" s="23"/>
      <c r="L20923" s="23"/>
    </row>
    <row r="20924">
      <c r="B20924" s="19"/>
      <c r="E20924" s="23"/>
      <c r="L20924" s="23"/>
    </row>
    <row r="20925">
      <c r="B20925" s="19"/>
      <c r="E20925" s="23"/>
      <c r="L20925" s="23"/>
    </row>
    <row r="20926">
      <c r="B20926" s="19"/>
      <c r="E20926" s="23"/>
      <c r="L20926" s="23"/>
    </row>
    <row r="20927">
      <c r="B20927" s="19"/>
      <c r="E20927" s="23"/>
      <c r="L20927" s="23"/>
    </row>
    <row r="20928">
      <c r="B20928" s="19"/>
      <c r="E20928" s="23"/>
      <c r="L20928" s="23"/>
    </row>
    <row r="20929">
      <c r="B20929" s="19"/>
      <c r="E20929" s="23"/>
      <c r="L20929" s="23"/>
    </row>
    <row r="20930">
      <c r="B20930" s="19"/>
      <c r="E20930" s="23"/>
      <c r="L20930" s="23"/>
    </row>
    <row r="20931">
      <c r="B20931" s="19"/>
      <c r="E20931" s="23"/>
      <c r="L20931" s="23"/>
    </row>
    <row r="20932">
      <c r="B20932" s="19"/>
      <c r="E20932" s="23"/>
      <c r="L20932" s="23"/>
    </row>
    <row r="20933">
      <c r="B20933" s="19"/>
      <c r="E20933" s="23"/>
      <c r="L20933" s="23"/>
    </row>
    <row r="20934">
      <c r="B20934" s="19"/>
      <c r="E20934" s="23"/>
      <c r="L20934" s="23"/>
    </row>
    <row r="20935">
      <c r="B20935" s="19"/>
      <c r="E20935" s="23"/>
      <c r="L20935" s="23"/>
    </row>
    <row r="20936">
      <c r="B20936" s="19"/>
      <c r="E20936" s="23"/>
      <c r="L20936" s="23"/>
    </row>
    <row r="20937">
      <c r="B20937" s="19"/>
      <c r="E20937" s="23"/>
      <c r="L20937" s="23"/>
    </row>
    <row r="20938">
      <c r="B20938" s="19"/>
      <c r="E20938" s="23"/>
      <c r="L20938" s="23"/>
    </row>
    <row r="20939">
      <c r="B20939" s="19"/>
      <c r="E20939" s="23"/>
      <c r="L20939" s="23"/>
    </row>
    <row r="20940">
      <c r="B20940" s="19"/>
      <c r="E20940" s="23"/>
      <c r="L20940" s="23"/>
    </row>
    <row r="20941">
      <c r="B20941" s="19"/>
      <c r="E20941" s="23"/>
      <c r="L20941" s="23"/>
    </row>
    <row r="20942">
      <c r="B20942" s="19"/>
      <c r="E20942" s="23"/>
      <c r="L20942" s="23"/>
    </row>
    <row r="20943">
      <c r="B20943" s="19"/>
      <c r="E20943" s="23"/>
      <c r="L20943" s="23"/>
    </row>
    <row r="20944">
      <c r="B20944" s="19"/>
      <c r="E20944" s="23"/>
      <c r="L20944" s="23"/>
    </row>
    <row r="20945">
      <c r="B20945" s="19"/>
      <c r="E20945" s="23"/>
      <c r="L20945" s="23"/>
    </row>
    <row r="20946">
      <c r="B20946" s="19"/>
      <c r="E20946" s="23"/>
      <c r="L20946" s="23"/>
    </row>
    <row r="20947">
      <c r="B20947" s="19"/>
      <c r="E20947" s="23"/>
      <c r="L20947" s="23"/>
    </row>
    <row r="20948">
      <c r="B20948" s="19"/>
      <c r="E20948" s="23"/>
      <c r="L20948" s="23"/>
    </row>
    <row r="20949">
      <c r="B20949" s="19"/>
      <c r="E20949" s="23"/>
      <c r="L20949" s="23"/>
    </row>
    <row r="20950">
      <c r="B20950" s="19"/>
      <c r="E20950" s="23"/>
      <c r="L20950" s="23"/>
    </row>
    <row r="20951">
      <c r="B20951" s="19"/>
      <c r="E20951" s="23"/>
      <c r="L20951" s="23"/>
    </row>
    <row r="20952">
      <c r="B20952" s="19"/>
      <c r="E20952" s="23"/>
      <c r="L20952" s="23"/>
    </row>
    <row r="20953">
      <c r="B20953" s="19"/>
      <c r="E20953" s="23"/>
      <c r="L20953" s="23"/>
    </row>
    <row r="20954">
      <c r="B20954" s="19"/>
      <c r="E20954" s="23"/>
      <c r="L20954" s="23"/>
    </row>
    <row r="20955">
      <c r="B20955" s="19"/>
      <c r="E20955" s="23"/>
      <c r="L20955" s="23"/>
    </row>
    <row r="20956">
      <c r="B20956" s="19"/>
      <c r="E20956" s="23"/>
      <c r="L20956" s="23"/>
    </row>
    <row r="20957">
      <c r="B20957" s="19"/>
      <c r="E20957" s="23"/>
      <c r="L20957" s="23"/>
    </row>
    <row r="20958">
      <c r="B20958" s="19"/>
      <c r="E20958" s="23"/>
      <c r="L20958" s="23"/>
    </row>
    <row r="20959">
      <c r="B20959" s="19"/>
      <c r="E20959" s="23"/>
      <c r="L20959" s="23"/>
    </row>
    <row r="20960">
      <c r="B20960" s="19"/>
      <c r="E20960" s="23"/>
      <c r="L20960" s="23"/>
    </row>
    <row r="20961">
      <c r="B20961" s="19"/>
      <c r="E20961" s="23"/>
      <c r="L20961" s="23"/>
    </row>
    <row r="20962">
      <c r="B20962" s="19"/>
      <c r="E20962" s="23"/>
      <c r="L20962" s="23"/>
    </row>
    <row r="20963">
      <c r="B20963" s="19"/>
      <c r="E20963" s="23"/>
      <c r="L20963" s="23"/>
    </row>
    <row r="20964">
      <c r="B20964" s="19"/>
      <c r="E20964" s="23"/>
      <c r="L20964" s="23"/>
    </row>
    <row r="20965">
      <c r="B20965" s="19"/>
      <c r="E20965" s="23"/>
      <c r="L20965" s="23"/>
    </row>
    <row r="20966">
      <c r="B20966" s="19"/>
      <c r="E20966" s="23"/>
      <c r="L20966" s="23"/>
    </row>
    <row r="20967">
      <c r="B20967" s="19"/>
      <c r="E20967" s="23"/>
      <c r="L20967" s="23"/>
    </row>
    <row r="20968">
      <c r="B20968" s="19"/>
      <c r="E20968" s="23"/>
      <c r="L20968" s="23"/>
    </row>
    <row r="20969">
      <c r="B20969" s="19"/>
      <c r="E20969" s="23"/>
      <c r="L20969" s="23"/>
    </row>
    <row r="20970">
      <c r="B20970" s="19"/>
      <c r="E20970" s="23"/>
      <c r="L20970" s="23"/>
    </row>
    <row r="20971">
      <c r="B20971" s="19"/>
      <c r="E20971" s="23"/>
      <c r="L20971" s="23"/>
    </row>
    <row r="20972">
      <c r="B20972" s="19"/>
      <c r="E20972" s="23"/>
      <c r="L20972" s="23"/>
    </row>
    <row r="20973">
      <c r="B20973" s="19"/>
      <c r="E20973" s="23"/>
      <c r="L20973" s="23"/>
    </row>
    <row r="20974">
      <c r="B20974" s="19"/>
      <c r="E20974" s="23"/>
      <c r="L20974" s="23"/>
    </row>
    <row r="20975">
      <c r="B20975" s="19"/>
      <c r="E20975" s="23"/>
      <c r="L20975" s="23"/>
    </row>
    <row r="20976">
      <c r="B20976" s="19"/>
      <c r="E20976" s="23"/>
      <c r="L20976" s="23"/>
    </row>
    <row r="20977">
      <c r="B20977" s="19"/>
      <c r="E20977" s="23"/>
      <c r="L20977" s="23"/>
    </row>
    <row r="20978">
      <c r="B20978" s="19"/>
      <c r="E20978" s="23"/>
      <c r="L20978" s="23"/>
    </row>
    <row r="20979">
      <c r="B20979" s="19"/>
      <c r="E20979" s="23"/>
      <c r="L20979" s="23"/>
    </row>
    <row r="20980">
      <c r="B20980" s="19"/>
      <c r="E20980" s="23"/>
      <c r="L20980" s="23"/>
    </row>
    <row r="20981">
      <c r="B20981" s="19"/>
      <c r="E20981" s="23"/>
      <c r="L20981" s="23"/>
    </row>
    <row r="20982">
      <c r="B20982" s="19"/>
      <c r="E20982" s="23"/>
      <c r="L20982" s="23"/>
    </row>
    <row r="20983">
      <c r="B20983" s="19"/>
      <c r="E20983" s="23"/>
      <c r="L20983" s="23"/>
    </row>
    <row r="20984">
      <c r="B20984" s="19"/>
      <c r="E20984" s="23"/>
      <c r="L20984" s="23"/>
    </row>
    <row r="20985">
      <c r="B20985" s="19"/>
      <c r="E20985" s="23"/>
      <c r="L20985" s="23"/>
    </row>
    <row r="20986">
      <c r="B20986" s="19"/>
      <c r="E20986" s="23"/>
      <c r="L20986" s="23"/>
    </row>
    <row r="20987">
      <c r="B20987" s="19"/>
      <c r="E20987" s="23"/>
      <c r="L20987" s="23"/>
    </row>
    <row r="20988">
      <c r="B20988" s="19"/>
      <c r="E20988" s="23"/>
      <c r="L20988" s="23"/>
    </row>
    <row r="20989">
      <c r="B20989" s="19"/>
      <c r="E20989" s="23"/>
      <c r="L20989" s="23"/>
    </row>
    <row r="20990">
      <c r="B20990" s="19"/>
      <c r="E20990" s="23"/>
      <c r="L20990" s="23"/>
    </row>
    <row r="20991">
      <c r="B20991" s="19"/>
      <c r="E20991" s="23"/>
      <c r="L20991" s="23"/>
    </row>
    <row r="20992">
      <c r="B20992" s="19"/>
      <c r="E20992" s="23"/>
      <c r="L20992" s="23"/>
    </row>
    <row r="20993">
      <c r="B20993" s="19"/>
      <c r="E20993" s="23"/>
      <c r="L20993" s="23"/>
    </row>
    <row r="20994">
      <c r="B20994" s="19"/>
      <c r="E20994" s="23"/>
      <c r="L20994" s="23"/>
    </row>
    <row r="20995">
      <c r="B20995" s="19"/>
      <c r="E20995" s="23"/>
      <c r="L20995" s="23"/>
    </row>
    <row r="20996">
      <c r="B20996" s="19"/>
      <c r="E20996" s="23"/>
      <c r="L20996" s="23"/>
    </row>
    <row r="20997">
      <c r="B20997" s="19"/>
      <c r="E20997" s="23"/>
      <c r="L20997" s="23"/>
    </row>
    <row r="20998">
      <c r="B20998" s="19"/>
      <c r="E20998" s="23"/>
      <c r="L20998" s="23"/>
    </row>
    <row r="20999">
      <c r="B20999" s="19"/>
      <c r="E20999" s="23"/>
      <c r="L20999" s="23"/>
    </row>
    <row r="21000">
      <c r="B21000" s="19"/>
      <c r="E21000" s="23"/>
      <c r="L21000" s="23"/>
    </row>
    <row r="21001">
      <c r="B21001" s="19"/>
      <c r="E21001" s="23"/>
      <c r="L21001" s="23"/>
    </row>
    <row r="21002">
      <c r="B21002" s="19"/>
      <c r="E21002" s="23"/>
      <c r="L21002" s="23"/>
    </row>
    <row r="21003">
      <c r="B21003" s="19"/>
      <c r="E21003" s="23"/>
      <c r="L21003" s="23"/>
    </row>
    <row r="21004">
      <c r="B21004" s="19"/>
      <c r="E21004" s="23"/>
      <c r="L21004" s="23"/>
    </row>
    <row r="21005">
      <c r="B21005" s="19"/>
      <c r="E21005" s="23"/>
      <c r="L21005" s="23"/>
    </row>
    <row r="21006">
      <c r="B21006" s="19"/>
      <c r="E21006" s="23"/>
      <c r="L21006" s="23"/>
    </row>
    <row r="21007">
      <c r="B21007" s="19"/>
      <c r="E21007" s="23"/>
      <c r="L21007" s="23"/>
    </row>
    <row r="21008">
      <c r="B21008" s="19"/>
      <c r="E21008" s="23"/>
      <c r="L21008" s="23"/>
    </row>
    <row r="21009">
      <c r="B21009" s="19"/>
      <c r="E21009" s="23"/>
      <c r="L21009" s="23"/>
    </row>
    <row r="21010">
      <c r="B21010" s="19"/>
      <c r="E21010" s="23"/>
      <c r="L21010" s="23"/>
    </row>
    <row r="21011">
      <c r="B21011" s="19"/>
      <c r="E21011" s="23"/>
      <c r="L21011" s="23"/>
    </row>
    <row r="21012">
      <c r="B21012" s="19"/>
      <c r="E21012" s="23"/>
      <c r="L21012" s="23"/>
    </row>
    <row r="21013">
      <c r="B21013" s="19"/>
      <c r="E21013" s="23"/>
      <c r="L21013" s="23"/>
    </row>
    <row r="21014">
      <c r="B21014" s="19"/>
      <c r="E21014" s="23"/>
      <c r="L21014" s="23"/>
    </row>
    <row r="21015">
      <c r="B21015" s="19"/>
      <c r="E21015" s="23"/>
      <c r="L21015" s="23"/>
    </row>
    <row r="21016">
      <c r="B21016" s="19"/>
      <c r="E21016" s="23"/>
      <c r="L21016" s="23"/>
    </row>
    <row r="21017">
      <c r="B21017" s="19"/>
      <c r="E21017" s="23"/>
      <c r="L21017" s="23"/>
    </row>
    <row r="21018">
      <c r="B21018" s="19"/>
      <c r="E21018" s="23"/>
      <c r="L21018" s="23"/>
    </row>
    <row r="21019">
      <c r="B21019" s="19"/>
      <c r="E21019" s="23"/>
      <c r="L21019" s="23"/>
    </row>
    <row r="21020">
      <c r="B21020" s="19"/>
      <c r="E21020" s="23"/>
      <c r="L21020" s="23"/>
    </row>
    <row r="21021">
      <c r="B21021" s="19"/>
      <c r="E21021" s="23"/>
      <c r="L21021" s="23"/>
    </row>
    <row r="21022">
      <c r="B21022" s="19"/>
      <c r="E21022" s="23"/>
      <c r="L21022" s="23"/>
    </row>
    <row r="21023">
      <c r="B21023" s="19"/>
      <c r="E21023" s="23"/>
      <c r="L21023" s="23"/>
    </row>
    <row r="21024">
      <c r="B21024" s="19"/>
      <c r="E21024" s="23"/>
      <c r="L21024" s="23"/>
    </row>
    <row r="21025">
      <c r="B21025" s="19"/>
      <c r="E21025" s="23"/>
      <c r="L21025" s="23"/>
    </row>
    <row r="21026">
      <c r="B21026" s="19"/>
      <c r="E21026" s="23"/>
      <c r="L21026" s="23"/>
    </row>
    <row r="21027">
      <c r="B21027" s="19"/>
      <c r="E21027" s="23"/>
      <c r="L21027" s="23"/>
    </row>
    <row r="21028">
      <c r="B21028" s="19"/>
      <c r="E21028" s="23"/>
      <c r="L21028" s="23"/>
    </row>
    <row r="21029">
      <c r="B21029" s="19"/>
      <c r="E21029" s="23"/>
      <c r="L21029" s="23"/>
    </row>
    <row r="21030">
      <c r="B21030" s="19"/>
      <c r="E21030" s="23"/>
      <c r="L21030" s="23"/>
    </row>
    <row r="21031">
      <c r="B21031" s="19"/>
      <c r="E21031" s="23"/>
      <c r="L21031" s="23"/>
    </row>
    <row r="21032">
      <c r="B21032" s="19"/>
      <c r="E21032" s="23"/>
      <c r="L21032" s="23"/>
    </row>
    <row r="21033">
      <c r="B21033" s="19"/>
      <c r="E21033" s="23"/>
      <c r="L21033" s="23"/>
    </row>
    <row r="21034">
      <c r="B21034" s="19"/>
      <c r="E21034" s="23"/>
      <c r="L21034" s="23"/>
    </row>
    <row r="21035">
      <c r="B21035" s="19"/>
      <c r="E21035" s="23"/>
      <c r="L21035" s="23"/>
    </row>
    <row r="21036">
      <c r="B21036" s="19"/>
      <c r="E21036" s="23"/>
      <c r="L21036" s="23"/>
    </row>
    <row r="21037">
      <c r="B21037" s="19"/>
      <c r="E21037" s="23"/>
      <c r="L21037" s="23"/>
    </row>
    <row r="21038">
      <c r="B21038" s="19"/>
      <c r="E21038" s="23"/>
      <c r="L21038" s="23"/>
    </row>
    <row r="21039">
      <c r="B21039" s="19"/>
      <c r="E21039" s="23"/>
      <c r="L21039" s="23"/>
    </row>
    <row r="21040">
      <c r="B21040" s="19"/>
      <c r="E21040" s="23"/>
      <c r="L21040" s="23"/>
    </row>
    <row r="21041">
      <c r="B21041" s="19"/>
      <c r="E21041" s="23"/>
      <c r="L21041" s="23"/>
    </row>
    <row r="21042">
      <c r="B21042" s="19"/>
      <c r="E21042" s="23"/>
      <c r="L21042" s="23"/>
    </row>
    <row r="21043">
      <c r="B21043" s="19"/>
      <c r="E21043" s="23"/>
      <c r="L21043" s="23"/>
    </row>
    <row r="21044">
      <c r="B21044" s="19"/>
      <c r="E21044" s="23"/>
      <c r="L21044" s="23"/>
    </row>
    <row r="21045">
      <c r="B21045" s="19"/>
      <c r="E21045" s="23"/>
      <c r="L21045" s="23"/>
    </row>
    <row r="21046">
      <c r="B21046" s="19"/>
      <c r="E21046" s="23"/>
      <c r="L21046" s="23"/>
    </row>
    <row r="21047">
      <c r="B21047" s="19"/>
      <c r="E21047" s="23"/>
      <c r="L21047" s="23"/>
    </row>
    <row r="21048">
      <c r="B21048" s="19"/>
      <c r="E21048" s="23"/>
      <c r="L21048" s="23"/>
    </row>
    <row r="21049">
      <c r="B21049" s="19"/>
      <c r="E21049" s="23"/>
      <c r="L21049" s="23"/>
    </row>
    <row r="21050">
      <c r="B21050" s="19"/>
      <c r="E21050" s="23"/>
      <c r="L21050" s="23"/>
    </row>
    <row r="21051">
      <c r="B21051" s="19"/>
      <c r="E21051" s="23"/>
      <c r="L21051" s="23"/>
    </row>
    <row r="21052">
      <c r="B21052" s="19"/>
      <c r="E21052" s="23"/>
      <c r="L21052" s="23"/>
    </row>
    <row r="21053">
      <c r="B21053" s="19"/>
      <c r="E21053" s="23"/>
      <c r="L21053" s="23"/>
    </row>
    <row r="21054">
      <c r="B21054" s="19"/>
      <c r="E21054" s="23"/>
      <c r="L21054" s="23"/>
    </row>
    <row r="21055">
      <c r="B21055" s="19"/>
      <c r="E21055" s="23"/>
      <c r="L21055" s="23"/>
    </row>
    <row r="21056">
      <c r="B21056" s="19"/>
      <c r="E21056" s="23"/>
      <c r="L21056" s="23"/>
    </row>
    <row r="21057">
      <c r="B21057" s="19"/>
      <c r="E21057" s="23"/>
      <c r="L21057" s="23"/>
    </row>
    <row r="21058">
      <c r="B21058" s="19"/>
      <c r="E21058" s="23"/>
      <c r="L21058" s="23"/>
    </row>
    <row r="21059">
      <c r="B21059" s="19"/>
      <c r="E21059" s="23"/>
      <c r="L21059" s="23"/>
    </row>
    <row r="21060">
      <c r="B21060" s="19"/>
      <c r="E21060" s="23"/>
      <c r="L21060" s="23"/>
    </row>
    <row r="21061">
      <c r="B21061" s="19"/>
      <c r="E21061" s="23"/>
      <c r="L21061" s="23"/>
    </row>
    <row r="21062">
      <c r="B21062" s="19"/>
      <c r="E21062" s="23"/>
      <c r="L21062" s="23"/>
    </row>
    <row r="21063">
      <c r="B21063" s="19"/>
      <c r="E21063" s="23"/>
      <c r="L21063" s="23"/>
    </row>
    <row r="21064">
      <c r="B21064" s="19"/>
      <c r="E21064" s="23"/>
      <c r="L21064" s="23"/>
    </row>
    <row r="21065">
      <c r="B21065" s="19"/>
      <c r="E21065" s="23"/>
      <c r="L21065" s="23"/>
    </row>
    <row r="21066">
      <c r="B21066" s="19"/>
      <c r="E21066" s="23"/>
      <c r="L21066" s="23"/>
    </row>
    <row r="21067">
      <c r="B21067" s="19"/>
      <c r="E21067" s="23"/>
      <c r="L21067" s="23"/>
    </row>
    <row r="21068">
      <c r="B21068" s="19"/>
      <c r="E21068" s="23"/>
      <c r="L21068" s="23"/>
    </row>
    <row r="21069">
      <c r="B21069" s="19"/>
      <c r="E21069" s="23"/>
      <c r="L21069" s="23"/>
    </row>
    <row r="21070">
      <c r="B21070" s="19"/>
      <c r="E21070" s="23"/>
      <c r="L21070" s="23"/>
    </row>
    <row r="21071">
      <c r="B21071" s="19"/>
      <c r="E21071" s="23"/>
      <c r="L21071" s="23"/>
    </row>
    <row r="21072">
      <c r="B21072" s="19"/>
      <c r="E21072" s="23"/>
      <c r="L21072" s="23"/>
    </row>
    <row r="21073">
      <c r="B21073" s="19"/>
      <c r="E21073" s="23"/>
      <c r="L21073" s="23"/>
    </row>
    <row r="21074">
      <c r="B21074" s="19"/>
      <c r="E21074" s="23"/>
      <c r="L21074" s="23"/>
    </row>
    <row r="21075">
      <c r="B21075" s="19"/>
      <c r="E21075" s="23"/>
      <c r="L21075" s="23"/>
    </row>
    <row r="21076">
      <c r="B21076" s="19"/>
      <c r="E21076" s="23"/>
      <c r="L21076" s="23"/>
    </row>
    <row r="21077">
      <c r="B21077" s="19"/>
      <c r="E21077" s="23"/>
      <c r="L21077" s="23"/>
    </row>
    <row r="21078">
      <c r="B21078" s="19"/>
      <c r="E21078" s="23"/>
      <c r="L21078" s="23"/>
    </row>
    <row r="21079">
      <c r="B21079" s="19"/>
      <c r="E21079" s="23"/>
      <c r="L21079" s="23"/>
    </row>
    <row r="21080">
      <c r="B21080" s="19"/>
      <c r="E21080" s="23"/>
      <c r="L21080" s="23"/>
    </row>
    <row r="21081">
      <c r="B21081" s="19"/>
      <c r="E21081" s="23"/>
      <c r="L21081" s="23"/>
    </row>
    <row r="21082">
      <c r="B21082" s="19"/>
      <c r="E21082" s="23"/>
      <c r="L21082" s="23"/>
    </row>
    <row r="21083">
      <c r="B21083" s="19"/>
      <c r="E21083" s="23"/>
      <c r="L21083" s="23"/>
    </row>
    <row r="21084">
      <c r="B21084" s="19"/>
      <c r="E21084" s="23"/>
      <c r="L21084" s="23"/>
    </row>
    <row r="21085">
      <c r="B21085" s="19"/>
      <c r="E21085" s="23"/>
      <c r="L21085" s="23"/>
    </row>
    <row r="21086">
      <c r="B21086" s="19"/>
      <c r="E21086" s="23"/>
      <c r="L21086" s="23"/>
    </row>
    <row r="21087">
      <c r="B21087" s="19"/>
      <c r="E21087" s="23"/>
      <c r="L21087" s="23"/>
    </row>
    <row r="21088">
      <c r="B21088" s="19"/>
      <c r="E21088" s="23"/>
      <c r="L21088" s="23"/>
    </row>
    <row r="21089">
      <c r="B21089" s="19"/>
      <c r="E21089" s="23"/>
      <c r="L21089" s="23"/>
    </row>
    <row r="21090">
      <c r="B21090" s="19"/>
      <c r="E21090" s="23"/>
      <c r="L21090" s="23"/>
    </row>
    <row r="21091">
      <c r="B21091" s="19"/>
      <c r="E21091" s="23"/>
      <c r="L21091" s="23"/>
    </row>
    <row r="21092">
      <c r="B21092" s="19"/>
      <c r="E21092" s="23"/>
      <c r="L21092" s="23"/>
    </row>
    <row r="21093">
      <c r="B21093" s="19"/>
      <c r="E21093" s="23"/>
      <c r="L21093" s="23"/>
    </row>
    <row r="21094">
      <c r="B21094" s="19"/>
      <c r="E21094" s="23"/>
      <c r="L21094" s="23"/>
    </row>
    <row r="21095">
      <c r="B21095" s="19"/>
      <c r="E21095" s="23"/>
      <c r="L21095" s="23"/>
    </row>
    <row r="21096">
      <c r="B21096" s="19"/>
      <c r="E21096" s="23"/>
      <c r="L21096" s="23"/>
    </row>
    <row r="21097">
      <c r="B21097" s="19"/>
      <c r="E21097" s="23"/>
      <c r="L21097" s="23"/>
    </row>
    <row r="21098">
      <c r="B21098" s="19"/>
      <c r="E21098" s="23"/>
      <c r="L21098" s="23"/>
    </row>
    <row r="21099">
      <c r="B21099" s="19"/>
      <c r="E21099" s="23"/>
      <c r="L21099" s="23"/>
    </row>
    <row r="21100">
      <c r="B21100" s="19"/>
      <c r="E21100" s="23"/>
      <c r="L21100" s="23"/>
    </row>
    <row r="21101">
      <c r="B21101" s="19"/>
      <c r="E21101" s="23"/>
      <c r="L21101" s="23"/>
    </row>
    <row r="21102">
      <c r="B21102" s="19"/>
      <c r="E21102" s="23"/>
      <c r="L21102" s="23"/>
    </row>
    <row r="21103">
      <c r="B21103" s="19"/>
      <c r="E21103" s="23"/>
      <c r="L21103" s="23"/>
    </row>
    <row r="21104">
      <c r="B21104" s="19"/>
      <c r="E21104" s="23"/>
      <c r="L21104" s="23"/>
    </row>
    <row r="21105">
      <c r="B21105" s="19"/>
      <c r="E21105" s="23"/>
      <c r="L21105" s="23"/>
    </row>
    <row r="21106">
      <c r="B21106" s="19"/>
      <c r="E21106" s="23"/>
      <c r="L21106" s="23"/>
    </row>
    <row r="21107">
      <c r="B21107" s="19"/>
      <c r="E21107" s="23"/>
      <c r="L21107" s="23"/>
    </row>
    <row r="21108">
      <c r="B21108" s="19"/>
      <c r="E21108" s="23"/>
      <c r="L21108" s="23"/>
    </row>
    <row r="21109">
      <c r="B21109" s="19"/>
      <c r="E21109" s="23"/>
      <c r="L21109" s="23"/>
    </row>
    <row r="21110">
      <c r="B21110" s="19"/>
      <c r="E21110" s="23"/>
      <c r="L21110" s="23"/>
    </row>
    <row r="21111">
      <c r="B21111" s="19"/>
      <c r="E21111" s="23"/>
      <c r="L21111" s="23"/>
    </row>
    <row r="21112">
      <c r="B21112" s="19"/>
      <c r="E21112" s="23"/>
      <c r="L21112" s="23"/>
    </row>
    <row r="21113">
      <c r="B21113" s="19"/>
      <c r="E21113" s="23"/>
      <c r="L21113" s="23"/>
    </row>
    <row r="21114">
      <c r="B21114" s="19"/>
      <c r="E21114" s="23"/>
      <c r="L21114" s="23"/>
    </row>
    <row r="21115">
      <c r="B21115" s="19"/>
      <c r="E21115" s="23"/>
      <c r="L21115" s="23"/>
    </row>
    <row r="21116">
      <c r="B21116" s="19"/>
      <c r="E21116" s="23"/>
      <c r="L21116" s="23"/>
    </row>
    <row r="21117">
      <c r="B21117" s="19"/>
      <c r="E21117" s="23"/>
      <c r="L21117" s="23"/>
    </row>
    <row r="21118">
      <c r="B21118" s="19"/>
      <c r="E21118" s="23"/>
      <c r="L21118" s="23"/>
    </row>
    <row r="21119">
      <c r="B21119" s="19"/>
      <c r="E21119" s="23"/>
      <c r="L21119" s="23"/>
    </row>
    <row r="21120">
      <c r="B21120" s="19"/>
      <c r="E21120" s="23"/>
      <c r="L21120" s="23"/>
    </row>
    <row r="21121">
      <c r="B21121" s="19"/>
      <c r="E21121" s="23"/>
      <c r="L21121" s="23"/>
    </row>
    <row r="21122">
      <c r="B21122" s="19"/>
      <c r="E21122" s="23"/>
      <c r="L21122" s="23"/>
    </row>
    <row r="21123">
      <c r="B21123" s="19"/>
      <c r="E21123" s="23"/>
      <c r="L21123" s="23"/>
    </row>
    <row r="21124">
      <c r="B21124" s="19"/>
      <c r="E21124" s="23"/>
      <c r="L21124" s="23"/>
    </row>
    <row r="21125">
      <c r="B21125" s="19"/>
      <c r="E21125" s="23"/>
      <c r="L21125" s="23"/>
    </row>
    <row r="21126">
      <c r="B21126" s="19"/>
      <c r="E21126" s="23"/>
      <c r="L21126" s="23"/>
    </row>
    <row r="21127">
      <c r="B21127" s="19"/>
      <c r="E21127" s="23"/>
      <c r="L21127" s="23"/>
    </row>
    <row r="21128">
      <c r="B21128" s="19"/>
      <c r="E21128" s="23"/>
      <c r="L21128" s="23"/>
    </row>
    <row r="21129">
      <c r="B21129" s="19"/>
      <c r="E21129" s="23"/>
      <c r="L21129" s="23"/>
    </row>
    <row r="21130">
      <c r="B21130" s="19"/>
      <c r="E21130" s="23"/>
      <c r="L21130" s="23"/>
    </row>
    <row r="21131">
      <c r="B21131" s="19"/>
      <c r="E21131" s="23"/>
      <c r="L21131" s="23"/>
    </row>
    <row r="21132">
      <c r="B21132" s="19"/>
      <c r="E21132" s="23"/>
      <c r="L21132" s="23"/>
    </row>
    <row r="21133">
      <c r="B21133" s="19"/>
      <c r="E21133" s="23"/>
      <c r="L21133" s="23"/>
    </row>
    <row r="21134">
      <c r="B21134" s="19"/>
      <c r="E21134" s="23"/>
      <c r="L21134" s="23"/>
    </row>
    <row r="21135">
      <c r="B21135" s="19"/>
      <c r="E21135" s="23"/>
      <c r="L21135" s="23"/>
    </row>
    <row r="21136">
      <c r="B21136" s="19"/>
      <c r="E21136" s="23"/>
      <c r="L21136" s="23"/>
    </row>
    <row r="21137">
      <c r="B21137" s="19"/>
      <c r="E21137" s="23"/>
      <c r="L21137" s="23"/>
    </row>
    <row r="21138">
      <c r="B21138" s="19"/>
      <c r="E21138" s="23"/>
      <c r="L21138" s="23"/>
    </row>
    <row r="21139">
      <c r="B21139" s="19"/>
      <c r="E21139" s="23"/>
      <c r="L21139" s="23"/>
    </row>
    <row r="21140">
      <c r="B21140" s="19"/>
      <c r="E21140" s="23"/>
      <c r="L21140" s="23"/>
    </row>
    <row r="21141">
      <c r="B21141" s="19"/>
      <c r="E21141" s="23"/>
      <c r="L21141" s="23"/>
    </row>
    <row r="21142">
      <c r="B21142" s="19"/>
      <c r="E21142" s="23"/>
      <c r="L21142" s="23"/>
    </row>
    <row r="21143">
      <c r="B21143" s="19"/>
      <c r="E21143" s="23"/>
      <c r="L21143" s="23"/>
    </row>
    <row r="21144">
      <c r="B21144" s="19"/>
      <c r="E21144" s="23"/>
      <c r="L21144" s="23"/>
    </row>
    <row r="21145">
      <c r="B21145" s="19"/>
      <c r="E21145" s="23"/>
      <c r="L21145" s="23"/>
    </row>
    <row r="21146">
      <c r="B21146" s="19"/>
      <c r="E21146" s="23"/>
      <c r="L21146" s="23"/>
    </row>
    <row r="21147">
      <c r="B21147" s="19"/>
      <c r="E21147" s="23"/>
      <c r="L21147" s="23"/>
    </row>
    <row r="21148">
      <c r="B21148" s="19"/>
      <c r="E21148" s="23"/>
      <c r="L21148" s="23"/>
    </row>
    <row r="21149">
      <c r="B21149" s="19"/>
      <c r="E21149" s="23"/>
      <c r="L21149" s="23"/>
    </row>
    <row r="21150">
      <c r="B21150" s="19"/>
      <c r="E21150" s="23"/>
      <c r="L21150" s="23"/>
    </row>
    <row r="21151">
      <c r="B21151" s="19"/>
      <c r="E21151" s="23"/>
      <c r="L21151" s="23"/>
    </row>
    <row r="21152">
      <c r="B21152" s="19"/>
      <c r="E21152" s="23"/>
      <c r="L21152" s="23"/>
    </row>
    <row r="21153">
      <c r="B21153" s="19"/>
      <c r="E21153" s="23"/>
      <c r="L21153" s="23"/>
    </row>
    <row r="21154">
      <c r="B21154" s="19"/>
      <c r="E21154" s="23"/>
      <c r="L21154" s="23"/>
    </row>
    <row r="21155">
      <c r="B21155" s="19"/>
      <c r="E21155" s="23"/>
      <c r="L21155" s="23"/>
    </row>
    <row r="21156">
      <c r="B21156" s="19"/>
      <c r="E21156" s="23"/>
      <c r="L21156" s="23"/>
    </row>
    <row r="21157">
      <c r="B21157" s="19"/>
      <c r="E21157" s="23"/>
      <c r="L21157" s="23"/>
    </row>
    <row r="21158">
      <c r="B21158" s="19"/>
      <c r="E21158" s="23"/>
      <c r="L21158" s="23"/>
    </row>
    <row r="21159">
      <c r="B21159" s="19"/>
      <c r="E21159" s="23"/>
      <c r="L21159" s="23"/>
    </row>
    <row r="21160">
      <c r="B21160" s="19"/>
      <c r="E21160" s="23"/>
      <c r="L21160" s="23"/>
    </row>
    <row r="21161">
      <c r="B21161" s="19"/>
      <c r="E21161" s="23"/>
      <c r="L21161" s="23"/>
    </row>
    <row r="21162">
      <c r="B21162" s="19"/>
      <c r="E21162" s="23"/>
      <c r="L21162" s="23"/>
    </row>
    <row r="21163">
      <c r="B21163" s="19"/>
      <c r="E21163" s="23"/>
      <c r="L21163" s="23"/>
    </row>
    <row r="21164">
      <c r="B21164" s="19"/>
      <c r="E21164" s="23"/>
      <c r="L21164" s="23"/>
    </row>
    <row r="21165">
      <c r="B21165" s="19"/>
      <c r="E21165" s="23"/>
      <c r="L21165" s="23"/>
    </row>
    <row r="21166">
      <c r="B21166" s="19"/>
      <c r="E21166" s="23"/>
      <c r="L21166" s="23"/>
    </row>
    <row r="21167">
      <c r="B21167" s="19"/>
      <c r="E21167" s="23"/>
      <c r="L21167" s="23"/>
    </row>
    <row r="21168">
      <c r="B21168" s="19"/>
      <c r="E21168" s="23"/>
      <c r="L21168" s="23"/>
    </row>
    <row r="21169">
      <c r="B21169" s="19"/>
      <c r="E21169" s="23"/>
      <c r="L21169" s="23"/>
    </row>
    <row r="21170">
      <c r="B21170" s="19"/>
      <c r="E21170" s="23"/>
      <c r="L21170" s="23"/>
    </row>
    <row r="21171">
      <c r="B21171" s="19"/>
      <c r="E21171" s="23"/>
      <c r="L21171" s="23"/>
    </row>
    <row r="21172">
      <c r="B21172" s="19"/>
      <c r="E21172" s="23"/>
      <c r="L21172" s="23"/>
    </row>
    <row r="21173">
      <c r="B21173" s="19"/>
      <c r="E21173" s="23"/>
      <c r="L21173" s="23"/>
    </row>
    <row r="21174">
      <c r="B21174" s="19"/>
      <c r="E21174" s="23"/>
      <c r="L21174" s="23"/>
    </row>
    <row r="21175">
      <c r="B21175" s="19"/>
      <c r="E21175" s="23"/>
      <c r="L21175" s="23"/>
    </row>
    <row r="21176">
      <c r="B21176" s="19"/>
      <c r="E21176" s="23"/>
      <c r="L21176" s="23"/>
    </row>
    <row r="21177">
      <c r="B21177" s="19"/>
      <c r="E21177" s="23"/>
      <c r="L21177" s="23"/>
    </row>
    <row r="21178">
      <c r="B21178" s="19"/>
      <c r="E21178" s="23"/>
      <c r="L21178" s="23"/>
    </row>
    <row r="21179">
      <c r="B21179" s="19"/>
      <c r="E21179" s="23"/>
      <c r="L21179" s="23"/>
    </row>
    <row r="21180">
      <c r="B21180" s="19"/>
      <c r="E21180" s="23"/>
      <c r="L21180" s="23"/>
    </row>
    <row r="21181">
      <c r="B21181" s="19"/>
      <c r="E21181" s="23"/>
      <c r="L21181" s="23"/>
    </row>
    <row r="21182">
      <c r="B21182" s="19"/>
      <c r="E21182" s="23"/>
      <c r="L21182" s="23"/>
    </row>
    <row r="21183">
      <c r="B21183" s="19"/>
      <c r="E21183" s="23"/>
      <c r="L21183" s="23"/>
    </row>
    <row r="21184">
      <c r="B21184" s="19"/>
      <c r="E21184" s="23"/>
      <c r="L21184" s="23"/>
    </row>
    <row r="21185">
      <c r="B21185" s="19"/>
      <c r="E21185" s="23"/>
      <c r="L21185" s="23"/>
    </row>
    <row r="21186">
      <c r="B21186" s="19"/>
      <c r="E21186" s="23"/>
      <c r="L21186" s="23"/>
    </row>
    <row r="21187">
      <c r="B21187" s="19"/>
      <c r="E21187" s="23"/>
      <c r="L21187" s="23"/>
    </row>
    <row r="21188">
      <c r="B21188" s="19"/>
      <c r="E21188" s="23"/>
      <c r="L21188" s="23"/>
    </row>
    <row r="21189">
      <c r="B21189" s="19"/>
      <c r="E21189" s="23"/>
      <c r="L21189" s="23"/>
    </row>
    <row r="21190">
      <c r="B21190" s="19"/>
      <c r="E21190" s="23"/>
      <c r="L21190" s="23"/>
    </row>
    <row r="21191">
      <c r="B21191" s="19"/>
      <c r="E21191" s="23"/>
      <c r="L21191" s="23"/>
    </row>
    <row r="21192">
      <c r="B21192" s="19"/>
      <c r="E21192" s="23"/>
      <c r="L21192" s="23"/>
    </row>
    <row r="21193">
      <c r="B21193" s="19"/>
      <c r="E21193" s="23"/>
      <c r="L21193" s="23"/>
    </row>
    <row r="21194">
      <c r="B21194" s="19"/>
      <c r="E21194" s="23"/>
      <c r="L21194" s="23"/>
    </row>
    <row r="21195">
      <c r="B21195" s="19"/>
      <c r="E21195" s="23"/>
      <c r="L21195" s="23"/>
    </row>
    <row r="21196">
      <c r="B21196" s="19"/>
      <c r="E21196" s="23"/>
      <c r="L21196" s="23"/>
    </row>
    <row r="21197">
      <c r="B21197" s="19"/>
      <c r="E21197" s="23"/>
      <c r="L21197" s="23"/>
    </row>
    <row r="21198">
      <c r="B21198" s="19"/>
      <c r="E21198" s="23"/>
      <c r="L21198" s="23"/>
    </row>
    <row r="21199">
      <c r="B21199" s="19"/>
      <c r="E21199" s="23"/>
      <c r="L21199" s="23"/>
    </row>
    <row r="21200">
      <c r="B21200" s="19"/>
      <c r="E21200" s="23"/>
      <c r="L21200" s="23"/>
    </row>
    <row r="21201">
      <c r="B21201" s="19"/>
      <c r="E21201" s="23"/>
      <c r="L21201" s="23"/>
    </row>
    <row r="21202">
      <c r="B21202" s="19"/>
      <c r="E21202" s="23"/>
      <c r="L21202" s="23"/>
    </row>
    <row r="21203">
      <c r="B21203" s="19"/>
      <c r="E21203" s="23"/>
      <c r="L21203" s="23"/>
    </row>
    <row r="21204">
      <c r="B21204" s="19"/>
      <c r="E21204" s="23"/>
      <c r="L21204" s="23"/>
    </row>
    <row r="21205">
      <c r="B21205" s="19"/>
      <c r="E21205" s="23"/>
      <c r="L21205" s="23"/>
    </row>
    <row r="21206">
      <c r="B21206" s="19"/>
      <c r="E21206" s="23"/>
      <c r="L21206" s="23"/>
    </row>
    <row r="21207">
      <c r="B21207" s="19"/>
      <c r="E21207" s="23"/>
      <c r="L21207" s="23"/>
    </row>
    <row r="21208">
      <c r="B21208" s="19"/>
      <c r="E21208" s="23"/>
      <c r="L21208" s="23"/>
    </row>
    <row r="21209">
      <c r="B21209" s="19"/>
      <c r="E21209" s="23"/>
      <c r="L21209" s="23"/>
    </row>
    <row r="21210">
      <c r="B21210" s="19"/>
      <c r="E21210" s="23"/>
      <c r="L21210" s="23"/>
    </row>
    <row r="21211">
      <c r="B21211" s="19"/>
      <c r="E21211" s="23"/>
      <c r="L21211" s="23"/>
    </row>
    <row r="21212">
      <c r="B21212" s="19"/>
      <c r="E21212" s="23"/>
      <c r="L21212" s="23"/>
    </row>
    <row r="21213">
      <c r="B21213" s="19"/>
      <c r="E21213" s="23"/>
      <c r="L21213" s="23"/>
    </row>
    <row r="21214">
      <c r="B21214" s="19"/>
      <c r="E21214" s="23"/>
      <c r="L21214" s="23"/>
    </row>
    <row r="21215">
      <c r="B21215" s="19"/>
      <c r="E21215" s="23"/>
      <c r="L21215" s="23"/>
    </row>
    <row r="21216">
      <c r="B21216" s="19"/>
      <c r="E21216" s="23"/>
      <c r="L21216" s="23"/>
    </row>
    <row r="21217">
      <c r="B21217" s="19"/>
      <c r="E21217" s="23"/>
      <c r="L21217" s="23"/>
    </row>
    <row r="21218">
      <c r="B21218" s="19"/>
      <c r="E21218" s="23"/>
      <c r="L21218" s="23"/>
    </row>
    <row r="21219">
      <c r="B21219" s="19"/>
      <c r="E21219" s="23"/>
      <c r="L21219" s="23"/>
    </row>
    <row r="21220">
      <c r="B21220" s="19"/>
      <c r="E21220" s="23"/>
      <c r="L21220" s="23"/>
    </row>
    <row r="21221">
      <c r="B21221" s="19"/>
      <c r="E21221" s="23"/>
      <c r="L21221" s="23"/>
    </row>
    <row r="21222">
      <c r="B21222" s="19"/>
      <c r="E21222" s="23"/>
      <c r="L21222" s="23"/>
    </row>
    <row r="21223">
      <c r="B21223" s="19"/>
      <c r="E21223" s="23"/>
      <c r="L21223" s="23"/>
    </row>
    <row r="21224">
      <c r="B21224" s="19"/>
      <c r="E21224" s="23"/>
      <c r="L21224" s="23"/>
    </row>
    <row r="21225">
      <c r="B21225" s="19"/>
      <c r="E21225" s="23"/>
      <c r="L21225" s="23"/>
    </row>
    <row r="21226">
      <c r="B21226" s="19"/>
      <c r="E21226" s="23"/>
      <c r="L21226" s="23"/>
    </row>
    <row r="21227">
      <c r="B21227" s="19"/>
      <c r="E21227" s="23"/>
      <c r="L21227" s="23"/>
    </row>
    <row r="21228">
      <c r="B21228" s="19"/>
      <c r="E21228" s="23"/>
      <c r="L21228" s="23"/>
    </row>
    <row r="21229">
      <c r="B21229" s="19"/>
      <c r="E21229" s="23"/>
      <c r="L21229" s="23"/>
    </row>
    <row r="21230">
      <c r="B21230" s="19"/>
      <c r="E21230" s="23"/>
      <c r="L21230" s="23"/>
    </row>
    <row r="21231">
      <c r="B21231" s="19"/>
      <c r="E21231" s="23"/>
      <c r="L21231" s="23"/>
    </row>
    <row r="21232">
      <c r="B21232" s="19"/>
      <c r="E21232" s="23"/>
      <c r="L21232" s="23"/>
    </row>
    <row r="21233">
      <c r="B21233" s="19"/>
      <c r="E21233" s="23"/>
      <c r="L21233" s="23"/>
    </row>
    <row r="21234">
      <c r="B21234" s="19"/>
      <c r="E21234" s="23"/>
      <c r="L21234" s="23"/>
    </row>
    <row r="21235">
      <c r="B21235" s="19"/>
      <c r="E21235" s="23"/>
      <c r="L21235" s="23"/>
    </row>
    <row r="21236">
      <c r="B21236" s="19"/>
      <c r="E21236" s="23"/>
      <c r="L21236" s="23"/>
    </row>
    <row r="21237">
      <c r="B21237" s="19"/>
      <c r="E21237" s="23"/>
      <c r="L21237" s="23"/>
    </row>
    <row r="21238">
      <c r="B21238" s="19"/>
      <c r="E21238" s="23"/>
      <c r="L21238" s="23"/>
    </row>
    <row r="21239">
      <c r="B21239" s="19"/>
      <c r="E21239" s="23"/>
      <c r="L21239" s="23"/>
    </row>
    <row r="21240">
      <c r="B21240" s="19"/>
      <c r="E21240" s="23"/>
      <c r="L21240" s="23"/>
    </row>
    <row r="21241">
      <c r="B21241" s="19"/>
      <c r="E21241" s="23"/>
      <c r="L21241" s="23"/>
    </row>
    <row r="21242">
      <c r="B21242" s="19"/>
      <c r="E21242" s="23"/>
      <c r="L21242" s="23"/>
    </row>
    <row r="21243">
      <c r="B21243" s="19"/>
      <c r="E21243" s="23"/>
      <c r="L21243" s="23"/>
    </row>
    <row r="21244">
      <c r="B21244" s="19"/>
      <c r="E21244" s="23"/>
      <c r="L21244" s="23"/>
    </row>
    <row r="21245">
      <c r="B21245" s="19"/>
      <c r="E21245" s="23"/>
      <c r="L21245" s="23"/>
    </row>
    <row r="21246">
      <c r="B21246" s="19"/>
      <c r="E21246" s="23"/>
      <c r="L21246" s="23"/>
    </row>
    <row r="21247">
      <c r="B21247" s="19"/>
      <c r="E21247" s="23"/>
      <c r="L21247" s="23"/>
    </row>
    <row r="21248">
      <c r="B21248" s="19"/>
      <c r="E21248" s="23"/>
      <c r="L21248" s="23"/>
    </row>
    <row r="21249">
      <c r="B21249" s="19"/>
      <c r="E21249" s="23"/>
      <c r="L21249" s="23"/>
    </row>
    <row r="21250">
      <c r="B21250" s="19"/>
      <c r="E21250" s="23"/>
      <c r="L21250" s="23"/>
    </row>
    <row r="21251">
      <c r="B21251" s="19"/>
      <c r="E21251" s="23"/>
      <c r="L21251" s="23"/>
    </row>
    <row r="21252">
      <c r="B21252" s="19"/>
      <c r="E21252" s="23"/>
      <c r="L21252" s="23"/>
    </row>
    <row r="21253">
      <c r="B21253" s="19"/>
      <c r="E21253" s="23"/>
      <c r="L21253" s="23"/>
    </row>
    <row r="21254">
      <c r="B21254" s="19"/>
      <c r="E21254" s="23"/>
      <c r="L21254" s="23"/>
    </row>
    <row r="21255">
      <c r="B21255" s="19"/>
      <c r="E21255" s="23"/>
      <c r="L21255" s="23"/>
    </row>
    <row r="21256">
      <c r="B21256" s="19"/>
      <c r="E21256" s="23"/>
      <c r="L21256" s="23"/>
    </row>
    <row r="21257">
      <c r="B21257" s="19"/>
      <c r="E21257" s="23"/>
      <c r="L21257" s="23"/>
    </row>
    <row r="21258">
      <c r="B21258" s="19"/>
      <c r="E21258" s="23"/>
      <c r="L21258" s="23"/>
    </row>
    <row r="21259">
      <c r="B21259" s="19"/>
      <c r="E21259" s="23"/>
      <c r="L21259" s="23"/>
    </row>
    <row r="21260">
      <c r="B21260" s="19"/>
      <c r="E21260" s="23"/>
      <c r="L21260" s="23"/>
    </row>
    <row r="21261">
      <c r="B21261" s="19"/>
      <c r="E21261" s="23"/>
      <c r="L21261" s="23"/>
    </row>
    <row r="21262">
      <c r="B21262" s="19"/>
      <c r="E21262" s="23"/>
      <c r="L21262" s="23"/>
    </row>
    <row r="21263">
      <c r="B21263" s="19"/>
      <c r="E21263" s="23"/>
      <c r="L21263" s="23"/>
    </row>
    <row r="21264">
      <c r="B21264" s="19"/>
      <c r="E21264" s="23"/>
      <c r="L21264" s="23"/>
    </row>
    <row r="21265">
      <c r="B21265" s="19"/>
      <c r="E21265" s="23"/>
      <c r="L21265" s="23"/>
    </row>
    <row r="21266">
      <c r="B21266" s="19"/>
      <c r="E21266" s="23"/>
      <c r="L21266" s="23"/>
    </row>
    <row r="21267">
      <c r="B21267" s="19"/>
      <c r="E21267" s="23"/>
      <c r="L21267" s="23"/>
    </row>
    <row r="21268">
      <c r="B21268" s="19"/>
      <c r="E21268" s="23"/>
      <c r="L21268" s="23"/>
    </row>
    <row r="21269">
      <c r="B21269" s="19"/>
      <c r="E21269" s="23"/>
      <c r="L21269" s="23"/>
    </row>
    <row r="21270">
      <c r="B21270" s="19"/>
      <c r="E21270" s="23"/>
      <c r="L21270" s="23"/>
    </row>
    <row r="21271">
      <c r="B21271" s="19"/>
      <c r="E21271" s="23"/>
      <c r="L21271" s="23"/>
    </row>
    <row r="21272">
      <c r="B21272" s="19"/>
      <c r="E21272" s="23"/>
      <c r="L21272" s="23"/>
    </row>
    <row r="21273">
      <c r="B21273" s="19"/>
      <c r="E21273" s="23"/>
      <c r="L21273" s="23"/>
    </row>
    <row r="21274">
      <c r="B21274" s="19"/>
      <c r="E21274" s="23"/>
      <c r="L21274" s="23"/>
    </row>
    <row r="21275">
      <c r="B21275" s="19"/>
      <c r="E21275" s="23"/>
      <c r="L21275" s="23"/>
    </row>
    <row r="21276">
      <c r="B21276" s="19"/>
      <c r="E21276" s="23"/>
      <c r="L21276" s="23"/>
    </row>
    <row r="21277">
      <c r="B21277" s="19"/>
      <c r="E21277" s="23"/>
      <c r="L21277" s="23"/>
    </row>
    <row r="21278">
      <c r="B21278" s="19"/>
      <c r="E21278" s="23"/>
      <c r="L21278" s="23"/>
    </row>
    <row r="21279">
      <c r="B21279" s="19"/>
      <c r="E21279" s="23"/>
      <c r="L21279" s="23"/>
    </row>
    <row r="21280">
      <c r="B21280" s="19"/>
      <c r="E21280" s="23"/>
      <c r="L21280" s="23"/>
    </row>
    <row r="21281">
      <c r="B21281" s="19"/>
      <c r="E21281" s="23"/>
      <c r="L21281" s="23"/>
    </row>
    <row r="21282">
      <c r="B21282" s="19"/>
      <c r="E21282" s="23"/>
      <c r="L21282" s="23"/>
    </row>
    <row r="21283">
      <c r="B21283" s="19"/>
      <c r="E21283" s="23"/>
      <c r="L21283" s="23"/>
    </row>
    <row r="21284">
      <c r="B21284" s="19"/>
      <c r="E21284" s="23"/>
      <c r="L21284" s="23"/>
    </row>
    <row r="21285">
      <c r="B21285" s="19"/>
      <c r="E21285" s="23"/>
      <c r="L21285" s="23"/>
    </row>
    <row r="21286">
      <c r="B21286" s="19"/>
      <c r="E21286" s="23"/>
      <c r="L21286" s="23"/>
    </row>
    <row r="21287">
      <c r="B21287" s="19"/>
      <c r="E21287" s="23"/>
      <c r="L21287" s="23"/>
    </row>
    <row r="21288">
      <c r="B21288" s="19"/>
      <c r="E21288" s="23"/>
      <c r="L21288" s="23"/>
    </row>
    <row r="21289">
      <c r="B21289" s="19"/>
      <c r="E21289" s="23"/>
      <c r="L21289" s="23"/>
    </row>
    <row r="21290">
      <c r="B21290" s="19"/>
      <c r="E21290" s="23"/>
      <c r="L21290" s="23"/>
    </row>
    <row r="21291">
      <c r="B21291" s="19"/>
      <c r="E21291" s="23"/>
      <c r="L21291" s="23"/>
    </row>
    <row r="21292">
      <c r="B21292" s="19"/>
      <c r="E21292" s="23"/>
      <c r="L21292" s="23"/>
    </row>
    <row r="21293">
      <c r="B21293" s="19"/>
      <c r="E21293" s="23"/>
      <c r="L21293" s="23"/>
    </row>
    <row r="21294">
      <c r="B21294" s="19"/>
      <c r="E21294" s="23"/>
      <c r="L21294" s="23"/>
    </row>
    <row r="21295">
      <c r="B21295" s="19"/>
      <c r="E21295" s="23"/>
      <c r="L21295" s="23"/>
    </row>
    <row r="21296">
      <c r="B21296" s="19"/>
      <c r="E21296" s="23"/>
      <c r="L21296" s="23"/>
    </row>
    <row r="21297">
      <c r="B21297" s="19"/>
      <c r="E21297" s="23"/>
      <c r="L21297" s="23"/>
    </row>
    <row r="21298">
      <c r="B21298" s="19"/>
      <c r="E21298" s="23"/>
      <c r="L21298" s="23"/>
    </row>
    <row r="21299">
      <c r="B21299" s="19"/>
      <c r="E21299" s="23"/>
      <c r="L21299" s="23"/>
    </row>
    <row r="21300">
      <c r="B21300" s="19"/>
      <c r="E21300" s="23"/>
      <c r="L21300" s="23"/>
    </row>
    <row r="21301">
      <c r="B21301" s="19"/>
      <c r="E21301" s="23"/>
      <c r="L21301" s="23"/>
    </row>
    <row r="21302">
      <c r="B21302" s="19"/>
      <c r="E21302" s="23"/>
      <c r="L21302" s="23"/>
    </row>
    <row r="21303">
      <c r="B21303" s="19"/>
      <c r="E21303" s="23"/>
      <c r="L21303" s="23"/>
    </row>
    <row r="21304">
      <c r="B21304" s="19"/>
      <c r="E21304" s="23"/>
      <c r="L21304" s="23"/>
    </row>
    <row r="21305">
      <c r="B21305" s="19"/>
      <c r="E21305" s="23"/>
      <c r="L21305" s="23"/>
    </row>
    <row r="21306">
      <c r="B21306" s="19"/>
      <c r="E21306" s="23"/>
      <c r="L21306" s="23"/>
    </row>
    <row r="21307">
      <c r="B21307" s="19"/>
      <c r="E21307" s="23"/>
      <c r="L21307" s="23"/>
    </row>
    <row r="21308">
      <c r="B21308" s="19"/>
      <c r="E21308" s="23"/>
      <c r="L21308" s="23"/>
    </row>
    <row r="21309">
      <c r="B21309" s="19"/>
      <c r="E21309" s="23"/>
      <c r="L21309" s="23"/>
    </row>
    <row r="21310">
      <c r="B21310" s="19"/>
      <c r="E21310" s="23"/>
      <c r="L21310" s="23"/>
    </row>
    <row r="21311">
      <c r="B21311" s="19"/>
      <c r="E21311" s="23"/>
      <c r="L21311" s="23"/>
    </row>
    <row r="21312">
      <c r="B21312" s="19"/>
      <c r="E21312" s="23"/>
      <c r="L21312" s="23"/>
    </row>
    <row r="21313">
      <c r="B21313" s="19"/>
      <c r="E21313" s="23"/>
      <c r="L21313" s="23"/>
    </row>
    <row r="21314">
      <c r="B21314" s="19"/>
      <c r="E21314" s="23"/>
      <c r="L21314" s="23"/>
    </row>
    <row r="21315">
      <c r="B21315" s="19"/>
      <c r="E21315" s="23"/>
      <c r="L21315" s="23"/>
    </row>
    <row r="21316">
      <c r="B21316" s="19"/>
      <c r="E21316" s="23"/>
      <c r="L21316" s="23"/>
    </row>
    <row r="21317">
      <c r="B21317" s="19"/>
      <c r="E21317" s="23"/>
      <c r="L21317" s="23"/>
    </row>
    <row r="21318">
      <c r="B21318" s="19"/>
      <c r="E21318" s="23"/>
      <c r="L21318" s="23"/>
    </row>
    <row r="21319">
      <c r="B21319" s="19"/>
      <c r="E21319" s="23"/>
      <c r="L21319" s="23"/>
    </row>
    <row r="21320">
      <c r="B21320" s="19"/>
      <c r="E21320" s="23"/>
      <c r="L21320" s="23"/>
    </row>
    <row r="21321">
      <c r="B21321" s="19"/>
      <c r="E21321" s="23"/>
      <c r="L21321" s="23"/>
    </row>
    <row r="21322">
      <c r="B21322" s="19"/>
      <c r="E21322" s="23"/>
      <c r="L21322" s="23"/>
    </row>
    <row r="21323">
      <c r="B21323" s="19"/>
      <c r="E21323" s="23"/>
      <c r="L21323" s="23"/>
    </row>
    <row r="21324">
      <c r="B21324" s="19"/>
      <c r="E21324" s="23"/>
      <c r="L21324" s="23"/>
    </row>
    <row r="21325">
      <c r="B21325" s="19"/>
      <c r="E21325" s="23"/>
      <c r="L21325" s="23"/>
    </row>
    <row r="21326">
      <c r="B21326" s="19"/>
      <c r="E21326" s="23"/>
      <c r="L21326" s="23"/>
    </row>
    <row r="21327">
      <c r="B21327" s="19"/>
      <c r="E21327" s="23"/>
      <c r="L21327" s="23"/>
    </row>
    <row r="21328">
      <c r="B21328" s="19"/>
      <c r="E21328" s="23"/>
      <c r="L21328" s="23"/>
    </row>
    <row r="21329">
      <c r="B21329" s="19"/>
      <c r="E21329" s="23"/>
      <c r="L21329" s="23"/>
    </row>
    <row r="21330">
      <c r="B21330" s="19"/>
      <c r="E21330" s="23"/>
      <c r="L21330" s="23"/>
    </row>
    <row r="21331">
      <c r="B21331" s="19"/>
      <c r="E21331" s="23"/>
      <c r="L21331" s="23"/>
    </row>
    <row r="21332">
      <c r="B21332" s="19"/>
      <c r="E21332" s="23"/>
      <c r="L21332" s="23"/>
    </row>
    <row r="21333">
      <c r="B21333" s="19"/>
      <c r="E21333" s="23"/>
      <c r="L21333" s="23"/>
    </row>
    <row r="21334">
      <c r="B21334" s="19"/>
      <c r="E21334" s="23"/>
      <c r="L21334" s="23"/>
    </row>
    <row r="21335">
      <c r="B21335" s="19"/>
      <c r="E21335" s="23"/>
      <c r="L21335" s="23"/>
    </row>
    <row r="21336">
      <c r="B21336" s="19"/>
      <c r="E21336" s="23"/>
      <c r="L21336" s="23"/>
    </row>
    <row r="21337">
      <c r="B21337" s="19"/>
      <c r="E21337" s="23"/>
      <c r="L21337" s="23"/>
    </row>
    <row r="21338">
      <c r="B21338" s="19"/>
      <c r="E21338" s="23"/>
      <c r="L21338" s="23"/>
    </row>
    <row r="21339">
      <c r="B21339" s="19"/>
      <c r="E21339" s="23"/>
      <c r="L21339" s="23"/>
    </row>
    <row r="21340">
      <c r="B21340" s="19"/>
      <c r="E21340" s="23"/>
      <c r="L21340" s="23"/>
    </row>
    <row r="21341">
      <c r="B21341" s="19"/>
      <c r="E21341" s="23"/>
      <c r="L21341" s="23"/>
    </row>
    <row r="21342">
      <c r="B21342" s="19"/>
      <c r="E21342" s="23"/>
      <c r="L21342" s="23"/>
    </row>
    <row r="21343">
      <c r="B21343" s="19"/>
      <c r="E21343" s="23"/>
      <c r="L21343" s="23"/>
    </row>
    <row r="21344">
      <c r="B21344" s="19"/>
      <c r="E21344" s="23"/>
      <c r="L21344" s="23"/>
    </row>
    <row r="21345">
      <c r="B21345" s="19"/>
      <c r="E21345" s="23"/>
      <c r="L21345" s="23"/>
    </row>
    <row r="21346">
      <c r="B21346" s="19"/>
      <c r="E21346" s="23"/>
      <c r="L21346" s="23"/>
    </row>
    <row r="21347">
      <c r="B21347" s="19"/>
      <c r="E21347" s="23"/>
      <c r="L21347" s="23"/>
    </row>
    <row r="21348">
      <c r="B21348" s="19"/>
      <c r="E21348" s="23"/>
      <c r="L21348" s="23"/>
    </row>
    <row r="21349">
      <c r="B21349" s="19"/>
      <c r="E21349" s="23"/>
      <c r="L21349" s="23"/>
    </row>
    <row r="21350">
      <c r="B21350" s="19"/>
      <c r="E21350" s="23"/>
      <c r="L21350" s="23"/>
    </row>
    <row r="21351">
      <c r="B21351" s="19"/>
      <c r="E21351" s="23"/>
      <c r="L21351" s="23"/>
    </row>
    <row r="21352">
      <c r="B21352" s="19"/>
      <c r="E21352" s="23"/>
      <c r="L21352" s="23"/>
    </row>
    <row r="21353">
      <c r="B21353" s="19"/>
      <c r="E21353" s="23"/>
      <c r="L21353" s="23"/>
    </row>
    <row r="21354">
      <c r="B21354" s="19"/>
      <c r="E21354" s="23"/>
      <c r="L21354" s="23"/>
    </row>
    <row r="21355">
      <c r="B21355" s="19"/>
      <c r="E21355" s="23"/>
      <c r="L21355" s="23"/>
    </row>
    <row r="21356">
      <c r="B21356" s="19"/>
      <c r="E21356" s="23"/>
      <c r="L21356" s="23"/>
    </row>
    <row r="21357">
      <c r="B21357" s="19"/>
      <c r="E21357" s="23"/>
      <c r="L21357" s="23"/>
    </row>
    <row r="21358">
      <c r="B21358" s="19"/>
      <c r="E21358" s="23"/>
      <c r="L21358" s="23"/>
    </row>
    <row r="21359">
      <c r="B21359" s="19"/>
      <c r="E21359" s="23"/>
      <c r="L21359" s="23"/>
    </row>
    <row r="21360">
      <c r="B21360" s="19"/>
      <c r="E21360" s="23"/>
      <c r="L21360" s="23"/>
    </row>
    <row r="21361">
      <c r="B21361" s="19"/>
      <c r="E21361" s="23"/>
      <c r="L21361" s="23"/>
    </row>
    <row r="21362">
      <c r="B21362" s="19"/>
      <c r="E21362" s="23"/>
      <c r="L21362" s="23"/>
    </row>
    <row r="21363">
      <c r="B21363" s="19"/>
      <c r="E21363" s="23"/>
      <c r="L21363" s="23"/>
    </row>
    <row r="21364">
      <c r="B21364" s="19"/>
      <c r="E21364" s="23"/>
      <c r="L21364" s="23"/>
    </row>
    <row r="21365">
      <c r="B21365" s="19"/>
      <c r="E21365" s="23"/>
      <c r="L21365" s="23"/>
    </row>
    <row r="21366">
      <c r="B21366" s="19"/>
      <c r="E21366" s="23"/>
      <c r="L21366" s="23"/>
    </row>
    <row r="21367">
      <c r="B21367" s="19"/>
      <c r="E21367" s="23"/>
      <c r="L21367" s="23"/>
    </row>
    <row r="21368">
      <c r="B21368" s="19"/>
      <c r="E21368" s="23"/>
      <c r="L21368" s="23"/>
    </row>
    <row r="21369">
      <c r="B21369" s="19"/>
      <c r="E21369" s="23"/>
      <c r="L21369" s="23"/>
    </row>
    <row r="21370">
      <c r="B21370" s="19"/>
      <c r="E21370" s="23"/>
      <c r="L21370" s="23"/>
    </row>
    <row r="21371">
      <c r="B21371" s="19"/>
      <c r="E21371" s="23"/>
      <c r="L21371" s="23"/>
    </row>
    <row r="21372">
      <c r="B21372" s="19"/>
      <c r="E21372" s="23"/>
      <c r="L21372" s="23"/>
    </row>
    <row r="21373">
      <c r="B21373" s="19"/>
      <c r="E21373" s="23"/>
      <c r="L21373" s="23"/>
    </row>
    <row r="21374">
      <c r="B21374" s="19"/>
      <c r="E21374" s="23"/>
      <c r="L21374" s="23"/>
    </row>
    <row r="21375">
      <c r="B21375" s="19"/>
      <c r="E21375" s="23"/>
      <c r="L21375" s="23"/>
    </row>
    <row r="21376">
      <c r="B21376" s="19"/>
      <c r="E21376" s="23"/>
      <c r="L21376" s="23"/>
    </row>
    <row r="21377">
      <c r="B21377" s="19"/>
      <c r="E21377" s="23"/>
      <c r="L21377" s="23"/>
    </row>
    <row r="21378">
      <c r="B21378" s="19"/>
      <c r="E21378" s="23"/>
      <c r="L21378" s="23"/>
    </row>
    <row r="21379">
      <c r="B21379" s="19"/>
      <c r="E21379" s="23"/>
      <c r="L21379" s="23"/>
    </row>
    <row r="21380">
      <c r="B21380" s="19"/>
      <c r="E21380" s="23"/>
      <c r="L21380" s="23"/>
    </row>
    <row r="21381">
      <c r="B21381" s="19"/>
      <c r="E21381" s="23"/>
      <c r="L21381" s="23"/>
    </row>
    <row r="21382">
      <c r="B21382" s="19"/>
      <c r="E21382" s="23"/>
      <c r="L21382" s="23"/>
    </row>
    <row r="21383">
      <c r="B21383" s="19"/>
      <c r="E21383" s="23"/>
      <c r="L21383" s="23"/>
    </row>
    <row r="21384">
      <c r="B21384" s="19"/>
      <c r="E21384" s="23"/>
      <c r="L21384" s="23"/>
    </row>
    <row r="21385">
      <c r="B21385" s="19"/>
      <c r="E21385" s="23"/>
      <c r="L21385" s="23"/>
    </row>
    <row r="21386">
      <c r="B21386" s="19"/>
      <c r="E21386" s="23"/>
      <c r="L21386" s="23"/>
    </row>
    <row r="21387">
      <c r="B21387" s="19"/>
      <c r="E21387" s="23"/>
      <c r="L21387" s="23"/>
    </row>
    <row r="21388">
      <c r="B21388" s="19"/>
      <c r="E21388" s="23"/>
      <c r="L21388" s="23"/>
    </row>
    <row r="21389">
      <c r="B21389" s="19"/>
      <c r="E21389" s="23"/>
      <c r="L21389" s="23"/>
    </row>
    <row r="21390">
      <c r="B21390" s="19"/>
      <c r="E21390" s="23"/>
      <c r="L21390" s="23"/>
    </row>
    <row r="21391">
      <c r="B21391" s="19"/>
      <c r="E21391" s="23"/>
      <c r="L21391" s="23"/>
    </row>
    <row r="21392">
      <c r="B21392" s="19"/>
      <c r="E21392" s="23"/>
      <c r="L21392" s="23"/>
    </row>
    <row r="21393">
      <c r="B21393" s="19"/>
      <c r="E21393" s="23"/>
      <c r="L21393" s="23"/>
    </row>
    <row r="21394">
      <c r="B21394" s="19"/>
      <c r="E21394" s="23"/>
      <c r="L21394" s="23"/>
    </row>
    <row r="21395">
      <c r="B21395" s="19"/>
      <c r="E21395" s="23"/>
      <c r="L21395" s="23"/>
    </row>
    <row r="21396">
      <c r="B21396" s="19"/>
      <c r="E21396" s="23"/>
      <c r="L21396" s="23"/>
    </row>
    <row r="21397">
      <c r="B21397" s="19"/>
      <c r="E21397" s="23"/>
      <c r="L21397" s="23"/>
    </row>
    <row r="21398">
      <c r="B21398" s="19"/>
      <c r="E21398" s="23"/>
      <c r="L21398" s="23"/>
    </row>
    <row r="21399">
      <c r="B21399" s="19"/>
      <c r="E21399" s="23"/>
      <c r="L21399" s="23"/>
    </row>
    <row r="21400">
      <c r="B21400" s="19"/>
      <c r="E21400" s="23"/>
      <c r="L21400" s="23"/>
    </row>
    <row r="21401">
      <c r="B21401" s="19"/>
      <c r="E21401" s="23"/>
      <c r="L21401" s="23"/>
    </row>
    <row r="21402">
      <c r="B21402" s="19"/>
      <c r="E21402" s="23"/>
      <c r="L21402" s="23"/>
    </row>
    <row r="21403">
      <c r="B21403" s="19"/>
      <c r="E21403" s="23"/>
      <c r="L21403" s="23"/>
    </row>
    <row r="21404">
      <c r="B21404" s="19"/>
      <c r="E21404" s="23"/>
      <c r="L21404" s="23"/>
    </row>
    <row r="21405">
      <c r="B21405" s="19"/>
      <c r="E21405" s="23"/>
      <c r="L21405" s="23"/>
    </row>
    <row r="21406">
      <c r="B21406" s="19"/>
      <c r="E21406" s="23"/>
      <c r="L21406" s="23"/>
    </row>
    <row r="21407">
      <c r="B21407" s="19"/>
      <c r="E21407" s="23"/>
      <c r="L21407" s="23"/>
    </row>
    <row r="21408">
      <c r="B21408" s="19"/>
      <c r="E21408" s="23"/>
      <c r="L21408" s="23"/>
    </row>
    <row r="21409">
      <c r="B21409" s="19"/>
      <c r="E21409" s="23"/>
      <c r="L21409" s="23"/>
    </row>
    <row r="21410">
      <c r="B21410" s="19"/>
      <c r="E21410" s="23"/>
      <c r="L21410" s="23"/>
    </row>
    <row r="21411">
      <c r="B21411" s="19"/>
      <c r="E21411" s="23"/>
      <c r="L21411" s="23"/>
    </row>
    <row r="21412">
      <c r="B21412" s="19"/>
      <c r="E21412" s="23"/>
      <c r="L21412" s="23"/>
    </row>
    <row r="21413">
      <c r="B21413" s="19"/>
      <c r="E21413" s="23"/>
      <c r="L21413" s="23"/>
    </row>
    <row r="21414">
      <c r="B21414" s="19"/>
      <c r="E21414" s="23"/>
      <c r="L21414" s="23"/>
    </row>
    <row r="21415">
      <c r="B21415" s="19"/>
      <c r="E21415" s="23"/>
      <c r="L21415" s="23"/>
    </row>
    <row r="21416">
      <c r="B21416" s="19"/>
      <c r="E21416" s="23"/>
      <c r="L21416" s="23"/>
    </row>
    <row r="21417">
      <c r="B21417" s="19"/>
      <c r="E21417" s="23"/>
      <c r="L21417" s="23"/>
    </row>
    <row r="21418">
      <c r="B21418" s="19"/>
      <c r="E21418" s="23"/>
      <c r="L21418" s="23"/>
    </row>
    <row r="21419">
      <c r="B21419" s="19"/>
      <c r="E21419" s="23"/>
      <c r="L21419" s="23"/>
    </row>
    <row r="21420">
      <c r="B21420" s="19"/>
      <c r="E21420" s="23"/>
      <c r="L21420" s="23"/>
    </row>
    <row r="21421">
      <c r="B21421" s="19"/>
      <c r="E21421" s="23"/>
      <c r="L21421" s="23"/>
    </row>
    <row r="21422">
      <c r="B21422" s="19"/>
      <c r="E21422" s="23"/>
      <c r="L21422" s="23"/>
    </row>
    <row r="21423">
      <c r="B21423" s="19"/>
      <c r="E21423" s="23"/>
      <c r="L21423" s="23"/>
    </row>
    <row r="21424">
      <c r="B21424" s="19"/>
      <c r="E21424" s="23"/>
      <c r="L21424" s="23"/>
    </row>
    <row r="21425">
      <c r="B21425" s="19"/>
      <c r="E21425" s="23"/>
      <c r="L21425" s="23"/>
    </row>
    <row r="21426">
      <c r="B21426" s="19"/>
      <c r="E21426" s="23"/>
      <c r="L21426" s="23"/>
    </row>
    <row r="21427">
      <c r="B21427" s="19"/>
      <c r="E21427" s="23"/>
      <c r="L21427" s="23"/>
    </row>
    <row r="21428">
      <c r="B21428" s="19"/>
      <c r="E21428" s="23"/>
      <c r="L21428" s="23"/>
    </row>
    <row r="21429">
      <c r="B21429" s="19"/>
      <c r="E21429" s="23"/>
      <c r="L21429" s="23"/>
    </row>
    <row r="21430">
      <c r="B21430" s="19"/>
      <c r="E21430" s="23"/>
      <c r="L21430" s="23"/>
    </row>
    <row r="21431">
      <c r="B21431" s="19"/>
      <c r="E21431" s="23"/>
      <c r="L21431" s="23"/>
    </row>
    <row r="21432">
      <c r="B21432" s="19"/>
      <c r="E21432" s="23"/>
      <c r="L21432" s="23"/>
    </row>
    <row r="21433">
      <c r="B21433" s="19"/>
      <c r="E21433" s="23"/>
      <c r="L21433" s="23"/>
    </row>
    <row r="21434">
      <c r="B21434" s="19"/>
      <c r="E21434" s="23"/>
      <c r="L21434" s="23"/>
    </row>
    <row r="21435">
      <c r="B21435" s="19"/>
      <c r="E21435" s="23"/>
      <c r="L21435" s="23"/>
    </row>
    <row r="21436">
      <c r="B21436" s="19"/>
      <c r="E21436" s="23"/>
      <c r="L21436" s="23"/>
    </row>
    <row r="21437">
      <c r="B21437" s="19"/>
      <c r="E21437" s="23"/>
      <c r="L21437" s="23"/>
    </row>
    <row r="21438">
      <c r="B21438" s="19"/>
      <c r="E21438" s="23"/>
      <c r="L21438" s="23"/>
    </row>
    <row r="21439">
      <c r="B21439" s="19"/>
      <c r="E21439" s="23"/>
      <c r="L21439" s="23"/>
    </row>
    <row r="21440">
      <c r="B21440" s="19"/>
      <c r="E21440" s="23"/>
      <c r="L21440" s="23"/>
    </row>
    <row r="21441">
      <c r="B21441" s="19"/>
      <c r="E21441" s="23"/>
      <c r="L21441" s="23"/>
    </row>
    <row r="21442">
      <c r="B21442" s="19"/>
      <c r="E21442" s="23"/>
      <c r="L21442" s="23"/>
    </row>
    <row r="21443">
      <c r="B21443" s="19"/>
      <c r="E21443" s="23"/>
      <c r="L21443" s="23"/>
    </row>
    <row r="21444">
      <c r="B21444" s="19"/>
      <c r="E21444" s="23"/>
      <c r="L21444" s="23"/>
    </row>
    <row r="21445">
      <c r="B21445" s="19"/>
      <c r="E21445" s="23"/>
      <c r="L21445" s="23"/>
    </row>
    <row r="21446">
      <c r="B21446" s="19"/>
      <c r="E21446" s="23"/>
      <c r="L21446" s="23"/>
    </row>
    <row r="21447">
      <c r="B21447" s="19"/>
      <c r="E21447" s="23"/>
      <c r="L21447" s="23"/>
    </row>
    <row r="21448">
      <c r="B21448" s="19"/>
      <c r="E21448" s="23"/>
      <c r="L21448" s="23"/>
    </row>
    <row r="21449">
      <c r="B21449" s="19"/>
      <c r="E21449" s="23"/>
      <c r="L21449" s="23"/>
    </row>
    <row r="21450">
      <c r="B21450" s="19"/>
      <c r="E21450" s="23"/>
      <c r="L21450" s="23"/>
    </row>
    <row r="21451">
      <c r="B21451" s="19"/>
      <c r="E21451" s="23"/>
      <c r="L21451" s="23"/>
    </row>
    <row r="21452">
      <c r="B21452" s="19"/>
      <c r="E21452" s="23"/>
      <c r="L21452" s="23"/>
    </row>
    <row r="21453">
      <c r="B21453" s="19"/>
      <c r="E21453" s="23"/>
      <c r="L21453" s="23"/>
    </row>
    <row r="21454">
      <c r="B21454" s="19"/>
      <c r="E21454" s="23"/>
      <c r="L21454" s="23"/>
    </row>
    <row r="21455">
      <c r="B21455" s="19"/>
      <c r="E21455" s="23"/>
      <c r="L21455" s="23"/>
    </row>
    <row r="21456">
      <c r="B21456" s="19"/>
      <c r="E21456" s="23"/>
      <c r="L21456" s="23"/>
    </row>
    <row r="21457">
      <c r="B21457" s="19"/>
      <c r="E21457" s="23"/>
      <c r="L21457" s="23"/>
    </row>
    <row r="21458">
      <c r="B21458" s="19"/>
      <c r="E21458" s="23"/>
      <c r="L21458" s="23"/>
    </row>
    <row r="21459">
      <c r="B21459" s="19"/>
      <c r="E21459" s="23"/>
      <c r="L21459" s="23"/>
    </row>
    <row r="21460">
      <c r="B21460" s="19"/>
      <c r="E21460" s="23"/>
      <c r="L21460" s="23"/>
    </row>
    <row r="21461">
      <c r="B21461" s="19"/>
      <c r="E21461" s="23"/>
      <c r="L21461" s="23"/>
    </row>
    <row r="21462">
      <c r="B21462" s="19"/>
      <c r="E21462" s="23"/>
      <c r="L21462" s="23"/>
    </row>
    <row r="21463">
      <c r="B21463" s="19"/>
      <c r="E21463" s="23"/>
      <c r="L21463" s="23"/>
    </row>
    <row r="21464">
      <c r="B21464" s="19"/>
      <c r="E21464" s="23"/>
      <c r="L21464" s="23"/>
    </row>
    <row r="21465">
      <c r="B21465" s="19"/>
      <c r="E21465" s="23"/>
      <c r="L21465" s="23"/>
    </row>
    <row r="21466">
      <c r="B21466" s="19"/>
      <c r="E21466" s="23"/>
      <c r="L21466" s="23"/>
    </row>
    <row r="21467">
      <c r="B21467" s="19"/>
      <c r="E21467" s="23"/>
      <c r="L21467" s="23"/>
    </row>
    <row r="21468">
      <c r="B21468" s="19"/>
      <c r="E21468" s="23"/>
      <c r="L21468" s="23"/>
    </row>
    <row r="21469">
      <c r="B21469" s="19"/>
      <c r="E21469" s="23"/>
      <c r="L21469" s="23"/>
    </row>
    <row r="21470">
      <c r="B21470" s="19"/>
      <c r="E21470" s="23"/>
      <c r="L21470" s="23"/>
    </row>
    <row r="21471">
      <c r="B21471" s="19"/>
      <c r="E21471" s="23"/>
      <c r="L21471" s="23"/>
    </row>
    <row r="21472">
      <c r="B21472" s="19"/>
      <c r="E21472" s="23"/>
      <c r="L21472" s="23"/>
    </row>
    <row r="21473">
      <c r="B21473" s="19"/>
      <c r="E21473" s="23"/>
      <c r="L21473" s="23"/>
    </row>
    <row r="21474">
      <c r="B21474" s="19"/>
      <c r="E21474" s="23"/>
      <c r="L21474" s="23"/>
    </row>
    <row r="21475">
      <c r="B21475" s="19"/>
      <c r="E21475" s="23"/>
      <c r="L21475" s="23"/>
    </row>
    <row r="21476">
      <c r="B21476" s="19"/>
      <c r="E21476" s="23"/>
      <c r="L21476" s="23"/>
    </row>
    <row r="21477">
      <c r="B21477" s="19"/>
      <c r="E21477" s="23"/>
      <c r="L21477" s="23"/>
    </row>
    <row r="21478">
      <c r="B21478" s="19"/>
      <c r="E21478" s="23"/>
      <c r="L21478" s="23"/>
    </row>
    <row r="21479">
      <c r="B21479" s="19"/>
      <c r="E21479" s="23"/>
      <c r="L21479" s="23"/>
    </row>
    <row r="21480">
      <c r="B21480" s="19"/>
      <c r="E21480" s="23"/>
      <c r="L21480" s="23"/>
    </row>
    <row r="21481">
      <c r="B21481" s="19"/>
      <c r="E21481" s="23"/>
      <c r="L21481" s="23"/>
    </row>
    <row r="21482">
      <c r="B21482" s="19"/>
      <c r="E21482" s="23"/>
      <c r="L21482" s="23"/>
    </row>
    <row r="21483">
      <c r="B21483" s="19"/>
      <c r="E21483" s="23"/>
      <c r="L21483" s="23"/>
    </row>
    <row r="21484">
      <c r="B21484" s="19"/>
      <c r="E21484" s="23"/>
      <c r="L21484" s="23"/>
    </row>
    <row r="21485">
      <c r="B21485" s="19"/>
      <c r="E21485" s="23"/>
      <c r="L21485" s="23"/>
    </row>
    <row r="21486">
      <c r="B21486" s="19"/>
      <c r="E21486" s="23"/>
      <c r="L21486" s="23"/>
    </row>
    <row r="21487">
      <c r="B21487" s="19"/>
      <c r="E21487" s="23"/>
      <c r="L21487" s="23"/>
    </row>
    <row r="21488">
      <c r="B21488" s="19"/>
      <c r="E21488" s="23"/>
      <c r="L21488" s="23"/>
    </row>
    <row r="21489">
      <c r="B21489" s="19"/>
      <c r="E21489" s="23"/>
      <c r="L21489" s="23"/>
    </row>
    <row r="21490">
      <c r="B21490" s="19"/>
      <c r="E21490" s="23"/>
      <c r="L21490" s="23"/>
    </row>
    <row r="21491">
      <c r="B21491" s="19"/>
      <c r="E21491" s="23"/>
      <c r="L21491" s="23"/>
    </row>
    <row r="21492">
      <c r="B21492" s="19"/>
      <c r="E21492" s="23"/>
      <c r="L21492" s="23"/>
    </row>
    <row r="21493">
      <c r="B21493" s="19"/>
      <c r="E21493" s="23"/>
      <c r="L21493" s="23"/>
    </row>
    <row r="21494">
      <c r="B21494" s="19"/>
      <c r="E21494" s="23"/>
      <c r="L21494" s="23"/>
    </row>
    <row r="21495">
      <c r="B21495" s="19"/>
      <c r="E21495" s="23"/>
      <c r="L21495" s="23"/>
    </row>
    <row r="21496">
      <c r="B21496" s="19"/>
      <c r="E21496" s="23"/>
      <c r="L21496" s="23"/>
    </row>
    <row r="21497">
      <c r="B21497" s="19"/>
      <c r="E21497" s="23"/>
      <c r="L21497" s="23"/>
    </row>
    <row r="21498">
      <c r="B21498" s="19"/>
      <c r="E21498" s="23"/>
      <c r="L21498" s="23"/>
    </row>
    <row r="21499">
      <c r="B21499" s="19"/>
      <c r="E21499" s="23"/>
      <c r="L21499" s="23"/>
    </row>
    <row r="21500">
      <c r="B21500" s="19"/>
      <c r="E21500" s="23"/>
      <c r="L21500" s="23"/>
    </row>
    <row r="21501">
      <c r="B21501" s="19"/>
      <c r="E21501" s="23"/>
      <c r="L21501" s="23"/>
    </row>
    <row r="21502">
      <c r="B21502" s="19"/>
      <c r="E21502" s="23"/>
      <c r="L21502" s="23"/>
    </row>
    <row r="21503">
      <c r="B21503" s="19"/>
      <c r="E21503" s="23"/>
      <c r="L21503" s="23"/>
    </row>
    <row r="21504">
      <c r="B21504" s="19"/>
      <c r="E21504" s="23"/>
      <c r="L21504" s="23"/>
    </row>
    <row r="21505">
      <c r="B21505" s="19"/>
      <c r="E21505" s="23"/>
      <c r="L21505" s="23"/>
    </row>
    <row r="21506">
      <c r="B21506" s="19"/>
      <c r="E21506" s="23"/>
      <c r="L21506" s="23"/>
    </row>
    <row r="21507">
      <c r="B21507" s="19"/>
      <c r="E21507" s="23"/>
      <c r="L21507" s="23"/>
    </row>
    <row r="21508">
      <c r="B21508" s="19"/>
      <c r="E21508" s="23"/>
      <c r="L21508" s="23"/>
    </row>
    <row r="21509">
      <c r="B21509" s="19"/>
      <c r="E21509" s="23"/>
      <c r="L21509" s="23"/>
    </row>
    <row r="21510">
      <c r="B21510" s="19"/>
      <c r="E21510" s="23"/>
      <c r="L21510" s="23"/>
    </row>
    <row r="21511">
      <c r="B21511" s="19"/>
      <c r="E21511" s="23"/>
      <c r="L21511" s="23"/>
    </row>
    <row r="21512">
      <c r="B21512" s="19"/>
      <c r="E21512" s="23"/>
      <c r="L21512" s="23"/>
    </row>
    <row r="21513">
      <c r="B21513" s="19"/>
      <c r="E21513" s="23"/>
      <c r="L21513" s="23"/>
    </row>
    <row r="21514">
      <c r="B21514" s="19"/>
      <c r="E21514" s="23"/>
      <c r="L21514" s="23"/>
    </row>
    <row r="21515">
      <c r="B21515" s="19"/>
      <c r="E21515" s="23"/>
      <c r="L21515" s="23"/>
    </row>
    <row r="21516">
      <c r="B21516" s="19"/>
      <c r="E21516" s="23"/>
      <c r="L21516" s="23"/>
    </row>
    <row r="21517">
      <c r="B21517" s="19"/>
      <c r="E21517" s="23"/>
      <c r="L21517" s="23"/>
    </row>
    <row r="21518">
      <c r="B21518" s="19"/>
      <c r="E21518" s="23"/>
      <c r="L21518" s="23"/>
    </row>
    <row r="21519">
      <c r="B21519" s="19"/>
      <c r="E21519" s="23"/>
      <c r="L21519" s="23"/>
    </row>
    <row r="21520">
      <c r="B21520" s="19"/>
      <c r="E21520" s="23"/>
      <c r="L21520" s="23"/>
    </row>
    <row r="21521">
      <c r="B21521" s="19"/>
      <c r="E21521" s="23"/>
      <c r="L21521" s="23"/>
    </row>
    <row r="21522">
      <c r="B21522" s="19"/>
      <c r="E21522" s="23"/>
      <c r="L21522" s="23"/>
    </row>
    <row r="21523">
      <c r="B21523" s="19"/>
      <c r="E21523" s="23"/>
      <c r="L21523" s="23"/>
    </row>
    <row r="21524">
      <c r="B21524" s="19"/>
      <c r="E21524" s="23"/>
      <c r="L21524" s="23"/>
    </row>
    <row r="21525">
      <c r="B21525" s="19"/>
      <c r="E21525" s="23"/>
      <c r="L21525" s="23"/>
    </row>
    <row r="21526">
      <c r="B21526" s="19"/>
      <c r="E21526" s="23"/>
      <c r="L21526" s="23"/>
    </row>
    <row r="21527">
      <c r="B21527" s="19"/>
      <c r="E21527" s="23"/>
      <c r="L21527" s="23"/>
    </row>
    <row r="21528">
      <c r="B21528" s="19"/>
      <c r="E21528" s="23"/>
      <c r="L21528" s="23"/>
    </row>
    <row r="21529">
      <c r="B21529" s="19"/>
      <c r="E21529" s="23"/>
      <c r="L21529" s="23"/>
    </row>
    <row r="21530">
      <c r="B21530" s="19"/>
      <c r="E21530" s="23"/>
      <c r="L21530" s="23"/>
    </row>
    <row r="21531">
      <c r="B21531" s="19"/>
      <c r="E21531" s="23"/>
      <c r="L21531" s="23"/>
    </row>
    <row r="21532">
      <c r="B21532" s="19"/>
      <c r="E21532" s="23"/>
      <c r="L21532" s="23"/>
    </row>
    <row r="21533">
      <c r="B21533" s="19"/>
      <c r="E21533" s="23"/>
      <c r="L21533" s="23"/>
    </row>
    <row r="21534">
      <c r="B21534" s="19"/>
      <c r="E21534" s="23"/>
      <c r="L21534" s="23"/>
    </row>
    <row r="21535">
      <c r="B21535" s="19"/>
      <c r="E21535" s="23"/>
      <c r="L21535" s="23"/>
    </row>
    <row r="21536">
      <c r="B21536" s="19"/>
      <c r="E21536" s="23"/>
      <c r="L21536" s="23"/>
    </row>
    <row r="21537">
      <c r="B21537" s="19"/>
      <c r="E21537" s="23"/>
      <c r="L21537" s="23"/>
    </row>
    <row r="21538">
      <c r="B21538" s="19"/>
      <c r="E21538" s="23"/>
      <c r="L21538" s="23"/>
    </row>
    <row r="21539">
      <c r="B21539" s="19"/>
      <c r="E21539" s="23"/>
      <c r="L21539" s="23"/>
    </row>
    <row r="21540">
      <c r="B21540" s="19"/>
      <c r="E21540" s="23"/>
      <c r="L21540" s="23"/>
    </row>
    <row r="21541">
      <c r="B21541" s="19"/>
      <c r="E21541" s="23"/>
      <c r="L21541" s="23"/>
    </row>
    <row r="21542">
      <c r="B21542" s="19"/>
      <c r="E21542" s="23"/>
      <c r="L21542" s="23"/>
    </row>
    <row r="21543">
      <c r="B21543" s="19"/>
      <c r="E21543" s="23"/>
      <c r="L21543" s="23"/>
    </row>
    <row r="21544">
      <c r="B21544" s="19"/>
      <c r="E21544" s="23"/>
      <c r="L21544" s="23"/>
    </row>
    <row r="21545">
      <c r="B21545" s="19"/>
      <c r="E21545" s="23"/>
      <c r="L21545" s="23"/>
    </row>
    <row r="21546">
      <c r="B21546" s="19"/>
      <c r="E21546" s="23"/>
      <c r="L21546" s="23"/>
    </row>
    <row r="21547">
      <c r="B21547" s="19"/>
      <c r="E21547" s="23"/>
      <c r="L21547" s="23"/>
    </row>
    <row r="21548">
      <c r="B21548" s="19"/>
      <c r="E21548" s="23"/>
      <c r="L21548" s="23"/>
    </row>
    <row r="21549">
      <c r="B21549" s="19"/>
      <c r="E21549" s="23"/>
      <c r="L21549" s="23"/>
    </row>
    <row r="21550">
      <c r="B21550" s="19"/>
      <c r="E21550" s="23"/>
      <c r="L21550" s="23"/>
    </row>
    <row r="21551">
      <c r="B21551" s="19"/>
      <c r="E21551" s="23"/>
      <c r="L21551" s="23"/>
    </row>
    <row r="21552">
      <c r="B21552" s="19"/>
      <c r="E21552" s="23"/>
      <c r="L21552" s="23"/>
    </row>
    <row r="21553">
      <c r="B21553" s="19"/>
      <c r="E21553" s="23"/>
      <c r="L21553" s="23"/>
    </row>
    <row r="21554">
      <c r="B21554" s="19"/>
      <c r="E21554" s="23"/>
      <c r="L21554" s="23"/>
    </row>
    <row r="21555">
      <c r="B21555" s="19"/>
      <c r="E21555" s="23"/>
      <c r="L21555" s="23"/>
    </row>
    <row r="21556">
      <c r="B21556" s="19"/>
      <c r="E21556" s="23"/>
      <c r="L21556" s="23"/>
    </row>
    <row r="21557">
      <c r="B21557" s="19"/>
      <c r="E21557" s="23"/>
      <c r="L21557" s="23"/>
    </row>
    <row r="21558">
      <c r="B21558" s="19"/>
      <c r="E21558" s="23"/>
      <c r="L21558" s="23"/>
    </row>
    <row r="21559">
      <c r="B21559" s="19"/>
      <c r="E21559" s="23"/>
      <c r="L21559" s="23"/>
    </row>
    <row r="21560">
      <c r="B21560" s="19"/>
      <c r="E21560" s="23"/>
      <c r="L21560" s="23"/>
    </row>
    <row r="21561">
      <c r="B21561" s="19"/>
      <c r="E21561" s="23"/>
      <c r="L21561" s="23"/>
    </row>
    <row r="21562">
      <c r="B21562" s="19"/>
      <c r="E21562" s="23"/>
      <c r="L21562" s="23"/>
    </row>
    <row r="21563">
      <c r="B21563" s="19"/>
      <c r="E21563" s="23"/>
      <c r="L21563" s="23"/>
    </row>
    <row r="21564">
      <c r="B21564" s="19"/>
      <c r="E21564" s="23"/>
      <c r="L21564" s="23"/>
    </row>
    <row r="21565">
      <c r="B21565" s="19"/>
      <c r="E21565" s="23"/>
      <c r="L21565" s="23"/>
    </row>
    <row r="21566">
      <c r="B21566" s="19"/>
      <c r="E21566" s="23"/>
      <c r="L21566" s="23"/>
    </row>
    <row r="21567">
      <c r="B21567" s="19"/>
      <c r="E21567" s="23"/>
      <c r="L21567" s="23"/>
    </row>
    <row r="21568">
      <c r="B21568" s="19"/>
      <c r="E21568" s="23"/>
      <c r="L21568" s="23"/>
    </row>
    <row r="21569">
      <c r="B21569" s="19"/>
      <c r="E21569" s="23"/>
      <c r="L21569" s="23"/>
    </row>
    <row r="21570">
      <c r="B21570" s="19"/>
      <c r="E21570" s="23"/>
      <c r="L21570" s="23"/>
    </row>
    <row r="21571">
      <c r="B21571" s="19"/>
      <c r="E21571" s="23"/>
      <c r="L21571" s="23"/>
    </row>
    <row r="21572">
      <c r="B21572" s="19"/>
      <c r="E21572" s="23"/>
      <c r="L21572" s="23"/>
    </row>
    <row r="21573">
      <c r="B21573" s="19"/>
      <c r="E21573" s="23"/>
      <c r="L21573" s="23"/>
    </row>
    <row r="21574">
      <c r="B21574" s="19"/>
      <c r="E21574" s="23"/>
      <c r="L21574" s="23"/>
    </row>
    <row r="21575">
      <c r="B21575" s="19"/>
      <c r="E21575" s="23"/>
      <c r="L21575" s="23"/>
    </row>
    <row r="21576">
      <c r="B21576" s="19"/>
      <c r="E21576" s="23"/>
      <c r="L21576" s="23"/>
    </row>
    <row r="21577">
      <c r="B21577" s="19"/>
      <c r="E21577" s="23"/>
      <c r="L21577" s="23"/>
    </row>
    <row r="21578">
      <c r="B21578" s="19"/>
      <c r="E21578" s="23"/>
      <c r="L21578" s="23"/>
    </row>
    <row r="21579">
      <c r="B21579" s="19"/>
      <c r="E21579" s="23"/>
      <c r="L21579" s="23"/>
    </row>
    <row r="21580">
      <c r="B21580" s="19"/>
      <c r="E21580" s="23"/>
      <c r="L21580" s="23"/>
    </row>
    <row r="21581">
      <c r="B21581" s="19"/>
      <c r="E21581" s="23"/>
      <c r="L21581" s="23"/>
    </row>
    <row r="21582">
      <c r="B21582" s="19"/>
      <c r="E21582" s="23"/>
      <c r="L21582" s="23"/>
    </row>
    <row r="21583">
      <c r="B21583" s="19"/>
      <c r="E21583" s="23"/>
      <c r="L21583" s="23"/>
    </row>
    <row r="21584">
      <c r="B21584" s="19"/>
      <c r="E21584" s="23"/>
      <c r="L21584" s="23"/>
    </row>
    <row r="21585">
      <c r="B21585" s="19"/>
      <c r="E21585" s="23"/>
      <c r="L21585" s="23"/>
    </row>
    <row r="21586">
      <c r="B21586" s="19"/>
      <c r="E21586" s="23"/>
      <c r="L21586" s="23"/>
    </row>
    <row r="21587">
      <c r="B21587" s="19"/>
      <c r="E21587" s="23"/>
      <c r="L21587" s="23"/>
    </row>
    <row r="21588">
      <c r="B21588" s="19"/>
      <c r="E21588" s="23"/>
      <c r="L21588" s="23"/>
    </row>
    <row r="21589">
      <c r="B21589" s="19"/>
      <c r="E21589" s="23"/>
      <c r="L21589" s="23"/>
    </row>
    <row r="21590">
      <c r="B21590" s="19"/>
      <c r="E21590" s="23"/>
      <c r="L21590" s="23"/>
    </row>
    <row r="21591">
      <c r="B21591" s="19"/>
      <c r="E21591" s="23"/>
      <c r="L21591" s="23"/>
    </row>
    <row r="21592">
      <c r="B21592" s="19"/>
      <c r="E21592" s="23"/>
      <c r="L21592" s="23"/>
    </row>
    <row r="21593">
      <c r="B21593" s="19"/>
      <c r="E21593" s="23"/>
      <c r="L21593" s="23"/>
    </row>
    <row r="21594">
      <c r="B21594" s="19"/>
      <c r="E21594" s="23"/>
      <c r="L21594" s="23"/>
    </row>
    <row r="21595">
      <c r="B21595" s="19"/>
      <c r="E21595" s="23"/>
      <c r="L21595" s="23"/>
    </row>
    <row r="21596">
      <c r="B21596" s="19"/>
      <c r="E21596" s="23"/>
      <c r="L21596" s="23"/>
    </row>
    <row r="21597">
      <c r="B21597" s="19"/>
      <c r="E21597" s="23"/>
      <c r="L21597" s="23"/>
    </row>
    <row r="21598">
      <c r="B21598" s="19"/>
      <c r="E21598" s="23"/>
      <c r="L21598" s="23"/>
    </row>
    <row r="21599">
      <c r="B21599" s="19"/>
      <c r="E21599" s="23"/>
      <c r="L21599" s="23"/>
    </row>
    <row r="21600">
      <c r="B21600" s="19"/>
      <c r="E21600" s="23"/>
      <c r="L21600" s="23"/>
    </row>
    <row r="21601">
      <c r="B21601" s="19"/>
      <c r="E21601" s="23"/>
      <c r="L21601" s="23"/>
    </row>
    <row r="21602">
      <c r="B21602" s="19"/>
      <c r="E21602" s="23"/>
      <c r="L21602" s="23"/>
    </row>
    <row r="21603">
      <c r="B21603" s="19"/>
      <c r="E21603" s="23"/>
      <c r="L21603" s="23"/>
    </row>
    <row r="21604">
      <c r="B21604" s="19"/>
      <c r="E21604" s="23"/>
      <c r="L21604" s="23"/>
    </row>
    <row r="21605">
      <c r="B21605" s="19"/>
      <c r="E21605" s="23"/>
      <c r="L21605" s="23"/>
    </row>
    <row r="21606">
      <c r="B21606" s="19"/>
      <c r="E21606" s="23"/>
      <c r="L21606" s="23"/>
    </row>
    <row r="21607">
      <c r="B21607" s="19"/>
      <c r="E21607" s="23"/>
      <c r="L21607" s="23"/>
    </row>
    <row r="21608">
      <c r="B21608" s="19"/>
      <c r="E21608" s="23"/>
      <c r="L21608" s="23"/>
    </row>
    <row r="21609">
      <c r="B21609" s="19"/>
      <c r="E21609" s="23"/>
      <c r="L21609" s="23"/>
    </row>
    <row r="21610">
      <c r="B21610" s="19"/>
      <c r="E21610" s="23"/>
      <c r="L21610" s="23"/>
    </row>
    <row r="21611">
      <c r="B21611" s="19"/>
      <c r="E21611" s="23"/>
      <c r="L21611" s="23"/>
    </row>
    <row r="21612">
      <c r="B21612" s="19"/>
      <c r="E21612" s="23"/>
      <c r="L21612" s="23"/>
    </row>
    <row r="21613">
      <c r="B21613" s="19"/>
      <c r="E21613" s="23"/>
      <c r="L21613" s="23"/>
    </row>
    <row r="21614">
      <c r="B21614" s="19"/>
      <c r="E21614" s="23"/>
      <c r="L21614" s="23"/>
    </row>
    <row r="21615">
      <c r="B21615" s="19"/>
      <c r="E21615" s="23"/>
      <c r="L21615" s="23"/>
    </row>
    <row r="21616">
      <c r="B21616" s="19"/>
      <c r="E21616" s="23"/>
      <c r="L21616" s="23"/>
    </row>
    <row r="21617">
      <c r="B21617" s="19"/>
      <c r="E21617" s="23"/>
      <c r="L21617" s="23"/>
    </row>
    <row r="21618">
      <c r="B21618" s="19"/>
      <c r="E21618" s="23"/>
      <c r="L21618" s="23"/>
    </row>
    <row r="21619">
      <c r="B21619" s="19"/>
      <c r="E21619" s="23"/>
      <c r="L21619" s="23"/>
    </row>
    <row r="21620">
      <c r="B21620" s="19"/>
      <c r="E21620" s="23"/>
      <c r="L21620" s="23"/>
    </row>
    <row r="21621">
      <c r="B21621" s="19"/>
      <c r="E21621" s="23"/>
      <c r="L21621" s="23"/>
    </row>
    <row r="21622">
      <c r="B21622" s="19"/>
      <c r="E21622" s="23"/>
      <c r="L21622" s="23"/>
    </row>
    <row r="21623">
      <c r="B21623" s="19"/>
      <c r="E21623" s="23"/>
      <c r="L21623" s="23"/>
    </row>
    <row r="21624">
      <c r="B21624" s="19"/>
      <c r="E21624" s="23"/>
      <c r="L21624" s="23"/>
    </row>
    <row r="21625">
      <c r="B21625" s="19"/>
      <c r="E21625" s="23"/>
      <c r="L21625" s="23"/>
    </row>
    <row r="21626">
      <c r="B21626" s="19"/>
      <c r="E21626" s="23"/>
      <c r="L21626" s="23"/>
    </row>
    <row r="21627">
      <c r="B21627" s="19"/>
      <c r="E21627" s="23"/>
      <c r="L21627" s="23"/>
    </row>
    <row r="21628">
      <c r="B21628" s="19"/>
      <c r="E21628" s="23"/>
      <c r="L21628" s="23"/>
    </row>
    <row r="21629">
      <c r="B21629" s="19"/>
      <c r="E21629" s="23"/>
      <c r="L21629" s="23"/>
    </row>
    <row r="21630">
      <c r="B21630" s="19"/>
      <c r="E21630" s="23"/>
      <c r="L21630" s="23"/>
    </row>
    <row r="21631">
      <c r="B21631" s="19"/>
      <c r="E21631" s="23"/>
      <c r="L21631" s="23"/>
    </row>
    <row r="21632">
      <c r="B21632" s="19"/>
      <c r="E21632" s="23"/>
      <c r="L21632" s="23"/>
    </row>
    <row r="21633">
      <c r="B21633" s="19"/>
      <c r="E21633" s="23"/>
      <c r="L21633" s="23"/>
    </row>
    <row r="21634">
      <c r="B21634" s="19"/>
      <c r="E21634" s="23"/>
      <c r="L21634" s="23"/>
    </row>
    <row r="21635">
      <c r="B21635" s="19"/>
      <c r="E21635" s="23"/>
      <c r="L21635" s="23"/>
    </row>
    <row r="21636">
      <c r="B21636" s="19"/>
      <c r="E21636" s="23"/>
      <c r="L21636" s="23"/>
    </row>
    <row r="21637">
      <c r="B21637" s="19"/>
      <c r="E21637" s="23"/>
      <c r="L21637" s="23"/>
    </row>
    <row r="21638">
      <c r="B21638" s="19"/>
      <c r="E21638" s="23"/>
      <c r="L21638" s="23"/>
    </row>
    <row r="21639">
      <c r="B21639" s="19"/>
      <c r="E21639" s="23"/>
      <c r="L21639" s="23"/>
    </row>
    <row r="21640">
      <c r="B21640" s="19"/>
      <c r="E21640" s="23"/>
      <c r="L21640" s="23"/>
    </row>
    <row r="21641">
      <c r="B21641" s="19"/>
      <c r="E21641" s="23"/>
      <c r="L21641" s="23"/>
    </row>
    <row r="21642">
      <c r="B21642" s="19"/>
      <c r="E21642" s="23"/>
      <c r="L21642" s="23"/>
    </row>
    <row r="21643">
      <c r="B21643" s="19"/>
      <c r="E21643" s="23"/>
      <c r="L21643" s="23"/>
    </row>
    <row r="21644">
      <c r="B21644" s="19"/>
      <c r="E21644" s="23"/>
      <c r="L21644" s="23"/>
    </row>
    <row r="21645">
      <c r="B21645" s="19"/>
      <c r="E21645" s="23"/>
      <c r="L21645" s="23"/>
    </row>
    <row r="21646">
      <c r="B21646" s="19"/>
      <c r="E21646" s="23"/>
      <c r="L21646" s="23"/>
    </row>
    <row r="21647">
      <c r="B21647" s="19"/>
      <c r="E21647" s="23"/>
      <c r="L21647" s="23"/>
    </row>
    <row r="21648">
      <c r="B21648" s="19"/>
      <c r="E21648" s="23"/>
      <c r="L21648" s="23"/>
    </row>
    <row r="21649">
      <c r="B21649" s="19"/>
      <c r="E21649" s="23"/>
      <c r="L21649" s="23"/>
    </row>
    <row r="21650">
      <c r="B21650" s="19"/>
      <c r="E21650" s="23"/>
      <c r="L21650" s="23"/>
    </row>
    <row r="21651">
      <c r="B21651" s="19"/>
      <c r="E21651" s="23"/>
      <c r="L21651" s="23"/>
    </row>
    <row r="21652">
      <c r="B21652" s="19"/>
      <c r="E21652" s="23"/>
      <c r="L21652" s="23"/>
    </row>
    <row r="21653">
      <c r="B21653" s="19"/>
      <c r="E21653" s="23"/>
      <c r="L21653" s="23"/>
    </row>
    <row r="21654">
      <c r="B21654" s="19"/>
      <c r="E21654" s="23"/>
      <c r="L21654" s="23"/>
    </row>
    <row r="21655">
      <c r="B21655" s="19"/>
      <c r="E21655" s="23"/>
      <c r="L21655" s="23"/>
    </row>
    <row r="21656">
      <c r="B21656" s="19"/>
      <c r="E21656" s="23"/>
      <c r="L21656" s="23"/>
    </row>
    <row r="21657">
      <c r="B21657" s="19"/>
      <c r="E21657" s="23"/>
      <c r="L21657" s="23"/>
    </row>
    <row r="21658">
      <c r="B21658" s="19"/>
      <c r="E21658" s="23"/>
      <c r="L21658" s="23"/>
    </row>
    <row r="21659">
      <c r="B21659" s="19"/>
      <c r="E21659" s="23"/>
      <c r="L21659" s="23"/>
    </row>
    <row r="21660">
      <c r="B21660" s="19"/>
      <c r="E21660" s="23"/>
      <c r="L21660" s="23"/>
    </row>
    <row r="21661">
      <c r="B21661" s="19"/>
      <c r="E21661" s="23"/>
      <c r="L21661" s="23"/>
    </row>
    <row r="21662">
      <c r="B21662" s="19"/>
      <c r="E21662" s="23"/>
      <c r="L21662" s="23"/>
    </row>
    <row r="21663">
      <c r="B21663" s="19"/>
      <c r="E21663" s="23"/>
      <c r="L21663" s="23"/>
    </row>
    <row r="21664">
      <c r="B21664" s="19"/>
      <c r="E21664" s="23"/>
      <c r="L21664" s="23"/>
    </row>
    <row r="21665">
      <c r="B21665" s="19"/>
      <c r="E21665" s="23"/>
      <c r="L21665" s="23"/>
    </row>
    <row r="21666">
      <c r="B21666" s="19"/>
      <c r="E21666" s="23"/>
      <c r="L21666" s="23"/>
    </row>
    <row r="21667">
      <c r="B21667" s="19"/>
      <c r="E21667" s="23"/>
      <c r="L21667" s="23"/>
    </row>
    <row r="21668">
      <c r="B21668" s="19"/>
      <c r="E21668" s="23"/>
      <c r="L21668" s="23"/>
    </row>
    <row r="21669">
      <c r="B21669" s="19"/>
      <c r="E21669" s="23"/>
      <c r="L21669" s="23"/>
    </row>
    <row r="21670">
      <c r="B21670" s="19"/>
      <c r="E21670" s="23"/>
      <c r="L21670" s="23"/>
    </row>
    <row r="21671">
      <c r="B21671" s="19"/>
      <c r="E21671" s="23"/>
      <c r="L21671" s="23"/>
    </row>
    <row r="21672">
      <c r="B21672" s="19"/>
      <c r="E21672" s="23"/>
      <c r="L21672" s="23"/>
    </row>
    <row r="21673">
      <c r="B21673" s="19"/>
      <c r="E21673" s="23"/>
      <c r="L21673" s="23"/>
    </row>
    <row r="21674">
      <c r="B21674" s="19"/>
      <c r="E21674" s="23"/>
      <c r="L21674" s="23"/>
    </row>
    <row r="21675">
      <c r="B21675" s="19"/>
      <c r="E21675" s="23"/>
      <c r="L21675" s="23"/>
    </row>
    <row r="21676">
      <c r="B21676" s="19"/>
      <c r="E21676" s="23"/>
      <c r="L21676" s="23"/>
    </row>
    <row r="21677">
      <c r="B21677" s="19"/>
      <c r="E21677" s="23"/>
      <c r="L21677" s="23"/>
    </row>
    <row r="21678">
      <c r="B21678" s="19"/>
      <c r="E21678" s="23"/>
      <c r="L21678" s="23"/>
    </row>
    <row r="21679">
      <c r="B21679" s="19"/>
      <c r="E21679" s="23"/>
      <c r="L21679" s="23"/>
    </row>
    <row r="21680">
      <c r="B21680" s="19"/>
      <c r="E21680" s="23"/>
      <c r="L21680" s="23"/>
    </row>
    <row r="21681">
      <c r="B21681" s="19"/>
      <c r="E21681" s="23"/>
      <c r="L21681" s="23"/>
    </row>
    <row r="21682">
      <c r="B21682" s="19"/>
      <c r="E21682" s="23"/>
      <c r="L21682" s="23"/>
    </row>
    <row r="21683">
      <c r="B21683" s="19"/>
      <c r="E21683" s="23"/>
      <c r="L21683" s="23"/>
    </row>
    <row r="21684">
      <c r="B21684" s="19"/>
      <c r="E21684" s="23"/>
      <c r="L21684" s="23"/>
    </row>
    <row r="21685">
      <c r="B21685" s="19"/>
      <c r="E21685" s="23"/>
      <c r="L21685" s="23"/>
    </row>
    <row r="21686">
      <c r="B21686" s="19"/>
      <c r="E21686" s="23"/>
      <c r="L21686" s="23"/>
    </row>
    <row r="21687">
      <c r="B21687" s="19"/>
      <c r="E21687" s="23"/>
      <c r="L21687" s="23"/>
    </row>
    <row r="21688">
      <c r="B21688" s="19"/>
      <c r="E21688" s="23"/>
      <c r="L21688" s="23"/>
    </row>
    <row r="21689">
      <c r="B21689" s="19"/>
      <c r="E21689" s="23"/>
      <c r="L21689" s="23"/>
    </row>
    <row r="21690">
      <c r="B21690" s="19"/>
      <c r="E21690" s="23"/>
      <c r="L21690" s="23"/>
    </row>
    <row r="21691">
      <c r="B21691" s="19"/>
      <c r="E21691" s="23"/>
      <c r="L21691" s="23"/>
    </row>
    <row r="21692">
      <c r="B21692" s="19"/>
      <c r="E21692" s="23"/>
      <c r="L21692" s="23"/>
    </row>
    <row r="21693">
      <c r="B21693" s="19"/>
      <c r="E21693" s="23"/>
      <c r="L21693" s="23"/>
    </row>
    <row r="21694">
      <c r="B21694" s="19"/>
      <c r="E21694" s="23"/>
      <c r="L21694" s="23"/>
    </row>
    <row r="21695">
      <c r="B21695" s="19"/>
      <c r="E21695" s="23"/>
      <c r="L21695" s="23"/>
    </row>
    <row r="21696">
      <c r="B21696" s="19"/>
      <c r="E21696" s="23"/>
      <c r="L21696" s="23"/>
    </row>
    <row r="21697">
      <c r="B21697" s="19"/>
      <c r="E21697" s="23"/>
      <c r="L21697" s="23"/>
    </row>
    <row r="21698">
      <c r="B21698" s="19"/>
      <c r="E21698" s="23"/>
      <c r="L21698" s="23"/>
    </row>
    <row r="21699">
      <c r="B21699" s="19"/>
      <c r="E21699" s="23"/>
      <c r="L21699" s="23"/>
    </row>
    <row r="21700">
      <c r="B21700" s="19"/>
      <c r="E21700" s="23"/>
      <c r="L21700" s="23"/>
    </row>
    <row r="21701">
      <c r="B21701" s="19"/>
      <c r="E21701" s="23"/>
      <c r="L21701" s="23"/>
    </row>
    <row r="21702">
      <c r="B21702" s="19"/>
      <c r="E21702" s="23"/>
      <c r="L21702" s="23"/>
    </row>
    <row r="21703">
      <c r="B21703" s="19"/>
      <c r="E21703" s="23"/>
      <c r="L21703" s="23"/>
    </row>
    <row r="21704">
      <c r="B21704" s="19"/>
      <c r="E21704" s="23"/>
      <c r="L21704" s="23"/>
    </row>
    <row r="21705">
      <c r="B21705" s="19"/>
      <c r="E21705" s="23"/>
      <c r="L21705" s="23"/>
    </row>
    <row r="21706">
      <c r="B21706" s="19"/>
      <c r="E21706" s="23"/>
      <c r="L21706" s="23"/>
    </row>
    <row r="21707">
      <c r="B21707" s="19"/>
      <c r="E21707" s="23"/>
      <c r="L21707" s="23"/>
    </row>
    <row r="21708">
      <c r="B21708" s="19"/>
      <c r="E21708" s="23"/>
      <c r="L21708" s="23"/>
    </row>
    <row r="21709">
      <c r="B21709" s="19"/>
      <c r="E21709" s="23"/>
      <c r="L21709" s="23"/>
    </row>
    <row r="21710">
      <c r="B21710" s="19"/>
      <c r="E21710" s="23"/>
      <c r="L21710" s="23"/>
    </row>
    <row r="21711">
      <c r="B21711" s="19"/>
      <c r="E21711" s="23"/>
      <c r="L21711" s="23"/>
    </row>
    <row r="21712">
      <c r="B21712" s="19"/>
      <c r="E21712" s="23"/>
      <c r="L21712" s="23"/>
    </row>
    <row r="21713">
      <c r="B21713" s="19"/>
      <c r="E21713" s="23"/>
      <c r="L21713" s="23"/>
    </row>
    <row r="21714">
      <c r="B21714" s="19"/>
      <c r="E21714" s="23"/>
      <c r="L21714" s="23"/>
    </row>
    <row r="21715">
      <c r="B21715" s="19"/>
      <c r="E21715" s="23"/>
      <c r="L21715" s="23"/>
    </row>
    <row r="21716">
      <c r="B21716" s="19"/>
      <c r="E21716" s="23"/>
      <c r="L21716" s="23"/>
    </row>
    <row r="21717">
      <c r="B21717" s="19"/>
      <c r="E21717" s="23"/>
      <c r="L21717" s="23"/>
    </row>
    <row r="21718">
      <c r="B21718" s="19"/>
      <c r="E21718" s="23"/>
      <c r="L21718" s="23"/>
    </row>
    <row r="21719">
      <c r="B21719" s="19"/>
      <c r="E21719" s="23"/>
      <c r="L21719" s="23"/>
    </row>
    <row r="21720">
      <c r="B21720" s="19"/>
      <c r="E21720" s="23"/>
      <c r="L21720" s="23"/>
    </row>
    <row r="21721">
      <c r="B21721" s="19"/>
      <c r="E21721" s="23"/>
      <c r="L21721" s="23"/>
    </row>
    <row r="21722">
      <c r="B21722" s="19"/>
      <c r="E21722" s="23"/>
      <c r="L21722" s="23"/>
    </row>
    <row r="21723">
      <c r="B21723" s="19"/>
      <c r="E21723" s="23"/>
      <c r="L21723" s="23"/>
    </row>
    <row r="21724">
      <c r="B21724" s="19"/>
      <c r="E21724" s="23"/>
      <c r="L21724" s="23"/>
    </row>
    <row r="21725">
      <c r="B21725" s="19"/>
      <c r="E21725" s="23"/>
      <c r="L21725" s="23"/>
    </row>
    <row r="21726">
      <c r="B21726" s="19"/>
      <c r="E21726" s="23"/>
      <c r="L21726" s="23"/>
    </row>
    <row r="21727">
      <c r="B21727" s="19"/>
      <c r="E21727" s="23"/>
      <c r="L21727" s="23"/>
    </row>
    <row r="21728">
      <c r="B21728" s="19"/>
      <c r="E21728" s="23"/>
      <c r="L21728" s="23"/>
    </row>
    <row r="21729">
      <c r="B21729" s="19"/>
      <c r="E21729" s="23"/>
      <c r="L21729" s="23"/>
    </row>
    <row r="21730">
      <c r="B21730" s="19"/>
      <c r="E21730" s="23"/>
      <c r="L21730" s="23"/>
    </row>
    <row r="21731">
      <c r="B21731" s="19"/>
      <c r="E21731" s="23"/>
      <c r="L21731" s="23"/>
    </row>
    <row r="21732">
      <c r="B21732" s="19"/>
      <c r="E21732" s="23"/>
      <c r="L21732" s="23"/>
    </row>
    <row r="21733">
      <c r="B21733" s="19"/>
      <c r="E21733" s="23"/>
      <c r="L21733" s="23"/>
    </row>
    <row r="21734">
      <c r="B21734" s="19"/>
      <c r="E21734" s="23"/>
      <c r="L21734" s="23"/>
    </row>
    <row r="21735">
      <c r="B21735" s="19"/>
      <c r="E21735" s="23"/>
      <c r="L21735" s="23"/>
    </row>
    <row r="21736">
      <c r="B21736" s="19"/>
      <c r="E21736" s="23"/>
      <c r="L21736" s="23"/>
    </row>
    <row r="21737">
      <c r="B21737" s="19"/>
      <c r="E21737" s="23"/>
      <c r="L21737" s="23"/>
    </row>
    <row r="21738">
      <c r="B21738" s="19"/>
      <c r="E21738" s="23"/>
      <c r="L21738" s="23"/>
    </row>
    <row r="21739">
      <c r="B21739" s="19"/>
      <c r="E21739" s="23"/>
      <c r="L21739" s="23"/>
    </row>
    <row r="21740">
      <c r="B21740" s="19"/>
      <c r="E21740" s="23"/>
      <c r="L21740" s="23"/>
    </row>
    <row r="21741">
      <c r="B21741" s="19"/>
      <c r="E21741" s="23"/>
      <c r="L21741" s="23"/>
    </row>
    <row r="21742">
      <c r="B21742" s="19"/>
      <c r="E21742" s="23"/>
      <c r="L21742" s="23"/>
    </row>
    <row r="21743">
      <c r="B21743" s="19"/>
      <c r="E21743" s="23"/>
      <c r="L21743" s="23"/>
    </row>
    <row r="21744">
      <c r="B21744" s="19"/>
      <c r="E21744" s="23"/>
      <c r="L21744" s="23"/>
    </row>
    <row r="21745">
      <c r="B21745" s="19"/>
      <c r="E21745" s="23"/>
      <c r="L21745" s="23"/>
    </row>
    <row r="21746">
      <c r="B21746" s="19"/>
      <c r="E21746" s="23"/>
      <c r="L21746" s="23"/>
    </row>
    <row r="21747">
      <c r="B21747" s="19"/>
      <c r="E21747" s="23"/>
      <c r="L21747" s="23"/>
    </row>
    <row r="21748">
      <c r="B21748" s="19"/>
      <c r="E21748" s="23"/>
      <c r="L21748" s="23"/>
    </row>
    <row r="21749">
      <c r="B21749" s="19"/>
      <c r="E21749" s="23"/>
      <c r="L21749" s="23"/>
    </row>
    <row r="21750">
      <c r="B21750" s="19"/>
      <c r="E21750" s="23"/>
      <c r="L21750" s="23"/>
    </row>
    <row r="21751">
      <c r="B21751" s="19"/>
      <c r="E21751" s="23"/>
      <c r="L21751" s="23"/>
    </row>
    <row r="21752">
      <c r="B21752" s="19"/>
      <c r="E21752" s="23"/>
      <c r="L21752" s="23"/>
    </row>
    <row r="21753">
      <c r="B21753" s="19"/>
      <c r="E21753" s="23"/>
      <c r="L21753" s="23"/>
    </row>
    <row r="21754">
      <c r="B21754" s="19"/>
      <c r="E21754" s="23"/>
      <c r="L21754" s="23"/>
    </row>
    <row r="21755">
      <c r="B21755" s="19"/>
      <c r="E21755" s="23"/>
      <c r="L21755" s="23"/>
    </row>
    <row r="21756">
      <c r="B21756" s="19"/>
      <c r="E21756" s="23"/>
      <c r="L21756" s="23"/>
    </row>
    <row r="21757">
      <c r="B21757" s="19"/>
      <c r="E21757" s="23"/>
      <c r="L21757" s="23"/>
    </row>
    <row r="21758">
      <c r="B21758" s="19"/>
      <c r="E21758" s="23"/>
      <c r="L21758" s="23"/>
    </row>
    <row r="21759">
      <c r="B21759" s="19"/>
      <c r="E21759" s="23"/>
      <c r="L21759" s="23"/>
    </row>
    <row r="21760">
      <c r="B21760" s="19"/>
      <c r="E21760" s="23"/>
      <c r="L21760" s="23"/>
    </row>
    <row r="21761">
      <c r="B21761" s="19"/>
      <c r="E21761" s="23"/>
      <c r="L21761" s="23"/>
    </row>
    <row r="21762">
      <c r="B21762" s="19"/>
      <c r="E21762" s="23"/>
      <c r="L21762" s="23"/>
    </row>
    <row r="21763">
      <c r="B21763" s="19"/>
      <c r="E21763" s="23"/>
      <c r="L21763" s="23"/>
    </row>
    <row r="21764">
      <c r="B21764" s="19"/>
      <c r="E21764" s="23"/>
      <c r="L21764" s="23"/>
    </row>
    <row r="21765">
      <c r="B21765" s="19"/>
      <c r="E21765" s="23"/>
      <c r="L21765" s="23"/>
    </row>
    <row r="21766">
      <c r="B21766" s="19"/>
      <c r="E21766" s="23"/>
      <c r="L21766" s="23"/>
    </row>
    <row r="21767">
      <c r="B21767" s="19"/>
      <c r="E21767" s="23"/>
      <c r="L21767" s="23"/>
    </row>
    <row r="21768">
      <c r="B21768" s="19"/>
      <c r="E21768" s="23"/>
      <c r="L21768" s="23"/>
    </row>
    <row r="21769">
      <c r="B21769" s="19"/>
      <c r="E21769" s="23"/>
      <c r="L21769" s="23"/>
    </row>
    <row r="21770">
      <c r="B21770" s="19"/>
      <c r="E21770" s="23"/>
      <c r="L21770" s="23"/>
    </row>
    <row r="21771">
      <c r="B21771" s="19"/>
      <c r="E21771" s="23"/>
      <c r="L21771" s="23"/>
    </row>
    <row r="21772">
      <c r="B21772" s="19"/>
      <c r="E21772" s="23"/>
      <c r="L21772" s="23"/>
    </row>
    <row r="21773">
      <c r="B21773" s="19"/>
      <c r="E21773" s="23"/>
      <c r="L21773" s="23"/>
    </row>
    <row r="21774">
      <c r="B21774" s="19"/>
      <c r="E21774" s="23"/>
      <c r="L21774" s="23"/>
    </row>
    <row r="21775">
      <c r="B21775" s="19"/>
      <c r="E21775" s="23"/>
      <c r="L21775" s="23"/>
    </row>
    <row r="21776">
      <c r="B21776" s="19"/>
      <c r="E21776" s="23"/>
      <c r="L21776" s="23"/>
    </row>
    <row r="21777">
      <c r="B21777" s="19"/>
      <c r="E21777" s="23"/>
      <c r="L21777" s="23"/>
    </row>
    <row r="21778">
      <c r="B21778" s="19"/>
      <c r="E21778" s="23"/>
      <c r="L21778" s="23"/>
    </row>
    <row r="21779">
      <c r="B21779" s="19"/>
      <c r="E21779" s="23"/>
      <c r="L21779" s="23"/>
    </row>
    <row r="21780">
      <c r="B21780" s="19"/>
      <c r="E21780" s="23"/>
      <c r="L21780" s="23"/>
    </row>
    <row r="21781">
      <c r="B21781" s="19"/>
      <c r="E21781" s="23"/>
      <c r="L21781" s="23"/>
    </row>
    <row r="21782">
      <c r="B21782" s="19"/>
      <c r="E21782" s="23"/>
      <c r="L21782" s="23"/>
    </row>
    <row r="21783">
      <c r="B21783" s="19"/>
      <c r="E21783" s="23"/>
      <c r="L21783" s="23"/>
    </row>
    <row r="21784">
      <c r="B21784" s="19"/>
      <c r="E21784" s="23"/>
      <c r="L21784" s="23"/>
    </row>
    <row r="21785">
      <c r="B21785" s="19"/>
      <c r="E21785" s="23"/>
      <c r="L21785" s="23"/>
    </row>
    <row r="21786">
      <c r="B21786" s="19"/>
      <c r="E21786" s="23"/>
      <c r="L21786" s="23"/>
    </row>
    <row r="21787">
      <c r="B21787" s="19"/>
      <c r="E21787" s="23"/>
      <c r="L21787" s="23"/>
    </row>
    <row r="21788">
      <c r="B21788" s="19"/>
      <c r="E21788" s="23"/>
      <c r="L21788" s="23"/>
    </row>
    <row r="21789">
      <c r="B21789" s="19"/>
      <c r="E21789" s="23"/>
      <c r="L21789" s="23"/>
    </row>
    <row r="21790">
      <c r="B21790" s="19"/>
      <c r="E21790" s="23"/>
      <c r="L21790" s="23"/>
    </row>
    <row r="21791">
      <c r="B21791" s="19"/>
      <c r="E21791" s="23"/>
      <c r="L21791" s="23"/>
    </row>
    <row r="21792">
      <c r="B21792" s="19"/>
      <c r="E21792" s="23"/>
      <c r="L21792" s="23"/>
    </row>
    <row r="21793">
      <c r="B21793" s="19"/>
      <c r="E21793" s="23"/>
      <c r="L21793" s="23"/>
    </row>
    <row r="21794">
      <c r="B21794" s="19"/>
      <c r="E21794" s="23"/>
      <c r="L21794" s="23"/>
    </row>
    <row r="21795">
      <c r="B21795" s="19"/>
      <c r="E21795" s="23"/>
      <c r="L21795" s="23"/>
    </row>
    <row r="21796">
      <c r="B21796" s="19"/>
      <c r="E21796" s="23"/>
      <c r="L21796" s="23"/>
    </row>
    <row r="21797">
      <c r="B21797" s="19"/>
      <c r="E21797" s="23"/>
      <c r="L21797" s="23"/>
    </row>
    <row r="21798">
      <c r="B21798" s="19"/>
      <c r="E21798" s="23"/>
      <c r="L21798" s="23"/>
    </row>
    <row r="21799">
      <c r="B21799" s="19"/>
      <c r="E21799" s="23"/>
      <c r="L21799" s="23"/>
    </row>
    <row r="21800">
      <c r="B21800" s="19"/>
      <c r="E21800" s="23"/>
      <c r="L21800" s="23"/>
    </row>
    <row r="21801">
      <c r="B21801" s="19"/>
      <c r="E21801" s="23"/>
      <c r="L21801" s="23"/>
    </row>
    <row r="21802">
      <c r="B21802" s="19"/>
      <c r="E21802" s="23"/>
      <c r="L21802" s="23"/>
    </row>
    <row r="21803">
      <c r="B21803" s="19"/>
      <c r="E21803" s="23"/>
      <c r="L21803" s="23"/>
    </row>
    <row r="21804">
      <c r="B21804" s="19"/>
      <c r="E21804" s="23"/>
      <c r="L21804" s="23"/>
    </row>
    <row r="21805">
      <c r="B21805" s="19"/>
      <c r="E21805" s="23"/>
      <c r="L21805" s="23"/>
    </row>
    <row r="21806">
      <c r="B21806" s="19"/>
      <c r="E21806" s="23"/>
      <c r="L21806" s="23"/>
    </row>
    <row r="21807">
      <c r="B21807" s="19"/>
      <c r="E21807" s="23"/>
      <c r="L21807" s="23"/>
    </row>
    <row r="21808">
      <c r="B21808" s="19"/>
      <c r="E21808" s="23"/>
      <c r="L21808" s="23"/>
    </row>
    <row r="21809">
      <c r="B21809" s="19"/>
      <c r="E21809" s="23"/>
      <c r="L21809" s="23"/>
    </row>
    <row r="21810">
      <c r="B21810" s="19"/>
      <c r="E21810" s="23"/>
      <c r="L21810" s="23"/>
    </row>
    <row r="21811">
      <c r="B21811" s="19"/>
      <c r="E21811" s="23"/>
      <c r="L21811" s="23"/>
    </row>
    <row r="21812">
      <c r="B21812" s="19"/>
      <c r="E21812" s="23"/>
      <c r="L21812" s="23"/>
    </row>
    <row r="21813">
      <c r="B21813" s="19"/>
      <c r="E21813" s="23"/>
      <c r="L21813" s="23"/>
    </row>
    <row r="21814">
      <c r="B21814" s="19"/>
      <c r="E21814" s="23"/>
      <c r="L21814" s="23"/>
    </row>
    <row r="21815">
      <c r="B21815" s="19"/>
      <c r="E21815" s="23"/>
      <c r="L21815" s="23"/>
    </row>
    <row r="21816">
      <c r="B21816" s="19"/>
      <c r="E21816" s="23"/>
      <c r="L21816" s="23"/>
    </row>
    <row r="21817">
      <c r="B21817" s="19"/>
      <c r="E21817" s="23"/>
      <c r="L21817" s="23"/>
    </row>
    <row r="21818">
      <c r="B21818" s="19"/>
      <c r="E21818" s="23"/>
      <c r="L21818" s="23"/>
    </row>
    <row r="21819">
      <c r="B21819" s="19"/>
      <c r="E21819" s="23"/>
      <c r="L21819" s="23"/>
    </row>
    <row r="21820">
      <c r="B21820" s="19"/>
      <c r="E21820" s="23"/>
      <c r="L21820" s="23"/>
    </row>
    <row r="21821">
      <c r="B21821" s="19"/>
      <c r="E21821" s="23"/>
      <c r="L21821" s="23"/>
    </row>
    <row r="21822">
      <c r="B21822" s="19"/>
      <c r="E21822" s="23"/>
      <c r="L21822" s="23"/>
    </row>
    <row r="21823">
      <c r="B21823" s="19"/>
      <c r="E21823" s="23"/>
      <c r="L21823" s="23"/>
    </row>
    <row r="21824">
      <c r="B21824" s="19"/>
      <c r="E21824" s="23"/>
      <c r="L21824" s="23"/>
    </row>
    <row r="21825">
      <c r="B21825" s="19"/>
      <c r="E21825" s="23"/>
      <c r="L21825" s="23"/>
    </row>
    <row r="21826">
      <c r="B21826" s="19"/>
      <c r="E21826" s="23"/>
      <c r="L21826" s="23"/>
    </row>
    <row r="21827">
      <c r="B21827" s="19"/>
      <c r="E21827" s="23"/>
      <c r="L21827" s="23"/>
    </row>
    <row r="21828">
      <c r="B21828" s="19"/>
      <c r="E21828" s="23"/>
      <c r="L21828" s="23"/>
    </row>
    <row r="21829">
      <c r="B21829" s="19"/>
      <c r="E21829" s="23"/>
      <c r="L21829" s="23"/>
    </row>
    <row r="21830">
      <c r="B21830" s="19"/>
      <c r="E21830" s="23"/>
      <c r="L21830" s="23"/>
    </row>
    <row r="21831">
      <c r="B21831" s="19"/>
      <c r="E21831" s="23"/>
      <c r="L21831" s="23"/>
    </row>
    <row r="21832">
      <c r="B21832" s="19"/>
      <c r="E21832" s="23"/>
      <c r="L21832" s="23"/>
    </row>
    <row r="21833">
      <c r="B21833" s="19"/>
      <c r="E21833" s="23"/>
      <c r="L21833" s="23"/>
    </row>
    <row r="21834">
      <c r="B21834" s="19"/>
      <c r="E21834" s="23"/>
      <c r="L21834" s="23"/>
    </row>
    <row r="21835">
      <c r="B21835" s="19"/>
      <c r="E21835" s="23"/>
      <c r="L21835" s="23"/>
    </row>
    <row r="21836">
      <c r="B21836" s="19"/>
      <c r="E21836" s="23"/>
      <c r="L21836" s="23"/>
    </row>
    <row r="21837">
      <c r="B21837" s="19"/>
      <c r="E21837" s="23"/>
      <c r="L21837" s="23"/>
    </row>
    <row r="21838">
      <c r="B21838" s="19"/>
      <c r="E21838" s="23"/>
      <c r="L21838" s="23"/>
    </row>
    <row r="21839">
      <c r="B21839" s="19"/>
      <c r="E21839" s="23"/>
      <c r="L21839" s="23"/>
    </row>
    <row r="21840">
      <c r="B21840" s="19"/>
      <c r="E21840" s="23"/>
      <c r="L21840" s="23"/>
    </row>
    <row r="21841">
      <c r="B21841" s="19"/>
      <c r="E21841" s="23"/>
      <c r="L21841" s="23"/>
    </row>
    <row r="21842">
      <c r="B21842" s="19"/>
      <c r="E21842" s="23"/>
      <c r="L21842" s="23"/>
    </row>
    <row r="21843">
      <c r="B21843" s="19"/>
      <c r="E21843" s="23"/>
      <c r="L21843" s="23"/>
    </row>
    <row r="21844">
      <c r="B21844" s="19"/>
      <c r="E21844" s="23"/>
      <c r="L21844" s="23"/>
    </row>
    <row r="21845">
      <c r="B21845" s="19"/>
      <c r="E21845" s="23"/>
      <c r="L21845" s="23"/>
    </row>
    <row r="21846">
      <c r="B21846" s="19"/>
      <c r="E21846" s="23"/>
      <c r="L21846" s="23"/>
    </row>
    <row r="21847">
      <c r="B21847" s="19"/>
      <c r="E21847" s="23"/>
      <c r="L21847" s="23"/>
    </row>
    <row r="21848">
      <c r="B21848" s="19"/>
      <c r="E21848" s="23"/>
      <c r="L21848" s="23"/>
    </row>
    <row r="21849">
      <c r="B21849" s="19"/>
      <c r="E21849" s="23"/>
      <c r="L21849" s="23"/>
    </row>
    <row r="21850">
      <c r="B21850" s="19"/>
      <c r="E21850" s="23"/>
      <c r="L21850" s="23"/>
    </row>
    <row r="21851">
      <c r="B21851" s="19"/>
      <c r="E21851" s="23"/>
      <c r="L21851" s="23"/>
    </row>
    <row r="21852">
      <c r="B21852" s="19"/>
      <c r="E21852" s="23"/>
      <c r="L21852" s="23"/>
    </row>
    <row r="21853">
      <c r="B21853" s="19"/>
      <c r="E21853" s="23"/>
      <c r="L21853" s="23"/>
    </row>
    <row r="21854">
      <c r="B21854" s="19"/>
      <c r="E21854" s="23"/>
      <c r="L21854" s="23"/>
    </row>
    <row r="21855">
      <c r="B21855" s="19"/>
      <c r="E21855" s="23"/>
      <c r="L21855" s="23"/>
    </row>
    <row r="21856">
      <c r="B21856" s="19"/>
      <c r="E21856" s="23"/>
      <c r="L21856" s="23"/>
    </row>
    <row r="21857">
      <c r="B21857" s="19"/>
      <c r="E21857" s="23"/>
      <c r="L21857" s="23"/>
    </row>
    <row r="21858">
      <c r="B21858" s="19"/>
      <c r="E21858" s="23"/>
      <c r="L21858" s="23"/>
    </row>
    <row r="21859">
      <c r="B21859" s="19"/>
      <c r="E21859" s="23"/>
      <c r="L21859" s="23"/>
    </row>
    <row r="21860">
      <c r="B21860" s="19"/>
      <c r="E21860" s="23"/>
      <c r="L21860" s="23"/>
    </row>
    <row r="21861">
      <c r="B21861" s="19"/>
      <c r="E21861" s="23"/>
      <c r="L21861" s="23"/>
    </row>
    <row r="21862">
      <c r="B21862" s="19"/>
      <c r="E21862" s="23"/>
      <c r="L21862" s="23"/>
    </row>
    <row r="21863">
      <c r="B21863" s="19"/>
      <c r="E21863" s="23"/>
      <c r="L21863" s="23"/>
    </row>
    <row r="21864">
      <c r="B21864" s="19"/>
      <c r="E21864" s="23"/>
      <c r="L21864" s="23"/>
    </row>
    <row r="21865">
      <c r="B21865" s="19"/>
      <c r="E21865" s="23"/>
      <c r="L21865" s="23"/>
    </row>
    <row r="21866">
      <c r="B21866" s="19"/>
      <c r="E21866" s="23"/>
      <c r="L21866" s="23"/>
    </row>
    <row r="21867">
      <c r="B21867" s="19"/>
      <c r="E21867" s="23"/>
      <c r="L21867" s="23"/>
    </row>
    <row r="21868">
      <c r="B21868" s="19"/>
      <c r="E21868" s="23"/>
      <c r="L21868" s="23"/>
    </row>
    <row r="21869">
      <c r="B21869" s="19"/>
      <c r="E21869" s="23"/>
      <c r="L21869" s="23"/>
    </row>
    <row r="21870">
      <c r="B21870" s="19"/>
      <c r="E21870" s="23"/>
      <c r="L21870" s="23"/>
    </row>
    <row r="21871">
      <c r="B21871" s="19"/>
      <c r="E21871" s="23"/>
      <c r="L21871" s="23"/>
    </row>
    <row r="21872">
      <c r="B21872" s="19"/>
      <c r="E21872" s="23"/>
      <c r="L21872" s="23"/>
    </row>
    <row r="21873">
      <c r="B21873" s="19"/>
      <c r="E21873" s="23"/>
      <c r="L21873" s="23"/>
    </row>
    <row r="21874">
      <c r="B21874" s="19"/>
      <c r="E21874" s="23"/>
      <c r="L21874" s="23"/>
    </row>
    <row r="21875">
      <c r="B21875" s="19"/>
      <c r="E21875" s="23"/>
      <c r="L21875" s="23"/>
    </row>
    <row r="21876">
      <c r="B21876" s="19"/>
      <c r="E21876" s="23"/>
      <c r="L21876" s="23"/>
    </row>
    <row r="21877">
      <c r="B21877" s="19"/>
      <c r="E21877" s="23"/>
      <c r="L21877" s="23"/>
    </row>
    <row r="21878">
      <c r="B21878" s="19"/>
      <c r="E21878" s="23"/>
      <c r="L21878" s="23"/>
    </row>
    <row r="21879">
      <c r="B21879" s="19"/>
      <c r="E21879" s="23"/>
      <c r="L21879" s="23"/>
    </row>
    <row r="21880">
      <c r="B21880" s="19"/>
      <c r="E21880" s="23"/>
      <c r="L21880" s="23"/>
    </row>
    <row r="21881">
      <c r="B21881" s="19"/>
      <c r="E21881" s="23"/>
      <c r="L21881" s="23"/>
    </row>
    <row r="21882">
      <c r="B21882" s="19"/>
      <c r="E21882" s="23"/>
      <c r="L21882" s="23"/>
    </row>
    <row r="21883">
      <c r="B21883" s="19"/>
      <c r="E21883" s="23"/>
      <c r="L21883" s="23"/>
    </row>
    <row r="21884">
      <c r="B21884" s="19"/>
      <c r="E21884" s="23"/>
      <c r="L21884" s="23"/>
    </row>
    <row r="21885">
      <c r="B21885" s="19"/>
      <c r="E21885" s="23"/>
      <c r="L21885" s="23"/>
    </row>
    <row r="21886">
      <c r="B21886" s="19"/>
      <c r="E21886" s="23"/>
      <c r="L21886" s="23"/>
    </row>
    <row r="21887">
      <c r="B21887" s="19"/>
      <c r="E21887" s="23"/>
      <c r="L21887" s="23"/>
    </row>
    <row r="21888">
      <c r="B21888" s="19"/>
      <c r="E21888" s="23"/>
      <c r="L21888" s="23"/>
    </row>
    <row r="21889">
      <c r="B21889" s="19"/>
      <c r="E21889" s="23"/>
      <c r="L21889" s="23"/>
    </row>
    <row r="21890">
      <c r="B21890" s="19"/>
      <c r="E21890" s="23"/>
      <c r="L21890" s="23"/>
    </row>
    <row r="21891">
      <c r="B21891" s="19"/>
      <c r="E21891" s="23"/>
      <c r="L21891" s="23"/>
    </row>
    <row r="21892">
      <c r="B21892" s="19"/>
      <c r="E21892" s="23"/>
      <c r="L21892" s="23"/>
    </row>
    <row r="21893">
      <c r="B21893" s="19"/>
      <c r="E21893" s="23"/>
      <c r="L21893" s="23"/>
    </row>
    <row r="21894">
      <c r="B21894" s="19"/>
      <c r="E21894" s="23"/>
      <c r="L21894" s="23"/>
    </row>
    <row r="21895">
      <c r="B21895" s="19"/>
      <c r="E21895" s="23"/>
      <c r="L21895" s="23"/>
    </row>
    <row r="21896">
      <c r="B21896" s="19"/>
      <c r="E21896" s="23"/>
      <c r="L21896" s="23"/>
    </row>
    <row r="21897">
      <c r="B21897" s="19"/>
      <c r="E21897" s="23"/>
      <c r="L21897" s="23"/>
    </row>
    <row r="21898">
      <c r="B21898" s="19"/>
      <c r="E21898" s="23"/>
      <c r="L21898" s="23"/>
    </row>
    <row r="21899">
      <c r="B21899" s="19"/>
      <c r="E21899" s="23"/>
      <c r="L21899" s="23"/>
    </row>
    <row r="21900">
      <c r="B21900" s="19"/>
      <c r="E21900" s="23"/>
      <c r="L21900" s="23"/>
    </row>
    <row r="21901">
      <c r="B21901" s="19"/>
      <c r="E21901" s="23"/>
      <c r="L21901" s="23"/>
    </row>
    <row r="21902">
      <c r="B21902" s="19"/>
      <c r="E21902" s="23"/>
      <c r="L21902" s="23"/>
    </row>
    <row r="21903">
      <c r="B21903" s="19"/>
      <c r="E21903" s="23"/>
      <c r="L21903" s="23"/>
    </row>
    <row r="21904">
      <c r="B21904" s="19"/>
      <c r="E21904" s="23"/>
      <c r="L21904" s="23"/>
    </row>
    <row r="21905">
      <c r="B21905" s="19"/>
      <c r="E21905" s="23"/>
      <c r="L21905" s="23"/>
    </row>
    <row r="21906">
      <c r="B21906" s="19"/>
      <c r="E21906" s="23"/>
      <c r="L21906" s="23"/>
    </row>
    <row r="21907">
      <c r="B21907" s="19"/>
      <c r="E21907" s="23"/>
      <c r="L21907" s="23"/>
    </row>
    <row r="21908">
      <c r="B21908" s="19"/>
      <c r="E21908" s="23"/>
      <c r="L21908" s="23"/>
    </row>
    <row r="21909">
      <c r="B21909" s="19"/>
      <c r="E21909" s="23"/>
      <c r="L21909" s="23"/>
    </row>
    <row r="21910">
      <c r="B21910" s="19"/>
      <c r="E21910" s="23"/>
      <c r="L21910" s="23"/>
    </row>
    <row r="21911">
      <c r="B21911" s="19"/>
      <c r="E21911" s="23"/>
      <c r="L21911" s="23"/>
    </row>
    <row r="21912">
      <c r="B21912" s="19"/>
      <c r="E21912" s="23"/>
      <c r="L21912" s="23"/>
    </row>
    <row r="21913">
      <c r="B21913" s="19"/>
      <c r="E21913" s="23"/>
      <c r="L21913" s="23"/>
    </row>
    <row r="21914">
      <c r="B21914" s="19"/>
      <c r="E21914" s="23"/>
      <c r="L21914" s="23"/>
    </row>
    <row r="21915">
      <c r="B21915" s="19"/>
      <c r="E21915" s="23"/>
      <c r="L21915" s="23"/>
    </row>
    <row r="21916">
      <c r="B21916" s="19"/>
      <c r="E21916" s="23"/>
      <c r="L21916" s="23"/>
    </row>
    <row r="21917">
      <c r="B21917" s="19"/>
      <c r="E21917" s="23"/>
      <c r="L21917" s="23"/>
    </row>
    <row r="21918">
      <c r="B21918" s="19"/>
      <c r="E21918" s="23"/>
      <c r="L21918" s="23"/>
    </row>
    <row r="21919">
      <c r="B21919" s="19"/>
      <c r="E21919" s="23"/>
      <c r="L21919" s="23"/>
    </row>
    <row r="21920">
      <c r="B21920" s="19"/>
      <c r="E21920" s="23"/>
      <c r="L21920" s="23"/>
    </row>
    <row r="21921">
      <c r="B21921" s="19"/>
      <c r="E21921" s="23"/>
      <c r="L21921" s="23"/>
    </row>
    <row r="21922">
      <c r="B21922" s="19"/>
      <c r="E21922" s="23"/>
      <c r="L21922" s="23"/>
    </row>
    <row r="21923">
      <c r="B21923" s="19"/>
      <c r="E21923" s="23"/>
      <c r="L21923" s="23"/>
    </row>
    <row r="21924">
      <c r="B21924" s="19"/>
      <c r="E21924" s="23"/>
      <c r="L21924" s="23"/>
    </row>
    <row r="21925">
      <c r="B21925" s="19"/>
      <c r="E21925" s="23"/>
      <c r="L21925" s="23"/>
    </row>
    <row r="21926">
      <c r="B21926" s="19"/>
      <c r="E21926" s="23"/>
      <c r="L21926" s="23"/>
    </row>
    <row r="21927">
      <c r="B21927" s="19"/>
      <c r="E21927" s="23"/>
      <c r="L21927" s="23"/>
    </row>
    <row r="21928">
      <c r="B21928" s="19"/>
      <c r="E21928" s="23"/>
      <c r="L21928" s="23"/>
    </row>
    <row r="21929">
      <c r="B21929" s="19"/>
      <c r="E21929" s="23"/>
      <c r="L21929" s="23"/>
    </row>
    <row r="21930">
      <c r="B21930" s="19"/>
      <c r="E21930" s="23"/>
      <c r="L21930" s="23"/>
    </row>
    <row r="21931">
      <c r="B21931" s="19"/>
      <c r="E21931" s="23"/>
      <c r="L21931" s="23"/>
    </row>
    <row r="21932">
      <c r="B21932" s="19"/>
      <c r="E21932" s="23"/>
      <c r="L21932" s="23"/>
    </row>
    <row r="21933">
      <c r="B21933" s="19"/>
      <c r="E21933" s="23"/>
      <c r="L21933" s="23"/>
    </row>
    <row r="21934">
      <c r="B21934" s="19"/>
      <c r="E21934" s="23"/>
      <c r="L21934" s="23"/>
    </row>
    <row r="21935">
      <c r="B21935" s="19"/>
      <c r="E21935" s="23"/>
      <c r="L21935" s="23"/>
    </row>
    <row r="21936">
      <c r="B21936" s="19"/>
      <c r="E21936" s="23"/>
      <c r="L21936" s="23"/>
    </row>
    <row r="21937">
      <c r="B21937" s="19"/>
      <c r="E21937" s="23"/>
      <c r="L21937" s="23"/>
    </row>
    <row r="21938">
      <c r="B21938" s="19"/>
      <c r="E21938" s="23"/>
      <c r="L21938" s="23"/>
    </row>
    <row r="21939">
      <c r="B21939" s="19"/>
      <c r="E21939" s="23"/>
      <c r="L21939" s="23"/>
    </row>
    <row r="21940">
      <c r="B21940" s="19"/>
      <c r="E21940" s="23"/>
      <c r="L21940" s="23"/>
    </row>
    <row r="21941">
      <c r="B21941" s="19"/>
      <c r="E21941" s="23"/>
      <c r="L21941" s="23"/>
    </row>
    <row r="21942">
      <c r="B21942" s="19"/>
      <c r="E21942" s="23"/>
      <c r="L21942" s="23"/>
    </row>
    <row r="21943">
      <c r="B21943" s="19"/>
      <c r="E21943" s="23"/>
      <c r="L21943" s="23"/>
    </row>
    <row r="21944">
      <c r="B21944" s="19"/>
      <c r="E21944" s="23"/>
      <c r="L21944" s="23"/>
    </row>
    <row r="21945">
      <c r="B21945" s="19"/>
      <c r="E21945" s="23"/>
      <c r="L21945" s="23"/>
    </row>
    <row r="21946">
      <c r="B21946" s="19"/>
      <c r="E21946" s="23"/>
      <c r="L21946" s="23"/>
    </row>
    <row r="21947">
      <c r="B21947" s="19"/>
      <c r="E21947" s="23"/>
      <c r="L21947" s="23"/>
    </row>
    <row r="21948">
      <c r="B21948" s="19"/>
      <c r="E21948" s="23"/>
      <c r="L21948" s="23"/>
    </row>
    <row r="21949">
      <c r="B21949" s="19"/>
      <c r="E21949" s="23"/>
      <c r="L21949" s="23"/>
    </row>
    <row r="21950">
      <c r="B21950" s="19"/>
      <c r="E21950" s="23"/>
      <c r="L21950" s="23"/>
    </row>
    <row r="21951">
      <c r="B21951" s="19"/>
      <c r="E21951" s="23"/>
      <c r="L21951" s="23"/>
    </row>
    <row r="21952">
      <c r="B21952" s="19"/>
      <c r="E21952" s="23"/>
      <c r="L21952" s="23"/>
    </row>
    <row r="21953">
      <c r="B21953" s="19"/>
      <c r="E21953" s="23"/>
      <c r="L21953" s="23"/>
    </row>
    <row r="21954">
      <c r="B21954" s="19"/>
      <c r="E21954" s="23"/>
      <c r="L21954" s="23"/>
    </row>
    <row r="21955">
      <c r="B21955" s="19"/>
      <c r="E21955" s="23"/>
      <c r="L21955" s="23"/>
    </row>
    <row r="21956">
      <c r="B21956" s="19"/>
      <c r="E21956" s="23"/>
      <c r="L21956" s="23"/>
    </row>
    <row r="21957">
      <c r="B21957" s="19"/>
      <c r="E21957" s="23"/>
      <c r="L21957" s="23"/>
    </row>
    <row r="21958">
      <c r="B21958" s="19"/>
      <c r="E21958" s="23"/>
      <c r="L21958" s="23"/>
    </row>
    <row r="21959">
      <c r="B21959" s="19"/>
      <c r="E21959" s="23"/>
      <c r="L21959" s="23"/>
    </row>
    <row r="21960">
      <c r="B21960" s="19"/>
      <c r="E21960" s="23"/>
      <c r="L21960" s="23"/>
    </row>
    <row r="21961">
      <c r="B21961" s="19"/>
      <c r="E21961" s="23"/>
      <c r="L21961" s="23"/>
    </row>
    <row r="21962">
      <c r="B21962" s="19"/>
      <c r="E21962" s="23"/>
      <c r="L21962" s="23"/>
    </row>
    <row r="21963">
      <c r="B21963" s="19"/>
      <c r="E21963" s="23"/>
      <c r="L21963" s="23"/>
    </row>
    <row r="21964">
      <c r="B21964" s="19"/>
      <c r="E21964" s="23"/>
      <c r="L21964" s="23"/>
    </row>
    <row r="21965">
      <c r="B21965" s="19"/>
      <c r="E21965" s="23"/>
      <c r="L21965" s="23"/>
    </row>
    <row r="21966">
      <c r="B21966" s="19"/>
      <c r="E21966" s="23"/>
      <c r="L21966" s="23"/>
    </row>
    <row r="21967">
      <c r="B21967" s="19"/>
      <c r="E21967" s="23"/>
      <c r="L21967" s="23"/>
    </row>
    <row r="21968">
      <c r="B21968" s="19"/>
      <c r="E21968" s="23"/>
      <c r="L21968" s="23"/>
    </row>
    <row r="21969">
      <c r="B21969" s="19"/>
      <c r="E21969" s="23"/>
      <c r="L21969" s="23"/>
    </row>
    <row r="21970">
      <c r="B21970" s="19"/>
      <c r="E21970" s="23"/>
      <c r="L21970" s="23"/>
    </row>
    <row r="21971">
      <c r="B21971" s="19"/>
      <c r="E21971" s="23"/>
      <c r="L21971" s="23"/>
    </row>
    <row r="21972">
      <c r="B21972" s="19"/>
      <c r="E21972" s="23"/>
      <c r="L21972" s="23"/>
    </row>
    <row r="21973">
      <c r="B21973" s="19"/>
      <c r="E21973" s="23"/>
      <c r="L21973" s="23"/>
    </row>
    <row r="21974">
      <c r="B21974" s="19"/>
      <c r="E21974" s="23"/>
      <c r="L21974" s="23"/>
    </row>
    <row r="21975">
      <c r="B21975" s="19"/>
      <c r="E21975" s="23"/>
      <c r="L21975" s="23"/>
    </row>
    <row r="21976">
      <c r="B21976" s="19"/>
      <c r="E21976" s="23"/>
      <c r="L21976" s="23"/>
    </row>
    <row r="21977">
      <c r="B21977" s="19"/>
      <c r="E21977" s="23"/>
      <c r="L21977" s="23"/>
    </row>
    <row r="21978">
      <c r="B21978" s="19"/>
      <c r="E21978" s="23"/>
      <c r="L21978" s="23"/>
    </row>
    <row r="21979">
      <c r="B21979" s="19"/>
      <c r="E21979" s="23"/>
      <c r="L21979" s="23"/>
    </row>
    <row r="21980">
      <c r="B21980" s="19"/>
      <c r="E21980" s="23"/>
      <c r="L21980" s="23"/>
    </row>
    <row r="21981">
      <c r="B21981" s="19"/>
      <c r="E21981" s="23"/>
      <c r="L21981" s="23"/>
    </row>
    <row r="21982">
      <c r="B21982" s="19"/>
      <c r="E21982" s="23"/>
      <c r="L21982" s="23"/>
    </row>
    <row r="21983">
      <c r="B21983" s="19"/>
      <c r="E21983" s="23"/>
      <c r="L21983" s="23"/>
    </row>
    <row r="21984">
      <c r="B21984" s="19"/>
      <c r="E21984" s="23"/>
      <c r="L21984" s="23"/>
    </row>
    <row r="21985">
      <c r="B21985" s="19"/>
      <c r="E21985" s="23"/>
      <c r="L21985" s="23"/>
    </row>
    <row r="21986">
      <c r="B21986" s="19"/>
      <c r="E21986" s="23"/>
      <c r="L21986" s="23"/>
    </row>
    <row r="21987">
      <c r="B21987" s="19"/>
      <c r="E21987" s="23"/>
      <c r="L21987" s="23"/>
    </row>
    <row r="21988">
      <c r="B21988" s="19"/>
      <c r="E21988" s="23"/>
      <c r="L21988" s="23"/>
    </row>
    <row r="21989">
      <c r="B21989" s="19"/>
      <c r="E21989" s="23"/>
      <c r="L21989" s="23"/>
    </row>
    <row r="21990">
      <c r="B21990" s="19"/>
      <c r="E21990" s="23"/>
      <c r="L21990" s="23"/>
    </row>
    <row r="21991">
      <c r="B21991" s="19"/>
      <c r="E21991" s="23"/>
      <c r="L21991" s="23"/>
    </row>
    <row r="21992">
      <c r="B21992" s="19"/>
      <c r="E21992" s="23"/>
      <c r="L21992" s="23"/>
    </row>
    <row r="21993">
      <c r="B21993" s="19"/>
      <c r="E21993" s="23"/>
      <c r="L21993" s="23"/>
    </row>
    <row r="21994">
      <c r="B21994" s="19"/>
      <c r="E21994" s="23"/>
      <c r="L21994" s="23"/>
    </row>
    <row r="21995">
      <c r="B21995" s="19"/>
      <c r="E21995" s="23"/>
      <c r="L21995" s="23"/>
    </row>
    <row r="21996">
      <c r="B21996" s="19"/>
      <c r="E21996" s="23"/>
      <c r="L21996" s="23"/>
    </row>
    <row r="21997">
      <c r="B21997" s="19"/>
      <c r="E21997" s="23"/>
      <c r="L21997" s="23"/>
    </row>
    <row r="21998">
      <c r="B21998" s="19"/>
      <c r="E21998" s="23"/>
      <c r="L21998" s="23"/>
    </row>
    <row r="21999">
      <c r="B21999" s="19"/>
      <c r="E21999" s="23"/>
      <c r="L21999" s="23"/>
    </row>
    <row r="22000">
      <c r="B22000" s="19"/>
      <c r="E22000" s="23"/>
      <c r="L22000" s="23"/>
    </row>
    <row r="22001">
      <c r="B22001" s="19"/>
      <c r="E22001" s="23"/>
      <c r="L22001" s="23"/>
    </row>
    <row r="22002">
      <c r="B22002" s="19"/>
      <c r="E22002" s="23"/>
      <c r="L22002" s="23"/>
    </row>
    <row r="22003">
      <c r="B22003" s="19"/>
      <c r="E22003" s="23"/>
      <c r="L22003" s="23"/>
    </row>
    <row r="22004">
      <c r="B22004" s="19"/>
      <c r="E22004" s="23"/>
      <c r="L22004" s="23"/>
    </row>
    <row r="22005">
      <c r="B22005" s="19"/>
      <c r="E22005" s="23"/>
      <c r="L22005" s="23"/>
    </row>
    <row r="22006">
      <c r="B22006" s="19"/>
      <c r="E22006" s="23"/>
      <c r="L22006" s="23"/>
    </row>
    <row r="22007">
      <c r="B22007" s="19"/>
      <c r="E22007" s="23"/>
      <c r="L22007" s="23"/>
    </row>
    <row r="22008">
      <c r="B22008" s="19"/>
      <c r="E22008" s="23"/>
      <c r="L22008" s="23"/>
    </row>
    <row r="22009">
      <c r="B22009" s="19"/>
      <c r="E22009" s="23"/>
      <c r="L22009" s="23"/>
    </row>
    <row r="22010">
      <c r="B22010" s="19"/>
      <c r="E22010" s="23"/>
      <c r="L22010" s="23"/>
    </row>
    <row r="22011">
      <c r="B22011" s="19"/>
      <c r="E22011" s="23"/>
      <c r="L22011" s="23"/>
    </row>
    <row r="22012">
      <c r="B22012" s="19"/>
      <c r="E22012" s="23"/>
      <c r="L22012" s="23"/>
    </row>
    <row r="22013">
      <c r="B22013" s="19"/>
      <c r="E22013" s="23"/>
      <c r="L22013" s="23"/>
    </row>
    <row r="22014">
      <c r="B22014" s="19"/>
      <c r="E22014" s="23"/>
      <c r="L22014" s="23"/>
    </row>
    <row r="22015">
      <c r="B22015" s="19"/>
      <c r="E22015" s="23"/>
      <c r="L22015" s="23"/>
    </row>
    <row r="22016">
      <c r="B22016" s="19"/>
      <c r="E22016" s="23"/>
      <c r="L22016" s="23"/>
    </row>
    <row r="22017">
      <c r="B22017" s="19"/>
      <c r="E22017" s="23"/>
      <c r="L22017" s="23"/>
    </row>
    <row r="22018">
      <c r="B22018" s="19"/>
      <c r="E22018" s="23"/>
      <c r="L22018" s="23"/>
    </row>
    <row r="22019">
      <c r="B22019" s="19"/>
      <c r="E22019" s="23"/>
      <c r="L22019" s="23"/>
    </row>
    <row r="22020">
      <c r="B22020" s="19"/>
      <c r="E22020" s="23"/>
      <c r="L22020" s="23"/>
    </row>
    <row r="22021">
      <c r="B22021" s="19"/>
      <c r="E22021" s="23"/>
      <c r="L22021" s="23"/>
    </row>
    <row r="22022">
      <c r="B22022" s="19"/>
      <c r="E22022" s="23"/>
      <c r="L22022" s="23"/>
    </row>
    <row r="22023">
      <c r="B22023" s="19"/>
      <c r="E22023" s="23"/>
      <c r="L22023" s="23"/>
    </row>
    <row r="22024">
      <c r="B22024" s="19"/>
      <c r="E22024" s="23"/>
      <c r="L22024" s="23"/>
    </row>
    <row r="22025">
      <c r="B22025" s="19"/>
      <c r="E22025" s="23"/>
      <c r="L22025" s="23"/>
    </row>
    <row r="22026">
      <c r="B22026" s="19"/>
      <c r="E22026" s="23"/>
      <c r="L22026" s="23"/>
    </row>
    <row r="22027">
      <c r="B22027" s="19"/>
      <c r="E22027" s="23"/>
      <c r="L22027" s="23"/>
    </row>
    <row r="22028">
      <c r="B22028" s="19"/>
      <c r="E22028" s="23"/>
      <c r="L22028" s="23"/>
    </row>
    <row r="22029">
      <c r="B22029" s="19"/>
      <c r="E22029" s="23"/>
      <c r="L22029" s="23"/>
    </row>
    <row r="22030">
      <c r="B22030" s="19"/>
      <c r="E22030" s="23"/>
      <c r="L22030" s="23"/>
    </row>
    <row r="22031">
      <c r="B22031" s="19"/>
      <c r="E22031" s="23"/>
      <c r="L22031" s="23"/>
    </row>
    <row r="22032">
      <c r="B22032" s="19"/>
      <c r="E22032" s="23"/>
      <c r="L22032" s="23"/>
    </row>
    <row r="22033">
      <c r="B22033" s="19"/>
      <c r="E22033" s="23"/>
      <c r="L22033" s="23"/>
    </row>
    <row r="22034">
      <c r="B22034" s="19"/>
      <c r="E22034" s="23"/>
      <c r="L22034" s="23"/>
    </row>
    <row r="22035">
      <c r="B22035" s="19"/>
      <c r="E22035" s="23"/>
      <c r="L22035" s="23"/>
    </row>
    <row r="22036">
      <c r="B22036" s="19"/>
      <c r="E22036" s="23"/>
      <c r="L22036" s="23"/>
    </row>
    <row r="22037">
      <c r="B22037" s="19"/>
      <c r="E22037" s="23"/>
      <c r="L22037" s="23"/>
    </row>
    <row r="22038">
      <c r="B22038" s="19"/>
      <c r="E22038" s="23"/>
      <c r="L22038" s="23"/>
    </row>
    <row r="22039">
      <c r="B22039" s="19"/>
      <c r="E22039" s="23"/>
      <c r="L22039" s="23"/>
    </row>
    <row r="22040">
      <c r="B22040" s="19"/>
      <c r="E22040" s="23"/>
      <c r="L22040" s="23"/>
    </row>
    <row r="22041">
      <c r="B22041" s="19"/>
      <c r="E22041" s="23"/>
      <c r="L22041" s="23"/>
    </row>
    <row r="22042">
      <c r="B22042" s="19"/>
      <c r="E22042" s="23"/>
      <c r="L22042" s="23"/>
    </row>
    <row r="22043">
      <c r="B22043" s="19"/>
      <c r="E22043" s="23"/>
      <c r="L22043" s="23"/>
    </row>
    <row r="22044">
      <c r="B22044" s="19"/>
      <c r="E22044" s="23"/>
      <c r="L22044" s="23"/>
    </row>
    <row r="22045">
      <c r="B22045" s="19"/>
      <c r="E22045" s="23"/>
      <c r="L22045" s="23"/>
    </row>
    <row r="22046">
      <c r="B22046" s="19"/>
      <c r="E22046" s="23"/>
      <c r="L22046" s="23"/>
    </row>
    <row r="22047">
      <c r="B22047" s="19"/>
      <c r="E22047" s="23"/>
      <c r="L22047" s="23"/>
    </row>
    <row r="22048">
      <c r="B22048" s="19"/>
      <c r="E22048" s="23"/>
      <c r="L22048" s="23"/>
    </row>
    <row r="22049">
      <c r="B22049" s="19"/>
      <c r="E22049" s="23"/>
      <c r="L22049" s="23"/>
    </row>
    <row r="22050">
      <c r="B22050" s="19"/>
      <c r="E22050" s="23"/>
      <c r="L22050" s="23"/>
    </row>
    <row r="22051">
      <c r="B22051" s="19"/>
      <c r="E22051" s="23"/>
      <c r="L22051" s="23"/>
    </row>
    <row r="22052">
      <c r="B22052" s="19"/>
      <c r="E22052" s="23"/>
      <c r="L22052" s="23"/>
    </row>
    <row r="22053">
      <c r="B22053" s="19"/>
      <c r="E22053" s="23"/>
      <c r="L22053" s="23"/>
    </row>
    <row r="22054">
      <c r="B22054" s="19"/>
      <c r="E22054" s="23"/>
      <c r="L22054" s="23"/>
    </row>
    <row r="22055">
      <c r="B22055" s="19"/>
      <c r="E22055" s="23"/>
      <c r="L22055" s="23"/>
    </row>
    <row r="22056">
      <c r="B22056" s="19"/>
      <c r="E22056" s="23"/>
      <c r="L22056" s="23"/>
    </row>
    <row r="22057">
      <c r="B22057" s="19"/>
      <c r="E22057" s="23"/>
      <c r="L22057" s="23"/>
    </row>
    <row r="22058">
      <c r="B22058" s="19"/>
      <c r="E22058" s="23"/>
      <c r="L22058" s="23"/>
    </row>
    <row r="22059">
      <c r="B22059" s="19"/>
      <c r="E22059" s="23"/>
      <c r="L22059" s="23"/>
    </row>
    <row r="22060">
      <c r="B22060" s="19"/>
      <c r="E22060" s="23"/>
      <c r="L22060" s="23"/>
    </row>
    <row r="22061">
      <c r="B22061" s="19"/>
      <c r="E22061" s="23"/>
      <c r="L22061" s="23"/>
    </row>
    <row r="22062">
      <c r="B22062" s="19"/>
      <c r="E22062" s="23"/>
      <c r="L22062" s="23"/>
    </row>
    <row r="22063">
      <c r="B22063" s="19"/>
      <c r="E22063" s="23"/>
      <c r="L22063" s="23"/>
    </row>
    <row r="22064">
      <c r="B22064" s="19"/>
      <c r="E22064" s="23"/>
      <c r="L22064" s="23"/>
    </row>
    <row r="22065">
      <c r="B22065" s="19"/>
      <c r="E22065" s="23"/>
      <c r="L22065" s="23"/>
    </row>
    <row r="22066">
      <c r="B22066" s="19"/>
      <c r="E22066" s="23"/>
      <c r="L22066" s="23"/>
    </row>
    <row r="22067">
      <c r="B22067" s="19"/>
      <c r="E22067" s="23"/>
      <c r="L22067" s="23"/>
    </row>
    <row r="22068">
      <c r="B22068" s="19"/>
      <c r="E22068" s="23"/>
      <c r="L22068" s="23"/>
    </row>
    <row r="22069">
      <c r="B22069" s="19"/>
      <c r="E22069" s="23"/>
      <c r="L22069" s="23"/>
    </row>
    <row r="22070">
      <c r="B22070" s="19"/>
      <c r="E22070" s="23"/>
      <c r="L22070" s="23"/>
    </row>
    <row r="22071">
      <c r="B22071" s="19"/>
      <c r="E22071" s="23"/>
      <c r="L22071" s="23"/>
    </row>
    <row r="22072">
      <c r="B22072" s="19"/>
      <c r="E22072" s="23"/>
      <c r="L22072" s="23"/>
    </row>
    <row r="22073">
      <c r="B22073" s="19"/>
      <c r="E22073" s="23"/>
      <c r="L22073" s="23"/>
    </row>
    <row r="22074">
      <c r="B22074" s="19"/>
      <c r="E22074" s="23"/>
      <c r="L22074" s="23"/>
    </row>
    <row r="22075">
      <c r="B22075" s="19"/>
      <c r="E22075" s="23"/>
      <c r="L22075" s="23"/>
    </row>
    <row r="22076">
      <c r="B22076" s="19"/>
      <c r="E22076" s="23"/>
      <c r="L22076" s="23"/>
    </row>
    <row r="22077">
      <c r="B22077" s="19"/>
      <c r="E22077" s="23"/>
      <c r="L22077" s="23"/>
    </row>
    <row r="22078">
      <c r="B22078" s="19"/>
      <c r="E22078" s="23"/>
      <c r="L22078" s="23"/>
    </row>
    <row r="22079">
      <c r="B22079" s="19"/>
      <c r="E22079" s="23"/>
      <c r="L22079" s="23"/>
    </row>
    <row r="22080">
      <c r="B22080" s="19"/>
      <c r="E22080" s="23"/>
      <c r="L22080" s="23"/>
    </row>
    <row r="22081">
      <c r="B22081" s="19"/>
      <c r="E22081" s="23"/>
      <c r="L22081" s="23"/>
    </row>
    <row r="22082">
      <c r="B22082" s="19"/>
      <c r="E22082" s="23"/>
      <c r="L22082" s="23"/>
    </row>
    <row r="22083">
      <c r="B22083" s="19"/>
      <c r="E22083" s="23"/>
      <c r="L22083" s="23"/>
    </row>
    <row r="22084">
      <c r="B22084" s="19"/>
      <c r="E22084" s="23"/>
      <c r="L22084" s="23"/>
    </row>
    <row r="22085">
      <c r="B22085" s="19"/>
      <c r="E22085" s="23"/>
      <c r="L22085" s="23"/>
    </row>
    <row r="22086">
      <c r="B22086" s="19"/>
      <c r="E22086" s="23"/>
      <c r="L22086" s="23"/>
    </row>
    <row r="22087">
      <c r="B22087" s="19"/>
      <c r="E22087" s="23"/>
      <c r="L22087" s="23"/>
    </row>
    <row r="22088">
      <c r="B22088" s="19"/>
      <c r="E22088" s="23"/>
      <c r="L22088" s="23"/>
    </row>
    <row r="22089">
      <c r="B22089" s="19"/>
      <c r="E22089" s="23"/>
      <c r="L22089" s="23"/>
    </row>
    <row r="22090">
      <c r="B22090" s="19"/>
      <c r="E22090" s="23"/>
      <c r="L22090" s="23"/>
    </row>
    <row r="22091">
      <c r="B22091" s="19"/>
      <c r="E22091" s="23"/>
      <c r="L22091" s="23"/>
    </row>
    <row r="22092">
      <c r="B22092" s="19"/>
      <c r="E22092" s="23"/>
      <c r="L22092" s="23"/>
    </row>
    <row r="22093">
      <c r="B22093" s="19"/>
      <c r="E22093" s="23"/>
      <c r="L22093" s="23"/>
    </row>
    <row r="22094">
      <c r="B22094" s="19"/>
      <c r="E22094" s="23"/>
      <c r="L22094" s="23"/>
    </row>
    <row r="22095">
      <c r="B22095" s="19"/>
      <c r="E22095" s="23"/>
      <c r="L22095" s="23"/>
    </row>
    <row r="22096">
      <c r="B22096" s="19"/>
      <c r="E22096" s="23"/>
      <c r="L22096" s="23"/>
    </row>
    <row r="22097">
      <c r="B22097" s="19"/>
      <c r="E22097" s="23"/>
      <c r="L22097" s="23"/>
    </row>
    <row r="22098">
      <c r="B22098" s="19"/>
      <c r="E22098" s="23"/>
      <c r="L22098" s="23"/>
    </row>
    <row r="22099">
      <c r="B22099" s="19"/>
      <c r="E22099" s="23"/>
      <c r="L22099" s="23"/>
    </row>
    <row r="22100">
      <c r="B22100" s="19"/>
      <c r="E22100" s="23"/>
      <c r="L22100" s="23"/>
    </row>
    <row r="22101">
      <c r="B22101" s="19"/>
      <c r="E22101" s="23"/>
      <c r="L22101" s="23"/>
    </row>
    <row r="22102">
      <c r="B22102" s="19"/>
      <c r="E22102" s="23"/>
      <c r="L22102" s="23"/>
    </row>
    <row r="22103">
      <c r="B22103" s="19"/>
      <c r="E22103" s="23"/>
      <c r="L22103" s="23"/>
    </row>
    <row r="22104">
      <c r="B22104" s="19"/>
      <c r="E22104" s="23"/>
      <c r="L22104" s="23"/>
    </row>
    <row r="22105">
      <c r="B22105" s="19"/>
      <c r="E22105" s="23"/>
      <c r="L22105" s="23"/>
    </row>
    <row r="22106">
      <c r="B22106" s="19"/>
      <c r="E22106" s="23"/>
      <c r="L22106" s="23"/>
    </row>
    <row r="22107">
      <c r="B22107" s="19"/>
      <c r="E22107" s="23"/>
      <c r="L22107" s="23"/>
    </row>
    <row r="22108">
      <c r="B22108" s="19"/>
      <c r="E22108" s="23"/>
      <c r="L22108" s="23"/>
    </row>
    <row r="22109">
      <c r="B22109" s="19"/>
      <c r="E22109" s="23"/>
      <c r="L22109" s="23"/>
    </row>
    <row r="22110">
      <c r="B22110" s="19"/>
      <c r="E22110" s="23"/>
      <c r="L22110" s="23"/>
    </row>
    <row r="22111">
      <c r="B22111" s="19"/>
      <c r="E22111" s="23"/>
      <c r="L22111" s="23"/>
    </row>
    <row r="22112">
      <c r="B22112" s="19"/>
      <c r="E22112" s="23"/>
      <c r="L22112" s="23"/>
    </row>
    <row r="22113">
      <c r="B22113" s="19"/>
      <c r="E22113" s="23"/>
      <c r="L22113" s="23"/>
    </row>
    <row r="22114">
      <c r="B22114" s="19"/>
      <c r="E22114" s="23"/>
      <c r="L22114" s="23"/>
    </row>
    <row r="22115">
      <c r="B22115" s="19"/>
      <c r="E22115" s="23"/>
      <c r="L22115" s="23"/>
    </row>
    <row r="22116">
      <c r="B22116" s="19"/>
      <c r="E22116" s="23"/>
      <c r="L22116" s="23"/>
    </row>
    <row r="22117">
      <c r="B22117" s="19"/>
      <c r="E22117" s="23"/>
      <c r="L22117" s="23"/>
    </row>
    <row r="22118">
      <c r="B22118" s="19"/>
      <c r="E22118" s="23"/>
      <c r="L22118" s="23"/>
    </row>
    <row r="22119">
      <c r="B22119" s="19"/>
      <c r="E22119" s="23"/>
      <c r="L22119" s="23"/>
    </row>
    <row r="22120">
      <c r="B22120" s="19"/>
      <c r="E22120" s="23"/>
      <c r="L22120" s="23"/>
    </row>
    <row r="22121">
      <c r="B22121" s="19"/>
      <c r="E22121" s="23"/>
      <c r="L22121" s="23"/>
    </row>
    <row r="22122">
      <c r="B22122" s="19"/>
      <c r="E22122" s="23"/>
      <c r="L22122" s="23"/>
    </row>
    <row r="22123">
      <c r="B22123" s="19"/>
      <c r="E22123" s="23"/>
      <c r="L22123" s="23"/>
    </row>
    <row r="22124">
      <c r="B22124" s="19"/>
      <c r="E22124" s="23"/>
      <c r="L22124" s="23"/>
    </row>
    <row r="22125">
      <c r="B22125" s="19"/>
      <c r="E22125" s="23"/>
      <c r="L22125" s="23"/>
    </row>
    <row r="22126">
      <c r="B22126" s="19"/>
      <c r="E22126" s="23"/>
      <c r="L22126" s="23"/>
    </row>
    <row r="22127">
      <c r="B22127" s="19"/>
      <c r="E22127" s="23"/>
      <c r="L22127" s="23"/>
    </row>
    <row r="22128">
      <c r="B22128" s="19"/>
      <c r="E22128" s="23"/>
      <c r="L22128" s="23"/>
    </row>
    <row r="22129">
      <c r="B22129" s="19"/>
      <c r="E22129" s="23"/>
      <c r="L22129" s="23"/>
    </row>
    <row r="22130">
      <c r="B22130" s="19"/>
      <c r="E22130" s="23"/>
      <c r="L22130" s="23"/>
    </row>
    <row r="22131">
      <c r="B22131" s="19"/>
      <c r="E22131" s="23"/>
      <c r="L22131" s="23"/>
    </row>
    <row r="22132">
      <c r="B22132" s="19"/>
      <c r="E22132" s="23"/>
      <c r="L22132" s="23"/>
    </row>
    <row r="22133">
      <c r="B22133" s="19"/>
      <c r="E22133" s="23"/>
      <c r="L22133" s="23"/>
    </row>
    <row r="22134">
      <c r="B22134" s="19"/>
      <c r="E22134" s="23"/>
      <c r="L22134" s="23"/>
    </row>
    <row r="22135">
      <c r="B22135" s="19"/>
      <c r="E22135" s="23"/>
      <c r="L22135" s="23"/>
    </row>
    <row r="22136">
      <c r="B22136" s="19"/>
      <c r="E22136" s="23"/>
      <c r="L22136" s="23"/>
    </row>
    <row r="22137">
      <c r="B22137" s="19"/>
      <c r="E22137" s="23"/>
      <c r="L22137" s="23"/>
    </row>
    <row r="22138">
      <c r="B22138" s="19"/>
      <c r="E22138" s="23"/>
      <c r="L22138" s="23"/>
    </row>
    <row r="22139">
      <c r="B22139" s="19"/>
      <c r="E22139" s="23"/>
      <c r="L22139" s="23"/>
    </row>
    <row r="22140">
      <c r="B22140" s="19"/>
      <c r="E22140" s="23"/>
      <c r="L22140" s="23"/>
    </row>
    <row r="22141">
      <c r="B22141" s="19"/>
      <c r="E22141" s="23"/>
      <c r="L22141" s="23"/>
    </row>
    <row r="22142">
      <c r="B22142" s="19"/>
      <c r="E22142" s="23"/>
      <c r="L22142" s="23"/>
    </row>
    <row r="22143">
      <c r="B22143" s="19"/>
      <c r="E22143" s="23"/>
      <c r="L22143" s="23"/>
    </row>
    <row r="22144">
      <c r="B22144" s="19"/>
      <c r="E22144" s="23"/>
      <c r="L22144" s="23"/>
    </row>
    <row r="22145">
      <c r="B22145" s="19"/>
      <c r="E22145" s="23"/>
      <c r="L22145" s="23"/>
    </row>
    <row r="22146">
      <c r="B22146" s="19"/>
      <c r="E22146" s="23"/>
      <c r="L22146" s="23"/>
    </row>
    <row r="22147">
      <c r="B22147" s="19"/>
      <c r="E22147" s="23"/>
      <c r="L22147" s="23"/>
    </row>
    <row r="22148">
      <c r="B22148" s="19"/>
      <c r="E22148" s="23"/>
      <c r="L22148" s="23"/>
    </row>
    <row r="22149">
      <c r="B22149" s="19"/>
      <c r="E22149" s="23"/>
      <c r="L22149" s="23"/>
    </row>
    <row r="22150">
      <c r="B22150" s="19"/>
      <c r="E22150" s="23"/>
      <c r="L22150" s="23"/>
    </row>
    <row r="22151">
      <c r="B22151" s="19"/>
      <c r="E22151" s="23"/>
      <c r="L22151" s="23"/>
    </row>
    <row r="22152">
      <c r="B22152" s="19"/>
      <c r="E22152" s="23"/>
      <c r="L22152" s="23"/>
    </row>
    <row r="22153">
      <c r="B22153" s="19"/>
      <c r="E22153" s="23"/>
      <c r="L22153" s="23"/>
    </row>
    <row r="22154">
      <c r="B22154" s="19"/>
      <c r="E22154" s="23"/>
      <c r="L22154" s="23"/>
    </row>
    <row r="22155">
      <c r="B22155" s="19"/>
      <c r="E22155" s="23"/>
      <c r="L22155" s="23"/>
    </row>
    <row r="22156">
      <c r="B22156" s="19"/>
      <c r="E22156" s="23"/>
      <c r="L22156" s="23"/>
    </row>
    <row r="22157">
      <c r="B22157" s="19"/>
      <c r="E22157" s="23"/>
      <c r="L22157" s="23"/>
    </row>
    <row r="22158">
      <c r="B22158" s="19"/>
      <c r="E22158" s="23"/>
      <c r="L22158" s="23"/>
    </row>
    <row r="22159">
      <c r="B22159" s="19"/>
      <c r="E22159" s="23"/>
      <c r="L22159" s="23"/>
    </row>
    <row r="22160">
      <c r="B22160" s="19"/>
      <c r="E22160" s="23"/>
      <c r="L22160" s="23"/>
    </row>
    <row r="22161">
      <c r="B22161" s="19"/>
      <c r="E22161" s="23"/>
      <c r="L22161" s="23"/>
    </row>
    <row r="22162">
      <c r="B22162" s="19"/>
      <c r="E22162" s="23"/>
      <c r="L22162" s="23"/>
    </row>
    <row r="22163">
      <c r="B22163" s="19"/>
      <c r="E22163" s="23"/>
      <c r="L22163" s="23"/>
    </row>
    <row r="22164">
      <c r="B22164" s="19"/>
      <c r="E22164" s="23"/>
      <c r="L22164" s="23"/>
    </row>
    <row r="22165">
      <c r="B22165" s="19"/>
      <c r="E22165" s="23"/>
      <c r="L22165" s="23"/>
    </row>
    <row r="22166">
      <c r="B22166" s="19"/>
      <c r="E22166" s="23"/>
      <c r="L22166" s="23"/>
    </row>
    <row r="22167">
      <c r="B22167" s="19"/>
      <c r="E22167" s="23"/>
      <c r="L22167" s="23"/>
    </row>
    <row r="22168">
      <c r="B22168" s="19"/>
      <c r="E22168" s="23"/>
      <c r="L22168" s="23"/>
    </row>
    <row r="22169">
      <c r="B22169" s="19"/>
      <c r="E22169" s="23"/>
      <c r="L22169" s="23"/>
    </row>
    <row r="22170">
      <c r="B22170" s="19"/>
      <c r="E22170" s="23"/>
      <c r="L22170" s="23"/>
    </row>
    <row r="22171">
      <c r="B22171" s="19"/>
      <c r="E22171" s="23"/>
      <c r="L22171" s="23"/>
    </row>
    <row r="22172">
      <c r="B22172" s="19"/>
      <c r="E22172" s="23"/>
      <c r="L22172" s="23"/>
    </row>
    <row r="22173">
      <c r="B22173" s="19"/>
      <c r="E22173" s="23"/>
      <c r="L22173" s="23"/>
    </row>
    <row r="22174">
      <c r="B22174" s="19"/>
      <c r="E22174" s="23"/>
      <c r="L22174" s="23"/>
    </row>
    <row r="22175">
      <c r="B22175" s="19"/>
      <c r="E22175" s="23"/>
      <c r="L22175" s="23"/>
    </row>
    <row r="22176">
      <c r="B22176" s="19"/>
      <c r="E22176" s="23"/>
      <c r="L22176" s="23"/>
    </row>
    <row r="22177">
      <c r="B22177" s="19"/>
      <c r="E22177" s="23"/>
      <c r="L22177" s="23"/>
    </row>
    <row r="22178">
      <c r="B22178" s="19"/>
      <c r="E22178" s="23"/>
      <c r="L22178" s="23"/>
    </row>
    <row r="22179">
      <c r="B22179" s="19"/>
      <c r="E22179" s="23"/>
      <c r="L22179" s="23"/>
    </row>
    <row r="22180">
      <c r="B22180" s="19"/>
      <c r="E22180" s="23"/>
      <c r="L22180" s="23"/>
    </row>
    <row r="22181">
      <c r="B22181" s="19"/>
      <c r="E22181" s="23"/>
      <c r="L22181" s="23"/>
    </row>
    <row r="22182">
      <c r="B22182" s="19"/>
      <c r="E22182" s="23"/>
      <c r="L22182" s="23"/>
    </row>
    <row r="22183">
      <c r="B22183" s="19"/>
      <c r="E22183" s="23"/>
      <c r="L22183" s="23"/>
    </row>
    <row r="22184">
      <c r="B22184" s="19"/>
      <c r="E22184" s="23"/>
      <c r="L22184" s="23"/>
    </row>
    <row r="22185">
      <c r="B22185" s="19"/>
      <c r="E22185" s="23"/>
      <c r="L22185" s="23"/>
    </row>
    <row r="22186">
      <c r="B22186" s="19"/>
      <c r="E22186" s="23"/>
      <c r="L22186" s="23"/>
    </row>
    <row r="22187">
      <c r="B22187" s="19"/>
      <c r="E22187" s="23"/>
      <c r="L22187" s="23"/>
    </row>
    <row r="22188">
      <c r="B22188" s="19"/>
      <c r="E22188" s="23"/>
      <c r="L22188" s="23"/>
    </row>
    <row r="22189">
      <c r="B22189" s="19"/>
      <c r="E22189" s="23"/>
      <c r="L22189" s="23"/>
    </row>
    <row r="22190">
      <c r="B22190" s="19"/>
      <c r="E22190" s="23"/>
      <c r="L22190" s="23"/>
    </row>
    <row r="22191">
      <c r="B22191" s="19"/>
      <c r="E22191" s="23"/>
      <c r="L22191" s="23"/>
    </row>
    <row r="22192">
      <c r="B22192" s="19"/>
      <c r="E22192" s="23"/>
      <c r="L22192" s="23"/>
    </row>
    <row r="22193">
      <c r="B22193" s="19"/>
      <c r="E22193" s="23"/>
      <c r="L22193" s="23"/>
    </row>
    <row r="22194">
      <c r="B22194" s="19"/>
      <c r="E22194" s="23"/>
      <c r="L22194" s="23"/>
    </row>
    <row r="22195">
      <c r="B22195" s="19"/>
      <c r="E22195" s="23"/>
      <c r="L22195" s="23"/>
    </row>
    <row r="22196">
      <c r="B22196" s="19"/>
      <c r="E22196" s="23"/>
      <c r="L22196" s="23"/>
    </row>
    <row r="22197">
      <c r="B22197" s="19"/>
      <c r="E22197" s="23"/>
      <c r="L22197" s="23"/>
    </row>
    <row r="22198">
      <c r="B22198" s="19"/>
      <c r="E22198" s="23"/>
      <c r="L22198" s="23"/>
    </row>
    <row r="22199">
      <c r="B22199" s="19"/>
      <c r="E22199" s="23"/>
      <c r="L22199" s="23"/>
    </row>
    <row r="22200">
      <c r="B22200" s="19"/>
      <c r="E22200" s="23"/>
      <c r="L22200" s="23"/>
    </row>
    <row r="22201">
      <c r="B22201" s="19"/>
      <c r="E22201" s="23"/>
      <c r="L22201" s="23"/>
    </row>
    <row r="22202">
      <c r="B22202" s="19"/>
      <c r="E22202" s="23"/>
      <c r="L22202" s="23"/>
    </row>
    <row r="22203">
      <c r="B22203" s="19"/>
      <c r="E22203" s="23"/>
      <c r="L22203" s="23"/>
    </row>
    <row r="22204">
      <c r="B22204" s="19"/>
      <c r="E22204" s="23"/>
      <c r="L22204" s="23"/>
    </row>
    <row r="22205">
      <c r="B22205" s="19"/>
      <c r="E22205" s="23"/>
      <c r="L22205" s="23"/>
    </row>
    <row r="22206">
      <c r="B22206" s="19"/>
      <c r="E22206" s="23"/>
      <c r="L22206" s="23"/>
    </row>
    <row r="22207">
      <c r="B22207" s="19"/>
      <c r="E22207" s="23"/>
      <c r="L22207" s="23"/>
    </row>
    <row r="22208">
      <c r="B22208" s="19"/>
      <c r="E22208" s="23"/>
      <c r="L22208" s="23"/>
    </row>
    <row r="22209">
      <c r="B22209" s="19"/>
      <c r="E22209" s="23"/>
      <c r="L22209" s="23"/>
    </row>
    <row r="22210">
      <c r="B22210" s="19"/>
      <c r="E22210" s="23"/>
      <c r="L22210" s="23"/>
    </row>
    <row r="22211">
      <c r="B22211" s="19"/>
      <c r="E22211" s="23"/>
      <c r="L22211" s="23"/>
    </row>
    <row r="22212">
      <c r="B22212" s="19"/>
      <c r="E22212" s="23"/>
      <c r="L22212" s="23"/>
    </row>
    <row r="22213">
      <c r="B22213" s="19"/>
      <c r="E22213" s="23"/>
      <c r="L22213" s="23"/>
    </row>
    <row r="22214">
      <c r="B22214" s="19"/>
      <c r="E22214" s="23"/>
      <c r="L22214" s="23"/>
    </row>
    <row r="22215">
      <c r="B22215" s="19"/>
      <c r="E22215" s="23"/>
      <c r="L22215" s="23"/>
    </row>
    <row r="22216">
      <c r="B22216" s="19"/>
      <c r="E22216" s="23"/>
      <c r="L22216" s="23"/>
    </row>
    <row r="22217">
      <c r="B22217" s="19"/>
      <c r="E22217" s="23"/>
      <c r="L22217" s="23"/>
    </row>
    <row r="22218">
      <c r="B22218" s="19"/>
      <c r="E22218" s="23"/>
      <c r="L22218" s="23"/>
    </row>
    <row r="22219">
      <c r="B22219" s="19"/>
      <c r="E22219" s="23"/>
      <c r="L22219" s="23"/>
    </row>
    <row r="22220">
      <c r="B22220" s="19"/>
      <c r="E22220" s="23"/>
      <c r="L22220" s="23"/>
    </row>
    <row r="22221">
      <c r="B22221" s="19"/>
      <c r="E22221" s="23"/>
      <c r="L22221" s="23"/>
    </row>
    <row r="22222">
      <c r="B22222" s="19"/>
      <c r="E22222" s="23"/>
      <c r="L22222" s="23"/>
    </row>
    <row r="22223">
      <c r="B22223" s="19"/>
      <c r="E22223" s="23"/>
      <c r="L22223" s="23"/>
    </row>
    <row r="22224">
      <c r="B22224" s="19"/>
      <c r="E22224" s="23"/>
      <c r="L22224" s="23"/>
    </row>
    <row r="22225">
      <c r="B22225" s="19"/>
      <c r="E22225" s="23"/>
      <c r="L22225" s="23"/>
    </row>
    <row r="22226">
      <c r="B22226" s="19"/>
      <c r="E22226" s="23"/>
      <c r="L22226" s="23"/>
    </row>
    <row r="22227">
      <c r="B22227" s="19"/>
      <c r="E22227" s="23"/>
      <c r="L22227" s="23"/>
    </row>
    <row r="22228">
      <c r="B22228" s="19"/>
      <c r="E22228" s="23"/>
      <c r="L22228" s="23"/>
    </row>
    <row r="22229">
      <c r="B22229" s="19"/>
      <c r="E22229" s="23"/>
      <c r="L22229" s="23"/>
    </row>
    <row r="22230">
      <c r="B22230" s="19"/>
      <c r="E22230" s="23"/>
      <c r="L22230" s="23"/>
    </row>
    <row r="22231">
      <c r="B22231" s="19"/>
      <c r="E22231" s="23"/>
      <c r="L22231" s="23"/>
    </row>
    <row r="22232">
      <c r="B22232" s="19"/>
      <c r="E22232" s="23"/>
      <c r="L22232" s="23"/>
    </row>
    <row r="22233">
      <c r="B22233" s="19"/>
      <c r="E22233" s="23"/>
      <c r="L22233" s="23"/>
    </row>
    <row r="22234">
      <c r="B22234" s="19"/>
      <c r="E22234" s="23"/>
      <c r="L22234" s="23"/>
    </row>
    <row r="22235">
      <c r="B22235" s="19"/>
      <c r="E22235" s="23"/>
      <c r="L22235" s="23"/>
    </row>
    <row r="22236">
      <c r="B22236" s="19"/>
      <c r="E22236" s="23"/>
      <c r="L22236" s="23"/>
    </row>
    <row r="22237">
      <c r="B22237" s="19"/>
      <c r="E22237" s="23"/>
      <c r="L22237" s="23"/>
    </row>
    <row r="22238">
      <c r="B22238" s="19"/>
      <c r="E22238" s="23"/>
      <c r="L22238" s="23"/>
    </row>
    <row r="22239">
      <c r="B22239" s="19"/>
      <c r="E22239" s="23"/>
      <c r="L22239" s="23"/>
    </row>
    <row r="22240">
      <c r="B22240" s="19"/>
      <c r="E22240" s="23"/>
      <c r="L22240" s="23"/>
    </row>
    <row r="22241">
      <c r="B22241" s="19"/>
      <c r="E22241" s="23"/>
      <c r="L22241" s="23"/>
    </row>
    <row r="22242">
      <c r="B22242" s="19"/>
      <c r="E22242" s="23"/>
      <c r="L22242" s="23"/>
    </row>
    <row r="22243">
      <c r="B22243" s="19"/>
      <c r="E22243" s="23"/>
      <c r="L22243" s="23"/>
    </row>
    <row r="22244">
      <c r="B22244" s="19"/>
      <c r="E22244" s="23"/>
      <c r="L22244" s="23"/>
    </row>
    <row r="22245">
      <c r="B22245" s="19"/>
      <c r="E22245" s="23"/>
      <c r="L22245" s="23"/>
    </row>
    <row r="22246">
      <c r="B22246" s="19"/>
      <c r="E22246" s="23"/>
      <c r="L22246" s="23"/>
    </row>
    <row r="22247">
      <c r="B22247" s="19"/>
      <c r="E22247" s="23"/>
      <c r="L22247" s="23"/>
    </row>
    <row r="22248">
      <c r="B22248" s="19"/>
      <c r="E22248" s="23"/>
      <c r="L22248" s="23"/>
    </row>
    <row r="22249">
      <c r="B22249" s="19"/>
      <c r="E22249" s="23"/>
      <c r="L22249" s="23"/>
    </row>
    <row r="22250">
      <c r="B22250" s="19"/>
      <c r="E22250" s="23"/>
      <c r="L22250" s="23"/>
    </row>
    <row r="22251">
      <c r="B22251" s="19"/>
      <c r="E22251" s="23"/>
      <c r="L22251" s="23"/>
    </row>
    <row r="22252">
      <c r="B22252" s="19"/>
      <c r="E22252" s="23"/>
      <c r="L22252" s="23"/>
    </row>
    <row r="22253">
      <c r="B22253" s="19"/>
      <c r="E22253" s="23"/>
      <c r="L22253" s="23"/>
    </row>
    <row r="22254">
      <c r="B22254" s="19"/>
      <c r="E22254" s="23"/>
      <c r="L22254" s="23"/>
    </row>
    <row r="22255">
      <c r="B22255" s="19"/>
      <c r="E22255" s="23"/>
      <c r="L22255" s="23"/>
    </row>
    <row r="22256">
      <c r="B22256" s="19"/>
      <c r="E22256" s="23"/>
      <c r="L22256" s="23"/>
    </row>
    <row r="22257">
      <c r="B22257" s="19"/>
      <c r="E22257" s="23"/>
      <c r="L22257" s="23"/>
    </row>
    <row r="22258">
      <c r="B22258" s="19"/>
      <c r="E22258" s="23"/>
      <c r="L22258" s="23"/>
    </row>
    <row r="22259">
      <c r="B22259" s="19"/>
      <c r="E22259" s="23"/>
      <c r="L22259" s="23"/>
    </row>
    <row r="22260">
      <c r="B22260" s="19"/>
      <c r="E22260" s="23"/>
      <c r="L22260" s="23"/>
    </row>
    <row r="22261">
      <c r="B22261" s="19"/>
      <c r="E22261" s="23"/>
      <c r="L22261" s="23"/>
    </row>
    <row r="22262">
      <c r="B22262" s="19"/>
      <c r="E22262" s="23"/>
      <c r="L22262" s="23"/>
    </row>
    <row r="22263">
      <c r="B22263" s="19"/>
      <c r="E22263" s="23"/>
      <c r="L22263" s="23"/>
    </row>
    <row r="22264">
      <c r="B22264" s="19"/>
      <c r="E22264" s="23"/>
      <c r="L22264" s="23"/>
    </row>
    <row r="22265">
      <c r="B22265" s="19"/>
      <c r="E22265" s="23"/>
      <c r="L22265" s="23"/>
    </row>
    <row r="22266">
      <c r="B22266" s="19"/>
      <c r="E22266" s="23"/>
      <c r="L22266" s="23"/>
    </row>
    <row r="22267">
      <c r="B22267" s="19"/>
      <c r="E22267" s="23"/>
      <c r="L22267" s="23"/>
    </row>
    <row r="22268">
      <c r="B22268" s="19"/>
      <c r="E22268" s="23"/>
      <c r="L22268" s="23"/>
    </row>
    <row r="22269">
      <c r="B22269" s="19"/>
      <c r="E22269" s="23"/>
      <c r="L22269" s="23"/>
    </row>
    <row r="22270">
      <c r="B22270" s="19"/>
      <c r="E22270" s="23"/>
      <c r="L22270" s="23"/>
    </row>
    <row r="22271">
      <c r="B22271" s="19"/>
      <c r="E22271" s="23"/>
      <c r="L22271" s="23"/>
    </row>
    <row r="22272">
      <c r="B22272" s="19"/>
      <c r="E22272" s="23"/>
      <c r="L22272" s="23"/>
    </row>
    <row r="22273">
      <c r="B22273" s="19"/>
      <c r="E22273" s="23"/>
      <c r="L22273" s="23"/>
    </row>
    <row r="22274">
      <c r="B22274" s="19"/>
      <c r="E22274" s="23"/>
      <c r="L22274" s="23"/>
    </row>
    <row r="22275">
      <c r="B22275" s="19"/>
      <c r="E22275" s="23"/>
      <c r="L22275" s="23"/>
    </row>
    <row r="22276">
      <c r="B22276" s="19"/>
      <c r="E22276" s="23"/>
      <c r="L22276" s="23"/>
    </row>
    <row r="22277">
      <c r="B22277" s="19"/>
      <c r="E22277" s="23"/>
      <c r="L22277" s="23"/>
    </row>
    <row r="22278">
      <c r="B22278" s="19"/>
      <c r="E22278" s="23"/>
      <c r="L22278" s="23"/>
    </row>
    <row r="22279">
      <c r="B22279" s="19"/>
      <c r="E22279" s="23"/>
      <c r="L22279" s="23"/>
    </row>
    <row r="22280">
      <c r="B22280" s="19"/>
      <c r="E22280" s="23"/>
      <c r="L22280" s="23"/>
    </row>
    <row r="22281">
      <c r="B22281" s="19"/>
      <c r="E22281" s="23"/>
      <c r="L22281" s="23"/>
    </row>
    <row r="22282">
      <c r="B22282" s="19"/>
      <c r="E22282" s="23"/>
      <c r="L22282" s="23"/>
    </row>
    <row r="22283">
      <c r="B22283" s="19"/>
      <c r="E22283" s="23"/>
      <c r="L22283" s="23"/>
    </row>
    <row r="22284">
      <c r="B22284" s="19"/>
      <c r="E22284" s="23"/>
      <c r="L22284" s="23"/>
    </row>
    <row r="22285">
      <c r="B22285" s="19"/>
      <c r="E22285" s="23"/>
      <c r="L22285" s="23"/>
    </row>
    <row r="22286">
      <c r="B22286" s="19"/>
      <c r="E22286" s="23"/>
      <c r="L22286" s="23"/>
    </row>
    <row r="22287">
      <c r="B22287" s="19"/>
      <c r="E22287" s="23"/>
      <c r="L22287" s="23"/>
    </row>
    <row r="22288">
      <c r="B22288" s="19"/>
      <c r="E22288" s="23"/>
      <c r="L22288" s="23"/>
    </row>
    <row r="22289">
      <c r="B22289" s="19"/>
      <c r="E22289" s="23"/>
      <c r="L22289" s="23"/>
    </row>
    <row r="22290">
      <c r="B22290" s="19"/>
      <c r="E22290" s="23"/>
      <c r="L22290" s="23"/>
    </row>
    <row r="22291">
      <c r="B22291" s="19"/>
      <c r="E22291" s="23"/>
      <c r="L22291" s="23"/>
    </row>
    <row r="22292">
      <c r="B22292" s="19"/>
      <c r="E22292" s="23"/>
      <c r="L22292" s="23"/>
    </row>
    <row r="22293">
      <c r="B22293" s="19"/>
      <c r="E22293" s="23"/>
      <c r="L22293" s="23"/>
    </row>
    <row r="22294">
      <c r="B22294" s="19"/>
      <c r="E22294" s="23"/>
      <c r="L22294" s="23"/>
    </row>
    <row r="22295">
      <c r="B22295" s="19"/>
      <c r="E22295" s="23"/>
      <c r="L22295" s="23"/>
    </row>
    <row r="22296">
      <c r="B22296" s="19"/>
      <c r="E22296" s="23"/>
      <c r="L22296" s="23"/>
    </row>
    <row r="22297">
      <c r="B22297" s="19"/>
      <c r="E22297" s="23"/>
      <c r="L22297" s="23"/>
    </row>
    <row r="22298">
      <c r="B22298" s="19"/>
      <c r="E22298" s="23"/>
      <c r="L22298" s="23"/>
    </row>
    <row r="22299">
      <c r="B22299" s="19"/>
      <c r="E22299" s="23"/>
      <c r="L22299" s="23"/>
    </row>
    <row r="22300">
      <c r="B22300" s="19"/>
      <c r="E22300" s="23"/>
      <c r="L22300" s="23"/>
    </row>
    <row r="22301">
      <c r="B22301" s="19"/>
      <c r="E22301" s="23"/>
      <c r="L22301" s="23"/>
    </row>
    <row r="22302">
      <c r="B22302" s="19"/>
      <c r="E22302" s="23"/>
      <c r="L22302" s="23"/>
    </row>
    <row r="22303">
      <c r="B22303" s="19"/>
      <c r="E22303" s="23"/>
      <c r="L22303" s="23"/>
    </row>
    <row r="22304">
      <c r="B22304" s="19"/>
      <c r="E22304" s="23"/>
      <c r="L22304" s="23"/>
    </row>
    <row r="22305">
      <c r="B22305" s="19"/>
      <c r="E22305" s="23"/>
      <c r="L22305" s="23"/>
    </row>
    <row r="22306">
      <c r="B22306" s="19"/>
      <c r="E22306" s="23"/>
      <c r="L22306" s="23"/>
    </row>
    <row r="22307">
      <c r="B22307" s="19"/>
      <c r="E22307" s="23"/>
      <c r="L22307" s="23"/>
    </row>
    <row r="22308">
      <c r="B22308" s="19"/>
      <c r="E22308" s="23"/>
      <c r="L22308" s="23"/>
    </row>
    <row r="22309">
      <c r="B22309" s="19"/>
      <c r="E22309" s="23"/>
      <c r="L22309" s="23"/>
    </row>
    <row r="22310">
      <c r="B22310" s="19"/>
      <c r="E22310" s="23"/>
      <c r="L22310" s="23"/>
    </row>
    <row r="22311">
      <c r="B22311" s="19"/>
      <c r="E22311" s="23"/>
      <c r="L22311" s="23"/>
    </row>
    <row r="22312">
      <c r="B22312" s="19"/>
      <c r="E22312" s="23"/>
      <c r="L22312" s="23"/>
    </row>
    <row r="22313">
      <c r="B22313" s="19"/>
      <c r="E22313" s="23"/>
      <c r="L22313" s="23"/>
    </row>
    <row r="22314">
      <c r="B22314" s="19"/>
      <c r="E22314" s="23"/>
      <c r="L22314" s="23"/>
    </row>
    <row r="22315">
      <c r="B22315" s="19"/>
      <c r="E22315" s="23"/>
      <c r="L22315" s="23"/>
    </row>
    <row r="22316">
      <c r="B22316" s="19"/>
      <c r="E22316" s="23"/>
      <c r="L22316" s="23"/>
    </row>
    <row r="22317">
      <c r="B22317" s="19"/>
      <c r="E22317" s="23"/>
      <c r="L22317" s="23"/>
    </row>
    <row r="22318">
      <c r="B22318" s="19"/>
      <c r="E22318" s="23"/>
      <c r="L22318" s="23"/>
    </row>
    <row r="22319">
      <c r="B22319" s="19"/>
      <c r="E22319" s="23"/>
      <c r="L22319" s="23"/>
    </row>
    <row r="22320">
      <c r="B22320" s="19"/>
      <c r="E22320" s="23"/>
      <c r="L22320" s="23"/>
    </row>
    <row r="22321">
      <c r="B22321" s="19"/>
      <c r="E22321" s="23"/>
      <c r="L22321" s="23"/>
    </row>
    <row r="22322">
      <c r="B22322" s="19"/>
      <c r="E22322" s="23"/>
      <c r="L22322" s="23"/>
    </row>
    <row r="22323">
      <c r="B22323" s="19"/>
      <c r="E22323" s="23"/>
      <c r="L22323" s="23"/>
    </row>
    <row r="22324">
      <c r="B22324" s="19"/>
      <c r="E22324" s="23"/>
      <c r="L22324" s="23"/>
    </row>
    <row r="22325">
      <c r="B22325" s="19"/>
      <c r="E22325" s="23"/>
      <c r="L22325" s="23"/>
    </row>
    <row r="22326">
      <c r="B22326" s="19"/>
      <c r="E22326" s="23"/>
      <c r="L22326" s="23"/>
    </row>
    <row r="22327">
      <c r="B22327" s="19"/>
      <c r="E22327" s="23"/>
      <c r="L22327" s="23"/>
    </row>
    <row r="22328">
      <c r="B22328" s="19"/>
      <c r="E22328" s="23"/>
      <c r="L22328" s="23"/>
    </row>
    <row r="22329">
      <c r="B22329" s="19"/>
      <c r="E22329" s="23"/>
      <c r="L22329" s="23"/>
    </row>
    <row r="22330">
      <c r="B22330" s="19"/>
      <c r="E22330" s="23"/>
      <c r="L22330" s="23"/>
    </row>
    <row r="22331">
      <c r="B22331" s="19"/>
      <c r="E22331" s="23"/>
      <c r="L22331" s="23"/>
    </row>
    <row r="22332">
      <c r="B22332" s="19"/>
      <c r="E22332" s="23"/>
      <c r="L22332" s="23"/>
    </row>
    <row r="22333">
      <c r="B22333" s="19"/>
      <c r="E22333" s="23"/>
      <c r="L22333" s="23"/>
    </row>
    <row r="22334">
      <c r="B22334" s="19"/>
      <c r="E22334" s="23"/>
      <c r="L22334" s="23"/>
    </row>
    <row r="22335">
      <c r="B22335" s="19"/>
      <c r="E22335" s="23"/>
      <c r="L22335" s="23"/>
    </row>
    <row r="22336">
      <c r="B22336" s="19"/>
      <c r="E22336" s="23"/>
      <c r="L22336" s="23"/>
    </row>
    <row r="22337">
      <c r="B22337" s="19"/>
      <c r="E22337" s="23"/>
      <c r="L22337" s="23"/>
    </row>
    <row r="22338">
      <c r="B22338" s="19"/>
      <c r="E22338" s="23"/>
      <c r="L22338" s="23"/>
    </row>
    <row r="22339">
      <c r="B22339" s="19"/>
      <c r="E22339" s="23"/>
      <c r="L22339" s="23"/>
    </row>
    <row r="22340">
      <c r="B22340" s="19"/>
      <c r="E22340" s="23"/>
      <c r="L22340" s="23"/>
    </row>
    <row r="22341">
      <c r="B22341" s="19"/>
      <c r="E22341" s="23"/>
      <c r="L22341" s="23"/>
    </row>
    <row r="22342">
      <c r="B22342" s="19"/>
      <c r="E22342" s="23"/>
      <c r="L22342" s="23"/>
    </row>
    <row r="22343">
      <c r="B22343" s="19"/>
      <c r="E22343" s="23"/>
      <c r="L22343" s="23"/>
    </row>
    <row r="22344">
      <c r="B22344" s="19"/>
      <c r="E22344" s="23"/>
      <c r="L22344" s="23"/>
    </row>
    <row r="22345">
      <c r="B22345" s="19"/>
      <c r="E22345" s="23"/>
      <c r="L22345" s="23"/>
    </row>
    <row r="22346">
      <c r="B22346" s="19"/>
      <c r="E22346" s="23"/>
      <c r="L22346" s="23"/>
    </row>
    <row r="22347">
      <c r="B22347" s="19"/>
      <c r="E22347" s="23"/>
      <c r="L22347" s="23"/>
    </row>
    <row r="22348">
      <c r="B22348" s="19"/>
      <c r="E22348" s="23"/>
      <c r="L22348" s="23"/>
    </row>
    <row r="22349">
      <c r="B22349" s="19"/>
      <c r="E22349" s="23"/>
      <c r="L22349" s="23"/>
    </row>
    <row r="22350">
      <c r="B22350" s="19"/>
      <c r="E22350" s="23"/>
      <c r="L22350" s="23"/>
    </row>
    <row r="22351">
      <c r="B22351" s="19"/>
      <c r="E22351" s="23"/>
      <c r="L22351" s="23"/>
    </row>
    <row r="22352">
      <c r="B22352" s="19"/>
      <c r="E22352" s="23"/>
      <c r="L22352" s="23"/>
    </row>
    <row r="22353">
      <c r="B22353" s="19"/>
      <c r="E22353" s="23"/>
      <c r="L22353" s="23"/>
    </row>
    <row r="22354">
      <c r="B22354" s="19"/>
      <c r="E22354" s="23"/>
      <c r="L22354" s="23"/>
    </row>
    <row r="22355">
      <c r="B22355" s="19"/>
      <c r="E22355" s="23"/>
      <c r="L22355" s="23"/>
    </row>
    <row r="22356">
      <c r="B22356" s="19"/>
      <c r="E22356" s="23"/>
      <c r="L22356" s="23"/>
    </row>
    <row r="22357">
      <c r="B22357" s="19"/>
      <c r="E22357" s="23"/>
      <c r="L22357" s="23"/>
    </row>
    <row r="22358">
      <c r="B22358" s="19"/>
      <c r="E22358" s="23"/>
      <c r="L22358" s="23"/>
    </row>
    <row r="22359">
      <c r="B22359" s="19"/>
      <c r="E22359" s="23"/>
      <c r="L22359" s="23"/>
    </row>
    <row r="22360">
      <c r="B22360" s="19"/>
      <c r="E22360" s="23"/>
      <c r="L22360" s="23"/>
    </row>
    <row r="22361">
      <c r="B22361" s="19"/>
      <c r="E22361" s="23"/>
      <c r="L22361" s="23"/>
    </row>
    <row r="22362">
      <c r="B22362" s="19"/>
      <c r="E22362" s="23"/>
      <c r="L22362" s="23"/>
    </row>
    <row r="22363">
      <c r="B22363" s="19"/>
      <c r="E22363" s="23"/>
      <c r="L22363" s="23"/>
    </row>
    <row r="22364">
      <c r="B22364" s="19"/>
      <c r="E22364" s="23"/>
      <c r="L22364" s="23"/>
    </row>
    <row r="22365">
      <c r="B22365" s="19"/>
      <c r="E22365" s="23"/>
      <c r="L22365" s="23"/>
    </row>
    <row r="22366">
      <c r="B22366" s="19"/>
      <c r="E22366" s="23"/>
      <c r="L22366" s="23"/>
    </row>
    <row r="22367">
      <c r="B22367" s="19"/>
      <c r="E22367" s="23"/>
      <c r="L22367" s="23"/>
    </row>
    <row r="22368">
      <c r="B22368" s="19"/>
      <c r="E22368" s="23"/>
      <c r="L22368" s="23"/>
    </row>
    <row r="22369">
      <c r="B22369" s="19"/>
      <c r="E22369" s="23"/>
      <c r="L22369" s="23"/>
    </row>
    <row r="22370">
      <c r="B22370" s="19"/>
      <c r="E22370" s="23"/>
      <c r="L22370" s="23"/>
    </row>
    <row r="22371">
      <c r="B22371" s="19"/>
      <c r="E22371" s="23"/>
      <c r="L22371" s="23"/>
    </row>
    <row r="22372">
      <c r="B22372" s="19"/>
      <c r="E22372" s="23"/>
      <c r="L22372" s="23"/>
    </row>
    <row r="22373">
      <c r="B22373" s="19"/>
      <c r="E22373" s="23"/>
      <c r="L22373" s="23"/>
    </row>
    <row r="22374">
      <c r="B22374" s="19"/>
      <c r="E22374" s="23"/>
      <c r="L22374" s="23"/>
    </row>
    <row r="22375">
      <c r="B22375" s="19"/>
      <c r="E22375" s="23"/>
      <c r="L22375" s="23"/>
    </row>
    <row r="22376">
      <c r="B22376" s="19"/>
      <c r="E22376" s="23"/>
      <c r="L22376" s="23"/>
    </row>
    <row r="22377">
      <c r="B22377" s="19"/>
      <c r="E22377" s="23"/>
      <c r="L22377" s="23"/>
    </row>
    <row r="22378">
      <c r="B22378" s="19"/>
      <c r="E22378" s="23"/>
      <c r="L22378" s="23"/>
    </row>
    <row r="22379">
      <c r="B22379" s="19"/>
      <c r="E22379" s="23"/>
      <c r="L22379" s="23"/>
    </row>
    <row r="22380">
      <c r="B22380" s="19"/>
      <c r="E22380" s="23"/>
      <c r="L22380" s="23"/>
    </row>
    <row r="22381">
      <c r="B22381" s="19"/>
      <c r="E22381" s="23"/>
      <c r="L22381" s="23"/>
    </row>
    <row r="22382">
      <c r="B22382" s="19"/>
      <c r="E22382" s="23"/>
      <c r="L22382" s="23"/>
    </row>
    <row r="22383">
      <c r="B22383" s="19"/>
      <c r="E22383" s="23"/>
      <c r="L22383" s="23"/>
    </row>
    <row r="22384">
      <c r="B22384" s="19"/>
      <c r="E22384" s="23"/>
      <c r="L22384" s="23"/>
    </row>
    <row r="22385">
      <c r="B22385" s="19"/>
      <c r="E22385" s="23"/>
      <c r="L22385" s="23"/>
    </row>
    <row r="22386">
      <c r="B22386" s="19"/>
      <c r="E22386" s="23"/>
      <c r="L22386" s="23"/>
    </row>
    <row r="22387">
      <c r="B22387" s="19"/>
      <c r="E22387" s="23"/>
      <c r="L22387" s="23"/>
    </row>
    <row r="22388">
      <c r="B22388" s="19"/>
      <c r="E22388" s="23"/>
      <c r="L22388" s="23"/>
    </row>
    <row r="22389">
      <c r="B22389" s="19"/>
      <c r="E22389" s="23"/>
      <c r="L22389" s="23"/>
    </row>
    <row r="22390">
      <c r="B22390" s="19"/>
      <c r="E22390" s="23"/>
      <c r="L22390" s="23"/>
    </row>
    <row r="22391">
      <c r="B22391" s="19"/>
      <c r="E22391" s="23"/>
      <c r="L22391" s="23"/>
    </row>
    <row r="22392">
      <c r="B22392" s="19"/>
      <c r="E22392" s="23"/>
      <c r="L22392" s="23"/>
    </row>
    <row r="22393">
      <c r="B22393" s="19"/>
      <c r="E22393" s="23"/>
      <c r="L22393" s="23"/>
    </row>
    <row r="22394">
      <c r="B22394" s="19"/>
      <c r="E22394" s="23"/>
      <c r="L22394" s="23"/>
    </row>
    <row r="22395">
      <c r="B22395" s="19"/>
      <c r="E22395" s="23"/>
      <c r="L22395" s="23"/>
    </row>
    <row r="22396">
      <c r="B22396" s="19"/>
      <c r="E22396" s="23"/>
      <c r="L22396" s="23"/>
    </row>
    <row r="22397">
      <c r="B22397" s="19"/>
      <c r="E22397" s="23"/>
      <c r="L22397" s="23"/>
    </row>
    <row r="22398">
      <c r="B22398" s="19"/>
      <c r="E22398" s="23"/>
      <c r="L22398" s="23"/>
    </row>
    <row r="22399">
      <c r="B22399" s="19"/>
      <c r="E22399" s="23"/>
      <c r="L22399" s="23"/>
    </row>
    <row r="22400">
      <c r="B22400" s="19"/>
      <c r="E22400" s="23"/>
      <c r="L22400" s="23"/>
    </row>
    <row r="22401">
      <c r="B22401" s="19"/>
      <c r="E22401" s="23"/>
      <c r="L22401" s="23"/>
    </row>
    <row r="22402">
      <c r="B22402" s="19"/>
      <c r="E22402" s="23"/>
      <c r="L22402" s="23"/>
    </row>
    <row r="22403">
      <c r="B22403" s="19"/>
      <c r="E22403" s="23"/>
      <c r="L22403" s="23"/>
    </row>
    <row r="22404">
      <c r="B22404" s="19"/>
      <c r="E22404" s="23"/>
      <c r="L22404" s="23"/>
    </row>
    <row r="22405">
      <c r="B22405" s="19"/>
      <c r="E22405" s="23"/>
      <c r="L22405" s="23"/>
    </row>
    <row r="22406">
      <c r="B22406" s="19"/>
      <c r="E22406" s="23"/>
      <c r="L22406" s="23"/>
    </row>
    <row r="22407">
      <c r="B22407" s="19"/>
      <c r="E22407" s="23"/>
      <c r="L22407" s="23"/>
    </row>
    <row r="22408">
      <c r="B22408" s="19"/>
      <c r="E22408" s="23"/>
      <c r="L22408" s="23"/>
    </row>
    <row r="22409">
      <c r="B22409" s="19"/>
      <c r="E22409" s="23"/>
      <c r="L22409" s="23"/>
    </row>
    <row r="22410">
      <c r="B22410" s="19"/>
      <c r="E22410" s="23"/>
      <c r="L22410" s="23"/>
    </row>
    <row r="22411">
      <c r="B22411" s="19"/>
      <c r="E22411" s="23"/>
      <c r="L22411" s="23"/>
    </row>
    <row r="22412">
      <c r="B22412" s="19"/>
      <c r="E22412" s="23"/>
      <c r="L22412" s="23"/>
    </row>
    <row r="22413">
      <c r="B22413" s="19"/>
      <c r="E22413" s="23"/>
      <c r="L22413" s="23"/>
    </row>
    <row r="22414">
      <c r="B22414" s="19"/>
      <c r="E22414" s="23"/>
      <c r="L22414" s="23"/>
    </row>
    <row r="22415">
      <c r="B22415" s="19"/>
      <c r="E22415" s="23"/>
      <c r="L22415" s="23"/>
    </row>
    <row r="22416">
      <c r="B22416" s="19"/>
      <c r="E22416" s="23"/>
      <c r="L22416" s="23"/>
    </row>
    <row r="22417">
      <c r="B22417" s="19"/>
      <c r="E22417" s="23"/>
      <c r="L22417" s="23"/>
    </row>
    <row r="22418">
      <c r="B22418" s="19"/>
      <c r="E22418" s="23"/>
      <c r="L22418" s="23"/>
    </row>
    <row r="22419">
      <c r="B22419" s="19"/>
      <c r="E22419" s="23"/>
      <c r="L22419" s="23"/>
    </row>
    <row r="22420">
      <c r="B22420" s="19"/>
      <c r="E22420" s="23"/>
      <c r="L22420" s="23"/>
    </row>
    <row r="22421">
      <c r="B22421" s="19"/>
      <c r="E22421" s="23"/>
      <c r="L22421" s="23"/>
    </row>
    <row r="22422">
      <c r="B22422" s="19"/>
      <c r="E22422" s="23"/>
      <c r="L22422" s="23"/>
    </row>
    <row r="22423">
      <c r="B22423" s="19"/>
      <c r="E22423" s="23"/>
      <c r="L22423" s="23"/>
    </row>
    <row r="22424">
      <c r="B22424" s="19"/>
      <c r="E22424" s="23"/>
      <c r="L22424" s="23"/>
    </row>
    <row r="22425">
      <c r="B22425" s="19"/>
      <c r="E22425" s="23"/>
      <c r="L22425" s="23"/>
    </row>
    <row r="22426">
      <c r="B22426" s="19"/>
      <c r="E22426" s="23"/>
      <c r="L22426" s="23"/>
    </row>
    <row r="22427">
      <c r="B22427" s="19"/>
      <c r="E22427" s="23"/>
      <c r="L22427" s="23"/>
    </row>
    <row r="22428">
      <c r="B22428" s="19"/>
      <c r="E22428" s="23"/>
      <c r="L22428" s="23"/>
    </row>
    <row r="22429">
      <c r="B22429" s="19"/>
      <c r="E22429" s="23"/>
      <c r="L22429" s="23"/>
    </row>
    <row r="22430">
      <c r="B22430" s="19"/>
      <c r="E22430" s="23"/>
      <c r="L22430" s="23"/>
    </row>
    <row r="22431">
      <c r="B22431" s="19"/>
      <c r="E22431" s="23"/>
      <c r="L22431" s="23"/>
    </row>
    <row r="22432">
      <c r="B22432" s="19"/>
      <c r="E22432" s="23"/>
      <c r="L22432" s="23"/>
    </row>
    <row r="22433">
      <c r="B22433" s="19"/>
      <c r="E22433" s="23"/>
      <c r="L22433" s="23"/>
    </row>
    <row r="22434">
      <c r="B22434" s="19"/>
      <c r="E22434" s="23"/>
      <c r="L22434" s="23"/>
    </row>
    <row r="22435">
      <c r="B22435" s="19"/>
      <c r="E22435" s="23"/>
      <c r="L22435" s="23"/>
    </row>
    <row r="22436">
      <c r="B22436" s="19"/>
      <c r="E22436" s="23"/>
      <c r="L22436" s="23"/>
    </row>
    <row r="22437">
      <c r="B22437" s="19"/>
      <c r="E22437" s="23"/>
      <c r="L22437" s="23"/>
    </row>
    <row r="22438">
      <c r="B22438" s="19"/>
      <c r="E22438" s="23"/>
      <c r="L22438" s="23"/>
    </row>
    <row r="22439">
      <c r="B22439" s="19"/>
      <c r="E22439" s="23"/>
      <c r="L22439" s="23"/>
    </row>
    <row r="22440">
      <c r="B22440" s="19"/>
      <c r="E22440" s="23"/>
      <c r="L22440" s="23"/>
    </row>
    <row r="22441">
      <c r="B22441" s="19"/>
      <c r="E22441" s="23"/>
      <c r="L22441" s="23"/>
    </row>
    <row r="22442">
      <c r="B22442" s="19"/>
      <c r="E22442" s="23"/>
      <c r="L22442" s="23"/>
    </row>
    <row r="22443">
      <c r="B22443" s="19"/>
      <c r="E22443" s="23"/>
      <c r="L22443" s="23"/>
    </row>
    <row r="22444">
      <c r="B22444" s="19"/>
      <c r="E22444" s="23"/>
      <c r="L22444" s="23"/>
    </row>
    <row r="22445">
      <c r="B22445" s="19"/>
      <c r="E22445" s="23"/>
      <c r="L22445" s="23"/>
    </row>
    <row r="22446">
      <c r="B22446" s="19"/>
      <c r="E22446" s="23"/>
      <c r="L22446" s="23"/>
    </row>
    <row r="22447">
      <c r="B22447" s="19"/>
      <c r="E22447" s="23"/>
      <c r="L22447" s="23"/>
    </row>
    <row r="22448">
      <c r="B22448" s="19"/>
      <c r="E22448" s="23"/>
      <c r="L22448" s="23"/>
    </row>
    <row r="22449">
      <c r="B22449" s="19"/>
      <c r="E22449" s="23"/>
      <c r="L22449" s="23"/>
    </row>
    <row r="22450">
      <c r="B22450" s="19"/>
      <c r="E22450" s="23"/>
      <c r="L22450" s="23"/>
    </row>
    <row r="22451">
      <c r="B22451" s="19"/>
      <c r="E22451" s="23"/>
      <c r="L22451" s="23"/>
    </row>
    <row r="22452">
      <c r="B22452" s="19"/>
      <c r="E22452" s="23"/>
      <c r="L22452" s="23"/>
    </row>
    <row r="22453">
      <c r="B22453" s="19"/>
      <c r="E22453" s="23"/>
      <c r="L22453" s="23"/>
    </row>
    <row r="22454">
      <c r="B22454" s="19"/>
      <c r="E22454" s="23"/>
      <c r="L22454" s="23"/>
    </row>
    <row r="22455">
      <c r="B22455" s="19"/>
      <c r="E22455" s="23"/>
      <c r="L22455" s="23"/>
    </row>
    <row r="22456">
      <c r="B22456" s="19"/>
      <c r="E22456" s="23"/>
      <c r="L22456" s="23"/>
    </row>
    <row r="22457">
      <c r="B22457" s="19"/>
      <c r="E22457" s="23"/>
      <c r="L22457" s="23"/>
    </row>
    <row r="22458">
      <c r="B22458" s="19"/>
      <c r="E22458" s="23"/>
      <c r="L22458" s="23"/>
    </row>
    <row r="22459">
      <c r="B22459" s="19"/>
      <c r="E22459" s="23"/>
      <c r="L22459" s="23"/>
    </row>
    <row r="22460">
      <c r="B22460" s="19"/>
      <c r="E22460" s="23"/>
      <c r="L22460" s="23"/>
    </row>
    <row r="22461">
      <c r="B22461" s="19"/>
      <c r="E22461" s="23"/>
      <c r="L22461" s="23"/>
    </row>
    <row r="22462">
      <c r="B22462" s="19"/>
      <c r="E22462" s="23"/>
      <c r="L22462" s="23"/>
    </row>
    <row r="22463">
      <c r="B22463" s="19"/>
      <c r="E22463" s="23"/>
      <c r="L22463" s="23"/>
    </row>
    <row r="22464">
      <c r="B22464" s="19"/>
      <c r="E22464" s="23"/>
      <c r="L22464" s="23"/>
    </row>
    <row r="22465">
      <c r="B22465" s="19"/>
      <c r="E22465" s="23"/>
      <c r="L22465" s="23"/>
    </row>
    <row r="22466">
      <c r="B22466" s="19"/>
      <c r="E22466" s="23"/>
      <c r="L22466" s="23"/>
    </row>
    <row r="22467">
      <c r="B22467" s="19"/>
      <c r="E22467" s="23"/>
      <c r="L22467" s="23"/>
    </row>
    <row r="22468">
      <c r="B22468" s="19"/>
      <c r="E22468" s="23"/>
      <c r="L22468" s="23"/>
    </row>
    <row r="22469">
      <c r="B22469" s="19"/>
      <c r="E22469" s="23"/>
      <c r="L22469" s="23"/>
    </row>
    <row r="22470">
      <c r="B22470" s="19"/>
      <c r="E22470" s="23"/>
      <c r="L22470" s="23"/>
    </row>
    <row r="22471">
      <c r="B22471" s="19"/>
      <c r="E22471" s="23"/>
      <c r="L22471" s="23"/>
    </row>
    <row r="22472">
      <c r="B22472" s="19"/>
      <c r="E22472" s="23"/>
      <c r="L22472" s="23"/>
    </row>
    <row r="22473">
      <c r="B22473" s="19"/>
      <c r="E22473" s="23"/>
      <c r="L22473" s="23"/>
    </row>
    <row r="22474">
      <c r="B22474" s="19"/>
      <c r="E22474" s="23"/>
      <c r="L22474" s="23"/>
    </row>
    <row r="22475">
      <c r="B22475" s="19"/>
      <c r="E22475" s="23"/>
      <c r="L22475" s="23"/>
    </row>
    <row r="22476">
      <c r="B22476" s="19"/>
      <c r="E22476" s="23"/>
      <c r="L22476" s="23"/>
    </row>
    <row r="22477">
      <c r="B22477" s="19"/>
      <c r="E22477" s="23"/>
      <c r="L22477" s="23"/>
    </row>
    <row r="22478">
      <c r="B22478" s="19"/>
      <c r="E22478" s="23"/>
      <c r="L22478" s="23"/>
    </row>
    <row r="22479">
      <c r="B22479" s="19"/>
      <c r="E22479" s="23"/>
      <c r="L22479" s="23"/>
    </row>
    <row r="22480">
      <c r="B22480" s="19"/>
      <c r="E22480" s="23"/>
      <c r="L22480" s="23"/>
    </row>
    <row r="22481">
      <c r="B22481" s="19"/>
      <c r="E22481" s="23"/>
      <c r="L22481" s="23"/>
    </row>
    <row r="22482">
      <c r="B22482" s="19"/>
      <c r="E22482" s="23"/>
      <c r="L22482" s="23"/>
    </row>
    <row r="22483">
      <c r="B22483" s="19"/>
      <c r="E22483" s="23"/>
      <c r="L22483" s="23"/>
    </row>
    <row r="22484">
      <c r="B22484" s="19"/>
      <c r="E22484" s="23"/>
      <c r="L22484" s="23"/>
    </row>
    <row r="22485">
      <c r="B22485" s="19"/>
      <c r="E22485" s="23"/>
      <c r="L22485" s="23"/>
    </row>
    <row r="22486">
      <c r="B22486" s="19"/>
      <c r="E22486" s="23"/>
      <c r="L22486" s="23"/>
    </row>
    <row r="22487">
      <c r="B22487" s="19"/>
      <c r="E22487" s="23"/>
      <c r="L22487" s="23"/>
    </row>
    <row r="22488">
      <c r="B22488" s="19"/>
      <c r="E22488" s="23"/>
      <c r="L22488" s="23"/>
    </row>
    <row r="22489">
      <c r="B22489" s="19"/>
      <c r="E22489" s="23"/>
      <c r="L22489" s="23"/>
    </row>
    <row r="22490">
      <c r="B22490" s="19"/>
      <c r="E22490" s="23"/>
      <c r="L22490" s="23"/>
    </row>
    <row r="22491">
      <c r="B22491" s="19"/>
      <c r="E22491" s="23"/>
      <c r="L22491" s="23"/>
    </row>
    <row r="22492">
      <c r="B22492" s="19"/>
      <c r="E22492" s="23"/>
      <c r="L22492" s="23"/>
    </row>
    <row r="22493">
      <c r="B22493" s="19"/>
      <c r="E22493" s="23"/>
      <c r="L22493" s="23"/>
    </row>
    <row r="22494">
      <c r="B22494" s="19"/>
      <c r="E22494" s="23"/>
      <c r="L22494" s="23"/>
    </row>
    <row r="22495">
      <c r="B22495" s="19"/>
      <c r="E22495" s="23"/>
      <c r="L22495" s="23"/>
    </row>
    <row r="22496">
      <c r="B22496" s="19"/>
      <c r="E22496" s="23"/>
      <c r="L22496" s="23"/>
    </row>
    <row r="22497">
      <c r="B22497" s="19"/>
      <c r="E22497" s="23"/>
      <c r="L22497" s="23"/>
    </row>
    <row r="22498">
      <c r="B22498" s="19"/>
      <c r="E22498" s="23"/>
      <c r="L22498" s="23"/>
    </row>
    <row r="22499">
      <c r="B22499" s="19"/>
      <c r="E22499" s="23"/>
      <c r="L22499" s="23"/>
    </row>
    <row r="22500">
      <c r="B22500" s="19"/>
      <c r="E22500" s="23"/>
      <c r="L22500" s="23"/>
    </row>
    <row r="22501">
      <c r="B22501" s="19"/>
      <c r="E22501" s="23"/>
      <c r="L22501" s="23"/>
    </row>
    <row r="22502">
      <c r="B22502" s="19"/>
      <c r="E22502" s="23"/>
      <c r="L22502" s="23"/>
    </row>
    <row r="22503">
      <c r="B22503" s="19"/>
      <c r="E22503" s="23"/>
      <c r="L22503" s="23"/>
    </row>
    <row r="22504">
      <c r="B22504" s="19"/>
      <c r="E22504" s="23"/>
      <c r="L22504" s="23"/>
    </row>
    <row r="22505">
      <c r="B22505" s="19"/>
      <c r="E22505" s="23"/>
      <c r="L22505" s="23"/>
    </row>
    <row r="22506">
      <c r="B22506" s="19"/>
      <c r="E22506" s="23"/>
      <c r="L22506" s="23"/>
    </row>
    <row r="22507">
      <c r="B22507" s="19"/>
      <c r="E22507" s="23"/>
      <c r="L22507" s="23"/>
    </row>
    <row r="22508">
      <c r="B22508" s="19"/>
      <c r="E22508" s="23"/>
      <c r="L22508" s="23"/>
    </row>
    <row r="22509">
      <c r="B22509" s="19"/>
      <c r="E22509" s="23"/>
      <c r="L22509" s="23"/>
    </row>
    <row r="22510">
      <c r="B22510" s="19"/>
      <c r="E22510" s="23"/>
      <c r="L22510" s="23"/>
    </row>
    <row r="22511">
      <c r="B22511" s="19"/>
      <c r="E22511" s="23"/>
      <c r="L22511" s="23"/>
    </row>
    <row r="22512">
      <c r="B22512" s="19"/>
      <c r="E22512" s="23"/>
      <c r="L22512" s="23"/>
    </row>
    <row r="22513">
      <c r="B22513" s="19"/>
      <c r="E22513" s="23"/>
      <c r="L22513" s="23"/>
    </row>
    <row r="22514">
      <c r="B22514" s="19"/>
      <c r="E22514" s="23"/>
      <c r="L22514" s="23"/>
    </row>
    <row r="22515">
      <c r="B22515" s="19"/>
      <c r="E22515" s="23"/>
      <c r="L22515" s="23"/>
    </row>
    <row r="22516">
      <c r="B22516" s="19"/>
      <c r="E22516" s="23"/>
      <c r="L22516" s="23"/>
    </row>
    <row r="22517">
      <c r="B22517" s="19"/>
      <c r="E22517" s="23"/>
      <c r="L22517" s="23"/>
    </row>
    <row r="22518">
      <c r="B22518" s="19"/>
      <c r="E22518" s="23"/>
      <c r="L22518" s="23"/>
    </row>
    <row r="22519">
      <c r="B22519" s="19"/>
      <c r="E22519" s="23"/>
      <c r="L22519" s="23"/>
    </row>
    <row r="22520">
      <c r="B22520" s="19"/>
      <c r="E22520" s="23"/>
      <c r="L22520" s="23"/>
    </row>
    <row r="22521">
      <c r="B22521" s="19"/>
      <c r="E22521" s="23"/>
      <c r="L22521" s="23"/>
    </row>
    <row r="22522">
      <c r="B22522" s="19"/>
      <c r="E22522" s="23"/>
      <c r="L22522" s="23"/>
    </row>
    <row r="22523">
      <c r="B22523" s="19"/>
      <c r="E22523" s="23"/>
      <c r="L22523" s="23"/>
    </row>
    <row r="22524">
      <c r="B22524" s="19"/>
      <c r="E22524" s="23"/>
      <c r="L22524" s="23"/>
    </row>
    <row r="22525">
      <c r="B22525" s="19"/>
      <c r="E22525" s="23"/>
      <c r="L22525" s="23"/>
    </row>
    <row r="22526">
      <c r="B22526" s="19"/>
      <c r="E22526" s="23"/>
      <c r="L22526" s="23"/>
    </row>
    <row r="22527">
      <c r="B22527" s="19"/>
      <c r="E22527" s="23"/>
      <c r="L22527" s="23"/>
    </row>
    <row r="22528">
      <c r="B22528" s="19"/>
      <c r="E22528" s="23"/>
      <c r="L22528" s="23"/>
    </row>
    <row r="22529">
      <c r="B22529" s="19"/>
      <c r="E22529" s="23"/>
      <c r="L22529" s="23"/>
    </row>
    <row r="22530">
      <c r="B22530" s="19"/>
      <c r="E22530" s="23"/>
      <c r="L22530" s="23"/>
    </row>
    <row r="22531">
      <c r="B22531" s="19"/>
      <c r="E22531" s="23"/>
      <c r="L22531" s="23"/>
    </row>
    <row r="22532">
      <c r="B22532" s="19"/>
      <c r="E22532" s="23"/>
      <c r="L22532" s="23"/>
    </row>
    <row r="22533">
      <c r="B22533" s="19"/>
      <c r="E22533" s="23"/>
      <c r="L22533" s="23"/>
    </row>
    <row r="22534">
      <c r="B22534" s="19"/>
      <c r="E22534" s="23"/>
      <c r="L22534" s="23"/>
    </row>
    <row r="22535">
      <c r="B22535" s="19"/>
      <c r="E22535" s="23"/>
      <c r="L22535" s="23"/>
    </row>
    <row r="22536">
      <c r="B22536" s="19"/>
      <c r="E22536" s="23"/>
      <c r="L22536" s="23"/>
    </row>
    <row r="22537">
      <c r="B22537" s="19"/>
      <c r="E22537" s="23"/>
      <c r="L22537" s="23"/>
    </row>
    <row r="22538">
      <c r="B22538" s="19"/>
      <c r="E22538" s="23"/>
      <c r="L22538" s="23"/>
    </row>
    <row r="22539">
      <c r="B22539" s="19"/>
      <c r="E22539" s="23"/>
      <c r="L22539" s="23"/>
    </row>
    <row r="22540">
      <c r="B22540" s="19"/>
      <c r="E22540" s="23"/>
      <c r="L22540" s="23"/>
    </row>
    <row r="22541">
      <c r="B22541" s="19"/>
      <c r="E22541" s="23"/>
      <c r="L22541" s="23"/>
    </row>
    <row r="22542">
      <c r="B22542" s="19"/>
      <c r="E22542" s="23"/>
      <c r="L22542" s="23"/>
    </row>
    <row r="22543">
      <c r="B22543" s="19"/>
      <c r="E22543" s="23"/>
      <c r="L22543" s="23"/>
    </row>
    <row r="22544">
      <c r="B22544" s="19"/>
      <c r="E22544" s="23"/>
      <c r="L22544" s="23"/>
    </row>
    <row r="22545">
      <c r="B22545" s="19"/>
      <c r="E22545" s="23"/>
      <c r="L22545" s="23"/>
    </row>
    <row r="22546">
      <c r="B22546" s="19"/>
      <c r="E22546" s="23"/>
      <c r="L22546" s="23"/>
    </row>
    <row r="22547">
      <c r="B22547" s="19"/>
      <c r="E22547" s="23"/>
      <c r="L22547" s="23"/>
    </row>
    <row r="22548">
      <c r="B22548" s="19"/>
      <c r="E22548" s="23"/>
      <c r="L22548" s="23"/>
    </row>
    <row r="22549">
      <c r="B22549" s="19"/>
      <c r="E22549" s="23"/>
      <c r="L22549" s="23"/>
    </row>
    <row r="22550">
      <c r="B22550" s="19"/>
      <c r="E22550" s="23"/>
      <c r="L22550" s="23"/>
    </row>
    <row r="22551">
      <c r="B22551" s="19"/>
      <c r="E22551" s="23"/>
      <c r="L22551" s="23"/>
    </row>
    <row r="22552">
      <c r="B22552" s="19"/>
      <c r="E22552" s="23"/>
      <c r="L22552" s="23"/>
    </row>
    <row r="22553">
      <c r="B22553" s="19"/>
      <c r="E22553" s="23"/>
      <c r="L22553" s="23"/>
    </row>
    <row r="22554">
      <c r="B22554" s="19"/>
      <c r="E22554" s="23"/>
      <c r="L22554" s="23"/>
    </row>
    <row r="22555">
      <c r="B22555" s="19"/>
      <c r="E22555" s="23"/>
      <c r="L22555" s="23"/>
    </row>
    <row r="22556">
      <c r="B22556" s="19"/>
      <c r="E22556" s="23"/>
      <c r="L22556" s="23"/>
    </row>
    <row r="22557">
      <c r="B22557" s="19"/>
      <c r="E22557" s="23"/>
      <c r="L22557" s="23"/>
    </row>
    <row r="22558">
      <c r="B22558" s="19"/>
      <c r="E22558" s="23"/>
      <c r="L22558" s="23"/>
    </row>
    <row r="22559">
      <c r="B22559" s="19"/>
      <c r="E22559" s="23"/>
      <c r="L22559" s="23"/>
    </row>
    <row r="22560">
      <c r="B22560" s="19"/>
      <c r="E22560" s="23"/>
      <c r="L22560" s="23"/>
    </row>
    <row r="22561">
      <c r="B22561" s="19"/>
      <c r="E22561" s="23"/>
      <c r="L22561" s="23"/>
    </row>
    <row r="22562">
      <c r="B22562" s="19"/>
      <c r="E22562" s="23"/>
      <c r="L22562" s="23"/>
    </row>
    <row r="22563">
      <c r="B22563" s="19"/>
      <c r="E22563" s="23"/>
      <c r="L22563" s="23"/>
    </row>
    <row r="22564">
      <c r="B22564" s="19"/>
      <c r="E22564" s="23"/>
      <c r="L22564" s="23"/>
    </row>
    <row r="22565">
      <c r="B22565" s="19"/>
      <c r="E22565" s="23"/>
      <c r="L22565" s="23"/>
    </row>
    <row r="22566">
      <c r="B22566" s="19"/>
      <c r="E22566" s="23"/>
      <c r="L22566" s="23"/>
    </row>
    <row r="22567">
      <c r="B22567" s="19"/>
      <c r="E22567" s="23"/>
      <c r="L22567" s="23"/>
    </row>
    <row r="22568">
      <c r="B22568" s="19"/>
      <c r="E22568" s="23"/>
      <c r="L22568" s="23"/>
    </row>
    <row r="22569">
      <c r="B22569" s="19"/>
      <c r="E22569" s="23"/>
      <c r="L22569" s="23"/>
    </row>
    <row r="22570">
      <c r="B22570" s="19"/>
      <c r="E22570" s="23"/>
      <c r="L22570" s="23"/>
    </row>
    <row r="22571">
      <c r="B22571" s="19"/>
      <c r="E22571" s="23"/>
      <c r="L22571" s="23"/>
    </row>
    <row r="22572">
      <c r="B22572" s="19"/>
      <c r="E22572" s="23"/>
      <c r="L22572" s="23"/>
    </row>
    <row r="22573">
      <c r="B22573" s="19"/>
      <c r="E22573" s="23"/>
      <c r="L22573" s="23"/>
    </row>
    <row r="22574">
      <c r="B22574" s="19"/>
      <c r="E22574" s="23"/>
      <c r="L22574" s="23"/>
    </row>
    <row r="22575">
      <c r="B22575" s="19"/>
      <c r="E22575" s="23"/>
      <c r="L22575" s="23"/>
    </row>
    <row r="22576">
      <c r="B22576" s="19"/>
      <c r="E22576" s="23"/>
      <c r="L22576" s="23"/>
    </row>
    <row r="22577">
      <c r="B22577" s="19"/>
      <c r="E22577" s="23"/>
      <c r="L22577" s="23"/>
    </row>
    <row r="22578">
      <c r="B22578" s="19"/>
      <c r="E22578" s="23"/>
      <c r="L22578" s="23"/>
    </row>
    <row r="22579">
      <c r="B22579" s="19"/>
      <c r="E22579" s="23"/>
      <c r="L22579" s="23"/>
    </row>
    <row r="22580">
      <c r="B22580" s="19"/>
      <c r="E22580" s="23"/>
      <c r="L22580" s="23"/>
    </row>
    <row r="22581">
      <c r="B22581" s="19"/>
      <c r="E22581" s="23"/>
      <c r="L22581" s="23"/>
    </row>
    <row r="22582">
      <c r="B22582" s="19"/>
      <c r="E22582" s="23"/>
      <c r="L22582" s="23"/>
    </row>
    <row r="22583">
      <c r="B22583" s="19"/>
      <c r="E22583" s="23"/>
      <c r="L22583" s="23"/>
    </row>
    <row r="22584">
      <c r="B22584" s="19"/>
      <c r="E22584" s="23"/>
      <c r="L22584" s="23"/>
    </row>
    <row r="22585">
      <c r="B22585" s="19"/>
      <c r="E22585" s="23"/>
      <c r="L22585" s="23"/>
    </row>
    <row r="22586">
      <c r="B22586" s="19"/>
      <c r="E22586" s="23"/>
      <c r="L22586" s="23"/>
    </row>
    <row r="22587">
      <c r="B22587" s="19"/>
      <c r="E22587" s="23"/>
      <c r="L22587" s="23"/>
    </row>
    <row r="22588">
      <c r="B22588" s="19"/>
      <c r="E22588" s="23"/>
      <c r="L22588" s="23"/>
    </row>
    <row r="22589">
      <c r="B22589" s="19"/>
      <c r="E22589" s="23"/>
      <c r="L22589" s="23"/>
    </row>
    <row r="22590">
      <c r="B22590" s="19"/>
      <c r="E22590" s="23"/>
      <c r="L22590" s="23"/>
    </row>
    <row r="22591">
      <c r="B22591" s="19"/>
      <c r="E22591" s="23"/>
      <c r="L22591" s="23"/>
    </row>
    <row r="22592">
      <c r="B22592" s="19"/>
      <c r="E22592" s="23"/>
      <c r="L22592" s="23"/>
    </row>
    <row r="22593">
      <c r="B22593" s="19"/>
      <c r="E22593" s="23"/>
      <c r="L22593" s="23"/>
    </row>
    <row r="22594">
      <c r="B22594" s="19"/>
      <c r="E22594" s="23"/>
      <c r="L22594" s="23"/>
    </row>
    <row r="22595">
      <c r="B22595" s="19"/>
      <c r="E22595" s="23"/>
      <c r="L22595" s="23"/>
    </row>
    <row r="22596">
      <c r="B22596" s="19"/>
      <c r="E22596" s="23"/>
      <c r="L22596" s="23"/>
    </row>
    <row r="22597">
      <c r="B22597" s="19"/>
      <c r="E22597" s="23"/>
      <c r="L22597" s="23"/>
    </row>
    <row r="22598">
      <c r="B22598" s="19"/>
      <c r="E22598" s="23"/>
      <c r="L22598" s="23"/>
    </row>
    <row r="22599">
      <c r="B22599" s="19"/>
      <c r="E22599" s="23"/>
      <c r="L22599" s="23"/>
    </row>
    <row r="22600">
      <c r="B22600" s="19"/>
      <c r="E22600" s="23"/>
      <c r="L22600" s="23"/>
    </row>
    <row r="22601">
      <c r="B22601" s="19"/>
      <c r="E22601" s="23"/>
      <c r="L22601" s="23"/>
    </row>
    <row r="22602">
      <c r="B22602" s="19"/>
      <c r="E22602" s="23"/>
      <c r="L22602" s="23"/>
    </row>
    <row r="22603">
      <c r="B22603" s="19"/>
      <c r="E22603" s="23"/>
      <c r="L22603" s="23"/>
    </row>
    <row r="22604">
      <c r="B22604" s="19"/>
      <c r="E22604" s="23"/>
      <c r="L22604" s="23"/>
    </row>
    <row r="22605">
      <c r="B22605" s="19"/>
      <c r="E22605" s="23"/>
      <c r="L22605" s="23"/>
    </row>
    <row r="22606">
      <c r="B22606" s="19"/>
      <c r="E22606" s="23"/>
      <c r="L22606" s="23"/>
    </row>
    <row r="22607">
      <c r="B22607" s="19"/>
      <c r="E22607" s="23"/>
      <c r="L22607" s="23"/>
    </row>
    <row r="22608">
      <c r="B22608" s="19"/>
      <c r="E22608" s="23"/>
      <c r="L22608" s="23"/>
    </row>
    <row r="22609">
      <c r="B22609" s="19"/>
      <c r="E22609" s="23"/>
      <c r="L22609" s="23"/>
    </row>
    <row r="22610">
      <c r="B22610" s="19"/>
      <c r="E22610" s="23"/>
      <c r="L22610" s="23"/>
    </row>
    <row r="22611">
      <c r="B22611" s="19"/>
      <c r="E22611" s="23"/>
      <c r="L22611" s="23"/>
    </row>
    <row r="22612">
      <c r="B22612" s="19"/>
      <c r="E22612" s="23"/>
      <c r="L22612" s="23"/>
    </row>
    <row r="22613">
      <c r="B22613" s="19"/>
      <c r="E22613" s="23"/>
      <c r="L22613" s="23"/>
    </row>
    <row r="22614">
      <c r="B22614" s="19"/>
      <c r="E22614" s="23"/>
      <c r="L22614" s="23"/>
    </row>
    <row r="22615">
      <c r="B22615" s="19"/>
      <c r="E22615" s="23"/>
      <c r="L22615" s="23"/>
    </row>
    <row r="22616">
      <c r="B22616" s="19"/>
      <c r="E22616" s="23"/>
      <c r="L22616" s="23"/>
    </row>
    <row r="22617">
      <c r="B22617" s="19"/>
      <c r="E22617" s="23"/>
      <c r="L22617" s="23"/>
    </row>
    <row r="22618">
      <c r="B22618" s="19"/>
      <c r="E22618" s="23"/>
      <c r="L22618" s="23"/>
    </row>
    <row r="22619">
      <c r="B22619" s="19"/>
      <c r="E22619" s="23"/>
      <c r="L22619" s="23"/>
    </row>
    <row r="22620">
      <c r="B22620" s="19"/>
      <c r="E22620" s="23"/>
      <c r="L22620" s="23"/>
    </row>
    <row r="22621">
      <c r="B22621" s="19"/>
      <c r="E22621" s="23"/>
      <c r="L22621" s="23"/>
    </row>
    <row r="22622">
      <c r="B22622" s="19"/>
      <c r="E22622" s="23"/>
      <c r="L22622" s="23"/>
    </row>
    <row r="22623">
      <c r="B22623" s="19"/>
      <c r="E22623" s="23"/>
      <c r="L22623" s="23"/>
    </row>
    <row r="22624">
      <c r="B22624" s="19"/>
      <c r="E22624" s="23"/>
      <c r="L22624" s="23"/>
    </row>
    <row r="22625">
      <c r="B22625" s="19"/>
      <c r="E22625" s="23"/>
      <c r="L22625" s="23"/>
    </row>
    <row r="22626">
      <c r="B22626" s="19"/>
      <c r="E22626" s="23"/>
      <c r="L22626" s="23"/>
    </row>
    <row r="22627">
      <c r="B22627" s="19"/>
      <c r="E22627" s="23"/>
      <c r="L22627" s="23"/>
    </row>
    <row r="22628">
      <c r="B22628" s="19"/>
      <c r="E22628" s="23"/>
      <c r="L22628" s="23"/>
    </row>
    <row r="22629">
      <c r="B22629" s="19"/>
      <c r="E22629" s="23"/>
      <c r="L22629" s="23"/>
    </row>
    <row r="22630">
      <c r="B22630" s="19"/>
      <c r="E22630" s="23"/>
      <c r="L22630" s="23"/>
    </row>
    <row r="22631">
      <c r="B22631" s="19"/>
      <c r="E22631" s="23"/>
      <c r="L22631" s="23"/>
    </row>
    <row r="22632">
      <c r="B22632" s="19"/>
      <c r="E22632" s="23"/>
      <c r="L22632" s="23"/>
    </row>
    <row r="22633">
      <c r="B22633" s="19"/>
      <c r="E22633" s="23"/>
      <c r="L22633" s="23"/>
    </row>
    <row r="22634">
      <c r="B22634" s="19"/>
      <c r="E22634" s="23"/>
      <c r="L22634" s="23"/>
    </row>
    <row r="22635">
      <c r="B22635" s="19"/>
      <c r="E22635" s="23"/>
      <c r="L22635" s="23"/>
    </row>
    <row r="22636">
      <c r="B22636" s="19"/>
      <c r="E22636" s="23"/>
      <c r="L22636" s="23"/>
    </row>
    <row r="22637">
      <c r="B22637" s="19"/>
      <c r="E22637" s="23"/>
      <c r="L22637" s="23"/>
    </row>
    <row r="22638">
      <c r="B22638" s="19"/>
      <c r="E22638" s="23"/>
      <c r="L22638" s="23"/>
    </row>
    <row r="22639">
      <c r="B22639" s="19"/>
      <c r="E22639" s="23"/>
      <c r="L22639" s="23"/>
    </row>
    <row r="22640">
      <c r="B22640" s="19"/>
      <c r="E22640" s="23"/>
      <c r="L22640" s="23"/>
    </row>
    <row r="22641">
      <c r="B22641" s="19"/>
      <c r="E22641" s="23"/>
      <c r="L22641" s="23"/>
    </row>
    <row r="22642">
      <c r="B22642" s="19"/>
      <c r="E22642" s="23"/>
      <c r="L22642" s="23"/>
    </row>
    <row r="22643">
      <c r="B22643" s="19"/>
      <c r="E22643" s="23"/>
      <c r="L22643" s="23"/>
    </row>
    <row r="22644">
      <c r="B22644" s="19"/>
      <c r="E22644" s="23"/>
      <c r="L22644" s="23"/>
    </row>
    <row r="22645">
      <c r="B22645" s="19"/>
      <c r="E22645" s="23"/>
      <c r="L22645" s="23"/>
    </row>
    <row r="22646">
      <c r="B22646" s="19"/>
      <c r="E22646" s="23"/>
      <c r="L22646" s="23"/>
    </row>
    <row r="22647">
      <c r="B22647" s="19"/>
      <c r="E22647" s="23"/>
      <c r="L22647" s="23"/>
    </row>
    <row r="22648">
      <c r="B22648" s="19"/>
      <c r="E22648" s="23"/>
      <c r="L22648" s="23"/>
    </row>
    <row r="22649">
      <c r="B22649" s="19"/>
      <c r="E22649" s="23"/>
      <c r="L22649" s="23"/>
    </row>
    <row r="22650">
      <c r="B22650" s="19"/>
      <c r="E22650" s="23"/>
      <c r="L22650" s="23"/>
    </row>
    <row r="22651">
      <c r="B22651" s="19"/>
      <c r="E22651" s="23"/>
      <c r="L22651" s="23"/>
    </row>
    <row r="22652">
      <c r="B22652" s="19"/>
      <c r="E22652" s="23"/>
      <c r="L22652" s="23"/>
    </row>
    <row r="22653">
      <c r="B22653" s="19"/>
      <c r="E22653" s="23"/>
      <c r="L22653" s="23"/>
    </row>
    <row r="22654">
      <c r="B22654" s="19"/>
      <c r="E22654" s="23"/>
      <c r="L22654" s="23"/>
    </row>
    <row r="22655">
      <c r="B22655" s="19"/>
      <c r="E22655" s="23"/>
      <c r="L22655" s="23"/>
    </row>
    <row r="22656">
      <c r="B22656" s="19"/>
      <c r="E22656" s="23"/>
      <c r="L22656" s="23"/>
    </row>
    <row r="22657">
      <c r="B22657" s="19"/>
      <c r="E22657" s="23"/>
      <c r="L22657" s="23"/>
    </row>
    <row r="22658">
      <c r="B22658" s="19"/>
      <c r="E22658" s="23"/>
      <c r="L22658" s="23"/>
    </row>
    <row r="22659">
      <c r="B22659" s="19"/>
      <c r="E22659" s="23"/>
      <c r="L22659" s="23"/>
    </row>
    <row r="22660">
      <c r="B22660" s="19"/>
      <c r="E22660" s="23"/>
      <c r="L22660" s="23"/>
    </row>
    <row r="22661">
      <c r="B22661" s="19"/>
      <c r="E22661" s="23"/>
      <c r="L22661" s="23"/>
    </row>
    <row r="22662">
      <c r="B22662" s="19"/>
      <c r="E22662" s="23"/>
      <c r="L22662" s="23"/>
    </row>
    <row r="22663">
      <c r="B22663" s="19"/>
      <c r="E22663" s="23"/>
      <c r="L22663" s="23"/>
    </row>
    <row r="22664">
      <c r="B22664" s="19"/>
      <c r="E22664" s="23"/>
      <c r="L22664" s="23"/>
    </row>
    <row r="22665">
      <c r="B22665" s="19"/>
      <c r="E22665" s="23"/>
      <c r="L22665" s="23"/>
    </row>
    <row r="22666">
      <c r="B22666" s="19"/>
      <c r="E22666" s="23"/>
      <c r="L22666" s="23"/>
    </row>
    <row r="22667">
      <c r="B22667" s="19"/>
      <c r="E22667" s="23"/>
      <c r="L22667" s="23"/>
    </row>
    <row r="22668">
      <c r="B22668" s="19"/>
      <c r="E22668" s="23"/>
      <c r="L22668" s="23"/>
    </row>
    <row r="22669">
      <c r="B22669" s="19"/>
      <c r="E22669" s="23"/>
      <c r="L22669" s="23"/>
    </row>
    <row r="22670">
      <c r="B22670" s="19"/>
      <c r="E22670" s="23"/>
      <c r="L22670" s="23"/>
    </row>
    <row r="22671">
      <c r="B22671" s="19"/>
      <c r="E22671" s="23"/>
      <c r="L22671" s="23"/>
    </row>
    <row r="22672">
      <c r="B22672" s="19"/>
      <c r="E22672" s="23"/>
      <c r="L22672" s="23"/>
    </row>
    <row r="22673">
      <c r="B22673" s="19"/>
      <c r="E22673" s="23"/>
      <c r="L22673" s="23"/>
    </row>
    <row r="22674">
      <c r="B22674" s="19"/>
      <c r="E22674" s="23"/>
      <c r="L22674" s="23"/>
    </row>
    <row r="22675">
      <c r="B22675" s="19"/>
      <c r="E22675" s="23"/>
      <c r="L22675" s="23"/>
    </row>
    <row r="22676">
      <c r="B22676" s="19"/>
      <c r="E22676" s="23"/>
      <c r="L22676" s="23"/>
    </row>
    <row r="22677">
      <c r="B22677" s="19"/>
      <c r="E22677" s="23"/>
      <c r="L22677" s="23"/>
    </row>
    <row r="22678">
      <c r="B22678" s="19"/>
      <c r="E22678" s="23"/>
      <c r="L22678" s="23"/>
    </row>
    <row r="22679">
      <c r="B22679" s="19"/>
      <c r="E22679" s="23"/>
      <c r="L22679" s="23"/>
    </row>
    <row r="22680">
      <c r="B22680" s="19"/>
      <c r="E22680" s="23"/>
      <c r="L22680" s="23"/>
    </row>
    <row r="22681">
      <c r="B22681" s="19"/>
      <c r="E22681" s="23"/>
      <c r="L22681" s="23"/>
    </row>
    <row r="22682">
      <c r="B22682" s="19"/>
      <c r="E22682" s="23"/>
      <c r="L22682" s="23"/>
    </row>
    <row r="22683">
      <c r="B22683" s="19"/>
      <c r="E22683" s="23"/>
      <c r="L22683" s="23"/>
    </row>
    <row r="22684">
      <c r="B22684" s="19"/>
      <c r="E22684" s="23"/>
      <c r="L22684" s="23"/>
    </row>
    <row r="22685">
      <c r="B22685" s="19"/>
      <c r="E22685" s="23"/>
      <c r="L22685" s="23"/>
    </row>
    <row r="22686">
      <c r="B22686" s="19"/>
      <c r="E22686" s="23"/>
      <c r="L22686" s="23"/>
    </row>
    <row r="22687">
      <c r="B22687" s="19"/>
      <c r="E22687" s="23"/>
      <c r="L22687" s="23"/>
    </row>
    <row r="22688">
      <c r="B22688" s="19"/>
      <c r="E22688" s="23"/>
      <c r="L22688" s="23"/>
    </row>
    <row r="22689">
      <c r="B22689" s="19"/>
      <c r="E22689" s="23"/>
      <c r="L22689" s="23"/>
    </row>
    <row r="22690">
      <c r="B22690" s="19"/>
      <c r="E22690" s="23"/>
      <c r="L22690" s="23"/>
    </row>
    <row r="22691">
      <c r="B22691" s="19"/>
      <c r="E22691" s="23"/>
      <c r="L22691" s="23"/>
    </row>
    <row r="22692">
      <c r="B22692" s="19"/>
      <c r="E22692" s="23"/>
      <c r="L22692" s="23"/>
    </row>
    <row r="22693">
      <c r="B22693" s="19"/>
      <c r="E22693" s="23"/>
      <c r="L22693" s="23"/>
    </row>
    <row r="22694">
      <c r="B22694" s="19"/>
      <c r="E22694" s="23"/>
      <c r="L22694" s="23"/>
    </row>
    <row r="22695">
      <c r="B22695" s="19"/>
      <c r="E22695" s="23"/>
      <c r="L22695" s="23"/>
    </row>
    <row r="22696">
      <c r="B22696" s="19"/>
      <c r="E22696" s="23"/>
      <c r="L22696" s="23"/>
    </row>
    <row r="22697">
      <c r="B22697" s="19"/>
      <c r="E22697" s="23"/>
      <c r="L22697" s="23"/>
    </row>
    <row r="22698">
      <c r="B22698" s="19"/>
      <c r="E22698" s="23"/>
      <c r="L22698" s="23"/>
    </row>
    <row r="22699">
      <c r="B22699" s="19"/>
      <c r="E22699" s="23"/>
      <c r="L22699" s="23"/>
    </row>
    <row r="22700">
      <c r="B22700" s="19"/>
      <c r="E22700" s="23"/>
      <c r="L22700" s="23"/>
    </row>
    <row r="22701">
      <c r="B22701" s="19"/>
      <c r="E22701" s="23"/>
      <c r="L22701" s="23"/>
    </row>
    <row r="22702">
      <c r="B22702" s="19"/>
      <c r="E22702" s="23"/>
      <c r="L22702" s="23"/>
    </row>
    <row r="22703">
      <c r="B22703" s="19"/>
      <c r="E22703" s="23"/>
      <c r="L22703" s="23"/>
    </row>
    <row r="22704">
      <c r="B22704" s="19"/>
      <c r="E22704" s="23"/>
      <c r="L22704" s="23"/>
    </row>
    <row r="22705">
      <c r="B22705" s="19"/>
      <c r="E22705" s="23"/>
      <c r="L22705" s="23"/>
    </row>
    <row r="22706">
      <c r="B22706" s="19"/>
      <c r="E22706" s="23"/>
      <c r="L22706" s="23"/>
    </row>
    <row r="22707">
      <c r="B22707" s="19"/>
      <c r="E22707" s="23"/>
      <c r="L22707" s="23"/>
    </row>
    <row r="22708">
      <c r="B22708" s="19"/>
      <c r="E22708" s="23"/>
      <c r="L22708" s="23"/>
    </row>
    <row r="22709">
      <c r="B22709" s="19"/>
      <c r="E22709" s="23"/>
      <c r="L22709" s="23"/>
    </row>
    <row r="22710">
      <c r="B22710" s="19"/>
      <c r="E22710" s="23"/>
      <c r="L22710" s="23"/>
    </row>
    <row r="22711">
      <c r="B22711" s="19"/>
      <c r="E22711" s="23"/>
      <c r="L22711" s="23"/>
    </row>
    <row r="22712">
      <c r="B22712" s="19"/>
      <c r="E22712" s="23"/>
      <c r="L22712" s="23"/>
    </row>
    <row r="22713">
      <c r="B22713" s="19"/>
      <c r="E22713" s="23"/>
      <c r="L22713" s="23"/>
    </row>
    <row r="22714">
      <c r="B22714" s="19"/>
      <c r="E22714" s="23"/>
      <c r="L22714" s="23"/>
    </row>
    <row r="22715">
      <c r="B22715" s="19"/>
      <c r="E22715" s="23"/>
      <c r="L22715" s="23"/>
    </row>
    <row r="22716">
      <c r="B22716" s="19"/>
      <c r="E22716" s="23"/>
      <c r="L22716" s="23"/>
    </row>
    <row r="22717">
      <c r="B22717" s="19"/>
      <c r="E22717" s="23"/>
      <c r="L22717" s="23"/>
    </row>
    <row r="22718">
      <c r="B22718" s="19"/>
      <c r="E22718" s="23"/>
      <c r="L22718" s="23"/>
    </row>
    <row r="22719">
      <c r="B22719" s="19"/>
      <c r="E22719" s="23"/>
      <c r="L22719" s="23"/>
    </row>
    <row r="22720">
      <c r="B22720" s="19"/>
      <c r="E22720" s="23"/>
      <c r="L22720" s="23"/>
    </row>
    <row r="22721">
      <c r="B22721" s="19"/>
      <c r="E22721" s="23"/>
      <c r="L22721" s="23"/>
    </row>
    <row r="22722">
      <c r="B22722" s="19"/>
      <c r="E22722" s="23"/>
      <c r="L22722" s="23"/>
    </row>
    <row r="22723">
      <c r="B22723" s="19"/>
      <c r="E22723" s="23"/>
      <c r="L22723" s="23"/>
    </row>
    <row r="22724">
      <c r="B22724" s="19"/>
      <c r="E22724" s="23"/>
      <c r="L22724" s="23"/>
    </row>
    <row r="22725">
      <c r="B22725" s="19"/>
      <c r="E22725" s="23"/>
      <c r="L22725" s="23"/>
    </row>
    <row r="22726">
      <c r="B22726" s="19"/>
      <c r="E22726" s="23"/>
      <c r="L22726" s="23"/>
    </row>
    <row r="22727">
      <c r="B22727" s="19"/>
      <c r="E22727" s="23"/>
      <c r="L22727" s="23"/>
    </row>
    <row r="22728">
      <c r="B22728" s="19"/>
      <c r="E22728" s="23"/>
      <c r="L22728" s="23"/>
    </row>
    <row r="22729">
      <c r="B22729" s="19"/>
      <c r="E22729" s="23"/>
      <c r="L22729" s="23"/>
    </row>
    <row r="22730">
      <c r="B22730" s="19"/>
      <c r="E22730" s="23"/>
      <c r="L22730" s="23"/>
    </row>
    <row r="22731">
      <c r="B22731" s="19"/>
      <c r="E22731" s="23"/>
      <c r="L22731" s="23"/>
    </row>
    <row r="22732">
      <c r="B22732" s="19"/>
      <c r="E22732" s="23"/>
      <c r="L22732" s="23"/>
    </row>
    <row r="22733">
      <c r="B22733" s="19"/>
      <c r="E22733" s="23"/>
      <c r="L22733" s="23"/>
    </row>
    <row r="22734">
      <c r="B22734" s="19"/>
      <c r="E22734" s="23"/>
      <c r="L22734" s="23"/>
    </row>
    <row r="22735">
      <c r="B22735" s="19"/>
      <c r="E22735" s="23"/>
      <c r="L22735" s="23"/>
    </row>
    <row r="22736">
      <c r="B22736" s="19"/>
      <c r="E22736" s="23"/>
      <c r="L22736" s="23"/>
    </row>
    <row r="22737">
      <c r="B22737" s="19"/>
      <c r="E22737" s="23"/>
      <c r="L22737" s="23"/>
    </row>
    <row r="22738">
      <c r="B22738" s="19"/>
      <c r="E22738" s="23"/>
      <c r="L22738" s="23"/>
    </row>
    <row r="22739">
      <c r="B22739" s="19"/>
      <c r="E22739" s="23"/>
      <c r="L22739" s="23"/>
    </row>
    <row r="22740">
      <c r="B22740" s="19"/>
      <c r="E22740" s="23"/>
      <c r="L22740" s="23"/>
    </row>
    <row r="22741">
      <c r="B22741" s="19"/>
      <c r="E22741" s="23"/>
      <c r="L22741" s="23"/>
    </row>
    <row r="22742">
      <c r="B22742" s="19"/>
      <c r="E22742" s="23"/>
      <c r="L22742" s="23"/>
    </row>
    <row r="22743">
      <c r="B22743" s="19"/>
      <c r="E22743" s="23"/>
      <c r="L22743" s="23"/>
    </row>
    <row r="22744">
      <c r="B22744" s="19"/>
      <c r="E22744" s="23"/>
      <c r="L22744" s="23"/>
    </row>
    <row r="22745">
      <c r="B22745" s="19"/>
      <c r="E22745" s="23"/>
      <c r="L22745" s="23"/>
    </row>
    <row r="22746">
      <c r="B22746" s="19"/>
      <c r="E22746" s="23"/>
      <c r="L22746" s="23"/>
    </row>
    <row r="22747">
      <c r="B22747" s="19"/>
      <c r="E22747" s="23"/>
      <c r="L22747" s="23"/>
    </row>
    <row r="22748">
      <c r="B22748" s="19"/>
      <c r="E22748" s="23"/>
      <c r="L22748" s="23"/>
    </row>
    <row r="22749">
      <c r="B22749" s="19"/>
      <c r="E22749" s="23"/>
      <c r="L22749" s="23"/>
    </row>
    <row r="22750">
      <c r="B22750" s="19"/>
      <c r="E22750" s="23"/>
      <c r="L22750" s="23"/>
    </row>
    <row r="22751">
      <c r="B22751" s="19"/>
      <c r="E22751" s="23"/>
      <c r="L22751" s="23"/>
    </row>
    <row r="22752">
      <c r="B22752" s="19"/>
      <c r="E22752" s="23"/>
      <c r="L22752" s="23"/>
    </row>
    <row r="22753">
      <c r="B22753" s="19"/>
      <c r="E22753" s="23"/>
      <c r="L22753" s="23"/>
    </row>
    <row r="22754">
      <c r="B22754" s="19"/>
      <c r="E22754" s="23"/>
      <c r="L22754" s="23"/>
    </row>
    <row r="22755">
      <c r="B22755" s="19"/>
      <c r="E22755" s="23"/>
      <c r="L22755" s="23"/>
    </row>
    <row r="22756">
      <c r="B22756" s="19"/>
      <c r="E22756" s="23"/>
      <c r="L22756" s="23"/>
    </row>
    <row r="22757">
      <c r="B22757" s="19"/>
      <c r="E22757" s="23"/>
      <c r="L22757" s="23"/>
    </row>
    <row r="22758">
      <c r="B22758" s="19"/>
      <c r="E22758" s="23"/>
      <c r="L22758" s="23"/>
    </row>
    <row r="22759">
      <c r="B22759" s="19"/>
      <c r="E22759" s="23"/>
      <c r="L22759" s="23"/>
    </row>
    <row r="22760">
      <c r="B22760" s="19"/>
      <c r="E22760" s="23"/>
      <c r="L22760" s="23"/>
    </row>
    <row r="22761">
      <c r="B22761" s="19"/>
      <c r="E22761" s="23"/>
      <c r="L22761" s="23"/>
    </row>
    <row r="22762">
      <c r="B22762" s="19"/>
      <c r="E22762" s="23"/>
      <c r="L22762" s="23"/>
    </row>
    <row r="22763">
      <c r="B22763" s="19"/>
      <c r="E22763" s="23"/>
      <c r="L22763" s="23"/>
    </row>
    <row r="22764">
      <c r="B22764" s="19"/>
      <c r="E22764" s="23"/>
      <c r="L22764" s="23"/>
    </row>
    <row r="22765">
      <c r="B22765" s="19"/>
      <c r="E22765" s="23"/>
      <c r="L22765" s="23"/>
    </row>
    <row r="22766">
      <c r="B22766" s="19"/>
      <c r="E22766" s="23"/>
      <c r="L22766" s="23"/>
    </row>
    <row r="22767">
      <c r="B22767" s="19"/>
      <c r="E22767" s="23"/>
      <c r="L22767" s="23"/>
    </row>
    <row r="22768">
      <c r="B22768" s="19"/>
      <c r="E22768" s="23"/>
      <c r="L22768" s="23"/>
    </row>
    <row r="22769">
      <c r="B22769" s="19"/>
      <c r="E22769" s="23"/>
      <c r="L22769" s="23"/>
    </row>
    <row r="22770">
      <c r="B22770" s="19"/>
      <c r="E22770" s="23"/>
      <c r="L22770" s="23"/>
    </row>
    <row r="22771">
      <c r="B22771" s="19"/>
      <c r="E22771" s="23"/>
      <c r="L22771" s="23"/>
    </row>
    <row r="22772">
      <c r="B22772" s="19"/>
      <c r="E22772" s="23"/>
      <c r="L22772" s="23"/>
    </row>
    <row r="22773">
      <c r="B22773" s="19"/>
      <c r="E22773" s="23"/>
      <c r="L22773" s="23"/>
    </row>
    <row r="22774">
      <c r="B22774" s="19"/>
      <c r="E22774" s="23"/>
      <c r="L22774" s="23"/>
    </row>
    <row r="22775">
      <c r="B22775" s="19"/>
      <c r="E22775" s="23"/>
      <c r="L22775" s="23"/>
    </row>
    <row r="22776">
      <c r="B22776" s="19"/>
      <c r="E22776" s="23"/>
      <c r="L22776" s="23"/>
    </row>
    <row r="22777">
      <c r="B22777" s="19"/>
      <c r="E22777" s="23"/>
      <c r="L22777" s="23"/>
    </row>
    <row r="22778">
      <c r="B22778" s="19"/>
      <c r="E22778" s="23"/>
      <c r="L22778" s="23"/>
    </row>
    <row r="22779">
      <c r="B22779" s="19"/>
      <c r="E22779" s="23"/>
      <c r="L22779" s="23"/>
    </row>
    <row r="22780">
      <c r="B22780" s="19"/>
      <c r="E22780" s="23"/>
      <c r="L22780" s="23"/>
    </row>
    <row r="22781">
      <c r="B22781" s="19"/>
      <c r="E22781" s="23"/>
      <c r="L22781" s="23"/>
    </row>
    <row r="22782">
      <c r="B22782" s="19"/>
      <c r="E22782" s="23"/>
      <c r="L22782" s="23"/>
    </row>
    <row r="22783">
      <c r="B22783" s="19"/>
      <c r="E22783" s="23"/>
      <c r="L22783" s="23"/>
    </row>
    <row r="22784">
      <c r="B22784" s="19"/>
      <c r="E22784" s="23"/>
      <c r="L22784" s="23"/>
    </row>
    <row r="22785">
      <c r="B22785" s="19"/>
      <c r="E22785" s="23"/>
      <c r="L22785" s="23"/>
    </row>
    <row r="22786">
      <c r="B22786" s="19"/>
      <c r="E22786" s="23"/>
      <c r="L22786" s="23"/>
    </row>
    <row r="22787">
      <c r="B22787" s="19"/>
      <c r="E22787" s="23"/>
      <c r="L22787" s="23"/>
    </row>
    <row r="22788">
      <c r="B22788" s="19"/>
      <c r="E22788" s="23"/>
      <c r="L22788" s="23"/>
    </row>
    <row r="22789">
      <c r="B22789" s="19"/>
      <c r="E22789" s="23"/>
      <c r="L22789" s="23"/>
    </row>
    <row r="22790">
      <c r="B22790" s="19"/>
      <c r="E22790" s="23"/>
      <c r="L22790" s="23"/>
    </row>
    <row r="22791">
      <c r="B22791" s="19"/>
      <c r="E22791" s="23"/>
      <c r="L22791" s="23"/>
    </row>
    <row r="22792">
      <c r="B22792" s="19"/>
      <c r="E22792" s="23"/>
      <c r="L22792" s="23"/>
    </row>
    <row r="22793">
      <c r="B22793" s="19"/>
      <c r="E22793" s="23"/>
      <c r="L22793" s="23"/>
    </row>
    <row r="22794">
      <c r="B22794" s="19"/>
      <c r="E22794" s="23"/>
      <c r="L22794" s="23"/>
    </row>
    <row r="22795">
      <c r="B22795" s="19"/>
      <c r="E22795" s="23"/>
      <c r="L22795" s="23"/>
    </row>
    <row r="22796">
      <c r="B22796" s="19"/>
      <c r="E22796" s="23"/>
      <c r="L22796" s="23"/>
    </row>
    <row r="22797">
      <c r="B22797" s="19"/>
      <c r="E22797" s="23"/>
      <c r="L22797" s="23"/>
    </row>
    <row r="22798">
      <c r="B22798" s="19"/>
      <c r="E22798" s="23"/>
      <c r="L22798" s="23"/>
    </row>
    <row r="22799">
      <c r="B22799" s="19"/>
      <c r="E22799" s="23"/>
      <c r="L22799" s="23"/>
    </row>
    <row r="22800">
      <c r="B22800" s="19"/>
      <c r="E22800" s="23"/>
      <c r="L22800" s="23"/>
    </row>
    <row r="22801">
      <c r="B22801" s="19"/>
      <c r="E22801" s="23"/>
      <c r="L22801" s="23"/>
    </row>
    <row r="22802">
      <c r="B22802" s="19"/>
      <c r="E22802" s="23"/>
      <c r="L22802" s="23"/>
    </row>
    <row r="22803">
      <c r="B22803" s="19"/>
      <c r="E22803" s="23"/>
      <c r="L22803" s="23"/>
    </row>
    <row r="22804">
      <c r="B22804" s="19"/>
      <c r="E22804" s="23"/>
      <c r="L22804" s="23"/>
    </row>
    <row r="22805">
      <c r="B22805" s="19"/>
      <c r="E22805" s="23"/>
      <c r="L22805" s="23"/>
    </row>
    <row r="22806">
      <c r="B22806" s="19"/>
      <c r="E22806" s="23"/>
      <c r="L22806" s="23"/>
    </row>
    <row r="22807">
      <c r="B22807" s="19"/>
      <c r="E22807" s="23"/>
      <c r="L22807" s="23"/>
    </row>
    <row r="22808">
      <c r="B22808" s="19"/>
      <c r="E22808" s="23"/>
      <c r="L22808" s="23"/>
    </row>
    <row r="22809">
      <c r="B22809" s="19"/>
      <c r="E22809" s="23"/>
      <c r="L22809" s="23"/>
    </row>
    <row r="22810">
      <c r="B22810" s="19"/>
      <c r="E22810" s="23"/>
      <c r="L22810" s="23"/>
    </row>
    <row r="22811">
      <c r="B22811" s="19"/>
      <c r="E22811" s="23"/>
      <c r="L22811" s="23"/>
    </row>
    <row r="22812">
      <c r="B22812" s="19"/>
      <c r="E22812" s="23"/>
      <c r="L22812" s="23"/>
    </row>
    <row r="22813">
      <c r="B22813" s="19"/>
      <c r="E22813" s="23"/>
      <c r="L22813" s="23"/>
    </row>
    <row r="22814">
      <c r="B22814" s="19"/>
      <c r="E22814" s="23"/>
      <c r="L22814" s="23"/>
    </row>
    <row r="22815">
      <c r="B22815" s="19"/>
      <c r="E22815" s="23"/>
      <c r="L22815" s="23"/>
    </row>
    <row r="22816">
      <c r="B22816" s="19"/>
      <c r="E22816" s="23"/>
      <c r="L22816" s="23"/>
    </row>
    <row r="22817">
      <c r="B22817" s="19"/>
      <c r="E22817" s="23"/>
      <c r="L22817" s="23"/>
    </row>
    <row r="22818">
      <c r="B22818" s="19"/>
      <c r="E22818" s="23"/>
      <c r="L22818" s="23"/>
    </row>
    <row r="22819">
      <c r="B22819" s="19"/>
      <c r="E22819" s="23"/>
      <c r="L22819" s="23"/>
    </row>
    <row r="22820">
      <c r="B22820" s="19"/>
      <c r="E22820" s="23"/>
      <c r="L22820" s="23"/>
    </row>
    <row r="22821">
      <c r="B22821" s="19"/>
      <c r="E22821" s="23"/>
      <c r="L22821" s="23"/>
    </row>
    <row r="22822">
      <c r="B22822" s="19"/>
      <c r="E22822" s="23"/>
      <c r="L22822" s="23"/>
    </row>
    <row r="22823">
      <c r="B22823" s="19"/>
      <c r="E22823" s="23"/>
      <c r="L22823" s="23"/>
    </row>
    <row r="22824">
      <c r="B22824" s="19"/>
      <c r="E22824" s="23"/>
      <c r="L22824" s="23"/>
    </row>
    <row r="22825">
      <c r="B22825" s="19"/>
      <c r="E22825" s="23"/>
      <c r="L22825" s="23"/>
    </row>
    <row r="22826">
      <c r="B22826" s="19"/>
      <c r="E22826" s="23"/>
      <c r="L22826" s="23"/>
    </row>
    <row r="22827">
      <c r="B22827" s="19"/>
      <c r="E22827" s="23"/>
      <c r="L22827" s="23"/>
    </row>
    <row r="22828">
      <c r="B22828" s="19"/>
      <c r="E22828" s="23"/>
      <c r="L22828" s="23"/>
    </row>
    <row r="22829">
      <c r="B22829" s="19"/>
      <c r="E22829" s="23"/>
      <c r="L22829" s="23"/>
    </row>
    <row r="22830">
      <c r="B22830" s="19"/>
      <c r="E22830" s="23"/>
      <c r="L22830" s="23"/>
    </row>
    <row r="22831">
      <c r="B22831" s="19"/>
      <c r="E22831" s="23"/>
      <c r="L22831" s="23"/>
    </row>
    <row r="22832">
      <c r="B22832" s="19"/>
      <c r="E22832" s="23"/>
      <c r="L22832" s="23"/>
    </row>
    <row r="22833">
      <c r="B22833" s="19"/>
      <c r="E22833" s="23"/>
      <c r="L22833" s="23"/>
    </row>
    <row r="22834">
      <c r="B22834" s="19"/>
      <c r="E22834" s="23"/>
      <c r="L22834" s="23"/>
    </row>
    <row r="22835">
      <c r="B22835" s="19"/>
      <c r="E22835" s="23"/>
      <c r="L22835" s="23"/>
    </row>
    <row r="22836">
      <c r="B22836" s="19"/>
      <c r="E22836" s="23"/>
      <c r="L22836" s="23"/>
    </row>
    <row r="22837">
      <c r="B22837" s="19"/>
      <c r="E22837" s="23"/>
      <c r="L22837" s="23"/>
    </row>
    <row r="22838">
      <c r="B22838" s="19"/>
      <c r="E22838" s="23"/>
      <c r="L22838" s="23"/>
    </row>
    <row r="22839">
      <c r="B22839" s="19"/>
      <c r="E22839" s="23"/>
      <c r="L22839" s="23"/>
    </row>
    <row r="22840">
      <c r="B22840" s="19"/>
      <c r="E22840" s="23"/>
      <c r="L22840" s="23"/>
    </row>
    <row r="22841">
      <c r="B22841" s="19"/>
      <c r="E22841" s="23"/>
      <c r="L22841" s="23"/>
    </row>
    <row r="22842">
      <c r="B22842" s="19"/>
      <c r="E22842" s="23"/>
      <c r="L22842" s="23"/>
    </row>
    <row r="22843">
      <c r="B22843" s="19"/>
      <c r="E22843" s="23"/>
      <c r="L22843" s="23"/>
    </row>
    <row r="22844">
      <c r="B22844" s="19"/>
      <c r="E22844" s="23"/>
      <c r="L22844" s="23"/>
    </row>
    <row r="22845">
      <c r="B22845" s="19"/>
      <c r="E22845" s="23"/>
      <c r="L22845" s="23"/>
    </row>
    <row r="22846">
      <c r="B22846" s="19"/>
      <c r="E22846" s="23"/>
      <c r="L22846" s="23"/>
    </row>
    <row r="22847">
      <c r="B22847" s="19"/>
      <c r="E22847" s="23"/>
      <c r="L22847" s="23"/>
    </row>
    <row r="22848">
      <c r="B22848" s="19"/>
      <c r="E22848" s="23"/>
      <c r="L22848" s="23"/>
    </row>
    <row r="22849">
      <c r="B22849" s="19"/>
      <c r="E22849" s="23"/>
      <c r="L22849" s="23"/>
    </row>
    <row r="22850">
      <c r="B22850" s="19"/>
      <c r="E22850" s="23"/>
      <c r="L22850" s="23"/>
    </row>
    <row r="22851">
      <c r="B22851" s="19"/>
      <c r="E22851" s="23"/>
      <c r="L22851" s="23"/>
    </row>
    <row r="22852">
      <c r="B22852" s="19"/>
      <c r="E22852" s="23"/>
      <c r="L22852" s="23"/>
    </row>
    <row r="22853">
      <c r="B22853" s="19"/>
      <c r="E22853" s="23"/>
      <c r="L22853" s="23"/>
    </row>
    <row r="22854">
      <c r="B22854" s="19"/>
      <c r="E22854" s="23"/>
      <c r="L22854" s="23"/>
    </row>
    <row r="22855">
      <c r="B22855" s="19"/>
      <c r="E22855" s="23"/>
      <c r="L22855" s="23"/>
    </row>
    <row r="22856">
      <c r="B22856" s="19"/>
      <c r="E22856" s="23"/>
      <c r="L22856" s="23"/>
    </row>
    <row r="22857">
      <c r="B22857" s="19"/>
      <c r="E22857" s="23"/>
      <c r="L22857" s="23"/>
    </row>
    <row r="22858">
      <c r="B22858" s="19"/>
      <c r="E22858" s="23"/>
      <c r="L22858" s="23"/>
    </row>
    <row r="22859">
      <c r="B22859" s="19"/>
      <c r="E22859" s="23"/>
      <c r="L22859" s="23"/>
    </row>
    <row r="22860">
      <c r="B22860" s="19"/>
      <c r="E22860" s="23"/>
      <c r="L22860" s="23"/>
    </row>
    <row r="22861">
      <c r="B22861" s="19"/>
      <c r="E22861" s="23"/>
      <c r="L22861" s="23"/>
    </row>
    <row r="22862">
      <c r="B22862" s="19"/>
      <c r="E22862" s="23"/>
      <c r="L22862" s="23"/>
    </row>
    <row r="22863">
      <c r="B22863" s="19"/>
      <c r="E22863" s="23"/>
      <c r="L22863" s="23"/>
    </row>
    <row r="22864">
      <c r="B22864" s="19"/>
      <c r="E22864" s="23"/>
      <c r="L22864" s="23"/>
    </row>
    <row r="22865">
      <c r="B22865" s="19"/>
      <c r="E22865" s="23"/>
      <c r="L22865" s="23"/>
    </row>
    <row r="22866">
      <c r="B22866" s="19"/>
      <c r="E22866" s="23"/>
      <c r="L22866" s="23"/>
    </row>
    <row r="22867">
      <c r="B22867" s="19"/>
      <c r="E22867" s="23"/>
      <c r="L22867" s="23"/>
    </row>
    <row r="22868">
      <c r="B22868" s="19"/>
      <c r="E22868" s="23"/>
      <c r="L22868" s="23"/>
    </row>
    <row r="22869">
      <c r="B22869" s="19"/>
      <c r="E22869" s="23"/>
      <c r="L22869" s="23"/>
    </row>
    <row r="22870">
      <c r="B22870" s="19"/>
      <c r="E22870" s="23"/>
      <c r="L22870" s="23"/>
    </row>
    <row r="22871">
      <c r="B22871" s="19"/>
      <c r="E22871" s="23"/>
      <c r="L22871" s="23"/>
    </row>
    <row r="22872">
      <c r="B22872" s="19"/>
      <c r="E22872" s="23"/>
      <c r="L22872" s="23"/>
    </row>
    <row r="22873">
      <c r="B22873" s="19"/>
      <c r="E22873" s="23"/>
      <c r="L22873" s="23"/>
    </row>
    <row r="22874">
      <c r="B22874" s="19"/>
      <c r="E22874" s="23"/>
      <c r="L22874" s="23"/>
    </row>
    <row r="22875">
      <c r="B22875" s="19"/>
      <c r="E22875" s="23"/>
      <c r="L22875" s="23"/>
    </row>
    <row r="22876">
      <c r="B22876" s="19"/>
      <c r="E22876" s="23"/>
      <c r="L22876" s="23"/>
    </row>
    <row r="22877">
      <c r="B22877" s="19"/>
      <c r="E22877" s="23"/>
      <c r="L22877" s="23"/>
    </row>
    <row r="22878">
      <c r="B22878" s="19"/>
      <c r="E22878" s="23"/>
      <c r="L22878" s="23"/>
    </row>
    <row r="22879">
      <c r="B22879" s="19"/>
      <c r="E22879" s="23"/>
      <c r="L22879" s="23"/>
    </row>
    <row r="22880">
      <c r="B22880" s="19"/>
      <c r="E22880" s="23"/>
      <c r="L22880" s="23"/>
    </row>
    <row r="22881">
      <c r="B22881" s="19"/>
      <c r="E22881" s="23"/>
      <c r="L22881" s="23"/>
    </row>
    <row r="22882">
      <c r="B22882" s="19"/>
      <c r="E22882" s="23"/>
      <c r="L22882" s="23"/>
    </row>
    <row r="22883">
      <c r="B22883" s="19"/>
      <c r="E22883" s="23"/>
      <c r="L22883" s="23"/>
    </row>
    <row r="22884">
      <c r="B22884" s="19"/>
      <c r="E22884" s="23"/>
      <c r="L22884" s="23"/>
    </row>
    <row r="22885">
      <c r="B22885" s="19"/>
      <c r="E22885" s="23"/>
      <c r="L22885" s="23"/>
    </row>
    <row r="22886">
      <c r="B22886" s="19"/>
      <c r="E22886" s="23"/>
      <c r="L22886" s="23"/>
    </row>
    <row r="22887">
      <c r="B22887" s="19"/>
      <c r="E22887" s="23"/>
      <c r="L22887" s="23"/>
    </row>
    <row r="22888">
      <c r="B22888" s="19"/>
      <c r="E22888" s="23"/>
      <c r="L22888" s="23"/>
    </row>
    <row r="22889">
      <c r="B22889" s="19"/>
      <c r="E22889" s="23"/>
      <c r="L22889" s="23"/>
    </row>
    <row r="22890">
      <c r="B22890" s="19"/>
      <c r="E22890" s="23"/>
      <c r="L22890" s="23"/>
    </row>
    <row r="22891">
      <c r="B22891" s="19"/>
      <c r="E22891" s="23"/>
      <c r="L22891" s="23"/>
    </row>
    <row r="22892">
      <c r="B22892" s="19"/>
      <c r="E22892" s="23"/>
      <c r="L22892" s="23"/>
    </row>
    <row r="22893">
      <c r="B22893" s="19"/>
      <c r="E22893" s="23"/>
      <c r="L22893" s="23"/>
    </row>
    <row r="22894">
      <c r="B22894" s="19"/>
      <c r="E22894" s="23"/>
      <c r="L22894" s="23"/>
    </row>
    <row r="22895">
      <c r="B22895" s="19"/>
      <c r="E22895" s="23"/>
      <c r="L22895" s="23"/>
    </row>
    <row r="22896">
      <c r="B22896" s="19"/>
      <c r="E22896" s="23"/>
      <c r="L22896" s="23"/>
    </row>
    <row r="22897">
      <c r="B22897" s="19"/>
      <c r="E22897" s="23"/>
      <c r="L22897" s="23"/>
    </row>
    <row r="22898">
      <c r="B22898" s="19"/>
      <c r="E22898" s="23"/>
      <c r="L22898" s="23"/>
    </row>
    <row r="22899">
      <c r="B22899" s="19"/>
      <c r="E22899" s="23"/>
      <c r="L22899" s="23"/>
    </row>
    <row r="22900">
      <c r="B22900" s="19"/>
      <c r="E22900" s="23"/>
      <c r="L22900" s="23"/>
    </row>
    <row r="22901">
      <c r="B22901" s="19"/>
      <c r="E22901" s="23"/>
      <c r="L22901" s="23"/>
    </row>
    <row r="22902">
      <c r="B22902" s="19"/>
      <c r="E22902" s="23"/>
      <c r="L22902" s="23"/>
    </row>
    <row r="22903">
      <c r="B22903" s="19"/>
      <c r="E22903" s="23"/>
      <c r="L22903" s="23"/>
    </row>
    <row r="22904">
      <c r="B22904" s="19"/>
      <c r="E22904" s="23"/>
      <c r="L22904" s="23"/>
    </row>
    <row r="22905">
      <c r="B22905" s="19"/>
      <c r="E22905" s="23"/>
      <c r="L22905" s="23"/>
    </row>
    <row r="22906">
      <c r="B22906" s="19"/>
      <c r="E22906" s="23"/>
      <c r="L22906" s="23"/>
    </row>
    <row r="22907">
      <c r="B22907" s="19"/>
      <c r="E22907" s="23"/>
      <c r="L22907" s="23"/>
    </row>
    <row r="22908">
      <c r="B22908" s="19"/>
      <c r="E22908" s="23"/>
      <c r="L22908" s="23"/>
    </row>
    <row r="22909">
      <c r="B22909" s="19"/>
      <c r="E22909" s="23"/>
      <c r="L22909" s="23"/>
    </row>
    <row r="22910">
      <c r="B22910" s="19"/>
      <c r="E22910" s="23"/>
      <c r="L22910" s="23"/>
    </row>
    <row r="22911">
      <c r="B22911" s="19"/>
      <c r="E22911" s="23"/>
      <c r="L22911" s="23"/>
    </row>
    <row r="22912">
      <c r="B22912" s="19"/>
      <c r="E22912" s="23"/>
      <c r="L22912" s="23"/>
    </row>
    <row r="22913">
      <c r="B22913" s="19"/>
      <c r="E22913" s="23"/>
      <c r="L22913" s="23"/>
    </row>
    <row r="22914">
      <c r="B22914" s="19"/>
      <c r="E22914" s="23"/>
      <c r="L22914" s="23"/>
    </row>
    <row r="22915">
      <c r="B22915" s="19"/>
      <c r="E22915" s="23"/>
      <c r="L22915" s="23"/>
    </row>
    <row r="22916">
      <c r="B22916" s="19"/>
      <c r="E22916" s="23"/>
      <c r="L22916" s="23"/>
    </row>
    <row r="22917">
      <c r="B22917" s="19"/>
      <c r="E22917" s="23"/>
      <c r="L22917" s="23"/>
    </row>
    <row r="22918">
      <c r="B22918" s="19"/>
      <c r="E22918" s="23"/>
      <c r="L22918" s="23"/>
    </row>
    <row r="22919">
      <c r="B22919" s="19"/>
      <c r="E22919" s="23"/>
      <c r="L22919" s="23"/>
    </row>
    <row r="22920">
      <c r="B22920" s="19"/>
      <c r="E22920" s="23"/>
      <c r="L22920" s="23"/>
    </row>
    <row r="22921">
      <c r="B22921" s="19"/>
      <c r="E22921" s="23"/>
      <c r="L22921" s="23"/>
    </row>
    <row r="22922">
      <c r="B22922" s="19"/>
      <c r="E22922" s="23"/>
      <c r="L22922" s="23"/>
    </row>
    <row r="22923">
      <c r="B22923" s="19"/>
      <c r="E22923" s="23"/>
      <c r="L22923" s="23"/>
    </row>
    <row r="22924">
      <c r="B22924" s="19"/>
      <c r="E22924" s="23"/>
      <c r="L22924" s="23"/>
    </row>
    <row r="22925">
      <c r="B22925" s="19"/>
      <c r="E22925" s="23"/>
      <c r="L22925" s="23"/>
    </row>
    <row r="22926">
      <c r="B22926" s="19"/>
      <c r="E22926" s="23"/>
      <c r="L22926" s="23"/>
    </row>
    <row r="22927">
      <c r="B22927" s="19"/>
      <c r="E22927" s="23"/>
      <c r="L22927" s="23"/>
    </row>
    <row r="22928">
      <c r="B22928" s="19"/>
      <c r="E22928" s="23"/>
      <c r="L22928" s="23"/>
    </row>
    <row r="22929">
      <c r="B22929" s="19"/>
      <c r="E22929" s="23"/>
      <c r="L22929" s="23"/>
    </row>
    <row r="22930">
      <c r="B22930" s="19"/>
      <c r="E22930" s="23"/>
      <c r="L22930" s="23"/>
    </row>
    <row r="22931">
      <c r="B22931" s="19"/>
      <c r="E22931" s="23"/>
      <c r="L22931" s="23"/>
    </row>
    <row r="22932">
      <c r="B22932" s="19"/>
      <c r="E22932" s="23"/>
      <c r="L22932" s="23"/>
    </row>
    <row r="22933">
      <c r="B22933" s="19"/>
      <c r="E22933" s="23"/>
      <c r="L22933" s="23"/>
    </row>
    <row r="22934">
      <c r="B22934" s="19"/>
      <c r="E22934" s="23"/>
      <c r="L22934" s="23"/>
    </row>
    <row r="22935">
      <c r="B22935" s="19"/>
      <c r="E22935" s="23"/>
      <c r="L22935" s="23"/>
    </row>
    <row r="22936">
      <c r="B22936" s="19"/>
      <c r="E22936" s="23"/>
      <c r="L22936" s="23"/>
    </row>
    <row r="22937">
      <c r="B22937" s="19"/>
      <c r="E22937" s="23"/>
      <c r="L22937" s="23"/>
    </row>
    <row r="22938">
      <c r="B22938" s="19"/>
      <c r="E22938" s="23"/>
      <c r="L22938" s="23"/>
    </row>
    <row r="22939">
      <c r="B22939" s="19"/>
      <c r="E22939" s="23"/>
      <c r="L22939" s="23"/>
    </row>
    <row r="22940">
      <c r="B22940" s="19"/>
      <c r="E22940" s="23"/>
      <c r="L22940" s="23"/>
    </row>
    <row r="22941">
      <c r="B22941" s="19"/>
      <c r="E22941" s="23"/>
      <c r="L22941" s="23"/>
    </row>
    <row r="22942">
      <c r="B22942" s="19"/>
      <c r="E22942" s="23"/>
      <c r="L22942" s="23"/>
    </row>
    <row r="22943">
      <c r="B22943" s="19"/>
      <c r="E22943" s="23"/>
      <c r="L22943" s="23"/>
    </row>
    <row r="22944">
      <c r="B22944" s="19"/>
      <c r="E22944" s="23"/>
      <c r="L22944" s="23"/>
    </row>
    <row r="22945">
      <c r="B22945" s="19"/>
      <c r="E22945" s="23"/>
      <c r="L22945" s="23"/>
    </row>
    <row r="22946">
      <c r="B22946" s="19"/>
      <c r="E22946" s="23"/>
      <c r="L22946" s="23"/>
    </row>
    <row r="22947">
      <c r="B22947" s="19"/>
      <c r="E22947" s="23"/>
      <c r="L22947" s="23"/>
    </row>
    <row r="22948">
      <c r="B22948" s="19"/>
      <c r="E22948" s="23"/>
      <c r="L22948" s="23"/>
    </row>
    <row r="22949">
      <c r="B22949" s="19"/>
      <c r="E22949" s="23"/>
      <c r="L22949" s="23"/>
    </row>
    <row r="22950">
      <c r="B22950" s="19"/>
      <c r="E22950" s="23"/>
      <c r="L22950" s="23"/>
    </row>
    <row r="22951">
      <c r="B22951" s="19"/>
      <c r="E22951" s="23"/>
      <c r="L22951" s="23"/>
    </row>
    <row r="22952">
      <c r="B22952" s="19"/>
      <c r="E22952" s="23"/>
      <c r="L22952" s="23"/>
    </row>
    <row r="22953">
      <c r="B22953" s="19"/>
      <c r="E22953" s="23"/>
      <c r="L22953" s="23"/>
    </row>
    <row r="22954">
      <c r="B22954" s="19"/>
      <c r="E22954" s="23"/>
      <c r="L22954" s="23"/>
    </row>
    <row r="22955">
      <c r="B22955" s="19"/>
      <c r="E22955" s="23"/>
      <c r="L22955" s="23"/>
    </row>
    <row r="22956">
      <c r="B22956" s="19"/>
      <c r="E22956" s="23"/>
      <c r="L22956" s="23"/>
    </row>
    <row r="22957">
      <c r="B22957" s="19"/>
      <c r="E22957" s="23"/>
      <c r="L22957" s="23"/>
    </row>
    <row r="22958">
      <c r="B22958" s="19"/>
      <c r="E22958" s="23"/>
      <c r="L22958" s="23"/>
    </row>
    <row r="22959">
      <c r="B22959" s="19"/>
      <c r="E22959" s="23"/>
      <c r="L22959" s="23"/>
    </row>
    <row r="22960">
      <c r="B22960" s="19"/>
      <c r="E22960" s="23"/>
      <c r="L22960" s="23"/>
    </row>
    <row r="22961">
      <c r="B22961" s="19"/>
      <c r="E22961" s="23"/>
      <c r="L22961" s="23"/>
    </row>
    <row r="22962">
      <c r="B22962" s="19"/>
      <c r="E22962" s="23"/>
      <c r="L22962" s="23"/>
    </row>
    <row r="22963">
      <c r="B22963" s="19"/>
      <c r="E22963" s="23"/>
      <c r="L22963" s="23"/>
    </row>
    <row r="22964">
      <c r="B22964" s="19"/>
      <c r="E22964" s="23"/>
      <c r="L22964" s="23"/>
    </row>
    <row r="22965">
      <c r="B22965" s="19"/>
      <c r="E22965" s="23"/>
      <c r="L22965" s="23"/>
    </row>
    <row r="22966">
      <c r="B22966" s="19"/>
      <c r="E22966" s="23"/>
      <c r="L22966" s="23"/>
    </row>
    <row r="22967">
      <c r="B22967" s="19"/>
      <c r="E22967" s="23"/>
      <c r="L22967" s="23"/>
    </row>
    <row r="22968">
      <c r="B22968" s="19"/>
      <c r="E22968" s="23"/>
      <c r="L22968" s="23"/>
    </row>
    <row r="22969">
      <c r="B22969" s="19"/>
      <c r="E22969" s="23"/>
      <c r="L22969" s="23"/>
    </row>
    <row r="22970">
      <c r="B22970" s="19"/>
      <c r="E22970" s="23"/>
      <c r="L22970" s="23"/>
    </row>
    <row r="22971">
      <c r="B22971" s="19"/>
      <c r="E22971" s="23"/>
      <c r="L22971" s="23"/>
    </row>
    <row r="22972">
      <c r="B22972" s="19"/>
      <c r="E22972" s="23"/>
      <c r="L22972" s="23"/>
    </row>
    <row r="22973">
      <c r="B22973" s="19"/>
      <c r="E22973" s="23"/>
      <c r="L22973" s="23"/>
    </row>
    <row r="22974">
      <c r="B22974" s="19"/>
      <c r="E22974" s="23"/>
      <c r="L22974" s="23"/>
    </row>
    <row r="22975">
      <c r="B22975" s="19"/>
      <c r="E22975" s="23"/>
      <c r="L22975" s="23"/>
    </row>
    <row r="22976">
      <c r="B22976" s="19"/>
      <c r="E22976" s="23"/>
      <c r="L22976" s="23"/>
    </row>
    <row r="22977">
      <c r="B22977" s="19"/>
      <c r="E22977" s="23"/>
      <c r="L22977" s="23"/>
    </row>
    <row r="22978">
      <c r="B22978" s="19"/>
      <c r="E22978" s="23"/>
      <c r="L22978" s="23"/>
    </row>
    <row r="22979">
      <c r="B22979" s="19"/>
      <c r="E22979" s="23"/>
      <c r="L22979" s="23"/>
    </row>
    <row r="22980">
      <c r="B22980" s="19"/>
      <c r="E22980" s="23"/>
      <c r="L22980" s="23"/>
    </row>
    <row r="22981">
      <c r="B22981" s="19"/>
      <c r="E22981" s="23"/>
      <c r="L22981" s="23"/>
    </row>
    <row r="22982">
      <c r="B22982" s="19"/>
      <c r="E22982" s="23"/>
      <c r="L22982" s="23"/>
    </row>
    <row r="22983">
      <c r="B22983" s="19"/>
      <c r="E22983" s="23"/>
      <c r="L22983" s="23"/>
    </row>
    <row r="22984">
      <c r="B22984" s="19"/>
      <c r="E22984" s="23"/>
      <c r="L22984" s="23"/>
    </row>
    <row r="22985">
      <c r="B22985" s="19"/>
      <c r="E22985" s="23"/>
      <c r="L22985" s="23"/>
    </row>
    <row r="22986">
      <c r="B22986" s="19"/>
      <c r="E22986" s="23"/>
      <c r="L22986" s="23"/>
    </row>
    <row r="22987">
      <c r="B22987" s="19"/>
      <c r="E22987" s="23"/>
      <c r="L22987" s="23"/>
    </row>
    <row r="22988">
      <c r="B22988" s="19"/>
      <c r="E22988" s="23"/>
      <c r="L22988" s="23"/>
    </row>
    <row r="22989">
      <c r="B22989" s="19"/>
      <c r="E22989" s="23"/>
      <c r="L22989" s="23"/>
    </row>
    <row r="22990">
      <c r="B22990" s="19"/>
      <c r="E22990" s="23"/>
      <c r="L22990" s="23"/>
    </row>
    <row r="22991">
      <c r="B22991" s="19"/>
      <c r="E22991" s="23"/>
      <c r="L22991" s="23"/>
    </row>
    <row r="22992">
      <c r="B22992" s="19"/>
      <c r="E22992" s="23"/>
      <c r="L22992" s="23"/>
    </row>
    <row r="22993">
      <c r="B22993" s="19"/>
      <c r="E22993" s="23"/>
      <c r="L22993" s="23"/>
    </row>
    <row r="22994">
      <c r="B22994" s="19"/>
      <c r="E22994" s="23"/>
      <c r="L22994" s="23"/>
    </row>
    <row r="22995">
      <c r="B22995" s="19"/>
      <c r="E22995" s="23"/>
      <c r="L22995" s="23"/>
    </row>
    <row r="22996">
      <c r="B22996" s="19"/>
      <c r="E22996" s="23"/>
      <c r="L22996" s="23"/>
    </row>
    <row r="22997">
      <c r="B22997" s="19"/>
      <c r="E22997" s="23"/>
      <c r="L22997" s="23"/>
    </row>
    <row r="22998">
      <c r="B22998" s="19"/>
      <c r="E22998" s="23"/>
      <c r="L22998" s="23"/>
    </row>
    <row r="22999">
      <c r="B22999" s="19"/>
      <c r="E22999" s="23"/>
      <c r="L22999" s="23"/>
    </row>
    <row r="23000">
      <c r="B23000" s="19"/>
      <c r="E23000" s="23"/>
      <c r="L23000" s="23"/>
    </row>
    <row r="23001">
      <c r="B23001" s="19"/>
      <c r="E23001" s="23"/>
      <c r="L23001" s="23"/>
    </row>
    <row r="23002">
      <c r="B23002" s="19"/>
      <c r="E23002" s="23"/>
      <c r="L23002" s="23"/>
    </row>
    <row r="23003">
      <c r="B23003" s="19"/>
      <c r="E23003" s="23"/>
      <c r="L23003" s="23"/>
    </row>
    <row r="23004">
      <c r="B23004" s="19"/>
      <c r="E23004" s="23"/>
      <c r="L23004" s="23"/>
    </row>
    <row r="23005">
      <c r="B23005" s="19"/>
      <c r="E23005" s="23"/>
      <c r="L23005" s="23"/>
    </row>
    <row r="23006">
      <c r="B23006" s="19"/>
      <c r="E23006" s="23"/>
      <c r="L23006" s="23"/>
    </row>
    <row r="23007">
      <c r="B23007" s="19"/>
      <c r="E23007" s="23"/>
      <c r="L23007" s="23"/>
    </row>
    <row r="23008">
      <c r="B23008" s="19"/>
      <c r="E23008" s="23"/>
      <c r="L23008" s="23"/>
    </row>
    <row r="23009">
      <c r="B23009" s="19"/>
      <c r="E23009" s="23"/>
      <c r="L23009" s="23"/>
    </row>
    <row r="23010">
      <c r="B23010" s="19"/>
      <c r="E23010" s="23"/>
      <c r="L23010" s="23"/>
    </row>
    <row r="23011">
      <c r="B23011" s="19"/>
      <c r="E23011" s="23"/>
      <c r="L23011" s="23"/>
    </row>
    <row r="23012">
      <c r="B23012" s="19"/>
      <c r="E23012" s="23"/>
      <c r="L23012" s="23"/>
    </row>
    <row r="23013">
      <c r="B23013" s="19"/>
      <c r="E23013" s="23"/>
      <c r="L23013" s="23"/>
    </row>
    <row r="23014">
      <c r="B23014" s="19"/>
      <c r="E23014" s="23"/>
      <c r="L23014" s="23"/>
    </row>
    <row r="23015">
      <c r="B23015" s="19"/>
      <c r="E23015" s="23"/>
      <c r="L23015" s="23"/>
    </row>
    <row r="23016">
      <c r="B23016" s="19"/>
      <c r="E23016" s="23"/>
      <c r="L23016" s="23"/>
    </row>
    <row r="23017">
      <c r="B23017" s="19"/>
      <c r="E23017" s="23"/>
      <c r="L23017" s="23"/>
    </row>
    <row r="23018">
      <c r="B23018" s="19"/>
      <c r="E23018" s="23"/>
      <c r="L23018" s="23"/>
    </row>
    <row r="23019">
      <c r="B23019" s="19"/>
      <c r="E23019" s="23"/>
      <c r="L23019" s="23"/>
    </row>
    <row r="23020">
      <c r="B23020" s="19"/>
      <c r="E23020" s="23"/>
      <c r="L23020" s="23"/>
    </row>
    <row r="23021">
      <c r="B23021" s="19"/>
      <c r="E23021" s="23"/>
      <c r="L23021" s="23"/>
    </row>
    <row r="23022">
      <c r="B23022" s="19"/>
      <c r="E23022" s="23"/>
      <c r="L23022" s="23"/>
    </row>
    <row r="23023">
      <c r="B23023" s="19"/>
      <c r="E23023" s="23"/>
      <c r="L23023" s="23"/>
    </row>
    <row r="23024">
      <c r="B23024" s="19"/>
      <c r="E23024" s="23"/>
      <c r="L23024" s="23"/>
    </row>
    <row r="23025">
      <c r="B23025" s="19"/>
      <c r="E23025" s="23"/>
      <c r="L23025" s="23"/>
    </row>
    <row r="23026">
      <c r="B23026" s="19"/>
      <c r="E23026" s="23"/>
      <c r="L23026" s="23"/>
    </row>
    <row r="23027">
      <c r="B23027" s="19"/>
      <c r="E23027" s="23"/>
      <c r="L23027" s="23"/>
    </row>
    <row r="23028">
      <c r="B23028" s="19"/>
      <c r="E23028" s="23"/>
      <c r="L23028" s="23"/>
    </row>
    <row r="23029">
      <c r="B23029" s="19"/>
      <c r="E23029" s="23"/>
      <c r="L23029" s="23"/>
    </row>
    <row r="23030">
      <c r="B23030" s="19"/>
      <c r="E23030" s="23"/>
      <c r="L23030" s="23"/>
    </row>
    <row r="23031">
      <c r="B23031" s="19"/>
      <c r="E23031" s="23"/>
      <c r="L23031" s="23"/>
    </row>
    <row r="23032">
      <c r="B23032" s="19"/>
      <c r="E23032" s="23"/>
      <c r="L23032" s="23"/>
    </row>
    <row r="23033">
      <c r="B23033" s="19"/>
      <c r="E23033" s="23"/>
      <c r="L23033" s="23"/>
    </row>
    <row r="23034">
      <c r="B23034" s="19"/>
      <c r="E23034" s="23"/>
      <c r="L23034" s="23"/>
    </row>
    <row r="23035">
      <c r="B23035" s="19"/>
      <c r="E23035" s="23"/>
      <c r="L23035" s="23"/>
    </row>
    <row r="23036">
      <c r="B23036" s="19"/>
      <c r="E23036" s="23"/>
      <c r="L23036" s="23"/>
    </row>
    <row r="23037">
      <c r="B23037" s="19"/>
      <c r="E23037" s="23"/>
      <c r="L23037" s="23"/>
    </row>
    <row r="23038">
      <c r="B23038" s="19"/>
      <c r="E23038" s="23"/>
      <c r="L23038" s="23"/>
    </row>
    <row r="23039">
      <c r="B23039" s="19"/>
      <c r="E23039" s="23"/>
      <c r="L23039" s="23"/>
    </row>
    <row r="23040">
      <c r="B23040" s="19"/>
      <c r="E23040" s="23"/>
      <c r="L23040" s="23"/>
    </row>
    <row r="23041">
      <c r="B23041" s="19"/>
      <c r="E23041" s="23"/>
      <c r="L23041" s="23"/>
    </row>
    <row r="23042">
      <c r="B23042" s="19"/>
      <c r="E23042" s="23"/>
      <c r="L23042" s="23"/>
    </row>
    <row r="23043">
      <c r="B23043" s="19"/>
      <c r="E23043" s="23"/>
      <c r="L23043" s="23"/>
    </row>
    <row r="23044">
      <c r="B23044" s="19"/>
      <c r="E23044" s="23"/>
      <c r="L23044" s="23"/>
    </row>
    <row r="23045">
      <c r="B23045" s="19"/>
      <c r="E23045" s="23"/>
      <c r="L23045" s="23"/>
    </row>
    <row r="23046">
      <c r="B23046" s="19"/>
      <c r="E23046" s="23"/>
      <c r="L23046" s="23"/>
    </row>
    <row r="23047">
      <c r="B23047" s="19"/>
      <c r="E23047" s="23"/>
      <c r="L23047" s="23"/>
    </row>
    <row r="23048">
      <c r="B23048" s="19"/>
      <c r="E23048" s="23"/>
      <c r="L23048" s="23"/>
    </row>
    <row r="23049">
      <c r="B23049" s="19"/>
      <c r="E23049" s="23"/>
      <c r="L23049" s="23"/>
    </row>
    <row r="23050">
      <c r="B23050" s="19"/>
      <c r="E23050" s="23"/>
      <c r="L23050" s="23"/>
    </row>
    <row r="23051">
      <c r="B23051" s="19"/>
      <c r="E23051" s="23"/>
      <c r="L23051" s="23"/>
    </row>
    <row r="23052">
      <c r="B23052" s="19"/>
      <c r="E23052" s="23"/>
      <c r="L23052" s="23"/>
    </row>
    <row r="23053">
      <c r="B23053" s="19"/>
      <c r="E23053" s="23"/>
      <c r="L23053" s="23"/>
    </row>
    <row r="23054">
      <c r="B23054" s="19"/>
      <c r="E23054" s="23"/>
      <c r="L23054" s="23"/>
    </row>
    <row r="23055">
      <c r="B23055" s="19"/>
      <c r="E23055" s="23"/>
      <c r="L23055" s="23"/>
    </row>
    <row r="23056">
      <c r="B23056" s="19"/>
      <c r="E23056" s="23"/>
      <c r="L23056" s="23"/>
    </row>
    <row r="23057">
      <c r="B23057" s="19"/>
      <c r="E23057" s="23"/>
      <c r="L23057" s="23"/>
    </row>
    <row r="23058">
      <c r="B23058" s="19"/>
      <c r="E23058" s="23"/>
      <c r="L23058" s="23"/>
    </row>
    <row r="23059">
      <c r="B23059" s="19"/>
      <c r="E23059" s="23"/>
      <c r="L23059" s="23"/>
    </row>
    <row r="23060">
      <c r="B23060" s="19"/>
      <c r="E23060" s="23"/>
      <c r="L23060" s="23"/>
    </row>
    <row r="23061">
      <c r="B23061" s="19"/>
      <c r="E23061" s="23"/>
      <c r="L23061" s="23"/>
    </row>
    <row r="23062">
      <c r="B23062" s="19"/>
      <c r="E23062" s="23"/>
      <c r="L23062" s="23"/>
    </row>
    <row r="23063">
      <c r="B23063" s="19"/>
      <c r="E23063" s="23"/>
      <c r="L23063" s="23"/>
    </row>
    <row r="23064">
      <c r="B23064" s="19"/>
      <c r="E23064" s="23"/>
      <c r="L23064" s="23"/>
    </row>
    <row r="23065">
      <c r="B23065" s="19"/>
      <c r="E23065" s="23"/>
      <c r="L23065" s="23"/>
    </row>
    <row r="23066">
      <c r="B23066" s="19"/>
      <c r="E23066" s="23"/>
      <c r="L23066" s="23"/>
    </row>
    <row r="23067">
      <c r="B23067" s="19"/>
      <c r="E23067" s="23"/>
      <c r="L23067" s="23"/>
    </row>
    <row r="23068">
      <c r="B23068" s="19"/>
      <c r="E23068" s="23"/>
      <c r="L23068" s="23"/>
    </row>
    <row r="23069">
      <c r="B23069" s="19"/>
      <c r="E23069" s="23"/>
      <c r="L23069" s="23"/>
    </row>
    <row r="23070">
      <c r="B23070" s="19"/>
      <c r="E23070" s="23"/>
      <c r="L23070" s="23"/>
    </row>
    <row r="23071">
      <c r="B23071" s="19"/>
      <c r="E23071" s="23"/>
      <c r="L23071" s="23"/>
    </row>
    <row r="23072">
      <c r="B23072" s="19"/>
      <c r="E23072" s="23"/>
      <c r="L23072" s="23"/>
    </row>
    <row r="23073">
      <c r="B23073" s="19"/>
      <c r="E23073" s="23"/>
      <c r="L23073" s="23"/>
    </row>
    <row r="23074">
      <c r="B23074" s="19"/>
      <c r="E23074" s="23"/>
      <c r="L23074" s="23"/>
    </row>
    <row r="23075">
      <c r="B23075" s="19"/>
      <c r="E23075" s="23"/>
      <c r="L23075" s="23"/>
    </row>
    <row r="23076">
      <c r="B23076" s="19"/>
      <c r="E23076" s="23"/>
      <c r="L23076" s="23"/>
    </row>
    <row r="23077">
      <c r="B23077" s="19"/>
      <c r="E23077" s="23"/>
      <c r="L23077" s="23"/>
    </row>
    <row r="23078">
      <c r="B23078" s="19"/>
      <c r="E23078" s="23"/>
      <c r="L23078" s="23"/>
    </row>
    <row r="23079">
      <c r="B23079" s="19"/>
      <c r="E23079" s="23"/>
      <c r="L23079" s="23"/>
    </row>
    <row r="23080">
      <c r="B23080" s="19"/>
      <c r="E23080" s="23"/>
      <c r="L23080" s="23"/>
    </row>
    <row r="23081">
      <c r="B23081" s="19"/>
      <c r="E23081" s="23"/>
      <c r="L23081" s="23"/>
    </row>
    <row r="23082">
      <c r="B23082" s="19"/>
      <c r="E23082" s="23"/>
      <c r="L23082" s="23"/>
    </row>
    <row r="23083">
      <c r="B23083" s="19"/>
      <c r="E23083" s="23"/>
      <c r="L23083" s="23"/>
    </row>
    <row r="23084">
      <c r="B23084" s="19"/>
      <c r="E23084" s="23"/>
      <c r="L23084" s="23"/>
    </row>
    <row r="23085">
      <c r="B23085" s="19"/>
      <c r="E23085" s="23"/>
      <c r="L23085" s="23"/>
    </row>
    <row r="23086">
      <c r="B23086" s="19"/>
      <c r="E23086" s="23"/>
      <c r="L23086" s="23"/>
    </row>
    <row r="23087">
      <c r="B23087" s="19"/>
      <c r="E23087" s="23"/>
      <c r="L23087" s="23"/>
    </row>
    <row r="23088">
      <c r="B23088" s="19"/>
      <c r="E23088" s="23"/>
      <c r="L23088" s="23"/>
    </row>
    <row r="23089">
      <c r="B23089" s="19"/>
      <c r="E23089" s="23"/>
      <c r="L23089" s="23"/>
    </row>
    <row r="23090">
      <c r="B23090" s="19"/>
      <c r="E23090" s="23"/>
      <c r="L23090" s="23"/>
    </row>
    <row r="23091">
      <c r="B23091" s="19"/>
      <c r="E23091" s="23"/>
      <c r="L23091" s="23"/>
    </row>
    <row r="23092">
      <c r="B23092" s="19"/>
      <c r="E23092" s="23"/>
      <c r="L23092" s="23"/>
    </row>
    <row r="23093">
      <c r="B23093" s="19"/>
      <c r="E23093" s="23"/>
      <c r="L23093" s="23"/>
    </row>
    <row r="23094">
      <c r="B23094" s="19"/>
      <c r="E23094" s="23"/>
      <c r="L23094" s="23"/>
    </row>
    <row r="23095">
      <c r="B23095" s="19"/>
      <c r="E23095" s="23"/>
      <c r="L23095" s="23"/>
    </row>
    <row r="23096">
      <c r="B23096" s="19"/>
      <c r="E23096" s="23"/>
      <c r="L23096" s="23"/>
    </row>
    <row r="23097">
      <c r="B23097" s="19"/>
      <c r="E23097" s="23"/>
      <c r="L23097" s="23"/>
    </row>
    <row r="23098">
      <c r="B23098" s="19"/>
      <c r="E23098" s="23"/>
      <c r="L23098" s="23"/>
    </row>
    <row r="23099">
      <c r="B23099" s="19"/>
      <c r="E23099" s="23"/>
      <c r="L23099" s="23"/>
    </row>
    <row r="23100">
      <c r="B23100" s="19"/>
      <c r="E23100" s="23"/>
      <c r="L23100" s="23"/>
    </row>
    <row r="23101">
      <c r="B23101" s="19"/>
      <c r="E23101" s="23"/>
      <c r="L23101" s="23"/>
    </row>
    <row r="23102">
      <c r="B23102" s="19"/>
      <c r="E23102" s="23"/>
      <c r="L23102" s="23"/>
    </row>
    <row r="23103">
      <c r="B23103" s="19"/>
      <c r="E23103" s="23"/>
      <c r="L23103" s="23"/>
    </row>
    <row r="23104">
      <c r="B23104" s="19"/>
      <c r="E23104" s="23"/>
      <c r="L23104" s="23"/>
    </row>
    <row r="23105">
      <c r="B23105" s="19"/>
      <c r="E23105" s="23"/>
      <c r="L23105" s="23"/>
    </row>
    <row r="23106">
      <c r="B23106" s="19"/>
      <c r="E23106" s="23"/>
      <c r="L23106" s="23"/>
    </row>
    <row r="23107">
      <c r="B23107" s="19"/>
      <c r="E23107" s="23"/>
      <c r="L23107" s="23"/>
    </row>
    <row r="23108">
      <c r="B23108" s="19"/>
      <c r="E23108" s="23"/>
      <c r="L23108" s="23"/>
    </row>
    <row r="23109">
      <c r="B23109" s="19"/>
      <c r="E23109" s="23"/>
      <c r="L23109" s="23"/>
    </row>
    <row r="23110">
      <c r="B23110" s="19"/>
      <c r="E23110" s="23"/>
      <c r="L23110" s="23"/>
    </row>
    <row r="23111">
      <c r="B23111" s="19"/>
      <c r="E23111" s="23"/>
      <c r="L23111" s="23"/>
    </row>
    <row r="23112">
      <c r="B23112" s="19"/>
      <c r="E23112" s="23"/>
      <c r="L23112" s="23"/>
    </row>
    <row r="23113">
      <c r="B23113" s="19"/>
      <c r="E23113" s="23"/>
      <c r="L23113" s="23"/>
    </row>
    <row r="23114">
      <c r="B23114" s="19"/>
      <c r="E23114" s="23"/>
      <c r="L23114" s="23"/>
    </row>
    <row r="23115">
      <c r="B23115" s="19"/>
      <c r="E23115" s="23"/>
      <c r="L23115" s="23"/>
    </row>
    <row r="23116">
      <c r="B23116" s="19"/>
      <c r="E23116" s="23"/>
      <c r="L23116" s="23"/>
    </row>
    <row r="23117">
      <c r="B23117" s="19"/>
      <c r="E23117" s="23"/>
      <c r="L23117" s="23"/>
    </row>
    <row r="23118">
      <c r="B23118" s="19"/>
      <c r="E23118" s="23"/>
      <c r="L23118" s="23"/>
    </row>
    <row r="23119">
      <c r="B23119" s="19"/>
      <c r="E23119" s="23"/>
      <c r="L23119" s="23"/>
    </row>
    <row r="23120">
      <c r="B23120" s="19"/>
      <c r="E23120" s="23"/>
      <c r="L23120" s="23"/>
    </row>
    <row r="23121">
      <c r="B23121" s="19"/>
      <c r="E23121" s="23"/>
      <c r="L23121" s="23"/>
    </row>
    <row r="23122">
      <c r="B23122" s="19"/>
      <c r="E23122" s="23"/>
      <c r="L23122" s="23"/>
    </row>
    <row r="23123">
      <c r="B23123" s="19"/>
      <c r="E23123" s="23"/>
      <c r="L23123" s="23"/>
    </row>
    <row r="23124">
      <c r="B23124" s="19"/>
      <c r="E23124" s="23"/>
      <c r="L23124" s="23"/>
    </row>
    <row r="23125">
      <c r="B23125" s="19"/>
      <c r="E23125" s="23"/>
      <c r="L23125" s="23"/>
    </row>
    <row r="23126">
      <c r="B23126" s="19"/>
      <c r="E23126" s="23"/>
      <c r="L23126" s="23"/>
    </row>
    <row r="23127">
      <c r="B23127" s="19"/>
      <c r="E23127" s="23"/>
      <c r="L23127" s="23"/>
    </row>
    <row r="23128">
      <c r="B23128" s="19"/>
      <c r="E23128" s="23"/>
      <c r="L23128" s="23"/>
    </row>
    <row r="23129">
      <c r="B23129" s="19"/>
      <c r="E23129" s="23"/>
      <c r="L23129" s="23"/>
    </row>
    <row r="23130">
      <c r="B23130" s="19"/>
      <c r="E23130" s="23"/>
      <c r="L23130" s="23"/>
    </row>
    <row r="23131">
      <c r="B23131" s="19"/>
      <c r="E23131" s="23"/>
      <c r="L23131" s="23"/>
    </row>
    <row r="23132">
      <c r="B23132" s="19"/>
      <c r="E23132" s="23"/>
      <c r="L23132" s="23"/>
    </row>
    <row r="23133">
      <c r="B23133" s="19"/>
      <c r="E23133" s="23"/>
      <c r="L23133" s="23"/>
    </row>
    <row r="23134">
      <c r="B23134" s="19"/>
      <c r="E23134" s="23"/>
      <c r="L23134" s="23"/>
    </row>
    <row r="23135">
      <c r="B23135" s="19"/>
      <c r="E23135" s="23"/>
      <c r="L23135" s="23"/>
    </row>
    <row r="23136">
      <c r="B23136" s="19"/>
      <c r="E23136" s="23"/>
      <c r="L23136" s="23"/>
    </row>
    <row r="23137">
      <c r="B23137" s="19"/>
      <c r="E23137" s="23"/>
      <c r="L23137" s="23"/>
    </row>
    <row r="23138">
      <c r="B23138" s="19"/>
      <c r="E23138" s="23"/>
      <c r="L23138" s="23"/>
    </row>
    <row r="23139">
      <c r="B23139" s="19"/>
      <c r="E23139" s="23"/>
      <c r="L23139" s="23"/>
    </row>
    <row r="23140">
      <c r="B23140" s="19"/>
      <c r="E23140" s="23"/>
      <c r="L23140" s="23"/>
    </row>
    <row r="23141">
      <c r="B23141" s="19"/>
      <c r="E23141" s="23"/>
      <c r="L23141" s="23"/>
    </row>
    <row r="23142">
      <c r="B23142" s="19"/>
      <c r="E23142" s="23"/>
      <c r="L23142" s="23"/>
    </row>
    <row r="23143">
      <c r="B23143" s="19"/>
      <c r="E23143" s="23"/>
      <c r="L23143" s="23"/>
    </row>
    <row r="23144">
      <c r="B23144" s="19"/>
      <c r="E23144" s="23"/>
      <c r="L23144" s="23"/>
    </row>
    <row r="23145">
      <c r="B23145" s="19"/>
      <c r="E23145" s="23"/>
      <c r="L23145" s="23"/>
    </row>
    <row r="23146">
      <c r="B23146" s="19"/>
      <c r="E23146" s="23"/>
      <c r="L23146" s="23"/>
    </row>
    <row r="23147">
      <c r="B23147" s="19"/>
      <c r="E23147" s="23"/>
      <c r="L23147" s="23"/>
    </row>
    <row r="23148">
      <c r="B23148" s="19"/>
      <c r="E23148" s="23"/>
      <c r="L23148" s="23"/>
    </row>
    <row r="23149">
      <c r="B23149" s="19"/>
      <c r="E23149" s="23"/>
      <c r="L23149" s="23"/>
    </row>
    <row r="23150">
      <c r="B23150" s="19"/>
      <c r="E23150" s="23"/>
      <c r="L23150" s="23"/>
    </row>
    <row r="23151">
      <c r="B23151" s="19"/>
      <c r="E23151" s="23"/>
      <c r="L23151" s="23"/>
    </row>
    <row r="23152">
      <c r="B23152" s="19"/>
      <c r="E23152" s="23"/>
      <c r="L23152" s="23"/>
    </row>
    <row r="23153">
      <c r="B23153" s="19"/>
      <c r="E23153" s="23"/>
      <c r="L23153" s="23"/>
    </row>
    <row r="23154">
      <c r="B23154" s="19"/>
      <c r="E23154" s="23"/>
      <c r="L23154" s="23"/>
    </row>
    <row r="23155">
      <c r="B23155" s="19"/>
      <c r="E23155" s="23"/>
      <c r="L23155" s="23"/>
    </row>
    <row r="23156">
      <c r="B23156" s="19"/>
      <c r="E23156" s="23"/>
      <c r="L23156" s="23"/>
    </row>
    <row r="23157">
      <c r="B23157" s="19"/>
      <c r="E23157" s="23"/>
      <c r="L23157" s="23"/>
    </row>
    <row r="23158">
      <c r="B23158" s="19"/>
      <c r="E23158" s="23"/>
      <c r="L23158" s="23"/>
    </row>
    <row r="23159">
      <c r="B23159" s="19"/>
      <c r="E23159" s="23"/>
      <c r="L23159" s="23"/>
    </row>
    <row r="23160">
      <c r="B23160" s="19"/>
      <c r="E23160" s="23"/>
      <c r="L23160" s="23"/>
    </row>
    <row r="23161">
      <c r="B23161" s="19"/>
      <c r="E23161" s="23"/>
      <c r="L23161" s="23"/>
    </row>
    <row r="23162">
      <c r="B23162" s="19"/>
      <c r="E23162" s="23"/>
      <c r="L23162" s="23"/>
    </row>
    <row r="23163">
      <c r="B23163" s="19"/>
      <c r="E23163" s="23"/>
      <c r="L23163" s="23"/>
    </row>
    <row r="23164">
      <c r="B23164" s="19"/>
      <c r="E23164" s="23"/>
      <c r="L23164" s="23"/>
    </row>
    <row r="23165">
      <c r="B23165" s="19"/>
      <c r="E23165" s="23"/>
      <c r="L23165" s="23"/>
    </row>
    <row r="23166">
      <c r="B23166" s="19"/>
      <c r="E23166" s="23"/>
      <c r="L23166" s="23"/>
    </row>
    <row r="23167">
      <c r="B23167" s="19"/>
      <c r="E23167" s="23"/>
      <c r="L23167" s="23"/>
    </row>
    <row r="23168">
      <c r="B23168" s="19"/>
      <c r="E23168" s="23"/>
      <c r="L23168" s="23"/>
    </row>
    <row r="23169">
      <c r="B23169" s="19"/>
      <c r="E23169" s="23"/>
      <c r="L23169" s="23"/>
    </row>
    <row r="23170">
      <c r="B23170" s="19"/>
      <c r="E23170" s="23"/>
      <c r="L23170" s="23"/>
    </row>
    <row r="23171">
      <c r="B23171" s="19"/>
      <c r="E23171" s="23"/>
      <c r="L23171" s="23"/>
    </row>
    <row r="23172">
      <c r="B23172" s="19"/>
      <c r="E23172" s="23"/>
      <c r="L23172" s="23"/>
    </row>
    <row r="23173">
      <c r="B23173" s="19"/>
      <c r="E23173" s="23"/>
      <c r="L23173" s="23"/>
    </row>
    <row r="23174">
      <c r="B23174" s="19"/>
      <c r="E23174" s="23"/>
      <c r="L23174" s="23"/>
    </row>
    <row r="23175">
      <c r="B23175" s="19"/>
      <c r="E23175" s="23"/>
      <c r="L23175" s="23"/>
    </row>
    <row r="23176">
      <c r="B23176" s="19"/>
      <c r="E23176" s="23"/>
      <c r="L23176" s="23"/>
    </row>
    <row r="23177">
      <c r="B23177" s="19"/>
      <c r="E23177" s="23"/>
      <c r="L23177" s="23"/>
    </row>
    <row r="23178">
      <c r="B23178" s="19"/>
      <c r="E23178" s="23"/>
      <c r="L23178" s="23"/>
    </row>
    <row r="23179">
      <c r="B23179" s="19"/>
      <c r="E23179" s="23"/>
      <c r="L23179" s="23"/>
    </row>
    <row r="23180">
      <c r="B23180" s="19"/>
      <c r="E23180" s="23"/>
      <c r="L23180" s="23"/>
    </row>
    <row r="23181">
      <c r="B23181" s="19"/>
      <c r="E23181" s="23"/>
      <c r="L23181" s="23"/>
    </row>
    <row r="23182">
      <c r="B23182" s="19"/>
      <c r="E23182" s="23"/>
      <c r="L23182" s="23"/>
    </row>
    <row r="23183">
      <c r="B23183" s="19"/>
      <c r="E23183" s="23"/>
      <c r="L23183" s="23"/>
    </row>
    <row r="23184">
      <c r="B23184" s="19"/>
      <c r="E23184" s="23"/>
      <c r="L23184" s="23"/>
    </row>
    <row r="23185">
      <c r="B23185" s="19"/>
      <c r="E23185" s="23"/>
      <c r="L23185" s="23"/>
    </row>
    <row r="23186">
      <c r="B23186" s="19"/>
      <c r="E23186" s="23"/>
      <c r="L23186" s="23"/>
    </row>
    <row r="23187">
      <c r="B23187" s="19"/>
      <c r="E23187" s="23"/>
      <c r="L23187" s="23"/>
    </row>
    <row r="23188">
      <c r="B23188" s="19"/>
      <c r="E23188" s="23"/>
      <c r="L23188" s="23"/>
    </row>
    <row r="23189">
      <c r="B23189" s="19"/>
      <c r="E23189" s="23"/>
      <c r="L23189" s="23"/>
    </row>
    <row r="23190">
      <c r="B23190" s="19"/>
      <c r="E23190" s="23"/>
      <c r="L23190" s="23"/>
    </row>
    <row r="23191">
      <c r="B23191" s="19"/>
      <c r="E23191" s="23"/>
      <c r="L23191" s="23"/>
    </row>
    <row r="23192">
      <c r="B23192" s="19"/>
      <c r="E23192" s="23"/>
      <c r="L23192" s="23"/>
    </row>
    <row r="23193">
      <c r="B23193" s="19"/>
      <c r="E23193" s="23"/>
      <c r="L23193" s="23"/>
    </row>
    <row r="23194">
      <c r="B23194" s="19"/>
      <c r="E23194" s="23"/>
      <c r="L23194" s="23"/>
    </row>
    <row r="23195">
      <c r="B23195" s="19"/>
      <c r="E23195" s="23"/>
      <c r="L23195" s="23"/>
    </row>
    <row r="23196">
      <c r="B23196" s="19"/>
      <c r="E23196" s="23"/>
      <c r="L23196" s="23"/>
    </row>
    <row r="23197">
      <c r="B23197" s="19"/>
      <c r="E23197" s="23"/>
      <c r="L23197" s="23"/>
    </row>
    <row r="23198">
      <c r="B23198" s="19"/>
      <c r="E23198" s="23"/>
      <c r="L23198" s="23"/>
    </row>
    <row r="23199">
      <c r="B23199" s="19"/>
      <c r="E23199" s="23"/>
      <c r="L23199" s="23"/>
    </row>
    <row r="23200">
      <c r="B23200" s="19"/>
      <c r="E23200" s="23"/>
      <c r="L23200" s="23"/>
    </row>
    <row r="23201">
      <c r="B23201" s="19"/>
      <c r="E23201" s="23"/>
      <c r="L23201" s="23"/>
    </row>
    <row r="23202">
      <c r="B23202" s="19"/>
      <c r="E23202" s="23"/>
      <c r="L23202" s="23"/>
    </row>
    <row r="23203">
      <c r="B23203" s="19"/>
      <c r="E23203" s="23"/>
      <c r="L23203" s="23"/>
    </row>
    <row r="23204">
      <c r="B23204" s="19"/>
      <c r="E23204" s="23"/>
      <c r="L23204" s="23"/>
    </row>
    <row r="23205">
      <c r="B23205" s="19"/>
      <c r="E23205" s="23"/>
      <c r="L23205" s="23"/>
    </row>
    <row r="23206">
      <c r="B23206" s="19"/>
      <c r="E23206" s="23"/>
      <c r="L23206" s="23"/>
    </row>
    <row r="23207">
      <c r="B23207" s="19"/>
      <c r="E23207" s="23"/>
      <c r="L23207" s="23"/>
    </row>
    <row r="23208">
      <c r="B23208" s="19"/>
      <c r="E23208" s="23"/>
      <c r="L23208" s="23"/>
    </row>
    <row r="23209">
      <c r="B23209" s="19"/>
      <c r="E23209" s="23"/>
      <c r="L23209" s="23"/>
    </row>
    <row r="23210">
      <c r="B23210" s="19"/>
      <c r="E23210" s="23"/>
      <c r="L23210" s="23"/>
    </row>
    <row r="23211">
      <c r="B23211" s="19"/>
      <c r="E23211" s="23"/>
      <c r="L23211" s="23"/>
    </row>
    <row r="23212">
      <c r="B23212" s="19"/>
      <c r="E23212" s="23"/>
      <c r="L23212" s="23"/>
    </row>
    <row r="23213">
      <c r="B23213" s="19"/>
      <c r="E23213" s="23"/>
      <c r="L23213" s="23"/>
    </row>
    <row r="23214">
      <c r="B23214" s="19"/>
      <c r="E23214" s="23"/>
      <c r="L23214" s="23"/>
    </row>
    <row r="23215">
      <c r="B23215" s="19"/>
      <c r="E23215" s="23"/>
      <c r="L23215" s="23"/>
    </row>
    <row r="23216">
      <c r="B23216" s="19"/>
      <c r="E23216" s="23"/>
      <c r="L23216" s="23"/>
    </row>
    <row r="23217">
      <c r="B23217" s="19"/>
      <c r="E23217" s="23"/>
      <c r="L23217" s="23"/>
    </row>
    <row r="23218">
      <c r="B23218" s="19"/>
      <c r="E23218" s="23"/>
      <c r="L23218" s="23"/>
    </row>
    <row r="23219">
      <c r="B23219" s="19"/>
      <c r="E23219" s="23"/>
      <c r="L23219" s="23"/>
    </row>
    <row r="23220">
      <c r="B23220" s="19"/>
      <c r="E23220" s="23"/>
      <c r="L23220" s="23"/>
    </row>
    <row r="23221">
      <c r="B23221" s="19"/>
      <c r="E23221" s="23"/>
      <c r="L23221" s="23"/>
    </row>
    <row r="23222">
      <c r="B23222" s="19"/>
      <c r="E23222" s="23"/>
      <c r="L23222" s="23"/>
    </row>
    <row r="23223">
      <c r="B23223" s="19"/>
      <c r="E23223" s="23"/>
      <c r="L23223" s="23"/>
    </row>
    <row r="23224">
      <c r="B23224" s="19"/>
      <c r="E23224" s="23"/>
      <c r="L23224" s="23"/>
    </row>
    <row r="23225">
      <c r="B23225" s="19"/>
      <c r="E23225" s="23"/>
      <c r="L23225" s="23"/>
    </row>
    <row r="23226">
      <c r="B23226" s="19"/>
      <c r="E23226" s="23"/>
      <c r="L23226" s="23"/>
    </row>
    <row r="23227">
      <c r="B23227" s="19"/>
      <c r="E23227" s="23"/>
      <c r="L23227" s="23"/>
    </row>
    <row r="23228">
      <c r="B23228" s="19"/>
      <c r="E23228" s="23"/>
      <c r="L23228" s="23"/>
    </row>
    <row r="23229">
      <c r="B23229" s="19"/>
      <c r="E23229" s="23"/>
      <c r="L23229" s="23"/>
    </row>
    <row r="23230">
      <c r="B23230" s="19"/>
      <c r="E23230" s="23"/>
      <c r="L23230" s="23"/>
    </row>
    <row r="23231">
      <c r="B23231" s="19"/>
      <c r="E23231" s="23"/>
      <c r="L23231" s="23"/>
    </row>
    <row r="23232">
      <c r="B23232" s="19"/>
      <c r="E23232" s="23"/>
      <c r="L23232" s="23"/>
    </row>
    <row r="23233">
      <c r="B23233" s="19"/>
      <c r="E23233" s="23"/>
      <c r="L23233" s="23"/>
    </row>
    <row r="23234">
      <c r="B23234" s="19"/>
      <c r="E23234" s="23"/>
      <c r="L23234" s="23"/>
    </row>
    <row r="23235">
      <c r="B23235" s="19"/>
      <c r="E23235" s="23"/>
      <c r="L23235" s="23"/>
    </row>
    <row r="23236">
      <c r="B23236" s="19"/>
      <c r="E23236" s="23"/>
      <c r="L23236" s="23"/>
    </row>
    <row r="23237">
      <c r="B23237" s="19"/>
      <c r="E23237" s="23"/>
      <c r="L23237" s="23"/>
    </row>
    <row r="23238">
      <c r="B23238" s="19"/>
      <c r="E23238" s="23"/>
      <c r="L23238" s="23"/>
    </row>
    <row r="23239">
      <c r="B23239" s="19"/>
      <c r="E23239" s="23"/>
      <c r="L23239" s="23"/>
    </row>
    <row r="23240">
      <c r="B23240" s="19"/>
      <c r="E23240" s="23"/>
      <c r="L23240" s="23"/>
    </row>
    <row r="23241">
      <c r="B23241" s="19"/>
      <c r="E23241" s="23"/>
      <c r="L23241" s="23"/>
    </row>
    <row r="23242">
      <c r="B23242" s="19"/>
      <c r="E23242" s="23"/>
      <c r="L23242" s="23"/>
    </row>
    <row r="23243">
      <c r="B23243" s="19"/>
      <c r="E23243" s="23"/>
      <c r="L23243" s="23"/>
    </row>
    <row r="23244">
      <c r="B23244" s="19"/>
      <c r="E23244" s="23"/>
      <c r="L23244" s="23"/>
    </row>
    <row r="23245">
      <c r="B23245" s="19"/>
      <c r="E23245" s="23"/>
      <c r="L23245" s="23"/>
    </row>
    <row r="23246">
      <c r="B23246" s="19"/>
      <c r="E23246" s="23"/>
      <c r="L23246" s="23"/>
    </row>
    <row r="23247">
      <c r="B23247" s="19"/>
      <c r="E23247" s="23"/>
      <c r="L23247" s="23"/>
    </row>
    <row r="23248">
      <c r="B23248" s="19"/>
      <c r="E23248" s="23"/>
      <c r="L23248" s="23"/>
    </row>
    <row r="23249">
      <c r="B23249" s="19"/>
      <c r="E23249" s="23"/>
      <c r="L23249" s="23"/>
    </row>
    <row r="23250">
      <c r="B23250" s="19"/>
      <c r="E23250" s="23"/>
      <c r="L23250" s="23"/>
    </row>
    <row r="23251">
      <c r="B23251" s="19"/>
      <c r="E23251" s="23"/>
      <c r="L23251" s="23"/>
    </row>
    <row r="23252">
      <c r="B23252" s="19"/>
      <c r="E23252" s="23"/>
      <c r="L23252" s="23"/>
    </row>
    <row r="23253">
      <c r="B23253" s="19"/>
      <c r="E23253" s="23"/>
      <c r="L23253" s="23"/>
    </row>
    <row r="23254">
      <c r="B23254" s="19"/>
      <c r="E23254" s="23"/>
      <c r="L23254" s="23"/>
    </row>
    <row r="23255">
      <c r="B23255" s="19"/>
      <c r="E23255" s="23"/>
      <c r="L23255" s="23"/>
    </row>
    <row r="23256">
      <c r="B23256" s="19"/>
      <c r="E23256" s="23"/>
      <c r="L23256" s="23"/>
    </row>
    <row r="23257">
      <c r="B23257" s="19"/>
      <c r="E23257" s="23"/>
      <c r="L23257" s="23"/>
    </row>
    <row r="23258">
      <c r="B23258" s="19"/>
      <c r="E23258" s="23"/>
      <c r="L23258" s="23"/>
    </row>
    <row r="23259">
      <c r="B23259" s="19"/>
      <c r="E23259" s="23"/>
      <c r="L23259" s="23"/>
    </row>
    <row r="23260">
      <c r="B23260" s="19"/>
      <c r="E23260" s="23"/>
      <c r="L23260" s="23"/>
    </row>
    <row r="23261">
      <c r="B23261" s="19"/>
      <c r="E23261" s="23"/>
      <c r="L23261" s="23"/>
    </row>
    <row r="23262">
      <c r="B23262" s="19"/>
      <c r="E23262" s="23"/>
      <c r="L23262" s="23"/>
    </row>
    <row r="23263">
      <c r="B23263" s="19"/>
      <c r="E23263" s="23"/>
      <c r="L23263" s="23"/>
    </row>
    <row r="23264">
      <c r="B23264" s="19"/>
      <c r="E23264" s="23"/>
      <c r="L23264" s="23"/>
    </row>
    <row r="23265">
      <c r="B23265" s="19"/>
      <c r="E23265" s="23"/>
      <c r="L23265" s="23"/>
    </row>
    <row r="23266">
      <c r="B23266" s="19"/>
      <c r="E23266" s="23"/>
      <c r="L23266" s="23"/>
    </row>
    <row r="23267">
      <c r="B23267" s="19"/>
      <c r="E23267" s="23"/>
      <c r="L23267" s="23"/>
    </row>
    <row r="23268">
      <c r="B23268" s="19"/>
      <c r="E23268" s="23"/>
      <c r="L23268" s="23"/>
    </row>
    <row r="23269">
      <c r="B23269" s="19"/>
      <c r="E23269" s="23"/>
      <c r="L23269" s="23"/>
    </row>
    <row r="23270">
      <c r="B23270" s="19"/>
      <c r="E23270" s="23"/>
      <c r="L23270" s="23"/>
    </row>
    <row r="23271">
      <c r="B23271" s="19"/>
      <c r="E23271" s="23"/>
      <c r="L23271" s="23"/>
    </row>
    <row r="23272">
      <c r="B23272" s="19"/>
      <c r="E23272" s="23"/>
      <c r="L23272" s="23"/>
    </row>
    <row r="23273">
      <c r="B23273" s="19"/>
      <c r="E23273" s="23"/>
      <c r="L23273" s="23"/>
    </row>
    <row r="23274">
      <c r="B23274" s="19"/>
      <c r="E23274" s="23"/>
      <c r="L23274" s="23"/>
    </row>
    <row r="23275">
      <c r="B23275" s="19"/>
      <c r="E23275" s="23"/>
      <c r="L23275" s="23"/>
    </row>
    <row r="23276">
      <c r="B23276" s="19"/>
      <c r="E23276" s="23"/>
      <c r="L23276" s="23"/>
    </row>
    <row r="23277">
      <c r="B23277" s="19"/>
      <c r="E23277" s="23"/>
      <c r="L23277" s="23"/>
    </row>
    <row r="23278">
      <c r="B23278" s="19"/>
      <c r="E23278" s="23"/>
      <c r="L23278" s="23"/>
    </row>
    <row r="23279">
      <c r="B23279" s="19"/>
      <c r="E23279" s="23"/>
      <c r="L23279" s="23"/>
    </row>
    <row r="23280">
      <c r="B23280" s="19"/>
      <c r="E23280" s="23"/>
      <c r="L23280" s="23"/>
    </row>
    <row r="23281">
      <c r="B23281" s="19"/>
      <c r="E23281" s="23"/>
      <c r="L23281" s="23"/>
    </row>
    <row r="23282">
      <c r="B23282" s="19"/>
      <c r="E23282" s="23"/>
      <c r="L23282" s="23"/>
    </row>
    <row r="23283">
      <c r="B23283" s="19"/>
      <c r="E23283" s="23"/>
      <c r="L23283" s="23"/>
    </row>
    <row r="23284">
      <c r="B23284" s="19"/>
      <c r="E23284" s="23"/>
      <c r="L23284" s="23"/>
    </row>
    <row r="23285">
      <c r="B23285" s="19"/>
      <c r="E23285" s="23"/>
      <c r="L23285" s="23"/>
    </row>
    <row r="23286">
      <c r="B23286" s="19"/>
      <c r="E23286" s="23"/>
      <c r="L23286" s="23"/>
    </row>
    <row r="23287">
      <c r="B23287" s="19"/>
      <c r="E23287" s="23"/>
      <c r="L23287" s="23"/>
    </row>
    <row r="23288">
      <c r="B23288" s="19"/>
      <c r="E23288" s="23"/>
      <c r="L23288" s="23"/>
    </row>
    <row r="23289">
      <c r="B23289" s="19"/>
      <c r="E23289" s="23"/>
      <c r="L23289" s="23"/>
    </row>
    <row r="23290">
      <c r="B23290" s="19"/>
      <c r="E23290" s="23"/>
      <c r="L23290" s="23"/>
    </row>
    <row r="23291">
      <c r="B23291" s="19"/>
      <c r="E23291" s="23"/>
      <c r="L23291" s="23"/>
    </row>
    <row r="23292">
      <c r="B23292" s="19"/>
      <c r="E23292" s="23"/>
      <c r="L23292" s="23"/>
    </row>
    <row r="23293">
      <c r="B23293" s="19"/>
      <c r="E23293" s="23"/>
      <c r="L23293" s="23"/>
    </row>
    <row r="23294">
      <c r="B23294" s="19"/>
      <c r="E23294" s="23"/>
      <c r="L23294" s="23"/>
    </row>
    <row r="23295">
      <c r="B23295" s="19"/>
      <c r="E23295" s="23"/>
      <c r="L23295" s="23"/>
    </row>
    <row r="23296">
      <c r="B23296" s="19"/>
      <c r="E23296" s="23"/>
      <c r="L23296" s="23"/>
    </row>
    <row r="23297">
      <c r="B23297" s="19"/>
      <c r="E23297" s="23"/>
      <c r="L23297" s="23"/>
    </row>
    <row r="23298">
      <c r="B23298" s="19"/>
      <c r="E23298" s="23"/>
      <c r="L23298" s="23"/>
    </row>
    <row r="23299">
      <c r="B23299" s="19"/>
      <c r="E23299" s="23"/>
      <c r="L23299" s="23"/>
    </row>
    <row r="23300">
      <c r="B23300" s="19"/>
      <c r="E23300" s="23"/>
      <c r="L23300" s="23"/>
    </row>
    <row r="23301">
      <c r="B23301" s="19"/>
      <c r="E23301" s="23"/>
      <c r="L23301" s="23"/>
    </row>
    <row r="23302">
      <c r="B23302" s="19"/>
      <c r="E23302" s="23"/>
      <c r="L23302" s="23"/>
    </row>
    <row r="23303">
      <c r="B23303" s="19"/>
      <c r="E23303" s="23"/>
      <c r="L23303" s="23"/>
    </row>
    <row r="23304">
      <c r="B23304" s="19"/>
      <c r="E23304" s="23"/>
      <c r="L23304" s="23"/>
    </row>
    <row r="23305">
      <c r="B23305" s="19"/>
      <c r="E23305" s="23"/>
      <c r="L23305" s="23"/>
    </row>
    <row r="23306">
      <c r="B23306" s="19"/>
      <c r="E23306" s="23"/>
      <c r="L23306" s="23"/>
    </row>
    <row r="23307">
      <c r="B23307" s="19"/>
      <c r="E23307" s="23"/>
      <c r="L23307" s="23"/>
    </row>
    <row r="23308">
      <c r="B23308" s="19"/>
      <c r="E23308" s="23"/>
      <c r="L23308" s="23"/>
    </row>
    <row r="23309">
      <c r="B23309" s="19"/>
      <c r="E23309" s="23"/>
      <c r="L23309" s="23"/>
    </row>
    <row r="23310">
      <c r="B23310" s="19"/>
      <c r="E23310" s="23"/>
      <c r="L23310" s="23"/>
    </row>
    <row r="23311">
      <c r="B23311" s="19"/>
      <c r="E23311" s="23"/>
      <c r="L23311" s="23"/>
    </row>
    <row r="23312">
      <c r="B23312" s="19"/>
      <c r="E23312" s="23"/>
      <c r="L23312" s="23"/>
    </row>
    <row r="23313">
      <c r="B23313" s="19"/>
      <c r="E23313" s="23"/>
      <c r="L23313" s="23"/>
    </row>
    <row r="23314">
      <c r="B23314" s="19"/>
      <c r="E23314" s="23"/>
      <c r="L23314" s="23"/>
    </row>
    <row r="23315">
      <c r="B23315" s="19"/>
      <c r="E23315" s="23"/>
      <c r="L23315" s="23"/>
    </row>
    <row r="23316">
      <c r="B23316" s="19"/>
      <c r="E23316" s="23"/>
      <c r="L23316" s="23"/>
    </row>
    <row r="23317">
      <c r="B23317" s="19"/>
      <c r="E23317" s="23"/>
      <c r="L23317" s="23"/>
    </row>
    <row r="23318">
      <c r="B23318" s="19"/>
      <c r="E23318" s="23"/>
      <c r="L23318" s="23"/>
    </row>
    <row r="23319">
      <c r="B23319" s="19"/>
      <c r="E23319" s="23"/>
      <c r="L23319" s="23"/>
    </row>
    <row r="23320">
      <c r="B23320" s="19"/>
      <c r="E23320" s="23"/>
      <c r="L23320" s="23"/>
    </row>
    <row r="23321">
      <c r="B23321" s="19"/>
      <c r="E23321" s="23"/>
      <c r="L23321" s="23"/>
    </row>
    <row r="23322">
      <c r="B23322" s="19"/>
      <c r="E23322" s="23"/>
      <c r="L23322" s="23"/>
    </row>
    <row r="23323">
      <c r="B23323" s="19"/>
      <c r="E23323" s="23"/>
      <c r="L23323" s="23"/>
    </row>
    <row r="23324">
      <c r="B23324" s="19"/>
      <c r="E23324" s="23"/>
      <c r="L23324" s="23"/>
    </row>
    <row r="23325">
      <c r="B23325" s="19"/>
      <c r="E23325" s="23"/>
      <c r="L23325" s="23"/>
    </row>
    <row r="23326">
      <c r="B23326" s="19"/>
      <c r="E23326" s="23"/>
      <c r="L23326" s="23"/>
    </row>
    <row r="23327">
      <c r="B23327" s="19"/>
      <c r="E23327" s="23"/>
      <c r="L23327" s="23"/>
    </row>
    <row r="23328">
      <c r="B23328" s="19"/>
      <c r="E23328" s="23"/>
      <c r="L23328" s="23"/>
    </row>
    <row r="23329">
      <c r="B23329" s="19"/>
      <c r="E23329" s="23"/>
      <c r="L23329" s="23"/>
    </row>
    <row r="23330">
      <c r="B23330" s="19"/>
      <c r="E23330" s="23"/>
      <c r="L23330" s="23"/>
    </row>
    <row r="23331">
      <c r="B23331" s="19"/>
      <c r="E23331" s="23"/>
      <c r="L23331" s="23"/>
    </row>
    <row r="23332">
      <c r="B23332" s="19"/>
      <c r="E23332" s="23"/>
      <c r="L23332" s="23"/>
    </row>
    <row r="23333">
      <c r="B23333" s="19"/>
      <c r="E23333" s="23"/>
      <c r="L23333" s="23"/>
    </row>
    <row r="23334">
      <c r="B23334" s="19"/>
      <c r="E23334" s="23"/>
      <c r="L23334" s="23"/>
    </row>
    <row r="23335">
      <c r="B23335" s="19"/>
      <c r="E23335" s="23"/>
      <c r="L23335" s="23"/>
    </row>
    <row r="23336">
      <c r="B23336" s="19"/>
      <c r="E23336" s="23"/>
      <c r="L23336" s="23"/>
    </row>
    <row r="23337">
      <c r="B23337" s="19"/>
      <c r="E23337" s="23"/>
      <c r="L23337" s="23"/>
    </row>
    <row r="23338">
      <c r="B23338" s="19"/>
      <c r="E23338" s="23"/>
      <c r="L23338" s="23"/>
    </row>
    <row r="23339">
      <c r="B23339" s="19"/>
      <c r="E23339" s="23"/>
      <c r="L23339" s="23"/>
    </row>
    <row r="23340">
      <c r="B23340" s="19"/>
      <c r="E23340" s="23"/>
      <c r="L23340" s="23"/>
    </row>
    <row r="23341">
      <c r="B23341" s="19"/>
      <c r="E23341" s="23"/>
      <c r="L23341" s="23"/>
    </row>
    <row r="23342">
      <c r="B23342" s="19"/>
      <c r="E23342" s="23"/>
      <c r="L23342" s="23"/>
    </row>
    <row r="23343">
      <c r="B23343" s="19"/>
      <c r="E23343" s="23"/>
      <c r="L23343" s="23"/>
    </row>
    <row r="23344">
      <c r="B23344" s="19"/>
      <c r="E23344" s="23"/>
      <c r="L23344" s="23"/>
    </row>
    <row r="23345">
      <c r="B23345" s="19"/>
      <c r="E23345" s="23"/>
      <c r="L23345" s="23"/>
    </row>
    <row r="23346">
      <c r="B23346" s="19"/>
      <c r="E23346" s="23"/>
      <c r="L23346" s="23"/>
    </row>
    <row r="23347">
      <c r="B23347" s="19"/>
      <c r="E23347" s="23"/>
      <c r="L23347" s="23"/>
    </row>
    <row r="23348">
      <c r="B23348" s="19"/>
      <c r="E23348" s="23"/>
      <c r="L23348" s="23"/>
    </row>
    <row r="23349">
      <c r="B23349" s="19"/>
      <c r="E23349" s="23"/>
      <c r="L23349" s="23"/>
    </row>
    <row r="23350">
      <c r="B23350" s="19"/>
      <c r="E23350" s="23"/>
      <c r="L23350" s="23"/>
    </row>
    <row r="23351">
      <c r="B23351" s="19"/>
      <c r="E23351" s="23"/>
      <c r="L23351" s="23"/>
    </row>
    <row r="23352">
      <c r="B23352" s="19"/>
      <c r="E23352" s="23"/>
      <c r="L23352" s="23"/>
    </row>
    <row r="23353">
      <c r="B23353" s="19"/>
      <c r="E23353" s="23"/>
      <c r="L23353" s="23"/>
    </row>
    <row r="23354">
      <c r="B23354" s="19"/>
      <c r="E23354" s="23"/>
      <c r="L23354" s="23"/>
    </row>
    <row r="23355">
      <c r="B23355" s="19"/>
      <c r="E23355" s="23"/>
      <c r="L23355" s="23"/>
    </row>
    <row r="23356">
      <c r="B23356" s="19"/>
      <c r="E23356" s="23"/>
      <c r="L23356" s="23"/>
    </row>
    <row r="23357">
      <c r="B23357" s="19"/>
      <c r="E23357" s="23"/>
      <c r="L23357" s="23"/>
    </row>
    <row r="23358">
      <c r="B23358" s="19"/>
      <c r="E23358" s="23"/>
      <c r="L23358" s="23"/>
    </row>
    <row r="23359">
      <c r="B23359" s="19"/>
      <c r="E23359" s="23"/>
      <c r="L23359" s="23"/>
    </row>
    <row r="23360">
      <c r="B23360" s="19"/>
      <c r="E23360" s="23"/>
      <c r="L23360" s="23"/>
    </row>
    <row r="23361">
      <c r="B23361" s="19"/>
      <c r="E23361" s="23"/>
      <c r="L23361" s="23"/>
    </row>
    <row r="23362">
      <c r="B23362" s="19"/>
      <c r="E23362" s="23"/>
      <c r="L23362" s="23"/>
    </row>
    <row r="23363">
      <c r="B23363" s="19"/>
      <c r="E23363" s="23"/>
      <c r="L23363" s="23"/>
    </row>
    <row r="23364">
      <c r="B23364" s="19"/>
      <c r="E23364" s="23"/>
      <c r="L23364" s="23"/>
    </row>
    <row r="23365">
      <c r="B23365" s="19"/>
      <c r="E23365" s="23"/>
      <c r="L23365" s="23"/>
    </row>
    <row r="23366">
      <c r="B23366" s="19"/>
      <c r="E23366" s="23"/>
      <c r="L23366" s="23"/>
    </row>
    <row r="23367">
      <c r="B23367" s="19"/>
      <c r="E23367" s="23"/>
      <c r="L23367" s="23"/>
    </row>
    <row r="23368">
      <c r="B23368" s="19"/>
      <c r="E23368" s="23"/>
      <c r="L23368" s="23"/>
    </row>
    <row r="23369">
      <c r="B23369" s="19"/>
      <c r="E23369" s="23"/>
      <c r="L23369" s="23"/>
    </row>
    <row r="23370">
      <c r="B23370" s="19"/>
      <c r="E23370" s="23"/>
      <c r="L23370" s="23"/>
    </row>
    <row r="23371">
      <c r="B23371" s="19"/>
      <c r="E23371" s="23"/>
      <c r="L23371" s="23"/>
    </row>
    <row r="23372">
      <c r="B23372" s="19"/>
      <c r="E23372" s="23"/>
      <c r="L23372" s="23"/>
    </row>
    <row r="23373">
      <c r="B23373" s="19"/>
      <c r="E23373" s="23"/>
      <c r="L23373" s="23"/>
    </row>
    <row r="23374">
      <c r="B23374" s="19"/>
      <c r="E23374" s="23"/>
      <c r="L23374" s="23"/>
    </row>
    <row r="23375">
      <c r="B23375" s="19"/>
      <c r="E23375" s="23"/>
      <c r="L23375" s="23"/>
    </row>
    <row r="23376">
      <c r="B23376" s="19"/>
      <c r="E23376" s="23"/>
      <c r="L23376" s="23"/>
    </row>
    <row r="23377">
      <c r="B23377" s="19"/>
      <c r="E23377" s="23"/>
      <c r="L23377" s="23"/>
    </row>
    <row r="23378">
      <c r="B23378" s="19"/>
      <c r="E23378" s="23"/>
      <c r="L23378" s="23"/>
    </row>
    <row r="23379">
      <c r="B23379" s="19"/>
      <c r="E23379" s="23"/>
      <c r="L23379" s="23"/>
    </row>
    <row r="23380">
      <c r="B23380" s="19"/>
      <c r="E23380" s="23"/>
      <c r="L23380" s="23"/>
    </row>
    <row r="23381">
      <c r="B23381" s="19"/>
      <c r="E23381" s="23"/>
      <c r="L23381" s="23"/>
    </row>
    <row r="23382">
      <c r="B23382" s="19"/>
      <c r="E23382" s="23"/>
      <c r="L23382" s="23"/>
    </row>
    <row r="23383">
      <c r="B23383" s="19"/>
      <c r="E23383" s="23"/>
      <c r="L23383" s="23"/>
    </row>
    <row r="23384">
      <c r="B23384" s="19"/>
      <c r="E23384" s="23"/>
      <c r="L23384" s="23"/>
    </row>
    <row r="23385">
      <c r="B23385" s="19"/>
      <c r="E23385" s="23"/>
      <c r="L23385" s="23"/>
    </row>
    <row r="23386">
      <c r="B23386" s="19"/>
      <c r="E23386" s="23"/>
      <c r="L23386" s="23"/>
    </row>
    <row r="23387">
      <c r="B23387" s="19"/>
      <c r="E23387" s="23"/>
      <c r="L23387" s="23"/>
    </row>
    <row r="23388">
      <c r="B23388" s="19"/>
      <c r="E23388" s="23"/>
      <c r="L23388" s="23"/>
    </row>
    <row r="23389">
      <c r="B23389" s="19"/>
      <c r="E23389" s="23"/>
      <c r="L23389" s="23"/>
    </row>
    <row r="23390">
      <c r="B23390" s="19"/>
      <c r="E23390" s="23"/>
      <c r="L23390" s="23"/>
    </row>
    <row r="23391">
      <c r="B23391" s="19"/>
      <c r="E23391" s="23"/>
      <c r="L23391" s="23"/>
    </row>
    <row r="23392">
      <c r="B23392" s="19"/>
      <c r="E23392" s="23"/>
      <c r="L23392" s="23"/>
    </row>
    <row r="23393">
      <c r="B23393" s="19"/>
      <c r="E23393" s="23"/>
      <c r="L23393" s="23"/>
    </row>
    <row r="23394">
      <c r="B23394" s="19"/>
      <c r="E23394" s="23"/>
      <c r="L23394" s="23"/>
    </row>
    <row r="23395">
      <c r="B23395" s="19"/>
      <c r="E23395" s="23"/>
      <c r="L23395" s="23"/>
    </row>
    <row r="23396">
      <c r="B23396" s="19"/>
      <c r="E23396" s="23"/>
      <c r="L23396" s="23"/>
    </row>
    <row r="23397">
      <c r="B23397" s="19"/>
      <c r="E23397" s="23"/>
      <c r="L23397" s="23"/>
    </row>
    <row r="23398">
      <c r="B23398" s="19"/>
      <c r="E23398" s="23"/>
      <c r="L23398" s="23"/>
    </row>
    <row r="23399">
      <c r="B23399" s="19"/>
      <c r="E23399" s="23"/>
      <c r="L23399" s="23"/>
    </row>
    <row r="23400">
      <c r="B23400" s="19"/>
      <c r="E23400" s="23"/>
      <c r="L23400" s="23"/>
    </row>
    <row r="23401">
      <c r="B23401" s="19"/>
      <c r="E23401" s="23"/>
      <c r="L23401" s="23"/>
    </row>
    <row r="23402">
      <c r="B23402" s="19"/>
      <c r="E23402" s="23"/>
      <c r="L23402" s="23"/>
    </row>
    <row r="23403">
      <c r="B23403" s="19"/>
      <c r="E23403" s="23"/>
      <c r="L23403" s="23"/>
    </row>
    <row r="23404">
      <c r="B23404" s="19"/>
      <c r="E23404" s="23"/>
      <c r="L23404" s="23"/>
    </row>
    <row r="23405">
      <c r="B23405" s="19"/>
      <c r="E23405" s="23"/>
      <c r="L23405" s="23"/>
    </row>
    <row r="23406">
      <c r="B23406" s="19"/>
      <c r="E23406" s="23"/>
      <c r="L23406" s="23"/>
    </row>
    <row r="23407">
      <c r="B23407" s="19"/>
      <c r="E23407" s="23"/>
      <c r="L23407" s="23"/>
    </row>
    <row r="23408">
      <c r="B23408" s="19"/>
      <c r="E23408" s="23"/>
      <c r="L23408" s="23"/>
    </row>
    <row r="23409">
      <c r="B23409" s="19"/>
      <c r="E23409" s="23"/>
      <c r="L23409" s="23"/>
    </row>
    <row r="23410">
      <c r="B23410" s="19"/>
      <c r="E23410" s="23"/>
      <c r="L23410" s="23"/>
    </row>
    <row r="23411">
      <c r="B23411" s="19"/>
      <c r="E23411" s="23"/>
      <c r="L23411" s="23"/>
    </row>
    <row r="23412">
      <c r="B23412" s="19"/>
      <c r="E23412" s="23"/>
      <c r="L23412" s="23"/>
    </row>
    <row r="23413">
      <c r="B23413" s="19"/>
      <c r="E23413" s="23"/>
      <c r="L23413" s="23"/>
    </row>
    <row r="23414">
      <c r="B23414" s="19"/>
      <c r="E23414" s="23"/>
      <c r="L23414" s="23"/>
    </row>
    <row r="23415">
      <c r="B23415" s="19"/>
      <c r="E23415" s="23"/>
      <c r="L23415" s="23"/>
    </row>
    <row r="23416">
      <c r="B23416" s="19"/>
      <c r="E23416" s="23"/>
      <c r="L23416" s="23"/>
    </row>
    <row r="23417">
      <c r="B23417" s="19"/>
      <c r="E23417" s="23"/>
      <c r="L23417" s="23"/>
    </row>
    <row r="23418">
      <c r="B23418" s="19"/>
      <c r="E23418" s="23"/>
      <c r="L23418" s="23"/>
    </row>
    <row r="23419">
      <c r="B23419" s="19"/>
      <c r="E23419" s="23"/>
      <c r="L23419" s="23"/>
    </row>
    <row r="23420">
      <c r="B23420" s="19"/>
      <c r="E23420" s="23"/>
      <c r="L23420" s="23"/>
    </row>
    <row r="23421">
      <c r="B23421" s="19"/>
      <c r="E23421" s="23"/>
      <c r="L23421" s="23"/>
    </row>
    <row r="23422">
      <c r="B23422" s="19"/>
      <c r="E23422" s="23"/>
      <c r="L23422" s="23"/>
    </row>
    <row r="23423">
      <c r="B23423" s="19"/>
      <c r="E23423" s="23"/>
      <c r="L23423" s="23"/>
    </row>
    <row r="23424">
      <c r="B23424" s="19"/>
      <c r="E23424" s="23"/>
      <c r="L23424" s="23"/>
    </row>
    <row r="23425">
      <c r="B23425" s="19"/>
      <c r="E23425" s="23"/>
      <c r="L23425" s="23"/>
    </row>
    <row r="23426">
      <c r="B23426" s="19"/>
      <c r="E23426" s="23"/>
      <c r="L23426" s="23"/>
    </row>
    <row r="23427">
      <c r="B23427" s="19"/>
      <c r="E23427" s="23"/>
      <c r="L23427" s="23"/>
    </row>
    <row r="23428">
      <c r="B23428" s="19"/>
      <c r="E23428" s="23"/>
      <c r="L23428" s="23"/>
    </row>
    <row r="23429">
      <c r="B23429" s="19"/>
      <c r="E23429" s="23"/>
      <c r="L23429" s="23"/>
    </row>
    <row r="23430">
      <c r="B23430" s="19"/>
      <c r="E23430" s="23"/>
      <c r="L23430" s="23"/>
    </row>
    <row r="23431">
      <c r="B23431" s="19"/>
      <c r="E23431" s="23"/>
      <c r="L23431" s="23"/>
    </row>
    <row r="23432">
      <c r="B23432" s="19"/>
      <c r="E23432" s="23"/>
      <c r="L23432" s="23"/>
    </row>
    <row r="23433">
      <c r="B23433" s="19"/>
      <c r="E23433" s="23"/>
      <c r="L23433" s="23"/>
    </row>
    <row r="23434">
      <c r="B23434" s="19"/>
      <c r="E23434" s="23"/>
      <c r="L23434" s="23"/>
    </row>
    <row r="23435">
      <c r="B23435" s="19"/>
      <c r="E23435" s="23"/>
      <c r="L23435" s="23"/>
    </row>
    <row r="23436">
      <c r="B23436" s="19"/>
      <c r="E23436" s="23"/>
      <c r="L23436" s="23"/>
    </row>
    <row r="23437">
      <c r="B23437" s="19"/>
      <c r="E23437" s="23"/>
      <c r="L23437" s="23"/>
    </row>
    <row r="23438">
      <c r="B23438" s="19"/>
      <c r="E23438" s="23"/>
      <c r="L23438" s="23"/>
    </row>
    <row r="23439">
      <c r="B23439" s="19"/>
      <c r="E23439" s="23"/>
      <c r="L23439" s="23"/>
    </row>
    <row r="23440">
      <c r="B23440" s="19"/>
      <c r="E23440" s="23"/>
      <c r="L23440" s="23"/>
    </row>
    <row r="23441">
      <c r="B23441" s="19"/>
      <c r="E23441" s="23"/>
      <c r="L23441" s="23"/>
    </row>
    <row r="23442">
      <c r="B23442" s="19"/>
      <c r="E23442" s="23"/>
      <c r="L23442" s="23"/>
    </row>
    <row r="23443">
      <c r="B23443" s="19"/>
      <c r="E23443" s="23"/>
      <c r="L23443" s="23"/>
    </row>
    <row r="23444">
      <c r="B23444" s="19"/>
      <c r="E23444" s="23"/>
      <c r="L23444" s="23"/>
    </row>
    <row r="23445">
      <c r="B23445" s="19"/>
      <c r="E23445" s="23"/>
      <c r="L23445" s="23"/>
    </row>
    <row r="23446">
      <c r="B23446" s="19"/>
      <c r="E23446" s="23"/>
      <c r="L23446" s="23"/>
    </row>
    <row r="23447">
      <c r="B23447" s="19"/>
      <c r="E23447" s="23"/>
      <c r="L23447" s="23"/>
    </row>
    <row r="23448">
      <c r="B23448" s="19"/>
      <c r="E23448" s="23"/>
      <c r="L23448" s="23"/>
    </row>
    <row r="23449">
      <c r="B23449" s="19"/>
      <c r="E23449" s="23"/>
      <c r="L23449" s="23"/>
    </row>
    <row r="23450">
      <c r="B23450" s="19"/>
      <c r="E23450" s="23"/>
      <c r="L23450" s="23"/>
    </row>
    <row r="23451">
      <c r="B23451" s="19"/>
      <c r="E23451" s="23"/>
      <c r="L23451" s="23"/>
    </row>
    <row r="23452">
      <c r="B23452" s="19"/>
      <c r="E23452" s="23"/>
      <c r="L23452" s="23"/>
    </row>
    <row r="23453">
      <c r="B23453" s="19"/>
      <c r="E23453" s="23"/>
      <c r="L23453" s="23"/>
    </row>
    <row r="23454">
      <c r="B23454" s="19"/>
      <c r="E23454" s="23"/>
      <c r="L23454" s="23"/>
    </row>
    <row r="23455">
      <c r="B23455" s="19"/>
      <c r="E23455" s="23"/>
      <c r="L23455" s="23"/>
    </row>
    <row r="23456">
      <c r="B23456" s="19"/>
      <c r="E23456" s="23"/>
      <c r="L23456" s="23"/>
    </row>
    <row r="23457">
      <c r="B23457" s="19"/>
      <c r="E23457" s="23"/>
      <c r="L23457" s="23"/>
    </row>
    <row r="23458">
      <c r="B23458" s="19"/>
      <c r="E23458" s="23"/>
      <c r="L23458" s="23"/>
    </row>
    <row r="23459">
      <c r="B23459" s="19"/>
      <c r="E23459" s="23"/>
      <c r="L23459" s="23"/>
    </row>
    <row r="23460">
      <c r="B23460" s="19"/>
      <c r="E23460" s="23"/>
      <c r="L23460" s="23"/>
    </row>
    <row r="23461">
      <c r="B23461" s="19"/>
      <c r="E23461" s="23"/>
      <c r="L23461" s="23"/>
    </row>
    <row r="23462">
      <c r="B23462" s="19"/>
      <c r="E23462" s="23"/>
      <c r="L23462" s="23"/>
    </row>
    <row r="23463">
      <c r="B23463" s="19"/>
      <c r="E23463" s="23"/>
      <c r="L23463" s="23"/>
    </row>
    <row r="23464">
      <c r="B23464" s="19"/>
      <c r="E23464" s="23"/>
      <c r="L23464" s="23"/>
    </row>
    <row r="23465">
      <c r="B23465" s="19"/>
      <c r="E23465" s="23"/>
      <c r="L23465" s="23"/>
    </row>
    <row r="23466">
      <c r="B23466" s="19"/>
      <c r="E23466" s="23"/>
      <c r="L23466" s="23"/>
    </row>
    <row r="23467">
      <c r="B23467" s="19"/>
      <c r="E23467" s="23"/>
      <c r="L23467" s="23"/>
    </row>
    <row r="23468">
      <c r="B23468" s="19"/>
      <c r="E23468" s="23"/>
      <c r="L23468" s="23"/>
    </row>
    <row r="23469">
      <c r="B23469" s="19"/>
      <c r="E23469" s="23"/>
      <c r="L23469" s="23"/>
    </row>
    <row r="23470">
      <c r="B23470" s="19"/>
      <c r="E23470" s="23"/>
      <c r="L23470" s="23"/>
    </row>
    <row r="23471">
      <c r="B23471" s="19"/>
      <c r="E23471" s="23"/>
      <c r="L23471" s="23"/>
    </row>
    <row r="23472">
      <c r="B23472" s="19"/>
      <c r="E23472" s="23"/>
      <c r="L23472" s="23"/>
    </row>
    <row r="23473">
      <c r="B23473" s="19"/>
      <c r="E23473" s="23"/>
      <c r="L23473" s="23"/>
    </row>
    <row r="23474">
      <c r="B23474" s="19"/>
      <c r="E23474" s="23"/>
      <c r="L23474" s="23"/>
    </row>
    <row r="23475">
      <c r="B23475" s="19"/>
      <c r="E23475" s="23"/>
      <c r="L23475" s="23"/>
    </row>
    <row r="23476">
      <c r="B23476" s="19"/>
      <c r="E23476" s="23"/>
      <c r="L23476" s="23"/>
    </row>
    <row r="23477">
      <c r="B23477" s="19"/>
      <c r="E23477" s="23"/>
      <c r="L23477" s="23"/>
    </row>
    <row r="23478">
      <c r="B23478" s="19"/>
      <c r="E23478" s="23"/>
      <c r="L23478" s="23"/>
    </row>
    <row r="23479">
      <c r="B23479" s="19"/>
      <c r="E23479" s="23"/>
      <c r="L23479" s="23"/>
    </row>
    <row r="23480">
      <c r="B23480" s="19"/>
      <c r="E23480" s="23"/>
      <c r="L23480" s="23"/>
    </row>
    <row r="23481">
      <c r="B23481" s="19"/>
      <c r="E23481" s="23"/>
      <c r="L23481" s="23"/>
    </row>
    <row r="23482">
      <c r="B23482" s="19"/>
      <c r="E23482" s="23"/>
      <c r="L23482" s="23"/>
    </row>
    <row r="23483">
      <c r="B23483" s="19"/>
      <c r="E23483" s="23"/>
      <c r="L23483" s="23"/>
    </row>
    <row r="23484">
      <c r="B23484" s="19"/>
      <c r="E23484" s="23"/>
      <c r="L23484" s="23"/>
    </row>
    <row r="23485">
      <c r="B23485" s="19"/>
      <c r="E23485" s="23"/>
      <c r="L23485" s="23"/>
    </row>
    <row r="23486">
      <c r="B23486" s="19"/>
      <c r="E23486" s="23"/>
      <c r="L23486" s="23"/>
    </row>
    <row r="23487">
      <c r="B23487" s="19"/>
      <c r="E23487" s="23"/>
      <c r="L23487" s="23"/>
    </row>
    <row r="23488">
      <c r="B23488" s="19"/>
      <c r="E23488" s="23"/>
      <c r="L23488" s="23"/>
    </row>
    <row r="23489">
      <c r="B23489" s="19"/>
      <c r="E23489" s="23"/>
      <c r="L23489" s="23"/>
    </row>
    <row r="23490">
      <c r="B23490" s="19"/>
      <c r="E23490" s="23"/>
      <c r="L23490" s="23"/>
    </row>
    <row r="23491">
      <c r="B23491" s="19"/>
      <c r="E23491" s="23"/>
      <c r="L23491" s="23"/>
    </row>
    <row r="23492">
      <c r="B23492" s="19"/>
      <c r="E23492" s="23"/>
      <c r="L23492" s="23"/>
    </row>
    <row r="23493">
      <c r="B23493" s="19"/>
      <c r="E23493" s="23"/>
      <c r="L23493" s="23"/>
    </row>
    <row r="23494">
      <c r="B23494" s="19"/>
      <c r="E23494" s="23"/>
      <c r="L23494" s="23"/>
    </row>
    <row r="23495">
      <c r="B23495" s="19"/>
      <c r="E23495" s="23"/>
      <c r="L23495" s="23"/>
    </row>
    <row r="23496">
      <c r="B23496" s="19"/>
      <c r="E23496" s="23"/>
      <c r="L23496" s="23"/>
    </row>
    <row r="23497">
      <c r="B23497" s="19"/>
      <c r="E23497" s="23"/>
      <c r="L23497" s="23"/>
    </row>
    <row r="23498">
      <c r="B23498" s="19"/>
      <c r="E23498" s="23"/>
      <c r="L23498" s="23"/>
    </row>
    <row r="23499">
      <c r="B23499" s="19"/>
      <c r="E23499" s="23"/>
      <c r="L23499" s="23"/>
    </row>
    <row r="23500">
      <c r="B23500" s="19"/>
      <c r="E23500" s="23"/>
      <c r="L23500" s="23"/>
    </row>
    <row r="23501">
      <c r="B23501" s="19"/>
      <c r="E23501" s="23"/>
      <c r="L23501" s="23"/>
    </row>
    <row r="23502">
      <c r="B23502" s="19"/>
      <c r="E23502" s="23"/>
      <c r="L23502" s="23"/>
    </row>
    <row r="23503">
      <c r="B23503" s="19"/>
      <c r="E23503" s="23"/>
      <c r="L23503" s="23"/>
    </row>
    <row r="23504">
      <c r="B23504" s="19"/>
      <c r="E23504" s="23"/>
      <c r="L23504" s="23"/>
    </row>
    <row r="23505">
      <c r="B23505" s="19"/>
      <c r="E23505" s="23"/>
      <c r="L23505" s="23"/>
    </row>
    <row r="23506">
      <c r="B23506" s="19"/>
      <c r="E23506" s="23"/>
      <c r="L23506" s="23"/>
    </row>
    <row r="23507">
      <c r="B23507" s="19"/>
      <c r="E23507" s="23"/>
      <c r="L23507" s="23"/>
    </row>
    <row r="23508">
      <c r="B23508" s="19"/>
      <c r="E23508" s="23"/>
      <c r="L23508" s="23"/>
    </row>
    <row r="23509">
      <c r="B23509" s="19"/>
      <c r="E23509" s="23"/>
      <c r="L23509" s="23"/>
    </row>
    <row r="23510">
      <c r="B23510" s="19"/>
      <c r="E23510" s="23"/>
      <c r="L23510" s="23"/>
    </row>
    <row r="23511">
      <c r="B23511" s="19"/>
      <c r="E23511" s="23"/>
      <c r="L23511" s="23"/>
    </row>
    <row r="23512">
      <c r="B23512" s="19"/>
      <c r="E23512" s="23"/>
      <c r="L23512" s="23"/>
    </row>
    <row r="23513">
      <c r="B23513" s="19"/>
      <c r="E23513" s="23"/>
      <c r="L23513" s="23"/>
    </row>
    <row r="23514">
      <c r="B23514" s="19"/>
      <c r="E23514" s="23"/>
      <c r="L23514" s="23"/>
    </row>
    <row r="23515">
      <c r="B23515" s="19"/>
      <c r="E23515" s="23"/>
      <c r="L23515" s="23"/>
    </row>
    <row r="23516">
      <c r="B23516" s="19"/>
      <c r="E23516" s="23"/>
      <c r="L23516" s="23"/>
    </row>
    <row r="23517">
      <c r="B23517" s="19"/>
      <c r="E23517" s="23"/>
      <c r="L23517" s="23"/>
    </row>
    <row r="23518">
      <c r="B23518" s="19"/>
      <c r="E23518" s="23"/>
      <c r="L23518" s="23"/>
    </row>
    <row r="23519">
      <c r="B23519" s="19"/>
      <c r="E23519" s="23"/>
      <c r="L23519" s="23"/>
    </row>
    <row r="23520">
      <c r="B23520" s="19"/>
      <c r="E23520" s="23"/>
      <c r="L23520" s="23"/>
    </row>
    <row r="23521">
      <c r="B23521" s="19"/>
      <c r="E23521" s="23"/>
      <c r="L23521" s="23"/>
    </row>
    <row r="23522">
      <c r="B23522" s="19"/>
      <c r="E23522" s="23"/>
      <c r="L23522" s="23"/>
    </row>
    <row r="23523">
      <c r="B23523" s="19"/>
      <c r="E23523" s="23"/>
      <c r="L23523" s="23"/>
    </row>
    <row r="23524">
      <c r="B23524" s="19"/>
      <c r="E23524" s="23"/>
      <c r="L23524" s="23"/>
    </row>
    <row r="23525">
      <c r="B23525" s="19"/>
      <c r="E23525" s="23"/>
      <c r="L23525" s="23"/>
    </row>
    <row r="23526">
      <c r="B23526" s="19"/>
      <c r="E23526" s="23"/>
      <c r="L23526" s="23"/>
    </row>
    <row r="23527">
      <c r="B23527" s="19"/>
      <c r="E23527" s="23"/>
      <c r="L23527" s="23"/>
    </row>
    <row r="23528">
      <c r="B23528" s="19"/>
      <c r="E23528" s="23"/>
      <c r="L23528" s="23"/>
    </row>
    <row r="23529">
      <c r="B23529" s="19"/>
      <c r="E23529" s="23"/>
      <c r="L23529" s="23"/>
    </row>
    <row r="23530">
      <c r="B23530" s="19"/>
      <c r="E23530" s="23"/>
      <c r="L23530" s="23"/>
    </row>
    <row r="23531">
      <c r="B23531" s="19"/>
      <c r="E23531" s="23"/>
      <c r="L23531" s="23"/>
    </row>
    <row r="23532">
      <c r="B23532" s="19"/>
      <c r="E23532" s="23"/>
      <c r="L23532" s="23"/>
    </row>
    <row r="23533">
      <c r="B23533" s="19"/>
      <c r="E23533" s="23"/>
      <c r="L23533" s="23"/>
    </row>
    <row r="23534">
      <c r="B23534" s="19"/>
      <c r="E23534" s="23"/>
      <c r="L23534" s="23"/>
    </row>
    <row r="23535">
      <c r="B23535" s="19"/>
      <c r="E23535" s="23"/>
      <c r="L23535" s="23"/>
    </row>
    <row r="23536">
      <c r="B23536" s="19"/>
      <c r="E23536" s="23"/>
      <c r="L23536" s="23"/>
    </row>
    <row r="23537">
      <c r="B23537" s="19"/>
      <c r="E23537" s="23"/>
      <c r="L23537" s="23"/>
    </row>
    <row r="23538">
      <c r="B23538" s="19"/>
      <c r="E23538" s="23"/>
      <c r="L23538" s="23"/>
    </row>
    <row r="23539">
      <c r="B23539" s="19"/>
      <c r="E23539" s="23"/>
      <c r="L23539" s="23"/>
    </row>
    <row r="23540">
      <c r="B23540" s="19"/>
      <c r="E23540" s="23"/>
      <c r="L23540" s="23"/>
    </row>
    <row r="23541">
      <c r="B23541" s="19"/>
      <c r="E23541" s="23"/>
      <c r="L23541" s="23"/>
    </row>
    <row r="23542">
      <c r="B23542" s="19"/>
      <c r="E23542" s="23"/>
      <c r="L23542" s="23"/>
    </row>
    <row r="23543">
      <c r="B23543" s="19"/>
      <c r="E23543" s="23"/>
      <c r="L23543" s="23"/>
    </row>
    <row r="23544">
      <c r="B23544" s="19"/>
      <c r="E23544" s="23"/>
      <c r="L23544" s="23"/>
    </row>
    <row r="23545">
      <c r="B23545" s="19"/>
      <c r="E23545" s="23"/>
      <c r="L23545" s="23"/>
    </row>
    <row r="23546">
      <c r="B23546" s="19"/>
      <c r="E23546" s="23"/>
      <c r="L23546" s="23"/>
    </row>
    <row r="23547">
      <c r="B23547" s="19"/>
      <c r="E23547" s="23"/>
      <c r="L23547" s="23"/>
    </row>
    <row r="23548">
      <c r="B23548" s="19"/>
      <c r="E23548" s="23"/>
      <c r="L23548" s="23"/>
    </row>
    <row r="23549">
      <c r="B23549" s="19"/>
      <c r="E23549" s="23"/>
      <c r="L23549" s="23"/>
    </row>
    <row r="23550">
      <c r="B23550" s="19"/>
      <c r="E23550" s="23"/>
      <c r="L23550" s="23"/>
    </row>
    <row r="23551">
      <c r="B23551" s="19"/>
      <c r="E23551" s="23"/>
      <c r="L23551" s="23"/>
    </row>
    <row r="23552">
      <c r="B23552" s="19"/>
      <c r="E23552" s="23"/>
      <c r="L23552" s="23"/>
    </row>
    <row r="23553">
      <c r="B23553" s="19"/>
      <c r="E23553" s="23"/>
      <c r="L23553" s="23"/>
    </row>
    <row r="23554">
      <c r="B23554" s="19"/>
      <c r="E23554" s="23"/>
      <c r="L23554" s="23"/>
    </row>
    <row r="23555">
      <c r="B23555" s="19"/>
      <c r="E23555" s="23"/>
      <c r="L23555" s="23"/>
    </row>
    <row r="23556">
      <c r="B23556" s="19"/>
      <c r="E23556" s="23"/>
      <c r="L23556" s="23"/>
    </row>
    <row r="23557">
      <c r="B23557" s="19"/>
      <c r="E23557" s="23"/>
      <c r="L23557" s="23"/>
    </row>
    <row r="23558">
      <c r="B23558" s="19"/>
      <c r="E23558" s="23"/>
      <c r="L23558" s="23"/>
    </row>
    <row r="23559">
      <c r="B23559" s="19"/>
      <c r="E23559" s="23"/>
      <c r="L23559" s="23"/>
    </row>
    <row r="23560">
      <c r="B23560" s="19"/>
      <c r="E23560" s="23"/>
      <c r="L23560" s="23"/>
    </row>
    <row r="23561">
      <c r="B23561" s="19"/>
      <c r="E23561" s="23"/>
      <c r="L23561" s="23"/>
    </row>
    <row r="23562">
      <c r="B23562" s="19"/>
      <c r="E23562" s="23"/>
      <c r="L23562" s="23"/>
    </row>
    <row r="23563">
      <c r="B23563" s="19"/>
      <c r="E23563" s="23"/>
      <c r="L23563" s="23"/>
    </row>
    <row r="23564">
      <c r="B23564" s="19"/>
      <c r="E23564" s="23"/>
      <c r="L23564" s="23"/>
    </row>
    <row r="23565">
      <c r="B23565" s="19"/>
      <c r="E23565" s="23"/>
      <c r="L23565" s="23"/>
    </row>
    <row r="23566">
      <c r="B23566" s="19"/>
      <c r="E23566" s="23"/>
      <c r="L23566" s="23"/>
    </row>
    <row r="23567">
      <c r="B23567" s="19"/>
      <c r="E23567" s="23"/>
      <c r="L23567" s="23"/>
    </row>
    <row r="23568">
      <c r="B23568" s="19"/>
      <c r="E23568" s="23"/>
      <c r="L23568" s="23"/>
    </row>
    <row r="23569">
      <c r="B23569" s="19"/>
      <c r="E23569" s="23"/>
      <c r="L23569" s="23"/>
    </row>
    <row r="23570">
      <c r="B23570" s="19"/>
      <c r="E23570" s="23"/>
      <c r="L23570" s="23"/>
    </row>
    <row r="23571">
      <c r="B23571" s="19"/>
      <c r="E23571" s="23"/>
      <c r="L23571" s="23"/>
    </row>
    <row r="23572">
      <c r="B23572" s="19"/>
      <c r="E23572" s="23"/>
      <c r="L23572" s="23"/>
    </row>
    <row r="23573">
      <c r="B23573" s="19"/>
      <c r="E23573" s="23"/>
      <c r="L23573" s="23"/>
    </row>
    <row r="23574">
      <c r="B23574" s="19"/>
      <c r="E23574" s="23"/>
      <c r="L23574" s="23"/>
    </row>
    <row r="23575">
      <c r="B23575" s="19"/>
      <c r="E23575" s="23"/>
      <c r="L23575" s="23"/>
    </row>
    <row r="23576">
      <c r="B23576" s="19"/>
      <c r="E23576" s="23"/>
      <c r="L23576" s="23"/>
    </row>
    <row r="23577">
      <c r="B23577" s="19"/>
      <c r="E23577" s="23"/>
      <c r="L23577" s="23"/>
    </row>
    <row r="23578">
      <c r="B23578" s="19"/>
      <c r="E23578" s="23"/>
      <c r="L23578" s="23"/>
    </row>
    <row r="23579">
      <c r="B23579" s="19"/>
      <c r="E23579" s="23"/>
      <c r="L23579" s="23"/>
    </row>
    <row r="23580">
      <c r="B23580" s="19"/>
      <c r="E23580" s="23"/>
      <c r="L23580" s="23"/>
    </row>
    <row r="23581">
      <c r="B23581" s="19"/>
      <c r="E23581" s="23"/>
      <c r="L23581" s="23"/>
    </row>
    <row r="23582">
      <c r="B23582" s="19"/>
      <c r="E23582" s="23"/>
      <c r="L23582" s="23"/>
    </row>
    <row r="23583">
      <c r="B23583" s="19"/>
      <c r="E23583" s="23"/>
      <c r="L23583" s="23"/>
    </row>
    <row r="23584">
      <c r="B23584" s="19"/>
      <c r="E23584" s="23"/>
      <c r="L23584" s="23"/>
    </row>
    <row r="23585">
      <c r="B23585" s="19"/>
      <c r="E23585" s="23"/>
      <c r="L23585" s="23"/>
    </row>
    <row r="23586">
      <c r="B23586" s="19"/>
      <c r="E23586" s="23"/>
      <c r="L23586" s="23"/>
    </row>
    <row r="23587">
      <c r="B23587" s="19"/>
      <c r="E23587" s="23"/>
      <c r="L23587" s="23"/>
    </row>
    <row r="23588">
      <c r="B23588" s="19"/>
      <c r="E23588" s="23"/>
      <c r="L23588" s="23"/>
    </row>
    <row r="23589">
      <c r="B23589" s="19"/>
      <c r="E23589" s="23"/>
      <c r="L23589" s="23"/>
    </row>
    <row r="23590">
      <c r="B23590" s="19"/>
      <c r="E23590" s="23"/>
      <c r="L23590" s="23"/>
    </row>
    <row r="23591">
      <c r="B23591" s="19"/>
      <c r="E23591" s="23"/>
      <c r="L23591" s="23"/>
    </row>
    <row r="23592">
      <c r="B23592" s="19"/>
      <c r="E23592" s="23"/>
      <c r="L23592" s="23"/>
    </row>
    <row r="23593">
      <c r="B23593" s="19"/>
      <c r="E23593" s="23"/>
      <c r="L23593" s="23"/>
    </row>
    <row r="23594">
      <c r="B23594" s="19"/>
      <c r="E23594" s="23"/>
      <c r="L23594" s="23"/>
    </row>
    <row r="23595">
      <c r="B23595" s="19"/>
      <c r="E23595" s="23"/>
      <c r="L23595" s="23"/>
    </row>
    <row r="23596">
      <c r="B23596" s="19"/>
      <c r="E23596" s="23"/>
      <c r="L23596" s="23"/>
    </row>
    <row r="23597">
      <c r="B23597" s="19"/>
      <c r="E23597" s="23"/>
      <c r="L23597" s="23"/>
    </row>
    <row r="23598">
      <c r="B23598" s="19"/>
      <c r="E23598" s="23"/>
      <c r="L23598" s="23"/>
    </row>
    <row r="23599">
      <c r="B23599" s="19"/>
      <c r="E23599" s="23"/>
      <c r="L23599" s="23"/>
    </row>
    <row r="23600">
      <c r="B23600" s="19"/>
      <c r="E23600" s="23"/>
      <c r="L23600" s="23"/>
    </row>
    <row r="23601">
      <c r="B23601" s="19"/>
      <c r="E23601" s="23"/>
      <c r="L23601" s="23"/>
    </row>
    <row r="23602">
      <c r="B23602" s="19"/>
      <c r="E23602" s="23"/>
      <c r="L23602" s="23"/>
    </row>
    <row r="23603">
      <c r="B23603" s="19"/>
      <c r="E23603" s="23"/>
      <c r="L23603" s="23"/>
    </row>
    <row r="23604">
      <c r="B23604" s="19"/>
      <c r="E23604" s="23"/>
      <c r="L23604" s="23"/>
    </row>
    <row r="23605">
      <c r="B23605" s="19"/>
      <c r="E23605" s="23"/>
      <c r="L23605" s="23"/>
    </row>
    <row r="23606">
      <c r="B23606" s="19"/>
      <c r="E23606" s="23"/>
      <c r="L23606" s="23"/>
    </row>
    <row r="23607">
      <c r="B23607" s="19"/>
      <c r="E23607" s="23"/>
      <c r="L23607" s="23"/>
    </row>
    <row r="23608">
      <c r="B23608" s="19"/>
      <c r="E23608" s="23"/>
      <c r="L23608" s="23"/>
    </row>
    <row r="23609">
      <c r="B23609" s="19"/>
      <c r="E23609" s="23"/>
      <c r="L23609" s="23"/>
    </row>
    <row r="23610">
      <c r="B23610" s="19"/>
      <c r="E23610" s="23"/>
      <c r="L23610" s="23"/>
    </row>
    <row r="23611">
      <c r="B23611" s="19"/>
      <c r="E23611" s="23"/>
      <c r="L23611" s="23"/>
    </row>
    <row r="23612">
      <c r="B23612" s="19"/>
      <c r="E23612" s="23"/>
      <c r="L23612" s="23"/>
    </row>
    <row r="23613">
      <c r="B23613" s="19"/>
      <c r="E23613" s="23"/>
      <c r="L23613" s="23"/>
    </row>
    <row r="23614">
      <c r="B23614" s="19"/>
      <c r="E23614" s="23"/>
      <c r="L23614" s="23"/>
    </row>
    <row r="23615">
      <c r="B23615" s="19"/>
      <c r="E23615" s="23"/>
      <c r="L23615" s="23"/>
    </row>
    <row r="23616">
      <c r="B23616" s="19"/>
      <c r="E23616" s="23"/>
      <c r="L23616" s="23"/>
    </row>
    <row r="23617">
      <c r="B23617" s="19"/>
      <c r="E23617" s="23"/>
      <c r="L23617" s="23"/>
    </row>
    <row r="23618">
      <c r="B23618" s="19"/>
      <c r="E23618" s="23"/>
      <c r="L23618" s="23"/>
    </row>
    <row r="23619">
      <c r="B23619" s="19"/>
      <c r="E23619" s="23"/>
      <c r="L23619" s="23"/>
    </row>
    <row r="23620">
      <c r="B23620" s="19"/>
      <c r="E23620" s="23"/>
      <c r="L23620" s="23"/>
    </row>
    <row r="23621">
      <c r="B23621" s="19"/>
      <c r="E23621" s="23"/>
      <c r="L23621" s="23"/>
    </row>
    <row r="23622">
      <c r="B23622" s="19"/>
      <c r="E23622" s="23"/>
      <c r="L23622" s="23"/>
    </row>
    <row r="23623">
      <c r="B23623" s="19"/>
      <c r="E23623" s="23"/>
      <c r="L23623" s="23"/>
    </row>
    <row r="23624">
      <c r="B23624" s="19"/>
      <c r="E23624" s="23"/>
      <c r="L23624" s="23"/>
    </row>
    <row r="23625">
      <c r="B23625" s="19"/>
      <c r="E23625" s="23"/>
      <c r="L23625" s="23"/>
    </row>
    <row r="23626">
      <c r="B23626" s="19"/>
      <c r="E23626" s="23"/>
      <c r="L23626" s="23"/>
    </row>
    <row r="23627">
      <c r="B23627" s="19"/>
      <c r="E23627" s="23"/>
      <c r="L23627" s="23"/>
    </row>
    <row r="23628">
      <c r="B23628" s="19"/>
      <c r="E23628" s="23"/>
      <c r="L23628" s="23"/>
    </row>
    <row r="23629">
      <c r="B23629" s="19"/>
      <c r="E23629" s="23"/>
      <c r="L23629" s="23"/>
    </row>
    <row r="23630">
      <c r="B23630" s="19"/>
      <c r="E23630" s="23"/>
      <c r="L23630" s="23"/>
    </row>
    <row r="23631">
      <c r="B23631" s="19"/>
      <c r="E23631" s="23"/>
      <c r="L23631" s="23"/>
    </row>
    <row r="23632">
      <c r="B23632" s="19"/>
      <c r="E23632" s="23"/>
      <c r="L23632" s="23"/>
    </row>
    <row r="23633">
      <c r="B23633" s="19"/>
      <c r="E23633" s="23"/>
      <c r="L23633" s="23"/>
    </row>
    <row r="23634">
      <c r="B23634" s="19"/>
      <c r="E23634" s="23"/>
      <c r="L23634" s="23"/>
    </row>
    <row r="23635">
      <c r="B23635" s="19"/>
      <c r="E23635" s="23"/>
      <c r="L23635" s="23"/>
    </row>
    <row r="23636">
      <c r="B23636" s="19"/>
      <c r="E23636" s="23"/>
      <c r="L23636" s="23"/>
    </row>
    <row r="23637">
      <c r="B23637" s="19"/>
      <c r="E23637" s="23"/>
      <c r="L23637" s="23"/>
    </row>
    <row r="23638">
      <c r="B23638" s="19"/>
      <c r="E23638" s="23"/>
      <c r="L23638" s="23"/>
    </row>
    <row r="23639">
      <c r="B23639" s="19"/>
      <c r="E23639" s="23"/>
      <c r="L23639" s="23"/>
    </row>
    <row r="23640">
      <c r="B23640" s="19"/>
      <c r="E23640" s="23"/>
      <c r="L23640" s="23"/>
    </row>
    <row r="23641">
      <c r="B23641" s="19"/>
      <c r="E23641" s="23"/>
      <c r="L23641" s="23"/>
    </row>
    <row r="23642">
      <c r="B23642" s="19"/>
      <c r="E23642" s="23"/>
      <c r="L23642" s="23"/>
    </row>
    <row r="23643">
      <c r="B23643" s="19"/>
      <c r="E23643" s="23"/>
      <c r="L23643" s="23"/>
    </row>
    <row r="23644">
      <c r="B23644" s="19"/>
      <c r="E23644" s="23"/>
      <c r="L23644" s="23"/>
    </row>
    <row r="23645">
      <c r="B23645" s="19"/>
      <c r="E23645" s="23"/>
      <c r="L23645" s="23"/>
    </row>
    <row r="23646">
      <c r="B23646" s="19"/>
      <c r="E23646" s="23"/>
      <c r="L23646" s="23"/>
    </row>
    <row r="23647">
      <c r="B23647" s="19"/>
      <c r="E23647" s="23"/>
      <c r="L23647" s="23"/>
    </row>
    <row r="23648">
      <c r="B23648" s="19"/>
      <c r="E23648" s="23"/>
      <c r="L23648" s="23"/>
    </row>
    <row r="23649">
      <c r="B23649" s="19"/>
      <c r="E23649" s="23"/>
      <c r="L23649" s="23"/>
    </row>
    <row r="23650">
      <c r="B23650" s="19"/>
      <c r="E23650" s="23"/>
      <c r="L23650" s="23"/>
    </row>
    <row r="23651">
      <c r="B23651" s="19"/>
      <c r="E23651" s="23"/>
      <c r="L23651" s="23"/>
    </row>
    <row r="23652">
      <c r="B23652" s="19"/>
      <c r="E23652" s="23"/>
      <c r="L23652" s="23"/>
    </row>
    <row r="23653">
      <c r="B23653" s="19"/>
      <c r="E23653" s="23"/>
      <c r="L23653" s="23"/>
    </row>
    <row r="23654">
      <c r="B23654" s="19"/>
      <c r="E23654" s="23"/>
      <c r="L23654" s="23"/>
    </row>
    <row r="23655">
      <c r="B23655" s="19"/>
      <c r="E23655" s="23"/>
      <c r="L23655" s="23"/>
    </row>
    <row r="23656">
      <c r="B23656" s="19"/>
      <c r="E23656" s="23"/>
      <c r="L23656" s="23"/>
    </row>
    <row r="23657">
      <c r="B23657" s="19"/>
      <c r="E23657" s="23"/>
      <c r="L23657" s="23"/>
    </row>
    <row r="23658">
      <c r="B23658" s="19"/>
      <c r="E23658" s="23"/>
      <c r="L23658" s="23"/>
    </row>
    <row r="23659">
      <c r="B23659" s="19"/>
      <c r="E23659" s="23"/>
      <c r="L23659" s="23"/>
    </row>
    <row r="23660">
      <c r="B23660" s="19"/>
      <c r="E23660" s="23"/>
      <c r="L23660" s="23"/>
    </row>
    <row r="23661">
      <c r="B23661" s="19"/>
      <c r="E23661" s="23"/>
      <c r="L23661" s="23"/>
    </row>
    <row r="23662">
      <c r="B23662" s="19"/>
      <c r="E23662" s="23"/>
      <c r="L23662" s="23"/>
    </row>
    <row r="23663">
      <c r="B23663" s="19"/>
      <c r="E23663" s="23"/>
      <c r="L23663" s="23"/>
    </row>
    <row r="23664">
      <c r="B23664" s="19"/>
      <c r="E23664" s="23"/>
      <c r="L23664" s="23"/>
    </row>
    <row r="23665">
      <c r="B23665" s="19"/>
      <c r="E23665" s="23"/>
      <c r="L23665" s="23"/>
    </row>
    <row r="23666">
      <c r="B23666" s="19"/>
      <c r="E23666" s="23"/>
      <c r="L23666" s="23"/>
    </row>
    <row r="23667">
      <c r="B23667" s="19"/>
      <c r="E23667" s="23"/>
      <c r="L23667" s="23"/>
    </row>
    <row r="23668">
      <c r="B23668" s="19"/>
      <c r="E23668" s="23"/>
      <c r="L23668" s="23"/>
    </row>
    <row r="23669">
      <c r="B23669" s="19"/>
      <c r="E23669" s="23"/>
      <c r="L23669" s="23"/>
    </row>
    <row r="23670">
      <c r="B23670" s="19"/>
      <c r="E23670" s="23"/>
      <c r="L23670" s="23"/>
    </row>
    <row r="23671">
      <c r="B23671" s="19"/>
      <c r="E23671" s="23"/>
      <c r="L23671" s="23"/>
    </row>
    <row r="23672">
      <c r="B23672" s="19"/>
      <c r="E23672" s="23"/>
      <c r="L23672" s="23"/>
    </row>
    <row r="23673">
      <c r="B23673" s="19"/>
      <c r="E23673" s="23"/>
      <c r="L23673" s="23"/>
    </row>
    <row r="23674">
      <c r="B23674" s="19"/>
      <c r="E23674" s="23"/>
      <c r="L23674" s="23"/>
    </row>
    <row r="23675">
      <c r="B23675" s="19"/>
      <c r="E23675" s="23"/>
      <c r="L23675" s="23"/>
    </row>
    <row r="23676">
      <c r="B23676" s="19"/>
      <c r="E23676" s="23"/>
      <c r="L23676" s="23"/>
    </row>
    <row r="23677">
      <c r="B23677" s="19"/>
      <c r="E23677" s="23"/>
      <c r="L23677" s="23"/>
    </row>
    <row r="23678">
      <c r="B23678" s="19"/>
      <c r="E23678" s="23"/>
      <c r="L23678" s="23"/>
    </row>
    <row r="23679">
      <c r="B23679" s="19"/>
      <c r="E23679" s="23"/>
      <c r="L23679" s="23"/>
    </row>
    <row r="23680">
      <c r="B23680" s="19"/>
      <c r="E23680" s="23"/>
      <c r="L23680" s="23"/>
    </row>
    <row r="23681">
      <c r="B23681" s="19"/>
      <c r="E23681" s="23"/>
      <c r="L23681" s="23"/>
    </row>
    <row r="23682">
      <c r="B23682" s="19"/>
      <c r="E23682" s="23"/>
      <c r="L23682" s="23"/>
    </row>
    <row r="23683">
      <c r="B23683" s="19"/>
      <c r="E23683" s="23"/>
      <c r="L23683" s="23"/>
    </row>
    <row r="23684">
      <c r="B23684" s="19"/>
      <c r="E23684" s="23"/>
      <c r="L23684" s="23"/>
    </row>
    <row r="23685">
      <c r="B23685" s="19"/>
      <c r="E23685" s="23"/>
      <c r="L23685" s="23"/>
    </row>
    <row r="23686">
      <c r="B23686" s="19"/>
      <c r="E23686" s="23"/>
      <c r="L23686" s="23"/>
    </row>
    <row r="23687">
      <c r="B23687" s="19"/>
      <c r="E23687" s="23"/>
      <c r="L23687" s="23"/>
    </row>
    <row r="23688">
      <c r="B23688" s="19"/>
      <c r="E23688" s="23"/>
      <c r="L23688" s="23"/>
    </row>
    <row r="23689">
      <c r="B23689" s="19"/>
      <c r="E23689" s="23"/>
      <c r="L23689" s="23"/>
    </row>
    <row r="23690">
      <c r="B23690" s="19"/>
      <c r="E23690" s="23"/>
      <c r="L23690" s="23"/>
    </row>
    <row r="23691">
      <c r="B23691" s="19"/>
      <c r="E23691" s="23"/>
      <c r="L23691" s="23"/>
    </row>
    <row r="23692">
      <c r="B23692" s="19"/>
      <c r="E23692" s="23"/>
      <c r="L23692" s="23"/>
    </row>
    <row r="23693">
      <c r="B23693" s="19"/>
      <c r="E23693" s="23"/>
      <c r="L23693" s="23"/>
    </row>
    <row r="23694">
      <c r="B23694" s="19"/>
      <c r="E23694" s="23"/>
      <c r="L23694" s="23"/>
    </row>
    <row r="23695">
      <c r="B23695" s="19"/>
      <c r="E23695" s="23"/>
      <c r="L23695" s="23"/>
    </row>
    <row r="23696">
      <c r="B23696" s="19"/>
      <c r="E23696" s="23"/>
      <c r="L23696" s="23"/>
    </row>
    <row r="23697">
      <c r="B23697" s="19"/>
      <c r="E23697" s="23"/>
      <c r="L23697" s="23"/>
    </row>
    <row r="23698">
      <c r="B23698" s="19"/>
      <c r="E23698" s="23"/>
      <c r="L23698" s="23"/>
    </row>
    <row r="23699">
      <c r="B23699" s="19"/>
      <c r="E23699" s="23"/>
      <c r="L23699" s="23"/>
    </row>
    <row r="23700">
      <c r="B23700" s="19"/>
      <c r="E23700" s="23"/>
      <c r="L23700" s="23"/>
    </row>
    <row r="23701">
      <c r="B23701" s="19"/>
      <c r="E23701" s="23"/>
      <c r="L23701" s="23"/>
    </row>
    <row r="23702">
      <c r="B23702" s="19"/>
      <c r="E23702" s="23"/>
      <c r="L23702" s="23"/>
    </row>
    <row r="23703">
      <c r="B23703" s="19"/>
      <c r="E23703" s="23"/>
      <c r="L23703" s="23"/>
    </row>
    <row r="23704">
      <c r="B23704" s="19"/>
      <c r="E23704" s="23"/>
      <c r="L23704" s="23"/>
    </row>
    <row r="23705">
      <c r="B23705" s="19"/>
      <c r="E23705" s="23"/>
      <c r="L23705" s="23"/>
    </row>
    <row r="23706">
      <c r="B23706" s="19"/>
      <c r="E23706" s="23"/>
      <c r="L23706" s="23"/>
    </row>
    <row r="23707">
      <c r="B23707" s="19"/>
      <c r="E23707" s="23"/>
      <c r="L23707" s="23"/>
    </row>
    <row r="23708">
      <c r="B23708" s="19"/>
      <c r="E23708" s="23"/>
      <c r="L23708" s="23"/>
    </row>
    <row r="23709">
      <c r="B23709" s="19"/>
      <c r="E23709" s="23"/>
      <c r="L23709" s="23"/>
    </row>
    <row r="23710">
      <c r="B23710" s="19"/>
      <c r="E23710" s="23"/>
      <c r="L23710" s="23"/>
    </row>
    <row r="23711">
      <c r="B23711" s="19"/>
      <c r="E23711" s="23"/>
      <c r="L23711" s="23"/>
    </row>
    <row r="23712">
      <c r="B23712" s="19"/>
      <c r="E23712" s="23"/>
      <c r="L23712" s="23"/>
    </row>
    <row r="23713">
      <c r="B23713" s="19"/>
      <c r="E23713" s="23"/>
      <c r="L23713" s="23"/>
    </row>
    <row r="23714">
      <c r="B23714" s="19"/>
      <c r="E23714" s="23"/>
      <c r="L23714" s="23"/>
    </row>
    <row r="23715">
      <c r="B23715" s="19"/>
      <c r="E23715" s="23"/>
      <c r="L23715" s="23"/>
    </row>
    <row r="23716">
      <c r="B23716" s="19"/>
      <c r="E23716" s="23"/>
      <c r="L23716" s="23"/>
    </row>
    <row r="23717">
      <c r="B23717" s="19"/>
      <c r="E23717" s="23"/>
      <c r="L23717" s="23"/>
    </row>
    <row r="23718">
      <c r="B23718" s="19"/>
      <c r="E23718" s="23"/>
      <c r="L23718" s="23"/>
    </row>
    <row r="23719">
      <c r="B23719" s="19"/>
      <c r="E23719" s="23"/>
      <c r="L23719" s="23"/>
    </row>
    <row r="23720">
      <c r="B23720" s="19"/>
      <c r="E23720" s="23"/>
      <c r="L23720" s="23"/>
    </row>
    <row r="23721">
      <c r="B23721" s="19"/>
      <c r="E23721" s="23"/>
      <c r="L23721" s="23"/>
    </row>
    <row r="23722">
      <c r="B23722" s="19"/>
      <c r="E23722" s="23"/>
      <c r="L23722" s="23"/>
    </row>
    <row r="23723">
      <c r="B23723" s="19"/>
      <c r="E23723" s="23"/>
      <c r="L23723" s="23"/>
    </row>
    <row r="23724">
      <c r="B23724" s="19"/>
      <c r="E23724" s="23"/>
      <c r="L23724" s="23"/>
    </row>
    <row r="23725">
      <c r="B23725" s="19"/>
      <c r="E23725" s="23"/>
      <c r="L23725" s="23"/>
    </row>
    <row r="23726">
      <c r="B23726" s="19"/>
      <c r="E23726" s="23"/>
      <c r="L23726" s="23"/>
    </row>
    <row r="23727">
      <c r="B23727" s="19"/>
      <c r="E23727" s="23"/>
      <c r="L23727" s="23"/>
    </row>
    <row r="23728">
      <c r="B23728" s="19"/>
      <c r="E23728" s="23"/>
      <c r="L23728" s="23"/>
    </row>
    <row r="23729">
      <c r="B23729" s="19"/>
      <c r="E23729" s="23"/>
      <c r="L23729" s="23"/>
    </row>
    <row r="23730">
      <c r="B23730" s="19"/>
      <c r="E23730" s="23"/>
      <c r="L23730" s="23"/>
    </row>
    <row r="23731">
      <c r="B23731" s="19"/>
      <c r="E23731" s="23"/>
      <c r="L23731" s="23"/>
    </row>
    <row r="23732">
      <c r="B23732" s="19"/>
      <c r="E23732" s="23"/>
      <c r="L23732" s="23"/>
    </row>
    <row r="23733">
      <c r="B23733" s="19"/>
      <c r="E23733" s="23"/>
      <c r="L23733" s="23"/>
    </row>
    <row r="23734">
      <c r="B23734" s="19"/>
      <c r="E23734" s="23"/>
      <c r="L23734" s="23"/>
    </row>
    <row r="23735">
      <c r="B23735" s="19"/>
      <c r="E23735" s="23"/>
      <c r="L23735" s="23"/>
    </row>
    <row r="23736">
      <c r="B23736" s="19"/>
      <c r="E23736" s="23"/>
      <c r="L23736" s="23"/>
    </row>
    <row r="23737">
      <c r="B23737" s="19"/>
      <c r="E23737" s="23"/>
      <c r="L23737" s="23"/>
    </row>
    <row r="23738">
      <c r="B23738" s="19"/>
      <c r="E23738" s="23"/>
      <c r="L23738" s="23"/>
    </row>
    <row r="23739">
      <c r="B23739" s="19"/>
      <c r="E23739" s="23"/>
      <c r="L23739" s="23"/>
    </row>
    <row r="23740">
      <c r="B23740" s="19"/>
      <c r="E23740" s="23"/>
      <c r="L23740" s="23"/>
    </row>
    <row r="23741">
      <c r="B23741" s="19"/>
      <c r="E23741" s="23"/>
      <c r="L23741" s="23"/>
    </row>
    <row r="23742">
      <c r="B23742" s="19"/>
      <c r="E23742" s="23"/>
      <c r="L23742" s="23"/>
    </row>
    <row r="23743">
      <c r="B23743" s="19"/>
      <c r="E23743" s="23"/>
      <c r="L23743" s="23"/>
    </row>
    <row r="23744">
      <c r="B23744" s="19"/>
      <c r="E23744" s="23"/>
      <c r="L23744" s="23"/>
    </row>
    <row r="23745">
      <c r="B23745" s="19"/>
      <c r="E23745" s="23"/>
      <c r="L23745" s="23"/>
    </row>
    <row r="23746">
      <c r="B23746" s="19"/>
      <c r="E23746" s="23"/>
      <c r="L23746" s="23"/>
    </row>
    <row r="23747">
      <c r="B23747" s="19"/>
      <c r="E23747" s="23"/>
      <c r="L23747" s="23"/>
    </row>
    <row r="23748">
      <c r="B23748" s="19"/>
      <c r="E23748" s="23"/>
      <c r="L23748" s="23"/>
    </row>
    <row r="23749">
      <c r="B23749" s="19"/>
      <c r="E23749" s="23"/>
      <c r="L23749" s="23"/>
    </row>
    <row r="23750">
      <c r="B23750" s="19"/>
      <c r="E23750" s="23"/>
      <c r="L23750" s="23"/>
    </row>
    <row r="23751">
      <c r="B23751" s="19"/>
      <c r="E23751" s="23"/>
      <c r="L23751" s="23"/>
    </row>
    <row r="23752">
      <c r="B23752" s="19"/>
      <c r="E23752" s="23"/>
      <c r="L23752" s="23"/>
    </row>
    <row r="23753">
      <c r="B23753" s="19"/>
      <c r="E23753" s="23"/>
      <c r="L23753" s="23"/>
    </row>
    <row r="23754">
      <c r="B23754" s="19"/>
      <c r="E23754" s="23"/>
      <c r="L23754" s="23"/>
    </row>
    <row r="23755">
      <c r="B23755" s="19"/>
      <c r="E23755" s="23"/>
      <c r="L23755" s="23"/>
    </row>
    <row r="23756">
      <c r="B23756" s="19"/>
      <c r="E23756" s="23"/>
      <c r="L23756" s="23"/>
    </row>
    <row r="23757">
      <c r="B23757" s="19"/>
      <c r="E23757" s="23"/>
      <c r="L23757" s="23"/>
    </row>
    <row r="23758">
      <c r="B23758" s="19"/>
      <c r="E23758" s="23"/>
      <c r="L23758" s="23"/>
    </row>
    <row r="23759">
      <c r="B23759" s="19"/>
      <c r="E23759" s="23"/>
      <c r="L23759" s="23"/>
    </row>
    <row r="23760">
      <c r="B23760" s="19"/>
      <c r="E23760" s="23"/>
      <c r="L23760" s="23"/>
    </row>
    <row r="23761">
      <c r="B23761" s="19"/>
      <c r="E23761" s="23"/>
      <c r="L23761" s="23"/>
    </row>
    <row r="23762">
      <c r="B23762" s="19"/>
      <c r="E23762" s="23"/>
      <c r="L23762" s="23"/>
    </row>
    <row r="23763">
      <c r="B23763" s="19"/>
      <c r="E23763" s="23"/>
      <c r="L23763" s="23"/>
    </row>
    <row r="23764">
      <c r="B23764" s="19"/>
      <c r="E23764" s="23"/>
      <c r="L23764" s="23"/>
    </row>
    <row r="23765">
      <c r="B23765" s="19"/>
      <c r="E23765" s="23"/>
      <c r="L23765" s="23"/>
    </row>
    <row r="23766">
      <c r="B23766" s="19"/>
      <c r="E23766" s="23"/>
      <c r="L23766" s="23"/>
    </row>
    <row r="23767">
      <c r="B23767" s="19"/>
      <c r="E23767" s="23"/>
      <c r="L23767" s="23"/>
    </row>
    <row r="23768">
      <c r="B23768" s="19"/>
      <c r="E23768" s="23"/>
      <c r="L23768" s="23"/>
    </row>
    <row r="23769">
      <c r="B23769" s="19"/>
      <c r="E23769" s="23"/>
      <c r="L23769" s="23"/>
    </row>
    <row r="23770">
      <c r="B23770" s="19"/>
      <c r="E23770" s="23"/>
      <c r="L23770" s="23"/>
    </row>
    <row r="23771">
      <c r="B23771" s="19"/>
      <c r="E23771" s="23"/>
      <c r="L23771" s="23"/>
    </row>
    <row r="23772">
      <c r="B23772" s="19"/>
      <c r="E23772" s="23"/>
      <c r="L23772" s="23"/>
    </row>
    <row r="23773">
      <c r="B23773" s="19"/>
      <c r="E23773" s="23"/>
      <c r="L23773" s="23"/>
    </row>
    <row r="23774">
      <c r="B23774" s="19"/>
      <c r="E23774" s="23"/>
      <c r="L23774" s="23"/>
    </row>
    <row r="23775">
      <c r="B23775" s="19"/>
      <c r="E23775" s="23"/>
      <c r="L23775" s="23"/>
    </row>
    <row r="23776">
      <c r="B23776" s="19"/>
      <c r="E23776" s="23"/>
      <c r="L23776" s="23"/>
    </row>
    <row r="23777">
      <c r="B23777" s="19"/>
      <c r="E23777" s="23"/>
      <c r="L23777" s="23"/>
    </row>
    <row r="23778">
      <c r="B23778" s="19"/>
      <c r="E23778" s="23"/>
      <c r="L23778" s="23"/>
    </row>
    <row r="23779">
      <c r="B23779" s="19"/>
      <c r="E23779" s="23"/>
      <c r="L23779" s="23"/>
    </row>
    <row r="23780">
      <c r="B23780" s="19"/>
      <c r="E23780" s="23"/>
      <c r="L23780" s="23"/>
    </row>
    <row r="23781">
      <c r="B23781" s="19"/>
      <c r="E23781" s="23"/>
      <c r="L23781" s="23"/>
    </row>
    <row r="23782">
      <c r="B23782" s="19"/>
      <c r="E23782" s="23"/>
      <c r="L23782" s="23"/>
    </row>
    <row r="23783">
      <c r="B23783" s="19"/>
      <c r="E23783" s="23"/>
      <c r="L23783" s="23"/>
    </row>
    <row r="23784">
      <c r="B23784" s="19"/>
      <c r="E23784" s="23"/>
      <c r="L23784" s="23"/>
    </row>
    <row r="23785">
      <c r="B23785" s="19"/>
      <c r="E23785" s="23"/>
      <c r="L23785" s="23"/>
    </row>
    <row r="23786">
      <c r="B23786" s="19"/>
      <c r="E23786" s="23"/>
      <c r="L23786" s="23"/>
    </row>
    <row r="23787">
      <c r="B23787" s="19"/>
      <c r="E23787" s="23"/>
      <c r="L23787" s="23"/>
    </row>
    <row r="23788">
      <c r="B23788" s="19"/>
      <c r="E23788" s="23"/>
      <c r="L23788" s="23"/>
    </row>
    <row r="23789">
      <c r="B23789" s="19"/>
      <c r="E23789" s="23"/>
      <c r="L23789" s="23"/>
    </row>
    <row r="23790">
      <c r="B23790" s="19"/>
      <c r="E23790" s="23"/>
      <c r="L23790" s="23"/>
    </row>
    <row r="23791">
      <c r="B23791" s="19"/>
      <c r="E23791" s="23"/>
      <c r="L23791" s="23"/>
    </row>
    <row r="23792">
      <c r="B23792" s="19"/>
      <c r="E23792" s="23"/>
      <c r="L23792" s="23"/>
    </row>
    <row r="23793">
      <c r="B23793" s="19"/>
      <c r="E23793" s="23"/>
      <c r="L23793" s="23"/>
    </row>
    <row r="23794">
      <c r="B23794" s="19"/>
      <c r="E23794" s="23"/>
      <c r="L23794" s="23"/>
    </row>
    <row r="23795">
      <c r="B23795" s="19"/>
      <c r="E23795" s="23"/>
      <c r="L23795" s="23"/>
    </row>
    <row r="23796">
      <c r="B23796" s="19"/>
      <c r="E23796" s="23"/>
      <c r="L23796" s="23"/>
    </row>
    <row r="23797">
      <c r="B23797" s="19"/>
      <c r="E23797" s="23"/>
      <c r="L23797" s="23"/>
    </row>
    <row r="23798">
      <c r="B23798" s="19"/>
      <c r="E23798" s="23"/>
      <c r="L23798" s="23"/>
    </row>
    <row r="23799">
      <c r="B23799" s="19"/>
      <c r="E23799" s="23"/>
      <c r="L23799" s="23"/>
    </row>
    <row r="23800">
      <c r="B23800" s="19"/>
      <c r="E23800" s="23"/>
      <c r="L23800" s="23"/>
    </row>
    <row r="23801">
      <c r="B23801" s="19"/>
      <c r="E23801" s="23"/>
      <c r="L23801" s="23"/>
    </row>
    <row r="23802">
      <c r="B23802" s="19"/>
      <c r="E23802" s="23"/>
      <c r="L23802" s="23"/>
    </row>
    <row r="23803">
      <c r="B23803" s="19"/>
      <c r="E23803" s="23"/>
      <c r="L23803" s="23"/>
    </row>
    <row r="23804">
      <c r="B23804" s="19"/>
      <c r="E23804" s="23"/>
      <c r="L23804" s="23"/>
    </row>
    <row r="23805">
      <c r="B23805" s="19"/>
      <c r="E23805" s="23"/>
      <c r="L23805" s="23"/>
    </row>
    <row r="23806">
      <c r="B23806" s="19"/>
      <c r="E23806" s="23"/>
      <c r="L23806" s="23"/>
    </row>
    <row r="23807">
      <c r="B23807" s="19"/>
      <c r="E23807" s="23"/>
      <c r="L23807" s="23"/>
    </row>
    <row r="23808">
      <c r="B23808" s="19"/>
      <c r="E23808" s="23"/>
      <c r="L23808" s="23"/>
    </row>
    <row r="23809">
      <c r="B23809" s="19"/>
      <c r="E23809" s="23"/>
      <c r="L23809" s="23"/>
    </row>
    <row r="23810">
      <c r="B23810" s="19"/>
      <c r="E23810" s="23"/>
      <c r="L23810" s="23"/>
    </row>
    <row r="23811">
      <c r="B23811" s="19"/>
      <c r="E23811" s="23"/>
      <c r="L23811" s="23"/>
    </row>
    <row r="23812">
      <c r="B23812" s="19"/>
      <c r="E23812" s="23"/>
      <c r="L23812" s="23"/>
    </row>
    <row r="23813">
      <c r="B23813" s="19"/>
      <c r="E23813" s="23"/>
      <c r="L23813" s="23"/>
    </row>
    <row r="23814">
      <c r="B23814" s="19"/>
      <c r="E23814" s="23"/>
      <c r="L23814" s="23"/>
    </row>
    <row r="23815">
      <c r="B23815" s="19"/>
      <c r="E23815" s="23"/>
      <c r="L23815" s="23"/>
    </row>
    <row r="23816">
      <c r="B23816" s="19"/>
      <c r="E23816" s="23"/>
      <c r="L23816" s="23"/>
    </row>
    <row r="23817">
      <c r="B23817" s="19"/>
      <c r="E23817" s="23"/>
      <c r="L23817" s="23"/>
    </row>
    <row r="23818">
      <c r="B23818" s="19"/>
      <c r="E23818" s="23"/>
      <c r="L23818" s="23"/>
    </row>
    <row r="23819">
      <c r="B23819" s="19"/>
      <c r="E23819" s="23"/>
      <c r="L23819" s="23"/>
    </row>
    <row r="23820">
      <c r="B23820" s="19"/>
      <c r="E23820" s="23"/>
      <c r="L23820" s="23"/>
    </row>
    <row r="23821">
      <c r="B23821" s="19"/>
      <c r="E23821" s="23"/>
      <c r="L23821" s="23"/>
    </row>
    <row r="23822">
      <c r="B23822" s="19"/>
      <c r="E23822" s="23"/>
      <c r="L23822" s="23"/>
    </row>
    <row r="23823">
      <c r="B23823" s="19"/>
      <c r="E23823" s="23"/>
      <c r="L23823" s="23"/>
    </row>
    <row r="23824">
      <c r="B23824" s="19"/>
      <c r="E23824" s="23"/>
      <c r="L23824" s="23"/>
    </row>
    <row r="23825">
      <c r="B23825" s="19"/>
      <c r="E23825" s="23"/>
      <c r="L23825" s="23"/>
    </row>
    <row r="23826">
      <c r="B23826" s="19"/>
      <c r="E23826" s="23"/>
      <c r="L23826" s="23"/>
    </row>
    <row r="23827">
      <c r="B23827" s="19"/>
      <c r="E23827" s="23"/>
      <c r="L23827" s="23"/>
    </row>
    <row r="23828">
      <c r="B23828" s="19"/>
      <c r="E23828" s="23"/>
      <c r="L23828" s="23"/>
    </row>
    <row r="23829">
      <c r="B23829" s="19"/>
      <c r="E23829" s="23"/>
      <c r="L23829" s="23"/>
    </row>
    <row r="23830">
      <c r="B23830" s="19"/>
      <c r="E23830" s="23"/>
      <c r="L23830" s="23"/>
    </row>
    <row r="23831">
      <c r="B23831" s="19"/>
      <c r="E23831" s="23"/>
      <c r="L23831" s="23"/>
    </row>
    <row r="23832">
      <c r="B23832" s="19"/>
      <c r="E23832" s="23"/>
      <c r="L23832" s="23"/>
    </row>
    <row r="23833">
      <c r="B23833" s="19"/>
      <c r="E23833" s="23"/>
      <c r="L23833" s="23"/>
    </row>
    <row r="23834">
      <c r="B23834" s="19"/>
      <c r="E23834" s="23"/>
      <c r="L23834" s="23"/>
    </row>
    <row r="23835">
      <c r="B23835" s="19"/>
      <c r="E23835" s="23"/>
      <c r="L23835" s="23"/>
    </row>
    <row r="23836">
      <c r="B23836" s="19"/>
      <c r="E23836" s="23"/>
      <c r="L23836" s="23"/>
    </row>
    <row r="23837">
      <c r="B23837" s="19"/>
      <c r="E23837" s="23"/>
      <c r="L23837" s="23"/>
    </row>
    <row r="23838">
      <c r="B23838" s="19"/>
      <c r="E23838" s="23"/>
      <c r="L23838" s="23"/>
    </row>
    <row r="23839">
      <c r="B23839" s="19"/>
      <c r="E23839" s="23"/>
      <c r="L23839" s="23"/>
    </row>
    <row r="23840">
      <c r="B23840" s="19"/>
      <c r="E23840" s="23"/>
      <c r="L23840" s="23"/>
    </row>
    <row r="23841">
      <c r="B23841" s="19"/>
      <c r="E23841" s="23"/>
      <c r="L23841" s="23"/>
    </row>
    <row r="23842">
      <c r="B23842" s="19"/>
      <c r="E23842" s="23"/>
      <c r="L23842" s="23"/>
    </row>
    <row r="23843">
      <c r="B23843" s="19"/>
      <c r="E23843" s="23"/>
      <c r="L23843" s="23"/>
    </row>
    <row r="23844">
      <c r="B23844" s="19"/>
      <c r="E23844" s="23"/>
      <c r="L23844" s="23"/>
    </row>
    <row r="23845">
      <c r="B23845" s="19"/>
      <c r="E23845" s="23"/>
      <c r="L23845" s="23"/>
    </row>
    <row r="23846">
      <c r="B23846" s="19"/>
      <c r="E23846" s="23"/>
      <c r="L23846" s="23"/>
    </row>
    <row r="23847">
      <c r="B23847" s="19"/>
      <c r="E23847" s="23"/>
      <c r="L23847" s="23"/>
    </row>
    <row r="23848">
      <c r="B23848" s="19"/>
      <c r="E23848" s="23"/>
      <c r="L23848" s="23"/>
    </row>
    <row r="23849">
      <c r="B23849" s="19"/>
      <c r="E23849" s="23"/>
      <c r="L23849" s="23"/>
    </row>
    <row r="23850">
      <c r="B23850" s="19"/>
      <c r="E23850" s="23"/>
      <c r="L23850" s="23"/>
    </row>
    <row r="23851">
      <c r="B23851" s="19"/>
      <c r="E23851" s="23"/>
      <c r="L23851" s="23"/>
    </row>
    <row r="23852">
      <c r="B23852" s="19"/>
      <c r="E23852" s="23"/>
      <c r="L23852" s="23"/>
    </row>
    <row r="23853">
      <c r="B23853" s="19"/>
      <c r="E23853" s="23"/>
      <c r="L23853" s="23"/>
    </row>
    <row r="23854">
      <c r="B23854" s="19"/>
      <c r="E23854" s="23"/>
      <c r="L23854" s="23"/>
    </row>
    <row r="23855">
      <c r="B23855" s="19"/>
      <c r="E23855" s="23"/>
      <c r="L23855" s="23"/>
    </row>
    <row r="23856">
      <c r="B23856" s="19"/>
      <c r="E23856" s="23"/>
      <c r="L23856" s="23"/>
    </row>
    <row r="23857">
      <c r="B23857" s="19"/>
      <c r="E23857" s="23"/>
      <c r="L23857" s="23"/>
    </row>
    <row r="23858">
      <c r="B23858" s="19"/>
      <c r="E23858" s="23"/>
      <c r="L23858" s="23"/>
    </row>
    <row r="23859">
      <c r="B23859" s="19"/>
      <c r="E23859" s="23"/>
      <c r="L23859" s="23"/>
    </row>
    <row r="23860">
      <c r="B23860" s="19"/>
      <c r="E23860" s="23"/>
      <c r="L23860" s="23"/>
    </row>
    <row r="23861">
      <c r="B23861" s="19"/>
      <c r="E23861" s="23"/>
      <c r="L23861" s="23"/>
    </row>
    <row r="23862">
      <c r="B23862" s="19"/>
      <c r="E23862" s="23"/>
      <c r="L23862" s="23"/>
    </row>
    <row r="23863">
      <c r="B23863" s="19"/>
      <c r="E23863" s="23"/>
      <c r="L23863" s="23"/>
    </row>
    <row r="23864">
      <c r="B23864" s="19"/>
      <c r="E23864" s="23"/>
      <c r="L23864" s="23"/>
    </row>
    <row r="23865">
      <c r="B23865" s="19"/>
      <c r="E23865" s="23"/>
      <c r="L23865" s="23"/>
    </row>
    <row r="23866">
      <c r="B23866" s="19"/>
      <c r="E23866" s="23"/>
      <c r="L23866" s="23"/>
    </row>
    <row r="23867">
      <c r="B23867" s="19"/>
      <c r="E23867" s="23"/>
      <c r="L23867" s="23"/>
    </row>
    <row r="23868">
      <c r="B23868" s="19"/>
      <c r="E23868" s="23"/>
      <c r="L23868" s="23"/>
    </row>
    <row r="23869">
      <c r="B23869" s="19"/>
      <c r="E23869" s="23"/>
      <c r="L23869" s="23"/>
    </row>
    <row r="23870">
      <c r="B23870" s="19"/>
      <c r="E23870" s="23"/>
      <c r="L23870" s="23"/>
    </row>
    <row r="23871">
      <c r="B23871" s="19"/>
      <c r="E23871" s="23"/>
      <c r="L23871" s="23"/>
    </row>
    <row r="23872">
      <c r="B23872" s="19"/>
      <c r="E23872" s="23"/>
      <c r="L23872" s="23"/>
    </row>
    <row r="23873">
      <c r="B23873" s="19"/>
      <c r="E23873" s="23"/>
      <c r="L23873" s="23"/>
    </row>
    <row r="23874">
      <c r="B23874" s="19"/>
      <c r="E23874" s="23"/>
      <c r="L23874" s="23"/>
    </row>
    <row r="23875">
      <c r="B23875" s="19"/>
      <c r="E23875" s="23"/>
      <c r="L23875" s="23"/>
    </row>
    <row r="23876">
      <c r="B23876" s="19"/>
      <c r="E23876" s="23"/>
      <c r="L23876" s="23"/>
    </row>
    <row r="23877">
      <c r="B23877" s="19"/>
      <c r="E23877" s="23"/>
      <c r="L23877" s="23"/>
    </row>
    <row r="23878">
      <c r="B23878" s="19"/>
      <c r="E23878" s="23"/>
      <c r="L23878" s="23"/>
    </row>
    <row r="23879">
      <c r="B23879" s="19"/>
      <c r="E23879" s="23"/>
      <c r="L23879" s="23"/>
    </row>
    <row r="23880">
      <c r="B23880" s="19"/>
      <c r="E23880" s="23"/>
      <c r="L23880" s="23"/>
    </row>
    <row r="23881">
      <c r="B23881" s="19"/>
      <c r="E23881" s="23"/>
      <c r="L23881" s="23"/>
    </row>
    <row r="23882">
      <c r="B23882" s="19"/>
      <c r="E23882" s="23"/>
      <c r="L23882" s="23"/>
    </row>
    <row r="23883">
      <c r="B23883" s="19"/>
      <c r="E23883" s="23"/>
      <c r="L23883" s="23"/>
    </row>
    <row r="23884">
      <c r="B23884" s="19"/>
      <c r="E23884" s="23"/>
      <c r="L23884" s="23"/>
    </row>
    <row r="23885">
      <c r="B23885" s="19"/>
      <c r="E23885" s="23"/>
      <c r="L23885" s="23"/>
    </row>
    <row r="23886">
      <c r="B23886" s="19"/>
      <c r="E23886" s="23"/>
      <c r="L23886" s="23"/>
    </row>
    <row r="23887">
      <c r="B23887" s="19"/>
      <c r="E23887" s="23"/>
      <c r="L23887" s="23"/>
    </row>
    <row r="23888">
      <c r="B23888" s="19"/>
      <c r="E23888" s="23"/>
      <c r="L23888" s="23"/>
    </row>
    <row r="23889">
      <c r="B23889" s="19"/>
      <c r="E23889" s="23"/>
      <c r="L23889" s="23"/>
    </row>
    <row r="23890">
      <c r="B23890" s="19"/>
      <c r="E23890" s="23"/>
      <c r="L23890" s="23"/>
    </row>
    <row r="23891">
      <c r="B23891" s="19"/>
      <c r="E23891" s="23"/>
      <c r="L23891" s="23"/>
    </row>
    <row r="23892">
      <c r="B23892" s="19"/>
      <c r="E23892" s="23"/>
      <c r="L23892" s="23"/>
    </row>
    <row r="23893">
      <c r="B23893" s="19"/>
      <c r="E23893" s="23"/>
      <c r="L23893" s="23"/>
    </row>
    <row r="23894">
      <c r="B23894" s="19"/>
      <c r="E23894" s="23"/>
      <c r="L23894" s="23"/>
    </row>
    <row r="23895">
      <c r="B23895" s="19"/>
      <c r="E23895" s="23"/>
      <c r="L23895" s="23"/>
    </row>
    <row r="23896">
      <c r="B23896" s="19"/>
      <c r="E23896" s="23"/>
      <c r="L23896" s="23"/>
    </row>
    <row r="23897">
      <c r="B23897" s="19"/>
      <c r="E23897" s="23"/>
      <c r="L23897" s="23"/>
    </row>
    <row r="23898">
      <c r="B23898" s="19"/>
      <c r="E23898" s="23"/>
      <c r="L23898" s="23"/>
    </row>
    <row r="23899">
      <c r="B23899" s="19"/>
      <c r="E23899" s="23"/>
      <c r="L23899" s="23"/>
    </row>
    <row r="23900">
      <c r="B23900" s="19"/>
      <c r="E23900" s="23"/>
      <c r="L23900" s="23"/>
    </row>
    <row r="23901">
      <c r="B23901" s="19"/>
      <c r="E23901" s="23"/>
      <c r="L23901" s="23"/>
    </row>
    <row r="23902">
      <c r="B23902" s="19"/>
      <c r="E23902" s="23"/>
      <c r="L23902" s="23"/>
    </row>
    <row r="23903">
      <c r="B23903" s="19"/>
      <c r="E23903" s="23"/>
      <c r="L23903" s="23"/>
    </row>
    <row r="23904">
      <c r="B23904" s="19"/>
      <c r="E23904" s="23"/>
      <c r="L23904" s="23"/>
    </row>
    <row r="23905">
      <c r="B23905" s="19"/>
      <c r="E23905" s="23"/>
      <c r="L23905" s="23"/>
    </row>
    <row r="23906">
      <c r="B23906" s="19"/>
      <c r="E23906" s="23"/>
      <c r="L23906" s="23"/>
    </row>
    <row r="23907">
      <c r="B23907" s="19"/>
      <c r="E23907" s="23"/>
      <c r="L23907" s="23"/>
    </row>
    <row r="23908">
      <c r="B23908" s="19"/>
      <c r="E23908" s="23"/>
      <c r="L23908" s="23"/>
    </row>
    <row r="23909">
      <c r="B23909" s="19"/>
      <c r="E23909" s="23"/>
      <c r="L23909" s="23"/>
    </row>
    <row r="23910">
      <c r="B23910" s="19"/>
      <c r="E23910" s="23"/>
      <c r="L23910" s="23"/>
    </row>
    <row r="23911">
      <c r="B23911" s="19"/>
      <c r="E23911" s="23"/>
      <c r="L23911" s="23"/>
    </row>
    <row r="23912">
      <c r="B23912" s="19"/>
      <c r="E23912" s="23"/>
      <c r="L23912" s="23"/>
    </row>
    <row r="23913">
      <c r="B23913" s="19"/>
      <c r="E23913" s="23"/>
      <c r="L23913" s="23"/>
    </row>
    <row r="23914">
      <c r="B23914" s="19"/>
      <c r="E23914" s="23"/>
      <c r="L23914" s="23"/>
    </row>
    <row r="23915">
      <c r="B23915" s="19"/>
      <c r="E23915" s="23"/>
      <c r="L23915" s="23"/>
    </row>
    <row r="23916">
      <c r="B23916" s="19"/>
      <c r="E23916" s="23"/>
      <c r="L23916" s="23"/>
    </row>
    <row r="23917">
      <c r="B23917" s="19"/>
      <c r="E23917" s="23"/>
      <c r="L23917" s="23"/>
    </row>
    <row r="23918">
      <c r="B23918" s="19"/>
      <c r="E23918" s="23"/>
      <c r="L23918" s="23"/>
    </row>
    <row r="23919">
      <c r="B23919" s="19"/>
      <c r="E23919" s="23"/>
      <c r="L23919" s="23"/>
    </row>
    <row r="23920">
      <c r="B23920" s="19"/>
      <c r="E23920" s="23"/>
      <c r="L23920" s="23"/>
    </row>
    <row r="23921">
      <c r="B23921" s="19"/>
      <c r="E23921" s="23"/>
      <c r="L23921" s="23"/>
    </row>
    <row r="23922">
      <c r="B23922" s="19"/>
      <c r="E23922" s="23"/>
      <c r="L23922" s="23"/>
    </row>
    <row r="23923">
      <c r="B23923" s="19"/>
      <c r="E23923" s="23"/>
      <c r="L23923" s="23"/>
    </row>
    <row r="23924">
      <c r="B23924" s="19"/>
      <c r="E23924" s="23"/>
      <c r="L23924" s="23"/>
    </row>
    <row r="23925">
      <c r="B23925" s="19"/>
      <c r="E23925" s="23"/>
      <c r="L23925" s="23"/>
    </row>
    <row r="23926">
      <c r="B23926" s="19"/>
      <c r="E23926" s="23"/>
      <c r="L23926" s="23"/>
    </row>
    <row r="23927">
      <c r="B23927" s="19"/>
      <c r="E23927" s="23"/>
      <c r="L23927" s="23"/>
    </row>
    <row r="23928">
      <c r="B23928" s="19"/>
      <c r="E23928" s="23"/>
      <c r="L23928" s="23"/>
    </row>
    <row r="23929">
      <c r="B23929" s="19"/>
      <c r="E23929" s="23"/>
      <c r="L23929" s="23"/>
    </row>
    <row r="23930">
      <c r="B23930" s="19"/>
      <c r="E23930" s="23"/>
      <c r="L23930" s="23"/>
    </row>
    <row r="23931">
      <c r="B23931" s="19"/>
      <c r="E23931" s="23"/>
      <c r="L23931" s="23"/>
    </row>
    <row r="23932">
      <c r="B23932" s="19"/>
      <c r="E23932" s="23"/>
      <c r="L23932" s="23"/>
    </row>
    <row r="23933">
      <c r="B23933" s="19"/>
      <c r="E23933" s="23"/>
      <c r="L23933" s="23"/>
    </row>
    <row r="23934">
      <c r="B23934" s="19"/>
      <c r="E23934" s="23"/>
      <c r="L23934" s="23"/>
    </row>
    <row r="23935">
      <c r="B23935" s="19"/>
      <c r="E23935" s="23"/>
      <c r="L23935" s="23"/>
    </row>
    <row r="23936">
      <c r="B23936" s="19"/>
      <c r="E23936" s="23"/>
      <c r="L23936" s="23"/>
    </row>
    <row r="23937">
      <c r="B23937" s="19"/>
      <c r="E23937" s="23"/>
      <c r="L23937" s="23"/>
    </row>
    <row r="23938">
      <c r="B23938" s="19"/>
      <c r="E23938" s="23"/>
      <c r="L23938" s="23"/>
    </row>
    <row r="23939">
      <c r="B23939" s="19"/>
      <c r="E23939" s="23"/>
      <c r="L23939" s="23"/>
    </row>
    <row r="23940">
      <c r="B23940" s="19"/>
      <c r="E23940" s="23"/>
      <c r="L23940" s="23"/>
    </row>
    <row r="23941">
      <c r="B23941" s="19"/>
      <c r="E23941" s="23"/>
      <c r="L23941" s="23"/>
    </row>
    <row r="23942">
      <c r="B23942" s="19"/>
      <c r="E23942" s="23"/>
      <c r="L23942" s="23"/>
    </row>
    <row r="23943">
      <c r="B23943" s="19"/>
      <c r="E23943" s="23"/>
      <c r="L23943" s="23"/>
    </row>
    <row r="23944">
      <c r="B23944" s="19"/>
      <c r="E23944" s="23"/>
      <c r="L23944" s="23"/>
    </row>
    <row r="23945">
      <c r="B23945" s="19"/>
      <c r="E23945" s="23"/>
      <c r="L23945" s="23"/>
    </row>
    <row r="23946">
      <c r="B23946" s="19"/>
      <c r="E23946" s="23"/>
      <c r="L23946" s="23"/>
    </row>
    <row r="23947">
      <c r="B23947" s="19"/>
      <c r="E23947" s="23"/>
      <c r="L23947" s="23"/>
    </row>
    <row r="23948">
      <c r="B23948" s="19"/>
      <c r="E23948" s="23"/>
      <c r="L23948" s="23"/>
    </row>
    <row r="23949">
      <c r="B23949" s="19"/>
      <c r="E23949" s="23"/>
      <c r="L23949" s="23"/>
    </row>
    <row r="23950">
      <c r="B23950" s="19"/>
      <c r="E23950" s="23"/>
      <c r="L23950" s="23"/>
    </row>
    <row r="23951">
      <c r="B23951" s="19"/>
      <c r="E23951" s="23"/>
      <c r="L23951" s="23"/>
    </row>
    <row r="23952">
      <c r="B23952" s="19"/>
      <c r="E23952" s="23"/>
      <c r="L23952" s="23"/>
    </row>
    <row r="23953">
      <c r="B23953" s="19"/>
      <c r="E23953" s="23"/>
      <c r="L23953" s="23"/>
    </row>
    <row r="23954">
      <c r="B23954" s="19"/>
      <c r="E23954" s="23"/>
      <c r="L23954" s="23"/>
    </row>
    <row r="23955">
      <c r="B23955" s="19"/>
      <c r="E23955" s="23"/>
      <c r="L23955" s="23"/>
    </row>
    <row r="23956">
      <c r="B23956" s="19"/>
      <c r="E23956" s="23"/>
      <c r="L23956" s="23"/>
    </row>
    <row r="23957">
      <c r="B23957" s="19"/>
      <c r="E23957" s="23"/>
      <c r="L23957" s="23"/>
    </row>
    <row r="23958">
      <c r="B23958" s="19"/>
      <c r="E23958" s="23"/>
      <c r="L23958" s="23"/>
    </row>
    <row r="23959">
      <c r="B23959" s="19"/>
      <c r="E23959" s="23"/>
      <c r="L23959" s="23"/>
    </row>
    <row r="23960">
      <c r="B23960" s="19"/>
      <c r="E23960" s="23"/>
      <c r="L23960" s="23"/>
    </row>
    <row r="23961">
      <c r="B23961" s="19"/>
      <c r="E23961" s="23"/>
      <c r="L23961" s="23"/>
    </row>
    <row r="23962">
      <c r="B23962" s="19"/>
      <c r="E23962" s="23"/>
      <c r="L23962" s="23"/>
    </row>
    <row r="23963">
      <c r="B23963" s="19"/>
      <c r="E23963" s="23"/>
      <c r="L23963" s="23"/>
    </row>
    <row r="23964">
      <c r="B23964" s="19"/>
      <c r="E23964" s="23"/>
      <c r="L23964" s="23"/>
    </row>
    <row r="23965">
      <c r="B23965" s="19"/>
      <c r="E23965" s="23"/>
      <c r="L23965" s="23"/>
    </row>
    <row r="23966">
      <c r="B23966" s="19"/>
      <c r="E23966" s="23"/>
      <c r="L23966" s="23"/>
    </row>
    <row r="23967">
      <c r="B23967" s="19"/>
      <c r="E23967" s="23"/>
      <c r="L23967" s="23"/>
    </row>
    <row r="23968">
      <c r="B23968" s="19"/>
      <c r="E23968" s="23"/>
      <c r="L23968" s="23"/>
    </row>
    <row r="23969">
      <c r="B23969" s="19"/>
      <c r="E23969" s="23"/>
      <c r="L23969" s="23"/>
    </row>
    <row r="23970">
      <c r="B23970" s="19"/>
      <c r="E23970" s="23"/>
      <c r="L23970" s="23"/>
    </row>
    <row r="23971">
      <c r="B23971" s="19"/>
      <c r="E23971" s="23"/>
      <c r="L23971" s="23"/>
    </row>
    <row r="23972">
      <c r="B23972" s="19"/>
      <c r="E23972" s="23"/>
      <c r="L23972" s="23"/>
    </row>
    <row r="23973">
      <c r="B23973" s="19"/>
      <c r="E23973" s="23"/>
      <c r="L23973" s="23"/>
    </row>
    <row r="23974">
      <c r="B23974" s="19"/>
      <c r="E23974" s="23"/>
      <c r="L23974" s="23"/>
    </row>
    <row r="23975">
      <c r="B23975" s="19"/>
      <c r="E23975" s="23"/>
      <c r="L23975" s="23"/>
    </row>
    <row r="23976">
      <c r="B23976" s="19"/>
      <c r="E23976" s="23"/>
      <c r="L23976" s="23"/>
    </row>
    <row r="23977">
      <c r="B23977" s="19"/>
      <c r="E23977" s="23"/>
      <c r="L23977" s="23"/>
    </row>
    <row r="23978">
      <c r="B23978" s="19"/>
      <c r="E23978" s="23"/>
      <c r="L23978" s="23"/>
    </row>
    <row r="23979">
      <c r="B23979" s="19"/>
      <c r="E23979" s="23"/>
      <c r="L23979" s="23"/>
    </row>
    <row r="23980">
      <c r="B23980" s="19"/>
      <c r="E23980" s="23"/>
      <c r="L23980" s="23"/>
    </row>
    <row r="23981">
      <c r="B23981" s="19"/>
      <c r="E23981" s="23"/>
      <c r="L23981" s="23"/>
    </row>
    <row r="23982">
      <c r="B23982" s="19"/>
      <c r="E23982" s="23"/>
      <c r="L23982" s="23"/>
    </row>
    <row r="23983">
      <c r="B23983" s="19"/>
      <c r="E23983" s="23"/>
      <c r="L23983" s="23"/>
    </row>
    <row r="23984">
      <c r="B23984" s="19"/>
      <c r="E23984" s="23"/>
      <c r="L23984" s="23"/>
    </row>
    <row r="23985">
      <c r="B23985" s="19"/>
      <c r="E23985" s="23"/>
      <c r="L23985" s="23"/>
    </row>
    <row r="23986">
      <c r="B23986" s="19"/>
      <c r="E23986" s="23"/>
      <c r="L23986" s="23"/>
    </row>
    <row r="23987">
      <c r="B23987" s="19"/>
      <c r="E23987" s="23"/>
      <c r="L23987" s="23"/>
    </row>
    <row r="23988">
      <c r="B23988" s="19"/>
      <c r="E23988" s="23"/>
      <c r="L23988" s="23"/>
    </row>
    <row r="23989">
      <c r="B23989" s="19"/>
      <c r="E23989" s="23"/>
      <c r="L23989" s="23"/>
    </row>
    <row r="23990">
      <c r="B23990" s="19"/>
      <c r="E23990" s="23"/>
      <c r="L23990" s="23"/>
    </row>
    <row r="23991">
      <c r="B23991" s="19"/>
      <c r="E23991" s="23"/>
      <c r="L23991" s="23"/>
    </row>
    <row r="23992">
      <c r="B23992" s="19"/>
      <c r="E23992" s="23"/>
      <c r="L23992" s="23"/>
    </row>
    <row r="23993">
      <c r="B23993" s="19"/>
      <c r="E23993" s="23"/>
      <c r="L23993" s="23"/>
    </row>
    <row r="23994">
      <c r="B23994" s="19"/>
      <c r="E23994" s="23"/>
      <c r="L23994" s="23"/>
    </row>
    <row r="23995">
      <c r="B23995" s="19"/>
      <c r="E23995" s="23"/>
      <c r="L23995" s="23"/>
    </row>
    <row r="23996">
      <c r="B23996" s="19"/>
      <c r="E23996" s="23"/>
      <c r="L23996" s="23"/>
    </row>
    <row r="23997">
      <c r="B23997" s="19"/>
      <c r="E23997" s="23"/>
      <c r="L23997" s="23"/>
    </row>
    <row r="23998">
      <c r="B23998" s="19"/>
      <c r="E23998" s="23"/>
      <c r="L23998" s="23"/>
    </row>
    <row r="23999">
      <c r="B23999" s="19"/>
      <c r="E23999" s="23"/>
      <c r="L23999" s="23"/>
    </row>
    <row r="24000">
      <c r="B24000" s="19"/>
      <c r="E24000" s="23"/>
      <c r="L24000" s="23"/>
    </row>
    <row r="24001">
      <c r="B24001" s="19"/>
      <c r="E24001" s="23"/>
      <c r="L24001" s="23"/>
    </row>
    <row r="24002">
      <c r="B24002" s="19"/>
      <c r="E24002" s="23"/>
      <c r="L24002" s="23"/>
    </row>
    <row r="24003">
      <c r="B24003" s="19"/>
      <c r="E24003" s="23"/>
      <c r="L24003" s="23"/>
    </row>
    <row r="24004">
      <c r="B24004" s="19"/>
      <c r="E24004" s="23"/>
      <c r="L24004" s="23"/>
    </row>
    <row r="24005">
      <c r="B24005" s="19"/>
      <c r="E24005" s="23"/>
      <c r="L24005" s="23"/>
    </row>
    <row r="24006">
      <c r="B24006" s="19"/>
      <c r="E24006" s="23"/>
      <c r="L24006" s="23"/>
    </row>
    <row r="24007">
      <c r="B24007" s="19"/>
      <c r="E24007" s="23"/>
      <c r="L24007" s="23"/>
    </row>
    <row r="24008">
      <c r="B24008" s="19"/>
      <c r="E24008" s="23"/>
      <c r="L24008" s="23"/>
    </row>
    <row r="24009">
      <c r="B24009" s="19"/>
      <c r="E24009" s="23"/>
      <c r="L24009" s="23"/>
    </row>
    <row r="24010">
      <c r="B24010" s="19"/>
      <c r="E24010" s="23"/>
      <c r="L24010" s="23"/>
    </row>
    <row r="24011">
      <c r="B24011" s="19"/>
      <c r="E24011" s="23"/>
      <c r="L24011" s="23"/>
    </row>
    <row r="24012">
      <c r="B24012" s="19"/>
      <c r="E24012" s="23"/>
      <c r="L24012" s="23"/>
    </row>
    <row r="24013">
      <c r="B24013" s="19"/>
      <c r="E24013" s="23"/>
      <c r="L24013" s="23"/>
    </row>
    <row r="24014">
      <c r="B24014" s="19"/>
      <c r="E24014" s="23"/>
      <c r="L24014" s="23"/>
    </row>
    <row r="24015">
      <c r="B24015" s="19"/>
      <c r="E24015" s="23"/>
      <c r="L24015" s="23"/>
    </row>
    <row r="24016">
      <c r="B24016" s="19"/>
      <c r="E24016" s="23"/>
      <c r="L24016" s="23"/>
    </row>
    <row r="24017">
      <c r="B24017" s="19"/>
      <c r="E24017" s="23"/>
      <c r="L24017" s="23"/>
    </row>
    <row r="24018">
      <c r="B24018" s="19"/>
      <c r="E24018" s="23"/>
      <c r="L24018" s="23"/>
    </row>
    <row r="24019">
      <c r="B24019" s="19"/>
      <c r="E24019" s="23"/>
      <c r="L24019" s="23"/>
    </row>
    <row r="24020">
      <c r="B24020" s="19"/>
      <c r="E24020" s="23"/>
      <c r="L24020" s="23"/>
    </row>
    <row r="24021">
      <c r="B24021" s="19"/>
      <c r="E24021" s="23"/>
      <c r="L24021" s="23"/>
    </row>
    <row r="24022">
      <c r="B24022" s="19"/>
      <c r="E24022" s="23"/>
      <c r="L24022" s="23"/>
    </row>
    <row r="24023">
      <c r="B24023" s="19"/>
      <c r="E24023" s="23"/>
      <c r="L24023" s="23"/>
    </row>
    <row r="24024">
      <c r="B24024" s="19"/>
      <c r="E24024" s="23"/>
      <c r="L24024" s="23"/>
    </row>
    <row r="24025">
      <c r="B24025" s="19"/>
      <c r="E24025" s="23"/>
      <c r="L24025" s="23"/>
    </row>
    <row r="24026">
      <c r="B24026" s="19"/>
      <c r="E24026" s="23"/>
      <c r="L24026" s="23"/>
    </row>
    <row r="24027">
      <c r="B24027" s="19"/>
      <c r="E24027" s="23"/>
      <c r="L24027" s="23"/>
    </row>
    <row r="24028">
      <c r="B24028" s="19"/>
      <c r="E24028" s="23"/>
      <c r="L24028" s="23"/>
    </row>
    <row r="24029">
      <c r="B24029" s="19"/>
      <c r="E24029" s="23"/>
      <c r="L24029" s="23"/>
    </row>
    <row r="24030">
      <c r="B24030" s="19"/>
      <c r="E24030" s="23"/>
      <c r="L24030" s="23"/>
    </row>
    <row r="24031">
      <c r="B24031" s="19"/>
      <c r="E24031" s="23"/>
      <c r="L24031" s="23"/>
    </row>
    <row r="24032">
      <c r="B24032" s="19"/>
      <c r="E24032" s="23"/>
      <c r="L24032" s="23"/>
    </row>
    <row r="24033">
      <c r="B24033" s="19"/>
      <c r="E24033" s="23"/>
      <c r="L24033" s="23"/>
    </row>
    <row r="24034">
      <c r="B24034" s="19"/>
      <c r="E24034" s="23"/>
      <c r="L24034" s="23"/>
    </row>
    <row r="24035">
      <c r="B24035" s="19"/>
      <c r="E24035" s="23"/>
      <c r="L24035" s="23"/>
    </row>
    <row r="24036">
      <c r="B24036" s="19"/>
      <c r="E24036" s="23"/>
      <c r="L24036" s="23"/>
    </row>
    <row r="24037">
      <c r="B24037" s="19"/>
      <c r="E24037" s="23"/>
      <c r="L24037" s="23"/>
    </row>
    <row r="24038">
      <c r="B24038" s="19"/>
      <c r="E24038" s="23"/>
      <c r="L24038" s="23"/>
    </row>
    <row r="24039">
      <c r="B24039" s="19"/>
      <c r="E24039" s="23"/>
      <c r="L24039" s="23"/>
    </row>
    <row r="24040">
      <c r="B24040" s="19"/>
      <c r="E24040" s="23"/>
      <c r="L24040" s="23"/>
    </row>
    <row r="24041">
      <c r="B24041" s="19"/>
      <c r="E24041" s="23"/>
      <c r="L24041" s="23"/>
    </row>
    <row r="24042">
      <c r="B24042" s="19"/>
      <c r="E24042" s="23"/>
      <c r="L24042" s="23"/>
    </row>
    <row r="24043">
      <c r="B24043" s="19"/>
      <c r="E24043" s="23"/>
      <c r="L24043" s="23"/>
    </row>
    <row r="24044">
      <c r="B24044" s="19"/>
      <c r="E24044" s="23"/>
      <c r="L24044" s="23"/>
    </row>
    <row r="24045">
      <c r="B24045" s="19"/>
      <c r="E24045" s="23"/>
      <c r="L24045" s="23"/>
    </row>
    <row r="24046">
      <c r="B24046" s="19"/>
      <c r="E24046" s="23"/>
      <c r="L24046" s="23"/>
    </row>
    <row r="24047">
      <c r="B24047" s="19"/>
      <c r="E24047" s="23"/>
      <c r="L24047" s="23"/>
    </row>
    <row r="24048">
      <c r="B24048" s="19"/>
      <c r="E24048" s="23"/>
      <c r="L24048" s="23"/>
    </row>
    <row r="24049">
      <c r="B24049" s="19"/>
      <c r="E24049" s="23"/>
      <c r="L24049" s="23"/>
    </row>
    <row r="24050">
      <c r="B24050" s="19"/>
      <c r="E24050" s="23"/>
      <c r="L24050" s="23"/>
    </row>
    <row r="24051">
      <c r="B24051" s="19"/>
      <c r="E24051" s="23"/>
      <c r="L24051" s="23"/>
    </row>
    <row r="24052">
      <c r="B24052" s="19"/>
      <c r="E24052" s="23"/>
      <c r="L24052" s="23"/>
    </row>
    <row r="24053">
      <c r="B24053" s="19"/>
      <c r="E24053" s="23"/>
      <c r="L24053" s="23"/>
    </row>
    <row r="24054">
      <c r="B24054" s="19"/>
      <c r="E24054" s="23"/>
      <c r="L24054" s="23"/>
    </row>
    <row r="24055">
      <c r="B24055" s="19"/>
      <c r="E24055" s="23"/>
      <c r="L24055" s="23"/>
    </row>
    <row r="24056">
      <c r="B24056" s="19"/>
      <c r="E24056" s="23"/>
      <c r="L24056" s="23"/>
    </row>
    <row r="24057">
      <c r="B24057" s="19"/>
      <c r="E24057" s="23"/>
      <c r="L24057" s="23"/>
    </row>
    <row r="24058">
      <c r="B24058" s="19"/>
      <c r="E24058" s="23"/>
      <c r="L24058" s="23"/>
    </row>
    <row r="24059">
      <c r="B24059" s="19"/>
      <c r="E24059" s="23"/>
      <c r="L24059" s="23"/>
    </row>
    <row r="24060">
      <c r="B24060" s="19"/>
      <c r="E24060" s="23"/>
      <c r="L24060" s="23"/>
    </row>
    <row r="24061">
      <c r="B24061" s="19"/>
      <c r="E24061" s="23"/>
      <c r="L24061" s="23"/>
    </row>
    <row r="24062">
      <c r="B24062" s="19"/>
      <c r="E24062" s="23"/>
      <c r="L24062" s="23"/>
    </row>
    <row r="24063">
      <c r="B24063" s="19"/>
      <c r="E24063" s="23"/>
      <c r="L24063" s="23"/>
    </row>
    <row r="24064">
      <c r="B24064" s="19"/>
      <c r="E24064" s="23"/>
      <c r="L24064" s="23"/>
    </row>
    <row r="24065">
      <c r="B24065" s="19"/>
      <c r="E24065" s="23"/>
      <c r="L24065" s="23"/>
    </row>
    <row r="24066">
      <c r="B24066" s="19"/>
      <c r="E24066" s="23"/>
      <c r="L24066" s="23"/>
    </row>
    <row r="24067">
      <c r="B24067" s="19"/>
      <c r="E24067" s="23"/>
      <c r="L24067" s="23"/>
    </row>
    <row r="24068">
      <c r="B24068" s="19"/>
      <c r="E24068" s="23"/>
      <c r="L24068" s="23"/>
    </row>
    <row r="24069">
      <c r="B24069" s="19"/>
      <c r="E24069" s="23"/>
      <c r="L24069" s="23"/>
    </row>
    <row r="24070">
      <c r="B24070" s="19"/>
      <c r="E24070" s="23"/>
      <c r="L24070" s="23"/>
    </row>
    <row r="24071">
      <c r="B24071" s="19"/>
      <c r="E24071" s="23"/>
      <c r="L24071" s="23"/>
    </row>
    <row r="24072">
      <c r="B24072" s="19"/>
      <c r="E24072" s="23"/>
      <c r="L24072" s="23"/>
    </row>
    <row r="24073">
      <c r="B24073" s="19"/>
      <c r="E24073" s="23"/>
      <c r="L24073" s="23"/>
    </row>
    <row r="24074">
      <c r="B24074" s="19"/>
      <c r="E24074" s="23"/>
      <c r="L24074" s="23"/>
    </row>
    <row r="24075">
      <c r="B24075" s="19"/>
      <c r="E24075" s="23"/>
      <c r="L24075" s="23"/>
    </row>
    <row r="24076">
      <c r="B24076" s="19"/>
      <c r="E24076" s="23"/>
      <c r="L24076" s="23"/>
    </row>
    <row r="24077">
      <c r="B24077" s="19"/>
      <c r="E24077" s="23"/>
      <c r="L24077" s="23"/>
    </row>
    <row r="24078">
      <c r="B24078" s="19"/>
      <c r="E24078" s="23"/>
      <c r="L24078" s="23"/>
    </row>
    <row r="24079">
      <c r="B24079" s="19"/>
      <c r="E24079" s="23"/>
      <c r="L24079" s="23"/>
    </row>
    <row r="24080">
      <c r="B24080" s="19"/>
      <c r="E24080" s="23"/>
      <c r="L24080" s="23"/>
    </row>
    <row r="24081">
      <c r="B24081" s="19"/>
      <c r="E24081" s="23"/>
      <c r="L24081" s="23"/>
    </row>
    <row r="24082">
      <c r="B24082" s="19"/>
      <c r="E24082" s="23"/>
      <c r="L24082" s="23"/>
    </row>
    <row r="24083">
      <c r="B24083" s="19"/>
      <c r="E24083" s="23"/>
      <c r="L24083" s="23"/>
    </row>
    <row r="24084">
      <c r="B24084" s="19"/>
      <c r="E24084" s="23"/>
      <c r="L24084" s="23"/>
    </row>
    <row r="24085">
      <c r="B24085" s="19"/>
      <c r="E24085" s="23"/>
      <c r="L24085" s="23"/>
    </row>
    <row r="24086">
      <c r="B24086" s="19"/>
      <c r="E24086" s="23"/>
      <c r="L24086" s="23"/>
    </row>
    <row r="24087">
      <c r="B24087" s="19"/>
      <c r="E24087" s="23"/>
      <c r="L24087" s="23"/>
    </row>
    <row r="24088">
      <c r="B24088" s="19"/>
      <c r="E24088" s="23"/>
      <c r="L24088" s="23"/>
    </row>
    <row r="24089">
      <c r="B24089" s="19"/>
      <c r="E24089" s="23"/>
      <c r="L24089" s="23"/>
    </row>
    <row r="24090">
      <c r="B24090" s="19"/>
      <c r="E24090" s="23"/>
      <c r="L24090" s="23"/>
    </row>
    <row r="24091">
      <c r="B24091" s="19"/>
      <c r="E24091" s="23"/>
      <c r="L24091" s="23"/>
    </row>
    <row r="24092">
      <c r="B24092" s="19"/>
      <c r="E24092" s="23"/>
      <c r="L24092" s="23"/>
    </row>
    <row r="24093">
      <c r="B24093" s="19"/>
      <c r="E24093" s="23"/>
      <c r="L24093" s="23"/>
    </row>
    <row r="24094">
      <c r="B24094" s="19"/>
      <c r="E24094" s="23"/>
      <c r="L24094" s="23"/>
    </row>
    <row r="24095">
      <c r="B24095" s="19"/>
      <c r="E24095" s="23"/>
      <c r="L24095" s="23"/>
    </row>
    <row r="24096">
      <c r="B24096" s="19"/>
      <c r="E24096" s="23"/>
      <c r="L24096" s="23"/>
    </row>
    <row r="24097">
      <c r="B24097" s="19"/>
      <c r="E24097" s="23"/>
      <c r="L24097" s="23"/>
    </row>
    <row r="24098">
      <c r="B24098" s="19"/>
      <c r="E24098" s="23"/>
      <c r="L24098" s="23"/>
    </row>
    <row r="24099">
      <c r="B24099" s="19"/>
      <c r="E24099" s="23"/>
      <c r="L24099" s="23"/>
    </row>
    <row r="24100">
      <c r="B24100" s="19"/>
      <c r="E24100" s="23"/>
      <c r="L24100" s="23"/>
    </row>
    <row r="24101">
      <c r="B24101" s="19"/>
      <c r="E24101" s="23"/>
      <c r="L24101" s="23"/>
    </row>
    <row r="24102">
      <c r="B24102" s="19"/>
      <c r="E24102" s="23"/>
      <c r="L24102" s="23"/>
    </row>
    <row r="24103">
      <c r="B24103" s="19"/>
      <c r="E24103" s="23"/>
      <c r="L24103" s="23"/>
    </row>
    <row r="24104">
      <c r="B24104" s="19"/>
      <c r="E24104" s="23"/>
      <c r="L24104" s="23"/>
    </row>
    <row r="24105">
      <c r="B24105" s="19"/>
      <c r="E24105" s="23"/>
      <c r="L24105" s="23"/>
    </row>
    <row r="24106">
      <c r="B24106" s="19"/>
      <c r="E24106" s="23"/>
      <c r="L24106" s="23"/>
    </row>
    <row r="24107">
      <c r="B24107" s="19"/>
      <c r="E24107" s="23"/>
      <c r="L24107" s="23"/>
    </row>
    <row r="24108">
      <c r="B24108" s="19"/>
      <c r="E24108" s="23"/>
      <c r="L24108" s="23"/>
    </row>
    <row r="24109">
      <c r="B24109" s="19"/>
      <c r="E24109" s="23"/>
      <c r="L24109" s="23"/>
    </row>
    <row r="24110">
      <c r="B24110" s="19"/>
      <c r="E24110" s="23"/>
      <c r="L24110" s="23"/>
    </row>
    <row r="24111">
      <c r="B24111" s="19"/>
      <c r="E24111" s="23"/>
      <c r="L24111" s="23"/>
    </row>
    <row r="24112">
      <c r="B24112" s="19"/>
      <c r="E24112" s="23"/>
      <c r="L24112" s="23"/>
    </row>
    <row r="24113">
      <c r="B24113" s="19"/>
      <c r="E24113" s="23"/>
      <c r="L24113" s="23"/>
    </row>
    <row r="24114">
      <c r="B24114" s="19"/>
      <c r="E24114" s="23"/>
      <c r="L24114" s="23"/>
    </row>
    <row r="24115">
      <c r="B24115" s="19"/>
      <c r="E24115" s="23"/>
      <c r="L24115" s="23"/>
    </row>
    <row r="24116">
      <c r="B24116" s="19"/>
      <c r="E24116" s="23"/>
      <c r="L24116" s="23"/>
    </row>
    <row r="24117">
      <c r="B24117" s="19"/>
      <c r="E24117" s="23"/>
      <c r="L24117" s="23"/>
    </row>
    <row r="24118">
      <c r="B24118" s="19"/>
      <c r="E24118" s="23"/>
      <c r="L24118" s="23"/>
    </row>
    <row r="24119">
      <c r="B24119" s="19"/>
      <c r="E24119" s="23"/>
      <c r="L24119" s="23"/>
    </row>
    <row r="24120">
      <c r="B24120" s="19"/>
      <c r="E24120" s="23"/>
      <c r="L24120" s="23"/>
    </row>
    <row r="24121">
      <c r="B24121" s="19"/>
      <c r="E24121" s="23"/>
      <c r="L24121" s="23"/>
    </row>
    <row r="24122">
      <c r="B24122" s="19"/>
      <c r="E24122" s="23"/>
      <c r="L24122" s="23"/>
    </row>
    <row r="24123">
      <c r="B24123" s="19"/>
      <c r="E24123" s="23"/>
      <c r="L24123" s="23"/>
    </row>
    <row r="24124">
      <c r="B24124" s="19"/>
      <c r="E24124" s="23"/>
      <c r="L24124" s="23"/>
    </row>
    <row r="24125">
      <c r="B24125" s="19"/>
      <c r="E24125" s="23"/>
      <c r="L24125" s="23"/>
    </row>
    <row r="24126">
      <c r="B24126" s="19"/>
      <c r="E24126" s="23"/>
      <c r="L24126" s="23"/>
    </row>
    <row r="24127">
      <c r="B24127" s="19"/>
      <c r="E24127" s="23"/>
      <c r="L24127" s="23"/>
    </row>
    <row r="24128">
      <c r="B24128" s="19"/>
      <c r="E24128" s="23"/>
      <c r="L24128" s="23"/>
    </row>
    <row r="24129">
      <c r="B24129" s="19"/>
      <c r="E24129" s="23"/>
      <c r="L24129" s="23"/>
    </row>
    <row r="24130">
      <c r="B24130" s="19"/>
      <c r="E24130" s="23"/>
      <c r="L24130" s="23"/>
    </row>
    <row r="24131">
      <c r="B24131" s="19"/>
      <c r="E24131" s="23"/>
      <c r="L24131" s="23"/>
    </row>
    <row r="24132">
      <c r="B24132" s="19"/>
      <c r="E24132" s="23"/>
      <c r="L24132" s="23"/>
    </row>
    <row r="24133">
      <c r="B24133" s="19"/>
      <c r="E24133" s="23"/>
      <c r="L24133" s="23"/>
    </row>
    <row r="24134">
      <c r="B24134" s="19"/>
      <c r="E24134" s="23"/>
      <c r="L24134" s="23"/>
    </row>
    <row r="24135">
      <c r="B24135" s="19"/>
      <c r="E24135" s="23"/>
      <c r="L24135" s="23"/>
    </row>
    <row r="24136">
      <c r="B24136" s="19"/>
      <c r="E24136" s="23"/>
      <c r="L24136" s="23"/>
    </row>
    <row r="24137">
      <c r="B24137" s="19"/>
      <c r="E24137" s="23"/>
      <c r="L24137" s="23"/>
    </row>
    <row r="24138">
      <c r="B24138" s="19"/>
      <c r="E24138" s="23"/>
      <c r="L24138" s="23"/>
    </row>
    <row r="24139">
      <c r="B24139" s="19"/>
      <c r="E24139" s="23"/>
      <c r="L24139" s="23"/>
    </row>
    <row r="24140">
      <c r="B24140" s="19"/>
      <c r="E24140" s="23"/>
      <c r="L24140" s="23"/>
    </row>
    <row r="24141">
      <c r="B24141" s="19"/>
      <c r="E24141" s="23"/>
      <c r="L24141" s="23"/>
    </row>
    <row r="24142">
      <c r="B24142" s="19"/>
      <c r="E24142" s="23"/>
      <c r="L24142" s="23"/>
    </row>
    <row r="24143">
      <c r="B24143" s="19"/>
      <c r="E24143" s="23"/>
      <c r="L24143" s="23"/>
    </row>
    <row r="24144">
      <c r="B24144" s="19"/>
      <c r="E24144" s="23"/>
      <c r="L24144" s="23"/>
    </row>
    <row r="24145">
      <c r="B24145" s="19"/>
      <c r="E24145" s="23"/>
      <c r="L24145" s="23"/>
    </row>
    <row r="24146">
      <c r="B24146" s="19"/>
      <c r="E24146" s="23"/>
      <c r="L24146" s="23"/>
    </row>
    <row r="24147">
      <c r="B24147" s="19"/>
      <c r="E24147" s="23"/>
      <c r="L24147" s="23"/>
    </row>
    <row r="24148">
      <c r="B24148" s="19"/>
      <c r="E24148" s="23"/>
      <c r="L24148" s="23"/>
    </row>
    <row r="24149">
      <c r="B24149" s="19"/>
      <c r="E24149" s="23"/>
      <c r="L24149" s="23"/>
    </row>
    <row r="24150">
      <c r="B24150" s="19"/>
      <c r="E24150" s="23"/>
      <c r="L24150" s="23"/>
    </row>
    <row r="24151">
      <c r="B24151" s="19"/>
      <c r="E24151" s="23"/>
      <c r="L24151" s="23"/>
    </row>
    <row r="24152">
      <c r="B24152" s="19"/>
      <c r="E24152" s="23"/>
      <c r="L24152" s="23"/>
    </row>
    <row r="24153">
      <c r="B24153" s="19"/>
      <c r="E24153" s="23"/>
      <c r="L24153" s="23"/>
    </row>
    <row r="24154">
      <c r="B24154" s="19"/>
      <c r="E24154" s="23"/>
      <c r="L24154" s="23"/>
    </row>
    <row r="24155">
      <c r="B24155" s="19"/>
      <c r="E24155" s="23"/>
      <c r="L24155" s="23"/>
    </row>
    <row r="24156">
      <c r="B24156" s="19"/>
      <c r="E24156" s="23"/>
      <c r="L24156" s="23"/>
    </row>
    <row r="24157">
      <c r="B24157" s="19"/>
      <c r="E24157" s="23"/>
      <c r="L24157" s="23"/>
    </row>
    <row r="24158">
      <c r="B24158" s="19"/>
      <c r="E24158" s="23"/>
      <c r="L24158" s="23"/>
    </row>
    <row r="24159">
      <c r="B24159" s="19"/>
      <c r="E24159" s="23"/>
      <c r="L24159" s="23"/>
    </row>
    <row r="24160">
      <c r="B24160" s="19"/>
      <c r="E24160" s="23"/>
      <c r="L24160" s="23"/>
    </row>
    <row r="24161">
      <c r="B24161" s="19"/>
      <c r="E24161" s="23"/>
      <c r="L24161" s="23"/>
    </row>
    <row r="24162">
      <c r="B24162" s="19"/>
      <c r="E24162" s="23"/>
      <c r="L24162" s="23"/>
    </row>
    <row r="24163">
      <c r="B24163" s="19"/>
      <c r="E24163" s="23"/>
      <c r="L24163" s="23"/>
    </row>
    <row r="24164">
      <c r="B24164" s="19"/>
      <c r="E24164" s="23"/>
      <c r="L24164" s="23"/>
    </row>
    <row r="24165">
      <c r="B24165" s="19"/>
      <c r="E24165" s="23"/>
      <c r="L24165" s="23"/>
    </row>
    <row r="24166">
      <c r="B24166" s="19"/>
      <c r="E24166" s="23"/>
      <c r="L24166" s="23"/>
    </row>
    <row r="24167">
      <c r="B24167" s="19"/>
      <c r="E24167" s="23"/>
      <c r="L24167" s="23"/>
    </row>
    <row r="24168">
      <c r="B24168" s="19"/>
      <c r="E24168" s="23"/>
      <c r="L24168" s="23"/>
    </row>
    <row r="24169">
      <c r="B24169" s="19"/>
      <c r="E24169" s="23"/>
      <c r="L24169" s="23"/>
    </row>
    <row r="24170">
      <c r="B24170" s="19"/>
      <c r="E24170" s="23"/>
      <c r="L24170" s="23"/>
    </row>
    <row r="24171">
      <c r="B24171" s="19"/>
      <c r="E24171" s="23"/>
      <c r="L24171" s="23"/>
    </row>
    <row r="24172">
      <c r="B24172" s="19"/>
      <c r="E24172" s="23"/>
      <c r="L24172" s="23"/>
    </row>
    <row r="24173">
      <c r="B24173" s="19"/>
      <c r="E24173" s="23"/>
      <c r="L24173" s="23"/>
    </row>
    <row r="24174">
      <c r="B24174" s="19"/>
      <c r="E24174" s="23"/>
      <c r="L24174" s="23"/>
    </row>
    <row r="24175">
      <c r="B24175" s="19"/>
      <c r="E24175" s="23"/>
      <c r="L24175" s="23"/>
    </row>
    <row r="24176">
      <c r="B24176" s="19"/>
      <c r="E24176" s="23"/>
      <c r="L24176" s="23"/>
    </row>
    <row r="24177">
      <c r="B24177" s="19"/>
      <c r="E24177" s="23"/>
      <c r="L24177" s="23"/>
    </row>
    <row r="24178">
      <c r="B24178" s="19"/>
      <c r="E24178" s="23"/>
      <c r="L24178" s="23"/>
    </row>
    <row r="24179">
      <c r="B24179" s="19"/>
      <c r="E24179" s="23"/>
      <c r="L24179" s="23"/>
    </row>
    <row r="24180">
      <c r="B24180" s="19"/>
      <c r="E24180" s="23"/>
      <c r="L24180" s="23"/>
    </row>
    <row r="24181">
      <c r="B24181" s="19"/>
      <c r="E24181" s="23"/>
      <c r="L24181" s="23"/>
    </row>
    <row r="24182">
      <c r="B24182" s="19"/>
      <c r="E24182" s="23"/>
      <c r="L24182" s="23"/>
    </row>
    <row r="24183">
      <c r="B24183" s="19"/>
      <c r="E24183" s="23"/>
      <c r="L24183" s="23"/>
    </row>
    <row r="24184">
      <c r="B24184" s="19"/>
      <c r="E24184" s="23"/>
      <c r="L24184" s="23"/>
    </row>
    <row r="24185">
      <c r="B24185" s="19"/>
      <c r="E24185" s="23"/>
      <c r="L24185" s="23"/>
    </row>
    <row r="24186">
      <c r="B24186" s="19"/>
      <c r="E24186" s="23"/>
      <c r="L24186" s="23"/>
    </row>
    <row r="24187">
      <c r="B24187" s="19"/>
      <c r="E24187" s="23"/>
      <c r="L24187" s="23"/>
    </row>
    <row r="24188">
      <c r="B24188" s="19"/>
      <c r="E24188" s="23"/>
      <c r="L24188" s="23"/>
    </row>
    <row r="24189">
      <c r="B24189" s="19"/>
      <c r="E24189" s="23"/>
      <c r="L24189" s="23"/>
    </row>
    <row r="24190">
      <c r="B24190" s="19"/>
      <c r="E24190" s="23"/>
      <c r="L24190" s="23"/>
    </row>
    <row r="24191">
      <c r="B24191" s="19"/>
      <c r="E24191" s="23"/>
      <c r="L24191" s="23"/>
    </row>
    <row r="24192">
      <c r="B24192" s="19"/>
      <c r="E24192" s="23"/>
      <c r="L24192" s="23"/>
    </row>
    <row r="24193">
      <c r="B24193" s="19"/>
      <c r="E24193" s="23"/>
      <c r="L24193" s="23"/>
    </row>
    <row r="24194">
      <c r="B24194" s="19"/>
      <c r="E24194" s="23"/>
      <c r="L24194" s="23"/>
    </row>
    <row r="24195">
      <c r="B24195" s="19"/>
      <c r="E24195" s="23"/>
      <c r="L24195" s="23"/>
    </row>
    <row r="24196">
      <c r="B24196" s="19"/>
      <c r="E24196" s="23"/>
      <c r="L24196" s="23"/>
    </row>
    <row r="24197">
      <c r="B24197" s="19"/>
      <c r="E24197" s="23"/>
      <c r="L24197" s="23"/>
    </row>
    <row r="24198">
      <c r="B24198" s="19"/>
      <c r="E24198" s="23"/>
      <c r="L24198" s="23"/>
    </row>
    <row r="24199">
      <c r="B24199" s="19"/>
      <c r="E24199" s="23"/>
      <c r="L24199" s="23"/>
    </row>
    <row r="24200">
      <c r="B24200" s="19"/>
      <c r="E24200" s="23"/>
      <c r="L24200" s="23"/>
    </row>
    <row r="24201">
      <c r="B24201" s="19"/>
      <c r="E24201" s="23"/>
      <c r="L24201" s="23"/>
    </row>
    <row r="24202">
      <c r="B24202" s="19"/>
      <c r="E24202" s="23"/>
      <c r="L24202" s="23"/>
    </row>
    <row r="24203">
      <c r="B24203" s="19"/>
      <c r="E24203" s="23"/>
      <c r="L24203" s="23"/>
    </row>
    <row r="24204">
      <c r="B24204" s="19"/>
      <c r="E24204" s="23"/>
      <c r="L24204" s="23"/>
    </row>
    <row r="24205">
      <c r="B24205" s="19"/>
      <c r="E24205" s="23"/>
      <c r="L24205" s="23"/>
    </row>
    <row r="24206">
      <c r="B24206" s="19"/>
      <c r="E24206" s="23"/>
      <c r="L24206" s="23"/>
    </row>
    <row r="24207">
      <c r="B24207" s="19"/>
      <c r="E24207" s="23"/>
      <c r="L24207" s="23"/>
    </row>
    <row r="24208">
      <c r="B24208" s="19"/>
      <c r="E24208" s="23"/>
      <c r="L24208" s="23"/>
    </row>
    <row r="24209">
      <c r="B24209" s="19"/>
      <c r="E24209" s="23"/>
      <c r="L24209" s="23"/>
    </row>
    <row r="24210">
      <c r="B24210" s="19"/>
      <c r="E24210" s="23"/>
      <c r="L24210" s="23"/>
    </row>
    <row r="24211">
      <c r="B24211" s="19"/>
      <c r="E24211" s="23"/>
      <c r="L24211" s="23"/>
    </row>
    <row r="24212">
      <c r="B24212" s="19"/>
      <c r="E24212" s="23"/>
      <c r="L24212" s="23"/>
    </row>
    <row r="24213">
      <c r="B24213" s="19"/>
      <c r="E24213" s="23"/>
      <c r="L24213" s="23"/>
    </row>
    <row r="24214">
      <c r="B24214" s="19"/>
      <c r="E24214" s="23"/>
      <c r="L24214" s="23"/>
    </row>
    <row r="24215">
      <c r="B24215" s="19"/>
      <c r="E24215" s="23"/>
      <c r="L24215" s="23"/>
    </row>
    <row r="24216">
      <c r="B24216" s="19"/>
      <c r="E24216" s="23"/>
      <c r="L24216" s="23"/>
    </row>
    <row r="24217">
      <c r="B24217" s="19"/>
      <c r="E24217" s="23"/>
      <c r="L24217" s="23"/>
    </row>
    <row r="24218">
      <c r="B24218" s="19"/>
      <c r="E24218" s="23"/>
      <c r="L24218" s="23"/>
    </row>
    <row r="24219">
      <c r="B24219" s="19"/>
      <c r="E24219" s="23"/>
      <c r="L24219" s="23"/>
    </row>
    <row r="24220">
      <c r="B24220" s="19"/>
      <c r="E24220" s="23"/>
      <c r="L24220" s="23"/>
    </row>
    <row r="24221">
      <c r="B24221" s="19"/>
      <c r="E24221" s="23"/>
      <c r="L24221" s="23"/>
    </row>
    <row r="24222">
      <c r="B24222" s="19"/>
      <c r="E24222" s="23"/>
      <c r="L24222" s="23"/>
    </row>
    <row r="24223">
      <c r="B24223" s="19"/>
      <c r="E24223" s="23"/>
      <c r="L24223" s="23"/>
    </row>
    <row r="24224">
      <c r="B24224" s="19"/>
      <c r="E24224" s="23"/>
      <c r="L24224" s="23"/>
    </row>
    <row r="24225">
      <c r="B24225" s="19"/>
      <c r="E24225" s="23"/>
      <c r="L24225" s="23"/>
    </row>
    <row r="24226">
      <c r="B24226" s="19"/>
      <c r="E24226" s="23"/>
      <c r="L24226" s="23"/>
    </row>
    <row r="24227">
      <c r="B24227" s="19"/>
      <c r="E24227" s="23"/>
      <c r="L24227" s="23"/>
    </row>
    <row r="24228">
      <c r="B24228" s="19"/>
      <c r="E24228" s="23"/>
      <c r="L24228" s="23"/>
    </row>
    <row r="24229">
      <c r="B24229" s="19"/>
      <c r="E24229" s="23"/>
      <c r="L24229" s="23"/>
    </row>
    <row r="24230">
      <c r="B24230" s="19"/>
      <c r="E24230" s="23"/>
      <c r="L24230" s="23"/>
    </row>
    <row r="24231">
      <c r="B24231" s="19"/>
      <c r="E24231" s="23"/>
      <c r="L24231" s="23"/>
    </row>
    <row r="24232">
      <c r="B24232" s="19"/>
      <c r="E24232" s="23"/>
      <c r="L24232" s="23"/>
    </row>
    <row r="24233">
      <c r="B24233" s="19"/>
      <c r="E24233" s="23"/>
      <c r="L24233" s="23"/>
    </row>
    <row r="24234">
      <c r="B24234" s="19"/>
      <c r="E24234" s="23"/>
      <c r="L24234" s="23"/>
    </row>
    <row r="24235">
      <c r="B24235" s="19"/>
      <c r="E24235" s="23"/>
      <c r="L24235" s="23"/>
    </row>
    <row r="24236">
      <c r="B24236" s="19"/>
      <c r="E24236" s="23"/>
      <c r="L24236" s="23"/>
    </row>
    <row r="24237">
      <c r="B24237" s="19"/>
      <c r="E24237" s="23"/>
      <c r="L24237" s="23"/>
    </row>
    <row r="24238">
      <c r="B24238" s="19"/>
      <c r="E24238" s="23"/>
      <c r="L24238" s="23"/>
    </row>
    <row r="24239">
      <c r="B24239" s="19"/>
      <c r="E24239" s="23"/>
      <c r="L24239" s="23"/>
    </row>
    <row r="24240">
      <c r="B24240" s="19"/>
      <c r="E24240" s="23"/>
      <c r="L24240" s="23"/>
    </row>
    <row r="24241">
      <c r="B24241" s="19"/>
      <c r="E24241" s="23"/>
      <c r="L24241" s="23"/>
    </row>
    <row r="24242">
      <c r="B24242" s="19"/>
      <c r="E24242" s="23"/>
      <c r="L24242" s="23"/>
    </row>
    <row r="24243">
      <c r="B24243" s="19"/>
      <c r="E24243" s="23"/>
      <c r="L24243" s="23"/>
    </row>
    <row r="24244">
      <c r="B24244" s="19"/>
      <c r="E24244" s="23"/>
      <c r="L24244" s="23"/>
    </row>
    <row r="24245">
      <c r="B24245" s="19"/>
      <c r="E24245" s="23"/>
      <c r="L24245" s="23"/>
    </row>
    <row r="24246">
      <c r="B24246" s="19"/>
      <c r="E24246" s="23"/>
      <c r="L24246" s="23"/>
    </row>
    <row r="24247">
      <c r="B24247" s="19"/>
      <c r="E24247" s="23"/>
      <c r="L24247" s="23"/>
    </row>
    <row r="24248">
      <c r="B24248" s="19"/>
      <c r="E24248" s="23"/>
      <c r="L24248" s="23"/>
    </row>
    <row r="24249">
      <c r="B24249" s="19"/>
      <c r="E24249" s="23"/>
      <c r="L24249" s="23"/>
    </row>
    <row r="24250">
      <c r="B24250" s="19"/>
      <c r="E24250" s="23"/>
      <c r="L24250" s="23"/>
    </row>
    <row r="24251">
      <c r="B24251" s="19"/>
      <c r="E24251" s="23"/>
      <c r="L24251" s="23"/>
    </row>
    <row r="24252">
      <c r="B24252" s="19"/>
      <c r="E24252" s="23"/>
      <c r="L24252" s="23"/>
    </row>
    <row r="24253">
      <c r="B24253" s="19"/>
      <c r="E24253" s="23"/>
      <c r="L24253" s="23"/>
    </row>
    <row r="24254">
      <c r="B24254" s="19"/>
      <c r="E24254" s="23"/>
      <c r="L24254" s="23"/>
    </row>
    <row r="24255">
      <c r="B24255" s="19"/>
      <c r="E24255" s="23"/>
      <c r="L24255" s="23"/>
    </row>
    <row r="24256">
      <c r="B24256" s="19"/>
      <c r="E24256" s="23"/>
      <c r="L24256" s="23"/>
    </row>
    <row r="24257">
      <c r="B24257" s="19"/>
      <c r="E24257" s="23"/>
      <c r="L24257" s="23"/>
    </row>
    <row r="24258">
      <c r="B24258" s="19"/>
      <c r="E24258" s="23"/>
      <c r="L24258" s="23"/>
    </row>
    <row r="24259">
      <c r="B24259" s="19"/>
      <c r="E24259" s="23"/>
      <c r="L24259" s="23"/>
    </row>
    <row r="24260">
      <c r="B24260" s="19"/>
      <c r="E24260" s="23"/>
      <c r="L24260" s="23"/>
    </row>
    <row r="24261">
      <c r="B24261" s="19"/>
      <c r="E24261" s="23"/>
      <c r="L24261" s="23"/>
    </row>
    <row r="24262">
      <c r="B24262" s="19"/>
      <c r="E24262" s="23"/>
      <c r="L24262" s="23"/>
    </row>
    <row r="24263">
      <c r="B24263" s="19"/>
      <c r="E24263" s="23"/>
      <c r="L24263" s="23"/>
    </row>
    <row r="24264">
      <c r="B24264" s="19"/>
      <c r="E24264" s="23"/>
      <c r="L24264" s="23"/>
    </row>
    <row r="24265">
      <c r="B24265" s="19"/>
      <c r="E24265" s="23"/>
      <c r="L24265" s="23"/>
    </row>
    <row r="24266">
      <c r="B24266" s="19"/>
      <c r="E24266" s="23"/>
      <c r="L24266" s="23"/>
    </row>
    <row r="24267">
      <c r="B24267" s="19"/>
      <c r="E24267" s="23"/>
      <c r="L24267" s="23"/>
    </row>
    <row r="24268">
      <c r="B24268" s="19"/>
      <c r="E24268" s="23"/>
      <c r="L24268" s="23"/>
    </row>
    <row r="24269">
      <c r="B24269" s="19"/>
      <c r="E24269" s="23"/>
      <c r="L24269" s="23"/>
    </row>
    <row r="24270">
      <c r="B24270" s="19"/>
      <c r="E24270" s="23"/>
      <c r="L24270" s="23"/>
    </row>
    <row r="24271">
      <c r="B24271" s="19"/>
      <c r="E24271" s="23"/>
      <c r="L24271" s="23"/>
    </row>
    <row r="24272">
      <c r="B24272" s="19"/>
      <c r="E24272" s="23"/>
      <c r="L24272" s="23"/>
    </row>
    <row r="24273">
      <c r="B24273" s="19"/>
      <c r="E24273" s="23"/>
      <c r="L24273" s="23"/>
    </row>
    <row r="24274">
      <c r="B24274" s="19"/>
      <c r="E24274" s="23"/>
      <c r="L24274" s="23"/>
    </row>
    <row r="24275">
      <c r="B24275" s="19"/>
      <c r="E24275" s="23"/>
      <c r="L24275" s="23"/>
    </row>
    <row r="24276">
      <c r="B24276" s="19"/>
      <c r="E24276" s="23"/>
      <c r="L24276" s="23"/>
    </row>
    <row r="24277">
      <c r="B24277" s="19"/>
      <c r="E24277" s="23"/>
      <c r="L24277" s="23"/>
    </row>
    <row r="24278">
      <c r="B24278" s="19"/>
      <c r="E24278" s="23"/>
      <c r="L24278" s="23"/>
    </row>
    <row r="24279">
      <c r="B24279" s="19"/>
      <c r="E24279" s="23"/>
      <c r="L24279" s="23"/>
    </row>
    <row r="24280">
      <c r="B24280" s="19"/>
      <c r="E24280" s="23"/>
      <c r="L24280" s="23"/>
    </row>
    <row r="24281">
      <c r="B24281" s="19"/>
      <c r="E24281" s="23"/>
      <c r="L24281" s="23"/>
    </row>
    <row r="24282">
      <c r="B24282" s="19"/>
      <c r="E24282" s="23"/>
      <c r="L24282" s="23"/>
    </row>
    <row r="24283">
      <c r="B24283" s="19"/>
      <c r="E24283" s="23"/>
      <c r="L24283" s="23"/>
    </row>
    <row r="24284">
      <c r="B24284" s="19"/>
      <c r="E24284" s="23"/>
      <c r="L24284" s="23"/>
    </row>
    <row r="24285">
      <c r="B24285" s="19"/>
      <c r="E24285" s="23"/>
      <c r="L24285" s="23"/>
    </row>
    <row r="24286">
      <c r="B24286" s="19"/>
      <c r="E24286" s="23"/>
      <c r="L24286" s="23"/>
    </row>
    <row r="24287">
      <c r="B24287" s="19"/>
      <c r="E24287" s="23"/>
      <c r="L24287" s="23"/>
    </row>
    <row r="24288">
      <c r="B24288" s="19"/>
      <c r="E24288" s="23"/>
      <c r="L24288" s="23"/>
    </row>
    <row r="24289">
      <c r="B24289" s="19"/>
      <c r="E24289" s="23"/>
      <c r="L24289" s="23"/>
    </row>
    <row r="24290">
      <c r="B24290" s="19"/>
      <c r="E24290" s="23"/>
      <c r="L24290" s="23"/>
    </row>
    <row r="24291">
      <c r="B24291" s="19"/>
      <c r="E24291" s="23"/>
      <c r="L24291" s="23"/>
    </row>
    <row r="24292">
      <c r="B24292" s="19"/>
      <c r="E24292" s="23"/>
      <c r="L24292" s="23"/>
    </row>
    <row r="24293">
      <c r="B24293" s="19"/>
      <c r="E24293" s="23"/>
      <c r="L24293" s="23"/>
    </row>
    <row r="24294">
      <c r="B24294" s="19"/>
      <c r="E24294" s="23"/>
      <c r="L24294" s="23"/>
    </row>
    <row r="24295">
      <c r="B24295" s="19"/>
      <c r="E24295" s="23"/>
      <c r="L24295" s="23"/>
    </row>
    <row r="24296">
      <c r="B24296" s="19"/>
      <c r="E24296" s="23"/>
      <c r="L24296" s="23"/>
    </row>
    <row r="24297">
      <c r="B24297" s="19"/>
      <c r="E24297" s="23"/>
      <c r="L24297" s="23"/>
    </row>
    <row r="24298">
      <c r="B24298" s="19"/>
      <c r="E24298" s="23"/>
      <c r="L24298" s="23"/>
    </row>
    <row r="24299">
      <c r="B24299" s="19"/>
      <c r="E24299" s="23"/>
      <c r="L24299" s="23"/>
    </row>
    <row r="24300">
      <c r="B24300" s="19"/>
      <c r="E24300" s="23"/>
      <c r="L24300" s="23"/>
    </row>
    <row r="24301">
      <c r="B24301" s="19"/>
      <c r="E24301" s="23"/>
      <c r="L24301" s="23"/>
    </row>
    <row r="24302">
      <c r="B24302" s="19"/>
      <c r="E24302" s="23"/>
      <c r="L24302" s="23"/>
    </row>
    <row r="24303">
      <c r="B24303" s="19"/>
      <c r="E24303" s="23"/>
      <c r="L24303" s="23"/>
    </row>
    <row r="24304">
      <c r="B24304" s="19"/>
      <c r="E24304" s="23"/>
      <c r="L24304" s="23"/>
    </row>
    <row r="24305">
      <c r="B24305" s="19"/>
      <c r="E24305" s="23"/>
      <c r="L24305" s="23"/>
    </row>
    <row r="24306">
      <c r="B24306" s="19"/>
      <c r="E24306" s="23"/>
      <c r="L24306" s="23"/>
    </row>
    <row r="24307">
      <c r="B24307" s="19"/>
      <c r="E24307" s="23"/>
      <c r="L24307" s="23"/>
    </row>
    <row r="24308">
      <c r="B24308" s="19"/>
      <c r="E24308" s="23"/>
      <c r="L24308" s="23"/>
    </row>
    <row r="24309">
      <c r="B24309" s="19"/>
      <c r="E24309" s="23"/>
      <c r="L24309" s="23"/>
    </row>
    <row r="24310">
      <c r="B24310" s="19"/>
      <c r="E24310" s="23"/>
      <c r="L24310" s="23"/>
    </row>
    <row r="24311">
      <c r="B24311" s="19"/>
      <c r="E24311" s="23"/>
      <c r="L24311" s="23"/>
    </row>
    <row r="24312">
      <c r="B24312" s="19"/>
      <c r="E24312" s="23"/>
      <c r="L24312" s="23"/>
    </row>
    <row r="24313">
      <c r="B24313" s="19"/>
      <c r="E24313" s="23"/>
      <c r="L24313" s="23"/>
    </row>
    <row r="24314">
      <c r="B24314" s="19"/>
      <c r="E24314" s="23"/>
      <c r="L24314" s="23"/>
    </row>
    <row r="24315">
      <c r="B24315" s="19"/>
      <c r="E24315" s="23"/>
      <c r="L24315" s="23"/>
    </row>
    <row r="24316">
      <c r="B24316" s="19"/>
      <c r="E24316" s="23"/>
      <c r="L24316" s="23"/>
    </row>
    <row r="24317">
      <c r="B24317" s="19"/>
      <c r="E24317" s="23"/>
      <c r="L24317" s="23"/>
    </row>
    <row r="24318">
      <c r="B24318" s="19"/>
      <c r="E24318" s="23"/>
      <c r="L24318" s="23"/>
    </row>
    <row r="24319">
      <c r="B24319" s="19"/>
      <c r="E24319" s="23"/>
      <c r="L24319" s="23"/>
    </row>
    <row r="24320">
      <c r="B24320" s="19"/>
      <c r="E24320" s="23"/>
      <c r="L24320" s="23"/>
    </row>
    <row r="24321">
      <c r="B24321" s="19"/>
      <c r="E24321" s="23"/>
      <c r="L24321" s="23"/>
    </row>
    <row r="24322">
      <c r="B24322" s="19"/>
      <c r="E24322" s="23"/>
      <c r="L24322" s="23"/>
    </row>
    <row r="24323">
      <c r="B24323" s="19"/>
      <c r="E24323" s="23"/>
      <c r="L24323" s="23"/>
    </row>
    <row r="24324">
      <c r="B24324" s="19"/>
      <c r="E24324" s="23"/>
      <c r="L24324" s="23"/>
    </row>
    <row r="24325">
      <c r="B24325" s="19"/>
      <c r="E24325" s="23"/>
      <c r="L24325" s="23"/>
    </row>
    <row r="24326">
      <c r="B24326" s="19"/>
      <c r="E24326" s="23"/>
      <c r="L24326" s="23"/>
    </row>
    <row r="24327">
      <c r="B24327" s="19"/>
      <c r="E24327" s="23"/>
      <c r="L24327" s="23"/>
    </row>
    <row r="24328">
      <c r="B24328" s="19"/>
      <c r="E24328" s="23"/>
      <c r="L24328" s="23"/>
    </row>
    <row r="24329">
      <c r="B24329" s="19"/>
      <c r="E24329" s="23"/>
      <c r="L24329" s="23"/>
    </row>
    <row r="24330">
      <c r="B24330" s="19"/>
      <c r="E24330" s="23"/>
      <c r="L24330" s="23"/>
    </row>
    <row r="24331">
      <c r="B24331" s="19"/>
      <c r="E24331" s="23"/>
      <c r="L24331" s="23"/>
    </row>
    <row r="24332">
      <c r="B24332" s="19"/>
      <c r="E24332" s="23"/>
      <c r="L24332" s="23"/>
    </row>
    <row r="24333">
      <c r="B24333" s="19"/>
      <c r="E24333" s="23"/>
      <c r="L24333" s="23"/>
    </row>
    <row r="24334">
      <c r="B24334" s="19"/>
      <c r="E24334" s="23"/>
      <c r="L24334" s="23"/>
    </row>
    <row r="24335">
      <c r="B24335" s="19"/>
      <c r="E24335" s="23"/>
      <c r="L24335" s="23"/>
    </row>
    <row r="24336">
      <c r="B24336" s="19"/>
      <c r="E24336" s="23"/>
      <c r="L24336" s="23"/>
    </row>
    <row r="24337">
      <c r="B24337" s="19"/>
      <c r="E24337" s="23"/>
      <c r="L24337" s="23"/>
    </row>
    <row r="24338">
      <c r="B24338" s="19"/>
      <c r="E24338" s="23"/>
      <c r="L24338" s="23"/>
    </row>
    <row r="24339">
      <c r="B24339" s="19"/>
      <c r="E24339" s="23"/>
      <c r="L24339" s="23"/>
    </row>
    <row r="24340">
      <c r="B24340" s="19"/>
      <c r="E24340" s="23"/>
      <c r="L24340" s="23"/>
    </row>
    <row r="24341">
      <c r="B24341" s="19"/>
      <c r="E24341" s="23"/>
      <c r="L24341" s="23"/>
    </row>
    <row r="24342">
      <c r="B24342" s="19"/>
      <c r="E24342" s="23"/>
      <c r="L24342" s="23"/>
    </row>
    <row r="24343">
      <c r="B24343" s="19"/>
      <c r="E24343" s="23"/>
      <c r="L24343" s="23"/>
    </row>
    <row r="24344">
      <c r="B24344" s="19"/>
      <c r="E24344" s="23"/>
      <c r="L24344" s="23"/>
    </row>
    <row r="24345">
      <c r="B24345" s="19"/>
      <c r="E24345" s="23"/>
      <c r="L24345" s="23"/>
    </row>
    <row r="24346">
      <c r="B24346" s="19"/>
      <c r="E24346" s="23"/>
      <c r="L24346" s="23"/>
    </row>
    <row r="24347">
      <c r="B24347" s="19"/>
      <c r="E24347" s="23"/>
      <c r="L24347" s="23"/>
    </row>
    <row r="24348">
      <c r="B24348" s="19"/>
      <c r="E24348" s="23"/>
      <c r="L24348" s="23"/>
    </row>
    <row r="24349">
      <c r="B24349" s="19"/>
      <c r="E24349" s="23"/>
      <c r="L24349" s="23"/>
    </row>
    <row r="24350">
      <c r="B24350" s="19"/>
      <c r="E24350" s="23"/>
      <c r="L24350" s="23"/>
    </row>
    <row r="24351">
      <c r="B24351" s="19"/>
      <c r="E24351" s="23"/>
      <c r="L24351" s="23"/>
    </row>
    <row r="24352">
      <c r="B24352" s="19"/>
      <c r="E24352" s="23"/>
      <c r="L24352" s="23"/>
    </row>
    <row r="24353">
      <c r="B24353" s="19"/>
      <c r="E24353" s="23"/>
      <c r="L24353" s="23"/>
    </row>
    <row r="24354">
      <c r="B24354" s="19"/>
      <c r="E24354" s="23"/>
      <c r="L24354" s="23"/>
    </row>
    <row r="24355">
      <c r="B24355" s="19"/>
      <c r="E24355" s="23"/>
      <c r="L24355" s="23"/>
    </row>
    <row r="24356">
      <c r="B24356" s="19"/>
      <c r="E24356" s="23"/>
      <c r="L24356" s="23"/>
    </row>
    <row r="24357">
      <c r="B24357" s="19"/>
      <c r="E24357" s="23"/>
      <c r="L24357" s="23"/>
    </row>
    <row r="24358">
      <c r="B24358" s="19"/>
      <c r="E24358" s="23"/>
      <c r="L24358" s="23"/>
    </row>
    <row r="24359">
      <c r="B24359" s="19"/>
      <c r="E24359" s="23"/>
      <c r="L24359" s="23"/>
    </row>
    <row r="24360">
      <c r="B24360" s="19"/>
      <c r="E24360" s="23"/>
      <c r="L24360" s="23"/>
    </row>
    <row r="24361">
      <c r="B24361" s="19"/>
      <c r="E24361" s="23"/>
      <c r="L24361" s="23"/>
    </row>
    <row r="24362">
      <c r="B24362" s="19"/>
      <c r="E24362" s="23"/>
      <c r="L24362" s="23"/>
    </row>
    <row r="24363">
      <c r="B24363" s="19"/>
      <c r="E24363" s="23"/>
      <c r="L24363" s="23"/>
    </row>
    <row r="24364">
      <c r="B24364" s="19"/>
      <c r="E24364" s="23"/>
      <c r="L24364" s="23"/>
    </row>
    <row r="24365">
      <c r="B24365" s="19"/>
      <c r="E24365" s="23"/>
      <c r="L24365" s="23"/>
    </row>
    <row r="24366">
      <c r="B24366" s="19"/>
      <c r="E24366" s="23"/>
      <c r="L24366" s="23"/>
    </row>
    <row r="24367">
      <c r="B24367" s="19"/>
      <c r="E24367" s="23"/>
      <c r="L24367" s="23"/>
    </row>
    <row r="24368">
      <c r="B24368" s="19"/>
      <c r="E24368" s="23"/>
      <c r="L24368" s="23"/>
    </row>
    <row r="24369">
      <c r="B24369" s="19"/>
      <c r="E24369" s="23"/>
      <c r="L24369" s="23"/>
    </row>
    <row r="24370">
      <c r="B24370" s="19"/>
      <c r="E24370" s="23"/>
      <c r="L24370" s="23"/>
    </row>
    <row r="24371">
      <c r="B24371" s="19"/>
      <c r="E24371" s="23"/>
      <c r="L24371" s="23"/>
    </row>
    <row r="24372">
      <c r="B24372" s="19"/>
      <c r="E24372" s="23"/>
      <c r="L24372" s="23"/>
    </row>
    <row r="24373">
      <c r="B24373" s="19"/>
      <c r="E24373" s="23"/>
      <c r="L24373" s="23"/>
    </row>
    <row r="24374">
      <c r="B24374" s="19"/>
      <c r="E24374" s="23"/>
      <c r="L24374" s="23"/>
    </row>
    <row r="24375">
      <c r="B24375" s="19"/>
      <c r="E24375" s="23"/>
      <c r="L24375" s="23"/>
    </row>
    <row r="24376">
      <c r="B24376" s="19"/>
      <c r="E24376" s="23"/>
      <c r="L24376" s="23"/>
    </row>
    <row r="24377">
      <c r="B24377" s="19"/>
      <c r="E24377" s="23"/>
      <c r="L24377" s="23"/>
    </row>
    <row r="24378">
      <c r="B24378" s="19"/>
      <c r="E24378" s="23"/>
      <c r="L24378" s="23"/>
    </row>
    <row r="24379">
      <c r="B24379" s="19"/>
      <c r="E24379" s="23"/>
      <c r="L24379" s="23"/>
    </row>
    <row r="24380">
      <c r="B24380" s="19"/>
      <c r="E24380" s="23"/>
      <c r="L24380" s="23"/>
    </row>
    <row r="24381">
      <c r="B24381" s="19"/>
      <c r="E24381" s="23"/>
      <c r="L24381" s="23"/>
    </row>
    <row r="24382">
      <c r="B24382" s="19"/>
      <c r="E24382" s="23"/>
      <c r="L24382" s="23"/>
    </row>
    <row r="24383">
      <c r="B24383" s="19"/>
      <c r="E24383" s="23"/>
      <c r="L24383" s="23"/>
    </row>
    <row r="24384">
      <c r="B24384" s="19"/>
      <c r="E24384" s="23"/>
      <c r="L24384" s="23"/>
    </row>
    <row r="24385">
      <c r="B24385" s="19"/>
      <c r="E24385" s="23"/>
      <c r="L24385" s="23"/>
    </row>
    <row r="24386">
      <c r="B24386" s="19"/>
      <c r="E24386" s="23"/>
      <c r="L24386" s="23"/>
    </row>
    <row r="24387">
      <c r="B24387" s="19"/>
      <c r="E24387" s="23"/>
      <c r="L24387" s="23"/>
    </row>
    <row r="24388">
      <c r="B24388" s="19"/>
      <c r="E24388" s="23"/>
      <c r="L24388" s="23"/>
    </row>
    <row r="24389">
      <c r="B24389" s="19"/>
      <c r="E24389" s="23"/>
      <c r="L24389" s="23"/>
    </row>
    <row r="24390">
      <c r="B24390" s="19"/>
      <c r="E24390" s="23"/>
      <c r="L24390" s="23"/>
    </row>
    <row r="24391">
      <c r="B24391" s="19"/>
      <c r="E24391" s="23"/>
      <c r="L24391" s="23"/>
    </row>
    <row r="24392">
      <c r="B24392" s="19"/>
      <c r="E24392" s="23"/>
      <c r="L24392" s="23"/>
    </row>
    <row r="24393">
      <c r="B24393" s="19"/>
      <c r="E24393" s="23"/>
      <c r="L24393" s="23"/>
    </row>
    <row r="24394">
      <c r="B24394" s="19"/>
      <c r="E24394" s="23"/>
      <c r="L24394" s="23"/>
    </row>
    <row r="24395">
      <c r="B24395" s="19"/>
      <c r="E24395" s="23"/>
      <c r="L24395" s="23"/>
    </row>
    <row r="24396">
      <c r="B24396" s="19"/>
      <c r="E24396" s="23"/>
      <c r="L24396" s="23"/>
    </row>
    <row r="24397">
      <c r="B24397" s="19"/>
      <c r="E24397" s="23"/>
      <c r="L24397" s="23"/>
    </row>
    <row r="24398">
      <c r="B24398" s="19"/>
      <c r="E24398" s="23"/>
      <c r="L24398" s="23"/>
    </row>
    <row r="24399">
      <c r="B24399" s="19"/>
      <c r="E24399" s="23"/>
      <c r="L24399" s="23"/>
    </row>
    <row r="24400">
      <c r="B24400" s="19"/>
      <c r="E24400" s="23"/>
      <c r="L24400" s="23"/>
    </row>
    <row r="24401">
      <c r="B24401" s="19"/>
      <c r="E24401" s="23"/>
      <c r="L24401" s="23"/>
    </row>
    <row r="24402">
      <c r="B24402" s="19"/>
      <c r="E24402" s="23"/>
      <c r="L24402" s="23"/>
    </row>
    <row r="24403">
      <c r="B24403" s="19"/>
      <c r="E24403" s="23"/>
      <c r="L24403" s="23"/>
    </row>
    <row r="24404">
      <c r="B24404" s="19"/>
      <c r="E24404" s="23"/>
      <c r="L24404" s="23"/>
    </row>
    <row r="24405">
      <c r="B24405" s="19"/>
      <c r="E24405" s="23"/>
      <c r="L24405" s="23"/>
    </row>
    <row r="24406">
      <c r="B24406" s="19"/>
      <c r="E24406" s="23"/>
      <c r="L24406" s="23"/>
    </row>
    <row r="24407">
      <c r="B24407" s="19"/>
      <c r="E24407" s="23"/>
      <c r="L24407" s="23"/>
    </row>
    <row r="24408">
      <c r="B24408" s="19"/>
      <c r="E24408" s="23"/>
      <c r="L24408" s="23"/>
    </row>
    <row r="24409">
      <c r="B24409" s="19"/>
      <c r="E24409" s="23"/>
      <c r="L24409" s="23"/>
    </row>
    <row r="24410">
      <c r="B24410" s="19"/>
      <c r="E24410" s="23"/>
      <c r="L24410" s="23"/>
    </row>
    <row r="24411">
      <c r="B24411" s="19"/>
      <c r="E24411" s="23"/>
      <c r="L24411" s="23"/>
    </row>
    <row r="24412">
      <c r="B24412" s="19"/>
      <c r="E24412" s="23"/>
      <c r="L24412" s="23"/>
    </row>
    <row r="24413">
      <c r="B24413" s="19"/>
      <c r="E24413" s="23"/>
      <c r="L24413" s="23"/>
    </row>
    <row r="24414">
      <c r="B24414" s="19"/>
      <c r="E24414" s="23"/>
      <c r="L24414" s="23"/>
    </row>
    <row r="24415">
      <c r="B24415" s="19"/>
      <c r="E24415" s="23"/>
      <c r="L24415" s="23"/>
    </row>
    <row r="24416">
      <c r="B24416" s="19"/>
      <c r="E24416" s="23"/>
      <c r="L24416" s="23"/>
    </row>
    <row r="24417">
      <c r="B24417" s="19"/>
      <c r="E24417" s="23"/>
      <c r="L24417" s="23"/>
    </row>
    <row r="24418">
      <c r="B24418" s="19"/>
      <c r="E24418" s="23"/>
      <c r="L24418" s="23"/>
    </row>
    <row r="24419">
      <c r="B24419" s="19"/>
      <c r="E24419" s="23"/>
      <c r="L24419" s="23"/>
    </row>
    <row r="24420">
      <c r="B24420" s="19"/>
      <c r="E24420" s="23"/>
      <c r="L24420" s="23"/>
    </row>
    <row r="24421">
      <c r="B24421" s="19"/>
      <c r="E24421" s="23"/>
      <c r="L24421" s="23"/>
    </row>
    <row r="24422">
      <c r="B24422" s="19"/>
      <c r="E24422" s="23"/>
      <c r="L24422" s="23"/>
    </row>
    <row r="24423">
      <c r="B24423" s="19"/>
      <c r="E24423" s="23"/>
      <c r="L24423" s="23"/>
    </row>
    <row r="24424">
      <c r="B24424" s="19"/>
      <c r="E24424" s="23"/>
      <c r="L24424" s="23"/>
    </row>
    <row r="24425">
      <c r="B24425" s="19"/>
      <c r="E24425" s="23"/>
      <c r="L24425" s="23"/>
    </row>
    <row r="24426">
      <c r="B24426" s="19"/>
      <c r="E24426" s="23"/>
      <c r="L24426" s="23"/>
    </row>
    <row r="24427">
      <c r="B24427" s="19"/>
      <c r="E24427" s="23"/>
      <c r="L24427" s="23"/>
    </row>
    <row r="24428">
      <c r="B24428" s="19"/>
      <c r="E24428" s="23"/>
      <c r="L24428" s="23"/>
    </row>
    <row r="24429">
      <c r="B24429" s="19"/>
      <c r="E24429" s="23"/>
      <c r="L24429" s="23"/>
    </row>
    <row r="24430">
      <c r="B24430" s="19"/>
      <c r="E24430" s="23"/>
      <c r="L24430" s="23"/>
    </row>
    <row r="24431">
      <c r="B24431" s="19"/>
      <c r="E24431" s="23"/>
      <c r="L24431" s="23"/>
    </row>
    <row r="24432">
      <c r="B24432" s="19"/>
      <c r="E24432" s="23"/>
      <c r="L24432" s="23"/>
    </row>
    <row r="24433">
      <c r="B24433" s="19"/>
      <c r="E24433" s="23"/>
      <c r="L24433" s="23"/>
    </row>
    <row r="24434">
      <c r="B24434" s="19"/>
      <c r="E24434" s="23"/>
      <c r="L24434" s="23"/>
    </row>
    <row r="24435">
      <c r="B24435" s="19"/>
      <c r="E24435" s="23"/>
      <c r="L24435" s="23"/>
    </row>
    <row r="24436">
      <c r="B24436" s="19"/>
      <c r="E24436" s="23"/>
      <c r="L24436" s="23"/>
    </row>
    <row r="24437">
      <c r="B24437" s="19"/>
      <c r="E24437" s="23"/>
      <c r="L24437" s="23"/>
    </row>
    <row r="24438">
      <c r="B24438" s="19"/>
      <c r="E24438" s="23"/>
      <c r="L24438" s="23"/>
    </row>
    <row r="24439">
      <c r="B24439" s="19"/>
      <c r="E24439" s="23"/>
      <c r="L24439" s="23"/>
    </row>
    <row r="24440">
      <c r="B24440" s="19"/>
      <c r="E24440" s="23"/>
      <c r="L24440" s="23"/>
    </row>
    <row r="24441">
      <c r="B24441" s="19"/>
      <c r="E24441" s="23"/>
      <c r="L24441" s="23"/>
    </row>
    <row r="24442">
      <c r="B24442" s="19"/>
      <c r="E24442" s="23"/>
      <c r="L24442" s="23"/>
    </row>
    <row r="24443">
      <c r="B24443" s="19"/>
      <c r="E24443" s="23"/>
      <c r="L24443" s="23"/>
    </row>
    <row r="24444">
      <c r="B24444" s="19"/>
      <c r="E24444" s="23"/>
      <c r="L24444" s="23"/>
    </row>
    <row r="24445">
      <c r="B24445" s="19"/>
      <c r="E24445" s="23"/>
      <c r="L24445" s="23"/>
    </row>
    <row r="24446">
      <c r="B24446" s="19"/>
      <c r="E24446" s="23"/>
      <c r="L24446" s="23"/>
    </row>
    <row r="24447">
      <c r="B24447" s="19"/>
      <c r="E24447" s="23"/>
      <c r="L24447" s="23"/>
    </row>
    <row r="24448">
      <c r="B24448" s="19"/>
      <c r="E24448" s="23"/>
      <c r="L24448" s="23"/>
    </row>
    <row r="24449">
      <c r="B24449" s="19"/>
      <c r="E24449" s="23"/>
      <c r="L24449" s="23"/>
    </row>
    <row r="24450">
      <c r="B24450" s="19"/>
      <c r="E24450" s="23"/>
      <c r="L24450" s="23"/>
    </row>
    <row r="24451">
      <c r="B24451" s="19"/>
      <c r="E24451" s="23"/>
      <c r="L24451" s="23"/>
    </row>
    <row r="24452">
      <c r="B24452" s="19"/>
      <c r="E24452" s="23"/>
      <c r="L24452" s="23"/>
    </row>
    <row r="24453">
      <c r="B24453" s="19"/>
      <c r="E24453" s="23"/>
      <c r="L24453" s="23"/>
    </row>
    <row r="24454">
      <c r="B24454" s="19"/>
      <c r="E24454" s="23"/>
      <c r="L24454" s="23"/>
    </row>
    <row r="24455">
      <c r="B24455" s="19"/>
      <c r="E24455" s="23"/>
      <c r="L24455" s="23"/>
    </row>
    <row r="24456">
      <c r="B24456" s="19"/>
      <c r="E24456" s="23"/>
      <c r="L24456" s="23"/>
    </row>
    <row r="24457">
      <c r="B24457" s="19"/>
      <c r="E24457" s="23"/>
      <c r="L24457" s="23"/>
    </row>
    <row r="24458">
      <c r="B24458" s="19"/>
      <c r="E24458" s="23"/>
      <c r="L24458" s="23"/>
    </row>
    <row r="24459">
      <c r="B24459" s="19"/>
      <c r="E24459" s="23"/>
      <c r="L24459" s="23"/>
    </row>
    <row r="24460">
      <c r="B24460" s="19"/>
      <c r="E24460" s="23"/>
      <c r="L24460" s="23"/>
    </row>
    <row r="24461">
      <c r="B24461" s="19"/>
      <c r="E24461" s="23"/>
      <c r="L24461" s="23"/>
    </row>
    <row r="24462">
      <c r="B24462" s="19"/>
      <c r="E24462" s="23"/>
      <c r="L24462" s="23"/>
    </row>
    <row r="24463">
      <c r="B24463" s="19"/>
      <c r="E24463" s="23"/>
      <c r="L24463" s="23"/>
    </row>
    <row r="24464">
      <c r="B24464" s="19"/>
      <c r="E24464" s="23"/>
      <c r="L24464" s="23"/>
    </row>
    <row r="24465">
      <c r="B24465" s="19"/>
      <c r="E24465" s="23"/>
      <c r="L24465" s="23"/>
    </row>
    <row r="24466">
      <c r="B24466" s="19"/>
      <c r="E24466" s="23"/>
      <c r="L24466" s="23"/>
    </row>
    <row r="24467">
      <c r="B24467" s="19"/>
      <c r="E24467" s="23"/>
      <c r="L24467" s="23"/>
    </row>
    <row r="24468">
      <c r="B24468" s="19"/>
      <c r="E24468" s="23"/>
      <c r="L24468" s="23"/>
    </row>
    <row r="24469">
      <c r="B24469" s="19"/>
      <c r="E24469" s="23"/>
      <c r="L24469" s="23"/>
    </row>
    <row r="24470">
      <c r="B24470" s="19"/>
      <c r="E24470" s="23"/>
      <c r="L24470" s="23"/>
    </row>
    <row r="24471">
      <c r="B24471" s="19"/>
      <c r="E24471" s="23"/>
      <c r="L24471" s="23"/>
    </row>
    <row r="24472">
      <c r="B24472" s="19"/>
      <c r="E24472" s="23"/>
      <c r="L24472" s="23"/>
    </row>
    <row r="24473">
      <c r="B24473" s="19"/>
      <c r="E24473" s="23"/>
      <c r="L24473" s="23"/>
    </row>
    <row r="24474">
      <c r="B24474" s="19"/>
      <c r="E24474" s="23"/>
      <c r="L24474" s="23"/>
    </row>
    <row r="24475">
      <c r="B24475" s="19"/>
      <c r="E24475" s="23"/>
      <c r="L24475" s="23"/>
    </row>
    <row r="24476">
      <c r="B24476" s="19"/>
      <c r="E24476" s="23"/>
      <c r="L24476" s="23"/>
    </row>
    <row r="24477">
      <c r="B24477" s="19"/>
      <c r="E24477" s="23"/>
      <c r="L24477" s="23"/>
    </row>
    <row r="24478">
      <c r="B24478" s="19"/>
      <c r="E24478" s="23"/>
      <c r="L24478" s="23"/>
    </row>
    <row r="24479">
      <c r="B24479" s="19"/>
      <c r="E24479" s="23"/>
      <c r="L24479" s="23"/>
    </row>
    <row r="24480">
      <c r="B24480" s="19"/>
      <c r="E24480" s="23"/>
      <c r="L24480" s="23"/>
    </row>
    <row r="24481">
      <c r="B24481" s="19"/>
      <c r="E24481" s="23"/>
      <c r="L24481" s="23"/>
    </row>
    <row r="24482">
      <c r="B24482" s="19"/>
      <c r="E24482" s="23"/>
      <c r="L24482" s="23"/>
    </row>
    <row r="24483">
      <c r="B24483" s="19"/>
      <c r="E24483" s="23"/>
      <c r="L24483" s="23"/>
    </row>
    <row r="24484">
      <c r="B24484" s="19"/>
      <c r="E24484" s="23"/>
      <c r="L24484" s="23"/>
    </row>
    <row r="24485">
      <c r="B24485" s="19"/>
      <c r="E24485" s="23"/>
      <c r="L24485" s="23"/>
    </row>
    <row r="24486">
      <c r="B24486" s="19"/>
      <c r="E24486" s="23"/>
      <c r="L24486" s="23"/>
    </row>
    <row r="24487">
      <c r="B24487" s="19"/>
      <c r="E24487" s="23"/>
      <c r="L24487" s="23"/>
    </row>
    <row r="24488">
      <c r="B24488" s="19"/>
      <c r="E24488" s="23"/>
      <c r="L24488" s="23"/>
    </row>
    <row r="24489">
      <c r="B24489" s="19"/>
      <c r="E24489" s="23"/>
      <c r="L24489" s="23"/>
    </row>
    <row r="24490">
      <c r="B24490" s="19"/>
      <c r="E24490" s="23"/>
      <c r="L24490" s="23"/>
    </row>
    <row r="24491">
      <c r="B24491" s="19"/>
      <c r="E24491" s="23"/>
      <c r="L24491" s="23"/>
    </row>
    <row r="24492">
      <c r="B24492" s="19"/>
      <c r="E24492" s="23"/>
      <c r="L24492" s="23"/>
    </row>
    <row r="24493">
      <c r="B24493" s="19"/>
      <c r="E24493" s="23"/>
      <c r="L24493" s="23"/>
    </row>
    <row r="24494">
      <c r="B24494" s="19"/>
      <c r="E24494" s="23"/>
      <c r="L24494" s="23"/>
    </row>
    <row r="24495">
      <c r="B24495" s="19"/>
      <c r="E24495" s="23"/>
      <c r="L24495" s="23"/>
    </row>
    <row r="24496">
      <c r="B24496" s="19"/>
      <c r="E24496" s="23"/>
      <c r="L24496" s="23"/>
    </row>
    <row r="24497">
      <c r="B24497" s="19"/>
      <c r="E24497" s="23"/>
      <c r="L24497" s="23"/>
    </row>
    <row r="24498">
      <c r="B24498" s="19"/>
      <c r="E24498" s="23"/>
      <c r="L24498" s="23"/>
    </row>
    <row r="24499">
      <c r="B24499" s="19"/>
      <c r="E24499" s="23"/>
      <c r="L24499" s="23"/>
    </row>
    <row r="24500">
      <c r="B24500" s="19"/>
      <c r="E24500" s="23"/>
      <c r="L24500" s="23"/>
    </row>
    <row r="24501">
      <c r="B24501" s="19"/>
      <c r="E24501" s="23"/>
      <c r="L24501" s="23"/>
    </row>
    <row r="24502">
      <c r="B24502" s="19"/>
      <c r="E24502" s="23"/>
      <c r="L24502" s="23"/>
    </row>
    <row r="24503">
      <c r="B24503" s="19"/>
      <c r="E24503" s="23"/>
      <c r="L24503" s="23"/>
    </row>
    <row r="24504">
      <c r="B24504" s="19"/>
      <c r="E24504" s="23"/>
      <c r="L24504" s="23"/>
    </row>
    <row r="24505">
      <c r="B24505" s="19"/>
      <c r="E24505" s="23"/>
      <c r="L24505" s="23"/>
    </row>
    <row r="24506">
      <c r="B24506" s="19"/>
      <c r="E24506" s="23"/>
      <c r="L24506" s="23"/>
    </row>
    <row r="24507">
      <c r="B24507" s="19"/>
      <c r="E24507" s="23"/>
      <c r="L24507" s="23"/>
    </row>
    <row r="24508">
      <c r="B24508" s="19"/>
      <c r="E24508" s="23"/>
      <c r="L24508" s="23"/>
    </row>
    <row r="24509">
      <c r="B24509" s="19"/>
      <c r="E24509" s="23"/>
      <c r="L24509" s="23"/>
    </row>
    <row r="24510">
      <c r="B24510" s="19"/>
      <c r="E24510" s="23"/>
      <c r="L24510" s="23"/>
    </row>
    <row r="24511">
      <c r="B24511" s="19"/>
      <c r="E24511" s="23"/>
      <c r="L24511" s="23"/>
    </row>
    <row r="24512">
      <c r="B24512" s="19"/>
      <c r="E24512" s="23"/>
      <c r="L24512" s="23"/>
    </row>
    <row r="24513">
      <c r="B24513" s="19"/>
      <c r="E24513" s="23"/>
      <c r="L24513" s="23"/>
    </row>
    <row r="24514">
      <c r="B24514" s="19"/>
      <c r="E24514" s="23"/>
      <c r="L24514" s="23"/>
    </row>
    <row r="24515">
      <c r="B24515" s="19"/>
      <c r="E24515" s="23"/>
      <c r="L24515" s="23"/>
    </row>
    <row r="24516">
      <c r="B24516" s="19"/>
      <c r="E24516" s="23"/>
      <c r="L24516" s="23"/>
    </row>
    <row r="24517">
      <c r="B24517" s="19"/>
      <c r="E24517" s="23"/>
      <c r="L24517" s="23"/>
    </row>
    <row r="24518">
      <c r="B24518" s="19"/>
      <c r="E24518" s="23"/>
      <c r="L24518" s="23"/>
    </row>
    <row r="24519">
      <c r="B24519" s="19"/>
      <c r="E24519" s="23"/>
      <c r="L24519" s="23"/>
    </row>
    <row r="24520">
      <c r="B24520" s="19"/>
      <c r="E24520" s="23"/>
      <c r="L24520" s="23"/>
    </row>
    <row r="24521">
      <c r="B24521" s="19"/>
      <c r="E24521" s="23"/>
      <c r="L24521" s="23"/>
    </row>
    <row r="24522">
      <c r="B24522" s="19"/>
      <c r="E24522" s="23"/>
      <c r="L24522" s="23"/>
    </row>
    <row r="24523">
      <c r="B24523" s="19"/>
      <c r="E24523" s="23"/>
      <c r="L24523" s="23"/>
    </row>
    <row r="24524">
      <c r="B24524" s="19"/>
      <c r="E24524" s="23"/>
      <c r="L24524" s="23"/>
    </row>
    <row r="24525">
      <c r="B24525" s="19"/>
      <c r="E24525" s="23"/>
      <c r="L24525" s="23"/>
    </row>
    <row r="24526">
      <c r="B24526" s="19"/>
      <c r="E24526" s="23"/>
      <c r="L24526" s="23"/>
    </row>
    <row r="24527">
      <c r="B24527" s="19"/>
      <c r="E24527" s="23"/>
      <c r="L24527" s="23"/>
    </row>
    <row r="24528">
      <c r="B24528" s="19"/>
      <c r="E24528" s="23"/>
      <c r="L24528" s="23"/>
    </row>
    <row r="24529">
      <c r="B24529" s="19"/>
      <c r="E24529" s="23"/>
      <c r="L24529" s="23"/>
    </row>
    <row r="24530">
      <c r="B24530" s="19"/>
      <c r="E24530" s="23"/>
      <c r="L24530" s="23"/>
    </row>
    <row r="24531">
      <c r="B24531" s="19"/>
      <c r="E24531" s="23"/>
      <c r="L24531" s="23"/>
    </row>
    <row r="24532">
      <c r="B24532" s="19"/>
      <c r="E24532" s="23"/>
      <c r="L24532" s="23"/>
    </row>
    <row r="24533">
      <c r="B24533" s="19"/>
      <c r="E24533" s="23"/>
      <c r="L24533" s="23"/>
    </row>
    <row r="24534">
      <c r="B24534" s="19"/>
      <c r="E24534" s="23"/>
      <c r="L24534" s="23"/>
    </row>
    <row r="24535">
      <c r="B24535" s="19"/>
      <c r="E24535" s="23"/>
      <c r="L24535" s="23"/>
    </row>
    <row r="24536">
      <c r="B24536" s="19"/>
      <c r="E24536" s="23"/>
      <c r="L24536" s="23"/>
    </row>
    <row r="24537">
      <c r="B24537" s="19"/>
      <c r="E24537" s="23"/>
      <c r="L24537" s="23"/>
    </row>
    <row r="24538">
      <c r="B24538" s="19"/>
      <c r="E24538" s="23"/>
      <c r="L24538" s="23"/>
    </row>
    <row r="24539">
      <c r="B24539" s="19"/>
      <c r="E24539" s="23"/>
      <c r="L24539" s="23"/>
    </row>
    <row r="24540">
      <c r="B24540" s="19"/>
      <c r="E24540" s="23"/>
      <c r="L24540" s="23"/>
    </row>
    <row r="24541">
      <c r="B24541" s="19"/>
      <c r="E24541" s="23"/>
      <c r="L24541" s="23"/>
    </row>
    <row r="24542">
      <c r="B24542" s="19"/>
      <c r="E24542" s="23"/>
      <c r="L24542" s="23"/>
    </row>
    <row r="24543">
      <c r="B24543" s="19"/>
      <c r="E24543" s="23"/>
      <c r="L24543" s="23"/>
    </row>
    <row r="24544">
      <c r="B24544" s="19"/>
      <c r="E24544" s="23"/>
      <c r="L24544" s="23"/>
    </row>
    <row r="24545">
      <c r="B24545" s="19"/>
      <c r="E24545" s="23"/>
      <c r="L24545" s="23"/>
    </row>
    <row r="24546">
      <c r="B24546" s="19"/>
      <c r="E24546" s="23"/>
      <c r="L24546" s="23"/>
    </row>
    <row r="24547">
      <c r="B24547" s="19"/>
      <c r="E24547" s="23"/>
      <c r="L24547" s="23"/>
    </row>
    <row r="24548">
      <c r="B24548" s="19"/>
      <c r="E24548" s="23"/>
      <c r="L24548" s="23"/>
    </row>
    <row r="24549">
      <c r="B24549" s="19"/>
      <c r="E24549" s="23"/>
      <c r="L24549" s="23"/>
    </row>
    <row r="24550">
      <c r="B24550" s="19"/>
      <c r="E24550" s="23"/>
      <c r="L24550" s="23"/>
    </row>
    <row r="24551">
      <c r="B24551" s="19"/>
      <c r="E24551" s="23"/>
      <c r="L24551" s="23"/>
    </row>
    <row r="24552">
      <c r="B24552" s="19"/>
      <c r="E24552" s="23"/>
      <c r="L24552" s="23"/>
    </row>
    <row r="24553">
      <c r="B24553" s="19"/>
      <c r="E24553" s="23"/>
      <c r="L24553" s="23"/>
    </row>
    <row r="24554">
      <c r="B24554" s="19"/>
      <c r="E24554" s="23"/>
      <c r="L24554" s="23"/>
    </row>
    <row r="24555">
      <c r="B24555" s="19"/>
      <c r="E24555" s="23"/>
      <c r="L24555" s="23"/>
    </row>
    <row r="24556">
      <c r="B24556" s="19"/>
      <c r="E24556" s="23"/>
      <c r="L24556" s="23"/>
    </row>
    <row r="24557">
      <c r="B24557" s="19"/>
      <c r="E24557" s="23"/>
      <c r="L24557" s="23"/>
    </row>
    <row r="24558">
      <c r="B24558" s="19"/>
      <c r="E24558" s="23"/>
      <c r="L24558" s="23"/>
    </row>
    <row r="24559">
      <c r="B24559" s="19"/>
      <c r="E24559" s="23"/>
      <c r="L24559" s="23"/>
    </row>
    <row r="24560">
      <c r="B24560" s="19"/>
      <c r="E24560" s="23"/>
      <c r="L24560" s="23"/>
    </row>
    <row r="24561">
      <c r="B24561" s="19"/>
      <c r="E24561" s="23"/>
      <c r="L24561" s="23"/>
    </row>
    <row r="24562">
      <c r="B24562" s="19"/>
      <c r="E24562" s="23"/>
      <c r="L24562" s="23"/>
    </row>
    <row r="24563">
      <c r="B24563" s="19"/>
      <c r="E24563" s="23"/>
      <c r="L24563" s="23"/>
    </row>
    <row r="24564">
      <c r="B24564" s="19"/>
      <c r="E24564" s="23"/>
      <c r="L24564" s="23"/>
    </row>
    <row r="24565">
      <c r="B24565" s="19"/>
      <c r="E24565" s="23"/>
      <c r="L24565" s="23"/>
    </row>
    <row r="24566">
      <c r="B24566" s="19"/>
      <c r="E24566" s="23"/>
      <c r="L24566" s="23"/>
    </row>
    <row r="24567">
      <c r="B24567" s="19"/>
      <c r="E24567" s="23"/>
      <c r="L24567" s="23"/>
    </row>
    <row r="24568">
      <c r="B24568" s="19"/>
      <c r="E24568" s="23"/>
      <c r="L24568" s="23"/>
    </row>
    <row r="24569">
      <c r="B24569" s="19"/>
      <c r="E24569" s="23"/>
      <c r="L24569" s="23"/>
    </row>
    <row r="24570">
      <c r="B24570" s="19"/>
      <c r="E24570" s="23"/>
      <c r="L24570" s="23"/>
    </row>
    <row r="24571">
      <c r="B24571" s="19"/>
      <c r="E24571" s="23"/>
      <c r="L24571" s="23"/>
    </row>
    <row r="24572">
      <c r="B24572" s="19"/>
      <c r="E24572" s="23"/>
      <c r="L24572" s="23"/>
    </row>
    <row r="24573">
      <c r="B24573" s="19"/>
      <c r="E24573" s="23"/>
      <c r="L24573" s="23"/>
    </row>
    <row r="24574">
      <c r="B24574" s="19"/>
      <c r="E24574" s="23"/>
      <c r="L24574" s="23"/>
    </row>
    <row r="24575">
      <c r="B24575" s="19"/>
      <c r="E24575" s="23"/>
      <c r="L24575" s="23"/>
    </row>
    <row r="24576">
      <c r="B24576" s="19"/>
      <c r="E24576" s="23"/>
      <c r="L24576" s="23"/>
    </row>
    <row r="24577">
      <c r="B24577" s="19"/>
      <c r="E24577" s="23"/>
      <c r="L24577" s="23"/>
    </row>
    <row r="24578">
      <c r="B24578" s="19"/>
      <c r="E24578" s="23"/>
      <c r="L24578" s="23"/>
    </row>
    <row r="24579">
      <c r="B24579" s="19"/>
      <c r="E24579" s="23"/>
      <c r="L24579" s="23"/>
    </row>
    <row r="24580">
      <c r="B24580" s="19"/>
      <c r="E24580" s="23"/>
      <c r="L24580" s="23"/>
    </row>
    <row r="24581">
      <c r="B24581" s="19"/>
      <c r="E24581" s="23"/>
      <c r="L24581" s="23"/>
    </row>
    <row r="24582">
      <c r="B24582" s="19"/>
      <c r="E24582" s="23"/>
      <c r="L24582" s="23"/>
    </row>
    <row r="24583">
      <c r="B24583" s="19"/>
      <c r="E24583" s="23"/>
      <c r="L24583" s="23"/>
    </row>
    <row r="24584">
      <c r="B24584" s="19"/>
      <c r="E24584" s="23"/>
      <c r="L24584" s="23"/>
    </row>
    <row r="24585">
      <c r="B24585" s="19"/>
      <c r="E24585" s="23"/>
      <c r="L24585" s="23"/>
    </row>
    <row r="24586">
      <c r="B24586" s="19"/>
      <c r="E24586" s="23"/>
      <c r="L24586" s="23"/>
    </row>
    <row r="24587">
      <c r="B24587" s="19"/>
      <c r="E24587" s="23"/>
      <c r="L24587" s="23"/>
    </row>
    <row r="24588">
      <c r="B24588" s="19"/>
      <c r="E24588" s="23"/>
      <c r="L24588" s="23"/>
    </row>
    <row r="24589">
      <c r="B24589" s="19"/>
      <c r="E24589" s="23"/>
      <c r="L24589" s="23"/>
    </row>
    <row r="24590">
      <c r="B24590" s="19"/>
      <c r="E24590" s="23"/>
      <c r="L24590" s="23"/>
    </row>
    <row r="24591">
      <c r="B24591" s="19"/>
      <c r="E24591" s="23"/>
      <c r="L24591" s="23"/>
    </row>
    <row r="24592">
      <c r="B24592" s="19"/>
      <c r="E24592" s="23"/>
      <c r="L24592" s="23"/>
    </row>
    <row r="24593">
      <c r="B24593" s="19"/>
      <c r="E24593" s="23"/>
      <c r="L24593" s="23"/>
    </row>
    <row r="24594">
      <c r="B24594" s="19"/>
      <c r="E24594" s="23"/>
      <c r="L24594" s="23"/>
    </row>
    <row r="24595">
      <c r="B24595" s="19"/>
      <c r="E24595" s="23"/>
      <c r="L24595" s="23"/>
    </row>
    <row r="24596">
      <c r="B24596" s="19"/>
      <c r="E24596" s="23"/>
      <c r="L24596" s="23"/>
    </row>
    <row r="24597">
      <c r="B24597" s="19"/>
      <c r="E24597" s="23"/>
      <c r="L24597" s="23"/>
    </row>
    <row r="24598">
      <c r="B24598" s="19"/>
      <c r="E24598" s="23"/>
      <c r="L24598" s="23"/>
    </row>
    <row r="24599">
      <c r="B24599" s="19"/>
      <c r="E24599" s="23"/>
      <c r="L24599" s="23"/>
    </row>
    <row r="24600">
      <c r="B24600" s="19"/>
      <c r="E24600" s="23"/>
      <c r="L24600" s="23"/>
    </row>
    <row r="24601">
      <c r="B24601" s="19"/>
      <c r="E24601" s="23"/>
      <c r="L24601" s="23"/>
    </row>
    <row r="24602">
      <c r="B24602" s="19"/>
      <c r="E24602" s="23"/>
      <c r="L24602" s="23"/>
    </row>
    <row r="24603">
      <c r="B24603" s="19"/>
      <c r="E24603" s="23"/>
      <c r="L24603" s="23"/>
    </row>
    <row r="24604">
      <c r="B24604" s="19"/>
      <c r="E24604" s="23"/>
      <c r="L24604" s="23"/>
    </row>
    <row r="24605">
      <c r="B24605" s="19"/>
      <c r="E24605" s="23"/>
      <c r="L24605" s="23"/>
    </row>
    <row r="24606">
      <c r="B24606" s="19"/>
      <c r="E24606" s="23"/>
      <c r="L24606" s="23"/>
    </row>
    <row r="24607">
      <c r="B24607" s="19"/>
      <c r="E24607" s="23"/>
      <c r="L24607" s="23"/>
    </row>
    <row r="24608">
      <c r="B24608" s="19"/>
      <c r="E24608" s="23"/>
      <c r="L24608" s="23"/>
    </row>
    <row r="24609">
      <c r="B24609" s="19"/>
      <c r="E24609" s="23"/>
      <c r="L24609" s="23"/>
    </row>
    <row r="24610">
      <c r="B24610" s="19"/>
      <c r="E24610" s="23"/>
      <c r="L24610" s="23"/>
    </row>
    <row r="24611">
      <c r="B24611" s="19"/>
      <c r="E24611" s="23"/>
      <c r="L24611" s="23"/>
    </row>
    <row r="24612">
      <c r="B24612" s="19"/>
      <c r="E24612" s="23"/>
      <c r="L24612" s="23"/>
    </row>
    <row r="24613">
      <c r="B24613" s="19"/>
      <c r="E24613" s="23"/>
      <c r="L24613" s="23"/>
    </row>
    <row r="24614">
      <c r="B24614" s="19"/>
      <c r="E24614" s="23"/>
      <c r="L24614" s="23"/>
    </row>
    <row r="24615">
      <c r="B24615" s="19"/>
      <c r="E24615" s="23"/>
      <c r="L24615" s="23"/>
    </row>
    <row r="24616">
      <c r="B24616" s="19"/>
      <c r="E24616" s="23"/>
      <c r="L24616" s="23"/>
    </row>
    <row r="24617">
      <c r="B24617" s="19"/>
      <c r="E24617" s="23"/>
      <c r="L24617" s="23"/>
    </row>
    <row r="24618">
      <c r="B24618" s="19"/>
      <c r="E24618" s="23"/>
      <c r="L24618" s="23"/>
    </row>
    <row r="24619">
      <c r="B24619" s="19"/>
      <c r="E24619" s="23"/>
      <c r="L24619" s="23"/>
    </row>
    <row r="24620">
      <c r="B24620" s="19"/>
      <c r="E24620" s="23"/>
      <c r="L24620" s="23"/>
    </row>
    <row r="24621">
      <c r="B24621" s="19"/>
      <c r="E24621" s="23"/>
      <c r="L24621" s="23"/>
    </row>
    <row r="24622">
      <c r="B24622" s="19"/>
      <c r="E24622" s="23"/>
      <c r="L24622" s="23"/>
    </row>
    <row r="24623">
      <c r="B24623" s="19"/>
      <c r="E24623" s="23"/>
      <c r="L24623" s="23"/>
    </row>
    <row r="24624">
      <c r="B24624" s="19"/>
      <c r="E24624" s="23"/>
      <c r="L24624" s="23"/>
    </row>
    <row r="24625">
      <c r="B24625" s="19"/>
      <c r="E24625" s="23"/>
      <c r="L24625" s="23"/>
    </row>
    <row r="24626">
      <c r="B24626" s="19"/>
      <c r="E24626" s="23"/>
      <c r="L24626" s="23"/>
    </row>
    <row r="24627">
      <c r="B24627" s="19"/>
      <c r="E24627" s="23"/>
      <c r="L24627" s="23"/>
    </row>
    <row r="24628">
      <c r="B24628" s="19"/>
      <c r="E24628" s="23"/>
      <c r="L24628" s="23"/>
    </row>
    <row r="24629">
      <c r="B24629" s="19"/>
      <c r="E24629" s="23"/>
      <c r="L24629" s="23"/>
    </row>
    <row r="24630">
      <c r="B24630" s="19"/>
      <c r="E24630" s="23"/>
      <c r="L24630" s="23"/>
    </row>
    <row r="24631">
      <c r="B24631" s="19"/>
      <c r="E24631" s="23"/>
      <c r="L24631" s="23"/>
    </row>
    <row r="24632">
      <c r="B24632" s="19"/>
      <c r="E24632" s="23"/>
      <c r="L24632" s="23"/>
    </row>
    <row r="24633">
      <c r="B24633" s="19"/>
      <c r="E24633" s="23"/>
      <c r="L24633" s="23"/>
    </row>
    <row r="24634">
      <c r="B24634" s="19"/>
      <c r="E24634" s="23"/>
      <c r="L24634" s="23"/>
    </row>
    <row r="24635">
      <c r="B24635" s="19"/>
      <c r="E24635" s="23"/>
      <c r="L24635" s="23"/>
    </row>
    <row r="24636">
      <c r="B24636" s="19"/>
      <c r="E24636" s="23"/>
      <c r="L24636" s="23"/>
    </row>
    <row r="24637">
      <c r="B24637" s="19"/>
      <c r="E24637" s="23"/>
      <c r="L24637" s="23"/>
    </row>
    <row r="24638">
      <c r="B24638" s="19"/>
      <c r="E24638" s="23"/>
      <c r="L24638" s="23"/>
    </row>
    <row r="24639">
      <c r="B24639" s="19"/>
      <c r="E24639" s="23"/>
      <c r="L24639" s="23"/>
    </row>
    <row r="24640">
      <c r="B24640" s="19"/>
      <c r="E24640" s="23"/>
      <c r="L24640" s="23"/>
    </row>
    <row r="24641">
      <c r="B24641" s="19"/>
      <c r="E24641" s="23"/>
      <c r="L24641" s="23"/>
    </row>
    <row r="24642">
      <c r="B24642" s="19"/>
      <c r="E24642" s="23"/>
      <c r="L24642" s="23"/>
    </row>
    <row r="24643">
      <c r="B24643" s="19"/>
      <c r="E24643" s="23"/>
      <c r="L24643" s="23"/>
    </row>
    <row r="24644">
      <c r="B24644" s="19"/>
      <c r="E24644" s="23"/>
      <c r="L24644" s="23"/>
    </row>
    <row r="24645">
      <c r="B24645" s="19"/>
      <c r="E24645" s="23"/>
      <c r="L24645" s="23"/>
    </row>
    <row r="24646">
      <c r="B24646" s="19"/>
      <c r="E24646" s="23"/>
      <c r="L24646" s="23"/>
    </row>
    <row r="24647">
      <c r="B24647" s="19"/>
      <c r="E24647" s="23"/>
      <c r="L24647" s="23"/>
    </row>
    <row r="24648">
      <c r="B24648" s="19"/>
      <c r="E24648" s="23"/>
      <c r="L24648" s="23"/>
    </row>
    <row r="24649">
      <c r="B24649" s="19"/>
      <c r="E24649" s="23"/>
      <c r="L24649" s="23"/>
    </row>
    <row r="24650">
      <c r="B24650" s="19"/>
      <c r="E24650" s="23"/>
      <c r="L24650" s="23"/>
    </row>
    <row r="24651">
      <c r="B24651" s="19"/>
      <c r="E24651" s="23"/>
      <c r="L24651" s="23"/>
    </row>
    <row r="24652">
      <c r="B24652" s="19"/>
      <c r="E24652" s="23"/>
      <c r="L24652" s="23"/>
    </row>
    <row r="24653">
      <c r="B24653" s="19"/>
      <c r="E24653" s="23"/>
      <c r="L24653" s="23"/>
    </row>
    <row r="24654">
      <c r="B24654" s="19"/>
      <c r="E24654" s="23"/>
      <c r="L24654" s="23"/>
    </row>
    <row r="24655">
      <c r="B24655" s="19"/>
      <c r="E24655" s="23"/>
      <c r="L24655" s="23"/>
    </row>
    <row r="24656">
      <c r="B24656" s="19"/>
      <c r="E24656" s="23"/>
      <c r="L24656" s="23"/>
    </row>
    <row r="24657">
      <c r="B24657" s="19"/>
      <c r="E24657" s="23"/>
      <c r="L24657" s="23"/>
    </row>
    <row r="24658">
      <c r="B24658" s="19"/>
      <c r="E24658" s="23"/>
      <c r="L24658" s="23"/>
    </row>
    <row r="24659">
      <c r="B24659" s="19"/>
      <c r="E24659" s="23"/>
      <c r="L24659" s="23"/>
    </row>
    <row r="24660">
      <c r="B24660" s="19"/>
      <c r="E24660" s="23"/>
      <c r="L24660" s="23"/>
    </row>
    <row r="24661">
      <c r="B24661" s="19"/>
      <c r="E24661" s="23"/>
      <c r="L24661" s="23"/>
    </row>
    <row r="24662">
      <c r="B24662" s="19"/>
      <c r="E24662" s="23"/>
      <c r="L24662" s="23"/>
    </row>
    <row r="24663">
      <c r="B24663" s="19"/>
      <c r="E24663" s="23"/>
      <c r="L24663" s="23"/>
    </row>
    <row r="24664">
      <c r="B24664" s="19"/>
      <c r="E24664" s="23"/>
      <c r="L24664" s="23"/>
    </row>
    <row r="24665">
      <c r="B24665" s="19"/>
      <c r="E24665" s="23"/>
      <c r="L24665" s="23"/>
    </row>
    <row r="24666">
      <c r="B24666" s="19"/>
      <c r="E24666" s="23"/>
      <c r="L24666" s="23"/>
    </row>
    <row r="24667">
      <c r="B24667" s="19"/>
      <c r="E24667" s="23"/>
      <c r="L24667" s="23"/>
    </row>
    <row r="24668">
      <c r="B24668" s="19"/>
      <c r="E24668" s="23"/>
      <c r="L24668" s="23"/>
    </row>
    <row r="24669">
      <c r="B24669" s="19"/>
      <c r="E24669" s="23"/>
      <c r="L24669" s="23"/>
    </row>
    <row r="24670">
      <c r="B24670" s="19"/>
      <c r="E24670" s="23"/>
      <c r="L24670" s="23"/>
    </row>
    <row r="24671">
      <c r="B24671" s="19"/>
      <c r="E24671" s="23"/>
      <c r="L24671" s="23"/>
    </row>
    <row r="24672">
      <c r="B24672" s="19"/>
      <c r="E24672" s="23"/>
      <c r="L24672" s="23"/>
    </row>
    <row r="24673">
      <c r="B24673" s="19"/>
      <c r="E24673" s="23"/>
      <c r="L24673" s="23"/>
    </row>
    <row r="24674">
      <c r="B24674" s="19"/>
      <c r="E24674" s="23"/>
      <c r="L24674" s="23"/>
    </row>
    <row r="24675">
      <c r="B24675" s="19"/>
      <c r="E24675" s="23"/>
      <c r="L24675" s="23"/>
    </row>
    <row r="24676">
      <c r="B24676" s="19"/>
      <c r="E24676" s="23"/>
      <c r="L24676" s="23"/>
    </row>
    <row r="24677">
      <c r="B24677" s="19"/>
      <c r="E24677" s="23"/>
      <c r="L24677" s="23"/>
    </row>
    <row r="24678">
      <c r="B24678" s="19"/>
      <c r="E24678" s="23"/>
      <c r="L24678" s="23"/>
    </row>
    <row r="24679">
      <c r="B24679" s="19"/>
      <c r="E24679" s="23"/>
      <c r="L24679" s="23"/>
    </row>
    <row r="24680">
      <c r="B24680" s="19"/>
      <c r="E24680" s="23"/>
      <c r="L24680" s="23"/>
    </row>
    <row r="24681">
      <c r="B24681" s="19"/>
      <c r="E24681" s="23"/>
      <c r="L24681" s="23"/>
    </row>
    <row r="24682">
      <c r="B24682" s="19"/>
      <c r="E24682" s="23"/>
      <c r="L24682" s="23"/>
    </row>
    <row r="24683">
      <c r="B24683" s="19"/>
      <c r="E24683" s="23"/>
      <c r="L24683" s="23"/>
    </row>
    <row r="24684">
      <c r="B24684" s="19"/>
      <c r="E24684" s="23"/>
      <c r="L24684" s="23"/>
    </row>
    <row r="24685">
      <c r="B24685" s="19"/>
      <c r="E24685" s="23"/>
      <c r="L24685" s="23"/>
    </row>
    <row r="24686">
      <c r="B24686" s="19"/>
      <c r="E24686" s="23"/>
      <c r="L24686" s="23"/>
    </row>
    <row r="24687">
      <c r="B24687" s="19"/>
      <c r="E24687" s="23"/>
      <c r="L24687" s="23"/>
    </row>
    <row r="24688">
      <c r="B24688" s="19"/>
      <c r="E24688" s="23"/>
      <c r="L24688" s="23"/>
    </row>
    <row r="24689">
      <c r="B24689" s="19"/>
      <c r="E24689" s="23"/>
      <c r="L24689" s="23"/>
    </row>
    <row r="24690">
      <c r="B24690" s="19"/>
      <c r="E24690" s="23"/>
      <c r="L24690" s="23"/>
    </row>
    <row r="24691">
      <c r="B24691" s="19"/>
      <c r="E24691" s="23"/>
      <c r="L24691" s="23"/>
    </row>
    <row r="24692">
      <c r="B24692" s="19"/>
      <c r="E24692" s="23"/>
      <c r="L24692" s="23"/>
    </row>
    <row r="24693">
      <c r="B24693" s="19"/>
      <c r="E24693" s="23"/>
      <c r="L24693" s="23"/>
    </row>
    <row r="24694">
      <c r="B24694" s="19"/>
      <c r="E24694" s="23"/>
      <c r="L24694" s="23"/>
    </row>
    <row r="24695">
      <c r="B24695" s="19"/>
      <c r="E24695" s="23"/>
      <c r="L24695" s="23"/>
    </row>
    <row r="24696">
      <c r="B24696" s="19"/>
      <c r="E24696" s="23"/>
      <c r="L24696" s="23"/>
    </row>
    <row r="24697">
      <c r="B24697" s="19"/>
      <c r="E24697" s="23"/>
      <c r="L24697" s="23"/>
    </row>
    <row r="24698">
      <c r="B24698" s="19"/>
      <c r="E24698" s="23"/>
      <c r="L24698" s="23"/>
    </row>
    <row r="24699">
      <c r="B24699" s="19"/>
      <c r="E24699" s="23"/>
      <c r="L24699" s="23"/>
    </row>
    <row r="24700">
      <c r="B24700" s="19"/>
      <c r="E24700" s="23"/>
      <c r="L24700" s="23"/>
    </row>
    <row r="24701">
      <c r="B24701" s="19"/>
      <c r="E24701" s="23"/>
      <c r="L24701" s="23"/>
    </row>
    <row r="24702">
      <c r="B24702" s="19"/>
      <c r="E24702" s="23"/>
      <c r="L24702" s="23"/>
    </row>
    <row r="24703">
      <c r="B24703" s="19"/>
      <c r="E24703" s="23"/>
      <c r="L24703" s="23"/>
    </row>
    <row r="24704">
      <c r="B24704" s="19"/>
      <c r="E24704" s="23"/>
      <c r="L24704" s="23"/>
    </row>
    <row r="24705">
      <c r="B24705" s="19"/>
      <c r="E24705" s="23"/>
      <c r="L24705" s="23"/>
    </row>
    <row r="24706">
      <c r="B24706" s="19"/>
      <c r="E24706" s="23"/>
      <c r="L24706" s="23"/>
    </row>
    <row r="24707">
      <c r="B24707" s="19"/>
      <c r="E24707" s="23"/>
      <c r="L24707" s="23"/>
    </row>
    <row r="24708">
      <c r="B24708" s="19"/>
      <c r="E24708" s="23"/>
      <c r="L24708" s="23"/>
    </row>
    <row r="24709">
      <c r="B24709" s="19"/>
      <c r="E24709" s="23"/>
      <c r="L24709" s="23"/>
    </row>
    <row r="24710">
      <c r="B24710" s="19"/>
      <c r="E24710" s="23"/>
      <c r="L24710" s="23"/>
    </row>
    <row r="24711">
      <c r="B24711" s="19"/>
      <c r="E24711" s="23"/>
      <c r="L24711" s="23"/>
    </row>
    <row r="24712">
      <c r="B24712" s="19"/>
      <c r="E24712" s="23"/>
      <c r="L24712" s="23"/>
    </row>
    <row r="24713">
      <c r="B24713" s="19"/>
      <c r="E24713" s="23"/>
      <c r="L24713" s="23"/>
    </row>
    <row r="24714">
      <c r="B24714" s="19"/>
      <c r="E24714" s="23"/>
      <c r="L24714" s="23"/>
    </row>
    <row r="24715">
      <c r="B24715" s="19"/>
      <c r="E24715" s="23"/>
      <c r="L24715" s="23"/>
    </row>
    <row r="24716">
      <c r="B24716" s="19"/>
      <c r="E24716" s="23"/>
      <c r="L24716" s="23"/>
    </row>
    <row r="24717">
      <c r="B24717" s="19"/>
      <c r="E24717" s="23"/>
      <c r="L24717" s="23"/>
    </row>
    <row r="24718">
      <c r="B24718" s="19"/>
      <c r="E24718" s="23"/>
      <c r="L24718" s="23"/>
    </row>
    <row r="24719">
      <c r="B24719" s="19"/>
      <c r="E24719" s="23"/>
      <c r="L24719" s="23"/>
    </row>
    <row r="24720">
      <c r="B24720" s="19"/>
      <c r="E24720" s="23"/>
      <c r="L24720" s="23"/>
    </row>
    <row r="24721">
      <c r="B24721" s="19"/>
      <c r="E24721" s="23"/>
      <c r="L24721" s="23"/>
    </row>
    <row r="24722">
      <c r="B24722" s="19"/>
      <c r="E24722" s="23"/>
      <c r="L24722" s="23"/>
    </row>
    <row r="24723">
      <c r="B24723" s="19"/>
      <c r="E24723" s="23"/>
      <c r="L24723" s="23"/>
    </row>
    <row r="24724">
      <c r="B24724" s="19"/>
      <c r="E24724" s="23"/>
      <c r="L24724" s="23"/>
    </row>
    <row r="24725">
      <c r="B24725" s="19"/>
      <c r="E24725" s="23"/>
      <c r="L24725" s="23"/>
    </row>
    <row r="24726">
      <c r="B24726" s="19"/>
      <c r="E24726" s="23"/>
      <c r="L24726" s="23"/>
    </row>
    <row r="24727">
      <c r="B24727" s="19"/>
      <c r="E24727" s="23"/>
      <c r="L24727" s="23"/>
    </row>
    <row r="24728">
      <c r="B24728" s="19"/>
      <c r="E24728" s="23"/>
      <c r="L24728" s="23"/>
    </row>
    <row r="24729">
      <c r="B24729" s="19"/>
      <c r="E24729" s="23"/>
      <c r="L24729" s="23"/>
    </row>
    <row r="24730">
      <c r="B24730" s="19"/>
      <c r="E24730" s="23"/>
      <c r="L24730" s="23"/>
    </row>
    <row r="24731">
      <c r="B24731" s="19"/>
      <c r="E24731" s="23"/>
      <c r="L24731" s="23"/>
    </row>
    <row r="24732">
      <c r="B24732" s="19"/>
      <c r="E24732" s="23"/>
      <c r="L24732" s="23"/>
    </row>
    <row r="24733">
      <c r="B24733" s="19"/>
      <c r="E24733" s="23"/>
      <c r="L24733" s="23"/>
    </row>
    <row r="24734">
      <c r="B24734" s="19"/>
      <c r="E24734" s="23"/>
      <c r="L24734" s="23"/>
    </row>
    <row r="24735">
      <c r="B24735" s="19"/>
      <c r="E24735" s="23"/>
      <c r="L24735" s="23"/>
    </row>
    <row r="24736">
      <c r="B24736" s="19"/>
      <c r="E24736" s="23"/>
      <c r="L24736" s="23"/>
    </row>
    <row r="24737">
      <c r="B24737" s="19"/>
      <c r="E24737" s="23"/>
      <c r="L24737" s="23"/>
    </row>
    <row r="24738">
      <c r="B24738" s="19"/>
      <c r="E24738" s="23"/>
      <c r="L24738" s="23"/>
    </row>
    <row r="24739">
      <c r="B24739" s="19"/>
      <c r="E24739" s="23"/>
      <c r="L24739" s="23"/>
    </row>
    <row r="24740">
      <c r="B24740" s="19"/>
      <c r="E24740" s="23"/>
      <c r="L24740" s="23"/>
    </row>
    <row r="24741">
      <c r="B24741" s="19"/>
      <c r="E24741" s="23"/>
      <c r="L24741" s="23"/>
    </row>
    <row r="24742">
      <c r="B24742" s="19"/>
      <c r="E24742" s="23"/>
      <c r="L24742" s="23"/>
    </row>
    <row r="24743">
      <c r="B24743" s="19"/>
      <c r="E24743" s="23"/>
      <c r="L24743" s="23"/>
    </row>
    <row r="24744">
      <c r="B24744" s="19"/>
      <c r="E24744" s="23"/>
      <c r="L24744" s="23"/>
    </row>
    <row r="24745">
      <c r="B24745" s="19"/>
      <c r="E24745" s="23"/>
      <c r="L24745" s="23"/>
    </row>
    <row r="24746">
      <c r="B24746" s="19"/>
      <c r="E24746" s="23"/>
      <c r="L24746" s="23"/>
    </row>
    <row r="24747">
      <c r="B24747" s="19"/>
      <c r="E24747" s="23"/>
      <c r="L24747" s="23"/>
    </row>
    <row r="24748">
      <c r="B24748" s="19"/>
      <c r="E24748" s="23"/>
      <c r="L24748" s="23"/>
    </row>
    <row r="24749">
      <c r="B24749" s="19"/>
      <c r="E24749" s="23"/>
      <c r="L24749" s="23"/>
    </row>
    <row r="24750">
      <c r="B24750" s="19"/>
      <c r="E24750" s="23"/>
      <c r="L24750" s="23"/>
    </row>
    <row r="24751">
      <c r="B24751" s="19"/>
      <c r="E24751" s="23"/>
      <c r="L24751" s="23"/>
    </row>
    <row r="24752">
      <c r="B24752" s="19"/>
      <c r="E24752" s="23"/>
      <c r="L24752" s="23"/>
    </row>
    <row r="24753">
      <c r="B24753" s="19"/>
      <c r="E24753" s="23"/>
      <c r="L24753" s="23"/>
    </row>
    <row r="24754">
      <c r="B24754" s="19"/>
      <c r="E24754" s="23"/>
      <c r="L24754" s="23"/>
    </row>
    <row r="24755">
      <c r="B24755" s="19"/>
      <c r="E24755" s="23"/>
      <c r="L24755" s="23"/>
    </row>
    <row r="24756">
      <c r="B24756" s="19"/>
      <c r="E24756" s="23"/>
      <c r="L24756" s="23"/>
    </row>
    <row r="24757">
      <c r="B24757" s="19"/>
      <c r="E24757" s="23"/>
      <c r="L24757" s="23"/>
    </row>
    <row r="24758">
      <c r="B24758" s="19"/>
      <c r="E24758" s="23"/>
      <c r="L24758" s="23"/>
    </row>
    <row r="24759">
      <c r="B24759" s="19"/>
      <c r="E24759" s="23"/>
      <c r="L24759" s="23"/>
    </row>
    <row r="24760">
      <c r="B24760" s="19"/>
      <c r="E24760" s="23"/>
      <c r="L24760" s="23"/>
    </row>
    <row r="24761">
      <c r="B24761" s="19"/>
      <c r="E24761" s="23"/>
      <c r="L24761" s="23"/>
    </row>
    <row r="24762">
      <c r="B24762" s="19"/>
      <c r="E24762" s="23"/>
      <c r="L24762" s="23"/>
    </row>
    <row r="24763">
      <c r="B24763" s="19"/>
      <c r="E24763" s="23"/>
      <c r="L24763" s="23"/>
    </row>
    <row r="24764">
      <c r="B24764" s="19"/>
      <c r="E24764" s="23"/>
      <c r="L24764" s="23"/>
    </row>
    <row r="24765">
      <c r="B24765" s="19"/>
      <c r="E24765" s="23"/>
      <c r="L24765" s="23"/>
    </row>
    <row r="24766">
      <c r="B24766" s="19"/>
      <c r="E24766" s="23"/>
      <c r="L24766" s="23"/>
    </row>
    <row r="24767">
      <c r="B24767" s="19"/>
      <c r="E24767" s="23"/>
      <c r="L24767" s="23"/>
    </row>
    <row r="24768">
      <c r="B24768" s="19"/>
      <c r="E24768" s="23"/>
      <c r="L24768" s="23"/>
    </row>
    <row r="24769">
      <c r="B24769" s="19"/>
      <c r="E24769" s="23"/>
      <c r="L24769" s="23"/>
    </row>
    <row r="24770">
      <c r="B24770" s="19"/>
      <c r="E24770" s="23"/>
      <c r="L24770" s="23"/>
    </row>
    <row r="24771">
      <c r="B24771" s="19"/>
      <c r="E24771" s="23"/>
      <c r="L24771" s="23"/>
    </row>
    <row r="24772">
      <c r="B24772" s="19"/>
      <c r="E24772" s="23"/>
      <c r="L24772" s="23"/>
    </row>
    <row r="24773">
      <c r="B24773" s="19"/>
      <c r="E24773" s="23"/>
      <c r="L24773" s="23"/>
    </row>
    <row r="24774">
      <c r="B24774" s="19"/>
      <c r="E24774" s="23"/>
      <c r="L24774" s="23"/>
    </row>
    <row r="24775">
      <c r="B24775" s="19"/>
      <c r="E24775" s="23"/>
      <c r="L24775" s="23"/>
    </row>
    <row r="24776">
      <c r="B24776" s="19"/>
      <c r="E24776" s="23"/>
      <c r="L24776" s="23"/>
    </row>
    <row r="24777">
      <c r="B24777" s="19"/>
      <c r="E24777" s="23"/>
      <c r="L24777" s="23"/>
    </row>
    <row r="24778">
      <c r="B24778" s="19"/>
      <c r="E24778" s="23"/>
      <c r="L24778" s="23"/>
    </row>
    <row r="24779">
      <c r="B24779" s="19"/>
      <c r="E24779" s="23"/>
      <c r="L24779" s="23"/>
    </row>
    <row r="24780">
      <c r="B24780" s="19"/>
      <c r="E24780" s="23"/>
      <c r="L24780" s="23"/>
    </row>
    <row r="24781">
      <c r="B24781" s="19"/>
      <c r="E24781" s="23"/>
      <c r="L24781" s="23"/>
    </row>
    <row r="24782">
      <c r="B24782" s="19"/>
      <c r="E24782" s="23"/>
      <c r="L24782" s="23"/>
    </row>
    <row r="24783">
      <c r="B24783" s="19"/>
      <c r="E24783" s="23"/>
      <c r="L24783" s="23"/>
    </row>
    <row r="24784">
      <c r="B24784" s="19"/>
      <c r="E24784" s="23"/>
      <c r="L24784" s="23"/>
    </row>
    <row r="24785">
      <c r="B24785" s="19"/>
      <c r="E24785" s="23"/>
      <c r="L24785" s="23"/>
    </row>
    <row r="24786">
      <c r="B24786" s="19"/>
      <c r="E24786" s="23"/>
      <c r="L24786" s="23"/>
    </row>
    <row r="24787">
      <c r="B24787" s="19"/>
      <c r="E24787" s="23"/>
      <c r="L24787" s="23"/>
    </row>
    <row r="24788">
      <c r="B24788" s="19"/>
      <c r="E24788" s="23"/>
      <c r="L24788" s="23"/>
    </row>
    <row r="24789">
      <c r="B24789" s="19"/>
      <c r="E24789" s="23"/>
      <c r="L24789" s="23"/>
    </row>
    <row r="24790">
      <c r="B24790" s="19"/>
      <c r="E24790" s="23"/>
      <c r="L24790" s="23"/>
    </row>
    <row r="24791">
      <c r="B24791" s="19"/>
      <c r="E24791" s="23"/>
      <c r="L24791" s="23"/>
    </row>
    <row r="24792">
      <c r="B24792" s="19"/>
      <c r="E24792" s="23"/>
      <c r="L24792" s="23"/>
    </row>
    <row r="24793">
      <c r="B24793" s="19"/>
      <c r="E24793" s="23"/>
      <c r="L24793" s="23"/>
    </row>
    <row r="24794">
      <c r="B24794" s="19"/>
      <c r="E24794" s="23"/>
      <c r="L24794" s="23"/>
    </row>
    <row r="24795">
      <c r="B24795" s="19"/>
      <c r="E24795" s="23"/>
      <c r="L24795" s="23"/>
    </row>
    <row r="24796">
      <c r="B24796" s="19"/>
      <c r="E24796" s="23"/>
      <c r="L24796" s="23"/>
    </row>
    <row r="24797">
      <c r="B24797" s="19"/>
      <c r="E24797" s="23"/>
      <c r="L24797" s="23"/>
    </row>
    <row r="24798">
      <c r="B24798" s="19"/>
      <c r="E24798" s="23"/>
      <c r="L24798" s="23"/>
    </row>
    <row r="24799">
      <c r="B24799" s="19"/>
      <c r="E24799" s="23"/>
      <c r="L24799" s="23"/>
    </row>
    <row r="24800">
      <c r="B24800" s="19"/>
      <c r="E24800" s="23"/>
      <c r="L24800" s="23"/>
    </row>
    <row r="24801">
      <c r="B24801" s="19"/>
      <c r="E24801" s="23"/>
      <c r="L24801" s="23"/>
    </row>
    <row r="24802">
      <c r="B24802" s="19"/>
      <c r="E24802" s="23"/>
      <c r="L24802" s="23"/>
    </row>
    <row r="24803">
      <c r="B24803" s="19"/>
      <c r="E24803" s="23"/>
      <c r="L24803" s="23"/>
    </row>
    <row r="24804">
      <c r="B24804" s="19"/>
      <c r="E24804" s="23"/>
      <c r="L24804" s="23"/>
    </row>
    <row r="24805">
      <c r="B24805" s="19"/>
      <c r="E24805" s="23"/>
      <c r="L24805" s="23"/>
    </row>
    <row r="24806">
      <c r="B24806" s="19"/>
      <c r="E24806" s="23"/>
      <c r="L24806" s="23"/>
    </row>
    <row r="24807">
      <c r="B24807" s="19"/>
      <c r="E24807" s="23"/>
      <c r="L24807" s="23"/>
    </row>
    <row r="24808">
      <c r="B24808" s="19"/>
      <c r="E24808" s="23"/>
      <c r="L24808" s="23"/>
    </row>
    <row r="24809">
      <c r="B24809" s="19"/>
      <c r="E24809" s="23"/>
      <c r="L24809" s="23"/>
    </row>
    <row r="24810">
      <c r="B24810" s="19"/>
      <c r="E24810" s="23"/>
      <c r="L24810" s="23"/>
    </row>
    <row r="24811">
      <c r="B24811" s="19"/>
      <c r="E24811" s="23"/>
      <c r="L24811" s="23"/>
    </row>
    <row r="24812">
      <c r="B24812" s="19"/>
      <c r="E24812" s="23"/>
      <c r="L24812" s="23"/>
    </row>
    <row r="24813">
      <c r="B24813" s="19"/>
      <c r="E24813" s="23"/>
      <c r="L24813" s="23"/>
    </row>
    <row r="24814">
      <c r="B24814" s="19"/>
      <c r="E24814" s="23"/>
      <c r="L24814" s="23"/>
    </row>
    <row r="24815">
      <c r="B24815" s="19"/>
      <c r="E24815" s="23"/>
      <c r="L24815" s="23"/>
    </row>
    <row r="24816">
      <c r="B24816" s="19"/>
      <c r="E24816" s="23"/>
      <c r="L24816" s="23"/>
    </row>
    <row r="24817">
      <c r="B24817" s="19"/>
      <c r="E24817" s="23"/>
      <c r="L24817" s="23"/>
    </row>
    <row r="24818">
      <c r="B24818" s="19"/>
      <c r="E24818" s="23"/>
      <c r="L24818" s="23"/>
    </row>
    <row r="24819">
      <c r="B24819" s="19"/>
      <c r="E24819" s="23"/>
      <c r="L24819" s="23"/>
    </row>
    <row r="24820">
      <c r="B24820" s="19"/>
      <c r="E24820" s="23"/>
      <c r="L24820" s="23"/>
    </row>
    <row r="24821">
      <c r="B24821" s="19"/>
      <c r="E24821" s="23"/>
      <c r="L24821" s="23"/>
    </row>
    <row r="24822">
      <c r="B24822" s="19"/>
      <c r="E24822" s="23"/>
      <c r="L24822" s="23"/>
    </row>
    <row r="24823">
      <c r="B24823" s="19"/>
      <c r="E24823" s="23"/>
      <c r="L24823" s="23"/>
    </row>
    <row r="24824">
      <c r="B24824" s="19"/>
      <c r="E24824" s="23"/>
      <c r="L24824" s="23"/>
    </row>
    <row r="24825">
      <c r="B24825" s="19"/>
      <c r="E24825" s="23"/>
      <c r="L24825" s="23"/>
    </row>
    <row r="24826">
      <c r="B24826" s="19"/>
      <c r="E24826" s="23"/>
      <c r="L24826" s="23"/>
    </row>
    <row r="24827">
      <c r="B24827" s="19"/>
      <c r="E24827" s="23"/>
      <c r="L24827" s="23"/>
    </row>
    <row r="24828">
      <c r="B24828" s="19"/>
      <c r="E24828" s="23"/>
      <c r="L24828" s="23"/>
    </row>
    <row r="24829">
      <c r="B24829" s="19"/>
      <c r="E24829" s="23"/>
      <c r="L24829" s="23"/>
    </row>
    <row r="24830">
      <c r="B24830" s="19"/>
      <c r="E24830" s="23"/>
      <c r="L24830" s="23"/>
    </row>
    <row r="24831">
      <c r="B24831" s="19"/>
      <c r="E24831" s="23"/>
      <c r="L24831" s="23"/>
    </row>
    <row r="24832">
      <c r="B24832" s="19"/>
      <c r="E24832" s="23"/>
      <c r="L24832" s="23"/>
    </row>
    <row r="24833">
      <c r="B24833" s="19"/>
      <c r="E24833" s="23"/>
      <c r="L24833" s="23"/>
    </row>
    <row r="24834">
      <c r="B24834" s="19"/>
      <c r="E24834" s="23"/>
      <c r="L24834" s="23"/>
    </row>
    <row r="24835">
      <c r="B24835" s="19"/>
      <c r="E24835" s="23"/>
      <c r="L24835" s="23"/>
    </row>
    <row r="24836">
      <c r="B24836" s="19"/>
      <c r="E24836" s="23"/>
      <c r="L24836" s="23"/>
    </row>
    <row r="24837">
      <c r="B24837" s="19"/>
      <c r="E24837" s="23"/>
      <c r="L24837" s="23"/>
    </row>
    <row r="24838">
      <c r="B24838" s="19"/>
      <c r="E24838" s="23"/>
      <c r="L24838" s="23"/>
    </row>
    <row r="24839">
      <c r="B24839" s="19"/>
      <c r="E24839" s="23"/>
      <c r="L24839" s="23"/>
    </row>
    <row r="24840">
      <c r="B24840" s="19"/>
      <c r="E24840" s="23"/>
      <c r="L24840" s="23"/>
    </row>
    <row r="24841">
      <c r="B24841" s="19"/>
      <c r="E24841" s="23"/>
      <c r="L24841" s="23"/>
    </row>
    <row r="24842">
      <c r="B24842" s="19"/>
      <c r="E24842" s="23"/>
      <c r="L24842" s="23"/>
    </row>
    <row r="24843">
      <c r="B24843" s="19"/>
      <c r="E24843" s="23"/>
      <c r="L24843" s="23"/>
    </row>
    <row r="24844">
      <c r="B24844" s="19"/>
      <c r="E24844" s="23"/>
      <c r="L24844" s="23"/>
    </row>
    <row r="24845">
      <c r="B24845" s="19"/>
      <c r="E24845" s="23"/>
      <c r="L24845" s="23"/>
    </row>
    <row r="24846">
      <c r="B24846" s="19"/>
      <c r="E24846" s="23"/>
      <c r="L24846" s="23"/>
    </row>
    <row r="24847">
      <c r="B24847" s="19"/>
      <c r="E24847" s="23"/>
      <c r="L24847" s="23"/>
    </row>
    <row r="24848">
      <c r="B24848" s="19"/>
      <c r="E24848" s="23"/>
      <c r="L24848" s="23"/>
    </row>
    <row r="24849">
      <c r="B24849" s="19"/>
      <c r="E24849" s="23"/>
      <c r="L24849" s="23"/>
    </row>
    <row r="24850">
      <c r="B24850" s="19"/>
      <c r="E24850" s="23"/>
      <c r="L24850" s="23"/>
    </row>
    <row r="24851">
      <c r="B24851" s="19"/>
      <c r="E24851" s="23"/>
      <c r="L24851" s="23"/>
    </row>
    <row r="24852">
      <c r="B24852" s="19"/>
      <c r="E24852" s="23"/>
      <c r="L24852" s="23"/>
    </row>
    <row r="24853">
      <c r="B24853" s="19"/>
      <c r="E24853" s="23"/>
      <c r="L24853" s="23"/>
    </row>
    <row r="24854">
      <c r="B24854" s="19"/>
      <c r="E24854" s="23"/>
      <c r="L24854" s="23"/>
    </row>
    <row r="24855">
      <c r="B24855" s="19"/>
      <c r="E24855" s="23"/>
      <c r="L24855" s="23"/>
    </row>
    <row r="24856">
      <c r="B24856" s="19"/>
      <c r="E24856" s="23"/>
      <c r="L24856" s="23"/>
    </row>
    <row r="24857">
      <c r="B24857" s="19"/>
      <c r="E24857" s="23"/>
      <c r="L24857" s="23"/>
    </row>
    <row r="24858">
      <c r="B24858" s="19"/>
      <c r="E24858" s="23"/>
      <c r="L24858" s="23"/>
    </row>
    <row r="24859">
      <c r="B24859" s="19"/>
      <c r="E24859" s="23"/>
      <c r="L24859" s="23"/>
    </row>
    <row r="24860">
      <c r="B24860" s="19"/>
      <c r="E24860" s="23"/>
      <c r="L24860" s="23"/>
    </row>
    <row r="24861">
      <c r="B24861" s="19"/>
      <c r="E24861" s="23"/>
      <c r="L24861" s="23"/>
    </row>
    <row r="24862">
      <c r="B24862" s="19"/>
      <c r="E24862" s="23"/>
      <c r="L24862" s="23"/>
    </row>
    <row r="24863">
      <c r="B24863" s="19"/>
      <c r="E24863" s="23"/>
      <c r="L24863" s="23"/>
    </row>
    <row r="24864">
      <c r="B24864" s="19"/>
      <c r="E24864" s="23"/>
      <c r="L24864" s="23"/>
    </row>
    <row r="24865">
      <c r="B24865" s="19"/>
      <c r="E24865" s="23"/>
      <c r="L24865" s="23"/>
    </row>
    <row r="24866">
      <c r="B24866" s="19"/>
      <c r="E24866" s="23"/>
      <c r="L24866" s="23"/>
    </row>
    <row r="24867">
      <c r="B24867" s="19"/>
      <c r="E24867" s="23"/>
      <c r="L24867" s="23"/>
    </row>
    <row r="24868">
      <c r="B24868" s="19"/>
      <c r="E24868" s="23"/>
      <c r="L24868" s="23"/>
    </row>
    <row r="24869">
      <c r="B24869" s="19"/>
      <c r="E24869" s="23"/>
      <c r="L24869" s="23"/>
    </row>
    <row r="24870">
      <c r="B24870" s="19"/>
      <c r="E24870" s="23"/>
      <c r="L24870" s="23"/>
    </row>
    <row r="24871">
      <c r="B24871" s="19"/>
      <c r="E24871" s="23"/>
      <c r="L24871" s="23"/>
    </row>
    <row r="24872">
      <c r="B24872" s="19"/>
      <c r="E24872" s="23"/>
      <c r="L24872" s="23"/>
    </row>
    <row r="24873">
      <c r="B24873" s="19"/>
      <c r="E24873" s="23"/>
      <c r="L24873" s="23"/>
    </row>
    <row r="24874">
      <c r="B24874" s="19"/>
      <c r="E24874" s="23"/>
      <c r="L24874" s="23"/>
    </row>
    <row r="24875">
      <c r="B24875" s="19"/>
      <c r="E24875" s="23"/>
      <c r="L24875" s="23"/>
    </row>
    <row r="24876">
      <c r="B24876" s="19"/>
      <c r="E24876" s="23"/>
      <c r="L24876" s="23"/>
    </row>
    <row r="24877">
      <c r="B24877" s="19"/>
      <c r="E24877" s="23"/>
      <c r="L24877" s="23"/>
    </row>
    <row r="24878">
      <c r="B24878" s="19"/>
      <c r="E24878" s="23"/>
      <c r="L24878" s="23"/>
    </row>
    <row r="24879">
      <c r="B24879" s="19"/>
      <c r="E24879" s="23"/>
      <c r="L24879" s="23"/>
    </row>
    <row r="24880">
      <c r="B24880" s="19"/>
      <c r="E24880" s="23"/>
      <c r="L24880" s="23"/>
    </row>
    <row r="24881">
      <c r="B24881" s="19"/>
      <c r="E24881" s="23"/>
      <c r="L24881" s="23"/>
    </row>
    <row r="24882">
      <c r="B24882" s="19"/>
      <c r="E24882" s="23"/>
      <c r="L24882" s="23"/>
    </row>
    <row r="24883">
      <c r="B24883" s="19"/>
      <c r="E24883" s="23"/>
      <c r="L24883" s="23"/>
    </row>
    <row r="24884">
      <c r="B24884" s="19"/>
      <c r="E24884" s="23"/>
      <c r="L24884" s="23"/>
    </row>
    <row r="24885">
      <c r="B24885" s="19"/>
      <c r="E24885" s="23"/>
      <c r="L24885" s="23"/>
    </row>
    <row r="24886">
      <c r="B24886" s="19"/>
      <c r="E24886" s="23"/>
      <c r="L24886" s="23"/>
    </row>
    <row r="24887">
      <c r="B24887" s="19"/>
      <c r="E24887" s="23"/>
      <c r="L24887" s="23"/>
    </row>
    <row r="24888">
      <c r="B24888" s="19"/>
      <c r="E24888" s="23"/>
      <c r="L24888" s="23"/>
    </row>
    <row r="24889">
      <c r="B24889" s="19"/>
      <c r="E24889" s="23"/>
      <c r="L24889" s="23"/>
    </row>
    <row r="24890">
      <c r="B24890" s="19"/>
      <c r="E24890" s="23"/>
      <c r="L24890" s="23"/>
    </row>
    <row r="24891">
      <c r="B24891" s="19"/>
      <c r="E24891" s="23"/>
      <c r="L24891" s="23"/>
    </row>
    <row r="24892">
      <c r="B24892" s="19"/>
      <c r="E24892" s="23"/>
      <c r="L24892" s="23"/>
    </row>
    <row r="24893">
      <c r="B24893" s="19"/>
      <c r="E24893" s="23"/>
      <c r="L24893" s="23"/>
    </row>
    <row r="24894">
      <c r="B24894" s="19"/>
      <c r="E24894" s="23"/>
      <c r="L24894" s="23"/>
    </row>
    <row r="24895">
      <c r="B24895" s="19"/>
      <c r="E24895" s="23"/>
      <c r="L24895" s="23"/>
    </row>
    <row r="24896">
      <c r="B24896" s="19"/>
      <c r="E24896" s="23"/>
      <c r="L24896" s="23"/>
    </row>
    <row r="24897">
      <c r="B24897" s="19"/>
      <c r="E24897" s="23"/>
      <c r="L24897" s="23"/>
    </row>
    <row r="24898">
      <c r="B24898" s="19"/>
      <c r="E24898" s="23"/>
      <c r="L24898" s="23"/>
    </row>
    <row r="24899">
      <c r="B24899" s="19"/>
      <c r="E24899" s="23"/>
      <c r="L24899" s="23"/>
    </row>
    <row r="24900">
      <c r="B24900" s="19"/>
      <c r="E24900" s="23"/>
      <c r="L24900" s="23"/>
    </row>
    <row r="24901">
      <c r="B24901" s="19"/>
      <c r="E24901" s="23"/>
      <c r="L24901" s="23"/>
    </row>
    <row r="24902">
      <c r="B24902" s="19"/>
      <c r="E24902" s="23"/>
      <c r="L24902" s="23"/>
    </row>
    <row r="24903">
      <c r="B24903" s="19"/>
      <c r="E24903" s="23"/>
      <c r="L24903" s="23"/>
    </row>
    <row r="24904">
      <c r="B24904" s="19"/>
      <c r="E24904" s="23"/>
      <c r="L24904" s="23"/>
    </row>
    <row r="24905">
      <c r="B24905" s="19"/>
      <c r="E24905" s="23"/>
      <c r="L24905" s="23"/>
    </row>
    <row r="24906">
      <c r="B24906" s="19"/>
      <c r="E24906" s="23"/>
      <c r="L24906" s="23"/>
    </row>
    <row r="24907">
      <c r="B24907" s="19"/>
      <c r="E24907" s="23"/>
      <c r="L24907" s="23"/>
    </row>
    <row r="24908">
      <c r="B24908" s="19"/>
      <c r="E24908" s="23"/>
      <c r="L24908" s="23"/>
    </row>
    <row r="24909">
      <c r="B24909" s="19"/>
      <c r="E24909" s="23"/>
      <c r="L24909" s="23"/>
    </row>
    <row r="24910">
      <c r="B24910" s="19"/>
      <c r="E24910" s="23"/>
      <c r="L24910" s="23"/>
    </row>
    <row r="24911">
      <c r="B24911" s="19"/>
      <c r="E24911" s="23"/>
      <c r="L24911" s="23"/>
    </row>
    <row r="24912">
      <c r="B24912" s="19"/>
      <c r="E24912" s="23"/>
      <c r="L24912" s="23"/>
    </row>
    <row r="24913">
      <c r="B24913" s="19"/>
      <c r="E24913" s="23"/>
      <c r="L24913" s="23"/>
    </row>
    <row r="24914">
      <c r="B24914" s="19"/>
      <c r="E24914" s="23"/>
      <c r="L24914" s="23"/>
    </row>
    <row r="24915">
      <c r="B24915" s="19"/>
      <c r="E24915" s="23"/>
      <c r="L24915" s="23"/>
    </row>
    <row r="24916">
      <c r="B24916" s="19"/>
      <c r="E24916" s="23"/>
      <c r="L24916" s="23"/>
    </row>
    <row r="24917">
      <c r="B24917" s="19"/>
      <c r="E24917" s="23"/>
      <c r="L24917" s="23"/>
    </row>
    <row r="24918">
      <c r="B24918" s="19"/>
      <c r="E24918" s="23"/>
      <c r="L24918" s="23"/>
    </row>
    <row r="24919">
      <c r="B24919" s="19"/>
      <c r="E24919" s="23"/>
      <c r="L24919" s="23"/>
    </row>
    <row r="24920">
      <c r="B24920" s="19"/>
      <c r="E24920" s="23"/>
      <c r="L24920" s="23"/>
    </row>
    <row r="24921">
      <c r="B24921" s="19"/>
      <c r="E24921" s="23"/>
      <c r="L24921" s="23"/>
    </row>
    <row r="24922">
      <c r="B24922" s="19"/>
      <c r="E24922" s="23"/>
      <c r="L24922" s="23"/>
    </row>
    <row r="24923">
      <c r="B24923" s="19"/>
      <c r="E24923" s="23"/>
      <c r="L24923" s="23"/>
    </row>
    <row r="24924">
      <c r="B24924" s="19"/>
      <c r="E24924" s="23"/>
      <c r="L24924" s="23"/>
    </row>
    <row r="24925">
      <c r="B24925" s="19"/>
      <c r="E24925" s="23"/>
      <c r="L24925" s="23"/>
    </row>
    <row r="24926">
      <c r="B24926" s="19"/>
      <c r="E24926" s="23"/>
      <c r="L24926" s="23"/>
    </row>
    <row r="24927">
      <c r="B24927" s="19"/>
      <c r="E24927" s="23"/>
      <c r="L24927" s="23"/>
    </row>
    <row r="24928">
      <c r="B24928" s="19"/>
      <c r="E24928" s="23"/>
      <c r="L24928" s="23"/>
    </row>
    <row r="24929">
      <c r="B24929" s="19"/>
      <c r="E24929" s="23"/>
      <c r="L24929" s="23"/>
    </row>
    <row r="24930">
      <c r="B24930" s="19"/>
      <c r="E24930" s="23"/>
      <c r="L24930" s="23"/>
    </row>
    <row r="24931">
      <c r="B24931" s="19"/>
      <c r="E24931" s="23"/>
      <c r="L24931" s="23"/>
    </row>
    <row r="24932">
      <c r="B24932" s="19"/>
      <c r="E24932" s="23"/>
      <c r="L24932" s="23"/>
    </row>
    <row r="24933">
      <c r="B24933" s="19"/>
      <c r="E24933" s="23"/>
      <c r="L24933" s="23"/>
    </row>
    <row r="24934">
      <c r="B24934" s="19"/>
      <c r="E24934" s="23"/>
      <c r="L24934" s="23"/>
    </row>
    <row r="24935">
      <c r="B24935" s="19"/>
      <c r="E24935" s="23"/>
      <c r="L24935" s="23"/>
    </row>
    <row r="24936">
      <c r="B24936" s="19"/>
      <c r="E24936" s="23"/>
      <c r="L24936" s="23"/>
    </row>
    <row r="24937">
      <c r="B24937" s="19"/>
      <c r="E24937" s="23"/>
      <c r="L24937" s="23"/>
    </row>
    <row r="24938">
      <c r="B24938" s="19"/>
      <c r="E24938" s="23"/>
      <c r="L24938" s="23"/>
    </row>
    <row r="24939">
      <c r="B24939" s="19"/>
      <c r="E24939" s="23"/>
      <c r="L24939" s="23"/>
    </row>
    <row r="24940">
      <c r="B24940" s="19"/>
      <c r="E24940" s="23"/>
      <c r="L24940" s="23"/>
    </row>
    <row r="24941">
      <c r="B24941" s="19"/>
      <c r="E24941" s="23"/>
      <c r="L24941" s="23"/>
    </row>
    <row r="24942">
      <c r="B24942" s="19"/>
      <c r="E24942" s="23"/>
      <c r="L24942" s="23"/>
    </row>
    <row r="24943">
      <c r="B24943" s="19"/>
      <c r="E24943" s="23"/>
      <c r="L24943" s="23"/>
    </row>
    <row r="24944">
      <c r="B24944" s="19"/>
      <c r="E24944" s="23"/>
      <c r="L24944" s="23"/>
    </row>
    <row r="24945">
      <c r="B24945" s="19"/>
      <c r="E24945" s="23"/>
      <c r="L24945" s="23"/>
    </row>
    <row r="24946">
      <c r="B24946" s="19"/>
      <c r="E24946" s="23"/>
      <c r="L24946" s="23"/>
    </row>
    <row r="24947">
      <c r="B24947" s="19"/>
      <c r="E24947" s="23"/>
      <c r="L24947" s="23"/>
    </row>
    <row r="24948">
      <c r="B24948" s="19"/>
      <c r="E24948" s="23"/>
      <c r="L24948" s="23"/>
    </row>
    <row r="24949">
      <c r="B24949" s="19"/>
      <c r="E24949" s="23"/>
      <c r="L24949" s="23"/>
    </row>
    <row r="24950">
      <c r="B24950" s="19"/>
      <c r="E24950" s="23"/>
      <c r="L24950" s="23"/>
    </row>
    <row r="24951">
      <c r="B24951" s="19"/>
      <c r="E24951" s="23"/>
      <c r="L24951" s="23"/>
    </row>
    <row r="24952">
      <c r="B24952" s="19"/>
      <c r="E24952" s="23"/>
      <c r="L24952" s="23"/>
    </row>
    <row r="24953">
      <c r="B24953" s="19"/>
      <c r="E24953" s="23"/>
      <c r="L24953" s="23"/>
    </row>
    <row r="24954">
      <c r="B24954" s="19"/>
      <c r="E24954" s="23"/>
      <c r="L24954" s="23"/>
    </row>
    <row r="24955">
      <c r="B24955" s="19"/>
      <c r="E24955" s="23"/>
      <c r="L24955" s="23"/>
    </row>
    <row r="24956">
      <c r="B24956" s="19"/>
      <c r="E24956" s="23"/>
      <c r="L24956" s="23"/>
    </row>
    <row r="24957">
      <c r="B24957" s="19"/>
      <c r="E24957" s="23"/>
      <c r="L24957" s="23"/>
    </row>
    <row r="24958">
      <c r="B24958" s="19"/>
      <c r="E24958" s="23"/>
      <c r="L24958" s="23"/>
    </row>
    <row r="24959">
      <c r="B24959" s="19"/>
      <c r="E24959" s="23"/>
      <c r="L24959" s="23"/>
    </row>
    <row r="24960">
      <c r="B24960" s="19"/>
      <c r="E24960" s="23"/>
      <c r="L24960" s="23"/>
    </row>
    <row r="24961">
      <c r="B24961" s="19"/>
      <c r="E24961" s="23"/>
      <c r="L24961" s="23"/>
    </row>
    <row r="24962">
      <c r="B24962" s="19"/>
      <c r="E24962" s="23"/>
      <c r="L24962" s="23"/>
    </row>
    <row r="24963">
      <c r="B24963" s="19"/>
      <c r="E24963" s="23"/>
      <c r="L24963" s="23"/>
    </row>
    <row r="24964">
      <c r="B24964" s="19"/>
      <c r="E24964" s="23"/>
      <c r="L24964" s="23"/>
    </row>
    <row r="24965">
      <c r="B24965" s="19"/>
      <c r="E24965" s="23"/>
      <c r="L24965" s="23"/>
    </row>
    <row r="24966">
      <c r="B24966" s="19"/>
      <c r="E24966" s="23"/>
      <c r="L24966" s="23"/>
    </row>
    <row r="24967">
      <c r="B24967" s="19"/>
      <c r="E24967" s="23"/>
      <c r="L24967" s="23"/>
    </row>
    <row r="24968">
      <c r="B24968" s="19"/>
      <c r="E24968" s="23"/>
      <c r="L24968" s="23"/>
    </row>
    <row r="24969">
      <c r="B24969" s="19"/>
      <c r="E24969" s="23"/>
      <c r="L24969" s="23"/>
    </row>
    <row r="24970">
      <c r="B24970" s="19"/>
      <c r="E24970" s="23"/>
      <c r="L24970" s="23"/>
    </row>
    <row r="24971">
      <c r="B24971" s="19"/>
      <c r="E24971" s="23"/>
      <c r="L24971" s="23"/>
    </row>
    <row r="24972">
      <c r="B24972" s="19"/>
      <c r="E24972" s="23"/>
      <c r="L24972" s="23"/>
    </row>
    <row r="24973">
      <c r="B24973" s="19"/>
      <c r="E24973" s="23"/>
      <c r="L24973" s="23"/>
    </row>
    <row r="24974">
      <c r="B24974" s="19"/>
      <c r="E24974" s="23"/>
      <c r="L24974" s="23"/>
    </row>
    <row r="24975">
      <c r="B24975" s="19"/>
      <c r="E24975" s="23"/>
      <c r="L24975" s="23"/>
    </row>
    <row r="24976">
      <c r="B24976" s="19"/>
      <c r="E24976" s="23"/>
      <c r="L24976" s="23"/>
    </row>
    <row r="24977">
      <c r="B24977" s="19"/>
      <c r="E24977" s="23"/>
      <c r="L24977" s="23"/>
    </row>
    <row r="24978">
      <c r="B24978" s="19"/>
      <c r="E24978" s="23"/>
      <c r="L24978" s="23"/>
    </row>
    <row r="24979">
      <c r="B24979" s="19"/>
      <c r="E24979" s="23"/>
      <c r="L24979" s="23"/>
    </row>
    <row r="24980">
      <c r="B24980" s="19"/>
      <c r="E24980" s="23"/>
      <c r="L24980" s="23"/>
    </row>
    <row r="24981">
      <c r="B24981" s="19"/>
      <c r="E24981" s="23"/>
      <c r="L24981" s="23"/>
    </row>
    <row r="24982">
      <c r="B24982" s="19"/>
      <c r="E24982" s="23"/>
      <c r="L24982" s="23"/>
    </row>
    <row r="24983">
      <c r="B24983" s="19"/>
      <c r="E24983" s="23"/>
      <c r="L24983" s="23"/>
    </row>
    <row r="24984">
      <c r="B24984" s="19"/>
      <c r="E24984" s="23"/>
      <c r="L24984" s="23"/>
    </row>
    <row r="24985">
      <c r="B24985" s="19"/>
      <c r="E24985" s="23"/>
      <c r="L24985" s="23"/>
    </row>
    <row r="24986">
      <c r="B24986" s="19"/>
      <c r="E24986" s="23"/>
      <c r="L24986" s="23"/>
    </row>
    <row r="24987">
      <c r="B24987" s="19"/>
      <c r="E24987" s="23"/>
      <c r="L24987" s="23"/>
    </row>
    <row r="24988">
      <c r="B24988" s="19"/>
      <c r="E24988" s="23"/>
      <c r="L24988" s="23"/>
    </row>
    <row r="24989">
      <c r="B24989" s="19"/>
      <c r="E24989" s="23"/>
      <c r="L24989" s="23"/>
    </row>
    <row r="24990">
      <c r="B24990" s="19"/>
      <c r="E24990" s="23"/>
      <c r="L24990" s="23"/>
    </row>
    <row r="24991">
      <c r="B24991" s="19"/>
      <c r="E24991" s="23"/>
      <c r="L24991" s="23"/>
    </row>
    <row r="24992">
      <c r="B24992" s="19"/>
      <c r="E24992" s="23"/>
      <c r="L24992" s="23"/>
    </row>
    <row r="24993">
      <c r="B24993" s="19"/>
      <c r="E24993" s="23"/>
      <c r="L24993" s="23"/>
    </row>
    <row r="24994">
      <c r="B24994" s="19"/>
      <c r="E24994" s="23"/>
      <c r="L24994" s="23"/>
    </row>
    <row r="24995">
      <c r="B24995" s="19"/>
      <c r="E24995" s="23"/>
      <c r="L24995" s="23"/>
    </row>
    <row r="24996">
      <c r="B24996" s="19"/>
      <c r="E24996" s="23"/>
      <c r="L24996" s="23"/>
    </row>
    <row r="24997">
      <c r="B24997" s="19"/>
      <c r="E24997" s="23"/>
      <c r="L24997" s="23"/>
    </row>
    <row r="24998">
      <c r="B24998" s="19"/>
      <c r="E24998" s="23"/>
      <c r="L24998" s="23"/>
    </row>
    <row r="24999">
      <c r="B24999" s="19"/>
      <c r="E24999" s="23"/>
      <c r="L24999" s="23"/>
    </row>
    <row r="25000">
      <c r="B25000" s="19"/>
      <c r="E25000" s="23"/>
      <c r="L25000" s="23"/>
    </row>
    <row r="25001">
      <c r="B25001" s="19"/>
      <c r="E25001" s="23"/>
      <c r="L25001" s="23"/>
    </row>
    <row r="25002">
      <c r="B25002" s="19"/>
      <c r="E25002" s="23"/>
      <c r="L25002" s="23"/>
    </row>
    <row r="25003">
      <c r="B25003" s="19"/>
      <c r="E25003" s="23"/>
      <c r="L25003" s="23"/>
    </row>
    <row r="25004">
      <c r="B25004" s="19"/>
      <c r="E25004" s="23"/>
      <c r="L25004" s="23"/>
    </row>
    <row r="25005">
      <c r="B25005" s="19"/>
      <c r="E25005" s="23"/>
      <c r="L25005" s="23"/>
    </row>
    <row r="25006">
      <c r="B25006" s="19"/>
      <c r="E25006" s="23"/>
      <c r="L25006" s="23"/>
    </row>
    <row r="25007">
      <c r="B25007" s="19"/>
      <c r="E25007" s="23"/>
      <c r="L25007" s="23"/>
    </row>
    <row r="25008">
      <c r="B25008" s="19"/>
      <c r="E25008" s="23"/>
      <c r="L25008" s="23"/>
    </row>
    <row r="25009">
      <c r="B25009" s="19"/>
      <c r="E25009" s="23"/>
      <c r="L25009" s="23"/>
    </row>
    <row r="25010">
      <c r="B25010" s="19"/>
      <c r="E25010" s="23"/>
      <c r="L25010" s="23"/>
    </row>
    <row r="25011">
      <c r="B25011" s="19"/>
      <c r="E25011" s="23"/>
      <c r="L25011" s="23"/>
    </row>
    <row r="25012">
      <c r="B25012" s="19"/>
      <c r="E25012" s="23"/>
      <c r="L25012" s="23"/>
    </row>
    <row r="25013">
      <c r="B25013" s="19"/>
      <c r="E25013" s="23"/>
      <c r="L25013" s="23"/>
    </row>
    <row r="25014">
      <c r="B25014" s="19"/>
      <c r="E25014" s="23"/>
      <c r="L25014" s="23"/>
    </row>
    <row r="25015">
      <c r="B25015" s="19"/>
      <c r="E25015" s="23"/>
      <c r="L25015" s="23"/>
    </row>
    <row r="25016">
      <c r="B25016" s="19"/>
      <c r="E25016" s="23"/>
      <c r="L25016" s="23"/>
    </row>
    <row r="25017">
      <c r="B25017" s="19"/>
      <c r="E25017" s="23"/>
      <c r="L25017" s="23"/>
    </row>
    <row r="25018">
      <c r="B25018" s="19"/>
      <c r="E25018" s="23"/>
      <c r="L25018" s="23"/>
    </row>
    <row r="25019">
      <c r="B25019" s="19"/>
      <c r="E25019" s="23"/>
      <c r="L25019" s="23"/>
    </row>
    <row r="25020">
      <c r="B25020" s="19"/>
      <c r="E25020" s="23"/>
      <c r="L25020" s="23"/>
    </row>
    <row r="25021">
      <c r="B25021" s="19"/>
      <c r="E25021" s="23"/>
      <c r="L25021" s="23"/>
    </row>
    <row r="25022">
      <c r="B25022" s="19"/>
      <c r="E25022" s="23"/>
      <c r="L25022" s="23"/>
    </row>
    <row r="25023">
      <c r="B25023" s="19"/>
      <c r="E25023" s="23"/>
      <c r="L25023" s="23"/>
    </row>
    <row r="25024">
      <c r="B25024" s="19"/>
      <c r="E25024" s="23"/>
      <c r="L25024" s="23"/>
    </row>
    <row r="25025">
      <c r="B25025" s="19"/>
      <c r="E25025" s="23"/>
      <c r="L25025" s="23"/>
    </row>
    <row r="25026">
      <c r="B25026" s="19"/>
      <c r="E25026" s="23"/>
      <c r="L25026" s="23"/>
    </row>
    <row r="25027">
      <c r="B25027" s="19"/>
      <c r="E25027" s="23"/>
      <c r="L25027" s="23"/>
    </row>
    <row r="25028">
      <c r="B25028" s="19"/>
      <c r="E25028" s="23"/>
      <c r="L25028" s="23"/>
    </row>
    <row r="25029">
      <c r="B25029" s="19"/>
      <c r="E25029" s="23"/>
      <c r="L25029" s="23"/>
    </row>
    <row r="25030">
      <c r="B25030" s="19"/>
      <c r="E25030" s="23"/>
      <c r="L25030" s="23"/>
    </row>
    <row r="25031">
      <c r="B25031" s="19"/>
      <c r="E25031" s="23"/>
      <c r="L25031" s="23"/>
    </row>
    <row r="25032">
      <c r="B25032" s="19"/>
      <c r="E25032" s="23"/>
      <c r="L25032" s="23"/>
    </row>
    <row r="25033">
      <c r="B25033" s="19"/>
      <c r="E25033" s="23"/>
      <c r="L25033" s="23"/>
    </row>
    <row r="25034">
      <c r="B25034" s="19"/>
      <c r="E25034" s="23"/>
      <c r="L25034" s="23"/>
    </row>
    <row r="25035">
      <c r="B25035" s="19"/>
      <c r="E25035" s="23"/>
      <c r="L25035" s="23"/>
    </row>
    <row r="25036">
      <c r="B25036" s="19"/>
      <c r="E25036" s="23"/>
      <c r="L25036" s="23"/>
    </row>
    <row r="25037">
      <c r="B25037" s="19"/>
      <c r="E25037" s="23"/>
      <c r="L25037" s="23"/>
    </row>
    <row r="25038">
      <c r="B25038" s="19"/>
      <c r="E25038" s="23"/>
      <c r="L25038" s="23"/>
    </row>
    <row r="25039">
      <c r="B25039" s="19"/>
      <c r="E25039" s="23"/>
      <c r="L25039" s="23"/>
    </row>
    <row r="25040">
      <c r="B25040" s="19"/>
      <c r="E25040" s="23"/>
      <c r="L25040" s="23"/>
    </row>
    <row r="25041">
      <c r="B25041" s="19"/>
      <c r="E25041" s="23"/>
      <c r="L25041" s="23"/>
    </row>
    <row r="25042">
      <c r="B25042" s="19"/>
      <c r="E25042" s="23"/>
      <c r="L25042" s="23"/>
    </row>
    <row r="25043">
      <c r="B25043" s="19"/>
      <c r="E25043" s="23"/>
      <c r="L25043" s="23"/>
    </row>
    <row r="25044">
      <c r="B25044" s="19"/>
      <c r="E25044" s="23"/>
      <c r="L25044" s="23"/>
    </row>
    <row r="25045">
      <c r="B25045" s="19"/>
      <c r="E25045" s="23"/>
      <c r="L25045" s="23"/>
    </row>
    <row r="25046">
      <c r="B25046" s="19"/>
      <c r="E25046" s="23"/>
      <c r="L25046" s="23"/>
    </row>
    <row r="25047">
      <c r="B25047" s="19"/>
      <c r="E25047" s="23"/>
      <c r="L25047" s="23"/>
    </row>
    <row r="25048">
      <c r="B25048" s="19"/>
      <c r="E25048" s="23"/>
      <c r="L25048" s="23"/>
    </row>
    <row r="25049">
      <c r="B25049" s="19"/>
      <c r="E25049" s="23"/>
      <c r="L25049" s="23"/>
    </row>
    <row r="25050">
      <c r="B25050" s="19"/>
      <c r="E25050" s="23"/>
      <c r="L25050" s="23"/>
    </row>
    <row r="25051">
      <c r="B25051" s="19"/>
      <c r="E25051" s="23"/>
      <c r="L25051" s="23"/>
    </row>
    <row r="25052">
      <c r="B25052" s="19"/>
      <c r="E25052" s="23"/>
      <c r="L25052" s="23"/>
    </row>
    <row r="25053">
      <c r="B25053" s="19"/>
      <c r="E25053" s="23"/>
      <c r="L25053" s="23"/>
    </row>
    <row r="25054">
      <c r="B25054" s="19"/>
      <c r="E25054" s="23"/>
      <c r="L25054" s="23"/>
    </row>
    <row r="25055">
      <c r="B25055" s="19"/>
      <c r="E25055" s="23"/>
      <c r="L25055" s="23"/>
    </row>
    <row r="25056">
      <c r="B25056" s="19"/>
      <c r="E25056" s="23"/>
      <c r="L25056" s="23"/>
    </row>
    <row r="25057">
      <c r="B25057" s="19"/>
      <c r="E25057" s="23"/>
      <c r="L25057" s="23"/>
    </row>
    <row r="25058">
      <c r="B25058" s="19"/>
      <c r="E25058" s="23"/>
      <c r="L25058" s="23"/>
    </row>
    <row r="25059">
      <c r="B25059" s="19"/>
      <c r="E25059" s="23"/>
      <c r="L25059" s="23"/>
    </row>
    <row r="25060">
      <c r="B25060" s="19"/>
      <c r="E25060" s="23"/>
      <c r="L25060" s="23"/>
    </row>
    <row r="25061">
      <c r="B25061" s="19"/>
      <c r="E25061" s="23"/>
      <c r="L25061" s="23"/>
    </row>
    <row r="25062">
      <c r="B25062" s="19"/>
      <c r="E25062" s="23"/>
      <c r="L25062" s="23"/>
    </row>
    <row r="25063">
      <c r="B25063" s="19"/>
      <c r="E25063" s="23"/>
      <c r="L25063" s="23"/>
    </row>
    <row r="25064">
      <c r="B25064" s="19"/>
      <c r="E25064" s="23"/>
      <c r="L25064" s="23"/>
    </row>
    <row r="25065">
      <c r="B25065" s="19"/>
      <c r="E25065" s="23"/>
      <c r="L25065" s="23"/>
    </row>
    <row r="25066">
      <c r="B25066" s="19"/>
      <c r="E25066" s="23"/>
      <c r="L25066" s="23"/>
    </row>
    <row r="25067">
      <c r="B25067" s="19"/>
      <c r="E25067" s="23"/>
      <c r="L25067" s="23"/>
    </row>
    <row r="25068">
      <c r="B25068" s="19"/>
      <c r="E25068" s="23"/>
      <c r="L25068" s="23"/>
    </row>
    <row r="25069">
      <c r="B25069" s="19"/>
      <c r="E25069" s="23"/>
      <c r="L25069" s="23"/>
    </row>
    <row r="25070">
      <c r="B25070" s="19"/>
      <c r="E25070" s="23"/>
      <c r="L25070" s="23"/>
    </row>
    <row r="25071">
      <c r="B25071" s="19"/>
      <c r="E25071" s="23"/>
      <c r="L25071" s="23"/>
    </row>
    <row r="25072">
      <c r="B25072" s="19"/>
      <c r="E25072" s="23"/>
      <c r="L25072" s="23"/>
    </row>
    <row r="25073">
      <c r="B25073" s="19"/>
      <c r="E25073" s="23"/>
      <c r="L25073" s="23"/>
    </row>
    <row r="25074">
      <c r="B25074" s="19"/>
      <c r="E25074" s="23"/>
      <c r="L25074" s="23"/>
    </row>
    <row r="25075">
      <c r="B25075" s="19"/>
      <c r="E25075" s="23"/>
      <c r="L25075" s="23"/>
    </row>
    <row r="25076">
      <c r="B25076" s="19"/>
      <c r="E25076" s="23"/>
      <c r="L25076" s="23"/>
    </row>
    <row r="25077">
      <c r="B25077" s="19"/>
      <c r="E25077" s="23"/>
      <c r="L25077" s="23"/>
    </row>
    <row r="25078">
      <c r="B25078" s="19"/>
      <c r="E25078" s="23"/>
      <c r="L25078" s="23"/>
    </row>
    <row r="25079">
      <c r="B25079" s="19"/>
      <c r="E25079" s="23"/>
      <c r="L25079" s="23"/>
    </row>
    <row r="25080">
      <c r="B25080" s="19"/>
      <c r="E25080" s="23"/>
      <c r="L25080" s="23"/>
    </row>
    <row r="25081">
      <c r="B25081" s="19"/>
      <c r="E25081" s="23"/>
      <c r="L25081" s="23"/>
    </row>
    <row r="25082">
      <c r="B25082" s="19"/>
      <c r="E25082" s="23"/>
      <c r="L25082" s="23"/>
    </row>
    <row r="25083">
      <c r="B25083" s="19"/>
      <c r="E25083" s="23"/>
      <c r="L25083" s="23"/>
    </row>
    <row r="25084">
      <c r="B25084" s="19"/>
      <c r="E25084" s="23"/>
      <c r="L25084" s="23"/>
    </row>
    <row r="25085">
      <c r="B25085" s="19"/>
      <c r="E25085" s="23"/>
      <c r="L25085" s="23"/>
    </row>
    <row r="25086">
      <c r="B25086" s="19"/>
      <c r="E25086" s="23"/>
      <c r="L25086" s="23"/>
    </row>
    <row r="25087">
      <c r="B25087" s="19"/>
      <c r="E25087" s="23"/>
      <c r="L25087" s="23"/>
    </row>
    <row r="25088">
      <c r="B25088" s="19"/>
      <c r="E25088" s="23"/>
      <c r="L25088" s="23"/>
    </row>
    <row r="25089">
      <c r="B25089" s="19"/>
      <c r="E25089" s="23"/>
      <c r="L25089" s="23"/>
    </row>
    <row r="25090">
      <c r="B25090" s="19"/>
      <c r="E25090" s="23"/>
      <c r="L25090" s="23"/>
    </row>
    <row r="25091">
      <c r="B25091" s="19"/>
      <c r="E25091" s="23"/>
      <c r="L25091" s="23"/>
    </row>
    <row r="25092">
      <c r="B25092" s="19"/>
      <c r="E25092" s="23"/>
      <c r="L25092" s="23"/>
    </row>
    <row r="25093">
      <c r="B25093" s="19"/>
      <c r="E25093" s="23"/>
      <c r="L25093" s="23"/>
    </row>
    <row r="25094">
      <c r="B25094" s="19"/>
      <c r="E25094" s="23"/>
      <c r="L25094" s="23"/>
    </row>
    <row r="25095">
      <c r="B25095" s="19"/>
      <c r="E25095" s="23"/>
      <c r="L25095" s="23"/>
    </row>
    <row r="25096">
      <c r="B25096" s="19"/>
      <c r="E25096" s="23"/>
      <c r="L25096" s="23"/>
    </row>
    <row r="25097">
      <c r="B25097" s="19"/>
      <c r="E25097" s="23"/>
      <c r="L25097" s="23"/>
    </row>
    <row r="25098">
      <c r="B25098" s="19"/>
      <c r="E25098" s="23"/>
      <c r="L25098" s="23"/>
    </row>
    <row r="25099">
      <c r="B25099" s="19"/>
      <c r="E25099" s="23"/>
      <c r="L25099" s="23"/>
    </row>
    <row r="25100">
      <c r="B25100" s="19"/>
      <c r="E25100" s="23"/>
      <c r="L25100" s="23"/>
    </row>
    <row r="25101">
      <c r="B25101" s="19"/>
      <c r="E25101" s="23"/>
      <c r="L25101" s="23"/>
    </row>
    <row r="25102">
      <c r="B25102" s="19"/>
      <c r="E25102" s="23"/>
      <c r="L25102" s="23"/>
    </row>
    <row r="25103">
      <c r="B25103" s="19"/>
      <c r="E25103" s="23"/>
      <c r="L25103" s="23"/>
    </row>
    <row r="25104">
      <c r="B25104" s="19"/>
      <c r="E25104" s="23"/>
      <c r="L25104" s="23"/>
    </row>
    <row r="25105">
      <c r="B25105" s="19"/>
      <c r="E25105" s="23"/>
      <c r="L25105" s="23"/>
    </row>
    <row r="25106">
      <c r="B25106" s="19"/>
      <c r="E25106" s="23"/>
      <c r="L25106" s="23"/>
    </row>
    <row r="25107">
      <c r="B25107" s="19"/>
      <c r="E25107" s="23"/>
      <c r="L25107" s="23"/>
    </row>
    <row r="25108">
      <c r="B25108" s="19"/>
      <c r="E25108" s="23"/>
      <c r="L25108" s="23"/>
    </row>
    <row r="25109">
      <c r="B25109" s="19"/>
      <c r="E25109" s="23"/>
      <c r="L25109" s="23"/>
    </row>
    <row r="25110">
      <c r="B25110" s="19"/>
      <c r="E25110" s="23"/>
      <c r="L25110" s="23"/>
    </row>
    <row r="25111">
      <c r="B25111" s="19"/>
      <c r="E25111" s="23"/>
      <c r="L25111" s="23"/>
    </row>
    <row r="25112">
      <c r="B25112" s="19"/>
      <c r="E25112" s="23"/>
      <c r="L25112" s="23"/>
    </row>
    <row r="25113">
      <c r="B25113" s="19"/>
      <c r="E25113" s="23"/>
      <c r="L25113" s="23"/>
    </row>
    <row r="25114">
      <c r="B25114" s="19"/>
      <c r="E25114" s="23"/>
      <c r="L25114" s="23"/>
    </row>
    <row r="25115">
      <c r="B25115" s="19"/>
      <c r="E25115" s="23"/>
      <c r="L25115" s="23"/>
    </row>
    <row r="25116">
      <c r="B25116" s="19"/>
      <c r="E25116" s="23"/>
      <c r="L25116" s="23"/>
    </row>
    <row r="25117">
      <c r="B25117" s="19"/>
      <c r="E25117" s="23"/>
      <c r="L25117" s="23"/>
    </row>
    <row r="25118">
      <c r="B25118" s="19"/>
      <c r="E25118" s="23"/>
      <c r="L25118" s="23"/>
    </row>
    <row r="25119">
      <c r="B25119" s="19"/>
      <c r="E25119" s="23"/>
      <c r="L25119" s="23"/>
    </row>
    <row r="25120">
      <c r="B25120" s="19"/>
      <c r="E25120" s="23"/>
      <c r="L25120" s="23"/>
    </row>
    <row r="25121">
      <c r="B25121" s="19"/>
      <c r="E25121" s="23"/>
      <c r="L25121" s="23"/>
    </row>
    <row r="25122">
      <c r="B25122" s="19"/>
      <c r="E25122" s="23"/>
      <c r="L25122" s="23"/>
    </row>
    <row r="25123">
      <c r="B25123" s="19"/>
      <c r="E25123" s="23"/>
      <c r="L25123" s="23"/>
    </row>
    <row r="25124">
      <c r="B25124" s="19"/>
      <c r="E25124" s="23"/>
      <c r="L25124" s="23"/>
    </row>
    <row r="25125">
      <c r="B25125" s="19"/>
      <c r="E25125" s="23"/>
      <c r="L25125" s="23"/>
    </row>
    <row r="25126">
      <c r="B25126" s="19"/>
      <c r="E25126" s="23"/>
      <c r="L25126" s="23"/>
    </row>
    <row r="25127">
      <c r="B25127" s="19"/>
      <c r="E25127" s="23"/>
      <c r="L25127" s="23"/>
    </row>
    <row r="25128">
      <c r="B25128" s="19"/>
      <c r="E25128" s="23"/>
      <c r="L25128" s="23"/>
    </row>
    <row r="25129">
      <c r="B25129" s="19"/>
      <c r="E25129" s="23"/>
      <c r="L25129" s="23"/>
    </row>
    <row r="25130">
      <c r="B25130" s="19"/>
      <c r="E25130" s="23"/>
      <c r="L25130" s="23"/>
    </row>
    <row r="25131">
      <c r="B25131" s="19"/>
      <c r="E25131" s="23"/>
      <c r="L25131" s="23"/>
    </row>
    <row r="25132">
      <c r="B25132" s="19"/>
      <c r="E25132" s="23"/>
      <c r="L25132" s="23"/>
    </row>
    <row r="25133">
      <c r="B25133" s="19"/>
      <c r="E25133" s="23"/>
      <c r="L25133" s="23"/>
    </row>
    <row r="25134">
      <c r="B25134" s="19"/>
      <c r="E25134" s="23"/>
      <c r="L25134" s="23"/>
    </row>
    <row r="25135">
      <c r="B25135" s="19"/>
      <c r="E25135" s="23"/>
      <c r="L25135" s="23"/>
    </row>
    <row r="25136">
      <c r="B25136" s="19"/>
      <c r="E25136" s="23"/>
      <c r="L25136" s="23"/>
    </row>
    <row r="25137">
      <c r="B25137" s="19"/>
      <c r="E25137" s="23"/>
      <c r="L25137" s="23"/>
    </row>
    <row r="25138">
      <c r="B25138" s="19"/>
      <c r="E25138" s="23"/>
      <c r="L25138" s="23"/>
    </row>
    <row r="25139">
      <c r="B25139" s="19"/>
      <c r="E25139" s="23"/>
      <c r="L25139" s="23"/>
    </row>
    <row r="25140">
      <c r="B25140" s="19"/>
      <c r="E25140" s="23"/>
      <c r="L25140" s="23"/>
    </row>
    <row r="25141">
      <c r="B25141" s="19"/>
      <c r="E25141" s="23"/>
      <c r="L25141" s="23"/>
    </row>
    <row r="25142">
      <c r="B25142" s="19"/>
      <c r="E25142" s="23"/>
      <c r="L25142" s="23"/>
    </row>
    <row r="25143">
      <c r="B25143" s="19"/>
      <c r="E25143" s="23"/>
      <c r="L25143" s="23"/>
    </row>
    <row r="25144">
      <c r="B25144" s="19"/>
      <c r="E25144" s="23"/>
      <c r="L25144" s="23"/>
    </row>
    <row r="25145">
      <c r="B25145" s="19"/>
      <c r="E25145" s="23"/>
      <c r="L25145" s="23"/>
    </row>
    <row r="25146">
      <c r="B25146" s="19"/>
      <c r="E25146" s="23"/>
      <c r="L25146" s="23"/>
    </row>
    <row r="25147">
      <c r="B25147" s="19"/>
      <c r="E25147" s="23"/>
      <c r="L25147" s="23"/>
    </row>
    <row r="25148">
      <c r="B25148" s="19"/>
      <c r="E25148" s="23"/>
      <c r="L25148" s="23"/>
    </row>
    <row r="25149">
      <c r="B25149" s="19"/>
      <c r="E25149" s="23"/>
      <c r="L25149" s="23"/>
    </row>
    <row r="25150">
      <c r="B25150" s="19"/>
      <c r="E25150" s="23"/>
      <c r="L25150" s="23"/>
    </row>
    <row r="25151">
      <c r="B25151" s="19"/>
      <c r="E25151" s="23"/>
      <c r="L25151" s="23"/>
    </row>
    <row r="25152">
      <c r="B25152" s="19"/>
      <c r="E25152" s="23"/>
      <c r="L25152" s="23"/>
    </row>
    <row r="25153">
      <c r="B25153" s="19"/>
      <c r="E25153" s="23"/>
      <c r="L25153" s="23"/>
    </row>
    <row r="25154">
      <c r="B25154" s="19"/>
      <c r="E25154" s="23"/>
      <c r="L25154" s="23"/>
    </row>
    <row r="25155">
      <c r="B25155" s="19"/>
      <c r="E25155" s="23"/>
      <c r="L25155" s="23"/>
    </row>
    <row r="25156">
      <c r="B25156" s="19"/>
      <c r="E25156" s="23"/>
      <c r="L25156" s="23"/>
    </row>
    <row r="25157">
      <c r="B25157" s="19"/>
      <c r="E25157" s="23"/>
      <c r="L25157" s="23"/>
    </row>
    <row r="25158">
      <c r="B25158" s="19"/>
      <c r="E25158" s="23"/>
      <c r="L25158" s="23"/>
    </row>
    <row r="25159">
      <c r="B25159" s="19"/>
      <c r="E25159" s="23"/>
      <c r="L25159" s="23"/>
    </row>
    <row r="25160">
      <c r="B25160" s="19"/>
      <c r="E25160" s="23"/>
      <c r="L25160" s="23"/>
    </row>
    <row r="25161">
      <c r="B25161" s="19"/>
      <c r="E25161" s="23"/>
      <c r="L25161" s="23"/>
    </row>
    <row r="25162">
      <c r="B25162" s="19"/>
      <c r="E25162" s="23"/>
      <c r="L25162" s="23"/>
    </row>
    <row r="25163">
      <c r="B25163" s="19"/>
      <c r="E25163" s="23"/>
      <c r="L25163" s="23"/>
    </row>
    <row r="25164">
      <c r="B25164" s="19"/>
      <c r="E25164" s="23"/>
      <c r="L25164" s="23"/>
    </row>
    <row r="25165">
      <c r="B25165" s="19"/>
      <c r="E25165" s="23"/>
      <c r="L25165" s="23"/>
    </row>
    <row r="25166">
      <c r="B25166" s="19"/>
      <c r="E25166" s="23"/>
      <c r="L25166" s="23"/>
    </row>
    <row r="25167">
      <c r="B25167" s="19"/>
      <c r="E25167" s="23"/>
      <c r="L25167" s="23"/>
    </row>
    <row r="25168">
      <c r="B25168" s="19"/>
      <c r="E25168" s="23"/>
      <c r="L25168" s="23"/>
    </row>
    <row r="25169">
      <c r="B25169" s="19"/>
      <c r="E25169" s="23"/>
      <c r="L25169" s="23"/>
    </row>
    <row r="25170">
      <c r="B25170" s="19"/>
      <c r="E25170" s="23"/>
      <c r="L25170" s="23"/>
    </row>
    <row r="25171">
      <c r="B25171" s="19"/>
      <c r="E25171" s="23"/>
      <c r="L25171" s="23"/>
    </row>
    <row r="25172">
      <c r="B25172" s="19"/>
      <c r="E25172" s="23"/>
      <c r="L25172" s="23"/>
    </row>
    <row r="25173">
      <c r="B25173" s="19"/>
      <c r="E25173" s="23"/>
      <c r="L25173" s="23"/>
    </row>
    <row r="25174">
      <c r="B25174" s="19"/>
      <c r="E25174" s="23"/>
      <c r="L25174" s="23"/>
    </row>
    <row r="25175">
      <c r="B25175" s="19"/>
      <c r="E25175" s="23"/>
      <c r="L25175" s="23"/>
    </row>
    <row r="25176">
      <c r="B25176" s="19"/>
      <c r="E25176" s="23"/>
      <c r="L25176" s="23"/>
    </row>
    <row r="25177">
      <c r="B25177" s="19"/>
      <c r="E25177" s="23"/>
      <c r="L25177" s="23"/>
    </row>
    <row r="25178">
      <c r="B25178" s="19"/>
      <c r="E25178" s="23"/>
      <c r="L25178" s="23"/>
    </row>
    <row r="25179">
      <c r="B25179" s="19"/>
      <c r="E25179" s="23"/>
      <c r="L25179" s="23"/>
    </row>
    <row r="25180">
      <c r="B25180" s="19"/>
      <c r="E25180" s="23"/>
      <c r="L25180" s="23"/>
    </row>
    <row r="25181">
      <c r="B25181" s="19"/>
      <c r="E25181" s="23"/>
      <c r="L25181" s="23"/>
    </row>
    <row r="25182">
      <c r="B25182" s="19"/>
      <c r="E25182" s="23"/>
      <c r="L25182" s="23"/>
    </row>
    <row r="25183">
      <c r="B25183" s="19"/>
      <c r="E25183" s="23"/>
      <c r="L25183" s="23"/>
    </row>
    <row r="25184">
      <c r="B25184" s="19"/>
      <c r="E25184" s="23"/>
      <c r="L25184" s="23"/>
    </row>
    <row r="25185">
      <c r="B25185" s="19"/>
      <c r="E25185" s="23"/>
      <c r="L25185" s="23"/>
    </row>
    <row r="25186">
      <c r="B25186" s="19"/>
      <c r="E25186" s="23"/>
      <c r="L25186" s="23"/>
    </row>
    <row r="25187">
      <c r="B25187" s="19"/>
      <c r="E25187" s="23"/>
      <c r="L25187" s="23"/>
    </row>
    <row r="25188">
      <c r="B25188" s="19"/>
      <c r="E25188" s="23"/>
      <c r="L25188" s="23"/>
    </row>
    <row r="25189">
      <c r="B25189" s="19"/>
      <c r="E25189" s="23"/>
      <c r="L25189" s="23"/>
    </row>
    <row r="25190">
      <c r="B25190" s="19"/>
      <c r="E25190" s="23"/>
      <c r="L25190" s="23"/>
    </row>
    <row r="25191">
      <c r="B25191" s="19"/>
      <c r="E25191" s="23"/>
      <c r="L25191" s="23"/>
    </row>
    <row r="25192">
      <c r="B25192" s="19"/>
      <c r="E25192" s="23"/>
      <c r="L25192" s="23"/>
    </row>
    <row r="25193">
      <c r="B25193" s="19"/>
      <c r="E25193" s="23"/>
      <c r="L25193" s="23"/>
    </row>
    <row r="25194">
      <c r="B25194" s="19"/>
      <c r="E25194" s="23"/>
      <c r="L25194" s="23"/>
    </row>
    <row r="25195">
      <c r="B25195" s="19"/>
      <c r="E25195" s="23"/>
      <c r="L25195" s="23"/>
    </row>
    <row r="25196">
      <c r="B25196" s="19"/>
      <c r="E25196" s="23"/>
      <c r="L25196" s="23"/>
    </row>
    <row r="25197">
      <c r="B25197" s="19"/>
      <c r="E25197" s="23"/>
      <c r="L25197" s="23"/>
    </row>
    <row r="25198">
      <c r="B25198" s="19"/>
      <c r="E25198" s="23"/>
      <c r="L25198" s="23"/>
    </row>
    <row r="25199">
      <c r="B25199" s="19"/>
      <c r="E25199" s="23"/>
      <c r="L25199" s="23"/>
    </row>
    <row r="25200">
      <c r="B25200" s="19"/>
      <c r="E25200" s="23"/>
      <c r="L25200" s="23"/>
    </row>
    <row r="25201">
      <c r="B25201" s="19"/>
      <c r="E25201" s="23"/>
      <c r="L25201" s="23"/>
    </row>
    <row r="25202">
      <c r="B25202" s="19"/>
      <c r="E25202" s="23"/>
      <c r="L25202" s="23"/>
    </row>
    <row r="25203">
      <c r="B25203" s="19"/>
      <c r="E25203" s="23"/>
      <c r="L25203" s="23"/>
    </row>
    <row r="25204">
      <c r="B25204" s="19"/>
      <c r="E25204" s="23"/>
      <c r="L25204" s="23"/>
    </row>
    <row r="25205">
      <c r="B25205" s="19"/>
      <c r="E25205" s="23"/>
      <c r="L25205" s="23"/>
    </row>
    <row r="25206">
      <c r="B25206" s="19"/>
      <c r="E25206" s="23"/>
      <c r="L25206" s="23"/>
    </row>
    <row r="25207">
      <c r="B25207" s="19"/>
      <c r="E25207" s="23"/>
      <c r="L25207" s="23"/>
    </row>
    <row r="25208">
      <c r="B25208" s="19"/>
      <c r="E25208" s="23"/>
      <c r="L25208" s="23"/>
    </row>
    <row r="25209">
      <c r="B25209" s="19"/>
      <c r="E25209" s="23"/>
      <c r="L25209" s="23"/>
    </row>
    <row r="25210">
      <c r="B25210" s="19"/>
      <c r="E25210" s="23"/>
      <c r="L25210" s="23"/>
    </row>
    <row r="25211">
      <c r="B25211" s="19"/>
      <c r="E25211" s="23"/>
      <c r="L25211" s="23"/>
    </row>
    <row r="25212">
      <c r="B25212" s="19"/>
      <c r="E25212" s="23"/>
      <c r="L25212" s="23"/>
    </row>
    <row r="25213">
      <c r="B25213" s="19"/>
      <c r="E25213" s="23"/>
      <c r="L25213" s="23"/>
    </row>
    <row r="25214">
      <c r="B25214" s="19"/>
      <c r="E25214" s="23"/>
      <c r="L25214" s="23"/>
    </row>
    <row r="25215">
      <c r="B25215" s="19"/>
      <c r="E25215" s="23"/>
      <c r="L25215" s="23"/>
    </row>
    <row r="25216">
      <c r="B25216" s="19"/>
      <c r="E25216" s="23"/>
      <c r="L25216" s="23"/>
    </row>
    <row r="25217">
      <c r="B25217" s="19"/>
      <c r="E25217" s="23"/>
      <c r="L25217" s="23"/>
    </row>
    <row r="25218">
      <c r="B25218" s="19"/>
      <c r="E25218" s="23"/>
      <c r="L25218" s="23"/>
    </row>
    <row r="25219">
      <c r="B25219" s="19"/>
      <c r="E25219" s="23"/>
      <c r="L25219" s="23"/>
    </row>
    <row r="25220">
      <c r="B25220" s="19"/>
      <c r="E25220" s="23"/>
      <c r="L25220" s="23"/>
    </row>
    <row r="25221">
      <c r="B25221" s="19"/>
      <c r="E25221" s="23"/>
      <c r="L25221" s="23"/>
    </row>
    <row r="25222">
      <c r="B25222" s="19"/>
      <c r="E25222" s="23"/>
      <c r="L25222" s="23"/>
    </row>
    <row r="25223">
      <c r="B25223" s="19"/>
      <c r="E25223" s="23"/>
      <c r="L25223" s="23"/>
    </row>
    <row r="25224">
      <c r="B25224" s="19"/>
      <c r="E25224" s="23"/>
      <c r="L25224" s="23"/>
    </row>
    <row r="25225">
      <c r="B25225" s="19"/>
      <c r="E25225" s="23"/>
      <c r="L25225" s="23"/>
    </row>
    <row r="25226">
      <c r="B25226" s="19"/>
      <c r="E25226" s="23"/>
      <c r="L25226" s="23"/>
    </row>
    <row r="25227">
      <c r="B25227" s="19"/>
      <c r="E25227" s="23"/>
      <c r="L25227" s="23"/>
    </row>
    <row r="25228">
      <c r="B25228" s="19"/>
      <c r="E25228" s="23"/>
      <c r="L25228" s="23"/>
    </row>
    <row r="25229">
      <c r="B25229" s="19"/>
      <c r="E25229" s="23"/>
      <c r="L25229" s="23"/>
    </row>
    <row r="25230">
      <c r="B25230" s="19"/>
      <c r="E25230" s="23"/>
      <c r="L25230" s="23"/>
    </row>
    <row r="25231">
      <c r="B25231" s="19"/>
      <c r="E25231" s="23"/>
      <c r="L25231" s="23"/>
    </row>
    <row r="25232">
      <c r="B25232" s="19"/>
      <c r="E25232" s="23"/>
      <c r="L25232" s="23"/>
    </row>
    <row r="25233">
      <c r="B25233" s="19"/>
      <c r="E25233" s="23"/>
      <c r="L25233" s="23"/>
    </row>
    <row r="25234">
      <c r="B25234" s="19"/>
      <c r="E25234" s="23"/>
      <c r="L25234" s="23"/>
    </row>
    <row r="25235">
      <c r="B25235" s="19"/>
      <c r="E25235" s="23"/>
      <c r="L25235" s="23"/>
    </row>
    <row r="25236">
      <c r="B25236" s="19"/>
      <c r="E25236" s="23"/>
      <c r="L25236" s="23"/>
    </row>
    <row r="25237">
      <c r="B25237" s="19"/>
      <c r="E25237" s="23"/>
      <c r="L25237" s="23"/>
    </row>
    <row r="25238">
      <c r="B25238" s="19"/>
      <c r="E25238" s="23"/>
      <c r="L25238" s="23"/>
    </row>
    <row r="25239">
      <c r="B25239" s="19"/>
      <c r="E25239" s="23"/>
      <c r="L25239" s="23"/>
    </row>
    <row r="25240">
      <c r="B25240" s="19"/>
      <c r="E25240" s="23"/>
      <c r="L25240" s="23"/>
    </row>
    <row r="25241">
      <c r="B25241" s="19"/>
      <c r="E25241" s="23"/>
      <c r="L25241" s="23"/>
    </row>
    <row r="25242">
      <c r="B25242" s="19"/>
      <c r="E25242" s="23"/>
      <c r="L25242" s="23"/>
    </row>
    <row r="25243">
      <c r="B25243" s="19"/>
      <c r="E25243" s="23"/>
      <c r="L25243" s="23"/>
    </row>
    <row r="25244">
      <c r="B25244" s="19"/>
      <c r="E25244" s="23"/>
      <c r="L25244" s="23"/>
    </row>
    <row r="25245">
      <c r="B25245" s="19"/>
      <c r="E25245" s="23"/>
      <c r="L25245" s="23"/>
    </row>
    <row r="25246">
      <c r="B25246" s="19"/>
      <c r="E25246" s="23"/>
      <c r="L25246" s="23"/>
    </row>
    <row r="25247">
      <c r="B25247" s="19"/>
      <c r="E25247" s="23"/>
      <c r="L25247" s="23"/>
    </row>
    <row r="25248">
      <c r="B25248" s="19"/>
      <c r="E25248" s="23"/>
      <c r="L25248" s="23"/>
    </row>
    <row r="25249">
      <c r="B25249" s="19"/>
      <c r="E25249" s="23"/>
      <c r="L25249" s="23"/>
    </row>
    <row r="25250">
      <c r="B25250" s="19"/>
      <c r="E25250" s="23"/>
      <c r="L25250" s="23"/>
    </row>
    <row r="25251">
      <c r="B25251" s="19"/>
      <c r="E25251" s="23"/>
      <c r="L25251" s="23"/>
    </row>
    <row r="25252">
      <c r="B25252" s="19"/>
      <c r="E25252" s="23"/>
      <c r="L25252" s="23"/>
    </row>
    <row r="25253">
      <c r="B25253" s="19"/>
      <c r="E25253" s="23"/>
      <c r="L25253" s="23"/>
    </row>
    <row r="25254">
      <c r="B25254" s="19"/>
      <c r="E25254" s="23"/>
      <c r="L25254" s="23"/>
    </row>
    <row r="25255">
      <c r="B25255" s="19"/>
      <c r="E25255" s="23"/>
      <c r="L25255" s="23"/>
    </row>
    <row r="25256">
      <c r="B25256" s="19"/>
      <c r="E25256" s="23"/>
      <c r="L25256" s="23"/>
    </row>
    <row r="25257">
      <c r="B25257" s="19"/>
      <c r="E25257" s="23"/>
      <c r="L25257" s="23"/>
    </row>
    <row r="25258">
      <c r="B25258" s="19"/>
      <c r="E25258" s="23"/>
      <c r="L25258" s="23"/>
    </row>
    <row r="25259">
      <c r="B25259" s="19"/>
      <c r="E25259" s="23"/>
      <c r="L25259" s="23"/>
    </row>
    <row r="25260">
      <c r="B25260" s="19"/>
      <c r="E25260" s="23"/>
      <c r="L25260" s="23"/>
    </row>
    <row r="25261">
      <c r="B25261" s="19"/>
      <c r="E25261" s="23"/>
      <c r="L25261" s="23"/>
    </row>
    <row r="25262">
      <c r="B25262" s="19"/>
      <c r="E25262" s="23"/>
      <c r="L25262" s="23"/>
    </row>
    <row r="25263">
      <c r="B25263" s="19"/>
      <c r="E25263" s="23"/>
      <c r="L25263" s="23"/>
    </row>
    <row r="25264">
      <c r="B25264" s="19"/>
      <c r="E25264" s="23"/>
      <c r="L25264" s="23"/>
    </row>
    <row r="25265">
      <c r="B25265" s="19"/>
      <c r="E25265" s="23"/>
      <c r="L25265" s="23"/>
    </row>
    <row r="25266">
      <c r="B25266" s="19"/>
      <c r="E25266" s="23"/>
      <c r="L25266" s="23"/>
    </row>
    <row r="25267">
      <c r="B25267" s="19"/>
      <c r="E25267" s="23"/>
      <c r="L25267" s="23"/>
    </row>
    <row r="25268">
      <c r="B25268" s="19"/>
      <c r="E25268" s="23"/>
      <c r="L25268" s="23"/>
    </row>
    <row r="25269">
      <c r="B25269" s="19"/>
      <c r="E25269" s="23"/>
      <c r="L25269" s="23"/>
    </row>
    <row r="25270">
      <c r="B25270" s="19"/>
      <c r="E25270" s="23"/>
      <c r="L25270" s="23"/>
    </row>
    <row r="25271">
      <c r="B25271" s="19"/>
      <c r="E25271" s="23"/>
      <c r="L25271" s="23"/>
    </row>
    <row r="25272">
      <c r="B25272" s="19"/>
      <c r="E25272" s="23"/>
      <c r="L25272" s="23"/>
    </row>
    <row r="25273">
      <c r="B25273" s="19"/>
      <c r="E25273" s="23"/>
      <c r="L25273" s="23"/>
    </row>
    <row r="25274">
      <c r="B25274" s="19"/>
      <c r="E25274" s="23"/>
      <c r="L25274" s="23"/>
    </row>
    <row r="25275">
      <c r="B25275" s="19"/>
      <c r="E25275" s="23"/>
      <c r="L25275" s="23"/>
    </row>
    <row r="25276">
      <c r="B25276" s="19"/>
      <c r="E25276" s="23"/>
      <c r="L25276" s="23"/>
    </row>
    <row r="25277">
      <c r="B25277" s="19"/>
      <c r="E25277" s="23"/>
      <c r="L25277" s="23"/>
    </row>
    <row r="25278">
      <c r="B25278" s="19"/>
      <c r="E25278" s="23"/>
      <c r="L25278" s="23"/>
    </row>
    <row r="25279">
      <c r="B25279" s="19"/>
      <c r="E25279" s="23"/>
      <c r="L25279" s="23"/>
    </row>
    <row r="25280">
      <c r="B25280" s="19"/>
      <c r="E25280" s="23"/>
      <c r="L25280" s="23"/>
    </row>
    <row r="25281">
      <c r="B25281" s="19"/>
      <c r="E25281" s="23"/>
      <c r="L25281" s="23"/>
    </row>
    <row r="25282">
      <c r="B25282" s="19"/>
      <c r="E25282" s="23"/>
      <c r="L25282" s="23"/>
    </row>
    <row r="25283">
      <c r="B25283" s="19"/>
      <c r="E25283" s="23"/>
      <c r="L25283" s="23"/>
    </row>
    <row r="25284">
      <c r="B25284" s="19"/>
      <c r="E25284" s="23"/>
      <c r="L25284" s="23"/>
    </row>
    <row r="25285">
      <c r="B25285" s="19"/>
      <c r="E25285" s="23"/>
      <c r="L25285" s="23"/>
    </row>
    <row r="25286">
      <c r="B25286" s="19"/>
      <c r="E25286" s="23"/>
      <c r="L25286" s="23"/>
    </row>
    <row r="25287">
      <c r="B25287" s="19"/>
      <c r="E25287" s="23"/>
      <c r="L25287" s="23"/>
    </row>
    <row r="25288">
      <c r="B25288" s="19"/>
      <c r="E25288" s="23"/>
      <c r="L25288" s="23"/>
    </row>
    <row r="25289">
      <c r="B25289" s="19"/>
      <c r="E25289" s="23"/>
      <c r="L25289" s="23"/>
    </row>
    <row r="25290">
      <c r="B25290" s="19"/>
      <c r="E25290" s="23"/>
      <c r="L25290" s="23"/>
    </row>
    <row r="25291">
      <c r="B25291" s="19"/>
      <c r="E25291" s="23"/>
      <c r="L25291" s="23"/>
    </row>
    <row r="25292">
      <c r="B25292" s="19"/>
      <c r="E25292" s="23"/>
      <c r="L25292" s="23"/>
    </row>
    <row r="25293">
      <c r="B25293" s="19"/>
      <c r="E25293" s="23"/>
      <c r="L25293" s="23"/>
    </row>
    <row r="25294">
      <c r="B25294" s="19"/>
      <c r="E25294" s="23"/>
      <c r="L25294" s="23"/>
    </row>
    <row r="25295">
      <c r="B25295" s="19"/>
      <c r="E25295" s="23"/>
      <c r="L25295" s="23"/>
    </row>
    <row r="25296">
      <c r="B25296" s="19"/>
      <c r="E25296" s="23"/>
      <c r="L25296" s="23"/>
    </row>
    <row r="25297">
      <c r="B25297" s="19"/>
      <c r="E25297" s="23"/>
      <c r="L25297" s="23"/>
    </row>
    <row r="25298">
      <c r="B25298" s="19"/>
      <c r="E25298" s="23"/>
      <c r="L25298" s="23"/>
    </row>
    <row r="25299">
      <c r="B25299" s="19"/>
      <c r="E25299" s="23"/>
      <c r="L25299" s="23"/>
    </row>
    <row r="25300">
      <c r="B25300" s="19"/>
      <c r="E25300" s="23"/>
      <c r="L25300" s="23"/>
    </row>
    <row r="25301">
      <c r="B25301" s="19"/>
      <c r="E25301" s="23"/>
      <c r="L25301" s="23"/>
    </row>
    <row r="25302">
      <c r="B25302" s="19"/>
      <c r="E25302" s="23"/>
      <c r="L25302" s="23"/>
    </row>
    <row r="25303">
      <c r="B25303" s="19"/>
      <c r="E25303" s="23"/>
      <c r="L25303" s="23"/>
    </row>
    <row r="25304">
      <c r="B25304" s="19"/>
      <c r="E25304" s="23"/>
      <c r="L25304" s="23"/>
    </row>
    <row r="25305">
      <c r="B25305" s="19"/>
      <c r="E25305" s="23"/>
      <c r="L25305" s="23"/>
    </row>
    <row r="25306">
      <c r="B25306" s="19"/>
      <c r="E25306" s="23"/>
      <c r="L25306" s="23"/>
    </row>
    <row r="25307">
      <c r="B25307" s="19"/>
      <c r="E25307" s="23"/>
      <c r="L25307" s="23"/>
    </row>
    <row r="25308">
      <c r="B25308" s="19"/>
      <c r="E25308" s="23"/>
      <c r="L25308" s="23"/>
    </row>
    <row r="25309">
      <c r="B25309" s="19"/>
      <c r="E25309" s="23"/>
      <c r="L25309" s="23"/>
    </row>
    <row r="25310">
      <c r="B25310" s="19"/>
      <c r="E25310" s="23"/>
      <c r="L25310" s="23"/>
    </row>
    <row r="25311">
      <c r="B25311" s="19"/>
      <c r="E25311" s="23"/>
      <c r="L25311" s="23"/>
    </row>
    <row r="25312">
      <c r="B25312" s="19"/>
      <c r="E25312" s="23"/>
      <c r="L25312" s="23"/>
    </row>
    <row r="25313">
      <c r="B25313" s="19"/>
      <c r="E25313" s="23"/>
      <c r="L25313" s="23"/>
    </row>
    <row r="25314">
      <c r="B25314" s="19"/>
      <c r="E25314" s="23"/>
      <c r="L25314" s="23"/>
    </row>
    <row r="25315">
      <c r="B25315" s="19"/>
      <c r="E25315" s="23"/>
      <c r="L25315" s="23"/>
    </row>
    <row r="25316">
      <c r="B25316" s="19"/>
      <c r="E25316" s="23"/>
      <c r="L25316" s="23"/>
    </row>
    <row r="25317">
      <c r="B25317" s="19"/>
      <c r="E25317" s="23"/>
      <c r="L25317" s="23"/>
    </row>
    <row r="25318">
      <c r="B25318" s="19"/>
      <c r="E25318" s="23"/>
      <c r="L25318" s="23"/>
    </row>
    <row r="25319">
      <c r="B25319" s="19"/>
      <c r="E25319" s="23"/>
      <c r="L25319" s="23"/>
    </row>
    <row r="25320">
      <c r="B25320" s="19"/>
      <c r="E25320" s="23"/>
      <c r="L25320" s="23"/>
    </row>
    <row r="25321">
      <c r="B25321" s="19"/>
      <c r="E25321" s="23"/>
      <c r="L25321" s="23"/>
    </row>
    <row r="25322">
      <c r="B25322" s="19"/>
      <c r="E25322" s="23"/>
      <c r="L25322" s="23"/>
    </row>
    <row r="25323">
      <c r="B25323" s="19"/>
      <c r="E25323" s="23"/>
      <c r="L25323" s="23"/>
    </row>
    <row r="25324">
      <c r="B25324" s="19"/>
      <c r="E25324" s="23"/>
      <c r="L25324" s="23"/>
    </row>
    <row r="25325">
      <c r="B25325" s="19"/>
      <c r="E25325" s="23"/>
      <c r="L25325" s="23"/>
    </row>
    <row r="25326">
      <c r="B25326" s="19"/>
      <c r="E25326" s="23"/>
      <c r="L25326" s="23"/>
    </row>
    <row r="25327">
      <c r="B25327" s="19"/>
      <c r="E25327" s="23"/>
      <c r="L25327" s="23"/>
    </row>
    <row r="25328">
      <c r="B25328" s="19"/>
      <c r="E25328" s="23"/>
      <c r="L25328" s="23"/>
    </row>
    <row r="25329">
      <c r="B25329" s="19"/>
      <c r="E25329" s="23"/>
      <c r="L25329" s="23"/>
    </row>
    <row r="25330">
      <c r="B25330" s="19"/>
      <c r="E25330" s="23"/>
      <c r="L25330" s="23"/>
    </row>
    <row r="25331">
      <c r="B25331" s="19"/>
      <c r="E25331" s="23"/>
      <c r="L25331" s="23"/>
    </row>
    <row r="25332">
      <c r="B25332" s="19"/>
      <c r="E25332" s="23"/>
      <c r="L25332" s="23"/>
    </row>
    <row r="25333">
      <c r="B25333" s="19"/>
      <c r="E25333" s="23"/>
      <c r="L25333" s="23"/>
    </row>
    <row r="25334">
      <c r="B25334" s="19"/>
      <c r="E25334" s="23"/>
      <c r="L25334" s="23"/>
    </row>
    <row r="25335">
      <c r="B25335" s="19"/>
      <c r="E25335" s="23"/>
      <c r="L25335" s="23"/>
    </row>
    <row r="25336">
      <c r="B25336" s="19"/>
      <c r="E25336" s="23"/>
      <c r="L25336" s="23"/>
    </row>
    <row r="25337">
      <c r="B25337" s="19"/>
      <c r="E25337" s="23"/>
      <c r="L25337" s="23"/>
    </row>
    <row r="25338">
      <c r="B25338" s="19"/>
      <c r="E25338" s="23"/>
      <c r="L25338" s="23"/>
    </row>
    <row r="25339">
      <c r="B25339" s="19"/>
      <c r="E25339" s="23"/>
      <c r="L25339" s="23"/>
    </row>
    <row r="25340">
      <c r="B25340" s="19"/>
      <c r="E25340" s="23"/>
      <c r="L25340" s="23"/>
    </row>
    <row r="25341">
      <c r="B25341" s="19"/>
      <c r="E25341" s="23"/>
      <c r="L25341" s="23"/>
    </row>
    <row r="25342">
      <c r="B25342" s="19"/>
      <c r="E25342" s="23"/>
      <c r="L25342" s="23"/>
    </row>
    <row r="25343">
      <c r="B25343" s="19"/>
      <c r="E25343" s="23"/>
      <c r="L25343" s="23"/>
    </row>
    <row r="25344">
      <c r="B25344" s="19"/>
      <c r="E25344" s="23"/>
      <c r="L25344" s="23"/>
    </row>
    <row r="25345">
      <c r="B25345" s="19"/>
      <c r="E25345" s="23"/>
      <c r="L25345" s="23"/>
    </row>
    <row r="25346">
      <c r="B25346" s="19"/>
      <c r="E25346" s="23"/>
      <c r="L25346" s="23"/>
    </row>
    <row r="25347">
      <c r="B25347" s="19"/>
      <c r="E25347" s="23"/>
      <c r="L25347" s="23"/>
    </row>
    <row r="25348">
      <c r="B25348" s="19"/>
      <c r="E25348" s="23"/>
      <c r="L25348" s="23"/>
    </row>
    <row r="25349">
      <c r="B25349" s="19"/>
      <c r="E25349" s="23"/>
      <c r="L25349" s="23"/>
    </row>
    <row r="25350">
      <c r="B25350" s="19"/>
      <c r="E25350" s="23"/>
      <c r="L25350" s="23"/>
    </row>
    <row r="25351">
      <c r="B25351" s="19"/>
      <c r="E25351" s="23"/>
      <c r="L25351" s="23"/>
    </row>
    <row r="25352">
      <c r="B25352" s="19"/>
      <c r="E25352" s="23"/>
      <c r="L25352" s="23"/>
    </row>
    <row r="25353">
      <c r="B25353" s="19"/>
      <c r="E25353" s="23"/>
      <c r="L25353" s="23"/>
    </row>
    <row r="25354">
      <c r="B25354" s="19"/>
      <c r="E25354" s="23"/>
      <c r="L25354" s="23"/>
    </row>
    <row r="25355">
      <c r="B25355" s="19"/>
      <c r="E25355" s="23"/>
      <c r="L25355" s="23"/>
    </row>
    <row r="25356">
      <c r="B25356" s="19"/>
      <c r="E25356" s="23"/>
      <c r="L25356" s="23"/>
    </row>
    <row r="25357">
      <c r="B25357" s="19"/>
      <c r="E25357" s="23"/>
      <c r="L25357" s="23"/>
    </row>
    <row r="25358">
      <c r="B25358" s="19"/>
      <c r="E25358" s="23"/>
      <c r="L25358" s="23"/>
    </row>
    <row r="25359">
      <c r="B25359" s="19"/>
      <c r="E25359" s="23"/>
      <c r="L25359" s="23"/>
    </row>
    <row r="25360">
      <c r="B25360" s="19"/>
      <c r="E25360" s="23"/>
      <c r="L25360" s="23"/>
    </row>
    <row r="25361">
      <c r="B25361" s="19"/>
      <c r="E25361" s="23"/>
      <c r="L25361" s="23"/>
    </row>
    <row r="25362">
      <c r="B25362" s="19"/>
      <c r="E25362" s="23"/>
      <c r="L25362" s="23"/>
    </row>
    <row r="25363">
      <c r="B25363" s="19"/>
      <c r="E25363" s="23"/>
      <c r="L25363" s="23"/>
    </row>
    <row r="25364">
      <c r="B25364" s="19"/>
      <c r="E25364" s="23"/>
      <c r="L25364" s="23"/>
    </row>
    <row r="25365">
      <c r="B25365" s="19"/>
      <c r="E25365" s="23"/>
      <c r="L25365" s="23"/>
    </row>
    <row r="25366">
      <c r="B25366" s="19"/>
      <c r="E25366" s="23"/>
      <c r="L25366" s="23"/>
    </row>
    <row r="25367">
      <c r="B25367" s="19"/>
      <c r="E25367" s="23"/>
      <c r="L25367" s="23"/>
    </row>
    <row r="25368">
      <c r="B25368" s="19"/>
      <c r="E25368" s="23"/>
      <c r="L25368" s="23"/>
    </row>
    <row r="25369">
      <c r="B25369" s="19"/>
      <c r="E25369" s="23"/>
      <c r="L25369" s="23"/>
    </row>
    <row r="25370">
      <c r="B25370" s="19"/>
      <c r="E25370" s="23"/>
      <c r="L25370" s="23"/>
    </row>
    <row r="25371">
      <c r="B25371" s="19"/>
      <c r="E25371" s="23"/>
      <c r="L25371" s="23"/>
    </row>
    <row r="25372">
      <c r="B25372" s="19"/>
      <c r="E25372" s="23"/>
      <c r="L25372" s="23"/>
    </row>
    <row r="25373">
      <c r="B25373" s="19"/>
      <c r="E25373" s="23"/>
      <c r="L25373" s="23"/>
    </row>
    <row r="25374">
      <c r="B25374" s="19"/>
      <c r="E25374" s="23"/>
      <c r="L25374" s="23"/>
    </row>
    <row r="25375">
      <c r="B25375" s="19"/>
      <c r="E25375" s="23"/>
      <c r="L25375" s="23"/>
    </row>
    <row r="25376">
      <c r="B25376" s="19"/>
      <c r="E25376" s="23"/>
      <c r="L25376" s="23"/>
    </row>
    <row r="25377">
      <c r="B25377" s="19"/>
      <c r="E25377" s="23"/>
      <c r="L25377" s="23"/>
    </row>
    <row r="25378">
      <c r="B25378" s="19"/>
      <c r="E25378" s="23"/>
      <c r="L25378" s="23"/>
    </row>
    <row r="25379">
      <c r="B25379" s="19"/>
      <c r="E25379" s="23"/>
      <c r="L25379" s="23"/>
    </row>
    <row r="25380">
      <c r="B25380" s="19"/>
      <c r="E25380" s="23"/>
      <c r="L25380" s="23"/>
    </row>
    <row r="25381">
      <c r="B25381" s="19"/>
      <c r="E25381" s="23"/>
      <c r="L25381" s="23"/>
    </row>
    <row r="25382">
      <c r="B25382" s="19"/>
      <c r="E25382" s="23"/>
      <c r="L25382" s="23"/>
    </row>
    <row r="25383">
      <c r="B25383" s="19"/>
      <c r="E25383" s="23"/>
      <c r="L25383" s="23"/>
    </row>
    <row r="25384">
      <c r="B25384" s="19"/>
      <c r="E25384" s="23"/>
      <c r="L25384" s="23"/>
    </row>
    <row r="25385">
      <c r="B25385" s="19"/>
      <c r="E25385" s="23"/>
      <c r="L25385" s="23"/>
    </row>
    <row r="25386">
      <c r="B25386" s="19"/>
      <c r="E25386" s="23"/>
      <c r="L25386" s="23"/>
    </row>
    <row r="25387">
      <c r="B25387" s="19"/>
      <c r="E25387" s="23"/>
      <c r="L25387" s="23"/>
    </row>
    <row r="25388">
      <c r="B25388" s="19"/>
      <c r="E25388" s="23"/>
      <c r="L25388" s="23"/>
    </row>
    <row r="25389">
      <c r="B25389" s="19"/>
      <c r="E25389" s="23"/>
      <c r="L25389" s="23"/>
    </row>
    <row r="25390">
      <c r="B25390" s="19"/>
      <c r="E25390" s="23"/>
      <c r="L25390" s="23"/>
    </row>
    <row r="25391">
      <c r="B25391" s="19"/>
      <c r="E25391" s="23"/>
      <c r="L25391" s="23"/>
    </row>
    <row r="25392">
      <c r="B25392" s="19"/>
      <c r="E25392" s="23"/>
      <c r="L25392" s="23"/>
    </row>
    <row r="25393">
      <c r="B25393" s="19"/>
      <c r="E25393" s="23"/>
      <c r="L25393" s="23"/>
    </row>
    <row r="25394">
      <c r="B25394" s="19"/>
      <c r="E25394" s="23"/>
      <c r="L25394" s="23"/>
    </row>
    <row r="25395">
      <c r="B25395" s="19"/>
      <c r="E25395" s="23"/>
      <c r="L25395" s="23"/>
    </row>
    <row r="25396">
      <c r="B25396" s="19"/>
      <c r="E25396" s="23"/>
      <c r="L25396" s="23"/>
    </row>
    <row r="25397">
      <c r="B25397" s="19"/>
      <c r="E25397" s="23"/>
      <c r="L25397" s="23"/>
    </row>
    <row r="25398">
      <c r="B25398" s="19"/>
      <c r="E25398" s="23"/>
      <c r="L25398" s="23"/>
    </row>
    <row r="25399">
      <c r="B25399" s="19"/>
      <c r="E25399" s="23"/>
      <c r="L25399" s="23"/>
    </row>
    <row r="25400">
      <c r="B25400" s="19"/>
      <c r="E25400" s="23"/>
      <c r="L25400" s="23"/>
    </row>
    <row r="25401">
      <c r="B25401" s="19"/>
      <c r="E25401" s="23"/>
      <c r="L25401" s="23"/>
    </row>
    <row r="25402">
      <c r="B25402" s="19"/>
      <c r="E25402" s="23"/>
      <c r="L25402" s="23"/>
    </row>
    <row r="25403">
      <c r="B25403" s="19"/>
      <c r="E25403" s="23"/>
      <c r="L25403" s="23"/>
    </row>
    <row r="25404">
      <c r="B25404" s="19"/>
      <c r="E25404" s="23"/>
      <c r="L25404" s="23"/>
    </row>
    <row r="25405">
      <c r="B25405" s="19"/>
      <c r="E25405" s="23"/>
      <c r="L25405" s="23"/>
    </row>
    <row r="25406">
      <c r="B25406" s="19"/>
      <c r="E25406" s="23"/>
      <c r="L25406" s="23"/>
    </row>
    <row r="25407">
      <c r="B25407" s="19"/>
      <c r="E25407" s="23"/>
      <c r="L25407" s="23"/>
    </row>
    <row r="25408">
      <c r="B25408" s="19"/>
      <c r="E25408" s="23"/>
      <c r="L25408" s="23"/>
    </row>
    <row r="25409">
      <c r="B25409" s="19"/>
      <c r="E25409" s="23"/>
      <c r="L25409" s="23"/>
    </row>
    <row r="25410">
      <c r="B25410" s="19"/>
      <c r="E25410" s="23"/>
      <c r="L25410" s="23"/>
    </row>
    <row r="25411">
      <c r="B25411" s="19"/>
      <c r="E25411" s="23"/>
      <c r="L25411" s="23"/>
    </row>
    <row r="25412">
      <c r="B25412" s="19"/>
      <c r="E25412" s="23"/>
      <c r="L25412" s="23"/>
    </row>
    <row r="25413">
      <c r="B25413" s="19"/>
      <c r="E25413" s="23"/>
      <c r="L25413" s="23"/>
    </row>
    <row r="25414">
      <c r="B25414" s="19"/>
      <c r="E25414" s="23"/>
      <c r="L25414" s="23"/>
    </row>
    <row r="25415">
      <c r="B25415" s="19"/>
      <c r="E25415" s="23"/>
      <c r="L25415" s="23"/>
    </row>
    <row r="25416">
      <c r="B25416" s="19"/>
      <c r="E25416" s="23"/>
      <c r="L25416" s="23"/>
    </row>
    <row r="25417">
      <c r="B25417" s="19"/>
      <c r="E25417" s="23"/>
      <c r="L25417" s="23"/>
    </row>
    <row r="25418">
      <c r="B25418" s="19"/>
      <c r="E25418" s="23"/>
      <c r="L25418" s="23"/>
    </row>
    <row r="25419">
      <c r="B25419" s="19"/>
      <c r="E25419" s="23"/>
      <c r="L25419" s="23"/>
    </row>
    <row r="25420">
      <c r="B25420" s="19"/>
      <c r="E25420" s="23"/>
      <c r="L25420" s="23"/>
    </row>
    <row r="25421">
      <c r="B25421" s="19"/>
      <c r="E25421" s="23"/>
      <c r="L25421" s="23"/>
    </row>
    <row r="25422">
      <c r="B25422" s="19"/>
      <c r="E25422" s="23"/>
      <c r="L25422" s="23"/>
    </row>
    <row r="25423">
      <c r="B25423" s="19"/>
      <c r="E25423" s="23"/>
      <c r="L25423" s="23"/>
    </row>
    <row r="25424">
      <c r="B25424" s="19"/>
      <c r="E25424" s="23"/>
      <c r="L25424" s="23"/>
    </row>
    <row r="25425">
      <c r="B25425" s="19"/>
      <c r="E25425" s="23"/>
      <c r="L25425" s="23"/>
    </row>
    <row r="25426">
      <c r="B25426" s="19"/>
      <c r="E25426" s="23"/>
      <c r="L25426" s="23"/>
    </row>
    <row r="25427">
      <c r="B25427" s="19"/>
      <c r="E25427" s="23"/>
      <c r="L25427" s="23"/>
    </row>
    <row r="25428">
      <c r="B25428" s="19"/>
      <c r="E25428" s="23"/>
      <c r="L25428" s="23"/>
    </row>
    <row r="25429">
      <c r="B25429" s="19"/>
      <c r="E25429" s="23"/>
      <c r="L25429" s="23"/>
    </row>
    <row r="25430">
      <c r="B25430" s="19"/>
      <c r="E25430" s="23"/>
      <c r="L25430" s="23"/>
    </row>
    <row r="25431">
      <c r="B25431" s="19"/>
      <c r="E25431" s="23"/>
      <c r="L25431" s="23"/>
    </row>
    <row r="25432">
      <c r="B25432" s="19"/>
      <c r="E25432" s="23"/>
      <c r="L25432" s="23"/>
    </row>
    <row r="25433">
      <c r="B25433" s="19"/>
      <c r="E25433" s="23"/>
      <c r="L25433" s="23"/>
    </row>
    <row r="25434">
      <c r="B25434" s="19"/>
      <c r="E25434" s="23"/>
      <c r="L25434" s="23"/>
    </row>
    <row r="25435">
      <c r="B25435" s="19"/>
      <c r="E25435" s="23"/>
      <c r="L25435" s="23"/>
    </row>
    <row r="25436">
      <c r="B25436" s="19"/>
      <c r="E25436" s="23"/>
      <c r="L25436" s="23"/>
    </row>
    <row r="25437">
      <c r="B25437" s="19"/>
      <c r="E25437" s="23"/>
      <c r="L25437" s="23"/>
    </row>
    <row r="25438">
      <c r="B25438" s="19"/>
      <c r="E25438" s="23"/>
      <c r="L25438" s="23"/>
    </row>
    <row r="25439">
      <c r="B25439" s="19"/>
      <c r="E25439" s="23"/>
      <c r="L25439" s="23"/>
    </row>
    <row r="25440">
      <c r="B25440" s="19"/>
      <c r="E25440" s="23"/>
      <c r="L25440" s="23"/>
    </row>
    <row r="25441">
      <c r="B25441" s="19"/>
      <c r="E25441" s="23"/>
      <c r="L25441" s="23"/>
    </row>
    <row r="25442">
      <c r="B25442" s="19"/>
      <c r="E25442" s="23"/>
      <c r="L25442" s="23"/>
    </row>
    <row r="25443">
      <c r="B25443" s="19"/>
      <c r="E25443" s="23"/>
      <c r="L25443" s="23"/>
    </row>
    <row r="25444">
      <c r="B25444" s="19"/>
      <c r="E25444" s="23"/>
      <c r="L25444" s="23"/>
    </row>
    <row r="25445">
      <c r="B25445" s="19"/>
      <c r="E25445" s="23"/>
      <c r="L25445" s="23"/>
    </row>
    <row r="25446">
      <c r="B25446" s="19"/>
      <c r="E25446" s="23"/>
      <c r="L25446" s="23"/>
    </row>
    <row r="25447">
      <c r="B25447" s="19"/>
      <c r="E25447" s="23"/>
      <c r="L25447" s="23"/>
    </row>
    <row r="25448">
      <c r="B25448" s="19"/>
      <c r="E25448" s="23"/>
      <c r="L25448" s="23"/>
    </row>
    <row r="25449">
      <c r="B25449" s="19"/>
      <c r="E25449" s="23"/>
      <c r="L25449" s="23"/>
    </row>
    <row r="25450">
      <c r="B25450" s="19"/>
      <c r="E25450" s="23"/>
      <c r="L25450" s="23"/>
    </row>
    <row r="25451">
      <c r="B25451" s="19"/>
      <c r="E25451" s="23"/>
      <c r="L25451" s="23"/>
    </row>
    <row r="25452">
      <c r="B25452" s="19"/>
      <c r="E25452" s="23"/>
      <c r="L25452" s="23"/>
    </row>
    <row r="25453">
      <c r="B25453" s="19"/>
      <c r="E25453" s="23"/>
      <c r="L25453" s="23"/>
    </row>
    <row r="25454">
      <c r="B25454" s="19"/>
      <c r="E25454" s="23"/>
      <c r="L25454" s="23"/>
    </row>
    <row r="25455">
      <c r="B25455" s="19"/>
      <c r="E25455" s="23"/>
      <c r="L25455" s="23"/>
    </row>
    <row r="25456">
      <c r="B25456" s="19"/>
      <c r="E25456" s="23"/>
      <c r="L25456" s="23"/>
    </row>
    <row r="25457">
      <c r="B25457" s="19"/>
      <c r="E25457" s="23"/>
      <c r="L25457" s="23"/>
    </row>
    <row r="25458">
      <c r="B25458" s="19"/>
      <c r="E25458" s="23"/>
      <c r="L25458" s="23"/>
    </row>
    <row r="25459">
      <c r="B25459" s="19"/>
      <c r="E25459" s="23"/>
      <c r="L25459" s="23"/>
    </row>
    <row r="25460">
      <c r="B25460" s="19"/>
      <c r="E25460" s="23"/>
      <c r="L25460" s="23"/>
    </row>
    <row r="25461">
      <c r="B25461" s="19"/>
      <c r="E25461" s="23"/>
      <c r="L25461" s="23"/>
    </row>
    <row r="25462">
      <c r="B25462" s="19"/>
      <c r="E25462" s="23"/>
      <c r="L25462" s="23"/>
    </row>
    <row r="25463">
      <c r="B25463" s="19"/>
      <c r="E25463" s="23"/>
      <c r="L25463" s="23"/>
    </row>
    <row r="25464">
      <c r="B25464" s="19"/>
      <c r="E25464" s="23"/>
      <c r="L25464" s="23"/>
    </row>
    <row r="25465">
      <c r="B25465" s="19"/>
      <c r="E25465" s="23"/>
      <c r="L25465" s="23"/>
    </row>
    <row r="25466">
      <c r="B25466" s="19"/>
      <c r="E25466" s="23"/>
      <c r="L25466" s="23"/>
    </row>
    <row r="25467">
      <c r="B25467" s="19"/>
      <c r="E25467" s="23"/>
      <c r="L25467" s="23"/>
    </row>
    <row r="25468">
      <c r="B25468" s="19"/>
      <c r="E25468" s="23"/>
      <c r="L25468" s="23"/>
    </row>
    <row r="25469">
      <c r="B25469" s="19"/>
      <c r="E25469" s="23"/>
      <c r="L25469" s="23"/>
    </row>
    <row r="25470">
      <c r="B25470" s="19"/>
      <c r="E25470" s="23"/>
      <c r="L25470" s="23"/>
    </row>
    <row r="25471">
      <c r="B25471" s="19"/>
      <c r="E25471" s="23"/>
      <c r="L25471" s="23"/>
    </row>
    <row r="25472">
      <c r="B25472" s="19"/>
      <c r="E25472" s="23"/>
      <c r="L25472" s="23"/>
    </row>
    <row r="25473">
      <c r="B25473" s="19"/>
      <c r="E25473" s="23"/>
      <c r="L25473" s="23"/>
    </row>
    <row r="25474">
      <c r="B25474" s="19"/>
      <c r="E25474" s="23"/>
      <c r="L25474" s="23"/>
    </row>
    <row r="25475">
      <c r="B25475" s="19"/>
      <c r="E25475" s="23"/>
      <c r="L25475" s="23"/>
    </row>
    <row r="25476">
      <c r="B25476" s="19"/>
      <c r="E25476" s="23"/>
      <c r="L25476" s="23"/>
    </row>
    <row r="25477">
      <c r="B25477" s="19"/>
      <c r="E25477" s="23"/>
      <c r="L25477" s="23"/>
    </row>
    <row r="25478">
      <c r="B25478" s="19"/>
      <c r="E25478" s="23"/>
      <c r="L25478" s="23"/>
    </row>
    <row r="25479">
      <c r="B25479" s="19"/>
      <c r="E25479" s="23"/>
      <c r="L25479" s="23"/>
    </row>
    <row r="25480">
      <c r="B25480" s="19"/>
      <c r="E25480" s="23"/>
      <c r="L25480" s="23"/>
    </row>
    <row r="25481">
      <c r="B25481" s="19"/>
      <c r="E25481" s="23"/>
      <c r="L25481" s="23"/>
    </row>
    <row r="25482">
      <c r="B25482" s="19"/>
      <c r="E25482" s="23"/>
      <c r="L25482" s="23"/>
    </row>
    <row r="25483">
      <c r="B25483" s="19"/>
      <c r="E25483" s="23"/>
      <c r="L25483" s="23"/>
    </row>
    <row r="25484">
      <c r="B25484" s="19"/>
      <c r="E25484" s="23"/>
      <c r="L25484" s="23"/>
    </row>
    <row r="25485">
      <c r="B25485" s="19"/>
      <c r="E25485" s="23"/>
      <c r="L25485" s="23"/>
    </row>
    <row r="25486">
      <c r="B25486" s="19"/>
      <c r="E25486" s="23"/>
      <c r="L25486" s="23"/>
    </row>
    <row r="25487">
      <c r="B25487" s="19"/>
      <c r="E25487" s="23"/>
      <c r="L25487" s="23"/>
    </row>
    <row r="25488">
      <c r="B25488" s="19"/>
      <c r="E25488" s="23"/>
      <c r="L25488" s="23"/>
    </row>
    <row r="25489">
      <c r="B25489" s="19"/>
      <c r="E25489" s="23"/>
      <c r="L25489" s="23"/>
    </row>
    <row r="25490">
      <c r="B25490" s="19"/>
      <c r="E25490" s="23"/>
      <c r="L25490" s="23"/>
    </row>
    <row r="25491">
      <c r="B25491" s="19"/>
      <c r="E25491" s="23"/>
      <c r="L25491" s="23"/>
    </row>
    <row r="25492">
      <c r="B25492" s="19"/>
      <c r="E25492" s="23"/>
      <c r="L25492" s="23"/>
    </row>
    <row r="25493">
      <c r="B25493" s="19"/>
      <c r="E25493" s="23"/>
      <c r="L25493" s="23"/>
    </row>
    <row r="25494">
      <c r="B25494" s="19"/>
      <c r="E25494" s="23"/>
      <c r="L25494" s="23"/>
    </row>
    <row r="25495">
      <c r="B25495" s="19"/>
      <c r="E25495" s="23"/>
      <c r="L25495" s="23"/>
    </row>
    <row r="25496">
      <c r="B25496" s="19"/>
      <c r="E25496" s="23"/>
      <c r="L25496" s="23"/>
    </row>
    <row r="25497">
      <c r="B25497" s="19"/>
      <c r="E25497" s="23"/>
      <c r="L25497" s="23"/>
    </row>
    <row r="25498">
      <c r="B25498" s="19"/>
      <c r="E25498" s="23"/>
      <c r="L25498" s="23"/>
    </row>
    <row r="25499">
      <c r="B25499" s="19"/>
      <c r="E25499" s="23"/>
      <c r="L25499" s="23"/>
    </row>
    <row r="25500">
      <c r="B25500" s="19"/>
      <c r="E25500" s="23"/>
      <c r="L25500" s="23"/>
    </row>
    <row r="25501">
      <c r="B25501" s="19"/>
      <c r="E25501" s="23"/>
      <c r="L25501" s="23"/>
    </row>
    <row r="25502">
      <c r="B25502" s="19"/>
      <c r="E25502" s="23"/>
      <c r="L25502" s="23"/>
    </row>
    <row r="25503">
      <c r="B25503" s="19"/>
      <c r="E25503" s="23"/>
      <c r="L25503" s="23"/>
    </row>
    <row r="25504">
      <c r="B25504" s="19"/>
      <c r="E25504" s="23"/>
      <c r="L25504" s="23"/>
    </row>
    <row r="25505">
      <c r="B25505" s="19"/>
      <c r="E25505" s="23"/>
      <c r="L25505" s="23"/>
    </row>
    <row r="25506">
      <c r="B25506" s="19"/>
      <c r="E25506" s="23"/>
      <c r="L25506" s="23"/>
    </row>
    <row r="25507">
      <c r="B25507" s="19"/>
      <c r="E25507" s="23"/>
      <c r="L25507" s="23"/>
    </row>
    <row r="25508">
      <c r="B25508" s="19"/>
      <c r="E25508" s="23"/>
      <c r="L25508" s="23"/>
    </row>
    <row r="25509">
      <c r="B25509" s="19"/>
      <c r="E25509" s="23"/>
      <c r="L25509" s="23"/>
    </row>
    <row r="25510">
      <c r="B25510" s="19"/>
      <c r="E25510" s="23"/>
      <c r="L25510" s="23"/>
    </row>
    <row r="25511">
      <c r="B25511" s="19"/>
      <c r="E25511" s="23"/>
      <c r="L25511" s="23"/>
    </row>
    <row r="25512">
      <c r="B25512" s="19"/>
      <c r="E25512" s="23"/>
      <c r="L25512" s="23"/>
    </row>
    <row r="25513">
      <c r="B25513" s="19"/>
      <c r="E25513" s="23"/>
      <c r="L25513" s="23"/>
    </row>
    <row r="25514">
      <c r="B25514" s="19"/>
      <c r="E25514" s="23"/>
      <c r="L25514" s="23"/>
    </row>
    <row r="25515">
      <c r="B25515" s="19"/>
      <c r="E25515" s="23"/>
      <c r="L25515" s="23"/>
    </row>
    <row r="25516">
      <c r="B25516" s="19"/>
      <c r="E25516" s="23"/>
      <c r="L25516" s="23"/>
    </row>
    <row r="25517">
      <c r="B25517" s="19"/>
      <c r="E25517" s="23"/>
      <c r="L25517" s="23"/>
    </row>
    <row r="25518">
      <c r="B25518" s="19"/>
      <c r="E25518" s="23"/>
      <c r="L25518" s="23"/>
    </row>
    <row r="25519">
      <c r="B25519" s="19"/>
      <c r="E25519" s="23"/>
      <c r="L25519" s="23"/>
    </row>
    <row r="25520">
      <c r="B25520" s="19"/>
      <c r="E25520" s="23"/>
      <c r="L25520" s="23"/>
    </row>
    <row r="25521">
      <c r="B25521" s="19"/>
      <c r="E25521" s="23"/>
      <c r="L25521" s="23"/>
    </row>
    <row r="25522">
      <c r="B25522" s="19"/>
      <c r="E25522" s="23"/>
      <c r="L25522" s="23"/>
    </row>
    <row r="25523">
      <c r="B25523" s="19"/>
      <c r="E25523" s="23"/>
      <c r="L25523" s="23"/>
    </row>
    <row r="25524">
      <c r="B25524" s="19"/>
      <c r="E25524" s="23"/>
      <c r="L25524" s="23"/>
    </row>
    <row r="25525">
      <c r="B25525" s="19"/>
      <c r="E25525" s="23"/>
      <c r="L25525" s="23"/>
    </row>
    <row r="25526">
      <c r="B25526" s="19"/>
      <c r="E25526" s="23"/>
      <c r="L25526" s="23"/>
    </row>
    <row r="25527">
      <c r="B25527" s="19"/>
      <c r="E25527" s="23"/>
      <c r="L25527" s="23"/>
    </row>
    <row r="25528">
      <c r="B25528" s="19"/>
      <c r="E25528" s="23"/>
      <c r="L25528" s="23"/>
    </row>
    <row r="25529">
      <c r="B25529" s="19"/>
      <c r="E25529" s="23"/>
      <c r="L25529" s="23"/>
    </row>
    <row r="25530">
      <c r="B25530" s="19"/>
      <c r="E25530" s="23"/>
      <c r="L25530" s="23"/>
    </row>
    <row r="25531">
      <c r="B25531" s="19"/>
      <c r="E25531" s="23"/>
      <c r="L25531" s="23"/>
    </row>
    <row r="25532">
      <c r="B25532" s="19"/>
      <c r="E25532" s="23"/>
      <c r="L25532" s="23"/>
    </row>
    <row r="25533">
      <c r="B25533" s="19"/>
      <c r="E25533" s="23"/>
      <c r="L25533" s="23"/>
    </row>
    <row r="25534">
      <c r="B25534" s="19"/>
      <c r="E25534" s="23"/>
      <c r="L25534" s="23"/>
    </row>
    <row r="25535">
      <c r="B25535" s="19"/>
      <c r="E25535" s="23"/>
      <c r="L25535" s="23"/>
    </row>
    <row r="25536">
      <c r="B25536" s="19"/>
      <c r="E25536" s="23"/>
      <c r="L25536" s="23"/>
    </row>
    <row r="25537">
      <c r="B25537" s="19"/>
      <c r="E25537" s="23"/>
      <c r="L25537" s="23"/>
    </row>
    <row r="25538">
      <c r="B25538" s="19"/>
      <c r="E25538" s="23"/>
      <c r="L25538" s="23"/>
    </row>
    <row r="25539">
      <c r="B25539" s="19"/>
      <c r="E25539" s="23"/>
      <c r="L25539" s="23"/>
    </row>
    <row r="25540">
      <c r="B25540" s="19"/>
      <c r="E25540" s="23"/>
      <c r="L25540" s="23"/>
    </row>
    <row r="25541">
      <c r="B25541" s="19"/>
      <c r="E25541" s="23"/>
      <c r="L25541" s="23"/>
    </row>
    <row r="25542">
      <c r="B25542" s="19"/>
      <c r="E25542" s="23"/>
      <c r="L25542" s="23"/>
    </row>
    <row r="25543">
      <c r="B25543" s="19"/>
      <c r="E25543" s="23"/>
      <c r="L25543" s="23"/>
    </row>
    <row r="25544">
      <c r="B25544" s="19"/>
      <c r="E25544" s="23"/>
      <c r="L25544" s="23"/>
    </row>
    <row r="25545">
      <c r="B25545" s="19"/>
      <c r="E25545" s="23"/>
      <c r="L25545" s="23"/>
    </row>
    <row r="25546">
      <c r="B25546" s="19"/>
      <c r="E25546" s="23"/>
      <c r="L25546" s="23"/>
    </row>
    <row r="25547">
      <c r="B25547" s="19"/>
      <c r="E25547" s="23"/>
      <c r="L25547" s="23"/>
    </row>
    <row r="25548">
      <c r="B25548" s="19"/>
      <c r="E25548" s="23"/>
      <c r="L25548" s="23"/>
    </row>
    <row r="25549">
      <c r="B25549" s="19"/>
      <c r="E25549" s="23"/>
      <c r="L25549" s="23"/>
    </row>
    <row r="25550">
      <c r="B25550" s="19"/>
      <c r="E25550" s="23"/>
      <c r="L25550" s="23"/>
    </row>
    <row r="25551">
      <c r="B25551" s="19"/>
      <c r="E25551" s="23"/>
      <c r="L25551" s="23"/>
    </row>
    <row r="25552">
      <c r="B25552" s="19"/>
      <c r="E25552" s="23"/>
      <c r="L25552" s="23"/>
    </row>
    <row r="25553">
      <c r="B25553" s="19"/>
      <c r="E25553" s="23"/>
      <c r="L25553" s="23"/>
    </row>
    <row r="25554">
      <c r="B25554" s="19"/>
      <c r="E25554" s="23"/>
      <c r="L25554" s="23"/>
    </row>
    <row r="25555">
      <c r="B25555" s="19"/>
      <c r="E25555" s="23"/>
      <c r="L25555" s="23"/>
    </row>
    <row r="25556">
      <c r="B25556" s="19"/>
      <c r="E25556" s="23"/>
      <c r="L25556" s="23"/>
    </row>
    <row r="25557">
      <c r="B25557" s="19"/>
      <c r="E25557" s="23"/>
      <c r="L25557" s="23"/>
    </row>
    <row r="25558">
      <c r="B25558" s="19"/>
      <c r="E25558" s="23"/>
      <c r="L25558" s="23"/>
    </row>
    <row r="25559">
      <c r="B25559" s="19"/>
      <c r="E25559" s="23"/>
      <c r="L25559" s="23"/>
    </row>
    <row r="25560">
      <c r="B25560" s="19"/>
      <c r="E25560" s="23"/>
      <c r="L25560" s="23"/>
    </row>
    <row r="25561">
      <c r="B25561" s="19"/>
      <c r="E25561" s="23"/>
      <c r="L25561" s="23"/>
    </row>
    <row r="25562">
      <c r="B25562" s="19"/>
      <c r="E25562" s="23"/>
      <c r="L25562" s="23"/>
    </row>
    <row r="25563">
      <c r="B25563" s="19"/>
      <c r="E25563" s="23"/>
      <c r="L25563" s="23"/>
    </row>
    <row r="25564">
      <c r="B25564" s="19"/>
      <c r="E25564" s="23"/>
      <c r="L25564" s="23"/>
    </row>
    <row r="25565">
      <c r="B25565" s="19"/>
      <c r="E25565" s="23"/>
      <c r="L25565" s="23"/>
    </row>
    <row r="25566">
      <c r="B25566" s="19"/>
      <c r="E25566" s="23"/>
      <c r="L25566" s="23"/>
    </row>
    <row r="25567">
      <c r="B25567" s="19"/>
      <c r="E25567" s="23"/>
      <c r="L25567" s="23"/>
    </row>
    <row r="25568">
      <c r="B25568" s="19"/>
      <c r="E25568" s="23"/>
      <c r="L25568" s="23"/>
    </row>
    <row r="25569">
      <c r="B25569" s="19"/>
      <c r="E25569" s="23"/>
      <c r="L25569" s="23"/>
    </row>
    <row r="25570">
      <c r="B25570" s="19"/>
      <c r="E25570" s="23"/>
      <c r="L25570" s="23"/>
    </row>
    <row r="25571">
      <c r="B25571" s="19"/>
      <c r="E25571" s="23"/>
      <c r="L25571" s="23"/>
    </row>
    <row r="25572">
      <c r="B25572" s="19"/>
      <c r="E25572" s="23"/>
      <c r="L25572" s="23"/>
    </row>
    <row r="25573">
      <c r="B25573" s="19"/>
      <c r="E25573" s="23"/>
      <c r="L25573" s="23"/>
    </row>
    <row r="25574">
      <c r="B25574" s="19"/>
      <c r="E25574" s="23"/>
      <c r="L25574" s="23"/>
    </row>
    <row r="25575">
      <c r="B25575" s="19"/>
      <c r="E25575" s="23"/>
      <c r="L25575" s="23"/>
    </row>
    <row r="25576">
      <c r="B25576" s="19"/>
      <c r="E25576" s="23"/>
      <c r="L25576" s="23"/>
    </row>
    <row r="25577">
      <c r="B25577" s="19"/>
      <c r="E25577" s="23"/>
      <c r="L25577" s="23"/>
    </row>
    <row r="25578">
      <c r="B25578" s="19"/>
      <c r="E25578" s="23"/>
      <c r="L25578" s="23"/>
    </row>
    <row r="25579">
      <c r="B25579" s="19"/>
      <c r="E25579" s="23"/>
      <c r="L25579" s="23"/>
    </row>
    <row r="25580">
      <c r="B25580" s="19"/>
      <c r="E25580" s="23"/>
      <c r="L25580" s="23"/>
    </row>
    <row r="25581">
      <c r="B25581" s="19"/>
      <c r="E25581" s="23"/>
      <c r="L25581" s="23"/>
    </row>
    <row r="25582">
      <c r="B25582" s="19"/>
      <c r="E25582" s="23"/>
      <c r="L25582" s="23"/>
    </row>
    <row r="25583">
      <c r="B25583" s="19"/>
      <c r="E25583" s="23"/>
      <c r="L25583" s="23"/>
    </row>
    <row r="25584">
      <c r="B25584" s="19"/>
      <c r="E25584" s="23"/>
      <c r="L25584" s="23"/>
    </row>
    <row r="25585">
      <c r="B25585" s="19"/>
      <c r="E25585" s="23"/>
      <c r="L25585" s="23"/>
    </row>
    <row r="25586">
      <c r="B25586" s="19"/>
      <c r="E25586" s="23"/>
      <c r="L25586" s="23"/>
    </row>
    <row r="25587">
      <c r="B25587" s="19"/>
      <c r="E25587" s="23"/>
      <c r="L25587" s="23"/>
    </row>
    <row r="25588">
      <c r="B25588" s="19"/>
      <c r="E25588" s="23"/>
      <c r="L25588" s="23"/>
    </row>
    <row r="25589">
      <c r="B25589" s="19"/>
      <c r="E25589" s="23"/>
      <c r="L25589" s="23"/>
    </row>
    <row r="25590">
      <c r="B25590" s="19"/>
      <c r="E25590" s="23"/>
      <c r="L25590" s="23"/>
    </row>
    <row r="25591">
      <c r="B25591" s="19"/>
      <c r="E25591" s="23"/>
      <c r="L25591" s="23"/>
    </row>
    <row r="25592">
      <c r="B25592" s="19"/>
      <c r="E25592" s="23"/>
      <c r="L25592" s="23"/>
    </row>
    <row r="25593">
      <c r="B25593" s="19"/>
      <c r="E25593" s="23"/>
      <c r="L25593" s="23"/>
    </row>
    <row r="25594">
      <c r="B25594" s="19"/>
      <c r="E25594" s="23"/>
      <c r="L25594" s="23"/>
    </row>
    <row r="25595">
      <c r="B25595" s="19"/>
      <c r="E25595" s="23"/>
      <c r="L25595" s="23"/>
    </row>
    <row r="25596">
      <c r="B25596" s="19"/>
      <c r="E25596" s="23"/>
      <c r="L25596" s="23"/>
    </row>
    <row r="25597">
      <c r="B25597" s="19"/>
      <c r="E25597" s="23"/>
      <c r="L25597" s="23"/>
    </row>
    <row r="25598">
      <c r="B25598" s="19"/>
      <c r="E25598" s="23"/>
      <c r="L25598" s="23"/>
    </row>
    <row r="25599">
      <c r="B25599" s="19"/>
      <c r="E25599" s="23"/>
      <c r="L25599" s="23"/>
    </row>
    <row r="25600">
      <c r="B25600" s="19"/>
      <c r="E25600" s="23"/>
      <c r="L25600" s="23"/>
    </row>
    <row r="25601">
      <c r="B25601" s="19"/>
      <c r="E25601" s="23"/>
      <c r="L25601" s="23"/>
    </row>
    <row r="25602">
      <c r="B25602" s="19"/>
      <c r="E25602" s="23"/>
      <c r="L25602" s="23"/>
    </row>
    <row r="25603">
      <c r="B25603" s="19"/>
      <c r="E25603" s="23"/>
      <c r="L25603" s="23"/>
    </row>
    <row r="25604">
      <c r="B25604" s="19"/>
      <c r="E25604" s="23"/>
      <c r="L25604" s="23"/>
    </row>
    <row r="25605">
      <c r="B25605" s="19"/>
      <c r="E25605" s="23"/>
      <c r="L25605" s="23"/>
    </row>
    <row r="25606">
      <c r="B25606" s="19"/>
      <c r="E25606" s="23"/>
      <c r="L25606" s="23"/>
    </row>
    <row r="25607">
      <c r="B25607" s="19"/>
      <c r="E25607" s="23"/>
      <c r="L25607" s="23"/>
    </row>
    <row r="25608">
      <c r="B25608" s="19"/>
      <c r="E25608" s="23"/>
      <c r="L25608" s="23"/>
    </row>
    <row r="25609">
      <c r="B25609" s="19"/>
      <c r="E25609" s="23"/>
      <c r="L25609" s="23"/>
    </row>
    <row r="25610">
      <c r="B25610" s="19"/>
      <c r="E25610" s="23"/>
      <c r="L25610" s="23"/>
    </row>
    <row r="25611">
      <c r="B25611" s="19"/>
      <c r="E25611" s="23"/>
      <c r="L25611" s="23"/>
    </row>
    <row r="25612">
      <c r="B25612" s="19"/>
      <c r="E25612" s="23"/>
      <c r="L25612" s="23"/>
    </row>
    <row r="25613">
      <c r="B25613" s="19"/>
      <c r="E25613" s="23"/>
      <c r="L25613" s="23"/>
    </row>
    <row r="25614">
      <c r="B25614" s="19"/>
      <c r="E25614" s="23"/>
      <c r="L25614" s="23"/>
    </row>
    <row r="25615">
      <c r="B25615" s="19"/>
      <c r="E25615" s="23"/>
      <c r="L25615" s="23"/>
    </row>
    <row r="25616">
      <c r="B25616" s="19"/>
      <c r="E25616" s="23"/>
      <c r="L25616" s="23"/>
    </row>
    <row r="25617">
      <c r="B25617" s="19"/>
      <c r="E25617" s="23"/>
      <c r="L25617" s="23"/>
    </row>
    <row r="25618">
      <c r="B25618" s="19"/>
      <c r="E25618" s="23"/>
      <c r="L25618" s="23"/>
    </row>
    <row r="25619">
      <c r="B25619" s="19"/>
      <c r="E25619" s="23"/>
      <c r="L25619" s="23"/>
    </row>
    <row r="25620">
      <c r="B25620" s="19"/>
      <c r="E25620" s="23"/>
      <c r="L25620" s="23"/>
    </row>
    <row r="25621">
      <c r="B25621" s="19"/>
      <c r="E25621" s="23"/>
      <c r="L25621" s="23"/>
    </row>
    <row r="25622">
      <c r="B25622" s="19"/>
      <c r="E25622" s="23"/>
      <c r="L25622" s="23"/>
    </row>
    <row r="25623">
      <c r="B25623" s="19"/>
      <c r="E25623" s="23"/>
      <c r="L25623" s="23"/>
    </row>
    <row r="25624">
      <c r="B25624" s="19"/>
      <c r="E25624" s="23"/>
      <c r="L25624" s="23"/>
    </row>
    <row r="25625">
      <c r="B25625" s="19"/>
      <c r="E25625" s="23"/>
      <c r="L25625" s="23"/>
    </row>
    <row r="25626">
      <c r="B25626" s="19"/>
      <c r="E25626" s="23"/>
      <c r="L25626" s="23"/>
    </row>
    <row r="25627">
      <c r="B25627" s="19"/>
      <c r="E25627" s="23"/>
      <c r="L25627" s="23"/>
    </row>
    <row r="25628">
      <c r="B25628" s="19"/>
      <c r="E25628" s="23"/>
      <c r="L25628" s="23"/>
    </row>
    <row r="25629">
      <c r="B25629" s="19"/>
      <c r="E25629" s="23"/>
      <c r="L25629" s="23"/>
    </row>
    <row r="25630">
      <c r="B25630" s="19"/>
      <c r="E25630" s="23"/>
      <c r="L25630" s="23"/>
    </row>
    <row r="25631">
      <c r="B25631" s="19"/>
      <c r="E25631" s="23"/>
      <c r="L25631" s="23"/>
    </row>
    <row r="25632">
      <c r="B25632" s="19"/>
      <c r="E25632" s="23"/>
      <c r="L25632" s="23"/>
    </row>
    <row r="25633">
      <c r="B25633" s="19"/>
      <c r="E25633" s="23"/>
      <c r="L25633" s="23"/>
    </row>
    <row r="25634">
      <c r="B25634" s="19"/>
      <c r="E25634" s="23"/>
      <c r="L25634" s="23"/>
    </row>
    <row r="25635">
      <c r="B25635" s="19"/>
      <c r="E25635" s="23"/>
      <c r="L25635" s="23"/>
    </row>
    <row r="25636">
      <c r="B25636" s="19"/>
      <c r="E25636" s="23"/>
      <c r="L25636" s="23"/>
    </row>
    <row r="25637">
      <c r="B25637" s="19"/>
      <c r="E25637" s="23"/>
      <c r="L25637" s="23"/>
    </row>
    <row r="25638">
      <c r="B25638" s="19"/>
      <c r="E25638" s="23"/>
      <c r="L25638" s="23"/>
    </row>
    <row r="25639">
      <c r="B25639" s="19"/>
      <c r="E25639" s="23"/>
      <c r="L25639" s="23"/>
    </row>
    <row r="25640">
      <c r="B25640" s="19"/>
      <c r="E25640" s="23"/>
      <c r="L25640" s="23"/>
    </row>
    <row r="25641">
      <c r="B25641" s="19"/>
      <c r="E25641" s="23"/>
      <c r="L25641" s="23"/>
    </row>
    <row r="25642">
      <c r="B25642" s="19"/>
      <c r="E25642" s="23"/>
      <c r="L25642" s="23"/>
    </row>
    <row r="25643">
      <c r="B25643" s="19"/>
      <c r="E25643" s="23"/>
      <c r="L25643" s="23"/>
    </row>
    <row r="25644">
      <c r="B25644" s="19"/>
      <c r="E25644" s="23"/>
      <c r="L25644" s="23"/>
    </row>
    <row r="25645">
      <c r="B25645" s="19"/>
      <c r="E25645" s="23"/>
      <c r="L25645" s="23"/>
    </row>
    <row r="25646">
      <c r="B25646" s="19"/>
      <c r="E25646" s="23"/>
      <c r="L25646" s="23"/>
    </row>
    <row r="25647">
      <c r="B25647" s="19"/>
      <c r="E25647" s="23"/>
      <c r="L25647" s="23"/>
    </row>
    <row r="25648">
      <c r="B25648" s="19"/>
      <c r="E25648" s="23"/>
      <c r="L25648" s="23"/>
    </row>
    <row r="25649">
      <c r="B25649" s="19"/>
      <c r="E25649" s="23"/>
      <c r="L25649" s="23"/>
    </row>
    <row r="25650">
      <c r="B25650" s="19"/>
      <c r="E25650" s="23"/>
      <c r="L25650" s="23"/>
    </row>
    <row r="25651">
      <c r="B25651" s="19"/>
      <c r="E25651" s="23"/>
      <c r="L25651" s="23"/>
    </row>
    <row r="25652">
      <c r="B25652" s="19"/>
      <c r="E25652" s="23"/>
      <c r="L25652" s="23"/>
    </row>
    <row r="25653">
      <c r="B25653" s="19"/>
      <c r="E25653" s="23"/>
      <c r="L25653" s="23"/>
    </row>
    <row r="25654">
      <c r="B25654" s="19"/>
      <c r="E25654" s="23"/>
      <c r="L25654" s="23"/>
    </row>
    <row r="25655">
      <c r="B25655" s="19"/>
      <c r="E25655" s="23"/>
      <c r="L25655" s="23"/>
    </row>
    <row r="25656">
      <c r="B25656" s="19"/>
      <c r="E25656" s="23"/>
      <c r="L25656" s="23"/>
    </row>
    <row r="25657">
      <c r="B25657" s="19"/>
      <c r="E25657" s="23"/>
      <c r="L25657" s="23"/>
    </row>
    <row r="25658">
      <c r="B25658" s="19"/>
      <c r="E25658" s="23"/>
      <c r="L25658" s="23"/>
    </row>
    <row r="25659">
      <c r="B25659" s="19"/>
      <c r="E25659" s="23"/>
      <c r="L25659" s="23"/>
    </row>
    <row r="25660">
      <c r="B25660" s="19"/>
      <c r="E25660" s="23"/>
      <c r="L25660" s="23"/>
    </row>
    <row r="25661">
      <c r="B25661" s="19"/>
      <c r="E25661" s="23"/>
      <c r="L25661" s="23"/>
    </row>
    <row r="25662">
      <c r="B25662" s="19"/>
      <c r="E25662" s="23"/>
      <c r="L25662" s="23"/>
    </row>
    <row r="25663">
      <c r="B25663" s="19"/>
      <c r="E25663" s="23"/>
      <c r="L25663" s="23"/>
    </row>
    <row r="25664">
      <c r="B25664" s="19"/>
      <c r="E25664" s="23"/>
      <c r="L25664" s="23"/>
    </row>
    <row r="25665">
      <c r="B25665" s="19"/>
      <c r="E25665" s="23"/>
      <c r="L25665" s="23"/>
    </row>
    <row r="25666">
      <c r="B25666" s="19"/>
      <c r="E25666" s="23"/>
      <c r="L25666" s="23"/>
    </row>
    <row r="25667">
      <c r="B25667" s="19"/>
      <c r="E25667" s="23"/>
      <c r="L25667" s="23"/>
    </row>
    <row r="25668">
      <c r="B25668" s="19"/>
      <c r="E25668" s="23"/>
      <c r="L25668" s="23"/>
    </row>
    <row r="25669">
      <c r="B25669" s="19"/>
      <c r="E25669" s="23"/>
      <c r="L25669" s="23"/>
    </row>
    <row r="25670">
      <c r="B25670" s="19"/>
      <c r="E25670" s="23"/>
      <c r="L25670" s="23"/>
    </row>
    <row r="25671">
      <c r="B25671" s="19"/>
      <c r="E25671" s="23"/>
      <c r="L25671" s="23"/>
    </row>
    <row r="25672">
      <c r="B25672" s="19"/>
      <c r="E25672" s="23"/>
      <c r="L25672" s="23"/>
    </row>
    <row r="25673">
      <c r="B25673" s="19"/>
      <c r="E25673" s="23"/>
      <c r="L25673" s="23"/>
    </row>
    <row r="25674">
      <c r="B25674" s="19"/>
      <c r="E25674" s="23"/>
      <c r="L25674" s="23"/>
    </row>
    <row r="25675">
      <c r="B25675" s="19"/>
      <c r="E25675" s="23"/>
      <c r="L25675" s="23"/>
    </row>
    <row r="25676">
      <c r="B25676" s="19"/>
      <c r="E25676" s="23"/>
      <c r="L25676" s="23"/>
    </row>
    <row r="25677">
      <c r="B25677" s="19"/>
      <c r="E25677" s="23"/>
      <c r="L25677" s="23"/>
    </row>
    <row r="25678">
      <c r="B25678" s="19"/>
      <c r="E25678" s="23"/>
      <c r="L25678" s="23"/>
    </row>
    <row r="25679">
      <c r="B25679" s="19"/>
      <c r="E25679" s="23"/>
      <c r="L25679" s="23"/>
    </row>
    <row r="25680">
      <c r="B25680" s="19"/>
      <c r="E25680" s="23"/>
      <c r="L25680" s="23"/>
    </row>
    <row r="25681">
      <c r="B25681" s="19"/>
      <c r="E25681" s="23"/>
      <c r="L25681" s="23"/>
    </row>
    <row r="25682">
      <c r="B25682" s="19"/>
      <c r="E25682" s="23"/>
      <c r="L25682" s="23"/>
    </row>
    <row r="25683">
      <c r="B25683" s="19"/>
      <c r="E25683" s="23"/>
      <c r="L25683" s="23"/>
    </row>
    <row r="25684">
      <c r="B25684" s="19"/>
      <c r="E25684" s="23"/>
      <c r="L25684" s="23"/>
    </row>
    <row r="25685">
      <c r="B25685" s="19"/>
      <c r="E25685" s="23"/>
      <c r="L25685" s="23"/>
    </row>
    <row r="25686">
      <c r="B25686" s="19"/>
      <c r="E25686" s="23"/>
      <c r="L25686" s="23"/>
    </row>
    <row r="25687">
      <c r="B25687" s="19"/>
      <c r="E25687" s="23"/>
      <c r="L25687" s="23"/>
    </row>
    <row r="25688">
      <c r="B25688" s="19"/>
      <c r="E25688" s="23"/>
      <c r="L25688" s="23"/>
    </row>
    <row r="25689">
      <c r="B25689" s="19"/>
      <c r="E25689" s="23"/>
      <c r="L25689" s="23"/>
    </row>
    <row r="25690">
      <c r="B25690" s="19"/>
      <c r="E25690" s="23"/>
      <c r="L25690" s="23"/>
    </row>
    <row r="25691">
      <c r="B25691" s="19"/>
      <c r="E25691" s="23"/>
      <c r="L25691" s="23"/>
    </row>
    <row r="25692">
      <c r="B25692" s="19"/>
      <c r="E25692" s="23"/>
      <c r="L25692" s="23"/>
    </row>
    <row r="25693">
      <c r="B25693" s="19"/>
      <c r="E25693" s="23"/>
      <c r="L25693" s="23"/>
    </row>
    <row r="25694">
      <c r="B25694" s="19"/>
      <c r="E25694" s="23"/>
      <c r="L25694" s="23"/>
    </row>
    <row r="25695">
      <c r="B25695" s="19"/>
      <c r="E25695" s="23"/>
      <c r="L25695" s="23"/>
    </row>
    <row r="25696">
      <c r="B25696" s="19"/>
      <c r="E25696" s="23"/>
      <c r="L25696" s="23"/>
    </row>
    <row r="25697">
      <c r="B25697" s="19"/>
      <c r="E25697" s="23"/>
      <c r="L25697" s="23"/>
    </row>
    <row r="25698">
      <c r="B25698" s="19"/>
      <c r="E25698" s="23"/>
      <c r="L25698" s="23"/>
    </row>
    <row r="25699">
      <c r="B25699" s="19"/>
      <c r="E25699" s="23"/>
      <c r="L25699" s="23"/>
    </row>
    <row r="25700">
      <c r="B25700" s="19"/>
      <c r="E25700" s="23"/>
      <c r="L25700" s="23"/>
    </row>
    <row r="25701">
      <c r="B25701" s="19"/>
      <c r="E25701" s="23"/>
      <c r="L25701" s="23"/>
    </row>
    <row r="25702">
      <c r="B25702" s="19"/>
      <c r="E25702" s="23"/>
      <c r="L25702" s="23"/>
    </row>
    <row r="25703">
      <c r="B25703" s="19"/>
      <c r="E25703" s="23"/>
      <c r="L25703" s="23"/>
    </row>
    <row r="25704">
      <c r="B25704" s="19"/>
      <c r="E25704" s="23"/>
      <c r="L25704" s="23"/>
    </row>
    <row r="25705">
      <c r="B25705" s="19"/>
      <c r="E25705" s="23"/>
      <c r="L25705" s="23"/>
    </row>
    <row r="25706">
      <c r="B25706" s="19"/>
      <c r="E25706" s="23"/>
      <c r="L25706" s="23"/>
    </row>
    <row r="25707">
      <c r="B25707" s="19"/>
      <c r="E25707" s="23"/>
      <c r="L25707" s="23"/>
    </row>
    <row r="25708">
      <c r="B25708" s="19"/>
      <c r="E25708" s="23"/>
      <c r="L25708" s="23"/>
    </row>
    <row r="25709">
      <c r="B25709" s="19"/>
      <c r="E25709" s="23"/>
      <c r="L25709" s="23"/>
    </row>
    <row r="25710">
      <c r="B25710" s="19"/>
      <c r="E25710" s="23"/>
      <c r="L25710" s="23"/>
    </row>
    <row r="25711">
      <c r="B25711" s="19"/>
      <c r="E25711" s="23"/>
      <c r="L25711" s="23"/>
    </row>
    <row r="25712">
      <c r="B25712" s="19"/>
      <c r="E25712" s="23"/>
      <c r="L25712" s="23"/>
    </row>
    <row r="25713">
      <c r="B25713" s="19"/>
      <c r="E25713" s="23"/>
      <c r="L25713" s="23"/>
    </row>
    <row r="25714">
      <c r="B25714" s="19"/>
      <c r="E25714" s="23"/>
      <c r="L25714" s="23"/>
    </row>
    <row r="25715">
      <c r="B25715" s="19"/>
      <c r="E25715" s="23"/>
      <c r="L25715" s="23"/>
    </row>
    <row r="25716">
      <c r="B25716" s="19"/>
      <c r="E25716" s="23"/>
      <c r="L25716" s="23"/>
    </row>
    <row r="25717">
      <c r="B25717" s="19"/>
      <c r="E25717" s="23"/>
      <c r="L25717" s="23"/>
    </row>
    <row r="25718">
      <c r="B25718" s="19"/>
      <c r="E25718" s="23"/>
      <c r="L25718" s="23"/>
    </row>
    <row r="25719">
      <c r="B25719" s="19"/>
      <c r="E25719" s="23"/>
      <c r="L25719" s="23"/>
    </row>
    <row r="25720">
      <c r="B25720" s="19"/>
      <c r="E25720" s="23"/>
      <c r="L25720" s="23"/>
    </row>
    <row r="25721">
      <c r="B25721" s="19"/>
      <c r="E25721" s="23"/>
      <c r="L25721" s="23"/>
    </row>
    <row r="25722">
      <c r="B25722" s="19"/>
      <c r="E25722" s="23"/>
      <c r="L25722" s="23"/>
    </row>
    <row r="25723">
      <c r="B25723" s="19"/>
      <c r="E25723" s="23"/>
      <c r="L25723" s="23"/>
    </row>
    <row r="25724">
      <c r="B25724" s="19"/>
      <c r="E25724" s="23"/>
      <c r="L25724" s="23"/>
    </row>
    <row r="25725">
      <c r="B25725" s="19"/>
      <c r="E25725" s="23"/>
      <c r="L25725" s="23"/>
    </row>
    <row r="25726">
      <c r="B25726" s="19"/>
      <c r="E25726" s="23"/>
      <c r="L25726" s="23"/>
    </row>
    <row r="25727">
      <c r="B25727" s="19"/>
      <c r="E25727" s="23"/>
      <c r="L25727" s="23"/>
    </row>
    <row r="25728">
      <c r="B25728" s="19"/>
      <c r="E25728" s="23"/>
      <c r="L25728" s="23"/>
    </row>
    <row r="25729">
      <c r="B25729" s="19"/>
      <c r="E25729" s="23"/>
      <c r="L25729" s="23"/>
    </row>
    <row r="25730">
      <c r="B25730" s="19"/>
      <c r="E25730" s="23"/>
      <c r="L25730" s="23"/>
    </row>
    <row r="25731">
      <c r="B25731" s="19"/>
      <c r="E25731" s="23"/>
      <c r="L25731" s="23"/>
    </row>
    <row r="25732">
      <c r="B25732" s="19"/>
      <c r="E25732" s="23"/>
      <c r="L25732" s="23"/>
    </row>
    <row r="25733">
      <c r="B25733" s="19"/>
      <c r="E25733" s="23"/>
      <c r="L25733" s="23"/>
    </row>
    <row r="25734">
      <c r="B25734" s="19"/>
      <c r="E25734" s="23"/>
      <c r="L25734" s="23"/>
    </row>
    <row r="25735">
      <c r="B25735" s="19"/>
      <c r="E25735" s="23"/>
      <c r="L25735" s="23"/>
    </row>
    <row r="25736">
      <c r="B25736" s="19"/>
      <c r="E25736" s="23"/>
      <c r="L25736" s="23"/>
    </row>
    <row r="25737">
      <c r="B25737" s="19"/>
      <c r="E25737" s="23"/>
      <c r="L25737" s="23"/>
    </row>
    <row r="25738">
      <c r="B25738" s="19"/>
      <c r="E25738" s="23"/>
      <c r="L25738" s="23"/>
    </row>
    <row r="25739">
      <c r="B25739" s="19"/>
      <c r="E25739" s="23"/>
      <c r="L25739" s="23"/>
    </row>
    <row r="25740">
      <c r="B25740" s="19"/>
      <c r="E25740" s="23"/>
      <c r="L25740" s="23"/>
    </row>
    <row r="25741">
      <c r="B25741" s="19"/>
      <c r="E25741" s="23"/>
      <c r="L25741" s="23"/>
    </row>
    <row r="25742">
      <c r="B25742" s="19"/>
      <c r="E25742" s="23"/>
      <c r="L25742" s="23"/>
    </row>
    <row r="25743">
      <c r="B25743" s="19"/>
      <c r="E25743" s="23"/>
      <c r="L25743" s="23"/>
    </row>
    <row r="25744">
      <c r="B25744" s="19"/>
      <c r="E25744" s="23"/>
      <c r="L25744" s="23"/>
    </row>
    <row r="25745">
      <c r="B25745" s="19"/>
      <c r="E25745" s="23"/>
      <c r="L25745" s="23"/>
    </row>
    <row r="25746">
      <c r="B25746" s="19"/>
      <c r="E25746" s="23"/>
      <c r="L25746" s="23"/>
    </row>
    <row r="25747">
      <c r="B25747" s="19"/>
      <c r="E25747" s="23"/>
      <c r="L25747" s="23"/>
    </row>
    <row r="25748">
      <c r="B25748" s="19"/>
      <c r="E25748" s="23"/>
      <c r="L25748" s="23"/>
    </row>
    <row r="25749">
      <c r="B25749" s="19"/>
      <c r="E25749" s="23"/>
      <c r="L25749" s="23"/>
    </row>
    <row r="25750">
      <c r="B25750" s="19"/>
      <c r="E25750" s="23"/>
      <c r="L25750" s="23"/>
    </row>
    <row r="25751">
      <c r="B25751" s="19"/>
      <c r="E25751" s="23"/>
      <c r="L25751" s="23"/>
    </row>
    <row r="25752">
      <c r="B25752" s="19"/>
      <c r="E25752" s="23"/>
      <c r="L25752" s="23"/>
    </row>
    <row r="25753">
      <c r="B25753" s="19"/>
      <c r="E25753" s="23"/>
      <c r="L25753" s="23"/>
    </row>
    <row r="25754">
      <c r="B25754" s="19"/>
      <c r="E25754" s="23"/>
      <c r="L25754" s="23"/>
    </row>
    <row r="25755">
      <c r="B25755" s="19"/>
      <c r="E25755" s="23"/>
      <c r="L25755" s="23"/>
    </row>
    <row r="25756">
      <c r="B25756" s="19"/>
      <c r="E25756" s="23"/>
      <c r="L25756" s="23"/>
    </row>
    <row r="25757">
      <c r="B25757" s="19"/>
      <c r="E25757" s="23"/>
      <c r="L25757" s="23"/>
    </row>
    <row r="25758">
      <c r="B25758" s="19"/>
      <c r="E25758" s="23"/>
      <c r="L25758" s="23"/>
    </row>
    <row r="25759">
      <c r="B25759" s="19"/>
      <c r="E25759" s="23"/>
      <c r="L25759" s="23"/>
    </row>
    <row r="25760">
      <c r="B25760" s="19"/>
      <c r="E25760" s="23"/>
      <c r="L25760" s="23"/>
    </row>
    <row r="25761">
      <c r="B25761" s="19"/>
      <c r="E25761" s="23"/>
      <c r="L25761" s="23"/>
    </row>
    <row r="25762">
      <c r="B25762" s="19"/>
      <c r="E25762" s="23"/>
      <c r="L25762" s="23"/>
    </row>
    <row r="25763">
      <c r="B25763" s="19"/>
      <c r="E25763" s="23"/>
      <c r="L25763" s="23"/>
    </row>
    <row r="25764">
      <c r="B25764" s="19"/>
      <c r="E25764" s="23"/>
      <c r="L25764" s="23"/>
    </row>
    <row r="25765">
      <c r="B25765" s="19"/>
      <c r="E25765" s="23"/>
      <c r="L25765" s="23"/>
    </row>
    <row r="25766">
      <c r="B25766" s="19"/>
      <c r="E25766" s="23"/>
      <c r="L25766" s="23"/>
    </row>
    <row r="25767">
      <c r="B25767" s="19"/>
      <c r="E25767" s="23"/>
      <c r="L25767" s="23"/>
    </row>
    <row r="25768">
      <c r="B25768" s="19"/>
      <c r="E25768" s="23"/>
      <c r="L25768" s="23"/>
    </row>
    <row r="25769">
      <c r="B25769" s="19"/>
      <c r="E25769" s="23"/>
      <c r="L25769" s="23"/>
    </row>
    <row r="25770">
      <c r="B25770" s="19"/>
      <c r="E25770" s="23"/>
      <c r="L25770" s="23"/>
    </row>
    <row r="25771">
      <c r="B25771" s="19"/>
      <c r="E25771" s="23"/>
      <c r="L25771" s="23"/>
    </row>
    <row r="25772">
      <c r="B25772" s="19"/>
      <c r="E25772" s="23"/>
      <c r="L25772" s="23"/>
    </row>
    <row r="25773">
      <c r="B25773" s="19"/>
      <c r="E25773" s="23"/>
      <c r="L25773" s="23"/>
    </row>
    <row r="25774">
      <c r="B25774" s="19"/>
      <c r="E25774" s="23"/>
      <c r="L25774" s="23"/>
    </row>
    <row r="25775">
      <c r="B25775" s="19"/>
      <c r="E25775" s="23"/>
      <c r="L25775" s="23"/>
    </row>
    <row r="25776">
      <c r="B25776" s="19"/>
      <c r="E25776" s="23"/>
      <c r="L25776" s="23"/>
    </row>
    <row r="25777">
      <c r="B25777" s="19"/>
      <c r="E25777" s="23"/>
      <c r="L25777" s="23"/>
    </row>
    <row r="25778">
      <c r="B25778" s="19"/>
      <c r="E25778" s="23"/>
      <c r="L25778" s="23"/>
    </row>
    <row r="25779">
      <c r="B25779" s="19"/>
      <c r="E25779" s="23"/>
      <c r="L25779" s="23"/>
    </row>
    <row r="25780">
      <c r="B25780" s="19"/>
      <c r="E25780" s="23"/>
      <c r="L25780" s="23"/>
    </row>
    <row r="25781">
      <c r="B25781" s="19"/>
      <c r="E25781" s="23"/>
      <c r="L25781" s="23"/>
    </row>
    <row r="25782">
      <c r="B25782" s="19"/>
      <c r="E25782" s="23"/>
      <c r="L25782" s="23"/>
    </row>
    <row r="25783">
      <c r="B25783" s="19"/>
      <c r="E25783" s="23"/>
      <c r="L25783" s="23"/>
    </row>
    <row r="25784">
      <c r="B25784" s="19"/>
      <c r="E25784" s="23"/>
      <c r="L25784" s="23"/>
    </row>
    <row r="25785">
      <c r="B25785" s="19"/>
      <c r="E25785" s="23"/>
      <c r="L25785" s="23"/>
    </row>
    <row r="25786">
      <c r="B25786" s="19"/>
      <c r="E25786" s="23"/>
      <c r="L25786" s="23"/>
    </row>
    <row r="25787">
      <c r="B25787" s="19"/>
      <c r="E25787" s="23"/>
      <c r="L25787" s="23"/>
    </row>
    <row r="25788">
      <c r="B25788" s="19"/>
      <c r="E25788" s="23"/>
      <c r="L25788" s="23"/>
    </row>
    <row r="25789">
      <c r="B25789" s="19"/>
      <c r="E25789" s="23"/>
      <c r="L25789" s="23"/>
    </row>
    <row r="25790">
      <c r="B25790" s="19"/>
      <c r="E25790" s="23"/>
      <c r="L25790" s="23"/>
    </row>
    <row r="25791">
      <c r="B25791" s="19"/>
      <c r="E25791" s="23"/>
      <c r="L25791" s="23"/>
    </row>
    <row r="25792">
      <c r="B25792" s="19"/>
      <c r="E25792" s="23"/>
      <c r="L25792" s="23"/>
    </row>
    <row r="25793">
      <c r="B25793" s="19"/>
      <c r="E25793" s="23"/>
      <c r="L25793" s="23"/>
    </row>
    <row r="25794">
      <c r="B25794" s="19"/>
      <c r="E25794" s="23"/>
      <c r="L25794" s="23"/>
    </row>
    <row r="25795">
      <c r="B25795" s="19"/>
      <c r="E25795" s="23"/>
      <c r="L25795" s="23"/>
    </row>
    <row r="25796">
      <c r="B25796" s="19"/>
      <c r="E25796" s="23"/>
      <c r="L25796" s="23"/>
    </row>
    <row r="25797">
      <c r="B25797" s="19"/>
      <c r="E25797" s="23"/>
      <c r="L25797" s="23"/>
    </row>
    <row r="25798">
      <c r="B25798" s="19"/>
      <c r="E25798" s="23"/>
      <c r="L25798" s="23"/>
    </row>
    <row r="25799">
      <c r="B25799" s="19"/>
      <c r="E25799" s="23"/>
      <c r="L25799" s="23"/>
    </row>
    <row r="25800">
      <c r="B25800" s="19"/>
      <c r="E25800" s="23"/>
      <c r="L25800" s="23"/>
    </row>
    <row r="25801">
      <c r="B25801" s="19"/>
      <c r="E25801" s="23"/>
      <c r="L25801" s="23"/>
    </row>
    <row r="25802">
      <c r="B25802" s="19"/>
      <c r="E25802" s="23"/>
      <c r="L25802" s="23"/>
    </row>
    <row r="25803">
      <c r="B25803" s="19"/>
      <c r="E25803" s="23"/>
      <c r="L25803" s="23"/>
    </row>
    <row r="25804">
      <c r="B25804" s="19"/>
      <c r="E25804" s="23"/>
      <c r="L25804" s="23"/>
    </row>
    <row r="25805">
      <c r="B25805" s="19"/>
      <c r="E25805" s="23"/>
      <c r="L25805" s="23"/>
    </row>
    <row r="25806">
      <c r="B25806" s="19"/>
      <c r="E25806" s="23"/>
      <c r="L25806" s="23"/>
    </row>
    <row r="25807">
      <c r="B25807" s="19"/>
      <c r="E25807" s="23"/>
      <c r="L25807" s="23"/>
    </row>
    <row r="25808">
      <c r="B25808" s="19"/>
      <c r="E25808" s="23"/>
      <c r="L25808" s="23"/>
    </row>
    <row r="25809">
      <c r="B25809" s="19"/>
      <c r="E25809" s="23"/>
      <c r="L25809" s="23"/>
    </row>
    <row r="25810">
      <c r="B25810" s="19"/>
      <c r="E25810" s="23"/>
      <c r="L25810" s="23"/>
    </row>
    <row r="25811">
      <c r="B25811" s="19"/>
      <c r="E25811" s="23"/>
      <c r="L25811" s="23"/>
    </row>
    <row r="25812">
      <c r="B25812" s="19"/>
      <c r="E25812" s="23"/>
      <c r="L25812" s="23"/>
    </row>
    <row r="25813">
      <c r="B25813" s="19"/>
      <c r="E25813" s="23"/>
      <c r="L25813" s="23"/>
    </row>
    <row r="25814">
      <c r="B25814" s="19"/>
      <c r="E25814" s="23"/>
      <c r="L25814" s="23"/>
    </row>
    <row r="25815">
      <c r="B25815" s="19"/>
      <c r="E25815" s="23"/>
      <c r="L25815" s="23"/>
    </row>
    <row r="25816">
      <c r="B25816" s="19"/>
      <c r="E25816" s="23"/>
      <c r="L25816" s="23"/>
    </row>
    <row r="25817">
      <c r="B25817" s="19"/>
      <c r="E25817" s="23"/>
      <c r="L25817" s="23"/>
    </row>
    <row r="25818">
      <c r="B25818" s="19"/>
      <c r="E25818" s="23"/>
      <c r="L25818" s="23"/>
    </row>
    <row r="25819">
      <c r="B25819" s="19"/>
      <c r="E25819" s="23"/>
      <c r="L25819" s="23"/>
    </row>
    <row r="25820">
      <c r="B25820" s="19"/>
      <c r="E25820" s="23"/>
      <c r="L25820" s="23"/>
    </row>
    <row r="25821">
      <c r="B25821" s="19"/>
      <c r="E25821" s="23"/>
      <c r="L25821" s="23"/>
    </row>
    <row r="25822">
      <c r="B25822" s="19"/>
      <c r="E25822" s="23"/>
      <c r="L25822" s="23"/>
    </row>
    <row r="25823">
      <c r="B25823" s="19"/>
      <c r="E25823" s="23"/>
      <c r="L25823" s="23"/>
    </row>
    <row r="25824">
      <c r="B25824" s="19"/>
      <c r="E25824" s="23"/>
      <c r="L25824" s="23"/>
    </row>
    <row r="25825">
      <c r="B25825" s="19"/>
      <c r="E25825" s="23"/>
      <c r="L25825" s="23"/>
    </row>
    <row r="25826">
      <c r="B25826" s="19"/>
      <c r="E25826" s="23"/>
      <c r="L25826" s="23"/>
    </row>
    <row r="25827">
      <c r="B25827" s="19"/>
      <c r="E25827" s="23"/>
      <c r="L25827" s="23"/>
    </row>
    <row r="25828">
      <c r="B25828" s="19"/>
      <c r="E25828" s="23"/>
      <c r="L25828" s="23"/>
    </row>
    <row r="25829">
      <c r="B25829" s="19"/>
      <c r="E25829" s="23"/>
      <c r="L25829" s="23"/>
    </row>
    <row r="25830">
      <c r="B25830" s="19"/>
      <c r="E25830" s="23"/>
      <c r="L25830" s="23"/>
    </row>
    <row r="25831">
      <c r="B25831" s="19"/>
      <c r="E25831" s="23"/>
      <c r="L25831" s="23"/>
    </row>
    <row r="25832">
      <c r="B25832" s="19"/>
      <c r="E25832" s="23"/>
      <c r="L25832" s="23"/>
    </row>
    <row r="25833">
      <c r="B25833" s="19"/>
      <c r="E25833" s="23"/>
      <c r="L25833" s="23"/>
    </row>
    <row r="25834">
      <c r="B25834" s="19"/>
      <c r="E25834" s="23"/>
      <c r="L25834" s="23"/>
    </row>
    <row r="25835">
      <c r="B25835" s="19"/>
      <c r="E25835" s="23"/>
      <c r="L25835" s="23"/>
    </row>
    <row r="25836">
      <c r="B25836" s="19"/>
      <c r="E25836" s="23"/>
      <c r="L25836" s="23"/>
    </row>
    <row r="25837">
      <c r="B25837" s="19"/>
      <c r="E25837" s="23"/>
      <c r="L25837" s="23"/>
    </row>
    <row r="25838">
      <c r="B25838" s="19"/>
      <c r="E25838" s="23"/>
      <c r="L25838" s="23"/>
    </row>
    <row r="25839">
      <c r="B25839" s="19"/>
      <c r="E25839" s="23"/>
      <c r="L25839" s="23"/>
    </row>
    <row r="25840">
      <c r="B25840" s="19"/>
      <c r="E25840" s="23"/>
      <c r="L25840" s="23"/>
    </row>
    <row r="25841">
      <c r="B25841" s="19"/>
      <c r="E25841" s="23"/>
      <c r="L25841" s="23"/>
    </row>
    <row r="25842">
      <c r="B25842" s="19"/>
      <c r="E25842" s="23"/>
      <c r="L25842" s="23"/>
    </row>
    <row r="25843">
      <c r="B25843" s="19"/>
      <c r="E25843" s="23"/>
      <c r="L25843" s="23"/>
    </row>
    <row r="25844">
      <c r="B25844" s="19"/>
      <c r="E25844" s="23"/>
      <c r="L25844" s="23"/>
    </row>
    <row r="25845">
      <c r="B25845" s="19"/>
      <c r="E25845" s="23"/>
      <c r="L25845" s="23"/>
    </row>
    <row r="25846">
      <c r="B25846" s="19"/>
      <c r="E25846" s="23"/>
      <c r="L25846" s="23"/>
    </row>
    <row r="25847">
      <c r="B25847" s="19"/>
      <c r="E25847" s="23"/>
      <c r="L25847" s="23"/>
    </row>
    <row r="25848">
      <c r="B25848" s="19"/>
      <c r="E25848" s="23"/>
      <c r="L25848" s="23"/>
    </row>
    <row r="25849">
      <c r="B25849" s="19"/>
      <c r="E25849" s="23"/>
      <c r="L25849" s="23"/>
    </row>
    <row r="25850">
      <c r="B25850" s="19"/>
      <c r="E25850" s="23"/>
      <c r="L25850" s="23"/>
    </row>
    <row r="25851">
      <c r="B25851" s="19"/>
      <c r="E25851" s="23"/>
      <c r="L25851" s="23"/>
    </row>
    <row r="25852">
      <c r="B25852" s="19"/>
      <c r="E25852" s="23"/>
      <c r="L25852" s="23"/>
    </row>
    <row r="25853">
      <c r="B25853" s="19"/>
      <c r="E25853" s="23"/>
      <c r="L25853" s="23"/>
    </row>
    <row r="25854">
      <c r="B25854" s="19"/>
      <c r="E25854" s="23"/>
      <c r="L25854" s="23"/>
    </row>
    <row r="25855">
      <c r="B25855" s="19"/>
      <c r="E25855" s="23"/>
      <c r="L25855" s="23"/>
    </row>
    <row r="25856">
      <c r="B25856" s="19"/>
      <c r="E25856" s="23"/>
      <c r="L25856" s="23"/>
    </row>
    <row r="25857">
      <c r="B25857" s="19"/>
      <c r="E25857" s="23"/>
      <c r="L25857" s="23"/>
    </row>
    <row r="25858">
      <c r="B25858" s="19"/>
      <c r="E25858" s="23"/>
      <c r="L25858" s="23"/>
    </row>
    <row r="25859">
      <c r="B25859" s="19"/>
      <c r="E25859" s="23"/>
      <c r="L25859" s="23"/>
    </row>
    <row r="25860">
      <c r="B25860" s="19"/>
      <c r="E25860" s="23"/>
      <c r="L25860" s="23"/>
    </row>
    <row r="25861">
      <c r="B25861" s="19"/>
      <c r="E25861" s="23"/>
      <c r="L25861" s="23"/>
    </row>
    <row r="25862">
      <c r="B25862" s="19"/>
      <c r="E25862" s="23"/>
      <c r="L25862" s="23"/>
    </row>
    <row r="25863">
      <c r="B25863" s="19"/>
      <c r="E25863" s="23"/>
      <c r="L25863" s="23"/>
    </row>
    <row r="25864">
      <c r="B25864" s="19"/>
      <c r="E25864" s="23"/>
      <c r="L25864" s="23"/>
    </row>
    <row r="25865">
      <c r="B25865" s="19"/>
      <c r="E25865" s="23"/>
      <c r="L25865" s="23"/>
    </row>
    <row r="25866">
      <c r="B25866" s="19"/>
      <c r="E25866" s="23"/>
      <c r="L25866" s="23"/>
    </row>
    <row r="25867">
      <c r="B25867" s="19"/>
      <c r="E25867" s="23"/>
      <c r="L25867" s="23"/>
    </row>
    <row r="25868">
      <c r="B25868" s="19"/>
      <c r="E25868" s="23"/>
      <c r="L25868" s="23"/>
    </row>
    <row r="25869">
      <c r="B25869" s="19"/>
      <c r="E25869" s="23"/>
      <c r="L25869" s="23"/>
    </row>
    <row r="25870">
      <c r="B25870" s="19"/>
      <c r="E25870" s="23"/>
      <c r="L25870" s="23"/>
    </row>
    <row r="25871">
      <c r="B25871" s="19"/>
      <c r="E25871" s="23"/>
      <c r="L25871" s="23"/>
    </row>
    <row r="25872">
      <c r="B25872" s="19"/>
      <c r="E25872" s="23"/>
      <c r="L25872" s="23"/>
    </row>
    <row r="25873">
      <c r="B25873" s="19"/>
      <c r="E25873" s="23"/>
      <c r="L25873" s="23"/>
    </row>
    <row r="25874">
      <c r="B25874" s="19"/>
      <c r="E25874" s="23"/>
      <c r="L25874" s="23"/>
    </row>
    <row r="25875">
      <c r="B25875" s="19"/>
      <c r="E25875" s="23"/>
      <c r="L25875" s="23"/>
    </row>
    <row r="25876">
      <c r="B25876" s="19"/>
      <c r="E25876" s="23"/>
      <c r="L25876" s="23"/>
    </row>
    <row r="25877">
      <c r="B25877" s="19"/>
      <c r="E25877" s="23"/>
      <c r="L25877" s="23"/>
    </row>
    <row r="25878">
      <c r="B25878" s="19"/>
      <c r="E25878" s="23"/>
      <c r="L25878" s="23"/>
    </row>
    <row r="25879">
      <c r="B25879" s="19"/>
      <c r="E25879" s="23"/>
      <c r="L25879" s="23"/>
    </row>
    <row r="25880">
      <c r="B25880" s="19"/>
      <c r="E25880" s="23"/>
      <c r="L25880" s="23"/>
    </row>
    <row r="25881">
      <c r="B25881" s="19"/>
      <c r="E25881" s="23"/>
      <c r="L25881" s="23"/>
    </row>
    <row r="25882">
      <c r="B25882" s="19"/>
      <c r="E25882" s="23"/>
      <c r="L25882" s="23"/>
    </row>
    <row r="25883">
      <c r="B25883" s="19"/>
      <c r="E25883" s="23"/>
      <c r="L25883" s="23"/>
    </row>
    <row r="25884">
      <c r="B25884" s="19"/>
      <c r="E25884" s="23"/>
      <c r="L25884" s="23"/>
    </row>
    <row r="25885">
      <c r="B25885" s="19"/>
      <c r="E25885" s="23"/>
      <c r="L25885" s="23"/>
    </row>
    <row r="25886">
      <c r="B25886" s="19"/>
      <c r="E25886" s="23"/>
      <c r="L25886" s="23"/>
    </row>
    <row r="25887">
      <c r="B25887" s="19"/>
      <c r="E25887" s="23"/>
      <c r="L25887" s="23"/>
    </row>
    <row r="25888">
      <c r="B25888" s="19"/>
      <c r="E25888" s="23"/>
      <c r="L25888" s="23"/>
    </row>
    <row r="25889">
      <c r="B25889" s="19"/>
      <c r="E25889" s="23"/>
      <c r="L25889" s="23"/>
    </row>
    <row r="25890">
      <c r="B25890" s="19"/>
      <c r="E25890" s="23"/>
      <c r="L25890" s="23"/>
    </row>
    <row r="25891">
      <c r="B25891" s="19"/>
      <c r="E25891" s="23"/>
      <c r="L25891" s="23"/>
    </row>
    <row r="25892">
      <c r="B25892" s="19"/>
      <c r="E25892" s="23"/>
      <c r="L25892" s="23"/>
    </row>
    <row r="25893">
      <c r="B25893" s="19"/>
      <c r="E25893" s="23"/>
      <c r="L25893" s="23"/>
    </row>
    <row r="25894">
      <c r="B25894" s="19"/>
      <c r="E25894" s="23"/>
      <c r="L25894" s="23"/>
    </row>
    <row r="25895">
      <c r="B25895" s="19"/>
      <c r="E25895" s="23"/>
      <c r="L25895" s="23"/>
    </row>
    <row r="25896">
      <c r="B25896" s="19"/>
      <c r="E25896" s="23"/>
      <c r="L25896" s="23"/>
    </row>
    <row r="25897">
      <c r="B25897" s="19"/>
      <c r="E25897" s="23"/>
      <c r="L25897" s="23"/>
    </row>
    <row r="25898">
      <c r="B25898" s="19"/>
      <c r="E25898" s="23"/>
      <c r="L25898" s="23"/>
    </row>
    <row r="25899">
      <c r="B25899" s="19"/>
      <c r="E25899" s="23"/>
      <c r="L25899" s="23"/>
    </row>
    <row r="25900">
      <c r="B25900" s="19"/>
      <c r="E25900" s="23"/>
      <c r="L25900" s="23"/>
    </row>
    <row r="25901">
      <c r="B25901" s="19"/>
      <c r="E25901" s="23"/>
      <c r="L25901" s="23"/>
    </row>
    <row r="25902">
      <c r="B25902" s="19"/>
      <c r="E25902" s="23"/>
      <c r="L25902" s="23"/>
    </row>
    <row r="25903">
      <c r="B25903" s="19"/>
      <c r="E25903" s="23"/>
      <c r="L25903" s="23"/>
    </row>
    <row r="25904">
      <c r="B25904" s="19"/>
      <c r="E25904" s="23"/>
      <c r="L25904" s="23"/>
    </row>
    <row r="25905">
      <c r="B25905" s="19"/>
      <c r="E25905" s="23"/>
      <c r="L25905" s="23"/>
    </row>
    <row r="25906">
      <c r="B25906" s="19"/>
      <c r="E25906" s="23"/>
      <c r="L25906" s="23"/>
    </row>
    <row r="25907">
      <c r="B25907" s="19"/>
      <c r="E25907" s="23"/>
      <c r="L25907" s="23"/>
    </row>
    <row r="25908">
      <c r="B25908" s="19"/>
      <c r="E25908" s="23"/>
      <c r="L25908" s="23"/>
    </row>
    <row r="25909">
      <c r="B25909" s="19"/>
      <c r="E25909" s="23"/>
      <c r="L25909" s="23"/>
    </row>
    <row r="25910">
      <c r="B25910" s="19"/>
      <c r="E25910" s="23"/>
      <c r="L25910" s="23"/>
    </row>
    <row r="25911">
      <c r="B25911" s="19"/>
      <c r="E25911" s="23"/>
      <c r="L25911" s="23"/>
    </row>
    <row r="25912">
      <c r="B25912" s="19"/>
      <c r="E25912" s="23"/>
      <c r="L25912" s="23"/>
    </row>
    <row r="25913">
      <c r="B25913" s="19"/>
      <c r="E25913" s="23"/>
      <c r="L25913" s="23"/>
    </row>
    <row r="25914">
      <c r="B25914" s="19"/>
      <c r="E25914" s="23"/>
      <c r="L25914" s="23"/>
    </row>
    <row r="25915">
      <c r="B25915" s="19"/>
      <c r="E25915" s="23"/>
      <c r="L25915" s="23"/>
    </row>
    <row r="25916">
      <c r="B25916" s="19"/>
      <c r="E25916" s="23"/>
      <c r="L25916" s="23"/>
    </row>
    <row r="25917">
      <c r="B25917" s="19"/>
      <c r="E25917" s="23"/>
      <c r="L25917" s="23"/>
    </row>
    <row r="25918">
      <c r="B25918" s="19"/>
      <c r="E25918" s="23"/>
      <c r="L25918" s="23"/>
    </row>
    <row r="25919">
      <c r="B25919" s="19"/>
      <c r="E25919" s="23"/>
      <c r="L25919" s="23"/>
    </row>
    <row r="25920">
      <c r="B25920" s="19"/>
      <c r="E25920" s="23"/>
      <c r="L25920" s="23"/>
    </row>
    <row r="25921">
      <c r="B25921" s="19"/>
      <c r="E25921" s="23"/>
      <c r="L25921" s="23"/>
    </row>
    <row r="25922">
      <c r="B25922" s="19"/>
      <c r="E25922" s="23"/>
      <c r="L25922" s="23"/>
    </row>
    <row r="25923">
      <c r="B25923" s="19"/>
      <c r="E25923" s="23"/>
      <c r="L25923" s="23"/>
    </row>
    <row r="25924">
      <c r="B25924" s="19"/>
      <c r="E25924" s="23"/>
      <c r="L25924" s="23"/>
    </row>
    <row r="25925">
      <c r="B25925" s="19"/>
      <c r="E25925" s="23"/>
      <c r="L25925" s="23"/>
    </row>
    <row r="25926">
      <c r="B25926" s="19"/>
      <c r="E25926" s="23"/>
      <c r="L25926" s="23"/>
    </row>
    <row r="25927">
      <c r="B25927" s="19"/>
      <c r="E25927" s="23"/>
      <c r="L25927" s="23"/>
    </row>
    <row r="25928">
      <c r="B25928" s="19"/>
      <c r="E25928" s="23"/>
      <c r="L25928" s="23"/>
    </row>
    <row r="25929">
      <c r="B25929" s="19"/>
      <c r="E25929" s="23"/>
      <c r="L25929" s="23"/>
    </row>
    <row r="25930">
      <c r="B25930" s="19"/>
      <c r="E25930" s="23"/>
      <c r="L25930" s="23"/>
    </row>
    <row r="25931">
      <c r="B25931" s="19"/>
      <c r="E25931" s="23"/>
      <c r="L25931" s="23"/>
    </row>
    <row r="25932">
      <c r="B25932" s="19"/>
      <c r="E25932" s="23"/>
      <c r="L25932" s="23"/>
    </row>
    <row r="25933">
      <c r="B25933" s="19"/>
      <c r="E25933" s="23"/>
      <c r="L25933" s="23"/>
    </row>
    <row r="25934">
      <c r="B25934" s="19"/>
      <c r="E25934" s="23"/>
      <c r="L25934" s="23"/>
    </row>
    <row r="25935">
      <c r="B25935" s="19"/>
      <c r="E25935" s="23"/>
      <c r="L25935" s="23"/>
    </row>
    <row r="25936">
      <c r="B25936" s="19"/>
      <c r="E25936" s="23"/>
      <c r="L25936" s="23"/>
    </row>
    <row r="25937">
      <c r="B25937" s="19"/>
      <c r="E25937" s="23"/>
      <c r="L25937" s="23"/>
    </row>
    <row r="25938">
      <c r="B25938" s="19"/>
      <c r="E25938" s="23"/>
      <c r="L25938" s="23"/>
    </row>
    <row r="25939">
      <c r="B25939" s="19"/>
      <c r="E25939" s="23"/>
      <c r="L25939" s="23"/>
    </row>
    <row r="25940">
      <c r="B25940" s="19"/>
      <c r="E25940" s="23"/>
      <c r="L25940" s="23"/>
    </row>
    <row r="25941">
      <c r="B25941" s="19"/>
      <c r="E25941" s="23"/>
      <c r="L25941" s="23"/>
    </row>
    <row r="25942">
      <c r="B25942" s="19"/>
      <c r="E25942" s="23"/>
      <c r="L25942" s="23"/>
    </row>
    <row r="25943">
      <c r="B25943" s="19"/>
      <c r="E25943" s="23"/>
      <c r="L25943" s="23"/>
    </row>
    <row r="25944">
      <c r="B25944" s="19"/>
      <c r="E25944" s="23"/>
      <c r="L25944" s="23"/>
    </row>
    <row r="25945">
      <c r="B25945" s="19"/>
      <c r="E25945" s="23"/>
      <c r="L25945" s="23"/>
    </row>
    <row r="25946">
      <c r="B25946" s="19"/>
      <c r="E25946" s="23"/>
      <c r="L25946" s="23"/>
    </row>
    <row r="25947">
      <c r="B25947" s="19"/>
      <c r="E25947" s="23"/>
      <c r="L25947" s="23"/>
    </row>
    <row r="25948">
      <c r="B25948" s="19"/>
      <c r="E25948" s="23"/>
      <c r="L25948" s="23"/>
    </row>
    <row r="25949">
      <c r="B25949" s="19"/>
      <c r="E25949" s="23"/>
      <c r="L25949" s="23"/>
    </row>
    <row r="25950">
      <c r="B25950" s="19"/>
      <c r="E25950" s="23"/>
      <c r="L25950" s="23"/>
    </row>
    <row r="25951">
      <c r="B25951" s="19"/>
      <c r="E25951" s="23"/>
      <c r="L25951" s="23"/>
    </row>
    <row r="25952">
      <c r="B25952" s="19"/>
      <c r="E25952" s="23"/>
      <c r="L25952" s="23"/>
    </row>
    <row r="25953">
      <c r="B25953" s="19"/>
      <c r="E25953" s="23"/>
      <c r="L25953" s="23"/>
    </row>
    <row r="25954">
      <c r="B25954" s="19"/>
      <c r="E25954" s="23"/>
      <c r="L25954" s="23"/>
    </row>
    <row r="25955">
      <c r="B25955" s="19"/>
      <c r="E25955" s="23"/>
      <c r="L25955" s="23"/>
    </row>
    <row r="25956">
      <c r="B25956" s="19"/>
      <c r="E25956" s="23"/>
      <c r="L25956" s="23"/>
    </row>
    <row r="25957">
      <c r="B25957" s="19"/>
      <c r="E25957" s="23"/>
      <c r="L25957" s="23"/>
    </row>
    <row r="25958">
      <c r="B25958" s="19"/>
      <c r="E25958" s="23"/>
      <c r="L25958" s="23"/>
    </row>
    <row r="25959">
      <c r="B25959" s="19"/>
      <c r="E25959" s="23"/>
      <c r="L25959" s="23"/>
    </row>
    <row r="25960">
      <c r="B25960" s="19"/>
      <c r="E25960" s="23"/>
      <c r="L25960" s="23"/>
    </row>
    <row r="25961">
      <c r="B25961" s="19"/>
      <c r="E25961" s="23"/>
      <c r="L25961" s="23"/>
    </row>
    <row r="25962">
      <c r="B25962" s="19"/>
      <c r="E25962" s="23"/>
      <c r="L25962" s="23"/>
    </row>
    <row r="25963">
      <c r="B25963" s="19"/>
      <c r="E25963" s="23"/>
      <c r="L25963" s="23"/>
    </row>
    <row r="25964">
      <c r="B25964" s="19"/>
      <c r="E25964" s="23"/>
      <c r="L25964" s="23"/>
    </row>
    <row r="25965">
      <c r="B25965" s="19"/>
      <c r="E25965" s="23"/>
      <c r="L25965" s="23"/>
    </row>
    <row r="25966">
      <c r="B25966" s="19"/>
      <c r="E25966" s="23"/>
      <c r="L25966" s="23"/>
    </row>
    <row r="25967">
      <c r="B25967" s="19"/>
      <c r="E25967" s="23"/>
      <c r="L25967" s="23"/>
    </row>
    <row r="25968">
      <c r="B25968" s="19"/>
      <c r="E25968" s="23"/>
      <c r="L25968" s="23"/>
    </row>
    <row r="25969">
      <c r="B25969" s="19"/>
      <c r="E25969" s="23"/>
      <c r="L25969" s="23"/>
    </row>
    <row r="25970">
      <c r="B25970" s="19"/>
      <c r="E25970" s="23"/>
      <c r="L25970" s="23"/>
    </row>
    <row r="25971">
      <c r="B25971" s="19"/>
      <c r="E25971" s="23"/>
      <c r="L25971" s="23"/>
    </row>
    <row r="25972">
      <c r="B25972" s="19"/>
      <c r="E25972" s="23"/>
      <c r="L25972" s="23"/>
    </row>
    <row r="25973">
      <c r="B25973" s="19"/>
      <c r="E25973" s="23"/>
      <c r="L25973" s="23"/>
    </row>
    <row r="25974">
      <c r="B25974" s="19"/>
      <c r="E25974" s="23"/>
      <c r="L25974" s="23"/>
    </row>
    <row r="25975">
      <c r="B25975" s="19"/>
      <c r="E25975" s="23"/>
      <c r="L25975" s="23"/>
    </row>
    <row r="25976">
      <c r="B25976" s="19"/>
      <c r="E25976" s="23"/>
      <c r="L25976" s="23"/>
    </row>
    <row r="25977">
      <c r="B25977" s="19"/>
      <c r="E25977" s="23"/>
      <c r="L25977" s="23"/>
    </row>
    <row r="25978">
      <c r="B25978" s="19"/>
      <c r="E25978" s="23"/>
      <c r="L25978" s="23"/>
    </row>
    <row r="25979">
      <c r="B25979" s="19"/>
      <c r="E25979" s="23"/>
      <c r="L25979" s="23"/>
    </row>
    <row r="25980">
      <c r="B25980" s="19"/>
      <c r="E25980" s="23"/>
      <c r="L25980" s="23"/>
    </row>
    <row r="25981">
      <c r="B25981" s="19"/>
      <c r="E25981" s="23"/>
      <c r="L25981" s="23"/>
    </row>
    <row r="25982">
      <c r="B25982" s="19"/>
      <c r="E25982" s="23"/>
      <c r="L25982" s="23"/>
    </row>
    <row r="25983">
      <c r="B25983" s="19"/>
      <c r="E25983" s="23"/>
      <c r="L25983" s="23"/>
    </row>
    <row r="25984">
      <c r="B25984" s="19"/>
      <c r="E25984" s="23"/>
      <c r="L25984" s="23"/>
    </row>
    <row r="25985">
      <c r="B25985" s="19"/>
      <c r="E25985" s="23"/>
      <c r="L25985" s="23"/>
    </row>
    <row r="25986">
      <c r="B25986" s="19"/>
      <c r="E25986" s="23"/>
      <c r="L25986" s="23"/>
    </row>
    <row r="25987">
      <c r="B25987" s="19"/>
      <c r="E25987" s="23"/>
      <c r="L25987" s="23"/>
    </row>
    <row r="25988">
      <c r="B25988" s="19"/>
      <c r="E25988" s="23"/>
      <c r="L25988" s="23"/>
    </row>
    <row r="25989">
      <c r="B25989" s="19"/>
      <c r="E25989" s="23"/>
      <c r="L25989" s="23"/>
    </row>
    <row r="25990">
      <c r="B25990" s="19"/>
      <c r="E25990" s="23"/>
      <c r="L25990" s="23"/>
    </row>
    <row r="25991">
      <c r="B25991" s="19"/>
      <c r="E25991" s="23"/>
      <c r="L25991" s="23"/>
    </row>
    <row r="25992">
      <c r="B25992" s="19"/>
      <c r="E25992" s="23"/>
      <c r="L25992" s="23"/>
    </row>
    <row r="25993">
      <c r="B25993" s="19"/>
      <c r="E25993" s="23"/>
      <c r="L25993" s="23"/>
    </row>
    <row r="25994">
      <c r="B25994" s="19"/>
      <c r="E25994" s="23"/>
      <c r="L25994" s="23"/>
    </row>
    <row r="25995">
      <c r="B25995" s="19"/>
      <c r="E25995" s="23"/>
      <c r="L25995" s="23"/>
    </row>
    <row r="25996">
      <c r="B25996" s="19"/>
      <c r="E25996" s="23"/>
      <c r="L25996" s="23"/>
    </row>
    <row r="25997">
      <c r="B25997" s="19"/>
      <c r="E25997" s="23"/>
      <c r="L25997" s="23"/>
    </row>
    <row r="25998">
      <c r="B25998" s="19"/>
      <c r="E25998" s="23"/>
      <c r="L25998" s="23"/>
    </row>
    <row r="25999">
      <c r="B25999" s="19"/>
      <c r="E25999" s="23"/>
      <c r="L25999" s="23"/>
    </row>
    <row r="26000">
      <c r="B26000" s="19"/>
      <c r="E26000" s="23"/>
      <c r="L26000" s="23"/>
    </row>
    <row r="26001">
      <c r="B26001" s="19"/>
      <c r="E26001" s="23"/>
      <c r="L26001" s="23"/>
    </row>
    <row r="26002">
      <c r="B26002" s="19"/>
      <c r="E26002" s="23"/>
      <c r="L26002" s="23"/>
    </row>
    <row r="26003">
      <c r="B26003" s="19"/>
      <c r="E26003" s="23"/>
      <c r="L26003" s="23"/>
    </row>
    <row r="26004">
      <c r="B26004" s="19"/>
      <c r="E26004" s="23"/>
      <c r="L26004" s="23"/>
    </row>
    <row r="26005">
      <c r="B26005" s="19"/>
      <c r="E26005" s="23"/>
      <c r="L26005" s="23"/>
    </row>
    <row r="26006">
      <c r="B26006" s="19"/>
      <c r="E26006" s="23"/>
      <c r="L26006" s="23"/>
    </row>
    <row r="26007">
      <c r="B26007" s="19"/>
      <c r="E26007" s="23"/>
      <c r="L26007" s="23"/>
    </row>
    <row r="26008">
      <c r="B26008" s="19"/>
      <c r="E26008" s="23"/>
      <c r="L26008" s="23"/>
    </row>
    <row r="26009">
      <c r="B26009" s="19"/>
      <c r="E26009" s="23"/>
      <c r="L26009" s="23"/>
    </row>
    <row r="26010">
      <c r="B26010" s="19"/>
      <c r="E26010" s="23"/>
      <c r="L26010" s="23"/>
    </row>
    <row r="26011">
      <c r="B26011" s="19"/>
      <c r="E26011" s="23"/>
      <c r="L26011" s="23"/>
    </row>
    <row r="26012">
      <c r="B26012" s="19"/>
      <c r="E26012" s="23"/>
      <c r="L26012" s="23"/>
    </row>
    <row r="26013">
      <c r="B26013" s="19"/>
      <c r="E26013" s="23"/>
      <c r="L26013" s="23"/>
    </row>
    <row r="26014">
      <c r="B26014" s="19"/>
      <c r="E26014" s="23"/>
      <c r="L26014" s="23"/>
    </row>
    <row r="26015">
      <c r="B26015" s="19"/>
      <c r="E26015" s="23"/>
      <c r="L26015" s="23"/>
    </row>
    <row r="26016">
      <c r="B26016" s="19"/>
      <c r="E26016" s="23"/>
      <c r="L26016" s="23"/>
    </row>
    <row r="26017">
      <c r="B26017" s="19"/>
      <c r="E26017" s="23"/>
      <c r="L26017" s="23"/>
    </row>
    <row r="26018">
      <c r="B26018" s="19"/>
      <c r="E26018" s="23"/>
      <c r="L26018" s="23"/>
    </row>
    <row r="26019">
      <c r="B26019" s="19"/>
      <c r="E26019" s="23"/>
      <c r="L26019" s="23"/>
    </row>
    <row r="26020">
      <c r="B26020" s="19"/>
      <c r="E26020" s="23"/>
      <c r="L26020" s="23"/>
    </row>
    <row r="26021">
      <c r="B26021" s="19"/>
      <c r="E26021" s="23"/>
      <c r="L26021" s="23"/>
    </row>
    <row r="26022">
      <c r="B26022" s="19"/>
      <c r="E26022" s="23"/>
      <c r="L26022" s="23"/>
    </row>
    <row r="26023">
      <c r="B26023" s="19"/>
      <c r="E26023" s="23"/>
      <c r="L26023" s="23"/>
    </row>
    <row r="26024">
      <c r="B26024" s="19"/>
      <c r="E26024" s="23"/>
      <c r="L26024" s="23"/>
    </row>
    <row r="26025">
      <c r="B26025" s="19"/>
      <c r="E26025" s="23"/>
      <c r="L26025" s="23"/>
    </row>
    <row r="26026">
      <c r="B26026" s="19"/>
      <c r="E26026" s="23"/>
      <c r="L26026" s="23"/>
    </row>
    <row r="26027">
      <c r="B26027" s="19"/>
      <c r="E26027" s="23"/>
      <c r="L26027" s="23"/>
    </row>
    <row r="26028">
      <c r="B26028" s="19"/>
      <c r="E26028" s="23"/>
      <c r="L26028" s="23"/>
    </row>
    <row r="26029">
      <c r="B26029" s="19"/>
      <c r="E26029" s="23"/>
      <c r="L26029" s="23"/>
    </row>
    <row r="26030">
      <c r="B26030" s="19"/>
      <c r="E26030" s="23"/>
      <c r="L26030" s="23"/>
    </row>
    <row r="26031">
      <c r="B26031" s="19"/>
      <c r="E26031" s="23"/>
      <c r="L26031" s="23"/>
    </row>
    <row r="26032">
      <c r="B26032" s="19"/>
      <c r="E26032" s="23"/>
      <c r="L26032" s="23"/>
    </row>
    <row r="26033">
      <c r="B26033" s="19"/>
      <c r="E26033" s="23"/>
      <c r="L26033" s="23"/>
    </row>
    <row r="26034">
      <c r="B26034" s="19"/>
      <c r="E26034" s="23"/>
      <c r="L26034" s="23"/>
    </row>
    <row r="26035">
      <c r="B26035" s="19"/>
      <c r="E26035" s="23"/>
      <c r="L26035" s="23"/>
    </row>
    <row r="26036">
      <c r="B26036" s="19"/>
      <c r="E26036" s="23"/>
      <c r="L26036" s="23"/>
    </row>
    <row r="26037">
      <c r="B26037" s="19"/>
      <c r="E26037" s="23"/>
      <c r="L26037" s="23"/>
    </row>
    <row r="26038">
      <c r="B26038" s="19"/>
      <c r="E26038" s="23"/>
      <c r="L26038" s="23"/>
    </row>
    <row r="26039">
      <c r="B26039" s="19"/>
      <c r="E26039" s="23"/>
      <c r="L26039" s="23"/>
    </row>
    <row r="26040">
      <c r="B26040" s="19"/>
      <c r="E26040" s="23"/>
      <c r="L26040" s="23"/>
    </row>
    <row r="26041">
      <c r="B26041" s="19"/>
      <c r="E26041" s="23"/>
      <c r="L26041" s="23"/>
    </row>
    <row r="26042">
      <c r="B26042" s="19"/>
      <c r="E26042" s="23"/>
      <c r="L26042" s="23"/>
    </row>
    <row r="26043">
      <c r="B26043" s="19"/>
      <c r="E26043" s="23"/>
      <c r="L26043" s="23"/>
    </row>
    <row r="26044">
      <c r="B26044" s="19"/>
      <c r="E26044" s="23"/>
      <c r="L26044" s="23"/>
    </row>
    <row r="26045">
      <c r="B26045" s="19"/>
      <c r="E26045" s="23"/>
      <c r="L26045" s="23"/>
    </row>
    <row r="26046">
      <c r="B26046" s="19"/>
      <c r="E26046" s="23"/>
      <c r="L26046" s="23"/>
    </row>
    <row r="26047">
      <c r="B26047" s="19"/>
      <c r="E26047" s="23"/>
      <c r="L26047" s="23"/>
    </row>
    <row r="26048">
      <c r="B26048" s="19"/>
      <c r="E26048" s="23"/>
      <c r="L26048" s="23"/>
    </row>
    <row r="26049">
      <c r="B26049" s="19"/>
      <c r="E26049" s="23"/>
      <c r="L26049" s="23"/>
    </row>
    <row r="26050">
      <c r="B26050" s="19"/>
      <c r="E26050" s="23"/>
      <c r="L26050" s="23"/>
    </row>
    <row r="26051">
      <c r="B26051" s="19"/>
      <c r="E26051" s="23"/>
      <c r="L26051" s="23"/>
    </row>
    <row r="26052">
      <c r="B26052" s="19"/>
      <c r="E26052" s="23"/>
      <c r="L26052" s="23"/>
    </row>
    <row r="26053">
      <c r="B26053" s="19"/>
      <c r="E26053" s="23"/>
      <c r="L26053" s="23"/>
    </row>
    <row r="26054">
      <c r="B26054" s="19"/>
      <c r="E26054" s="23"/>
      <c r="L26054" s="23"/>
    </row>
    <row r="26055">
      <c r="B26055" s="19"/>
      <c r="E26055" s="23"/>
      <c r="L26055" s="23"/>
    </row>
    <row r="26056">
      <c r="B26056" s="19"/>
      <c r="E26056" s="23"/>
      <c r="L26056" s="23"/>
    </row>
    <row r="26057">
      <c r="B26057" s="19"/>
      <c r="E26057" s="23"/>
      <c r="L26057" s="23"/>
    </row>
    <row r="26058">
      <c r="B26058" s="19"/>
      <c r="E26058" s="23"/>
      <c r="L26058" s="23"/>
    </row>
    <row r="26059">
      <c r="B26059" s="19"/>
      <c r="E26059" s="23"/>
      <c r="L26059" s="23"/>
    </row>
    <row r="26060">
      <c r="B26060" s="19"/>
      <c r="E26060" s="23"/>
      <c r="L26060" s="23"/>
    </row>
    <row r="26061">
      <c r="B26061" s="19"/>
      <c r="E26061" s="23"/>
      <c r="L26061" s="23"/>
    </row>
    <row r="26062">
      <c r="B26062" s="19"/>
      <c r="E26062" s="23"/>
      <c r="L26062" s="23"/>
    </row>
    <row r="26063">
      <c r="B26063" s="19"/>
      <c r="E26063" s="23"/>
      <c r="L26063" s="23"/>
    </row>
    <row r="26064">
      <c r="B26064" s="19"/>
      <c r="E26064" s="23"/>
      <c r="L26064" s="23"/>
    </row>
    <row r="26065">
      <c r="B26065" s="19"/>
      <c r="E26065" s="23"/>
      <c r="L26065" s="23"/>
    </row>
    <row r="26066">
      <c r="B26066" s="19"/>
      <c r="E26066" s="23"/>
      <c r="L26066" s="23"/>
    </row>
    <row r="26067">
      <c r="B26067" s="19"/>
      <c r="E26067" s="23"/>
      <c r="L26067" s="23"/>
    </row>
    <row r="26068">
      <c r="B26068" s="19"/>
      <c r="E26068" s="23"/>
      <c r="L26068" s="23"/>
    </row>
    <row r="26069">
      <c r="B26069" s="19"/>
      <c r="E26069" s="23"/>
      <c r="L26069" s="23"/>
    </row>
    <row r="26070">
      <c r="B26070" s="19"/>
      <c r="E26070" s="23"/>
      <c r="L26070" s="23"/>
    </row>
    <row r="26071">
      <c r="B26071" s="19"/>
      <c r="E26071" s="23"/>
      <c r="L26071" s="23"/>
    </row>
    <row r="26072">
      <c r="B26072" s="19"/>
      <c r="E26072" s="23"/>
      <c r="L26072" s="23"/>
    </row>
    <row r="26073">
      <c r="B26073" s="19"/>
      <c r="E26073" s="23"/>
      <c r="L26073" s="23"/>
    </row>
    <row r="26074">
      <c r="B26074" s="19"/>
      <c r="E26074" s="23"/>
      <c r="L26074" s="23"/>
    </row>
    <row r="26075">
      <c r="B26075" s="19"/>
      <c r="E26075" s="23"/>
      <c r="L26075" s="23"/>
    </row>
    <row r="26076">
      <c r="B26076" s="19"/>
      <c r="E26076" s="23"/>
      <c r="L26076" s="23"/>
    </row>
    <row r="26077">
      <c r="B26077" s="19"/>
      <c r="E26077" s="23"/>
      <c r="L26077" s="23"/>
    </row>
    <row r="26078">
      <c r="B26078" s="19"/>
      <c r="E26078" s="23"/>
      <c r="L26078" s="23"/>
    </row>
    <row r="26079">
      <c r="B26079" s="19"/>
      <c r="E26079" s="23"/>
      <c r="L26079" s="23"/>
    </row>
    <row r="26080">
      <c r="B26080" s="19"/>
      <c r="E26080" s="23"/>
      <c r="L26080" s="23"/>
    </row>
    <row r="26081">
      <c r="B26081" s="19"/>
      <c r="E26081" s="23"/>
      <c r="L26081" s="23"/>
    </row>
    <row r="26082">
      <c r="B26082" s="19"/>
      <c r="E26082" s="23"/>
      <c r="L26082" s="23"/>
    </row>
    <row r="26083">
      <c r="B26083" s="19"/>
      <c r="E26083" s="23"/>
      <c r="L26083" s="23"/>
    </row>
    <row r="26084">
      <c r="B26084" s="19"/>
      <c r="E26084" s="23"/>
      <c r="L26084" s="23"/>
    </row>
    <row r="26085">
      <c r="B26085" s="19"/>
      <c r="E26085" s="23"/>
      <c r="L26085" s="23"/>
    </row>
    <row r="26086">
      <c r="B26086" s="19"/>
      <c r="E26086" s="23"/>
      <c r="L26086" s="23"/>
    </row>
    <row r="26087">
      <c r="B26087" s="19"/>
      <c r="E26087" s="23"/>
      <c r="L26087" s="23"/>
    </row>
    <row r="26088">
      <c r="B26088" s="19"/>
      <c r="E26088" s="23"/>
      <c r="L26088" s="23"/>
    </row>
    <row r="26089">
      <c r="B26089" s="19"/>
      <c r="E26089" s="23"/>
      <c r="L26089" s="23"/>
    </row>
    <row r="26090">
      <c r="B26090" s="19"/>
      <c r="E26090" s="23"/>
      <c r="L26090" s="23"/>
    </row>
    <row r="26091">
      <c r="B26091" s="19"/>
      <c r="E26091" s="23"/>
      <c r="L26091" s="23"/>
    </row>
    <row r="26092">
      <c r="B26092" s="19"/>
      <c r="E26092" s="23"/>
      <c r="L26092" s="23"/>
    </row>
    <row r="26093">
      <c r="B26093" s="19"/>
      <c r="E26093" s="23"/>
      <c r="L26093" s="23"/>
    </row>
    <row r="26094">
      <c r="B26094" s="19"/>
      <c r="E26094" s="23"/>
      <c r="L26094" s="23"/>
    </row>
    <row r="26095">
      <c r="B26095" s="19"/>
      <c r="E26095" s="23"/>
      <c r="L26095" s="23"/>
    </row>
    <row r="26096">
      <c r="B26096" s="19"/>
      <c r="E26096" s="23"/>
      <c r="L26096" s="23"/>
    </row>
    <row r="26097">
      <c r="B26097" s="19"/>
      <c r="E26097" s="23"/>
      <c r="L26097" s="23"/>
    </row>
    <row r="26098">
      <c r="B26098" s="19"/>
      <c r="E26098" s="23"/>
      <c r="L26098" s="23"/>
    </row>
    <row r="26099">
      <c r="B26099" s="19"/>
      <c r="E26099" s="23"/>
      <c r="L26099" s="23"/>
    </row>
    <row r="26100">
      <c r="B26100" s="19"/>
      <c r="E26100" s="23"/>
      <c r="L26100" s="23"/>
    </row>
    <row r="26101">
      <c r="B26101" s="19"/>
      <c r="E26101" s="23"/>
      <c r="L26101" s="23"/>
    </row>
    <row r="26102">
      <c r="B26102" s="19"/>
      <c r="E26102" s="23"/>
      <c r="L26102" s="23"/>
    </row>
    <row r="26103">
      <c r="B26103" s="19"/>
      <c r="E26103" s="23"/>
      <c r="L26103" s="23"/>
    </row>
    <row r="26104">
      <c r="B26104" s="19"/>
      <c r="E26104" s="23"/>
      <c r="L26104" s="23"/>
    </row>
    <row r="26105">
      <c r="B26105" s="19"/>
      <c r="E26105" s="23"/>
      <c r="L26105" s="23"/>
    </row>
    <row r="26106">
      <c r="B26106" s="19"/>
      <c r="E26106" s="23"/>
      <c r="L26106" s="23"/>
    </row>
    <row r="26107">
      <c r="B26107" s="19"/>
      <c r="E26107" s="23"/>
      <c r="L26107" s="23"/>
    </row>
    <row r="26108">
      <c r="B26108" s="19"/>
      <c r="E26108" s="23"/>
      <c r="L26108" s="23"/>
    </row>
    <row r="26109">
      <c r="B26109" s="19"/>
      <c r="E26109" s="23"/>
      <c r="L26109" s="23"/>
    </row>
    <row r="26110">
      <c r="B26110" s="19"/>
      <c r="E26110" s="23"/>
      <c r="L26110" s="23"/>
    </row>
    <row r="26111">
      <c r="B26111" s="19"/>
      <c r="E26111" s="23"/>
      <c r="L26111" s="23"/>
    </row>
    <row r="26112">
      <c r="B26112" s="19"/>
      <c r="E26112" s="23"/>
      <c r="L26112" s="23"/>
    </row>
    <row r="26113">
      <c r="B26113" s="19"/>
      <c r="E26113" s="23"/>
      <c r="L26113" s="23"/>
    </row>
    <row r="26114">
      <c r="B26114" s="19"/>
      <c r="E26114" s="23"/>
      <c r="L26114" s="23"/>
    </row>
    <row r="26115">
      <c r="B26115" s="19"/>
      <c r="E26115" s="23"/>
      <c r="L26115" s="23"/>
    </row>
    <row r="26116">
      <c r="B26116" s="19"/>
      <c r="E26116" s="23"/>
      <c r="L26116" s="23"/>
    </row>
    <row r="26117">
      <c r="B26117" s="19"/>
      <c r="E26117" s="23"/>
      <c r="L26117" s="23"/>
    </row>
    <row r="26118">
      <c r="B26118" s="19"/>
      <c r="E26118" s="23"/>
      <c r="L26118" s="23"/>
    </row>
    <row r="26119">
      <c r="B26119" s="19"/>
      <c r="E26119" s="23"/>
      <c r="L26119" s="23"/>
    </row>
    <row r="26120">
      <c r="B26120" s="19"/>
      <c r="E26120" s="23"/>
      <c r="L26120" s="23"/>
    </row>
    <row r="26121">
      <c r="B26121" s="19"/>
      <c r="E26121" s="23"/>
      <c r="L26121" s="23"/>
    </row>
    <row r="26122">
      <c r="B26122" s="19"/>
      <c r="E26122" s="23"/>
      <c r="L26122" s="23"/>
    </row>
    <row r="26123">
      <c r="B26123" s="19"/>
      <c r="E26123" s="23"/>
      <c r="L26123" s="23"/>
    </row>
    <row r="26124">
      <c r="B26124" s="19"/>
      <c r="E26124" s="23"/>
      <c r="L26124" s="23"/>
    </row>
    <row r="26125">
      <c r="B26125" s="19"/>
      <c r="E26125" s="23"/>
      <c r="L26125" s="23"/>
    </row>
    <row r="26126">
      <c r="B26126" s="19"/>
      <c r="E26126" s="23"/>
      <c r="L26126" s="23"/>
    </row>
    <row r="26127">
      <c r="B26127" s="19"/>
      <c r="E26127" s="23"/>
      <c r="L26127" s="23"/>
    </row>
    <row r="26128">
      <c r="B26128" s="19"/>
      <c r="E26128" s="23"/>
      <c r="L26128" s="23"/>
    </row>
    <row r="26129">
      <c r="B26129" s="19"/>
      <c r="E26129" s="23"/>
      <c r="L26129" s="23"/>
    </row>
    <row r="26130">
      <c r="B26130" s="19"/>
      <c r="E26130" s="23"/>
      <c r="L26130" s="23"/>
    </row>
    <row r="26131">
      <c r="B26131" s="19"/>
      <c r="E26131" s="23"/>
      <c r="L26131" s="23"/>
    </row>
    <row r="26132">
      <c r="B26132" s="19"/>
      <c r="E26132" s="23"/>
      <c r="L26132" s="23"/>
    </row>
    <row r="26133">
      <c r="B26133" s="19"/>
      <c r="E26133" s="23"/>
      <c r="L26133" s="23"/>
    </row>
    <row r="26134">
      <c r="B26134" s="19"/>
      <c r="E26134" s="23"/>
      <c r="L26134" s="23"/>
    </row>
    <row r="26135">
      <c r="B26135" s="19"/>
      <c r="E26135" s="23"/>
      <c r="L26135" s="23"/>
    </row>
    <row r="26136">
      <c r="B26136" s="19"/>
      <c r="E26136" s="23"/>
      <c r="L26136" s="23"/>
    </row>
    <row r="26137">
      <c r="B26137" s="19"/>
      <c r="E26137" s="23"/>
      <c r="L26137" s="23"/>
    </row>
    <row r="26138">
      <c r="B26138" s="19"/>
      <c r="E26138" s="23"/>
      <c r="L26138" s="23"/>
    </row>
    <row r="26139">
      <c r="B26139" s="19"/>
      <c r="E26139" s="23"/>
      <c r="L26139" s="23"/>
    </row>
    <row r="26140">
      <c r="B26140" s="19"/>
      <c r="E26140" s="23"/>
      <c r="L26140" s="23"/>
    </row>
    <row r="26141">
      <c r="B26141" s="19"/>
      <c r="E26141" s="23"/>
      <c r="L26141" s="23"/>
    </row>
    <row r="26142">
      <c r="B26142" s="19"/>
      <c r="E26142" s="23"/>
      <c r="L26142" s="23"/>
    </row>
    <row r="26143">
      <c r="B26143" s="19"/>
      <c r="E26143" s="23"/>
      <c r="L26143" s="23"/>
    </row>
    <row r="26144">
      <c r="B26144" s="19"/>
      <c r="E26144" s="23"/>
      <c r="L26144" s="23"/>
    </row>
    <row r="26145">
      <c r="B26145" s="19"/>
      <c r="E26145" s="23"/>
      <c r="L26145" s="23"/>
    </row>
    <row r="26146">
      <c r="B26146" s="19"/>
      <c r="E26146" s="23"/>
      <c r="L26146" s="23"/>
    </row>
    <row r="26147">
      <c r="B26147" s="19"/>
      <c r="E26147" s="23"/>
      <c r="L26147" s="23"/>
    </row>
    <row r="26148">
      <c r="B26148" s="19"/>
      <c r="E26148" s="23"/>
      <c r="L26148" s="23"/>
    </row>
    <row r="26149">
      <c r="B26149" s="19"/>
      <c r="E26149" s="23"/>
      <c r="L26149" s="23"/>
    </row>
    <row r="26150">
      <c r="B26150" s="19"/>
      <c r="E26150" s="23"/>
      <c r="L26150" s="23"/>
    </row>
    <row r="26151">
      <c r="B26151" s="19"/>
      <c r="E26151" s="23"/>
      <c r="L26151" s="23"/>
    </row>
    <row r="26152">
      <c r="B26152" s="19"/>
      <c r="E26152" s="23"/>
      <c r="L26152" s="23"/>
    </row>
    <row r="26153">
      <c r="B26153" s="19"/>
      <c r="E26153" s="23"/>
      <c r="L26153" s="23"/>
    </row>
    <row r="26154">
      <c r="B26154" s="19"/>
      <c r="E26154" s="23"/>
      <c r="L26154" s="23"/>
    </row>
    <row r="26155">
      <c r="B26155" s="19"/>
      <c r="E26155" s="23"/>
      <c r="L26155" s="23"/>
    </row>
    <row r="26156">
      <c r="B26156" s="19"/>
      <c r="E26156" s="23"/>
      <c r="L26156" s="23"/>
    </row>
    <row r="26157">
      <c r="B26157" s="19"/>
      <c r="E26157" s="23"/>
      <c r="L26157" s="23"/>
    </row>
    <row r="26158">
      <c r="B26158" s="19"/>
      <c r="E26158" s="23"/>
      <c r="L26158" s="23"/>
    </row>
    <row r="26159">
      <c r="B26159" s="19"/>
      <c r="E26159" s="23"/>
      <c r="L26159" s="23"/>
    </row>
    <row r="26160">
      <c r="B26160" s="19"/>
      <c r="E26160" s="23"/>
      <c r="L26160" s="23"/>
    </row>
    <row r="26161">
      <c r="B26161" s="19"/>
      <c r="E26161" s="23"/>
      <c r="L26161" s="23"/>
    </row>
    <row r="26162">
      <c r="B26162" s="19"/>
      <c r="E26162" s="23"/>
      <c r="L26162" s="23"/>
    </row>
    <row r="26163">
      <c r="B26163" s="19"/>
      <c r="E26163" s="23"/>
      <c r="L26163" s="23"/>
    </row>
    <row r="26164">
      <c r="B26164" s="19"/>
      <c r="E26164" s="23"/>
      <c r="L26164" s="23"/>
    </row>
    <row r="26165">
      <c r="B26165" s="19"/>
      <c r="E26165" s="23"/>
      <c r="L26165" s="23"/>
    </row>
    <row r="26166">
      <c r="B26166" s="19"/>
      <c r="E26166" s="23"/>
      <c r="L26166" s="23"/>
    </row>
    <row r="26167">
      <c r="B26167" s="19"/>
      <c r="E26167" s="23"/>
      <c r="L26167" s="23"/>
    </row>
    <row r="26168">
      <c r="B26168" s="19"/>
      <c r="E26168" s="23"/>
      <c r="L26168" s="23"/>
    </row>
    <row r="26169">
      <c r="B26169" s="19"/>
      <c r="E26169" s="23"/>
      <c r="L26169" s="23"/>
    </row>
    <row r="26170">
      <c r="B26170" s="19"/>
      <c r="E26170" s="23"/>
      <c r="L26170" s="23"/>
    </row>
    <row r="26171">
      <c r="B26171" s="19"/>
      <c r="E26171" s="23"/>
      <c r="L26171" s="23"/>
    </row>
    <row r="26172">
      <c r="B26172" s="19"/>
      <c r="E26172" s="23"/>
      <c r="L26172" s="23"/>
    </row>
    <row r="26173">
      <c r="B26173" s="19"/>
      <c r="E26173" s="23"/>
      <c r="L26173" s="23"/>
    </row>
    <row r="26174">
      <c r="B26174" s="19"/>
      <c r="E26174" s="23"/>
      <c r="L26174" s="23"/>
    </row>
    <row r="26175">
      <c r="B26175" s="19"/>
      <c r="E26175" s="23"/>
      <c r="L26175" s="23"/>
    </row>
    <row r="26176">
      <c r="B26176" s="19"/>
      <c r="E26176" s="23"/>
      <c r="L26176" s="23"/>
    </row>
    <row r="26177">
      <c r="B26177" s="19"/>
      <c r="E26177" s="23"/>
      <c r="L26177" s="23"/>
    </row>
    <row r="26178">
      <c r="B26178" s="19"/>
      <c r="E26178" s="23"/>
      <c r="L26178" s="23"/>
    </row>
    <row r="26179">
      <c r="B26179" s="19"/>
      <c r="E26179" s="23"/>
      <c r="L26179" s="23"/>
    </row>
    <row r="26180">
      <c r="B26180" s="19"/>
      <c r="E26180" s="23"/>
      <c r="L26180" s="23"/>
    </row>
    <row r="26181">
      <c r="B26181" s="19"/>
      <c r="E26181" s="23"/>
      <c r="L26181" s="23"/>
    </row>
    <row r="26182">
      <c r="B26182" s="19"/>
      <c r="E26182" s="23"/>
      <c r="L26182" s="23"/>
    </row>
    <row r="26183">
      <c r="B26183" s="19"/>
      <c r="E26183" s="23"/>
      <c r="L26183" s="23"/>
    </row>
    <row r="26184">
      <c r="B26184" s="19"/>
      <c r="E26184" s="23"/>
      <c r="L26184" s="23"/>
    </row>
    <row r="26185">
      <c r="B26185" s="19"/>
      <c r="E26185" s="23"/>
      <c r="L26185" s="23"/>
    </row>
    <row r="26186">
      <c r="B26186" s="19"/>
      <c r="E26186" s="23"/>
      <c r="L26186" s="23"/>
    </row>
    <row r="26187">
      <c r="B26187" s="19"/>
      <c r="E26187" s="23"/>
      <c r="L26187" s="23"/>
    </row>
    <row r="26188">
      <c r="B26188" s="19"/>
      <c r="E26188" s="23"/>
      <c r="L26188" s="23"/>
    </row>
    <row r="26189">
      <c r="B26189" s="19"/>
      <c r="E26189" s="23"/>
      <c r="L26189" s="23"/>
    </row>
    <row r="26190">
      <c r="B26190" s="19"/>
      <c r="E26190" s="23"/>
      <c r="L26190" s="23"/>
    </row>
    <row r="26191">
      <c r="B26191" s="19"/>
      <c r="E26191" s="23"/>
      <c r="L26191" s="23"/>
    </row>
    <row r="26192">
      <c r="B26192" s="19"/>
      <c r="E26192" s="23"/>
      <c r="L26192" s="23"/>
    </row>
    <row r="26193">
      <c r="B26193" s="19"/>
      <c r="E26193" s="23"/>
      <c r="L26193" s="23"/>
    </row>
    <row r="26194">
      <c r="B26194" s="19"/>
      <c r="E26194" s="23"/>
      <c r="L26194" s="23"/>
    </row>
    <row r="26195">
      <c r="B26195" s="19"/>
      <c r="E26195" s="23"/>
      <c r="L26195" s="23"/>
    </row>
    <row r="26196">
      <c r="B26196" s="19"/>
      <c r="E26196" s="23"/>
      <c r="L26196" s="23"/>
    </row>
    <row r="26197">
      <c r="B26197" s="19"/>
      <c r="E26197" s="23"/>
      <c r="L26197" s="23"/>
    </row>
    <row r="26198">
      <c r="B26198" s="19"/>
      <c r="E26198" s="23"/>
      <c r="L26198" s="23"/>
    </row>
    <row r="26199">
      <c r="B26199" s="19"/>
      <c r="E26199" s="23"/>
      <c r="L26199" s="23"/>
    </row>
    <row r="26200">
      <c r="B26200" s="19"/>
      <c r="E26200" s="23"/>
      <c r="L26200" s="23"/>
    </row>
    <row r="26201">
      <c r="B26201" s="19"/>
      <c r="E26201" s="23"/>
      <c r="L26201" s="23"/>
    </row>
    <row r="26202">
      <c r="B26202" s="19"/>
      <c r="E26202" s="23"/>
      <c r="L26202" s="23"/>
    </row>
    <row r="26203">
      <c r="B26203" s="19"/>
      <c r="E26203" s="23"/>
      <c r="L26203" s="23"/>
    </row>
    <row r="26204">
      <c r="B26204" s="19"/>
      <c r="E26204" s="23"/>
      <c r="L26204" s="23"/>
    </row>
    <row r="26205">
      <c r="B26205" s="19"/>
      <c r="E26205" s="23"/>
      <c r="L26205" s="23"/>
    </row>
    <row r="26206">
      <c r="B26206" s="19"/>
      <c r="E26206" s="23"/>
      <c r="L26206" s="23"/>
    </row>
    <row r="26207">
      <c r="B26207" s="19"/>
      <c r="E26207" s="23"/>
      <c r="L26207" s="23"/>
    </row>
    <row r="26208">
      <c r="B26208" s="19"/>
      <c r="E26208" s="23"/>
      <c r="L26208" s="23"/>
    </row>
    <row r="26209">
      <c r="B26209" s="19"/>
      <c r="E26209" s="23"/>
      <c r="L26209" s="23"/>
    </row>
    <row r="26210">
      <c r="B26210" s="19"/>
      <c r="E26210" s="23"/>
      <c r="L26210" s="23"/>
    </row>
    <row r="26211">
      <c r="B26211" s="19"/>
      <c r="E26211" s="23"/>
      <c r="L26211" s="23"/>
    </row>
    <row r="26212">
      <c r="B26212" s="19"/>
      <c r="E26212" s="23"/>
      <c r="L26212" s="23"/>
    </row>
    <row r="26213">
      <c r="B26213" s="19"/>
      <c r="E26213" s="23"/>
      <c r="L26213" s="23"/>
    </row>
    <row r="26214">
      <c r="B26214" s="19"/>
      <c r="E26214" s="23"/>
      <c r="L26214" s="23"/>
    </row>
    <row r="26215">
      <c r="B26215" s="19"/>
      <c r="E26215" s="23"/>
      <c r="L26215" s="23"/>
    </row>
    <row r="26216">
      <c r="B26216" s="19"/>
      <c r="E26216" s="23"/>
      <c r="L26216" s="23"/>
    </row>
    <row r="26217">
      <c r="B26217" s="19"/>
      <c r="E26217" s="23"/>
      <c r="L26217" s="23"/>
    </row>
    <row r="26218">
      <c r="B26218" s="19"/>
      <c r="E26218" s="23"/>
      <c r="L26218" s="23"/>
    </row>
    <row r="26219">
      <c r="B26219" s="19"/>
      <c r="E26219" s="23"/>
      <c r="L26219" s="23"/>
    </row>
    <row r="26220">
      <c r="B26220" s="19"/>
      <c r="E26220" s="23"/>
      <c r="L26220" s="23"/>
    </row>
    <row r="26221">
      <c r="B26221" s="19"/>
      <c r="E26221" s="23"/>
      <c r="L26221" s="23"/>
    </row>
    <row r="26222">
      <c r="B26222" s="19"/>
      <c r="E26222" s="23"/>
      <c r="L26222" s="23"/>
    </row>
    <row r="26223">
      <c r="B26223" s="19"/>
      <c r="E26223" s="23"/>
      <c r="L26223" s="23"/>
    </row>
    <row r="26224">
      <c r="B26224" s="19"/>
      <c r="E26224" s="23"/>
      <c r="L26224" s="23"/>
    </row>
    <row r="26225">
      <c r="B26225" s="19"/>
      <c r="E26225" s="23"/>
      <c r="L26225" s="23"/>
    </row>
    <row r="26226">
      <c r="B26226" s="19"/>
      <c r="E26226" s="23"/>
      <c r="L26226" s="23"/>
    </row>
    <row r="26227">
      <c r="B26227" s="19"/>
      <c r="E26227" s="23"/>
      <c r="L26227" s="23"/>
    </row>
    <row r="26228">
      <c r="B26228" s="19"/>
      <c r="E26228" s="23"/>
      <c r="L26228" s="23"/>
    </row>
    <row r="26229">
      <c r="B26229" s="19"/>
      <c r="E26229" s="23"/>
      <c r="L26229" s="23"/>
    </row>
    <row r="26230">
      <c r="B26230" s="19"/>
      <c r="E26230" s="23"/>
      <c r="L26230" s="23"/>
    </row>
    <row r="26231">
      <c r="B26231" s="19"/>
      <c r="E26231" s="23"/>
      <c r="L26231" s="23"/>
    </row>
    <row r="26232">
      <c r="B26232" s="19"/>
      <c r="E26232" s="23"/>
      <c r="L26232" s="23"/>
    </row>
    <row r="26233">
      <c r="B26233" s="19"/>
      <c r="E26233" s="23"/>
      <c r="L26233" s="23"/>
    </row>
    <row r="26234">
      <c r="B26234" s="19"/>
      <c r="E26234" s="23"/>
      <c r="L26234" s="23"/>
    </row>
    <row r="26235">
      <c r="B26235" s="19"/>
      <c r="E26235" s="23"/>
      <c r="L26235" s="23"/>
    </row>
    <row r="26236">
      <c r="B26236" s="19"/>
      <c r="E26236" s="23"/>
      <c r="L26236" s="23"/>
    </row>
    <row r="26237">
      <c r="B26237" s="19"/>
      <c r="E26237" s="23"/>
      <c r="L26237" s="23"/>
    </row>
    <row r="26238">
      <c r="B26238" s="19"/>
      <c r="E26238" s="23"/>
      <c r="L26238" s="23"/>
    </row>
    <row r="26239">
      <c r="B26239" s="19"/>
      <c r="E26239" s="23"/>
      <c r="L26239" s="23"/>
    </row>
    <row r="26240">
      <c r="B26240" s="19"/>
      <c r="E26240" s="23"/>
      <c r="L26240" s="23"/>
    </row>
    <row r="26241">
      <c r="B26241" s="19"/>
      <c r="E26241" s="23"/>
      <c r="L26241" s="23"/>
    </row>
    <row r="26242">
      <c r="B26242" s="19"/>
      <c r="E26242" s="23"/>
      <c r="L26242" s="23"/>
    </row>
    <row r="26243">
      <c r="B26243" s="19"/>
      <c r="E26243" s="23"/>
      <c r="L26243" s="23"/>
    </row>
    <row r="26244">
      <c r="B26244" s="19"/>
      <c r="E26244" s="23"/>
      <c r="L26244" s="23"/>
    </row>
    <row r="26245">
      <c r="B26245" s="19"/>
      <c r="E26245" s="23"/>
      <c r="L26245" s="23"/>
    </row>
    <row r="26246">
      <c r="B26246" s="19"/>
      <c r="E26246" s="23"/>
      <c r="L26246" s="23"/>
    </row>
    <row r="26247">
      <c r="B26247" s="19"/>
      <c r="E26247" s="23"/>
      <c r="L26247" s="23"/>
    </row>
    <row r="26248">
      <c r="B26248" s="19"/>
      <c r="E26248" s="23"/>
      <c r="L26248" s="23"/>
    </row>
    <row r="26249">
      <c r="B26249" s="19"/>
      <c r="E26249" s="23"/>
      <c r="L26249" s="23"/>
    </row>
    <row r="26250">
      <c r="B26250" s="19"/>
      <c r="E26250" s="23"/>
      <c r="L26250" s="23"/>
    </row>
    <row r="26251">
      <c r="B26251" s="19"/>
      <c r="E26251" s="23"/>
      <c r="L26251" s="23"/>
    </row>
    <row r="26252">
      <c r="B26252" s="19"/>
      <c r="E26252" s="23"/>
      <c r="L26252" s="23"/>
    </row>
    <row r="26253">
      <c r="B26253" s="19"/>
      <c r="E26253" s="23"/>
      <c r="L26253" s="23"/>
    </row>
    <row r="26254">
      <c r="B26254" s="19"/>
      <c r="E26254" s="23"/>
      <c r="L26254" s="23"/>
    </row>
    <row r="26255">
      <c r="B26255" s="19"/>
      <c r="E26255" s="23"/>
      <c r="L26255" s="23"/>
    </row>
    <row r="26256">
      <c r="B26256" s="19"/>
      <c r="E26256" s="23"/>
      <c r="L26256" s="23"/>
    </row>
    <row r="26257">
      <c r="B26257" s="19"/>
      <c r="E26257" s="23"/>
      <c r="L26257" s="23"/>
    </row>
    <row r="26258">
      <c r="B26258" s="19"/>
      <c r="E26258" s="23"/>
      <c r="L26258" s="23"/>
    </row>
    <row r="26259">
      <c r="B26259" s="19"/>
      <c r="E26259" s="23"/>
      <c r="L26259" s="23"/>
    </row>
    <row r="26260">
      <c r="B26260" s="19"/>
      <c r="E26260" s="23"/>
      <c r="L26260" s="23"/>
    </row>
    <row r="26261">
      <c r="B26261" s="19"/>
      <c r="E26261" s="23"/>
      <c r="L26261" s="23"/>
    </row>
    <row r="26262">
      <c r="B26262" s="19"/>
      <c r="E26262" s="23"/>
      <c r="L26262" s="23"/>
    </row>
    <row r="26263">
      <c r="B26263" s="19"/>
      <c r="E26263" s="23"/>
      <c r="L26263" s="23"/>
    </row>
    <row r="26264">
      <c r="B26264" s="19"/>
      <c r="E26264" s="23"/>
      <c r="L26264" s="23"/>
    </row>
    <row r="26265">
      <c r="B26265" s="19"/>
      <c r="E26265" s="23"/>
      <c r="L26265" s="23"/>
    </row>
    <row r="26266">
      <c r="B26266" s="19"/>
      <c r="E26266" s="23"/>
      <c r="L26266" s="23"/>
    </row>
    <row r="26267">
      <c r="B26267" s="19"/>
      <c r="E26267" s="23"/>
      <c r="L26267" s="23"/>
    </row>
    <row r="26268">
      <c r="B26268" s="19"/>
      <c r="E26268" s="23"/>
      <c r="L26268" s="23"/>
    </row>
    <row r="26269">
      <c r="B26269" s="19"/>
      <c r="E26269" s="23"/>
      <c r="L26269" s="23"/>
    </row>
    <row r="26270">
      <c r="B26270" s="19"/>
      <c r="E26270" s="23"/>
      <c r="L26270" s="23"/>
    </row>
    <row r="26271">
      <c r="B26271" s="19"/>
      <c r="E26271" s="23"/>
      <c r="L26271" s="23"/>
    </row>
    <row r="26272">
      <c r="B26272" s="19"/>
      <c r="E26272" s="23"/>
      <c r="L26272" s="23"/>
    </row>
    <row r="26273">
      <c r="B26273" s="19"/>
      <c r="E26273" s="23"/>
      <c r="L26273" s="23"/>
    </row>
    <row r="26274">
      <c r="B26274" s="19"/>
      <c r="E26274" s="23"/>
      <c r="L26274" s="23"/>
    </row>
    <row r="26275">
      <c r="B26275" s="19"/>
      <c r="E26275" s="23"/>
      <c r="L26275" s="23"/>
    </row>
    <row r="26276">
      <c r="B26276" s="19"/>
      <c r="E26276" s="23"/>
      <c r="L26276" s="23"/>
    </row>
    <row r="26277">
      <c r="B26277" s="19"/>
      <c r="E26277" s="23"/>
      <c r="L26277" s="23"/>
    </row>
    <row r="26278">
      <c r="B26278" s="19"/>
      <c r="E26278" s="23"/>
      <c r="L26278" s="23"/>
    </row>
    <row r="26279">
      <c r="B26279" s="19"/>
      <c r="E26279" s="23"/>
      <c r="L26279" s="23"/>
    </row>
    <row r="26280">
      <c r="B26280" s="19"/>
      <c r="E26280" s="23"/>
      <c r="L26280" s="23"/>
    </row>
    <row r="26281">
      <c r="B26281" s="19"/>
      <c r="E26281" s="23"/>
      <c r="L26281" s="23"/>
    </row>
    <row r="26282">
      <c r="B26282" s="19"/>
      <c r="E26282" s="23"/>
      <c r="L26282" s="23"/>
    </row>
    <row r="26283">
      <c r="B26283" s="19"/>
      <c r="E26283" s="23"/>
      <c r="L26283" s="23"/>
    </row>
    <row r="26284">
      <c r="B26284" s="19"/>
      <c r="E26284" s="23"/>
      <c r="L26284" s="23"/>
    </row>
    <row r="26285">
      <c r="B26285" s="19"/>
      <c r="E26285" s="23"/>
      <c r="L26285" s="23"/>
    </row>
    <row r="26286">
      <c r="B26286" s="19"/>
      <c r="E26286" s="23"/>
      <c r="L26286" s="23"/>
    </row>
    <row r="26287">
      <c r="B26287" s="19"/>
      <c r="E26287" s="23"/>
      <c r="L26287" s="23"/>
    </row>
    <row r="26288">
      <c r="B26288" s="19"/>
      <c r="E26288" s="23"/>
      <c r="L26288" s="23"/>
    </row>
    <row r="26289">
      <c r="B26289" s="19"/>
      <c r="E26289" s="23"/>
      <c r="L26289" s="23"/>
    </row>
    <row r="26290">
      <c r="B26290" s="19"/>
      <c r="E26290" s="23"/>
      <c r="L26290" s="23"/>
    </row>
    <row r="26291">
      <c r="B26291" s="19"/>
      <c r="E26291" s="23"/>
      <c r="L26291" s="23"/>
    </row>
    <row r="26292">
      <c r="B26292" s="19"/>
      <c r="E26292" s="23"/>
      <c r="L26292" s="23"/>
    </row>
    <row r="26293">
      <c r="B26293" s="19"/>
      <c r="E26293" s="23"/>
      <c r="L26293" s="23"/>
    </row>
    <row r="26294">
      <c r="B26294" s="19"/>
      <c r="E26294" s="23"/>
      <c r="L26294" s="23"/>
    </row>
    <row r="26295">
      <c r="B26295" s="19"/>
      <c r="E26295" s="23"/>
      <c r="L26295" s="23"/>
    </row>
    <row r="26296">
      <c r="B26296" s="19"/>
      <c r="E26296" s="23"/>
      <c r="L26296" s="23"/>
    </row>
    <row r="26297">
      <c r="B26297" s="19"/>
      <c r="E26297" s="23"/>
      <c r="L26297" s="23"/>
    </row>
    <row r="26298">
      <c r="B26298" s="19"/>
      <c r="E26298" s="23"/>
      <c r="L26298" s="23"/>
    </row>
    <row r="26299">
      <c r="B26299" s="19"/>
      <c r="E26299" s="23"/>
      <c r="L26299" s="23"/>
    </row>
    <row r="26300">
      <c r="B26300" s="19"/>
      <c r="E26300" s="23"/>
      <c r="L26300" s="23"/>
    </row>
    <row r="26301">
      <c r="B26301" s="19"/>
      <c r="E26301" s="23"/>
      <c r="L26301" s="23"/>
    </row>
    <row r="26302">
      <c r="B26302" s="19"/>
      <c r="E26302" s="23"/>
      <c r="L26302" s="23"/>
    </row>
    <row r="26303">
      <c r="B26303" s="19"/>
      <c r="E26303" s="23"/>
      <c r="L26303" s="23"/>
    </row>
    <row r="26304">
      <c r="B26304" s="19"/>
      <c r="E26304" s="23"/>
      <c r="L26304" s="23"/>
    </row>
    <row r="26305">
      <c r="B26305" s="19"/>
      <c r="E26305" s="23"/>
      <c r="L26305" s="23"/>
    </row>
    <row r="26306">
      <c r="B26306" s="19"/>
      <c r="E26306" s="23"/>
      <c r="L26306" s="23"/>
    </row>
    <row r="26307">
      <c r="B26307" s="19"/>
      <c r="E26307" s="23"/>
      <c r="L26307" s="23"/>
    </row>
    <row r="26308">
      <c r="B26308" s="19"/>
      <c r="E26308" s="23"/>
      <c r="L26308" s="23"/>
    </row>
    <row r="26309">
      <c r="B26309" s="19"/>
      <c r="E26309" s="23"/>
      <c r="L26309" s="23"/>
    </row>
    <row r="26310">
      <c r="B26310" s="19"/>
      <c r="E26310" s="23"/>
      <c r="L26310" s="23"/>
    </row>
    <row r="26311">
      <c r="B26311" s="19"/>
      <c r="E26311" s="23"/>
      <c r="L26311" s="23"/>
    </row>
    <row r="26312">
      <c r="B26312" s="19"/>
      <c r="E26312" s="23"/>
      <c r="L26312" s="23"/>
    </row>
    <row r="26313">
      <c r="B26313" s="19"/>
      <c r="E26313" s="23"/>
      <c r="L26313" s="23"/>
    </row>
    <row r="26314">
      <c r="B26314" s="19"/>
      <c r="E26314" s="23"/>
      <c r="L26314" s="23"/>
    </row>
    <row r="26315">
      <c r="B26315" s="19"/>
      <c r="E26315" s="23"/>
      <c r="L26315" s="23"/>
    </row>
    <row r="26316">
      <c r="B26316" s="19"/>
      <c r="E26316" s="23"/>
      <c r="L26316" s="23"/>
    </row>
    <row r="26317">
      <c r="B26317" s="19"/>
      <c r="E26317" s="23"/>
      <c r="L26317" s="23"/>
    </row>
    <row r="26318">
      <c r="B26318" s="19"/>
      <c r="E26318" s="23"/>
      <c r="L26318" s="23"/>
    </row>
    <row r="26319">
      <c r="B26319" s="19"/>
      <c r="E26319" s="23"/>
      <c r="L26319" s="23"/>
    </row>
    <row r="26320">
      <c r="B26320" s="19"/>
      <c r="E26320" s="23"/>
      <c r="L26320" s="23"/>
    </row>
    <row r="26321">
      <c r="B26321" s="19"/>
      <c r="E26321" s="23"/>
      <c r="L26321" s="23"/>
    </row>
    <row r="26322">
      <c r="B26322" s="19"/>
      <c r="E26322" s="23"/>
      <c r="L26322" s="23"/>
    </row>
    <row r="26323">
      <c r="B26323" s="19"/>
      <c r="E26323" s="23"/>
      <c r="L26323" s="23"/>
    </row>
    <row r="26324">
      <c r="B26324" s="19"/>
      <c r="E26324" s="23"/>
      <c r="L26324" s="23"/>
    </row>
    <row r="26325">
      <c r="B26325" s="19"/>
      <c r="E26325" s="23"/>
      <c r="L26325" s="23"/>
    </row>
    <row r="26326">
      <c r="B26326" s="19"/>
      <c r="E26326" s="23"/>
      <c r="L26326" s="23"/>
    </row>
    <row r="26327">
      <c r="B26327" s="19"/>
      <c r="E26327" s="23"/>
      <c r="L26327" s="23"/>
    </row>
    <row r="26328">
      <c r="B26328" s="19"/>
      <c r="E26328" s="23"/>
      <c r="L26328" s="23"/>
    </row>
    <row r="26329">
      <c r="B26329" s="19"/>
      <c r="E26329" s="23"/>
      <c r="L26329" s="23"/>
    </row>
    <row r="26330">
      <c r="B26330" s="19"/>
      <c r="E26330" s="23"/>
      <c r="L26330" s="23"/>
    </row>
    <row r="26331">
      <c r="B26331" s="19"/>
      <c r="E26331" s="23"/>
      <c r="L26331" s="23"/>
    </row>
    <row r="26332">
      <c r="B26332" s="19"/>
      <c r="E26332" s="23"/>
      <c r="L26332" s="23"/>
    </row>
    <row r="26333">
      <c r="B26333" s="19"/>
      <c r="E26333" s="23"/>
      <c r="L26333" s="23"/>
    </row>
    <row r="26334">
      <c r="B26334" s="19"/>
      <c r="E26334" s="23"/>
      <c r="L26334" s="23"/>
    </row>
    <row r="26335">
      <c r="B26335" s="19"/>
      <c r="E26335" s="23"/>
      <c r="L26335" s="23"/>
    </row>
    <row r="26336">
      <c r="B26336" s="19"/>
      <c r="E26336" s="23"/>
      <c r="L26336" s="23"/>
    </row>
    <row r="26337">
      <c r="B26337" s="19"/>
      <c r="E26337" s="23"/>
      <c r="L26337" s="23"/>
    </row>
    <row r="26338">
      <c r="B26338" s="19"/>
      <c r="E26338" s="23"/>
      <c r="L26338" s="23"/>
    </row>
    <row r="26339">
      <c r="B26339" s="19"/>
      <c r="E26339" s="23"/>
      <c r="L26339" s="23"/>
    </row>
    <row r="26340">
      <c r="B26340" s="19"/>
      <c r="E26340" s="23"/>
      <c r="L26340" s="23"/>
    </row>
    <row r="26341">
      <c r="B26341" s="19"/>
      <c r="E26341" s="23"/>
      <c r="L26341" s="23"/>
    </row>
    <row r="26342">
      <c r="B26342" s="19"/>
      <c r="E26342" s="23"/>
      <c r="L26342" s="23"/>
    </row>
    <row r="26343">
      <c r="B26343" s="19"/>
      <c r="E26343" s="23"/>
      <c r="L26343" s="23"/>
    </row>
    <row r="26344">
      <c r="B26344" s="19"/>
      <c r="E26344" s="23"/>
      <c r="L26344" s="23"/>
    </row>
    <row r="26345">
      <c r="B26345" s="19"/>
      <c r="E26345" s="23"/>
      <c r="L26345" s="23"/>
    </row>
    <row r="26346">
      <c r="B26346" s="19"/>
      <c r="E26346" s="23"/>
      <c r="L26346" s="23"/>
    </row>
    <row r="26347">
      <c r="B26347" s="19"/>
      <c r="E26347" s="23"/>
      <c r="L26347" s="23"/>
    </row>
    <row r="26348">
      <c r="B26348" s="19"/>
      <c r="E26348" s="23"/>
      <c r="L26348" s="23"/>
    </row>
    <row r="26349">
      <c r="B26349" s="19"/>
      <c r="E26349" s="23"/>
      <c r="L26349" s="23"/>
    </row>
    <row r="26350">
      <c r="B26350" s="19"/>
      <c r="E26350" s="23"/>
      <c r="L26350" s="23"/>
    </row>
    <row r="26351">
      <c r="B26351" s="19"/>
      <c r="E26351" s="23"/>
      <c r="L26351" s="23"/>
    </row>
    <row r="26352">
      <c r="B26352" s="19"/>
      <c r="E26352" s="23"/>
      <c r="L26352" s="23"/>
    </row>
    <row r="26353">
      <c r="B26353" s="19"/>
      <c r="E26353" s="23"/>
      <c r="L26353" s="23"/>
    </row>
    <row r="26354">
      <c r="B26354" s="19"/>
      <c r="E26354" s="23"/>
      <c r="L26354" s="23"/>
    </row>
    <row r="26355">
      <c r="B26355" s="19"/>
      <c r="E26355" s="23"/>
      <c r="L26355" s="23"/>
    </row>
    <row r="26356">
      <c r="B26356" s="19"/>
      <c r="E26356" s="23"/>
      <c r="L26356" s="23"/>
    </row>
    <row r="26357">
      <c r="B26357" s="19"/>
      <c r="E26357" s="23"/>
      <c r="L26357" s="23"/>
    </row>
    <row r="26358">
      <c r="B26358" s="19"/>
      <c r="E26358" s="23"/>
      <c r="L26358" s="23"/>
    </row>
    <row r="26359">
      <c r="B26359" s="19"/>
      <c r="E26359" s="23"/>
      <c r="L26359" s="23"/>
    </row>
    <row r="26360">
      <c r="B26360" s="19"/>
      <c r="E26360" s="23"/>
      <c r="L26360" s="23"/>
    </row>
    <row r="26361">
      <c r="B26361" s="19"/>
      <c r="E26361" s="23"/>
      <c r="L26361" s="23"/>
    </row>
    <row r="26362">
      <c r="B26362" s="19"/>
      <c r="E26362" s="23"/>
      <c r="L26362" s="23"/>
    </row>
    <row r="26363">
      <c r="B26363" s="19"/>
      <c r="E26363" s="23"/>
      <c r="L26363" s="23"/>
    </row>
    <row r="26364">
      <c r="B26364" s="19"/>
      <c r="E26364" s="23"/>
      <c r="L26364" s="23"/>
    </row>
    <row r="26365">
      <c r="B26365" s="19"/>
      <c r="E26365" s="23"/>
      <c r="L26365" s="23"/>
    </row>
    <row r="26366">
      <c r="B26366" s="19"/>
      <c r="E26366" s="23"/>
      <c r="L26366" s="23"/>
    </row>
    <row r="26367">
      <c r="B26367" s="19"/>
      <c r="E26367" s="23"/>
      <c r="L26367" s="23"/>
    </row>
    <row r="26368">
      <c r="B26368" s="19"/>
      <c r="E26368" s="23"/>
      <c r="L26368" s="23"/>
    </row>
    <row r="26369">
      <c r="B26369" s="19"/>
      <c r="E26369" s="23"/>
      <c r="L26369" s="23"/>
    </row>
    <row r="26370">
      <c r="B26370" s="19"/>
      <c r="E26370" s="23"/>
      <c r="L26370" s="23"/>
    </row>
    <row r="26371">
      <c r="B26371" s="19"/>
      <c r="E26371" s="23"/>
      <c r="L26371" s="23"/>
    </row>
    <row r="26372">
      <c r="B26372" s="19"/>
      <c r="E26372" s="23"/>
      <c r="L26372" s="23"/>
    </row>
    <row r="26373">
      <c r="B26373" s="19"/>
      <c r="E26373" s="23"/>
      <c r="L26373" s="23"/>
    </row>
    <row r="26374">
      <c r="B26374" s="19"/>
      <c r="E26374" s="23"/>
      <c r="L26374" s="23"/>
    </row>
    <row r="26375">
      <c r="B26375" s="19"/>
      <c r="E26375" s="23"/>
      <c r="L26375" s="23"/>
    </row>
    <row r="26376">
      <c r="B26376" s="19"/>
      <c r="E26376" s="23"/>
      <c r="L26376" s="23"/>
    </row>
    <row r="26377">
      <c r="B26377" s="19"/>
      <c r="E26377" s="23"/>
      <c r="L26377" s="23"/>
    </row>
    <row r="26378">
      <c r="B26378" s="19"/>
      <c r="E26378" s="23"/>
      <c r="L26378" s="23"/>
    </row>
    <row r="26379">
      <c r="B26379" s="19"/>
      <c r="E26379" s="23"/>
      <c r="L26379" s="23"/>
    </row>
    <row r="26380">
      <c r="B26380" s="19"/>
      <c r="E26380" s="23"/>
      <c r="L26380" s="23"/>
    </row>
    <row r="26381">
      <c r="B26381" s="19"/>
      <c r="E26381" s="23"/>
      <c r="L26381" s="23"/>
    </row>
    <row r="26382">
      <c r="B26382" s="19"/>
      <c r="E26382" s="23"/>
      <c r="L26382" s="23"/>
    </row>
    <row r="26383">
      <c r="B26383" s="19"/>
      <c r="E26383" s="23"/>
      <c r="L26383" s="23"/>
    </row>
    <row r="26384">
      <c r="B26384" s="19"/>
      <c r="E26384" s="23"/>
      <c r="L26384" s="23"/>
    </row>
    <row r="26385">
      <c r="B26385" s="19"/>
      <c r="E26385" s="23"/>
      <c r="L26385" s="23"/>
    </row>
    <row r="26386">
      <c r="B26386" s="19"/>
      <c r="E26386" s="23"/>
      <c r="L26386" s="23"/>
    </row>
    <row r="26387">
      <c r="B26387" s="19"/>
      <c r="E26387" s="23"/>
      <c r="L26387" s="23"/>
    </row>
    <row r="26388">
      <c r="B26388" s="19"/>
      <c r="E26388" s="23"/>
      <c r="L26388" s="23"/>
    </row>
    <row r="26389">
      <c r="B26389" s="19"/>
      <c r="E26389" s="23"/>
      <c r="L26389" s="23"/>
    </row>
    <row r="26390">
      <c r="B26390" s="19"/>
      <c r="E26390" s="23"/>
      <c r="L26390" s="23"/>
    </row>
    <row r="26391">
      <c r="B26391" s="19"/>
      <c r="E26391" s="23"/>
      <c r="L26391" s="23"/>
    </row>
    <row r="26392">
      <c r="B26392" s="19"/>
      <c r="E26392" s="23"/>
      <c r="L26392" s="23"/>
    </row>
    <row r="26393">
      <c r="B26393" s="19"/>
      <c r="E26393" s="23"/>
      <c r="L26393" s="23"/>
    </row>
    <row r="26394">
      <c r="B26394" s="19"/>
      <c r="E26394" s="23"/>
      <c r="L26394" s="23"/>
    </row>
    <row r="26395">
      <c r="B26395" s="19"/>
      <c r="E26395" s="23"/>
      <c r="L26395" s="23"/>
    </row>
    <row r="26396">
      <c r="B26396" s="19"/>
      <c r="E26396" s="23"/>
      <c r="L26396" s="23"/>
    </row>
    <row r="26397">
      <c r="B26397" s="19"/>
      <c r="E26397" s="23"/>
      <c r="L26397" s="23"/>
    </row>
    <row r="26398">
      <c r="B26398" s="19"/>
      <c r="E26398" s="23"/>
      <c r="L26398" s="23"/>
    </row>
    <row r="26399">
      <c r="B26399" s="19"/>
      <c r="E26399" s="23"/>
      <c r="L26399" s="23"/>
    </row>
    <row r="26400">
      <c r="B26400" s="19"/>
      <c r="E26400" s="23"/>
      <c r="L26400" s="23"/>
    </row>
    <row r="26401">
      <c r="B26401" s="19"/>
      <c r="E26401" s="23"/>
      <c r="L26401" s="23"/>
    </row>
    <row r="26402">
      <c r="B26402" s="19"/>
      <c r="E26402" s="23"/>
      <c r="L26402" s="23"/>
    </row>
    <row r="26403">
      <c r="B26403" s="19"/>
      <c r="E26403" s="23"/>
      <c r="L26403" s="23"/>
    </row>
    <row r="26404">
      <c r="B26404" s="19"/>
      <c r="E26404" s="23"/>
      <c r="L26404" s="23"/>
    </row>
    <row r="26405">
      <c r="B26405" s="19"/>
      <c r="E26405" s="23"/>
      <c r="L26405" s="23"/>
    </row>
    <row r="26406">
      <c r="B26406" s="19"/>
      <c r="E26406" s="23"/>
      <c r="L26406" s="23"/>
    </row>
    <row r="26407">
      <c r="B26407" s="19"/>
      <c r="E26407" s="23"/>
      <c r="L26407" s="23"/>
    </row>
    <row r="26408">
      <c r="B26408" s="19"/>
      <c r="E26408" s="23"/>
      <c r="L26408" s="23"/>
    </row>
    <row r="26409">
      <c r="B26409" s="19"/>
      <c r="E26409" s="23"/>
      <c r="L26409" s="23"/>
    </row>
    <row r="26410">
      <c r="B26410" s="19"/>
      <c r="E26410" s="23"/>
      <c r="L26410" s="23"/>
    </row>
    <row r="26411">
      <c r="B26411" s="19"/>
      <c r="E26411" s="23"/>
      <c r="L26411" s="23"/>
    </row>
    <row r="26412">
      <c r="B26412" s="19"/>
      <c r="E26412" s="23"/>
      <c r="L26412" s="23"/>
    </row>
    <row r="26413">
      <c r="B26413" s="19"/>
      <c r="E26413" s="23"/>
      <c r="L26413" s="23"/>
    </row>
    <row r="26414">
      <c r="B26414" s="19"/>
      <c r="E26414" s="23"/>
      <c r="L26414" s="23"/>
    </row>
    <row r="26415">
      <c r="B26415" s="19"/>
      <c r="E26415" s="23"/>
      <c r="L26415" s="23"/>
    </row>
    <row r="26416">
      <c r="B26416" s="19"/>
      <c r="E26416" s="23"/>
      <c r="L26416" s="23"/>
    </row>
    <row r="26417">
      <c r="B26417" s="19"/>
      <c r="E26417" s="23"/>
      <c r="L26417" s="23"/>
    </row>
    <row r="26418">
      <c r="B26418" s="19"/>
      <c r="E26418" s="23"/>
      <c r="L26418" s="23"/>
    </row>
    <row r="26419">
      <c r="B26419" s="19"/>
      <c r="E26419" s="23"/>
      <c r="L26419" s="23"/>
    </row>
    <row r="26420">
      <c r="B26420" s="19"/>
      <c r="E26420" s="23"/>
      <c r="L26420" s="23"/>
    </row>
    <row r="26421">
      <c r="B26421" s="19"/>
      <c r="E26421" s="23"/>
      <c r="L26421" s="23"/>
    </row>
    <row r="26422">
      <c r="B26422" s="19"/>
      <c r="E26422" s="23"/>
      <c r="L26422" s="23"/>
    </row>
    <row r="26423">
      <c r="B26423" s="19"/>
      <c r="E26423" s="23"/>
      <c r="L26423" s="23"/>
    </row>
    <row r="26424">
      <c r="B26424" s="19"/>
      <c r="E26424" s="23"/>
      <c r="L26424" s="23"/>
    </row>
    <row r="26425">
      <c r="B26425" s="19"/>
      <c r="E26425" s="23"/>
      <c r="L26425" s="23"/>
    </row>
    <row r="26426">
      <c r="B26426" s="19"/>
      <c r="E26426" s="23"/>
      <c r="L26426" s="23"/>
    </row>
    <row r="26427">
      <c r="B26427" s="19"/>
      <c r="E26427" s="23"/>
      <c r="L26427" s="23"/>
    </row>
    <row r="26428">
      <c r="B26428" s="19"/>
      <c r="E26428" s="23"/>
      <c r="L26428" s="23"/>
    </row>
    <row r="26429">
      <c r="B26429" s="19"/>
      <c r="E26429" s="23"/>
      <c r="L26429" s="23"/>
    </row>
    <row r="26430">
      <c r="B26430" s="19"/>
      <c r="E26430" s="23"/>
      <c r="L26430" s="23"/>
    </row>
    <row r="26431">
      <c r="B26431" s="19"/>
      <c r="E26431" s="23"/>
      <c r="L26431" s="23"/>
    </row>
    <row r="26432">
      <c r="B26432" s="19"/>
      <c r="E26432" s="23"/>
      <c r="L26432" s="23"/>
    </row>
    <row r="26433">
      <c r="B26433" s="19"/>
      <c r="E26433" s="23"/>
      <c r="L26433" s="23"/>
    </row>
    <row r="26434">
      <c r="B26434" s="19"/>
      <c r="E26434" s="23"/>
      <c r="L26434" s="23"/>
    </row>
    <row r="26435">
      <c r="B26435" s="19"/>
      <c r="E26435" s="23"/>
      <c r="L26435" s="23"/>
    </row>
    <row r="26436">
      <c r="B26436" s="19"/>
      <c r="E26436" s="23"/>
      <c r="L26436" s="23"/>
    </row>
    <row r="26437">
      <c r="B26437" s="19"/>
      <c r="E26437" s="23"/>
      <c r="L26437" s="23"/>
    </row>
    <row r="26438">
      <c r="B26438" s="19"/>
      <c r="E26438" s="23"/>
      <c r="L26438" s="23"/>
    </row>
    <row r="26439">
      <c r="B26439" s="19"/>
      <c r="E26439" s="23"/>
      <c r="L26439" s="23"/>
    </row>
    <row r="26440">
      <c r="B26440" s="19"/>
      <c r="E26440" s="23"/>
      <c r="L26440" s="23"/>
    </row>
    <row r="26441">
      <c r="B26441" s="19"/>
      <c r="E26441" s="23"/>
      <c r="L26441" s="23"/>
    </row>
    <row r="26442">
      <c r="B26442" s="19"/>
      <c r="E26442" s="23"/>
      <c r="L26442" s="23"/>
    </row>
    <row r="26443">
      <c r="B26443" s="19"/>
      <c r="E26443" s="23"/>
      <c r="L26443" s="23"/>
    </row>
    <row r="26444">
      <c r="B26444" s="19"/>
      <c r="E26444" s="23"/>
      <c r="L26444" s="23"/>
    </row>
    <row r="26445">
      <c r="B26445" s="19"/>
      <c r="E26445" s="23"/>
      <c r="L26445" s="23"/>
    </row>
    <row r="26446">
      <c r="B26446" s="19"/>
      <c r="E26446" s="23"/>
      <c r="L26446" s="23"/>
    </row>
    <row r="26447">
      <c r="B26447" s="19"/>
      <c r="E26447" s="23"/>
      <c r="L26447" s="23"/>
    </row>
    <row r="26448">
      <c r="B26448" s="19"/>
      <c r="E26448" s="23"/>
      <c r="L26448" s="23"/>
    </row>
    <row r="26449">
      <c r="B26449" s="19"/>
      <c r="E26449" s="23"/>
      <c r="L26449" s="23"/>
    </row>
    <row r="26450">
      <c r="B26450" s="19"/>
      <c r="E26450" s="23"/>
      <c r="L26450" s="23"/>
    </row>
    <row r="26451">
      <c r="B26451" s="19"/>
      <c r="E26451" s="23"/>
      <c r="L26451" s="23"/>
    </row>
    <row r="26452">
      <c r="B26452" s="19"/>
      <c r="E26452" s="23"/>
      <c r="L26452" s="23"/>
    </row>
    <row r="26453">
      <c r="B26453" s="19"/>
      <c r="E26453" s="23"/>
      <c r="L26453" s="23"/>
    </row>
    <row r="26454">
      <c r="B26454" s="19"/>
      <c r="E26454" s="23"/>
      <c r="L26454" s="23"/>
    </row>
    <row r="26455">
      <c r="B26455" s="19"/>
      <c r="E26455" s="23"/>
      <c r="L26455" s="23"/>
    </row>
    <row r="26456">
      <c r="B26456" s="19"/>
      <c r="E26456" s="23"/>
      <c r="L26456" s="23"/>
    </row>
    <row r="26457">
      <c r="B26457" s="19"/>
      <c r="E26457" s="23"/>
      <c r="L26457" s="23"/>
    </row>
    <row r="26458">
      <c r="B26458" s="19"/>
      <c r="E26458" s="23"/>
      <c r="L26458" s="23"/>
    </row>
    <row r="26459">
      <c r="B26459" s="19"/>
      <c r="E26459" s="23"/>
      <c r="L26459" s="23"/>
    </row>
    <row r="26460">
      <c r="B26460" s="19"/>
      <c r="E26460" s="23"/>
      <c r="L26460" s="23"/>
    </row>
    <row r="26461">
      <c r="B26461" s="19"/>
      <c r="E26461" s="23"/>
      <c r="L26461" s="23"/>
    </row>
    <row r="26462">
      <c r="B26462" s="19"/>
      <c r="E26462" s="23"/>
      <c r="L26462" s="23"/>
    </row>
    <row r="26463">
      <c r="B26463" s="19"/>
      <c r="E26463" s="23"/>
      <c r="L26463" s="23"/>
    </row>
    <row r="26464">
      <c r="B26464" s="19"/>
      <c r="E26464" s="23"/>
      <c r="L26464" s="23"/>
    </row>
    <row r="26465">
      <c r="B26465" s="19"/>
      <c r="E26465" s="23"/>
      <c r="L26465" s="23"/>
    </row>
    <row r="26466">
      <c r="B26466" s="19"/>
      <c r="E26466" s="23"/>
      <c r="L26466" s="23"/>
    </row>
    <row r="26467">
      <c r="B26467" s="19"/>
      <c r="E26467" s="23"/>
      <c r="L26467" s="23"/>
    </row>
    <row r="26468">
      <c r="B26468" s="19"/>
      <c r="E26468" s="23"/>
      <c r="L26468" s="23"/>
    </row>
    <row r="26469">
      <c r="B26469" s="19"/>
      <c r="E26469" s="23"/>
      <c r="L26469" s="23"/>
    </row>
    <row r="26470">
      <c r="B26470" s="19"/>
      <c r="E26470" s="23"/>
      <c r="L26470" s="23"/>
    </row>
    <row r="26471">
      <c r="B26471" s="19"/>
      <c r="E26471" s="23"/>
      <c r="L26471" s="23"/>
    </row>
    <row r="26472">
      <c r="B26472" s="19"/>
      <c r="E26472" s="23"/>
      <c r="L26472" s="23"/>
    </row>
    <row r="26473">
      <c r="B26473" s="19"/>
      <c r="E26473" s="23"/>
      <c r="L26473" s="23"/>
    </row>
    <row r="26474">
      <c r="B26474" s="19"/>
      <c r="E26474" s="23"/>
      <c r="L26474" s="23"/>
    </row>
    <row r="26475">
      <c r="B26475" s="19"/>
      <c r="E26475" s="23"/>
      <c r="L26475" s="23"/>
    </row>
    <row r="26476">
      <c r="B26476" s="19"/>
      <c r="E26476" s="23"/>
      <c r="L26476" s="23"/>
    </row>
    <row r="26477">
      <c r="B26477" s="19"/>
      <c r="E26477" s="23"/>
      <c r="L26477" s="23"/>
    </row>
    <row r="26478">
      <c r="B26478" s="19"/>
      <c r="E26478" s="23"/>
      <c r="L26478" s="23"/>
    </row>
    <row r="26479">
      <c r="B26479" s="19"/>
      <c r="E26479" s="23"/>
      <c r="L26479" s="23"/>
    </row>
    <row r="26480">
      <c r="B26480" s="19"/>
      <c r="E26480" s="23"/>
      <c r="L26480" s="23"/>
    </row>
    <row r="26481">
      <c r="B26481" s="19"/>
      <c r="E26481" s="23"/>
      <c r="L26481" s="23"/>
    </row>
    <row r="26482">
      <c r="B26482" s="19"/>
      <c r="E26482" s="23"/>
      <c r="L26482" s="23"/>
    </row>
    <row r="26483">
      <c r="B26483" s="19"/>
      <c r="E26483" s="23"/>
      <c r="L26483" s="23"/>
    </row>
    <row r="26484">
      <c r="B26484" s="19"/>
      <c r="E26484" s="23"/>
      <c r="L26484" s="23"/>
    </row>
    <row r="26485">
      <c r="B26485" s="19"/>
      <c r="E26485" s="23"/>
      <c r="L26485" s="23"/>
    </row>
    <row r="26486">
      <c r="B26486" s="19"/>
      <c r="E26486" s="23"/>
      <c r="L26486" s="23"/>
    </row>
    <row r="26487">
      <c r="B26487" s="19"/>
      <c r="E26487" s="23"/>
      <c r="L26487" s="23"/>
    </row>
    <row r="26488">
      <c r="B26488" s="19"/>
      <c r="E26488" s="23"/>
      <c r="L26488" s="23"/>
    </row>
    <row r="26489">
      <c r="B26489" s="19"/>
      <c r="E26489" s="23"/>
      <c r="L26489" s="23"/>
    </row>
    <row r="26490">
      <c r="B26490" s="19"/>
      <c r="E26490" s="23"/>
      <c r="L26490" s="23"/>
    </row>
    <row r="26491">
      <c r="B26491" s="19"/>
      <c r="E26491" s="23"/>
      <c r="L26491" s="23"/>
    </row>
    <row r="26492">
      <c r="B26492" s="19"/>
      <c r="E26492" s="23"/>
      <c r="L26492" s="23"/>
    </row>
    <row r="26493">
      <c r="B26493" s="19"/>
      <c r="E26493" s="23"/>
      <c r="L26493" s="23"/>
    </row>
    <row r="26494">
      <c r="B26494" s="19"/>
      <c r="E26494" s="23"/>
      <c r="L26494" s="23"/>
    </row>
    <row r="26495">
      <c r="B26495" s="19"/>
      <c r="E26495" s="23"/>
      <c r="L26495" s="23"/>
    </row>
    <row r="26496">
      <c r="B26496" s="19"/>
      <c r="E26496" s="23"/>
      <c r="L26496" s="23"/>
    </row>
    <row r="26497">
      <c r="B26497" s="19"/>
      <c r="E26497" s="23"/>
      <c r="L26497" s="23"/>
    </row>
    <row r="26498">
      <c r="B26498" s="19"/>
      <c r="E26498" s="23"/>
      <c r="L26498" s="23"/>
    </row>
    <row r="26499">
      <c r="B26499" s="19"/>
      <c r="E26499" s="23"/>
      <c r="L26499" s="23"/>
    </row>
    <row r="26500">
      <c r="B26500" s="19"/>
      <c r="E26500" s="23"/>
      <c r="L26500" s="23"/>
    </row>
    <row r="26501">
      <c r="B26501" s="19"/>
      <c r="E26501" s="23"/>
      <c r="L26501" s="23"/>
    </row>
    <row r="26502">
      <c r="B26502" s="19"/>
      <c r="E26502" s="23"/>
      <c r="L26502" s="23"/>
    </row>
    <row r="26503">
      <c r="B26503" s="19"/>
      <c r="E26503" s="23"/>
      <c r="L26503" s="23"/>
    </row>
    <row r="26504">
      <c r="B26504" s="19"/>
      <c r="E26504" s="23"/>
      <c r="L26504" s="23"/>
    </row>
    <row r="26505">
      <c r="B26505" s="19"/>
      <c r="E26505" s="23"/>
      <c r="L26505" s="23"/>
    </row>
    <row r="26506">
      <c r="B26506" s="19"/>
      <c r="E26506" s="23"/>
      <c r="L26506" s="23"/>
    </row>
    <row r="26507">
      <c r="B26507" s="19"/>
      <c r="E26507" s="23"/>
      <c r="L26507" s="23"/>
    </row>
    <row r="26508">
      <c r="B26508" s="19"/>
      <c r="E26508" s="23"/>
      <c r="L26508" s="23"/>
    </row>
    <row r="26509">
      <c r="B26509" s="19"/>
      <c r="E26509" s="23"/>
      <c r="L26509" s="23"/>
    </row>
    <row r="26510">
      <c r="B26510" s="19"/>
      <c r="E26510" s="23"/>
      <c r="L26510" s="23"/>
    </row>
    <row r="26511">
      <c r="B26511" s="19"/>
      <c r="E26511" s="23"/>
      <c r="L26511" s="23"/>
    </row>
    <row r="26512">
      <c r="B26512" s="19"/>
      <c r="E26512" s="23"/>
      <c r="L26512" s="23"/>
    </row>
    <row r="26513">
      <c r="B26513" s="19"/>
      <c r="E26513" s="23"/>
      <c r="L26513" s="23"/>
    </row>
    <row r="26514">
      <c r="B26514" s="19"/>
      <c r="E26514" s="23"/>
      <c r="L26514" s="23"/>
    </row>
    <row r="26515">
      <c r="B26515" s="19"/>
      <c r="E26515" s="23"/>
      <c r="L26515" s="23"/>
    </row>
    <row r="26516">
      <c r="B26516" s="19"/>
      <c r="E26516" s="23"/>
      <c r="L26516" s="23"/>
    </row>
    <row r="26517">
      <c r="B26517" s="19"/>
      <c r="E26517" s="23"/>
      <c r="L26517" s="23"/>
    </row>
    <row r="26518">
      <c r="B26518" s="19"/>
      <c r="E26518" s="23"/>
      <c r="L26518" s="23"/>
    </row>
    <row r="26519">
      <c r="B26519" s="19"/>
      <c r="E26519" s="23"/>
      <c r="L26519" s="23"/>
    </row>
    <row r="26520">
      <c r="B26520" s="19"/>
      <c r="E26520" s="23"/>
      <c r="L26520" s="23"/>
    </row>
    <row r="26521">
      <c r="B26521" s="19"/>
      <c r="E26521" s="23"/>
      <c r="L26521" s="23"/>
    </row>
    <row r="26522">
      <c r="B26522" s="19"/>
      <c r="E26522" s="23"/>
      <c r="L26522" s="23"/>
    </row>
    <row r="26523">
      <c r="B26523" s="19"/>
      <c r="E26523" s="23"/>
      <c r="L26523" s="23"/>
    </row>
    <row r="26524">
      <c r="B26524" s="19"/>
      <c r="E26524" s="23"/>
      <c r="L26524" s="23"/>
    </row>
    <row r="26525">
      <c r="B26525" s="19"/>
      <c r="E26525" s="23"/>
      <c r="L26525" s="23"/>
    </row>
    <row r="26526">
      <c r="B26526" s="19"/>
      <c r="E26526" s="23"/>
      <c r="L26526" s="23"/>
    </row>
    <row r="26527">
      <c r="B26527" s="19"/>
      <c r="E26527" s="23"/>
      <c r="L26527" s="23"/>
    </row>
    <row r="26528">
      <c r="B26528" s="19"/>
      <c r="E26528" s="23"/>
      <c r="L26528" s="23"/>
    </row>
    <row r="26529">
      <c r="B26529" s="19"/>
      <c r="E26529" s="23"/>
      <c r="L26529" s="23"/>
    </row>
    <row r="26530">
      <c r="B26530" s="19"/>
      <c r="E26530" s="23"/>
      <c r="L26530" s="23"/>
    </row>
    <row r="26531">
      <c r="B26531" s="19"/>
      <c r="E26531" s="23"/>
      <c r="L26531" s="23"/>
    </row>
    <row r="26532">
      <c r="B26532" s="19"/>
      <c r="E26532" s="23"/>
      <c r="L26532" s="23"/>
    </row>
    <row r="26533">
      <c r="B26533" s="19"/>
      <c r="E26533" s="23"/>
      <c r="L26533" s="23"/>
    </row>
    <row r="26534">
      <c r="B26534" s="19"/>
      <c r="E26534" s="23"/>
      <c r="L26534" s="23"/>
    </row>
    <row r="26535">
      <c r="B26535" s="19"/>
      <c r="E26535" s="23"/>
      <c r="L26535" s="23"/>
    </row>
    <row r="26536">
      <c r="B26536" s="19"/>
      <c r="E26536" s="23"/>
      <c r="L26536" s="23"/>
    </row>
    <row r="26537">
      <c r="B26537" s="19"/>
      <c r="E26537" s="23"/>
      <c r="L26537" s="23"/>
    </row>
    <row r="26538">
      <c r="B26538" s="19"/>
      <c r="E26538" s="23"/>
      <c r="L26538" s="23"/>
    </row>
    <row r="26539">
      <c r="B26539" s="19"/>
      <c r="E26539" s="23"/>
      <c r="L26539" s="23"/>
    </row>
    <row r="26540">
      <c r="B26540" s="19"/>
      <c r="E26540" s="23"/>
      <c r="L26540" s="23"/>
    </row>
    <row r="26541">
      <c r="B26541" s="19"/>
      <c r="E26541" s="23"/>
      <c r="L26541" s="23"/>
    </row>
    <row r="26542">
      <c r="B26542" s="19"/>
      <c r="E26542" s="23"/>
      <c r="L26542" s="23"/>
    </row>
    <row r="26543">
      <c r="B26543" s="19"/>
      <c r="E26543" s="23"/>
      <c r="L26543" s="23"/>
    </row>
    <row r="26544">
      <c r="B26544" s="19"/>
      <c r="E26544" s="23"/>
      <c r="L26544" s="23"/>
    </row>
    <row r="26545">
      <c r="B26545" s="19"/>
      <c r="E26545" s="23"/>
      <c r="L26545" s="23"/>
    </row>
    <row r="26546">
      <c r="B26546" s="19"/>
      <c r="E26546" s="23"/>
      <c r="L26546" s="23"/>
    </row>
    <row r="26547">
      <c r="B26547" s="19"/>
      <c r="E26547" s="23"/>
      <c r="L26547" s="23"/>
    </row>
    <row r="26548">
      <c r="B26548" s="19"/>
      <c r="E26548" s="23"/>
      <c r="L26548" s="23"/>
    </row>
    <row r="26549">
      <c r="B26549" s="19"/>
      <c r="E26549" s="23"/>
      <c r="L26549" s="23"/>
    </row>
    <row r="26550">
      <c r="B26550" s="19"/>
      <c r="E26550" s="23"/>
      <c r="L26550" s="23"/>
    </row>
    <row r="26551">
      <c r="B26551" s="19"/>
      <c r="E26551" s="23"/>
      <c r="L26551" s="23"/>
    </row>
    <row r="26552">
      <c r="B26552" s="19"/>
      <c r="E26552" s="23"/>
      <c r="L26552" s="23"/>
    </row>
    <row r="26553">
      <c r="B26553" s="19"/>
      <c r="E26553" s="23"/>
      <c r="L26553" s="23"/>
    </row>
    <row r="26554">
      <c r="B26554" s="19"/>
      <c r="E26554" s="23"/>
      <c r="L26554" s="23"/>
    </row>
    <row r="26555">
      <c r="B26555" s="19"/>
      <c r="E26555" s="23"/>
      <c r="L26555" s="23"/>
    </row>
    <row r="26556">
      <c r="B26556" s="19"/>
      <c r="E26556" s="23"/>
      <c r="L26556" s="23"/>
    </row>
    <row r="26557">
      <c r="B26557" s="19"/>
      <c r="E26557" s="23"/>
      <c r="L26557" s="23"/>
    </row>
    <row r="26558">
      <c r="B26558" s="19"/>
      <c r="E26558" s="23"/>
      <c r="L26558" s="23"/>
    </row>
    <row r="26559">
      <c r="B26559" s="19"/>
      <c r="E26559" s="23"/>
      <c r="L26559" s="23"/>
    </row>
    <row r="26560">
      <c r="B26560" s="19"/>
      <c r="E26560" s="23"/>
      <c r="L26560" s="23"/>
    </row>
    <row r="26561">
      <c r="B26561" s="19"/>
      <c r="E26561" s="23"/>
      <c r="L26561" s="23"/>
    </row>
    <row r="26562">
      <c r="B26562" s="19"/>
      <c r="E26562" s="23"/>
      <c r="L26562" s="23"/>
    </row>
    <row r="26563">
      <c r="B26563" s="19"/>
      <c r="E26563" s="23"/>
      <c r="L26563" s="23"/>
    </row>
    <row r="26564">
      <c r="B26564" s="19"/>
      <c r="E26564" s="23"/>
      <c r="L26564" s="23"/>
    </row>
    <row r="26565">
      <c r="B26565" s="19"/>
      <c r="E26565" s="23"/>
      <c r="L26565" s="23"/>
    </row>
    <row r="26566">
      <c r="B26566" s="19"/>
      <c r="E26566" s="23"/>
      <c r="L26566" s="23"/>
    </row>
    <row r="26567">
      <c r="B26567" s="19"/>
      <c r="E26567" s="23"/>
      <c r="L26567" s="23"/>
    </row>
    <row r="26568">
      <c r="B26568" s="19"/>
      <c r="E26568" s="23"/>
      <c r="L26568" s="23"/>
    </row>
    <row r="26569">
      <c r="B26569" s="19"/>
      <c r="E26569" s="23"/>
      <c r="L26569" s="23"/>
    </row>
    <row r="26570">
      <c r="B26570" s="19"/>
      <c r="E26570" s="23"/>
      <c r="L26570" s="23"/>
    </row>
    <row r="26571">
      <c r="B26571" s="19"/>
      <c r="E26571" s="23"/>
      <c r="L26571" s="23"/>
    </row>
    <row r="26572">
      <c r="B26572" s="19"/>
      <c r="E26572" s="23"/>
      <c r="L26572" s="23"/>
    </row>
    <row r="26573">
      <c r="B26573" s="19"/>
      <c r="E26573" s="23"/>
      <c r="L26573" s="23"/>
    </row>
    <row r="26574">
      <c r="B26574" s="19"/>
      <c r="E26574" s="23"/>
      <c r="L26574" s="23"/>
    </row>
    <row r="26575">
      <c r="B26575" s="19"/>
      <c r="E26575" s="23"/>
      <c r="L26575" s="23"/>
    </row>
    <row r="26576">
      <c r="B26576" s="19"/>
      <c r="E26576" s="23"/>
      <c r="L26576" s="23"/>
    </row>
    <row r="26577">
      <c r="B26577" s="19"/>
      <c r="E26577" s="23"/>
      <c r="L26577" s="23"/>
    </row>
    <row r="26578">
      <c r="B26578" s="19"/>
      <c r="E26578" s="23"/>
      <c r="L26578" s="23"/>
    </row>
    <row r="26579">
      <c r="B26579" s="19"/>
      <c r="E26579" s="23"/>
      <c r="L26579" s="23"/>
    </row>
    <row r="26580">
      <c r="B26580" s="19"/>
      <c r="E26580" s="23"/>
      <c r="L26580" s="23"/>
    </row>
    <row r="26581">
      <c r="B26581" s="19"/>
      <c r="E26581" s="23"/>
      <c r="L26581" s="23"/>
    </row>
    <row r="26582">
      <c r="B26582" s="19"/>
      <c r="E26582" s="23"/>
      <c r="L26582" s="23"/>
    </row>
    <row r="26583">
      <c r="B26583" s="19"/>
      <c r="E26583" s="23"/>
      <c r="L26583" s="23"/>
    </row>
    <row r="26584">
      <c r="B26584" s="19"/>
      <c r="E26584" s="23"/>
      <c r="L26584" s="23"/>
    </row>
    <row r="26585">
      <c r="B26585" s="19"/>
      <c r="E26585" s="23"/>
      <c r="L26585" s="23"/>
    </row>
    <row r="26586">
      <c r="B26586" s="19"/>
      <c r="E26586" s="23"/>
      <c r="L26586" s="23"/>
    </row>
    <row r="26587">
      <c r="B26587" s="19"/>
      <c r="E26587" s="23"/>
      <c r="L26587" s="23"/>
    </row>
    <row r="26588">
      <c r="B26588" s="19"/>
      <c r="E26588" s="23"/>
      <c r="L26588" s="23"/>
    </row>
    <row r="26589">
      <c r="B26589" s="19"/>
      <c r="E26589" s="23"/>
      <c r="L26589" s="23"/>
    </row>
    <row r="26590">
      <c r="B26590" s="19"/>
      <c r="E26590" s="23"/>
      <c r="L26590" s="23"/>
    </row>
    <row r="26591">
      <c r="B26591" s="19"/>
      <c r="E26591" s="23"/>
      <c r="L26591" s="23"/>
    </row>
    <row r="26592">
      <c r="B26592" s="19"/>
      <c r="E26592" s="23"/>
      <c r="L26592" s="23"/>
    </row>
    <row r="26593">
      <c r="B26593" s="19"/>
      <c r="E26593" s="23"/>
      <c r="L26593" s="23"/>
    </row>
    <row r="26594">
      <c r="B26594" s="19"/>
      <c r="E26594" s="23"/>
      <c r="L26594" s="23"/>
    </row>
    <row r="26595">
      <c r="B26595" s="19"/>
      <c r="E26595" s="23"/>
      <c r="L26595" s="23"/>
    </row>
    <row r="26596">
      <c r="B26596" s="19"/>
      <c r="E26596" s="23"/>
      <c r="L26596" s="23"/>
    </row>
    <row r="26597">
      <c r="B26597" s="19"/>
      <c r="E26597" s="23"/>
      <c r="L26597" s="23"/>
    </row>
    <row r="26598">
      <c r="B26598" s="19"/>
      <c r="E26598" s="23"/>
      <c r="L26598" s="23"/>
    </row>
    <row r="26599">
      <c r="B26599" s="19"/>
      <c r="E26599" s="23"/>
      <c r="L26599" s="23"/>
    </row>
    <row r="26600">
      <c r="B26600" s="19"/>
      <c r="E26600" s="23"/>
      <c r="L26600" s="23"/>
    </row>
    <row r="26601">
      <c r="B26601" s="19"/>
      <c r="E26601" s="23"/>
      <c r="L26601" s="23"/>
    </row>
    <row r="26602">
      <c r="B26602" s="19"/>
      <c r="E26602" s="23"/>
      <c r="L26602" s="23"/>
    </row>
    <row r="26603">
      <c r="B26603" s="19"/>
      <c r="E26603" s="23"/>
      <c r="L26603" s="23"/>
    </row>
    <row r="26604">
      <c r="B26604" s="19"/>
      <c r="E26604" s="23"/>
      <c r="L26604" s="23"/>
    </row>
    <row r="26605">
      <c r="B26605" s="19"/>
      <c r="E26605" s="23"/>
      <c r="L26605" s="23"/>
    </row>
    <row r="26606">
      <c r="B26606" s="19"/>
      <c r="E26606" s="23"/>
      <c r="L26606" s="23"/>
    </row>
    <row r="26607">
      <c r="B26607" s="19"/>
      <c r="E26607" s="23"/>
      <c r="L26607" s="23"/>
    </row>
    <row r="26608">
      <c r="B26608" s="19"/>
      <c r="E26608" s="23"/>
      <c r="L26608" s="23"/>
    </row>
    <row r="26609">
      <c r="B26609" s="19"/>
      <c r="E26609" s="23"/>
      <c r="L26609" s="23"/>
    </row>
    <row r="26610">
      <c r="B26610" s="19"/>
      <c r="E26610" s="23"/>
      <c r="L26610" s="23"/>
    </row>
    <row r="26611">
      <c r="B26611" s="19"/>
      <c r="E26611" s="23"/>
      <c r="L26611" s="23"/>
    </row>
    <row r="26612">
      <c r="B26612" s="19"/>
      <c r="E26612" s="23"/>
      <c r="L26612" s="23"/>
    </row>
    <row r="26613">
      <c r="B26613" s="19"/>
      <c r="E26613" s="23"/>
      <c r="L26613" s="23"/>
    </row>
    <row r="26614">
      <c r="B26614" s="19"/>
      <c r="E26614" s="23"/>
      <c r="L26614" s="23"/>
    </row>
    <row r="26615">
      <c r="B26615" s="19"/>
      <c r="E26615" s="23"/>
      <c r="L26615" s="23"/>
    </row>
    <row r="26616">
      <c r="B26616" s="19"/>
      <c r="E26616" s="23"/>
      <c r="L26616" s="23"/>
    </row>
    <row r="26617">
      <c r="B26617" s="19"/>
      <c r="E26617" s="23"/>
      <c r="L26617" s="23"/>
    </row>
    <row r="26618">
      <c r="B26618" s="19"/>
      <c r="E26618" s="23"/>
      <c r="L26618" s="23"/>
    </row>
    <row r="26619">
      <c r="B26619" s="19"/>
      <c r="E26619" s="23"/>
      <c r="L26619" s="23"/>
    </row>
    <row r="26620">
      <c r="B26620" s="19"/>
      <c r="E26620" s="23"/>
      <c r="L26620" s="23"/>
    </row>
    <row r="26621">
      <c r="B26621" s="19"/>
      <c r="E26621" s="23"/>
      <c r="L26621" s="23"/>
    </row>
    <row r="26622">
      <c r="B26622" s="19"/>
      <c r="E26622" s="23"/>
      <c r="L26622" s="23"/>
    </row>
    <row r="26623">
      <c r="B26623" s="19"/>
      <c r="E26623" s="23"/>
      <c r="L26623" s="23"/>
    </row>
    <row r="26624">
      <c r="B26624" s="19"/>
      <c r="E26624" s="23"/>
      <c r="L26624" s="23"/>
    </row>
    <row r="26625">
      <c r="B26625" s="19"/>
      <c r="E26625" s="23"/>
      <c r="L26625" s="23"/>
    </row>
    <row r="26626">
      <c r="B26626" s="19"/>
      <c r="E26626" s="23"/>
      <c r="L26626" s="23"/>
    </row>
    <row r="26627">
      <c r="B26627" s="19"/>
      <c r="E26627" s="23"/>
      <c r="L26627" s="23"/>
    </row>
    <row r="26628">
      <c r="B26628" s="19"/>
      <c r="E26628" s="23"/>
      <c r="L26628" s="23"/>
    </row>
    <row r="26629">
      <c r="B26629" s="19"/>
      <c r="E26629" s="23"/>
      <c r="L26629" s="23"/>
    </row>
    <row r="26630">
      <c r="B26630" s="19"/>
      <c r="E26630" s="23"/>
      <c r="L26630" s="23"/>
    </row>
    <row r="26631">
      <c r="B26631" s="19"/>
      <c r="E26631" s="23"/>
      <c r="L26631" s="23"/>
    </row>
    <row r="26632">
      <c r="B26632" s="19"/>
      <c r="E26632" s="23"/>
      <c r="L26632" s="23"/>
    </row>
    <row r="26633">
      <c r="B26633" s="19"/>
      <c r="E26633" s="23"/>
      <c r="L26633" s="23"/>
    </row>
    <row r="26634">
      <c r="B26634" s="19"/>
      <c r="E26634" s="23"/>
      <c r="L26634" s="23"/>
    </row>
    <row r="26635">
      <c r="B26635" s="19"/>
      <c r="E26635" s="23"/>
      <c r="L26635" s="23"/>
    </row>
    <row r="26636">
      <c r="B26636" s="19"/>
      <c r="E26636" s="23"/>
      <c r="L26636" s="23"/>
    </row>
    <row r="26637">
      <c r="B26637" s="19"/>
      <c r="E26637" s="23"/>
      <c r="L26637" s="23"/>
    </row>
    <row r="26638">
      <c r="B26638" s="19"/>
      <c r="E26638" s="23"/>
      <c r="L26638" s="23"/>
    </row>
    <row r="26639">
      <c r="B26639" s="19"/>
      <c r="E26639" s="23"/>
      <c r="L26639" s="23"/>
    </row>
    <row r="26640">
      <c r="B26640" s="19"/>
      <c r="E26640" s="23"/>
      <c r="L26640" s="23"/>
    </row>
    <row r="26641">
      <c r="B26641" s="19"/>
      <c r="E26641" s="23"/>
      <c r="L26641" s="23"/>
    </row>
    <row r="26642">
      <c r="B26642" s="19"/>
      <c r="E26642" s="23"/>
      <c r="L26642" s="23"/>
    </row>
    <row r="26643">
      <c r="B26643" s="19"/>
      <c r="E26643" s="23"/>
      <c r="L26643" s="23"/>
    </row>
    <row r="26644">
      <c r="B26644" s="19"/>
      <c r="E26644" s="23"/>
      <c r="L26644" s="23"/>
    </row>
    <row r="26645">
      <c r="B26645" s="19"/>
      <c r="E26645" s="23"/>
      <c r="L26645" s="23"/>
    </row>
    <row r="26646">
      <c r="B26646" s="19"/>
      <c r="E26646" s="23"/>
      <c r="L26646" s="23"/>
    </row>
    <row r="26647">
      <c r="B26647" s="19"/>
      <c r="E26647" s="23"/>
      <c r="L26647" s="23"/>
    </row>
    <row r="26648">
      <c r="B26648" s="19"/>
      <c r="E26648" s="23"/>
      <c r="L26648" s="23"/>
    </row>
    <row r="26649">
      <c r="B26649" s="19"/>
      <c r="E26649" s="23"/>
      <c r="L26649" s="23"/>
    </row>
    <row r="26650">
      <c r="B26650" s="19"/>
      <c r="E26650" s="23"/>
      <c r="L26650" s="23"/>
    </row>
    <row r="26651">
      <c r="B26651" s="19"/>
      <c r="E26651" s="23"/>
      <c r="L26651" s="23"/>
    </row>
    <row r="26652">
      <c r="B26652" s="19"/>
      <c r="E26652" s="23"/>
      <c r="L26652" s="23"/>
    </row>
    <row r="26653">
      <c r="B26653" s="19"/>
      <c r="E26653" s="23"/>
      <c r="L26653" s="23"/>
    </row>
    <row r="26654">
      <c r="B26654" s="19"/>
      <c r="E26654" s="23"/>
      <c r="L26654" s="23"/>
    </row>
    <row r="26655">
      <c r="B26655" s="19"/>
      <c r="E26655" s="23"/>
      <c r="L26655" s="23"/>
    </row>
    <row r="26656">
      <c r="B26656" s="19"/>
      <c r="E26656" s="23"/>
      <c r="L26656" s="23"/>
    </row>
    <row r="26657">
      <c r="B26657" s="19"/>
      <c r="E26657" s="23"/>
      <c r="L26657" s="23"/>
    </row>
    <row r="26658">
      <c r="B26658" s="19"/>
      <c r="E26658" s="23"/>
      <c r="L26658" s="23"/>
    </row>
    <row r="26659">
      <c r="B26659" s="19"/>
      <c r="E26659" s="23"/>
      <c r="L26659" s="23"/>
    </row>
    <row r="26660">
      <c r="B26660" s="19"/>
      <c r="E26660" s="23"/>
      <c r="L26660" s="23"/>
    </row>
    <row r="26661">
      <c r="B26661" s="19"/>
      <c r="E26661" s="23"/>
      <c r="L26661" s="23"/>
    </row>
    <row r="26662">
      <c r="B26662" s="19"/>
      <c r="E26662" s="23"/>
      <c r="L26662" s="23"/>
    </row>
    <row r="26663">
      <c r="B26663" s="19"/>
      <c r="E26663" s="23"/>
      <c r="L26663" s="23"/>
    </row>
    <row r="26664">
      <c r="B26664" s="19"/>
      <c r="E26664" s="23"/>
      <c r="L26664" s="23"/>
    </row>
    <row r="26665">
      <c r="B26665" s="19"/>
      <c r="E26665" s="23"/>
      <c r="L26665" s="23"/>
    </row>
    <row r="26666">
      <c r="B26666" s="19"/>
      <c r="E26666" s="23"/>
      <c r="L26666" s="23"/>
    </row>
    <row r="26667">
      <c r="B26667" s="19"/>
      <c r="E26667" s="23"/>
      <c r="L26667" s="23"/>
    </row>
    <row r="26668">
      <c r="B26668" s="19"/>
      <c r="E26668" s="23"/>
      <c r="L26668" s="23"/>
    </row>
    <row r="26669">
      <c r="B26669" s="19"/>
      <c r="E26669" s="23"/>
      <c r="L26669" s="23"/>
    </row>
    <row r="26670">
      <c r="B26670" s="19"/>
      <c r="E26670" s="23"/>
      <c r="L26670" s="23"/>
    </row>
    <row r="26671">
      <c r="B26671" s="19"/>
      <c r="E26671" s="23"/>
      <c r="L26671" s="23"/>
    </row>
    <row r="26672">
      <c r="B26672" s="19"/>
      <c r="E26672" s="23"/>
      <c r="L26672" s="23"/>
    </row>
    <row r="26673">
      <c r="B26673" s="19"/>
      <c r="E26673" s="23"/>
      <c r="L26673" s="23"/>
    </row>
    <row r="26674">
      <c r="B26674" s="19"/>
      <c r="E26674" s="23"/>
      <c r="L26674" s="23"/>
    </row>
    <row r="26675">
      <c r="B26675" s="19"/>
      <c r="E26675" s="23"/>
      <c r="L26675" s="23"/>
    </row>
    <row r="26676">
      <c r="B26676" s="19"/>
      <c r="E26676" s="23"/>
      <c r="L26676" s="23"/>
    </row>
    <row r="26677">
      <c r="B26677" s="19"/>
      <c r="E26677" s="23"/>
      <c r="L26677" s="23"/>
    </row>
    <row r="26678">
      <c r="B26678" s="19"/>
      <c r="E26678" s="23"/>
      <c r="L26678" s="23"/>
    </row>
    <row r="26679">
      <c r="B26679" s="19"/>
      <c r="E26679" s="23"/>
      <c r="L26679" s="23"/>
    </row>
    <row r="26680">
      <c r="B26680" s="19"/>
      <c r="E26680" s="23"/>
      <c r="L26680" s="23"/>
    </row>
    <row r="26681">
      <c r="B26681" s="19"/>
      <c r="E26681" s="23"/>
      <c r="L26681" s="23"/>
    </row>
    <row r="26682">
      <c r="B26682" s="19"/>
      <c r="E26682" s="23"/>
      <c r="L26682" s="23"/>
    </row>
    <row r="26683">
      <c r="B26683" s="19"/>
      <c r="E26683" s="23"/>
      <c r="L26683" s="23"/>
    </row>
    <row r="26684">
      <c r="B26684" s="19"/>
      <c r="E26684" s="23"/>
      <c r="L26684" s="23"/>
    </row>
    <row r="26685">
      <c r="B26685" s="19"/>
      <c r="E26685" s="23"/>
      <c r="L26685" s="23"/>
    </row>
    <row r="26686">
      <c r="B26686" s="19"/>
      <c r="E26686" s="23"/>
      <c r="L26686" s="23"/>
    </row>
    <row r="26687">
      <c r="B26687" s="19"/>
      <c r="E26687" s="23"/>
      <c r="L26687" s="23"/>
    </row>
    <row r="26688">
      <c r="B26688" s="19"/>
      <c r="E26688" s="23"/>
      <c r="L26688" s="23"/>
    </row>
    <row r="26689">
      <c r="B26689" s="19"/>
      <c r="E26689" s="23"/>
      <c r="L26689" s="23"/>
    </row>
    <row r="26690">
      <c r="B26690" s="19"/>
      <c r="E26690" s="23"/>
      <c r="L26690" s="23"/>
    </row>
    <row r="26691">
      <c r="B26691" s="19"/>
      <c r="E26691" s="23"/>
      <c r="L26691" s="23"/>
    </row>
    <row r="26692">
      <c r="B26692" s="19"/>
      <c r="E26692" s="23"/>
      <c r="L26692" s="23"/>
    </row>
    <row r="26693">
      <c r="B26693" s="19"/>
      <c r="E26693" s="23"/>
      <c r="L26693" s="23"/>
    </row>
    <row r="26694">
      <c r="B26694" s="19"/>
      <c r="E26694" s="23"/>
      <c r="L26694" s="23"/>
    </row>
    <row r="26695">
      <c r="B26695" s="19"/>
      <c r="E26695" s="23"/>
      <c r="L26695" s="23"/>
    </row>
    <row r="26696">
      <c r="B26696" s="19"/>
      <c r="E26696" s="23"/>
      <c r="L26696" s="23"/>
    </row>
    <row r="26697">
      <c r="B26697" s="19"/>
      <c r="E26697" s="23"/>
      <c r="L26697" s="23"/>
    </row>
    <row r="26698">
      <c r="B26698" s="19"/>
      <c r="E26698" s="23"/>
      <c r="L26698" s="23"/>
    </row>
    <row r="26699">
      <c r="B26699" s="19"/>
      <c r="E26699" s="23"/>
      <c r="L26699" s="23"/>
    </row>
    <row r="26700">
      <c r="B26700" s="19"/>
      <c r="E26700" s="23"/>
      <c r="L26700" s="23"/>
    </row>
    <row r="26701">
      <c r="B26701" s="19"/>
      <c r="E26701" s="23"/>
      <c r="L26701" s="23"/>
    </row>
    <row r="26702">
      <c r="B26702" s="19"/>
      <c r="E26702" s="23"/>
      <c r="L26702" s="23"/>
    </row>
    <row r="26703">
      <c r="B26703" s="19"/>
      <c r="E26703" s="23"/>
      <c r="L26703" s="23"/>
    </row>
    <row r="26704">
      <c r="B26704" s="19"/>
      <c r="E26704" s="23"/>
      <c r="L26704" s="23"/>
    </row>
    <row r="26705">
      <c r="B26705" s="19"/>
      <c r="E26705" s="23"/>
      <c r="L26705" s="23"/>
    </row>
    <row r="26706">
      <c r="B26706" s="19"/>
      <c r="E26706" s="23"/>
      <c r="L26706" s="23"/>
    </row>
    <row r="26707">
      <c r="B26707" s="19"/>
      <c r="E26707" s="23"/>
      <c r="L26707" s="23"/>
    </row>
    <row r="26708">
      <c r="B26708" s="19"/>
      <c r="E26708" s="23"/>
      <c r="L26708" s="23"/>
    </row>
    <row r="26709">
      <c r="B26709" s="19"/>
      <c r="E26709" s="23"/>
      <c r="L26709" s="23"/>
    </row>
    <row r="26710">
      <c r="B26710" s="19"/>
      <c r="E26710" s="23"/>
      <c r="L26710" s="23"/>
    </row>
    <row r="26711">
      <c r="B26711" s="19"/>
      <c r="E26711" s="23"/>
      <c r="L26711" s="23"/>
    </row>
    <row r="26712">
      <c r="B26712" s="19"/>
      <c r="E26712" s="23"/>
      <c r="L26712" s="23"/>
    </row>
    <row r="26713">
      <c r="B26713" s="19"/>
      <c r="E26713" s="23"/>
      <c r="L26713" s="23"/>
    </row>
    <row r="26714">
      <c r="B26714" s="19"/>
      <c r="E26714" s="23"/>
      <c r="L26714" s="23"/>
    </row>
    <row r="26715">
      <c r="B26715" s="19"/>
      <c r="E26715" s="23"/>
      <c r="L26715" s="23"/>
    </row>
    <row r="26716">
      <c r="B26716" s="19"/>
      <c r="E26716" s="23"/>
      <c r="L26716" s="23"/>
    </row>
    <row r="26717">
      <c r="B26717" s="19"/>
      <c r="E26717" s="23"/>
      <c r="L26717" s="23"/>
    </row>
    <row r="26718">
      <c r="B26718" s="19"/>
      <c r="E26718" s="23"/>
      <c r="L26718" s="23"/>
    </row>
    <row r="26719">
      <c r="B26719" s="19"/>
      <c r="E26719" s="23"/>
      <c r="L26719" s="23"/>
    </row>
    <row r="26720">
      <c r="B26720" s="19"/>
      <c r="E26720" s="23"/>
      <c r="L26720" s="23"/>
    </row>
    <row r="26721">
      <c r="B26721" s="19"/>
      <c r="E26721" s="23"/>
      <c r="L26721" s="23"/>
    </row>
    <row r="26722">
      <c r="B26722" s="19"/>
      <c r="E26722" s="23"/>
      <c r="L26722" s="23"/>
    </row>
    <row r="26723">
      <c r="B26723" s="19"/>
      <c r="E26723" s="23"/>
      <c r="L26723" s="23"/>
    </row>
    <row r="26724">
      <c r="B26724" s="19"/>
      <c r="E26724" s="23"/>
      <c r="L26724" s="23"/>
    </row>
    <row r="26725">
      <c r="B26725" s="19"/>
      <c r="E26725" s="23"/>
      <c r="L26725" s="23"/>
    </row>
    <row r="26726">
      <c r="B26726" s="19"/>
      <c r="E26726" s="23"/>
      <c r="L26726" s="23"/>
    </row>
    <row r="26727">
      <c r="B26727" s="19"/>
      <c r="E26727" s="23"/>
      <c r="L26727" s="23"/>
    </row>
    <row r="26728">
      <c r="B26728" s="19"/>
      <c r="E26728" s="23"/>
      <c r="L26728" s="23"/>
    </row>
    <row r="26729">
      <c r="B26729" s="19"/>
      <c r="E26729" s="23"/>
      <c r="L26729" s="23"/>
    </row>
    <row r="26730">
      <c r="B26730" s="19"/>
      <c r="E26730" s="23"/>
      <c r="L26730" s="23"/>
    </row>
    <row r="26731">
      <c r="B26731" s="19"/>
      <c r="E26731" s="23"/>
      <c r="L26731" s="23"/>
    </row>
    <row r="26732">
      <c r="B26732" s="19"/>
      <c r="E26732" s="23"/>
      <c r="L26732" s="23"/>
    </row>
    <row r="26733">
      <c r="B26733" s="19"/>
      <c r="E26733" s="23"/>
      <c r="L26733" s="23"/>
    </row>
    <row r="26734">
      <c r="B26734" s="19"/>
      <c r="E26734" s="23"/>
      <c r="L26734" s="23"/>
    </row>
    <row r="26735">
      <c r="B26735" s="19"/>
      <c r="E26735" s="23"/>
      <c r="L26735" s="23"/>
    </row>
    <row r="26736">
      <c r="B26736" s="19"/>
      <c r="E26736" s="23"/>
      <c r="L26736" s="23"/>
    </row>
    <row r="26737">
      <c r="B26737" s="19"/>
      <c r="E26737" s="23"/>
      <c r="L26737" s="23"/>
    </row>
    <row r="26738">
      <c r="B26738" s="19"/>
      <c r="E26738" s="23"/>
      <c r="L26738" s="23"/>
    </row>
    <row r="26739">
      <c r="B26739" s="19"/>
      <c r="E26739" s="23"/>
      <c r="L26739" s="23"/>
    </row>
    <row r="26740">
      <c r="B26740" s="19"/>
      <c r="E26740" s="23"/>
      <c r="L26740" s="23"/>
    </row>
    <row r="26741">
      <c r="B26741" s="19"/>
      <c r="E26741" s="23"/>
      <c r="L26741" s="23"/>
    </row>
    <row r="26742">
      <c r="B26742" s="19"/>
      <c r="E26742" s="23"/>
      <c r="L26742" s="23"/>
    </row>
    <row r="26743">
      <c r="B26743" s="19"/>
      <c r="E26743" s="23"/>
      <c r="L26743" s="23"/>
    </row>
    <row r="26744">
      <c r="B26744" s="19"/>
      <c r="E26744" s="23"/>
      <c r="L26744" s="23"/>
    </row>
    <row r="26745">
      <c r="B26745" s="19"/>
      <c r="E26745" s="23"/>
      <c r="L26745" s="23"/>
    </row>
    <row r="26746">
      <c r="B26746" s="19"/>
      <c r="E26746" s="23"/>
      <c r="L26746" s="23"/>
    </row>
    <row r="26747">
      <c r="B26747" s="19"/>
      <c r="E26747" s="23"/>
      <c r="L26747" s="23"/>
    </row>
    <row r="26748">
      <c r="B26748" s="19"/>
      <c r="E26748" s="23"/>
      <c r="L26748" s="23"/>
    </row>
    <row r="26749">
      <c r="B26749" s="19"/>
      <c r="E26749" s="23"/>
      <c r="L26749" s="23"/>
    </row>
    <row r="26750">
      <c r="B26750" s="19"/>
      <c r="E26750" s="23"/>
      <c r="L26750" s="23"/>
    </row>
    <row r="26751">
      <c r="B26751" s="19"/>
      <c r="E26751" s="23"/>
      <c r="L26751" s="23"/>
    </row>
    <row r="26752">
      <c r="B26752" s="19"/>
      <c r="E26752" s="23"/>
      <c r="L26752" s="23"/>
    </row>
    <row r="26753">
      <c r="B26753" s="19"/>
      <c r="E26753" s="23"/>
      <c r="L26753" s="23"/>
    </row>
    <row r="26754">
      <c r="B26754" s="19"/>
      <c r="E26754" s="23"/>
      <c r="L26754" s="23"/>
    </row>
    <row r="26755">
      <c r="B26755" s="19"/>
      <c r="E26755" s="23"/>
      <c r="L26755" s="23"/>
    </row>
    <row r="26756">
      <c r="B26756" s="19"/>
      <c r="E26756" s="23"/>
      <c r="L26756" s="23"/>
    </row>
    <row r="26757">
      <c r="B26757" s="19"/>
      <c r="E26757" s="23"/>
      <c r="L26757" s="23"/>
    </row>
    <row r="26758">
      <c r="B26758" s="19"/>
      <c r="E26758" s="23"/>
      <c r="L26758" s="23"/>
    </row>
    <row r="26759">
      <c r="B26759" s="19"/>
      <c r="E26759" s="23"/>
      <c r="L26759" s="23"/>
    </row>
    <row r="26760">
      <c r="B26760" s="19"/>
      <c r="E26760" s="23"/>
      <c r="L26760" s="23"/>
    </row>
    <row r="26761">
      <c r="B26761" s="19"/>
      <c r="E26761" s="23"/>
      <c r="L26761" s="23"/>
    </row>
    <row r="26762">
      <c r="B26762" s="19"/>
      <c r="E26762" s="23"/>
      <c r="L26762" s="23"/>
    </row>
    <row r="26763">
      <c r="B26763" s="19"/>
      <c r="E26763" s="23"/>
      <c r="L26763" s="23"/>
    </row>
    <row r="26764">
      <c r="B26764" s="19"/>
      <c r="E26764" s="23"/>
      <c r="L26764" s="23"/>
    </row>
    <row r="26765">
      <c r="B26765" s="19"/>
      <c r="E26765" s="23"/>
      <c r="L26765" s="23"/>
    </row>
    <row r="26766">
      <c r="B26766" s="19"/>
      <c r="E26766" s="23"/>
      <c r="L26766" s="23"/>
    </row>
    <row r="26767">
      <c r="B26767" s="19"/>
      <c r="E26767" s="23"/>
      <c r="L26767" s="23"/>
    </row>
    <row r="26768">
      <c r="B26768" s="19"/>
      <c r="E26768" s="23"/>
      <c r="L26768" s="23"/>
    </row>
    <row r="26769">
      <c r="B26769" s="19"/>
      <c r="E26769" s="23"/>
      <c r="L26769" s="23"/>
    </row>
    <row r="26770">
      <c r="B26770" s="19"/>
      <c r="E26770" s="23"/>
      <c r="L26770" s="23"/>
    </row>
    <row r="26771">
      <c r="B26771" s="19"/>
      <c r="E26771" s="23"/>
      <c r="L26771" s="23"/>
    </row>
    <row r="26772">
      <c r="B26772" s="19"/>
      <c r="E26772" s="23"/>
      <c r="L26772" s="23"/>
    </row>
    <row r="26773">
      <c r="B26773" s="19"/>
      <c r="E26773" s="23"/>
      <c r="L26773" s="23"/>
    </row>
    <row r="26774">
      <c r="B26774" s="19"/>
      <c r="E26774" s="23"/>
      <c r="L26774" s="23"/>
    </row>
    <row r="26775">
      <c r="B26775" s="19"/>
      <c r="E26775" s="23"/>
      <c r="L26775" s="23"/>
    </row>
    <row r="26776">
      <c r="B26776" s="19"/>
      <c r="E26776" s="23"/>
      <c r="L26776" s="23"/>
    </row>
    <row r="26777">
      <c r="B26777" s="19"/>
      <c r="E26777" s="23"/>
      <c r="L26777" s="23"/>
    </row>
    <row r="26778">
      <c r="B26778" s="19"/>
      <c r="E26778" s="23"/>
      <c r="L26778" s="23"/>
    </row>
    <row r="26779">
      <c r="B26779" s="19"/>
      <c r="E26779" s="23"/>
      <c r="L26779" s="23"/>
    </row>
    <row r="26780">
      <c r="B26780" s="19"/>
      <c r="E26780" s="23"/>
      <c r="L26780" s="23"/>
    </row>
    <row r="26781">
      <c r="B26781" s="19"/>
      <c r="E26781" s="23"/>
      <c r="L26781" s="23"/>
    </row>
    <row r="26782">
      <c r="B26782" s="19"/>
      <c r="E26782" s="23"/>
      <c r="L26782" s="23"/>
    </row>
    <row r="26783">
      <c r="B26783" s="19"/>
      <c r="E26783" s="23"/>
      <c r="L26783" s="23"/>
    </row>
    <row r="26784">
      <c r="B26784" s="19"/>
      <c r="E26784" s="23"/>
      <c r="L26784" s="23"/>
    </row>
    <row r="26785">
      <c r="B26785" s="19"/>
      <c r="E26785" s="23"/>
      <c r="L26785" s="23"/>
    </row>
    <row r="26786">
      <c r="B26786" s="19"/>
      <c r="E26786" s="23"/>
      <c r="L26786" s="23"/>
    </row>
    <row r="26787">
      <c r="B26787" s="19"/>
      <c r="E26787" s="23"/>
      <c r="L26787" s="23"/>
    </row>
    <row r="26788">
      <c r="B26788" s="19"/>
      <c r="E26788" s="23"/>
      <c r="L26788" s="23"/>
    </row>
    <row r="26789">
      <c r="B26789" s="19"/>
      <c r="E26789" s="23"/>
      <c r="L26789" s="23"/>
    </row>
    <row r="26790">
      <c r="B26790" s="19"/>
      <c r="E26790" s="23"/>
      <c r="L26790" s="23"/>
    </row>
    <row r="26791">
      <c r="B26791" s="19"/>
      <c r="E26791" s="23"/>
      <c r="L26791" s="23"/>
    </row>
    <row r="26792">
      <c r="B26792" s="19"/>
      <c r="E26792" s="23"/>
      <c r="L26792" s="23"/>
    </row>
    <row r="26793">
      <c r="B26793" s="19"/>
      <c r="E26793" s="23"/>
      <c r="L26793" s="23"/>
    </row>
    <row r="26794">
      <c r="B26794" s="19"/>
      <c r="E26794" s="23"/>
      <c r="L26794" s="23"/>
    </row>
    <row r="26795">
      <c r="B26795" s="19"/>
      <c r="E26795" s="23"/>
      <c r="L26795" s="23"/>
    </row>
    <row r="26796">
      <c r="B26796" s="19"/>
      <c r="E26796" s="23"/>
      <c r="L26796" s="23"/>
    </row>
    <row r="26797">
      <c r="B26797" s="19"/>
      <c r="E26797" s="23"/>
      <c r="L26797" s="23"/>
    </row>
    <row r="26798">
      <c r="B26798" s="19"/>
      <c r="E26798" s="23"/>
      <c r="L26798" s="23"/>
    </row>
    <row r="26799">
      <c r="B26799" s="19"/>
      <c r="E26799" s="23"/>
      <c r="L26799" s="23"/>
    </row>
    <row r="26800">
      <c r="B26800" s="19"/>
      <c r="E26800" s="23"/>
      <c r="L26800" s="23"/>
    </row>
    <row r="26801">
      <c r="B26801" s="19"/>
      <c r="E26801" s="23"/>
      <c r="L26801" s="23"/>
    </row>
    <row r="26802">
      <c r="B26802" s="19"/>
      <c r="E26802" s="23"/>
      <c r="L26802" s="23"/>
    </row>
    <row r="26803">
      <c r="B26803" s="19"/>
      <c r="E26803" s="23"/>
      <c r="L26803" s="23"/>
    </row>
    <row r="26804">
      <c r="B26804" s="19"/>
      <c r="E26804" s="23"/>
      <c r="L26804" s="23"/>
    </row>
    <row r="26805">
      <c r="B26805" s="19"/>
      <c r="E26805" s="23"/>
      <c r="L26805" s="23"/>
    </row>
    <row r="26806">
      <c r="B26806" s="19"/>
      <c r="E26806" s="23"/>
      <c r="L26806" s="23"/>
    </row>
    <row r="26807">
      <c r="B26807" s="19"/>
      <c r="E26807" s="23"/>
      <c r="L26807" s="23"/>
    </row>
    <row r="26808">
      <c r="B26808" s="19"/>
      <c r="E26808" s="23"/>
      <c r="L26808" s="23"/>
    </row>
    <row r="26809">
      <c r="B26809" s="19"/>
      <c r="E26809" s="23"/>
      <c r="L26809" s="23"/>
    </row>
    <row r="26810">
      <c r="B26810" s="19"/>
      <c r="E26810" s="23"/>
      <c r="L26810" s="23"/>
    </row>
    <row r="26811">
      <c r="B26811" s="19"/>
      <c r="E26811" s="23"/>
      <c r="L26811" s="23"/>
    </row>
    <row r="26812">
      <c r="B26812" s="19"/>
      <c r="E26812" s="23"/>
      <c r="L26812" s="23"/>
    </row>
    <row r="26813">
      <c r="B26813" s="19"/>
      <c r="E26813" s="23"/>
      <c r="L26813" s="23"/>
    </row>
    <row r="26814">
      <c r="B26814" s="19"/>
      <c r="E26814" s="23"/>
      <c r="L26814" s="23"/>
    </row>
    <row r="26815">
      <c r="B26815" s="19"/>
      <c r="E26815" s="23"/>
      <c r="L26815" s="23"/>
    </row>
    <row r="26816">
      <c r="B26816" s="19"/>
      <c r="E26816" s="23"/>
      <c r="L26816" s="23"/>
    </row>
    <row r="26817">
      <c r="B26817" s="19"/>
      <c r="E26817" s="23"/>
      <c r="L26817" s="23"/>
    </row>
    <row r="26818">
      <c r="B26818" s="19"/>
      <c r="E26818" s="23"/>
      <c r="L26818" s="23"/>
    </row>
    <row r="26819">
      <c r="B26819" s="19"/>
      <c r="E26819" s="23"/>
      <c r="L26819" s="23"/>
    </row>
    <row r="26820">
      <c r="B26820" s="19"/>
      <c r="E26820" s="23"/>
      <c r="L26820" s="23"/>
    </row>
    <row r="26821">
      <c r="B26821" s="19"/>
      <c r="E26821" s="23"/>
      <c r="L26821" s="23"/>
    </row>
    <row r="26822">
      <c r="B26822" s="19"/>
      <c r="E26822" s="23"/>
      <c r="L26822" s="23"/>
    </row>
    <row r="26823">
      <c r="B26823" s="19"/>
      <c r="E26823" s="23"/>
      <c r="L26823" s="23"/>
    </row>
    <row r="26824">
      <c r="B26824" s="19"/>
      <c r="E26824" s="23"/>
      <c r="L26824" s="23"/>
    </row>
    <row r="26825">
      <c r="B26825" s="19"/>
      <c r="E26825" s="23"/>
      <c r="L26825" s="23"/>
    </row>
    <row r="26826">
      <c r="B26826" s="19"/>
      <c r="E26826" s="23"/>
      <c r="L26826" s="23"/>
    </row>
    <row r="26827">
      <c r="B26827" s="19"/>
      <c r="E26827" s="23"/>
      <c r="L26827" s="23"/>
    </row>
    <row r="26828">
      <c r="B26828" s="19"/>
      <c r="E26828" s="23"/>
      <c r="L26828" s="23"/>
    </row>
    <row r="26829">
      <c r="B26829" s="19"/>
      <c r="E26829" s="23"/>
      <c r="L26829" s="23"/>
    </row>
    <row r="26830">
      <c r="B26830" s="19"/>
      <c r="E26830" s="23"/>
      <c r="L26830" s="23"/>
    </row>
    <row r="26831">
      <c r="B26831" s="19"/>
      <c r="E26831" s="23"/>
      <c r="L26831" s="23"/>
    </row>
    <row r="26832">
      <c r="B26832" s="19"/>
      <c r="E26832" s="23"/>
      <c r="L26832" s="23"/>
    </row>
    <row r="26833">
      <c r="B26833" s="19"/>
      <c r="E26833" s="23"/>
      <c r="L26833" s="23"/>
    </row>
    <row r="26834">
      <c r="B26834" s="19"/>
      <c r="E26834" s="23"/>
      <c r="L26834" s="23"/>
    </row>
    <row r="26835">
      <c r="B26835" s="19"/>
      <c r="E26835" s="23"/>
      <c r="L26835" s="23"/>
    </row>
    <row r="26836">
      <c r="B26836" s="19"/>
      <c r="E26836" s="23"/>
      <c r="L26836" s="23"/>
    </row>
    <row r="26837">
      <c r="B26837" s="19"/>
      <c r="E26837" s="23"/>
      <c r="L26837" s="23"/>
    </row>
    <row r="26838">
      <c r="B26838" s="19"/>
      <c r="E26838" s="23"/>
      <c r="L26838" s="23"/>
    </row>
    <row r="26839">
      <c r="B26839" s="19"/>
      <c r="E26839" s="23"/>
      <c r="L26839" s="23"/>
    </row>
    <row r="26840">
      <c r="B26840" s="19"/>
      <c r="E26840" s="23"/>
      <c r="L26840" s="23"/>
    </row>
    <row r="26841">
      <c r="B26841" s="19"/>
      <c r="E26841" s="23"/>
      <c r="L26841" s="23"/>
    </row>
    <row r="26842">
      <c r="B26842" s="19"/>
      <c r="E26842" s="23"/>
      <c r="L26842" s="23"/>
    </row>
    <row r="26843">
      <c r="B26843" s="19"/>
      <c r="E26843" s="23"/>
      <c r="L26843" s="23"/>
    </row>
    <row r="26844">
      <c r="B26844" s="19"/>
      <c r="E26844" s="23"/>
      <c r="L26844" s="23"/>
    </row>
    <row r="26845">
      <c r="B26845" s="19"/>
      <c r="E26845" s="23"/>
      <c r="L26845" s="23"/>
    </row>
    <row r="26846">
      <c r="B26846" s="19"/>
      <c r="E26846" s="23"/>
      <c r="L26846" s="23"/>
    </row>
    <row r="26847">
      <c r="B26847" s="19"/>
      <c r="E26847" s="23"/>
      <c r="L26847" s="23"/>
    </row>
    <row r="26848">
      <c r="B26848" s="19"/>
      <c r="E26848" s="23"/>
      <c r="L26848" s="23"/>
    </row>
    <row r="26849">
      <c r="B26849" s="19"/>
      <c r="E26849" s="23"/>
      <c r="L26849" s="23"/>
    </row>
    <row r="26850">
      <c r="B26850" s="19"/>
      <c r="E26850" s="23"/>
      <c r="L26850" s="23"/>
    </row>
    <row r="26851">
      <c r="B26851" s="19"/>
      <c r="E26851" s="23"/>
      <c r="L26851" s="23"/>
    </row>
    <row r="26852">
      <c r="B26852" s="19"/>
      <c r="E26852" s="23"/>
      <c r="L26852" s="23"/>
    </row>
    <row r="26853">
      <c r="B26853" s="19"/>
      <c r="E26853" s="23"/>
      <c r="L26853" s="23"/>
    </row>
    <row r="26854">
      <c r="B26854" s="19"/>
      <c r="E26854" s="23"/>
      <c r="L26854" s="23"/>
    </row>
    <row r="26855">
      <c r="B26855" s="19"/>
      <c r="E26855" s="23"/>
      <c r="L26855" s="23"/>
    </row>
    <row r="26856">
      <c r="B26856" s="19"/>
      <c r="E26856" s="23"/>
      <c r="L26856" s="23"/>
    </row>
    <row r="26857">
      <c r="B26857" s="19"/>
      <c r="E26857" s="23"/>
      <c r="L26857" s="23"/>
    </row>
    <row r="26858">
      <c r="B26858" s="19"/>
      <c r="E26858" s="23"/>
      <c r="L26858" s="23"/>
    </row>
    <row r="26859">
      <c r="B26859" s="19"/>
      <c r="E26859" s="23"/>
      <c r="L26859" s="23"/>
    </row>
    <row r="26860">
      <c r="B26860" s="19"/>
      <c r="E26860" s="23"/>
      <c r="L26860" s="23"/>
    </row>
    <row r="26861">
      <c r="B26861" s="19"/>
      <c r="E26861" s="23"/>
      <c r="L26861" s="23"/>
    </row>
    <row r="26862">
      <c r="B26862" s="19"/>
      <c r="E26862" s="23"/>
      <c r="L26862" s="23"/>
    </row>
    <row r="26863">
      <c r="B26863" s="19"/>
      <c r="E26863" s="23"/>
      <c r="L26863" s="23"/>
    </row>
    <row r="26864">
      <c r="B26864" s="19"/>
      <c r="E26864" s="23"/>
      <c r="L26864" s="23"/>
    </row>
    <row r="26865">
      <c r="B26865" s="19"/>
      <c r="E26865" s="23"/>
      <c r="L26865" s="23"/>
    </row>
    <row r="26866">
      <c r="B26866" s="19"/>
      <c r="E26866" s="23"/>
      <c r="L26866" s="23"/>
    </row>
    <row r="26867">
      <c r="B26867" s="19"/>
      <c r="E26867" s="23"/>
      <c r="L26867" s="23"/>
    </row>
    <row r="26868">
      <c r="B26868" s="19"/>
      <c r="E26868" s="23"/>
      <c r="L26868" s="23"/>
    </row>
    <row r="26869">
      <c r="B26869" s="19"/>
      <c r="E26869" s="23"/>
      <c r="L26869" s="23"/>
    </row>
    <row r="26870">
      <c r="B26870" s="19"/>
      <c r="E26870" s="23"/>
      <c r="L26870" s="23"/>
    </row>
    <row r="26871">
      <c r="B26871" s="19"/>
      <c r="E26871" s="23"/>
      <c r="L26871" s="23"/>
    </row>
    <row r="26872">
      <c r="B26872" s="19"/>
      <c r="E26872" s="23"/>
      <c r="L26872" s="23"/>
    </row>
    <row r="26873">
      <c r="B26873" s="19"/>
      <c r="E26873" s="23"/>
      <c r="L26873" s="23"/>
    </row>
    <row r="26874">
      <c r="B26874" s="19"/>
      <c r="E26874" s="23"/>
      <c r="L26874" s="23"/>
    </row>
    <row r="26875">
      <c r="B26875" s="19"/>
      <c r="E26875" s="23"/>
      <c r="L26875" s="23"/>
    </row>
    <row r="26876">
      <c r="B26876" s="19"/>
      <c r="E26876" s="23"/>
      <c r="L26876" s="23"/>
    </row>
    <row r="26877">
      <c r="B26877" s="19"/>
      <c r="E26877" s="23"/>
      <c r="L26877" s="23"/>
    </row>
    <row r="26878">
      <c r="B26878" s="19"/>
      <c r="E26878" s="23"/>
      <c r="L26878" s="23"/>
    </row>
    <row r="26879">
      <c r="B26879" s="19"/>
      <c r="E26879" s="23"/>
      <c r="L26879" s="23"/>
    </row>
    <row r="26880">
      <c r="B26880" s="19"/>
      <c r="E26880" s="23"/>
      <c r="L26880" s="23"/>
    </row>
    <row r="26881">
      <c r="B26881" s="19"/>
      <c r="E26881" s="23"/>
      <c r="L26881" s="23"/>
    </row>
    <row r="26882">
      <c r="B26882" s="19"/>
      <c r="E26882" s="23"/>
      <c r="L26882" s="23"/>
    </row>
    <row r="26883">
      <c r="B26883" s="19"/>
      <c r="E26883" s="23"/>
      <c r="L26883" s="23"/>
    </row>
    <row r="26884">
      <c r="B26884" s="19"/>
      <c r="E26884" s="23"/>
      <c r="L26884" s="23"/>
    </row>
    <row r="26885">
      <c r="B26885" s="19"/>
      <c r="E26885" s="23"/>
      <c r="L26885" s="23"/>
    </row>
    <row r="26886">
      <c r="B26886" s="19"/>
      <c r="E26886" s="23"/>
      <c r="L26886" s="23"/>
    </row>
    <row r="26887">
      <c r="B26887" s="19"/>
      <c r="E26887" s="23"/>
      <c r="L26887" s="23"/>
    </row>
    <row r="26888">
      <c r="B26888" s="19"/>
      <c r="E26888" s="23"/>
      <c r="L26888" s="23"/>
    </row>
    <row r="26889">
      <c r="B26889" s="19"/>
      <c r="E26889" s="23"/>
      <c r="L26889" s="23"/>
    </row>
    <row r="26890">
      <c r="B26890" s="19"/>
      <c r="E26890" s="23"/>
      <c r="L26890" s="23"/>
    </row>
    <row r="26891">
      <c r="B26891" s="19"/>
      <c r="E26891" s="23"/>
      <c r="L26891" s="23"/>
    </row>
    <row r="26892">
      <c r="B26892" s="19"/>
      <c r="E26892" s="23"/>
      <c r="L26892" s="23"/>
    </row>
    <row r="26893">
      <c r="B26893" s="19"/>
      <c r="E26893" s="23"/>
      <c r="L26893" s="23"/>
    </row>
    <row r="26894">
      <c r="B26894" s="19"/>
      <c r="E26894" s="23"/>
      <c r="L26894" s="23"/>
    </row>
    <row r="26895">
      <c r="B26895" s="19"/>
      <c r="E26895" s="23"/>
      <c r="L26895" s="23"/>
    </row>
    <row r="26896">
      <c r="B26896" s="19"/>
      <c r="E26896" s="23"/>
      <c r="L26896" s="23"/>
    </row>
    <row r="26897">
      <c r="B26897" s="19"/>
      <c r="E26897" s="23"/>
      <c r="L26897" s="23"/>
    </row>
    <row r="26898">
      <c r="B26898" s="19"/>
      <c r="E26898" s="23"/>
      <c r="L26898" s="23"/>
    </row>
    <row r="26899">
      <c r="B26899" s="19"/>
      <c r="E26899" s="23"/>
      <c r="L26899" s="23"/>
    </row>
    <row r="26900">
      <c r="B26900" s="19"/>
      <c r="E26900" s="23"/>
      <c r="L26900" s="23"/>
    </row>
    <row r="26901">
      <c r="B26901" s="19"/>
      <c r="E26901" s="23"/>
      <c r="L26901" s="23"/>
    </row>
    <row r="26902">
      <c r="B26902" s="19"/>
      <c r="E26902" s="23"/>
      <c r="L26902" s="23"/>
    </row>
    <row r="26903">
      <c r="B26903" s="19"/>
      <c r="E26903" s="23"/>
      <c r="L26903" s="23"/>
    </row>
    <row r="26904">
      <c r="B26904" s="19"/>
      <c r="E26904" s="23"/>
      <c r="L26904" s="23"/>
    </row>
    <row r="26905">
      <c r="B26905" s="19"/>
      <c r="E26905" s="23"/>
      <c r="L26905" s="23"/>
    </row>
    <row r="26906">
      <c r="B26906" s="19"/>
      <c r="E26906" s="23"/>
      <c r="L26906" s="23"/>
    </row>
    <row r="26907">
      <c r="B26907" s="19"/>
      <c r="E26907" s="23"/>
      <c r="L26907" s="23"/>
    </row>
    <row r="26908">
      <c r="B26908" s="19"/>
      <c r="E26908" s="23"/>
      <c r="L26908" s="23"/>
    </row>
    <row r="26909">
      <c r="B26909" s="19"/>
      <c r="E26909" s="23"/>
      <c r="L26909" s="23"/>
    </row>
    <row r="26910">
      <c r="B26910" s="19"/>
      <c r="E26910" s="23"/>
      <c r="L26910" s="23"/>
    </row>
    <row r="26911">
      <c r="B26911" s="19"/>
      <c r="E26911" s="23"/>
      <c r="L26911" s="23"/>
    </row>
    <row r="26912">
      <c r="B26912" s="19"/>
      <c r="E26912" s="23"/>
      <c r="L26912" s="23"/>
    </row>
    <row r="26913">
      <c r="B26913" s="19"/>
      <c r="E26913" s="23"/>
      <c r="L26913" s="23"/>
    </row>
    <row r="26914">
      <c r="B26914" s="19"/>
      <c r="E26914" s="23"/>
      <c r="L26914" s="23"/>
    </row>
    <row r="26915">
      <c r="B26915" s="19"/>
      <c r="E26915" s="23"/>
      <c r="L26915" s="23"/>
    </row>
    <row r="26916">
      <c r="B26916" s="19"/>
      <c r="E26916" s="23"/>
      <c r="L26916" s="23"/>
    </row>
    <row r="26917">
      <c r="B26917" s="19"/>
      <c r="E26917" s="23"/>
      <c r="L26917" s="23"/>
    </row>
    <row r="26918">
      <c r="B26918" s="19"/>
      <c r="E26918" s="23"/>
      <c r="L26918" s="23"/>
    </row>
    <row r="26919">
      <c r="B26919" s="19"/>
      <c r="E26919" s="23"/>
      <c r="L26919" s="23"/>
    </row>
    <row r="26920">
      <c r="B26920" s="19"/>
      <c r="E26920" s="23"/>
      <c r="L26920" s="23"/>
    </row>
    <row r="26921">
      <c r="B26921" s="19"/>
      <c r="E26921" s="23"/>
      <c r="L26921" s="23"/>
    </row>
    <row r="26922">
      <c r="B26922" s="19"/>
      <c r="E26922" s="23"/>
      <c r="L26922" s="23"/>
    </row>
    <row r="26923">
      <c r="B26923" s="19"/>
      <c r="E26923" s="23"/>
      <c r="L26923" s="23"/>
    </row>
    <row r="26924">
      <c r="B26924" s="19"/>
      <c r="E26924" s="23"/>
      <c r="L26924" s="23"/>
    </row>
    <row r="26925">
      <c r="B26925" s="19"/>
      <c r="E26925" s="23"/>
      <c r="L26925" s="23"/>
    </row>
    <row r="26926">
      <c r="B26926" s="19"/>
      <c r="E26926" s="23"/>
      <c r="L26926" s="23"/>
    </row>
    <row r="26927">
      <c r="B26927" s="19"/>
      <c r="E26927" s="23"/>
      <c r="L26927" s="23"/>
    </row>
    <row r="26928">
      <c r="B26928" s="19"/>
      <c r="E26928" s="23"/>
      <c r="L26928" s="23"/>
    </row>
    <row r="26929">
      <c r="B26929" s="19"/>
      <c r="E26929" s="23"/>
      <c r="L26929" s="23"/>
    </row>
    <row r="26930">
      <c r="B26930" s="19"/>
      <c r="E26930" s="23"/>
      <c r="L26930" s="23"/>
    </row>
    <row r="26931">
      <c r="B26931" s="19"/>
      <c r="E26931" s="23"/>
      <c r="L26931" s="23"/>
    </row>
    <row r="26932">
      <c r="B26932" s="19"/>
      <c r="E26932" s="23"/>
      <c r="L26932" s="23"/>
    </row>
    <row r="26933">
      <c r="B26933" s="19"/>
      <c r="E26933" s="23"/>
      <c r="L26933" s="23"/>
    </row>
    <row r="26934">
      <c r="B26934" s="19"/>
      <c r="E26934" s="23"/>
      <c r="L26934" s="23"/>
    </row>
    <row r="26935">
      <c r="B26935" s="19"/>
      <c r="E26935" s="23"/>
      <c r="L26935" s="23"/>
    </row>
    <row r="26936">
      <c r="B26936" s="19"/>
      <c r="E26936" s="23"/>
      <c r="L26936" s="23"/>
    </row>
    <row r="26937">
      <c r="B26937" s="19"/>
      <c r="E26937" s="23"/>
      <c r="L26937" s="23"/>
    </row>
    <row r="26938">
      <c r="B26938" s="19"/>
      <c r="E26938" s="23"/>
      <c r="L26938" s="23"/>
    </row>
    <row r="26939">
      <c r="B26939" s="19"/>
      <c r="E26939" s="23"/>
      <c r="L26939" s="23"/>
    </row>
    <row r="26940">
      <c r="B26940" s="19"/>
      <c r="E26940" s="23"/>
      <c r="L26940" s="23"/>
    </row>
    <row r="26941">
      <c r="B26941" s="19"/>
      <c r="E26941" s="23"/>
      <c r="L26941" s="23"/>
    </row>
    <row r="26942">
      <c r="B26942" s="19"/>
      <c r="E26942" s="23"/>
      <c r="L26942" s="23"/>
    </row>
    <row r="26943">
      <c r="B26943" s="19"/>
      <c r="E26943" s="23"/>
      <c r="L26943" s="23"/>
    </row>
    <row r="26944">
      <c r="B26944" s="19"/>
      <c r="E26944" s="23"/>
      <c r="L26944" s="23"/>
    </row>
    <row r="26945">
      <c r="B26945" s="19"/>
      <c r="E26945" s="23"/>
      <c r="L26945" s="23"/>
    </row>
    <row r="26946">
      <c r="B26946" s="19"/>
      <c r="E26946" s="23"/>
      <c r="L26946" s="23"/>
    </row>
    <row r="26947">
      <c r="B26947" s="19"/>
      <c r="E26947" s="23"/>
      <c r="L26947" s="23"/>
    </row>
    <row r="26948">
      <c r="B26948" s="19"/>
      <c r="E26948" s="23"/>
      <c r="L26948" s="23"/>
    </row>
    <row r="26949">
      <c r="B26949" s="19"/>
      <c r="E26949" s="23"/>
      <c r="L26949" s="23"/>
    </row>
    <row r="26950">
      <c r="B26950" s="19"/>
      <c r="E26950" s="23"/>
      <c r="L26950" s="23"/>
    </row>
    <row r="26951">
      <c r="B26951" s="19"/>
      <c r="E26951" s="23"/>
      <c r="L26951" s="23"/>
    </row>
    <row r="26952">
      <c r="B26952" s="19"/>
      <c r="E26952" s="23"/>
      <c r="L26952" s="23"/>
    </row>
    <row r="26953">
      <c r="B26953" s="19"/>
      <c r="E26953" s="23"/>
      <c r="L26953" s="23"/>
    </row>
    <row r="26954">
      <c r="B26954" s="19"/>
      <c r="E26954" s="23"/>
      <c r="L26954" s="23"/>
    </row>
    <row r="26955">
      <c r="B26955" s="19"/>
      <c r="E26955" s="23"/>
      <c r="L26955" s="23"/>
    </row>
    <row r="26956">
      <c r="B26956" s="19"/>
      <c r="E26956" s="23"/>
      <c r="L26956" s="23"/>
    </row>
    <row r="26957">
      <c r="B26957" s="19"/>
      <c r="E26957" s="23"/>
      <c r="L26957" s="23"/>
    </row>
    <row r="26958">
      <c r="B26958" s="19"/>
      <c r="E26958" s="23"/>
      <c r="L26958" s="23"/>
    </row>
    <row r="26959">
      <c r="B26959" s="19"/>
      <c r="E26959" s="23"/>
      <c r="L26959" s="23"/>
    </row>
    <row r="26960">
      <c r="B26960" s="19"/>
      <c r="E26960" s="23"/>
      <c r="L26960" s="23"/>
    </row>
    <row r="26961">
      <c r="B26961" s="19"/>
      <c r="E26961" s="23"/>
      <c r="L26961" s="23"/>
    </row>
    <row r="26962">
      <c r="B26962" s="19"/>
      <c r="E26962" s="23"/>
      <c r="L26962" s="23"/>
    </row>
    <row r="26963">
      <c r="B26963" s="19"/>
      <c r="E26963" s="23"/>
      <c r="L26963" s="23"/>
    </row>
    <row r="26964">
      <c r="B26964" s="19"/>
      <c r="E26964" s="23"/>
      <c r="L26964" s="23"/>
    </row>
    <row r="26965">
      <c r="B26965" s="19"/>
      <c r="E26965" s="23"/>
      <c r="L26965" s="23"/>
    </row>
    <row r="26966">
      <c r="B26966" s="19"/>
      <c r="E26966" s="23"/>
      <c r="L26966" s="23"/>
    </row>
    <row r="26967">
      <c r="B26967" s="19"/>
      <c r="E26967" s="23"/>
      <c r="L26967" s="23"/>
    </row>
    <row r="26968">
      <c r="B26968" s="19"/>
      <c r="E26968" s="23"/>
      <c r="L26968" s="23"/>
    </row>
    <row r="26969">
      <c r="B26969" s="19"/>
      <c r="E26969" s="23"/>
      <c r="L26969" s="23"/>
    </row>
    <row r="26970">
      <c r="B26970" s="19"/>
      <c r="E26970" s="23"/>
      <c r="L26970" s="23"/>
    </row>
    <row r="26971">
      <c r="B26971" s="19"/>
      <c r="E26971" s="23"/>
      <c r="L26971" s="23"/>
    </row>
    <row r="26972">
      <c r="B26972" s="19"/>
      <c r="E26972" s="23"/>
      <c r="L26972" s="23"/>
    </row>
    <row r="26973">
      <c r="B26973" s="19"/>
      <c r="E26973" s="23"/>
      <c r="L26973" s="23"/>
    </row>
    <row r="26974">
      <c r="B26974" s="19"/>
      <c r="E26974" s="23"/>
      <c r="L26974" s="23"/>
    </row>
    <row r="26975">
      <c r="B26975" s="19"/>
      <c r="E26975" s="23"/>
      <c r="L26975" s="23"/>
    </row>
    <row r="26976">
      <c r="B26976" s="19"/>
      <c r="E26976" s="23"/>
      <c r="L26976" s="23"/>
    </row>
    <row r="26977">
      <c r="B26977" s="19"/>
      <c r="E26977" s="23"/>
      <c r="L26977" s="23"/>
    </row>
    <row r="26978">
      <c r="B26978" s="19"/>
      <c r="E26978" s="23"/>
      <c r="L26978" s="23"/>
    </row>
    <row r="26979">
      <c r="B26979" s="19"/>
      <c r="E26979" s="23"/>
      <c r="L26979" s="23"/>
    </row>
    <row r="26980">
      <c r="B26980" s="19"/>
      <c r="E26980" s="23"/>
      <c r="L26980" s="23"/>
    </row>
    <row r="26981">
      <c r="B26981" s="19"/>
      <c r="E26981" s="23"/>
      <c r="L26981" s="23"/>
    </row>
    <row r="26982">
      <c r="B26982" s="19"/>
      <c r="E26982" s="23"/>
      <c r="L26982" s="23"/>
    </row>
    <row r="26983">
      <c r="B26983" s="19"/>
      <c r="E26983" s="23"/>
      <c r="L26983" s="23"/>
    </row>
    <row r="26984">
      <c r="B26984" s="19"/>
      <c r="E26984" s="23"/>
      <c r="L26984" s="23"/>
    </row>
    <row r="26985">
      <c r="B26985" s="19"/>
      <c r="E26985" s="23"/>
      <c r="L26985" s="23"/>
    </row>
    <row r="26986">
      <c r="B26986" s="19"/>
      <c r="E26986" s="23"/>
      <c r="L26986" s="23"/>
    </row>
    <row r="26987">
      <c r="B26987" s="19"/>
      <c r="E26987" s="23"/>
      <c r="L26987" s="23"/>
    </row>
    <row r="26988">
      <c r="B26988" s="19"/>
      <c r="E26988" s="23"/>
      <c r="L26988" s="23"/>
    </row>
    <row r="26989">
      <c r="B26989" s="19"/>
      <c r="E26989" s="23"/>
      <c r="L26989" s="23"/>
    </row>
    <row r="26990">
      <c r="B26990" s="19"/>
      <c r="E26990" s="23"/>
      <c r="L26990" s="23"/>
    </row>
    <row r="26991">
      <c r="B26991" s="19"/>
      <c r="E26991" s="23"/>
      <c r="L26991" s="23"/>
    </row>
    <row r="26992">
      <c r="B26992" s="19"/>
      <c r="E26992" s="23"/>
      <c r="L26992" s="23"/>
    </row>
    <row r="26993">
      <c r="B26993" s="19"/>
      <c r="E26993" s="23"/>
      <c r="L26993" s="23"/>
    </row>
    <row r="26994">
      <c r="B26994" s="19"/>
      <c r="E26994" s="23"/>
      <c r="L26994" s="23"/>
    </row>
    <row r="26995">
      <c r="B26995" s="19"/>
      <c r="E26995" s="23"/>
      <c r="L26995" s="23"/>
    </row>
    <row r="26996">
      <c r="B26996" s="19"/>
      <c r="E26996" s="23"/>
      <c r="L26996" s="23"/>
    </row>
    <row r="26997">
      <c r="B26997" s="19"/>
      <c r="E26997" s="23"/>
      <c r="L26997" s="23"/>
    </row>
    <row r="26998">
      <c r="B26998" s="19"/>
      <c r="E26998" s="23"/>
      <c r="L26998" s="23"/>
    </row>
    <row r="26999">
      <c r="B26999" s="19"/>
      <c r="E26999" s="23"/>
      <c r="L26999" s="23"/>
    </row>
    <row r="27000">
      <c r="B27000" s="19"/>
      <c r="E27000" s="23"/>
      <c r="L27000" s="23"/>
    </row>
    <row r="27001">
      <c r="B27001" s="19"/>
      <c r="E27001" s="23"/>
      <c r="L27001" s="23"/>
    </row>
    <row r="27002">
      <c r="B27002" s="19"/>
      <c r="E27002" s="23"/>
      <c r="L27002" s="23"/>
    </row>
    <row r="27003">
      <c r="B27003" s="19"/>
      <c r="E27003" s="23"/>
      <c r="L27003" s="23"/>
    </row>
    <row r="27004">
      <c r="B27004" s="19"/>
      <c r="E27004" s="23"/>
      <c r="L27004" s="23"/>
    </row>
    <row r="27005">
      <c r="B27005" s="19"/>
      <c r="E27005" s="23"/>
      <c r="L27005" s="23"/>
    </row>
    <row r="27006">
      <c r="B27006" s="19"/>
      <c r="E27006" s="23"/>
      <c r="L27006" s="23"/>
    </row>
    <row r="27007">
      <c r="B27007" s="19"/>
      <c r="E27007" s="23"/>
      <c r="L27007" s="23"/>
    </row>
    <row r="27008">
      <c r="B27008" s="19"/>
      <c r="E27008" s="23"/>
      <c r="L27008" s="23"/>
    </row>
    <row r="27009">
      <c r="B27009" s="19"/>
      <c r="E27009" s="23"/>
      <c r="L27009" s="23"/>
    </row>
    <row r="27010">
      <c r="B27010" s="19"/>
      <c r="E27010" s="23"/>
      <c r="L27010" s="23"/>
    </row>
    <row r="27011">
      <c r="B27011" s="19"/>
      <c r="E27011" s="23"/>
      <c r="L27011" s="23"/>
    </row>
    <row r="27012">
      <c r="B27012" s="19"/>
      <c r="E27012" s="23"/>
      <c r="L27012" s="23"/>
    </row>
    <row r="27013">
      <c r="B27013" s="19"/>
      <c r="E27013" s="23"/>
      <c r="L27013" s="23"/>
    </row>
    <row r="27014">
      <c r="B27014" s="19"/>
      <c r="E27014" s="23"/>
      <c r="L27014" s="23"/>
    </row>
    <row r="27015">
      <c r="B27015" s="19"/>
      <c r="E27015" s="23"/>
      <c r="L27015" s="23"/>
    </row>
    <row r="27016">
      <c r="B27016" s="19"/>
      <c r="E27016" s="23"/>
      <c r="L27016" s="23"/>
    </row>
    <row r="27017">
      <c r="B27017" s="19"/>
      <c r="E27017" s="23"/>
      <c r="L27017" s="23"/>
    </row>
    <row r="27018">
      <c r="B27018" s="19"/>
      <c r="E27018" s="23"/>
      <c r="L27018" s="23"/>
    </row>
    <row r="27019">
      <c r="B27019" s="19"/>
      <c r="E27019" s="23"/>
      <c r="L27019" s="23"/>
    </row>
    <row r="27020">
      <c r="B27020" s="19"/>
      <c r="E27020" s="23"/>
      <c r="L27020" s="23"/>
    </row>
    <row r="27021">
      <c r="B27021" s="19"/>
      <c r="E27021" s="23"/>
      <c r="L27021" s="23"/>
    </row>
    <row r="27022">
      <c r="B27022" s="19"/>
      <c r="E27022" s="23"/>
      <c r="L27022" s="23"/>
    </row>
    <row r="27023">
      <c r="B27023" s="19"/>
      <c r="E27023" s="23"/>
      <c r="L27023" s="23"/>
    </row>
    <row r="27024">
      <c r="B27024" s="19"/>
      <c r="E27024" s="23"/>
      <c r="L27024" s="23"/>
    </row>
    <row r="27025">
      <c r="B27025" s="19"/>
      <c r="E27025" s="23"/>
      <c r="L27025" s="23"/>
    </row>
    <row r="27026">
      <c r="B27026" s="19"/>
      <c r="E27026" s="23"/>
      <c r="L27026" s="23"/>
    </row>
    <row r="27027">
      <c r="B27027" s="19"/>
      <c r="E27027" s="23"/>
      <c r="L27027" s="23"/>
    </row>
    <row r="27028">
      <c r="B27028" s="19"/>
      <c r="E27028" s="23"/>
      <c r="L27028" s="23"/>
    </row>
    <row r="27029">
      <c r="B27029" s="19"/>
      <c r="E27029" s="23"/>
      <c r="L27029" s="23"/>
    </row>
    <row r="27030">
      <c r="B27030" s="19"/>
      <c r="E27030" s="23"/>
      <c r="L27030" s="23"/>
    </row>
    <row r="27031">
      <c r="B27031" s="19"/>
      <c r="E27031" s="23"/>
      <c r="L27031" s="23"/>
    </row>
    <row r="27032">
      <c r="B27032" s="19"/>
      <c r="E27032" s="23"/>
      <c r="L27032" s="23"/>
    </row>
    <row r="27033">
      <c r="B27033" s="19"/>
      <c r="E27033" s="23"/>
      <c r="L27033" s="23"/>
    </row>
    <row r="27034">
      <c r="B27034" s="19"/>
      <c r="E27034" s="23"/>
      <c r="L27034" s="23"/>
    </row>
    <row r="27035">
      <c r="B27035" s="19"/>
      <c r="E27035" s="23"/>
      <c r="L27035" s="23"/>
    </row>
    <row r="27036">
      <c r="B27036" s="19"/>
      <c r="E27036" s="23"/>
      <c r="L27036" s="23"/>
    </row>
    <row r="27037">
      <c r="B27037" s="19"/>
      <c r="E27037" s="23"/>
      <c r="L27037" s="23"/>
    </row>
    <row r="27038">
      <c r="B27038" s="19"/>
      <c r="E27038" s="23"/>
      <c r="L27038" s="23"/>
    </row>
    <row r="27039">
      <c r="B27039" s="19"/>
      <c r="E27039" s="23"/>
      <c r="L27039" s="23"/>
    </row>
    <row r="27040">
      <c r="B27040" s="19"/>
      <c r="E27040" s="23"/>
      <c r="L27040" s="23"/>
    </row>
    <row r="27041">
      <c r="B27041" s="19"/>
      <c r="E27041" s="23"/>
      <c r="L27041" s="23"/>
    </row>
    <row r="27042">
      <c r="B27042" s="19"/>
      <c r="E27042" s="23"/>
      <c r="L27042" s="23"/>
    </row>
    <row r="27043">
      <c r="B27043" s="19"/>
      <c r="E27043" s="23"/>
      <c r="L27043" s="23"/>
    </row>
    <row r="27044">
      <c r="B27044" s="19"/>
      <c r="E27044" s="23"/>
      <c r="L27044" s="23"/>
    </row>
    <row r="27045">
      <c r="B27045" s="19"/>
      <c r="E27045" s="23"/>
      <c r="L27045" s="23"/>
    </row>
    <row r="27046">
      <c r="B27046" s="19"/>
      <c r="E27046" s="23"/>
      <c r="L27046" s="23"/>
    </row>
    <row r="27047">
      <c r="B27047" s="19"/>
      <c r="E27047" s="23"/>
      <c r="L27047" s="23"/>
    </row>
    <row r="27048">
      <c r="B27048" s="19"/>
      <c r="E27048" s="23"/>
      <c r="L27048" s="23"/>
    </row>
    <row r="27049">
      <c r="B27049" s="19"/>
      <c r="E27049" s="23"/>
      <c r="L27049" s="23"/>
    </row>
    <row r="27050">
      <c r="B27050" s="19"/>
      <c r="E27050" s="23"/>
      <c r="L27050" s="23"/>
    </row>
    <row r="27051">
      <c r="B27051" s="19"/>
      <c r="E27051" s="23"/>
      <c r="L27051" s="23"/>
    </row>
    <row r="27052">
      <c r="B27052" s="19"/>
      <c r="E27052" s="23"/>
      <c r="L27052" s="23"/>
    </row>
    <row r="27053">
      <c r="B27053" s="19"/>
      <c r="E27053" s="23"/>
      <c r="L27053" s="23"/>
    </row>
    <row r="27054">
      <c r="B27054" s="19"/>
      <c r="E27054" s="23"/>
      <c r="L27054" s="23"/>
    </row>
    <row r="27055">
      <c r="B27055" s="19"/>
      <c r="E27055" s="23"/>
      <c r="L27055" s="23"/>
    </row>
    <row r="27056">
      <c r="B27056" s="19"/>
      <c r="E27056" s="23"/>
      <c r="L27056" s="23"/>
    </row>
    <row r="27057">
      <c r="B27057" s="19"/>
      <c r="E27057" s="23"/>
      <c r="L27057" s="23"/>
    </row>
    <row r="27058">
      <c r="B27058" s="19"/>
      <c r="E27058" s="23"/>
      <c r="L27058" s="23"/>
    </row>
    <row r="27059">
      <c r="B27059" s="19"/>
      <c r="E27059" s="23"/>
      <c r="L27059" s="23"/>
    </row>
    <row r="27060">
      <c r="B27060" s="19"/>
      <c r="E27060" s="23"/>
      <c r="L27060" s="23"/>
    </row>
    <row r="27061">
      <c r="B27061" s="19"/>
      <c r="E27061" s="23"/>
      <c r="L27061" s="23"/>
    </row>
    <row r="27062">
      <c r="B27062" s="19"/>
      <c r="E27062" s="23"/>
      <c r="L27062" s="23"/>
    </row>
    <row r="27063">
      <c r="B27063" s="19"/>
      <c r="E27063" s="23"/>
      <c r="L27063" s="23"/>
    </row>
    <row r="27064">
      <c r="B27064" s="19"/>
      <c r="E27064" s="23"/>
      <c r="L27064" s="23"/>
    </row>
    <row r="27065">
      <c r="B27065" s="19"/>
      <c r="E27065" s="23"/>
      <c r="L27065" s="23"/>
    </row>
    <row r="27066">
      <c r="B27066" s="19"/>
      <c r="E27066" s="23"/>
      <c r="L27066" s="23"/>
    </row>
    <row r="27067">
      <c r="B27067" s="19"/>
      <c r="E27067" s="23"/>
      <c r="L27067" s="23"/>
    </row>
    <row r="27068">
      <c r="B27068" s="19"/>
      <c r="E27068" s="23"/>
      <c r="L27068" s="23"/>
    </row>
    <row r="27069">
      <c r="B27069" s="19"/>
      <c r="E27069" s="23"/>
      <c r="L27069" s="23"/>
    </row>
    <row r="27070">
      <c r="B27070" s="19"/>
      <c r="E27070" s="23"/>
      <c r="L27070" s="23"/>
    </row>
    <row r="27071">
      <c r="B27071" s="19"/>
      <c r="E27071" s="23"/>
      <c r="L27071" s="23"/>
    </row>
    <row r="27072">
      <c r="B27072" s="19"/>
      <c r="E27072" s="23"/>
      <c r="L27072" s="23"/>
    </row>
    <row r="27073">
      <c r="B27073" s="19"/>
      <c r="E27073" s="23"/>
      <c r="L27073" s="23"/>
    </row>
    <row r="27074">
      <c r="B27074" s="19"/>
      <c r="E27074" s="23"/>
      <c r="L27074" s="23"/>
    </row>
    <row r="27075">
      <c r="B27075" s="19"/>
      <c r="E27075" s="23"/>
      <c r="L27075" s="23"/>
    </row>
    <row r="27076">
      <c r="B27076" s="19"/>
      <c r="E27076" s="23"/>
      <c r="L27076" s="23"/>
    </row>
    <row r="27077">
      <c r="B27077" s="19"/>
      <c r="E27077" s="23"/>
      <c r="L27077" s="23"/>
    </row>
    <row r="27078">
      <c r="B27078" s="19"/>
      <c r="E27078" s="23"/>
      <c r="L27078" s="23"/>
    </row>
    <row r="27079">
      <c r="B27079" s="19"/>
      <c r="E27079" s="23"/>
      <c r="L27079" s="23"/>
    </row>
    <row r="27080">
      <c r="B27080" s="19"/>
      <c r="E27080" s="23"/>
      <c r="L27080" s="23"/>
    </row>
    <row r="27081">
      <c r="B27081" s="19"/>
      <c r="E27081" s="23"/>
      <c r="L27081" s="23"/>
    </row>
    <row r="27082">
      <c r="B27082" s="19"/>
      <c r="E27082" s="23"/>
      <c r="L27082" s="23"/>
    </row>
    <row r="27083">
      <c r="B27083" s="19"/>
      <c r="E27083" s="23"/>
      <c r="L27083" s="23"/>
    </row>
    <row r="27084">
      <c r="B27084" s="19"/>
      <c r="E27084" s="23"/>
      <c r="L27084" s="23"/>
    </row>
    <row r="27085">
      <c r="B27085" s="19"/>
      <c r="E27085" s="23"/>
      <c r="L27085" s="23"/>
    </row>
    <row r="27086">
      <c r="B27086" s="19"/>
      <c r="E27086" s="23"/>
      <c r="L27086" s="23"/>
    </row>
    <row r="27087">
      <c r="B27087" s="19"/>
      <c r="E27087" s="23"/>
      <c r="L27087" s="23"/>
    </row>
    <row r="27088">
      <c r="B27088" s="19"/>
      <c r="E27088" s="23"/>
      <c r="L27088" s="23"/>
    </row>
    <row r="27089">
      <c r="B27089" s="19"/>
      <c r="E27089" s="23"/>
      <c r="L27089" s="23"/>
    </row>
    <row r="27090">
      <c r="B27090" s="19"/>
      <c r="E27090" s="23"/>
      <c r="L27090" s="23"/>
    </row>
    <row r="27091">
      <c r="B27091" s="19"/>
      <c r="E27091" s="23"/>
      <c r="L27091" s="23"/>
    </row>
    <row r="27092">
      <c r="B27092" s="19"/>
      <c r="E27092" s="23"/>
      <c r="L27092" s="23"/>
    </row>
    <row r="27093">
      <c r="B27093" s="19"/>
      <c r="E27093" s="23"/>
      <c r="L27093" s="23"/>
    </row>
    <row r="27094">
      <c r="B27094" s="19"/>
      <c r="E27094" s="23"/>
      <c r="L27094" s="23"/>
    </row>
    <row r="27095">
      <c r="B27095" s="19"/>
      <c r="E27095" s="23"/>
      <c r="L27095" s="23"/>
    </row>
    <row r="27096">
      <c r="B27096" s="19"/>
      <c r="E27096" s="23"/>
      <c r="L27096" s="23"/>
    </row>
    <row r="27097">
      <c r="B27097" s="19"/>
      <c r="E27097" s="23"/>
      <c r="L27097" s="23"/>
    </row>
    <row r="27098">
      <c r="B27098" s="19"/>
      <c r="E27098" s="23"/>
      <c r="L27098" s="23"/>
    </row>
    <row r="27099">
      <c r="B27099" s="19"/>
      <c r="E27099" s="23"/>
      <c r="L27099" s="23"/>
    </row>
    <row r="27100">
      <c r="B27100" s="19"/>
      <c r="E27100" s="23"/>
      <c r="L27100" s="23"/>
    </row>
    <row r="27101">
      <c r="B27101" s="19"/>
      <c r="E27101" s="23"/>
      <c r="L27101" s="23"/>
    </row>
    <row r="27102">
      <c r="B27102" s="19"/>
      <c r="E27102" s="23"/>
      <c r="L27102" s="23"/>
    </row>
    <row r="27103">
      <c r="B27103" s="19"/>
      <c r="E27103" s="23"/>
      <c r="L27103" s="23"/>
    </row>
    <row r="27104">
      <c r="B27104" s="19"/>
      <c r="E27104" s="23"/>
      <c r="L27104" s="23"/>
    </row>
    <row r="27105">
      <c r="B27105" s="19"/>
      <c r="E27105" s="23"/>
      <c r="L27105" s="23"/>
    </row>
    <row r="27106">
      <c r="B27106" s="19"/>
      <c r="E27106" s="23"/>
      <c r="L27106" s="23"/>
    </row>
    <row r="27107">
      <c r="B27107" s="19"/>
      <c r="E27107" s="23"/>
      <c r="L27107" s="23"/>
    </row>
    <row r="27108">
      <c r="B27108" s="19"/>
      <c r="E27108" s="23"/>
      <c r="L27108" s="23"/>
    </row>
    <row r="27109">
      <c r="B27109" s="19"/>
      <c r="E27109" s="23"/>
      <c r="L27109" s="23"/>
    </row>
    <row r="27110">
      <c r="B27110" s="19"/>
      <c r="E27110" s="23"/>
      <c r="L27110" s="23"/>
    </row>
    <row r="27111">
      <c r="B27111" s="19"/>
      <c r="E27111" s="23"/>
      <c r="L27111" s="23"/>
    </row>
    <row r="27112">
      <c r="B27112" s="19"/>
      <c r="E27112" s="23"/>
      <c r="L27112" s="23"/>
    </row>
    <row r="27113">
      <c r="B27113" s="19"/>
      <c r="E27113" s="23"/>
      <c r="L27113" s="23"/>
    </row>
    <row r="27114">
      <c r="B27114" s="19"/>
      <c r="E27114" s="23"/>
      <c r="L27114" s="23"/>
    </row>
    <row r="27115">
      <c r="B27115" s="19"/>
      <c r="E27115" s="23"/>
      <c r="L27115" s="23"/>
    </row>
    <row r="27116">
      <c r="B27116" s="19"/>
      <c r="E27116" s="23"/>
      <c r="L27116" s="23"/>
    </row>
    <row r="27117">
      <c r="B27117" s="19"/>
      <c r="E27117" s="23"/>
      <c r="L27117" s="23"/>
    </row>
    <row r="27118">
      <c r="B27118" s="19"/>
      <c r="E27118" s="23"/>
      <c r="L27118" s="23"/>
    </row>
    <row r="27119">
      <c r="B27119" s="19"/>
      <c r="E27119" s="23"/>
      <c r="L27119" s="23"/>
    </row>
    <row r="27120">
      <c r="B27120" s="19"/>
      <c r="E27120" s="23"/>
      <c r="L27120" s="23"/>
    </row>
    <row r="27121">
      <c r="B27121" s="19"/>
      <c r="E27121" s="23"/>
      <c r="L27121" s="23"/>
    </row>
    <row r="27122">
      <c r="B27122" s="19"/>
      <c r="E27122" s="23"/>
      <c r="L27122" s="23"/>
    </row>
    <row r="27123">
      <c r="B27123" s="19"/>
      <c r="E27123" s="23"/>
      <c r="L27123" s="23"/>
    </row>
    <row r="27124">
      <c r="B27124" s="19"/>
      <c r="E27124" s="23"/>
      <c r="L27124" s="23"/>
    </row>
    <row r="27125">
      <c r="B27125" s="19"/>
      <c r="E27125" s="23"/>
      <c r="L27125" s="23"/>
    </row>
    <row r="27126">
      <c r="B27126" s="19"/>
      <c r="E27126" s="23"/>
      <c r="L27126" s="23"/>
    </row>
    <row r="27127">
      <c r="B27127" s="19"/>
      <c r="E27127" s="23"/>
      <c r="L27127" s="23"/>
    </row>
    <row r="27128">
      <c r="B27128" s="19"/>
      <c r="E27128" s="23"/>
      <c r="L27128" s="23"/>
    </row>
    <row r="27129">
      <c r="B27129" s="19"/>
      <c r="E27129" s="23"/>
      <c r="L27129" s="23"/>
    </row>
    <row r="27130">
      <c r="B27130" s="19"/>
      <c r="E27130" s="23"/>
      <c r="L27130" s="23"/>
    </row>
    <row r="27131">
      <c r="B27131" s="19"/>
      <c r="E27131" s="23"/>
      <c r="L27131" s="23"/>
    </row>
    <row r="27132">
      <c r="B27132" s="19"/>
      <c r="E27132" s="23"/>
      <c r="L27132" s="23"/>
    </row>
    <row r="27133">
      <c r="B27133" s="19"/>
      <c r="E27133" s="23"/>
      <c r="L27133" s="23"/>
    </row>
    <row r="27134">
      <c r="B27134" s="19"/>
      <c r="E27134" s="23"/>
      <c r="L27134" s="23"/>
    </row>
    <row r="27135">
      <c r="B27135" s="19"/>
      <c r="E27135" s="23"/>
      <c r="L27135" s="23"/>
    </row>
    <row r="27136">
      <c r="B27136" s="19"/>
      <c r="E27136" s="23"/>
      <c r="L27136" s="23"/>
    </row>
    <row r="27137">
      <c r="B27137" s="19"/>
      <c r="E27137" s="23"/>
      <c r="L27137" s="23"/>
    </row>
    <row r="27138">
      <c r="B27138" s="19"/>
      <c r="E27138" s="23"/>
      <c r="L27138" s="23"/>
    </row>
    <row r="27139">
      <c r="B27139" s="19"/>
      <c r="E27139" s="23"/>
      <c r="L27139" s="23"/>
    </row>
    <row r="27140">
      <c r="B27140" s="19"/>
      <c r="E27140" s="23"/>
      <c r="L27140" s="23"/>
    </row>
    <row r="27141">
      <c r="B27141" s="19"/>
      <c r="E27141" s="23"/>
      <c r="L27141" s="23"/>
    </row>
    <row r="27142">
      <c r="B27142" s="19"/>
      <c r="E27142" s="23"/>
      <c r="L27142" s="23"/>
    </row>
    <row r="27143">
      <c r="B27143" s="19"/>
      <c r="E27143" s="23"/>
      <c r="L27143" s="23"/>
    </row>
    <row r="27144">
      <c r="B27144" s="19"/>
      <c r="E27144" s="23"/>
      <c r="L27144" s="23"/>
    </row>
    <row r="27145">
      <c r="B27145" s="19"/>
      <c r="E27145" s="23"/>
      <c r="L27145" s="23"/>
    </row>
    <row r="27146">
      <c r="B27146" s="19"/>
      <c r="E27146" s="23"/>
      <c r="L27146" s="23"/>
    </row>
    <row r="27147">
      <c r="B27147" s="19"/>
      <c r="E27147" s="23"/>
      <c r="L27147" s="23"/>
    </row>
    <row r="27148">
      <c r="B27148" s="19"/>
      <c r="E27148" s="23"/>
      <c r="L27148" s="23"/>
    </row>
    <row r="27149">
      <c r="B27149" s="19"/>
      <c r="E27149" s="23"/>
      <c r="L27149" s="23"/>
    </row>
    <row r="27150">
      <c r="B27150" s="19"/>
      <c r="E27150" s="23"/>
      <c r="L27150" s="23"/>
    </row>
    <row r="27151">
      <c r="B27151" s="19"/>
      <c r="E27151" s="23"/>
      <c r="L27151" s="23"/>
    </row>
    <row r="27152">
      <c r="B27152" s="19"/>
      <c r="E27152" s="23"/>
      <c r="L27152" s="23"/>
    </row>
    <row r="27153">
      <c r="B27153" s="19"/>
      <c r="E27153" s="23"/>
      <c r="L27153" s="23"/>
    </row>
    <row r="27154">
      <c r="B27154" s="19"/>
      <c r="E27154" s="23"/>
      <c r="L27154" s="23"/>
    </row>
    <row r="27155">
      <c r="B27155" s="19"/>
      <c r="E27155" s="23"/>
      <c r="L27155" s="23"/>
    </row>
    <row r="27156">
      <c r="B27156" s="19"/>
      <c r="E27156" s="23"/>
      <c r="L27156" s="23"/>
    </row>
    <row r="27157">
      <c r="B27157" s="19"/>
      <c r="E27157" s="23"/>
      <c r="L27157" s="23"/>
    </row>
    <row r="27158">
      <c r="B27158" s="19"/>
      <c r="E27158" s="23"/>
      <c r="L27158" s="23"/>
    </row>
    <row r="27159">
      <c r="B27159" s="19"/>
      <c r="E27159" s="23"/>
      <c r="L27159" s="23"/>
    </row>
    <row r="27160">
      <c r="B27160" s="19"/>
      <c r="E27160" s="23"/>
      <c r="L27160" s="23"/>
    </row>
    <row r="27161">
      <c r="B27161" s="19"/>
      <c r="E27161" s="23"/>
      <c r="L27161" s="23"/>
    </row>
    <row r="27162">
      <c r="B27162" s="19"/>
      <c r="E27162" s="23"/>
      <c r="L27162" s="23"/>
    </row>
    <row r="27163">
      <c r="B27163" s="19"/>
      <c r="E27163" s="23"/>
      <c r="L27163" s="23"/>
    </row>
    <row r="27164">
      <c r="B27164" s="19"/>
      <c r="E27164" s="23"/>
      <c r="L27164" s="23"/>
    </row>
    <row r="27165">
      <c r="B27165" s="19"/>
      <c r="E27165" s="23"/>
      <c r="L27165" s="23"/>
    </row>
    <row r="27166">
      <c r="B27166" s="19"/>
      <c r="E27166" s="23"/>
      <c r="L27166" s="23"/>
    </row>
    <row r="27167">
      <c r="B27167" s="19"/>
      <c r="E27167" s="23"/>
      <c r="L27167" s="23"/>
    </row>
    <row r="27168">
      <c r="B27168" s="19"/>
      <c r="E27168" s="23"/>
      <c r="L27168" s="23"/>
    </row>
    <row r="27169">
      <c r="B27169" s="19"/>
      <c r="E27169" s="23"/>
      <c r="L27169" s="23"/>
    </row>
    <row r="27170">
      <c r="B27170" s="19"/>
      <c r="E27170" s="23"/>
      <c r="L27170" s="23"/>
    </row>
    <row r="27171">
      <c r="B27171" s="19"/>
      <c r="E27171" s="23"/>
      <c r="L27171" s="23"/>
    </row>
    <row r="27172">
      <c r="B27172" s="19"/>
      <c r="E27172" s="23"/>
      <c r="L27172" s="23"/>
    </row>
    <row r="27173">
      <c r="B27173" s="19"/>
      <c r="E27173" s="23"/>
      <c r="L27173" s="23"/>
    </row>
    <row r="27174">
      <c r="B27174" s="19"/>
      <c r="E27174" s="23"/>
      <c r="L27174" s="23"/>
    </row>
    <row r="27175">
      <c r="B27175" s="19"/>
      <c r="E27175" s="23"/>
      <c r="L27175" s="23"/>
    </row>
    <row r="27176">
      <c r="B27176" s="19"/>
      <c r="E27176" s="23"/>
      <c r="L27176" s="23"/>
    </row>
    <row r="27177">
      <c r="B27177" s="19"/>
      <c r="E27177" s="23"/>
      <c r="L27177" s="23"/>
    </row>
    <row r="27178">
      <c r="B27178" s="19"/>
      <c r="E27178" s="23"/>
      <c r="L27178" s="23"/>
    </row>
    <row r="27179">
      <c r="B27179" s="19"/>
      <c r="E27179" s="23"/>
      <c r="L27179" s="23"/>
    </row>
    <row r="27180">
      <c r="B27180" s="19"/>
      <c r="E27180" s="23"/>
      <c r="L27180" s="23"/>
    </row>
    <row r="27181">
      <c r="B27181" s="19"/>
      <c r="E27181" s="23"/>
      <c r="L27181" s="23"/>
    </row>
    <row r="27182">
      <c r="B27182" s="19"/>
      <c r="E27182" s="23"/>
      <c r="L27182" s="23"/>
    </row>
    <row r="27183">
      <c r="B27183" s="19"/>
      <c r="E27183" s="23"/>
      <c r="L27183" s="23"/>
    </row>
    <row r="27184">
      <c r="B27184" s="19"/>
      <c r="E27184" s="23"/>
      <c r="L27184" s="23"/>
    </row>
    <row r="27185">
      <c r="B27185" s="19"/>
      <c r="E27185" s="23"/>
      <c r="L27185" s="23"/>
    </row>
    <row r="27186">
      <c r="B27186" s="19"/>
      <c r="E27186" s="23"/>
      <c r="L27186" s="23"/>
    </row>
    <row r="27187">
      <c r="B27187" s="19"/>
      <c r="E27187" s="23"/>
      <c r="L27187" s="23"/>
    </row>
    <row r="27188">
      <c r="B27188" s="19"/>
      <c r="E27188" s="23"/>
      <c r="L27188" s="23"/>
    </row>
    <row r="27189">
      <c r="B27189" s="19"/>
      <c r="E27189" s="23"/>
      <c r="L27189" s="23"/>
    </row>
    <row r="27190">
      <c r="B27190" s="19"/>
      <c r="E27190" s="23"/>
      <c r="L27190" s="23"/>
    </row>
    <row r="27191">
      <c r="B27191" s="19"/>
      <c r="E27191" s="23"/>
      <c r="L27191" s="23"/>
    </row>
    <row r="27192">
      <c r="B27192" s="19"/>
      <c r="E27192" s="23"/>
      <c r="L27192" s="23"/>
    </row>
    <row r="27193">
      <c r="B27193" s="19"/>
      <c r="E27193" s="23"/>
      <c r="L27193" s="23"/>
    </row>
    <row r="27194">
      <c r="B27194" s="19"/>
      <c r="E27194" s="23"/>
      <c r="L27194" s="23"/>
    </row>
    <row r="27195">
      <c r="B27195" s="19"/>
      <c r="E27195" s="23"/>
      <c r="L27195" s="23"/>
    </row>
    <row r="27196">
      <c r="B27196" s="19"/>
      <c r="E27196" s="23"/>
      <c r="L27196" s="23"/>
    </row>
    <row r="27197">
      <c r="B27197" s="19"/>
      <c r="E27197" s="23"/>
      <c r="L27197" s="23"/>
    </row>
    <row r="27198">
      <c r="B27198" s="19"/>
      <c r="E27198" s="23"/>
      <c r="L27198" s="23"/>
    </row>
    <row r="27199">
      <c r="B27199" s="19"/>
      <c r="E27199" s="23"/>
      <c r="L27199" s="23"/>
    </row>
    <row r="27200">
      <c r="B27200" s="19"/>
      <c r="E27200" s="23"/>
      <c r="L27200" s="23"/>
    </row>
    <row r="27201">
      <c r="B27201" s="19"/>
      <c r="E27201" s="23"/>
      <c r="L27201" s="23"/>
    </row>
    <row r="27202">
      <c r="B27202" s="19"/>
      <c r="E27202" s="23"/>
      <c r="L27202" s="23"/>
    </row>
    <row r="27203">
      <c r="B27203" s="19"/>
      <c r="E27203" s="23"/>
      <c r="L27203" s="23"/>
    </row>
    <row r="27204">
      <c r="B27204" s="19"/>
      <c r="E27204" s="23"/>
      <c r="L27204" s="23"/>
    </row>
    <row r="27205">
      <c r="B27205" s="19"/>
      <c r="E27205" s="23"/>
      <c r="L27205" s="23"/>
    </row>
    <row r="27206">
      <c r="B27206" s="19"/>
      <c r="E27206" s="23"/>
      <c r="L27206" s="23"/>
    </row>
    <row r="27207">
      <c r="B27207" s="19"/>
      <c r="E27207" s="23"/>
      <c r="L27207" s="23"/>
    </row>
    <row r="27208">
      <c r="B27208" s="19"/>
      <c r="E27208" s="23"/>
      <c r="L27208" s="23"/>
    </row>
    <row r="27209">
      <c r="B27209" s="19"/>
      <c r="E27209" s="23"/>
      <c r="L27209" s="23"/>
    </row>
    <row r="27210">
      <c r="B27210" s="19"/>
      <c r="E27210" s="23"/>
      <c r="L27210" s="23"/>
    </row>
    <row r="27211">
      <c r="B27211" s="19"/>
      <c r="E27211" s="23"/>
      <c r="L27211" s="23"/>
    </row>
    <row r="27212">
      <c r="B27212" s="19"/>
      <c r="E27212" s="23"/>
      <c r="L27212" s="23"/>
    </row>
    <row r="27213">
      <c r="B27213" s="19"/>
      <c r="E27213" s="23"/>
      <c r="L27213" s="23"/>
    </row>
    <row r="27214">
      <c r="B27214" s="19"/>
      <c r="E27214" s="23"/>
      <c r="L27214" s="23"/>
    </row>
    <row r="27215">
      <c r="B27215" s="19"/>
      <c r="E27215" s="23"/>
      <c r="L27215" s="23"/>
    </row>
    <row r="27216">
      <c r="B27216" s="19"/>
      <c r="E27216" s="23"/>
      <c r="L27216" s="23"/>
    </row>
    <row r="27217">
      <c r="B27217" s="19"/>
      <c r="E27217" s="23"/>
      <c r="L27217" s="23"/>
    </row>
    <row r="27218">
      <c r="B27218" s="19"/>
      <c r="E27218" s="23"/>
      <c r="L27218" s="23"/>
    </row>
    <row r="27219">
      <c r="B27219" s="19"/>
      <c r="E27219" s="23"/>
      <c r="L27219" s="23"/>
    </row>
    <row r="27220">
      <c r="B27220" s="19"/>
      <c r="E27220" s="23"/>
      <c r="L27220" s="23"/>
    </row>
    <row r="27221">
      <c r="B27221" s="19"/>
      <c r="E27221" s="23"/>
      <c r="L27221" s="23"/>
    </row>
    <row r="27222">
      <c r="B27222" s="19"/>
      <c r="E27222" s="23"/>
      <c r="L27222" s="23"/>
    </row>
    <row r="27223">
      <c r="B27223" s="19"/>
      <c r="E27223" s="23"/>
      <c r="L27223" s="23"/>
    </row>
    <row r="27224">
      <c r="B27224" s="19"/>
      <c r="E27224" s="23"/>
      <c r="L27224" s="23"/>
    </row>
    <row r="27225">
      <c r="B27225" s="19"/>
      <c r="E27225" s="23"/>
      <c r="L27225" s="23"/>
    </row>
    <row r="27226">
      <c r="B27226" s="19"/>
      <c r="E27226" s="23"/>
      <c r="L27226" s="23"/>
    </row>
    <row r="27227">
      <c r="B27227" s="19"/>
      <c r="E27227" s="23"/>
      <c r="L27227" s="23"/>
    </row>
    <row r="27228">
      <c r="B27228" s="19"/>
      <c r="E27228" s="23"/>
      <c r="L27228" s="23"/>
    </row>
    <row r="27229">
      <c r="B27229" s="19"/>
      <c r="E27229" s="23"/>
      <c r="L27229" s="23"/>
    </row>
    <row r="27230">
      <c r="B27230" s="19"/>
      <c r="E27230" s="23"/>
      <c r="L27230" s="23"/>
    </row>
    <row r="27231">
      <c r="B27231" s="19"/>
      <c r="E27231" s="23"/>
      <c r="L27231" s="23"/>
    </row>
    <row r="27232">
      <c r="B27232" s="19"/>
      <c r="E27232" s="23"/>
      <c r="L27232" s="23"/>
    </row>
    <row r="27233">
      <c r="B27233" s="19"/>
      <c r="E27233" s="23"/>
      <c r="L27233" s="23"/>
    </row>
    <row r="27234">
      <c r="B27234" s="19"/>
      <c r="E27234" s="23"/>
      <c r="L27234" s="23"/>
    </row>
    <row r="27235">
      <c r="B27235" s="19"/>
      <c r="E27235" s="23"/>
      <c r="L27235" s="23"/>
    </row>
    <row r="27236">
      <c r="B27236" s="19"/>
      <c r="E27236" s="23"/>
      <c r="L27236" s="23"/>
    </row>
    <row r="27237">
      <c r="B27237" s="19"/>
      <c r="E27237" s="23"/>
      <c r="L27237" s="23"/>
    </row>
    <row r="27238">
      <c r="B27238" s="19"/>
      <c r="E27238" s="23"/>
      <c r="L27238" s="23"/>
    </row>
    <row r="27239">
      <c r="B27239" s="19"/>
      <c r="E27239" s="23"/>
      <c r="L27239" s="23"/>
    </row>
    <row r="27240">
      <c r="B27240" s="19"/>
      <c r="E27240" s="23"/>
      <c r="L27240" s="23"/>
    </row>
    <row r="27241">
      <c r="B27241" s="19"/>
      <c r="E27241" s="23"/>
      <c r="L27241" s="23"/>
    </row>
    <row r="27242">
      <c r="B27242" s="19"/>
      <c r="E27242" s="23"/>
      <c r="L27242" s="23"/>
    </row>
    <row r="27243">
      <c r="B27243" s="19"/>
      <c r="E27243" s="23"/>
      <c r="L27243" s="23"/>
    </row>
    <row r="27244">
      <c r="B27244" s="19"/>
      <c r="E27244" s="23"/>
      <c r="L27244" s="23"/>
    </row>
    <row r="27245">
      <c r="B27245" s="19"/>
      <c r="E27245" s="23"/>
      <c r="L27245" s="23"/>
    </row>
    <row r="27246">
      <c r="B27246" s="19"/>
      <c r="E27246" s="23"/>
      <c r="L27246" s="23"/>
    </row>
    <row r="27247">
      <c r="B27247" s="19"/>
      <c r="E27247" s="23"/>
      <c r="L27247" s="23"/>
    </row>
    <row r="27248">
      <c r="B27248" s="19"/>
      <c r="E27248" s="23"/>
      <c r="L27248" s="23"/>
    </row>
    <row r="27249">
      <c r="B27249" s="19"/>
      <c r="E27249" s="23"/>
      <c r="L27249" s="23"/>
    </row>
    <row r="27250">
      <c r="B27250" s="19"/>
      <c r="E27250" s="23"/>
      <c r="L27250" s="23"/>
    </row>
    <row r="27251">
      <c r="B27251" s="19"/>
      <c r="E27251" s="23"/>
      <c r="L27251" s="23"/>
    </row>
    <row r="27252">
      <c r="B27252" s="19"/>
      <c r="E27252" s="23"/>
      <c r="L27252" s="23"/>
    </row>
    <row r="27253">
      <c r="B27253" s="19"/>
      <c r="E27253" s="23"/>
      <c r="L27253" s="23"/>
    </row>
    <row r="27254">
      <c r="B27254" s="19"/>
      <c r="E27254" s="23"/>
      <c r="L27254" s="23"/>
    </row>
    <row r="27255">
      <c r="B27255" s="19"/>
      <c r="E27255" s="23"/>
      <c r="L27255" s="23"/>
    </row>
    <row r="27256">
      <c r="B27256" s="19"/>
      <c r="E27256" s="23"/>
      <c r="L27256" s="23"/>
    </row>
    <row r="27257">
      <c r="B27257" s="19"/>
      <c r="E27257" s="23"/>
      <c r="L27257" s="23"/>
    </row>
    <row r="27258">
      <c r="B27258" s="19"/>
      <c r="E27258" s="23"/>
      <c r="L27258" s="23"/>
    </row>
    <row r="27259">
      <c r="B27259" s="19"/>
      <c r="E27259" s="23"/>
      <c r="L27259" s="23"/>
    </row>
    <row r="27260">
      <c r="B27260" s="19"/>
      <c r="E27260" s="23"/>
      <c r="L27260" s="23"/>
    </row>
    <row r="27261">
      <c r="B27261" s="19"/>
      <c r="E27261" s="23"/>
      <c r="L27261" s="23"/>
    </row>
    <row r="27262">
      <c r="B27262" s="19"/>
      <c r="E27262" s="23"/>
      <c r="L27262" s="23"/>
    </row>
    <row r="27263">
      <c r="B27263" s="19"/>
      <c r="E27263" s="23"/>
      <c r="L27263" s="23"/>
    </row>
    <row r="27264">
      <c r="B27264" s="19"/>
      <c r="E27264" s="23"/>
      <c r="L27264" s="23"/>
    </row>
    <row r="27265">
      <c r="B27265" s="19"/>
      <c r="E27265" s="23"/>
      <c r="L27265" s="23"/>
    </row>
    <row r="27266">
      <c r="B27266" s="19"/>
      <c r="E27266" s="23"/>
      <c r="L27266" s="23"/>
    </row>
    <row r="27267">
      <c r="B27267" s="19"/>
      <c r="E27267" s="23"/>
      <c r="L27267" s="23"/>
    </row>
    <row r="27268">
      <c r="B27268" s="19"/>
      <c r="E27268" s="23"/>
      <c r="L27268" s="23"/>
    </row>
    <row r="27269">
      <c r="B27269" s="19"/>
      <c r="E27269" s="23"/>
      <c r="L27269" s="23"/>
    </row>
    <row r="27270">
      <c r="B27270" s="19"/>
      <c r="E27270" s="23"/>
      <c r="L27270" s="23"/>
    </row>
    <row r="27271">
      <c r="B27271" s="19"/>
      <c r="E27271" s="23"/>
      <c r="L27271" s="23"/>
    </row>
    <row r="27272">
      <c r="B27272" s="19"/>
      <c r="E27272" s="23"/>
      <c r="L27272" s="23"/>
    </row>
    <row r="27273">
      <c r="B27273" s="19"/>
      <c r="E27273" s="23"/>
      <c r="L27273" s="23"/>
    </row>
    <row r="27274">
      <c r="B27274" s="19"/>
      <c r="E27274" s="23"/>
      <c r="L27274" s="23"/>
    </row>
    <row r="27275">
      <c r="B27275" s="19"/>
      <c r="E27275" s="23"/>
      <c r="L27275" s="23"/>
    </row>
    <row r="27276">
      <c r="B27276" s="19"/>
      <c r="E27276" s="23"/>
      <c r="L27276" s="23"/>
    </row>
    <row r="27277">
      <c r="B27277" s="19"/>
      <c r="E27277" s="23"/>
      <c r="L27277" s="23"/>
    </row>
    <row r="27278">
      <c r="B27278" s="19"/>
      <c r="E27278" s="23"/>
      <c r="L27278" s="23"/>
    </row>
    <row r="27279">
      <c r="B27279" s="19"/>
      <c r="E27279" s="23"/>
      <c r="L27279" s="23"/>
    </row>
    <row r="27280">
      <c r="B27280" s="19"/>
      <c r="E27280" s="23"/>
      <c r="L27280" s="23"/>
    </row>
    <row r="27281">
      <c r="B27281" s="19"/>
      <c r="E27281" s="23"/>
      <c r="L27281" s="23"/>
    </row>
    <row r="27282">
      <c r="B27282" s="19"/>
      <c r="E27282" s="23"/>
      <c r="L27282" s="23"/>
    </row>
    <row r="27283">
      <c r="B27283" s="19"/>
      <c r="E27283" s="23"/>
      <c r="L27283" s="23"/>
    </row>
    <row r="27284">
      <c r="B27284" s="19"/>
      <c r="E27284" s="23"/>
      <c r="L27284" s="23"/>
    </row>
    <row r="27285">
      <c r="B27285" s="19"/>
      <c r="E27285" s="23"/>
      <c r="L27285" s="23"/>
    </row>
    <row r="27286">
      <c r="B27286" s="19"/>
      <c r="E27286" s="23"/>
      <c r="L27286" s="23"/>
    </row>
    <row r="27287">
      <c r="B27287" s="19"/>
      <c r="E27287" s="23"/>
      <c r="L27287" s="23"/>
    </row>
    <row r="27288">
      <c r="B27288" s="19"/>
      <c r="E27288" s="23"/>
      <c r="L27288" s="23"/>
    </row>
    <row r="27289">
      <c r="B27289" s="19"/>
      <c r="E27289" s="23"/>
      <c r="L27289" s="23"/>
    </row>
    <row r="27290">
      <c r="B27290" s="19"/>
      <c r="E27290" s="23"/>
      <c r="L27290" s="23"/>
    </row>
    <row r="27291">
      <c r="B27291" s="19"/>
      <c r="E27291" s="23"/>
      <c r="L27291" s="23"/>
    </row>
    <row r="27292">
      <c r="B27292" s="19"/>
      <c r="E27292" s="23"/>
      <c r="L27292" s="23"/>
    </row>
    <row r="27293">
      <c r="B27293" s="19"/>
      <c r="E27293" s="23"/>
      <c r="L27293" s="23"/>
    </row>
    <row r="27294">
      <c r="B27294" s="19"/>
      <c r="E27294" s="23"/>
      <c r="L27294" s="23"/>
    </row>
    <row r="27295">
      <c r="B27295" s="19"/>
      <c r="E27295" s="23"/>
      <c r="L27295" s="23"/>
    </row>
    <row r="27296">
      <c r="B27296" s="19"/>
      <c r="E27296" s="23"/>
      <c r="L27296" s="23"/>
    </row>
    <row r="27297">
      <c r="B27297" s="19"/>
      <c r="E27297" s="23"/>
      <c r="L27297" s="23"/>
    </row>
    <row r="27298">
      <c r="B27298" s="19"/>
      <c r="E27298" s="23"/>
      <c r="L27298" s="23"/>
    </row>
    <row r="27299">
      <c r="B27299" s="19"/>
      <c r="E27299" s="23"/>
      <c r="L27299" s="23"/>
    </row>
    <row r="27300">
      <c r="B27300" s="19"/>
      <c r="E27300" s="23"/>
      <c r="L27300" s="23"/>
    </row>
    <row r="27301">
      <c r="B27301" s="19"/>
      <c r="E27301" s="23"/>
      <c r="L27301" s="23"/>
    </row>
    <row r="27302">
      <c r="B27302" s="19"/>
      <c r="E27302" s="23"/>
      <c r="L27302" s="23"/>
    </row>
    <row r="27303">
      <c r="B27303" s="19"/>
      <c r="E27303" s="23"/>
      <c r="L27303" s="23"/>
    </row>
    <row r="27304">
      <c r="B27304" s="19"/>
      <c r="E27304" s="23"/>
      <c r="L27304" s="23"/>
    </row>
    <row r="27305">
      <c r="B27305" s="19"/>
      <c r="E27305" s="23"/>
      <c r="L27305" s="23"/>
    </row>
    <row r="27306">
      <c r="B27306" s="19"/>
      <c r="E27306" s="23"/>
      <c r="L27306" s="23"/>
    </row>
    <row r="27307">
      <c r="B27307" s="19"/>
      <c r="E27307" s="23"/>
      <c r="L27307" s="23"/>
    </row>
    <row r="27308">
      <c r="B27308" s="19"/>
      <c r="E27308" s="23"/>
      <c r="L27308" s="23"/>
    </row>
    <row r="27309">
      <c r="B27309" s="19"/>
      <c r="E27309" s="23"/>
      <c r="L27309" s="23"/>
    </row>
    <row r="27310">
      <c r="B27310" s="19"/>
      <c r="E27310" s="23"/>
      <c r="L27310" s="23"/>
    </row>
    <row r="27311">
      <c r="B27311" s="19"/>
      <c r="E27311" s="23"/>
      <c r="L27311" s="23"/>
    </row>
    <row r="27312">
      <c r="B27312" s="19"/>
      <c r="E27312" s="23"/>
      <c r="L27312" s="23"/>
    </row>
    <row r="27313">
      <c r="B27313" s="19"/>
      <c r="E27313" s="23"/>
      <c r="L27313" s="23"/>
    </row>
    <row r="27314">
      <c r="B27314" s="19"/>
      <c r="E27314" s="23"/>
      <c r="L27314" s="23"/>
    </row>
    <row r="27315">
      <c r="B27315" s="19"/>
      <c r="E27315" s="23"/>
      <c r="L27315" s="23"/>
    </row>
    <row r="27316">
      <c r="B27316" s="19"/>
      <c r="E27316" s="23"/>
      <c r="L27316" s="23"/>
    </row>
    <row r="27317">
      <c r="B27317" s="19"/>
      <c r="E27317" s="23"/>
      <c r="L27317" s="23"/>
    </row>
    <row r="27318">
      <c r="B27318" s="19"/>
      <c r="E27318" s="23"/>
      <c r="L27318" s="23"/>
    </row>
    <row r="27319">
      <c r="B27319" s="19"/>
      <c r="E27319" s="23"/>
      <c r="L27319" s="23"/>
    </row>
    <row r="27320">
      <c r="B27320" s="19"/>
      <c r="E27320" s="23"/>
      <c r="L27320" s="23"/>
    </row>
    <row r="27321">
      <c r="B27321" s="19"/>
      <c r="E27321" s="23"/>
      <c r="L27321" s="23"/>
    </row>
    <row r="27322">
      <c r="B27322" s="19"/>
      <c r="E27322" s="23"/>
      <c r="L27322" s="23"/>
    </row>
    <row r="27323">
      <c r="B27323" s="19"/>
      <c r="E27323" s="23"/>
      <c r="L27323" s="23"/>
    </row>
    <row r="27324">
      <c r="B27324" s="19"/>
      <c r="E27324" s="23"/>
      <c r="L27324" s="23"/>
    </row>
    <row r="27325">
      <c r="B27325" s="19"/>
      <c r="E27325" s="23"/>
      <c r="L27325" s="23"/>
    </row>
    <row r="27326">
      <c r="B27326" s="19"/>
      <c r="E27326" s="23"/>
      <c r="L27326" s="23"/>
    </row>
    <row r="27327">
      <c r="B27327" s="19"/>
      <c r="E27327" s="23"/>
      <c r="L27327" s="23"/>
    </row>
    <row r="27328">
      <c r="B27328" s="19"/>
      <c r="E27328" s="23"/>
      <c r="L27328" s="23"/>
    </row>
    <row r="27329">
      <c r="B27329" s="19"/>
      <c r="E27329" s="23"/>
      <c r="L27329" s="23"/>
    </row>
    <row r="27330">
      <c r="B27330" s="19"/>
      <c r="E27330" s="23"/>
      <c r="L27330" s="23"/>
    </row>
    <row r="27331">
      <c r="B27331" s="19"/>
      <c r="E27331" s="23"/>
      <c r="L27331" s="23"/>
    </row>
    <row r="27332">
      <c r="B27332" s="19"/>
      <c r="E27332" s="23"/>
      <c r="L27332" s="23"/>
    </row>
    <row r="27333">
      <c r="B27333" s="19"/>
      <c r="E27333" s="23"/>
      <c r="L27333" s="23"/>
    </row>
    <row r="27334">
      <c r="B27334" s="19"/>
      <c r="E27334" s="23"/>
      <c r="L27334" s="23"/>
    </row>
    <row r="27335">
      <c r="B27335" s="19"/>
      <c r="E27335" s="23"/>
      <c r="L27335" s="23"/>
    </row>
    <row r="27336">
      <c r="B27336" s="19"/>
      <c r="E27336" s="23"/>
      <c r="L27336" s="23"/>
    </row>
    <row r="27337">
      <c r="B27337" s="19"/>
      <c r="E27337" s="23"/>
      <c r="L27337" s="23"/>
    </row>
    <row r="27338">
      <c r="B27338" s="19"/>
      <c r="E27338" s="23"/>
      <c r="L27338" s="23"/>
    </row>
    <row r="27339">
      <c r="B27339" s="19"/>
      <c r="E27339" s="23"/>
      <c r="L27339" s="23"/>
    </row>
    <row r="27340">
      <c r="B27340" s="19"/>
      <c r="E27340" s="23"/>
      <c r="L27340" s="23"/>
    </row>
    <row r="27341">
      <c r="B27341" s="19"/>
      <c r="E27341" s="23"/>
      <c r="L27341" s="23"/>
    </row>
    <row r="27342">
      <c r="B27342" s="19"/>
      <c r="E27342" s="23"/>
      <c r="L27342" s="23"/>
    </row>
    <row r="27343">
      <c r="B27343" s="19"/>
      <c r="E27343" s="23"/>
      <c r="L27343" s="23"/>
    </row>
    <row r="27344">
      <c r="B27344" s="19"/>
      <c r="E27344" s="23"/>
      <c r="L27344" s="23"/>
    </row>
    <row r="27345">
      <c r="B27345" s="19"/>
      <c r="E27345" s="23"/>
      <c r="L27345" s="23"/>
    </row>
    <row r="27346">
      <c r="B27346" s="19"/>
      <c r="E27346" s="23"/>
      <c r="L27346" s="23"/>
    </row>
    <row r="27347">
      <c r="B27347" s="19"/>
      <c r="E27347" s="23"/>
      <c r="L27347" s="23"/>
    </row>
    <row r="27348">
      <c r="B27348" s="19"/>
      <c r="E27348" s="23"/>
      <c r="L27348" s="23"/>
    </row>
    <row r="27349">
      <c r="B27349" s="19"/>
      <c r="E27349" s="23"/>
      <c r="L27349" s="23"/>
    </row>
    <row r="27350">
      <c r="B27350" s="19"/>
      <c r="E27350" s="23"/>
      <c r="L27350" s="23"/>
    </row>
    <row r="27351">
      <c r="B27351" s="19"/>
      <c r="E27351" s="23"/>
      <c r="L27351" s="23"/>
    </row>
    <row r="27352">
      <c r="B27352" s="19"/>
      <c r="E27352" s="23"/>
      <c r="L27352" s="23"/>
    </row>
    <row r="27353">
      <c r="B27353" s="19"/>
      <c r="E27353" s="23"/>
      <c r="L27353" s="23"/>
    </row>
    <row r="27354">
      <c r="B27354" s="19"/>
      <c r="E27354" s="23"/>
      <c r="L27354" s="23"/>
    </row>
    <row r="27355">
      <c r="B27355" s="19"/>
      <c r="E27355" s="23"/>
      <c r="L27355" s="23"/>
    </row>
    <row r="27356">
      <c r="B27356" s="19"/>
      <c r="E27356" s="23"/>
      <c r="L27356" s="23"/>
    </row>
    <row r="27357">
      <c r="B27357" s="19"/>
      <c r="E27357" s="23"/>
      <c r="L27357" s="23"/>
    </row>
    <row r="27358">
      <c r="B27358" s="19"/>
      <c r="E27358" s="23"/>
      <c r="L27358" s="23"/>
    </row>
    <row r="27359">
      <c r="B27359" s="19"/>
      <c r="E27359" s="23"/>
      <c r="L27359" s="23"/>
    </row>
    <row r="27360">
      <c r="B27360" s="19"/>
      <c r="E27360" s="23"/>
      <c r="L27360" s="23"/>
    </row>
    <row r="27361">
      <c r="B27361" s="19"/>
      <c r="E27361" s="23"/>
      <c r="L27361" s="23"/>
    </row>
    <row r="27362">
      <c r="B27362" s="19"/>
      <c r="E27362" s="23"/>
      <c r="L27362" s="23"/>
    </row>
    <row r="27363">
      <c r="B27363" s="19"/>
      <c r="E27363" s="23"/>
      <c r="L27363" s="23"/>
    </row>
    <row r="27364">
      <c r="B27364" s="19"/>
      <c r="E27364" s="23"/>
      <c r="L27364" s="23"/>
    </row>
    <row r="27365">
      <c r="B27365" s="19"/>
      <c r="E27365" s="23"/>
      <c r="L27365" s="23"/>
    </row>
    <row r="27366">
      <c r="B27366" s="19"/>
      <c r="E27366" s="23"/>
      <c r="L27366" s="23"/>
    </row>
    <row r="27367">
      <c r="B27367" s="19"/>
      <c r="E27367" s="23"/>
      <c r="L27367" s="23"/>
    </row>
    <row r="27368">
      <c r="B27368" s="19"/>
      <c r="E27368" s="23"/>
      <c r="L27368" s="23"/>
    </row>
    <row r="27369">
      <c r="B27369" s="19"/>
      <c r="E27369" s="23"/>
      <c r="L27369" s="23"/>
    </row>
    <row r="27370">
      <c r="B27370" s="19"/>
      <c r="E27370" s="23"/>
      <c r="L27370" s="23"/>
    </row>
    <row r="27371">
      <c r="B27371" s="19"/>
      <c r="E27371" s="23"/>
      <c r="L27371" s="23"/>
    </row>
    <row r="27372">
      <c r="B27372" s="19"/>
      <c r="E27372" s="23"/>
      <c r="L27372" s="23"/>
    </row>
    <row r="27373">
      <c r="B27373" s="19"/>
      <c r="E27373" s="23"/>
      <c r="L27373" s="23"/>
    </row>
    <row r="27374">
      <c r="B27374" s="19"/>
      <c r="E27374" s="23"/>
      <c r="L27374" s="23"/>
    </row>
    <row r="27375">
      <c r="B27375" s="19"/>
      <c r="E27375" s="23"/>
      <c r="L27375" s="23"/>
    </row>
    <row r="27376">
      <c r="B27376" s="19"/>
      <c r="E27376" s="23"/>
      <c r="L27376" s="23"/>
    </row>
    <row r="27377">
      <c r="B27377" s="19"/>
      <c r="E27377" s="23"/>
      <c r="L27377" s="23"/>
    </row>
    <row r="27378">
      <c r="B27378" s="19"/>
      <c r="E27378" s="23"/>
      <c r="L27378" s="23"/>
    </row>
    <row r="27379">
      <c r="B27379" s="19"/>
      <c r="E27379" s="23"/>
      <c r="L27379" s="23"/>
    </row>
    <row r="27380">
      <c r="B27380" s="19"/>
      <c r="E27380" s="23"/>
      <c r="L27380" s="23"/>
    </row>
    <row r="27381">
      <c r="B27381" s="19"/>
      <c r="E27381" s="23"/>
      <c r="L27381" s="23"/>
    </row>
    <row r="27382">
      <c r="B27382" s="19"/>
      <c r="E27382" s="23"/>
      <c r="L27382" s="23"/>
    </row>
    <row r="27383">
      <c r="B27383" s="19"/>
      <c r="E27383" s="23"/>
      <c r="L27383" s="23"/>
    </row>
    <row r="27384">
      <c r="B27384" s="19"/>
      <c r="E27384" s="23"/>
      <c r="L27384" s="23"/>
    </row>
    <row r="27385">
      <c r="B27385" s="19"/>
      <c r="E27385" s="23"/>
      <c r="L27385" s="23"/>
    </row>
    <row r="27386">
      <c r="B27386" s="19"/>
      <c r="E27386" s="23"/>
      <c r="L27386" s="23"/>
    </row>
    <row r="27387">
      <c r="B27387" s="19"/>
      <c r="E27387" s="23"/>
      <c r="L27387" s="23"/>
    </row>
    <row r="27388">
      <c r="B27388" s="19"/>
      <c r="E27388" s="23"/>
      <c r="L27388" s="23"/>
    </row>
    <row r="27389">
      <c r="B27389" s="19"/>
      <c r="E27389" s="23"/>
      <c r="L27389" s="23"/>
    </row>
    <row r="27390">
      <c r="B27390" s="19"/>
      <c r="E27390" s="23"/>
      <c r="L27390" s="23"/>
    </row>
    <row r="27391">
      <c r="B27391" s="19"/>
      <c r="E27391" s="23"/>
      <c r="L27391" s="23"/>
    </row>
    <row r="27392">
      <c r="B27392" s="19"/>
      <c r="E27392" s="23"/>
      <c r="L27392" s="23"/>
    </row>
    <row r="27393">
      <c r="B27393" s="19"/>
      <c r="E27393" s="23"/>
      <c r="L27393" s="23"/>
    </row>
    <row r="27394">
      <c r="B27394" s="19"/>
      <c r="E27394" s="23"/>
      <c r="L27394" s="23"/>
    </row>
    <row r="27395">
      <c r="B27395" s="19"/>
      <c r="E27395" s="23"/>
      <c r="L27395" s="23"/>
    </row>
    <row r="27396">
      <c r="B27396" s="19"/>
      <c r="E27396" s="23"/>
      <c r="L27396" s="23"/>
    </row>
    <row r="27397">
      <c r="B27397" s="19"/>
      <c r="E27397" s="23"/>
      <c r="L27397" s="23"/>
    </row>
    <row r="27398">
      <c r="B27398" s="19"/>
      <c r="E27398" s="23"/>
      <c r="L27398" s="23"/>
    </row>
    <row r="27399">
      <c r="B27399" s="19"/>
      <c r="E27399" s="23"/>
      <c r="L27399" s="23"/>
    </row>
    <row r="27400">
      <c r="B27400" s="19"/>
      <c r="E27400" s="23"/>
      <c r="L27400" s="23"/>
    </row>
    <row r="27401">
      <c r="B27401" s="19"/>
      <c r="E27401" s="23"/>
      <c r="L27401" s="23"/>
    </row>
    <row r="27402">
      <c r="B27402" s="19"/>
      <c r="E27402" s="23"/>
      <c r="L27402" s="23"/>
    </row>
    <row r="27403">
      <c r="B27403" s="19"/>
      <c r="E27403" s="23"/>
      <c r="L27403" s="23"/>
    </row>
    <row r="27404">
      <c r="B27404" s="19"/>
      <c r="E27404" s="23"/>
      <c r="L27404" s="23"/>
    </row>
    <row r="27405">
      <c r="B27405" s="19"/>
      <c r="E27405" s="23"/>
      <c r="L27405" s="23"/>
    </row>
    <row r="27406">
      <c r="B27406" s="19"/>
      <c r="E27406" s="23"/>
      <c r="L27406" s="23"/>
    </row>
    <row r="27407">
      <c r="B27407" s="19"/>
      <c r="E27407" s="23"/>
      <c r="L27407" s="23"/>
    </row>
    <row r="27408">
      <c r="B27408" s="19"/>
      <c r="E27408" s="23"/>
      <c r="L27408" s="23"/>
    </row>
    <row r="27409">
      <c r="B27409" s="19"/>
      <c r="E27409" s="23"/>
      <c r="L27409" s="23"/>
    </row>
    <row r="27410">
      <c r="B27410" s="19"/>
      <c r="E27410" s="23"/>
      <c r="L27410" s="23"/>
    </row>
    <row r="27411">
      <c r="B27411" s="19"/>
      <c r="E27411" s="23"/>
      <c r="L27411" s="23"/>
    </row>
    <row r="27412">
      <c r="B27412" s="19"/>
      <c r="E27412" s="23"/>
      <c r="L27412" s="23"/>
    </row>
    <row r="27413">
      <c r="B27413" s="19"/>
      <c r="E27413" s="23"/>
      <c r="L27413" s="23"/>
    </row>
    <row r="27414">
      <c r="B27414" s="19"/>
      <c r="E27414" s="23"/>
      <c r="L27414" s="23"/>
    </row>
    <row r="27415">
      <c r="B27415" s="19"/>
      <c r="E27415" s="23"/>
      <c r="L27415" s="23"/>
    </row>
    <row r="27416">
      <c r="B27416" s="19"/>
      <c r="E27416" s="23"/>
      <c r="L27416" s="23"/>
    </row>
    <row r="27417">
      <c r="B27417" s="19"/>
      <c r="E27417" s="23"/>
      <c r="L27417" s="23"/>
    </row>
    <row r="27418">
      <c r="B27418" s="19"/>
      <c r="E27418" s="23"/>
      <c r="L27418" s="23"/>
    </row>
    <row r="27419">
      <c r="B27419" s="19"/>
      <c r="E27419" s="23"/>
      <c r="L27419" s="23"/>
    </row>
    <row r="27420">
      <c r="B27420" s="19"/>
      <c r="E27420" s="23"/>
      <c r="L27420" s="23"/>
    </row>
    <row r="27421">
      <c r="B27421" s="19"/>
      <c r="E27421" s="23"/>
      <c r="L27421" s="23"/>
    </row>
    <row r="27422">
      <c r="B27422" s="19"/>
      <c r="E27422" s="23"/>
      <c r="L27422" s="23"/>
    </row>
    <row r="27423">
      <c r="B27423" s="19"/>
      <c r="E27423" s="23"/>
      <c r="L27423" s="23"/>
    </row>
    <row r="27424">
      <c r="B27424" s="19"/>
      <c r="E27424" s="23"/>
      <c r="L27424" s="23"/>
    </row>
    <row r="27425">
      <c r="B27425" s="19"/>
      <c r="E27425" s="23"/>
      <c r="L27425" s="23"/>
    </row>
    <row r="27426">
      <c r="B27426" s="19"/>
      <c r="E27426" s="23"/>
      <c r="L27426" s="23"/>
    </row>
    <row r="27427">
      <c r="B27427" s="19"/>
      <c r="E27427" s="23"/>
      <c r="L27427" s="23"/>
    </row>
    <row r="27428">
      <c r="B27428" s="19"/>
      <c r="E27428" s="23"/>
      <c r="L27428" s="23"/>
    </row>
    <row r="27429">
      <c r="B27429" s="19"/>
      <c r="E27429" s="23"/>
      <c r="L27429" s="23"/>
    </row>
    <row r="27430">
      <c r="B27430" s="19"/>
      <c r="E27430" s="23"/>
      <c r="L27430" s="23"/>
    </row>
    <row r="27431">
      <c r="B27431" s="19"/>
      <c r="E27431" s="23"/>
      <c r="L27431" s="23"/>
    </row>
    <row r="27432">
      <c r="B27432" s="19"/>
      <c r="E27432" s="23"/>
      <c r="L27432" s="23"/>
    </row>
    <row r="27433">
      <c r="B27433" s="19"/>
      <c r="E27433" s="23"/>
      <c r="L27433" s="23"/>
    </row>
    <row r="27434">
      <c r="B27434" s="19"/>
      <c r="E27434" s="23"/>
      <c r="L27434" s="23"/>
    </row>
    <row r="27435">
      <c r="B27435" s="19"/>
      <c r="E27435" s="23"/>
      <c r="L27435" s="23"/>
    </row>
    <row r="27436">
      <c r="B27436" s="19"/>
      <c r="E27436" s="23"/>
      <c r="L27436" s="23"/>
    </row>
    <row r="27437">
      <c r="B27437" s="19"/>
      <c r="E27437" s="23"/>
      <c r="L27437" s="23"/>
    </row>
    <row r="27438">
      <c r="B27438" s="19"/>
      <c r="E27438" s="23"/>
      <c r="L27438" s="23"/>
    </row>
    <row r="27439">
      <c r="B27439" s="19"/>
      <c r="E27439" s="23"/>
      <c r="L27439" s="23"/>
    </row>
    <row r="27440">
      <c r="B27440" s="19"/>
      <c r="E27440" s="23"/>
      <c r="L27440" s="23"/>
    </row>
    <row r="27441">
      <c r="B27441" s="19"/>
      <c r="E27441" s="23"/>
      <c r="L27441" s="23"/>
    </row>
    <row r="27442">
      <c r="B27442" s="19"/>
      <c r="E27442" s="23"/>
      <c r="L27442" s="23"/>
    </row>
    <row r="27443">
      <c r="B27443" s="19"/>
      <c r="E27443" s="23"/>
      <c r="L27443" s="23"/>
    </row>
    <row r="27444">
      <c r="B27444" s="19"/>
      <c r="E27444" s="23"/>
      <c r="L27444" s="23"/>
    </row>
    <row r="27445">
      <c r="B27445" s="19"/>
      <c r="E27445" s="23"/>
      <c r="L27445" s="23"/>
    </row>
    <row r="27446">
      <c r="B27446" s="19"/>
      <c r="E27446" s="23"/>
      <c r="L27446" s="23"/>
    </row>
    <row r="27447">
      <c r="B27447" s="19"/>
      <c r="E27447" s="23"/>
      <c r="L27447" s="23"/>
    </row>
    <row r="27448">
      <c r="B27448" s="19"/>
      <c r="E27448" s="23"/>
      <c r="L27448" s="23"/>
    </row>
    <row r="27449">
      <c r="B27449" s="19"/>
      <c r="E27449" s="23"/>
      <c r="L27449" s="23"/>
    </row>
    <row r="27450">
      <c r="B27450" s="19"/>
      <c r="E27450" s="23"/>
      <c r="L27450" s="23"/>
    </row>
    <row r="27451">
      <c r="B27451" s="19"/>
      <c r="E27451" s="23"/>
      <c r="L27451" s="23"/>
    </row>
    <row r="27452">
      <c r="B27452" s="19"/>
      <c r="E27452" s="23"/>
      <c r="L27452" s="23"/>
    </row>
    <row r="27453">
      <c r="B27453" s="19"/>
      <c r="E27453" s="23"/>
      <c r="L27453" s="23"/>
    </row>
    <row r="27454">
      <c r="B27454" s="19"/>
      <c r="E27454" s="23"/>
      <c r="L27454" s="23"/>
    </row>
    <row r="27455">
      <c r="B27455" s="19"/>
      <c r="E27455" s="23"/>
      <c r="L27455" s="23"/>
    </row>
    <row r="27456">
      <c r="B27456" s="19"/>
      <c r="E27456" s="23"/>
      <c r="L27456" s="23"/>
    </row>
    <row r="27457">
      <c r="B27457" s="19"/>
      <c r="E27457" s="23"/>
      <c r="L27457" s="23"/>
    </row>
    <row r="27458">
      <c r="B27458" s="19"/>
      <c r="E27458" s="23"/>
      <c r="L27458" s="23"/>
    </row>
    <row r="27459">
      <c r="B27459" s="19"/>
      <c r="E27459" s="23"/>
      <c r="L27459" s="23"/>
    </row>
    <row r="27460">
      <c r="B27460" s="19"/>
      <c r="E27460" s="23"/>
      <c r="L27460" s="23"/>
    </row>
    <row r="27461">
      <c r="B27461" s="19"/>
      <c r="E27461" s="23"/>
      <c r="L27461" s="23"/>
    </row>
    <row r="27462">
      <c r="B27462" s="19"/>
      <c r="E27462" s="23"/>
      <c r="L27462" s="23"/>
    </row>
    <row r="27463">
      <c r="B27463" s="19"/>
      <c r="E27463" s="23"/>
      <c r="L27463" s="23"/>
    </row>
    <row r="27464">
      <c r="B27464" s="19"/>
      <c r="E27464" s="23"/>
      <c r="L27464" s="23"/>
    </row>
    <row r="27465">
      <c r="B27465" s="19"/>
      <c r="E27465" s="23"/>
      <c r="L27465" s="23"/>
    </row>
    <row r="27466">
      <c r="B27466" s="19"/>
      <c r="E27466" s="23"/>
      <c r="L27466" s="23"/>
    </row>
    <row r="27467">
      <c r="B27467" s="19"/>
      <c r="E27467" s="23"/>
      <c r="L27467" s="23"/>
    </row>
    <row r="27468">
      <c r="B27468" s="19"/>
      <c r="E27468" s="23"/>
      <c r="L27468" s="23"/>
    </row>
    <row r="27469">
      <c r="B27469" s="19"/>
      <c r="E27469" s="23"/>
      <c r="L27469" s="23"/>
    </row>
    <row r="27470">
      <c r="B27470" s="19"/>
      <c r="E27470" s="23"/>
      <c r="L27470" s="23"/>
    </row>
    <row r="27471">
      <c r="B27471" s="19"/>
      <c r="E27471" s="23"/>
      <c r="L27471" s="23"/>
    </row>
    <row r="27472">
      <c r="B27472" s="19"/>
      <c r="E27472" s="23"/>
      <c r="L27472" s="23"/>
    </row>
    <row r="27473">
      <c r="B27473" s="19"/>
      <c r="E27473" s="23"/>
      <c r="L27473" s="23"/>
    </row>
    <row r="27474">
      <c r="B27474" s="19"/>
      <c r="E27474" s="23"/>
      <c r="L27474" s="23"/>
    </row>
    <row r="27475">
      <c r="B27475" s="19"/>
      <c r="E27475" s="23"/>
      <c r="L27475" s="23"/>
    </row>
    <row r="27476">
      <c r="B27476" s="19"/>
      <c r="E27476" s="23"/>
      <c r="L27476" s="23"/>
    </row>
    <row r="27477">
      <c r="B27477" s="19"/>
      <c r="E27477" s="23"/>
      <c r="L27477" s="23"/>
    </row>
    <row r="27478">
      <c r="B27478" s="19"/>
      <c r="E27478" s="23"/>
      <c r="L27478" s="23"/>
    </row>
    <row r="27479">
      <c r="B27479" s="19"/>
      <c r="E27479" s="23"/>
      <c r="L27479" s="23"/>
    </row>
    <row r="27480">
      <c r="B27480" s="19"/>
      <c r="E27480" s="23"/>
      <c r="L27480" s="23"/>
    </row>
    <row r="27481">
      <c r="B27481" s="19"/>
      <c r="E27481" s="23"/>
      <c r="L27481" s="23"/>
    </row>
    <row r="27482">
      <c r="B27482" s="19"/>
      <c r="E27482" s="23"/>
      <c r="L27482" s="23"/>
    </row>
    <row r="27483">
      <c r="B27483" s="19"/>
      <c r="E27483" s="23"/>
      <c r="L27483" s="23"/>
    </row>
    <row r="27484">
      <c r="B27484" s="19"/>
      <c r="E27484" s="23"/>
      <c r="L27484" s="23"/>
    </row>
    <row r="27485">
      <c r="B27485" s="19"/>
      <c r="E27485" s="23"/>
      <c r="L27485" s="23"/>
    </row>
    <row r="27486">
      <c r="B27486" s="19"/>
      <c r="E27486" s="23"/>
      <c r="L27486" s="23"/>
    </row>
    <row r="27487">
      <c r="B27487" s="19"/>
      <c r="E27487" s="23"/>
      <c r="L27487" s="23"/>
    </row>
    <row r="27488">
      <c r="B27488" s="19"/>
      <c r="E27488" s="23"/>
      <c r="L27488" s="23"/>
    </row>
    <row r="27489">
      <c r="B27489" s="19"/>
      <c r="E27489" s="23"/>
      <c r="L27489" s="23"/>
    </row>
    <row r="27490">
      <c r="B27490" s="19"/>
      <c r="E27490" s="23"/>
      <c r="L27490" s="23"/>
    </row>
    <row r="27491">
      <c r="B27491" s="19"/>
      <c r="E27491" s="23"/>
      <c r="L27491" s="23"/>
    </row>
    <row r="27492">
      <c r="B27492" s="19"/>
      <c r="E27492" s="23"/>
      <c r="L27492" s="23"/>
    </row>
    <row r="27493">
      <c r="B27493" s="19"/>
      <c r="E27493" s="23"/>
      <c r="L27493" s="23"/>
    </row>
    <row r="27494">
      <c r="B27494" s="19"/>
      <c r="E27494" s="23"/>
      <c r="L27494" s="23"/>
    </row>
    <row r="27495">
      <c r="B27495" s="19"/>
      <c r="E27495" s="23"/>
      <c r="L27495" s="23"/>
    </row>
    <row r="27496">
      <c r="B27496" s="19"/>
      <c r="E27496" s="23"/>
      <c r="L27496" s="23"/>
    </row>
    <row r="27497">
      <c r="B27497" s="19"/>
      <c r="E27497" s="23"/>
      <c r="L27497" s="23"/>
    </row>
    <row r="27498">
      <c r="B27498" s="19"/>
      <c r="E27498" s="23"/>
      <c r="L27498" s="23"/>
    </row>
    <row r="27499">
      <c r="B27499" s="19"/>
      <c r="E27499" s="23"/>
      <c r="L27499" s="23"/>
    </row>
    <row r="27500">
      <c r="B27500" s="19"/>
      <c r="E27500" s="23"/>
      <c r="L27500" s="23"/>
    </row>
    <row r="27501">
      <c r="B27501" s="19"/>
      <c r="E27501" s="23"/>
      <c r="L27501" s="23"/>
    </row>
    <row r="27502">
      <c r="B27502" s="19"/>
      <c r="E27502" s="23"/>
      <c r="L27502" s="23"/>
    </row>
    <row r="27503">
      <c r="B27503" s="19"/>
      <c r="E27503" s="23"/>
      <c r="L27503" s="23"/>
    </row>
    <row r="27504">
      <c r="B27504" s="19"/>
      <c r="E27504" s="23"/>
      <c r="L27504" s="23"/>
    </row>
    <row r="27505">
      <c r="B27505" s="19"/>
      <c r="E27505" s="23"/>
      <c r="L27505" s="23"/>
    </row>
    <row r="27506">
      <c r="B27506" s="19"/>
      <c r="E27506" s="23"/>
      <c r="L27506" s="23"/>
    </row>
    <row r="27507">
      <c r="B27507" s="19"/>
      <c r="E27507" s="23"/>
      <c r="L27507" s="23"/>
    </row>
    <row r="27508">
      <c r="B27508" s="19"/>
      <c r="E27508" s="23"/>
      <c r="L27508" s="23"/>
    </row>
    <row r="27509">
      <c r="B27509" s="19"/>
      <c r="E27509" s="23"/>
      <c r="L27509" s="23"/>
    </row>
    <row r="27510">
      <c r="B27510" s="19"/>
      <c r="E27510" s="23"/>
      <c r="L27510" s="23"/>
    </row>
    <row r="27511">
      <c r="B27511" s="19"/>
      <c r="E27511" s="23"/>
      <c r="L27511" s="23"/>
    </row>
    <row r="27512">
      <c r="B27512" s="19"/>
      <c r="E27512" s="23"/>
      <c r="L27512" s="23"/>
    </row>
    <row r="27513">
      <c r="B27513" s="19"/>
      <c r="E27513" s="23"/>
      <c r="L27513" s="23"/>
    </row>
    <row r="27514">
      <c r="B27514" s="19"/>
      <c r="E27514" s="23"/>
      <c r="L27514" s="23"/>
    </row>
    <row r="27515">
      <c r="B27515" s="19"/>
      <c r="E27515" s="23"/>
      <c r="L27515" s="23"/>
    </row>
    <row r="27516">
      <c r="B27516" s="19"/>
      <c r="E27516" s="23"/>
      <c r="L27516" s="23"/>
    </row>
    <row r="27517">
      <c r="B27517" s="19"/>
      <c r="E27517" s="23"/>
      <c r="L27517" s="23"/>
    </row>
    <row r="27518">
      <c r="B27518" s="19"/>
      <c r="E27518" s="23"/>
      <c r="L27518" s="23"/>
    </row>
    <row r="27519">
      <c r="B27519" s="19"/>
      <c r="E27519" s="23"/>
      <c r="L27519" s="23"/>
    </row>
    <row r="27520">
      <c r="B27520" s="19"/>
      <c r="E27520" s="23"/>
      <c r="L27520" s="23"/>
    </row>
    <row r="27521">
      <c r="B27521" s="19"/>
      <c r="E27521" s="23"/>
      <c r="L27521" s="23"/>
    </row>
    <row r="27522">
      <c r="B27522" s="19"/>
      <c r="E27522" s="23"/>
      <c r="L27522" s="23"/>
    </row>
    <row r="27523">
      <c r="B27523" s="19"/>
      <c r="E27523" s="23"/>
      <c r="L27523" s="23"/>
    </row>
    <row r="27524">
      <c r="B27524" s="19"/>
      <c r="E27524" s="23"/>
      <c r="L27524" s="23"/>
    </row>
    <row r="27525">
      <c r="B27525" s="19"/>
      <c r="E27525" s="23"/>
      <c r="L27525" s="23"/>
    </row>
    <row r="27526">
      <c r="B27526" s="19"/>
      <c r="E27526" s="23"/>
      <c r="L27526" s="23"/>
    </row>
    <row r="27527">
      <c r="B27527" s="19"/>
      <c r="E27527" s="23"/>
      <c r="L27527" s="23"/>
    </row>
    <row r="27528">
      <c r="B27528" s="19"/>
      <c r="E27528" s="23"/>
      <c r="L27528" s="23"/>
    </row>
    <row r="27529">
      <c r="B27529" s="19"/>
      <c r="E27529" s="23"/>
      <c r="L27529" s="23"/>
    </row>
    <row r="27530">
      <c r="B27530" s="19"/>
      <c r="E27530" s="23"/>
      <c r="L27530" s="23"/>
    </row>
    <row r="27531">
      <c r="B27531" s="19"/>
      <c r="E27531" s="23"/>
      <c r="L27531" s="23"/>
    </row>
    <row r="27532">
      <c r="B27532" s="19"/>
      <c r="E27532" s="23"/>
      <c r="L27532" s="23"/>
    </row>
    <row r="27533">
      <c r="B27533" s="19"/>
      <c r="E27533" s="23"/>
      <c r="L27533" s="23"/>
    </row>
    <row r="27534">
      <c r="B27534" s="19"/>
      <c r="E27534" s="23"/>
      <c r="L27534" s="23"/>
    </row>
    <row r="27535">
      <c r="B27535" s="19"/>
      <c r="E27535" s="23"/>
      <c r="L27535" s="23"/>
    </row>
    <row r="27536">
      <c r="B27536" s="19"/>
      <c r="E27536" s="23"/>
      <c r="L27536" s="23"/>
    </row>
    <row r="27537">
      <c r="B27537" s="19"/>
      <c r="E27537" s="23"/>
      <c r="L27537" s="23"/>
    </row>
    <row r="27538">
      <c r="B27538" s="19"/>
      <c r="E27538" s="23"/>
      <c r="L27538" s="23"/>
    </row>
    <row r="27539">
      <c r="B27539" s="19"/>
      <c r="E27539" s="23"/>
      <c r="L27539" s="23"/>
    </row>
    <row r="27540">
      <c r="B27540" s="19"/>
      <c r="E27540" s="23"/>
      <c r="L27540" s="23"/>
    </row>
    <row r="27541">
      <c r="B27541" s="19"/>
      <c r="E27541" s="23"/>
      <c r="L27541" s="23"/>
    </row>
    <row r="27542">
      <c r="B27542" s="19"/>
      <c r="E27542" s="23"/>
      <c r="L27542" s="23"/>
    </row>
    <row r="27543">
      <c r="B27543" s="19"/>
      <c r="E27543" s="23"/>
      <c r="L27543" s="23"/>
    </row>
    <row r="27544">
      <c r="B27544" s="19"/>
      <c r="E27544" s="23"/>
      <c r="L27544" s="23"/>
    </row>
    <row r="27545">
      <c r="B27545" s="19"/>
      <c r="E27545" s="23"/>
      <c r="L27545" s="23"/>
    </row>
    <row r="27546">
      <c r="B27546" s="19"/>
      <c r="E27546" s="23"/>
      <c r="L27546" s="23"/>
    </row>
    <row r="27547">
      <c r="B27547" s="19"/>
      <c r="E27547" s="23"/>
      <c r="L27547" s="23"/>
    </row>
    <row r="27548">
      <c r="B27548" s="19"/>
      <c r="E27548" s="23"/>
      <c r="L27548" s="23"/>
    </row>
    <row r="27549">
      <c r="B27549" s="19"/>
      <c r="E27549" s="23"/>
      <c r="L27549" s="23"/>
    </row>
    <row r="27550">
      <c r="B27550" s="19"/>
      <c r="E27550" s="23"/>
      <c r="L27550" s="23"/>
    </row>
    <row r="27551">
      <c r="B27551" s="19"/>
      <c r="E27551" s="23"/>
      <c r="L27551" s="23"/>
    </row>
    <row r="27552">
      <c r="B27552" s="19"/>
      <c r="E27552" s="23"/>
      <c r="L27552" s="23"/>
    </row>
    <row r="27553">
      <c r="B27553" s="19"/>
      <c r="E27553" s="23"/>
      <c r="L27553" s="23"/>
    </row>
    <row r="27554">
      <c r="B27554" s="19"/>
      <c r="E27554" s="23"/>
      <c r="L27554" s="23"/>
    </row>
    <row r="27555">
      <c r="B27555" s="19"/>
      <c r="E27555" s="23"/>
      <c r="L27555" s="23"/>
    </row>
    <row r="27556">
      <c r="B27556" s="19"/>
      <c r="E27556" s="23"/>
      <c r="L27556" s="23"/>
    </row>
    <row r="27557">
      <c r="B27557" s="19"/>
      <c r="E27557" s="23"/>
      <c r="L27557" s="23"/>
    </row>
    <row r="27558">
      <c r="B27558" s="19"/>
      <c r="E27558" s="23"/>
      <c r="L27558" s="23"/>
    </row>
    <row r="27559">
      <c r="B27559" s="19"/>
      <c r="E27559" s="23"/>
      <c r="L27559" s="23"/>
    </row>
    <row r="27560">
      <c r="B27560" s="19"/>
      <c r="E27560" s="23"/>
      <c r="L27560" s="23"/>
    </row>
    <row r="27561">
      <c r="B27561" s="19"/>
      <c r="E27561" s="23"/>
      <c r="L27561" s="23"/>
    </row>
    <row r="27562">
      <c r="B27562" s="19"/>
      <c r="E27562" s="23"/>
      <c r="L27562" s="23"/>
    </row>
    <row r="27563">
      <c r="B27563" s="19"/>
      <c r="E27563" s="23"/>
      <c r="L27563" s="23"/>
    </row>
    <row r="27564">
      <c r="B27564" s="19"/>
      <c r="E27564" s="23"/>
      <c r="L27564" s="23"/>
    </row>
    <row r="27565">
      <c r="B27565" s="19"/>
      <c r="E27565" s="23"/>
      <c r="L27565" s="23"/>
    </row>
    <row r="27566">
      <c r="B27566" s="19"/>
      <c r="E27566" s="23"/>
      <c r="L27566" s="23"/>
    </row>
    <row r="27567">
      <c r="B27567" s="19"/>
      <c r="E27567" s="23"/>
      <c r="L27567" s="23"/>
    </row>
    <row r="27568">
      <c r="B27568" s="19"/>
      <c r="E27568" s="23"/>
      <c r="L27568" s="23"/>
    </row>
    <row r="27569">
      <c r="B27569" s="19"/>
      <c r="E27569" s="23"/>
      <c r="L27569" s="23"/>
    </row>
    <row r="27570">
      <c r="B27570" s="19"/>
      <c r="E27570" s="23"/>
      <c r="L27570" s="23"/>
    </row>
    <row r="27571">
      <c r="B27571" s="19"/>
      <c r="E27571" s="23"/>
      <c r="L27571" s="23"/>
    </row>
    <row r="27572">
      <c r="B27572" s="19"/>
      <c r="E27572" s="23"/>
      <c r="L27572" s="23"/>
    </row>
    <row r="27573">
      <c r="B27573" s="19"/>
      <c r="E27573" s="23"/>
      <c r="L27573" s="23"/>
    </row>
    <row r="27574">
      <c r="B27574" s="19"/>
      <c r="E27574" s="23"/>
      <c r="L27574" s="23"/>
    </row>
    <row r="27575">
      <c r="B27575" s="19"/>
      <c r="E27575" s="23"/>
      <c r="L27575" s="23"/>
    </row>
    <row r="27576">
      <c r="B27576" s="19"/>
      <c r="E27576" s="23"/>
      <c r="L27576" s="23"/>
    </row>
    <row r="27577">
      <c r="B27577" s="19"/>
      <c r="E27577" s="23"/>
      <c r="L27577" s="23"/>
    </row>
    <row r="27578">
      <c r="B27578" s="19"/>
      <c r="E27578" s="23"/>
      <c r="L27578" s="23"/>
    </row>
    <row r="27579">
      <c r="B27579" s="19"/>
      <c r="E27579" s="23"/>
      <c r="L27579" s="23"/>
    </row>
    <row r="27580">
      <c r="B27580" s="19"/>
      <c r="E27580" s="23"/>
      <c r="L27580" s="23"/>
    </row>
    <row r="27581">
      <c r="B27581" s="19"/>
      <c r="E27581" s="23"/>
      <c r="L27581" s="23"/>
    </row>
    <row r="27582">
      <c r="B27582" s="19"/>
      <c r="E27582" s="23"/>
      <c r="L27582" s="23"/>
    </row>
    <row r="27583">
      <c r="B27583" s="19"/>
      <c r="E27583" s="23"/>
      <c r="L27583" s="23"/>
    </row>
    <row r="27584">
      <c r="B27584" s="19"/>
      <c r="E27584" s="23"/>
      <c r="L27584" s="23"/>
    </row>
    <row r="27585">
      <c r="B27585" s="19"/>
      <c r="E27585" s="23"/>
      <c r="L27585" s="23"/>
    </row>
    <row r="27586">
      <c r="B27586" s="19"/>
      <c r="E27586" s="23"/>
      <c r="L27586" s="23"/>
    </row>
    <row r="27587">
      <c r="B27587" s="19"/>
      <c r="E27587" s="23"/>
      <c r="L27587" s="23"/>
    </row>
    <row r="27588">
      <c r="B27588" s="19"/>
      <c r="E27588" s="23"/>
      <c r="L27588" s="23"/>
    </row>
    <row r="27589">
      <c r="B27589" s="19"/>
      <c r="E27589" s="23"/>
      <c r="L27589" s="23"/>
    </row>
    <row r="27590">
      <c r="B27590" s="19"/>
      <c r="E27590" s="23"/>
      <c r="L27590" s="23"/>
    </row>
    <row r="27591">
      <c r="B27591" s="19"/>
      <c r="E27591" s="23"/>
      <c r="L27591" s="23"/>
    </row>
    <row r="27592">
      <c r="B27592" s="19"/>
      <c r="E27592" s="23"/>
      <c r="L27592" s="23"/>
    </row>
    <row r="27593">
      <c r="B27593" s="19"/>
      <c r="E27593" s="23"/>
      <c r="L27593" s="23"/>
    </row>
    <row r="27594">
      <c r="B27594" s="19"/>
      <c r="E27594" s="23"/>
      <c r="L27594" s="23"/>
    </row>
    <row r="27595">
      <c r="B27595" s="19"/>
      <c r="E27595" s="23"/>
      <c r="L27595" s="23"/>
    </row>
    <row r="27596">
      <c r="B27596" s="19"/>
      <c r="E27596" s="23"/>
      <c r="L27596" s="23"/>
    </row>
    <row r="27597">
      <c r="B27597" s="19"/>
      <c r="E27597" s="23"/>
      <c r="L27597" s="23"/>
    </row>
    <row r="27598">
      <c r="B27598" s="19"/>
      <c r="E27598" s="23"/>
      <c r="L27598" s="23"/>
    </row>
    <row r="27599">
      <c r="B27599" s="19"/>
      <c r="E27599" s="23"/>
      <c r="L27599" s="23"/>
    </row>
    <row r="27600">
      <c r="B27600" s="19"/>
      <c r="E27600" s="23"/>
      <c r="L27600" s="23"/>
    </row>
    <row r="27601">
      <c r="B27601" s="19"/>
      <c r="E27601" s="23"/>
      <c r="L27601" s="23"/>
    </row>
    <row r="27602">
      <c r="B27602" s="19"/>
      <c r="E27602" s="23"/>
      <c r="L27602" s="23"/>
    </row>
    <row r="27603">
      <c r="B27603" s="19"/>
      <c r="E27603" s="23"/>
      <c r="L27603" s="23"/>
    </row>
    <row r="27604">
      <c r="B27604" s="19"/>
      <c r="E27604" s="23"/>
      <c r="L27604" s="23"/>
    </row>
    <row r="27605">
      <c r="B27605" s="19"/>
      <c r="E27605" s="23"/>
      <c r="L27605" s="23"/>
    </row>
    <row r="27606">
      <c r="B27606" s="19"/>
      <c r="E27606" s="23"/>
      <c r="L27606" s="23"/>
    </row>
    <row r="27607">
      <c r="B27607" s="19"/>
      <c r="E27607" s="23"/>
      <c r="L27607" s="23"/>
    </row>
    <row r="27608">
      <c r="B27608" s="19"/>
      <c r="E27608" s="23"/>
      <c r="L27608" s="23"/>
    </row>
    <row r="27609">
      <c r="B27609" s="19"/>
      <c r="E27609" s="23"/>
      <c r="L27609" s="23"/>
    </row>
    <row r="27610">
      <c r="B27610" s="19"/>
      <c r="E27610" s="23"/>
      <c r="L27610" s="23"/>
    </row>
    <row r="27611">
      <c r="B27611" s="19"/>
      <c r="E27611" s="23"/>
      <c r="L27611" s="23"/>
    </row>
    <row r="27612">
      <c r="B27612" s="19"/>
      <c r="E27612" s="23"/>
      <c r="L27612" s="23"/>
    </row>
    <row r="27613">
      <c r="B27613" s="19"/>
      <c r="E27613" s="23"/>
      <c r="L27613" s="23"/>
    </row>
    <row r="27614">
      <c r="B27614" s="19"/>
      <c r="E27614" s="23"/>
      <c r="L27614" s="23"/>
    </row>
    <row r="27615">
      <c r="B27615" s="19"/>
      <c r="E27615" s="23"/>
      <c r="L27615" s="23"/>
    </row>
    <row r="27616">
      <c r="B27616" s="19"/>
      <c r="E27616" s="23"/>
      <c r="L27616" s="23"/>
    </row>
    <row r="27617">
      <c r="B27617" s="19"/>
      <c r="E27617" s="23"/>
      <c r="L27617" s="23"/>
    </row>
    <row r="27618">
      <c r="B27618" s="19"/>
      <c r="E27618" s="23"/>
      <c r="L27618" s="23"/>
    </row>
    <row r="27619">
      <c r="B27619" s="19"/>
      <c r="E27619" s="23"/>
      <c r="L27619" s="23"/>
    </row>
    <row r="27620">
      <c r="B27620" s="19"/>
      <c r="E27620" s="23"/>
      <c r="L27620" s="23"/>
    </row>
    <row r="27621">
      <c r="B27621" s="19"/>
      <c r="E27621" s="23"/>
      <c r="L27621" s="23"/>
    </row>
    <row r="27622">
      <c r="B27622" s="19"/>
      <c r="E27622" s="23"/>
      <c r="L27622" s="23"/>
    </row>
    <row r="27623">
      <c r="B27623" s="19"/>
      <c r="E27623" s="23"/>
      <c r="L27623" s="23"/>
    </row>
    <row r="27624">
      <c r="B27624" s="19"/>
      <c r="E27624" s="23"/>
      <c r="L27624" s="23"/>
    </row>
    <row r="27625">
      <c r="B27625" s="19"/>
      <c r="E27625" s="23"/>
      <c r="L27625" s="23"/>
    </row>
    <row r="27626">
      <c r="B27626" s="19"/>
      <c r="E27626" s="23"/>
      <c r="L27626" s="23"/>
    </row>
    <row r="27627">
      <c r="B27627" s="19"/>
      <c r="E27627" s="23"/>
      <c r="L27627" s="23"/>
    </row>
    <row r="27628">
      <c r="B27628" s="19"/>
      <c r="E27628" s="23"/>
      <c r="L27628" s="23"/>
    </row>
    <row r="27629">
      <c r="B27629" s="19"/>
      <c r="E27629" s="23"/>
      <c r="L27629" s="23"/>
    </row>
    <row r="27630">
      <c r="B27630" s="19"/>
      <c r="E27630" s="23"/>
      <c r="L27630" s="23"/>
    </row>
    <row r="27631">
      <c r="B27631" s="19"/>
      <c r="E27631" s="23"/>
      <c r="L27631" s="23"/>
    </row>
    <row r="27632">
      <c r="B27632" s="19"/>
      <c r="E27632" s="23"/>
      <c r="L27632" s="23"/>
    </row>
    <row r="27633">
      <c r="B27633" s="19"/>
      <c r="E27633" s="23"/>
      <c r="L27633" s="23"/>
    </row>
    <row r="27634">
      <c r="B27634" s="19"/>
      <c r="E27634" s="23"/>
      <c r="L27634" s="23"/>
    </row>
    <row r="27635">
      <c r="B27635" s="19"/>
      <c r="E27635" s="23"/>
      <c r="L27635" s="23"/>
    </row>
    <row r="27636">
      <c r="B27636" s="19"/>
      <c r="E27636" s="23"/>
      <c r="L27636" s="23"/>
    </row>
    <row r="27637">
      <c r="B27637" s="19"/>
      <c r="E27637" s="23"/>
      <c r="L27637" s="23"/>
    </row>
    <row r="27638">
      <c r="B27638" s="19"/>
      <c r="E27638" s="23"/>
      <c r="L27638" s="23"/>
    </row>
    <row r="27639">
      <c r="B27639" s="19"/>
      <c r="E27639" s="23"/>
      <c r="L27639" s="23"/>
    </row>
    <row r="27640">
      <c r="B27640" s="19"/>
      <c r="E27640" s="23"/>
      <c r="L27640" s="23"/>
    </row>
    <row r="27641">
      <c r="B27641" s="19"/>
      <c r="E27641" s="23"/>
      <c r="L27641" s="23"/>
    </row>
    <row r="27642">
      <c r="B27642" s="19"/>
      <c r="E27642" s="23"/>
      <c r="L27642" s="23"/>
    </row>
    <row r="27643">
      <c r="B27643" s="19"/>
      <c r="E27643" s="23"/>
      <c r="L27643" s="23"/>
    </row>
    <row r="27644">
      <c r="B27644" s="19"/>
      <c r="E27644" s="23"/>
      <c r="L27644" s="23"/>
    </row>
    <row r="27645">
      <c r="B27645" s="19"/>
      <c r="E27645" s="23"/>
      <c r="L27645" s="23"/>
    </row>
    <row r="27646">
      <c r="B27646" s="19"/>
      <c r="E27646" s="23"/>
      <c r="L27646" s="23"/>
    </row>
    <row r="27647">
      <c r="B27647" s="19"/>
      <c r="E27647" s="23"/>
      <c r="L27647" s="23"/>
    </row>
    <row r="27648">
      <c r="B27648" s="19"/>
      <c r="E27648" s="23"/>
      <c r="L27648" s="23"/>
    </row>
    <row r="27649">
      <c r="B27649" s="19"/>
      <c r="E27649" s="23"/>
      <c r="L27649" s="23"/>
    </row>
    <row r="27650">
      <c r="B27650" s="19"/>
      <c r="E27650" s="23"/>
      <c r="L27650" s="23"/>
    </row>
    <row r="27651">
      <c r="B27651" s="19"/>
      <c r="E27651" s="23"/>
      <c r="L27651" s="23"/>
    </row>
    <row r="27652">
      <c r="B27652" s="19"/>
      <c r="E27652" s="23"/>
      <c r="L27652" s="23"/>
    </row>
    <row r="27653">
      <c r="B27653" s="19"/>
      <c r="E27653" s="23"/>
      <c r="L27653" s="23"/>
    </row>
    <row r="27654">
      <c r="B27654" s="19"/>
      <c r="E27654" s="23"/>
      <c r="L27654" s="23"/>
    </row>
    <row r="27655">
      <c r="B27655" s="19"/>
      <c r="E27655" s="23"/>
      <c r="L27655" s="23"/>
    </row>
    <row r="27656">
      <c r="B27656" s="19"/>
      <c r="E27656" s="23"/>
      <c r="L27656" s="23"/>
    </row>
    <row r="27657">
      <c r="B27657" s="19"/>
      <c r="E27657" s="23"/>
      <c r="L27657" s="23"/>
    </row>
    <row r="27658">
      <c r="B27658" s="19"/>
      <c r="E27658" s="23"/>
      <c r="L27658" s="23"/>
    </row>
    <row r="27659">
      <c r="B27659" s="19"/>
      <c r="E27659" s="23"/>
      <c r="L27659" s="23"/>
    </row>
    <row r="27660">
      <c r="B27660" s="19"/>
      <c r="E27660" s="23"/>
      <c r="L27660" s="23"/>
    </row>
    <row r="27661">
      <c r="B27661" s="19"/>
      <c r="E27661" s="23"/>
      <c r="L27661" s="23"/>
    </row>
    <row r="27662">
      <c r="B27662" s="19"/>
      <c r="E27662" s="23"/>
      <c r="L27662" s="23"/>
    </row>
    <row r="27663">
      <c r="B27663" s="19"/>
      <c r="E27663" s="23"/>
      <c r="L27663" s="23"/>
    </row>
    <row r="27664">
      <c r="B27664" s="19"/>
      <c r="E27664" s="23"/>
      <c r="L27664" s="23"/>
    </row>
    <row r="27665">
      <c r="B27665" s="19"/>
      <c r="E27665" s="23"/>
      <c r="L27665" s="23"/>
    </row>
    <row r="27666">
      <c r="B27666" s="19"/>
      <c r="E27666" s="23"/>
      <c r="L27666" s="23"/>
    </row>
    <row r="27667">
      <c r="B27667" s="19"/>
      <c r="E27667" s="23"/>
      <c r="L27667" s="23"/>
    </row>
    <row r="27668">
      <c r="B27668" s="19"/>
      <c r="E27668" s="23"/>
      <c r="L27668" s="23"/>
    </row>
    <row r="27669">
      <c r="B27669" s="19"/>
      <c r="E27669" s="23"/>
      <c r="L27669" s="23"/>
    </row>
    <row r="27670">
      <c r="B27670" s="19"/>
      <c r="E27670" s="23"/>
      <c r="L27670" s="23"/>
    </row>
    <row r="27671">
      <c r="B27671" s="19"/>
      <c r="E27671" s="23"/>
      <c r="L27671" s="23"/>
    </row>
    <row r="27672">
      <c r="B27672" s="19"/>
      <c r="E27672" s="23"/>
      <c r="L27672" s="23"/>
    </row>
    <row r="27673">
      <c r="B27673" s="19"/>
      <c r="E27673" s="23"/>
      <c r="L27673" s="23"/>
    </row>
    <row r="27674">
      <c r="B27674" s="19"/>
      <c r="E27674" s="23"/>
      <c r="L27674" s="23"/>
    </row>
    <row r="27675">
      <c r="B27675" s="19"/>
      <c r="E27675" s="23"/>
      <c r="L27675" s="23"/>
    </row>
    <row r="27676">
      <c r="B27676" s="19"/>
      <c r="E27676" s="23"/>
      <c r="L27676" s="23"/>
    </row>
    <row r="27677">
      <c r="B27677" s="19"/>
      <c r="E27677" s="23"/>
      <c r="L27677" s="23"/>
    </row>
    <row r="27678">
      <c r="B27678" s="19"/>
      <c r="E27678" s="23"/>
      <c r="L27678" s="23"/>
    </row>
    <row r="27679">
      <c r="B27679" s="19"/>
      <c r="E27679" s="23"/>
      <c r="L27679" s="23"/>
    </row>
    <row r="27680">
      <c r="B27680" s="19"/>
      <c r="E27680" s="23"/>
      <c r="L27680" s="23"/>
    </row>
    <row r="27681">
      <c r="B27681" s="19"/>
      <c r="E27681" s="23"/>
      <c r="L27681" s="23"/>
    </row>
    <row r="27682">
      <c r="B27682" s="19"/>
      <c r="E27682" s="23"/>
      <c r="L27682" s="23"/>
    </row>
    <row r="27683">
      <c r="B27683" s="19"/>
      <c r="E27683" s="23"/>
      <c r="L27683" s="23"/>
    </row>
    <row r="27684">
      <c r="B27684" s="19"/>
      <c r="E27684" s="23"/>
      <c r="L27684" s="23"/>
    </row>
    <row r="27685">
      <c r="B27685" s="19"/>
      <c r="E27685" s="23"/>
      <c r="L27685" s="23"/>
    </row>
    <row r="27686">
      <c r="B27686" s="19"/>
      <c r="E27686" s="23"/>
      <c r="L27686" s="23"/>
    </row>
    <row r="27687">
      <c r="B27687" s="19"/>
      <c r="E27687" s="23"/>
      <c r="L27687" s="23"/>
    </row>
    <row r="27688">
      <c r="B27688" s="19"/>
      <c r="E27688" s="23"/>
      <c r="L27688" s="23"/>
    </row>
    <row r="27689">
      <c r="B27689" s="19"/>
      <c r="E27689" s="23"/>
      <c r="L27689" s="23"/>
    </row>
    <row r="27690">
      <c r="B27690" s="19"/>
      <c r="E27690" s="23"/>
      <c r="L27690" s="23"/>
    </row>
    <row r="27691">
      <c r="B27691" s="19"/>
      <c r="E27691" s="23"/>
      <c r="L27691" s="23"/>
    </row>
    <row r="27692">
      <c r="B27692" s="19"/>
      <c r="E27692" s="23"/>
      <c r="L27692" s="23"/>
    </row>
    <row r="27693">
      <c r="B27693" s="19"/>
      <c r="E27693" s="23"/>
      <c r="L27693" s="23"/>
    </row>
    <row r="27694">
      <c r="B27694" s="19"/>
      <c r="E27694" s="23"/>
      <c r="L27694" s="23"/>
    </row>
    <row r="27695">
      <c r="B27695" s="19"/>
      <c r="E27695" s="23"/>
      <c r="L27695" s="23"/>
    </row>
    <row r="27696">
      <c r="B27696" s="19"/>
      <c r="E27696" s="23"/>
      <c r="L27696" s="23"/>
    </row>
    <row r="27697">
      <c r="B27697" s="19"/>
      <c r="E27697" s="23"/>
      <c r="L27697" s="23"/>
    </row>
    <row r="27698">
      <c r="B27698" s="19"/>
      <c r="E27698" s="23"/>
      <c r="L27698" s="23"/>
    </row>
    <row r="27699">
      <c r="B27699" s="19"/>
      <c r="E27699" s="23"/>
      <c r="L27699" s="23"/>
    </row>
    <row r="27700">
      <c r="B27700" s="19"/>
      <c r="E27700" s="23"/>
      <c r="L27700" s="23"/>
    </row>
    <row r="27701">
      <c r="B27701" s="19"/>
      <c r="E27701" s="23"/>
      <c r="L27701" s="23"/>
    </row>
    <row r="27702">
      <c r="B27702" s="19"/>
      <c r="E27702" s="23"/>
      <c r="L27702" s="23"/>
    </row>
    <row r="27703">
      <c r="B27703" s="19"/>
      <c r="E27703" s="23"/>
      <c r="L27703" s="23"/>
    </row>
    <row r="27704">
      <c r="B27704" s="19"/>
      <c r="E27704" s="23"/>
      <c r="L27704" s="23"/>
    </row>
    <row r="27705">
      <c r="B27705" s="19"/>
      <c r="E27705" s="23"/>
      <c r="L27705" s="23"/>
    </row>
    <row r="27706">
      <c r="B27706" s="19"/>
      <c r="E27706" s="23"/>
      <c r="L27706" s="23"/>
    </row>
    <row r="27707">
      <c r="B27707" s="19"/>
      <c r="E27707" s="23"/>
      <c r="L27707" s="23"/>
    </row>
    <row r="27708">
      <c r="B27708" s="19"/>
      <c r="E27708" s="23"/>
      <c r="L27708" s="23"/>
    </row>
    <row r="27709">
      <c r="B27709" s="19"/>
      <c r="E27709" s="23"/>
      <c r="L27709" s="23"/>
    </row>
    <row r="27710">
      <c r="B27710" s="19"/>
      <c r="E27710" s="23"/>
      <c r="L27710" s="23"/>
    </row>
    <row r="27711">
      <c r="B27711" s="19"/>
      <c r="E27711" s="23"/>
      <c r="L27711" s="23"/>
    </row>
    <row r="27712">
      <c r="B27712" s="19"/>
      <c r="E27712" s="23"/>
      <c r="L27712" s="23"/>
    </row>
    <row r="27713">
      <c r="B27713" s="19"/>
      <c r="E27713" s="23"/>
      <c r="L27713" s="23"/>
    </row>
    <row r="27714">
      <c r="B27714" s="19"/>
      <c r="E27714" s="23"/>
      <c r="L27714" s="23"/>
    </row>
    <row r="27715">
      <c r="B27715" s="19"/>
      <c r="E27715" s="23"/>
      <c r="L27715" s="23"/>
    </row>
    <row r="27716">
      <c r="B27716" s="19"/>
      <c r="E27716" s="23"/>
      <c r="L27716" s="23"/>
    </row>
    <row r="27717">
      <c r="B27717" s="19"/>
      <c r="E27717" s="23"/>
      <c r="L27717" s="23"/>
    </row>
    <row r="27718">
      <c r="B27718" s="19"/>
      <c r="E27718" s="23"/>
      <c r="L27718" s="23"/>
    </row>
    <row r="27719">
      <c r="B27719" s="19"/>
      <c r="E27719" s="23"/>
      <c r="L27719" s="23"/>
    </row>
    <row r="27720">
      <c r="B27720" s="19"/>
      <c r="E27720" s="23"/>
      <c r="L27720" s="23"/>
    </row>
    <row r="27721">
      <c r="B27721" s="19"/>
      <c r="E27721" s="23"/>
      <c r="L27721" s="23"/>
    </row>
    <row r="27722">
      <c r="B27722" s="19"/>
      <c r="E27722" s="23"/>
      <c r="L27722" s="23"/>
    </row>
    <row r="27723">
      <c r="B27723" s="19"/>
      <c r="E27723" s="23"/>
      <c r="L27723" s="23"/>
    </row>
    <row r="27724">
      <c r="B27724" s="19"/>
      <c r="E27724" s="23"/>
      <c r="L27724" s="23"/>
    </row>
    <row r="27725">
      <c r="B27725" s="19"/>
      <c r="E27725" s="23"/>
      <c r="L27725" s="23"/>
    </row>
    <row r="27726">
      <c r="B27726" s="19"/>
      <c r="E27726" s="23"/>
      <c r="L27726" s="23"/>
    </row>
    <row r="27727">
      <c r="B27727" s="19"/>
      <c r="E27727" s="23"/>
      <c r="L27727" s="23"/>
    </row>
    <row r="27728">
      <c r="B27728" s="19"/>
      <c r="E27728" s="23"/>
      <c r="L27728" s="23"/>
    </row>
    <row r="27729">
      <c r="B27729" s="19"/>
      <c r="E27729" s="23"/>
      <c r="L27729" s="23"/>
    </row>
    <row r="27730">
      <c r="B27730" s="19"/>
      <c r="E27730" s="23"/>
      <c r="L27730" s="23"/>
    </row>
    <row r="27731">
      <c r="B27731" s="19"/>
      <c r="E27731" s="23"/>
      <c r="L27731" s="23"/>
    </row>
    <row r="27732">
      <c r="B27732" s="19"/>
      <c r="E27732" s="23"/>
      <c r="L27732" s="23"/>
    </row>
    <row r="27733">
      <c r="B27733" s="19"/>
      <c r="E27733" s="23"/>
      <c r="L27733" s="23"/>
    </row>
    <row r="27734">
      <c r="B27734" s="19"/>
      <c r="E27734" s="23"/>
      <c r="L27734" s="23"/>
    </row>
    <row r="27735">
      <c r="B27735" s="19"/>
      <c r="E27735" s="23"/>
      <c r="L27735" s="23"/>
    </row>
    <row r="27736">
      <c r="B27736" s="19"/>
      <c r="E27736" s="23"/>
      <c r="L27736" s="23"/>
    </row>
    <row r="27737">
      <c r="B27737" s="19"/>
      <c r="E27737" s="23"/>
      <c r="L27737" s="23"/>
    </row>
    <row r="27738">
      <c r="B27738" s="19"/>
      <c r="E27738" s="23"/>
      <c r="L27738" s="23"/>
    </row>
    <row r="27739">
      <c r="B27739" s="19"/>
      <c r="E27739" s="23"/>
      <c r="L27739" s="23"/>
    </row>
    <row r="27740">
      <c r="B27740" s="19"/>
      <c r="E27740" s="23"/>
      <c r="L27740" s="23"/>
    </row>
    <row r="27741">
      <c r="B27741" s="19"/>
      <c r="E27741" s="23"/>
      <c r="L27741" s="23"/>
    </row>
    <row r="27742">
      <c r="B27742" s="19"/>
      <c r="E27742" s="23"/>
      <c r="L27742" s="23"/>
    </row>
    <row r="27743">
      <c r="B27743" s="19"/>
      <c r="E27743" s="23"/>
      <c r="L27743" s="23"/>
    </row>
    <row r="27744">
      <c r="B27744" s="19"/>
      <c r="E27744" s="23"/>
      <c r="L27744" s="23"/>
    </row>
    <row r="27745">
      <c r="B27745" s="19"/>
      <c r="E27745" s="23"/>
      <c r="L27745" s="23"/>
    </row>
    <row r="27746">
      <c r="B27746" s="19"/>
      <c r="E27746" s="23"/>
      <c r="L27746" s="23"/>
    </row>
    <row r="27747">
      <c r="B27747" s="19"/>
      <c r="E27747" s="23"/>
      <c r="L27747" s="23"/>
    </row>
    <row r="27748">
      <c r="B27748" s="19"/>
      <c r="E27748" s="23"/>
      <c r="L27748" s="23"/>
    </row>
    <row r="27749">
      <c r="B27749" s="19"/>
      <c r="E27749" s="23"/>
      <c r="L27749" s="23"/>
    </row>
    <row r="27750">
      <c r="B27750" s="19"/>
      <c r="E27750" s="23"/>
      <c r="L27750" s="23"/>
    </row>
    <row r="27751">
      <c r="B27751" s="19"/>
      <c r="E27751" s="23"/>
      <c r="L27751" s="23"/>
    </row>
    <row r="27752">
      <c r="B27752" s="19"/>
      <c r="E27752" s="23"/>
      <c r="L27752" s="23"/>
    </row>
    <row r="27753">
      <c r="B27753" s="19"/>
      <c r="E27753" s="23"/>
      <c r="L27753" s="23"/>
    </row>
    <row r="27754">
      <c r="B27754" s="19"/>
      <c r="E27754" s="23"/>
      <c r="L27754" s="23"/>
    </row>
    <row r="27755">
      <c r="B27755" s="19"/>
      <c r="E27755" s="23"/>
      <c r="L27755" s="23"/>
    </row>
    <row r="27756">
      <c r="B27756" s="19"/>
      <c r="E27756" s="23"/>
      <c r="L27756" s="23"/>
    </row>
    <row r="27757">
      <c r="B27757" s="19"/>
      <c r="E27757" s="23"/>
      <c r="L27757" s="23"/>
    </row>
    <row r="27758">
      <c r="B27758" s="19"/>
      <c r="E27758" s="23"/>
      <c r="L27758" s="23"/>
    </row>
    <row r="27759">
      <c r="B27759" s="19"/>
      <c r="E27759" s="23"/>
      <c r="L27759" s="23"/>
    </row>
    <row r="27760">
      <c r="B27760" s="19"/>
      <c r="E27760" s="23"/>
      <c r="L27760" s="23"/>
    </row>
    <row r="27761">
      <c r="B27761" s="19"/>
      <c r="E27761" s="23"/>
      <c r="L27761" s="23"/>
    </row>
    <row r="27762">
      <c r="B27762" s="19"/>
      <c r="E27762" s="23"/>
      <c r="L27762" s="23"/>
    </row>
    <row r="27763">
      <c r="B27763" s="19"/>
      <c r="E27763" s="23"/>
      <c r="L27763" s="23"/>
    </row>
    <row r="27764">
      <c r="B27764" s="19"/>
      <c r="E27764" s="23"/>
      <c r="L27764" s="23"/>
    </row>
    <row r="27765">
      <c r="B27765" s="19"/>
      <c r="E27765" s="23"/>
      <c r="L27765" s="23"/>
    </row>
    <row r="27766">
      <c r="B27766" s="19"/>
      <c r="E27766" s="23"/>
      <c r="L27766" s="23"/>
    </row>
    <row r="27767">
      <c r="B27767" s="19"/>
      <c r="E27767" s="23"/>
      <c r="L27767" s="23"/>
    </row>
    <row r="27768">
      <c r="B27768" s="19"/>
      <c r="E27768" s="23"/>
      <c r="L27768" s="23"/>
    </row>
    <row r="27769">
      <c r="B27769" s="19"/>
      <c r="E27769" s="23"/>
      <c r="L27769" s="23"/>
    </row>
    <row r="27770">
      <c r="B27770" s="19"/>
      <c r="E27770" s="23"/>
      <c r="L27770" s="23"/>
    </row>
    <row r="27771">
      <c r="B27771" s="19"/>
      <c r="E27771" s="23"/>
      <c r="L27771" s="23"/>
    </row>
    <row r="27772">
      <c r="B27772" s="19"/>
      <c r="E27772" s="23"/>
      <c r="L27772" s="23"/>
    </row>
    <row r="27773">
      <c r="B27773" s="19"/>
      <c r="E27773" s="23"/>
      <c r="L27773" s="23"/>
    </row>
    <row r="27774">
      <c r="B27774" s="19"/>
      <c r="E27774" s="23"/>
      <c r="L27774" s="23"/>
    </row>
    <row r="27775">
      <c r="B27775" s="19"/>
      <c r="E27775" s="23"/>
      <c r="L27775" s="23"/>
    </row>
    <row r="27776">
      <c r="B27776" s="19"/>
      <c r="E27776" s="23"/>
      <c r="L27776" s="23"/>
    </row>
    <row r="27777">
      <c r="B27777" s="19"/>
      <c r="E27777" s="23"/>
      <c r="L27777" s="23"/>
    </row>
    <row r="27778">
      <c r="B27778" s="19"/>
      <c r="E27778" s="23"/>
      <c r="L27778" s="23"/>
    </row>
    <row r="27779">
      <c r="B27779" s="19"/>
      <c r="E27779" s="23"/>
      <c r="L27779" s="23"/>
    </row>
    <row r="27780">
      <c r="B27780" s="19"/>
      <c r="E27780" s="23"/>
      <c r="L27780" s="23"/>
    </row>
    <row r="27781">
      <c r="B27781" s="19"/>
      <c r="E27781" s="23"/>
      <c r="L27781" s="23"/>
    </row>
    <row r="27782">
      <c r="B27782" s="19"/>
      <c r="E27782" s="23"/>
      <c r="L27782" s="23"/>
    </row>
    <row r="27783">
      <c r="B27783" s="19"/>
      <c r="E27783" s="23"/>
      <c r="L27783" s="23"/>
    </row>
    <row r="27784">
      <c r="B27784" s="19"/>
      <c r="E27784" s="23"/>
      <c r="L27784" s="23"/>
    </row>
    <row r="27785">
      <c r="B27785" s="19"/>
      <c r="E27785" s="23"/>
      <c r="L27785" s="23"/>
    </row>
    <row r="27786">
      <c r="B27786" s="19"/>
      <c r="E27786" s="23"/>
      <c r="L27786" s="23"/>
    </row>
    <row r="27787">
      <c r="B27787" s="19"/>
      <c r="E27787" s="23"/>
      <c r="L27787" s="23"/>
    </row>
    <row r="27788">
      <c r="B27788" s="19"/>
      <c r="E27788" s="23"/>
      <c r="L27788" s="23"/>
    </row>
    <row r="27789">
      <c r="B27789" s="19"/>
      <c r="E27789" s="23"/>
      <c r="L27789" s="23"/>
    </row>
    <row r="27790">
      <c r="B27790" s="19"/>
      <c r="E27790" s="23"/>
      <c r="L27790" s="23"/>
    </row>
    <row r="27791">
      <c r="B27791" s="19"/>
      <c r="E27791" s="23"/>
      <c r="L27791" s="23"/>
    </row>
    <row r="27792">
      <c r="B27792" s="19"/>
      <c r="E27792" s="23"/>
      <c r="L27792" s="23"/>
    </row>
    <row r="27793">
      <c r="B27793" s="19"/>
      <c r="E27793" s="23"/>
      <c r="L27793" s="23"/>
    </row>
    <row r="27794">
      <c r="B27794" s="19"/>
      <c r="E27794" s="23"/>
      <c r="L27794" s="23"/>
    </row>
    <row r="27795">
      <c r="B27795" s="19"/>
      <c r="E27795" s="23"/>
      <c r="L27795" s="23"/>
    </row>
    <row r="27796">
      <c r="B27796" s="19"/>
      <c r="E27796" s="23"/>
      <c r="L27796" s="23"/>
    </row>
    <row r="27797">
      <c r="B27797" s="19"/>
      <c r="E27797" s="23"/>
      <c r="L27797" s="23"/>
    </row>
    <row r="27798">
      <c r="B27798" s="19"/>
      <c r="E27798" s="23"/>
      <c r="L27798" s="23"/>
    </row>
    <row r="27799">
      <c r="B27799" s="19"/>
      <c r="E27799" s="23"/>
      <c r="L27799" s="23"/>
    </row>
    <row r="27800">
      <c r="B27800" s="19"/>
      <c r="E27800" s="23"/>
      <c r="L27800" s="23"/>
    </row>
    <row r="27801">
      <c r="B27801" s="19"/>
      <c r="E27801" s="23"/>
      <c r="L27801" s="23"/>
    </row>
    <row r="27802">
      <c r="B27802" s="19"/>
      <c r="E27802" s="23"/>
      <c r="L27802" s="23"/>
    </row>
    <row r="27803">
      <c r="B27803" s="19"/>
      <c r="E27803" s="23"/>
      <c r="L27803" s="23"/>
    </row>
    <row r="27804">
      <c r="B27804" s="19"/>
      <c r="E27804" s="23"/>
      <c r="L27804" s="23"/>
    </row>
    <row r="27805">
      <c r="B27805" s="19"/>
      <c r="E27805" s="23"/>
      <c r="L27805" s="23"/>
    </row>
    <row r="27806">
      <c r="B27806" s="19"/>
      <c r="E27806" s="23"/>
      <c r="L27806" s="23"/>
    </row>
    <row r="27807">
      <c r="B27807" s="19"/>
      <c r="E27807" s="23"/>
      <c r="L27807" s="23"/>
    </row>
    <row r="27808">
      <c r="B27808" s="19"/>
      <c r="E27808" s="23"/>
      <c r="L27808" s="23"/>
    </row>
    <row r="27809">
      <c r="B27809" s="19"/>
      <c r="E27809" s="23"/>
      <c r="L27809" s="23"/>
    </row>
    <row r="27810">
      <c r="B27810" s="19"/>
      <c r="E27810" s="23"/>
      <c r="L27810" s="23"/>
    </row>
    <row r="27811">
      <c r="B27811" s="19"/>
      <c r="E27811" s="23"/>
      <c r="L27811" s="23"/>
    </row>
    <row r="27812">
      <c r="B27812" s="19"/>
      <c r="E27812" s="23"/>
      <c r="L27812" s="23"/>
    </row>
    <row r="27813">
      <c r="B27813" s="19"/>
      <c r="E27813" s="23"/>
      <c r="L27813" s="23"/>
    </row>
    <row r="27814">
      <c r="B27814" s="19"/>
      <c r="E27814" s="23"/>
      <c r="L27814" s="23"/>
    </row>
    <row r="27815">
      <c r="B27815" s="19"/>
      <c r="E27815" s="23"/>
      <c r="L27815" s="23"/>
    </row>
    <row r="27816">
      <c r="B27816" s="19"/>
      <c r="E27816" s="23"/>
      <c r="L27816" s="23"/>
    </row>
    <row r="27817">
      <c r="B27817" s="19"/>
      <c r="E27817" s="23"/>
      <c r="L27817" s="23"/>
    </row>
    <row r="27818">
      <c r="B27818" s="19"/>
      <c r="E27818" s="23"/>
      <c r="L27818" s="23"/>
    </row>
    <row r="27819">
      <c r="B27819" s="19"/>
      <c r="E27819" s="23"/>
      <c r="L27819" s="23"/>
    </row>
    <row r="27820">
      <c r="B27820" s="19"/>
      <c r="E27820" s="23"/>
      <c r="L27820" s="23"/>
    </row>
    <row r="27821">
      <c r="B27821" s="19"/>
      <c r="E27821" s="23"/>
      <c r="L27821" s="23"/>
    </row>
    <row r="27822">
      <c r="B27822" s="19"/>
      <c r="E27822" s="23"/>
      <c r="L27822" s="23"/>
    </row>
    <row r="27823">
      <c r="B27823" s="19"/>
      <c r="E27823" s="23"/>
      <c r="L27823" s="23"/>
    </row>
    <row r="27824">
      <c r="B27824" s="19"/>
      <c r="E27824" s="23"/>
      <c r="L27824" s="23"/>
    </row>
    <row r="27825">
      <c r="B27825" s="19"/>
      <c r="E27825" s="23"/>
      <c r="L27825" s="23"/>
    </row>
    <row r="27826">
      <c r="B27826" s="19"/>
      <c r="E27826" s="23"/>
      <c r="L27826" s="23"/>
    </row>
    <row r="27827">
      <c r="B27827" s="19"/>
      <c r="E27827" s="23"/>
      <c r="L27827" s="23"/>
    </row>
    <row r="27828">
      <c r="B27828" s="19"/>
      <c r="E27828" s="23"/>
      <c r="L27828" s="23"/>
    </row>
    <row r="27829">
      <c r="B27829" s="19"/>
      <c r="E27829" s="23"/>
      <c r="L27829" s="23"/>
    </row>
    <row r="27830">
      <c r="B27830" s="19"/>
      <c r="E27830" s="23"/>
      <c r="L27830" s="23"/>
    </row>
    <row r="27831">
      <c r="B27831" s="19"/>
      <c r="E27831" s="23"/>
      <c r="L27831" s="23"/>
    </row>
    <row r="27832">
      <c r="B27832" s="19"/>
      <c r="E27832" s="23"/>
      <c r="L27832" s="23"/>
    </row>
    <row r="27833">
      <c r="B27833" s="19"/>
      <c r="E27833" s="23"/>
      <c r="L27833" s="23"/>
    </row>
    <row r="27834">
      <c r="B27834" s="19"/>
      <c r="E27834" s="23"/>
      <c r="L27834" s="23"/>
    </row>
    <row r="27835">
      <c r="B27835" s="19"/>
      <c r="E27835" s="23"/>
      <c r="L27835" s="23"/>
    </row>
    <row r="27836">
      <c r="B27836" s="19"/>
      <c r="E27836" s="23"/>
      <c r="L27836" s="23"/>
    </row>
    <row r="27837">
      <c r="B27837" s="19"/>
      <c r="E27837" s="23"/>
      <c r="L27837" s="23"/>
    </row>
    <row r="27838">
      <c r="B27838" s="19"/>
      <c r="E27838" s="23"/>
      <c r="L27838" s="23"/>
    </row>
    <row r="27839">
      <c r="B27839" s="19"/>
      <c r="E27839" s="23"/>
      <c r="L27839" s="23"/>
    </row>
    <row r="27840">
      <c r="B27840" s="19"/>
      <c r="E27840" s="23"/>
      <c r="L27840" s="23"/>
    </row>
    <row r="27841">
      <c r="B27841" s="19"/>
      <c r="E27841" s="23"/>
      <c r="L27841" s="23"/>
    </row>
    <row r="27842">
      <c r="B27842" s="19"/>
      <c r="E27842" s="23"/>
      <c r="L27842" s="23"/>
    </row>
    <row r="27843">
      <c r="B27843" s="19"/>
      <c r="E27843" s="23"/>
      <c r="L27843" s="23"/>
    </row>
    <row r="27844">
      <c r="B27844" s="19"/>
      <c r="E27844" s="23"/>
      <c r="L27844" s="23"/>
    </row>
    <row r="27845">
      <c r="B27845" s="19"/>
      <c r="E27845" s="23"/>
      <c r="L27845" s="23"/>
    </row>
    <row r="27846">
      <c r="B27846" s="19"/>
      <c r="E27846" s="23"/>
      <c r="L27846" s="23"/>
    </row>
    <row r="27847">
      <c r="B27847" s="19"/>
      <c r="E27847" s="23"/>
      <c r="L27847" s="23"/>
    </row>
    <row r="27848">
      <c r="B27848" s="19"/>
      <c r="E27848" s="23"/>
      <c r="L27848" s="23"/>
    </row>
    <row r="27849">
      <c r="B27849" s="19"/>
      <c r="E27849" s="23"/>
      <c r="L27849" s="23"/>
    </row>
    <row r="27850">
      <c r="B27850" s="19"/>
      <c r="E27850" s="23"/>
      <c r="L27850" s="23"/>
    </row>
    <row r="27851">
      <c r="B27851" s="19"/>
      <c r="E27851" s="23"/>
      <c r="L27851" s="23"/>
    </row>
    <row r="27852">
      <c r="B27852" s="19"/>
      <c r="E27852" s="23"/>
      <c r="L27852" s="23"/>
    </row>
    <row r="27853">
      <c r="B27853" s="19"/>
      <c r="E27853" s="23"/>
      <c r="L27853" s="23"/>
    </row>
    <row r="27854">
      <c r="B27854" s="19"/>
      <c r="E27854" s="23"/>
      <c r="L27854" s="23"/>
    </row>
    <row r="27855">
      <c r="B27855" s="19"/>
      <c r="E27855" s="23"/>
      <c r="L27855" s="23"/>
    </row>
    <row r="27856">
      <c r="B27856" s="19"/>
      <c r="E27856" s="23"/>
      <c r="L27856" s="23"/>
    </row>
    <row r="27857">
      <c r="B27857" s="19"/>
      <c r="E27857" s="23"/>
      <c r="L27857" s="23"/>
    </row>
    <row r="27858">
      <c r="B27858" s="19"/>
      <c r="E27858" s="23"/>
      <c r="L27858" s="23"/>
    </row>
    <row r="27859">
      <c r="B27859" s="19"/>
      <c r="E27859" s="23"/>
      <c r="L27859" s="23"/>
    </row>
    <row r="27860">
      <c r="B27860" s="19"/>
      <c r="E27860" s="23"/>
      <c r="L27860" s="23"/>
    </row>
    <row r="27861">
      <c r="B27861" s="19"/>
      <c r="E27861" s="23"/>
      <c r="L27861" s="23"/>
    </row>
    <row r="27862">
      <c r="B27862" s="19"/>
      <c r="E27862" s="23"/>
      <c r="L27862" s="23"/>
    </row>
    <row r="27863">
      <c r="B27863" s="19"/>
      <c r="E27863" s="23"/>
      <c r="L27863" s="23"/>
    </row>
    <row r="27864">
      <c r="B27864" s="19"/>
      <c r="E27864" s="23"/>
      <c r="L27864" s="23"/>
    </row>
    <row r="27865">
      <c r="B27865" s="19"/>
      <c r="E27865" s="23"/>
      <c r="L27865" s="23"/>
    </row>
    <row r="27866">
      <c r="B27866" s="19"/>
      <c r="E27866" s="23"/>
      <c r="L27866" s="23"/>
    </row>
    <row r="27867">
      <c r="B27867" s="19"/>
      <c r="E27867" s="23"/>
      <c r="L27867" s="23"/>
    </row>
    <row r="27868">
      <c r="B27868" s="19"/>
      <c r="E27868" s="23"/>
      <c r="L27868" s="23"/>
    </row>
    <row r="27869">
      <c r="B27869" s="19"/>
      <c r="E27869" s="23"/>
      <c r="L27869" s="23"/>
    </row>
    <row r="27870">
      <c r="B27870" s="19"/>
      <c r="E27870" s="23"/>
      <c r="L27870" s="23"/>
    </row>
    <row r="27871">
      <c r="B27871" s="19"/>
      <c r="E27871" s="23"/>
      <c r="L27871" s="23"/>
    </row>
    <row r="27872">
      <c r="B27872" s="19"/>
      <c r="E27872" s="23"/>
      <c r="L27872" s="23"/>
    </row>
    <row r="27873">
      <c r="B27873" s="19"/>
      <c r="E27873" s="23"/>
      <c r="L27873" s="23"/>
    </row>
    <row r="27874">
      <c r="B27874" s="19"/>
      <c r="E27874" s="23"/>
      <c r="L27874" s="23"/>
    </row>
    <row r="27875">
      <c r="B27875" s="19"/>
      <c r="E27875" s="23"/>
      <c r="L27875" s="23"/>
    </row>
    <row r="27876">
      <c r="B27876" s="19"/>
      <c r="E27876" s="23"/>
      <c r="L27876" s="23"/>
    </row>
    <row r="27877">
      <c r="B27877" s="19"/>
      <c r="E27877" s="23"/>
      <c r="L27877" s="23"/>
    </row>
    <row r="27878">
      <c r="B27878" s="19"/>
      <c r="E27878" s="23"/>
      <c r="L27878" s="23"/>
    </row>
    <row r="27879">
      <c r="B27879" s="19"/>
      <c r="E27879" s="23"/>
      <c r="L27879" s="23"/>
    </row>
    <row r="27880">
      <c r="B27880" s="19"/>
      <c r="E27880" s="23"/>
      <c r="L27880" s="23"/>
    </row>
    <row r="27881">
      <c r="B27881" s="19"/>
      <c r="E27881" s="23"/>
      <c r="L27881" s="23"/>
    </row>
    <row r="27882">
      <c r="B27882" s="19"/>
      <c r="E27882" s="23"/>
      <c r="L27882" s="23"/>
    </row>
    <row r="27883">
      <c r="B27883" s="19"/>
      <c r="E27883" s="23"/>
      <c r="L27883" s="23"/>
    </row>
    <row r="27884">
      <c r="B27884" s="19"/>
      <c r="E27884" s="23"/>
      <c r="L27884" s="23"/>
    </row>
    <row r="27885">
      <c r="B27885" s="19"/>
      <c r="E27885" s="23"/>
      <c r="L27885" s="23"/>
    </row>
    <row r="27886">
      <c r="B27886" s="19"/>
      <c r="E27886" s="23"/>
      <c r="L27886" s="23"/>
    </row>
    <row r="27887">
      <c r="B27887" s="19"/>
      <c r="E27887" s="23"/>
      <c r="L27887" s="23"/>
    </row>
    <row r="27888">
      <c r="B27888" s="19"/>
      <c r="E27888" s="23"/>
      <c r="L27888" s="23"/>
    </row>
    <row r="27889">
      <c r="B27889" s="19"/>
      <c r="E27889" s="23"/>
      <c r="L27889" s="23"/>
    </row>
    <row r="27890">
      <c r="B27890" s="19"/>
      <c r="E27890" s="23"/>
      <c r="L27890" s="23"/>
    </row>
    <row r="27891">
      <c r="B27891" s="19"/>
      <c r="E27891" s="23"/>
      <c r="L27891" s="23"/>
    </row>
    <row r="27892">
      <c r="B27892" s="19"/>
      <c r="E27892" s="23"/>
      <c r="L27892" s="23"/>
    </row>
    <row r="27893">
      <c r="B27893" s="19"/>
      <c r="E27893" s="23"/>
      <c r="L27893" s="23"/>
    </row>
    <row r="27894">
      <c r="B27894" s="19"/>
      <c r="E27894" s="23"/>
      <c r="L27894" s="23"/>
    </row>
    <row r="27895">
      <c r="B27895" s="19"/>
      <c r="E27895" s="23"/>
      <c r="L27895" s="23"/>
    </row>
    <row r="27896">
      <c r="B27896" s="19"/>
      <c r="E27896" s="23"/>
      <c r="L27896" s="23"/>
    </row>
    <row r="27897">
      <c r="B27897" s="19"/>
      <c r="E27897" s="23"/>
      <c r="L27897" s="23"/>
    </row>
    <row r="27898">
      <c r="B27898" s="19"/>
      <c r="E27898" s="23"/>
      <c r="L27898" s="23"/>
    </row>
    <row r="27899">
      <c r="B27899" s="19"/>
      <c r="E27899" s="23"/>
      <c r="L27899" s="23"/>
    </row>
    <row r="27900">
      <c r="B27900" s="19"/>
      <c r="E27900" s="23"/>
      <c r="L27900" s="23"/>
    </row>
    <row r="27901">
      <c r="B27901" s="19"/>
      <c r="E27901" s="23"/>
      <c r="L27901" s="23"/>
    </row>
    <row r="27902">
      <c r="B27902" s="19"/>
      <c r="E27902" s="23"/>
      <c r="L27902" s="23"/>
    </row>
    <row r="27903">
      <c r="B27903" s="19"/>
      <c r="E27903" s="23"/>
      <c r="L27903" s="23"/>
    </row>
    <row r="27904">
      <c r="B27904" s="19"/>
      <c r="E27904" s="23"/>
      <c r="L27904" s="23"/>
    </row>
    <row r="27905">
      <c r="B27905" s="19"/>
      <c r="E27905" s="23"/>
      <c r="L27905" s="23"/>
    </row>
    <row r="27906">
      <c r="B27906" s="19"/>
      <c r="E27906" s="23"/>
      <c r="L27906" s="23"/>
    </row>
    <row r="27907">
      <c r="B27907" s="19"/>
      <c r="E27907" s="23"/>
      <c r="L27907" s="23"/>
    </row>
    <row r="27908">
      <c r="B27908" s="19"/>
      <c r="E27908" s="23"/>
      <c r="L27908" s="23"/>
    </row>
    <row r="27909">
      <c r="B27909" s="19"/>
      <c r="E27909" s="23"/>
      <c r="L27909" s="23"/>
    </row>
    <row r="27910">
      <c r="B27910" s="19"/>
      <c r="E27910" s="23"/>
      <c r="L27910" s="23"/>
    </row>
    <row r="27911">
      <c r="B27911" s="19"/>
      <c r="E27911" s="23"/>
      <c r="L27911" s="23"/>
    </row>
    <row r="27912">
      <c r="B27912" s="19"/>
      <c r="E27912" s="23"/>
      <c r="L27912" s="23"/>
    </row>
    <row r="27913">
      <c r="B27913" s="19"/>
      <c r="E27913" s="23"/>
      <c r="L27913" s="23"/>
    </row>
    <row r="27914">
      <c r="B27914" s="19"/>
      <c r="E27914" s="23"/>
      <c r="L27914" s="23"/>
    </row>
    <row r="27915">
      <c r="B27915" s="19"/>
      <c r="E27915" s="23"/>
      <c r="L27915" s="23"/>
    </row>
    <row r="27916">
      <c r="B27916" s="19"/>
      <c r="E27916" s="23"/>
      <c r="L27916" s="23"/>
    </row>
    <row r="27917">
      <c r="B27917" s="19"/>
      <c r="E27917" s="23"/>
      <c r="L27917" s="23"/>
    </row>
    <row r="27918">
      <c r="B27918" s="19"/>
      <c r="E27918" s="23"/>
      <c r="L27918" s="23"/>
    </row>
    <row r="27919">
      <c r="B27919" s="19"/>
      <c r="E27919" s="23"/>
      <c r="L27919" s="23"/>
    </row>
    <row r="27920">
      <c r="B27920" s="19"/>
      <c r="E27920" s="23"/>
      <c r="L27920" s="23"/>
    </row>
    <row r="27921">
      <c r="B27921" s="19"/>
      <c r="E27921" s="23"/>
      <c r="L27921" s="23"/>
    </row>
    <row r="27922">
      <c r="B27922" s="19"/>
      <c r="E27922" s="23"/>
      <c r="L27922" s="23"/>
    </row>
    <row r="27923">
      <c r="B27923" s="19"/>
      <c r="E27923" s="23"/>
      <c r="L27923" s="23"/>
    </row>
    <row r="27924">
      <c r="B27924" s="19"/>
      <c r="E27924" s="23"/>
      <c r="L27924" s="23"/>
    </row>
    <row r="27925">
      <c r="B27925" s="19"/>
      <c r="E27925" s="23"/>
      <c r="L27925" s="23"/>
    </row>
    <row r="27926">
      <c r="B27926" s="19"/>
      <c r="E27926" s="23"/>
      <c r="L27926" s="23"/>
    </row>
    <row r="27927">
      <c r="B27927" s="19"/>
      <c r="E27927" s="23"/>
      <c r="L27927" s="23"/>
    </row>
    <row r="27928">
      <c r="B27928" s="19"/>
      <c r="E27928" s="23"/>
      <c r="L27928" s="23"/>
    </row>
    <row r="27929">
      <c r="B27929" s="19"/>
      <c r="E27929" s="23"/>
      <c r="L27929" s="23"/>
    </row>
    <row r="27930">
      <c r="B27930" s="19"/>
      <c r="E27930" s="23"/>
      <c r="L27930" s="23"/>
    </row>
    <row r="27931">
      <c r="B27931" s="19"/>
      <c r="E27931" s="23"/>
      <c r="L27931" s="23"/>
    </row>
    <row r="27932">
      <c r="B27932" s="19"/>
      <c r="E27932" s="23"/>
      <c r="L27932" s="23"/>
    </row>
    <row r="27933">
      <c r="B27933" s="19"/>
      <c r="E27933" s="23"/>
      <c r="L27933" s="23"/>
    </row>
    <row r="27934">
      <c r="B27934" s="19"/>
      <c r="E27934" s="23"/>
      <c r="L27934" s="23"/>
    </row>
    <row r="27935">
      <c r="B27935" s="19"/>
      <c r="E27935" s="23"/>
      <c r="L27935" s="23"/>
    </row>
    <row r="27936">
      <c r="B27936" s="19"/>
      <c r="E27936" s="23"/>
      <c r="L27936" s="23"/>
    </row>
    <row r="27937">
      <c r="B27937" s="19"/>
      <c r="E27937" s="23"/>
      <c r="L27937" s="23"/>
    </row>
    <row r="27938">
      <c r="B27938" s="19"/>
      <c r="E27938" s="23"/>
      <c r="L27938" s="23"/>
    </row>
    <row r="27939">
      <c r="B27939" s="19"/>
      <c r="E27939" s="23"/>
      <c r="L27939" s="23"/>
    </row>
    <row r="27940">
      <c r="B27940" s="19"/>
      <c r="E27940" s="23"/>
      <c r="L27940" s="23"/>
    </row>
    <row r="27941">
      <c r="B27941" s="19"/>
      <c r="E27941" s="23"/>
      <c r="L27941" s="23"/>
    </row>
    <row r="27942">
      <c r="B27942" s="19"/>
      <c r="E27942" s="23"/>
      <c r="L27942" s="23"/>
    </row>
    <row r="27943">
      <c r="B27943" s="19"/>
      <c r="E27943" s="23"/>
      <c r="L27943" s="23"/>
    </row>
    <row r="27944">
      <c r="B27944" s="19"/>
      <c r="E27944" s="23"/>
      <c r="L27944" s="23"/>
    </row>
    <row r="27945">
      <c r="B27945" s="19"/>
      <c r="E27945" s="23"/>
      <c r="L27945" s="23"/>
    </row>
    <row r="27946">
      <c r="B27946" s="19"/>
      <c r="E27946" s="23"/>
      <c r="L27946" s="23"/>
    </row>
    <row r="27947">
      <c r="B27947" s="19"/>
      <c r="E27947" s="23"/>
      <c r="L27947" s="23"/>
    </row>
    <row r="27948">
      <c r="B27948" s="19"/>
      <c r="E27948" s="23"/>
      <c r="L27948" s="23"/>
    </row>
    <row r="27949">
      <c r="B27949" s="19"/>
      <c r="E27949" s="23"/>
      <c r="L27949" s="23"/>
    </row>
    <row r="27950">
      <c r="B27950" s="19"/>
      <c r="E27950" s="23"/>
      <c r="L27950" s="23"/>
    </row>
    <row r="27951">
      <c r="B27951" s="19"/>
      <c r="E27951" s="23"/>
      <c r="L27951" s="23"/>
    </row>
    <row r="27952">
      <c r="B27952" s="19"/>
      <c r="E27952" s="23"/>
      <c r="L27952" s="23"/>
    </row>
    <row r="27953">
      <c r="B27953" s="19"/>
      <c r="E27953" s="23"/>
      <c r="L27953" s="23"/>
    </row>
    <row r="27954">
      <c r="B27954" s="19"/>
      <c r="E27954" s="23"/>
      <c r="L27954" s="23"/>
    </row>
    <row r="27955">
      <c r="B27955" s="19"/>
      <c r="E27955" s="23"/>
      <c r="L27955" s="23"/>
    </row>
    <row r="27956">
      <c r="B27956" s="19"/>
      <c r="E27956" s="23"/>
      <c r="L27956" s="23"/>
    </row>
    <row r="27957">
      <c r="B27957" s="19"/>
      <c r="E27957" s="23"/>
      <c r="L27957" s="23"/>
    </row>
    <row r="27958">
      <c r="B27958" s="19"/>
      <c r="E27958" s="23"/>
      <c r="L27958" s="23"/>
    </row>
    <row r="27959">
      <c r="B27959" s="19"/>
      <c r="E27959" s="23"/>
      <c r="L27959" s="23"/>
    </row>
    <row r="27960">
      <c r="B27960" s="19"/>
      <c r="E27960" s="23"/>
      <c r="L27960" s="23"/>
    </row>
    <row r="27961">
      <c r="B27961" s="19"/>
      <c r="E27961" s="23"/>
      <c r="L27961" s="23"/>
    </row>
    <row r="27962">
      <c r="B27962" s="19"/>
      <c r="E27962" s="23"/>
      <c r="L27962" s="23"/>
    </row>
    <row r="27963">
      <c r="B27963" s="19"/>
      <c r="E27963" s="23"/>
      <c r="L27963" s="23"/>
    </row>
    <row r="27964">
      <c r="B27964" s="19"/>
      <c r="E27964" s="23"/>
      <c r="L27964" s="23"/>
    </row>
    <row r="27965">
      <c r="B27965" s="19"/>
      <c r="E27965" s="23"/>
      <c r="L27965" s="23"/>
    </row>
    <row r="27966">
      <c r="B27966" s="19"/>
      <c r="E27966" s="23"/>
      <c r="L27966" s="23"/>
    </row>
    <row r="27967">
      <c r="B27967" s="19"/>
      <c r="E27967" s="23"/>
      <c r="L27967" s="23"/>
    </row>
    <row r="27968">
      <c r="B27968" s="19"/>
      <c r="E27968" s="23"/>
      <c r="L27968" s="23"/>
    </row>
    <row r="27969">
      <c r="B27969" s="19"/>
      <c r="E27969" s="23"/>
      <c r="L27969" s="23"/>
    </row>
    <row r="27970">
      <c r="B27970" s="19"/>
      <c r="E27970" s="23"/>
      <c r="L27970" s="23"/>
    </row>
    <row r="27971">
      <c r="B27971" s="19"/>
      <c r="E27971" s="23"/>
      <c r="L27971" s="23"/>
    </row>
    <row r="27972">
      <c r="B27972" s="19"/>
      <c r="E27972" s="23"/>
      <c r="L27972" s="23"/>
    </row>
    <row r="27973">
      <c r="B27973" s="19"/>
      <c r="E27973" s="23"/>
      <c r="L27973" s="23"/>
    </row>
    <row r="27974">
      <c r="B27974" s="19"/>
      <c r="E27974" s="23"/>
      <c r="L27974" s="23"/>
    </row>
    <row r="27975">
      <c r="B27975" s="19"/>
      <c r="E27975" s="23"/>
      <c r="L27975" s="23"/>
    </row>
    <row r="27976">
      <c r="B27976" s="19"/>
      <c r="E27976" s="23"/>
      <c r="L27976" s="23"/>
    </row>
    <row r="27977">
      <c r="B27977" s="19"/>
      <c r="E27977" s="23"/>
      <c r="L27977" s="23"/>
    </row>
    <row r="27978">
      <c r="B27978" s="19"/>
      <c r="E27978" s="23"/>
      <c r="L27978" s="23"/>
    </row>
    <row r="27979">
      <c r="B27979" s="19"/>
      <c r="E27979" s="23"/>
      <c r="L27979" s="23"/>
    </row>
    <row r="27980">
      <c r="B27980" s="19"/>
      <c r="E27980" s="23"/>
      <c r="L27980" s="23"/>
    </row>
    <row r="27981">
      <c r="B27981" s="19"/>
      <c r="E27981" s="23"/>
      <c r="L27981" s="23"/>
    </row>
    <row r="27982">
      <c r="B27982" s="19"/>
      <c r="E27982" s="23"/>
      <c r="L27982" s="23"/>
    </row>
    <row r="27983">
      <c r="B27983" s="19"/>
      <c r="E27983" s="23"/>
      <c r="L27983" s="23"/>
    </row>
    <row r="27984">
      <c r="B27984" s="19"/>
      <c r="E27984" s="23"/>
      <c r="L27984" s="23"/>
    </row>
    <row r="27985">
      <c r="B27985" s="19"/>
      <c r="E27985" s="23"/>
      <c r="L27985" s="23"/>
    </row>
    <row r="27986">
      <c r="B27986" s="19"/>
      <c r="E27986" s="23"/>
      <c r="L27986" s="23"/>
    </row>
    <row r="27987">
      <c r="B27987" s="19"/>
      <c r="E27987" s="23"/>
      <c r="L27987" s="23"/>
    </row>
    <row r="27988">
      <c r="B27988" s="19"/>
      <c r="E27988" s="23"/>
      <c r="L27988" s="23"/>
    </row>
    <row r="27989">
      <c r="B27989" s="19"/>
      <c r="E27989" s="23"/>
      <c r="L27989" s="23"/>
    </row>
    <row r="27990">
      <c r="B27990" s="19"/>
      <c r="E27990" s="23"/>
      <c r="L27990" s="23"/>
    </row>
    <row r="27991">
      <c r="B27991" s="19"/>
      <c r="E27991" s="23"/>
      <c r="L27991" s="23"/>
    </row>
    <row r="27992">
      <c r="B27992" s="19"/>
      <c r="E27992" s="23"/>
      <c r="L27992" s="23"/>
    </row>
    <row r="27993">
      <c r="B27993" s="19"/>
      <c r="E27993" s="23"/>
      <c r="L27993" s="23"/>
    </row>
    <row r="27994">
      <c r="B27994" s="19"/>
      <c r="E27994" s="23"/>
      <c r="L27994" s="23"/>
    </row>
    <row r="27995">
      <c r="B27995" s="19"/>
      <c r="E27995" s="23"/>
      <c r="L27995" s="23"/>
    </row>
    <row r="27996">
      <c r="B27996" s="19"/>
      <c r="E27996" s="23"/>
      <c r="L27996" s="23"/>
    </row>
    <row r="27997">
      <c r="B27997" s="19"/>
      <c r="E27997" s="23"/>
      <c r="L27997" s="23"/>
    </row>
    <row r="27998">
      <c r="B27998" s="19"/>
      <c r="E27998" s="23"/>
      <c r="L27998" s="23"/>
    </row>
    <row r="27999">
      <c r="B27999" s="19"/>
      <c r="E27999" s="23"/>
      <c r="L27999" s="23"/>
    </row>
    <row r="28000">
      <c r="B28000" s="19"/>
      <c r="E28000" s="23"/>
      <c r="L28000" s="23"/>
    </row>
    <row r="28001">
      <c r="B28001" s="19"/>
      <c r="E28001" s="23"/>
      <c r="L28001" s="23"/>
    </row>
    <row r="28002">
      <c r="B28002" s="19"/>
      <c r="E28002" s="23"/>
      <c r="L28002" s="23"/>
    </row>
    <row r="28003">
      <c r="B28003" s="19"/>
      <c r="E28003" s="23"/>
      <c r="L28003" s="23"/>
    </row>
    <row r="28004">
      <c r="B28004" s="19"/>
      <c r="E28004" s="23"/>
      <c r="L28004" s="23"/>
    </row>
    <row r="28005">
      <c r="B28005" s="19"/>
      <c r="E28005" s="23"/>
      <c r="L28005" s="23"/>
    </row>
    <row r="28006">
      <c r="B28006" s="19"/>
      <c r="E28006" s="23"/>
      <c r="L28006" s="23"/>
    </row>
    <row r="28007">
      <c r="B28007" s="19"/>
      <c r="E28007" s="23"/>
      <c r="L28007" s="23"/>
    </row>
    <row r="28008">
      <c r="B28008" s="19"/>
      <c r="E28008" s="23"/>
      <c r="L28008" s="23"/>
    </row>
    <row r="28009">
      <c r="B28009" s="19"/>
      <c r="E28009" s="23"/>
      <c r="L28009" s="23"/>
    </row>
    <row r="28010">
      <c r="B28010" s="19"/>
      <c r="E28010" s="23"/>
      <c r="L28010" s="23"/>
    </row>
    <row r="28011">
      <c r="B28011" s="19"/>
      <c r="E28011" s="23"/>
      <c r="L28011" s="23"/>
    </row>
    <row r="28012">
      <c r="B28012" s="19"/>
      <c r="E28012" s="23"/>
      <c r="L28012" s="23"/>
    </row>
    <row r="28013">
      <c r="B28013" s="19"/>
      <c r="E28013" s="23"/>
      <c r="L28013" s="23"/>
    </row>
    <row r="28014">
      <c r="B28014" s="19"/>
      <c r="E28014" s="23"/>
      <c r="L28014" s="23"/>
    </row>
    <row r="28015">
      <c r="B28015" s="19"/>
      <c r="E28015" s="23"/>
      <c r="L28015" s="23"/>
    </row>
    <row r="28016">
      <c r="B28016" s="19"/>
      <c r="E28016" s="23"/>
      <c r="L28016" s="23"/>
    </row>
    <row r="28017">
      <c r="B28017" s="19"/>
      <c r="E28017" s="23"/>
      <c r="L28017" s="23"/>
    </row>
    <row r="28018">
      <c r="B28018" s="19"/>
      <c r="E28018" s="23"/>
      <c r="L28018" s="23"/>
    </row>
    <row r="28019">
      <c r="B28019" s="19"/>
      <c r="E28019" s="23"/>
      <c r="L28019" s="23"/>
    </row>
    <row r="28020">
      <c r="B28020" s="19"/>
      <c r="E28020" s="23"/>
      <c r="L28020" s="23"/>
    </row>
    <row r="28021">
      <c r="B28021" s="19"/>
      <c r="E28021" s="23"/>
      <c r="L28021" s="23"/>
    </row>
    <row r="28022">
      <c r="B28022" s="19"/>
      <c r="E28022" s="23"/>
      <c r="L28022" s="23"/>
    </row>
    <row r="28023">
      <c r="B28023" s="19"/>
      <c r="E28023" s="23"/>
      <c r="L28023" s="23"/>
    </row>
    <row r="28024">
      <c r="B28024" s="19"/>
      <c r="E28024" s="23"/>
      <c r="L28024" s="23"/>
    </row>
    <row r="28025">
      <c r="B28025" s="19"/>
      <c r="E28025" s="23"/>
      <c r="L28025" s="23"/>
    </row>
    <row r="28026">
      <c r="B28026" s="19"/>
      <c r="E28026" s="23"/>
      <c r="L28026" s="23"/>
    </row>
    <row r="28027">
      <c r="B28027" s="19"/>
      <c r="E28027" s="23"/>
      <c r="L28027" s="23"/>
    </row>
    <row r="28028">
      <c r="B28028" s="19"/>
      <c r="E28028" s="23"/>
      <c r="L28028" s="23"/>
    </row>
    <row r="28029">
      <c r="B28029" s="19"/>
      <c r="E28029" s="23"/>
      <c r="L28029" s="23"/>
    </row>
    <row r="28030">
      <c r="B28030" s="19"/>
      <c r="E28030" s="23"/>
      <c r="L28030" s="23"/>
    </row>
    <row r="28031">
      <c r="B28031" s="19"/>
      <c r="E28031" s="23"/>
      <c r="L28031" s="23"/>
    </row>
    <row r="28032">
      <c r="B28032" s="19"/>
      <c r="E28032" s="23"/>
      <c r="L28032" s="23"/>
    </row>
    <row r="28033">
      <c r="B28033" s="19"/>
      <c r="E28033" s="23"/>
      <c r="L28033" s="23"/>
    </row>
    <row r="28034">
      <c r="B28034" s="19"/>
      <c r="E28034" s="23"/>
      <c r="L28034" s="23"/>
    </row>
    <row r="28035">
      <c r="B28035" s="19"/>
      <c r="E28035" s="23"/>
      <c r="L28035" s="23"/>
    </row>
    <row r="28036">
      <c r="B28036" s="19"/>
      <c r="E28036" s="23"/>
      <c r="L28036" s="23"/>
    </row>
    <row r="28037">
      <c r="B28037" s="19"/>
      <c r="E28037" s="23"/>
      <c r="L28037" s="23"/>
    </row>
    <row r="28038">
      <c r="B28038" s="19"/>
      <c r="E28038" s="23"/>
      <c r="L28038" s="23"/>
    </row>
    <row r="28039">
      <c r="B28039" s="19"/>
      <c r="E28039" s="23"/>
      <c r="L28039" s="23"/>
    </row>
    <row r="28040">
      <c r="B28040" s="19"/>
      <c r="E28040" s="23"/>
      <c r="L28040" s="23"/>
    </row>
    <row r="28041">
      <c r="B28041" s="19"/>
      <c r="E28041" s="23"/>
      <c r="L28041" s="23"/>
    </row>
    <row r="28042">
      <c r="B28042" s="19"/>
      <c r="E28042" s="23"/>
      <c r="L28042" s="23"/>
    </row>
    <row r="28043">
      <c r="B28043" s="19"/>
      <c r="E28043" s="23"/>
      <c r="L28043" s="23"/>
    </row>
    <row r="28044">
      <c r="B28044" s="19"/>
      <c r="E28044" s="23"/>
      <c r="L28044" s="23"/>
    </row>
    <row r="28045">
      <c r="B28045" s="19"/>
      <c r="E28045" s="23"/>
      <c r="L28045" s="23"/>
    </row>
    <row r="28046">
      <c r="B28046" s="19"/>
      <c r="E28046" s="23"/>
      <c r="L28046" s="23"/>
    </row>
    <row r="28047">
      <c r="B28047" s="19"/>
      <c r="E28047" s="23"/>
      <c r="L28047" s="23"/>
    </row>
    <row r="28048">
      <c r="B28048" s="19"/>
      <c r="E28048" s="23"/>
      <c r="L28048" s="23"/>
    </row>
    <row r="28049">
      <c r="B28049" s="19"/>
      <c r="E28049" s="23"/>
      <c r="L28049" s="23"/>
    </row>
    <row r="28050">
      <c r="B28050" s="19"/>
      <c r="E28050" s="23"/>
      <c r="L28050" s="23"/>
    </row>
    <row r="28051">
      <c r="B28051" s="19"/>
      <c r="E28051" s="23"/>
      <c r="L28051" s="23"/>
    </row>
    <row r="28052">
      <c r="B28052" s="19"/>
      <c r="E28052" s="23"/>
      <c r="L28052" s="23"/>
    </row>
    <row r="28053">
      <c r="B28053" s="19"/>
      <c r="E28053" s="23"/>
      <c r="L28053" s="23"/>
    </row>
    <row r="28054">
      <c r="B28054" s="19"/>
      <c r="E28054" s="23"/>
      <c r="L28054" s="23"/>
    </row>
    <row r="28055">
      <c r="B28055" s="19"/>
      <c r="E28055" s="23"/>
      <c r="L28055" s="23"/>
    </row>
    <row r="28056">
      <c r="B28056" s="19"/>
      <c r="E28056" s="23"/>
      <c r="L28056" s="23"/>
    </row>
    <row r="28057">
      <c r="B28057" s="19"/>
      <c r="E28057" s="23"/>
      <c r="L28057" s="23"/>
    </row>
    <row r="28058">
      <c r="B28058" s="19"/>
      <c r="E28058" s="23"/>
      <c r="L28058" s="23"/>
    </row>
    <row r="28059">
      <c r="B28059" s="19"/>
      <c r="E28059" s="23"/>
      <c r="L28059" s="23"/>
    </row>
    <row r="28060">
      <c r="B28060" s="19"/>
      <c r="E28060" s="23"/>
      <c r="L28060" s="23"/>
    </row>
    <row r="28061">
      <c r="B28061" s="19"/>
      <c r="E28061" s="23"/>
      <c r="L28061" s="23"/>
    </row>
    <row r="28062">
      <c r="B28062" s="19"/>
      <c r="E28062" s="23"/>
      <c r="L28062" s="23"/>
    </row>
    <row r="28063">
      <c r="B28063" s="19"/>
      <c r="E28063" s="23"/>
      <c r="L28063" s="23"/>
    </row>
    <row r="28064">
      <c r="B28064" s="19"/>
      <c r="E28064" s="23"/>
      <c r="L28064" s="23"/>
    </row>
    <row r="28065">
      <c r="B28065" s="19"/>
      <c r="E28065" s="23"/>
      <c r="L28065" s="23"/>
    </row>
    <row r="28066">
      <c r="B28066" s="19"/>
      <c r="E28066" s="23"/>
      <c r="L28066" s="23"/>
    </row>
    <row r="28067">
      <c r="B28067" s="19"/>
      <c r="E28067" s="23"/>
      <c r="L28067" s="23"/>
    </row>
    <row r="28068">
      <c r="B28068" s="19"/>
      <c r="E28068" s="23"/>
      <c r="L28068" s="23"/>
    </row>
    <row r="28069">
      <c r="B28069" s="19"/>
      <c r="E28069" s="23"/>
      <c r="L28069" s="23"/>
    </row>
    <row r="28070">
      <c r="B28070" s="19"/>
      <c r="E28070" s="23"/>
      <c r="L28070" s="23"/>
    </row>
    <row r="28071">
      <c r="B28071" s="19"/>
      <c r="E28071" s="23"/>
      <c r="L28071" s="23"/>
    </row>
    <row r="28072">
      <c r="B28072" s="19"/>
      <c r="E28072" s="23"/>
      <c r="L28072" s="23"/>
    </row>
    <row r="28073">
      <c r="B28073" s="19"/>
      <c r="E28073" s="23"/>
      <c r="L28073" s="23"/>
    </row>
    <row r="28074">
      <c r="B28074" s="19"/>
      <c r="E28074" s="23"/>
      <c r="L28074" s="23"/>
    </row>
    <row r="28075">
      <c r="B28075" s="19"/>
      <c r="E28075" s="23"/>
      <c r="L28075" s="23"/>
    </row>
    <row r="28076">
      <c r="B28076" s="19"/>
      <c r="E28076" s="23"/>
      <c r="L28076" s="23"/>
    </row>
    <row r="28077">
      <c r="B28077" s="19"/>
      <c r="E28077" s="23"/>
      <c r="L28077" s="23"/>
    </row>
    <row r="28078">
      <c r="B28078" s="19"/>
      <c r="E28078" s="23"/>
      <c r="L28078" s="23"/>
    </row>
    <row r="28079">
      <c r="B28079" s="19"/>
      <c r="E28079" s="23"/>
      <c r="L28079" s="23"/>
    </row>
    <row r="28080">
      <c r="B28080" s="19"/>
      <c r="E28080" s="23"/>
      <c r="L28080" s="23"/>
    </row>
    <row r="28081">
      <c r="B28081" s="19"/>
      <c r="E28081" s="23"/>
      <c r="L28081" s="23"/>
    </row>
    <row r="28082">
      <c r="B28082" s="19"/>
      <c r="E28082" s="23"/>
      <c r="L28082" s="23"/>
    </row>
    <row r="28083">
      <c r="B28083" s="19"/>
      <c r="E28083" s="23"/>
      <c r="L28083" s="23"/>
    </row>
    <row r="28084">
      <c r="B28084" s="19"/>
      <c r="E28084" s="23"/>
      <c r="L28084" s="23"/>
    </row>
    <row r="28085">
      <c r="B28085" s="19"/>
      <c r="E28085" s="23"/>
      <c r="L28085" s="23"/>
    </row>
    <row r="28086">
      <c r="B28086" s="19"/>
      <c r="E28086" s="23"/>
      <c r="L28086" s="23"/>
    </row>
    <row r="28087">
      <c r="B28087" s="19"/>
      <c r="E28087" s="23"/>
      <c r="L28087" s="23"/>
    </row>
    <row r="28088">
      <c r="B28088" s="19"/>
      <c r="E28088" s="23"/>
      <c r="L28088" s="23"/>
    </row>
    <row r="28089">
      <c r="B28089" s="19"/>
      <c r="E28089" s="23"/>
      <c r="L28089" s="23"/>
    </row>
    <row r="28090">
      <c r="B28090" s="19"/>
      <c r="E28090" s="23"/>
      <c r="L28090" s="23"/>
    </row>
    <row r="28091">
      <c r="B28091" s="19"/>
      <c r="E28091" s="23"/>
      <c r="L28091" s="23"/>
    </row>
    <row r="28092">
      <c r="B28092" s="19"/>
      <c r="E28092" s="23"/>
      <c r="L28092" s="23"/>
    </row>
    <row r="28093">
      <c r="B28093" s="19"/>
      <c r="E28093" s="23"/>
      <c r="L28093" s="23"/>
    </row>
    <row r="28094">
      <c r="B28094" s="19"/>
      <c r="E28094" s="23"/>
      <c r="L28094" s="23"/>
    </row>
    <row r="28095">
      <c r="B28095" s="19"/>
      <c r="E28095" s="23"/>
      <c r="L28095" s="23"/>
    </row>
    <row r="28096">
      <c r="B28096" s="19"/>
      <c r="E28096" s="23"/>
      <c r="L28096" s="23"/>
    </row>
    <row r="28097">
      <c r="B28097" s="19"/>
      <c r="E28097" s="23"/>
      <c r="L28097" s="23"/>
    </row>
    <row r="28098">
      <c r="B28098" s="19"/>
      <c r="E28098" s="23"/>
      <c r="L28098" s="23"/>
    </row>
    <row r="28099">
      <c r="B28099" s="19"/>
      <c r="E28099" s="23"/>
      <c r="L28099" s="23"/>
    </row>
    <row r="28100">
      <c r="B28100" s="19"/>
      <c r="E28100" s="23"/>
      <c r="L28100" s="23"/>
    </row>
    <row r="28101">
      <c r="B28101" s="19"/>
      <c r="E28101" s="23"/>
      <c r="L28101" s="23"/>
    </row>
    <row r="28102">
      <c r="B28102" s="19"/>
      <c r="E28102" s="23"/>
      <c r="L28102" s="23"/>
    </row>
    <row r="28103">
      <c r="B28103" s="19"/>
      <c r="E28103" s="23"/>
      <c r="L28103" s="23"/>
    </row>
    <row r="28104">
      <c r="B28104" s="19"/>
      <c r="E28104" s="23"/>
      <c r="L28104" s="23"/>
    </row>
    <row r="28105">
      <c r="B28105" s="19"/>
      <c r="E28105" s="23"/>
      <c r="L28105" s="23"/>
    </row>
    <row r="28106">
      <c r="B28106" s="19"/>
      <c r="E28106" s="23"/>
      <c r="L28106" s="23"/>
    </row>
    <row r="28107">
      <c r="B28107" s="19"/>
      <c r="E28107" s="23"/>
      <c r="L28107" s="23"/>
    </row>
    <row r="28108">
      <c r="B28108" s="19"/>
      <c r="E28108" s="23"/>
      <c r="L28108" s="23"/>
    </row>
    <row r="28109">
      <c r="B28109" s="19"/>
      <c r="E28109" s="23"/>
      <c r="L28109" s="23"/>
    </row>
    <row r="28110">
      <c r="B28110" s="19"/>
      <c r="E28110" s="23"/>
      <c r="L28110" s="23"/>
    </row>
    <row r="28111">
      <c r="B28111" s="19"/>
      <c r="E28111" s="23"/>
      <c r="L28111" s="23"/>
    </row>
    <row r="28112">
      <c r="B28112" s="19"/>
      <c r="E28112" s="23"/>
      <c r="L28112" s="23"/>
    </row>
    <row r="28113">
      <c r="B28113" s="19"/>
      <c r="E28113" s="23"/>
      <c r="L28113" s="23"/>
    </row>
    <row r="28114">
      <c r="B28114" s="19"/>
      <c r="E28114" s="23"/>
      <c r="L28114" s="23"/>
    </row>
    <row r="28115">
      <c r="B28115" s="19"/>
      <c r="E28115" s="23"/>
      <c r="L28115" s="23"/>
    </row>
    <row r="28116">
      <c r="B28116" s="19"/>
      <c r="E28116" s="23"/>
      <c r="L28116" s="23"/>
    </row>
    <row r="28117">
      <c r="B28117" s="19"/>
      <c r="E28117" s="23"/>
      <c r="L28117" s="23"/>
    </row>
    <row r="28118">
      <c r="B28118" s="19"/>
      <c r="E28118" s="23"/>
      <c r="L28118" s="23"/>
    </row>
    <row r="28119">
      <c r="B28119" s="19"/>
      <c r="E28119" s="23"/>
      <c r="L28119" s="23"/>
    </row>
    <row r="28120">
      <c r="B28120" s="19"/>
      <c r="E28120" s="23"/>
      <c r="L28120" s="23"/>
    </row>
    <row r="28121">
      <c r="B28121" s="19"/>
      <c r="E28121" s="23"/>
      <c r="L28121" s="23"/>
    </row>
    <row r="28122">
      <c r="B28122" s="19"/>
      <c r="E28122" s="23"/>
      <c r="L28122" s="23"/>
    </row>
    <row r="28123">
      <c r="B28123" s="19"/>
      <c r="E28123" s="23"/>
      <c r="L28123" s="23"/>
    </row>
    <row r="28124">
      <c r="B28124" s="19"/>
      <c r="E28124" s="23"/>
      <c r="L28124" s="23"/>
    </row>
    <row r="28125">
      <c r="B28125" s="19"/>
      <c r="E28125" s="23"/>
      <c r="L28125" s="23"/>
    </row>
    <row r="28126">
      <c r="B28126" s="19"/>
      <c r="E28126" s="23"/>
      <c r="L28126" s="23"/>
    </row>
    <row r="28127">
      <c r="B28127" s="19"/>
      <c r="E28127" s="23"/>
      <c r="L28127" s="23"/>
    </row>
    <row r="28128">
      <c r="B28128" s="19"/>
      <c r="E28128" s="23"/>
      <c r="L28128" s="23"/>
    </row>
    <row r="28129">
      <c r="B28129" s="19"/>
      <c r="E28129" s="23"/>
      <c r="L28129" s="23"/>
    </row>
    <row r="28130">
      <c r="B28130" s="19"/>
      <c r="E28130" s="23"/>
      <c r="L28130" s="23"/>
    </row>
    <row r="28131">
      <c r="B28131" s="19"/>
      <c r="E28131" s="23"/>
      <c r="L28131" s="23"/>
    </row>
    <row r="28132">
      <c r="B28132" s="19"/>
      <c r="E28132" s="23"/>
      <c r="L28132" s="23"/>
    </row>
    <row r="28133">
      <c r="B28133" s="19"/>
      <c r="E28133" s="23"/>
      <c r="L28133" s="23"/>
    </row>
    <row r="28134">
      <c r="B28134" s="19"/>
      <c r="E28134" s="23"/>
      <c r="L28134" s="23"/>
    </row>
    <row r="28135">
      <c r="B28135" s="19"/>
      <c r="E28135" s="23"/>
      <c r="L28135" s="23"/>
    </row>
    <row r="28136">
      <c r="B28136" s="19"/>
      <c r="E28136" s="23"/>
      <c r="L28136" s="23"/>
    </row>
    <row r="28137">
      <c r="B28137" s="19"/>
      <c r="E28137" s="23"/>
      <c r="L28137" s="23"/>
    </row>
    <row r="28138">
      <c r="B28138" s="19"/>
      <c r="E28138" s="23"/>
      <c r="L28138" s="23"/>
    </row>
    <row r="28139">
      <c r="B28139" s="19"/>
      <c r="E28139" s="23"/>
      <c r="L28139" s="23"/>
    </row>
    <row r="28140">
      <c r="B28140" s="19"/>
      <c r="E28140" s="23"/>
      <c r="L28140" s="23"/>
    </row>
    <row r="28141">
      <c r="B28141" s="19"/>
      <c r="E28141" s="23"/>
      <c r="L28141" s="23"/>
    </row>
    <row r="28142">
      <c r="B28142" s="19"/>
      <c r="E28142" s="23"/>
      <c r="L28142" s="23"/>
    </row>
    <row r="28143">
      <c r="B28143" s="19"/>
      <c r="E28143" s="23"/>
      <c r="L28143" s="23"/>
    </row>
    <row r="28144">
      <c r="B28144" s="19"/>
      <c r="E28144" s="23"/>
      <c r="L28144" s="23"/>
    </row>
    <row r="28145">
      <c r="B28145" s="19"/>
      <c r="E28145" s="23"/>
      <c r="L28145" s="23"/>
    </row>
    <row r="28146">
      <c r="B28146" s="19"/>
      <c r="E28146" s="23"/>
      <c r="L28146" s="23"/>
    </row>
    <row r="28147">
      <c r="B28147" s="19"/>
      <c r="E28147" s="23"/>
      <c r="L28147" s="23"/>
    </row>
    <row r="28148">
      <c r="B28148" s="19"/>
      <c r="E28148" s="23"/>
      <c r="L28148" s="23"/>
    </row>
    <row r="28149">
      <c r="B28149" s="19"/>
      <c r="E28149" s="23"/>
      <c r="L28149" s="23"/>
    </row>
    <row r="28150">
      <c r="B28150" s="19"/>
      <c r="E28150" s="23"/>
      <c r="L28150" s="23"/>
    </row>
    <row r="28151">
      <c r="B28151" s="19"/>
      <c r="E28151" s="23"/>
      <c r="L28151" s="23"/>
    </row>
    <row r="28152">
      <c r="B28152" s="19"/>
      <c r="E28152" s="23"/>
      <c r="L28152" s="23"/>
    </row>
    <row r="28153">
      <c r="B28153" s="19"/>
      <c r="E28153" s="23"/>
      <c r="L28153" s="23"/>
    </row>
    <row r="28154">
      <c r="B28154" s="19"/>
      <c r="E28154" s="23"/>
      <c r="L28154" s="23"/>
    </row>
    <row r="28155">
      <c r="B28155" s="19"/>
      <c r="E28155" s="23"/>
      <c r="L28155" s="23"/>
    </row>
    <row r="28156">
      <c r="B28156" s="19"/>
      <c r="E28156" s="23"/>
      <c r="L28156" s="23"/>
    </row>
    <row r="28157">
      <c r="B28157" s="19"/>
      <c r="E28157" s="23"/>
      <c r="L28157" s="23"/>
    </row>
    <row r="28158">
      <c r="B28158" s="19"/>
      <c r="E28158" s="23"/>
      <c r="L28158" s="23"/>
    </row>
    <row r="28159">
      <c r="B28159" s="19"/>
      <c r="E28159" s="23"/>
      <c r="L28159" s="23"/>
    </row>
    <row r="28160">
      <c r="B28160" s="19"/>
      <c r="E28160" s="23"/>
      <c r="L28160" s="23"/>
    </row>
    <row r="28161">
      <c r="B28161" s="19"/>
      <c r="E28161" s="23"/>
      <c r="L28161" s="23"/>
    </row>
    <row r="28162">
      <c r="B28162" s="19"/>
      <c r="E28162" s="23"/>
      <c r="L28162" s="23"/>
    </row>
    <row r="28163">
      <c r="B28163" s="19"/>
      <c r="E28163" s="23"/>
      <c r="L28163" s="23"/>
    </row>
    <row r="28164">
      <c r="B28164" s="19"/>
      <c r="E28164" s="23"/>
      <c r="L28164" s="23"/>
    </row>
    <row r="28165">
      <c r="B28165" s="19"/>
      <c r="E28165" s="23"/>
      <c r="L28165" s="23"/>
    </row>
    <row r="28166">
      <c r="B28166" s="19"/>
      <c r="E28166" s="23"/>
      <c r="L28166" s="23"/>
    </row>
    <row r="28167">
      <c r="B28167" s="19"/>
      <c r="E28167" s="23"/>
      <c r="L28167" s="23"/>
    </row>
    <row r="28168">
      <c r="B28168" s="19"/>
      <c r="E28168" s="23"/>
      <c r="L28168" s="23"/>
    </row>
    <row r="28169">
      <c r="B28169" s="19"/>
      <c r="E28169" s="23"/>
      <c r="L28169" s="23"/>
    </row>
    <row r="28170">
      <c r="B28170" s="19"/>
      <c r="E28170" s="23"/>
      <c r="L28170" s="23"/>
    </row>
    <row r="28171">
      <c r="B28171" s="19"/>
      <c r="E28171" s="23"/>
      <c r="L28171" s="23"/>
    </row>
    <row r="28172">
      <c r="B28172" s="19"/>
      <c r="E28172" s="23"/>
      <c r="L28172" s="23"/>
    </row>
    <row r="28173">
      <c r="B28173" s="19"/>
      <c r="E28173" s="23"/>
      <c r="L28173" s="23"/>
    </row>
    <row r="28174">
      <c r="B28174" s="19"/>
      <c r="E28174" s="23"/>
      <c r="L28174" s="23"/>
    </row>
    <row r="28175">
      <c r="B28175" s="19"/>
      <c r="E28175" s="23"/>
      <c r="L28175" s="23"/>
    </row>
    <row r="28176">
      <c r="B28176" s="19"/>
      <c r="E28176" s="23"/>
      <c r="L28176" s="23"/>
    </row>
    <row r="28177">
      <c r="B28177" s="19"/>
      <c r="E28177" s="23"/>
      <c r="L28177" s="23"/>
    </row>
    <row r="28178">
      <c r="B28178" s="19"/>
      <c r="E28178" s="23"/>
      <c r="L28178" s="23"/>
    </row>
    <row r="28179">
      <c r="B28179" s="19"/>
      <c r="E28179" s="23"/>
      <c r="L28179" s="23"/>
    </row>
    <row r="28180">
      <c r="B28180" s="19"/>
      <c r="E28180" s="23"/>
      <c r="L28180" s="23"/>
    </row>
    <row r="28181">
      <c r="B28181" s="19"/>
      <c r="E28181" s="23"/>
      <c r="L28181" s="23"/>
    </row>
    <row r="28182">
      <c r="B28182" s="19"/>
      <c r="E28182" s="23"/>
      <c r="L28182" s="23"/>
    </row>
    <row r="28183">
      <c r="B28183" s="19"/>
      <c r="E28183" s="23"/>
      <c r="L28183" s="23"/>
    </row>
    <row r="28184">
      <c r="B28184" s="19"/>
      <c r="E28184" s="23"/>
      <c r="L28184" s="23"/>
    </row>
    <row r="28185">
      <c r="B28185" s="19"/>
      <c r="E28185" s="23"/>
      <c r="L28185" s="23"/>
    </row>
    <row r="28186">
      <c r="B28186" s="19"/>
      <c r="E28186" s="23"/>
      <c r="L28186" s="23"/>
    </row>
    <row r="28187">
      <c r="B28187" s="19"/>
      <c r="E28187" s="23"/>
      <c r="L28187" s="23"/>
    </row>
    <row r="28188">
      <c r="B28188" s="19"/>
      <c r="E28188" s="23"/>
      <c r="L28188" s="23"/>
    </row>
    <row r="28189">
      <c r="B28189" s="19"/>
      <c r="E28189" s="23"/>
      <c r="L28189" s="23"/>
    </row>
    <row r="28190">
      <c r="B28190" s="19"/>
      <c r="E28190" s="23"/>
      <c r="L28190" s="23"/>
    </row>
    <row r="28191">
      <c r="B28191" s="19"/>
      <c r="E28191" s="23"/>
      <c r="L28191" s="23"/>
    </row>
    <row r="28192">
      <c r="B28192" s="19"/>
      <c r="E28192" s="23"/>
      <c r="L28192" s="23"/>
    </row>
    <row r="28193">
      <c r="B28193" s="19"/>
      <c r="E28193" s="23"/>
      <c r="L28193" s="23"/>
    </row>
    <row r="28194">
      <c r="B28194" s="19"/>
      <c r="E28194" s="23"/>
      <c r="L28194" s="23"/>
    </row>
    <row r="28195">
      <c r="B28195" s="19"/>
      <c r="E28195" s="23"/>
      <c r="L28195" s="23"/>
    </row>
    <row r="28196">
      <c r="B28196" s="19"/>
      <c r="E28196" s="23"/>
      <c r="L28196" s="23"/>
    </row>
    <row r="28197">
      <c r="B28197" s="19"/>
      <c r="E28197" s="23"/>
      <c r="L28197" s="23"/>
    </row>
    <row r="28198">
      <c r="B28198" s="19"/>
      <c r="E28198" s="23"/>
      <c r="L28198" s="23"/>
    </row>
    <row r="28199">
      <c r="B28199" s="19"/>
      <c r="E28199" s="23"/>
      <c r="L28199" s="23"/>
    </row>
    <row r="28200">
      <c r="B28200" s="19"/>
      <c r="E28200" s="23"/>
      <c r="L28200" s="23"/>
    </row>
    <row r="28201">
      <c r="B28201" s="19"/>
      <c r="E28201" s="23"/>
      <c r="L28201" s="23"/>
    </row>
    <row r="28202">
      <c r="B28202" s="19"/>
      <c r="E28202" s="23"/>
      <c r="L28202" s="23"/>
    </row>
    <row r="28203">
      <c r="B28203" s="19"/>
      <c r="E28203" s="23"/>
      <c r="L28203" s="23"/>
    </row>
    <row r="28204">
      <c r="B28204" s="19"/>
      <c r="E28204" s="23"/>
      <c r="L28204" s="23"/>
    </row>
    <row r="28205">
      <c r="B28205" s="19"/>
      <c r="E28205" s="23"/>
      <c r="L28205" s="23"/>
    </row>
    <row r="28206">
      <c r="B28206" s="19"/>
      <c r="E28206" s="23"/>
      <c r="L28206" s="23"/>
    </row>
    <row r="28207">
      <c r="B28207" s="19"/>
      <c r="E28207" s="23"/>
      <c r="L28207" s="23"/>
    </row>
    <row r="28208">
      <c r="B28208" s="19"/>
      <c r="E28208" s="23"/>
      <c r="L28208" s="23"/>
    </row>
    <row r="28209">
      <c r="B28209" s="19"/>
      <c r="E28209" s="23"/>
      <c r="L28209" s="23"/>
    </row>
    <row r="28210">
      <c r="B28210" s="19"/>
      <c r="E28210" s="23"/>
      <c r="L28210" s="23"/>
    </row>
    <row r="28211">
      <c r="B28211" s="19"/>
      <c r="E28211" s="23"/>
      <c r="L28211" s="23"/>
    </row>
    <row r="28212">
      <c r="B28212" s="19"/>
      <c r="E28212" s="23"/>
      <c r="L28212" s="23"/>
    </row>
    <row r="28213">
      <c r="B28213" s="19"/>
      <c r="E28213" s="23"/>
      <c r="L28213" s="23"/>
    </row>
    <row r="28214">
      <c r="B28214" s="19"/>
      <c r="E28214" s="23"/>
      <c r="L28214" s="23"/>
    </row>
    <row r="28215">
      <c r="B28215" s="19"/>
      <c r="E28215" s="23"/>
      <c r="L28215" s="23"/>
    </row>
    <row r="28216">
      <c r="B28216" s="19"/>
      <c r="E28216" s="23"/>
      <c r="L28216" s="23"/>
    </row>
    <row r="28217">
      <c r="B28217" s="19"/>
      <c r="E28217" s="23"/>
      <c r="L28217" s="23"/>
    </row>
    <row r="28218">
      <c r="B28218" s="19"/>
      <c r="E28218" s="23"/>
      <c r="L28218" s="23"/>
    </row>
    <row r="28219">
      <c r="B28219" s="19"/>
      <c r="E28219" s="23"/>
      <c r="L28219" s="23"/>
    </row>
    <row r="28220">
      <c r="B28220" s="19"/>
      <c r="E28220" s="23"/>
      <c r="L28220" s="23"/>
    </row>
    <row r="28221">
      <c r="B28221" s="19"/>
      <c r="E28221" s="23"/>
      <c r="L28221" s="23"/>
    </row>
    <row r="28222">
      <c r="B28222" s="19"/>
      <c r="E28222" s="23"/>
      <c r="L28222" s="23"/>
    </row>
    <row r="28223">
      <c r="B28223" s="19"/>
      <c r="E28223" s="23"/>
      <c r="L28223" s="23"/>
    </row>
    <row r="28224">
      <c r="B28224" s="19"/>
      <c r="E28224" s="23"/>
      <c r="L28224" s="23"/>
    </row>
    <row r="28225">
      <c r="B28225" s="19"/>
      <c r="E28225" s="23"/>
      <c r="L28225" s="23"/>
    </row>
    <row r="28226">
      <c r="B28226" s="19"/>
      <c r="E28226" s="23"/>
      <c r="L28226" s="23"/>
    </row>
    <row r="28227">
      <c r="B28227" s="19"/>
      <c r="E28227" s="23"/>
      <c r="L28227" s="23"/>
    </row>
    <row r="28228">
      <c r="B28228" s="19"/>
      <c r="E28228" s="23"/>
      <c r="L28228" s="23"/>
    </row>
    <row r="28229">
      <c r="B28229" s="19"/>
      <c r="E28229" s="23"/>
      <c r="L28229" s="23"/>
    </row>
    <row r="28230">
      <c r="B28230" s="19"/>
      <c r="E28230" s="23"/>
      <c r="L28230" s="23"/>
    </row>
    <row r="28231">
      <c r="B28231" s="19"/>
      <c r="E28231" s="23"/>
      <c r="L28231" s="23"/>
    </row>
    <row r="28232">
      <c r="B28232" s="19"/>
      <c r="E28232" s="23"/>
      <c r="L28232" s="23"/>
    </row>
    <row r="28233">
      <c r="B28233" s="19"/>
      <c r="E28233" s="23"/>
      <c r="L28233" s="23"/>
    </row>
    <row r="28234">
      <c r="B28234" s="19"/>
      <c r="E28234" s="23"/>
      <c r="L28234" s="23"/>
    </row>
    <row r="28235">
      <c r="B28235" s="19"/>
      <c r="E28235" s="23"/>
      <c r="L28235" s="23"/>
    </row>
    <row r="28236">
      <c r="B28236" s="19"/>
      <c r="E28236" s="23"/>
      <c r="L28236" s="23"/>
    </row>
    <row r="28237">
      <c r="B28237" s="19"/>
      <c r="E28237" s="23"/>
      <c r="L28237" s="23"/>
    </row>
    <row r="28238">
      <c r="B28238" s="19"/>
      <c r="E28238" s="23"/>
      <c r="L28238" s="23"/>
    </row>
    <row r="28239">
      <c r="B28239" s="19"/>
      <c r="E28239" s="23"/>
      <c r="L28239" s="23"/>
    </row>
    <row r="28240">
      <c r="B28240" s="19"/>
      <c r="E28240" s="23"/>
      <c r="L28240" s="23"/>
    </row>
    <row r="28241">
      <c r="B28241" s="19"/>
      <c r="E28241" s="23"/>
      <c r="L28241" s="23"/>
    </row>
    <row r="28242">
      <c r="B28242" s="19"/>
      <c r="E28242" s="23"/>
      <c r="L28242" s="23"/>
    </row>
    <row r="28243">
      <c r="B28243" s="19"/>
      <c r="E28243" s="23"/>
      <c r="L28243" s="23"/>
    </row>
    <row r="28244">
      <c r="B28244" s="19"/>
      <c r="E28244" s="23"/>
      <c r="L28244" s="23"/>
    </row>
    <row r="28245">
      <c r="B28245" s="19"/>
      <c r="E28245" s="23"/>
      <c r="L28245" s="23"/>
    </row>
    <row r="28246">
      <c r="B28246" s="19"/>
      <c r="E28246" s="23"/>
      <c r="L28246" s="23"/>
    </row>
    <row r="28247">
      <c r="B28247" s="19"/>
      <c r="E28247" s="23"/>
      <c r="L28247" s="23"/>
    </row>
    <row r="28248">
      <c r="B28248" s="19"/>
      <c r="E28248" s="23"/>
      <c r="L28248" s="23"/>
    </row>
    <row r="28249">
      <c r="B28249" s="19"/>
      <c r="E28249" s="23"/>
      <c r="L28249" s="23"/>
    </row>
    <row r="28250">
      <c r="B28250" s="19"/>
      <c r="E28250" s="23"/>
      <c r="L28250" s="23"/>
    </row>
    <row r="28251">
      <c r="B28251" s="19"/>
      <c r="E28251" s="23"/>
      <c r="L28251" s="23"/>
    </row>
    <row r="28252">
      <c r="B28252" s="19"/>
      <c r="E28252" s="23"/>
      <c r="L28252" s="23"/>
    </row>
    <row r="28253">
      <c r="B28253" s="19"/>
      <c r="E28253" s="23"/>
      <c r="L28253" s="23"/>
    </row>
    <row r="28254">
      <c r="B28254" s="19"/>
      <c r="E28254" s="23"/>
      <c r="L28254" s="23"/>
    </row>
    <row r="28255">
      <c r="B28255" s="19"/>
      <c r="E28255" s="23"/>
      <c r="L28255" s="23"/>
    </row>
    <row r="28256">
      <c r="B28256" s="19"/>
      <c r="E28256" s="23"/>
      <c r="L28256" s="23"/>
    </row>
    <row r="28257">
      <c r="B28257" s="19"/>
      <c r="E28257" s="23"/>
      <c r="L28257" s="23"/>
    </row>
    <row r="28258">
      <c r="B28258" s="19"/>
      <c r="E28258" s="23"/>
      <c r="L28258" s="23"/>
    </row>
    <row r="28259">
      <c r="B28259" s="19"/>
      <c r="E28259" s="23"/>
      <c r="L28259" s="23"/>
    </row>
    <row r="28260">
      <c r="B28260" s="19"/>
      <c r="E28260" s="23"/>
      <c r="L28260" s="23"/>
    </row>
    <row r="28261">
      <c r="B28261" s="19"/>
      <c r="E28261" s="23"/>
      <c r="L28261" s="23"/>
    </row>
    <row r="28262">
      <c r="B28262" s="19"/>
      <c r="E28262" s="23"/>
      <c r="L28262" s="23"/>
    </row>
    <row r="28263">
      <c r="B28263" s="19"/>
      <c r="E28263" s="23"/>
      <c r="L28263" s="23"/>
    </row>
    <row r="28264">
      <c r="B28264" s="19"/>
      <c r="E28264" s="23"/>
      <c r="L28264" s="23"/>
    </row>
    <row r="28265">
      <c r="B28265" s="19"/>
      <c r="E28265" s="23"/>
      <c r="L28265" s="23"/>
    </row>
    <row r="28266">
      <c r="B28266" s="19"/>
      <c r="E28266" s="23"/>
      <c r="L28266" s="23"/>
    </row>
    <row r="28267">
      <c r="B28267" s="19"/>
      <c r="E28267" s="23"/>
      <c r="L28267" s="23"/>
    </row>
    <row r="28268">
      <c r="B28268" s="19"/>
      <c r="E28268" s="23"/>
      <c r="L28268" s="23"/>
    </row>
    <row r="28269">
      <c r="B28269" s="19"/>
      <c r="E28269" s="23"/>
      <c r="L28269" s="23"/>
    </row>
    <row r="28270">
      <c r="B28270" s="19"/>
      <c r="E28270" s="23"/>
      <c r="L28270" s="23"/>
    </row>
    <row r="28271">
      <c r="B28271" s="19"/>
      <c r="E28271" s="23"/>
      <c r="L28271" s="23"/>
    </row>
    <row r="28272">
      <c r="B28272" s="19"/>
      <c r="E28272" s="23"/>
      <c r="L28272" s="23"/>
    </row>
    <row r="28273">
      <c r="B28273" s="19"/>
      <c r="E28273" s="23"/>
      <c r="L28273" s="23"/>
    </row>
    <row r="28274">
      <c r="B28274" s="19"/>
      <c r="E28274" s="23"/>
      <c r="L28274" s="23"/>
    </row>
    <row r="28275">
      <c r="B28275" s="19"/>
      <c r="E28275" s="23"/>
      <c r="L28275" s="23"/>
    </row>
    <row r="28276">
      <c r="B28276" s="19"/>
      <c r="E28276" s="23"/>
      <c r="L28276" s="23"/>
    </row>
    <row r="28277">
      <c r="B28277" s="19"/>
      <c r="E28277" s="23"/>
      <c r="L28277" s="23"/>
    </row>
    <row r="28278">
      <c r="B28278" s="19"/>
      <c r="E28278" s="23"/>
      <c r="L28278" s="23"/>
    </row>
    <row r="28279">
      <c r="B28279" s="19"/>
      <c r="E28279" s="23"/>
      <c r="L28279" s="23"/>
    </row>
    <row r="28280">
      <c r="B28280" s="19"/>
      <c r="E28280" s="23"/>
      <c r="L28280" s="23"/>
    </row>
    <row r="28281">
      <c r="B28281" s="19"/>
      <c r="E28281" s="23"/>
      <c r="L28281" s="23"/>
    </row>
    <row r="28282">
      <c r="B28282" s="19"/>
      <c r="E28282" s="23"/>
      <c r="L28282" s="23"/>
    </row>
    <row r="28283">
      <c r="B28283" s="19"/>
      <c r="E28283" s="23"/>
      <c r="L28283" s="23"/>
    </row>
    <row r="28284">
      <c r="B28284" s="19"/>
      <c r="E28284" s="23"/>
      <c r="L28284" s="23"/>
    </row>
    <row r="28285">
      <c r="B28285" s="19"/>
      <c r="E28285" s="23"/>
      <c r="L28285" s="23"/>
    </row>
    <row r="28286">
      <c r="B28286" s="19"/>
      <c r="E28286" s="23"/>
      <c r="L28286" s="23"/>
    </row>
    <row r="28287">
      <c r="B28287" s="19"/>
      <c r="E28287" s="23"/>
      <c r="L28287" s="23"/>
    </row>
    <row r="28288">
      <c r="B28288" s="19"/>
      <c r="E28288" s="23"/>
      <c r="L28288" s="23"/>
    </row>
    <row r="28289">
      <c r="B28289" s="19"/>
      <c r="E28289" s="23"/>
      <c r="L28289" s="23"/>
    </row>
    <row r="28290">
      <c r="B28290" s="19"/>
      <c r="E28290" s="23"/>
      <c r="L28290" s="23"/>
    </row>
    <row r="28291">
      <c r="B28291" s="19"/>
      <c r="E28291" s="23"/>
      <c r="L28291" s="23"/>
    </row>
    <row r="28292">
      <c r="B28292" s="19"/>
      <c r="E28292" s="23"/>
      <c r="L28292" s="23"/>
    </row>
    <row r="28293">
      <c r="B28293" s="19"/>
      <c r="E28293" s="23"/>
      <c r="L28293" s="23"/>
    </row>
    <row r="28294">
      <c r="B28294" s="19"/>
      <c r="E28294" s="23"/>
      <c r="L28294" s="23"/>
    </row>
    <row r="28295">
      <c r="B28295" s="19"/>
      <c r="E28295" s="23"/>
      <c r="L28295" s="23"/>
    </row>
    <row r="28296">
      <c r="B28296" s="19"/>
      <c r="E28296" s="23"/>
      <c r="L28296" s="23"/>
    </row>
    <row r="28297">
      <c r="B28297" s="19"/>
      <c r="E28297" s="23"/>
      <c r="L28297" s="23"/>
    </row>
    <row r="28298">
      <c r="B28298" s="19"/>
      <c r="E28298" s="23"/>
      <c r="L28298" s="23"/>
    </row>
    <row r="28299">
      <c r="B28299" s="19"/>
      <c r="E28299" s="23"/>
      <c r="L28299" s="23"/>
    </row>
    <row r="28300">
      <c r="B28300" s="19"/>
      <c r="E28300" s="23"/>
      <c r="L28300" s="23"/>
    </row>
    <row r="28301">
      <c r="B28301" s="19"/>
      <c r="E28301" s="23"/>
      <c r="L28301" s="23"/>
    </row>
    <row r="28302">
      <c r="B28302" s="19"/>
      <c r="E28302" s="23"/>
      <c r="L28302" s="23"/>
    </row>
    <row r="28303">
      <c r="B28303" s="19"/>
      <c r="E28303" s="23"/>
      <c r="L28303" s="23"/>
    </row>
    <row r="28304">
      <c r="B28304" s="19"/>
      <c r="E28304" s="23"/>
      <c r="L28304" s="23"/>
    </row>
    <row r="28305">
      <c r="B28305" s="19"/>
      <c r="E28305" s="23"/>
      <c r="L28305" s="23"/>
    </row>
    <row r="28306">
      <c r="B28306" s="19"/>
      <c r="E28306" s="23"/>
      <c r="L28306" s="23"/>
    </row>
    <row r="28307">
      <c r="B28307" s="19"/>
      <c r="E28307" s="23"/>
      <c r="L28307" s="23"/>
    </row>
    <row r="28308">
      <c r="B28308" s="19"/>
      <c r="E28308" s="23"/>
      <c r="L28308" s="23"/>
    </row>
    <row r="28309">
      <c r="B28309" s="19"/>
      <c r="E28309" s="23"/>
      <c r="L28309" s="23"/>
    </row>
    <row r="28310">
      <c r="B28310" s="19"/>
      <c r="E28310" s="23"/>
      <c r="L28310" s="23"/>
    </row>
    <row r="28311">
      <c r="B28311" s="19"/>
      <c r="E28311" s="23"/>
      <c r="L28311" s="23"/>
    </row>
    <row r="28312">
      <c r="B28312" s="19"/>
      <c r="E28312" s="23"/>
      <c r="L28312" s="23"/>
    </row>
    <row r="28313">
      <c r="B28313" s="19"/>
      <c r="E28313" s="23"/>
      <c r="L28313" s="23"/>
    </row>
    <row r="28314">
      <c r="B28314" s="19"/>
      <c r="E28314" s="23"/>
      <c r="L28314" s="23"/>
    </row>
    <row r="28315">
      <c r="B28315" s="19"/>
      <c r="E28315" s="23"/>
      <c r="L28315" s="23"/>
    </row>
    <row r="28316">
      <c r="B28316" s="19"/>
      <c r="E28316" s="23"/>
      <c r="L28316" s="23"/>
    </row>
    <row r="28317">
      <c r="B28317" s="19"/>
      <c r="E28317" s="23"/>
      <c r="L28317" s="23"/>
    </row>
    <row r="28318">
      <c r="B28318" s="19"/>
      <c r="E28318" s="23"/>
      <c r="L28318" s="23"/>
    </row>
    <row r="28319">
      <c r="B28319" s="19"/>
      <c r="E28319" s="23"/>
      <c r="L28319" s="23"/>
    </row>
    <row r="28320">
      <c r="B28320" s="19"/>
      <c r="E28320" s="23"/>
      <c r="L28320" s="23"/>
    </row>
    <row r="28321">
      <c r="B28321" s="19"/>
      <c r="E28321" s="23"/>
      <c r="L28321" s="23"/>
    </row>
    <row r="28322">
      <c r="B28322" s="19"/>
      <c r="E28322" s="23"/>
      <c r="L28322" s="23"/>
    </row>
    <row r="28323">
      <c r="B28323" s="19"/>
      <c r="E28323" s="23"/>
      <c r="L28323" s="23"/>
    </row>
    <row r="28324">
      <c r="B28324" s="19"/>
      <c r="E28324" s="23"/>
      <c r="L28324" s="23"/>
    </row>
    <row r="28325">
      <c r="B28325" s="19"/>
      <c r="E28325" s="23"/>
      <c r="L28325" s="23"/>
    </row>
    <row r="28326">
      <c r="B28326" s="19"/>
      <c r="E28326" s="23"/>
      <c r="L28326" s="23"/>
    </row>
    <row r="28327">
      <c r="B28327" s="19"/>
      <c r="E28327" s="23"/>
      <c r="L28327" s="23"/>
    </row>
    <row r="28328">
      <c r="B28328" s="19"/>
      <c r="E28328" s="23"/>
      <c r="L28328" s="23"/>
    </row>
    <row r="28329">
      <c r="B28329" s="19"/>
      <c r="E28329" s="23"/>
      <c r="L28329" s="23"/>
    </row>
    <row r="28330">
      <c r="B28330" s="19"/>
      <c r="E28330" s="23"/>
      <c r="L28330" s="23"/>
    </row>
    <row r="28331">
      <c r="B28331" s="19"/>
      <c r="E28331" s="23"/>
      <c r="L28331" s="23"/>
    </row>
    <row r="28332">
      <c r="B28332" s="19"/>
      <c r="E28332" s="23"/>
      <c r="L28332" s="23"/>
    </row>
    <row r="28333">
      <c r="B28333" s="19"/>
      <c r="E28333" s="23"/>
      <c r="L28333" s="23"/>
    </row>
    <row r="28334">
      <c r="B28334" s="19"/>
      <c r="E28334" s="23"/>
      <c r="L28334" s="23"/>
    </row>
    <row r="28335">
      <c r="B28335" s="19"/>
      <c r="E28335" s="23"/>
      <c r="L28335" s="23"/>
    </row>
    <row r="28336">
      <c r="B28336" s="19"/>
      <c r="E28336" s="23"/>
      <c r="L28336" s="23"/>
    </row>
    <row r="28337">
      <c r="B28337" s="19"/>
      <c r="E28337" s="23"/>
      <c r="L28337" s="23"/>
    </row>
    <row r="28338">
      <c r="B28338" s="19"/>
      <c r="E28338" s="23"/>
      <c r="L28338" s="23"/>
    </row>
    <row r="28339">
      <c r="B28339" s="19"/>
      <c r="E28339" s="23"/>
      <c r="L28339" s="23"/>
    </row>
    <row r="28340">
      <c r="B28340" s="19"/>
      <c r="E28340" s="23"/>
      <c r="L28340" s="23"/>
    </row>
    <row r="28341">
      <c r="B28341" s="19"/>
      <c r="E28341" s="23"/>
      <c r="L28341" s="23"/>
    </row>
    <row r="28342">
      <c r="B28342" s="19"/>
      <c r="E28342" s="23"/>
      <c r="L28342" s="23"/>
    </row>
    <row r="28343">
      <c r="B28343" s="19"/>
      <c r="E28343" s="23"/>
      <c r="L28343" s="23"/>
    </row>
    <row r="28344">
      <c r="B28344" s="19"/>
      <c r="E28344" s="23"/>
      <c r="L28344" s="23"/>
    </row>
    <row r="28345">
      <c r="B28345" s="19"/>
      <c r="E28345" s="23"/>
      <c r="L28345" s="23"/>
    </row>
    <row r="28346">
      <c r="B28346" s="19"/>
      <c r="E28346" s="23"/>
      <c r="L28346" s="23"/>
    </row>
    <row r="28347">
      <c r="B28347" s="19"/>
      <c r="E28347" s="23"/>
      <c r="L28347" s="23"/>
    </row>
    <row r="28348">
      <c r="B28348" s="19"/>
      <c r="E28348" s="23"/>
      <c r="L28348" s="23"/>
    </row>
    <row r="28349">
      <c r="B28349" s="19"/>
      <c r="E28349" s="23"/>
      <c r="L28349" s="23"/>
    </row>
    <row r="28350">
      <c r="B28350" s="19"/>
      <c r="E28350" s="23"/>
      <c r="L28350" s="23"/>
    </row>
    <row r="28351">
      <c r="B28351" s="19"/>
      <c r="E28351" s="23"/>
      <c r="L28351" s="23"/>
    </row>
    <row r="28352">
      <c r="B28352" s="19"/>
      <c r="E28352" s="23"/>
      <c r="L28352" s="23"/>
    </row>
    <row r="28353">
      <c r="B28353" s="19"/>
      <c r="E28353" s="23"/>
      <c r="L28353" s="23"/>
    </row>
    <row r="28354">
      <c r="B28354" s="19"/>
      <c r="E28354" s="23"/>
      <c r="L28354" s="23"/>
    </row>
    <row r="28355">
      <c r="B28355" s="19"/>
      <c r="E28355" s="23"/>
      <c r="L28355" s="23"/>
    </row>
    <row r="28356">
      <c r="B28356" s="19"/>
      <c r="E28356" s="23"/>
      <c r="L28356" s="23"/>
    </row>
    <row r="28357">
      <c r="B28357" s="19"/>
      <c r="E28357" s="23"/>
      <c r="L28357" s="23"/>
    </row>
    <row r="28358">
      <c r="B28358" s="19"/>
      <c r="E28358" s="23"/>
      <c r="L28358" s="23"/>
    </row>
    <row r="28359">
      <c r="B28359" s="19"/>
      <c r="E28359" s="23"/>
      <c r="L28359" s="23"/>
    </row>
    <row r="28360">
      <c r="B28360" s="19"/>
      <c r="E28360" s="23"/>
      <c r="L28360" s="23"/>
    </row>
    <row r="28361">
      <c r="B28361" s="19"/>
      <c r="E28361" s="23"/>
      <c r="L28361" s="23"/>
    </row>
    <row r="28362">
      <c r="B28362" s="19"/>
      <c r="E28362" s="23"/>
      <c r="L28362" s="23"/>
    </row>
    <row r="28363">
      <c r="B28363" s="19"/>
      <c r="E28363" s="23"/>
      <c r="L28363" s="23"/>
    </row>
    <row r="28364">
      <c r="B28364" s="19"/>
      <c r="E28364" s="23"/>
      <c r="L28364" s="23"/>
    </row>
    <row r="28365">
      <c r="B28365" s="19"/>
      <c r="E28365" s="23"/>
      <c r="L28365" s="23"/>
    </row>
    <row r="28366">
      <c r="B28366" s="19"/>
      <c r="E28366" s="23"/>
      <c r="L28366" s="23"/>
    </row>
    <row r="28367">
      <c r="B28367" s="19"/>
      <c r="E28367" s="23"/>
      <c r="L28367" s="23"/>
    </row>
    <row r="28368">
      <c r="B28368" s="19"/>
      <c r="E28368" s="23"/>
      <c r="L28368" s="23"/>
    </row>
    <row r="28369">
      <c r="B28369" s="19"/>
      <c r="E28369" s="23"/>
      <c r="L28369" s="23"/>
    </row>
    <row r="28370">
      <c r="B28370" s="19"/>
      <c r="E28370" s="23"/>
      <c r="L28370" s="23"/>
    </row>
    <row r="28371">
      <c r="B28371" s="19"/>
      <c r="E28371" s="23"/>
      <c r="L28371" s="23"/>
    </row>
    <row r="28372">
      <c r="B28372" s="19"/>
      <c r="E28372" s="23"/>
      <c r="L28372" s="23"/>
    </row>
    <row r="28373">
      <c r="B28373" s="19"/>
      <c r="E28373" s="23"/>
      <c r="L28373" s="23"/>
    </row>
    <row r="28374">
      <c r="B28374" s="19"/>
      <c r="E28374" s="23"/>
      <c r="L28374" s="23"/>
    </row>
    <row r="28375">
      <c r="B28375" s="19"/>
      <c r="E28375" s="23"/>
      <c r="L28375" s="23"/>
    </row>
    <row r="28376">
      <c r="B28376" s="19"/>
      <c r="E28376" s="23"/>
      <c r="L28376" s="23"/>
    </row>
    <row r="28377">
      <c r="B28377" s="19"/>
      <c r="E28377" s="23"/>
      <c r="L28377" s="23"/>
    </row>
    <row r="28378">
      <c r="B28378" s="19"/>
      <c r="E28378" s="23"/>
      <c r="L28378" s="23"/>
    </row>
    <row r="28379">
      <c r="B28379" s="19"/>
      <c r="E28379" s="23"/>
      <c r="L28379" s="23"/>
    </row>
    <row r="28380">
      <c r="B28380" s="19"/>
      <c r="E28380" s="23"/>
      <c r="L28380" s="23"/>
    </row>
    <row r="28381">
      <c r="B28381" s="19"/>
      <c r="E28381" s="23"/>
      <c r="L28381" s="23"/>
    </row>
    <row r="28382">
      <c r="B28382" s="19"/>
      <c r="E28382" s="23"/>
      <c r="L28382" s="23"/>
    </row>
    <row r="28383">
      <c r="B28383" s="19"/>
      <c r="E28383" s="23"/>
      <c r="L28383" s="23"/>
    </row>
    <row r="28384">
      <c r="B28384" s="19"/>
      <c r="E28384" s="23"/>
      <c r="L28384" s="23"/>
    </row>
    <row r="28385">
      <c r="B28385" s="19"/>
      <c r="E28385" s="23"/>
      <c r="L28385" s="23"/>
    </row>
    <row r="28386">
      <c r="B28386" s="19"/>
      <c r="E28386" s="23"/>
      <c r="L28386" s="23"/>
    </row>
    <row r="28387">
      <c r="B28387" s="19"/>
      <c r="E28387" s="23"/>
      <c r="L28387" s="23"/>
    </row>
    <row r="28388">
      <c r="B28388" s="19"/>
      <c r="E28388" s="23"/>
      <c r="L28388" s="23"/>
    </row>
    <row r="28389">
      <c r="B28389" s="19"/>
      <c r="E28389" s="23"/>
      <c r="L28389" s="23"/>
    </row>
    <row r="28390">
      <c r="B28390" s="19"/>
      <c r="E28390" s="23"/>
      <c r="L28390" s="23"/>
    </row>
    <row r="28391">
      <c r="B28391" s="19"/>
      <c r="E28391" s="23"/>
      <c r="L28391" s="23"/>
    </row>
    <row r="28392">
      <c r="B28392" s="19"/>
      <c r="E28392" s="23"/>
      <c r="L28392" s="23"/>
    </row>
    <row r="28393">
      <c r="B28393" s="19"/>
      <c r="E28393" s="23"/>
      <c r="L28393" s="23"/>
    </row>
    <row r="28394">
      <c r="B28394" s="19"/>
      <c r="E28394" s="23"/>
      <c r="L28394" s="23"/>
    </row>
    <row r="28395">
      <c r="B28395" s="19"/>
      <c r="E28395" s="23"/>
      <c r="L28395" s="23"/>
    </row>
    <row r="28396">
      <c r="B28396" s="19"/>
      <c r="E28396" s="23"/>
      <c r="L28396" s="23"/>
    </row>
    <row r="28397">
      <c r="B28397" s="19"/>
      <c r="E28397" s="23"/>
      <c r="L28397" s="23"/>
    </row>
    <row r="28398">
      <c r="B28398" s="19"/>
      <c r="E28398" s="23"/>
      <c r="L28398" s="23"/>
    </row>
    <row r="28399">
      <c r="B28399" s="19"/>
      <c r="E28399" s="23"/>
      <c r="L28399" s="23"/>
    </row>
    <row r="28400">
      <c r="B28400" s="19"/>
      <c r="E28400" s="23"/>
      <c r="L28400" s="23"/>
    </row>
    <row r="28401">
      <c r="B28401" s="19"/>
      <c r="E28401" s="23"/>
      <c r="L28401" s="23"/>
    </row>
    <row r="28402">
      <c r="B28402" s="19"/>
      <c r="E28402" s="23"/>
      <c r="L28402" s="23"/>
    </row>
    <row r="28403">
      <c r="B28403" s="19"/>
      <c r="E28403" s="23"/>
      <c r="L28403" s="23"/>
    </row>
    <row r="28404">
      <c r="B28404" s="19"/>
      <c r="E28404" s="23"/>
      <c r="L28404" s="23"/>
    </row>
    <row r="28405">
      <c r="B28405" s="19"/>
      <c r="E28405" s="23"/>
      <c r="L28405" s="23"/>
    </row>
    <row r="28406">
      <c r="B28406" s="19"/>
      <c r="E28406" s="23"/>
      <c r="L28406" s="23"/>
    </row>
    <row r="28407">
      <c r="B28407" s="19"/>
      <c r="E28407" s="23"/>
      <c r="L28407" s="23"/>
    </row>
    <row r="28408">
      <c r="B28408" s="19"/>
      <c r="E28408" s="23"/>
      <c r="L28408" s="23"/>
    </row>
    <row r="28409">
      <c r="B28409" s="19"/>
      <c r="E28409" s="23"/>
      <c r="L28409" s="23"/>
    </row>
    <row r="28410">
      <c r="B28410" s="19"/>
      <c r="E28410" s="23"/>
      <c r="L28410" s="23"/>
    </row>
    <row r="28411">
      <c r="B28411" s="19"/>
      <c r="E28411" s="23"/>
      <c r="L28411" s="23"/>
    </row>
    <row r="28412">
      <c r="B28412" s="19"/>
      <c r="E28412" s="23"/>
      <c r="L28412" s="23"/>
    </row>
    <row r="28413">
      <c r="B28413" s="19"/>
      <c r="E28413" s="23"/>
      <c r="L28413" s="23"/>
    </row>
    <row r="28414">
      <c r="B28414" s="19"/>
      <c r="E28414" s="23"/>
      <c r="L28414" s="23"/>
    </row>
    <row r="28415">
      <c r="B28415" s="19"/>
      <c r="E28415" s="23"/>
      <c r="L28415" s="23"/>
    </row>
    <row r="28416">
      <c r="B28416" s="19"/>
      <c r="E28416" s="23"/>
      <c r="L28416" s="23"/>
    </row>
    <row r="28417">
      <c r="B28417" s="19"/>
      <c r="E28417" s="23"/>
      <c r="L28417" s="23"/>
    </row>
    <row r="28418">
      <c r="B28418" s="19"/>
      <c r="E28418" s="23"/>
      <c r="L28418" s="23"/>
    </row>
    <row r="28419">
      <c r="B28419" s="19"/>
      <c r="E28419" s="23"/>
      <c r="L28419" s="23"/>
    </row>
    <row r="28420">
      <c r="B28420" s="19"/>
      <c r="E28420" s="23"/>
      <c r="L28420" s="23"/>
    </row>
    <row r="28421">
      <c r="B28421" s="19"/>
      <c r="E28421" s="23"/>
      <c r="L28421" s="23"/>
    </row>
    <row r="28422">
      <c r="B28422" s="19"/>
      <c r="E28422" s="23"/>
      <c r="L28422" s="23"/>
    </row>
    <row r="28423">
      <c r="B28423" s="19"/>
      <c r="E28423" s="23"/>
      <c r="L28423" s="23"/>
    </row>
    <row r="28424">
      <c r="B28424" s="19"/>
      <c r="E28424" s="23"/>
      <c r="L28424" s="23"/>
    </row>
    <row r="28425">
      <c r="B28425" s="19"/>
      <c r="E28425" s="23"/>
      <c r="L28425" s="23"/>
    </row>
    <row r="28426">
      <c r="B28426" s="19"/>
      <c r="E28426" s="23"/>
      <c r="L28426" s="23"/>
    </row>
    <row r="28427">
      <c r="B28427" s="19"/>
      <c r="E28427" s="23"/>
      <c r="L28427" s="23"/>
    </row>
    <row r="28428">
      <c r="B28428" s="19"/>
      <c r="E28428" s="23"/>
      <c r="L28428" s="23"/>
    </row>
    <row r="28429">
      <c r="B28429" s="19"/>
      <c r="E28429" s="23"/>
      <c r="L28429" s="23"/>
    </row>
    <row r="28430">
      <c r="B28430" s="19"/>
      <c r="E28430" s="23"/>
      <c r="L28430" s="23"/>
    </row>
    <row r="28431">
      <c r="B28431" s="19"/>
      <c r="E28431" s="23"/>
      <c r="L28431" s="23"/>
    </row>
    <row r="28432">
      <c r="B28432" s="19"/>
      <c r="E28432" s="23"/>
      <c r="L28432" s="23"/>
    </row>
    <row r="28433">
      <c r="B28433" s="19"/>
      <c r="E28433" s="23"/>
      <c r="L28433" s="23"/>
    </row>
    <row r="28434">
      <c r="B28434" s="19"/>
      <c r="E28434" s="23"/>
      <c r="L28434" s="23"/>
    </row>
    <row r="28435">
      <c r="B28435" s="19"/>
      <c r="E28435" s="23"/>
      <c r="L28435" s="23"/>
    </row>
    <row r="28436">
      <c r="B28436" s="19"/>
      <c r="E28436" s="23"/>
      <c r="L28436" s="23"/>
    </row>
    <row r="28437">
      <c r="B28437" s="19"/>
      <c r="E28437" s="23"/>
      <c r="L28437" s="23"/>
    </row>
    <row r="28438">
      <c r="B28438" s="19"/>
      <c r="E28438" s="23"/>
      <c r="L28438" s="23"/>
    </row>
    <row r="28439">
      <c r="B28439" s="19"/>
      <c r="E28439" s="23"/>
      <c r="L28439" s="23"/>
    </row>
    <row r="28440">
      <c r="B28440" s="19"/>
      <c r="E28440" s="23"/>
      <c r="L28440" s="23"/>
    </row>
    <row r="28441">
      <c r="B28441" s="19"/>
      <c r="E28441" s="23"/>
      <c r="L28441" s="23"/>
    </row>
    <row r="28442">
      <c r="B28442" s="19"/>
      <c r="E28442" s="23"/>
      <c r="L28442" s="23"/>
    </row>
    <row r="28443">
      <c r="B28443" s="19"/>
      <c r="E28443" s="23"/>
      <c r="L28443" s="23"/>
    </row>
    <row r="28444">
      <c r="B28444" s="19"/>
      <c r="E28444" s="23"/>
      <c r="L28444" s="23"/>
    </row>
    <row r="28445">
      <c r="B28445" s="19"/>
      <c r="E28445" s="23"/>
      <c r="L28445" s="23"/>
    </row>
    <row r="28446">
      <c r="B28446" s="19"/>
      <c r="E28446" s="23"/>
      <c r="L28446" s="23"/>
    </row>
    <row r="28447">
      <c r="B28447" s="19"/>
      <c r="E28447" s="23"/>
      <c r="L28447" s="23"/>
    </row>
    <row r="28448">
      <c r="B28448" s="19"/>
      <c r="E28448" s="23"/>
      <c r="L28448" s="23"/>
    </row>
    <row r="28449">
      <c r="B28449" s="19"/>
      <c r="E28449" s="23"/>
      <c r="L28449" s="23"/>
    </row>
    <row r="28450">
      <c r="B28450" s="19"/>
      <c r="E28450" s="23"/>
      <c r="L28450" s="23"/>
    </row>
    <row r="28451">
      <c r="B28451" s="19"/>
      <c r="E28451" s="23"/>
      <c r="L28451" s="23"/>
    </row>
    <row r="28452">
      <c r="B28452" s="19"/>
      <c r="E28452" s="23"/>
      <c r="L28452" s="23"/>
    </row>
    <row r="28453">
      <c r="B28453" s="19"/>
      <c r="E28453" s="23"/>
      <c r="L28453" s="23"/>
    </row>
    <row r="28454">
      <c r="B28454" s="19"/>
      <c r="E28454" s="23"/>
      <c r="L28454" s="23"/>
    </row>
    <row r="28455">
      <c r="B28455" s="19"/>
      <c r="E28455" s="23"/>
      <c r="L28455" s="23"/>
    </row>
    <row r="28456">
      <c r="B28456" s="19"/>
      <c r="E28456" s="23"/>
      <c r="L28456" s="23"/>
    </row>
    <row r="28457">
      <c r="B28457" s="19"/>
      <c r="E28457" s="23"/>
      <c r="L28457" s="23"/>
    </row>
    <row r="28458">
      <c r="B28458" s="19"/>
      <c r="E28458" s="23"/>
      <c r="L28458" s="23"/>
    </row>
    <row r="28459">
      <c r="B28459" s="19"/>
      <c r="E28459" s="23"/>
      <c r="L28459" s="23"/>
    </row>
    <row r="28460">
      <c r="B28460" s="19"/>
      <c r="E28460" s="23"/>
      <c r="L28460" s="23"/>
    </row>
    <row r="28461">
      <c r="B28461" s="19"/>
      <c r="E28461" s="23"/>
      <c r="L28461" s="23"/>
    </row>
    <row r="28462">
      <c r="B28462" s="19"/>
      <c r="E28462" s="23"/>
      <c r="L28462" s="23"/>
    </row>
    <row r="28463">
      <c r="B28463" s="19"/>
      <c r="E28463" s="23"/>
      <c r="L28463" s="23"/>
    </row>
    <row r="28464">
      <c r="B28464" s="19"/>
      <c r="E28464" s="23"/>
      <c r="L28464" s="23"/>
    </row>
    <row r="28465">
      <c r="B28465" s="19"/>
      <c r="E28465" s="23"/>
      <c r="L28465" s="23"/>
    </row>
    <row r="28466">
      <c r="B28466" s="19"/>
      <c r="E28466" s="23"/>
      <c r="L28466" s="23"/>
    </row>
    <row r="28467">
      <c r="B28467" s="19"/>
      <c r="E28467" s="23"/>
      <c r="L28467" s="23"/>
    </row>
    <row r="28468">
      <c r="B28468" s="19"/>
      <c r="E28468" s="23"/>
      <c r="L28468" s="23"/>
    </row>
    <row r="28469">
      <c r="B28469" s="19"/>
      <c r="E28469" s="23"/>
      <c r="L28469" s="23"/>
    </row>
    <row r="28470">
      <c r="B28470" s="19"/>
      <c r="E28470" s="23"/>
      <c r="L28470" s="23"/>
    </row>
    <row r="28471">
      <c r="B28471" s="19"/>
      <c r="E28471" s="23"/>
      <c r="L28471" s="23"/>
    </row>
    <row r="28472">
      <c r="B28472" s="19"/>
      <c r="E28472" s="23"/>
      <c r="L28472" s="23"/>
    </row>
    <row r="28473">
      <c r="B28473" s="19"/>
      <c r="E28473" s="23"/>
      <c r="L28473" s="23"/>
    </row>
    <row r="28474">
      <c r="B28474" s="19"/>
      <c r="E28474" s="23"/>
      <c r="L28474" s="23"/>
    </row>
    <row r="28475">
      <c r="B28475" s="19"/>
      <c r="E28475" s="23"/>
      <c r="L28475" s="23"/>
    </row>
    <row r="28476">
      <c r="B28476" s="19"/>
      <c r="E28476" s="23"/>
      <c r="L28476" s="23"/>
    </row>
    <row r="28477">
      <c r="B28477" s="19"/>
      <c r="E28477" s="23"/>
      <c r="L28477" s="23"/>
    </row>
    <row r="28478">
      <c r="B28478" s="19"/>
      <c r="E28478" s="23"/>
      <c r="L28478" s="23"/>
    </row>
    <row r="28479">
      <c r="B28479" s="19"/>
      <c r="E28479" s="23"/>
      <c r="L28479" s="23"/>
    </row>
    <row r="28480">
      <c r="B28480" s="19"/>
      <c r="E28480" s="23"/>
      <c r="L28480" s="23"/>
    </row>
    <row r="28481">
      <c r="B28481" s="19"/>
      <c r="E28481" s="23"/>
      <c r="L28481" s="23"/>
    </row>
    <row r="28482">
      <c r="B28482" s="19"/>
      <c r="E28482" s="23"/>
      <c r="L28482" s="23"/>
    </row>
    <row r="28483">
      <c r="B28483" s="19"/>
      <c r="E28483" s="23"/>
      <c r="L28483" s="23"/>
    </row>
    <row r="28484">
      <c r="B28484" s="19"/>
      <c r="E28484" s="23"/>
      <c r="L28484" s="23"/>
    </row>
    <row r="28485">
      <c r="B28485" s="19"/>
      <c r="E28485" s="23"/>
      <c r="L28485" s="23"/>
    </row>
    <row r="28486">
      <c r="B28486" s="19"/>
      <c r="E28486" s="23"/>
      <c r="L28486" s="23"/>
    </row>
    <row r="28487">
      <c r="B28487" s="19"/>
      <c r="E28487" s="23"/>
      <c r="L28487" s="23"/>
    </row>
    <row r="28488">
      <c r="B28488" s="19"/>
      <c r="E28488" s="23"/>
      <c r="L28488" s="23"/>
    </row>
    <row r="28489">
      <c r="B28489" s="19"/>
      <c r="E28489" s="23"/>
      <c r="L28489" s="23"/>
    </row>
    <row r="28490">
      <c r="B28490" s="19"/>
      <c r="E28490" s="23"/>
      <c r="L28490" s="23"/>
    </row>
    <row r="28491">
      <c r="B28491" s="19"/>
      <c r="E28491" s="23"/>
      <c r="L28491" s="23"/>
    </row>
    <row r="28492">
      <c r="B28492" s="19"/>
      <c r="E28492" s="23"/>
      <c r="L28492" s="23"/>
    </row>
    <row r="28493">
      <c r="B28493" s="19"/>
      <c r="E28493" s="23"/>
      <c r="L28493" s="23"/>
    </row>
    <row r="28494">
      <c r="B28494" s="19"/>
      <c r="E28494" s="23"/>
      <c r="L28494" s="23"/>
    </row>
    <row r="28495">
      <c r="B28495" s="19"/>
      <c r="E28495" s="23"/>
      <c r="L28495" s="23"/>
    </row>
    <row r="28496">
      <c r="B28496" s="19"/>
      <c r="E28496" s="23"/>
      <c r="L28496" s="23"/>
    </row>
    <row r="28497">
      <c r="B28497" s="19"/>
      <c r="E28497" s="23"/>
      <c r="L28497" s="23"/>
    </row>
    <row r="28498">
      <c r="B28498" s="19"/>
      <c r="E28498" s="23"/>
      <c r="L28498" s="23"/>
    </row>
    <row r="28499">
      <c r="B28499" s="19"/>
      <c r="E28499" s="23"/>
      <c r="L28499" s="23"/>
    </row>
    <row r="28500">
      <c r="B28500" s="19"/>
      <c r="E28500" s="23"/>
      <c r="L28500" s="23"/>
    </row>
    <row r="28501">
      <c r="B28501" s="19"/>
      <c r="E28501" s="23"/>
      <c r="L28501" s="23"/>
    </row>
    <row r="28502">
      <c r="B28502" s="19"/>
      <c r="E28502" s="23"/>
      <c r="L28502" s="23"/>
    </row>
    <row r="28503">
      <c r="B28503" s="19"/>
      <c r="E28503" s="23"/>
      <c r="L28503" s="23"/>
    </row>
    <row r="28504">
      <c r="B28504" s="19"/>
      <c r="E28504" s="23"/>
      <c r="L28504" s="23"/>
    </row>
    <row r="28505">
      <c r="B28505" s="19"/>
      <c r="E28505" s="23"/>
      <c r="L28505" s="23"/>
    </row>
    <row r="28506">
      <c r="B28506" s="19"/>
      <c r="E28506" s="23"/>
      <c r="L28506" s="23"/>
    </row>
    <row r="28507">
      <c r="B28507" s="19"/>
      <c r="E28507" s="23"/>
      <c r="L28507" s="23"/>
    </row>
    <row r="28508">
      <c r="B28508" s="19"/>
      <c r="E28508" s="23"/>
      <c r="L28508" s="23"/>
    </row>
    <row r="28509">
      <c r="B28509" s="19"/>
      <c r="E28509" s="23"/>
      <c r="L28509" s="23"/>
    </row>
    <row r="28510">
      <c r="B28510" s="19"/>
      <c r="E28510" s="23"/>
      <c r="L28510" s="23"/>
    </row>
    <row r="28511">
      <c r="B28511" s="19"/>
      <c r="E28511" s="23"/>
      <c r="L28511" s="23"/>
    </row>
    <row r="28512">
      <c r="B28512" s="19"/>
      <c r="E28512" s="23"/>
      <c r="L28512" s="23"/>
    </row>
    <row r="28513">
      <c r="B28513" s="19"/>
      <c r="E28513" s="23"/>
      <c r="L28513" s="23"/>
    </row>
    <row r="28514">
      <c r="B28514" s="19"/>
      <c r="E28514" s="23"/>
      <c r="L28514" s="23"/>
    </row>
    <row r="28515">
      <c r="B28515" s="19"/>
      <c r="E28515" s="23"/>
      <c r="L28515" s="23"/>
    </row>
    <row r="28516">
      <c r="B28516" s="19"/>
      <c r="E28516" s="23"/>
      <c r="L28516" s="23"/>
    </row>
    <row r="28517">
      <c r="B28517" s="19"/>
      <c r="E28517" s="23"/>
      <c r="L28517" s="23"/>
    </row>
    <row r="28518">
      <c r="B28518" s="19"/>
      <c r="E28518" s="23"/>
      <c r="L28518" s="23"/>
    </row>
    <row r="28519">
      <c r="B28519" s="19"/>
      <c r="E28519" s="23"/>
      <c r="L28519" s="23"/>
    </row>
    <row r="28520">
      <c r="B28520" s="19"/>
      <c r="E28520" s="23"/>
      <c r="L28520" s="23"/>
    </row>
    <row r="28521">
      <c r="B28521" s="19"/>
      <c r="E28521" s="23"/>
      <c r="L28521" s="23"/>
    </row>
    <row r="28522">
      <c r="B28522" s="19"/>
      <c r="E28522" s="23"/>
      <c r="L28522" s="23"/>
    </row>
    <row r="28523">
      <c r="B28523" s="19"/>
      <c r="E28523" s="23"/>
      <c r="L28523" s="23"/>
    </row>
    <row r="28524">
      <c r="B28524" s="19"/>
      <c r="E28524" s="23"/>
      <c r="L28524" s="23"/>
    </row>
    <row r="28525">
      <c r="B28525" s="19"/>
      <c r="E28525" s="23"/>
      <c r="L28525" s="23"/>
    </row>
    <row r="28526">
      <c r="B28526" s="19"/>
      <c r="E28526" s="23"/>
      <c r="L28526" s="23"/>
    </row>
    <row r="28527">
      <c r="B28527" s="19"/>
      <c r="E28527" s="23"/>
      <c r="L28527" s="23"/>
    </row>
    <row r="28528">
      <c r="B28528" s="19"/>
      <c r="E28528" s="23"/>
      <c r="L28528" s="23"/>
    </row>
    <row r="28529">
      <c r="B28529" s="19"/>
      <c r="E28529" s="23"/>
      <c r="L28529" s="23"/>
    </row>
    <row r="28530">
      <c r="B28530" s="19"/>
      <c r="E28530" s="23"/>
      <c r="L28530" s="23"/>
    </row>
    <row r="28531">
      <c r="B28531" s="19"/>
      <c r="E28531" s="23"/>
      <c r="L28531" s="23"/>
    </row>
    <row r="28532">
      <c r="B28532" s="19"/>
      <c r="E28532" s="23"/>
      <c r="L28532" s="23"/>
    </row>
    <row r="28533">
      <c r="B28533" s="19"/>
      <c r="E28533" s="23"/>
      <c r="L28533" s="23"/>
    </row>
    <row r="28534">
      <c r="B28534" s="19"/>
      <c r="E28534" s="23"/>
      <c r="L28534" s="23"/>
    </row>
    <row r="28535">
      <c r="B28535" s="19"/>
      <c r="E28535" s="23"/>
      <c r="L28535" s="23"/>
    </row>
    <row r="28536">
      <c r="B28536" s="19"/>
      <c r="E28536" s="23"/>
      <c r="L28536" s="23"/>
    </row>
    <row r="28537">
      <c r="B28537" s="19"/>
      <c r="E28537" s="23"/>
      <c r="L28537" s="23"/>
    </row>
    <row r="28538">
      <c r="B28538" s="19"/>
      <c r="E28538" s="23"/>
      <c r="L28538" s="23"/>
    </row>
    <row r="28539">
      <c r="B28539" s="19"/>
      <c r="E28539" s="23"/>
      <c r="L28539" s="23"/>
    </row>
    <row r="28540">
      <c r="B28540" s="19"/>
      <c r="E28540" s="23"/>
      <c r="L28540" s="23"/>
    </row>
    <row r="28541">
      <c r="B28541" s="19"/>
      <c r="E28541" s="23"/>
      <c r="L28541" s="23"/>
    </row>
    <row r="28542">
      <c r="B28542" s="19"/>
      <c r="E28542" s="23"/>
      <c r="L28542" s="23"/>
    </row>
    <row r="28543">
      <c r="B28543" s="19"/>
      <c r="E28543" s="23"/>
      <c r="L28543" s="23"/>
    </row>
    <row r="28544">
      <c r="B28544" s="19"/>
      <c r="E28544" s="23"/>
      <c r="L28544" s="23"/>
    </row>
    <row r="28545">
      <c r="B28545" s="19"/>
      <c r="E28545" s="23"/>
      <c r="L28545" s="23"/>
    </row>
    <row r="28546">
      <c r="B28546" s="19"/>
      <c r="E28546" s="23"/>
      <c r="L28546" s="23"/>
    </row>
    <row r="28547">
      <c r="B28547" s="19"/>
      <c r="E28547" s="23"/>
      <c r="L28547" s="23"/>
    </row>
    <row r="28548">
      <c r="B28548" s="19"/>
      <c r="E28548" s="23"/>
      <c r="L28548" s="23"/>
    </row>
    <row r="28549">
      <c r="B28549" s="19"/>
      <c r="E28549" s="23"/>
      <c r="L28549" s="23"/>
    </row>
    <row r="28550">
      <c r="B28550" s="19"/>
      <c r="E28550" s="23"/>
      <c r="L28550" s="23"/>
    </row>
    <row r="28551">
      <c r="B28551" s="19"/>
      <c r="E28551" s="23"/>
      <c r="L28551" s="23"/>
    </row>
    <row r="28552">
      <c r="B28552" s="19"/>
      <c r="E28552" s="23"/>
      <c r="L28552" s="23"/>
    </row>
    <row r="28553">
      <c r="B28553" s="19"/>
      <c r="E28553" s="23"/>
      <c r="L28553" s="23"/>
    </row>
    <row r="28554">
      <c r="B28554" s="19"/>
      <c r="E28554" s="23"/>
      <c r="L28554" s="23"/>
    </row>
    <row r="28555">
      <c r="B28555" s="19"/>
      <c r="E28555" s="23"/>
      <c r="L28555" s="23"/>
    </row>
    <row r="28556">
      <c r="B28556" s="19"/>
      <c r="E28556" s="23"/>
      <c r="L28556" s="23"/>
    </row>
    <row r="28557">
      <c r="B28557" s="19"/>
      <c r="E28557" s="23"/>
      <c r="L28557" s="23"/>
    </row>
    <row r="28558">
      <c r="B28558" s="19"/>
      <c r="E28558" s="23"/>
      <c r="L28558" s="23"/>
    </row>
    <row r="28559">
      <c r="B28559" s="19"/>
      <c r="E28559" s="23"/>
      <c r="L28559" s="23"/>
    </row>
    <row r="28560">
      <c r="B28560" s="19"/>
      <c r="E28560" s="23"/>
      <c r="L28560" s="23"/>
    </row>
    <row r="28561">
      <c r="B28561" s="19"/>
      <c r="E28561" s="23"/>
      <c r="L28561" s="23"/>
    </row>
    <row r="28562">
      <c r="B28562" s="19"/>
      <c r="E28562" s="23"/>
      <c r="L28562" s="23"/>
    </row>
    <row r="28563">
      <c r="B28563" s="19"/>
      <c r="E28563" s="23"/>
      <c r="L28563" s="23"/>
    </row>
    <row r="28564">
      <c r="B28564" s="19"/>
      <c r="E28564" s="23"/>
      <c r="L28564" s="23"/>
    </row>
    <row r="28565">
      <c r="B28565" s="19"/>
      <c r="E28565" s="23"/>
      <c r="L28565" s="23"/>
    </row>
    <row r="28566">
      <c r="B28566" s="19"/>
      <c r="E28566" s="23"/>
      <c r="L28566" s="23"/>
    </row>
    <row r="28567">
      <c r="B28567" s="19"/>
      <c r="E28567" s="23"/>
      <c r="L28567" s="23"/>
    </row>
    <row r="28568">
      <c r="B28568" s="19"/>
      <c r="E28568" s="23"/>
      <c r="L28568" s="23"/>
    </row>
    <row r="28569">
      <c r="B28569" s="19"/>
      <c r="E28569" s="23"/>
      <c r="L28569" s="23"/>
    </row>
    <row r="28570">
      <c r="B28570" s="19"/>
      <c r="E28570" s="23"/>
      <c r="L28570" s="23"/>
    </row>
    <row r="28571">
      <c r="B28571" s="19"/>
      <c r="E28571" s="23"/>
      <c r="L28571" s="23"/>
    </row>
    <row r="28572">
      <c r="B28572" s="19"/>
      <c r="E28572" s="23"/>
      <c r="L28572" s="23"/>
    </row>
    <row r="28573">
      <c r="B28573" s="19"/>
      <c r="E28573" s="23"/>
      <c r="L28573" s="23"/>
    </row>
    <row r="28574">
      <c r="B28574" s="19"/>
      <c r="E28574" s="23"/>
      <c r="L28574" s="23"/>
    </row>
    <row r="28575">
      <c r="B28575" s="19"/>
      <c r="E28575" s="23"/>
      <c r="L28575" s="23"/>
    </row>
    <row r="28576">
      <c r="B28576" s="19"/>
      <c r="E28576" s="23"/>
      <c r="L28576" s="23"/>
    </row>
    <row r="28577">
      <c r="B28577" s="19"/>
      <c r="E28577" s="23"/>
      <c r="L28577" s="23"/>
    </row>
    <row r="28578">
      <c r="B28578" s="19"/>
      <c r="E28578" s="23"/>
      <c r="L28578" s="23"/>
    </row>
    <row r="28579">
      <c r="B28579" s="19"/>
      <c r="E28579" s="23"/>
      <c r="L28579" s="23"/>
    </row>
    <row r="28580">
      <c r="B28580" s="19"/>
      <c r="E28580" s="23"/>
      <c r="L28580" s="23"/>
    </row>
    <row r="28581">
      <c r="B28581" s="19"/>
      <c r="E28581" s="23"/>
      <c r="L28581" s="23"/>
    </row>
    <row r="28582">
      <c r="B28582" s="19"/>
      <c r="E28582" s="23"/>
      <c r="L28582" s="23"/>
    </row>
    <row r="28583">
      <c r="B28583" s="19"/>
      <c r="E28583" s="23"/>
      <c r="L28583" s="23"/>
    </row>
    <row r="28584">
      <c r="B28584" s="19"/>
      <c r="E28584" s="23"/>
      <c r="L28584" s="23"/>
    </row>
    <row r="28585">
      <c r="B28585" s="19"/>
      <c r="E28585" s="23"/>
      <c r="L28585" s="23"/>
    </row>
    <row r="28586">
      <c r="B28586" s="19"/>
      <c r="E28586" s="23"/>
      <c r="L28586" s="23"/>
    </row>
    <row r="28587">
      <c r="B28587" s="19"/>
      <c r="E28587" s="23"/>
      <c r="L28587" s="23"/>
    </row>
    <row r="28588">
      <c r="B28588" s="19"/>
      <c r="E28588" s="23"/>
      <c r="L28588" s="23"/>
    </row>
    <row r="28589">
      <c r="B28589" s="19"/>
      <c r="E28589" s="23"/>
      <c r="L28589" s="23"/>
    </row>
    <row r="28590">
      <c r="B28590" s="19"/>
      <c r="E28590" s="23"/>
      <c r="L28590" s="23"/>
    </row>
    <row r="28591">
      <c r="B28591" s="19"/>
      <c r="E28591" s="23"/>
      <c r="L28591" s="23"/>
    </row>
    <row r="28592">
      <c r="B28592" s="19"/>
      <c r="E28592" s="23"/>
      <c r="L28592" s="23"/>
    </row>
    <row r="28593">
      <c r="B28593" s="19"/>
      <c r="E28593" s="23"/>
      <c r="L28593" s="23"/>
    </row>
    <row r="28594">
      <c r="B28594" s="19"/>
      <c r="E28594" s="23"/>
      <c r="L28594" s="23"/>
    </row>
    <row r="28595">
      <c r="B28595" s="19"/>
      <c r="E28595" s="23"/>
      <c r="L28595" s="23"/>
    </row>
    <row r="28596">
      <c r="B28596" s="19"/>
      <c r="E28596" s="23"/>
      <c r="L28596" s="23"/>
    </row>
    <row r="28597">
      <c r="B28597" s="19"/>
      <c r="E28597" s="23"/>
      <c r="L28597" s="23"/>
    </row>
    <row r="28598">
      <c r="B28598" s="19"/>
      <c r="E28598" s="23"/>
      <c r="L28598" s="23"/>
    </row>
    <row r="28599">
      <c r="B28599" s="19"/>
      <c r="E28599" s="23"/>
      <c r="L28599" s="23"/>
    </row>
    <row r="28600">
      <c r="B28600" s="19"/>
      <c r="E28600" s="23"/>
      <c r="L28600" s="23"/>
    </row>
    <row r="28601">
      <c r="B28601" s="19"/>
      <c r="E28601" s="23"/>
      <c r="L28601" s="23"/>
    </row>
    <row r="28602">
      <c r="B28602" s="19"/>
      <c r="E28602" s="23"/>
      <c r="L28602" s="23"/>
    </row>
    <row r="28603">
      <c r="B28603" s="19"/>
      <c r="E28603" s="23"/>
      <c r="L28603" s="23"/>
    </row>
    <row r="28604">
      <c r="B28604" s="19"/>
      <c r="E28604" s="23"/>
      <c r="L28604" s="23"/>
    </row>
    <row r="28605">
      <c r="B28605" s="19"/>
      <c r="E28605" s="23"/>
      <c r="L28605" s="23"/>
    </row>
    <row r="28606">
      <c r="B28606" s="19"/>
      <c r="E28606" s="23"/>
      <c r="L28606" s="23"/>
    </row>
    <row r="28607">
      <c r="B28607" s="19"/>
      <c r="E28607" s="23"/>
      <c r="L28607" s="23"/>
    </row>
    <row r="28608">
      <c r="B28608" s="19"/>
      <c r="E28608" s="23"/>
      <c r="L28608" s="23"/>
    </row>
    <row r="28609">
      <c r="B28609" s="19"/>
      <c r="E28609" s="23"/>
      <c r="L28609" s="23"/>
    </row>
    <row r="28610">
      <c r="B28610" s="19"/>
      <c r="E28610" s="23"/>
      <c r="L28610" s="23"/>
    </row>
    <row r="28611">
      <c r="B28611" s="19"/>
      <c r="E28611" s="23"/>
      <c r="L28611" s="23"/>
    </row>
    <row r="28612">
      <c r="B28612" s="19"/>
      <c r="E28612" s="23"/>
      <c r="L28612" s="23"/>
    </row>
    <row r="28613">
      <c r="B28613" s="19"/>
      <c r="E28613" s="23"/>
      <c r="L28613" s="23"/>
    </row>
    <row r="28614">
      <c r="B28614" s="19"/>
      <c r="E28614" s="23"/>
      <c r="L28614" s="23"/>
    </row>
    <row r="28615">
      <c r="B28615" s="19"/>
      <c r="E28615" s="23"/>
      <c r="L28615" s="23"/>
    </row>
    <row r="28616">
      <c r="B28616" s="19"/>
      <c r="E28616" s="23"/>
      <c r="L28616" s="23"/>
    </row>
    <row r="28617">
      <c r="B28617" s="19"/>
      <c r="E28617" s="23"/>
      <c r="L28617" s="23"/>
    </row>
    <row r="28618">
      <c r="B28618" s="19"/>
      <c r="E28618" s="23"/>
      <c r="L28618" s="23"/>
    </row>
    <row r="28619">
      <c r="B28619" s="19"/>
      <c r="E28619" s="23"/>
      <c r="L28619" s="23"/>
    </row>
    <row r="28620">
      <c r="B28620" s="19"/>
      <c r="E28620" s="23"/>
      <c r="L28620" s="23"/>
    </row>
    <row r="28621">
      <c r="B28621" s="19"/>
      <c r="E28621" s="23"/>
      <c r="L28621" s="23"/>
    </row>
    <row r="28622">
      <c r="B28622" s="19"/>
      <c r="E28622" s="23"/>
      <c r="L28622" s="23"/>
    </row>
    <row r="28623">
      <c r="B28623" s="19"/>
      <c r="E28623" s="23"/>
      <c r="L28623" s="23"/>
    </row>
    <row r="28624">
      <c r="B28624" s="19"/>
      <c r="E28624" s="23"/>
      <c r="L28624" s="23"/>
    </row>
    <row r="28625">
      <c r="B28625" s="19"/>
      <c r="E28625" s="23"/>
      <c r="L28625" s="23"/>
    </row>
    <row r="28626">
      <c r="B28626" s="19"/>
      <c r="E28626" s="23"/>
      <c r="L28626" s="23"/>
    </row>
    <row r="28627">
      <c r="B28627" s="19"/>
      <c r="E28627" s="23"/>
      <c r="L28627" s="23"/>
    </row>
    <row r="28628">
      <c r="B28628" s="19"/>
      <c r="E28628" s="23"/>
      <c r="L28628" s="23"/>
    </row>
    <row r="28629">
      <c r="B28629" s="19"/>
      <c r="E28629" s="23"/>
      <c r="L28629" s="23"/>
    </row>
    <row r="28630">
      <c r="B28630" s="19"/>
      <c r="E28630" s="23"/>
      <c r="L28630" s="23"/>
    </row>
    <row r="28631">
      <c r="B28631" s="19"/>
      <c r="E28631" s="23"/>
      <c r="L28631" s="23"/>
    </row>
    <row r="28632">
      <c r="B28632" s="19"/>
      <c r="E28632" s="23"/>
      <c r="L28632" s="23"/>
    </row>
    <row r="28633">
      <c r="B28633" s="19"/>
      <c r="E28633" s="23"/>
      <c r="L28633" s="23"/>
    </row>
    <row r="28634">
      <c r="B28634" s="19"/>
      <c r="E28634" s="23"/>
      <c r="L28634" s="23"/>
    </row>
    <row r="28635">
      <c r="B28635" s="19"/>
      <c r="E28635" s="23"/>
      <c r="L28635" s="23"/>
    </row>
    <row r="28636">
      <c r="B28636" s="19"/>
      <c r="E28636" s="23"/>
      <c r="L28636" s="23"/>
    </row>
    <row r="28637">
      <c r="B28637" s="19"/>
      <c r="E28637" s="23"/>
      <c r="L28637" s="23"/>
    </row>
    <row r="28638">
      <c r="B28638" s="19"/>
      <c r="E28638" s="23"/>
      <c r="L28638" s="23"/>
    </row>
    <row r="28639">
      <c r="B28639" s="19"/>
      <c r="E28639" s="23"/>
      <c r="L28639" s="23"/>
    </row>
    <row r="28640">
      <c r="B28640" s="19"/>
      <c r="E28640" s="23"/>
      <c r="L28640" s="23"/>
    </row>
    <row r="28641">
      <c r="B28641" s="19"/>
      <c r="E28641" s="23"/>
      <c r="L28641" s="23"/>
    </row>
    <row r="28642">
      <c r="B28642" s="19"/>
      <c r="E28642" s="23"/>
      <c r="L28642" s="23"/>
    </row>
    <row r="28643">
      <c r="B28643" s="19"/>
      <c r="E28643" s="23"/>
      <c r="L28643" s="23"/>
    </row>
    <row r="28644">
      <c r="B28644" s="19"/>
      <c r="E28644" s="23"/>
      <c r="L28644" s="23"/>
    </row>
    <row r="28645">
      <c r="B28645" s="19"/>
      <c r="E28645" s="23"/>
      <c r="L28645" s="23"/>
    </row>
    <row r="28646">
      <c r="B28646" s="19"/>
      <c r="E28646" s="23"/>
      <c r="L28646" s="23"/>
    </row>
    <row r="28647">
      <c r="B28647" s="19"/>
      <c r="E28647" s="23"/>
      <c r="L28647" s="23"/>
    </row>
    <row r="28648">
      <c r="B28648" s="19"/>
      <c r="E28648" s="23"/>
      <c r="L28648" s="23"/>
    </row>
    <row r="28649">
      <c r="B28649" s="19"/>
      <c r="E28649" s="23"/>
      <c r="L28649" s="23"/>
    </row>
    <row r="28650">
      <c r="B28650" s="19"/>
      <c r="E28650" s="23"/>
      <c r="L28650" s="23"/>
    </row>
    <row r="28651">
      <c r="B28651" s="19"/>
      <c r="E28651" s="23"/>
      <c r="L28651" s="23"/>
    </row>
    <row r="28652">
      <c r="B28652" s="19"/>
      <c r="E28652" s="23"/>
      <c r="L28652" s="23"/>
    </row>
    <row r="28653">
      <c r="B28653" s="19"/>
      <c r="E28653" s="23"/>
      <c r="L28653" s="23"/>
    </row>
    <row r="28654">
      <c r="B28654" s="19"/>
      <c r="E28654" s="23"/>
      <c r="L28654" s="23"/>
    </row>
    <row r="28655">
      <c r="B28655" s="19"/>
      <c r="E28655" s="23"/>
      <c r="L28655" s="23"/>
    </row>
    <row r="28656">
      <c r="B28656" s="19"/>
      <c r="E28656" s="23"/>
      <c r="L28656" s="23"/>
    </row>
    <row r="28657">
      <c r="B28657" s="19"/>
      <c r="E28657" s="23"/>
      <c r="L28657" s="23"/>
    </row>
    <row r="28658">
      <c r="B28658" s="19"/>
      <c r="E28658" s="23"/>
      <c r="L28658" s="23"/>
    </row>
    <row r="28659">
      <c r="B28659" s="19"/>
      <c r="E28659" s="23"/>
      <c r="L28659" s="23"/>
    </row>
    <row r="28660">
      <c r="B28660" s="19"/>
      <c r="E28660" s="23"/>
      <c r="L28660" s="23"/>
    </row>
    <row r="28661">
      <c r="B28661" s="19"/>
      <c r="E28661" s="23"/>
      <c r="L28661" s="23"/>
    </row>
    <row r="28662">
      <c r="B28662" s="19"/>
      <c r="E28662" s="23"/>
      <c r="L28662" s="23"/>
    </row>
    <row r="28663">
      <c r="B28663" s="19"/>
      <c r="E28663" s="23"/>
      <c r="L28663" s="23"/>
    </row>
    <row r="28664">
      <c r="B28664" s="19"/>
      <c r="E28664" s="23"/>
      <c r="L28664" s="23"/>
    </row>
    <row r="28665">
      <c r="B28665" s="19"/>
      <c r="E28665" s="23"/>
      <c r="L28665" s="23"/>
    </row>
    <row r="28666">
      <c r="B28666" s="19"/>
      <c r="E28666" s="23"/>
      <c r="L28666" s="23"/>
    </row>
    <row r="28667">
      <c r="B28667" s="19"/>
      <c r="E28667" s="23"/>
      <c r="L28667" s="23"/>
    </row>
    <row r="28668">
      <c r="B28668" s="19"/>
      <c r="E28668" s="23"/>
      <c r="L28668" s="23"/>
    </row>
    <row r="28669">
      <c r="B28669" s="19"/>
      <c r="E28669" s="23"/>
      <c r="L28669" s="23"/>
    </row>
    <row r="28670">
      <c r="B28670" s="19"/>
      <c r="E28670" s="23"/>
      <c r="L28670" s="23"/>
    </row>
    <row r="28671">
      <c r="B28671" s="19"/>
      <c r="E28671" s="23"/>
      <c r="L28671" s="23"/>
    </row>
    <row r="28672">
      <c r="B28672" s="19"/>
      <c r="E28672" s="23"/>
      <c r="L28672" s="23"/>
    </row>
    <row r="28673">
      <c r="B28673" s="19"/>
      <c r="E28673" s="23"/>
      <c r="L28673" s="23"/>
    </row>
    <row r="28674">
      <c r="B28674" s="19"/>
      <c r="E28674" s="23"/>
      <c r="L28674" s="23"/>
    </row>
    <row r="28675">
      <c r="B28675" s="19"/>
      <c r="E28675" s="23"/>
      <c r="L28675" s="23"/>
    </row>
    <row r="28676">
      <c r="B28676" s="19"/>
      <c r="E28676" s="23"/>
      <c r="L28676" s="23"/>
    </row>
    <row r="28677">
      <c r="B28677" s="19"/>
      <c r="E28677" s="23"/>
      <c r="L28677" s="23"/>
    </row>
    <row r="28678">
      <c r="B28678" s="19"/>
      <c r="E28678" s="23"/>
      <c r="L28678" s="23"/>
    </row>
    <row r="28679">
      <c r="B28679" s="19"/>
      <c r="E28679" s="23"/>
      <c r="L28679" s="23"/>
    </row>
    <row r="28680">
      <c r="B28680" s="19"/>
      <c r="E28680" s="23"/>
      <c r="L28680" s="23"/>
    </row>
    <row r="28681">
      <c r="B28681" s="19"/>
      <c r="E28681" s="23"/>
      <c r="L28681" s="23"/>
    </row>
    <row r="28682">
      <c r="B28682" s="19"/>
      <c r="E28682" s="23"/>
      <c r="L28682" s="23"/>
    </row>
    <row r="28683">
      <c r="B28683" s="19"/>
      <c r="E28683" s="23"/>
      <c r="L28683" s="23"/>
    </row>
    <row r="28684">
      <c r="B28684" s="19"/>
      <c r="E28684" s="23"/>
      <c r="L28684" s="23"/>
    </row>
    <row r="28685">
      <c r="B28685" s="19"/>
      <c r="E28685" s="23"/>
      <c r="L28685" s="23"/>
    </row>
    <row r="28686">
      <c r="B28686" s="19"/>
      <c r="E28686" s="23"/>
      <c r="L28686" s="23"/>
    </row>
    <row r="28687">
      <c r="B28687" s="19"/>
      <c r="E28687" s="23"/>
      <c r="L28687" s="23"/>
    </row>
    <row r="28688">
      <c r="B28688" s="19"/>
      <c r="E28688" s="23"/>
      <c r="L28688" s="23"/>
    </row>
    <row r="28689">
      <c r="B28689" s="19"/>
      <c r="E28689" s="23"/>
      <c r="L28689" s="23"/>
    </row>
    <row r="28690">
      <c r="B28690" s="19"/>
      <c r="E28690" s="23"/>
      <c r="L28690" s="23"/>
    </row>
    <row r="28691">
      <c r="B28691" s="19"/>
      <c r="E28691" s="23"/>
      <c r="L28691" s="23"/>
    </row>
    <row r="28692">
      <c r="B28692" s="19"/>
      <c r="E28692" s="23"/>
      <c r="L28692" s="23"/>
    </row>
    <row r="28693">
      <c r="B28693" s="19"/>
      <c r="E28693" s="23"/>
      <c r="L28693" s="23"/>
    </row>
    <row r="28694">
      <c r="B28694" s="19"/>
      <c r="E28694" s="23"/>
      <c r="L28694" s="23"/>
    </row>
    <row r="28695">
      <c r="B28695" s="19"/>
      <c r="E28695" s="23"/>
      <c r="L28695" s="23"/>
    </row>
    <row r="28696">
      <c r="B28696" s="19"/>
      <c r="E28696" s="23"/>
      <c r="L28696" s="23"/>
    </row>
    <row r="28697">
      <c r="B28697" s="19"/>
      <c r="E28697" s="23"/>
      <c r="L28697" s="23"/>
    </row>
    <row r="28698">
      <c r="B28698" s="19"/>
      <c r="E28698" s="23"/>
      <c r="L28698" s="23"/>
    </row>
    <row r="28699">
      <c r="B28699" s="19"/>
      <c r="E28699" s="23"/>
      <c r="L28699" s="23"/>
    </row>
    <row r="28700">
      <c r="B28700" s="19"/>
      <c r="E28700" s="23"/>
      <c r="L28700" s="23"/>
    </row>
    <row r="28701">
      <c r="B28701" s="19"/>
      <c r="E28701" s="23"/>
      <c r="L28701" s="23"/>
    </row>
    <row r="28702">
      <c r="B28702" s="19"/>
      <c r="E28702" s="23"/>
      <c r="L28702" s="23"/>
    </row>
    <row r="28703">
      <c r="B28703" s="19"/>
      <c r="E28703" s="23"/>
      <c r="L28703" s="23"/>
    </row>
    <row r="28704">
      <c r="B28704" s="19"/>
      <c r="E28704" s="23"/>
      <c r="L28704" s="23"/>
    </row>
    <row r="28705">
      <c r="B28705" s="19"/>
      <c r="E28705" s="23"/>
      <c r="L28705" s="23"/>
    </row>
    <row r="28706">
      <c r="B28706" s="19"/>
      <c r="E28706" s="23"/>
      <c r="L28706" s="23"/>
    </row>
    <row r="28707">
      <c r="B28707" s="19"/>
      <c r="E28707" s="23"/>
      <c r="L28707" s="23"/>
    </row>
    <row r="28708">
      <c r="B28708" s="19"/>
      <c r="E28708" s="23"/>
      <c r="L28708" s="23"/>
    </row>
    <row r="28709">
      <c r="B28709" s="19"/>
      <c r="E28709" s="23"/>
      <c r="L28709" s="23"/>
    </row>
    <row r="28710">
      <c r="B28710" s="19"/>
      <c r="E28710" s="23"/>
      <c r="L28710" s="23"/>
    </row>
    <row r="28711">
      <c r="B28711" s="19"/>
      <c r="E28711" s="23"/>
      <c r="L28711" s="23"/>
    </row>
    <row r="28712">
      <c r="B28712" s="19"/>
      <c r="E28712" s="23"/>
      <c r="L28712" s="23"/>
    </row>
    <row r="28713">
      <c r="B28713" s="19"/>
      <c r="E28713" s="23"/>
      <c r="L28713" s="23"/>
    </row>
    <row r="28714">
      <c r="B28714" s="19"/>
      <c r="E28714" s="23"/>
      <c r="L28714" s="23"/>
    </row>
    <row r="28715">
      <c r="B28715" s="19"/>
      <c r="E28715" s="23"/>
      <c r="L28715" s="23"/>
    </row>
    <row r="28716">
      <c r="B28716" s="19"/>
      <c r="E28716" s="23"/>
      <c r="L28716" s="23"/>
    </row>
    <row r="28717">
      <c r="B28717" s="19"/>
      <c r="E28717" s="23"/>
      <c r="L28717" s="23"/>
    </row>
    <row r="28718">
      <c r="B28718" s="19"/>
      <c r="E28718" s="23"/>
      <c r="L28718" s="23"/>
    </row>
    <row r="28719">
      <c r="B28719" s="19"/>
      <c r="E28719" s="23"/>
      <c r="L28719" s="23"/>
    </row>
    <row r="28720">
      <c r="B28720" s="19"/>
      <c r="E28720" s="23"/>
      <c r="L28720" s="23"/>
    </row>
    <row r="28721">
      <c r="B28721" s="19"/>
      <c r="E28721" s="23"/>
      <c r="L28721" s="23"/>
    </row>
    <row r="28722">
      <c r="B28722" s="19"/>
      <c r="E28722" s="23"/>
      <c r="L28722" s="23"/>
    </row>
    <row r="28723">
      <c r="B28723" s="19"/>
      <c r="E28723" s="23"/>
      <c r="L28723" s="23"/>
    </row>
    <row r="28724">
      <c r="B28724" s="19"/>
      <c r="E28724" s="23"/>
      <c r="L28724" s="23"/>
    </row>
    <row r="28725">
      <c r="B28725" s="19"/>
      <c r="E28725" s="23"/>
      <c r="L28725" s="23"/>
    </row>
    <row r="28726">
      <c r="B28726" s="19"/>
      <c r="E28726" s="23"/>
      <c r="L28726" s="23"/>
    </row>
    <row r="28727">
      <c r="B28727" s="19"/>
      <c r="E28727" s="23"/>
      <c r="L28727" s="23"/>
    </row>
    <row r="28728">
      <c r="B28728" s="19"/>
      <c r="E28728" s="23"/>
      <c r="L28728" s="23"/>
    </row>
    <row r="28729">
      <c r="B28729" s="19"/>
      <c r="E28729" s="23"/>
      <c r="L28729" s="23"/>
    </row>
    <row r="28730">
      <c r="B28730" s="19"/>
      <c r="E28730" s="23"/>
      <c r="L28730" s="23"/>
    </row>
    <row r="28731">
      <c r="B28731" s="19"/>
      <c r="E28731" s="23"/>
      <c r="L28731" s="23"/>
    </row>
    <row r="28732">
      <c r="B28732" s="19"/>
      <c r="E28732" s="23"/>
      <c r="L28732" s="23"/>
    </row>
    <row r="28733">
      <c r="B28733" s="19"/>
      <c r="E28733" s="23"/>
      <c r="L28733" s="23"/>
    </row>
    <row r="28734">
      <c r="B28734" s="19"/>
      <c r="E28734" s="23"/>
      <c r="L28734" s="23"/>
    </row>
    <row r="28735">
      <c r="B28735" s="19"/>
      <c r="E28735" s="23"/>
      <c r="L28735" s="23"/>
    </row>
    <row r="28736">
      <c r="B28736" s="19"/>
      <c r="E28736" s="23"/>
      <c r="L28736" s="23"/>
    </row>
    <row r="28737">
      <c r="B28737" s="19"/>
      <c r="E28737" s="23"/>
      <c r="L28737" s="23"/>
    </row>
    <row r="28738">
      <c r="B28738" s="19"/>
      <c r="E28738" s="23"/>
      <c r="L28738" s="23"/>
    </row>
    <row r="28739">
      <c r="B28739" s="19"/>
      <c r="E28739" s="23"/>
      <c r="L28739" s="23"/>
    </row>
    <row r="28740">
      <c r="B28740" s="19"/>
      <c r="E28740" s="23"/>
      <c r="L28740" s="23"/>
    </row>
    <row r="28741">
      <c r="B28741" s="19"/>
      <c r="E28741" s="23"/>
      <c r="L28741" s="23"/>
    </row>
    <row r="28742">
      <c r="B28742" s="19"/>
      <c r="E28742" s="23"/>
      <c r="L28742" s="23"/>
    </row>
    <row r="28743">
      <c r="B28743" s="19"/>
      <c r="E28743" s="23"/>
      <c r="L28743" s="23"/>
    </row>
    <row r="28744">
      <c r="B28744" s="19"/>
      <c r="E28744" s="23"/>
      <c r="L28744" s="23"/>
    </row>
    <row r="28745">
      <c r="B28745" s="19"/>
      <c r="E28745" s="23"/>
      <c r="L28745" s="23"/>
    </row>
    <row r="28746">
      <c r="B28746" s="19"/>
      <c r="E28746" s="23"/>
      <c r="L28746" s="23"/>
    </row>
    <row r="28747">
      <c r="B28747" s="19"/>
      <c r="E28747" s="23"/>
      <c r="L28747" s="23"/>
    </row>
    <row r="28748">
      <c r="B28748" s="19"/>
      <c r="E28748" s="23"/>
      <c r="L28748" s="23"/>
    </row>
    <row r="28749">
      <c r="B28749" s="19"/>
      <c r="E28749" s="23"/>
      <c r="L28749" s="23"/>
    </row>
    <row r="28750">
      <c r="B28750" s="19"/>
      <c r="E28750" s="23"/>
      <c r="L28750" s="23"/>
    </row>
    <row r="28751">
      <c r="B28751" s="19"/>
      <c r="E28751" s="23"/>
      <c r="L28751" s="23"/>
    </row>
    <row r="28752">
      <c r="B28752" s="19"/>
      <c r="E28752" s="23"/>
      <c r="L28752" s="23"/>
    </row>
    <row r="28753">
      <c r="B28753" s="19"/>
      <c r="E28753" s="23"/>
      <c r="L28753" s="23"/>
    </row>
    <row r="28754">
      <c r="B28754" s="19"/>
      <c r="E28754" s="23"/>
      <c r="L28754" s="23"/>
    </row>
    <row r="28755">
      <c r="B28755" s="19"/>
      <c r="E28755" s="23"/>
      <c r="L28755" s="23"/>
    </row>
    <row r="28756">
      <c r="B28756" s="19"/>
      <c r="E28756" s="23"/>
      <c r="L28756" s="23"/>
    </row>
    <row r="28757">
      <c r="B28757" s="19"/>
      <c r="E28757" s="23"/>
      <c r="L28757" s="23"/>
    </row>
    <row r="28758">
      <c r="B28758" s="19"/>
      <c r="E28758" s="23"/>
      <c r="L28758" s="23"/>
    </row>
    <row r="28759">
      <c r="B28759" s="19"/>
      <c r="E28759" s="23"/>
      <c r="L28759" s="23"/>
    </row>
    <row r="28760">
      <c r="B28760" s="19"/>
      <c r="E28760" s="23"/>
      <c r="L28760" s="23"/>
    </row>
    <row r="28761">
      <c r="B28761" s="19"/>
      <c r="E28761" s="23"/>
      <c r="L28761" s="23"/>
    </row>
    <row r="28762">
      <c r="B28762" s="19"/>
      <c r="E28762" s="23"/>
      <c r="L28762" s="23"/>
    </row>
    <row r="28763">
      <c r="B28763" s="19"/>
      <c r="E28763" s="23"/>
      <c r="L28763" s="23"/>
    </row>
    <row r="28764">
      <c r="B28764" s="19"/>
      <c r="E28764" s="23"/>
      <c r="L28764" s="23"/>
    </row>
    <row r="28765">
      <c r="B28765" s="19"/>
      <c r="E28765" s="23"/>
      <c r="L28765" s="23"/>
    </row>
    <row r="28766">
      <c r="B28766" s="19"/>
      <c r="E28766" s="23"/>
      <c r="L28766" s="23"/>
    </row>
    <row r="28767">
      <c r="B28767" s="19"/>
      <c r="E28767" s="23"/>
      <c r="L28767" s="23"/>
    </row>
    <row r="28768">
      <c r="B28768" s="19"/>
      <c r="E28768" s="23"/>
      <c r="L28768" s="23"/>
    </row>
    <row r="28769">
      <c r="B28769" s="19"/>
      <c r="E28769" s="23"/>
      <c r="L28769" s="23"/>
    </row>
    <row r="28770">
      <c r="B28770" s="19"/>
      <c r="E28770" s="23"/>
      <c r="L28770" s="23"/>
    </row>
    <row r="28771">
      <c r="B28771" s="19"/>
      <c r="E28771" s="23"/>
      <c r="L28771" s="23"/>
    </row>
    <row r="28772">
      <c r="B28772" s="19"/>
      <c r="E28772" s="23"/>
      <c r="L28772" s="23"/>
    </row>
    <row r="28773">
      <c r="B28773" s="19"/>
      <c r="E28773" s="23"/>
      <c r="L28773" s="23"/>
    </row>
    <row r="28774">
      <c r="B28774" s="19"/>
      <c r="E28774" s="23"/>
      <c r="L28774" s="23"/>
    </row>
    <row r="28775">
      <c r="B28775" s="19"/>
      <c r="E28775" s="23"/>
      <c r="L28775" s="23"/>
    </row>
    <row r="28776">
      <c r="B28776" s="19"/>
      <c r="E28776" s="23"/>
      <c r="L28776" s="23"/>
    </row>
    <row r="28777">
      <c r="B28777" s="19"/>
      <c r="E28777" s="23"/>
      <c r="L28777" s="23"/>
    </row>
    <row r="28778">
      <c r="B28778" s="19"/>
      <c r="E28778" s="23"/>
      <c r="L28778" s="23"/>
    </row>
    <row r="28779">
      <c r="B28779" s="19"/>
      <c r="E28779" s="23"/>
      <c r="L28779" s="23"/>
    </row>
    <row r="28780">
      <c r="B28780" s="19"/>
      <c r="E28780" s="23"/>
      <c r="L28780" s="23"/>
    </row>
    <row r="28781">
      <c r="B28781" s="19"/>
      <c r="E28781" s="23"/>
      <c r="L28781" s="23"/>
    </row>
    <row r="28782">
      <c r="B28782" s="19"/>
      <c r="E28782" s="23"/>
      <c r="L28782" s="23"/>
    </row>
    <row r="28783">
      <c r="B28783" s="19"/>
      <c r="E28783" s="23"/>
      <c r="L28783" s="23"/>
    </row>
    <row r="28784">
      <c r="B28784" s="19"/>
      <c r="E28784" s="23"/>
      <c r="L28784" s="23"/>
    </row>
    <row r="28785">
      <c r="B28785" s="19"/>
      <c r="E28785" s="23"/>
      <c r="L28785" s="23"/>
    </row>
    <row r="28786">
      <c r="B28786" s="19"/>
      <c r="E28786" s="23"/>
      <c r="L28786" s="23"/>
    </row>
    <row r="28787">
      <c r="B28787" s="19"/>
      <c r="E28787" s="23"/>
      <c r="L28787" s="23"/>
    </row>
    <row r="28788">
      <c r="B28788" s="19"/>
      <c r="E28788" s="23"/>
      <c r="L28788" s="23"/>
    </row>
    <row r="28789">
      <c r="B28789" s="19"/>
      <c r="E28789" s="23"/>
      <c r="L28789" s="23"/>
    </row>
    <row r="28790">
      <c r="B28790" s="19"/>
      <c r="E28790" s="23"/>
      <c r="L28790" s="23"/>
    </row>
    <row r="28791">
      <c r="B28791" s="19"/>
      <c r="E28791" s="23"/>
      <c r="L28791" s="23"/>
    </row>
    <row r="28792">
      <c r="B28792" s="19"/>
      <c r="E28792" s="23"/>
      <c r="L28792" s="23"/>
    </row>
    <row r="28793">
      <c r="B28793" s="19"/>
      <c r="E28793" s="23"/>
      <c r="L28793" s="23"/>
    </row>
    <row r="28794">
      <c r="B28794" s="19"/>
      <c r="E28794" s="23"/>
      <c r="L28794" s="23"/>
    </row>
    <row r="28795">
      <c r="B28795" s="19"/>
      <c r="E28795" s="23"/>
      <c r="L28795" s="23"/>
    </row>
    <row r="28796">
      <c r="B28796" s="19"/>
      <c r="E28796" s="23"/>
      <c r="L28796" s="23"/>
    </row>
    <row r="28797">
      <c r="B28797" s="19"/>
      <c r="E28797" s="23"/>
      <c r="L28797" s="23"/>
    </row>
    <row r="28798">
      <c r="B28798" s="19"/>
      <c r="E28798" s="23"/>
      <c r="L28798" s="23"/>
    </row>
    <row r="28799">
      <c r="B28799" s="19"/>
      <c r="E28799" s="23"/>
      <c r="L28799" s="23"/>
    </row>
    <row r="28800">
      <c r="B28800" s="19"/>
      <c r="E28800" s="23"/>
      <c r="L28800" s="23"/>
    </row>
    <row r="28801">
      <c r="B28801" s="19"/>
      <c r="E28801" s="23"/>
      <c r="L28801" s="23"/>
    </row>
    <row r="28802">
      <c r="B28802" s="19"/>
      <c r="E28802" s="23"/>
      <c r="L28802" s="23"/>
    </row>
    <row r="28803">
      <c r="B28803" s="19"/>
      <c r="E28803" s="23"/>
      <c r="L28803" s="23"/>
    </row>
    <row r="28804">
      <c r="B28804" s="19"/>
      <c r="E28804" s="23"/>
      <c r="L28804" s="23"/>
    </row>
    <row r="28805">
      <c r="B28805" s="19"/>
      <c r="E28805" s="23"/>
      <c r="L28805" s="23"/>
    </row>
    <row r="28806">
      <c r="B28806" s="19"/>
      <c r="E28806" s="23"/>
      <c r="L28806" s="23"/>
    </row>
    <row r="28807">
      <c r="B28807" s="19"/>
      <c r="E28807" s="23"/>
      <c r="L28807" s="23"/>
    </row>
    <row r="28808">
      <c r="B28808" s="19"/>
      <c r="E28808" s="23"/>
      <c r="L28808" s="23"/>
    </row>
    <row r="28809">
      <c r="B28809" s="19"/>
      <c r="E28809" s="23"/>
      <c r="L28809" s="23"/>
    </row>
    <row r="28810">
      <c r="B28810" s="19"/>
      <c r="E28810" s="23"/>
      <c r="L28810" s="23"/>
    </row>
    <row r="28811">
      <c r="B28811" s="19"/>
      <c r="E28811" s="23"/>
      <c r="L28811" s="23"/>
    </row>
    <row r="28812">
      <c r="B28812" s="19"/>
      <c r="E28812" s="23"/>
      <c r="L28812" s="23"/>
    </row>
    <row r="28813">
      <c r="B28813" s="19"/>
      <c r="E28813" s="23"/>
      <c r="L28813" s="23"/>
    </row>
    <row r="28814">
      <c r="B28814" s="19"/>
      <c r="E28814" s="23"/>
      <c r="L28814" s="23"/>
    </row>
    <row r="28815">
      <c r="B28815" s="19"/>
      <c r="E28815" s="23"/>
      <c r="L28815" s="23"/>
    </row>
    <row r="28816">
      <c r="B28816" s="19"/>
      <c r="E28816" s="23"/>
      <c r="L28816" s="23"/>
    </row>
    <row r="28817">
      <c r="B28817" s="19"/>
      <c r="E28817" s="23"/>
      <c r="L28817" s="23"/>
    </row>
    <row r="28818">
      <c r="B28818" s="19"/>
      <c r="E28818" s="23"/>
      <c r="L28818" s="23"/>
    </row>
    <row r="28819">
      <c r="B28819" s="19"/>
      <c r="E28819" s="23"/>
      <c r="L28819" s="23"/>
    </row>
    <row r="28820">
      <c r="B28820" s="19"/>
      <c r="E28820" s="23"/>
      <c r="L28820" s="23"/>
    </row>
    <row r="28821">
      <c r="B28821" s="19"/>
      <c r="E28821" s="23"/>
      <c r="L28821" s="23"/>
    </row>
    <row r="28822">
      <c r="B28822" s="19"/>
      <c r="E28822" s="23"/>
      <c r="L28822" s="23"/>
    </row>
    <row r="28823">
      <c r="B28823" s="19"/>
      <c r="E28823" s="23"/>
      <c r="L28823" s="23"/>
    </row>
    <row r="28824">
      <c r="B28824" s="19"/>
      <c r="E28824" s="23"/>
      <c r="L28824" s="23"/>
    </row>
    <row r="28825">
      <c r="B28825" s="19"/>
      <c r="E28825" s="23"/>
      <c r="L28825" s="23"/>
    </row>
    <row r="28826">
      <c r="B28826" s="19"/>
      <c r="E28826" s="23"/>
      <c r="L28826" s="23"/>
    </row>
    <row r="28827">
      <c r="B28827" s="19"/>
      <c r="E28827" s="23"/>
      <c r="L28827" s="23"/>
    </row>
    <row r="28828">
      <c r="B28828" s="19"/>
      <c r="E28828" s="23"/>
      <c r="L28828" s="23"/>
    </row>
    <row r="28829">
      <c r="B28829" s="19"/>
      <c r="E28829" s="23"/>
      <c r="L28829" s="23"/>
    </row>
    <row r="28830">
      <c r="B28830" s="19"/>
      <c r="E28830" s="23"/>
      <c r="L28830" s="23"/>
    </row>
    <row r="28831">
      <c r="B28831" s="19"/>
      <c r="E28831" s="23"/>
      <c r="L28831" s="23"/>
    </row>
    <row r="28832">
      <c r="B28832" s="19"/>
      <c r="E28832" s="23"/>
      <c r="L28832" s="23"/>
    </row>
    <row r="28833">
      <c r="B28833" s="19"/>
      <c r="E28833" s="23"/>
      <c r="L28833" s="23"/>
    </row>
    <row r="28834">
      <c r="B28834" s="19"/>
      <c r="E28834" s="23"/>
      <c r="L28834" s="23"/>
    </row>
    <row r="28835">
      <c r="B28835" s="19"/>
      <c r="E28835" s="23"/>
      <c r="L28835" s="23"/>
    </row>
    <row r="28836">
      <c r="B28836" s="19"/>
      <c r="E28836" s="23"/>
      <c r="L28836" s="23"/>
    </row>
    <row r="28837">
      <c r="B28837" s="19"/>
      <c r="E28837" s="23"/>
      <c r="L28837" s="23"/>
    </row>
    <row r="28838">
      <c r="B28838" s="19"/>
      <c r="E28838" s="23"/>
      <c r="L28838" s="23"/>
    </row>
    <row r="28839">
      <c r="B28839" s="19"/>
      <c r="E28839" s="23"/>
      <c r="L28839" s="23"/>
    </row>
    <row r="28840">
      <c r="B28840" s="19"/>
      <c r="E28840" s="23"/>
      <c r="L28840" s="23"/>
    </row>
    <row r="28841">
      <c r="B28841" s="19"/>
      <c r="E28841" s="23"/>
      <c r="L28841" s="23"/>
    </row>
    <row r="28842">
      <c r="B28842" s="19"/>
      <c r="E28842" s="23"/>
      <c r="L28842" s="23"/>
    </row>
    <row r="28843">
      <c r="B28843" s="19"/>
      <c r="E28843" s="23"/>
      <c r="L28843" s="23"/>
    </row>
    <row r="28844">
      <c r="B28844" s="19"/>
      <c r="E28844" s="23"/>
      <c r="L28844" s="23"/>
    </row>
    <row r="28845">
      <c r="B28845" s="19"/>
      <c r="E28845" s="23"/>
      <c r="L28845" s="23"/>
    </row>
    <row r="28846">
      <c r="B28846" s="19"/>
      <c r="E28846" s="23"/>
      <c r="L28846" s="23"/>
    </row>
    <row r="28847">
      <c r="B28847" s="19"/>
      <c r="E28847" s="23"/>
      <c r="L28847" s="23"/>
    </row>
    <row r="28848">
      <c r="B28848" s="19"/>
      <c r="E28848" s="23"/>
      <c r="L28848" s="23"/>
    </row>
    <row r="28849">
      <c r="B28849" s="19"/>
      <c r="E28849" s="23"/>
      <c r="L28849" s="23"/>
    </row>
    <row r="28850">
      <c r="B28850" s="19"/>
      <c r="E28850" s="23"/>
      <c r="L28850" s="23"/>
    </row>
    <row r="28851">
      <c r="B28851" s="19"/>
      <c r="E28851" s="23"/>
      <c r="L28851" s="23"/>
    </row>
    <row r="28852">
      <c r="B28852" s="19"/>
      <c r="E28852" s="23"/>
      <c r="L28852" s="23"/>
    </row>
    <row r="28853">
      <c r="B28853" s="19"/>
      <c r="E28853" s="23"/>
      <c r="L28853" s="23"/>
    </row>
    <row r="28854">
      <c r="B28854" s="19"/>
      <c r="E28854" s="23"/>
      <c r="L28854" s="23"/>
    </row>
    <row r="28855">
      <c r="B28855" s="19"/>
      <c r="E28855" s="23"/>
      <c r="L28855" s="23"/>
    </row>
    <row r="28856">
      <c r="B28856" s="19"/>
      <c r="E28856" s="23"/>
      <c r="L28856" s="23"/>
    </row>
    <row r="28857">
      <c r="B28857" s="19"/>
      <c r="E28857" s="23"/>
      <c r="L28857" s="23"/>
    </row>
    <row r="28858">
      <c r="B28858" s="19"/>
      <c r="E28858" s="23"/>
      <c r="L28858" s="23"/>
    </row>
    <row r="28859">
      <c r="B28859" s="19"/>
      <c r="E28859" s="23"/>
      <c r="L28859" s="23"/>
    </row>
    <row r="28860">
      <c r="B28860" s="19"/>
      <c r="E28860" s="23"/>
      <c r="L28860" s="23"/>
    </row>
    <row r="28861">
      <c r="B28861" s="19"/>
      <c r="E28861" s="23"/>
      <c r="L28861" s="23"/>
    </row>
    <row r="28862">
      <c r="B28862" s="19"/>
      <c r="E28862" s="23"/>
      <c r="L28862" s="23"/>
    </row>
    <row r="28863">
      <c r="B28863" s="19"/>
      <c r="E28863" s="23"/>
      <c r="L28863" s="23"/>
    </row>
    <row r="28864">
      <c r="B28864" s="19"/>
      <c r="E28864" s="23"/>
      <c r="L28864" s="23"/>
    </row>
    <row r="28865">
      <c r="B28865" s="19"/>
      <c r="E28865" s="23"/>
      <c r="L28865" s="23"/>
    </row>
    <row r="28866">
      <c r="B28866" s="19"/>
      <c r="E28866" s="23"/>
      <c r="L28866" s="23"/>
    </row>
    <row r="28867">
      <c r="B28867" s="19"/>
      <c r="E28867" s="23"/>
      <c r="L28867" s="23"/>
    </row>
    <row r="28868">
      <c r="B28868" s="19"/>
      <c r="E28868" s="23"/>
      <c r="L28868" s="23"/>
    </row>
    <row r="28869">
      <c r="B28869" s="19"/>
      <c r="E28869" s="23"/>
      <c r="L28869" s="23"/>
    </row>
    <row r="28870">
      <c r="B28870" s="19"/>
      <c r="E28870" s="23"/>
      <c r="L28870" s="23"/>
    </row>
    <row r="28871">
      <c r="B28871" s="19"/>
      <c r="E28871" s="23"/>
      <c r="L28871" s="23"/>
    </row>
    <row r="28872">
      <c r="B28872" s="19"/>
      <c r="E28872" s="23"/>
      <c r="L28872" s="23"/>
    </row>
    <row r="28873">
      <c r="B28873" s="19"/>
      <c r="E28873" s="23"/>
      <c r="L28873" s="23"/>
    </row>
    <row r="28874">
      <c r="B28874" s="19"/>
      <c r="E28874" s="23"/>
      <c r="L28874" s="23"/>
    </row>
    <row r="28875">
      <c r="B28875" s="19"/>
      <c r="E28875" s="23"/>
      <c r="L28875" s="23"/>
    </row>
    <row r="28876">
      <c r="B28876" s="19"/>
      <c r="E28876" s="23"/>
      <c r="L28876" s="23"/>
    </row>
    <row r="28877">
      <c r="B28877" s="19"/>
      <c r="E28877" s="23"/>
      <c r="L28877" s="23"/>
    </row>
    <row r="28878">
      <c r="B28878" s="19"/>
      <c r="E28878" s="23"/>
      <c r="L28878" s="23"/>
    </row>
    <row r="28879">
      <c r="B28879" s="19"/>
      <c r="E28879" s="23"/>
      <c r="L28879" s="23"/>
    </row>
    <row r="28880">
      <c r="B28880" s="19"/>
      <c r="E28880" s="23"/>
      <c r="L28880" s="23"/>
    </row>
    <row r="28881">
      <c r="B28881" s="19"/>
      <c r="E28881" s="23"/>
      <c r="L28881" s="23"/>
    </row>
    <row r="28882">
      <c r="B28882" s="19"/>
      <c r="E28882" s="23"/>
      <c r="L28882" s="23"/>
    </row>
    <row r="28883">
      <c r="B28883" s="19"/>
      <c r="E28883" s="23"/>
      <c r="L28883" s="23"/>
    </row>
    <row r="28884">
      <c r="B28884" s="19"/>
      <c r="E28884" s="23"/>
      <c r="L28884" s="23"/>
    </row>
    <row r="28885">
      <c r="B28885" s="19"/>
      <c r="E28885" s="23"/>
      <c r="L28885" s="23"/>
    </row>
    <row r="28886">
      <c r="B28886" s="19"/>
      <c r="E28886" s="23"/>
      <c r="L28886" s="23"/>
    </row>
    <row r="28887">
      <c r="B28887" s="19"/>
      <c r="E28887" s="23"/>
      <c r="L28887" s="23"/>
    </row>
    <row r="28888">
      <c r="B28888" s="19"/>
      <c r="E28888" s="23"/>
      <c r="L28888" s="23"/>
    </row>
    <row r="28889">
      <c r="B28889" s="19"/>
      <c r="E28889" s="23"/>
      <c r="L28889" s="23"/>
    </row>
    <row r="28890">
      <c r="B28890" s="19"/>
      <c r="E28890" s="23"/>
      <c r="L28890" s="23"/>
    </row>
    <row r="28891">
      <c r="B28891" s="19"/>
      <c r="E28891" s="23"/>
      <c r="L28891" s="23"/>
    </row>
    <row r="28892">
      <c r="B28892" s="19"/>
      <c r="E28892" s="23"/>
      <c r="L28892" s="23"/>
    </row>
    <row r="28893">
      <c r="B28893" s="19"/>
      <c r="E28893" s="23"/>
      <c r="L28893" s="23"/>
    </row>
    <row r="28894">
      <c r="B28894" s="19"/>
      <c r="E28894" s="23"/>
      <c r="L28894" s="23"/>
    </row>
    <row r="28895">
      <c r="B28895" s="19"/>
      <c r="E28895" s="23"/>
      <c r="L28895" s="23"/>
    </row>
    <row r="28896">
      <c r="B28896" s="19"/>
      <c r="E28896" s="23"/>
      <c r="L28896" s="23"/>
    </row>
    <row r="28897">
      <c r="B28897" s="19"/>
      <c r="E28897" s="23"/>
      <c r="L28897" s="23"/>
    </row>
    <row r="28898">
      <c r="B28898" s="19"/>
      <c r="E28898" s="23"/>
      <c r="L28898" s="23"/>
    </row>
    <row r="28899">
      <c r="B28899" s="19"/>
      <c r="E28899" s="23"/>
      <c r="L28899" s="23"/>
    </row>
    <row r="28900">
      <c r="B28900" s="19"/>
      <c r="E28900" s="23"/>
      <c r="L28900" s="23"/>
    </row>
    <row r="28901">
      <c r="B28901" s="19"/>
      <c r="E28901" s="23"/>
      <c r="L28901" s="23"/>
    </row>
    <row r="28902">
      <c r="B28902" s="19"/>
      <c r="E28902" s="23"/>
      <c r="L28902" s="23"/>
    </row>
    <row r="28903">
      <c r="B28903" s="19"/>
      <c r="E28903" s="23"/>
      <c r="L28903" s="23"/>
    </row>
    <row r="28904">
      <c r="B28904" s="19"/>
      <c r="E28904" s="23"/>
      <c r="L28904" s="23"/>
    </row>
    <row r="28905">
      <c r="B28905" s="19"/>
      <c r="E28905" s="23"/>
      <c r="L28905" s="23"/>
    </row>
    <row r="28906">
      <c r="B28906" s="19"/>
      <c r="E28906" s="23"/>
      <c r="L28906" s="23"/>
    </row>
    <row r="28907">
      <c r="B28907" s="19"/>
      <c r="E28907" s="23"/>
      <c r="L28907" s="23"/>
    </row>
    <row r="28908">
      <c r="B28908" s="19"/>
      <c r="E28908" s="23"/>
      <c r="L28908" s="23"/>
    </row>
    <row r="28909">
      <c r="B28909" s="19"/>
      <c r="E28909" s="23"/>
      <c r="L28909" s="23"/>
    </row>
    <row r="28910">
      <c r="B28910" s="19"/>
      <c r="E28910" s="23"/>
      <c r="L28910" s="23"/>
    </row>
    <row r="28911">
      <c r="B28911" s="19"/>
      <c r="E28911" s="23"/>
      <c r="L28911" s="23"/>
    </row>
    <row r="28912">
      <c r="B28912" s="19"/>
      <c r="E28912" s="23"/>
      <c r="L28912" s="23"/>
    </row>
    <row r="28913">
      <c r="B28913" s="19"/>
      <c r="E28913" s="23"/>
      <c r="L28913" s="23"/>
    </row>
    <row r="28914">
      <c r="B28914" s="19"/>
      <c r="E28914" s="23"/>
      <c r="L28914" s="23"/>
    </row>
    <row r="28915">
      <c r="B28915" s="19"/>
      <c r="E28915" s="23"/>
      <c r="L28915" s="23"/>
    </row>
    <row r="28916">
      <c r="B28916" s="19"/>
      <c r="E28916" s="23"/>
      <c r="L28916" s="23"/>
    </row>
    <row r="28917">
      <c r="B28917" s="19"/>
      <c r="E28917" s="23"/>
      <c r="L28917" s="23"/>
    </row>
    <row r="28918">
      <c r="B28918" s="19"/>
      <c r="E28918" s="23"/>
      <c r="L28918" s="23"/>
    </row>
    <row r="28919">
      <c r="B28919" s="19"/>
      <c r="E28919" s="23"/>
      <c r="L28919" s="23"/>
    </row>
    <row r="28920">
      <c r="B28920" s="19"/>
      <c r="E28920" s="23"/>
      <c r="L28920" s="23"/>
    </row>
    <row r="28921">
      <c r="B28921" s="19"/>
      <c r="E28921" s="23"/>
      <c r="L28921" s="23"/>
    </row>
    <row r="28922">
      <c r="B28922" s="19"/>
      <c r="E28922" s="23"/>
      <c r="L28922" s="23"/>
    </row>
    <row r="28923">
      <c r="B28923" s="19"/>
      <c r="E28923" s="23"/>
      <c r="L28923" s="23"/>
    </row>
    <row r="28924">
      <c r="B28924" s="19"/>
      <c r="E28924" s="23"/>
      <c r="L28924" s="23"/>
    </row>
    <row r="28925">
      <c r="B28925" s="19"/>
      <c r="E28925" s="23"/>
      <c r="L28925" s="23"/>
    </row>
    <row r="28926">
      <c r="B28926" s="19"/>
      <c r="E28926" s="23"/>
      <c r="L28926" s="23"/>
    </row>
    <row r="28927">
      <c r="B28927" s="19"/>
      <c r="E28927" s="23"/>
      <c r="L28927" s="23"/>
    </row>
    <row r="28928">
      <c r="B28928" s="19"/>
      <c r="E28928" s="23"/>
      <c r="L28928" s="23"/>
    </row>
    <row r="28929">
      <c r="B28929" s="19"/>
      <c r="E28929" s="23"/>
      <c r="L28929" s="23"/>
    </row>
    <row r="28930">
      <c r="B28930" s="19"/>
      <c r="E28930" s="23"/>
      <c r="L28930" s="23"/>
    </row>
    <row r="28931">
      <c r="B28931" s="19"/>
      <c r="E28931" s="23"/>
      <c r="L28931" s="23"/>
    </row>
    <row r="28932">
      <c r="B28932" s="19"/>
      <c r="E28932" s="23"/>
      <c r="L28932" s="23"/>
    </row>
    <row r="28933">
      <c r="B28933" s="19"/>
      <c r="E28933" s="23"/>
      <c r="L28933" s="23"/>
    </row>
    <row r="28934">
      <c r="B28934" s="19"/>
      <c r="E28934" s="23"/>
      <c r="L28934" s="23"/>
    </row>
    <row r="28935">
      <c r="B28935" s="19"/>
      <c r="E28935" s="23"/>
      <c r="L28935" s="23"/>
    </row>
    <row r="28936">
      <c r="B28936" s="19"/>
      <c r="E28936" s="23"/>
      <c r="L28936" s="23"/>
    </row>
    <row r="28937">
      <c r="B28937" s="19"/>
      <c r="E28937" s="23"/>
      <c r="L28937" s="23"/>
    </row>
    <row r="28938">
      <c r="B28938" s="19"/>
      <c r="E28938" s="23"/>
      <c r="L28938" s="23"/>
    </row>
    <row r="28939">
      <c r="B28939" s="19"/>
      <c r="E28939" s="23"/>
      <c r="L28939" s="23"/>
    </row>
    <row r="28940">
      <c r="B28940" s="19"/>
      <c r="E28940" s="23"/>
      <c r="L28940" s="23"/>
    </row>
    <row r="28941">
      <c r="B28941" s="19"/>
      <c r="E28941" s="23"/>
      <c r="L28941" s="23"/>
    </row>
    <row r="28942">
      <c r="B28942" s="19"/>
      <c r="E28942" s="23"/>
      <c r="L28942" s="23"/>
    </row>
    <row r="28943">
      <c r="B28943" s="19"/>
      <c r="E28943" s="23"/>
      <c r="L28943" s="23"/>
    </row>
    <row r="28944">
      <c r="B28944" s="19"/>
      <c r="E28944" s="23"/>
      <c r="L28944" s="23"/>
    </row>
    <row r="28945">
      <c r="B28945" s="19"/>
      <c r="E28945" s="23"/>
      <c r="L28945" s="23"/>
    </row>
    <row r="28946">
      <c r="B28946" s="19"/>
      <c r="E28946" s="23"/>
      <c r="L28946" s="23"/>
    </row>
    <row r="28947">
      <c r="B28947" s="19"/>
      <c r="E28947" s="23"/>
      <c r="L28947" s="23"/>
    </row>
    <row r="28948">
      <c r="B28948" s="19"/>
      <c r="E28948" s="23"/>
      <c r="L28948" s="23"/>
    </row>
    <row r="28949">
      <c r="B28949" s="19"/>
      <c r="E28949" s="23"/>
      <c r="L28949" s="23"/>
    </row>
    <row r="28950">
      <c r="B28950" s="19"/>
      <c r="E28950" s="23"/>
      <c r="L28950" s="23"/>
    </row>
    <row r="28951">
      <c r="B28951" s="19"/>
      <c r="E28951" s="23"/>
      <c r="L28951" s="23"/>
    </row>
    <row r="28952">
      <c r="B28952" s="19"/>
      <c r="E28952" s="23"/>
      <c r="L28952" s="23"/>
    </row>
    <row r="28953">
      <c r="B28953" s="19"/>
      <c r="E28953" s="23"/>
      <c r="L28953" s="23"/>
    </row>
    <row r="28954">
      <c r="B28954" s="19"/>
      <c r="E28954" s="23"/>
      <c r="L28954" s="23"/>
    </row>
    <row r="28955">
      <c r="B28955" s="19"/>
      <c r="E28955" s="23"/>
      <c r="L28955" s="23"/>
    </row>
    <row r="28956">
      <c r="B28956" s="19"/>
      <c r="E28956" s="23"/>
      <c r="L28956" s="23"/>
    </row>
    <row r="28957">
      <c r="B28957" s="19"/>
      <c r="E28957" s="23"/>
      <c r="L28957" s="23"/>
    </row>
    <row r="28958">
      <c r="B28958" s="19"/>
      <c r="E28958" s="23"/>
      <c r="L28958" s="23"/>
    </row>
    <row r="28959">
      <c r="B28959" s="19"/>
      <c r="E28959" s="23"/>
      <c r="L28959" s="23"/>
    </row>
    <row r="28960">
      <c r="B28960" s="19"/>
      <c r="E28960" s="23"/>
      <c r="L28960" s="23"/>
    </row>
    <row r="28961">
      <c r="B28961" s="19"/>
      <c r="E28961" s="23"/>
      <c r="L28961" s="23"/>
    </row>
    <row r="28962">
      <c r="B28962" s="19"/>
      <c r="E28962" s="23"/>
      <c r="L28962" s="23"/>
    </row>
    <row r="28963">
      <c r="B28963" s="19"/>
      <c r="E28963" s="23"/>
      <c r="L28963" s="23"/>
    </row>
    <row r="28964">
      <c r="B28964" s="19"/>
      <c r="E28964" s="23"/>
      <c r="L28964" s="23"/>
    </row>
    <row r="28965">
      <c r="B28965" s="19"/>
      <c r="E28965" s="23"/>
      <c r="L28965" s="23"/>
    </row>
    <row r="28966">
      <c r="B28966" s="19"/>
      <c r="E28966" s="23"/>
      <c r="L28966" s="23"/>
    </row>
    <row r="28967">
      <c r="B28967" s="19"/>
      <c r="E28967" s="23"/>
      <c r="L28967" s="23"/>
    </row>
    <row r="28968">
      <c r="B28968" s="19"/>
      <c r="E28968" s="23"/>
      <c r="L28968" s="23"/>
    </row>
    <row r="28969">
      <c r="B28969" s="19"/>
      <c r="E28969" s="23"/>
      <c r="L28969" s="23"/>
    </row>
    <row r="28970">
      <c r="B28970" s="19"/>
      <c r="E28970" s="23"/>
      <c r="L28970" s="23"/>
    </row>
    <row r="28971">
      <c r="B28971" s="19"/>
      <c r="E28971" s="23"/>
      <c r="L28971" s="23"/>
    </row>
    <row r="28972">
      <c r="B28972" s="19"/>
      <c r="E28972" s="23"/>
      <c r="L28972" s="23"/>
    </row>
    <row r="28973">
      <c r="B28973" s="19"/>
      <c r="E28973" s="23"/>
      <c r="L28973" s="23"/>
    </row>
    <row r="28974">
      <c r="B28974" s="19"/>
      <c r="E28974" s="23"/>
      <c r="L28974" s="23"/>
    </row>
    <row r="28975">
      <c r="B28975" s="19"/>
      <c r="E28975" s="23"/>
      <c r="L28975" s="23"/>
    </row>
    <row r="28976">
      <c r="B28976" s="19"/>
      <c r="E28976" s="23"/>
      <c r="L28976" s="23"/>
    </row>
    <row r="28977">
      <c r="B28977" s="19"/>
      <c r="E28977" s="23"/>
      <c r="L28977" s="23"/>
    </row>
    <row r="28978">
      <c r="B28978" s="19"/>
      <c r="E28978" s="23"/>
      <c r="L28978" s="23"/>
    </row>
    <row r="28979">
      <c r="B28979" s="19"/>
      <c r="E28979" s="23"/>
      <c r="L28979" s="23"/>
    </row>
    <row r="28980">
      <c r="B28980" s="19"/>
      <c r="E28980" s="23"/>
      <c r="L28980" s="23"/>
    </row>
    <row r="28981">
      <c r="B28981" s="19"/>
      <c r="E28981" s="23"/>
      <c r="L28981" s="23"/>
    </row>
    <row r="28982">
      <c r="B28982" s="19"/>
      <c r="E28982" s="23"/>
      <c r="L28982" s="23"/>
    </row>
    <row r="28983">
      <c r="B28983" s="19"/>
      <c r="E28983" s="23"/>
      <c r="L28983" s="23"/>
    </row>
    <row r="28984">
      <c r="B28984" s="19"/>
      <c r="E28984" s="23"/>
      <c r="L28984" s="23"/>
    </row>
    <row r="28985">
      <c r="B28985" s="19"/>
      <c r="E28985" s="23"/>
      <c r="L28985" s="23"/>
    </row>
    <row r="28986">
      <c r="B28986" s="19"/>
      <c r="E28986" s="23"/>
      <c r="L28986" s="23"/>
    </row>
    <row r="28987">
      <c r="B28987" s="19"/>
      <c r="E28987" s="23"/>
      <c r="L28987" s="23"/>
    </row>
    <row r="28988">
      <c r="B28988" s="19"/>
      <c r="E28988" s="23"/>
      <c r="L28988" s="23"/>
    </row>
    <row r="28989">
      <c r="B28989" s="19"/>
      <c r="E28989" s="23"/>
      <c r="L28989" s="23"/>
    </row>
    <row r="28990">
      <c r="B28990" s="19"/>
      <c r="E28990" s="23"/>
      <c r="L28990" s="23"/>
    </row>
    <row r="28991">
      <c r="B28991" s="19"/>
      <c r="E28991" s="23"/>
      <c r="L28991" s="23"/>
    </row>
    <row r="28992">
      <c r="B28992" s="19"/>
      <c r="E28992" s="23"/>
      <c r="L28992" s="23"/>
    </row>
    <row r="28993">
      <c r="B28993" s="19"/>
      <c r="E28993" s="23"/>
      <c r="L28993" s="23"/>
    </row>
    <row r="28994">
      <c r="B28994" s="19"/>
      <c r="E28994" s="23"/>
      <c r="L28994" s="23"/>
    </row>
    <row r="28995">
      <c r="B28995" s="19"/>
      <c r="E28995" s="23"/>
      <c r="L28995" s="23"/>
    </row>
    <row r="28996">
      <c r="B28996" s="19"/>
      <c r="E28996" s="23"/>
      <c r="L28996" s="23"/>
    </row>
    <row r="28997">
      <c r="B28997" s="19"/>
      <c r="E28997" s="23"/>
      <c r="L28997" s="23"/>
    </row>
    <row r="28998">
      <c r="B28998" s="19"/>
      <c r="E28998" s="23"/>
      <c r="L28998" s="23"/>
    </row>
    <row r="28999">
      <c r="B28999" s="19"/>
      <c r="E28999" s="23"/>
      <c r="L28999" s="23"/>
    </row>
    <row r="29000">
      <c r="B29000" s="19"/>
      <c r="E29000" s="23"/>
      <c r="L29000" s="23"/>
    </row>
    <row r="29001">
      <c r="B29001" s="19"/>
      <c r="E29001" s="23"/>
      <c r="L29001" s="23"/>
    </row>
    <row r="29002">
      <c r="B29002" s="19"/>
      <c r="E29002" s="23"/>
      <c r="L29002" s="23"/>
    </row>
    <row r="29003">
      <c r="B29003" s="19"/>
      <c r="E29003" s="23"/>
      <c r="L29003" s="23"/>
    </row>
    <row r="29004">
      <c r="B29004" s="19"/>
      <c r="E29004" s="23"/>
      <c r="L29004" s="23"/>
    </row>
    <row r="29005">
      <c r="B29005" s="19"/>
      <c r="E29005" s="23"/>
      <c r="L29005" s="23"/>
    </row>
    <row r="29006">
      <c r="B29006" s="19"/>
      <c r="E29006" s="23"/>
      <c r="L29006" s="23"/>
    </row>
    <row r="29007">
      <c r="B29007" s="19"/>
      <c r="E29007" s="23"/>
      <c r="L29007" s="23"/>
    </row>
    <row r="29008">
      <c r="B29008" s="19"/>
      <c r="E29008" s="23"/>
      <c r="L29008" s="23"/>
    </row>
    <row r="29009">
      <c r="B29009" s="19"/>
      <c r="E29009" s="23"/>
      <c r="L29009" s="23"/>
    </row>
    <row r="29010">
      <c r="B29010" s="19"/>
      <c r="E29010" s="23"/>
      <c r="L29010" s="23"/>
    </row>
    <row r="29011">
      <c r="B29011" s="19"/>
      <c r="E29011" s="23"/>
      <c r="L29011" s="23"/>
    </row>
    <row r="29012">
      <c r="B29012" s="19"/>
      <c r="E29012" s="23"/>
      <c r="L29012" s="23"/>
    </row>
    <row r="29013">
      <c r="B29013" s="19"/>
      <c r="E29013" s="23"/>
      <c r="L29013" s="23"/>
    </row>
    <row r="29014">
      <c r="B29014" s="19"/>
      <c r="E29014" s="23"/>
      <c r="L29014" s="23"/>
    </row>
    <row r="29015">
      <c r="B29015" s="19"/>
      <c r="E29015" s="23"/>
      <c r="L29015" s="23"/>
    </row>
    <row r="29016">
      <c r="B29016" s="19"/>
      <c r="E29016" s="23"/>
      <c r="L29016" s="23"/>
    </row>
    <row r="29017">
      <c r="B29017" s="19"/>
      <c r="E29017" s="23"/>
      <c r="L29017" s="23"/>
    </row>
    <row r="29018">
      <c r="B29018" s="19"/>
      <c r="E29018" s="23"/>
      <c r="L29018" s="23"/>
    </row>
    <row r="29019">
      <c r="B29019" s="19"/>
      <c r="E29019" s="23"/>
      <c r="L29019" s="23"/>
    </row>
    <row r="29020">
      <c r="B29020" s="19"/>
      <c r="E29020" s="23"/>
      <c r="L29020" s="23"/>
    </row>
    <row r="29021">
      <c r="B29021" s="19"/>
      <c r="E29021" s="23"/>
      <c r="L29021" s="23"/>
    </row>
    <row r="29022">
      <c r="B29022" s="19"/>
      <c r="E29022" s="23"/>
      <c r="L29022" s="23"/>
    </row>
    <row r="29023">
      <c r="B29023" s="19"/>
      <c r="E29023" s="23"/>
      <c r="L29023" s="23"/>
    </row>
    <row r="29024">
      <c r="B29024" s="19"/>
      <c r="E29024" s="23"/>
      <c r="L29024" s="23"/>
    </row>
    <row r="29025">
      <c r="B29025" s="19"/>
      <c r="E29025" s="23"/>
      <c r="L29025" s="23"/>
    </row>
    <row r="29026">
      <c r="B29026" s="19"/>
      <c r="E29026" s="23"/>
      <c r="L29026" s="23"/>
    </row>
    <row r="29027">
      <c r="B29027" s="19"/>
      <c r="E29027" s="23"/>
      <c r="L29027" s="23"/>
    </row>
    <row r="29028">
      <c r="B29028" s="19"/>
      <c r="E29028" s="23"/>
      <c r="L29028" s="23"/>
    </row>
    <row r="29029">
      <c r="B29029" s="19"/>
      <c r="E29029" s="23"/>
      <c r="L29029" s="23"/>
    </row>
    <row r="29030">
      <c r="B29030" s="19"/>
      <c r="E29030" s="23"/>
      <c r="L29030" s="23"/>
    </row>
    <row r="29031">
      <c r="B29031" s="19"/>
      <c r="E29031" s="23"/>
      <c r="L29031" s="23"/>
    </row>
    <row r="29032">
      <c r="B29032" s="19"/>
      <c r="E29032" s="23"/>
      <c r="L29032" s="23"/>
    </row>
    <row r="29033">
      <c r="B29033" s="19"/>
      <c r="E29033" s="23"/>
      <c r="L29033" s="23"/>
    </row>
    <row r="29034">
      <c r="B29034" s="19"/>
      <c r="E29034" s="23"/>
      <c r="L29034" s="23"/>
    </row>
    <row r="29035">
      <c r="B29035" s="19"/>
      <c r="E29035" s="23"/>
      <c r="L29035" s="23"/>
    </row>
    <row r="29036">
      <c r="B29036" s="19"/>
      <c r="E29036" s="23"/>
      <c r="L29036" s="23"/>
    </row>
    <row r="29037">
      <c r="B29037" s="19"/>
      <c r="E29037" s="23"/>
      <c r="L29037" s="23"/>
    </row>
    <row r="29038">
      <c r="B29038" s="19"/>
      <c r="E29038" s="23"/>
      <c r="L29038" s="23"/>
    </row>
    <row r="29039">
      <c r="B29039" s="19"/>
      <c r="E29039" s="23"/>
      <c r="L29039" s="23"/>
    </row>
    <row r="29040">
      <c r="B29040" s="19"/>
      <c r="E29040" s="23"/>
      <c r="L29040" s="23"/>
    </row>
    <row r="29041">
      <c r="B29041" s="19"/>
      <c r="E29041" s="23"/>
      <c r="L29041" s="23"/>
    </row>
    <row r="29042">
      <c r="B29042" s="19"/>
      <c r="E29042" s="23"/>
      <c r="L29042" s="23"/>
    </row>
    <row r="29043">
      <c r="B29043" s="19"/>
      <c r="E29043" s="23"/>
      <c r="L29043" s="23"/>
    </row>
    <row r="29044">
      <c r="B29044" s="19"/>
      <c r="E29044" s="23"/>
      <c r="L29044" s="23"/>
    </row>
    <row r="29045">
      <c r="B29045" s="19"/>
      <c r="E29045" s="23"/>
      <c r="L29045" s="23"/>
    </row>
    <row r="29046">
      <c r="B29046" s="19"/>
      <c r="E29046" s="23"/>
      <c r="L29046" s="23"/>
    </row>
    <row r="29047">
      <c r="B29047" s="19"/>
      <c r="E29047" s="23"/>
      <c r="L29047" s="23"/>
    </row>
    <row r="29048">
      <c r="B29048" s="19"/>
      <c r="E29048" s="23"/>
      <c r="L29048" s="23"/>
    </row>
    <row r="29049">
      <c r="B29049" s="19"/>
      <c r="E29049" s="23"/>
      <c r="L29049" s="23"/>
    </row>
    <row r="29050">
      <c r="B29050" s="19"/>
      <c r="E29050" s="23"/>
      <c r="L29050" s="23"/>
    </row>
    <row r="29051">
      <c r="B29051" s="19"/>
      <c r="E29051" s="23"/>
      <c r="L29051" s="23"/>
    </row>
    <row r="29052">
      <c r="B29052" s="19"/>
      <c r="E29052" s="23"/>
      <c r="L29052" s="23"/>
    </row>
    <row r="29053">
      <c r="B29053" s="19"/>
      <c r="E29053" s="23"/>
      <c r="L29053" s="23"/>
    </row>
    <row r="29054">
      <c r="B29054" s="19"/>
      <c r="E29054" s="23"/>
      <c r="L29054" s="23"/>
    </row>
    <row r="29055">
      <c r="B29055" s="19"/>
      <c r="E29055" s="23"/>
      <c r="L29055" s="23"/>
    </row>
    <row r="29056">
      <c r="B29056" s="19"/>
      <c r="E29056" s="23"/>
      <c r="L29056" s="23"/>
    </row>
    <row r="29057">
      <c r="B29057" s="19"/>
      <c r="E29057" s="23"/>
      <c r="L29057" s="23"/>
    </row>
    <row r="29058">
      <c r="B29058" s="19"/>
      <c r="E29058" s="23"/>
      <c r="L29058" s="23"/>
    </row>
    <row r="29059">
      <c r="B29059" s="19"/>
      <c r="E29059" s="23"/>
      <c r="L29059" s="23"/>
    </row>
    <row r="29060">
      <c r="B29060" s="19"/>
      <c r="E29060" s="23"/>
      <c r="L29060" s="23"/>
    </row>
    <row r="29061">
      <c r="B29061" s="19"/>
      <c r="E29061" s="23"/>
      <c r="L29061" s="23"/>
    </row>
    <row r="29062">
      <c r="B29062" s="19"/>
      <c r="E29062" s="23"/>
      <c r="L29062" s="23"/>
    </row>
    <row r="29063">
      <c r="B29063" s="19"/>
      <c r="E29063" s="23"/>
      <c r="L29063" s="23"/>
    </row>
    <row r="29064">
      <c r="B29064" s="19"/>
      <c r="E29064" s="23"/>
      <c r="L29064" s="23"/>
    </row>
    <row r="29065">
      <c r="B29065" s="19"/>
      <c r="E29065" s="23"/>
      <c r="L29065" s="23"/>
    </row>
    <row r="29066">
      <c r="B29066" s="19"/>
      <c r="E29066" s="23"/>
      <c r="L29066" s="23"/>
    </row>
    <row r="29067">
      <c r="B29067" s="19"/>
      <c r="E29067" s="23"/>
      <c r="L29067" s="23"/>
    </row>
    <row r="29068">
      <c r="B29068" s="19"/>
      <c r="E29068" s="23"/>
      <c r="L29068" s="23"/>
    </row>
    <row r="29069">
      <c r="B29069" s="19"/>
      <c r="E29069" s="23"/>
      <c r="L29069" s="23"/>
    </row>
    <row r="29070">
      <c r="B29070" s="19"/>
      <c r="E29070" s="23"/>
      <c r="L29070" s="23"/>
    </row>
    <row r="29071">
      <c r="B29071" s="19"/>
      <c r="E29071" s="23"/>
      <c r="L29071" s="23"/>
    </row>
    <row r="29072">
      <c r="B29072" s="19"/>
      <c r="E29072" s="23"/>
      <c r="L29072" s="23"/>
    </row>
    <row r="29073">
      <c r="B29073" s="19"/>
      <c r="E29073" s="23"/>
      <c r="L29073" s="23"/>
    </row>
    <row r="29074">
      <c r="B29074" s="19"/>
      <c r="E29074" s="23"/>
      <c r="L29074" s="23"/>
    </row>
    <row r="29075">
      <c r="B29075" s="19"/>
      <c r="E29075" s="23"/>
      <c r="L29075" s="23"/>
    </row>
    <row r="29076">
      <c r="B29076" s="19"/>
      <c r="E29076" s="23"/>
      <c r="L29076" s="23"/>
    </row>
    <row r="29077">
      <c r="B29077" s="19"/>
      <c r="E29077" s="23"/>
      <c r="L29077" s="23"/>
    </row>
    <row r="29078">
      <c r="B29078" s="19"/>
      <c r="E29078" s="23"/>
      <c r="L29078" s="23"/>
    </row>
    <row r="29079">
      <c r="B29079" s="19"/>
      <c r="E29079" s="23"/>
      <c r="L29079" s="23"/>
    </row>
    <row r="29080">
      <c r="B29080" s="19"/>
      <c r="E29080" s="23"/>
      <c r="L29080" s="23"/>
    </row>
    <row r="29081">
      <c r="B29081" s="19"/>
      <c r="E29081" s="23"/>
      <c r="L29081" s="23"/>
    </row>
    <row r="29082">
      <c r="B29082" s="19"/>
      <c r="E29082" s="23"/>
      <c r="L29082" s="23"/>
    </row>
    <row r="29083">
      <c r="B29083" s="19"/>
      <c r="E29083" s="23"/>
      <c r="L29083" s="23"/>
    </row>
    <row r="29084">
      <c r="B29084" s="19"/>
      <c r="E29084" s="23"/>
      <c r="L29084" s="23"/>
    </row>
    <row r="29085">
      <c r="B29085" s="19"/>
      <c r="E29085" s="23"/>
      <c r="L29085" s="23"/>
    </row>
    <row r="29086">
      <c r="B29086" s="19"/>
      <c r="E29086" s="23"/>
      <c r="L29086" s="23"/>
    </row>
    <row r="29087">
      <c r="B29087" s="19"/>
      <c r="E29087" s="23"/>
      <c r="L29087" s="23"/>
    </row>
    <row r="29088">
      <c r="B29088" s="19"/>
      <c r="E29088" s="23"/>
      <c r="L29088" s="23"/>
    </row>
    <row r="29089">
      <c r="B29089" s="19"/>
      <c r="E29089" s="23"/>
      <c r="L29089" s="23"/>
    </row>
    <row r="29090">
      <c r="B29090" s="19"/>
      <c r="E29090" s="23"/>
      <c r="L29090" s="23"/>
    </row>
    <row r="29091">
      <c r="B29091" s="19"/>
      <c r="E29091" s="23"/>
      <c r="L29091" s="23"/>
    </row>
    <row r="29092">
      <c r="B29092" s="19"/>
      <c r="E29092" s="23"/>
      <c r="L29092" s="23"/>
    </row>
    <row r="29093">
      <c r="B29093" s="19"/>
      <c r="E29093" s="23"/>
      <c r="L29093" s="23"/>
    </row>
    <row r="29094">
      <c r="B29094" s="19"/>
      <c r="E29094" s="23"/>
      <c r="L29094" s="23"/>
    </row>
    <row r="29095">
      <c r="B29095" s="19"/>
      <c r="E29095" s="23"/>
      <c r="L29095" s="23"/>
    </row>
    <row r="29096">
      <c r="B29096" s="19"/>
      <c r="E29096" s="23"/>
      <c r="L29096" s="23"/>
    </row>
    <row r="29097">
      <c r="B29097" s="19"/>
      <c r="E29097" s="23"/>
      <c r="L29097" s="23"/>
    </row>
    <row r="29098">
      <c r="B29098" s="19"/>
      <c r="E29098" s="23"/>
      <c r="L29098" s="23"/>
    </row>
    <row r="29099">
      <c r="B29099" s="19"/>
      <c r="E29099" s="23"/>
      <c r="L29099" s="23"/>
    </row>
    <row r="29100">
      <c r="B29100" s="19"/>
      <c r="E29100" s="23"/>
      <c r="L29100" s="23"/>
    </row>
    <row r="29101">
      <c r="B29101" s="19"/>
      <c r="E29101" s="23"/>
      <c r="L29101" s="23"/>
    </row>
    <row r="29102">
      <c r="B29102" s="19"/>
      <c r="E29102" s="23"/>
      <c r="L29102" s="23"/>
    </row>
    <row r="29103">
      <c r="B29103" s="19"/>
      <c r="E29103" s="23"/>
      <c r="L29103" s="23"/>
    </row>
    <row r="29104">
      <c r="B29104" s="19"/>
      <c r="E29104" s="23"/>
      <c r="L29104" s="23"/>
    </row>
    <row r="29105">
      <c r="B29105" s="19"/>
      <c r="E29105" s="23"/>
      <c r="L29105" s="23"/>
    </row>
    <row r="29106">
      <c r="B29106" s="19"/>
      <c r="E29106" s="23"/>
      <c r="L29106" s="23"/>
    </row>
    <row r="29107">
      <c r="B29107" s="19"/>
      <c r="E29107" s="23"/>
      <c r="L29107" s="23"/>
    </row>
    <row r="29108">
      <c r="B29108" s="19"/>
      <c r="E29108" s="23"/>
      <c r="L29108" s="23"/>
    </row>
    <row r="29109">
      <c r="B29109" s="19"/>
      <c r="E29109" s="23"/>
      <c r="L29109" s="23"/>
    </row>
    <row r="29110">
      <c r="B29110" s="19"/>
      <c r="E29110" s="23"/>
      <c r="L29110" s="23"/>
    </row>
    <row r="29111">
      <c r="B29111" s="19"/>
      <c r="E29111" s="23"/>
      <c r="L29111" s="23"/>
    </row>
    <row r="29112">
      <c r="B29112" s="19"/>
      <c r="E29112" s="23"/>
      <c r="L29112" s="23"/>
    </row>
    <row r="29113">
      <c r="B29113" s="19"/>
      <c r="E29113" s="23"/>
      <c r="L29113" s="23"/>
    </row>
    <row r="29114">
      <c r="B29114" s="19"/>
      <c r="E29114" s="23"/>
      <c r="L29114" s="23"/>
    </row>
    <row r="29115">
      <c r="B29115" s="19"/>
      <c r="E29115" s="23"/>
      <c r="L29115" s="23"/>
    </row>
    <row r="29116">
      <c r="B29116" s="19"/>
      <c r="E29116" s="23"/>
      <c r="L29116" s="23"/>
    </row>
    <row r="29117">
      <c r="B29117" s="19"/>
      <c r="E29117" s="23"/>
      <c r="L29117" s="23"/>
    </row>
    <row r="29118">
      <c r="B29118" s="19"/>
      <c r="E29118" s="23"/>
      <c r="L29118" s="23"/>
    </row>
    <row r="29119">
      <c r="B29119" s="19"/>
      <c r="E29119" s="23"/>
      <c r="L29119" s="23"/>
    </row>
    <row r="29120">
      <c r="B29120" s="19"/>
      <c r="E29120" s="23"/>
      <c r="L29120" s="23"/>
    </row>
    <row r="29121">
      <c r="B29121" s="19"/>
      <c r="E29121" s="23"/>
      <c r="L29121" s="23"/>
    </row>
    <row r="29122">
      <c r="B29122" s="19"/>
      <c r="E29122" s="23"/>
      <c r="L29122" s="23"/>
    </row>
    <row r="29123">
      <c r="B29123" s="19"/>
      <c r="E29123" s="23"/>
      <c r="L29123" s="23"/>
    </row>
    <row r="29124">
      <c r="B29124" s="19"/>
      <c r="E29124" s="23"/>
      <c r="L29124" s="23"/>
    </row>
    <row r="29125">
      <c r="B29125" s="19"/>
      <c r="E29125" s="23"/>
      <c r="L29125" s="23"/>
    </row>
    <row r="29126">
      <c r="B29126" s="19"/>
      <c r="E29126" s="23"/>
      <c r="L29126" s="23"/>
    </row>
    <row r="29127">
      <c r="B29127" s="19"/>
      <c r="E29127" s="23"/>
      <c r="L29127" s="23"/>
    </row>
    <row r="29128">
      <c r="B29128" s="19"/>
      <c r="E29128" s="23"/>
      <c r="L29128" s="23"/>
    </row>
    <row r="29129">
      <c r="B29129" s="19"/>
      <c r="E29129" s="23"/>
      <c r="L29129" s="23"/>
    </row>
    <row r="29130">
      <c r="B29130" s="19"/>
      <c r="E29130" s="23"/>
      <c r="L29130" s="23"/>
    </row>
    <row r="29131">
      <c r="B29131" s="19"/>
      <c r="E29131" s="23"/>
      <c r="L29131" s="23"/>
    </row>
    <row r="29132">
      <c r="B29132" s="19"/>
      <c r="E29132" s="23"/>
      <c r="L29132" s="23"/>
    </row>
    <row r="29133">
      <c r="B29133" s="19"/>
      <c r="E29133" s="23"/>
      <c r="L29133" s="23"/>
    </row>
    <row r="29134">
      <c r="B29134" s="19"/>
      <c r="E29134" s="23"/>
      <c r="L29134" s="23"/>
    </row>
    <row r="29135">
      <c r="B29135" s="19"/>
      <c r="E29135" s="23"/>
      <c r="L29135" s="23"/>
    </row>
    <row r="29136">
      <c r="B29136" s="19"/>
      <c r="E29136" s="23"/>
      <c r="L29136" s="23"/>
    </row>
    <row r="29137">
      <c r="B29137" s="19"/>
      <c r="E29137" s="23"/>
      <c r="L29137" s="23"/>
    </row>
    <row r="29138">
      <c r="B29138" s="19"/>
      <c r="E29138" s="23"/>
      <c r="L29138" s="23"/>
    </row>
    <row r="29139">
      <c r="B29139" s="19"/>
      <c r="E29139" s="23"/>
      <c r="L29139" s="23"/>
    </row>
    <row r="29140">
      <c r="B29140" s="19"/>
      <c r="E29140" s="23"/>
      <c r="L29140" s="23"/>
    </row>
    <row r="29141">
      <c r="B29141" s="19"/>
      <c r="E29141" s="23"/>
      <c r="L29141" s="23"/>
    </row>
    <row r="29142">
      <c r="B29142" s="19"/>
      <c r="E29142" s="23"/>
      <c r="L29142" s="23"/>
    </row>
    <row r="29143">
      <c r="B29143" s="19"/>
      <c r="E29143" s="23"/>
      <c r="L29143" s="23"/>
    </row>
    <row r="29144">
      <c r="B29144" s="19"/>
      <c r="E29144" s="23"/>
      <c r="L29144" s="23"/>
    </row>
    <row r="29145">
      <c r="B29145" s="19"/>
      <c r="E29145" s="23"/>
      <c r="L29145" s="23"/>
    </row>
    <row r="29146">
      <c r="B29146" s="19"/>
      <c r="E29146" s="23"/>
      <c r="L29146" s="23"/>
    </row>
    <row r="29147">
      <c r="B29147" s="19"/>
      <c r="E29147" s="23"/>
      <c r="L29147" s="23"/>
    </row>
    <row r="29148">
      <c r="B29148" s="19"/>
      <c r="E29148" s="23"/>
      <c r="L29148" s="23"/>
    </row>
    <row r="29149">
      <c r="B29149" s="19"/>
      <c r="E29149" s="23"/>
      <c r="L29149" s="23"/>
    </row>
    <row r="29150">
      <c r="B29150" s="19"/>
      <c r="E29150" s="23"/>
      <c r="L29150" s="23"/>
    </row>
    <row r="29151">
      <c r="B29151" s="19"/>
      <c r="E29151" s="23"/>
      <c r="L29151" s="23"/>
    </row>
    <row r="29152">
      <c r="B29152" s="19"/>
      <c r="E29152" s="23"/>
      <c r="L29152" s="23"/>
    </row>
    <row r="29153">
      <c r="B29153" s="19"/>
      <c r="E29153" s="23"/>
      <c r="L29153" s="23"/>
    </row>
    <row r="29154">
      <c r="B29154" s="19"/>
      <c r="E29154" s="23"/>
      <c r="L29154" s="23"/>
    </row>
    <row r="29155">
      <c r="B29155" s="19"/>
      <c r="E29155" s="23"/>
      <c r="L29155" s="23"/>
    </row>
    <row r="29156">
      <c r="B29156" s="19"/>
      <c r="E29156" s="23"/>
      <c r="L29156" s="23"/>
    </row>
    <row r="29157">
      <c r="B29157" s="19"/>
      <c r="E29157" s="23"/>
      <c r="L29157" s="23"/>
    </row>
    <row r="29158">
      <c r="B29158" s="19"/>
      <c r="E29158" s="23"/>
      <c r="L29158" s="23"/>
    </row>
    <row r="29159">
      <c r="B29159" s="19"/>
      <c r="E29159" s="23"/>
      <c r="L29159" s="23"/>
    </row>
    <row r="29160">
      <c r="B29160" s="19"/>
      <c r="E29160" s="23"/>
      <c r="L29160" s="23"/>
    </row>
    <row r="29161">
      <c r="B29161" s="19"/>
      <c r="E29161" s="23"/>
      <c r="L29161" s="23"/>
    </row>
    <row r="29162">
      <c r="B29162" s="19"/>
      <c r="E29162" s="23"/>
      <c r="L29162" s="23"/>
    </row>
    <row r="29163">
      <c r="B29163" s="19"/>
      <c r="E29163" s="23"/>
      <c r="L29163" s="23"/>
    </row>
    <row r="29164">
      <c r="B29164" s="19"/>
      <c r="E29164" s="23"/>
      <c r="L29164" s="23"/>
    </row>
    <row r="29165">
      <c r="B29165" s="19"/>
      <c r="E29165" s="23"/>
      <c r="L29165" s="23"/>
    </row>
    <row r="29166">
      <c r="B29166" s="19"/>
      <c r="E29166" s="23"/>
      <c r="L29166" s="23"/>
    </row>
    <row r="29167">
      <c r="B29167" s="19"/>
      <c r="E29167" s="23"/>
      <c r="L29167" s="23"/>
    </row>
    <row r="29168">
      <c r="B29168" s="19"/>
      <c r="E29168" s="23"/>
      <c r="L29168" s="23"/>
    </row>
    <row r="29169">
      <c r="B29169" s="19"/>
      <c r="E29169" s="23"/>
      <c r="L29169" s="23"/>
    </row>
    <row r="29170">
      <c r="B29170" s="19"/>
      <c r="E29170" s="23"/>
      <c r="L29170" s="23"/>
    </row>
    <row r="29171">
      <c r="B29171" s="19"/>
      <c r="E29171" s="23"/>
      <c r="L29171" s="23"/>
    </row>
    <row r="29172">
      <c r="B29172" s="19"/>
      <c r="E29172" s="23"/>
      <c r="L29172" s="23"/>
    </row>
    <row r="29173">
      <c r="B29173" s="19"/>
      <c r="E29173" s="23"/>
      <c r="L29173" s="23"/>
    </row>
    <row r="29174">
      <c r="B29174" s="19"/>
      <c r="E29174" s="23"/>
      <c r="L29174" s="23"/>
    </row>
    <row r="29175">
      <c r="B29175" s="19"/>
      <c r="E29175" s="23"/>
      <c r="L29175" s="23"/>
    </row>
    <row r="29176">
      <c r="B29176" s="19"/>
      <c r="E29176" s="23"/>
      <c r="L29176" s="23"/>
    </row>
    <row r="29177">
      <c r="B29177" s="19"/>
      <c r="E29177" s="23"/>
      <c r="L29177" s="23"/>
    </row>
    <row r="29178">
      <c r="B29178" s="19"/>
      <c r="E29178" s="23"/>
      <c r="L29178" s="23"/>
    </row>
    <row r="29179">
      <c r="B29179" s="19"/>
      <c r="E29179" s="23"/>
      <c r="L29179" s="23"/>
    </row>
    <row r="29180">
      <c r="B29180" s="19"/>
      <c r="E29180" s="23"/>
      <c r="L29180" s="23"/>
    </row>
    <row r="29181">
      <c r="B29181" s="19"/>
      <c r="E29181" s="23"/>
      <c r="L29181" s="23"/>
    </row>
    <row r="29182">
      <c r="B29182" s="19"/>
      <c r="E29182" s="23"/>
      <c r="L29182" s="23"/>
    </row>
    <row r="29183">
      <c r="B29183" s="19"/>
      <c r="E29183" s="23"/>
      <c r="L29183" s="23"/>
    </row>
    <row r="29184">
      <c r="B29184" s="19"/>
      <c r="E29184" s="23"/>
      <c r="L29184" s="23"/>
    </row>
    <row r="29185">
      <c r="B29185" s="19"/>
      <c r="E29185" s="23"/>
      <c r="L29185" s="23"/>
    </row>
    <row r="29186">
      <c r="B29186" s="19"/>
      <c r="E29186" s="23"/>
      <c r="L29186" s="23"/>
    </row>
    <row r="29187">
      <c r="B29187" s="19"/>
      <c r="E29187" s="23"/>
      <c r="L29187" s="23"/>
    </row>
    <row r="29188">
      <c r="B29188" s="19"/>
      <c r="E29188" s="23"/>
      <c r="L29188" s="23"/>
    </row>
    <row r="29189">
      <c r="B29189" s="19"/>
      <c r="E29189" s="23"/>
      <c r="L29189" s="23"/>
    </row>
    <row r="29190">
      <c r="B29190" s="19"/>
      <c r="E29190" s="23"/>
      <c r="L29190" s="23"/>
    </row>
    <row r="29191">
      <c r="B29191" s="19"/>
      <c r="E29191" s="23"/>
      <c r="L29191" s="23"/>
    </row>
    <row r="29192">
      <c r="B29192" s="19"/>
      <c r="E29192" s="23"/>
      <c r="L29192" s="23"/>
    </row>
    <row r="29193">
      <c r="B29193" s="19"/>
      <c r="E29193" s="23"/>
      <c r="L29193" s="23"/>
    </row>
    <row r="29194">
      <c r="B29194" s="19"/>
      <c r="E29194" s="23"/>
      <c r="L29194" s="23"/>
    </row>
    <row r="29195">
      <c r="B29195" s="19"/>
      <c r="E29195" s="23"/>
      <c r="L29195" s="23"/>
    </row>
    <row r="29196">
      <c r="B29196" s="19"/>
      <c r="E29196" s="23"/>
      <c r="L29196" s="23"/>
    </row>
    <row r="29197">
      <c r="B29197" s="19"/>
      <c r="E29197" s="23"/>
      <c r="L29197" s="23"/>
    </row>
    <row r="29198">
      <c r="B29198" s="19"/>
      <c r="E29198" s="23"/>
      <c r="L29198" s="23"/>
    </row>
    <row r="29199">
      <c r="B29199" s="19"/>
      <c r="E29199" s="23"/>
      <c r="L29199" s="23"/>
    </row>
    <row r="29200">
      <c r="B29200" s="19"/>
      <c r="E29200" s="23"/>
      <c r="L29200" s="23"/>
    </row>
    <row r="29201">
      <c r="B29201" s="19"/>
      <c r="E29201" s="23"/>
      <c r="L29201" s="23"/>
    </row>
    <row r="29202">
      <c r="B29202" s="19"/>
      <c r="E29202" s="23"/>
      <c r="L29202" s="23"/>
    </row>
    <row r="29203">
      <c r="B29203" s="19"/>
      <c r="E29203" s="23"/>
      <c r="L29203" s="23"/>
    </row>
    <row r="29204">
      <c r="B29204" s="19"/>
      <c r="E29204" s="23"/>
      <c r="L29204" s="23"/>
    </row>
    <row r="29205">
      <c r="B29205" s="19"/>
      <c r="E29205" s="23"/>
      <c r="L29205" s="23"/>
    </row>
    <row r="29206">
      <c r="B29206" s="19"/>
      <c r="E29206" s="23"/>
      <c r="L29206" s="23"/>
    </row>
    <row r="29207">
      <c r="B29207" s="19"/>
      <c r="E29207" s="23"/>
      <c r="L29207" s="23"/>
    </row>
    <row r="29208">
      <c r="B29208" s="19"/>
      <c r="E29208" s="23"/>
      <c r="L29208" s="23"/>
    </row>
    <row r="29209">
      <c r="B29209" s="19"/>
      <c r="E29209" s="23"/>
      <c r="L29209" s="23"/>
    </row>
    <row r="29210">
      <c r="B29210" s="19"/>
      <c r="E29210" s="23"/>
      <c r="L29210" s="23"/>
    </row>
    <row r="29211">
      <c r="B29211" s="19"/>
      <c r="E29211" s="23"/>
      <c r="L29211" s="23"/>
    </row>
    <row r="29212">
      <c r="B29212" s="19"/>
      <c r="E29212" s="23"/>
      <c r="L29212" s="23"/>
    </row>
    <row r="29213">
      <c r="B29213" s="19"/>
      <c r="E29213" s="23"/>
      <c r="L29213" s="23"/>
    </row>
    <row r="29214">
      <c r="B29214" s="19"/>
      <c r="E29214" s="23"/>
      <c r="L29214" s="23"/>
    </row>
    <row r="29215">
      <c r="B29215" s="19"/>
      <c r="E29215" s="23"/>
      <c r="L29215" s="23"/>
    </row>
    <row r="29216">
      <c r="B29216" s="19"/>
      <c r="E29216" s="23"/>
      <c r="L29216" s="23"/>
    </row>
    <row r="29217">
      <c r="B29217" s="19"/>
      <c r="E29217" s="23"/>
      <c r="L29217" s="23"/>
    </row>
    <row r="29218">
      <c r="B29218" s="19"/>
      <c r="E29218" s="23"/>
      <c r="L29218" s="23"/>
    </row>
    <row r="29219">
      <c r="B29219" s="19"/>
      <c r="E29219" s="23"/>
      <c r="L29219" s="23"/>
    </row>
    <row r="29220">
      <c r="B29220" s="19"/>
      <c r="E29220" s="23"/>
      <c r="L29220" s="23"/>
    </row>
    <row r="29221">
      <c r="B29221" s="19"/>
      <c r="E29221" s="23"/>
      <c r="L29221" s="23"/>
    </row>
    <row r="29222">
      <c r="B29222" s="19"/>
      <c r="E29222" s="23"/>
      <c r="L29222" s="23"/>
    </row>
    <row r="29223">
      <c r="B29223" s="19"/>
      <c r="E29223" s="23"/>
      <c r="L29223" s="23"/>
    </row>
    <row r="29224">
      <c r="B29224" s="19"/>
      <c r="E29224" s="23"/>
      <c r="L29224" s="23"/>
    </row>
    <row r="29225">
      <c r="B29225" s="19"/>
      <c r="E29225" s="23"/>
      <c r="L29225" s="23"/>
    </row>
    <row r="29226">
      <c r="B29226" s="19"/>
      <c r="E29226" s="23"/>
      <c r="L29226" s="23"/>
    </row>
    <row r="29227">
      <c r="B29227" s="19"/>
      <c r="E29227" s="23"/>
      <c r="L29227" s="23"/>
    </row>
    <row r="29228">
      <c r="B29228" s="19"/>
      <c r="E29228" s="23"/>
      <c r="L29228" s="23"/>
    </row>
    <row r="29229">
      <c r="B29229" s="19"/>
      <c r="E29229" s="23"/>
      <c r="L29229" s="23"/>
    </row>
    <row r="29230">
      <c r="B29230" s="19"/>
      <c r="E29230" s="23"/>
      <c r="L29230" s="23"/>
    </row>
    <row r="29231">
      <c r="B29231" s="19"/>
      <c r="E29231" s="23"/>
      <c r="L29231" s="23"/>
    </row>
    <row r="29232">
      <c r="B29232" s="19"/>
      <c r="E29232" s="23"/>
      <c r="L29232" s="23"/>
    </row>
    <row r="29233">
      <c r="B29233" s="19"/>
      <c r="E29233" s="23"/>
      <c r="L29233" s="23"/>
    </row>
    <row r="29234">
      <c r="B29234" s="19"/>
      <c r="E29234" s="23"/>
      <c r="L29234" s="23"/>
    </row>
    <row r="29235">
      <c r="B29235" s="19"/>
      <c r="E29235" s="23"/>
      <c r="L29235" s="23"/>
    </row>
    <row r="29236">
      <c r="B29236" s="19"/>
      <c r="E29236" s="23"/>
      <c r="L29236" s="23"/>
    </row>
    <row r="29237">
      <c r="B29237" s="19"/>
      <c r="E29237" s="23"/>
      <c r="L29237" s="23"/>
    </row>
    <row r="29238">
      <c r="B29238" s="19"/>
      <c r="E29238" s="23"/>
      <c r="L29238" s="23"/>
    </row>
    <row r="29239">
      <c r="B29239" s="19"/>
      <c r="E29239" s="23"/>
      <c r="L29239" s="23"/>
    </row>
    <row r="29240">
      <c r="B29240" s="19"/>
      <c r="E29240" s="23"/>
      <c r="L29240" s="23"/>
    </row>
    <row r="29241">
      <c r="B29241" s="19"/>
      <c r="E29241" s="23"/>
      <c r="L29241" s="23"/>
    </row>
    <row r="29242">
      <c r="B29242" s="19"/>
      <c r="E29242" s="23"/>
      <c r="L29242" s="23"/>
    </row>
    <row r="29243">
      <c r="B29243" s="19"/>
      <c r="E29243" s="23"/>
      <c r="L29243" s="23"/>
    </row>
    <row r="29244">
      <c r="B29244" s="19"/>
      <c r="E29244" s="23"/>
      <c r="L29244" s="23"/>
    </row>
    <row r="29245">
      <c r="B29245" s="19"/>
      <c r="E29245" s="23"/>
      <c r="L29245" s="23"/>
    </row>
    <row r="29246">
      <c r="B29246" s="19"/>
      <c r="E29246" s="23"/>
      <c r="L29246" s="23"/>
    </row>
    <row r="29247">
      <c r="B29247" s="19"/>
      <c r="E29247" s="23"/>
      <c r="L29247" s="23"/>
    </row>
    <row r="29248">
      <c r="B29248" s="19"/>
      <c r="E29248" s="23"/>
      <c r="L29248" s="23"/>
    </row>
    <row r="29249">
      <c r="B29249" s="19"/>
      <c r="E29249" s="23"/>
      <c r="L29249" s="23"/>
    </row>
    <row r="29250">
      <c r="B29250" s="19"/>
      <c r="E29250" s="23"/>
      <c r="L29250" s="23"/>
    </row>
    <row r="29251">
      <c r="B29251" s="19"/>
      <c r="E29251" s="23"/>
      <c r="L29251" s="23"/>
    </row>
    <row r="29252">
      <c r="B29252" s="19"/>
      <c r="E29252" s="23"/>
      <c r="L29252" s="23"/>
    </row>
    <row r="29253">
      <c r="B29253" s="19"/>
      <c r="E29253" s="23"/>
      <c r="L29253" s="23"/>
    </row>
    <row r="29254">
      <c r="B29254" s="19"/>
      <c r="E29254" s="23"/>
      <c r="L29254" s="23"/>
    </row>
    <row r="29255">
      <c r="B29255" s="19"/>
      <c r="E29255" s="23"/>
      <c r="L29255" s="23"/>
    </row>
    <row r="29256">
      <c r="B29256" s="19"/>
      <c r="E29256" s="23"/>
      <c r="L29256" s="23"/>
    </row>
    <row r="29257">
      <c r="B29257" s="19"/>
      <c r="E29257" s="23"/>
      <c r="L29257" s="23"/>
    </row>
    <row r="29258">
      <c r="B29258" s="19"/>
      <c r="E29258" s="23"/>
      <c r="L29258" s="23"/>
    </row>
    <row r="29259">
      <c r="B29259" s="19"/>
      <c r="E29259" s="23"/>
      <c r="L29259" s="23"/>
    </row>
    <row r="29260">
      <c r="B29260" s="19"/>
      <c r="E29260" s="23"/>
      <c r="L29260" s="23"/>
    </row>
    <row r="29261">
      <c r="B29261" s="19"/>
      <c r="E29261" s="23"/>
      <c r="L29261" s="23"/>
    </row>
    <row r="29262">
      <c r="B29262" s="19"/>
      <c r="E29262" s="23"/>
      <c r="L29262" s="23"/>
    </row>
    <row r="29263">
      <c r="B29263" s="19"/>
      <c r="E29263" s="23"/>
      <c r="L29263" s="23"/>
    </row>
    <row r="29264">
      <c r="B29264" s="19"/>
      <c r="E29264" s="23"/>
      <c r="L29264" s="23"/>
    </row>
    <row r="29265">
      <c r="B29265" s="19"/>
      <c r="E29265" s="23"/>
      <c r="L29265" s="23"/>
    </row>
    <row r="29266">
      <c r="B29266" s="19"/>
      <c r="E29266" s="23"/>
      <c r="L29266" s="23"/>
    </row>
    <row r="29267">
      <c r="B29267" s="19"/>
      <c r="E29267" s="23"/>
      <c r="L29267" s="23"/>
    </row>
    <row r="29268">
      <c r="B29268" s="19"/>
      <c r="E29268" s="23"/>
      <c r="L29268" s="23"/>
    </row>
    <row r="29269">
      <c r="B29269" s="19"/>
      <c r="E29269" s="23"/>
      <c r="L29269" s="23"/>
    </row>
    <row r="29270">
      <c r="B29270" s="19"/>
      <c r="E29270" s="23"/>
      <c r="L29270" s="23"/>
    </row>
    <row r="29271">
      <c r="B29271" s="19"/>
      <c r="E29271" s="23"/>
      <c r="L29271" s="23"/>
    </row>
    <row r="29272">
      <c r="B29272" s="19"/>
      <c r="E29272" s="23"/>
      <c r="L29272" s="23"/>
    </row>
    <row r="29273">
      <c r="B29273" s="19"/>
      <c r="E29273" s="23"/>
      <c r="L29273" s="23"/>
    </row>
    <row r="29274">
      <c r="B29274" s="19"/>
      <c r="E29274" s="23"/>
      <c r="L29274" s="23"/>
    </row>
    <row r="29275">
      <c r="B29275" s="19"/>
      <c r="E29275" s="23"/>
      <c r="L29275" s="23"/>
    </row>
    <row r="29276">
      <c r="B29276" s="19"/>
      <c r="E29276" s="23"/>
      <c r="L29276" s="23"/>
    </row>
    <row r="29277">
      <c r="B29277" s="19"/>
      <c r="E29277" s="23"/>
      <c r="L29277" s="23"/>
    </row>
    <row r="29278">
      <c r="B29278" s="19"/>
      <c r="E29278" s="23"/>
      <c r="L29278" s="23"/>
    </row>
    <row r="29279">
      <c r="B29279" s="19"/>
      <c r="E29279" s="23"/>
      <c r="L29279" s="23"/>
    </row>
    <row r="29280">
      <c r="B29280" s="19"/>
      <c r="E29280" s="23"/>
      <c r="L29280" s="23"/>
    </row>
    <row r="29281">
      <c r="B29281" s="19"/>
      <c r="E29281" s="23"/>
      <c r="L29281" s="23"/>
    </row>
    <row r="29282">
      <c r="B29282" s="19"/>
      <c r="E29282" s="23"/>
      <c r="L29282" s="23"/>
    </row>
    <row r="29283">
      <c r="B29283" s="19"/>
      <c r="E29283" s="23"/>
      <c r="L29283" s="23"/>
    </row>
    <row r="29284">
      <c r="B29284" s="19"/>
      <c r="E29284" s="23"/>
      <c r="L29284" s="23"/>
    </row>
    <row r="29285">
      <c r="B29285" s="19"/>
      <c r="E29285" s="23"/>
      <c r="L29285" s="23"/>
    </row>
    <row r="29286">
      <c r="B29286" s="19"/>
      <c r="E29286" s="23"/>
      <c r="L29286" s="23"/>
    </row>
    <row r="29287">
      <c r="B29287" s="19"/>
      <c r="E29287" s="23"/>
      <c r="L29287" s="23"/>
    </row>
    <row r="29288">
      <c r="B29288" s="19"/>
      <c r="E29288" s="23"/>
      <c r="L29288" s="23"/>
    </row>
    <row r="29289">
      <c r="B29289" s="19"/>
      <c r="E29289" s="23"/>
      <c r="L29289" s="23"/>
    </row>
    <row r="29290">
      <c r="B29290" s="19"/>
      <c r="E29290" s="23"/>
      <c r="L29290" s="23"/>
    </row>
    <row r="29291">
      <c r="B29291" s="19"/>
      <c r="E29291" s="23"/>
      <c r="L29291" s="23"/>
    </row>
    <row r="29292">
      <c r="B29292" s="19"/>
      <c r="E29292" s="23"/>
      <c r="L29292" s="23"/>
    </row>
    <row r="29293">
      <c r="B29293" s="19"/>
      <c r="E29293" s="23"/>
      <c r="L29293" s="23"/>
    </row>
    <row r="29294">
      <c r="B29294" s="19"/>
      <c r="E29294" s="23"/>
      <c r="L29294" s="23"/>
    </row>
    <row r="29295">
      <c r="B29295" s="19"/>
      <c r="E29295" s="23"/>
      <c r="L29295" s="23"/>
    </row>
    <row r="29296">
      <c r="B29296" s="19"/>
      <c r="E29296" s="23"/>
      <c r="L29296" s="23"/>
    </row>
    <row r="29297">
      <c r="B29297" s="19"/>
      <c r="E29297" s="23"/>
      <c r="L29297" s="23"/>
    </row>
    <row r="29298">
      <c r="B29298" s="19"/>
      <c r="E29298" s="23"/>
      <c r="L29298" s="23"/>
    </row>
    <row r="29299">
      <c r="B29299" s="19"/>
      <c r="E29299" s="23"/>
      <c r="L29299" s="23"/>
    </row>
    <row r="29300">
      <c r="B29300" s="19"/>
      <c r="E29300" s="23"/>
      <c r="L29300" s="23"/>
    </row>
    <row r="29301">
      <c r="B29301" s="19"/>
      <c r="E29301" s="23"/>
      <c r="L29301" s="23"/>
    </row>
    <row r="29302">
      <c r="B29302" s="19"/>
      <c r="E29302" s="23"/>
      <c r="L29302" s="23"/>
    </row>
    <row r="29303">
      <c r="B29303" s="19"/>
      <c r="E29303" s="23"/>
      <c r="L29303" s="23"/>
    </row>
    <row r="29304">
      <c r="B29304" s="19"/>
      <c r="E29304" s="23"/>
      <c r="L29304" s="23"/>
    </row>
    <row r="29305">
      <c r="B29305" s="19"/>
      <c r="E29305" s="23"/>
      <c r="L29305" s="23"/>
    </row>
    <row r="29306">
      <c r="B29306" s="19"/>
      <c r="E29306" s="23"/>
      <c r="L29306" s="23"/>
    </row>
    <row r="29307">
      <c r="B29307" s="19"/>
      <c r="E29307" s="23"/>
      <c r="L29307" s="23"/>
    </row>
    <row r="29308">
      <c r="B29308" s="19"/>
      <c r="E29308" s="23"/>
      <c r="L29308" s="23"/>
    </row>
    <row r="29309">
      <c r="B29309" s="19"/>
      <c r="E29309" s="23"/>
      <c r="L29309" s="23"/>
    </row>
    <row r="29310">
      <c r="B29310" s="19"/>
      <c r="E29310" s="23"/>
      <c r="L29310" s="23"/>
    </row>
    <row r="29311">
      <c r="B29311" s="19"/>
      <c r="E29311" s="23"/>
      <c r="L29311" s="23"/>
    </row>
    <row r="29312">
      <c r="B29312" s="19"/>
      <c r="E29312" s="23"/>
      <c r="L29312" s="23"/>
    </row>
    <row r="29313">
      <c r="B29313" s="19"/>
      <c r="E29313" s="23"/>
      <c r="L29313" s="23"/>
    </row>
    <row r="29314">
      <c r="B29314" s="19"/>
      <c r="E29314" s="23"/>
      <c r="L29314" s="23"/>
    </row>
    <row r="29315">
      <c r="B29315" s="19"/>
      <c r="E29315" s="23"/>
      <c r="L29315" s="23"/>
    </row>
    <row r="29316">
      <c r="B29316" s="19"/>
      <c r="E29316" s="23"/>
      <c r="L29316" s="23"/>
    </row>
    <row r="29317">
      <c r="B29317" s="19"/>
      <c r="E29317" s="23"/>
      <c r="L29317" s="23"/>
    </row>
    <row r="29318">
      <c r="B29318" s="19"/>
      <c r="E29318" s="23"/>
      <c r="L29318" s="23"/>
    </row>
    <row r="29319">
      <c r="B29319" s="19"/>
      <c r="E29319" s="23"/>
      <c r="L29319" s="23"/>
    </row>
    <row r="29320">
      <c r="B29320" s="19"/>
      <c r="E29320" s="23"/>
      <c r="L29320" s="23"/>
    </row>
    <row r="29321">
      <c r="B29321" s="19"/>
      <c r="E29321" s="23"/>
      <c r="L29321" s="23"/>
    </row>
    <row r="29322">
      <c r="B29322" s="19"/>
      <c r="E29322" s="23"/>
      <c r="L29322" s="23"/>
    </row>
    <row r="29323">
      <c r="B29323" s="19"/>
      <c r="E29323" s="23"/>
      <c r="L29323" s="23"/>
    </row>
    <row r="29324">
      <c r="B29324" s="19"/>
      <c r="E29324" s="23"/>
      <c r="L29324" s="23"/>
    </row>
    <row r="29325">
      <c r="B29325" s="19"/>
      <c r="E29325" s="23"/>
      <c r="L29325" s="23"/>
    </row>
    <row r="29326">
      <c r="B29326" s="19"/>
      <c r="E29326" s="23"/>
      <c r="L29326" s="23"/>
    </row>
    <row r="29327">
      <c r="B29327" s="19"/>
      <c r="E29327" s="23"/>
      <c r="L29327" s="23"/>
    </row>
    <row r="29328">
      <c r="B29328" s="19"/>
      <c r="E29328" s="23"/>
      <c r="L29328" s="23"/>
    </row>
    <row r="29329">
      <c r="B29329" s="19"/>
      <c r="E29329" s="23"/>
      <c r="L29329" s="23"/>
    </row>
    <row r="29330">
      <c r="B29330" s="19"/>
      <c r="E29330" s="23"/>
      <c r="L29330" s="23"/>
    </row>
    <row r="29331">
      <c r="B29331" s="19"/>
      <c r="E29331" s="23"/>
      <c r="L29331" s="23"/>
    </row>
    <row r="29332">
      <c r="B29332" s="19"/>
      <c r="E29332" s="23"/>
      <c r="L29332" s="23"/>
    </row>
    <row r="29333">
      <c r="B29333" s="19"/>
      <c r="E29333" s="23"/>
      <c r="L29333" s="23"/>
    </row>
    <row r="29334">
      <c r="B29334" s="19"/>
      <c r="E29334" s="23"/>
      <c r="L29334" s="23"/>
    </row>
    <row r="29335">
      <c r="B29335" s="19"/>
      <c r="E29335" s="23"/>
      <c r="L29335" s="23"/>
    </row>
    <row r="29336">
      <c r="B29336" s="19"/>
      <c r="E29336" s="23"/>
      <c r="L29336" s="23"/>
    </row>
    <row r="29337">
      <c r="B29337" s="19"/>
      <c r="E29337" s="23"/>
      <c r="L29337" s="23"/>
    </row>
    <row r="29338">
      <c r="B29338" s="19"/>
      <c r="E29338" s="23"/>
      <c r="L29338" s="23"/>
    </row>
    <row r="29339">
      <c r="B29339" s="19"/>
      <c r="E29339" s="23"/>
      <c r="L29339" s="23"/>
    </row>
    <row r="29340">
      <c r="B29340" s="19"/>
      <c r="E29340" s="23"/>
      <c r="L29340" s="23"/>
    </row>
    <row r="29341">
      <c r="B29341" s="19"/>
      <c r="E29341" s="23"/>
      <c r="L29341" s="23"/>
    </row>
    <row r="29342">
      <c r="B29342" s="19"/>
      <c r="E29342" s="23"/>
      <c r="L29342" s="23"/>
    </row>
    <row r="29343">
      <c r="B29343" s="19"/>
      <c r="E29343" s="23"/>
      <c r="L29343" s="23"/>
    </row>
    <row r="29344">
      <c r="B29344" s="19"/>
      <c r="E29344" s="23"/>
      <c r="L29344" s="23"/>
    </row>
    <row r="29345">
      <c r="B29345" s="19"/>
      <c r="E29345" s="23"/>
      <c r="L29345" s="23"/>
    </row>
    <row r="29346">
      <c r="B29346" s="19"/>
      <c r="E29346" s="23"/>
      <c r="L29346" s="23"/>
    </row>
    <row r="29347">
      <c r="B29347" s="19"/>
      <c r="E29347" s="23"/>
      <c r="L29347" s="23"/>
    </row>
    <row r="29348">
      <c r="B29348" s="19"/>
      <c r="E29348" s="23"/>
      <c r="L29348" s="23"/>
    </row>
    <row r="29349">
      <c r="B29349" s="19"/>
      <c r="E29349" s="23"/>
      <c r="L29349" s="23"/>
    </row>
    <row r="29350">
      <c r="B29350" s="19"/>
      <c r="E29350" s="23"/>
      <c r="L29350" s="23"/>
    </row>
    <row r="29351">
      <c r="B29351" s="19"/>
      <c r="E29351" s="23"/>
      <c r="L29351" s="23"/>
    </row>
    <row r="29352">
      <c r="B29352" s="19"/>
      <c r="E29352" s="23"/>
      <c r="L29352" s="23"/>
    </row>
    <row r="29353">
      <c r="B29353" s="19"/>
      <c r="E29353" s="23"/>
      <c r="L29353" s="23"/>
    </row>
    <row r="29354">
      <c r="B29354" s="19"/>
      <c r="E29354" s="23"/>
      <c r="L29354" s="23"/>
    </row>
    <row r="29355">
      <c r="B29355" s="19"/>
      <c r="E29355" s="23"/>
      <c r="L29355" s="23"/>
    </row>
    <row r="29356">
      <c r="B29356" s="19"/>
      <c r="E29356" s="23"/>
      <c r="L29356" s="23"/>
    </row>
    <row r="29357">
      <c r="B29357" s="19"/>
      <c r="E29357" s="23"/>
      <c r="L29357" s="23"/>
    </row>
    <row r="29358">
      <c r="B29358" s="19"/>
      <c r="E29358" s="23"/>
      <c r="L29358" s="23"/>
    </row>
    <row r="29359">
      <c r="B29359" s="19"/>
      <c r="E29359" s="23"/>
      <c r="L29359" s="23"/>
    </row>
    <row r="29360">
      <c r="B29360" s="19"/>
      <c r="E29360" s="23"/>
      <c r="L29360" s="23"/>
    </row>
    <row r="29361">
      <c r="B29361" s="19"/>
      <c r="E29361" s="23"/>
      <c r="L29361" s="23"/>
    </row>
    <row r="29362">
      <c r="B29362" s="19"/>
      <c r="E29362" s="23"/>
      <c r="L29362" s="23"/>
    </row>
    <row r="29363">
      <c r="B29363" s="19"/>
      <c r="E29363" s="23"/>
      <c r="L29363" s="23"/>
    </row>
    <row r="29364">
      <c r="B29364" s="19"/>
      <c r="E29364" s="23"/>
      <c r="L29364" s="23"/>
    </row>
    <row r="29365">
      <c r="B29365" s="19"/>
      <c r="E29365" s="23"/>
      <c r="L29365" s="23"/>
    </row>
    <row r="29366">
      <c r="B29366" s="19"/>
      <c r="E29366" s="23"/>
      <c r="L29366" s="23"/>
    </row>
    <row r="29367">
      <c r="B29367" s="19"/>
      <c r="E29367" s="23"/>
      <c r="L29367" s="23"/>
    </row>
    <row r="29368">
      <c r="B29368" s="19"/>
      <c r="E29368" s="23"/>
      <c r="L29368" s="23"/>
    </row>
    <row r="29369">
      <c r="B29369" s="19"/>
      <c r="E29369" s="23"/>
      <c r="L29369" s="23"/>
    </row>
    <row r="29370">
      <c r="B29370" s="19"/>
      <c r="E29370" s="23"/>
      <c r="L29370" s="23"/>
    </row>
    <row r="29371">
      <c r="B29371" s="19"/>
      <c r="E29371" s="23"/>
      <c r="L29371" s="23"/>
    </row>
    <row r="29372">
      <c r="B29372" s="19"/>
      <c r="E29372" s="23"/>
      <c r="L29372" s="23"/>
    </row>
    <row r="29373">
      <c r="B29373" s="19"/>
      <c r="E29373" s="23"/>
      <c r="L29373" s="23"/>
    </row>
    <row r="29374">
      <c r="B29374" s="19"/>
      <c r="E29374" s="23"/>
      <c r="L29374" s="23"/>
    </row>
    <row r="29375">
      <c r="B29375" s="19"/>
      <c r="E29375" s="23"/>
      <c r="L29375" s="23"/>
    </row>
    <row r="29376">
      <c r="B29376" s="19"/>
      <c r="E29376" s="23"/>
      <c r="L29376" s="23"/>
    </row>
    <row r="29377">
      <c r="B29377" s="19"/>
      <c r="E29377" s="23"/>
      <c r="L29377" s="23"/>
    </row>
    <row r="29378">
      <c r="B29378" s="19"/>
      <c r="E29378" s="23"/>
      <c r="L29378" s="23"/>
    </row>
    <row r="29379">
      <c r="B29379" s="19"/>
      <c r="E29379" s="23"/>
      <c r="L29379" s="23"/>
    </row>
    <row r="29380">
      <c r="B29380" s="19"/>
      <c r="E29380" s="23"/>
      <c r="L29380" s="23"/>
    </row>
    <row r="29381">
      <c r="B29381" s="19"/>
      <c r="E29381" s="23"/>
      <c r="L29381" s="23"/>
    </row>
    <row r="29382">
      <c r="B29382" s="19"/>
      <c r="E29382" s="23"/>
      <c r="L29382" s="23"/>
    </row>
    <row r="29383">
      <c r="B29383" s="19"/>
      <c r="E29383" s="23"/>
      <c r="L29383" s="23"/>
    </row>
    <row r="29384">
      <c r="B29384" s="19"/>
      <c r="E29384" s="23"/>
      <c r="L29384" s="23"/>
    </row>
    <row r="29385">
      <c r="B29385" s="19"/>
      <c r="E29385" s="23"/>
      <c r="L29385" s="23"/>
    </row>
    <row r="29386">
      <c r="B29386" s="19"/>
      <c r="E29386" s="23"/>
      <c r="L29386" s="23"/>
    </row>
    <row r="29387">
      <c r="B29387" s="19"/>
      <c r="E29387" s="23"/>
      <c r="L29387" s="23"/>
    </row>
    <row r="29388">
      <c r="B29388" s="19"/>
      <c r="E29388" s="23"/>
      <c r="L29388" s="23"/>
    </row>
    <row r="29389">
      <c r="B29389" s="19"/>
      <c r="E29389" s="23"/>
      <c r="L29389" s="23"/>
    </row>
    <row r="29390">
      <c r="B29390" s="19"/>
      <c r="E29390" s="23"/>
      <c r="L29390" s="23"/>
    </row>
    <row r="29391">
      <c r="B29391" s="19"/>
      <c r="E29391" s="23"/>
      <c r="L29391" s="23"/>
    </row>
    <row r="29392">
      <c r="B29392" s="19"/>
      <c r="E29392" s="23"/>
      <c r="L29392" s="23"/>
    </row>
    <row r="29393">
      <c r="B29393" s="19"/>
      <c r="E29393" s="23"/>
      <c r="L29393" s="23"/>
    </row>
    <row r="29394">
      <c r="B29394" s="19"/>
      <c r="E29394" s="23"/>
      <c r="L29394" s="23"/>
    </row>
    <row r="29395">
      <c r="B29395" s="19"/>
      <c r="E29395" s="23"/>
      <c r="L29395" s="23"/>
    </row>
    <row r="29396">
      <c r="B29396" s="19"/>
      <c r="E29396" s="23"/>
      <c r="L29396" s="23"/>
    </row>
    <row r="29397">
      <c r="B29397" s="19"/>
      <c r="E29397" s="23"/>
      <c r="L29397" s="23"/>
    </row>
    <row r="29398">
      <c r="B29398" s="19"/>
      <c r="E29398" s="23"/>
      <c r="L29398" s="23"/>
    </row>
    <row r="29399">
      <c r="B29399" s="19"/>
      <c r="E29399" s="23"/>
      <c r="L29399" s="23"/>
    </row>
    <row r="29400">
      <c r="B29400" s="19"/>
      <c r="E29400" s="23"/>
      <c r="L29400" s="23"/>
    </row>
    <row r="29401">
      <c r="B29401" s="19"/>
      <c r="E29401" s="23"/>
      <c r="L29401" s="23"/>
    </row>
    <row r="29402">
      <c r="B29402" s="19"/>
      <c r="E29402" s="23"/>
      <c r="L29402" s="23"/>
    </row>
    <row r="29403">
      <c r="B29403" s="19"/>
      <c r="E29403" s="23"/>
      <c r="L29403" s="23"/>
    </row>
    <row r="29404">
      <c r="B29404" s="19"/>
      <c r="E29404" s="23"/>
      <c r="L29404" s="23"/>
    </row>
    <row r="29405">
      <c r="B29405" s="19"/>
      <c r="E29405" s="23"/>
      <c r="L29405" s="23"/>
    </row>
    <row r="29406">
      <c r="B29406" s="19"/>
      <c r="E29406" s="23"/>
      <c r="L29406" s="23"/>
    </row>
    <row r="29407">
      <c r="B29407" s="19"/>
      <c r="E29407" s="23"/>
      <c r="L29407" s="23"/>
    </row>
    <row r="29408">
      <c r="B29408" s="19"/>
      <c r="E29408" s="23"/>
      <c r="L29408" s="23"/>
    </row>
    <row r="29409">
      <c r="B29409" s="19"/>
      <c r="E29409" s="23"/>
      <c r="L29409" s="23"/>
    </row>
    <row r="29410">
      <c r="B29410" s="19"/>
      <c r="E29410" s="23"/>
      <c r="L29410" s="23"/>
    </row>
    <row r="29411">
      <c r="B29411" s="19"/>
      <c r="E29411" s="23"/>
      <c r="L29411" s="23"/>
    </row>
    <row r="29412">
      <c r="B29412" s="19"/>
      <c r="E29412" s="23"/>
      <c r="L29412" s="23"/>
    </row>
    <row r="29413">
      <c r="B29413" s="19"/>
      <c r="E29413" s="23"/>
      <c r="L29413" s="23"/>
    </row>
    <row r="29414">
      <c r="B29414" s="19"/>
      <c r="E29414" s="23"/>
      <c r="L29414" s="23"/>
    </row>
    <row r="29415">
      <c r="B29415" s="19"/>
      <c r="E29415" s="23"/>
      <c r="L29415" s="23"/>
    </row>
    <row r="29416">
      <c r="B29416" s="19"/>
      <c r="E29416" s="23"/>
      <c r="L29416" s="23"/>
    </row>
    <row r="29417">
      <c r="B29417" s="19"/>
      <c r="E29417" s="23"/>
      <c r="L29417" s="23"/>
    </row>
    <row r="29418">
      <c r="B29418" s="19"/>
      <c r="E29418" s="23"/>
      <c r="L29418" s="23"/>
    </row>
    <row r="29419">
      <c r="B29419" s="19"/>
      <c r="E29419" s="23"/>
      <c r="L29419" s="23"/>
    </row>
    <row r="29420">
      <c r="B29420" s="19"/>
      <c r="E29420" s="23"/>
      <c r="L29420" s="23"/>
    </row>
    <row r="29421">
      <c r="B29421" s="19"/>
      <c r="E29421" s="23"/>
      <c r="L29421" s="23"/>
    </row>
    <row r="29422">
      <c r="B29422" s="19"/>
      <c r="E29422" s="23"/>
      <c r="L29422" s="23"/>
    </row>
    <row r="29423">
      <c r="B29423" s="19"/>
      <c r="E29423" s="23"/>
      <c r="L29423" s="23"/>
    </row>
    <row r="29424">
      <c r="B29424" s="19"/>
      <c r="E29424" s="23"/>
      <c r="L29424" s="23"/>
    </row>
    <row r="29425">
      <c r="B29425" s="19"/>
      <c r="E29425" s="23"/>
      <c r="L29425" s="23"/>
    </row>
    <row r="29426">
      <c r="B29426" s="19"/>
      <c r="E29426" s="23"/>
      <c r="L29426" s="23"/>
    </row>
    <row r="29427">
      <c r="B29427" s="19"/>
      <c r="E29427" s="23"/>
      <c r="L29427" s="23"/>
    </row>
    <row r="29428">
      <c r="B29428" s="19"/>
      <c r="E29428" s="23"/>
      <c r="L29428" s="23"/>
    </row>
    <row r="29429">
      <c r="B29429" s="19"/>
      <c r="E29429" s="23"/>
      <c r="L29429" s="23"/>
    </row>
    <row r="29430">
      <c r="B29430" s="19"/>
      <c r="E29430" s="23"/>
      <c r="L29430" s="23"/>
    </row>
    <row r="29431">
      <c r="B29431" s="19"/>
      <c r="E29431" s="23"/>
      <c r="L29431" s="23"/>
    </row>
    <row r="29432">
      <c r="B29432" s="19"/>
      <c r="E29432" s="23"/>
      <c r="L29432" s="23"/>
    </row>
    <row r="29433">
      <c r="B29433" s="19"/>
      <c r="E29433" s="23"/>
      <c r="L29433" s="23"/>
    </row>
    <row r="29434">
      <c r="B29434" s="19"/>
      <c r="E29434" s="23"/>
      <c r="L29434" s="23"/>
    </row>
    <row r="29435">
      <c r="B29435" s="19"/>
      <c r="E29435" s="23"/>
      <c r="L29435" s="23"/>
    </row>
    <row r="29436">
      <c r="B29436" s="19"/>
      <c r="E29436" s="23"/>
      <c r="L29436" s="23"/>
    </row>
    <row r="29437">
      <c r="B29437" s="19"/>
      <c r="E29437" s="23"/>
      <c r="L29437" s="23"/>
    </row>
    <row r="29438">
      <c r="B29438" s="19"/>
      <c r="E29438" s="23"/>
      <c r="L29438" s="23"/>
    </row>
    <row r="29439">
      <c r="B29439" s="19"/>
      <c r="E29439" s="23"/>
      <c r="L29439" s="23"/>
    </row>
    <row r="29440">
      <c r="B29440" s="19"/>
      <c r="E29440" s="23"/>
      <c r="L29440" s="23"/>
    </row>
    <row r="29441">
      <c r="B29441" s="19"/>
      <c r="E29441" s="23"/>
      <c r="L29441" s="23"/>
    </row>
    <row r="29442">
      <c r="B29442" s="19"/>
      <c r="E29442" s="23"/>
      <c r="L29442" s="23"/>
    </row>
    <row r="29443">
      <c r="B29443" s="19"/>
      <c r="E29443" s="23"/>
      <c r="L29443" s="23"/>
    </row>
    <row r="29444">
      <c r="B29444" s="19"/>
      <c r="E29444" s="23"/>
      <c r="L29444" s="23"/>
    </row>
    <row r="29445">
      <c r="B29445" s="19"/>
      <c r="E29445" s="23"/>
      <c r="L29445" s="23"/>
    </row>
    <row r="29446">
      <c r="B29446" s="19"/>
      <c r="E29446" s="23"/>
      <c r="L29446" s="23"/>
    </row>
    <row r="29447">
      <c r="B29447" s="19"/>
      <c r="E29447" s="23"/>
      <c r="L29447" s="23"/>
    </row>
    <row r="29448">
      <c r="B29448" s="19"/>
      <c r="E29448" s="23"/>
      <c r="L29448" s="23"/>
    </row>
    <row r="29449">
      <c r="B29449" s="19"/>
      <c r="E29449" s="23"/>
      <c r="L29449" s="23"/>
    </row>
    <row r="29450">
      <c r="B29450" s="19"/>
      <c r="E29450" s="23"/>
      <c r="L29450" s="23"/>
    </row>
    <row r="29451">
      <c r="B29451" s="19"/>
      <c r="E29451" s="23"/>
      <c r="L29451" s="23"/>
    </row>
    <row r="29452">
      <c r="B29452" s="19"/>
      <c r="E29452" s="23"/>
      <c r="L29452" s="23"/>
    </row>
    <row r="29453">
      <c r="B29453" s="19"/>
      <c r="E29453" s="23"/>
      <c r="L29453" s="23"/>
    </row>
    <row r="29454">
      <c r="B29454" s="19"/>
      <c r="E29454" s="23"/>
      <c r="L29454" s="23"/>
    </row>
    <row r="29455">
      <c r="B29455" s="19"/>
      <c r="E29455" s="23"/>
      <c r="L29455" s="23"/>
    </row>
    <row r="29456">
      <c r="B29456" s="19"/>
      <c r="E29456" s="23"/>
      <c r="L29456" s="23"/>
    </row>
    <row r="29457">
      <c r="B29457" s="19"/>
      <c r="E29457" s="23"/>
      <c r="L29457" s="23"/>
    </row>
    <row r="29458">
      <c r="B29458" s="19"/>
      <c r="E29458" s="23"/>
      <c r="L29458" s="23"/>
    </row>
    <row r="29459">
      <c r="B29459" s="19"/>
      <c r="E29459" s="23"/>
      <c r="L29459" s="23"/>
    </row>
    <row r="29460">
      <c r="B29460" s="19"/>
      <c r="E29460" s="23"/>
      <c r="L29460" s="23"/>
    </row>
    <row r="29461">
      <c r="B29461" s="19"/>
      <c r="E29461" s="23"/>
      <c r="L29461" s="23"/>
    </row>
    <row r="29462">
      <c r="B29462" s="19"/>
      <c r="E29462" s="23"/>
      <c r="L29462" s="23"/>
    </row>
    <row r="29463">
      <c r="B29463" s="19"/>
      <c r="E29463" s="23"/>
      <c r="L29463" s="23"/>
    </row>
    <row r="29464">
      <c r="B29464" s="19"/>
      <c r="E29464" s="23"/>
      <c r="L29464" s="23"/>
    </row>
    <row r="29465">
      <c r="B29465" s="19"/>
      <c r="E29465" s="23"/>
      <c r="L29465" s="23"/>
    </row>
    <row r="29466">
      <c r="B29466" s="19"/>
      <c r="E29466" s="23"/>
      <c r="L29466" s="23"/>
    </row>
    <row r="29467">
      <c r="B29467" s="19"/>
      <c r="E29467" s="23"/>
      <c r="L29467" s="23"/>
    </row>
    <row r="29468">
      <c r="B29468" s="19"/>
      <c r="E29468" s="23"/>
      <c r="L29468" s="23"/>
    </row>
    <row r="29469">
      <c r="B29469" s="19"/>
      <c r="E29469" s="23"/>
      <c r="L29469" s="23"/>
    </row>
    <row r="29470">
      <c r="B29470" s="19"/>
      <c r="E29470" s="23"/>
      <c r="L29470" s="23"/>
    </row>
    <row r="29471">
      <c r="B29471" s="19"/>
      <c r="E29471" s="23"/>
      <c r="L29471" s="23"/>
    </row>
    <row r="29472">
      <c r="B29472" s="19"/>
      <c r="E29472" s="23"/>
      <c r="L29472" s="23"/>
    </row>
    <row r="29473">
      <c r="B29473" s="19"/>
      <c r="E29473" s="23"/>
      <c r="L29473" s="23"/>
    </row>
    <row r="29474">
      <c r="B29474" s="19"/>
      <c r="E29474" s="23"/>
      <c r="L29474" s="23"/>
    </row>
    <row r="29475">
      <c r="B29475" s="19"/>
      <c r="E29475" s="23"/>
      <c r="L29475" s="23"/>
    </row>
    <row r="29476">
      <c r="B29476" s="19"/>
      <c r="E29476" s="23"/>
      <c r="L29476" s="23"/>
    </row>
    <row r="29477">
      <c r="B29477" s="19"/>
      <c r="E29477" s="23"/>
      <c r="L29477" s="23"/>
    </row>
    <row r="29478">
      <c r="B29478" s="19"/>
      <c r="E29478" s="23"/>
      <c r="L29478" s="23"/>
    </row>
    <row r="29479">
      <c r="B29479" s="19"/>
      <c r="E29479" s="23"/>
      <c r="L29479" s="23"/>
    </row>
    <row r="29480">
      <c r="B29480" s="19"/>
      <c r="E29480" s="23"/>
      <c r="L29480" s="23"/>
    </row>
    <row r="29481">
      <c r="B29481" s="19"/>
      <c r="E29481" s="23"/>
      <c r="L29481" s="23"/>
    </row>
    <row r="29482">
      <c r="B29482" s="19"/>
      <c r="E29482" s="23"/>
      <c r="L29482" s="23"/>
    </row>
    <row r="29483">
      <c r="B29483" s="19"/>
      <c r="E29483" s="23"/>
      <c r="L29483" s="23"/>
    </row>
    <row r="29484">
      <c r="B29484" s="19"/>
      <c r="E29484" s="23"/>
      <c r="L29484" s="23"/>
    </row>
    <row r="29485">
      <c r="B29485" s="19"/>
      <c r="E29485" s="23"/>
      <c r="L29485" s="23"/>
    </row>
    <row r="29486">
      <c r="B29486" s="19"/>
      <c r="E29486" s="23"/>
      <c r="L29486" s="23"/>
    </row>
    <row r="29487">
      <c r="B29487" s="19"/>
      <c r="E29487" s="23"/>
      <c r="L29487" s="23"/>
    </row>
    <row r="29488">
      <c r="B29488" s="19"/>
      <c r="E29488" s="23"/>
      <c r="L29488" s="23"/>
    </row>
    <row r="29489">
      <c r="B29489" s="19"/>
      <c r="E29489" s="23"/>
      <c r="L29489" s="23"/>
    </row>
    <row r="29490">
      <c r="B29490" s="19"/>
      <c r="E29490" s="23"/>
      <c r="L29490" s="23"/>
    </row>
    <row r="29491">
      <c r="B29491" s="19"/>
      <c r="E29491" s="23"/>
      <c r="L29491" s="23"/>
    </row>
    <row r="29492">
      <c r="B29492" s="19"/>
      <c r="E29492" s="23"/>
      <c r="L29492" s="23"/>
    </row>
    <row r="29493">
      <c r="B29493" s="19"/>
      <c r="E29493" s="23"/>
      <c r="L29493" s="23"/>
    </row>
    <row r="29494">
      <c r="B29494" s="19"/>
      <c r="E29494" s="23"/>
      <c r="L29494" s="23"/>
    </row>
    <row r="29495">
      <c r="B29495" s="19"/>
      <c r="E29495" s="23"/>
      <c r="L29495" s="23"/>
    </row>
    <row r="29496">
      <c r="B29496" s="19"/>
      <c r="E29496" s="23"/>
      <c r="L29496" s="23"/>
    </row>
    <row r="29497">
      <c r="B29497" s="19"/>
      <c r="E29497" s="23"/>
      <c r="L29497" s="23"/>
    </row>
    <row r="29498">
      <c r="B29498" s="19"/>
      <c r="E29498" s="23"/>
      <c r="L29498" s="23"/>
    </row>
    <row r="29499">
      <c r="B29499" s="19"/>
      <c r="E29499" s="23"/>
      <c r="L29499" s="23"/>
    </row>
    <row r="29500">
      <c r="B29500" s="19"/>
      <c r="E29500" s="23"/>
      <c r="L29500" s="23"/>
    </row>
    <row r="29501">
      <c r="B29501" s="19"/>
      <c r="E29501" s="23"/>
      <c r="L29501" s="23"/>
    </row>
    <row r="29502">
      <c r="B29502" s="19"/>
      <c r="E29502" s="23"/>
      <c r="L29502" s="23"/>
    </row>
    <row r="29503">
      <c r="B29503" s="19"/>
      <c r="E29503" s="23"/>
      <c r="L29503" s="23"/>
    </row>
    <row r="29504">
      <c r="B29504" s="19"/>
      <c r="E29504" s="23"/>
      <c r="L29504" s="23"/>
    </row>
    <row r="29505">
      <c r="B29505" s="19"/>
      <c r="E29505" s="23"/>
      <c r="L29505" s="23"/>
    </row>
    <row r="29506">
      <c r="B29506" s="19"/>
      <c r="E29506" s="23"/>
      <c r="L29506" s="23"/>
    </row>
    <row r="29507">
      <c r="B29507" s="19"/>
      <c r="E29507" s="23"/>
      <c r="L29507" s="23"/>
    </row>
    <row r="29508">
      <c r="B29508" s="19"/>
      <c r="E29508" s="23"/>
      <c r="L29508" s="23"/>
    </row>
    <row r="29509">
      <c r="B29509" s="19"/>
      <c r="E29509" s="23"/>
      <c r="L29509" s="23"/>
    </row>
    <row r="29510">
      <c r="B29510" s="19"/>
      <c r="E29510" s="23"/>
      <c r="L29510" s="23"/>
    </row>
    <row r="29511">
      <c r="B29511" s="19"/>
      <c r="E29511" s="23"/>
      <c r="L29511" s="23"/>
    </row>
    <row r="29512">
      <c r="B29512" s="19"/>
      <c r="E29512" s="23"/>
      <c r="L29512" s="23"/>
    </row>
    <row r="29513">
      <c r="B29513" s="19"/>
      <c r="E29513" s="23"/>
      <c r="L29513" s="23"/>
    </row>
    <row r="29514">
      <c r="B29514" s="19"/>
      <c r="E29514" s="23"/>
      <c r="L29514" s="23"/>
    </row>
    <row r="29515">
      <c r="B29515" s="19"/>
      <c r="E29515" s="23"/>
      <c r="L29515" s="23"/>
    </row>
    <row r="29516">
      <c r="B29516" s="19"/>
      <c r="E29516" s="23"/>
      <c r="L29516" s="23"/>
    </row>
    <row r="29517">
      <c r="B29517" s="19"/>
      <c r="E29517" s="23"/>
      <c r="L29517" s="23"/>
    </row>
    <row r="29518">
      <c r="B29518" s="19"/>
      <c r="E29518" s="23"/>
      <c r="L29518" s="23"/>
    </row>
    <row r="29519">
      <c r="B29519" s="19"/>
      <c r="E29519" s="23"/>
      <c r="L29519" s="23"/>
    </row>
    <row r="29520">
      <c r="B29520" s="19"/>
      <c r="E29520" s="23"/>
      <c r="L29520" s="23"/>
    </row>
    <row r="29521">
      <c r="B29521" s="19"/>
      <c r="E29521" s="23"/>
      <c r="L29521" s="23"/>
    </row>
    <row r="29522">
      <c r="B29522" s="19"/>
      <c r="E29522" s="23"/>
      <c r="L29522" s="23"/>
    </row>
    <row r="29523">
      <c r="B29523" s="19"/>
      <c r="E29523" s="23"/>
      <c r="L29523" s="23"/>
    </row>
    <row r="29524">
      <c r="B29524" s="19"/>
      <c r="E29524" s="23"/>
      <c r="L29524" s="23"/>
    </row>
    <row r="29525">
      <c r="B29525" s="19"/>
      <c r="E29525" s="23"/>
      <c r="L29525" s="23"/>
    </row>
    <row r="29526">
      <c r="B29526" s="19"/>
      <c r="E29526" s="23"/>
      <c r="L29526" s="23"/>
    </row>
    <row r="29527">
      <c r="B29527" s="19"/>
      <c r="E29527" s="23"/>
      <c r="L29527" s="23"/>
    </row>
    <row r="29528">
      <c r="B29528" s="19"/>
      <c r="E29528" s="23"/>
      <c r="L29528" s="23"/>
    </row>
    <row r="29529">
      <c r="B29529" s="19"/>
      <c r="E29529" s="23"/>
      <c r="L29529" s="23"/>
    </row>
    <row r="29530">
      <c r="B29530" s="19"/>
      <c r="E29530" s="23"/>
      <c r="L29530" s="23"/>
    </row>
    <row r="29531">
      <c r="B29531" s="19"/>
      <c r="E29531" s="23"/>
      <c r="L29531" s="23"/>
    </row>
    <row r="29532">
      <c r="B29532" s="19"/>
      <c r="E29532" s="23"/>
      <c r="L29532" s="23"/>
    </row>
    <row r="29533">
      <c r="B29533" s="19"/>
      <c r="E29533" s="23"/>
      <c r="L29533" s="23"/>
    </row>
    <row r="29534">
      <c r="B29534" s="19"/>
      <c r="E29534" s="23"/>
      <c r="L29534" s="23"/>
    </row>
    <row r="29535">
      <c r="B29535" s="19"/>
      <c r="E29535" s="23"/>
      <c r="L29535" s="23"/>
    </row>
    <row r="29536">
      <c r="B29536" s="19"/>
      <c r="E29536" s="23"/>
      <c r="L29536" s="23"/>
    </row>
    <row r="29537">
      <c r="B29537" s="19"/>
      <c r="E29537" s="23"/>
      <c r="L29537" s="23"/>
    </row>
    <row r="29538">
      <c r="B29538" s="19"/>
      <c r="E29538" s="23"/>
      <c r="L29538" s="23"/>
    </row>
    <row r="29539">
      <c r="B29539" s="19"/>
      <c r="E29539" s="23"/>
      <c r="L29539" s="23"/>
    </row>
    <row r="29540">
      <c r="B29540" s="19"/>
      <c r="E29540" s="23"/>
      <c r="L29540" s="23"/>
    </row>
    <row r="29541">
      <c r="B29541" s="19"/>
      <c r="E29541" s="23"/>
      <c r="L29541" s="23"/>
    </row>
    <row r="29542">
      <c r="B29542" s="19"/>
      <c r="E29542" s="23"/>
      <c r="L29542" s="23"/>
    </row>
    <row r="29543">
      <c r="B29543" s="19"/>
      <c r="E29543" s="23"/>
      <c r="L29543" s="23"/>
    </row>
    <row r="29544">
      <c r="B29544" s="19"/>
      <c r="E29544" s="23"/>
      <c r="L29544" s="23"/>
    </row>
    <row r="29545">
      <c r="B29545" s="19"/>
      <c r="E29545" s="23"/>
      <c r="L29545" s="23"/>
    </row>
    <row r="29546">
      <c r="B29546" s="19"/>
      <c r="E29546" s="23"/>
      <c r="L29546" s="23"/>
    </row>
    <row r="29547">
      <c r="B29547" s="19"/>
      <c r="E29547" s="23"/>
      <c r="L29547" s="23"/>
    </row>
    <row r="29548">
      <c r="B29548" s="19"/>
      <c r="E29548" s="23"/>
      <c r="L29548" s="23"/>
    </row>
    <row r="29549">
      <c r="B29549" s="19"/>
      <c r="E29549" s="23"/>
      <c r="L29549" s="23"/>
    </row>
    <row r="29550">
      <c r="B29550" s="19"/>
      <c r="E29550" s="23"/>
      <c r="L29550" s="23"/>
    </row>
    <row r="29551">
      <c r="B29551" s="19"/>
      <c r="E29551" s="23"/>
      <c r="L29551" s="23"/>
    </row>
    <row r="29552">
      <c r="B29552" s="19"/>
      <c r="E29552" s="23"/>
      <c r="L29552" s="23"/>
    </row>
    <row r="29553">
      <c r="B29553" s="19"/>
      <c r="E29553" s="23"/>
      <c r="L29553" s="23"/>
    </row>
    <row r="29554">
      <c r="B29554" s="19"/>
      <c r="E29554" s="23"/>
      <c r="L29554" s="23"/>
    </row>
    <row r="29555">
      <c r="B29555" s="19"/>
      <c r="E29555" s="23"/>
      <c r="L29555" s="23"/>
    </row>
    <row r="29556">
      <c r="B29556" s="19"/>
      <c r="E29556" s="23"/>
      <c r="L29556" s="23"/>
    </row>
    <row r="29557">
      <c r="B29557" s="19"/>
      <c r="E29557" s="23"/>
      <c r="L29557" s="23"/>
    </row>
    <row r="29558">
      <c r="B29558" s="19"/>
      <c r="E29558" s="23"/>
      <c r="L29558" s="23"/>
    </row>
    <row r="29559">
      <c r="B29559" s="19"/>
      <c r="E29559" s="23"/>
      <c r="L29559" s="23"/>
    </row>
    <row r="29560">
      <c r="B29560" s="19"/>
      <c r="E29560" s="23"/>
      <c r="L29560" s="23"/>
    </row>
    <row r="29561">
      <c r="B29561" s="19"/>
      <c r="E29561" s="23"/>
      <c r="L29561" s="23"/>
    </row>
    <row r="29562">
      <c r="B29562" s="19"/>
      <c r="E29562" s="23"/>
      <c r="L29562" s="23"/>
    </row>
    <row r="29563">
      <c r="B29563" s="19"/>
      <c r="E29563" s="23"/>
      <c r="L29563" s="23"/>
    </row>
    <row r="29564">
      <c r="B29564" s="19"/>
      <c r="E29564" s="23"/>
      <c r="L29564" s="23"/>
    </row>
    <row r="29565">
      <c r="B29565" s="19"/>
      <c r="E29565" s="23"/>
      <c r="L29565" s="23"/>
    </row>
    <row r="29566">
      <c r="B29566" s="19"/>
      <c r="E29566" s="23"/>
      <c r="L29566" s="23"/>
    </row>
    <row r="29567">
      <c r="B29567" s="19"/>
      <c r="E29567" s="23"/>
      <c r="L29567" s="23"/>
    </row>
    <row r="29568">
      <c r="B29568" s="19"/>
      <c r="E29568" s="23"/>
      <c r="L29568" s="23"/>
    </row>
    <row r="29569">
      <c r="B29569" s="19"/>
      <c r="E29569" s="23"/>
      <c r="L29569" s="23"/>
    </row>
    <row r="29570">
      <c r="B29570" s="19"/>
      <c r="E29570" s="23"/>
      <c r="L29570" s="23"/>
    </row>
    <row r="29571">
      <c r="B29571" s="19"/>
      <c r="E29571" s="23"/>
      <c r="L29571" s="23"/>
    </row>
    <row r="29572">
      <c r="B29572" s="19"/>
      <c r="E29572" s="23"/>
      <c r="L29572" s="23"/>
    </row>
    <row r="29573">
      <c r="B29573" s="19"/>
      <c r="E29573" s="23"/>
      <c r="L29573" s="23"/>
    </row>
    <row r="29574">
      <c r="B29574" s="19"/>
      <c r="E29574" s="23"/>
      <c r="L29574" s="23"/>
    </row>
    <row r="29575">
      <c r="B29575" s="19"/>
      <c r="E29575" s="23"/>
      <c r="L29575" s="23"/>
    </row>
    <row r="29576">
      <c r="B29576" s="19"/>
      <c r="E29576" s="23"/>
      <c r="L29576" s="23"/>
    </row>
    <row r="29577">
      <c r="B29577" s="19"/>
      <c r="E29577" s="23"/>
      <c r="L29577" s="23"/>
    </row>
    <row r="29578">
      <c r="B29578" s="19"/>
      <c r="E29578" s="23"/>
      <c r="L29578" s="23"/>
    </row>
    <row r="29579">
      <c r="B29579" s="19"/>
      <c r="E29579" s="23"/>
      <c r="L29579" s="23"/>
    </row>
    <row r="29580">
      <c r="B29580" s="19"/>
      <c r="E29580" s="23"/>
      <c r="L29580" s="23"/>
    </row>
    <row r="29581">
      <c r="B29581" s="19"/>
      <c r="E29581" s="23"/>
      <c r="L29581" s="23"/>
    </row>
    <row r="29582">
      <c r="B29582" s="19"/>
      <c r="E29582" s="23"/>
      <c r="L29582" s="23"/>
    </row>
    <row r="29583">
      <c r="B29583" s="19"/>
      <c r="E29583" s="23"/>
      <c r="L29583" s="23"/>
    </row>
    <row r="29584">
      <c r="B29584" s="19"/>
      <c r="E29584" s="23"/>
      <c r="L29584" s="23"/>
    </row>
    <row r="29585">
      <c r="B29585" s="19"/>
      <c r="E29585" s="23"/>
      <c r="L29585" s="23"/>
    </row>
    <row r="29586">
      <c r="B29586" s="19"/>
      <c r="E29586" s="23"/>
      <c r="L29586" s="23"/>
    </row>
    <row r="29587">
      <c r="B29587" s="19"/>
      <c r="E29587" s="23"/>
      <c r="L29587" s="23"/>
    </row>
    <row r="29588">
      <c r="B29588" s="19"/>
      <c r="E29588" s="23"/>
      <c r="L29588" s="23"/>
    </row>
    <row r="29589">
      <c r="B29589" s="19"/>
      <c r="E29589" s="23"/>
      <c r="L29589" s="23"/>
    </row>
    <row r="29590">
      <c r="B29590" s="19"/>
      <c r="E29590" s="23"/>
      <c r="L29590" s="23"/>
    </row>
    <row r="29591">
      <c r="B29591" s="19"/>
      <c r="E29591" s="23"/>
      <c r="L29591" s="23"/>
    </row>
    <row r="29592">
      <c r="B29592" s="19"/>
      <c r="E29592" s="23"/>
      <c r="L29592" s="23"/>
    </row>
    <row r="29593">
      <c r="B29593" s="19"/>
      <c r="E29593" s="23"/>
      <c r="L29593" s="23"/>
    </row>
    <row r="29594">
      <c r="B29594" s="19"/>
      <c r="E29594" s="23"/>
      <c r="L29594" s="23"/>
    </row>
    <row r="29595">
      <c r="B29595" s="19"/>
      <c r="E29595" s="23"/>
      <c r="L29595" s="23"/>
    </row>
    <row r="29596">
      <c r="B29596" s="19"/>
      <c r="E29596" s="23"/>
      <c r="L29596" s="23"/>
    </row>
    <row r="29597">
      <c r="B29597" s="19"/>
      <c r="E29597" s="23"/>
      <c r="L29597" s="23"/>
    </row>
    <row r="29598">
      <c r="B29598" s="19"/>
      <c r="E29598" s="23"/>
      <c r="L29598" s="23"/>
    </row>
    <row r="29599">
      <c r="B29599" s="19"/>
      <c r="E29599" s="23"/>
      <c r="L29599" s="23"/>
    </row>
    <row r="29600">
      <c r="B29600" s="19"/>
      <c r="E29600" s="23"/>
      <c r="L29600" s="23"/>
    </row>
    <row r="29601">
      <c r="B29601" s="19"/>
      <c r="E29601" s="23"/>
      <c r="L29601" s="23"/>
    </row>
    <row r="29602">
      <c r="B29602" s="19"/>
      <c r="E29602" s="23"/>
      <c r="L29602" s="23"/>
    </row>
    <row r="29603">
      <c r="B29603" s="19"/>
      <c r="E29603" s="23"/>
      <c r="L29603" s="23"/>
    </row>
    <row r="29604">
      <c r="B29604" s="19"/>
      <c r="E29604" s="23"/>
      <c r="L29604" s="23"/>
    </row>
    <row r="29605">
      <c r="B29605" s="19"/>
      <c r="E29605" s="23"/>
      <c r="L29605" s="23"/>
    </row>
    <row r="29606">
      <c r="B29606" s="19"/>
      <c r="E29606" s="23"/>
      <c r="L29606" s="23"/>
    </row>
    <row r="29607">
      <c r="B29607" s="19"/>
      <c r="E29607" s="23"/>
      <c r="L29607" s="23"/>
    </row>
    <row r="29608">
      <c r="B29608" s="19"/>
      <c r="E29608" s="23"/>
      <c r="L29608" s="23"/>
    </row>
    <row r="29609">
      <c r="B29609" s="19"/>
      <c r="E29609" s="23"/>
      <c r="L29609" s="23"/>
    </row>
    <row r="29610">
      <c r="B29610" s="19"/>
      <c r="E29610" s="23"/>
      <c r="L29610" s="23"/>
    </row>
    <row r="29611">
      <c r="B29611" s="19"/>
      <c r="E29611" s="23"/>
      <c r="L29611" s="23"/>
    </row>
    <row r="29612">
      <c r="B29612" s="19"/>
      <c r="E29612" s="23"/>
      <c r="L29612" s="23"/>
    </row>
    <row r="29613">
      <c r="B29613" s="19"/>
      <c r="E29613" s="23"/>
      <c r="L29613" s="23"/>
    </row>
    <row r="29614">
      <c r="B29614" s="19"/>
      <c r="E29614" s="23"/>
      <c r="L29614" s="23"/>
    </row>
    <row r="29615">
      <c r="B29615" s="19"/>
      <c r="E29615" s="23"/>
      <c r="L29615" s="23"/>
    </row>
    <row r="29616">
      <c r="B29616" s="19"/>
      <c r="E29616" s="23"/>
      <c r="L29616" s="23"/>
    </row>
    <row r="29617">
      <c r="B29617" s="19"/>
      <c r="E29617" s="23"/>
      <c r="L29617" s="23"/>
    </row>
    <row r="29618">
      <c r="B29618" s="19"/>
      <c r="E29618" s="23"/>
      <c r="L29618" s="23"/>
    </row>
    <row r="29619">
      <c r="B29619" s="19"/>
      <c r="E29619" s="23"/>
      <c r="L29619" s="23"/>
    </row>
    <row r="29620">
      <c r="B29620" s="19"/>
      <c r="E29620" s="23"/>
      <c r="L29620" s="23"/>
    </row>
    <row r="29621">
      <c r="B29621" s="19"/>
      <c r="E29621" s="23"/>
      <c r="L29621" s="23"/>
    </row>
    <row r="29622">
      <c r="B29622" s="19"/>
      <c r="E29622" s="23"/>
      <c r="L29622" s="23"/>
    </row>
    <row r="29623">
      <c r="B29623" s="19"/>
      <c r="E29623" s="23"/>
      <c r="L29623" s="23"/>
    </row>
    <row r="29624">
      <c r="B29624" s="19"/>
      <c r="E29624" s="23"/>
      <c r="L29624" s="23"/>
    </row>
    <row r="29625">
      <c r="B29625" s="19"/>
      <c r="E29625" s="23"/>
      <c r="L29625" s="23"/>
    </row>
    <row r="29626">
      <c r="B29626" s="19"/>
      <c r="E29626" s="23"/>
      <c r="L29626" s="23"/>
    </row>
    <row r="29627">
      <c r="B29627" s="19"/>
      <c r="E29627" s="23"/>
      <c r="L29627" s="23"/>
    </row>
    <row r="29628">
      <c r="B29628" s="19"/>
      <c r="E29628" s="23"/>
      <c r="L29628" s="23"/>
    </row>
    <row r="29629">
      <c r="B29629" s="19"/>
      <c r="E29629" s="23"/>
      <c r="L29629" s="23"/>
    </row>
    <row r="29630">
      <c r="B29630" s="19"/>
      <c r="E29630" s="23"/>
      <c r="L29630" s="23"/>
    </row>
    <row r="29631">
      <c r="B29631" s="19"/>
      <c r="E29631" s="23"/>
      <c r="L29631" s="23"/>
    </row>
    <row r="29632">
      <c r="B29632" s="19"/>
      <c r="E29632" s="23"/>
      <c r="L29632" s="23"/>
    </row>
    <row r="29633">
      <c r="B29633" s="19"/>
      <c r="E29633" s="23"/>
      <c r="L29633" s="23"/>
    </row>
    <row r="29634">
      <c r="B29634" s="19"/>
      <c r="E29634" s="23"/>
      <c r="L29634" s="23"/>
    </row>
    <row r="29635">
      <c r="B29635" s="19"/>
      <c r="E29635" s="23"/>
      <c r="L29635" s="23"/>
    </row>
    <row r="29636">
      <c r="B29636" s="19"/>
      <c r="E29636" s="23"/>
      <c r="L29636" s="23"/>
    </row>
    <row r="29637">
      <c r="B29637" s="19"/>
      <c r="E29637" s="23"/>
      <c r="L29637" s="23"/>
    </row>
    <row r="29638">
      <c r="B29638" s="19"/>
      <c r="E29638" s="23"/>
      <c r="L29638" s="23"/>
    </row>
    <row r="29639">
      <c r="B29639" s="19"/>
      <c r="E29639" s="23"/>
      <c r="L29639" s="23"/>
    </row>
    <row r="29640">
      <c r="B29640" s="19"/>
      <c r="E29640" s="23"/>
      <c r="L29640" s="23"/>
    </row>
    <row r="29641">
      <c r="B29641" s="19"/>
      <c r="E29641" s="23"/>
      <c r="L29641" s="23"/>
    </row>
    <row r="29642">
      <c r="B29642" s="19"/>
      <c r="E29642" s="23"/>
      <c r="L29642" s="23"/>
    </row>
    <row r="29643">
      <c r="B29643" s="19"/>
      <c r="E29643" s="23"/>
      <c r="L29643" s="23"/>
    </row>
    <row r="29644">
      <c r="B29644" s="19"/>
      <c r="E29644" s="23"/>
      <c r="L29644" s="23"/>
    </row>
    <row r="29645">
      <c r="B29645" s="19"/>
      <c r="E29645" s="23"/>
      <c r="L29645" s="23"/>
    </row>
    <row r="29646">
      <c r="B29646" s="19"/>
      <c r="E29646" s="23"/>
      <c r="L29646" s="23"/>
    </row>
    <row r="29647">
      <c r="B29647" s="19"/>
      <c r="E29647" s="23"/>
      <c r="L29647" s="23"/>
    </row>
    <row r="29648">
      <c r="B29648" s="19"/>
      <c r="E29648" s="23"/>
      <c r="L29648" s="23"/>
    </row>
    <row r="29649">
      <c r="B29649" s="19"/>
      <c r="E29649" s="23"/>
      <c r="L29649" s="23"/>
    </row>
    <row r="29650">
      <c r="B29650" s="19"/>
      <c r="E29650" s="23"/>
      <c r="L29650" s="23"/>
    </row>
    <row r="29651">
      <c r="B29651" s="19"/>
      <c r="E29651" s="23"/>
      <c r="L29651" s="23"/>
    </row>
    <row r="29652">
      <c r="B29652" s="19"/>
      <c r="E29652" s="23"/>
      <c r="L29652" s="23"/>
    </row>
    <row r="29653">
      <c r="B29653" s="19"/>
      <c r="E29653" s="23"/>
      <c r="L29653" s="23"/>
    </row>
    <row r="29654">
      <c r="B29654" s="19"/>
      <c r="E29654" s="23"/>
      <c r="L29654" s="23"/>
    </row>
    <row r="29655">
      <c r="B29655" s="19"/>
      <c r="E29655" s="23"/>
      <c r="L29655" s="23"/>
    </row>
    <row r="29656">
      <c r="B29656" s="19"/>
      <c r="E29656" s="23"/>
      <c r="L29656" s="23"/>
    </row>
    <row r="29657">
      <c r="B29657" s="19"/>
      <c r="E29657" s="23"/>
      <c r="L29657" s="23"/>
    </row>
    <row r="29658">
      <c r="B29658" s="19"/>
      <c r="E29658" s="23"/>
      <c r="L29658" s="23"/>
    </row>
    <row r="29659">
      <c r="B29659" s="19"/>
      <c r="E29659" s="23"/>
      <c r="L29659" s="23"/>
    </row>
    <row r="29660">
      <c r="B29660" s="19"/>
      <c r="E29660" s="23"/>
      <c r="L29660" s="23"/>
    </row>
    <row r="29661">
      <c r="B29661" s="19"/>
      <c r="E29661" s="23"/>
      <c r="L29661" s="23"/>
    </row>
    <row r="29662">
      <c r="B29662" s="19"/>
      <c r="E29662" s="23"/>
      <c r="L29662" s="23"/>
    </row>
    <row r="29663">
      <c r="B29663" s="19"/>
      <c r="E29663" s="23"/>
      <c r="L29663" s="23"/>
    </row>
    <row r="29664">
      <c r="B29664" s="19"/>
      <c r="E29664" s="23"/>
      <c r="L29664" s="23"/>
    </row>
    <row r="29665">
      <c r="B29665" s="19"/>
      <c r="E29665" s="23"/>
      <c r="L29665" s="23"/>
    </row>
    <row r="29666">
      <c r="B29666" s="19"/>
      <c r="E29666" s="23"/>
      <c r="L29666" s="23"/>
    </row>
    <row r="29667">
      <c r="B29667" s="19"/>
      <c r="E29667" s="23"/>
      <c r="L29667" s="23"/>
    </row>
    <row r="29668">
      <c r="B29668" s="19"/>
      <c r="E29668" s="23"/>
      <c r="L29668" s="23"/>
    </row>
    <row r="29669">
      <c r="B29669" s="19"/>
      <c r="E29669" s="23"/>
      <c r="L29669" s="23"/>
    </row>
    <row r="29670">
      <c r="B29670" s="19"/>
      <c r="E29670" s="23"/>
      <c r="L29670" s="23"/>
    </row>
    <row r="29671">
      <c r="B29671" s="19"/>
      <c r="E29671" s="23"/>
      <c r="L29671" s="23"/>
    </row>
    <row r="29672">
      <c r="B29672" s="19"/>
      <c r="E29672" s="23"/>
      <c r="L29672" s="23"/>
    </row>
    <row r="29673">
      <c r="B29673" s="19"/>
      <c r="E29673" s="23"/>
      <c r="L29673" s="23"/>
    </row>
    <row r="29674">
      <c r="B29674" s="19"/>
      <c r="E29674" s="23"/>
      <c r="L29674" s="23"/>
    </row>
    <row r="29675">
      <c r="B29675" s="19"/>
      <c r="E29675" s="23"/>
      <c r="L29675" s="23"/>
    </row>
    <row r="29676">
      <c r="B29676" s="19"/>
      <c r="E29676" s="23"/>
      <c r="L29676" s="23"/>
    </row>
    <row r="29677">
      <c r="B29677" s="19"/>
      <c r="E29677" s="23"/>
      <c r="L29677" s="23"/>
    </row>
    <row r="29678">
      <c r="B29678" s="19"/>
      <c r="E29678" s="23"/>
      <c r="L29678" s="23"/>
    </row>
    <row r="29679">
      <c r="B29679" s="19"/>
      <c r="E29679" s="23"/>
      <c r="L29679" s="23"/>
    </row>
    <row r="29680">
      <c r="B29680" s="19"/>
      <c r="E29680" s="23"/>
      <c r="L29680" s="23"/>
    </row>
    <row r="29681">
      <c r="B29681" s="19"/>
      <c r="E29681" s="23"/>
      <c r="L29681" s="23"/>
    </row>
    <row r="29682">
      <c r="B29682" s="19"/>
      <c r="E29682" s="23"/>
      <c r="L29682" s="23"/>
    </row>
    <row r="29683">
      <c r="B29683" s="19"/>
      <c r="E29683" s="23"/>
      <c r="L29683" s="23"/>
    </row>
    <row r="29684">
      <c r="B29684" s="19"/>
      <c r="E29684" s="23"/>
      <c r="L29684" s="23"/>
    </row>
    <row r="29685">
      <c r="B29685" s="19"/>
      <c r="E29685" s="23"/>
      <c r="L29685" s="23"/>
    </row>
    <row r="29686">
      <c r="B29686" s="19"/>
      <c r="E29686" s="23"/>
      <c r="L29686" s="23"/>
    </row>
    <row r="29687">
      <c r="B29687" s="19"/>
      <c r="E29687" s="23"/>
      <c r="L29687" s="23"/>
    </row>
    <row r="29688">
      <c r="B29688" s="19"/>
      <c r="E29688" s="23"/>
      <c r="L29688" s="23"/>
    </row>
    <row r="29689">
      <c r="B29689" s="19"/>
      <c r="E29689" s="23"/>
      <c r="L29689" s="23"/>
    </row>
    <row r="29690">
      <c r="B29690" s="19"/>
      <c r="E29690" s="23"/>
      <c r="L29690" s="23"/>
    </row>
    <row r="29691">
      <c r="B29691" s="19"/>
      <c r="E29691" s="23"/>
      <c r="L29691" s="23"/>
    </row>
    <row r="29692">
      <c r="B29692" s="19"/>
      <c r="E29692" s="23"/>
      <c r="L29692" s="23"/>
    </row>
    <row r="29693">
      <c r="B29693" s="19"/>
      <c r="E29693" s="23"/>
      <c r="L29693" s="23"/>
    </row>
    <row r="29694">
      <c r="B29694" s="19"/>
      <c r="E29694" s="23"/>
      <c r="L29694" s="23"/>
    </row>
    <row r="29695">
      <c r="B29695" s="19"/>
      <c r="E29695" s="23"/>
      <c r="L29695" s="23"/>
    </row>
    <row r="29696">
      <c r="B29696" s="19"/>
      <c r="E29696" s="23"/>
      <c r="L29696" s="23"/>
    </row>
    <row r="29697">
      <c r="B29697" s="19"/>
      <c r="E29697" s="23"/>
      <c r="L29697" s="23"/>
    </row>
    <row r="29698">
      <c r="B29698" s="19"/>
      <c r="E29698" s="23"/>
      <c r="L29698" s="23"/>
    </row>
    <row r="29699">
      <c r="B29699" s="19"/>
      <c r="E29699" s="23"/>
      <c r="L29699" s="23"/>
    </row>
    <row r="29700">
      <c r="B29700" s="19"/>
      <c r="E29700" s="23"/>
      <c r="L29700" s="23"/>
    </row>
    <row r="29701">
      <c r="B29701" s="19"/>
      <c r="E29701" s="23"/>
      <c r="L29701" s="23"/>
    </row>
    <row r="29702">
      <c r="B29702" s="19"/>
      <c r="E29702" s="23"/>
      <c r="L29702" s="23"/>
    </row>
    <row r="29703">
      <c r="B29703" s="19"/>
      <c r="E29703" s="23"/>
      <c r="L29703" s="23"/>
    </row>
    <row r="29704">
      <c r="B29704" s="19"/>
      <c r="E29704" s="23"/>
      <c r="L29704" s="23"/>
    </row>
    <row r="29705">
      <c r="B29705" s="19"/>
      <c r="E29705" s="23"/>
      <c r="L29705" s="23"/>
    </row>
    <row r="29706">
      <c r="B29706" s="19"/>
      <c r="E29706" s="23"/>
      <c r="L29706" s="23"/>
    </row>
    <row r="29707">
      <c r="B29707" s="19"/>
      <c r="E29707" s="23"/>
      <c r="L29707" s="23"/>
    </row>
    <row r="29708">
      <c r="B29708" s="19"/>
      <c r="E29708" s="23"/>
      <c r="L29708" s="23"/>
    </row>
    <row r="29709">
      <c r="B29709" s="19"/>
      <c r="E29709" s="23"/>
      <c r="L29709" s="23"/>
    </row>
    <row r="29710">
      <c r="B29710" s="19"/>
      <c r="E29710" s="23"/>
      <c r="L29710" s="23"/>
    </row>
    <row r="29711">
      <c r="B29711" s="19"/>
      <c r="E29711" s="23"/>
      <c r="L29711" s="23"/>
    </row>
    <row r="29712">
      <c r="B29712" s="19"/>
      <c r="E29712" s="23"/>
      <c r="L29712" s="23"/>
    </row>
    <row r="29713">
      <c r="B29713" s="19"/>
      <c r="E29713" s="23"/>
      <c r="L29713" s="23"/>
    </row>
    <row r="29714">
      <c r="B29714" s="19"/>
      <c r="E29714" s="23"/>
      <c r="L29714" s="23"/>
    </row>
    <row r="29715">
      <c r="B29715" s="19"/>
      <c r="E29715" s="23"/>
      <c r="L29715" s="23"/>
    </row>
    <row r="29716">
      <c r="B29716" s="19"/>
      <c r="E29716" s="23"/>
      <c r="L29716" s="23"/>
    </row>
    <row r="29717">
      <c r="B29717" s="19"/>
      <c r="E29717" s="23"/>
      <c r="L29717" s="23"/>
    </row>
    <row r="29718">
      <c r="B29718" s="19"/>
      <c r="E29718" s="23"/>
      <c r="L29718" s="23"/>
    </row>
    <row r="29719">
      <c r="B29719" s="19"/>
      <c r="E29719" s="23"/>
      <c r="L29719" s="23"/>
    </row>
    <row r="29720">
      <c r="B29720" s="19"/>
      <c r="E29720" s="23"/>
      <c r="L29720" s="23"/>
    </row>
    <row r="29721">
      <c r="B29721" s="19"/>
      <c r="E29721" s="23"/>
      <c r="L29721" s="23"/>
    </row>
    <row r="29722">
      <c r="B29722" s="19"/>
      <c r="E29722" s="23"/>
      <c r="L29722" s="23"/>
    </row>
    <row r="29723">
      <c r="B29723" s="19"/>
      <c r="E29723" s="23"/>
      <c r="L29723" s="23"/>
    </row>
    <row r="29724">
      <c r="B29724" s="19"/>
      <c r="E29724" s="23"/>
      <c r="L29724" s="23"/>
    </row>
    <row r="29725">
      <c r="B29725" s="19"/>
      <c r="E29725" s="23"/>
      <c r="L29725" s="23"/>
    </row>
    <row r="29726">
      <c r="B29726" s="19"/>
      <c r="E29726" s="23"/>
      <c r="L29726" s="23"/>
    </row>
    <row r="29727">
      <c r="B29727" s="19"/>
      <c r="E29727" s="23"/>
      <c r="L29727" s="23"/>
    </row>
    <row r="29728">
      <c r="B29728" s="19"/>
      <c r="E29728" s="23"/>
      <c r="L29728" s="23"/>
    </row>
    <row r="29729">
      <c r="B29729" s="19"/>
      <c r="E29729" s="23"/>
      <c r="L29729" s="23"/>
    </row>
    <row r="29730">
      <c r="B29730" s="19"/>
      <c r="E29730" s="23"/>
      <c r="L29730" s="23"/>
    </row>
    <row r="29731">
      <c r="B29731" s="19"/>
      <c r="E29731" s="23"/>
      <c r="L29731" s="23"/>
    </row>
    <row r="29732">
      <c r="B29732" s="19"/>
      <c r="E29732" s="23"/>
      <c r="L29732" s="23"/>
    </row>
    <row r="29733">
      <c r="B29733" s="19"/>
      <c r="E29733" s="23"/>
      <c r="L29733" s="23"/>
    </row>
    <row r="29734">
      <c r="B29734" s="19"/>
      <c r="E29734" s="23"/>
      <c r="L29734" s="23"/>
    </row>
    <row r="29735">
      <c r="B29735" s="19"/>
      <c r="E29735" s="23"/>
      <c r="L29735" s="23"/>
    </row>
    <row r="29736">
      <c r="B29736" s="19"/>
      <c r="E29736" s="23"/>
      <c r="L29736" s="23"/>
    </row>
    <row r="29737">
      <c r="B29737" s="19"/>
      <c r="E29737" s="23"/>
      <c r="L29737" s="23"/>
    </row>
    <row r="29738">
      <c r="B29738" s="19"/>
      <c r="E29738" s="23"/>
      <c r="L29738" s="23"/>
    </row>
    <row r="29739">
      <c r="B29739" s="19"/>
      <c r="E29739" s="23"/>
      <c r="L29739" s="23"/>
    </row>
    <row r="29740">
      <c r="B29740" s="19"/>
      <c r="E29740" s="23"/>
      <c r="L29740" s="23"/>
    </row>
    <row r="29741">
      <c r="B29741" s="19"/>
      <c r="E29741" s="23"/>
      <c r="L29741" s="23"/>
    </row>
    <row r="29742">
      <c r="B29742" s="19"/>
      <c r="E29742" s="23"/>
      <c r="L29742" s="23"/>
    </row>
    <row r="29743">
      <c r="B29743" s="19"/>
      <c r="E29743" s="23"/>
      <c r="L29743" s="23"/>
    </row>
    <row r="29744">
      <c r="B29744" s="19"/>
      <c r="E29744" s="23"/>
      <c r="L29744" s="23"/>
    </row>
    <row r="29745">
      <c r="B29745" s="19"/>
      <c r="E29745" s="23"/>
      <c r="L29745" s="23"/>
    </row>
    <row r="29746">
      <c r="B29746" s="19"/>
      <c r="E29746" s="23"/>
      <c r="L29746" s="23"/>
    </row>
    <row r="29747">
      <c r="B29747" s="19"/>
      <c r="E29747" s="23"/>
      <c r="L29747" s="23"/>
    </row>
    <row r="29748">
      <c r="B29748" s="19"/>
      <c r="E29748" s="23"/>
      <c r="L29748" s="23"/>
    </row>
    <row r="29749">
      <c r="B29749" s="19"/>
      <c r="E29749" s="23"/>
      <c r="L29749" s="23"/>
    </row>
    <row r="29750">
      <c r="B29750" s="19"/>
      <c r="E29750" s="23"/>
      <c r="L29750" s="23"/>
    </row>
    <row r="29751">
      <c r="B29751" s="19"/>
      <c r="E29751" s="23"/>
      <c r="L29751" s="23"/>
    </row>
    <row r="29752">
      <c r="B29752" s="19"/>
      <c r="E29752" s="23"/>
      <c r="L29752" s="23"/>
    </row>
    <row r="29753">
      <c r="B29753" s="19"/>
      <c r="E29753" s="23"/>
      <c r="L29753" s="23"/>
    </row>
    <row r="29754">
      <c r="B29754" s="19"/>
      <c r="E29754" s="23"/>
      <c r="L29754" s="23"/>
    </row>
    <row r="29755">
      <c r="B29755" s="19"/>
      <c r="E29755" s="23"/>
      <c r="L29755" s="23"/>
    </row>
    <row r="29756">
      <c r="B29756" s="19"/>
      <c r="E29756" s="23"/>
      <c r="L29756" s="23"/>
    </row>
    <row r="29757">
      <c r="B29757" s="19"/>
      <c r="E29757" s="23"/>
      <c r="L29757" s="23"/>
    </row>
    <row r="29758">
      <c r="B29758" s="19"/>
      <c r="E29758" s="23"/>
      <c r="L29758" s="23"/>
    </row>
    <row r="29759">
      <c r="B29759" s="19"/>
      <c r="E29759" s="23"/>
      <c r="L29759" s="23"/>
    </row>
    <row r="29760">
      <c r="B29760" s="19"/>
      <c r="E29760" s="23"/>
      <c r="L29760" s="23"/>
    </row>
    <row r="29761">
      <c r="B29761" s="19"/>
      <c r="E29761" s="23"/>
      <c r="L29761" s="23"/>
    </row>
    <row r="29762">
      <c r="B29762" s="19"/>
      <c r="E29762" s="23"/>
      <c r="L29762" s="23"/>
    </row>
    <row r="29763">
      <c r="B29763" s="19"/>
      <c r="E29763" s="23"/>
      <c r="L29763" s="23"/>
    </row>
    <row r="29764">
      <c r="B29764" s="19"/>
      <c r="E29764" s="23"/>
      <c r="L29764" s="23"/>
    </row>
    <row r="29765">
      <c r="B29765" s="19"/>
      <c r="E29765" s="23"/>
      <c r="L29765" s="23"/>
    </row>
    <row r="29766">
      <c r="B29766" s="19"/>
      <c r="E29766" s="23"/>
      <c r="L29766" s="23"/>
    </row>
    <row r="29767">
      <c r="B29767" s="19"/>
      <c r="E29767" s="23"/>
      <c r="L29767" s="23"/>
    </row>
    <row r="29768">
      <c r="B29768" s="19"/>
      <c r="E29768" s="23"/>
      <c r="L29768" s="23"/>
    </row>
    <row r="29769">
      <c r="B29769" s="19"/>
      <c r="E29769" s="23"/>
      <c r="L29769" s="23"/>
    </row>
    <row r="29770">
      <c r="B29770" s="19"/>
      <c r="E29770" s="23"/>
      <c r="L29770" s="23"/>
    </row>
    <row r="29771">
      <c r="B29771" s="19"/>
      <c r="E29771" s="23"/>
      <c r="L29771" s="23"/>
    </row>
    <row r="29772">
      <c r="B29772" s="19"/>
      <c r="E29772" s="23"/>
      <c r="L29772" s="23"/>
    </row>
    <row r="29773">
      <c r="B29773" s="19"/>
      <c r="E29773" s="23"/>
      <c r="L29773" s="23"/>
    </row>
    <row r="29774">
      <c r="B29774" s="19"/>
      <c r="E29774" s="23"/>
      <c r="L29774" s="23"/>
    </row>
    <row r="29775">
      <c r="B29775" s="19"/>
      <c r="E29775" s="23"/>
      <c r="L29775" s="23"/>
    </row>
    <row r="29776">
      <c r="B29776" s="19"/>
      <c r="E29776" s="23"/>
      <c r="L29776" s="23"/>
    </row>
    <row r="29777">
      <c r="B29777" s="19"/>
      <c r="E29777" s="23"/>
      <c r="L29777" s="23"/>
    </row>
    <row r="29778">
      <c r="B29778" s="19"/>
      <c r="E29778" s="23"/>
      <c r="L29778" s="23"/>
    </row>
    <row r="29779">
      <c r="B29779" s="19"/>
      <c r="E29779" s="23"/>
      <c r="L29779" s="23"/>
    </row>
    <row r="29780">
      <c r="B29780" s="19"/>
      <c r="E29780" s="23"/>
      <c r="L29780" s="23"/>
    </row>
    <row r="29781">
      <c r="B29781" s="19"/>
      <c r="E29781" s="23"/>
      <c r="L29781" s="23"/>
    </row>
    <row r="29782">
      <c r="B29782" s="19"/>
      <c r="E29782" s="23"/>
      <c r="L29782" s="23"/>
    </row>
    <row r="29783">
      <c r="B29783" s="19"/>
      <c r="E29783" s="23"/>
      <c r="L29783" s="23"/>
    </row>
    <row r="29784">
      <c r="B29784" s="19"/>
      <c r="E29784" s="23"/>
      <c r="L29784" s="23"/>
    </row>
    <row r="29785">
      <c r="B29785" s="19"/>
      <c r="E29785" s="23"/>
      <c r="L29785" s="23"/>
    </row>
    <row r="29786">
      <c r="B29786" s="19"/>
      <c r="E29786" s="23"/>
      <c r="L29786" s="23"/>
    </row>
    <row r="29787">
      <c r="B29787" s="19"/>
      <c r="E29787" s="23"/>
      <c r="L29787" s="23"/>
    </row>
    <row r="29788">
      <c r="B29788" s="19"/>
      <c r="E29788" s="23"/>
      <c r="L29788" s="23"/>
    </row>
    <row r="29789">
      <c r="B29789" s="19"/>
      <c r="E29789" s="23"/>
      <c r="L29789" s="23"/>
    </row>
    <row r="29790">
      <c r="B29790" s="19"/>
      <c r="E29790" s="23"/>
      <c r="L29790" s="23"/>
    </row>
    <row r="29791">
      <c r="B29791" s="19"/>
      <c r="E29791" s="23"/>
      <c r="L29791" s="23"/>
    </row>
    <row r="29792">
      <c r="B29792" s="19"/>
      <c r="E29792" s="23"/>
      <c r="L29792" s="23"/>
    </row>
    <row r="29793">
      <c r="B29793" s="19"/>
      <c r="E29793" s="23"/>
      <c r="L29793" s="23"/>
    </row>
    <row r="29794">
      <c r="B29794" s="19"/>
      <c r="E29794" s="23"/>
      <c r="L29794" s="23"/>
    </row>
    <row r="29795">
      <c r="B29795" s="19"/>
      <c r="E29795" s="23"/>
      <c r="L29795" s="23"/>
    </row>
    <row r="29796">
      <c r="B29796" s="19"/>
      <c r="E29796" s="23"/>
      <c r="L29796" s="23"/>
    </row>
    <row r="29797">
      <c r="B29797" s="19"/>
      <c r="E29797" s="23"/>
      <c r="L29797" s="23"/>
    </row>
    <row r="29798">
      <c r="B29798" s="19"/>
      <c r="E29798" s="23"/>
      <c r="L29798" s="23"/>
    </row>
    <row r="29799">
      <c r="B29799" s="19"/>
      <c r="E29799" s="23"/>
      <c r="L29799" s="23"/>
    </row>
    <row r="29800">
      <c r="B29800" s="19"/>
      <c r="E29800" s="23"/>
      <c r="L29800" s="23"/>
    </row>
    <row r="29801">
      <c r="B29801" s="19"/>
      <c r="E29801" s="23"/>
      <c r="L29801" s="23"/>
    </row>
    <row r="29802">
      <c r="B29802" s="19"/>
      <c r="E29802" s="23"/>
      <c r="L29802" s="23"/>
    </row>
    <row r="29803">
      <c r="B29803" s="19"/>
      <c r="E29803" s="23"/>
      <c r="L29803" s="23"/>
    </row>
    <row r="29804">
      <c r="B29804" s="19"/>
      <c r="E29804" s="23"/>
      <c r="L29804" s="23"/>
    </row>
    <row r="29805">
      <c r="B29805" s="19"/>
      <c r="E29805" s="23"/>
      <c r="L29805" s="23"/>
    </row>
    <row r="29806">
      <c r="B29806" s="19"/>
      <c r="E29806" s="23"/>
      <c r="L29806" s="23"/>
    </row>
    <row r="29807">
      <c r="B29807" s="19"/>
      <c r="E29807" s="23"/>
      <c r="L29807" s="23"/>
    </row>
    <row r="29808">
      <c r="B29808" s="19"/>
      <c r="E29808" s="23"/>
      <c r="L29808" s="23"/>
    </row>
    <row r="29809">
      <c r="B29809" s="19"/>
      <c r="E29809" s="23"/>
      <c r="L29809" s="23"/>
    </row>
    <row r="29810">
      <c r="B29810" s="19"/>
      <c r="E29810" s="23"/>
      <c r="L29810" s="23"/>
    </row>
    <row r="29811">
      <c r="B29811" s="19"/>
      <c r="E29811" s="23"/>
      <c r="L29811" s="23"/>
    </row>
    <row r="29812">
      <c r="B29812" s="19"/>
      <c r="E29812" s="23"/>
      <c r="L29812" s="23"/>
    </row>
    <row r="29813">
      <c r="B29813" s="19"/>
      <c r="E29813" s="23"/>
      <c r="L29813" s="23"/>
    </row>
    <row r="29814">
      <c r="B29814" s="19"/>
      <c r="E29814" s="23"/>
      <c r="L29814" s="23"/>
    </row>
    <row r="29815">
      <c r="B29815" s="19"/>
      <c r="E29815" s="23"/>
      <c r="L29815" s="23"/>
    </row>
    <row r="29816">
      <c r="B29816" s="19"/>
      <c r="E29816" s="23"/>
      <c r="L29816" s="23"/>
    </row>
    <row r="29817">
      <c r="B29817" s="19"/>
      <c r="E29817" s="23"/>
      <c r="L29817" s="23"/>
    </row>
    <row r="29818">
      <c r="B29818" s="19"/>
      <c r="E29818" s="23"/>
      <c r="L29818" s="23"/>
    </row>
    <row r="29819">
      <c r="B29819" s="19"/>
      <c r="E29819" s="23"/>
      <c r="L29819" s="23"/>
    </row>
    <row r="29820">
      <c r="B29820" s="19"/>
      <c r="E29820" s="23"/>
      <c r="L29820" s="23"/>
    </row>
    <row r="29821">
      <c r="B29821" s="19"/>
      <c r="E29821" s="23"/>
      <c r="L29821" s="23"/>
    </row>
    <row r="29822">
      <c r="B29822" s="19"/>
      <c r="E29822" s="23"/>
      <c r="L29822" s="23"/>
    </row>
    <row r="29823">
      <c r="B29823" s="19"/>
      <c r="E29823" s="23"/>
      <c r="L29823" s="23"/>
    </row>
    <row r="29824">
      <c r="B29824" s="19"/>
      <c r="E29824" s="23"/>
      <c r="L29824" s="23"/>
    </row>
    <row r="29825">
      <c r="B29825" s="19"/>
      <c r="E29825" s="23"/>
      <c r="L29825" s="23"/>
    </row>
    <row r="29826">
      <c r="B29826" s="19"/>
      <c r="E29826" s="23"/>
      <c r="L29826" s="23"/>
    </row>
    <row r="29827">
      <c r="B29827" s="19"/>
      <c r="E29827" s="23"/>
      <c r="L29827" s="23"/>
    </row>
    <row r="29828">
      <c r="B29828" s="19"/>
      <c r="E29828" s="23"/>
      <c r="L29828" s="23"/>
    </row>
    <row r="29829">
      <c r="B29829" s="19"/>
      <c r="E29829" s="23"/>
      <c r="L29829" s="23"/>
    </row>
    <row r="29830">
      <c r="B29830" s="19"/>
      <c r="E29830" s="23"/>
      <c r="L29830" s="23"/>
    </row>
    <row r="29831">
      <c r="B29831" s="19"/>
      <c r="E29831" s="23"/>
      <c r="L29831" s="23"/>
    </row>
    <row r="29832">
      <c r="B29832" s="19"/>
      <c r="E29832" s="23"/>
      <c r="L29832" s="23"/>
    </row>
    <row r="29833">
      <c r="B29833" s="19"/>
      <c r="E29833" s="23"/>
      <c r="L29833" s="23"/>
    </row>
    <row r="29834">
      <c r="B29834" s="19"/>
      <c r="E29834" s="23"/>
      <c r="L29834" s="23"/>
    </row>
    <row r="29835">
      <c r="B29835" s="19"/>
      <c r="E29835" s="23"/>
      <c r="L29835" s="23"/>
    </row>
    <row r="29836">
      <c r="B29836" s="19"/>
      <c r="E29836" s="23"/>
      <c r="L29836" s="23"/>
    </row>
    <row r="29837">
      <c r="B29837" s="19"/>
      <c r="E29837" s="23"/>
      <c r="L29837" s="23"/>
    </row>
    <row r="29838">
      <c r="B29838" s="19"/>
      <c r="E29838" s="23"/>
      <c r="L29838" s="23"/>
    </row>
    <row r="29839">
      <c r="B29839" s="19"/>
      <c r="E29839" s="23"/>
      <c r="L29839" s="23"/>
    </row>
    <row r="29840">
      <c r="B29840" s="19"/>
      <c r="E29840" s="23"/>
      <c r="L29840" s="23"/>
    </row>
    <row r="29841">
      <c r="B29841" s="19"/>
      <c r="E29841" s="23"/>
      <c r="L29841" s="23"/>
    </row>
    <row r="29842">
      <c r="B29842" s="19"/>
      <c r="E29842" s="23"/>
      <c r="L29842" s="23"/>
    </row>
    <row r="29843">
      <c r="B29843" s="19"/>
      <c r="E29843" s="23"/>
      <c r="L29843" s="23"/>
    </row>
    <row r="29844">
      <c r="B29844" s="19"/>
      <c r="E29844" s="23"/>
      <c r="L29844" s="23"/>
    </row>
    <row r="29845">
      <c r="B29845" s="19"/>
      <c r="E29845" s="23"/>
      <c r="L29845" s="23"/>
    </row>
    <row r="29846">
      <c r="B29846" s="19"/>
      <c r="E29846" s="23"/>
      <c r="L29846" s="23"/>
    </row>
    <row r="29847">
      <c r="B29847" s="19"/>
      <c r="E29847" s="23"/>
      <c r="L29847" s="23"/>
    </row>
    <row r="29848">
      <c r="B29848" s="19"/>
      <c r="E29848" s="23"/>
      <c r="L29848" s="23"/>
    </row>
    <row r="29849">
      <c r="B29849" s="19"/>
      <c r="E29849" s="23"/>
      <c r="L29849" s="23"/>
    </row>
    <row r="29850">
      <c r="B29850" s="19"/>
      <c r="E29850" s="23"/>
      <c r="L29850" s="23"/>
    </row>
    <row r="29851">
      <c r="B29851" s="19"/>
      <c r="E29851" s="23"/>
      <c r="L29851" s="23"/>
    </row>
    <row r="29852">
      <c r="B29852" s="19"/>
      <c r="E29852" s="23"/>
      <c r="L29852" s="23"/>
    </row>
    <row r="29853">
      <c r="B29853" s="19"/>
      <c r="E29853" s="23"/>
      <c r="L29853" s="23"/>
    </row>
    <row r="29854">
      <c r="B29854" s="19"/>
      <c r="E29854" s="23"/>
      <c r="L29854" s="23"/>
    </row>
    <row r="29855">
      <c r="B29855" s="19"/>
      <c r="E29855" s="23"/>
      <c r="L29855" s="23"/>
    </row>
    <row r="29856">
      <c r="B29856" s="19"/>
      <c r="E29856" s="23"/>
      <c r="L29856" s="23"/>
    </row>
    <row r="29857">
      <c r="B29857" s="19"/>
      <c r="E29857" s="23"/>
      <c r="L29857" s="23"/>
    </row>
    <row r="29858">
      <c r="B29858" s="19"/>
      <c r="E29858" s="23"/>
      <c r="L29858" s="23"/>
    </row>
    <row r="29859">
      <c r="B29859" s="19"/>
      <c r="E29859" s="23"/>
      <c r="L29859" s="23"/>
    </row>
    <row r="29860">
      <c r="B29860" s="19"/>
      <c r="E29860" s="23"/>
      <c r="L29860" s="23"/>
    </row>
    <row r="29861">
      <c r="B29861" s="19"/>
      <c r="E29861" s="23"/>
      <c r="L29861" s="23"/>
    </row>
    <row r="29862">
      <c r="B29862" s="19"/>
      <c r="E29862" s="23"/>
      <c r="L29862" s="23"/>
    </row>
    <row r="29863">
      <c r="B29863" s="19"/>
      <c r="E29863" s="23"/>
      <c r="L29863" s="23"/>
    </row>
    <row r="29864">
      <c r="B29864" s="19"/>
      <c r="E29864" s="23"/>
      <c r="L29864" s="23"/>
    </row>
    <row r="29865">
      <c r="B29865" s="19"/>
      <c r="E29865" s="23"/>
      <c r="L29865" s="23"/>
    </row>
    <row r="29866">
      <c r="B29866" s="19"/>
      <c r="E29866" s="23"/>
      <c r="L29866" s="23"/>
    </row>
    <row r="29867">
      <c r="B29867" s="19"/>
      <c r="E29867" s="23"/>
      <c r="L29867" s="23"/>
    </row>
    <row r="29868">
      <c r="B29868" s="19"/>
      <c r="E29868" s="23"/>
      <c r="L29868" s="23"/>
    </row>
    <row r="29869">
      <c r="B29869" s="19"/>
      <c r="E29869" s="23"/>
      <c r="L29869" s="23"/>
    </row>
    <row r="29870">
      <c r="B29870" s="19"/>
      <c r="E29870" s="23"/>
      <c r="L29870" s="23"/>
    </row>
    <row r="29871">
      <c r="B29871" s="19"/>
      <c r="E29871" s="23"/>
      <c r="L29871" s="23"/>
    </row>
    <row r="29872">
      <c r="B29872" s="19"/>
      <c r="E29872" s="23"/>
      <c r="L29872" s="23"/>
    </row>
    <row r="29873">
      <c r="B29873" s="19"/>
      <c r="E29873" s="23"/>
      <c r="L29873" s="23"/>
    </row>
    <row r="29874">
      <c r="B29874" s="19"/>
      <c r="E29874" s="23"/>
      <c r="L29874" s="23"/>
    </row>
    <row r="29875">
      <c r="B29875" s="19"/>
      <c r="E29875" s="23"/>
      <c r="L29875" s="23"/>
    </row>
    <row r="29876">
      <c r="B29876" s="19"/>
      <c r="E29876" s="23"/>
      <c r="L29876" s="23"/>
    </row>
    <row r="29877">
      <c r="B29877" s="19"/>
      <c r="E29877" s="23"/>
      <c r="L29877" s="23"/>
    </row>
    <row r="29878">
      <c r="B29878" s="19"/>
      <c r="E29878" s="23"/>
      <c r="L29878" s="23"/>
    </row>
    <row r="29879">
      <c r="B29879" s="19"/>
      <c r="E29879" s="23"/>
      <c r="L29879" s="23"/>
    </row>
    <row r="29880">
      <c r="B29880" s="19"/>
      <c r="E29880" s="23"/>
      <c r="L29880" s="23"/>
    </row>
    <row r="29881">
      <c r="B29881" s="19"/>
      <c r="E29881" s="23"/>
      <c r="L29881" s="23"/>
    </row>
    <row r="29882">
      <c r="B29882" s="19"/>
      <c r="E29882" s="23"/>
      <c r="L29882" s="23"/>
    </row>
    <row r="29883">
      <c r="B29883" s="19"/>
      <c r="E29883" s="23"/>
      <c r="L29883" s="23"/>
    </row>
    <row r="29884">
      <c r="B29884" s="19"/>
      <c r="E29884" s="23"/>
      <c r="L29884" s="23"/>
    </row>
    <row r="29885">
      <c r="B29885" s="19"/>
      <c r="E29885" s="23"/>
      <c r="L29885" s="23"/>
    </row>
    <row r="29886">
      <c r="B29886" s="19"/>
      <c r="E29886" s="23"/>
      <c r="L29886" s="23"/>
    </row>
    <row r="29887">
      <c r="B29887" s="19"/>
      <c r="E29887" s="23"/>
      <c r="L29887" s="23"/>
    </row>
    <row r="29888">
      <c r="B29888" s="19"/>
      <c r="E29888" s="23"/>
      <c r="L29888" s="23"/>
    </row>
    <row r="29889">
      <c r="B29889" s="19"/>
      <c r="E29889" s="23"/>
      <c r="L29889" s="23"/>
    </row>
    <row r="29890">
      <c r="B29890" s="19"/>
      <c r="E29890" s="23"/>
      <c r="L29890" s="23"/>
    </row>
    <row r="29891">
      <c r="B29891" s="19"/>
      <c r="E29891" s="23"/>
      <c r="L29891" s="23"/>
    </row>
    <row r="29892">
      <c r="B29892" s="19"/>
      <c r="E29892" s="23"/>
      <c r="L29892" s="23"/>
    </row>
    <row r="29893">
      <c r="B29893" s="19"/>
      <c r="E29893" s="23"/>
      <c r="L29893" s="23"/>
    </row>
    <row r="29894">
      <c r="B29894" s="19"/>
      <c r="E29894" s="23"/>
      <c r="L29894" s="23"/>
    </row>
    <row r="29895">
      <c r="B29895" s="19"/>
      <c r="E29895" s="23"/>
      <c r="L29895" s="23"/>
    </row>
    <row r="29896">
      <c r="B29896" s="19"/>
      <c r="E29896" s="23"/>
      <c r="L29896" s="23"/>
    </row>
    <row r="29897">
      <c r="B29897" s="19"/>
      <c r="E29897" s="23"/>
      <c r="L29897" s="23"/>
    </row>
    <row r="29898">
      <c r="B29898" s="19"/>
      <c r="E29898" s="23"/>
      <c r="L29898" s="23"/>
    </row>
    <row r="29899">
      <c r="B29899" s="19"/>
      <c r="E29899" s="23"/>
      <c r="L29899" s="23"/>
    </row>
    <row r="29900">
      <c r="B29900" s="19"/>
      <c r="E29900" s="23"/>
      <c r="L29900" s="23"/>
    </row>
    <row r="29901">
      <c r="B29901" s="19"/>
      <c r="E29901" s="23"/>
      <c r="L29901" s="23"/>
    </row>
    <row r="29902">
      <c r="B29902" s="19"/>
      <c r="E29902" s="23"/>
      <c r="L29902" s="23"/>
    </row>
    <row r="29903">
      <c r="B29903" s="19"/>
      <c r="E29903" s="23"/>
      <c r="L29903" s="23"/>
    </row>
    <row r="29904">
      <c r="B29904" s="19"/>
      <c r="E29904" s="23"/>
      <c r="L29904" s="23"/>
    </row>
    <row r="29905">
      <c r="B29905" s="19"/>
      <c r="E29905" s="23"/>
      <c r="L29905" s="23"/>
    </row>
    <row r="29906">
      <c r="B29906" s="19"/>
      <c r="E29906" s="23"/>
      <c r="L29906" s="23"/>
    </row>
    <row r="29907">
      <c r="B29907" s="19"/>
      <c r="E29907" s="23"/>
      <c r="L29907" s="23"/>
    </row>
    <row r="29908">
      <c r="B29908" s="19"/>
      <c r="E29908" s="23"/>
      <c r="L29908" s="23"/>
    </row>
    <row r="29909">
      <c r="B29909" s="19"/>
      <c r="E29909" s="23"/>
      <c r="L29909" s="23"/>
    </row>
    <row r="29910">
      <c r="B29910" s="19"/>
      <c r="E29910" s="23"/>
      <c r="L29910" s="23"/>
    </row>
    <row r="29911">
      <c r="B29911" s="19"/>
      <c r="E29911" s="23"/>
      <c r="L29911" s="23"/>
    </row>
    <row r="29912">
      <c r="B29912" s="19"/>
      <c r="E29912" s="23"/>
      <c r="L29912" s="23"/>
    </row>
    <row r="29913">
      <c r="B29913" s="19"/>
      <c r="E29913" s="23"/>
      <c r="L29913" s="23"/>
    </row>
    <row r="29914">
      <c r="B29914" s="19"/>
      <c r="E29914" s="23"/>
      <c r="L29914" s="23"/>
    </row>
    <row r="29915">
      <c r="B29915" s="19"/>
      <c r="E29915" s="23"/>
      <c r="L29915" s="23"/>
    </row>
    <row r="29916">
      <c r="B29916" s="19"/>
      <c r="E29916" s="23"/>
      <c r="L29916" s="23"/>
    </row>
    <row r="29917">
      <c r="B29917" s="19"/>
      <c r="E29917" s="23"/>
      <c r="L29917" s="23"/>
    </row>
    <row r="29918">
      <c r="B29918" s="19"/>
      <c r="E29918" s="23"/>
      <c r="L29918" s="23"/>
    </row>
    <row r="29919">
      <c r="B29919" s="19"/>
      <c r="E29919" s="23"/>
      <c r="L29919" s="23"/>
    </row>
    <row r="29920">
      <c r="B29920" s="19"/>
      <c r="E29920" s="23"/>
      <c r="L29920" s="23"/>
    </row>
    <row r="29921">
      <c r="B29921" s="19"/>
      <c r="E29921" s="23"/>
      <c r="L29921" s="23"/>
    </row>
    <row r="29922">
      <c r="B29922" s="19"/>
      <c r="E29922" s="23"/>
      <c r="L29922" s="23"/>
    </row>
    <row r="29923">
      <c r="B29923" s="19"/>
      <c r="E29923" s="23"/>
      <c r="L29923" s="23"/>
    </row>
    <row r="29924">
      <c r="B29924" s="19"/>
      <c r="E29924" s="23"/>
      <c r="L29924" s="23"/>
    </row>
    <row r="29925">
      <c r="B29925" s="19"/>
      <c r="E29925" s="23"/>
      <c r="L29925" s="23"/>
    </row>
    <row r="29926">
      <c r="B29926" s="19"/>
      <c r="E29926" s="23"/>
      <c r="L29926" s="23"/>
    </row>
    <row r="29927">
      <c r="B29927" s="19"/>
      <c r="E29927" s="23"/>
      <c r="L29927" s="23"/>
    </row>
    <row r="29928">
      <c r="B29928" s="19"/>
      <c r="E29928" s="23"/>
      <c r="L29928" s="23"/>
    </row>
    <row r="29929">
      <c r="B29929" s="19"/>
      <c r="E29929" s="23"/>
      <c r="L29929" s="23"/>
    </row>
    <row r="29930">
      <c r="B29930" s="19"/>
      <c r="E29930" s="23"/>
      <c r="L29930" s="23"/>
    </row>
    <row r="29931">
      <c r="B29931" s="19"/>
      <c r="E29931" s="23"/>
      <c r="L29931" s="23"/>
    </row>
    <row r="29932">
      <c r="B29932" s="19"/>
      <c r="E29932" s="23"/>
      <c r="L29932" s="23"/>
    </row>
    <row r="29933">
      <c r="B29933" s="19"/>
      <c r="E29933" s="23"/>
      <c r="L29933" s="23"/>
    </row>
    <row r="29934">
      <c r="B29934" s="19"/>
      <c r="E29934" s="23"/>
      <c r="L29934" s="23"/>
    </row>
    <row r="29935">
      <c r="B29935" s="19"/>
      <c r="E29935" s="23"/>
      <c r="L29935" s="23"/>
    </row>
    <row r="29936">
      <c r="B29936" s="19"/>
      <c r="E29936" s="23"/>
      <c r="L29936" s="23"/>
    </row>
    <row r="29937">
      <c r="B29937" s="19"/>
      <c r="E29937" s="23"/>
      <c r="L29937" s="23"/>
    </row>
    <row r="29938">
      <c r="B29938" s="19"/>
      <c r="E29938" s="23"/>
      <c r="L29938" s="23"/>
    </row>
    <row r="29939">
      <c r="B29939" s="19"/>
      <c r="E29939" s="23"/>
      <c r="L29939" s="23"/>
    </row>
    <row r="29940">
      <c r="B29940" s="19"/>
      <c r="E29940" s="23"/>
      <c r="L29940" s="23"/>
    </row>
    <row r="29941">
      <c r="B29941" s="19"/>
      <c r="E29941" s="23"/>
      <c r="L29941" s="23"/>
    </row>
    <row r="29942">
      <c r="B29942" s="19"/>
      <c r="E29942" s="23"/>
      <c r="L29942" s="23"/>
    </row>
    <row r="29943">
      <c r="B29943" s="19"/>
      <c r="E29943" s="23"/>
      <c r="L29943" s="23"/>
    </row>
    <row r="29944">
      <c r="B29944" s="19"/>
      <c r="E29944" s="23"/>
      <c r="L29944" s="23"/>
    </row>
    <row r="29945">
      <c r="B29945" s="19"/>
      <c r="E29945" s="23"/>
      <c r="L29945" s="23"/>
    </row>
    <row r="29946">
      <c r="B29946" s="19"/>
      <c r="E29946" s="23"/>
      <c r="L29946" s="23"/>
    </row>
    <row r="29947">
      <c r="B29947" s="19"/>
      <c r="E29947" s="23"/>
      <c r="L29947" s="23"/>
    </row>
    <row r="29948">
      <c r="B29948" s="19"/>
      <c r="E29948" s="23"/>
      <c r="L29948" s="23"/>
    </row>
    <row r="29949">
      <c r="B29949" s="19"/>
      <c r="E29949" s="23"/>
      <c r="L29949" s="23"/>
    </row>
    <row r="29950">
      <c r="B29950" s="19"/>
      <c r="E29950" s="23"/>
      <c r="L29950" s="23"/>
    </row>
    <row r="29951">
      <c r="B29951" s="19"/>
      <c r="E29951" s="23"/>
      <c r="L29951" s="23"/>
    </row>
    <row r="29952">
      <c r="B29952" s="19"/>
      <c r="E29952" s="23"/>
      <c r="L29952" s="23"/>
    </row>
    <row r="29953">
      <c r="B29953" s="19"/>
      <c r="E29953" s="23"/>
      <c r="L29953" s="23"/>
    </row>
    <row r="29954">
      <c r="B29954" s="19"/>
      <c r="E29954" s="23"/>
      <c r="L29954" s="23"/>
    </row>
    <row r="29955">
      <c r="B29955" s="19"/>
      <c r="E29955" s="23"/>
      <c r="L29955" s="23"/>
    </row>
    <row r="29956">
      <c r="B29956" s="19"/>
      <c r="E29956" s="23"/>
      <c r="L29956" s="23"/>
    </row>
    <row r="29957">
      <c r="B29957" s="19"/>
      <c r="E29957" s="23"/>
      <c r="L29957" s="23"/>
    </row>
    <row r="29958">
      <c r="B29958" s="19"/>
      <c r="E29958" s="23"/>
      <c r="L29958" s="23"/>
    </row>
    <row r="29959">
      <c r="B29959" s="19"/>
      <c r="E29959" s="23"/>
      <c r="L29959" s="23"/>
    </row>
    <row r="29960">
      <c r="B29960" s="19"/>
      <c r="E29960" s="23"/>
      <c r="L29960" s="23"/>
    </row>
    <row r="29961">
      <c r="B29961" s="19"/>
      <c r="E29961" s="23"/>
      <c r="L29961" s="23"/>
    </row>
    <row r="29962">
      <c r="B29962" s="19"/>
      <c r="E29962" s="23"/>
      <c r="L29962" s="23"/>
    </row>
    <row r="29963">
      <c r="B29963" s="19"/>
      <c r="E29963" s="23"/>
      <c r="L29963" s="23"/>
    </row>
    <row r="29964">
      <c r="B29964" s="19"/>
      <c r="E29964" s="23"/>
      <c r="L29964" s="23"/>
    </row>
    <row r="29965">
      <c r="B29965" s="19"/>
      <c r="E29965" s="23"/>
      <c r="L29965" s="23"/>
    </row>
    <row r="29966">
      <c r="B29966" s="19"/>
      <c r="E29966" s="23"/>
      <c r="L29966" s="23"/>
    </row>
    <row r="29967">
      <c r="B29967" s="19"/>
      <c r="E29967" s="23"/>
      <c r="L29967" s="23"/>
    </row>
    <row r="29968">
      <c r="B29968" s="19"/>
      <c r="E29968" s="23"/>
      <c r="L29968" s="23"/>
    </row>
    <row r="29969">
      <c r="B29969" s="19"/>
      <c r="E29969" s="23"/>
      <c r="L29969" s="23"/>
    </row>
    <row r="29970">
      <c r="B29970" s="19"/>
      <c r="E29970" s="23"/>
      <c r="L29970" s="23"/>
    </row>
    <row r="29971">
      <c r="B29971" s="19"/>
      <c r="E29971" s="23"/>
      <c r="L29971" s="23"/>
    </row>
    <row r="29972">
      <c r="B29972" s="19"/>
      <c r="E29972" s="23"/>
      <c r="L29972" s="23"/>
    </row>
    <row r="29973">
      <c r="B29973" s="19"/>
      <c r="E29973" s="23"/>
      <c r="L29973" s="23"/>
    </row>
    <row r="29974">
      <c r="B29974" s="19"/>
      <c r="E29974" s="23"/>
      <c r="L29974" s="23"/>
    </row>
    <row r="29975">
      <c r="B29975" s="19"/>
      <c r="E29975" s="23"/>
      <c r="L29975" s="23"/>
    </row>
    <row r="29976">
      <c r="B29976" s="19"/>
      <c r="E29976" s="23"/>
      <c r="L29976" s="23"/>
    </row>
    <row r="29977">
      <c r="B29977" s="19"/>
      <c r="E29977" s="23"/>
      <c r="L29977" s="23"/>
    </row>
    <row r="29978">
      <c r="B29978" s="19"/>
      <c r="E29978" s="23"/>
      <c r="L29978" s="23"/>
    </row>
    <row r="29979">
      <c r="B29979" s="19"/>
      <c r="E29979" s="23"/>
      <c r="L29979" s="23"/>
    </row>
    <row r="29980">
      <c r="B29980" s="19"/>
      <c r="E29980" s="23"/>
      <c r="L29980" s="23"/>
    </row>
    <row r="29981">
      <c r="B29981" s="19"/>
      <c r="E29981" s="23"/>
      <c r="L29981" s="23"/>
    </row>
    <row r="29982">
      <c r="B29982" s="19"/>
      <c r="E29982" s="23"/>
      <c r="L29982" s="23"/>
    </row>
    <row r="29983">
      <c r="B29983" s="19"/>
      <c r="E29983" s="23"/>
      <c r="L29983" s="23"/>
    </row>
    <row r="29984">
      <c r="B29984" s="19"/>
      <c r="E29984" s="23"/>
      <c r="L29984" s="23"/>
    </row>
    <row r="29985">
      <c r="B29985" s="19"/>
      <c r="E29985" s="23"/>
      <c r="L29985" s="23"/>
    </row>
    <row r="29986">
      <c r="B29986" s="19"/>
      <c r="E29986" s="23"/>
      <c r="L29986" s="23"/>
    </row>
    <row r="29987">
      <c r="B29987" s="19"/>
      <c r="E29987" s="23"/>
      <c r="L29987" s="23"/>
    </row>
    <row r="29988">
      <c r="B29988" s="19"/>
      <c r="E29988" s="23"/>
      <c r="L29988" s="23"/>
    </row>
    <row r="29989">
      <c r="B29989" s="19"/>
      <c r="E29989" s="23"/>
      <c r="L29989" s="23"/>
    </row>
    <row r="29990">
      <c r="B29990" s="19"/>
      <c r="E29990" s="23"/>
      <c r="L29990" s="23"/>
    </row>
    <row r="29991">
      <c r="B29991" s="19"/>
      <c r="E29991" s="23"/>
      <c r="L29991" s="23"/>
    </row>
    <row r="29992">
      <c r="B29992" s="19"/>
      <c r="E29992" s="23"/>
      <c r="L29992" s="23"/>
    </row>
    <row r="29993">
      <c r="B29993" s="19"/>
      <c r="E29993" s="23"/>
      <c r="L29993" s="23"/>
    </row>
    <row r="29994">
      <c r="B29994" s="19"/>
      <c r="E29994" s="23"/>
      <c r="L29994" s="23"/>
    </row>
    <row r="29995">
      <c r="B29995" s="19"/>
      <c r="E29995" s="23"/>
      <c r="L29995" s="23"/>
    </row>
    <row r="29996">
      <c r="B29996" s="19"/>
      <c r="E29996" s="23"/>
      <c r="L29996" s="23"/>
    </row>
    <row r="29997">
      <c r="B29997" s="19"/>
      <c r="E29997" s="23"/>
      <c r="L29997" s="23"/>
    </row>
    <row r="29998">
      <c r="B29998" s="19"/>
      <c r="E29998" s="23"/>
      <c r="L29998" s="23"/>
    </row>
    <row r="29999">
      <c r="B29999" s="19"/>
      <c r="E29999" s="23"/>
      <c r="L29999" s="23"/>
    </row>
    <row r="30000">
      <c r="B30000" s="19"/>
      <c r="E30000" s="23"/>
      <c r="L30000" s="23"/>
    </row>
    <row r="30001">
      <c r="B30001" s="19"/>
      <c r="E30001" s="23"/>
      <c r="L30001" s="23"/>
    </row>
    <row r="30002">
      <c r="B30002" s="19"/>
      <c r="E30002" s="23"/>
      <c r="L30002" s="23"/>
    </row>
    <row r="30003">
      <c r="B30003" s="19"/>
      <c r="E30003" s="23"/>
      <c r="L30003" s="23"/>
    </row>
    <row r="30004">
      <c r="B30004" s="19"/>
      <c r="E30004" s="23"/>
      <c r="L30004" s="23"/>
    </row>
    <row r="30005">
      <c r="B30005" s="19"/>
      <c r="E30005" s="23"/>
      <c r="L30005" s="23"/>
    </row>
    <row r="30006">
      <c r="B30006" s="19"/>
      <c r="E30006" s="23"/>
      <c r="L30006" s="23"/>
    </row>
    <row r="30007">
      <c r="B30007" s="19"/>
      <c r="E30007" s="23"/>
      <c r="L30007" s="23"/>
    </row>
    <row r="30008">
      <c r="B30008" s="19"/>
      <c r="E30008" s="23"/>
      <c r="L30008" s="23"/>
    </row>
    <row r="30009">
      <c r="B30009" s="19"/>
      <c r="E30009" s="23"/>
      <c r="L30009" s="23"/>
    </row>
    <row r="30010">
      <c r="B30010" s="19"/>
      <c r="E30010" s="23"/>
      <c r="L30010" s="23"/>
    </row>
    <row r="30011">
      <c r="B30011" s="19"/>
      <c r="E30011" s="23"/>
      <c r="L30011" s="23"/>
    </row>
    <row r="30012">
      <c r="B30012" s="19"/>
      <c r="E30012" s="23"/>
      <c r="L30012" s="23"/>
    </row>
    <row r="30013">
      <c r="B30013" s="19"/>
      <c r="E30013" s="23"/>
      <c r="L30013" s="23"/>
    </row>
    <row r="30014">
      <c r="B30014" s="19"/>
      <c r="E30014" s="23"/>
      <c r="L30014" s="23"/>
    </row>
    <row r="30015">
      <c r="B30015" s="19"/>
      <c r="E30015" s="23"/>
      <c r="L30015" s="23"/>
    </row>
    <row r="30016">
      <c r="B30016" s="19"/>
      <c r="E30016" s="23"/>
      <c r="L30016" s="23"/>
    </row>
    <row r="30017">
      <c r="B30017" s="19"/>
      <c r="E30017" s="23"/>
      <c r="L30017" s="23"/>
    </row>
    <row r="30018">
      <c r="B30018" s="19"/>
      <c r="E30018" s="23"/>
      <c r="L30018" s="23"/>
    </row>
    <row r="30019">
      <c r="B30019" s="19"/>
      <c r="E30019" s="23"/>
      <c r="L30019" s="23"/>
    </row>
    <row r="30020">
      <c r="B30020" s="19"/>
      <c r="E30020" s="23"/>
      <c r="L30020" s="23"/>
    </row>
    <row r="30021">
      <c r="B30021" s="19"/>
      <c r="E30021" s="23"/>
      <c r="L30021" s="23"/>
    </row>
    <row r="30022">
      <c r="B30022" s="19"/>
      <c r="E30022" s="23"/>
      <c r="L30022" s="23"/>
    </row>
    <row r="30023">
      <c r="B30023" s="19"/>
      <c r="E30023" s="23"/>
      <c r="L30023" s="23"/>
    </row>
    <row r="30024">
      <c r="B30024" s="19"/>
      <c r="E30024" s="23"/>
      <c r="L30024" s="23"/>
    </row>
    <row r="30025">
      <c r="B30025" s="19"/>
      <c r="E30025" s="23"/>
      <c r="L30025" s="23"/>
    </row>
    <row r="30026">
      <c r="B30026" s="19"/>
      <c r="E30026" s="23"/>
      <c r="L30026" s="23"/>
    </row>
    <row r="30027">
      <c r="B30027" s="19"/>
      <c r="E30027" s="23"/>
      <c r="L30027" s="23"/>
    </row>
    <row r="30028">
      <c r="B30028" s="19"/>
      <c r="E30028" s="23"/>
      <c r="L30028" s="23"/>
    </row>
    <row r="30029">
      <c r="B30029" s="19"/>
      <c r="E30029" s="23"/>
      <c r="L30029" s="23"/>
    </row>
    <row r="30030">
      <c r="B30030" s="19"/>
      <c r="E30030" s="23"/>
      <c r="L30030" s="23"/>
    </row>
    <row r="30031">
      <c r="B30031" s="19"/>
      <c r="E30031" s="23"/>
      <c r="L30031" s="23"/>
    </row>
    <row r="30032">
      <c r="B30032" s="19"/>
      <c r="E30032" s="23"/>
      <c r="L30032" s="23"/>
    </row>
    <row r="30033">
      <c r="B30033" s="19"/>
      <c r="E30033" s="23"/>
      <c r="L30033" s="23"/>
    </row>
    <row r="30034">
      <c r="B30034" s="19"/>
      <c r="E30034" s="23"/>
      <c r="L30034" s="23"/>
    </row>
    <row r="30035">
      <c r="B30035" s="19"/>
      <c r="E30035" s="23"/>
      <c r="L30035" s="23"/>
    </row>
    <row r="30036">
      <c r="B30036" s="19"/>
      <c r="E30036" s="23"/>
      <c r="L30036" s="23"/>
    </row>
    <row r="30037">
      <c r="B30037" s="19"/>
      <c r="E30037" s="23"/>
      <c r="L30037" s="23"/>
    </row>
    <row r="30038">
      <c r="B30038" s="19"/>
      <c r="E30038" s="23"/>
      <c r="L30038" s="23"/>
    </row>
    <row r="30039">
      <c r="B30039" s="19"/>
      <c r="E30039" s="23"/>
      <c r="L30039" s="23"/>
    </row>
    <row r="30040">
      <c r="B30040" s="19"/>
      <c r="E30040" s="23"/>
      <c r="L30040" s="23"/>
    </row>
    <row r="30041">
      <c r="B30041" s="19"/>
      <c r="E30041" s="23"/>
      <c r="L30041" s="23"/>
    </row>
    <row r="30042">
      <c r="B30042" s="19"/>
      <c r="E30042" s="23"/>
      <c r="L30042" s="23"/>
    </row>
    <row r="30043">
      <c r="B30043" s="19"/>
      <c r="E30043" s="23"/>
      <c r="L30043" s="23"/>
    </row>
    <row r="30044">
      <c r="B30044" s="19"/>
      <c r="E30044" s="23"/>
      <c r="L30044" s="23"/>
    </row>
    <row r="30045">
      <c r="B30045" s="19"/>
      <c r="E30045" s="23"/>
      <c r="L30045" s="23"/>
    </row>
    <row r="30046">
      <c r="B30046" s="19"/>
      <c r="E30046" s="23"/>
      <c r="L30046" s="23"/>
    </row>
    <row r="30047">
      <c r="B30047" s="19"/>
      <c r="E30047" s="23"/>
      <c r="L30047" s="23"/>
    </row>
    <row r="30048">
      <c r="B30048" s="19"/>
      <c r="E30048" s="23"/>
      <c r="L30048" s="23"/>
    </row>
    <row r="30049">
      <c r="B30049" s="19"/>
      <c r="E30049" s="23"/>
      <c r="L30049" s="23"/>
    </row>
    <row r="30050">
      <c r="B30050" s="19"/>
      <c r="E30050" s="23"/>
      <c r="L30050" s="23"/>
    </row>
    <row r="30051">
      <c r="B30051" s="19"/>
      <c r="E30051" s="23"/>
      <c r="L30051" s="23"/>
    </row>
    <row r="30052">
      <c r="B30052" s="19"/>
      <c r="E30052" s="23"/>
      <c r="L30052" s="23"/>
    </row>
    <row r="30053">
      <c r="B30053" s="19"/>
      <c r="E30053" s="23"/>
      <c r="L30053" s="23"/>
    </row>
    <row r="30054">
      <c r="B30054" s="19"/>
      <c r="E30054" s="23"/>
      <c r="L30054" s="23"/>
    </row>
    <row r="30055">
      <c r="B30055" s="19"/>
      <c r="E30055" s="23"/>
      <c r="L30055" s="23"/>
    </row>
    <row r="30056">
      <c r="B30056" s="19"/>
      <c r="E30056" s="23"/>
      <c r="L30056" s="23"/>
    </row>
    <row r="30057">
      <c r="B30057" s="19"/>
      <c r="E30057" s="23"/>
      <c r="L30057" s="23"/>
    </row>
    <row r="30058">
      <c r="B30058" s="19"/>
      <c r="E30058" s="23"/>
      <c r="L30058" s="23"/>
    </row>
    <row r="30059">
      <c r="B30059" s="19"/>
      <c r="E30059" s="23"/>
      <c r="L30059" s="23"/>
    </row>
    <row r="30060">
      <c r="B30060" s="19"/>
      <c r="E30060" s="23"/>
      <c r="L30060" s="23"/>
    </row>
    <row r="30061">
      <c r="B30061" s="19"/>
      <c r="E30061" s="23"/>
      <c r="L30061" s="23"/>
    </row>
    <row r="30062">
      <c r="B30062" s="19"/>
      <c r="E30062" s="23"/>
      <c r="L30062" s="23"/>
    </row>
    <row r="30063">
      <c r="B30063" s="19"/>
      <c r="E30063" s="23"/>
      <c r="L30063" s="23"/>
    </row>
    <row r="30064">
      <c r="B30064" s="19"/>
      <c r="E30064" s="23"/>
      <c r="L30064" s="23"/>
    </row>
    <row r="30065">
      <c r="B30065" s="19"/>
      <c r="E30065" s="23"/>
      <c r="L30065" s="23"/>
    </row>
    <row r="30066">
      <c r="B30066" s="19"/>
      <c r="E30066" s="23"/>
      <c r="L30066" s="23"/>
    </row>
    <row r="30067">
      <c r="B30067" s="19"/>
      <c r="E30067" s="23"/>
      <c r="L30067" s="23"/>
    </row>
    <row r="30068">
      <c r="B30068" s="19"/>
      <c r="E30068" s="23"/>
      <c r="L30068" s="23"/>
    </row>
    <row r="30069">
      <c r="B30069" s="19"/>
      <c r="E30069" s="23"/>
      <c r="L30069" s="23"/>
    </row>
    <row r="30070">
      <c r="B30070" s="19"/>
      <c r="E30070" s="23"/>
      <c r="L30070" s="23"/>
    </row>
    <row r="30071">
      <c r="B30071" s="19"/>
      <c r="E30071" s="23"/>
      <c r="L30071" s="23"/>
    </row>
    <row r="30072">
      <c r="B30072" s="19"/>
      <c r="E30072" s="23"/>
      <c r="L30072" s="23"/>
    </row>
    <row r="30073">
      <c r="B30073" s="19"/>
      <c r="E30073" s="23"/>
      <c r="L30073" s="23"/>
    </row>
    <row r="30074">
      <c r="B30074" s="19"/>
      <c r="E30074" s="23"/>
      <c r="L30074" s="23"/>
    </row>
    <row r="30075">
      <c r="B30075" s="19"/>
      <c r="E30075" s="23"/>
      <c r="L30075" s="23"/>
    </row>
    <row r="30076">
      <c r="B30076" s="19"/>
      <c r="E30076" s="23"/>
      <c r="L30076" s="23"/>
    </row>
    <row r="30077">
      <c r="B30077" s="19"/>
      <c r="E30077" s="23"/>
      <c r="L30077" s="23"/>
    </row>
    <row r="30078">
      <c r="B30078" s="19"/>
      <c r="E30078" s="23"/>
      <c r="L30078" s="23"/>
    </row>
    <row r="30079">
      <c r="B30079" s="19"/>
      <c r="E30079" s="23"/>
      <c r="L30079" s="23"/>
    </row>
    <row r="30080">
      <c r="B30080" s="19"/>
      <c r="E30080" s="23"/>
      <c r="L30080" s="23"/>
    </row>
    <row r="30081">
      <c r="B30081" s="19"/>
      <c r="E30081" s="23"/>
      <c r="L30081" s="23"/>
    </row>
    <row r="30082">
      <c r="B30082" s="19"/>
      <c r="E30082" s="23"/>
      <c r="L30082" s="23"/>
    </row>
    <row r="30083">
      <c r="B30083" s="19"/>
      <c r="E30083" s="23"/>
      <c r="L30083" s="23"/>
    </row>
    <row r="30084">
      <c r="B30084" s="19"/>
      <c r="E30084" s="23"/>
      <c r="L30084" s="23"/>
    </row>
    <row r="30085">
      <c r="B30085" s="19"/>
      <c r="E30085" s="23"/>
      <c r="L30085" s="23"/>
    </row>
    <row r="30086">
      <c r="B30086" s="19"/>
      <c r="E30086" s="23"/>
      <c r="L30086" s="23"/>
    </row>
    <row r="30087">
      <c r="B30087" s="19"/>
      <c r="E30087" s="23"/>
      <c r="L30087" s="23"/>
    </row>
    <row r="30088">
      <c r="B30088" s="19"/>
      <c r="E30088" s="23"/>
      <c r="L30088" s="23"/>
    </row>
    <row r="30089">
      <c r="B30089" s="19"/>
      <c r="E30089" s="23"/>
      <c r="L30089" s="23"/>
    </row>
    <row r="30090">
      <c r="B30090" s="19"/>
      <c r="E30090" s="23"/>
      <c r="L30090" s="23"/>
    </row>
    <row r="30091">
      <c r="B30091" s="19"/>
      <c r="E30091" s="23"/>
      <c r="L30091" s="23"/>
    </row>
    <row r="30092">
      <c r="B30092" s="19"/>
      <c r="E30092" s="23"/>
      <c r="L30092" s="23"/>
    </row>
    <row r="30093">
      <c r="B30093" s="19"/>
      <c r="E30093" s="23"/>
      <c r="L30093" s="23"/>
    </row>
    <row r="30094">
      <c r="B30094" s="19"/>
      <c r="E30094" s="23"/>
      <c r="L30094" s="23"/>
    </row>
    <row r="30095">
      <c r="B30095" s="19"/>
      <c r="E30095" s="23"/>
      <c r="L30095" s="23"/>
    </row>
    <row r="30096">
      <c r="B30096" s="19"/>
      <c r="E30096" s="23"/>
      <c r="L30096" s="23"/>
    </row>
    <row r="30097">
      <c r="B30097" s="19"/>
      <c r="E30097" s="23"/>
      <c r="L30097" s="23"/>
    </row>
    <row r="30098">
      <c r="B30098" s="19"/>
      <c r="E30098" s="23"/>
      <c r="L30098" s="23"/>
    </row>
    <row r="30099">
      <c r="B30099" s="19"/>
      <c r="E30099" s="23"/>
      <c r="L30099" s="23"/>
    </row>
    <row r="30100">
      <c r="B30100" s="19"/>
      <c r="E30100" s="23"/>
      <c r="L30100" s="23"/>
    </row>
    <row r="30101">
      <c r="B30101" s="19"/>
      <c r="E30101" s="23"/>
      <c r="L30101" s="23"/>
    </row>
    <row r="30102">
      <c r="B30102" s="19"/>
      <c r="E30102" s="23"/>
      <c r="L30102" s="23"/>
    </row>
    <row r="30103">
      <c r="B30103" s="19"/>
      <c r="E30103" s="23"/>
      <c r="L30103" s="23"/>
    </row>
    <row r="30104">
      <c r="B30104" s="19"/>
      <c r="E30104" s="23"/>
      <c r="L30104" s="23"/>
    </row>
    <row r="30105">
      <c r="B30105" s="19"/>
      <c r="E30105" s="23"/>
      <c r="L30105" s="23"/>
    </row>
    <row r="30106">
      <c r="B30106" s="19"/>
      <c r="E30106" s="23"/>
      <c r="L30106" s="23"/>
    </row>
    <row r="30107">
      <c r="B30107" s="19"/>
      <c r="E30107" s="23"/>
      <c r="L30107" s="23"/>
    </row>
    <row r="30108">
      <c r="B30108" s="19"/>
      <c r="E30108" s="23"/>
      <c r="L30108" s="23"/>
    </row>
    <row r="30109">
      <c r="B30109" s="19"/>
      <c r="E30109" s="23"/>
      <c r="L30109" s="23"/>
    </row>
    <row r="30110">
      <c r="B30110" s="19"/>
      <c r="E30110" s="23"/>
      <c r="L30110" s="23"/>
    </row>
    <row r="30111">
      <c r="B30111" s="19"/>
      <c r="E30111" s="23"/>
      <c r="L30111" s="23"/>
    </row>
    <row r="30112">
      <c r="B30112" s="19"/>
      <c r="E30112" s="23"/>
      <c r="L30112" s="23"/>
    </row>
    <row r="30113">
      <c r="B30113" s="19"/>
      <c r="E30113" s="23"/>
      <c r="L30113" s="23"/>
    </row>
    <row r="30114">
      <c r="B30114" s="19"/>
      <c r="E30114" s="23"/>
      <c r="L30114" s="23"/>
    </row>
    <row r="30115">
      <c r="B30115" s="19"/>
      <c r="E30115" s="23"/>
      <c r="L30115" s="23"/>
    </row>
    <row r="30116">
      <c r="B30116" s="19"/>
      <c r="E30116" s="23"/>
      <c r="L30116" s="23"/>
    </row>
    <row r="30117">
      <c r="B30117" s="19"/>
      <c r="E30117" s="23"/>
      <c r="L30117" s="23"/>
    </row>
    <row r="30118">
      <c r="B30118" s="19"/>
      <c r="E30118" s="23"/>
      <c r="L30118" s="23"/>
    </row>
    <row r="30119">
      <c r="B30119" s="19"/>
      <c r="E30119" s="23"/>
      <c r="L30119" s="23"/>
    </row>
    <row r="30120">
      <c r="B30120" s="19"/>
      <c r="E30120" s="23"/>
      <c r="L30120" s="23"/>
    </row>
    <row r="30121">
      <c r="B30121" s="19"/>
      <c r="E30121" s="23"/>
      <c r="L30121" s="23"/>
    </row>
    <row r="30122">
      <c r="B30122" s="19"/>
      <c r="E30122" s="23"/>
      <c r="L30122" s="23"/>
    </row>
    <row r="30123">
      <c r="B30123" s="19"/>
      <c r="E30123" s="23"/>
      <c r="L30123" s="23"/>
    </row>
    <row r="30124">
      <c r="B30124" s="19"/>
      <c r="E30124" s="23"/>
      <c r="L30124" s="23"/>
    </row>
    <row r="30125">
      <c r="B30125" s="19"/>
      <c r="E30125" s="23"/>
      <c r="L30125" s="23"/>
    </row>
    <row r="30126">
      <c r="B30126" s="19"/>
      <c r="E30126" s="23"/>
      <c r="L30126" s="23"/>
    </row>
    <row r="30127">
      <c r="B30127" s="19"/>
      <c r="E30127" s="23"/>
      <c r="L30127" s="23"/>
    </row>
    <row r="30128">
      <c r="B30128" s="19"/>
      <c r="E30128" s="23"/>
      <c r="L30128" s="23"/>
    </row>
    <row r="30129">
      <c r="B30129" s="19"/>
      <c r="E30129" s="23"/>
      <c r="L30129" s="23"/>
    </row>
    <row r="30130">
      <c r="B30130" s="19"/>
      <c r="E30130" s="23"/>
      <c r="L30130" s="23"/>
    </row>
    <row r="30131">
      <c r="B30131" s="19"/>
      <c r="E30131" s="23"/>
      <c r="L30131" s="23"/>
    </row>
    <row r="30132">
      <c r="B30132" s="19"/>
      <c r="E30132" s="23"/>
      <c r="L30132" s="23"/>
    </row>
    <row r="30133">
      <c r="B30133" s="19"/>
      <c r="E30133" s="23"/>
      <c r="L30133" s="23"/>
    </row>
    <row r="30134">
      <c r="B30134" s="19"/>
      <c r="E30134" s="23"/>
      <c r="L30134" s="23"/>
    </row>
    <row r="30135">
      <c r="B30135" s="19"/>
      <c r="E30135" s="23"/>
      <c r="L30135" s="23"/>
    </row>
    <row r="30136">
      <c r="B30136" s="19"/>
      <c r="E30136" s="23"/>
      <c r="L30136" s="23"/>
    </row>
    <row r="30137">
      <c r="B30137" s="19"/>
      <c r="E30137" s="23"/>
      <c r="L30137" s="23"/>
    </row>
    <row r="30138">
      <c r="B30138" s="19"/>
      <c r="E30138" s="23"/>
      <c r="L30138" s="23"/>
    </row>
    <row r="30139">
      <c r="B30139" s="19"/>
      <c r="E30139" s="23"/>
      <c r="L30139" s="23"/>
    </row>
    <row r="30140">
      <c r="B30140" s="19"/>
      <c r="E30140" s="23"/>
      <c r="L30140" s="23"/>
    </row>
    <row r="30141">
      <c r="B30141" s="19"/>
      <c r="E30141" s="23"/>
      <c r="L30141" s="23"/>
    </row>
    <row r="30142">
      <c r="B30142" s="19"/>
      <c r="E30142" s="23"/>
      <c r="L30142" s="23"/>
    </row>
    <row r="30143">
      <c r="B30143" s="19"/>
      <c r="E30143" s="23"/>
      <c r="L30143" s="23"/>
    </row>
    <row r="30144">
      <c r="B30144" s="19"/>
      <c r="E30144" s="23"/>
      <c r="L30144" s="23"/>
    </row>
    <row r="30145">
      <c r="B30145" s="19"/>
      <c r="E30145" s="23"/>
      <c r="L30145" s="23"/>
    </row>
    <row r="30146">
      <c r="B30146" s="19"/>
      <c r="E30146" s="23"/>
      <c r="L30146" s="23"/>
    </row>
    <row r="30147">
      <c r="B30147" s="19"/>
      <c r="E30147" s="23"/>
      <c r="L30147" s="23"/>
    </row>
    <row r="30148">
      <c r="B30148" s="19"/>
      <c r="E30148" s="23"/>
      <c r="L30148" s="23"/>
    </row>
    <row r="30149">
      <c r="B30149" s="19"/>
      <c r="E30149" s="23"/>
      <c r="L30149" s="23"/>
    </row>
    <row r="30150">
      <c r="B30150" s="19"/>
      <c r="E30150" s="23"/>
      <c r="L30150" s="23"/>
    </row>
    <row r="30151">
      <c r="B30151" s="19"/>
      <c r="E30151" s="23"/>
      <c r="L30151" s="23"/>
    </row>
    <row r="30152">
      <c r="B30152" s="19"/>
      <c r="E30152" s="23"/>
      <c r="L30152" s="23"/>
    </row>
    <row r="30153">
      <c r="B30153" s="19"/>
      <c r="E30153" s="23"/>
      <c r="L30153" s="23"/>
    </row>
    <row r="30154">
      <c r="B30154" s="19"/>
      <c r="E30154" s="23"/>
      <c r="L30154" s="23"/>
    </row>
    <row r="30155">
      <c r="B30155" s="19"/>
      <c r="E30155" s="23"/>
      <c r="L30155" s="23"/>
    </row>
    <row r="30156">
      <c r="B30156" s="19"/>
      <c r="E30156" s="23"/>
      <c r="L30156" s="23"/>
    </row>
    <row r="30157">
      <c r="B30157" s="19"/>
      <c r="E30157" s="23"/>
      <c r="L30157" s="23"/>
    </row>
    <row r="30158">
      <c r="B30158" s="19"/>
      <c r="E30158" s="23"/>
      <c r="L30158" s="23"/>
    </row>
    <row r="30159">
      <c r="B30159" s="19"/>
      <c r="E30159" s="23"/>
      <c r="L30159" s="23"/>
    </row>
    <row r="30160">
      <c r="B30160" s="19"/>
      <c r="E30160" s="23"/>
      <c r="L30160" s="23"/>
    </row>
    <row r="30161">
      <c r="B30161" s="19"/>
      <c r="E30161" s="23"/>
      <c r="L30161" s="23"/>
    </row>
    <row r="30162">
      <c r="B30162" s="19"/>
      <c r="E30162" s="23"/>
      <c r="L30162" s="23"/>
    </row>
    <row r="30163">
      <c r="B30163" s="19"/>
      <c r="E30163" s="23"/>
      <c r="L30163" s="23"/>
    </row>
    <row r="30164">
      <c r="B30164" s="19"/>
      <c r="E30164" s="23"/>
      <c r="L30164" s="23"/>
    </row>
    <row r="30165">
      <c r="B30165" s="19"/>
      <c r="E30165" s="23"/>
      <c r="L30165" s="23"/>
    </row>
    <row r="30166">
      <c r="B30166" s="19"/>
      <c r="E30166" s="23"/>
      <c r="L30166" s="23"/>
    </row>
    <row r="30167">
      <c r="B30167" s="19"/>
      <c r="E30167" s="23"/>
      <c r="L30167" s="23"/>
    </row>
    <row r="30168">
      <c r="B30168" s="19"/>
      <c r="E30168" s="23"/>
      <c r="L30168" s="23"/>
    </row>
    <row r="30169">
      <c r="B30169" s="19"/>
      <c r="E30169" s="23"/>
      <c r="L30169" s="23"/>
    </row>
    <row r="30170">
      <c r="B30170" s="19"/>
      <c r="E30170" s="23"/>
      <c r="L30170" s="23"/>
    </row>
    <row r="30171">
      <c r="B30171" s="19"/>
      <c r="E30171" s="23"/>
      <c r="L30171" s="23"/>
    </row>
    <row r="30172">
      <c r="B30172" s="19"/>
      <c r="E30172" s="23"/>
      <c r="L30172" s="23"/>
    </row>
    <row r="30173">
      <c r="B30173" s="19"/>
      <c r="E30173" s="23"/>
      <c r="L30173" s="23"/>
    </row>
    <row r="30174">
      <c r="B30174" s="19"/>
      <c r="E30174" s="23"/>
      <c r="L30174" s="23"/>
    </row>
    <row r="30175">
      <c r="B30175" s="19"/>
      <c r="E30175" s="23"/>
      <c r="L30175" s="23"/>
    </row>
    <row r="30176">
      <c r="B30176" s="19"/>
      <c r="E30176" s="23"/>
      <c r="L30176" s="23"/>
    </row>
    <row r="30177">
      <c r="B30177" s="19"/>
      <c r="E30177" s="23"/>
      <c r="L30177" s="23"/>
    </row>
    <row r="30178">
      <c r="B30178" s="19"/>
      <c r="E30178" s="23"/>
      <c r="L30178" s="23"/>
    </row>
    <row r="30179">
      <c r="B30179" s="19"/>
      <c r="E30179" s="23"/>
      <c r="L30179" s="23"/>
    </row>
    <row r="30180">
      <c r="B30180" s="19"/>
      <c r="E30180" s="23"/>
      <c r="L30180" s="23"/>
    </row>
    <row r="30181">
      <c r="B30181" s="19"/>
      <c r="E30181" s="23"/>
      <c r="L30181" s="23"/>
    </row>
    <row r="30182">
      <c r="B30182" s="19"/>
      <c r="E30182" s="23"/>
      <c r="L30182" s="23"/>
    </row>
    <row r="30183">
      <c r="B30183" s="19"/>
      <c r="E30183" s="23"/>
      <c r="L30183" s="23"/>
    </row>
    <row r="30184">
      <c r="B30184" s="19"/>
      <c r="E30184" s="23"/>
      <c r="L30184" s="23"/>
    </row>
    <row r="30185">
      <c r="B30185" s="19"/>
      <c r="E30185" s="23"/>
      <c r="L30185" s="23"/>
    </row>
    <row r="30186">
      <c r="B30186" s="19"/>
      <c r="E30186" s="23"/>
      <c r="L30186" s="23"/>
    </row>
    <row r="30187">
      <c r="B30187" s="19"/>
      <c r="E30187" s="23"/>
      <c r="L30187" s="23"/>
    </row>
    <row r="30188">
      <c r="B30188" s="19"/>
      <c r="E30188" s="23"/>
      <c r="L30188" s="23"/>
    </row>
    <row r="30189">
      <c r="B30189" s="19"/>
      <c r="E30189" s="23"/>
      <c r="L30189" s="23"/>
    </row>
    <row r="30190">
      <c r="B30190" s="19"/>
      <c r="E30190" s="23"/>
      <c r="L30190" s="23"/>
    </row>
    <row r="30191">
      <c r="B30191" s="19"/>
      <c r="E30191" s="23"/>
      <c r="L30191" s="23"/>
    </row>
    <row r="30192">
      <c r="B30192" s="19"/>
      <c r="E30192" s="23"/>
      <c r="L30192" s="23"/>
    </row>
    <row r="30193">
      <c r="B30193" s="19"/>
      <c r="E30193" s="23"/>
      <c r="L30193" s="23"/>
    </row>
    <row r="30194">
      <c r="B30194" s="19"/>
      <c r="E30194" s="23"/>
      <c r="L30194" s="23"/>
    </row>
    <row r="30195">
      <c r="B30195" s="19"/>
      <c r="E30195" s="23"/>
      <c r="L30195" s="23"/>
    </row>
    <row r="30196">
      <c r="B30196" s="19"/>
      <c r="E30196" s="23"/>
      <c r="L30196" s="23"/>
    </row>
    <row r="30197">
      <c r="B30197" s="19"/>
      <c r="E30197" s="23"/>
      <c r="L30197" s="23"/>
    </row>
    <row r="30198">
      <c r="B30198" s="19"/>
      <c r="E30198" s="23"/>
      <c r="L30198" s="23"/>
    </row>
    <row r="30199">
      <c r="B30199" s="19"/>
      <c r="E30199" s="23"/>
      <c r="L30199" s="23"/>
    </row>
    <row r="30200">
      <c r="B30200" s="19"/>
      <c r="E30200" s="23"/>
      <c r="L30200" s="23"/>
    </row>
    <row r="30201">
      <c r="B30201" s="19"/>
      <c r="E30201" s="23"/>
      <c r="L30201" s="23"/>
    </row>
    <row r="30202">
      <c r="B30202" s="19"/>
      <c r="E30202" s="23"/>
      <c r="L30202" s="23"/>
    </row>
    <row r="30203">
      <c r="B30203" s="19"/>
      <c r="E30203" s="23"/>
      <c r="L30203" s="23"/>
    </row>
    <row r="30204">
      <c r="B30204" s="19"/>
      <c r="E30204" s="23"/>
      <c r="L30204" s="23"/>
    </row>
    <row r="30205">
      <c r="B30205" s="19"/>
      <c r="E30205" s="23"/>
      <c r="L30205" s="23"/>
    </row>
    <row r="30206">
      <c r="B30206" s="19"/>
      <c r="E30206" s="23"/>
      <c r="L30206" s="23"/>
    </row>
    <row r="30207">
      <c r="B30207" s="19"/>
      <c r="E30207" s="23"/>
      <c r="L30207" s="23"/>
    </row>
    <row r="30208">
      <c r="B30208" s="19"/>
      <c r="E30208" s="23"/>
      <c r="L30208" s="23"/>
    </row>
    <row r="30209">
      <c r="B30209" s="19"/>
      <c r="E30209" s="23"/>
      <c r="L30209" s="23"/>
    </row>
    <row r="30210">
      <c r="B30210" s="19"/>
      <c r="E30210" s="23"/>
      <c r="L30210" s="23"/>
    </row>
    <row r="30211">
      <c r="B30211" s="19"/>
      <c r="E30211" s="23"/>
      <c r="L30211" s="23"/>
    </row>
    <row r="30212">
      <c r="B30212" s="19"/>
      <c r="E30212" s="23"/>
      <c r="L30212" s="23"/>
    </row>
    <row r="30213">
      <c r="B30213" s="19"/>
      <c r="E30213" s="23"/>
      <c r="L30213" s="23"/>
    </row>
    <row r="30214">
      <c r="B30214" s="19"/>
      <c r="E30214" s="23"/>
      <c r="L30214" s="23"/>
    </row>
    <row r="30215">
      <c r="B30215" s="19"/>
      <c r="E30215" s="23"/>
      <c r="L30215" s="23"/>
    </row>
    <row r="30216">
      <c r="B30216" s="19"/>
      <c r="E30216" s="23"/>
      <c r="L30216" s="23"/>
    </row>
    <row r="30217">
      <c r="B30217" s="19"/>
      <c r="E30217" s="23"/>
      <c r="L30217" s="23"/>
    </row>
    <row r="30218">
      <c r="B30218" s="19"/>
      <c r="E30218" s="23"/>
      <c r="L30218" s="23"/>
    </row>
    <row r="30219">
      <c r="B30219" s="19"/>
      <c r="E30219" s="23"/>
      <c r="L30219" s="23"/>
    </row>
    <row r="30220">
      <c r="B30220" s="19"/>
      <c r="E30220" s="23"/>
      <c r="L30220" s="23"/>
    </row>
    <row r="30221">
      <c r="B30221" s="19"/>
      <c r="E30221" s="23"/>
      <c r="L30221" s="23"/>
    </row>
    <row r="30222">
      <c r="B30222" s="19"/>
      <c r="E30222" s="23"/>
      <c r="L30222" s="23"/>
    </row>
    <row r="30223">
      <c r="B30223" s="19"/>
      <c r="E30223" s="23"/>
      <c r="L30223" s="23"/>
    </row>
    <row r="30224">
      <c r="B30224" s="19"/>
      <c r="E30224" s="23"/>
      <c r="L30224" s="23"/>
    </row>
    <row r="30225">
      <c r="B30225" s="19"/>
      <c r="E30225" s="23"/>
      <c r="L30225" s="23"/>
    </row>
    <row r="30226">
      <c r="B30226" s="19"/>
      <c r="E30226" s="23"/>
      <c r="L30226" s="23"/>
    </row>
    <row r="30227">
      <c r="B30227" s="19"/>
      <c r="E30227" s="23"/>
      <c r="L30227" s="23"/>
    </row>
    <row r="30228">
      <c r="B30228" s="19"/>
      <c r="E30228" s="23"/>
      <c r="L30228" s="23"/>
    </row>
    <row r="30229">
      <c r="B30229" s="19"/>
      <c r="E30229" s="23"/>
      <c r="L30229" s="23"/>
    </row>
    <row r="30230">
      <c r="B30230" s="19"/>
      <c r="E30230" s="23"/>
      <c r="L30230" s="23"/>
    </row>
    <row r="30231">
      <c r="B30231" s="19"/>
      <c r="E30231" s="23"/>
      <c r="L30231" s="23"/>
    </row>
    <row r="30232">
      <c r="B30232" s="19"/>
      <c r="E30232" s="23"/>
      <c r="L30232" s="23"/>
    </row>
    <row r="30233">
      <c r="B30233" s="19"/>
      <c r="E30233" s="23"/>
      <c r="L30233" s="23"/>
    </row>
    <row r="30234">
      <c r="B30234" s="19"/>
      <c r="E30234" s="23"/>
      <c r="L30234" s="23"/>
    </row>
    <row r="30235">
      <c r="B30235" s="19"/>
      <c r="E30235" s="23"/>
      <c r="L30235" s="23"/>
    </row>
    <row r="30236">
      <c r="B30236" s="19"/>
      <c r="E30236" s="23"/>
      <c r="L30236" s="23"/>
    </row>
    <row r="30237">
      <c r="B30237" s="19"/>
      <c r="E30237" s="23"/>
      <c r="L30237" s="23"/>
    </row>
    <row r="30238">
      <c r="B30238" s="19"/>
      <c r="E30238" s="23"/>
      <c r="L30238" s="23"/>
    </row>
    <row r="30239">
      <c r="B30239" s="19"/>
      <c r="E30239" s="23"/>
      <c r="L30239" s="23"/>
    </row>
    <row r="30240">
      <c r="B30240" s="19"/>
      <c r="E30240" s="23"/>
      <c r="L30240" s="23"/>
    </row>
    <row r="30241">
      <c r="B30241" s="19"/>
      <c r="E30241" s="23"/>
      <c r="L30241" s="23"/>
    </row>
    <row r="30242">
      <c r="B30242" s="19"/>
      <c r="E30242" s="23"/>
      <c r="L30242" s="23"/>
    </row>
    <row r="30243">
      <c r="B30243" s="19"/>
      <c r="E30243" s="23"/>
      <c r="L30243" s="23"/>
    </row>
    <row r="30244">
      <c r="B30244" s="19"/>
      <c r="E30244" s="23"/>
      <c r="L30244" s="23"/>
    </row>
    <row r="30245">
      <c r="B30245" s="19"/>
      <c r="E30245" s="23"/>
      <c r="L30245" s="23"/>
    </row>
    <row r="30246">
      <c r="B30246" s="19"/>
      <c r="E30246" s="23"/>
      <c r="L30246" s="23"/>
    </row>
    <row r="30247">
      <c r="B30247" s="19"/>
      <c r="E30247" s="23"/>
      <c r="L30247" s="23"/>
    </row>
    <row r="30248">
      <c r="B30248" s="19"/>
      <c r="E30248" s="23"/>
      <c r="L30248" s="23"/>
    </row>
    <row r="30249">
      <c r="B30249" s="19"/>
      <c r="E30249" s="23"/>
      <c r="L30249" s="23"/>
    </row>
    <row r="30250">
      <c r="B30250" s="19"/>
      <c r="E30250" s="23"/>
      <c r="L30250" s="23"/>
    </row>
    <row r="30251">
      <c r="B30251" s="19"/>
      <c r="E30251" s="23"/>
      <c r="L30251" s="23"/>
    </row>
    <row r="30252">
      <c r="B30252" s="19"/>
      <c r="E30252" s="23"/>
      <c r="L30252" s="23"/>
    </row>
    <row r="30253">
      <c r="B30253" s="19"/>
      <c r="E30253" s="23"/>
      <c r="L30253" s="23"/>
    </row>
    <row r="30254">
      <c r="B30254" s="19"/>
      <c r="E30254" s="23"/>
      <c r="L30254" s="23"/>
    </row>
    <row r="30255">
      <c r="B30255" s="19"/>
      <c r="E30255" s="23"/>
      <c r="L30255" s="23"/>
    </row>
    <row r="30256">
      <c r="B30256" s="19"/>
      <c r="E30256" s="23"/>
      <c r="L30256" s="23"/>
    </row>
    <row r="30257">
      <c r="B30257" s="19"/>
      <c r="E30257" s="23"/>
      <c r="L30257" s="23"/>
    </row>
    <row r="30258">
      <c r="B30258" s="19"/>
      <c r="E30258" s="23"/>
      <c r="L30258" s="23"/>
    </row>
    <row r="30259">
      <c r="B30259" s="19"/>
      <c r="E30259" s="23"/>
      <c r="L30259" s="23"/>
    </row>
    <row r="30260">
      <c r="B30260" s="19"/>
      <c r="E30260" s="23"/>
      <c r="L30260" s="23"/>
    </row>
    <row r="30261">
      <c r="B30261" s="19"/>
      <c r="E30261" s="23"/>
      <c r="L30261" s="23"/>
    </row>
    <row r="30262">
      <c r="B30262" s="19"/>
      <c r="E30262" s="23"/>
      <c r="L30262" s="23"/>
    </row>
    <row r="30263">
      <c r="B30263" s="19"/>
      <c r="E30263" s="23"/>
      <c r="L30263" s="23"/>
    </row>
    <row r="30264">
      <c r="B30264" s="19"/>
      <c r="E30264" s="23"/>
      <c r="L30264" s="23"/>
    </row>
    <row r="30265">
      <c r="B30265" s="19"/>
      <c r="E30265" s="23"/>
      <c r="L30265" s="23"/>
    </row>
    <row r="30266">
      <c r="B30266" s="19"/>
      <c r="E30266" s="23"/>
      <c r="L30266" s="23"/>
    </row>
    <row r="30267">
      <c r="B30267" s="19"/>
      <c r="E30267" s="23"/>
      <c r="L30267" s="23"/>
    </row>
    <row r="30268">
      <c r="B30268" s="19"/>
      <c r="E30268" s="23"/>
      <c r="L30268" s="23"/>
    </row>
    <row r="30269">
      <c r="B30269" s="19"/>
      <c r="E30269" s="23"/>
      <c r="L30269" s="23"/>
    </row>
    <row r="30270">
      <c r="B30270" s="19"/>
      <c r="E30270" s="23"/>
      <c r="L30270" s="23"/>
    </row>
    <row r="30271">
      <c r="B30271" s="19"/>
      <c r="E30271" s="23"/>
      <c r="L30271" s="23"/>
    </row>
    <row r="30272">
      <c r="B30272" s="19"/>
      <c r="E30272" s="23"/>
      <c r="L30272" s="23"/>
    </row>
    <row r="30273">
      <c r="B30273" s="19"/>
      <c r="E30273" s="23"/>
      <c r="L30273" s="23"/>
    </row>
    <row r="30274">
      <c r="B30274" s="19"/>
      <c r="E30274" s="23"/>
      <c r="L30274" s="23"/>
    </row>
    <row r="30275">
      <c r="B30275" s="19"/>
      <c r="E30275" s="23"/>
      <c r="L30275" s="23"/>
    </row>
    <row r="30276">
      <c r="B30276" s="19"/>
      <c r="E30276" s="23"/>
      <c r="L30276" s="23"/>
    </row>
    <row r="30277">
      <c r="B30277" s="19"/>
      <c r="E30277" s="23"/>
      <c r="L30277" s="23"/>
    </row>
    <row r="30278">
      <c r="B30278" s="19"/>
      <c r="E30278" s="23"/>
      <c r="L30278" s="23"/>
    </row>
    <row r="30279">
      <c r="B30279" s="19"/>
      <c r="E30279" s="23"/>
      <c r="L30279" s="23"/>
    </row>
    <row r="30280">
      <c r="B30280" s="19"/>
      <c r="E30280" s="23"/>
      <c r="L30280" s="23"/>
    </row>
    <row r="30281">
      <c r="B30281" s="19"/>
      <c r="E30281" s="23"/>
      <c r="L30281" s="23"/>
    </row>
    <row r="30282">
      <c r="B30282" s="19"/>
      <c r="E30282" s="23"/>
      <c r="L30282" s="23"/>
    </row>
    <row r="30283">
      <c r="B30283" s="19"/>
      <c r="E30283" s="23"/>
      <c r="L30283" s="23"/>
    </row>
    <row r="30284">
      <c r="B30284" s="19"/>
      <c r="E30284" s="23"/>
      <c r="L30284" s="23"/>
    </row>
    <row r="30285">
      <c r="B30285" s="19"/>
      <c r="E30285" s="23"/>
      <c r="L30285" s="23"/>
    </row>
    <row r="30286">
      <c r="B30286" s="19"/>
      <c r="E30286" s="23"/>
      <c r="L30286" s="23"/>
    </row>
    <row r="30287">
      <c r="B30287" s="19"/>
      <c r="E30287" s="23"/>
      <c r="L30287" s="23"/>
    </row>
    <row r="30288">
      <c r="B30288" s="19"/>
      <c r="E30288" s="23"/>
      <c r="L30288" s="23"/>
    </row>
    <row r="30289">
      <c r="B30289" s="19"/>
      <c r="E30289" s="23"/>
      <c r="L30289" s="23"/>
    </row>
    <row r="30290">
      <c r="B30290" s="19"/>
      <c r="E30290" s="23"/>
      <c r="L30290" s="23"/>
    </row>
    <row r="30291">
      <c r="B30291" s="19"/>
      <c r="E30291" s="23"/>
      <c r="L30291" s="23"/>
    </row>
    <row r="30292">
      <c r="B30292" s="19"/>
      <c r="E30292" s="23"/>
      <c r="L30292" s="23"/>
    </row>
    <row r="30293">
      <c r="B30293" s="19"/>
      <c r="E30293" s="23"/>
      <c r="L30293" s="23"/>
    </row>
    <row r="30294">
      <c r="B30294" s="19"/>
      <c r="E30294" s="23"/>
      <c r="L30294" s="23"/>
    </row>
    <row r="30295">
      <c r="B30295" s="19"/>
      <c r="E30295" s="23"/>
      <c r="L30295" s="23"/>
    </row>
    <row r="30296">
      <c r="B30296" s="19"/>
      <c r="E30296" s="23"/>
      <c r="L30296" s="23"/>
    </row>
    <row r="30297">
      <c r="B30297" s="19"/>
      <c r="E30297" s="23"/>
      <c r="L30297" s="23"/>
    </row>
    <row r="30298">
      <c r="B30298" s="19"/>
      <c r="E30298" s="23"/>
      <c r="L30298" s="23"/>
    </row>
    <row r="30299">
      <c r="B30299" s="19"/>
      <c r="E30299" s="23"/>
      <c r="L30299" s="23"/>
    </row>
    <row r="30300">
      <c r="B30300" s="19"/>
      <c r="E30300" s="23"/>
      <c r="L30300" s="23"/>
    </row>
    <row r="30301">
      <c r="B30301" s="19"/>
      <c r="E30301" s="23"/>
      <c r="L30301" s="23"/>
    </row>
    <row r="30302">
      <c r="B30302" s="19"/>
      <c r="E30302" s="23"/>
      <c r="L30302" s="23"/>
    </row>
    <row r="30303">
      <c r="B30303" s="19"/>
      <c r="E30303" s="23"/>
      <c r="L30303" s="23"/>
    </row>
    <row r="30304">
      <c r="B30304" s="19"/>
      <c r="E30304" s="23"/>
      <c r="L30304" s="23"/>
    </row>
    <row r="30305">
      <c r="B30305" s="19"/>
      <c r="E30305" s="23"/>
      <c r="L30305" s="23"/>
    </row>
    <row r="30306">
      <c r="B30306" s="19"/>
      <c r="E30306" s="23"/>
      <c r="L30306" s="23"/>
    </row>
    <row r="30307">
      <c r="B30307" s="19"/>
      <c r="E30307" s="23"/>
      <c r="L30307" s="23"/>
    </row>
    <row r="30308">
      <c r="B30308" s="19"/>
      <c r="E30308" s="23"/>
      <c r="L30308" s="23"/>
    </row>
    <row r="30309">
      <c r="B30309" s="19"/>
      <c r="E30309" s="23"/>
      <c r="L30309" s="23"/>
    </row>
    <row r="30310">
      <c r="B30310" s="19"/>
      <c r="E30310" s="23"/>
      <c r="L30310" s="23"/>
    </row>
    <row r="30311">
      <c r="B30311" s="19"/>
      <c r="E30311" s="23"/>
      <c r="L30311" s="23"/>
    </row>
    <row r="30312">
      <c r="B30312" s="19"/>
      <c r="E30312" s="23"/>
      <c r="L30312" s="23"/>
    </row>
    <row r="30313">
      <c r="B30313" s="19"/>
      <c r="E30313" s="23"/>
      <c r="L30313" s="23"/>
    </row>
    <row r="30314">
      <c r="B30314" s="19"/>
      <c r="E30314" s="23"/>
      <c r="L30314" s="23"/>
    </row>
    <row r="30315">
      <c r="B30315" s="19"/>
      <c r="E30315" s="23"/>
      <c r="L30315" s="23"/>
    </row>
    <row r="30316">
      <c r="B30316" s="19"/>
      <c r="E30316" s="23"/>
      <c r="L30316" s="23"/>
    </row>
    <row r="30317">
      <c r="B30317" s="19"/>
      <c r="E30317" s="23"/>
      <c r="L30317" s="23"/>
    </row>
    <row r="30318">
      <c r="B30318" s="19"/>
      <c r="E30318" s="23"/>
      <c r="L30318" s="23"/>
    </row>
    <row r="30319">
      <c r="B30319" s="19"/>
      <c r="E30319" s="23"/>
      <c r="L30319" s="23"/>
    </row>
    <row r="30320">
      <c r="B30320" s="19"/>
      <c r="E30320" s="23"/>
      <c r="L30320" s="23"/>
    </row>
    <row r="30321">
      <c r="B30321" s="19"/>
      <c r="E30321" s="23"/>
      <c r="L30321" s="23"/>
    </row>
    <row r="30322">
      <c r="B30322" s="19"/>
      <c r="E30322" s="23"/>
      <c r="L30322" s="23"/>
    </row>
    <row r="30323">
      <c r="B30323" s="19"/>
      <c r="E30323" s="23"/>
      <c r="L30323" s="23"/>
    </row>
    <row r="30324">
      <c r="B30324" s="19"/>
      <c r="E30324" s="23"/>
      <c r="L30324" s="23"/>
    </row>
    <row r="30325">
      <c r="B30325" s="19"/>
      <c r="E30325" s="23"/>
      <c r="L30325" s="23"/>
    </row>
    <row r="30326">
      <c r="B30326" s="19"/>
      <c r="E30326" s="23"/>
      <c r="L30326" s="23"/>
    </row>
    <row r="30327">
      <c r="B30327" s="19"/>
      <c r="E30327" s="23"/>
      <c r="L30327" s="23"/>
    </row>
    <row r="30328">
      <c r="B30328" s="19"/>
      <c r="E30328" s="23"/>
      <c r="L30328" s="23"/>
    </row>
    <row r="30329">
      <c r="B30329" s="19"/>
      <c r="E30329" s="23"/>
      <c r="L30329" s="23"/>
    </row>
    <row r="30330">
      <c r="B30330" s="19"/>
      <c r="E30330" s="23"/>
      <c r="L30330" s="23"/>
    </row>
    <row r="30331">
      <c r="B30331" s="19"/>
      <c r="E30331" s="23"/>
      <c r="L30331" s="23"/>
    </row>
    <row r="30332">
      <c r="B30332" s="19"/>
      <c r="E30332" s="23"/>
      <c r="L30332" s="23"/>
    </row>
    <row r="30333">
      <c r="B30333" s="19"/>
      <c r="E30333" s="23"/>
      <c r="L30333" s="23"/>
    </row>
    <row r="30334">
      <c r="B30334" s="19"/>
      <c r="E30334" s="23"/>
      <c r="L30334" s="23"/>
    </row>
    <row r="30335">
      <c r="B30335" s="19"/>
      <c r="E30335" s="23"/>
      <c r="L30335" s="23"/>
    </row>
    <row r="30336">
      <c r="B30336" s="19"/>
      <c r="E30336" s="23"/>
      <c r="L30336" s="23"/>
    </row>
    <row r="30337">
      <c r="B30337" s="19"/>
      <c r="E30337" s="23"/>
      <c r="L30337" s="23"/>
    </row>
    <row r="30338">
      <c r="B30338" s="19"/>
      <c r="E30338" s="23"/>
      <c r="L30338" s="23"/>
    </row>
    <row r="30339">
      <c r="B30339" s="19"/>
      <c r="E30339" s="23"/>
      <c r="L30339" s="23"/>
    </row>
    <row r="30340">
      <c r="B30340" s="19"/>
      <c r="E30340" s="23"/>
      <c r="L30340" s="23"/>
    </row>
    <row r="30341">
      <c r="B30341" s="19"/>
      <c r="E30341" s="23"/>
      <c r="L30341" s="23"/>
    </row>
    <row r="30342">
      <c r="B30342" s="19"/>
      <c r="E30342" s="23"/>
      <c r="L30342" s="23"/>
    </row>
    <row r="30343">
      <c r="B30343" s="19"/>
      <c r="E30343" s="23"/>
      <c r="L30343" s="23"/>
    </row>
    <row r="30344">
      <c r="B30344" s="19"/>
      <c r="E30344" s="23"/>
      <c r="L30344" s="23"/>
    </row>
    <row r="30345">
      <c r="B30345" s="19"/>
      <c r="E30345" s="23"/>
      <c r="L30345" s="23"/>
    </row>
    <row r="30346">
      <c r="B30346" s="19"/>
      <c r="E30346" s="23"/>
      <c r="L30346" s="23"/>
    </row>
    <row r="30347">
      <c r="B30347" s="19"/>
      <c r="E30347" s="23"/>
      <c r="L30347" s="23"/>
    </row>
    <row r="30348">
      <c r="B30348" s="19"/>
      <c r="E30348" s="23"/>
      <c r="L30348" s="23"/>
    </row>
    <row r="30349">
      <c r="B30349" s="19"/>
      <c r="E30349" s="23"/>
      <c r="L30349" s="23"/>
    </row>
    <row r="30350">
      <c r="B30350" s="19"/>
      <c r="E30350" s="23"/>
      <c r="L30350" s="23"/>
    </row>
    <row r="30351">
      <c r="B30351" s="19"/>
      <c r="E30351" s="23"/>
      <c r="L30351" s="23"/>
    </row>
    <row r="30352">
      <c r="B30352" s="19"/>
      <c r="E30352" s="23"/>
      <c r="L30352" s="23"/>
    </row>
    <row r="30353">
      <c r="B30353" s="19"/>
      <c r="E30353" s="23"/>
      <c r="L30353" s="23"/>
    </row>
    <row r="30354">
      <c r="B30354" s="19"/>
      <c r="E30354" s="23"/>
      <c r="L30354" s="23"/>
    </row>
    <row r="30355">
      <c r="B30355" s="19"/>
      <c r="E30355" s="23"/>
      <c r="L30355" s="23"/>
    </row>
    <row r="30356">
      <c r="B30356" s="19"/>
      <c r="E30356" s="23"/>
      <c r="L30356" s="23"/>
    </row>
    <row r="30357">
      <c r="B30357" s="19"/>
      <c r="E30357" s="23"/>
      <c r="L30357" s="23"/>
    </row>
    <row r="30358">
      <c r="B30358" s="19"/>
      <c r="E30358" s="23"/>
      <c r="L30358" s="23"/>
    </row>
    <row r="30359">
      <c r="B30359" s="19"/>
      <c r="E30359" s="23"/>
      <c r="L30359" s="23"/>
    </row>
    <row r="30360">
      <c r="B30360" s="19"/>
      <c r="E30360" s="23"/>
      <c r="L30360" s="23"/>
    </row>
    <row r="30361">
      <c r="B30361" s="19"/>
      <c r="E30361" s="23"/>
      <c r="L30361" s="23"/>
    </row>
    <row r="30362">
      <c r="B30362" s="19"/>
      <c r="E30362" s="23"/>
      <c r="L30362" s="23"/>
    </row>
    <row r="30363">
      <c r="B30363" s="19"/>
      <c r="E30363" s="23"/>
      <c r="L30363" s="23"/>
    </row>
    <row r="30364">
      <c r="B30364" s="19"/>
      <c r="E30364" s="23"/>
      <c r="L30364" s="23"/>
    </row>
    <row r="30365">
      <c r="B30365" s="19"/>
      <c r="E30365" s="23"/>
      <c r="L30365" s="23"/>
    </row>
    <row r="30366">
      <c r="B30366" s="19"/>
      <c r="E30366" s="23"/>
      <c r="L30366" s="23"/>
    </row>
    <row r="30367">
      <c r="B30367" s="19"/>
      <c r="E30367" s="23"/>
      <c r="L30367" s="23"/>
    </row>
    <row r="30368">
      <c r="B30368" s="19"/>
      <c r="E30368" s="23"/>
      <c r="L30368" s="23"/>
    </row>
    <row r="30369">
      <c r="B30369" s="19"/>
      <c r="E30369" s="23"/>
      <c r="L30369" s="23"/>
    </row>
    <row r="30370">
      <c r="B30370" s="19"/>
      <c r="E30370" s="23"/>
      <c r="L30370" s="23"/>
    </row>
    <row r="30371">
      <c r="B30371" s="19"/>
      <c r="E30371" s="23"/>
      <c r="L30371" s="23"/>
    </row>
    <row r="30372">
      <c r="B30372" s="19"/>
      <c r="E30372" s="23"/>
      <c r="L30372" s="23"/>
    </row>
    <row r="30373">
      <c r="B30373" s="19"/>
      <c r="E30373" s="23"/>
      <c r="L30373" s="23"/>
    </row>
    <row r="30374">
      <c r="B30374" s="19"/>
      <c r="E30374" s="23"/>
      <c r="L30374" s="23"/>
    </row>
    <row r="30375">
      <c r="B30375" s="19"/>
      <c r="E30375" s="23"/>
      <c r="L30375" s="23"/>
    </row>
    <row r="30376">
      <c r="B30376" s="19"/>
      <c r="E30376" s="23"/>
      <c r="L30376" s="23"/>
    </row>
    <row r="30377">
      <c r="B30377" s="19"/>
      <c r="E30377" s="23"/>
      <c r="L30377" s="23"/>
    </row>
    <row r="30378">
      <c r="B30378" s="19"/>
      <c r="E30378" s="23"/>
      <c r="L30378" s="23"/>
    </row>
    <row r="30379">
      <c r="B30379" s="19"/>
      <c r="E30379" s="23"/>
      <c r="L30379" s="23"/>
    </row>
    <row r="30380">
      <c r="B30380" s="19"/>
      <c r="E30380" s="23"/>
      <c r="L30380" s="23"/>
    </row>
    <row r="30381">
      <c r="B30381" s="19"/>
      <c r="E30381" s="23"/>
      <c r="L30381" s="23"/>
    </row>
    <row r="30382">
      <c r="B30382" s="19"/>
      <c r="E30382" s="23"/>
      <c r="L30382" s="23"/>
    </row>
    <row r="30383">
      <c r="B30383" s="19"/>
      <c r="E30383" s="23"/>
      <c r="L30383" s="23"/>
    </row>
    <row r="30384">
      <c r="B30384" s="19"/>
      <c r="E30384" s="23"/>
      <c r="L30384" s="23"/>
    </row>
    <row r="30385">
      <c r="B30385" s="19"/>
      <c r="E30385" s="23"/>
      <c r="L30385" s="23"/>
    </row>
    <row r="30386">
      <c r="B30386" s="19"/>
      <c r="E30386" s="23"/>
      <c r="L30386" s="23"/>
    </row>
    <row r="30387">
      <c r="B30387" s="19"/>
      <c r="E30387" s="23"/>
      <c r="L30387" s="23"/>
    </row>
    <row r="30388">
      <c r="B30388" s="19"/>
      <c r="E30388" s="23"/>
      <c r="L30388" s="23"/>
    </row>
    <row r="30389">
      <c r="B30389" s="19"/>
      <c r="E30389" s="23"/>
      <c r="L30389" s="23"/>
    </row>
    <row r="30390">
      <c r="B30390" s="19"/>
      <c r="E30390" s="23"/>
      <c r="L30390" s="23"/>
    </row>
    <row r="30391">
      <c r="B30391" s="19"/>
      <c r="E30391" s="23"/>
      <c r="L30391" s="23"/>
    </row>
    <row r="30392">
      <c r="B30392" s="19"/>
      <c r="E30392" s="23"/>
      <c r="L30392" s="23"/>
    </row>
    <row r="30393">
      <c r="B30393" s="19"/>
      <c r="E30393" s="23"/>
      <c r="L30393" s="23"/>
    </row>
    <row r="30394">
      <c r="B30394" s="19"/>
      <c r="E30394" s="23"/>
      <c r="L30394" s="23"/>
    </row>
    <row r="30395">
      <c r="B30395" s="19"/>
      <c r="E30395" s="23"/>
      <c r="L30395" s="23"/>
    </row>
    <row r="30396">
      <c r="B30396" s="19"/>
      <c r="E30396" s="23"/>
      <c r="L30396" s="23"/>
    </row>
    <row r="30397">
      <c r="B30397" s="19"/>
      <c r="E30397" s="23"/>
      <c r="L30397" s="23"/>
    </row>
    <row r="30398">
      <c r="B30398" s="19"/>
      <c r="E30398" s="23"/>
      <c r="L30398" s="23"/>
    </row>
    <row r="30399">
      <c r="B30399" s="19"/>
      <c r="E30399" s="23"/>
      <c r="L30399" s="23"/>
    </row>
    <row r="30400">
      <c r="B30400" s="19"/>
      <c r="E30400" s="23"/>
      <c r="L30400" s="23"/>
    </row>
    <row r="30401">
      <c r="B30401" s="19"/>
      <c r="E30401" s="23"/>
      <c r="L30401" s="23"/>
    </row>
    <row r="30402">
      <c r="B30402" s="19"/>
      <c r="E30402" s="23"/>
      <c r="L30402" s="23"/>
    </row>
    <row r="30403">
      <c r="B30403" s="19"/>
      <c r="E30403" s="23"/>
      <c r="L30403" s="23"/>
    </row>
    <row r="30404">
      <c r="B30404" s="19"/>
      <c r="E30404" s="23"/>
      <c r="L30404" s="23"/>
    </row>
    <row r="30405">
      <c r="B30405" s="19"/>
      <c r="E30405" s="23"/>
      <c r="L30405" s="23"/>
    </row>
    <row r="30406">
      <c r="B30406" s="19"/>
      <c r="E30406" s="23"/>
      <c r="L30406" s="23"/>
    </row>
    <row r="30407">
      <c r="B30407" s="19"/>
      <c r="E30407" s="23"/>
      <c r="L30407" s="23"/>
    </row>
    <row r="30408">
      <c r="B30408" s="19"/>
      <c r="E30408" s="23"/>
      <c r="L30408" s="23"/>
    </row>
    <row r="30409">
      <c r="B30409" s="19"/>
      <c r="E30409" s="23"/>
      <c r="L30409" s="23"/>
    </row>
    <row r="30410">
      <c r="B30410" s="19"/>
      <c r="E30410" s="23"/>
      <c r="L30410" s="23"/>
    </row>
    <row r="30411">
      <c r="B30411" s="19"/>
      <c r="E30411" s="23"/>
      <c r="L30411" s="23"/>
    </row>
    <row r="30412">
      <c r="B30412" s="19"/>
      <c r="E30412" s="23"/>
      <c r="L30412" s="23"/>
    </row>
    <row r="30413">
      <c r="B30413" s="19"/>
      <c r="E30413" s="23"/>
      <c r="L30413" s="23"/>
    </row>
    <row r="30414">
      <c r="B30414" s="19"/>
      <c r="E30414" s="23"/>
      <c r="L30414" s="23"/>
    </row>
    <row r="30415">
      <c r="B30415" s="19"/>
      <c r="E30415" s="23"/>
      <c r="L30415" s="23"/>
    </row>
    <row r="30416">
      <c r="B30416" s="19"/>
      <c r="E30416" s="23"/>
      <c r="L30416" s="23"/>
    </row>
    <row r="30417">
      <c r="B30417" s="19"/>
      <c r="E30417" s="23"/>
      <c r="L30417" s="23"/>
    </row>
    <row r="30418">
      <c r="B30418" s="19"/>
      <c r="E30418" s="23"/>
      <c r="L30418" s="23"/>
    </row>
    <row r="30419">
      <c r="B30419" s="19"/>
      <c r="E30419" s="23"/>
      <c r="L30419" s="23"/>
    </row>
    <row r="30420">
      <c r="B30420" s="19"/>
      <c r="E30420" s="23"/>
      <c r="L30420" s="23"/>
    </row>
    <row r="30421">
      <c r="B30421" s="19"/>
      <c r="E30421" s="23"/>
      <c r="L30421" s="23"/>
    </row>
    <row r="30422">
      <c r="B30422" s="19"/>
      <c r="E30422" s="23"/>
      <c r="L30422" s="23"/>
    </row>
    <row r="30423">
      <c r="B30423" s="19"/>
      <c r="E30423" s="23"/>
      <c r="L30423" s="23"/>
    </row>
    <row r="30424">
      <c r="B30424" s="19"/>
      <c r="E30424" s="23"/>
      <c r="L30424" s="23"/>
    </row>
    <row r="30425">
      <c r="B30425" s="19"/>
      <c r="E30425" s="23"/>
      <c r="L30425" s="23"/>
    </row>
    <row r="30426">
      <c r="B30426" s="19"/>
      <c r="E30426" s="23"/>
      <c r="L30426" s="23"/>
    </row>
    <row r="30427">
      <c r="B30427" s="19"/>
      <c r="E30427" s="23"/>
      <c r="L30427" s="23"/>
    </row>
    <row r="30428">
      <c r="B30428" s="19"/>
      <c r="E30428" s="23"/>
      <c r="L30428" s="23"/>
    </row>
    <row r="30429">
      <c r="B30429" s="19"/>
      <c r="E30429" s="23"/>
      <c r="L30429" s="23"/>
    </row>
    <row r="30430">
      <c r="B30430" s="19"/>
      <c r="E30430" s="23"/>
      <c r="L30430" s="23"/>
    </row>
    <row r="30431">
      <c r="B30431" s="19"/>
      <c r="E30431" s="23"/>
      <c r="L30431" s="23"/>
    </row>
    <row r="30432">
      <c r="B30432" s="19"/>
      <c r="E30432" s="23"/>
      <c r="L30432" s="23"/>
    </row>
    <row r="30433">
      <c r="B30433" s="19"/>
      <c r="E30433" s="23"/>
      <c r="L30433" s="23"/>
    </row>
    <row r="30434">
      <c r="B30434" s="19"/>
      <c r="E30434" s="23"/>
      <c r="L30434" s="23"/>
    </row>
    <row r="30435">
      <c r="B30435" s="19"/>
      <c r="E30435" s="23"/>
      <c r="L30435" s="23"/>
    </row>
    <row r="30436">
      <c r="B30436" s="19"/>
      <c r="E30436" s="23"/>
      <c r="L30436" s="23"/>
    </row>
    <row r="30437">
      <c r="B30437" s="19"/>
      <c r="E30437" s="23"/>
      <c r="L30437" s="23"/>
    </row>
    <row r="30438">
      <c r="B30438" s="19"/>
      <c r="E30438" s="23"/>
      <c r="L30438" s="23"/>
    </row>
    <row r="30439">
      <c r="B30439" s="19"/>
      <c r="E30439" s="23"/>
      <c r="L30439" s="23"/>
    </row>
    <row r="30440">
      <c r="B30440" s="19"/>
      <c r="E30440" s="23"/>
      <c r="L30440" s="23"/>
    </row>
    <row r="30441">
      <c r="B30441" s="19"/>
      <c r="E30441" s="23"/>
      <c r="L30441" s="23"/>
    </row>
    <row r="30442">
      <c r="B30442" s="19"/>
      <c r="E30442" s="23"/>
      <c r="L30442" s="23"/>
    </row>
    <row r="30443">
      <c r="B30443" s="19"/>
      <c r="E30443" s="23"/>
      <c r="L30443" s="23"/>
    </row>
    <row r="30444">
      <c r="B30444" s="19"/>
      <c r="E30444" s="23"/>
      <c r="L30444" s="23"/>
    </row>
    <row r="30445">
      <c r="B30445" s="19"/>
      <c r="E30445" s="23"/>
      <c r="L30445" s="23"/>
    </row>
    <row r="30446">
      <c r="B30446" s="19"/>
      <c r="E30446" s="23"/>
      <c r="L30446" s="23"/>
    </row>
    <row r="30447">
      <c r="B30447" s="19"/>
      <c r="E30447" s="23"/>
      <c r="L30447" s="23"/>
    </row>
    <row r="30448">
      <c r="B30448" s="19"/>
      <c r="E30448" s="23"/>
      <c r="L30448" s="23"/>
    </row>
    <row r="30449">
      <c r="B30449" s="19"/>
      <c r="E30449" s="23"/>
      <c r="L30449" s="23"/>
    </row>
    <row r="30450">
      <c r="B30450" s="19"/>
      <c r="E30450" s="23"/>
      <c r="L30450" s="23"/>
    </row>
    <row r="30451">
      <c r="B30451" s="19"/>
      <c r="E30451" s="23"/>
      <c r="L30451" s="23"/>
    </row>
    <row r="30452">
      <c r="B30452" s="19"/>
      <c r="E30452" s="23"/>
      <c r="L30452" s="23"/>
    </row>
    <row r="30453">
      <c r="B30453" s="19"/>
      <c r="E30453" s="23"/>
      <c r="L30453" s="23"/>
    </row>
    <row r="30454">
      <c r="B30454" s="19"/>
      <c r="E30454" s="23"/>
      <c r="L30454" s="23"/>
    </row>
    <row r="30455">
      <c r="B30455" s="19"/>
      <c r="E30455" s="23"/>
      <c r="L30455" s="23"/>
    </row>
    <row r="30456">
      <c r="B30456" s="19"/>
      <c r="E30456" s="23"/>
      <c r="L30456" s="23"/>
    </row>
    <row r="30457">
      <c r="B30457" s="19"/>
      <c r="E30457" s="23"/>
      <c r="L30457" s="23"/>
    </row>
    <row r="30458">
      <c r="B30458" s="19"/>
      <c r="E30458" s="23"/>
      <c r="L30458" s="23"/>
    </row>
    <row r="30459">
      <c r="B30459" s="19"/>
      <c r="E30459" s="23"/>
      <c r="L30459" s="23"/>
    </row>
    <row r="30460">
      <c r="B30460" s="19"/>
      <c r="E30460" s="23"/>
      <c r="L30460" s="23"/>
    </row>
    <row r="30461">
      <c r="B30461" s="19"/>
      <c r="E30461" s="23"/>
      <c r="L30461" s="23"/>
    </row>
    <row r="30462">
      <c r="B30462" s="19"/>
      <c r="E30462" s="23"/>
      <c r="L30462" s="23"/>
    </row>
    <row r="30463">
      <c r="B30463" s="19"/>
      <c r="E30463" s="23"/>
      <c r="L30463" s="23"/>
    </row>
    <row r="30464">
      <c r="B30464" s="19"/>
      <c r="E30464" s="23"/>
      <c r="L30464" s="23"/>
    </row>
    <row r="30465">
      <c r="B30465" s="19"/>
      <c r="E30465" s="23"/>
      <c r="L30465" s="23"/>
    </row>
    <row r="30466">
      <c r="B30466" s="19"/>
      <c r="E30466" s="23"/>
      <c r="L30466" s="23"/>
    </row>
    <row r="30467">
      <c r="B30467" s="19"/>
      <c r="E30467" s="23"/>
      <c r="L30467" s="23"/>
    </row>
    <row r="30468">
      <c r="B30468" s="19"/>
      <c r="E30468" s="23"/>
      <c r="L30468" s="23"/>
    </row>
    <row r="30469">
      <c r="B30469" s="19"/>
      <c r="E30469" s="23"/>
      <c r="L30469" s="23"/>
    </row>
    <row r="30470">
      <c r="B30470" s="19"/>
      <c r="E30470" s="23"/>
      <c r="L30470" s="23"/>
    </row>
    <row r="30471">
      <c r="B30471" s="19"/>
      <c r="E30471" s="23"/>
      <c r="L30471" s="23"/>
    </row>
    <row r="30472">
      <c r="B30472" s="19"/>
      <c r="E30472" s="23"/>
      <c r="L30472" s="23"/>
    </row>
    <row r="30473">
      <c r="B30473" s="19"/>
      <c r="E30473" s="23"/>
      <c r="L30473" s="23"/>
    </row>
    <row r="30474">
      <c r="B30474" s="19"/>
      <c r="E30474" s="23"/>
      <c r="L30474" s="23"/>
    </row>
    <row r="30475">
      <c r="B30475" s="19"/>
      <c r="E30475" s="23"/>
      <c r="L30475" s="23"/>
    </row>
    <row r="30476">
      <c r="B30476" s="19"/>
      <c r="E30476" s="23"/>
      <c r="L30476" s="23"/>
    </row>
    <row r="30477">
      <c r="B30477" s="19"/>
      <c r="E30477" s="23"/>
      <c r="L30477" s="23"/>
    </row>
    <row r="30478">
      <c r="B30478" s="19"/>
      <c r="E30478" s="23"/>
      <c r="L30478" s="23"/>
    </row>
    <row r="30479">
      <c r="B30479" s="19"/>
      <c r="E30479" s="23"/>
      <c r="L30479" s="23"/>
    </row>
    <row r="30480">
      <c r="B30480" s="19"/>
      <c r="E30480" s="23"/>
      <c r="L30480" s="23"/>
    </row>
    <row r="30481">
      <c r="B30481" s="19"/>
      <c r="E30481" s="23"/>
      <c r="L30481" s="23"/>
    </row>
    <row r="30482">
      <c r="B30482" s="19"/>
      <c r="E30482" s="23"/>
      <c r="L30482" s="23"/>
    </row>
    <row r="30483">
      <c r="B30483" s="19"/>
      <c r="E30483" s="23"/>
      <c r="L30483" s="23"/>
    </row>
    <row r="30484">
      <c r="B30484" s="19"/>
      <c r="E30484" s="23"/>
      <c r="L30484" s="23"/>
    </row>
    <row r="30485">
      <c r="B30485" s="19"/>
      <c r="E30485" s="23"/>
      <c r="L30485" s="23"/>
    </row>
    <row r="30486">
      <c r="B30486" s="19"/>
      <c r="E30486" s="23"/>
      <c r="L30486" s="23"/>
    </row>
    <row r="30487">
      <c r="B30487" s="19"/>
      <c r="E30487" s="23"/>
      <c r="L30487" s="23"/>
    </row>
    <row r="30488">
      <c r="B30488" s="19"/>
      <c r="E30488" s="23"/>
      <c r="L30488" s="23"/>
    </row>
    <row r="30489">
      <c r="B30489" s="19"/>
      <c r="E30489" s="23"/>
      <c r="L30489" s="23"/>
    </row>
    <row r="30490">
      <c r="B30490" s="19"/>
      <c r="E30490" s="23"/>
      <c r="L30490" s="23"/>
    </row>
    <row r="30491">
      <c r="B30491" s="19"/>
      <c r="E30491" s="23"/>
      <c r="L30491" s="23"/>
    </row>
    <row r="30492">
      <c r="B30492" s="19"/>
      <c r="E30492" s="23"/>
      <c r="L30492" s="23"/>
    </row>
    <row r="30493">
      <c r="B30493" s="19"/>
      <c r="E30493" s="23"/>
      <c r="L30493" s="23"/>
    </row>
    <row r="30494">
      <c r="B30494" s="19"/>
      <c r="E30494" s="23"/>
      <c r="L30494" s="23"/>
    </row>
    <row r="30495">
      <c r="B30495" s="19"/>
      <c r="E30495" s="23"/>
      <c r="L30495" s="23"/>
    </row>
    <row r="30496">
      <c r="B30496" s="19"/>
      <c r="E30496" s="23"/>
      <c r="L30496" s="23"/>
    </row>
    <row r="30497">
      <c r="B30497" s="19"/>
      <c r="E30497" s="23"/>
      <c r="L30497" s="23"/>
    </row>
    <row r="30498">
      <c r="B30498" s="19"/>
      <c r="E30498" s="23"/>
      <c r="L30498" s="23"/>
    </row>
    <row r="30499">
      <c r="B30499" s="19"/>
      <c r="E30499" s="23"/>
      <c r="L30499" s="23"/>
    </row>
    <row r="30500">
      <c r="B30500" s="19"/>
      <c r="E30500" s="23"/>
      <c r="L30500" s="23"/>
    </row>
    <row r="30501">
      <c r="B30501" s="19"/>
      <c r="E30501" s="23"/>
      <c r="L30501" s="23"/>
    </row>
    <row r="30502">
      <c r="B30502" s="19"/>
      <c r="E30502" s="23"/>
      <c r="L30502" s="23"/>
    </row>
    <row r="30503">
      <c r="B30503" s="19"/>
      <c r="E30503" s="23"/>
      <c r="L30503" s="23"/>
    </row>
    <row r="30504">
      <c r="B30504" s="19"/>
      <c r="E30504" s="23"/>
      <c r="L30504" s="23"/>
    </row>
    <row r="30505">
      <c r="B30505" s="19"/>
      <c r="E30505" s="23"/>
      <c r="L30505" s="23"/>
    </row>
    <row r="30506">
      <c r="B30506" s="19"/>
      <c r="E30506" s="23"/>
      <c r="L30506" s="23"/>
    </row>
    <row r="30507">
      <c r="B30507" s="19"/>
      <c r="E30507" s="23"/>
      <c r="L30507" s="23"/>
    </row>
    <row r="30508">
      <c r="B30508" s="19"/>
      <c r="E30508" s="23"/>
      <c r="L30508" s="23"/>
    </row>
    <row r="30509">
      <c r="B30509" s="19"/>
      <c r="E30509" s="23"/>
      <c r="L30509" s="23"/>
    </row>
    <row r="30510">
      <c r="B30510" s="19"/>
      <c r="E30510" s="23"/>
      <c r="L30510" s="23"/>
    </row>
    <row r="30511">
      <c r="B30511" s="19"/>
      <c r="E30511" s="23"/>
      <c r="L30511" s="23"/>
    </row>
    <row r="30512">
      <c r="B30512" s="19"/>
      <c r="E30512" s="23"/>
      <c r="L30512" s="23"/>
    </row>
    <row r="30513">
      <c r="B30513" s="19"/>
      <c r="E30513" s="23"/>
      <c r="L30513" s="23"/>
    </row>
    <row r="30514">
      <c r="B30514" s="19"/>
      <c r="E30514" s="23"/>
      <c r="L30514" s="23"/>
    </row>
    <row r="30515">
      <c r="B30515" s="19"/>
      <c r="E30515" s="23"/>
      <c r="L30515" s="23"/>
    </row>
    <row r="30516">
      <c r="B30516" s="19"/>
      <c r="E30516" s="23"/>
      <c r="L30516" s="23"/>
    </row>
    <row r="30517">
      <c r="B30517" s="19"/>
      <c r="E30517" s="23"/>
      <c r="L30517" s="23"/>
    </row>
    <row r="30518">
      <c r="B30518" s="19"/>
      <c r="E30518" s="23"/>
      <c r="L30518" s="23"/>
    </row>
    <row r="30519">
      <c r="B30519" s="19"/>
      <c r="E30519" s="23"/>
      <c r="L30519" s="23"/>
    </row>
    <row r="30520">
      <c r="B30520" s="19"/>
      <c r="E30520" s="23"/>
      <c r="L30520" s="23"/>
    </row>
    <row r="30521">
      <c r="B30521" s="19"/>
      <c r="E30521" s="23"/>
      <c r="L30521" s="23"/>
    </row>
    <row r="30522">
      <c r="B30522" s="19"/>
      <c r="E30522" s="23"/>
      <c r="L30522" s="23"/>
    </row>
    <row r="30523">
      <c r="B30523" s="19"/>
      <c r="E30523" s="23"/>
      <c r="L30523" s="23"/>
    </row>
    <row r="30524">
      <c r="B30524" s="19"/>
      <c r="E30524" s="23"/>
      <c r="L30524" s="23"/>
    </row>
    <row r="30525">
      <c r="B30525" s="19"/>
      <c r="E30525" s="23"/>
      <c r="L30525" s="23"/>
    </row>
    <row r="30526">
      <c r="B30526" s="19"/>
      <c r="E30526" s="23"/>
      <c r="L30526" s="23"/>
    </row>
    <row r="30527">
      <c r="B30527" s="19"/>
      <c r="E30527" s="23"/>
      <c r="L30527" s="23"/>
    </row>
    <row r="30528">
      <c r="B30528" s="19"/>
      <c r="E30528" s="23"/>
      <c r="L30528" s="23"/>
    </row>
    <row r="30529">
      <c r="B30529" s="19"/>
      <c r="E30529" s="23"/>
      <c r="L30529" s="23"/>
    </row>
    <row r="30530">
      <c r="B30530" s="19"/>
      <c r="E30530" s="23"/>
      <c r="L30530" s="23"/>
    </row>
    <row r="30531">
      <c r="B30531" s="19"/>
      <c r="E30531" s="23"/>
      <c r="L30531" s="23"/>
    </row>
    <row r="30532">
      <c r="B30532" s="19"/>
      <c r="E30532" s="23"/>
      <c r="L30532" s="23"/>
    </row>
    <row r="30533">
      <c r="B30533" s="19"/>
      <c r="E30533" s="23"/>
      <c r="L30533" s="23"/>
    </row>
    <row r="30534">
      <c r="B30534" s="19"/>
      <c r="E30534" s="23"/>
      <c r="L30534" s="23"/>
    </row>
    <row r="30535">
      <c r="B30535" s="19"/>
      <c r="E30535" s="23"/>
      <c r="L30535" s="23"/>
    </row>
    <row r="30536">
      <c r="B30536" s="19"/>
      <c r="E30536" s="23"/>
      <c r="L30536" s="23"/>
    </row>
    <row r="30537">
      <c r="B30537" s="19"/>
      <c r="E30537" s="23"/>
      <c r="L30537" s="23"/>
    </row>
    <row r="30538">
      <c r="B30538" s="19"/>
      <c r="E30538" s="23"/>
      <c r="L30538" s="23"/>
    </row>
    <row r="30539">
      <c r="B30539" s="19"/>
      <c r="E30539" s="23"/>
      <c r="L30539" s="23"/>
    </row>
    <row r="30540">
      <c r="B30540" s="19"/>
      <c r="E30540" s="23"/>
      <c r="L30540" s="23"/>
    </row>
    <row r="30541">
      <c r="B30541" s="19"/>
      <c r="E30541" s="23"/>
      <c r="L30541" s="23"/>
    </row>
    <row r="30542">
      <c r="B30542" s="19"/>
      <c r="E30542" s="23"/>
      <c r="L30542" s="23"/>
    </row>
    <row r="30543">
      <c r="B30543" s="19"/>
      <c r="E30543" s="23"/>
      <c r="L30543" s="23"/>
    </row>
    <row r="30544">
      <c r="B30544" s="19"/>
      <c r="E30544" s="23"/>
      <c r="L30544" s="23"/>
    </row>
    <row r="30545">
      <c r="B30545" s="19"/>
      <c r="E30545" s="23"/>
      <c r="L30545" s="23"/>
    </row>
    <row r="30546">
      <c r="B30546" s="19"/>
      <c r="E30546" s="23"/>
      <c r="L30546" s="23"/>
    </row>
    <row r="30547">
      <c r="B30547" s="19"/>
      <c r="E30547" s="23"/>
      <c r="L30547" s="23"/>
    </row>
    <row r="30548">
      <c r="B30548" s="19"/>
      <c r="E30548" s="23"/>
      <c r="L30548" s="23"/>
    </row>
    <row r="30549">
      <c r="B30549" s="19"/>
      <c r="E30549" s="23"/>
      <c r="L30549" s="23"/>
    </row>
    <row r="30550">
      <c r="B30550" s="19"/>
      <c r="E30550" s="23"/>
      <c r="L30550" s="23"/>
    </row>
    <row r="30551">
      <c r="B30551" s="19"/>
      <c r="E30551" s="23"/>
      <c r="L30551" s="23"/>
    </row>
    <row r="30552">
      <c r="B30552" s="19"/>
      <c r="E30552" s="23"/>
      <c r="L30552" s="23"/>
    </row>
    <row r="30553">
      <c r="B30553" s="19"/>
      <c r="E30553" s="23"/>
      <c r="L30553" s="23"/>
    </row>
    <row r="30554">
      <c r="B30554" s="19"/>
      <c r="E30554" s="23"/>
      <c r="L30554" s="23"/>
    </row>
    <row r="30555">
      <c r="B30555" s="19"/>
      <c r="E30555" s="23"/>
      <c r="L30555" s="23"/>
    </row>
    <row r="30556">
      <c r="B30556" s="19"/>
      <c r="E30556" s="23"/>
      <c r="L30556" s="23"/>
    </row>
    <row r="30557">
      <c r="B30557" s="19"/>
      <c r="E30557" s="23"/>
      <c r="L30557" s="23"/>
    </row>
    <row r="30558">
      <c r="B30558" s="19"/>
      <c r="E30558" s="23"/>
      <c r="L30558" s="23"/>
    </row>
    <row r="30559">
      <c r="B30559" s="19"/>
      <c r="E30559" s="23"/>
      <c r="L30559" s="23"/>
    </row>
    <row r="30560">
      <c r="B30560" s="19"/>
      <c r="E30560" s="23"/>
      <c r="L30560" s="23"/>
    </row>
    <row r="30561">
      <c r="B30561" s="19"/>
      <c r="E30561" s="23"/>
      <c r="L30561" s="23"/>
    </row>
    <row r="30562">
      <c r="B30562" s="19"/>
      <c r="E30562" s="23"/>
      <c r="L30562" s="23"/>
    </row>
    <row r="30563">
      <c r="B30563" s="19"/>
      <c r="E30563" s="23"/>
      <c r="L30563" s="23"/>
    </row>
    <row r="30564">
      <c r="B30564" s="19"/>
      <c r="E30564" s="23"/>
      <c r="L30564" s="23"/>
    </row>
    <row r="30565">
      <c r="B30565" s="19"/>
      <c r="E30565" s="23"/>
      <c r="L30565" s="23"/>
    </row>
    <row r="30566">
      <c r="B30566" s="19"/>
      <c r="E30566" s="23"/>
      <c r="L30566" s="23"/>
    </row>
    <row r="30567">
      <c r="B30567" s="19"/>
      <c r="E30567" s="23"/>
      <c r="L30567" s="23"/>
    </row>
    <row r="30568">
      <c r="B30568" s="19"/>
      <c r="E30568" s="23"/>
      <c r="L30568" s="23"/>
    </row>
    <row r="30569">
      <c r="B30569" s="19"/>
      <c r="E30569" s="23"/>
      <c r="L30569" s="23"/>
    </row>
    <row r="30570">
      <c r="B30570" s="19"/>
      <c r="E30570" s="23"/>
      <c r="L30570" s="23"/>
    </row>
    <row r="30571">
      <c r="B30571" s="19"/>
      <c r="E30571" s="23"/>
      <c r="L30571" s="23"/>
    </row>
    <row r="30572">
      <c r="B30572" s="19"/>
      <c r="E30572" s="23"/>
      <c r="L30572" s="23"/>
    </row>
    <row r="30573">
      <c r="B30573" s="19"/>
      <c r="E30573" s="23"/>
      <c r="L30573" s="23"/>
    </row>
    <row r="30574">
      <c r="B30574" s="19"/>
      <c r="E30574" s="23"/>
      <c r="L30574" s="23"/>
    </row>
    <row r="30575">
      <c r="B30575" s="19"/>
      <c r="E30575" s="23"/>
      <c r="L30575" s="23"/>
    </row>
    <row r="30576">
      <c r="B30576" s="19"/>
      <c r="E30576" s="23"/>
      <c r="L30576" s="23"/>
    </row>
    <row r="30577">
      <c r="B30577" s="19"/>
      <c r="E30577" s="23"/>
      <c r="L30577" s="23"/>
    </row>
    <row r="30578">
      <c r="B30578" s="19"/>
      <c r="E30578" s="23"/>
      <c r="L30578" s="23"/>
    </row>
    <row r="30579">
      <c r="B30579" s="19"/>
      <c r="E30579" s="23"/>
      <c r="L30579" s="23"/>
    </row>
    <row r="30580">
      <c r="B30580" s="19"/>
      <c r="E30580" s="23"/>
      <c r="L30580" s="23"/>
    </row>
    <row r="30581">
      <c r="B30581" s="19"/>
      <c r="E30581" s="23"/>
      <c r="L30581" s="23"/>
    </row>
    <row r="30582">
      <c r="B30582" s="19"/>
      <c r="E30582" s="23"/>
      <c r="L30582" s="23"/>
    </row>
    <row r="30583">
      <c r="B30583" s="19"/>
      <c r="E30583" s="23"/>
      <c r="L30583" s="23"/>
    </row>
    <row r="30584">
      <c r="B30584" s="19"/>
      <c r="E30584" s="23"/>
      <c r="L30584" s="23"/>
    </row>
    <row r="30585">
      <c r="B30585" s="19"/>
      <c r="E30585" s="23"/>
      <c r="L30585" s="23"/>
    </row>
    <row r="30586">
      <c r="B30586" s="19"/>
      <c r="E30586" s="23"/>
      <c r="L30586" s="23"/>
    </row>
    <row r="30587">
      <c r="B30587" s="19"/>
      <c r="E30587" s="23"/>
      <c r="L30587" s="23"/>
    </row>
    <row r="30588">
      <c r="B30588" s="19"/>
      <c r="E30588" s="23"/>
      <c r="L30588" s="23"/>
    </row>
    <row r="30589">
      <c r="B30589" s="19"/>
      <c r="E30589" s="23"/>
      <c r="L30589" s="23"/>
    </row>
    <row r="30590">
      <c r="B30590" s="19"/>
      <c r="E30590" s="23"/>
      <c r="L30590" s="23"/>
    </row>
    <row r="30591">
      <c r="B30591" s="19"/>
      <c r="E30591" s="23"/>
      <c r="L30591" s="23"/>
    </row>
    <row r="30592">
      <c r="B30592" s="19"/>
      <c r="E30592" s="23"/>
      <c r="L30592" s="23"/>
    </row>
    <row r="30593">
      <c r="B30593" s="19"/>
      <c r="E30593" s="23"/>
      <c r="L30593" s="23"/>
    </row>
    <row r="30594">
      <c r="B30594" s="19"/>
      <c r="E30594" s="23"/>
      <c r="L30594" s="23"/>
    </row>
    <row r="30595">
      <c r="B30595" s="19"/>
      <c r="E30595" s="23"/>
      <c r="L30595" s="23"/>
    </row>
    <row r="30596">
      <c r="B30596" s="19"/>
      <c r="E30596" s="23"/>
      <c r="L30596" s="23"/>
    </row>
    <row r="30597">
      <c r="B30597" s="19"/>
      <c r="E30597" s="23"/>
      <c r="L30597" s="23"/>
    </row>
    <row r="30598">
      <c r="B30598" s="19"/>
      <c r="E30598" s="23"/>
      <c r="L30598" s="23"/>
    </row>
    <row r="30599">
      <c r="B30599" s="19"/>
      <c r="E30599" s="23"/>
      <c r="L30599" s="23"/>
    </row>
    <row r="30600">
      <c r="B30600" s="19"/>
      <c r="E30600" s="23"/>
      <c r="L30600" s="23"/>
    </row>
    <row r="30601">
      <c r="B30601" s="19"/>
      <c r="E30601" s="23"/>
      <c r="L30601" s="23"/>
    </row>
    <row r="30602">
      <c r="B30602" s="19"/>
      <c r="E30602" s="23"/>
      <c r="L30602" s="23"/>
    </row>
    <row r="30603">
      <c r="B30603" s="19"/>
      <c r="E30603" s="23"/>
      <c r="L30603" s="23"/>
    </row>
    <row r="30604">
      <c r="B30604" s="19"/>
      <c r="E30604" s="23"/>
      <c r="L30604" s="23"/>
    </row>
    <row r="30605">
      <c r="B30605" s="19"/>
      <c r="E30605" s="23"/>
      <c r="L30605" s="23"/>
    </row>
    <row r="30606">
      <c r="B30606" s="19"/>
      <c r="E30606" s="23"/>
      <c r="L30606" s="23"/>
    </row>
    <row r="30607">
      <c r="B30607" s="19"/>
      <c r="E30607" s="23"/>
      <c r="L30607" s="23"/>
    </row>
    <row r="30608">
      <c r="B30608" s="19"/>
      <c r="E30608" s="23"/>
      <c r="L30608" s="23"/>
    </row>
    <row r="30609">
      <c r="B30609" s="19"/>
      <c r="E30609" s="23"/>
      <c r="L30609" s="23"/>
    </row>
    <row r="30610">
      <c r="B30610" s="19"/>
      <c r="E30610" s="23"/>
      <c r="L30610" s="23"/>
    </row>
    <row r="30611">
      <c r="B30611" s="19"/>
      <c r="E30611" s="23"/>
      <c r="L30611" s="23"/>
    </row>
    <row r="30612">
      <c r="B30612" s="19"/>
      <c r="E30612" s="23"/>
      <c r="L30612" s="23"/>
    </row>
    <row r="30613">
      <c r="B30613" s="19"/>
      <c r="E30613" s="23"/>
      <c r="L30613" s="23"/>
    </row>
    <row r="30614">
      <c r="B30614" s="19"/>
      <c r="E30614" s="23"/>
      <c r="L30614" s="23"/>
    </row>
    <row r="30615">
      <c r="B30615" s="19"/>
      <c r="E30615" s="23"/>
      <c r="L30615" s="23"/>
    </row>
    <row r="30616">
      <c r="B30616" s="19"/>
      <c r="E30616" s="23"/>
      <c r="L30616" s="23"/>
    </row>
    <row r="30617">
      <c r="B30617" s="19"/>
      <c r="E30617" s="23"/>
      <c r="L30617" s="23"/>
    </row>
    <row r="30618">
      <c r="B30618" s="19"/>
      <c r="E30618" s="23"/>
      <c r="L30618" s="23"/>
    </row>
    <row r="30619">
      <c r="B30619" s="19"/>
      <c r="E30619" s="23"/>
      <c r="L30619" s="23"/>
    </row>
    <row r="30620">
      <c r="B30620" s="19"/>
      <c r="E30620" s="23"/>
      <c r="L30620" s="23"/>
    </row>
    <row r="30621">
      <c r="B30621" s="19"/>
      <c r="E30621" s="23"/>
      <c r="L30621" s="23"/>
    </row>
    <row r="30622">
      <c r="B30622" s="19"/>
      <c r="E30622" s="23"/>
      <c r="L30622" s="23"/>
    </row>
    <row r="30623">
      <c r="B30623" s="19"/>
      <c r="E30623" s="23"/>
      <c r="L30623" s="23"/>
    </row>
    <row r="30624">
      <c r="B30624" s="19"/>
      <c r="E30624" s="23"/>
      <c r="L30624" s="23"/>
    </row>
    <row r="30625">
      <c r="B30625" s="19"/>
      <c r="E30625" s="23"/>
      <c r="L30625" s="23"/>
    </row>
    <row r="30626">
      <c r="B30626" s="19"/>
      <c r="E30626" s="23"/>
      <c r="L30626" s="23"/>
    </row>
    <row r="30627">
      <c r="B30627" s="19"/>
      <c r="E30627" s="23"/>
      <c r="L30627" s="23"/>
    </row>
    <row r="30628">
      <c r="B30628" s="19"/>
      <c r="E30628" s="23"/>
      <c r="L30628" s="23"/>
    </row>
    <row r="30629">
      <c r="B30629" s="19"/>
      <c r="E30629" s="23"/>
      <c r="L30629" s="23"/>
    </row>
    <row r="30630">
      <c r="B30630" s="19"/>
      <c r="E30630" s="23"/>
      <c r="L30630" s="23"/>
    </row>
    <row r="30631">
      <c r="B30631" s="19"/>
      <c r="E30631" s="23"/>
      <c r="L30631" s="23"/>
    </row>
    <row r="30632">
      <c r="B30632" s="19"/>
      <c r="E30632" s="23"/>
      <c r="L30632" s="23"/>
    </row>
    <row r="30633">
      <c r="B30633" s="19"/>
      <c r="E30633" s="23"/>
      <c r="L30633" s="23"/>
    </row>
    <row r="30634">
      <c r="B30634" s="19"/>
      <c r="E30634" s="23"/>
      <c r="L30634" s="23"/>
    </row>
    <row r="30635">
      <c r="B30635" s="19"/>
      <c r="E30635" s="23"/>
      <c r="L30635" s="23"/>
    </row>
    <row r="30636">
      <c r="B30636" s="19"/>
      <c r="E30636" s="23"/>
      <c r="L30636" s="23"/>
    </row>
    <row r="30637">
      <c r="B30637" s="19"/>
      <c r="E30637" s="23"/>
      <c r="L30637" s="23"/>
    </row>
    <row r="30638">
      <c r="B30638" s="19"/>
      <c r="E30638" s="23"/>
      <c r="L30638" s="23"/>
    </row>
    <row r="30639">
      <c r="B30639" s="19"/>
      <c r="E30639" s="23"/>
      <c r="L30639" s="23"/>
    </row>
    <row r="30640">
      <c r="B30640" s="19"/>
      <c r="E30640" s="23"/>
      <c r="L30640" s="23"/>
    </row>
    <row r="30641">
      <c r="B30641" s="19"/>
      <c r="E30641" s="23"/>
      <c r="L30641" s="23"/>
    </row>
    <row r="30642">
      <c r="B30642" s="19"/>
      <c r="E30642" s="23"/>
      <c r="L30642" s="23"/>
    </row>
    <row r="30643">
      <c r="B30643" s="19"/>
      <c r="E30643" s="23"/>
      <c r="L30643" s="23"/>
    </row>
    <row r="30644">
      <c r="B30644" s="19"/>
      <c r="E30644" s="23"/>
      <c r="L30644" s="23"/>
    </row>
    <row r="30645">
      <c r="B30645" s="19"/>
      <c r="E30645" s="23"/>
      <c r="L30645" s="23"/>
    </row>
    <row r="30646">
      <c r="B30646" s="19"/>
      <c r="E30646" s="23"/>
      <c r="L30646" s="23"/>
    </row>
    <row r="30647">
      <c r="B30647" s="19"/>
      <c r="E30647" s="23"/>
      <c r="L30647" s="23"/>
    </row>
    <row r="30648">
      <c r="B30648" s="19"/>
      <c r="E30648" s="23"/>
      <c r="L30648" s="23"/>
    </row>
    <row r="30649">
      <c r="B30649" s="19"/>
      <c r="E30649" s="23"/>
      <c r="L30649" s="23"/>
    </row>
    <row r="30650">
      <c r="B30650" s="19"/>
      <c r="E30650" s="23"/>
      <c r="L30650" s="23"/>
    </row>
    <row r="30651">
      <c r="B30651" s="19"/>
      <c r="E30651" s="23"/>
      <c r="L30651" s="23"/>
    </row>
    <row r="30652">
      <c r="B30652" s="19"/>
      <c r="E30652" s="23"/>
      <c r="L30652" s="23"/>
    </row>
    <row r="30653">
      <c r="B30653" s="19"/>
      <c r="E30653" s="23"/>
      <c r="L30653" s="23"/>
    </row>
    <row r="30654">
      <c r="B30654" s="19"/>
      <c r="E30654" s="23"/>
      <c r="L30654" s="23"/>
    </row>
    <row r="30655">
      <c r="B30655" s="19"/>
      <c r="E30655" s="23"/>
      <c r="L30655" s="23"/>
    </row>
    <row r="30656">
      <c r="B30656" s="19"/>
      <c r="E30656" s="23"/>
      <c r="L30656" s="23"/>
    </row>
    <row r="30657">
      <c r="B30657" s="19"/>
      <c r="E30657" s="23"/>
      <c r="L30657" s="23"/>
    </row>
    <row r="30658">
      <c r="B30658" s="19"/>
      <c r="E30658" s="23"/>
      <c r="L30658" s="23"/>
    </row>
    <row r="30659">
      <c r="B30659" s="19"/>
      <c r="E30659" s="23"/>
      <c r="L30659" s="23"/>
    </row>
    <row r="30660">
      <c r="B30660" s="19"/>
      <c r="E30660" s="23"/>
      <c r="L30660" s="23"/>
    </row>
    <row r="30661">
      <c r="B30661" s="19"/>
      <c r="E30661" s="23"/>
      <c r="L30661" s="23"/>
    </row>
    <row r="30662">
      <c r="B30662" s="19"/>
      <c r="E30662" s="23"/>
      <c r="L30662" s="23"/>
    </row>
    <row r="30663">
      <c r="B30663" s="19"/>
      <c r="E30663" s="23"/>
      <c r="L30663" s="23"/>
    </row>
    <row r="30664">
      <c r="B30664" s="19"/>
      <c r="E30664" s="23"/>
      <c r="L30664" s="23"/>
    </row>
    <row r="30665">
      <c r="B30665" s="19"/>
      <c r="E30665" s="23"/>
      <c r="L30665" s="23"/>
    </row>
    <row r="30666">
      <c r="B30666" s="19"/>
      <c r="E30666" s="23"/>
      <c r="L30666" s="23"/>
    </row>
    <row r="30667">
      <c r="B30667" s="19"/>
      <c r="E30667" s="23"/>
      <c r="L30667" s="23"/>
    </row>
    <row r="30668">
      <c r="B30668" s="19"/>
      <c r="E30668" s="23"/>
      <c r="L30668" s="23"/>
    </row>
    <row r="30669">
      <c r="B30669" s="19"/>
      <c r="E30669" s="23"/>
      <c r="L30669" s="23"/>
    </row>
    <row r="30670">
      <c r="B30670" s="19"/>
      <c r="E30670" s="23"/>
      <c r="L30670" s="23"/>
    </row>
    <row r="30671">
      <c r="B30671" s="19"/>
      <c r="E30671" s="23"/>
      <c r="L30671" s="23"/>
    </row>
    <row r="30672">
      <c r="B30672" s="19"/>
      <c r="E30672" s="23"/>
      <c r="L30672" s="23"/>
    </row>
    <row r="30673">
      <c r="B30673" s="19"/>
      <c r="E30673" s="23"/>
      <c r="L30673" s="23"/>
    </row>
    <row r="30674">
      <c r="B30674" s="19"/>
      <c r="E30674" s="23"/>
      <c r="L30674" s="23"/>
    </row>
    <row r="30675">
      <c r="B30675" s="19"/>
      <c r="E30675" s="23"/>
      <c r="L30675" s="23"/>
    </row>
    <row r="30676">
      <c r="B30676" s="19"/>
      <c r="E30676" s="23"/>
      <c r="L30676" s="23"/>
    </row>
    <row r="30677">
      <c r="B30677" s="19"/>
      <c r="E30677" s="23"/>
      <c r="L30677" s="23"/>
    </row>
    <row r="30678">
      <c r="B30678" s="19"/>
      <c r="E30678" s="23"/>
      <c r="L30678" s="23"/>
    </row>
    <row r="30679">
      <c r="B30679" s="19"/>
      <c r="E30679" s="23"/>
      <c r="L30679" s="23"/>
    </row>
    <row r="30680">
      <c r="B30680" s="19"/>
      <c r="E30680" s="23"/>
      <c r="L30680" s="23"/>
    </row>
    <row r="30681">
      <c r="B30681" s="19"/>
      <c r="E30681" s="23"/>
      <c r="L30681" s="23"/>
    </row>
    <row r="30682">
      <c r="B30682" s="19"/>
      <c r="E30682" s="23"/>
      <c r="L30682" s="23"/>
    </row>
    <row r="30683">
      <c r="B30683" s="19"/>
      <c r="E30683" s="23"/>
      <c r="L30683" s="23"/>
    </row>
    <row r="30684">
      <c r="B30684" s="19"/>
      <c r="E30684" s="23"/>
      <c r="L30684" s="23"/>
    </row>
    <row r="30685">
      <c r="B30685" s="19"/>
      <c r="E30685" s="23"/>
      <c r="L30685" s="23"/>
    </row>
    <row r="30686">
      <c r="B30686" s="19"/>
      <c r="E30686" s="23"/>
      <c r="L30686" s="23"/>
    </row>
    <row r="30687">
      <c r="B30687" s="19"/>
      <c r="E30687" s="23"/>
      <c r="L30687" s="23"/>
    </row>
    <row r="30688">
      <c r="B30688" s="19"/>
      <c r="E30688" s="23"/>
      <c r="L30688" s="23"/>
    </row>
    <row r="30689">
      <c r="B30689" s="19"/>
      <c r="E30689" s="23"/>
      <c r="L30689" s="23"/>
    </row>
    <row r="30690">
      <c r="B30690" s="19"/>
      <c r="E30690" s="23"/>
      <c r="L30690" s="23"/>
    </row>
    <row r="30691">
      <c r="B30691" s="19"/>
      <c r="E30691" s="23"/>
      <c r="L30691" s="23"/>
    </row>
    <row r="30692">
      <c r="B30692" s="19"/>
      <c r="E30692" s="23"/>
      <c r="L30692" s="23"/>
    </row>
    <row r="30693">
      <c r="B30693" s="19"/>
      <c r="E30693" s="23"/>
      <c r="L30693" s="23"/>
    </row>
    <row r="30694">
      <c r="B30694" s="19"/>
      <c r="E30694" s="23"/>
      <c r="L30694" s="23"/>
    </row>
    <row r="30695">
      <c r="B30695" s="19"/>
      <c r="E30695" s="23"/>
      <c r="L30695" s="23"/>
    </row>
    <row r="30696">
      <c r="B30696" s="19"/>
      <c r="E30696" s="23"/>
      <c r="L30696" s="23"/>
    </row>
    <row r="30697">
      <c r="B30697" s="19"/>
      <c r="E30697" s="23"/>
      <c r="L30697" s="23"/>
    </row>
    <row r="30698">
      <c r="B30698" s="19"/>
      <c r="E30698" s="23"/>
      <c r="L30698" s="23"/>
    </row>
    <row r="30699">
      <c r="B30699" s="19"/>
      <c r="E30699" s="23"/>
      <c r="L30699" s="23"/>
    </row>
    <row r="30700">
      <c r="B30700" s="19"/>
      <c r="E30700" s="23"/>
      <c r="L30700" s="23"/>
    </row>
    <row r="30701">
      <c r="B30701" s="19"/>
      <c r="E30701" s="23"/>
      <c r="L30701" s="23"/>
    </row>
    <row r="30702">
      <c r="B30702" s="19"/>
      <c r="E30702" s="23"/>
      <c r="L30702" s="23"/>
    </row>
    <row r="30703">
      <c r="B30703" s="19"/>
      <c r="E30703" s="23"/>
      <c r="L30703" s="23"/>
    </row>
    <row r="30704">
      <c r="B30704" s="19"/>
      <c r="E30704" s="23"/>
      <c r="L30704" s="23"/>
    </row>
    <row r="30705">
      <c r="B30705" s="19"/>
      <c r="E30705" s="23"/>
      <c r="L30705" s="23"/>
    </row>
    <row r="30706">
      <c r="B30706" s="19"/>
      <c r="E30706" s="23"/>
      <c r="L30706" s="23"/>
    </row>
    <row r="30707">
      <c r="B30707" s="19"/>
      <c r="E30707" s="23"/>
      <c r="L30707" s="23"/>
    </row>
    <row r="30708">
      <c r="B30708" s="19"/>
      <c r="E30708" s="23"/>
      <c r="L30708" s="23"/>
    </row>
    <row r="30709">
      <c r="B30709" s="19"/>
      <c r="E30709" s="23"/>
      <c r="L30709" s="23"/>
    </row>
    <row r="30710">
      <c r="B30710" s="19"/>
      <c r="E30710" s="23"/>
      <c r="L30710" s="23"/>
    </row>
    <row r="30711">
      <c r="B30711" s="19"/>
      <c r="E30711" s="23"/>
      <c r="L30711" s="23"/>
    </row>
    <row r="30712">
      <c r="B30712" s="19"/>
      <c r="E30712" s="23"/>
      <c r="L30712" s="23"/>
    </row>
    <row r="30713">
      <c r="B30713" s="19"/>
      <c r="E30713" s="23"/>
      <c r="L30713" s="23"/>
    </row>
    <row r="30714">
      <c r="B30714" s="19"/>
      <c r="E30714" s="23"/>
      <c r="L30714" s="23"/>
    </row>
    <row r="30715">
      <c r="B30715" s="19"/>
      <c r="E30715" s="23"/>
      <c r="L30715" s="23"/>
    </row>
    <row r="30716">
      <c r="B30716" s="19"/>
      <c r="E30716" s="23"/>
      <c r="L30716" s="23"/>
    </row>
    <row r="30717">
      <c r="B30717" s="19"/>
      <c r="E30717" s="23"/>
      <c r="L30717" s="23"/>
    </row>
    <row r="30718">
      <c r="B30718" s="19"/>
      <c r="E30718" s="23"/>
      <c r="L30718" s="23"/>
    </row>
    <row r="30719">
      <c r="B30719" s="19"/>
      <c r="E30719" s="23"/>
      <c r="L30719" s="23"/>
    </row>
    <row r="30720">
      <c r="B30720" s="19"/>
      <c r="E30720" s="23"/>
      <c r="L30720" s="23"/>
    </row>
    <row r="30721">
      <c r="B30721" s="19"/>
      <c r="E30721" s="23"/>
      <c r="L30721" s="23"/>
    </row>
    <row r="30722">
      <c r="B30722" s="19"/>
      <c r="E30722" s="23"/>
      <c r="L30722" s="23"/>
    </row>
    <row r="30723">
      <c r="B30723" s="19"/>
      <c r="E30723" s="23"/>
      <c r="L30723" s="23"/>
    </row>
    <row r="30724">
      <c r="B30724" s="19"/>
      <c r="E30724" s="23"/>
      <c r="L30724" s="23"/>
    </row>
    <row r="30725">
      <c r="B30725" s="19"/>
      <c r="E30725" s="23"/>
      <c r="L30725" s="23"/>
    </row>
    <row r="30726">
      <c r="B30726" s="19"/>
      <c r="E30726" s="23"/>
      <c r="L30726" s="23"/>
    </row>
    <row r="30727">
      <c r="B30727" s="19"/>
      <c r="E30727" s="23"/>
      <c r="L30727" s="23"/>
    </row>
    <row r="30728">
      <c r="B30728" s="19"/>
      <c r="E30728" s="23"/>
      <c r="L30728" s="23"/>
    </row>
    <row r="30729">
      <c r="B30729" s="19"/>
      <c r="E30729" s="23"/>
      <c r="L30729" s="23"/>
    </row>
    <row r="30730">
      <c r="B30730" s="19"/>
      <c r="E30730" s="23"/>
      <c r="L30730" s="23"/>
    </row>
    <row r="30731">
      <c r="B30731" s="19"/>
      <c r="E30731" s="23"/>
      <c r="L30731" s="23"/>
    </row>
    <row r="30732">
      <c r="B30732" s="19"/>
      <c r="E30732" s="23"/>
      <c r="L30732" s="23"/>
    </row>
    <row r="30733">
      <c r="B30733" s="19"/>
      <c r="E30733" s="23"/>
      <c r="L30733" s="23"/>
    </row>
    <row r="30734">
      <c r="B30734" s="19"/>
      <c r="E30734" s="23"/>
      <c r="L30734" s="23"/>
    </row>
    <row r="30735">
      <c r="B30735" s="19"/>
      <c r="E30735" s="23"/>
      <c r="L30735" s="23"/>
    </row>
    <row r="30736">
      <c r="B30736" s="19"/>
      <c r="E30736" s="23"/>
      <c r="L30736" s="23"/>
    </row>
    <row r="30737">
      <c r="B30737" s="19"/>
      <c r="E30737" s="23"/>
      <c r="L30737" s="23"/>
    </row>
    <row r="30738">
      <c r="B30738" s="19"/>
      <c r="E30738" s="23"/>
      <c r="L30738" s="23"/>
    </row>
    <row r="30739">
      <c r="B30739" s="19"/>
      <c r="E30739" s="23"/>
      <c r="L30739" s="23"/>
    </row>
    <row r="30740">
      <c r="B30740" s="19"/>
      <c r="E30740" s="23"/>
      <c r="L30740" s="23"/>
    </row>
    <row r="30741">
      <c r="B30741" s="19"/>
      <c r="E30741" s="23"/>
      <c r="L30741" s="23"/>
    </row>
    <row r="30742">
      <c r="B30742" s="19"/>
      <c r="E30742" s="23"/>
      <c r="L30742" s="23"/>
    </row>
    <row r="30743">
      <c r="B30743" s="19"/>
      <c r="E30743" s="23"/>
      <c r="L30743" s="23"/>
    </row>
    <row r="30744">
      <c r="B30744" s="19"/>
      <c r="E30744" s="23"/>
      <c r="L30744" s="23"/>
    </row>
    <row r="30745">
      <c r="B30745" s="19"/>
      <c r="E30745" s="23"/>
      <c r="L30745" s="23"/>
    </row>
    <row r="30746">
      <c r="B30746" s="19"/>
      <c r="E30746" s="23"/>
      <c r="L30746" s="23"/>
    </row>
    <row r="30747">
      <c r="B30747" s="19"/>
      <c r="E30747" s="23"/>
      <c r="L30747" s="23"/>
    </row>
    <row r="30748">
      <c r="B30748" s="19"/>
      <c r="E30748" s="23"/>
      <c r="L30748" s="23"/>
    </row>
    <row r="30749">
      <c r="B30749" s="19"/>
      <c r="E30749" s="23"/>
      <c r="L30749" s="23"/>
    </row>
    <row r="30750">
      <c r="B30750" s="19"/>
      <c r="E30750" s="23"/>
      <c r="L30750" s="23"/>
    </row>
    <row r="30751">
      <c r="B30751" s="19"/>
      <c r="E30751" s="23"/>
      <c r="L30751" s="23"/>
    </row>
    <row r="30752">
      <c r="B30752" s="19"/>
      <c r="E30752" s="23"/>
      <c r="L30752" s="23"/>
    </row>
    <row r="30753">
      <c r="B30753" s="19"/>
      <c r="E30753" s="23"/>
      <c r="L30753" s="23"/>
    </row>
    <row r="30754">
      <c r="B30754" s="19"/>
      <c r="E30754" s="23"/>
      <c r="L30754" s="23"/>
    </row>
    <row r="30755">
      <c r="B30755" s="19"/>
      <c r="E30755" s="23"/>
      <c r="L30755" s="23"/>
    </row>
    <row r="30756">
      <c r="B30756" s="19"/>
      <c r="E30756" s="23"/>
      <c r="L30756" s="23"/>
    </row>
    <row r="30757">
      <c r="B30757" s="19"/>
      <c r="E30757" s="23"/>
      <c r="L30757" s="23"/>
    </row>
    <row r="30758">
      <c r="B30758" s="19"/>
      <c r="E30758" s="23"/>
      <c r="L30758" s="23"/>
    </row>
    <row r="30759">
      <c r="B30759" s="19"/>
      <c r="E30759" s="23"/>
      <c r="L30759" s="23"/>
    </row>
    <row r="30760">
      <c r="B30760" s="19"/>
      <c r="E30760" s="23"/>
      <c r="L30760" s="23"/>
    </row>
    <row r="30761">
      <c r="B30761" s="19"/>
      <c r="E30761" s="23"/>
      <c r="L30761" s="23"/>
    </row>
    <row r="30762">
      <c r="B30762" s="19"/>
      <c r="E30762" s="23"/>
      <c r="L30762" s="23"/>
    </row>
    <row r="30763">
      <c r="B30763" s="19"/>
      <c r="E30763" s="23"/>
      <c r="L30763" s="23"/>
    </row>
    <row r="30764">
      <c r="B30764" s="19"/>
      <c r="E30764" s="23"/>
      <c r="L30764" s="23"/>
    </row>
    <row r="30765">
      <c r="B30765" s="19"/>
      <c r="E30765" s="23"/>
      <c r="L30765" s="23"/>
    </row>
    <row r="30766">
      <c r="B30766" s="19"/>
      <c r="E30766" s="23"/>
      <c r="L30766" s="23"/>
    </row>
    <row r="30767">
      <c r="B30767" s="19"/>
      <c r="E30767" s="23"/>
      <c r="L30767" s="23"/>
    </row>
    <row r="30768">
      <c r="B30768" s="19"/>
      <c r="E30768" s="23"/>
      <c r="L30768" s="23"/>
    </row>
    <row r="30769">
      <c r="B30769" s="19"/>
      <c r="E30769" s="23"/>
      <c r="L30769" s="23"/>
    </row>
    <row r="30770">
      <c r="B30770" s="19"/>
      <c r="E30770" s="23"/>
      <c r="L30770" s="23"/>
    </row>
    <row r="30771">
      <c r="B30771" s="19"/>
      <c r="E30771" s="23"/>
      <c r="L30771" s="23"/>
    </row>
    <row r="30772">
      <c r="B30772" s="19"/>
      <c r="E30772" s="23"/>
      <c r="L30772" s="23"/>
    </row>
    <row r="30773">
      <c r="B30773" s="19"/>
      <c r="E30773" s="23"/>
      <c r="L30773" s="23"/>
    </row>
    <row r="30774">
      <c r="B30774" s="19"/>
      <c r="E30774" s="23"/>
      <c r="L30774" s="23"/>
    </row>
    <row r="30775">
      <c r="B30775" s="19"/>
      <c r="E30775" s="23"/>
      <c r="L30775" s="23"/>
    </row>
    <row r="30776">
      <c r="B30776" s="19"/>
      <c r="E30776" s="23"/>
      <c r="L30776" s="23"/>
    </row>
    <row r="30777">
      <c r="B30777" s="19"/>
      <c r="E30777" s="23"/>
      <c r="L30777" s="23"/>
    </row>
    <row r="30778">
      <c r="B30778" s="19"/>
      <c r="E30778" s="23"/>
      <c r="L30778" s="23"/>
    </row>
    <row r="30779">
      <c r="B30779" s="19"/>
      <c r="E30779" s="23"/>
      <c r="L30779" s="23"/>
    </row>
    <row r="30780">
      <c r="B30780" s="19"/>
      <c r="E30780" s="23"/>
      <c r="L30780" s="23"/>
    </row>
    <row r="30781">
      <c r="B30781" s="19"/>
      <c r="E30781" s="23"/>
      <c r="L30781" s="23"/>
    </row>
    <row r="30782">
      <c r="B30782" s="19"/>
      <c r="E30782" s="23"/>
      <c r="L30782" s="23"/>
    </row>
    <row r="30783">
      <c r="B30783" s="19"/>
      <c r="E30783" s="23"/>
      <c r="L30783" s="23"/>
    </row>
    <row r="30784">
      <c r="B30784" s="19"/>
      <c r="E30784" s="23"/>
      <c r="L30784" s="23"/>
    </row>
    <row r="30785">
      <c r="B30785" s="19"/>
      <c r="E30785" s="23"/>
      <c r="L30785" s="23"/>
    </row>
    <row r="30786">
      <c r="B30786" s="19"/>
      <c r="E30786" s="23"/>
      <c r="L30786" s="23"/>
    </row>
    <row r="30787">
      <c r="B30787" s="19"/>
      <c r="E30787" s="23"/>
      <c r="L30787" s="23"/>
    </row>
    <row r="30788">
      <c r="B30788" s="19"/>
      <c r="E30788" s="23"/>
      <c r="L30788" s="23"/>
    </row>
    <row r="30789">
      <c r="B30789" s="19"/>
      <c r="E30789" s="23"/>
      <c r="L30789" s="23"/>
    </row>
    <row r="30790">
      <c r="B30790" s="19"/>
      <c r="E30790" s="23"/>
      <c r="L30790" s="23"/>
    </row>
    <row r="30791">
      <c r="B30791" s="19"/>
      <c r="E30791" s="23"/>
      <c r="L30791" s="23"/>
    </row>
    <row r="30792">
      <c r="B30792" s="19"/>
      <c r="E30792" s="23"/>
      <c r="L30792" s="23"/>
    </row>
    <row r="30793">
      <c r="B30793" s="19"/>
      <c r="E30793" s="23"/>
      <c r="L30793" s="23"/>
    </row>
    <row r="30794">
      <c r="B30794" s="19"/>
      <c r="E30794" s="23"/>
      <c r="L30794" s="23"/>
    </row>
    <row r="30795">
      <c r="B30795" s="19"/>
      <c r="E30795" s="23"/>
      <c r="L30795" s="23"/>
    </row>
    <row r="30796">
      <c r="B30796" s="19"/>
      <c r="E30796" s="23"/>
      <c r="L30796" s="23"/>
    </row>
    <row r="30797">
      <c r="B30797" s="19"/>
      <c r="E30797" s="23"/>
      <c r="L30797" s="23"/>
    </row>
    <row r="30798">
      <c r="B30798" s="19"/>
      <c r="E30798" s="23"/>
      <c r="L30798" s="23"/>
    </row>
    <row r="30799">
      <c r="B30799" s="19"/>
      <c r="E30799" s="23"/>
      <c r="L30799" s="23"/>
    </row>
    <row r="30800">
      <c r="B30800" s="19"/>
      <c r="E30800" s="23"/>
      <c r="L30800" s="23"/>
    </row>
    <row r="30801">
      <c r="B30801" s="19"/>
      <c r="E30801" s="23"/>
      <c r="L30801" s="23"/>
    </row>
    <row r="30802">
      <c r="B30802" s="19"/>
      <c r="E30802" s="23"/>
      <c r="L30802" s="23"/>
    </row>
    <row r="30803">
      <c r="B30803" s="19"/>
      <c r="E30803" s="23"/>
      <c r="L30803" s="23"/>
    </row>
    <row r="30804">
      <c r="B30804" s="19"/>
      <c r="E30804" s="23"/>
      <c r="L30804" s="23"/>
    </row>
    <row r="30805">
      <c r="B30805" s="19"/>
      <c r="E30805" s="23"/>
      <c r="L30805" s="23"/>
    </row>
    <row r="30806">
      <c r="B30806" s="19"/>
      <c r="E30806" s="23"/>
      <c r="L30806" s="23"/>
    </row>
    <row r="30807">
      <c r="B30807" s="19"/>
      <c r="E30807" s="23"/>
      <c r="L30807" s="23"/>
    </row>
    <row r="30808">
      <c r="B30808" s="19"/>
      <c r="E30808" s="23"/>
      <c r="L30808" s="23"/>
    </row>
    <row r="30809">
      <c r="B30809" s="19"/>
      <c r="E30809" s="23"/>
      <c r="L30809" s="23"/>
    </row>
    <row r="30810">
      <c r="B30810" s="19"/>
      <c r="E30810" s="23"/>
      <c r="L30810" s="23"/>
    </row>
    <row r="30811">
      <c r="B30811" s="19"/>
      <c r="E30811" s="23"/>
      <c r="L30811" s="23"/>
    </row>
    <row r="30812">
      <c r="B30812" s="19"/>
      <c r="E30812" s="23"/>
      <c r="L30812" s="23"/>
    </row>
    <row r="30813">
      <c r="B30813" s="19"/>
      <c r="E30813" s="23"/>
      <c r="L30813" s="23"/>
    </row>
    <row r="30814">
      <c r="B30814" s="19"/>
      <c r="E30814" s="23"/>
      <c r="L30814" s="23"/>
    </row>
    <row r="30815">
      <c r="B30815" s="19"/>
      <c r="E30815" s="23"/>
      <c r="L30815" s="23"/>
    </row>
    <row r="30816">
      <c r="B30816" s="19"/>
      <c r="E30816" s="23"/>
      <c r="L30816" s="23"/>
    </row>
    <row r="30817">
      <c r="B30817" s="19"/>
      <c r="E30817" s="23"/>
      <c r="L30817" s="23"/>
    </row>
    <row r="30818">
      <c r="B30818" s="19"/>
      <c r="E30818" s="23"/>
      <c r="L30818" s="23"/>
    </row>
    <row r="30819">
      <c r="B30819" s="19"/>
      <c r="E30819" s="23"/>
      <c r="L30819" s="23"/>
    </row>
    <row r="30820">
      <c r="B30820" s="19"/>
      <c r="E30820" s="23"/>
      <c r="L30820" s="23"/>
    </row>
    <row r="30821">
      <c r="B30821" s="19"/>
      <c r="E30821" s="23"/>
      <c r="L30821" s="23"/>
    </row>
    <row r="30822">
      <c r="B30822" s="19"/>
      <c r="E30822" s="23"/>
      <c r="L30822" s="23"/>
    </row>
    <row r="30823">
      <c r="B30823" s="19"/>
      <c r="E30823" s="23"/>
      <c r="L30823" s="23"/>
    </row>
    <row r="30824">
      <c r="B30824" s="19"/>
      <c r="E30824" s="23"/>
      <c r="L30824" s="23"/>
    </row>
    <row r="30825">
      <c r="B30825" s="19"/>
      <c r="E30825" s="23"/>
      <c r="L30825" s="23"/>
    </row>
    <row r="30826">
      <c r="B30826" s="19"/>
      <c r="E30826" s="23"/>
      <c r="L30826" s="23"/>
    </row>
    <row r="30827">
      <c r="B30827" s="19"/>
      <c r="E30827" s="23"/>
      <c r="L30827" s="23"/>
    </row>
    <row r="30828">
      <c r="B30828" s="19"/>
      <c r="E30828" s="23"/>
      <c r="L30828" s="23"/>
    </row>
    <row r="30829">
      <c r="B30829" s="19"/>
      <c r="E30829" s="23"/>
      <c r="L30829" s="23"/>
    </row>
    <row r="30830">
      <c r="B30830" s="19"/>
      <c r="E30830" s="23"/>
      <c r="L30830" s="23"/>
    </row>
    <row r="30831">
      <c r="B30831" s="19"/>
      <c r="E30831" s="23"/>
      <c r="L30831" s="23"/>
    </row>
    <row r="30832">
      <c r="B30832" s="19"/>
      <c r="E30832" s="23"/>
      <c r="L30832" s="23"/>
    </row>
    <row r="30833">
      <c r="B30833" s="19"/>
      <c r="E30833" s="23"/>
      <c r="L30833" s="23"/>
    </row>
    <row r="30834">
      <c r="B30834" s="19"/>
      <c r="E30834" s="23"/>
      <c r="L30834" s="23"/>
    </row>
    <row r="30835">
      <c r="B30835" s="19"/>
      <c r="E30835" s="23"/>
      <c r="L30835" s="23"/>
    </row>
    <row r="30836">
      <c r="B30836" s="19"/>
      <c r="E30836" s="23"/>
      <c r="L30836" s="23"/>
    </row>
    <row r="30837">
      <c r="B30837" s="19"/>
      <c r="E30837" s="23"/>
      <c r="L30837" s="23"/>
    </row>
    <row r="30838">
      <c r="B30838" s="19"/>
      <c r="E30838" s="23"/>
      <c r="L30838" s="23"/>
    </row>
    <row r="30839">
      <c r="B30839" s="19"/>
      <c r="E30839" s="23"/>
      <c r="L30839" s="23"/>
    </row>
    <row r="30840">
      <c r="B30840" s="19"/>
      <c r="E30840" s="23"/>
      <c r="L30840" s="23"/>
    </row>
    <row r="30841">
      <c r="B30841" s="19"/>
      <c r="E30841" s="23"/>
      <c r="L30841" s="23"/>
    </row>
    <row r="30842">
      <c r="B30842" s="19"/>
      <c r="E30842" s="23"/>
      <c r="L30842" s="23"/>
    </row>
    <row r="30843">
      <c r="B30843" s="19"/>
      <c r="E30843" s="23"/>
      <c r="L30843" s="23"/>
    </row>
    <row r="30844">
      <c r="B30844" s="19"/>
      <c r="E30844" s="23"/>
      <c r="L30844" s="23"/>
    </row>
    <row r="30845">
      <c r="B30845" s="19"/>
      <c r="E30845" s="23"/>
      <c r="L30845" s="23"/>
    </row>
    <row r="30846">
      <c r="B30846" s="19"/>
      <c r="E30846" s="23"/>
      <c r="L30846" s="23"/>
    </row>
    <row r="30847">
      <c r="B30847" s="19"/>
      <c r="E30847" s="23"/>
      <c r="L30847" s="23"/>
    </row>
    <row r="30848">
      <c r="B30848" s="19"/>
      <c r="E30848" s="23"/>
      <c r="L30848" s="23"/>
    </row>
    <row r="30849">
      <c r="B30849" s="19"/>
      <c r="E30849" s="23"/>
      <c r="L30849" s="23"/>
    </row>
    <row r="30850">
      <c r="B30850" s="19"/>
      <c r="E30850" s="23"/>
      <c r="L30850" s="23"/>
    </row>
    <row r="30851">
      <c r="B30851" s="19"/>
      <c r="E30851" s="23"/>
      <c r="L30851" s="23"/>
    </row>
    <row r="30852">
      <c r="B30852" s="19"/>
      <c r="E30852" s="23"/>
      <c r="L30852" s="23"/>
    </row>
    <row r="30853">
      <c r="B30853" s="19"/>
      <c r="E30853" s="23"/>
      <c r="L30853" s="23"/>
    </row>
    <row r="30854">
      <c r="B30854" s="19"/>
      <c r="E30854" s="23"/>
      <c r="L30854" s="23"/>
    </row>
    <row r="30855">
      <c r="B30855" s="19"/>
      <c r="E30855" s="23"/>
      <c r="L30855" s="23"/>
    </row>
    <row r="30856">
      <c r="B30856" s="19"/>
      <c r="E30856" s="23"/>
      <c r="L30856" s="23"/>
    </row>
    <row r="30857">
      <c r="B30857" s="19"/>
      <c r="E30857" s="23"/>
      <c r="L30857" s="23"/>
    </row>
    <row r="30858">
      <c r="B30858" s="19"/>
      <c r="E30858" s="23"/>
      <c r="L30858" s="23"/>
    </row>
    <row r="30859">
      <c r="B30859" s="19"/>
      <c r="E30859" s="23"/>
      <c r="L30859" s="23"/>
    </row>
    <row r="30860">
      <c r="B30860" s="19"/>
      <c r="E30860" s="23"/>
      <c r="L30860" s="23"/>
    </row>
    <row r="30861">
      <c r="B30861" s="19"/>
      <c r="E30861" s="23"/>
      <c r="L30861" s="23"/>
    </row>
    <row r="30862">
      <c r="B30862" s="19"/>
      <c r="E30862" s="23"/>
      <c r="L30862" s="23"/>
    </row>
    <row r="30863">
      <c r="B30863" s="19"/>
      <c r="E30863" s="23"/>
      <c r="L30863" s="23"/>
    </row>
    <row r="30864">
      <c r="B30864" s="19"/>
      <c r="E30864" s="23"/>
      <c r="L30864" s="23"/>
    </row>
    <row r="30865">
      <c r="B30865" s="19"/>
      <c r="E30865" s="23"/>
      <c r="L30865" s="23"/>
    </row>
    <row r="30866">
      <c r="B30866" s="19"/>
      <c r="E30866" s="23"/>
      <c r="L30866" s="23"/>
    </row>
    <row r="30867">
      <c r="B30867" s="19"/>
      <c r="E30867" s="23"/>
      <c r="L30867" s="23"/>
    </row>
    <row r="30868">
      <c r="B30868" s="19"/>
      <c r="E30868" s="23"/>
      <c r="L30868" s="23"/>
    </row>
    <row r="30869">
      <c r="B30869" s="19"/>
      <c r="E30869" s="23"/>
      <c r="L30869" s="23"/>
    </row>
    <row r="30870">
      <c r="B30870" s="19"/>
      <c r="E30870" s="23"/>
      <c r="L30870" s="23"/>
    </row>
    <row r="30871">
      <c r="B30871" s="19"/>
      <c r="E30871" s="23"/>
      <c r="L30871" s="23"/>
    </row>
    <row r="30872">
      <c r="B30872" s="19"/>
      <c r="E30872" s="23"/>
      <c r="L30872" s="23"/>
    </row>
    <row r="30873">
      <c r="B30873" s="19"/>
      <c r="E30873" s="23"/>
      <c r="L30873" s="23"/>
    </row>
    <row r="30874">
      <c r="B30874" s="19"/>
      <c r="E30874" s="23"/>
      <c r="L30874" s="23"/>
    </row>
    <row r="30875">
      <c r="B30875" s="19"/>
      <c r="E30875" s="23"/>
      <c r="L30875" s="23"/>
    </row>
    <row r="30876">
      <c r="B30876" s="19"/>
      <c r="E30876" s="23"/>
      <c r="L30876" s="23"/>
    </row>
    <row r="30877">
      <c r="B30877" s="19"/>
      <c r="E30877" s="23"/>
      <c r="L30877" s="23"/>
    </row>
    <row r="30878">
      <c r="B30878" s="19"/>
      <c r="E30878" s="23"/>
      <c r="L30878" s="23"/>
    </row>
    <row r="30879">
      <c r="B30879" s="19"/>
      <c r="E30879" s="23"/>
      <c r="L30879" s="23"/>
    </row>
    <row r="30880">
      <c r="B30880" s="19"/>
      <c r="E30880" s="23"/>
      <c r="L30880" s="23"/>
    </row>
    <row r="30881">
      <c r="B30881" s="19"/>
      <c r="E30881" s="23"/>
      <c r="L30881" s="23"/>
    </row>
    <row r="30882">
      <c r="B30882" s="19"/>
      <c r="E30882" s="23"/>
      <c r="L30882" s="23"/>
    </row>
    <row r="30883">
      <c r="B30883" s="19"/>
      <c r="E30883" s="23"/>
      <c r="L30883" s="23"/>
    </row>
    <row r="30884">
      <c r="B30884" s="19"/>
      <c r="E30884" s="23"/>
      <c r="L30884" s="23"/>
    </row>
    <row r="30885">
      <c r="B30885" s="19"/>
      <c r="E30885" s="23"/>
      <c r="L30885" s="23"/>
    </row>
    <row r="30886">
      <c r="B30886" s="19"/>
      <c r="E30886" s="23"/>
      <c r="L30886" s="23"/>
    </row>
    <row r="30887">
      <c r="B30887" s="19"/>
      <c r="E30887" s="23"/>
      <c r="L30887" s="23"/>
    </row>
    <row r="30888">
      <c r="B30888" s="19"/>
      <c r="E30888" s="23"/>
      <c r="L30888" s="23"/>
    </row>
    <row r="30889">
      <c r="B30889" s="19"/>
      <c r="E30889" s="23"/>
      <c r="L30889" s="23"/>
    </row>
    <row r="30890">
      <c r="B30890" s="19"/>
      <c r="E30890" s="23"/>
      <c r="L30890" s="23"/>
    </row>
    <row r="30891">
      <c r="B30891" s="19"/>
      <c r="E30891" s="23"/>
      <c r="L30891" s="23"/>
    </row>
    <row r="30892">
      <c r="B30892" s="19"/>
      <c r="E30892" s="23"/>
      <c r="L30892" s="23"/>
    </row>
    <row r="30893">
      <c r="B30893" s="19"/>
      <c r="E30893" s="23"/>
      <c r="L30893" s="23"/>
    </row>
    <row r="30894">
      <c r="B30894" s="19"/>
      <c r="E30894" s="23"/>
      <c r="L30894" s="23"/>
    </row>
    <row r="30895">
      <c r="B30895" s="19"/>
      <c r="E30895" s="23"/>
      <c r="L30895" s="23"/>
    </row>
    <row r="30896">
      <c r="B30896" s="19"/>
      <c r="E30896" s="23"/>
      <c r="L30896" s="23"/>
    </row>
    <row r="30897">
      <c r="B30897" s="19"/>
      <c r="E30897" s="23"/>
      <c r="L30897" s="23"/>
    </row>
    <row r="30898">
      <c r="B30898" s="19"/>
      <c r="E30898" s="23"/>
      <c r="L30898" s="23"/>
    </row>
    <row r="30899">
      <c r="B30899" s="19"/>
      <c r="E30899" s="23"/>
      <c r="L30899" s="23"/>
    </row>
    <row r="30900">
      <c r="B30900" s="19"/>
      <c r="E30900" s="23"/>
      <c r="L30900" s="23"/>
    </row>
    <row r="30901">
      <c r="B30901" s="19"/>
      <c r="E30901" s="23"/>
      <c r="L30901" s="23"/>
    </row>
    <row r="30902">
      <c r="B30902" s="19"/>
      <c r="E30902" s="23"/>
      <c r="L30902" s="23"/>
    </row>
    <row r="30903">
      <c r="B30903" s="19"/>
      <c r="E30903" s="23"/>
      <c r="L30903" s="23"/>
    </row>
    <row r="30904">
      <c r="B30904" s="19"/>
      <c r="E30904" s="23"/>
      <c r="L30904" s="23"/>
    </row>
    <row r="30905">
      <c r="B30905" s="19"/>
      <c r="E30905" s="23"/>
      <c r="L30905" s="23"/>
    </row>
    <row r="30906">
      <c r="B30906" s="19"/>
      <c r="E30906" s="23"/>
      <c r="L30906" s="23"/>
    </row>
    <row r="30907">
      <c r="B30907" s="19"/>
      <c r="E30907" s="23"/>
      <c r="L30907" s="23"/>
    </row>
    <row r="30908">
      <c r="B30908" s="19"/>
      <c r="E30908" s="23"/>
      <c r="L30908" s="23"/>
    </row>
    <row r="30909">
      <c r="B30909" s="19"/>
      <c r="E30909" s="23"/>
      <c r="L30909" s="23"/>
    </row>
    <row r="30910">
      <c r="B30910" s="19"/>
      <c r="E30910" s="23"/>
      <c r="L30910" s="23"/>
    </row>
    <row r="30911">
      <c r="B30911" s="19"/>
      <c r="E30911" s="23"/>
      <c r="L30911" s="23"/>
    </row>
    <row r="30912">
      <c r="B30912" s="19"/>
      <c r="E30912" s="23"/>
      <c r="L30912" s="23"/>
    </row>
    <row r="30913">
      <c r="B30913" s="19"/>
      <c r="E30913" s="23"/>
      <c r="L30913" s="23"/>
    </row>
    <row r="30914">
      <c r="B30914" s="19"/>
      <c r="E30914" s="23"/>
      <c r="L30914" s="23"/>
    </row>
    <row r="30915">
      <c r="B30915" s="19"/>
      <c r="E30915" s="23"/>
      <c r="L30915" s="23"/>
    </row>
    <row r="30916">
      <c r="B30916" s="19"/>
      <c r="E30916" s="23"/>
      <c r="L30916" s="23"/>
    </row>
    <row r="30917">
      <c r="B30917" s="19"/>
      <c r="E30917" s="23"/>
      <c r="L30917" s="23"/>
    </row>
    <row r="30918">
      <c r="B30918" s="19"/>
      <c r="E30918" s="23"/>
      <c r="L30918" s="23"/>
    </row>
    <row r="30919">
      <c r="B30919" s="19"/>
      <c r="E30919" s="23"/>
      <c r="L30919" s="23"/>
    </row>
    <row r="30920">
      <c r="B30920" s="19"/>
      <c r="E30920" s="23"/>
      <c r="L30920" s="23"/>
    </row>
    <row r="30921">
      <c r="B30921" s="19"/>
      <c r="E30921" s="23"/>
      <c r="L30921" s="23"/>
    </row>
    <row r="30922">
      <c r="B30922" s="19"/>
      <c r="E30922" s="23"/>
      <c r="L30922" s="23"/>
    </row>
    <row r="30923">
      <c r="B30923" s="19"/>
      <c r="E30923" s="23"/>
      <c r="L30923" s="23"/>
    </row>
    <row r="30924">
      <c r="B30924" s="19"/>
      <c r="E30924" s="23"/>
      <c r="L30924" s="23"/>
    </row>
    <row r="30925">
      <c r="B30925" s="19"/>
      <c r="E30925" s="23"/>
      <c r="L30925" s="23"/>
    </row>
    <row r="30926">
      <c r="B30926" s="19"/>
      <c r="E30926" s="23"/>
      <c r="L30926" s="23"/>
    </row>
    <row r="30927">
      <c r="B30927" s="19"/>
      <c r="E30927" s="23"/>
      <c r="L30927" s="23"/>
    </row>
    <row r="30928">
      <c r="B30928" s="19"/>
      <c r="E30928" s="23"/>
      <c r="L30928" s="23"/>
    </row>
    <row r="30929">
      <c r="B30929" s="19"/>
      <c r="E30929" s="23"/>
      <c r="L30929" s="23"/>
    </row>
    <row r="30930">
      <c r="B30930" s="19"/>
      <c r="E30930" s="23"/>
      <c r="L30930" s="23"/>
    </row>
    <row r="30931">
      <c r="B30931" s="19"/>
      <c r="E30931" s="23"/>
      <c r="L30931" s="23"/>
    </row>
    <row r="30932">
      <c r="B30932" s="19"/>
      <c r="E30932" s="23"/>
      <c r="L30932" s="23"/>
    </row>
    <row r="30933">
      <c r="B30933" s="19"/>
      <c r="E30933" s="23"/>
      <c r="L30933" s="23"/>
    </row>
    <row r="30934">
      <c r="B30934" s="19"/>
      <c r="E30934" s="23"/>
      <c r="L30934" s="23"/>
    </row>
    <row r="30935">
      <c r="B30935" s="19"/>
      <c r="E30935" s="23"/>
      <c r="L30935" s="23"/>
    </row>
    <row r="30936">
      <c r="B30936" s="19"/>
      <c r="E30936" s="23"/>
      <c r="L30936" s="23"/>
    </row>
    <row r="30937">
      <c r="B30937" s="19"/>
      <c r="E30937" s="23"/>
      <c r="L30937" s="23"/>
    </row>
    <row r="30938">
      <c r="B30938" s="19"/>
      <c r="E30938" s="23"/>
      <c r="L30938" s="23"/>
    </row>
    <row r="30939">
      <c r="B30939" s="19"/>
      <c r="E30939" s="23"/>
      <c r="L30939" s="23"/>
    </row>
    <row r="30940">
      <c r="B30940" s="19"/>
      <c r="E30940" s="23"/>
      <c r="L30940" s="23"/>
    </row>
    <row r="30941">
      <c r="B30941" s="19"/>
      <c r="E30941" s="23"/>
      <c r="L30941" s="23"/>
    </row>
    <row r="30942">
      <c r="B30942" s="19"/>
      <c r="E30942" s="23"/>
      <c r="L30942" s="23"/>
    </row>
    <row r="30943">
      <c r="B30943" s="19"/>
      <c r="E30943" s="23"/>
      <c r="L30943" s="23"/>
    </row>
    <row r="30944">
      <c r="B30944" s="19"/>
      <c r="E30944" s="23"/>
      <c r="L30944" s="23"/>
    </row>
    <row r="30945">
      <c r="B30945" s="19"/>
      <c r="E30945" s="23"/>
      <c r="L30945" s="23"/>
    </row>
    <row r="30946">
      <c r="B30946" s="19"/>
      <c r="E30946" s="23"/>
      <c r="L30946" s="23"/>
    </row>
    <row r="30947">
      <c r="B30947" s="19"/>
      <c r="E30947" s="23"/>
      <c r="L30947" s="23"/>
    </row>
    <row r="30948">
      <c r="B30948" s="19"/>
      <c r="E30948" s="23"/>
      <c r="L30948" s="23"/>
    </row>
    <row r="30949">
      <c r="B30949" s="19"/>
      <c r="E30949" s="23"/>
      <c r="L30949" s="23"/>
    </row>
    <row r="30950">
      <c r="B30950" s="19"/>
      <c r="E30950" s="23"/>
      <c r="L30950" s="23"/>
    </row>
    <row r="30951">
      <c r="B30951" s="19"/>
      <c r="E30951" s="23"/>
      <c r="L30951" s="23"/>
    </row>
    <row r="30952">
      <c r="B30952" s="19"/>
      <c r="E30952" s="23"/>
      <c r="L30952" s="23"/>
    </row>
    <row r="30953">
      <c r="B30953" s="19"/>
      <c r="E30953" s="23"/>
      <c r="L30953" s="23"/>
    </row>
    <row r="30954">
      <c r="B30954" s="19"/>
      <c r="E30954" s="23"/>
      <c r="L30954" s="23"/>
    </row>
    <row r="30955">
      <c r="B30955" s="19"/>
      <c r="E30955" s="23"/>
      <c r="L30955" s="23"/>
    </row>
    <row r="30956">
      <c r="B30956" s="19"/>
      <c r="E30956" s="23"/>
      <c r="L30956" s="23"/>
    </row>
    <row r="30957">
      <c r="B30957" s="19"/>
      <c r="E30957" s="23"/>
      <c r="L30957" s="23"/>
    </row>
    <row r="30958">
      <c r="B30958" s="19"/>
      <c r="E30958" s="23"/>
      <c r="L30958" s="23"/>
    </row>
    <row r="30959">
      <c r="B30959" s="19"/>
      <c r="E30959" s="23"/>
      <c r="L30959" s="23"/>
    </row>
    <row r="30960">
      <c r="B30960" s="19"/>
      <c r="E30960" s="23"/>
      <c r="L30960" s="23"/>
    </row>
    <row r="30961">
      <c r="B30961" s="19"/>
      <c r="E30961" s="23"/>
      <c r="L30961" s="23"/>
    </row>
    <row r="30962">
      <c r="B30962" s="19"/>
      <c r="E30962" s="23"/>
      <c r="L30962" s="23"/>
    </row>
    <row r="30963">
      <c r="B30963" s="19"/>
      <c r="E30963" s="23"/>
      <c r="L30963" s="23"/>
    </row>
    <row r="30964">
      <c r="B30964" s="19"/>
      <c r="E30964" s="23"/>
      <c r="L30964" s="23"/>
    </row>
    <row r="30965">
      <c r="B30965" s="19"/>
      <c r="E30965" s="23"/>
      <c r="L30965" s="23"/>
    </row>
    <row r="30966">
      <c r="B30966" s="19"/>
      <c r="E30966" s="23"/>
      <c r="L30966" s="23"/>
    </row>
    <row r="30967">
      <c r="B30967" s="19"/>
      <c r="E30967" s="23"/>
      <c r="L30967" s="23"/>
    </row>
    <row r="30968">
      <c r="B30968" s="19"/>
      <c r="E30968" s="23"/>
      <c r="L30968" s="23"/>
    </row>
    <row r="30969">
      <c r="B30969" s="19"/>
      <c r="E30969" s="23"/>
      <c r="L30969" s="23"/>
    </row>
    <row r="30970">
      <c r="B30970" s="19"/>
      <c r="E30970" s="23"/>
      <c r="L30970" s="23"/>
    </row>
    <row r="30971">
      <c r="B30971" s="19"/>
      <c r="E30971" s="23"/>
      <c r="L30971" s="23"/>
    </row>
    <row r="30972">
      <c r="B30972" s="19"/>
      <c r="E30972" s="23"/>
      <c r="L30972" s="23"/>
    </row>
    <row r="30973">
      <c r="B30973" s="19"/>
      <c r="E30973" s="23"/>
      <c r="L30973" s="23"/>
    </row>
    <row r="30974">
      <c r="B30974" s="19"/>
      <c r="E30974" s="23"/>
      <c r="L30974" s="23"/>
    </row>
    <row r="30975">
      <c r="B30975" s="19"/>
      <c r="E30975" s="23"/>
      <c r="L30975" s="23"/>
    </row>
    <row r="30976">
      <c r="B30976" s="19"/>
      <c r="E30976" s="23"/>
      <c r="L30976" s="23"/>
    </row>
    <row r="30977">
      <c r="B30977" s="19"/>
      <c r="E30977" s="23"/>
      <c r="L30977" s="23"/>
    </row>
    <row r="30978">
      <c r="B30978" s="19"/>
      <c r="E30978" s="23"/>
      <c r="L30978" s="23"/>
    </row>
    <row r="30979">
      <c r="B30979" s="19"/>
      <c r="E30979" s="23"/>
      <c r="L30979" s="23"/>
    </row>
    <row r="30980">
      <c r="B30980" s="19"/>
      <c r="E30980" s="23"/>
      <c r="L30980" s="23"/>
    </row>
    <row r="30981">
      <c r="B30981" s="19"/>
      <c r="E30981" s="23"/>
      <c r="L30981" s="23"/>
    </row>
    <row r="30982">
      <c r="B30982" s="19"/>
      <c r="E30982" s="23"/>
      <c r="L30982" s="23"/>
    </row>
    <row r="30983">
      <c r="B30983" s="19"/>
      <c r="E30983" s="23"/>
      <c r="L30983" s="23"/>
    </row>
    <row r="30984">
      <c r="B30984" s="19"/>
      <c r="E30984" s="23"/>
      <c r="L30984" s="23"/>
    </row>
    <row r="30985">
      <c r="B30985" s="19"/>
      <c r="E30985" s="23"/>
      <c r="L30985" s="23"/>
    </row>
    <row r="30986">
      <c r="B30986" s="19"/>
      <c r="E30986" s="23"/>
      <c r="L30986" s="23"/>
    </row>
    <row r="30987">
      <c r="B30987" s="19"/>
      <c r="E30987" s="23"/>
      <c r="L30987" s="23"/>
    </row>
    <row r="30988">
      <c r="B30988" s="19"/>
      <c r="E30988" s="23"/>
      <c r="L30988" s="23"/>
    </row>
    <row r="30989">
      <c r="B30989" s="19"/>
      <c r="E30989" s="23"/>
      <c r="L30989" s="23"/>
    </row>
    <row r="30990">
      <c r="B30990" s="19"/>
      <c r="E30990" s="23"/>
      <c r="L30990" s="23"/>
    </row>
    <row r="30991">
      <c r="B30991" s="19"/>
      <c r="E30991" s="23"/>
      <c r="L30991" s="23"/>
    </row>
    <row r="30992">
      <c r="B30992" s="19"/>
      <c r="E30992" s="23"/>
      <c r="L30992" s="23"/>
    </row>
    <row r="30993">
      <c r="B30993" s="19"/>
      <c r="E30993" s="23"/>
      <c r="L30993" s="23"/>
    </row>
    <row r="30994">
      <c r="B30994" s="19"/>
      <c r="E30994" s="23"/>
      <c r="L30994" s="23"/>
    </row>
    <row r="30995">
      <c r="B30995" s="19"/>
      <c r="E30995" s="23"/>
      <c r="L30995" s="23"/>
    </row>
    <row r="30996">
      <c r="B30996" s="19"/>
      <c r="E30996" s="23"/>
      <c r="L30996" s="23"/>
    </row>
    <row r="30997">
      <c r="B30997" s="19"/>
      <c r="E30997" s="23"/>
      <c r="L30997" s="23"/>
    </row>
    <row r="30998">
      <c r="B30998" s="19"/>
      <c r="E30998" s="23"/>
      <c r="L30998" s="23"/>
    </row>
    <row r="30999">
      <c r="B30999" s="19"/>
      <c r="E30999" s="23"/>
      <c r="L30999" s="23"/>
    </row>
    <row r="31000">
      <c r="B31000" s="19"/>
      <c r="E31000" s="23"/>
      <c r="L31000" s="23"/>
    </row>
    <row r="31001">
      <c r="B31001" s="19"/>
      <c r="E31001" s="23"/>
      <c r="L31001" s="23"/>
    </row>
    <row r="31002">
      <c r="B31002" s="19"/>
      <c r="E31002" s="23"/>
      <c r="L31002" s="23"/>
    </row>
    <row r="31003">
      <c r="B31003" s="19"/>
      <c r="E31003" s="23"/>
      <c r="L31003" s="23"/>
    </row>
    <row r="31004">
      <c r="B31004" s="19"/>
      <c r="E31004" s="23"/>
      <c r="L31004" s="23"/>
    </row>
    <row r="31005">
      <c r="B31005" s="19"/>
      <c r="E31005" s="23"/>
      <c r="L31005" s="23"/>
    </row>
    <row r="31006">
      <c r="B31006" s="19"/>
      <c r="E31006" s="23"/>
      <c r="L31006" s="23"/>
    </row>
    <row r="31007">
      <c r="B31007" s="19"/>
      <c r="E31007" s="23"/>
      <c r="L31007" s="23"/>
    </row>
    <row r="31008">
      <c r="B31008" s="19"/>
      <c r="E31008" s="23"/>
      <c r="L31008" s="23"/>
    </row>
    <row r="31009">
      <c r="B31009" s="19"/>
      <c r="E31009" s="23"/>
      <c r="L31009" s="23"/>
    </row>
    <row r="31010">
      <c r="B31010" s="19"/>
      <c r="E31010" s="23"/>
      <c r="L31010" s="23"/>
    </row>
    <row r="31011">
      <c r="B31011" s="19"/>
      <c r="E31011" s="23"/>
      <c r="L31011" s="23"/>
    </row>
    <row r="31012">
      <c r="B31012" s="19"/>
      <c r="E31012" s="23"/>
      <c r="L31012" s="23"/>
    </row>
    <row r="31013">
      <c r="B31013" s="19"/>
      <c r="E31013" s="23"/>
      <c r="L31013" s="23"/>
    </row>
    <row r="31014">
      <c r="B31014" s="19"/>
      <c r="E31014" s="23"/>
      <c r="L31014" s="23"/>
    </row>
    <row r="31015">
      <c r="B31015" s="19"/>
      <c r="E31015" s="23"/>
      <c r="L31015" s="23"/>
    </row>
    <row r="31016">
      <c r="B31016" s="19"/>
      <c r="E31016" s="23"/>
      <c r="L31016" s="23"/>
    </row>
    <row r="31017">
      <c r="B31017" s="19"/>
      <c r="E31017" s="23"/>
      <c r="L31017" s="23"/>
    </row>
    <row r="31018">
      <c r="B31018" s="19"/>
      <c r="E31018" s="23"/>
      <c r="L31018" s="23"/>
    </row>
    <row r="31019">
      <c r="B31019" s="19"/>
      <c r="E31019" s="23"/>
      <c r="L31019" s="23"/>
    </row>
    <row r="31020">
      <c r="B31020" s="19"/>
      <c r="E31020" s="23"/>
      <c r="L31020" s="23"/>
    </row>
    <row r="31021">
      <c r="B31021" s="19"/>
      <c r="E31021" s="23"/>
      <c r="L31021" s="23"/>
    </row>
    <row r="31022">
      <c r="B31022" s="19"/>
      <c r="E31022" s="23"/>
      <c r="L31022" s="23"/>
    </row>
    <row r="31023">
      <c r="B31023" s="19"/>
      <c r="E31023" s="23"/>
      <c r="L31023" s="23"/>
    </row>
    <row r="31024">
      <c r="B31024" s="19"/>
      <c r="E31024" s="23"/>
      <c r="L31024" s="23"/>
    </row>
    <row r="31025">
      <c r="B31025" s="19"/>
      <c r="E31025" s="23"/>
      <c r="L31025" s="23"/>
    </row>
    <row r="31026">
      <c r="B31026" s="19"/>
      <c r="E31026" s="23"/>
      <c r="L31026" s="23"/>
    </row>
    <row r="31027">
      <c r="B31027" s="19"/>
      <c r="E31027" s="23"/>
      <c r="L31027" s="23"/>
    </row>
    <row r="31028">
      <c r="B31028" s="19"/>
      <c r="E31028" s="23"/>
      <c r="L31028" s="23"/>
    </row>
    <row r="31029">
      <c r="B31029" s="19"/>
      <c r="E31029" s="23"/>
      <c r="L31029" s="23"/>
    </row>
    <row r="31030">
      <c r="B31030" s="19"/>
      <c r="E31030" s="23"/>
      <c r="L31030" s="23"/>
    </row>
    <row r="31031">
      <c r="B31031" s="19"/>
      <c r="E31031" s="23"/>
      <c r="L31031" s="23"/>
    </row>
    <row r="31032">
      <c r="B31032" s="19"/>
      <c r="E31032" s="23"/>
      <c r="L31032" s="23"/>
    </row>
    <row r="31033">
      <c r="B31033" s="19"/>
      <c r="E31033" s="23"/>
      <c r="L31033" s="23"/>
    </row>
    <row r="31034">
      <c r="B31034" s="19"/>
      <c r="E31034" s="23"/>
      <c r="L31034" s="23"/>
    </row>
    <row r="31035">
      <c r="B31035" s="19"/>
      <c r="E31035" s="23"/>
      <c r="L31035" s="23"/>
    </row>
    <row r="31036">
      <c r="B31036" s="19"/>
      <c r="E31036" s="23"/>
      <c r="L31036" s="23"/>
    </row>
    <row r="31037">
      <c r="B31037" s="19"/>
      <c r="E31037" s="23"/>
      <c r="L31037" s="23"/>
    </row>
    <row r="31038">
      <c r="B31038" s="19"/>
      <c r="E31038" s="23"/>
      <c r="L31038" s="23"/>
    </row>
    <row r="31039">
      <c r="B31039" s="19"/>
      <c r="E31039" s="23"/>
      <c r="L31039" s="23"/>
    </row>
    <row r="31040">
      <c r="B31040" s="19"/>
      <c r="E31040" s="23"/>
      <c r="L31040" s="23"/>
    </row>
    <row r="31041">
      <c r="B31041" s="19"/>
      <c r="E31041" s="23"/>
      <c r="L31041" s="23"/>
    </row>
    <row r="31042">
      <c r="B31042" s="19"/>
      <c r="E31042" s="23"/>
      <c r="L31042" s="23"/>
    </row>
    <row r="31043">
      <c r="B31043" s="19"/>
      <c r="E31043" s="23"/>
      <c r="L31043" s="23"/>
    </row>
    <row r="31044">
      <c r="B31044" s="19"/>
      <c r="E31044" s="23"/>
      <c r="L31044" s="23"/>
    </row>
    <row r="31045">
      <c r="B31045" s="19"/>
      <c r="E31045" s="23"/>
      <c r="L31045" s="23"/>
    </row>
    <row r="31046">
      <c r="B31046" s="19"/>
      <c r="E31046" s="23"/>
      <c r="L31046" s="23"/>
    </row>
    <row r="31047">
      <c r="B31047" s="19"/>
      <c r="E31047" s="23"/>
      <c r="L31047" s="23"/>
    </row>
    <row r="31048">
      <c r="B31048" s="19"/>
      <c r="E31048" s="23"/>
      <c r="L31048" s="23"/>
    </row>
    <row r="31049">
      <c r="B31049" s="19"/>
      <c r="E31049" s="23"/>
      <c r="L31049" s="23"/>
    </row>
    <row r="31050">
      <c r="B31050" s="19"/>
      <c r="E31050" s="23"/>
      <c r="L31050" s="23"/>
    </row>
    <row r="31051">
      <c r="B31051" s="19"/>
      <c r="E31051" s="23"/>
      <c r="L31051" s="23"/>
    </row>
    <row r="31052">
      <c r="B31052" s="19"/>
      <c r="E31052" s="23"/>
      <c r="L31052" s="23"/>
    </row>
    <row r="31053">
      <c r="B31053" s="19"/>
      <c r="E31053" s="23"/>
      <c r="L31053" s="23"/>
    </row>
    <row r="31054">
      <c r="B31054" s="19"/>
      <c r="E31054" s="23"/>
      <c r="L31054" s="23"/>
    </row>
    <row r="31055">
      <c r="B31055" s="19"/>
      <c r="E31055" s="23"/>
      <c r="L31055" s="23"/>
    </row>
    <row r="31056">
      <c r="B31056" s="19"/>
      <c r="E31056" s="23"/>
      <c r="L31056" s="23"/>
    </row>
    <row r="31057">
      <c r="B31057" s="19"/>
      <c r="E31057" s="23"/>
      <c r="L31057" s="23"/>
    </row>
    <row r="31058">
      <c r="B31058" s="19"/>
      <c r="E31058" s="23"/>
      <c r="L31058" s="23"/>
    </row>
    <row r="31059">
      <c r="B31059" s="19"/>
      <c r="E31059" s="23"/>
      <c r="L31059" s="23"/>
    </row>
    <row r="31060">
      <c r="B31060" s="19"/>
      <c r="E31060" s="23"/>
      <c r="L31060" s="23"/>
    </row>
    <row r="31061">
      <c r="B31061" s="19"/>
      <c r="E31061" s="23"/>
      <c r="L31061" s="23"/>
    </row>
    <row r="31062">
      <c r="B31062" s="19"/>
      <c r="E31062" s="23"/>
      <c r="L31062" s="23"/>
    </row>
    <row r="31063">
      <c r="B31063" s="19"/>
      <c r="E31063" s="23"/>
      <c r="L31063" s="23"/>
    </row>
    <row r="31064">
      <c r="B31064" s="19"/>
      <c r="E31064" s="23"/>
      <c r="L31064" s="23"/>
    </row>
    <row r="31065">
      <c r="B31065" s="19"/>
      <c r="E31065" s="23"/>
      <c r="L31065" s="23"/>
    </row>
    <row r="31066">
      <c r="B31066" s="19"/>
      <c r="E31066" s="23"/>
      <c r="L31066" s="23"/>
    </row>
    <row r="31067">
      <c r="B31067" s="19"/>
      <c r="E31067" s="23"/>
      <c r="L31067" s="23"/>
    </row>
    <row r="31068">
      <c r="B31068" s="19"/>
      <c r="E31068" s="23"/>
      <c r="L31068" s="23"/>
    </row>
    <row r="31069">
      <c r="B31069" s="19"/>
      <c r="E31069" s="23"/>
      <c r="L31069" s="23"/>
    </row>
    <row r="31070">
      <c r="B31070" s="19"/>
      <c r="E31070" s="23"/>
      <c r="L31070" s="23"/>
    </row>
    <row r="31071">
      <c r="B31071" s="19"/>
      <c r="E31071" s="23"/>
      <c r="L31071" s="23"/>
    </row>
    <row r="31072">
      <c r="B31072" s="19"/>
      <c r="E31072" s="23"/>
      <c r="L31072" s="23"/>
    </row>
    <row r="31073">
      <c r="B31073" s="19"/>
      <c r="E31073" s="23"/>
      <c r="L31073" s="23"/>
    </row>
    <row r="31074">
      <c r="B31074" s="19"/>
      <c r="E31074" s="23"/>
      <c r="L31074" s="23"/>
    </row>
    <row r="31075">
      <c r="B31075" s="19"/>
      <c r="E31075" s="23"/>
      <c r="L31075" s="23"/>
    </row>
    <row r="31076">
      <c r="B31076" s="19"/>
      <c r="E31076" s="23"/>
      <c r="L31076" s="23"/>
    </row>
    <row r="31077">
      <c r="B31077" s="19"/>
      <c r="E31077" s="23"/>
      <c r="L31077" s="23"/>
    </row>
    <row r="31078">
      <c r="B31078" s="19"/>
      <c r="E31078" s="23"/>
      <c r="L31078" s="23"/>
    </row>
    <row r="31079">
      <c r="B31079" s="19"/>
      <c r="E31079" s="23"/>
      <c r="L31079" s="23"/>
    </row>
    <row r="31080">
      <c r="B31080" s="19"/>
      <c r="E31080" s="23"/>
      <c r="L31080" s="23"/>
    </row>
    <row r="31081">
      <c r="B31081" s="19"/>
      <c r="E31081" s="23"/>
      <c r="L31081" s="23"/>
    </row>
    <row r="31082">
      <c r="B31082" s="19"/>
      <c r="E31082" s="23"/>
      <c r="L31082" s="23"/>
    </row>
    <row r="31083">
      <c r="B31083" s="19"/>
      <c r="E31083" s="23"/>
      <c r="L31083" s="23"/>
    </row>
    <row r="31084">
      <c r="B31084" s="19"/>
      <c r="E31084" s="23"/>
      <c r="L31084" s="23"/>
    </row>
    <row r="31085">
      <c r="B31085" s="19"/>
      <c r="E31085" s="23"/>
      <c r="L31085" s="23"/>
    </row>
    <row r="31086">
      <c r="B31086" s="19"/>
      <c r="E31086" s="23"/>
      <c r="L31086" s="23"/>
    </row>
    <row r="31087">
      <c r="B31087" s="19"/>
      <c r="E31087" s="23"/>
      <c r="L31087" s="23"/>
    </row>
    <row r="31088">
      <c r="B31088" s="19"/>
      <c r="E31088" s="23"/>
      <c r="L31088" s="23"/>
    </row>
    <row r="31089">
      <c r="B31089" s="19"/>
      <c r="E31089" s="23"/>
      <c r="L31089" s="23"/>
    </row>
    <row r="31090">
      <c r="B31090" s="19"/>
      <c r="E31090" s="23"/>
      <c r="L31090" s="23"/>
    </row>
    <row r="31091">
      <c r="B31091" s="19"/>
      <c r="E31091" s="23"/>
      <c r="L31091" s="23"/>
    </row>
    <row r="31092">
      <c r="B31092" s="19"/>
      <c r="E31092" s="23"/>
      <c r="L31092" s="23"/>
    </row>
    <row r="31093">
      <c r="B31093" s="19"/>
      <c r="E31093" s="23"/>
      <c r="L31093" s="23"/>
    </row>
    <row r="31094">
      <c r="B31094" s="19"/>
      <c r="E31094" s="23"/>
      <c r="L31094" s="23"/>
    </row>
    <row r="31095">
      <c r="B31095" s="19"/>
      <c r="E31095" s="23"/>
      <c r="L31095" s="23"/>
    </row>
    <row r="31096">
      <c r="B31096" s="19"/>
      <c r="E31096" s="23"/>
      <c r="L31096" s="23"/>
    </row>
    <row r="31097">
      <c r="B31097" s="19"/>
      <c r="E31097" s="23"/>
      <c r="L31097" s="23"/>
    </row>
    <row r="31098">
      <c r="B31098" s="19"/>
      <c r="E31098" s="23"/>
      <c r="L31098" s="23"/>
    </row>
    <row r="31099">
      <c r="B31099" s="19"/>
      <c r="E31099" s="23"/>
      <c r="L31099" s="23"/>
    </row>
    <row r="31100">
      <c r="B31100" s="19"/>
      <c r="E31100" s="23"/>
      <c r="L31100" s="23"/>
    </row>
    <row r="31101">
      <c r="B31101" s="19"/>
      <c r="E31101" s="23"/>
      <c r="L31101" s="23"/>
    </row>
    <row r="31102">
      <c r="B31102" s="19"/>
      <c r="E31102" s="23"/>
      <c r="L31102" s="23"/>
    </row>
    <row r="31103">
      <c r="B31103" s="19"/>
      <c r="E31103" s="23"/>
      <c r="L31103" s="23"/>
    </row>
    <row r="31104">
      <c r="B31104" s="19"/>
      <c r="E31104" s="23"/>
      <c r="L31104" s="23"/>
    </row>
    <row r="31105">
      <c r="B31105" s="19"/>
      <c r="E31105" s="23"/>
      <c r="L31105" s="23"/>
    </row>
    <row r="31106">
      <c r="B31106" s="19"/>
      <c r="E31106" s="23"/>
      <c r="L31106" s="23"/>
    </row>
    <row r="31107">
      <c r="B31107" s="19"/>
      <c r="E31107" s="23"/>
      <c r="L31107" s="23"/>
    </row>
    <row r="31108">
      <c r="B31108" s="19"/>
      <c r="E31108" s="23"/>
      <c r="L31108" s="23"/>
    </row>
    <row r="31109">
      <c r="B31109" s="19"/>
      <c r="E31109" s="23"/>
      <c r="L31109" s="23"/>
    </row>
    <row r="31110">
      <c r="B31110" s="19"/>
      <c r="E31110" s="23"/>
      <c r="L31110" s="23"/>
    </row>
    <row r="31111">
      <c r="B31111" s="19"/>
      <c r="E31111" s="23"/>
      <c r="L31111" s="23"/>
    </row>
    <row r="31112">
      <c r="B31112" s="19"/>
      <c r="E31112" s="23"/>
      <c r="L31112" s="23"/>
    </row>
    <row r="31113">
      <c r="B31113" s="19"/>
      <c r="E31113" s="23"/>
      <c r="L31113" s="23"/>
    </row>
    <row r="31114">
      <c r="B31114" s="19"/>
      <c r="E31114" s="23"/>
      <c r="L31114" s="23"/>
    </row>
    <row r="31115">
      <c r="B31115" s="19"/>
      <c r="E31115" s="23"/>
      <c r="L31115" s="23"/>
    </row>
    <row r="31116">
      <c r="B31116" s="19"/>
      <c r="E31116" s="23"/>
      <c r="L31116" s="23"/>
    </row>
    <row r="31117">
      <c r="B31117" s="19"/>
      <c r="E31117" s="23"/>
      <c r="L31117" s="23"/>
    </row>
    <row r="31118">
      <c r="B31118" s="19"/>
      <c r="E31118" s="23"/>
      <c r="L31118" s="23"/>
    </row>
    <row r="31119">
      <c r="B31119" s="19"/>
      <c r="E31119" s="23"/>
      <c r="L31119" s="23"/>
    </row>
    <row r="31120">
      <c r="B31120" s="19"/>
      <c r="E31120" s="23"/>
      <c r="L31120" s="23"/>
    </row>
    <row r="31121">
      <c r="B31121" s="19"/>
      <c r="E31121" s="23"/>
      <c r="L31121" s="23"/>
    </row>
    <row r="31122">
      <c r="B31122" s="19"/>
      <c r="E31122" s="23"/>
      <c r="L31122" s="23"/>
    </row>
    <row r="31123">
      <c r="B31123" s="19"/>
      <c r="E31123" s="23"/>
      <c r="L31123" s="23"/>
    </row>
    <row r="31124">
      <c r="B31124" s="19"/>
      <c r="E31124" s="23"/>
      <c r="L31124" s="23"/>
    </row>
    <row r="31125">
      <c r="B31125" s="19"/>
      <c r="E31125" s="23"/>
      <c r="L31125" s="23"/>
    </row>
    <row r="31126">
      <c r="B31126" s="19"/>
      <c r="E31126" s="23"/>
      <c r="L31126" s="23"/>
    </row>
    <row r="31127">
      <c r="B31127" s="19"/>
      <c r="E31127" s="23"/>
      <c r="L31127" s="23"/>
    </row>
    <row r="31128">
      <c r="B31128" s="19"/>
      <c r="E31128" s="23"/>
      <c r="L31128" s="23"/>
    </row>
    <row r="31129">
      <c r="B31129" s="19"/>
      <c r="E31129" s="23"/>
      <c r="L31129" s="23"/>
    </row>
    <row r="31130">
      <c r="B31130" s="19"/>
      <c r="E31130" s="23"/>
      <c r="L31130" s="23"/>
    </row>
    <row r="31131">
      <c r="B31131" s="19"/>
      <c r="E31131" s="23"/>
      <c r="L31131" s="23"/>
    </row>
    <row r="31132">
      <c r="B31132" s="19"/>
      <c r="E31132" s="23"/>
      <c r="L31132" s="23"/>
    </row>
    <row r="31133">
      <c r="B31133" s="19"/>
      <c r="E31133" s="23"/>
      <c r="L31133" s="23"/>
    </row>
    <row r="31134">
      <c r="B31134" s="19"/>
      <c r="E31134" s="23"/>
      <c r="L31134" s="23"/>
    </row>
    <row r="31135">
      <c r="B31135" s="19"/>
      <c r="E31135" s="23"/>
      <c r="L31135" s="23"/>
    </row>
    <row r="31136">
      <c r="B31136" s="19"/>
      <c r="E31136" s="23"/>
      <c r="L31136" s="23"/>
    </row>
    <row r="31137">
      <c r="B31137" s="19"/>
      <c r="E31137" s="23"/>
      <c r="L31137" s="23"/>
    </row>
    <row r="31138">
      <c r="B31138" s="19"/>
      <c r="E31138" s="23"/>
      <c r="L31138" s="23"/>
    </row>
    <row r="31139">
      <c r="B31139" s="19"/>
      <c r="E31139" s="23"/>
      <c r="L31139" s="23"/>
    </row>
    <row r="31140">
      <c r="B31140" s="19"/>
      <c r="E31140" s="23"/>
      <c r="L31140" s="23"/>
    </row>
    <row r="31141">
      <c r="B31141" s="19"/>
      <c r="E31141" s="23"/>
      <c r="L31141" s="23"/>
    </row>
    <row r="31142">
      <c r="B31142" s="19"/>
      <c r="E31142" s="23"/>
      <c r="L31142" s="23"/>
    </row>
    <row r="31143">
      <c r="B31143" s="19"/>
      <c r="E31143" s="23"/>
      <c r="L31143" s="23"/>
    </row>
    <row r="31144">
      <c r="B31144" s="19"/>
      <c r="E31144" s="23"/>
      <c r="L31144" s="23"/>
    </row>
    <row r="31145">
      <c r="B31145" s="19"/>
      <c r="E31145" s="23"/>
      <c r="L31145" s="23"/>
    </row>
    <row r="31146">
      <c r="B31146" s="19"/>
      <c r="E31146" s="23"/>
      <c r="L31146" s="23"/>
    </row>
    <row r="31147">
      <c r="B31147" s="19"/>
      <c r="E31147" s="23"/>
      <c r="L31147" s="23"/>
    </row>
    <row r="31148">
      <c r="B31148" s="19"/>
      <c r="E31148" s="23"/>
      <c r="L31148" s="23"/>
    </row>
    <row r="31149">
      <c r="B31149" s="19"/>
      <c r="E31149" s="23"/>
      <c r="L31149" s="23"/>
    </row>
    <row r="31150">
      <c r="B31150" s="19"/>
      <c r="E31150" s="23"/>
      <c r="L31150" s="23"/>
    </row>
    <row r="31151">
      <c r="B31151" s="19"/>
      <c r="E31151" s="23"/>
      <c r="L31151" s="23"/>
    </row>
    <row r="31152">
      <c r="B31152" s="19"/>
      <c r="E31152" s="23"/>
      <c r="L31152" s="23"/>
    </row>
    <row r="31153">
      <c r="B31153" s="19"/>
      <c r="E31153" s="23"/>
      <c r="L31153" s="23"/>
    </row>
    <row r="31154">
      <c r="B31154" s="19"/>
      <c r="E31154" s="23"/>
      <c r="L31154" s="23"/>
    </row>
    <row r="31155">
      <c r="B31155" s="19"/>
      <c r="E31155" s="23"/>
      <c r="L31155" s="23"/>
    </row>
    <row r="31156">
      <c r="B31156" s="19"/>
      <c r="E31156" s="23"/>
      <c r="L31156" s="23"/>
    </row>
    <row r="31157">
      <c r="B31157" s="19"/>
      <c r="E31157" s="23"/>
      <c r="L31157" s="23"/>
    </row>
    <row r="31158">
      <c r="B31158" s="19"/>
      <c r="E31158" s="23"/>
      <c r="L31158" s="23"/>
    </row>
    <row r="31159">
      <c r="B31159" s="19"/>
      <c r="E31159" s="23"/>
      <c r="L31159" s="23"/>
    </row>
    <row r="31160">
      <c r="B31160" s="19"/>
      <c r="E31160" s="23"/>
      <c r="L31160" s="23"/>
    </row>
    <row r="31161">
      <c r="B31161" s="19"/>
      <c r="E31161" s="23"/>
      <c r="L31161" s="23"/>
    </row>
    <row r="31162">
      <c r="B31162" s="19"/>
      <c r="E31162" s="23"/>
      <c r="L31162" s="23"/>
    </row>
    <row r="31163">
      <c r="B31163" s="19"/>
      <c r="E31163" s="23"/>
      <c r="L31163" s="23"/>
    </row>
    <row r="31164">
      <c r="B31164" s="19"/>
      <c r="E31164" s="23"/>
      <c r="L31164" s="23"/>
    </row>
    <row r="31165">
      <c r="B31165" s="19"/>
      <c r="E31165" s="23"/>
      <c r="L31165" s="23"/>
    </row>
    <row r="31166">
      <c r="B31166" s="19"/>
      <c r="E31166" s="23"/>
      <c r="L31166" s="23"/>
    </row>
    <row r="31167">
      <c r="B31167" s="19"/>
      <c r="E31167" s="23"/>
      <c r="L31167" s="23"/>
    </row>
    <row r="31168">
      <c r="B31168" s="19"/>
      <c r="E31168" s="23"/>
      <c r="L31168" s="23"/>
    </row>
    <row r="31169">
      <c r="B31169" s="19"/>
      <c r="E31169" s="23"/>
      <c r="L31169" s="23"/>
    </row>
    <row r="31170">
      <c r="B31170" s="19"/>
      <c r="E31170" s="23"/>
      <c r="L31170" s="23"/>
    </row>
    <row r="31171">
      <c r="B31171" s="19"/>
      <c r="E31171" s="23"/>
      <c r="L31171" s="23"/>
    </row>
    <row r="31172">
      <c r="B31172" s="19"/>
      <c r="E31172" s="23"/>
      <c r="L31172" s="23"/>
    </row>
    <row r="31173">
      <c r="B31173" s="19"/>
      <c r="E31173" s="23"/>
      <c r="L31173" s="23"/>
    </row>
    <row r="31174">
      <c r="B31174" s="19"/>
      <c r="E31174" s="23"/>
      <c r="L31174" s="23"/>
    </row>
    <row r="31175">
      <c r="B31175" s="19"/>
      <c r="E31175" s="23"/>
      <c r="L31175" s="23"/>
    </row>
    <row r="31176">
      <c r="B31176" s="19"/>
      <c r="E31176" s="23"/>
      <c r="L31176" s="23"/>
    </row>
    <row r="31177">
      <c r="B31177" s="19"/>
      <c r="E31177" s="23"/>
      <c r="L31177" s="23"/>
    </row>
    <row r="31178">
      <c r="B31178" s="19"/>
      <c r="E31178" s="23"/>
      <c r="L31178" s="23"/>
    </row>
    <row r="31179">
      <c r="B31179" s="19"/>
      <c r="E31179" s="23"/>
      <c r="L31179" s="23"/>
    </row>
    <row r="31180">
      <c r="B31180" s="19"/>
      <c r="E31180" s="23"/>
      <c r="L31180" s="23"/>
    </row>
    <row r="31181">
      <c r="B31181" s="19"/>
      <c r="E31181" s="23"/>
      <c r="L31181" s="23"/>
    </row>
    <row r="31182">
      <c r="B31182" s="19"/>
      <c r="E31182" s="23"/>
      <c r="L31182" s="23"/>
    </row>
    <row r="31183">
      <c r="B31183" s="19"/>
      <c r="E31183" s="23"/>
      <c r="L31183" s="23"/>
    </row>
    <row r="31184">
      <c r="B31184" s="19"/>
      <c r="E31184" s="23"/>
      <c r="L31184" s="23"/>
    </row>
    <row r="31185">
      <c r="B31185" s="19"/>
      <c r="E31185" s="23"/>
      <c r="L31185" s="23"/>
    </row>
    <row r="31186">
      <c r="B31186" s="19"/>
      <c r="E31186" s="23"/>
      <c r="L31186" s="23"/>
    </row>
    <row r="31187">
      <c r="B31187" s="19"/>
      <c r="E31187" s="23"/>
      <c r="L31187" s="23"/>
    </row>
    <row r="31188">
      <c r="B31188" s="19"/>
      <c r="E31188" s="23"/>
      <c r="L31188" s="23"/>
    </row>
    <row r="31189">
      <c r="B31189" s="19"/>
      <c r="E31189" s="23"/>
      <c r="L31189" s="23"/>
    </row>
    <row r="31190">
      <c r="B31190" s="19"/>
      <c r="E31190" s="23"/>
      <c r="L31190" s="23"/>
    </row>
    <row r="31191">
      <c r="B31191" s="19"/>
      <c r="E31191" s="23"/>
      <c r="L31191" s="23"/>
    </row>
    <row r="31192">
      <c r="B31192" s="19"/>
      <c r="E31192" s="23"/>
      <c r="L31192" s="23"/>
    </row>
    <row r="31193">
      <c r="B31193" s="19"/>
      <c r="E31193" s="23"/>
      <c r="L31193" s="23"/>
    </row>
    <row r="31194">
      <c r="B31194" s="19"/>
      <c r="E31194" s="23"/>
      <c r="L31194" s="23"/>
    </row>
    <row r="31195">
      <c r="B31195" s="19"/>
      <c r="E31195" s="23"/>
      <c r="L31195" s="23"/>
    </row>
    <row r="31196">
      <c r="B31196" s="19"/>
      <c r="E31196" s="23"/>
      <c r="L31196" s="23"/>
    </row>
    <row r="31197">
      <c r="B31197" s="19"/>
      <c r="E31197" s="23"/>
      <c r="L31197" s="23"/>
    </row>
    <row r="31198">
      <c r="B31198" s="19"/>
      <c r="E31198" s="23"/>
      <c r="L31198" s="23"/>
    </row>
    <row r="31199">
      <c r="B31199" s="19"/>
      <c r="E31199" s="23"/>
      <c r="L31199" s="23"/>
    </row>
    <row r="31200">
      <c r="B31200" s="19"/>
      <c r="E31200" s="23"/>
      <c r="L31200" s="23"/>
    </row>
    <row r="31201">
      <c r="B31201" s="19"/>
      <c r="E31201" s="23"/>
      <c r="L31201" s="23"/>
    </row>
    <row r="31202">
      <c r="B31202" s="19"/>
      <c r="E31202" s="23"/>
      <c r="L31202" s="23"/>
    </row>
    <row r="31203">
      <c r="B31203" s="19"/>
      <c r="E31203" s="23"/>
      <c r="L31203" s="23"/>
    </row>
    <row r="31204">
      <c r="B31204" s="19"/>
      <c r="E31204" s="23"/>
      <c r="L31204" s="23"/>
    </row>
    <row r="31205">
      <c r="B31205" s="19"/>
      <c r="E31205" s="23"/>
      <c r="L31205" s="23"/>
    </row>
    <row r="31206">
      <c r="B31206" s="19"/>
      <c r="E31206" s="23"/>
      <c r="L31206" s="23"/>
    </row>
    <row r="31207">
      <c r="B31207" s="19"/>
      <c r="E31207" s="23"/>
      <c r="L31207" s="23"/>
    </row>
    <row r="31208">
      <c r="B31208" s="19"/>
      <c r="E31208" s="23"/>
      <c r="L31208" s="23"/>
    </row>
    <row r="31209">
      <c r="B31209" s="19"/>
      <c r="E31209" s="23"/>
      <c r="L31209" s="23"/>
    </row>
    <row r="31210">
      <c r="B31210" s="19"/>
      <c r="E31210" s="23"/>
      <c r="L31210" s="23"/>
    </row>
    <row r="31211">
      <c r="B31211" s="19"/>
      <c r="E31211" s="23"/>
      <c r="L31211" s="23"/>
    </row>
    <row r="31212">
      <c r="B31212" s="19"/>
      <c r="E31212" s="23"/>
      <c r="L31212" s="23"/>
    </row>
    <row r="31213">
      <c r="B31213" s="19"/>
      <c r="E31213" s="23"/>
      <c r="L31213" s="23"/>
    </row>
    <row r="31214">
      <c r="B31214" s="19"/>
      <c r="E31214" s="23"/>
      <c r="L31214" s="23"/>
    </row>
    <row r="31215">
      <c r="B31215" s="19"/>
      <c r="E31215" s="23"/>
      <c r="L31215" s="23"/>
    </row>
    <row r="31216">
      <c r="B31216" s="19"/>
      <c r="E31216" s="23"/>
      <c r="L31216" s="23"/>
    </row>
    <row r="31217">
      <c r="B31217" s="19"/>
      <c r="E31217" s="23"/>
      <c r="L31217" s="23"/>
    </row>
    <row r="31218">
      <c r="B31218" s="19"/>
      <c r="E31218" s="23"/>
      <c r="L31218" s="23"/>
    </row>
    <row r="31219">
      <c r="B31219" s="19"/>
      <c r="E31219" s="23"/>
      <c r="L31219" s="23"/>
    </row>
    <row r="31220">
      <c r="B31220" s="19"/>
      <c r="E31220" s="23"/>
      <c r="L31220" s="23"/>
    </row>
    <row r="31221">
      <c r="B31221" s="19"/>
      <c r="E31221" s="23"/>
      <c r="L31221" s="23"/>
    </row>
    <row r="31222">
      <c r="B31222" s="19"/>
      <c r="E31222" s="23"/>
      <c r="L31222" s="23"/>
    </row>
    <row r="31223">
      <c r="B31223" s="19"/>
      <c r="E31223" s="23"/>
      <c r="L31223" s="23"/>
    </row>
    <row r="31224">
      <c r="B31224" s="19"/>
      <c r="E31224" s="23"/>
      <c r="L31224" s="23"/>
    </row>
    <row r="31225">
      <c r="B31225" s="19"/>
      <c r="E31225" s="23"/>
      <c r="L31225" s="23"/>
    </row>
    <row r="31226">
      <c r="B31226" s="19"/>
      <c r="E31226" s="23"/>
      <c r="L31226" s="23"/>
    </row>
    <row r="31227">
      <c r="B31227" s="19"/>
      <c r="E31227" s="23"/>
      <c r="L31227" s="23"/>
    </row>
    <row r="31228">
      <c r="B31228" s="19"/>
      <c r="E31228" s="23"/>
      <c r="L31228" s="23"/>
    </row>
    <row r="31229">
      <c r="B31229" s="19"/>
      <c r="E31229" s="23"/>
      <c r="L31229" s="23"/>
    </row>
    <row r="31230">
      <c r="B31230" s="19"/>
      <c r="E31230" s="23"/>
      <c r="L31230" s="23"/>
    </row>
    <row r="31231">
      <c r="B31231" s="19"/>
      <c r="E31231" s="23"/>
      <c r="L31231" s="23"/>
    </row>
    <row r="31232">
      <c r="B31232" s="19"/>
      <c r="E31232" s="23"/>
      <c r="L31232" s="23"/>
    </row>
    <row r="31233">
      <c r="B31233" s="19"/>
      <c r="E31233" s="23"/>
      <c r="L31233" s="23"/>
    </row>
    <row r="31234">
      <c r="B31234" s="19"/>
      <c r="E31234" s="23"/>
      <c r="L31234" s="23"/>
    </row>
    <row r="31235">
      <c r="B31235" s="19"/>
      <c r="E31235" s="23"/>
      <c r="L31235" s="23"/>
    </row>
    <row r="31236">
      <c r="B31236" s="19"/>
      <c r="E31236" s="23"/>
      <c r="L31236" s="23"/>
    </row>
    <row r="31237">
      <c r="B31237" s="19"/>
      <c r="E31237" s="23"/>
      <c r="L31237" s="23"/>
    </row>
    <row r="31238">
      <c r="B31238" s="19"/>
      <c r="E31238" s="23"/>
      <c r="L31238" s="23"/>
    </row>
    <row r="31239">
      <c r="B31239" s="19"/>
      <c r="E31239" s="23"/>
      <c r="L31239" s="23"/>
    </row>
    <row r="31240">
      <c r="B31240" s="19"/>
      <c r="E31240" s="23"/>
      <c r="L31240" s="23"/>
    </row>
    <row r="31241">
      <c r="B31241" s="19"/>
      <c r="E31241" s="23"/>
      <c r="L31241" s="23"/>
    </row>
    <row r="31242">
      <c r="B31242" s="19"/>
      <c r="E31242" s="23"/>
      <c r="L31242" s="23"/>
    </row>
    <row r="31243">
      <c r="B31243" s="19"/>
      <c r="E31243" s="23"/>
      <c r="L31243" s="23"/>
    </row>
    <row r="31244">
      <c r="B31244" s="19"/>
      <c r="E31244" s="23"/>
      <c r="L31244" s="23"/>
    </row>
    <row r="31245">
      <c r="B31245" s="19"/>
      <c r="E31245" s="23"/>
      <c r="L31245" s="23"/>
    </row>
    <row r="31246">
      <c r="B31246" s="19"/>
      <c r="E31246" s="23"/>
      <c r="L31246" s="23"/>
    </row>
    <row r="31247">
      <c r="B31247" s="19"/>
      <c r="E31247" s="23"/>
      <c r="L31247" s="23"/>
    </row>
    <row r="31248">
      <c r="B31248" s="19"/>
      <c r="E31248" s="23"/>
      <c r="L31248" s="23"/>
    </row>
    <row r="31249">
      <c r="B31249" s="19"/>
      <c r="E31249" s="23"/>
      <c r="L31249" s="23"/>
    </row>
    <row r="31250">
      <c r="B31250" s="19"/>
      <c r="E31250" s="23"/>
      <c r="L31250" s="23"/>
    </row>
    <row r="31251">
      <c r="B31251" s="19"/>
      <c r="E31251" s="23"/>
      <c r="L31251" s="23"/>
    </row>
    <row r="31252">
      <c r="B31252" s="19"/>
      <c r="E31252" s="23"/>
      <c r="L31252" s="23"/>
    </row>
    <row r="31253">
      <c r="B31253" s="19"/>
      <c r="E31253" s="23"/>
      <c r="L31253" s="23"/>
    </row>
    <row r="31254">
      <c r="B31254" s="19"/>
      <c r="E31254" s="23"/>
      <c r="L31254" s="23"/>
    </row>
    <row r="31255">
      <c r="B31255" s="19"/>
      <c r="E31255" s="23"/>
      <c r="L31255" s="23"/>
    </row>
    <row r="31256">
      <c r="B31256" s="19"/>
      <c r="E31256" s="23"/>
      <c r="L31256" s="23"/>
    </row>
    <row r="31257">
      <c r="B31257" s="19"/>
      <c r="E31257" s="23"/>
      <c r="L31257" s="23"/>
    </row>
    <row r="31258">
      <c r="B31258" s="19"/>
      <c r="E31258" s="23"/>
      <c r="L31258" s="23"/>
    </row>
    <row r="31259">
      <c r="B31259" s="19"/>
      <c r="E31259" s="23"/>
      <c r="L31259" s="23"/>
    </row>
    <row r="31260">
      <c r="B31260" s="19"/>
      <c r="E31260" s="23"/>
      <c r="L31260" s="23"/>
    </row>
    <row r="31261">
      <c r="B31261" s="19"/>
      <c r="E31261" s="23"/>
      <c r="L31261" s="23"/>
    </row>
    <row r="31262">
      <c r="B31262" s="19"/>
      <c r="E31262" s="23"/>
      <c r="L31262" s="23"/>
    </row>
    <row r="31263">
      <c r="B31263" s="19"/>
      <c r="E31263" s="23"/>
      <c r="L31263" s="23"/>
    </row>
    <row r="31264">
      <c r="B31264" s="19"/>
      <c r="E31264" s="23"/>
      <c r="L31264" s="23"/>
    </row>
    <row r="31265">
      <c r="B31265" s="19"/>
      <c r="E31265" s="23"/>
      <c r="L31265" s="23"/>
    </row>
    <row r="31266">
      <c r="B31266" s="19"/>
      <c r="E31266" s="23"/>
      <c r="L31266" s="23"/>
    </row>
    <row r="31267">
      <c r="B31267" s="19"/>
      <c r="E31267" s="23"/>
      <c r="L31267" s="23"/>
    </row>
    <row r="31268">
      <c r="B31268" s="19"/>
      <c r="E31268" s="23"/>
      <c r="L31268" s="23"/>
    </row>
    <row r="31269">
      <c r="B31269" s="19"/>
      <c r="E31269" s="23"/>
      <c r="L31269" s="23"/>
    </row>
    <row r="31270">
      <c r="B31270" s="19"/>
      <c r="E31270" s="23"/>
      <c r="L31270" s="23"/>
    </row>
    <row r="31271">
      <c r="B31271" s="19"/>
      <c r="E31271" s="23"/>
      <c r="L31271" s="23"/>
    </row>
    <row r="31272">
      <c r="B31272" s="19"/>
      <c r="E31272" s="23"/>
      <c r="L31272" s="23"/>
    </row>
    <row r="31273">
      <c r="B31273" s="19"/>
      <c r="E31273" s="23"/>
      <c r="L31273" s="23"/>
    </row>
    <row r="31274">
      <c r="B31274" s="19"/>
      <c r="E31274" s="23"/>
      <c r="L31274" s="23"/>
    </row>
    <row r="31275">
      <c r="B31275" s="19"/>
      <c r="E31275" s="23"/>
      <c r="L31275" s="23"/>
    </row>
    <row r="31276">
      <c r="B31276" s="19"/>
      <c r="E31276" s="23"/>
      <c r="L31276" s="23"/>
    </row>
    <row r="31277">
      <c r="B31277" s="19"/>
      <c r="E31277" s="23"/>
      <c r="L31277" s="23"/>
    </row>
    <row r="31278">
      <c r="B31278" s="19"/>
      <c r="E31278" s="23"/>
      <c r="L31278" s="23"/>
    </row>
    <row r="31279">
      <c r="B31279" s="19"/>
      <c r="E31279" s="23"/>
      <c r="L31279" s="23"/>
    </row>
    <row r="31280">
      <c r="B31280" s="19"/>
      <c r="E31280" s="23"/>
      <c r="L31280" s="23"/>
    </row>
    <row r="31281">
      <c r="B31281" s="19"/>
      <c r="E31281" s="23"/>
      <c r="L31281" s="23"/>
    </row>
    <row r="31282">
      <c r="B31282" s="19"/>
      <c r="E31282" s="23"/>
      <c r="L31282" s="23"/>
    </row>
    <row r="31283">
      <c r="B31283" s="19"/>
      <c r="E31283" s="23"/>
      <c r="L31283" s="23"/>
    </row>
    <row r="31284">
      <c r="B31284" s="19"/>
      <c r="E31284" s="23"/>
      <c r="L31284" s="23"/>
    </row>
    <row r="31285">
      <c r="B31285" s="19"/>
      <c r="E31285" s="23"/>
      <c r="L31285" s="23"/>
    </row>
    <row r="31286">
      <c r="B31286" s="19"/>
      <c r="E31286" s="23"/>
      <c r="L31286" s="23"/>
    </row>
    <row r="31287">
      <c r="B31287" s="19"/>
      <c r="E31287" s="23"/>
      <c r="L31287" s="23"/>
    </row>
    <row r="31288">
      <c r="B31288" s="19"/>
      <c r="E31288" s="23"/>
      <c r="L31288" s="23"/>
    </row>
    <row r="31289">
      <c r="B31289" s="19"/>
      <c r="E31289" s="23"/>
      <c r="L31289" s="23"/>
    </row>
    <row r="31290">
      <c r="B31290" s="19"/>
      <c r="E31290" s="23"/>
      <c r="L31290" s="23"/>
    </row>
    <row r="31291">
      <c r="B31291" s="19"/>
      <c r="E31291" s="23"/>
      <c r="L31291" s="23"/>
    </row>
    <row r="31292">
      <c r="B31292" s="19"/>
      <c r="E31292" s="23"/>
      <c r="L31292" s="23"/>
    </row>
    <row r="31293">
      <c r="B31293" s="19"/>
      <c r="E31293" s="23"/>
      <c r="L31293" s="23"/>
    </row>
    <row r="31294">
      <c r="B31294" s="19"/>
      <c r="E31294" s="23"/>
      <c r="L31294" s="23"/>
    </row>
    <row r="31295">
      <c r="B31295" s="19"/>
      <c r="E31295" s="23"/>
      <c r="L31295" s="23"/>
    </row>
    <row r="31296">
      <c r="B31296" s="19"/>
      <c r="E31296" s="23"/>
      <c r="L31296" s="23"/>
    </row>
    <row r="31297">
      <c r="B31297" s="19"/>
      <c r="E31297" s="23"/>
      <c r="L31297" s="23"/>
    </row>
    <row r="31298">
      <c r="B31298" s="19"/>
      <c r="E31298" s="23"/>
      <c r="L31298" s="23"/>
    </row>
    <row r="31299">
      <c r="B31299" s="19"/>
      <c r="E31299" s="23"/>
      <c r="L31299" s="23"/>
    </row>
    <row r="31300">
      <c r="B31300" s="19"/>
      <c r="E31300" s="23"/>
      <c r="L31300" s="23"/>
    </row>
    <row r="31301">
      <c r="B31301" s="19"/>
      <c r="E31301" s="23"/>
      <c r="L31301" s="23"/>
    </row>
    <row r="31302">
      <c r="B31302" s="19"/>
      <c r="E31302" s="23"/>
      <c r="L31302" s="23"/>
    </row>
    <row r="31303">
      <c r="B31303" s="19"/>
      <c r="E31303" s="23"/>
      <c r="L31303" s="23"/>
    </row>
    <row r="31304">
      <c r="B31304" s="19"/>
      <c r="E31304" s="23"/>
      <c r="L31304" s="23"/>
    </row>
    <row r="31305">
      <c r="B31305" s="19"/>
      <c r="E31305" s="23"/>
      <c r="L31305" s="23"/>
    </row>
    <row r="31306">
      <c r="B31306" s="19"/>
      <c r="E31306" s="23"/>
      <c r="L31306" s="23"/>
    </row>
    <row r="31307">
      <c r="B31307" s="19"/>
      <c r="E31307" s="23"/>
      <c r="L31307" s="23"/>
    </row>
    <row r="31308">
      <c r="B31308" s="19"/>
      <c r="E31308" s="23"/>
      <c r="L31308" s="23"/>
    </row>
    <row r="31309">
      <c r="B31309" s="19"/>
      <c r="E31309" s="23"/>
      <c r="L31309" s="23"/>
    </row>
    <row r="31310">
      <c r="B31310" s="19"/>
      <c r="E31310" s="23"/>
      <c r="L31310" s="23"/>
    </row>
    <row r="31311">
      <c r="B31311" s="19"/>
      <c r="E31311" s="23"/>
      <c r="L31311" s="23"/>
    </row>
    <row r="31312">
      <c r="B31312" s="19"/>
      <c r="E31312" s="23"/>
      <c r="L31312" s="23"/>
    </row>
    <row r="31313">
      <c r="B31313" s="19"/>
      <c r="E31313" s="23"/>
      <c r="L31313" s="23"/>
    </row>
    <row r="31314">
      <c r="B31314" s="19"/>
      <c r="E31314" s="23"/>
      <c r="L31314" s="23"/>
    </row>
    <row r="31315">
      <c r="B31315" s="19"/>
      <c r="E31315" s="23"/>
      <c r="L31315" s="23"/>
    </row>
    <row r="31316">
      <c r="B31316" s="19"/>
      <c r="E31316" s="23"/>
      <c r="L31316" s="23"/>
    </row>
    <row r="31317">
      <c r="B31317" s="19"/>
      <c r="E31317" s="23"/>
      <c r="L31317" s="23"/>
    </row>
    <row r="31318">
      <c r="B31318" s="19"/>
      <c r="E31318" s="23"/>
      <c r="L31318" s="23"/>
    </row>
    <row r="31319">
      <c r="B31319" s="19"/>
      <c r="E31319" s="23"/>
      <c r="L31319" s="23"/>
    </row>
    <row r="31320">
      <c r="B31320" s="19"/>
      <c r="E31320" s="23"/>
      <c r="L31320" s="23"/>
    </row>
    <row r="31321">
      <c r="B31321" s="19"/>
      <c r="E31321" s="23"/>
      <c r="L31321" s="23"/>
    </row>
    <row r="31322">
      <c r="B31322" s="19"/>
      <c r="E31322" s="23"/>
      <c r="L31322" s="23"/>
    </row>
    <row r="31323">
      <c r="B31323" s="19"/>
      <c r="E31323" s="23"/>
      <c r="L31323" s="23"/>
    </row>
    <row r="31324">
      <c r="B31324" s="19"/>
      <c r="E31324" s="23"/>
      <c r="L31324" s="23"/>
    </row>
    <row r="31325">
      <c r="B31325" s="19"/>
      <c r="E31325" s="23"/>
      <c r="L31325" s="23"/>
    </row>
    <row r="31326">
      <c r="B31326" s="19"/>
      <c r="E31326" s="23"/>
      <c r="L31326" s="23"/>
    </row>
    <row r="31327">
      <c r="B31327" s="19"/>
      <c r="E31327" s="23"/>
      <c r="L31327" s="23"/>
    </row>
    <row r="31328">
      <c r="B31328" s="19"/>
      <c r="E31328" s="23"/>
      <c r="L31328" s="23"/>
    </row>
    <row r="31329">
      <c r="B31329" s="19"/>
      <c r="E31329" s="23"/>
      <c r="L31329" s="23"/>
    </row>
    <row r="31330">
      <c r="B31330" s="19"/>
      <c r="E31330" s="23"/>
      <c r="L31330" s="23"/>
    </row>
    <row r="31331">
      <c r="B31331" s="19"/>
      <c r="E31331" s="23"/>
      <c r="L31331" s="23"/>
    </row>
    <row r="31332">
      <c r="B31332" s="19"/>
      <c r="E31332" s="23"/>
      <c r="L31332" s="23"/>
    </row>
    <row r="31333">
      <c r="B31333" s="19"/>
      <c r="E31333" s="23"/>
      <c r="L31333" s="23"/>
    </row>
    <row r="31334">
      <c r="B31334" s="19"/>
      <c r="E31334" s="23"/>
      <c r="L31334" s="23"/>
    </row>
    <row r="31335">
      <c r="B31335" s="19"/>
      <c r="E31335" s="23"/>
      <c r="L31335" s="23"/>
    </row>
    <row r="31336">
      <c r="B31336" s="19"/>
      <c r="E31336" s="23"/>
      <c r="L31336" s="23"/>
    </row>
    <row r="31337">
      <c r="B31337" s="19"/>
      <c r="E31337" s="23"/>
      <c r="L31337" s="23"/>
    </row>
    <row r="31338">
      <c r="B31338" s="19"/>
      <c r="E31338" s="23"/>
      <c r="L31338" s="23"/>
    </row>
    <row r="31339">
      <c r="B31339" s="19"/>
      <c r="E31339" s="23"/>
      <c r="L31339" s="23"/>
    </row>
    <row r="31340">
      <c r="B31340" s="19"/>
      <c r="E31340" s="23"/>
      <c r="L31340" s="23"/>
    </row>
    <row r="31341">
      <c r="B31341" s="19"/>
      <c r="E31341" s="23"/>
      <c r="L31341" s="23"/>
    </row>
    <row r="31342">
      <c r="B31342" s="19"/>
      <c r="E31342" s="23"/>
      <c r="L31342" s="23"/>
    </row>
    <row r="31343">
      <c r="B31343" s="19"/>
      <c r="E31343" s="23"/>
      <c r="L31343" s="23"/>
    </row>
    <row r="31344">
      <c r="B31344" s="19"/>
      <c r="E31344" s="23"/>
      <c r="L31344" s="23"/>
    </row>
    <row r="31345">
      <c r="B31345" s="19"/>
      <c r="E31345" s="23"/>
      <c r="L31345" s="23"/>
    </row>
    <row r="31346">
      <c r="B31346" s="19"/>
      <c r="E31346" s="23"/>
      <c r="L31346" s="23"/>
    </row>
    <row r="31347">
      <c r="B31347" s="19"/>
      <c r="E31347" s="23"/>
      <c r="L31347" s="23"/>
    </row>
    <row r="31348">
      <c r="B31348" s="19"/>
      <c r="E31348" s="23"/>
      <c r="L31348" s="23"/>
    </row>
    <row r="31349">
      <c r="B31349" s="19"/>
      <c r="E31349" s="23"/>
      <c r="L31349" s="23"/>
    </row>
    <row r="31350">
      <c r="B31350" s="19"/>
      <c r="E31350" s="23"/>
      <c r="L31350" s="23"/>
    </row>
    <row r="31351">
      <c r="B31351" s="19"/>
      <c r="E31351" s="23"/>
      <c r="L31351" s="23"/>
    </row>
    <row r="31352">
      <c r="B31352" s="19"/>
      <c r="E31352" s="23"/>
      <c r="L31352" s="23"/>
    </row>
    <row r="31353">
      <c r="B31353" s="19"/>
      <c r="E31353" s="23"/>
      <c r="L31353" s="23"/>
    </row>
    <row r="31354">
      <c r="B31354" s="19"/>
      <c r="E31354" s="23"/>
      <c r="L31354" s="23"/>
    </row>
    <row r="31355">
      <c r="B31355" s="19"/>
      <c r="E31355" s="23"/>
      <c r="L31355" s="23"/>
    </row>
    <row r="31356">
      <c r="B31356" s="19"/>
      <c r="E31356" s="23"/>
      <c r="L31356" s="23"/>
    </row>
    <row r="31357">
      <c r="B31357" s="19"/>
      <c r="E31357" s="23"/>
      <c r="L31357" s="23"/>
    </row>
    <row r="31358">
      <c r="B31358" s="19"/>
      <c r="E31358" s="23"/>
      <c r="L31358" s="23"/>
    </row>
    <row r="31359">
      <c r="B31359" s="19"/>
      <c r="E31359" s="23"/>
      <c r="L31359" s="23"/>
    </row>
    <row r="31360">
      <c r="B31360" s="19"/>
      <c r="E31360" s="23"/>
      <c r="L31360" s="23"/>
    </row>
    <row r="31361">
      <c r="B31361" s="19"/>
      <c r="E31361" s="23"/>
      <c r="L31361" s="23"/>
    </row>
    <row r="31362">
      <c r="B31362" s="19"/>
      <c r="E31362" s="23"/>
      <c r="L31362" s="23"/>
    </row>
    <row r="31363">
      <c r="B31363" s="19"/>
      <c r="E31363" s="23"/>
      <c r="L31363" s="23"/>
    </row>
    <row r="31364">
      <c r="B31364" s="19"/>
      <c r="E31364" s="23"/>
      <c r="L31364" s="23"/>
    </row>
    <row r="31365">
      <c r="B31365" s="19"/>
      <c r="E31365" s="23"/>
      <c r="L31365" s="23"/>
    </row>
    <row r="31366">
      <c r="B31366" s="19"/>
      <c r="E31366" s="23"/>
      <c r="L31366" s="23"/>
    </row>
    <row r="31367">
      <c r="B31367" s="19"/>
      <c r="E31367" s="23"/>
      <c r="L31367" s="23"/>
    </row>
    <row r="31368">
      <c r="B31368" s="19"/>
      <c r="E31368" s="23"/>
      <c r="L31368" s="23"/>
    </row>
    <row r="31369">
      <c r="B31369" s="19"/>
      <c r="E31369" s="23"/>
      <c r="L31369" s="23"/>
    </row>
    <row r="31370">
      <c r="B31370" s="19"/>
      <c r="E31370" s="23"/>
      <c r="L31370" s="23"/>
    </row>
    <row r="31371">
      <c r="B31371" s="19"/>
      <c r="E31371" s="23"/>
      <c r="L31371" s="23"/>
    </row>
    <row r="31372">
      <c r="B31372" s="19"/>
      <c r="E31372" s="23"/>
      <c r="L31372" s="23"/>
    </row>
    <row r="31373">
      <c r="B31373" s="19"/>
      <c r="E31373" s="23"/>
      <c r="L31373" s="23"/>
    </row>
    <row r="31374">
      <c r="B31374" s="19"/>
      <c r="E31374" s="23"/>
      <c r="L31374" s="23"/>
    </row>
    <row r="31375">
      <c r="B31375" s="19"/>
      <c r="E31375" s="23"/>
      <c r="L31375" s="23"/>
    </row>
    <row r="31376">
      <c r="B31376" s="19"/>
      <c r="E31376" s="23"/>
      <c r="L31376" s="23"/>
    </row>
    <row r="31377">
      <c r="B31377" s="19"/>
      <c r="E31377" s="23"/>
      <c r="L31377" s="23"/>
    </row>
    <row r="31378">
      <c r="B31378" s="19"/>
      <c r="E31378" s="23"/>
      <c r="L31378" s="23"/>
    </row>
    <row r="31379">
      <c r="B31379" s="19"/>
      <c r="E31379" s="23"/>
      <c r="L31379" s="23"/>
    </row>
    <row r="31380">
      <c r="B31380" s="19"/>
      <c r="E31380" s="23"/>
      <c r="L31380" s="23"/>
    </row>
    <row r="31381">
      <c r="B31381" s="19"/>
      <c r="E31381" s="23"/>
      <c r="L31381" s="23"/>
    </row>
    <row r="31382">
      <c r="B31382" s="19"/>
      <c r="E31382" s="23"/>
      <c r="L31382" s="23"/>
    </row>
    <row r="31383">
      <c r="B31383" s="19"/>
      <c r="E31383" s="23"/>
      <c r="L31383" s="23"/>
    </row>
    <row r="31384">
      <c r="B31384" s="19"/>
      <c r="E31384" s="23"/>
      <c r="L31384" s="23"/>
    </row>
    <row r="31385">
      <c r="B31385" s="19"/>
      <c r="E31385" s="23"/>
      <c r="L31385" s="23"/>
    </row>
    <row r="31386">
      <c r="B31386" s="19"/>
      <c r="E31386" s="23"/>
      <c r="L31386" s="23"/>
    </row>
    <row r="31387">
      <c r="B31387" s="19"/>
      <c r="E31387" s="23"/>
      <c r="L31387" s="23"/>
    </row>
    <row r="31388">
      <c r="B31388" s="19"/>
      <c r="E31388" s="23"/>
      <c r="L31388" s="23"/>
    </row>
    <row r="31389">
      <c r="B31389" s="19"/>
      <c r="E31389" s="23"/>
      <c r="L31389" s="23"/>
    </row>
    <row r="31390">
      <c r="B31390" s="19"/>
      <c r="E31390" s="23"/>
      <c r="L31390" s="23"/>
    </row>
    <row r="31391">
      <c r="B31391" s="19"/>
      <c r="E31391" s="23"/>
      <c r="L31391" s="23"/>
    </row>
    <row r="31392">
      <c r="B31392" s="19"/>
      <c r="E31392" s="23"/>
      <c r="L31392" s="23"/>
    </row>
    <row r="31393">
      <c r="B31393" s="19"/>
      <c r="E31393" s="23"/>
      <c r="L31393" s="23"/>
    </row>
    <row r="31394">
      <c r="B31394" s="19"/>
      <c r="E31394" s="23"/>
      <c r="L31394" s="23"/>
    </row>
    <row r="31395">
      <c r="B31395" s="19"/>
      <c r="E31395" s="23"/>
      <c r="L31395" s="23"/>
    </row>
    <row r="31396">
      <c r="B31396" s="19"/>
      <c r="E31396" s="23"/>
      <c r="L31396" s="23"/>
    </row>
    <row r="31397">
      <c r="B31397" s="19"/>
      <c r="E31397" s="23"/>
      <c r="L31397" s="23"/>
    </row>
    <row r="31398">
      <c r="B31398" s="19"/>
      <c r="E31398" s="23"/>
      <c r="L31398" s="23"/>
    </row>
    <row r="31399">
      <c r="B31399" s="19"/>
      <c r="E31399" s="23"/>
      <c r="L31399" s="23"/>
    </row>
    <row r="31400">
      <c r="B31400" s="19"/>
      <c r="E31400" s="23"/>
      <c r="L31400" s="23"/>
    </row>
    <row r="31401">
      <c r="B31401" s="19"/>
      <c r="E31401" s="23"/>
      <c r="L31401" s="23"/>
    </row>
    <row r="31402">
      <c r="B31402" s="19"/>
      <c r="E31402" s="23"/>
      <c r="L31402" s="23"/>
    </row>
    <row r="31403">
      <c r="B31403" s="19"/>
      <c r="E31403" s="23"/>
      <c r="L31403" s="23"/>
    </row>
    <row r="31404">
      <c r="B31404" s="19"/>
      <c r="E31404" s="23"/>
      <c r="L31404" s="23"/>
    </row>
    <row r="31405">
      <c r="B31405" s="19"/>
      <c r="E31405" s="23"/>
      <c r="L31405" s="23"/>
    </row>
    <row r="31406">
      <c r="B31406" s="19"/>
      <c r="E31406" s="23"/>
      <c r="L31406" s="23"/>
    </row>
    <row r="31407">
      <c r="B31407" s="19"/>
      <c r="E31407" s="23"/>
      <c r="L31407" s="23"/>
    </row>
    <row r="31408">
      <c r="B31408" s="19"/>
      <c r="E31408" s="23"/>
      <c r="L31408" s="23"/>
    </row>
    <row r="31409">
      <c r="B31409" s="19"/>
      <c r="E31409" s="23"/>
      <c r="L31409" s="23"/>
    </row>
    <row r="31410">
      <c r="B31410" s="19"/>
      <c r="E31410" s="23"/>
      <c r="L31410" s="23"/>
    </row>
    <row r="31411">
      <c r="B31411" s="19"/>
      <c r="E31411" s="23"/>
      <c r="L31411" s="23"/>
    </row>
    <row r="31412">
      <c r="B31412" s="19"/>
      <c r="E31412" s="23"/>
      <c r="L31412" s="23"/>
    </row>
    <row r="31413">
      <c r="B31413" s="19"/>
      <c r="E31413" s="23"/>
      <c r="L31413" s="23"/>
    </row>
    <row r="31414">
      <c r="B31414" s="19"/>
      <c r="E31414" s="23"/>
      <c r="L31414" s="23"/>
    </row>
    <row r="31415">
      <c r="B31415" s="19"/>
      <c r="E31415" s="23"/>
      <c r="L31415" s="23"/>
    </row>
    <row r="31416">
      <c r="B31416" s="19"/>
      <c r="E31416" s="23"/>
      <c r="L31416" s="23"/>
    </row>
    <row r="31417">
      <c r="B31417" s="19"/>
      <c r="E31417" s="23"/>
      <c r="L31417" s="23"/>
    </row>
    <row r="31418">
      <c r="B31418" s="19"/>
      <c r="E31418" s="23"/>
      <c r="L31418" s="23"/>
    </row>
    <row r="31419">
      <c r="B31419" s="19"/>
      <c r="E31419" s="23"/>
      <c r="L31419" s="23"/>
    </row>
    <row r="31420">
      <c r="B31420" s="19"/>
      <c r="E31420" s="23"/>
      <c r="L31420" s="23"/>
    </row>
    <row r="31421">
      <c r="B31421" s="19"/>
      <c r="E31421" s="23"/>
      <c r="L31421" s="23"/>
    </row>
    <row r="31422">
      <c r="B31422" s="19"/>
      <c r="E31422" s="23"/>
      <c r="L31422" s="23"/>
    </row>
    <row r="31423">
      <c r="B31423" s="19"/>
      <c r="E31423" s="23"/>
      <c r="L31423" s="23"/>
    </row>
    <row r="31424">
      <c r="B31424" s="19"/>
      <c r="E31424" s="23"/>
      <c r="L31424" s="23"/>
    </row>
    <row r="31425">
      <c r="B31425" s="19"/>
      <c r="E31425" s="23"/>
      <c r="L31425" s="23"/>
    </row>
    <row r="31426">
      <c r="B31426" s="19"/>
      <c r="E31426" s="23"/>
      <c r="L31426" s="23"/>
    </row>
    <row r="31427">
      <c r="B31427" s="19"/>
      <c r="E31427" s="23"/>
      <c r="L31427" s="23"/>
    </row>
    <row r="31428">
      <c r="B31428" s="19"/>
      <c r="E31428" s="23"/>
      <c r="L31428" s="23"/>
    </row>
    <row r="31429">
      <c r="B31429" s="19"/>
      <c r="E31429" s="23"/>
      <c r="L31429" s="23"/>
    </row>
    <row r="31430">
      <c r="B31430" s="19"/>
      <c r="E31430" s="23"/>
      <c r="L31430" s="23"/>
    </row>
    <row r="31431">
      <c r="B31431" s="19"/>
      <c r="E31431" s="23"/>
      <c r="L31431" s="23"/>
    </row>
    <row r="31432">
      <c r="B31432" s="19"/>
      <c r="E31432" s="23"/>
      <c r="L31432" s="23"/>
    </row>
    <row r="31433">
      <c r="B31433" s="19"/>
      <c r="E31433" s="23"/>
      <c r="L31433" s="23"/>
    </row>
    <row r="31434">
      <c r="B31434" s="19"/>
      <c r="E31434" s="23"/>
      <c r="L31434" s="23"/>
    </row>
    <row r="31435">
      <c r="B31435" s="19"/>
      <c r="E31435" s="23"/>
      <c r="L31435" s="23"/>
    </row>
    <row r="31436">
      <c r="B31436" s="19"/>
      <c r="E31436" s="23"/>
      <c r="L31436" s="23"/>
    </row>
    <row r="31437">
      <c r="B31437" s="19"/>
      <c r="E31437" s="23"/>
      <c r="L31437" s="23"/>
    </row>
    <row r="31438">
      <c r="B31438" s="19"/>
      <c r="E31438" s="23"/>
      <c r="L31438" s="23"/>
    </row>
    <row r="31439">
      <c r="B31439" s="19"/>
      <c r="E31439" s="23"/>
      <c r="L31439" s="23"/>
    </row>
    <row r="31440">
      <c r="B31440" s="19"/>
      <c r="E31440" s="23"/>
      <c r="L31440" s="23"/>
    </row>
    <row r="31441">
      <c r="B31441" s="19"/>
      <c r="E31441" s="23"/>
      <c r="L31441" s="23"/>
    </row>
    <row r="31442">
      <c r="B31442" s="19"/>
      <c r="E31442" s="23"/>
      <c r="L31442" s="23"/>
    </row>
    <row r="31443">
      <c r="B31443" s="19"/>
      <c r="E31443" s="23"/>
      <c r="L31443" s="23"/>
    </row>
    <row r="31444">
      <c r="B31444" s="19"/>
      <c r="E31444" s="23"/>
      <c r="L31444" s="23"/>
    </row>
    <row r="31445">
      <c r="B31445" s="19"/>
      <c r="E31445" s="23"/>
      <c r="L31445" s="23"/>
    </row>
    <row r="31446">
      <c r="B31446" s="19"/>
      <c r="E31446" s="23"/>
      <c r="L31446" s="23"/>
    </row>
    <row r="31447">
      <c r="B31447" s="19"/>
      <c r="E31447" s="23"/>
      <c r="L31447" s="23"/>
    </row>
    <row r="31448">
      <c r="B31448" s="19"/>
      <c r="E31448" s="23"/>
      <c r="L31448" s="23"/>
    </row>
    <row r="31449">
      <c r="B31449" s="19"/>
      <c r="E31449" s="23"/>
      <c r="L31449" s="23"/>
    </row>
    <row r="31450">
      <c r="B31450" s="19"/>
      <c r="E31450" s="23"/>
      <c r="L31450" s="23"/>
    </row>
    <row r="31451">
      <c r="B31451" s="19"/>
      <c r="E31451" s="23"/>
      <c r="L31451" s="23"/>
    </row>
    <row r="31452">
      <c r="B31452" s="19"/>
      <c r="E31452" s="23"/>
      <c r="L31452" s="23"/>
    </row>
    <row r="31453">
      <c r="B31453" s="19"/>
      <c r="E31453" s="23"/>
      <c r="L31453" s="23"/>
    </row>
    <row r="31454">
      <c r="B31454" s="19"/>
      <c r="E31454" s="23"/>
      <c r="L31454" s="23"/>
    </row>
    <row r="31455">
      <c r="B31455" s="19"/>
      <c r="E31455" s="23"/>
      <c r="L31455" s="23"/>
    </row>
    <row r="31456">
      <c r="B31456" s="19"/>
      <c r="E31456" s="23"/>
      <c r="L31456" s="23"/>
    </row>
    <row r="31457">
      <c r="B31457" s="19"/>
      <c r="E31457" s="23"/>
      <c r="L31457" s="23"/>
    </row>
    <row r="31458">
      <c r="B31458" s="19"/>
      <c r="E31458" s="23"/>
      <c r="L31458" s="23"/>
    </row>
    <row r="31459">
      <c r="B31459" s="19"/>
      <c r="E31459" s="23"/>
      <c r="L31459" s="23"/>
    </row>
    <row r="31460">
      <c r="B31460" s="19"/>
      <c r="E31460" s="23"/>
      <c r="L31460" s="23"/>
    </row>
    <row r="31461">
      <c r="B31461" s="19"/>
      <c r="E31461" s="23"/>
      <c r="L31461" s="23"/>
    </row>
    <row r="31462">
      <c r="B31462" s="19"/>
      <c r="E31462" s="23"/>
      <c r="L31462" s="23"/>
    </row>
    <row r="31463">
      <c r="B31463" s="19"/>
      <c r="E31463" s="23"/>
      <c r="L31463" s="23"/>
    </row>
    <row r="31464">
      <c r="B31464" s="19"/>
      <c r="E31464" s="23"/>
      <c r="L31464" s="23"/>
    </row>
    <row r="31465">
      <c r="B31465" s="19"/>
      <c r="E31465" s="23"/>
      <c r="L31465" s="23"/>
    </row>
    <row r="31466">
      <c r="B31466" s="19"/>
      <c r="E31466" s="23"/>
      <c r="L31466" s="23"/>
    </row>
    <row r="31467">
      <c r="B31467" s="19"/>
      <c r="E31467" s="23"/>
      <c r="L31467" s="23"/>
    </row>
    <row r="31468">
      <c r="B31468" s="19"/>
      <c r="E31468" s="23"/>
      <c r="L31468" s="23"/>
    </row>
    <row r="31469">
      <c r="B31469" s="19"/>
      <c r="E31469" s="23"/>
      <c r="L31469" s="23"/>
    </row>
    <row r="31470">
      <c r="B31470" s="19"/>
      <c r="E31470" s="23"/>
      <c r="L31470" s="23"/>
    </row>
    <row r="31471">
      <c r="B31471" s="19"/>
      <c r="E31471" s="23"/>
      <c r="L31471" s="23"/>
    </row>
    <row r="31472">
      <c r="B31472" s="19"/>
      <c r="E31472" s="23"/>
      <c r="L31472" s="23"/>
    </row>
    <row r="31473">
      <c r="B31473" s="19"/>
      <c r="E31473" s="23"/>
      <c r="L31473" s="23"/>
    </row>
    <row r="31474">
      <c r="B31474" s="19"/>
      <c r="E31474" s="23"/>
      <c r="L31474" s="23"/>
    </row>
    <row r="31475">
      <c r="B31475" s="19"/>
      <c r="E31475" s="23"/>
      <c r="L31475" s="23"/>
    </row>
    <row r="31476">
      <c r="B31476" s="19"/>
      <c r="E31476" s="23"/>
      <c r="L31476" s="23"/>
    </row>
    <row r="31477">
      <c r="B31477" s="19"/>
      <c r="E31477" s="23"/>
      <c r="L31477" s="23"/>
    </row>
    <row r="31478">
      <c r="B31478" s="19"/>
      <c r="E31478" s="23"/>
      <c r="L31478" s="23"/>
    </row>
    <row r="31479">
      <c r="B31479" s="19"/>
      <c r="E31479" s="23"/>
      <c r="L31479" s="23"/>
    </row>
    <row r="31480">
      <c r="B31480" s="19"/>
      <c r="E31480" s="23"/>
      <c r="L31480" s="23"/>
    </row>
    <row r="31481">
      <c r="B31481" s="19"/>
      <c r="E31481" s="23"/>
      <c r="L31481" s="23"/>
    </row>
    <row r="31482">
      <c r="B31482" s="19"/>
      <c r="E31482" s="23"/>
      <c r="L31482" s="23"/>
    </row>
    <row r="31483">
      <c r="B31483" s="19"/>
      <c r="E31483" s="23"/>
      <c r="L31483" s="23"/>
    </row>
    <row r="31484">
      <c r="B31484" s="19"/>
      <c r="E31484" s="23"/>
      <c r="L31484" s="23"/>
    </row>
    <row r="31485">
      <c r="B31485" s="19"/>
      <c r="E31485" s="23"/>
      <c r="L31485" s="23"/>
    </row>
    <row r="31486">
      <c r="B31486" s="19"/>
      <c r="E31486" s="23"/>
      <c r="L31486" s="23"/>
    </row>
    <row r="31487">
      <c r="B31487" s="19"/>
      <c r="E31487" s="23"/>
      <c r="L31487" s="23"/>
    </row>
    <row r="31488">
      <c r="B31488" s="19"/>
      <c r="E31488" s="23"/>
      <c r="L31488" s="23"/>
    </row>
    <row r="31489">
      <c r="B31489" s="19"/>
      <c r="E31489" s="23"/>
      <c r="L31489" s="23"/>
    </row>
    <row r="31490">
      <c r="B31490" s="19"/>
      <c r="E31490" s="23"/>
      <c r="L31490" s="23"/>
    </row>
    <row r="31491">
      <c r="B31491" s="19"/>
      <c r="E31491" s="23"/>
      <c r="L31491" s="23"/>
    </row>
    <row r="31492">
      <c r="B31492" s="19"/>
      <c r="E31492" s="23"/>
      <c r="L31492" s="23"/>
    </row>
    <row r="31493">
      <c r="B31493" s="19"/>
      <c r="E31493" s="23"/>
      <c r="L31493" s="23"/>
    </row>
    <row r="31494">
      <c r="B31494" s="19"/>
      <c r="E31494" s="23"/>
      <c r="L31494" s="23"/>
    </row>
    <row r="31495">
      <c r="B31495" s="19"/>
      <c r="E31495" s="23"/>
      <c r="L31495" s="23"/>
    </row>
    <row r="31496">
      <c r="B31496" s="19"/>
      <c r="E31496" s="23"/>
      <c r="L31496" s="23"/>
    </row>
    <row r="31497">
      <c r="B31497" s="19"/>
      <c r="E31497" s="23"/>
      <c r="L31497" s="23"/>
    </row>
    <row r="31498">
      <c r="B31498" s="19"/>
      <c r="E31498" s="23"/>
      <c r="L31498" s="23"/>
    </row>
    <row r="31499">
      <c r="B31499" s="19"/>
      <c r="E31499" s="23"/>
      <c r="L31499" s="23"/>
    </row>
    <row r="31500">
      <c r="B31500" s="19"/>
      <c r="E31500" s="23"/>
      <c r="L31500" s="23"/>
    </row>
    <row r="31501">
      <c r="B31501" s="19"/>
      <c r="E31501" s="23"/>
      <c r="L31501" s="23"/>
    </row>
    <row r="31502">
      <c r="B31502" s="19"/>
      <c r="E31502" s="23"/>
      <c r="L31502" s="23"/>
    </row>
    <row r="31503">
      <c r="B31503" s="19"/>
      <c r="E31503" s="23"/>
      <c r="L31503" s="23"/>
    </row>
    <row r="31504">
      <c r="B31504" s="19"/>
      <c r="E31504" s="23"/>
      <c r="L31504" s="23"/>
    </row>
    <row r="31505">
      <c r="B31505" s="19"/>
      <c r="E31505" s="23"/>
      <c r="L31505" s="23"/>
    </row>
    <row r="31506">
      <c r="B31506" s="19"/>
      <c r="E31506" s="23"/>
      <c r="L31506" s="23"/>
    </row>
    <row r="31507">
      <c r="B31507" s="19"/>
      <c r="E31507" s="23"/>
      <c r="L31507" s="23"/>
    </row>
    <row r="31508">
      <c r="B31508" s="19"/>
      <c r="E31508" s="23"/>
      <c r="L31508" s="23"/>
    </row>
    <row r="31509">
      <c r="B31509" s="19"/>
      <c r="E31509" s="23"/>
      <c r="L31509" s="23"/>
    </row>
    <row r="31510">
      <c r="B31510" s="19"/>
      <c r="E31510" s="23"/>
      <c r="L31510" s="23"/>
    </row>
    <row r="31511">
      <c r="B31511" s="19"/>
      <c r="E31511" s="23"/>
      <c r="L31511" s="23"/>
    </row>
    <row r="31512">
      <c r="B31512" s="19"/>
      <c r="E31512" s="23"/>
      <c r="L31512" s="23"/>
    </row>
    <row r="31513">
      <c r="B31513" s="19"/>
      <c r="E31513" s="23"/>
      <c r="L31513" s="23"/>
    </row>
    <row r="31514">
      <c r="B31514" s="19"/>
      <c r="E31514" s="23"/>
      <c r="L31514" s="23"/>
    </row>
    <row r="31515">
      <c r="B31515" s="19"/>
      <c r="E31515" s="23"/>
      <c r="L31515" s="23"/>
    </row>
    <row r="31516">
      <c r="B31516" s="19"/>
      <c r="E31516" s="23"/>
      <c r="L31516" s="23"/>
    </row>
    <row r="31517">
      <c r="B31517" s="19"/>
      <c r="E31517" s="23"/>
      <c r="L31517" s="23"/>
    </row>
    <row r="31518">
      <c r="B31518" s="19"/>
      <c r="E31518" s="23"/>
      <c r="L31518" s="23"/>
    </row>
    <row r="31519">
      <c r="B31519" s="19"/>
      <c r="E31519" s="23"/>
      <c r="L31519" s="23"/>
    </row>
    <row r="31520">
      <c r="B31520" s="19"/>
      <c r="E31520" s="23"/>
      <c r="L31520" s="23"/>
    </row>
    <row r="31521">
      <c r="B31521" s="19"/>
      <c r="E31521" s="23"/>
      <c r="L31521" s="23"/>
    </row>
    <row r="31522">
      <c r="B31522" s="19"/>
      <c r="E31522" s="23"/>
      <c r="L31522" s="23"/>
    </row>
    <row r="31523">
      <c r="B31523" s="19"/>
      <c r="E31523" s="23"/>
      <c r="L31523" s="23"/>
    </row>
    <row r="31524">
      <c r="B31524" s="19"/>
      <c r="E31524" s="23"/>
      <c r="L31524" s="23"/>
    </row>
    <row r="31525">
      <c r="B31525" s="19"/>
      <c r="E31525" s="23"/>
      <c r="L31525" s="23"/>
    </row>
    <row r="31526">
      <c r="B31526" s="19"/>
      <c r="E31526" s="23"/>
      <c r="L31526" s="23"/>
    </row>
    <row r="31527">
      <c r="B31527" s="19"/>
      <c r="E31527" s="23"/>
      <c r="L31527" s="23"/>
    </row>
    <row r="31528">
      <c r="B31528" s="19"/>
      <c r="E31528" s="23"/>
      <c r="L31528" s="23"/>
    </row>
    <row r="31529">
      <c r="B31529" s="19"/>
      <c r="E31529" s="23"/>
      <c r="L31529" s="23"/>
    </row>
    <row r="31530">
      <c r="B31530" s="19"/>
      <c r="E31530" s="23"/>
      <c r="L31530" s="23"/>
    </row>
    <row r="31531">
      <c r="B31531" s="19"/>
      <c r="E31531" s="23"/>
      <c r="L31531" s="23"/>
    </row>
    <row r="31532">
      <c r="B31532" s="19"/>
      <c r="E31532" s="23"/>
      <c r="L31532" s="23"/>
    </row>
    <row r="31533">
      <c r="B31533" s="19"/>
      <c r="E31533" s="23"/>
      <c r="L31533" s="23"/>
    </row>
    <row r="31534">
      <c r="B31534" s="19"/>
      <c r="E31534" s="23"/>
      <c r="L31534" s="23"/>
    </row>
    <row r="31535">
      <c r="B31535" s="19"/>
      <c r="E31535" s="23"/>
      <c r="L31535" s="23"/>
    </row>
    <row r="31536">
      <c r="B31536" s="19"/>
      <c r="E31536" s="23"/>
      <c r="L31536" s="23"/>
    </row>
    <row r="31537">
      <c r="B31537" s="19"/>
      <c r="E31537" s="23"/>
      <c r="L31537" s="23"/>
    </row>
    <row r="31538">
      <c r="B31538" s="19"/>
      <c r="E31538" s="23"/>
      <c r="L31538" s="23"/>
    </row>
    <row r="31539">
      <c r="B31539" s="19"/>
      <c r="E31539" s="23"/>
      <c r="L31539" s="23"/>
    </row>
    <row r="31540">
      <c r="B31540" s="19"/>
      <c r="E31540" s="23"/>
      <c r="L31540" s="23"/>
    </row>
    <row r="31541">
      <c r="B31541" s="19"/>
      <c r="E31541" s="23"/>
      <c r="L31541" s="23"/>
    </row>
    <row r="31542">
      <c r="B31542" s="19"/>
      <c r="E31542" s="23"/>
      <c r="L31542" s="23"/>
    </row>
    <row r="31543">
      <c r="B31543" s="19"/>
      <c r="E31543" s="23"/>
      <c r="L31543" s="23"/>
    </row>
    <row r="31544">
      <c r="B31544" s="19"/>
      <c r="E31544" s="23"/>
      <c r="L31544" s="23"/>
    </row>
    <row r="31545">
      <c r="B31545" s="19"/>
      <c r="E31545" s="23"/>
      <c r="L31545" s="23"/>
    </row>
    <row r="31546">
      <c r="B31546" s="19"/>
      <c r="E31546" s="23"/>
      <c r="L31546" s="23"/>
    </row>
    <row r="31547">
      <c r="B31547" s="19"/>
      <c r="E31547" s="23"/>
      <c r="L31547" s="23"/>
    </row>
    <row r="31548">
      <c r="B31548" s="19"/>
      <c r="E31548" s="23"/>
      <c r="L31548" s="23"/>
    </row>
    <row r="31549">
      <c r="B31549" s="19"/>
      <c r="E31549" s="23"/>
      <c r="L31549" s="23"/>
    </row>
    <row r="31550">
      <c r="B31550" s="19"/>
      <c r="E31550" s="23"/>
      <c r="L31550" s="23"/>
    </row>
    <row r="31551">
      <c r="B31551" s="19"/>
      <c r="E31551" s="23"/>
      <c r="L31551" s="23"/>
    </row>
    <row r="31552">
      <c r="B31552" s="19"/>
      <c r="E31552" s="23"/>
      <c r="L31552" s="23"/>
    </row>
    <row r="31553">
      <c r="B31553" s="19"/>
      <c r="E31553" s="23"/>
      <c r="L31553" s="23"/>
    </row>
    <row r="31554">
      <c r="B31554" s="19"/>
      <c r="E31554" s="23"/>
      <c r="L31554" s="23"/>
    </row>
    <row r="31555">
      <c r="B31555" s="19"/>
      <c r="E31555" s="23"/>
      <c r="L31555" s="23"/>
    </row>
    <row r="31556">
      <c r="B31556" s="19"/>
      <c r="E31556" s="23"/>
      <c r="L31556" s="23"/>
    </row>
    <row r="31557">
      <c r="B31557" s="19"/>
      <c r="E31557" s="23"/>
      <c r="L31557" s="23"/>
    </row>
    <row r="31558">
      <c r="B31558" s="19"/>
      <c r="E31558" s="23"/>
      <c r="L31558" s="23"/>
    </row>
    <row r="31559">
      <c r="B31559" s="19"/>
      <c r="E31559" s="23"/>
      <c r="L31559" s="23"/>
    </row>
    <row r="31560">
      <c r="B31560" s="19"/>
      <c r="E31560" s="23"/>
      <c r="L31560" s="23"/>
    </row>
    <row r="31561">
      <c r="B31561" s="19"/>
      <c r="E31561" s="23"/>
      <c r="L31561" s="23"/>
    </row>
    <row r="31562">
      <c r="B31562" s="19"/>
      <c r="E31562" s="23"/>
      <c r="L31562" s="23"/>
    </row>
    <row r="31563">
      <c r="B31563" s="19"/>
      <c r="E31563" s="23"/>
      <c r="L31563" s="23"/>
    </row>
    <row r="31564">
      <c r="B31564" s="19"/>
      <c r="E31564" s="23"/>
      <c r="L31564" s="23"/>
    </row>
    <row r="31565">
      <c r="B31565" s="19"/>
      <c r="E31565" s="23"/>
      <c r="L31565" s="23"/>
    </row>
    <row r="31566">
      <c r="B31566" s="19"/>
      <c r="E31566" s="23"/>
      <c r="L31566" s="23"/>
    </row>
    <row r="31567">
      <c r="B31567" s="19"/>
      <c r="E31567" s="23"/>
      <c r="L31567" s="23"/>
    </row>
    <row r="31568">
      <c r="B31568" s="19"/>
      <c r="E31568" s="23"/>
      <c r="L31568" s="23"/>
    </row>
    <row r="31569">
      <c r="B31569" s="19"/>
      <c r="E31569" s="23"/>
      <c r="L31569" s="23"/>
    </row>
    <row r="31570">
      <c r="B31570" s="19"/>
      <c r="E31570" s="23"/>
      <c r="L31570" s="23"/>
    </row>
    <row r="31571">
      <c r="B31571" s="19"/>
      <c r="E31571" s="23"/>
      <c r="L31571" s="23"/>
    </row>
    <row r="31572">
      <c r="B31572" s="19"/>
      <c r="E31572" s="23"/>
      <c r="L31572" s="23"/>
    </row>
    <row r="31573">
      <c r="B31573" s="19"/>
      <c r="E31573" s="23"/>
      <c r="L31573" s="23"/>
    </row>
    <row r="31574">
      <c r="B31574" s="19"/>
      <c r="E31574" s="23"/>
      <c r="L31574" s="23"/>
    </row>
    <row r="31575">
      <c r="B31575" s="19"/>
      <c r="E31575" s="23"/>
      <c r="L31575" s="23"/>
    </row>
    <row r="31576">
      <c r="B31576" s="19"/>
      <c r="E31576" s="23"/>
      <c r="L31576" s="23"/>
    </row>
    <row r="31577">
      <c r="B31577" s="19"/>
      <c r="E31577" s="23"/>
      <c r="L31577" s="23"/>
    </row>
    <row r="31578">
      <c r="B31578" s="19"/>
      <c r="E31578" s="23"/>
      <c r="L31578" s="23"/>
    </row>
    <row r="31579">
      <c r="B31579" s="19"/>
      <c r="E31579" s="23"/>
      <c r="L31579" s="23"/>
    </row>
    <row r="31580">
      <c r="B31580" s="19"/>
      <c r="E31580" s="23"/>
      <c r="L31580" s="23"/>
    </row>
    <row r="31581">
      <c r="B31581" s="19"/>
      <c r="E31581" s="23"/>
      <c r="L31581" s="23"/>
    </row>
    <row r="31582">
      <c r="B31582" s="19"/>
      <c r="E31582" s="23"/>
      <c r="L31582" s="23"/>
    </row>
    <row r="31583">
      <c r="B31583" s="19"/>
      <c r="E31583" s="23"/>
      <c r="L31583" s="23"/>
    </row>
    <row r="31584">
      <c r="B31584" s="19"/>
      <c r="E31584" s="23"/>
      <c r="L31584" s="23"/>
    </row>
    <row r="31585">
      <c r="B31585" s="19"/>
      <c r="E31585" s="23"/>
      <c r="L31585" s="23"/>
    </row>
    <row r="31586">
      <c r="B31586" s="19"/>
      <c r="E31586" s="23"/>
      <c r="L31586" s="23"/>
    </row>
    <row r="31587">
      <c r="B31587" s="19"/>
      <c r="E31587" s="23"/>
      <c r="L31587" s="23"/>
    </row>
    <row r="31588">
      <c r="B31588" s="19"/>
      <c r="E31588" s="23"/>
      <c r="L31588" s="23"/>
    </row>
    <row r="31589">
      <c r="B31589" s="19"/>
      <c r="E31589" s="23"/>
      <c r="L31589" s="23"/>
    </row>
    <row r="31590">
      <c r="B31590" s="19"/>
      <c r="E31590" s="23"/>
      <c r="L31590" s="23"/>
    </row>
    <row r="31591">
      <c r="B31591" s="19"/>
      <c r="E31591" s="23"/>
      <c r="L31591" s="23"/>
    </row>
    <row r="31592">
      <c r="B31592" s="19"/>
      <c r="E31592" s="23"/>
      <c r="L31592" s="23"/>
    </row>
    <row r="31593">
      <c r="B31593" s="19"/>
      <c r="E31593" s="23"/>
      <c r="L31593" s="23"/>
    </row>
    <row r="31594">
      <c r="B31594" s="19"/>
      <c r="E31594" s="23"/>
      <c r="L31594" s="23"/>
    </row>
    <row r="31595">
      <c r="B31595" s="19"/>
      <c r="E31595" s="23"/>
      <c r="L31595" s="23"/>
    </row>
    <row r="31596">
      <c r="B31596" s="19"/>
      <c r="E31596" s="23"/>
      <c r="L31596" s="23"/>
    </row>
    <row r="31597">
      <c r="B31597" s="19"/>
      <c r="E31597" s="23"/>
      <c r="L31597" s="23"/>
    </row>
    <row r="31598">
      <c r="B31598" s="19"/>
      <c r="E31598" s="23"/>
      <c r="L31598" s="23"/>
    </row>
    <row r="31599">
      <c r="B31599" s="19"/>
      <c r="E31599" s="23"/>
      <c r="L31599" s="23"/>
    </row>
    <row r="31600">
      <c r="B31600" s="19"/>
      <c r="E31600" s="23"/>
      <c r="L31600" s="23"/>
    </row>
    <row r="31601">
      <c r="B31601" s="19"/>
      <c r="E31601" s="23"/>
      <c r="L31601" s="23"/>
    </row>
    <row r="31602">
      <c r="B31602" s="19"/>
      <c r="E31602" s="23"/>
      <c r="L31602" s="23"/>
    </row>
    <row r="31603">
      <c r="B31603" s="19"/>
      <c r="E31603" s="23"/>
      <c r="L31603" s="23"/>
    </row>
    <row r="31604">
      <c r="B31604" s="19"/>
      <c r="E31604" s="23"/>
      <c r="L31604" s="23"/>
    </row>
    <row r="31605">
      <c r="B31605" s="19"/>
      <c r="E31605" s="23"/>
      <c r="L31605" s="23"/>
    </row>
    <row r="31606">
      <c r="B31606" s="19"/>
      <c r="E31606" s="23"/>
      <c r="L31606" s="23"/>
    </row>
    <row r="31607">
      <c r="B31607" s="19"/>
      <c r="E31607" s="23"/>
      <c r="L31607" s="23"/>
    </row>
    <row r="31608">
      <c r="B31608" s="19"/>
      <c r="E31608" s="23"/>
      <c r="L31608" s="23"/>
    </row>
    <row r="31609">
      <c r="B31609" s="19"/>
      <c r="E31609" s="23"/>
      <c r="L31609" s="23"/>
    </row>
    <row r="31610">
      <c r="B31610" s="19"/>
      <c r="E31610" s="23"/>
      <c r="L31610" s="23"/>
    </row>
    <row r="31611">
      <c r="B31611" s="19"/>
      <c r="E31611" s="23"/>
      <c r="L31611" s="23"/>
    </row>
    <row r="31612">
      <c r="B31612" s="19"/>
      <c r="E31612" s="23"/>
      <c r="L31612" s="23"/>
    </row>
    <row r="31613">
      <c r="B31613" s="19"/>
      <c r="E31613" s="23"/>
      <c r="L31613" s="23"/>
    </row>
    <row r="31614">
      <c r="B31614" s="19"/>
      <c r="E31614" s="23"/>
      <c r="L31614" s="23"/>
    </row>
    <row r="31615">
      <c r="B31615" s="19"/>
      <c r="E31615" s="23"/>
      <c r="L31615" s="23"/>
    </row>
    <row r="31616">
      <c r="B31616" s="19"/>
      <c r="E31616" s="23"/>
      <c r="L31616" s="23"/>
    </row>
    <row r="31617">
      <c r="B31617" s="19"/>
      <c r="E31617" s="23"/>
      <c r="L31617" s="23"/>
    </row>
    <row r="31618">
      <c r="B31618" s="19"/>
      <c r="E31618" s="23"/>
      <c r="L31618" s="23"/>
    </row>
    <row r="31619">
      <c r="B31619" s="19"/>
      <c r="E31619" s="23"/>
      <c r="L31619" s="23"/>
    </row>
    <row r="31620">
      <c r="B31620" s="19"/>
      <c r="E31620" s="23"/>
      <c r="L31620" s="23"/>
    </row>
    <row r="31621">
      <c r="B31621" s="19"/>
      <c r="E31621" s="23"/>
      <c r="L31621" s="23"/>
    </row>
    <row r="31622">
      <c r="B31622" s="19"/>
      <c r="E31622" s="23"/>
      <c r="L31622" s="23"/>
    </row>
    <row r="31623">
      <c r="B31623" s="19"/>
      <c r="E31623" s="23"/>
      <c r="L31623" s="23"/>
    </row>
    <row r="31624">
      <c r="B31624" s="19"/>
      <c r="E31624" s="23"/>
      <c r="L31624" s="23"/>
    </row>
    <row r="31625">
      <c r="B31625" s="19"/>
      <c r="E31625" s="23"/>
      <c r="L31625" s="23"/>
    </row>
    <row r="31626">
      <c r="B31626" s="19"/>
      <c r="E31626" s="23"/>
      <c r="L31626" s="23"/>
    </row>
    <row r="31627">
      <c r="B31627" s="19"/>
      <c r="E31627" s="23"/>
      <c r="L31627" s="23"/>
    </row>
    <row r="31628">
      <c r="B31628" s="19"/>
      <c r="E31628" s="23"/>
      <c r="L31628" s="23"/>
    </row>
    <row r="31629">
      <c r="B31629" s="19"/>
      <c r="E31629" s="23"/>
      <c r="L31629" s="23"/>
    </row>
    <row r="31630">
      <c r="B31630" s="19"/>
      <c r="E31630" s="23"/>
      <c r="L31630" s="23"/>
    </row>
    <row r="31631">
      <c r="B31631" s="19"/>
      <c r="E31631" s="23"/>
      <c r="L31631" s="23"/>
    </row>
    <row r="31632">
      <c r="B31632" s="19"/>
      <c r="E31632" s="23"/>
      <c r="L31632" s="23"/>
    </row>
    <row r="31633">
      <c r="B31633" s="19"/>
      <c r="E31633" s="23"/>
      <c r="L31633" s="23"/>
    </row>
    <row r="31634">
      <c r="B31634" s="19"/>
      <c r="E31634" s="23"/>
      <c r="L31634" s="23"/>
    </row>
    <row r="31635">
      <c r="B31635" s="19"/>
      <c r="E31635" s="23"/>
      <c r="L31635" s="23"/>
    </row>
    <row r="31636">
      <c r="B31636" s="19"/>
      <c r="E31636" s="23"/>
      <c r="L31636" s="23"/>
    </row>
    <row r="31637">
      <c r="B31637" s="19"/>
      <c r="E31637" s="23"/>
      <c r="L31637" s="23"/>
    </row>
    <row r="31638">
      <c r="B31638" s="19"/>
      <c r="E31638" s="23"/>
      <c r="L31638" s="23"/>
    </row>
    <row r="31639">
      <c r="B31639" s="19"/>
      <c r="E31639" s="23"/>
      <c r="L31639" s="23"/>
    </row>
    <row r="31640">
      <c r="B31640" s="19"/>
      <c r="E31640" s="23"/>
      <c r="L31640" s="23"/>
    </row>
    <row r="31641">
      <c r="B31641" s="19"/>
      <c r="E31641" s="23"/>
      <c r="L31641" s="23"/>
    </row>
    <row r="31642">
      <c r="B31642" s="19"/>
      <c r="E31642" s="23"/>
      <c r="L31642" s="23"/>
    </row>
    <row r="31643">
      <c r="B31643" s="19"/>
      <c r="E31643" s="23"/>
      <c r="L31643" s="23"/>
    </row>
    <row r="31644">
      <c r="B31644" s="19"/>
      <c r="E31644" s="23"/>
      <c r="L31644" s="23"/>
    </row>
    <row r="31645">
      <c r="B31645" s="19"/>
      <c r="E31645" s="23"/>
      <c r="L31645" s="23"/>
    </row>
    <row r="31646">
      <c r="B31646" s="19"/>
      <c r="E31646" s="23"/>
      <c r="L31646" s="23"/>
    </row>
    <row r="31647">
      <c r="B31647" s="19"/>
      <c r="E31647" s="23"/>
      <c r="L31647" s="23"/>
    </row>
    <row r="31648">
      <c r="B31648" s="19"/>
      <c r="E31648" s="23"/>
      <c r="L31648" s="23"/>
    </row>
    <row r="31649">
      <c r="B31649" s="19"/>
      <c r="E31649" s="23"/>
      <c r="L31649" s="23"/>
    </row>
    <row r="31650">
      <c r="B31650" s="19"/>
      <c r="E31650" s="23"/>
      <c r="L31650" s="23"/>
    </row>
    <row r="31651">
      <c r="B31651" s="19"/>
      <c r="E31651" s="23"/>
      <c r="L31651" s="23"/>
    </row>
    <row r="31652">
      <c r="B31652" s="19"/>
      <c r="E31652" s="23"/>
      <c r="L31652" s="23"/>
    </row>
    <row r="31653">
      <c r="B31653" s="19"/>
      <c r="E31653" s="23"/>
      <c r="L31653" s="23"/>
    </row>
    <row r="31654">
      <c r="B31654" s="19"/>
      <c r="E31654" s="23"/>
      <c r="L31654" s="23"/>
    </row>
    <row r="31655">
      <c r="B31655" s="19"/>
      <c r="E31655" s="23"/>
      <c r="L31655" s="23"/>
    </row>
    <row r="31656">
      <c r="B31656" s="19"/>
      <c r="E31656" s="23"/>
      <c r="L31656" s="23"/>
    </row>
    <row r="31657">
      <c r="B31657" s="19"/>
      <c r="E31657" s="23"/>
      <c r="L31657" s="23"/>
    </row>
    <row r="31658">
      <c r="B31658" s="19"/>
      <c r="E31658" s="23"/>
      <c r="L31658" s="23"/>
    </row>
    <row r="31659">
      <c r="B31659" s="19"/>
      <c r="E31659" s="23"/>
      <c r="L31659" s="23"/>
    </row>
    <row r="31660">
      <c r="B31660" s="19"/>
      <c r="E31660" s="23"/>
      <c r="L31660" s="23"/>
    </row>
    <row r="31661">
      <c r="B31661" s="19"/>
      <c r="E31661" s="23"/>
      <c r="L31661" s="23"/>
    </row>
    <row r="31662">
      <c r="B31662" s="19"/>
      <c r="E31662" s="23"/>
      <c r="L31662" s="23"/>
    </row>
    <row r="31663">
      <c r="B31663" s="19"/>
      <c r="E31663" s="23"/>
      <c r="L31663" s="23"/>
    </row>
    <row r="31664">
      <c r="B31664" s="19"/>
      <c r="E31664" s="23"/>
      <c r="L31664" s="23"/>
    </row>
    <row r="31665">
      <c r="B31665" s="19"/>
      <c r="E31665" s="23"/>
      <c r="L31665" s="23"/>
    </row>
    <row r="31666">
      <c r="B31666" s="19"/>
      <c r="E31666" s="23"/>
      <c r="L31666" s="23"/>
    </row>
    <row r="31667">
      <c r="B31667" s="19"/>
      <c r="E31667" s="23"/>
      <c r="L31667" s="23"/>
    </row>
    <row r="31668">
      <c r="B31668" s="19"/>
      <c r="E31668" s="23"/>
      <c r="L31668" s="23"/>
    </row>
    <row r="31669">
      <c r="B31669" s="19"/>
      <c r="E31669" s="23"/>
      <c r="L31669" s="23"/>
    </row>
    <row r="31670">
      <c r="B31670" s="19"/>
      <c r="E31670" s="23"/>
      <c r="L31670" s="23"/>
    </row>
    <row r="31671">
      <c r="B31671" s="19"/>
      <c r="E31671" s="23"/>
      <c r="L31671" s="23"/>
    </row>
    <row r="31672">
      <c r="B31672" s="19"/>
      <c r="E31672" s="23"/>
      <c r="L31672" s="23"/>
    </row>
    <row r="31673">
      <c r="B31673" s="19"/>
      <c r="E31673" s="23"/>
      <c r="L31673" s="23"/>
    </row>
    <row r="31674">
      <c r="B31674" s="19"/>
      <c r="E31674" s="23"/>
      <c r="L31674" s="23"/>
    </row>
    <row r="31675">
      <c r="B31675" s="19"/>
      <c r="E31675" s="23"/>
      <c r="L31675" s="23"/>
    </row>
    <row r="31676">
      <c r="B31676" s="19"/>
      <c r="E31676" s="23"/>
      <c r="L31676" s="23"/>
    </row>
    <row r="31677">
      <c r="B31677" s="19"/>
      <c r="E31677" s="23"/>
      <c r="L31677" s="23"/>
    </row>
    <row r="31678">
      <c r="B31678" s="19"/>
      <c r="E31678" s="23"/>
      <c r="L31678" s="23"/>
    </row>
    <row r="31679">
      <c r="B31679" s="19"/>
      <c r="E31679" s="23"/>
      <c r="L31679" s="23"/>
    </row>
    <row r="31680">
      <c r="B31680" s="19"/>
      <c r="E31680" s="23"/>
      <c r="L31680" s="23"/>
    </row>
    <row r="31681">
      <c r="B31681" s="19"/>
      <c r="E31681" s="23"/>
      <c r="L31681" s="23"/>
    </row>
    <row r="31682">
      <c r="B31682" s="19"/>
      <c r="E31682" s="23"/>
      <c r="L31682" s="23"/>
    </row>
    <row r="31683">
      <c r="B31683" s="19"/>
      <c r="E31683" s="23"/>
      <c r="L31683" s="23"/>
    </row>
    <row r="31684">
      <c r="B31684" s="19"/>
      <c r="E31684" s="23"/>
      <c r="L31684" s="23"/>
    </row>
    <row r="31685">
      <c r="B31685" s="19"/>
      <c r="E31685" s="23"/>
      <c r="L31685" s="23"/>
    </row>
    <row r="31686">
      <c r="B31686" s="19"/>
      <c r="E31686" s="23"/>
      <c r="L31686" s="23"/>
    </row>
    <row r="31687">
      <c r="B31687" s="19"/>
      <c r="E31687" s="23"/>
      <c r="L31687" s="23"/>
    </row>
    <row r="31688">
      <c r="B31688" s="19"/>
      <c r="E31688" s="23"/>
      <c r="L31688" s="23"/>
    </row>
    <row r="31689">
      <c r="B31689" s="19"/>
      <c r="E31689" s="23"/>
      <c r="L31689" s="23"/>
    </row>
    <row r="31690">
      <c r="B31690" s="19"/>
      <c r="E31690" s="23"/>
      <c r="L31690" s="23"/>
    </row>
    <row r="31691">
      <c r="B31691" s="19"/>
      <c r="E31691" s="23"/>
      <c r="L31691" s="23"/>
    </row>
    <row r="31692">
      <c r="B31692" s="19"/>
      <c r="E31692" s="23"/>
      <c r="L31692" s="23"/>
    </row>
    <row r="31693">
      <c r="B31693" s="19"/>
      <c r="E31693" s="23"/>
      <c r="L31693" s="23"/>
    </row>
    <row r="31694">
      <c r="B31694" s="19"/>
      <c r="E31694" s="23"/>
      <c r="L31694" s="23"/>
    </row>
    <row r="31695">
      <c r="B31695" s="19"/>
      <c r="E31695" s="23"/>
      <c r="L31695" s="23"/>
    </row>
    <row r="31696">
      <c r="B31696" s="19"/>
      <c r="E31696" s="23"/>
      <c r="L31696" s="23"/>
    </row>
    <row r="31697">
      <c r="B31697" s="19"/>
      <c r="E31697" s="23"/>
      <c r="L31697" s="23"/>
    </row>
    <row r="31698">
      <c r="B31698" s="19"/>
      <c r="E31698" s="23"/>
      <c r="L31698" s="23"/>
    </row>
    <row r="31699">
      <c r="B31699" s="19"/>
      <c r="E31699" s="23"/>
      <c r="L31699" s="23"/>
    </row>
    <row r="31700">
      <c r="B31700" s="19"/>
      <c r="E31700" s="23"/>
      <c r="L31700" s="23"/>
    </row>
    <row r="31701">
      <c r="B31701" s="19"/>
      <c r="E31701" s="23"/>
      <c r="L31701" s="23"/>
    </row>
    <row r="31702">
      <c r="B31702" s="19"/>
      <c r="E31702" s="23"/>
      <c r="L31702" s="23"/>
    </row>
    <row r="31703">
      <c r="B31703" s="19"/>
      <c r="E31703" s="23"/>
      <c r="L31703" s="23"/>
    </row>
    <row r="31704">
      <c r="B31704" s="19"/>
      <c r="E31704" s="23"/>
      <c r="L31704" s="23"/>
    </row>
    <row r="31705">
      <c r="B31705" s="19"/>
      <c r="E31705" s="23"/>
      <c r="L31705" s="23"/>
    </row>
    <row r="31706">
      <c r="B31706" s="19"/>
      <c r="E31706" s="23"/>
      <c r="L31706" s="23"/>
    </row>
    <row r="31707">
      <c r="B31707" s="19"/>
      <c r="E31707" s="23"/>
      <c r="L31707" s="23"/>
    </row>
    <row r="31708">
      <c r="B31708" s="19"/>
      <c r="E31708" s="23"/>
      <c r="L31708" s="23"/>
    </row>
    <row r="31709">
      <c r="B31709" s="19"/>
      <c r="E31709" s="23"/>
      <c r="L31709" s="23"/>
    </row>
    <row r="31710">
      <c r="B31710" s="19"/>
      <c r="E31710" s="23"/>
      <c r="L31710" s="23"/>
    </row>
    <row r="31711">
      <c r="B31711" s="19"/>
      <c r="E31711" s="23"/>
      <c r="L31711" s="23"/>
    </row>
    <row r="31712">
      <c r="B31712" s="19"/>
      <c r="E31712" s="23"/>
      <c r="L31712" s="23"/>
    </row>
    <row r="31713">
      <c r="B31713" s="19"/>
      <c r="E31713" s="23"/>
      <c r="L31713" s="23"/>
    </row>
    <row r="31714">
      <c r="B31714" s="19"/>
      <c r="E31714" s="23"/>
      <c r="L31714" s="23"/>
    </row>
    <row r="31715">
      <c r="B31715" s="19"/>
      <c r="E31715" s="23"/>
      <c r="L31715" s="23"/>
    </row>
    <row r="31716">
      <c r="B31716" s="19"/>
      <c r="E31716" s="23"/>
      <c r="L31716" s="23"/>
    </row>
    <row r="31717">
      <c r="B31717" s="19"/>
      <c r="E31717" s="23"/>
      <c r="L31717" s="23"/>
    </row>
    <row r="31718">
      <c r="B31718" s="19"/>
      <c r="E31718" s="23"/>
      <c r="L31718" s="23"/>
    </row>
    <row r="31719">
      <c r="B31719" s="19"/>
      <c r="E31719" s="23"/>
      <c r="L31719" s="23"/>
    </row>
    <row r="31720">
      <c r="B31720" s="19"/>
      <c r="E31720" s="23"/>
      <c r="L31720" s="23"/>
    </row>
    <row r="31721">
      <c r="B31721" s="19"/>
      <c r="E31721" s="23"/>
      <c r="L31721" s="23"/>
    </row>
    <row r="31722">
      <c r="B31722" s="19"/>
      <c r="E31722" s="23"/>
      <c r="L31722" s="23"/>
    </row>
    <row r="31723">
      <c r="B31723" s="19"/>
      <c r="E31723" s="23"/>
      <c r="L31723" s="23"/>
    </row>
    <row r="31724">
      <c r="B31724" s="19"/>
      <c r="E31724" s="23"/>
      <c r="L31724" s="23"/>
    </row>
    <row r="31725">
      <c r="B31725" s="19"/>
      <c r="E31725" s="23"/>
      <c r="L31725" s="23"/>
    </row>
    <row r="31726">
      <c r="B31726" s="19"/>
      <c r="E31726" s="23"/>
      <c r="L31726" s="23"/>
    </row>
    <row r="31727">
      <c r="B31727" s="19"/>
      <c r="E31727" s="23"/>
      <c r="L31727" s="23"/>
    </row>
    <row r="31728">
      <c r="B31728" s="19"/>
      <c r="E31728" s="23"/>
      <c r="L31728" s="23"/>
    </row>
    <row r="31729">
      <c r="B31729" s="19"/>
      <c r="E31729" s="23"/>
      <c r="L31729" s="23"/>
    </row>
    <row r="31730">
      <c r="B31730" s="19"/>
      <c r="E31730" s="23"/>
      <c r="L31730" s="23"/>
    </row>
    <row r="31731">
      <c r="B31731" s="19"/>
      <c r="E31731" s="23"/>
      <c r="L31731" s="23"/>
    </row>
    <row r="31732">
      <c r="B31732" s="19"/>
      <c r="E31732" s="23"/>
      <c r="L31732" s="23"/>
    </row>
    <row r="31733">
      <c r="B31733" s="19"/>
      <c r="E31733" s="23"/>
      <c r="L31733" s="23"/>
    </row>
    <row r="31734">
      <c r="B31734" s="19"/>
      <c r="E31734" s="23"/>
      <c r="L31734" s="23"/>
    </row>
    <row r="31735">
      <c r="B31735" s="19"/>
      <c r="E31735" s="23"/>
      <c r="L31735" s="23"/>
    </row>
    <row r="31736">
      <c r="B31736" s="19"/>
      <c r="E31736" s="23"/>
      <c r="L31736" s="23"/>
    </row>
    <row r="31737">
      <c r="B31737" s="19"/>
      <c r="E31737" s="23"/>
      <c r="L31737" s="23"/>
    </row>
    <row r="31738">
      <c r="B31738" s="19"/>
      <c r="E31738" s="23"/>
      <c r="L31738" s="23"/>
    </row>
    <row r="31739">
      <c r="B31739" s="19"/>
      <c r="E31739" s="23"/>
      <c r="L31739" s="23"/>
    </row>
    <row r="31740">
      <c r="B31740" s="19"/>
      <c r="E31740" s="23"/>
      <c r="L31740" s="23"/>
    </row>
    <row r="31741">
      <c r="B31741" s="19"/>
      <c r="E31741" s="23"/>
      <c r="L31741" s="23"/>
    </row>
    <row r="31742">
      <c r="B31742" s="19"/>
      <c r="E31742" s="23"/>
      <c r="L31742" s="23"/>
    </row>
    <row r="31743">
      <c r="B31743" s="19"/>
      <c r="E31743" s="23"/>
      <c r="L31743" s="23"/>
    </row>
    <row r="31744">
      <c r="B31744" s="19"/>
      <c r="E31744" s="23"/>
      <c r="L31744" s="23"/>
    </row>
    <row r="31745">
      <c r="B31745" s="19"/>
      <c r="E31745" s="23"/>
      <c r="L31745" s="23"/>
    </row>
    <row r="31746">
      <c r="B31746" s="19"/>
      <c r="E31746" s="23"/>
      <c r="L31746" s="23"/>
    </row>
    <row r="31747">
      <c r="B31747" s="19"/>
      <c r="E31747" s="23"/>
      <c r="L31747" s="23"/>
    </row>
    <row r="31748">
      <c r="B31748" s="19"/>
      <c r="E31748" s="23"/>
      <c r="L31748" s="23"/>
    </row>
    <row r="31749">
      <c r="B31749" s="19"/>
      <c r="E31749" s="23"/>
      <c r="L31749" s="23"/>
    </row>
    <row r="31750">
      <c r="B31750" s="19"/>
      <c r="E31750" s="23"/>
      <c r="L31750" s="23"/>
    </row>
    <row r="31751">
      <c r="B31751" s="19"/>
      <c r="E31751" s="23"/>
      <c r="L31751" s="23"/>
    </row>
    <row r="31752">
      <c r="B31752" s="19"/>
      <c r="E31752" s="23"/>
      <c r="L31752" s="23"/>
    </row>
    <row r="31753">
      <c r="B31753" s="19"/>
      <c r="E31753" s="23"/>
      <c r="L31753" s="23"/>
    </row>
    <row r="31754">
      <c r="B31754" s="19"/>
      <c r="E31754" s="23"/>
      <c r="L31754" s="23"/>
    </row>
    <row r="31755">
      <c r="B31755" s="19"/>
      <c r="E31755" s="23"/>
      <c r="L31755" s="23"/>
    </row>
    <row r="31756">
      <c r="B31756" s="19"/>
      <c r="E31756" s="23"/>
      <c r="L31756" s="23"/>
    </row>
    <row r="31757">
      <c r="B31757" s="19"/>
      <c r="E31757" s="23"/>
      <c r="L31757" s="23"/>
    </row>
    <row r="31758">
      <c r="B31758" s="19"/>
      <c r="E31758" s="23"/>
      <c r="L31758" s="23"/>
    </row>
    <row r="31759">
      <c r="B31759" s="19"/>
      <c r="E31759" s="23"/>
      <c r="L31759" s="23"/>
    </row>
    <row r="31760">
      <c r="B31760" s="19"/>
      <c r="E31760" s="23"/>
      <c r="L31760" s="23"/>
    </row>
    <row r="31761">
      <c r="B31761" s="19"/>
      <c r="E31761" s="23"/>
      <c r="L31761" s="23"/>
    </row>
    <row r="31762">
      <c r="B31762" s="19"/>
      <c r="E31762" s="23"/>
      <c r="L31762" s="23"/>
    </row>
    <row r="31763">
      <c r="B31763" s="19"/>
      <c r="E31763" s="23"/>
      <c r="L31763" s="23"/>
    </row>
    <row r="31764">
      <c r="B31764" s="19"/>
      <c r="E31764" s="23"/>
      <c r="L31764" s="23"/>
    </row>
    <row r="31765">
      <c r="B31765" s="19"/>
      <c r="E31765" s="23"/>
      <c r="L31765" s="23"/>
    </row>
    <row r="31766">
      <c r="B31766" s="19"/>
      <c r="E31766" s="23"/>
      <c r="L31766" s="23"/>
    </row>
    <row r="31767">
      <c r="B31767" s="19"/>
      <c r="E31767" s="23"/>
      <c r="L31767" s="23"/>
    </row>
    <row r="31768">
      <c r="B31768" s="19"/>
      <c r="E31768" s="23"/>
      <c r="L31768" s="23"/>
    </row>
    <row r="31769">
      <c r="B31769" s="19"/>
      <c r="E31769" s="23"/>
      <c r="L31769" s="23"/>
    </row>
    <row r="31770">
      <c r="B31770" s="19"/>
      <c r="E31770" s="23"/>
      <c r="L31770" s="23"/>
    </row>
    <row r="31771">
      <c r="B31771" s="19"/>
      <c r="E31771" s="23"/>
      <c r="L31771" s="23"/>
    </row>
    <row r="31772">
      <c r="B31772" s="19"/>
      <c r="E31772" s="23"/>
      <c r="L31772" s="23"/>
    </row>
    <row r="31773">
      <c r="B31773" s="19"/>
      <c r="E31773" s="23"/>
      <c r="L31773" s="23"/>
    </row>
    <row r="31774">
      <c r="B31774" s="19"/>
      <c r="E31774" s="23"/>
      <c r="L31774" s="23"/>
    </row>
    <row r="31775">
      <c r="B31775" s="19"/>
      <c r="E31775" s="23"/>
      <c r="L31775" s="23"/>
    </row>
    <row r="31776">
      <c r="B31776" s="19"/>
      <c r="E31776" s="23"/>
      <c r="L31776" s="23"/>
    </row>
    <row r="31777">
      <c r="B31777" s="19"/>
      <c r="E31777" s="23"/>
      <c r="L31777" s="23"/>
    </row>
    <row r="31778">
      <c r="B31778" s="19"/>
      <c r="E31778" s="23"/>
      <c r="L31778" s="23"/>
    </row>
    <row r="31779">
      <c r="B31779" s="19"/>
      <c r="E31779" s="23"/>
      <c r="L31779" s="23"/>
    </row>
    <row r="31780">
      <c r="B31780" s="19"/>
      <c r="E31780" s="23"/>
      <c r="L31780" s="23"/>
    </row>
    <row r="31781">
      <c r="B31781" s="19"/>
      <c r="E31781" s="23"/>
      <c r="L31781" s="23"/>
    </row>
    <row r="31782">
      <c r="B31782" s="19"/>
      <c r="E31782" s="23"/>
      <c r="L31782" s="23"/>
    </row>
    <row r="31783">
      <c r="B31783" s="19"/>
      <c r="E31783" s="23"/>
      <c r="L31783" s="23"/>
    </row>
    <row r="31784">
      <c r="B31784" s="19"/>
      <c r="E31784" s="23"/>
      <c r="L31784" s="23"/>
    </row>
    <row r="31785">
      <c r="B31785" s="19"/>
      <c r="E31785" s="23"/>
      <c r="L31785" s="23"/>
    </row>
    <row r="31786">
      <c r="B31786" s="19"/>
      <c r="E31786" s="23"/>
      <c r="L31786" s="23"/>
    </row>
    <row r="31787">
      <c r="B31787" s="19"/>
      <c r="E31787" s="23"/>
      <c r="L31787" s="23"/>
    </row>
    <row r="31788">
      <c r="B31788" s="19"/>
      <c r="E31788" s="23"/>
      <c r="L31788" s="23"/>
    </row>
    <row r="31789">
      <c r="B31789" s="19"/>
      <c r="E31789" s="23"/>
      <c r="L31789" s="23"/>
    </row>
    <row r="31790">
      <c r="B31790" s="19"/>
      <c r="E31790" s="23"/>
      <c r="L31790" s="23"/>
    </row>
    <row r="31791">
      <c r="B31791" s="19"/>
      <c r="E31791" s="23"/>
      <c r="L31791" s="23"/>
    </row>
    <row r="31792">
      <c r="B31792" s="19"/>
      <c r="E31792" s="23"/>
      <c r="L31792" s="23"/>
    </row>
    <row r="31793">
      <c r="B31793" s="19"/>
      <c r="E31793" s="23"/>
      <c r="L31793" s="23"/>
    </row>
    <row r="31794">
      <c r="B31794" s="19"/>
      <c r="E31794" s="23"/>
      <c r="L31794" s="23"/>
    </row>
    <row r="31795">
      <c r="B31795" s="19"/>
      <c r="E31795" s="23"/>
      <c r="L31795" s="23"/>
    </row>
    <row r="31796">
      <c r="B31796" s="19"/>
      <c r="E31796" s="23"/>
      <c r="L31796" s="23"/>
    </row>
    <row r="31797">
      <c r="B31797" s="19"/>
      <c r="E31797" s="23"/>
      <c r="L31797" s="23"/>
    </row>
    <row r="31798">
      <c r="B31798" s="19"/>
      <c r="E31798" s="23"/>
      <c r="L31798" s="23"/>
    </row>
    <row r="31799">
      <c r="B31799" s="19"/>
      <c r="E31799" s="23"/>
      <c r="L31799" s="23"/>
    </row>
    <row r="31800">
      <c r="B31800" s="19"/>
      <c r="E31800" s="23"/>
      <c r="L31800" s="23"/>
    </row>
    <row r="31801">
      <c r="B31801" s="19"/>
      <c r="E31801" s="23"/>
      <c r="L31801" s="23"/>
    </row>
    <row r="31802">
      <c r="B31802" s="19"/>
      <c r="E31802" s="23"/>
      <c r="L31802" s="23"/>
    </row>
    <row r="31803">
      <c r="B31803" s="19"/>
      <c r="E31803" s="23"/>
      <c r="L31803" s="23"/>
    </row>
    <row r="31804">
      <c r="B31804" s="19"/>
      <c r="E31804" s="23"/>
      <c r="L31804" s="23"/>
    </row>
    <row r="31805">
      <c r="B31805" s="19"/>
      <c r="E31805" s="23"/>
      <c r="L31805" s="23"/>
    </row>
    <row r="31806">
      <c r="B31806" s="19"/>
      <c r="E31806" s="23"/>
      <c r="L31806" s="23"/>
    </row>
    <row r="31807">
      <c r="B31807" s="19"/>
      <c r="E31807" s="23"/>
      <c r="L31807" s="23"/>
    </row>
    <row r="31808">
      <c r="B31808" s="19"/>
      <c r="E31808" s="23"/>
      <c r="L31808" s="23"/>
    </row>
    <row r="31809">
      <c r="B31809" s="19"/>
      <c r="E31809" s="23"/>
      <c r="L31809" s="23"/>
    </row>
    <row r="31810">
      <c r="B31810" s="19"/>
      <c r="E31810" s="23"/>
      <c r="L31810" s="23"/>
    </row>
    <row r="31811">
      <c r="B31811" s="19"/>
      <c r="E31811" s="23"/>
      <c r="L31811" s="23"/>
    </row>
    <row r="31812">
      <c r="B31812" s="19"/>
      <c r="E31812" s="23"/>
      <c r="L31812" s="23"/>
    </row>
    <row r="31813">
      <c r="B31813" s="19"/>
      <c r="E31813" s="23"/>
      <c r="L31813" s="23"/>
    </row>
    <row r="31814">
      <c r="B31814" s="19"/>
      <c r="E31814" s="23"/>
      <c r="L31814" s="23"/>
    </row>
    <row r="31815">
      <c r="B31815" s="19"/>
      <c r="E31815" s="23"/>
      <c r="L31815" s="23"/>
    </row>
    <row r="31816">
      <c r="B31816" s="19"/>
      <c r="E31816" s="23"/>
      <c r="L31816" s="23"/>
    </row>
    <row r="31817">
      <c r="B31817" s="19"/>
      <c r="E31817" s="23"/>
      <c r="L31817" s="23"/>
    </row>
    <row r="31818">
      <c r="B31818" s="19"/>
      <c r="E31818" s="23"/>
      <c r="L31818" s="23"/>
    </row>
    <row r="31819">
      <c r="B31819" s="19"/>
      <c r="E31819" s="23"/>
      <c r="L31819" s="23"/>
    </row>
    <row r="31820">
      <c r="B31820" s="19"/>
      <c r="E31820" s="23"/>
      <c r="L31820" s="23"/>
    </row>
    <row r="31821">
      <c r="B31821" s="19"/>
      <c r="E31821" s="23"/>
      <c r="L31821" s="23"/>
    </row>
    <row r="31822">
      <c r="B31822" s="19"/>
      <c r="E31822" s="23"/>
      <c r="L31822" s="23"/>
    </row>
    <row r="31823">
      <c r="B31823" s="19"/>
      <c r="E31823" s="23"/>
      <c r="L31823" s="23"/>
    </row>
    <row r="31824">
      <c r="B31824" s="19"/>
      <c r="E31824" s="23"/>
      <c r="L31824" s="23"/>
    </row>
    <row r="31825">
      <c r="B31825" s="19"/>
      <c r="E31825" s="23"/>
      <c r="L31825" s="23"/>
    </row>
    <row r="31826">
      <c r="B31826" s="19"/>
      <c r="E31826" s="23"/>
      <c r="L31826" s="23"/>
    </row>
    <row r="31827">
      <c r="B31827" s="19"/>
      <c r="E31827" s="23"/>
      <c r="L31827" s="23"/>
    </row>
    <row r="31828">
      <c r="B31828" s="19"/>
      <c r="E31828" s="23"/>
      <c r="L31828" s="23"/>
    </row>
    <row r="31829">
      <c r="B31829" s="19"/>
      <c r="E31829" s="23"/>
      <c r="L31829" s="23"/>
    </row>
    <row r="31830">
      <c r="B31830" s="19"/>
      <c r="E31830" s="23"/>
      <c r="L31830" s="23"/>
    </row>
    <row r="31831">
      <c r="B31831" s="19"/>
      <c r="E31831" s="23"/>
      <c r="L31831" s="23"/>
    </row>
    <row r="31832">
      <c r="B31832" s="19"/>
      <c r="E31832" s="23"/>
      <c r="L31832" s="23"/>
    </row>
    <row r="31833">
      <c r="B31833" s="19"/>
      <c r="E31833" s="23"/>
      <c r="L31833" s="23"/>
    </row>
    <row r="31834">
      <c r="B31834" s="19"/>
      <c r="E31834" s="23"/>
      <c r="L31834" s="23"/>
    </row>
    <row r="31835">
      <c r="B31835" s="19"/>
      <c r="E31835" s="23"/>
      <c r="L31835" s="23"/>
    </row>
    <row r="31836">
      <c r="B31836" s="19"/>
      <c r="E31836" s="23"/>
      <c r="L31836" s="23"/>
    </row>
    <row r="31837">
      <c r="B31837" s="19"/>
      <c r="E31837" s="23"/>
      <c r="L31837" s="23"/>
    </row>
    <row r="31838">
      <c r="B31838" s="19"/>
      <c r="E31838" s="23"/>
      <c r="L31838" s="23"/>
    </row>
    <row r="31839">
      <c r="B31839" s="19"/>
      <c r="E31839" s="23"/>
      <c r="L31839" s="23"/>
    </row>
    <row r="31840">
      <c r="B31840" s="19"/>
      <c r="E31840" s="23"/>
      <c r="L31840" s="23"/>
    </row>
    <row r="31841">
      <c r="B31841" s="19"/>
      <c r="E31841" s="23"/>
      <c r="L31841" s="23"/>
    </row>
    <row r="31842">
      <c r="B31842" s="19"/>
      <c r="E31842" s="23"/>
      <c r="L31842" s="23"/>
    </row>
    <row r="31843">
      <c r="B31843" s="19"/>
      <c r="E31843" s="23"/>
      <c r="L31843" s="23"/>
    </row>
    <row r="31844">
      <c r="B31844" s="19"/>
      <c r="E31844" s="23"/>
      <c r="L31844" s="23"/>
    </row>
    <row r="31845">
      <c r="B31845" s="19"/>
      <c r="E31845" s="23"/>
      <c r="L31845" s="23"/>
    </row>
    <row r="31846">
      <c r="B31846" s="19"/>
      <c r="E31846" s="23"/>
      <c r="L31846" s="23"/>
    </row>
    <row r="31847">
      <c r="B31847" s="19"/>
      <c r="E31847" s="23"/>
      <c r="L31847" s="23"/>
    </row>
    <row r="31848">
      <c r="B31848" s="19"/>
      <c r="E31848" s="23"/>
      <c r="L31848" s="23"/>
    </row>
    <row r="31849">
      <c r="B31849" s="19"/>
      <c r="E31849" s="23"/>
      <c r="L31849" s="23"/>
    </row>
    <row r="31850">
      <c r="B31850" s="19"/>
      <c r="E31850" s="23"/>
      <c r="L31850" s="23"/>
    </row>
    <row r="31851">
      <c r="B31851" s="19"/>
      <c r="E31851" s="23"/>
      <c r="L31851" s="23"/>
    </row>
    <row r="31852">
      <c r="B31852" s="19"/>
      <c r="E31852" s="23"/>
      <c r="L31852" s="23"/>
    </row>
    <row r="31853">
      <c r="B31853" s="19"/>
      <c r="E31853" s="23"/>
      <c r="L31853" s="23"/>
    </row>
    <row r="31854">
      <c r="B31854" s="19"/>
      <c r="E31854" s="23"/>
      <c r="L31854" s="23"/>
    </row>
    <row r="31855">
      <c r="B31855" s="19"/>
      <c r="E31855" s="23"/>
      <c r="L31855" s="23"/>
    </row>
    <row r="31856">
      <c r="B31856" s="19"/>
      <c r="E31856" s="23"/>
      <c r="L31856" s="23"/>
    </row>
    <row r="31857">
      <c r="B31857" s="19"/>
      <c r="E31857" s="23"/>
      <c r="L31857" s="23"/>
    </row>
    <row r="31858">
      <c r="B31858" s="19"/>
      <c r="E31858" s="23"/>
      <c r="L31858" s="23"/>
    </row>
    <row r="31859">
      <c r="B31859" s="19"/>
      <c r="E31859" s="23"/>
      <c r="L31859" s="23"/>
    </row>
    <row r="31860">
      <c r="B31860" s="19"/>
      <c r="E31860" s="23"/>
      <c r="L31860" s="23"/>
    </row>
    <row r="31861">
      <c r="B31861" s="19"/>
      <c r="E31861" s="23"/>
      <c r="L31861" s="23"/>
    </row>
    <row r="31862">
      <c r="B31862" s="19"/>
      <c r="E31862" s="23"/>
      <c r="L31862" s="23"/>
    </row>
    <row r="31863">
      <c r="B31863" s="19"/>
      <c r="E31863" s="23"/>
      <c r="L31863" s="23"/>
    </row>
    <row r="31864">
      <c r="B31864" s="19"/>
      <c r="E31864" s="23"/>
      <c r="L31864" s="23"/>
    </row>
    <row r="31865">
      <c r="B31865" s="19"/>
      <c r="E31865" s="23"/>
      <c r="L31865" s="23"/>
    </row>
    <row r="31866">
      <c r="B31866" s="19"/>
      <c r="E31866" s="23"/>
      <c r="L31866" s="23"/>
    </row>
    <row r="31867">
      <c r="B31867" s="19"/>
      <c r="E31867" s="23"/>
      <c r="L31867" s="23"/>
    </row>
    <row r="31868">
      <c r="B31868" s="19"/>
      <c r="E31868" s="23"/>
      <c r="L31868" s="23"/>
    </row>
    <row r="31869">
      <c r="B31869" s="19"/>
      <c r="E31869" s="23"/>
      <c r="L31869" s="23"/>
    </row>
    <row r="31870">
      <c r="B31870" s="19"/>
      <c r="E31870" s="23"/>
      <c r="L31870" s="23"/>
    </row>
    <row r="31871">
      <c r="B31871" s="19"/>
      <c r="E31871" s="23"/>
      <c r="L31871" s="23"/>
    </row>
    <row r="31872">
      <c r="B31872" s="19"/>
      <c r="E31872" s="23"/>
      <c r="L31872" s="23"/>
    </row>
    <row r="31873">
      <c r="B31873" s="19"/>
      <c r="E31873" s="23"/>
      <c r="L31873" s="23"/>
    </row>
    <row r="31874">
      <c r="B31874" s="19"/>
      <c r="E31874" s="23"/>
      <c r="L31874" s="23"/>
    </row>
    <row r="31875">
      <c r="B31875" s="19"/>
      <c r="E31875" s="23"/>
      <c r="L31875" s="23"/>
    </row>
    <row r="31876">
      <c r="B31876" s="19"/>
      <c r="E31876" s="23"/>
      <c r="L31876" s="23"/>
    </row>
    <row r="31877">
      <c r="B31877" s="19"/>
      <c r="E31877" s="23"/>
      <c r="L31877" s="23"/>
    </row>
    <row r="31878">
      <c r="B31878" s="19"/>
      <c r="E31878" s="23"/>
      <c r="L31878" s="23"/>
    </row>
    <row r="31879">
      <c r="B31879" s="19"/>
      <c r="E31879" s="23"/>
      <c r="L31879" s="23"/>
    </row>
    <row r="31880">
      <c r="B31880" s="19"/>
      <c r="E31880" s="23"/>
      <c r="L31880" s="23"/>
    </row>
    <row r="31881">
      <c r="B31881" s="19"/>
      <c r="E31881" s="23"/>
      <c r="L31881" s="23"/>
    </row>
    <row r="31882">
      <c r="B31882" s="19"/>
      <c r="E31882" s="23"/>
      <c r="L31882" s="23"/>
    </row>
    <row r="31883">
      <c r="B31883" s="19"/>
      <c r="E31883" s="23"/>
      <c r="L31883" s="23"/>
    </row>
    <row r="31884">
      <c r="B31884" s="19"/>
      <c r="E31884" s="23"/>
      <c r="L31884" s="23"/>
    </row>
    <row r="31885">
      <c r="B31885" s="19"/>
      <c r="E31885" s="23"/>
      <c r="L31885" s="23"/>
    </row>
    <row r="31886">
      <c r="B31886" s="19"/>
      <c r="E31886" s="23"/>
      <c r="L31886" s="23"/>
    </row>
    <row r="31887">
      <c r="B31887" s="19"/>
      <c r="E31887" s="23"/>
      <c r="L31887" s="23"/>
    </row>
    <row r="31888">
      <c r="B31888" s="19"/>
      <c r="E31888" s="23"/>
      <c r="L31888" s="23"/>
    </row>
    <row r="31889">
      <c r="B31889" s="19"/>
      <c r="E31889" s="23"/>
      <c r="L31889" s="23"/>
    </row>
    <row r="31890">
      <c r="B31890" s="19"/>
      <c r="E31890" s="23"/>
      <c r="L31890" s="23"/>
    </row>
    <row r="31891">
      <c r="B31891" s="19"/>
      <c r="E31891" s="23"/>
      <c r="L31891" s="23"/>
    </row>
    <row r="31892">
      <c r="B31892" s="19"/>
      <c r="E31892" s="23"/>
      <c r="L31892" s="23"/>
    </row>
    <row r="31893">
      <c r="B31893" s="19"/>
      <c r="E31893" s="23"/>
      <c r="L31893" s="23"/>
    </row>
    <row r="31894">
      <c r="B31894" s="19"/>
      <c r="E31894" s="23"/>
      <c r="L31894" s="23"/>
    </row>
    <row r="31895">
      <c r="B31895" s="19"/>
      <c r="E31895" s="23"/>
      <c r="L31895" s="23"/>
    </row>
    <row r="31896">
      <c r="B31896" s="19"/>
      <c r="E31896" s="23"/>
      <c r="L31896" s="23"/>
    </row>
    <row r="31897">
      <c r="B31897" s="19"/>
      <c r="E31897" s="23"/>
      <c r="L31897" s="23"/>
    </row>
    <row r="31898">
      <c r="B31898" s="19"/>
      <c r="E31898" s="23"/>
      <c r="L31898" s="23"/>
    </row>
    <row r="31899">
      <c r="B31899" s="19"/>
      <c r="E31899" s="23"/>
      <c r="L31899" s="23"/>
    </row>
    <row r="31900">
      <c r="B31900" s="19"/>
      <c r="E31900" s="23"/>
      <c r="L31900" s="23"/>
    </row>
    <row r="31901">
      <c r="B31901" s="19"/>
      <c r="E31901" s="23"/>
      <c r="L31901" s="23"/>
    </row>
    <row r="31902">
      <c r="B31902" s="19"/>
      <c r="E31902" s="23"/>
      <c r="L31902" s="23"/>
    </row>
    <row r="31903">
      <c r="B31903" s="19"/>
      <c r="E31903" s="23"/>
      <c r="L31903" s="23"/>
    </row>
    <row r="31904">
      <c r="B31904" s="19"/>
      <c r="E31904" s="23"/>
      <c r="L31904" s="23"/>
    </row>
    <row r="31905">
      <c r="B31905" s="19"/>
      <c r="E31905" s="23"/>
      <c r="L31905" s="23"/>
    </row>
    <row r="31906">
      <c r="B31906" s="19"/>
      <c r="E31906" s="23"/>
      <c r="L31906" s="23"/>
    </row>
    <row r="31907">
      <c r="B31907" s="19"/>
      <c r="E31907" s="23"/>
      <c r="L31907" s="23"/>
    </row>
    <row r="31908">
      <c r="B31908" s="19"/>
      <c r="E31908" s="23"/>
      <c r="L31908" s="23"/>
    </row>
    <row r="31909">
      <c r="B31909" s="19"/>
      <c r="E31909" s="23"/>
      <c r="L31909" s="23"/>
    </row>
    <row r="31910">
      <c r="B31910" s="19"/>
      <c r="E31910" s="23"/>
      <c r="L31910" s="23"/>
    </row>
    <row r="31911">
      <c r="B31911" s="19"/>
      <c r="E31911" s="23"/>
      <c r="L31911" s="23"/>
    </row>
    <row r="31912">
      <c r="B31912" s="19"/>
      <c r="E31912" s="23"/>
      <c r="L31912" s="23"/>
    </row>
    <row r="31913">
      <c r="B31913" s="19"/>
      <c r="E31913" s="23"/>
      <c r="L31913" s="23"/>
    </row>
    <row r="31914">
      <c r="B31914" s="19"/>
      <c r="E31914" s="23"/>
      <c r="L31914" s="23"/>
    </row>
    <row r="31915">
      <c r="B31915" s="19"/>
      <c r="E31915" s="23"/>
      <c r="L31915" s="23"/>
    </row>
    <row r="31916">
      <c r="B31916" s="19"/>
      <c r="E31916" s="23"/>
      <c r="L31916" s="23"/>
    </row>
    <row r="31917">
      <c r="B31917" s="19"/>
      <c r="E31917" s="23"/>
      <c r="L31917" s="23"/>
    </row>
    <row r="31918">
      <c r="B31918" s="19"/>
      <c r="E31918" s="23"/>
      <c r="L31918" s="23"/>
    </row>
    <row r="31919">
      <c r="B31919" s="19"/>
      <c r="E31919" s="23"/>
      <c r="L31919" s="23"/>
    </row>
    <row r="31920">
      <c r="B31920" s="19"/>
      <c r="E31920" s="23"/>
      <c r="L31920" s="23"/>
    </row>
    <row r="31921">
      <c r="B31921" s="19"/>
      <c r="E31921" s="23"/>
      <c r="L31921" s="23"/>
    </row>
    <row r="31922">
      <c r="B31922" s="19"/>
      <c r="E31922" s="23"/>
      <c r="L31922" s="23"/>
    </row>
    <row r="31923">
      <c r="B31923" s="19"/>
      <c r="E31923" s="23"/>
      <c r="L31923" s="23"/>
    </row>
    <row r="31924">
      <c r="B31924" s="19"/>
      <c r="E31924" s="23"/>
      <c r="L31924" s="23"/>
    </row>
    <row r="31925">
      <c r="B31925" s="19"/>
      <c r="E31925" s="23"/>
      <c r="L31925" s="23"/>
    </row>
    <row r="31926">
      <c r="B31926" s="19"/>
      <c r="E31926" s="23"/>
      <c r="L31926" s="23"/>
    </row>
    <row r="31927">
      <c r="B31927" s="19"/>
      <c r="E31927" s="23"/>
      <c r="L31927" s="23"/>
    </row>
    <row r="31928">
      <c r="B31928" s="19"/>
      <c r="E31928" s="23"/>
      <c r="L31928" s="23"/>
    </row>
    <row r="31929">
      <c r="B31929" s="19"/>
      <c r="E31929" s="23"/>
      <c r="L31929" s="23"/>
    </row>
    <row r="31930">
      <c r="B31930" s="19"/>
      <c r="E31930" s="23"/>
      <c r="L31930" s="23"/>
    </row>
    <row r="31931">
      <c r="B31931" s="19"/>
      <c r="E31931" s="23"/>
      <c r="L31931" s="23"/>
    </row>
    <row r="31932">
      <c r="B31932" s="19"/>
      <c r="E31932" s="23"/>
      <c r="L31932" s="23"/>
    </row>
    <row r="31933">
      <c r="B31933" s="19"/>
      <c r="E31933" s="23"/>
      <c r="L31933" s="23"/>
    </row>
    <row r="31934">
      <c r="B31934" s="19"/>
      <c r="E31934" s="23"/>
      <c r="L31934" s="23"/>
    </row>
    <row r="31935">
      <c r="B31935" s="19"/>
      <c r="E31935" s="23"/>
      <c r="L31935" s="23"/>
    </row>
    <row r="31936">
      <c r="B31936" s="19"/>
      <c r="E31936" s="23"/>
      <c r="L31936" s="23"/>
    </row>
    <row r="31937">
      <c r="B31937" s="19"/>
      <c r="E31937" s="23"/>
      <c r="L31937" s="23"/>
    </row>
    <row r="31938">
      <c r="B31938" s="19"/>
      <c r="E31938" s="23"/>
      <c r="L31938" s="23"/>
    </row>
    <row r="31939">
      <c r="B31939" s="19"/>
      <c r="E31939" s="23"/>
      <c r="L31939" s="23"/>
    </row>
    <row r="31940">
      <c r="B31940" s="19"/>
      <c r="E31940" s="23"/>
      <c r="L31940" s="23"/>
    </row>
    <row r="31941">
      <c r="B31941" s="19"/>
      <c r="E31941" s="23"/>
      <c r="L31941" s="23"/>
    </row>
    <row r="31942">
      <c r="B31942" s="19"/>
      <c r="E31942" s="23"/>
      <c r="L31942" s="23"/>
    </row>
    <row r="31943">
      <c r="B31943" s="19"/>
      <c r="E31943" s="23"/>
      <c r="L31943" s="23"/>
    </row>
    <row r="31944">
      <c r="B31944" s="19"/>
      <c r="E31944" s="23"/>
      <c r="L31944" s="23"/>
    </row>
    <row r="31945">
      <c r="B31945" s="19"/>
      <c r="E31945" s="23"/>
      <c r="L31945" s="23"/>
    </row>
    <row r="31946">
      <c r="B31946" s="19"/>
      <c r="E31946" s="23"/>
      <c r="L31946" s="23"/>
    </row>
    <row r="31947">
      <c r="B31947" s="19"/>
      <c r="E31947" s="23"/>
      <c r="L31947" s="23"/>
    </row>
    <row r="31948">
      <c r="B31948" s="19"/>
      <c r="E31948" s="23"/>
      <c r="L31948" s="23"/>
    </row>
    <row r="31949">
      <c r="B31949" s="19"/>
      <c r="E31949" s="23"/>
      <c r="L31949" s="23"/>
    </row>
    <row r="31950">
      <c r="B31950" s="19"/>
      <c r="E31950" s="23"/>
      <c r="L31950" s="23"/>
    </row>
    <row r="31951">
      <c r="B31951" s="19"/>
      <c r="E31951" s="23"/>
      <c r="L31951" s="23"/>
    </row>
    <row r="31952">
      <c r="B31952" s="19"/>
      <c r="E31952" s="23"/>
      <c r="L31952" s="23"/>
    </row>
    <row r="31953">
      <c r="B31953" s="19"/>
      <c r="E31953" s="23"/>
      <c r="L31953" s="23"/>
    </row>
    <row r="31954">
      <c r="B31954" s="19"/>
      <c r="E31954" s="23"/>
      <c r="L31954" s="23"/>
    </row>
    <row r="31955">
      <c r="B31955" s="19"/>
      <c r="E31955" s="23"/>
      <c r="L31955" s="23"/>
    </row>
    <row r="31956">
      <c r="B31956" s="19"/>
      <c r="E31956" s="23"/>
      <c r="L31956" s="23"/>
    </row>
    <row r="31957">
      <c r="B31957" s="19"/>
      <c r="E31957" s="23"/>
      <c r="L31957" s="23"/>
    </row>
    <row r="31958">
      <c r="B31958" s="19"/>
      <c r="E31958" s="23"/>
      <c r="L31958" s="23"/>
    </row>
    <row r="31959">
      <c r="B31959" s="19"/>
      <c r="E31959" s="23"/>
      <c r="L31959" s="23"/>
    </row>
    <row r="31960">
      <c r="B31960" s="19"/>
      <c r="E31960" s="23"/>
      <c r="L31960" s="23"/>
    </row>
    <row r="31961">
      <c r="B31961" s="19"/>
      <c r="E31961" s="23"/>
      <c r="L31961" s="23"/>
    </row>
    <row r="31962">
      <c r="B31962" s="19"/>
      <c r="E31962" s="23"/>
      <c r="L31962" s="23"/>
    </row>
    <row r="31963">
      <c r="B31963" s="19"/>
      <c r="E31963" s="23"/>
      <c r="L31963" s="23"/>
    </row>
    <row r="31964">
      <c r="B31964" s="19"/>
      <c r="E31964" s="23"/>
      <c r="L31964" s="23"/>
    </row>
    <row r="31965">
      <c r="B31965" s="19"/>
      <c r="E31965" s="23"/>
      <c r="L31965" s="23"/>
    </row>
    <row r="31966">
      <c r="B31966" s="19"/>
      <c r="E31966" s="23"/>
      <c r="L31966" s="23"/>
    </row>
    <row r="31967">
      <c r="B31967" s="19"/>
      <c r="E31967" s="23"/>
      <c r="L31967" s="23"/>
    </row>
    <row r="31968">
      <c r="B31968" s="19"/>
      <c r="E31968" s="23"/>
      <c r="L31968" s="23"/>
    </row>
    <row r="31969">
      <c r="B31969" s="19"/>
      <c r="E31969" s="23"/>
      <c r="L31969" s="23"/>
    </row>
    <row r="31970">
      <c r="B31970" s="19"/>
      <c r="E31970" s="23"/>
      <c r="L31970" s="23"/>
    </row>
    <row r="31971">
      <c r="B31971" s="19"/>
      <c r="E31971" s="23"/>
      <c r="L31971" s="23"/>
    </row>
    <row r="31972">
      <c r="B31972" s="19"/>
      <c r="E31972" s="23"/>
      <c r="L31972" s="23"/>
    </row>
    <row r="31973">
      <c r="B31973" s="19"/>
      <c r="E31973" s="23"/>
      <c r="L31973" s="23"/>
    </row>
    <row r="31974">
      <c r="B31974" s="19"/>
      <c r="E31974" s="23"/>
      <c r="L31974" s="23"/>
    </row>
    <row r="31975">
      <c r="B31975" s="19"/>
      <c r="E31975" s="23"/>
      <c r="L31975" s="23"/>
    </row>
    <row r="31976">
      <c r="B31976" s="19"/>
      <c r="E31976" s="23"/>
      <c r="L31976" s="23"/>
    </row>
    <row r="31977">
      <c r="B31977" s="19"/>
      <c r="E31977" s="23"/>
      <c r="L31977" s="23"/>
    </row>
    <row r="31978">
      <c r="B31978" s="19"/>
      <c r="E31978" s="23"/>
      <c r="L31978" s="23"/>
    </row>
    <row r="31979">
      <c r="B31979" s="19"/>
      <c r="E31979" s="23"/>
      <c r="L31979" s="23"/>
    </row>
    <row r="31980">
      <c r="B31980" s="19"/>
      <c r="E31980" s="23"/>
      <c r="L31980" s="23"/>
    </row>
    <row r="31981">
      <c r="B31981" s="19"/>
      <c r="E31981" s="23"/>
      <c r="L31981" s="23"/>
    </row>
    <row r="31982">
      <c r="B31982" s="19"/>
      <c r="E31982" s="23"/>
      <c r="L31982" s="23"/>
    </row>
    <row r="31983">
      <c r="B31983" s="19"/>
      <c r="E31983" s="23"/>
      <c r="L31983" s="23"/>
    </row>
    <row r="31984">
      <c r="B31984" s="19"/>
      <c r="E31984" s="23"/>
      <c r="L31984" s="23"/>
    </row>
    <row r="31985">
      <c r="B31985" s="19"/>
      <c r="E31985" s="23"/>
      <c r="L31985" s="23"/>
    </row>
    <row r="31986">
      <c r="B31986" s="19"/>
      <c r="E31986" s="23"/>
      <c r="L31986" s="23"/>
    </row>
    <row r="31987">
      <c r="B31987" s="19"/>
      <c r="E31987" s="23"/>
      <c r="L31987" s="23"/>
    </row>
    <row r="31988">
      <c r="B31988" s="19"/>
      <c r="E31988" s="23"/>
      <c r="L31988" s="23"/>
    </row>
    <row r="31989">
      <c r="B31989" s="19"/>
      <c r="E31989" s="23"/>
      <c r="L31989" s="23"/>
    </row>
    <row r="31990">
      <c r="B31990" s="19"/>
      <c r="E31990" s="23"/>
      <c r="L31990" s="23"/>
    </row>
    <row r="31991">
      <c r="B31991" s="19"/>
      <c r="E31991" s="23"/>
      <c r="L31991" s="23"/>
    </row>
    <row r="31992">
      <c r="B31992" s="19"/>
      <c r="E31992" s="23"/>
      <c r="L31992" s="23"/>
    </row>
    <row r="31993">
      <c r="B31993" s="19"/>
      <c r="E31993" s="23"/>
      <c r="L31993" s="23"/>
    </row>
    <row r="31994">
      <c r="B31994" s="19"/>
      <c r="E31994" s="23"/>
      <c r="L31994" s="23"/>
    </row>
    <row r="31995">
      <c r="B31995" s="19"/>
      <c r="E31995" s="23"/>
      <c r="L31995" s="23"/>
    </row>
    <row r="31996">
      <c r="B31996" s="19"/>
      <c r="E31996" s="23"/>
      <c r="L31996" s="23"/>
    </row>
    <row r="31997">
      <c r="B31997" s="19"/>
      <c r="E31997" s="23"/>
      <c r="L31997" s="23"/>
    </row>
    <row r="31998">
      <c r="B31998" s="19"/>
      <c r="E31998" s="23"/>
      <c r="L31998" s="23"/>
    </row>
    <row r="31999">
      <c r="B31999" s="19"/>
      <c r="E31999" s="23"/>
      <c r="L31999" s="23"/>
    </row>
    <row r="32000">
      <c r="B32000" s="19"/>
      <c r="E32000" s="23"/>
      <c r="L32000" s="23"/>
    </row>
    <row r="32001">
      <c r="B32001" s="19"/>
      <c r="E32001" s="23"/>
      <c r="L32001" s="23"/>
    </row>
    <row r="32002">
      <c r="B32002" s="19"/>
      <c r="E32002" s="23"/>
      <c r="L32002" s="23"/>
    </row>
    <row r="32003">
      <c r="B32003" s="19"/>
      <c r="E32003" s="23"/>
      <c r="L32003" s="23"/>
    </row>
    <row r="32004">
      <c r="B32004" s="19"/>
      <c r="E32004" s="23"/>
      <c r="L32004" s="23"/>
    </row>
    <row r="32005">
      <c r="B32005" s="19"/>
      <c r="E32005" s="23"/>
      <c r="L32005" s="23"/>
    </row>
    <row r="32006">
      <c r="B32006" s="19"/>
      <c r="E32006" s="23"/>
      <c r="L32006" s="23"/>
    </row>
    <row r="32007">
      <c r="B32007" s="19"/>
      <c r="E32007" s="23"/>
      <c r="L32007" s="23"/>
    </row>
    <row r="32008">
      <c r="B32008" s="19"/>
      <c r="E32008" s="23"/>
      <c r="L32008" s="23"/>
    </row>
    <row r="32009">
      <c r="B32009" s="19"/>
      <c r="E32009" s="23"/>
      <c r="L32009" s="23"/>
    </row>
    <row r="32010">
      <c r="B32010" s="19"/>
      <c r="E32010" s="23"/>
      <c r="L32010" s="23"/>
    </row>
    <row r="32011">
      <c r="B32011" s="19"/>
      <c r="E32011" s="23"/>
      <c r="L32011" s="23"/>
    </row>
    <row r="32012">
      <c r="B32012" s="19"/>
      <c r="E32012" s="23"/>
      <c r="L32012" s="23"/>
    </row>
    <row r="32013">
      <c r="B32013" s="19"/>
      <c r="E32013" s="23"/>
      <c r="L32013" s="23"/>
    </row>
    <row r="32014">
      <c r="B32014" s="19"/>
      <c r="E32014" s="23"/>
      <c r="L32014" s="23"/>
    </row>
    <row r="32015">
      <c r="B32015" s="19"/>
      <c r="E32015" s="23"/>
      <c r="L32015" s="23"/>
    </row>
    <row r="32016">
      <c r="B32016" s="19"/>
      <c r="E32016" s="23"/>
      <c r="L32016" s="23"/>
    </row>
    <row r="32017">
      <c r="B32017" s="19"/>
      <c r="E32017" s="23"/>
      <c r="L32017" s="23"/>
    </row>
    <row r="32018">
      <c r="B32018" s="19"/>
      <c r="E32018" s="23"/>
      <c r="L32018" s="23"/>
    </row>
    <row r="32019">
      <c r="B32019" s="19"/>
      <c r="E32019" s="23"/>
      <c r="L32019" s="23"/>
    </row>
    <row r="32020">
      <c r="B32020" s="19"/>
      <c r="E32020" s="23"/>
      <c r="L32020" s="23"/>
    </row>
    <row r="32021">
      <c r="B32021" s="19"/>
      <c r="E32021" s="23"/>
      <c r="L32021" s="23"/>
    </row>
    <row r="32022">
      <c r="B32022" s="19"/>
      <c r="E32022" s="23"/>
      <c r="L32022" s="23"/>
    </row>
    <row r="32023">
      <c r="B32023" s="19"/>
      <c r="E32023" s="23"/>
      <c r="L32023" s="23"/>
    </row>
    <row r="32024">
      <c r="B32024" s="19"/>
      <c r="E32024" s="23"/>
      <c r="L32024" s="23"/>
    </row>
    <row r="32025">
      <c r="B32025" s="19"/>
      <c r="E32025" s="23"/>
      <c r="L32025" s="23"/>
    </row>
    <row r="32026">
      <c r="B32026" s="19"/>
      <c r="E32026" s="23"/>
      <c r="L32026" s="23"/>
    </row>
    <row r="32027">
      <c r="B32027" s="19"/>
      <c r="E32027" s="23"/>
      <c r="L32027" s="23"/>
    </row>
    <row r="32028">
      <c r="B32028" s="19"/>
      <c r="E32028" s="23"/>
      <c r="L32028" s="23"/>
    </row>
    <row r="32029">
      <c r="B32029" s="19"/>
      <c r="E32029" s="23"/>
      <c r="L32029" s="23"/>
    </row>
    <row r="32030">
      <c r="B32030" s="19"/>
      <c r="E32030" s="23"/>
      <c r="L32030" s="23"/>
    </row>
    <row r="32031">
      <c r="B32031" s="19"/>
      <c r="E32031" s="23"/>
      <c r="L32031" s="23"/>
    </row>
    <row r="32032">
      <c r="B32032" s="19"/>
      <c r="E32032" s="23"/>
      <c r="L32032" s="23"/>
    </row>
    <row r="32033">
      <c r="B32033" s="19"/>
      <c r="E32033" s="23"/>
      <c r="L32033" s="23"/>
    </row>
    <row r="32034">
      <c r="B32034" s="19"/>
      <c r="E32034" s="23"/>
      <c r="L32034" s="23"/>
    </row>
    <row r="32035">
      <c r="B32035" s="19"/>
      <c r="E32035" s="23"/>
      <c r="L32035" s="23"/>
    </row>
    <row r="32036">
      <c r="B32036" s="19"/>
      <c r="E32036" s="23"/>
      <c r="L32036" s="23"/>
    </row>
    <row r="32037">
      <c r="B32037" s="19"/>
      <c r="E32037" s="23"/>
      <c r="L32037" s="23"/>
    </row>
    <row r="32038">
      <c r="B32038" s="19"/>
      <c r="E32038" s="23"/>
      <c r="L32038" s="23"/>
    </row>
    <row r="32039">
      <c r="B32039" s="19"/>
      <c r="E32039" s="23"/>
      <c r="L32039" s="23"/>
    </row>
    <row r="32040">
      <c r="B32040" s="19"/>
      <c r="E32040" s="23"/>
      <c r="L32040" s="23"/>
    </row>
    <row r="32041">
      <c r="B32041" s="19"/>
      <c r="E32041" s="23"/>
      <c r="L32041" s="23"/>
    </row>
    <row r="32042">
      <c r="B32042" s="19"/>
      <c r="E32042" s="23"/>
      <c r="L32042" s="23"/>
    </row>
    <row r="32043">
      <c r="B32043" s="19"/>
      <c r="E32043" s="23"/>
      <c r="L32043" s="23"/>
    </row>
    <row r="32044">
      <c r="B32044" s="19"/>
      <c r="E32044" s="23"/>
      <c r="L32044" s="23"/>
    </row>
    <row r="32045">
      <c r="B32045" s="19"/>
      <c r="E32045" s="23"/>
      <c r="L32045" s="23"/>
    </row>
    <row r="32046">
      <c r="B32046" s="19"/>
      <c r="E32046" s="23"/>
      <c r="L32046" s="23"/>
    </row>
    <row r="32047">
      <c r="B32047" s="19"/>
      <c r="E32047" s="23"/>
      <c r="L32047" s="23"/>
    </row>
    <row r="32048">
      <c r="B32048" s="19"/>
      <c r="E32048" s="23"/>
      <c r="L32048" s="23"/>
    </row>
    <row r="32049">
      <c r="B32049" s="19"/>
      <c r="E32049" s="23"/>
      <c r="L32049" s="23"/>
    </row>
    <row r="32050">
      <c r="B32050" s="19"/>
      <c r="E32050" s="23"/>
      <c r="L32050" s="23"/>
    </row>
    <row r="32051">
      <c r="B32051" s="19"/>
      <c r="E32051" s="23"/>
      <c r="L32051" s="23"/>
    </row>
    <row r="32052">
      <c r="B32052" s="19"/>
      <c r="E32052" s="23"/>
      <c r="L32052" s="23"/>
    </row>
    <row r="32053">
      <c r="B32053" s="19"/>
      <c r="E32053" s="23"/>
      <c r="L32053" s="23"/>
    </row>
    <row r="32054">
      <c r="B32054" s="19"/>
      <c r="E32054" s="23"/>
      <c r="L32054" s="23"/>
    </row>
    <row r="32055">
      <c r="B32055" s="19"/>
      <c r="E32055" s="23"/>
      <c r="L32055" s="23"/>
    </row>
    <row r="32056">
      <c r="B32056" s="19"/>
      <c r="E32056" s="23"/>
      <c r="L32056" s="23"/>
    </row>
    <row r="32057">
      <c r="B32057" s="19"/>
      <c r="E32057" s="23"/>
      <c r="L32057" s="23"/>
    </row>
    <row r="32058">
      <c r="B32058" s="19"/>
      <c r="E32058" s="23"/>
      <c r="L32058" s="23"/>
    </row>
    <row r="32059">
      <c r="B32059" s="19"/>
      <c r="E32059" s="23"/>
      <c r="L32059" s="23"/>
    </row>
    <row r="32060">
      <c r="B32060" s="19"/>
      <c r="E32060" s="23"/>
      <c r="L32060" s="23"/>
    </row>
    <row r="32061">
      <c r="B32061" s="19"/>
      <c r="E32061" s="23"/>
      <c r="L32061" s="23"/>
    </row>
    <row r="32062">
      <c r="B32062" s="19"/>
      <c r="E32062" s="23"/>
      <c r="L32062" s="23"/>
    </row>
    <row r="32063">
      <c r="B32063" s="19"/>
      <c r="E32063" s="23"/>
      <c r="L32063" s="23"/>
    </row>
    <row r="32064">
      <c r="B32064" s="19"/>
      <c r="E32064" s="23"/>
      <c r="L32064" s="23"/>
    </row>
    <row r="32065">
      <c r="B32065" s="19"/>
      <c r="E32065" s="23"/>
      <c r="L32065" s="23"/>
    </row>
    <row r="32066">
      <c r="B32066" s="19"/>
      <c r="E32066" s="23"/>
      <c r="L32066" s="23"/>
    </row>
    <row r="32067">
      <c r="B32067" s="19"/>
      <c r="E32067" s="23"/>
      <c r="L32067" s="23"/>
    </row>
    <row r="32068">
      <c r="B32068" s="19"/>
      <c r="E32068" s="23"/>
      <c r="L32068" s="23"/>
    </row>
    <row r="32069">
      <c r="B32069" s="19"/>
      <c r="E32069" s="23"/>
      <c r="L32069" s="23"/>
    </row>
    <row r="32070">
      <c r="B32070" s="19"/>
      <c r="E32070" s="23"/>
      <c r="L32070" s="23"/>
    </row>
    <row r="32071">
      <c r="B32071" s="19"/>
      <c r="E32071" s="23"/>
      <c r="L32071" s="23"/>
    </row>
    <row r="32072">
      <c r="B32072" s="19"/>
      <c r="E32072" s="23"/>
      <c r="L32072" s="23"/>
    </row>
    <row r="32073">
      <c r="B32073" s="19"/>
      <c r="E32073" s="23"/>
      <c r="L32073" s="23"/>
    </row>
    <row r="32074">
      <c r="B32074" s="19"/>
      <c r="E32074" s="23"/>
      <c r="L32074" s="23"/>
    </row>
    <row r="32075">
      <c r="B32075" s="19"/>
      <c r="E32075" s="23"/>
      <c r="L32075" s="23"/>
    </row>
    <row r="32076">
      <c r="B32076" s="19"/>
      <c r="E32076" s="23"/>
      <c r="L32076" s="23"/>
    </row>
    <row r="32077">
      <c r="B32077" s="19"/>
      <c r="E32077" s="23"/>
      <c r="L32077" s="23"/>
    </row>
    <row r="32078">
      <c r="B32078" s="19"/>
      <c r="E32078" s="23"/>
      <c r="L32078" s="23"/>
    </row>
    <row r="32079">
      <c r="B32079" s="19"/>
      <c r="E32079" s="23"/>
      <c r="L32079" s="23"/>
    </row>
    <row r="32080">
      <c r="B32080" s="19"/>
      <c r="E32080" s="23"/>
      <c r="L32080" s="23"/>
    </row>
    <row r="32081">
      <c r="B32081" s="19"/>
      <c r="E32081" s="23"/>
      <c r="L32081" s="23"/>
    </row>
    <row r="32082">
      <c r="B32082" s="19"/>
      <c r="E32082" s="23"/>
      <c r="L32082" s="23"/>
    </row>
    <row r="32083">
      <c r="B32083" s="19"/>
      <c r="E32083" s="23"/>
      <c r="L32083" s="23"/>
    </row>
    <row r="32084">
      <c r="B32084" s="19"/>
      <c r="E32084" s="23"/>
      <c r="L32084" s="23"/>
    </row>
    <row r="32085">
      <c r="B32085" s="19"/>
      <c r="E32085" s="23"/>
      <c r="L32085" s="23"/>
    </row>
    <row r="32086">
      <c r="B32086" s="19"/>
      <c r="E32086" s="23"/>
      <c r="L32086" s="23"/>
    </row>
    <row r="32087">
      <c r="B32087" s="19"/>
      <c r="E32087" s="23"/>
      <c r="L32087" s="23"/>
    </row>
    <row r="32088">
      <c r="B32088" s="19"/>
      <c r="E32088" s="23"/>
      <c r="L32088" s="23"/>
    </row>
    <row r="32089">
      <c r="B32089" s="19"/>
      <c r="E32089" s="23"/>
      <c r="L32089" s="23"/>
    </row>
    <row r="32090">
      <c r="B32090" s="19"/>
      <c r="E32090" s="23"/>
      <c r="L32090" s="23"/>
    </row>
    <row r="32091">
      <c r="B32091" s="19"/>
      <c r="E32091" s="23"/>
      <c r="L32091" s="23"/>
    </row>
    <row r="32092">
      <c r="B32092" s="19"/>
      <c r="E32092" s="23"/>
      <c r="L32092" s="23"/>
    </row>
    <row r="32093">
      <c r="B32093" s="19"/>
      <c r="E32093" s="23"/>
      <c r="L32093" s="23"/>
    </row>
    <row r="32094">
      <c r="B32094" s="19"/>
      <c r="E32094" s="23"/>
      <c r="L32094" s="23"/>
    </row>
    <row r="32095">
      <c r="B32095" s="19"/>
      <c r="E32095" s="23"/>
      <c r="L32095" s="23"/>
    </row>
    <row r="32096">
      <c r="B32096" s="19"/>
      <c r="E32096" s="23"/>
      <c r="L32096" s="23"/>
    </row>
    <row r="32097">
      <c r="B32097" s="19"/>
      <c r="E32097" s="23"/>
      <c r="L32097" s="23"/>
    </row>
    <row r="32098">
      <c r="B32098" s="19"/>
      <c r="E32098" s="23"/>
      <c r="L32098" s="23"/>
    </row>
    <row r="32099">
      <c r="B32099" s="19"/>
      <c r="E32099" s="23"/>
      <c r="L32099" s="23"/>
    </row>
    <row r="32100">
      <c r="B32100" s="19"/>
      <c r="E32100" s="23"/>
      <c r="L32100" s="23"/>
    </row>
    <row r="32101">
      <c r="B32101" s="19"/>
      <c r="E32101" s="23"/>
      <c r="L32101" s="23"/>
    </row>
    <row r="32102">
      <c r="B32102" s="19"/>
      <c r="E32102" s="23"/>
      <c r="L32102" s="23"/>
    </row>
    <row r="32103">
      <c r="B32103" s="19"/>
      <c r="E32103" s="23"/>
      <c r="L32103" s="23"/>
    </row>
    <row r="32104">
      <c r="B32104" s="19"/>
      <c r="E32104" s="23"/>
      <c r="L32104" s="23"/>
    </row>
    <row r="32105">
      <c r="B32105" s="19"/>
      <c r="E32105" s="23"/>
      <c r="L32105" s="23"/>
    </row>
    <row r="32106">
      <c r="B32106" s="19"/>
      <c r="E32106" s="23"/>
      <c r="L32106" s="23"/>
    </row>
    <row r="32107">
      <c r="B32107" s="19"/>
      <c r="E32107" s="23"/>
      <c r="L32107" s="23"/>
    </row>
    <row r="32108">
      <c r="B32108" s="19"/>
      <c r="E32108" s="23"/>
      <c r="L32108" s="23"/>
    </row>
    <row r="32109">
      <c r="B32109" s="19"/>
      <c r="E32109" s="23"/>
      <c r="L32109" s="23"/>
    </row>
    <row r="32110">
      <c r="B32110" s="19"/>
      <c r="E32110" s="23"/>
      <c r="L32110" s="23"/>
    </row>
    <row r="32111">
      <c r="B32111" s="19"/>
      <c r="E32111" s="23"/>
      <c r="L32111" s="23"/>
    </row>
    <row r="32112">
      <c r="B32112" s="19"/>
      <c r="E32112" s="23"/>
      <c r="L32112" s="23"/>
    </row>
    <row r="32113">
      <c r="B32113" s="19"/>
      <c r="E32113" s="23"/>
      <c r="L32113" s="23"/>
    </row>
    <row r="32114">
      <c r="B32114" s="19"/>
      <c r="E32114" s="23"/>
      <c r="L32114" s="23"/>
    </row>
    <row r="32115">
      <c r="B32115" s="19"/>
      <c r="E32115" s="23"/>
      <c r="L32115" s="23"/>
    </row>
    <row r="32116">
      <c r="B32116" s="19"/>
      <c r="E32116" s="23"/>
      <c r="L32116" s="23"/>
    </row>
    <row r="32117">
      <c r="B32117" s="19"/>
      <c r="E32117" s="23"/>
      <c r="L32117" s="23"/>
    </row>
    <row r="32118">
      <c r="B32118" s="19"/>
      <c r="E32118" s="23"/>
      <c r="L32118" s="23"/>
    </row>
    <row r="32119">
      <c r="B32119" s="19"/>
      <c r="E32119" s="23"/>
      <c r="L32119" s="23"/>
    </row>
    <row r="32120">
      <c r="B32120" s="19"/>
      <c r="E32120" s="23"/>
      <c r="L32120" s="23"/>
    </row>
    <row r="32121">
      <c r="B32121" s="19"/>
      <c r="E32121" s="23"/>
      <c r="L32121" s="23"/>
    </row>
    <row r="32122">
      <c r="B32122" s="19"/>
      <c r="E32122" s="23"/>
      <c r="L32122" s="23"/>
    </row>
    <row r="32123">
      <c r="B32123" s="19"/>
      <c r="E32123" s="23"/>
      <c r="L32123" s="23"/>
    </row>
    <row r="32124">
      <c r="B32124" s="19"/>
      <c r="E32124" s="23"/>
      <c r="L32124" s="23"/>
    </row>
    <row r="32125">
      <c r="B32125" s="19"/>
      <c r="E32125" s="23"/>
      <c r="L32125" s="23"/>
    </row>
    <row r="32126">
      <c r="B32126" s="19"/>
      <c r="E32126" s="23"/>
      <c r="L32126" s="23"/>
    </row>
    <row r="32127">
      <c r="B32127" s="19"/>
      <c r="E32127" s="23"/>
      <c r="L32127" s="23"/>
    </row>
    <row r="32128">
      <c r="B32128" s="19"/>
      <c r="E32128" s="23"/>
      <c r="L32128" s="23"/>
    </row>
    <row r="32129">
      <c r="B32129" s="19"/>
      <c r="E32129" s="23"/>
      <c r="L32129" s="23"/>
    </row>
    <row r="32130">
      <c r="B32130" s="19"/>
      <c r="E32130" s="23"/>
      <c r="L32130" s="23"/>
    </row>
    <row r="32131">
      <c r="B32131" s="19"/>
      <c r="E32131" s="23"/>
      <c r="L32131" s="23"/>
    </row>
    <row r="32132">
      <c r="B32132" s="19"/>
      <c r="E32132" s="23"/>
      <c r="L32132" s="23"/>
    </row>
    <row r="32133">
      <c r="B32133" s="19"/>
      <c r="E32133" s="23"/>
      <c r="L32133" s="23"/>
    </row>
    <row r="32134">
      <c r="B32134" s="19"/>
      <c r="E32134" s="23"/>
      <c r="L32134" s="23"/>
    </row>
    <row r="32135">
      <c r="B32135" s="19"/>
      <c r="E32135" s="23"/>
      <c r="L32135" s="23"/>
    </row>
    <row r="32136">
      <c r="B32136" s="19"/>
      <c r="E32136" s="23"/>
      <c r="L32136" s="23"/>
    </row>
    <row r="32137">
      <c r="B32137" s="19"/>
      <c r="E32137" s="23"/>
      <c r="L32137" s="23"/>
    </row>
    <row r="32138">
      <c r="B32138" s="19"/>
      <c r="E32138" s="23"/>
      <c r="L32138" s="23"/>
    </row>
    <row r="32139">
      <c r="B32139" s="19"/>
      <c r="E32139" s="23"/>
      <c r="L32139" s="23"/>
    </row>
    <row r="32140">
      <c r="B32140" s="19"/>
      <c r="E32140" s="23"/>
      <c r="L32140" s="23"/>
    </row>
    <row r="32141">
      <c r="B32141" s="19"/>
      <c r="E32141" s="23"/>
      <c r="L32141" s="23"/>
    </row>
    <row r="32142">
      <c r="B32142" s="19"/>
      <c r="E32142" s="23"/>
      <c r="L32142" s="23"/>
    </row>
    <row r="32143">
      <c r="B32143" s="19"/>
      <c r="E32143" s="23"/>
      <c r="L32143" s="23"/>
    </row>
    <row r="32144">
      <c r="B32144" s="19"/>
      <c r="E32144" s="23"/>
      <c r="L32144" s="23"/>
    </row>
    <row r="32145">
      <c r="B32145" s="19"/>
      <c r="E32145" s="23"/>
      <c r="L32145" s="23"/>
    </row>
    <row r="32146">
      <c r="B32146" s="19"/>
      <c r="E32146" s="23"/>
      <c r="L32146" s="23"/>
    </row>
    <row r="32147">
      <c r="B32147" s="19"/>
      <c r="E32147" s="23"/>
      <c r="L32147" s="23"/>
    </row>
    <row r="32148">
      <c r="B32148" s="19"/>
      <c r="E32148" s="23"/>
      <c r="L32148" s="23"/>
    </row>
    <row r="32149">
      <c r="B32149" s="19"/>
      <c r="E32149" s="23"/>
      <c r="L32149" s="23"/>
    </row>
    <row r="32150">
      <c r="B32150" s="19"/>
      <c r="E32150" s="23"/>
      <c r="L32150" s="23"/>
    </row>
    <row r="32151">
      <c r="B32151" s="19"/>
      <c r="E32151" s="23"/>
      <c r="L32151" s="23"/>
    </row>
    <row r="32152">
      <c r="B32152" s="19"/>
      <c r="E32152" s="23"/>
      <c r="L32152" s="23"/>
    </row>
    <row r="32153">
      <c r="B32153" s="19"/>
      <c r="E32153" s="23"/>
      <c r="L32153" s="23"/>
    </row>
    <row r="32154">
      <c r="B32154" s="19"/>
      <c r="E32154" s="23"/>
      <c r="L32154" s="23"/>
    </row>
    <row r="32155">
      <c r="B32155" s="19"/>
      <c r="E32155" s="23"/>
      <c r="L32155" s="23"/>
    </row>
    <row r="32156">
      <c r="B32156" s="19"/>
      <c r="E32156" s="23"/>
      <c r="L32156" s="23"/>
    </row>
    <row r="32157">
      <c r="B32157" s="19"/>
      <c r="E32157" s="23"/>
      <c r="L32157" s="23"/>
    </row>
    <row r="32158">
      <c r="B32158" s="19"/>
      <c r="E32158" s="23"/>
      <c r="L32158" s="23"/>
    </row>
    <row r="32159">
      <c r="B32159" s="19"/>
      <c r="E32159" s="23"/>
      <c r="L32159" s="23"/>
    </row>
    <row r="32160">
      <c r="B32160" s="19"/>
      <c r="E32160" s="23"/>
      <c r="L32160" s="23"/>
    </row>
    <row r="32161">
      <c r="B32161" s="19"/>
      <c r="E32161" s="23"/>
      <c r="L32161" s="23"/>
    </row>
    <row r="32162">
      <c r="B32162" s="19"/>
      <c r="E32162" s="23"/>
      <c r="L32162" s="23"/>
    </row>
    <row r="32163">
      <c r="B32163" s="19"/>
      <c r="E32163" s="23"/>
      <c r="L32163" s="23"/>
    </row>
    <row r="32164">
      <c r="B32164" s="19"/>
      <c r="E32164" s="23"/>
      <c r="L32164" s="23"/>
    </row>
    <row r="32165">
      <c r="B32165" s="19"/>
      <c r="E32165" s="23"/>
      <c r="L32165" s="23"/>
    </row>
    <row r="32166">
      <c r="B32166" s="19"/>
      <c r="E32166" s="23"/>
      <c r="L32166" s="23"/>
    </row>
    <row r="32167">
      <c r="B32167" s="19"/>
      <c r="E32167" s="23"/>
      <c r="L32167" s="23"/>
    </row>
    <row r="32168">
      <c r="B32168" s="19"/>
      <c r="E32168" s="23"/>
      <c r="L32168" s="23"/>
    </row>
    <row r="32169">
      <c r="B32169" s="19"/>
      <c r="E32169" s="23"/>
      <c r="L32169" s="23"/>
    </row>
    <row r="32170">
      <c r="B32170" s="19"/>
      <c r="E32170" s="23"/>
      <c r="L32170" s="23"/>
    </row>
    <row r="32171">
      <c r="B32171" s="19"/>
      <c r="E32171" s="23"/>
      <c r="L32171" s="23"/>
    </row>
    <row r="32172">
      <c r="B32172" s="19"/>
      <c r="E32172" s="23"/>
      <c r="L32172" s="23"/>
    </row>
    <row r="32173">
      <c r="B32173" s="19"/>
      <c r="E32173" s="23"/>
      <c r="L32173" s="23"/>
    </row>
    <row r="32174">
      <c r="B32174" s="19"/>
      <c r="E32174" s="23"/>
      <c r="L32174" s="23"/>
    </row>
    <row r="32175">
      <c r="B32175" s="19"/>
      <c r="E32175" s="23"/>
      <c r="L32175" s="23"/>
    </row>
    <row r="32176">
      <c r="B32176" s="19"/>
      <c r="E32176" s="23"/>
      <c r="L32176" s="23"/>
    </row>
    <row r="32177">
      <c r="B32177" s="19"/>
      <c r="E32177" s="23"/>
      <c r="L32177" s="23"/>
    </row>
    <row r="32178">
      <c r="B32178" s="19"/>
      <c r="E32178" s="23"/>
      <c r="L32178" s="23"/>
    </row>
    <row r="32179">
      <c r="B32179" s="19"/>
      <c r="E32179" s="23"/>
      <c r="L32179" s="23"/>
    </row>
    <row r="32180">
      <c r="B32180" s="19"/>
      <c r="E32180" s="23"/>
      <c r="L32180" s="23"/>
    </row>
    <row r="32181">
      <c r="B32181" s="19"/>
      <c r="E32181" s="23"/>
      <c r="L32181" s="23"/>
    </row>
    <row r="32182">
      <c r="B32182" s="19"/>
      <c r="E32182" s="23"/>
      <c r="L32182" s="23"/>
    </row>
    <row r="32183">
      <c r="B32183" s="19"/>
      <c r="E32183" s="23"/>
      <c r="L32183" s="23"/>
    </row>
    <row r="32184">
      <c r="B32184" s="19"/>
      <c r="E32184" s="23"/>
      <c r="L32184" s="23"/>
    </row>
    <row r="32185">
      <c r="B32185" s="19"/>
      <c r="E32185" s="23"/>
      <c r="L32185" s="23"/>
    </row>
    <row r="32186">
      <c r="B32186" s="19"/>
      <c r="E32186" s="23"/>
      <c r="L32186" s="23"/>
    </row>
    <row r="32187">
      <c r="B32187" s="19"/>
      <c r="E32187" s="23"/>
      <c r="L32187" s="23"/>
    </row>
    <row r="32188">
      <c r="B32188" s="19"/>
      <c r="E32188" s="23"/>
      <c r="L32188" s="23"/>
    </row>
    <row r="32189">
      <c r="B32189" s="19"/>
      <c r="E32189" s="23"/>
      <c r="L32189" s="23"/>
    </row>
    <row r="32190">
      <c r="B32190" s="19"/>
      <c r="E32190" s="23"/>
      <c r="L32190" s="23"/>
    </row>
    <row r="32191">
      <c r="B32191" s="19"/>
      <c r="E32191" s="23"/>
      <c r="L32191" s="23"/>
    </row>
    <row r="32192">
      <c r="B32192" s="19"/>
      <c r="E32192" s="23"/>
      <c r="L32192" s="23"/>
    </row>
    <row r="32193">
      <c r="B32193" s="19"/>
      <c r="E32193" s="23"/>
      <c r="L32193" s="23"/>
    </row>
    <row r="32194">
      <c r="B32194" s="19"/>
      <c r="E32194" s="23"/>
      <c r="L32194" s="23"/>
    </row>
    <row r="32195">
      <c r="B32195" s="19"/>
      <c r="E32195" s="23"/>
      <c r="L32195" s="23"/>
    </row>
    <row r="32196">
      <c r="B32196" s="19"/>
      <c r="E32196" s="23"/>
      <c r="L32196" s="23"/>
    </row>
    <row r="32197">
      <c r="B32197" s="19"/>
      <c r="E32197" s="23"/>
      <c r="L32197" s="23"/>
    </row>
    <row r="32198">
      <c r="B32198" s="19"/>
      <c r="E32198" s="23"/>
      <c r="L32198" s="23"/>
    </row>
    <row r="32199">
      <c r="B32199" s="19"/>
      <c r="E32199" s="23"/>
      <c r="L32199" s="23"/>
    </row>
    <row r="32200">
      <c r="B32200" s="19"/>
      <c r="E32200" s="23"/>
      <c r="L32200" s="23"/>
    </row>
    <row r="32201">
      <c r="B32201" s="19"/>
      <c r="E32201" s="23"/>
      <c r="L32201" s="23"/>
    </row>
    <row r="32202">
      <c r="B32202" s="19"/>
      <c r="E32202" s="23"/>
      <c r="L32202" s="23"/>
    </row>
    <row r="32203">
      <c r="B32203" s="19"/>
      <c r="E32203" s="23"/>
      <c r="L32203" s="23"/>
    </row>
    <row r="32204">
      <c r="B32204" s="19"/>
      <c r="E32204" s="23"/>
      <c r="L32204" s="23"/>
    </row>
    <row r="32205">
      <c r="B32205" s="19"/>
      <c r="E32205" s="23"/>
      <c r="L32205" s="23"/>
    </row>
    <row r="32206">
      <c r="B32206" s="19"/>
      <c r="E32206" s="23"/>
      <c r="L32206" s="23"/>
    </row>
    <row r="32207">
      <c r="B32207" s="19"/>
      <c r="E32207" s="23"/>
      <c r="L32207" s="23"/>
    </row>
    <row r="32208">
      <c r="B32208" s="19"/>
      <c r="E32208" s="23"/>
      <c r="L32208" s="23"/>
    </row>
    <row r="32209">
      <c r="B32209" s="19"/>
      <c r="E32209" s="23"/>
      <c r="L32209" s="23"/>
    </row>
    <row r="32210">
      <c r="B32210" s="19"/>
      <c r="E32210" s="23"/>
      <c r="L32210" s="23"/>
    </row>
    <row r="32211">
      <c r="B32211" s="19"/>
      <c r="E32211" s="23"/>
      <c r="L32211" s="23"/>
    </row>
    <row r="32212">
      <c r="B32212" s="19"/>
      <c r="E32212" s="23"/>
      <c r="L32212" s="23"/>
    </row>
    <row r="32213">
      <c r="B32213" s="19"/>
      <c r="E32213" s="23"/>
      <c r="L32213" s="23"/>
    </row>
    <row r="32214">
      <c r="B32214" s="19"/>
      <c r="E32214" s="23"/>
      <c r="L32214" s="23"/>
    </row>
    <row r="32215">
      <c r="B32215" s="19"/>
      <c r="E32215" s="23"/>
      <c r="L32215" s="23"/>
    </row>
    <row r="32216">
      <c r="B32216" s="19"/>
      <c r="E32216" s="23"/>
      <c r="L32216" s="23"/>
    </row>
    <row r="32217">
      <c r="B32217" s="19"/>
      <c r="E32217" s="23"/>
      <c r="L32217" s="23"/>
    </row>
    <row r="32218">
      <c r="B32218" s="19"/>
      <c r="E32218" s="23"/>
      <c r="L32218" s="23"/>
    </row>
    <row r="32219">
      <c r="B32219" s="19"/>
      <c r="E32219" s="23"/>
      <c r="L32219" s="23"/>
    </row>
    <row r="32220">
      <c r="B32220" s="19"/>
      <c r="E32220" s="23"/>
      <c r="L32220" s="23"/>
    </row>
    <row r="32221">
      <c r="B32221" s="19"/>
      <c r="E32221" s="23"/>
      <c r="L32221" s="23"/>
    </row>
    <row r="32222">
      <c r="B32222" s="19"/>
      <c r="E32222" s="23"/>
      <c r="L32222" s="23"/>
    </row>
    <row r="32223">
      <c r="B32223" s="19"/>
      <c r="E32223" s="23"/>
      <c r="L32223" s="23"/>
    </row>
    <row r="32224">
      <c r="B32224" s="19"/>
      <c r="E32224" s="23"/>
      <c r="L32224" s="23"/>
    </row>
    <row r="32225">
      <c r="B32225" s="19"/>
      <c r="E32225" s="23"/>
      <c r="L32225" s="23"/>
    </row>
    <row r="32226">
      <c r="B32226" s="19"/>
      <c r="E32226" s="23"/>
      <c r="L32226" s="23"/>
    </row>
    <row r="32227">
      <c r="B32227" s="19"/>
      <c r="E32227" s="23"/>
      <c r="L32227" s="23"/>
    </row>
    <row r="32228">
      <c r="B32228" s="19"/>
      <c r="E32228" s="23"/>
      <c r="L32228" s="23"/>
    </row>
    <row r="32229">
      <c r="B32229" s="19"/>
      <c r="E32229" s="23"/>
      <c r="L32229" s="23"/>
    </row>
    <row r="32230">
      <c r="B32230" s="19"/>
      <c r="E32230" s="23"/>
      <c r="L32230" s="23"/>
    </row>
    <row r="32231">
      <c r="B32231" s="19"/>
      <c r="E32231" s="23"/>
      <c r="L32231" s="23"/>
    </row>
    <row r="32232">
      <c r="B32232" s="19"/>
      <c r="E32232" s="23"/>
      <c r="L32232" s="23"/>
    </row>
    <row r="32233">
      <c r="B32233" s="19"/>
      <c r="E32233" s="23"/>
      <c r="L32233" s="23"/>
    </row>
    <row r="32234">
      <c r="B32234" s="19"/>
      <c r="E32234" s="23"/>
      <c r="L32234" s="23"/>
    </row>
    <row r="32235">
      <c r="B32235" s="19"/>
      <c r="E32235" s="23"/>
      <c r="L32235" s="23"/>
    </row>
    <row r="32236">
      <c r="B32236" s="19"/>
      <c r="E32236" s="23"/>
      <c r="L32236" s="23"/>
    </row>
    <row r="32237">
      <c r="B32237" s="19"/>
      <c r="E32237" s="23"/>
      <c r="L32237" s="23"/>
    </row>
    <row r="32238">
      <c r="B32238" s="19"/>
      <c r="E32238" s="23"/>
      <c r="L32238" s="23"/>
    </row>
    <row r="32239">
      <c r="B32239" s="19"/>
      <c r="E32239" s="23"/>
      <c r="L32239" s="23"/>
    </row>
    <row r="32240">
      <c r="B32240" s="19"/>
      <c r="E32240" s="23"/>
      <c r="L32240" s="23"/>
    </row>
    <row r="32241">
      <c r="B32241" s="19"/>
      <c r="E32241" s="23"/>
      <c r="L32241" s="23"/>
    </row>
    <row r="32242">
      <c r="B32242" s="19"/>
      <c r="E32242" s="23"/>
      <c r="L32242" s="23"/>
    </row>
    <row r="32243">
      <c r="B32243" s="19"/>
      <c r="E32243" s="23"/>
      <c r="L32243" s="23"/>
    </row>
    <row r="32244">
      <c r="B32244" s="19"/>
      <c r="E32244" s="23"/>
      <c r="L32244" s="23"/>
    </row>
    <row r="32245">
      <c r="B32245" s="19"/>
      <c r="E32245" s="23"/>
      <c r="L32245" s="23"/>
    </row>
    <row r="32246">
      <c r="B32246" s="19"/>
      <c r="E32246" s="23"/>
      <c r="L32246" s="23"/>
    </row>
    <row r="32247">
      <c r="B32247" s="19"/>
      <c r="E32247" s="23"/>
      <c r="L32247" s="23"/>
    </row>
    <row r="32248">
      <c r="B32248" s="19"/>
      <c r="E32248" s="23"/>
      <c r="L32248" s="23"/>
    </row>
    <row r="32249">
      <c r="B32249" s="19"/>
      <c r="E32249" s="23"/>
      <c r="L32249" s="23"/>
    </row>
    <row r="32250">
      <c r="B32250" s="19"/>
      <c r="E32250" s="23"/>
      <c r="L32250" s="23"/>
    </row>
    <row r="32251">
      <c r="B32251" s="19"/>
      <c r="E32251" s="23"/>
      <c r="L32251" s="23"/>
    </row>
    <row r="32252">
      <c r="B32252" s="19"/>
      <c r="E32252" s="23"/>
      <c r="L32252" s="23"/>
    </row>
    <row r="32253">
      <c r="B32253" s="19"/>
      <c r="E32253" s="23"/>
      <c r="L32253" s="23"/>
    </row>
    <row r="32254">
      <c r="B32254" s="19"/>
      <c r="E32254" s="23"/>
      <c r="L32254" s="23"/>
    </row>
    <row r="32255">
      <c r="B32255" s="19"/>
      <c r="E32255" s="23"/>
      <c r="L32255" s="23"/>
    </row>
    <row r="32256">
      <c r="B32256" s="19"/>
      <c r="E32256" s="23"/>
      <c r="L32256" s="23"/>
    </row>
    <row r="32257">
      <c r="B32257" s="19"/>
      <c r="E32257" s="23"/>
      <c r="L32257" s="23"/>
    </row>
    <row r="32258">
      <c r="B32258" s="19"/>
      <c r="E32258" s="23"/>
      <c r="L32258" s="23"/>
    </row>
    <row r="32259">
      <c r="B32259" s="19"/>
      <c r="E32259" s="23"/>
      <c r="L32259" s="23"/>
    </row>
    <row r="32260">
      <c r="B32260" s="19"/>
      <c r="E32260" s="23"/>
      <c r="L32260" s="23"/>
    </row>
    <row r="32261">
      <c r="B32261" s="19"/>
      <c r="E32261" s="23"/>
      <c r="L32261" s="23"/>
    </row>
    <row r="32262">
      <c r="B32262" s="19"/>
      <c r="E32262" s="23"/>
      <c r="L32262" s="23"/>
    </row>
    <row r="32263">
      <c r="B32263" s="19"/>
      <c r="E32263" s="23"/>
      <c r="L32263" s="23"/>
    </row>
    <row r="32264">
      <c r="B32264" s="19"/>
      <c r="E32264" s="23"/>
      <c r="L32264" s="23"/>
    </row>
    <row r="32265">
      <c r="B32265" s="19"/>
      <c r="E32265" s="23"/>
      <c r="L32265" s="23"/>
    </row>
    <row r="32266">
      <c r="B32266" s="19"/>
      <c r="E32266" s="23"/>
      <c r="L32266" s="23"/>
    </row>
    <row r="32267">
      <c r="B32267" s="19"/>
      <c r="E32267" s="23"/>
      <c r="L32267" s="23"/>
    </row>
    <row r="32268">
      <c r="B32268" s="19"/>
      <c r="E32268" s="23"/>
      <c r="L32268" s="23"/>
    </row>
    <row r="32269">
      <c r="B32269" s="19"/>
      <c r="E32269" s="23"/>
      <c r="L32269" s="23"/>
    </row>
    <row r="32270">
      <c r="B32270" s="19"/>
      <c r="E32270" s="23"/>
      <c r="L32270" s="23"/>
    </row>
    <row r="32271">
      <c r="B32271" s="19"/>
      <c r="E32271" s="23"/>
      <c r="L32271" s="23"/>
    </row>
    <row r="32272">
      <c r="B32272" s="19"/>
      <c r="E32272" s="23"/>
      <c r="L32272" s="23"/>
    </row>
    <row r="32273">
      <c r="B32273" s="19"/>
      <c r="E32273" s="23"/>
      <c r="L32273" s="23"/>
    </row>
    <row r="32274">
      <c r="B32274" s="19"/>
      <c r="E32274" s="23"/>
      <c r="L32274" s="23"/>
    </row>
    <row r="32275">
      <c r="B32275" s="19"/>
      <c r="E32275" s="23"/>
      <c r="L32275" s="23"/>
    </row>
    <row r="32276">
      <c r="B32276" s="19"/>
      <c r="E32276" s="23"/>
      <c r="L32276" s="23"/>
    </row>
    <row r="32277">
      <c r="B32277" s="19"/>
      <c r="E32277" s="23"/>
      <c r="L32277" s="23"/>
    </row>
    <row r="32278">
      <c r="B32278" s="19"/>
      <c r="E32278" s="23"/>
      <c r="L32278" s="23"/>
    </row>
    <row r="32279">
      <c r="B32279" s="19"/>
      <c r="E32279" s="23"/>
      <c r="L32279" s="23"/>
    </row>
    <row r="32280">
      <c r="B32280" s="19"/>
      <c r="E32280" s="23"/>
      <c r="L32280" s="23"/>
    </row>
    <row r="32281">
      <c r="B32281" s="19"/>
      <c r="E32281" s="23"/>
      <c r="L32281" s="23"/>
    </row>
    <row r="32282">
      <c r="B32282" s="19"/>
      <c r="E32282" s="23"/>
      <c r="L32282" s="23"/>
    </row>
    <row r="32283">
      <c r="B32283" s="19"/>
      <c r="E32283" s="23"/>
      <c r="L32283" s="23"/>
    </row>
    <row r="32284">
      <c r="B32284" s="19"/>
      <c r="E32284" s="23"/>
      <c r="L32284" s="23"/>
    </row>
    <row r="32285">
      <c r="B32285" s="19"/>
      <c r="E32285" s="23"/>
      <c r="L32285" s="23"/>
    </row>
    <row r="32286">
      <c r="B32286" s="19"/>
      <c r="E32286" s="23"/>
      <c r="L32286" s="23"/>
    </row>
    <row r="32287">
      <c r="B32287" s="19"/>
      <c r="E32287" s="23"/>
      <c r="L32287" s="23"/>
    </row>
    <row r="32288">
      <c r="B32288" s="19"/>
      <c r="E32288" s="23"/>
      <c r="L32288" s="23"/>
    </row>
    <row r="32289">
      <c r="B32289" s="19"/>
      <c r="E32289" s="23"/>
      <c r="L32289" s="23"/>
    </row>
    <row r="32290">
      <c r="B32290" s="19"/>
      <c r="E32290" s="23"/>
      <c r="L32290" s="23"/>
    </row>
    <row r="32291">
      <c r="B32291" s="19"/>
      <c r="E32291" s="23"/>
      <c r="L32291" s="23"/>
    </row>
    <row r="32292">
      <c r="B32292" s="19"/>
      <c r="E32292" s="23"/>
      <c r="L32292" s="23"/>
    </row>
    <row r="32293">
      <c r="B32293" s="19"/>
      <c r="E32293" s="23"/>
      <c r="L32293" s="23"/>
    </row>
    <row r="32294">
      <c r="B32294" s="19"/>
      <c r="E32294" s="23"/>
      <c r="L32294" s="23"/>
    </row>
    <row r="32295">
      <c r="B32295" s="19"/>
      <c r="E32295" s="23"/>
      <c r="L32295" s="23"/>
    </row>
    <row r="32296">
      <c r="B32296" s="19"/>
      <c r="E32296" s="23"/>
      <c r="L32296" s="23"/>
    </row>
    <row r="32297">
      <c r="B32297" s="19"/>
      <c r="E32297" s="23"/>
      <c r="L32297" s="23"/>
    </row>
    <row r="32298">
      <c r="B32298" s="19"/>
      <c r="E32298" s="23"/>
      <c r="L32298" s="23"/>
    </row>
    <row r="32299">
      <c r="B32299" s="19"/>
      <c r="E32299" s="23"/>
      <c r="L32299" s="23"/>
    </row>
    <row r="32300">
      <c r="B32300" s="19"/>
      <c r="E32300" s="23"/>
      <c r="L32300" s="23"/>
    </row>
    <row r="32301">
      <c r="B32301" s="19"/>
      <c r="E32301" s="23"/>
      <c r="L32301" s="23"/>
    </row>
    <row r="32302">
      <c r="B32302" s="19"/>
      <c r="E32302" s="23"/>
      <c r="L32302" s="23"/>
    </row>
    <row r="32303">
      <c r="B32303" s="19"/>
      <c r="E32303" s="23"/>
      <c r="L32303" s="23"/>
    </row>
    <row r="32304">
      <c r="B32304" s="19"/>
      <c r="E32304" s="23"/>
      <c r="L32304" s="23"/>
    </row>
    <row r="32305">
      <c r="B32305" s="19"/>
      <c r="E32305" s="23"/>
      <c r="L32305" s="23"/>
    </row>
    <row r="32306">
      <c r="B32306" s="19"/>
      <c r="E32306" s="23"/>
      <c r="L32306" s="23"/>
    </row>
    <row r="32307">
      <c r="B32307" s="19"/>
      <c r="E32307" s="23"/>
      <c r="L32307" s="23"/>
    </row>
    <row r="32308">
      <c r="B32308" s="19"/>
      <c r="E32308" s="23"/>
      <c r="L32308" s="23"/>
    </row>
    <row r="32309">
      <c r="B32309" s="19"/>
      <c r="E32309" s="23"/>
      <c r="L32309" s="23"/>
    </row>
    <row r="32310">
      <c r="B32310" s="19"/>
      <c r="E32310" s="23"/>
      <c r="L32310" s="23"/>
    </row>
    <row r="32311">
      <c r="B32311" s="19"/>
      <c r="E32311" s="23"/>
      <c r="L32311" s="23"/>
    </row>
    <row r="32312">
      <c r="B32312" s="19"/>
      <c r="E32312" s="23"/>
      <c r="L32312" s="23"/>
    </row>
    <row r="32313">
      <c r="B32313" s="19"/>
      <c r="E32313" s="23"/>
      <c r="L32313" s="23"/>
    </row>
    <row r="32314">
      <c r="B32314" s="19"/>
      <c r="E32314" s="23"/>
      <c r="L32314" s="23"/>
    </row>
    <row r="32315">
      <c r="B32315" s="19"/>
      <c r="E32315" s="23"/>
      <c r="L32315" s="23"/>
    </row>
    <row r="32316">
      <c r="B32316" s="19"/>
      <c r="E32316" s="23"/>
      <c r="L32316" s="23"/>
    </row>
    <row r="32317">
      <c r="B32317" s="19"/>
      <c r="E32317" s="23"/>
      <c r="L32317" s="23"/>
    </row>
    <row r="32318">
      <c r="B32318" s="19"/>
      <c r="E32318" s="23"/>
      <c r="L32318" s="23"/>
    </row>
    <row r="32319">
      <c r="B32319" s="19"/>
      <c r="E32319" s="23"/>
      <c r="L32319" s="23"/>
    </row>
    <row r="32320">
      <c r="B32320" s="19"/>
      <c r="E32320" s="23"/>
      <c r="L32320" s="23"/>
    </row>
    <row r="32321">
      <c r="B32321" s="19"/>
      <c r="E32321" s="23"/>
      <c r="L32321" s="23"/>
    </row>
    <row r="32322">
      <c r="B32322" s="19"/>
      <c r="E32322" s="23"/>
      <c r="L32322" s="23"/>
    </row>
    <row r="32323">
      <c r="B32323" s="19"/>
      <c r="E32323" s="23"/>
      <c r="L32323" s="23"/>
    </row>
    <row r="32324">
      <c r="B32324" s="19"/>
      <c r="E32324" s="23"/>
      <c r="L32324" s="23"/>
    </row>
    <row r="32325">
      <c r="B32325" s="19"/>
      <c r="E32325" s="23"/>
      <c r="L32325" s="23"/>
    </row>
    <row r="32326">
      <c r="B32326" s="19"/>
      <c r="E32326" s="23"/>
      <c r="L32326" s="23"/>
    </row>
    <row r="32327">
      <c r="B32327" s="19"/>
      <c r="E32327" s="23"/>
      <c r="L32327" s="23"/>
    </row>
    <row r="32328">
      <c r="B32328" s="19"/>
      <c r="E32328" s="23"/>
      <c r="L32328" s="23"/>
    </row>
    <row r="32329">
      <c r="B32329" s="19"/>
      <c r="E32329" s="23"/>
      <c r="L32329" s="23"/>
    </row>
    <row r="32330">
      <c r="B32330" s="19"/>
      <c r="E32330" s="23"/>
      <c r="L32330" s="23"/>
    </row>
    <row r="32331">
      <c r="B32331" s="19"/>
      <c r="E32331" s="23"/>
      <c r="L32331" s="23"/>
    </row>
    <row r="32332">
      <c r="B32332" s="19"/>
      <c r="E32332" s="23"/>
      <c r="L32332" s="23"/>
    </row>
    <row r="32333">
      <c r="B32333" s="19"/>
      <c r="E32333" s="23"/>
      <c r="L32333" s="23"/>
    </row>
    <row r="32334">
      <c r="B32334" s="19"/>
      <c r="E32334" s="23"/>
      <c r="L32334" s="23"/>
    </row>
    <row r="32335">
      <c r="B32335" s="19"/>
      <c r="E32335" s="23"/>
      <c r="L32335" s="23"/>
    </row>
    <row r="32336">
      <c r="B32336" s="19"/>
      <c r="E32336" s="23"/>
      <c r="L32336" s="23"/>
    </row>
    <row r="32337">
      <c r="B32337" s="19"/>
      <c r="E32337" s="23"/>
      <c r="L32337" s="23"/>
    </row>
    <row r="32338">
      <c r="B32338" s="19"/>
      <c r="E32338" s="23"/>
      <c r="L32338" s="23"/>
    </row>
    <row r="32339">
      <c r="B32339" s="19"/>
      <c r="E32339" s="23"/>
      <c r="L32339" s="23"/>
    </row>
    <row r="32340">
      <c r="B32340" s="19"/>
      <c r="E32340" s="23"/>
      <c r="L32340" s="23"/>
    </row>
    <row r="32341">
      <c r="B32341" s="19"/>
      <c r="E32341" s="23"/>
      <c r="L32341" s="23"/>
    </row>
    <row r="32342">
      <c r="B32342" s="19"/>
      <c r="E32342" s="23"/>
      <c r="L32342" s="23"/>
    </row>
    <row r="32343">
      <c r="B32343" s="19"/>
      <c r="E32343" s="23"/>
      <c r="L32343" s="23"/>
    </row>
    <row r="32344">
      <c r="B32344" s="19"/>
      <c r="E32344" s="23"/>
      <c r="L32344" s="23"/>
    </row>
    <row r="32345">
      <c r="B32345" s="19"/>
      <c r="E32345" s="23"/>
      <c r="L32345" s="23"/>
    </row>
    <row r="32346">
      <c r="B32346" s="19"/>
      <c r="E32346" s="23"/>
      <c r="L32346" s="23"/>
    </row>
    <row r="32347">
      <c r="B32347" s="19"/>
      <c r="E32347" s="23"/>
      <c r="L32347" s="23"/>
    </row>
    <row r="32348">
      <c r="B32348" s="19"/>
      <c r="E32348" s="23"/>
      <c r="L32348" s="23"/>
    </row>
    <row r="32349">
      <c r="B32349" s="19"/>
      <c r="E32349" s="23"/>
      <c r="L32349" s="23"/>
    </row>
    <row r="32350">
      <c r="B32350" s="19"/>
      <c r="E32350" s="23"/>
      <c r="L32350" s="23"/>
    </row>
    <row r="32351">
      <c r="B32351" s="19"/>
      <c r="E32351" s="23"/>
      <c r="L32351" s="23"/>
    </row>
    <row r="32352">
      <c r="B32352" s="19"/>
      <c r="E32352" s="23"/>
      <c r="L32352" s="23"/>
    </row>
    <row r="32353">
      <c r="B32353" s="19"/>
      <c r="E32353" s="23"/>
      <c r="L32353" s="23"/>
    </row>
    <row r="32354">
      <c r="B32354" s="19"/>
      <c r="E32354" s="23"/>
      <c r="L32354" s="23"/>
    </row>
    <row r="32355">
      <c r="B32355" s="19"/>
      <c r="E32355" s="23"/>
      <c r="L32355" s="23"/>
    </row>
    <row r="32356">
      <c r="B32356" s="19"/>
      <c r="E32356" s="23"/>
      <c r="L32356" s="23"/>
    </row>
    <row r="32357">
      <c r="B32357" s="19"/>
      <c r="E32357" s="23"/>
      <c r="L32357" s="23"/>
    </row>
    <row r="32358">
      <c r="B32358" s="19"/>
      <c r="E32358" s="23"/>
      <c r="L32358" s="23"/>
    </row>
    <row r="32359">
      <c r="B32359" s="19"/>
      <c r="E32359" s="23"/>
      <c r="L32359" s="23"/>
    </row>
    <row r="32360">
      <c r="B32360" s="19"/>
      <c r="E32360" s="23"/>
      <c r="L32360" s="23"/>
    </row>
    <row r="32361">
      <c r="B32361" s="19"/>
      <c r="E32361" s="23"/>
      <c r="L32361" s="23"/>
    </row>
    <row r="32362">
      <c r="B32362" s="19"/>
      <c r="E32362" s="23"/>
      <c r="L32362" s="23"/>
    </row>
    <row r="32363">
      <c r="B32363" s="19"/>
      <c r="E32363" s="23"/>
      <c r="L32363" s="23"/>
    </row>
    <row r="32364">
      <c r="B32364" s="19"/>
      <c r="E32364" s="23"/>
      <c r="L32364" s="23"/>
    </row>
    <row r="32365">
      <c r="B32365" s="19"/>
      <c r="E32365" s="23"/>
      <c r="L32365" s="23"/>
    </row>
    <row r="32366">
      <c r="B32366" s="19"/>
      <c r="E32366" s="23"/>
      <c r="L32366" s="23"/>
    </row>
    <row r="32367">
      <c r="B32367" s="19"/>
      <c r="E32367" s="23"/>
      <c r="L32367" s="23"/>
    </row>
    <row r="32368">
      <c r="B32368" s="19"/>
      <c r="E32368" s="23"/>
      <c r="L32368" s="23"/>
    </row>
    <row r="32369">
      <c r="B32369" s="19"/>
      <c r="E32369" s="23"/>
      <c r="L32369" s="23"/>
    </row>
    <row r="32370">
      <c r="B32370" s="19"/>
      <c r="E32370" s="23"/>
      <c r="L32370" s="23"/>
    </row>
    <row r="32371">
      <c r="B32371" s="19"/>
      <c r="E32371" s="23"/>
      <c r="L32371" s="23"/>
    </row>
    <row r="32372">
      <c r="B32372" s="19"/>
      <c r="E32372" s="23"/>
      <c r="L32372" s="23"/>
    </row>
    <row r="32373">
      <c r="B32373" s="19"/>
      <c r="E32373" s="23"/>
      <c r="L32373" s="23"/>
    </row>
    <row r="32374">
      <c r="B32374" s="19"/>
      <c r="E32374" s="23"/>
      <c r="L32374" s="23"/>
    </row>
    <row r="32375">
      <c r="B32375" s="19"/>
      <c r="E32375" s="23"/>
      <c r="L32375" s="23"/>
    </row>
    <row r="32376">
      <c r="B32376" s="19"/>
      <c r="E32376" s="23"/>
      <c r="L32376" s="23"/>
    </row>
    <row r="32377">
      <c r="B32377" s="19"/>
      <c r="E32377" s="23"/>
      <c r="L32377" s="23"/>
    </row>
    <row r="32378">
      <c r="B32378" s="19"/>
      <c r="E32378" s="23"/>
      <c r="L32378" s="23"/>
    </row>
    <row r="32379">
      <c r="B32379" s="19"/>
      <c r="E32379" s="23"/>
      <c r="L32379" s="23"/>
    </row>
    <row r="32380">
      <c r="B32380" s="19"/>
      <c r="E32380" s="23"/>
      <c r="L32380" s="23"/>
    </row>
    <row r="32381">
      <c r="B32381" s="19"/>
      <c r="E32381" s="23"/>
      <c r="L32381" s="23"/>
    </row>
    <row r="32382">
      <c r="B32382" s="19"/>
      <c r="E32382" s="23"/>
      <c r="L32382" s="23"/>
    </row>
    <row r="32383">
      <c r="B32383" s="19"/>
      <c r="E32383" s="23"/>
      <c r="L32383" s="23"/>
    </row>
    <row r="32384">
      <c r="B32384" s="19"/>
      <c r="E32384" s="23"/>
      <c r="L32384" s="23"/>
    </row>
    <row r="32385">
      <c r="B32385" s="19"/>
      <c r="E32385" s="23"/>
      <c r="L32385" s="23"/>
    </row>
    <row r="32386">
      <c r="B32386" s="19"/>
      <c r="E32386" s="23"/>
      <c r="L32386" s="23"/>
    </row>
    <row r="32387">
      <c r="B32387" s="19"/>
      <c r="E32387" s="23"/>
      <c r="L32387" s="23"/>
    </row>
    <row r="32388">
      <c r="B32388" s="19"/>
      <c r="E32388" s="23"/>
      <c r="L32388" s="23"/>
    </row>
    <row r="32389">
      <c r="B32389" s="19"/>
      <c r="E32389" s="23"/>
      <c r="L32389" s="23"/>
    </row>
    <row r="32390">
      <c r="B32390" s="19"/>
      <c r="E32390" s="23"/>
      <c r="L32390" s="23"/>
    </row>
    <row r="32391">
      <c r="B32391" s="19"/>
      <c r="E32391" s="23"/>
      <c r="L32391" s="23"/>
    </row>
    <row r="32392">
      <c r="B32392" s="19"/>
      <c r="E32392" s="23"/>
      <c r="L32392" s="23"/>
    </row>
    <row r="32393">
      <c r="B32393" s="19"/>
      <c r="E32393" s="23"/>
      <c r="L32393" s="23"/>
    </row>
    <row r="32394">
      <c r="B32394" s="19"/>
      <c r="E32394" s="23"/>
      <c r="L32394" s="23"/>
    </row>
    <row r="32395">
      <c r="B32395" s="19"/>
      <c r="E32395" s="23"/>
      <c r="L32395" s="23"/>
    </row>
    <row r="32396">
      <c r="B32396" s="19"/>
      <c r="E32396" s="23"/>
      <c r="L32396" s="23"/>
    </row>
    <row r="32397">
      <c r="B32397" s="19"/>
      <c r="E32397" s="23"/>
      <c r="L32397" s="23"/>
    </row>
    <row r="32398">
      <c r="B32398" s="19"/>
      <c r="E32398" s="23"/>
      <c r="L32398" s="23"/>
    </row>
    <row r="32399">
      <c r="B32399" s="19"/>
      <c r="E32399" s="23"/>
      <c r="L32399" s="23"/>
    </row>
    <row r="32400">
      <c r="B32400" s="19"/>
      <c r="E32400" s="23"/>
      <c r="L32400" s="23"/>
    </row>
    <row r="32401">
      <c r="B32401" s="19"/>
      <c r="E32401" s="23"/>
      <c r="L32401" s="23"/>
    </row>
    <row r="32402">
      <c r="B32402" s="19"/>
      <c r="E32402" s="23"/>
      <c r="L32402" s="23"/>
    </row>
    <row r="32403">
      <c r="B32403" s="19"/>
      <c r="E32403" s="23"/>
      <c r="L32403" s="23"/>
    </row>
    <row r="32404">
      <c r="B32404" s="19"/>
      <c r="E32404" s="23"/>
      <c r="L32404" s="23"/>
    </row>
    <row r="32405">
      <c r="B32405" s="19"/>
      <c r="E32405" s="23"/>
      <c r="L32405" s="23"/>
    </row>
    <row r="32406">
      <c r="B32406" s="19"/>
      <c r="E32406" s="23"/>
      <c r="L32406" s="23"/>
    </row>
    <row r="32407">
      <c r="B32407" s="19"/>
      <c r="E32407" s="23"/>
      <c r="L32407" s="23"/>
    </row>
    <row r="32408">
      <c r="B32408" s="19"/>
      <c r="E32408" s="23"/>
      <c r="L32408" s="23"/>
    </row>
    <row r="32409">
      <c r="B32409" s="19"/>
      <c r="E32409" s="23"/>
      <c r="L32409" s="23"/>
    </row>
    <row r="32410">
      <c r="B32410" s="19"/>
      <c r="E32410" s="23"/>
      <c r="L32410" s="23"/>
    </row>
    <row r="32411">
      <c r="B32411" s="19"/>
      <c r="E32411" s="23"/>
      <c r="L32411" s="23"/>
    </row>
    <row r="32412">
      <c r="B32412" s="19"/>
      <c r="E32412" s="23"/>
      <c r="L32412" s="23"/>
    </row>
    <row r="32413">
      <c r="B32413" s="19"/>
      <c r="E32413" s="23"/>
      <c r="L32413" s="23"/>
    </row>
    <row r="32414">
      <c r="B32414" s="19"/>
      <c r="E32414" s="23"/>
      <c r="L32414" s="23"/>
    </row>
    <row r="32415">
      <c r="B32415" s="19"/>
      <c r="E32415" s="23"/>
      <c r="L32415" s="23"/>
    </row>
    <row r="32416">
      <c r="B32416" s="19"/>
      <c r="E32416" s="23"/>
      <c r="L32416" s="23"/>
    </row>
    <row r="32417">
      <c r="B32417" s="19"/>
      <c r="E32417" s="23"/>
      <c r="L32417" s="23"/>
    </row>
    <row r="32418">
      <c r="B32418" s="19"/>
      <c r="E32418" s="23"/>
      <c r="L32418" s="23"/>
    </row>
    <row r="32419">
      <c r="B32419" s="19"/>
      <c r="E32419" s="23"/>
      <c r="L32419" s="23"/>
    </row>
    <row r="32420">
      <c r="B32420" s="19"/>
      <c r="E32420" s="23"/>
      <c r="L32420" s="23"/>
    </row>
    <row r="32421">
      <c r="B32421" s="19"/>
      <c r="E32421" s="23"/>
      <c r="L32421" s="23"/>
    </row>
    <row r="32422">
      <c r="B32422" s="19"/>
      <c r="E32422" s="23"/>
      <c r="L32422" s="23"/>
    </row>
    <row r="32423">
      <c r="B32423" s="19"/>
      <c r="E32423" s="23"/>
      <c r="L32423" s="23"/>
    </row>
    <row r="32424">
      <c r="B32424" s="19"/>
      <c r="E32424" s="23"/>
      <c r="L32424" s="23"/>
    </row>
    <row r="32425">
      <c r="B32425" s="19"/>
      <c r="E32425" s="23"/>
      <c r="L32425" s="23"/>
    </row>
    <row r="32426">
      <c r="B32426" s="19"/>
      <c r="E32426" s="23"/>
      <c r="L32426" s="23"/>
    </row>
    <row r="32427">
      <c r="B32427" s="19"/>
      <c r="E32427" s="23"/>
      <c r="L32427" s="23"/>
    </row>
    <row r="32428">
      <c r="B32428" s="19"/>
      <c r="E32428" s="23"/>
      <c r="L32428" s="23"/>
    </row>
    <row r="32429">
      <c r="B32429" s="19"/>
      <c r="E32429" s="23"/>
      <c r="L32429" s="23"/>
    </row>
    <row r="32430">
      <c r="B32430" s="19"/>
      <c r="E32430" s="23"/>
      <c r="L32430" s="23"/>
    </row>
    <row r="32431">
      <c r="B32431" s="19"/>
      <c r="E32431" s="23"/>
      <c r="L32431" s="23"/>
    </row>
    <row r="32432">
      <c r="B32432" s="19"/>
      <c r="E32432" s="23"/>
      <c r="L32432" s="23"/>
    </row>
    <row r="32433">
      <c r="B32433" s="19"/>
      <c r="E32433" s="23"/>
      <c r="L32433" s="23"/>
    </row>
    <row r="32434">
      <c r="B32434" s="19"/>
      <c r="E32434" s="23"/>
      <c r="L32434" s="23"/>
    </row>
    <row r="32435">
      <c r="B32435" s="19"/>
      <c r="E32435" s="23"/>
      <c r="L32435" s="23"/>
    </row>
    <row r="32436">
      <c r="B32436" s="19"/>
      <c r="E32436" s="23"/>
      <c r="L32436" s="23"/>
    </row>
    <row r="32437">
      <c r="B32437" s="19"/>
      <c r="E32437" s="23"/>
      <c r="L32437" s="23"/>
    </row>
    <row r="32438">
      <c r="B32438" s="19"/>
      <c r="E32438" s="23"/>
      <c r="L32438" s="23"/>
    </row>
    <row r="32439">
      <c r="B32439" s="19"/>
      <c r="E32439" s="23"/>
      <c r="L32439" s="23"/>
    </row>
    <row r="32440">
      <c r="B32440" s="19"/>
      <c r="E32440" s="23"/>
      <c r="L32440" s="23"/>
    </row>
    <row r="32441">
      <c r="B32441" s="19"/>
      <c r="E32441" s="23"/>
      <c r="L32441" s="23"/>
    </row>
    <row r="32442">
      <c r="B32442" s="19"/>
      <c r="E32442" s="23"/>
      <c r="L32442" s="23"/>
    </row>
    <row r="32443">
      <c r="B32443" s="19"/>
      <c r="E32443" s="23"/>
      <c r="L32443" s="23"/>
    </row>
    <row r="32444">
      <c r="B32444" s="19"/>
      <c r="E32444" s="23"/>
      <c r="L32444" s="23"/>
    </row>
    <row r="32445">
      <c r="B32445" s="19"/>
      <c r="E32445" s="23"/>
      <c r="L32445" s="23"/>
    </row>
    <row r="32446">
      <c r="B32446" s="19"/>
      <c r="E32446" s="23"/>
      <c r="L32446" s="23"/>
    </row>
    <row r="32447">
      <c r="B32447" s="19"/>
      <c r="E32447" s="23"/>
      <c r="L32447" s="23"/>
    </row>
    <row r="32448">
      <c r="B32448" s="19"/>
      <c r="E32448" s="23"/>
      <c r="L32448" s="23"/>
    </row>
    <row r="32449">
      <c r="B32449" s="19"/>
      <c r="E32449" s="23"/>
      <c r="L32449" s="23"/>
    </row>
    <row r="32450">
      <c r="B32450" s="19"/>
      <c r="E32450" s="23"/>
      <c r="L32450" s="23"/>
    </row>
    <row r="32451">
      <c r="B32451" s="19"/>
      <c r="E32451" s="23"/>
      <c r="L32451" s="23"/>
    </row>
    <row r="32452">
      <c r="B32452" s="19"/>
      <c r="E32452" s="23"/>
      <c r="L32452" s="23"/>
    </row>
    <row r="32453">
      <c r="B32453" s="19"/>
      <c r="E32453" s="23"/>
      <c r="L32453" s="23"/>
    </row>
    <row r="32454">
      <c r="B32454" s="19"/>
      <c r="E32454" s="23"/>
      <c r="L32454" s="23"/>
    </row>
    <row r="32455">
      <c r="B32455" s="19"/>
      <c r="E32455" s="23"/>
      <c r="L32455" s="23"/>
    </row>
    <row r="32456">
      <c r="B32456" s="19"/>
      <c r="E32456" s="23"/>
      <c r="L32456" s="23"/>
    </row>
    <row r="32457">
      <c r="B32457" s="19"/>
      <c r="E32457" s="23"/>
      <c r="L32457" s="23"/>
    </row>
    <row r="32458">
      <c r="B32458" s="19"/>
      <c r="E32458" s="23"/>
      <c r="L32458" s="23"/>
    </row>
    <row r="32459">
      <c r="B32459" s="19"/>
      <c r="E32459" s="23"/>
      <c r="L32459" s="23"/>
    </row>
    <row r="32460">
      <c r="B32460" s="19"/>
      <c r="E32460" s="23"/>
      <c r="L32460" s="23"/>
    </row>
    <row r="32461">
      <c r="B32461" s="19"/>
      <c r="E32461" s="23"/>
      <c r="L32461" s="23"/>
    </row>
    <row r="32462">
      <c r="B32462" s="19"/>
      <c r="E32462" s="23"/>
      <c r="L32462" s="23"/>
    </row>
    <row r="32463">
      <c r="B32463" s="19"/>
      <c r="E32463" s="23"/>
      <c r="L32463" s="23"/>
    </row>
    <row r="32464">
      <c r="B32464" s="19"/>
      <c r="E32464" s="23"/>
      <c r="L32464" s="23"/>
    </row>
    <row r="32465">
      <c r="B32465" s="19"/>
      <c r="E32465" s="23"/>
      <c r="L32465" s="23"/>
    </row>
    <row r="32466">
      <c r="B32466" s="19"/>
      <c r="E32466" s="23"/>
      <c r="L32466" s="23"/>
    </row>
    <row r="32467">
      <c r="B32467" s="19"/>
      <c r="E32467" s="23"/>
      <c r="L32467" s="23"/>
    </row>
    <row r="32468">
      <c r="B32468" s="19"/>
      <c r="E32468" s="23"/>
      <c r="L32468" s="23"/>
    </row>
    <row r="32469">
      <c r="B32469" s="19"/>
      <c r="E32469" s="23"/>
      <c r="L32469" s="23"/>
    </row>
    <row r="32470">
      <c r="B32470" s="19"/>
      <c r="E32470" s="23"/>
      <c r="L32470" s="23"/>
    </row>
    <row r="32471">
      <c r="B32471" s="19"/>
      <c r="E32471" s="23"/>
      <c r="L32471" s="23"/>
    </row>
    <row r="32472">
      <c r="B32472" s="19"/>
      <c r="E32472" s="23"/>
      <c r="L32472" s="23"/>
    </row>
    <row r="32473">
      <c r="B32473" s="19"/>
      <c r="E32473" s="23"/>
      <c r="L32473" s="23"/>
    </row>
    <row r="32474">
      <c r="B32474" s="19"/>
      <c r="E32474" s="23"/>
      <c r="L32474" s="23"/>
    </row>
    <row r="32475">
      <c r="B32475" s="19"/>
      <c r="E32475" s="23"/>
      <c r="L32475" s="23"/>
    </row>
    <row r="32476">
      <c r="B32476" s="19"/>
      <c r="E32476" s="23"/>
      <c r="L32476" s="23"/>
    </row>
    <row r="32477">
      <c r="B32477" s="19"/>
      <c r="E32477" s="23"/>
      <c r="L32477" s="23"/>
    </row>
    <row r="32478">
      <c r="B32478" s="19"/>
      <c r="E32478" s="23"/>
      <c r="L32478" s="23"/>
    </row>
    <row r="32479">
      <c r="B32479" s="19"/>
      <c r="E32479" s="23"/>
      <c r="L32479" s="23"/>
    </row>
    <row r="32480">
      <c r="B32480" s="19"/>
      <c r="E32480" s="23"/>
      <c r="L32480" s="23"/>
    </row>
    <row r="32481">
      <c r="B32481" s="19"/>
      <c r="E32481" s="23"/>
      <c r="L32481" s="23"/>
    </row>
    <row r="32482">
      <c r="B32482" s="19"/>
      <c r="E32482" s="23"/>
      <c r="L32482" s="23"/>
    </row>
    <row r="32483">
      <c r="B32483" s="19"/>
      <c r="E32483" s="23"/>
      <c r="L32483" s="23"/>
    </row>
    <row r="32484">
      <c r="B32484" s="19"/>
      <c r="E32484" s="23"/>
      <c r="L32484" s="23"/>
    </row>
    <row r="32485">
      <c r="B32485" s="19"/>
      <c r="E32485" s="23"/>
      <c r="L32485" s="23"/>
    </row>
    <row r="32486">
      <c r="B32486" s="19"/>
      <c r="E32486" s="23"/>
      <c r="L32486" s="23"/>
    </row>
    <row r="32487">
      <c r="B32487" s="19"/>
      <c r="E32487" s="23"/>
      <c r="L32487" s="23"/>
    </row>
    <row r="32488">
      <c r="B32488" s="19"/>
      <c r="E32488" s="23"/>
      <c r="L32488" s="23"/>
    </row>
    <row r="32489">
      <c r="B32489" s="19"/>
      <c r="E32489" s="23"/>
      <c r="L32489" s="23"/>
    </row>
    <row r="32490">
      <c r="B32490" s="19"/>
      <c r="E32490" s="23"/>
      <c r="L32490" s="23"/>
    </row>
    <row r="32491">
      <c r="B32491" s="19"/>
      <c r="E32491" s="23"/>
      <c r="L32491" s="23"/>
    </row>
    <row r="32492">
      <c r="B32492" s="19"/>
      <c r="E32492" s="23"/>
      <c r="L32492" s="23"/>
    </row>
    <row r="32493">
      <c r="B32493" s="19"/>
      <c r="E32493" s="23"/>
      <c r="L32493" s="23"/>
    </row>
    <row r="32494">
      <c r="B32494" s="19"/>
      <c r="E32494" s="23"/>
      <c r="L32494" s="23"/>
    </row>
    <row r="32495">
      <c r="B32495" s="19"/>
      <c r="E32495" s="23"/>
      <c r="L32495" s="23"/>
    </row>
    <row r="32496">
      <c r="B32496" s="19"/>
      <c r="E32496" s="23"/>
      <c r="L32496" s="23"/>
    </row>
    <row r="32497">
      <c r="B32497" s="19"/>
      <c r="E32497" s="23"/>
      <c r="L32497" s="23"/>
    </row>
    <row r="32498">
      <c r="B32498" s="19"/>
      <c r="E32498" s="23"/>
      <c r="L32498" s="23"/>
    </row>
    <row r="32499">
      <c r="B32499" s="19"/>
      <c r="E32499" s="23"/>
      <c r="L32499" s="23"/>
    </row>
    <row r="32500">
      <c r="B32500" s="19"/>
      <c r="E32500" s="23"/>
      <c r="L32500" s="23"/>
    </row>
    <row r="32501">
      <c r="B32501" s="19"/>
      <c r="E32501" s="23"/>
      <c r="L32501" s="23"/>
    </row>
    <row r="32502">
      <c r="B32502" s="19"/>
      <c r="E32502" s="23"/>
      <c r="L32502" s="23"/>
    </row>
    <row r="32503">
      <c r="B32503" s="19"/>
      <c r="E32503" s="23"/>
      <c r="L32503" s="23"/>
    </row>
    <row r="32504">
      <c r="B32504" s="19"/>
      <c r="E32504" s="23"/>
      <c r="L32504" s="23"/>
    </row>
    <row r="32505">
      <c r="B32505" s="19"/>
      <c r="E32505" s="23"/>
      <c r="L32505" s="23"/>
    </row>
    <row r="32506">
      <c r="B32506" s="19"/>
      <c r="E32506" s="23"/>
      <c r="L32506" s="23"/>
    </row>
    <row r="32507">
      <c r="B32507" s="19"/>
      <c r="E32507" s="23"/>
      <c r="L32507" s="23"/>
    </row>
    <row r="32508">
      <c r="B32508" s="19"/>
      <c r="E32508" s="23"/>
      <c r="L32508" s="23"/>
    </row>
    <row r="32509">
      <c r="B32509" s="19"/>
      <c r="E32509" s="23"/>
      <c r="L32509" s="23"/>
    </row>
    <row r="32510">
      <c r="B32510" s="19"/>
      <c r="E32510" s="23"/>
      <c r="L32510" s="23"/>
    </row>
    <row r="32511">
      <c r="B32511" s="19"/>
      <c r="E32511" s="23"/>
      <c r="L32511" s="23"/>
    </row>
    <row r="32512">
      <c r="B32512" s="19"/>
      <c r="E32512" s="23"/>
      <c r="L32512" s="23"/>
    </row>
    <row r="32513">
      <c r="B32513" s="19"/>
      <c r="E32513" s="23"/>
      <c r="L32513" s="23"/>
    </row>
    <row r="32514">
      <c r="B32514" s="19"/>
      <c r="E32514" s="23"/>
      <c r="L32514" s="23"/>
    </row>
    <row r="32515">
      <c r="B32515" s="19"/>
      <c r="E32515" s="23"/>
      <c r="L32515" s="23"/>
    </row>
    <row r="32516">
      <c r="B32516" s="19"/>
      <c r="E32516" s="23"/>
      <c r="L32516" s="23"/>
    </row>
    <row r="32517">
      <c r="B32517" s="19"/>
      <c r="E32517" s="23"/>
      <c r="L32517" s="23"/>
    </row>
    <row r="32518">
      <c r="B32518" s="19"/>
      <c r="E32518" s="23"/>
      <c r="L32518" s="23"/>
    </row>
    <row r="32519">
      <c r="B32519" s="19"/>
      <c r="E32519" s="23"/>
      <c r="L32519" s="23"/>
    </row>
    <row r="32520">
      <c r="B32520" s="19"/>
      <c r="E32520" s="23"/>
      <c r="L32520" s="23"/>
    </row>
    <row r="32521">
      <c r="B32521" s="19"/>
      <c r="E32521" s="23"/>
      <c r="L32521" s="23"/>
    </row>
    <row r="32522">
      <c r="B32522" s="19"/>
      <c r="E32522" s="23"/>
      <c r="L32522" s="23"/>
    </row>
    <row r="32523">
      <c r="B32523" s="19"/>
      <c r="E32523" s="23"/>
      <c r="L32523" s="23"/>
    </row>
    <row r="32524">
      <c r="B32524" s="19"/>
      <c r="E32524" s="23"/>
      <c r="L32524" s="23"/>
    </row>
    <row r="32525">
      <c r="B32525" s="19"/>
      <c r="E32525" s="23"/>
      <c r="L32525" s="23"/>
    </row>
    <row r="32526">
      <c r="B32526" s="19"/>
      <c r="E32526" s="23"/>
      <c r="L32526" s="23"/>
    </row>
    <row r="32527">
      <c r="B32527" s="19"/>
      <c r="E32527" s="23"/>
      <c r="L32527" s="23"/>
    </row>
    <row r="32528">
      <c r="B32528" s="19"/>
      <c r="E32528" s="23"/>
      <c r="L32528" s="23"/>
    </row>
    <row r="32529">
      <c r="B32529" s="19"/>
      <c r="E32529" s="23"/>
      <c r="L32529" s="23"/>
    </row>
    <row r="32530">
      <c r="B32530" s="19"/>
      <c r="E32530" s="23"/>
      <c r="L32530" s="23"/>
    </row>
    <row r="32531">
      <c r="B32531" s="19"/>
      <c r="E32531" s="23"/>
      <c r="L32531" s="23"/>
    </row>
    <row r="32532">
      <c r="B32532" s="19"/>
      <c r="E32532" s="23"/>
      <c r="L32532" s="23"/>
    </row>
    <row r="32533">
      <c r="B32533" s="19"/>
      <c r="E32533" s="23"/>
      <c r="L32533" s="23"/>
    </row>
    <row r="32534">
      <c r="B32534" s="19"/>
      <c r="E32534" s="23"/>
      <c r="L32534" s="23"/>
    </row>
    <row r="32535">
      <c r="B32535" s="19"/>
      <c r="E32535" s="23"/>
      <c r="L32535" s="23"/>
    </row>
    <row r="32536">
      <c r="B32536" s="19"/>
      <c r="E32536" s="23"/>
      <c r="L32536" s="23"/>
    </row>
    <row r="32537">
      <c r="B32537" s="19"/>
      <c r="E32537" s="23"/>
      <c r="L32537" s="23"/>
    </row>
    <row r="32538">
      <c r="B32538" s="19"/>
      <c r="E32538" s="23"/>
      <c r="L32538" s="23"/>
    </row>
    <row r="32539">
      <c r="B32539" s="19"/>
      <c r="E32539" s="23"/>
      <c r="L32539" s="23"/>
    </row>
    <row r="32540">
      <c r="B32540" s="19"/>
      <c r="E32540" s="23"/>
      <c r="L32540" s="23"/>
    </row>
    <row r="32541">
      <c r="B32541" s="19"/>
      <c r="E32541" s="23"/>
      <c r="L32541" s="23"/>
    </row>
    <row r="32542">
      <c r="B32542" s="19"/>
      <c r="E32542" s="23"/>
      <c r="L32542" s="23"/>
    </row>
    <row r="32543">
      <c r="B32543" s="19"/>
      <c r="E32543" s="23"/>
      <c r="L32543" s="23"/>
    </row>
    <row r="32544">
      <c r="B32544" s="19"/>
      <c r="E32544" s="23"/>
      <c r="L32544" s="23"/>
    </row>
    <row r="32545">
      <c r="B32545" s="19"/>
      <c r="E32545" s="23"/>
      <c r="L32545" s="23"/>
    </row>
    <row r="32546">
      <c r="B32546" s="19"/>
      <c r="E32546" s="23"/>
      <c r="L32546" s="23"/>
    </row>
    <row r="32547">
      <c r="B32547" s="19"/>
      <c r="E32547" s="23"/>
      <c r="L32547" s="23"/>
    </row>
    <row r="32548">
      <c r="B32548" s="19"/>
      <c r="E32548" s="23"/>
      <c r="L32548" s="23"/>
    </row>
    <row r="32549">
      <c r="B32549" s="19"/>
      <c r="E32549" s="23"/>
      <c r="L32549" s="23"/>
    </row>
    <row r="32550">
      <c r="B32550" s="19"/>
      <c r="E32550" s="23"/>
      <c r="L32550" s="23"/>
    </row>
    <row r="32551">
      <c r="B32551" s="19"/>
      <c r="E32551" s="23"/>
      <c r="L32551" s="23"/>
    </row>
    <row r="32552">
      <c r="B32552" s="19"/>
      <c r="E32552" s="23"/>
      <c r="L32552" s="23"/>
    </row>
    <row r="32553">
      <c r="B32553" s="19"/>
      <c r="E32553" s="23"/>
      <c r="L32553" s="23"/>
    </row>
    <row r="32554">
      <c r="B32554" s="19"/>
      <c r="E32554" s="23"/>
      <c r="L32554" s="23"/>
    </row>
    <row r="32555">
      <c r="B32555" s="19"/>
      <c r="E32555" s="23"/>
      <c r="L32555" s="23"/>
    </row>
    <row r="32556">
      <c r="B32556" s="19"/>
      <c r="E32556" s="23"/>
      <c r="L32556" s="23"/>
    </row>
    <row r="32557">
      <c r="B32557" s="19"/>
      <c r="E32557" s="23"/>
      <c r="L32557" s="23"/>
    </row>
    <row r="32558">
      <c r="B32558" s="19"/>
      <c r="E32558" s="23"/>
      <c r="L32558" s="23"/>
    </row>
    <row r="32559">
      <c r="B32559" s="19"/>
      <c r="E32559" s="23"/>
      <c r="L32559" s="23"/>
    </row>
    <row r="32560">
      <c r="B32560" s="19"/>
      <c r="E32560" s="23"/>
      <c r="L32560" s="23"/>
    </row>
    <row r="32561">
      <c r="B32561" s="19"/>
      <c r="E32561" s="23"/>
      <c r="L32561" s="23"/>
    </row>
    <row r="32562">
      <c r="B32562" s="19"/>
      <c r="E32562" s="23"/>
      <c r="L32562" s="23"/>
    </row>
    <row r="32563">
      <c r="B32563" s="19"/>
      <c r="E32563" s="23"/>
      <c r="L32563" s="23"/>
    </row>
    <row r="32564">
      <c r="B32564" s="19"/>
      <c r="E32564" s="23"/>
      <c r="L32564" s="23"/>
    </row>
    <row r="32565">
      <c r="B32565" s="19"/>
      <c r="E32565" s="23"/>
      <c r="L32565" s="23"/>
    </row>
    <row r="32566">
      <c r="B32566" s="19"/>
      <c r="E32566" s="23"/>
      <c r="L32566" s="23"/>
    </row>
    <row r="32567">
      <c r="B32567" s="19"/>
      <c r="E32567" s="23"/>
      <c r="L32567" s="23"/>
    </row>
    <row r="32568">
      <c r="B32568" s="19"/>
      <c r="E32568" s="23"/>
      <c r="L32568" s="23"/>
    </row>
    <row r="32569">
      <c r="B32569" s="19"/>
      <c r="E32569" s="23"/>
      <c r="L32569" s="23"/>
    </row>
    <row r="32570">
      <c r="B32570" s="19"/>
      <c r="E32570" s="23"/>
      <c r="L32570" s="23"/>
    </row>
    <row r="32571">
      <c r="B32571" s="19"/>
      <c r="E32571" s="23"/>
      <c r="L32571" s="23"/>
    </row>
    <row r="32572">
      <c r="B32572" s="19"/>
      <c r="E32572" s="23"/>
      <c r="L32572" s="23"/>
    </row>
    <row r="32573">
      <c r="B32573" s="19"/>
      <c r="E32573" s="23"/>
      <c r="L32573" s="23"/>
    </row>
    <row r="32574">
      <c r="B32574" s="19"/>
      <c r="E32574" s="23"/>
      <c r="L32574" s="23"/>
    </row>
    <row r="32575">
      <c r="B32575" s="19"/>
      <c r="E32575" s="23"/>
      <c r="L32575" s="23"/>
    </row>
    <row r="32576">
      <c r="B32576" s="19"/>
      <c r="E32576" s="23"/>
      <c r="L32576" s="23"/>
    </row>
    <row r="32577">
      <c r="B32577" s="19"/>
      <c r="E32577" s="23"/>
      <c r="L32577" s="23"/>
    </row>
    <row r="32578">
      <c r="B32578" s="19"/>
      <c r="E32578" s="23"/>
      <c r="L32578" s="23"/>
    </row>
    <row r="32579">
      <c r="B32579" s="19"/>
      <c r="E32579" s="23"/>
      <c r="L32579" s="23"/>
    </row>
    <row r="32580">
      <c r="B32580" s="19"/>
      <c r="E32580" s="23"/>
      <c r="L32580" s="23"/>
    </row>
    <row r="32581">
      <c r="B32581" s="19"/>
      <c r="E32581" s="23"/>
      <c r="L32581" s="23"/>
    </row>
    <row r="32582">
      <c r="B32582" s="19"/>
      <c r="E32582" s="23"/>
      <c r="L32582" s="23"/>
    </row>
    <row r="32583">
      <c r="B32583" s="19"/>
      <c r="E32583" s="23"/>
      <c r="L32583" s="23"/>
    </row>
    <row r="32584">
      <c r="B32584" s="19"/>
      <c r="E32584" s="23"/>
      <c r="L32584" s="23"/>
    </row>
    <row r="32585">
      <c r="B32585" s="19"/>
      <c r="E32585" s="23"/>
      <c r="L32585" s="23"/>
    </row>
    <row r="32586">
      <c r="B32586" s="19"/>
      <c r="E32586" s="23"/>
      <c r="L32586" s="23"/>
    </row>
    <row r="32587">
      <c r="B32587" s="19"/>
      <c r="E32587" s="23"/>
      <c r="L32587" s="23"/>
    </row>
    <row r="32588">
      <c r="B32588" s="19"/>
      <c r="E32588" s="23"/>
      <c r="L32588" s="23"/>
    </row>
    <row r="32589">
      <c r="B32589" s="19"/>
      <c r="E32589" s="23"/>
      <c r="L32589" s="23"/>
    </row>
    <row r="32590">
      <c r="B32590" s="19"/>
      <c r="E32590" s="23"/>
      <c r="L32590" s="23"/>
    </row>
    <row r="32591">
      <c r="B32591" s="19"/>
      <c r="E32591" s="23"/>
      <c r="L32591" s="23"/>
    </row>
    <row r="32592">
      <c r="B32592" s="19"/>
      <c r="E32592" s="23"/>
      <c r="L32592" s="23"/>
    </row>
    <row r="32593">
      <c r="B32593" s="19"/>
      <c r="E32593" s="23"/>
      <c r="L32593" s="23"/>
    </row>
    <row r="32594">
      <c r="B32594" s="19"/>
      <c r="E32594" s="23"/>
      <c r="L32594" s="23"/>
    </row>
    <row r="32595">
      <c r="B32595" s="19"/>
      <c r="E32595" s="23"/>
      <c r="L32595" s="23"/>
    </row>
    <row r="32596">
      <c r="B32596" s="19"/>
      <c r="E32596" s="23"/>
      <c r="L32596" s="23"/>
    </row>
    <row r="32597">
      <c r="B32597" s="19"/>
      <c r="E32597" s="23"/>
      <c r="L32597" s="23"/>
    </row>
    <row r="32598">
      <c r="B32598" s="19"/>
      <c r="E32598" s="23"/>
      <c r="L32598" s="23"/>
    </row>
    <row r="32599">
      <c r="B32599" s="19"/>
      <c r="E32599" s="23"/>
      <c r="L32599" s="23"/>
    </row>
    <row r="32600">
      <c r="B32600" s="19"/>
      <c r="E32600" s="23"/>
      <c r="L32600" s="23"/>
    </row>
    <row r="32601">
      <c r="B32601" s="19"/>
      <c r="E32601" s="23"/>
      <c r="L32601" s="23"/>
    </row>
    <row r="32602">
      <c r="B32602" s="19"/>
      <c r="E32602" s="23"/>
      <c r="L32602" s="23"/>
    </row>
    <row r="32603">
      <c r="B32603" s="19"/>
      <c r="E32603" s="23"/>
      <c r="L32603" s="23"/>
    </row>
    <row r="32604">
      <c r="B32604" s="19"/>
      <c r="E32604" s="23"/>
      <c r="L32604" s="23"/>
    </row>
    <row r="32605">
      <c r="B32605" s="19"/>
      <c r="E32605" s="23"/>
      <c r="L32605" s="23"/>
    </row>
    <row r="32606">
      <c r="B32606" s="19"/>
      <c r="E32606" s="23"/>
      <c r="L32606" s="23"/>
    </row>
    <row r="32607">
      <c r="B32607" s="19"/>
      <c r="E32607" s="23"/>
      <c r="L32607" s="23"/>
    </row>
    <row r="32608">
      <c r="B32608" s="19"/>
      <c r="E32608" s="23"/>
      <c r="L32608" s="23"/>
    </row>
    <row r="32609">
      <c r="B32609" s="19"/>
      <c r="E32609" s="23"/>
      <c r="L32609" s="23"/>
    </row>
    <row r="32610">
      <c r="B32610" s="19"/>
      <c r="E32610" s="23"/>
      <c r="L32610" s="23"/>
    </row>
    <row r="32611">
      <c r="B32611" s="19"/>
      <c r="E32611" s="23"/>
      <c r="L32611" s="23"/>
    </row>
    <row r="32612">
      <c r="B32612" s="19"/>
      <c r="E32612" s="23"/>
      <c r="L32612" s="23"/>
    </row>
    <row r="32613">
      <c r="B32613" s="19"/>
      <c r="E32613" s="23"/>
      <c r="L32613" s="23"/>
    </row>
    <row r="32614">
      <c r="B32614" s="19"/>
      <c r="E32614" s="23"/>
      <c r="L32614" s="23"/>
    </row>
    <row r="32615">
      <c r="B32615" s="19"/>
      <c r="E32615" s="23"/>
      <c r="L32615" s="23"/>
    </row>
    <row r="32616">
      <c r="B32616" s="19"/>
      <c r="E32616" s="23"/>
      <c r="L32616" s="23"/>
    </row>
    <row r="32617">
      <c r="B32617" s="19"/>
      <c r="E32617" s="23"/>
      <c r="L32617" s="23"/>
    </row>
    <row r="32618">
      <c r="B32618" s="19"/>
      <c r="E32618" s="23"/>
      <c r="L32618" s="23"/>
    </row>
    <row r="32619">
      <c r="B32619" s="19"/>
      <c r="E32619" s="23"/>
      <c r="L32619" s="23"/>
    </row>
    <row r="32620">
      <c r="B32620" s="19"/>
      <c r="E32620" s="23"/>
      <c r="L32620" s="23"/>
    </row>
    <row r="32621">
      <c r="B32621" s="19"/>
      <c r="E32621" s="23"/>
      <c r="L32621" s="23"/>
    </row>
    <row r="32622">
      <c r="B32622" s="19"/>
      <c r="E32622" s="23"/>
      <c r="L32622" s="23"/>
    </row>
    <row r="32623">
      <c r="B32623" s="19"/>
      <c r="E32623" s="23"/>
      <c r="L32623" s="23"/>
    </row>
    <row r="32624">
      <c r="B32624" s="19"/>
      <c r="E32624" s="23"/>
      <c r="L32624" s="23"/>
    </row>
    <row r="32625">
      <c r="B32625" s="19"/>
      <c r="E32625" s="23"/>
      <c r="L32625" s="23"/>
    </row>
    <row r="32626">
      <c r="B32626" s="19"/>
      <c r="E32626" s="23"/>
      <c r="L32626" s="23"/>
    </row>
    <row r="32627">
      <c r="B32627" s="19"/>
      <c r="E32627" s="23"/>
      <c r="L32627" s="23"/>
    </row>
    <row r="32628">
      <c r="B32628" s="19"/>
      <c r="E32628" s="23"/>
      <c r="L32628" s="23"/>
    </row>
    <row r="32629">
      <c r="B32629" s="19"/>
      <c r="E32629" s="23"/>
      <c r="L32629" s="23"/>
    </row>
    <row r="32630">
      <c r="B32630" s="19"/>
      <c r="E32630" s="23"/>
      <c r="L32630" s="23"/>
    </row>
    <row r="32631">
      <c r="B32631" s="19"/>
      <c r="E32631" s="23"/>
      <c r="L32631" s="23"/>
    </row>
    <row r="32632">
      <c r="B32632" s="19"/>
      <c r="E32632" s="23"/>
      <c r="L32632" s="23"/>
    </row>
    <row r="32633">
      <c r="B32633" s="19"/>
      <c r="E32633" s="23"/>
      <c r="L32633" s="23"/>
    </row>
    <row r="32634">
      <c r="B32634" s="19"/>
      <c r="E32634" s="23"/>
      <c r="L32634" s="23"/>
    </row>
    <row r="32635">
      <c r="B32635" s="19"/>
      <c r="E32635" s="23"/>
      <c r="L32635" s="23"/>
    </row>
    <row r="32636">
      <c r="B32636" s="19"/>
      <c r="E32636" s="23"/>
      <c r="L32636" s="23"/>
    </row>
    <row r="32637">
      <c r="B32637" s="19"/>
      <c r="E32637" s="23"/>
      <c r="L32637" s="23"/>
    </row>
    <row r="32638">
      <c r="B32638" s="19"/>
      <c r="E32638" s="23"/>
      <c r="L32638" s="23"/>
    </row>
    <row r="32639">
      <c r="B32639" s="19"/>
      <c r="E32639" s="23"/>
      <c r="L32639" s="23"/>
    </row>
    <row r="32640">
      <c r="B32640" s="19"/>
      <c r="E32640" s="23"/>
      <c r="L32640" s="23"/>
    </row>
    <row r="32641">
      <c r="B32641" s="19"/>
      <c r="E32641" s="23"/>
      <c r="L32641" s="23"/>
    </row>
    <row r="32642">
      <c r="B32642" s="19"/>
      <c r="E32642" s="23"/>
      <c r="L32642" s="23"/>
    </row>
    <row r="32643">
      <c r="B32643" s="19"/>
      <c r="E32643" s="23"/>
      <c r="L32643" s="23"/>
    </row>
    <row r="32644">
      <c r="B32644" s="19"/>
      <c r="E32644" s="23"/>
      <c r="L32644" s="23"/>
    </row>
    <row r="32645">
      <c r="B32645" s="19"/>
      <c r="E32645" s="23"/>
      <c r="L32645" s="23"/>
    </row>
    <row r="32646">
      <c r="B32646" s="19"/>
      <c r="E32646" s="23"/>
      <c r="L32646" s="23"/>
    </row>
    <row r="32647">
      <c r="B32647" s="19"/>
      <c r="E32647" s="23"/>
      <c r="L32647" s="23"/>
    </row>
    <row r="32648">
      <c r="B32648" s="19"/>
      <c r="E32648" s="23"/>
      <c r="L32648" s="23"/>
    </row>
    <row r="32649">
      <c r="B32649" s="19"/>
      <c r="E32649" s="23"/>
      <c r="L32649" s="23"/>
    </row>
    <row r="32650">
      <c r="B32650" s="19"/>
      <c r="E32650" s="23"/>
      <c r="L32650" s="23"/>
    </row>
    <row r="32651">
      <c r="B32651" s="19"/>
      <c r="E32651" s="23"/>
      <c r="L32651" s="23"/>
    </row>
    <row r="32652">
      <c r="B32652" s="19"/>
      <c r="E32652" s="23"/>
      <c r="L32652" s="23"/>
    </row>
    <row r="32653">
      <c r="B32653" s="19"/>
      <c r="E32653" s="23"/>
      <c r="L32653" s="23"/>
    </row>
    <row r="32654">
      <c r="B32654" s="19"/>
      <c r="E32654" s="23"/>
      <c r="L32654" s="23"/>
    </row>
    <row r="32655">
      <c r="B32655" s="19"/>
      <c r="E32655" s="23"/>
      <c r="L32655" s="23"/>
    </row>
    <row r="32656">
      <c r="B32656" s="19"/>
      <c r="E32656" s="23"/>
      <c r="L32656" s="23"/>
    </row>
    <row r="32657">
      <c r="B32657" s="19"/>
      <c r="E32657" s="23"/>
      <c r="L32657" s="23"/>
    </row>
    <row r="32658">
      <c r="B32658" s="19"/>
      <c r="E32658" s="23"/>
      <c r="L32658" s="23"/>
    </row>
    <row r="32659">
      <c r="B32659" s="19"/>
      <c r="E32659" s="23"/>
      <c r="L32659" s="23"/>
    </row>
    <row r="32660">
      <c r="B32660" s="19"/>
      <c r="E32660" s="23"/>
      <c r="L32660" s="23"/>
    </row>
    <row r="32661">
      <c r="B32661" s="19"/>
      <c r="E32661" s="23"/>
      <c r="L32661" s="23"/>
    </row>
    <row r="32662">
      <c r="B32662" s="19"/>
      <c r="E32662" s="23"/>
      <c r="L32662" s="23"/>
    </row>
    <row r="32663">
      <c r="B32663" s="19"/>
      <c r="E32663" s="23"/>
      <c r="L32663" s="23"/>
    </row>
    <row r="32664">
      <c r="B32664" s="19"/>
      <c r="E32664" s="23"/>
      <c r="L32664" s="23"/>
    </row>
    <row r="32665">
      <c r="B32665" s="19"/>
      <c r="E32665" s="23"/>
      <c r="L32665" s="23"/>
    </row>
    <row r="32666">
      <c r="B32666" s="19"/>
      <c r="E32666" s="23"/>
      <c r="L32666" s="23"/>
    </row>
    <row r="32667">
      <c r="B32667" s="19"/>
      <c r="E32667" s="23"/>
      <c r="L32667" s="23"/>
    </row>
    <row r="32668">
      <c r="B32668" s="19"/>
      <c r="E32668" s="23"/>
      <c r="L32668" s="23"/>
    </row>
    <row r="32669">
      <c r="B32669" s="19"/>
      <c r="E32669" s="23"/>
      <c r="L32669" s="23"/>
    </row>
    <row r="32670">
      <c r="B32670" s="19"/>
      <c r="E32670" s="23"/>
      <c r="L32670" s="23"/>
    </row>
    <row r="32671">
      <c r="B32671" s="19"/>
      <c r="E32671" s="23"/>
      <c r="L32671" s="23"/>
    </row>
    <row r="32672">
      <c r="B32672" s="19"/>
      <c r="E32672" s="23"/>
      <c r="L32672" s="23"/>
    </row>
    <row r="32673">
      <c r="B32673" s="19"/>
      <c r="E32673" s="23"/>
      <c r="L32673" s="23"/>
    </row>
    <row r="32674">
      <c r="B32674" s="19"/>
      <c r="E32674" s="23"/>
      <c r="L32674" s="23"/>
    </row>
    <row r="32675">
      <c r="B32675" s="19"/>
      <c r="E32675" s="23"/>
      <c r="L32675" s="23"/>
    </row>
    <row r="32676">
      <c r="B32676" s="19"/>
      <c r="E32676" s="23"/>
      <c r="L32676" s="23"/>
    </row>
    <row r="32677">
      <c r="B32677" s="19"/>
      <c r="E32677" s="23"/>
      <c r="L32677" s="23"/>
    </row>
    <row r="32678">
      <c r="B32678" s="19"/>
      <c r="E32678" s="23"/>
      <c r="L32678" s="23"/>
    </row>
    <row r="32679">
      <c r="B32679" s="19"/>
      <c r="E32679" s="23"/>
      <c r="L32679" s="23"/>
    </row>
    <row r="32680">
      <c r="B32680" s="19"/>
      <c r="E32680" s="23"/>
      <c r="L32680" s="23"/>
    </row>
    <row r="32681">
      <c r="B32681" s="19"/>
      <c r="E32681" s="23"/>
      <c r="L32681" s="23"/>
    </row>
    <row r="32682">
      <c r="B32682" s="19"/>
      <c r="E32682" s="23"/>
      <c r="L32682" s="23"/>
    </row>
    <row r="32683">
      <c r="B32683" s="19"/>
      <c r="E32683" s="23"/>
      <c r="L32683" s="23"/>
    </row>
    <row r="32684">
      <c r="B32684" s="19"/>
      <c r="E32684" s="23"/>
      <c r="L32684" s="23"/>
    </row>
    <row r="32685">
      <c r="B32685" s="19"/>
      <c r="E32685" s="23"/>
      <c r="L32685" s="23"/>
    </row>
    <row r="32686">
      <c r="B32686" s="19"/>
      <c r="E32686" s="23"/>
      <c r="L32686" s="23"/>
    </row>
    <row r="32687">
      <c r="B32687" s="19"/>
      <c r="E32687" s="23"/>
      <c r="L32687" s="23"/>
    </row>
    <row r="32688">
      <c r="B32688" s="19"/>
      <c r="E32688" s="23"/>
      <c r="L32688" s="23"/>
    </row>
    <row r="32689">
      <c r="B32689" s="19"/>
      <c r="E32689" s="23"/>
      <c r="L32689" s="23"/>
    </row>
    <row r="32690">
      <c r="B32690" s="19"/>
      <c r="E32690" s="23"/>
      <c r="L32690" s="23"/>
    </row>
    <row r="32691">
      <c r="B32691" s="19"/>
      <c r="E32691" s="23"/>
      <c r="L32691" s="23"/>
    </row>
    <row r="32692">
      <c r="B32692" s="19"/>
      <c r="E32692" s="23"/>
      <c r="L32692" s="23"/>
    </row>
    <row r="32693">
      <c r="B32693" s="19"/>
      <c r="E32693" s="23"/>
      <c r="L32693" s="23"/>
    </row>
    <row r="32694">
      <c r="B32694" s="19"/>
      <c r="E32694" s="23"/>
      <c r="L32694" s="23"/>
    </row>
    <row r="32695">
      <c r="B32695" s="19"/>
      <c r="E32695" s="23"/>
      <c r="L32695" s="23"/>
    </row>
    <row r="32696">
      <c r="B32696" s="19"/>
      <c r="E32696" s="23"/>
      <c r="L32696" s="23"/>
    </row>
    <row r="32697">
      <c r="B32697" s="19"/>
      <c r="E32697" s="23"/>
      <c r="L32697" s="23"/>
    </row>
    <row r="32698">
      <c r="B32698" s="19"/>
      <c r="E32698" s="23"/>
      <c r="L32698" s="23"/>
    </row>
    <row r="32699">
      <c r="B32699" s="19"/>
      <c r="E32699" s="23"/>
      <c r="L32699" s="23"/>
    </row>
    <row r="32700">
      <c r="B32700" s="19"/>
      <c r="E32700" s="23"/>
      <c r="L32700" s="23"/>
    </row>
    <row r="32701">
      <c r="B32701" s="19"/>
      <c r="E32701" s="23"/>
      <c r="L32701" s="23"/>
    </row>
    <row r="32702">
      <c r="B32702" s="19"/>
      <c r="E32702" s="23"/>
      <c r="L32702" s="23"/>
    </row>
    <row r="32703">
      <c r="B32703" s="19"/>
      <c r="E32703" s="23"/>
      <c r="L32703" s="23"/>
    </row>
    <row r="32704">
      <c r="B32704" s="19"/>
      <c r="E32704" s="23"/>
      <c r="L32704" s="23"/>
    </row>
    <row r="32705">
      <c r="B32705" s="19"/>
      <c r="E32705" s="23"/>
      <c r="L32705" s="23"/>
    </row>
    <row r="32706">
      <c r="B32706" s="19"/>
      <c r="E32706" s="23"/>
      <c r="L32706" s="23"/>
    </row>
    <row r="32707">
      <c r="B32707" s="19"/>
      <c r="E32707" s="23"/>
      <c r="L32707" s="23"/>
    </row>
    <row r="32708">
      <c r="B32708" s="19"/>
      <c r="E32708" s="23"/>
      <c r="L32708" s="23"/>
    </row>
    <row r="32709">
      <c r="B32709" s="19"/>
      <c r="E32709" s="23"/>
      <c r="L32709" s="23"/>
    </row>
    <row r="32710">
      <c r="B32710" s="19"/>
      <c r="E32710" s="23"/>
      <c r="L32710" s="23"/>
    </row>
    <row r="32711">
      <c r="B32711" s="19"/>
      <c r="E32711" s="23"/>
      <c r="L32711" s="23"/>
    </row>
    <row r="32712">
      <c r="B32712" s="19"/>
      <c r="E32712" s="23"/>
      <c r="L32712" s="23"/>
    </row>
    <row r="32713">
      <c r="B32713" s="19"/>
      <c r="E32713" s="23"/>
      <c r="L32713" s="23"/>
    </row>
    <row r="32714">
      <c r="B32714" s="19"/>
      <c r="E32714" s="23"/>
      <c r="L32714" s="23"/>
    </row>
    <row r="32715">
      <c r="B32715" s="19"/>
      <c r="E32715" s="23"/>
      <c r="L32715" s="23"/>
    </row>
    <row r="32716">
      <c r="B32716" s="19"/>
      <c r="E32716" s="23"/>
      <c r="L32716" s="23"/>
    </row>
    <row r="32717">
      <c r="B32717" s="19"/>
      <c r="E32717" s="23"/>
      <c r="L32717" s="23"/>
    </row>
    <row r="32718">
      <c r="B32718" s="19"/>
      <c r="E32718" s="23"/>
      <c r="L32718" s="23"/>
    </row>
    <row r="32719">
      <c r="B32719" s="19"/>
      <c r="E32719" s="23"/>
      <c r="L32719" s="23"/>
    </row>
    <row r="32720">
      <c r="B32720" s="19"/>
      <c r="E32720" s="23"/>
      <c r="L32720" s="23"/>
    </row>
    <row r="32721">
      <c r="B32721" s="19"/>
      <c r="E32721" s="23"/>
      <c r="L32721" s="23"/>
    </row>
    <row r="32722">
      <c r="B32722" s="19"/>
      <c r="E32722" s="23"/>
      <c r="L32722" s="23"/>
    </row>
    <row r="32723">
      <c r="B32723" s="19"/>
      <c r="E32723" s="23"/>
      <c r="L32723" s="23"/>
    </row>
    <row r="32724">
      <c r="B32724" s="19"/>
      <c r="E32724" s="23"/>
      <c r="L32724" s="23"/>
    </row>
    <row r="32725">
      <c r="B32725" s="19"/>
      <c r="E32725" s="23"/>
      <c r="L32725" s="23"/>
    </row>
    <row r="32726">
      <c r="B32726" s="19"/>
      <c r="E32726" s="23"/>
      <c r="L32726" s="23"/>
    </row>
    <row r="32727">
      <c r="B32727" s="19"/>
      <c r="E32727" s="23"/>
      <c r="L32727" s="23"/>
    </row>
    <row r="32728">
      <c r="B32728" s="19"/>
      <c r="E32728" s="23"/>
      <c r="L32728" s="23"/>
    </row>
    <row r="32729">
      <c r="B32729" s="19"/>
      <c r="E32729" s="23"/>
      <c r="L32729" s="23"/>
    </row>
    <row r="32730">
      <c r="B32730" s="19"/>
      <c r="E32730" s="23"/>
      <c r="L32730" s="23"/>
    </row>
    <row r="32731">
      <c r="B32731" s="19"/>
      <c r="E32731" s="23"/>
      <c r="L32731" s="23"/>
    </row>
    <row r="32732">
      <c r="B32732" s="19"/>
      <c r="E32732" s="23"/>
      <c r="L32732" s="23"/>
    </row>
    <row r="32733">
      <c r="B32733" s="19"/>
      <c r="E32733" s="23"/>
      <c r="L32733" s="23"/>
    </row>
    <row r="32734">
      <c r="B32734" s="19"/>
      <c r="E32734" s="23"/>
      <c r="L32734" s="23"/>
    </row>
    <row r="32735">
      <c r="B32735" s="19"/>
      <c r="E32735" s="23"/>
      <c r="L32735" s="23"/>
    </row>
    <row r="32736">
      <c r="B32736" s="19"/>
      <c r="E32736" s="23"/>
      <c r="L32736" s="23"/>
    </row>
    <row r="32737">
      <c r="B32737" s="19"/>
      <c r="E32737" s="23"/>
      <c r="L32737" s="23"/>
    </row>
    <row r="32738">
      <c r="B32738" s="19"/>
      <c r="E32738" s="23"/>
      <c r="L32738" s="23"/>
    </row>
    <row r="32739">
      <c r="B32739" s="19"/>
      <c r="E32739" s="23"/>
      <c r="L32739" s="23"/>
    </row>
    <row r="32740">
      <c r="B32740" s="19"/>
      <c r="E32740" s="23"/>
      <c r="L32740" s="23"/>
    </row>
    <row r="32741">
      <c r="B32741" s="19"/>
      <c r="E32741" s="23"/>
      <c r="L32741" s="23"/>
    </row>
    <row r="32742">
      <c r="B32742" s="19"/>
      <c r="E32742" s="23"/>
      <c r="L32742" s="23"/>
    </row>
    <row r="32743">
      <c r="B32743" s="19"/>
      <c r="E32743" s="23"/>
      <c r="L32743" s="23"/>
    </row>
    <row r="32744">
      <c r="B32744" s="19"/>
      <c r="E32744" s="23"/>
      <c r="L32744" s="23"/>
    </row>
    <row r="32745">
      <c r="B32745" s="19"/>
      <c r="E32745" s="23"/>
      <c r="L32745" s="23"/>
    </row>
    <row r="32746">
      <c r="B32746" s="19"/>
      <c r="E32746" s="23"/>
      <c r="L32746" s="23"/>
    </row>
    <row r="32747">
      <c r="B32747" s="19"/>
      <c r="E32747" s="23"/>
      <c r="L32747" s="23"/>
    </row>
    <row r="32748">
      <c r="B32748" s="19"/>
      <c r="E32748" s="23"/>
      <c r="L32748" s="23"/>
    </row>
    <row r="32749">
      <c r="B32749" s="19"/>
      <c r="E32749" s="23"/>
      <c r="L32749" s="23"/>
    </row>
    <row r="32750">
      <c r="B32750" s="19"/>
      <c r="E32750" s="23"/>
      <c r="L32750" s="23"/>
    </row>
    <row r="32751">
      <c r="B32751" s="19"/>
      <c r="E32751" s="23"/>
      <c r="L32751" s="23"/>
    </row>
    <row r="32752">
      <c r="B32752" s="19"/>
      <c r="E32752" s="23"/>
      <c r="L32752" s="23"/>
    </row>
    <row r="32753">
      <c r="B32753" s="19"/>
      <c r="E32753" s="23"/>
      <c r="L32753" s="23"/>
    </row>
    <row r="32754">
      <c r="B32754" s="19"/>
      <c r="E32754" s="23"/>
      <c r="L32754" s="23"/>
    </row>
    <row r="32755">
      <c r="B32755" s="19"/>
      <c r="E32755" s="23"/>
      <c r="L32755" s="23"/>
    </row>
    <row r="32756">
      <c r="B32756" s="19"/>
      <c r="E32756" s="23"/>
      <c r="L32756" s="23"/>
    </row>
    <row r="32757">
      <c r="B32757" s="19"/>
      <c r="E32757" s="23"/>
      <c r="L32757" s="23"/>
    </row>
    <row r="32758">
      <c r="B32758" s="19"/>
      <c r="E32758" s="23"/>
      <c r="L32758" s="23"/>
    </row>
    <row r="32759">
      <c r="B32759" s="19"/>
      <c r="E32759" s="23"/>
      <c r="L32759" s="23"/>
    </row>
    <row r="32760">
      <c r="B32760" s="19"/>
      <c r="E32760" s="23"/>
      <c r="L32760" s="23"/>
    </row>
    <row r="32761">
      <c r="B32761" s="19"/>
      <c r="E32761" s="23"/>
      <c r="L32761" s="23"/>
    </row>
    <row r="32762">
      <c r="B32762" s="19"/>
      <c r="E32762" s="23"/>
      <c r="L32762" s="23"/>
    </row>
    <row r="32763">
      <c r="B32763" s="19"/>
      <c r="E32763" s="23"/>
      <c r="L32763" s="23"/>
    </row>
    <row r="32764">
      <c r="B32764" s="19"/>
      <c r="E32764" s="23"/>
      <c r="L32764" s="23"/>
    </row>
    <row r="32765">
      <c r="B32765" s="19"/>
      <c r="E32765" s="23"/>
      <c r="L32765" s="23"/>
    </row>
    <row r="32766">
      <c r="B32766" s="19"/>
      <c r="E32766" s="23"/>
      <c r="L32766" s="23"/>
    </row>
    <row r="32767">
      <c r="B32767" s="19"/>
      <c r="E32767" s="23"/>
      <c r="L32767" s="23"/>
    </row>
    <row r="32768">
      <c r="B32768" s="19"/>
      <c r="E32768" s="23"/>
      <c r="L32768" s="23"/>
    </row>
    <row r="32769">
      <c r="B32769" s="19"/>
      <c r="E32769" s="23"/>
      <c r="L32769" s="23"/>
    </row>
    <row r="32770">
      <c r="B32770" s="19"/>
      <c r="E32770" s="23"/>
      <c r="L32770" s="23"/>
    </row>
    <row r="32771">
      <c r="B32771" s="19"/>
      <c r="E32771" s="23"/>
      <c r="L32771" s="23"/>
    </row>
    <row r="32772">
      <c r="B32772" s="19"/>
      <c r="E32772" s="23"/>
      <c r="L32772" s="23"/>
    </row>
    <row r="32773">
      <c r="B32773" s="19"/>
      <c r="E32773" s="23"/>
      <c r="L32773" s="23"/>
    </row>
    <row r="32774">
      <c r="B32774" s="19"/>
      <c r="E32774" s="23"/>
      <c r="L32774" s="23"/>
    </row>
    <row r="32775">
      <c r="B32775" s="19"/>
      <c r="E32775" s="23"/>
      <c r="L32775" s="23"/>
    </row>
    <row r="32776">
      <c r="B32776" s="19"/>
      <c r="E32776" s="23"/>
      <c r="L32776" s="23"/>
    </row>
    <row r="32777">
      <c r="B32777" s="19"/>
      <c r="E32777" s="23"/>
      <c r="L32777" s="23"/>
    </row>
    <row r="32778">
      <c r="B32778" s="19"/>
      <c r="E32778" s="23"/>
      <c r="L32778" s="23"/>
    </row>
    <row r="32779">
      <c r="B32779" s="19"/>
      <c r="E32779" s="23"/>
      <c r="L32779" s="23"/>
    </row>
    <row r="32780">
      <c r="B32780" s="19"/>
      <c r="E32780" s="23"/>
      <c r="L32780" s="23"/>
    </row>
    <row r="32781">
      <c r="B32781" s="19"/>
      <c r="E32781" s="23"/>
      <c r="L32781" s="23"/>
    </row>
    <row r="32782">
      <c r="B32782" s="19"/>
      <c r="E32782" s="23"/>
      <c r="L32782" s="23"/>
    </row>
    <row r="32783">
      <c r="B32783" s="19"/>
      <c r="E32783" s="23"/>
      <c r="L32783" s="23"/>
    </row>
    <row r="32784">
      <c r="B32784" s="19"/>
      <c r="E32784" s="23"/>
      <c r="L32784" s="23"/>
    </row>
    <row r="32785">
      <c r="B32785" s="19"/>
      <c r="E32785" s="23"/>
      <c r="L32785" s="23"/>
    </row>
    <row r="32786">
      <c r="B32786" s="19"/>
      <c r="E32786" s="23"/>
      <c r="L32786" s="23"/>
    </row>
    <row r="32787">
      <c r="B32787" s="19"/>
      <c r="E32787" s="23"/>
      <c r="L32787" s="23"/>
    </row>
    <row r="32788">
      <c r="B32788" s="19"/>
      <c r="E32788" s="23"/>
      <c r="L32788" s="23"/>
    </row>
    <row r="32789">
      <c r="B32789" s="19"/>
      <c r="E32789" s="23"/>
      <c r="L32789" s="23"/>
    </row>
    <row r="32790">
      <c r="B32790" s="19"/>
      <c r="E32790" s="23"/>
      <c r="L32790" s="23"/>
    </row>
    <row r="32791">
      <c r="B32791" s="19"/>
      <c r="E32791" s="23"/>
      <c r="L32791" s="23"/>
    </row>
    <row r="32792">
      <c r="B32792" s="19"/>
      <c r="E32792" s="23"/>
      <c r="L32792" s="23"/>
    </row>
    <row r="32793">
      <c r="B32793" s="19"/>
      <c r="E32793" s="23"/>
      <c r="L32793" s="23"/>
    </row>
    <row r="32794">
      <c r="B32794" s="19"/>
      <c r="E32794" s="23"/>
      <c r="L32794" s="23"/>
    </row>
    <row r="32795">
      <c r="B32795" s="19"/>
      <c r="E32795" s="23"/>
      <c r="L32795" s="23"/>
    </row>
    <row r="32796">
      <c r="B32796" s="19"/>
      <c r="E32796" s="23"/>
      <c r="L32796" s="23"/>
    </row>
    <row r="32797">
      <c r="B32797" s="19"/>
      <c r="E32797" s="23"/>
      <c r="L32797" s="23"/>
    </row>
    <row r="32798">
      <c r="B32798" s="19"/>
      <c r="E32798" s="23"/>
      <c r="L32798" s="23"/>
    </row>
    <row r="32799">
      <c r="B32799" s="19"/>
      <c r="E32799" s="23"/>
      <c r="L32799" s="23"/>
    </row>
    <row r="32800">
      <c r="B32800" s="19"/>
      <c r="E32800" s="23"/>
      <c r="L32800" s="23"/>
    </row>
    <row r="32801">
      <c r="B32801" s="19"/>
      <c r="E32801" s="23"/>
      <c r="L32801" s="23"/>
    </row>
    <row r="32802">
      <c r="B32802" s="19"/>
      <c r="E32802" s="23"/>
      <c r="L32802" s="23"/>
    </row>
    <row r="32803">
      <c r="B32803" s="19"/>
      <c r="E32803" s="23"/>
      <c r="L32803" s="23"/>
    </row>
    <row r="32804">
      <c r="B32804" s="19"/>
      <c r="E32804" s="23"/>
      <c r="L32804" s="23"/>
    </row>
    <row r="32805">
      <c r="B32805" s="19"/>
      <c r="E32805" s="23"/>
      <c r="L32805" s="23"/>
    </row>
    <row r="32806">
      <c r="B32806" s="19"/>
      <c r="E32806" s="23"/>
      <c r="L32806" s="23"/>
    </row>
    <row r="32807">
      <c r="B32807" s="19"/>
      <c r="E32807" s="23"/>
      <c r="L32807" s="23"/>
    </row>
    <row r="32808">
      <c r="B32808" s="19"/>
      <c r="E32808" s="23"/>
      <c r="L32808" s="23"/>
    </row>
    <row r="32809">
      <c r="B32809" s="19"/>
      <c r="E32809" s="23"/>
      <c r="L32809" s="23"/>
    </row>
    <row r="32810">
      <c r="B32810" s="19"/>
      <c r="E32810" s="23"/>
      <c r="L32810" s="23"/>
    </row>
    <row r="32811">
      <c r="B32811" s="19"/>
      <c r="E32811" s="23"/>
      <c r="L32811" s="23"/>
    </row>
    <row r="32812">
      <c r="B32812" s="19"/>
      <c r="E32812" s="23"/>
      <c r="L32812" s="23"/>
    </row>
    <row r="32813">
      <c r="B32813" s="19"/>
      <c r="E32813" s="23"/>
      <c r="L32813" s="23"/>
    </row>
    <row r="32814">
      <c r="B32814" s="19"/>
      <c r="E32814" s="23"/>
      <c r="L32814" s="23"/>
    </row>
    <row r="32815">
      <c r="B32815" s="19"/>
      <c r="E32815" s="23"/>
      <c r="L32815" s="23"/>
    </row>
    <row r="32816">
      <c r="B32816" s="19"/>
      <c r="E32816" s="23"/>
      <c r="L32816" s="23"/>
    </row>
    <row r="32817">
      <c r="B32817" s="19"/>
      <c r="E32817" s="23"/>
      <c r="L32817" s="23"/>
    </row>
    <row r="32818">
      <c r="B32818" s="19"/>
      <c r="E32818" s="23"/>
      <c r="L32818" s="23"/>
    </row>
    <row r="32819">
      <c r="B32819" s="19"/>
      <c r="E32819" s="23"/>
      <c r="L32819" s="23"/>
    </row>
    <row r="32820">
      <c r="B32820" s="19"/>
      <c r="E32820" s="23"/>
      <c r="L32820" s="23"/>
    </row>
    <row r="32821">
      <c r="B32821" s="19"/>
      <c r="E32821" s="23"/>
      <c r="L32821" s="23"/>
    </row>
    <row r="32822">
      <c r="B32822" s="19"/>
      <c r="E32822" s="23"/>
      <c r="L32822" s="23"/>
    </row>
    <row r="32823">
      <c r="B32823" s="19"/>
      <c r="E32823" s="23"/>
      <c r="L32823" s="23"/>
    </row>
    <row r="32824">
      <c r="B32824" s="19"/>
      <c r="E32824" s="23"/>
      <c r="L32824" s="23"/>
    </row>
    <row r="32825">
      <c r="B32825" s="19"/>
      <c r="E32825" s="23"/>
      <c r="L32825" s="23"/>
    </row>
    <row r="32826">
      <c r="B32826" s="19"/>
      <c r="E32826" s="23"/>
      <c r="L32826" s="23"/>
    </row>
    <row r="32827">
      <c r="B32827" s="19"/>
      <c r="E32827" s="23"/>
      <c r="L32827" s="23"/>
    </row>
    <row r="32828">
      <c r="B32828" s="19"/>
      <c r="E32828" s="23"/>
      <c r="L32828" s="23"/>
    </row>
    <row r="32829">
      <c r="B32829" s="19"/>
      <c r="E32829" s="23"/>
      <c r="L32829" s="23"/>
    </row>
    <row r="32830">
      <c r="B32830" s="19"/>
      <c r="E32830" s="23"/>
      <c r="L32830" s="23"/>
    </row>
    <row r="32831">
      <c r="B32831" s="19"/>
      <c r="E32831" s="23"/>
      <c r="L32831" s="23"/>
    </row>
    <row r="32832">
      <c r="B32832" s="19"/>
      <c r="E32832" s="23"/>
      <c r="L32832" s="23"/>
    </row>
    <row r="32833">
      <c r="B32833" s="19"/>
      <c r="E32833" s="23"/>
      <c r="L32833" s="23"/>
    </row>
    <row r="32834">
      <c r="B32834" s="19"/>
      <c r="E32834" s="23"/>
      <c r="L32834" s="23"/>
    </row>
    <row r="32835">
      <c r="B32835" s="19"/>
      <c r="E32835" s="23"/>
      <c r="L32835" s="23"/>
    </row>
    <row r="32836">
      <c r="B32836" s="19"/>
      <c r="E32836" s="23"/>
      <c r="L32836" s="23"/>
    </row>
    <row r="32837">
      <c r="B32837" s="19"/>
      <c r="E32837" s="23"/>
      <c r="L32837" s="23"/>
    </row>
    <row r="32838">
      <c r="B32838" s="19"/>
      <c r="E32838" s="23"/>
      <c r="L32838" s="23"/>
    </row>
    <row r="32839">
      <c r="B32839" s="19"/>
      <c r="E32839" s="23"/>
      <c r="L32839" s="23"/>
    </row>
    <row r="32840">
      <c r="B32840" s="19"/>
      <c r="E32840" s="23"/>
      <c r="L32840" s="23"/>
    </row>
    <row r="32841">
      <c r="B32841" s="19"/>
      <c r="E32841" s="23"/>
      <c r="L32841" s="23"/>
    </row>
    <row r="32842">
      <c r="B32842" s="19"/>
      <c r="E32842" s="23"/>
      <c r="L32842" s="23"/>
    </row>
    <row r="32843">
      <c r="B32843" s="19"/>
      <c r="E32843" s="23"/>
      <c r="L32843" s="23"/>
    </row>
    <row r="32844">
      <c r="B32844" s="19"/>
      <c r="E32844" s="23"/>
      <c r="L32844" s="23"/>
    </row>
    <row r="32845">
      <c r="B32845" s="19"/>
      <c r="E32845" s="23"/>
      <c r="L32845" s="23"/>
    </row>
    <row r="32846">
      <c r="B32846" s="19"/>
      <c r="E32846" s="23"/>
      <c r="L32846" s="23"/>
    </row>
    <row r="32847">
      <c r="B32847" s="19"/>
      <c r="E32847" s="23"/>
      <c r="L32847" s="23"/>
    </row>
    <row r="32848">
      <c r="B32848" s="19"/>
      <c r="E32848" s="23"/>
      <c r="L32848" s="23"/>
    </row>
    <row r="32849">
      <c r="B32849" s="19"/>
      <c r="E32849" s="23"/>
      <c r="L32849" s="23"/>
    </row>
    <row r="32850">
      <c r="B32850" s="19"/>
      <c r="E32850" s="23"/>
      <c r="L32850" s="23"/>
    </row>
    <row r="32851">
      <c r="B32851" s="19"/>
      <c r="E32851" s="23"/>
      <c r="L32851" s="23"/>
    </row>
    <row r="32852">
      <c r="B32852" s="19"/>
      <c r="E32852" s="23"/>
      <c r="L32852" s="23"/>
    </row>
    <row r="32853">
      <c r="B32853" s="19"/>
      <c r="E32853" s="23"/>
      <c r="L32853" s="23"/>
    </row>
    <row r="32854">
      <c r="B32854" s="19"/>
      <c r="E32854" s="23"/>
      <c r="L32854" s="23"/>
    </row>
    <row r="32855">
      <c r="B32855" s="19"/>
      <c r="E32855" s="23"/>
      <c r="L32855" s="23"/>
    </row>
    <row r="32856">
      <c r="B32856" s="19"/>
      <c r="E32856" s="23"/>
      <c r="L32856" s="23"/>
    </row>
    <row r="32857">
      <c r="B32857" s="19"/>
      <c r="E32857" s="23"/>
      <c r="L32857" s="23"/>
    </row>
    <row r="32858">
      <c r="B32858" s="19"/>
      <c r="E32858" s="23"/>
      <c r="L32858" s="23"/>
    </row>
    <row r="32859">
      <c r="B32859" s="19"/>
      <c r="E32859" s="23"/>
      <c r="L32859" s="23"/>
    </row>
    <row r="32860">
      <c r="B32860" s="19"/>
      <c r="E32860" s="23"/>
      <c r="L32860" s="23"/>
    </row>
    <row r="32861">
      <c r="B32861" s="19"/>
      <c r="E32861" s="23"/>
      <c r="L32861" s="23"/>
    </row>
    <row r="32862">
      <c r="B32862" s="19"/>
      <c r="E32862" s="23"/>
      <c r="L32862" s="23"/>
    </row>
    <row r="32863">
      <c r="B32863" s="19"/>
      <c r="E32863" s="23"/>
      <c r="L32863" s="23"/>
    </row>
    <row r="32864">
      <c r="B32864" s="19"/>
      <c r="E32864" s="23"/>
      <c r="L32864" s="23"/>
    </row>
    <row r="32865">
      <c r="B32865" s="19"/>
      <c r="E32865" s="23"/>
      <c r="L32865" s="23"/>
    </row>
    <row r="32866">
      <c r="B32866" s="19"/>
      <c r="E32866" s="23"/>
      <c r="L32866" s="23"/>
    </row>
    <row r="32867">
      <c r="B32867" s="19"/>
      <c r="E32867" s="23"/>
      <c r="L32867" s="23"/>
    </row>
    <row r="32868">
      <c r="B32868" s="19"/>
      <c r="E32868" s="23"/>
      <c r="L32868" s="23"/>
    </row>
    <row r="32869">
      <c r="B32869" s="19"/>
      <c r="E32869" s="23"/>
      <c r="L32869" s="23"/>
    </row>
    <row r="32870">
      <c r="B32870" s="19"/>
      <c r="E32870" s="23"/>
      <c r="L32870" s="23"/>
    </row>
    <row r="32871">
      <c r="B32871" s="19"/>
      <c r="E32871" s="23"/>
      <c r="L32871" s="23"/>
    </row>
    <row r="32872">
      <c r="B32872" s="19"/>
      <c r="E32872" s="23"/>
      <c r="L32872" s="23"/>
    </row>
    <row r="32873">
      <c r="B32873" s="19"/>
      <c r="E32873" s="23"/>
      <c r="L32873" s="23"/>
    </row>
    <row r="32874">
      <c r="B32874" s="19"/>
      <c r="E32874" s="23"/>
      <c r="L32874" s="23"/>
    </row>
    <row r="32875">
      <c r="B32875" s="19"/>
      <c r="E32875" s="23"/>
      <c r="L32875" s="23"/>
    </row>
    <row r="32876">
      <c r="B32876" s="19"/>
      <c r="E32876" s="23"/>
      <c r="L32876" s="23"/>
    </row>
    <row r="32877">
      <c r="B32877" s="19"/>
      <c r="E32877" s="23"/>
      <c r="L32877" s="23"/>
    </row>
    <row r="32878">
      <c r="B32878" s="19"/>
      <c r="E32878" s="23"/>
      <c r="L32878" s="23"/>
    </row>
    <row r="32879">
      <c r="B32879" s="19"/>
      <c r="E32879" s="23"/>
      <c r="L32879" s="23"/>
    </row>
    <row r="32880">
      <c r="B32880" s="19"/>
      <c r="E32880" s="23"/>
      <c r="L32880" s="23"/>
    </row>
    <row r="32881">
      <c r="B32881" s="19"/>
      <c r="E32881" s="23"/>
      <c r="L32881" s="23"/>
    </row>
    <row r="32882">
      <c r="B32882" s="19"/>
      <c r="E32882" s="23"/>
      <c r="L32882" s="23"/>
    </row>
    <row r="32883">
      <c r="B32883" s="19"/>
      <c r="E32883" s="23"/>
      <c r="L32883" s="23"/>
    </row>
    <row r="32884">
      <c r="B32884" s="19"/>
      <c r="E32884" s="23"/>
      <c r="L32884" s="23"/>
    </row>
    <row r="32885">
      <c r="B32885" s="19"/>
      <c r="E32885" s="23"/>
      <c r="L32885" s="23"/>
    </row>
    <row r="32886">
      <c r="B32886" s="19"/>
      <c r="E32886" s="23"/>
      <c r="L32886" s="23"/>
    </row>
    <row r="32887">
      <c r="B32887" s="19"/>
      <c r="E32887" s="23"/>
      <c r="L32887" s="23"/>
    </row>
    <row r="32888">
      <c r="B32888" s="19"/>
      <c r="E32888" s="23"/>
      <c r="L32888" s="23"/>
    </row>
    <row r="32889">
      <c r="B32889" s="19"/>
      <c r="E32889" s="23"/>
      <c r="L32889" s="23"/>
    </row>
    <row r="32890">
      <c r="B32890" s="19"/>
      <c r="E32890" s="23"/>
      <c r="L32890" s="23"/>
    </row>
    <row r="32891">
      <c r="B32891" s="19"/>
      <c r="E32891" s="23"/>
      <c r="L32891" s="23"/>
    </row>
    <row r="32892">
      <c r="B32892" s="19"/>
      <c r="E32892" s="23"/>
      <c r="L32892" s="23"/>
    </row>
    <row r="32893">
      <c r="B32893" s="19"/>
      <c r="E32893" s="23"/>
      <c r="L32893" s="23"/>
    </row>
    <row r="32894">
      <c r="B32894" s="19"/>
      <c r="E32894" s="23"/>
      <c r="L32894" s="23"/>
    </row>
    <row r="32895">
      <c r="B32895" s="19"/>
      <c r="E32895" s="23"/>
      <c r="L32895" s="23"/>
    </row>
    <row r="32896">
      <c r="B32896" s="19"/>
      <c r="E32896" s="23"/>
      <c r="L32896" s="23"/>
    </row>
    <row r="32897">
      <c r="B32897" s="19"/>
      <c r="E32897" s="23"/>
      <c r="L32897" s="23"/>
    </row>
    <row r="32898">
      <c r="B32898" s="19"/>
      <c r="E32898" s="23"/>
      <c r="L32898" s="23"/>
    </row>
    <row r="32899">
      <c r="B32899" s="19"/>
      <c r="E32899" s="23"/>
      <c r="L32899" s="23"/>
    </row>
    <row r="32900">
      <c r="B32900" s="19"/>
      <c r="E32900" s="23"/>
      <c r="L32900" s="23"/>
    </row>
    <row r="32901">
      <c r="B32901" s="19"/>
      <c r="E32901" s="23"/>
      <c r="L32901" s="23"/>
    </row>
    <row r="32902">
      <c r="B32902" s="19"/>
      <c r="E32902" s="23"/>
      <c r="L32902" s="23"/>
    </row>
    <row r="32903">
      <c r="B32903" s="19"/>
      <c r="E32903" s="23"/>
      <c r="L32903" s="23"/>
    </row>
    <row r="32904">
      <c r="B32904" s="19"/>
      <c r="E32904" s="23"/>
      <c r="L32904" s="23"/>
    </row>
    <row r="32905">
      <c r="B32905" s="19"/>
      <c r="E32905" s="23"/>
      <c r="L32905" s="23"/>
    </row>
    <row r="32906">
      <c r="B32906" s="19"/>
      <c r="E32906" s="23"/>
      <c r="L32906" s="23"/>
    </row>
    <row r="32907">
      <c r="B32907" s="19"/>
      <c r="E32907" s="23"/>
      <c r="L32907" s="23"/>
    </row>
    <row r="32908">
      <c r="B32908" s="19"/>
      <c r="E32908" s="23"/>
      <c r="L32908" s="23"/>
    </row>
    <row r="32909">
      <c r="B32909" s="19"/>
      <c r="E32909" s="23"/>
      <c r="L32909" s="23"/>
    </row>
    <row r="32910">
      <c r="B32910" s="19"/>
      <c r="E32910" s="23"/>
      <c r="L32910" s="23"/>
    </row>
    <row r="32911">
      <c r="B32911" s="19"/>
      <c r="E32911" s="23"/>
      <c r="L32911" s="23"/>
    </row>
    <row r="32912">
      <c r="B32912" s="19"/>
      <c r="E32912" s="23"/>
      <c r="L32912" s="23"/>
    </row>
    <row r="32913">
      <c r="B32913" s="19"/>
      <c r="E32913" s="23"/>
      <c r="L32913" s="23"/>
    </row>
    <row r="32914">
      <c r="B32914" s="19"/>
      <c r="E32914" s="23"/>
      <c r="L32914" s="23"/>
    </row>
    <row r="32915">
      <c r="B32915" s="19"/>
      <c r="E32915" s="23"/>
      <c r="L32915" s="23"/>
    </row>
    <row r="32916">
      <c r="B32916" s="19"/>
      <c r="E32916" s="23"/>
      <c r="L32916" s="23"/>
    </row>
    <row r="32917">
      <c r="B32917" s="19"/>
      <c r="E32917" s="23"/>
      <c r="L32917" s="23"/>
    </row>
    <row r="32918">
      <c r="B32918" s="19"/>
      <c r="E32918" s="23"/>
      <c r="L32918" s="23"/>
    </row>
    <row r="32919">
      <c r="B32919" s="19"/>
      <c r="E32919" s="23"/>
      <c r="L32919" s="23"/>
    </row>
    <row r="32920">
      <c r="B32920" s="19"/>
      <c r="E32920" s="23"/>
      <c r="L32920" s="23"/>
    </row>
    <row r="32921">
      <c r="B32921" s="19"/>
      <c r="E32921" s="23"/>
      <c r="L32921" s="23"/>
    </row>
    <row r="32922">
      <c r="B32922" s="19"/>
      <c r="E32922" s="23"/>
      <c r="L32922" s="23"/>
    </row>
    <row r="32923">
      <c r="B32923" s="19"/>
      <c r="E32923" s="23"/>
      <c r="L32923" s="23"/>
    </row>
    <row r="32924">
      <c r="B32924" s="19"/>
      <c r="E32924" s="23"/>
      <c r="L32924" s="23"/>
    </row>
    <row r="32925">
      <c r="B32925" s="19"/>
      <c r="E32925" s="23"/>
      <c r="L32925" s="23"/>
    </row>
    <row r="32926">
      <c r="B32926" s="19"/>
      <c r="E32926" s="23"/>
      <c r="L32926" s="23"/>
    </row>
    <row r="32927">
      <c r="B32927" s="19"/>
      <c r="E32927" s="23"/>
      <c r="L32927" s="23"/>
    </row>
    <row r="32928">
      <c r="B32928" s="19"/>
      <c r="E32928" s="23"/>
      <c r="L32928" s="23"/>
    </row>
    <row r="32929">
      <c r="B32929" s="19"/>
      <c r="E32929" s="23"/>
      <c r="L32929" s="23"/>
    </row>
    <row r="32930">
      <c r="B32930" s="19"/>
      <c r="E32930" s="23"/>
      <c r="L32930" s="23"/>
    </row>
    <row r="32931">
      <c r="B32931" s="19"/>
      <c r="E32931" s="23"/>
      <c r="L32931" s="23"/>
    </row>
    <row r="32932">
      <c r="B32932" s="19"/>
      <c r="E32932" s="23"/>
      <c r="L32932" s="23"/>
    </row>
    <row r="32933">
      <c r="B32933" s="19"/>
      <c r="E32933" s="23"/>
      <c r="L32933" s="23"/>
    </row>
    <row r="32934">
      <c r="B32934" s="19"/>
      <c r="E32934" s="23"/>
      <c r="L32934" s="23"/>
    </row>
    <row r="32935">
      <c r="B32935" s="19"/>
      <c r="E32935" s="23"/>
      <c r="L32935" s="23"/>
    </row>
    <row r="32936">
      <c r="B32936" s="19"/>
      <c r="E32936" s="23"/>
      <c r="L32936" s="23"/>
    </row>
    <row r="32937">
      <c r="B32937" s="19"/>
      <c r="E32937" s="23"/>
      <c r="L32937" s="23"/>
    </row>
    <row r="32938">
      <c r="B32938" s="19"/>
      <c r="E32938" s="23"/>
      <c r="L32938" s="23"/>
    </row>
    <row r="32939">
      <c r="B32939" s="19"/>
      <c r="E32939" s="23"/>
      <c r="L32939" s="23"/>
    </row>
    <row r="32940">
      <c r="B32940" s="19"/>
      <c r="E32940" s="23"/>
      <c r="L32940" s="23"/>
    </row>
    <row r="32941">
      <c r="B32941" s="19"/>
      <c r="E32941" s="23"/>
      <c r="L32941" s="23"/>
    </row>
    <row r="32942">
      <c r="B32942" s="19"/>
      <c r="E32942" s="23"/>
      <c r="L32942" s="23"/>
    </row>
    <row r="32943">
      <c r="B32943" s="19"/>
      <c r="E32943" s="23"/>
      <c r="L32943" s="23"/>
    </row>
    <row r="32944">
      <c r="B32944" s="19"/>
      <c r="E32944" s="23"/>
      <c r="L32944" s="23"/>
    </row>
    <row r="32945">
      <c r="B32945" s="19"/>
      <c r="E32945" s="23"/>
      <c r="L32945" s="23"/>
    </row>
    <row r="32946">
      <c r="B32946" s="19"/>
      <c r="E32946" s="23"/>
      <c r="L32946" s="23"/>
    </row>
    <row r="32947">
      <c r="B32947" s="19"/>
      <c r="E32947" s="23"/>
      <c r="L32947" s="23"/>
    </row>
    <row r="32948">
      <c r="B32948" s="19"/>
      <c r="E32948" s="23"/>
      <c r="L32948" s="23"/>
    </row>
    <row r="32949">
      <c r="B32949" s="19"/>
      <c r="E32949" s="23"/>
      <c r="L32949" s="23"/>
    </row>
    <row r="32950">
      <c r="B32950" s="19"/>
      <c r="E32950" s="23"/>
      <c r="L32950" s="23"/>
    </row>
    <row r="32951">
      <c r="B32951" s="19"/>
      <c r="E32951" s="23"/>
      <c r="L32951" s="23"/>
    </row>
    <row r="32952">
      <c r="B32952" s="19"/>
      <c r="E32952" s="23"/>
      <c r="L32952" s="23"/>
    </row>
    <row r="32953">
      <c r="B32953" s="19"/>
      <c r="E32953" s="23"/>
      <c r="L32953" s="23"/>
    </row>
    <row r="32954">
      <c r="B32954" s="19"/>
      <c r="E32954" s="23"/>
      <c r="L32954" s="23"/>
    </row>
    <row r="32955">
      <c r="B32955" s="19"/>
      <c r="E32955" s="23"/>
      <c r="L32955" s="23"/>
    </row>
    <row r="32956">
      <c r="B32956" s="19"/>
      <c r="E32956" s="23"/>
      <c r="L32956" s="23"/>
    </row>
    <row r="32957">
      <c r="B32957" s="19"/>
      <c r="E32957" s="23"/>
      <c r="L32957" s="23"/>
    </row>
    <row r="32958">
      <c r="B32958" s="19"/>
      <c r="E32958" s="23"/>
      <c r="L32958" s="23"/>
    </row>
    <row r="32959">
      <c r="B32959" s="19"/>
      <c r="E32959" s="23"/>
      <c r="L32959" s="23"/>
    </row>
    <row r="32960">
      <c r="B32960" s="19"/>
      <c r="E32960" s="23"/>
      <c r="L32960" s="23"/>
    </row>
    <row r="32961">
      <c r="B32961" s="19"/>
      <c r="E32961" s="23"/>
      <c r="L32961" s="23"/>
    </row>
    <row r="32962">
      <c r="B32962" s="19"/>
      <c r="E32962" s="23"/>
      <c r="L32962" s="23"/>
    </row>
    <row r="32963">
      <c r="B32963" s="19"/>
      <c r="E32963" s="23"/>
      <c r="L32963" s="23"/>
    </row>
    <row r="32964">
      <c r="B32964" s="19"/>
      <c r="E32964" s="23"/>
      <c r="L32964" s="23"/>
    </row>
    <row r="32965">
      <c r="B32965" s="19"/>
      <c r="E32965" s="23"/>
      <c r="L32965" s="23"/>
    </row>
    <row r="32966">
      <c r="B32966" s="19"/>
      <c r="E32966" s="23"/>
      <c r="L32966" s="23"/>
    </row>
    <row r="32967">
      <c r="B32967" s="19"/>
      <c r="E32967" s="23"/>
      <c r="L32967" s="23"/>
    </row>
    <row r="32968">
      <c r="B32968" s="19"/>
      <c r="E32968" s="23"/>
      <c r="L32968" s="23"/>
    </row>
    <row r="32969">
      <c r="B32969" s="19"/>
      <c r="E32969" s="23"/>
      <c r="L32969" s="23"/>
    </row>
    <row r="32970">
      <c r="B32970" s="19"/>
      <c r="E32970" s="23"/>
      <c r="L32970" s="23"/>
    </row>
    <row r="32971">
      <c r="B32971" s="19"/>
      <c r="E32971" s="23"/>
      <c r="L32971" s="23"/>
    </row>
    <row r="32972">
      <c r="B32972" s="19"/>
      <c r="E32972" s="23"/>
      <c r="L32972" s="23"/>
    </row>
    <row r="32973">
      <c r="B32973" s="19"/>
      <c r="E32973" s="23"/>
      <c r="L32973" s="23"/>
    </row>
    <row r="32974">
      <c r="B32974" s="19"/>
      <c r="E32974" s="23"/>
      <c r="L32974" s="23"/>
    </row>
    <row r="32975">
      <c r="B32975" s="19"/>
      <c r="E32975" s="23"/>
      <c r="L32975" s="23"/>
    </row>
    <row r="32976">
      <c r="B32976" s="19"/>
      <c r="E32976" s="23"/>
      <c r="L32976" s="23"/>
    </row>
    <row r="32977">
      <c r="B32977" s="19"/>
      <c r="E32977" s="23"/>
      <c r="L32977" s="23"/>
    </row>
    <row r="32978">
      <c r="B32978" s="19"/>
      <c r="E32978" s="23"/>
      <c r="L32978" s="23"/>
    </row>
    <row r="32979">
      <c r="B32979" s="19"/>
      <c r="E32979" s="23"/>
      <c r="L32979" s="23"/>
    </row>
    <row r="32980">
      <c r="B32980" s="19"/>
      <c r="E32980" s="23"/>
      <c r="L32980" s="23"/>
    </row>
    <row r="32981">
      <c r="B32981" s="19"/>
      <c r="E32981" s="23"/>
      <c r="L32981" s="23"/>
    </row>
    <row r="32982">
      <c r="B32982" s="19"/>
      <c r="E32982" s="23"/>
      <c r="L32982" s="23"/>
    </row>
    <row r="32983">
      <c r="B32983" s="19"/>
      <c r="E32983" s="23"/>
      <c r="L32983" s="23"/>
    </row>
    <row r="32984">
      <c r="B32984" s="19"/>
      <c r="E32984" s="23"/>
      <c r="L32984" s="23"/>
    </row>
    <row r="32985">
      <c r="B32985" s="19"/>
      <c r="E32985" s="23"/>
      <c r="L32985" s="23"/>
    </row>
    <row r="32986">
      <c r="B32986" s="19"/>
      <c r="E32986" s="23"/>
      <c r="L32986" s="23"/>
    </row>
    <row r="32987">
      <c r="B32987" s="19"/>
      <c r="E32987" s="23"/>
      <c r="L32987" s="23"/>
    </row>
    <row r="32988">
      <c r="B32988" s="19"/>
      <c r="E32988" s="23"/>
      <c r="L32988" s="23"/>
    </row>
    <row r="32989">
      <c r="B32989" s="19"/>
      <c r="E32989" s="23"/>
      <c r="L32989" s="23"/>
    </row>
    <row r="32990">
      <c r="B32990" s="19"/>
      <c r="E32990" s="23"/>
      <c r="L32990" s="23"/>
    </row>
    <row r="32991">
      <c r="B32991" s="19"/>
      <c r="E32991" s="23"/>
      <c r="L32991" s="23"/>
    </row>
    <row r="32992">
      <c r="B32992" s="19"/>
      <c r="E32992" s="23"/>
      <c r="L32992" s="23"/>
    </row>
    <row r="32993">
      <c r="B32993" s="19"/>
      <c r="E32993" s="23"/>
      <c r="L32993" s="23"/>
    </row>
    <row r="32994">
      <c r="B32994" s="19"/>
      <c r="E32994" s="23"/>
      <c r="L32994" s="23"/>
    </row>
    <row r="32995">
      <c r="B32995" s="19"/>
      <c r="E32995" s="23"/>
      <c r="L32995" s="23"/>
    </row>
    <row r="32996">
      <c r="B32996" s="19"/>
      <c r="E32996" s="23"/>
      <c r="L32996" s="23"/>
    </row>
    <row r="32997">
      <c r="B32997" s="19"/>
      <c r="E32997" s="23"/>
      <c r="L32997" s="23"/>
    </row>
    <row r="32998">
      <c r="B32998" s="19"/>
      <c r="E32998" s="23"/>
      <c r="L32998" s="23"/>
    </row>
    <row r="32999">
      <c r="B32999" s="19"/>
      <c r="E32999" s="23"/>
      <c r="L32999" s="23"/>
    </row>
    <row r="33000">
      <c r="B33000" s="19"/>
      <c r="E33000" s="23"/>
      <c r="L33000" s="23"/>
    </row>
    <row r="33001">
      <c r="B33001" s="19"/>
      <c r="E33001" s="23"/>
      <c r="L33001" s="23"/>
    </row>
    <row r="33002">
      <c r="B33002" s="19"/>
      <c r="E33002" s="23"/>
      <c r="L33002" s="23"/>
    </row>
    <row r="33003">
      <c r="B33003" s="19"/>
      <c r="E33003" s="23"/>
      <c r="L33003" s="23"/>
    </row>
    <row r="33004">
      <c r="B33004" s="19"/>
      <c r="E33004" s="23"/>
      <c r="L33004" s="23"/>
    </row>
    <row r="33005">
      <c r="B33005" s="19"/>
      <c r="E33005" s="23"/>
      <c r="L33005" s="23"/>
    </row>
    <row r="33006">
      <c r="B33006" s="19"/>
      <c r="E33006" s="23"/>
      <c r="L33006" s="23"/>
    </row>
    <row r="33007">
      <c r="B33007" s="19"/>
      <c r="E33007" s="23"/>
      <c r="L33007" s="23"/>
    </row>
    <row r="33008">
      <c r="B33008" s="19"/>
      <c r="E33008" s="23"/>
      <c r="L33008" s="23"/>
    </row>
    <row r="33009">
      <c r="B33009" s="19"/>
      <c r="E33009" s="23"/>
      <c r="L33009" s="23"/>
    </row>
    <row r="33010">
      <c r="B33010" s="19"/>
      <c r="E33010" s="23"/>
      <c r="L33010" s="23"/>
    </row>
    <row r="33011">
      <c r="B33011" s="19"/>
      <c r="E33011" s="23"/>
      <c r="L33011" s="23"/>
    </row>
    <row r="33012">
      <c r="B33012" s="19"/>
      <c r="E33012" s="23"/>
      <c r="L33012" s="23"/>
    </row>
    <row r="33013">
      <c r="B33013" s="19"/>
      <c r="E33013" s="23"/>
      <c r="L33013" s="23"/>
    </row>
    <row r="33014">
      <c r="B33014" s="19"/>
      <c r="E33014" s="23"/>
      <c r="L33014" s="23"/>
    </row>
    <row r="33015">
      <c r="B33015" s="19"/>
      <c r="E33015" s="23"/>
      <c r="L33015" s="23"/>
    </row>
    <row r="33016">
      <c r="B33016" s="19"/>
      <c r="E33016" s="23"/>
      <c r="L33016" s="23"/>
    </row>
    <row r="33017">
      <c r="B33017" s="19"/>
      <c r="E33017" s="23"/>
      <c r="L33017" s="23"/>
    </row>
    <row r="33018">
      <c r="B33018" s="19"/>
      <c r="E33018" s="23"/>
      <c r="L33018" s="23"/>
    </row>
    <row r="33019">
      <c r="B33019" s="19"/>
      <c r="E33019" s="23"/>
      <c r="L33019" s="23"/>
    </row>
    <row r="33020">
      <c r="B33020" s="19"/>
      <c r="E33020" s="23"/>
      <c r="L33020" s="23"/>
    </row>
    <row r="33021">
      <c r="B33021" s="19"/>
      <c r="E33021" s="23"/>
      <c r="L33021" s="23"/>
    </row>
    <row r="33022">
      <c r="B33022" s="19"/>
      <c r="E33022" s="23"/>
      <c r="L33022" s="23"/>
    </row>
    <row r="33023">
      <c r="B33023" s="19"/>
      <c r="E33023" s="23"/>
      <c r="L33023" s="23"/>
    </row>
    <row r="33024">
      <c r="B33024" s="19"/>
      <c r="E33024" s="23"/>
      <c r="L33024" s="23"/>
    </row>
    <row r="33025">
      <c r="B33025" s="19"/>
      <c r="E33025" s="23"/>
      <c r="L33025" s="23"/>
    </row>
    <row r="33026">
      <c r="B33026" s="19"/>
      <c r="E33026" s="23"/>
      <c r="L33026" s="23"/>
    </row>
    <row r="33027">
      <c r="B33027" s="19"/>
      <c r="E33027" s="23"/>
      <c r="L33027" s="23"/>
    </row>
    <row r="33028">
      <c r="B33028" s="19"/>
      <c r="E33028" s="23"/>
      <c r="L33028" s="23"/>
    </row>
    <row r="33029">
      <c r="B33029" s="19"/>
      <c r="E33029" s="23"/>
      <c r="L33029" s="23"/>
    </row>
    <row r="33030">
      <c r="B33030" s="19"/>
      <c r="E33030" s="23"/>
      <c r="L33030" s="23"/>
    </row>
    <row r="33031">
      <c r="B33031" s="19"/>
      <c r="E33031" s="23"/>
      <c r="L33031" s="23"/>
    </row>
    <row r="33032">
      <c r="B33032" s="19"/>
      <c r="E33032" s="23"/>
      <c r="L33032" s="23"/>
    </row>
    <row r="33033">
      <c r="B33033" s="19"/>
      <c r="E33033" s="23"/>
      <c r="L33033" s="23"/>
    </row>
    <row r="33034">
      <c r="B33034" s="19"/>
      <c r="E33034" s="23"/>
      <c r="L33034" s="23"/>
    </row>
    <row r="33035">
      <c r="B33035" s="19"/>
      <c r="E33035" s="23"/>
      <c r="L33035" s="23"/>
    </row>
    <row r="33036">
      <c r="B33036" s="19"/>
      <c r="E33036" s="23"/>
      <c r="L33036" s="23"/>
    </row>
    <row r="33037">
      <c r="B33037" s="19"/>
      <c r="E33037" s="23"/>
      <c r="L33037" s="23"/>
    </row>
    <row r="33038">
      <c r="B33038" s="19"/>
      <c r="E33038" s="23"/>
      <c r="L33038" s="23"/>
    </row>
    <row r="33039">
      <c r="B33039" s="19"/>
      <c r="E33039" s="23"/>
      <c r="L33039" s="23"/>
    </row>
    <row r="33040">
      <c r="B33040" s="19"/>
      <c r="E33040" s="23"/>
      <c r="L33040" s="23"/>
    </row>
    <row r="33041">
      <c r="B33041" s="19"/>
      <c r="E33041" s="23"/>
      <c r="L33041" s="23"/>
    </row>
    <row r="33042">
      <c r="B33042" s="19"/>
      <c r="E33042" s="23"/>
      <c r="L33042" s="23"/>
    </row>
    <row r="33043">
      <c r="B33043" s="19"/>
      <c r="E33043" s="23"/>
      <c r="L33043" s="23"/>
    </row>
    <row r="33044">
      <c r="B33044" s="19"/>
      <c r="E33044" s="23"/>
      <c r="L33044" s="23"/>
    </row>
    <row r="33045">
      <c r="B33045" s="19"/>
      <c r="E33045" s="23"/>
      <c r="L33045" s="23"/>
    </row>
    <row r="33046">
      <c r="B33046" s="19"/>
      <c r="E33046" s="23"/>
      <c r="L33046" s="23"/>
    </row>
    <row r="33047">
      <c r="B33047" s="19"/>
      <c r="E33047" s="23"/>
      <c r="L33047" s="23"/>
    </row>
    <row r="33048">
      <c r="B33048" s="19"/>
      <c r="E33048" s="23"/>
      <c r="L33048" s="23"/>
    </row>
    <row r="33049">
      <c r="B33049" s="19"/>
      <c r="E33049" s="23"/>
      <c r="L33049" s="23"/>
    </row>
    <row r="33050">
      <c r="B33050" s="19"/>
      <c r="E33050" s="23"/>
      <c r="L33050" s="23"/>
    </row>
    <row r="33051">
      <c r="B33051" s="19"/>
      <c r="E33051" s="23"/>
      <c r="L33051" s="23"/>
    </row>
    <row r="33052">
      <c r="B33052" s="19"/>
      <c r="E33052" s="23"/>
      <c r="L33052" s="23"/>
    </row>
    <row r="33053">
      <c r="B33053" s="19"/>
      <c r="E33053" s="23"/>
      <c r="L33053" s="23"/>
    </row>
    <row r="33054">
      <c r="B33054" s="19"/>
      <c r="E33054" s="23"/>
      <c r="L33054" s="23"/>
    </row>
    <row r="33055">
      <c r="B33055" s="19"/>
      <c r="E33055" s="23"/>
      <c r="L33055" s="23"/>
    </row>
    <row r="33056">
      <c r="B33056" s="19"/>
      <c r="E33056" s="23"/>
      <c r="L33056" s="23"/>
    </row>
    <row r="33057">
      <c r="B33057" s="19"/>
      <c r="E33057" s="23"/>
      <c r="L33057" s="23"/>
    </row>
    <row r="33058">
      <c r="B33058" s="19"/>
      <c r="E33058" s="23"/>
      <c r="L33058" s="23"/>
    </row>
    <row r="33059">
      <c r="B33059" s="19"/>
      <c r="E33059" s="23"/>
      <c r="L33059" s="23"/>
    </row>
    <row r="33060">
      <c r="B33060" s="19"/>
      <c r="E33060" s="23"/>
      <c r="L33060" s="23"/>
    </row>
    <row r="33061">
      <c r="B33061" s="19"/>
      <c r="E33061" s="23"/>
      <c r="L33061" s="23"/>
    </row>
    <row r="33062">
      <c r="B33062" s="19"/>
      <c r="E33062" s="23"/>
      <c r="L33062" s="23"/>
    </row>
    <row r="33063">
      <c r="B33063" s="19"/>
      <c r="E33063" s="23"/>
      <c r="L33063" s="23"/>
    </row>
    <row r="33064">
      <c r="B33064" s="19"/>
      <c r="E33064" s="23"/>
      <c r="L33064" s="23"/>
    </row>
    <row r="33065">
      <c r="B33065" s="19"/>
      <c r="E33065" s="23"/>
      <c r="L33065" s="23"/>
    </row>
    <row r="33066">
      <c r="B33066" s="19"/>
      <c r="E33066" s="23"/>
      <c r="L33066" s="23"/>
    </row>
    <row r="33067">
      <c r="B33067" s="19"/>
      <c r="E33067" s="23"/>
      <c r="L33067" s="23"/>
    </row>
    <row r="33068">
      <c r="B33068" s="19"/>
      <c r="E33068" s="23"/>
      <c r="L33068" s="23"/>
    </row>
    <row r="33069">
      <c r="B33069" s="19"/>
      <c r="E33069" s="23"/>
      <c r="L33069" s="23"/>
    </row>
    <row r="33070">
      <c r="B33070" s="19"/>
      <c r="E33070" s="23"/>
      <c r="L33070" s="23"/>
    </row>
    <row r="33071">
      <c r="B33071" s="19"/>
      <c r="E33071" s="23"/>
      <c r="L33071" s="23"/>
    </row>
    <row r="33072">
      <c r="B33072" s="19"/>
      <c r="E33072" s="23"/>
      <c r="L33072" s="23"/>
    </row>
    <row r="33073">
      <c r="B33073" s="19"/>
      <c r="E33073" s="23"/>
      <c r="L33073" s="23"/>
    </row>
    <row r="33074">
      <c r="B33074" s="19"/>
      <c r="E33074" s="23"/>
      <c r="L33074" s="23"/>
    </row>
    <row r="33075">
      <c r="B33075" s="19"/>
      <c r="E33075" s="23"/>
      <c r="L33075" s="23"/>
    </row>
    <row r="33076">
      <c r="B33076" s="19"/>
      <c r="E33076" s="23"/>
      <c r="L33076" s="23"/>
    </row>
    <row r="33077">
      <c r="B33077" s="19"/>
      <c r="E33077" s="23"/>
      <c r="L33077" s="23"/>
    </row>
    <row r="33078">
      <c r="B33078" s="19"/>
      <c r="E33078" s="23"/>
      <c r="L33078" s="23"/>
    </row>
    <row r="33079">
      <c r="B33079" s="19"/>
      <c r="E33079" s="23"/>
      <c r="L33079" s="23"/>
    </row>
    <row r="33080">
      <c r="B33080" s="19"/>
      <c r="E33080" s="23"/>
      <c r="L33080" s="23"/>
    </row>
    <row r="33081">
      <c r="B33081" s="19"/>
      <c r="E33081" s="23"/>
      <c r="L33081" s="23"/>
    </row>
    <row r="33082">
      <c r="B33082" s="19"/>
      <c r="E33082" s="23"/>
      <c r="L33082" s="23"/>
    </row>
    <row r="33083">
      <c r="B33083" s="19"/>
      <c r="E33083" s="23"/>
      <c r="L33083" s="23"/>
    </row>
    <row r="33084">
      <c r="B33084" s="19"/>
      <c r="E33084" s="23"/>
      <c r="L33084" s="23"/>
    </row>
    <row r="33085">
      <c r="B33085" s="19"/>
      <c r="E33085" s="23"/>
      <c r="L33085" s="23"/>
    </row>
    <row r="33086">
      <c r="B33086" s="19"/>
      <c r="E33086" s="23"/>
      <c r="L33086" s="23"/>
    </row>
    <row r="33087">
      <c r="B33087" s="19"/>
      <c r="E33087" s="23"/>
      <c r="L33087" s="23"/>
    </row>
    <row r="33088">
      <c r="B33088" s="19"/>
      <c r="E33088" s="23"/>
      <c r="L33088" s="23"/>
    </row>
    <row r="33089">
      <c r="B33089" s="19"/>
      <c r="E33089" s="23"/>
      <c r="L33089" s="23"/>
    </row>
    <row r="33090">
      <c r="B33090" s="19"/>
      <c r="E33090" s="23"/>
      <c r="L33090" s="23"/>
    </row>
    <row r="33091">
      <c r="B33091" s="19"/>
      <c r="E33091" s="23"/>
      <c r="L33091" s="23"/>
    </row>
    <row r="33092">
      <c r="B33092" s="19"/>
      <c r="E33092" s="23"/>
      <c r="L33092" s="23"/>
    </row>
    <row r="33093">
      <c r="B33093" s="19"/>
      <c r="E33093" s="23"/>
      <c r="L33093" s="23"/>
    </row>
    <row r="33094">
      <c r="B33094" s="19"/>
      <c r="E33094" s="23"/>
      <c r="L33094" s="23"/>
    </row>
    <row r="33095">
      <c r="B33095" s="19"/>
      <c r="E33095" s="23"/>
      <c r="L33095" s="23"/>
    </row>
    <row r="33096">
      <c r="B33096" s="19"/>
      <c r="E33096" s="23"/>
      <c r="L33096" s="23"/>
    </row>
    <row r="33097">
      <c r="B33097" s="19"/>
      <c r="E33097" s="23"/>
      <c r="L33097" s="23"/>
    </row>
    <row r="33098">
      <c r="B33098" s="19"/>
      <c r="E33098" s="23"/>
      <c r="L33098" s="23"/>
    </row>
    <row r="33099">
      <c r="B33099" s="19"/>
      <c r="E33099" s="23"/>
      <c r="L33099" s="23"/>
    </row>
    <row r="33100">
      <c r="B33100" s="19"/>
      <c r="E33100" s="23"/>
      <c r="L33100" s="23"/>
    </row>
    <row r="33101">
      <c r="B33101" s="19"/>
      <c r="E33101" s="23"/>
      <c r="L33101" s="23"/>
    </row>
    <row r="33102">
      <c r="B33102" s="19"/>
      <c r="E33102" s="23"/>
      <c r="L33102" s="23"/>
    </row>
    <row r="33103">
      <c r="B33103" s="19"/>
      <c r="E33103" s="23"/>
      <c r="L33103" s="23"/>
    </row>
    <row r="33104">
      <c r="B33104" s="19"/>
      <c r="E33104" s="23"/>
      <c r="L33104" s="23"/>
    </row>
    <row r="33105">
      <c r="B33105" s="19"/>
      <c r="E33105" s="23"/>
      <c r="L33105" s="23"/>
    </row>
    <row r="33106">
      <c r="B33106" s="19"/>
      <c r="E33106" s="23"/>
      <c r="L33106" s="23"/>
    </row>
    <row r="33107">
      <c r="B33107" s="19"/>
      <c r="E33107" s="23"/>
      <c r="L33107" s="23"/>
    </row>
    <row r="33108">
      <c r="B33108" s="19"/>
      <c r="E33108" s="23"/>
      <c r="L33108" s="23"/>
    </row>
    <row r="33109">
      <c r="B33109" s="19"/>
      <c r="E33109" s="23"/>
      <c r="L33109" s="23"/>
    </row>
    <row r="33110">
      <c r="B33110" s="19"/>
      <c r="E33110" s="23"/>
      <c r="L33110" s="23"/>
    </row>
    <row r="33111">
      <c r="B33111" s="19"/>
      <c r="E33111" s="23"/>
      <c r="L33111" s="23"/>
    </row>
    <row r="33112">
      <c r="B33112" s="19"/>
      <c r="E33112" s="23"/>
      <c r="L33112" s="23"/>
    </row>
    <row r="33113">
      <c r="B33113" s="19"/>
      <c r="E33113" s="23"/>
      <c r="L33113" s="23"/>
    </row>
    <row r="33114">
      <c r="B33114" s="19"/>
      <c r="E33114" s="23"/>
      <c r="L33114" s="23"/>
    </row>
    <row r="33115">
      <c r="B33115" s="19"/>
      <c r="E33115" s="23"/>
      <c r="L33115" s="23"/>
    </row>
    <row r="33116">
      <c r="B33116" s="19"/>
      <c r="E33116" s="23"/>
      <c r="L33116" s="23"/>
    </row>
    <row r="33117">
      <c r="B33117" s="19"/>
      <c r="E33117" s="23"/>
      <c r="L33117" s="23"/>
    </row>
    <row r="33118">
      <c r="B33118" s="19"/>
      <c r="E33118" s="23"/>
      <c r="L33118" s="23"/>
    </row>
    <row r="33119">
      <c r="B33119" s="19"/>
      <c r="E33119" s="23"/>
      <c r="L33119" s="23"/>
    </row>
    <row r="33120">
      <c r="B33120" s="19"/>
      <c r="E33120" s="23"/>
      <c r="L33120" s="23"/>
    </row>
    <row r="33121">
      <c r="B33121" s="19"/>
      <c r="E33121" s="23"/>
      <c r="L33121" s="23"/>
    </row>
    <row r="33122">
      <c r="B33122" s="19"/>
      <c r="E33122" s="23"/>
      <c r="L33122" s="23"/>
    </row>
    <row r="33123">
      <c r="B33123" s="19"/>
      <c r="E33123" s="23"/>
      <c r="L33123" s="23"/>
    </row>
    <row r="33124">
      <c r="B33124" s="19"/>
      <c r="E33124" s="23"/>
      <c r="L33124" s="23"/>
    </row>
    <row r="33125">
      <c r="B33125" s="19"/>
      <c r="E33125" s="23"/>
      <c r="L33125" s="23"/>
    </row>
    <row r="33126">
      <c r="B33126" s="19"/>
      <c r="E33126" s="23"/>
      <c r="L33126" s="23"/>
    </row>
    <row r="33127">
      <c r="B33127" s="19"/>
      <c r="E33127" s="23"/>
      <c r="L33127" s="23"/>
    </row>
    <row r="33128">
      <c r="B33128" s="19"/>
      <c r="E33128" s="23"/>
      <c r="L33128" s="23"/>
    </row>
    <row r="33129">
      <c r="B33129" s="19"/>
      <c r="E33129" s="23"/>
      <c r="L33129" s="23"/>
    </row>
    <row r="33130">
      <c r="B33130" s="19"/>
      <c r="E33130" s="23"/>
      <c r="L33130" s="23"/>
    </row>
    <row r="33131">
      <c r="B33131" s="19"/>
      <c r="E33131" s="23"/>
      <c r="L33131" s="23"/>
    </row>
    <row r="33132">
      <c r="B33132" s="19"/>
      <c r="E33132" s="23"/>
      <c r="L33132" s="23"/>
    </row>
    <row r="33133">
      <c r="B33133" s="19"/>
      <c r="E33133" s="23"/>
      <c r="L33133" s="23"/>
    </row>
    <row r="33134">
      <c r="B33134" s="19"/>
      <c r="E33134" s="23"/>
      <c r="L33134" s="23"/>
    </row>
    <row r="33135">
      <c r="B33135" s="19"/>
      <c r="E33135" s="23"/>
      <c r="L33135" s="23"/>
    </row>
    <row r="33136">
      <c r="B33136" s="19"/>
      <c r="E33136" s="23"/>
      <c r="L33136" s="23"/>
    </row>
    <row r="33137">
      <c r="B33137" s="19"/>
      <c r="E33137" s="23"/>
      <c r="L33137" s="23"/>
    </row>
    <row r="33138">
      <c r="B33138" s="19"/>
      <c r="E33138" s="23"/>
      <c r="L33138" s="23"/>
    </row>
    <row r="33139">
      <c r="B33139" s="19"/>
      <c r="E33139" s="23"/>
      <c r="L33139" s="23"/>
    </row>
    <row r="33140">
      <c r="B33140" s="19"/>
      <c r="E33140" s="23"/>
      <c r="L33140" s="23"/>
    </row>
    <row r="33141">
      <c r="B33141" s="19"/>
      <c r="E33141" s="23"/>
      <c r="L33141" s="23"/>
    </row>
    <row r="33142">
      <c r="B33142" s="19"/>
      <c r="E33142" s="23"/>
      <c r="L33142" s="23"/>
    </row>
    <row r="33143">
      <c r="B33143" s="19"/>
      <c r="E33143" s="23"/>
      <c r="L33143" s="23"/>
    </row>
    <row r="33144">
      <c r="B33144" s="19"/>
      <c r="E33144" s="23"/>
      <c r="L33144" s="23"/>
    </row>
    <row r="33145">
      <c r="B33145" s="19"/>
      <c r="E33145" s="23"/>
      <c r="L33145" s="23"/>
    </row>
    <row r="33146">
      <c r="B33146" s="19"/>
      <c r="E33146" s="23"/>
      <c r="L33146" s="23"/>
    </row>
    <row r="33147">
      <c r="B33147" s="19"/>
      <c r="E33147" s="23"/>
      <c r="L33147" s="23"/>
    </row>
    <row r="33148">
      <c r="B33148" s="19"/>
      <c r="E33148" s="23"/>
      <c r="L33148" s="23"/>
    </row>
    <row r="33149">
      <c r="B33149" s="19"/>
      <c r="E33149" s="23"/>
      <c r="L33149" s="23"/>
    </row>
    <row r="33150">
      <c r="B33150" s="19"/>
      <c r="E33150" s="23"/>
      <c r="L33150" s="23"/>
    </row>
    <row r="33151">
      <c r="B33151" s="19"/>
      <c r="E33151" s="23"/>
      <c r="L33151" s="23"/>
    </row>
    <row r="33152">
      <c r="B33152" s="19"/>
      <c r="E33152" s="23"/>
      <c r="L33152" s="23"/>
    </row>
    <row r="33153">
      <c r="B33153" s="19"/>
      <c r="E33153" s="23"/>
      <c r="L33153" s="23"/>
    </row>
    <row r="33154">
      <c r="B33154" s="19"/>
      <c r="E33154" s="23"/>
      <c r="L33154" s="23"/>
    </row>
    <row r="33155">
      <c r="B33155" s="19"/>
      <c r="E33155" s="23"/>
      <c r="L33155" s="23"/>
    </row>
    <row r="33156">
      <c r="B33156" s="19"/>
      <c r="E33156" s="23"/>
      <c r="L33156" s="23"/>
    </row>
    <row r="33157">
      <c r="B33157" s="19"/>
      <c r="E33157" s="23"/>
      <c r="L33157" s="23"/>
    </row>
    <row r="33158">
      <c r="B33158" s="19"/>
      <c r="E33158" s="23"/>
      <c r="L33158" s="23"/>
    </row>
    <row r="33159">
      <c r="B33159" s="19"/>
      <c r="E33159" s="23"/>
      <c r="L33159" s="23"/>
    </row>
    <row r="33160">
      <c r="B33160" s="19"/>
      <c r="E33160" s="23"/>
      <c r="L33160" s="23"/>
    </row>
    <row r="33161">
      <c r="B33161" s="19"/>
      <c r="E33161" s="23"/>
      <c r="L33161" s="23"/>
    </row>
    <row r="33162">
      <c r="B33162" s="19"/>
      <c r="E33162" s="23"/>
      <c r="L33162" s="23"/>
    </row>
    <row r="33163">
      <c r="B33163" s="19"/>
      <c r="E33163" s="23"/>
      <c r="L33163" s="23"/>
    </row>
    <row r="33164">
      <c r="B33164" s="19"/>
      <c r="E33164" s="23"/>
      <c r="L33164" s="23"/>
    </row>
    <row r="33165">
      <c r="B33165" s="19"/>
      <c r="E33165" s="23"/>
      <c r="L33165" s="23"/>
    </row>
    <row r="33166">
      <c r="B33166" s="19"/>
      <c r="E33166" s="23"/>
      <c r="L33166" s="23"/>
    </row>
    <row r="33167">
      <c r="B33167" s="19"/>
      <c r="E33167" s="23"/>
      <c r="L33167" s="23"/>
    </row>
    <row r="33168">
      <c r="B33168" s="19"/>
      <c r="E33168" s="23"/>
      <c r="L33168" s="23"/>
    </row>
    <row r="33169">
      <c r="B33169" s="19"/>
      <c r="E33169" s="23"/>
      <c r="L33169" s="23"/>
    </row>
    <row r="33170">
      <c r="B33170" s="19"/>
      <c r="E33170" s="23"/>
      <c r="L33170" s="23"/>
    </row>
    <row r="33171">
      <c r="B33171" s="19"/>
      <c r="E33171" s="23"/>
      <c r="L33171" s="23"/>
    </row>
    <row r="33172">
      <c r="B33172" s="19"/>
      <c r="E33172" s="23"/>
      <c r="L33172" s="23"/>
    </row>
    <row r="33173">
      <c r="B33173" s="19"/>
      <c r="E33173" s="23"/>
      <c r="L33173" s="23"/>
    </row>
    <row r="33174">
      <c r="B33174" s="19"/>
      <c r="E33174" s="23"/>
      <c r="L33174" s="23"/>
    </row>
    <row r="33175">
      <c r="B33175" s="19"/>
      <c r="E33175" s="23"/>
      <c r="L33175" s="23"/>
    </row>
    <row r="33176">
      <c r="B33176" s="19"/>
      <c r="E33176" s="23"/>
      <c r="L33176" s="23"/>
    </row>
    <row r="33177">
      <c r="B33177" s="19"/>
      <c r="E33177" s="23"/>
      <c r="L33177" s="23"/>
    </row>
    <row r="33178">
      <c r="B33178" s="19"/>
      <c r="E33178" s="23"/>
      <c r="L33178" s="23"/>
    </row>
    <row r="33179">
      <c r="B33179" s="19"/>
      <c r="E33179" s="23"/>
      <c r="L33179" s="23"/>
    </row>
    <row r="33180">
      <c r="B33180" s="19"/>
      <c r="E33180" s="23"/>
      <c r="L33180" s="23"/>
    </row>
    <row r="33181">
      <c r="B33181" s="19"/>
      <c r="E33181" s="23"/>
      <c r="L33181" s="23"/>
    </row>
    <row r="33182">
      <c r="B33182" s="19"/>
      <c r="E33182" s="23"/>
      <c r="L33182" s="23"/>
    </row>
    <row r="33183">
      <c r="B33183" s="19"/>
      <c r="E33183" s="23"/>
      <c r="L33183" s="23"/>
    </row>
    <row r="33184">
      <c r="B33184" s="19"/>
      <c r="E33184" s="23"/>
      <c r="L33184" s="23"/>
    </row>
    <row r="33185">
      <c r="B33185" s="19"/>
      <c r="E33185" s="23"/>
      <c r="L33185" s="23"/>
    </row>
    <row r="33186">
      <c r="B33186" s="19"/>
      <c r="E33186" s="23"/>
      <c r="L33186" s="23"/>
    </row>
    <row r="33187">
      <c r="B33187" s="19"/>
      <c r="E33187" s="23"/>
      <c r="L33187" s="23"/>
    </row>
    <row r="33188">
      <c r="B33188" s="19"/>
      <c r="E33188" s="23"/>
      <c r="L33188" s="23"/>
    </row>
    <row r="33189">
      <c r="B33189" s="19"/>
      <c r="E33189" s="23"/>
      <c r="L33189" s="23"/>
    </row>
    <row r="33190">
      <c r="B33190" s="19"/>
      <c r="E33190" s="23"/>
      <c r="L33190" s="23"/>
    </row>
    <row r="33191">
      <c r="B33191" s="19"/>
      <c r="E33191" s="23"/>
      <c r="L33191" s="23"/>
    </row>
    <row r="33192">
      <c r="B33192" s="19"/>
      <c r="E33192" s="23"/>
      <c r="L33192" s="23"/>
    </row>
    <row r="33193">
      <c r="B33193" s="19"/>
      <c r="E33193" s="23"/>
      <c r="L33193" s="23"/>
    </row>
    <row r="33194">
      <c r="B33194" s="19"/>
      <c r="E33194" s="23"/>
      <c r="L33194" s="23"/>
    </row>
    <row r="33195">
      <c r="B33195" s="19"/>
      <c r="E33195" s="23"/>
      <c r="L33195" s="23"/>
    </row>
    <row r="33196">
      <c r="B33196" s="19"/>
      <c r="E33196" s="23"/>
      <c r="L33196" s="23"/>
    </row>
    <row r="33197">
      <c r="B33197" s="19"/>
      <c r="E33197" s="23"/>
      <c r="L33197" s="23"/>
    </row>
    <row r="33198">
      <c r="B33198" s="19"/>
      <c r="E33198" s="23"/>
      <c r="L33198" s="23"/>
    </row>
    <row r="33199">
      <c r="B33199" s="19"/>
      <c r="E33199" s="23"/>
      <c r="L33199" s="23"/>
    </row>
    <row r="33200">
      <c r="B33200" s="19"/>
      <c r="E33200" s="23"/>
      <c r="L33200" s="23"/>
    </row>
    <row r="33201">
      <c r="B33201" s="19"/>
      <c r="E33201" s="23"/>
      <c r="L33201" s="23"/>
    </row>
    <row r="33202">
      <c r="B33202" s="19"/>
      <c r="E33202" s="23"/>
      <c r="L33202" s="23"/>
    </row>
    <row r="33203">
      <c r="B33203" s="19"/>
      <c r="E33203" s="23"/>
      <c r="L33203" s="23"/>
    </row>
    <row r="33204">
      <c r="B33204" s="19"/>
      <c r="E33204" s="23"/>
      <c r="L33204" s="23"/>
    </row>
    <row r="33205">
      <c r="B33205" s="19"/>
      <c r="E33205" s="23"/>
      <c r="L33205" s="23"/>
    </row>
    <row r="33206">
      <c r="B33206" s="19"/>
      <c r="E33206" s="23"/>
      <c r="L33206" s="23"/>
    </row>
    <row r="33207">
      <c r="B33207" s="19"/>
      <c r="E33207" s="23"/>
      <c r="L33207" s="23"/>
    </row>
    <row r="33208">
      <c r="B33208" s="19"/>
      <c r="E33208" s="23"/>
      <c r="L33208" s="23"/>
    </row>
    <row r="33209">
      <c r="B33209" s="19"/>
      <c r="E33209" s="23"/>
      <c r="L33209" s="23"/>
    </row>
    <row r="33210">
      <c r="B33210" s="19"/>
      <c r="E33210" s="23"/>
      <c r="L33210" s="23"/>
    </row>
    <row r="33211">
      <c r="B33211" s="19"/>
      <c r="E33211" s="23"/>
      <c r="L33211" s="23"/>
    </row>
    <row r="33212">
      <c r="B33212" s="19"/>
      <c r="E33212" s="23"/>
      <c r="L33212" s="23"/>
    </row>
    <row r="33213">
      <c r="B33213" s="19"/>
      <c r="E33213" s="23"/>
      <c r="L33213" s="23"/>
    </row>
    <row r="33214">
      <c r="B33214" s="19"/>
      <c r="E33214" s="23"/>
      <c r="L33214" s="23"/>
    </row>
    <row r="33215">
      <c r="B33215" s="19"/>
      <c r="E33215" s="23"/>
      <c r="L33215" s="23"/>
    </row>
    <row r="33216">
      <c r="B33216" s="19"/>
      <c r="E33216" s="23"/>
      <c r="L33216" s="23"/>
    </row>
    <row r="33217">
      <c r="B33217" s="19"/>
      <c r="E33217" s="23"/>
      <c r="L33217" s="23"/>
    </row>
    <row r="33218">
      <c r="B33218" s="19"/>
      <c r="E33218" s="23"/>
      <c r="L33218" s="23"/>
    </row>
    <row r="33219">
      <c r="B33219" s="19"/>
      <c r="E33219" s="23"/>
      <c r="L33219" s="23"/>
    </row>
    <row r="33220">
      <c r="B33220" s="19"/>
      <c r="E33220" s="23"/>
      <c r="L33220" s="23"/>
    </row>
    <row r="33221">
      <c r="B33221" s="19"/>
      <c r="E33221" s="23"/>
      <c r="L33221" s="23"/>
    </row>
    <row r="33222">
      <c r="B33222" s="19"/>
      <c r="E33222" s="23"/>
      <c r="L33222" s="23"/>
    </row>
    <row r="33223">
      <c r="B33223" s="19"/>
      <c r="E33223" s="23"/>
      <c r="L33223" s="23"/>
    </row>
    <row r="33224">
      <c r="B33224" s="19"/>
      <c r="E33224" s="23"/>
      <c r="L33224" s="23"/>
    </row>
    <row r="33225">
      <c r="B33225" s="19"/>
      <c r="E33225" s="23"/>
      <c r="L33225" s="23"/>
    </row>
    <row r="33226">
      <c r="B33226" s="19"/>
      <c r="E33226" s="23"/>
      <c r="L33226" s="23"/>
    </row>
    <row r="33227">
      <c r="B33227" s="19"/>
      <c r="E33227" s="23"/>
      <c r="L33227" s="23"/>
    </row>
    <row r="33228">
      <c r="B33228" s="19"/>
      <c r="E33228" s="23"/>
      <c r="L33228" s="23"/>
    </row>
    <row r="33229">
      <c r="B33229" s="19"/>
      <c r="E33229" s="23"/>
      <c r="L33229" s="23"/>
    </row>
    <row r="33230">
      <c r="B33230" s="19"/>
      <c r="E33230" s="23"/>
      <c r="L33230" s="23"/>
    </row>
    <row r="33231">
      <c r="B33231" s="19"/>
      <c r="E33231" s="23"/>
      <c r="L33231" s="23"/>
    </row>
    <row r="33232">
      <c r="B33232" s="19"/>
      <c r="E33232" s="23"/>
      <c r="L33232" s="23"/>
    </row>
    <row r="33233">
      <c r="B33233" s="19"/>
      <c r="E33233" s="23"/>
      <c r="L33233" s="23"/>
    </row>
    <row r="33234">
      <c r="B33234" s="19"/>
      <c r="E33234" s="23"/>
      <c r="L33234" s="23"/>
    </row>
    <row r="33235">
      <c r="B33235" s="19"/>
      <c r="E33235" s="23"/>
      <c r="L33235" s="23"/>
    </row>
    <row r="33236">
      <c r="B33236" s="19"/>
      <c r="E33236" s="23"/>
      <c r="L33236" s="23"/>
    </row>
    <row r="33237">
      <c r="B33237" s="19"/>
      <c r="E33237" s="23"/>
      <c r="L33237" s="23"/>
    </row>
    <row r="33238">
      <c r="B33238" s="19"/>
      <c r="E33238" s="23"/>
      <c r="L33238" s="23"/>
    </row>
    <row r="33239">
      <c r="B33239" s="19"/>
      <c r="E33239" s="23"/>
      <c r="L33239" s="23"/>
    </row>
    <row r="33240">
      <c r="B33240" s="19"/>
      <c r="E33240" s="23"/>
      <c r="L33240" s="23"/>
    </row>
    <row r="33241">
      <c r="B33241" s="19"/>
      <c r="E33241" s="23"/>
      <c r="L33241" s="23"/>
    </row>
    <row r="33242">
      <c r="B33242" s="19"/>
      <c r="E33242" s="23"/>
      <c r="L33242" s="23"/>
    </row>
    <row r="33243">
      <c r="B33243" s="19"/>
      <c r="E33243" s="23"/>
      <c r="L33243" s="23"/>
    </row>
    <row r="33244">
      <c r="B33244" s="19"/>
      <c r="E33244" s="23"/>
      <c r="L33244" s="23"/>
    </row>
    <row r="33245">
      <c r="B33245" s="19"/>
      <c r="E33245" s="23"/>
      <c r="L33245" s="23"/>
    </row>
    <row r="33246">
      <c r="B33246" s="19"/>
      <c r="E33246" s="23"/>
      <c r="L33246" s="23"/>
    </row>
    <row r="33247">
      <c r="B33247" s="19"/>
      <c r="E33247" s="23"/>
      <c r="L33247" s="23"/>
    </row>
    <row r="33248">
      <c r="B33248" s="19"/>
      <c r="E33248" s="23"/>
      <c r="L33248" s="23"/>
    </row>
    <row r="33249">
      <c r="B33249" s="19"/>
      <c r="E33249" s="23"/>
      <c r="L33249" s="23"/>
    </row>
    <row r="33250">
      <c r="B33250" s="19"/>
      <c r="E33250" s="23"/>
      <c r="L33250" s="23"/>
    </row>
    <row r="33251">
      <c r="B33251" s="19"/>
      <c r="E33251" s="23"/>
      <c r="L33251" s="23"/>
    </row>
    <row r="33252">
      <c r="B33252" s="19"/>
      <c r="E33252" s="23"/>
      <c r="L33252" s="23"/>
    </row>
    <row r="33253">
      <c r="B33253" s="19"/>
      <c r="E33253" s="23"/>
      <c r="L33253" s="23"/>
    </row>
    <row r="33254">
      <c r="B33254" s="19"/>
      <c r="E33254" s="23"/>
      <c r="L33254" s="23"/>
    </row>
    <row r="33255">
      <c r="B33255" s="19"/>
      <c r="E33255" s="23"/>
      <c r="L33255" s="23"/>
    </row>
    <row r="33256">
      <c r="B33256" s="19"/>
      <c r="E33256" s="23"/>
      <c r="L33256" s="23"/>
    </row>
    <row r="33257">
      <c r="B33257" s="19"/>
      <c r="E33257" s="23"/>
      <c r="L33257" s="23"/>
    </row>
    <row r="33258">
      <c r="B33258" s="19"/>
      <c r="E33258" s="23"/>
      <c r="L33258" s="23"/>
    </row>
    <row r="33259">
      <c r="B33259" s="19"/>
      <c r="E33259" s="23"/>
      <c r="L33259" s="23"/>
    </row>
    <row r="33260">
      <c r="B33260" s="19"/>
      <c r="E33260" s="23"/>
      <c r="L33260" s="23"/>
    </row>
    <row r="33261">
      <c r="B33261" s="19"/>
      <c r="E33261" s="23"/>
      <c r="L33261" s="23"/>
    </row>
    <row r="33262">
      <c r="B33262" s="19"/>
      <c r="E33262" s="23"/>
      <c r="L33262" s="23"/>
    </row>
    <row r="33263">
      <c r="B33263" s="19"/>
      <c r="E33263" s="23"/>
      <c r="L33263" s="23"/>
    </row>
    <row r="33264">
      <c r="B33264" s="19"/>
      <c r="E33264" s="23"/>
      <c r="L33264" s="23"/>
    </row>
    <row r="33265">
      <c r="B33265" s="19"/>
      <c r="E33265" s="23"/>
      <c r="L33265" s="23"/>
    </row>
    <row r="33266">
      <c r="B33266" s="19"/>
      <c r="E33266" s="23"/>
      <c r="L33266" s="23"/>
    </row>
    <row r="33267">
      <c r="B33267" s="19"/>
      <c r="E33267" s="23"/>
      <c r="L33267" s="23"/>
    </row>
    <row r="33268">
      <c r="B33268" s="19"/>
      <c r="E33268" s="23"/>
      <c r="L33268" s="23"/>
    </row>
    <row r="33269">
      <c r="B33269" s="19"/>
      <c r="E33269" s="23"/>
      <c r="L33269" s="23"/>
    </row>
    <row r="33270">
      <c r="B33270" s="19"/>
      <c r="E33270" s="23"/>
      <c r="L33270" s="23"/>
    </row>
    <row r="33271">
      <c r="B33271" s="19"/>
      <c r="E33271" s="23"/>
      <c r="L33271" s="23"/>
    </row>
    <row r="33272">
      <c r="B33272" s="19"/>
      <c r="E33272" s="23"/>
      <c r="L33272" s="23"/>
    </row>
    <row r="33273">
      <c r="B33273" s="19"/>
      <c r="E33273" s="23"/>
      <c r="L33273" s="23"/>
    </row>
    <row r="33274">
      <c r="B33274" s="19"/>
      <c r="E33274" s="23"/>
      <c r="L33274" s="23"/>
    </row>
    <row r="33275">
      <c r="B33275" s="19"/>
      <c r="E33275" s="23"/>
      <c r="L33275" s="23"/>
    </row>
    <row r="33276">
      <c r="B33276" s="19"/>
      <c r="E33276" s="23"/>
      <c r="L33276" s="23"/>
    </row>
    <row r="33277">
      <c r="B33277" s="19"/>
      <c r="E33277" s="23"/>
      <c r="L33277" s="23"/>
    </row>
    <row r="33278">
      <c r="B33278" s="19"/>
      <c r="E33278" s="23"/>
      <c r="L33278" s="23"/>
    </row>
    <row r="33279">
      <c r="B33279" s="19"/>
      <c r="E33279" s="23"/>
      <c r="L33279" s="23"/>
    </row>
    <row r="33280">
      <c r="B33280" s="19"/>
      <c r="E33280" s="23"/>
      <c r="L33280" s="23"/>
    </row>
    <row r="33281">
      <c r="B33281" s="19"/>
      <c r="E33281" s="23"/>
      <c r="L33281" s="23"/>
    </row>
    <row r="33282">
      <c r="B33282" s="19"/>
      <c r="E33282" s="23"/>
      <c r="L33282" s="23"/>
    </row>
    <row r="33283">
      <c r="B33283" s="19"/>
      <c r="E33283" s="23"/>
      <c r="L33283" s="23"/>
    </row>
    <row r="33284">
      <c r="B33284" s="19"/>
      <c r="E33284" s="23"/>
      <c r="L33284" s="23"/>
    </row>
    <row r="33285">
      <c r="B33285" s="19"/>
      <c r="E33285" s="23"/>
      <c r="L33285" s="23"/>
    </row>
    <row r="33286">
      <c r="B33286" s="19"/>
      <c r="E33286" s="23"/>
      <c r="L33286" s="23"/>
    </row>
    <row r="33287">
      <c r="B33287" s="19"/>
      <c r="E33287" s="23"/>
      <c r="L33287" s="23"/>
    </row>
    <row r="33288">
      <c r="B33288" s="19"/>
      <c r="E33288" s="23"/>
      <c r="L33288" s="23"/>
    </row>
    <row r="33289">
      <c r="B33289" s="19"/>
      <c r="E33289" s="23"/>
      <c r="L33289" s="23"/>
    </row>
    <row r="33290">
      <c r="B33290" s="19"/>
      <c r="E33290" s="23"/>
      <c r="L33290" s="23"/>
    </row>
    <row r="33291">
      <c r="B33291" s="19"/>
      <c r="E33291" s="23"/>
      <c r="L33291" s="23"/>
    </row>
    <row r="33292">
      <c r="B33292" s="19"/>
      <c r="E33292" s="23"/>
      <c r="L33292" s="23"/>
    </row>
    <row r="33293">
      <c r="B33293" s="19"/>
      <c r="E33293" s="23"/>
      <c r="L33293" s="23"/>
    </row>
    <row r="33294">
      <c r="B33294" s="19"/>
      <c r="E33294" s="23"/>
      <c r="L33294" s="23"/>
    </row>
    <row r="33295">
      <c r="B33295" s="19"/>
      <c r="E33295" s="23"/>
      <c r="L33295" s="23"/>
    </row>
    <row r="33296">
      <c r="B33296" s="19"/>
      <c r="E33296" s="23"/>
      <c r="L33296" s="23"/>
    </row>
    <row r="33297">
      <c r="B33297" s="19"/>
      <c r="E33297" s="23"/>
      <c r="L33297" s="23"/>
    </row>
    <row r="33298">
      <c r="B33298" s="19"/>
      <c r="E33298" s="23"/>
      <c r="L33298" s="23"/>
    </row>
    <row r="33299">
      <c r="B33299" s="19"/>
      <c r="E33299" s="23"/>
      <c r="L33299" s="23"/>
    </row>
    <row r="33300">
      <c r="B33300" s="19"/>
      <c r="E33300" s="23"/>
      <c r="L33300" s="23"/>
    </row>
    <row r="33301">
      <c r="B33301" s="19"/>
      <c r="E33301" s="23"/>
      <c r="L33301" s="23"/>
    </row>
    <row r="33302">
      <c r="B33302" s="19"/>
      <c r="E33302" s="23"/>
      <c r="L33302" s="23"/>
    </row>
    <row r="33303">
      <c r="B33303" s="19"/>
      <c r="E33303" s="23"/>
      <c r="L33303" s="23"/>
    </row>
    <row r="33304">
      <c r="B33304" s="19"/>
      <c r="E33304" s="23"/>
      <c r="L33304" s="23"/>
    </row>
    <row r="33305">
      <c r="B33305" s="19"/>
      <c r="E33305" s="23"/>
      <c r="L33305" s="23"/>
    </row>
    <row r="33306">
      <c r="B33306" s="19"/>
      <c r="E33306" s="23"/>
      <c r="L33306" s="23"/>
    </row>
    <row r="33307">
      <c r="B33307" s="19"/>
      <c r="E33307" s="23"/>
      <c r="L33307" s="23"/>
    </row>
    <row r="33308">
      <c r="B33308" s="19"/>
      <c r="E33308" s="23"/>
      <c r="L33308" s="23"/>
    </row>
    <row r="33309">
      <c r="B33309" s="19"/>
      <c r="E33309" s="23"/>
      <c r="L33309" s="23"/>
    </row>
    <row r="33310">
      <c r="B33310" s="19"/>
      <c r="E33310" s="23"/>
      <c r="L33310" s="23"/>
    </row>
    <row r="33311">
      <c r="B33311" s="19"/>
      <c r="E33311" s="23"/>
      <c r="L33311" s="23"/>
    </row>
    <row r="33312">
      <c r="B33312" s="19"/>
      <c r="E33312" s="23"/>
      <c r="L33312" s="23"/>
    </row>
    <row r="33313">
      <c r="B33313" s="19"/>
      <c r="E33313" s="23"/>
      <c r="L33313" s="23"/>
    </row>
    <row r="33314">
      <c r="B33314" s="19"/>
      <c r="E33314" s="23"/>
      <c r="L33314" s="23"/>
    </row>
    <row r="33315">
      <c r="B33315" s="19"/>
      <c r="E33315" s="23"/>
      <c r="L33315" s="23"/>
    </row>
    <row r="33316">
      <c r="B33316" s="19"/>
      <c r="E33316" s="23"/>
      <c r="L33316" s="23"/>
    </row>
    <row r="33317">
      <c r="B33317" s="19"/>
      <c r="E33317" s="23"/>
      <c r="L33317" s="23"/>
    </row>
    <row r="33318">
      <c r="B33318" s="19"/>
      <c r="E33318" s="23"/>
      <c r="L33318" s="23"/>
    </row>
    <row r="33319">
      <c r="B33319" s="19"/>
      <c r="E33319" s="23"/>
      <c r="L33319" s="23"/>
    </row>
    <row r="33320">
      <c r="B33320" s="19"/>
      <c r="E33320" s="23"/>
      <c r="L33320" s="23"/>
    </row>
    <row r="33321">
      <c r="B33321" s="19"/>
      <c r="E33321" s="23"/>
      <c r="L33321" s="23"/>
    </row>
    <row r="33322">
      <c r="B33322" s="19"/>
      <c r="E33322" s="23"/>
      <c r="L33322" s="23"/>
    </row>
    <row r="33323">
      <c r="B33323" s="19"/>
      <c r="E33323" s="23"/>
      <c r="L33323" s="23"/>
    </row>
    <row r="33324">
      <c r="B33324" s="19"/>
      <c r="E33324" s="23"/>
      <c r="L33324" s="23"/>
    </row>
    <row r="33325">
      <c r="B33325" s="19"/>
      <c r="E33325" s="23"/>
      <c r="L33325" s="23"/>
    </row>
    <row r="33326">
      <c r="B33326" s="19"/>
      <c r="E33326" s="23"/>
      <c r="L33326" s="23"/>
    </row>
    <row r="33327">
      <c r="B33327" s="19"/>
      <c r="E33327" s="23"/>
      <c r="L33327" s="23"/>
    </row>
    <row r="33328">
      <c r="B33328" s="19"/>
      <c r="E33328" s="23"/>
      <c r="L33328" s="23"/>
    </row>
    <row r="33329">
      <c r="B33329" s="19"/>
      <c r="E33329" s="23"/>
      <c r="L33329" s="23"/>
    </row>
    <row r="33330">
      <c r="B33330" s="19"/>
      <c r="E33330" s="23"/>
      <c r="L33330" s="23"/>
    </row>
    <row r="33331">
      <c r="B33331" s="19"/>
      <c r="E33331" s="23"/>
      <c r="L33331" s="23"/>
    </row>
    <row r="33332">
      <c r="B33332" s="19"/>
      <c r="E33332" s="23"/>
      <c r="L33332" s="23"/>
    </row>
    <row r="33333">
      <c r="B33333" s="19"/>
      <c r="E33333" s="23"/>
      <c r="L33333" s="23"/>
    </row>
    <row r="33334">
      <c r="B33334" s="19"/>
      <c r="E33334" s="23"/>
      <c r="L33334" s="23"/>
    </row>
    <row r="33335">
      <c r="B33335" s="19"/>
      <c r="E33335" s="23"/>
      <c r="L33335" s="23"/>
    </row>
    <row r="33336">
      <c r="B33336" s="19"/>
      <c r="E33336" s="23"/>
      <c r="L33336" s="23"/>
    </row>
    <row r="33337">
      <c r="B33337" s="19"/>
      <c r="E33337" s="23"/>
      <c r="L33337" s="23"/>
    </row>
    <row r="33338">
      <c r="B33338" s="19"/>
      <c r="E33338" s="23"/>
      <c r="L33338" s="23"/>
    </row>
    <row r="33339">
      <c r="B33339" s="19"/>
      <c r="E33339" s="23"/>
      <c r="L33339" s="23"/>
    </row>
    <row r="33340">
      <c r="B33340" s="19"/>
      <c r="E33340" s="23"/>
      <c r="L33340" s="23"/>
    </row>
    <row r="33341">
      <c r="B33341" s="19"/>
      <c r="E33341" s="23"/>
      <c r="L33341" s="23"/>
    </row>
    <row r="33342">
      <c r="B33342" s="19"/>
      <c r="E33342" s="23"/>
      <c r="L33342" s="23"/>
    </row>
    <row r="33343">
      <c r="B33343" s="19"/>
      <c r="E33343" s="23"/>
      <c r="L33343" s="23"/>
    </row>
    <row r="33344">
      <c r="B33344" s="19"/>
      <c r="E33344" s="23"/>
      <c r="L33344" s="23"/>
    </row>
    <row r="33345">
      <c r="B33345" s="19"/>
      <c r="E33345" s="23"/>
      <c r="L33345" s="23"/>
    </row>
    <row r="33346">
      <c r="B33346" s="19"/>
      <c r="E33346" s="23"/>
      <c r="L33346" s="23"/>
    </row>
    <row r="33347">
      <c r="B33347" s="19"/>
      <c r="E33347" s="23"/>
      <c r="L33347" s="23"/>
    </row>
    <row r="33348">
      <c r="B33348" s="19"/>
      <c r="E33348" s="23"/>
      <c r="L33348" s="23"/>
    </row>
    <row r="33349">
      <c r="B33349" s="19"/>
      <c r="E33349" s="23"/>
      <c r="L33349" s="23"/>
    </row>
    <row r="33350">
      <c r="B33350" s="19"/>
      <c r="E33350" s="23"/>
      <c r="L33350" s="23"/>
    </row>
    <row r="33351">
      <c r="B33351" s="19"/>
      <c r="E33351" s="23"/>
      <c r="L33351" s="23"/>
    </row>
    <row r="33352">
      <c r="B33352" s="19"/>
      <c r="E33352" s="23"/>
      <c r="L33352" s="23"/>
    </row>
    <row r="33353">
      <c r="B33353" s="19"/>
      <c r="E33353" s="23"/>
      <c r="L33353" s="23"/>
    </row>
    <row r="33354">
      <c r="B33354" s="19"/>
      <c r="E33354" s="23"/>
      <c r="L33354" s="23"/>
    </row>
    <row r="33355">
      <c r="B33355" s="19"/>
      <c r="E33355" s="23"/>
      <c r="L33355" s="23"/>
    </row>
    <row r="33356">
      <c r="B33356" s="19"/>
      <c r="E33356" s="23"/>
      <c r="L33356" s="23"/>
    </row>
    <row r="33357">
      <c r="B33357" s="19"/>
      <c r="E33357" s="23"/>
      <c r="L33357" s="23"/>
    </row>
    <row r="33358">
      <c r="B33358" s="19"/>
      <c r="E33358" s="23"/>
      <c r="L33358" s="23"/>
    </row>
    <row r="33359">
      <c r="B33359" s="19"/>
      <c r="E33359" s="23"/>
      <c r="L33359" s="23"/>
    </row>
    <row r="33360">
      <c r="B33360" s="19"/>
      <c r="E33360" s="23"/>
      <c r="L33360" s="23"/>
    </row>
    <row r="33361">
      <c r="B33361" s="19"/>
      <c r="E33361" s="23"/>
      <c r="L33361" s="23"/>
    </row>
    <row r="33362">
      <c r="B33362" s="19"/>
      <c r="E33362" s="23"/>
      <c r="L33362" s="23"/>
    </row>
    <row r="33363">
      <c r="B33363" s="19"/>
      <c r="E33363" s="23"/>
      <c r="L33363" s="23"/>
    </row>
    <row r="33364">
      <c r="B33364" s="19"/>
      <c r="E33364" s="23"/>
      <c r="L33364" s="23"/>
    </row>
    <row r="33365">
      <c r="B33365" s="19"/>
      <c r="E33365" s="23"/>
      <c r="L33365" s="23"/>
    </row>
    <row r="33366">
      <c r="B33366" s="19"/>
      <c r="E33366" s="23"/>
      <c r="L33366" s="23"/>
    </row>
    <row r="33367">
      <c r="B33367" s="19"/>
      <c r="E33367" s="23"/>
      <c r="L33367" s="23"/>
    </row>
    <row r="33368">
      <c r="B33368" s="19"/>
      <c r="E33368" s="23"/>
      <c r="L33368" s="23"/>
    </row>
    <row r="33369">
      <c r="B33369" s="19"/>
      <c r="E33369" s="23"/>
      <c r="L33369" s="23"/>
    </row>
    <row r="33370">
      <c r="B33370" s="19"/>
      <c r="E33370" s="23"/>
      <c r="L33370" s="23"/>
    </row>
    <row r="33371">
      <c r="B33371" s="19"/>
      <c r="E33371" s="23"/>
      <c r="L33371" s="23"/>
    </row>
    <row r="33372">
      <c r="B33372" s="19"/>
      <c r="E33372" s="23"/>
      <c r="L33372" s="23"/>
    </row>
    <row r="33373">
      <c r="B33373" s="19"/>
      <c r="E33373" s="23"/>
      <c r="L33373" s="23"/>
    </row>
    <row r="33374">
      <c r="B33374" s="19"/>
      <c r="E33374" s="23"/>
      <c r="L33374" s="23"/>
    </row>
    <row r="33375">
      <c r="B33375" s="19"/>
      <c r="E33375" s="23"/>
      <c r="L33375" s="23"/>
    </row>
    <row r="33376">
      <c r="B33376" s="19"/>
      <c r="E33376" s="23"/>
      <c r="L33376" s="23"/>
    </row>
    <row r="33377">
      <c r="B33377" s="19"/>
      <c r="E33377" s="23"/>
      <c r="L33377" s="23"/>
    </row>
    <row r="33378">
      <c r="B33378" s="19"/>
      <c r="E33378" s="23"/>
      <c r="L33378" s="23"/>
    </row>
    <row r="33379">
      <c r="B33379" s="19"/>
      <c r="E33379" s="23"/>
      <c r="L33379" s="23"/>
    </row>
    <row r="33380">
      <c r="B33380" s="19"/>
      <c r="E33380" s="23"/>
      <c r="L33380" s="23"/>
    </row>
    <row r="33381">
      <c r="B33381" s="19"/>
      <c r="E33381" s="23"/>
      <c r="L33381" s="23"/>
    </row>
    <row r="33382">
      <c r="B33382" s="19"/>
      <c r="E33382" s="23"/>
      <c r="L33382" s="23"/>
    </row>
    <row r="33383">
      <c r="B33383" s="19"/>
      <c r="E33383" s="23"/>
      <c r="L33383" s="23"/>
    </row>
    <row r="33384">
      <c r="B33384" s="19"/>
      <c r="E33384" s="23"/>
      <c r="L33384" s="23"/>
    </row>
    <row r="33385">
      <c r="B33385" s="19"/>
      <c r="E33385" s="23"/>
      <c r="L33385" s="23"/>
    </row>
    <row r="33386">
      <c r="B33386" s="19"/>
      <c r="E33386" s="23"/>
      <c r="L33386" s="23"/>
    </row>
    <row r="33387">
      <c r="B33387" s="19"/>
      <c r="E33387" s="23"/>
      <c r="L33387" s="23"/>
    </row>
    <row r="33388">
      <c r="B33388" s="19"/>
      <c r="E33388" s="23"/>
      <c r="L33388" s="23"/>
    </row>
    <row r="33389">
      <c r="B33389" s="19"/>
      <c r="E33389" s="23"/>
      <c r="L33389" s="23"/>
    </row>
    <row r="33390">
      <c r="B33390" s="19"/>
      <c r="E33390" s="23"/>
      <c r="L33390" s="23"/>
    </row>
    <row r="33391">
      <c r="B33391" s="19"/>
      <c r="E33391" s="23"/>
      <c r="L33391" s="23"/>
    </row>
    <row r="33392">
      <c r="B33392" s="19"/>
      <c r="E33392" s="23"/>
      <c r="L33392" s="23"/>
    </row>
    <row r="33393">
      <c r="B33393" s="19"/>
      <c r="E33393" s="23"/>
      <c r="L33393" s="23"/>
    </row>
    <row r="33394">
      <c r="B33394" s="19"/>
      <c r="E33394" s="23"/>
      <c r="L33394" s="23"/>
    </row>
    <row r="33395">
      <c r="B33395" s="19"/>
      <c r="E33395" s="23"/>
      <c r="L33395" s="23"/>
    </row>
    <row r="33396">
      <c r="B33396" s="19"/>
      <c r="E33396" s="23"/>
      <c r="L33396" s="23"/>
    </row>
    <row r="33397">
      <c r="B33397" s="19"/>
      <c r="E33397" s="23"/>
      <c r="L33397" s="23"/>
    </row>
    <row r="33398">
      <c r="B33398" s="19"/>
      <c r="E33398" s="23"/>
      <c r="L33398" s="23"/>
    </row>
    <row r="33399">
      <c r="B33399" s="19"/>
      <c r="E33399" s="23"/>
      <c r="L33399" s="23"/>
    </row>
    <row r="33400">
      <c r="B33400" s="19"/>
      <c r="E33400" s="23"/>
      <c r="L33400" s="23"/>
    </row>
    <row r="33401">
      <c r="B33401" s="19"/>
      <c r="E33401" s="23"/>
      <c r="L33401" s="23"/>
    </row>
    <row r="33402">
      <c r="B33402" s="19"/>
      <c r="E33402" s="23"/>
      <c r="L33402" s="23"/>
    </row>
    <row r="33403">
      <c r="B33403" s="19"/>
      <c r="E33403" s="23"/>
      <c r="L33403" s="23"/>
    </row>
    <row r="33404">
      <c r="B33404" s="19"/>
      <c r="E33404" s="23"/>
      <c r="L33404" s="23"/>
    </row>
    <row r="33405">
      <c r="B33405" s="19"/>
      <c r="E33405" s="23"/>
      <c r="L33405" s="23"/>
    </row>
    <row r="33406">
      <c r="B33406" s="19"/>
      <c r="E33406" s="23"/>
      <c r="L33406" s="23"/>
    </row>
    <row r="33407">
      <c r="B33407" s="19"/>
      <c r="E33407" s="23"/>
      <c r="L33407" s="23"/>
    </row>
    <row r="33408">
      <c r="B33408" s="19"/>
      <c r="E33408" s="23"/>
      <c r="L33408" s="23"/>
    </row>
    <row r="33409">
      <c r="B33409" s="19"/>
      <c r="E33409" s="23"/>
      <c r="L33409" s="23"/>
    </row>
    <row r="33410">
      <c r="B33410" s="19"/>
      <c r="E33410" s="23"/>
      <c r="L33410" s="23"/>
    </row>
    <row r="33411">
      <c r="B33411" s="19"/>
      <c r="E33411" s="23"/>
      <c r="L33411" s="23"/>
    </row>
    <row r="33412">
      <c r="B33412" s="19"/>
      <c r="E33412" s="23"/>
      <c r="L33412" s="23"/>
    </row>
    <row r="33413">
      <c r="B33413" s="19"/>
      <c r="E33413" s="23"/>
      <c r="L33413" s="23"/>
    </row>
    <row r="33414">
      <c r="B33414" s="19"/>
      <c r="E33414" s="23"/>
      <c r="L33414" s="23"/>
    </row>
    <row r="33415">
      <c r="B33415" s="19"/>
      <c r="E33415" s="23"/>
      <c r="L33415" s="23"/>
    </row>
    <row r="33416">
      <c r="B33416" s="19"/>
      <c r="E33416" s="23"/>
      <c r="L33416" s="23"/>
    </row>
    <row r="33417">
      <c r="B33417" s="19"/>
      <c r="E33417" s="23"/>
      <c r="L33417" s="23"/>
    </row>
    <row r="33418">
      <c r="B33418" s="19"/>
      <c r="E33418" s="23"/>
      <c r="L33418" s="23"/>
    </row>
    <row r="33419">
      <c r="B33419" s="19"/>
      <c r="E33419" s="23"/>
      <c r="L33419" s="23"/>
    </row>
    <row r="33420">
      <c r="B33420" s="19"/>
      <c r="E33420" s="23"/>
      <c r="L33420" s="23"/>
    </row>
    <row r="33421">
      <c r="B33421" s="19"/>
      <c r="E33421" s="23"/>
      <c r="L33421" s="23"/>
    </row>
    <row r="33422">
      <c r="B33422" s="19"/>
      <c r="E33422" s="23"/>
      <c r="L33422" s="23"/>
    </row>
    <row r="33423">
      <c r="B33423" s="19"/>
      <c r="E33423" s="23"/>
      <c r="L33423" s="23"/>
    </row>
    <row r="33424">
      <c r="B33424" s="19"/>
      <c r="E33424" s="23"/>
      <c r="L33424" s="23"/>
    </row>
    <row r="33425">
      <c r="B33425" s="19"/>
      <c r="E33425" s="23"/>
      <c r="L33425" s="23"/>
    </row>
    <row r="33426">
      <c r="B33426" s="19"/>
      <c r="E33426" s="23"/>
      <c r="L33426" s="23"/>
    </row>
    <row r="33427">
      <c r="B33427" s="19"/>
      <c r="E33427" s="23"/>
      <c r="L33427" s="23"/>
    </row>
    <row r="33428">
      <c r="B33428" s="19"/>
      <c r="E33428" s="23"/>
      <c r="L33428" s="23"/>
    </row>
    <row r="33429">
      <c r="B33429" s="19"/>
      <c r="E33429" s="23"/>
      <c r="L33429" s="23"/>
    </row>
    <row r="33430">
      <c r="B33430" s="19"/>
      <c r="E33430" s="23"/>
      <c r="L33430" s="23"/>
    </row>
    <row r="33431">
      <c r="B33431" s="19"/>
      <c r="E33431" s="23"/>
      <c r="L33431" s="23"/>
    </row>
    <row r="33432">
      <c r="B33432" s="19"/>
      <c r="E33432" s="23"/>
      <c r="L33432" s="23"/>
    </row>
    <row r="33433">
      <c r="B33433" s="19"/>
      <c r="E33433" s="23"/>
      <c r="L33433" s="23"/>
    </row>
    <row r="33434">
      <c r="B33434" s="19"/>
      <c r="E33434" s="23"/>
      <c r="L33434" s="23"/>
    </row>
    <row r="33435">
      <c r="B33435" s="19"/>
      <c r="E33435" s="23"/>
      <c r="L33435" s="23"/>
    </row>
    <row r="33436">
      <c r="B33436" s="19"/>
      <c r="E33436" s="23"/>
      <c r="L33436" s="23"/>
    </row>
    <row r="33437">
      <c r="B33437" s="19"/>
      <c r="E33437" s="23"/>
      <c r="L33437" s="23"/>
    </row>
    <row r="33438">
      <c r="B33438" s="19"/>
      <c r="E33438" s="23"/>
      <c r="L33438" s="23"/>
    </row>
    <row r="33439">
      <c r="B33439" s="19"/>
      <c r="E33439" s="23"/>
      <c r="L33439" s="23"/>
    </row>
    <row r="33440">
      <c r="B33440" s="19"/>
      <c r="E33440" s="23"/>
      <c r="L33440" s="23"/>
    </row>
    <row r="33441">
      <c r="B33441" s="19"/>
      <c r="E33441" s="23"/>
      <c r="L33441" s="23"/>
    </row>
    <row r="33442">
      <c r="B33442" s="19"/>
      <c r="E33442" s="23"/>
      <c r="L33442" s="23"/>
    </row>
    <row r="33443">
      <c r="B33443" s="19"/>
      <c r="E33443" s="23"/>
      <c r="L33443" s="23"/>
    </row>
    <row r="33444">
      <c r="B33444" s="19"/>
      <c r="E33444" s="23"/>
      <c r="L33444" s="23"/>
    </row>
    <row r="33445">
      <c r="B33445" s="19"/>
      <c r="E33445" s="23"/>
      <c r="L33445" s="23"/>
    </row>
    <row r="33446">
      <c r="B33446" s="19"/>
      <c r="E33446" s="23"/>
      <c r="L33446" s="23"/>
    </row>
    <row r="33447">
      <c r="B33447" s="19"/>
      <c r="E33447" s="23"/>
      <c r="L33447" s="23"/>
    </row>
    <row r="33448">
      <c r="B33448" s="19"/>
      <c r="E33448" s="23"/>
      <c r="L33448" s="23"/>
    </row>
    <row r="33449">
      <c r="B33449" s="19"/>
      <c r="E33449" s="23"/>
      <c r="L33449" s="23"/>
    </row>
    <row r="33450">
      <c r="B33450" s="19"/>
      <c r="E33450" s="23"/>
      <c r="L33450" s="23"/>
    </row>
    <row r="33451">
      <c r="B33451" s="19"/>
      <c r="E33451" s="23"/>
      <c r="L33451" s="23"/>
    </row>
    <row r="33452">
      <c r="B33452" s="19"/>
      <c r="E33452" s="23"/>
      <c r="L33452" s="23"/>
    </row>
    <row r="33453">
      <c r="B33453" s="19"/>
      <c r="E33453" s="23"/>
      <c r="L33453" s="23"/>
    </row>
    <row r="33454">
      <c r="B33454" s="19"/>
      <c r="E33454" s="23"/>
      <c r="L33454" s="23"/>
    </row>
    <row r="33455">
      <c r="B33455" s="19"/>
      <c r="E33455" s="23"/>
      <c r="L33455" s="23"/>
    </row>
    <row r="33456">
      <c r="B33456" s="19"/>
      <c r="E33456" s="23"/>
      <c r="L33456" s="23"/>
    </row>
    <row r="33457">
      <c r="B33457" s="19"/>
      <c r="E33457" s="23"/>
      <c r="L33457" s="23"/>
    </row>
    <row r="33458">
      <c r="B33458" s="19"/>
      <c r="E33458" s="23"/>
      <c r="L33458" s="23"/>
    </row>
    <row r="33459">
      <c r="B33459" s="19"/>
      <c r="E33459" s="23"/>
      <c r="L33459" s="23"/>
    </row>
    <row r="33460">
      <c r="B33460" s="19"/>
      <c r="E33460" s="23"/>
      <c r="L33460" s="23"/>
    </row>
    <row r="33461">
      <c r="B33461" s="19"/>
      <c r="E33461" s="23"/>
      <c r="L33461" s="23"/>
    </row>
    <row r="33462">
      <c r="B33462" s="19"/>
      <c r="E33462" s="23"/>
      <c r="L33462" s="23"/>
    </row>
    <row r="33463">
      <c r="B33463" s="19"/>
      <c r="E33463" s="23"/>
      <c r="L33463" s="23"/>
    </row>
    <row r="33464">
      <c r="B33464" s="19"/>
      <c r="E33464" s="23"/>
      <c r="L33464" s="23"/>
    </row>
    <row r="33465">
      <c r="B33465" s="19"/>
      <c r="E33465" s="23"/>
      <c r="L33465" s="23"/>
    </row>
    <row r="33466">
      <c r="B33466" s="19"/>
      <c r="E33466" s="23"/>
      <c r="L33466" s="23"/>
    </row>
    <row r="33467">
      <c r="B33467" s="19"/>
      <c r="E33467" s="23"/>
      <c r="L33467" s="23"/>
    </row>
    <row r="33468">
      <c r="B33468" s="19"/>
      <c r="E33468" s="23"/>
      <c r="L33468" s="23"/>
    </row>
    <row r="33469">
      <c r="B33469" s="19"/>
      <c r="E33469" s="23"/>
      <c r="L33469" s="23"/>
    </row>
    <row r="33470">
      <c r="B33470" s="19"/>
      <c r="E33470" s="23"/>
      <c r="L33470" s="23"/>
    </row>
    <row r="33471">
      <c r="B33471" s="19"/>
      <c r="E33471" s="23"/>
      <c r="L33471" s="23"/>
    </row>
    <row r="33472">
      <c r="B33472" s="19"/>
      <c r="E33472" s="23"/>
      <c r="L33472" s="23"/>
    </row>
    <row r="33473">
      <c r="B33473" s="19"/>
      <c r="E33473" s="23"/>
      <c r="L33473" s="23"/>
    </row>
    <row r="33474">
      <c r="B33474" s="19"/>
      <c r="E33474" s="23"/>
      <c r="L33474" s="23"/>
    </row>
    <row r="33475">
      <c r="B33475" s="19"/>
      <c r="E33475" s="23"/>
      <c r="L33475" s="23"/>
    </row>
    <row r="33476">
      <c r="B33476" s="19"/>
      <c r="E33476" s="23"/>
      <c r="L33476" s="23"/>
    </row>
    <row r="33477">
      <c r="B33477" s="19"/>
      <c r="E33477" s="23"/>
      <c r="L33477" s="23"/>
    </row>
    <row r="33478">
      <c r="B33478" s="19"/>
      <c r="E33478" s="23"/>
      <c r="L33478" s="23"/>
    </row>
    <row r="33479">
      <c r="B33479" s="19"/>
      <c r="E33479" s="23"/>
      <c r="L33479" s="23"/>
    </row>
    <row r="33480">
      <c r="B33480" s="19"/>
      <c r="E33480" s="23"/>
      <c r="L33480" s="23"/>
    </row>
    <row r="33481">
      <c r="B33481" s="19"/>
      <c r="E33481" s="23"/>
      <c r="L33481" s="23"/>
    </row>
    <row r="33482">
      <c r="B33482" s="19"/>
      <c r="E33482" s="23"/>
      <c r="L33482" s="23"/>
    </row>
    <row r="33483">
      <c r="B33483" s="19"/>
      <c r="E33483" s="23"/>
      <c r="L33483" s="23"/>
    </row>
    <row r="33484">
      <c r="B33484" s="19"/>
      <c r="E33484" s="23"/>
      <c r="L33484" s="23"/>
    </row>
    <row r="33485">
      <c r="B33485" s="19"/>
      <c r="E33485" s="23"/>
      <c r="L33485" s="23"/>
    </row>
    <row r="33486">
      <c r="B33486" s="19"/>
      <c r="E33486" s="23"/>
      <c r="L33486" s="23"/>
    </row>
    <row r="33487">
      <c r="B33487" s="19"/>
      <c r="E33487" s="23"/>
      <c r="L33487" s="23"/>
    </row>
    <row r="33488">
      <c r="B33488" s="19"/>
      <c r="E33488" s="23"/>
      <c r="L33488" s="23"/>
    </row>
    <row r="33489">
      <c r="B33489" s="19"/>
      <c r="E33489" s="23"/>
      <c r="L33489" s="23"/>
    </row>
    <row r="33490">
      <c r="B33490" s="19"/>
      <c r="E33490" s="23"/>
      <c r="L33490" s="23"/>
    </row>
    <row r="33491">
      <c r="B33491" s="19"/>
      <c r="E33491" s="23"/>
      <c r="L33491" s="23"/>
    </row>
    <row r="33492">
      <c r="B33492" s="19"/>
      <c r="E33492" s="23"/>
      <c r="L33492" s="23"/>
    </row>
    <row r="33493">
      <c r="B33493" s="19"/>
      <c r="E33493" s="23"/>
      <c r="L33493" s="23"/>
    </row>
    <row r="33494">
      <c r="B33494" s="19"/>
      <c r="E33494" s="23"/>
      <c r="L33494" s="23"/>
    </row>
    <row r="33495">
      <c r="B33495" s="19"/>
      <c r="E33495" s="23"/>
      <c r="L33495" s="23"/>
    </row>
    <row r="33496">
      <c r="B33496" s="19"/>
      <c r="E33496" s="23"/>
      <c r="L33496" s="23"/>
    </row>
    <row r="33497">
      <c r="B33497" s="19"/>
      <c r="E33497" s="23"/>
      <c r="L33497" s="23"/>
    </row>
    <row r="33498">
      <c r="B33498" s="19"/>
      <c r="E33498" s="23"/>
      <c r="L33498" s="23"/>
    </row>
    <row r="33499">
      <c r="B33499" s="19"/>
      <c r="E33499" s="23"/>
      <c r="L33499" s="23"/>
    </row>
    <row r="33500">
      <c r="B33500" s="19"/>
      <c r="E33500" s="23"/>
      <c r="L33500" s="23"/>
    </row>
    <row r="33501">
      <c r="B33501" s="19"/>
      <c r="E33501" s="23"/>
      <c r="L33501" s="23"/>
    </row>
    <row r="33502">
      <c r="B33502" s="19"/>
      <c r="E33502" s="23"/>
      <c r="L33502" s="23"/>
    </row>
    <row r="33503">
      <c r="B33503" s="19"/>
      <c r="E33503" s="23"/>
      <c r="L33503" s="23"/>
    </row>
    <row r="33504">
      <c r="B33504" s="19"/>
      <c r="E33504" s="23"/>
      <c r="L33504" s="23"/>
    </row>
    <row r="33505">
      <c r="B33505" s="19"/>
      <c r="E33505" s="23"/>
      <c r="L33505" s="23"/>
    </row>
    <row r="33506">
      <c r="B33506" s="19"/>
      <c r="E33506" s="23"/>
      <c r="L33506" s="23"/>
    </row>
    <row r="33507">
      <c r="B33507" s="19"/>
      <c r="E33507" s="23"/>
      <c r="L33507" s="23"/>
    </row>
    <row r="33508">
      <c r="B33508" s="19"/>
      <c r="E33508" s="23"/>
      <c r="L33508" s="23"/>
    </row>
    <row r="33509">
      <c r="B33509" s="19"/>
      <c r="E33509" s="23"/>
      <c r="L33509" s="23"/>
    </row>
    <row r="33510">
      <c r="B33510" s="19"/>
      <c r="E33510" s="23"/>
      <c r="L33510" s="23"/>
    </row>
    <row r="33511">
      <c r="B33511" s="19"/>
      <c r="E33511" s="23"/>
      <c r="L33511" s="23"/>
    </row>
    <row r="33512">
      <c r="B33512" s="19"/>
      <c r="E33512" s="23"/>
      <c r="L33512" s="23"/>
    </row>
    <row r="33513">
      <c r="B33513" s="19"/>
      <c r="E33513" s="23"/>
      <c r="L33513" s="23"/>
    </row>
    <row r="33514">
      <c r="B33514" s="19"/>
      <c r="E33514" s="23"/>
      <c r="L33514" s="23"/>
    </row>
    <row r="33515">
      <c r="B33515" s="19"/>
      <c r="E33515" s="23"/>
      <c r="L33515" s="23"/>
    </row>
    <row r="33516">
      <c r="B33516" s="19"/>
      <c r="E33516" s="23"/>
      <c r="L33516" s="23"/>
    </row>
    <row r="33517">
      <c r="B33517" s="19"/>
      <c r="E33517" s="23"/>
      <c r="L33517" s="23"/>
    </row>
    <row r="33518">
      <c r="B33518" s="19"/>
      <c r="E33518" s="23"/>
      <c r="L33518" s="23"/>
    </row>
    <row r="33519">
      <c r="B33519" s="19"/>
      <c r="E33519" s="23"/>
      <c r="L33519" s="23"/>
    </row>
    <row r="33520">
      <c r="B33520" s="19"/>
      <c r="E33520" s="23"/>
      <c r="L33520" s="23"/>
    </row>
    <row r="33521">
      <c r="B33521" s="19"/>
      <c r="E33521" s="23"/>
      <c r="L33521" s="23"/>
    </row>
    <row r="33522">
      <c r="B33522" s="19"/>
      <c r="E33522" s="23"/>
      <c r="L33522" s="23"/>
    </row>
    <row r="33523">
      <c r="B33523" s="19"/>
      <c r="E33523" s="23"/>
      <c r="L33523" s="23"/>
    </row>
    <row r="33524">
      <c r="B33524" s="19"/>
      <c r="E33524" s="23"/>
      <c r="L33524" s="23"/>
    </row>
    <row r="33525">
      <c r="B33525" s="19"/>
      <c r="E33525" s="23"/>
      <c r="L33525" s="23"/>
    </row>
    <row r="33526">
      <c r="B33526" s="19"/>
      <c r="E33526" s="23"/>
      <c r="L33526" s="23"/>
    </row>
    <row r="33527">
      <c r="B33527" s="19"/>
      <c r="E33527" s="23"/>
      <c r="L33527" s="23"/>
    </row>
    <row r="33528">
      <c r="B33528" s="19"/>
      <c r="E33528" s="23"/>
      <c r="L33528" s="23"/>
    </row>
    <row r="33529">
      <c r="B33529" s="19"/>
      <c r="E33529" s="23"/>
      <c r="L33529" s="23"/>
    </row>
    <row r="33530">
      <c r="B33530" s="19"/>
      <c r="E33530" s="23"/>
      <c r="L33530" s="23"/>
    </row>
    <row r="33531">
      <c r="B33531" s="19"/>
      <c r="E33531" s="23"/>
      <c r="L33531" s="23"/>
    </row>
    <row r="33532">
      <c r="B33532" s="19"/>
      <c r="E33532" s="23"/>
      <c r="L33532" s="23"/>
    </row>
    <row r="33533">
      <c r="B33533" s="19"/>
      <c r="E33533" s="23"/>
      <c r="L33533" s="23"/>
    </row>
    <row r="33534">
      <c r="B33534" s="19"/>
      <c r="E33534" s="23"/>
      <c r="L33534" s="23"/>
    </row>
    <row r="33535">
      <c r="B33535" s="19"/>
      <c r="E33535" s="23"/>
      <c r="L33535" s="23"/>
    </row>
    <row r="33536">
      <c r="B33536" s="19"/>
      <c r="E33536" s="23"/>
      <c r="L33536" s="23"/>
    </row>
    <row r="33537">
      <c r="B33537" s="19"/>
      <c r="E33537" s="23"/>
      <c r="L33537" s="23"/>
    </row>
    <row r="33538">
      <c r="B33538" s="19"/>
      <c r="E33538" s="23"/>
      <c r="L33538" s="23"/>
    </row>
    <row r="33539">
      <c r="B33539" s="19"/>
      <c r="E33539" s="23"/>
      <c r="L33539" s="23"/>
    </row>
    <row r="33540">
      <c r="B33540" s="19"/>
      <c r="E33540" s="23"/>
      <c r="L33540" s="23"/>
    </row>
    <row r="33541">
      <c r="B33541" s="19"/>
      <c r="E33541" s="23"/>
      <c r="L33541" s="23"/>
    </row>
    <row r="33542">
      <c r="B33542" s="19"/>
      <c r="E33542" s="23"/>
      <c r="L33542" s="23"/>
    </row>
    <row r="33543">
      <c r="B33543" s="19"/>
      <c r="E33543" s="23"/>
      <c r="L33543" s="23"/>
    </row>
    <row r="33544">
      <c r="B33544" s="19"/>
      <c r="E33544" s="23"/>
      <c r="L33544" s="23"/>
    </row>
    <row r="33545">
      <c r="B33545" s="19"/>
      <c r="E33545" s="23"/>
      <c r="L33545" s="23"/>
    </row>
    <row r="33546">
      <c r="B33546" s="19"/>
      <c r="E33546" s="23"/>
      <c r="L33546" s="23"/>
    </row>
    <row r="33547">
      <c r="B33547" s="19"/>
      <c r="E33547" s="23"/>
      <c r="L33547" s="23"/>
    </row>
    <row r="33548">
      <c r="B33548" s="19"/>
      <c r="E33548" s="23"/>
      <c r="L33548" s="23"/>
    </row>
    <row r="33549">
      <c r="B33549" s="19"/>
      <c r="E33549" s="23"/>
      <c r="L33549" s="23"/>
    </row>
    <row r="33550">
      <c r="B33550" s="19"/>
      <c r="E33550" s="23"/>
      <c r="L33550" s="23"/>
    </row>
    <row r="33551">
      <c r="B33551" s="19"/>
      <c r="E33551" s="23"/>
      <c r="L33551" s="23"/>
    </row>
    <row r="33552">
      <c r="B33552" s="19"/>
      <c r="E33552" s="23"/>
      <c r="L33552" s="23"/>
    </row>
    <row r="33553">
      <c r="B33553" s="19"/>
      <c r="E33553" s="23"/>
      <c r="L33553" s="23"/>
    </row>
    <row r="33554">
      <c r="B33554" s="19"/>
      <c r="E33554" s="23"/>
      <c r="L33554" s="23"/>
    </row>
    <row r="33555">
      <c r="B33555" s="19"/>
      <c r="E33555" s="23"/>
      <c r="L33555" s="23"/>
    </row>
    <row r="33556">
      <c r="B33556" s="19"/>
      <c r="E33556" s="23"/>
      <c r="L33556" s="23"/>
    </row>
    <row r="33557">
      <c r="B33557" s="19"/>
      <c r="E33557" s="23"/>
      <c r="L33557" s="23"/>
    </row>
    <row r="33558">
      <c r="B33558" s="19"/>
      <c r="E33558" s="23"/>
      <c r="L33558" s="23"/>
    </row>
    <row r="33559">
      <c r="B33559" s="19"/>
      <c r="E33559" s="23"/>
      <c r="L33559" s="23"/>
    </row>
    <row r="33560">
      <c r="B33560" s="19"/>
      <c r="E33560" s="23"/>
      <c r="L33560" s="23"/>
    </row>
    <row r="33561">
      <c r="B33561" s="19"/>
      <c r="E33561" s="23"/>
      <c r="L33561" s="23"/>
    </row>
    <row r="33562">
      <c r="B33562" s="19"/>
      <c r="E33562" s="23"/>
      <c r="L33562" s="23"/>
    </row>
    <row r="33563">
      <c r="B33563" s="19"/>
      <c r="E33563" s="23"/>
      <c r="L33563" s="23"/>
    </row>
    <row r="33564">
      <c r="B33564" s="19"/>
      <c r="E33564" s="23"/>
      <c r="L33564" s="23"/>
    </row>
    <row r="33565">
      <c r="B33565" s="19"/>
      <c r="E33565" s="23"/>
      <c r="L33565" s="23"/>
    </row>
    <row r="33566">
      <c r="B33566" s="19"/>
      <c r="E33566" s="23"/>
      <c r="L33566" s="23"/>
    </row>
    <row r="33567">
      <c r="B33567" s="19"/>
      <c r="E33567" s="23"/>
      <c r="L33567" s="23"/>
    </row>
    <row r="33568">
      <c r="B33568" s="19"/>
      <c r="E33568" s="23"/>
      <c r="L33568" s="23"/>
    </row>
    <row r="33569">
      <c r="B33569" s="19"/>
      <c r="E33569" s="23"/>
      <c r="L33569" s="23"/>
    </row>
    <row r="33570">
      <c r="B33570" s="19"/>
      <c r="E33570" s="23"/>
      <c r="L33570" s="23"/>
    </row>
    <row r="33571">
      <c r="B33571" s="19"/>
      <c r="E33571" s="23"/>
      <c r="L33571" s="23"/>
    </row>
    <row r="33572">
      <c r="B33572" s="19"/>
      <c r="E33572" s="23"/>
      <c r="L33572" s="23"/>
    </row>
    <row r="33573">
      <c r="B33573" s="19"/>
      <c r="E33573" s="23"/>
      <c r="L33573" s="23"/>
    </row>
    <row r="33574">
      <c r="B33574" s="19"/>
      <c r="E33574" s="23"/>
      <c r="L33574" s="23"/>
    </row>
    <row r="33575">
      <c r="B33575" s="19"/>
      <c r="E33575" s="23"/>
      <c r="L33575" s="23"/>
    </row>
    <row r="33576">
      <c r="B33576" s="19"/>
      <c r="E33576" s="23"/>
      <c r="L33576" s="23"/>
    </row>
    <row r="33577">
      <c r="B33577" s="19"/>
      <c r="E33577" s="23"/>
      <c r="L33577" s="23"/>
    </row>
    <row r="33578">
      <c r="B33578" s="19"/>
      <c r="E33578" s="23"/>
      <c r="L33578" s="23"/>
    </row>
    <row r="33579">
      <c r="B33579" s="19"/>
      <c r="E33579" s="23"/>
      <c r="L33579" s="23"/>
    </row>
    <row r="33580">
      <c r="B33580" s="19"/>
      <c r="E33580" s="23"/>
      <c r="L33580" s="23"/>
    </row>
    <row r="33581">
      <c r="B33581" s="19"/>
      <c r="E33581" s="23"/>
      <c r="L33581" s="23"/>
    </row>
    <row r="33582">
      <c r="B33582" s="19"/>
      <c r="E33582" s="23"/>
      <c r="L33582" s="23"/>
    </row>
    <row r="33583">
      <c r="B33583" s="19"/>
      <c r="E33583" s="23"/>
      <c r="L33583" s="23"/>
    </row>
    <row r="33584">
      <c r="B33584" s="19"/>
      <c r="E33584" s="23"/>
      <c r="L33584" s="23"/>
    </row>
    <row r="33585">
      <c r="B33585" s="19"/>
      <c r="E33585" s="23"/>
      <c r="L33585" s="23"/>
    </row>
    <row r="33586">
      <c r="B33586" s="19"/>
      <c r="E33586" s="23"/>
      <c r="L33586" s="23"/>
    </row>
    <row r="33587">
      <c r="B33587" s="19"/>
      <c r="E33587" s="23"/>
      <c r="L33587" s="23"/>
    </row>
    <row r="33588">
      <c r="B33588" s="19"/>
      <c r="E33588" s="23"/>
      <c r="L33588" s="23"/>
    </row>
    <row r="33589">
      <c r="B33589" s="19"/>
      <c r="E33589" s="23"/>
      <c r="L33589" s="23"/>
    </row>
    <row r="33590">
      <c r="B33590" s="19"/>
      <c r="E33590" s="23"/>
      <c r="L33590" s="23"/>
    </row>
    <row r="33591">
      <c r="B33591" s="19"/>
      <c r="E33591" s="23"/>
      <c r="L33591" s="23"/>
    </row>
    <row r="33592">
      <c r="B33592" s="19"/>
      <c r="E33592" s="23"/>
      <c r="L33592" s="23"/>
    </row>
    <row r="33593">
      <c r="B33593" s="19"/>
      <c r="E33593" s="23"/>
      <c r="L33593" s="23"/>
    </row>
    <row r="33594">
      <c r="B33594" s="19"/>
      <c r="E33594" s="23"/>
      <c r="L33594" s="23"/>
    </row>
    <row r="33595">
      <c r="B33595" s="19"/>
      <c r="E33595" s="23"/>
      <c r="L33595" s="23"/>
    </row>
    <row r="33596">
      <c r="B33596" s="19"/>
      <c r="E33596" s="23"/>
      <c r="L33596" s="23"/>
    </row>
    <row r="33597">
      <c r="B33597" s="19"/>
      <c r="E33597" s="23"/>
      <c r="L33597" s="23"/>
    </row>
    <row r="33598">
      <c r="B33598" s="19"/>
      <c r="E33598" s="23"/>
      <c r="L33598" s="23"/>
    </row>
    <row r="33599">
      <c r="B33599" s="19"/>
      <c r="E33599" s="23"/>
      <c r="L33599" s="23"/>
    </row>
    <row r="33600">
      <c r="B33600" s="19"/>
      <c r="E33600" s="23"/>
      <c r="L33600" s="23"/>
    </row>
    <row r="33601">
      <c r="B33601" s="19"/>
      <c r="E33601" s="23"/>
      <c r="L33601" s="23"/>
    </row>
    <row r="33602">
      <c r="B33602" s="19"/>
      <c r="E33602" s="23"/>
      <c r="L33602" s="23"/>
    </row>
    <row r="33603">
      <c r="B33603" s="19"/>
      <c r="E33603" s="23"/>
      <c r="L33603" s="23"/>
    </row>
    <row r="33604">
      <c r="B33604" s="19"/>
      <c r="E33604" s="23"/>
      <c r="L33604" s="23"/>
    </row>
    <row r="33605">
      <c r="B33605" s="19"/>
      <c r="E33605" s="23"/>
      <c r="L33605" s="23"/>
    </row>
    <row r="33606">
      <c r="B33606" s="19"/>
      <c r="E33606" s="23"/>
      <c r="L33606" s="23"/>
    </row>
    <row r="33607">
      <c r="B33607" s="19"/>
      <c r="E33607" s="23"/>
      <c r="L33607" s="23"/>
    </row>
    <row r="33608">
      <c r="B33608" s="19"/>
      <c r="E33608" s="23"/>
      <c r="L33608" s="23"/>
    </row>
    <row r="33609">
      <c r="B33609" s="19"/>
      <c r="E33609" s="23"/>
      <c r="L33609" s="23"/>
    </row>
    <row r="33610">
      <c r="B33610" s="19"/>
      <c r="E33610" s="23"/>
      <c r="L33610" s="23"/>
    </row>
    <row r="33611">
      <c r="B33611" s="19"/>
      <c r="E33611" s="23"/>
      <c r="L33611" s="23"/>
    </row>
    <row r="33612">
      <c r="B33612" s="19"/>
      <c r="E33612" s="23"/>
      <c r="L33612" s="23"/>
    </row>
    <row r="33613">
      <c r="B33613" s="19"/>
      <c r="E33613" s="23"/>
      <c r="L33613" s="23"/>
    </row>
    <row r="33614">
      <c r="B33614" s="19"/>
      <c r="E33614" s="23"/>
      <c r="L33614" s="23"/>
    </row>
    <row r="33615">
      <c r="B33615" s="19"/>
      <c r="E33615" s="23"/>
      <c r="L33615" s="23"/>
    </row>
    <row r="33616">
      <c r="B33616" s="19"/>
      <c r="E33616" s="23"/>
      <c r="L33616" s="23"/>
    </row>
    <row r="33617">
      <c r="B33617" s="19"/>
      <c r="E33617" s="23"/>
      <c r="L33617" s="23"/>
    </row>
    <row r="33618">
      <c r="B33618" s="19"/>
      <c r="E33618" s="23"/>
      <c r="L33618" s="23"/>
    </row>
    <row r="33619">
      <c r="B33619" s="19"/>
      <c r="E33619" s="23"/>
      <c r="L33619" s="23"/>
    </row>
    <row r="33620">
      <c r="B33620" s="19"/>
      <c r="E33620" s="23"/>
      <c r="L33620" s="23"/>
    </row>
    <row r="33621">
      <c r="B33621" s="19"/>
      <c r="E33621" s="23"/>
      <c r="L33621" s="23"/>
    </row>
    <row r="33622">
      <c r="B33622" s="19"/>
      <c r="E33622" s="23"/>
      <c r="L33622" s="23"/>
    </row>
    <row r="33623">
      <c r="B33623" s="19"/>
      <c r="E33623" s="23"/>
      <c r="L33623" s="23"/>
    </row>
    <row r="33624">
      <c r="B33624" s="19"/>
      <c r="E33624" s="23"/>
      <c r="L33624" s="23"/>
    </row>
    <row r="33625">
      <c r="B33625" s="19"/>
      <c r="E33625" s="23"/>
      <c r="L33625" s="23"/>
    </row>
    <row r="33626">
      <c r="B33626" s="19"/>
      <c r="E33626" s="23"/>
      <c r="L33626" s="23"/>
    </row>
    <row r="33627">
      <c r="B33627" s="19"/>
      <c r="E33627" s="23"/>
      <c r="L33627" s="23"/>
    </row>
    <row r="33628">
      <c r="B33628" s="19"/>
      <c r="E33628" s="23"/>
      <c r="L33628" s="23"/>
    </row>
    <row r="33629">
      <c r="B33629" s="19"/>
      <c r="E33629" s="23"/>
      <c r="L33629" s="23"/>
    </row>
    <row r="33630">
      <c r="B33630" s="19"/>
      <c r="E33630" s="23"/>
      <c r="L33630" s="23"/>
    </row>
    <row r="33631">
      <c r="B33631" s="19"/>
      <c r="E33631" s="23"/>
      <c r="L33631" s="23"/>
    </row>
    <row r="33632">
      <c r="B33632" s="19"/>
      <c r="E33632" s="23"/>
      <c r="L33632" s="23"/>
    </row>
    <row r="33633">
      <c r="B33633" s="19"/>
      <c r="E33633" s="23"/>
      <c r="L33633" s="23"/>
    </row>
    <row r="33634">
      <c r="B33634" s="19"/>
      <c r="E33634" s="23"/>
      <c r="L33634" s="23"/>
    </row>
    <row r="33635">
      <c r="B33635" s="19"/>
      <c r="E33635" s="23"/>
      <c r="L33635" s="23"/>
    </row>
    <row r="33636">
      <c r="B33636" s="19"/>
      <c r="E33636" s="23"/>
      <c r="L33636" s="23"/>
    </row>
    <row r="33637">
      <c r="B33637" s="19"/>
      <c r="E33637" s="23"/>
      <c r="L33637" s="23"/>
    </row>
    <row r="33638">
      <c r="B33638" s="19"/>
      <c r="E33638" s="23"/>
      <c r="L33638" s="23"/>
    </row>
    <row r="33639">
      <c r="B33639" s="19"/>
      <c r="E33639" s="23"/>
      <c r="L33639" s="23"/>
    </row>
    <row r="33640">
      <c r="B33640" s="19"/>
      <c r="E33640" s="23"/>
      <c r="L33640" s="23"/>
    </row>
    <row r="33641">
      <c r="B33641" s="19"/>
      <c r="E33641" s="23"/>
      <c r="L33641" s="23"/>
    </row>
    <row r="33642">
      <c r="B33642" s="19"/>
      <c r="E33642" s="23"/>
      <c r="L33642" s="23"/>
    </row>
    <row r="33643">
      <c r="B33643" s="19"/>
      <c r="E33643" s="23"/>
      <c r="L33643" s="23"/>
    </row>
    <row r="33644">
      <c r="B33644" s="19"/>
      <c r="E33644" s="23"/>
      <c r="L33644" s="23"/>
    </row>
    <row r="33645">
      <c r="B33645" s="19"/>
      <c r="E33645" s="23"/>
      <c r="L33645" s="23"/>
    </row>
    <row r="33646">
      <c r="B33646" s="19"/>
      <c r="E33646" s="23"/>
      <c r="L33646" s="23"/>
    </row>
    <row r="33647">
      <c r="B33647" s="19"/>
      <c r="E33647" s="23"/>
      <c r="L33647" s="23"/>
    </row>
    <row r="33648">
      <c r="B33648" s="19"/>
      <c r="E33648" s="23"/>
      <c r="L33648" s="23"/>
    </row>
    <row r="33649">
      <c r="B33649" s="19"/>
      <c r="E33649" s="23"/>
      <c r="L33649" s="23"/>
    </row>
    <row r="33650">
      <c r="B33650" s="19"/>
      <c r="E33650" s="23"/>
      <c r="L33650" s="23"/>
    </row>
    <row r="33651">
      <c r="B33651" s="19"/>
      <c r="E33651" s="23"/>
      <c r="L33651" s="23"/>
    </row>
    <row r="33652">
      <c r="B33652" s="19"/>
      <c r="E33652" s="23"/>
      <c r="L33652" s="23"/>
    </row>
    <row r="33653">
      <c r="B33653" s="19"/>
      <c r="E33653" s="23"/>
      <c r="L33653" s="23"/>
    </row>
    <row r="33654">
      <c r="B33654" s="19"/>
      <c r="E33654" s="23"/>
      <c r="L33654" s="23"/>
    </row>
    <row r="33655">
      <c r="B33655" s="19"/>
      <c r="E33655" s="23"/>
      <c r="L33655" s="23"/>
    </row>
    <row r="33656">
      <c r="B33656" s="19"/>
      <c r="E33656" s="23"/>
      <c r="L33656" s="23"/>
    </row>
    <row r="33657">
      <c r="B33657" s="19"/>
      <c r="E33657" s="23"/>
      <c r="L33657" s="23"/>
    </row>
    <row r="33658">
      <c r="B33658" s="19"/>
      <c r="E33658" s="23"/>
      <c r="L33658" s="23"/>
    </row>
    <row r="33659">
      <c r="B33659" s="19"/>
      <c r="E33659" s="23"/>
      <c r="L33659" s="23"/>
    </row>
    <row r="33660">
      <c r="B33660" s="19"/>
      <c r="E33660" s="23"/>
      <c r="L33660" s="23"/>
    </row>
    <row r="33661">
      <c r="B33661" s="19"/>
      <c r="E33661" s="23"/>
      <c r="L33661" s="23"/>
    </row>
    <row r="33662">
      <c r="B33662" s="19"/>
      <c r="E33662" s="23"/>
      <c r="L33662" s="23"/>
    </row>
    <row r="33663">
      <c r="B33663" s="19"/>
      <c r="E33663" s="23"/>
      <c r="L33663" s="23"/>
    </row>
    <row r="33664">
      <c r="B33664" s="19"/>
      <c r="E33664" s="23"/>
      <c r="L33664" s="23"/>
    </row>
    <row r="33665">
      <c r="B33665" s="19"/>
      <c r="E33665" s="23"/>
      <c r="L33665" s="23"/>
    </row>
    <row r="33666">
      <c r="B33666" s="19"/>
      <c r="E33666" s="23"/>
      <c r="L33666" s="23"/>
    </row>
    <row r="33667">
      <c r="B33667" s="19"/>
      <c r="E33667" s="23"/>
      <c r="L33667" s="23"/>
    </row>
    <row r="33668">
      <c r="B33668" s="19"/>
      <c r="E33668" s="23"/>
      <c r="L33668" s="23"/>
    </row>
    <row r="33669">
      <c r="B33669" s="19"/>
      <c r="E33669" s="23"/>
      <c r="L33669" s="23"/>
    </row>
    <row r="33670">
      <c r="B33670" s="19"/>
      <c r="E33670" s="23"/>
      <c r="L33670" s="23"/>
    </row>
    <row r="33671">
      <c r="B33671" s="19"/>
      <c r="E33671" s="23"/>
      <c r="L33671" s="23"/>
    </row>
    <row r="33672">
      <c r="B33672" s="19"/>
      <c r="E33672" s="23"/>
      <c r="L33672" s="23"/>
    </row>
    <row r="33673">
      <c r="B33673" s="19"/>
      <c r="E33673" s="23"/>
      <c r="L33673" s="23"/>
    </row>
    <row r="33674">
      <c r="B33674" s="19"/>
      <c r="E33674" s="23"/>
      <c r="L33674" s="23"/>
    </row>
    <row r="33675">
      <c r="B33675" s="19"/>
      <c r="E33675" s="23"/>
      <c r="L33675" s="23"/>
    </row>
    <row r="33676">
      <c r="B33676" s="19"/>
      <c r="E33676" s="23"/>
      <c r="L33676" s="23"/>
    </row>
    <row r="33677">
      <c r="B33677" s="19"/>
      <c r="E33677" s="23"/>
      <c r="L33677" s="23"/>
    </row>
    <row r="33678">
      <c r="B33678" s="19"/>
      <c r="E33678" s="23"/>
      <c r="L33678" s="23"/>
    </row>
    <row r="33679">
      <c r="B33679" s="19"/>
      <c r="E33679" s="23"/>
      <c r="L33679" s="23"/>
    </row>
    <row r="33680">
      <c r="B33680" s="19"/>
      <c r="E33680" s="23"/>
      <c r="L33680" s="23"/>
    </row>
    <row r="33681">
      <c r="B33681" s="19"/>
      <c r="E33681" s="23"/>
      <c r="L33681" s="23"/>
    </row>
    <row r="33682">
      <c r="B33682" s="19"/>
      <c r="E33682" s="23"/>
      <c r="L33682" s="23"/>
    </row>
    <row r="33683">
      <c r="B33683" s="19"/>
      <c r="E33683" s="23"/>
      <c r="L33683" s="23"/>
    </row>
    <row r="33684">
      <c r="B33684" s="19"/>
      <c r="E33684" s="23"/>
      <c r="L33684" s="23"/>
    </row>
    <row r="33685">
      <c r="B33685" s="19"/>
      <c r="E33685" s="23"/>
      <c r="L33685" s="23"/>
    </row>
    <row r="33686">
      <c r="B33686" s="19"/>
      <c r="E33686" s="23"/>
      <c r="L33686" s="23"/>
    </row>
    <row r="33687">
      <c r="B33687" s="19"/>
      <c r="E33687" s="23"/>
      <c r="L33687" s="23"/>
    </row>
    <row r="33688">
      <c r="B33688" s="19"/>
      <c r="E33688" s="23"/>
      <c r="L33688" s="23"/>
    </row>
    <row r="33689">
      <c r="B33689" s="19"/>
      <c r="E33689" s="23"/>
      <c r="L33689" s="23"/>
    </row>
    <row r="33690">
      <c r="B33690" s="19"/>
      <c r="E33690" s="23"/>
      <c r="L33690" s="23"/>
    </row>
    <row r="33691">
      <c r="B33691" s="19"/>
      <c r="E33691" s="23"/>
      <c r="L33691" s="23"/>
    </row>
    <row r="33692">
      <c r="B33692" s="19"/>
      <c r="E33692" s="23"/>
      <c r="L33692" s="23"/>
    </row>
    <row r="33693">
      <c r="B33693" s="19"/>
      <c r="E33693" s="23"/>
      <c r="L33693" s="23"/>
    </row>
    <row r="33694">
      <c r="B33694" s="19"/>
      <c r="E33694" s="23"/>
      <c r="L33694" s="23"/>
    </row>
    <row r="33695">
      <c r="B33695" s="19"/>
      <c r="E33695" s="23"/>
      <c r="L33695" s="23"/>
    </row>
    <row r="33696">
      <c r="B33696" s="19"/>
      <c r="E33696" s="23"/>
      <c r="L33696" s="23"/>
    </row>
    <row r="33697">
      <c r="B33697" s="19"/>
      <c r="E33697" s="23"/>
      <c r="L33697" s="23"/>
    </row>
    <row r="33698">
      <c r="B33698" s="19"/>
      <c r="E33698" s="23"/>
      <c r="L33698" s="23"/>
    </row>
    <row r="33699">
      <c r="B33699" s="19"/>
      <c r="E33699" s="23"/>
      <c r="L33699" s="23"/>
    </row>
    <row r="33700">
      <c r="B33700" s="19"/>
      <c r="E33700" s="23"/>
      <c r="L33700" s="23"/>
    </row>
    <row r="33701">
      <c r="B33701" s="19"/>
      <c r="E33701" s="23"/>
      <c r="L33701" s="23"/>
    </row>
    <row r="33702">
      <c r="B33702" s="19"/>
      <c r="E33702" s="23"/>
      <c r="L33702" s="23"/>
    </row>
    <row r="33703">
      <c r="B33703" s="19"/>
      <c r="E33703" s="23"/>
      <c r="L33703" s="23"/>
    </row>
    <row r="33704">
      <c r="B33704" s="19"/>
      <c r="E33704" s="23"/>
      <c r="L33704" s="23"/>
    </row>
    <row r="33705">
      <c r="B33705" s="19"/>
      <c r="E33705" s="23"/>
      <c r="L33705" s="23"/>
    </row>
    <row r="33706">
      <c r="B33706" s="19"/>
      <c r="E33706" s="23"/>
      <c r="L33706" s="23"/>
    </row>
    <row r="33707">
      <c r="B33707" s="19"/>
      <c r="E33707" s="23"/>
      <c r="L33707" s="23"/>
    </row>
    <row r="33708">
      <c r="B33708" s="19"/>
      <c r="E33708" s="23"/>
      <c r="L33708" s="23"/>
    </row>
    <row r="33709">
      <c r="B33709" s="19"/>
      <c r="E33709" s="23"/>
      <c r="L33709" s="23"/>
    </row>
    <row r="33710">
      <c r="B33710" s="19"/>
      <c r="E33710" s="23"/>
      <c r="L33710" s="23"/>
    </row>
    <row r="33711">
      <c r="B33711" s="19"/>
      <c r="E33711" s="23"/>
      <c r="L33711" s="23"/>
    </row>
    <row r="33712">
      <c r="B33712" s="19"/>
      <c r="E33712" s="23"/>
      <c r="L33712" s="23"/>
    </row>
    <row r="33713">
      <c r="B33713" s="19"/>
      <c r="E33713" s="23"/>
      <c r="L33713" s="23"/>
    </row>
    <row r="33714">
      <c r="B33714" s="19"/>
      <c r="E33714" s="23"/>
      <c r="L33714" s="23"/>
    </row>
    <row r="33715">
      <c r="B33715" s="19"/>
      <c r="E33715" s="23"/>
      <c r="L33715" s="23"/>
    </row>
    <row r="33716">
      <c r="B33716" s="19"/>
      <c r="E33716" s="23"/>
      <c r="L33716" s="23"/>
    </row>
    <row r="33717">
      <c r="B33717" s="19"/>
      <c r="E33717" s="23"/>
      <c r="L33717" s="23"/>
    </row>
    <row r="33718">
      <c r="B33718" s="19"/>
      <c r="E33718" s="23"/>
      <c r="L33718" s="23"/>
    </row>
    <row r="33719">
      <c r="B33719" s="19"/>
      <c r="E33719" s="23"/>
      <c r="L33719" s="23"/>
    </row>
    <row r="33720">
      <c r="B33720" s="19"/>
      <c r="E33720" s="23"/>
      <c r="L33720" s="23"/>
    </row>
    <row r="33721">
      <c r="B33721" s="19"/>
      <c r="E33721" s="23"/>
      <c r="L33721" s="23"/>
    </row>
    <row r="33722">
      <c r="B33722" s="19"/>
      <c r="E33722" s="23"/>
      <c r="L33722" s="23"/>
    </row>
    <row r="33723">
      <c r="B33723" s="19"/>
      <c r="E33723" s="23"/>
      <c r="L33723" s="23"/>
    </row>
    <row r="33724">
      <c r="B33724" s="19"/>
      <c r="E33724" s="23"/>
      <c r="L33724" s="23"/>
    </row>
    <row r="33725">
      <c r="B33725" s="19"/>
      <c r="E33725" s="23"/>
      <c r="L33725" s="23"/>
    </row>
    <row r="33726">
      <c r="B33726" s="19"/>
      <c r="E33726" s="23"/>
      <c r="L33726" s="23"/>
    </row>
    <row r="33727">
      <c r="B33727" s="19"/>
      <c r="E33727" s="23"/>
      <c r="L33727" s="23"/>
    </row>
    <row r="33728">
      <c r="B33728" s="19"/>
      <c r="E33728" s="23"/>
      <c r="L33728" s="23"/>
    </row>
    <row r="33729">
      <c r="B33729" s="19"/>
      <c r="E33729" s="23"/>
      <c r="L33729" s="23"/>
    </row>
    <row r="33730">
      <c r="B33730" s="19"/>
      <c r="E33730" s="23"/>
      <c r="L33730" s="23"/>
    </row>
    <row r="33731">
      <c r="B33731" s="19"/>
      <c r="E33731" s="23"/>
      <c r="L33731" s="23"/>
    </row>
    <row r="33732">
      <c r="B33732" s="19"/>
      <c r="E33732" s="23"/>
      <c r="L33732" s="23"/>
    </row>
    <row r="33733">
      <c r="B33733" s="19"/>
      <c r="E33733" s="23"/>
      <c r="L33733" s="23"/>
    </row>
    <row r="33734">
      <c r="B33734" s="19"/>
      <c r="E33734" s="23"/>
      <c r="L33734" s="23"/>
    </row>
    <row r="33735">
      <c r="B33735" s="19"/>
      <c r="E33735" s="23"/>
      <c r="L33735" s="23"/>
    </row>
    <row r="33736">
      <c r="B33736" s="19"/>
      <c r="E33736" s="23"/>
      <c r="L33736" s="23"/>
    </row>
    <row r="33737">
      <c r="B33737" s="19"/>
      <c r="E33737" s="23"/>
      <c r="L33737" s="23"/>
    </row>
    <row r="33738">
      <c r="B33738" s="19"/>
      <c r="E33738" s="23"/>
      <c r="L33738" s="23"/>
    </row>
    <row r="33739">
      <c r="B33739" s="19"/>
      <c r="E33739" s="23"/>
      <c r="L33739" s="23"/>
    </row>
    <row r="33740">
      <c r="B33740" s="19"/>
      <c r="E33740" s="23"/>
      <c r="L33740" s="23"/>
    </row>
    <row r="33741">
      <c r="B33741" s="19"/>
      <c r="E33741" s="23"/>
      <c r="L33741" s="23"/>
    </row>
    <row r="33742">
      <c r="B33742" s="19"/>
      <c r="E33742" s="23"/>
      <c r="L33742" s="23"/>
    </row>
    <row r="33743">
      <c r="B33743" s="19"/>
      <c r="E33743" s="23"/>
      <c r="L33743" s="23"/>
    </row>
    <row r="33744">
      <c r="B33744" s="19"/>
      <c r="E33744" s="23"/>
      <c r="L33744" s="23"/>
    </row>
    <row r="33745">
      <c r="B33745" s="19"/>
      <c r="E33745" s="23"/>
      <c r="L33745" s="23"/>
    </row>
    <row r="33746">
      <c r="B33746" s="19"/>
      <c r="E33746" s="23"/>
      <c r="L33746" s="23"/>
    </row>
    <row r="33747">
      <c r="B33747" s="19"/>
      <c r="E33747" s="23"/>
      <c r="L33747" s="23"/>
    </row>
    <row r="33748">
      <c r="B33748" s="19"/>
      <c r="E33748" s="23"/>
      <c r="L33748" s="23"/>
    </row>
    <row r="33749">
      <c r="B33749" s="19"/>
      <c r="E33749" s="23"/>
      <c r="L33749" s="23"/>
    </row>
    <row r="33750">
      <c r="B33750" s="19"/>
      <c r="E33750" s="23"/>
      <c r="L33750" s="23"/>
    </row>
    <row r="33751">
      <c r="B33751" s="19"/>
      <c r="E33751" s="23"/>
      <c r="L33751" s="23"/>
    </row>
    <row r="33752">
      <c r="B33752" s="19"/>
      <c r="E33752" s="23"/>
      <c r="L33752" s="23"/>
    </row>
    <row r="33753">
      <c r="B33753" s="19"/>
      <c r="E33753" s="23"/>
      <c r="L33753" s="23"/>
    </row>
    <row r="33754">
      <c r="B33754" s="19"/>
      <c r="E33754" s="23"/>
      <c r="L33754" s="23"/>
    </row>
    <row r="33755">
      <c r="B33755" s="19"/>
      <c r="E33755" s="23"/>
      <c r="L33755" s="23"/>
    </row>
    <row r="33756">
      <c r="B33756" s="19"/>
      <c r="E33756" s="23"/>
      <c r="L33756" s="23"/>
    </row>
    <row r="33757">
      <c r="B33757" s="19"/>
      <c r="E33757" s="23"/>
      <c r="L33757" s="23"/>
    </row>
    <row r="33758">
      <c r="B33758" s="19"/>
      <c r="E33758" s="23"/>
      <c r="L33758" s="23"/>
    </row>
    <row r="33759">
      <c r="B33759" s="19"/>
      <c r="E33759" s="23"/>
      <c r="L33759" s="23"/>
    </row>
    <row r="33760">
      <c r="B33760" s="19"/>
      <c r="E33760" s="23"/>
      <c r="L33760" s="23"/>
    </row>
    <row r="33761">
      <c r="B33761" s="19"/>
      <c r="E33761" s="23"/>
      <c r="L33761" s="23"/>
    </row>
    <row r="33762">
      <c r="B33762" s="19"/>
      <c r="E33762" s="23"/>
      <c r="L33762" s="23"/>
    </row>
    <row r="33763">
      <c r="B33763" s="19"/>
      <c r="E33763" s="23"/>
      <c r="L33763" s="23"/>
    </row>
    <row r="33764">
      <c r="B33764" s="19"/>
      <c r="E33764" s="23"/>
      <c r="L33764" s="23"/>
    </row>
    <row r="33765">
      <c r="B33765" s="19"/>
      <c r="E33765" s="23"/>
      <c r="L33765" s="23"/>
    </row>
    <row r="33766">
      <c r="B33766" s="19"/>
      <c r="E33766" s="23"/>
      <c r="L33766" s="23"/>
    </row>
    <row r="33767">
      <c r="B33767" s="19"/>
      <c r="E33767" s="23"/>
      <c r="L33767" s="23"/>
    </row>
    <row r="33768">
      <c r="B33768" s="19"/>
      <c r="E33768" s="23"/>
      <c r="L33768" s="23"/>
    </row>
    <row r="33769">
      <c r="B33769" s="19"/>
      <c r="E33769" s="23"/>
      <c r="L33769" s="23"/>
    </row>
    <row r="33770">
      <c r="B33770" s="19"/>
      <c r="E33770" s="23"/>
      <c r="L33770" s="23"/>
    </row>
    <row r="33771">
      <c r="B33771" s="19"/>
      <c r="E33771" s="23"/>
      <c r="L33771" s="23"/>
    </row>
    <row r="33772">
      <c r="B33772" s="19"/>
      <c r="E33772" s="23"/>
      <c r="L33772" s="23"/>
    </row>
    <row r="33773">
      <c r="B33773" s="19"/>
      <c r="E33773" s="23"/>
      <c r="L33773" s="23"/>
    </row>
    <row r="33774">
      <c r="B33774" s="19"/>
      <c r="E33774" s="23"/>
      <c r="L33774" s="23"/>
    </row>
    <row r="33775">
      <c r="B33775" s="19"/>
      <c r="E33775" s="23"/>
      <c r="L33775" s="23"/>
    </row>
    <row r="33776">
      <c r="B33776" s="19"/>
      <c r="E33776" s="23"/>
      <c r="L33776" s="23"/>
    </row>
    <row r="33777">
      <c r="B33777" s="19"/>
      <c r="E33777" s="23"/>
      <c r="L33777" s="23"/>
    </row>
    <row r="33778">
      <c r="B33778" s="19"/>
      <c r="E33778" s="23"/>
      <c r="L33778" s="23"/>
    </row>
    <row r="33779">
      <c r="B33779" s="19"/>
      <c r="E33779" s="23"/>
      <c r="L33779" s="23"/>
    </row>
    <row r="33780">
      <c r="B33780" s="19"/>
      <c r="E33780" s="23"/>
      <c r="L33780" s="23"/>
    </row>
    <row r="33781">
      <c r="B33781" s="19"/>
      <c r="E33781" s="23"/>
      <c r="L33781" s="23"/>
    </row>
    <row r="33782">
      <c r="B33782" s="19"/>
      <c r="E33782" s="23"/>
      <c r="L33782" s="23"/>
    </row>
    <row r="33783">
      <c r="B33783" s="19"/>
      <c r="E33783" s="23"/>
      <c r="L33783" s="23"/>
    </row>
    <row r="33784">
      <c r="B33784" s="19"/>
      <c r="E33784" s="23"/>
      <c r="L33784" s="23"/>
    </row>
    <row r="33785">
      <c r="B33785" s="19"/>
      <c r="E33785" s="23"/>
      <c r="L33785" s="23"/>
    </row>
    <row r="33786">
      <c r="B33786" s="19"/>
      <c r="E33786" s="23"/>
      <c r="L33786" s="23"/>
    </row>
    <row r="33787">
      <c r="B33787" s="19"/>
      <c r="E33787" s="23"/>
      <c r="L33787" s="23"/>
    </row>
    <row r="33788">
      <c r="B33788" s="19"/>
      <c r="E33788" s="23"/>
      <c r="L33788" s="23"/>
    </row>
    <row r="33789">
      <c r="B33789" s="19"/>
      <c r="E33789" s="23"/>
      <c r="L33789" s="23"/>
    </row>
    <row r="33790">
      <c r="B33790" s="19"/>
      <c r="E33790" s="23"/>
      <c r="L33790" s="23"/>
    </row>
    <row r="33791">
      <c r="B33791" s="19"/>
      <c r="E33791" s="23"/>
      <c r="L33791" s="23"/>
    </row>
    <row r="33792">
      <c r="B33792" s="19"/>
      <c r="E33792" s="23"/>
      <c r="L33792" s="23"/>
    </row>
    <row r="33793">
      <c r="B33793" s="19"/>
      <c r="E33793" s="23"/>
      <c r="L33793" s="23"/>
    </row>
    <row r="33794">
      <c r="B33794" s="19"/>
      <c r="E33794" s="23"/>
      <c r="L33794" s="23"/>
    </row>
    <row r="33795">
      <c r="B33795" s="19"/>
      <c r="E33795" s="23"/>
      <c r="L33795" s="23"/>
    </row>
    <row r="33796">
      <c r="B33796" s="19"/>
      <c r="E33796" s="23"/>
      <c r="L33796" s="23"/>
    </row>
    <row r="33797">
      <c r="B33797" s="19"/>
      <c r="E33797" s="23"/>
      <c r="L33797" s="23"/>
    </row>
    <row r="33798">
      <c r="B33798" s="19"/>
      <c r="E33798" s="23"/>
      <c r="L33798" s="23"/>
    </row>
    <row r="33799">
      <c r="B33799" s="19"/>
      <c r="E33799" s="23"/>
      <c r="L33799" s="23"/>
    </row>
    <row r="33800">
      <c r="B33800" s="19"/>
      <c r="E33800" s="23"/>
      <c r="L33800" s="23"/>
    </row>
    <row r="33801">
      <c r="B33801" s="19"/>
      <c r="E33801" s="23"/>
      <c r="L33801" s="23"/>
    </row>
    <row r="33802">
      <c r="B33802" s="19"/>
      <c r="E33802" s="23"/>
      <c r="L33802" s="23"/>
    </row>
    <row r="33803">
      <c r="B33803" s="19"/>
      <c r="E33803" s="23"/>
      <c r="L33803" s="23"/>
    </row>
    <row r="33804">
      <c r="B33804" s="19"/>
      <c r="E33804" s="23"/>
      <c r="L33804" s="23"/>
    </row>
    <row r="33805">
      <c r="B33805" s="19"/>
      <c r="E33805" s="23"/>
      <c r="L33805" s="23"/>
    </row>
    <row r="33806">
      <c r="B33806" s="19"/>
      <c r="E33806" s="23"/>
      <c r="L33806" s="23"/>
    </row>
    <row r="33807">
      <c r="B33807" s="19"/>
      <c r="E33807" s="23"/>
      <c r="L33807" s="23"/>
    </row>
    <row r="33808">
      <c r="B33808" s="19"/>
      <c r="E33808" s="23"/>
      <c r="L33808" s="23"/>
    </row>
    <row r="33809">
      <c r="B33809" s="19"/>
      <c r="E33809" s="23"/>
      <c r="L33809" s="23"/>
    </row>
    <row r="33810">
      <c r="B33810" s="19"/>
      <c r="E33810" s="23"/>
      <c r="L33810" s="23"/>
    </row>
    <row r="33811">
      <c r="B33811" s="19"/>
      <c r="E33811" s="23"/>
      <c r="L33811" s="23"/>
    </row>
    <row r="33812">
      <c r="B33812" s="19"/>
      <c r="E33812" s="23"/>
      <c r="L33812" s="23"/>
    </row>
    <row r="33813">
      <c r="B33813" s="19"/>
      <c r="E33813" s="23"/>
      <c r="L33813" s="23"/>
    </row>
    <row r="33814">
      <c r="B33814" s="19"/>
      <c r="E33814" s="23"/>
      <c r="L33814" s="23"/>
    </row>
    <row r="33815">
      <c r="B33815" s="19"/>
      <c r="E33815" s="23"/>
      <c r="L33815" s="23"/>
    </row>
    <row r="33816">
      <c r="B33816" s="19"/>
      <c r="E33816" s="23"/>
      <c r="L33816" s="23"/>
    </row>
    <row r="33817">
      <c r="B33817" s="19"/>
      <c r="E33817" s="23"/>
      <c r="L33817" s="23"/>
    </row>
    <row r="33818">
      <c r="B33818" s="19"/>
      <c r="E33818" s="23"/>
      <c r="L33818" s="23"/>
    </row>
    <row r="33819">
      <c r="B33819" s="19"/>
      <c r="E33819" s="23"/>
      <c r="L33819" s="23"/>
    </row>
    <row r="33820">
      <c r="B33820" s="19"/>
      <c r="E33820" s="23"/>
      <c r="L33820" s="23"/>
    </row>
    <row r="33821">
      <c r="B33821" s="19"/>
      <c r="E33821" s="23"/>
      <c r="L33821" s="23"/>
    </row>
    <row r="33822">
      <c r="B33822" s="19"/>
      <c r="E33822" s="23"/>
      <c r="L33822" s="23"/>
    </row>
    <row r="33823">
      <c r="B33823" s="19"/>
      <c r="E33823" s="23"/>
      <c r="L33823" s="23"/>
    </row>
    <row r="33824">
      <c r="B33824" s="19"/>
      <c r="E33824" s="23"/>
      <c r="L33824" s="23"/>
    </row>
    <row r="33825">
      <c r="B33825" s="19"/>
      <c r="E33825" s="23"/>
      <c r="L33825" s="23"/>
    </row>
    <row r="33826">
      <c r="B33826" s="19"/>
      <c r="E33826" s="23"/>
      <c r="L33826" s="23"/>
    </row>
    <row r="33827">
      <c r="B33827" s="19"/>
      <c r="E33827" s="23"/>
      <c r="L33827" s="23"/>
    </row>
    <row r="33828">
      <c r="B33828" s="19"/>
      <c r="E33828" s="23"/>
      <c r="L33828" s="23"/>
    </row>
    <row r="33829">
      <c r="B33829" s="19"/>
      <c r="E33829" s="23"/>
      <c r="L33829" s="23"/>
    </row>
    <row r="33830">
      <c r="B33830" s="19"/>
      <c r="E33830" s="23"/>
      <c r="L33830" s="23"/>
    </row>
    <row r="33831">
      <c r="B33831" s="19"/>
      <c r="E33831" s="23"/>
      <c r="L33831" s="23"/>
    </row>
    <row r="33832">
      <c r="B33832" s="19"/>
      <c r="E33832" s="23"/>
      <c r="L33832" s="23"/>
    </row>
    <row r="33833">
      <c r="B33833" s="19"/>
      <c r="E33833" s="23"/>
      <c r="L33833" s="23"/>
    </row>
    <row r="33834">
      <c r="B33834" s="19"/>
      <c r="E33834" s="23"/>
      <c r="L33834" s="23"/>
    </row>
    <row r="33835">
      <c r="B33835" s="19"/>
      <c r="E33835" s="23"/>
      <c r="L33835" s="23"/>
    </row>
    <row r="33836">
      <c r="B33836" s="19"/>
      <c r="E33836" s="23"/>
      <c r="L33836" s="23"/>
    </row>
    <row r="33837">
      <c r="B33837" s="19"/>
      <c r="E33837" s="23"/>
      <c r="L33837" s="23"/>
    </row>
    <row r="33838">
      <c r="B33838" s="19"/>
      <c r="E33838" s="23"/>
      <c r="L33838" s="23"/>
    </row>
    <row r="33839">
      <c r="B33839" s="19"/>
      <c r="E33839" s="23"/>
      <c r="L33839" s="23"/>
    </row>
    <row r="33840">
      <c r="B33840" s="19"/>
      <c r="E33840" s="23"/>
      <c r="L33840" s="23"/>
    </row>
    <row r="33841">
      <c r="B33841" s="19"/>
      <c r="E33841" s="23"/>
      <c r="L33841" s="23"/>
    </row>
    <row r="33842">
      <c r="B33842" s="19"/>
      <c r="E33842" s="23"/>
      <c r="L33842" s="23"/>
    </row>
    <row r="33843">
      <c r="B33843" s="19"/>
      <c r="E33843" s="23"/>
      <c r="L33843" s="23"/>
    </row>
    <row r="33844">
      <c r="B33844" s="19"/>
      <c r="E33844" s="23"/>
      <c r="L33844" s="23"/>
    </row>
    <row r="33845">
      <c r="B33845" s="19"/>
      <c r="E33845" s="23"/>
      <c r="L33845" s="23"/>
    </row>
    <row r="33846">
      <c r="B33846" s="19"/>
      <c r="E33846" s="23"/>
      <c r="L33846" s="23"/>
    </row>
    <row r="33847">
      <c r="B33847" s="19"/>
      <c r="E33847" s="23"/>
      <c r="L33847" s="23"/>
    </row>
    <row r="33848">
      <c r="B33848" s="19"/>
      <c r="E33848" s="23"/>
      <c r="L33848" s="23"/>
    </row>
    <row r="33849">
      <c r="B33849" s="19"/>
      <c r="E33849" s="23"/>
      <c r="L33849" s="23"/>
    </row>
    <row r="33850">
      <c r="B33850" s="19"/>
      <c r="E33850" s="23"/>
      <c r="L33850" s="23"/>
    </row>
    <row r="33851">
      <c r="B33851" s="19"/>
      <c r="E33851" s="23"/>
      <c r="L33851" s="23"/>
    </row>
    <row r="33852">
      <c r="B33852" s="19"/>
      <c r="E33852" s="23"/>
      <c r="L33852" s="23"/>
    </row>
    <row r="33853">
      <c r="B33853" s="19"/>
      <c r="E33853" s="23"/>
      <c r="L33853" s="23"/>
    </row>
    <row r="33854">
      <c r="B33854" s="19"/>
      <c r="E33854" s="23"/>
      <c r="L33854" s="23"/>
    </row>
    <row r="33855">
      <c r="B33855" s="19"/>
      <c r="E33855" s="23"/>
      <c r="L33855" s="23"/>
    </row>
    <row r="33856">
      <c r="B33856" s="19"/>
      <c r="E33856" s="23"/>
      <c r="L33856" s="23"/>
    </row>
    <row r="33857">
      <c r="B33857" s="19"/>
      <c r="E33857" s="23"/>
      <c r="L33857" s="23"/>
    </row>
    <row r="33858">
      <c r="B33858" s="19"/>
      <c r="E33858" s="23"/>
      <c r="L33858" s="23"/>
    </row>
    <row r="33859">
      <c r="B33859" s="19"/>
      <c r="E33859" s="23"/>
      <c r="L33859" s="23"/>
    </row>
    <row r="33860">
      <c r="B33860" s="19"/>
      <c r="E33860" s="23"/>
      <c r="L33860" s="23"/>
    </row>
    <row r="33861">
      <c r="B33861" s="19"/>
      <c r="E33861" s="23"/>
      <c r="L33861" s="23"/>
    </row>
    <row r="33862">
      <c r="B33862" s="19"/>
      <c r="E33862" s="23"/>
      <c r="L33862" s="23"/>
    </row>
    <row r="33863">
      <c r="B33863" s="19"/>
      <c r="E33863" s="23"/>
      <c r="L33863" s="23"/>
    </row>
    <row r="33864">
      <c r="B33864" s="19"/>
      <c r="E33864" s="23"/>
      <c r="L33864" s="23"/>
    </row>
    <row r="33865">
      <c r="B33865" s="19"/>
      <c r="E33865" s="23"/>
      <c r="L33865" s="23"/>
    </row>
    <row r="33866">
      <c r="B33866" s="19"/>
      <c r="E33866" s="23"/>
      <c r="L33866" s="23"/>
    </row>
    <row r="33867">
      <c r="B33867" s="19"/>
      <c r="E33867" s="23"/>
      <c r="L33867" s="23"/>
    </row>
    <row r="33868">
      <c r="B33868" s="19"/>
      <c r="E33868" s="23"/>
      <c r="L33868" s="23"/>
    </row>
    <row r="33869">
      <c r="B33869" s="19"/>
      <c r="E33869" s="23"/>
      <c r="L33869" s="23"/>
    </row>
    <row r="33870">
      <c r="B33870" s="19"/>
      <c r="E33870" s="23"/>
      <c r="L33870" s="23"/>
    </row>
    <row r="33871">
      <c r="B33871" s="19"/>
      <c r="E33871" s="23"/>
      <c r="L33871" s="23"/>
    </row>
    <row r="33872">
      <c r="B33872" s="19"/>
      <c r="E33872" s="23"/>
      <c r="L33872" s="23"/>
    </row>
    <row r="33873">
      <c r="B33873" s="19"/>
      <c r="E33873" s="23"/>
      <c r="L33873" s="23"/>
    </row>
    <row r="33874">
      <c r="B33874" s="19"/>
      <c r="E33874" s="23"/>
      <c r="L33874" s="23"/>
    </row>
    <row r="33875">
      <c r="B33875" s="19"/>
      <c r="E33875" s="23"/>
      <c r="L33875" s="23"/>
    </row>
    <row r="33876">
      <c r="B33876" s="19"/>
      <c r="E33876" s="23"/>
      <c r="L33876" s="23"/>
    </row>
    <row r="33877">
      <c r="B33877" s="19"/>
      <c r="E33877" s="23"/>
      <c r="L33877" s="23"/>
    </row>
    <row r="33878">
      <c r="B33878" s="19"/>
      <c r="E33878" s="23"/>
      <c r="L33878" s="23"/>
    </row>
    <row r="33879">
      <c r="B33879" s="19"/>
      <c r="E33879" s="23"/>
      <c r="L33879" s="23"/>
    </row>
    <row r="33880">
      <c r="B33880" s="19"/>
      <c r="E33880" s="23"/>
      <c r="L33880" s="23"/>
    </row>
    <row r="33881">
      <c r="B33881" s="19"/>
      <c r="E33881" s="23"/>
      <c r="L33881" s="23"/>
    </row>
    <row r="33882">
      <c r="B33882" s="19"/>
      <c r="E33882" s="23"/>
      <c r="L33882" s="23"/>
    </row>
    <row r="33883">
      <c r="B33883" s="19"/>
      <c r="E33883" s="23"/>
      <c r="L33883" s="23"/>
    </row>
    <row r="33884">
      <c r="B33884" s="19"/>
      <c r="E33884" s="23"/>
      <c r="L33884" s="23"/>
    </row>
    <row r="33885">
      <c r="B33885" s="19"/>
      <c r="E33885" s="23"/>
      <c r="L33885" s="23"/>
    </row>
    <row r="33886">
      <c r="B33886" s="19"/>
      <c r="E33886" s="23"/>
      <c r="L33886" s="23"/>
    </row>
    <row r="33887">
      <c r="B33887" s="19"/>
      <c r="E33887" s="23"/>
      <c r="L33887" s="23"/>
    </row>
    <row r="33888">
      <c r="B33888" s="19"/>
      <c r="E33888" s="23"/>
      <c r="L33888" s="23"/>
    </row>
    <row r="33889">
      <c r="B33889" s="19"/>
      <c r="E33889" s="23"/>
      <c r="L33889" s="23"/>
    </row>
    <row r="33890">
      <c r="B33890" s="19"/>
      <c r="E33890" s="23"/>
      <c r="L33890" s="23"/>
    </row>
    <row r="33891">
      <c r="B33891" s="19"/>
      <c r="E33891" s="23"/>
      <c r="L33891" s="23"/>
    </row>
    <row r="33892">
      <c r="B33892" s="19"/>
      <c r="E33892" s="23"/>
      <c r="L33892" s="23"/>
    </row>
    <row r="33893">
      <c r="B33893" s="19"/>
      <c r="E33893" s="23"/>
      <c r="L33893" s="23"/>
    </row>
    <row r="33894">
      <c r="B33894" s="19"/>
      <c r="E33894" s="23"/>
      <c r="L33894" s="23"/>
    </row>
    <row r="33895">
      <c r="B33895" s="19"/>
      <c r="E33895" s="23"/>
      <c r="L33895" s="23"/>
    </row>
    <row r="33896">
      <c r="B33896" s="19"/>
      <c r="E33896" s="23"/>
      <c r="L33896" s="23"/>
    </row>
    <row r="33897">
      <c r="B33897" s="19"/>
      <c r="E33897" s="23"/>
      <c r="L33897" s="23"/>
    </row>
    <row r="33898">
      <c r="B33898" s="19"/>
      <c r="E33898" s="23"/>
      <c r="L33898" s="23"/>
    </row>
    <row r="33899">
      <c r="B33899" s="19"/>
      <c r="E33899" s="23"/>
      <c r="L33899" s="23"/>
    </row>
    <row r="33900">
      <c r="B33900" s="19"/>
      <c r="E33900" s="23"/>
      <c r="L33900" s="23"/>
    </row>
    <row r="33901">
      <c r="B33901" s="19"/>
      <c r="E33901" s="23"/>
      <c r="L33901" s="23"/>
    </row>
    <row r="33902">
      <c r="B33902" s="19"/>
      <c r="E33902" s="23"/>
      <c r="L33902" s="23"/>
    </row>
    <row r="33903">
      <c r="B33903" s="19"/>
      <c r="E33903" s="23"/>
      <c r="L33903" s="23"/>
    </row>
    <row r="33904">
      <c r="B33904" s="19"/>
      <c r="E33904" s="23"/>
      <c r="L33904" s="23"/>
    </row>
    <row r="33905">
      <c r="B33905" s="19"/>
      <c r="E33905" s="23"/>
      <c r="L33905" s="23"/>
    </row>
    <row r="33906">
      <c r="B33906" s="19"/>
      <c r="E33906" s="23"/>
      <c r="L33906" s="23"/>
    </row>
    <row r="33907">
      <c r="B33907" s="19"/>
      <c r="E33907" s="23"/>
      <c r="L33907" s="23"/>
    </row>
    <row r="33908">
      <c r="B33908" s="19"/>
      <c r="E33908" s="23"/>
      <c r="L33908" s="23"/>
    </row>
    <row r="33909">
      <c r="B33909" s="19"/>
      <c r="E33909" s="23"/>
      <c r="L33909" s="23"/>
    </row>
    <row r="33910">
      <c r="B33910" s="19"/>
      <c r="E33910" s="23"/>
      <c r="L33910" s="23"/>
    </row>
    <row r="33911">
      <c r="B33911" s="19"/>
      <c r="E33911" s="23"/>
      <c r="L33911" s="23"/>
    </row>
    <row r="33912">
      <c r="B33912" s="19"/>
      <c r="E33912" s="23"/>
      <c r="L33912" s="23"/>
    </row>
    <row r="33913">
      <c r="B33913" s="19"/>
      <c r="E33913" s="23"/>
      <c r="L33913" s="23"/>
    </row>
    <row r="33914">
      <c r="B33914" s="19"/>
      <c r="E33914" s="23"/>
      <c r="L33914" s="23"/>
    </row>
    <row r="33915">
      <c r="B33915" s="19"/>
      <c r="E33915" s="23"/>
      <c r="L33915" s="23"/>
    </row>
    <row r="33916">
      <c r="B33916" s="19"/>
      <c r="E33916" s="23"/>
      <c r="L33916" s="23"/>
    </row>
    <row r="33917">
      <c r="B33917" s="19"/>
      <c r="E33917" s="23"/>
      <c r="L33917" s="23"/>
    </row>
    <row r="33918">
      <c r="B33918" s="19"/>
      <c r="E33918" s="23"/>
      <c r="L33918" s="23"/>
    </row>
    <row r="33919">
      <c r="B33919" s="19"/>
      <c r="E33919" s="23"/>
      <c r="L33919" s="23"/>
    </row>
    <row r="33920">
      <c r="B33920" s="19"/>
      <c r="E33920" s="23"/>
      <c r="L33920" s="23"/>
    </row>
    <row r="33921">
      <c r="B33921" s="19"/>
      <c r="E33921" s="23"/>
      <c r="L33921" s="23"/>
    </row>
    <row r="33922">
      <c r="B33922" s="19"/>
      <c r="E33922" s="23"/>
      <c r="L33922" s="23"/>
    </row>
    <row r="33923">
      <c r="B33923" s="19"/>
      <c r="E33923" s="23"/>
      <c r="L33923" s="23"/>
    </row>
    <row r="33924">
      <c r="B33924" s="19"/>
      <c r="E33924" s="23"/>
      <c r="L33924" s="23"/>
    </row>
    <row r="33925">
      <c r="B33925" s="19"/>
      <c r="E33925" s="23"/>
      <c r="L33925" s="23"/>
    </row>
    <row r="33926">
      <c r="B33926" s="19"/>
      <c r="E33926" s="23"/>
      <c r="L33926" s="23"/>
    </row>
    <row r="33927">
      <c r="B33927" s="19"/>
      <c r="E33927" s="23"/>
      <c r="L33927" s="23"/>
    </row>
    <row r="33928">
      <c r="B33928" s="19"/>
      <c r="E33928" s="23"/>
      <c r="L33928" s="23"/>
    </row>
    <row r="33929">
      <c r="B33929" s="19"/>
      <c r="E33929" s="23"/>
      <c r="L33929" s="23"/>
    </row>
    <row r="33930">
      <c r="B33930" s="19"/>
      <c r="E33930" s="23"/>
      <c r="L33930" s="23"/>
    </row>
    <row r="33931">
      <c r="B33931" s="19"/>
      <c r="E33931" s="23"/>
      <c r="L33931" s="23"/>
    </row>
    <row r="33932">
      <c r="B33932" s="19"/>
      <c r="E33932" s="23"/>
      <c r="L33932" s="23"/>
    </row>
    <row r="33933">
      <c r="B33933" s="19"/>
      <c r="E33933" s="23"/>
      <c r="L33933" s="23"/>
    </row>
    <row r="33934">
      <c r="B33934" s="19"/>
      <c r="E33934" s="23"/>
      <c r="L33934" s="23"/>
    </row>
    <row r="33935">
      <c r="B33935" s="19"/>
      <c r="E33935" s="23"/>
      <c r="L33935" s="23"/>
    </row>
    <row r="33936">
      <c r="B33936" s="19"/>
      <c r="E33936" s="23"/>
      <c r="L33936" s="23"/>
    </row>
    <row r="33937">
      <c r="B33937" s="19"/>
      <c r="E33937" s="23"/>
      <c r="L33937" s="23"/>
    </row>
    <row r="33938">
      <c r="B33938" s="19"/>
      <c r="E33938" s="23"/>
      <c r="L33938" s="23"/>
    </row>
    <row r="33939">
      <c r="B33939" s="19"/>
      <c r="E33939" s="23"/>
      <c r="L33939" s="23"/>
    </row>
    <row r="33940">
      <c r="B33940" s="19"/>
      <c r="E33940" s="23"/>
      <c r="L33940" s="23"/>
    </row>
    <row r="33941">
      <c r="B33941" s="19"/>
      <c r="E33941" s="23"/>
      <c r="L33941" s="23"/>
    </row>
    <row r="33942">
      <c r="B33942" s="19"/>
      <c r="E33942" s="23"/>
      <c r="L33942" s="23"/>
    </row>
    <row r="33943">
      <c r="B33943" s="19"/>
      <c r="E33943" s="23"/>
      <c r="L33943" s="23"/>
    </row>
    <row r="33944">
      <c r="B33944" s="19"/>
      <c r="E33944" s="23"/>
      <c r="L33944" s="23"/>
    </row>
    <row r="33945">
      <c r="B33945" s="19"/>
      <c r="E33945" s="23"/>
      <c r="L33945" s="23"/>
    </row>
    <row r="33946">
      <c r="B33946" s="19"/>
      <c r="E33946" s="23"/>
      <c r="L33946" s="23"/>
    </row>
    <row r="33947">
      <c r="B33947" s="19"/>
      <c r="E33947" s="23"/>
      <c r="L33947" s="23"/>
    </row>
    <row r="33948">
      <c r="B33948" s="19"/>
      <c r="E33948" s="23"/>
      <c r="L33948" s="23"/>
    </row>
    <row r="33949">
      <c r="B33949" s="19"/>
      <c r="E33949" s="23"/>
      <c r="L33949" s="23"/>
    </row>
    <row r="33950">
      <c r="B33950" s="19"/>
      <c r="E33950" s="23"/>
      <c r="L33950" s="23"/>
    </row>
    <row r="33951">
      <c r="B33951" s="19"/>
      <c r="E33951" s="23"/>
      <c r="L33951" s="23"/>
    </row>
    <row r="33952">
      <c r="B33952" s="19"/>
      <c r="E33952" s="23"/>
      <c r="L33952" s="23"/>
    </row>
    <row r="33953">
      <c r="B33953" s="19"/>
      <c r="E33953" s="23"/>
      <c r="L33953" s="23"/>
    </row>
    <row r="33954">
      <c r="B33954" s="19"/>
      <c r="E33954" s="23"/>
      <c r="L33954" s="23"/>
    </row>
    <row r="33955">
      <c r="B33955" s="19"/>
      <c r="E33955" s="23"/>
      <c r="L33955" s="23"/>
    </row>
    <row r="33956">
      <c r="B33956" s="19"/>
      <c r="E33956" s="23"/>
      <c r="L33956" s="23"/>
    </row>
    <row r="33957">
      <c r="B33957" s="19"/>
      <c r="E33957" s="23"/>
      <c r="L33957" s="23"/>
    </row>
    <row r="33958">
      <c r="B33958" s="19"/>
      <c r="E33958" s="23"/>
      <c r="L33958" s="23"/>
    </row>
    <row r="33959">
      <c r="B33959" s="19"/>
      <c r="E33959" s="23"/>
      <c r="L33959" s="23"/>
    </row>
    <row r="33960">
      <c r="B33960" s="19"/>
      <c r="E33960" s="23"/>
      <c r="L33960" s="23"/>
    </row>
    <row r="33961">
      <c r="B33961" s="19"/>
      <c r="E33961" s="23"/>
      <c r="L33961" s="23"/>
    </row>
    <row r="33962">
      <c r="B33962" s="19"/>
      <c r="E33962" s="23"/>
      <c r="L33962" s="23"/>
    </row>
    <row r="33963">
      <c r="B33963" s="19"/>
      <c r="E33963" s="23"/>
      <c r="L33963" s="23"/>
    </row>
    <row r="33964">
      <c r="B33964" s="19"/>
      <c r="E33964" s="23"/>
      <c r="L33964" s="23"/>
    </row>
    <row r="33965">
      <c r="B33965" s="19"/>
      <c r="E33965" s="23"/>
      <c r="L33965" s="23"/>
    </row>
    <row r="33966">
      <c r="B33966" s="19"/>
      <c r="E33966" s="23"/>
      <c r="L33966" s="23"/>
    </row>
    <row r="33967">
      <c r="B33967" s="19"/>
      <c r="E33967" s="23"/>
      <c r="L33967" s="23"/>
    </row>
    <row r="33968">
      <c r="B33968" s="19"/>
      <c r="E33968" s="23"/>
      <c r="L33968" s="23"/>
    </row>
    <row r="33969">
      <c r="B33969" s="19"/>
      <c r="E33969" s="23"/>
      <c r="L33969" s="23"/>
    </row>
    <row r="33970">
      <c r="B33970" s="19"/>
      <c r="E33970" s="23"/>
      <c r="L33970" s="23"/>
    </row>
    <row r="33971">
      <c r="B33971" s="19"/>
      <c r="E33971" s="23"/>
      <c r="L33971" s="23"/>
    </row>
    <row r="33972">
      <c r="B33972" s="19"/>
      <c r="E33972" s="23"/>
      <c r="L33972" s="23"/>
    </row>
    <row r="33973">
      <c r="B33973" s="19"/>
      <c r="E33973" s="23"/>
      <c r="L33973" s="23"/>
    </row>
    <row r="33974">
      <c r="B33974" s="19"/>
      <c r="E33974" s="23"/>
      <c r="L33974" s="23"/>
    </row>
    <row r="33975">
      <c r="B33975" s="19"/>
      <c r="E33975" s="23"/>
      <c r="L33975" s="23"/>
    </row>
    <row r="33976">
      <c r="B33976" s="19"/>
      <c r="E33976" s="23"/>
      <c r="L33976" s="23"/>
    </row>
    <row r="33977">
      <c r="B33977" s="19"/>
      <c r="E33977" s="23"/>
      <c r="L33977" s="23"/>
    </row>
    <row r="33978">
      <c r="B33978" s="19"/>
      <c r="E33978" s="23"/>
      <c r="L33978" s="23"/>
    </row>
    <row r="33979">
      <c r="B33979" s="19"/>
      <c r="E33979" s="23"/>
      <c r="L33979" s="23"/>
    </row>
    <row r="33980">
      <c r="B33980" s="19"/>
      <c r="E33980" s="23"/>
      <c r="L33980" s="23"/>
    </row>
    <row r="33981">
      <c r="B33981" s="19"/>
      <c r="E33981" s="23"/>
      <c r="L33981" s="23"/>
    </row>
    <row r="33982">
      <c r="B33982" s="19"/>
      <c r="E33982" s="23"/>
      <c r="L33982" s="23"/>
    </row>
    <row r="33983">
      <c r="B33983" s="19"/>
      <c r="E33983" s="23"/>
      <c r="L33983" s="23"/>
    </row>
    <row r="33984">
      <c r="B33984" s="19"/>
      <c r="E33984" s="23"/>
      <c r="L33984" s="23"/>
    </row>
    <row r="33985">
      <c r="B33985" s="19"/>
      <c r="E33985" s="23"/>
      <c r="L33985" s="23"/>
    </row>
    <row r="33986">
      <c r="B33986" s="19"/>
      <c r="E33986" s="23"/>
      <c r="L33986" s="23"/>
    </row>
    <row r="33987">
      <c r="B33987" s="19"/>
      <c r="E33987" s="23"/>
      <c r="L33987" s="23"/>
    </row>
    <row r="33988">
      <c r="B33988" s="19"/>
      <c r="E33988" s="23"/>
      <c r="L33988" s="23"/>
    </row>
    <row r="33989">
      <c r="B33989" s="19"/>
      <c r="E33989" s="23"/>
      <c r="L33989" s="23"/>
    </row>
    <row r="33990">
      <c r="B33990" s="19"/>
      <c r="E33990" s="23"/>
      <c r="L33990" s="23"/>
    </row>
    <row r="33991">
      <c r="B33991" s="19"/>
      <c r="E33991" s="23"/>
      <c r="L33991" s="23"/>
    </row>
    <row r="33992">
      <c r="B33992" s="19"/>
      <c r="E33992" s="23"/>
      <c r="L33992" s="23"/>
    </row>
    <row r="33993">
      <c r="B33993" s="19"/>
      <c r="E33993" s="23"/>
      <c r="L33993" s="23"/>
    </row>
    <row r="33994">
      <c r="B33994" s="19"/>
      <c r="E33994" s="23"/>
      <c r="L33994" s="23"/>
    </row>
    <row r="33995">
      <c r="B33995" s="19"/>
      <c r="E33995" s="23"/>
      <c r="L33995" s="23"/>
    </row>
    <row r="33996">
      <c r="B33996" s="19"/>
      <c r="E33996" s="23"/>
      <c r="L33996" s="23"/>
    </row>
    <row r="33997">
      <c r="B33997" s="19"/>
      <c r="E33997" s="23"/>
      <c r="L33997" s="23"/>
    </row>
    <row r="33998">
      <c r="B33998" s="19"/>
      <c r="E33998" s="23"/>
      <c r="L33998" s="23"/>
    </row>
    <row r="33999">
      <c r="B33999" s="19"/>
      <c r="E33999" s="23"/>
      <c r="L33999" s="23"/>
    </row>
    <row r="34000">
      <c r="B34000" s="19"/>
      <c r="E34000" s="23"/>
      <c r="L34000" s="23"/>
    </row>
    <row r="34001">
      <c r="B34001" s="19"/>
      <c r="E34001" s="23"/>
      <c r="L34001" s="23"/>
    </row>
    <row r="34002">
      <c r="B34002" s="19"/>
      <c r="E34002" s="23"/>
      <c r="L34002" s="23"/>
    </row>
    <row r="34003">
      <c r="B34003" s="19"/>
      <c r="E34003" s="23"/>
      <c r="L34003" s="23"/>
    </row>
    <row r="34004">
      <c r="B34004" s="19"/>
      <c r="E34004" s="23"/>
      <c r="L34004" s="23"/>
    </row>
    <row r="34005">
      <c r="B34005" s="19"/>
      <c r="E34005" s="23"/>
      <c r="L34005" s="23"/>
    </row>
    <row r="34006">
      <c r="B34006" s="19"/>
      <c r="E34006" s="23"/>
      <c r="L34006" s="23"/>
    </row>
    <row r="34007">
      <c r="B34007" s="19"/>
      <c r="E34007" s="23"/>
      <c r="L34007" s="23"/>
    </row>
    <row r="34008">
      <c r="B34008" s="19"/>
      <c r="E34008" s="23"/>
      <c r="L34008" s="23"/>
    </row>
    <row r="34009">
      <c r="B34009" s="19"/>
      <c r="E34009" s="23"/>
      <c r="L34009" s="23"/>
    </row>
    <row r="34010">
      <c r="B34010" s="19"/>
      <c r="E34010" s="23"/>
      <c r="L34010" s="23"/>
    </row>
    <row r="34011">
      <c r="B34011" s="19"/>
      <c r="E34011" s="23"/>
      <c r="L34011" s="23"/>
    </row>
    <row r="34012">
      <c r="B34012" s="19"/>
      <c r="E34012" s="23"/>
      <c r="L34012" s="23"/>
    </row>
    <row r="34013">
      <c r="B34013" s="19"/>
      <c r="E34013" s="23"/>
      <c r="L34013" s="23"/>
    </row>
    <row r="34014">
      <c r="B34014" s="19"/>
      <c r="E34014" s="23"/>
      <c r="L34014" s="23"/>
    </row>
    <row r="34015">
      <c r="B34015" s="19"/>
      <c r="E34015" s="23"/>
      <c r="L34015" s="23"/>
    </row>
    <row r="34016">
      <c r="B34016" s="19"/>
      <c r="E34016" s="23"/>
      <c r="L34016" s="23"/>
    </row>
    <row r="34017">
      <c r="B34017" s="19"/>
      <c r="E34017" s="23"/>
      <c r="L34017" s="23"/>
    </row>
    <row r="34018">
      <c r="B34018" s="19"/>
      <c r="E34018" s="23"/>
      <c r="L34018" s="23"/>
    </row>
    <row r="34019">
      <c r="B34019" s="19"/>
      <c r="E34019" s="23"/>
      <c r="L34019" s="23"/>
    </row>
    <row r="34020">
      <c r="B34020" s="19"/>
      <c r="E34020" s="23"/>
      <c r="L34020" s="23"/>
    </row>
    <row r="34021">
      <c r="B34021" s="19"/>
      <c r="E34021" s="23"/>
      <c r="L34021" s="23"/>
    </row>
    <row r="34022">
      <c r="B34022" s="19"/>
      <c r="E34022" s="23"/>
      <c r="L34022" s="23"/>
    </row>
    <row r="34023">
      <c r="B34023" s="19"/>
      <c r="E34023" s="23"/>
      <c r="L34023" s="23"/>
    </row>
    <row r="34024">
      <c r="B34024" s="19"/>
      <c r="E34024" s="23"/>
      <c r="L34024" s="23"/>
    </row>
    <row r="34025">
      <c r="B34025" s="19"/>
      <c r="E34025" s="23"/>
      <c r="L34025" s="23"/>
    </row>
    <row r="34026">
      <c r="B34026" s="19"/>
      <c r="E34026" s="23"/>
      <c r="L34026" s="23"/>
    </row>
    <row r="34027">
      <c r="B34027" s="19"/>
      <c r="E34027" s="23"/>
      <c r="L34027" s="23"/>
    </row>
    <row r="34028">
      <c r="B34028" s="19"/>
      <c r="E34028" s="23"/>
      <c r="L34028" s="23"/>
    </row>
    <row r="34029">
      <c r="B34029" s="19"/>
      <c r="E34029" s="23"/>
      <c r="L34029" s="23"/>
    </row>
    <row r="34030">
      <c r="B34030" s="19"/>
      <c r="E34030" s="23"/>
      <c r="L34030" s="23"/>
    </row>
    <row r="34031">
      <c r="B34031" s="19"/>
      <c r="E34031" s="23"/>
      <c r="L34031" s="23"/>
    </row>
    <row r="34032">
      <c r="B34032" s="19"/>
      <c r="E34032" s="23"/>
      <c r="L34032" s="23"/>
    </row>
    <row r="34033">
      <c r="B34033" s="19"/>
      <c r="E34033" s="23"/>
      <c r="L34033" s="23"/>
    </row>
    <row r="34034">
      <c r="B34034" s="19"/>
      <c r="E34034" s="23"/>
      <c r="L34034" s="23"/>
    </row>
    <row r="34035">
      <c r="B34035" s="19"/>
      <c r="E34035" s="23"/>
      <c r="L34035" s="23"/>
    </row>
    <row r="34036">
      <c r="B34036" s="19"/>
      <c r="E34036" s="23"/>
      <c r="L34036" s="23"/>
    </row>
    <row r="34037">
      <c r="B34037" s="19"/>
      <c r="E34037" s="23"/>
      <c r="L34037" s="23"/>
    </row>
    <row r="34038">
      <c r="B34038" s="19"/>
      <c r="E34038" s="23"/>
      <c r="L34038" s="23"/>
    </row>
    <row r="34039">
      <c r="B34039" s="19"/>
      <c r="E34039" s="23"/>
      <c r="L34039" s="23"/>
    </row>
    <row r="34040">
      <c r="B34040" s="19"/>
      <c r="E34040" s="23"/>
      <c r="L34040" s="23"/>
    </row>
    <row r="34041">
      <c r="B34041" s="19"/>
      <c r="E34041" s="23"/>
      <c r="L34041" s="23"/>
    </row>
    <row r="34042">
      <c r="B34042" s="19"/>
      <c r="E34042" s="23"/>
      <c r="L34042" s="23"/>
    </row>
    <row r="34043">
      <c r="B34043" s="19"/>
      <c r="E34043" s="23"/>
      <c r="L34043" s="23"/>
    </row>
    <row r="34044">
      <c r="B34044" s="19"/>
      <c r="E34044" s="23"/>
      <c r="L34044" s="23"/>
    </row>
    <row r="34045">
      <c r="B34045" s="19"/>
      <c r="E34045" s="23"/>
      <c r="L34045" s="23"/>
    </row>
    <row r="34046">
      <c r="B34046" s="19"/>
      <c r="E34046" s="23"/>
      <c r="L34046" s="23"/>
    </row>
    <row r="34047">
      <c r="B34047" s="19"/>
      <c r="E34047" s="23"/>
      <c r="L34047" s="23"/>
    </row>
    <row r="34048">
      <c r="B34048" s="19"/>
      <c r="E34048" s="23"/>
      <c r="L34048" s="23"/>
    </row>
    <row r="34049">
      <c r="B34049" s="19"/>
      <c r="E34049" s="23"/>
      <c r="L34049" s="23"/>
    </row>
    <row r="34050">
      <c r="B34050" s="19"/>
      <c r="E34050" s="23"/>
      <c r="L34050" s="23"/>
    </row>
    <row r="34051">
      <c r="B34051" s="19"/>
      <c r="E34051" s="23"/>
      <c r="L34051" s="23"/>
    </row>
    <row r="34052">
      <c r="B34052" s="19"/>
      <c r="E34052" s="23"/>
      <c r="L34052" s="23"/>
    </row>
    <row r="34053">
      <c r="B34053" s="19"/>
      <c r="E34053" s="23"/>
      <c r="L34053" s="23"/>
    </row>
    <row r="34054">
      <c r="B34054" s="19"/>
      <c r="E34054" s="23"/>
      <c r="L34054" s="23"/>
    </row>
    <row r="34055">
      <c r="B34055" s="19"/>
      <c r="E34055" s="23"/>
      <c r="L34055" s="23"/>
    </row>
    <row r="34056">
      <c r="B34056" s="19"/>
      <c r="E34056" s="23"/>
      <c r="L34056" s="23"/>
    </row>
    <row r="34057">
      <c r="B34057" s="19"/>
      <c r="E34057" s="23"/>
      <c r="L34057" s="23"/>
    </row>
    <row r="34058">
      <c r="B34058" s="19"/>
      <c r="E34058" s="23"/>
      <c r="L34058" s="23"/>
    </row>
    <row r="34059">
      <c r="B34059" s="19"/>
      <c r="E34059" s="23"/>
      <c r="L34059" s="23"/>
    </row>
    <row r="34060">
      <c r="B34060" s="19"/>
      <c r="E34060" s="23"/>
      <c r="L34060" s="23"/>
    </row>
    <row r="34061">
      <c r="B34061" s="19"/>
      <c r="E34061" s="23"/>
      <c r="L34061" s="23"/>
    </row>
    <row r="34062">
      <c r="B34062" s="19"/>
      <c r="E34062" s="23"/>
      <c r="L34062" s="23"/>
    </row>
    <row r="34063">
      <c r="B34063" s="19"/>
      <c r="E34063" s="23"/>
      <c r="L34063" s="23"/>
    </row>
    <row r="34064">
      <c r="B34064" s="19"/>
      <c r="E34064" s="23"/>
      <c r="L34064" s="23"/>
    </row>
    <row r="34065">
      <c r="B34065" s="19"/>
      <c r="E34065" s="23"/>
      <c r="L34065" s="23"/>
    </row>
    <row r="34066">
      <c r="B34066" s="19"/>
      <c r="E34066" s="23"/>
      <c r="L34066" s="23"/>
    </row>
    <row r="34067">
      <c r="B34067" s="19"/>
      <c r="E34067" s="23"/>
      <c r="L34067" s="23"/>
    </row>
    <row r="34068">
      <c r="B34068" s="19"/>
      <c r="E34068" s="23"/>
      <c r="L34068" s="23"/>
    </row>
    <row r="34069">
      <c r="B34069" s="19"/>
      <c r="E34069" s="23"/>
      <c r="L34069" s="23"/>
    </row>
    <row r="34070">
      <c r="B34070" s="19"/>
      <c r="E34070" s="23"/>
      <c r="L34070" s="23"/>
    </row>
    <row r="34071">
      <c r="B34071" s="19"/>
      <c r="E34071" s="23"/>
      <c r="L34071" s="23"/>
    </row>
    <row r="34072">
      <c r="B34072" s="19"/>
      <c r="E34072" s="23"/>
      <c r="L34072" s="23"/>
    </row>
    <row r="34073">
      <c r="B34073" s="19"/>
      <c r="E34073" s="23"/>
      <c r="L34073" s="23"/>
    </row>
    <row r="34074">
      <c r="B34074" s="19"/>
      <c r="E34074" s="23"/>
      <c r="L34074" s="23"/>
    </row>
    <row r="34075">
      <c r="B34075" s="19"/>
      <c r="E34075" s="23"/>
      <c r="L34075" s="23"/>
    </row>
    <row r="34076">
      <c r="B34076" s="19"/>
      <c r="E34076" s="23"/>
      <c r="L34076" s="23"/>
    </row>
    <row r="34077">
      <c r="B34077" s="19"/>
      <c r="E34077" s="23"/>
      <c r="L34077" s="23"/>
    </row>
    <row r="34078">
      <c r="B34078" s="19"/>
      <c r="E34078" s="23"/>
      <c r="L34078" s="23"/>
    </row>
    <row r="34079">
      <c r="B34079" s="19"/>
      <c r="E34079" s="23"/>
      <c r="L34079" s="23"/>
    </row>
    <row r="34080">
      <c r="B34080" s="19"/>
      <c r="E34080" s="23"/>
      <c r="L34080" s="23"/>
    </row>
    <row r="34081">
      <c r="B34081" s="19"/>
      <c r="E34081" s="23"/>
      <c r="L34081" s="23"/>
    </row>
    <row r="34082">
      <c r="B34082" s="19"/>
      <c r="E34082" s="23"/>
      <c r="L34082" s="23"/>
    </row>
    <row r="34083">
      <c r="B34083" s="19"/>
      <c r="E34083" s="23"/>
      <c r="L34083" s="23"/>
    </row>
    <row r="34084">
      <c r="B34084" s="19"/>
      <c r="E34084" s="23"/>
      <c r="L34084" s="23"/>
    </row>
    <row r="34085">
      <c r="B34085" s="19"/>
      <c r="E34085" s="23"/>
      <c r="L34085" s="23"/>
    </row>
    <row r="34086">
      <c r="B34086" s="19"/>
      <c r="E34086" s="23"/>
      <c r="L34086" s="23"/>
    </row>
    <row r="34087">
      <c r="B34087" s="19"/>
      <c r="E34087" s="23"/>
      <c r="L34087" s="23"/>
    </row>
    <row r="34088">
      <c r="B34088" s="19"/>
      <c r="E34088" s="23"/>
      <c r="L34088" s="23"/>
    </row>
    <row r="34089">
      <c r="B34089" s="19"/>
      <c r="E34089" s="23"/>
      <c r="L34089" s="23"/>
    </row>
    <row r="34090">
      <c r="B34090" s="19"/>
      <c r="E34090" s="23"/>
      <c r="L34090" s="23"/>
    </row>
    <row r="34091">
      <c r="B34091" s="19"/>
      <c r="E34091" s="23"/>
      <c r="L34091" s="23"/>
    </row>
    <row r="34092">
      <c r="B34092" s="19"/>
      <c r="E34092" s="23"/>
      <c r="L34092" s="23"/>
    </row>
    <row r="34093">
      <c r="B34093" s="19"/>
      <c r="E34093" s="23"/>
      <c r="L34093" s="23"/>
    </row>
    <row r="34094">
      <c r="B34094" s="19"/>
      <c r="E34094" s="23"/>
      <c r="L34094" s="23"/>
    </row>
    <row r="34095">
      <c r="B34095" s="19"/>
      <c r="E34095" s="23"/>
      <c r="L34095" s="23"/>
    </row>
    <row r="34096">
      <c r="B34096" s="19"/>
      <c r="E34096" s="23"/>
      <c r="L34096" s="23"/>
    </row>
    <row r="34097">
      <c r="B34097" s="19"/>
      <c r="E34097" s="23"/>
      <c r="L34097" s="23"/>
    </row>
    <row r="34098">
      <c r="B34098" s="19"/>
      <c r="E34098" s="23"/>
      <c r="L34098" s="23"/>
    </row>
    <row r="34099">
      <c r="B34099" s="19"/>
      <c r="E34099" s="23"/>
      <c r="L34099" s="23"/>
    </row>
    <row r="34100">
      <c r="B34100" s="19"/>
      <c r="E34100" s="23"/>
      <c r="L34100" s="23"/>
    </row>
    <row r="34101">
      <c r="B34101" s="19"/>
      <c r="E34101" s="23"/>
      <c r="L34101" s="23"/>
    </row>
    <row r="34102">
      <c r="B34102" s="19"/>
      <c r="E34102" s="23"/>
      <c r="L34102" s="23"/>
    </row>
    <row r="34103">
      <c r="B34103" s="19"/>
      <c r="E34103" s="23"/>
      <c r="L34103" s="23"/>
    </row>
    <row r="34104">
      <c r="B34104" s="19"/>
      <c r="E34104" s="23"/>
      <c r="L34104" s="23"/>
    </row>
    <row r="34105">
      <c r="B34105" s="19"/>
      <c r="E34105" s="23"/>
      <c r="L34105" s="23"/>
    </row>
    <row r="34106">
      <c r="B34106" s="19"/>
      <c r="E34106" s="23"/>
      <c r="L34106" s="23"/>
    </row>
    <row r="34107">
      <c r="B34107" s="19"/>
      <c r="E34107" s="23"/>
      <c r="L34107" s="23"/>
    </row>
    <row r="34108">
      <c r="B34108" s="19"/>
      <c r="E34108" s="23"/>
      <c r="L34108" s="23"/>
    </row>
    <row r="34109">
      <c r="B34109" s="19"/>
      <c r="E34109" s="23"/>
      <c r="L34109" s="23"/>
    </row>
    <row r="34110">
      <c r="B34110" s="19"/>
      <c r="E34110" s="23"/>
      <c r="L34110" s="23"/>
    </row>
    <row r="34111">
      <c r="B34111" s="19"/>
      <c r="E34111" s="23"/>
      <c r="L34111" s="23"/>
    </row>
    <row r="34112">
      <c r="B34112" s="19"/>
      <c r="E34112" s="23"/>
      <c r="L34112" s="23"/>
    </row>
    <row r="34113">
      <c r="B34113" s="19"/>
      <c r="E34113" s="23"/>
      <c r="L34113" s="23"/>
    </row>
    <row r="34114">
      <c r="B34114" s="19"/>
      <c r="E34114" s="23"/>
      <c r="L34114" s="23"/>
    </row>
    <row r="34115">
      <c r="B34115" s="19"/>
      <c r="E34115" s="23"/>
      <c r="L34115" s="23"/>
    </row>
    <row r="34116">
      <c r="B34116" s="19"/>
      <c r="E34116" s="23"/>
      <c r="L34116" s="23"/>
    </row>
    <row r="34117">
      <c r="B34117" s="19"/>
      <c r="E34117" s="23"/>
      <c r="L34117" s="23"/>
    </row>
    <row r="34118">
      <c r="B34118" s="19"/>
      <c r="E34118" s="23"/>
      <c r="L34118" s="23"/>
    </row>
    <row r="34119">
      <c r="B34119" s="19"/>
      <c r="E34119" s="23"/>
      <c r="L34119" s="23"/>
    </row>
    <row r="34120">
      <c r="B34120" s="19"/>
      <c r="E34120" s="23"/>
      <c r="L34120" s="23"/>
    </row>
    <row r="34121">
      <c r="B34121" s="19"/>
      <c r="E34121" s="23"/>
      <c r="L34121" s="23"/>
    </row>
    <row r="34122">
      <c r="B34122" s="19"/>
      <c r="E34122" s="23"/>
      <c r="L34122" s="23"/>
    </row>
    <row r="34123">
      <c r="B34123" s="19"/>
      <c r="E34123" s="23"/>
      <c r="L34123" s="23"/>
    </row>
    <row r="34124">
      <c r="B34124" s="19"/>
      <c r="E34124" s="23"/>
      <c r="L34124" s="23"/>
    </row>
    <row r="34125">
      <c r="B34125" s="19"/>
      <c r="E34125" s="23"/>
      <c r="L34125" s="23"/>
    </row>
    <row r="34126">
      <c r="B34126" s="19"/>
      <c r="E34126" s="23"/>
      <c r="L34126" s="23"/>
    </row>
    <row r="34127">
      <c r="B34127" s="19"/>
      <c r="E34127" s="23"/>
      <c r="L34127" s="23"/>
    </row>
    <row r="34128">
      <c r="B34128" s="19"/>
      <c r="E34128" s="23"/>
      <c r="L34128" s="23"/>
    </row>
    <row r="34129">
      <c r="B34129" s="19"/>
      <c r="E34129" s="23"/>
      <c r="L34129" s="23"/>
    </row>
    <row r="34130">
      <c r="B34130" s="19"/>
      <c r="E34130" s="23"/>
      <c r="L34130" s="23"/>
    </row>
    <row r="34131">
      <c r="B34131" s="19"/>
      <c r="E34131" s="23"/>
      <c r="L34131" s="23"/>
    </row>
    <row r="34132">
      <c r="B34132" s="19"/>
      <c r="E34132" s="23"/>
      <c r="L34132" s="23"/>
    </row>
    <row r="34133">
      <c r="B34133" s="19"/>
      <c r="E34133" s="23"/>
      <c r="L34133" s="23"/>
    </row>
    <row r="34134">
      <c r="B34134" s="19"/>
      <c r="E34134" s="23"/>
      <c r="L34134" s="23"/>
    </row>
    <row r="34135">
      <c r="B34135" s="19"/>
      <c r="E34135" s="23"/>
      <c r="L34135" s="23"/>
    </row>
    <row r="34136">
      <c r="B34136" s="19"/>
      <c r="E34136" s="23"/>
      <c r="L34136" s="23"/>
    </row>
    <row r="34137">
      <c r="B34137" s="19"/>
      <c r="E34137" s="23"/>
      <c r="L34137" s="23"/>
    </row>
    <row r="34138">
      <c r="B34138" s="19"/>
      <c r="E34138" s="23"/>
      <c r="L34138" s="23"/>
    </row>
    <row r="34139">
      <c r="B34139" s="19"/>
      <c r="E34139" s="23"/>
      <c r="L34139" s="23"/>
    </row>
    <row r="34140">
      <c r="B34140" s="19"/>
      <c r="E34140" s="23"/>
      <c r="L34140" s="23"/>
    </row>
    <row r="34141">
      <c r="B34141" s="19"/>
      <c r="E34141" s="23"/>
      <c r="L34141" s="23"/>
    </row>
    <row r="34142">
      <c r="B34142" s="19"/>
      <c r="E34142" s="23"/>
      <c r="L34142" s="23"/>
    </row>
    <row r="34143">
      <c r="B34143" s="19"/>
      <c r="E34143" s="23"/>
      <c r="L34143" s="23"/>
    </row>
    <row r="34144">
      <c r="B34144" s="19"/>
      <c r="E34144" s="23"/>
      <c r="L34144" s="23"/>
    </row>
    <row r="34145">
      <c r="B34145" s="19"/>
      <c r="E34145" s="23"/>
      <c r="L34145" s="23"/>
    </row>
    <row r="34146">
      <c r="B34146" s="19"/>
      <c r="E34146" s="23"/>
      <c r="L34146" s="23"/>
    </row>
    <row r="34147">
      <c r="B34147" s="19"/>
      <c r="E34147" s="23"/>
      <c r="L34147" s="23"/>
    </row>
    <row r="34148">
      <c r="B34148" s="19"/>
      <c r="E34148" s="23"/>
      <c r="L34148" s="23"/>
    </row>
    <row r="34149">
      <c r="B34149" s="19"/>
      <c r="E34149" s="23"/>
      <c r="L34149" s="23"/>
    </row>
    <row r="34150">
      <c r="B34150" s="19"/>
      <c r="E34150" s="23"/>
      <c r="L34150" s="23"/>
    </row>
    <row r="34151">
      <c r="B34151" s="19"/>
      <c r="E34151" s="23"/>
      <c r="L34151" s="23"/>
    </row>
    <row r="34152">
      <c r="B34152" s="19"/>
      <c r="E34152" s="23"/>
      <c r="L34152" s="23"/>
    </row>
    <row r="34153">
      <c r="B34153" s="19"/>
      <c r="E34153" s="23"/>
      <c r="L34153" s="23"/>
    </row>
    <row r="34154">
      <c r="B34154" s="19"/>
      <c r="E34154" s="23"/>
      <c r="L34154" s="23"/>
    </row>
    <row r="34155">
      <c r="B34155" s="19"/>
      <c r="E34155" s="23"/>
      <c r="L34155" s="23"/>
    </row>
    <row r="34156">
      <c r="B34156" s="19"/>
      <c r="E34156" s="23"/>
      <c r="L34156" s="23"/>
    </row>
    <row r="34157">
      <c r="B34157" s="19"/>
      <c r="E34157" s="23"/>
      <c r="L34157" s="23"/>
    </row>
    <row r="34158">
      <c r="B34158" s="19"/>
      <c r="E34158" s="23"/>
      <c r="L34158" s="23"/>
    </row>
    <row r="34159">
      <c r="B34159" s="19"/>
      <c r="E34159" s="23"/>
      <c r="L34159" s="23"/>
    </row>
    <row r="34160">
      <c r="B34160" s="19"/>
      <c r="E34160" s="23"/>
      <c r="L34160" s="23"/>
    </row>
    <row r="34161">
      <c r="B34161" s="19"/>
      <c r="E34161" s="23"/>
      <c r="L34161" s="23"/>
    </row>
    <row r="34162">
      <c r="B34162" s="19"/>
      <c r="E34162" s="23"/>
      <c r="L34162" s="23"/>
    </row>
    <row r="34163">
      <c r="B34163" s="19"/>
      <c r="E34163" s="23"/>
      <c r="L34163" s="23"/>
    </row>
    <row r="34164">
      <c r="B34164" s="19"/>
      <c r="E34164" s="23"/>
      <c r="L34164" s="23"/>
    </row>
    <row r="34165">
      <c r="B34165" s="19"/>
      <c r="E34165" s="23"/>
      <c r="L34165" s="23"/>
    </row>
    <row r="34166">
      <c r="B34166" s="19"/>
      <c r="E34166" s="23"/>
      <c r="L34166" s="23"/>
    </row>
    <row r="34167">
      <c r="B34167" s="19"/>
      <c r="E34167" s="23"/>
      <c r="L34167" s="23"/>
    </row>
    <row r="34168">
      <c r="B34168" s="19"/>
      <c r="E34168" s="23"/>
      <c r="L34168" s="23"/>
    </row>
    <row r="34169">
      <c r="B34169" s="19"/>
      <c r="E34169" s="23"/>
      <c r="L34169" s="23"/>
    </row>
    <row r="34170">
      <c r="B34170" s="19"/>
      <c r="E34170" s="23"/>
      <c r="L34170" s="23"/>
    </row>
    <row r="34171">
      <c r="B34171" s="19"/>
      <c r="E34171" s="23"/>
      <c r="L34171" s="23"/>
    </row>
    <row r="34172">
      <c r="B34172" s="19"/>
      <c r="E34172" s="23"/>
      <c r="L34172" s="23"/>
    </row>
    <row r="34173">
      <c r="B34173" s="19"/>
      <c r="E34173" s="23"/>
      <c r="L34173" s="23"/>
    </row>
    <row r="34174">
      <c r="B34174" s="19"/>
      <c r="E34174" s="23"/>
      <c r="L34174" s="23"/>
    </row>
    <row r="34175">
      <c r="B34175" s="19"/>
      <c r="E34175" s="23"/>
      <c r="L34175" s="23"/>
    </row>
    <row r="34176">
      <c r="B34176" s="19"/>
      <c r="E34176" s="23"/>
      <c r="L34176" s="23"/>
    </row>
    <row r="34177">
      <c r="B34177" s="19"/>
      <c r="E34177" s="23"/>
      <c r="L34177" s="23"/>
    </row>
    <row r="34178">
      <c r="B34178" s="19"/>
      <c r="E34178" s="23"/>
      <c r="L34178" s="23"/>
    </row>
    <row r="34179">
      <c r="B34179" s="19"/>
      <c r="E34179" s="23"/>
      <c r="L34179" s="23"/>
    </row>
    <row r="34180">
      <c r="B34180" s="19"/>
      <c r="E34180" s="23"/>
      <c r="L34180" s="23"/>
    </row>
    <row r="34181">
      <c r="B34181" s="19"/>
      <c r="E34181" s="23"/>
      <c r="L34181" s="23"/>
    </row>
    <row r="34182">
      <c r="B34182" s="19"/>
      <c r="E34182" s="23"/>
      <c r="L34182" s="23"/>
    </row>
    <row r="34183">
      <c r="B34183" s="19"/>
      <c r="E34183" s="23"/>
      <c r="L34183" s="23"/>
    </row>
    <row r="34184">
      <c r="B34184" s="19"/>
      <c r="E34184" s="23"/>
      <c r="L34184" s="23"/>
    </row>
    <row r="34185">
      <c r="B34185" s="19"/>
      <c r="E34185" s="23"/>
      <c r="L34185" s="23"/>
    </row>
    <row r="34186">
      <c r="B34186" s="19"/>
      <c r="E34186" s="23"/>
      <c r="L34186" s="23"/>
    </row>
    <row r="34187">
      <c r="B34187" s="19"/>
      <c r="E34187" s="23"/>
      <c r="L34187" s="23"/>
    </row>
    <row r="34188">
      <c r="B34188" s="19"/>
      <c r="E34188" s="23"/>
      <c r="L34188" s="23"/>
    </row>
    <row r="34189">
      <c r="B34189" s="19"/>
      <c r="E34189" s="23"/>
      <c r="L34189" s="23"/>
    </row>
    <row r="34190">
      <c r="B34190" s="19"/>
      <c r="E34190" s="23"/>
      <c r="L34190" s="23"/>
    </row>
    <row r="34191">
      <c r="B34191" s="19"/>
      <c r="E34191" s="23"/>
      <c r="L34191" s="23"/>
    </row>
    <row r="34192">
      <c r="B34192" s="19"/>
      <c r="E34192" s="23"/>
      <c r="L34192" s="23"/>
    </row>
    <row r="34193">
      <c r="B34193" s="19"/>
      <c r="E34193" s="23"/>
      <c r="L34193" s="23"/>
    </row>
    <row r="34194">
      <c r="B34194" s="19"/>
      <c r="E34194" s="23"/>
      <c r="L34194" s="23"/>
    </row>
    <row r="34195">
      <c r="B34195" s="19"/>
      <c r="E34195" s="23"/>
      <c r="L34195" s="23"/>
    </row>
    <row r="34196">
      <c r="B34196" s="19"/>
      <c r="E34196" s="23"/>
      <c r="L34196" s="23"/>
    </row>
    <row r="34197">
      <c r="B34197" s="19"/>
      <c r="E34197" s="23"/>
      <c r="L34197" s="23"/>
    </row>
    <row r="34198">
      <c r="B34198" s="19"/>
      <c r="E34198" s="23"/>
      <c r="L34198" s="23"/>
    </row>
    <row r="34199">
      <c r="B34199" s="19"/>
      <c r="E34199" s="23"/>
      <c r="L34199" s="23"/>
    </row>
    <row r="34200">
      <c r="B34200" s="19"/>
      <c r="E34200" s="23"/>
      <c r="L34200" s="23"/>
    </row>
    <row r="34201">
      <c r="B34201" s="19"/>
      <c r="E34201" s="23"/>
      <c r="L34201" s="23"/>
    </row>
    <row r="34202">
      <c r="B34202" s="19"/>
      <c r="E34202" s="23"/>
      <c r="L34202" s="23"/>
    </row>
    <row r="34203">
      <c r="B34203" s="19"/>
      <c r="E34203" s="23"/>
      <c r="L34203" s="23"/>
    </row>
    <row r="34204">
      <c r="B34204" s="19"/>
      <c r="E34204" s="23"/>
      <c r="L34204" s="23"/>
    </row>
    <row r="34205">
      <c r="B34205" s="19"/>
      <c r="E34205" s="23"/>
      <c r="L34205" s="23"/>
    </row>
    <row r="34206">
      <c r="B34206" s="19"/>
      <c r="E34206" s="23"/>
      <c r="L34206" s="23"/>
    </row>
    <row r="34207">
      <c r="B34207" s="19"/>
      <c r="E34207" s="23"/>
      <c r="L34207" s="23"/>
    </row>
    <row r="34208">
      <c r="B34208" s="19"/>
      <c r="E34208" s="23"/>
      <c r="L34208" s="23"/>
    </row>
    <row r="34209">
      <c r="B34209" s="19"/>
      <c r="E34209" s="23"/>
      <c r="L34209" s="23"/>
    </row>
    <row r="34210">
      <c r="B34210" s="19"/>
      <c r="E34210" s="23"/>
      <c r="L34210" s="23"/>
    </row>
    <row r="34211">
      <c r="B34211" s="19"/>
      <c r="E34211" s="23"/>
      <c r="L34211" s="23"/>
    </row>
    <row r="34212">
      <c r="B34212" s="19"/>
      <c r="E34212" s="23"/>
      <c r="L34212" s="23"/>
    </row>
    <row r="34213">
      <c r="B34213" s="19"/>
      <c r="E34213" s="23"/>
      <c r="L34213" s="23"/>
    </row>
    <row r="34214">
      <c r="B34214" s="19"/>
      <c r="E34214" s="23"/>
      <c r="L34214" s="23"/>
    </row>
    <row r="34215">
      <c r="B34215" s="19"/>
      <c r="E34215" s="23"/>
      <c r="L34215" s="23"/>
    </row>
    <row r="34216">
      <c r="B34216" s="19"/>
      <c r="E34216" s="23"/>
      <c r="L34216" s="23"/>
    </row>
    <row r="34217">
      <c r="B34217" s="19"/>
      <c r="E34217" s="23"/>
      <c r="L34217" s="23"/>
    </row>
    <row r="34218">
      <c r="B34218" s="19"/>
      <c r="E34218" s="23"/>
      <c r="L34218" s="23"/>
    </row>
    <row r="34219">
      <c r="B34219" s="19"/>
      <c r="E34219" s="23"/>
      <c r="L34219" s="23"/>
    </row>
    <row r="34220">
      <c r="B34220" s="19"/>
      <c r="E34220" s="23"/>
      <c r="L34220" s="23"/>
    </row>
    <row r="34221">
      <c r="B34221" s="19"/>
      <c r="E34221" s="23"/>
      <c r="L34221" s="23"/>
    </row>
    <row r="34222">
      <c r="B34222" s="19"/>
      <c r="E34222" s="23"/>
      <c r="L34222" s="23"/>
    </row>
    <row r="34223">
      <c r="B34223" s="19"/>
      <c r="E34223" s="23"/>
      <c r="L34223" s="23"/>
    </row>
    <row r="34224">
      <c r="B34224" s="19"/>
      <c r="E34224" s="23"/>
      <c r="L34224" s="23"/>
    </row>
    <row r="34225">
      <c r="B34225" s="19"/>
      <c r="E34225" s="23"/>
      <c r="L34225" s="23"/>
    </row>
    <row r="34226">
      <c r="B34226" s="19"/>
      <c r="E34226" s="23"/>
      <c r="L34226" s="23"/>
    </row>
    <row r="34227">
      <c r="B34227" s="19"/>
      <c r="E34227" s="23"/>
      <c r="L34227" s="23"/>
    </row>
    <row r="34228">
      <c r="B34228" s="19"/>
      <c r="E34228" s="23"/>
      <c r="L34228" s="23"/>
    </row>
    <row r="34229">
      <c r="B34229" s="19"/>
      <c r="E34229" s="23"/>
      <c r="L34229" s="23"/>
    </row>
    <row r="34230">
      <c r="B34230" s="19"/>
      <c r="E34230" s="23"/>
      <c r="L34230" s="23"/>
    </row>
    <row r="34231">
      <c r="B34231" s="19"/>
      <c r="E34231" s="23"/>
      <c r="L34231" s="23"/>
    </row>
    <row r="34232">
      <c r="B34232" s="19"/>
      <c r="E34232" s="23"/>
      <c r="L34232" s="23"/>
    </row>
    <row r="34233">
      <c r="B34233" s="19"/>
      <c r="E34233" s="23"/>
      <c r="L34233" s="23"/>
    </row>
    <row r="34234">
      <c r="B34234" s="19"/>
      <c r="E34234" s="23"/>
      <c r="L34234" s="23"/>
    </row>
    <row r="34235">
      <c r="B34235" s="19"/>
      <c r="E34235" s="23"/>
      <c r="L34235" s="23"/>
    </row>
    <row r="34236">
      <c r="B34236" s="19"/>
      <c r="E34236" s="23"/>
      <c r="L34236" s="23"/>
    </row>
    <row r="34237">
      <c r="B34237" s="19"/>
      <c r="E34237" s="23"/>
      <c r="L34237" s="23"/>
    </row>
    <row r="34238">
      <c r="B34238" s="19"/>
      <c r="E34238" s="23"/>
      <c r="L34238" s="23"/>
    </row>
    <row r="34239">
      <c r="B34239" s="19"/>
      <c r="E34239" s="23"/>
      <c r="L34239" s="23"/>
    </row>
    <row r="34240">
      <c r="B34240" s="19"/>
      <c r="E34240" s="23"/>
      <c r="L34240" s="23"/>
    </row>
    <row r="34241">
      <c r="B34241" s="19"/>
      <c r="E34241" s="23"/>
      <c r="L34241" s="23"/>
    </row>
    <row r="34242">
      <c r="B34242" s="19"/>
      <c r="E34242" s="23"/>
      <c r="L34242" s="23"/>
    </row>
    <row r="34243">
      <c r="B34243" s="19"/>
      <c r="E34243" s="23"/>
      <c r="L34243" s="23"/>
    </row>
    <row r="34244">
      <c r="B34244" s="19"/>
      <c r="E34244" s="23"/>
      <c r="L34244" s="23"/>
    </row>
    <row r="34245">
      <c r="B34245" s="19"/>
      <c r="E34245" s="23"/>
      <c r="L34245" s="23"/>
    </row>
    <row r="34246">
      <c r="B34246" s="19"/>
      <c r="E34246" s="23"/>
      <c r="L34246" s="23"/>
    </row>
    <row r="34247">
      <c r="B34247" s="19"/>
      <c r="E34247" s="23"/>
      <c r="L34247" s="23"/>
    </row>
    <row r="34248">
      <c r="B34248" s="19"/>
      <c r="E34248" s="23"/>
      <c r="L34248" s="23"/>
    </row>
    <row r="34249">
      <c r="B34249" s="19"/>
      <c r="E34249" s="23"/>
      <c r="L34249" s="23"/>
    </row>
    <row r="34250">
      <c r="B34250" s="19"/>
      <c r="E34250" s="23"/>
      <c r="L34250" s="23"/>
    </row>
    <row r="34251">
      <c r="B34251" s="19"/>
      <c r="E34251" s="23"/>
      <c r="L34251" s="23"/>
    </row>
    <row r="34252">
      <c r="B34252" s="19"/>
      <c r="E34252" s="23"/>
      <c r="L34252" s="23"/>
    </row>
    <row r="34253">
      <c r="B34253" s="19"/>
      <c r="E34253" s="23"/>
      <c r="L34253" s="23"/>
    </row>
    <row r="34254">
      <c r="B34254" s="19"/>
      <c r="E34254" s="23"/>
      <c r="L34254" s="23"/>
    </row>
    <row r="34255">
      <c r="B34255" s="19"/>
      <c r="E34255" s="23"/>
      <c r="L34255" s="23"/>
    </row>
    <row r="34256">
      <c r="B34256" s="19"/>
      <c r="E34256" s="23"/>
      <c r="L34256" s="23"/>
    </row>
    <row r="34257">
      <c r="B34257" s="19"/>
      <c r="E34257" s="23"/>
      <c r="L34257" s="23"/>
    </row>
    <row r="34258">
      <c r="B34258" s="19"/>
      <c r="E34258" s="23"/>
      <c r="L34258" s="23"/>
    </row>
    <row r="34259">
      <c r="B34259" s="19"/>
      <c r="E34259" s="23"/>
      <c r="L34259" s="23"/>
    </row>
    <row r="34260">
      <c r="B34260" s="19"/>
      <c r="E34260" s="23"/>
      <c r="L34260" s="23"/>
    </row>
    <row r="34261">
      <c r="B34261" s="19"/>
      <c r="E34261" s="23"/>
      <c r="L34261" s="23"/>
    </row>
    <row r="34262">
      <c r="B34262" s="19"/>
      <c r="E34262" s="23"/>
      <c r="L34262" s="23"/>
    </row>
    <row r="34263">
      <c r="B34263" s="19"/>
      <c r="E34263" s="23"/>
      <c r="L34263" s="23"/>
    </row>
    <row r="34264">
      <c r="B34264" s="19"/>
      <c r="E34264" s="23"/>
      <c r="L34264" s="23"/>
    </row>
    <row r="34265">
      <c r="B34265" s="19"/>
      <c r="E34265" s="23"/>
      <c r="L34265" s="23"/>
    </row>
    <row r="34266">
      <c r="B34266" s="19"/>
      <c r="E34266" s="23"/>
      <c r="L34266" s="23"/>
    </row>
    <row r="34267">
      <c r="B34267" s="19"/>
      <c r="E34267" s="23"/>
      <c r="L34267" s="23"/>
    </row>
    <row r="34268">
      <c r="B34268" s="19"/>
      <c r="E34268" s="23"/>
      <c r="L34268" s="23"/>
    </row>
    <row r="34269">
      <c r="B34269" s="19"/>
      <c r="E34269" s="23"/>
      <c r="L34269" s="23"/>
    </row>
    <row r="34270">
      <c r="B34270" s="19"/>
      <c r="E34270" s="23"/>
      <c r="L34270" s="23"/>
    </row>
    <row r="34271">
      <c r="B34271" s="19"/>
      <c r="E34271" s="23"/>
      <c r="L34271" s="23"/>
    </row>
    <row r="34272">
      <c r="B34272" s="19"/>
      <c r="E34272" s="23"/>
      <c r="L34272" s="23"/>
    </row>
    <row r="34273">
      <c r="B34273" s="19"/>
      <c r="E34273" s="23"/>
      <c r="L34273" s="23"/>
    </row>
    <row r="34274">
      <c r="B34274" s="19"/>
      <c r="E34274" s="23"/>
      <c r="L34274" s="23"/>
    </row>
    <row r="34275">
      <c r="B34275" s="19"/>
      <c r="E34275" s="23"/>
      <c r="L34275" s="23"/>
    </row>
    <row r="34276">
      <c r="B34276" s="19"/>
      <c r="E34276" s="23"/>
      <c r="L34276" s="23"/>
    </row>
    <row r="34277">
      <c r="B34277" s="19"/>
      <c r="E34277" s="23"/>
      <c r="L34277" s="23"/>
    </row>
    <row r="34278">
      <c r="B34278" s="19"/>
      <c r="E34278" s="23"/>
      <c r="L34278" s="23"/>
    </row>
    <row r="34279">
      <c r="B34279" s="19"/>
      <c r="E34279" s="23"/>
      <c r="L34279" s="23"/>
    </row>
    <row r="34280">
      <c r="B34280" s="19"/>
      <c r="E34280" s="23"/>
      <c r="L34280" s="23"/>
    </row>
    <row r="34281">
      <c r="B34281" s="19"/>
      <c r="E34281" s="23"/>
      <c r="L34281" s="23"/>
    </row>
    <row r="34282">
      <c r="B34282" s="19"/>
      <c r="E34282" s="23"/>
      <c r="L34282" s="23"/>
    </row>
    <row r="34283">
      <c r="B34283" s="19"/>
      <c r="E34283" s="23"/>
      <c r="L34283" s="23"/>
    </row>
    <row r="34284">
      <c r="B34284" s="19"/>
      <c r="E34284" s="23"/>
      <c r="L34284" s="23"/>
    </row>
    <row r="34285">
      <c r="B34285" s="19"/>
      <c r="E34285" s="23"/>
      <c r="L34285" s="23"/>
    </row>
    <row r="34286">
      <c r="B34286" s="19"/>
      <c r="E34286" s="23"/>
      <c r="L34286" s="23"/>
    </row>
    <row r="34287">
      <c r="B34287" s="19"/>
      <c r="E34287" s="23"/>
      <c r="L34287" s="23"/>
    </row>
    <row r="34288">
      <c r="B34288" s="19"/>
      <c r="E34288" s="23"/>
      <c r="L34288" s="23"/>
    </row>
    <row r="34289">
      <c r="B34289" s="19"/>
      <c r="E34289" s="23"/>
      <c r="L34289" s="23"/>
    </row>
    <row r="34290">
      <c r="B34290" s="19"/>
      <c r="E34290" s="23"/>
      <c r="L34290" s="23"/>
    </row>
    <row r="34291">
      <c r="B34291" s="19"/>
      <c r="E34291" s="23"/>
      <c r="L34291" s="23"/>
    </row>
    <row r="34292">
      <c r="B34292" s="19"/>
      <c r="E34292" s="23"/>
      <c r="L34292" s="23"/>
    </row>
    <row r="34293">
      <c r="B34293" s="19"/>
      <c r="E34293" s="23"/>
      <c r="L34293" s="23"/>
    </row>
    <row r="34294">
      <c r="B34294" s="19"/>
      <c r="E34294" s="23"/>
      <c r="L34294" s="23"/>
    </row>
    <row r="34295">
      <c r="B34295" s="19"/>
      <c r="E34295" s="23"/>
      <c r="L34295" s="23"/>
    </row>
    <row r="34296">
      <c r="B34296" s="19"/>
      <c r="E34296" s="23"/>
      <c r="L34296" s="23"/>
    </row>
    <row r="34297">
      <c r="B34297" s="19"/>
      <c r="E34297" s="23"/>
      <c r="L34297" s="23"/>
    </row>
    <row r="34298">
      <c r="B34298" s="19"/>
      <c r="E34298" s="23"/>
      <c r="L34298" s="23"/>
    </row>
    <row r="34299">
      <c r="B34299" s="19"/>
      <c r="E34299" s="23"/>
      <c r="L34299" s="23"/>
    </row>
    <row r="34300">
      <c r="B34300" s="19"/>
      <c r="E34300" s="23"/>
      <c r="L34300" s="23"/>
    </row>
    <row r="34301">
      <c r="B34301" s="19"/>
      <c r="E34301" s="23"/>
      <c r="L34301" s="23"/>
    </row>
    <row r="34302">
      <c r="B34302" s="19"/>
      <c r="E34302" s="23"/>
      <c r="L34302" s="23"/>
    </row>
    <row r="34303">
      <c r="B34303" s="19"/>
      <c r="E34303" s="23"/>
      <c r="L34303" s="23"/>
    </row>
    <row r="34304">
      <c r="B34304" s="19"/>
      <c r="E34304" s="23"/>
      <c r="L34304" s="23"/>
    </row>
    <row r="34305">
      <c r="B34305" s="19"/>
      <c r="E34305" s="23"/>
      <c r="L34305" s="23"/>
    </row>
    <row r="34306">
      <c r="B34306" s="19"/>
      <c r="E34306" s="23"/>
      <c r="L34306" s="23"/>
    </row>
    <row r="34307">
      <c r="B34307" s="19"/>
      <c r="E34307" s="23"/>
      <c r="L34307" s="23"/>
    </row>
    <row r="34308">
      <c r="B34308" s="19"/>
      <c r="E34308" s="23"/>
      <c r="L34308" s="23"/>
    </row>
    <row r="34309">
      <c r="B34309" s="19"/>
      <c r="E34309" s="23"/>
      <c r="L34309" s="23"/>
    </row>
    <row r="34310">
      <c r="B34310" s="19"/>
      <c r="E34310" s="23"/>
      <c r="L34310" s="23"/>
    </row>
    <row r="34311">
      <c r="B34311" s="19"/>
      <c r="E34311" s="23"/>
      <c r="L34311" s="23"/>
    </row>
    <row r="34312">
      <c r="B34312" s="19"/>
      <c r="E34312" s="23"/>
      <c r="L34312" s="23"/>
    </row>
    <row r="34313">
      <c r="B34313" s="19"/>
      <c r="E34313" s="23"/>
      <c r="L34313" s="23"/>
    </row>
    <row r="34314">
      <c r="B34314" s="19"/>
      <c r="E34314" s="23"/>
      <c r="L34314" s="23"/>
    </row>
    <row r="34315">
      <c r="B34315" s="19"/>
      <c r="E34315" s="23"/>
      <c r="L34315" s="23"/>
    </row>
    <row r="34316">
      <c r="B34316" s="19"/>
      <c r="E34316" s="23"/>
      <c r="L34316" s="23"/>
    </row>
    <row r="34317">
      <c r="B34317" s="19"/>
      <c r="E34317" s="23"/>
      <c r="L34317" s="23"/>
    </row>
    <row r="34318">
      <c r="B34318" s="19"/>
      <c r="E34318" s="23"/>
      <c r="L34318" s="23"/>
    </row>
    <row r="34319">
      <c r="B34319" s="19"/>
      <c r="E34319" s="23"/>
      <c r="L34319" s="23"/>
    </row>
    <row r="34320">
      <c r="B34320" s="19"/>
      <c r="E34320" s="23"/>
      <c r="L34320" s="23"/>
    </row>
    <row r="34321">
      <c r="B34321" s="19"/>
      <c r="E34321" s="23"/>
      <c r="L34321" s="23"/>
    </row>
    <row r="34322">
      <c r="B34322" s="19"/>
      <c r="E34322" s="23"/>
      <c r="L34322" s="23"/>
    </row>
    <row r="34323">
      <c r="B34323" s="19"/>
      <c r="E34323" s="23"/>
      <c r="L34323" s="23"/>
    </row>
    <row r="34324">
      <c r="B34324" s="19"/>
      <c r="E34324" s="23"/>
      <c r="L34324" s="23"/>
    </row>
    <row r="34325">
      <c r="B34325" s="19"/>
      <c r="E34325" s="23"/>
      <c r="L34325" s="23"/>
    </row>
    <row r="34326">
      <c r="B34326" s="19"/>
      <c r="E34326" s="23"/>
      <c r="L34326" s="23"/>
    </row>
    <row r="34327">
      <c r="B34327" s="19"/>
      <c r="E34327" s="23"/>
      <c r="L34327" s="23"/>
    </row>
    <row r="34328">
      <c r="B34328" s="19"/>
      <c r="E34328" s="23"/>
      <c r="L34328" s="23"/>
    </row>
    <row r="34329">
      <c r="B34329" s="19"/>
      <c r="E34329" s="23"/>
      <c r="L34329" s="23"/>
    </row>
    <row r="34330">
      <c r="B34330" s="19"/>
      <c r="E34330" s="23"/>
      <c r="L34330" s="23"/>
    </row>
    <row r="34331">
      <c r="B34331" s="19"/>
      <c r="E34331" s="23"/>
      <c r="L34331" s="23"/>
    </row>
    <row r="34332">
      <c r="B34332" s="19"/>
      <c r="E34332" s="23"/>
      <c r="L34332" s="23"/>
    </row>
    <row r="34333">
      <c r="B34333" s="19"/>
      <c r="E34333" s="23"/>
      <c r="L34333" s="23"/>
    </row>
    <row r="34334">
      <c r="B34334" s="19"/>
      <c r="E34334" s="23"/>
      <c r="L34334" s="23"/>
    </row>
    <row r="34335">
      <c r="B34335" s="19"/>
      <c r="E34335" s="23"/>
      <c r="L34335" s="23"/>
    </row>
    <row r="34336">
      <c r="B34336" s="19"/>
      <c r="E34336" s="23"/>
      <c r="L34336" s="23"/>
    </row>
    <row r="34337">
      <c r="B34337" s="19"/>
      <c r="E34337" s="23"/>
      <c r="L34337" s="23"/>
    </row>
    <row r="34338">
      <c r="B34338" s="19"/>
      <c r="E34338" s="23"/>
      <c r="L34338" s="23"/>
    </row>
    <row r="34339">
      <c r="B34339" s="19"/>
      <c r="E34339" s="23"/>
      <c r="L34339" s="23"/>
    </row>
    <row r="34340">
      <c r="B34340" s="19"/>
      <c r="E34340" s="23"/>
      <c r="L34340" s="23"/>
    </row>
    <row r="34341">
      <c r="B34341" s="19"/>
      <c r="E34341" s="23"/>
      <c r="L34341" s="23"/>
    </row>
    <row r="34342">
      <c r="B34342" s="19"/>
      <c r="E34342" s="23"/>
      <c r="L34342" s="23"/>
    </row>
    <row r="34343">
      <c r="B34343" s="19"/>
      <c r="E34343" s="23"/>
      <c r="L34343" s="23"/>
    </row>
    <row r="34344">
      <c r="B34344" s="19"/>
      <c r="E34344" s="23"/>
      <c r="L34344" s="23"/>
    </row>
    <row r="34345">
      <c r="B34345" s="19"/>
      <c r="E34345" s="23"/>
      <c r="L34345" s="23"/>
    </row>
    <row r="34346">
      <c r="B34346" s="19"/>
      <c r="E34346" s="23"/>
      <c r="L34346" s="23"/>
    </row>
    <row r="34347">
      <c r="B34347" s="19"/>
      <c r="E34347" s="23"/>
      <c r="L34347" s="23"/>
    </row>
    <row r="34348">
      <c r="B34348" s="19"/>
      <c r="E34348" s="23"/>
      <c r="L34348" s="23"/>
    </row>
    <row r="34349">
      <c r="B34349" s="19"/>
      <c r="E34349" s="23"/>
      <c r="L34349" s="23"/>
    </row>
    <row r="34350">
      <c r="B34350" s="19"/>
      <c r="E34350" s="23"/>
      <c r="L34350" s="23"/>
    </row>
    <row r="34351">
      <c r="B34351" s="19"/>
      <c r="E34351" s="23"/>
      <c r="L34351" s="23"/>
    </row>
    <row r="34352">
      <c r="B34352" s="19"/>
      <c r="E34352" s="23"/>
      <c r="L34352" s="23"/>
    </row>
    <row r="34353">
      <c r="B34353" s="19"/>
      <c r="E34353" s="23"/>
      <c r="L34353" s="23"/>
    </row>
    <row r="34354">
      <c r="B34354" s="19"/>
      <c r="E34354" s="23"/>
      <c r="L34354" s="23"/>
    </row>
    <row r="34355">
      <c r="B34355" s="19"/>
      <c r="E34355" s="23"/>
      <c r="L34355" s="23"/>
    </row>
    <row r="34356">
      <c r="B34356" s="19"/>
      <c r="E34356" s="23"/>
      <c r="L34356" s="23"/>
    </row>
    <row r="34357">
      <c r="B34357" s="19"/>
      <c r="E34357" s="23"/>
      <c r="L34357" s="23"/>
    </row>
    <row r="34358">
      <c r="B34358" s="19"/>
      <c r="E34358" s="23"/>
      <c r="L34358" s="23"/>
    </row>
    <row r="34359">
      <c r="B34359" s="19"/>
      <c r="E34359" s="23"/>
      <c r="L34359" s="23"/>
    </row>
    <row r="34360">
      <c r="B34360" s="19"/>
      <c r="E34360" s="23"/>
      <c r="L34360" s="23"/>
    </row>
    <row r="34361">
      <c r="B34361" s="19"/>
      <c r="E34361" s="23"/>
      <c r="L34361" s="23"/>
    </row>
    <row r="34362">
      <c r="B34362" s="19"/>
      <c r="E34362" s="23"/>
      <c r="L34362" s="23"/>
    </row>
    <row r="34363">
      <c r="B34363" s="19"/>
      <c r="E34363" s="23"/>
      <c r="L34363" s="23"/>
    </row>
    <row r="34364">
      <c r="B34364" s="19"/>
      <c r="E34364" s="23"/>
      <c r="L34364" s="23"/>
    </row>
    <row r="34365">
      <c r="B34365" s="19"/>
      <c r="E34365" s="23"/>
      <c r="L34365" s="23"/>
    </row>
    <row r="34366">
      <c r="B34366" s="19"/>
      <c r="E34366" s="23"/>
      <c r="L34366" s="23"/>
    </row>
    <row r="34367">
      <c r="B34367" s="19"/>
      <c r="E34367" s="23"/>
      <c r="L34367" s="23"/>
    </row>
    <row r="34368">
      <c r="B34368" s="19"/>
      <c r="E34368" s="23"/>
      <c r="L34368" s="23"/>
    </row>
    <row r="34369">
      <c r="B34369" s="19"/>
      <c r="E34369" s="23"/>
      <c r="L34369" s="23"/>
    </row>
    <row r="34370">
      <c r="B34370" s="19"/>
      <c r="E34370" s="23"/>
      <c r="L34370" s="23"/>
    </row>
    <row r="34371">
      <c r="B34371" s="19"/>
      <c r="E34371" s="23"/>
      <c r="L34371" s="23"/>
    </row>
    <row r="34372">
      <c r="B34372" s="19"/>
      <c r="E34372" s="23"/>
      <c r="L34372" s="23"/>
    </row>
    <row r="34373">
      <c r="B34373" s="19"/>
      <c r="E34373" s="23"/>
      <c r="L34373" s="23"/>
    </row>
    <row r="34374">
      <c r="B34374" s="19"/>
      <c r="E34374" s="23"/>
      <c r="L34374" s="23"/>
    </row>
    <row r="34375">
      <c r="B34375" s="19"/>
      <c r="E34375" s="23"/>
      <c r="L34375" s="23"/>
    </row>
    <row r="34376">
      <c r="B34376" s="19"/>
      <c r="E34376" s="23"/>
      <c r="L34376" s="23"/>
    </row>
    <row r="34377">
      <c r="B34377" s="19"/>
      <c r="E34377" s="23"/>
      <c r="L34377" s="23"/>
    </row>
    <row r="34378">
      <c r="B34378" s="19"/>
      <c r="E34378" s="23"/>
      <c r="L34378" s="23"/>
    </row>
    <row r="34379">
      <c r="B34379" s="19"/>
      <c r="E34379" s="23"/>
      <c r="L34379" s="23"/>
    </row>
    <row r="34380">
      <c r="B34380" s="19"/>
      <c r="E34380" s="23"/>
      <c r="L34380" s="23"/>
    </row>
    <row r="34381">
      <c r="B34381" s="19"/>
      <c r="E34381" s="23"/>
      <c r="L34381" s="23"/>
    </row>
    <row r="34382">
      <c r="B34382" s="19"/>
      <c r="E34382" s="23"/>
      <c r="L34382" s="23"/>
    </row>
    <row r="34383">
      <c r="B34383" s="19"/>
      <c r="E34383" s="23"/>
      <c r="L34383" s="23"/>
    </row>
    <row r="34384">
      <c r="B34384" s="19"/>
      <c r="E34384" s="23"/>
      <c r="L34384" s="23"/>
    </row>
    <row r="34385">
      <c r="B34385" s="19"/>
      <c r="E34385" s="23"/>
      <c r="L34385" s="23"/>
    </row>
    <row r="34386">
      <c r="B34386" s="19"/>
      <c r="E34386" s="23"/>
      <c r="L34386" s="23"/>
    </row>
    <row r="34387">
      <c r="B34387" s="19"/>
      <c r="E34387" s="23"/>
      <c r="L34387" s="23"/>
    </row>
    <row r="34388">
      <c r="B34388" s="19"/>
      <c r="E34388" s="23"/>
      <c r="L34388" s="23"/>
    </row>
    <row r="34389">
      <c r="B34389" s="19"/>
      <c r="E34389" s="23"/>
      <c r="L34389" s="23"/>
    </row>
    <row r="34390">
      <c r="B34390" s="19"/>
      <c r="E34390" s="23"/>
      <c r="L34390" s="23"/>
    </row>
    <row r="34391">
      <c r="B34391" s="19"/>
      <c r="E34391" s="23"/>
      <c r="L34391" s="23"/>
    </row>
    <row r="34392">
      <c r="B34392" s="19"/>
      <c r="E34392" s="23"/>
      <c r="L34392" s="23"/>
    </row>
    <row r="34393">
      <c r="B34393" s="19"/>
      <c r="E34393" s="23"/>
      <c r="L34393" s="23"/>
    </row>
    <row r="34394">
      <c r="B34394" s="19"/>
      <c r="E34394" s="23"/>
      <c r="L34394" s="23"/>
    </row>
    <row r="34395">
      <c r="B34395" s="19"/>
      <c r="E34395" s="23"/>
      <c r="L34395" s="23"/>
    </row>
    <row r="34396">
      <c r="B34396" s="19"/>
      <c r="E34396" s="23"/>
      <c r="L34396" s="23"/>
    </row>
    <row r="34397">
      <c r="B34397" s="19"/>
      <c r="E34397" s="23"/>
      <c r="L34397" s="23"/>
    </row>
    <row r="34398">
      <c r="B34398" s="19"/>
      <c r="E34398" s="23"/>
      <c r="L34398" s="23"/>
    </row>
    <row r="34399">
      <c r="B34399" s="19"/>
      <c r="E34399" s="23"/>
      <c r="L34399" s="23"/>
    </row>
    <row r="34400">
      <c r="B34400" s="19"/>
      <c r="E34400" s="23"/>
      <c r="L34400" s="23"/>
    </row>
    <row r="34401">
      <c r="B34401" s="19"/>
      <c r="E34401" s="23"/>
      <c r="L34401" s="23"/>
    </row>
    <row r="34402">
      <c r="B34402" s="19"/>
      <c r="E34402" s="23"/>
      <c r="L34402" s="23"/>
    </row>
    <row r="34403">
      <c r="B34403" s="19"/>
      <c r="E34403" s="23"/>
      <c r="L34403" s="23"/>
    </row>
    <row r="34404">
      <c r="B34404" s="19"/>
      <c r="E34404" s="23"/>
      <c r="L34404" s="23"/>
    </row>
    <row r="34405">
      <c r="B34405" s="19"/>
      <c r="E34405" s="23"/>
      <c r="L34405" s="23"/>
    </row>
    <row r="34406">
      <c r="B34406" s="19"/>
      <c r="E34406" s="23"/>
      <c r="L34406" s="23"/>
    </row>
    <row r="34407">
      <c r="B34407" s="19"/>
      <c r="E34407" s="23"/>
      <c r="L34407" s="23"/>
    </row>
    <row r="34408">
      <c r="B34408" s="19"/>
      <c r="E34408" s="23"/>
      <c r="L34408" s="23"/>
    </row>
    <row r="34409">
      <c r="B34409" s="19"/>
      <c r="E34409" s="23"/>
      <c r="L34409" s="23"/>
    </row>
    <row r="34410">
      <c r="B34410" s="19"/>
      <c r="E34410" s="23"/>
      <c r="L34410" s="23"/>
    </row>
    <row r="34411">
      <c r="B34411" s="19"/>
      <c r="E34411" s="23"/>
      <c r="L34411" s="23"/>
    </row>
    <row r="34412">
      <c r="B34412" s="19"/>
      <c r="E34412" s="23"/>
      <c r="L34412" s="23"/>
    </row>
    <row r="34413">
      <c r="B34413" s="19"/>
      <c r="E34413" s="23"/>
      <c r="L34413" s="23"/>
    </row>
    <row r="34414">
      <c r="B34414" s="19"/>
      <c r="E34414" s="23"/>
      <c r="L34414" s="23"/>
    </row>
    <row r="34415">
      <c r="B34415" s="19"/>
      <c r="E34415" s="23"/>
      <c r="L34415" s="23"/>
    </row>
    <row r="34416">
      <c r="B34416" s="19"/>
      <c r="E34416" s="23"/>
      <c r="L34416" s="23"/>
    </row>
    <row r="34417">
      <c r="B34417" s="19"/>
      <c r="E34417" s="23"/>
      <c r="L34417" s="23"/>
    </row>
    <row r="34418">
      <c r="B34418" s="19"/>
      <c r="E34418" s="23"/>
      <c r="L34418" s="23"/>
    </row>
    <row r="34419">
      <c r="B34419" s="19"/>
      <c r="E34419" s="23"/>
      <c r="L34419" s="23"/>
    </row>
    <row r="34420">
      <c r="B34420" s="19"/>
      <c r="E34420" s="23"/>
      <c r="L34420" s="23"/>
    </row>
    <row r="34421">
      <c r="B34421" s="19"/>
      <c r="E34421" s="23"/>
      <c r="L34421" s="23"/>
    </row>
    <row r="34422">
      <c r="B34422" s="19"/>
      <c r="E34422" s="23"/>
      <c r="L34422" s="23"/>
    </row>
    <row r="34423">
      <c r="B34423" s="19"/>
      <c r="E34423" s="23"/>
      <c r="L34423" s="23"/>
    </row>
    <row r="34424">
      <c r="B34424" s="19"/>
      <c r="E34424" s="23"/>
      <c r="L34424" s="23"/>
    </row>
    <row r="34425">
      <c r="B34425" s="19"/>
      <c r="E34425" s="23"/>
      <c r="L34425" s="23"/>
    </row>
    <row r="34426">
      <c r="B34426" s="19"/>
      <c r="E34426" s="23"/>
      <c r="L34426" s="23"/>
    </row>
    <row r="34427">
      <c r="B34427" s="19"/>
      <c r="E34427" s="23"/>
      <c r="L34427" s="23"/>
    </row>
    <row r="34428">
      <c r="B34428" s="19"/>
      <c r="E34428" s="23"/>
      <c r="L34428" s="23"/>
    </row>
    <row r="34429">
      <c r="B34429" s="19"/>
      <c r="E34429" s="23"/>
      <c r="L34429" s="23"/>
    </row>
    <row r="34430">
      <c r="B34430" s="19"/>
      <c r="E34430" s="23"/>
      <c r="L34430" s="23"/>
    </row>
    <row r="34431">
      <c r="B34431" s="19"/>
      <c r="E34431" s="23"/>
      <c r="L34431" s="23"/>
    </row>
    <row r="34432">
      <c r="B34432" s="19"/>
      <c r="E34432" s="23"/>
      <c r="L34432" s="23"/>
    </row>
    <row r="34433">
      <c r="B34433" s="19"/>
      <c r="E34433" s="23"/>
      <c r="L34433" s="23"/>
    </row>
    <row r="34434">
      <c r="B34434" s="19"/>
      <c r="E34434" s="23"/>
      <c r="L34434" s="23"/>
    </row>
    <row r="34435">
      <c r="B34435" s="19"/>
      <c r="E34435" s="23"/>
      <c r="L34435" s="23"/>
    </row>
    <row r="34436">
      <c r="B34436" s="19"/>
      <c r="E34436" s="23"/>
      <c r="L34436" s="23"/>
    </row>
    <row r="34437">
      <c r="B34437" s="19"/>
      <c r="E34437" s="23"/>
      <c r="L34437" s="23"/>
    </row>
    <row r="34438">
      <c r="B34438" s="19"/>
      <c r="E34438" s="23"/>
      <c r="L34438" s="23"/>
    </row>
    <row r="34439">
      <c r="B34439" s="19"/>
      <c r="E34439" s="23"/>
      <c r="L34439" s="23"/>
    </row>
    <row r="34440">
      <c r="B34440" s="19"/>
      <c r="E34440" s="23"/>
      <c r="L34440" s="23"/>
    </row>
    <row r="34441">
      <c r="B34441" s="19"/>
      <c r="E34441" s="23"/>
      <c r="L34441" s="23"/>
    </row>
    <row r="34442">
      <c r="B34442" s="19"/>
      <c r="E34442" s="23"/>
      <c r="L34442" s="23"/>
    </row>
    <row r="34443">
      <c r="B34443" s="19"/>
      <c r="E34443" s="23"/>
      <c r="L34443" s="23"/>
    </row>
    <row r="34444">
      <c r="B34444" s="19"/>
      <c r="E34444" s="23"/>
      <c r="L34444" s="23"/>
    </row>
    <row r="34445">
      <c r="B34445" s="19"/>
      <c r="E34445" s="23"/>
      <c r="L34445" s="23"/>
    </row>
    <row r="34446">
      <c r="B34446" s="19"/>
      <c r="E34446" s="23"/>
      <c r="L34446" s="23"/>
    </row>
    <row r="34447">
      <c r="B34447" s="19"/>
      <c r="E34447" s="23"/>
      <c r="L34447" s="23"/>
    </row>
    <row r="34448">
      <c r="B34448" s="19"/>
      <c r="E34448" s="23"/>
      <c r="L34448" s="23"/>
    </row>
    <row r="34449">
      <c r="B34449" s="19"/>
      <c r="E34449" s="23"/>
      <c r="L34449" s="23"/>
    </row>
    <row r="34450">
      <c r="B34450" s="19"/>
      <c r="E34450" s="23"/>
      <c r="L34450" s="23"/>
    </row>
    <row r="34451">
      <c r="B34451" s="19"/>
      <c r="E34451" s="23"/>
      <c r="L34451" s="23"/>
    </row>
    <row r="34452">
      <c r="B34452" s="19"/>
      <c r="E34452" s="23"/>
      <c r="L34452" s="23"/>
    </row>
    <row r="34453">
      <c r="B34453" s="19"/>
      <c r="E34453" s="23"/>
      <c r="L34453" s="23"/>
    </row>
    <row r="34454">
      <c r="B34454" s="19"/>
      <c r="E34454" s="23"/>
      <c r="L34454" s="23"/>
    </row>
    <row r="34455">
      <c r="B34455" s="19"/>
      <c r="E34455" s="23"/>
      <c r="L34455" s="23"/>
    </row>
    <row r="34456">
      <c r="B34456" s="19"/>
      <c r="E34456" s="23"/>
      <c r="L34456" s="23"/>
    </row>
    <row r="34457">
      <c r="B34457" s="19"/>
      <c r="E34457" s="23"/>
      <c r="L34457" s="23"/>
    </row>
    <row r="34458">
      <c r="B34458" s="19"/>
      <c r="E34458" s="23"/>
      <c r="L34458" s="23"/>
    </row>
    <row r="34459">
      <c r="B34459" s="19"/>
      <c r="E34459" s="23"/>
      <c r="L34459" s="23"/>
    </row>
    <row r="34460">
      <c r="B34460" s="19"/>
      <c r="E34460" s="23"/>
      <c r="L34460" s="23"/>
    </row>
    <row r="34461">
      <c r="B34461" s="19"/>
      <c r="E34461" s="23"/>
      <c r="L34461" s="23"/>
    </row>
    <row r="34462">
      <c r="B34462" s="19"/>
      <c r="E34462" s="23"/>
      <c r="L34462" s="23"/>
    </row>
    <row r="34463">
      <c r="B34463" s="19"/>
      <c r="E34463" s="23"/>
      <c r="L34463" s="23"/>
    </row>
    <row r="34464">
      <c r="B34464" s="19"/>
      <c r="E34464" s="23"/>
      <c r="L34464" s="23"/>
    </row>
    <row r="34465">
      <c r="B34465" s="19"/>
      <c r="E34465" s="23"/>
      <c r="L34465" s="23"/>
    </row>
    <row r="34466">
      <c r="B34466" s="19"/>
      <c r="E34466" s="23"/>
      <c r="L34466" s="23"/>
    </row>
    <row r="34467">
      <c r="B34467" s="19"/>
      <c r="E34467" s="23"/>
      <c r="L34467" s="23"/>
    </row>
    <row r="34468">
      <c r="B34468" s="19"/>
      <c r="E34468" s="23"/>
      <c r="L34468" s="23"/>
    </row>
    <row r="34469">
      <c r="B34469" s="19"/>
      <c r="E34469" s="23"/>
      <c r="L34469" s="23"/>
    </row>
    <row r="34470">
      <c r="B34470" s="19"/>
      <c r="E34470" s="23"/>
      <c r="L34470" s="23"/>
    </row>
    <row r="34471">
      <c r="B34471" s="19"/>
      <c r="E34471" s="23"/>
      <c r="L34471" s="23"/>
    </row>
    <row r="34472">
      <c r="B34472" s="19"/>
      <c r="E34472" s="23"/>
      <c r="L34472" s="23"/>
    </row>
    <row r="34473">
      <c r="B34473" s="19"/>
      <c r="E34473" s="23"/>
      <c r="L34473" s="23"/>
    </row>
    <row r="34474">
      <c r="B34474" s="19"/>
      <c r="E34474" s="23"/>
      <c r="L34474" s="23"/>
    </row>
    <row r="34475">
      <c r="B34475" s="19"/>
      <c r="E34475" s="23"/>
      <c r="L34475" s="23"/>
    </row>
    <row r="34476">
      <c r="B34476" s="19"/>
      <c r="E34476" s="23"/>
      <c r="L34476" s="23"/>
    </row>
    <row r="34477">
      <c r="B34477" s="19"/>
      <c r="E34477" s="23"/>
      <c r="L34477" s="23"/>
    </row>
    <row r="34478">
      <c r="B34478" s="19"/>
      <c r="E34478" s="23"/>
      <c r="L34478" s="23"/>
    </row>
    <row r="34479">
      <c r="B34479" s="19"/>
      <c r="E34479" s="23"/>
      <c r="L34479" s="23"/>
    </row>
    <row r="34480">
      <c r="B34480" s="19"/>
      <c r="E34480" s="23"/>
      <c r="L34480" s="23"/>
    </row>
    <row r="34481">
      <c r="B34481" s="19"/>
      <c r="E34481" s="23"/>
      <c r="L34481" s="23"/>
    </row>
    <row r="34482">
      <c r="B34482" s="19"/>
      <c r="E34482" s="23"/>
      <c r="L34482" s="23"/>
    </row>
    <row r="34483">
      <c r="B34483" s="19"/>
      <c r="E34483" s="23"/>
      <c r="L34483" s="23"/>
    </row>
    <row r="34484">
      <c r="B34484" s="19"/>
      <c r="E34484" s="23"/>
      <c r="L34484" s="23"/>
    </row>
    <row r="34485">
      <c r="B34485" s="19"/>
      <c r="E34485" s="23"/>
      <c r="L34485" s="23"/>
    </row>
    <row r="34486">
      <c r="B34486" s="19"/>
      <c r="E34486" s="23"/>
      <c r="L34486" s="23"/>
    </row>
    <row r="34487">
      <c r="B34487" s="19"/>
      <c r="E34487" s="23"/>
      <c r="L34487" s="23"/>
    </row>
    <row r="34488">
      <c r="B34488" s="19"/>
      <c r="E34488" s="23"/>
      <c r="L34488" s="23"/>
    </row>
    <row r="34489">
      <c r="B34489" s="19"/>
      <c r="E34489" s="23"/>
      <c r="L34489" s="23"/>
    </row>
    <row r="34490">
      <c r="B34490" s="19"/>
      <c r="E34490" s="23"/>
      <c r="L34490" s="23"/>
    </row>
    <row r="34491">
      <c r="B34491" s="19"/>
      <c r="E34491" s="23"/>
      <c r="L34491" s="23"/>
    </row>
    <row r="34492">
      <c r="B34492" s="19"/>
      <c r="E34492" s="23"/>
      <c r="L34492" s="23"/>
    </row>
    <row r="34493">
      <c r="B34493" s="19"/>
      <c r="E34493" s="23"/>
      <c r="L34493" s="23"/>
    </row>
    <row r="34494">
      <c r="B34494" s="19"/>
      <c r="E34494" s="23"/>
      <c r="L34494" s="23"/>
    </row>
    <row r="34495">
      <c r="B34495" s="19"/>
      <c r="E34495" s="23"/>
      <c r="L34495" s="23"/>
    </row>
    <row r="34496">
      <c r="B34496" s="19"/>
      <c r="E34496" s="23"/>
      <c r="L34496" s="23"/>
    </row>
    <row r="34497">
      <c r="B34497" s="19"/>
      <c r="E34497" s="23"/>
      <c r="L34497" s="23"/>
    </row>
    <row r="34498">
      <c r="B34498" s="19"/>
      <c r="E34498" s="23"/>
      <c r="L34498" s="23"/>
    </row>
    <row r="34499">
      <c r="B34499" s="19"/>
      <c r="E34499" s="23"/>
      <c r="L34499" s="23"/>
    </row>
    <row r="34500">
      <c r="B34500" s="19"/>
      <c r="E34500" s="23"/>
      <c r="L34500" s="23"/>
    </row>
    <row r="34501">
      <c r="B34501" s="19"/>
      <c r="E34501" s="23"/>
      <c r="L34501" s="23"/>
    </row>
    <row r="34502">
      <c r="B34502" s="19"/>
      <c r="E34502" s="23"/>
      <c r="L34502" s="23"/>
    </row>
    <row r="34503">
      <c r="B34503" s="19"/>
      <c r="E34503" s="23"/>
      <c r="L34503" s="23"/>
    </row>
    <row r="34504">
      <c r="B34504" s="19"/>
      <c r="E34504" s="23"/>
      <c r="L34504" s="23"/>
    </row>
    <row r="34505">
      <c r="B34505" s="19"/>
      <c r="E34505" s="23"/>
      <c r="L34505" s="23"/>
    </row>
    <row r="34506">
      <c r="B34506" s="19"/>
      <c r="E34506" s="23"/>
      <c r="L34506" s="23"/>
    </row>
    <row r="34507">
      <c r="B34507" s="19"/>
      <c r="E34507" s="23"/>
      <c r="L34507" s="23"/>
    </row>
    <row r="34508">
      <c r="B34508" s="19"/>
      <c r="E34508" s="23"/>
      <c r="L34508" s="23"/>
    </row>
    <row r="34509">
      <c r="B34509" s="19"/>
      <c r="E34509" s="23"/>
      <c r="L34509" s="23"/>
    </row>
    <row r="34510">
      <c r="B34510" s="19"/>
      <c r="E34510" s="23"/>
      <c r="L34510" s="23"/>
    </row>
    <row r="34511">
      <c r="B34511" s="19"/>
      <c r="E34511" s="23"/>
      <c r="L34511" s="23"/>
    </row>
    <row r="34512">
      <c r="B34512" s="19"/>
      <c r="E34512" s="23"/>
      <c r="L34512" s="23"/>
    </row>
    <row r="34513">
      <c r="B34513" s="19"/>
      <c r="E34513" s="23"/>
      <c r="L34513" s="23"/>
    </row>
    <row r="34514">
      <c r="B34514" s="19"/>
      <c r="E34514" s="23"/>
      <c r="L34514" s="23"/>
    </row>
    <row r="34515">
      <c r="B34515" s="19"/>
      <c r="E34515" s="23"/>
      <c r="L34515" s="23"/>
    </row>
    <row r="34516">
      <c r="B34516" s="19"/>
      <c r="E34516" s="23"/>
      <c r="L34516" s="23"/>
    </row>
    <row r="34517">
      <c r="B34517" s="19"/>
      <c r="E34517" s="23"/>
      <c r="L34517" s="23"/>
    </row>
    <row r="34518">
      <c r="B34518" s="19"/>
      <c r="E34518" s="23"/>
      <c r="L34518" s="23"/>
    </row>
    <row r="34519">
      <c r="B34519" s="19"/>
      <c r="E34519" s="23"/>
      <c r="L34519" s="23"/>
    </row>
    <row r="34520">
      <c r="B34520" s="19"/>
      <c r="E34520" s="23"/>
      <c r="L34520" s="23"/>
    </row>
    <row r="34521">
      <c r="B34521" s="19"/>
      <c r="E34521" s="23"/>
      <c r="L34521" s="23"/>
    </row>
    <row r="34522">
      <c r="B34522" s="19"/>
      <c r="E34522" s="23"/>
      <c r="L34522" s="23"/>
    </row>
    <row r="34523">
      <c r="B34523" s="19"/>
      <c r="E34523" s="23"/>
      <c r="L34523" s="23"/>
    </row>
    <row r="34524">
      <c r="B34524" s="19"/>
      <c r="E34524" s="23"/>
      <c r="L34524" s="23"/>
    </row>
    <row r="34525">
      <c r="B34525" s="19"/>
      <c r="E34525" s="23"/>
      <c r="L34525" s="23"/>
    </row>
    <row r="34526">
      <c r="B34526" s="19"/>
      <c r="E34526" s="23"/>
      <c r="L34526" s="23"/>
    </row>
    <row r="34527">
      <c r="B34527" s="19"/>
      <c r="E34527" s="23"/>
      <c r="L34527" s="23"/>
    </row>
    <row r="34528">
      <c r="B34528" s="19"/>
      <c r="E34528" s="23"/>
      <c r="L34528" s="23"/>
    </row>
    <row r="34529">
      <c r="B34529" s="19"/>
      <c r="E34529" s="23"/>
      <c r="L34529" s="23"/>
    </row>
    <row r="34530">
      <c r="B34530" s="19"/>
      <c r="E34530" s="23"/>
      <c r="L34530" s="23"/>
    </row>
    <row r="34531">
      <c r="B34531" s="19"/>
      <c r="E34531" s="23"/>
      <c r="L34531" s="23"/>
    </row>
    <row r="34532">
      <c r="B34532" s="19"/>
      <c r="E34532" s="23"/>
      <c r="L34532" s="23"/>
    </row>
    <row r="34533">
      <c r="B34533" s="19"/>
      <c r="E34533" s="23"/>
      <c r="L34533" s="23"/>
    </row>
    <row r="34534">
      <c r="B34534" s="19"/>
      <c r="E34534" s="23"/>
      <c r="L34534" s="23"/>
    </row>
    <row r="34535">
      <c r="B34535" s="19"/>
      <c r="E34535" s="23"/>
      <c r="L34535" s="23"/>
    </row>
    <row r="34536">
      <c r="B34536" s="19"/>
      <c r="E34536" s="23"/>
      <c r="L34536" s="23"/>
    </row>
    <row r="34537">
      <c r="B34537" s="19"/>
      <c r="E34537" s="23"/>
      <c r="L34537" s="23"/>
    </row>
    <row r="34538">
      <c r="B34538" s="19"/>
      <c r="E34538" s="23"/>
      <c r="L34538" s="23"/>
    </row>
    <row r="34539">
      <c r="B34539" s="19"/>
      <c r="E34539" s="23"/>
      <c r="L34539" s="23"/>
    </row>
    <row r="34540">
      <c r="B34540" s="19"/>
      <c r="E34540" s="23"/>
      <c r="L34540" s="23"/>
    </row>
    <row r="34541">
      <c r="B34541" s="19"/>
      <c r="E34541" s="23"/>
      <c r="L34541" s="23"/>
    </row>
    <row r="34542">
      <c r="B34542" s="19"/>
      <c r="E34542" s="23"/>
      <c r="L34542" s="23"/>
    </row>
    <row r="34543">
      <c r="B34543" s="19"/>
      <c r="E34543" s="23"/>
      <c r="L34543" s="23"/>
    </row>
    <row r="34544">
      <c r="B34544" s="19"/>
      <c r="E34544" s="23"/>
      <c r="L34544" s="23"/>
    </row>
    <row r="34545">
      <c r="B34545" s="19"/>
      <c r="E34545" s="23"/>
      <c r="L34545" s="23"/>
    </row>
    <row r="34546">
      <c r="B34546" s="19"/>
      <c r="E34546" s="23"/>
      <c r="L34546" s="23"/>
    </row>
    <row r="34547">
      <c r="B34547" s="19"/>
      <c r="E34547" s="23"/>
      <c r="L34547" s="23"/>
    </row>
    <row r="34548">
      <c r="B34548" s="19"/>
      <c r="E34548" s="23"/>
      <c r="L34548" s="23"/>
    </row>
    <row r="34549">
      <c r="B34549" s="19"/>
      <c r="E34549" s="23"/>
      <c r="L34549" s="23"/>
    </row>
    <row r="34550">
      <c r="B34550" s="19"/>
      <c r="E34550" s="23"/>
      <c r="L34550" s="23"/>
    </row>
    <row r="34551">
      <c r="B34551" s="19"/>
      <c r="E34551" s="23"/>
      <c r="L34551" s="23"/>
    </row>
    <row r="34552">
      <c r="B34552" s="19"/>
      <c r="E34552" s="23"/>
      <c r="L34552" s="23"/>
    </row>
    <row r="34553">
      <c r="B34553" s="19"/>
      <c r="E34553" s="23"/>
      <c r="L34553" s="23"/>
    </row>
    <row r="34554">
      <c r="B34554" s="19"/>
      <c r="E34554" s="23"/>
      <c r="L34554" s="23"/>
    </row>
    <row r="34555">
      <c r="B34555" s="19"/>
      <c r="E34555" s="23"/>
      <c r="L34555" s="23"/>
    </row>
    <row r="34556">
      <c r="B34556" s="19"/>
      <c r="E34556" s="23"/>
      <c r="L34556" s="23"/>
    </row>
    <row r="34557">
      <c r="B34557" s="19"/>
      <c r="E34557" s="23"/>
      <c r="L34557" s="23"/>
    </row>
    <row r="34558">
      <c r="B34558" s="19"/>
      <c r="E34558" s="23"/>
      <c r="L34558" s="23"/>
    </row>
    <row r="34559">
      <c r="B34559" s="19"/>
      <c r="E34559" s="23"/>
      <c r="L34559" s="23"/>
    </row>
    <row r="34560">
      <c r="B34560" s="19"/>
      <c r="E34560" s="23"/>
      <c r="L34560" s="23"/>
    </row>
    <row r="34561">
      <c r="B34561" s="19"/>
      <c r="E34561" s="23"/>
      <c r="L34561" s="23"/>
    </row>
    <row r="34562">
      <c r="B34562" s="19"/>
      <c r="E34562" s="23"/>
      <c r="L34562" s="23"/>
    </row>
    <row r="34563">
      <c r="B34563" s="19"/>
      <c r="E34563" s="23"/>
      <c r="L34563" s="23"/>
    </row>
    <row r="34564">
      <c r="B34564" s="19"/>
      <c r="E34564" s="23"/>
      <c r="L34564" s="23"/>
    </row>
    <row r="34565">
      <c r="B34565" s="19"/>
      <c r="E34565" s="23"/>
      <c r="L34565" s="23"/>
    </row>
    <row r="34566">
      <c r="B34566" s="19"/>
      <c r="E34566" s="23"/>
      <c r="L34566" s="23"/>
    </row>
    <row r="34567">
      <c r="B34567" s="19"/>
      <c r="E34567" s="23"/>
      <c r="L34567" s="23"/>
    </row>
    <row r="34568">
      <c r="B34568" s="19"/>
      <c r="E34568" s="23"/>
      <c r="L34568" s="23"/>
    </row>
    <row r="34569">
      <c r="B34569" s="19"/>
      <c r="E34569" s="23"/>
      <c r="L34569" s="23"/>
    </row>
    <row r="34570">
      <c r="B34570" s="19"/>
      <c r="E34570" s="23"/>
      <c r="L34570" s="23"/>
    </row>
    <row r="34571">
      <c r="B34571" s="19"/>
      <c r="E34571" s="23"/>
      <c r="L34571" s="23"/>
    </row>
    <row r="34572">
      <c r="B34572" s="19"/>
      <c r="E34572" s="23"/>
      <c r="L34572" s="23"/>
    </row>
    <row r="34573">
      <c r="B34573" s="19"/>
      <c r="E34573" s="23"/>
      <c r="L34573" s="23"/>
    </row>
    <row r="34574">
      <c r="B34574" s="19"/>
      <c r="E34574" s="23"/>
      <c r="L34574" s="23"/>
    </row>
    <row r="34575">
      <c r="B34575" s="19"/>
      <c r="E34575" s="23"/>
      <c r="L34575" s="23"/>
    </row>
    <row r="34576">
      <c r="B34576" s="19"/>
      <c r="E34576" s="23"/>
      <c r="L34576" s="23"/>
    </row>
    <row r="34577">
      <c r="B34577" s="19"/>
      <c r="E34577" s="23"/>
      <c r="L34577" s="23"/>
    </row>
    <row r="34578">
      <c r="B34578" s="19"/>
      <c r="E34578" s="23"/>
      <c r="L34578" s="23"/>
    </row>
    <row r="34579">
      <c r="B34579" s="19"/>
      <c r="E34579" s="23"/>
      <c r="L34579" s="23"/>
    </row>
    <row r="34580">
      <c r="B34580" s="19"/>
      <c r="E34580" s="23"/>
      <c r="L34580" s="23"/>
    </row>
    <row r="34581">
      <c r="B34581" s="19"/>
      <c r="E34581" s="23"/>
      <c r="L34581" s="23"/>
    </row>
    <row r="34582">
      <c r="B34582" s="19"/>
      <c r="E34582" s="23"/>
      <c r="L34582" s="23"/>
    </row>
    <row r="34583">
      <c r="B34583" s="19"/>
      <c r="E34583" s="23"/>
      <c r="L34583" s="23"/>
    </row>
    <row r="34584">
      <c r="B34584" s="19"/>
      <c r="E34584" s="23"/>
      <c r="L34584" s="23"/>
    </row>
    <row r="34585">
      <c r="B34585" s="19"/>
      <c r="E34585" s="23"/>
      <c r="L34585" s="23"/>
    </row>
    <row r="34586">
      <c r="B34586" s="19"/>
      <c r="E34586" s="23"/>
      <c r="L34586" s="23"/>
    </row>
    <row r="34587">
      <c r="B34587" s="19"/>
      <c r="E34587" s="23"/>
      <c r="L34587" s="23"/>
    </row>
    <row r="34588">
      <c r="B34588" s="19"/>
      <c r="E34588" s="23"/>
      <c r="L34588" s="23"/>
    </row>
    <row r="34589">
      <c r="B34589" s="19"/>
      <c r="E34589" s="23"/>
      <c r="L34589" s="23"/>
    </row>
    <row r="34590">
      <c r="B34590" s="19"/>
      <c r="E34590" s="23"/>
      <c r="L34590" s="23"/>
    </row>
    <row r="34591">
      <c r="B34591" s="19"/>
      <c r="E34591" s="23"/>
      <c r="L34591" s="23"/>
    </row>
    <row r="34592">
      <c r="B34592" s="19"/>
      <c r="E34592" s="23"/>
      <c r="L34592" s="23"/>
    </row>
    <row r="34593">
      <c r="B34593" s="19"/>
      <c r="E34593" s="23"/>
      <c r="L34593" s="23"/>
    </row>
    <row r="34594">
      <c r="B34594" s="19"/>
      <c r="E34594" s="23"/>
      <c r="L34594" s="23"/>
    </row>
    <row r="34595">
      <c r="B34595" s="19"/>
      <c r="E34595" s="23"/>
      <c r="L34595" s="23"/>
    </row>
    <row r="34596">
      <c r="B34596" s="19"/>
      <c r="E34596" s="23"/>
      <c r="L34596" s="23"/>
    </row>
    <row r="34597">
      <c r="B34597" s="19"/>
      <c r="E34597" s="23"/>
      <c r="L34597" s="23"/>
    </row>
    <row r="34598">
      <c r="B34598" s="19"/>
      <c r="E34598" s="23"/>
      <c r="L34598" s="23"/>
    </row>
    <row r="34599">
      <c r="B34599" s="19"/>
      <c r="E34599" s="23"/>
      <c r="L34599" s="23"/>
    </row>
    <row r="34600">
      <c r="B34600" s="19"/>
      <c r="E34600" s="23"/>
      <c r="L34600" s="23"/>
    </row>
    <row r="34601">
      <c r="B34601" s="19"/>
      <c r="E34601" s="23"/>
      <c r="L34601" s="23"/>
    </row>
    <row r="34602">
      <c r="B34602" s="19"/>
      <c r="E34602" s="23"/>
      <c r="L34602" s="23"/>
    </row>
    <row r="34603">
      <c r="B34603" s="19"/>
      <c r="E34603" s="23"/>
      <c r="L34603" s="23"/>
    </row>
    <row r="34604">
      <c r="B34604" s="19"/>
      <c r="E34604" s="23"/>
      <c r="L34604" s="23"/>
    </row>
    <row r="34605">
      <c r="B34605" s="19"/>
      <c r="E34605" s="23"/>
      <c r="L34605" s="23"/>
    </row>
    <row r="34606">
      <c r="B34606" s="19"/>
      <c r="E34606" s="23"/>
      <c r="L34606" s="23"/>
    </row>
    <row r="34607">
      <c r="B34607" s="19"/>
      <c r="E34607" s="23"/>
      <c r="L34607" s="23"/>
    </row>
    <row r="34608">
      <c r="B34608" s="19"/>
      <c r="E34608" s="23"/>
      <c r="L34608" s="23"/>
    </row>
    <row r="34609">
      <c r="B34609" s="19"/>
      <c r="E34609" s="23"/>
      <c r="L34609" s="23"/>
    </row>
    <row r="34610">
      <c r="B34610" s="19"/>
      <c r="E34610" s="23"/>
      <c r="L34610" s="23"/>
    </row>
    <row r="34611">
      <c r="B34611" s="19"/>
      <c r="E34611" s="23"/>
      <c r="L34611" s="23"/>
    </row>
    <row r="34612">
      <c r="B34612" s="19"/>
      <c r="E34612" s="23"/>
      <c r="L34612" s="23"/>
    </row>
    <row r="34613">
      <c r="B34613" s="19"/>
      <c r="E34613" s="23"/>
      <c r="L34613" s="23"/>
    </row>
    <row r="34614">
      <c r="B34614" s="19"/>
      <c r="E34614" s="23"/>
      <c r="L34614" s="23"/>
    </row>
    <row r="34615">
      <c r="B34615" s="19"/>
      <c r="E34615" s="23"/>
      <c r="L34615" s="23"/>
    </row>
    <row r="34616">
      <c r="B34616" s="19"/>
      <c r="E34616" s="23"/>
      <c r="L34616" s="23"/>
    </row>
    <row r="34617">
      <c r="B34617" s="19"/>
      <c r="E34617" s="23"/>
      <c r="L34617" s="23"/>
    </row>
    <row r="34618">
      <c r="B34618" s="19"/>
      <c r="E34618" s="23"/>
      <c r="L34618" s="23"/>
    </row>
    <row r="34619">
      <c r="B34619" s="19"/>
      <c r="E34619" s="23"/>
      <c r="L34619" s="23"/>
    </row>
    <row r="34620">
      <c r="B34620" s="19"/>
      <c r="E34620" s="23"/>
      <c r="L34620" s="23"/>
    </row>
    <row r="34621">
      <c r="B34621" s="19"/>
      <c r="E34621" s="23"/>
      <c r="L34621" s="23"/>
    </row>
    <row r="34622">
      <c r="B34622" s="19"/>
      <c r="E34622" s="23"/>
      <c r="L34622" s="23"/>
    </row>
    <row r="34623">
      <c r="B34623" s="19"/>
      <c r="E34623" s="23"/>
      <c r="L34623" s="23"/>
    </row>
    <row r="34624">
      <c r="B34624" s="19"/>
      <c r="E34624" s="23"/>
      <c r="L34624" s="23"/>
    </row>
    <row r="34625">
      <c r="B34625" s="19"/>
      <c r="E34625" s="23"/>
      <c r="L34625" s="23"/>
    </row>
    <row r="34626">
      <c r="B34626" s="19"/>
      <c r="E34626" s="23"/>
      <c r="L34626" s="23"/>
    </row>
    <row r="34627">
      <c r="B34627" s="19"/>
      <c r="E34627" s="23"/>
      <c r="L34627" s="23"/>
    </row>
    <row r="34628">
      <c r="B34628" s="19"/>
      <c r="E34628" s="23"/>
      <c r="L34628" s="23"/>
    </row>
    <row r="34629">
      <c r="B34629" s="19"/>
      <c r="E34629" s="23"/>
      <c r="L34629" s="23"/>
    </row>
    <row r="34630">
      <c r="B34630" s="19"/>
      <c r="E34630" s="23"/>
      <c r="L34630" s="23"/>
    </row>
    <row r="34631">
      <c r="B34631" s="19"/>
      <c r="E34631" s="23"/>
      <c r="L34631" s="23"/>
    </row>
    <row r="34632">
      <c r="B34632" s="19"/>
      <c r="E34632" s="23"/>
      <c r="L34632" s="23"/>
    </row>
    <row r="34633">
      <c r="B34633" s="19"/>
      <c r="E34633" s="23"/>
      <c r="L34633" s="23"/>
    </row>
    <row r="34634">
      <c r="B34634" s="19"/>
      <c r="E34634" s="23"/>
      <c r="L34634" s="23"/>
    </row>
    <row r="34635">
      <c r="B34635" s="19"/>
      <c r="E34635" s="23"/>
      <c r="L34635" s="23"/>
    </row>
    <row r="34636">
      <c r="B34636" s="19"/>
      <c r="E34636" s="23"/>
      <c r="L34636" s="23"/>
    </row>
    <row r="34637">
      <c r="B34637" s="19"/>
      <c r="E34637" s="23"/>
      <c r="L34637" s="23"/>
    </row>
    <row r="34638">
      <c r="B34638" s="19"/>
      <c r="E34638" s="23"/>
      <c r="L34638" s="23"/>
    </row>
    <row r="34639">
      <c r="B34639" s="19"/>
      <c r="E34639" s="23"/>
      <c r="L34639" s="23"/>
    </row>
    <row r="34640">
      <c r="B34640" s="19"/>
      <c r="E34640" s="23"/>
      <c r="L34640" s="23"/>
    </row>
    <row r="34641">
      <c r="B34641" s="19"/>
      <c r="E34641" s="23"/>
      <c r="L34641" s="23"/>
    </row>
    <row r="34642">
      <c r="B34642" s="19"/>
      <c r="E34642" s="23"/>
      <c r="L34642" s="23"/>
    </row>
    <row r="34643">
      <c r="B34643" s="19"/>
      <c r="E34643" s="23"/>
      <c r="L34643" s="23"/>
    </row>
    <row r="34644">
      <c r="B34644" s="19"/>
      <c r="E34644" s="23"/>
      <c r="L34644" s="23"/>
    </row>
    <row r="34645">
      <c r="B34645" s="19"/>
      <c r="E34645" s="23"/>
      <c r="L34645" s="23"/>
    </row>
    <row r="34646">
      <c r="B34646" s="19"/>
      <c r="E34646" s="23"/>
      <c r="L34646" s="23"/>
    </row>
    <row r="34647">
      <c r="B34647" s="19"/>
      <c r="E34647" s="23"/>
      <c r="L34647" s="23"/>
    </row>
    <row r="34648">
      <c r="B34648" s="19"/>
      <c r="E34648" s="23"/>
      <c r="L34648" s="23"/>
    </row>
    <row r="34649">
      <c r="B34649" s="19"/>
      <c r="E34649" s="23"/>
      <c r="L34649" s="23"/>
    </row>
    <row r="34650">
      <c r="B34650" s="19"/>
      <c r="E34650" s="23"/>
      <c r="L34650" s="23"/>
    </row>
    <row r="34651">
      <c r="B34651" s="19"/>
      <c r="E34651" s="23"/>
      <c r="L34651" s="23"/>
    </row>
    <row r="34652">
      <c r="B34652" s="19"/>
      <c r="E34652" s="23"/>
      <c r="L34652" s="23"/>
    </row>
    <row r="34653">
      <c r="B34653" s="19"/>
      <c r="E34653" s="23"/>
      <c r="L34653" s="23"/>
    </row>
    <row r="34654">
      <c r="B34654" s="19"/>
      <c r="E34654" s="23"/>
      <c r="L34654" s="23"/>
    </row>
    <row r="34655">
      <c r="B34655" s="19"/>
      <c r="E34655" s="23"/>
      <c r="L34655" s="23"/>
    </row>
    <row r="34656">
      <c r="B34656" s="19"/>
      <c r="E34656" s="23"/>
      <c r="L34656" s="23"/>
    </row>
    <row r="34657">
      <c r="B34657" s="19"/>
      <c r="E34657" s="23"/>
      <c r="L34657" s="23"/>
    </row>
    <row r="34658">
      <c r="B34658" s="19"/>
      <c r="E34658" s="23"/>
      <c r="L34658" s="23"/>
    </row>
    <row r="34659">
      <c r="B34659" s="19"/>
      <c r="E34659" s="23"/>
      <c r="L34659" s="23"/>
    </row>
    <row r="34660">
      <c r="B34660" s="19"/>
      <c r="E34660" s="23"/>
      <c r="L34660" s="23"/>
    </row>
    <row r="34661">
      <c r="B34661" s="19"/>
      <c r="E34661" s="23"/>
      <c r="L34661" s="23"/>
    </row>
    <row r="34662">
      <c r="B34662" s="19"/>
      <c r="E34662" s="23"/>
      <c r="L34662" s="23"/>
    </row>
    <row r="34663">
      <c r="B34663" s="19"/>
      <c r="E34663" s="23"/>
      <c r="L34663" s="23"/>
    </row>
    <row r="34664">
      <c r="B34664" s="19"/>
      <c r="E34664" s="23"/>
      <c r="L34664" s="23"/>
    </row>
    <row r="34665">
      <c r="B34665" s="19"/>
      <c r="E34665" s="23"/>
      <c r="L34665" s="23"/>
    </row>
    <row r="34666">
      <c r="B34666" s="19"/>
      <c r="E34666" s="23"/>
      <c r="L34666" s="23"/>
    </row>
    <row r="34667">
      <c r="B34667" s="19"/>
      <c r="E34667" s="23"/>
      <c r="L34667" s="23"/>
    </row>
    <row r="34668">
      <c r="B34668" s="19"/>
      <c r="E34668" s="23"/>
      <c r="L34668" s="23"/>
    </row>
    <row r="34669">
      <c r="B34669" s="19"/>
      <c r="E34669" s="23"/>
      <c r="L34669" s="23"/>
    </row>
    <row r="34670">
      <c r="B34670" s="19"/>
      <c r="E34670" s="23"/>
      <c r="L34670" s="23"/>
    </row>
    <row r="34671">
      <c r="B34671" s="19"/>
      <c r="E34671" s="23"/>
      <c r="L34671" s="23"/>
    </row>
    <row r="34672">
      <c r="B34672" s="19"/>
      <c r="E34672" s="23"/>
      <c r="L34672" s="23"/>
    </row>
    <row r="34673">
      <c r="B34673" s="19"/>
      <c r="E34673" s="23"/>
      <c r="L34673" s="23"/>
    </row>
    <row r="34674">
      <c r="B34674" s="19"/>
      <c r="E34674" s="23"/>
      <c r="L34674" s="23"/>
    </row>
    <row r="34675">
      <c r="B34675" s="19"/>
      <c r="E34675" s="23"/>
      <c r="L34675" s="23"/>
    </row>
    <row r="34676">
      <c r="B34676" s="19"/>
      <c r="E34676" s="23"/>
      <c r="L34676" s="23"/>
    </row>
    <row r="34677">
      <c r="B34677" s="19"/>
      <c r="E34677" s="23"/>
      <c r="L34677" s="23"/>
    </row>
    <row r="34678">
      <c r="B34678" s="19"/>
      <c r="E34678" s="23"/>
      <c r="L34678" s="23"/>
    </row>
    <row r="34679">
      <c r="B34679" s="19"/>
      <c r="E34679" s="23"/>
      <c r="L34679" s="23"/>
    </row>
    <row r="34680">
      <c r="B34680" s="19"/>
      <c r="E34680" s="23"/>
      <c r="L34680" s="23"/>
    </row>
    <row r="34681">
      <c r="B34681" s="19"/>
      <c r="E34681" s="23"/>
      <c r="L34681" s="23"/>
    </row>
    <row r="34682">
      <c r="B34682" s="19"/>
      <c r="E34682" s="23"/>
      <c r="L34682" s="23"/>
    </row>
    <row r="34683">
      <c r="B34683" s="19"/>
      <c r="E34683" s="23"/>
      <c r="L34683" s="23"/>
    </row>
    <row r="34684">
      <c r="B34684" s="19"/>
      <c r="E34684" s="23"/>
      <c r="L34684" s="23"/>
    </row>
    <row r="34685">
      <c r="B34685" s="19"/>
      <c r="E34685" s="23"/>
      <c r="L34685" s="23"/>
    </row>
    <row r="34686">
      <c r="B34686" s="19"/>
      <c r="E34686" s="23"/>
      <c r="L34686" s="23"/>
    </row>
    <row r="34687">
      <c r="B34687" s="19"/>
      <c r="E34687" s="23"/>
      <c r="L34687" s="23"/>
    </row>
    <row r="34688">
      <c r="B34688" s="19"/>
      <c r="E34688" s="23"/>
      <c r="L34688" s="23"/>
    </row>
    <row r="34689">
      <c r="B34689" s="19"/>
      <c r="E34689" s="23"/>
      <c r="L34689" s="23"/>
    </row>
    <row r="34690">
      <c r="B34690" s="19"/>
      <c r="E34690" s="23"/>
      <c r="L34690" s="23"/>
    </row>
    <row r="34691">
      <c r="B34691" s="19"/>
      <c r="E34691" s="23"/>
      <c r="L34691" s="23"/>
    </row>
    <row r="34692">
      <c r="B34692" s="19"/>
      <c r="E34692" s="23"/>
      <c r="L34692" s="23"/>
    </row>
    <row r="34693">
      <c r="B34693" s="19"/>
      <c r="E34693" s="23"/>
      <c r="L34693" s="23"/>
    </row>
    <row r="34694">
      <c r="B34694" s="19"/>
      <c r="E34694" s="23"/>
      <c r="L34694" s="23"/>
    </row>
    <row r="34695">
      <c r="B34695" s="19"/>
      <c r="E34695" s="23"/>
      <c r="L34695" s="23"/>
    </row>
    <row r="34696">
      <c r="B34696" s="19"/>
      <c r="E34696" s="23"/>
      <c r="L34696" s="23"/>
    </row>
    <row r="34697">
      <c r="B34697" s="19"/>
      <c r="E34697" s="23"/>
      <c r="L34697" s="23"/>
    </row>
    <row r="34698">
      <c r="B34698" s="19"/>
      <c r="E34698" s="23"/>
      <c r="L34698" s="23"/>
    </row>
    <row r="34699">
      <c r="B34699" s="19"/>
      <c r="E34699" s="23"/>
      <c r="L34699" s="23"/>
    </row>
    <row r="34700">
      <c r="B34700" s="19"/>
      <c r="E34700" s="23"/>
      <c r="L34700" s="23"/>
    </row>
    <row r="34701">
      <c r="B34701" s="19"/>
      <c r="E34701" s="23"/>
      <c r="L34701" s="23"/>
    </row>
    <row r="34702">
      <c r="B34702" s="19"/>
      <c r="E34702" s="23"/>
      <c r="L34702" s="23"/>
    </row>
    <row r="34703">
      <c r="B34703" s="19"/>
      <c r="E34703" s="23"/>
      <c r="L34703" s="23"/>
    </row>
    <row r="34704">
      <c r="B34704" s="19"/>
      <c r="E34704" s="23"/>
      <c r="L34704" s="23"/>
    </row>
    <row r="34705">
      <c r="B34705" s="19"/>
      <c r="E34705" s="23"/>
      <c r="L34705" s="23"/>
    </row>
    <row r="34706">
      <c r="B34706" s="19"/>
      <c r="E34706" s="23"/>
      <c r="L34706" s="23"/>
    </row>
    <row r="34707">
      <c r="B34707" s="19"/>
      <c r="E34707" s="23"/>
      <c r="L34707" s="23"/>
    </row>
    <row r="34708">
      <c r="B34708" s="19"/>
      <c r="E34708" s="23"/>
      <c r="L34708" s="23"/>
    </row>
    <row r="34709">
      <c r="B34709" s="19"/>
      <c r="E34709" s="23"/>
      <c r="L34709" s="23"/>
    </row>
    <row r="34710">
      <c r="B34710" s="19"/>
      <c r="E34710" s="23"/>
      <c r="L34710" s="23"/>
    </row>
    <row r="34711">
      <c r="B34711" s="19"/>
      <c r="E34711" s="23"/>
      <c r="L34711" s="23"/>
    </row>
    <row r="34712">
      <c r="B34712" s="19"/>
      <c r="E34712" s="23"/>
      <c r="L34712" s="23"/>
    </row>
    <row r="34713">
      <c r="B34713" s="19"/>
      <c r="E34713" s="23"/>
      <c r="L34713" s="23"/>
    </row>
    <row r="34714">
      <c r="B34714" s="19"/>
      <c r="E34714" s="23"/>
      <c r="L34714" s="23"/>
    </row>
    <row r="34715">
      <c r="B34715" s="19"/>
      <c r="E34715" s="23"/>
      <c r="L34715" s="23"/>
    </row>
    <row r="34716">
      <c r="B34716" s="19"/>
      <c r="E34716" s="23"/>
      <c r="L34716" s="23"/>
    </row>
    <row r="34717">
      <c r="B34717" s="19"/>
      <c r="E34717" s="23"/>
      <c r="L34717" s="23"/>
    </row>
    <row r="34718">
      <c r="B34718" s="19"/>
      <c r="E34718" s="23"/>
      <c r="L34718" s="23"/>
    </row>
    <row r="34719">
      <c r="B34719" s="19"/>
      <c r="E34719" s="23"/>
      <c r="L34719" s="23"/>
    </row>
    <row r="34720">
      <c r="B34720" s="19"/>
      <c r="E34720" s="23"/>
      <c r="L34720" s="23"/>
    </row>
    <row r="34721">
      <c r="B34721" s="19"/>
      <c r="E34721" s="23"/>
      <c r="L34721" s="23"/>
    </row>
    <row r="34722">
      <c r="B34722" s="19"/>
      <c r="E34722" s="23"/>
      <c r="L34722" s="23"/>
    </row>
    <row r="34723">
      <c r="B34723" s="19"/>
      <c r="E34723" s="23"/>
      <c r="L34723" s="23"/>
    </row>
    <row r="34724">
      <c r="B34724" s="19"/>
      <c r="E34724" s="23"/>
      <c r="L34724" s="23"/>
    </row>
    <row r="34725">
      <c r="B34725" s="19"/>
      <c r="E34725" s="23"/>
      <c r="L34725" s="23"/>
    </row>
    <row r="34726">
      <c r="B34726" s="19"/>
      <c r="E34726" s="23"/>
      <c r="L34726" s="23"/>
    </row>
    <row r="34727">
      <c r="B34727" s="19"/>
      <c r="E34727" s="23"/>
      <c r="L34727" s="23"/>
    </row>
    <row r="34728">
      <c r="B34728" s="19"/>
      <c r="E34728" s="23"/>
      <c r="L34728" s="23"/>
    </row>
    <row r="34729">
      <c r="B34729" s="19"/>
      <c r="E34729" s="23"/>
      <c r="L34729" s="23"/>
    </row>
    <row r="34730">
      <c r="B34730" s="19"/>
      <c r="E34730" s="23"/>
      <c r="L34730" s="23"/>
    </row>
    <row r="34731">
      <c r="B34731" s="19"/>
      <c r="E34731" s="23"/>
      <c r="L34731" s="23"/>
    </row>
    <row r="34732">
      <c r="B34732" s="19"/>
      <c r="E34732" s="23"/>
      <c r="L34732" s="23"/>
    </row>
    <row r="34733">
      <c r="B34733" s="19"/>
      <c r="E34733" s="23"/>
      <c r="L34733" s="23"/>
    </row>
    <row r="34734">
      <c r="B34734" s="19"/>
      <c r="E34734" s="23"/>
      <c r="L34734" s="23"/>
    </row>
    <row r="34735">
      <c r="B34735" s="19"/>
      <c r="E34735" s="23"/>
      <c r="L34735" s="23"/>
    </row>
    <row r="34736">
      <c r="B34736" s="19"/>
      <c r="E34736" s="23"/>
      <c r="L34736" s="23"/>
    </row>
    <row r="34737">
      <c r="B34737" s="19"/>
      <c r="E34737" s="23"/>
      <c r="L34737" s="23"/>
    </row>
    <row r="34738">
      <c r="B34738" s="19"/>
      <c r="E34738" s="23"/>
      <c r="L34738" s="23"/>
    </row>
    <row r="34739">
      <c r="B34739" s="19"/>
      <c r="E34739" s="23"/>
      <c r="L34739" s="23"/>
    </row>
    <row r="34740">
      <c r="B34740" s="19"/>
      <c r="E34740" s="23"/>
      <c r="L34740" s="23"/>
    </row>
    <row r="34741">
      <c r="B34741" s="19"/>
      <c r="E34741" s="23"/>
      <c r="L34741" s="23"/>
    </row>
    <row r="34742">
      <c r="B34742" s="19"/>
      <c r="E34742" s="23"/>
      <c r="L34742" s="23"/>
    </row>
    <row r="34743">
      <c r="B34743" s="19"/>
      <c r="E34743" s="23"/>
      <c r="L34743" s="23"/>
    </row>
    <row r="34744">
      <c r="B34744" s="19"/>
      <c r="E34744" s="23"/>
      <c r="L34744" s="23"/>
    </row>
    <row r="34745">
      <c r="B34745" s="19"/>
      <c r="E34745" s="23"/>
      <c r="L34745" s="23"/>
    </row>
    <row r="34746">
      <c r="B34746" s="19"/>
      <c r="E34746" s="23"/>
      <c r="L34746" s="23"/>
    </row>
    <row r="34747">
      <c r="B34747" s="19"/>
      <c r="E34747" s="23"/>
      <c r="L34747" s="23"/>
    </row>
    <row r="34748">
      <c r="B34748" s="19"/>
      <c r="E34748" s="23"/>
      <c r="L34748" s="23"/>
    </row>
    <row r="34749">
      <c r="B34749" s="19"/>
      <c r="E34749" s="23"/>
      <c r="L34749" s="23"/>
    </row>
    <row r="34750">
      <c r="B34750" s="19"/>
      <c r="E34750" s="23"/>
      <c r="L34750" s="23"/>
    </row>
    <row r="34751">
      <c r="B34751" s="19"/>
      <c r="E34751" s="23"/>
      <c r="L34751" s="23"/>
    </row>
    <row r="34752">
      <c r="B34752" s="19"/>
      <c r="E34752" s="23"/>
      <c r="L34752" s="23"/>
    </row>
    <row r="34753">
      <c r="B34753" s="19"/>
      <c r="E34753" s="23"/>
      <c r="L34753" s="23"/>
    </row>
    <row r="34754">
      <c r="B34754" s="19"/>
      <c r="E34754" s="23"/>
      <c r="L34754" s="23"/>
    </row>
    <row r="34755">
      <c r="B34755" s="19"/>
      <c r="E34755" s="23"/>
      <c r="L34755" s="23"/>
    </row>
    <row r="34756">
      <c r="B34756" s="19"/>
      <c r="E34756" s="23"/>
      <c r="L34756" s="23"/>
    </row>
    <row r="34757">
      <c r="B34757" s="19"/>
      <c r="E34757" s="23"/>
      <c r="L34757" s="23"/>
    </row>
    <row r="34758">
      <c r="B34758" s="19"/>
      <c r="E34758" s="23"/>
      <c r="L34758" s="23"/>
    </row>
    <row r="34759">
      <c r="B34759" s="19"/>
      <c r="E34759" s="23"/>
      <c r="L34759" s="23"/>
    </row>
    <row r="34760">
      <c r="B34760" s="19"/>
      <c r="E34760" s="23"/>
      <c r="L34760" s="23"/>
    </row>
    <row r="34761">
      <c r="B34761" s="19"/>
      <c r="E34761" s="23"/>
      <c r="L34761" s="23"/>
    </row>
    <row r="34762">
      <c r="B34762" s="19"/>
      <c r="E34762" s="23"/>
      <c r="L34762" s="23"/>
    </row>
    <row r="34763">
      <c r="B34763" s="19"/>
      <c r="E34763" s="23"/>
      <c r="L34763" s="23"/>
    </row>
    <row r="34764">
      <c r="B34764" s="19"/>
      <c r="E34764" s="23"/>
      <c r="L34764" s="23"/>
    </row>
    <row r="34765">
      <c r="B34765" s="19"/>
      <c r="E34765" s="23"/>
      <c r="L34765" s="23"/>
    </row>
    <row r="34766">
      <c r="B34766" s="19"/>
      <c r="E34766" s="23"/>
      <c r="L34766" s="23"/>
    </row>
    <row r="34767">
      <c r="B34767" s="19"/>
      <c r="E34767" s="23"/>
      <c r="L34767" s="23"/>
    </row>
    <row r="34768">
      <c r="B34768" s="19"/>
      <c r="E34768" s="23"/>
      <c r="L34768" s="23"/>
    </row>
    <row r="34769">
      <c r="B34769" s="19"/>
      <c r="E34769" s="23"/>
      <c r="L34769" s="23"/>
    </row>
    <row r="34770">
      <c r="B34770" s="19"/>
      <c r="E34770" s="23"/>
      <c r="L34770" s="23"/>
    </row>
    <row r="34771">
      <c r="B34771" s="19"/>
      <c r="E34771" s="23"/>
      <c r="L34771" s="23"/>
    </row>
    <row r="34772">
      <c r="B34772" s="19"/>
      <c r="E34772" s="23"/>
      <c r="L34772" s="23"/>
    </row>
    <row r="34773">
      <c r="B34773" s="19"/>
      <c r="E34773" s="23"/>
      <c r="L34773" s="23"/>
    </row>
    <row r="34774">
      <c r="B34774" s="19"/>
      <c r="E34774" s="23"/>
      <c r="L34774" s="23"/>
    </row>
    <row r="34775">
      <c r="B34775" s="19"/>
      <c r="E34775" s="23"/>
      <c r="L34775" s="23"/>
    </row>
    <row r="34776">
      <c r="B34776" s="19"/>
      <c r="E34776" s="23"/>
      <c r="L34776" s="23"/>
    </row>
    <row r="34777">
      <c r="B34777" s="19"/>
      <c r="E34777" s="23"/>
      <c r="L34777" s="23"/>
    </row>
    <row r="34778">
      <c r="B34778" s="19"/>
      <c r="E34778" s="23"/>
      <c r="L34778" s="23"/>
    </row>
    <row r="34779">
      <c r="B34779" s="19"/>
      <c r="E34779" s="23"/>
      <c r="L34779" s="23"/>
    </row>
    <row r="34780">
      <c r="B34780" s="19"/>
      <c r="E34780" s="23"/>
      <c r="L34780" s="23"/>
    </row>
    <row r="34781">
      <c r="B34781" s="19"/>
      <c r="E34781" s="23"/>
      <c r="L34781" s="23"/>
    </row>
    <row r="34782">
      <c r="B34782" s="19"/>
      <c r="E34782" s="23"/>
      <c r="L34782" s="23"/>
    </row>
    <row r="34783">
      <c r="B34783" s="19"/>
      <c r="E34783" s="23"/>
      <c r="L34783" s="23"/>
    </row>
    <row r="34784">
      <c r="B34784" s="19"/>
      <c r="E34784" s="23"/>
      <c r="L34784" s="23"/>
    </row>
    <row r="34785">
      <c r="B34785" s="19"/>
      <c r="E34785" s="23"/>
      <c r="L34785" s="23"/>
    </row>
    <row r="34786">
      <c r="B34786" s="19"/>
      <c r="E34786" s="23"/>
      <c r="L34786" s="23"/>
    </row>
    <row r="34787">
      <c r="B34787" s="19"/>
      <c r="E34787" s="23"/>
      <c r="L34787" s="23"/>
    </row>
    <row r="34788">
      <c r="B34788" s="19"/>
      <c r="E34788" s="23"/>
      <c r="L34788" s="23"/>
    </row>
    <row r="34789">
      <c r="B34789" s="19"/>
      <c r="E34789" s="23"/>
      <c r="L34789" s="23"/>
    </row>
    <row r="34790">
      <c r="B34790" s="19"/>
      <c r="E34790" s="23"/>
      <c r="L34790" s="23"/>
    </row>
    <row r="34791">
      <c r="B34791" s="19"/>
      <c r="E34791" s="23"/>
      <c r="L34791" s="23"/>
    </row>
    <row r="34792">
      <c r="B34792" s="19"/>
      <c r="E34792" s="23"/>
      <c r="L34792" s="23"/>
    </row>
    <row r="34793">
      <c r="B34793" s="19"/>
      <c r="E34793" s="23"/>
      <c r="L34793" s="23"/>
    </row>
    <row r="34794">
      <c r="B34794" s="19"/>
      <c r="E34794" s="23"/>
      <c r="L34794" s="23"/>
    </row>
    <row r="34795">
      <c r="B34795" s="19"/>
      <c r="E34795" s="23"/>
      <c r="L34795" s="23"/>
    </row>
    <row r="34796">
      <c r="B34796" s="19"/>
      <c r="E34796" s="23"/>
      <c r="L34796" s="23"/>
    </row>
    <row r="34797">
      <c r="B34797" s="19"/>
      <c r="E34797" s="23"/>
      <c r="L34797" s="23"/>
    </row>
    <row r="34798">
      <c r="B34798" s="19"/>
      <c r="E34798" s="23"/>
      <c r="L34798" s="23"/>
    </row>
    <row r="34799">
      <c r="B34799" s="19"/>
      <c r="E34799" s="23"/>
      <c r="L34799" s="23"/>
    </row>
    <row r="34800">
      <c r="B34800" s="19"/>
      <c r="E34800" s="23"/>
      <c r="L34800" s="23"/>
    </row>
    <row r="34801">
      <c r="B34801" s="19"/>
      <c r="E34801" s="23"/>
      <c r="L34801" s="23"/>
    </row>
    <row r="34802">
      <c r="B34802" s="19"/>
      <c r="E34802" s="23"/>
      <c r="L34802" s="23"/>
    </row>
    <row r="34803">
      <c r="B34803" s="19"/>
      <c r="E34803" s="23"/>
      <c r="L34803" s="23"/>
    </row>
    <row r="34804">
      <c r="B34804" s="19"/>
      <c r="E34804" s="23"/>
      <c r="L34804" s="23"/>
    </row>
    <row r="34805">
      <c r="B34805" s="19"/>
      <c r="E34805" s="23"/>
      <c r="L34805" s="23"/>
    </row>
    <row r="34806">
      <c r="B34806" s="19"/>
      <c r="E34806" s="23"/>
      <c r="L34806" s="23"/>
    </row>
    <row r="34807">
      <c r="B34807" s="19"/>
      <c r="E34807" s="23"/>
      <c r="L34807" s="23"/>
    </row>
    <row r="34808">
      <c r="B34808" s="19"/>
      <c r="E34808" s="23"/>
      <c r="L34808" s="23"/>
    </row>
    <row r="34809">
      <c r="B34809" s="19"/>
      <c r="E34809" s="23"/>
      <c r="L34809" s="23"/>
    </row>
    <row r="34810">
      <c r="B34810" s="19"/>
      <c r="E34810" s="23"/>
      <c r="L34810" s="23"/>
    </row>
    <row r="34811">
      <c r="B34811" s="19"/>
      <c r="E34811" s="23"/>
      <c r="L34811" s="23"/>
    </row>
    <row r="34812">
      <c r="B34812" s="19"/>
      <c r="E34812" s="23"/>
      <c r="L34812" s="23"/>
    </row>
    <row r="34813">
      <c r="B34813" s="19"/>
      <c r="E34813" s="23"/>
      <c r="L34813" s="23"/>
    </row>
    <row r="34814">
      <c r="B34814" s="19"/>
      <c r="E34814" s="23"/>
      <c r="L34814" s="23"/>
    </row>
    <row r="34815">
      <c r="B34815" s="19"/>
      <c r="E34815" s="23"/>
      <c r="L34815" s="23"/>
    </row>
    <row r="34816">
      <c r="B34816" s="19"/>
      <c r="E34816" s="23"/>
      <c r="L34816" s="23"/>
    </row>
    <row r="34817">
      <c r="B34817" s="19"/>
      <c r="E34817" s="23"/>
      <c r="L34817" s="23"/>
    </row>
    <row r="34818">
      <c r="B34818" s="19"/>
      <c r="E34818" s="23"/>
      <c r="L34818" s="23"/>
    </row>
    <row r="34819">
      <c r="B34819" s="19"/>
      <c r="E34819" s="23"/>
      <c r="L34819" s="23"/>
    </row>
    <row r="34820">
      <c r="B34820" s="19"/>
      <c r="E34820" s="23"/>
      <c r="L34820" s="23"/>
    </row>
    <row r="34821">
      <c r="B34821" s="19"/>
      <c r="E34821" s="23"/>
      <c r="L34821" s="23"/>
    </row>
    <row r="34822">
      <c r="B34822" s="19"/>
      <c r="E34822" s="23"/>
      <c r="L34822" s="23"/>
    </row>
    <row r="34823">
      <c r="B34823" s="19"/>
      <c r="E34823" s="23"/>
      <c r="L34823" s="23"/>
    </row>
    <row r="34824">
      <c r="B34824" s="19"/>
      <c r="E34824" s="23"/>
      <c r="L34824" s="23"/>
    </row>
    <row r="34825">
      <c r="B34825" s="19"/>
      <c r="E34825" s="23"/>
      <c r="L34825" s="23"/>
    </row>
    <row r="34826">
      <c r="B34826" s="19"/>
      <c r="E34826" s="23"/>
      <c r="L34826" s="23"/>
    </row>
    <row r="34827">
      <c r="B34827" s="19"/>
      <c r="E34827" s="23"/>
      <c r="L34827" s="23"/>
    </row>
    <row r="34828">
      <c r="B34828" s="19"/>
      <c r="E34828" s="23"/>
      <c r="L34828" s="23"/>
    </row>
    <row r="34829">
      <c r="B34829" s="19"/>
      <c r="E34829" s="23"/>
      <c r="L34829" s="23"/>
    </row>
    <row r="34830">
      <c r="B34830" s="19"/>
      <c r="E34830" s="23"/>
      <c r="L34830" s="23"/>
    </row>
    <row r="34831">
      <c r="B34831" s="19"/>
      <c r="E34831" s="23"/>
      <c r="L34831" s="23"/>
    </row>
    <row r="34832">
      <c r="B34832" s="19"/>
      <c r="E34832" s="23"/>
      <c r="L34832" s="23"/>
    </row>
    <row r="34833">
      <c r="B34833" s="19"/>
      <c r="E34833" s="23"/>
      <c r="L34833" s="23"/>
    </row>
    <row r="34834">
      <c r="B34834" s="19"/>
      <c r="E34834" s="23"/>
      <c r="L34834" s="23"/>
    </row>
    <row r="34835">
      <c r="B34835" s="19"/>
      <c r="E34835" s="23"/>
      <c r="L34835" s="23"/>
    </row>
    <row r="34836">
      <c r="B34836" s="19"/>
      <c r="E34836" s="23"/>
      <c r="L34836" s="23"/>
    </row>
    <row r="34837">
      <c r="B34837" s="19"/>
      <c r="E34837" s="23"/>
      <c r="L34837" s="23"/>
    </row>
    <row r="34838">
      <c r="B34838" s="19"/>
      <c r="E34838" s="23"/>
      <c r="L34838" s="23"/>
    </row>
    <row r="34839">
      <c r="B34839" s="19"/>
      <c r="E34839" s="23"/>
      <c r="L34839" s="23"/>
    </row>
    <row r="34840">
      <c r="B34840" s="19"/>
      <c r="E34840" s="23"/>
      <c r="L34840" s="23"/>
    </row>
    <row r="34841">
      <c r="B34841" s="19"/>
      <c r="E34841" s="23"/>
      <c r="L34841" s="23"/>
    </row>
    <row r="34842">
      <c r="B34842" s="19"/>
      <c r="E34842" s="23"/>
      <c r="L34842" s="23"/>
    </row>
    <row r="34843">
      <c r="B34843" s="19"/>
      <c r="E34843" s="23"/>
      <c r="L34843" s="23"/>
    </row>
    <row r="34844">
      <c r="B34844" s="19"/>
      <c r="E34844" s="23"/>
      <c r="L34844" s="23"/>
    </row>
    <row r="34845">
      <c r="B34845" s="19"/>
      <c r="E34845" s="23"/>
      <c r="L34845" s="23"/>
    </row>
    <row r="34846">
      <c r="B34846" s="19"/>
      <c r="E34846" s="23"/>
      <c r="L34846" s="23"/>
    </row>
    <row r="34847">
      <c r="B34847" s="19"/>
      <c r="E34847" s="23"/>
      <c r="L34847" s="23"/>
    </row>
    <row r="34848">
      <c r="B34848" s="19"/>
      <c r="E34848" s="23"/>
      <c r="L34848" s="23"/>
    </row>
    <row r="34849">
      <c r="B34849" s="19"/>
      <c r="E34849" s="23"/>
      <c r="L34849" s="23"/>
    </row>
    <row r="34850">
      <c r="B34850" s="19"/>
      <c r="E34850" s="23"/>
      <c r="L34850" s="23"/>
    </row>
    <row r="34851">
      <c r="B34851" s="19"/>
      <c r="E34851" s="23"/>
      <c r="L34851" s="23"/>
    </row>
    <row r="34852">
      <c r="B34852" s="19"/>
      <c r="E34852" s="23"/>
      <c r="L34852" s="23"/>
    </row>
    <row r="34853">
      <c r="B34853" s="19"/>
      <c r="E34853" s="23"/>
      <c r="L34853" s="23"/>
    </row>
    <row r="34854">
      <c r="B34854" s="19"/>
      <c r="E34854" s="23"/>
      <c r="L34854" s="23"/>
    </row>
    <row r="34855">
      <c r="B34855" s="19"/>
      <c r="E34855" s="23"/>
      <c r="L34855" s="23"/>
    </row>
    <row r="34856">
      <c r="B34856" s="19"/>
      <c r="E34856" s="23"/>
      <c r="L34856" s="23"/>
    </row>
    <row r="34857">
      <c r="B34857" s="19"/>
      <c r="E34857" s="23"/>
      <c r="L34857" s="23"/>
    </row>
    <row r="34858">
      <c r="B34858" s="19"/>
      <c r="E34858" s="23"/>
      <c r="L34858" s="23"/>
    </row>
    <row r="34859">
      <c r="B34859" s="19"/>
      <c r="E34859" s="23"/>
      <c r="L34859" s="23"/>
    </row>
    <row r="34860">
      <c r="B34860" s="19"/>
      <c r="E34860" s="23"/>
      <c r="L34860" s="23"/>
    </row>
    <row r="34861">
      <c r="B34861" s="19"/>
      <c r="E34861" s="23"/>
      <c r="L34861" s="23"/>
    </row>
    <row r="34862">
      <c r="B34862" s="19"/>
      <c r="E34862" s="23"/>
      <c r="L34862" s="23"/>
    </row>
    <row r="34863">
      <c r="B34863" s="19"/>
      <c r="E34863" s="23"/>
      <c r="L34863" s="23"/>
    </row>
    <row r="34864">
      <c r="B34864" s="19"/>
      <c r="E34864" s="23"/>
      <c r="L34864" s="23"/>
    </row>
    <row r="34865">
      <c r="B34865" s="19"/>
      <c r="E34865" s="23"/>
      <c r="L34865" s="23"/>
    </row>
    <row r="34866">
      <c r="B34866" s="19"/>
      <c r="E34866" s="23"/>
      <c r="L34866" s="23"/>
    </row>
    <row r="34867">
      <c r="B34867" s="19"/>
      <c r="E34867" s="23"/>
      <c r="L34867" s="23"/>
    </row>
    <row r="34868">
      <c r="B34868" s="19"/>
      <c r="E34868" s="23"/>
      <c r="L34868" s="23"/>
    </row>
    <row r="34869">
      <c r="B34869" s="19"/>
      <c r="E34869" s="23"/>
      <c r="L34869" s="23"/>
    </row>
    <row r="34870">
      <c r="B34870" s="19"/>
      <c r="E34870" s="23"/>
      <c r="L34870" s="23"/>
    </row>
    <row r="34871">
      <c r="B34871" s="19"/>
      <c r="E34871" s="23"/>
      <c r="L34871" s="23"/>
    </row>
    <row r="34872">
      <c r="B34872" s="19"/>
      <c r="E34872" s="23"/>
      <c r="L34872" s="23"/>
    </row>
    <row r="34873">
      <c r="B34873" s="19"/>
      <c r="E34873" s="23"/>
      <c r="L34873" s="23"/>
    </row>
    <row r="34874">
      <c r="B34874" s="19"/>
      <c r="E34874" s="23"/>
      <c r="L34874" s="23"/>
    </row>
    <row r="34875">
      <c r="B34875" s="19"/>
      <c r="E34875" s="23"/>
      <c r="L34875" s="23"/>
    </row>
    <row r="34876">
      <c r="B34876" s="19"/>
      <c r="E34876" s="23"/>
      <c r="L34876" s="23"/>
    </row>
    <row r="34877">
      <c r="B34877" s="19"/>
      <c r="E34877" s="23"/>
      <c r="L34877" s="23"/>
    </row>
    <row r="34878">
      <c r="B34878" s="19"/>
      <c r="E34878" s="23"/>
      <c r="L34878" s="23"/>
    </row>
    <row r="34879">
      <c r="B34879" s="19"/>
      <c r="E34879" s="23"/>
      <c r="L34879" s="23"/>
    </row>
    <row r="34880">
      <c r="B34880" s="19"/>
      <c r="E34880" s="23"/>
      <c r="L34880" s="23"/>
    </row>
    <row r="34881">
      <c r="B34881" s="19"/>
      <c r="E34881" s="23"/>
      <c r="L34881" s="23"/>
    </row>
    <row r="34882">
      <c r="B34882" s="19"/>
      <c r="E34882" s="23"/>
      <c r="L34882" s="23"/>
    </row>
    <row r="34883">
      <c r="B34883" s="19"/>
      <c r="E34883" s="23"/>
      <c r="L34883" s="23"/>
    </row>
    <row r="34884">
      <c r="B34884" s="19"/>
      <c r="E34884" s="23"/>
      <c r="L34884" s="23"/>
    </row>
    <row r="34885">
      <c r="B34885" s="19"/>
      <c r="E34885" s="23"/>
      <c r="L34885" s="23"/>
    </row>
    <row r="34886">
      <c r="B34886" s="19"/>
      <c r="E34886" s="23"/>
      <c r="L34886" s="23"/>
    </row>
    <row r="34887">
      <c r="B34887" s="19"/>
      <c r="E34887" s="23"/>
      <c r="L34887" s="23"/>
    </row>
    <row r="34888">
      <c r="B34888" s="19"/>
      <c r="E34888" s="23"/>
      <c r="L34888" s="23"/>
    </row>
    <row r="34889">
      <c r="B34889" s="19"/>
      <c r="E34889" s="23"/>
      <c r="L34889" s="23"/>
    </row>
    <row r="34890">
      <c r="B34890" s="19"/>
      <c r="E34890" s="23"/>
      <c r="L34890" s="23"/>
    </row>
    <row r="34891">
      <c r="B34891" s="19"/>
      <c r="E34891" s="23"/>
      <c r="L34891" s="23"/>
    </row>
    <row r="34892">
      <c r="B34892" s="19"/>
      <c r="E34892" s="23"/>
      <c r="L34892" s="23"/>
    </row>
    <row r="34893">
      <c r="B34893" s="19"/>
      <c r="E34893" s="23"/>
      <c r="L34893" s="23"/>
    </row>
    <row r="34894">
      <c r="B34894" s="19"/>
      <c r="E34894" s="23"/>
      <c r="L34894" s="23"/>
    </row>
    <row r="34895">
      <c r="B34895" s="19"/>
      <c r="E34895" s="23"/>
      <c r="L34895" s="23"/>
    </row>
    <row r="34896">
      <c r="B34896" s="19"/>
      <c r="E34896" s="23"/>
      <c r="L34896" s="23"/>
    </row>
    <row r="34897">
      <c r="B34897" s="19"/>
      <c r="E34897" s="23"/>
      <c r="L34897" s="23"/>
    </row>
    <row r="34898">
      <c r="B34898" s="19"/>
      <c r="E34898" s="23"/>
      <c r="L34898" s="23"/>
    </row>
    <row r="34899">
      <c r="B34899" s="19"/>
      <c r="E34899" s="23"/>
      <c r="L34899" s="23"/>
    </row>
    <row r="34900">
      <c r="B34900" s="19"/>
      <c r="E34900" s="23"/>
      <c r="L34900" s="23"/>
    </row>
    <row r="34901">
      <c r="B34901" s="19"/>
      <c r="E34901" s="23"/>
      <c r="L34901" s="23"/>
    </row>
    <row r="34902">
      <c r="B34902" s="19"/>
      <c r="E34902" s="23"/>
      <c r="L34902" s="23"/>
    </row>
    <row r="34903">
      <c r="B34903" s="19"/>
      <c r="E34903" s="23"/>
      <c r="L34903" s="23"/>
    </row>
    <row r="34904">
      <c r="B34904" s="19"/>
      <c r="E34904" s="23"/>
      <c r="L34904" s="23"/>
    </row>
    <row r="34905">
      <c r="B34905" s="19"/>
      <c r="E34905" s="23"/>
      <c r="L34905" s="23"/>
    </row>
    <row r="34906">
      <c r="B34906" s="19"/>
      <c r="E34906" s="23"/>
      <c r="L34906" s="23"/>
    </row>
    <row r="34907">
      <c r="B34907" s="19"/>
      <c r="E34907" s="23"/>
      <c r="L34907" s="23"/>
    </row>
    <row r="34908">
      <c r="B34908" s="19"/>
      <c r="E34908" s="23"/>
      <c r="L34908" s="23"/>
    </row>
    <row r="34909">
      <c r="B34909" s="19"/>
      <c r="E34909" s="23"/>
      <c r="L34909" s="23"/>
    </row>
    <row r="34910">
      <c r="B34910" s="19"/>
      <c r="E34910" s="23"/>
      <c r="L34910" s="23"/>
    </row>
    <row r="34911">
      <c r="B34911" s="19"/>
      <c r="E34911" s="23"/>
      <c r="L34911" s="23"/>
    </row>
    <row r="34912">
      <c r="B34912" s="19"/>
      <c r="E34912" s="23"/>
      <c r="L34912" s="23"/>
    </row>
    <row r="34913">
      <c r="B34913" s="19"/>
      <c r="E34913" s="23"/>
      <c r="L34913" s="23"/>
    </row>
    <row r="34914">
      <c r="B34914" s="19"/>
      <c r="E34914" s="23"/>
      <c r="L34914" s="23"/>
    </row>
    <row r="34915">
      <c r="B34915" s="19"/>
      <c r="E34915" s="23"/>
      <c r="L34915" s="23"/>
    </row>
    <row r="34916">
      <c r="B34916" s="19"/>
      <c r="E34916" s="23"/>
      <c r="L34916" s="23"/>
    </row>
    <row r="34917">
      <c r="B34917" s="19"/>
      <c r="E34917" s="23"/>
      <c r="L34917" s="23"/>
    </row>
    <row r="34918">
      <c r="B34918" s="19"/>
      <c r="E34918" s="23"/>
      <c r="L34918" s="23"/>
    </row>
    <row r="34919">
      <c r="B34919" s="19"/>
      <c r="E34919" s="23"/>
      <c r="L34919" s="23"/>
    </row>
    <row r="34920">
      <c r="B34920" s="19"/>
      <c r="E34920" s="23"/>
      <c r="L34920" s="23"/>
    </row>
    <row r="34921">
      <c r="B34921" s="19"/>
      <c r="E34921" s="23"/>
      <c r="L34921" s="23"/>
    </row>
    <row r="34922">
      <c r="B34922" s="19"/>
      <c r="E34922" s="23"/>
      <c r="L34922" s="23"/>
    </row>
    <row r="34923">
      <c r="B34923" s="19"/>
      <c r="E34923" s="23"/>
      <c r="L34923" s="23"/>
    </row>
    <row r="34924">
      <c r="B34924" s="19"/>
      <c r="E34924" s="23"/>
      <c r="L34924" s="23"/>
    </row>
    <row r="34925">
      <c r="B34925" s="19"/>
      <c r="E34925" s="23"/>
      <c r="L34925" s="23"/>
    </row>
    <row r="34926">
      <c r="B34926" s="19"/>
      <c r="E34926" s="23"/>
      <c r="L34926" s="23"/>
    </row>
    <row r="34927">
      <c r="B34927" s="19"/>
      <c r="E34927" s="23"/>
      <c r="L34927" s="23"/>
    </row>
    <row r="34928">
      <c r="B34928" s="19"/>
      <c r="E34928" s="23"/>
      <c r="L34928" s="23"/>
    </row>
    <row r="34929">
      <c r="B34929" s="19"/>
      <c r="E34929" s="23"/>
      <c r="L34929" s="23"/>
    </row>
    <row r="34930">
      <c r="B34930" s="19"/>
      <c r="E34930" s="23"/>
      <c r="L34930" s="23"/>
    </row>
    <row r="34931">
      <c r="B34931" s="19"/>
      <c r="E34931" s="23"/>
      <c r="L34931" s="23"/>
    </row>
    <row r="34932">
      <c r="B34932" s="19"/>
      <c r="E34932" s="23"/>
      <c r="L34932" s="23"/>
    </row>
    <row r="34933">
      <c r="B34933" s="19"/>
      <c r="E34933" s="23"/>
      <c r="L34933" s="23"/>
    </row>
    <row r="34934">
      <c r="B34934" s="19"/>
      <c r="E34934" s="23"/>
      <c r="L34934" s="23"/>
    </row>
    <row r="34935">
      <c r="B34935" s="19"/>
      <c r="E34935" s="23"/>
      <c r="L34935" s="23"/>
    </row>
    <row r="34936">
      <c r="B34936" s="19"/>
      <c r="E34936" s="23"/>
      <c r="L34936" s="23"/>
    </row>
    <row r="34937">
      <c r="B34937" s="19"/>
      <c r="E34937" s="23"/>
      <c r="L34937" s="23"/>
    </row>
    <row r="34938">
      <c r="B34938" s="19"/>
      <c r="E34938" s="23"/>
      <c r="L34938" s="23"/>
    </row>
    <row r="34939">
      <c r="B34939" s="19"/>
      <c r="E34939" s="23"/>
      <c r="L34939" s="23"/>
    </row>
    <row r="34940">
      <c r="B34940" s="19"/>
      <c r="E34940" s="23"/>
      <c r="L34940" s="23"/>
    </row>
    <row r="34941">
      <c r="B34941" s="19"/>
      <c r="E34941" s="23"/>
      <c r="L34941" s="23"/>
    </row>
    <row r="34942">
      <c r="B34942" s="19"/>
      <c r="E34942" s="23"/>
      <c r="L34942" s="23"/>
    </row>
    <row r="34943">
      <c r="B34943" s="19"/>
      <c r="E34943" s="23"/>
      <c r="L34943" s="23"/>
    </row>
    <row r="34944">
      <c r="B34944" s="19"/>
      <c r="E34944" s="23"/>
      <c r="L34944" s="23"/>
    </row>
    <row r="34945">
      <c r="B34945" s="19"/>
      <c r="E34945" s="23"/>
      <c r="L34945" s="23"/>
    </row>
    <row r="34946">
      <c r="B34946" s="19"/>
      <c r="E34946" s="23"/>
      <c r="L34946" s="23"/>
    </row>
    <row r="34947">
      <c r="B34947" s="19"/>
      <c r="E34947" s="23"/>
      <c r="L34947" s="23"/>
    </row>
    <row r="34948">
      <c r="B34948" s="19"/>
      <c r="E34948" s="23"/>
      <c r="L34948" s="23"/>
    </row>
    <row r="34949">
      <c r="B34949" s="19"/>
      <c r="E34949" s="23"/>
      <c r="L34949" s="23"/>
    </row>
    <row r="34950">
      <c r="B34950" s="19"/>
      <c r="E34950" s="23"/>
      <c r="L34950" s="23"/>
    </row>
    <row r="34951">
      <c r="B34951" s="19"/>
      <c r="E34951" s="23"/>
      <c r="L34951" s="23"/>
    </row>
    <row r="34952">
      <c r="B34952" s="19"/>
      <c r="E34952" s="23"/>
      <c r="L34952" s="23"/>
    </row>
    <row r="34953">
      <c r="B34953" s="19"/>
      <c r="E34953" s="23"/>
      <c r="L34953" s="23"/>
    </row>
    <row r="34954">
      <c r="B34954" s="19"/>
      <c r="E34954" s="23"/>
      <c r="L34954" s="23"/>
    </row>
    <row r="34955">
      <c r="B34955" s="19"/>
      <c r="E34955" s="23"/>
      <c r="L34955" s="23"/>
    </row>
    <row r="34956">
      <c r="B34956" s="19"/>
      <c r="E34956" s="23"/>
      <c r="L34956" s="23"/>
    </row>
    <row r="34957">
      <c r="B34957" s="19"/>
      <c r="E34957" s="23"/>
      <c r="L34957" s="23"/>
    </row>
    <row r="34958">
      <c r="B34958" s="19"/>
      <c r="E34958" s="23"/>
      <c r="L34958" s="23"/>
    </row>
    <row r="34959">
      <c r="B34959" s="19"/>
      <c r="E34959" s="23"/>
      <c r="L34959" s="23"/>
    </row>
    <row r="34960">
      <c r="B34960" s="19"/>
      <c r="E34960" s="23"/>
      <c r="L34960" s="23"/>
    </row>
    <row r="34961">
      <c r="B34961" s="19"/>
      <c r="E34961" s="23"/>
      <c r="L34961" s="23"/>
    </row>
    <row r="34962">
      <c r="B34962" s="19"/>
      <c r="E34962" s="23"/>
      <c r="L34962" s="23"/>
    </row>
    <row r="34963">
      <c r="B34963" s="19"/>
      <c r="E34963" s="23"/>
      <c r="L34963" s="23"/>
    </row>
    <row r="34964">
      <c r="B34964" s="19"/>
      <c r="E34964" s="23"/>
      <c r="L34964" s="23"/>
    </row>
    <row r="34965">
      <c r="B34965" s="19"/>
      <c r="E34965" s="23"/>
      <c r="L34965" s="23"/>
    </row>
    <row r="34966">
      <c r="B34966" s="19"/>
      <c r="E34966" s="23"/>
      <c r="L34966" s="23"/>
    </row>
    <row r="34967">
      <c r="B34967" s="19"/>
      <c r="E34967" s="23"/>
      <c r="L34967" s="23"/>
    </row>
    <row r="34968">
      <c r="B34968" s="19"/>
      <c r="E34968" s="23"/>
      <c r="L34968" s="23"/>
    </row>
    <row r="34969">
      <c r="B34969" s="19"/>
      <c r="E34969" s="23"/>
      <c r="L34969" s="23"/>
    </row>
    <row r="34970">
      <c r="B34970" s="19"/>
      <c r="E34970" s="23"/>
      <c r="L34970" s="23"/>
    </row>
    <row r="34971">
      <c r="B34971" s="19"/>
      <c r="E34971" s="23"/>
      <c r="L34971" s="23"/>
    </row>
    <row r="34972">
      <c r="B34972" s="19"/>
      <c r="E34972" s="23"/>
      <c r="L34972" s="23"/>
    </row>
    <row r="34973">
      <c r="B34973" s="19"/>
      <c r="E34973" s="23"/>
      <c r="L34973" s="23"/>
    </row>
    <row r="34974">
      <c r="B34974" s="19"/>
      <c r="E34974" s="23"/>
      <c r="L34974" s="23"/>
    </row>
    <row r="34975">
      <c r="B34975" s="19"/>
      <c r="E34975" s="23"/>
      <c r="L34975" s="23"/>
    </row>
    <row r="34976">
      <c r="B34976" s="19"/>
      <c r="E34976" s="23"/>
      <c r="L34976" s="23"/>
    </row>
    <row r="34977">
      <c r="B34977" s="19"/>
      <c r="E34977" s="23"/>
      <c r="L34977" s="23"/>
    </row>
    <row r="34978">
      <c r="B34978" s="19"/>
      <c r="E34978" s="23"/>
      <c r="L34978" s="23"/>
    </row>
    <row r="34979">
      <c r="B34979" s="19"/>
      <c r="E34979" s="23"/>
      <c r="L34979" s="23"/>
    </row>
    <row r="34980">
      <c r="B34980" s="19"/>
      <c r="E34980" s="23"/>
      <c r="L34980" s="23"/>
    </row>
    <row r="34981">
      <c r="B34981" s="19"/>
      <c r="E34981" s="23"/>
      <c r="L34981" s="23"/>
    </row>
    <row r="34982">
      <c r="B34982" s="19"/>
      <c r="E34982" s="23"/>
      <c r="L34982" s="23"/>
    </row>
    <row r="34983">
      <c r="B34983" s="19"/>
      <c r="E34983" s="23"/>
      <c r="L34983" s="23"/>
    </row>
    <row r="34984">
      <c r="B34984" s="19"/>
      <c r="E34984" s="23"/>
      <c r="L34984" s="23"/>
    </row>
    <row r="34985">
      <c r="B34985" s="19"/>
      <c r="E34985" s="23"/>
      <c r="L34985" s="23"/>
    </row>
    <row r="34986">
      <c r="B34986" s="19"/>
      <c r="E34986" s="23"/>
      <c r="L34986" s="23"/>
    </row>
    <row r="34987">
      <c r="B34987" s="19"/>
      <c r="E34987" s="23"/>
      <c r="L34987" s="23"/>
    </row>
    <row r="34988">
      <c r="B34988" s="19"/>
      <c r="E34988" s="23"/>
      <c r="L34988" s="23"/>
    </row>
    <row r="34989">
      <c r="B34989" s="19"/>
      <c r="E34989" s="23"/>
      <c r="L34989" s="23"/>
    </row>
    <row r="34990">
      <c r="B34990" s="19"/>
      <c r="E34990" s="23"/>
      <c r="L34990" s="23"/>
    </row>
    <row r="34991">
      <c r="B34991" s="19"/>
      <c r="E34991" s="23"/>
      <c r="L34991" s="23"/>
    </row>
    <row r="34992">
      <c r="B34992" s="19"/>
      <c r="E34992" s="23"/>
      <c r="L34992" s="23"/>
    </row>
    <row r="34993">
      <c r="B34993" s="19"/>
      <c r="E34993" s="23"/>
      <c r="L34993" s="23"/>
    </row>
    <row r="34994">
      <c r="B34994" s="19"/>
      <c r="E34994" s="23"/>
      <c r="L34994" s="23"/>
    </row>
    <row r="34995">
      <c r="B34995" s="19"/>
      <c r="E34995" s="23"/>
      <c r="L34995" s="23"/>
    </row>
    <row r="34996">
      <c r="B34996" s="19"/>
      <c r="E34996" s="23"/>
      <c r="L34996" s="23"/>
    </row>
    <row r="34997">
      <c r="B34997" s="19"/>
      <c r="E34997" s="23"/>
      <c r="L34997" s="23"/>
    </row>
    <row r="34998">
      <c r="B34998" s="19"/>
      <c r="E34998" s="23"/>
      <c r="L34998" s="23"/>
    </row>
    <row r="34999">
      <c r="B34999" s="19"/>
      <c r="E34999" s="23"/>
      <c r="L34999" s="23"/>
    </row>
    <row r="35000">
      <c r="B35000" s="19"/>
      <c r="E35000" s="23"/>
      <c r="L35000" s="23"/>
    </row>
    <row r="35001">
      <c r="B35001" s="19"/>
      <c r="E35001" s="23"/>
      <c r="L35001" s="23"/>
    </row>
    <row r="35002">
      <c r="B35002" s="19"/>
      <c r="E35002" s="23"/>
      <c r="L35002" s="23"/>
    </row>
    <row r="35003">
      <c r="B35003" s="19"/>
      <c r="E35003" s="23"/>
      <c r="L35003" s="23"/>
    </row>
    <row r="35004">
      <c r="B35004" s="19"/>
      <c r="E35004" s="23"/>
      <c r="L35004" s="23"/>
    </row>
    <row r="35005">
      <c r="B35005" s="19"/>
      <c r="E35005" s="23"/>
      <c r="L35005" s="23"/>
    </row>
    <row r="35006">
      <c r="B35006" s="19"/>
      <c r="E35006" s="23"/>
      <c r="L35006" s="23"/>
    </row>
    <row r="35007">
      <c r="B35007" s="19"/>
      <c r="E35007" s="23"/>
      <c r="L35007" s="23"/>
    </row>
    <row r="35008">
      <c r="B35008" s="19"/>
      <c r="E35008" s="23"/>
      <c r="L35008" s="23"/>
    </row>
    <row r="35009">
      <c r="B35009" s="19"/>
      <c r="E35009" s="23"/>
      <c r="L35009" s="23"/>
    </row>
    <row r="35010">
      <c r="B35010" s="19"/>
      <c r="E35010" s="23"/>
      <c r="L35010" s="23"/>
    </row>
    <row r="35011">
      <c r="B35011" s="19"/>
      <c r="E35011" s="23"/>
      <c r="L35011" s="23"/>
    </row>
    <row r="35012">
      <c r="B35012" s="19"/>
      <c r="E35012" s="23"/>
      <c r="L35012" s="23"/>
    </row>
    <row r="35013">
      <c r="B35013" s="19"/>
      <c r="E35013" s="23"/>
      <c r="L35013" s="23"/>
    </row>
    <row r="35014">
      <c r="B35014" s="19"/>
      <c r="E35014" s="23"/>
      <c r="L35014" s="23"/>
    </row>
    <row r="35015">
      <c r="B35015" s="19"/>
      <c r="E35015" s="23"/>
      <c r="L35015" s="23"/>
    </row>
    <row r="35016">
      <c r="B35016" s="19"/>
      <c r="E35016" s="23"/>
      <c r="L35016" s="23"/>
    </row>
    <row r="35017">
      <c r="B35017" s="19"/>
      <c r="E35017" s="23"/>
      <c r="L35017" s="23"/>
    </row>
    <row r="35018">
      <c r="B35018" s="19"/>
      <c r="E35018" s="23"/>
      <c r="L35018" s="23"/>
    </row>
    <row r="35019">
      <c r="B35019" s="19"/>
      <c r="E35019" s="23"/>
      <c r="L35019" s="23"/>
    </row>
    <row r="35020">
      <c r="B35020" s="19"/>
      <c r="E35020" s="23"/>
      <c r="L35020" s="23"/>
    </row>
    <row r="35021">
      <c r="B35021" s="19"/>
      <c r="E35021" s="23"/>
      <c r="L35021" s="23"/>
    </row>
    <row r="35022">
      <c r="B35022" s="19"/>
      <c r="E35022" s="23"/>
      <c r="L35022" s="23"/>
    </row>
    <row r="35023">
      <c r="B35023" s="19"/>
      <c r="E35023" s="23"/>
      <c r="L35023" s="23"/>
    </row>
    <row r="35024">
      <c r="B35024" s="19"/>
      <c r="E35024" s="23"/>
      <c r="L35024" s="23"/>
    </row>
    <row r="35025">
      <c r="B35025" s="19"/>
      <c r="E35025" s="23"/>
      <c r="L35025" s="23"/>
    </row>
    <row r="35026">
      <c r="B35026" s="19"/>
      <c r="E35026" s="23"/>
      <c r="L35026" s="23"/>
    </row>
    <row r="35027">
      <c r="B35027" s="19"/>
      <c r="E35027" s="23"/>
      <c r="L35027" s="23"/>
    </row>
    <row r="35028">
      <c r="B35028" s="19"/>
      <c r="E35028" s="23"/>
      <c r="L35028" s="23"/>
    </row>
    <row r="35029">
      <c r="B35029" s="19"/>
      <c r="E35029" s="23"/>
      <c r="L35029" s="23"/>
    </row>
    <row r="35030">
      <c r="B35030" s="19"/>
      <c r="E35030" s="23"/>
      <c r="L35030" s="23"/>
    </row>
    <row r="35031">
      <c r="B35031" s="19"/>
      <c r="E35031" s="23"/>
      <c r="L35031" s="23"/>
    </row>
    <row r="35032">
      <c r="B35032" s="19"/>
      <c r="E35032" s="23"/>
      <c r="L35032" s="23"/>
    </row>
    <row r="35033">
      <c r="B35033" s="19"/>
      <c r="E35033" s="23"/>
      <c r="L35033" s="23"/>
    </row>
    <row r="35034">
      <c r="B35034" s="19"/>
      <c r="E35034" s="23"/>
      <c r="L35034" s="23"/>
    </row>
    <row r="35035">
      <c r="B35035" s="19"/>
      <c r="E35035" s="23"/>
      <c r="L35035" s="23"/>
    </row>
    <row r="35036">
      <c r="B35036" s="19"/>
      <c r="E35036" s="23"/>
      <c r="L35036" s="23"/>
    </row>
    <row r="35037">
      <c r="B35037" s="19"/>
      <c r="E35037" s="23"/>
      <c r="L35037" s="23"/>
    </row>
    <row r="35038">
      <c r="B35038" s="19"/>
      <c r="E35038" s="23"/>
      <c r="L35038" s="23"/>
    </row>
    <row r="35039">
      <c r="B35039" s="19"/>
      <c r="E35039" s="23"/>
      <c r="L35039" s="23"/>
    </row>
    <row r="35040">
      <c r="B35040" s="19"/>
      <c r="E35040" s="23"/>
      <c r="L35040" s="23"/>
    </row>
    <row r="35041">
      <c r="B35041" s="19"/>
      <c r="E35041" s="23"/>
      <c r="L35041" s="23"/>
    </row>
    <row r="35042">
      <c r="B35042" s="19"/>
      <c r="E35042" s="23"/>
      <c r="L35042" s="23"/>
    </row>
    <row r="35043">
      <c r="B35043" s="19"/>
      <c r="E35043" s="23"/>
      <c r="L35043" s="23"/>
    </row>
    <row r="35044">
      <c r="B35044" s="19"/>
      <c r="E35044" s="23"/>
      <c r="L35044" s="23"/>
    </row>
    <row r="35045">
      <c r="B35045" s="19"/>
      <c r="E35045" s="23"/>
      <c r="L35045" s="23"/>
    </row>
    <row r="35046">
      <c r="B35046" s="19"/>
      <c r="E35046" s="23"/>
      <c r="L35046" s="23"/>
    </row>
    <row r="35047">
      <c r="B35047" s="19"/>
      <c r="E35047" s="23"/>
      <c r="L35047" s="23"/>
    </row>
    <row r="35048">
      <c r="B35048" s="19"/>
      <c r="E35048" s="23"/>
      <c r="L35048" s="23"/>
    </row>
    <row r="35049">
      <c r="B35049" s="19"/>
      <c r="E35049" s="23"/>
      <c r="L35049" s="23"/>
    </row>
    <row r="35050">
      <c r="B35050" s="19"/>
      <c r="E35050" s="23"/>
      <c r="L35050" s="23"/>
    </row>
    <row r="35051">
      <c r="B35051" s="19"/>
      <c r="E35051" s="23"/>
      <c r="L35051" s="23"/>
    </row>
    <row r="35052">
      <c r="B35052" s="19"/>
      <c r="E35052" s="23"/>
      <c r="L35052" s="23"/>
    </row>
    <row r="35053">
      <c r="B35053" s="19"/>
      <c r="E35053" s="23"/>
      <c r="L35053" s="23"/>
    </row>
    <row r="35054">
      <c r="B35054" s="19"/>
      <c r="E35054" s="23"/>
      <c r="L35054" s="23"/>
    </row>
    <row r="35055">
      <c r="B35055" s="19"/>
      <c r="E35055" s="23"/>
      <c r="L35055" s="23"/>
    </row>
    <row r="35056">
      <c r="B35056" s="19"/>
      <c r="E35056" s="23"/>
      <c r="L35056" s="23"/>
    </row>
    <row r="35057">
      <c r="B35057" s="19"/>
      <c r="E35057" s="23"/>
      <c r="L35057" s="23"/>
    </row>
    <row r="35058">
      <c r="B35058" s="19"/>
      <c r="E35058" s="23"/>
      <c r="L35058" s="23"/>
    </row>
    <row r="35059">
      <c r="B35059" s="19"/>
      <c r="E35059" s="23"/>
      <c r="L35059" s="23"/>
    </row>
    <row r="35060">
      <c r="B35060" s="19"/>
      <c r="E35060" s="23"/>
      <c r="L35060" s="23"/>
    </row>
    <row r="35061">
      <c r="B35061" s="19"/>
      <c r="E35061" s="23"/>
      <c r="L35061" s="23"/>
    </row>
    <row r="35062">
      <c r="B35062" s="19"/>
      <c r="E35062" s="23"/>
      <c r="L35062" s="23"/>
    </row>
    <row r="35063">
      <c r="B35063" s="19"/>
      <c r="E35063" s="23"/>
      <c r="L35063" s="23"/>
    </row>
    <row r="35064">
      <c r="B35064" s="19"/>
      <c r="E35064" s="23"/>
      <c r="L35064" s="23"/>
    </row>
    <row r="35065">
      <c r="B35065" s="19"/>
      <c r="E35065" s="23"/>
      <c r="L35065" s="23"/>
    </row>
    <row r="35066">
      <c r="B35066" s="19"/>
      <c r="E35066" s="23"/>
      <c r="L35066" s="23"/>
    </row>
    <row r="35067">
      <c r="B35067" s="19"/>
      <c r="E35067" s="23"/>
      <c r="L35067" s="23"/>
    </row>
    <row r="35068">
      <c r="B35068" s="19"/>
      <c r="E35068" s="23"/>
      <c r="L35068" s="23"/>
    </row>
    <row r="35069">
      <c r="B35069" s="19"/>
      <c r="E35069" s="23"/>
      <c r="L35069" s="23"/>
    </row>
    <row r="35070">
      <c r="B35070" s="19"/>
      <c r="E35070" s="23"/>
      <c r="L35070" s="23"/>
    </row>
    <row r="35071">
      <c r="B35071" s="19"/>
      <c r="E35071" s="23"/>
      <c r="L35071" s="23"/>
    </row>
    <row r="35072">
      <c r="B35072" s="19"/>
      <c r="E35072" s="23"/>
      <c r="L35072" s="23"/>
    </row>
    <row r="35073">
      <c r="B35073" s="19"/>
      <c r="E35073" s="23"/>
      <c r="L35073" s="23"/>
    </row>
    <row r="35074">
      <c r="B35074" s="19"/>
      <c r="E35074" s="23"/>
      <c r="L35074" s="23"/>
    </row>
    <row r="35075">
      <c r="B35075" s="19"/>
      <c r="E35075" s="23"/>
      <c r="L35075" s="23"/>
    </row>
    <row r="35076">
      <c r="B35076" s="19"/>
      <c r="E35076" s="23"/>
      <c r="L35076" s="23"/>
    </row>
    <row r="35077">
      <c r="B35077" s="19"/>
      <c r="E35077" s="23"/>
      <c r="L35077" s="23"/>
    </row>
    <row r="35078">
      <c r="B35078" s="19"/>
      <c r="E35078" s="23"/>
      <c r="L35078" s="23"/>
    </row>
    <row r="35079">
      <c r="B35079" s="19"/>
      <c r="E35079" s="23"/>
      <c r="L35079" s="23"/>
    </row>
    <row r="35080">
      <c r="B35080" s="19"/>
      <c r="E35080" s="23"/>
      <c r="L35080" s="23"/>
    </row>
    <row r="35081">
      <c r="B35081" s="19"/>
      <c r="E35081" s="23"/>
      <c r="L35081" s="23"/>
    </row>
    <row r="35082">
      <c r="B35082" s="19"/>
      <c r="E35082" s="23"/>
      <c r="L35082" s="23"/>
    </row>
    <row r="35083">
      <c r="B35083" s="19"/>
      <c r="E35083" s="23"/>
      <c r="L35083" s="23"/>
    </row>
    <row r="35084">
      <c r="B35084" s="19"/>
      <c r="E35084" s="23"/>
      <c r="L35084" s="23"/>
    </row>
    <row r="35085">
      <c r="B35085" s="19"/>
      <c r="E35085" s="23"/>
      <c r="L35085" s="23"/>
    </row>
    <row r="35086">
      <c r="B35086" s="19"/>
      <c r="E35086" s="23"/>
      <c r="L35086" s="23"/>
    </row>
    <row r="35087">
      <c r="B35087" s="19"/>
      <c r="E35087" s="23"/>
      <c r="L35087" s="23"/>
    </row>
    <row r="35088">
      <c r="B35088" s="19"/>
      <c r="E35088" s="23"/>
      <c r="L35088" s="23"/>
    </row>
    <row r="35089">
      <c r="B35089" s="19"/>
      <c r="E35089" s="23"/>
      <c r="L35089" s="23"/>
    </row>
    <row r="35090">
      <c r="B35090" s="19"/>
      <c r="E35090" s="23"/>
      <c r="L35090" s="23"/>
    </row>
    <row r="35091">
      <c r="B35091" s="19"/>
      <c r="E35091" s="23"/>
      <c r="L35091" s="23"/>
    </row>
    <row r="35092">
      <c r="B35092" s="19"/>
      <c r="E35092" s="23"/>
      <c r="L35092" s="23"/>
    </row>
    <row r="35093">
      <c r="B35093" s="19"/>
      <c r="E35093" s="23"/>
      <c r="L35093" s="23"/>
    </row>
    <row r="35094">
      <c r="B35094" s="19"/>
      <c r="E35094" s="23"/>
      <c r="L35094" s="23"/>
    </row>
    <row r="35095">
      <c r="B35095" s="19"/>
      <c r="E35095" s="23"/>
      <c r="L35095" s="23"/>
    </row>
    <row r="35096">
      <c r="B35096" s="19"/>
      <c r="E35096" s="23"/>
      <c r="L35096" s="23"/>
    </row>
    <row r="35097">
      <c r="B35097" s="19"/>
      <c r="E35097" s="23"/>
      <c r="L35097" s="23"/>
    </row>
    <row r="35098">
      <c r="B35098" s="19"/>
      <c r="E35098" s="23"/>
      <c r="L35098" s="23"/>
    </row>
    <row r="35099">
      <c r="B35099" s="19"/>
      <c r="E35099" s="23"/>
      <c r="L35099" s="23"/>
    </row>
    <row r="35100">
      <c r="B35100" s="19"/>
      <c r="E35100" s="23"/>
      <c r="L35100" s="23"/>
    </row>
    <row r="35101">
      <c r="B35101" s="19"/>
      <c r="E35101" s="23"/>
      <c r="L35101" s="23"/>
    </row>
    <row r="35102">
      <c r="B35102" s="19"/>
      <c r="E35102" s="23"/>
      <c r="L35102" s="23"/>
    </row>
    <row r="35103">
      <c r="B35103" s="19"/>
      <c r="E35103" s="23"/>
      <c r="L35103" s="23"/>
    </row>
    <row r="35104">
      <c r="B35104" s="19"/>
      <c r="E35104" s="23"/>
      <c r="L35104" s="23"/>
    </row>
    <row r="35105">
      <c r="B35105" s="19"/>
      <c r="E35105" s="23"/>
      <c r="L35105" s="23"/>
    </row>
    <row r="35106">
      <c r="B35106" s="19"/>
      <c r="E35106" s="23"/>
      <c r="L35106" s="23"/>
    </row>
    <row r="35107">
      <c r="B35107" s="19"/>
      <c r="E35107" s="23"/>
      <c r="L35107" s="23"/>
    </row>
    <row r="35108">
      <c r="B35108" s="19"/>
      <c r="E35108" s="23"/>
      <c r="L35108" s="23"/>
    </row>
    <row r="35109">
      <c r="B35109" s="19"/>
      <c r="E35109" s="23"/>
      <c r="L35109" s="23"/>
    </row>
    <row r="35110">
      <c r="B35110" s="19"/>
      <c r="E35110" s="23"/>
      <c r="L35110" s="23"/>
    </row>
    <row r="35111">
      <c r="B35111" s="19"/>
      <c r="E35111" s="23"/>
      <c r="L35111" s="23"/>
    </row>
    <row r="35112">
      <c r="B35112" s="19"/>
      <c r="E35112" s="23"/>
      <c r="L35112" s="23"/>
    </row>
    <row r="35113">
      <c r="B35113" s="19"/>
      <c r="E35113" s="23"/>
      <c r="L35113" s="23"/>
    </row>
    <row r="35114">
      <c r="B35114" s="19"/>
      <c r="E35114" s="23"/>
      <c r="L35114" s="23"/>
    </row>
    <row r="35115">
      <c r="B35115" s="19"/>
      <c r="E35115" s="23"/>
      <c r="L35115" s="23"/>
    </row>
    <row r="35116">
      <c r="B35116" s="19"/>
      <c r="E35116" s="23"/>
      <c r="L35116" s="23"/>
    </row>
    <row r="35117">
      <c r="B35117" s="19"/>
      <c r="E35117" s="23"/>
      <c r="L35117" s="23"/>
    </row>
    <row r="35118">
      <c r="B35118" s="19"/>
      <c r="E35118" s="23"/>
      <c r="L35118" s="23"/>
    </row>
    <row r="35119">
      <c r="B35119" s="19"/>
      <c r="E35119" s="23"/>
      <c r="L35119" s="23"/>
    </row>
    <row r="35120">
      <c r="B35120" s="19"/>
      <c r="E35120" s="23"/>
      <c r="L35120" s="23"/>
    </row>
    <row r="35121">
      <c r="B35121" s="19"/>
      <c r="E35121" s="23"/>
      <c r="L35121" s="23"/>
    </row>
    <row r="35122">
      <c r="B35122" s="19"/>
      <c r="E35122" s="23"/>
      <c r="L35122" s="23"/>
    </row>
    <row r="35123">
      <c r="B35123" s="19"/>
      <c r="E35123" s="23"/>
      <c r="L35123" s="23"/>
    </row>
    <row r="35124">
      <c r="B35124" s="19"/>
      <c r="E35124" s="23"/>
      <c r="L35124" s="23"/>
    </row>
    <row r="35125">
      <c r="B35125" s="19"/>
      <c r="E35125" s="23"/>
      <c r="L35125" s="23"/>
    </row>
    <row r="35126">
      <c r="B35126" s="19"/>
      <c r="E35126" s="23"/>
      <c r="L35126" s="23"/>
    </row>
    <row r="35127">
      <c r="B35127" s="19"/>
      <c r="E35127" s="23"/>
      <c r="L35127" s="23"/>
    </row>
    <row r="35128">
      <c r="B35128" s="19"/>
      <c r="E35128" s="23"/>
      <c r="L35128" s="23"/>
    </row>
    <row r="35129">
      <c r="B35129" s="19"/>
      <c r="E35129" s="23"/>
      <c r="L35129" s="23"/>
    </row>
    <row r="35130">
      <c r="B35130" s="19"/>
      <c r="E35130" s="23"/>
      <c r="L35130" s="23"/>
    </row>
    <row r="35131">
      <c r="B35131" s="19"/>
      <c r="E35131" s="23"/>
      <c r="L35131" s="23"/>
    </row>
    <row r="35132">
      <c r="B35132" s="19"/>
      <c r="E35132" s="23"/>
      <c r="L35132" s="23"/>
    </row>
    <row r="35133">
      <c r="B35133" s="19"/>
      <c r="E35133" s="23"/>
      <c r="L35133" s="23"/>
    </row>
    <row r="35134">
      <c r="B35134" s="19"/>
      <c r="E35134" s="23"/>
      <c r="L35134" s="23"/>
    </row>
    <row r="35135">
      <c r="B35135" s="19"/>
      <c r="E35135" s="23"/>
      <c r="L35135" s="23"/>
    </row>
    <row r="35136">
      <c r="B35136" s="19"/>
      <c r="E35136" s="23"/>
      <c r="L35136" s="23"/>
    </row>
    <row r="35137">
      <c r="B35137" s="19"/>
      <c r="E35137" s="23"/>
      <c r="L35137" s="23"/>
    </row>
    <row r="35138">
      <c r="B35138" s="19"/>
      <c r="E35138" s="23"/>
      <c r="L35138" s="23"/>
    </row>
    <row r="35139">
      <c r="B35139" s="19"/>
      <c r="E35139" s="23"/>
      <c r="L35139" s="23"/>
    </row>
    <row r="35140">
      <c r="B35140" s="19"/>
      <c r="E35140" s="23"/>
      <c r="L35140" s="23"/>
    </row>
    <row r="35141">
      <c r="B35141" s="19"/>
      <c r="E35141" s="23"/>
      <c r="L35141" s="23"/>
    </row>
    <row r="35142">
      <c r="B35142" s="19"/>
      <c r="E35142" s="23"/>
      <c r="L35142" s="23"/>
    </row>
    <row r="35143">
      <c r="B35143" s="19"/>
      <c r="E35143" s="23"/>
      <c r="L35143" s="23"/>
    </row>
    <row r="35144">
      <c r="B35144" s="19"/>
      <c r="E35144" s="23"/>
      <c r="L35144" s="23"/>
    </row>
    <row r="35145">
      <c r="B35145" s="19"/>
      <c r="E35145" s="23"/>
      <c r="L35145" s="23"/>
    </row>
    <row r="35146">
      <c r="B35146" s="19"/>
      <c r="E35146" s="23"/>
      <c r="L35146" s="23"/>
    </row>
    <row r="35147">
      <c r="B35147" s="19"/>
      <c r="E35147" s="23"/>
      <c r="L35147" s="23"/>
    </row>
    <row r="35148">
      <c r="B35148" s="19"/>
      <c r="E35148" s="23"/>
      <c r="L35148" s="23"/>
    </row>
    <row r="35149">
      <c r="B35149" s="19"/>
      <c r="E35149" s="23"/>
      <c r="L35149" s="23"/>
    </row>
    <row r="35150">
      <c r="B35150" s="19"/>
      <c r="E35150" s="23"/>
      <c r="L35150" s="23"/>
    </row>
    <row r="35151">
      <c r="B35151" s="19"/>
      <c r="E35151" s="23"/>
      <c r="L35151" s="23"/>
    </row>
    <row r="35152">
      <c r="B35152" s="19"/>
      <c r="E35152" s="23"/>
      <c r="L35152" s="23"/>
    </row>
    <row r="35153">
      <c r="B35153" s="19"/>
      <c r="E35153" s="23"/>
      <c r="L35153" s="23"/>
    </row>
    <row r="35154">
      <c r="B35154" s="19"/>
      <c r="E35154" s="23"/>
      <c r="L35154" s="23"/>
    </row>
    <row r="35155">
      <c r="B35155" s="19"/>
      <c r="E35155" s="23"/>
      <c r="L35155" s="23"/>
    </row>
    <row r="35156">
      <c r="B35156" s="19"/>
      <c r="E35156" s="23"/>
      <c r="L35156" s="23"/>
    </row>
    <row r="35157">
      <c r="B35157" s="19"/>
      <c r="E35157" s="23"/>
      <c r="L35157" s="23"/>
    </row>
    <row r="35158">
      <c r="B35158" s="19"/>
      <c r="E35158" s="23"/>
      <c r="L35158" s="23"/>
    </row>
    <row r="35159">
      <c r="B35159" s="19"/>
      <c r="E35159" s="23"/>
      <c r="L35159" s="23"/>
    </row>
    <row r="35160">
      <c r="B35160" s="19"/>
      <c r="E35160" s="23"/>
      <c r="L35160" s="23"/>
    </row>
    <row r="35161">
      <c r="B35161" s="19"/>
      <c r="E35161" s="23"/>
      <c r="L35161" s="23"/>
    </row>
    <row r="35162">
      <c r="B35162" s="19"/>
      <c r="E35162" s="23"/>
      <c r="L35162" s="23"/>
    </row>
    <row r="35163">
      <c r="B35163" s="19"/>
      <c r="E35163" s="23"/>
      <c r="L35163" s="23"/>
    </row>
    <row r="35164">
      <c r="B35164" s="19"/>
      <c r="E35164" s="23"/>
      <c r="L35164" s="23"/>
    </row>
    <row r="35165">
      <c r="B35165" s="19"/>
      <c r="E35165" s="23"/>
      <c r="L35165" s="23"/>
    </row>
    <row r="35166">
      <c r="B35166" s="19"/>
      <c r="E35166" s="23"/>
      <c r="L35166" s="23"/>
    </row>
    <row r="35167">
      <c r="B35167" s="19"/>
      <c r="E35167" s="23"/>
      <c r="L35167" s="23"/>
    </row>
    <row r="35168">
      <c r="B35168" s="19"/>
      <c r="E35168" s="23"/>
      <c r="L35168" s="23"/>
    </row>
    <row r="35169">
      <c r="B35169" s="19"/>
      <c r="E35169" s="23"/>
      <c r="L35169" s="23"/>
    </row>
    <row r="35170">
      <c r="B35170" s="19"/>
      <c r="E35170" s="23"/>
      <c r="L35170" s="23"/>
    </row>
    <row r="35171">
      <c r="B35171" s="19"/>
      <c r="E35171" s="23"/>
      <c r="L35171" s="23"/>
    </row>
    <row r="35172">
      <c r="B35172" s="19"/>
      <c r="E35172" s="23"/>
      <c r="L35172" s="23"/>
    </row>
    <row r="35173">
      <c r="B35173" s="19"/>
      <c r="E35173" s="23"/>
      <c r="L35173" s="23"/>
    </row>
    <row r="35174">
      <c r="B35174" s="19"/>
      <c r="E35174" s="23"/>
      <c r="L35174" s="23"/>
    </row>
    <row r="35175">
      <c r="B35175" s="19"/>
      <c r="E35175" s="23"/>
      <c r="L35175" s="23"/>
    </row>
    <row r="35176">
      <c r="B35176" s="19"/>
      <c r="E35176" s="23"/>
      <c r="L35176" s="23"/>
    </row>
    <row r="35177">
      <c r="B35177" s="19"/>
      <c r="E35177" s="23"/>
      <c r="L35177" s="23"/>
    </row>
    <row r="35178">
      <c r="B35178" s="19"/>
      <c r="E35178" s="23"/>
      <c r="L35178" s="23"/>
    </row>
    <row r="35179">
      <c r="B35179" s="19"/>
      <c r="E35179" s="23"/>
      <c r="L35179" s="23"/>
    </row>
    <row r="35180">
      <c r="B35180" s="19"/>
      <c r="E35180" s="23"/>
      <c r="L35180" s="23"/>
    </row>
    <row r="35181">
      <c r="B35181" s="19"/>
      <c r="E35181" s="23"/>
      <c r="L35181" s="23"/>
    </row>
    <row r="35182">
      <c r="B35182" s="19"/>
      <c r="E35182" s="23"/>
      <c r="L35182" s="23"/>
    </row>
    <row r="35183">
      <c r="B35183" s="19"/>
      <c r="E35183" s="23"/>
      <c r="L35183" s="23"/>
    </row>
    <row r="35184">
      <c r="B35184" s="19"/>
      <c r="E35184" s="23"/>
      <c r="L35184" s="23"/>
    </row>
    <row r="35185">
      <c r="B35185" s="19"/>
      <c r="E35185" s="23"/>
      <c r="L35185" s="23"/>
    </row>
    <row r="35186">
      <c r="B35186" s="19"/>
      <c r="E35186" s="23"/>
      <c r="L35186" s="23"/>
    </row>
    <row r="35187">
      <c r="B35187" s="19"/>
      <c r="E35187" s="23"/>
      <c r="L35187" s="23"/>
    </row>
    <row r="35188">
      <c r="B35188" s="19"/>
      <c r="E35188" s="23"/>
      <c r="L35188" s="23"/>
    </row>
    <row r="35189">
      <c r="B35189" s="19"/>
      <c r="E35189" s="23"/>
      <c r="L35189" s="23"/>
    </row>
    <row r="35190">
      <c r="B35190" s="19"/>
      <c r="E35190" s="23"/>
      <c r="L35190" s="23"/>
    </row>
    <row r="35191">
      <c r="B35191" s="19"/>
      <c r="E35191" s="23"/>
      <c r="L35191" s="23"/>
    </row>
    <row r="35192">
      <c r="B35192" s="19"/>
      <c r="E35192" s="23"/>
      <c r="L35192" s="23"/>
    </row>
    <row r="35193">
      <c r="B35193" s="19"/>
      <c r="E35193" s="23"/>
      <c r="L35193" s="23"/>
    </row>
    <row r="35194">
      <c r="B35194" s="19"/>
      <c r="E35194" s="23"/>
      <c r="L35194" s="23"/>
    </row>
    <row r="35195">
      <c r="B35195" s="19"/>
      <c r="E35195" s="23"/>
      <c r="L35195" s="23"/>
    </row>
    <row r="35196">
      <c r="B35196" s="19"/>
      <c r="E35196" s="23"/>
      <c r="L35196" s="23"/>
    </row>
    <row r="35197">
      <c r="B35197" s="19"/>
      <c r="E35197" s="23"/>
      <c r="L35197" s="23"/>
    </row>
    <row r="35198">
      <c r="B35198" s="19"/>
      <c r="E35198" s="23"/>
      <c r="L35198" s="23"/>
    </row>
    <row r="35199">
      <c r="B35199" s="19"/>
      <c r="E35199" s="23"/>
      <c r="L35199" s="23"/>
    </row>
    <row r="35200">
      <c r="B35200" s="19"/>
      <c r="E35200" s="23"/>
      <c r="L35200" s="23"/>
    </row>
    <row r="35201">
      <c r="B35201" s="19"/>
      <c r="E35201" s="23"/>
      <c r="L35201" s="23"/>
    </row>
    <row r="35202">
      <c r="B35202" s="19"/>
      <c r="E35202" s="23"/>
      <c r="L35202" s="23"/>
    </row>
    <row r="35203">
      <c r="B35203" s="19"/>
      <c r="E35203" s="23"/>
      <c r="L35203" s="23"/>
    </row>
    <row r="35204">
      <c r="B35204" s="19"/>
      <c r="E35204" s="23"/>
      <c r="L35204" s="23"/>
    </row>
    <row r="35205">
      <c r="B35205" s="19"/>
      <c r="E35205" s="23"/>
      <c r="L35205" s="23"/>
    </row>
    <row r="35206">
      <c r="B35206" s="19"/>
      <c r="E35206" s="23"/>
      <c r="L35206" s="23"/>
    </row>
    <row r="35207">
      <c r="B35207" s="19"/>
      <c r="E35207" s="23"/>
      <c r="L35207" s="23"/>
    </row>
    <row r="35208">
      <c r="B35208" s="19"/>
      <c r="E35208" s="23"/>
      <c r="L35208" s="23"/>
    </row>
    <row r="35209">
      <c r="B35209" s="19"/>
      <c r="E35209" s="23"/>
      <c r="L35209" s="23"/>
    </row>
    <row r="35210">
      <c r="B35210" s="19"/>
      <c r="E35210" s="23"/>
      <c r="L35210" s="23"/>
    </row>
    <row r="35211">
      <c r="B35211" s="19"/>
      <c r="E35211" s="23"/>
      <c r="L35211" s="23"/>
    </row>
    <row r="35212">
      <c r="B35212" s="19"/>
      <c r="E35212" s="23"/>
      <c r="L35212" s="23"/>
    </row>
    <row r="35213">
      <c r="B35213" s="19"/>
      <c r="E35213" s="23"/>
      <c r="L35213" s="23"/>
    </row>
    <row r="35214">
      <c r="B35214" s="19"/>
      <c r="E35214" s="23"/>
      <c r="L35214" s="23"/>
    </row>
    <row r="35215">
      <c r="B35215" s="19"/>
      <c r="E35215" s="23"/>
      <c r="L35215" s="23"/>
    </row>
    <row r="35216">
      <c r="B35216" s="19"/>
      <c r="E35216" s="23"/>
      <c r="L35216" s="23"/>
    </row>
    <row r="35217">
      <c r="B35217" s="19"/>
      <c r="E35217" s="23"/>
      <c r="L35217" s="23"/>
    </row>
    <row r="35218">
      <c r="B35218" s="19"/>
      <c r="E35218" s="23"/>
      <c r="L35218" s="23"/>
    </row>
    <row r="35219">
      <c r="B35219" s="19"/>
      <c r="E35219" s="23"/>
      <c r="L35219" s="23"/>
    </row>
    <row r="35220">
      <c r="B35220" s="19"/>
      <c r="E35220" s="23"/>
      <c r="L35220" s="23"/>
    </row>
    <row r="35221">
      <c r="B35221" s="19"/>
      <c r="E35221" s="23"/>
      <c r="L35221" s="23"/>
    </row>
    <row r="35222">
      <c r="B35222" s="19"/>
      <c r="E35222" s="23"/>
      <c r="L35222" s="23"/>
    </row>
    <row r="35223">
      <c r="B35223" s="19"/>
      <c r="E35223" s="23"/>
      <c r="L35223" s="23"/>
    </row>
    <row r="35224">
      <c r="B35224" s="19"/>
      <c r="E35224" s="23"/>
      <c r="L35224" s="23"/>
    </row>
    <row r="35225">
      <c r="B35225" s="19"/>
      <c r="E35225" s="23"/>
      <c r="L35225" s="23"/>
    </row>
    <row r="35226">
      <c r="B35226" s="19"/>
      <c r="E35226" s="23"/>
      <c r="L35226" s="23"/>
    </row>
    <row r="35227">
      <c r="B35227" s="19"/>
      <c r="E35227" s="23"/>
      <c r="L35227" s="23"/>
    </row>
    <row r="35228">
      <c r="B35228" s="19"/>
      <c r="E35228" s="23"/>
      <c r="L35228" s="23"/>
    </row>
    <row r="35229">
      <c r="B35229" s="19"/>
      <c r="E35229" s="23"/>
      <c r="L35229" s="23"/>
    </row>
    <row r="35230">
      <c r="B35230" s="19"/>
      <c r="E35230" s="23"/>
      <c r="L35230" s="23"/>
    </row>
    <row r="35231">
      <c r="B35231" s="19"/>
      <c r="E35231" s="23"/>
      <c r="L35231" s="23"/>
    </row>
    <row r="35232">
      <c r="B35232" s="19"/>
      <c r="E35232" s="23"/>
      <c r="L35232" s="23"/>
    </row>
    <row r="35233">
      <c r="B35233" s="19"/>
      <c r="E35233" s="23"/>
      <c r="L35233" s="23"/>
    </row>
    <row r="35234">
      <c r="B35234" s="19"/>
      <c r="E35234" s="23"/>
      <c r="L35234" s="23"/>
    </row>
    <row r="35235">
      <c r="B35235" s="19"/>
      <c r="E35235" s="23"/>
      <c r="L35235" s="23"/>
    </row>
    <row r="35236">
      <c r="B35236" s="19"/>
      <c r="E35236" s="23"/>
      <c r="L35236" s="23"/>
    </row>
    <row r="35237">
      <c r="B35237" s="19"/>
      <c r="E35237" s="23"/>
      <c r="L35237" s="23"/>
    </row>
    <row r="35238">
      <c r="B35238" s="19"/>
      <c r="E35238" s="23"/>
      <c r="L35238" s="23"/>
    </row>
    <row r="35239">
      <c r="B35239" s="19"/>
      <c r="E35239" s="23"/>
      <c r="L35239" s="23"/>
    </row>
    <row r="35240">
      <c r="B35240" s="19"/>
      <c r="E35240" s="23"/>
      <c r="L35240" s="23"/>
    </row>
    <row r="35241">
      <c r="B35241" s="19"/>
      <c r="E35241" s="23"/>
      <c r="L35241" s="23"/>
    </row>
    <row r="35242">
      <c r="B35242" s="19"/>
      <c r="E35242" s="23"/>
      <c r="L35242" s="23"/>
    </row>
    <row r="35243">
      <c r="B35243" s="19"/>
      <c r="E35243" s="23"/>
      <c r="L35243" s="23"/>
    </row>
    <row r="35244">
      <c r="B35244" s="19"/>
      <c r="E35244" s="23"/>
      <c r="L35244" s="23"/>
    </row>
    <row r="35245">
      <c r="B35245" s="19"/>
      <c r="E35245" s="23"/>
      <c r="L35245" s="23"/>
    </row>
    <row r="35246">
      <c r="B35246" s="19"/>
      <c r="E35246" s="23"/>
      <c r="L35246" s="23"/>
    </row>
    <row r="35247">
      <c r="B35247" s="19"/>
      <c r="E35247" s="23"/>
      <c r="L35247" s="23"/>
    </row>
    <row r="35248">
      <c r="B35248" s="19"/>
      <c r="E35248" s="23"/>
      <c r="L35248" s="23"/>
    </row>
    <row r="35249">
      <c r="B35249" s="19"/>
      <c r="E35249" s="23"/>
      <c r="L35249" s="23"/>
    </row>
    <row r="35250">
      <c r="B35250" s="19"/>
      <c r="E35250" s="23"/>
      <c r="L35250" s="23"/>
    </row>
    <row r="35251">
      <c r="B35251" s="19"/>
      <c r="E35251" s="23"/>
      <c r="L35251" s="23"/>
    </row>
    <row r="35252">
      <c r="B35252" s="19"/>
      <c r="E35252" s="23"/>
      <c r="L35252" s="23"/>
    </row>
    <row r="35253">
      <c r="B35253" s="19"/>
      <c r="E35253" s="23"/>
      <c r="L35253" s="23"/>
    </row>
    <row r="35254">
      <c r="B35254" s="19"/>
      <c r="E35254" s="23"/>
      <c r="L35254" s="23"/>
    </row>
    <row r="35255">
      <c r="B35255" s="19"/>
      <c r="E35255" s="23"/>
      <c r="L35255" s="23"/>
    </row>
    <row r="35256">
      <c r="B35256" s="19"/>
      <c r="E35256" s="23"/>
      <c r="L35256" s="23"/>
    </row>
    <row r="35257">
      <c r="B35257" s="19"/>
      <c r="E35257" s="23"/>
      <c r="L35257" s="23"/>
    </row>
    <row r="35258">
      <c r="B35258" s="19"/>
      <c r="E35258" s="23"/>
      <c r="L35258" s="23"/>
    </row>
    <row r="35259">
      <c r="B35259" s="19"/>
      <c r="E35259" s="23"/>
      <c r="L35259" s="23"/>
    </row>
    <row r="35260">
      <c r="B35260" s="19"/>
      <c r="E35260" s="23"/>
      <c r="L35260" s="23"/>
    </row>
    <row r="35261">
      <c r="B35261" s="19"/>
      <c r="E35261" s="23"/>
      <c r="L35261" s="23"/>
    </row>
    <row r="35262">
      <c r="B35262" s="19"/>
      <c r="E35262" s="23"/>
      <c r="L35262" s="23"/>
    </row>
    <row r="35263">
      <c r="B35263" s="19"/>
      <c r="E35263" s="23"/>
      <c r="L35263" s="23"/>
    </row>
    <row r="35264">
      <c r="B35264" s="19"/>
      <c r="E35264" s="23"/>
      <c r="L35264" s="23"/>
    </row>
    <row r="35265">
      <c r="B35265" s="19"/>
      <c r="E35265" s="23"/>
      <c r="L35265" s="23"/>
    </row>
    <row r="35266">
      <c r="B35266" s="19"/>
      <c r="E35266" s="23"/>
      <c r="L35266" s="23"/>
    </row>
    <row r="35267">
      <c r="B35267" s="19"/>
      <c r="E35267" s="23"/>
      <c r="L35267" s="23"/>
    </row>
    <row r="35268">
      <c r="B35268" s="19"/>
      <c r="E35268" s="23"/>
      <c r="L35268" s="23"/>
    </row>
    <row r="35269">
      <c r="B35269" s="19"/>
      <c r="E35269" s="23"/>
      <c r="L35269" s="23"/>
    </row>
    <row r="35270">
      <c r="B35270" s="19"/>
      <c r="E35270" s="23"/>
      <c r="L35270" s="23"/>
    </row>
    <row r="35271">
      <c r="B35271" s="19"/>
      <c r="E35271" s="23"/>
      <c r="L35271" s="23"/>
    </row>
    <row r="35272">
      <c r="B35272" s="19"/>
      <c r="E35272" s="23"/>
      <c r="L35272" s="23"/>
    </row>
    <row r="35273">
      <c r="B35273" s="19"/>
      <c r="E35273" s="23"/>
      <c r="L35273" s="23"/>
    </row>
    <row r="35274">
      <c r="B35274" s="19"/>
      <c r="E35274" s="23"/>
      <c r="L35274" s="23"/>
    </row>
    <row r="35275">
      <c r="B35275" s="19"/>
      <c r="E35275" s="23"/>
      <c r="L35275" s="23"/>
    </row>
    <row r="35276">
      <c r="B35276" s="19"/>
      <c r="E35276" s="23"/>
      <c r="L35276" s="23"/>
    </row>
    <row r="35277">
      <c r="B35277" s="19"/>
      <c r="E35277" s="23"/>
      <c r="L35277" s="23"/>
    </row>
    <row r="35278">
      <c r="B35278" s="19"/>
      <c r="E35278" s="23"/>
      <c r="L35278" s="23"/>
    </row>
    <row r="35279">
      <c r="B35279" s="19"/>
      <c r="E35279" s="23"/>
      <c r="L35279" s="23"/>
    </row>
    <row r="35280">
      <c r="B35280" s="19"/>
      <c r="E35280" s="23"/>
      <c r="L35280" s="23"/>
    </row>
    <row r="35281">
      <c r="B35281" s="19"/>
      <c r="E35281" s="23"/>
      <c r="L35281" s="23"/>
    </row>
    <row r="35282">
      <c r="B35282" s="19"/>
      <c r="E35282" s="23"/>
      <c r="L35282" s="23"/>
    </row>
    <row r="35283">
      <c r="B35283" s="19"/>
      <c r="E35283" s="23"/>
      <c r="L35283" s="23"/>
    </row>
    <row r="35284">
      <c r="B35284" s="19"/>
      <c r="E35284" s="23"/>
      <c r="L35284" s="23"/>
    </row>
    <row r="35285">
      <c r="B35285" s="19"/>
      <c r="E35285" s="23"/>
      <c r="L35285" s="23"/>
    </row>
    <row r="35286">
      <c r="B35286" s="19"/>
      <c r="E35286" s="23"/>
      <c r="L35286" s="23"/>
    </row>
    <row r="35287">
      <c r="B35287" s="19"/>
      <c r="E35287" s="23"/>
      <c r="L35287" s="23"/>
    </row>
    <row r="35288">
      <c r="B35288" s="19"/>
      <c r="E35288" s="23"/>
      <c r="L35288" s="23"/>
    </row>
    <row r="35289">
      <c r="B35289" s="19"/>
      <c r="E35289" s="23"/>
      <c r="L35289" s="23"/>
    </row>
    <row r="35290">
      <c r="B35290" s="19"/>
      <c r="E35290" s="23"/>
      <c r="L35290" s="23"/>
    </row>
    <row r="35291">
      <c r="B35291" s="19"/>
      <c r="E35291" s="23"/>
      <c r="L35291" s="23"/>
    </row>
    <row r="35292">
      <c r="B35292" s="19"/>
      <c r="E35292" s="23"/>
      <c r="L35292" s="23"/>
    </row>
    <row r="35293">
      <c r="B35293" s="19"/>
      <c r="E35293" s="23"/>
      <c r="L35293" s="23"/>
    </row>
    <row r="35294">
      <c r="B35294" s="19"/>
      <c r="E35294" s="23"/>
      <c r="L35294" s="23"/>
    </row>
    <row r="35295">
      <c r="B35295" s="19"/>
      <c r="E35295" s="23"/>
      <c r="L35295" s="23"/>
    </row>
    <row r="35296">
      <c r="B35296" s="19"/>
      <c r="E35296" s="23"/>
      <c r="L35296" s="23"/>
    </row>
    <row r="35297">
      <c r="B35297" s="19"/>
      <c r="E35297" s="23"/>
      <c r="L35297" s="23"/>
    </row>
    <row r="35298">
      <c r="B35298" s="19"/>
      <c r="E35298" s="23"/>
      <c r="L35298" s="23"/>
    </row>
    <row r="35299">
      <c r="B35299" s="19"/>
      <c r="E35299" s="23"/>
      <c r="L35299" s="23"/>
    </row>
    <row r="35300">
      <c r="B35300" s="19"/>
      <c r="E35300" s="23"/>
      <c r="L35300" s="23"/>
    </row>
    <row r="35301">
      <c r="B35301" s="19"/>
      <c r="E35301" s="23"/>
      <c r="L35301" s="23"/>
    </row>
    <row r="35302">
      <c r="B35302" s="19"/>
      <c r="E35302" s="23"/>
      <c r="L35302" s="23"/>
    </row>
    <row r="35303">
      <c r="B35303" s="19"/>
      <c r="E35303" s="23"/>
      <c r="L35303" s="23"/>
    </row>
    <row r="35304">
      <c r="B35304" s="19"/>
      <c r="E35304" s="23"/>
      <c r="L35304" s="23"/>
    </row>
    <row r="35305">
      <c r="B35305" s="19"/>
      <c r="E35305" s="23"/>
      <c r="L35305" s="23"/>
    </row>
    <row r="35306">
      <c r="B35306" s="19"/>
      <c r="E35306" s="23"/>
      <c r="L35306" s="23"/>
    </row>
    <row r="35307">
      <c r="B35307" s="19"/>
      <c r="E35307" s="23"/>
      <c r="L35307" s="23"/>
    </row>
    <row r="35308">
      <c r="B35308" s="19"/>
      <c r="E35308" s="23"/>
      <c r="L35308" s="23"/>
    </row>
    <row r="35309">
      <c r="B35309" s="19"/>
      <c r="E35309" s="23"/>
      <c r="L35309" s="23"/>
    </row>
    <row r="35310">
      <c r="B35310" s="19"/>
      <c r="E35310" s="23"/>
      <c r="L35310" s="23"/>
    </row>
    <row r="35311">
      <c r="B35311" s="19"/>
      <c r="E35311" s="23"/>
      <c r="L35311" s="23"/>
    </row>
    <row r="35312">
      <c r="B35312" s="19"/>
      <c r="E35312" s="23"/>
      <c r="L35312" s="23"/>
    </row>
    <row r="35313">
      <c r="B35313" s="19"/>
      <c r="E35313" s="23"/>
      <c r="L35313" s="23"/>
    </row>
    <row r="35314">
      <c r="B35314" s="19"/>
      <c r="E35314" s="23"/>
      <c r="L35314" s="23"/>
    </row>
    <row r="35315">
      <c r="B35315" s="19"/>
      <c r="E35315" s="23"/>
      <c r="L35315" s="23"/>
    </row>
    <row r="35316">
      <c r="B35316" s="19"/>
      <c r="E35316" s="23"/>
      <c r="L35316" s="23"/>
    </row>
    <row r="35317">
      <c r="B35317" s="19"/>
      <c r="E35317" s="23"/>
      <c r="L35317" s="23"/>
    </row>
    <row r="35318">
      <c r="B35318" s="19"/>
      <c r="E35318" s="23"/>
      <c r="L35318" s="23"/>
    </row>
    <row r="35319">
      <c r="B35319" s="19"/>
      <c r="E35319" s="23"/>
      <c r="L35319" s="23"/>
    </row>
    <row r="35320">
      <c r="B35320" s="19"/>
      <c r="E35320" s="23"/>
      <c r="L35320" s="23"/>
    </row>
    <row r="35321">
      <c r="B35321" s="19"/>
      <c r="E35321" s="23"/>
      <c r="L35321" s="23"/>
    </row>
    <row r="35322">
      <c r="B35322" s="19"/>
      <c r="E35322" s="23"/>
      <c r="L35322" s="23"/>
    </row>
    <row r="35323">
      <c r="B35323" s="19"/>
      <c r="E35323" s="23"/>
      <c r="L35323" s="23"/>
    </row>
    <row r="35324">
      <c r="B35324" s="19"/>
      <c r="E35324" s="23"/>
      <c r="L35324" s="23"/>
    </row>
    <row r="35325">
      <c r="B35325" s="19"/>
      <c r="E35325" s="23"/>
      <c r="L35325" s="23"/>
    </row>
    <row r="35326">
      <c r="B35326" s="19"/>
      <c r="E35326" s="23"/>
      <c r="L35326" s="23"/>
    </row>
    <row r="35327">
      <c r="B35327" s="19"/>
      <c r="E35327" s="23"/>
      <c r="L35327" s="23"/>
    </row>
    <row r="35328">
      <c r="B35328" s="19"/>
      <c r="E35328" s="23"/>
      <c r="L35328" s="23"/>
    </row>
    <row r="35329">
      <c r="B35329" s="19"/>
      <c r="E35329" s="23"/>
      <c r="L35329" s="23"/>
    </row>
    <row r="35330">
      <c r="B35330" s="19"/>
      <c r="E35330" s="23"/>
      <c r="L35330" s="23"/>
    </row>
    <row r="35331">
      <c r="B35331" s="19"/>
      <c r="E35331" s="23"/>
      <c r="L35331" s="23"/>
    </row>
    <row r="35332">
      <c r="B35332" s="19"/>
      <c r="E35332" s="23"/>
      <c r="L35332" s="23"/>
    </row>
    <row r="35333">
      <c r="B35333" s="19"/>
      <c r="E35333" s="23"/>
      <c r="L35333" s="23"/>
    </row>
    <row r="35334">
      <c r="B35334" s="19"/>
      <c r="E35334" s="23"/>
      <c r="L35334" s="23"/>
    </row>
    <row r="35335">
      <c r="B35335" s="19"/>
      <c r="E35335" s="23"/>
      <c r="L35335" s="23"/>
    </row>
    <row r="35336">
      <c r="B35336" s="19"/>
      <c r="E35336" s="23"/>
      <c r="L35336" s="23"/>
    </row>
    <row r="35337">
      <c r="B35337" s="19"/>
      <c r="E35337" s="23"/>
      <c r="L35337" s="23"/>
    </row>
    <row r="35338">
      <c r="B35338" s="19"/>
      <c r="E35338" s="23"/>
      <c r="L35338" s="23"/>
    </row>
    <row r="35339">
      <c r="B35339" s="19"/>
      <c r="E35339" s="23"/>
      <c r="L35339" s="23"/>
    </row>
    <row r="35340">
      <c r="B35340" s="19"/>
      <c r="E35340" s="23"/>
      <c r="L35340" s="23"/>
    </row>
    <row r="35341">
      <c r="B35341" s="19"/>
      <c r="E35341" s="23"/>
      <c r="L35341" s="23"/>
    </row>
    <row r="35342">
      <c r="B35342" s="19"/>
      <c r="E35342" s="23"/>
      <c r="L35342" s="23"/>
    </row>
    <row r="35343">
      <c r="B35343" s="19"/>
      <c r="E35343" s="23"/>
      <c r="L35343" s="23"/>
    </row>
    <row r="35344">
      <c r="B35344" s="19"/>
      <c r="E35344" s="23"/>
      <c r="L35344" s="23"/>
    </row>
    <row r="35345">
      <c r="B35345" s="19"/>
      <c r="E35345" s="23"/>
      <c r="L35345" s="23"/>
    </row>
    <row r="35346">
      <c r="B35346" s="19"/>
      <c r="E35346" s="23"/>
      <c r="L35346" s="23"/>
    </row>
    <row r="35347">
      <c r="B35347" s="19"/>
      <c r="E35347" s="23"/>
      <c r="L35347" s="23"/>
    </row>
    <row r="35348">
      <c r="B35348" s="19"/>
      <c r="E35348" s="23"/>
      <c r="L35348" s="23"/>
    </row>
    <row r="35349">
      <c r="B35349" s="19"/>
      <c r="E35349" s="23"/>
      <c r="L35349" s="23"/>
    </row>
    <row r="35350">
      <c r="B35350" s="19"/>
      <c r="E35350" s="23"/>
      <c r="L35350" s="23"/>
    </row>
    <row r="35351">
      <c r="B35351" s="19"/>
      <c r="E35351" s="23"/>
      <c r="L35351" s="23"/>
    </row>
    <row r="35352">
      <c r="B35352" s="19"/>
      <c r="E35352" s="23"/>
      <c r="L35352" s="23"/>
    </row>
    <row r="35353">
      <c r="B35353" s="19"/>
      <c r="E35353" s="23"/>
      <c r="L35353" s="23"/>
    </row>
    <row r="35354">
      <c r="B35354" s="19"/>
      <c r="E35354" s="23"/>
      <c r="L35354" s="23"/>
    </row>
    <row r="35355">
      <c r="B35355" s="19"/>
      <c r="E35355" s="23"/>
      <c r="L35355" s="23"/>
    </row>
    <row r="35356">
      <c r="B35356" s="19"/>
      <c r="E35356" s="23"/>
      <c r="L35356" s="23"/>
    </row>
    <row r="35357">
      <c r="B35357" s="19"/>
      <c r="E35357" s="23"/>
      <c r="L35357" s="23"/>
    </row>
    <row r="35358">
      <c r="B35358" s="19"/>
      <c r="E35358" s="23"/>
      <c r="L35358" s="23"/>
    </row>
    <row r="35359">
      <c r="B35359" s="19"/>
      <c r="E35359" s="23"/>
      <c r="L35359" s="23"/>
    </row>
    <row r="35360">
      <c r="B35360" s="19"/>
      <c r="E35360" s="23"/>
      <c r="L35360" s="23"/>
    </row>
    <row r="35361">
      <c r="B35361" s="19"/>
      <c r="E35361" s="23"/>
      <c r="L35361" s="23"/>
    </row>
    <row r="35362">
      <c r="B35362" s="19"/>
      <c r="E35362" s="23"/>
      <c r="L35362" s="23"/>
    </row>
    <row r="35363">
      <c r="B35363" s="19"/>
      <c r="E35363" s="23"/>
      <c r="L35363" s="23"/>
    </row>
    <row r="35364">
      <c r="B35364" s="19"/>
      <c r="E35364" s="23"/>
      <c r="L35364" s="23"/>
    </row>
    <row r="35365">
      <c r="B35365" s="19"/>
      <c r="E35365" s="23"/>
      <c r="L35365" s="23"/>
    </row>
    <row r="35366">
      <c r="B35366" s="19"/>
      <c r="E35366" s="23"/>
      <c r="L35366" s="23"/>
    </row>
    <row r="35367">
      <c r="B35367" s="19"/>
      <c r="E35367" s="23"/>
      <c r="L35367" s="23"/>
    </row>
    <row r="35368">
      <c r="B35368" s="19"/>
      <c r="E35368" s="23"/>
      <c r="L35368" s="23"/>
    </row>
    <row r="35369">
      <c r="B35369" s="19"/>
      <c r="E35369" s="23"/>
      <c r="L35369" s="23"/>
    </row>
    <row r="35370">
      <c r="B35370" s="19"/>
      <c r="E35370" s="23"/>
      <c r="L35370" s="23"/>
    </row>
    <row r="35371">
      <c r="B35371" s="19"/>
      <c r="E35371" s="23"/>
      <c r="L35371" s="23"/>
    </row>
    <row r="35372">
      <c r="B35372" s="19"/>
      <c r="E35372" s="23"/>
      <c r="L35372" s="23"/>
    </row>
    <row r="35373">
      <c r="B35373" s="19"/>
      <c r="E35373" s="23"/>
      <c r="L35373" s="23"/>
    </row>
    <row r="35374">
      <c r="B35374" s="19"/>
      <c r="E35374" s="23"/>
      <c r="L35374" s="23"/>
    </row>
    <row r="35375">
      <c r="B35375" s="19"/>
      <c r="E35375" s="23"/>
      <c r="L35375" s="23"/>
    </row>
    <row r="35376">
      <c r="B35376" s="19"/>
      <c r="E35376" s="23"/>
      <c r="L35376" s="23"/>
    </row>
    <row r="35377">
      <c r="B35377" s="19"/>
      <c r="E35377" s="23"/>
      <c r="L35377" s="23"/>
    </row>
    <row r="35378">
      <c r="B35378" s="19"/>
      <c r="E35378" s="23"/>
      <c r="L35378" s="23"/>
    </row>
    <row r="35379">
      <c r="B35379" s="19"/>
      <c r="E35379" s="23"/>
      <c r="L35379" s="23"/>
    </row>
    <row r="35380">
      <c r="B35380" s="19"/>
      <c r="E35380" s="23"/>
      <c r="L35380" s="23"/>
    </row>
    <row r="35381">
      <c r="B35381" s="19"/>
      <c r="E35381" s="23"/>
      <c r="L35381" s="23"/>
    </row>
    <row r="35382">
      <c r="B35382" s="19"/>
      <c r="E35382" s="23"/>
      <c r="L35382" s="23"/>
    </row>
    <row r="35383">
      <c r="B35383" s="19"/>
      <c r="E35383" s="23"/>
      <c r="L35383" s="23"/>
    </row>
    <row r="35384">
      <c r="B35384" s="19"/>
      <c r="E35384" s="23"/>
      <c r="L35384" s="23"/>
    </row>
    <row r="35385">
      <c r="B35385" s="19"/>
      <c r="E35385" s="23"/>
      <c r="L35385" s="23"/>
    </row>
    <row r="35386">
      <c r="B35386" s="19"/>
      <c r="E35386" s="23"/>
      <c r="L35386" s="23"/>
    </row>
    <row r="35387">
      <c r="B35387" s="19"/>
      <c r="E35387" s="23"/>
      <c r="L35387" s="23"/>
    </row>
    <row r="35388">
      <c r="B35388" s="19"/>
      <c r="E35388" s="23"/>
      <c r="L35388" s="23"/>
    </row>
    <row r="35389">
      <c r="B35389" s="19"/>
      <c r="E35389" s="23"/>
      <c r="L35389" s="23"/>
    </row>
    <row r="35390">
      <c r="B35390" s="19"/>
      <c r="E35390" s="23"/>
      <c r="L35390" s="23"/>
    </row>
    <row r="35391">
      <c r="B35391" s="19"/>
      <c r="E35391" s="23"/>
      <c r="L35391" s="23"/>
    </row>
    <row r="35392">
      <c r="B35392" s="19"/>
      <c r="E35392" s="23"/>
      <c r="L35392" s="23"/>
    </row>
    <row r="35393">
      <c r="B35393" s="19"/>
      <c r="E35393" s="23"/>
      <c r="L35393" s="23"/>
    </row>
    <row r="35394">
      <c r="B35394" s="19"/>
      <c r="E35394" s="23"/>
      <c r="L35394" s="23"/>
    </row>
    <row r="35395">
      <c r="B35395" s="19"/>
      <c r="E35395" s="23"/>
      <c r="L35395" s="23"/>
    </row>
    <row r="35396">
      <c r="B35396" s="19"/>
      <c r="E35396" s="23"/>
      <c r="L35396" s="23"/>
    </row>
    <row r="35397">
      <c r="B35397" s="19"/>
      <c r="E35397" s="23"/>
      <c r="L35397" s="23"/>
    </row>
    <row r="35398">
      <c r="B35398" s="19"/>
      <c r="E35398" s="23"/>
      <c r="L35398" s="23"/>
    </row>
    <row r="35399">
      <c r="B35399" s="19"/>
      <c r="E35399" s="23"/>
      <c r="L35399" s="23"/>
    </row>
    <row r="35400">
      <c r="B35400" s="19"/>
      <c r="E35400" s="23"/>
      <c r="L35400" s="23"/>
    </row>
    <row r="35401">
      <c r="B35401" s="19"/>
      <c r="E35401" s="23"/>
      <c r="L35401" s="23"/>
    </row>
    <row r="35402">
      <c r="B35402" s="19"/>
      <c r="E35402" s="23"/>
      <c r="L35402" s="23"/>
    </row>
    <row r="35403">
      <c r="B35403" s="19"/>
      <c r="E35403" s="23"/>
      <c r="L35403" s="23"/>
    </row>
    <row r="35404">
      <c r="B35404" s="19"/>
      <c r="E35404" s="23"/>
      <c r="L35404" s="23"/>
    </row>
    <row r="35405">
      <c r="B35405" s="19"/>
      <c r="E35405" s="23"/>
      <c r="L35405" s="23"/>
    </row>
    <row r="35406">
      <c r="B35406" s="19"/>
      <c r="E35406" s="23"/>
      <c r="L35406" s="23"/>
    </row>
    <row r="35407">
      <c r="B35407" s="19"/>
      <c r="E35407" s="23"/>
      <c r="L35407" s="23"/>
    </row>
    <row r="35408">
      <c r="B35408" s="19"/>
      <c r="E35408" s="23"/>
      <c r="L35408" s="23"/>
    </row>
    <row r="35409">
      <c r="B35409" s="19"/>
      <c r="E35409" s="23"/>
      <c r="L35409" s="23"/>
    </row>
    <row r="35410">
      <c r="B35410" s="19"/>
      <c r="E35410" s="23"/>
      <c r="L35410" s="23"/>
    </row>
    <row r="35411">
      <c r="B35411" s="19"/>
      <c r="E35411" s="23"/>
      <c r="L35411" s="23"/>
    </row>
    <row r="35412">
      <c r="B35412" s="19"/>
      <c r="E35412" s="23"/>
      <c r="L35412" s="23"/>
    </row>
    <row r="35413">
      <c r="B35413" s="19"/>
      <c r="E35413" s="23"/>
      <c r="L35413" s="23"/>
    </row>
    <row r="35414">
      <c r="B35414" s="19"/>
      <c r="E35414" s="23"/>
      <c r="L35414" s="23"/>
    </row>
    <row r="35415">
      <c r="B35415" s="19"/>
      <c r="E35415" s="23"/>
      <c r="L35415" s="23"/>
    </row>
    <row r="35416">
      <c r="B35416" s="19"/>
      <c r="E35416" s="23"/>
      <c r="L35416" s="23"/>
    </row>
    <row r="35417">
      <c r="B35417" s="19"/>
      <c r="E35417" s="23"/>
      <c r="L35417" s="23"/>
    </row>
    <row r="35418">
      <c r="B35418" s="19"/>
      <c r="E35418" s="23"/>
      <c r="L35418" s="23"/>
    </row>
    <row r="35419">
      <c r="B35419" s="19"/>
      <c r="E35419" s="23"/>
      <c r="L35419" s="23"/>
    </row>
    <row r="35420">
      <c r="B35420" s="19"/>
      <c r="E35420" s="23"/>
      <c r="L35420" s="23"/>
    </row>
    <row r="35421">
      <c r="B35421" s="19"/>
      <c r="E35421" s="23"/>
      <c r="L35421" s="23"/>
    </row>
    <row r="35422">
      <c r="B35422" s="19"/>
      <c r="E35422" s="23"/>
      <c r="L35422" s="23"/>
    </row>
    <row r="35423">
      <c r="B35423" s="19"/>
      <c r="E35423" s="23"/>
      <c r="L35423" s="23"/>
    </row>
    <row r="35424">
      <c r="B35424" s="19"/>
      <c r="E35424" s="23"/>
      <c r="L35424" s="23"/>
    </row>
    <row r="35425">
      <c r="B35425" s="19"/>
      <c r="E35425" s="23"/>
      <c r="L35425" s="23"/>
    </row>
    <row r="35426">
      <c r="B35426" s="19"/>
      <c r="E35426" s="23"/>
      <c r="L35426" s="23"/>
    </row>
    <row r="35427">
      <c r="B35427" s="19"/>
      <c r="E35427" s="23"/>
      <c r="L35427" s="23"/>
    </row>
    <row r="35428">
      <c r="B35428" s="19"/>
      <c r="E35428" s="23"/>
      <c r="L35428" s="23"/>
    </row>
    <row r="35429">
      <c r="B35429" s="19"/>
      <c r="E35429" s="23"/>
      <c r="L35429" s="23"/>
    </row>
    <row r="35430">
      <c r="B35430" s="19"/>
      <c r="E35430" s="23"/>
      <c r="L35430" s="23"/>
    </row>
    <row r="35431">
      <c r="B35431" s="19"/>
      <c r="E35431" s="23"/>
      <c r="L35431" s="23"/>
    </row>
    <row r="35432">
      <c r="B35432" s="19"/>
      <c r="E35432" s="23"/>
      <c r="L35432" s="23"/>
    </row>
    <row r="35433">
      <c r="B35433" s="19"/>
      <c r="E35433" s="23"/>
      <c r="L35433" s="23"/>
    </row>
    <row r="35434">
      <c r="B35434" s="19"/>
      <c r="E35434" s="23"/>
      <c r="L35434" s="23"/>
    </row>
    <row r="35435">
      <c r="B35435" s="19"/>
      <c r="E35435" s="23"/>
      <c r="L35435" s="23"/>
    </row>
    <row r="35436">
      <c r="B35436" s="19"/>
      <c r="E35436" s="23"/>
      <c r="L35436" s="23"/>
    </row>
    <row r="35437">
      <c r="B35437" s="19"/>
      <c r="E35437" s="23"/>
      <c r="L35437" s="23"/>
    </row>
    <row r="35438">
      <c r="B35438" s="19"/>
      <c r="E35438" s="23"/>
      <c r="L35438" s="23"/>
    </row>
    <row r="35439">
      <c r="B35439" s="19"/>
      <c r="E35439" s="23"/>
      <c r="L35439" s="23"/>
    </row>
    <row r="35440">
      <c r="B35440" s="19"/>
      <c r="E35440" s="23"/>
      <c r="L35440" s="23"/>
    </row>
    <row r="35441">
      <c r="B35441" s="19"/>
      <c r="E35441" s="23"/>
      <c r="L35441" s="23"/>
    </row>
    <row r="35442">
      <c r="B35442" s="19"/>
      <c r="E35442" s="23"/>
      <c r="L35442" s="23"/>
    </row>
    <row r="35443">
      <c r="B35443" s="19"/>
      <c r="E35443" s="23"/>
      <c r="L35443" s="23"/>
    </row>
    <row r="35444">
      <c r="B35444" s="19"/>
      <c r="E35444" s="23"/>
      <c r="L35444" s="23"/>
    </row>
    <row r="35445">
      <c r="B35445" s="19"/>
      <c r="E35445" s="23"/>
      <c r="L35445" s="23"/>
    </row>
    <row r="35446">
      <c r="B35446" s="19"/>
      <c r="E35446" s="23"/>
      <c r="L35446" s="23"/>
    </row>
    <row r="35447">
      <c r="B35447" s="19"/>
      <c r="E35447" s="23"/>
      <c r="L35447" s="23"/>
    </row>
    <row r="35448">
      <c r="B35448" s="19"/>
      <c r="E35448" s="23"/>
      <c r="L35448" s="23"/>
    </row>
    <row r="35449">
      <c r="B35449" s="19"/>
      <c r="E35449" s="23"/>
      <c r="L35449" s="23"/>
    </row>
    <row r="35450">
      <c r="B35450" s="19"/>
      <c r="E35450" s="23"/>
      <c r="L35450" s="23"/>
    </row>
    <row r="35451">
      <c r="B35451" s="19"/>
      <c r="E35451" s="23"/>
      <c r="L35451" s="23"/>
    </row>
    <row r="35452">
      <c r="B35452" s="19"/>
      <c r="E35452" s="23"/>
      <c r="L35452" s="23"/>
    </row>
    <row r="35453">
      <c r="B35453" s="19"/>
      <c r="E35453" s="23"/>
      <c r="L35453" s="23"/>
    </row>
    <row r="35454">
      <c r="B35454" s="19"/>
      <c r="E35454" s="23"/>
      <c r="L35454" s="23"/>
    </row>
    <row r="35455">
      <c r="B35455" s="19"/>
      <c r="E35455" s="23"/>
      <c r="L35455" s="23"/>
    </row>
    <row r="35456">
      <c r="B35456" s="19"/>
      <c r="E35456" s="23"/>
      <c r="L35456" s="23"/>
    </row>
    <row r="35457">
      <c r="B35457" s="19"/>
      <c r="E35457" s="23"/>
      <c r="L35457" s="23"/>
    </row>
    <row r="35458">
      <c r="B35458" s="19"/>
      <c r="E35458" s="23"/>
      <c r="L35458" s="23"/>
    </row>
    <row r="35459">
      <c r="B35459" s="19"/>
      <c r="E35459" s="23"/>
      <c r="L35459" s="23"/>
    </row>
    <row r="35460">
      <c r="B35460" s="19"/>
      <c r="E35460" s="23"/>
      <c r="L35460" s="23"/>
    </row>
    <row r="35461">
      <c r="B35461" s="19"/>
      <c r="E35461" s="23"/>
      <c r="L35461" s="23"/>
    </row>
    <row r="35462">
      <c r="B35462" s="19"/>
      <c r="E35462" s="23"/>
      <c r="L35462" s="23"/>
    </row>
    <row r="35463">
      <c r="B35463" s="19"/>
      <c r="E35463" s="23"/>
      <c r="L35463" s="23"/>
    </row>
    <row r="35464">
      <c r="B35464" s="19"/>
      <c r="E35464" s="23"/>
      <c r="L35464" s="23"/>
    </row>
    <row r="35465">
      <c r="B35465" s="19"/>
      <c r="E35465" s="23"/>
      <c r="L35465" s="23"/>
    </row>
    <row r="35466">
      <c r="B35466" s="19"/>
      <c r="E35466" s="23"/>
      <c r="L35466" s="23"/>
    </row>
    <row r="35467">
      <c r="B35467" s="19"/>
      <c r="E35467" s="23"/>
      <c r="L35467" s="23"/>
    </row>
    <row r="35468">
      <c r="B35468" s="19"/>
      <c r="E35468" s="23"/>
      <c r="L35468" s="23"/>
    </row>
    <row r="35469">
      <c r="B35469" s="19"/>
      <c r="E35469" s="23"/>
      <c r="L35469" s="23"/>
    </row>
    <row r="35470">
      <c r="B35470" s="19"/>
      <c r="E35470" s="23"/>
      <c r="L35470" s="23"/>
    </row>
    <row r="35471">
      <c r="B35471" s="19"/>
      <c r="E35471" s="23"/>
      <c r="L35471" s="23"/>
    </row>
    <row r="35472">
      <c r="B35472" s="19"/>
      <c r="E35472" s="23"/>
      <c r="L35472" s="23"/>
    </row>
    <row r="35473">
      <c r="B35473" s="19"/>
      <c r="E35473" s="23"/>
      <c r="L35473" s="23"/>
    </row>
    <row r="35474">
      <c r="B35474" s="19"/>
      <c r="E35474" s="23"/>
      <c r="L35474" s="23"/>
    </row>
    <row r="35475">
      <c r="B35475" s="19"/>
      <c r="E35475" s="23"/>
      <c r="L35475" s="23"/>
    </row>
    <row r="35476">
      <c r="B35476" s="19"/>
      <c r="E35476" s="23"/>
      <c r="L35476" s="23"/>
    </row>
    <row r="35477">
      <c r="B35477" s="19"/>
      <c r="E35477" s="23"/>
      <c r="L35477" s="23"/>
    </row>
    <row r="35478">
      <c r="B35478" s="19"/>
      <c r="E35478" s="23"/>
      <c r="L35478" s="23"/>
    </row>
    <row r="35479">
      <c r="B35479" s="19"/>
      <c r="E35479" s="23"/>
      <c r="L35479" s="23"/>
    </row>
    <row r="35480">
      <c r="B35480" s="19"/>
      <c r="E35480" s="23"/>
      <c r="L35480" s="23"/>
    </row>
    <row r="35481">
      <c r="B35481" s="19"/>
      <c r="E35481" s="23"/>
      <c r="L35481" s="23"/>
    </row>
    <row r="35482">
      <c r="B35482" s="19"/>
      <c r="E35482" s="23"/>
      <c r="L35482" s="23"/>
    </row>
    <row r="35483">
      <c r="B35483" s="19"/>
      <c r="E35483" s="23"/>
      <c r="L35483" s="23"/>
    </row>
    <row r="35484">
      <c r="B35484" s="19"/>
      <c r="E35484" s="23"/>
      <c r="L35484" s="23"/>
    </row>
    <row r="35485">
      <c r="B35485" s="19"/>
      <c r="E35485" s="23"/>
      <c r="L35485" s="23"/>
    </row>
    <row r="35486">
      <c r="B35486" s="19"/>
      <c r="E35486" s="23"/>
      <c r="L35486" s="23"/>
    </row>
    <row r="35487">
      <c r="B35487" s="19"/>
      <c r="E35487" s="23"/>
      <c r="L35487" s="23"/>
    </row>
    <row r="35488">
      <c r="B35488" s="19"/>
      <c r="E35488" s="23"/>
      <c r="L35488" s="23"/>
    </row>
    <row r="35489">
      <c r="B35489" s="19"/>
      <c r="E35489" s="23"/>
      <c r="L35489" s="23"/>
    </row>
    <row r="35490">
      <c r="B35490" s="19"/>
      <c r="E35490" s="23"/>
      <c r="L35490" s="23"/>
    </row>
    <row r="35491">
      <c r="B35491" s="19"/>
      <c r="E35491" s="23"/>
      <c r="L35491" s="23"/>
    </row>
    <row r="35492">
      <c r="B35492" s="19"/>
      <c r="E35492" s="23"/>
      <c r="L35492" s="23"/>
    </row>
    <row r="35493">
      <c r="B35493" s="19"/>
      <c r="E35493" s="23"/>
      <c r="L35493" s="23"/>
    </row>
    <row r="35494">
      <c r="B35494" s="19"/>
      <c r="E35494" s="23"/>
      <c r="L35494" s="23"/>
    </row>
    <row r="35495">
      <c r="B35495" s="19"/>
      <c r="E35495" s="23"/>
      <c r="L35495" s="23"/>
    </row>
    <row r="35496">
      <c r="B35496" s="19"/>
      <c r="E35496" s="23"/>
      <c r="L35496" s="23"/>
    </row>
    <row r="35497">
      <c r="B35497" s="19"/>
      <c r="E35497" s="23"/>
      <c r="L35497" s="23"/>
    </row>
    <row r="35498">
      <c r="B35498" s="19"/>
      <c r="E35498" s="23"/>
      <c r="L35498" s="23"/>
    </row>
    <row r="35499">
      <c r="B35499" s="19"/>
      <c r="E35499" s="23"/>
      <c r="L35499" s="23"/>
    </row>
    <row r="35500">
      <c r="B35500" s="19"/>
      <c r="E35500" s="23"/>
      <c r="L35500" s="23"/>
    </row>
    <row r="35501">
      <c r="B35501" s="19"/>
      <c r="E35501" s="23"/>
      <c r="L35501" s="23"/>
    </row>
    <row r="35502">
      <c r="B35502" s="19"/>
      <c r="E35502" s="23"/>
      <c r="L35502" s="23"/>
    </row>
    <row r="35503">
      <c r="B35503" s="19"/>
      <c r="E35503" s="23"/>
      <c r="L35503" s="23"/>
    </row>
    <row r="35504">
      <c r="B35504" s="19"/>
      <c r="E35504" s="23"/>
      <c r="L35504" s="23"/>
    </row>
    <row r="35505">
      <c r="B35505" s="19"/>
      <c r="E35505" s="23"/>
      <c r="L35505" s="23"/>
    </row>
    <row r="35506">
      <c r="B35506" s="19"/>
      <c r="E35506" s="23"/>
      <c r="L35506" s="23"/>
    </row>
    <row r="35507">
      <c r="B35507" s="19"/>
      <c r="E35507" s="23"/>
      <c r="L35507" s="23"/>
    </row>
    <row r="35508">
      <c r="B35508" s="19"/>
      <c r="E35508" s="23"/>
      <c r="L35508" s="23"/>
    </row>
    <row r="35509">
      <c r="B35509" s="19"/>
      <c r="E35509" s="23"/>
      <c r="L35509" s="23"/>
    </row>
    <row r="35510">
      <c r="B35510" s="19"/>
      <c r="E35510" s="23"/>
      <c r="L35510" s="23"/>
    </row>
    <row r="35511">
      <c r="B35511" s="19"/>
      <c r="E35511" s="23"/>
      <c r="L35511" s="23"/>
    </row>
    <row r="35512">
      <c r="B35512" s="19"/>
      <c r="E35512" s="23"/>
      <c r="L35512" s="23"/>
    </row>
    <row r="35513">
      <c r="B35513" s="19"/>
      <c r="E35513" s="23"/>
      <c r="L35513" s="23"/>
    </row>
    <row r="35514">
      <c r="B35514" s="19"/>
      <c r="E35514" s="23"/>
      <c r="L35514" s="23"/>
    </row>
    <row r="35515">
      <c r="B35515" s="19"/>
      <c r="E35515" s="23"/>
      <c r="L35515" s="23"/>
    </row>
    <row r="35516">
      <c r="B35516" s="19"/>
      <c r="E35516" s="23"/>
      <c r="L35516" s="23"/>
    </row>
    <row r="35517">
      <c r="B35517" s="19"/>
      <c r="E35517" s="23"/>
      <c r="L35517" s="23"/>
    </row>
    <row r="35518">
      <c r="B35518" s="19"/>
      <c r="E35518" s="23"/>
      <c r="L35518" s="23"/>
    </row>
    <row r="35519">
      <c r="B35519" s="19"/>
      <c r="E35519" s="23"/>
      <c r="L35519" s="23"/>
    </row>
    <row r="35520">
      <c r="B35520" s="19"/>
      <c r="E35520" s="23"/>
      <c r="L35520" s="23"/>
    </row>
    <row r="35521">
      <c r="B35521" s="19"/>
      <c r="E35521" s="23"/>
      <c r="L35521" s="23"/>
    </row>
    <row r="35522">
      <c r="B35522" s="19"/>
      <c r="E35522" s="23"/>
      <c r="L35522" s="23"/>
    </row>
    <row r="35523">
      <c r="B35523" s="19"/>
      <c r="E35523" s="23"/>
      <c r="L35523" s="23"/>
    </row>
    <row r="35524">
      <c r="B35524" s="19"/>
      <c r="E35524" s="23"/>
      <c r="L35524" s="23"/>
    </row>
    <row r="35525">
      <c r="B35525" s="19"/>
      <c r="E35525" s="23"/>
      <c r="L35525" s="23"/>
    </row>
    <row r="35526">
      <c r="B35526" s="19"/>
      <c r="E35526" s="23"/>
      <c r="L35526" s="23"/>
    </row>
    <row r="35527">
      <c r="B35527" s="19"/>
      <c r="E35527" s="23"/>
      <c r="L35527" s="23"/>
    </row>
    <row r="35528">
      <c r="B35528" s="19"/>
      <c r="E35528" s="23"/>
      <c r="L35528" s="23"/>
    </row>
    <row r="35529">
      <c r="B35529" s="19"/>
      <c r="E35529" s="23"/>
      <c r="L35529" s="23"/>
    </row>
    <row r="35530">
      <c r="B35530" s="19"/>
      <c r="E35530" s="23"/>
      <c r="L35530" s="23"/>
    </row>
    <row r="35531">
      <c r="B35531" s="19"/>
      <c r="E35531" s="23"/>
      <c r="L35531" s="23"/>
    </row>
    <row r="35532">
      <c r="B35532" s="19"/>
      <c r="E35532" s="23"/>
      <c r="L35532" s="23"/>
    </row>
    <row r="35533">
      <c r="B35533" s="19"/>
      <c r="E35533" s="23"/>
      <c r="L35533" s="23"/>
    </row>
    <row r="35534">
      <c r="B35534" s="19"/>
      <c r="E35534" s="23"/>
      <c r="L35534" s="23"/>
    </row>
    <row r="35535">
      <c r="B35535" s="19"/>
      <c r="E35535" s="23"/>
      <c r="L35535" s="23"/>
    </row>
    <row r="35536">
      <c r="B35536" s="19"/>
      <c r="E35536" s="23"/>
      <c r="L35536" s="23"/>
    </row>
    <row r="35537">
      <c r="B35537" s="19"/>
      <c r="E35537" s="23"/>
      <c r="L35537" s="23"/>
    </row>
    <row r="35538">
      <c r="B35538" s="19"/>
      <c r="E35538" s="23"/>
      <c r="L35538" s="23"/>
    </row>
    <row r="35539">
      <c r="B35539" s="19"/>
      <c r="E35539" s="23"/>
      <c r="L35539" s="23"/>
    </row>
    <row r="35540">
      <c r="B35540" s="19"/>
      <c r="E35540" s="23"/>
      <c r="L35540" s="23"/>
    </row>
    <row r="35541">
      <c r="B35541" s="19"/>
      <c r="E35541" s="23"/>
      <c r="L35541" s="23"/>
    </row>
    <row r="35542">
      <c r="B35542" s="19"/>
      <c r="E35542" s="23"/>
      <c r="L35542" s="23"/>
    </row>
    <row r="35543">
      <c r="B35543" s="19"/>
      <c r="E35543" s="23"/>
      <c r="L35543" s="23"/>
    </row>
    <row r="35544">
      <c r="B35544" s="19"/>
      <c r="E35544" s="23"/>
      <c r="L35544" s="23"/>
    </row>
    <row r="35545">
      <c r="B35545" s="19"/>
      <c r="E35545" s="23"/>
      <c r="L35545" s="23"/>
    </row>
    <row r="35546">
      <c r="B35546" s="19"/>
      <c r="E35546" s="23"/>
      <c r="L35546" s="23"/>
    </row>
    <row r="35547">
      <c r="B35547" s="19"/>
      <c r="E35547" s="23"/>
      <c r="L35547" s="23"/>
    </row>
    <row r="35548">
      <c r="B35548" s="19"/>
      <c r="E35548" s="23"/>
      <c r="L35548" s="23"/>
    </row>
    <row r="35549">
      <c r="B35549" s="19"/>
      <c r="E35549" s="23"/>
      <c r="L35549" s="23"/>
    </row>
    <row r="35550">
      <c r="B35550" s="19"/>
      <c r="E35550" s="23"/>
      <c r="L35550" s="23"/>
    </row>
    <row r="35551">
      <c r="B35551" s="19"/>
      <c r="E35551" s="23"/>
      <c r="L35551" s="23"/>
    </row>
    <row r="35552">
      <c r="B35552" s="19"/>
      <c r="E35552" s="23"/>
      <c r="L35552" s="23"/>
    </row>
    <row r="35553">
      <c r="B35553" s="19"/>
      <c r="E35553" s="23"/>
      <c r="L35553" s="23"/>
    </row>
    <row r="35554">
      <c r="B35554" s="19"/>
      <c r="E35554" s="23"/>
      <c r="L35554" s="23"/>
    </row>
    <row r="35555">
      <c r="B35555" s="19"/>
      <c r="E35555" s="23"/>
      <c r="L35555" s="23"/>
    </row>
    <row r="35556">
      <c r="B35556" s="19"/>
      <c r="E35556" s="23"/>
      <c r="L35556" s="23"/>
    </row>
    <row r="35557">
      <c r="B35557" s="19"/>
      <c r="E35557" s="23"/>
      <c r="L35557" s="23"/>
    </row>
    <row r="35558">
      <c r="B35558" s="19"/>
      <c r="E35558" s="23"/>
      <c r="L35558" s="23"/>
    </row>
    <row r="35559">
      <c r="B35559" s="19"/>
      <c r="E35559" s="23"/>
      <c r="L35559" s="23"/>
    </row>
    <row r="35560">
      <c r="B35560" s="19"/>
      <c r="E35560" s="23"/>
      <c r="L35560" s="23"/>
    </row>
    <row r="35561">
      <c r="B35561" s="19"/>
      <c r="E35561" s="23"/>
      <c r="L35561" s="23"/>
    </row>
    <row r="35562">
      <c r="B35562" s="19"/>
      <c r="E35562" s="23"/>
      <c r="L35562" s="23"/>
    </row>
    <row r="35563">
      <c r="B35563" s="19"/>
      <c r="E35563" s="23"/>
      <c r="L35563" s="23"/>
    </row>
    <row r="35564">
      <c r="B35564" s="19"/>
      <c r="E35564" s="23"/>
      <c r="L35564" s="23"/>
    </row>
    <row r="35565">
      <c r="B35565" s="19"/>
      <c r="E35565" s="23"/>
      <c r="L35565" s="23"/>
    </row>
    <row r="35566">
      <c r="B35566" s="19"/>
      <c r="E35566" s="23"/>
      <c r="L35566" s="23"/>
    </row>
    <row r="35567">
      <c r="B35567" s="19"/>
      <c r="E35567" s="23"/>
      <c r="L35567" s="23"/>
    </row>
    <row r="35568">
      <c r="B35568" s="19"/>
      <c r="E35568" s="23"/>
      <c r="L35568" s="23"/>
    </row>
    <row r="35569">
      <c r="B35569" s="19"/>
      <c r="E35569" s="23"/>
      <c r="L35569" s="23"/>
    </row>
    <row r="35570">
      <c r="B35570" s="19"/>
      <c r="E35570" s="23"/>
      <c r="L35570" s="23"/>
    </row>
    <row r="35571">
      <c r="B35571" s="19"/>
      <c r="E35571" s="23"/>
      <c r="L35571" s="23"/>
    </row>
    <row r="35572">
      <c r="B35572" s="19"/>
      <c r="E35572" s="23"/>
      <c r="L35572" s="23"/>
    </row>
    <row r="35573">
      <c r="B35573" s="19"/>
      <c r="E35573" s="23"/>
      <c r="L35573" s="23"/>
    </row>
    <row r="35574">
      <c r="B35574" s="19"/>
      <c r="E35574" s="23"/>
      <c r="L35574" s="23"/>
    </row>
    <row r="35575">
      <c r="B35575" s="19"/>
      <c r="E35575" s="23"/>
      <c r="L35575" s="23"/>
    </row>
    <row r="35576">
      <c r="B35576" s="19"/>
      <c r="E35576" s="23"/>
      <c r="L35576" s="23"/>
    </row>
    <row r="35577">
      <c r="B35577" s="19"/>
      <c r="E35577" s="23"/>
      <c r="L35577" s="23"/>
    </row>
    <row r="35578">
      <c r="B35578" s="19"/>
      <c r="E35578" s="23"/>
      <c r="L35578" s="23"/>
    </row>
    <row r="35579">
      <c r="B35579" s="19"/>
      <c r="E35579" s="23"/>
      <c r="L35579" s="23"/>
    </row>
    <row r="35580">
      <c r="B35580" s="19"/>
      <c r="E35580" s="23"/>
      <c r="L35580" s="23"/>
    </row>
    <row r="35581">
      <c r="B35581" s="19"/>
      <c r="E35581" s="23"/>
      <c r="L35581" s="23"/>
    </row>
    <row r="35582">
      <c r="B35582" s="19"/>
      <c r="E35582" s="23"/>
      <c r="L35582" s="23"/>
    </row>
    <row r="35583">
      <c r="B35583" s="19"/>
      <c r="E35583" s="23"/>
      <c r="L35583" s="23"/>
    </row>
    <row r="35584">
      <c r="B35584" s="19"/>
      <c r="E35584" s="23"/>
      <c r="L35584" s="23"/>
    </row>
    <row r="35585">
      <c r="B35585" s="19"/>
      <c r="E35585" s="23"/>
      <c r="L35585" s="23"/>
    </row>
    <row r="35586">
      <c r="B35586" s="19"/>
      <c r="E35586" s="23"/>
      <c r="L35586" s="23"/>
    </row>
    <row r="35587">
      <c r="B35587" s="19"/>
      <c r="E35587" s="23"/>
      <c r="L35587" s="23"/>
    </row>
    <row r="35588">
      <c r="B35588" s="19"/>
      <c r="E35588" s="23"/>
      <c r="L35588" s="23"/>
    </row>
    <row r="35589">
      <c r="B35589" s="19"/>
      <c r="E35589" s="23"/>
      <c r="L35589" s="23"/>
    </row>
    <row r="35590">
      <c r="B35590" s="19"/>
      <c r="E35590" s="23"/>
      <c r="L35590" s="23"/>
    </row>
    <row r="35591">
      <c r="B35591" s="19"/>
      <c r="E35591" s="23"/>
      <c r="L35591" s="23"/>
    </row>
    <row r="35592">
      <c r="B35592" s="19"/>
      <c r="E35592" s="23"/>
      <c r="L35592" s="23"/>
    </row>
    <row r="35593">
      <c r="B35593" s="19"/>
      <c r="E35593" s="23"/>
      <c r="L35593" s="23"/>
    </row>
    <row r="35594">
      <c r="B35594" s="19"/>
      <c r="E35594" s="23"/>
      <c r="L35594" s="23"/>
    </row>
    <row r="35595">
      <c r="B35595" s="19"/>
      <c r="E35595" s="23"/>
      <c r="L35595" s="23"/>
    </row>
    <row r="35596">
      <c r="B35596" s="19"/>
      <c r="E35596" s="23"/>
      <c r="L35596" s="23"/>
    </row>
    <row r="35597">
      <c r="B35597" s="19"/>
      <c r="E35597" s="23"/>
      <c r="L35597" s="23"/>
    </row>
    <row r="35598">
      <c r="B35598" s="19"/>
      <c r="E35598" s="23"/>
      <c r="L35598" s="23"/>
    </row>
    <row r="35599">
      <c r="B35599" s="19"/>
      <c r="E35599" s="23"/>
      <c r="L35599" s="23"/>
    </row>
    <row r="35600">
      <c r="B35600" s="19"/>
      <c r="E35600" s="23"/>
      <c r="L35600" s="23"/>
    </row>
    <row r="35601">
      <c r="B35601" s="19"/>
      <c r="E35601" s="23"/>
      <c r="L35601" s="23"/>
    </row>
    <row r="35602">
      <c r="B35602" s="19"/>
      <c r="E35602" s="23"/>
      <c r="L35602" s="23"/>
    </row>
    <row r="35603">
      <c r="B35603" s="19"/>
      <c r="E35603" s="23"/>
      <c r="L35603" s="23"/>
    </row>
    <row r="35604">
      <c r="B35604" s="19"/>
      <c r="E35604" s="23"/>
      <c r="L35604" s="23"/>
    </row>
    <row r="35605">
      <c r="B35605" s="19"/>
      <c r="E35605" s="23"/>
      <c r="L35605" s="23"/>
    </row>
    <row r="35606">
      <c r="B35606" s="19"/>
      <c r="E35606" s="23"/>
      <c r="L35606" s="23"/>
    </row>
    <row r="35607">
      <c r="B35607" s="19"/>
      <c r="E35607" s="23"/>
      <c r="L35607" s="23"/>
    </row>
    <row r="35608">
      <c r="B35608" s="19"/>
      <c r="E35608" s="23"/>
      <c r="L35608" s="23"/>
    </row>
    <row r="35609">
      <c r="B35609" s="19"/>
      <c r="E35609" s="23"/>
      <c r="L35609" s="23"/>
    </row>
    <row r="35610">
      <c r="B35610" s="19"/>
      <c r="E35610" s="23"/>
      <c r="L35610" s="23"/>
    </row>
    <row r="35611">
      <c r="B35611" s="19"/>
      <c r="E35611" s="23"/>
      <c r="L35611" s="23"/>
    </row>
    <row r="35612">
      <c r="B35612" s="19"/>
      <c r="E35612" s="23"/>
      <c r="L35612" s="23"/>
    </row>
    <row r="35613">
      <c r="B35613" s="19"/>
      <c r="E35613" s="23"/>
      <c r="L35613" s="23"/>
    </row>
    <row r="35614">
      <c r="B35614" s="19"/>
      <c r="E35614" s="23"/>
      <c r="L35614" s="23"/>
    </row>
    <row r="35615">
      <c r="B35615" s="19"/>
      <c r="E35615" s="23"/>
      <c r="L35615" s="23"/>
    </row>
    <row r="35616">
      <c r="B35616" s="19"/>
      <c r="E35616" s="23"/>
      <c r="L35616" s="23"/>
    </row>
    <row r="35617">
      <c r="B35617" s="19"/>
      <c r="E35617" s="23"/>
      <c r="L35617" s="23"/>
    </row>
    <row r="35618">
      <c r="B35618" s="19"/>
      <c r="E35618" s="23"/>
      <c r="L35618" s="23"/>
    </row>
    <row r="35619">
      <c r="B35619" s="19"/>
      <c r="E35619" s="23"/>
      <c r="L35619" s="23"/>
    </row>
    <row r="35620">
      <c r="B35620" s="19"/>
      <c r="E35620" s="23"/>
      <c r="L35620" s="23"/>
    </row>
    <row r="35621">
      <c r="B35621" s="19"/>
      <c r="E35621" s="23"/>
      <c r="L35621" s="23"/>
    </row>
    <row r="35622">
      <c r="B35622" s="19"/>
      <c r="E35622" s="23"/>
      <c r="L35622" s="23"/>
    </row>
    <row r="35623">
      <c r="B35623" s="19"/>
      <c r="E35623" s="23"/>
      <c r="L35623" s="23"/>
    </row>
    <row r="35624">
      <c r="B35624" s="19"/>
      <c r="E35624" s="23"/>
      <c r="L35624" s="23"/>
    </row>
    <row r="35625">
      <c r="B35625" s="19"/>
      <c r="E35625" s="23"/>
      <c r="L35625" s="23"/>
    </row>
    <row r="35626">
      <c r="B35626" s="19"/>
      <c r="E35626" s="23"/>
      <c r="L35626" s="23"/>
    </row>
    <row r="35627">
      <c r="B35627" s="19"/>
      <c r="E35627" s="23"/>
      <c r="L35627" s="23"/>
    </row>
    <row r="35628">
      <c r="B35628" s="19"/>
      <c r="E35628" s="23"/>
      <c r="L35628" s="23"/>
    </row>
    <row r="35629">
      <c r="B35629" s="19"/>
      <c r="E35629" s="23"/>
      <c r="L35629" s="23"/>
    </row>
    <row r="35630">
      <c r="B35630" s="19"/>
      <c r="E35630" s="23"/>
      <c r="L35630" s="23"/>
    </row>
    <row r="35631">
      <c r="B35631" s="19"/>
      <c r="E35631" s="23"/>
      <c r="L35631" s="23"/>
    </row>
    <row r="35632">
      <c r="B35632" s="19"/>
      <c r="E35632" s="23"/>
      <c r="L35632" s="23"/>
    </row>
    <row r="35633">
      <c r="B35633" s="19"/>
      <c r="E35633" s="23"/>
      <c r="L35633" s="23"/>
    </row>
    <row r="35634">
      <c r="B35634" s="19"/>
      <c r="E35634" s="23"/>
      <c r="L35634" s="23"/>
    </row>
    <row r="35635">
      <c r="B35635" s="19"/>
      <c r="E35635" s="23"/>
      <c r="L35635" s="23"/>
    </row>
    <row r="35636">
      <c r="B35636" s="19"/>
      <c r="E35636" s="23"/>
      <c r="L35636" s="23"/>
    </row>
    <row r="35637">
      <c r="B35637" s="19"/>
      <c r="E35637" s="23"/>
      <c r="L35637" s="23"/>
    </row>
    <row r="35638">
      <c r="B35638" s="19"/>
      <c r="E35638" s="23"/>
      <c r="L35638" s="23"/>
    </row>
    <row r="35639">
      <c r="B35639" s="19"/>
      <c r="E35639" s="23"/>
      <c r="L35639" s="23"/>
    </row>
    <row r="35640">
      <c r="B35640" s="19"/>
      <c r="E35640" s="23"/>
      <c r="L35640" s="23"/>
    </row>
    <row r="35641">
      <c r="B35641" s="19"/>
      <c r="E35641" s="23"/>
      <c r="L35641" s="23"/>
    </row>
    <row r="35642">
      <c r="B35642" s="19"/>
      <c r="E35642" s="23"/>
      <c r="L35642" s="23"/>
    </row>
    <row r="35643">
      <c r="B35643" s="19"/>
      <c r="E35643" s="23"/>
      <c r="L35643" s="23"/>
    </row>
    <row r="35644">
      <c r="B35644" s="19"/>
      <c r="E35644" s="23"/>
      <c r="L35644" s="23"/>
    </row>
    <row r="35645">
      <c r="B35645" s="19"/>
      <c r="E35645" s="23"/>
      <c r="L35645" s="23"/>
    </row>
    <row r="35646">
      <c r="B35646" s="19"/>
      <c r="E35646" s="23"/>
      <c r="L35646" s="23"/>
    </row>
    <row r="35647">
      <c r="B35647" s="19"/>
      <c r="E35647" s="23"/>
      <c r="L35647" s="23"/>
    </row>
    <row r="35648">
      <c r="B35648" s="19"/>
      <c r="E35648" s="23"/>
      <c r="L35648" s="23"/>
    </row>
    <row r="35649">
      <c r="B35649" s="19"/>
      <c r="E35649" s="23"/>
      <c r="L35649" s="23"/>
    </row>
    <row r="35650">
      <c r="B35650" s="19"/>
      <c r="E35650" s="23"/>
      <c r="L35650" s="23"/>
    </row>
    <row r="35651">
      <c r="B35651" s="19"/>
      <c r="E35651" s="23"/>
      <c r="L35651" s="23"/>
    </row>
    <row r="35652">
      <c r="B35652" s="19"/>
      <c r="E35652" s="23"/>
      <c r="L35652" s="23"/>
    </row>
    <row r="35653">
      <c r="B35653" s="19"/>
      <c r="E35653" s="23"/>
      <c r="L35653" s="23"/>
    </row>
    <row r="35654">
      <c r="B35654" s="19"/>
      <c r="E35654" s="23"/>
      <c r="L35654" s="23"/>
    </row>
    <row r="35655">
      <c r="B35655" s="19"/>
      <c r="E35655" s="23"/>
      <c r="L35655" s="23"/>
    </row>
    <row r="35656">
      <c r="B35656" s="19"/>
      <c r="E35656" s="23"/>
      <c r="L35656" s="23"/>
    </row>
    <row r="35657">
      <c r="B35657" s="19"/>
      <c r="E35657" s="23"/>
      <c r="L35657" s="23"/>
    </row>
    <row r="35658">
      <c r="B35658" s="19"/>
      <c r="E35658" s="23"/>
      <c r="L35658" s="23"/>
    </row>
    <row r="35659">
      <c r="B35659" s="19"/>
      <c r="E35659" s="23"/>
      <c r="L35659" s="23"/>
    </row>
    <row r="35660">
      <c r="B35660" s="19"/>
      <c r="E35660" s="23"/>
      <c r="L35660" s="23"/>
    </row>
    <row r="35661">
      <c r="B35661" s="19"/>
      <c r="E35661" s="23"/>
      <c r="L35661" s="23"/>
    </row>
    <row r="35662">
      <c r="B35662" s="19"/>
      <c r="E35662" s="23"/>
      <c r="L35662" s="23"/>
    </row>
    <row r="35663">
      <c r="B35663" s="19"/>
      <c r="E35663" s="23"/>
      <c r="L35663" s="23"/>
    </row>
    <row r="35664">
      <c r="B35664" s="19"/>
      <c r="E35664" s="23"/>
      <c r="L35664" s="23"/>
    </row>
    <row r="35665">
      <c r="B35665" s="19"/>
      <c r="E35665" s="23"/>
      <c r="L35665" s="23"/>
    </row>
    <row r="35666">
      <c r="B35666" s="19"/>
      <c r="E35666" s="23"/>
      <c r="L35666" s="23"/>
    </row>
    <row r="35667">
      <c r="B35667" s="19"/>
      <c r="E35667" s="23"/>
      <c r="L35667" s="23"/>
    </row>
    <row r="35668">
      <c r="B35668" s="19"/>
      <c r="E35668" s="23"/>
      <c r="L35668" s="23"/>
    </row>
    <row r="35669">
      <c r="B35669" s="19"/>
      <c r="E35669" s="23"/>
      <c r="L35669" s="23"/>
    </row>
    <row r="35670">
      <c r="B35670" s="19"/>
      <c r="E35670" s="23"/>
      <c r="L35670" s="23"/>
    </row>
    <row r="35671">
      <c r="B35671" s="19"/>
      <c r="E35671" s="23"/>
      <c r="L35671" s="23"/>
    </row>
    <row r="35672">
      <c r="B35672" s="19"/>
      <c r="E35672" s="23"/>
      <c r="L35672" s="23"/>
    </row>
    <row r="35673">
      <c r="B35673" s="19"/>
      <c r="E35673" s="23"/>
      <c r="L35673" s="23"/>
    </row>
    <row r="35674">
      <c r="B35674" s="19"/>
      <c r="E35674" s="23"/>
      <c r="L35674" s="23"/>
    </row>
    <row r="35675">
      <c r="B35675" s="19"/>
      <c r="E35675" s="23"/>
      <c r="L35675" s="23"/>
    </row>
    <row r="35676">
      <c r="B35676" s="19"/>
      <c r="E35676" s="23"/>
      <c r="L35676" s="23"/>
    </row>
    <row r="35677">
      <c r="B35677" s="19"/>
      <c r="E35677" s="23"/>
      <c r="L35677" s="23"/>
    </row>
    <row r="35678">
      <c r="B35678" s="19"/>
      <c r="E35678" s="23"/>
      <c r="L35678" s="23"/>
    </row>
    <row r="35679">
      <c r="B35679" s="19"/>
      <c r="E35679" s="23"/>
      <c r="L35679" s="23"/>
    </row>
    <row r="35680">
      <c r="B35680" s="19"/>
      <c r="E35680" s="23"/>
      <c r="L35680" s="23"/>
    </row>
    <row r="35681">
      <c r="B35681" s="19"/>
      <c r="E35681" s="23"/>
      <c r="L35681" s="23"/>
    </row>
    <row r="35682">
      <c r="B35682" s="19"/>
      <c r="E35682" s="23"/>
      <c r="L35682" s="23"/>
    </row>
    <row r="35683">
      <c r="B35683" s="19"/>
      <c r="E35683" s="23"/>
      <c r="L35683" s="23"/>
    </row>
    <row r="35684">
      <c r="B35684" s="19"/>
      <c r="E35684" s="23"/>
      <c r="L35684" s="23"/>
    </row>
    <row r="35685">
      <c r="B35685" s="19"/>
      <c r="E35685" s="23"/>
      <c r="L35685" s="23"/>
    </row>
    <row r="35686">
      <c r="B35686" s="19"/>
      <c r="E35686" s="23"/>
      <c r="L35686" s="23"/>
    </row>
    <row r="35687">
      <c r="B35687" s="19"/>
      <c r="E35687" s="23"/>
      <c r="L35687" s="23"/>
    </row>
    <row r="35688">
      <c r="B35688" s="19"/>
      <c r="E35688" s="23"/>
      <c r="L35688" s="23"/>
    </row>
    <row r="35689">
      <c r="B35689" s="19"/>
      <c r="E35689" s="23"/>
      <c r="L35689" s="23"/>
    </row>
    <row r="35690">
      <c r="B35690" s="19"/>
      <c r="E35690" s="23"/>
      <c r="L35690" s="23"/>
    </row>
    <row r="35691">
      <c r="B35691" s="19"/>
      <c r="E35691" s="23"/>
      <c r="L35691" s="23"/>
    </row>
    <row r="35692">
      <c r="B35692" s="19"/>
      <c r="E35692" s="23"/>
      <c r="L35692" s="23"/>
    </row>
    <row r="35693">
      <c r="B35693" s="19"/>
      <c r="E35693" s="23"/>
      <c r="L35693" s="23"/>
    </row>
    <row r="35694">
      <c r="B35694" s="19"/>
      <c r="E35694" s="23"/>
      <c r="L35694" s="23"/>
    </row>
    <row r="35695">
      <c r="B35695" s="19"/>
      <c r="E35695" s="23"/>
      <c r="L35695" s="23"/>
    </row>
    <row r="35696">
      <c r="B35696" s="19"/>
      <c r="E35696" s="23"/>
      <c r="L35696" s="23"/>
    </row>
    <row r="35697">
      <c r="B35697" s="19"/>
      <c r="E35697" s="23"/>
      <c r="L35697" s="23"/>
    </row>
    <row r="35698">
      <c r="B35698" s="19"/>
      <c r="E35698" s="23"/>
      <c r="L35698" s="23"/>
    </row>
    <row r="35699">
      <c r="B35699" s="19"/>
      <c r="E35699" s="23"/>
      <c r="L35699" s="23"/>
    </row>
    <row r="35700">
      <c r="B35700" s="19"/>
      <c r="E35700" s="23"/>
      <c r="L35700" s="23"/>
    </row>
    <row r="35701">
      <c r="B35701" s="19"/>
      <c r="E35701" s="23"/>
      <c r="L35701" s="23"/>
    </row>
    <row r="35702">
      <c r="B35702" s="19"/>
      <c r="E35702" s="23"/>
      <c r="L35702" s="23"/>
    </row>
    <row r="35703">
      <c r="B35703" s="19"/>
      <c r="E35703" s="23"/>
      <c r="L35703" s="23"/>
    </row>
    <row r="35704">
      <c r="B35704" s="19"/>
      <c r="E35704" s="23"/>
      <c r="L35704" s="23"/>
    </row>
    <row r="35705">
      <c r="B35705" s="19"/>
      <c r="E35705" s="23"/>
      <c r="L35705" s="23"/>
    </row>
    <row r="35706">
      <c r="B35706" s="19"/>
      <c r="E35706" s="23"/>
      <c r="L35706" s="23"/>
    </row>
    <row r="35707">
      <c r="B35707" s="19"/>
      <c r="E35707" s="23"/>
      <c r="L35707" s="23"/>
    </row>
    <row r="35708">
      <c r="B35708" s="19"/>
      <c r="E35708" s="23"/>
      <c r="L35708" s="23"/>
    </row>
    <row r="35709">
      <c r="B35709" s="19"/>
      <c r="E35709" s="23"/>
      <c r="L35709" s="23"/>
    </row>
    <row r="35710">
      <c r="B35710" s="19"/>
      <c r="E35710" s="23"/>
      <c r="L35710" s="23"/>
    </row>
    <row r="35711">
      <c r="B35711" s="19"/>
      <c r="E35711" s="23"/>
      <c r="L35711" s="23"/>
    </row>
    <row r="35712">
      <c r="B35712" s="19"/>
      <c r="E35712" s="23"/>
      <c r="L35712" s="23"/>
    </row>
    <row r="35713">
      <c r="B35713" s="19"/>
      <c r="E35713" s="23"/>
      <c r="L35713" s="23"/>
    </row>
    <row r="35714">
      <c r="B35714" s="19"/>
      <c r="E35714" s="23"/>
      <c r="L35714" s="23"/>
    </row>
    <row r="35715">
      <c r="B35715" s="19"/>
      <c r="E35715" s="23"/>
      <c r="L35715" s="23"/>
    </row>
    <row r="35716">
      <c r="B35716" s="19"/>
      <c r="E35716" s="23"/>
      <c r="L35716" s="23"/>
    </row>
    <row r="35717">
      <c r="B35717" s="19"/>
      <c r="E35717" s="23"/>
      <c r="L35717" s="23"/>
    </row>
    <row r="35718">
      <c r="B35718" s="19"/>
      <c r="E35718" s="23"/>
      <c r="L35718" s="23"/>
    </row>
    <row r="35719">
      <c r="B35719" s="19"/>
      <c r="E35719" s="23"/>
      <c r="L35719" s="23"/>
    </row>
    <row r="35720">
      <c r="B35720" s="19"/>
      <c r="E35720" s="23"/>
      <c r="L35720" s="23"/>
    </row>
    <row r="35721">
      <c r="B35721" s="19"/>
      <c r="E35721" s="23"/>
      <c r="L35721" s="23"/>
    </row>
    <row r="35722">
      <c r="B35722" s="19"/>
      <c r="E35722" s="23"/>
      <c r="L35722" s="23"/>
    </row>
    <row r="35723">
      <c r="B35723" s="19"/>
      <c r="E35723" s="23"/>
      <c r="L35723" s="23"/>
    </row>
    <row r="35724">
      <c r="B35724" s="19"/>
      <c r="E35724" s="23"/>
      <c r="L35724" s="23"/>
    </row>
    <row r="35725">
      <c r="B35725" s="19"/>
      <c r="E35725" s="23"/>
      <c r="L35725" s="23"/>
    </row>
    <row r="35726">
      <c r="B35726" s="19"/>
      <c r="E35726" s="23"/>
      <c r="L35726" s="23"/>
    </row>
    <row r="35727">
      <c r="B35727" s="19"/>
      <c r="E35727" s="23"/>
      <c r="L35727" s="23"/>
    </row>
    <row r="35728">
      <c r="B35728" s="19"/>
      <c r="E35728" s="23"/>
      <c r="L35728" s="23"/>
    </row>
    <row r="35729">
      <c r="B35729" s="19"/>
      <c r="E35729" s="23"/>
      <c r="L35729" s="23"/>
    </row>
    <row r="35730">
      <c r="B35730" s="19"/>
      <c r="E35730" s="23"/>
      <c r="L35730" s="23"/>
    </row>
    <row r="35731">
      <c r="B35731" s="19"/>
      <c r="E35731" s="23"/>
      <c r="L35731" s="23"/>
    </row>
    <row r="35732">
      <c r="B35732" s="19"/>
      <c r="E35732" s="23"/>
      <c r="L35732" s="23"/>
    </row>
    <row r="35733">
      <c r="B35733" s="19"/>
      <c r="E35733" s="23"/>
      <c r="L35733" s="23"/>
    </row>
    <row r="35734">
      <c r="B35734" s="19"/>
      <c r="E35734" s="23"/>
      <c r="L35734" s="23"/>
    </row>
    <row r="35735">
      <c r="B35735" s="19"/>
      <c r="E35735" s="23"/>
      <c r="L35735" s="23"/>
    </row>
    <row r="35736">
      <c r="B35736" s="19"/>
      <c r="E35736" s="23"/>
      <c r="L35736" s="23"/>
    </row>
    <row r="35737">
      <c r="B35737" s="19"/>
      <c r="E35737" s="23"/>
      <c r="L35737" s="23"/>
    </row>
    <row r="35738">
      <c r="B35738" s="19"/>
      <c r="E35738" s="23"/>
      <c r="L35738" s="23"/>
    </row>
    <row r="35739">
      <c r="B35739" s="19"/>
      <c r="E35739" s="23"/>
      <c r="L35739" s="23"/>
    </row>
    <row r="35740">
      <c r="B35740" s="19"/>
      <c r="E35740" s="23"/>
      <c r="L35740" s="23"/>
    </row>
    <row r="35741">
      <c r="B35741" s="19"/>
      <c r="E35741" s="23"/>
      <c r="L35741" s="23"/>
    </row>
    <row r="35742">
      <c r="B35742" s="19"/>
      <c r="E35742" s="23"/>
      <c r="L35742" s="23"/>
    </row>
    <row r="35743">
      <c r="B35743" s="19"/>
      <c r="E35743" s="23"/>
      <c r="L35743" s="23"/>
    </row>
    <row r="35744">
      <c r="B35744" s="19"/>
      <c r="E35744" s="23"/>
      <c r="L35744" s="23"/>
    </row>
    <row r="35745">
      <c r="B35745" s="19"/>
      <c r="E35745" s="23"/>
      <c r="L35745" s="23"/>
    </row>
    <row r="35746">
      <c r="B35746" s="19"/>
      <c r="E35746" s="23"/>
      <c r="L35746" s="23"/>
    </row>
    <row r="35747">
      <c r="B35747" s="19"/>
      <c r="E35747" s="23"/>
      <c r="L35747" s="23"/>
    </row>
    <row r="35748">
      <c r="B35748" s="19"/>
      <c r="E35748" s="23"/>
      <c r="L35748" s="23"/>
    </row>
    <row r="35749">
      <c r="B35749" s="19"/>
      <c r="E35749" s="23"/>
      <c r="L35749" s="23"/>
    </row>
    <row r="35750">
      <c r="B35750" s="19"/>
      <c r="E35750" s="23"/>
      <c r="L35750" s="23"/>
    </row>
    <row r="35751">
      <c r="B35751" s="19"/>
      <c r="E35751" s="23"/>
      <c r="L35751" s="23"/>
    </row>
    <row r="35752">
      <c r="B35752" s="19"/>
      <c r="E35752" s="23"/>
      <c r="L35752" s="23"/>
    </row>
    <row r="35753">
      <c r="B35753" s="19"/>
      <c r="E35753" s="23"/>
      <c r="L35753" s="23"/>
    </row>
    <row r="35754">
      <c r="B35754" s="19"/>
      <c r="E35754" s="23"/>
      <c r="L35754" s="23"/>
    </row>
    <row r="35755">
      <c r="B35755" s="19"/>
      <c r="E35755" s="23"/>
      <c r="L35755" s="23"/>
    </row>
    <row r="35756">
      <c r="B35756" s="19"/>
      <c r="E35756" s="23"/>
      <c r="L35756" s="23"/>
    </row>
    <row r="35757">
      <c r="B35757" s="19"/>
      <c r="E35757" s="23"/>
      <c r="L35757" s="23"/>
    </row>
    <row r="35758">
      <c r="B35758" s="19"/>
      <c r="E35758" s="23"/>
      <c r="L35758" s="23"/>
    </row>
    <row r="35759">
      <c r="B35759" s="19"/>
      <c r="E35759" s="23"/>
      <c r="L35759" s="23"/>
    </row>
    <row r="35760">
      <c r="B35760" s="19"/>
      <c r="E35760" s="23"/>
      <c r="L35760" s="23"/>
    </row>
    <row r="35761">
      <c r="B35761" s="19"/>
      <c r="E35761" s="23"/>
      <c r="L35761" s="23"/>
    </row>
    <row r="35762">
      <c r="B35762" s="19"/>
      <c r="E35762" s="23"/>
      <c r="L35762" s="23"/>
    </row>
    <row r="35763">
      <c r="B35763" s="19"/>
      <c r="E35763" s="23"/>
      <c r="L35763" s="23"/>
    </row>
    <row r="35764">
      <c r="B35764" s="19"/>
      <c r="E35764" s="23"/>
      <c r="L35764" s="23"/>
    </row>
    <row r="35765">
      <c r="B35765" s="19"/>
      <c r="E35765" s="23"/>
      <c r="L35765" s="23"/>
    </row>
    <row r="35766">
      <c r="B35766" s="19"/>
      <c r="E35766" s="23"/>
      <c r="L35766" s="23"/>
    </row>
    <row r="35767">
      <c r="B35767" s="19"/>
      <c r="E35767" s="23"/>
      <c r="L35767" s="23"/>
    </row>
    <row r="35768">
      <c r="B35768" s="19"/>
      <c r="E35768" s="23"/>
      <c r="L35768" s="23"/>
    </row>
    <row r="35769">
      <c r="B35769" s="19"/>
      <c r="E35769" s="23"/>
      <c r="L35769" s="23"/>
    </row>
    <row r="35770">
      <c r="B35770" s="19"/>
      <c r="E35770" s="23"/>
      <c r="L35770" s="23"/>
    </row>
    <row r="35771">
      <c r="B35771" s="19"/>
      <c r="E35771" s="23"/>
      <c r="L35771" s="23"/>
    </row>
    <row r="35772">
      <c r="B35772" s="19"/>
      <c r="E35772" s="23"/>
      <c r="L35772" s="23"/>
    </row>
    <row r="35773">
      <c r="B35773" s="19"/>
      <c r="E35773" s="23"/>
      <c r="L35773" s="23"/>
    </row>
    <row r="35774">
      <c r="B35774" s="19"/>
      <c r="E35774" s="23"/>
      <c r="L35774" s="23"/>
    </row>
    <row r="35775">
      <c r="B35775" s="19"/>
      <c r="E35775" s="23"/>
      <c r="L35775" s="23"/>
    </row>
    <row r="35776">
      <c r="B35776" s="19"/>
      <c r="E35776" s="23"/>
      <c r="L35776" s="23"/>
    </row>
    <row r="35777">
      <c r="B35777" s="19"/>
      <c r="E35777" s="23"/>
      <c r="L35777" s="23"/>
    </row>
    <row r="35778">
      <c r="B35778" s="19"/>
      <c r="E35778" s="23"/>
      <c r="L35778" s="23"/>
    </row>
    <row r="35779">
      <c r="B35779" s="19"/>
      <c r="E35779" s="23"/>
      <c r="L35779" s="23"/>
    </row>
    <row r="35780">
      <c r="B35780" s="19"/>
      <c r="E35780" s="23"/>
      <c r="L35780" s="23"/>
    </row>
    <row r="35781">
      <c r="B35781" s="19"/>
      <c r="E35781" s="23"/>
      <c r="L35781" s="23"/>
    </row>
    <row r="35782">
      <c r="B35782" s="19"/>
      <c r="E35782" s="23"/>
      <c r="L35782" s="23"/>
    </row>
    <row r="35783">
      <c r="B35783" s="19"/>
      <c r="E35783" s="23"/>
      <c r="L35783" s="23"/>
    </row>
    <row r="35784">
      <c r="B35784" s="19"/>
      <c r="E35784" s="23"/>
      <c r="L35784" s="23"/>
    </row>
    <row r="35785">
      <c r="B35785" s="19"/>
      <c r="E35785" s="23"/>
      <c r="L35785" s="23"/>
    </row>
    <row r="35786">
      <c r="B35786" s="19"/>
      <c r="E35786" s="23"/>
      <c r="L35786" s="23"/>
    </row>
    <row r="35787">
      <c r="B35787" s="19"/>
      <c r="E35787" s="23"/>
      <c r="L35787" s="23"/>
    </row>
    <row r="35788">
      <c r="B35788" s="19"/>
      <c r="E35788" s="23"/>
      <c r="L35788" s="23"/>
    </row>
    <row r="35789">
      <c r="B35789" s="19"/>
      <c r="E35789" s="23"/>
      <c r="L35789" s="23"/>
    </row>
    <row r="35790">
      <c r="B35790" s="19"/>
      <c r="E35790" s="23"/>
      <c r="L35790" s="23"/>
    </row>
    <row r="35791">
      <c r="B35791" s="19"/>
      <c r="E35791" s="23"/>
      <c r="L35791" s="23"/>
    </row>
    <row r="35792">
      <c r="B35792" s="19"/>
      <c r="E35792" s="23"/>
      <c r="L35792" s="23"/>
    </row>
    <row r="35793">
      <c r="B35793" s="19"/>
      <c r="E35793" s="23"/>
      <c r="L35793" s="23"/>
    </row>
    <row r="35794">
      <c r="B35794" s="19"/>
      <c r="E35794" s="23"/>
      <c r="L35794" s="23"/>
    </row>
    <row r="35795">
      <c r="B35795" s="19"/>
      <c r="E35795" s="23"/>
      <c r="L35795" s="23"/>
    </row>
    <row r="35796">
      <c r="B35796" s="19"/>
      <c r="E35796" s="23"/>
      <c r="L35796" s="23"/>
    </row>
    <row r="35797">
      <c r="B35797" s="19"/>
      <c r="E35797" s="23"/>
      <c r="L35797" s="23"/>
    </row>
    <row r="35798">
      <c r="B35798" s="19"/>
      <c r="E35798" s="23"/>
      <c r="L35798" s="23"/>
    </row>
    <row r="35799">
      <c r="B35799" s="19"/>
      <c r="E35799" s="23"/>
      <c r="L35799" s="23"/>
    </row>
    <row r="35800">
      <c r="B35800" s="19"/>
      <c r="E35800" s="23"/>
      <c r="L35800" s="23"/>
    </row>
    <row r="35801">
      <c r="B35801" s="19"/>
      <c r="E35801" s="23"/>
      <c r="L35801" s="23"/>
    </row>
    <row r="35802">
      <c r="B35802" s="19"/>
      <c r="E35802" s="23"/>
      <c r="L35802" s="23"/>
    </row>
    <row r="35803">
      <c r="B35803" s="19"/>
      <c r="E35803" s="23"/>
      <c r="L35803" s="23"/>
    </row>
    <row r="35804">
      <c r="B35804" s="19"/>
      <c r="E35804" s="23"/>
      <c r="L35804" s="23"/>
    </row>
    <row r="35805">
      <c r="B35805" s="19"/>
      <c r="E35805" s="23"/>
      <c r="L35805" s="23"/>
    </row>
    <row r="35806">
      <c r="B35806" s="19"/>
      <c r="E35806" s="23"/>
      <c r="L35806" s="23"/>
    </row>
    <row r="35807">
      <c r="B35807" s="19"/>
      <c r="E35807" s="23"/>
      <c r="L35807" s="23"/>
    </row>
    <row r="35808">
      <c r="B35808" s="19"/>
      <c r="E35808" s="23"/>
      <c r="L35808" s="23"/>
    </row>
    <row r="35809">
      <c r="B35809" s="19"/>
      <c r="E35809" s="23"/>
      <c r="L35809" s="23"/>
    </row>
    <row r="35810">
      <c r="B35810" s="19"/>
      <c r="E35810" s="23"/>
      <c r="L35810" s="23"/>
    </row>
    <row r="35811">
      <c r="B35811" s="19"/>
      <c r="E35811" s="23"/>
      <c r="L35811" s="23"/>
    </row>
    <row r="35812">
      <c r="B35812" s="19"/>
      <c r="E35812" s="23"/>
      <c r="L35812" s="23"/>
    </row>
    <row r="35813">
      <c r="B35813" s="19"/>
      <c r="E35813" s="23"/>
      <c r="L35813" s="23"/>
    </row>
    <row r="35814">
      <c r="B35814" s="19"/>
      <c r="E35814" s="23"/>
      <c r="L35814" s="23"/>
    </row>
    <row r="35815">
      <c r="B35815" s="19"/>
      <c r="E35815" s="23"/>
      <c r="L35815" s="23"/>
    </row>
    <row r="35816">
      <c r="B35816" s="19"/>
      <c r="E35816" s="23"/>
      <c r="L35816" s="23"/>
    </row>
    <row r="35817">
      <c r="B35817" s="19"/>
      <c r="E35817" s="23"/>
      <c r="L35817" s="23"/>
    </row>
    <row r="35818">
      <c r="B35818" s="19"/>
      <c r="E35818" s="23"/>
      <c r="L35818" s="23"/>
    </row>
    <row r="35819">
      <c r="B35819" s="19"/>
      <c r="E35819" s="23"/>
      <c r="L35819" s="23"/>
    </row>
    <row r="35820">
      <c r="B35820" s="19"/>
      <c r="E35820" s="23"/>
      <c r="L35820" s="23"/>
    </row>
    <row r="35821">
      <c r="B35821" s="19"/>
      <c r="E35821" s="23"/>
      <c r="L35821" s="23"/>
    </row>
    <row r="35822">
      <c r="B35822" s="19"/>
      <c r="E35822" s="23"/>
      <c r="L35822" s="23"/>
    </row>
    <row r="35823">
      <c r="B35823" s="19"/>
      <c r="E35823" s="23"/>
      <c r="L35823" s="23"/>
    </row>
    <row r="35824">
      <c r="B35824" s="19"/>
      <c r="E35824" s="23"/>
      <c r="L35824" s="23"/>
    </row>
    <row r="35825">
      <c r="B35825" s="19"/>
      <c r="E35825" s="23"/>
      <c r="L35825" s="23"/>
    </row>
    <row r="35826">
      <c r="B35826" s="19"/>
      <c r="E35826" s="23"/>
      <c r="L35826" s="23"/>
    </row>
    <row r="35827">
      <c r="B35827" s="19"/>
      <c r="E35827" s="23"/>
      <c r="L35827" s="23"/>
    </row>
    <row r="35828">
      <c r="B35828" s="19"/>
      <c r="E35828" s="23"/>
      <c r="L35828" s="23"/>
    </row>
    <row r="35829">
      <c r="B35829" s="19"/>
      <c r="E35829" s="23"/>
      <c r="L35829" s="23"/>
    </row>
    <row r="35830">
      <c r="B35830" s="19"/>
      <c r="E35830" s="23"/>
      <c r="L35830" s="23"/>
    </row>
    <row r="35831">
      <c r="B35831" s="19"/>
      <c r="E35831" s="23"/>
      <c r="L35831" s="23"/>
    </row>
    <row r="35832">
      <c r="B35832" s="19"/>
      <c r="E35832" s="23"/>
      <c r="L35832" s="23"/>
    </row>
    <row r="35833">
      <c r="B35833" s="19"/>
      <c r="E35833" s="23"/>
      <c r="L35833" s="23"/>
    </row>
    <row r="35834">
      <c r="B35834" s="19"/>
      <c r="E35834" s="23"/>
      <c r="L35834" s="23"/>
    </row>
    <row r="35835">
      <c r="B35835" s="19"/>
      <c r="E35835" s="23"/>
      <c r="L35835" s="23"/>
    </row>
    <row r="35836">
      <c r="B35836" s="19"/>
      <c r="E35836" s="23"/>
      <c r="L35836" s="23"/>
    </row>
    <row r="35837">
      <c r="B35837" s="19"/>
      <c r="E35837" s="23"/>
      <c r="L35837" s="23"/>
    </row>
    <row r="35838">
      <c r="B35838" s="19"/>
      <c r="E35838" s="23"/>
      <c r="L35838" s="23"/>
    </row>
    <row r="35839">
      <c r="B35839" s="19"/>
      <c r="E35839" s="23"/>
      <c r="L35839" s="23"/>
    </row>
    <row r="35840">
      <c r="B35840" s="19"/>
      <c r="E35840" s="23"/>
      <c r="L35840" s="23"/>
    </row>
    <row r="35841">
      <c r="B35841" s="19"/>
      <c r="E35841" s="23"/>
      <c r="L35841" s="23"/>
    </row>
    <row r="35842">
      <c r="B35842" s="19"/>
      <c r="E35842" s="23"/>
      <c r="L35842" s="23"/>
    </row>
    <row r="35843">
      <c r="B35843" s="19"/>
      <c r="E35843" s="23"/>
      <c r="L35843" s="23"/>
    </row>
    <row r="35844">
      <c r="B35844" s="19"/>
      <c r="E35844" s="23"/>
      <c r="L35844" s="23"/>
    </row>
    <row r="35845">
      <c r="B35845" s="19"/>
      <c r="E35845" s="23"/>
      <c r="L35845" s="23"/>
    </row>
    <row r="35846">
      <c r="B35846" s="19"/>
      <c r="E35846" s="23"/>
      <c r="L35846" s="23"/>
    </row>
    <row r="35847">
      <c r="B35847" s="19"/>
      <c r="E35847" s="23"/>
      <c r="L35847" s="23"/>
    </row>
    <row r="35848">
      <c r="B35848" s="19"/>
      <c r="E35848" s="23"/>
      <c r="L35848" s="23"/>
    </row>
    <row r="35849">
      <c r="B35849" s="19"/>
      <c r="E35849" s="23"/>
      <c r="L35849" s="23"/>
    </row>
    <row r="35850">
      <c r="B35850" s="19"/>
      <c r="E35850" s="23"/>
      <c r="L35850" s="23"/>
    </row>
    <row r="35851">
      <c r="B35851" s="19"/>
      <c r="E35851" s="23"/>
      <c r="L35851" s="23"/>
    </row>
    <row r="35852">
      <c r="B35852" s="19"/>
      <c r="E35852" s="23"/>
      <c r="L35852" s="23"/>
    </row>
    <row r="35853">
      <c r="B35853" s="19"/>
      <c r="E35853" s="23"/>
      <c r="L35853" s="23"/>
    </row>
    <row r="35854">
      <c r="B35854" s="19"/>
      <c r="E35854" s="23"/>
      <c r="L35854" s="23"/>
    </row>
    <row r="35855">
      <c r="B35855" s="19"/>
      <c r="E35855" s="23"/>
      <c r="L35855" s="23"/>
    </row>
    <row r="35856">
      <c r="B35856" s="19"/>
      <c r="E35856" s="23"/>
      <c r="L35856" s="23"/>
    </row>
    <row r="35857">
      <c r="B35857" s="19"/>
      <c r="E35857" s="23"/>
      <c r="L35857" s="23"/>
    </row>
    <row r="35858">
      <c r="B35858" s="19"/>
      <c r="E35858" s="23"/>
      <c r="L35858" s="23"/>
    </row>
    <row r="35859">
      <c r="B35859" s="19"/>
      <c r="E35859" s="23"/>
      <c r="L35859" s="23"/>
    </row>
    <row r="35860">
      <c r="B35860" s="19"/>
      <c r="E35860" s="23"/>
      <c r="L35860" s="23"/>
    </row>
    <row r="35861">
      <c r="B35861" s="19"/>
      <c r="E35861" s="23"/>
      <c r="L35861" s="23"/>
    </row>
    <row r="35862">
      <c r="B35862" s="19"/>
      <c r="E35862" s="23"/>
      <c r="L35862" s="23"/>
    </row>
    <row r="35863">
      <c r="B35863" s="19"/>
      <c r="E35863" s="23"/>
      <c r="L35863" s="23"/>
    </row>
    <row r="35864">
      <c r="B35864" s="19"/>
      <c r="E35864" s="23"/>
      <c r="L35864" s="23"/>
    </row>
    <row r="35865">
      <c r="B35865" s="19"/>
      <c r="E35865" s="23"/>
      <c r="L35865" s="23"/>
    </row>
    <row r="35866">
      <c r="B35866" s="19"/>
      <c r="E35866" s="23"/>
      <c r="L35866" s="23"/>
    </row>
    <row r="35867">
      <c r="B35867" s="19"/>
      <c r="E35867" s="23"/>
      <c r="L35867" s="23"/>
    </row>
    <row r="35868">
      <c r="B35868" s="19"/>
      <c r="E35868" s="23"/>
      <c r="L35868" s="23"/>
    </row>
    <row r="35869">
      <c r="B35869" s="19"/>
      <c r="E35869" s="23"/>
      <c r="L35869" s="23"/>
    </row>
    <row r="35870">
      <c r="B35870" s="19"/>
      <c r="E35870" s="23"/>
      <c r="L35870" s="23"/>
    </row>
    <row r="35871">
      <c r="B35871" s="19"/>
      <c r="E35871" s="23"/>
      <c r="L35871" s="23"/>
    </row>
    <row r="35872">
      <c r="B35872" s="19"/>
      <c r="E35872" s="23"/>
      <c r="L35872" s="23"/>
    </row>
    <row r="35873">
      <c r="B35873" s="19"/>
      <c r="E35873" s="23"/>
      <c r="L35873" s="23"/>
    </row>
    <row r="35874">
      <c r="B35874" s="19"/>
      <c r="E35874" s="23"/>
      <c r="L35874" s="23"/>
    </row>
    <row r="35875">
      <c r="B35875" s="19"/>
      <c r="E35875" s="23"/>
      <c r="L35875" s="23"/>
    </row>
    <row r="35876">
      <c r="B35876" s="19"/>
      <c r="E35876" s="23"/>
      <c r="L35876" s="23"/>
    </row>
    <row r="35877">
      <c r="B35877" s="19"/>
      <c r="E35877" s="23"/>
      <c r="L35877" s="23"/>
    </row>
    <row r="35878">
      <c r="B35878" s="19"/>
      <c r="E35878" s="23"/>
      <c r="L35878" s="23"/>
    </row>
    <row r="35879">
      <c r="B35879" s="19"/>
      <c r="E35879" s="23"/>
      <c r="L35879" s="23"/>
    </row>
    <row r="35880">
      <c r="B35880" s="19"/>
      <c r="E35880" s="23"/>
      <c r="L35880" s="23"/>
    </row>
    <row r="35881">
      <c r="B35881" s="19"/>
      <c r="E35881" s="23"/>
      <c r="L35881" s="23"/>
    </row>
    <row r="35882">
      <c r="B35882" s="19"/>
      <c r="E35882" s="23"/>
      <c r="L35882" s="23"/>
    </row>
    <row r="35883">
      <c r="B35883" s="19"/>
      <c r="E35883" s="23"/>
      <c r="L35883" s="23"/>
    </row>
    <row r="35884">
      <c r="B35884" s="19"/>
      <c r="E35884" s="23"/>
      <c r="L35884" s="23"/>
    </row>
    <row r="35885">
      <c r="B35885" s="19"/>
      <c r="E35885" s="23"/>
      <c r="L35885" s="23"/>
    </row>
    <row r="35886">
      <c r="B35886" s="19"/>
      <c r="E35886" s="23"/>
      <c r="L35886" s="23"/>
    </row>
    <row r="35887">
      <c r="B35887" s="19"/>
      <c r="E35887" s="23"/>
      <c r="L35887" s="23"/>
    </row>
    <row r="35888">
      <c r="B35888" s="19"/>
      <c r="E35888" s="23"/>
      <c r="L35888" s="23"/>
    </row>
    <row r="35889">
      <c r="B35889" s="19"/>
      <c r="E35889" s="23"/>
      <c r="L35889" s="23"/>
    </row>
    <row r="35890">
      <c r="B35890" s="19"/>
      <c r="E35890" s="23"/>
      <c r="L35890" s="23"/>
    </row>
    <row r="35891">
      <c r="B35891" s="19"/>
      <c r="E35891" s="23"/>
      <c r="L35891" s="23"/>
    </row>
    <row r="35892">
      <c r="B35892" s="19"/>
      <c r="E35892" s="23"/>
      <c r="L35892" s="23"/>
    </row>
    <row r="35893">
      <c r="B35893" s="19"/>
      <c r="E35893" s="23"/>
      <c r="L35893" s="23"/>
    </row>
    <row r="35894">
      <c r="B35894" s="19"/>
      <c r="E35894" s="23"/>
      <c r="L35894" s="23"/>
    </row>
    <row r="35895">
      <c r="B35895" s="19"/>
      <c r="E35895" s="23"/>
      <c r="L35895" s="23"/>
    </row>
    <row r="35896">
      <c r="B35896" s="19"/>
      <c r="E35896" s="23"/>
      <c r="L35896" s="23"/>
    </row>
    <row r="35897">
      <c r="B35897" s="19"/>
      <c r="E35897" s="23"/>
      <c r="L35897" s="23"/>
    </row>
    <row r="35898">
      <c r="B35898" s="19"/>
      <c r="E35898" s="23"/>
      <c r="L35898" s="23"/>
    </row>
    <row r="35899">
      <c r="B35899" s="19"/>
      <c r="E35899" s="23"/>
      <c r="L35899" s="23"/>
    </row>
    <row r="35900">
      <c r="B35900" s="19"/>
      <c r="E35900" s="23"/>
      <c r="L35900" s="23"/>
    </row>
    <row r="35901">
      <c r="B35901" s="19"/>
      <c r="E35901" s="23"/>
      <c r="L35901" s="23"/>
    </row>
    <row r="35902">
      <c r="B35902" s="19"/>
      <c r="E35902" s="23"/>
      <c r="L35902" s="23"/>
    </row>
    <row r="35903">
      <c r="B35903" s="19"/>
      <c r="E35903" s="23"/>
      <c r="L35903" s="23"/>
    </row>
    <row r="35904">
      <c r="B35904" s="19"/>
      <c r="E35904" s="23"/>
      <c r="L35904" s="23"/>
    </row>
    <row r="35905">
      <c r="B35905" s="19"/>
      <c r="E35905" s="23"/>
      <c r="L35905" s="23"/>
    </row>
    <row r="35906">
      <c r="B35906" s="19"/>
      <c r="E35906" s="23"/>
      <c r="L35906" s="23"/>
    </row>
    <row r="35907">
      <c r="B35907" s="19"/>
      <c r="E35907" s="23"/>
      <c r="L35907" s="23"/>
    </row>
    <row r="35908">
      <c r="B35908" s="19"/>
      <c r="E35908" s="23"/>
      <c r="L35908" s="23"/>
    </row>
    <row r="35909">
      <c r="B35909" s="19"/>
      <c r="E35909" s="23"/>
      <c r="L35909" s="23"/>
    </row>
    <row r="35910">
      <c r="B35910" s="19"/>
      <c r="E35910" s="23"/>
      <c r="L35910" s="23"/>
    </row>
    <row r="35911">
      <c r="B35911" s="19"/>
      <c r="E35911" s="23"/>
      <c r="L35911" s="23"/>
    </row>
    <row r="35912">
      <c r="B35912" s="19"/>
      <c r="E35912" s="23"/>
      <c r="L35912" s="23"/>
    </row>
    <row r="35913">
      <c r="B35913" s="19"/>
      <c r="E35913" s="23"/>
      <c r="L35913" s="23"/>
    </row>
    <row r="35914">
      <c r="B35914" s="19"/>
      <c r="E35914" s="23"/>
      <c r="L35914" s="23"/>
    </row>
    <row r="35915">
      <c r="B35915" s="19"/>
      <c r="E35915" s="23"/>
      <c r="L35915" s="23"/>
    </row>
    <row r="35916">
      <c r="B35916" s="19"/>
      <c r="E35916" s="23"/>
      <c r="L35916" s="23"/>
    </row>
    <row r="35917">
      <c r="B35917" s="19"/>
      <c r="E35917" s="23"/>
      <c r="L35917" s="23"/>
    </row>
    <row r="35918">
      <c r="B35918" s="19"/>
      <c r="E35918" s="23"/>
      <c r="L35918" s="23"/>
    </row>
    <row r="35919">
      <c r="B35919" s="19"/>
      <c r="E35919" s="23"/>
      <c r="L35919" s="23"/>
    </row>
    <row r="35920">
      <c r="B35920" s="19"/>
      <c r="E35920" s="23"/>
      <c r="L35920" s="23"/>
    </row>
    <row r="35921">
      <c r="B35921" s="19"/>
      <c r="E35921" s="23"/>
      <c r="L35921" s="23"/>
    </row>
    <row r="35922">
      <c r="B35922" s="19"/>
      <c r="E35922" s="23"/>
      <c r="L35922" s="23"/>
    </row>
    <row r="35923">
      <c r="B35923" s="19"/>
      <c r="E35923" s="23"/>
      <c r="L35923" s="23"/>
    </row>
    <row r="35924">
      <c r="B35924" s="19"/>
      <c r="E35924" s="23"/>
      <c r="L35924" s="23"/>
    </row>
    <row r="35925">
      <c r="B35925" s="19"/>
      <c r="E35925" s="23"/>
      <c r="L35925" s="23"/>
    </row>
    <row r="35926">
      <c r="B35926" s="19"/>
      <c r="E35926" s="23"/>
      <c r="L35926" s="23"/>
    </row>
    <row r="35927">
      <c r="B35927" s="19"/>
      <c r="E35927" s="23"/>
      <c r="L35927" s="23"/>
    </row>
    <row r="35928">
      <c r="B35928" s="19"/>
      <c r="E35928" s="23"/>
      <c r="L35928" s="23"/>
    </row>
    <row r="35929">
      <c r="B35929" s="19"/>
      <c r="E35929" s="23"/>
      <c r="L35929" s="23"/>
    </row>
    <row r="35930">
      <c r="B35930" s="19"/>
      <c r="E35930" s="23"/>
      <c r="L35930" s="23"/>
    </row>
    <row r="35931">
      <c r="B35931" s="19"/>
      <c r="E35931" s="23"/>
      <c r="L35931" s="23"/>
    </row>
    <row r="35932">
      <c r="B35932" s="19"/>
      <c r="E35932" s="23"/>
      <c r="L35932" s="23"/>
    </row>
    <row r="35933">
      <c r="B35933" s="19"/>
      <c r="E35933" s="23"/>
      <c r="L35933" s="23"/>
    </row>
    <row r="35934">
      <c r="B35934" s="19"/>
      <c r="E35934" s="23"/>
      <c r="L35934" s="23"/>
    </row>
    <row r="35935">
      <c r="B35935" s="19"/>
      <c r="E35935" s="23"/>
      <c r="L35935" s="23"/>
    </row>
    <row r="35936">
      <c r="B35936" s="19"/>
      <c r="E35936" s="23"/>
      <c r="L35936" s="23"/>
    </row>
    <row r="35937">
      <c r="B35937" s="19"/>
      <c r="E35937" s="23"/>
      <c r="L35937" s="23"/>
    </row>
    <row r="35938">
      <c r="B35938" s="19"/>
      <c r="E35938" s="23"/>
      <c r="L35938" s="23"/>
    </row>
    <row r="35939">
      <c r="B35939" s="19"/>
      <c r="E35939" s="23"/>
      <c r="L35939" s="23"/>
    </row>
    <row r="35940">
      <c r="B35940" s="19"/>
      <c r="E35940" s="23"/>
      <c r="L35940" s="23"/>
    </row>
    <row r="35941">
      <c r="B35941" s="19"/>
      <c r="E35941" s="23"/>
      <c r="L35941" s="23"/>
    </row>
    <row r="35942">
      <c r="B35942" s="19"/>
      <c r="E35942" s="23"/>
      <c r="L35942" s="23"/>
    </row>
    <row r="35943">
      <c r="B35943" s="19"/>
      <c r="E35943" s="23"/>
      <c r="L35943" s="23"/>
    </row>
    <row r="35944">
      <c r="B35944" s="19"/>
      <c r="E35944" s="23"/>
      <c r="L35944" s="23"/>
    </row>
    <row r="35945">
      <c r="B35945" s="19"/>
      <c r="E35945" s="23"/>
      <c r="L35945" s="23"/>
    </row>
    <row r="35946">
      <c r="B35946" s="19"/>
      <c r="E35946" s="23"/>
      <c r="L35946" s="23"/>
    </row>
    <row r="35947">
      <c r="B35947" s="19"/>
      <c r="E35947" s="23"/>
      <c r="L35947" s="23"/>
    </row>
    <row r="35948">
      <c r="B35948" s="19"/>
      <c r="E35948" s="23"/>
      <c r="L35948" s="23"/>
    </row>
    <row r="35949">
      <c r="B35949" s="19"/>
      <c r="E35949" s="23"/>
      <c r="L35949" s="23"/>
    </row>
    <row r="35950">
      <c r="B35950" s="19"/>
      <c r="E35950" s="23"/>
      <c r="L35950" s="23"/>
    </row>
    <row r="35951">
      <c r="B35951" s="19"/>
      <c r="E35951" s="23"/>
      <c r="L35951" s="23"/>
    </row>
    <row r="35952">
      <c r="B35952" s="19"/>
      <c r="E35952" s="23"/>
      <c r="L35952" s="23"/>
    </row>
    <row r="35953">
      <c r="B35953" s="19"/>
      <c r="E35953" s="23"/>
      <c r="L35953" s="23"/>
    </row>
    <row r="35954">
      <c r="B35954" s="19"/>
      <c r="E35954" s="23"/>
      <c r="L35954" s="23"/>
    </row>
    <row r="35955">
      <c r="B35955" s="19"/>
      <c r="E35955" s="23"/>
      <c r="L35955" s="23"/>
    </row>
    <row r="35956">
      <c r="B35956" s="19"/>
      <c r="E35956" s="23"/>
      <c r="L35956" s="23"/>
    </row>
    <row r="35957">
      <c r="B35957" s="19"/>
      <c r="E35957" s="23"/>
      <c r="L35957" s="23"/>
    </row>
    <row r="35958">
      <c r="B35958" s="19"/>
      <c r="E35958" s="23"/>
      <c r="L35958" s="23"/>
    </row>
    <row r="35959">
      <c r="B35959" s="19"/>
      <c r="E35959" s="23"/>
      <c r="L35959" s="23"/>
    </row>
    <row r="35960">
      <c r="B35960" s="19"/>
      <c r="E35960" s="23"/>
      <c r="L35960" s="23"/>
    </row>
    <row r="35961">
      <c r="B35961" s="19"/>
      <c r="E35961" s="23"/>
      <c r="L35961" s="23"/>
    </row>
    <row r="35962">
      <c r="B35962" s="19"/>
      <c r="E35962" s="23"/>
      <c r="L35962" s="23"/>
    </row>
    <row r="35963">
      <c r="B35963" s="19"/>
      <c r="E35963" s="23"/>
      <c r="L35963" s="23"/>
    </row>
    <row r="35964">
      <c r="B35964" s="19"/>
      <c r="E35964" s="23"/>
      <c r="L35964" s="23"/>
    </row>
    <row r="35965">
      <c r="B35965" s="19"/>
      <c r="E35965" s="23"/>
      <c r="L35965" s="23"/>
    </row>
    <row r="35966">
      <c r="B35966" s="19"/>
      <c r="E35966" s="23"/>
      <c r="L35966" s="23"/>
    </row>
    <row r="35967">
      <c r="B35967" s="19"/>
      <c r="E35967" s="23"/>
      <c r="L35967" s="23"/>
    </row>
    <row r="35968">
      <c r="B35968" s="19"/>
      <c r="E35968" s="23"/>
      <c r="L35968" s="23"/>
    </row>
    <row r="35969">
      <c r="B35969" s="19"/>
      <c r="E35969" s="23"/>
      <c r="L35969" s="23"/>
    </row>
    <row r="35970">
      <c r="B35970" s="19"/>
      <c r="E35970" s="23"/>
      <c r="L35970" s="23"/>
    </row>
    <row r="35971">
      <c r="B35971" s="19"/>
      <c r="E35971" s="23"/>
      <c r="L35971" s="23"/>
    </row>
    <row r="35972">
      <c r="B35972" s="19"/>
      <c r="E35972" s="23"/>
      <c r="L35972" s="23"/>
    </row>
    <row r="35973">
      <c r="B35973" s="19"/>
      <c r="E35973" s="23"/>
      <c r="L35973" s="23"/>
    </row>
    <row r="35974">
      <c r="B35974" s="19"/>
      <c r="E35974" s="23"/>
      <c r="L35974" s="23"/>
    </row>
    <row r="35975">
      <c r="B35975" s="19"/>
      <c r="E35975" s="23"/>
      <c r="L35975" s="23"/>
    </row>
    <row r="35976">
      <c r="B35976" s="19"/>
      <c r="E35976" s="23"/>
      <c r="L35976" s="23"/>
    </row>
    <row r="35977">
      <c r="B35977" s="19"/>
      <c r="E35977" s="23"/>
      <c r="L35977" s="23"/>
    </row>
    <row r="35978">
      <c r="B35978" s="19"/>
      <c r="E35978" s="23"/>
      <c r="L35978" s="23"/>
    </row>
    <row r="35979">
      <c r="B35979" s="19"/>
      <c r="E35979" s="23"/>
      <c r="L35979" s="23"/>
    </row>
    <row r="35980">
      <c r="B35980" s="19"/>
      <c r="E35980" s="23"/>
      <c r="L35980" s="23"/>
    </row>
    <row r="35981">
      <c r="B35981" s="19"/>
      <c r="E35981" s="23"/>
      <c r="L35981" s="23"/>
    </row>
    <row r="35982">
      <c r="B35982" s="19"/>
      <c r="E35982" s="23"/>
      <c r="L35982" s="23"/>
    </row>
    <row r="35983">
      <c r="B35983" s="19"/>
      <c r="E35983" s="23"/>
      <c r="L35983" s="23"/>
    </row>
    <row r="35984">
      <c r="B35984" s="19"/>
      <c r="E35984" s="23"/>
      <c r="L35984" s="23"/>
    </row>
    <row r="35985">
      <c r="B35985" s="19"/>
      <c r="E35985" s="23"/>
      <c r="L35985" s="23"/>
    </row>
    <row r="35986">
      <c r="B35986" s="19"/>
      <c r="E35986" s="23"/>
      <c r="L35986" s="23"/>
    </row>
    <row r="35987">
      <c r="B35987" s="19"/>
      <c r="E35987" s="23"/>
      <c r="L35987" s="23"/>
    </row>
    <row r="35988">
      <c r="B35988" s="19"/>
      <c r="E35988" s="23"/>
      <c r="L35988" s="23"/>
    </row>
    <row r="35989">
      <c r="B35989" s="19"/>
      <c r="E35989" s="23"/>
      <c r="L35989" s="23"/>
    </row>
    <row r="35990">
      <c r="B35990" s="19"/>
      <c r="E35990" s="23"/>
      <c r="L35990" s="23"/>
    </row>
    <row r="35991">
      <c r="B35991" s="19"/>
      <c r="E35991" s="23"/>
      <c r="L35991" s="23"/>
    </row>
    <row r="35992">
      <c r="B35992" s="19"/>
      <c r="E35992" s="23"/>
      <c r="L35992" s="23"/>
    </row>
    <row r="35993">
      <c r="B35993" s="19"/>
      <c r="E35993" s="23"/>
      <c r="L35993" s="23"/>
    </row>
    <row r="35994">
      <c r="B35994" s="19"/>
      <c r="E35994" s="23"/>
      <c r="L35994" s="23"/>
    </row>
    <row r="35995">
      <c r="B35995" s="19"/>
      <c r="E35995" s="23"/>
      <c r="L35995" s="23"/>
    </row>
    <row r="35996">
      <c r="B35996" s="19"/>
      <c r="E35996" s="23"/>
      <c r="L35996" s="23"/>
    </row>
    <row r="35997">
      <c r="B35997" s="19"/>
      <c r="E35997" s="23"/>
      <c r="L35997" s="23"/>
    </row>
    <row r="35998">
      <c r="B35998" s="19"/>
      <c r="E35998" s="23"/>
      <c r="L35998" s="23"/>
    </row>
    <row r="35999">
      <c r="B35999" s="19"/>
      <c r="E35999" s="23"/>
      <c r="L35999" s="23"/>
    </row>
    <row r="36000">
      <c r="B36000" s="19"/>
      <c r="E36000" s="23"/>
      <c r="L36000" s="23"/>
    </row>
    <row r="36001">
      <c r="B36001" s="19"/>
      <c r="E36001" s="23"/>
      <c r="L36001" s="23"/>
    </row>
    <row r="36002">
      <c r="B36002" s="19"/>
      <c r="E36002" s="23"/>
      <c r="L36002" s="23"/>
    </row>
    <row r="36003">
      <c r="B36003" s="19"/>
      <c r="E36003" s="23"/>
      <c r="L36003" s="23"/>
    </row>
    <row r="36004">
      <c r="B36004" s="19"/>
      <c r="E36004" s="23"/>
      <c r="L36004" s="23"/>
    </row>
    <row r="36005">
      <c r="B36005" s="19"/>
      <c r="E36005" s="23"/>
      <c r="L36005" s="23"/>
    </row>
    <row r="36006">
      <c r="B36006" s="19"/>
      <c r="E36006" s="23"/>
      <c r="L36006" s="23"/>
    </row>
    <row r="36007">
      <c r="B36007" s="19"/>
      <c r="E36007" s="23"/>
      <c r="L36007" s="23"/>
    </row>
    <row r="36008">
      <c r="B36008" s="19"/>
      <c r="E36008" s="23"/>
      <c r="L36008" s="23"/>
    </row>
    <row r="36009">
      <c r="B36009" s="19"/>
      <c r="E36009" s="23"/>
      <c r="L36009" s="23"/>
    </row>
    <row r="36010">
      <c r="B36010" s="19"/>
      <c r="E36010" s="23"/>
      <c r="L36010" s="23"/>
    </row>
    <row r="36011">
      <c r="B36011" s="19"/>
      <c r="E36011" s="23"/>
      <c r="L36011" s="23"/>
    </row>
    <row r="36012">
      <c r="B36012" s="19"/>
      <c r="E36012" s="23"/>
      <c r="L36012" s="23"/>
    </row>
    <row r="36013">
      <c r="B36013" s="19"/>
      <c r="E36013" s="23"/>
      <c r="L36013" s="23"/>
    </row>
    <row r="36014">
      <c r="B36014" s="19"/>
      <c r="E36014" s="23"/>
      <c r="L36014" s="23"/>
    </row>
    <row r="36015">
      <c r="B36015" s="19"/>
      <c r="E36015" s="23"/>
      <c r="L36015" s="23"/>
    </row>
    <row r="36016">
      <c r="B36016" s="19"/>
      <c r="E36016" s="23"/>
      <c r="L36016" s="23"/>
    </row>
    <row r="36017">
      <c r="B36017" s="19"/>
      <c r="E36017" s="23"/>
      <c r="L36017" s="23"/>
    </row>
    <row r="36018">
      <c r="B36018" s="19"/>
      <c r="E36018" s="23"/>
      <c r="L36018" s="23"/>
    </row>
    <row r="36019">
      <c r="B36019" s="19"/>
      <c r="E36019" s="23"/>
      <c r="L36019" s="23"/>
    </row>
    <row r="36020">
      <c r="B36020" s="19"/>
      <c r="E36020" s="23"/>
      <c r="L36020" s="23"/>
    </row>
    <row r="36021">
      <c r="B36021" s="19"/>
      <c r="E36021" s="23"/>
      <c r="L36021" s="23"/>
    </row>
    <row r="36022">
      <c r="B36022" s="19"/>
      <c r="E36022" s="23"/>
      <c r="L36022" s="23"/>
    </row>
    <row r="36023">
      <c r="B36023" s="19"/>
      <c r="E36023" s="23"/>
      <c r="L36023" s="23"/>
    </row>
    <row r="36024">
      <c r="B36024" s="19"/>
      <c r="E36024" s="23"/>
      <c r="L36024" s="23"/>
    </row>
    <row r="36025">
      <c r="B36025" s="19"/>
      <c r="E36025" s="23"/>
      <c r="L36025" s="23"/>
    </row>
    <row r="36026">
      <c r="B36026" s="19"/>
      <c r="E36026" s="23"/>
      <c r="L36026" s="23"/>
    </row>
    <row r="36027">
      <c r="B36027" s="19"/>
      <c r="E36027" s="23"/>
      <c r="L36027" s="23"/>
    </row>
    <row r="36028">
      <c r="B36028" s="19"/>
      <c r="E36028" s="23"/>
      <c r="L36028" s="23"/>
    </row>
    <row r="36029">
      <c r="B36029" s="19"/>
      <c r="E36029" s="23"/>
      <c r="L36029" s="23"/>
    </row>
    <row r="36030">
      <c r="B36030" s="19"/>
      <c r="E36030" s="23"/>
      <c r="L36030" s="23"/>
    </row>
    <row r="36031">
      <c r="B36031" s="19"/>
      <c r="E36031" s="23"/>
      <c r="L36031" s="23"/>
    </row>
    <row r="36032">
      <c r="B36032" s="19"/>
      <c r="E36032" s="23"/>
      <c r="L36032" s="23"/>
    </row>
    <row r="36033">
      <c r="B36033" s="19"/>
      <c r="E36033" s="23"/>
      <c r="L36033" s="23"/>
    </row>
    <row r="36034">
      <c r="B36034" s="19"/>
      <c r="E36034" s="23"/>
      <c r="L36034" s="23"/>
    </row>
    <row r="36035">
      <c r="B36035" s="19"/>
      <c r="E36035" s="23"/>
      <c r="L36035" s="23"/>
    </row>
    <row r="36036">
      <c r="B36036" s="19"/>
      <c r="E36036" s="23"/>
      <c r="L36036" s="23"/>
    </row>
    <row r="36037">
      <c r="B36037" s="19"/>
      <c r="E36037" s="23"/>
      <c r="L36037" s="23"/>
    </row>
    <row r="36038">
      <c r="B36038" s="19"/>
      <c r="E36038" s="23"/>
      <c r="L36038" s="23"/>
    </row>
    <row r="36039">
      <c r="B36039" s="19"/>
      <c r="E36039" s="23"/>
      <c r="L36039" s="23"/>
    </row>
    <row r="36040">
      <c r="B36040" s="19"/>
      <c r="E36040" s="23"/>
      <c r="L36040" s="23"/>
    </row>
    <row r="36041">
      <c r="B36041" s="19"/>
      <c r="E36041" s="23"/>
      <c r="L36041" s="23"/>
    </row>
    <row r="36042">
      <c r="B36042" s="19"/>
      <c r="E36042" s="23"/>
      <c r="L36042" s="23"/>
    </row>
    <row r="36043">
      <c r="B36043" s="19"/>
      <c r="E36043" s="23"/>
      <c r="L36043" s="23"/>
    </row>
    <row r="36044">
      <c r="B36044" s="19"/>
      <c r="E36044" s="23"/>
      <c r="L36044" s="23"/>
    </row>
    <row r="36045">
      <c r="B36045" s="19"/>
      <c r="E36045" s="23"/>
      <c r="L36045" s="23"/>
    </row>
    <row r="36046">
      <c r="B36046" s="19"/>
      <c r="E36046" s="23"/>
      <c r="L36046" s="23"/>
    </row>
    <row r="36047">
      <c r="B36047" s="19"/>
      <c r="E36047" s="23"/>
      <c r="L36047" s="23"/>
    </row>
    <row r="36048">
      <c r="B36048" s="19"/>
      <c r="E36048" s="23"/>
      <c r="L36048" s="23"/>
    </row>
    <row r="36049">
      <c r="B36049" s="19"/>
      <c r="E36049" s="23"/>
      <c r="L36049" s="23"/>
    </row>
    <row r="36050">
      <c r="B36050" s="19"/>
      <c r="E36050" s="23"/>
      <c r="L36050" s="23"/>
    </row>
    <row r="36051">
      <c r="B36051" s="19"/>
      <c r="E36051" s="23"/>
      <c r="L36051" s="23"/>
    </row>
    <row r="36052">
      <c r="B36052" s="19"/>
      <c r="E36052" s="23"/>
      <c r="L36052" s="23"/>
    </row>
    <row r="36053">
      <c r="B36053" s="19"/>
      <c r="E36053" s="23"/>
      <c r="L36053" s="23"/>
    </row>
    <row r="36054">
      <c r="B36054" s="19"/>
      <c r="E36054" s="23"/>
      <c r="L36054" s="23"/>
    </row>
    <row r="36055">
      <c r="B36055" s="19"/>
      <c r="E36055" s="23"/>
      <c r="L36055" s="23"/>
    </row>
    <row r="36056">
      <c r="B36056" s="19"/>
      <c r="E36056" s="23"/>
      <c r="L36056" s="23"/>
    </row>
    <row r="36057">
      <c r="B36057" s="19"/>
      <c r="E36057" s="23"/>
      <c r="L36057" s="23"/>
    </row>
    <row r="36058">
      <c r="B36058" s="19"/>
      <c r="E36058" s="23"/>
      <c r="L36058" s="23"/>
    </row>
    <row r="36059">
      <c r="B36059" s="19"/>
      <c r="E36059" s="23"/>
      <c r="L36059" s="23"/>
    </row>
    <row r="36060">
      <c r="B36060" s="19"/>
      <c r="E36060" s="23"/>
      <c r="L36060" s="23"/>
    </row>
    <row r="36061">
      <c r="B36061" s="19"/>
      <c r="E36061" s="23"/>
      <c r="L36061" s="23"/>
    </row>
    <row r="36062">
      <c r="B36062" s="19"/>
      <c r="E36062" s="23"/>
      <c r="L36062" s="23"/>
    </row>
    <row r="36063">
      <c r="B36063" s="19"/>
      <c r="E36063" s="23"/>
      <c r="L36063" s="23"/>
    </row>
    <row r="36064">
      <c r="B36064" s="19"/>
      <c r="E36064" s="23"/>
      <c r="L36064" s="23"/>
    </row>
    <row r="36065">
      <c r="B36065" s="19"/>
      <c r="E36065" s="23"/>
      <c r="L36065" s="23"/>
    </row>
    <row r="36066">
      <c r="B36066" s="19"/>
      <c r="E36066" s="23"/>
      <c r="L36066" s="23"/>
    </row>
    <row r="36067">
      <c r="B36067" s="19"/>
      <c r="E36067" s="23"/>
      <c r="L36067" s="23"/>
    </row>
    <row r="36068">
      <c r="B36068" s="19"/>
      <c r="E36068" s="23"/>
      <c r="L36068" s="23"/>
    </row>
    <row r="36069">
      <c r="B36069" s="19"/>
      <c r="E36069" s="23"/>
      <c r="L36069" s="23"/>
    </row>
    <row r="36070">
      <c r="B36070" s="19"/>
      <c r="E36070" s="23"/>
      <c r="L36070" s="23"/>
    </row>
    <row r="36071">
      <c r="B36071" s="19"/>
      <c r="E36071" s="23"/>
      <c r="L36071" s="23"/>
    </row>
    <row r="36072">
      <c r="B36072" s="19"/>
      <c r="E36072" s="23"/>
      <c r="L36072" s="23"/>
    </row>
    <row r="36073">
      <c r="B36073" s="19"/>
      <c r="E36073" s="23"/>
      <c r="L36073" s="23"/>
    </row>
    <row r="36074">
      <c r="B36074" s="19"/>
      <c r="E36074" s="23"/>
      <c r="L36074" s="23"/>
    </row>
    <row r="36075">
      <c r="B36075" s="19"/>
      <c r="E36075" s="23"/>
      <c r="L36075" s="23"/>
    </row>
    <row r="36076">
      <c r="B36076" s="19"/>
      <c r="E36076" s="23"/>
      <c r="L36076" s="23"/>
    </row>
    <row r="36077">
      <c r="B36077" s="19"/>
      <c r="E36077" s="23"/>
      <c r="L36077" s="23"/>
    </row>
    <row r="36078">
      <c r="B36078" s="19"/>
      <c r="E36078" s="23"/>
      <c r="L36078" s="23"/>
    </row>
    <row r="36079">
      <c r="B36079" s="19"/>
      <c r="E36079" s="23"/>
      <c r="L36079" s="23"/>
    </row>
    <row r="36080">
      <c r="B36080" s="19"/>
      <c r="E36080" s="23"/>
      <c r="L36080" s="23"/>
    </row>
    <row r="36081">
      <c r="B36081" s="19"/>
      <c r="E36081" s="23"/>
      <c r="L36081" s="23"/>
    </row>
    <row r="36082">
      <c r="B36082" s="19"/>
      <c r="E36082" s="23"/>
      <c r="L36082" s="23"/>
    </row>
    <row r="36083">
      <c r="B36083" s="19"/>
      <c r="E36083" s="23"/>
      <c r="L36083" s="23"/>
    </row>
    <row r="36084">
      <c r="B36084" s="19"/>
      <c r="E36084" s="23"/>
      <c r="L36084" s="23"/>
    </row>
    <row r="36085">
      <c r="B36085" s="19"/>
      <c r="E36085" s="23"/>
      <c r="L36085" s="23"/>
    </row>
    <row r="36086">
      <c r="B36086" s="19"/>
      <c r="E36086" s="23"/>
      <c r="L36086" s="23"/>
    </row>
    <row r="36087">
      <c r="B36087" s="19"/>
      <c r="E36087" s="23"/>
      <c r="L36087" s="23"/>
    </row>
    <row r="36088">
      <c r="B36088" s="19"/>
      <c r="E36088" s="23"/>
      <c r="L36088" s="23"/>
    </row>
    <row r="36089">
      <c r="B36089" s="19"/>
      <c r="E36089" s="23"/>
      <c r="L36089" s="23"/>
    </row>
    <row r="36090">
      <c r="B36090" s="19"/>
      <c r="E36090" s="23"/>
      <c r="L36090" s="23"/>
    </row>
    <row r="36091">
      <c r="B36091" s="19"/>
      <c r="E36091" s="23"/>
      <c r="L36091" s="23"/>
    </row>
    <row r="36092">
      <c r="B36092" s="19"/>
      <c r="E36092" s="23"/>
      <c r="L36092" s="23"/>
    </row>
    <row r="36093">
      <c r="B36093" s="19"/>
      <c r="E36093" s="23"/>
      <c r="L36093" s="23"/>
    </row>
    <row r="36094">
      <c r="B36094" s="19"/>
      <c r="E36094" s="23"/>
      <c r="L36094" s="23"/>
    </row>
    <row r="36095">
      <c r="B36095" s="19"/>
      <c r="E36095" s="23"/>
      <c r="L36095" s="23"/>
    </row>
    <row r="36096">
      <c r="B36096" s="19"/>
      <c r="E36096" s="23"/>
      <c r="L36096" s="23"/>
    </row>
    <row r="36097">
      <c r="B36097" s="19"/>
      <c r="E36097" s="23"/>
      <c r="L36097" s="23"/>
    </row>
    <row r="36098">
      <c r="B36098" s="19"/>
      <c r="E36098" s="23"/>
      <c r="L36098" s="23"/>
    </row>
    <row r="36099">
      <c r="B36099" s="19"/>
      <c r="E36099" s="23"/>
      <c r="L36099" s="23"/>
    </row>
    <row r="36100">
      <c r="B36100" s="19"/>
      <c r="E36100" s="23"/>
      <c r="L36100" s="23"/>
    </row>
    <row r="36101">
      <c r="B36101" s="19"/>
      <c r="E36101" s="23"/>
      <c r="L36101" s="23"/>
    </row>
    <row r="36102">
      <c r="B36102" s="19"/>
      <c r="E36102" s="23"/>
      <c r="L36102" s="23"/>
    </row>
    <row r="36103">
      <c r="B36103" s="19"/>
      <c r="E36103" s="23"/>
      <c r="L36103" s="23"/>
    </row>
    <row r="36104">
      <c r="B36104" s="19"/>
      <c r="E36104" s="23"/>
      <c r="L36104" s="23"/>
    </row>
    <row r="36105">
      <c r="B36105" s="19"/>
      <c r="E36105" s="23"/>
      <c r="L36105" s="23"/>
    </row>
    <row r="36106">
      <c r="B36106" s="19"/>
      <c r="E36106" s="23"/>
      <c r="L36106" s="23"/>
    </row>
    <row r="36107">
      <c r="B36107" s="19"/>
      <c r="E36107" s="23"/>
      <c r="L36107" s="23"/>
    </row>
    <row r="36108">
      <c r="B36108" s="19"/>
      <c r="E36108" s="23"/>
      <c r="L36108" s="23"/>
    </row>
    <row r="36109">
      <c r="B36109" s="19"/>
      <c r="E36109" s="23"/>
      <c r="L36109" s="23"/>
    </row>
    <row r="36110">
      <c r="B36110" s="19"/>
      <c r="E36110" s="23"/>
      <c r="L36110" s="23"/>
    </row>
    <row r="36111">
      <c r="B36111" s="19"/>
      <c r="E36111" s="23"/>
      <c r="L36111" s="23"/>
    </row>
    <row r="36112">
      <c r="B36112" s="19"/>
      <c r="E36112" s="23"/>
      <c r="L36112" s="23"/>
    </row>
    <row r="36113">
      <c r="B36113" s="19"/>
      <c r="E36113" s="23"/>
      <c r="L36113" s="23"/>
    </row>
    <row r="36114">
      <c r="B36114" s="19"/>
      <c r="E36114" s="23"/>
      <c r="L36114" s="23"/>
    </row>
    <row r="36115">
      <c r="B36115" s="19"/>
      <c r="E36115" s="23"/>
      <c r="L36115" s="23"/>
    </row>
    <row r="36116">
      <c r="B36116" s="19"/>
      <c r="E36116" s="23"/>
      <c r="L36116" s="23"/>
    </row>
    <row r="36117">
      <c r="B36117" s="19"/>
      <c r="E36117" s="23"/>
      <c r="L36117" s="23"/>
    </row>
    <row r="36118">
      <c r="B36118" s="19"/>
      <c r="E36118" s="23"/>
      <c r="L36118" s="23"/>
    </row>
    <row r="36119">
      <c r="B36119" s="19"/>
      <c r="E36119" s="23"/>
      <c r="L36119" s="23"/>
    </row>
    <row r="36120">
      <c r="B36120" s="19"/>
      <c r="E36120" s="23"/>
      <c r="L36120" s="23"/>
    </row>
    <row r="36121">
      <c r="B36121" s="19"/>
      <c r="E36121" s="23"/>
      <c r="L36121" s="23"/>
    </row>
    <row r="36122">
      <c r="B36122" s="19"/>
      <c r="E36122" s="23"/>
      <c r="L36122" s="23"/>
    </row>
    <row r="36123">
      <c r="B36123" s="19"/>
      <c r="E36123" s="23"/>
      <c r="L36123" s="23"/>
    </row>
    <row r="36124">
      <c r="B36124" s="19"/>
      <c r="E36124" s="23"/>
      <c r="L36124" s="23"/>
    </row>
    <row r="36125">
      <c r="B36125" s="19"/>
      <c r="E36125" s="23"/>
      <c r="L36125" s="23"/>
    </row>
    <row r="36126">
      <c r="B36126" s="19"/>
      <c r="E36126" s="23"/>
      <c r="L36126" s="23"/>
    </row>
    <row r="36127">
      <c r="B36127" s="19"/>
      <c r="E36127" s="23"/>
      <c r="L36127" s="23"/>
    </row>
    <row r="36128">
      <c r="B36128" s="19"/>
      <c r="E36128" s="23"/>
      <c r="L36128" s="23"/>
    </row>
    <row r="36129">
      <c r="B36129" s="19"/>
      <c r="E36129" s="23"/>
      <c r="L36129" s="23"/>
    </row>
    <row r="36130">
      <c r="B36130" s="19"/>
      <c r="E36130" s="23"/>
      <c r="L36130" s="23"/>
    </row>
    <row r="36131">
      <c r="B36131" s="19"/>
      <c r="E36131" s="23"/>
      <c r="L36131" s="23"/>
    </row>
    <row r="36132">
      <c r="B36132" s="19"/>
      <c r="E36132" s="23"/>
      <c r="L36132" s="23"/>
    </row>
    <row r="36133">
      <c r="B36133" s="19"/>
      <c r="E36133" s="23"/>
      <c r="L36133" s="23"/>
    </row>
    <row r="36134">
      <c r="B36134" s="19"/>
      <c r="E36134" s="23"/>
      <c r="L36134" s="23"/>
    </row>
    <row r="36135">
      <c r="B36135" s="19"/>
      <c r="E36135" s="23"/>
      <c r="L36135" s="23"/>
    </row>
    <row r="36136">
      <c r="B36136" s="19"/>
      <c r="E36136" s="23"/>
      <c r="L36136" s="23"/>
    </row>
    <row r="36137">
      <c r="B36137" s="19"/>
      <c r="E36137" s="23"/>
      <c r="L36137" s="23"/>
    </row>
    <row r="36138">
      <c r="B36138" s="19"/>
      <c r="E36138" s="23"/>
      <c r="L36138" s="23"/>
    </row>
    <row r="36139">
      <c r="B36139" s="19"/>
      <c r="E36139" s="23"/>
      <c r="L36139" s="23"/>
    </row>
    <row r="36140">
      <c r="B36140" s="19"/>
      <c r="E36140" s="23"/>
      <c r="L36140" s="23"/>
    </row>
    <row r="36141">
      <c r="B36141" s="19"/>
      <c r="E36141" s="23"/>
      <c r="L36141" s="23"/>
    </row>
    <row r="36142">
      <c r="B36142" s="19"/>
      <c r="E36142" s="23"/>
      <c r="L36142" s="23"/>
    </row>
    <row r="36143">
      <c r="B36143" s="19"/>
      <c r="E36143" s="23"/>
      <c r="L36143" s="23"/>
    </row>
    <row r="36144">
      <c r="B36144" s="19"/>
      <c r="E36144" s="23"/>
      <c r="L36144" s="23"/>
    </row>
    <row r="36145">
      <c r="B36145" s="19"/>
      <c r="E36145" s="23"/>
      <c r="L36145" s="23"/>
    </row>
    <row r="36146">
      <c r="B36146" s="19"/>
      <c r="E36146" s="23"/>
      <c r="L36146" s="23"/>
    </row>
    <row r="36147">
      <c r="B36147" s="19"/>
      <c r="E36147" s="23"/>
      <c r="L36147" s="23"/>
    </row>
    <row r="36148">
      <c r="B36148" s="19"/>
      <c r="E36148" s="23"/>
      <c r="L36148" s="23"/>
    </row>
    <row r="36149">
      <c r="B36149" s="19"/>
      <c r="E36149" s="23"/>
      <c r="L36149" s="23"/>
    </row>
    <row r="36150">
      <c r="B36150" s="19"/>
      <c r="E36150" s="23"/>
      <c r="L36150" s="23"/>
    </row>
    <row r="36151">
      <c r="B36151" s="19"/>
      <c r="E36151" s="23"/>
      <c r="L36151" s="23"/>
    </row>
    <row r="36152">
      <c r="B36152" s="19"/>
      <c r="E36152" s="23"/>
      <c r="L36152" s="23"/>
    </row>
    <row r="36153">
      <c r="B36153" s="19"/>
      <c r="E36153" s="23"/>
      <c r="L36153" s="23"/>
    </row>
    <row r="36154">
      <c r="B36154" s="19"/>
      <c r="E36154" s="23"/>
      <c r="L36154" s="23"/>
    </row>
    <row r="36155">
      <c r="B36155" s="19"/>
      <c r="E36155" s="23"/>
      <c r="L36155" s="23"/>
    </row>
    <row r="36156">
      <c r="B36156" s="19"/>
      <c r="E36156" s="23"/>
      <c r="L36156" s="23"/>
    </row>
    <row r="36157">
      <c r="B36157" s="19"/>
      <c r="E36157" s="23"/>
      <c r="L36157" s="23"/>
    </row>
    <row r="36158">
      <c r="B36158" s="19"/>
      <c r="E36158" s="23"/>
      <c r="L36158" s="23"/>
    </row>
    <row r="36159">
      <c r="B36159" s="19"/>
      <c r="E36159" s="23"/>
      <c r="L36159" s="23"/>
    </row>
    <row r="36160">
      <c r="B36160" s="19"/>
      <c r="E36160" s="23"/>
      <c r="L36160" s="23"/>
    </row>
    <row r="36161">
      <c r="B36161" s="19"/>
      <c r="E36161" s="23"/>
      <c r="L36161" s="23"/>
    </row>
    <row r="36162">
      <c r="B36162" s="19"/>
      <c r="E36162" s="23"/>
      <c r="L36162" s="23"/>
    </row>
    <row r="36163">
      <c r="B36163" s="19"/>
      <c r="E36163" s="23"/>
      <c r="L36163" s="23"/>
    </row>
    <row r="36164">
      <c r="B36164" s="19"/>
      <c r="E36164" s="23"/>
      <c r="L36164" s="23"/>
    </row>
    <row r="36165">
      <c r="B36165" s="19"/>
      <c r="E36165" s="23"/>
      <c r="L36165" s="23"/>
    </row>
    <row r="36166">
      <c r="B36166" s="19"/>
      <c r="E36166" s="23"/>
      <c r="L36166" s="23"/>
    </row>
    <row r="36167">
      <c r="B36167" s="19"/>
      <c r="E36167" s="23"/>
      <c r="L36167" s="23"/>
    </row>
    <row r="36168">
      <c r="B36168" s="19"/>
      <c r="E36168" s="23"/>
      <c r="L36168" s="23"/>
    </row>
    <row r="36169">
      <c r="B36169" s="19"/>
      <c r="E36169" s="23"/>
      <c r="L36169" s="23"/>
    </row>
    <row r="36170">
      <c r="B36170" s="19"/>
      <c r="E36170" s="23"/>
      <c r="L36170" s="23"/>
    </row>
    <row r="36171">
      <c r="B36171" s="19"/>
      <c r="E36171" s="23"/>
      <c r="L36171" s="23"/>
    </row>
    <row r="36172">
      <c r="B36172" s="19"/>
      <c r="E36172" s="23"/>
      <c r="L36172" s="23"/>
    </row>
    <row r="36173">
      <c r="B36173" s="19"/>
      <c r="E36173" s="23"/>
      <c r="L36173" s="23"/>
    </row>
    <row r="36174">
      <c r="B36174" s="19"/>
      <c r="E36174" s="23"/>
      <c r="L36174" s="23"/>
    </row>
    <row r="36175">
      <c r="B36175" s="19"/>
      <c r="E36175" s="23"/>
      <c r="L36175" s="23"/>
    </row>
    <row r="36176">
      <c r="B36176" s="19"/>
      <c r="E36176" s="23"/>
      <c r="L36176" s="23"/>
    </row>
    <row r="36177">
      <c r="B36177" s="19"/>
      <c r="E36177" s="23"/>
      <c r="L36177" s="23"/>
    </row>
    <row r="36178">
      <c r="B36178" s="19"/>
      <c r="E36178" s="23"/>
      <c r="L36178" s="23"/>
    </row>
    <row r="36179">
      <c r="B36179" s="19"/>
      <c r="E36179" s="23"/>
      <c r="L36179" s="23"/>
    </row>
    <row r="36180">
      <c r="B36180" s="19"/>
      <c r="E36180" s="23"/>
      <c r="L36180" s="23"/>
    </row>
    <row r="36181">
      <c r="B36181" s="19"/>
      <c r="E36181" s="23"/>
      <c r="L36181" s="23"/>
    </row>
    <row r="36182">
      <c r="B36182" s="19"/>
      <c r="E36182" s="23"/>
      <c r="L36182" s="23"/>
    </row>
    <row r="36183">
      <c r="B36183" s="19"/>
      <c r="E36183" s="23"/>
      <c r="L36183" s="23"/>
    </row>
    <row r="36184">
      <c r="B36184" s="19"/>
      <c r="E36184" s="23"/>
      <c r="L36184" s="23"/>
    </row>
    <row r="36185">
      <c r="B36185" s="19"/>
      <c r="E36185" s="23"/>
      <c r="L36185" s="23"/>
    </row>
    <row r="36186">
      <c r="B36186" s="19"/>
      <c r="E36186" s="23"/>
      <c r="L36186" s="23"/>
    </row>
    <row r="36187">
      <c r="B36187" s="19"/>
      <c r="E36187" s="23"/>
      <c r="L36187" s="23"/>
    </row>
    <row r="36188">
      <c r="B36188" s="19"/>
      <c r="E36188" s="23"/>
      <c r="L36188" s="23"/>
    </row>
    <row r="36189">
      <c r="B36189" s="19"/>
      <c r="E36189" s="23"/>
      <c r="L36189" s="23"/>
    </row>
    <row r="36190">
      <c r="B36190" s="19"/>
      <c r="E36190" s="23"/>
      <c r="L36190" s="23"/>
    </row>
    <row r="36191">
      <c r="B36191" s="19"/>
      <c r="E36191" s="23"/>
      <c r="L36191" s="23"/>
    </row>
    <row r="36192">
      <c r="B36192" s="19"/>
      <c r="E36192" s="23"/>
      <c r="L36192" s="23"/>
    </row>
    <row r="36193">
      <c r="B36193" s="19"/>
      <c r="E36193" s="23"/>
      <c r="L36193" s="23"/>
    </row>
    <row r="36194">
      <c r="B36194" s="19"/>
      <c r="E36194" s="23"/>
      <c r="L36194" s="23"/>
    </row>
    <row r="36195">
      <c r="B36195" s="19"/>
      <c r="E36195" s="23"/>
      <c r="L36195" s="23"/>
    </row>
    <row r="36196">
      <c r="B36196" s="19"/>
      <c r="E36196" s="23"/>
      <c r="L36196" s="23"/>
    </row>
    <row r="36197">
      <c r="B36197" s="19"/>
      <c r="E36197" s="23"/>
      <c r="L36197" s="23"/>
    </row>
    <row r="36198">
      <c r="B36198" s="19"/>
      <c r="E36198" s="23"/>
      <c r="L36198" s="23"/>
    </row>
    <row r="36199">
      <c r="B36199" s="19"/>
      <c r="E36199" s="23"/>
      <c r="L36199" s="23"/>
    </row>
    <row r="36200">
      <c r="B36200" s="19"/>
      <c r="E36200" s="23"/>
      <c r="L36200" s="23"/>
    </row>
    <row r="36201">
      <c r="B36201" s="19"/>
      <c r="E36201" s="23"/>
      <c r="L36201" s="23"/>
    </row>
    <row r="36202">
      <c r="B36202" s="19"/>
      <c r="E36202" s="23"/>
      <c r="L36202" s="23"/>
    </row>
    <row r="36203">
      <c r="B36203" s="19"/>
      <c r="E36203" s="23"/>
      <c r="L36203" s="23"/>
    </row>
    <row r="36204">
      <c r="B36204" s="19"/>
      <c r="E36204" s="23"/>
      <c r="L36204" s="23"/>
    </row>
    <row r="36205">
      <c r="B36205" s="19"/>
      <c r="E36205" s="23"/>
      <c r="L36205" s="23"/>
    </row>
    <row r="36206">
      <c r="B36206" s="19"/>
      <c r="E36206" s="23"/>
      <c r="L36206" s="23"/>
    </row>
    <row r="36207">
      <c r="B36207" s="19"/>
      <c r="E36207" s="23"/>
      <c r="L36207" s="23"/>
    </row>
    <row r="36208">
      <c r="B36208" s="19"/>
      <c r="E36208" s="23"/>
      <c r="L36208" s="23"/>
    </row>
    <row r="36209">
      <c r="B36209" s="19"/>
      <c r="E36209" s="23"/>
      <c r="L36209" s="23"/>
    </row>
    <row r="36210">
      <c r="B36210" s="19"/>
      <c r="E36210" s="23"/>
      <c r="L36210" s="23"/>
    </row>
    <row r="36211">
      <c r="B36211" s="19"/>
      <c r="E36211" s="23"/>
      <c r="L36211" s="23"/>
    </row>
    <row r="36212">
      <c r="B36212" s="19"/>
      <c r="E36212" s="23"/>
      <c r="L36212" s="23"/>
    </row>
    <row r="36213">
      <c r="B36213" s="19"/>
      <c r="E36213" s="23"/>
      <c r="L36213" s="23"/>
    </row>
    <row r="36214">
      <c r="B36214" s="19"/>
      <c r="E36214" s="23"/>
      <c r="L36214" s="23"/>
    </row>
    <row r="36215">
      <c r="B36215" s="19"/>
      <c r="E36215" s="23"/>
      <c r="L36215" s="23"/>
    </row>
    <row r="36216">
      <c r="B36216" s="19"/>
      <c r="E36216" s="23"/>
      <c r="L36216" s="23"/>
    </row>
    <row r="36217">
      <c r="B36217" s="19"/>
      <c r="E36217" s="23"/>
      <c r="L36217" s="23"/>
    </row>
    <row r="36218">
      <c r="B36218" s="19"/>
      <c r="E36218" s="23"/>
      <c r="L36218" s="23"/>
    </row>
    <row r="36219">
      <c r="B36219" s="19"/>
      <c r="E36219" s="23"/>
      <c r="L36219" s="23"/>
    </row>
    <row r="36220">
      <c r="B36220" s="19"/>
      <c r="E36220" s="23"/>
      <c r="L36220" s="23"/>
    </row>
    <row r="36221">
      <c r="B36221" s="19"/>
      <c r="E36221" s="23"/>
      <c r="L36221" s="23"/>
    </row>
    <row r="36222">
      <c r="B36222" s="19"/>
      <c r="E36222" s="23"/>
      <c r="L36222" s="23"/>
    </row>
    <row r="36223">
      <c r="B36223" s="19"/>
      <c r="E36223" s="23"/>
      <c r="L36223" s="23"/>
    </row>
    <row r="36224">
      <c r="B36224" s="19"/>
      <c r="E36224" s="23"/>
      <c r="L36224" s="23"/>
    </row>
    <row r="36225">
      <c r="B36225" s="19"/>
      <c r="E36225" s="23"/>
      <c r="L36225" s="23"/>
    </row>
    <row r="36226">
      <c r="B36226" s="19"/>
      <c r="E36226" s="23"/>
      <c r="L36226" s="23"/>
    </row>
    <row r="36227">
      <c r="B36227" s="19"/>
      <c r="E36227" s="23"/>
      <c r="L36227" s="23"/>
    </row>
    <row r="36228">
      <c r="B36228" s="19"/>
      <c r="E36228" s="23"/>
      <c r="L36228" s="23"/>
    </row>
    <row r="36229">
      <c r="B36229" s="19"/>
      <c r="E36229" s="23"/>
      <c r="L36229" s="23"/>
    </row>
    <row r="36230">
      <c r="B36230" s="19"/>
      <c r="E36230" s="23"/>
      <c r="L36230" s="23"/>
    </row>
    <row r="36231">
      <c r="B36231" s="19"/>
      <c r="E36231" s="23"/>
      <c r="L36231" s="23"/>
    </row>
    <row r="36232">
      <c r="B36232" s="19"/>
      <c r="E36232" s="23"/>
      <c r="L36232" s="23"/>
    </row>
    <row r="36233">
      <c r="B36233" s="19"/>
      <c r="E36233" s="23"/>
      <c r="L36233" s="23"/>
    </row>
    <row r="36234">
      <c r="B36234" s="19"/>
      <c r="E36234" s="23"/>
      <c r="L36234" s="23"/>
    </row>
    <row r="36235">
      <c r="B36235" s="19"/>
      <c r="E36235" s="23"/>
      <c r="L36235" s="23"/>
    </row>
    <row r="36236">
      <c r="B36236" s="19"/>
      <c r="E36236" s="23"/>
      <c r="L36236" s="23"/>
    </row>
    <row r="36237">
      <c r="B36237" s="19"/>
      <c r="E36237" s="23"/>
      <c r="L36237" s="23"/>
    </row>
    <row r="36238">
      <c r="B36238" s="19"/>
      <c r="E36238" s="23"/>
      <c r="L36238" s="23"/>
    </row>
    <row r="36239">
      <c r="B36239" s="19"/>
      <c r="E36239" s="23"/>
      <c r="L36239" s="23"/>
    </row>
    <row r="36240">
      <c r="B36240" s="19"/>
      <c r="E36240" s="23"/>
      <c r="L36240" s="23"/>
    </row>
    <row r="36241">
      <c r="B36241" s="19"/>
      <c r="E36241" s="23"/>
      <c r="L36241" s="23"/>
    </row>
    <row r="36242">
      <c r="B36242" s="19"/>
      <c r="E36242" s="23"/>
      <c r="L36242" s="23"/>
    </row>
    <row r="36243">
      <c r="B36243" s="19"/>
      <c r="E36243" s="23"/>
      <c r="L36243" s="23"/>
    </row>
    <row r="36244">
      <c r="B36244" s="19"/>
      <c r="E36244" s="23"/>
      <c r="L36244" s="23"/>
    </row>
    <row r="36245">
      <c r="B36245" s="19"/>
      <c r="E36245" s="23"/>
      <c r="L36245" s="23"/>
    </row>
    <row r="36246">
      <c r="B36246" s="19"/>
      <c r="E36246" s="23"/>
      <c r="L36246" s="23"/>
    </row>
    <row r="36247">
      <c r="B36247" s="19"/>
      <c r="E36247" s="23"/>
      <c r="L36247" s="23"/>
    </row>
    <row r="36248">
      <c r="B36248" s="19"/>
      <c r="E36248" s="23"/>
      <c r="L36248" s="23"/>
    </row>
    <row r="36249">
      <c r="B36249" s="19"/>
      <c r="E36249" s="23"/>
      <c r="L36249" s="23"/>
    </row>
    <row r="36250">
      <c r="B36250" s="19"/>
      <c r="E36250" s="23"/>
      <c r="L36250" s="23"/>
    </row>
    <row r="36251">
      <c r="B36251" s="19"/>
      <c r="E36251" s="23"/>
      <c r="L36251" s="23"/>
    </row>
    <row r="36252">
      <c r="B36252" s="19"/>
      <c r="E36252" s="23"/>
      <c r="L36252" s="23"/>
    </row>
    <row r="36253">
      <c r="B36253" s="19"/>
      <c r="E36253" s="23"/>
      <c r="L36253" s="23"/>
    </row>
    <row r="36254">
      <c r="B36254" s="19"/>
      <c r="E36254" s="23"/>
      <c r="L36254" s="23"/>
    </row>
    <row r="36255">
      <c r="B36255" s="19"/>
      <c r="E36255" s="23"/>
      <c r="L36255" s="23"/>
    </row>
    <row r="36256">
      <c r="B36256" s="19"/>
      <c r="E36256" s="23"/>
      <c r="L36256" s="23"/>
    </row>
    <row r="36257">
      <c r="B36257" s="19"/>
      <c r="E36257" s="23"/>
      <c r="L36257" s="23"/>
    </row>
    <row r="36258">
      <c r="B36258" s="19"/>
      <c r="E36258" s="23"/>
      <c r="L36258" s="23"/>
    </row>
    <row r="36259">
      <c r="B36259" s="19"/>
      <c r="E36259" s="23"/>
      <c r="L36259" s="23"/>
    </row>
    <row r="36260">
      <c r="B36260" s="19"/>
      <c r="E36260" s="23"/>
      <c r="L36260" s="23"/>
    </row>
    <row r="36261">
      <c r="B36261" s="19"/>
      <c r="E36261" s="23"/>
      <c r="L36261" s="23"/>
    </row>
    <row r="36262">
      <c r="B36262" s="19"/>
      <c r="E36262" s="23"/>
      <c r="L36262" s="23"/>
    </row>
    <row r="36263">
      <c r="B36263" s="19"/>
      <c r="E36263" s="23"/>
      <c r="L36263" s="23"/>
    </row>
    <row r="36264">
      <c r="B36264" s="19"/>
      <c r="E36264" s="23"/>
      <c r="L36264" s="23"/>
    </row>
    <row r="36265">
      <c r="B36265" s="19"/>
      <c r="E36265" s="23"/>
      <c r="L36265" s="23"/>
    </row>
    <row r="36266">
      <c r="B36266" s="19"/>
      <c r="E36266" s="23"/>
      <c r="L36266" s="23"/>
    </row>
    <row r="36267">
      <c r="B36267" s="19"/>
      <c r="E36267" s="23"/>
      <c r="L36267" s="23"/>
    </row>
    <row r="36268">
      <c r="B36268" s="19"/>
      <c r="E36268" s="23"/>
      <c r="L36268" s="23"/>
    </row>
    <row r="36269">
      <c r="B36269" s="19"/>
      <c r="E36269" s="23"/>
      <c r="L36269" s="23"/>
    </row>
    <row r="36270">
      <c r="B36270" s="19"/>
      <c r="E36270" s="23"/>
      <c r="L36270" s="23"/>
    </row>
    <row r="36271">
      <c r="B36271" s="19"/>
      <c r="E36271" s="23"/>
      <c r="L36271" s="23"/>
    </row>
    <row r="36272">
      <c r="B36272" s="19"/>
      <c r="E36272" s="23"/>
      <c r="L36272" s="23"/>
    </row>
    <row r="36273">
      <c r="B36273" s="19"/>
      <c r="E36273" s="23"/>
      <c r="L36273" s="23"/>
    </row>
    <row r="36274">
      <c r="B36274" s="19"/>
      <c r="E36274" s="23"/>
      <c r="L36274" s="23"/>
    </row>
    <row r="36275">
      <c r="B36275" s="19"/>
      <c r="E36275" s="23"/>
      <c r="L36275" s="23"/>
    </row>
    <row r="36276">
      <c r="B36276" s="19"/>
      <c r="E36276" s="23"/>
      <c r="L36276" s="23"/>
    </row>
    <row r="36277">
      <c r="B36277" s="19"/>
      <c r="E36277" s="23"/>
      <c r="L36277" s="23"/>
    </row>
    <row r="36278">
      <c r="B36278" s="19"/>
      <c r="E36278" s="23"/>
      <c r="L36278" s="23"/>
    </row>
    <row r="36279">
      <c r="B36279" s="19"/>
      <c r="E36279" s="23"/>
      <c r="L36279" s="23"/>
    </row>
    <row r="36280">
      <c r="B36280" s="19"/>
      <c r="E36280" s="23"/>
      <c r="L36280" s="23"/>
    </row>
    <row r="36281">
      <c r="B36281" s="19"/>
      <c r="E36281" s="23"/>
      <c r="L36281" s="23"/>
    </row>
    <row r="36282">
      <c r="B36282" s="19"/>
      <c r="E36282" s="23"/>
      <c r="L36282" s="23"/>
    </row>
    <row r="36283">
      <c r="B36283" s="19"/>
      <c r="E36283" s="23"/>
      <c r="L36283" s="23"/>
    </row>
    <row r="36284">
      <c r="B36284" s="19"/>
      <c r="E36284" s="23"/>
      <c r="L36284" s="23"/>
    </row>
    <row r="36285">
      <c r="B36285" s="19"/>
      <c r="E36285" s="23"/>
      <c r="L36285" s="23"/>
    </row>
    <row r="36286">
      <c r="B36286" s="19"/>
      <c r="E36286" s="23"/>
      <c r="L36286" s="23"/>
    </row>
    <row r="36287">
      <c r="B36287" s="19"/>
      <c r="E36287" s="23"/>
      <c r="L36287" s="23"/>
    </row>
    <row r="36288">
      <c r="B36288" s="19"/>
      <c r="E36288" s="23"/>
      <c r="L36288" s="23"/>
    </row>
    <row r="36289">
      <c r="B36289" s="19"/>
      <c r="E36289" s="23"/>
      <c r="L36289" s="23"/>
    </row>
    <row r="36290">
      <c r="B36290" s="19"/>
      <c r="E36290" s="23"/>
      <c r="L36290" s="23"/>
    </row>
    <row r="36291">
      <c r="B36291" s="19"/>
      <c r="E36291" s="23"/>
      <c r="L36291" s="23"/>
    </row>
    <row r="36292">
      <c r="B36292" s="19"/>
      <c r="E36292" s="23"/>
      <c r="L36292" s="23"/>
    </row>
    <row r="36293">
      <c r="B36293" s="19"/>
      <c r="E36293" s="23"/>
      <c r="L36293" s="23"/>
    </row>
    <row r="36294">
      <c r="B36294" s="19"/>
      <c r="E36294" s="23"/>
      <c r="L36294" s="23"/>
    </row>
    <row r="36295">
      <c r="B36295" s="19"/>
      <c r="E36295" s="23"/>
      <c r="L36295" s="23"/>
    </row>
    <row r="36296">
      <c r="B36296" s="19"/>
      <c r="E36296" s="23"/>
      <c r="L36296" s="23"/>
    </row>
    <row r="36297">
      <c r="B36297" s="19"/>
      <c r="E36297" s="23"/>
      <c r="L36297" s="23"/>
    </row>
    <row r="36298">
      <c r="B36298" s="19"/>
      <c r="E36298" s="23"/>
      <c r="L36298" s="23"/>
    </row>
    <row r="36299">
      <c r="B36299" s="19"/>
      <c r="E36299" s="23"/>
      <c r="L36299" s="23"/>
    </row>
    <row r="36300">
      <c r="B36300" s="19"/>
      <c r="E36300" s="23"/>
      <c r="L36300" s="23"/>
    </row>
    <row r="36301">
      <c r="B36301" s="19"/>
      <c r="E36301" s="23"/>
      <c r="L36301" s="23"/>
    </row>
    <row r="36302">
      <c r="B36302" s="19"/>
      <c r="E36302" s="23"/>
      <c r="L36302" s="23"/>
    </row>
    <row r="36303">
      <c r="B36303" s="19"/>
      <c r="E36303" s="23"/>
      <c r="L36303" s="23"/>
    </row>
    <row r="36304">
      <c r="B36304" s="19"/>
      <c r="E36304" s="23"/>
      <c r="L36304" s="23"/>
    </row>
    <row r="36305">
      <c r="B36305" s="19"/>
      <c r="E36305" s="23"/>
      <c r="L36305" s="23"/>
    </row>
    <row r="36306">
      <c r="B36306" s="19"/>
      <c r="E36306" s="23"/>
      <c r="L36306" s="23"/>
    </row>
    <row r="36307">
      <c r="B36307" s="19"/>
      <c r="E36307" s="23"/>
      <c r="L36307" s="23"/>
    </row>
    <row r="36308">
      <c r="B36308" s="19"/>
      <c r="E36308" s="23"/>
      <c r="L36308" s="23"/>
    </row>
    <row r="36309">
      <c r="B36309" s="19"/>
      <c r="E36309" s="23"/>
      <c r="L36309" s="23"/>
    </row>
    <row r="36310">
      <c r="B36310" s="19"/>
      <c r="E36310" s="23"/>
      <c r="L36310" s="23"/>
    </row>
    <row r="36311">
      <c r="B36311" s="19"/>
      <c r="E36311" s="23"/>
      <c r="L36311" s="23"/>
    </row>
    <row r="36312">
      <c r="B36312" s="19"/>
      <c r="E36312" s="23"/>
      <c r="L36312" s="23"/>
    </row>
    <row r="36313">
      <c r="B36313" s="19"/>
      <c r="E36313" s="23"/>
      <c r="L36313" s="23"/>
    </row>
    <row r="36314">
      <c r="B36314" s="19"/>
      <c r="E36314" s="23"/>
      <c r="L36314" s="23"/>
    </row>
    <row r="36315">
      <c r="B36315" s="19"/>
      <c r="E36315" s="23"/>
      <c r="L36315" s="23"/>
    </row>
    <row r="36316">
      <c r="B36316" s="19"/>
      <c r="E36316" s="23"/>
      <c r="L36316" s="23"/>
    </row>
    <row r="36317">
      <c r="B36317" s="19"/>
      <c r="E36317" s="23"/>
      <c r="L36317" s="23"/>
    </row>
    <row r="36318">
      <c r="B36318" s="19"/>
      <c r="E36318" s="23"/>
      <c r="L36318" s="23"/>
    </row>
    <row r="36319">
      <c r="B36319" s="19"/>
      <c r="E36319" s="23"/>
      <c r="L36319" s="23"/>
    </row>
    <row r="36320">
      <c r="B36320" s="19"/>
      <c r="E36320" s="23"/>
      <c r="L36320" s="23"/>
    </row>
    <row r="36321">
      <c r="B36321" s="19"/>
      <c r="E36321" s="23"/>
      <c r="L36321" s="23"/>
    </row>
    <row r="36322">
      <c r="B36322" s="19"/>
      <c r="E36322" s="23"/>
      <c r="L36322" s="23"/>
    </row>
    <row r="36323">
      <c r="B36323" s="19"/>
      <c r="E36323" s="23"/>
      <c r="L36323" s="23"/>
    </row>
    <row r="36324">
      <c r="B36324" s="19"/>
      <c r="E36324" s="23"/>
      <c r="L36324" s="23"/>
    </row>
    <row r="36325">
      <c r="B36325" s="19"/>
      <c r="E36325" s="23"/>
      <c r="L36325" s="23"/>
    </row>
    <row r="36326">
      <c r="B36326" s="19"/>
      <c r="E36326" s="23"/>
      <c r="L36326" s="23"/>
    </row>
    <row r="36327">
      <c r="B36327" s="19"/>
      <c r="E36327" s="23"/>
      <c r="L36327" s="23"/>
    </row>
    <row r="36328">
      <c r="B36328" s="19"/>
      <c r="E36328" s="23"/>
      <c r="L36328" s="23"/>
    </row>
    <row r="36329">
      <c r="B36329" s="19"/>
      <c r="E36329" s="23"/>
      <c r="L36329" s="23"/>
    </row>
    <row r="36330">
      <c r="B36330" s="19"/>
      <c r="E36330" s="23"/>
      <c r="L36330" s="23"/>
    </row>
    <row r="36331">
      <c r="B36331" s="19"/>
      <c r="E36331" s="23"/>
      <c r="L36331" s="23"/>
    </row>
    <row r="36332">
      <c r="B36332" s="19"/>
      <c r="E36332" s="23"/>
      <c r="L36332" s="23"/>
    </row>
    <row r="36333">
      <c r="B36333" s="19"/>
      <c r="E36333" s="23"/>
      <c r="L36333" s="23"/>
    </row>
    <row r="36334">
      <c r="B36334" s="19"/>
      <c r="E36334" s="23"/>
      <c r="L36334" s="23"/>
    </row>
    <row r="36335">
      <c r="B36335" s="19"/>
      <c r="E36335" s="23"/>
      <c r="L36335" s="23"/>
    </row>
    <row r="36336">
      <c r="B36336" s="19"/>
      <c r="E36336" s="23"/>
      <c r="L36336" s="23"/>
    </row>
    <row r="36337">
      <c r="B36337" s="19"/>
      <c r="E36337" s="23"/>
      <c r="L36337" s="23"/>
    </row>
    <row r="36338">
      <c r="B36338" s="19"/>
      <c r="E36338" s="23"/>
      <c r="L36338" s="23"/>
    </row>
    <row r="36339">
      <c r="B36339" s="19"/>
      <c r="E36339" s="23"/>
      <c r="L36339" s="23"/>
    </row>
    <row r="36340">
      <c r="B36340" s="19"/>
      <c r="E36340" s="23"/>
      <c r="L36340" s="23"/>
    </row>
    <row r="36341">
      <c r="B36341" s="19"/>
      <c r="E36341" s="23"/>
      <c r="L36341" s="23"/>
    </row>
    <row r="36342">
      <c r="B36342" s="19"/>
      <c r="E36342" s="23"/>
      <c r="L36342" s="23"/>
    </row>
    <row r="36343">
      <c r="B36343" s="19"/>
      <c r="E36343" s="23"/>
      <c r="L36343" s="23"/>
    </row>
    <row r="36344">
      <c r="B36344" s="19"/>
      <c r="E36344" s="23"/>
      <c r="L36344" s="23"/>
    </row>
    <row r="36345">
      <c r="B36345" s="19"/>
      <c r="E36345" s="23"/>
      <c r="L36345" s="23"/>
    </row>
    <row r="36346">
      <c r="B36346" s="19"/>
      <c r="E36346" s="23"/>
      <c r="L36346" s="23"/>
    </row>
    <row r="36347">
      <c r="B36347" s="19"/>
      <c r="E36347" s="23"/>
      <c r="L36347" s="23"/>
    </row>
    <row r="36348">
      <c r="B36348" s="19"/>
      <c r="E36348" s="23"/>
      <c r="L36348" s="23"/>
    </row>
    <row r="36349">
      <c r="B36349" s="19"/>
      <c r="E36349" s="23"/>
      <c r="L36349" s="23"/>
    </row>
    <row r="36350">
      <c r="B36350" s="19"/>
      <c r="E36350" s="23"/>
      <c r="L36350" s="23"/>
    </row>
    <row r="36351">
      <c r="B36351" s="19"/>
      <c r="E36351" s="23"/>
      <c r="L36351" s="23"/>
    </row>
    <row r="36352">
      <c r="B36352" s="19"/>
      <c r="E36352" s="23"/>
      <c r="L36352" s="23"/>
    </row>
    <row r="36353">
      <c r="B36353" s="19"/>
      <c r="E36353" s="23"/>
      <c r="L36353" s="23"/>
    </row>
    <row r="36354">
      <c r="B36354" s="19"/>
      <c r="E36354" s="23"/>
      <c r="L36354" s="23"/>
    </row>
    <row r="36355">
      <c r="B36355" s="19"/>
      <c r="E36355" s="23"/>
      <c r="L36355" s="23"/>
    </row>
    <row r="36356">
      <c r="B36356" s="19"/>
      <c r="E36356" s="23"/>
      <c r="L36356" s="23"/>
    </row>
    <row r="36357">
      <c r="B36357" s="19"/>
      <c r="E36357" s="23"/>
      <c r="L36357" s="23"/>
    </row>
    <row r="36358">
      <c r="B36358" s="19"/>
      <c r="E36358" s="23"/>
      <c r="L36358" s="23"/>
    </row>
    <row r="36359">
      <c r="B36359" s="19"/>
      <c r="E36359" s="23"/>
      <c r="L36359" s="23"/>
    </row>
    <row r="36360">
      <c r="B36360" s="19"/>
      <c r="E36360" s="23"/>
      <c r="L36360" s="23"/>
    </row>
    <row r="36361">
      <c r="B36361" s="19"/>
      <c r="E36361" s="23"/>
      <c r="L36361" s="23"/>
    </row>
    <row r="36362">
      <c r="B36362" s="19"/>
      <c r="E36362" s="23"/>
      <c r="L36362" s="23"/>
    </row>
    <row r="36363">
      <c r="B36363" s="19"/>
      <c r="E36363" s="23"/>
      <c r="L36363" s="23"/>
    </row>
    <row r="36364">
      <c r="B36364" s="19"/>
      <c r="E36364" s="23"/>
      <c r="L36364" s="23"/>
    </row>
    <row r="36365">
      <c r="B36365" s="19"/>
      <c r="E36365" s="23"/>
      <c r="L36365" s="23"/>
    </row>
    <row r="36366">
      <c r="B36366" s="19"/>
      <c r="E36366" s="23"/>
      <c r="L36366" s="23"/>
    </row>
    <row r="36367">
      <c r="B36367" s="19"/>
      <c r="E36367" s="23"/>
      <c r="L36367" s="23"/>
    </row>
    <row r="36368">
      <c r="B36368" s="19"/>
      <c r="E36368" s="23"/>
      <c r="L36368" s="23"/>
    </row>
    <row r="36369">
      <c r="B36369" s="19"/>
      <c r="E36369" s="23"/>
      <c r="L36369" s="23"/>
    </row>
    <row r="36370">
      <c r="B36370" s="19"/>
      <c r="E36370" s="23"/>
      <c r="L36370" s="23"/>
    </row>
    <row r="36371">
      <c r="B36371" s="19"/>
      <c r="E36371" s="23"/>
      <c r="L36371" s="23"/>
    </row>
    <row r="36372">
      <c r="B36372" s="19"/>
      <c r="E36372" s="23"/>
      <c r="L36372" s="23"/>
    </row>
    <row r="36373">
      <c r="B36373" s="19"/>
      <c r="E36373" s="23"/>
      <c r="L36373" s="23"/>
    </row>
    <row r="36374">
      <c r="B36374" s="19"/>
      <c r="E36374" s="23"/>
      <c r="L36374" s="23"/>
    </row>
    <row r="36375">
      <c r="B36375" s="19"/>
      <c r="E36375" s="23"/>
      <c r="L36375" s="23"/>
    </row>
    <row r="36376">
      <c r="B36376" s="19"/>
      <c r="E36376" s="23"/>
      <c r="L36376" s="23"/>
    </row>
    <row r="36377">
      <c r="B36377" s="19"/>
      <c r="E36377" s="23"/>
      <c r="L36377" s="23"/>
    </row>
    <row r="36378">
      <c r="B36378" s="19"/>
      <c r="E36378" s="23"/>
      <c r="L36378" s="23"/>
    </row>
    <row r="36379">
      <c r="B36379" s="19"/>
      <c r="E36379" s="23"/>
      <c r="L36379" s="23"/>
    </row>
    <row r="36380">
      <c r="B36380" s="19"/>
      <c r="E36380" s="23"/>
      <c r="L36380" s="23"/>
    </row>
    <row r="36381">
      <c r="B36381" s="19"/>
      <c r="E36381" s="23"/>
      <c r="L36381" s="23"/>
    </row>
    <row r="36382">
      <c r="B36382" s="19"/>
      <c r="E36382" s="23"/>
      <c r="L36382" s="23"/>
    </row>
    <row r="36383">
      <c r="B36383" s="19"/>
      <c r="E36383" s="23"/>
      <c r="L36383" s="23"/>
    </row>
    <row r="36384">
      <c r="B36384" s="19"/>
      <c r="E36384" s="23"/>
      <c r="L36384" s="23"/>
    </row>
    <row r="36385">
      <c r="B36385" s="19"/>
      <c r="E36385" s="23"/>
      <c r="L36385" s="23"/>
    </row>
    <row r="36386">
      <c r="B36386" s="19"/>
      <c r="E36386" s="23"/>
      <c r="L36386" s="23"/>
    </row>
    <row r="36387">
      <c r="B36387" s="19"/>
      <c r="E36387" s="23"/>
      <c r="L36387" s="23"/>
    </row>
    <row r="36388">
      <c r="B36388" s="19"/>
      <c r="E36388" s="23"/>
      <c r="L36388" s="23"/>
    </row>
    <row r="36389">
      <c r="B36389" s="19"/>
      <c r="E36389" s="23"/>
      <c r="L36389" s="23"/>
    </row>
    <row r="36390">
      <c r="B36390" s="19"/>
      <c r="E36390" s="23"/>
      <c r="L36390" s="23"/>
    </row>
    <row r="36391">
      <c r="B36391" s="19"/>
      <c r="E36391" s="23"/>
      <c r="L36391" s="23"/>
    </row>
    <row r="36392">
      <c r="B36392" s="19"/>
      <c r="E36392" s="23"/>
      <c r="L36392" s="23"/>
    </row>
    <row r="36393">
      <c r="B36393" s="19"/>
      <c r="E36393" s="23"/>
      <c r="L36393" s="23"/>
    </row>
    <row r="36394">
      <c r="B36394" s="19"/>
      <c r="E36394" s="23"/>
      <c r="L36394" s="23"/>
    </row>
    <row r="36395">
      <c r="B36395" s="19"/>
      <c r="E36395" s="23"/>
      <c r="L36395" s="23"/>
    </row>
    <row r="36396">
      <c r="B36396" s="19"/>
      <c r="E36396" s="23"/>
      <c r="L36396" s="23"/>
    </row>
    <row r="36397">
      <c r="B36397" s="19"/>
      <c r="E36397" s="23"/>
      <c r="L36397" s="23"/>
    </row>
    <row r="36398">
      <c r="B36398" s="19"/>
      <c r="E36398" s="23"/>
      <c r="L36398" s="23"/>
    </row>
    <row r="36399">
      <c r="B36399" s="19"/>
      <c r="E36399" s="23"/>
      <c r="L36399" s="23"/>
    </row>
    <row r="36400">
      <c r="B36400" s="19"/>
      <c r="E36400" s="23"/>
      <c r="L36400" s="23"/>
    </row>
    <row r="36401">
      <c r="B36401" s="19"/>
      <c r="E36401" s="23"/>
      <c r="L36401" s="23"/>
    </row>
    <row r="36402">
      <c r="B36402" s="19"/>
      <c r="E36402" s="23"/>
      <c r="L36402" s="23"/>
    </row>
    <row r="36403">
      <c r="B36403" s="19"/>
      <c r="E36403" s="23"/>
      <c r="L36403" s="23"/>
    </row>
    <row r="36404">
      <c r="B36404" s="19"/>
      <c r="E36404" s="23"/>
      <c r="L36404" s="23"/>
    </row>
    <row r="36405">
      <c r="B36405" s="19"/>
      <c r="E36405" s="23"/>
      <c r="L36405" s="23"/>
    </row>
    <row r="36406">
      <c r="B36406" s="19"/>
      <c r="E36406" s="23"/>
      <c r="L36406" s="23"/>
    </row>
    <row r="36407">
      <c r="B36407" s="19"/>
      <c r="E36407" s="23"/>
      <c r="L36407" s="23"/>
    </row>
    <row r="36408">
      <c r="B36408" s="19"/>
      <c r="E36408" s="23"/>
      <c r="L36408" s="23"/>
    </row>
    <row r="36409">
      <c r="B36409" s="19"/>
      <c r="E36409" s="23"/>
      <c r="L36409" s="23"/>
    </row>
    <row r="36410">
      <c r="B36410" s="19"/>
      <c r="E36410" s="23"/>
      <c r="L36410" s="23"/>
    </row>
    <row r="36411">
      <c r="B36411" s="19"/>
      <c r="E36411" s="23"/>
      <c r="L36411" s="23"/>
    </row>
    <row r="36412">
      <c r="B36412" s="19"/>
      <c r="E36412" s="23"/>
      <c r="L36412" s="23"/>
    </row>
    <row r="36413">
      <c r="B36413" s="19"/>
      <c r="E36413" s="23"/>
      <c r="L36413" s="23"/>
    </row>
    <row r="36414">
      <c r="B36414" s="19"/>
      <c r="E36414" s="23"/>
      <c r="L36414" s="23"/>
    </row>
    <row r="36415">
      <c r="B36415" s="19"/>
      <c r="E36415" s="23"/>
      <c r="L36415" s="23"/>
    </row>
    <row r="36416">
      <c r="B36416" s="19"/>
      <c r="E36416" s="23"/>
      <c r="L36416" s="23"/>
    </row>
    <row r="36417">
      <c r="B36417" s="19"/>
      <c r="E36417" s="23"/>
      <c r="L36417" s="23"/>
    </row>
    <row r="36418">
      <c r="B36418" s="19"/>
      <c r="E36418" s="23"/>
      <c r="L36418" s="23"/>
    </row>
    <row r="36419">
      <c r="B36419" s="19"/>
      <c r="E36419" s="23"/>
      <c r="L36419" s="23"/>
    </row>
    <row r="36420">
      <c r="B36420" s="19"/>
      <c r="E36420" s="23"/>
      <c r="L36420" s="23"/>
    </row>
    <row r="36421">
      <c r="B36421" s="19"/>
      <c r="E36421" s="23"/>
      <c r="L36421" s="23"/>
    </row>
    <row r="36422">
      <c r="B36422" s="19"/>
      <c r="E36422" s="23"/>
      <c r="L36422" s="23"/>
    </row>
    <row r="36423">
      <c r="B36423" s="19"/>
      <c r="E36423" s="23"/>
      <c r="L36423" s="23"/>
    </row>
    <row r="36424">
      <c r="B36424" s="19"/>
      <c r="E36424" s="23"/>
      <c r="L36424" s="23"/>
    </row>
    <row r="36425">
      <c r="B36425" s="19"/>
      <c r="E36425" s="23"/>
      <c r="L36425" s="23"/>
    </row>
    <row r="36426">
      <c r="B36426" s="19"/>
      <c r="E36426" s="23"/>
      <c r="L36426" s="23"/>
    </row>
    <row r="36427">
      <c r="B36427" s="19"/>
      <c r="E36427" s="23"/>
      <c r="L36427" s="23"/>
    </row>
    <row r="36428">
      <c r="B36428" s="19"/>
      <c r="E36428" s="23"/>
      <c r="L36428" s="23"/>
    </row>
    <row r="36429">
      <c r="B36429" s="19"/>
      <c r="E36429" s="23"/>
      <c r="L36429" s="23"/>
    </row>
    <row r="36430">
      <c r="B36430" s="19"/>
      <c r="E36430" s="23"/>
      <c r="L36430" s="23"/>
    </row>
    <row r="36431">
      <c r="B36431" s="19"/>
      <c r="E36431" s="23"/>
      <c r="L36431" s="23"/>
    </row>
    <row r="36432">
      <c r="B36432" s="19"/>
      <c r="E36432" s="23"/>
      <c r="L36432" s="23"/>
    </row>
    <row r="36433">
      <c r="B36433" s="19"/>
      <c r="E36433" s="23"/>
      <c r="L36433" s="23"/>
    </row>
    <row r="36434">
      <c r="B36434" s="19"/>
      <c r="E36434" s="23"/>
      <c r="L36434" s="23"/>
    </row>
    <row r="36435">
      <c r="B36435" s="19"/>
      <c r="E36435" s="23"/>
      <c r="L36435" s="23"/>
    </row>
    <row r="36436">
      <c r="B36436" s="19"/>
      <c r="E36436" s="23"/>
      <c r="L36436" s="23"/>
    </row>
    <row r="36437">
      <c r="B36437" s="19"/>
      <c r="E36437" s="23"/>
      <c r="L36437" s="23"/>
    </row>
    <row r="36438">
      <c r="B36438" s="19"/>
      <c r="E36438" s="23"/>
      <c r="L36438" s="23"/>
    </row>
    <row r="36439">
      <c r="B36439" s="19"/>
      <c r="E36439" s="23"/>
      <c r="L36439" s="23"/>
    </row>
    <row r="36440">
      <c r="B36440" s="19"/>
      <c r="E36440" s="23"/>
      <c r="L36440" s="23"/>
    </row>
    <row r="36441">
      <c r="B36441" s="19"/>
      <c r="E36441" s="23"/>
      <c r="L36441" s="23"/>
    </row>
    <row r="36442">
      <c r="B36442" s="19"/>
      <c r="E36442" s="23"/>
      <c r="L36442" s="23"/>
    </row>
    <row r="36443">
      <c r="B36443" s="19"/>
      <c r="E36443" s="23"/>
      <c r="L36443" s="23"/>
    </row>
    <row r="36444">
      <c r="B36444" s="19"/>
      <c r="E36444" s="23"/>
      <c r="L36444" s="23"/>
    </row>
    <row r="36445">
      <c r="B36445" s="19"/>
      <c r="E36445" s="23"/>
      <c r="L36445" s="23"/>
    </row>
    <row r="36446">
      <c r="B36446" s="19"/>
      <c r="E36446" s="23"/>
      <c r="L36446" s="23"/>
    </row>
    <row r="36447">
      <c r="B36447" s="19"/>
      <c r="E36447" s="23"/>
      <c r="L36447" s="23"/>
    </row>
    <row r="36448">
      <c r="B36448" s="19"/>
      <c r="E36448" s="23"/>
      <c r="L36448" s="23"/>
    </row>
    <row r="36449">
      <c r="B36449" s="19"/>
      <c r="E36449" s="23"/>
      <c r="L36449" s="23"/>
    </row>
    <row r="36450">
      <c r="B36450" s="19"/>
      <c r="E36450" s="23"/>
      <c r="L36450" s="23"/>
    </row>
    <row r="36451">
      <c r="B36451" s="19"/>
      <c r="E36451" s="23"/>
      <c r="L36451" s="23"/>
    </row>
    <row r="36452">
      <c r="B36452" s="19"/>
      <c r="E36452" s="23"/>
      <c r="L36452" s="23"/>
    </row>
    <row r="36453">
      <c r="B36453" s="19"/>
      <c r="E36453" s="23"/>
      <c r="L36453" s="23"/>
    </row>
    <row r="36454">
      <c r="B36454" s="19"/>
      <c r="E36454" s="23"/>
      <c r="L36454" s="23"/>
    </row>
    <row r="36455">
      <c r="B36455" s="19"/>
      <c r="E36455" s="23"/>
      <c r="L36455" s="23"/>
    </row>
    <row r="36456">
      <c r="B36456" s="19"/>
      <c r="E36456" s="23"/>
      <c r="L36456" s="23"/>
    </row>
    <row r="36457">
      <c r="B36457" s="19"/>
      <c r="E36457" s="23"/>
      <c r="L36457" s="23"/>
    </row>
    <row r="36458">
      <c r="B36458" s="19"/>
      <c r="E36458" s="23"/>
      <c r="L36458" s="23"/>
    </row>
    <row r="36459">
      <c r="B36459" s="19"/>
      <c r="E36459" s="23"/>
      <c r="L36459" s="23"/>
    </row>
    <row r="36460">
      <c r="B36460" s="19"/>
      <c r="E36460" s="23"/>
      <c r="L36460" s="23"/>
    </row>
    <row r="36461">
      <c r="B36461" s="19"/>
      <c r="E36461" s="23"/>
      <c r="L36461" s="23"/>
    </row>
    <row r="36462">
      <c r="B36462" s="19"/>
      <c r="E36462" s="23"/>
      <c r="L36462" s="23"/>
    </row>
    <row r="36463">
      <c r="B36463" s="19"/>
      <c r="E36463" s="23"/>
      <c r="L36463" s="23"/>
    </row>
    <row r="36464">
      <c r="B36464" s="19"/>
      <c r="E36464" s="23"/>
      <c r="L36464" s="23"/>
    </row>
    <row r="36465">
      <c r="B36465" s="19"/>
      <c r="E36465" s="23"/>
      <c r="L36465" s="23"/>
    </row>
    <row r="36466">
      <c r="B36466" s="19"/>
      <c r="E36466" s="23"/>
      <c r="L36466" s="23"/>
    </row>
    <row r="36467">
      <c r="B36467" s="19"/>
      <c r="E36467" s="23"/>
      <c r="L36467" s="23"/>
    </row>
    <row r="36468">
      <c r="B36468" s="19"/>
      <c r="E36468" s="23"/>
      <c r="L36468" s="23"/>
    </row>
    <row r="36469">
      <c r="B36469" s="19"/>
      <c r="E36469" s="23"/>
      <c r="L36469" s="23"/>
    </row>
    <row r="36470">
      <c r="B36470" s="19"/>
      <c r="E36470" s="23"/>
      <c r="L36470" s="23"/>
    </row>
    <row r="36471">
      <c r="B36471" s="19"/>
      <c r="E36471" s="23"/>
      <c r="L36471" s="23"/>
    </row>
    <row r="36472">
      <c r="B36472" s="19"/>
      <c r="E36472" s="23"/>
      <c r="L36472" s="23"/>
    </row>
    <row r="36473">
      <c r="B36473" s="19"/>
      <c r="E36473" s="23"/>
      <c r="L36473" s="23"/>
    </row>
    <row r="36474">
      <c r="B36474" s="19"/>
      <c r="E36474" s="23"/>
      <c r="L36474" s="23"/>
    </row>
    <row r="36475">
      <c r="B36475" s="19"/>
      <c r="E36475" s="23"/>
      <c r="L36475" s="23"/>
    </row>
    <row r="36476">
      <c r="B36476" s="19"/>
      <c r="E36476" s="23"/>
      <c r="L36476" s="23"/>
    </row>
    <row r="36477">
      <c r="B36477" s="19"/>
      <c r="E36477" s="23"/>
      <c r="L36477" s="23"/>
    </row>
    <row r="36478">
      <c r="B36478" s="19"/>
      <c r="E36478" s="23"/>
      <c r="L36478" s="23"/>
    </row>
    <row r="36479">
      <c r="B36479" s="19"/>
      <c r="E36479" s="23"/>
      <c r="L36479" s="23"/>
    </row>
    <row r="36480">
      <c r="B36480" s="19"/>
      <c r="E36480" s="23"/>
      <c r="L36480" s="23"/>
    </row>
    <row r="36481">
      <c r="B36481" s="19"/>
      <c r="E36481" s="23"/>
      <c r="L36481" s="23"/>
    </row>
    <row r="36482">
      <c r="B36482" s="19"/>
      <c r="E36482" s="23"/>
      <c r="L36482" s="23"/>
    </row>
    <row r="36483">
      <c r="B36483" s="19"/>
      <c r="E36483" s="23"/>
      <c r="L36483" s="23"/>
    </row>
    <row r="36484">
      <c r="B36484" s="19"/>
      <c r="E36484" s="23"/>
      <c r="L36484" s="23"/>
    </row>
    <row r="36485">
      <c r="B36485" s="19"/>
      <c r="E36485" s="23"/>
      <c r="L36485" s="23"/>
    </row>
    <row r="36486">
      <c r="B36486" s="19"/>
      <c r="E36486" s="23"/>
      <c r="L36486" s="23"/>
    </row>
    <row r="36487">
      <c r="B36487" s="19"/>
      <c r="E36487" s="23"/>
      <c r="L36487" s="23"/>
    </row>
    <row r="36488">
      <c r="B36488" s="19"/>
      <c r="E36488" s="23"/>
      <c r="L36488" s="23"/>
    </row>
    <row r="36489">
      <c r="B36489" s="19"/>
      <c r="E36489" s="23"/>
      <c r="L36489" s="23"/>
    </row>
    <row r="36490">
      <c r="B36490" s="19"/>
      <c r="E36490" s="23"/>
      <c r="L36490" s="23"/>
    </row>
    <row r="36491">
      <c r="B36491" s="19"/>
      <c r="E36491" s="23"/>
      <c r="L36491" s="23"/>
    </row>
    <row r="36492">
      <c r="B36492" s="19"/>
      <c r="E36492" s="23"/>
      <c r="L36492" s="23"/>
    </row>
    <row r="36493">
      <c r="B36493" s="19"/>
      <c r="E36493" s="23"/>
      <c r="L36493" s="23"/>
    </row>
    <row r="36494">
      <c r="B36494" s="19"/>
      <c r="E36494" s="23"/>
      <c r="L36494" s="23"/>
    </row>
    <row r="36495">
      <c r="B36495" s="19"/>
      <c r="E36495" s="23"/>
      <c r="L36495" s="23"/>
    </row>
    <row r="36496">
      <c r="B36496" s="19"/>
      <c r="E36496" s="23"/>
      <c r="L36496" s="23"/>
    </row>
    <row r="36497">
      <c r="B36497" s="19"/>
      <c r="E36497" s="23"/>
      <c r="L36497" s="23"/>
    </row>
    <row r="36498">
      <c r="B36498" s="19"/>
      <c r="E36498" s="23"/>
      <c r="L36498" s="23"/>
    </row>
    <row r="36499">
      <c r="B36499" s="19"/>
      <c r="E36499" s="23"/>
      <c r="L36499" s="23"/>
    </row>
    <row r="36500">
      <c r="B36500" s="19"/>
      <c r="E36500" s="23"/>
      <c r="L36500" s="23"/>
    </row>
    <row r="36501">
      <c r="B36501" s="19"/>
      <c r="E36501" s="23"/>
      <c r="L36501" s="23"/>
    </row>
    <row r="36502">
      <c r="B36502" s="19"/>
      <c r="E36502" s="23"/>
      <c r="L36502" s="23"/>
    </row>
    <row r="36503">
      <c r="B36503" s="19"/>
      <c r="E36503" s="23"/>
      <c r="L36503" s="23"/>
    </row>
    <row r="36504">
      <c r="B36504" s="19"/>
      <c r="E36504" s="23"/>
      <c r="L36504" s="23"/>
    </row>
    <row r="36505">
      <c r="B36505" s="19"/>
      <c r="E36505" s="23"/>
      <c r="L36505" s="23"/>
    </row>
    <row r="36506">
      <c r="B36506" s="19"/>
      <c r="E36506" s="23"/>
      <c r="L36506" s="23"/>
    </row>
    <row r="36507">
      <c r="B36507" s="19"/>
      <c r="E36507" s="23"/>
      <c r="L36507" s="23"/>
    </row>
    <row r="36508">
      <c r="B36508" s="19"/>
      <c r="E36508" s="23"/>
      <c r="L36508" s="23"/>
    </row>
    <row r="36509">
      <c r="B36509" s="19"/>
      <c r="E36509" s="23"/>
      <c r="L36509" s="23"/>
    </row>
    <row r="36510">
      <c r="B36510" s="19"/>
      <c r="E36510" s="23"/>
      <c r="L36510" s="23"/>
    </row>
    <row r="36511">
      <c r="B36511" s="19"/>
      <c r="E36511" s="23"/>
      <c r="L36511" s="23"/>
    </row>
    <row r="36512">
      <c r="B36512" s="19"/>
      <c r="E36512" s="23"/>
      <c r="L36512" s="23"/>
    </row>
    <row r="36513">
      <c r="B36513" s="19"/>
      <c r="E36513" s="23"/>
      <c r="L36513" s="23"/>
    </row>
    <row r="36514">
      <c r="B36514" s="19"/>
      <c r="E36514" s="23"/>
      <c r="L36514" s="23"/>
    </row>
    <row r="36515">
      <c r="B36515" s="19"/>
      <c r="E36515" s="23"/>
      <c r="L36515" s="23"/>
    </row>
    <row r="36516">
      <c r="B36516" s="19"/>
      <c r="E36516" s="23"/>
      <c r="L36516" s="23"/>
    </row>
    <row r="36517">
      <c r="B36517" s="19"/>
      <c r="E36517" s="23"/>
      <c r="L36517" s="23"/>
    </row>
    <row r="36518">
      <c r="B36518" s="19"/>
      <c r="E36518" s="23"/>
      <c r="L36518" s="23"/>
    </row>
    <row r="36519">
      <c r="B36519" s="19"/>
      <c r="E36519" s="23"/>
      <c r="L36519" s="23"/>
    </row>
    <row r="36520">
      <c r="B36520" s="19"/>
      <c r="E36520" s="23"/>
      <c r="L36520" s="23"/>
    </row>
    <row r="36521">
      <c r="B36521" s="19"/>
      <c r="E36521" s="23"/>
      <c r="L36521" s="23"/>
    </row>
    <row r="36522">
      <c r="B36522" s="19"/>
      <c r="E36522" s="23"/>
      <c r="L36522" s="23"/>
    </row>
    <row r="36523">
      <c r="B36523" s="19"/>
      <c r="E36523" s="23"/>
      <c r="L36523" s="23"/>
    </row>
    <row r="36524">
      <c r="B36524" s="19"/>
      <c r="E36524" s="23"/>
      <c r="L36524" s="23"/>
    </row>
    <row r="36525">
      <c r="B36525" s="19"/>
      <c r="E36525" s="23"/>
      <c r="L36525" s="23"/>
    </row>
    <row r="36526">
      <c r="B36526" s="19"/>
      <c r="E36526" s="23"/>
      <c r="L36526" s="23"/>
    </row>
    <row r="36527">
      <c r="B36527" s="19"/>
      <c r="E36527" s="23"/>
      <c r="L36527" s="23"/>
    </row>
    <row r="36528">
      <c r="B36528" s="19"/>
      <c r="E36528" s="23"/>
      <c r="L36528" s="23"/>
    </row>
    <row r="36529">
      <c r="B36529" s="19"/>
      <c r="E36529" s="23"/>
      <c r="L36529" s="23"/>
    </row>
    <row r="36530">
      <c r="B36530" s="19"/>
      <c r="E36530" s="23"/>
      <c r="L36530" s="23"/>
    </row>
    <row r="36531">
      <c r="B36531" s="19"/>
      <c r="E36531" s="23"/>
      <c r="L36531" s="23"/>
    </row>
    <row r="36532">
      <c r="B36532" s="19"/>
      <c r="E36532" s="23"/>
      <c r="L36532" s="23"/>
    </row>
    <row r="36533">
      <c r="B36533" s="19"/>
      <c r="E36533" s="23"/>
      <c r="L36533" s="23"/>
    </row>
    <row r="36534">
      <c r="B36534" s="19"/>
      <c r="E36534" s="23"/>
      <c r="L36534" s="23"/>
    </row>
    <row r="36535">
      <c r="B36535" s="19"/>
      <c r="E36535" s="23"/>
      <c r="L36535" s="23"/>
    </row>
    <row r="36536">
      <c r="B36536" s="19"/>
      <c r="E36536" s="23"/>
      <c r="L36536" s="23"/>
    </row>
    <row r="36537">
      <c r="B36537" s="19"/>
      <c r="E36537" s="23"/>
      <c r="L36537" s="23"/>
    </row>
    <row r="36538">
      <c r="B36538" s="19"/>
      <c r="E36538" s="23"/>
      <c r="L36538" s="23"/>
    </row>
    <row r="36539">
      <c r="B36539" s="19"/>
      <c r="E36539" s="23"/>
      <c r="L36539" s="23"/>
    </row>
    <row r="36540">
      <c r="B36540" s="19"/>
      <c r="E36540" s="23"/>
      <c r="L36540" s="23"/>
    </row>
    <row r="36541">
      <c r="B36541" s="19"/>
      <c r="E36541" s="23"/>
      <c r="L36541" s="23"/>
    </row>
    <row r="36542">
      <c r="B36542" s="19"/>
      <c r="E36542" s="23"/>
      <c r="L36542" s="23"/>
    </row>
    <row r="36543">
      <c r="B36543" s="19"/>
      <c r="E36543" s="23"/>
      <c r="L36543" s="23"/>
    </row>
    <row r="36544">
      <c r="B36544" s="19"/>
      <c r="E36544" s="23"/>
      <c r="L36544" s="23"/>
    </row>
    <row r="36545">
      <c r="B36545" s="19"/>
      <c r="E36545" s="23"/>
      <c r="L36545" s="23"/>
    </row>
    <row r="36546">
      <c r="B36546" s="19"/>
      <c r="E36546" s="23"/>
      <c r="L36546" s="23"/>
    </row>
    <row r="36547">
      <c r="B36547" s="19"/>
      <c r="E36547" s="23"/>
      <c r="L36547" s="23"/>
    </row>
    <row r="36548">
      <c r="B36548" s="19"/>
      <c r="E36548" s="23"/>
      <c r="L36548" s="23"/>
    </row>
    <row r="36549">
      <c r="B36549" s="19"/>
      <c r="E36549" s="23"/>
      <c r="L36549" s="23"/>
    </row>
    <row r="36550">
      <c r="B36550" s="19"/>
      <c r="E36550" s="23"/>
      <c r="L36550" s="23"/>
    </row>
    <row r="36551">
      <c r="B36551" s="19"/>
      <c r="E36551" s="23"/>
      <c r="L36551" s="23"/>
    </row>
    <row r="36552">
      <c r="B36552" s="19"/>
      <c r="E36552" s="23"/>
      <c r="L36552" s="23"/>
    </row>
    <row r="36553">
      <c r="B36553" s="19"/>
      <c r="E36553" s="23"/>
      <c r="L36553" s="23"/>
    </row>
    <row r="36554">
      <c r="B36554" s="19"/>
      <c r="E36554" s="23"/>
      <c r="L36554" s="23"/>
    </row>
    <row r="36555">
      <c r="B36555" s="19"/>
      <c r="E36555" s="23"/>
      <c r="L36555" s="23"/>
    </row>
    <row r="36556">
      <c r="B36556" s="19"/>
      <c r="E36556" s="23"/>
      <c r="L36556" s="23"/>
    </row>
    <row r="36557">
      <c r="B36557" s="19"/>
      <c r="E36557" s="23"/>
      <c r="L36557" s="23"/>
    </row>
    <row r="36558">
      <c r="B36558" s="19"/>
      <c r="E36558" s="23"/>
      <c r="L36558" s="23"/>
    </row>
    <row r="36559">
      <c r="B36559" s="19"/>
      <c r="E36559" s="23"/>
      <c r="L36559" s="23"/>
    </row>
    <row r="36560">
      <c r="B36560" s="19"/>
      <c r="E36560" s="23"/>
      <c r="L36560" s="23"/>
    </row>
    <row r="36561">
      <c r="B36561" s="19"/>
      <c r="E36561" s="23"/>
      <c r="L36561" s="23"/>
    </row>
    <row r="36562">
      <c r="B36562" s="19"/>
      <c r="E36562" s="23"/>
      <c r="L36562" s="23"/>
    </row>
    <row r="36563">
      <c r="B36563" s="19"/>
      <c r="E36563" s="23"/>
      <c r="L36563" s="23"/>
    </row>
    <row r="36564">
      <c r="B36564" s="19"/>
      <c r="E36564" s="23"/>
      <c r="L36564" s="23"/>
    </row>
    <row r="36565">
      <c r="B36565" s="19"/>
      <c r="E36565" s="23"/>
      <c r="L36565" s="23"/>
    </row>
    <row r="36566">
      <c r="B36566" s="19"/>
      <c r="E36566" s="23"/>
      <c r="L36566" s="23"/>
    </row>
    <row r="36567">
      <c r="B36567" s="19"/>
      <c r="E36567" s="23"/>
      <c r="L36567" s="23"/>
    </row>
    <row r="36568">
      <c r="B36568" s="19"/>
      <c r="E36568" s="23"/>
      <c r="L36568" s="23"/>
    </row>
    <row r="36569">
      <c r="B36569" s="19"/>
      <c r="E36569" s="23"/>
      <c r="L36569" s="23"/>
    </row>
    <row r="36570">
      <c r="B36570" s="19"/>
      <c r="E36570" s="23"/>
      <c r="L36570" s="23"/>
    </row>
    <row r="36571">
      <c r="B36571" s="19"/>
      <c r="E36571" s="23"/>
      <c r="L36571" s="23"/>
    </row>
    <row r="36572">
      <c r="B36572" s="19"/>
      <c r="E36572" s="23"/>
      <c r="L36572" s="23"/>
    </row>
    <row r="36573">
      <c r="B36573" s="19"/>
      <c r="E36573" s="23"/>
      <c r="L36573" s="23"/>
    </row>
    <row r="36574">
      <c r="B36574" s="19"/>
      <c r="E36574" s="23"/>
      <c r="L36574" s="23"/>
    </row>
    <row r="36575">
      <c r="B36575" s="19"/>
      <c r="E36575" s="23"/>
      <c r="L36575" s="23"/>
    </row>
    <row r="36576">
      <c r="B36576" s="19"/>
      <c r="E36576" s="23"/>
      <c r="L36576" s="23"/>
    </row>
    <row r="36577">
      <c r="B36577" s="19"/>
      <c r="E36577" s="23"/>
      <c r="L36577" s="23"/>
    </row>
    <row r="36578">
      <c r="B36578" s="19"/>
      <c r="E36578" s="23"/>
      <c r="L36578" s="23"/>
    </row>
    <row r="36579">
      <c r="B36579" s="19"/>
      <c r="E36579" s="23"/>
      <c r="L36579" s="23"/>
    </row>
    <row r="36580">
      <c r="B36580" s="19"/>
      <c r="E36580" s="23"/>
      <c r="L36580" s="23"/>
    </row>
    <row r="36581">
      <c r="B36581" s="19"/>
      <c r="E36581" s="23"/>
      <c r="L36581" s="23"/>
    </row>
    <row r="36582">
      <c r="B36582" s="19"/>
      <c r="E36582" s="23"/>
      <c r="L36582" s="23"/>
    </row>
    <row r="36583">
      <c r="B36583" s="19"/>
      <c r="E36583" s="23"/>
      <c r="L36583" s="23"/>
    </row>
    <row r="36584">
      <c r="B36584" s="19"/>
      <c r="E36584" s="23"/>
      <c r="L36584" s="23"/>
    </row>
    <row r="36585">
      <c r="B36585" s="19"/>
      <c r="E36585" s="23"/>
      <c r="L36585" s="23"/>
    </row>
    <row r="36586">
      <c r="B36586" s="19"/>
      <c r="E36586" s="23"/>
      <c r="L36586" s="23"/>
    </row>
    <row r="36587">
      <c r="B36587" s="19"/>
      <c r="E36587" s="23"/>
      <c r="L36587" s="23"/>
    </row>
    <row r="36588">
      <c r="B36588" s="19"/>
      <c r="E36588" s="23"/>
      <c r="L36588" s="23"/>
    </row>
    <row r="36589">
      <c r="B36589" s="19"/>
      <c r="E36589" s="23"/>
      <c r="L36589" s="23"/>
    </row>
    <row r="36590">
      <c r="B36590" s="19"/>
      <c r="E36590" s="23"/>
      <c r="L36590" s="23"/>
    </row>
    <row r="36591">
      <c r="B36591" s="19"/>
      <c r="E36591" s="23"/>
      <c r="L36591" s="23"/>
    </row>
    <row r="36592">
      <c r="B36592" s="19"/>
      <c r="E36592" s="23"/>
      <c r="L36592" s="23"/>
    </row>
    <row r="36593">
      <c r="B36593" s="19"/>
      <c r="E36593" s="23"/>
      <c r="L36593" s="23"/>
    </row>
    <row r="36594">
      <c r="B36594" s="19"/>
      <c r="E36594" s="23"/>
      <c r="L36594" s="23"/>
    </row>
    <row r="36595">
      <c r="B36595" s="19"/>
      <c r="E36595" s="23"/>
      <c r="L36595" s="23"/>
    </row>
    <row r="36596">
      <c r="B36596" s="19"/>
      <c r="E36596" s="23"/>
      <c r="L36596" s="23"/>
    </row>
    <row r="36597">
      <c r="B36597" s="19"/>
      <c r="E36597" s="23"/>
      <c r="L36597" s="23"/>
    </row>
    <row r="36598">
      <c r="B36598" s="19"/>
      <c r="E36598" s="23"/>
      <c r="L36598" s="23"/>
    </row>
    <row r="36599">
      <c r="B36599" s="19"/>
      <c r="E36599" s="23"/>
      <c r="L36599" s="23"/>
    </row>
    <row r="36600">
      <c r="B36600" s="19"/>
      <c r="E36600" s="23"/>
      <c r="L36600" s="23"/>
    </row>
    <row r="36601">
      <c r="B36601" s="19"/>
      <c r="E36601" s="23"/>
      <c r="L36601" s="23"/>
    </row>
    <row r="36602">
      <c r="B36602" s="19"/>
      <c r="E36602" s="23"/>
      <c r="L36602" s="23"/>
    </row>
    <row r="36603">
      <c r="B36603" s="19"/>
      <c r="E36603" s="23"/>
      <c r="L36603" s="23"/>
    </row>
    <row r="36604">
      <c r="B36604" s="19"/>
      <c r="E36604" s="23"/>
      <c r="L36604" s="23"/>
    </row>
    <row r="36605">
      <c r="B36605" s="19"/>
      <c r="E36605" s="23"/>
      <c r="L36605" s="23"/>
    </row>
    <row r="36606">
      <c r="B36606" s="19"/>
      <c r="E36606" s="23"/>
      <c r="L36606" s="23"/>
    </row>
    <row r="36607">
      <c r="B36607" s="19"/>
      <c r="E36607" s="23"/>
      <c r="L36607" s="23"/>
    </row>
    <row r="36608">
      <c r="B36608" s="19"/>
      <c r="E36608" s="23"/>
      <c r="L36608" s="23"/>
    </row>
    <row r="36609">
      <c r="B36609" s="19"/>
      <c r="E36609" s="23"/>
      <c r="L36609" s="23"/>
    </row>
    <row r="36610">
      <c r="B36610" s="19"/>
      <c r="E36610" s="23"/>
      <c r="L36610" s="23"/>
    </row>
    <row r="36611">
      <c r="B36611" s="19"/>
      <c r="E36611" s="23"/>
      <c r="L36611" s="23"/>
    </row>
    <row r="36612">
      <c r="B36612" s="19"/>
      <c r="E36612" s="23"/>
      <c r="L36612" s="23"/>
    </row>
    <row r="36613">
      <c r="B36613" s="19"/>
      <c r="E36613" s="23"/>
      <c r="L36613" s="23"/>
    </row>
    <row r="36614">
      <c r="B36614" s="19"/>
      <c r="E36614" s="23"/>
      <c r="L36614" s="23"/>
    </row>
    <row r="36615">
      <c r="B36615" s="19"/>
      <c r="E36615" s="23"/>
      <c r="L36615" s="23"/>
    </row>
    <row r="36616">
      <c r="B36616" s="19"/>
      <c r="E36616" s="23"/>
      <c r="L36616" s="23"/>
    </row>
    <row r="36617">
      <c r="B36617" s="19"/>
      <c r="E36617" s="23"/>
      <c r="L36617" s="23"/>
    </row>
    <row r="36618">
      <c r="B36618" s="19"/>
      <c r="E36618" s="23"/>
      <c r="L36618" s="23"/>
    </row>
    <row r="36619">
      <c r="B36619" s="19"/>
      <c r="E36619" s="23"/>
      <c r="L36619" s="23"/>
    </row>
    <row r="36620">
      <c r="B36620" s="19"/>
      <c r="E36620" s="23"/>
      <c r="L36620" s="23"/>
    </row>
    <row r="36621">
      <c r="B36621" s="19"/>
      <c r="E36621" s="23"/>
      <c r="L36621" s="23"/>
    </row>
    <row r="36622">
      <c r="B36622" s="19"/>
      <c r="E36622" s="23"/>
      <c r="L36622" s="23"/>
    </row>
    <row r="36623">
      <c r="B36623" s="19"/>
      <c r="E36623" s="23"/>
      <c r="L36623" s="23"/>
    </row>
    <row r="36624">
      <c r="B36624" s="19"/>
      <c r="E36624" s="23"/>
      <c r="L36624" s="23"/>
    </row>
    <row r="36625">
      <c r="B36625" s="19"/>
      <c r="E36625" s="23"/>
      <c r="L36625" s="23"/>
    </row>
    <row r="36626">
      <c r="B36626" s="19"/>
      <c r="E36626" s="23"/>
      <c r="L36626" s="23"/>
    </row>
    <row r="36627">
      <c r="B36627" s="19"/>
      <c r="E36627" s="23"/>
      <c r="L36627" s="23"/>
    </row>
    <row r="36628">
      <c r="B36628" s="19"/>
      <c r="E36628" s="23"/>
      <c r="L36628" s="23"/>
    </row>
    <row r="36629">
      <c r="B36629" s="19"/>
      <c r="E36629" s="23"/>
      <c r="L36629" s="23"/>
    </row>
    <row r="36630">
      <c r="B36630" s="19"/>
      <c r="E36630" s="23"/>
      <c r="L36630" s="23"/>
    </row>
    <row r="36631">
      <c r="B36631" s="19"/>
      <c r="E36631" s="23"/>
      <c r="L36631" s="23"/>
    </row>
    <row r="36632">
      <c r="B36632" s="19"/>
      <c r="E36632" s="23"/>
      <c r="L36632" s="23"/>
    </row>
    <row r="36633">
      <c r="B36633" s="19"/>
      <c r="E36633" s="23"/>
      <c r="L36633" s="23"/>
    </row>
    <row r="36634">
      <c r="B36634" s="19"/>
      <c r="E36634" s="23"/>
      <c r="L36634" s="23"/>
    </row>
    <row r="36635">
      <c r="B36635" s="19"/>
      <c r="E36635" s="23"/>
      <c r="L36635" s="23"/>
    </row>
    <row r="36636">
      <c r="B36636" s="19"/>
      <c r="E36636" s="23"/>
      <c r="L36636" s="23"/>
    </row>
    <row r="36637">
      <c r="B36637" s="19"/>
      <c r="E36637" s="23"/>
      <c r="L36637" s="23"/>
    </row>
    <row r="36638">
      <c r="B36638" s="19"/>
      <c r="E36638" s="23"/>
      <c r="L36638" s="23"/>
    </row>
    <row r="36639">
      <c r="B36639" s="19"/>
      <c r="E36639" s="23"/>
      <c r="L36639" s="23"/>
    </row>
    <row r="36640">
      <c r="B36640" s="19"/>
      <c r="E36640" s="23"/>
      <c r="L36640" s="23"/>
    </row>
    <row r="36641">
      <c r="B36641" s="19"/>
      <c r="E36641" s="23"/>
      <c r="L36641" s="23"/>
    </row>
    <row r="36642">
      <c r="B36642" s="19"/>
      <c r="E36642" s="23"/>
      <c r="L36642" s="23"/>
    </row>
    <row r="36643">
      <c r="B36643" s="19"/>
      <c r="E36643" s="23"/>
      <c r="L36643" s="23"/>
    </row>
    <row r="36644">
      <c r="B36644" s="19"/>
      <c r="E36644" s="23"/>
      <c r="L36644" s="23"/>
    </row>
    <row r="36645">
      <c r="B36645" s="19"/>
      <c r="E36645" s="23"/>
      <c r="L36645" s="23"/>
    </row>
    <row r="36646">
      <c r="B36646" s="19"/>
      <c r="E36646" s="23"/>
      <c r="L36646" s="23"/>
    </row>
    <row r="36647">
      <c r="B36647" s="19"/>
      <c r="E36647" s="23"/>
      <c r="L36647" s="23"/>
    </row>
    <row r="36648">
      <c r="B36648" s="19"/>
      <c r="E36648" s="23"/>
      <c r="L36648" s="23"/>
    </row>
    <row r="36649">
      <c r="B36649" s="19"/>
      <c r="E36649" s="23"/>
      <c r="L36649" s="23"/>
    </row>
    <row r="36650">
      <c r="B36650" s="19"/>
      <c r="E36650" s="23"/>
      <c r="L36650" s="23"/>
    </row>
    <row r="36651">
      <c r="B36651" s="19"/>
      <c r="E36651" s="23"/>
      <c r="L36651" s="23"/>
    </row>
    <row r="36652">
      <c r="B36652" s="19"/>
      <c r="E36652" s="23"/>
      <c r="L36652" s="23"/>
    </row>
    <row r="36653">
      <c r="B36653" s="19"/>
      <c r="E36653" s="23"/>
      <c r="L36653" s="23"/>
    </row>
    <row r="36654">
      <c r="B36654" s="19"/>
      <c r="E36654" s="23"/>
      <c r="L36654" s="23"/>
    </row>
    <row r="36655">
      <c r="B36655" s="19"/>
      <c r="E36655" s="23"/>
      <c r="L36655" s="23"/>
    </row>
    <row r="36656">
      <c r="B36656" s="19"/>
      <c r="E36656" s="23"/>
      <c r="L36656" s="23"/>
    </row>
    <row r="36657">
      <c r="B36657" s="19"/>
      <c r="E36657" s="23"/>
      <c r="L36657" s="23"/>
    </row>
    <row r="36658">
      <c r="B36658" s="19"/>
      <c r="E36658" s="23"/>
      <c r="L36658" s="23"/>
    </row>
    <row r="36659">
      <c r="B36659" s="19"/>
      <c r="E36659" s="23"/>
      <c r="L36659" s="23"/>
    </row>
    <row r="36660">
      <c r="B36660" s="19"/>
      <c r="E36660" s="23"/>
      <c r="L36660" s="23"/>
    </row>
    <row r="36661">
      <c r="B36661" s="19"/>
      <c r="E36661" s="23"/>
      <c r="L36661" s="23"/>
    </row>
    <row r="36662">
      <c r="B36662" s="19"/>
      <c r="E36662" s="23"/>
      <c r="L36662" s="23"/>
    </row>
    <row r="36663">
      <c r="B36663" s="19"/>
      <c r="E36663" s="23"/>
      <c r="L36663" s="23"/>
    </row>
    <row r="36664">
      <c r="B36664" s="19"/>
      <c r="E36664" s="23"/>
      <c r="L36664" s="23"/>
    </row>
    <row r="36665">
      <c r="B36665" s="19"/>
      <c r="E36665" s="23"/>
      <c r="L36665" s="23"/>
    </row>
    <row r="36666">
      <c r="B36666" s="19"/>
      <c r="E36666" s="23"/>
      <c r="L36666" s="23"/>
    </row>
    <row r="36667">
      <c r="B36667" s="19"/>
      <c r="E36667" s="23"/>
      <c r="L36667" s="23"/>
    </row>
    <row r="36668">
      <c r="B36668" s="19"/>
      <c r="E36668" s="23"/>
      <c r="L36668" s="23"/>
    </row>
    <row r="36669">
      <c r="B36669" s="19"/>
      <c r="E36669" s="23"/>
      <c r="L36669" s="23"/>
    </row>
    <row r="36670">
      <c r="B36670" s="19"/>
      <c r="E36670" s="23"/>
      <c r="L36670" s="23"/>
    </row>
    <row r="36671">
      <c r="B36671" s="19"/>
      <c r="E36671" s="23"/>
      <c r="L36671" s="23"/>
    </row>
    <row r="36672">
      <c r="B36672" s="19"/>
      <c r="E36672" s="23"/>
      <c r="L36672" s="23"/>
    </row>
    <row r="36673">
      <c r="B36673" s="19"/>
      <c r="E36673" s="23"/>
      <c r="L36673" s="23"/>
    </row>
    <row r="36674">
      <c r="B36674" s="19"/>
      <c r="E36674" s="23"/>
      <c r="L36674" s="23"/>
    </row>
    <row r="36675">
      <c r="B36675" s="19"/>
      <c r="E36675" s="23"/>
      <c r="L36675" s="23"/>
    </row>
    <row r="36676">
      <c r="B36676" s="19"/>
      <c r="E36676" s="23"/>
      <c r="L36676" s="23"/>
    </row>
    <row r="36677">
      <c r="B36677" s="19"/>
      <c r="E36677" s="23"/>
      <c r="L36677" s="23"/>
    </row>
    <row r="36678">
      <c r="B36678" s="19"/>
      <c r="E36678" s="23"/>
      <c r="L36678" s="23"/>
    </row>
    <row r="36679">
      <c r="B36679" s="19"/>
      <c r="E36679" s="23"/>
      <c r="L36679" s="23"/>
    </row>
    <row r="36680">
      <c r="B36680" s="19"/>
      <c r="E36680" s="23"/>
      <c r="L36680" s="23"/>
    </row>
    <row r="36681">
      <c r="B36681" s="19"/>
      <c r="E36681" s="23"/>
      <c r="L36681" s="23"/>
    </row>
    <row r="36682">
      <c r="B36682" s="19"/>
      <c r="E36682" s="23"/>
      <c r="L36682" s="23"/>
    </row>
    <row r="36683">
      <c r="B36683" s="19"/>
      <c r="E36683" s="23"/>
      <c r="L36683" s="23"/>
    </row>
    <row r="36684">
      <c r="B36684" s="19"/>
      <c r="E36684" s="23"/>
      <c r="L36684" s="23"/>
    </row>
    <row r="36685">
      <c r="B36685" s="19"/>
      <c r="E36685" s="23"/>
      <c r="L36685" s="23"/>
    </row>
    <row r="36686">
      <c r="B36686" s="19"/>
      <c r="E36686" s="23"/>
      <c r="L36686" s="23"/>
    </row>
    <row r="36687">
      <c r="B36687" s="19"/>
      <c r="E36687" s="23"/>
      <c r="L36687" s="23"/>
    </row>
    <row r="36688">
      <c r="B36688" s="19"/>
      <c r="E36688" s="23"/>
      <c r="L36688" s="23"/>
    </row>
    <row r="36689">
      <c r="B36689" s="19"/>
      <c r="E36689" s="23"/>
      <c r="L36689" s="23"/>
    </row>
    <row r="36690">
      <c r="B36690" s="19"/>
      <c r="E36690" s="23"/>
      <c r="L36690" s="23"/>
    </row>
    <row r="36691">
      <c r="B36691" s="19"/>
      <c r="E36691" s="23"/>
      <c r="L36691" s="23"/>
    </row>
    <row r="36692">
      <c r="B36692" s="19"/>
      <c r="E36692" s="23"/>
      <c r="L36692" s="23"/>
    </row>
    <row r="36693">
      <c r="B36693" s="19"/>
      <c r="E36693" s="23"/>
      <c r="L36693" s="23"/>
    </row>
    <row r="36694">
      <c r="B36694" s="19"/>
      <c r="E36694" s="23"/>
      <c r="L36694" s="23"/>
    </row>
    <row r="36695">
      <c r="B36695" s="19"/>
      <c r="E36695" s="23"/>
      <c r="L36695" s="23"/>
    </row>
    <row r="36696">
      <c r="B36696" s="19"/>
      <c r="E36696" s="23"/>
      <c r="L36696" s="23"/>
    </row>
    <row r="36697">
      <c r="B36697" s="19"/>
      <c r="E36697" s="23"/>
      <c r="L36697" s="23"/>
    </row>
    <row r="36698">
      <c r="B36698" s="19"/>
      <c r="E36698" s="23"/>
      <c r="L36698" s="23"/>
    </row>
    <row r="36699">
      <c r="B36699" s="19"/>
      <c r="E36699" s="23"/>
      <c r="L36699" s="23"/>
    </row>
    <row r="36700">
      <c r="B36700" s="19"/>
      <c r="E36700" s="23"/>
      <c r="L36700" s="23"/>
    </row>
    <row r="36701">
      <c r="B36701" s="19"/>
      <c r="E36701" s="23"/>
      <c r="L36701" s="23"/>
    </row>
    <row r="36702">
      <c r="B36702" s="19"/>
      <c r="E36702" s="23"/>
      <c r="L36702" s="23"/>
    </row>
    <row r="36703">
      <c r="B36703" s="19"/>
      <c r="E36703" s="23"/>
      <c r="L36703" s="23"/>
    </row>
    <row r="36704">
      <c r="B36704" s="19"/>
      <c r="E36704" s="23"/>
      <c r="L36704" s="23"/>
    </row>
    <row r="36705">
      <c r="B36705" s="19"/>
      <c r="E36705" s="23"/>
      <c r="L36705" s="23"/>
    </row>
    <row r="36706">
      <c r="B36706" s="19"/>
      <c r="E36706" s="23"/>
      <c r="L36706" s="23"/>
    </row>
    <row r="36707">
      <c r="B36707" s="19"/>
      <c r="E36707" s="23"/>
      <c r="L36707" s="23"/>
    </row>
    <row r="36708">
      <c r="B36708" s="19"/>
      <c r="E36708" s="23"/>
      <c r="L36708" s="23"/>
    </row>
    <row r="36709">
      <c r="B36709" s="19"/>
      <c r="E36709" s="23"/>
      <c r="L36709" s="23"/>
    </row>
    <row r="36710">
      <c r="B36710" s="19"/>
      <c r="E36710" s="23"/>
      <c r="L36710" s="23"/>
    </row>
    <row r="36711">
      <c r="B36711" s="19"/>
      <c r="E36711" s="23"/>
      <c r="L36711" s="23"/>
    </row>
    <row r="36712">
      <c r="B36712" s="19"/>
      <c r="E36712" s="23"/>
      <c r="L36712" s="23"/>
    </row>
    <row r="36713">
      <c r="B36713" s="19"/>
      <c r="E36713" s="23"/>
      <c r="L36713" s="23"/>
    </row>
    <row r="36714">
      <c r="B36714" s="19"/>
      <c r="E36714" s="23"/>
      <c r="L36714" s="23"/>
    </row>
    <row r="36715">
      <c r="B36715" s="19"/>
      <c r="E36715" s="23"/>
      <c r="L36715" s="23"/>
    </row>
    <row r="36716">
      <c r="B36716" s="19"/>
      <c r="E36716" s="23"/>
      <c r="L36716" s="23"/>
    </row>
    <row r="36717">
      <c r="B36717" s="19"/>
      <c r="E36717" s="23"/>
      <c r="L36717" s="23"/>
    </row>
    <row r="36718">
      <c r="B36718" s="19"/>
      <c r="E36718" s="23"/>
      <c r="L36718" s="23"/>
    </row>
    <row r="36719">
      <c r="B36719" s="19"/>
      <c r="E36719" s="23"/>
      <c r="L36719" s="23"/>
    </row>
    <row r="36720">
      <c r="B36720" s="19"/>
      <c r="E36720" s="23"/>
      <c r="L36720" s="23"/>
    </row>
    <row r="36721">
      <c r="B36721" s="19"/>
      <c r="E36721" s="23"/>
      <c r="L36721" s="23"/>
    </row>
    <row r="36722">
      <c r="B36722" s="19"/>
      <c r="E36722" s="23"/>
      <c r="L36722" s="23"/>
    </row>
    <row r="36723">
      <c r="B36723" s="19"/>
      <c r="E36723" s="23"/>
      <c r="L36723" s="23"/>
    </row>
    <row r="36724">
      <c r="B36724" s="19"/>
      <c r="E36724" s="23"/>
      <c r="L36724" s="23"/>
    </row>
    <row r="36725">
      <c r="B36725" s="19"/>
      <c r="E36725" s="23"/>
      <c r="L36725" s="23"/>
    </row>
    <row r="36726">
      <c r="B36726" s="19"/>
      <c r="E36726" s="23"/>
      <c r="L36726" s="23"/>
    </row>
    <row r="36727">
      <c r="B36727" s="19"/>
      <c r="E36727" s="23"/>
      <c r="L36727" s="23"/>
    </row>
    <row r="36728">
      <c r="B36728" s="19"/>
      <c r="E36728" s="23"/>
      <c r="L36728" s="23"/>
    </row>
    <row r="36729">
      <c r="B36729" s="19"/>
      <c r="E36729" s="23"/>
      <c r="L36729" s="23"/>
    </row>
    <row r="36730">
      <c r="B36730" s="19"/>
      <c r="E36730" s="23"/>
      <c r="L36730" s="23"/>
    </row>
    <row r="36731">
      <c r="B36731" s="19"/>
      <c r="E36731" s="23"/>
      <c r="L36731" s="23"/>
    </row>
    <row r="36732">
      <c r="B36732" s="19"/>
      <c r="E36732" s="23"/>
      <c r="L36732" s="23"/>
    </row>
    <row r="36733">
      <c r="B36733" s="19"/>
      <c r="E36733" s="23"/>
      <c r="L36733" s="23"/>
    </row>
    <row r="36734">
      <c r="B36734" s="19"/>
      <c r="E36734" s="23"/>
      <c r="L36734" s="23"/>
    </row>
    <row r="36735">
      <c r="B36735" s="19"/>
      <c r="E36735" s="23"/>
      <c r="L36735" s="23"/>
    </row>
    <row r="36736">
      <c r="B36736" s="19"/>
      <c r="E36736" s="23"/>
      <c r="L36736" s="23"/>
    </row>
    <row r="36737">
      <c r="B36737" s="19"/>
      <c r="E36737" s="23"/>
      <c r="L36737" s="23"/>
    </row>
    <row r="36738">
      <c r="B36738" s="19"/>
      <c r="E36738" s="23"/>
      <c r="L36738" s="23"/>
    </row>
    <row r="36739">
      <c r="B36739" s="19"/>
      <c r="E36739" s="23"/>
      <c r="L36739" s="23"/>
    </row>
    <row r="36740">
      <c r="B36740" s="19"/>
      <c r="E36740" s="23"/>
      <c r="L36740" s="23"/>
    </row>
    <row r="36741">
      <c r="B36741" s="19"/>
      <c r="E36741" s="23"/>
      <c r="L36741" s="23"/>
    </row>
    <row r="36742">
      <c r="B36742" s="19"/>
      <c r="E36742" s="23"/>
      <c r="L36742" s="23"/>
    </row>
    <row r="36743">
      <c r="B36743" s="19"/>
      <c r="E36743" s="23"/>
      <c r="L36743" s="23"/>
    </row>
    <row r="36744">
      <c r="B36744" s="19"/>
      <c r="E36744" s="23"/>
      <c r="L36744" s="23"/>
    </row>
    <row r="36745">
      <c r="B36745" s="19"/>
      <c r="E36745" s="23"/>
      <c r="L36745" s="23"/>
    </row>
    <row r="36746">
      <c r="B36746" s="19"/>
      <c r="E36746" s="23"/>
      <c r="L36746" s="23"/>
    </row>
    <row r="36747">
      <c r="B36747" s="19"/>
      <c r="E36747" s="23"/>
      <c r="L36747" s="23"/>
    </row>
    <row r="36748">
      <c r="B36748" s="19"/>
      <c r="E36748" s="23"/>
      <c r="L36748" s="23"/>
    </row>
    <row r="36749">
      <c r="B36749" s="19"/>
      <c r="E36749" s="23"/>
      <c r="L36749" s="23"/>
    </row>
    <row r="36750">
      <c r="B36750" s="19"/>
      <c r="E36750" s="23"/>
      <c r="L36750" s="23"/>
    </row>
    <row r="36751">
      <c r="B36751" s="19"/>
      <c r="E36751" s="23"/>
      <c r="L36751" s="23"/>
    </row>
    <row r="36752">
      <c r="B36752" s="19"/>
      <c r="E36752" s="23"/>
      <c r="L36752" s="23"/>
    </row>
    <row r="36753">
      <c r="B36753" s="19"/>
      <c r="E36753" s="23"/>
      <c r="L36753" s="23"/>
    </row>
    <row r="36754">
      <c r="B36754" s="19"/>
      <c r="E36754" s="23"/>
      <c r="L36754" s="23"/>
    </row>
    <row r="36755">
      <c r="B36755" s="19"/>
      <c r="E36755" s="23"/>
      <c r="L36755" s="23"/>
    </row>
    <row r="36756">
      <c r="B36756" s="19"/>
      <c r="E36756" s="23"/>
      <c r="L36756" s="23"/>
    </row>
    <row r="36757">
      <c r="B36757" s="19"/>
      <c r="E36757" s="23"/>
      <c r="L36757" s="23"/>
    </row>
    <row r="36758">
      <c r="B36758" s="19"/>
      <c r="E36758" s="23"/>
      <c r="L36758" s="23"/>
    </row>
    <row r="36759">
      <c r="B36759" s="19"/>
      <c r="E36759" s="23"/>
      <c r="L36759" s="23"/>
    </row>
    <row r="36760">
      <c r="B36760" s="19"/>
      <c r="E36760" s="23"/>
      <c r="L36760" s="23"/>
    </row>
    <row r="36761">
      <c r="B36761" s="19"/>
      <c r="E36761" s="23"/>
      <c r="L36761" s="23"/>
    </row>
    <row r="36762">
      <c r="B36762" s="19"/>
      <c r="E36762" s="23"/>
      <c r="L36762" s="23"/>
    </row>
    <row r="36763">
      <c r="B36763" s="19"/>
      <c r="E36763" s="23"/>
      <c r="L36763" s="23"/>
    </row>
    <row r="36764">
      <c r="B36764" s="19"/>
      <c r="E36764" s="23"/>
      <c r="L36764" s="23"/>
    </row>
    <row r="36765">
      <c r="B36765" s="19"/>
      <c r="E36765" s="23"/>
      <c r="L36765" s="23"/>
    </row>
    <row r="36766">
      <c r="B36766" s="19"/>
      <c r="E36766" s="23"/>
      <c r="L36766" s="23"/>
    </row>
    <row r="36767">
      <c r="B36767" s="19"/>
      <c r="E36767" s="23"/>
      <c r="L36767" s="23"/>
    </row>
    <row r="36768">
      <c r="B36768" s="19"/>
      <c r="E36768" s="23"/>
      <c r="L36768" s="23"/>
    </row>
    <row r="36769">
      <c r="B36769" s="19"/>
      <c r="E36769" s="23"/>
      <c r="L36769" s="23"/>
    </row>
    <row r="36770">
      <c r="B36770" s="19"/>
      <c r="E36770" s="23"/>
      <c r="L36770" s="23"/>
    </row>
    <row r="36771">
      <c r="B36771" s="19"/>
      <c r="E36771" s="23"/>
      <c r="L36771" s="23"/>
    </row>
    <row r="36772">
      <c r="B36772" s="19"/>
      <c r="E36772" s="23"/>
      <c r="L36772" s="23"/>
    </row>
    <row r="36773">
      <c r="B36773" s="19"/>
      <c r="E36773" s="23"/>
      <c r="L36773" s="23"/>
    </row>
    <row r="36774">
      <c r="B36774" s="19"/>
      <c r="E36774" s="23"/>
      <c r="L36774" s="23"/>
    </row>
    <row r="36775">
      <c r="B36775" s="19"/>
      <c r="E36775" s="23"/>
      <c r="L36775" s="23"/>
    </row>
    <row r="36776">
      <c r="B36776" s="19"/>
      <c r="E36776" s="23"/>
      <c r="L36776" s="23"/>
    </row>
    <row r="36777">
      <c r="B36777" s="19"/>
      <c r="E36777" s="23"/>
      <c r="L36777" s="23"/>
    </row>
    <row r="36778">
      <c r="B36778" s="19"/>
      <c r="E36778" s="23"/>
      <c r="L36778" s="23"/>
    </row>
    <row r="36779">
      <c r="B36779" s="19"/>
      <c r="E36779" s="23"/>
      <c r="L36779" s="23"/>
    </row>
    <row r="36780">
      <c r="B36780" s="19"/>
      <c r="E36780" s="23"/>
      <c r="L36780" s="23"/>
    </row>
    <row r="36781">
      <c r="B36781" s="19"/>
      <c r="E36781" s="23"/>
      <c r="L36781" s="23"/>
    </row>
    <row r="36782">
      <c r="B36782" s="19"/>
      <c r="E36782" s="23"/>
      <c r="L36782" s="23"/>
    </row>
    <row r="36783">
      <c r="B36783" s="19"/>
      <c r="E36783" s="23"/>
      <c r="L36783" s="23"/>
    </row>
    <row r="36784">
      <c r="B36784" s="19"/>
      <c r="E36784" s="23"/>
      <c r="L36784" s="23"/>
    </row>
    <row r="36785">
      <c r="B36785" s="19"/>
      <c r="E36785" s="23"/>
      <c r="L36785" s="23"/>
    </row>
    <row r="36786">
      <c r="B36786" s="19"/>
      <c r="E36786" s="23"/>
      <c r="L36786" s="23"/>
    </row>
    <row r="36787">
      <c r="B36787" s="19"/>
      <c r="E36787" s="23"/>
      <c r="L36787" s="23"/>
    </row>
    <row r="36788">
      <c r="B36788" s="19"/>
      <c r="E36788" s="23"/>
      <c r="L36788" s="23"/>
    </row>
    <row r="36789">
      <c r="B36789" s="19"/>
      <c r="E36789" s="23"/>
      <c r="L36789" s="23"/>
    </row>
    <row r="36790">
      <c r="B36790" s="19"/>
      <c r="E36790" s="23"/>
      <c r="L36790" s="23"/>
    </row>
    <row r="36791">
      <c r="B36791" s="19"/>
      <c r="E36791" s="23"/>
      <c r="L36791" s="23"/>
    </row>
    <row r="36792">
      <c r="B36792" s="19"/>
      <c r="E36792" s="23"/>
      <c r="L36792" s="23"/>
    </row>
    <row r="36793">
      <c r="B36793" s="19"/>
      <c r="E36793" s="23"/>
      <c r="L36793" s="23"/>
    </row>
    <row r="36794">
      <c r="B36794" s="19"/>
      <c r="E36794" s="23"/>
      <c r="L36794" s="23"/>
    </row>
    <row r="36795">
      <c r="B36795" s="19"/>
      <c r="E36795" s="23"/>
      <c r="L36795" s="23"/>
    </row>
    <row r="36796">
      <c r="B36796" s="19"/>
      <c r="E36796" s="23"/>
      <c r="L36796" s="23"/>
    </row>
    <row r="36797">
      <c r="B36797" s="19"/>
      <c r="E36797" s="23"/>
      <c r="L36797" s="23"/>
    </row>
    <row r="36798">
      <c r="B36798" s="19"/>
      <c r="E36798" s="23"/>
      <c r="L36798" s="23"/>
    </row>
    <row r="36799">
      <c r="B36799" s="19"/>
      <c r="E36799" s="23"/>
      <c r="L36799" s="23"/>
    </row>
    <row r="36800">
      <c r="B36800" s="19"/>
      <c r="E36800" s="23"/>
      <c r="L36800" s="23"/>
    </row>
    <row r="36801">
      <c r="B36801" s="19"/>
      <c r="E36801" s="23"/>
      <c r="L36801" s="23"/>
    </row>
    <row r="36802">
      <c r="B36802" s="19"/>
      <c r="E36802" s="23"/>
      <c r="L36802" s="23"/>
    </row>
    <row r="36803">
      <c r="B36803" s="19"/>
      <c r="E36803" s="23"/>
      <c r="L36803" s="23"/>
    </row>
    <row r="36804">
      <c r="B36804" s="19"/>
      <c r="E36804" s="23"/>
      <c r="L36804" s="23"/>
    </row>
    <row r="36805">
      <c r="B36805" s="19"/>
      <c r="E36805" s="23"/>
      <c r="L36805" s="23"/>
    </row>
    <row r="36806">
      <c r="B36806" s="19"/>
      <c r="E36806" s="23"/>
      <c r="L36806" s="23"/>
    </row>
    <row r="36807">
      <c r="B36807" s="19"/>
      <c r="E36807" s="23"/>
      <c r="L36807" s="23"/>
    </row>
    <row r="36808">
      <c r="B36808" s="19"/>
      <c r="E36808" s="23"/>
      <c r="L36808" s="23"/>
    </row>
    <row r="36809">
      <c r="B36809" s="19"/>
      <c r="E36809" s="23"/>
      <c r="L36809" s="23"/>
    </row>
    <row r="36810">
      <c r="B36810" s="19"/>
      <c r="E36810" s="23"/>
      <c r="L36810" s="23"/>
    </row>
    <row r="36811">
      <c r="B36811" s="19"/>
      <c r="E36811" s="23"/>
      <c r="L36811" s="23"/>
    </row>
    <row r="36812">
      <c r="B36812" s="19"/>
      <c r="E36812" s="23"/>
      <c r="L36812" s="23"/>
    </row>
    <row r="36813">
      <c r="B36813" s="19"/>
      <c r="E36813" s="23"/>
      <c r="L36813" s="23"/>
    </row>
    <row r="36814">
      <c r="B36814" s="19"/>
      <c r="E36814" s="23"/>
      <c r="L36814" s="23"/>
    </row>
    <row r="36815">
      <c r="B36815" s="19"/>
      <c r="E36815" s="23"/>
      <c r="L36815" s="23"/>
    </row>
    <row r="36816">
      <c r="B36816" s="19"/>
      <c r="E36816" s="23"/>
      <c r="L36816" s="23"/>
    </row>
    <row r="36817">
      <c r="B36817" s="19"/>
      <c r="E36817" s="23"/>
      <c r="L36817" s="23"/>
    </row>
    <row r="36818">
      <c r="B36818" s="19"/>
      <c r="E36818" s="23"/>
      <c r="L36818" s="23"/>
    </row>
    <row r="36819">
      <c r="B36819" s="19"/>
      <c r="E36819" s="23"/>
      <c r="L36819" s="23"/>
    </row>
    <row r="36820">
      <c r="B36820" s="19"/>
      <c r="E36820" s="23"/>
      <c r="L36820" s="23"/>
    </row>
    <row r="36821">
      <c r="B36821" s="19"/>
      <c r="E36821" s="23"/>
      <c r="L36821" s="23"/>
    </row>
    <row r="36822">
      <c r="B36822" s="19"/>
      <c r="E36822" s="23"/>
      <c r="L36822" s="23"/>
    </row>
    <row r="36823">
      <c r="B36823" s="19"/>
      <c r="E36823" s="23"/>
      <c r="L36823" s="23"/>
    </row>
    <row r="36824">
      <c r="B36824" s="19"/>
      <c r="E36824" s="23"/>
      <c r="L36824" s="23"/>
    </row>
    <row r="36825">
      <c r="B36825" s="19"/>
      <c r="E36825" s="23"/>
      <c r="L36825" s="23"/>
    </row>
    <row r="36826">
      <c r="B36826" s="19"/>
      <c r="E36826" s="23"/>
      <c r="L36826" s="23"/>
    </row>
    <row r="36827">
      <c r="B36827" s="19"/>
      <c r="E36827" s="23"/>
      <c r="L36827" s="23"/>
    </row>
    <row r="36828">
      <c r="B36828" s="19"/>
      <c r="E36828" s="23"/>
      <c r="L36828" s="23"/>
    </row>
    <row r="36829">
      <c r="B36829" s="19"/>
      <c r="E36829" s="23"/>
      <c r="L36829" s="23"/>
    </row>
    <row r="36830">
      <c r="B36830" s="19"/>
      <c r="E36830" s="23"/>
      <c r="L36830" s="23"/>
    </row>
    <row r="36831">
      <c r="B36831" s="19"/>
      <c r="E36831" s="23"/>
      <c r="L36831" s="23"/>
    </row>
    <row r="36832">
      <c r="B36832" s="19"/>
      <c r="E36832" s="23"/>
      <c r="L36832" s="23"/>
    </row>
    <row r="36833">
      <c r="B36833" s="19"/>
      <c r="E36833" s="23"/>
      <c r="L36833" s="23"/>
    </row>
    <row r="36834">
      <c r="B36834" s="19"/>
      <c r="E36834" s="23"/>
      <c r="L36834" s="23"/>
    </row>
    <row r="36835">
      <c r="B36835" s="19"/>
      <c r="E36835" s="23"/>
      <c r="L36835" s="23"/>
    </row>
    <row r="36836">
      <c r="B36836" s="19"/>
      <c r="E36836" s="23"/>
      <c r="L36836" s="23"/>
    </row>
    <row r="36837">
      <c r="B36837" s="19"/>
      <c r="E36837" s="23"/>
      <c r="L36837" s="23"/>
    </row>
    <row r="36838">
      <c r="B36838" s="19"/>
      <c r="E36838" s="23"/>
      <c r="L36838" s="23"/>
    </row>
    <row r="36839">
      <c r="B36839" s="19"/>
      <c r="E36839" s="23"/>
      <c r="L36839" s="23"/>
    </row>
    <row r="36840">
      <c r="B36840" s="19"/>
      <c r="E36840" s="23"/>
      <c r="L36840" s="23"/>
    </row>
    <row r="36841">
      <c r="B36841" s="19"/>
      <c r="E36841" s="23"/>
      <c r="L36841" s="23"/>
    </row>
    <row r="36842">
      <c r="B36842" s="19"/>
      <c r="E36842" s="23"/>
      <c r="L36842" s="23"/>
    </row>
    <row r="36843">
      <c r="B36843" s="19"/>
      <c r="E36843" s="23"/>
      <c r="L36843" s="23"/>
    </row>
    <row r="36844">
      <c r="B36844" s="19"/>
      <c r="E36844" s="23"/>
      <c r="L36844" s="23"/>
    </row>
    <row r="36845">
      <c r="B36845" s="19"/>
      <c r="E36845" s="23"/>
      <c r="L36845" s="23"/>
    </row>
    <row r="36846">
      <c r="B36846" s="19"/>
      <c r="E36846" s="23"/>
      <c r="L36846" s="23"/>
    </row>
    <row r="36847">
      <c r="B36847" s="19"/>
      <c r="E36847" s="23"/>
      <c r="L36847" s="23"/>
    </row>
    <row r="36848">
      <c r="B36848" s="19"/>
      <c r="E36848" s="23"/>
      <c r="L36848" s="23"/>
    </row>
    <row r="36849">
      <c r="B36849" s="19"/>
      <c r="E36849" s="23"/>
      <c r="L36849" s="23"/>
    </row>
    <row r="36850">
      <c r="B36850" s="19"/>
      <c r="E36850" s="23"/>
      <c r="L36850" s="23"/>
    </row>
    <row r="36851">
      <c r="B36851" s="19"/>
      <c r="E36851" s="23"/>
      <c r="L36851" s="23"/>
    </row>
    <row r="36852">
      <c r="B36852" s="19"/>
      <c r="E36852" s="23"/>
      <c r="L36852" s="23"/>
    </row>
    <row r="36853">
      <c r="B36853" s="19"/>
      <c r="E36853" s="23"/>
      <c r="L36853" s="23"/>
    </row>
    <row r="36854">
      <c r="B36854" s="19"/>
      <c r="E36854" s="23"/>
      <c r="L36854" s="23"/>
    </row>
    <row r="36855">
      <c r="B36855" s="19"/>
      <c r="E36855" s="23"/>
      <c r="L36855" s="23"/>
    </row>
    <row r="36856">
      <c r="B36856" s="19"/>
      <c r="E36856" s="23"/>
      <c r="L36856" s="23"/>
    </row>
    <row r="36857">
      <c r="B36857" s="19"/>
      <c r="E36857" s="23"/>
      <c r="L36857" s="23"/>
    </row>
    <row r="36858">
      <c r="B36858" s="19"/>
      <c r="E36858" s="23"/>
      <c r="L36858" s="23"/>
    </row>
    <row r="36859">
      <c r="B36859" s="19"/>
      <c r="E36859" s="23"/>
      <c r="L36859" s="23"/>
    </row>
    <row r="36860">
      <c r="B36860" s="19"/>
      <c r="E36860" s="23"/>
      <c r="L36860" s="23"/>
    </row>
    <row r="36861">
      <c r="B36861" s="19"/>
      <c r="E36861" s="23"/>
      <c r="L36861" s="23"/>
    </row>
    <row r="36862">
      <c r="B36862" s="19"/>
      <c r="E36862" s="23"/>
      <c r="L36862" s="23"/>
    </row>
    <row r="36863">
      <c r="B36863" s="19"/>
      <c r="E36863" s="23"/>
      <c r="L36863" s="23"/>
    </row>
    <row r="36864">
      <c r="B36864" s="19"/>
      <c r="E36864" s="23"/>
      <c r="L36864" s="23"/>
    </row>
    <row r="36865">
      <c r="B36865" s="19"/>
      <c r="E36865" s="23"/>
      <c r="L36865" s="23"/>
    </row>
    <row r="36866">
      <c r="B36866" s="19"/>
      <c r="E36866" s="23"/>
      <c r="L36866" s="23"/>
    </row>
    <row r="36867">
      <c r="B36867" s="19"/>
      <c r="E36867" s="23"/>
      <c r="L36867" s="23"/>
    </row>
    <row r="36868">
      <c r="B36868" s="19"/>
      <c r="E36868" s="23"/>
      <c r="L36868" s="23"/>
    </row>
    <row r="36869">
      <c r="B36869" s="19"/>
      <c r="E36869" s="23"/>
      <c r="L36869" s="23"/>
    </row>
    <row r="36870">
      <c r="B36870" s="19"/>
      <c r="E36870" s="23"/>
      <c r="L36870" s="23"/>
    </row>
    <row r="36871">
      <c r="B36871" s="19"/>
      <c r="E36871" s="23"/>
      <c r="L36871" s="23"/>
    </row>
    <row r="36872">
      <c r="B36872" s="19"/>
      <c r="E36872" s="23"/>
      <c r="L36872" s="23"/>
    </row>
    <row r="36873">
      <c r="B36873" s="19"/>
      <c r="E36873" s="23"/>
      <c r="L36873" s="23"/>
    </row>
    <row r="36874">
      <c r="B36874" s="19"/>
      <c r="E36874" s="23"/>
      <c r="L36874" s="23"/>
    </row>
    <row r="36875">
      <c r="B36875" s="19"/>
      <c r="E36875" s="23"/>
      <c r="L36875" s="23"/>
    </row>
    <row r="36876">
      <c r="B36876" s="19"/>
      <c r="E36876" s="23"/>
      <c r="L36876" s="23"/>
    </row>
    <row r="36877">
      <c r="B36877" s="19"/>
      <c r="E36877" s="23"/>
      <c r="L36877" s="23"/>
    </row>
    <row r="36878">
      <c r="B36878" s="19"/>
      <c r="E36878" s="23"/>
      <c r="L36878" s="23"/>
    </row>
    <row r="36879">
      <c r="B36879" s="19"/>
      <c r="E36879" s="23"/>
      <c r="L36879" s="23"/>
    </row>
    <row r="36880">
      <c r="B36880" s="19"/>
      <c r="E36880" s="23"/>
      <c r="L36880" s="23"/>
    </row>
    <row r="36881">
      <c r="B36881" s="19"/>
      <c r="E36881" s="23"/>
      <c r="L36881" s="23"/>
    </row>
    <row r="36882">
      <c r="B36882" s="19"/>
      <c r="E36882" s="23"/>
      <c r="L36882" s="23"/>
    </row>
    <row r="36883">
      <c r="B36883" s="19"/>
      <c r="E36883" s="23"/>
      <c r="L36883" s="23"/>
    </row>
    <row r="36884">
      <c r="B36884" s="19"/>
      <c r="E36884" s="23"/>
      <c r="L36884" s="23"/>
    </row>
    <row r="36885">
      <c r="B36885" s="19"/>
      <c r="E36885" s="23"/>
      <c r="L36885" s="23"/>
    </row>
    <row r="36886">
      <c r="B36886" s="19"/>
      <c r="E36886" s="23"/>
      <c r="L36886" s="23"/>
    </row>
    <row r="36887">
      <c r="B36887" s="19"/>
      <c r="E36887" s="23"/>
      <c r="L36887" s="23"/>
    </row>
    <row r="36888">
      <c r="B36888" s="19"/>
      <c r="E36888" s="23"/>
      <c r="L36888" s="23"/>
    </row>
    <row r="36889">
      <c r="B36889" s="19"/>
      <c r="E36889" s="23"/>
      <c r="L36889" s="23"/>
    </row>
    <row r="36890">
      <c r="B36890" s="19"/>
      <c r="E36890" s="23"/>
      <c r="L36890" s="23"/>
    </row>
    <row r="36891">
      <c r="B36891" s="19"/>
      <c r="E36891" s="23"/>
      <c r="L36891" s="23"/>
    </row>
    <row r="36892">
      <c r="B36892" s="19"/>
      <c r="E36892" s="23"/>
      <c r="L36892" s="23"/>
    </row>
    <row r="36893">
      <c r="B36893" s="19"/>
      <c r="E36893" s="23"/>
      <c r="L36893" s="23"/>
    </row>
    <row r="36894">
      <c r="B36894" s="19"/>
      <c r="E36894" s="23"/>
      <c r="L36894" s="23"/>
    </row>
    <row r="36895">
      <c r="B36895" s="19"/>
      <c r="E36895" s="23"/>
      <c r="L36895" s="23"/>
    </row>
    <row r="36896">
      <c r="B36896" s="19"/>
      <c r="E36896" s="23"/>
      <c r="L36896" s="23"/>
    </row>
    <row r="36897">
      <c r="B36897" s="19"/>
      <c r="E36897" s="23"/>
      <c r="L36897" s="23"/>
    </row>
    <row r="36898">
      <c r="B36898" s="19"/>
      <c r="E36898" s="23"/>
      <c r="L36898" s="23"/>
    </row>
    <row r="36899">
      <c r="B36899" s="19"/>
      <c r="E36899" s="23"/>
      <c r="L36899" s="23"/>
    </row>
    <row r="36900">
      <c r="B36900" s="19"/>
      <c r="E36900" s="23"/>
      <c r="L36900" s="23"/>
    </row>
    <row r="36901">
      <c r="B36901" s="19"/>
      <c r="E36901" s="23"/>
      <c r="L36901" s="23"/>
    </row>
    <row r="36902">
      <c r="B36902" s="19"/>
      <c r="E36902" s="23"/>
      <c r="L36902" s="23"/>
    </row>
    <row r="36903">
      <c r="B36903" s="19"/>
      <c r="E36903" s="23"/>
      <c r="L36903" s="23"/>
    </row>
    <row r="36904">
      <c r="B36904" s="19"/>
      <c r="E36904" s="23"/>
      <c r="L36904" s="23"/>
    </row>
    <row r="36905">
      <c r="B36905" s="19"/>
      <c r="E36905" s="23"/>
      <c r="L36905" s="23"/>
    </row>
    <row r="36906">
      <c r="B36906" s="19"/>
      <c r="E36906" s="23"/>
      <c r="L36906" s="23"/>
    </row>
    <row r="36907">
      <c r="B36907" s="19"/>
      <c r="E36907" s="23"/>
      <c r="L36907" s="23"/>
    </row>
    <row r="36908">
      <c r="B36908" s="19"/>
      <c r="E36908" s="23"/>
      <c r="L36908" s="23"/>
    </row>
    <row r="36909">
      <c r="B36909" s="19"/>
      <c r="E36909" s="23"/>
      <c r="L36909" s="23"/>
    </row>
    <row r="36910">
      <c r="B36910" s="19"/>
      <c r="E36910" s="23"/>
      <c r="L36910" s="23"/>
    </row>
    <row r="36911">
      <c r="B36911" s="19"/>
      <c r="E36911" s="23"/>
      <c r="L36911" s="23"/>
    </row>
    <row r="36912">
      <c r="B36912" s="19"/>
      <c r="E36912" s="23"/>
      <c r="L36912" s="23"/>
    </row>
    <row r="36913">
      <c r="B36913" s="19"/>
      <c r="E36913" s="23"/>
      <c r="L36913" s="23"/>
    </row>
    <row r="36914">
      <c r="B36914" s="19"/>
      <c r="E36914" s="23"/>
      <c r="L36914" s="23"/>
    </row>
    <row r="36915">
      <c r="B36915" s="19"/>
      <c r="E36915" s="23"/>
      <c r="L36915" s="23"/>
    </row>
    <row r="36916">
      <c r="B36916" s="19"/>
      <c r="E36916" s="23"/>
      <c r="L36916" s="23"/>
    </row>
    <row r="36917">
      <c r="B36917" s="19"/>
      <c r="E36917" s="23"/>
      <c r="L36917" s="23"/>
    </row>
    <row r="36918">
      <c r="B36918" s="19"/>
      <c r="E36918" s="23"/>
      <c r="L36918" s="23"/>
    </row>
    <row r="36919">
      <c r="B36919" s="19"/>
      <c r="E36919" s="23"/>
      <c r="L36919" s="23"/>
    </row>
    <row r="36920">
      <c r="B36920" s="19"/>
      <c r="E36920" s="23"/>
      <c r="L36920" s="23"/>
    </row>
    <row r="36921">
      <c r="B36921" s="19"/>
      <c r="E36921" s="23"/>
      <c r="L36921" s="23"/>
    </row>
    <row r="36922">
      <c r="B36922" s="19"/>
      <c r="E36922" s="23"/>
      <c r="L36922" s="23"/>
    </row>
    <row r="36923">
      <c r="B36923" s="19"/>
      <c r="E36923" s="23"/>
      <c r="L36923" s="23"/>
    </row>
    <row r="36924">
      <c r="B36924" s="19"/>
      <c r="E36924" s="23"/>
      <c r="L36924" s="23"/>
    </row>
    <row r="36925">
      <c r="B36925" s="19"/>
      <c r="E36925" s="23"/>
      <c r="L36925" s="23"/>
    </row>
    <row r="36926">
      <c r="B36926" s="19"/>
      <c r="E36926" s="23"/>
      <c r="L36926" s="23"/>
    </row>
    <row r="36927">
      <c r="B36927" s="19"/>
      <c r="E36927" s="23"/>
      <c r="L36927" s="23"/>
    </row>
    <row r="36928">
      <c r="B36928" s="19"/>
      <c r="E36928" s="23"/>
      <c r="L36928" s="23"/>
    </row>
    <row r="36929">
      <c r="B36929" s="19"/>
      <c r="E36929" s="23"/>
      <c r="L36929" s="23"/>
    </row>
    <row r="36930">
      <c r="B36930" s="19"/>
      <c r="E36930" s="23"/>
      <c r="L36930" s="23"/>
    </row>
    <row r="36931">
      <c r="B36931" s="19"/>
      <c r="E36931" s="23"/>
      <c r="L36931" s="23"/>
    </row>
    <row r="36932">
      <c r="B36932" s="19"/>
      <c r="E36932" s="23"/>
      <c r="L36932" s="23"/>
    </row>
    <row r="36933">
      <c r="B36933" s="19"/>
      <c r="E36933" s="23"/>
      <c r="L36933" s="23"/>
    </row>
    <row r="36934">
      <c r="B36934" s="19"/>
      <c r="E36934" s="23"/>
      <c r="L36934" s="23"/>
    </row>
    <row r="36935">
      <c r="B36935" s="19"/>
      <c r="E36935" s="23"/>
      <c r="L36935" s="23"/>
    </row>
    <row r="36936">
      <c r="B36936" s="19"/>
      <c r="E36936" s="23"/>
      <c r="L36936" s="23"/>
    </row>
    <row r="36937">
      <c r="B36937" s="19"/>
      <c r="E36937" s="23"/>
      <c r="L36937" s="23"/>
    </row>
    <row r="36938">
      <c r="B36938" s="19"/>
      <c r="E36938" s="23"/>
      <c r="L36938" s="23"/>
    </row>
    <row r="36939">
      <c r="B36939" s="19"/>
      <c r="E36939" s="23"/>
      <c r="L36939" s="23"/>
    </row>
    <row r="36940">
      <c r="B36940" s="19"/>
      <c r="E36940" s="23"/>
      <c r="L36940" s="23"/>
    </row>
    <row r="36941">
      <c r="B36941" s="19"/>
      <c r="E36941" s="23"/>
      <c r="L36941" s="23"/>
    </row>
    <row r="36942">
      <c r="B36942" s="19"/>
      <c r="E36942" s="23"/>
      <c r="L36942" s="23"/>
    </row>
    <row r="36943">
      <c r="B36943" s="19"/>
      <c r="E36943" s="23"/>
      <c r="L36943" s="23"/>
    </row>
    <row r="36944">
      <c r="B36944" s="19"/>
      <c r="E36944" s="23"/>
      <c r="L36944" s="23"/>
    </row>
    <row r="36945">
      <c r="B36945" s="19"/>
      <c r="E36945" s="23"/>
      <c r="L36945" s="23"/>
    </row>
    <row r="36946">
      <c r="B36946" s="19"/>
      <c r="E36946" s="23"/>
      <c r="L36946" s="23"/>
    </row>
    <row r="36947">
      <c r="B36947" s="19"/>
      <c r="E36947" s="23"/>
      <c r="L36947" s="23"/>
    </row>
    <row r="36948">
      <c r="B36948" s="19"/>
      <c r="E36948" s="23"/>
      <c r="L36948" s="23"/>
    </row>
    <row r="36949">
      <c r="B36949" s="19"/>
      <c r="E36949" s="23"/>
      <c r="L36949" s="23"/>
    </row>
    <row r="36950">
      <c r="B36950" s="19"/>
      <c r="E36950" s="23"/>
      <c r="L36950" s="23"/>
    </row>
    <row r="36951">
      <c r="B36951" s="19"/>
      <c r="E36951" s="23"/>
      <c r="L36951" s="23"/>
    </row>
    <row r="36952">
      <c r="B36952" s="19"/>
      <c r="E36952" s="23"/>
      <c r="L36952" s="23"/>
    </row>
    <row r="36953">
      <c r="B36953" s="19"/>
      <c r="E36953" s="23"/>
      <c r="L36953" s="23"/>
    </row>
    <row r="36954">
      <c r="B36954" s="19"/>
      <c r="E36954" s="23"/>
      <c r="L36954" s="23"/>
    </row>
    <row r="36955">
      <c r="B36955" s="19"/>
      <c r="E36955" s="23"/>
      <c r="L36955" s="23"/>
    </row>
    <row r="36956">
      <c r="B36956" s="19"/>
      <c r="E36956" s="23"/>
      <c r="L36956" s="23"/>
    </row>
    <row r="36957">
      <c r="B36957" s="19"/>
      <c r="E36957" s="23"/>
      <c r="L36957" s="23"/>
    </row>
    <row r="36958">
      <c r="B36958" s="19"/>
      <c r="E36958" s="23"/>
      <c r="L36958" s="23"/>
    </row>
    <row r="36959">
      <c r="B36959" s="19"/>
      <c r="E36959" s="23"/>
      <c r="L36959" s="23"/>
    </row>
    <row r="36960">
      <c r="B36960" s="19"/>
      <c r="E36960" s="23"/>
      <c r="L36960" s="23"/>
    </row>
    <row r="36961">
      <c r="B36961" s="19"/>
      <c r="E36961" s="23"/>
      <c r="L36961" s="23"/>
    </row>
    <row r="36962">
      <c r="B36962" s="19"/>
      <c r="E36962" s="23"/>
      <c r="L36962" s="23"/>
    </row>
    <row r="36963">
      <c r="B36963" s="19"/>
      <c r="E36963" s="23"/>
      <c r="L36963" s="23"/>
    </row>
    <row r="36964">
      <c r="B36964" s="19"/>
      <c r="E36964" s="23"/>
      <c r="L36964" s="23"/>
    </row>
    <row r="36965">
      <c r="B36965" s="19"/>
      <c r="E36965" s="23"/>
      <c r="L36965" s="23"/>
    </row>
    <row r="36966">
      <c r="B36966" s="19"/>
      <c r="E36966" s="23"/>
      <c r="L36966" s="23"/>
    </row>
    <row r="36967">
      <c r="B36967" s="19"/>
      <c r="E36967" s="23"/>
      <c r="L36967" s="23"/>
    </row>
    <row r="36968">
      <c r="B36968" s="19"/>
      <c r="E36968" s="23"/>
      <c r="L36968" s="23"/>
    </row>
    <row r="36969">
      <c r="B36969" s="19"/>
      <c r="E36969" s="23"/>
      <c r="L36969" s="23"/>
    </row>
    <row r="36970">
      <c r="B36970" s="19"/>
      <c r="E36970" s="23"/>
      <c r="L36970" s="23"/>
    </row>
    <row r="36971">
      <c r="B36971" s="19"/>
      <c r="E36971" s="23"/>
      <c r="L36971" s="23"/>
    </row>
    <row r="36972">
      <c r="B36972" s="19"/>
      <c r="E36972" s="23"/>
      <c r="L36972" s="23"/>
    </row>
    <row r="36973">
      <c r="B36973" s="19"/>
      <c r="E36973" s="23"/>
      <c r="L36973" s="23"/>
    </row>
    <row r="36974">
      <c r="B36974" s="19"/>
      <c r="E36974" s="23"/>
      <c r="L36974" s="23"/>
    </row>
    <row r="36975">
      <c r="B36975" s="19"/>
      <c r="E36975" s="23"/>
      <c r="L36975" s="23"/>
    </row>
    <row r="36976">
      <c r="B36976" s="19"/>
      <c r="E36976" s="23"/>
      <c r="L36976" s="23"/>
    </row>
    <row r="36977">
      <c r="B36977" s="19"/>
      <c r="E36977" s="23"/>
      <c r="L36977" s="23"/>
    </row>
    <row r="36978">
      <c r="B36978" s="19"/>
      <c r="E36978" s="23"/>
      <c r="L36978" s="23"/>
    </row>
    <row r="36979">
      <c r="B36979" s="19"/>
      <c r="E36979" s="23"/>
      <c r="L36979" s="23"/>
    </row>
    <row r="36980">
      <c r="B36980" s="19"/>
      <c r="E36980" s="23"/>
      <c r="L36980" s="23"/>
    </row>
    <row r="36981">
      <c r="B36981" s="19"/>
      <c r="E36981" s="23"/>
      <c r="L36981" s="23"/>
    </row>
    <row r="36982">
      <c r="B36982" s="19"/>
      <c r="E36982" s="23"/>
      <c r="L36982" s="23"/>
    </row>
    <row r="36983">
      <c r="B36983" s="19"/>
      <c r="E36983" s="23"/>
      <c r="L36983" s="23"/>
    </row>
    <row r="36984">
      <c r="B36984" s="19"/>
      <c r="E36984" s="23"/>
      <c r="L36984" s="23"/>
    </row>
    <row r="36985">
      <c r="B36985" s="19"/>
      <c r="E36985" s="23"/>
      <c r="L36985" s="23"/>
    </row>
    <row r="36986">
      <c r="B36986" s="19"/>
      <c r="E36986" s="23"/>
      <c r="L36986" s="23"/>
    </row>
    <row r="36987">
      <c r="B36987" s="19"/>
      <c r="E36987" s="23"/>
      <c r="L36987" s="23"/>
    </row>
    <row r="36988">
      <c r="B36988" s="19"/>
      <c r="E36988" s="23"/>
      <c r="L36988" s="23"/>
    </row>
    <row r="36989">
      <c r="B36989" s="19"/>
      <c r="E36989" s="23"/>
      <c r="L36989" s="23"/>
    </row>
    <row r="36990">
      <c r="B36990" s="19"/>
      <c r="E36990" s="23"/>
      <c r="L36990" s="23"/>
    </row>
    <row r="36991">
      <c r="B36991" s="19"/>
      <c r="E36991" s="23"/>
      <c r="L36991" s="23"/>
    </row>
    <row r="36992">
      <c r="B36992" s="19"/>
      <c r="E36992" s="23"/>
      <c r="L36992" s="23"/>
    </row>
    <row r="36993">
      <c r="B36993" s="19"/>
      <c r="E36993" s="23"/>
      <c r="L36993" s="23"/>
    </row>
    <row r="36994">
      <c r="B36994" s="19"/>
      <c r="E36994" s="23"/>
      <c r="L36994" s="23"/>
    </row>
    <row r="36995">
      <c r="B36995" s="19"/>
      <c r="E36995" s="23"/>
      <c r="L36995" s="23"/>
    </row>
    <row r="36996">
      <c r="B36996" s="19"/>
      <c r="E36996" s="23"/>
      <c r="L36996" s="23"/>
    </row>
    <row r="36997">
      <c r="B36997" s="19"/>
      <c r="E36997" s="23"/>
      <c r="L36997" s="23"/>
    </row>
    <row r="36998">
      <c r="B36998" s="19"/>
      <c r="E36998" s="23"/>
      <c r="L36998" s="23"/>
    </row>
    <row r="36999">
      <c r="B36999" s="19"/>
      <c r="E36999" s="23"/>
      <c r="L36999" s="23"/>
    </row>
    <row r="37000">
      <c r="B37000" s="19"/>
      <c r="E37000" s="23"/>
      <c r="L37000" s="23"/>
    </row>
    <row r="37001">
      <c r="B37001" s="19"/>
      <c r="E37001" s="23"/>
      <c r="L37001" s="23"/>
    </row>
    <row r="37002">
      <c r="B37002" s="19"/>
      <c r="E37002" s="23"/>
      <c r="L37002" s="23"/>
    </row>
    <row r="37003">
      <c r="B37003" s="19"/>
      <c r="E37003" s="23"/>
      <c r="L37003" s="23"/>
    </row>
    <row r="37004">
      <c r="B37004" s="19"/>
      <c r="E37004" s="23"/>
      <c r="L37004" s="23"/>
    </row>
    <row r="37005">
      <c r="B37005" s="19"/>
      <c r="E37005" s="23"/>
      <c r="L37005" s="23"/>
    </row>
    <row r="37006">
      <c r="B37006" s="19"/>
      <c r="E37006" s="23"/>
      <c r="L37006" s="23"/>
    </row>
    <row r="37007">
      <c r="B37007" s="19"/>
      <c r="E37007" s="23"/>
      <c r="L37007" s="23"/>
    </row>
    <row r="37008">
      <c r="B37008" s="19"/>
      <c r="E37008" s="23"/>
      <c r="L37008" s="23"/>
    </row>
    <row r="37009">
      <c r="B37009" s="19"/>
      <c r="E37009" s="23"/>
      <c r="L37009" s="23"/>
    </row>
    <row r="37010">
      <c r="B37010" s="19"/>
      <c r="E37010" s="23"/>
      <c r="L37010" s="23"/>
    </row>
    <row r="37011">
      <c r="B37011" s="19"/>
      <c r="E37011" s="23"/>
      <c r="L37011" s="23"/>
    </row>
    <row r="37012">
      <c r="B37012" s="19"/>
      <c r="E37012" s="23"/>
      <c r="L37012" s="23"/>
    </row>
    <row r="37013">
      <c r="B37013" s="19"/>
      <c r="E37013" s="23"/>
      <c r="L37013" s="23"/>
    </row>
    <row r="37014">
      <c r="B37014" s="19"/>
      <c r="E37014" s="23"/>
      <c r="L37014" s="23"/>
    </row>
    <row r="37015">
      <c r="B37015" s="19"/>
      <c r="E37015" s="23"/>
      <c r="L37015" s="23"/>
    </row>
    <row r="37016">
      <c r="B37016" s="19"/>
      <c r="E37016" s="23"/>
      <c r="L37016" s="23"/>
    </row>
    <row r="37017">
      <c r="B37017" s="19"/>
      <c r="E37017" s="23"/>
      <c r="L37017" s="23"/>
    </row>
    <row r="37018">
      <c r="B37018" s="19"/>
      <c r="E37018" s="23"/>
      <c r="L37018" s="23"/>
    </row>
    <row r="37019">
      <c r="B37019" s="19"/>
      <c r="E37019" s="23"/>
      <c r="L37019" s="23"/>
    </row>
    <row r="37020">
      <c r="B37020" s="19"/>
      <c r="E37020" s="23"/>
      <c r="L37020" s="23"/>
    </row>
    <row r="37021">
      <c r="B37021" s="19"/>
      <c r="E37021" s="23"/>
      <c r="L37021" s="23"/>
    </row>
    <row r="37022">
      <c r="B37022" s="19"/>
      <c r="E37022" s="23"/>
      <c r="L37022" s="23"/>
    </row>
    <row r="37023">
      <c r="B37023" s="19"/>
      <c r="E37023" s="23"/>
      <c r="L37023" s="23"/>
    </row>
    <row r="37024">
      <c r="B37024" s="19"/>
      <c r="E37024" s="23"/>
      <c r="L37024" s="23"/>
    </row>
    <row r="37025">
      <c r="B37025" s="19"/>
      <c r="E37025" s="23"/>
      <c r="L37025" s="23"/>
    </row>
    <row r="37026">
      <c r="B37026" s="19"/>
      <c r="E37026" s="23"/>
      <c r="L37026" s="23"/>
    </row>
    <row r="37027">
      <c r="B37027" s="19"/>
      <c r="E37027" s="23"/>
      <c r="L37027" s="23"/>
    </row>
    <row r="37028">
      <c r="B37028" s="19"/>
      <c r="E37028" s="23"/>
      <c r="L37028" s="23"/>
    </row>
    <row r="37029">
      <c r="B37029" s="19"/>
      <c r="E37029" s="23"/>
      <c r="L37029" s="23"/>
    </row>
    <row r="37030">
      <c r="B37030" s="19"/>
      <c r="E37030" s="23"/>
      <c r="L37030" s="23"/>
    </row>
    <row r="37031">
      <c r="B37031" s="19"/>
      <c r="E37031" s="23"/>
      <c r="L37031" s="23"/>
    </row>
    <row r="37032">
      <c r="B37032" s="19"/>
      <c r="E37032" s="23"/>
      <c r="L37032" s="23"/>
    </row>
    <row r="37033">
      <c r="B37033" s="19"/>
      <c r="E37033" s="23"/>
      <c r="L37033" s="23"/>
    </row>
    <row r="37034">
      <c r="B37034" s="19"/>
      <c r="E37034" s="23"/>
      <c r="L37034" s="23"/>
    </row>
    <row r="37035">
      <c r="B37035" s="19"/>
      <c r="E37035" s="23"/>
      <c r="L37035" s="23"/>
    </row>
    <row r="37036">
      <c r="B37036" s="19"/>
      <c r="E37036" s="23"/>
      <c r="L37036" s="23"/>
    </row>
    <row r="37037">
      <c r="B37037" s="19"/>
      <c r="E37037" s="23"/>
      <c r="L37037" s="23"/>
    </row>
    <row r="37038">
      <c r="B37038" s="19"/>
      <c r="E37038" s="23"/>
      <c r="L37038" s="23"/>
    </row>
    <row r="37039">
      <c r="B37039" s="19"/>
      <c r="E37039" s="23"/>
      <c r="L37039" s="23"/>
    </row>
    <row r="37040">
      <c r="B37040" s="19"/>
      <c r="E37040" s="23"/>
      <c r="L37040" s="23"/>
    </row>
    <row r="37041">
      <c r="B37041" s="19"/>
      <c r="E37041" s="23"/>
      <c r="L37041" s="23"/>
    </row>
    <row r="37042">
      <c r="B37042" s="19"/>
      <c r="E37042" s="23"/>
      <c r="L37042" s="23"/>
    </row>
    <row r="37043">
      <c r="B37043" s="19"/>
      <c r="E37043" s="23"/>
      <c r="L37043" s="23"/>
    </row>
    <row r="37044">
      <c r="B37044" s="19"/>
      <c r="E37044" s="23"/>
      <c r="L37044" s="23"/>
    </row>
    <row r="37045">
      <c r="B37045" s="19"/>
      <c r="E37045" s="23"/>
      <c r="L37045" s="23"/>
    </row>
    <row r="37046">
      <c r="B37046" s="19"/>
      <c r="E37046" s="23"/>
      <c r="L37046" s="23"/>
    </row>
    <row r="37047">
      <c r="B37047" s="19"/>
      <c r="E37047" s="23"/>
      <c r="L37047" s="23"/>
    </row>
    <row r="37048">
      <c r="B37048" s="19"/>
      <c r="E37048" s="23"/>
      <c r="L37048" s="23"/>
    </row>
    <row r="37049">
      <c r="B37049" s="19"/>
      <c r="E37049" s="23"/>
      <c r="L37049" s="23"/>
    </row>
    <row r="37050">
      <c r="B37050" s="19"/>
      <c r="E37050" s="23"/>
      <c r="L37050" s="23"/>
    </row>
    <row r="37051">
      <c r="B37051" s="19"/>
      <c r="E37051" s="23"/>
      <c r="L37051" s="23"/>
    </row>
    <row r="37052">
      <c r="B37052" s="19"/>
      <c r="E37052" s="23"/>
      <c r="L37052" s="23"/>
    </row>
    <row r="37053">
      <c r="B37053" s="19"/>
      <c r="E37053" s="23"/>
      <c r="L37053" s="23"/>
    </row>
    <row r="37054">
      <c r="B37054" s="19"/>
      <c r="E37054" s="23"/>
      <c r="L37054" s="23"/>
    </row>
    <row r="37055">
      <c r="B37055" s="19"/>
      <c r="E37055" s="23"/>
      <c r="L37055" s="23"/>
    </row>
    <row r="37056">
      <c r="B37056" s="19"/>
      <c r="E37056" s="23"/>
      <c r="L37056" s="23"/>
    </row>
    <row r="37057">
      <c r="B37057" s="19"/>
      <c r="E37057" s="23"/>
      <c r="L37057" s="23"/>
    </row>
    <row r="37058">
      <c r="B37058" s="19"/>
      <c r="E37058" s="23"/>
      <c r="L37058" s="23"/>
    </row>
    <row r="37059">
      <c r="B37059" s="19"/>
      <c r="E37059" s="23"/>
      <c r="L37059" s="23"/>
    </row>
    <row r="37060">
      <c r="B37060" s="19"/>
      <c r="E37060" s="23"/>
      <c r="L37060" s="23"/>
    </row>
    <row r="37061">
      <c r="B37061" s="19"/>
      <c r="E37061" s="23"/>
      <c r="L37061" s="23"/>
    </row>
    <row r="37062">
      <c r="B37062" s="19"/>
      <c r="E37062" s="23"/>
      <c r="L37062" s="23"/>
    </row>
    <row r="37063">
      <c r="B37063" s="19"/>
      <c r="E37063" s="23"/>
      <c r="L37063" s="23"/>
    </row>
    <row r="37064">
      <c r="B37064" s="19"/>
      <c r="E37064" s="23"/>
      <c r="L37064" s="23"/>
    </row>
    <row r="37065">
      <c r="B37065" s="19"/>
      <c r="E37065" s="23"/>
      <c r="L37065" s="23"/>
    </row>
    <row r="37066">
      <c r="B37066" s="19"/>
      <c r="E37066" s="23"/>
      <c r="L37066" s="23"/>
    </row>
    <row r="37067">
      <c r="B37067" s="19"/>
      <c r="E37067" s="23"/>
      <c r="L37067" s="23"/>
    </row>
    <row r="37068">
      <c r="B37068" s="19"/>
      <c r="E37068" s="23"/>
      <c r="L37068" s="23"/>
    </row>
    <row r="37069">
      <c r="B37069" s="19"/>
      <c r="E37069" s="23"/>
      <c r="L37069" s="23"/>
    </row>
    <row r="37070">
      <c r="B37070" s="19"/>
      <c r="E37070" s="23"/>
      <c r="L37070" s="23"/>
    </row>
    <row r="37071">
      <c r="B37071" s="19"/>
      <c r="E37071" s="23"/>
      <c r="L37071" s="23"/>
    </row>
    <row r="37072">
      <c r="B37072" s="19"/>
      <c r="E37072" s="23"/>
      <c r="L37072" s="23"/>
    </row>
    <row r="37073">
      <c r="B37073" s="19"/>
      <c r="E37073" s="23"/>
      <c r="L37073" s="23"/>
    </row>
    <row r="37074">
      <c r="B37074" s="19"/>
      <c r="E37074" s="23"/>
      <c r="L37074" s="23"/>
    </row>
    <row r="37075">
      <c r="B37075" s="19"/>
      <c r="E37075" s="23"/>
      <c r="L37075" s="23"/>
    </row>
    <row r="37076">
      <c r="B37076" s="19"/>
      <c r="E37076" s="23"/>
      <c r="L37076" s="23"/>
    </row>
    <row r="37077">
      <c r="B37077" s="19"/>
      <c r="E37077" s="23"/>
      <c r="L37077" s="23"/>
    </row>
    <row r="37078">
      <c r="B37078" s="19"/>
      <c r="E37078" s="23"/>
      <c r="L37078" s="23"/>
    </row>
    <row r="37079">
      <c r="B37079" s="19"/>
      <c r="E37079" s="23"/>
      <c r="L37079" s="23"/>
    </row>
    <row r="37080">
      <c r="B37080" s="19"/>
      <c r="E37080" s="23"/>
      <c r="L37080" s="23"/>
    </row>
    <row r="37081">
      <c r="B37081" s="19"/>
      <c r="E37081" s="23"/>
      <c r="L37081" s="23"/>
    </row>
    <row r="37082">
      <c r="B37082" s="19"/>
      <c r="E37082" s="23"/>
      <c r="L37082" s="23"/>
    </row>
    <row r="37083">
      <c r="B37083" s="19"/>
      <c r="E37083" s="23"/>
      <c r="L37083" s="23"/>
    </row>
    <row r="37084">
      <c r="B37084" s="19"/>
      <c r="E37084" s="23"/>
      <c r="L37084" s="23"/>
    </row>
    <row r="37085">
      <c r="B37085" s="19"/>
      <c r="E37085" s="23"/>
      <c r="L37085" s="23"/>
    </row>
    <row r="37086">
      <c r="B37086" s="19"/>
      <c r="E37086" s="23"/>
      <c r="L37086" s="23"/>
    </row>
    <row r="37087">
      <c r="B37087" s="19"/>
      <c r="E37087" s="23"/>
      <c r="L37087" s="23"/>
    </row>
    <row r="37088">
      <c r="B37088" s="19"/>
      <c r="E37088" s="23"/>
      <c r="L37088" s="23"/>
    </row>
    <row r="37089">
      <c r="B37089" s="19"/>
      <c r="E37089" s="23"/>
      <c r="L37089" s="23"/>
    </row>
    <row r="37090">
      <c r="B37090" s="19"/>
      <c r="E37090" s="23"/>
      <c r="L37090" s="23"/>
    </row>
    <row r="37091">
      <c r="B37091" s="19"/>
      <c r="E37091" s="23"/>
      <c r="L37091" s="23"/>
    </row>
    <row r="37092">
      <c r="B37092" s="19"/>
      <c r="E37092" s="23"/>
      <c r="L37092" s="23"/>
    </row>
    <row r="37093">
      <c r="B37093" s="19"/>
      <c r="E37093" s="23"/>
      <c r="L37093" s="23"/>
    </row>
    <row r="37094">
      <c r="B37094" s="19"/>
      <c r="E37094" s="23"/>
      <c r="L37094" s="23"/>
    </row>
    <row r="37095">
      <c r="B37095" s="19"/>
      <c r="E37095" s="23"/>
      <c r="L37095" s="23"/>
    </row>
    <row r="37096">
      <c r="B37096" s="19"/>
      <c r="E37096" s="23"/>
      <c r="L37096" s="23"/>
    </row>
    <row r="37097">
      <c r="B37097" s="19"/>
      <c r="E37097" s="23"/>
      <c r="L37097" s="23"/>
    </row>
    <row r="37098">
      <c r="B37098" s="19"/>
      <c r="E37098" s="23"/>
      <c r="L37098" s="23"/>
    </row>
    <row r="37099">
      <c r="B37099" s="19"/>
      <c r="E37099" s="23"/>
      <c r="L37099" s="23"/>
    </row>
    <row r="37100">
      <c r="B37100" s="19"/>
      <c r="E37100" s="23"/>
      <c r="L37100" s="23"/>
    </row>
    <row r="37101">
      <c r="B37101" s="19"/>
      <c r="E37101" s="23"/>
      <c r="L37101" s="23"/>
    </row>
    <row r="37102">
      <c r="B37102" s="19"/>
      <c r="E37102" s="23"/>
      <c r="L37102" s="23"/>
    </row>
    <row r="37103">
      <c r="B37103" s="19"/>
      <c r="E37103" s="23"/>
      <c r="L37103" s="23"/>
    </row>
    <row r="37104">
      <c r="B37104" s="19"/>
      <c r="E37104" s="23"/>
      <c r="L37104" s="23"/>
    </row>
    <row r="37105">
      <c r="B37105" s="19"/>
      <c r="E37105" s="23"/>
      <c r="L37105" s="23"/>
    </row>
    <row r="37106">
      <c r="B37106" s="19"/>
      <c r="E37106" s="23"/>
      <c r="L37106" s="23"/>
    </row>
    <row r="37107">
      <c r="B37107" s="19"/>
      <c r="E37107" s="23"/>
      <c r="L37107" s="23"/>
    </row>
    <row r="37108">
      <c r="B37108" s="19"/>
      <c r="E37108" s="23"/>
      <c r="L37108" s="23"/>
    </row>
    <row r="37109">
      <c r="B37109" s="19"/>
      <c r="E37109" s="23"/>
      <c r="L37109" s="23"/>
    </row>
    <row r="37110">
      <c r="B37110" s="19"/>
      <c r="E37110" s="23"/>
      <c r="L37110" s="23"/>
    </row>
    <row r="37111">
      <c r="B37111" s="19"/>
      <c r="E37111" s="23"/>
      <c r="L37111" s="23"/>
    </row>
    <row r="37112">
      <c r="B37112" s="19"/>
      <c r="E37112" s="23"/>
      <c r="L37112" s="23"/>
    </row>
    <row r="37113">
      <c r="B37113" s="19"/>
      <c r="E37113" s="23"/>
      <c r="L37113" s="23"/>
    </row>
    <row r="37114">
      <c r="B37114" s="19"/>
      <c r="E37114" s="23"/>
      <c r="L37114" s="23"/>
    </row>
    <row r="37115">
      <c r="B37115" s="19"/>
      <c r="E37115" s="23"/>
      <c r="L37115" s="23"/>
    </row>
    <row r="37116">
      <c r="B37116" s="19"/>
      <c r="E37116" s="23"/>
      <c r="L37116" s="23"/>
    </row>
    <row r="37117">
      <c r="B37117" s="19"/>
      <c r="E37117" s="23"/>
      <c r="L37117" s="23"/>
    </row>
    <row r="37118">
      <c r="B37118" s="19"/>
      <c r="E37118" s="23"/>
      <c r="L37118" s="23"/>
    </row>
    <row r="37119">
      <c r="B37119" s="19"/>
      <c r="E37119" s="23"/>
      <c r="L37119" s="23"/>
    </row>
    <row r="37120">
      <c r="B37120" s="19"/>
      <c r="E37120" s="23"/>
      <c r="L37120" s="23"/>
    </row>
    <row r="37121">
      <c r="B37121" s="19"/>
      <c r="E37121" s="23"/>
      <c r="L37121" s="23"/>
    </row>
    <row r="37122">
      <c r="B37122" s="19"/>
      <c r="E37122" s="23"/>
      <c r="L37122" s="23"/>
    </row>
    <row r="37123">
      <c r="B37123" s="19"/>
      <c r="E37123" s="23"/>
      <c r="L37123" s="23"/>
    </row>
    <row r="37124">
      <c r="B37124" s="19"/>
      <c r="E37124" s="23"/>
      <c r="L37124" s="23"/>
    </row>
    <row r="37125">
      <c r="B37125" s="19"/>
      <c r="E37125" s="23"/>
      <c r="L37125" s="23"/>
    </row>
    <row r="37126">
      <c r="B37126" s="19"/>
      <c r="E37126" s="23"/>
      <c r="L37126" s="23"/>
    </row>
    <row r="37127">
      <c r="B37127" s="19"/>
      <c r="E37127" s="23"/>
      <c r="L37127" s="23"/>
    </row>
    <row r="37128">
      <c r="B37128" s="19"/>
      <c r="E37128" s="23"/>
      <c r="L37128" s="23"/>
    </row>
    <row r="37129">
      <c r="B37129" s="19"/>
      <c r="E37129" s="23"/>
      <c r="L37129" s="23"/>
    </row>
    <row r="37130">
      <c r="B37130" s="19"/>
      <c r="E37130" s="23"/>
      <c r="L37130" s="23"/>
    </row>
    <row r="37131">
      <c r="B37131" s="19"/>
      <c r="E37131" s="23"/>
      <c r="L37131" s="23"/>
    </row>
    <row r="37132">
      <c r="B37132" s="19"/>
      <c r="E37132" s="23"/>
      <c r="L37132" s="23"/>
    </row>
    <row r="37133">
      <c r="B37133" s="19"/>
      <c r="E37133" s="23"/>
      <c r="L37133" s="23"/>
    </row>
    <row r="37134">
      <c r="B37134" s="19"/>
      <c r="E37134" s="23"/>
      <c r="L37134" s="23"/>
    </row>
    <row r="37135">
      <c r="B37135" s="19"/>
      <c r="E37135" s="23"/>
      <c r="L37135" s="23"/>
    </row>
    <row r="37136">
      <c r="B37136" s="19"/>
      <c r="E37136" s="23"/>
      <c r="L37136" s="23"/>
    </row>
    <row r="37137">
      <c r="B37137" s="19"/>
      <c r="E37137" s="23"/>
      <c r="L37137" s="23"/>
    </row>
    <row r="37138">
      <c r="B37138" s="19"/>
      <c r="E37138" s="23"/>
      <c r="L37138" s="23"/>
    </row>
    <row r="37139">
      <c r="B37139" s="19"/>
      <c r="E37139" s="23"/>
      <c r="L37139" s="23"/>
    </row>
    <row r="37140">
      <c r="B37140" s="19"/>
      <c r="E37140" s="23"/>
      <c r="L37140" s="23"/>
    </row>
    <row r="37141">
      <c r="B37141" s="19"/>
      <c r="E37141" s="23"/>
      <c r="L37141" s="23"/>
    </row>
    <row r="37142">
      <c r="B37142" s="19"/>
      <c r="E37142" s="23"/>
      <c r="L37142" s="23"/>
    </row>
    <row r="37143">
      <c r="B37143" s="19"/>
      <c r="E37143" s="23"/>
      <c r="L37143" s="23"/>
    </row>
    <row r="37144">
      <c r="B37144" s="19"/>
      <c r="E37144" s="23"/>
      <c r="L37144" s="23"/>
    </row>
    <row r="37145">
      <c r="B37145" s="19"/>
      <c r="E37145" s="23"/>
      <c r="L37145" s="23"/>
    </row>
    <row r="37146">
      <c r="B37146" s="19"/>
      <c r="E37146" s="23"/>
      <c r="L37146" s="23"/>
    </row>
    <row r="37147">
      <c r="B37147" s="19"/>
      <c r="E37147" s="23"/>
      <c r="L37147" s="23"/>
    </row>
    <row r="37148">
      <c r="B37148" s="19"/>
      <c r="E37148" s="23"/>
      <c r="L37148" s="23"/>
    </row>
    <row r="37149">
      <c r="B37149" s="19"/>
      <c r="E37149" s="23"/>
      <c r="L37149" s="23"/>
    </row>
    <row r="37150">
      <c r="B37150" s="19"/>
      <c r="E37150" s="23"/>
      <c r="L37150" s="23"/>
    </row>
    <row r="37151">
      <c r="B37151" s="19"/>
      <c r="E37151" s="23"/>
      <c r="L37151" s="23"/>
    </row>
    <row r="37152">
      <c r="B37152" s="19"/>
      <c r="E37152" s="23"/>
      <c r="L37152" s="23"/>
    </row>
    <row r="37153">
      <c r="B37153" s="19"/>
      <c r="E37153" s="23"/>
      <c r="L37153" s="23"/>
    </row>
    <row r="37154">
      <c r="B37154" s="19"/>
      <c r="E37154" s="23"/>
      <c r="L37154" s="23"/>
    </row>
    <row r="37155">
      <c r="B37155" s="19"/>
      <c r="E37155" s="23"/>
      <c r="L37155" s="23"/>
    </row>
    <row r="37156">
      <c r="B37156" s="19"/>
      <c r="E37156" s="23"/>
      <c r="L37156" s="23"/>
    </row>
    <row r="37157">
      <c r="B37157" s="19"/>
      <c r="E37157" s="23"/>
      <c r="L37157" s="23"/>
    </row>
    <row r="37158">
      <c r="B37158" s="19"/>
      <c r="E37158" s="23"/>
      <c r="L37158" s="23"/>
    </row>
    <row r="37159">
      <c r="B37159" s="19"/>
      <c r="E37159" s="23"/>
      <c r="L37159" s="23"/>
    </row>
    <row r="37160">
      <c r="B37160" s="19"/>
      <c r="E37160" s="23"/>
      <c r="L37160" s="23"/>
    </row>
    <row r="37161">
      <c r="B37161" s="19"/>
      <c r="E37161" s="23"/>
      <c r="L37161" s="23"/>
    </row>
    <row r="37162">
      <c r="B37162" s="19"/>
      <c r="E37162" s="23"/>
      <c r="L37162" s="23"/>
    </row>
    <row r="37163">
      <c r="B37163" s="19"/>
      <c r="E37163" s="23"/>
      <c r="L37163" s="23"/>
    </row>
    <row r="37164">
      <c r="B37164" s="19"/>
      <c r="E37164" s="23"/>
      <c r="L37164" s="23"/>
    </row>
    <row r="37165">
      <c r="B37165" s="19"/>
      <c r="E37165" s="23"/>
      <c r="L37165" s="23"/>
    </row>
    <row r="37166">
      <c r="B37166" s="19"/>
      <c r="E37166" s="23"/>
      <c r="L37166" s="23"/>
    </row>
    <row r="37167">
      <c r="B37167" s="19"/>
      <c r="E37167" s="23"/>
      <c r="L37167" s="23"/>
    </row>
    <row r="37168">
      <c r="B37168" s="19"/>
      <c r="E37168" s="23"/>
      <c r="L37168" s="23"/>
    </row>
    <row r="37169">
      <c r="B37169" s="19"/>
      <c r="E37169" s="23"/>
      <c r="L37169" s="23"/>
    </row>
    <row r="37170">
      <c r="B37170" s="19"/>
      <c r="E37170" s="23"/>
      <c r="L37170" s="23"/>
    </row>
    <row r="37171">
      <c r="B37171" s="19"/>
      <c r="E37171" s="23"/>
      <c r="L37171" s="23"/>
    </row>
    <row r="37172">
      <c r="B37172" s="19"/>
      <c r="E37172" s="23"/>
      <c r="L37172" s="23"/>
    </row>
    <row r="37173">
      <c r="B37173" s="19"/>
      <c r="E37173" s="23"/>
      <c r="L37173" s="23"/>
    </row>
    <row r="37174">
      <c r="B37174" s="19"/>
      <c r="E37174" s="23"/>
      <c r="L37174" s="23"/>
    </row>
    <row r="37175">
      <c r="B37175" s="19"/>
      <c r="E37175" s="23"/>
      <c r="L37175" s="23"/>
    </row>
    <row r="37176">
      <c r="B37176" s="19"/>
      <c r="E37176" s="23"/>
      <c r="L37176" s="23"/>
    </row>
    <row r="37177">
      <c r="B37177" s="19"/>
      <c r="E37177" s="23"/>
      <c r="L37177" s="23"/>
    </row>
    <row r="37178">
      <c r="B37178" s="19"/>
      <c r="E37178" s="23"/>
      <c r="L37178" s="23"/>
    </row>
    <row r="37179">
      <c r="B37179" s="19"/>
      <c r="E37179" s="23"/>
      <c r="L37179" s="23"/>
    </row>
    <row r="37180">
      <c r="B37180" s="19"/>
      <c r="E37180" s="23"/>
      <c r="L37180" s="23"/>
    </row>
    <row r="37181">
      <c r="B37181" s="19"/>
      <c r="E37181" s="23"/>
      <c r="L37181" s="23"/>
    </row>
    <row r="37182">
      <c r="B37182" s="19"/>
      <c r="E37182" s="23"/>
      <c r="L37182" s="23"/>
    </row>
    <row r="37183">
      <c r="B37183" s="19"/>
      <c r="E37183" s="23"/>
      <c r="L37183" s="23"/>
    </row>
    <row r="37184">
      <c r="B37184" s="19"/>
      <c r="E37184" s="23"/>
      <c r="L37184" s="23"/>
    </row>
    <row r="37185">
      <c r="B37185" s="19"/>
      <c r="E37185" s="23"/>
      <c r="L37185" s="23"/>
    </row>
    <row r="37186">
      <c r="B37186" s="19"/>
      <c r="E37186" s="23"/>
      <c r="L37186" s="23"/>
    </row>
    <row r="37187">
      <c r="B37187" s="19"/>
      <c r="E37187" s="23"/>
      <c r="L37187" s="23"/>
    </row>
    <row r="37188">
      <c r="B37188" s="19"/>
      <c r="E37188" s="23"/>
      <c r="L37188" s="23"/>
    </row>
    <row r="37189">
      <c r="B37189" s="19"/>
      <c r="E37189" s="23"/>
      <c r="L37189" s="23"/>
    </row>
    <row r="37190">
      <c r="B37190" s="19"/>
      <c r="E37190" s="23"/>
      <c r="L37190" s="23"/>
    </row>
    <row r="37191">
      <c r="B37191" s="19"/>
      <c r="E37191" s="23"/>
      <c r="L37191" s="23"/>
    </row>
    <row r="37192">
      <c r="B37192" s="19"/>
      <c r="E37192" s="23"/>
      <c r="L37192" s="23"/>
    </row>
    <row r="37193">
      <c r="B37193" s="19"/>
      <c r="E37193" s="23"/>
      <c r="L37193" s="23"/>
    </row>
    <row r="37194">
      <c r="B37194" s="19"/>
      <c r="E37194" s="23"/>
      <c r="L37194" s="23"/>
    </row>
    <row r="37195">
      <c r="B37195" s="19"/>
      <c r="E37195" s="23"/>
      <c r="L37195" s="23"/>
    </row>
    <row r="37196">
      <c r="B37196" s="19"/>
      <c r="E37196" s="23"/>
      <c r="L37196" s="23"/>
    </row>
    <row r="37197">
      <c r="B37197" s="19"/>
      <c r="E37197" s="23"/>
      <c r="L37197" s="23"/>
    </row>
    <row r="37198">
      <c r="B37198" s="19"/>
      <c r="E37198" s="23"/>
      <c r="L37198" s="23"/>
    </row>
    <row r="37199">
      <c r="B37199" s="19"/>
      <c r="E37199" s="23"/>
      <c r="L37199" s="23"/>
    </row>
    <row r="37200">
      <c r="B37200" s="19"/>
      <c r="E37200" s="23"/>
      <c r="L37200" s="23"/>
    </row>
    <row r="37201">
      <c r="B37201" s="19"/>
      <c r="E37201" s="23"/>
      <c r="L37201" s="23"/>
    </row>
    <row r="37202">
      <c r="B37202" s="19"/>
      <c r="E37202" s="23"/>
      <c r="L37202" s="23"/>
    </row>
    <row r="37203">
      <c r="B37203" s="19"/>
      <c r="E37203" s="23"/>
      <c r="L37203" s="23"/>
    </row>
    <row r="37204">
      <c r="B37204" s="19"/>
      <c r="E37204" s="23"/>
      <c r="L37204" s="23"/>
    </row>
    <row r="37205">
      <c r="B37205" s="19"/>
      <c r="E37205" s="23"/>
      <c r="L37205" s="23"/>
    </row>
    <row r="37206">
      <c r="B37206" s="19"/>
      <c r="E37206" s="23"/>
      <c r="L37206" s="23"/>
    </row>
    <row r="37207">
      <c r="B37207" s="19"/>
      <c r="E37207" s="23"/>
      <c r="L37207" s="23"/>
    </row>
    <row r="37208">
      <c r="B37208" s="19"/>
      <c r="E37208" s="23"/>
      <c r="L37208" s="23"/>
    </row>
    <row r="37209">
      <c r="B37209" s="19"/>
      <c r="E37209" s="23"/>
      <c r="L37209" s="23"/>
    </row>
    <row r="37210">
      <c r="B37210" s="19"/>
      <c r="E37210" s="23"/>
      <c r="L37210" s="23"/>
    </row>
    <row r="37211">
      <c r="B37211" s="19"/>
      <c r="E37211" s="23"/>
      <c r="L37211" s="23"/>
    </row>
    <row r="37212">
      <c r="B37212" s="19"/>
      <c r="E37212" s="23"/>
      <c r="L37212" s="23"/>
    </row>
    <row r="37213">
      <c r="B37213" s="19"/>
      <c r="E37213" s="23"/>
      <c r="L37213" s="23"/>
    </row>
    <row r="37214">
      <c r="B37214" s="19"/>
      <c r="E37214" s="23"/>
      <c r="L37214" s="23"/>
    </row>
    <row r="37215">
      <c r="B37215" s="19"/>
      <c r="E37215" s="23"/>
      <c r="L37215" s="23"/>
    </row>
    <row r="37216">
      <c r="B37216" s="19"/>
      <c r="E37216" s="23"/>
      <c r="L37216" s="23"/>
    </row>
    <row r="37217">
      <c r="B37217" s="19"/>
      <c r="E37217" s="23"/>
      <c r="L37217" s="23"/>
    </row>
    <row r="37218">
      <c r="B37218" s="19"/>
      <c r="E37218" s="23"/>
      <c r="L37218" s="23"/>
    </row>
    <row r="37219">
      <c r="B37219" s="19"/>
      <c r="E37219" s="23"/>
      <c r="L37219" s="23"/>
    </row>
    <row r="37220">
      <c r="B37220" s="19"/>
      <c r="E37220" s="23"/>
      <c r="L37220" s="23"/>
    </row>
    <row r="37221">
      <c r="B37221" s="19"/>
      <c r="E37221" s="23"/>
      <c r="L37221" s="23"/>
    </row>
    <row r="37222">
      <c r="B37222" s="19"/>
      <c r="E37222" s="23"/>
      <c r="L37222" s="23"/>
    </row>
    <row r="37223">
      <c r="B37223" s="19"/>
      <c r="E37223" s="23"/>
      <c r="L37223" s="23"/>
    </row>
    <row r="37224">
      <c r="B37224" s="19"/>
      <c r="E37224" s="23"/>
      <c r="L37224" s="23"/>
    </row>
    <row r="37225">
      <c r="B37225" s="19"/>
      <c r="E37225" s="23"/>
      <c r="L37225" s="23"/>
    </row>
    <row r="37226">
      <c r="B37226" s="19"/>
      <c r="E37226" s="23"/>
      <c r="L37226" s="23"/>
    </row>
    <row r="37227">
      <c r="B37227" s="19"/>
      <c r="E37227" s="23"/>
      <c r="L37227" s="23"/>
    </row>
    <row r="37228">
      <c r="B37228" s="19"/>
      <c r="E37228" s="23"/>
      <c r="L37228" s="23"/>
    </row>
    <row r="37229">
      <c r="B37229" s="19"/>
      <c r="E37229" s="23"/>
      <c r="L37229" s="23"/>
    </row>
    <row r="37230">
      <c r="B37230" s="19"/>
      <c r="E37230" s="23"/>
      <c r="L37230" s="23"/>
    </row>
    <row r="37231">
      <c r="B37231" s="19"/>
      <c r="E37231" s="23"/>
      <c r="L37231" s="23"/>
    </row>
    <row r="37232">
      <c r="B37232" s="19"/>
      <c r="E37232" s="23"/>
      <c r="L37232" s="23"/>
    </row>
    <row r="37233">
      <c r="B37233" s="19"/>
      <c r="E37233" s="23"/>
      <c r="L37233" s="23"/>
    </row>
    <row r="37234">
      <c r="B37234" s="19"/>
      <c r="E37234" s="23"/>
      <c r="L37234" s="23"/>
    </row>
    <row r="37235">
      <c r="B37235" s="19"/>
      <c r="E37235" s="23"/>
      <c r="L37235" s="23"/>
    </row>
    <row r="37236">
      <c r="B37236" s="19"/>
      <c r="E37236" s="23"/>
      <c r="L37236" s="23"/>
    </row>
    <row r="37237">
      <c r="B37237" s="19"/>
      <c r="E37237" s="23"/>
      <c r="L37237" s="23"/>
    </row>
    <row r="37238">
      <c r="B37238" s="19"/>
      <c r="E37238" s="23"/>
      <c r="L37238" s="23"/>
    </row>
    <row r="37239">
      <c r="B37239" s="19"/>
      <c r="E37239" s="23"/>
      <c r="L37239" s="23"/>
    </row>
    <row r="37240">
      <c r="B37240" s="19"/>
      <c r="E37240" s="23"/>
      <c r="L37240" s="23"/>
    </row>
    <row r="37241">
      <c r="B37241" s="19"/>
      <c r="E37241" s="23"/>
      <c r="L37241" s="23"/>
    </row>
    <row r="37242">
      <c r="B37242" s="19"/>
      <c r="E37242" s="23"/>
      <c r="L37242" s="23"/>
    </row>
    <row r="37243">
      <c r="B37243" s="19"/>
      <c r="E37243" s="23"/>
      <c r="L37243" s="23"/>
    </row>
    <row r="37244">
      <c r="B37244" s="19"/>
      <c r="E37244" s="23"/>
      <c r="L37244" s="23"/>
    </row>
    <row r="37245">
      <c r="B37245" s="19"/>
      <c r="E37245" s="23"/>
      <c r="L37245" s="23"/>
    </row>
    <row r="37246">
      <c r="B37246" s="19"/>
      <c r="E37246" s="23"/>
      <c r="L37246" s="23"/>
    </row>
    <row r="37247">
      <c r="B37247" s="19"/>
      <c r="E37247" s="23"/>
      <c r="L37247" s="23"/>
    </row>
    <row r="37248">
      <c r="B37248" s="19"/>
      <c r="E37248" s="23"/>
      <c r="L37248" s="23"/>
    </row>
    <row r="37249">
      <c r="B37249" s="19"/>
      <c r="E37249" s="23"/>
      <c r="L37249" s="23"/>
    </row>
    <row r="37250">
      <c r="B37250" s="19"/>
      <c r="E37250" s="23"/>
      <c r="L37250" s="23"/>
    </row>
    <row r="37251">
      <c r="B37251" s="19"/>
      <c r="E37251" s="23"/>
      <c r="L37251" s="23"/>
    </row>
    <row r="37252">
      <c r="B37252" s="19"/>
      <c r="E37252" s="23"/>
      <c r="L37252" s="23"/>
    </row>
    <row r="37253">
      <c r="B37253" s="19"/>
      <c r="E37253" s="23"/>
      <c r="L37253" s="23"/>
    </row>
    <row r="37254">
      <c r="B37254" s="19"/>
      <c r="E37254" s="23"/>
      <c r="L37254" s="23"/>
    </row>
    <row r="37255">
      <c r="B37255" s="19"/>
      <c r="E37255" s="23"/>
      <c r="L37255" s="23"/>
    </row>
    <row r="37256">
      <c r="B37256" s="19"/>
      <c r="E37256" s="23"/>
      <c r="L37256" s="23"/>
    </row>
    <row r="37257">
      <c r="B37257" s="19"/>
      <c r="E37257" s="23"/>
      <c r="L37257" s="23"/>
    </row>
    <row r="37258">
      <c r="B37258" s="19"/>
      <c r="E37258" s="23"/>
      <c r="L37258" s="23"/>
    </row>
    <row r="37259">
      <c r="B37259" s="19"/>
      <c r="E37259" s="23"/>
      <c r="L37259" s="23"/>
    </row>
    <row r="37260">
      <c r="B37260" s="19"/>
      <c r="E37260" s="23"/>
      <c r="L37260" s="23"/>
    </row>
    <row r="37261">
      <c r="B37261" s="19"/>
      <c r="E37261" s="23"/>
      <c r="L37261" s="23"/>
    </row>
    <row r="37262">
      <c r="B37262" s="19"/>
      <c r="E37262" s="23"/>
      <c r="L37262" s="23"/>
    </row>
    <row r="37263">
      <c r="B37263" s="19"/>
      <c r="E37263" s="23"/>
      <c r="L37263" s="23"/>
    </row>
    <row r="37264">
      <c r="B37264" s="19"/>
      <c r="E37264" s="23"/>
      <c r="L37264" s="23"/>
    </row>
    <row r="37265">
      <c r="B37265" s="19"/>
      <c r="E37265" s="23"/>
      <c r="L37265" s="23"/>
    </row>
    <row r="37266">
      <c r="B37266" s="19"/>
      <c r="E37266" s="23"/>
      <c r="L37266" s="23"/>
    </row>
    <row r="37267">
      <c r="B37267" s="19"/>
      <c r="E37267" s="23"/>
      <c r="L37267" s="23"/>
    </row>
    <row r="37268">
      <c r="B37268" s="19"/>
      <c r="E37268" s="23"/>
      <c r="L37268" s="23"/>
    </row>
    <row r="37269">
      <c r="B37269" s="19"/>
      <c r="E37269" s="23"/>
      <c r="L37269" s="23"/>
    </row>
    <row r="37270">
      <c r="B37270" s="19"/>
      <c r="E37270" s="23"/>
      <c r="L37270" s="23"/>
    </row>
    <row r="37271">
      <c r="B37271" s="19"/>
      <c r="E37271" s="23"/>
      <c r="L37271" s="23"/>
    </row>
    <row r="37272">
      <c r="B37272" s="19"/>
      <c r="E37272" s="23"/>
      <c r="L37272" s="23"/>
    </row>
    <row r="37273">
      <c r="B37273" s="19"/>
      <c r="E37273" s="23"/>
      <c r="L37273" s="23"/>
    </row>
    <row r="37274">
      <c r="B37274" s="19"/>
      <c r="E37274" s="23"/>
      <c r="L37274" s="23"/>
    </row>
    <row r="37275">
      <c r="B37275" s="19"/>
      <c r="E37275" s="23"/>
      <c r="L37275" s="23"/>
    </row>
    <row r="37276">
      <c r="B37276" s="19"/>
      <c r="E37276" s="23"/>
      <c r="L37276" s="23"/>
    </row>
    <row r="37277">
      <c r="B37277" s="19"/>
      <c r="E37277" s="23"/>
      <c r="L37277" s="23"/>
    </row>
    <row r="37278">
      <c r="B37278" s="19"/>
      <c r="E37278" s="23"/>
      <c r="L37278" s="23"/>
    </row>
    <row r="37279">
      <c r="B37279" s="19"/>
      <c r="E37279" s="23"/>
      <c r="L37279" s="23"/>
    </row>
    <row r="37280">
      <c r="B37280" s="19"/>
      <c r="E37280" s="23"/>
      <c r="L37280" s="23"/>
    </row>
    <row r="37281">
      <c r="B37281" s="19"/>
      <c r="E37281" s="23"/>
      <c r="L37281" s="23"/>
    </row>
    <row r="37282">
      <c r="B37282" s="19"/>
      <c r="E37282" s="23"/>
      <c r="L37282" s="23"/>
    </row>
    <row r="37283">
      <c r="B37283" s="19"/>
      <c r="E37283" s="23"/>
      <c r="L37283" s="23"/>
    </row>
    <row r="37284">
      <c r="B37284" s="19"/>
      <c r="E37284" s="23"/>
      <c r="L37284" s="23"/>
    </row>
    <row r="37285">
      <c r="B37285" s="19"/>
      <c r="E37285" s="23"/>
      <c r="L37285" s="23"/>
    </row>
    <row r="37286">
      <c r="B37286" s="19"/>
      <c r="E37286" s="23"/>
      <c r="L37286" s="23"/>
    </row>
    <row r="37287">
      <c r="B37287" s="19"/>
      <c r="E37287" s="23"/>
      <c r="L37287" s="23"/>
    </row>
    <row r="37288">
      <c r="B37288" s="19"/>
      <c r="E37288" s="23"/>
      <c r="L37288" s="23"/>
    </row>
    <row r="37289">
      <c r="B37289" s="19"/>
      <c r="E37289" s="23"/>
      <c r="L37289" s="23"/>
    </row>
    <row r="37290">
      <c r="B37290" s="19"/>
      <c r="E37290" s="23"/>
      <c r="L37290" s="23"/>
    </row>
    <row r="37291">
      <c r="B37291" s="19"/>
      <c r="E37291" s="23"/>
      <c r="L37291" s="23"/>
    </row>
    <row r="37292">
      <c r="B37292" s="19"/>
      <c r="E37292" s="23"/>
      <c r="L37292" s="23"/>
    </row>
    <row r="37293">
      <c r="B37293" s="19"/>
      <c r="E37293" s="23"/>
      <c r="L37293" s="23"/>
    </row>
    <row r="37294">
      <c r="B37294" s="19"/>
      <c r="E37294" s="23"/>
      <c r="L37294" s="23"/>
    </row>
    <row r="37295">
      <c r="B37295" s="19"/>
      <c r="E37295" s="23"/>
      <c r="L37295" s="23"/>
    </row>
    <row r="37296">
      <c r="B37296" s="19"/>
      <c r="E37296" s="23"/>
      <c r="L37296" s="23"/>
    </row>
    <row r="37297">
      <c r="B37297" s="19"/>
      <c r="E37297" s="23"/>
      <c r="L37297" s="23"/>
    </row>
    <row r="37298">
      <c r="B37298" s="19"/>
      <c r="E37298" s="23"/>
      <c r="L37298" s="23"/>
    </row>
    <row r="37299">
      <c r="B37299" s="19"/>
      <c r="E37299" s="23"/>
      <c r="L37299" s="23"/>
    </row>
    <row r="37300">
      <c r="B37300" s="19"/>
      <c r="E37300" s="23"/>
      <c r="L37300" s="23"/>
    </row>
    <row r="37301">
      <c r="B37301" s="19"/>
      <c r="E37301" s="23"/>
      <c r="L37301" s="23"/>
    </row>
    <row r="37302">
      <c r="B37302" s="19"/>
      <c r="E37302" s="23"/>
      <c r="L37302" s="23"/>
    </row>
    <row r="37303">
      <c r="B37303" s="19"/>
      <c r="E37303" s="23"/>
      <c r="L37303" s="23"/>
    </row>
    <row r="37304">
      <c r="B37304" s="19"/>
      <c r="E37304" s="23"/>
      <c r="L37304" s="23"/>
    </row>
    <row r="37305">
      <c r="B37305" s="19"/>
      <c r="E37305" s="23"/>
      <c r="L37305" s="23"/>
    </row>
    <row r="37306">
      <c r="B37306" s="19"/>
      <c r="E37306" s="23"/>
      <c r="L37306" s="23"/>
    </row>
    <row r="37307">
      <c r="B37307" s="19"/>
      <c r="E37307" s="23"/>
      <c r="L37307" s="23"/>
    </row>
    <row r="37308">
      <c r="B37308" s="19"/>
      <c r="E37308" s="23"/>
      <c r="L37308" s="23"/>
    </row>
    <row r="37309">
      <c r="B37309" s="19"/>
      <c r="E37309" s="23"/>
      <c r="L37309" s="23"/>
    </row>
    <row r="37310">
      <c r="B37310" s="19"/>
      <c r="E37310" s="23"/>
      <c r="L37310" s="23"/>
    </row>
    <row r="37311">
      <c r="B37311" s="19"/>
      <c r="E37311" s="23"/>
      <c r="L37311" s="23"/>
    </row>
    <row r="37312">
      <c r="B37312" s="19"/>
      <c r="E37312" s="23"/>
      <c r="L37312" s="23"/>
    </row>
    <row r="37313">
      <c r="B37313" s="19"/>
      <c r="E37313" s="23"/>
      <c r="L37313" s="23"/>
    </row>
    <row r="37314">
      <c r="B37314" s="19"/>
      <c r="E37314" s="23"/>
      <c r="L37314" s="23"/>
    </row>
    <row r="37315">
      <c r="B37315" s="19"/>
      <c r="E37315" s="23"/>
      <c r="L37315" s="23"/>
    </row>
    <row r="37316">
      <c r="B37316" s="19"/>
      <c r="E37316" s="23"/>
      <c r="L37316" s="23"/>
    </row>
    <row r="37317">
      <c r="B37317" s="19"/>
      <c r="E37317" s="23"/>
      <c r="L37317" s="23"/>
    </row>
    <row r="37318">
      <c r="B37318" s="19"/>
      <c r="E37318" s="23"/>
      <c r="L37318" s="23"/>
    </row>
    <row r="37319">
      <c r="B37319" s="19"/>
      <c r="E37319" s="23"/>
      <c r="L37319" s="23"/>
    </row>
    <row r="37320">
      <c r="B37320" s="19"/>
      <c r="E37320" s="23"/>
      <c r="L37320" s="23"/>
    </row>
    <row r="37321">
      <c r="B37321" s="19"/>
      <c r="E37321" s="23"/>
      <c r="L37321" s="23"/>
    </row>
    <row r="37322">
      <c r="B37322" s="19"/>
      <c r="E37322" s="23"/>
      <c r="L37322" s="23"/>
    </row>
    <row r="37323">
      <c r="B37323" s="19"/>
      <c r="E37323" s="23"/>
      <c r="L37323" s="23"/>
    </row>
    <row r="37324">
      <c r="B37324" s="19"/>
      <c r="E37324" s="23"/>
      <c r="L37324" s="23"/>
    </row>
    <row r="37325">
      <c r="B37325" s="19"/>
      <c r="E37325" s="23"/>
      <c r="L37325" s="23"/>
    </row>
    <row r="37326">
      <c r="B37326" s="19"/>
      <c r="E37326" s="23"/>
      <c r="L37326" s="23"/>
    </row>
    <row r="37327">
      <c r="B37327" s="19"/>
      <c r="E37327" s="23"/>
      <c r="L37327" s="23"/>
    </row>
    <row r="37328">
      <c r="B37328" s="19"/>
      <c r="E37328" s="23"/>
      <c r="L37328" s="23"/>
    </row>
    <row r="37329">
      <c r="B37329" s="19"/>
      <c r="E37329" s="23"/>
      <c r="L37329" s="23"/>
    </row>
    <row r="37330">
      <c r="B37330" s="19"/>
      <c r="E37330" s="23"/>
      <c r="L37330" s="23"/>
    </row>
    <row r="37331">
      <c r="B37331" s="19"/>
      <c r="E37331" s="23"/>
      <c r="L37331" s="23"/>
    </row>
    <row r="37332">
      <c r="B37332" s="19"/>
      <c r="E37332" s="23"/>
      <c r="L37332" s="23"/>
    </row>
    <row r="37333">
      <c r="B37333" s="19"/>
      <c r="E37333" s="23"/>
      <c r="L37333" s="23"/>
    </row>
    <row r="37334">
      <c r="B37334" s="19"/>
      <c r="E37334" s="23"/>
      <c r="L37334" s="23"/>
    </row>
    <row r="37335">
      <c r="B37335" s="19"/>
      <c r="E37335" s="23"/>
      <c r="L37335" s="23"/>
    </row>
    <row r="37336">
      <c r="B37336" s="19"/>
      <c r="E37336" s="23"/>
      <c r="L37336" s="23"/>
    </row>
    <row r="37337">
      <c r="B37337" s="19"/>
      <c r="E37337" s="23"/>
      <c r="L37337" s="23"/>
    </row>
    <row r="37338">
      <c r="B37338" s="19"/>
      <c r="E37338" s="23"/>
      <c r="L37338" s="23"/>
    </row>
    <row r="37339">
      <c r="B37339" s="19"/>
      <c r="E37339" s="23"/>
      <c r="L37339" s="23"/>
    </row>
    <row r="37340">
      <c r="B37340" s="19"/>
      <c r="E37340" s="23"/>
      <c r="L37340" s="23"/>
    </row>
    <row r="37341">
      <c r="B37341" s="19"/>
      <c r="E37341" s="23"/>
      <c r="L37341" s="23"/>
    </row>
    <row r="37342">
      <c r="B37342" s="19"/>
      <c r="E37342" s="23"/>
      <c r="L37342" s="23"/>
    </row>
    <row r="37343">
      <c r="B37343" s="19"/>
      <c r="E37343" s="23"/>
      <c r="L37343" s="23"/>
    </row>
    <row r="37344">
      <c r="B37344" s="19"/>
      <c r="E37344" s="23"/>
      <c r="L37344" s="23"/>
    </row>
    <row r="37345">
      <c r="B37345" s="19"/>
      <c r="E37345" s="23"/>
      <c r="L37345" s="23"/>
    </row>
    <row r="37346">
      <c r="B37346" s="19"/>
      <c r="E37346" s="23"/>
      <c r="L37346" s="23"/>
    </row>
    <row r="37347">
      <c r="B37347" s="19"/>
      <c r="E37347" s="23"/>
      <c r="L37347" s="23"/>
    </row>
    <row r="37348">
      <c r="B37348" s="19"/>
      <c r="E37348" s="23"/>
      <c r="L37348" s="23"/>
    </row>
    <row r="37349">
      <c r="B37349" s="19"/>
      <c r="E37349" s="23"/>
      <c r="L37349" s="23"/>
    </row>
    <row r="37350">
      <c r="B37350" s="19"/>
      <c r="E37350" s="23"/>
      <c r="L37350" s="23"/>
    </row>
    <row r="37351">
      <c r="B37351" s="19"/>
      <c r="E37351" s="23"/>
      <c r="L37351" s="23"/>
    </row>
    <row r="37352">
      <c r="B37352" s="19"/>
      <c r="E37352" s="23"/>
      <c r="L37352" s="23"/>
    </row>
    <row r="37353">
      <c r="B37353" s="19"/>
      <c r="E37353" s="23"/>
      <c r="L37353" s="23"/>
    </row>
    <row r="37354">
      <c r="B37354" s="19"/>
      <c r="E37354" s="23"/>
      <c r="L37354" s="23"/>
    </row>
    <row r="37355">
      <c r="B37355" s="19"/>
      <c r="E37355" s="23"/>
      <c r="L37355" s="23"/>
    </row>
    <row r="37356">
      <c r="B37356" s="19"/>
      <c r="E37356" s="23"/>
      <c r="L37356" s="23"/>
    </row>
    <row r="37357">
      <c r="B37357" s="19"/>
      <c r="E37357" s="23"/>
      <c r="L37357" s="23"/>
    </row>
    <row r="37358">
      <c r="B37358" s="19"/>
      <c r="E37358" s="23"/>
      <c r="L37358" s="23"/>
    </row>
    <row r="37359">
      <c r="B37359" s="19"/>
      <c r="E37359" s="23"/>
      <c r="L37359" s="23"/>
    </row>
    <row r="37360">
      <c r="B37360" s="19"/>
      <c r="E37360" s="23"/>
      <c r="L37360" s="23"/>
    </row>
    <row r="37361">
      <c r="B37361" s="19"/>
      <c r="E37361" s="23"/>
      <c r="L37361" s="23"/>
    </row>
    <row r="37362">
      <c r="B37362" s="19"/>
      <c r="E37362" s="23"/>
      <c r="L37362" s="23"/>
    </row>
    <row r="37363">
      <c r="B37363" s="19"/>
      <c r="E37363" s="23"/>
      <c r="L37363" s="23"/>
    </row>
    <row r="37364">
      <c r="B37364" s="19"/>
      <c r="E37364" s="23"/>
      <c r="L37364" s="23"/>
    </row>
    <row r="37365">
      <c r="B37365" s="19"/>
      <c r="E37365" s="23"/>
      <c r="L37365" s="23"/>
    </row>
    <row r="37366">
      <c r="B37366" s="19"/>
      <c r="E37366" s="23"/>
      <c r="L37366" s="23"/>
    </row>
    <row r="37367">
      <c r="B37367" s="19"/>
      <c r="E37367" s="23"/>
      <c r="L37367" s="23"/>
    </row>
    <row r="37368">
      <c r="B37368" s="19"/>
      <c r="E37368" s="23"/>
      <c r="L37368" s="23"/>
    </row>
    <row r="37369">
      <c r="B37369" s="19"/>
      <c r="E37369" s="23"/>
      <c r="L37369" s="23"/>
    </row>
    <row r="37370">
      <c r="B37370" s="19"/>
      <c r="E37370" s="23"/>
      <c r="L37370" s="23"/>
    </row>
    <row r="37371">
      <c r="B37371" s="19"/>
      <c r="E37371" s="23"/>
      <c r="L37371" s="23"/>
    </row>
    <row r="37372">
      <c r="B37372" s="19"/>
      <c r="E37372" s="23"/>
      <c r="L37372" s="23"/>
    </row>
    <row r="37373">
      <c r="B37373" s="19"/>
      <c r="E37373" s="23"/>
      <c r="L37373" s="23"/>
    </row>
    <row r="37374">
      <c r="B37374" s="19"/>
      <c r="E37374" s="23"/>
      <c r="L37374" s="23"/>
    </row>
    <row r="37375">
      <c r="B37375" s="19"/>
      <c r="E37375" s="23"/>
      <c r="L37375" s="23"/>
    </row>
    <row r="37376">
      <c r="B37376" s="19"/>
      <c r="E37376" s="23"/>
      <c r="L37376" s="23"/>
    </row>
    <row r="37377">
      <c r="B37377" s="19"/>
      <c r="E37377" s="23"/>
      <c r="L37377" s="23"/>
    </row>
    <row r="37378">
      <c r="B37378" s="19"/>
      <c r="E37378" s="23"/>
      <c r="L37378" s="23"/>
    </row>
    <row r="37379">
      <c r="B37379" s="19"/>
      <c r="E37379" s="23"/>
      <c r="L37379" s="23"/>
    </row>
    <row r="37380">
      <c r="B37380" s="19"/>
      <c r="E37380" s="23"/>
      <c r="L37380" s="23"/>
    </row>
    <row r="37381">
      <c r="B37381" s="19"/>
      <c r="E37381" s="23"/>
      <c r="L37381" s="23"/>
    </row>
    <row r="37382">
      <c r="B37382" s="19"/>
      <c r="E37382" s="23"/>
      <c r="L37382" s="23"/>
    </row>
    <row r="37383">
      <c r="B37383" s="19"/>
      <c r="E37383" s="23"/>
      <c r="L37383" s="23"/>
    </row>
    <row r="37384">
      <c r="B37384" s="19"/>
      <c r="E37384" s="23"/>
      <c r="L37384" s="23"/>
    </row>
    <row r="37385">
      <c r="B37385" s="19"/>
      <c r="E37385" s="23"/>
      <c r="L37385" s="23"/>
    </row>
    <row r="37386">
      <c r="B37386" s="19"/>
      <c r="E37386" s="23"/>
      <c r="L37386" s="23"/>
    </row>
    <row r="37387">
      <c r="B37387" s="19"/>
      <c r="E37387" s="23"/>
      <c r="L37387" s="23"/>
    </row>
    <row r="37388">
      <c r="B37388" s="19"/>
      <c r="E37388" s="23"/>
      <c r="L37388" s="23"/>
    </row>
    <row r="37389">
      <c r="B37389" s="19"/>
      <c r="E37389" s="23"/>
      <c r="L37389" s="23"/>
    </row>
    <row r="37390">
      <c r="B37390" s="19"/>
      <c r="E37390" s="23"/>
      <c r="L37390" s="23"/>
    </row>
    <row r="37391">
      <c r="B37391" s="19"/>
      <c r="E37391" s="23"/>
      <c r="L37391" s="23"/>
    </row>
    <row r="37392">
      <c r="B37392" s="19"/>
      <c r="E37392" s="23"/>
      <c r="L37392" s="23"/>
    </row>
    <row r="37393">
      <c r="B37393" s="19"/>
      <c r="E37393" s="23"/>
      <c r="L37393" s="23"/>
    </row>
    <row r="37394">
      <c r="B37394" s="19"/>
      <c r="E37394" s="23"/>
      <c r="L37394" s="23"/>
    </row>
    <row r="37395">
      <c r="B37395" s="19"/>
      <c r="E37395" s="23"/>
      <c r="L37395" s="23"/>
    </row>
    <row r="37396">
      <c r="B37396" s="19"/>
      <c r="E37396" s="23"/>
      <c r="L37396" s="23"/>
    </row>
    <row r="37397">
      <c r="B37397" s="19"/>
      <c r="E37397" s="23"/>
      <c r="L37397" s="23"/>
    </row>
    <row r="37398">
      <c r="B37398" s="19"/>
      <c r="E37398" s="23"/>
      <c r="L37398" s="23"/>
    </row>
    <row r="37399">
      <c r="B37399" s="19"/>
      <c r="E37399" s="23"/>
      <c r="L37399" s="23"/>
    </row>
    <row r="37400">
      <c r="B37400" s="19"/>
      <c r="E37400" s="23"/>
      <c r="L37400" s="23"/>
    </row>
    <row r="37401">
      <c r="B37401" s="19"/>
      <c r="E37401" s="23"/>
      <c r="L37401" s="23"/>
    </row>
    <row r="37402">
      <c r="B37402" s="19"/>
      <c r="E37402" s="23"/>
      <c r="L37402" s="23"/>
    </row>
    <row r="37403">
      <c r="B37403" s="19"/>
      <c r="E37403" s="23"/>
      <c r="L37403" s="23"/>
    </row>
    <row r="37404">
      <c r="B37404" s="19"/>
      <c r="E37404" s="23"/>
      <c r="L37404" s="23"/>
    </row>
    <row r="37405">
      <c r="B37405" s="19"/>
      <c r="E37405" s="23"/>
      <c r="L37405" s="23"/>
    </row>
    <row r="37406">
      <c r="B37406" s="19"/>
      <c r="E37406" s="23"/>
      <c r="L37406" s="23"/>
    </row>
    <row r="37407">
      <c r="B37407" s="19"/>
      <c r="E37407" s="23"/>
      <c r="L37407" s="23"/>
    </row>
    <row r="37408">
      <c r="B37408" s="19"/>
      <c r="E37408" s="23"/>
      <c r="L37408" s="23"/>
    </row>
    <row r="37409">
      <c r="B37409" s="19"/>
      <c r="E37409" s="23"/>
      <c r="L37409" s="23"/>
    </row>
    <row r="37410">
      <c r="B37410" s="19"/>
      <c r="E37410" s="23"/>
      <c r="L37410" s="23"/>
    </row>
    <row r="37411">
      <c r="B37411" s="19"/>
      <c r="E37411" s="23"/>
      <c r="L37411" s="23"/>
    </row>
    <row r="37412">
      <c r="B37412" s="19"/>
      <c r="E37412" s="23"/>
      <c r="L37412" s="23"/>
    </row>
    <row r="37413">
      <c r="B37413" s="19"/>
      <c r="E37413" s="23"/>
      <c r="L37413" s="23"/>
    </row>
    <row r="37414">
      <c r="B37414" s="19"/>
      <c r="E37414" s="23"/>
      <c r="L37414" s="23"/>
    </row>
    <row r="37415">
      <c r="B37415" s="19"/>
      <c r="E37415" s="23"/>
      <c r="L37415" s="23"/>
    </row>
    <row r="37416">
      <c r="B37416" s="19"/>
      <c r="E37416" s="23"/>
      <c r="L37416" s="23"/>
    </row>
    <row r="37417">
      <c r="B37417" s="19"/>
      <c r="E37417" s="23"/>
      <c r="L37417" s="23"/>
    </row>
    <row r="37418">
      <c r="B37418" s="19"/>
      <c r="E37418" s="23"/>
      <c r="L37418" s="23"/>
    </row>
    <row r="37419">
      <c r="B37419" s="19"/>
      <c r="E37419" s="23"/>
      <c r="L37419" s="23"/>
    </row>
    <row r="37420">
      <c r="B37420" s="19"/>
      <c r="E37420" s="23"/>
      <c r="L37420" s="23"/>
    </row>
    <row r="37421">
      <c r="B37421" s="19"/>
      <c r="E37421" s="23"/>
      <c r="L37421" s="23"/>
    </row>
    <row r="37422">
      <c r="B37422" s="19"/>
      <c r="E37422" s="23"/>
      <c r="L37422" s="23"/>
    </row>
    <row r="37423">
      <c r="B37423" s="19"/>
      <c r="E37423" s="23"/>
      <c r="L37423" s="23"/>
    </row>
    <row r="37424">
      <c r="B37424" s="19"/>
      <c r="E37424" s="23"/>
      <c r="L37424" s="23"/>
    </row>
    <row r="37425">
      <c r="B37425" s="19"/>
      <c r="E37425" s="23"/>
      <c r="L37425" s="23"/>
    </row>
    <row r="37426">
      <c r="B37426" s="19"/>
      <c r="E37426" s="23"/>
      <c r="L37426" s="23"/>
    </row>
    <row r="37427">
      <c r="B37427" s="19"/>
      <c r="E37427" s="23"/>
      <c r="L37427" s="23"/>
    </row>
    <row r="37428">
      <c r="B37428" s="19"/>
      <c r="E37428" s="23"/>
      <c r="L37428" s="23"/>
    </row>
    <row r="37429">
      <c r="B37429" s="19"/>
      <c r="E37429" s="23"/>
      <c r="L37429" s="23"/>
    </row>
    <row r="37430">
      <c r="B37430" s="19"/>
      <c r="E37430" s="23"/>
      <c r="L37430" s="23"/>
    </row>
    <row r="37431">
      <c r="B37431" s="19"/>
      <c r="E37431" s="23"/>
      <c r="L37431" s="23"/>
    </row>
    <row r="37432">
      <c r="B37432" s="19"/>
      <c r="E37432" s="23"/>
      <c r="L37432" s="23"/>
    </row>
    <row r="37433">
      <c r="B37433" s="19"/>
      <c r="E37433" s="23"/>
      <c r="L37433" s="23"/>
    </row>
    <row r="37434">
      <c r="B37434" s="19"/>
      <c r="E37434" s="23"/>
      <c r="L37434" s="23"/>
    </row>
    <row r="37435">
      <c r="B37435" s="19"/>
      <c r="E37435" s="23"/>
      <c r="L37435" s="23"/>
    </row>
    <row r="37436">
      <c r="B37436" s="19"/>
      <c r="E37436" s="23"/>
      <c r="L37436" s="23"/>
    </row>
    <row r="37437">
      <c r="B37437" s="19"/>
      <c r="E37437" s="23"/>
      <c r="L37437" s="23"/>
    </row>
    <row r="37438">
      <c r="B37438" s="19"/>
      <c r="E37438" s="23"/>
      <c r="L37438" s="23"/>
    </row>
    <row r="37439">
      <c r="B37439" s="19"/>
      <c r="E37439" s="23"/>
      <c r="L37439" s="23"/>
    </row>
    <row r="37440">
      <c r="B37440" s="19"/>
      <c r="E37440" s="23"/>
      <c r="L37440" s="23"/>
    </row>
    <row r="37441">
      <c r="B37441" s="19"/>
      <c r="E37441" s="23"/>
      <c r="L37441" s="23"/>
    </row>
    <row r="37442">
      <c r="B37442" s="19"/>
      <c r="E37442" s="23"/>
      <c r="L37442" s="23"/>
    </row>
    <row r="37443">
      <c r="B37443" s="19"/>
      <c r="E37443" s="23"/>
      <c r="L37443" s="23"/>
    </row>
    <row r="37444">
      <c r="B37444" s="19"/>
      <c r="E37444" s="23"/>
      <c r="L37444" s="23"/>
    </row>
    <row r="37445">
      <c r="B37445" s="19"/>
      <c r="E37445" s="23"/>
      <c r="L37445" s="23"/>
    </row>
    <row r="37446">
      <c r="B37446" s="19"/>
      <c r="E37446" s="23"/>
      <c r="L37446" s="23"/>
    </row>
    <row r="37447">
      <c r="B37447" s="19"/>
      <c r="E37447" s="23"/>
      <c r="L37447" s="23"/>
    </row>
    <row r="37448">
      <c r="B37448" s="19"/>
      <c r="E37448" s="23"/>
      <c r="L37448" s="23"/>
    </row>
    <row r="37449">
      <c r="B37449" s="19"/>
      <c r="E37449" s="23"/>
      <c r="L37449" s="23"/>
    </row>
    <row r="37450">
      <c r="B37450" s="19"/>
      <c r="E37450" s="23"/>
      <c r="L37450" s="23"/>
    </row>
    <row r="37451">
      <c r="B37451" s="19"/>
      <c r="E37451" s="23"/>
      <c r="L37451" s="23"/>
    </row>
    <row r="37452">
      <c r="B37452" s="19"/>
      <c r="E37452" s="23"/>
      <c r="L37452" s="23"/>
    </row>
    <row r="37453">
      <c r="B37453" s="19"/>
      <c r="E37453" s="23"/>
      <c r="L37453" s="23"/>
    </row>
    <row r="37454">
      <c r="B37454" s="19"/>
      <c r="E37454" s="23"/>
      <c r="L37454" s="23"/>
    </row>
    <row r="37455">
      <c r="B37455" s="19"/>
      <c r="E37455" s="23"/>
      <c r="L37455" s="23"/>
    </row>
    <row r="37456">
      <c r="B37456" s="19"/>
      <c r="E37456" s="23"/>
      <c r="L37456" s="23"/>
    </row>
    <row r="37457">
      <c r="B37457" s="19"/>
      <c r="E37457" s="23"/>
      <c r="L37457" s="23"/>
    </row>
    <row r="37458">
      <c r="B37458" s="19"/>
      <c r="E37458" s="23"/>
      <c r="L37458" s="23"/>
    </row>
    <row r="37459">
      <c r="B37459" s="19"/>
      <c r="E37459" s="23"/>
      <c r="L37459" s="23"/>
    </row>
    <row r="37460">
      <c r="B37460" s="19"/>
      <c r="E37460" s="23"/>
      <c r="L37460" s="23"/>
    </row>
    <row r="37461">
      <c r="B37461" s="19"/>
      <c r="E37461" s="23"/>
      <c r="L37461" s="23"/>
    </row>
    <row r="37462">
      <c r="B37462" s="19"/>
      <c r="E37462" s="23"/>
      <c r="L37462" s="23"/>
    </row>
    <row r="37463">
      <c r="B37463" s="19"/>
      <c r="E37463" s="23"/>
      <c r="L37463" s="23"/>
    </row>
    <row r="37464">
      <c r="B37464" s="19"/>
      <c r="E37464" s="23"/>
      <c r="L37464" s="23"/>
    </row>
    <row r="37465">
      <c r="B37465" s="19"/>
      <c r="E37465" s="23"/>
      <c r="L37465" s="23"/>
    </row>
    <row r="37466">
      <c r="B37466" s="19"/>
      <c r="E37466" s="23"/>
      <c r="L37466" s="23"/>
    </row>
    <row r="37467">
      <c r="B37467" s="19"/>
      <c r="E37467" s="23"/>
      <c r="L37467" s="23"/>
    </row>
    <row r="37468">
      <c r="B37468" s="19"/>
      <c r="E37468" s="23"/>
      <c r="L37468" s="23"/>
    </row>
    <row r="37469">
      <c r="B37469" s="19"/>
      <c r="E37469" s="23"/>
      <c r="L37469" s="23"/>
    </row>
    <row r="37470">
      <c r="B37470" s="19"/>
      <c r="E37470" s="23"/>
      <c r="L37470" s="23"/>
    </row>
    <row r="37471">
      <c r="B37471" s="19"/>
      <c r="E37471" s="23"/>
      <c r="L37471" s="23"/>
    </row>
    <row r="37472">
      <c r="B37472" s="19"/>
      <c r="E37472" s="23"/>
      <c r="L37472" s="23"/>
    </row>
    <row r="37473">
      <c r="B37473" s="19"/>
      <c r="E37473" s="23"/>
      <c r="L37473" s="23"/>
    </row>
    <row r="37474">
      <c r="B37474" s="19"/>
      <c r="E37474" s="23"/>
      <c r="L37474" s="23"/>
    </row>
    <row r="37475">
      <c r="B37475" s="19"/>
      <c r="E37475" s="23"/>
      <c r="L37475" s="23"/>
    </row>
    <row r="37476">
      <c r="B37476" s="19"/>
      <c r="E37476" s="23"/>
      <c r="L37476" s="23"/>
    </row>
    <row r="37477">
      <c r="B37477" s="19"/>
      <c r="E37477" s="23"/>
      <c r="L37477" s="23"/>
    </row>
    <row r="37478">
      <c r="B37478" s="19"/>
      <c r="E37478" s="23"/>
      <c r="L37478" s="23"/>
    </row>
    <row r="37479">
      <c r="B37479" s="19"/>
      <c r="E37479" s="23"/>
      <c r="L37479" s="23"/>
    </row>
    <row r="37480">
      <c r="B37480" s="19"/>
      <c r="E37480" s="23"/>
      <c r="L37480" s="23"/>
    </row>
    <row r="37481">
      <c r="B37481" s="19"/>
      <c r="E37481" s="23"/>
      <c r="L37481" s="23"/>
    </row>
    <row r="37482">
      <c r="B37482" s="19"/>
      <c r="E37482" s="23"/>
      <c r="L37482" s="23"/>
    </row>
    <row r="37483">
      <c r="B37483" s="19"/>
      <c r="E37483" s="23"/>
      <c r="L37483" s="23"/>
    </row>
    <row r="37484">
      <c r="B37484" s="19"/>
      <c r="E37484" s="23"/>
      <c r="L37484" s="23"/>
    </row>
    <row r="37485">
      <c r="B37485" s="19"/>
      <c r="E37485" s="23"/>
      <c r="L37485" s="23"/>
    </row>
    <row r="37486">
      <c r="B37486" s="19"/>
      <c r="E37486" s="23"/>
      <c r="L37486" s="23"/>
    </row>
    <row r="37487">
      <c r="B37487" s="19"/>
      <c r="E37487" s="23"/>
      <c r="L37487" s="23"/>
    </row>
    <row r="37488">
      <c r="B37488" s="19"/>
      <c r="E37488" s="23"/>
      <c r="L37488" s="23"/>
    </row>
    <row r="37489">
      <c r="B37489" s="19"/>
      <c r="E37489" s="23"/>
      <c r="L37489" s="23"/>
    </row>
    <row r="37490">
      <c r="B37490" s="19"/>
      <c r="E37490" s="23"/>
      <c r="L37490" s="23"/>
    </row>
    <row r="37491">
      <c r="B37491" s="19"/>
      <c r="E37491" s="23"/>
      <c r="L37491" s="23"/>
    </row>
    <row r="37492">
      <c r="B37492" s="19"/>
      <c r="E37492" s="23"/>
      <c r="L37492" s="23"/>
    </row>
    <row r="37493">
      <c r="B37493" s="19"/>
      <c r="E37493" s="23"/>
      <c r="L37493" s="23"/>
    </row>
    <row r="37494">
      <c r="B37494" s="19"/>
      <c r="E37494" s="23"/>
      <c r="L37494" s="23"/>
    </row>
    <row r="37495">
      <c r="B37495" s="19"/>
      <c r="E37495" s="23"/>
      <c r="L37495" s="23"/>
    </row>
    <row r="37496">
      <c r="B37496" s="19"/>
      <c r="E37496" s="23"/>
      <c r="L37496" s="23"/>
    </row>
    <row r="37497">
      <c r="B37497" s="19"/>
      <c r="E37497" s="23"/>
      <c r="L37497" s="23"/>
    </row>
    <row r="37498">
      <c r="B37498" s="19"/>
      <c r="E37498" s="23"/>
      <c r="L37498" s="23"/>
    </row>
    <row r="37499">
      <c r="B37499" s="19"/>
      <c r="E37499" s="23"/>
      <c r="L37499" s="23"/>
    </row>
    <row r="37500">
      <c r="B37500" s="19"/>
      <c r="E37500" s="23"/>
      <c r="L37500" s="23"/>
    </row>
    <row r="37501">
      <c r="B37501" s="19"/>
      <c r="E37501" s="23"/>
      <c r="L37501" s="23"/>
    </row>
    <row r="37502">
      <c r="B37502" s="19"/>
      <c r="E37502" s="23"/>
      <c r="L37502" s="23"/>
    </row>
    <row r="37503">
      <c r="B37503" s="19"/>
      <c r="E37503" s="23"/>
      <c r="L37503" s="23"/>
    </row>
    <row r="37504">
      <c r="B37504" s="19"/>
      <c r="E37504" s="23"/>
      <c r="L37504" s="23"/>
    </row>
    <row r="37505">
      <c r="B37505" s="19"/>
      <c r="E37505" s="23"/>
      <c r="L37505" s="23"/>
    </row>
    <row r="37506">
      <c r="B37506" s="19"/>
      <c r="E37506" s="23"/>
      <c r="L37506" s="23"/>
    </row>
    <row r="37507">
      <c r="B37507" s="19"/>
      <c r="E37507" s="23"/>
      <c r="L37507" s="23"/>
    </row>
    <row r="37508">
      <c r="B37508" s="19"/>
      <c r="E37508" s="23"/>
      <c r="L37508" s="23"/>
    </row>
    <row r="37509">
      <c r="B37509" s="19"/>
      <c r="E37509" s="23"/>
      <c r="L37509" s="23"/>
    </row>
    <row r="37510">
      <c r="B37510" s="19"/>
      <c r="E37510" s="23"/>
      <c r="L37510" s="23"/>
    </row>
    <row r="37511">
      <c r="B37511" s="19"/>
      <c r="E37511" s="23"/>
      <c r="L37511" s="23"/>
    </row>
    <row r="37512">
      <c r="B37512" s="19"/>
      <c r="E37512" s="23"/>
      <c r="L37512" s="23"/>
    </row>
    <row r="37513">
      <c r="B37513" s="19"/>
      <c r="E37513" s="23"/>
      <c r="L37513" s="23"/>
    </row>
    <row r="37514">
      <c r="B37514" s="19"/>
      <c r="E37514" s="23"/>
      <c r="L37514" s="23"/>
    </row>
    <row r="37515">
      <c r="B37515" s="19"/>
      <c r="E37515" s="23"/>
      <c r="L37515" s="23"/>
    </row>
    <row r="37516">
      <c r="B37516" s="19"/>
      <c r="E37516" s="23"/>
      <c r="L37516" s="23"/>
    </row>
    <row r="37517">
      <c r="B37517" s="19"/>
      <c r="E37517" s="23"/>
      <c r="L37517" s="23"/>
    </row>
    <row r="37518">
      <c r="B37518" s="19"/>
      <c r="E37518" s="23"/>
      <c r="L37518" s="23"/>
    </row>
    <row r="37519">
      <c r="B37519" s="19"/>
      <c r="E37519" s="23"/>
      <c r="L37519" s="23"/>
    </row>
    <row r="37520">
      <c r="B37520" s="19"/>
      <c r="E37520" s="23"/>
      <c r="L37520" s="23"/>
    </row>
    <row r="37521">
      <c r="B37521" s="19"/>
      <c r="E37521" s="23"/>
      <c r="L37521" s="23"/>
    </row>
    <row r="37522">
      <c r="B37522" s="19"/>
      <c r="E37522" s="23"/>
      <c r="L37522" s="23"/>
    </row>
    <row r="37523">
      <c r="B37523" s="19"/>
      <c r="E37523" s="23"/>
      <c r="L37523" s="23"/>
    </row>
    <row r="37524">
      <c r="B37524" s="19"/>
      <c r="E37524" s="23"/>
      <c r="L37524" s="23"/>
    </row>
    <row r="37525">
      <c r="B37525" s="19"/>
      <c r="E37525" s="23"/>
      <c r="L37525" s="23"/>
    </row>
    <row r="37526">
      <c r="B37526" s="19"/>
      <c r="E37526" s="23"/>
      <c r="L37526" s="23"/>
    </row>
    <row r="37527">
      <c r="B37527" s="19"/>
      <c r="E37527" s="23"/>
      <c r="L37527" s="23"/>
    </row>
    <row r="37528">
      <c r="B37528" s="19"/>
      <c r="E37528" s="23"/>
      <c r="L37528" s="23"/>
    </row>
    <row r="37529">
      <c r="B37529" s="19"/>
      <c r="E37529" s="23"/>
      <c r="L37529" s="23"/>
    </row>
    <row r="37530">
      <c r="B37530" s="19"/>
      <c r="E37530" s="23"/>
      <c r="L37530" s="23"/>
    </row>
    <row r="37531">
      <c r="B37531" s="19"/>
      <c r="E37531" s="23"/>
      <c r="L37531" s="23"/>
    </row>
    <row r="37532">
      <c r="B37532" s="19"/>
      <c r="E37532" s="23"/>
      <c r="L37532" s="23"/>
    </row>
    <row r="37533">
      <c r="B37533" s="19"/>
      <c r="E37533" s="23"/>
      <c r="L37533" s="23"/>
    </row>
    <row r="37534">
      <c r="B37534" s="19"/>
      <c r="E37534" s="23"/>
      <c r="L37534" s="23"/>
    </row>
    <row r="37535">
      <c r="B37535" s="19"/>
      <c r="E37535" s="23"/>
      <c r="L37535" s="23"/>
    </row>
    <row r="37536">
      <c r="B37536" s="19"/>
      <c r="E37536" s="23"/>
      <c r="L37536" s="23"/>
    </row>
    <row r="37537">
      <c r="B37537" s="19"/>
      <c r="E37537" s="23"/>
      <c r="L37537" s="23"/>
    </row>
    <row r="37538">
      <c r="B37538" s="19"/>
      <c r="E37538" s="23"/>
      <c r="L37538" s="23"/>
    </row>
    <row r="37539">
      <c r="B37539" s="19"/>
      <c r="E37539" s="23"/>
      <c r="L37539" s="23"/>
    </row>
    <row r="37540">
      <c r="B37540" s="19"/>
      <c r="E37540" s="23"/>
      <c r="L37540" s="23"/>
    </row>
    <row r="37541">
      <c r="B37541" s="19"/>
      <c r="E37541" s="23"/>
      <c r="L37541" s="23"/>
    </row>
    <row r="37542">
      <c r="B37542" s="19"/>
      <c r="E37542" s="23"/>
      <c r="L37542" s="23"/>
    </row>
    <row r="37543">
      <c r="B37543" s="19"/>
      <c r="E37543" s="23"/>
      <c r="L37543" s="23"/>
    </row>
    <row r="37544">
      <c r="B37544" s="19"/>
      <c r="E37544" s="23"/>
      <c r="L37544" s="23"/>
    </row>
    <row r="37545">
      <c r="B37545" s="19"/>
      <c r="E37545" s="23"/>
      <c r="L37545" s="23"/>
    </row>
    <row r="37546">
      <c r="B37546" s="19"/>
      <c r="E37546" s="23"/>
      <c r="L37546" s="23"/>
    </row>
    <row r="37547">
      <c r="B37547" s="19"/>
      <c r="E37547" s="23"/>
      <c r="L37547" s="23"/>
    </row>
    <row r="37548">
      <c r="B37548" s="19"/>
      <c r="E37548" s="23"/>
      <c r="L37548" s="23"/>
    </row>
    <row r="37549">
      <c r="B37549" s="19"/>
      <c r="E37549" s="23"/>
      <c r="L37549" s="23"/>
    </row>
    <row r="37550">
      <c r="B37550" s="19"/>
      <c r="E37550" s="23"/>
      <c r="L37550" s="23"/>
    </row>
    <row r="37551">
      <c r="B37551" s="19"/>
      <c r="E37551" s="23"/>
      <c r="L37551" s="23"/>
    </row>
    <row r="37552">
      <c r="B37552" s="19"/>
      <c r="E37552" s="23"/>
      <c r="L37552" s="23"/>
    </row>
    <row r="37553">
      <c r="B37553" s="19"/>
      <c r="E37553" s="23"/>
      <c r="L37553" s="23"/>
    </row>
    <row r="37554">
      <c r="B37554" s="19"/>
      <c r="E37554" s="23"/>
      <c r="L37554" s="23"/>
    </row>
    <row r="37555">
      <c r="B37555" s="19"/>
      <c r="E37555" s="23"/>
      <c r="L37555" s="23"/>
    </row>
    <row r="37556">
      <c r="B37556" s="19"/>
      <c r="E37556" s="23"/>
      <c r="L37556" s="23"/>
    </row>
    <row r="37557">
      <c r="B37557" s="19"/>
      <c r="E37557" s="23"/>
      <c r="L37557" s="23"/>
    </row>
    <row r="37558">
      <c r="B37558" s="19"/>
      <c r="E37558" s="23"/>
      <c r="L37558" s="23"/>
    </row>
    <row r="37559">
      <c r="B37559" s="19"/>
      <c r="E37559" s="23"/>
      <c r="L37559" s="23"/>
    </row>
    <row r="37560">
      <c r="B37560" s="19"/>
      <c r="E37560" s="23"/>
      <c r="L37560" s="23"/>
    </row>
    <row r="37561">
      <c r="B37561" s="19"/>
      <c r="E37561" s="23"/>
      <c r="L37561" s="23"/>
    </row>
    <row r="37562">
      <c r="B37562" s="19"/>
      <c r="E37562" s="23"/>
      <c r="L37562" s="23"/>
    </row>
    <row r="37563">
      <c r="B37563" s="19"/>
      <c r="E37563" s="23"/>
      <c r="L37563" s="23"/>
    </row>
    <row r="37564">
      <c r="B37564" s="19"/>
      <c r="E37564" s="23"/>
      <c r="L37564" s="23"/>
    </row>
    <row r="37565">
      <c r="B37565" s="19"/>
      <c r="E37565" s="23"/>
      <c r="L37565" s="23"/>
    </row>
    <row r="37566">
      <c r="B37566" s="19"/>
      <c r="E37566" s="23"/>
      <c r="L37566" s="23"/>
    </row>
    <row r="37567">
      <c r="B37567" s="19"/>
      <c r="E37567" s="23"/>
      <c r="L37567" s="23"/>
    </row>
    <row r="37568">
      <c r="B37568" s="19"/>
      <c r="E37568" s="23"/>
      <c r="L37568" s="23"/>
    </row>
    <row r="37569">
      <c r="B37569" s="19"/>
      <c r="E37569" s="23"/>
      <c r="L37569" s="23"/>
    </row>
    <row r="37570">
      <c r="B37570" s="19"/>
      <c r="E37570" s="23"/>
      <c r="L37570" s="23"/>
    </row>
    <row r="37571">
      <c r="B37571" s="19"/>
      <c r="E37571" s="23"/>
      <c r="L37571" s="23"/>
    </row>
    <row r="37572">
      <c r="B37572" s="19"/>
      <c r="E37572" s="23"/>
      <c r="L37572" s="23"/>
    </row>
    <row r="37573">
      <c r="B37573" s="19"/>
      <c r="E37573" s="23"/>
      <c r="L37573" s="23"/>
    </row>
    <row r="37574">
      <c r="B37574" s="19"/>
      <c r="E37574" s="23"/>
      <c r="L37574" s="23"/>
    </row>
    <row r="37575">
      <c r="B37575" s="19"/>
      <c r="E37575" s="23"/>
      <c r="L37575" s="23"/>
    </row>
    <row r="37576">
      <c r="B37576" s="19"/>
      <c r="E37576" s="23"/>
      <c r="L37576" s="23"/>
    </row>
    <row r="37577">
      <c r="B37577" s="19"/>
      <c r="E37577" s="23"/>
      <c r="L37577" s="23"/>
    </row>
    <row r="37578">
      <c r="B37578" s="19"/>
      <c r="E37578" s="23"/>
      <c r="L37578" s="23"/>
    </row>
    <row r="37579">
      <c r="B37579" s="19"/>
      <c r="E37579" s="23"/>
      <c r="L37579" s="23"/>
    </row>
    <row r="37580">
      <c r="B37580" s="19"/>
      <c r="E37580" s="23"/>
      <c r="L37580" s="23"/>
    </row>
    <row r="37581">
      <c r="B37581" s="19"/>
      <c r="E37581" s="23"/>
      <c r="L37581" s="23"/>
    </row>
    <row r="37582">
      <c r="B37582" s="19"/>
      <c r="E37582" s="23"/>
      <c r="L37582" s="23"/>
    </row>
    <row r="37583">
      <c r="B37583" s="19"/>
      <c r="E37583" s="23"/>
      <c r="L37583" s="23"/>
    </row>
    <row r="37584">
      <c r="B37584" s="19"/>
      <c r="E37584" s="23"/>
      <c r="L37584" s="23"/>
    </row>
    <row r="37585">
      <c r="B37585" s="19"/>
      <c r="E37585" s="23"/>
      <c r="L37585" s="23"/>
    </row>
    <row r="37586">
      <c r="B37586" s="19"/>
      <c r="E37586" s="23"/>
      <c r="L37586" s="23"/>
    </row>
    <row r="37587">
      <c r="B37587" s="19"/>
      <c r="E37587" s="23"/>
      <c r="L37587" s="23"/>
    </row>
    <row r="37588">
      <c r="B37588" s="19"/>
      <c r="E37588" s="23"/>
      <c r="L37588" s="23"/>
    </row>
    <row r="37589">
      <c r="B37589" s="19"/>
      <c r="E37589" s="23"/>
      <c r="L37589" s="23"/>
    </row>
    <row r="37590">
      <c r="B37590" s="19"/>
      <c r="E37590" s="23"/>
      <c r="L37590" s="23"/>
    </row>
    <row r="37591">
      <c r="B37591" s="19"/>
      <c r="E37591" s="23"/>
      <c r="L37591" s="23"/>
    </row>
    <row r="37592">
      <c r="B37592" s="19"/>
      <c r="E37592" s="23"/>
      <c r="L37592" s="23"/>
    </row>
    <row r="37593">
      <c r="B37593" s="19"/>
      <c r="E37593" s="23"/>
      <c r="L37593" s="23"/>
    </row>
    <row r="37594">
      <c r="B37594" s="19"/>
      <c r="E37594" s="23"/>
      <c r="L37594" s="23"/>
    </row>
    <row r="37595">
      <c r="B37595" s="19"/>
      <c r="E37595" s="23"/>
      <c r="L37595" s="23"/>
    </row>
    <row r="37596">
      <c r="B37596" s="19"/>
      <c r="E37596" s="23"/>
      <c r="L37596" s="23"/>
    </row>
    <row r="37597">
      <c r="B37597" s="19"/>
      <c r="E37597" s="23"/>
      <c r="L37597" s="23"/>
    </row>
    <row r="37598">
      <c r="B37598" s="19"/>
      <c r="E37598" s="23"/>
      <c r="L37598" s="23"/>
    </row>
    <row r="37599">
      <c r="B37599" s="19"/>
      <c r="E37599" s="23"/>
      <c r="L37599" s="23"/>
    </row>
    <row r="37600">
      <c r="B37600" s="19"/>
      <c r="E37600" s="23"/>
      <c r="L37600" s="23"/>
    </row>
    <row r="37601">
      <c r="B37601" s="19"/>
      <c r="E37601" s="23"/>
      <c r="L37601" s="23"/>
    </row>
    <row r="37602">
      <c r="B37602" s="19"/>
      <c r="E37602" s="23"/>
      <c r="L37602" s="23"/>
    </row>
    <row r="37603">
      <c r="B37603" s="19"/>
      <c r="E37603" s="23"/>
      <c r="L37603" s="23"/>
    </row>
    <row r="37604">
      <c r="B37604" s="19"/>
      <c r="E37604" s="23"/>
      <c r="L37604" s="23"/>
    </row>
    <row r="37605">
      <c r="B37605" s="19"/>
      <c r="E37605" s="23"/>
      <c r="L37605" s="23"/>
    </row>
    <row r="37606">
      <c r="B37606" s="19"/>
      <c r="E37606" s="23"/>
      <c r="L37606" s="23"/>
    </row>
    <row r="37607">
      <c r="B37607" s="19"/>
      <c r="E37607" s="23"/>
      <c r="L37607" s="23"/>
    </row>
    <row r="37608">
      <c r="B37608" s="19"/>
      <c r="E37608" s="23"/>
      <c r="L37608" s="23"/>
    </row>
    <row r="37609">
      <c r="B37609" s="19"/>
      <c r="E37609" s="23"/>
      <c r="L37609" s="23"/>
    </row>
    <row r="37610">
      <c r="B37610" s="19"/>
      <c r="E37610" s="23"/>
      <c r="L37610" s="23"/>
    </row>
    <row r="37611">
      <c r="B37611" s="19"/>
      <c r="E37611" s="23"/>
      <c r="L37611" s="23"/>
    </row>
    <row r="37612">
      <c r="B37612" s="19"/>
      <c r="E37612" s="23"/>
      <c r="L37612" s="23"/>
    </row>
    <row r="37613">
      <c r="B37613" s="19"/>
      <c r="E37613" s="23"/>
      <c r="L37613" s="23"/>
    </row>
    <row r="37614">
      <c r="B37614" s="19"/>
      <c r="E37614" s="23"/>
      <c r="L37614" s="23"/>
    </row>
    <row r="37615">
      <c r="B37615" s="19"/>
      <c r="E37615" s="23"/>
      <c r="L37615" s="23"/>
    </row>
    <row r="37616">
      <c r="B37616" s="19"/>
      <c r="E37616" s="23"/>
      <c r="L37616" s="23"/>
    </row>
    <row r="37617">
      <c r="B37617" s="19"/>
      <c r="E37617" s="23"/>
      <c r="L37617" s="23"/>
    </row>
    <row r="37618">
      <c r="B37618" s="19"/>
      <c r="E37618" s="23"/>
      <c r="L37618" s="23"/>
    </row>
    <row r="37619">
      <c r="B37619" s="19"/>
      <c r="E37619" s="23"/>
      <c r="L37619" s="23"/>
    </row>
    <row r="37620">
      <c r="B37620" s="19"/>
      <c r="E37620" s="23"/>
      <c r="L37620" s="23"/>
    </row>
    <row r="37621">
      <c r="B37621" s="19"/>
      <c r="E37621" s="23"/>
      <c r="L37621" s="23"/>
    </row>
    <row r="37622">
      <c r="B37622" s="19"/>
      <c r="E37622" s="23"/>
      <c r="L37622" s="23"/>
    </row>
    <row r="37623">
      <c r="B37623" s="19"/>
      <c r="E37623" s="23"/>
      <c r="L37623" s="23"/>
    </row>
    <row r="37624">
      <c r="B37624" s="19"/>
      <c r="E37624" s="23"/>
      <c r="L37624" s="23"/>
    </row>
    <row r="37625">
      <c r="B37625" s="19"/>
      <c r="E37625" s="23"/>
      <c r="L37625" s="23"/>
    </row>
    <row r="37626">
      <c r="B37626" s="19"/>
      <c r="E37626" s="23"/>
      <c r="L37626" s="23"/>
    </row>
    <row r="37627">
      <c r="B37627" s="19"/>
      <c r="E37627" s="23"/>
      <c r="L37627" s="23"/>
    </row>
    <row r="37628">
      <c r="B37628" s="19"/>
      <c r="E37628" s="23"/>
      <c r="L37628" s="23"/>
    </row>
    <row r="37629">
      <c r="B37629" s="19"/>
      <c r="E37629" s="23"/>
      <c r="L37629" s="23"/>
    </row>
    <row r="37630">
      <c r="B37630" s="19"/>
      <c r="E37630" s="23"/>
      <c r="L37630" s="23"/>
    </row>
    <row r="37631">
      <c r="B37631" s="19"/>
      <c r="E37631" s="23"/>
      <c r="L37631" s="23"/>
    </row>
    <row r="37632">
      <c r="B37632" s="19"/>
      <c r="E37632" s="23"/>
      <c r="L37632" s="23"/>
    </row>
    <row r="37633">
      <c r="B37633" s="19"/>
      <c r="E37633" s="23"/>
      <c r="L37633" s="23"/>
    </row>
    <row r="37634">
      <c r="B37634" s="19"/>
      <c r="E37634" s="23"/>
      <c r="L37634" s="23"/>
    </row>
    <row r="37635">
      <c r="B37635" s="19"/>
      <c r="E37635" s="23"/>
      <c r="L37635" s="23"/>
    </row>
    <row r="37636">
      <c r="B37636" s="19"/>
      <c r="E37636" s="23"/>
      <c r="L37636" s="23"/>
    </row>
    <row r="37637">
      <c r="B37637" s="19"/>
      <c r="E37637" s="23"/>
      <c r="L37637" s="23"/>
    </row>
    <row r="37638">
      <c r="B37638" s="19"/>
      <c r="E37638" s="23"/>
      <c r="L37638" s="23"/>
    </row>
    <row r="37639">
      <c r="B37639" s="19"/>
      <c r="E37639" s="23"/>
      <c r="L37639" s="23"/>
    </row>
    <row r="37640">
      <c r="B37640" s="19"/>
      <c r="E37640" s="23"/>
      <c r="L37640" s="23"/>
    </row>
    <row r="37641">
      <c r="B37641" s="19"/>
      <c r="E37641" s="23"/>
      <c r="L37641" s="23"/>
    </row>
    <row r="37642">
      <c r="B37642" s="19"/>
      <c r="E37642" s="23"/>
      <c r="L37642" s="23"/>
    </row>
    <row r="37643">
      <c r="B37643" s="19"/>
      <c r="E37643" s="23"/>
      <c r="L37643" s="23"/>
    </row>
    <row r="37644">
      <c r="B37644" s="19"/>
      <c r="E37644" s="23"/>
      <c r="L37644" s="23"/>
    </row>
    <row r="37645">
      <c r="B37645" s="19"/>
      <c r="E37645" s="23"/>
      <c r="L37645" s="23"/>
    </row>
    <row r="37646">
      <c r="B37646" s="19"/>
      <c r="E37646" s="23"/>
      <c r="L37646" s="23"/>
    </row>
    <row r="37647">
      <c r="B37647" s="19"/>
      <c r="E37647" s="23"/>
      <c r="L37647" s="23"/>
    </row>
    <row r="37648">
      <c r="B37648" s="19"/>
      <c r="E37648" s="23"/>
      <c r="L37648" s="23"/>
    </row>
    <row r="37649">
      <c r="B37649" s="19"/>
      <c r="E37649" s="23"/>
      <c r="L37649" s="23"/>
    </row>
    <row r="37650">
      <c r="B37650" s="19"/>
      <c r="E37650" s="23"/>
      <c r="L37650" s="23"/>
    </row>
    <row r="37651">
      <c r="B37651" s="19"/>
      <c r="E37651" s="23"/>
      <c r="L37651" s="23"/>
    </row>
    <row r="37652">
      <c r="B37652" s="19"/>
      <c r="E37652" s="23"/>
      <c r="L37652" s="23"/>
    </row>
    <row r="37653">
      <c r="B37653" s="19"/>
      <c r="E37653" s="23"/>
      <c r="L37653" s="23"/>
    </row>
    <row r="37654">
      <c r="B37654" s="19"/>
      <c r="E37654" s="23"/>
      <c r="L37654" s="23"/>
    </row>
    <row r="37655">
      <c r="B37655" s="19"/>
      <c r="E37655" s="23"/>
      <c r="L37655" s="23"/>
    </row>
    <row r="37656">
      <c r="B37656" s="19"/>
      <c r="E37656" s="23"/>
      <c r="L37656" s="23"/>
    </row>
    <row r="37657">
      <c r="B37657" s="19"/>
      <c r="E37657" s="23"/>
      <c r="L37657" s="23"/>
    </row>
    <row r="37658">
      <c r="B37658" s="19"/>
      <c r="E37658" s="23"/>
      <c r="L37658" s="23"/>
    </row>
    <row r="37659">
      <c r="B37659" s="19"/>
      <c r="E37659" s="23"/>
      <c r="L37659" s="23"/>
    </row>
    <row r="37660">
      <c r="B37660" s="19"/>
      <c r="E37660" s="23"/>
      <c r="L37660" s="23"/>
    </row>
    <row r="37661">
      <c r="B37661" s="19"/>
      <c r="E37661" s="23"/>
      <c r="L37661" s="23"/>
    </row>
    <row r="37662">
      <c r="B37662" s="19"/>
      <c r="E37662" s="23"/>
      <c r="L37662" s="23"/>
    </row>
    <row r="37663">
      <c r="B37663" s="19"/>
      <c r="E37663" s="23"/>
      <c r="L37663" s="23"/>
    </row>
    <row r="37664">
      <c r="B37664" s="19"/>
      <c r="E37664" s="23"/>
      <c r="L37664" s="23"/>
    </row>
    <row r="37665">
      <c r="B37665" s="19"/>
      <c r="E37665" s="23"/>
      <c r="L37665" s="23"/>
    </row>
    <row r="37666">
      <c r="B37666" s="19"/>
      <c r="E37666" s="23"/>
      <c r="L37666" s="23"/>
    </row>
    <row r="37667">
      <c r="B37667" s="19"/>
      <c r="E37667" s="23"/>
      <c r="L37667" s="23"/>
    </row>
    <row r="37668">
      <c r="B37668" s="19"/>
      <c r="E37668" s="23"/>
      <c r="L37668" s="23"/>
    </row>
    <row r="37669">
      <c r="B37669" s="19"/>
      <c r="E37669" s="23"/>
      <c r="L37669" s="23"/>
    </row>
    <row r="37670">
      <c r="B37670" s="19"/>
      <c r="E37670" s="23"/>
      <c r="L37670" s="23"/>
    </row>
    <row r="37671">
      <c r="B37671" s="19"/>
      <c r="E37671" s="23"/>
      <c r="L37671" s="23"/>
    </row>
    <row r="37672">
      <c r="B37672" s="19"/>
      <c r="E37672" s="23"/>
      <c r="L37672" s="23"/>
    </row>
    <row r="37673">
      <c r="B37673" s="19"/>
      <c r="E37673" s="23"/>
      <c r="L37673" s="23"/>
    </row>
    <row r="37674">
      <c r="B37674" s="19"/>
      <c r="E37674" s="23"/>
      <c r="L37674" s="23"/>
    </row>
    <row r="37675">
      <c r="B37675" s="19"/>
      <c r="E37675" s="23"/>
      <c r="L37675" s="23"/>
    </row>
    <row r="37676">
      <c r="B37676" s="19"/>
      <c r="E37676" s="23"/>
      <c r="L37676" s="23"/>
    </row>
    <row r="37677">
      <c r="B37677" s="19"/>
      <c r="E37677" s="23"/>
      <c r="L37677" s="23"/>
    </row>
    <row r="37678">
      <c r="B37678" s="19"/>
      <c r="E37678" s="23"/>
      <c r="L37678" s="23"/>
    </row>
    <row r="37679">
      <c r="B37679" s="19"/>
      <c r="E37679" s="23"/>
      <c r="L37679" s="23"/>
    </row>
    <row r="37680">
      <c r="B37680" s="19"/>
      <c r="E37680" s="23"/>
      <c r="L37680" s="23"/>
    </row>
    <row r="37681">
      <c r="B37681" s="19"/>
      <c r="E37681" s="23"/>
      <c r="L37681" s="23"/>
    </row>
    <row r="37682">
      <c r="B37682" s="19"/>
      <c r="E37682" s="23"/>
      <c r="L37682" s="23"/>
    </row>
    <row r="37683">
      <c r="B37683" s="19"/>
      <c r="E37683" s="23"/>
      <c r="L37683" s="23"/>
    </row>
    <row r="37684">
      <c r="B37684" s="19"/>
      <c r="E37684" s="23"/>
      <c r="L37684" s="23"/>
    </row>
    <row r="37685">
      <c r="B37685" s="19"/>
      <c r="E37685" s="23"/>
      <c r="L37685" s="23"/>
    </row>
    <row r="37686">
      <c r="B37686" s="19"/>
      <c r="E37686" s="23"/>
      <c r="L37686" s="23"/>
    </row>
    <row r="37687">
      <c r="B37687" s="19"/>
      <c r="E37687" s="23"/>
      <c r="L37687" s="23"/>
    </row>
    <row r="37688">
      <c r="B37688" s="19"/>
      <c r="E37688" s="23"/>
      <c r="L37688" s="23"/>
    </row>
    <row r="37689">
      <c r="B37689" s="19"/>
      <c r="E37689" s="23"/>
      <c r="L37689" s="23"/>
    </row>
    <row r="37690">
      <c r="B37690" s="19"/>
      <c r="E37690" s="23"/>
      <c r="L37690" s="23"/>
    </row>
    <row r="37691">
      <c r="B37691" s="19"/>
      <c r="E37691" s="23"/>
      <c r="L37691" s="23"/>
    </row>
    <row r="37692">
      <c r="B37692" s="19"/>
      <c r="E37692" s="23"/>
      <c r="L37692" s="23"/>
    </row>
    <row r="37693">
      <c r="B37693" s="19"/>
      <c r="E37693" s="23"/>
      <c r="L37693" s="23"/>
    </row>
    <row r="37694">
      <c r="B37694" s="19"/>
      <c r="E37694" s="23"/>
      <c r="L37694" s="23"/>
    </row>
    <row r="37695">
      <c r="B37695" s="19"/>
      <c r="E37695" s="23"/>
      <c r="L37695" s="23"/>
    </row>
    <row r="37696">
      <c r="B37696" s="19"/>
      <c r="E37696" s="23"/>
      <c r="L37696" s="23"/>
    </row>
    <row r="37697">
      <c r="B37697" s="19"/>
      <c r="E37697" s="23"/>
      <c r="L37697" s="23"/>
    </row>
    <row r="37698">
      <c r="B37698" s="19"/>
      <c r="E37698" s="23"/>
      <c r="L37698" s="23"/>
    </row>
    <row r="37699">
      <c r="B37699" s="19"/>
      <c r="E37699" s="23"/>
      <c r="L37699" s="23"/>
    </row>
    <row r="37700">
      <c r="B37700" s="19"/>
      <c r="E37700" s="23"/>
      <c r="L37700" s="23"/>
    </row>
    <row r="37701">
      <c r="B37701" s="19"/>
      <c r="E37701" s="23"/>
      <c r="L37701" s="23"/>
    </row>
    <row r="37702">
      <c r="B37702" s="19"/>
      <c r="E37702" s="23"/>
      <c r="L37702" s="23"/>
    </row>
    <row r="37703">
      <c r="B37703" s="19"/>
      <c r="E37703" s="23"/>
      <c r="L37703" s="23"/>
    </row>
    <row r="37704">
      <c r="B37704" s="19"/>
      <c r="E37704" s="23"/>
      <c r="L37704" s="23"/>
    </row>
    <row r="37705">
      <c r="B37705" s="19"/>
      <c r="E37705" s="23"/>
      <c r="L37705" s="23"/>
    </row>
    <row r="37706">
      <c r="B37706" s="19"/>
      <c r="E37706" s="23"/>
      <c r="L37706" s="23"/>
    </row>
    <row r="37707">
      <c r="B37707" s="19"/>
      <c r="E37707" s="23"/>
      <c r="L37707" s="23"/>
    </row>
    <row r="37708">
      <c r="B37708" s="19"/>
      <c r="E37708" s="23"/>
      <c r="L37708" s="23"/>
    </row>
    <row r="37709">
      <c r="B37709" s="19"/>
      <c r="E37709" s="23"/>
      <c r="L37709" s="23"/>
    </row>
    <row r="37710">
      <c r="B37710" s="19"/>
      <c r="E37710" s="23"/>
      <c r="L37710" s="23"/>
    </row>
    <row r="37711">
      <c r="B37711" s="19"/>
      <c r="E37711" s="23"/>
      <c r="L37711" s="23"/>
    </row>
    <row r="37712">
      <c r="B37712" s="19"/>
      <c r="E37712" s="23"/>
      <c r="L37712" s="23"/>
    </row>
    <row r="37713">
      <c r="B37713" s="19"/>
      <c r="E37713" s="23"/>
      <c r="L37713" s="23"/>
    </row>
    <row r="37714">
      <c r="B37714" s="19"/>
      <c r="E37714" s="23"/>
      <c r="L37714" s="23"/>
    </row>
    <row r="37715">
      <c r="B37715" s="19"/>
      <c r="E37715" s="23"/>
      <c r="L37715" s="23"/>
    </row>
    <row r="37716">
      <c r="B37716" s="19"/>
      <c r="E37716" s="23"/>
      <c r="L37716" s="23"/>
    </row>
    <row r="37717">
      <c r="B37717" s="19"/>
      <c r="E37717" s="23"/>
      <c r="L37717" s="23"/>
    </row>
    <row r="37718">
      <c r="B37718" s="19"/>
      <c r="E37718" s="23"/>
      <c r="L37718" s="23"/>
    </row>
    <row r="37719">
      <c r="B37719" s="19"/>
      <c r="E37719" s="23"/>
      <c r="L37719" s="23"/>
    </row>
    <row r="37720">
      <c r="B37720" s="19"/>
      <c r="E37720" s="23"/>
      <c r="L37720" s="23"/>
    </row>
    <row r="37721">
      <c r="B37721" s="19"/>
      <c r="E37721" s="23"/>
      <c r="L37721" s="23"/>
    </row>
    <row r="37722">
      <c r="B37722" s="19"/>
      <c r="E37722" s="23"/>
      <c r="L37722" s="23"/>
    </row>
    <row r="37723">
      <c r="B37723" s="19"/>
      <c r="E37723" s="23"/>
      <c r="L37723" s="23"/>
    </row>
    <row r="37724">
      <c r="B37724" s="19"/>
      <c r="E37724" s="23"/>
      <c r="L37724" s="23"/>
    </row>
    <row r="37725">
      <c r="B37725" s="19"/>
      <c r="E37725" s="23"/>
      <c r="L37725" s="23"/>
    </row>
    <row r="37726">
      <c r="B37726" s="19"/>
      <c r="E37726" s="23"/>
      <c r="L37726" s="23"/>
    </row>
    <row r="37727">
      <c r="B37727" s="19"/>
      <c r="E37727" s="23"/>
      <c r="L37727" s="23"/>
    </row>
    <row r="37728">
      <c r="B37728" s="19"/>
      <c r="E37728" s="23"/>
      <c r="L37728" s="23"/>
    </row>
    <row r="37729">
      <c r="B37729" s="19"/>
      <c r="E37729" s="23"/>
      <c r="L37729" s="23"/>
    </row>
    <row r="37730">
      <c r="B37730" s="19"/>
      <c r="E37730" s="23"/>
      <c r="L37730" s="23"/>
    </row>
    <row r="37731">
      <c r="B37731" s="19"/>
      <c r="E37731" s="23"/>
      <c r="L37731" s="23"/>
    </row>
    <row r="37732">
      <c r="B37732" s="19"/>
      <c r="E37732" s="23"/>
      <c r="L37732" s="23"/>
    </row>
    <row r="37733">
      <c r="B37733" s="19"/>
      <c r="E37733" s="23"/>
      <c r="L37733" s="23"/>
    </row>
    <row r="37734">
      <c r="B37734" s="19"/>
      <c r="E37734" s="23"/>
      <c r="L37734" s="23"/>
    </row>
    <row r="37735">
      <c r="B37735" s="19"/>
      <c r="E37735" s="23"/>
      <c r="L37735" s="23"/>
    </row>
    <row r="37736">
      <c r="B37736" s="19"/>
      <c r="E37736" s="23"/>
      <c r="L37736" s="23"/>
    </row>
    <row r="37737">
      <c r="B37737" s="19"/>
      <c r="E37737" s="23"/>
      <c r="L37737" s="23"/>
    </row>
    <row r="37738">
      <c r="B37738" s="19"/>
      <c r="E37738" s="23"/>
      <c r="L37738" s="23"/>
    </row>
    <row r="37739">
      <c r="B37739" s="19"/>
      <c r="E37739" s="23"/>
      <c r="L37739" s="23"/>
    </row>
    <row r="37740">
      <c r="B37740" s="19"/>
      <c r="E37740" s="23"/>
      <c r="L37740" s="23"/>
    </row>
    <row r="37741">
      <c r="B37741" s="19"/>
      <c r="E37741" s="23"/>
      <c r="L37741" s="23"/>
    </row>
    <row r="37742">
      <c r="B37742" s="19"/>
      <c r="E37742" s="23"/>
      <c r="L37742" s="23"/>
    </row>
    <row r="37743">
      <c r="B37743" s="19"/>
      <c r="E37743" s="23"/>
      <c r="L37743" s="23"/>
    </row>
    <row r="37744">
      <c r="B37744" s="19"/>
      <c r="E37744" s="23"/>
      <c r="L37744" s="23"/>
    </row>
    <row r="37745">
      <c r="B37745" s="19"/>
      <c r="E37745" s="23"/>
      <c r="L37745" s="23"/>
    </row>
    <row r="37746">
      <c r="B37746" s="19"/>
      <c r="E37746" s="23"/>
      <c r="L37746" s="23"/>
    </row>
    <row r="37747">
      <c r="B37747" s="19"/>
      <c r="E37747" s="23"/>
      <c r="L37747" s="23"/>
    </row>
    <row r="37748">
      <c r="B37748" s="19"/>
      <c r="E37748" s="23"/>
      <c r="L37748" s="23"/>
    </row>
    <row r="37749">
      <c r="B37749" s="19"/>
      <c r="E37749" s="23"/>
      <c r="L37749" s="23"/>
    </row>
    <row r="37750">
      <c r="B37750" s="19"/>
      <c r="E37750" s="23"/>
      <c r="L37750" s="23"/>
    </row>
    <row r="37751">
      <c r="B37751" s="19"/>
      <c r="E37751" s="23"/>
      <c r="L37751" s="23"/>
    </row>
    <row r="37752">
      <c r="B37752" s="19"/>
      <c r="E37752" s="23"/>
      <c r="L37752" s="23"/>
    </row>
    <row r="37753">
      <c r="B37753" s="19"/>
      <c r="E37753" s="23"/>
      <c r="L37753" s="23"/>
    </row>
    <row r="37754">
      <c r="B37754" s="19"/>
      <c r="E37754" s="23"/>
      <c r="L37754" s="23"/>
    </row>
    <row r="37755">
      <c r="B37755" s="19"/>
      <c r="E37755" s="23"/>
      <c r="L37755" s="23"/>
    </row>
    <row r="37756">
      <c r="B37756" s="19"/>
      <c r="E37756" s="23"/>
      <c r="L37756" s="23"/>
    </row>
    <row r="37757">
      <c r="B37757" s="19"/>
      <c r="E37757" s="23"/>
      <c r="L37757" s="23"/>
    </row>
    <row r="37758">
      <c r="B37758" s="19"/>
      <c r="E37758" s="23"/>
      <c r="L37758" s="23"/>
    </row>
    <row r="37759">
      <c r="B37759" s="19"/>
      <c r="E37759" s="23"/>
      <c r="L37759" s="23"/>
    </row>
    <row r="37760">
      <c r="B37760" s="19"/>
      <c r="E37760" s="23"/>
      <c r="L37760" s="23"/>
    </row>
    <row r="37761">
      <c r="B37761" s="19"/>
      <c r="E37761" s="23"/>
      <c r="L37761" s="23"/>
    </row>
    <row r="37762">
      <c r="B37762" s="19"/>
      <c r="E37762" s="23"/>
      <c r="L37762" s="23"/>
    </row>
    <row r="37763">
      <c r="B37763" s="19"/>
      <c r="E37763" s="23"/>
      <c r="L37763" s="23"/>
    </row>
    <row r="37764">
      <c r="B37764" s="19"/>
      <c r="E37764" s="23"/>
      <c r="L37764" s="23"/>
    </row>
    <row r="37765">
      <c r="B37765" s="19"/>
      <c r="E37765" s="23"/>
      <c r="L37765" s="23"/>
    </row>
    <row r="37766">
      <c r="B37766" s="19"/>
      <c r="E37766" s="23"/>
      <c r="L37766" s="23"/>
    </row>
    <row r="37767">
      <c r="B37767" s="19"/>
      <c r="E37767" s="23"/>
      <c r="L37767" s="23"/>
    </row>
    <row r="37768">
      <c r="B37768" s="19"/>
      <c r="E37768" s="23"/>
      <c r="L37768" s="23"/>
    </row>
    <row r="37769">
      <c r="B37769" s="19"/>
      <c r="E37769" s="23"/>
      <c r="L37769" s="23"/>
    </row>
    <row r="37770">
      <c r="B37770" s="19"/>
      <c r="E37770" s="23"/>
      <c r="L37770" s="23"/>
    </row>
    <row r="37771">
      <c r="B37771" s="19"/>
      <c r="E37771" s="23"/>
      <c r="L37771" s="23"/>
    </row>
    <row r="37772">
      <c r="B37772" s="19"/>
      <c r="E37772" s="23"/>
      <c r="L37772" s="23"/>
    </row>
    <row r="37773">
      <c r="B37773" s="19"/>
      <c r="E37773" s="23"/>
      <c r="L37773" s="23"/>
    </row>
    <row r="37774">
      <c r="B37774" s="19"/>
      <c r="E37774" s="23"/>
      <c r="L37774" s="23"/>
    </row>
    <row r="37775">
      <c r="B37775" s="19"/>
      <c r="E37775" s="23"/>
      <c r="L37775" s="23"/>
    </row>
    <row r="37776">
      <c r="B37776" s="19"/>
      <c r="E37776" s="23"/>
      <c r="L37776" s="23"/>
    </row>
    <row r="37777">
      <c r="B37777" s="19"/>
      <c r="E37777" s="23"/>
      <c r="L37777" s="23"/>
    </row>
    <row r="37778">
      <c r="B37778" s="19"/>
      <c r="E37778" s="23"/>
      <c r="L37778" s="23"/>
    </row>
    <row r="37779">
      <c r="B37779" s="19"/>
      <c r="E37779" s="23"/>
      <c r="L37779" s="23"/>
    </row>
    <row r="37780">
      <c r="B37780" s="19"/>
      <c r="E37780" s="23"/>
      <c r="L37780" s="23"/>
    </row>
    <row r="37781">
      <c r="B37781" s="19"/>
      <c r="E37781" s="23"/>
      <c r="L37781" s="23"/>
    </row>
    <row r="37782">
      <c r="B37782" s="19"/>
      <c r="E37782" s="23"/>
      <c r="L37782" s="23"/>
    </row>
    <row r="37783">
      <c r="B37783" s="19"/>
      <c r="E37783" s="23"/>
      <c r="L37783" s="23"/>
    </row>
    <row r="37784">
      <c r="B37784" s="19"/>
      <c r="E37784" s="23"/>
      <c r="L37784" s="23"/>
    </row>
    <row r="37785">
      <c r="B37785" s="19"/>
      <c r="E37785" s="23"/>
      <c r="L37785" s="23"/>
    </row>
    <row r="37786">
      <c r="B37786" s="19"/>
      <c r="E37786" s="23"/>
      <c r="L37786" s="23"/>
    </row>
    <row r="37787">
      <c r="B37787" s="19"/>
      <c r="E37787" s="23"/>
      <c r="L37787" s="23"/>
    </row>
    <row r="37788">
      <c r="B37788" s="19"/>
      <c r="E37788" s="23"/>
      <c r="L37788" s="23"/>
    </row>
    <row r="37789">
      <c r="B37789" s="19"/>
      <c r="E37789" s="23"/>
      <c r="L37789" s="23"/>
    </row>
    <row r="37790">
      <c r="B37790" s="19"/>
      <c r="E37790" s="23"/>
      <c r="L37790" s="23"/>
    </row>
    <row r="37791">
      <c r="B37791" s="19"/>
      <c r="E37791" s="23"/>
      <c r="L37791" s="23"/>
    </row>
    <row r="37792">
      <c r="B37792" s="19"/>
      <c r="E37792" s="23"/>
      <c r="L37792" s="23"/>
    </row>
    <row r="37793">
      <c r="B37793" s="19"/>
      <c r="E37793" s="23"/>
      <c r="L37793" s="23"/>
    </row>
    <row r="37794">
      <c r="B37794" s="19"/>
      <c r="E37794" s="23"/>
      <c r="L37794" s="23"/>
    </row>
    <row r="37795">
      <c r="B37795" s="19"/>
      <c r="E37795" s="23"/>
      <c r="L37795" s="23"/>
    </row>
    <row r="37796">
      <c r="B37796" s="19"/>
      <c r="E37796" s="23"/>
      <c r="L37796" s="23"/>
    </row>
    <row r="37797">
      <c r="B37797" s="19"/>
      <c r="E37797" s="23"/>
      <c r="L37797" s="23"/>
    </row>
    <row r="37798">
      <c r="B37798" s="19"/>
      <c r="E37798" s="23"/>
      <c r="L37798" s="23"/>
    </row>
    <row r="37799">
      <c r="B37799" s="19"/>
      <c r="E37799" s="23"/>
      <c r="L37799" s="23"/>
    </row>
    <row r="37800">
      <c r="B37800" s="19"/>
      <c r="E37800" s="23"/>
      <c r="L37800" s="23"/>
    </row>
    <row r="37801">
      <c r="B37801" s="19"/>
      <c r="E37801" s="23"/>
      <c r="L37801" s="23"/>
    </row>
    <row r="37802">
      <c r="B37802" s="19"/>
      <c r="E37802" s="23"/>
      <c r="L37802" s="23"/>
    </row>
    <row r="37803">
      <c r="B37803" s="19"/>
      <c r="E37803" s="23"/>
      <c r="L37803" s="23"/>
    </row>
    <row r="37804">
      <c r="B37804" s="19"/>
      <c r="E37804" s="23"/>
      <c r="L37804" s="23"/>
    </row>
    <row r="37805">
      <c r="B37805" s="19"/>
      <c r="E37805" s="23"/>
      <c r="L37805" s="23"/>
    </row>
    <row r="37806">
      <c r="B37806" s="19"/>
      <c r="E37806" s="23"/>
      <c r="L37806" s="23"/>
    </row>
    <row r="37807">
      <c r="B37807" s="19"/>
      <c r="E37807" s="23"/>
      <c r="L37807" s="23"/>
    </row>
    <row r="37808">
      <c r="B37808" s="19"/>
      <c r="E37808" s="23"/>
      <c r="L37808" s="23"/>
    </row>
    <row r="37809">
      <c r="B37809" s="19"/>
      <c r="E37809" s="23"/>
      <c r="L37809" s="23"/>
    </row>
    <row r="37810">
      <c r="B37810" s="19"/>
      <c r="E37810" s="23"/>
      <c r="L37810" s="23"/>
    </row>
    <row r="37811">
      <c r="B37811" s="19"/>
      <c r="E37811" s="23"/>
      <c r="L37811" s="23"/>
    </row>
    <row r="37812">
      <c r="B37812" s="19"/>
      <c r="E37812" s="23"/>
      <c r="L37812" s="23"/>
    </row>
    <row r="37813">
      <c r="B37813" s="19"/>
      <c r="E37813" s="23"/>
      <c r="L37813" s="23"/>
    </row>
    <row r="37814">
      <c r="B37814" s="19"/>
      <c r="E37814" s="23"/>
      <c r="L37814" s="23"/>
    </row>
    <row r="37815">
      <c r="B37815" s="19"/>
      <c r="E37815" s="23"/>
      <c r="L37815" s="23"/>
    </row>
    <row r="37816">
      <c r="B37816" s="19"/>
      <c r="E37816" s="23"/>
      <c r="L37816" s="23"/>
    </row>
    <row r="37817">
      <c r="B37817" s="19"/>
      <c r="E37817" s="23"/>
      <c r="L37817" s="23"/>
    </row>
    <row r="37818">
      <c r="B37818" s="19"/>
      <c r="E37818" s="23"/>
      <c r="L37818" s="23"/>
    </row>
    <row r="37819">
      <c r="B37819" s="19"/>
      <c r="E37819" s="23"/>
      <c r="L37819" s="23"/>
    </row>
    <row r="37820">
      <c r="B37820" s="19"/>
      <c r="E37820" s="23"/>
      <c r="L37820" s="23"/>
    </row>
    <row r="37821">
      <c r="B37821" s="19"/>
      <c r="E37821" s="23"/>
      <c r="L37821" s="23"/>
    </row>
    <row r="37822">
      <c r="B37822" s="19"/>
      <c r="E37822" s="23"/>
      <c r="L37822" s="23"/>
    </row>
    <row r="37823">
      <c r="B37823" s="19"/>
      <c r="E37823" s="23"/>
      <c r="L37823" s="23"/>
    </row>
    <row r="37824">
      <c r="B37824" s="19"/>
      <c r="E37824" s="23"/>
      <c r="L37824" s="23"/>
    </row>
    <row r="37825">
      <c r="B37825" s="19"/>
      <c r="E37825" s="23"/>
      <c r="L37825" s="23"/>
    </row>
    <row r="37826">
      <c r="B37826" s="19"/>
      <c r="E37826" s="23"/>
      <c r="L37826" s="23"/>
    </row>
    <row r="37827">
      <c r="B37827" s="19"/>
      <c r="E37827" s="23"/>
      <c r="L37827" s="23"/>
    </row>
    <row r="37828">
      <c r="B37828" s="19"/>
      <c r="E37828" s="23"/>
      <c r="L37828" s="23"/>
    </row>
    <row r="37829">
      <c r="B37829" s="19"/>
      <c r="E37829" s="23"/>
      <c r="L37829" s="23"/>
    </row>
    <row r="37830">
      <c r="B37830" s="19"/>
      <c r="E37830" s="23"/>
      <c r="L37830" s="23"/>
    </row>
    <row r="37831">
      <c r="B37831" s="19"/>
      <c r="E37831" s="23"/>
      <c r="L37831" s="23"/>
    </row>
    <row r="37832">
      <c r="B37832" s="19"/>
      <c r="E37832" s="23"/>
      <c r="L37832" s="23"/>
    </row>
    <row r="37833">
      <c r="B37833" s="19"/>
      <c r="E37833" s="23"/>
      <c r="L37833" s="23"/>
    </row>
    <row r="37834">
      <c r="B37834" s="19"/>
      <c r="E37834" s="23"/>
      <c r="L37834" s="23"/>
    </row>
    <row r="37835">
      <c r="B37835" s="19"/>
      <c r="E37835" s="23"/>
      <c r="L37835" s="23"/>
    </row>
    <row r="37836">
      <c r="B37836" s="19"/>
      <c r="E37836" s="23"/>
      <c r="L37836" s="23"/>
    </row>
    <row r="37837">
      <c r="B37837" s="19"/>
      <c r="E37837" s="23"/>
      <c r="L37837" s="23"/>
    </row>
    <row r="37838">
      <c r="B37838" s="19"/>
      <c r="E37838" s="23"/>
      <c r="L37838" s="23"/>
    </row>
    <row r="37839">
      <c r="B37839" s="19"/>
      <c r="E37839" s="23"/>
      <c r="L37839" s="23"/>
    </row>
    <row r="37840">
      <c r="B37840" s="19"/>
      <c r="E37840" s="23"/>
      <c r="L37840" s="23"/>
    </row>
    <row r="37841">
      <c r="B37841" s="19"/>
      <c r="E37841" s="23"/>
      <c r="L37841" s="23"/>
    </row>
    <row r="37842">
      <c r="B37842" s="19"/>
      <c r="E37842" s="23"/>
      <c r="L37842" s="23"/>
    </row>
    <row r="37843">
      <c r="B37843" s="19"/>
      <c r="E37843" s="23"/>
      <c r="L37843" s="23"/>
    </row>
    <row r="37844">
      <c r="B37844" s="19"/>
      <c r="E37844" s="23"/>
      <c r="L37844" s="23"/>
    </row>
    <row r="37845">
      <c r="B37845" s="19"/>
      <c r="E37845" s="23"/>
      <c r="L37845" s="23"/>
    </row>
    <row r="37846">
      <c r="B37846" s="19"/>
      <c r="E37846" s="23"/>
      <c r="L37846" s="23"/>
    </row>
    <row r="37847">
      <c r="B37847" s="19"/>
      <c r="E37847" s="23"/>
      <c r="L37847" s="23"/>
    </row>
    <row r="37848">
      <c r="B37848" s="19"/>
      <c r="E37848" s="23"/>
      <c r="L37848" s="23"/>
    </row>
    <row r="37849">
      <c r="B37849" s="19"/>
      <c r="E37849" s="23"/>
      <c r="L37849" s="23"/>
    </row>
    <row r="37850">
      <c r="B37850" s="19"/>
      <c r="E37850" s="23"/>
      <c r="L37850" s="23"/>
    </row>
    <row r="37851">
      <c r="B37851" s="19"/>
      <c r="E37851" s="23"/>
      <c r="L37851" s="23"/>
    </row>
    <row r="37852">
      <c r="B37852" s="19"/>
      <c r="E37852" s="23"/>
      <c r="L37852" s="23"/>
    </row>
    <row r="37853">
      <c r="B37853" s="19"/>
      <c r="E37853" s="23"/>
      <c r="L37853" s="23"/>
    </row>
    <row r="37854">
      <c r="B37854" s="19"/>
      <c r="E37854" s="23"/>
      <c r="L37854" s="23"/>
    </row>
    <row r="37855">
      <c r="B37855" s="19"/>
      <c r="E37855" s="23"/>
      <c r="L37855" s="23"/>
    </row>
    <row r="37856">
      <c r="B37856" s="19"/>
      <c r="E37856" s="23"/>
      <c r="L37856" s="23"/>
    </row>
    <row r="37857">
      <c r="B37857" s="19"/>
      <c r="E37857" s="23"/>
      <c r="L37857" s="23"/>
    </row>
    <row r="37858">
      <c r="B37858" s="19"/>
      <c r="E37858" s="23"/>
      <c r="L37858" s="23"/>
    </row>
    <row r="37859">
      <c r="B37859" s="19"/>
      <c r="E37859" s="23"/>
      <c r="L37859" s="23"/>
    </row>
    <row r="37860">
      <c r="B37860" s="19"/>
      <c r="E37860" s="23"/>
      <c r="L37860" s="23"/>
    </row>
    <row r="37861">
      <c r="B37861" s="19"/>
      <c r="E37861" s="23"/>
      <c r="L37861" s="23"/>
    </row>
    <row r="37862">
      <c r="B37862" s="19"/>
      <c r="E37862" s="23"/>
      <c r="L37862" s="23"/>
    </row>
    <row r="37863">
      <c r="B37863" s="19"/>
      <c r="E37863" s="23"/>
      <c r="L37863" s="23"/>
    </row>
    <row r="37864">
      <c r="B37864" s="19"/>
      <c r="E37864" s="23"/>
      <c r="L37864" s="23"/>
    </row>
    <row r="37865">
      <c r="B37865" s="19"/>
      <c r="E37865" s="23"/>
      <c r="L37865" s="23"/>
    </row>
    <row r="37866">
      <c r="B37866" s="19"/>
      <c r="E37866" s="23"/>
      <c r="L37866" s="23"/>
    </row>
    <row r="37867">
      <c r="B37867" s="19"/>
      <c r="E37867" s="23"/>
      <c r="L37867" s="23"/>
    </row>
    <row r="37868">
      <c r="B37868" s="19"/>
      <c r="E37868" s="23"/>
      <c r="L37868" s="23"/>
    </row>
    <row r="37869">
      <c r="B37869" s="19"/>
      <c r="E37869" s="23"/>
      <c r="L37869" s="23"/>
    </row>
    <row r="37870">
      <c r="B37870" s="19"/>
      <c r="E37870" s="23"/>
      <c r="L37870" s="23"/>
    </row>
    <row r="37871">
      <c r="B37871" s="19"/>
      <c r="E37871" s="23"/>
      <c r="L37871" s="23"/>
    </row>
    <row r="37872">
      <c r="B37872" s="19"/>
      <c r="E37872" s="23"/>
      <c r="L37872" s="23"/>
    </row>
    <row r="37873">
      <c r="B37873" s="19"/>
      <c r="E37873" s="23"/>
      <c r="L37873" s="23"/>
    </row>
    <row r="37874">
      <c r="B37874" s="19"/>
      <c r="E37874" s="23"/>
      <c r="L37874" s="23"/>
    </row>
    <row r="37875">
      <c r="B37875" s="19"/>
      <c r="E37875" s="23"/>
      <c r="L37875" s="23"/>
    </row>
    <row r="37876">
      <c r="B37876" s="19"/>
      <c r="E37876" s="23"/>
      <c r="L37876" s="23"/>
    </row>
    <row r="37877">
      <c r="B37877" s="19"/>
      <c r="E37877" s="23"/>
      <c r="L37877" s="23"/>
    </row>
    <row r="37878">
      <c r="B37878" s="19"/>
      <c r="E37878" s="23"/>
      <c r="L37878" s="23"/>
    </row>
    <row r="37879">
      <c r="B37879" s="19"/>
      <c r="E37879" s="23"/>
      <c r="L37879" s="23"/>
    </row>
    <row r="37880">
      <c r="B37880" s="19"/>
      <c r="E37880" s="23"/>
      <c r="L37880" s="23"/>
    </row>
    <row r="37881">
      <c r="B37881" s="19"/>
      <c r="E37881" s="23"/>
      <c r="L37881" s="23"/>
    </row>
    <row r="37882">
      <c r="B37882" s="19"/>
      <c r="E37882" s="23"/>
      <c r="L37882" s="23"/>
    </row>
    <row r="37883">
      <c r="B37883" s="19"/>
      <c r="E37883" s="23"/>
      <c r="L37883" s="23"/>
    </row>
    <row r="37884">
      <c r="B37884" s="19"/>
      <c r="E37884" s="23"/>
      <c r="L37884" s="23"/>
    </row>
    <row r="37885">
      <c r="B37885" s="19"/>
      <c r="E37885" s="23"/>
      <c r="L37885" s="23"/>
    </row>
    <row r="37886">
      <c r="B37886" s="19"/>
      <c r="E37886" s="23"/>
      <c r="L37886" s="23"/>
    </row>
    <row r="37887">
      <c r="B37887" s="19"/>
      <c r="E37887" s="23"/>
      <c r="L37887" s="23"/>
    </row>
    <row r="37888">
      <c r="B37888" s="19"/>
      <c r="E37888" s="23"/>
      <c r="L37888" s="23"/>
    </row>
    <row r="37889">
      <c r="B37889" s="19"/>
      <c r="E37889" s="23"/>
      <c r="L37889" s="23"/>
    </row>
    <row r="37890">
      <c r="B37890" s="19"/>
      <c r="E37890" s="23"/>
      <c r="L37890" s="23"/>
    </row>
    <row r="37891">
      <c r="B37891" s="19"/>
      <c r="E37891" s="23"/>
      <c r="L37891" s="23"/>
    </row>
    <row r="37892">
      <c r="B37892" s="19"/>
      <c r="E37892" s="23"/>
      <c r="L37892" s="23"/>
    </row>
    <row r="37893">
      <c r="B37893" s="19"/>
      <c r="E37893" s="23"/>
      <c r="L37893" s="23"/>
    </row>
    <row r="37894">
      <c r="B37894" s="19"/>
      <c r="E37894" s="23"/>
      <c r="L37894" s="23"/>
    </row>
    <row r="37895">
      <c r="B37895" s="19"/>
      <c r="E37895" s="23"/>
      <c r="L37895" s="23"/>
    </row>
    <row r="37896">
      <c r="B37896" s="19"/>
      <c r="E37896" s="23"/>
      <c r="L37896" s="23"/>
    </row>
    <row r="37897">
      <c r="B37897" s="19"/>
      <c r="E37897" s="23"/>
      <c r="L37897" s="23"/>
    </row>
    <row r="37898">
      <c r="B37898" s="19"/>
      <c r="E37898" s="23"/>
      <c r="L37898" s="23"/>
    </row>
    <row r="37899">
      <c r="B37899" s="19"/>
      <c r="E37899" s="23"/>
      <c r="L37899" s="23"/>
    </row>
    <row r="37900">
      <c r="B37900" s="19"/>
      <c r="E37900" s="23"/>
      <c r="L37900" s="23"/>
    </row>
    <row r="37901">
      <c r="B37901" s="19"/>
      <c r="E37901" s="23"/>
      <c r="L37901" s="23"/>
    </row>
    <row r="37902">
      <c r="B37902" s="19"/>
      <c r="E37902" s="23"/>
      <c r="L37902" s="23"/>
    </row>
    <row r="37903">
      <c r="B37903" s="19"/>
      <c r="E37903" s="23"/>
      <c r="L37903" s="23"/>
    </row>
    <row r="37904">
      <c r="B37904" s="19"/>
      <c r="E37904" s="23"/>
      <c r="L37904" s="23"/>
    </row>
    <row r="37905">
      <c r="B37905" s="19"/>
      <c r="E37905" s="23"/>
      <c r="L37905" s="23"/>
    </row>
    <row r="37906">
      <c r="B37906" s="19"/>
      <c r="E37906" s="23"/>
      <c r="L37906" s="23"/>
    </row>
    <row r="37907">
      <c r="B37907" s="19"/>
      <c r="E37907" s="23"/>
      <c r="L37907" s="23"/>
    </row>
    <row r="37908">
      <c r="B37908" s="19"/>
      <c r="E37908" s="23"/>
      <c r="L37908" s="23"/>
    </row>
    <row r="37909">
      <c r="B37909" s="19"/>
      <c r="E37909" s="23"/>
      <c r="L37909" s="23"/>
    </row>
    <row r="37910">
      <c r="B37910" s="19"/>
      <c r="E37910" s="23"/>
      <c r="L37910" s="23"/>
    </row>
    <row r="37911">
      <c r="B37911" s="19"/>
      <c r="E37911" s="23"/>
      <c r="L37911" s="23"/>
    </row>
    <row r="37912">
      <c r="B37912" s="19"/>
      <c r="E37912" s="23"/>
      <c r="L37912" s="23"/>
    </row>
    <row r="37913">
      <c r="B37913" s="19"/>
      <c r="E37913" s="23"/>
      <c r="L37913" s="23"/>
    </row>
    <row r="37914">
      <c r="B37914" s="19"/>
      <c r="E37914" s="23"/>
      <c r="L37914" s="23"/>
    </row>
    <row r="37915">
      <c r="B37915" s="19"/>
      <c r="E37915" s="23"/>
      <c r="L37915" s="23"/>
    </row>
    <row r="37916">
      <c r="B37916" s="19"/>
      <c r="E37916" s="23"/>
      <c r="L37916" s="23"/>
    </row>
    <row r="37917">
      <c r="B37917" s="19"/>
      <c r="E37917" s="23"/>
      <c r="L37917" s="23"/>
    </row>
    <row r="37918">
      <c r="B37918" s="19"/>
      <c r="E37918" s="23"/>
      <c r="L37918" s="23"/>
    </row>
    <row r="37919">
      <c r="B37919" s="19"/>
      <c r="E37919" s="23"/>
      <c r="L37919" s="23"/>
    </row>
    <row r="37920">
      <c r="B37920" s="19"/>
      <c r="E37920" s="23"/>
      <c r="L37920" s="23"/>
    </row>
    <row r="37921">
      <c r="B37921" s="19"/>
      <c r="E37921" s="23"/>
      <c r="L37921" s="23"/>
    </row>
    <row r="37922">
      <c r="B37922" s="19"/>
      <c r="E37922" s="23"/>
      <c r="L37922" s="23"/>
    </row>
    <row r="37923">
      <c r="B37923" s="19"/>
      <c r="E37923" s="23"/>
      <c r="L37923" s="23"/>
    </row>
    <row r="37924">
      <c r="B37924" s="19"/>
      <c r="E37924" s="23"/>
      <c r="L37924" s="23"/>
    </row>
    <row r="37925">
      <c r="B37925" s="19"/>
      <c r="E37925" s="23"/>
      <c r="L37925" s="23"/>
    </row>
    <row r="37926">
      <c r="B37926" s="19"/>
      <c r="E37926" s="23"/>
      <c r="L37926" s="23"/>
    </row>
    <row r="37927">
      <c r="B37927" s="19"/>
      <c r="E37927" s="23"/>
      <c r="L37927" s="23"/>
    </row>
    <row r="37928">
      <c r="B37928" s="19"/>
      <c r="E37928" s="23"/>
      <c r="L37928" s="23"/>
    </row>
    <row r="37929">
      <c r="B37929" s="19"/>
      <c r="E37929" s="23"/>
      <c r="L37929" s="23"/>
    </row>
    <row r="37930">
      <c r="B37930" s="19"/>
      <c r="E37930" s="23"/>
      <c r="L37930" s="23"/>
    </row>
    <row r="37931">
      <c r="B37931" s="19"/>
      <c r="E37931" s="23"/>
      <c r="L37931" s="23"/>
    </row>
    <row r="37932">
      <c r="B37932" s="19"/>
      <c r="E37932" s="23"/>
      <c r="L37932" s="23"/>
    </row>
    <row r="37933">
      <c r="B37933" s="19"/>
      <c r="E37933" s="23"/>
      <c r="L37933" s="23"/>
    </row>
    <row r="37934">
      <c r="B37934" s="19"/>
      <c r="E37934" s="23"/>
      <c r="L37934" s="23"/>
    </row>
    <row r="37935">
      <c r="B37935" s="19"/>
      <c r="E37935" s="23"/>
      <c r="L37935" s="23"/>
    </row>
    <row r="37936">
      <c r="B37936" s="19"/>
      <c r="E37936" s="23"/>
      <c r="L37936" s="23"/>
    </row>
    <row r="37937">
      <c r="B37937" s="19"/>
      <c r="E37937" s="23"/>
      <c r="L37937" s="23"/>
    </row>
    <row r="37938">
      <c r="B37938" s="19"/>
      <c r="E37938" s="23"/>
      <c r="L37938" s="23"/>
    </row>
    <row r="37939">
      <c r="B37939" s="19"/>
      <c r="E37939" s="23"/>
      <c r="L37939" s="23"/>
    </row>
    <row r="37940">
      <c r="B37940" s="19"/>
      <c r="E37940" s="23"/>
      <c r="L37940" s="23"/>
    </row>
    <row r="37941">
      <c r="B37941" s="19"/>
      <c r="E37941" s="23"/>
      <c r="L37941" s="23"/>
    </row>
    <row r="37942">
      <c r="B37942" s="19"/>
      <c r="E37942" s="23"/>
      <c r="L37942" s="23"/>
    </row>
    <row r="37943">
      <c r="B37943" s="19"/>
      <c r="E37943" s="23"/>
      <c r="L37943" s="23"/>
    </row>
    <row r="37944">
      <c r="B37944" s="19"/>
      <c r="E37944" s="23"/>
      <c r="L37944" s="23"/>
    </row>
    <row r="37945">
      <c r="B37945" s="19"/>
      <c r="E37945" s="23"/>
      <c r="L37945" s="23"/>
    </row>
    <row r="37946">
      <c r="B37946" s="19"/>
      <c r="E37946" s="23"/>
      <c r="L37946" s="23"/>
    </row>
    <row r="37947">
      <c r="B37947" s="19"/>
      <c r="E37947" s="23"/>
      <c r="L37947" s="23"/>
    </row>
    <row r="37948">
      <c r="B37948" s="19"/>
      <c r="E37948" s="23"/>
      <c r="L37948" s="23"/>
    </row>
    <row r="37949">
      <c r="B37949" s="19"/>
      <c r="E37949" s="23"/>
      <c r="L37949" s="23"/>
    </row>
    <row r="37950">
      <c r="B37950" s="19"/>
      <c r="E37950" s="23"/>
      <c r="L37950" s="23"/>
    </row>
    <row r="37951">
      <c r="B37951" s="19"/>
      <c r="E37951" s="23"/>
      <c r="L37951" s="23"/>
    </row>
    <row r="37952">
      <c r="B37952" s="19"/>
      <c r="E37952" s="23"/>
      <c r="L37952" s="23"/>
    </row>
    <row r="37953">
      <c r="B37953" s="19"/>
      <c r="E37953" s="23"/>
      <c r="L37953" s="23"/>
    </row>
    <row r="37954">
      <c r="B37954" s="19"/>
      <c r="E37954" s="23"/>
      <c r="L37954" s="23"/>
    </row>
    <row r="37955">
      <c r="B37955" s="19"/>
      <c r="E37955" s="23"/>
      <c r="L37955" s="23"/>
    </row>
    <row r="37956">
      <c r="B37956" s="19"/>
      <c r="E37956" s="23"/>
      <c r="L37956" s="23"/>
    </row>
    <row r="37957">
      <c r="B37957" s="19"/>
      <c r="E37957" s="23"/>
      <c r="L37957" s="23"/>
    </row>
    <row r="37958">
      <c r="B37958" s="19"/>
      <c r="E37958" s="23"/>
      <c r="L37958" s="23"/>
    </row>
    <row r="37959">
      <c r="B37959" s="19"/>
      <c r="E37959" s="23"/>
      <c r="L37959" s="23"/>
    </row>
    <row r="37960">
      <c r="B37960" s="19"/>
      <c r="E37960" s="23"/>
      <c r="L37960" s="23"/>
    </row>
    <row r="37961">
      <c r="B37961" s="19"/>
      <c r="E37961" s="23"/>
      <c r="L37961" s="23"/>
    </row>
    <row r="37962">
      <c r="B37962" s="19"/>
      <c r="E37962" s="23"/>
      <c r="L37962" s="23"/>
    </row>
    <row r="37963">
      <c r="B37963" s="19"/>
      <c r="E37963" s="23"/>
      <c r="L37963" s="23"/>
    </row>
    <row r="37964">
      <c r="B37964" s="19"/>
      <c r="E37964" s="23"/>
      <c r="L37964" s="23"/>
    </row>
    <row r="37965">
      <c r="B37965" s="19"/>
      <c r="E37965" s="23"/>
      <c r="L37965" s="23"/>
    </row>
    <row r="37966">
      <c r="B37966" s="19"/>
      <c r="E37966" s="23"/>
      <c r="L37966" s="23"/>
    </row>
    <row r="37967">
      <c r="B37967" s="19"/>
      <c r="E37967" s="23"/>
      <c r="L37967" s="23"/>
    </row>
    <row r="37968">
      <c r="B37968" s="19"/>
      <c r="E37968" s="23"/>
      <c r="L37968" s="23"/>
    </row>
    <row r="37969">
      <c r="B37969" s="19"/>
      <c r="E37969" s="23"/>
      <c r="L37969" s="23"/>
    </row>
    <row r="37970">
      <c r="B37970" s="19"/>
      <c r="E37970" s="23"/>
      <c r="L37970" s="23"/>
    </row>
    <row r="37971">
      <c r="B37971" s="19"/>
      <c r="E37971" s="23"/>
      <c r="L37971" s="23"/>
    </row>
    <row r="37972">
      <c r="B37972" s="19"/>
      <c r="E37972" s="23"/>
      <c r="L37972" s="23"/>
    </row>
    <row r="37973">
      <c r="B37973" s="19"/>
      <c r="E37973" s="23"/>
      <c r="L37973" s="23"/>
    </row>
    <row r="37974">
      <c r="B37974" s="19"/>
      <c r="E37974" s="23"/>
      <c r="L37974" s="23"/>
    </row>
    <row r="37975">
      <c r="B37975" s="19"/>
      <c r="E37975" s="23"/>
      <c r="L37975" s="23"/>
    </row>
    <row r="37976">
      <c r="B37976" s="19"/>
      <c r="E37976" s="23"/>
      <c r="L37976" s="23"/>
    </row>
    <row r="37977">
      <c r="B37977" s="19"/>
      <c r="E37977" s="23"/>
      <c r="L37977" s="23"/>
    </row>
    <row r="37978">
      <c r="B37978" s="19"/>
      <c r="E37978" s="23"/>
      <c r="L37978" s="23"/>
    </row>
    <row r="37979">
      <c r="B37979" s="19"/>
      <c r="E37979" s="23"/>
      <c r="L37979" s="23"/>
    </row>
    <row r="37980">
      <c r="B37980" s="19"/>
      <c r="E37980" s="23"/>
      <c r="L37980" s="23"/>
    </row>
    <row r="37981">
      <c r="B37981" s="19"/>
      <c r="E37981" s="23"/>
      <c r="L37981" s="23"/>
    </row>
    <row r="37982">
      <c r="B37982" s="19"/>
      <c r="E37982" s="23"/>
      <c r="L37982" s="23"/>
    </row>
    <row r="37983">
      <c r="B37983" s="19"/>
      <c r="E37983" s="23"/>
      <c r="L37983" s="23"/>
    </row>
    <row r="37984">
      <c r="B37984" s="19"/>
      <c r="E37984" s="23"/>
      <c r="L37984" s="23"/>
    </row>
    <row r="37985">
      <c r="B37985" s="19"/>
      <c r="E37985" s="23"/>
      <c r="L37985" s="23"/>
    </row>
    <row r="37986">
      <c r="B37986" s="19"/>
      <c r="E37986" s="23"/>
      <c r="L37986" s="23"/>
    </row>
    <row r="37987">
      <c r="B37987" s="19"/>
      <c r="E37987" s="23"/>
      <c r="L37987" s="23"/>
    </row>
    <row r="37988">
      <c r="B37988" s="19"/>
      <c r="E37988" s="23"/>
      <c r="L37988" s="23"/>
    </row>
    <row r="37989">
      <c r="B37989" s="19"/>
      <c r="E37989" s="23"/>
      <c r="L37989" s="23"/>
    </row>
    <row r="37990">
      <c r="B37990" s="19"/>
      <c r="E37990" s="23"/>
      <c r="L37990" s="23"/>
    </row>
    <row r="37991">
      <c r="B37991" s="19"/>
      <c r="E37991" s="23"/>
      <c r="L37991" s="23"/>
    </row>
    <row r="37992">
      <c r="B37992" s="19"/>
      <c r="E37992" s="23"/>
      <c r="L37992" s="23"/>
    </row>
    <row r="37993">
      <c r="B37993" s="19"/>
      <c r="E37993" s="23"/>
      <c r="L37993" s="23"/>
    </row>
    <row r="37994">
      <c r="B37994" s="19"/>
      <c r="E37994" s="23"/>
      <c r="L37994" s="23"/>
    </row>
    <row r="37995">
      <c r="B37995" s="19"/>
      <c r="E37995" s="23"/>
      <c r="L37995" s="23"/>
    </row>
    <row r="37996">
      <c r="B37996" s="19"/>
      <c r="E37996" s="23"/>
      <c r="L37996" s="23"/>
    </row>
    <row r="37997">
      <c r="B37997" s="19"/>
      <c r="E37997" s="23"/>
      <c r="L37997" s="23"/>
    </row>
    <row r="37998">
      <c r="B37998" s="19"/>
      <c r="E37998" s="23"/>
      <c r="L37998" s="23"/>
    </row>
    <row r="37999">
      <c r="B37999" s="19"/>
      <c r="E37999" s="23"/>
      <c r="L37999" s="23"/>
    </row>
    <row r="38000">
      <c r="B38000" s="19"/>
      <c r="E38000" s="23"/>
      <c r="L38000" s="23"/>
    </row>
    <row r="38001">
      <c r="B38001" s="19"/>
      <c r="E38001" s="23"/>
      <c r="L38001" s="23"/>
    </row>
    <row r="38002">
      <c r="B38002" s="19"/>
      <c r="E38002" s="23"/>
      <c r="L38002" s="23"/>
    </row>
    <row r="38003">
      <c r="B38003" s="19"/>
      <c r="E38003" s="23"/>
      <c r="L38003" s="23"/>
    </row>
    <row r="38004">
      <c r="B38004" s="19"/>
      <c r="E38004" s="23"/>
      <c r="L38004" s="23"/>
    </row>
    <row r="38005">
      <c r="B38005" s="19"/>
      <c r="E38005" s="23"/>
      <c r="L38005" s="23"/>
    </row>
    <row r="38006">
      <c r="B38006" s="19"/>
      <c r="E38006" s="23"/>
      <c r="L38006" s="23"/>
    </row>
    <row r="38007">
      <c r="B38007" s="19"/>
      <c r="E38007" s="23"/>
      <c r="L38007" s="23"/>
    </row>
    <row r="38008">
      <c r="B38008" s="19"/>
      <c r="E38008" s="23"/>
      <c r="L38008" s="23"/>
    </row>
    <row r="38009">
      <c r="B38009" s="19"/>
      <c r="E38009" s="23"/>
      <c r="L38009" s="23"/>
    </row>
    <row r="38010">
      <c r="B38010" s="19"/>
      <c r="E38010" s="23"/>
      <c r="L38010" s="23"/>
    </row>
    <row r="38011">
      <c r="B38011" s="19"/>
      <c r="E38011" s="23"/>
      <c r="L38011" s="23"/>
    </row>
    <row r="38012">
      <c r="B38012" s="19"/>
      <c r="E38012" s="23"/>
      <c r="L38012" s="23"/>
    </row>
    <row r="38013">
      <c r="B38013" s="19"/>
      <c r="E38013" s="23"/>
      <c r="L38013" s="23"/>
    </row>
    <row r="38014">
      <c r="B38014" s="19"/>
      <c r="E38014" s="23"/>
      <c r="L38014" s="23"/>
    </row>
    <row r="38015">
      <c r="B38015" s="19"/>
      <c r="E38015" s="23"/>
      <c r="L38015" s="23"/>
    </row>
    <row r="38016">
      <c r="B38016" s="19"/>
      <c r="E38016" s="23"/>
      <c r="L38016" s="23"/>
    </row>
    <row r="38017">
      <c r="B38017" s="19"/>
      <c r="E38017" s="23"/>
      <c r="L38017" s="23"/>
    </row>
    <row r="38018">
      <c r="B38018" s="19"/>
      <c r="E38018" s="23"/>
      <c r="L38018" s="23"/>
    </row>
    <row r="38019">
      <c r="B38019" s="19"/>
      <c r="E38019" s="23"/>
      <c r="L38019" s="23"/>
    </row>
    <row r="38020">
      <c r="B38020" s="19"/>
      <c r="E38020" s="23"/>
      <c r="L38020" s="23"/>
    </row>
    <row r="38021">
      <c r="B38021" s="19"/>
      <c r="E38021" s="23"/>
      <c r="L38021" s="23"/>
    </row>
    <row r="38022">
      <c r="B38022" s="19"/>
      <c r="E38022" s="23"/>
      <c r="L38022" s="23"/>
    </row>
    <row r="38023">
      <c r="B38023" s="19"/>
      <c r="E38023" s="23"/>
      <c r="L38023" s="23"/>
    </row>
    <row r="38024">
      <c r="B38024" s="19"/>
      <c r="E38024" s="23"/>
      <c r="L38024" s="23"/>
    </row>
    <row r="38025">
      <c r="B38025" s="19"/>
      <c r="E38025" s="23"/>
      <c r="L38025" s="23"/>
    </row>
    <row r="38026">
      <c r="B38026" s="19"/>
      <c r="E38026" s="23"/>
      <c r="L38026" s="23"/>
    </row>
    <row r="38027">
      <c r="B38027" s="19"/>
      <c r="E38027" s="23"/>
      <c r="L38027" s="23"/>
    </row>
    <row r="38028">
      <c r="B38028" s="19"/>
      <c r="E38028" s="23"/>
      <c r="L38028" s="23"/>
    </row>
    <row r="38029">
      <c r="B38029" s="19"/>
      <c r="E38029" s="23"/>
      <c r="L38029" s="23"/>
    </row>
    <row r="38030">
      <c r="B38030" s="19"/>
      <c r="E38030" s="23"/>
      <c r="L38030" s="23"/>
    </row>
    <row r="38031">
      <c r="B38031" s="19"/>
      <c r="E38031" s="23"/>
      <c r="L38031" s="23"/>
    </row>
    <row r="38032">
      <c r="B38032" s="19"/>
      <c r="E38032" s="23"/>
      <c r="L38032" s="23"/>
    </row>
    <row r="38033">
      <c r="B38033" s="19"/>
      <c r="E38033" s="23"/>
      <c r="L38033" s="23"/>
    </row>
    <row r="38034">
      <c r="B38034" s="19"/>
      <c r="E38034" s="23"/>
      <c r="L38034" s="23"/>
    </row>
    <row r="38035">
      <c r="B38035" s="19"/>
      <c r="E38035" s="23"/>
      <c r="L38035" s="23"/>
    </row>
    <row r="38036">
      <c r="B38036" s="19"/>
      <c r="E38036" s="23"/>
      <c r="L38036" s="23"/>
    </row>
    <row r="38037">
      <c r="B38037" s="19"/>
      <c r="E38037" s="23"/>
      <c r="L38037" s="23"/>
    </row>
    <row r="38038">
      <c r="B38038" s="19"/>
      <c r="E38038" s="23"/>
      <c r="L38038" s="23"/>
    </row>
    <row r="38039">
      <c r="B38039" s="19"/>
      <c r="E38039" s="23"/>
      <c r="L38039" s="23"/>
    </row>
    <row r="38040">
      <c r="B38040" s="19"/>
      <c r="E38040" s="23"/>
      <c r="L38040" s="23"/>
    </row>
    <row r="38041">
      <c r="B38041" s="19"/>
      <c r="E38041" s="23"/>
      <c r="L38041" s="23"/>
    </row>
    <row r="38042">
      <c r="B38042" s="19"/>
      <c r="E38042" s="23"/>
      <c r="L38042" s="23"/>
    </row>
    <row r="38043">
      <c r="B38043" s="19"/>
      <c r="E38043" s="23"/>
      <c r="L38043" s="23"/>
    </row>
    <row r="38044">
      <c r="B38044" s="19"/>
      <c r="E38044" s="23"/>
      <c r="L38044" s="23"/>
    </row>
    <row r="38045">
      <c r="B38045" s="19"/>
      <c r="E38045" s="23"/>
      <c r="L38045" s="23"/>
    </row>
    <row r="38046">
      <c r="B38046" s="19"/>
      <c r="E38046" s="23"/>
      <c r="L38046" s="23"/>
    </row>
    <row r="38047">
      <c r="B38047" s="19"/>
      <c r="E38047" s="23"/>
      <c r="L38047" s="23"/>
    </row>
    <row r="38048">
      <c r="B38048" s="19"/>
      <c r="E38048" s="23"/>
      <c r="L38048" s="23"/>
    </row>
    <row r="38049">
      <c r="B38049" s="19"/>
      <c r="E38049" s="23"/>
      <c r="L38049" s="23"/>
    </row>
    <row r="38050">
      <c r="B38050" s="19"/>
      <c r="E38050" s="23"/>
      <c r="L38050" s="23"/>
    </row>
    <row r="38051">
      <c r="B38051" s="19"/>
      <c r="E38051" s="23"/>
      <c r="L38051" s="23"/>
    </row>
    <row r="38052">
      <c r="B38052" s="19"/>
      <c r="E38052" s="23"/>
      <c r="L38052" s="23"/>
    </row>
    <row r="38053">
      <c r="B38053" s="19"/>
      <c r="E38053" s="23"/>
      <c r="L38053" s="23"/>
    </row>
    <row r="38054">
      <c r="B38054" s="19"/>
      <c r="E38054" s="23"/>
      <c r="L38054" s="23"/>
    </row>
    <row r="38055">
      <c r="B38055" s="19"/>
      <c r="E38055" s="23"/>
      <c r="L38055" s="23"/>
    </row>
    <row r="38056">
      <c r="B38056" s="19"/>
      <c r="E38056" s="23"/>
      <c r="L38056" s="23"/>
    </row>
    <row r="38057">
      <c r="B38057" s="19"/>
      <c r="E38057" s="23"/>
      <c r="L38057" s="23"/>
    </row>
    <row r="38058">
      <c r="B38058" s="19"/>
      <c r="E38058" s="23"/>
      <c r="L38058" s="23"/>
    </row>
    <row r="38059">
      <c r="B38059" s="19"/>
      <c r="E38059" s="23"/>
      <c r="L38059" s="23"/>
    </row>
    <row r="38060">
      <c r="B38060" s="19"/>
      <c r="E38060" s="23"/>
      <c r="L38060" s="23"/>
    </row>
    <row r="38061">
      <c r="B38061" s="19"/>
      <c r="E38061" s="23"/>
      <c r="L38061" s="23"/>
    </row>
    <row r="38062">
      <c r="B38062" s="19"/>
      <c r="E38062" s="23"/>
      <c r="L38062" s="23"/>
    </row>
    <row r="38063">
      <c r="B38063" s="19"/>
      <c r="E38063" s="23"/>
      <c r="L38063" s="23"/>
    </row>
    <row r="38064">
      <c r="B38064" s="19"/>
      <c r="E38064" s="23"/>
      <c r="L38064" s="23"/>
    </row>
    <row r="38065">
      <c r="B38065" s="19"/>
      <c r="E38065" s="23"/>
      <c r="L38065" s="23"/>
    </row>
    <row r="38066">
      <c r="B38066" s="19"/>
      <c r="E38066" s="23"/>
      <c r="L38066" s="23"/>
    </row>
    <row r="38067">
      <c r="B38067" s="19"/>
      <c r="E38067" s="23"/>
      <c r="L38067" s="23"/>
    </row>
    <row r="38068">
      <c r="B38068" s="19"/>
      <c r="E38068" s="23"/>
      <c r="L38068" s="23"/>
    </row>
    <row r="38069">
      <c r="B38069" s="19"/>
      <c r="E38069" s="23"/>
      <c r="L38069" s="23"/>
    </row>
    <row r="38070">
      <c r="B38070" s="19"/>
      <c r="E38070" s="23"/>
      <c r="L38070" s="23"/>
    </row>
    <row r="38071">
      <c r="B38071" s="19"/>
      <c r="E38071" s="23"/>
      <c r="L38071" s="23"/>
    </row>
    <row r="38072">
      <c r="B38072" s="19"/>
      <c r="E38072" s="23"/>
      <c r="L38072" s="23"/>
    </row>
    <row r="38073">
      <c r="B38073" s="19"/>
      <c r="E38073" s="23"/>
      <c r="L38073" s="23"/>
    </row>
    <row r="38074">
      <c r="B38074" s="19"/>
      <c r="E38074" s="23"/>
      <c r="L38074" s="23"/>
    </row>
    <row r="38075">
      <c r="B38075" s="19"/>
      <c r="E38075" s="23"/>
      <c r="L38075" s="23"/>
    </row>
    <row r="38076">
      <c r="B38076" s="19"/>
      <c r="E38076" s="23"/>
      <c r="L38076" s="23"/>
    </row>
    <row r="38077">
      <c r="B38077" s="19"/>
      <c r="E38077" s="23"/>
      <c r="L38077" s="23"/>
    </row>
    <row r="38078">
      <c r="B38078" s="19"/>
      <c r="E38078" s="23"/>
      <c r="L38078" s="23"/>
    </row>
    <row r="38079">
      <c r="B38079" s="19"/>
      <c r="E38079" s="23"/>
      <c r="L38079" s="23"/>
    </row>
    <row r="38080">
      <c r="B38080" s="19"/>
      <c r="E38080" s="23"/>
      <c r="L38080" s="23"/>
    </row>
    <row r="38081">
      <c r="B38081" s="19"/>
      <c r="E38081" s="23"/>
      <c r="L38081" s="23"/>
    </row>
    <row r="38082">
      <c r="B38082" s="19"/>
      <c r="E38082" s="23"/>
      <c r="L38082" s="23"/>
    </row>
    <row r="38083">
      <c r="B38083" s="19"/>
      <c r="E38083" s="23"/>
      <c r="L38083" s="23"/>
    </row>
    <row r="38084">
      <c r="B38084" s="19"/>
      <c r="E38084" s="23"/>
      <c r="L38084" s="23"/>
    </row>
    <row r="38085">
      <c r="B38085" s="19"/>
      <c r="E38085" s="23"/>
      <c r="L38085" s="23"/>
    </row>
    <row r="38086">
      <c r="B38086" s="19"/>
      <c r="E38086" s="23"/>
      <c r="L38086" s="23"/>
    </row>
    <row r="38087">
      <c r="B38087" s="19"/>
      <c r="E38087" s="23"/>
      <c r="L38087" s="23"/>
    </row>
    <row r="38088">
      <c r="B38088" s="19"/>
      <c r="E38088" s="23"/>
      <c r="L38088" s="23"/>
    </row>
    <row r="38089">
      <c r="B38089" s="19"/>
      <c r="E38089" s="23"/>
      <c r="L38089" s="23"/>
    </row>
    <row r="38090">
      <c r="B38090" s="19"/>
      <c r="E38090" s="23"/>
      <c r="L38090" s="23"/>
    </row>
    <row r="38091">
      <c r="B38091" s="19"/>
      <c r="E38091" s="23"/>
      <c r="L38091" s="23"/>
    </row>
    <row r="38092">
      <c r="B38092" s="19"/>
      <c r="E38092" s="23"/>
      <c r="L38092" s="23"/>
    </row>
    <row r="38093">
      <c r="B38093" s="19"/>
      <c r="E38093" s="23"/>
      <c r="L38093" s="23"/>
    </row>
    <row r="38094">
      <c r="B38094" s="19"/>
      <c r="E38094" s="23"/>
      <c r="L38094" s="23"/>
    </row>
    <row r="38095">
      <c r="B38095" s="19"/>
      <c r="E38095" s="23"/>
      <c r="L38095" s="23"/>
    </row>
    <row r="38096">
      <c r="B38096" s="19"/>
      <c r="E38096" s="23"/>
      <c r="L38096" s="23"/>
    </row>
    <row r="38097">
      <c r="B38097" s="19"/>
      <c r="E38097" s="23"/>
      <c r="L38097" s="23"/>
    </row>
    <row r="38098">
      <c r="B38098" s="19"/>
      <c r="E38098" s="23"/>
      <c r="L38098" s="23"/>
    </row>
    <row r="38099">
      <c r="B38099" s="19"/>
      <c r="E38099" s="23"/>
      <c r="L38099" s="23"/>
    </row>
    <row r="38100">
      <c r="B38100" s="19"/>
      <c r="E38100" s="23"/>
      <c r="L38100" s="23"/>
    </row>
    <row r="38101">
      <c r="B38101" s="19"/>
      <c r="E38101" s="23"/>
      <c r="L38101" s="23"/>
    </row>
    <row r="38102">
      <c r="B38102" s="19"/>
      <c r="E38102" s="23"/>
      <c r="L38102" s="23"/>
    </row>
    <row r="38103">
      <c r="B38103" s="19"/>
      <c r="E38103" s="23"/>
      <c r="L38103" s="23"/>
    </row>
    <row r="38104">
      <c r="B38104" s="19"/>
      <c r="E38104" s="23"/>
      <c r="L38104" s="23"/>
    </row>
    <row r="38105">
      <c r="B38105" s="19"/>
      <c r="E38105" s="23"/>
      <c r="L38105" s="23"/>
    </row>
    <row r="38106">
      <c r="B38106" s="19"/>
      <c r="E38106" s="23"/>
      <c r="L38106" s="23"/>
    </row>
    <row r="38107">
      <c r="B38107" s="19"/>
      <c r="E38107" s="23"/>
      <c r="L38107" s="23"/>
    </row>
    <row r="38108">
      <c r="B38108" s="19"/>
      <c r="E38108" s="23"/>
      <c r="L38108" s="23"/>
    </row>
    <row r="38109">
      <c r="B38109" s="19"/>
      <c r="E38109" s="23"/>
      <c r="L38109" s="23"/>
    </row>
    <row r="38110">
      <c r="B38110" s="19"/>
      <c r="E38110" s="23"/>
      <c r="L38110" s="23"/>
    </row>
    <row r="38111">
      <c r="B38111" s="19"/>
      <c r="E38111" s="23"/>
      <c r="L38111" s="23"/>
    </row>
    <row r="38112">
      <c r="B38112" s="19"/>
      <c r="E38112" s="23"/>
      <c r="L38112" s="23"/>
    </row>
    <row r="38113">
      <c r="B38113" s="19"/>
      <c r="E38113" s="23"/>
      <c r="L38113" s="23"/>
    </row>
    <row r="38114">
      <c r="B38114" s="19"/>
      <c r="E38114" s="23"/>
      <c r="L38114" s="23"/>
    </row>
    <row r="38115">
      <c r="B38115" s="19"/>
      <c r="E38115" s="23"/>
      <c r="L38115" s="23"/>
    </row>
    <row r="38116">
      <c r="B38116" s="19"/>
      <c r="E38116" s="23"/>
      <c r="L38116" s="23"/>
    </row>
    <row r="38117">
      <c r="B38117" s="19"/>
      <c r="E38117" s="23"/>
      <c r="L38117" s="23"/>
    </row>
    <row r="38118">
      <c r="B38118" s="19"/>
      <c r="E38118" s="23"/>
      <c r="L38118" s="23"/>
    </row>
    <row r="38119">
      <c r="B38119" s="19"/>
      <c r="E38119" s="23"/>
      <c r="L38119" s="23"/>
    </row>
    <row r="38120">
      <c r="B38120" s="19"/>
      <c r="E38120" s="23"/>
      <c r="L38120" s="23"/>
    </row>
    <row r="38121">
      <c r="B38121" s="19"/>
      <c r="E38121" s="23"/>
      <c r="L38121" s="23"/>
    </row>
    <row r="38122">
      <c r="B38122" s="19"/>
      <c r="E38122" s="23"/>
      <c r="L38122" s="23"/>
    </row>
    <row r="38123">
      <c r="B38123" s="19"/>
      <c r="E38123" s="23"/>
      <c r="L38123" s="23"/>
    </row>
    <row r="38124">
      <c r="B38124" s="19"/>
      <c r="E38124" s="23"/>
      <c r="L38124" s="23"/>
    </row>
    <row r="38125">
      <c r="B38125" s="19"/>
      <c r="E38125" s="23"/>
      <c r="L38125" s="23"/>
    </row>
    <row r="38126">
      <c r="B38126" s="19"/>
      <c r="E38126" s="23"/>
      <c r="L38126" s="23"/>
    </row>
    <row r="38127">
      <c r="B38127" s="19"/>
      <c r="E38127" s="23"/>
      <c r="L38127" s="23"/>
    </row>
    <row r="38128">
      <c r="B38128" s="19"/>
      <c r="E38128" s="23"/>
      <c r="L38128" s="23"/>
    </row>
    <row r="38129">
      <c r="B38129" s="19"/>
      <c r="E38129" s="23"/>
      <c r="L38129" s="23"/>
    </row>
    <row r="38130">
      <c r="B38130" s="19"/>
      <c r="E38130" s="23"/>
      <c r="L38130" s="23"/>
    </row>
    <row r="38131">
      <c r="B38131" s="19"/>
      <c r="E38131" s="23"/>
      <c r="L38131" s="23"/>
    </row>
    <row r="38132">
      <c r="B38132" s="19"/>
      <c r="E38132" s="23"/>
      <c r="L38132" s="23"/>
    </row>
    <row r="38133">
      <c r="B38133" s="19"/>
      <c r="E38133" s="23"/>
      <c r="L38133" s="23"/>
    </row>
    <row r="38134">
      <c r="B38134" s="19"/>
      <c r="E38134" s="23"/>
      <c r="L38134" s="23"/>
    </row>
    <row r="38135">
      <c r="B38135" s="19"/>
      <c r="E38135" s="23"/>
      <c r="L38135" s="23"/>
    </row>
    <row r="38136">
      <c r="B38136" s="19"/>
      <c r="E38136" s="23"/>
      <c r="L38136" s="23"/>
    </row>
    <row r="38137">
      <c r="B38137" s="19"/>
      <c r="E38137" s="23"/>
      <c r="L38137" s="23"/>
    </row>
    <row r="38138">
      <c r="B38138" s="19"/>
      <c r="E38138" s="23"/>
      <c r="L38138" s="23"/>
    </row>
    <row r="38139">
      <c r="B38139" s="19"/>
      <c r="E38139" s="23"/>
      <c r="L38139" s="23"/>
    </row>
    <row r="38140">
      <c r="B38140" s="19"/>
      <c r="E38140" s="23"/>
      <c r="L38140" s="23"/>
    </row>
    <row r="38141">
      <c r="B38141" s="19"/>
      <c r="E38141" s="23"/>
      <c r="L38141" s="23"/>
    </row>
    <row r="38142">
      <c r="B38142" s="19"/>
      <c r="E38142" s="23"/>
      <c r="L38142" s="23"/>
    </row>
    <row r="38143">
      <c r="B38143" s="19"/>
      <c r="E38143" s="23"/>
      <c r="L38143" s="23"/>
    </row>
    <row r="38144">
      <c r="B38144" s="19"/>
      <c r="E38144" s="23"/>
      <c r="L38144" s="23"/>
    </row>
    <row r="38145">
      <c r="B38145" s="19"/>
      <c r="E38145" s="23"/>
      <c r="L38145" s="23"/>
    </row>
    <row r="38146">
      <c r="B38146" s="19"/>
      <c r="E38146" s="23"/>
      <c r="L38146" s="23"/>
    </row>
    <row r="38147">
      <c r="B38147" s="19"/>
      <c r="E38147" s="23"/>
      <c r="L38147" s="23"/>
    </row>
    <row r="38148">
      <c r="B38148" s="19"/>
      <c r="E38148" s="23"/>
      <c r="L38148" s="23"/>
    </row>
    <row r="38149">
      <c r="B38149" s="19"/>
      <c r="E38149" s="23"/>
      <c r="L38149" s="23"/>
    </row>
    <row r="38150">
      <c r="B38150" s="19"/>
      <c r="E38150" s="23"/>
      <c r="L38150" s="23"/>
    </row>
    <row r="38151">
      <c r="B38151" s="19"/>
      <c r="E38151" s="23"/>
      <c r="L38151" s="23"/>
    </row>
    <row r="38152">
      <c r="B38152" s="19"/>
      <c r="E38152" s="23"/>
      <c r="L38152" s="23"/>
    </row>
    <row r="38153">
      <c r="B38153" s="19"/>
      <c r="E38153" s="23"/>
      <c r="L38153" s="23"/>
    </row>
    <row r="38154">
      <c r="B38154" s="19"/>
      <c r="E38154" s="23"/>
      <c r="L38154" s="23"/>
    </row>
    <row r="38155">
      <c r="B38155" s="19"/>
      <c r="E38155" s="23"/>
      <c r="L38155" s="23"/>
    </row>
    <row r="38156">
      <c r="B38156" s="19"/>
      <c r="E38156" s="23"/>
      <c r="L38156" s="23"/>
    </row>
    <row r="38157">
      <c r="B38157" s="19"/>
      <c r="E38157" s="23"/>
      <c r="L38157" s="23"/>
    </row>
    <row r="38158">
      <c r="B38158" s="19"/>
      <c r="E38158" s="23"/>
      <c r="L38158" s="23"/>
    </row>
    <row r="38159">
      <c r="B38159" s="19"/>
      <c r="E38159" s="23"/>
      <c r="L38159" s="23"/>
    </row>
    <row r="38160">
      <c r="B38160" s="19"/>
      <c r="E38160" s="23"/>
      <c r="L38160" s="23"/>
    </row>
    <row r="38161">
      <c r="B38161" s="19"/>
      <c r="E38161" s="23"/>
      <c r="L38161" s="23"/>
    </row>
    <row r="38162">
      <c r="B38162" s="19"/>
      <c r="E38162" s="23"/>
      <c r="L38162" s="23"/>
    </row>
    <row r="38163">
      <c r="B38163" s="19"/>
      <c r="E38163" s="23"/>
      <c r="L38163" s="23"/>
    </row>
    <row r="38164">
      <c r="B38164" s="19"/>
      <c r="E38164" s="23"/>
      <c r="L38164" s="23"/>
    </row>
    <row r="38165">
      <c r="B38165" s="19"/>
      <c r="E38165" s="23"/>
      <c r="L38165" s="23"/>
    </row>
    <row r="38166">
      <c r="B38166" s="19"/>
      <c r="E38166" s="23"/>
      <c r="L38166" s="23"/>
    </row>
    <row r="38167">
      <c r="B38167" s="19"/>
      <c r="E38167" s="23"/>
      <c r="L38167" s="23"/>
    </row>
    <row r="38168">
      <c r="B38168" s="19"/>
      <c r="E38168" s="23"/>
      <c r="L38168" s="23"/>
    </row>
    <row r="38169">
      <c r="B38169" s="19"/>
      <c r="E38169" s="23"/>
      <c r="L38169" s="23"/>
    </row>
    <row r="38170">
      <c r="B38170" s="19"/>
      <c r="E38170" s="23"/>
      <c r="L38170" s="23"/>
    </row>
    <row r="38171">
      <c r="B38171" s="19"/>
      <c r="E38171" s="23"/>
      <c r="L38171" s="23"/>
    </row>
    <row r="38172">
      <c r="B38172" s="19"/>
      <c r="E38172" s="23"/>
      <c r="L38172" s="23"/>
    </row>
    <row r="38173">
      <c r="B38173" s="19"/>
      <c r="E38173" s="23"/>
      <c r="L38173" s="23"/>
    </row>
    <row r="38174">
      <c r="B38174" s="19"/>
      <c r="E38174" s="23"/>
      <c r="L38174" s="23"/>
    </row>
    <row r="38175">
      <c r="B38175" s="19"/>
      <c r="E38175" s="23"/>
      <c r="L38175" s="23"/>
    </row>
    <row r="38176">
      <c r="B38176" s="19"/>
      <c r="E38176" s="23"/>
      <c r="L38176" s="23"/>
    </row>
    <row r="38177">
      <c r="B38177" s="19"/>
      <c r="E38177" s="23"/>
      <c r="L38177" s="23"/>
    </row>
    <row r="38178">
      <c r="B38178" s="19"/>
      <c r="E38178" s="23"/>
      <c r="L38178" s="23"/>
    </row>
    <row r="38179">
      <c r="B38179" s="19"/>
      <c r="E38179" s="23"/>
      <c r="L38179" s="23"/>
    </row>
    <row r="38180">
      <c r="B38180" s="19"/>
      <c r="E38180" s="23"/>
      <c r="L38180" s="23"/>
    </row>
    <row r="38181">
      <c r="B38181" s="19"/>
      <c r="E38181" s="23"/>
      <c r="L38181" s="23"/>
    </row>
    <row r="38182">
      <c r="B38182" s="19"/>
      <c r="E38182" s="23"/>
      <c r="L38182" s="23"/>
    </row>
    <row r="38183">
      <c r="B38183" s="19"/>
      <c r="E38183" s="23"/>
      <c r="L38183" s="23"/>
    </row>
    <row r="38184">
      <c r="B38184" s="19"/>
      <c r="E38184" s="23"/>
      <c r="L38184" s="23"/>
    </row>
    <row r="38185">
      <c r="B38185" s="19"/>
      <c r="E38185" s="23"/>
      <c r="L38185" s="23"/>
    </row>
    <row r="38186">
      <c r="B38186" s="19"/>
      <c r="E38186" s="23"/>
      <c r="L38186" s="23"/>
    </row>
    <row r="38187">
      <c r="B38187" s="19"/>
      <c r="E38187" s="23"/>
      <c r="L38187" s="23"/>
    </row>
    <row r="38188">
      <c r="B38188" s="19"/>
      <c r="E38188" s="23"/>
      <c r="L38188" s="23"/>
    </row>
    <row r="38189">
      <c r="B38189" s="19"/>
      <c r="E38189" s="23"/>
      <c r="L38189" s="23"/>
    </row>
    <row r="38190">
      <c r="B38190" s="19"/>
      <c r="E38190" s="23"/>
      <c r="L38190" s="23"/>
    </row>
    <row r="38191">
      <c r="B38191" s="19"/>
      <c r="E38191" s="23"/>
      <c r="L38191" s="23"/>
    </row>
    <row r="38192">
      <c r="B38192" s="19"/>
      <c r="E38192" s="23"/>
      <c r="L38192" s="23"/>
    </row>
    <row r="38193">
      <c r="B38193" s="19"/>
      <c r="E38193" s="23"/>
      <c r="L38193" s="23"/>
    </row>
    <row r="38194">
      <c r="B38194" s="19"/>
      <c r="E38194" s="23"/>
      <c r="L38194" s="23"/>
    </row>
    <row r="38195">
      <c r="B38195" s="19"/>
      <c r="E38195" s="23"/>
      <c r="L38195" s="23"/>
    </row>
    <row r="38196">
      <c r="B38196" s="19"/>
      <c r="E38196" s="23"/>
      <c r="L38196" s="23"/>
    </row>
    <row r="38197">
      <c r="B38197" s="19"/>
      <c r="E38197" s="23"/>
      <c r="L38197" s="23"/>
    </row>
    <row r="38198">
      <c r="B38198" s="19"/>
      <c r="E38198" s="23"/>
      <c r="L38198" s="23"/>
    </row>
    <row r="38199">
      <c r="B38199" s="19"/>
      <c r="E38199" s="23"/>
      <c r="L38199" s="23"/>
    </row>
    <row r="38200">
      <c r="B38200" s="19"/>
      <c r="E38200" s="23"/>
      <c r="L38200" s="23"/>
    </row>
    <row r="38201">
      <c r="B38201" s="19"/>
      <c r="E38201" s="23"/>
      <c r="L38201" s="23"/>
    </row>
    <row r="38202">
      <c r="B38202" s="19"/>
      <c r="E38202" s="23"/>
      <c r="L38202" s="23"/>
    </row>
    <row r="38203">
      <c r="B38203" s="19"/>
      <c r="E38203" s="23"/>
      <c r="L38203" s="23"/>
    </row>
    <row r="38204">
      <c r="B38204" s="19"/>
      <c r="E38204" s="23"/>
      <c r="L38204" s="23"/>
    </row>
    <row r="38205">
      <c r="B38205" s="19"/>
      <c r="E38205" s="23"/>
      <c r="L38205" s="23"/>
    </row>
    <row r="38206">
      <c r="B38206" s="19"/>
      <c r="E38206" s="23"/>
      <c r="L38206" s="23"/>
    </row>
    <row r="38207">
      <c r="B38207" s="19"/>
      <c r="E38207" s="23"/>
      <c r="L38207" s="23"/>
    </row>
    <row r="38208">
      <c r="B38208" s="19"/>
      <c r="E38208" s="23"/>
      <c r="L38208" s="23"/>
    </row>
    <row r="38209">
      <c r="B38209" s="19"/>
      <c r="E38209" s="23"/>
      <c r="L38209" s="23"/>
    </row>
    <row r="38210">
      <c r="B38210" s="19"/>
      <c r="E38210" s="23"/>
      <c r="L38210" s="23"/>
    </row>
    <row r="38211">
      <c r="B38211" s="19"/>
      <c r="E38211" s="23"/>
      <c r="L38211" s="23"/>
    </row>
    <row r="38212">
      <c r="B38212" s="19"/>
      <c r="E38212" s="23"/>
      <c r="L38212" s="23"/>
    </row>
    <row r="38213">
      <c r="B38213" s="19"/>
      <c r="E38213" s="23"/>
      <c r="L38213" s="23"/>
    </row>
    <row r="38214">
      <c r="B38214" s="19"/>
      <c r="E38214" s="23"/>
      <c r="L38214" s="23"/>
    </row>
    <row r="38215">
      <c r="B38215" s="19"/>
      <c r="E38215" s="23"/>
      <c r="L38215" s="23"/>
    </row>
    <row r="38216">
      <c r="B38216" s="19"/>
      <c r="E38216" s="23"/>
      <c r="L38216" s="23"/>
    </row>
    <row r="38217">
      <c r="B38217" s="19"/>
      <c r="E38217" s="23"/>
      <c r="L38217" s="23"/>
    </row>
    <row r="38218">
      <c r="B38218" s="19"/>
      <c r="E38218" s="23"/>
      <c r="L38218" s="23"/>
    </row>
    <row r="38219">
      <c r="B38219" s="19"/>
      <c r="E38219" s="23"/>
      <c r="L38219" s="23"/>
    </row>
    <row r="38220">
      <c r="B38220" s="19"/>
      <c r="E38220" s="23"/>
      <c r="L38220" s="23"/>
    </row>
    <row r="38221">
      <c r="B38221" s="19"/>
      <c r="E38221" s="23"/>
      <c r="L38221" s="23"/>
    </row>
    <row r="38222">
      <c r="B38222" s="19"/>
      <c r="E38222" s="23"/>
      <c r="L38222" s="23"/>
    </row>
    <row r="38223">
      <c r="B38223" s="19"/>
      <c r="E38223" s="23"/>
      <c r="L38223" s="23"/>
    </row>
    <row r="38224">
      <c r="B38224" s="19"/>
      <c r="E38224" s="23"/>
      <c r="L38224" s="23"/>
    </row>
    <row r="38225">
      <c r="B38225" s="19"/>
      <c r="E38225" s="23"/>
      <c r="L38225" s="23"/>
    </row>
    <row r="38226">
      <c r="B38226" s="19"/>
      <c r="E38226" s="23"/>
      <c r="L38226" s="23"/>
    </row>
    <row r="38227">
      <c r="B38227" s="19"/>
      <c r="E38227" s="23"/>
      <c r="L38227" s="23"/>
    </row>
    <row r="38228">
      <c r="B38228" s="19"/>
      <c r="E38228" s="23"/>
      <c r="L38228" s="23"/>
    </row>
    <row r="38229">
      <c r="B38229" s="19"/>
      <c r="E38229" s="23"/>
      <c r="L38229" s="23"/>
    </row>
    <row r="38230">
      <c r="B38230" s="19"/>
      <c r="E38230" s="23"/>
      <c r="L38230" s="23"/>
    </row>
    <row r="38231">
      <c r="B38231" s="19"/>
      <c r="E38231" s="23"/>
      <c r="L38231" s="23"/>
    </row>
    <row r="38232">
      <c r="B38232" s="19"/>
      <c r="E38232" s="23"/>
      <c r="L38232" s="23"/>
    </row>
    <row r="38233">
      <c r="B38233" s="19"/>
      <c r="E38233" s="23"/>
      <c r="L38233" s="23"/>
    </row>
    <row r="38234">
      <c r="B38234" s="19"/>
      <c r="E38234" s="23"/>
      <c r="L38234" s="23"/>
    </row>
    <row r="38235">
      <c r="B38235" s="19"/>
      <c r="E38235" s="23"/>
      <c r="L38235" s="23"/>
    </row>
    <row r="38236">
      <c r="B38236" s="19"/>
      <c r="E38236" s="23"/>
      <c r="L38236" s="23"/>
    </row>
    <row r="38237">
      <c r="B38237" s="19"/>
      <c r="E38237" s="23"/>
      <c r="L38237" s="23"/>
    </row>
    <row r="38238">
      <c r="B38238" s="19"/>
      <c r="E38238" s="23"/>
      <c r="L38238" s="23"/>
    </row>
    <row r="38239">
      <c r="B38239" s="19"/>
      <c r="E38239" s="23"/>
      <c r="L38239" s="23"/>
    </row>
    <row r="38240">
      <c r="B38240" s="19"/>
      <c r="E38240" s="23"/>
      <c r="L38240" s="23"/>
    </row>
    <row r="38241">
      <c r="B38241" s="19"/>
      <c r="E38241" s="23"/>
      <c r="L38241" s="23"/>
    </row>
    <row r="38242">
      <c r="B38242" s="19"/>
      <c r="E38242" s="23"/>
      <c r="L38242" s="23"/>
    </row>
    <row r="38243">
      <c r="B38243" s="19"/>
      <c r="E38243" s="23"/>
      <c r="L38243" s="23"/>
    </row>
    <row r="38244">
      <c r="B38244" s="19"/>
      <c r="E38244" s="23"/>
      <c r="L38244" s="23"/>
    </row>
    <row r="38245">
      <c r="B38245" s="19"/>
      <c r="E38245" s="23"/>
      <c r="L38245" s="23"/>
    </row>
    <row r="38246">
      <c r="B38246" s="19"/>
      <c r="E38246" s="23"/>
      <c r="L38246" s="23"/>
    </row>
    <row r="38247">
      <c r="B38247" s="19"/>
      <c r="E38247" s="23"/>
      <c r="L38247" s="23"/>
    </row>
    <row r="38248">
      <c r="B38248" s="19"/>
      <c r="E38248" s="23"/>
      <c r="L38248" s="23"/>
    </row>
    <row r="38249">
      <c r="B38249" s="19"/>
      <c r="E38249" s="23"/>
      <c r="L38249" s="23"/>
    </row>
    <row r="38250">
      <c r="B38250" s="19"/>
      <c r="E38250" s="23"/>
      <c r="L38250" s="23"/>
    </row>
    <row r="38251">
      <c r="B38251" s="19"/>
      <c r="E38251" s="23"/>
      <c r="L38251" s="23"/>
    </row>
    <row r="38252">
      <c r="B38252" s="19"/>
      <c r="E38252" s="23"/>
      <c r="L38252" s="23"/>
    </row>
    <row r="38253">
      <c r="B38253" s="19"/>
      <c r="E38253" s="23"/>
      <c r="L38253" s="23"/>
    </row>
    <row r="38254">
      <c r="B38254" s="19"/>
      <c r="E38254" s="23"/>
      <c r="L38254" s="23"/>
    </row>
    <row r="38255">
      <c r="B38255" s="19"/>
      <c r="E38255" s="23"/>
      <c r="L38255" s="23"/>
    </row>
    <row r="38256">
      <c r="B38256" s="19"/>
      <c r="E38256" s="23"/>
      <c r="L38256" s="23"/>
    </row>
    <row r="38257">
      <c r="B38257" s="19"/>
      <c r="E38257" s="23"/>
      <c r="L38257" s="23"/>
    </row>
    <row r="38258">
      <c r="B38258" s="19"/>
      <c r="E38258" s="23"/>
      <c r="L38258" s="23"/>
    </row>
    <row r="38259">
      <c r="B38259" s="19"/>
      <c r="E38259" s="23"/>
      <c r="L38259" s="23"/>
    </row>
    <row r="38260">
      <c r="B38260" s="19"/>
      <c r="E38260" s="23"/>
      <c r="L38260" s="23"/>
    </row>
    <row r="38261">
      <c r="B38261" s="19"/>
      <c r="E38261" s="23"/>
      <c r="L38261" s="23"/>
    </row>
    <row r="38262">
      <c r="B38262" s="19"/>
      <c r="E38262" s="23"/>
      <c r="L38262" s="23"/>
    </row>
    <row r="38263">
      <c r="B38263" s="19"/>
      <c r="E38263" s="23"/>
      <c r="L38263" s="23"/>
    </row>
    <row r="38264">
      <c r="B38264" s="19"/>
      <c r="E38264" s="23"/>
      <c r="L38264" s="23"/>
    </row>
    <row r="38265">
      <c r="B38265" s="19"/>
      <c r="E38265" s="23"/>
      <c r="L38265" s="23"/>
    </row>
    <row r="38266">
      <c r="B38266" s="19"/>
      <c r="E38266" s="23"/>
      <c r="L38266" s="23"/>
    </row>
    <row r="38267">
      <c r="B38267" s="19"/>
      <c r="E38267" s="23"/>
      <c r="L38267" s="23"/>
    </row>
    <row r="38268">
      <c r="B38268" s="19"/>
      <c r="E38268" s="23"/>
      <c r="L38268" s="23"/>
    </row>
    <row r="38269">
      <c r="B38269" s="19"/>
      <c r="E38269" s="23"/>
      <c r="L38269" s="23"/>
    </row>
    <row r="38270">
      <c r="B38270" s="19"/>
      <c r="E38270" s="23"/>
      <c r="L38270" s="23"/>
    </row>
    <row r="38271">
      <c r="B38271" s="19"/>
      <c r="E38271" s="23"/>
      <c r="L38271" s="23"/>
    </row>
    <row r="38272">
      <c r="B38272" s="19"/>
      <c r="E38272" s="23"/>
      <c r="L38272" s="23"/>
    </row>
    <row r="38273">
      <c r="B38273" s="19"/>
      <c r="E38273" s="23"/>
      <c r="L38273" s="23"/>
    </row>
    <row r="38274">
      <c r="B38274" s="19"/>
      <c r="E38274" s="23"/>
      <c r="L38274" s="23"/>
    </row>
    <row r="38275">
      <c r="B38275" s="19"/>
      <c r="E38275" s="23"/>
      <c r="L38275" s="23"/>
    </row>
    <row r="38276">
      <c r="B38276" s="19"/>
      <c r="E38276" s="23"/>
      <c r="L38276" s="23"/>
    </row>
    <row r="38277">
      <c r="B38277" s="19"/>
      <c r="E38277" s="23"/>
      <c r="L38277" s="23"/>
    </row>
    <row r="38278">
      <c r="B38278" s="19"/>
      <c r="E38278" s="23"/>
      <c r="L38278" s="23"/>
    </row>
    <row r="38279">
      <c r="B38279" s="19"/>
      <c r="E38279" s="23"/>
      <c r="L38279" s="23"/>
    </row>
    <row r="38280">
      <c r="B38280" s="19"/>
      <c r="E38280" s="23"/>
      <c r="L38280" s="23"/>
    </row>
    <row r="38281">
      <c r="B38281" s="19"/>
      <c r="E38281" s="23"/>
      <c r="L38281" s="23"/>
    </row>
    <row r="38282">
      <c r="B38282" s="19"/>
      <c r="E38282" s="23"/>
      <c r="L38282" s="23"/>
    </row>
    <row r="38283">
      <c r="B38283" s="19"/>
      <c r="E38283" s="23"/>
      <c r="L38283" s="23"/>
    </row>
    <row r="38284">
      <c r="B38284" s="19"/>
      <c r="E38284" s="23"/>
      <c r="L38284" s="23"/>
    </row>
    <row r="38285">
      <c r="B38285" s="19"/>
      <c r="E38285" s="23"/>
      <c r="L38285" s="23"/>
    </row>
    <row r="38286">
      <c r="B38286" s="19"/>
      <c r="E38286" s="23"/>
      <c r="L38286" s="23"/>
    </row>
    <row r="38287">
      <c r="B38287" s="19"/>
      <c r="E38287" s="23"/>
      <c r="L38287" s="23"/>
    </row>
    <row r="38288">
      <c r="B38288" s="19"/>
      <c r="E38288" s="23"/>
      <c r="L38288" s="23"/>
    </row>
    <row r="38289">
      <c r="B38289" s="19"/>
      <c r="E38289" s="23"/>
      <c r="L38289" s="23"/>
    </row>
    <row r="38290">
      <c r="B38290" s="19"/>
      <c r="E38290" s="23"/>
      <c r="L38290" s="23"/>
    </row>
    <row r="38291">
      <c r="B38291" s="19"/>
      <c r="E38291" s="23"/>
      <c r="L38291" s="23"/>
    </row>
    <row r="38292">
      <c r="B38292" s="19"/>
      <c r="E38292" s="23"/>
      <c r="L38292" s="23"/>
    </row>
    <row r="38293">
      <c r="B38293" s="19"/>
      <c r="E38293" s="23"/>
      <c r="L38293" s="23"/>
    </row>
    <row r="38294">
      <c r="B38294" s="19"/>
      <c r="E38294" s="23"/>
      <c r="L38294" s="23"/>
    </row>
    <row r="38295">
      <c r="B38295" s="19"/>
      <c r="E38295" s="23"/>
      <c r="L38295" s="23"/>
    </row>
    <row r="38296">
      <c r="B38296" s="19"/>
      <c r="E38296" s="23"/>
      <c r="L38296" s="23"/>
    </row>
    <row r="38297">
      <c r="B38297" s="19"/>
      <c r="E38297" s="23"/>
      <c r="L38297" s="23"/>
    </row>
    <row r="38298">
      <c r="B38298" s="19"/>
      <c r="E38298" s="23"/>
      <c r="L38298" s="23"/>
    </row>
    <row r="38299">
      <c r="B38299" s="19"/>
      <c r="E38299" s="23"/>
      <c r="L38299" s="23"/>
    </row>
    <row r="38300">
      <c r="B38300" s="19"/>
      <c r="E38300" s="23"/>
      <c r="L38300" s="23"/>
    </row>
    <row r="38301">
      <c r="B38301" s="19"/>
      <c r="E38301" s="23"/>
      <c r="L38301" s="23"/>
    </row>
    <row r="38302">
      <c r="B38302" s="19"/>
      <c r="E38302" s="23"/>
      <c r="L38302" s="23"/>
    </row>
    <row r="38303">
      <c r="B38303" s="19"/>
      <c r="E38303" s="23"/>
      <c r="L38303" s="23"/>
    </row>
    <row r="38304">
      <c r="B38304" s="19"/>
      <c r="E38304" s="23"/>
      <c r="L38304" s="23"/>
    </row>
    <row r="38305">
      <c r="B38305" s="19"/>
      <c r="E38305" s="23"/>
      <c r="L38305" s="23"/>
    </row>
    <row r="38306">
      <c r="B38306" s="19"/>
      <c r="E38306" s="23"/>
      <c r="L38306" s="23"/>
    </row>
    <row r="38307">
      <c r="B38307" s="19"/>
      <c r="E38307" s="23"/>
      <c r="L38307" s="23"/>
    </row>
    <row r="38308">
      <c r="B38308" s="19"/>
      <c r="E38308" s="23"/>
      <c r="L38308" s="23"/>
    </row>
    <row r="38309">
      <c r="B38309" s="19"/>
      <c r="E38309" s="23"/>
      <c r="L38309" s="23"/>
    </row>
    <row r="38310">
      <c r="B38310" s="19"/>
      <c r="E38310" s="23"/>
      <c r="L38310" s="23"/>
    </row>
    <row r="38311">
      <c r="B38311" s="19"/>
      <c r="E38311" s="23"/>
      <c r="L38311" s="23"/>
    </row>
    <row r="38312">
      <c r="B38312" s="19"/>
      <c r="E38312" s="23"/>
      <c r="L38312" s="23"/>
    </row>
    <row r="38313">
      <c r="B38313" s="19"/>
      <c r="E38313" s="23"/>
      <c r="L38313" s="23"/>
    </row>
    <row r="38314">
      <c r="B38314" s="19"/>
      <c r="E38314" s="23"/>
      <c r="L38314" s="23"/>
    </row>
    <row r="38315">
      <c r="B38315" s="19"/>
      <c r="E38315" s="23"/>
      <c r="L38315" s="23"/>
    </row>
    <row r="38316">
      <c r="B38316" s="19"/>
      <c r="E38316" s="23"/>
      <c r="L38316" s="23"/>
    </row>
    <row r="38317">
      <c r="B38317" s="19"/>
      <c r="E38317" s="23"/>
      <c r="L38317" s="23"/>
    </row>
    <row r="38318">
      <c r="B38318" s="19"/>
      <c r="E38318" s="23"/>
      <c r="L38318" s="23"/>
    </row>
    <row r="38319">
      <c r="B38319" s="19"/>
      <c r="E38319" s="23"/>
      <c r="L38319" s="23"/>
    </row>
    <row r="38320">
      <c r="B38320" s="19"/>
      <c r="E38320" s="23"/>
      <c r="L38320" s="23"/>
    </row>
    <row r="38321">
      <c r="B38321" s="19"/>
      <c r="E38321" s="23"/>
      <c r="L38321" s="23"/>
    </row>
    <row r="38322">
      <c r="B38322" s="19"/>
      <c r="E38322" s="23"/>
      <c r="L38322" s="23"/>
    </row>
    <row r="38323">
      <c r="B38323" s="19"/>
      <c r="E38323" s="23"/>
      <c r="L38323" s="23"/>
    </row>
    <row r="38324">
      <c r="B38324" s="19"/>
      <c r="E38324" s="23"/>
      <c r="L38324" s="23"/>
    </row>
    <row r="38325">
      <c r="B38325" s="19"/>
      <c r="E38325" s="23"/>
      <c r="L38325" s="23"/>
    </row>
    <row r="38326">
      <c r="B38326" s="19"/>
      <c r="E38326" s="23"/>
      <c r="L38326" s="23"/>
    </row>
    <row r="38327">
      <c r="B38327" s="19"/>
      <c r="E38327" s="23"/>
      <c r="L38327" s="23"/>
    </row>
    <row r="38328">
      <c r="B38328" s="19"/>
      <c r="E38328" s="23"/>
      <c r="L38328" s="23"/>
    </row>
    <row r="38329">
      <c r="B38329" s="19"/>
      <c r="E38329" s="23"/>
      <c r="L38329" s="23"/>
    </row>
    <row r="38330">
      <c r="B38330" s="19"/>
      <c r="E38330" s="23"/>
      <c r="L38330" s="23"/>
    </row>
    <row r="38331">
      <c r="B38331" s="19"/>
      <c r="E38331" s="23"/>
      <c r="L38331" s="23"/>
    </row>
    <row r="38332">
      <c r="B38332" s="19"/>
      <c r="E38332" s="23"/>
      <c r="L38332" s="23"/>
    </row>
    <row r="38333">
      <c r="B38333" s="19"/>
      <c r="E38333" s="23"/>
      <c r="L38333" s="23"/>
    </row>
    <row r="38334">
      <c r="B38334" s="19"/>
      <c r="E38334" s="23"/>
      <c r="L38334" s="23"/>
    </row>
    <row r="38335">
      <c r="B38335" s="19"/>
      <c r="E38335" s="23"/>
      <c r="L38335" s="23"/>
    </row>
    <row r="38336">
      <c r="B38336" s="19"/>
      <c r="E38336" s="23"/>
      <c r="L38336" s="23"/>
    </row>
    <row r="38337">
      <c r="B38337" s="19"/>
      <c r="E38337" s="23"/>
      <c r="L38337" s="23"/>
    </row>
    <row r="38338">
      <c r="B38338" s="19"/>
      <c r="E38338" s="23"/>
      <c r="L38338" s="23"/>
    </row>
    <row r="38339">
      <c r="B38339" s="19"/>
      <c r="E38339" s="23"/>
      <c r="L38339" s="23"/>
    </row>
    <row r="38340">
      <c r="B38340" s="19"/>
      <c r="E38340" s="23"/>
      <c r="L38340" s="23"/>
    </row>
    <row r="38341">
      <c r="B38341" s="19"/>
      <c r="E38341" s="23"/>
      <c r="L38341" s="23"/>
    </row>
    <row r="38342">
      <c r="B38342" s="19"/>
      <c r="E38342" s="23"/>
      <c r="L38342" s="23"/>
    </row>
    <row r="38343">
      <c r="B38343" s="19"/>
      <c r="E38343" s="23"/>
      <c r="L38343" s="23"/>
    </row>
    <row r="38344">
      <c r="B38344" s="19"/>
      <c r="E38344" s="23"/>
      <c r="L38344" s="23"/>
    </row>
    <row r="38345">
      <c r="B38345" s="19"/>
      <c r="E38345" s="23"/>
      <c r="L38345" s="23"/>
    </row>
    <row r="38346">
      <c r="B38346" s="19"/>
      <c r="E38346" s="23"/>
      <c r="L38346" s="23"/>
    </row>
    <row r="38347">
      <c r="B38347" s="19"/>
      <c r="E38347" s="23"/>
      <c r="L38347" s="23"/>
    </row>
    <row r="38348">
      <c r="B38348" s="19"/>
      <c r="E38348" s="23"/>
      <c r="L38348" s="23"/>
    </row>
    <row r="38349">
      <c r="B38349" s="19"/>
      <c r="E38349" s="23"/>
      <c r="L38349" s="23"/>
    </row>
    <row r="38350">
      <c r="B38350" s="19"/>
      <c r="E38350" s="23"/>
      <c r="L38350" s="23"/>
    </row>
    <row r="38351">
      <c r="B38351" s="19"/>
      <c r="E38351" s="23"/>
      <c r="L38351" s="23"/>
    </row>
    <row r="38352">
      <c r="B38352" s="19"/>
      <c r="E38352" s="23"/>
      <c r="L38352" s="23"/>
    </row>
    <row r="38353">
      <c r="B38353" s="19"/>
      <c r="E38353" s="23"/>
      <c r="L38353" s="23"/>
    </row>
    <row r="38354">
      <c r="B38354" s="19"/>
      <c r="E38354" s="23"/>
      <c r="L38354" s="23"/>
    </row>
    <row r="38355">
      <c r="B38355" s="19"/>
      <c r="E38355" s="23"/>
      <c r="L38355" s="23"/>
    </row>
    <row r="38356">
      <c r="B38356" s="19"/>
      <c r="E38356" s="23"/>
      <c r="L38356" s="23"/>
    </row>
    <row r="38357">
      <c r="B38357" s="19"/>
      <c r="E38357" s="23"/>
      <c r="L38357" s="23"/>
    </row>
    <row r="38358">
      <c r="B38358" s="19"/>
      <c r="E38358" s="23"/>
      <c r="L38358" s="23"/>
    </row>
    <row r="38359">
      <c r="B38359" s="19"/>
      <c r="E38359" s="23"/>
      <c r="L38359" s="23"/>
    </row>
    <row r="38360">
      <c r="B38360" s="19"/>
      <c r="E38360" s="23"/>
      <c r="L38360" s="23"/>
    </row>
    <row r="38361">
      <c r="B38361" s="19"/>
      <c r="E38361" s="23"/>
      <c r="L38361" s="23"/>
    </row>
    <row r="38362">
      <c r="B38362" s="19"/>
      <c r="E38362" s="23"/>
      <c r="L38362" s="23"/>
    </row>
    <row r="38363">
      <c r="B38363" s="19"/>
      <c r="E38363" s="23"/>
      <c r="L38363" s="23"/>
    </row>
    <row r="38364">
      <c r="B38364" s="19"/>
      <c r="E38364" s="23"/>
      <c r="L38364" s="23"/>
    </row>
    <row r="38365">
      <c r="B38365" s="19"/>
      <c r="E38365" s="23"/>
      <c r="L38365" s="23"/>
    </row>
    <row r="38366">
      <c r="B38366" s="19"/>
      <c r="E38366" s="23"/>
      <c r="L38366" s="23"/>
    </row>
    <row r="38367">
      <c r="B38367" s="19"/>
      <c r="E38367" s="23"/>
      <c r="L38367" s="23"/>
    </row>
    <row r="38368">
      <c r="B38368" s="19"/>
      <c r="E38368" s="23"/>
      <c r="L38368" s="23"/>
    </row>
    <row r="38369">
      <c r="B38369" s="19"/>
      <c r="E38369" s="23"/>
      <c r="L38369" s="23"/>
    </row>
    <row r="38370">
      <c r="B38370" s="19"/>
      <c r="E38370" s="23"/>
      <c r="L38370" s="23"/>
    </row>
    <row r="38371">
      <c r="B38371" s="19"/>
      <c r="E38371" s="23"/>
      <c r="L38371" s="23"/>
    </row>
    <row r="38372">
      <c r="B38372" s="19"/>
      <c r="E38372" s="23"/>
      <c r="L38372" s="23"/>
    </row>
    <row r="38373">
      <c r="B38373" s="19"/>
      <c r="E38373" s="23"/>
      <c r="L38373" s="23"/>
    </row>
    <row r="38374">
      <c r="B38374" s="19"/>
      <c r="E38374" s="23"/>
      <c r="L38374" s="23"/>
    </row>
    <row r="38375">
      <c r="B38375" s="19"/>
      <c r="E38375" s="23"/>
      <c r="L38375" s="23"/>
    </row>
    <row r="38376">
      <c r="B38376" s="19"/>
      <c r="E38376" s="23"/>
      <c r="L38376" s="23"/>
    </row>
    <row r="38377">
      <c r="B38377" s="19"/>
      <c r="E38377" s="23"/>
      <c r="L38377" s="23"/>
    </row>
    <row r="38378">
      <c r="B38378" s="19"/>
      <c r="E38378" s="23"/>
      <c r="L38378" s="23"/>
    </row>
    <row r="38379">
      <c r="B38379" s="19"/>
      <c r="E38379" s="23"/>
      <c r="L38379" s="23"/>
    </row>
    <row r="38380">
      <c r="B38380" s="19"/>
      <c r="E38380" s="23"/>
      <c r="L38380" s="23"/>
    </row>
    <row r="38381">
      <c r="B38381" s="19"/>
      <c r="E38381" s="23"/>
      <c r="L38381" s="23"/>
    </row>
    <row r="38382">
      <c r="B38382" s="19"/>
      <c r="E38382" s="23"/>
      <c r="L38382" s="23"/>
    </row>
    <row r="38383">
      <c r="B38383" s="19"/>
      <c r="E38383" s="23"/>
      <c r="L38383" s="23"/>
    </row>
    <row r="38384">
      <c r="B38384" s="19"/>
      <c r="E38384" s="23"/>
      <c r="L38384" s="23"/>
    </row>
    <row r="38385">
      <c r="B38385" s="19"/>
      <c r="E38385" s="23"/>
      <c r="L38385" s="23"/>
    </row>
    <row r="38386">
      <c r="B38386" s="19"/>
      <c r="E38386" s="23"/>
      <c r="L38386" s="23"/>
    </row>
    <row r="38387">
      <c r="B38387" s="19"/>
      <c r="E38387" s="23"/>
      <c r="L38387" s="23"/>
    </row>
    <row r="38388">
      <c r="B38388" s="19"/>
      <c r="E38388" s="23"/>
      <c r="L38388" s="23"/>
    </row>
    <row r="38389">
      <c r="B38389" s="19"/>
      <c r="E38389" s="23"/>
      <c r="L38389" s="23"/>
    </row>
    <row r="38390">
      <c r="B38390" s="19"/>
      <c r="E38390" s="23"/>
      <c r="L38390" s="23"/>
    </row>
    <row r="38391">
      <c r="B38391" s="19"/>
      <c r="E38391" s="23"/>
      <c r="L38391" s="23"/>
    </row>
    <row r="38392">
      <c r="B38392" s="19"/>
      <c r="E38392" s="23"/>
      <c r="L38392" s="23"/>
    </row>
    <row r="38393">
      <c r="B38393" s="19"/>
      <c r="E38393" s="23"/>
      <c r="L38393" s="23"/>
    </row>
    <row r="38394">
      <c r="B38394" s="19"/>
      <c r="E38394" s="23"/>
      <c r="L38394" s="23"/>
    </row>
    <row r="38395">
      <c r="B38395" s="19"/>
      <c r="E38395" s="23"/>
      <c r="L38395" s="23"/>
    </row>
    <row r="38396">
      <c r="B38396" s="19"/>
      <c r="E38396" s="23"/>
      <c r="L38396" s="23"/>
    </row>
    <row r="38397">
      <c r="B38397" s="19"/>
      <c r="E38397" s="23"/>
      <c r="L38397" s="23"/>
    </row>
    <row r="38398">
      <c r="B38398" s="19"/>
      <c r="E38398" s="23"/>
      <c r="L38398" s="23"/>
    </row>
    <row r="38399">
      <c r="B38399" s="19"/>
      <c r="E38399" s="23"/>
      <c r="L38399" s="23"/>
    </row>
    <row r="38400">
      <c r="B38400" s="19"/>
      <c r="E38400" s="23"/>
      <c r="L38400" s="23"/>
    </row>
    <row r="38401">
      <c r="B38401" s="19"/>
      <c r="E38401" s="23"/>
      <c r="L38401" s="23"/>
    </row>
    <row r="38402">
      <c r="B38402" s="19"/>
      <c r="E38402" s="23"/>
      <c r="L38402" s="23"/>
    </row>
    <row r="38403">
      <c r="B38403" s="19"/>
      <c r="E38403" s="23"/>
      <c r="L38403" s="23"/>
    </row>
    <row r="38404">
      <c r="B38404" s="19"/>
      <c r="E38404" s="23"/>
      <c r="L38404" s="23"/>
    </row>
    <row r="38405">
      <c r="B38405" s="19"/>
      <c r="E38405" s="23"/>
      <c r="L38405" s="23"/>
    </row>
    <row r="38406">
      <c r="B38406" s="19"/>
      <c r="E38406" s="23"/>
      <c r="L38406" s="23"/>
    </row>
    <row r="38407">
      <c r="B38407" s="19"/>
      <c r="E38407" s="23"/>
      <c r="L38407" s="23"/>
    </row>
    <row r="38408">
      <c r="B38408" s="19"/>
      <c r="E38408" s="23"/>
      <c r="L38408" s="23"/>
    </row>
    <row r="38409">
      <c r="B38409" s="19"/>
      <c r="E38409" s="23"/>
      <c r="L38409" s="23"/>
    </row>
    <row r="38410">
      <c r="B38410" s="19"/>
      <c r="E38410" s="23"/>
      <c r="L38410" s="23"/>
    </row>
    <row r="38411">
      <c r="B38411" s="19"/>
      <c r="E38411" s="23"/>
      <c r="L38411" s="23"/>
    </row>
    <row r="38412">
      <c r="B38412" s="19"/>
      <c r="E38412" s="23"/>
      <c r="L38412" s="23"/>
    </row>
    <row r="38413">
      <c r="B38413" s="19"/>
      <c r="E38413" s="23"/>
      <c r="L38413" s="23"/>
    </row>
    <row r="38414">
      <c r="B38414" s="19"/>
      <c r="E38414" s="23"/>
      <c r="L38414" s="23"/>
    </row>
    <row r="38415">
      <c r="B38415" s="19"/>
      <c r="E38415" s="23"/>
      <c r="L38415" s="23"/>
    </row>
    <row r="38416">
      <c r="B38416" s="19"/>
      <c r="E38416" s="23"/>
      <c r="L38416" s="23"/>
    </row>
    <row r="38417">
      <c r="B38417" s="19"/>
      <c r="E38417" s="23"/>
      <c r="L38417" s="23"/>
    </row>
    <row r="38418">
      <c r="B38418" s="19"/>
      <c r="E38418" s="23"/>
      <c r="L38418" s="23"/>
    </row>
    <row r="38419">
      <c r="B38419" s="19"/>
      <c r="E38419" s="23"/>
      <c r="L38419" s="23"/>
    </row>
    <row r="38420">
      <c r="B38420" s="19"/>
      <c r="E38420" s="23"/>
      <c r="L38420" s="23"/>
    </row>
    <row r="38421">
      <c r="B38421" s="19"/>
      <c r="E38421" s="23"/>
      <c r="L38421" s="23"/>
    </row>
    <row r="38422">
      <c r="B38422" s="19"/>
      <c r="E38422" s="23"/>
      <c r="L38422" s="23"/>
    </row>
    <row r="38423">
      <c r="B38423" s="19"/>
      <c r="E38423" s="23"/>
      <c r="L38423" s="23"/>
    </row>
    <row r="38424">
      <c r="B38424" s="19"/>
      <c r="E38424" s="23"/>
      <c r="L38424" s="23"/>
    </row>
    <row r="38425">
      <c r="B38425" s="19"/>
      <c r="E38425" s="23"/>
      <c r="L38425" s="23"/>
    </row>
    <row r="38426">
      <c r="B38426" s="19"/>
      <c r="E38426" s="23"/>
      <c r="L38426" s="23"/>
    </row>
    <row r="38427">
      <c r="B38427" s="19"/>
      <c r="E38427" s="23"/>
      <c r="L38427" s="23"/>
    </row>
    <row r="38428">
      <c r="B38428" s="19"/>
      <c r="E38428" s="23"/>
      <c r="L38428" s="23"/>
    </row>
    <row r="38429">
      <c r="B38429" s="19"/>
      <c r="E38429" s="23"/>
      <c r="L38429" s="23"/>
    </row>
    <row r="38430">
      <c r="B38430" s="19"/>
      <c r="E38430" s="23"/>
      <c r="L38430" s="23"/>
    </row>
    <row r="38431">
      <c r="B38431" s="19"/>
      <c r="E38431" s="23"/>
      <c r="L38431" s="23"/>
    </row>
    <row r="38432">
      <c r="B38432" s="19"/>
      <c r="E38432" s="23"/>
      <c r="L38432" s="23"/>
    </row>
    <row r="38433">
      <c r="B38433" s="19"/>
      <c r="E38433" s="23"/>
      <c r="L38433" s="23"/>
    </row>
    <row r="38434">
      <c r="B38434" s="19"/>
      <c r="E38434" s="23"/>
      <c r="L38434" s="23"/>
    </row>
    <row r="38435">
      <c r="B38435" s="19"/>
      <c r="E38435" s="23"/>
      <c r="L38435" s="23"/>
    </row>
    <row r="38436">
      <c r="B38436" s="19"/>
      <c r="E38436" s="23"/>
      <c r="L38436" s="23"/>
    </row>
    <row r="38437">
      <c r="B38437" s="19"/>
      <c r="E38437" s="23"/>
      <c r="L38437" s="23"/>
    </row>
    <row r="38438">
      <c r="B38438" s="19"/>
      <c r="E38438" s="23"/>
      <c r="L38438" s="23"/>
    </row>
    <row r="38439">
      <c r="B38439" s="19"/>
      <c r="E38439" s="23"/>
      <c r="L38439" s="23"/>
    </row>
    <row r="38440">
      <c r="B38440" s="19"/>
      <c r="E38440" s="23"/>
      <c r="L38440" s="23"/>
    </row>
    <row r="38441">
      <c r="B38441" s="19"/>
      <c r="E38441" s="23"/>
      <c r="L38441" s="23"/>
    </row>
    <row r="38442">
      <c r="B38442" s="19"/>
      <c r="E38442" s="23"/>
      <c r="L38442" s="23"/>
    </row>
    <row r="38443">
      <c r="B38443" s="19"/>
      <c r="E38443" s="23"/>
      <c r="L38443" s="23"/>
    </row>
    <row r="38444">
      <c r="B38444" s="19"/>
      <c r="E38444" s="23"/>
      <c r="L38444" s="23"/>
    </row>
    <row r="38445">
      <c r="B38445" s="19"/>
      <c r="E38445" s="23"/>
      <c r="L38445" s="23"/>
    </row>
    <row r="38446">
      <c r="B38446" s="19"/>
      <c r="E38446" s="23"/>
      <c r="L38446" s="23"/>
    </row>
    <row r="38447">
      <c r="B38447" s="19"/>
      <c r="E38447" s="23"/>
      <c r="L38447" s="23"/>
    </row>
    <row r="38448">
      <c r="B38448" s="19"/>
      <c r="E38448" s="23"/>
      <c r="L38448" s="23"/>
    </row>
    <row r="38449">
      <c r="B38449" s="19"/>
      <c r="E38449" s="23"/>
      <c r="L38449" s="23"/>
    </row>
    <row r="38450">
      <c r="B38450" s="19"/>
      <c r="E38450" s="23"/>
      <c r="L38450" s="23"/>
    </row>
    <row r="38451">
      <c r="B38451" s="19"/>
      <c r="E38451" s="23"/>
      <c r="L38451" s="23"/>
    </row>
    <row r="38452">
      <c r="B38452" s="19"/>
      <c r="E38452" s="23"/>
      <c r="L38452" s="23"/>
    </row>
    <row r="38453">
      <c r="B38453" s="19"/>
      <c r="E38453" s="23"/>
      <c r="L38453" s="23"/>
    </row>
    <row r="38454">
      <c r="B38454" s="19"/>
      <c r="E38454" s="23"/>
      <c r="L38454" s="23"/>
    </row>
    <row r="38455">
      <c r="B38455" s="19"/>
      <c r="E38455" s="23"/>
      <c r="L38455" s="23"/>
    </row>
    <row r="38456">
      <c r="B38456" s="19"/>
      <c r="E38456" s="23"/>
      <c r="L38456" s="23"/>
    </row>
    <row r="38457">
      <c r="B38457" s="19"/>
      <c r="E38457" s="23"/>
      <c r="L38457" s="23"/>
    </row>
    <row r="38458">
      <c r="B38458" s="19"/>
      <c r="E38458" s="23"/>
      <c r="L38458" s="23"/>
    </row>
    <row r="38459">
      <c r="B38459" s="19"/>
      <c r="E38459" s="23"/>
      <c r="L38459" s="23"/>
    </row>
    <row r="38460">
      <c r="B38460" s="19"/>
      <c r="E38460" s="23"/>
      <c r="L38460" s="23"/>
    </row>
    <row r="38461">
      <c r="B38461" s="19"/>
      <c r="E38461" s="23"/>
      <c r="L38461" s="23"/>
    </row>
    <row r="38462">
      <c r="B38462" s="19"/>
      <c r="E38462" s="23"/>
      <c r="L38462" s="23"/>
    </row>
    <row r="38463">
      <c r="B38463" s="19"/>
      <c r="E38463" s="23"/>
      <c r="L38463" s="23"/>
    </row>
    <row r="38464">
      <c r="B38464" s="19"/>
      <c r="E38464" s="23"/>
      <c r="L38464" s="23"/>
    </row>
    <row r="38465">
      <c r="B38465" s="19"/>
      <c r="E38465" s="23"/>
      <c r="L38465" s="23"/>
    </row>
    <row r="38466">
      <c r="B38466" s="19"/>
      <c r="E38466" s="23"/>
      <c r="L38466" s="23"/>
    </row>
    <row r="38467">
      <c r="B38467" s="19"/>
      <c r="E38467" s="23"/>
      <c r="L38467" s="23"/>
    </row>
    <row r="38468">
      <c r="B38468" s="19"/>
      <c r="E38468" s="23"/>
      <c r="L38468" s="23"/>
    </row>
    <row r="38469">
      <c r="B38469" s="19"/>
      <c r="E38469" s="23"/>
      <c r="L38469" s="23"/>
    </row>
    <row r="38470">
      <c r="B38470" s="19"/>
      <c r="E38470" s="23"/>
      <c r="L38470" s="23"/>
    </row>
    <row r="38471">
      <c r="B38471" s="19"/>
      <c r="E38471" s="23"/>
      <c r="L38471" s="23"/>
    </row>
    <row r="38472">
      <c r="B38472" s="19"/>
      <c r="E38472" s="23"/>
      <c r="L38472" s="23"/>
    </row>
    <row r="38473">
      <c r="B38473" s="19"/>
      <c r="E38473" s="23"/>
      <c r="L38473" s="23"/>
    </row>
    <row r="38474">
      <c r="B38474" s="19"/>
      <c r="E38474" s="23"/>
      <c r="L38474" s="23"/>
    </row>
    <row r="38475">
      <c r="B38475" s="19"/>
      <c r="E38475" s="23"/>
      <c r="L38475" s="23"/>
    </row>
    <row r="38476">
      <c r="B38476" s="19"/>
      <c r="E38476" s="23"/>
      <c r="L38476" s="23"/>
    </row>
    <row r="38477">
      <c r="B38477" s="19"/>
      <c r="E38477" s="23"/>
      <c r="L38477" s="23"/>
    </row>
    <row r="38478">
      <c r="B38478" s="19"/>
      <c r="E38478" s="23"/>
      <c r="L38478" s="23"/>
    </row>
    <row r="38479">
      <c r="B38479" s="19"/>
      <c r="E38479" s="23"/>
      <c r="L38479" s="23"/>
    </row>
    <row r="38480">
      <c r="B38480" s="19"/>
      <c r="E38480" s="23"/>
      <c r="L38480" s="23"/>
    </row>
    <row r="38481">
      <c r="B38481" s="19"/>
      <c r="E38481" s="23"/>
      <c r="L38481" s="23"/>
    </row>
    <row r="38482">
      <c r="B38482" s="19"/>
      <c r="E38482" s="23"/>
      <c r="L38482" s="23"/>
    </row>
    <row r="38483">
      <c r="B38483" s="19"/>
      <c r="E38483" s="23"/>
      <c r="L38483" s="23"/>
    </row>
    <row r="38484">
      <c r="B38484" s="19"/>
      <c r="E38484" s="23"/>
      <c r="L38484" s="23"/>
    </row>
    <row r="38485">
      <c r="B38485" s="19"/>
      <c r="E38485" s="23"/>
      <c r="L38485" s="23"/>
    </row>
    <row r="38486">
      <c r="B38486" s="19"/>
      <c r="E38486" s="23"/>
      <c r="L38486" s="23"/>
    </row>
    <row r="38487">
      <c r="B38487" s="19"/>
      <c r="E38487" s="23"/>
      <c r="L38487" s="23"/>
    </row>
    <row r="38488">
      <c r="B38488" s="19"/>
      <c r="E38488" s="23"/>
      <c r="L38488" s="23"/>
    </row>
    <row r="38489">
      <c r="B38489" s="19"/>
      <c r="E38489" s="23"/>
      <c r="L38489" s="23"/>
    </row>
    <row r="38490">
      <c r="B38490" s="19"/>
      <c r="E38490" s="23"/>
      <c r="L38490" s="23"/>
    </row>
    <row r="38491">
      <c r="B38491" s="19"/>
      <c r="E38491" s="23"/>
      <c r="L38491" s="23"/>
    </row>
    <row r="38492">
      <c r="B38492" s="19"/>
      <c r="E38492" s="23"/>
      <c r="L38492" s="23"/>
    </row>
    <row r="38493">
      <c r="B38493" s="19"/>
      <c r="E38493" s="23"/>
      <c r="L38493" s="23"/>
    </row>
    <row r="38494">
      <c r="B38494" s="19"/>
      <c r="E38494" s="23"/>
      <c r="L38494" s="23"/>
    </row>
    <row r="38495">
      <c r="B38495" s="19"/>
      <c r="E38495" s="23"/>
      <c r="L38495" s="23"/>
    </row>
    <row r="38496">
      <c r="B38496" s="19"/>
      <c r="E38496" s="23"/>
      <c r="L38496" s="23"/>
    </row>
    <row r="38497">
      <c r="B38497" s="19"/>
      <c r="E38497" s="23"/>
      <c r="L38497" s="23"/>
    </row>
    <row r="38498">
      <c r="B38498" s="19"/>
      <c r="E38498" s="23"/>
      <c r="L38498" s="23"/>
    </row>
    <row r="38499">
      <c r="B38499" s="19"/>
      <c r="E38499" s="23"/>
      <c r="L38499" s="23"/>
    </row>
    <row r="38500">
      <c r="B38500" s="19"/>
      <c r="E38500" s="23"/>
      <c r="L38500" s="23"/>
    </row>
    <row r="38501">
      <c r="B38501" s="19"/>
      <c r="E38501" s="23"/>
      <c r="L38501" s="23"/>
    </row>
    <row r="38502">
      <c r="B38502" s="19"/>
      <c r="E38502" s="23"/>
      <c r="L38502" s="23"/>
    </row>
    <row r="38503">
      <c r="B38503" s="19"/>
      <c r="E38503" s="23"/>
      <c r="L38503" s="23"/>
    </row>
    <row r="38504">
      <c r="B38504" s="19"/>
      <c r="E38504" s="23"/>
      <c r="L38504" s="23"/>
    </row>
    <row r="38505">
      <c r="B38505" s="19"/>
      <c r="E38505" s="23"/>
      <c r="L38505" s="23"/>
    </row>
    <row r="38506">
      <c r="B38506" s="19"/>
      <c r="E38506" s="23"/>
      <c r="L38506" s="23"/>
    </row>
    <row r="38507">
      <c r="B38507" s="19"/>
      <c r="E38507" s="23"/>
      <c r="L38507" s="23"/>
    </row>
    <row r="38508">
      <c r="B38508" s="19"/>
      <c r="E38508" s="23"/>
      <c r="L38508" s="23"/>
    </row>
    <row r="38509">
      <c r="B38509" s="19"/>
      <c r="E38509" s="23"/>
      <c r="L38509" s="23"/>
    </row>
    <row r="38510">
      <c r="B38510" s="19"/>
      <c r="E38510" s="23"/>
      <c r="L38510" s="23"/>
    </row>
    <row r="38511">
      <c r="B38511" s="19"/>
      <c r="E38511" s="23"/>
      <c r="L38511" s="23"/>
    </row>
    <row r="38512">
      <c r="B38512" s="19"/>
      <c r="E38512" s="23"/>
      <c r="L38512" s="23"/>
    </row>
    <row r="38513">
      <c r="B38513" s="19"/>
      <c r="E38513" s="23"/>
      <c r="L38513" s="23"/>
    </row>
    <row r="38514">
      <c r="B38514" s="19"/>
      <c r="E38514" s="23"/>
      <c r="L38514" s="23"/>
    </row>
    <row r="38515">
      <c r="B38515" s="19"/>
      <c r="E38515" s="23"/>
      <c r="L38515" s="23"/>
    </row>
    <row r="38516">
      <c r="B38516" s="19"/>
      <c r="E38516" s="23"/>
      <c r="L38516" s="23"/>
    </row>
    <row r="38517">
      <c r="B38517" s="19"/>
      <c r="E38517" s="23"/>
      <c r="L38517" s="23"/>
    </row>
    <row r="38518">
      <c r="B38518" s="19"/>
      <c r="E38518" s="23"/>
      <c r="L38518" s="23"/>
    </row>
    <row r="38519">
      <c r="B38519" s="19"/>
      <c r="E38519" s="23"/>
      <c r="L38519" s="23"/>
    </row>
    <row r="38520">
      <c r="B38520" s="19"/>
      <c r="E38520" s="23"/>
      <c r="L38520" s="23"/>
    </row>
    <row r="38521">
      <c r="B38521" s="19"/>
      <c r="E38521" s="23"/>
      <c r="L38521" s="23"/>
    </row>
    <row r="38522">
      <c r="B38522" s="19"/>
      <c r="E38522" s="23"/>
      <c r="L38522" s="23"/>
    </row>
    <row r="38523">
      <c r="B38523" s="19"/>
      <c r="E38523" s="23"/>
      <c r="L38523" s="23"/>
    </row>
    <row r="38524">
      <c r="B38524" s="19"/>
      <c r="E38524" s="23"/>
      <c r="L38524" s="23"/>
    </row>
    <row r="38525">
      <c r="B38525" s="19"/>
      <c r="E38525" s="23"/>
      <c r="L38525" s="23"/>
    </row>
    <row r="38526">
      <c r="B38526" s="19"/>
      <c r="E38526" s="23"/>
      <c r="L38526" s="23"/>
    </row>
    <row r="38527">
      <c r="B38527" s="19"/>
      <c r="E38527" s="23"/>
      <c r="L38527" s="23"/>
    </row>
    <row r="38528">
      <c r="B38528" s="19"/>
      <c r="E38528" s="23"/>
      <c r="L38528" s="23"/>
    </row>
    <row r="38529">
      <c r="B38529" s="19"/>
      <c r="E38529" s="23"/>
      <c r="L38529" s="23"/>
    </row>
    <row r="38530">
      <c r="B38530" s="19"/>
      <c r="E38530" s="23"/>
      <c r="L38530" s="23"/>
    </row>
    <row r="38531">
      <c r="B38531" s="19"/>
      <c r="E38531" s="23"/>
      <c r="L38531" s="23"/>
    </row>
    <row r="38532">
      <c r="B38532" s="19"/>
      <c r="E38532" s="23"/>
      <c r="L38532" s="23"/>
    </row>
    <row r="38533">
      <c r="B38533" s="19"/>
      <c r="E38533" s="23"/>
      <c r="L38533" s="23"/>
    </row>
    <row r="38534">
      <c r="B38534" s="19"/>
      <c r="E38534" s="23"/>
      <c r="L38534" s="23"/>
    </row>
    <row r="38535">
      <c r="B38535" s="19"/>
      <c r="E38535" s="23"/>
      <c r="L38535" s="23"/>
    </row>
    <row r="38536">
      <c r="B38536" s="19"/>
      <c r="E38536" s="23"/>
      <c r="L38536" s="23"/>
    </row>
    <row r="38537">
      <c r="B38537" s="19"/>
      <c r="E38537" s="23"/>
      <c r="L38537" s="23"/>
    </row>
    <row r="38538">
      <c r="B38538" s="19"/>
      <c r="E38538" s="23"/>
      <c r="L38538" s="23"/>
    </row>
    <row r="38539">
      <c r="B38539" s="19"/>
      <c r="E38539" s="23"/>
      <c r="L38539" s="23"/>
    </row>
    <row r="38540">
      <c r="B38540" s="19"/>
      <c r="E38540" s="23"/>
      <c r="L38540" s="23"/>
    </row>
    <row r="38541">
      <c r="B38541" s="19"/>
      <c r="E38541" s="23"/>
      <c r="L38541" s="23"/>
    </row>
    <row r="38542">
      <c r="B38542" s="19"/>
      <c r="E38542" s="23"/>
      <c r="L38542" s="23"/>
    </row>
    <row r="38543">
      <c r="B38543" s="19"/>
      <c r="E38543" s="23"/>
      <c r="L38543" s="23"/>
    </row>
    <row r="38544">
      <c r="B38544" s="19"/>
      <c r="E38544" s="23"/>
      <c r="L38544" s="23"/>
    </row>
    <row r="38545">
      <c r="B38545" s="19"/>
      <c r="E38545" s="23"/>
      <c r="L38545" s="23"/>
    </row>
    <row r="38546">
      <c r="B38546" s="19"/>
      <c r="E38546" s="23"/>
      <c r="L38546" s="23"/>
    </row>
    <row r="38547">
      <c r="B38547" s="19"/>
      <c r="E38547" s="23"/>
      <c r="L38547" s="23"/>
    </row>
    <row r="38548">
      <c r="B38548" s="19"/>
      <c r="E38548" s="23"/>
      <c r="L38548" s="23"/>
    </row>
    <row r="38549">
      <c r="B38549" s="19"/>
      <c r="E38549" s="23"/>
      <c r="L38549" s="23"/>
    </row>
    <row r="38550">
      <c r="B38550" s="19"/>
      <c r="E38550" s="23"/>
      <c r="L38550" s="23"/>
    </row>
    <row r="38551">
      <c r="B38551" s="19"/>
      <c r="E38551" s="23"/>
      <c r="L38551" s="23"/>
    </row>
    <row r="38552">
      <c r="B38552" s="19"/>
      <c r="E38552" s="23"/>
      <c r="L38552" s="23"/>
    </row>
    <row r="38553">
      <c r="B38553" s="19"/>
      <c r="E38553" s="23"/>
      <c r="L38553" s="23"/>
    </row>
    <row r="38554">
      <c r="B38554" s="19"/>
      <c r="E38554" s="23"/>
      <c r="L38554" s="23"/>
    </row>
    <row r="38555">
      <c r="B38555" s="19"/>
      <c r="E38555" s="23"/>
      <c r="L38555" s="23"/>
    </row>
    <row r="38556">
      <c r="B38556" s="19"/>
      <c r="E38556" s="23"/>
      <c r="L38556" s="23"/>
    </row>
    <row r="38557">
      <c r="B38557" s="19"/>
      <c r="E38557" s="23"/>
      <c r="L38557" s="23"/>
    </row>
    <row r="38558">
      <c r="B38558" s="19"/>
      <c r="E38558" s="23"/>
      <c r="L38558" s="23"/>
    </row>
    <row r="38559">
      <c r="B38559" s="19"/>
      <c r="E38559" s="23"/>
      <c r="L38559" s="23"/>
    </row>
    <row r="38560">
      <c r="B38560" s="19"/>
      <c r="E38560" s="23"/>
      <c r="L38560" s="23"/>
    </row>
    <row r="38561">
      <c r="B38561" s="19"/>
      <c r="E38561" s="23"/>
      <c r="L38561" s="23"/>
    </row>
    <row r="38562">
      <c r="B38562" s="19"/>
      <c r="E38562" s="23"/>
      <c r="L38562" s="23"/>
    </row>
    <row r="38563">
      <c r="B38563" s="19"/>
      <c r="E38563" s="23"/>
      <c r="L38563" s="23"/>
    </row>
    <row r="38564">
      <c r="B38564" s="19"/>
      <c r="E38564" s="23"/>
      <c r="L38564" s="23"/>
    </row>
    <row r="38565">
      <c r="B38565" s="19"/>
      <c r="E38565" s="23"/>
      <c r="L38565" s="23"/>
    </row>
    <row r="38566">
      <c r="B38566" s="19"/>
      <c r="E38566" s="23"/>
      <c r="L38566" s="23"/>
    </row>
    <row r="38567">
      <c r="B38567" s="19"/>
      <c r="E38567" s="23"/>
      <c r="L38567" s="23"/>
    </row>
    <row r="38568">
      <c r="B38568" s="19"/>
      <c r="E38568" s="23"/>
      <c r="L38568" s="23"/>
    </row>
    <row r="38569">
      <c r="B38569" s="19"/>
      <c r="E38569" s="23"/>
      <c r="L38569" s="23"/>
    </row>
    <row r="38570">
      <c r="B38570" s="19"/>
      <c r="E38570" s="23"/>
      <c r="L38570" s="23"/>
    </row>
    <row r="38571">
      <c r="B38571" s="19"/>
      <c r="E38571" s="23"/>
      <c r="L38571" s="23"/>
    </row>
    <row r="38572">
      <c r="B38572" s="19"/>
      <c r="E38572" s="23"/>
      <c r="L38572" s="23"/>
    </row>
    <row r="38573">
      <c r="B38573" s="19"/>
      <c r="E38573" s="23"/>
      <c r="L38573" s="23"/>
    </row>
    <row r="38574">
      <c r="B38574" s="19"/>
      <c r="E38574" s="23"/>
      <c r="L38574" s="23"/>
    </row>
    <row r="38575">
      <c r="B38575" s="19"/>
      <c r="E38575" s="23"/>
      <c r="L38575" s="23"/>
    </row>
    <row r="38576">
      <c r="B38576" s="19"/>
      <c r="E38576" s="23"/>
      <c r="L38576" s="23"/>
    </row>
    <row r="38577">
      <c r="B38577" s="19"/>
      <c r="E38577" s="23"/>
      <c r="L38577" s="23"/>
    </row>
    <row r="38578">
      <c r="B38578" s="19"/>
      <c r="E38578" s="23"/>
      <c r="L38578" s="23"/>
    </row>
    <row r="38579">
      <c r="B38579" s="19"/>
      <c r="E38579" s="23"/>
      <c r="L38579" s="23"/>
    </row>
    <row r="38580">
      <c r="B38580" s="19"/>
      <c r="E38580" s="23"/>
      <c r="L38580" s="23"/>
    </row>
    <row r="38581">
      <c r="B38581" s="19"/>
      <c r="E38581" s="23"/>
      <c r="L38581" s="23"/>
    </row>
    <row r="38582">
      <c r="B38582" s="19"/>
      <c r="E38582" s="23"/>
      <c r="L38582" s="23"/>
    </row>
    <row r="38583">
      <c r="B38583" s="19"/>
      <c r="E38583" s="23"/>
      <c r="L38583" s="23"/>
    </row>
    <row r="38584">
      <c r="B38584" s="19"/>
      <c r="E38584" s="23"/>
      <c r="L38584" s="23"/>
    </row>
    <row r="38585">
      <c r="B38585" s="19"/>
      <c r="E38585" s="23"/>
      <c r="L38585" s="23"/>
    </row>
    <row r="38586">
      <c r="B38586" s="19"/>
      <c r="E38586" s="23"/>
      <c r="L38586" s="23"/>
    </row>
    <row r="38587">
      <c r="B38587" s="19"/>
      <c r="E38587" s="23"/>
      <c r="L38587" s="23"/>
    </row>
    <row r="38588">
      <c r="B38588" s="19"/>
      <c r="E38588" s="23"/>
      <c r="L38588" s="23"/>
    </row>
    <row r="38589">
      <c r="B38589" s="19"/>
      <c r="E38589" s="23"/>
      <c r="L38589" s="23"/>
    </row>
    <row r="38590">
      <c r="B38590" s="19"/>
      <c r="E38590" s="23"/>
      <c r="L38590" s="23"/>
    </row>
    <row r="38591">
      <c r="B38591" s="19"/>
      <c r="E38591" s="23"/>
      <c r="L38591" s="23"/>
    </row>
    <row r="38592">
      <c r="B38592" s="19"/>
      <c r="E38592" s="23"/>
      <c r="L38592" s="23"/>
    </row>
    <row r="38593">
      <c r="B38593" s="19"/>
      <c r="E38593" s="23"/>
      <c r="L38593" s="23"/>
    </row>
    <row r="38594">
      <c r="B38594" s="19"/>
      <c r="E38594" s="23"/>
      <c r="L38594" s="23"/>
    </row>
    <row r="38595">
      <c r="B38595" s="19"/>
      <c r="E38595" s="23"/>
      <c r="L38595" s="23"/>
    </row>
    <row r="38596">
      <c r="B38596" s="19"/>
      <c r="E38596" s="23"/>
      <c r="L38596" s="23"/>
    </row>
    <row r="38597">
      <c r="B38597" s="19"/>
      <c r="E38597" s="23"/>
      <c r="L38597" s="23"/>
    </row>
    <row r="38598">
      <c r="B38598" s="19"/>
      <c r="E38598" s="23"/>
      <c r="L38598" s="23"/>
    </row>
    <row r="38599">
      <c r="B38599" s="19"/>
      <c r="E38599" s="23"/>
      <c r="L38599" s="23"/>
    </row>
    <row r="38600">
      <c r="B38600" s="19"/>
      <c r="E38600" s="23"/>
      <c r="L38600" s="23"/>
    </row>
    <row r="38601">
      <c r="B38601" s="19"/>
      <c r="E38601" s="23"/>
      <c r="L38601" s="23"/>
    </row>
    <row r="38602">
      <c r="B38602" s="19"/>
      <c r="E38602" s="23"/>
      <c r="L38602" s="23"/>
    </row>
    <row r="38603">
      <c r="B38603" s="19"/>
      <c r="E38603" s="23"/>
      <c r="L38603" s="23"/>
    </row>
    <row r="38604">
      <c r="B38604" s="19"/>
      <c r="E38604" s="23"/>
      <c r="L38604" s="23"/>
    </row>
    <row r="38605">
      <c r="B38605" s="19"/>
      <c r="E38605" s="23"/>
      <c r="L38605" s="23"/>
    </row>
    <row r="38606">
      <c r="B38606" s="19"/>
      <c r="E38606" s="23"/>
      <c r="L38606" s="23"/>
    </row>
    <row r="38607">
      <c r="B38607" s="19"/>
      <c r="E38607" s="23"/>
      <c r="L38607" s="23"/>
    </row>
    <row r="38608">
      <c r="B38608" s="19"/>
      <c r="E38608" s="23"/>
      <c r="L38608" s="23"/>
    </row>
    <row r="38609">
      <c r="B38609" s="19"/>
      <c r="E38609" s="23"/>
      <c r="L38609" s="23"/>
    </row>
    <row r="38610">
      <c r="B38610" s="19"/>
      <c r="E38610" s="23"/>
      <c r="L38610" s="23"/>
    </row>
    <row r="38611">
      <c r="B38611" s="19"/>
      <c r="E38611" s="23"/>
      <c r="L38611" s="23"/>
    </row>
    <row r="38612">
      <c r="B38612" s="19"/>
      <c r="E38612" s="23"/>
      <c r="L38612" s="23"/>
    </row>
    <row r="38613">
      <c r="B38613" s="19"/>
      <c r="E38613" s="23"/>
      <c r="L38613" s="23"/>
    </row>
    <row r="38614">
      <c r="B38614" s="19"/>
      <c r="E38614" s="23"/>
      <c r="L38614" s="23"/>
    </row>
    <row r="38615">
      <c r="B38615" s="19"/>
      <c r="E38615" s="23"/>
      <c r="L38615" s="23"/>
    </row>
    <row r="38616">
      <c r="B38616" s="19"/>
      <c r="E38616" s="23"/>
      <c r="L38616" s="23"/>
    </row>
    <row r="38617">
      <c r="B38617" s="19"/>
      <c r="E38617" s="23"/>
      <c r="L38617" s="23"/>
    </row>
    <row r="38618">
      <c r="B38618" s="19"/>
      <c r="E38618" s="23"/>
      <c r="L38618" s="23"/>
    </row>
    <row r="38619">
      <c r="B38619" s="19"/>
      <c r="E38619" s="23"/>
      <c r="L38619" s="23"/>
    </row>
    <row r="38620">
      <c r="B38620" s="19"/>
      <c r="E38620" s="23"/>
      <c r="L38620" s="23"/>
    </row>
    <row r="38621">
      <c r="B38621" s="19"/>
      <c r="E38621" s="23"/>
      <c r="L38621" s="23"/>
    </row>
    <row r="38622">
      <c r="B38622" s="19"/>
      <c r="E38622" s="23"/>
      <c r="L38622" s="23"/>
    </row>
    <row r="38623">
      <c r="B38623" s="19"/>
      <c r="E38623" s="23"/>
      <c r="L38623" s="23"/>
    </row>
    <row r="38624">
      <c r="B38624" s="19"/>
      <c r="E38624" s="23"/>
      <c r="L38624" s="23"/>
    </row>
    <row r="38625">
      <c r="B38625" s="19"/>
      <c r="E38625" s="23"/>
      <c r="L38625" s="23"/>
    </row>
    <row r="38626">
      <c r="B38626" s="19"/>
      <c r="E38626" s="23"/>
      <c r="L38626" s="23"/>
    </row>
    <row r="38627">
      <c r="B38627" s="19"/>
      <c r="E38627" s="23"/>
      <c r="L38627" s="23"/>
    </row>
    <row r="38628">
      <c r="B38628" s="19"/>
      <c r="E38628" s="23"/>
      <c r="L38628" s="23"/>
    </row>
    <row r="38629">
      <c r="B38629" s="19"/>
      <c r="E38629" s="23"/>
      <c r="L38629" s="23"/>
    </row>
    <row r="38630">
      <c r="B38630" s="19"/>
      <c r="E38630" s="23"/>
      <c r="L38630" s="23"/>
    </row>
    <row r="38631">
      <c r="B38631" s="19"/>
      <c r="E38631" s="23"/>
      <c r="L38631" s="23"/>
    </row>
    <row r="38632">
      <c r="B38632" s="19"/>
      <c r="E38632" s="23"/>
      <c r="L38632" s="23"/>
    </row>
    <row r="38633">
      <c r="B38633" s="19"/>
      <c r="E38633" s="23"/>
      <c r="L38633" s="23"/>
    </row>
    <row r="38634">
      <c r="B38634" s="19"/>
      <c r="E38634" s="23"/>
      <c r="L38634" s="23"/>
    </row>
    <row r="38635">
      <c r="B38635" s="19"/>
      <c r="E38635" s="23"/>
      <c r="L38635" s="23"/>
    </row>
    <row r="38636">
      <c r="B38636" s="19"/>
      <c r="E38636" s="23"/>
      <c r="L38636" s="23"/>
    </row>
    <row r="38637">
      <c r="B38637" s="19"/>
      <c r="E38637" s="23"/>
      <c r="L38637" s="23"/>
    </row>
    <row r="38638">
      <c r="B38638" s="19"/>
      <c r="E38638" s="23"/>
      <c r="L38638" s="23"/>
    </row>
    <row r="38639">
      <c r="B38639" s="19"/>
      <c r="E38639" s="23"/>
      <c r="L38639" s="23"/>
    </row>
    <row r="38640">
      <c r="B38640" s="19"/>
      <c r="E38640" s="23"/>
      <c r="L38640" s="23"/>
    </row>
    <row r="38641">
      <c r="B38641" s="19"/>
      <c r="E38641" s="23"/>
      <c r="L38641" s="23"/>
    </row>
    <row r="38642">
      <c r="B38642" s="19"/>
      <c r="E38642" s="23"/>
      <c r="L38642" s="23"/>
    </row>
    <row r="38643">
      <c r="B38643" s="19"/>
      <c r="E38643" s="23"/>
      <c r="L38643" s="23"/>
    </row>
    <row r="38644">
      <c r="B38644" s="19"/>
      <c r="E38644" s="23"/>
      <c r="L38644" s="23"/>
    </row>
    <row r="38645">
      <c r="B38645" s="19"/>
      <c r="E38645" s="23"/>
      <c r="L38645" s="23"/>
    </row>
    <row r="38646">
      <c r="B38646" s="19"/>
      <c r="E38646" s="23"/>
      <c r="L38646" s="23"/>
    </row>
    <row r="38647">
      <c r="B38647" s="19"/>
      <c r="E38647" s="23"/>
      <c r="L38647" s="23"/>
    </row>
    <row r="38648">
      <c r="B38648" s="19"/>
      <c r="E38648" s="23"/>
      <c r="L38648" s="23"/>
    </row>
    <row r="38649">
      <c r="B38649" s="19"/>
      <c r="E38649" s="23"/>
      <c r="L38649" s="23"/>
    </row>
    <row r="38650">
      <c r="B38650" s="19"/>
      <c r="E38650" s="23"/>
      <c r="L38650" s="23"/>
    </row>
    <row r="38651">
      <c r="B38651" s="19"/>
      <c r="E38651" s="23"/>
      <c r="L38651" s="23"/>
    </row>
    <row r="38652">
      <c r="B38652" s="19"/>
      <c r="E38652" s="23"/>
      <c r="L38652" s="23"/>
    </row>
    <row r="38653">
      <c r="B38653" s="19"/>
      <c r="E38653" s="23"/>
      <c r="L38653" s="23"/>
    </row>
    <row r="38654">
      <c r="B38654" s="19"/>
      <c r="E38654" s="23"/>
      <c r="L38654" s="23"/>
    </row>
    <row r="38655">
      <c r="B38655" s="19"/>
      <c r="E38655" s="23"/>
      <c r="L38655" s="23"/>
    </row>
    <row r="38656">
      <c r="B38656" s="19"/>
      <c r="E38656" s="23"/>
      <c r="L38656" s="23"/>
    </row>
    <row r="38657">
      <c r="B38657" s="19"/>
      <c r="E38657" s="23"/>
      <c r="L38657" s="23"/>
    </row>
    <row r="38658">
      <c r="B38658" s="19"/>
      <c r="E38658" s="23"/>
      <c r="L38658" s="23"/>
    </row>
    <row r="38659">
      <c r="B38659" s="19"/>
      <c r="E38659" s="23"/>
      <c r="L38659" s="23"/>
    </row>
    <row r="38660">
      <c r="B38660" s="19"/>
      <c r="E38660" s="23"/>
      <c r="L38660" s="23"/>
    </row>
    <row r="38661">
      <c r="B38661" s="19"/>
      <c r="E38661" s="23"/>
      <c r="L38661" s="23"/>
    </row>
    <row r="38662">
      <c r="B38662" s="19"/>
      <c r="E38662" s="23"/>
      <c r="L38662" s="23"/>
    </row>
    <row r="38663">
      <c r="B38663" s="19"/>
      <c r="E38663" s="23"/>
      <c r="L38663" s="23"/>
    </row>
    <row r="38664">
      <c r="B38664" s="19"/>
      <c r="E38664" s="23"/>
      <c r="L38664" s="23"/>
    </row>
    <row r="38665">
      <c r="B38665" s="19"/>
      <c r="E38665" s="23"/>
      <c r="L38665" s="23"/>
    </row>
    <row r="38666">
      <c r="B38666" s="19"/>
      <c r="E38666" s="23"/>
      <c r="L38666" s="23"/>
    </row>
    <row r="38667">
      <c r="B38667" s="19"/>
      <c r="E38667" s="23"/>
      <c r="L38667" s="23"/>
    </row>
    <row r="38668">
      <c r="B38668" s="19"/>
      <c r="E38668" s="23"/>
      <c r="L38668" s="23"/>
    </row>
    <row r="38669">
      <c r="B38669" s="19"/>
      <c r="E38669" s="23"/>
      <c r="L38669" s="23"/>
    </row>
    <row r="38670">
      <c r="B38670" s="19"/>
      <c r="E38670" s="23"/>
      <c r="L38670" s="23"/>
    </row>
    <row r="38671">
      <c r="B38671" s="19"/>
      <c r="E38671" s="23"/>
      <c r="L38671" s="23"/>
    </row>
    <row r="38672">
      <c r="B38672" s="19"/>
      <c r="E38672" s="23"/>
      <c r="L38672" s="23"/>
    </row>
    <row r="38673">
      <c r="B38673" s="19"/>
      <c r="E38673" s="23"/>
      <c r="L38673" s="23"/>
    </row>
    <row r="38674">
      <c r="B38674" s="19"/>
      <c r="E38674" s="23"/>
      <c r="L38674" s="23"/>
    </row>
    <row r="38675">
      <c r="B38675" s="19"/>
      <c r="E38675" s="23"/>
      <c r="L38675" s="23"/>
    </row>
    <row r="38676">
      <c r="B38676" s="19"/>
      <c r="E38676" s="23"/>
      <c r="L38676" s="23"/>
    </row>
    <row r="38677">
      <c r="B38677" s="19"/>
      <c r="E38677" s="23"/>
      <c r="L38677" s="23"/>
    </row>
    <row r="38678">
      <c r="B38678" s="19"/>
      <c r="E38678" s="23"/>
      <c r="L38678" s="23"/>
    </row>
    <row r="38679">
      <c r="B38679" s="19"/>
      <c r="E38679" s="23"/>
      <c r="L38679" s="23"/>
    </row>
    <row r="38680">
      <c r="B38680" s="19"/>
      <c r="E38680" s="23"/>
      <c r="L38680" s="23"/>
    </row>
    <row r="38681">
      <c r="B38681" s="19"/>
      <c r="E38681" s="23"/>
      <c r="L38681" s="23"/>
    </row>
    <row r="38682">
      <c r="B38682" s="19"/>
      <c r="E38682" s="23"/>
      <c r="L38682" s="23"/>
    </row>
    <row r="38683">
      <c r="B38683" s="19"/>
      <c r="E38683" s="23"/>
      <c r="L38683" s="23"/>
    </row>
    <row r="38684">
      <c r="B38684" s="19"/>
      <c r="E38684" s="23"/>
      <c r="L38684" s="23"/>
    </row>
    <row r="38685">
      <c r="B38685" s="19"/>
      <c r="E38685" s="23"/>
      <c r="L38685" s="23"/>
    </row>
    <row r="38686">
      <c r="B38686" s="19"/>
      <c r="E38686" s="23"/>
      <c r="L38686" s="23"/>
    </row>
    <row r="38687">
      <c r="B38687" s="19"/>
      <c r="E38687" s="23"/>
      <c r="L38687" s="23"/>
    </row>
    <row r="38688">
      <c r="B38688" s="19"/>
      <c r="E38688" s="23"/>
      <c r="L38688" s="23"/>
    </row>
    <row r="38689">
      <c r="B38689" s="19"/>
      <c r="E38689" s="23"/>
      <c r="L38689" s="23"/>
    </row>
    <row r="38690">
      <c r="B38690" s="19"/>
      <c r="E38690" s="23"/>
      <c r="L38690" s="23"/>
    </row>
    <row r="38691">
      <c r="B38691" s="19"/>
      <c r="E38691" s="23"/>
      <c r="L38691" s="23"/>
    </row>
    <row r="38692">
      <c r="B38692" s="19"/>
      <c r="E38692" s="23"/>
      <c r="L38692" s="23"/>
    </row>
    <row r="38693">
      <c r="B38693" s="19"/>
      <c r="E38693" s="23"/>
      <c r="L38693" s="23"/>
    </row>
    <row r="38694">
      <c r="B38694" s="19"/>
      <c r="E38694" s="23"/>
      <c r="L38694" s="23"/>
    </row>
    <row r="38695">
      <c r="B38695" s="19"/>
      <c r="E38695" s="23"/>
      <c r="L38695" s="23"/>
    </row>
    <row r="38696">
      <c r="B38696" s="19"/>
      <c r="E38696" s="23"/>
      <c r="L38696" s="23"/>
    </row>
    <row r="38697">
      <c r="B38697" s="19"/>
      <c r="E38697" s="23"/>
      <c r="L38697" s="23"/>
    </row>
    <row r="38698">
      <c r="B38698" s="19"/>
      <c r="E38698" s="23"/>
      <c r="L38698" s="23"/>
    </row>
    <row r="38699">
      <c r="B38699" s="19"/>
      <c r="E38699" s="23"/>
      <c r="L38699" s="23"/>
    </row>
    <row r="38700">
      <c r="B38700" s="19"/>
      <c r="E38700" s="23"/>
      <c r="L38700" s="23"/>
    </row>
    <row r="38701">
      <c r="B38701" s="19"/>
      <c r="E38701" s="23"/>
      <c r="L38701" s="23"/>
    </row>
    <row r="38702">
      <c r="B38702" s="19"/>
      <c r="E38702" s="23"/>
      <c r="L38702" s="23"/>
    </row>
    <row r="38703">
      <c r="B38703" s="19"/>
      <c r="E38703" s="23"/>
      <c r="L38703" s="23"/>
    </row>
    <row r="38704">
      <c r="B38704" s="19"/>
      <c r="E38704" s="23"/>
      <c r="L38704" s="23"/>
    </row>
    <row r="38705">
      <c r="B38705" s="19"/>
      <c r="E38705" s="23"/>
      <c r="L38705" s="23"/>
    </row>
    <row r="38706">
      <c r="B38706" s="19"/>
      <c r="E38706" s="23"/>
      <c r="L38706" s="23"/>
    </row>
    <row r="38707">
      <c r="B38707" s="19"/>
      <c r="E38707" s="23"/>
      <c r="L38707" s="23"/>
    </row>
    <row r="38708">
      <c r="B38708" s="19"/>
      <c r="E38708" s="23"/>
      <c r="L38708" s="23"/>
    </row>
    <row r="38709">
      <c r="B38709" s="19"/>
      <c r="E38709" s="23"/>
      <c r="L38709" s="23"/>
    </row>
    <row r="38710">
      <c r="B38710" s="19"/>
      <c r="E38710" s="23"/>
      <c r="L38710" s="23"/>
    </row>
    <row r="38711">
      <c r="B38711" s="19"/>
      <c r="E38711" s="23"/>
      <c r="L38711" s="23"/>
    </row>
    <row r="38712">
      <c r="B38712" s="19"/>
      <c r="E38712" s="23"/>
      <c r="L38712" s="23"/>
    </row>
    <row r="38713">
      <c r="B38713" s="19"/>
      <c r="E38713" s="23"/>
      <c r="L38713" s="23"/>
    </row>
    <row r="38714">
      <c r="B38714" s="19"/>
      <c r="E38714" s="23"/>
      <c r="L38714" s="23"/>
    </row>
    <row r="38715">
      <c r="B38715" s="19"/>
      <c r="E38715" s="23"/>
      <c r="L38715" s="23"/>
    </row>
    <row r="38716">
      <c r="B38716" s="19"/>
      <c r="E38716" s="23"/>
      <c r="L38716" s="23"/>
    </row>
    <row r="38717">
      <c r="B38717" s="19"/>
      <c r="E38717" s="23"/>
      <c r="L38717" s="23"/>
    </row>
    <row r="38718">
      <c r="B38718" s="19"/>
      <c r="E38718" s="23"/>
      <c r="L38718" s="23"/>
    </row>
    <row r="38719">
      <c r="B38719" s="19"/>
      <c r="E38719" s="23"/>
      <c r="L38719" s="23"/>
    </row>
    <row r="38720">
      <c r="B38720" s="19"/>
      <c r="E38720" s="23"/>
      <c r="L38720" s="23"/>
    </row>
    <row r="38721">
      <c r="B38721" s="19"/>
      <c r="E38721" s="23"/>
      <c r="L38721" s="23"/>
    </row>
    <row r="38722">
      <c r="B38722" s="19"/>
      <c r="E38722" s="23"/>
      <c r="L38722" s="23"/>
    </row>
    <row r="38723">
      <c r="B38723" s="19"/>
      <c r="E38723" s="23"/>
      <c r="L38723" s="23"/>
    </row>
    <row r="38724">
      <c r="B38724" s="19"/>
      <c r="E38724" s="23"/>
      <c r="L38724" s="23"/>
    </row>
    <row r="38725">
      <c r="B38725" s="19"/>
      <c r="E38725" s="23"/>
      <c r="L38725" s="23"/>
    </row>
    <row r="38726">
      <c r="B38726" s="19"/>
      <c r="E38726" s="23"/>
      <c r="L38726" s="23"/>
    </row>
    <row r="38727">
      <c r="B38727" s="19"/>
      <c r="E38727" s="23"/>
      <c r="L38727" s="23"/>
    </row>
    <row r="38728">
      <c r="B38728" s="19"/>
      <c r="E38728" s="23"/>
      <c r="L38728" s="23"/>
    </row>
    <row r="38729">
      <c r="B38729" s="19"/>
      <c r="E38729" s="23"/>
      <c r="L38729" s="23"/>
    </row>
    <row r="38730">
      <c r="B38730" s="19"/>
      <c r="E38730" s="23"/>
      <c r="L38730" s="23"/>
    </row>
    <row r="38731">
      <c r="B38731" s="19"/>
      <c r="E38731" s="23"/>
      <c r="L38731" s="23"/>
    </row>
    <row r="38732">
      <c r="B38732" s="19"/>
      <c r="E38732" s="23"/>
      <c r="L38732" s="23"/>
    </row>
    <row r="38733">
      <c r="B38733" s="19"/>
      <c r="E38733" s="23"/>
      <c r="L38733" s="23"/>
    </row>
    <row r="38734">
      <c r="B38734" s="19"/>
      <c r="E38734" s="23"/>
      <c r="L38734" s="23"/>
    </row>
    <row r="38735">
      <c r="B38735" s="19"/>
      <c r="E38735" s="23"/>
      <c r="L38735" s="23"/>
    </row>
    <row r="38736">
      <c r="B38736" s="19"/>
      <c r="E38736" s="23"/>
      <c r="L38736" s="23"/>
    </row>
    <row r="38737">
      <c r="B38737" s="19"/>
      <c r="E38737" s="23"/>
      <c r="L38737" s="23"/>
    </row>
    <row r="38738">
      <c r="B38738" s="19"/>
      <c r="E38738" s="23"/>
      <c r="L38738" s="23"/>
    </row>
    <row r="38739">
      <c r="B38739" s="19"/>
      <c r="E38739" s="23"/>
      <c r="L38739" s="23"/>
    </row>
    <row r="38740">
      <c r="B38740" s="19"/>
      <c r="E38740" s="23"/>
      <c r="L38740" s="23"/>
    </row>
    <row r="38741">
      <c r="B38741" s="19"/>
      <c r="E38741" s="23"/>
      <c r="L38741" s="23"/>
    </row>
    <row r="38742">
      <c r="B38742" s="19"/>
      <c r="E38742" s="23"/>
      <c r="L38742" s="23"/>
    </row>
    <row r="38743">
      <c r="B38743" s="19"/>
      <c r="E38743" s="23"/>
      <c r="L38743" s="23"/>
    </row>
    <row r="38744">
      <c r="B38744" s="19"/>
      <c r="E38744" s="23"/>
      <c r="L38744" s="23"/>
    </row>
    <row r="38745">
      <c r="B38745" s="19"/>
      <c r="E38745" s="23"/>
      <c r="L38745" s="23"/>
    </row>
    <row r="38746">
      <c r="B38746" s="19"/>
      <c r="E38746" s="23"/>
      <c r="L38746" s="23"/>
    </row>
    <row r="38747">
      <c r="B38747" s="19"/>
      <c r="E38747" s="23"/>
      <c r="L38747" s="23"/>
    </row>
    <row r="38748">
      <c r="B38748" s="19"/>
      <c r="E38748" s="23"/>
      <c r="L38748" s="23"/>
    </row>
    <row r="38749">
      <c r="B38749" s="19"/>
      <c r="E38749" s="23"/>
      <c r="L38749" s="23"/>
    </row>
    <row r="38750">
      <c r="B38750" s="19"/>
      <c r="E38750" s="23"/>
      <c r="L38750" s="23"/>
    </row>
    <row r="38751">
      <c r="B38751" s="19"/>
      <c r="E38751" s="23"/>
      <c r="L38751" s="23"/>
    </row>
    <row r="38752">
      <c r="B38752" s="19"/>
      <c r="E38752" s="23"/>
      <c r="L38752" s="23"/>
    </row>
    <row r="38753">
      <c r="B38753" s="19"/>
      <c r="E38753" s="23"/>
      <c r="L38753" s="23"/>
    </row>
    <row r="38754">
      <c r="B38754" s="19"/>
      <c r="E38754" s="23"/>
      <c r="L38754" s="23"/>
    </row>
    <row r="38755">
      <c r="B38755" s="19"/>
      <c r="E38755" s="23"/>
      <c r="L38755" s="23"/>
    </row>
    <row r="38756">
      <c r="B38756" s="19"/>
      <c r="E38756" s="23"/>
      <c r="L38756" s="23"/>
    </row>
    <row r="38757">
      <c r="B38757" s="19"/>
      <c r="E38757" s="23"/>
      <c r="L38757" s="23"/>
    </row>
    <row r="38758">
      <c r="B38758" s="19"/>
      <c r="E38758" s="23"/>
      <c r="L38758" s="23"/>
    </row>
    <row r="38759">
      <c r="B38759" s="19"/>
      <c r="E38759" s="23"/>
      <c r="L38759" s="23"/>
    </row>
    <row r="38760">
      <c r="B38760" s="19"/>
      <c r="E38760" s="23"/>
      <c r="L38760" s="23"/>
    </row>
    <row r="38761">
      <c r="B38761" s="19"/>
      <c r="E38761" s="23"/>
      <c r="L38761" s="23"/>
    </row>
    <row r="38762">
      <c r="B38762" s="19"/>
      <c r="E38762" s="23"/>
      <c r="L38762" s="23"/>
    </row>
    <row r="38763">
      <c r="B38763" s="19"/>
      <c r="E38763" s="23"/>
      <c r="L38763" s="23"/>
    </row>
    <row r="38764">
      <c r="B38764" s="19"/>
      <c r="E38764" s="23"/>
      <c r="L38764" s="23"/>
    </row>
    <row r="38765">
      <c r="B38765" s="19"/>
      <c r="E38765" s="23"/>
      <c r="L38765" s="23"/>
    </row>
    <row r="38766">
      <c r="B38766" s="19"/>
      <c r="E38766" s="23"/>
      <c r="L38766" s="23"/>
    </row>
    <row r="38767">
      <c r="B38767" s="19"/>
      <c r="E38767" s="23"/>
      <c r="L38767" s="23"/>
    </row>
    <row r="38768">
      <c r="B38768" s="19"/>
      <c r="E38768" s="23"/>
      <c r="L38768" s="23"/>
    </row>
    <row r="38769">
      <c r="B38769" s="19"/>
      <c r="E38769" s="23"/>
      <c r="L38769" s="23"/>
    </row>
    <row r="38770">
      <c r="B38770" s="19"/>
      <c r="E38770" s="23"/>
      <c r="L38770" s="23"/>
    </row>
    <row r="38771">
      <c r="B38771" s="19"/>
      <c r="E38771" s="23"/>
      <c r="L38771" s="23"/>
    </row>
    <row r="38772">
      <c r="B38772" s="19"/>
      <c r="E38772" s="23"/>
      <c r="L38772" s="23"/>
    </row>
    <row r="38773">
      <c r="B38773" s="19"/>
      <c r="E38773" s="23"/>
      <c r="L38773" s="23"/>
    </row>
    <row r="38774">
      <c r="B38774" s="19"/>
      <c r="E38774" s="23"/>
      <c r="L38774" s="23"/>
    </row>
    <row r="38775">
      <c r="B38775" s="19"/>
      <c r="E38775" s="23"/>
      <c r="L38775" s="23"/>
    </row>
    <row r="38776">
      <c r="B38776" s="19"/>
      <c r="E38776" s="23"/>
      <c r="L38776" s="23"/>
    </row>
    <row r="38777">
      <c r="B38777" s="19"/>
      <c r="E38777" s="23"/>
      <c r="L38777" s="23"/>
    </row>
    <row r="38778">
      <c r="B38778" s="19"/>
      <c r="E38778" s="23"/>
      <c r="L38778" s="23"/>
    </row>
    <row r="38779">
      <c r="B38779" s="19"/>
      <c r="E38779" s="23"/>
      <c r="L38779" s="23"/>
    </row>
    <row r="38780">
      <c r="B38780" s="19"/>
      <c r="E38780" s="23"/>
      <c r="L38780" s="23"/>
    </row>
    <row r="38781">
      <c r="B38781" s="19"/>
      <c r="E38781" s="23"/>
      <c r="L38781" s="23"/>
    </row>
    <row r="38782">
      <c r="B38782" s="19"/>
      <c r="E38782" s="23"/>
      <c r="L38782" s="23"/>
    </row>
    <row r="38783">
      <c r="B38783" s="19"/>
      <c r="E38783" s="23"/>
      <c r="L38783" s="23"/>
    </row>
    <row r="38784">
      <c r="B38784" s="19"/>
      <c r="E38784" s="23"/>
      <c r="L38784" s="23"/>
    </row>
    <row r="38785">
      <c r="B38785" s="19"/>
      <c r="E38785" s="23"/>
      <c r="L38785" s="23"/>
    </row>
    <row r="38786">
      <c r="B38786" s="19"/>
      <c r="E38786" s="23"/>
      <c r="L38786" s="23"/>
    </row>
    <row r="38787">
      <c r="B38787" s="19"/>
      <c r="E38787" s="23"/>
      <c r="L38787" s="23"/>
    </row>
    <row r="38788">
      <c r="B38788" s="19"/>
      <c r="E38788" s="23"/>
      <c r="L38788" s="23"/>
    </row>
    <row r="38789">
      <c r="B38789" s="19"/>
      <c r="E38789" s="23"/>
      <c r="L38789" s="23"/>
    </row>
    <row r="38790">
      <c r="B38790" s="19"/>
      <c r="E38790" s="23"/>
      <c r="L38790" s="23"/>
    </row>
    <row r="38791">
      <c r="B38791" s="19"/>
      <c r="E38791" s="23"/>
      <c r="L38791" s="23"/>
    </row>
    <row r="38792">
      <c r="B38792" s="19"/>
      <c r="E38792" s="23"/>
      <c r="L38792" s="23"/>
    </row>
    <row r="38793">
      <c r="B38793" s="19"/>
      <c r="E38793" s="23"/>
      <c r="L38793" s="23"/>
    </row>
    <row r="38794">
      <c r="B38794" s="19"/>
      <c r="E38794" s="23"/>
      <c r="L38794" s="23"/>
    </row>
    <row r="38795">
      <c r="B38795" s="19"/>
      <c r="E38795" s="23"/>
      <c r="L38795" s="23"/>
    </row>
    <row r="38796">
      <c r="B38796" s="19"/>
      <c r="E38796" s="23"/>
      <c r="L38796" s="23"/>
    </row>
    <row r="38797">
      <c r="B38797" s="19"/>
      <c r="E38797" s="23"/>
      <c r="L38797" s="23"/>
    </row>
    <row r="38798">
      <c r="B38798" s="19"/>
      <c r="E38798" s="23"/>
      <c r="L38798" s="23"/>
    </row>
    <row r="38799">
      <c r="B38799" s="19"/>
      <c r="E38799" s="23"/>
      <c r="L38799" s="23"/>
    </row>
    <row r="38800">
      <c r="B38800" s="19"/>
      <c r="E38800" s="23"/>
      <c r="L38800" s="23"/>
    </row>
    <row r="38801">
      <c r="B38801" s="19"/>
      <c r="E38801" s="23"/>
      <c r="L38801" s="23"/>
    </row>
    <row r="38802">
      <c r="B38802" s="19"/>
      <c r="E38802" s="23"/>
      <c r="L38802" s="23"/>
    </row>
    <row r="38803">
      <c r="B38803" s="19"/>
      <c r="E38803" s="23"/>
      <c r="L38803" s="23"/>
    </row>
    <row r="38804">
      <c r="B38804" s="19"/>
      <c r="E38804" s="23"/>
      <c r="L38804" s="23"/>
    </row>
    <row r="38805">
      <c r="B38805" s="19"/>
      <c r="E38805" s="23"/>
      <c r="L38805" s="23"/>
    </row>
    <row r="38806">
      <c r="B38806" s="19"/>
      <c r="E38806" s="23"/>
      <c r="L38806" s="23"/>
    </row>
    <row r="38807">
      <c r="B38807" s="19"/>
      <c r="E38807" s="23"/>
      <c r="L38807" s="23"/>
    </row>
    <row r="38808">
      <c r="B38808" s="19"/>
      <c r="E38808" s="23"/>
      <c r="L38808" s="23"/>
    </row>
    <row r="38809">
      <c r="B38809" s="19"/>
      <c r="E38809" s="23"/>
      <c r="L38809" s="23"/>
    </row>
    <row r="38810">
      <c r="B38810" s="19"/>
      <c r="E38810" s="23"/>
      <c r="L38810" s="23"/>
    </row>
    <row r="38811">
      <c r="B38811" s="19"/>
      <c r="E38811" s="23"/>
      <c r="L38811" s="23"/>
    </row>
    <row r="38812">
      <c r="B38812" s="19"/>
      <c r="E38812" s="23"/>
      <c r="L38812" s="23"/>
    </row>
    <row r="38813">
      <c r="B38813" s="19"/>
      <c r="E38813" s="23"/>
      <c r="L38813" s="23"/>
    </row>
    <row r="38814">
      <c r="B38814" s="19"/>
      <c r="E38814" s="23"/>
      <c r="L38814" s="23"/>
    </row>
    <row r="38815">
      <c r="B38815" s="19"/>
      <c r="E38815" s="23"/>
      <c r="L38815" s="23"/>
    </row>
    <row r="38816">
      <c r="B38816" s="19"/>
      <c r="E38816" s="23"/>
      <c r="L38816" s="23"/>
    </row>
    <row r="38817">
      <c r="B38817" s="19"/>
      <c r="E38817" s="23"/>
      <c r="L38817" s="23"/>
    </row>
    <row r="38818">
      <c r="B38818" s="19"/>
      <c r="E38818" s="23"/>
      <c r="L38818" s="23"/>
    </row>
    <row r="38819">
      <c r="B38819" s="19"/>
      <c r="E38819" s="23"/>
      <c r="L38819" s="23"/>
    </row>
    <row r="38820">
      <c r="B38820" s="19"/>
      <c r="E38820" s="23"/>
      <c r="L38820" s="23"/>
    </row>
    <row r="38821">
      <c r="B38821" s="19"/>
      <c r="E38821" s="23"/>
      <c r="L38821" s="23"/>
    </row>
    <row r="38822">
      <c r="B38822" s="19"/>
      <c r="E38822" s="23"/>
      <c r="L38822" s="23"/>
    </row>
    <row r="38823">
      <c r="B38823" s="19"/>
      <c r="E38823" s="23"/>
      <c r="L38823" s="23"/>
    </row>
    <row r="38824">
      <c r="B38824" s="19"/>
      <c r="E38824" s="23"/>
      <c r="L38824" s="23"/>
    </row>
    <row r="38825">
      <c r="B38825" s="19"/>
      <c r="E38825" s="23"/>
      <c r="L38825" s="23"/>
    </row>
    <row r="38826">
      <c r="B38826" s="19"/>
      <c r="E38826" s="23"/>
      <c r="L38826" s="23"/>
    </row>
    <row r="38827">
      <c r="B38827" s="19"/>
      <c r="E38827" s="23"/>
      <c r="L38827" s="23"/>
    </row>
    <row r="38828">
      <c r="B38828" s="19"/>
      <c r="E38828" s="23"/>
      <c r="L38828" s="23"/>
    </row>
    <row r="38829">
      <c r="B38829" s="19"/>
      <c r="E38829" s="23"/>
      <c r="L38829" s="23"/>
    </row>
    <row r="38830">
      <c r="B38830" s="19"/>
      <c r="E38830" s="23"/>
      <c r="L38830" s="23"/>
    </row>
    <row r="38831">
      <c r="B38831" s="19"/>
      <c r="E38831" s="23"/>
      <c r="L38831" s="23"/>
    </row>
    <row r="38832">
      <c r="B38832" s="19"/>
      <c r="E38832" s="23"/>
      <c r="L38832" s="23"/>
    </row>
    <row r="38833">
      <c r="B38833" s="19"/>
      <c r="E38833" s="23"/>
      <c r="L38833" s="23"/>
    </row>
    <row r="38834">
      <c r="B38834" s="19"/>
      <c r="E38834" s="23"/>
      <c r="L38834" s="23"/>
    </row>
    <row r="38835">
      <c r="B38835" s="19"/>
      <c r="E38835" s="23"/>
      <c r="L38835" s="23"/>
    </row>
    <row r="38836">
      <c r="B38836" s="19"/>
      <c r="E38836" s="23"/>
      <c r="L38836" s="23"/>
    </row>
    <row r="38837">
      <c r="B38837" s="19"/>
      <c r="E38837" s="23"/>
      <c r="L38837" s="23"/>
    </row>
    <row r="38838">
      <c r="B38838" s="19"/>
      <c r="E38838" s="23"/>
      <c r="L38838" s="23"/>
    </row>
    <row r="38839">
      <c r="B38839" s="19"/>
      <c r="E38839" s="23"/>
      <c r="L38839" s="23"/>
    </row>
    <row r="38840">
      <c r="B38840" s="19"/>
      <c r="E38840" s="23"/>
      <c r="L38840" s="23"/>
    </row>
    <row r="38841">
      <c r="B38841" s="19"/>
      <c r="E38841" s="23"/>
      <c r="L38841" s="23"/>
    </row>
    <row r="38842">
      <c r="B38842" s="19"/>
      <c r="E38842" s="23"/>
      <c r="L38842" s="23"/>
    </row>
    <row r="38843">
      <c r="B38843" s="19"/>
      <c r="E38843" s="23"/>
      <c r="L38843" s="23"/>
    </row>
    <row r="38844">
      <c r="B38844" s="19"/>
      <c r="E38844" s="23"/>
      <c r="L38844" s="23"/>
    </row>
    <row r="38845">
      <c r="B38845" s="19"/>
      <c r="E38845" s="23"/>
      <c r="L38845" s="23"/>
    </row>
    <row r="38846">
      <c r="B38846" s="19"/>
      <c r="E38846" s="23"/>
      <c r="L38846" s="23"/>
    </row>
    <row r="38847">
      <c r="B38847" s="19"/>
      <c r="E38847" s="23"/>
      <c r="L38847" s="23"/>
    </row>
    <row r="38848">
      <c r="B38848" s="19"/>
      <c r="E38848" s="23"/>
      <c r="L38848" s="23"/>
    </row>
    <row r="38849">
      <c r="B38849" s="19"/>
      <c r="E38849" s="23"/>
      <c r="L38849" s="23"/>
    </row>
    <row r="38850">
      <c r="B38850" s="19"/>
      <c r="E38850" s="23"/>
      <c r="L38850" s="23"/>
    </row>
    <row r="38851">
      <c r="B38851" s="19"/>
      <c r="E38851" s="23"/>
      <c r="L38851" s="23"/>
    </row>
    <row r="38852">
      <c r="B38852" s="19"/>
      <c r="E38852" s="23"/>
      <c r="L38852" s="23"/>
    </row>
    <row r="38853">
      <c r="B38853" s="19"/>
      <c r="E38853" s="23"/>
      <c r="L38853" s="23"/>
    </row>
    <row r="38854">
      <c r="B38854" s="19"/>
      <c r="E38854" s="23"/>
      <c r="L38854" s="23"/>
    </row>
    <row r="38855">
      <c r="B38855" s="19"/>
      <c r="E38855" s="23"/>
      <c r="L38855" s="23"/>
    </row>
    <row r="38856">
      <c r="B38856" s="19"/>
      <c r="E38856" s="23"/>
      <c r="L38856" s="23"/>
    </row>
    <row r="38857">
      <c r="B38857" s="19"/>
      <c r="E38857" s="23"/>
      <c r="L38857" s="23"/>
    </row>
    <row r="38858">
      <c r="B38858" s="19"/>
      <c r="E38858" s="23"/>
      <c r="L38858" s="23"/>
    </row>
    <row r="38859">
      <c r="B38859" s="19"/>
      <c r="E38859" s="23"/>
      <c r="L38859" s="23"/>
    </row>
    <row r="38860">
      <c r="B38860" s="19"/>
      <c r="E38860" s="23"/>
      <c r="L38860" s="23"/>
    </row>
    <row r="38861">
      <c r="B38861" s="19"/>
      <c r="E38861" s="23"/>
      <c r="L38861" s="23"/>
    </row>
    <row r="38862">
      <c r="B38862" s="19"/>
      <c r="E38862" s="23"/>
      <c r="L38862" s="23"/>
    </row>
    <row r="38863">
      <c r="B38863" s="19"/>
      <c r="E38863" s="23"/>
      <c r="L38863" s="23"/>
    </row>
    <row r="38864">
      <c r="B38864" s="19"/>
      <c r="E38864" s="23"/>
      <c r="L38864" s="23"/>
    </row>
    <row r="38865">
      <c r="B38865" s="19"/>
      <c r="E38865" s="23"/>
      <c r="L38865" s="23"/>
    </row>
    <row r="38866">
      <c r="B38866" s="19"/>
      <c r="E38866" s="23"/>
      <c r="L38866" s="23"/>
    </row>
    <row r="38867">
      <c r="B38867" s="19"/>
      <c r="E38867" s="23"/>
      <c r="L38867" s="23"/>
    </row>
    <row r="38868">
      <c r="B38868" s="19"/>
      <c r="E38868" s="23"/>
      <c r="L38868" s="23"/>
    </row>
    <row r="38869">
      <c r="B38869" s="19"/>
      <c r="E38869" s="23"/>
      <c r="L38869" s="23"/>
    </row>
    <row r="38870">
      <c r="B38870" s="19"/>
      <c r="E38870" s="23"/>
      <c r="L38870" s="23"/>
    </row>
    <row r="38871">
      <c r="B38871" s="19"/>
      <c r="E38871" s="23"/>
      <c r="L38871" s="23"/>
    </row>
    <row r="38872">
      <c r="B38872" s="19"/>
      <c r="E38872" s="23"/>
      <c r="L38872" s="23"/>
    </row>
    <row r="38873">
      <c r="B38873" s="19"/>
      <c r="E38873" s="23"/>
      <c r="L38873" s="23"/>
    </row>
    <row r="38874">
      <c r="B38874" s="19"/>
      <c r="E38874" s="23"/>
      <c r="L38874" s="23"/>
    </row>
    <row r="38875">
      <c r="B38875" s="19"/>
      <c r="E38875" s="23"/>
      <c r="L38875" s="23"/>
    </row>
    <row r="38876">
      <c r="B38876" s="19"/>
      <c r="E38876" s="23"/>
      <c r="L38876" s="23"/>
    </row>
    <row r="38877">
      <c r="B38877" s="19"/>
      <c r="E38877" s="23"/>
      <c r="L38877" s="23"/>
    </row>
    <row r="38878">
      <c r="B38878" s="19"/>
      <c r="E38878" s="23"/>
      <c r="L38878" s="23"/>
    </row>
    <row r="38879">
      <c r="B38879" s="19"/>
      <c r="E38879" s="23"/>
      <c r="L38879" s="23"/>
    </row>
    <row r="38880">
      <c r="B38880" s="19"/>
      <c r="E38880" s="23"/>
      <c r="L38880" s="23"/>
    </row>
    <row r="38881">
      <c r="B38881" s="19"/>
      <c r="E38881" s="23"/>
      <c r="L38881" s="23"/>
    </row>
    <row r="38882">
      <c r="B38882" s="19"/>
      <c r="E38882" s="23"/>
      <c r="L38882" s="23"/>
    </row>
    <row r="38883">
      <c r="B38883" s="19"/>
      <c r="E38883" s="23"/>
      <c r="L38883" s="23"/>
    </row>
    <row r="38884">
      <c r="B38884" s="19"/>
      <c r="E38884" s="23"/>
      <c r="L38884" s="23"/>
    </row>
    <row r="38885">
      <c r="B38885" s="19"/>
      <c r="E38885" s="23"/>
      <c r="L38885" s="23"/>
    </row>
    <row r="38886">
      <c r="B38886" s="19"/>
      <c r="E38886" s="23"/>
      <c r="L38886" s="23"/>
    </row>
    <row r="38887">
      <c r="B38887" s="19"/>
      <c r="E38887" s="23"/>
      <c r="L38887" s="23"/>
    </row>
    <row r="38888">
      <c r="B38888" s="19"/>
      <c r="E38888" s="23"/>
      <c r="L38888" s="23"/>
    </row>
    <row r="38889">
      <c r="B38889" s="19"/>
      <c r="E38889" s="23"/>
      <c r="L38889" s="23"/>
    </row>
    <row r="38890">
      <c r="B38890" s="19"/>
      <c r="E38890" s="23"/>
      <c r="L38890" s="23"/>
    </row>
    <row r="38891">
      <c r="B38891" s="19"/>
      <c r="E38891" s="23"/>
      <c r="L38891" s="23"/>
    </row>
    <row r="38892">
      <c r="B38892" s="19"/>
      <c r="E38892" s="23"/>
      <c r="L38892" s="23"/>
    </row>
    <row r="38893">
      <c r="B38893" s="19"/>
      <c r="E38893" s="23"/>
      <c r="L38893" s="23"/>
    </row>
    <row r="38894">
      <c r="B38894" s="19"/>
      <c r="E38894" s="23"/>
      <c r="L38894" s="23"/>
    </row>
    <row r="38895">
      <c r="B38895" s="19"/>
      <c r="E38895" s="23"/>
      <c r="L38895" s="23"/>
    </row>
    <row r="38896">
      <c r="B38896" s="19"/>
      <c r="E38896" s="23"/>
      <c r="L38896" s="23"/>
    </row>
    <row r="38897">
      <c r="B38897" s="19"/>
      <c r="E38897" s="23"/>
      <c r="L38897" s="23"/>
    </row>
    <row r="38898">
      <c r="B38898" s="19"/>
      <c r="E38898" s="23"/>
      <c r="L38898" s="23"/>
    </row>
    <row r="38899">
      <c r="B38899" s="19"/>
      <c r="E38899" s="23"/>
      <c r="L38899" s="23"/>
    </row>
    <row r="38900">
      <c r="B38900" s="19"/>
      <c r="E38900" s="23"/>
      <c r="L38900" s="23"/>
    </row>
    <row r="38901">
      <c r="B38901" s="19"/>
      <c r="E38901" s="23"/>
      <c r="L38901" s="23"/>
    </row>
    <row r="38902">
      <c r="B38902" s="19"/>
      <c r="E38902" s="23"/>
      <c r="L38902" s="23"/>
    </row>
    <row r="38903">
      <c r="B38903" s="19"/>
      <c r="E38903" s="23"/>
      <c r="L38903" s="23"/>
    </row>
    <row r="38904">
      <c r="B38904" s="19"/>
      <c r="E38904" s="23"/>
      <c r="L38904" s="23"/>
    </row>
    <row r="38905">
      <c r="B38905" s="19"/>
      <c r="E38905" s="23"/>
      <c r="L38905" s="23"/>
    </row>
    <row r="38906">
      <c r="B38906" s="19"/>
      <c r="E38906" s="23"/>
      <c r="L38906" s="23"/>
    </row>
    <row r="38907">
      <c r="B38907" s="19"/>
      <c r="E38907" s="23"/>
      <c r="L38907" s="23"/>
    </row>
    <row r="38908">
      <c r="B38908" s="19"/>
      <c r="E38908" s="23"/>
      <c r="L38908" s="23"/>
    </row>
    <row r="38909">
      <c r="B38909" s="19"/>
      <c r="E38909" s="23"/>
      <c r="L38909" s="23"/>
    </row>
    <row r="38910">
      <c r="B38910" s="19"/>
      <c r="E38910" s="23"/>
      <c r="L38910" s="23"/>
    </row>
    <row r="38911">
      <c r="B38911" s="19"/>
      <c r="E38911" s="23"/>
      <c r="L38911" s="23"/>
    </row>
    <row r="38912">
      <c r="B38912" s="19"/>
      <c r="E38912" s="23"/>
      <c r="L38912" s="23"/>
    </row>
    <row r="38913">
      <c r="B38913" s="19"/>
      <c r="E38913" s="23"/>
      <c r="L38913" s="23"/>
    </row>
    <row r="38914">
      <c r="B38914" s="19"/>
      <c r="E38914" s="23"/>
      <c r="L38914" s="23"/>
    </row>
    <row r="38915">
      <c r="B38915" s="19"/>
      <c r="E38915" s="23"/>
      <c r="L38915" s="23"/>
    </row>
    <row r="38916">
      <c r="B38916" s="19"/>
      <c r="E38916" s="23"/>
      <c r="L38916" s="23"/>
    </row>
    <row r="38917">
      <c r="B38917" s="19"/>
      <c r="E38917" s="23"/>
      <c r="L38917" s="23"/>
    </row>
    <row r="38918">
      <c r="B38918" s="19"/>
      <c r="E38918" s="23"/>
      <c r="L38918" s="23"/>
    </row>
    <row r="38919">
      <c r="B38919" s="19"/>
      <c r="E38919" s="23"/>
      <c r="L38919" s="23"/>
    </row>
    <row r="38920">
      <c r="B38920" s="19"/>
      <c r="E38920" s="23"/>
      <c r="L38920" s="23"/>
    </row>
    <row r="38921">
      <c r="B38921" s="19"/>
      <c r="E38921" s="23"/>
      <c r="L38921" s="23"/>
    </row>
    <row r="38922">
      <c r="B38922" s="19"/>
      <c r="E38922" s="23"/>
      <c r="L38922" s="23"/>
    </row>
    <row r="38923">
      <c r="B38923" s="19"/>
      <c r="E38923" s="23"/>
      <c r="L38923" s="23"/>
    </row>
    <row r="38924">
      <c r="B38924" s="19"/>
      <c r="E38924" s="23"/>
      <c r="L38924" s="23"/>
    </row>
    <row r="38925">
      <c r="B38925" s="19"/>
      <c r="E38925" s="23"/>
      <c r="L38925" s="23"/>
    </row>
    <row r="38926">
      <c r="B38926" s="19"/>
      <c r="E38926" s="23"/>
      <c r="L38926" s="23"/>
    </row>
    <row r="38927">
      <c r="B38927" s="19"/>
      <c r="E38927" s="23"/>
      <c r="L38927" s="23"/>
    </row>
    <row r="38928">
      <c r="B38928" s="19"/>
      <c r="E38928" s="23"/>
      <c r="L38928" s="23"/>
    </row>
    <row r="38929">
      <c r="B38929" s="19"/>
      <c r="E38929" s="23"/>
      <c r="L38929" s="23"/>
    </row>
    <row r="38930">
      <c r="B38930" s="19"/>
      <c r="E38930" s="23"/>
      <c r="L38930" s="23"/>
    </row>
    <row r="38931">
      <c r="B38931" s="19"/>
      <c r="E38931" s="23"/>
      <c r="L38931" s="23"/>
    </row>
    <row r="38932">
      <c r="B38932" s="19"/>
      <c r="E38932" s="23"/>
      <c r="L38932" s="23"/>
    </row>
    <row r="38933">
      <c r="B38933" s="19"/>
      <c r="E38933" s="23"/>
      <c r="L38933" s="23"/>
    </row>
    <row r="38934">
      <c r="B38934" s="19"/>
      <c r="E38934" s="23"/>
      <c r="L38934" s="23"/>
    </row>
    <row r="38935">
      <c r="B38935" s="19"/>
      <c r="E38935" s="23"/>
      <c r="L38935" s="23"/>
    </row>
    <row r="38936">
      <c r="B38936" s="19"/>
      <c r="E38936" s="23"/>
      <c r="L38936" s="23"/>
    </row>
    <row r="38937">
      <c r="B38937" s="19"/>
      <c r="E38937" s="23"/>
      <c r="L38937" s="23"/>
    </row>
    <row r="38938">
      <c r="B38938" s="19"/>
      <c r="E38938" s="23"/>
      <c r="L38938" s="23"/>
    </row>
    <row r="38939">
      <c r="B38939" s="19"/>
      <c r="E38939" s="23"/>
      <c r="L38939" s="23"/>
    </row>
    <row r="38940">
      <c r="B38940" s="19"/>
      <c r="E38940" s="23"/>
      <c r="L38940" s="23"/>
    </row>
    <row r="38941">
      <c r="B38941" s="19"/>
      <c r="E38941" s="23"/>
      <c r="L38941" s="23"/>
    </row>
    <row r="38942">
      <c r="B38942" s="19"/>
      <c r="E38942" s="23"/>
      <c r="L38942" s="23"/>
    </row>
    <row r="38943">
      <c r="B38943" s="19"/>
      <c r="E38943" s="23"/>
      <c r="L38943" s="23"/>
    </row>
    <row r="38944">
      <c r="B38944" s="19"/>
      <c r="E38944" s="23"/>
      <c r="L38944" s="23"/>
    </row>
    <row r="38945">
      <c r="B38945" s="19"/>
      <c r="E38945" s="23"/>
      <c r="L38945" s="23"/>
    </row>
    <row r="38946">
      <c r="B38946" s="19"/>
      <c r="E38946" s="23"/>
      <c r="L38946" s="23"/>
    </row>
    <row r="38947">
      <c r="B38947" s="19"/>
      <c r="E38947" s="23"/>
      <c r="L38947" s="23"/>
    </row>
    <row r="38948">
      <c r="B38948" s="19"/>
      <c r="E38948" s="23"/>
      <c r="L38948" s="23"/>
    </row>
    <row r="38949">
      <c r="B38949" s="19"/>
      <c r="E38949" s="23"/>
      <c r="L38949" s="23"/>
    </row>
    <row r="38950">
      <c r="B38950" s="19"/>
      <c r="E38950" s="23"/>
      <c r="L38950" s="23"/>
    </row>
    <row r="38951">
      <c r="B38951" s="19"/>
      <c r="E38951" s="23"/>
      <c r="L38951" s="23"/>
    </row>
    <row r="38952">
      <c r="B38952" s="19"/>
      <c r="E38952" s="23"/>
      <c r="L38952" s="23"/>
    </row>
    <row r="38953">
      <c r="B38953" s="19"/>
      <c r="E38953" s="23"/>
      <c r="L38953" s="23"/>
    </row>
    <row r="38954">
      <c r="B38954" s="19"/>
      <c r="E38954" s="23"/>
      <c r="L38954" s="23"/>
    </row>
    <row r="38955">
      <c r="B38955" s="19"/>
      <c r="E38955" s="23"/>
      <c r="L38955" s="23"/>
    </row>
    <row r="38956">
      <c r="B38956" s="19"/>
      <c r="E38956" s="23"/>
      <c r="L38956" s="23"/>
    </row>
    <row r="38957">
      <c r="B38957" s="19"/>
      <c r="E38957" s="23"/>
      <c r="L38957" s="23"/>
    </row>
    <row r="38958">
      <c r="B38958" s="19"/>
      <c r="E38958" s="23"/>
      <c r="L38958" s="23"/>
    </row>
    <row r="38959">
      <c r="B38959" s="19"/>
      <c r="E38959" s="23"/>
      <c r="L38959" s="23"/>
    </row>
    <row r="38960">
      <c r="B38960" s="19"/>
      <c r="E38960" s="23"/>
      <c r="L38960" s="23"/>
    </row>
    <row r="38961">
      <c r="B38961" s="19"/>
      <c r="E38961" s="23"/>
      <c r="L38961" s="23"/>
    </row>
    <row r="38962">
      <c r="B38962" s="19"/>
      <c r="E38962" s="23"/>
      <c r="L38962" s="23"/>
    </row>
    <row r="38963">
      <c r="B38963" s="19"/>
      <c r="E38963" s="23"/>
      <c r="L38963" s="23"/>
    </row>
    <row r="38964">
      <c r="B38964" s="19"/>
      <c r="E38964" s="23"/>
      <c r="L38964" s="23"/>
    </row>
    <row r="38965">
      <c r="B38965" s="19"/>
      <c r="E38965" s="23"/>
      <c r="L38965" s="23"/>
    </row>
    <row r="38966">
      <c r="B38966" s="19"/>
      <c r="E38966" s="23"/>
      <c r="L38966" s="23"/>
    </row>
    <row r="38967">
      <c r="B38967" s="19"/>
      <c r="E38967" s="23"/>
      <c r="L38967" s="23"/>
    </row>
    <row r="38968">
      <c r="B38968" s="19"/>
      <c r="E38968" s="23"/>
      <c r="L38968" s="23"/>
    </row>
    <row r="38969">
      <c r="B38969" s="19"/>
      <c r="E38969" s="23"/>
      <c r="L38969" s="23"/>
    </row>
    <row r="38970">
      <c r="B38970" s="19"/>
      <c r="E38970" s="23"/>
      <c r="L38970" s="23"/>
    </row>
    <row r="38971">
      <c r="B38971" s="19"/>
      <c r="E38971" s="23"/>
      <c r="L38971" s="23"/>
    </row>
    <row r="38972">
      <c r="B38972" s="19"/>
      <c r="E38972" s="23"/>
      <c r="L38972" s="23"/>
    </row>
    <row r="38973">
      <c r="B38973" s="19"/>
      <c r="E38973" s="23"/>
      <c r="L38973" s="23"/>
    </row>
    <row r="38974">
      <c r="B38974" s="19"/>
      <c r="E38974" s="23"/>
      <c r="L38974" s="23"/>
    </row>
    <row r="38975">
      <c r="B38975" s="19"/>
      <c r="E38975" s="23"/>
      <c r="L38975" s="23"/>
    </row>
    <row r="38976">
      <c r="B38976" s="19"/>
      <c r="E38976" s="23"/>
      <c r="L38976" s="23"/>
    </row>
    <row r="38977">
      <c r="B38977" s="19"/>
      <c r="E38977" s="23"/>
      <c r="L38977" s="23"/>
    </row>
    <row r="38978">
      <c r="B38978" s="19"/>
      <c r="E38978" s="23"/>
      <c r="L38978" s="23"/>
    </row>
    <row r="38979">
      <c r="B38979" s="19"/>
      <c r="E38979" s="23"/>
      <c r="L38979" s="23"/>
    </row>
    <row r="38980">
      <c r="B38980" s="19"/>
      <c r="E38980" s="23"/>
      <c r="L38980" s="23"/>
    </row>
    <row r="38981">
      <c r="B38981" s="19"/>
      <c r="E38981" s="23"/>
      <c r="L38981" s="23"/>
    </row>
    <row r="38982">
      <c r="B38982" s="19"/>
      <c r="E38982" s="23"/>
      <c r="L38982" s="23"/>
    </row>
    <row r="38983">
      <c r="B38983" s="19"/>
      <c r="E38983" s="23"/>
      <c r="L38983" s="23"/>
    </row>
    <row r="38984">
      <c r="B38984" s="19"/>
      <c r="E38984" s="23"/>
      <c r="L38984" s="23"/>
    </row>
    <row r="38985">
      <c r="B38985" s="19"/>
      <c r="E38985" s="23"/>
      <c r="L38985" s="23"/>
    </row>
    <row r="38986">
      <c r="B38986" s="19"/>
      <c r="E38986" s="23"/>
      <c r="L38986" s="23"/>
    </row>
    <row r="38987">
      <c r="B38987" s="19"/>
      <c r="E38987" s="23"/>
      <c r="L38987" s="23"/>
    </row>
    <row r="38988">
      <c r="B38988" s="19"/>
      <c r="E38988" s="23"/>
      <c r="L38988" s="23"/>
    </row>
    <row r="38989">
      <c r="B38989" s="19"/>
      <c r="E38989" s="23"/>
      <c r="L38989" s="23"/>
    </row>
    <row r="38990">
      <c r="B38990" s="19"/>
      <c r="E38990" s="23"/>
      <c r="L38990" s="23"/>
    </row>
    <row r="38991">
      <c r="B38991" s="19"/>
      <c r="E38991" s="23"/>
      <c r="L38991" s="23"/>
    </row>
    <row r="38992">
      <c r="B38992" s="19"/>
      <c r="E38992" s="23"/>
      <c r="L38992" s="23"/>
    </row>
    <row r="38993">
      <c r="B38993" s="19"/>
      <c r="E38993" s="23"/>
      <c r="L38993" s="23"/>
    </row>
    <row r="38994">
      <c r="B38994" s="19"/>
      <c r="E38994" s="23"/>
      <c r="L38994" s="23"/>
    </row>
    <row r="38995">
      <c r="B38995" s="19"/>
      <c r="E38995" s="23"/>
      <c r="L38995" s="23"/>
    </row>
    <row r="38996">
      <c r="B38996" s="19"/>
      <c r="E38996" s="23"/>
      <c r="L38996" s="23"/>
    </row>
    <row r="38997">
      <c r="B38997" s="19"/>
      <c r="E38997" s="23"/>
      <c r="L38997" s="23"/>
    </row>
    <row r="38998">
      <c r="B38998" s="19"/>
      <c r="E38998" s="23"/>
      <c r="L38998" s="23"/>
    </row>
    <row r="38999">
      <c r="B38999" s="19"/>
      <c r="E38999" s="23"/>
      <c r="L38999" s="23"/>
    </row>
    <row r="39000">
      <c r="B39000" s="19"/>
      <c r="E39000" s="23"/>
      <c r="L39000" s="23"/>
    </row>
    <row r="39001">
      <c r="B39001" s="19"/>
      <c r="E39001" s="23"/>
      <c r="L39001" s="23"/>
    </row>
    <row r="39002">
      <c r="B39002" s="19"/>
      <c r="E39002" s="23"/>
      <c r="L39002" s="23"/>
    </row>
    <row r="39003">
      <c r="B39003" s="19"/>
      <c r="E39003" s="23"/>
      <c r="L39003" s="23"/>
    </row>
    <row r="39004">
      <c r="B39004" s="19"/>
      <c r="E39004" s="23"/>
      <c r="L39004" s="23"/>
    </row>
    <row r="39005">
      <c r="B39005" s="19"/>
      <c r="E39005" s="23"/>
      <c r="L39005" s="23"/>
    </row>
    <row r="39006">
      <c r="B39006" s="19"/>
      <c r="E39006" s="23"/>
      <c r="L39006" s="23"/>
    </row>
    <row r="39007">
      <c r="B39007" s="19"/>
      <c r="E39007" s="23"/>
      <c r="L39007" s="23"/>
    </row>
    <row r="39008">
      <c r="B39008" s="19"/>
      <c r="E39008" s="23"/>
      <c r="L39008" s="23"/>
    </row>
    <row r="39009">
      <c r="B39009" s="19"/>
      <c r="E39009" s="23"/>
      <c r="L39009" s="23"/>
    </row>
    <row r="39010">
      <c r="B39010" s="19"/>
      <c r="E39010" s="23"/>
      <c r="L39010" s="23"/>
    </row>
    <row r="39011">
      <c r="B39011" s="19"/>
      <c r="E39011" s="23"/>
      <c r="L39011" s="23"/>
    </row>
    <row r="39012">
      <c r="B39012" s="19"/>
      <c r="E39012" s="23"/>
      <c r="L39012" s="23"/>
    </row>
    <row r="39013">
      <c r="B39013" s="19"/>
      <c r="E39013" s="23"/>
      <c r="L39013" s="23"/>
    </row>
    <row r="39014">
      <c r="B39014" s="19"/>
      <c r="E39014" s="23"/>
      <c r="L39014" s="23"/>
    </row>
    <row r="39015">
      <c r="B39015" s="19"/>
      <c r="E39015" s="23"/>
      <c r="L39015" s="23"/>
    </row>
    <row r="39016">
      <c r="B39016" s="19"/>
      <c r="E39016" s="23"/>
      <c r="L39016" s="23"/>
    </row>
    <row r="39017">
      <c r="B39017" s="19"/>
      <c r="E39017" s="23"/>
      <c r="L39017" s="23"/>
    </row>
    <row r="39018">
      <c r="B39018" s="19"/>
      <c r="E39018" s="23"/>
      <c r="L39018" s="23"/>
    </row>
    <row r="39019">
      <c r="B39019" s="19"/>
      <c r="E39019" s="23"/>
      <c r="L39019" s="23"/>
    </row>
    <row r="39020">
      <c r="B39020" s="19"/>
      <c r="E39020" s="23"/>
      <c r="L39020" s="23"/>
    </row>
    <row r="39021">
      <c r="B39021" s="19"/>
      <c r="E39021" s="23"/>
      <c r="L39021" s="23"/>
    </row>
    <row r="39022">
      <c r="B39022" s="19"/>
      <c r="E39022" s="23"/>
      <c r="L39022" s="23"/>
    </row>
    <row r="39023">
      <c r="B39023" s="19"/>
      <c r="E39023" s="23"/>
      <c r="L39023" s="23"/>
    </row>
    <row r="39024">
      <c r="B39024" s="19"/>
      <c r="E39024" s="23"/>
      <c r="L39024" s="23"/>
    </row>
    <row r="39025">
      <c r="B39025" s="19"/>
      <c r="E39025" s="23"/>
      <c r="L39025" s="23"/>
    </row>
    <row r="39026">
      <c r="B39026" s="19"/>
      <c r="E39026" s="23"/>
      <c r="L39026" s="23"/>
    </row>
    <row r="39027">
      <c r="B39027" s="19"/>
      <c r="E39027" s="23"/>
      <c r="L39027" s="23"/>
    </row>
    <row r="39028">
      <c r="B39028" s="19"/>
      <c r="E39028" s="23"/>
      <c r="L39028" s="23"/>
    </row>
    <row r="39029">
      <c r="B39029" s="19"/>
      <c r="E39029" s="23"/>
      <c r="L39029" s="23"/>
    </row>
    <row r="39030">
      <c r="B39030" s="19"/>
      <c r="E39030" s="23"/>
      <c r="L39030" s="23"/>
    </row>
    <row r="39031">
      <c r="B39031" s="19"/>
      <c r="E39031" s="23"/>
      <c r="L39031" s="23"/>
    </row>
    <row r="39032">
      <c r="B39032" s="19"/>
      <c r="E39032" s="23"/>
      <c r="L39032" s="23"/>
    </row>
    <row r="39033">
      <c r="B39033" s="19"/>
      <c r="E39033" s="23"/>
      <c r="L39033" s="23"/>
    </row>
    <row r="39034">
      <c r="B39034" s="19"/>
      <c r="E39034" s="23"/>
      <c r="L39034" s="23"/>
    </row>
    <row r="39035">
      <c r="B39035" s="19"/>
      <c r="E39035" s="23"/>
      <c r="L39035" s="23"/>
    </row>
    <row r="39036">
      <c r="B39036" s="19"/>
      <c r="E39036" s="23"/>
      <c r="L39036" s="23"/>
    </row>
    <row r="39037">
      <c r="B39037" s="19"/>
      <c r="E39037" s="23"/>
      <c r="L39037" s="23"/>
    </row>
    <row r="39038">
      <c r="B39038" s="19"/>
      <c r="E39038" s="23"/>
      <c r="L39038" s="23"/>
    </row>
    <row r="39039">
      <c r="B39039" s="19"/>
      <c r="E39039" s="23"/>
      <c r="L39039" s="23"/>
    </row>
    <row r="39040">
      <c r="B39040" s="19"/>
      <c r="E39040" s="23"/>
      <c r="L39040" s="23"/>
    </row>
    <row r="39041">
      <c r="B39041" s="19"/>
      <c r="E39041" s="23"/>
      <c r="L39041" s="23"/>
    </row>
    <row r="39042">
      <c r="B39042" s="19"/>
      <c r="E39042" s="23"/>
      <c r="L39042" s="23"/>
    </row>
    <row r="39043">
      <c r="B39043" s="19"/>
      <c r="E39043" s="23"/>
      <c r="L39043" s="23"/>
    </row>
    <row r="39044">
      <c r="B39044" s="19"/>
      <c r="E39044" s="23"/>
      <c r="L39044" s="23"/>
    </row>
    <row r="39045">
      <c r="B39045" s="19"/>
      <c r="E39045" s="23"/>
      <c r="L39045" s="23"/>
    </row>
    <row r="39046">
      <c r="B39046" s="19"/>
      <c r="E39046" s="23"/>
      <c r="L39046" s="23"/>
    </row>
    <row r="39047">
      <c r="B39047" s="19"/>
      <c r="E39047" s="23"/>
      <c r="L39047" s="23"/>
    </row>
    <row r="39048">
      <c r="B39048" s="19"/>
      <c r="E39048" s="23"/>
      <c r="L39048" s="23"/>
    </row>
    <row r="39049">
      <c r="B39049" s="19"/>
      <c r="E39049" s="23"/>
      <c r="L39049" s="23"/>
    </row>
    <row r="39050">
      <c r="B39050" s="19"/>
      <c r="E39050" s="23"/>
      <c r="L39050" s="23"/>
    </row>
    <row r="39051">
      <c r="B39051" s="19"/>
      <c r="E39051" s="23"/>
      <c r="L39051" s="23"/>
    </row>
    <row r="39052">
      <c r="B39052" s="19"/>
      <c r="E39052" s="23"/>
      <c r="L39052" s="23"/>
    </row>
    <row r="39053">
      <c r="B39053" s="19"/>
      <c r="E39053" s="23"/>
      <c r="L39053" s="23"/>
    </row>
    <row r="39054">
      <c r="B39054" s="19"/>
      <c r="E39054" s="23"/>
      <c r="L39054" s="23"/>
    </row>
    <row r="39055">
      <c r="B39055" s="19"/>
      <c r="E39055" s="23"/>
      <c r="L39055" s="23"/>
    </row>
    <row r="39056">
      <c r="B39056" s="19"/>
      <c r="E39056" s="23"/>
      <c r="L39056" s="23"/>
    </row>
    <row r="39057">
      <c r="B39057" s="19"/>
      <c r="E39057" s="23"/>
      <c r="L39057" s="23"/>
    </row>
    <row r="39058">
      <c r="B39058" s="19"/>
      <c r="E39058" s="23"/>
      <c r="L39058" s="23"/>
    </row>
    <row r="39059">
      <c r="B39059" s="19"/>
      <c r="E39059" s="23"/>
      <c r="L39059" s="23"/>
    </row>
    <row r="39060">
      <c r="B39060" s="19"/>
      <c r="E39060" s="23"/>
      <c r="L39060" s="23"/>
    </row>
    <row r="39061">
      <c r="B39061" s="19"/>
      <c r="E39061" s="23"/>
      <c r="L39061" s="23"/>
    </row>
    <row r="39062">
      <c r="B39062" s="19"/>
      <c r="E39062" s="23"/>
      <c r="L39062" s="23"/>
    </row>
    <row r="39063">
      <c r="B39063" s="19"/>
      <c r="E39063" s="23"/>
      <c r="L39063" s="23"/>
    </row>
    <row r="39064">
      <c r="B39064" s="19"/>
      <c r="E39064" s="23"/>
      <c r="L39064" s="23"/>
    </row>
    <row r="39065">
      <c r="B39065" s="19"/>
      <c r="E39065" s="23"/>
      <c r="L39065" s="23"/>
    </row>
    <row r="39066">
      <c r="B39066" s="19"/>
      <c r="E39066" s="23"/>
      <c r="L39066" s="23"/>
    </row>
    <row r="39067">
      <c r="B39067" s="19"/>
      <c r="E39067" s="23"/>
      <c r="L39067" s="23"/>
    </row>
    <row r="39068">
      <c r="B39068" s="19"/>
      <c r="E39068" s="23"/>
      <c r="L39068" s="23"/>
    </row>
    <row r="39069">
      <c r="B39069" s="19"/>
      <c r="E39069" s="23"/>
      <c r="L39069" s="23"/>
    </row>
    <row r="39070">
      <c r="B39070" s="19"/>
      <c r="E39070" s="23"/>
      <c r="L39070" s="23"/>
    </row>
    <row r="39071">
      <c r="B39071" s="19"/>
      <c r="E39071" s="23"/>
      <c r="L39071" s="23"/>
    </row>
    <row r="39072">
      <c r="B39072" s="19"/>
      <c r="E39072" s="23"/>
      <c r="L39072" s="23"/>
    </row>
    <row r="39073">
      <c r="B39073" s="19"/>
      <c r="E39073" s="23"/>
      <c r="L39073" s="23"/>
    </row>
    <row r="39074">
      <c r="B39074" s="19"/>
      <c r="E39074" s="23"/>
      <c r="L39074" s="23"/>
    </row>
    <row r="39075">
      <c r="B39075" s="19"/>
      <c r="E39075" s="23"/>
      <c r="L39075" s="23"/>
    </row>
    <row r="39076">
      <c r="B39076" s="19"/>
      <c r="E39076" s="23"/>
      <c r="L39076" s="23"/>
    </row>
    <row r="39077">
      <c r="B39077" s="19"/>
      <c r="E39077" s="23"/>
      <c r="L39077" s="23"/>
    </row>
    <row r="39078">
      <c r="B39078" s="19"/>
      <c r="E39078" s="23"/>
      <c r="L39078" s="23"/>
    </row>
    <row r="39079">
      <c r="B39079" s="19"/>
      <c r="E39079" s="23"/>
      <c r="L39079" s="23"/>
    </row>
    <row r="39080">
      <c r="B39080" s="19"/>
      <c r="E39080" s="23"/>
      <c r="L39080" s="23"/>
    </row>
    <row r="39081">
      <c r="B39081" s="19"/>
      <c r="E39081" s="23"/>
      <c r="L39081" s="23"/>
    </row>
    <row r="39082">
      <c r="B39082" s="19"/>
      <c r="E39082" s="23"/>
      <c r="L39082" s="23"/>
    </row>
    <row r="39083">
      <c r="B39083" s="19"/>
      <c r="E39083" s="23"/>
      <c r="L39083" s="23"/>
    </row>
    <row r="39084">
      <c r="B39084" s="19"/>
      <c r="E39084" s="23"/>
      <c r="L39084" s="23"/>
    </row>
    <row r="39085">
      <c r="B39085" s="19"/>
      <c r="E39085" s="23"/>
      <c r="L39085" s="23"/>
    </row>
    <row r="39086">
      <c r="B39086" s="19"/>
      <c r="E39086" s="23"/>
      <c r="L39086" s="23"/>
    </row>
    <row r="39087">
      <c r="B39087" s="19"/>
      <c r="E39087" s="23"/>
      <c r="L39087" s="23"/>
    </row>
    <row r="39088">
      <c r="B39088" s="19"/>
      <c r="E39088" s="23"/>
      <c r="L39088" s="23"/>
    </row>
    <row r="39089">
      <c r="B39089" s="19"/>
      <c r="E39089" s="23"/>
      <c r="L39089" s="23"/>
    </row>
    <row r="39090">
      <c r="B39090" s="19"/>
      <c r="E39090" s="23"/>
      <c r="L39090" s="23"/>
    </row>
    <row r="39091">
      <c r="B39091" s="19"/>
      <c r="E39091" s="23"/>
      <c r="L39091" s="23"/>
    </row>
    <row r="39092">
      <c r="B39092" s="19"/>
      <c r="E39092" s="23"/>
      <c r="L39092" s="23"/>
    </row>
    <row r="39093">
      <c r="B39093" s="19"/>
      <c r="E39093" s="23"/>
      <c r="L39093" s="23"/>
    </row>
    <row r="39094">
      <c r="B39094" s="19"/>
      <c r="E39094" s="23"/>
      <c r="L39094" s="23"/>
    </row>
    <row r="39095">
      <c r="B39095" s="19"/>
      <c r="E39095" s="23"/>
      <c r="L39095" s="23"/>
    </row>
    <row r="39096">
      <c r="B39096" s="19"/>
      <c r="E39096" s="23"/>
      <c r="L39096" s="23"/>
    </row>
    <row r="39097">
      <c r="B39097" s="19"/>
      <c r="E39097" s="23"/>
      <c r="L39097" s="23"/>
    </row>
    <row r="39098">
      <c r="B39098" s="19"/>
      <c r="E39098" s="23"/>
      <c r="L39098" s="23"/>
    </row>
    <row r="39099">
      <c r="B39099" s="19"/>
      <c r="E39099" s="23"/>
      <c r="L39099" s="23"/>
    </row>
    <row r="39100">
      <c r="B39100" s="19"/>
      <c r="E39100" s="23"/>
      <c r="L39100" s="23"/>
    </row>
    <row r="39101">
      <c r="B39101" s="19"/>
      <c r="E39101" s="23"/>
      <c r="L39101" s="23"/>
    </row>
    <row r="39102">
      <c r="B39102" s="19"/>
      <c r="E39102" s="23"/>
      <c r="L39102" s="23"/>
    </row>
    <row r="39103">
      <c r="B39103" s="19"/>
      <c r="E39103" s="23"/>
      <c r="L39103" s="23"/>
    </row>
    <row r="39104">
      <c r="B39104" s="19"/>
      <c r="E39104" s="23"/>
      <c r="L39104" s="23"/>
    </row>
    <row r="39105">
      <c r="B39105" s="19"/>
      <c r="E39105" s="23"/>
      <c r="L39105" s="23"/>
    </row>
    <row r="39106">
      <c r="B39106" s="19"/>
      <c r="E39106" s="23"/>
      <c r="L39106" s="23"/>
    </row>
    <row r="39107">
      <c r="B39107" s="19"/>
      <c r="E39107" s="23"/>
      <c r="L39107" s="23"/>
    </row>
    <row r="39108">
      <c r="B39108" s="19"/>
      <c r="E39108" s="23"/>
      <c r="L39108" s="23"/>
    </row>
    <row r="39109">
      <c r="B39109" s="19"/>
      <c r="E39109" s="23"/>
      <c r="L39109" s="23"/>
    </row>
    <row r="39110">
      <c r="B39110" s="19"/>
      <c r="E39110" s="23"/>
      <c r="L39110" s="23"/>
    </row>
    <row r="39111">
      <c r="B39111" s="19"/>
      <c r="E39111" s="23"/>
      <c r="L39111" s="23"/>
    </row>
    <row r="39112">
      <c r="B39112" s="19"/>
      <c r="E39112" s="23"/>
      <c r="L39112" s="23"/>
    </row>
    <row r="39113">
      <c r="B39113" s="19"/>
      <c r="E39113" s="23"/>
      <c r="L39113" s="23"/>
    </row>
    <row r="39114">
      <c r="B39114" s="19"/>
      <c r="E39114" s="23"/>
      <c r="L39114" s="23"/>
    </row>
    <row r="39115">
      <c r="B39115" s="19"/>
      <c r="E39115" s="23"/>
      <c r="L39115" s="23"/>
    </row>
    <row r="39116">
      <c r="B39116" s="19"/>
      <c r="E39116" s="23"/>
      <c r="L39116" s="23"/>
    </row>
    <row r="39117">
      <c r="B39117" s="19"/>
      <c r="E39117" s="23"/>
      <c r="L39117" s="23"/>
    </row>
    <row r="39118">
      <c r="B39118" s="19"/>
      <c r="E39118" s="23"/>
      <c r="L39118" s="23"/>
    </row>
    <row r="39119">
      <c r="B39119" s="19"/>
      <c r="E39119" s="23"/>
      <c r="L39119" s="23"/>
    </row>
    <row r="39120">
      <c r="B39120" s="19"/>
      <c r="E39120" s="23"/>
      <c r="L39120" s="23"/>
    </row>
    <row r="39121">
      <c r="B39121" s="19"/>
      <c r="E39121" s="23"/>
      <c r="L39121" s="23"/>
    </row>
    <row r="39122">
      <c r="B39122" s="19"/>
      <c r="E39122" s="23"/>
      <c r="L39122" s="23"/>
    </row>
    <row r="39123">
      <c r="B39123" s="19"/>
      <c r="E39123" s="23"/>
      <c r="L39123" s="23"/>
    </row>
    <row r="39124">
      <c r="B39124" s="19"/>
      <c r="E39124" s="23"/>
      <c r="L39124" s="23"/>
    </row>
    <row r="39125">
      <c r="B39125" s="19"/>
      <c r="E39125" s="23"/>
      <c r="L39125" s="23"/>
    </row>
    <row r="39126">
      <c r="B39126" s="19"/>
      <c r="E39126" s="23"/>
      <c r="L39126" s="23"/>
    </row>
    <row r="39127">
      <c r="B39127" s="19"/>
      <c r="E39127" s="23"/>
      <c r="L39127" s="23"/>
    </row>
    <row r="39128">
      <c r="B39128" s="19"/>
      <c r="E39128" s="23"/>
      <c r="L39128" s="23"/>
    </row>
    <row r="39129">
      <c r="B39129" s="19"/>
      <c r="E39129" s="23"/>
      <c r="L39129" s="23"/>
    </row>
    <row r="39130">
      <c r="B39130" s="19"/>
      <c r="E39130" s="23"/>
      <c r="L39130" s="23"/>
    </row>
    <row r="39131">
      <c r="B39131" s="19"/>
      <c r="E39131" s="23"/>
      <c r="L39131" s="23"/>
    </row>
    <row r="39132">
      <c r="B39132" s="19"/>
      <c r="E39132" s="23"/>
      <c r="L39132" s="23"/>
    </row>
    <row r="39133">
      <c r="B39133" s="19"/>
      <c r="E39133" s="23"/>
      <c r="L39133" s="23"/>
    </row>
    <row r="39134">
      <c r="B39134" s="19"/>
      <c r="E39134" s="23"/>
      <c r="L39134" s="23"/>
    </row>
    <row r="39135">
      <c r="B39135" s="19"/>
      <c r="E39135" s="23"/>
      <c r="L39135" s="23"/>
    </row>
    <row r="39136">
      <c r="B39136" s="19"/>
      <c r="E39136" s="23"/>
      <c r="L39136" s="23"/>
    </row>
    <row r="39137">
      <c r="B39137" s="19"/>
      <c r="E39137" s="23"/>
      <c r="L39137" s="23"/>
    </row>
    <row r="39138">
      <c r="B39138" s="19"/>
      <c r="E39138" s="23"/>
      <c r="L39138" s="23"/>
    </row>
    <row r="39139">
      <c r="B39139" s="19"/>
      <c r="E39139" s="23"/>
      <c r="L39139" s="23"/>
    </row>
    <row r="39140">
      <c r="B39140" s="19"/>
      <c r="E39140" s="23"/>
      <c r="L39140" s="23"/>
    </row>
    <row r="39141">
      <c r="B39141" s="19"/>
      <c r="E39141" s="23"/>
      <c r="L39141" s="23"/>
    </row>
    <row r="39142">
      <c r="B39142" s="19"/>
      <c r="E39142" s="23"/>
      <c r="L39142" s="23"/>
    </row>
    <row r="39143">
      <c r="B39143" s="19"/>
      <c r="E39143" s="23"/>
      <c r="L39143" s="23"/>
    </row>
    <row r="39144">
      <c r="B39144" s="19"/>
      <c r="E39144" s="23"/>
      <c r="L39144" s="23"/>
    </row>
    <row r="39145">
      <c r="B39145" s="19"/>
      <c r="E39145" s="23"/>
      <c r="L39145" s="23"/>
    </row>
    <row r="39146">
      <c r="B39146" s="19"/>
      <c r="E39146" s="23"/>
      <c r="L39146" s="23"/>
    </row>
    <row r="39147">
      <c r="B39147" s="19"/>
      <c r="E39147" s="23"/>
      <c r="L39147" s="23"/>
    </row>
    <row r="39148">
      <c r="B39148" s="19"/>
      <c r="E39148" s="23"/>
      <c r="L39148" s="23"/>
    </row>
    <row r="39149">
      <c r="B39149" s="19"/>
      <c r="E39149" s="23"/>
      <c r="L39149" s="23"/>
    </row>
    <row r="39150">
      <c r="B39150" s="19"/>
      <c r="E39150" s="23"/>
      <c r="L39150" s="23"/>
    </row>
    <row r="39151">
      <c r="B39151" s="19"/>
      <c r="E39151" s="23"/>
      <c r="L39151" s="23"/>
    </row>
    <row r="39152">
      <c r="B39152" s="19"/>
      <c r="E39152" s="23"/>
      <c r="L39152" s="23"/>
    </row>
    <row r="39153">
      <c r="B39153" s="19"/>
      <c r="E39153" s="23"/>
      <c r="L39153" s="23"/>
    </row>
    <row r="39154">
      <c r="B39154" s="19"/>
      <c r="E39154" s="23"/>
      <c r="L39154" s="23"/>
    </row>
    <row r="39155">
      <c r="B39155" s="19"/>
      <c r="E39155" s="23"/>
      <c r="L39155" s="23"/>
    </row>
    <row r="39156">
      <c r="B39156" s="19"/>
      <c r="E39156" s="23"/>
      <c r="L39156" s="23"/>
    </row>
    <row r="39157">
      <c r="B39157" s="19"/>
      <c r="E39157" s="23"/>
      <c r="L39157" s="23"/>
    </row>
    <row r="39158">
      <c r="B39158" s="19"/>
      <c r="E39158" s="23"/>
      <c r="L39158" s="23"/>
    </row>
    <row r="39159">
      <c r="B39159" s="19"/>
      <c r="E39159" s="23"/>
      <c r="L39159" s="23"/>
    </row>
    <row r="39160">
      <c r="B39160" s="19"/>
      <c r="E39160" s="23"/>
      <c r="L39160" s="23"/>
    </row>
    <row r="39161">
      <c r="B39161" s="19"/>
      <c r="E39161" s="23"/>
      <c r="L39161" s="23"/>
    </row>
    <row r="39162">
      <c r="B39162" s="19"/>
      <c r="E39162" s="23"/>
      <c r="L39162" s="23"/>
    </row>
    <row r="39163">
      <c r="B39163" s="19"/>
      <c r="E39163" s="23"/>
      <c r="L39163" s="23"/>
    </row>
    <row r="39164">
      <c r="B39164" s="19"/>
      <c r="E39164" s="23"/>
      <c r="L39164" s="23"/>
    </row>
    <row r="39165">
      <c r="B39165" s="19"/>
      <c r="E39165" s="23"/>
      <c r="L39165" s="23"/>
    </row>
    <row r="39166">
      <c r="B39166" s="19"/>
      <c r="E39166" s="23"/>
      <c r="L39166" s="23"/>
    </row>
    <row r="39167">
      <c r="B39167" s="19"/>
      <c r="E39167" s="23"/>
      <c r="L39167" s="23"/>
    </row>
    <row r="39168">
      <c r="B39168" s="19"/>
      <c r="E39168" s="23"/>
      <c r="L39168" s="23"/>
    </row>
    <row r="39169">
      <c r="B39169" s="19"/>
      <c r="E39169" s="23"/>
      <c r="L39169" s="23"/>
    </row>
    <row r="39170">
      <c r="B39170" s="19"/>
      <c r="E39170" s="23"/>
      <c r="L39170" s="23"/>
    </row>
    <row r="39171">
      <c r="B39171" s="19"/>
      <c r="E39171" s="23"/>
      <c r="L39171" s="23"/>
    </row>
    <row r="39172">
      <c r="B39172" s="19"/>
      <c r="E39172" s="23"/>
      <c r="L39172" s="23"/>
    </row>
    <row r="39173">
      <c r="B39173" s="19"/>
      <c r="E39173" s="23"/>
      <c r="L39173" s="23"/>
    </row>
    <row r="39174">
      <c r="B39174" s="19"/>
      <c r="E39174" s="23"/>
      <c r="L39174" s="23"/>
    </row>
    <row r="39175">
      <c r="B39175" s="19"/>
      <c r="E39175" s="23"/>
      <c r="L39175" s="23"/>
    </row>
    <row r="39176">
      <c r="B39176" s="19"/>
      <c r="E39176" s="23"/>
      <c r="L39176" s="23"/>
    </row>
    <row r="39177">
      <c r="B39177" s="19"/>
      <c r="E39177" s="23"/>
      <c r="L39177" s="23"/>
    </row>
    <row r="39178">
      <c r="B39178" s="19"/>
      <c r="E39178" s="23"/>
      <c r="L39178" s="23"/>
    </row>
    <row r="39179">
      <c r="B39179" s="19"/>
      <c r="E39179" s="23"/>
      <c r="L39179" s="23"/>
    </row>
    <row r="39180">
      <c r="B39180" s="19"/>
      <c r="E39180" s="23"/>
      <c r="L39180" s="23"/>
    </row>
    <row r="39181">
      <c r="B39181" s="19"/>
      <c r="E39181" s="23"/>
      <c r="L39181" s="23"/>
    </row>
    <row r="39182">
      <c r="B39182" s="19"/>
      <c r="E39182" s="23"/>
      <c r="L39182" s="23"/>
    </row>
    <row r="39183">
      <c r="B39183" s="19"/>
      <c r="E39183" s="23"/>
      <c r="L39183" s="23"/>
    </row>
    <row r="39184">
      <c r="B39184" s="19"/>
      <c r="E39184" s="23"/>
      <c r="L39184" s="23"/>
    </row>
    <row r="39185">
      <c r="B39185" s="19"/>
      <c r="E39185" s="23"/>
      <c r="L39185" s="23"/>
    </row>
    <row r="39186">
      <c r="B39186" s="19"/>
      <c r="E39186" s="23"/>
      <c r="L39186" s="23"/>
    </row>
    <row r="39187">
      <c r="B39187" s="19"/>
      <c r="E39187" s="23"/>
      <c r="L39187" s="23"/>
    </row>
    <row r="39188">
      <c r="B39188" s="19"/>
      <c r="E39188" s="23"/>
      <c r="L39188" s="23"/>
    </row>
    <row r="39189">
      <c r="B39189" s="19"/>
      <c r="E39189" s="23"/>
      <c r="L39189" s="23"/>
    </row>
    <row r="39190">
      <c r="B39190" s="19"/>
      <c r="E39190" s="23"/>
      <c r="L39190" s="23"/>
    </row>
    <row r="39191">
      <c r="B39191" s="19"/>
      <c r="E39191" s="23"/>
      <c r="L39191" s="23"/>
    </row>
    <row r="39192">
      <c r="B39192" s="19"/>
      <c r="E39192" s="23"/>
      <c r="L39192" s="23"/>
    </row>
    <row r="39193">
      <c r="B39193" s="19"/>
      <c r="E39193" s="23"/>
      <c r="L39193" s="23"/>
    </row>
    <row r="39194">
      <c r="B39194" s="19"/>
      <c r="E39194" s="23"/>
      <c r="L39194" s="23"/>
    </row>
    <row r="39195">
      <c r="B39195" s="19"/>
      <c r="E39195" s="23"/>
      <c r="L39195" s="23"/>
    </row>
    <row r="39196">
      <c r="B39196" s="19"/>
      <c r="E39196" s="23"/>
      <c r="L39196" s="23"/>
    </row>
    <row r="39197">
      <c r="B39197" s="19"/>
      <c r="E39197" s="23"/>
      <c r="L39197" s="23"/>
    </row>
    <row r="39198">
      <c r="B39198" s="19"/>
      <c r="E39198" s="23"/>
      <c r="L39198" s="23"/>
    </row>
    <row r="39199">
      <c r="B39199" s="19"/>
      <c r="E39199" s="23"/>
      <c r="L39199" s="23"/>
    </row>
    <row r="39200">
      <c r="B39200" s="19"/>
      <c r="E39200" s="23"/>
      <c r="L39200" s="23"/>
    </row>
    <row r="39201">
      <c r="B39201" s="19"/>
      <c r="E39201" s="23"/>
      <c r="L39201" s="23"/>
    </row>
    <row r="39202">
      <c r="B39202" s="19"/>
      <c r="E39202" s="23"/>
      <c r="L39202" s="23"/>
    </row>
    <row r="39203">
      <c r="B39203" s="19"/>
      <c r="E39203" s="23"/>
      <c r="L39203" s="23"/>
    </row>
    <row r="39204">
      <c r="B39204" s="19"/>
      <c r="E39204" s="23"/>
      <c r="L39204" s="23"/>
    </row>
    <row r="39205">
      <c r="B39205" s="19"/>
      <c r="E39205" s="23"/>
      <c r="L39205" s="23"/>
    </row>
    <row r="39206">
      <c r="B39206" s="19"/>
      <c r="E39206" s="23"/>
      <c r="L39206" s="23"/>
    </row>
    <row r="39207">
      <c r="B39207" s="19"/>
      <c r="E39207" s="23"/>
      <c r="L39207" s="23"/>
    </row>
    <row r="39208">
      <c r="B39208" s="19"/>
      <c r="E39208" s="23"/>
      <c r="L39208" s="23"/>
    </row>
    <row r="39209">
      <c r="B39209" s="19"/>
      <c r="E39209" s="23"/>
      <c r="L39209" s="23"/>
    </row>
    <row r="39210">
      <c r="B39210" s="19"/>
      <c r="E39210" s="23"/>
      <c r="L39210" s="23"/>
    </row>
    <row r="39211">
      <c r="B39211" s="19"/>
      <c r="E39211" s="23"/>
      <c r="L39211" s="23"/>
    </row>
    <row r="39212">
      <c r="B39212" s="19"/>
      <c r="E39212" s="23"/>
      <c r="L39212" s="23"/>
    </row>
    <row r="39213">
      <c r="B39213" s="19"/>
      <c r="E39213" s="23"/>
      <c r="L39213" s="23"/>
    </row>
    <row r="39214">
      <c r="B39214" s="19"/>
      <c r="E39214" s="23"/>
      <c r="L39214" s="23"/>
    </row>
    <row r="39215">
      <c r="B39215" s="19"/>
      <c r="E39215" s="23"/>
      <c r="L39215" s="23"/>
    </row>
    <row r="39216">
      <c r="B39216" s="19"/>
      <c r="E39216" s="23"/>
      <c r="L39216" s="23"/>
    </row>
    <row r="39217">
      <c r="B39217" s="19"/>
      <c r="E39217" s="23"/>
      <c r="L39217" s="23"/>
    </row>
    <row r="39218">
      <c r="B39218" s="19"/>
      <c r="E39218" s="23"/>
      <c r="L39218" s="23"/>
    </row>
    <row r="39219">
      <c r="B39219" s="19"/>
      <c r="E39219" s="23"/>
      <c r="L39219" s="23"/>
    </row>
    <row r="39220">
      <c r="B39220" s="19"/>
      <c r="E39220" s="23"/>
      <c r="L39220" s="23"/>
    </row>
    <row r="39221">
      <c r="B39221" s="19"/>
      <c r="E39221" s="23"/>
      <c r="L39221" s="23"/>
    </row>
    <row r="39222">
      <c r="B39222" s="19"/>
      <c r="E39222" s="23"/>
      <c r="L39222" s="23"/>
    </row>
    <row r="39223">
      <c r="B39223" s="19"/>
      <c r="E39223" s="23"/>
      <c r="L39223" s="23"/>
    </row>
    <row r="39224">
      <c r="B39224" s="19"/>
      <c r="E39224" s="23"/>
      <c r="L39224" s="23"/>
    </row>
    <row r="39225">
      <c r="B39225" s="19"/>
      <c r="E39225" s="23"/>
      <c r="L39225" s="23"/>
    </row>
    <row r="39226">
      <c r="B39226" s="19"/>
      <c r="E39226" s="23"/>
      <c r="L39226" s="23"/>
    </row>
    <row r="39227">
      <c r="B39227" s="19"/>
      <c r="E39227" s="23"/>
      <c r="L39227" s="23"/>
    </row>
    <row r="39228">
      <c r="B39228" s="19"/>
      <c r="E39228" s="23"/>
      <c r="L39228" s="23"/>
    </row>
    <row r="39229">
      <c r="B39229" s="19"/>
      <c r="E39229" s="23"/>
      <c r="L39229" s="23"/>
    </row>
    <row r="39230">
      <c r="B39230" s="19"/>
      <c r="E39230" s="23"/>
      <c r="L39230" s="23"/>
    </row>
    <row r="39231">
      <c r="B39231" s="19"/>
      <c r="E39231" s="23"/>
      <c r="L39231" s="23"/>
    </row>
    <row r="39232">
      <c r="B39232" s="19"/>
      <c r="E39232" s="23"/>
      <c r="L39232" s="23"/>
    </row>
    <row r="39233">
      <c r="B39233" s="19"/>
      <c r="E39233" s="23"/>
      <c r="L39233" s="23"/>
    </row>
    <row r="39234">
      <c r="B39234" s="19"/>
      <c r="E39234" s="23"/>
      <c r="L39234" s="23"/>
    </row>
    <row r="39235">
      <c r="B39235" s="19"/>
      <c r="E39235" s="23"/>
      <c r="L39235" s="23"/>
    </row>
    <row r="39236">
      <c r="B39236" s="19"/>
      <c r="E39236" s="23"/>
      <c r="L39236" s="23"/>
    </row>
    <row r="39237">
      <c r="B39237" s="19"/>
      <c r="E39237" s="23"/>
      <c r="L39237" s="23"/>
    </row>
    <row r="39238">
      <c r="B39238" s="19"/>
      <c r="E39238" s="23"/>
      <c r="L39238" s="23"/>
    </row>
    <row r="39239">
      <c r="B39239" s="19"/>
      <c r="E39239" s="23"/>
      <c r="L39239" s="23"/>
    </row>
    <row r="39240">
      <c r="B39240" s="19"/>
      <c r="E39240" s="23"/>
      <c r="L39240" s="23"/>
    </row>
    <row r="39241">
      <c r="B39241" s="19"/>
      <c r="E39241" s="23"/>
      <c r="L39241" s="23"/>
    </row>
    <row r="39242">
      <c r="B39242" s="19"/>
      <c r="E39242" s="23"/>
      <c r="L39242" s="23"/>
    </row>
    <row r="39243">
      <c r="B39243" s="19"/>
      <c r="E39243" s="23"/>
      <c r="L39243" s="23"/>
    </row>
    <row r="39244">
      <c r="B39244" s="19"/>
      <c r="E39244" s="23"/>
      <c r="L39244" s="23"/>
    </row>
    <row r="39245">
      <c r="B39245" s="19"/>
      <c r="E39245" s="23"/>
      <c r="L39245" s="23"/>
    </row>
    <row r="39246">
      <c r="B39246" s="19"/>
      <c r="E39246" s="23"/>
      <c r="L39246" s="23"/>
    </row>
    <row r="39247">
      <c r="B39247" s="19"/>
      <c r="E39247" s="23"/>
      <c r="L39247" s="23"/>
    </row>
    <row r="39248">
      <c r="B39248" s="19"/>
      <c r="E39248" s="23"/>
      <c r="L39248" s="23"/>
    </row>
    <row r="39249">
      <c r="B39249" s="19"/>
      <c r="E39249" s="23"/>
      <c r="L39249" s="23"/>
    </row>
    <row r="39250">
      <c r="B39250" s="19"/>
      <c r="E39250" s="23"/>
      <c r="L39250" s="23"/>
    </row>
    <row r="39251">
      <c r="B39251" s="19"/>
      <c r="E39251" s="23"/>
      <c r="L39251" s="23"/>
    </row>
    <row r="39252">
      <c r="B39252" s="19"/>
      <c r="E39252" s="23"/>
      <c r="L39252" s="23"/>
    </row>
    <row r="39253">
      <c r="B39253" s="19"/>
      <c r="E39253" s="23"/>
      <c r="L39253" s="23"/>
    </row>
    <row r="39254">
      <c r="B39254" s="19"/>
      <c r="E39254" s="23"/>
      <c r="L39254" s="23"/>
    </row>
    <row r="39255">
      <c r="B39255" s="19"/>
      <c r="E39255" s="23"/>
      <c r="L39255" s="23"/>
    </row>
    <row r="39256">
      <c r="B39256" s="19"/>
      <c r="E39256" s="23"/>
      <c r="L39256" s="23"/>
    </row>
    <row r="39257">
      <c r="B39257" s="19"/>
      <c r="E39257" s="23"/>
      <c r="L39257" s="23"/>
    </row>
    <row r="39258">
      <c r="B39258" s="19"/>
      <c r="E39258" s="23"/>
      <c r="L39258" s="23"/>
    </row>
    <row r="39259">
      <c r="B39259" s="19"/>
      <c r="E39259" s="23"/>
      <c r="L39259" s="23"/>
    </row>
    <row r="39260">
      <c r="B39260" s="19"/>
      <c r="E39260" s="23"/>
      <c r="L39260" s="23"/>
    </row>
    <row r="39261">
      <c r="B39261" s="19"/>
      <c r="E39261" s="23"/>
      <c r="L39261" s="23"/>
    </row>
    <row r="39262">
      <c r="B39262" s="19"/>
      <c r="E39262" s="23"/>
      <c r="L39262" s="23"/>
    </row>
    <row r="39263">
      <c r="B39263" s="19"/>
      <c r="E39263" s="23"/>
      <c r="L39263" s="23"/>
    </row>
    <row r="39264">
      <c r="B39264" s="19"/>
      <c r="E39264" s="23"/>
      <c r="L39264" s="23"/>
    </row>
    <row r="39265">
      <c r="B39265" s="19"/>
      <c r="E39265" s="23"/>
      <c r="L39265" s="23"/>
    </row>
    <row r="39266">
      <c r="B39266" s="19"/>
      <c r="E39266" s="23"/>
      <c r="L39266" s="23"/>
    </row>
    <row r="39267">
      <c r="B39267" s="19"/>
      <c r="E39267" s="23"/>
      <c r="L39267" s="23"/>
    </row>
    <row r="39268">
      <c r="B39268" s="19"/>
      <c r="E39268" s="23"/>
      <c r="L39268" s="23"/>
    </row>
    <row r="39269">
      <c r="B39269" s="19"/>
      <c r="E39269" s="23"/>
      <c r="L39269" s="23"/>
    </row>
    <row r="39270">
      <c r="B39270" s="19"/>
      <c r="E39270" s="23"/>
      <c r="L39270" s="23"/>
    </row>
    <row r="39271">
      <c r="B39271" s="19"/>
      <c r="E39271" s="23"/>
      <c r="L39271" s="23"/>
    </row>
    <row r="39272">
      <c r="B39272" s="19"/>
      <c r="E39272" s="23"/>
      <c r="L39272" s="23"/>
    </row>
    <row r="39273">
      <c r="B39273" s="19"/>
      <c r="E39273" s="23"/>
      <c r="L39273" s="23"/>
    </row>
    <row r="39274">
      <c r="B39274" s="19"/>
      <c r="E39274" s="23"/>
      <c r="L39274" s="23"/>
    </row>
    <row r="39275">
      <c r="B39275" s="19"/>
      <c r="E39275" s="23"/>
      <c r="L39275" s="23"/>
    </row>
    <row r="39276">
      <c r="B39276" s="19"/>
      <c r="E39276" s="23"/>
      <c r="L39276" s="23"/>
    </row>
    <row r="39277">
      <c r="B39277" s="19"/>
      <c r="E39277" s="23"/>
      <c r="L39277" s="23"/>
    </row>
    <row r="39278">
      <c r="B39278" s="19"/>
      <c r="E39278" s="23"/>
      <c r="L39278" s="23"/>
    </row>
    <row r="39279">
      <c r="B39279" s="19"/>
      <c r="E39279" s="23"/>
      <c r="L39279" s="23"/>
    </row>
    <row r="39280">
      <c r="B39280" s="19"/>
      <c r="E39280" s="23"/>
      <c r="L39280" s="23"/>
    </row>
    <row r="39281">
      <c r="B39281" s="19"/>
      <c r="E39281" s="23"/>
      <c r="L39281" s="23"/>
    </row>
    <row r="39282">
      <c r="B39282" s="19"/>
      <c r="E39282" s="23"/>
      <c r="L39282" s="23"/>
    </row>
    <row r="39283">
      <c r="B39283" s="19"/>
      <c r="E39283" s="23"/>
      <c r="L39283" s="23"/>
    </row>
    <row r="39284">
      <c r="B39284" s="19"/>
      <c r="E39284" s="23"/>
      <c r="L39284" s="23"/>
    </row>
    <row r="39285">
      <c r="B39285" s="19"/>
      <c r="E39285" s="23"/>
      <c r="L39285" s="23"/>
    </row>
    <row r="39286">
      <c r="B39286" s="19"/>
      <c r="E39286" s="23"/>
      <c r="L39286" s="23"/>
    </row>
    <row r="39287">
      <c r="B39287" s="19"/>
      <c r="E39287" s="23"/>
      <c r="L39287" s="23"/>
    </row>
    <row r="39288">
      <c r="B39288" s="19"/>
      <c r="E39288" s="23"/>
      <c r="L39288" s="23"/>
    </row>
    <row r="39289">
      <c r="B39289" s="19"/>
      <c r="E39289" s="23"/>
      <c r="L39289" s="23"/>
    </row>
    <row r="39290">
      <c r="B39290" s="19"/>
      <c r="E39290" s="23"/>
      <c r="L39290" s="23"/>
    </row>
    <row r="39291">
      <c r="B39291" s="19"/>
      <c r="E39291" s="23"/>
      <c r="L39291" s="23"/>
    </row>
    <row r="39292">
      <c r="B39292" s="19"/>
      <c r="E39292" s="23"/>
      <c r="L39292" s="23"/>
    </row>
    <row r="39293">
      <c r="B39293" s="19"/>
      <c r="E39293" s="23"/>
      <c r="L39293" s="23"/>
    </row>
    <row r="39294">
      <c r="B39294" s="19"/>
      <c r="E39294" s="23"/>
      <c r="L39294" s="23"/>
    </row>
    <row r="39295">
      <c r="B39295" s="19"/>
      <c r="E39295" s="23"/>
      <c r="L39295" s="23"/>
    </row>
    <row r="39296">
      <c r="B39296" s="19"/>
      <c r="E39296" s="23"/>
      <c r="L39296" s="23"/>
    </row>
    <row r="39297">
      <c r="B39297" s="19"/>
      <c r="E39297" s="23"/>
      <c r="L39297" s="23"/>
    </row>
    <row r="39298">
      <c r="B39298" s="19"/>
      <c r="E39298" s="23"/>
      <c r="L39298" s="23"/>
    </row>
    <row r="39299">
      <c r="B39299" s="19"/>
      <c r="E39299" s="23"/>
      <c r="L39299" s="23"/>
    </row>
    <row r="39300">
      <c r="B39300" s="19"/>
      <c r="E39300" s="23"/>
      <c r="L39300" s="23"/>
    </row>
    <row r="39301">
      <c r="B39301" s="19"/>
      <c r="E39301" s="23"/>
      <c r="L39301" s="23"/>
    </row>
    <row r="39302">
      <c r="B39302" s="19"/>
      <c r="E39302" s="23"/>
      <c r="L39302" s="23"/>
    </row>
    <row r="39303">
      <c r="B39303" s="19"/>
      <c r="E39303" s="23"/>
      <c r="L39303" s="23"/>
    </row>
    <row r="39304">
      <c r="B39304" s="19"/>
      <c r="E39304" s="23"/>
      <c r="L39304" s="23"/>
    </row>
    <row r="39305">
      <c r="B39305" s="19"/>
      <c r="E39305" s="23"/>
      <c r="L39305" s="23"/>
    </row>
    <row r="39306">
      <c r="B39306" s="19"/>
      <c r="E39306" s="23"/>
      <c r="L39306" s="23"/>
    </row>
    <row r="39307">
      <c r="B39307" s="19"/>
      <c r="E39307" s="23"/>
      <c r="L39307" s="23"/>
    </row>
    <row r="39308">
      <c r="B39308" s="19"/>
      <c r="E39308" s="23"/>
      <c r="L39308" s="23"/>
    </row>
    <row r="39309">
      <c r="B39309" s="19"/>
      <c r="E39309" s="23"/>
      <c r="L39309" s="23"/>
    </row>
    <row r="39310">
      <c r="B39310" s="19"/>
      <c r="E39310" s="23"/>
      <c r="L39310" s="23"/>
    </row>
    <row r="39311">
      <c r="B39311" s="19"/>
      <c r="E39311" s="23"/>
      <c r="L39311" s="23"/>
    </row>
    <row r="39312">
      <c r="B39312" s="19"/>
      <c r="E39312" s="23"/>
      <c r="L39312" s="23"/>
    </row>
    <row r="39313">
      <c r="B39313" s="19"/>
      <c r="E39313" s="23"/>
      <c r="L39313" s="23"/>
    </row>
    <row r="39314">
      <c r="B39314" s="19"/>
      <c r="E39314" s="23"/>
      <c r="L39314" s="23"/>
    </row>
    <row r="39315">
      <c r="B39315" s="19"/>
      <c r="E39315" s="23"/>
      <c r="L39315" s="23"/>
    </row>
    <row r="39316">
      <c r="B39316" s="19"/>
      <c r="E39316" s="23"/>
      <c r="L39316" s="23"/>
    </row>
    <row r="39317">
      <c r="B39317" s="19"/>
      <c r="E39317" s="23"/>
      <c r="L39317" s="23"/>
    </row>
    <row r="39318">
      <c r="B39318" s="19"/>
      <c r="E39318" s="23"/>
      <c r="L39318" s="23"/>
    </row>
    <row r="39319">
      <c r="B39319" s="19"/>
      <c r="E39319" s="23"/>
      <c r="L39319" s="23"/>
    </row>
    <row r="39320">
      <c r="B39320" s="19"/>
      <c r="E39320" s="23"/>
      <c r="L39320" s="23"/>
    </row>
    <row r="39321">
      <c r="B39321" s="19"/>
      <c r="E39321" s="23"/>
      <c r="L39321" s="23"/>
    </row>
    <row r="39322">
      <c r="B39322" s="19"/>
      <c r="E39322" s="23"/>
      <c r="L39322" s="23"/>
    </row>
    <row r="39323">
      <c r="B39323" s="19"/>
      <c r="E39323" s="23"/>
      <c r="L39323" s="23"/>
    </row>
    <row r="39324">
      <c r="B39324" s="19"/>
      <c r="E39324" s="23"/>
      <c r="L39324" s="23"/>
    </row>
    <row r="39325">
      <c r="B39325" s="19"/>
      <c r="E39325" s="23"/>
      <c r="L39325" s="23"/>
    </row>
    <row r="39326">
      <c r="B39326" s="19"/>
      <c r="E39326" s="23"/>
      <c r="L39326" s="23"/>
    </row>
    <row r="39327">
      <c r="B39327" s="19"/>
      <c r="E39327" s="23"/>
      <c r="L39327" s="23"/>
    </row>
    <row r="39328">
      <c r="B39328" s="19"/>
      <c r="E39328" s="23"/>
      <c r="L39328" s="23"/>
    </row>
    <row r="39329">
      <c r="B39329" s="19"/>
      <c r="E39329" s="23"/>
      <c r="L39329" s="23"/>
    </row>
    <row r="39330">
      <c r="B39330" s="19"/>
      <c r="E39330" s="23"/>
      <c r="L39330" s="23"/>
    </row>
    <row r="39331">
      <c r="B39331" s="19"/>
      <c r="E39331" s="23"/>
      <c r="L39331" s="23"/>
    </row>
    <row r="39332">
      <c r="B39332" s="19"/>
      <c r="E39332" s="23"/>
      <c r="L39332" s="23"/>
    </row>
    <row r="39333">
      <c r="B39333" s="19"/>
      <c r="E39333" s="23"/>
      <c r="L39333" s="23"/>
    </row>
    <row r="39334">
      <c r="B39334" s="19"/>
      <c r="E39334" s="23"/>
      <c r="L39334" s="23"/>
    </row>
    <row r="39335">
      <c r="B39335" s="19"/>
      <c r="E39335" s="23"/>
      <c r="L39335" s="23"/>
    </row>
    <row r="39336">
      <c r="B39336" s="19"/>
      <c r="E39336" s="23"/>
      <c r="L39336" s="23"/>
    </row>
    <row r="39337">
      <c r="B39337" s="19"/>
      <c r="E39337" s="23"/>
      <c r="L39337" s="23"/>
    </row>
    <row r="39338">
      <c r="B39338" s="19"/>
      <c r="E39338" s="23"/>
      <c r="L39338" s="23"/>
    </row>
    <row r="39339">
      <c r="B39339" s="19"/>
      <c r="E39339" s="23"/>
      <c r="L39339" s="23"/>
    </row>
    <row r="39340">
      <c r="B39340" s="19"/>
      <c r="E39340" s="23"/>
      <c r="L39340" s="23"/>
    </row>
    <row r="39341">
      <c r="B39341" s="19"/>
      <c r="E39341" s="23"/>
      <c r="L39341" s="23"/>
    </row>
    <row r="39342">
      <c r="B39342" s="19"/>
      <c r="E39342" s="23"/>
      <c r="L39342" s="23"/>
    </row>
    <row r="39343">
      <c r="B39343" s="19"/>
      <c r="E39343" s="23"/>
      <c r="L39343" s="23"/>
    </row>
    <row r="39344">
      <c r="B39344" s="19"/>
      <c r="E39344" s="23"/>
      <c r="L39344" s="23"/>
    </row>
    <row r="39345">
      <c r="B39345" s="19"/>
      <c r="E39345" s="23"/>
      <c r="L39345" s="23"/>
    </row>
    <row r="39346">
      <c r="B39346" s="19"/>
      <c r="E39346" s="23"/>
      <c r="L39346" s="23"/>
    </row>
    <row r="39347">
      <c r="B39347" s="19"/>
      <c r="E39347" s="23"/>
      <c r="L39347" s="23"/>
    </row>
    <row r="39348">
      <c r="B39348" s="19"/>
      <c r="E39348" s="23"/>
      <c r="L39348" s="23"/>
    </row>
    <row r="39349">
      <c r="B39349" s="19"/>
      <c r="E39349" s="23"/>
      <c r="L39349" s="23"/>
    </row>
    <row r="39350">
      <c r="B39350" s="19"/>
      <c r="E39350" s="23"/>
      <c r="L39350" s="23"/>
    </row>
    <row r="39351">
      <c r="B39351" s="19"/>
      <c r="E39351" s="23"/>
      <c r="L39351" s="23"/>
    </row>
    <row r="39352">
      <c r="B39352" s="19"/>
      <c r="E39352" s="23"/>
      <c r="L39352" s="23"/>
    </row>
    <row r="39353">
      <c r="B39353" s="19"/>
      <c r="E39353" s="23"/>
      <c r="L39353" s="23"/>
    </row>
    <row r="39354">
      <c r="B39354" s="19"/>
      <c r="E39354" s="23"/>
      <c r="L39354" s="23"/>
    </row>
    <row r="39355">
      <c r="B39355" s="19"/>
      <c r="E39355" s="23"/>
      <c r="L39355" s="23"/>
    </row>
    <row r="39356">
      <c r="B39356" s="19"/>
      <c r="E39356" s="23"/>
      <c r="L39356" s="23"/>
    </row>
    <row r="39357">
      <c r="B39357" s="19"/>
      <c r="E39357" s="23"/>
      <c r="L39357" s="23"/>
    </row>
    <row r="39358">
      <c r="B39358" s="19"/>
      <c r="E39358" s="23"/>
      <c r="L39358" s="23"/>
    </row>
    <row r="39359">
      <c r="B39359" s="19"/>
      <c r="E39359" s="23"/>
      <c r="L39359" s="23"/>
    </row>
    <row r="39360">
      <c r="B39360" s="19"/>
      <c r="E39360" s="23"/>
      <c r="L39360" s="23"/>
    </row>
    <row r="39361">
      <c r="B39361" s="19"/>
      <c r="E39361" s="23"/>
      <c r="L39361" s="23"/>
    </row>
    <row r="39362">
      <c r="B39362" s="19"/>
      <c r="E39362" s="23"/>
      <c r="L39362" s="23"/>
    </row>
    <row r="39363">
      <c r="B39363" s="19"/>
      <c r="E39363" s="23"/>
      <c r="L39363" s="23"/>
    </row>
    <row r="39364">
      <c r="B39364" s="19"/>
      <c r="E39364" s="23"/>
      <c r="L39364" s="23"/>
    </row>
    <row r="39365">
      <c r="B39365" s="19"/>
      <c r="E39365" s="23"/>
      <c r="L39365" s="23"/>
    </row>
    <row r="39366">
      <c r="B39366" s="19"/>
      <c r="E39366" s="23"/>
      <c r="L39366" s="23"/>
    </row>
    <row r="39367">
      <c r="B39367" s="19"/>
      <c r="E39367" s="23"/>
      <c r="L39367" s="23"/>
    </row>
    <row r="39368">
      <c r="B39368" s="19"/>
      <c r="E39368" s="23"/>
      <c r="L39368" s="23"/>
    </row>
    <row r="39369">
      <c r="B39369" s="19"/>
      <c r="E39369" s="23"/>
      <c r="L39369" s="23"/>
    </row>
    <row r="39370">
      <c r="B39370" s="19"/>
      <c r="E39370" s="23"/>
      <c r="L39370" s="23"/>
    </row>
    <row r="39371">
      <c r="B39371" s="19"/>
      <c r="E39371" s="23"/>
      <c r="L39371" s="23"/>
    </row>
    <row r="39372">
      <c r="B39372" s="19"/>
      <c r="E39372" s="23"/>
      <c r="L39372" s="23"/>
    </row>
    <row r="39373">
      <c r="B39373" s="19"/>
      <c r="E39373" s="23"/>
      <c r="L39373" s="23"/>
    </row>
    <row r="39374">
      <c r="B39374" s="19"/>
      <c r="E39374" s="23"/>
      <c r="L39374" s="23"/>
    </row>
    <row r="39375">
      <c r="B39375" s="19"/>
      <c r="E39375" s="23"/>
      <c r="L39375" s="23"/>
    </row>
    <row r="39376">
      <c r="B39376" s="19"/>
      <c r="E39376" s="23"/>
      <c r="L39376" s="23"/>
    </row>
    <row r="39377">
      <c r="B39377" s="19"/>
      <c r="E39377" s="23"/>
      <c r="L39377" s="23"/>
    </row>
    <row r="39378">
      <c r="B39378" s="19"/>
      <c r="E39378" s="23"/>
      <c r="L39378" s="23"/>
    </row>
    <row r="39379">
      <c r="B39379" s="19"/>
      <c r="E39379" s="23"/>
      <c r="L39379" s="23"/>
    </row>
    <row r="39380">
      <c r="B39380" s="19"/>
      <c r="E39380" s="23"/>
      <c r="L39380" s="23"/>
    </row>
    <row r="39381">
      <c r="B39381" s="19"/>
      <c r="E39381" s="23"/>
      <c r="L39381" s="23"/>
    </row>
    <row r="39382">
      <c r="B39382" s="19"/>
      <c r="E39382" s="23"/>
      <c r="L39382" s="23"/>
    </row>
    <row r="39383">
      <c r="B39383" s="19"/>
      <c r="E39383" s="23"/>
      <c r="L39383" s="23"/>
    </row>
    <row r="39384">
      <c r="B39384" s="19"/>
      <c r="E39384" s="23"/>
      <c r="L39384" s="23"/>
    </row>
    <row r="39385">
      <c r="B39385" s="19"/>
      <c r="E39385" s="23"/>
      <c r="L39385" s="23"/>
    </row>
    <row r="39386">
      <c r="B39386" s="19"/>
      <c r="E39386" s="23"/>
      <c r="L39386" s="23"/>
    </row>
    <row r="39387">
      <c r="B39387" s="19"/>
      <c r="E39387" s="23"/>
      <c r="L39387" s="23"/>
    </row>
    <row r="39388">
      <c r="B39388" s="19"/>
      <c r="E39388" s="23"/>
      <c r="L39388" s="23"/>
    </row>
    <row r="39389">
      <c r="B39389" s="19"/>
      <c r="E39389" s="23"/>
      <c r="L39389" s="23"/>
    </row>
    <row r="39390">
      <c r="B39390" s="19"/>
      <c r="E39390" s="23"/>
      <c r="L39390" s="23"/>
    </row>
    <row r="39391">
      <c r="B39391" s="19"/>
      <c r="E39391" s="23"/>
      <c r="L39391" s="23"/>
    </row>
    <row r="39392">
      <c r="B39392" s="19"/>
      <c r="E39392" s="23"/>
      <c r="L39392" s="23"/>
    </row>
    <row r="39393">
      <c r="B39393" s="19"/>
      <c r="E39393" s="23"/>
      <c r="L39393" s="23"/>
    </row>
    <row r="39394">
      <c r="B39394" s="19"/>
      <c r="E39394" s="23"/>
      <c r="L39394" s="23"/>
    </row>
    <row r="39395">
      <c r="B39395" s="19"/>
      <c r="E39395" s="23"/>
      <c r="L39395" s="23"/>
    </row>
    <row r="39396">
      <c r="B39396" s="19"/>
      <c r="E39396" s="23"/>
      <c r="L39396" s="23"/>
    </row>
    <row r="39397">
      <c r="B39397" s="19"/>
      <c r="E39397" s="23"/>
      <c r="L39397" s="23"/>
    </row>
    <row r="39398">
      <c r="B39398" s="19"/>
      <c r="E39398" s="23"/>
      <c r="L39398" s="23"/>
    </row>
    <row r="39399">
      <c r="B39399" s="19"/>
      <c r="E39399" s="23"/>
      <c r="L39399" s="23"/>
    </row>
    <row r="39400">
      <c r="B39400" s="19"/>
      <c r="E39400" s="23"/>
      <c r="L39400" s="23"/>
    </row>
    <row r="39401">
      <c r="B39401" s="19"/>
      <c r="E39401" s="23"/>
      <c r="L39401" s="23"/>
    </row>
    <row r="39402">
      <c r="B39402" s="19"/>
      <c r="E39402" s="23"/>
      <c r="L39402" s="23"/>
    </row>
    <row r="39403">
      <c r="B39403" s="19"/>
      <c r="E39403" s="23"/>
      <c r="L39403" s="23"/>
    </row>
    <row r="39404">
      <c r="B39404" s="19"/>
      <c r="E39404" s="23"/>
      <c r="L39404" s="23"/>
    </row>
    <row r="39405">
      <c r="B39405" s="19"/>
      <c r="E39405" s="23"/>
      <c r="L39405" s="23"/>
    </row>
    <row r="39406">
      <c r="B39406" s="19"/>
      <c r="E39406" s="23"/>
      <c r="L39406" s="23"/>
    </row>
    <row r="39407">
      <c r="B39407" s="19"/>
      <c r="E39407" s="23"/>
      <c r="L39407" s="23"/>
    </row>
    <row r="39408">
      <c r="B39408" s="19"/>
      <c r="E39408" s="23"/>
      <c r="L39408" s="23"/>
    </row>
    <row r="39409">
      <c r="B39409" s="19"/>
      <c r="E39409" s="23"/>
      <c r="L39409" s="23"/>
    </row>
    <row r="39410">
      <c r="B39410" s="19"/>
      <c r="E39410" s="23"/>
      <c r="L39410" s="23"/>
    </row>
    <row r="39411">
      <c r="B39411" s="19"/>
      <c r="E39411" s="23"/>
      <c r="L39411" s="23"/>
    </row>
    <row r="39412">
      <c r="B39412" s="19"/>
      <c r="E39412" s="23"/>
      <c r="L39412" s="23"/>
    </row>
    <row r="39413">
      <c r="B39413" s="19"/>
      <c r="E39413" s="23"/>
      <c r="L39413" s="23"/>
    </row>
    <row r="39414">
      <c r="B39414" s="19"/>
      <c r="E39414" s="23"/>
      <c r="L39414" s="23"/>
    </row>
    <row r="39415">
      <c r="B39415" s="19"/>
      <c r="E39415" s="23"/>
      <c r="L39415" s="23"/>
    </row>
    <row r="39416">
      <c r="B39416" s="19"/>
      <c r="E39416" s="23"/>
      <c r="L39416" s="23"/>
    </row>
    <row r="39417">
      <c r="B39417" s="19"/>
      <c r="E39417" s="23"/>
      <c r="L39417" s="23"/>
    </row>
    <row r="39418">
      <c r="B39418" s="19"/>
      <c r="E39418" s="23"/>
      <c r="L39418" s="23"/>
    </row>
    <row r="39419">
      <c r="B39419" s="19"/>
      <c r="E39419" s="23"/>
      <c r="L39419" s="23"/>
    </row>
    <row r="39420">
      <c r="B39420" s="19"/>
      <c r="E39420" s="23"/>
      <c r="L39420" s="23"/>
    </row>
    <row r="39421">
      <c r="B39421" s="19"/>
      <c r="E39421" s="23"/>
      <c r="L39421" s="23"/>
    </row>
    <row r="39422">
      <c r="B39422" s="19"/>
      <c r="E39422" s="23"/>
      <c r="L39422" s="23"/>
    </row>
    <row r="39423">
      <c r="B39423" s="19"/>
      <c r="E39423" s="23"/>
      <c r="L39423" s="23"/>
    </row>
    <row r="39424">
      <c r="B39424" s="19"/>
      <c r="E39424" s="23"/>
      <c r="L39424" s="23"/>
    </row>
    <row r="39425">
      <c r="B39425" s="19"/>
      <c r="E39425" s="23"/>
      <c r="L39425" s="23"/>
    </row>
    <row r="39426">
      <c r="B39426" s="19"/>
      <c r="E39426" s="23"/>
      <c r="L39426" s="23"/>
    </row>
    <row r="39427">
      <c r="B39427" s="19"/>
      <c r="E39427" s="23"/>
      <c r="L39427" s="23"/>
    </row>
    <row r="39428">
      <c r="B39428" s="19"/>
      <c r="E39428" s="23"/>
      <c r="L39428" s="23"/>
    </row>
    <row r="39429">
      <c r="B39429" s="19"/>
      <c r="E39429" s="23"/>
      <c r="L39429" s="23"/>
    </row>
    <row r="39430">
      <c r="B39430" s="19"/>
      <c r="E39430" s="23"/>
      <c r="L39430" s="23"/>
    </row>
    <row r="39431">
      <c r="B39431" s="19"/>
      <c r="E39431" s="23"/>
      <c r="L39431" s="23"/>
    </row>
    <row r="39432">
      <c r="B39432" s="19"/>
      <c r="E39432" s="23"/>
      <c r="L39432" s="23"/>
    </row>
    <row r="39433">
      <c r="B39433" s="19"/>
      <c r="E39433" s="23"/>
      <c r="L39433" s="23"/>
    </row>
    <row r="39434">
      <c r="B39434" s="19"/>
      <c r="E39434" s="23"/>
      <c r="L39434" s="23"/>
    </row>
    <row r="39435">
      <c r="B39435" s="19"/>
      <c r="E39435" s="23"/>
      <c r="L39435" s="23"/>
    </row>
    <row r="39436">
      <c r="B39436" s="19"/>
      <c r="E39436" s="23"/>
      <c r="L39436" s="23"/>
    </row>
    <row r="39437">
      <c r="B39437" s="19"/>
      <c r="E39437" s="23"/>
      <c r="L39437" s="23"/>
    </row>
    <row r="39438">
      <c r="B39438" s="19"/>
      <c r="E39438" s="23"/>
      <c r="L39438" s="23"/>
    </row>
    <row r="39439">
      <c r="B39439" s="19"/>
      <c r="E39439" s="23"/>
      <c r="L39439" s="23"/>
    </row>
    <row r="39440">
      <c r="B39440" s="19"/>
      <c r="E39440" s="23"/>
      <c r="L39440" s="23"/>
    </row>
    <row r="39441">
      <c r="B39441" s="19"/>
      <c r="E39441" s="23"/>
      <c r="L39441" s="23"/>
    </row>
    <row r="39442">
      <c r="B39442" s="19"/>
      <c r="E39442" s="23"/>
      <c r="L39442" s="23"/>
    </row>
    <row r="39443">
      <c r="B39443" s="19"/>
      <c r="E39443" s="23"/>
      <c r="L39443" s="23"/>
    </row>
    <row r="39444">
      <c r="B39444" s="19"/>
      <c r="E39444" s="23"/>
      <c r="L39444" s="23"/>
    </row>
    <row r="39445">
      <c r="B39445" s="19"/>
      <c r="E39445" s="23"/>
      <c r="L39445" s="23"/>
    </row>
    <row r="39446">
      <c r="B39446" s="19"/>
      <c r="E39446" s="23"/>
      <c r="L39446" s="23"/>
    </row>
    <row r="39447">
      <c r="B39447" s="19"/>
      <c r="E39447" s="23"/>
      <c r="L39447" s="23"/>
    </row>
    <row r="39448">
      <c r="B39448" s="19"/>
      <c r="E39448" s="23"/>
      <c r="L39448" s="23"/>
    </row>
    <row r="39449">
      <c r="B39449" s="19"/>
      <c r="E39449" s="23"/>
      <c r="L39449" s="23"/>
    </row>
    <row r="39450">
      <c r="B39450" s="19"/>
      <c r="E39450" s="23"/>
      <c r="L39450" s="23"/>
    </row>
    <row r="39451">
      <c r="B39451" s="19"/>
      <c r="E39451" s="23"/>
      <c r="L39451" s="23"/>
    </row>
    <row r="39452">
      <c r="B39452" s="19"/>
      <c r="E39452" s="23"/>
      <c r="L39452" s="23"/>
    </row>
    <row r="39453">
      <c r="B39453" s="19"/>
      <c r="E39453" s="23"/>
      <c r="L39453" s="23"/>
    </row>
    <row r="39454">
      <c r="B39454" s="19"/>
      <c r="E39454" s="23"/>
      <c r="L39454" s="23"/>
    </row>
    <row r="39455">
      <c r="B39455" s="19"/>
      <c r="E39455" s="23"/>
      <c r="L39455" s="23"/>
    </row>
    <row r="39456">
      <c r="B39456" s="19"/>
      <c r="E39456" s="23"/>
      <c r="L39456" s="23"/>
    </row>
    <row r="39457">
      <c r="B39457" s="19"/>
      <c r="E39457" s="23"/>
      <c r="L39457" s="23"/>
    </row>
    <row r="39458">
      <c r="B39458" s="19"/>
      <c r="E39458" s="23"/>
      <c r="L39458" s="23"/>
    </row>
    <row r="39459">
      <c r="B39459" s="19"/>
      <c r="E39459" s="23"/>
      <c r="L39459" s="23"/>
    </row>
    <row r="39460">
      <c r="B39460" s="19"/>
      <c r="E39460" s="23"/>
      <c r="L39460" s="23"/>
    </row>
    <row r="39461">
      <c r="B39461" s="19"/>
      <c r="E39461" s="23"/>
      <c r="L39461" s="23"/>
    </row>
    <row r="39462">
      <c r="B39462" s="19"/>
      <c r="E39462" s="23"/>
      <c r="L39462" s="23"/>
    </row>
    <row r="39463">
      <c r="B39463" s="19"/>
      <c r="E39463" s="23"/>
      <c r="L39463" s="23"/>
    </row>
    <row r="39464">
      <c r="B39464" s="19"/>
      <c r="E39464" s="23"/>
      <c r="L39464" s="23"/>
    </row>
    <row r="39465">
      <c r="B39465" s="19"/>
      <c r="E39465" s="23"/>
      <c r="L39465" s="23"/>
    </row>
    <row r="39466">
      <c r="B39466" s="19"/>
      <c r="E39466" s="23"/>
      <c r="L39466" s="23"/>
    </row>
    <row r="39467">
      <c r="B39467" s="19"/>
      <c r="E39467" s="23"/>
      <c r="L39467" s="23"/>
    </row>
    <row r="39468">
      <c r="B39468" s="19"/>
      <c r="E39468" s="23"/>
      <c r="L39468" s="23"/>
    </row>
    <row r="39469">
      <c r="B39469" s="19"/>
      <c r="E39469" s="23"/>
      <c r="L39469" s="23"/>
    </row>
    <row r="39470">
      <c r="B39470" s="19"/>
      <c r="E39470" s="23"/>
      <c r="L39470" s="23"/>
    </row>
    <row r="39471">
      <c r="B39471" s="19"/>
      <c r="E39471" s="23"/>
      <c r="L39471" s="23"/>
    </row>
    <row r="39472">
      <c r="B39472" s="19"/>
      <c r="E39472" s="23"/>
      <c r="L39472" s="23"/>
    </row>
    <row r="39473">
      <c r="B39473" s="19"/>
      <c r="E39473" s="23"/>
      <c r="L39473" s="23"/>
    </row>
    <row r="39474">
      <c r="B39474" s="19"/>
      <c r="E39474" s="23"/>
      <c r="L39474" s="23"/>
    </row>
    <row r="39475">
      <c r="B39475" s="19"/>
      <c r="E39475" s="23"/>
      <c r="L39475" s="23"/>
    </row>
    <row r="39476">
      <c r="B39476" s="19"/>
      <c r="E39476" s="23"/>
      <c r="L39476" s="23"/>
    </row>
    <row r="39477">
      <c r="B39477" s="19"/>
      <c r="E39477" s="23"/>
      <c r="L39477" s="23"/>
    </row>
    <row r="39478">
      <c r="B39478" s="19"/>
      <c r="E39478" s="23"/>
      <c r="L39478" s="23"/>
    </row>
    <row r="39479">
      <c r="B39479" s="19"/>
      <c r="E39479" s="23"/>
      <c r="L39479" s="23"/>
    </row>
    <row r="39480">
      <c r="B39480" s="19"/>
      <c r="E39480" s="23"/>
      <c r="L39480" s="23"/>
    </row>
    <row r="39481">
      <c r="B39481" s="19"/>
      <c r="E39481" s="23"/>
      <c r="L39481" s="23"/>
    </row>
    <row r="39482">
      <c r="B39482" s="19"/>
      <c r="E39482" s="23"/>
      <c r="L39482" s="23"/>
    </row>
    <row r="39483">
      <c r="B39483" s="19"/>
      <c r="E39483" s="23"/>
      <c r="L39483" s="23"/>
    </row>
    <row r="39484">
      <c r="B39484" s="19"/>
      <c r="E39484" s="23"/>
      <c r="L39484" s="23"/>
    </row>
    <row r="39485">
      <c r="B39485" s="19"/>
      <c r="E39485" s="23"/>
      <c r="L39485" s="23"/>
    </row>
    <row r="39486">
      <c r="B39486" s="19"/>
      <c r="E39486" s="23"/>
      <c r="L39486" s="23"/>
    </row>
    <row r="39487">
      <c r="B39487" s="19"/>
      <c r="E39487" s="23"/>
      <c r="L39487" s="23"/>
    </row>
    <row r="39488">
      <c r="B39488" s="19"/>
      <c r="E39488" s="23"/>
      <c r="L39488" s="23"/>
    </row>
    <row r="39489">
      <c r="B39489" s="19"/>
      <c r="E39489" s="23"/>
      <c r="L39489" s="23"/>
    </row>
    <row r="39490">
      <c r="B39490" s="19"/>
      <c r="E39490" s="23"/>
      <c r="L39490" s="23"/>
    </row>
    <row r="39491">
      <c r="B39491" s="19"/>
      <c r="E39491" s="23"/>
      <c r="L39491" s="23"/>
    </row>
    <row r="39492">
      <c r="B39492" s="19"/>
      <c r="E39492" s="23"/>
      <c r="L39492" s="23"/>
    </row>
    <row r="39493">
      <c r="B39493" s="19"/>
      <c r="E39493" s="23"/>
      <c r="L39493" s="23"/>
    </row>
    <row r="39494">
      <c r="B39494" s="19"/>
      <c r="E39494" s="23"/>
      <c r="L39494" s="23"/>
    </row>
    <row r="39495">
      <c r="B39495" s="19"/>
      <c r="E39495" s="23"/>
      <c r="L39495" s="23"/>
    </row>
    <row r="39496">
      <c r="B39496" s="19"/>
      <c r="E39496" s="23"/>
      <c r="L39496" s="23"/>
    </row>
    <row r="39497">
      <c r="B39497" s="19"/>
      <c r="E39497" s="23"/>
      <c r="L39497" s="23"/>
    </row>
    <row r="39498">
      <c r="B39498" s="19"/>
      <c r="E39498" s="23"/>
      <c r="L39498" s="23"/>
    </row>
    <row r="39499">
      <c r="B39499" s="19"/>
      <c r="E39499" s="23"/>
      <c r="L39499" s="23"/>
    </row>
    <row r="39500">
      <c r="B39500" s="19"/>
      <c r="E39500" s="23"/>
      <c r="L39500" s="23"/>
    </row>
    <row r="39501">
      <c r="B39501" s="19"/>
      <c r="E39501" s="23"/>
      <c r="L39501" s="23"/>
    </row>
    <row r="39502">
      <c r="B39502" s="19"/>
      <c r="E39502" s="23"/>
      <c r="L39502" s="23"/>
    </row>
    <row r="39503">
      <c r="B39503" s="19"/>
      <c r="E39503" s="23"/>
      <c r="L39503" s="23"/>
    </row>
    <row r="39504">
      <c r="B39504" s="19"/>
      <c r="E39504" s="23"/>
      <c r="L39504" s="23"/>
    </row>
    <row r="39505">
      <c r="B39505" s="19"/>
      <c r="E39505" s="23"/>
      <c r="L39505" s="23"/>
    </row>
    <row r="39506">
      <c r="B39506" s="19"/>
      <c r="E39506" s="23"/>
      <c r="L39506" s="23"/>
    </row>
    <row r="39507">
      <c r="B39507" s="19"/>
      <c r="E39507" s="23"/>
      <c r="L39507" s="23"/>
    </row>
    <row r="39508">
      <c r="B39508" s="19"/>
      <c r="E39508" s="23"/>
      <c r="L39508" s="23"/>
    </row>
    <row r="39509">
      <c r="B39509" s="19"/>
      <c r="E39509" s="23"/>
      <c r="L39509" s="23"/>
    </row>
    <row r="39510">
      <c r="B39510" s="19"/>
      <c r="E39510" s="23"/>
      <c r="L39510" s="23"/>
    </row>
    <row r="39511">
      <c r="B39511" s="19"/>
      <c r="E39511" s="23"/>
      <c r="L39511" s="23"/>
    </row>
    <row r="39512">
      <c r="B39512" s="19"/>
      <c r="E39512" s="23"/>
      <c r="L39512" s="23"/>
    </row>
    <row r="39513">
      <c r="B39513" s="19"/>
      <c r="E39513" s="23"/>
      <c r="L39513" s="23"/>
    </row>
    <row r="39514">
      <c r="B39514" s="19"/>
      <c r="E39514" s="23"/>
      <c r="L39514" s="23"/>
    </row>
    <row r="39515">
      <c r="B39515" s="19"/>
      <c r="E39515" s="23"/>
      <c r="L39515" s="23"/>
    </row>
    <row r="39516">
      <c r="B39516" s="19"/>
      <c r="E39516" s="23"/>
      <c r="L39516" s="23"/>
    </row>
    <row r="39517">
      <c r="B39517" s="19"/>
      <c r="E39517" s="23"/>
      <c r="L39517" s="23"/>
    </row>
    <row r="39518">
      <c r="B39518" s="19"/>
      <c r="E39518" s="23"/>
      <c r="L39518" s="23"/>
    </row>
    <row r="39519">
      <c r="B39519" s="19"/>
      <c r="E39519" s="23"/>
      <c r="L39519" s="23"/>
    </row>
    <row r="39520">
      <c r="B39520" s="19"/>
      <c r="E39520" s="23"/>
      <c r="L39520" s="23"/>
    </row>
    <row r="39521">
      <c r="B39521" s="19"/>
      <c r="E39521" s="23"/>
      <c r="L39521" s="23"/>
    </row>
    <row r="39522">
      <c r="B39522" s="19"/>
      <c r="E39522" s="23"/>
      <c r="L39522" s="23"/>
    </row>
    <row r="39523">
      <c r="B39523" s="19"/>
      <c r="E39523" s="23"/>
      <c r="L39523" s="23"/>
    </row>
    <row r="39524">
      <c r="B39524" s="19"/>
      <c r="E39524" s="23"/>
      <c r="L39524" s="23"/>
    </row>
    <row r="39525">
      <c r="B39525" s="19"/>
      <c r="E39525" s="23"/>
      <c r="L39525" s="23"/>
    </row>
    <row r="39526">
      <c r="B39526" s="19"/>
      <c r="E39526" s="23"/>
      <c r="L39526" s="23"/>
    </row>
    <row r="39527">
      <c r="B39527" s="19"/>
      <c r="E39527" s="23"/>
      <c r="L39527" s="23"/>
    </row>
    <row r="39528">
      <c r="B39528" s="19"/>
      <c r="E39528" s="23"/>
      <c r="L39528" s="23"/>
    </row>
    <row r="39529">
      <c r="B39529" s="19"/>
      <c r="E39529" s="23"/>
      <c r="L39529" s="23"/>
    </row>
    <row r="39530">
      <c r="B39530" s="19"/>
      <c r="E39530" s="23"/>
      <c r="L39530" s="23"/>
    </row>
    <row r="39531">
      <c r="B39531" s="19"/>
      <c r="E39531" s="23"/>
      <c r="L39531" s="23"/>
    </row>
    <row r="39532">
      <c r="B39532" s="19"/>
      <c r="E39532" s="23"/>
      <c r="L39532" s="23"/>
    </row>
    <row r="39533">
      <c r="B39533" s="19"/>
      <c r="E39533" s="23"/>
      <c r="L39533" s="23"/>
    </row>
    <row r="39534">
      <c r="B39534" s="19"/>
      <c r="E39534" s="23"/>
      <c r="L39534" s="23"/>
    </row>
    <row r="39535">
      <c r="B39535" s="19"/>
      <c r="E39535" s="23"/>
      <c r="L39535" s="23"/>
    </row>
    <row r="39536">
      <c r="B39536" s="19"/>
      <c r="E39536" s="23"/>
      <c r="L39536" s="23"/>
    </row>
    <row r="39537">
      <c r="B39537" s="19"/>
      <c r="E39537" s="23"/>
      <c r="L39537" s="23"/>
    </row>
    <row r="39538">
      <c r="B39538" s="19"/>
      <c r="E39538" s="23"/>
      <c r="L39538" s="23"/>
    </row>
    <row r="39539">
      <c r="B39539" s="19"/>
      <c r="E39539" s="23"/>
      <c r="L39539" s="23"/>
    </row>
    <row r="39540">
      <c r="B39540" s="19"/>
      <c r="E39540" s="23"/>
      <c r="L39540" s="23"/>
    </row>
    <row r="39541">
      <c r="B39541" s="19"/>
      <c r="E39541" s="23"/>
      <c r="L39541" s="23"/>
    </row>
    <row r="39542">
      <c r="B39542" s="19"/>
      <c r="E39542" s="23"/>
      <c r="L39542" s="23"/>
    </row>
    <row r="39543">
      <c r="B39543" s="19"/>
      <c r="E39543" s="23"/>
      <c r="L39543" s="23"/>
    </row>
    <row r="39544">
      <c r="B39544" s="19"/>
      <c r="E39544" s="23"/>
      <c r="L39544" s="23"/>
    </row>
    <row r="39545">
      <c r="B39545" s="19"/>
      <c r="E39545" s="23"/>
      <c r="L39545" s="23"/>
    </row>
    <row r="39546">
      <c r="B39546" s="19"/>
      <c r="E39546" s="23"/>
      <c r="L39546" s="23"/>
    </row>
    <row r="39547">
      <c r="B39547" s="19"/>
      <c r="E39547" s="23"/>
      <c r="L39547" s="23"/>
    </row>
    <row r="39548">
      <c r="B39548" s="19"/>
      <c r="E39548" s="23"/>
      <c r="L39548" s="23"/>
    </row>
    <row r="39549">
      <c r="B39549" s="19"/>
      <c r="E39549" s="23"/>
      <c r="L39549" s="23"/>
    </row>
    <row r="39550">
      <c r="B39550" s="19"/>
      <c r="E39550" s="23"/>
      <c r="L39550" s="23"/>
    </row>
    <row r="39551">
      <c r="B39551" s="19"/>
      <c r="E39551" s="23"/>
      <c r="L39551" s="23"/>
    </row>
    <row r="39552">
      <c r="B39552" s="19"/>
      <c r="E39552" s="23"/>
      <c r="L39552" s="23"/>
    </row>
    <row r="39553">
      <c r="B39553" s="19"/>
      <c r="E39553" s="23"/>
      <c r="L39553" s="23"/>
    </row>
    <row r="39554">
      <c r="B39554" s="19"/>
      <c r="E39554" s="23"/>
      <c r="L39554" s="23"/>
    </row>
    <row r="39555">
      <c r="B39555" s="19"/>
      <c r="E39555" s="23"/>
      <c r="L39555" s="23"/>
    </row>
    <row r="39556">
      <c r="B39556" s="19"/>
      <c r="E39556" s="23"/>
      <c r="L39556" s="23"/>
    </row>
    <row r="39557">
      <c r="B39557" s="19"/>
      <c r="E39557" s="23"/>
      <c r="L39557" s="23"/>
    </row>
    <row r="39558">
      <c r="B39558" s="19"/>
      <c r="E39558" s="23"/>
      <c r="L39558" s="23"/>
    </row>
    <row r="39559">
      <c r="B39559" s="19"/>
      <c r="E39559" s="23"/>
      <c r="L39559" s="23"/>
    </row>
    <row r="39560">
      <c r="B39560" s="19"/>
      <c r="E39560" s="23"/>
      <c r="L39560" s="23"/>
    </row>
    <row r="39561">
      <c r="B39561" s="19"/>
      <c r="E39561" s="23"/>
      <c r="L39561" s="23"/>
    </row>
    <row r="39562">
      <c r="B39562" s="19"/>
      <c r="E39562" s="23"/>
      <c r="L39562" s="23"/>
    </row>
    <row r="39563">
      <c r="B39563" s="19"/>
      <c r="E39563" s="23"/>
      <c r="L39563" s="23"/>
    </row>
    <row r="39564">
      <c r="B39564" s="19"/>
      <c r="E39564" s="23"/>
      <c r="L39564" s="23"/>
    </row>
    <row r="39565">
      <c r="B39565" s="19"/>
      <c r="E39565" s="23"/>
      <c r="L39565" s="23"/>
    </row>
    <row r="39566">
      <c r="B39566" s="19"/>
      <c r="E39566" s="23"/>
      <c r="L39566" s="23"/>
    </row>
    <row r="39567">
      <c r="B39567" s="19"/>
      <c r="E39567" s="23"/>
      <c r="L39567" s="23"/>
    </row>
    <row r="39568">
      <c r="B39568" s="19"/>
      <c r="E39568" s="23"/>
      <c r="L39568" s="23"/>
    </row>
    <row r="39569">
      <c r="B39569" s="19"/>
      <c r="E39569" s="23"/>
      <c r="L39569" s="23"/>
    </row>
    <row r="39570">
      <c r="B39570" s="19"/>
      <c r="E39570" s="23"/>
      <c r="L39570" s="23"/>
    </row>
    <row r="39571">
      <c r="B39571" s="19"/>
      <c r="E39571" s="23"/>
      <c r="L39571" s="23"/>
    </row>
    <row r="39572">
      <c r="B39572" s="19"/>
      <c r="E39572" s="23"/>
      <c r="L39572" s="23"/>
    </row>
    <row r="39573">
      <c r="B39573" s="19"/>
      <c r="E39573" s="23"/>
      <c r="L39573" s="23"/>
    </row>
    <row r="39574">
      <c r="B39574" s="19"/>
      <c r="E39574" s="23"/>
      <c r="L39574" s="23"/>
    </row>
    <row r="39575">
      <c r="B39575" s="19"/>
      <c r="E39575" s="23"/>
      <c r="L39575" s="23"/>
    </row>
    <row r="39576">
      <c r="B39576" s="19"/>
      <c r="E39576" s="23"/>
      <c r="L39576" s="23"/>
    </row>
    <row r="39577">
      <c r="B39577" s="19"/>
      <c r="E39577" s="23"/>
      <c r="L39577" s="23"/>
    </row>
    <row r="39578">
      <c r="B39578" s="19"/>
      <c r="E39578" s="23"/>
      <c r="L39578" s="23"/>
    </row>
    <row r="39579">
      <c r="B39579" s="19"/>
      <c r="E39579" s="23"/>
      <c r="L39579" s="23"/>
    </row>
    <row r="39580">
      <c r="B39580" s="19"/>
      <c r="E39580" s="23"/>
      <c r="L39580" s="23"/>
    </row>
    <row r="39581">
      <c r="B39581" s="19"/>
      <c r="E39581" s="23"/>
      <c r="L39581" s="23"/>
    </row>
    <row r="39582">
      <c r="B39582" s="19"/>
      <c r="E39582" s="23"/>
      <c r="L39582" s="23"/>
    </row>
    <row r="39583">
      <c r="B39583" s="19"/>
      <c r="E39583" s="23"/>
      <c r="L39583" s="23"/>
    </row>
    <row r="39584">
      <c r="B39584" s="19"/>
      <c r="E39584" s="23"/>
      <c r="L39584" s="23"/>
    </row>
    <row r="39585">
      <c r="B39585" s="19"/>
      <c r="E39585" s="23"/>
      <c r="L39585" s="23"/>
    </row>
    <row r="39586">
      <c r="B39586" s="19"/>
      <c r="E39586" s="23"/>
      <c r="L39586" s="23"/>
    </row>
    <row r="39587">
      <c r="B39587" s="19"/>
      <c r="E39587" s="23"/>
      <c r="L39587" s="23"/>
    </row>
    <row r="39588">
      <c r="B39588" s="19"/>
      <c r="E39588" s="23"/>
      <c r="L39588" s="23"/>
    </row>
    <row r="39589">
      <c r="B39589" s="19"/>
      <c r="E39589" s="23"/>
      <c r="L39589" s="23"/>
    </row>
    <row r="39590">
      <c r="B39590" s="19"/>
      <c r="E39590" s="23"/>
      <c r="L39590" s="23"/>
    </row>
    <row r="39591">
      <c r="B39591" s="19"/>
      <c r="E39591" s="23"/>
      <c r="L39591" s="23"/>
    </row>
    <row r="39592">
      <c r="B39592" s="19"/>
      <c r="E39592" s="23"/>
      <c r="L39592" s="23"/>
    </row>
    <row r="39593">
      <c r="B39593" s="19"/>
      <c r="E39593" s="23"/>
      <c r="L39593" s="23"/>
    </row>
    <row r="39594">
      <c r="B39594" s="19"/>
      <c r="E39594" s="23"/>
      <c r="L39594" s="23"/>
    </row>
    <row r="39595">
      <c r="B39595" s="19"/>
      <c r="E39595" s="23"/>
      <c r="L39595" s="23"/>
    </row>
    <row r="39596">
      <c r="B39596" s="19"/>
      <c r="E39596" s="23"/>
      <c r="L39596" s="23"/>
    </row>
    <row r="39597">
      <c r="B39597" s="19"/>
      <c r="E39597" s="23"/>
      <c r="L39597" s="23"/>
    </row>
    <row r="39598">
      <c r="B39598" s="19"/>
      <c r="E39598" s="23"/>
      <c r="L39598" s="23"/>
    </row>
    <row r="39599">
      <c r="B39599" s="19"/>
      <c r="E39599" s="23"/>
      <c r="L39599" s="23"/>
    </row>
    <row r="39600">
      <c r="B39600" s="19"/>
      <c r="E39600" s="23"/>
      <c r="L39600" s="23"/>
    </row>
    <row r="39601">
      <c r="B39601" s="19"/>
      <c r="E39601" s="23"/>
      <c r="L39601" s="23"/>
    </row>
    <row r="39602">
      <c r="B39602" s="19"/>
      <c r="E39602" s="23"/>
      <c r="L39602" s="23"/>
    </row>
    <row r="39603">
      <c r="B39603" s="19"/>
      <c r="E39603" s="23"/>
      <c r="L39603" s="23"/>
    </row>
    <row r="39604">
      <c r="B39604" s="19"/>
      <c r="E39604" s="23"/>
      <c r="L39604" s="23"/>
    </row>
    <row r="39605">
      <c r="B39605" s="19"/>
      <c r="E39605" s="23"/>
      <c r="L39605" s="23"/>
    </row>
    <row r="39606">
      <c r="B39606" s="19"/>
      <c r="E39606" s="23"/>
      <c r="L39606" s="23"/>
    </row>
    <row r="39607">
      <c r="B39607" s="19"/>
      <c r="E39607" s="23"/>
      <c r="L39607" s="23"/>
    </row>
    <row r="39608">
      <c r="B39608" s="19"/>
      <c r="E39608" s="23"/>
      <c r="L39608" s="23"/>
    </row>
    <row r="39609">
      <c r="B39609" s="19"/>
      <c r="E39609" s="23"/>
      <c r="L39609" s="23"/>
    </row>
    <row r="39610">
      <c r="B39610" s="19"/>
      <c r="E39610" s="23"/>
      <c r="L39610" s="23"/>
    </row>
    <row r="39611">
      <c r="B39611" s="19"/>
      <c r="E39611" s="23"/>
      <c r="L39611" s="23"/>
    </row>
    <row r="39612">
      <c r="B39612" s="19"/>
      <c r="E39612" s="23"/>
      <c r="L39612" s="23"/>
    </row>
    <row r="39613">
      <c r="B39613" s="19"/>
      <c r="E39613" s="23"/>
      <c r="L39613" s="23"/>
    </row>
    <row r="39614">
      <c r="B39614" s="19"/>
      <c r="E39614" s="23"/>
      <c r="L39614" s="23"/>
    </row>
    <row r="39615">
      <c r="B39615" s="19"/>
      <c r="E39615" s="23"/>
      <c r="L39615" s="23"/>
    </row>
    <row r="39616">
      <c r="B39616" s="19"/>
      <c r="E39616" s="23"/>
      <c r="L39616" s="23"/>
    </row>
    <row r="39617">
      <c r="B39617" s="19"/>
      <c r="E39617" s="23"/>
      <c r="L39617" s="23"/>
    </row>
    <row r="39618">
      <c r="B39618" s="19"/>
      <c r="E39618" s="23"/>
      <c r="L39618" s="23"/>
    </row>
    <row r="39619">
      <c r="B39619" s="19"/>
      <c r="E39619" s="23"/>
      <c r="L39619" s="23"/>
    </row>
    <row r="39620">
      <c r="B39620" s="19"/>
      <c r="E39620" s="23"/>
      <c r="L39620" s="23"/>
    </row>
    <row r="39621">
      <c r="B39621" s="19"/>
      <c r="E39621" s="23"/>
      <c r="L39621" s="23"/>
    </row>
    <row r="39622">
      <c r="B39622" s="19"/>
      <c r="E39622" s="23"/>
      <c r="L39622" s="23"/>
    </row>
    <row r="39623">
      <c r="B39623" s="19"/>
      <c r="E39623" s="23"/>
      <c r="L39623" s="23"/>
    </row>
    <row r="39624">
      <c r="B39624" s="19"/>
      <c r="E39624" s="23"/>
      <c r="L39624" s="23"/>
    </row>
    <row r="39625">
      <c r="B39625" s="19"/>
      <c r="E39625" s="23"/>
      <c r="L39625" s="23"/>
    </row>
    <row r="39626">
      <c r="B39626" s="19"/>
      <c r="E39626" s="23"/>
      <c r="L39626" s="23"/>
    </row>
    <row r="39627">
      <c r="B39627" s="19"/>
      <c r="E39627" s="23"/>
      <c r="L39627" s="23"/>
    </row>
    <row r="39628">
      <c r="B39628" s="19"/>
      <c r="E39628" s="23"/>
      <c r="L39628" s="23"/>
    </row>
    <row r="39629">
      <c r="B39629" s="19"/>
      <c r="E39629" s="23"/>
      <c r="L39629" s="23"/>
    </row>
    <row r="39630">
      <c r="B39630" s="19"/>
      <c r="E39630" s="23"/>
      <c r="L39630" s="23"/>
    </row>
    <row r="39631">
      <c r="B39631" s="19"/>
      <c r="E39631" s="23"/>
      <c r="L39631" s="23"/>
    </row>
    <row r="39632">
      <c r="B39632" s="19"/>
      <c r="E39632" s="23"/>
      <c r="L39632" s="23"/>
    </row>
    <row r="39633">
      <c r="B39633" s="19"/>
      <c r="E39633" s="23"/>
      <c r="L39633" s="23"/>
    </row>
    <row r="39634">
      <c r="B39634" s="19"/>
      <c r="E39634" s="23"/>
      <c r="L39634" s="23"/>
    </row>
    <row r="39635">
      <c r="B39635" s="19"/>
      <c r="E39635" s="23"/>
      <c r="L39635" s="23"/>
    </row>
    <row r="39636">
      <c r="B39636" s="19"/>
      <c r="E39636" s="23"/>
      <c r="L39636" s="23"/>
    </row>
    <row r="39637">
      <c r="B39637" s="19"/>
      <c r="E39637" s="23"/>
      <c r="L39637" s="23"/>
    </row>
    <row r="39638">
      <c r="B39638" s="19"/>
      <c r="E39638" s="23"/>
      <c r="L39638" s="23"/>
    </row>
    <row r="39639">
      <c r="B39639" s="19"/>
      <c r="E39639" s="23"/>
      <c r="L39639" s="23"/>
    </row>
    <row r="39640">
      <c r="B39640" s="19"/>
      <c r="E39640" s="23"/>
      <c r="L39640" s="23"/>
    </row>
    <row r="39641">
      <c r="B39641" s="19"/>
      <c r="E39641" s="23"/>
      <c r="L39641" s="23"/>
    </row>
    <row r="39642">
      <c r="B39642" s="19"/>
      <c r="E39642" s="23"/>
      <c r="L39642" s="23"/>
    </row>
    <row r="39643">
      <c r="B39643" s="19"/>
      <c r="E39643" s="23"/>
      <c r="L39643" s="23"/>
    </row>
    <row r="39644">
      <c r="B39644" s="19"/>
      <c r="E39644" s="23"/>
      <c r="L39644" s="23"/>
    </row>
    <row r="39645">
      <c r="B39645" s="19"/>
      <c r="E39645" s="23"/>
      <c r="L39645" s="23"/>
    </row>
    <row r="39646">
      <c r="B39646" s="19"/>
      <c r="E39646" s="23"/>
      <c r="L39646" s="23"/>
    </row>
    <row r="39647">
      <c r="B39647" s="19"/>
      <c r="E39647" s="23"/>
      <c r="L39647" s="23"/>
    </row>
    <row r="39648">
      <c r="B39648" s="19"/>
      <c r="E39648" s="23"/>
      <c r="L39648" s="23"/>
    </row>
    <row r="39649">
      <c r="B39649" s="19"/>
      <c r="E39649" s="23"/>
      <c r="L39649" s="23"/>
    </row>
    <row r="39650">
      <c r="B39650" s="19"/>
      <c r="E39650" s="23"/>
      <c r="L39650" s="23"/>
    </row>
    <row r="39651">
      <c r="B39651" s="19"/>
      <c r="E39651" s="23"/>
      <c r="L39651" s="23"/>
    </row>
    <row r="39652">
      <c r="B39652" s="19"/>
      <c r="E39652" s="23"/>
      <c r="L39652" s="23"/>
    </row>
    <row r="39653">
      <c r="B39653" s="19"/>
      <c r="E39653" s="23"/>
      <c r="L39653" s="23"/>
    </row>
    <row r="39654">
      <c r="B39654" s="19"/>
      <c r="E39654" s="23"/>
      <c r="L39654" s="23"/>
    </row>
    <row r="39655">
      <c r="B39655" s="19"/>
      <c r="E39655" s="23"/>
      <c r="L39655" s="23"/>
    </row>
    <row r="39656">
      <c r="B39656" s="19"/>
      <c r="E39656" s="23"/>
      <c r="L39656" s="23"/>
    </row>
    <row r="39657">
      <c r="B39657" s="19"/>
      <c r="E39657" s="23"/>
      <c r="L39657" s="23"/>
    </row>
    <row r="39658">
      <c r="B39658" s="19"/>
      <c r="E39658" s="23"/>
      <c r="L39658" s="23"/>
    </row>
    <row r="39659">
      <c r="B39659" s="19"/>
      <c r="E39659" s="23"/>
      <c r="L39659" s="23"/>
    </row>
    <row r="39660">
      <c r="B39660" s="19"/>
      <c r="E39660" s="23"/>
      <c r="L39660" s="23"/>
    </row>
    <row r="39661">
      <c r="B39661" s="19"/>
      <c r="E39661" s="23"/>
      <c r="L39661" s="23"/>
    </row>
    <row r="39662">
      <c r="B39662" s="19"/>
      <c r="E39662" s="23"/>
      <c r="L39662" s="23"/>
    </row>
    <row r="39663">
      <c r="B39663" s="19"/>
      <c r="E39663" s="23"/>
      <c r="L39663" s="23"/>
    </row>
    <row r="39664">
      <c r="B39664" s="19"/>
      <c r="E39664" s="23"/>
      <c r="L39664" s="23"/>
    </row>
    <row r="39665">
      <c r="B39665" s="19"/>
      <c r="E39665" s="23"/>
      <c r="L39665" s="23"/>
    </row>
    <row r="39666">
      <c r="B39666" s="19"/>
      <c r="E39666" s="23"/>
      <c r="L39666" s="23"/>
    </row>
    <row r="39667">
      <c r="B39667" s="19"/>
      <c r="E39667" s="23"/>
      <c r="L39667" s="23"/>
    </row>
    <row r="39668">
      <c r="B39668" s="19"/>
      <c r="E39668" s="23"/>
      <c r="L39668" s="23"/>
    </row>
    <row r="39669">
      <c r="B39669" s="19"/>
      <c r="E39669" s="23"/>
      <c r="L39669" s="23"/>
    </row>
    <row r="39670">
      <c r="B39670" s="19"/>
      <c r="E39670" s="23"/>
      <c r="L39670" s="23"/>
    </row>
    <row r="39671">
      <c r="B39671" s="19"/>
      <c r="E39671" s="23"/>
      <c r="L39671" s="23"/>
    </row>
    <row r="39672">
      <c r="B39672" s="19"/>
      <c r="E39672" s="23"/>
      <c r="L39672" s="23"/>
    </row>
    <row r="39673">
      <c r="B39673" s="19"/>
      <c r="E39673" s="23"/>
      <c r="L39673" s="23"/>
    </row>
    <row r="39674">
      <c r="B39674" s="19"/>
      <c r="E39674" s="23"/>
      <c r="L39674" s="23"/>
    </row>
    <row r="39675">
      <c r="B39675" s="19"/>
      <c r="E39675" s="23"/>
      <c r="L39675" s="23"/>
    </row>
    <row r="39676">
      <c r="B39676" s="19"/>
      <c r="E39676" s="23"/>
      <c r="L39676" s="23"/>
    </row>
    <row r="39677">
      <c r="B39677" s="19"/>
      <c r="E39677" s="23"/>
      <c r="L39677" s="23"/>
    </row>
    <row r="39678">
      <c r="B39678" s="19"/>
      <c r="E39678" s="23"/>
      <c r="L39678" s="23"/>
    </row>
    <row r="39679">
      <c r="B39679" s="19"/>
      <c r="E39679" s="23"/>
      <c r="L39679" s="23"/>
    </row>
    <row r="39680">
      <c r="B39680" s="19"/>
      <c r="E39680" s="23"/>
      <c r="L39680" s="23"/>
    </row>
    <row r="39681">
      <c r="B39681" s="19"/>
      <c r="E39681" s="23"/>
      <c r="L39681" s="23"/>
    </row>
    <row r="39682">
      <c r="B39682" s="19"/>
      <c r="E39682" s="23"/>
      <c r="L39682" s="23"/>
    </row>
    <row r="39683">
      <c r="B39683" s="19"/>
      <c r="E39683" s="23"/>
      <c r="L39683" s="23"/>
    </row>
    <row r="39684">
      <c r="B39684" s="19"/>
      <c r="E39684" s="23"/>
      <c r="L39684" s="23"/>
    </row>
    <row r="39685">
      <c r="B39685" s="19"/>
      <c r="E39685" s="23"/>
      <c r="L39685" s="23"/>
    </row>
    <row r="39686">
      <c r="B39686" s="19"/>
      <c r="E39686" s="23"/>
      <c r="L39686" s="23"/>
    </row>
    <row r="39687">
      <c r="B39687" s="19"/>
      <c r="E39687" s="23"/>
      <c r="L39687" s="23"/>
    </row>
    <row r="39688">
      <c r="B39688" s="19"/>
      <c r="E39688" s="23"/>
      <c r="L39688" s="23"/>
    </row>
    <row r="39689">
      <c r="B39689" s="19"/>
      <c r="E39689" s="23"/>
      <c r="L39689" s="23"/>
    </row>
    <row r="39690">
      <c r="B39690" s="19"/>
      <c r="E39690" s="23"/>
      <c r="L39690" s="23"/>
    </row>
    <row r="39691">
      <c r="B39691" s="19"/>
      <c r="E39691" s="23"/>
      <c r="L39691" s="23"/>
    </row>
    <row r="39692">
      <c r="B39692" s="19"/>
      <c r="E39692" s="23"/>
      <c r="L39692" s="23"/>
    </row>
    <row r="39693">
      <c r="B39693" s="19"/>
      <c r="E39693" s="23"/>
      <c r="L39693" s="23"/>
    </row>
    <row r="39694">
      <c r="B39694" s="19"/>
      <c r="E39694" s="23"/>
      <c r="L39694" s="23"/>
    </row>
    <row r="39695">
      <c r="B39695" s="19"/>
      <c r="E39695" s="23"/>
      <c r="L39695" s="23"/>
    </row>
    <row r="39696">
      <c r="B39696" s="19"/>
      <c r="E39696" s="23"/>
      <c r="L39696" s="23"/>
    </row>
    <row r="39697">
      <c r="B39697" s="19"/>
      <c r="E39697" s="23"/>
      <c r="L39697" s="23"/>
    </row>
    <row r="39698">
      <c r="B39698" s="19"/>
      <c r="E39698" s="23"/>
      <c r="L39698" s="23"/>
    </row>
    <row r="39699">
      <c r="B39699" s="19"/>
      <c r="E39699" s="23"/>
      <c r="L39699" s="23"/>
    </row>
    <row r="39700">
      <c r="B39700" s="19"/>
      <c r="E39700" s="23"/>
      <c r="L39700" s="23"/>
    </row>
    <row r="39701">
      <c r="B39701" s="19"/>
      <c r="E39701" s="23"/>
      <c r="L39701" s="23"/>
    </row>
    <row r="39702">
      <c r="B39702" s="19"/>
      <c r="E39702" s="23"/>
      <c r="L39702" s="23"/>
    </row>
    <row r="39703">
      <c r="B39703" s="19"/>
      <c r="E39703" s="23"/>
      <c r="L39703" s="23"/>
    </row>
    <row r="39704">
      <c r="B39704" s="19"/>
      <c r="E39704" s="23"/>
      <c r="L39704" s="23"/>
    </row>
    <row r="39705">
      <c r="B39705" s="19"/>
      <c r="E39705" s="23"/>
      <c r="L39705" s="23"/>
    </row>
    <row r="39706">
      <c r="B39706" s="19"/>
      <c r="E39706" s="23"/>
      <c r="L39706" s="23"/>
    </row>
    <row r="39707">
      <c r="B39707" s="19"/>
      <c r="E39707" s="23"/>
      <c r="L39707" s="23"/>
    </row>
    <row r="39708">
      <c r="B39708" s="19"/>
      <c r="E39708" s="23"/>
      <c r="L39708" s="23"/>
    </row>
    <row r="39709">
      <c r="B39709" s="19"/>
      <c r="E39709" s="23"/>
      <c r="L39709" s="23"/>
    </row>
    <row r="39710">
      <c r="B39710" s="19"/>
      <c r="E39710" s="23"/>
      <c r="L39710" s="23"/>
    </row>
    <row r="39711">
      <c r="B39711" s="19"/>
      <c r="E39711" s="23"/>
      <c r="L39711" s="23"/>
    </row>
    <row r="39712">
      <c r="B39712" s="19"/>
      <c r="E39712" s="23"/>
      <c r="L39712" s="23"/>
    </row>
    <row r="39713">
      <c r="B39713" s="19"/>
      <c r="E39713" s="23"/>
      <c r="L39713" s="23"/>
    </row>
    <row r="39714">
      <c r="B39714" s="19"/>
      <c r="E39714" s="23"/>
      <c r="L39714" s="23"/>
    </row>
    <row r="39715">
      <c r="B39715" s="19"/>
      <c r="E39715" s="23"/>
      <c r="L39715" s="23"/>
    </row>
    <row r="39716">
      <c r="B39716" s="19"/>
      <c r="E39716" s="23"/>
      <c r="L39716" s="23"/>
    </row>
    <row r="39717">
      <c r="B39717" s="19"/>
      <c r="E39717" s="23"/>
      <c r="L39717" s="23"/>
    </row>
    <row r="39718">
      <c r="B39718" s="19"/>
      <c r="E39718" s="23"/>
      <c r="L39718" s="23"/>
    </row>
    <row r="39719">
      <c r="B39719" s="19"/>
      <c r="E39719" s="23"/>
      <c r="L39719" s="23"/>
    </row>
    <row r="39720">
      <c r="B39720" s="19"/>
      <c r="E39720" s="23"/>
      <c r="L39720" s="23"/>
    </row>
    <row r="39721">
      <c r="B39721" s="19"/>
      <c r="E39721" s="23"/>
      <c r="L39721" s="23"/>
    </row>
    <row r="39722">
      <c r="B39722" s="19"/>
      <c r="E39722" s="23"/>
      <c r="L39722" s="23"/>
    </row>
    <row r="39723">
      <c r="B39723" s="19"/>
      <c r="E39723" s="23"/>
      <c r="L39723" s="23"/>
    </row>
    <row r="39724">
      <c r="B39724" s="19"/>
      <c r="E39724" s="23"/>
      <c r="L39724" s="23"/>
    </row>
    <row r="39725">
      <c r="B39725" s="19"/>
      <c r="E39725" s="23"/>
      <c r="L39725" s="23"/>
    </row>
    <row r="39726">
      <c r="B39726" s="19"/>
      <c r="E39726" s="23"/>
      <c r="L39726" s="23"/>
    </row>
    <row r="39727">
      <c r="B39727" s="19"/>
      <c r="E39727" s="23"/>
      <c r="L39727" s="23"/>
    </row>
    <row r="39728">
      <c r="B39728" s="19"/>
      <c r="E39728" s="23"/>
      <c r="L39728" s="23"/>
    </row>
    <row r="39729">
      <c r="B39729" s="19"/>
      <c r="E39729" s="23"/>
      <c r="L39729" s="23"/>
    </row>
    <row r="39730">
      <c r="B39730" s="19"/>
      <c r="E39730" s="23"/>
      <c r="L39730" s="23"/>
    </row>
    <row r="39731">
      <c r="B39731" s="19"/>
      <c r="E39731" s="23"/>
      <c r="L39731" s="23"/>
    </row>
    <row r="39732">
      <c r="B39732" s="19"/>
      <c r="E39732" s="23"/>
      <c r="L39732" s="23"/>
    </row>
    <row r="39733">
      <c r="B39733" s="19"/>
      <c r="E39733" s="23"/>
      <c r="L39733" s="23"/>
    </row>
    <row r="39734">
      <c r="B39734" s="19"/>
      <c r="E39734" s="23"/>
      <c r="L39734" s="23"/>
    </row>
    <row r="39735">
      <c r="B39735" s="19"/>
      <c r="E39735" s="23"/>
      <c r="L39735" s="23"/>
    </row>
    <row r="39736">
      <c r="B39736" s="19"/>
      <c r="E39736" s="23"/>
      <c r="L39736" s="23"/>
    </row>
    <row r="39737">
      <c r="B39737" s="19"/>
      <c r="E39737" s="23"/>
      <c r="L39737" s="23"/>
    </row>
    <row r="39738">
      <c r="B39738" s="19"/>
      <c r="E39738" s="23"/>
      <c r="L39738" s="23"/>
    </row>
    <row r="39739">
      <c r="B39739" s="19"/>
      <c r="E39739" s="23"/>
      <c r="L39739" s="23"/>
    </row>
    <row r="39740">
      <c r="B39740" s="19"/>
      <c r="E39740" s="23"/>
      <c r="L39740" s="23"/>
    </row>
    <row r="39741">
      <c r="B39741" s="19"/>
      <c r="E39741" s="23"/>
      <c r="L39741" s="23"/>
    </row>
    <row r="39742">
      <c r="B39742" s="19"/>
      <c r="E39742" s="23"/>
      <c r="L39742" s="23"/>
    </row>
    <row r="39743">
      <c r="B39743" s="19"/>
      <c r="E39743" s="23"/>
      <c r="L39743" s="23"/>
    </row>
    <row r="39744">
      <c r="B39744" s="19"/>
      <c r="E39744" s="23"/>
      <c r="L39744" s="23"/>
    </row>
    <row r="39745">
      <c r="B39745" s="19"/>
      <c r="E39745" s="23"/>
      <c r="L39745" s="23"/>
    </row>
    <row r="39746">
      <c r="B39746" s="19"/>
      <c r="E39746" s="23"/>
      <c r="L39746" s="23"/>
    </row>
    <row r="39747">
      <c r="B39747" s="19"/>
      <c r="E39747" s="23"/>
      <c r="L39747" s="23"/>
    </row>
    <row r="39748">
      <c r="B39748" s="19"/>
      <c r="E39748" s="23"/>
      <c r="L39748" s="23"/>
    </row>
    <row r="39749">
      <c r="B39749" s="19"/>
      <c r="E39749" s="23"/>
      <c r="L39749" s="23"/>
    </row>
    <row r="39750">
      <c r="B39750" s="19"/>
      <c r="E39750" s="23"/>
      <c r="L39750" s="23"/>
    </row>
    <row r="39751">
      <c r="B39751" s="19"/>
      <c r="E39751" s="23"/>
      <c r="L39751" s="23"/>
    </row>
    <row r="39752">
      <c r="B39752" s="19"/>
      <c r="E39752" s="23"/>
      <c r="L39752" s="23"/>
    </row>
    <row r="39753">
      <c r="B39753" s="19"/>
      <c r="E39753" s="23"/>
      <c r="L39753" s="23"/>
    </row>
    <row r="39754">
      <c r="B39754" s="19"/>
      <c r="E39754" s="23"/>
      <c r="L39754" s="23"/>
    </row>
    <row r="39755">
      <c r="B39755" s="19"/>
      <c r="E39755" s="23"/>
      <c r="L39755" s="23"/>
    </row>
    <row r="39756">
      <c r="B39756" s="19"/>
      <c r="E39756" s="23"/>
      <c r="L39756" s="23"/>
    </row>
    <row r="39757">
      <c r="B39757" s="19"/>
      <c r="E39757" s="23"/>
      <c r="L39757" s="23"/>
    </row>
    <row r="39758">
      <c r="B39758" s="19"/>
      <c r="E39758" s="23"/>
      <c r="L39758" s="23"/>
    </row>
    <row r="39759">
      <c r="B39759" s="19"/>
      <c r="E39759" s="23"/>
      <c r="L39759" s="23"/>
    </row>
    <row r="39760">
      <c r="B39760" s="19"/>
      <c r="E39760" s="23"/>
      <c r="L39760" s="23"/>
    </row>
    <row r="39761">
      <c r="B39761" s="19"/>
      <c r="E39761" s="23"/>
      <c r="L39761" s="23"/>
    </row>
    <row r="39762">
      <c r="B39762" s="19"/>
      <c r="E39762" s="23"/>
      <c r="L39762" s="23"/>
    </row>
    <row r="39763">
      <c r="B39763" s="19"/>
      <c r="E39763" s="23"/>
      <c r="L39763" s="23"/>
    </row>
    <row r="39764">
      <c r="B39764" s="19"/>
      <c r="E39764" s="23"/>
      <c r="L39764" s="23"/>
    </row>
    <row r="39765">
      <c r="B39765" s="19"/>
      <c r="E39765" s="23"/>
      <c r="L39765" s="23"/>
    </row>
    <row r="39766">
      <c r="B39766" s="19"/>
      <c r="E39766" s="23"/>
      <c r="L39766" s="23"/>
    </row>
    <row r="39767">
      <c r="B39767" s="19"/>
      <c r="E39767" s="23"/>
      <c r="L39767" s="23"/>
    </row>
    <row r="39768">
      <c r="B39768" s="19"/>
      <c r="E39768" s="23"/>
      <c r="L39768" s="23"/>
    </row>
    <row r="39769">
      <c r="B39769" s="19"/>
      <c r="E39769" s="23"/>
      <c r="L39769" s="23"/>
    </row>
    <row r="39770">
      <c r="B39770" s="19"/>
      <c r="E39770" s="23"/>
      <c r="L39770" s="23"/>
    </row>
    <row r="39771">
      <c r="B39771" s="19"/>
      <c r="E39771" s="23"/>
      <c r="L39771" s="23"/>
    </row>
    <row r="39772">
      <c r="B39772" s="19"/>
      <c r="E39772" s="23"/>
      <c r="L39772" s="23"/>
    </row>
    <row r="39773">
      <c r="B39773" s="19"/>
      <c r="E39773" s="23"/>
      <c r="L39773" s="23"/>
    </row>
    <row r="39774">
      <c r="B39774" s="19"/>
      <c r="E39774" s="23"/>
      <c r="L39774" s="23"/>
    </row>
    <row r="39775">
      <c r="B39775" s="19"/>
      <c r="E39775" s="23"/>
      <c r="L39775" s="23"/>
    </row>
    <row r="39776">
      <c r="B39776" s="19"/>
      <c r="E39776" s="23"/>
      <c r="L39776" s="23"/>
    </row>
    <row r="39777">
      <c r="B39777" s="19"/>
      <c r="E39777" s="23"/>
      <c r="L39777" s="23"/>
    </row>
    <row r="39778">
      <c r="B39778" s="19"/>
      <c r="E39778" s="23"/>
      <c r="L39778" s="23"/>
    </row>
    <row r="39779">
      <c r="B39779" s="19"/>
      <c r="E39779" s="23"/>
      <c r="L39779" s="23"/>
    </row>
    <row r="39780">
      <c r="B39780" s="19"/>
      <c r="E39780" s="23"/>
      <c r="L39780" s="23"/>
    </row>
    <row r="39781">
      <c r="B39781" s="19"/>
      <c r="E39781" s="23"/>
      <c r="L39781" s="23"/>
    </row>
    <row r="39782">
      <c r="B39782" s="19"/>
      <c r="E39782" s="23"/>
      <c r="L39782" s="23"/>
    </row>
    <row r="39783">
      <c r="B39783" s="19"/>
      <c r="E39783" s="23"/>
      <c r="L39783" s="23"/>
    </row>
    <row r="39784">
      <c r="B39784" s="19"/>
      <c r="E39784" s="23"/>
      <c r="L39784" s="23"/>
    </row>
    <row r="39785">
      <c r="B39785" s="19"/>
      <c r="E39785" s="23"/>
      <c r="L39785" s="23"/>
    </row>
    <row r="39786">
      <c r="B39786" s="19"/>
      <c r="E39786" s="23"/>
      <c r="L39786" s="23"/>
    </row>
    <row r="39787">
      <c r="B39787" s="19"/>
      <c r="E39787" s="23"/>
      <c r="L39787" s="23"/>
    </row>
    <row r="39788">
      <c r="B39788" s="19"/>
      <c r="E39788" s="23"/>
      <c r="L39788" s="23"/>
    </row>
    <row r="39789">
      <c r="B39789" s="19"/>
      <c r="E39789" s="23"/>
      <c r="L39789" s="23"/>
    </row>
    <row r="39790">
      <c r="B39790" s="19"/>
      <c r="E39790" s="23"/>
      <c r="L39790" s="23"/>
    </row>
    <row r="39791">
      <c r="B39791" s="19"/>
      <c r="E39791" s="23"/>
      <c r="L39791" s="23"/>
    </row>
    <row r="39792">
      <c r="B39792" s="19"/>
      <c r="E39792" s="23"/>
      <c r="L39792" s="23"/>
    </row>
    <row r="39793">
      <c r="B39793" s="19"/>
      <c r="E39793" s="23"/>
      <c r="L39793" s="23"/>
    </row>
    <row r="39794">
      <c r="B39794" s="19"/>
      <c r="E39794" s="23"/>
      <c r="L39794" s="23"/>
    </row>
    <row r="39795">
      <c r="B39795" s="19"/>
      <c r="E39795" s="23"/>
      <c r="L39795" s="23"/>
    </row>
    <row r="39796">
      <c r="B39796" s="19"/>
      <c r="E39796" s="23"/>
      <c r="L39796" s="23"/>
    </row>
    <row r="39797">
      <c r="B39797" s="19"/>
      <c r="E39797" s="23"/>
      <c r="L39797" s="23"/>
    </row>
    <row r="39798">
      <c r="B39798" s="19"/>
      <c r="E39798" s="23"/>
      <c r="L39798" s="23"/>
    </row>
    <row r="39799">
      <c r="B39799" s="19"/>
      <c r="E39799" s="23"/>
      <c r="L39799" s="23"/>
    </row>
    <row r="39800">
      <c r="B39800" s="19"/>
      <c r="E39800" s="23"/>
      <c r="L39800" s="23"/>
    </row>
    <row r="39801">
      <c r="B39801" s="19"/>
      <c r="E39801" s="23"/>
      <c r="L39801" s="23"/>
    </row>
    <row r="39802">
      <c r="B39802" s="19"/>
      <c r="E39802" s="23"/>
      <c r="L39802" s="23"/>
    </row>
    <row r="39803">
      <c r="B39803" s="19"/>
      <c r="E39803" s="23"/>
      <c r="L39803" s="23"/>
    </row>
    <row r="39804">
      <c r="B39804" s="19"/>
      <c r="E39804" s="23"/>
      <c r="L39804" s="23"/>
    </row>
    <row r="39805">
      <c r="B39805" s="19"/>
      <c r="E39805" s="23"/>
      <c r="L39805" s="23"/>
    </row>
    <row r="39806">
      <c r="B39806" s="19"/>
      <c r="E39806" s="23"/>
      <c r="L39806" s="23"/>
    </row>
    <row r="39807">
      <c r="B39807" s="19"/>
      <c r="E39807" s="23"/>
      <c r="L39807" s="23"/>
    </row>
    <row r="39808">
      <c r="B39808" s="19"/>
      <c r="E39808" s="23"/>
      <c r="L39808" s="23"/>
    </row>
    <row r="39809">
      <c r="B39809" s="19"/>
      <c r="E39809" s="23"/>
      <c r="L39809" s="23"/>
    </row>
    <row r="39810">
      <c r="B39810" s="19"/>
      <c r="E39810" s="23"/>
      <c r="L39810" s="23"/>
    </row>
    <row r="39811">
      <c r="B39811" s="19"/>
      <c r="E39811" s="23"/>
      <c r="L39811" s="23"/>
    </row>
    <row r="39812">
      <c r="B39812" s="19"/>
      <c r="E39812" s="23"/>
      <c r="L39812" s="23"/>
    </row>
    <row r="39813">
      <c r="B39813" s="19"/>
      <c r="E39813" s="23"/>
      <c r="L39813" s="23"/>
    </row>
    <row r="39814">
      <c r="B39814" s="19"/>
      <c r="E39814" s="23"/>
      <c r="L39814" s="23"/>
    </row>
    <row r="39815">
      <c r="B39815" s="19"/>
      <c r="E39815" s="23"/>
      <c r="L39815" s="23"/>
    </row>
    <row r="39816">
      <c r="B39816" s="19"/>
      <c r="E39816" s="23"/>
      <c r="L39816" s="23"/>
    </row>
    <row r="39817">
      <c r="B39817" s="19"/>
      <c r="E39817" s="23"/>
      <c r="L39817" s="23"/>
    </row>
    <row r="39818">
      <c r="B39818" s="19"/>
      <c r="E39818" s="23"/>
      <c r="L39818" s="23"/>
    </row>
    <row r="39819">
      <c r="B39819" s="19"/>
      <c r="E39819" s="23"/>
      <c r="L39819" s="23"/>
    </row>
    <row r="39820">
      <c r="B39820" s="19"/>
      <c r="E39820" s="23"/>
      <c r="L39820" s="23"/>
    </row>
    <row r="39821">
      <c r="B39821" s="19"/>
      <c r="E39821" s="23"/>
      <c r="L39821" s="23"/>
    </row>
    <row r="39822">
      <c r="B39822" s="19"/>
      <c r="E39822" s="23"/>
      <c r="L39822" s="23"/>
    </row>
    <row r="39823">
      <c r="B39823" s="19"/>
      <c r="E39823" s="23"/>
      <c r="L39823" s="23"/>
    </row>
    <row r="39824">
      <c r="B39824" s="19"/>
      <c r="E39824" s="23"/>
      <c r="L39824" s="23"/>
    </row>
    <row r="39825">
      <c r="B39825" s="19"/>
      <c r="E39825" s="23"/>
      <c r="L39825" s="23"/>
    </row>
    <row r="39826">
      <c r="B39826" s="19"/>
      <c r="E39826" s="23"/>
      <c r="L39826" s="23"/>
    </row>
    <row r="39827">
      <c r="B39827" s="19"/>
      <c r="E39827" s="23"/>
      <c r="L39827" s="23"/>
    </row>
    <row r="39828">
      <c r="B39828" s="19"/>
      <c r="E39828" s="23"/>
      <c r="L39828" s="23"/>
    </row>
    <row r="39829">
      <c r="B39829" s="19"/>
      <c r="E39829" s="23"/>
      <c r="L39829" s="23"/>
    </row>
    <row r="39830">
      <c r="B39830" s="19"/>
      <c r="E39830" s="23"/>
      <c r="L39830" s="23"/>
    </row>
    <row r="39831">
      <c r="B39831" s="19"/>
      <c r="E39831" s="23"/>
      <c r="L39831" s="23"/>
    </row>
    <row r="39832">
      <c r="B39832" s="19"/>
      <c r="E39832" s="23"/>
      <c r="L39832" s="23"/>
    </row>
    <row r="39833">
      <c r="B39833" s="19"/>
      <c r="E39833" s="23"/>
      <c r="L39833" s="23"/>
    </row>
    <row r="39834">
      <c r="B39834" s="19"/>
      <c r="E39834" s="23"/>
      <c r="L39834" s="23"/>
    </row>
    <row r="39835">
      <c r="B39835" s="19"/>
      <c r="E39835" s="23"/>
      <c r="L39835" s="23"/>
    </row>
    <row r="39836">
      <c r="B39836" s="19"/>
      <c r="E39836" s="23"/>
      <c r="L39836" s="23"/>
    </row>
    <row r="39837">
      <c r="B39837" s="19"/>
      <c r="E39837" s="23"/>
      <c r="L39837" s="23"/>
    </row>
    <row r="39838">
      <c r="B39838" s="19"/>
      <c r="E39838" s="23"/>
      <c r="L39838" s="23"/>
    </row>
    <row r="39839">
      <c r="B39839" s="19"/>
      <c r="E39839" s="23"/>
      <c r="L39839" s="23"/>
    </row>
    <row r="39840">
      <c r="B39840" s="19"/>
      <c r="E39840" s="23"/>
      <c r="L39840" s="23"/>
    </row>
    <row r="39841">
      <c r="B39841" s="19"/>
      <c r="E39841" s="23"/>
      <c r="L39841" s="23"/>
    </row>
    <row r="39842">
      <c r="B39842" s="19"/>
      <c r="E39842" s="23"/>
      <c r="L39842" s="23"/>
    </row>
    <row r="39843">
      <c r="B39843" s="19"/>
      <c r="E39843" s="23"/>
      <c r="L39843" s="23"/>
    </row>
    <row r="39844">
      <c r="B39844" s="19"/>
      <c r="E39844" s="23"/>
      <c r="L39844" s="23"/>
    </row>
    <row r="39845">
      <c r="B39845" s="19"/>
      <c r="E39845" s="23"/>
      <c r="L39845" s="23"/>
    </row>
    <row r="39846">
      <c r="B39846" s="19"/>
      <c r="E39846" s="23"/>
      <c r="L39846" s="23"/>
    </row>
    <row r="39847">
      <c r="B39847" s="19"/>
      <c r="E39847" s="23"/>
      <c r="L39847" s="23"/>
    </row>
    <row r="39848">
      <c r="B39848" s="19"/>
      <c r="E39848" s="23"/>
      <c r="L39848" s="23"/>
    </row>
    <row r="39849">
      <c r="B39849" s="19"/>
      <c r="E39849" s="23"/>
      <c r="L39849" s="23"/>
    </row>
    <row r="39850">
      <c r="B39850" s="19"/>
      <c r="E39850" s="23"/>
      <c r="L39850" s="23"/>
    </row>
    <row r="39851">
      <c r="B39851" s="19"/>
      <c r="E39851" s="23"/>
      <c r="L39851" s="23"/>
    </row>
    <row r="39852">
      <c r="B39852" s="19"/>
      <c r="E39852" s="23"/>
      <c r="L39852" s="23"/>
    </row>
    <row r="39853">
      <c r="B39853" s="19"/>
      <c r="E39853" s="23"/>
      <c r="L39853" s="23"/>
    </row>
    <row r="39854">
      <c r="B39854" s="19"/>
      <c r="E39854" s="23"/>
      <c r="L39854" s="23"/>
    </row>
    <row r="39855">
      <c r="B39855" s="19"/>
      <c r="E39855" s="23"/>
      <c r="L39855" s="23"/>
    </row>
    <row r="39856">
      <c r="B39856" s="19"/>
      <c r="E39856" s="23"/>
      <c r="L39856" s="23"/>
    </row>
    <row r="39857">
      <c r="B39857" s="19"/>
      <c r="E39857" s="23"/>
      <c r="L39857" s="23"/>
    </row>
    <row r="39858">
      <c r="B39858" s="19"/>
      <c r="E39858" s="23"/>
      <c r="L39858" s="23"/>
    </row>
    <row r="39859">
      <c r="B39859" s="19"/>
      <c r="E39859" s="23"/>
      <c r="L39859" s="23"/>
    </row>
    <row r="39860">
      <c r="B39860" s="19"/>
      <c r="E39860" s="23"/>
      <c r="L39860" s="23"/>
    </row>
    <row r="39861">
      <c r="B39861" s="19"/>
      <c r="E39861" s="23"/>
      <c r="L39861" s="23"/>
    </row>
    <row r="39862">
      <c r="B39862" s="19"/>
      <c r="E39862" s="23"/>
      <c r="L39862" s="23"/>
    </row>
    <row r="39863">
      <c r="B39863" s="19"/>
      <c r="E39863" s="23"/>
      <c r="L39863" s="23"/>
    </row>
    <row r="39864">
      <c r="B39864" s="19"/>
      <c r="E39864" s="23"/>
      <c r="L39864" s="23"/>
    </row>
    <row r="39865">
      <c r="B39865" s="19"/>
      <c r="E39865" s="23"/>
      <c r="L39865" s="23"/>
    </row>
    <row r="39866">
      <c r="B39866" s="19"/>
      <c r="E39866" s="23"/>
      <c r="L39866" s="23"/>
    </row>
    <row r="39867">
      <c r="B39867" s="19"/>
      <c r="E39867" s="23"/>
      <c r="L39867" s="23"/>
    </row>
    <row r="39868">
      <c r="B39868" s="19"/>
      <c r="E39868" s="23"/>
      <c r="L39868" s="23"/>
    </row>
    <row r="39869">
      <c r="B39869" s="19"/>
      <c r="E39869" s="23"/>
      <c r="L39869" s="23"/>
    </row>
    <row r="39870">
      <c r="B39870" s="19"/>
      <c r="E39870" s="23"/>
      <c r="L39870" s="23"/>
    </row>
    <row r="39871">
      <c r="B39871" s="19"/>
      <c r="E39871" s="23"/>
      <c r="L39871" s="23"/>
    </row>
    <row r="39872">
      <c r="B39872" s="19"/>
      <c r="E39872" s="23"/>
      <c r="L39872" s="23"/>
    </row>
    <row r="39873">
      <c r="B39873" s="19"/>
      <c r="E39873" s="23"/>
      <c r="L39873" s="23"/>
    </row>
    <row r="39874">
      <c r="B39874" s="19"/>
      <c r="E39874" s="23"/>
      <c r="L39874" s="23"/>
    </row>
    <row r="39875">
      <c r="B39875" s="19"/>
      <c r="E39875" s="23"/>
      <c r="L39875" s="23"/>
    </row>
    <row r="39876">
      <c r="B39876" s="19"/>
      <c r="E39876" s="23"/>
      <c r="L39876" s="23"/>
    </row>
    <row r="39877">
      <c r="B39877" s="19"/>
      <c r="E39877" s="23"/>
      <c r="L39877" s="23"/>
    </row>
    <row r="39878">
      <c r="B39878" s="19"/>
      <c r="E39878" s="23"/>
      <c r="L39878" s="23"/>
    </row>
    <row r="39879">
      <c r="B39879" s="19"/>
      <c r="E39879" s="23"/>
      <c r="L39879" s="23"/>
    </row>
    <row r="39880">
      <c r="B39880" s="19"/>
      <c r="E39880" s="23"/>
      <c r="L39880" s="23"/>
    </row>
    <row r="39881">
      <c r="B39881" s="19"/>
      <c r="E39881" s="23"/>
      <c r="L39881" s="23"/>
    </row>
    <row r="39882">
      <c r="B39882" s="19"/>
      <c r="E39882" s="23"/>
      <c r="L39882" s="23"/>
    </row>
    <row r="39883">
      <c r="B39883" s="19"/>
      <c r="E39883" s="23"/>
      <c r="L39883" s="23"/>
    </row>
    <row r="39884">
      <c r="B39884" s="19"/>
      <c r="E39884" s="23"/>
      <c r="L39884" s="23"/>
    </row>
    <row r="39885">
      <c r="B39885" s="19"/>
      <c r="E39885" s="23"/>
      <c r="L39885" s="23"/>
    </row>
    <row r="39886">
      <c r="B39886" s="19"/>
      <c r="E39886" s="23"/>
      <c r="L39886" s="23"/>
    </row>
    <row r="39887">
      <c r="B39887" s="19"/>
      <c r="E39887" s="23"/>
      <c r="L39887" s="23"/>
    </row>
    <row r="39888">
      <c r="B39888" s="19"/>
      <c r="E39888" s="23"/>
      <c r="L39888" s="23"/>
    </row>
    <row r="39889">
      <c r="B39889" s="19"/>
      <c r="E39889" s="23"/>
      <c r="L39889" s="23"/>
    </row>
    <row r="39890">
      <c r="B39890" s="19"/>
      <c r="E39890" s="23"/>
      <c r="L39890" s="23"/>
    </row>
    <row r="39891">
      <c r="B39891" s="19"/>
      <c r="E39891" s="23"/>
      <c r="L39891" s="23"/>
    </row>
    <row r="39892">
      <c r="B39892" s="19"/>
      <c r="E39892" s="23"/>
      <c r="L39892" s="23"/>
    </row>
    <row r="39893">
      <c r="B39893" s="19"/>
      <c r="E39893" s="23"/>
      <c r="L39893" s="23"/>
    </row>
    <row r="39894">
      <c r="B39894" s="19"/>
      <c r="E39894" s="23"/>
      <c r="L39894" s="23"/>
    </row>
    <row r="39895">
      <c r="B39895" s="19"/>
      <c r="E39895" s="23"/>
      <c r="L39895" s="23"/>
    </row>
    <row r="39896">
      <c r="B39896" s="19"/>
      <c r="E39896" s="23"/>
      <c r="L39896" s="23"/>
    </row>
    <row r="39897">
      <c r="B39897" s="19"/>
      <c r="E39897" s="23"/>
      <c r="L39897" s="23"/>
    </row>
    <row r="39898">
      <c r="B39898" s="19"/>
      <c r="E39898" s="23"/>
      <c r="L39898" s="23"/>
    </row>
    <row r="39899">
      <c r="B39899" s="19"/>
      <c r="E39899" s="23"/>
      <c r="L39899" s="23"/>
    </row>
    <row r="39900">
      <c r="B39900" s="19"/>
      <c r="E39900" s="23"/>
      <c r="L39900" s="23"/>
    </row>
    <row r="39901">
      <c r="B39901" s="19"/>
      <c r="E39901" s="23"/>
      <c r="L39901" s="23"/>
    </row>
    <row r="39902">
      <c r="B39902" s="19"/>
      <c r="E39902" s="23"/>
      <c r="L39902" s="23"/>
    </row>
    <row r="39903">
      <c r="B39903" s="19"/>
      <c r="E39903" s="23"/>
      <c r="L39903" s="23"/>
    </row>
    <row r="39904">
      <c r="B39904" s="19"/>
      <c r="E39904" s="23"/>
      <c r="L39904" s="23"/>
    </row>
    <row r="39905">
      <c r="B39905" s="19"/>
      <c r="E39905" s="23"/>
      <c r="L39905" s="23"/>
    </row>
    <row r="39906">
      <c r="B39906" s="19"/>
      <c r="E39906" s="23"/>
      <c r="L39906" s="23"/>
    </row>
    <row r="39907">
      <c r="B39907" s="19"/>
      <c r="E39907" s="23"/>
      <c r="L39907" s="23"/>
    </row>
    <row r="39908">
      <c r="B39908" s="19"/>
      <c r="E39908" s="23"/>
      <c r="L39908" s="23"/>
    </row>
    <row r="39909">
      <c r="B39909" s="19"/>
      <c r="E39909" s="23"/>
      <c r="L39909" s="23"/>
    </row>
    <row r="39910">
      <c r="B39910" s="19"/>
      <c r="E39910" s="23"/>
      <c r="L39910" s="23"/>
    </row>
    <row r="39911">
      <c r="B39911" s="19"/>
      <c r="E39911" s="23"/>
      <c r="L39911" s="23"/>
    </row>
    <row r="39912">
      <c r="B39912" s="19"/>
      <c r="E39912" s="23"/>
      <c r="L39912" s="23"/>
    </row>
    <row r="39913">
      <c r="B39913" s="19"/>
      <c r="E39913" s="23"/>
      <c r="L39913" s="23"/>
    </row>
    <row r="39914">
      <c r="B39914" s="19"/>
      <c r="E39914" s="23"/>
      <c r="L39914" s="23"/>
    </row>
    <row r="39915">
      <c r="B39915" s="19"/>
      <c r="E39915" s="23"/>
      <c r="L39915" s="23"/>
    </row>
    <row r="39916">
      <c r="B39916" s="19"/>
      <c r="E39916" s="23"/>
      <c r="L39916" s="23"/>
    </row>
    <row r="39917">
      <c r="B39917" s="19"/>
      <c r="E39917" s="23"/>
      <c r="L39917" s="23"/>
    </row>
    <row r="39918">
      <c r="B39918" s="19"/>
      <c r="E39918" s="23"/>
      <c r="L39918" s="23"/>
    </row>
    <row r="39919">
      <c r="B39919" s="19"/>
      <c r="E39919" s="23"/>
      <c r="L39919" s="23"/>
    </row>
    <row r="39920">
      <c r="B39920" s="19"/>
      <c r="E39920" s="23"/>
      <c r="L39920" s="23"/>
    </row>
    <row r="39921">
      <c r="B39921" s="19"/>
      <c r="E39921" s="23"/>
      <c r="L39921" s="23"/>
    </row>
    <row r="39922">
      <c r="B39922" s="19"/>
      <c r="E39922" s="23"/>
      <c r="L39922" s="23"/>
    </row>
    <row r="39923">
      <c r="B39923" s="19"/>
      <c r="E39923" s="23"/>
      <c r="L39923" s="23"/>
    </row>
    <row r="39924">
      <c r="B39924" s="19"/>
      <c r="E39924" s="23"/>
      <c r="L39924" s="23"/>
    </row>
    <row r="39925">
      <c r="B39925" s="19"/>
      <c r="E39925" s="23"/>
      <c r="L39925" s="23"/>
    </row>
    <row r="39926">
      <c r="B39926" s="19"/>
      <c r="E39926" s="23"/>
      <c r="L39926" s="23"/>
    </row>
    <row r="39927">
      <c r="B39927" s="19"/>
      <c r="E39927" s="23"/>
      <c r="L39927" s="23"/>
    </row>
    <row r="39928">
      <c r="B39928" s="19"/>
      <c r="E39928" s="23"/>
      <c r="L39928" s="23"/>
    </row>
    <row r="39929">
      <c r="B39929" s="19"/>
      <c r="E39929" s="23"/>
      <c r="L39929" s="23"/>
    </row>
    <row r="39930">
      <c r="B39930" s="19"/>
      <c r="E39930" s="23"/>
      <c r="L39930" s="23"/>
    </row>
    <row r="39931">
      <c r="B39931" s="19"/>
      <c r="E39931" s="23"/>
      <c r="L39931" s="23"/>
    </row>
    <row r="39932">
      <c r="B39932" s="19"/>
      <c r="E39932" s="23"/>
      <c r="L39932" s="23"/>
    </row>
    <row r="39933">
      <c r="B39933" s="19"/>
      <c r="E39933" s="23"/>
      <c r="L39933" s="23"/>
    </row>
    <row r="39934">
      <c r="B39934" s="19"/>
      <c r="E39934" s="23"/>
      <c r="L39934" s="23"/>
    </row>
    <row r="39935">
      <c r="B39935" s="19"/>
      <c r="E39935" s="23"/>
      <c r="L39935" s="23"/>
    </row>
    <row r="39936">
      <c r="B39936" s="19"/>
      <c r="E39936" s="23"/>
      <c r="L39936" s="23"/>
    </row>
    <row r="39937">
      <c r="B39937" s="19"/>
      <c r="E39937" s="23"/>
      <c r="L39937" s="23"/>
    </row>
    <row r="39938">
      <c r="B39938" s="19"/>
      <c r="E39938" s="23"/>
      <c r="L39938" s="23"/>
    </row>
    <row r="39939">
      <c r="B39939" s="19"/>
      <c r="E39939" s="23"/>
      <c r="L39939" s="23"/>
    </row>
    <row r="39940">
      <c r="B39940" s="19"/>
      <c r="E39940" s="23"/>
      <c r="L39940" s="23"/>
    </row>
    <row r="39941">
      <c r="B39941" s="19"/>
      <c r="E39941" s="23"/>
      <c r="L39941" s="23"/>
    </row>
    <row r="39942">
      <c r="B39942" s="19"/>
      <c r="E39942" s="23"/>
      <c r="L39942" s="23"/>
    </row>
    <row r="39943">
      <c r="B39943" s="19"/>
      <c r="E39943" s="23"/>
      <c r="L39943" s="23"/>
    </row>
    <row r="39944">
      <c r="B39944" s="19"/>
      <c r="E39944" s="23"/>
      <c r="L39944" s="23"/>
    </row>
    <row r="39945">
      <c r="B39945" s="19"/>
      <c r="E39945" s="23"/>
      <c r="L39945" s="23"/>
    </row>
    <row r="39946">
      <c r="B39946" s="19"/>
      <c r="E39946" s="23"/>
      <c r="L39946" s="23"/>
    </row>
    <row r="39947">
      <c r="B39947" s="19"/>
      <c r="E39947" s="23"/>
      <c r="L39947" s="23"/>
    </row>
    <row r="39948">
      <c r="B39948" s="19"/>
      <c r="E39948" s="23"/>
      <c r="L39948" s="23"/>
    </row>
    <row r="39949">
      <c r="B39949" s="19"/>
      <c r="E39949" s="23"/>
      <c r="L39949" s="23"/>
    </row>
    <row r="39950">
      <c r="B39950" s="19"/>
      <c r="E39950" s="23"/>
      <c r="L39950" s="23"/>
    </row>
    <row r="39951">
      <c r="B39951" s="19"/>
      <c r="E39951" s="23"/>
      <c r="L39951" s="23"/>
    </row>
    <row r="39952">
      <c r="B39952" s="19"/>
      <c r="E39952" s="23"/>
      <c r="L39952" s="23"/>
    </row>
    <row r="39953">
      <c r="B39953" s="19"/>
      <c r="E39953" s="23"/>
      <c r="L39953" s="23"/>
    </row>
    <row r="39954">
      <c r="B39954" s="19"/>
      <c r="E39954" s="23"/>
      <c r="L39954" s="23"/>
    </row>
    <row r="39955">
      <c r="B39955" s="19"/>
      <c r="E39955" s="23"/>
      <c r="L39955" s="23"/>
    </row>
    <row r="39956">
      <c r="B39956" s="19"/>
      <c r="E39956" s="23"/>
      <c r="L39956" s="23"/>
    </row>
    <row r="39957">
      <c r="B39957" s="19"/>
      <c r="E39957" s="23"/>
      <c r="L39957" s="23"/>
    </row>
    <row r="39958">
      <c r="B39958" s="19"/>
      <c r="E39958" s="23"/>
      <c r="L39958" s="23"/>
    </row>
    <row r="39959">
      <c r="B39959" s="19"/>
      <c r="E39959" s="23"/>
      <c r="L39959" s="23"/>
    </row>
    <row r="39960">
      <c r="B39960" s="19"/>
      <c r="E39960" s="23"/>
      <c r="L39960" s="23"/>
    </row>
    <row r="39961">
      <c r="B39961" s="19"/>
      <c r="E39961" s="23"/>
      <c r="L39961" s="23"/>
    </row>
    <row r="39962">
      <c r="B39962" s="19"/>
      <c r="E39962" s="23"/>
      <c r="L39962" s="23"/>
    </row>
    <row r="39963">
      <c r="B39963" s="19"/>
      <c r="E39963" s="23"/>
      <c r="L39963" s="23"/>
    </row>
    <row r="39964">
      <c r="B39964" s="19"/>
      <c r="E39964" s="23"/>
      <c r="L39964" s="23"/>
    </row>
    <row r="39965">
      <c r="B39965" s="19"/>
      <c r="E39965" s="23"/>
      <c r="L39965" s="23"/>
    </row>
    <row r="39966">
      <c r="B39966" s="19"/>
      <c r="E39966" s="23"/>
      <c r="L39966" s="23"/>
    </row>
    <row r="39967">
      <c r="B39967" s="19"/>
      <c r="E39967" s="23"/>
      <c r="L39967" s="23"/>
    </row>
    <row r="39968">
      <c r="B39968" s="19"/>
      <c r="E39968" s="23"/>
      <c r="L39968" s="23"/>
    </row>
    <row r="39969">
      <c r="B39969" s="19"/>
      <c r="E39969" s="23"/>
      <c r="L39969" s="23"/>
    </row>
    <row r="39970">
      <c r="B39970" s="19"/>
      <c r="E39970" s="23"/>
      <c r="L39970" s="23"/>
    </row>
    <row r="39971">
      <c r="B39971" s="19"/>
      <c r="E39971" s="23"/>
      <c r="L39971" s="23"/>
    </row>
    <row r="39972">
      <c r="B39972" s="19"/>
      <c r="E39972" s="23"/>
      <c r="L39972" s="23"/>
    </row>
    <row r="39973">
      <c r="B39973" s="19"/>
      <c r="E39973" s="23"/>
      <c r="L39973" s="23"/>
    </row>
    <row r="39974">
      <c r="B39974" s="19"/>
      <c r="E39974" s="23"/>
      <c r="L39974" s="23"/>
    </row>
    <row r="39975">
      <c r="B39975" s="19"/>
      <c r="E39975" s="23"/>
      <c r="L39975" s="23"/>
    </row>
    <row r="39976">
      <c r="B39976" s="19"/>
      <c r="E39976" s="23"/>
      <c r="L39976" s="23"/>
    </row>
    <row r="39977">
      <c r="B39977" s="19"/>
      <c r="E39977" s="23"/>
      <c r="L39977" s="23"/>
    </row>
    <row r="39978">
      <c r="B39978" s="19"/>
      <c r="E39978" s="23"/>
      <c r="L39978" s="23"/>
    </row>
    <row r="39979">
      <c r="B39979" s="19"/>
      <c r="E39979" s="23"/>
      <c r="L39979" s="23"/>
    </row>
    <row r="39980">
      <c r="B39980" s="19"/>
      <c r="E39980" s="23"/>
      <c r="L39980" s="23"/>
    </row>
    <row r="39981">
      <c r="B39981" s="19"/>
      <c r="E39981" s="23"/>
      <c r="L39981" s="23"/>
    </row>
    <row r="39982">
      <c r="B39982" s="19"/>
      <c r="E39982" s="23"/>
      <c r="L39982" s="23"/>
    </row>
    <row r="39983">
      <c r="B39983" s="19"/>
      <c r="E39983" s="23"/>
      <c r="L39983" s="23"/>
    </row>
    <row r="39984">
      <c r="B39984" s="19"/>
      <c r="E39984" s="23"/>
      <c r="L39984" s="23"/>
    </row>
    <row r="39985">
      <c r="B39985" s="19"/>
      <c r="E39985" s="23"/>
      <c r="L39985" s="23"/>
    </row>
    <row r="39986">
      <c r="B39986" s="19"/>
      <c r="E39986" s="23"/>
      <c r="L39986" s="23"/>
    </row>
    <row r="39987">
      <c r="B39987" s="19"/>
      <c r="E39987" s="23"/>
      <c r="L39987" s="23"/>
    </row>
    <row r="39988">
      <c r="B39988" s="19"/>
      <c r="E39988" s="23"/>
      <c r="L39988" s="23"/>
    </row>
    <row r="39989">
      <c r="B39989" s="19"/>
      <c r="E39989" s="23"/>
      <c r="L39989" s="23"/>
    </row>
    <row r="39990">
      <c r="B39990" s="19"/>
      <c r="E39990" s="23"/>
      <c r="L39990" s="23"/>
    </row>
    <row r="39991">
      <c r="B39991" s="19"/>
      <c r="E39991" s="23"/>
      <c r="L39991" s="23"/>
    </row>
    <row r="39992">
      <c r="B39992" s="19"/>
      <c r="E39992" s="23"/>
      <c r="L39992" s="23"/>
    </row>
    <row r="39993">
      <c r="B39993" s="19"/>
      <c r="E39993" s="23"/>
      <c r="L39993" s="23"/>
    </row>
    <row r="39994">
      <c r="B39994" s="19"/>
      <c r="E39994" s="23"/>
      <c r="L39994" s="23"/>
    </row>
    <row r="39995">
      <c r="B39995" s="19"/>
      <c r="E39995" s="23"/>
      <c r="L39995" s="23"/>
    </row>
    <row r="39996">
      <c r="B39996" s="19"/>
      <c r="E39996" s="23"/>
      <c r="L39996" s="23"/>
    </row>
    <row r="39997">
      <c r="B39997" s="19"/>
      <c r="E39997" s="23"/>
      <c r="L39997" s="23"/>
    </row>
    <row r="39998">
      <c r="B39998" s="19"/>
      <c r="E39998" s="23"/>
      <c r="L39998" s="23"/>
    </row>
    <row r="39999">
      <c r="B39999" s="19"/>
      <c r="E39999" s="23"/>
      <c r="L39999" s="23"/>
    </row>
    <row r="40000">
      <c r="B40000" s="19"/>
      <c r="E40000" s="23"/>
      <c r="L40000" s="23"/>
    </row>
    <row r="40001">
      <c r="B40001" s="19"/>
      <c r="E40001" s="23"/>
      <c r="L40001" s="23"/>
    </row>
    <row r="40002">
      <c r="B40002" s="19"/>
      <c r="E40002" s="23"/>
      <c r="L40002" s="23"/>
    </row>
    <row r="40003">
      <c r="B40003" s="19"/>
      <c r="E40003" s="23"/>
      <c r="L40003" s="23"/>
    </row>
    <row r="40004">
      <c r="B40004" s="19"/>
      <c r="E40004" s="23"/>
      <c r="L40004" s="23"/>
    </row>
    <row r="40005">
      <c r="B40005" s="19"/>
      <c r="E40005" s="23"/>
      <c r="L40005" s="23"/>
    </row>
    <row r="40006">
      <c r="B40006" s="19"/>
      <c r="E40006" s="23"/>
      <c r="L40006" s="23"/>
    </row>
    <row r="40007">
      <c r="B40007" s="19"/>
      <c r="E40007" s="23"/>
      <c r="L40007" s="23"/>
    </row>
    <row r="40008">
      <c r="B40008" s="19"/>
      <c r="E40008" s="23"/>
      <c r="L40008" s="23"/>
    </row>
    <row r="40009">
      <c r="B40009" s="19"/>
      <c r="E40009" s="23"/>
      <c r="L40009" s="23"/>
    </row>
    <row r="40010">
      <c r="B40010" s="19"/>
      <c r="E40010" s="23"/>
      <c r="L40010" s="23"/>
    </row>
    <row r="40011">
      <c r="B40011" s="19"/>
      <c r="E40011" s="23"/>
      <c r="L40011" s="23"/>
    </row>
    <row r="40012">
      <c r="B40012" s="19"/>
      <c r="E40012" s="23"/>
      <c r="L40012" s="23"/>
    </row>
    <row r="40013">
      <c r="B40013" s="19"/>
      <c r="E40013" s="23"/>
      <c r="L40013" s="23"/>
    </row>
    <row r="40014">
      <c r="B40014" s="19"/>
      <c r="E40014" s="23"/>
      <c r="L40014" s="23"/>
    </row>
    <row r="40015">
      <c r="B40015" s="19"/>
      <c r="E40015" s="23"/>
      <c r="L40015" s="23"/>
    </row>
    <row r="40016">
      <c r="B40016" s="19"/>
      <c r="E40016" s="23"/>
      <c r="L40016" s="23"/>
    </row>
    <row r="40017">
      <c r="B40017" s="19"/>
      <c r="E40017" s="23"/>
      <c r="L40017" s="23"/>
    </row>
    <row r="40018">
      <c r="B40018" s="19"/>
      <c r="E40018" s="23"/>
      <c r="L40018" s="23"/>
    </row>
    <row r="40019">
      <c r="B40019" s="19"/>
      <c r="E40019" s="23"/>
      <c r="L40019" s="23"/>
    </row>
    <row r="40020">
      <c r="B40020" s="19"/>
      <c r="E40020" s="23"/>
      <c r="L40020" s="23"/>
    </row>
    <row r="40021">
      <c r="B40021" s="19"/>
      <c r="E40021" s="23"/>
      <c r="L40021" s="23"/>
    </row>
    <row r="40022">
      <c r="B40022" s="19"/>
      <c r="E40022" s="23"/>
      <c r="L40022" s="23"/>
    </row>
    <row r="40023">
      <c r="B40023" s="19"/>
      <c r="E40023" s="23"/>
      <c r="L40023" s="23"/>
    </row>
    <row r="40024">
      <c r="B40024" s="19"/>
      <c r="E40024" s="23"/>
      <c r="L40024" s="23"/>
    </row>
    <row r="40025">
      <c r="B40025" s="19"/>
      <c r="E40025" s="23"/>
      <c r="L40025" s="23"/>
    </row>
    <row r="40026">
      <c r="B40026" s="19"/>
      <c r="E40026" s="23"/>
      <c r="L40026" s="23"/>
    </row>
    <row r="40027">
      <c r="B40027" s="19"/>
      <c r="E40027" s="23"/>
      <c r="L40027" s="23"/>
    </row>
    <row r="40028">
      <c r="B40028" s="19"/>
      <c r="E40028" s="23"/>
      <c r="L40028" s="23"/>
    </row>
    <row r="40029">
      <c r="B40029" s="19"/>
      <c r="E40029" s="23"/>
      <c r="L40029" s="23"/>
    </row>
    <row r="40030">
      <c r="B40030" s="19"/>
      <c r="E40030" s="23"/>
      <c r="L40030" s="23"/>
    </row>
    <row r="40031">
      <c r="B40031" s="19"/>
      <c r="E40031" s="23"/>
      <c r="L40031" s="23"/>
    </row>
    <row r="40032">
      <c r="B40032" s="19"/>
      <c r="E40032" s="23"/>
      <c r="L40032" s="23"/>
    </row>
    <row r="40033">
      <c r="B40033" s="19"/>
      <c r="E40033" s="23"/>
      <c r="L40033" s="23"/>
    </row>
    <row r="40034">
      <c r="B40034" s="19"/>
      <c r="E40034" s="23"/>
      <c r="L40034" s="23"/>
    </row>
    <row r="40035">
      <c r="B40035" s="19"/>
      <c r="E40035" s="23"/>
      <c r="L40035" s="23"/>
    </row>
    <row r="40036">
      <c r="B40036" s="19"/>
      <c r="E40036" s="23"/>
      <c r="L40036" s="23"/>
    </row>
    <row r="40037">
      <c r="B40037" s="19"/>
      <c r="E40037" s="23"/>
      <c r="L40037" s="23"/>
    </row>
    <row r="40038">
      <c r="B40038" s="19"/>
      <c r="E40038" s="23"/>
      <c r="L40038" s="23"/>
    </row>
    <row r="40039">
      <c r="B40039" s="19"/>
      <c r="E40039" s="23"/>
      <c r="L40039" s="23"/>
    </row>
    <row r="40040">
      <c r="B40040" s="19"/>
      <c r="E40040" s="23"/>
      <c r="L40040" s="23"/>
    </row>
    <row r="40041">
      <c r="B40041" s="19"/>
      <c r="E40041" s="23"/>
      <c r="L40041" s="23"/>
    </row>
    <row r="40042">
      <c r="B40042" s="19"/>
      <c r="E40042" s="23"/>
      <c r="L40042" s="23"/>
    </row>
    <row r="40043">
      <c r="B40043" s="19"/>
      <c r="E40043" s="23"/>
      <c r="L40043" s="23"/>
    </row>
    <row r="40044">
      <c r="B40044" s="19"/>
      <c r="E40044" s="23"/>
      <c r="L40044" s="23"/>
    </row>
    <row r="40045">
      <c r="B40045" s="19"/>
      <c r="E40045" s="23"/>
      <c r="L40045" s="23"/>
    </row>
    <row r="40046">
      <c r="B40046" s="19"/>
      <c r="E40046" s="23"/>
      <c r="L40046" s="23"/>
    </row>
    <row r="40047">
      <c r="B40047" s="19"/>
      <c r="E40047" s="23"/>
      <c r="L40047" s="23"/>
    </row>
    <row r="40048">
      <c r="B40048" s="19"/>
      <c r="E40048" s="23"/>
      <c r="L40048" s="23"/>
    </row>
    <row r="40049">
      <c r="B40049" s="19"/>
      <c r="E40049" s="23"/>
      <c r="L40049" s="23"/>
    </row>
    <row r="40050">
      <c r="B40050" s="19"/>
      <c r="E40050" s="23"/>
      <c r="L40050" s="23"/>
    </row>
    <row r="40051">
      <c r="B40051" s="19"/>
      <c r="E40051" s="23"/>
      <c r="L40051" s="23"/>
    </row>
    <row r="40052">
      <c r="B40052" s="19"/>
      <c r="E40052" s="23"/>
      <c r="L40052" s="23"/>
    </row>
    <row r="40053">
      <c r="B40053" s="19"/>
      <c r="E40053" s="23"/>
      <c r="L40053" s="23"/>
    </row>
    <row r="40054">
      <c r="B40054" s="19"/>
      <c r="E40054" s="23"/>
      <c r="L40054" s="23"/>
    </row>
    <row r="40055">
      <c r="B40055" s="19"/>
      <c r="E40055" s="23"/>
      <c r="L40055" s="23"/>
    </row>
    <row r="40056">
      <c r="B40056" s="19"/>
      <c r="E40056" s="23"/>
      <c r="L40056" s="23"/>
    </row>
    <row r="40057">
      <c r="B40057" s="19"/>
      <c r="E40057" s="23"/>
      <c r="L40057" s="23"/>
    </row>
    <row r="40058">
      <c r="B40058" s="19"/>
      <c r="E40058" s="23"/>
      <c r="L40058" s="23"/>
    </row>
    <row r="40059">
      <c r="B40059" s="19"/>
      <c r="E40059" s="23"/>
      <c r="L40059" s="23"/>
    </row>
    <row r="40060">
      <c r="B40060" s="19"/>
      <c r="E40060" s="23"/>
      <c r="L40060" s="23"/>
    </row>
    <row r="40061">
      <c r="B40061" s="19"/>
      <c r="E40061" s="23"/>
      <c r="L40061" s="23"/>
    </row>
    <row r="40062">
      <c r="B40062" s="19"/>
      <c r="E40062" s="23"/>
      <c r="L40062" s="23"/>
    </row>
    <row r="40063">
      <c r="B40063" s="19"/>
      <c r="E40063" s="23"/>
      <c r="L40063" s="23"/>
    </row>
    <row r="40064">
      <c r="B40064" s="19"/>
      <c r="E40064" s="23"/>
      <c r="L40064" s="23"/>
    </row>
    <row r="40065">
      <c r="B40065" s="19"/>
      <c r="E40065" s="23"/>
      <c r="L40065" s="23"/>
    </row>
    <row r="40066">
      <c r="B40066" s="19"/>
      <c r="E40066" s="23"/>
      <c r="L40066" s="23"/>
    </row>
    <row r="40067">
      <c r="B40067" s="19"/>
      <c r="E40067" s="23"/>
      <c r="L40067" s="23"/>
    </row>
    <row r="40068">
      <c r="B40068" s="19"/>
      <c r="E40068" s="23"/>
      <c r="L40068" s="23"/>
    </row>
    <row r="40069">
      <c r="B40069" s="19"/>
      <c r="E40069" s="23"/>
      <c r="L40069" s="23"/>
    </row>
    <row r="40070">
      <c r="B40070" s="19"/>
      <c r="E40070" s="23"/>
      <c r="L40070" s="23"/>
    </row>
    <row r="40071">
      <c r="B40071" s="19"/>
      <c r="E40071" s="23"/>
      <c r="L40071" s="23"/>
    </row>
    <row r="40072">
      <c r="B40072" s="19"/>
      <c r="E40072" s="23"/>
      <c r="L40072" s="23"/>
    </row>
    <row r="40073">
      <c r="B40073" s="19"/>
      <c r="E40073" s="23"/>
      <c r="L40073" s="23"/>
    </row>
    <row r="40074">
      <c r="B40074" s="19"/>
      <c r="E40074" s="23"/>
      <c r="L40074" s="23"/>
    </row>
    <row r="40075">
      <c r="B40075" s="19"/>
      <c r="E40075" s="23"/>
      <c r="L40075" s="23"/>
    </row>
    <row r="40076">
      <c r="B40076" s="19"/>
      <c r="E40076" s="23"/>
      <c r="L40076" s="23"/>
    </row>
    <row r="40077">
      <c r="B40077" s="19"/>
      <c r="E40077" s="23"/>
      <c r="L40077" s="23"/>
    </row>
    <row r="40078">
      <c r="B40078" s="19"/>
      <c r="E40078" s="23"/>
      <c r="L40078" s="23"/>
    </row>
    <row r="40079">
      <c r="B40079" s="19"/>
      <c r="E40079" s="23"/>
      <c r="L40079" s="23"/>
    </row>
    <row r="40080">
      <c r="B40080" s="19"/>
      <c r="E40080" s="23"/>
      <c r="L40080" s="23"/>
    </row>
    <row r="40081">
      <c r="B40081" s="19"/>
      <c r="E40081" s="23"/>
      <c r="L40081" s="23"/>
    </row>
    <row r="40082">
      <c r="B40082" s="19"/>
      <c r="E40082" s="23"/>
      <c r="L40082" s="23"/>
    </row>
    <row r="40083">
      <c r="B40083" s="19"/>
      <c r="E40083" s="23"/>
      <c r="L40083" s="23"/>
    </row>
    <row r="40084">
      <c r="B40084" s="19"/>
      <c r="E40084" s="23"/>
      <c r="L40084" s="23"/>
    </row>
    <row r="40085">
      <c r="B40085" s="19"/>
      <c r="E40085" s="23"/>
      <c r="L40085" s="23"/>
    </row>
    <row r="40086">
      <c r="B40086" s="19"/>
      <c r="E40086" s="23"/>
      <c r="L40086" s="23"/>
    </row>
    <row r="40087">
      <c r="B40087" s="19"/>
      <c r="E40087" s="23"/>
      <c r="L40087" s="23"/>
    </row>
    <row r="40088">
      <c r="B40088" s="19"/>
      <c r="E40088" s="23"/>
      <c r="L40088" s="23"/>
    </row>
    <row r="40089">
      <c r="B40089" s="19"/>
      <c r="E40089" s="23"/>
      <c r="L40089" s="23"/>
    </row>
    <row r="40090">
      <c r="B40090" s="19"/>
      <c r="E40090" s="23"/>
      <c r="L40090" s="23"/>
    </row>
    <row r="40091">
      <c r="B40091" s="19"/>
      <c r="E40091" s="23"/>
      <c r="L40091" s="23"/>
    </row>
    <row r="40092">
      <c r="B40092" s="19"/>
      <c r="E40092" s="23"/>
      <c r="L40092" s="23"/>
    </row>
    <row r="40093">
      <c r="B40093" s="19"/>
      <c r="E40093" s="23"/>
      <c r="L40093" s="23"/>
    </row>
    <row r="40094">
      <c r="B40094" s="19"/>
      <c r="E40094" s="23"/>
      <c r="L40094" s="23"/>
    </row>
    <row r="40095">
      <c r="B40095" s="19"/>
      <c r="E40095" s="23"/>
      <c r="L40095" s="23"/>
    </row>
    <row r="40096">
      <c r="B40096" s="19"/>
      <c r="E40096" s="23"/>
      <c r="L40096" s="23"/>
    </row>
    <row r="40097">
      <c r="B40097" s="19"/>
      <c r="E40097" s="23"/>
      <c r="L40097" s="23"/>
    </row>
    <row r="40098">
      <c r="B40098" s="19"/>
      <c r="E40098" s="23"/>
      <c r="L40098" s="23"/>
    </row>
    <row r="40099">
      <c r="B40099" s="19"/>
      <c r="E40099" s="23"/>
      <c r="L40099" s="23"/>
    </row>
    <row r="40100">
      <c r="B40100" s="19"/>
      <c r="E40100" s="23"/>
      <c r="L40100" s="23"/>
    </row>
    <row r="40101">
      <c r="B40101" s="19"/>
      <c r="E40101" s="23"/>
      <c r="L40101" s="23"/>
    </row>
    <row r="40102">
      <c r="B40102" s="19"/>
      <c r="E40102" s="23"/>
      <c r="L40102" s="23"/>
    </row>
    <row r="40103">
      <c r="B40103" s="19"/>
      <c r="E40103" s="23"/>
      <c r="L40103" s="23"/>
    </row>
    <row r="40104">
      <c r="B40104" s="19"/>
      <c r="E40104" s="23"/>
      <c r="L40104" s="23"/>
    </row>
    <row r="40105">
      <c r="B40105" s="19"/>
      <c r="E40105" s="23"/>
      <c r="L40105" s="23"/>
    </row>
    <row r="40106">
      <c r="B40106" s="19"/>
      <c r="E40106" s="23"/>
      <c r="L40106" s="23"/>
    </row>
    <row r="40107">
      <c r="B40107" s="19"/>
      <c r="E40107" s="23"/>
      <c r="L40107" s="23"/>
    </row>
    <row r="40108">
      <c r="B40108" s="19"/>
      <c r="E40108" s="23"/>
      <c r="L40108" s="23"/>
    </row>
    <row r="40109">
      <c r="B40109" s="19"/>
      <c r="E40109" s="23"/>
      <c r="L40109" s="23"/>
    </row>
    <row r="40110">
      <c r="B40110" s="19"/>
      <c r="E40110" s="23"/>
      <c r="L40110" s="23"/>
    </row>
    <row r="40111">
      <c r="B40111" s="19"/>
      <c r="E40111" s="23"/>
      <c r="L40111" s="23"/>
    </row>
    <row r="40112">
      <c r="B40112" s="19"/>
      <c r="E40112" s="23"/>
      <c r="L40112" s="23"/>
    </row>
    <row r="40113">
      <c r="B40113" s="19"/>
      <c r="E40113" s="23"/>
      <c r="L40113" s="23"/>
    </row>
    <row r="40114">
      <c r="B40114" s="19"/>
      <c r="E40114" s="23"/>
      <c r="L40114" s="23"/>
    </row>
    <row r="40115">
      <c r="B40115" s="19"/>
      <c r="E40115" s="23"/>
      <c r="L40115" s="23"/>
    </row>
    <row r="40116">
      <c r="B40116" s="19"/>
      <c r="E40116" s="23"/>
      <c r="L40116" s="23"/>
    </row>
    <row r="40117">
      <c r="B40117" s="19"/>
      <c r="E40117" s="23"/>
      <c r="L40117" s="23"/>
    </row>
    <row r="40118">
      <c r="B40118" s="19"/>
      <c r="E40118" s="23"/>
      <c r="L40118" s="23"/>
    </row>
    <row r="40119">
      <c r="B40119" s="19"/>
      <c r="E40119" s="23"/>
      <c r="L40119" s="23"/>
    </row>
    <row r="40120">
      <c r="B40120" s="19"/>
      <c r="E40120" s="23"/>
      <c r="L40120" s="23"/>
    </row>
    <row r="40121">
      <c r="B40121" s="19"/>
      <c r="E40121" s="23"/>
      <c r="L40121" s="23"/>
    </row>
    <row r="40122">
      <c r="B40122" s="19"/>
      <c r="E40122" s="23"/>
      <c r="L40122" s="23"/>
    </row>
    <row r="40123">
      <c r="B40123" s="19"/>
      <c r="E40123" s="23"/>
      <c r="L40123" s="23"/>
    </row>
    <row r="40124">
      <c r="B40124" s="19"/>
      <c r="E40124" s="23"/>
      <c r="L40124" s="23"/>
    </row>
    <row r="40125">
      <c r="B40125" s="19"/>
      <c r="E40125" s="23"/>
      <c r="L40125" s="23"/>
    </row>
    <row r="40126">
      <c r="B40126" s="19"/>
      <c r="E40126" s="23"/>
      <c r="L40126" s="23"/>
    </row>
    <row r="40127">
      <c r="B40127" s="19"/>
      <c r="E40127" s="23"/>
      <c r="L40127" s="23"/>
    </row>
    <row r="40128">
      <c r="B40128" s="19"/>
      <c r="E40128" s="23"/>
      <c r="L40128" s="23"/>
    </row>
    <row r="40129">
      <c r="B40129" s="19"/>
      <c r="E40129" s="23"/>
      <c r="L40129" s="23"/>
    </row>
    <row r="40130">
      <c r="B40130" s="19"/>
      <c r="E40130" s="23"/>
      <c r="L40130" s="23"/>
    </row>
    <row r="40131">
      <c r="B40131" s="19"/>
      <c r="E40131" s="23"/>
      <c r="L40131" s="23"/>
    </row>
    <row r="40132">
      <c r="B40132" s="19"/>
      <c r="E40132" s="23"/>
      <c r="L40132" s="23"/>
    </row>
    <row r="40133">
      <c r="B40133" s="19"/>
      <c r="E40133" s="23"/>
      <c r="L40133" s="23"/>
    </row>
    <row r="40134">
      <c r="B40134" s="19"/>
      <c r="E40134" s="23"/>
      <c r="L40134" s="23"/>
    </row>
    <row r="40135">
      <c r="B40135" s="19"/>
      <c r="E40135" s="23"/>
      <c r="L40135" s="23"/>
    </row>
    <row r="40136">
      <c r="B40136" s="19"/>
      <c r="E40136" s="23"/>
      <c r="L40136" s="23"/>
    </row>
    <row r="40137">
      <c r="B40137" s="19"/>
      <c r="E40137" s="23"/>
      <c r="L40137" s="23"/>
    </row>
    <row r="40138">
      <c r="B40138" s="19"/>
      <c r="E40138" s="23"/>
      <c r="L40138" s="23"/>
    </row>
    <row r="40139">
      <c r="B40139" s="19"/>
      <c r="E40139" s="23"/>
      <c r="L40139" s="23"/>
    </row>
    <row r="40140">
      <c r="B40140" s="19"/>
      <c r="E40140" s="23"/>
      <c r="L40140" s="23"/>
    </row>
    <row r="40141">
      <c r="B40141" s="19"/>
      <c r="E40141" s="23"/>
      <c r="L40141" s="23"/>
    </row>
    <row r="40142">
      <c r="B40142" s="19"/>
      <c r="E40142" s="23"/>
      <c r="L40142" s="23"/>
    </row>
    <row r="40143">
      <c r="B40143" s="19"/>
      <c r="E40143" s="23"/>
      <c r="L40143" s="23"/>
    </row>
    <row r="40144">
      <c r="B40144" s="19"/>
      <c r="E40144" s="23"/>
      <c r="L40144" s="23"/>
    </row>
    <row r="40145">
      <c r="B40145" s="19"/>
      <c r="E40145" s="23"/>
      <c r="L40145" s="23"/>
    </row>
    <row r="40146">
      <c r="B40146" s="19"/>
      <c r="E40146" s="23"/>
      <c r="L40146" s="23"/>
    </row>
    <row r="40147">
      <c r="B40147" s="19"/>
      <c r="E40147" s="23"/>
      <c r="L40147" s="23"/>
    </row>
    <row r="40148">
      <c r="B40148" s="19"/>
      <c r="E40148" s="23"/>
      <c r="L40148" s="23"/>
    </row>
    <row r="40149">
      <c r="B40149" s="19"/>
      <c r="E40149" s="23"/>
      <c r="L40149" s="23"/>
    </row>
    <row r="40150">
      <c r="B40150" s="19"/>
      <c r="E40150" s="23"/>
      <c r="L40150" s="23"/>
    </row>
    <row r="40151">
      <c r="B40151" s="19"/>
      <c r="E40151" s="23"/>
      <c r="L40151" s="23"/>
    </row>
    <row r="40152">
      <c r="B40152" s="19"/>
      <c r="E40152" s="23"/>
      <c r="L40152" s="23"/>
    </row>
    <row r="40153">
      <c r="B40153" s="19"/>
      <c r="E40153" s="23"/>
      <c r="L40153" s="23"/>
    </row>
    <row r="40154">
      <c r="B40154" s="19"/>
      <c r="E40154" s="23"/>
      <c r="L40154" s="23"/>
    </row>
    <row r="40155">
      <c r="B40155" s="19"/>
      <c r="E40155" s="23"/>
      <c r="L40155" s="23"/>
    </row>
    <row r="40156">
      <c r="B40156" s="19"/>
      <c r="E40156" s="23"/>
      <c r="L40156" s="23"/>
    </row>
    <row r="40157">
      <c r="B40157" s="19"/>
      <c r="E40157" s="23"/>
      <c r="L40157" s="23"/>
    </row>
    <row r="40158">
      <c r="B40158" s="19"/>
      <c r="E40158" s="23"/>
      <c r="L40158" s="23"/>
    </row>
    <row r="40159">
      <c r="B40159" s="19"/>
      <c r="E40159" s="23"/>
      <c r="L40159" s="23"/>
    </row>
    <row r="40160">
      <c r="B40160" s="19"/>
      <c r="E40160" s="23"/>
      <c r="L40160" s="23"/>
    </row>
    <row r="40161">
      <c r="B40161" s="19"/>
      <c r="E40161" s="23"/>
      <c r="L40161" s="23"/>
    </row>
    <row r="40162">
      <c r="B40162" s="19"/>
      <c r="E40162" s="23"/>
      <c r="L40162" s="23"/>
    </row>
    <row r="40163">
      <c r="B40163" s="19"/>
      <c r="E40163" s="23"/>
      <c r="L40163" s="23"/>
    </row>
    <row r="40164">
      <c r="B40164" s="19"/>
      <c r="E40164" s="23"/>
      <c r="L40164" s="23"/>
    </row>
    <row r="40165">
      <c r="B40165" s="19"/>
      <c r="E40165" s="23"/>
      <c r="L40165" s="23"/>
    </row>
    <row r="40166">
      <c r="B40166" s="19"/>
      <c r="E40166" s="23"/>
      <c r="L40166" s="23"/>
    </row>
    <row r="40167">
      <c r="B40167" s="19"/>
      <c r="E40167" s="23"/>
      <c r="L40167" s="23"/>
    </row>
    <row r="40168">
      <c r="B40168" s="19"/>
      <c r="E40168" s="23"/>
      <c r="L40168" s="23"/>
    </row>
    <row r="40169">
      <c r="B40169" s="19"/>
      <c r="E40169" s="23"/>
      <c r="L40169" s="23"/>
    </row>
    <row r="40170">
      <c r="B40170" s="19"/>
      <c r="E40170" s="23"/>
      <c r="L40170" s="23"/>
    </row>
    <row r="40171">
      <c r="B40171" s="19"/>
      <c r="E40171" s="23"/>
      <c r="L40171" s="23"/>
    </row>
    <row r="40172">
      <c r="B40172" s="19"/>
      <c r="E40172" s="23"/>
      <c r="L40172" s="23"/>
    </row>
    <row r="40173">
      <c r="B40173" s="19"/>
      <c r="E40173" s="23"/>
      <c r="L40173" s="23"/>
    </row>
    <row r="40174">
      <c r="B40174" s="19"/>
      <c r="E40174" s="23"/>
      <c r="L40174" s="23"/>
    </row>
    <row r="40175">
      <c r="B40175" s="19"/>
      <c r="E40175" s="23"/>
      <c r="L40175" s="23"/>
    </row>
    <row r="40176">
      <c r="B40176" s="19"/>
      <c r="E40176" s="23"/>
      <c r="L40176" s="23"/>
    </row>
    <row r="40177">
      <c r="B40177" s="19"/>
      <c r="E40177" s="23"/>
      <c r="L40177" s="23"/>
    </row>
    <row r="40178">
      <c r="B40178" s="19"/>
      <c r="E40178" s="23"/>
      <c r="L40178" s="23"/>
    </row>
    <row r="40179">
      <c r="B40179" s="19"/>
      <c r="E40179" s="23"/>
      <c r="L40179" s="23"/>
    </row>
    <row r="40180">
      <c r="B40180" s="19"/>
      <c r="E40180" s="23"/>
      <c r="L40180" s="23"/>
    </row>
    <row r="40181">
      <c r="B40181" s="19"/>
      <c r="E40181" s="23"/>
      <c r="L40181" s="23"/>
    </row>
    <row r="40182">
      <c r="B40182" s="19"/>
      <c r="E40182" s="23"/>
      <c r="L40182" s="23"/>
    </row>
    <row r="40183">
      <c r="B40183" s="19"/>
      <c r="E40183" s="23"/>
      <c r="L40183" s="23"/>
    </row>
    <row r="40184">
      <c r="B40184" s="19"/>
      <c r="E40184" s="23"/>
      <c r="L40184" s="23"/>
    </row>
    <row r="40185">
      <c r="B40185" s="19"/>
      <c r="E40185" s="23"/>
      <c r="L40185" s="23"/>
    </row>
    <row r="40186">
      <c r="B40186" s="19"/>
      <c r="E40186" s="23"/>
      <c r="L40186" s="23"/>
    </row>
    <row r="40187">
      <c r="B40187" s="19"/>
      <c r="E40187" s="23"/>
      <c r="L40187" s="23"/>
    </row>
    <row r="40188">
      <c r="B40188" s="19"/>
      <c r="E40188" s="23"/>
      <c r="L40188" s="23"/>
    </row>
    <row r="40189">
      <c r="B40189" s="19"/>
      <c r="E40189" s="23"/>
      <c r="L40189" s="23"/>
    </row>
    <row r="40190">
      <c r="B40190" s="19"/>
      <c r="E40190" s="23"/>
      <c r="L40190" s="23"/>
    </row>
    <row r="40191">
      <c r="B40191" s="19"/>
      <c r="E40191" s="23"/>
      <c r="L40191" s="23"/>
    </row>
    <row r="40192">
      <c r="B40192" s="19"/>
      <c r="E40192" s="23"/>
      <c r="L40192" s="23"/>
    </row>
    <row r="40193">
      <c r="B40193" s="19"/>
      <c r="E40193" s="23"/>
      <c r="L40193" s="23"/>
    </row>
    <row r="40194">
      <c r="B40194" s="19"/>
      <c r="E40194" s="23"/>
      <c r="L40194" s="23"/>
    </row>
    <row r="40195">
      <c r="B40195" s="19"/>
      <c r="E40195" s="23"/>
      <c r="L40195" s="23"/>
    </row>
    <row r="40196">
      <c r="B40196" s="19"/>
      <c r="E40196" s="23"/>
      <c r="L40196" s="23"/>
    </row>
    <row r="40197">
      <c r="B40197" s="19"/>
      <c r="E40197" s="23"/>
      <c r="L40197" s="23"/>
    </row>
    <row r="40198">
      <c r="B40198" s="19"/>
      <c r="E40198" s="23"/>
      <c r="L40198" s="23"/>
    </row>
    <row r="40199">
      <c r="B40199" s="19"/>
      <c r="E40199" s="23"/>
      <c r="L40199" s="23"/>
    </row>
    <row r="40200">
      <c r="B40200" s="19"/>
      <c r="E40200" s="23"/>
      <c r="L40200" s="23"/>
    </row>
    <row r="40201">
      <c r="B40201" s="19"/>
      <c r="E40201" s="23"/>
      <c r="L40201" s="23"/>
    </row>
    <row r="40202">
      <c r="B40202" s="19"/>
      <c r="E40202" s="23"/>
      <c r="L40202" s="23"/>
    </row>
    <row r="40203">
      <c r="B40203" s="19"/>
      <c r="E40203" s="23"/>
      <c r="L40203" s="23"/>
    </row>
    <row r="40204">
      <c r="B40204" s="19"/>
      <c r="E40204" s="23"/>
      <c r="L40204" s="23"/>
    </row>
    <row r="40205">
      <c r="B40205" s="19"/>
      <c r="E40205" s="23"/>
      <c r="L40205" s="23"/>
    </row>
    <row r="40206">
      <c r="B40206" s="19"/>
      <c r="E40206" s="23"/>
      <c r="L40206" s="23"/>
    </row>
    <row r="40207">
      <c r="B40207" s="19"/>
      <c r="E40207" s="23"/>
      <c r="L40207" s="23"/>
    </row>
    <row r="40208">
      <c r="B40208" s="19"/>
      <c r="E40208" s="23"/>
      <c r="L40208" s="23"/>
    </row>
    <row r="40209">
      <c r="B40209" s="19"/>
      <c r="E40209" s="23"/>
      <c r="L40209" s="23"/>
    </row>
    <row r="40210">
      <c r="B40210" s="19"/>
      <c r="E40210" s="23"/>
      <c r="L40210" s="23"/>
    </row>
    <row r="40211">
      <c r="B40211" s="19"/>
      <c r="E40211" s="23"/>
      <c r="L40211" s="23"/>
    </row>
    <row r="40212">
      <c r="B40212" s="19"/>
      <c r="E40212" s="23"/>
      <c r="L40212" s="23"/>
    </row>
    <row r="40213">
      <c r="B40213" s="19"/>
      <c r="E40213" s="23"/>
      <c r="L40213" s="23"/>
    </row>
    <row r="40214">
      <c r="B40214" s="19"/>
      <c r="E40214" s="23"/>
      <c r="L40214" s="23"/>
    </row>
    <row r="40215">
      <c r="B40215" s="19"/>
      <c r="E40215" s="23"/>
      <c r="L40215" s="23"/>
    </row>
    <row r="40216">
      <c r="B40216" s="19"/>
      <c r="E40216" s="23"/>
      <c r="L40216" s="23"/>
    </row>
    <row r="40217">
      <c r="B40217" s="19"/>
      <c r="E40217" s="23"/>
      <c r="L40217" s="23"/>
    </row>
    <row r="40218">
      <c r="B40218" s="19"/>
      <c r="E40218" s="23"/>
      <c r="L40218" s="23"/>
    </row>
    <row r="40219">
      <c r="B40219" s="19"/>
      <c r="E40219" s="23"/>
      <c r="L40219" s="23"/>
    </row>
    <row r="40220">
      <c r="B40220" s="19"/>
      <c r="E40220" s="23"/>
      <c r="L40220" s="23"/>
    </row>
    <row r="40221">
      <c r="B40221" s="19"/>
      <c r="E40221" s="23"/>
      <c r="L40221" s="23"/>
    </row>
    <row r="40222">
      <c r="B40222" s="19"/>
      <c r="E40222" s="23"/>
      <c r="L40222" s="23"/>
    </row>
    <row r="40223">
      <c r="B40223" s="19"/>
      <c r="E40223" s="23"/>
      <c r="L40223" s="23"/>
    </row>
    <row r="40224">
      <c r="B40224" s="19"/>
      <c r="E40224" s="23"/>
      <c r="L40224" s="23"/>
    </row>
    <row r="40225">
      <c r="B40225" s="19"/>
      <c r="E40225" s="23"/>
      <c r="L40225" s="23"/>
    </row>
    <row r="40226">
      <c r="B40226" s="19"/>
      <c r="E40226" s="23"/>
      <c r="L40226" s="23"/>
    </row>
    <row r="40227">
      <c r="B40227" s="19"/>
      <c r="E40227" s="23"/>
      <c r="L40227" s="23"/>
    </row>
    <row r="40228">
      <c r="B40228" s="19"/>
      <c r="E40228" s="23"/>
      <c r="L40228" s="23"/>
    </row>
    <row r="40229">
      <c r="B40229" s="19"/>
      <c r="E40229" s="23"/>
      <c r="L40229" s="23"/>
    </row>
    <row r="40230">
      <c r="B40230" s="19"/>
      <c r="E40230" s="23"/>
      <c r="L40230" s="23"/>
    </row>
    <row r="40231">
      <c r="B40231" s="19"/>
      <c r="E40231" s="23"/>
      <c r="L40231" s="23"/>
    </row>
    <row r="40232">
      <c r="B40232" s="19"/>
      <c r="E40232" s="23"/>
      <c r="L40232" s="23"/>
    </row>
    <row r="40233">
      <c r="B40233" s="19"/>
      <c r="E40233" s="23"/>
      <c r="L40233" s="23"/>
    </row>
    <row r="40234">
      <c r="B40234" s="19"/>
      <c r="E40234" s="23"/>
      <c r="L40234" s="23"/>
    </row>
    <row r="40235">
      <c r="B40235" s="19"/>
      <c r="E40235" s="23"/>
      <c r="L40235" s="23"/>
    </row>
    <row r="40236">
      <c r="B40236" s="19"/>
      <c r="E40236" s="23"/>
      <c r="L40236" s="23"/>
    </row>
    <row r="40237">
      <c r="B40237" s="19"/>
      <c r="E40237" s="23"/>
      <c r="L40237" s="23"/>
    </row>
    <row r="40238">
      <c r="B40238" s="19"/>
      <c r="E40238" s="23"/>
      <c r="L40238" s="23"/>
    </row>
    <row r="40239">
      <c r="B40239" s="19"/>
      <c r="E40239" s="23"/>
      <c r="L40239" s="23"/>
    </row>
    <row r="40240">
      <c r="B40240" s="19"/>
      <c r="E40240" s="23"/>
      <c r="L40240" s="23"/>
    </row>
    <row r="40241">
      <c r="B40241" s="19"/>
      <c r="E40241" s="23"/>
      <c r="L40241" s="23"/>
    </row>
    <row r="40242">
      <c r="B40242" s="19"/>
      <c r="E40242" s="23"/>
      <c r="L40242" s="23"/>
    </row>
    <row r="40243">
      <c r="B40243" s="19"/>
      <c r="E40243" s="23"/>
      <c r="L40243" s="23"/>
    </row>
    <row r="40244">
      <c r="B40244" s="19"/>
      <c r="E40244" s="23"/>
      <c r="L40244" s="23"/>
    </row>
    <row r="40245">
      <c r="B40245" s="19"/>
      <c r="E40245" s="23"/>
      <c r="L40245" s="23"/>
    </row>
    <row r="40246">
      <c r="B40246" s="19"/>
      <c r="E40246" s="23"/>
      <c r="L40246" s="23"/>
    </row>
    <row r="40247">
      <c r="B40247" s="19"/>
      <c r="E40247" s="23"/>
      <c r="L40247" s="23"/>
    </row>
    <row r="40248">
      <c r="B40248" s="19"/>
      <c r="E40248" s="23"/>
      <c r="L40248" s="23"/>
    </row>
    <row r="40249">
      <c r="B40249" s="19"/>
      <c r="E40249" s="23"/>
      <c r="L40249" s="23"/>
    </row>
    <row r="40250">
      <c r="B40250" s="19"/>
      <c r="E40250" s="23"/>
      <c r="L40250" s="23"/>
    </row>
    <row r="40251">
      <c r="B40251" s="19"/>
      <c r="E40251" s="23"/>
      <c r="L40251" s="23"/>
    </row>
    <row r="40252">
      <c r="B40252" s="19"/>
      <c r="E40252" s="23"/>
      <c r="L40252" s="23"/>
    </row>
    <row r="40253">
      <c r="B40253" s="19"/>
      <c r="E40253" s="23"/>
      <c r="L40253" s="23"/>
    </row>
    <row r="40254">
      <c r="B40254" s="19"/>
      <c r="E40254" s="23"/>
      <c r="L40254" s="23"/>
    </row>
    <row r="40255">
      <c r="B40255" s="19"/>
      <c r="E40255" s="23"/>
      <c r="L40255" s="23"/>
    </row>
    <row r="40256">
      <c r="B40256" s="19"/>
      <c r="E40256" s="23"/>
      <c r="L40256" s="23"/>
    </row>
    <row r="40257">
      <c r="B40257" s="19"/>
      <c r="E40257" s="23"/>
      <c r="L40257" s="23"/>
    </row>
    <row r="40258">
      <c r="B40258" s="19"/>
      <c r="E40258" s="23"/>
      <c r="L40258" s="23"/>
    </row>
    <row r="40259">
      <c r="B40259" s="19"/>
      <c r="E40259" s="23"/>
      <c r="L40259" s="23"/>
    </row>
    <row r="40260">
      <c r="B40260" s="19"/>
      <c r="E40260" s="23"/>
      <c r="L40260" s="23"/>
    </row>
    <row r="40261">
      <c r="B40261" s="19"/>
      <c r="E40261" s="23"/>
      <c r="L40261" s="23"/>
    </row>
    <row r="40262">
      <c r="B40262" s="19"/>
      <c r="E40262" s="23"/>
      <c r="L40262" s="23"/>
    </row>
    <row r="40263">
      <c r="B40263" s="19"/>
      <c r="E40263" s="23"/>
      <c r="L40263" s="23"/>
    </row>
    <row r="40264">
      <c r="B40264" s="19"/>
      <c r="E40264" s="23"/>
      <c r="L40264" s="23"/>
    </row>
    <row r="40265">
      <c r="B40265" s="19"/>
      <c r="E40265" s="23"/>
      <c r="L40265" s="23"/>
    </row>
    <row r="40266">
      <c r="B40266" s="19"/>
      <c r="E40266" s="23"/>
      <c r="L40266" s="23"/>
    </row>
    <row r="40267">
      <c r="B40267" s="19"/>
      <c r="E40267" s="23"/>
      <c r="L40267" s="23"/>
    </row>
    <row r="40268">
      <c r="B40268" s="19"/>
      <c r="E40268" s="23"/>
      <c r="L40268" s="23"/>
    </row>
    <row r="40269">
      <c r="B40269" s="19"/>
      <c r="E40269" s="23"/>
      <c r="L40269" s="23"/>
    </row>
    <row r="40270">
      <c r="B40270" s="19"/>
      <c r="E40270" s="23"/>
      <c r="L40270" s="23"/>
    </row>
    <row r="40271">
      <c r="B40271" s="19"/>
      <c r="E40271" s="23"/>
      <c r="L40271" s="23"/>
    </row>
    <row r="40272">
      <c r="B40272" s="19"/>
      <c r="E40272" s="23"/>
      <c r="L40272" s="23"/>
    </row>
    <row r="40273">
      <c r="B40273" s="19"/>
      <c r="E40273" s="23"/>
      <c r="L40273" s="23"/>
    </row>
    <row r="40274">
      <c r="B40274" s="19"/>
      <c r="E40274" s="23"/>
      <c r="L40274" s="23"/>
    </row>
    <row r="40275">
      <c r="B40275" s="19"/>
      <c r="E40275" s="23"/>
      <c r="L40275" s="23"/>
    </row>
    <row r="40276">
      <c r="B40276" s="19"/>
      <c r="E40276" s="23"/>
      <c r="L40276" s="23"/>
    </row>
    <row r="40277">
      <c r="B40277" s="19"/>
      <c r="E40277" s="23"/>
      <c r="L40277" s="23"/>
    </row>
    <row r="40278">
      <c r="B40278" s="19"/>
      <c r="E40278" s="23"/>
      <c r="L40278" s="23"/>
    </row>
    <row r="40279">
      <c r="B40279" s="19"/>
      <c r="E40279" s="23"/>
      <c r="L40279" s="23"/>
    </row>
    <row r="40280">
      <c r="B40280" s="19"/>
      <c r="E40280" s="23"/>
      <c r="L40280" s="23"/>
    </row>
    <row r="40281">
      <c r="B40281" s="19"/>
      <c r="E40281" s="23"/>
      <c r="L40281" s="23"/>
    </row>
    <row r="40282">
      <c r="B40282" s="19"/>
      <c r="E40282" s="23"/>
      <c r="L40282" s="23"/>
    </row>
    <row r="40283">
      <c r="B40283" s="19"/>
      <c r="E40283" s="23"/>
      <c r="L40283" s="23"/>
    </row>
    <row r="40284">
      <c r="B40284" s="19"/>
      <c r="E40284" s="23"/>
      <c r="L40284" s="23"/>
    </row>
    <row r="40285">
      <c r="B40285" s="19"/>
      <c r="E40285" s="23"/>
      <c r="L40285" s="23"/>
    </row>
    <row r="40286">
      <c r="B40286" s="19"/>
      <c r="E40286" s="23"/>
      <c r="L40286" s="23"/>
    </row>
    <row r="40287">
      <c r="B40287" s="19"/>
      <c r="E40287" s="23"/>
      <c r="L40287" s="23"/>
    </row>
    <row r="40288">
      <c r="B40288" s="19"/>
      <c r="E40288" s="23"/>
      <c r="L40288" s="23"/>
    </row>
    <row r="40289">
      <c r="B40289" s="19"/>
      <c r="E40289" s="23"/>
      <c r="L40289" s="23"/>
    </row>
    <row r="40290">
      <c r="B40290" s="19"/>
      <c r="E40290" s="23"/>
      <c r="L40290" s="23"/>
    </row>
    <row r="40291">
      <c r="B40291" s="19"/>
      <c r="E40291" s="23"/>
      <c r="L40291" s="23"/>
    </row>
    <row r="40292">
      <c r="B40292" s="19"/>
      <c r="E40292" s="23"/>
      <c r="L40292" s="23"/>
    </row>
    <row r="40293">
      <c r="B40293" s="19"/>
      <c r="E40293" s="23"/>
      <c r="L40293" s="23"/>
    </row>
    <row r="40294">
      <c r="B40294" s="19"/>
      <c r="E40294" s="23"/>
      <c r="L40294" s="23"/>
    </row>
    <row r="40295">
      <c r="B40295" s="19"/>
      <c r="E40295" s="23"/>
      <c r="L40295" s="23"/>
    </row>
    <row r="40296">
      <c r="B40296" s="19"/>
      <c r="E40296" s="23"/>
      <c r="L40296" s="23"/>
    </row>
    <row r="40297">
      <c r="B40297" s="19"/>
      <c r="E40297" s="23"/>
      <c r="L40297" s="23"/>
    </row>
    <row r="40298">
      <c r="B40298" s="19"/>
      <c r="E40298" s="23"/>
      <c r="L40298" s="23"/>
    </row>
    <row r="40299">
      <c r="B40299" s="19"/>
      <c r="E40299" s="23"/>
      <c r="L40299" s="23"/>
    </row>
    <row r="40300">
      <c r="B40300" s="19"/>
      <c r="E40300" s="23"/>
      <c r="L40300" s="23"/>
    </row>
    <row r="40301">
      <c r="B40301" s="19"/>
      <c r="E40301" s="23"/>
      <c r="L40301" s="23"/>
    </row>
    <row r="40302">
      <c r="B40302" s="19"/>
      <c r="E40302" s="23"/>
      <c r="L40302" s="23"/>
    </row>
    <row r="40303">
      <c r="B40303" s="19"/>
      <c r="E40303" s="23"/>
      <c r="L40303" s="23"/>
    </row>
    <row r="40304">
      <c r="B40304" s="19"/>
      <c r="E40304" s="23"/>
      <c r="L40304" s="23"/>
    </row>
    <row r="40305">
      <c r="B40305" s="19"/>
      <c r="E40305" s="23"/>
      <c r="L40305" s="23"/>
    </row>
    <row r="40306">
      <c r="B40306" s="19"/>
      <c r="E40306" s="23"/>
      <c r="L40306" s="23"/>
    </row>
    <row r="40307">
      <c r="B40307" s="19"/>
      <c r="E40307" s="23"/>
      <c r="L40307" s="23"/>
    </row>
    <row r="40308">
      <c r="B40308" s="19"/>
      <c r="E40308" s="23"/>
      <c r="L40308" s="23"/>
    </row>
    <row r="40309">
      <c r="B40309" s="19"/>
      <c r="E40309" s="23"/>
      <c r="L40309" s="23"/>
    </row>
    <row r="40310">
      <c r="B40310" s="19"/>
      <c r="E40310" s="23"/>
      <c r="L40310" s="23"/>
    </row>
    <row r="40311">
      <c r="B40311" s="19"/>
      <c r="E40311" s="23"/>
      <c r="L40311" s="23"/>
    </row>
    <row r="40312">
      <c r="B40312" s="19"/>
      <c r="E40312" s="23"/>
      <c r="L40312" s="23"/>
    </row>
    <row r="40313">
      <c r="B40313" s="19"/>
      <c r="E40313" s="23"/>
      <c r="L40313" s="23"/>
    </row>
    <row r="40314">
      <c r="B40314" s="19"/>
      <c r="E40314" s="23"/>
      <c r="L40314" s="23"/>
    </row>
    <row r="40315">
      <c r="B40315" s="19"/>
      <c r="E40315" s="23"/>
      <c r="L40315" s="23"/>
    </row>
    <row r="40316">
      <c r="B40316" s="19"/>
      <c r="E40316" s="23"/>
      <c r="L40316" s="23"/>
    </row>
    <row r="40317">
      <c r="B40317" s="19"/>
      <c r="E40317" s="23"/>
      <c r="L40317" s="23"/>
    </row>
    <row r="40318">
      <c r="B40318" s="19"/>
      <c r="E40318" s="23"/>
      <c r="L40318" s="23"/>
    </row>
    <row r="40319">
      <c r="B40319" s="19"/>
      <c r="E40319" s="23"/>
      <c r="L40319" s="23"/>
    </row>
    <row r="40320">
      <c r="B40320" s="19"/>
      <c r="E40320" s="23"/>
      <c r="L40320" s="23"/>
    </row>
    <row r="40321">
      <c r="B40321" s="19"/>
      <c r="E40321" s="23"/>
      <c r="L40321" s="23"/>
    </row>
    <row r="40322">
      <c r="B40322" s="19"/>
      <c r="E40322" s="23"/>
      <c r="L40322" s="23"/>
    </row>
    <row r="40323">
      <c r="B40323" s="19"/>
      <c r="E40323" s="23"/>
      <c r="L40323" s="23"/>
    </row>
    <row r="40324">
      <c r="B40324" s="19"/>
      <c r="E40324" s="23"/>
      <c r="L40324" s="23"/>
    </row>
    <row r="40325">
      <c r="B40325" s="19"/>
      <c r="E40325" s="23"/>
      <c r="L40325" s="23"/>
    </row>
    <row r="40326">
      <c r="B40326" s="19"/>
      <c r="E40326" s="23"/>
      <c r="L40326" s="23"/>
    </row>
    <row r="40327">
      <c r="B40327" s="19"/>
      <c r="E40327" s="23"/>
      <c r="L40327" s="23"/>
    </row>
    <row r="40328">
      <c r="B40328" s="19"/>
      <c r="E40328" s="23"/>
      <c r="L40328" s="23"/>
    </row>
    <row r="40329">
      <c r="B40329" s="19"/>
      <c r="E40329" s="23"/>
      <c r="L40329" s="23"/>
    </row>
    <row r="40330">
      <c r="B40330" s="19"/>
      <c r="E40330" s="23"/>
      <c r="L40330" s="23"/>
    </row>
    <row r="40331">
      <c r="B40331" s="19"/>
      <c r="E40331" s="23"/>
      <c r="L40331" s="23"/>
    </row>
    <row r="40332">
      <c r="B40332" s="19"/>
      <c r="E40332" s="23"/>
      <c r="L40332" s="23"/>
    </row>
    <row r="40333">
      <c r="B40333" s="19"/>
      <c r="E40333" s="23"/>
      <c r="L40333" s="23"/>
    </row>
    <row r="40334">
      <c r="B40334" s="19"/>
      <c r="E40334" s="23"/>
      <c r="L40334" s="23"/>
    </row>
    <row r="40335">
      <c r="B40335" s="19"/>
      <c r="E40335" s="23"/>
      <c r="L40335" s="23"/>
    </row>
    <row r="40336">
      <c r="B40336" s="19"/>
      <c r="E40336" s="23"/>
      <c r="L40336" s="23"/>
    </row>
    <row r="40337">
      <c r="B40337" s="19"/>
      <c r="E40337" s="23"/>
      <c r="L40337" s="23"/>
    </row>
    <row r="40338">
      <c r="B40338" s="19"/>
      <c r="E40338" s="23"/>
      <c r="L40338" s="23"/>
    </row>
    <row r="40339">
      <c r="B40339" s="19"/>
      <c r="E40339" s="23"/>
      <c r="L40339" s="23"/>
    </row>
    <row r="40340">
      <c r="B40340" s="19"/>
      <c r="E40340" s="23"/>
      <c r="L40340" s="23"/>
    </row>
    <row r="40341">
      <c r="B40341" s="19"/>
      <c r="E40341" s="23"/>
      <c r="L40341" s="23"/>
    </row>
    <row r="40342">
      <c r="B40342" s="19"/>
      <c r="E40342" s="23"/>
      <c r="L40342" s="23"/>
    </row>
    <row r="40343">
      <c r="B40343" s="19"/>
      <c r="E40343" s="23"/>
      <c r="L40343" s="23"/>
    </row>
    <row r="40344">
      <c r="B40344" s="19"/>
      <c r="E40344" s="23"/>
      <c r="L40344" s="23"/>
    </row>
    <row r="40345">
      <c r="B40345" s="19"/>
      <c r="E40345" s="23"/>
      <c r="L40345" s="23"/>
    </row>
    <row r="40346">
      <c r="B40346" s="19"/>
      <c r="E40346" s="23"/>
      <c r="L40346" s="23"/>
    </row>
    <row r="40347">
      <c r="B40347" s="19"/>
      <c r="E40347" s="23"/>
      <c r="L40347" s="23"/>
    </row>
    <row r="40348">
      <c r="B40348" s="19"/>
      <c r="E40348" s="23"/>
      <c r="L40348" s="23"/>
    </row>
    <row r="40349">
      <c r="B40349" s="19"/>
      <c r="E40349" s="23"/>
      <c r="L40349" s="23"/>
    </row>
    <row r="40350">
      <c r="B40350" s="19"/>
      <c r="E40350" s="23"/>
      <c r="L40350" s="23"/>
    </row>
    <row r="40351">
      <c r="B40351" s="19"/>
      <c r="E40351" s="23"/>
      <c r="L40351" s="23"/>
    </row>
    <row r="40352">
      <c r="B40352" s="19"/>
      <c r="E40352" s="23"/>
      <c r="L40352" s="23"/>
    </row>
    <row r="40353">
      <c r="B40353" s="19"/>
      <c r="E40353" s="23"/>
      <c r="L40353" s="23"/>
    </row>
    <row r="40354">
      <c r="B40354" s="19"/>
      <c r="E40354" s="23"/>
      <c r="L40354" s="23"/>
    </row>
    <row r="40355">
      <c r="B40355" s="19"/>
      <c r="E40355" s="23"/>
      <c r="L40355" s="23"/>
    </row>
    <row r="40356">
      <c r="B40356" s="19"/>
      <c r="E40356" s="23"/>
      <c r="L40356" s="23"/>
    </row>
    <row r="40357">
      <c r="B40357" s="19"/>
      <c r="E40357" s="23"/>
      <c r="L40357" s="23"/>
    </row>
    <row r="40358">
      <c r="B40358" s="19"/>
      <c r="E40358" s="23"/>
      <c r="L40358" s="23"/>
    </row>
    <row r="40359">
      <c r="B40359" s="19"/>
      <c r="E40359" s="23"/>
      <c r="L40359" s="23"/>
    </row>
    <row r="40360">
      <c r="B40360" s="19"/>
      <c r="E40360" s="23"/>
      <c r="L40360" s="23"/>
    </row>
    <row r="40361">
      <c r="B40361" s="19"/>
      <c r="E40361" s="23"/>
      <c r="L40361" s="23"/>
    </row>
    <row r="40362">
      <c r="B40362" s="19"/>
      <c r="E40362" s="23"/>
      <c r="L40362" s="23"/>
    </row>
    <row r="40363">
      <c r="B40363" s="19"/>
      <c r="E40363" s="23"/>
      <c r="L40363" s="23"/>
    </row>
    <row r="40364">
      <c r="B40364" s="19"/>
      <c r="E40364" s="23"/>
      <c r="L40364" s="23"/>
    </row>
    <row r="40365">
      <c r="B40365" s="19"/>
      <c r="E40365" s="23"/>
      <c r="L40365" s="23"/>
    </row>
    <row r="40366">
      <c r="B40366" s="19"/>
      <c r="E40366" s="23"/>
      <c r="L40366" s="23"/>
    </row>
    <row r="40367">
      <c r="B40367" s="19"/>
      <c r="E40367" s="23"/>
      <c r="L40367" s="23"/>
    </row>
    <row r="40368">
      <c r="B40368" s="19"/>
      <c r="E40368" s="23"/>
      <c r="L40368" s="23"/>
    </row>
    <row r="40369">
      <c r="B40369" s="19"/>
      <c r="E40369" s="23"/>
      <c r="L40369" s="23"/>
    </row>
    <row r="40370">
      <c r="B40370" s="19"/>
      <c r="E40370" s="23"/>
      <c r="L40370" s="23"/>
    </row>
    <row r="40371">
      <c r="B40371" s="19"/>
      <c r="E40371" s="23"/>
      <c r="L40371" s="23"/>
    </row>
    <row r="40372">
      <c r="B40372" s="19"/>
      <c r="E40372" s="23"/>
      <c r="L40372" s="23"/>
    </row>
    <row r="40373">
      <c r="B40373" s="19"/>
      <c r="E40373" s="23"/>
      <c r="L40373" s="23"/>
    </row>
    <row r="40374">
      <c r="B40374" s="19"/>
      <c r="E40374" s="23"/>
      <c r="L40374" s="23"/>
    </row>
    <row r="40375">
      <c r="B40375" s="19"/>
      <c r="E40375" s="23"/>
      <c r="L40375" s="23"/>
    </row>
    <row r="40376">
      <c r="B40376" s="19"/>
      <c r="E40376" s="23"/>
      <c r="L40376" s="23"/>
    </row>
    <row r="40377">
      <c r="B40377" s="19"/>
      <c r="E40377" s="23"/>
      <c r="L40377" s="23"/>
    </row>
    <row r="40378">
      <c r="B40378" s="19"/>
      <c r="E40378" s="23"/>
      <c r="L40378" s="23"/>
    </row>
    <row r="40379">
      <c r="B40379" s="19"/>
      <c r="E40379" s="23"/>
      <c r="L40379" s="23"/>
    </row>
    <row r="40380">
      <c r="B40380" s="19"/>
      <c r="E40380" s="23"/>
      <c r="L40380" s="23"/>
    </row>
    <row r="40381">
      <c r="B40381" s="19"/>
      <c r="E40381" s="23"/>
      <c r="L40381" s="23"/>
    </row>
    <row r="40382">
      <c r="B40382" s="19"/>
      <c r="E40382" s="23"/>
      <c r="L40382" s="23"/>
    </row>
    <row r="40383">
      <c r="B40383" s="19"/>
      <c r="E40383" s="23"/>
      <c r="L40383" s="23"/>
    </row>
    <row r="40384">
      <c r="B40384" s="19"/>
      <c r="E40384" s="23"/>
      <c r="L40384" s="23"/>
    </row>
    <row r="40385">
      <c r="B40385" s="19"/>
      <c r="E40385" s="23"/>
      <c r="L40385" s="23"/>
    </row>
    <row r="40386">
      <c r="B40386" s="19"/>
      <c r="E40386" s="23"/>
      <c r="L40386" s="23"/>
    </row>
    <row r="40387">
      <c r="B40387" s="19"/>
      <c r="E40387" s="23"/>
      <c r="L40387" s="23"/>
    </row>
    <row r="40388">
      <c r="B40388" s="19"/>
      <c r="E40388" s="23"/>
      <c r="L40388" s="23"/>
    </row>
    <row r="40389">
      <c r="B40389" s="19"/>
      <c r="E40389" s="23"/>
      <c r="L40389" s="23"/>
    </row>
    <row r="40390">
      <c r="B40390" s="19"/>
      <c r="E40390" s="23"/>
      <c r="L40390" s="23"/>
    </row>
    <row r="40391">
      <c r="B40391" s="19"/>
      <c r="E40391" s="23"/>
      <c r="L40391" s="23"/>
    </row>
    <row r="40392">
      <c r="B40392" s="19"/>
      <c r="E40392" s="23"/>
      <c r="L40392" s="23"/>
    </row>
    <row r="40393">
      <c r="B40393" s="19"/>
      <c r="E40393" s="23"/>
      <c r="L40393" s="23"/>
    </row>
    <row r="40394">
      <c r="B40394" s="19"/>
      <c r="E40394" s="23"/>
      <c r="L40394" s="23"/>
    </row>
    <row r="40395">
      <c r="B40395" s="19"/>
      <c r="E40395" s="23"/>
      <c r="L40395" s="23"/>
    </row>
    <row r="40396">
      <c r="B40396" s="19"/>
      <c r="E40396" s="23"/>
      <c r="L40396" s="23"/>
    </row>
    <row r="40397">
      <c r="B40397" s="19"/>
      <c r="E40397" s="23"/>
      <c r="L40397" s="23"/>
    </row>
    <row r="40398">
      <c r="B40398" s="19"/>
      <c r="E40398" s="23"/>
      <c r="L40398" s="23"/>
    </row>
    <row r="40399">
      <c r="B40399" s="19"/>
      <c r="E40399" s="23"/>
      <c r="L40399" s="23"/>
    </row>
    <row r="40400">
      <c r="B40400" s="19"/>
      <c r="E40400" s="23"/>
      <c r="L40400" s="23"/>
    </row>
    <row r="40401">
      <c r="B40401" s="19"/>
      <c r="E40401" s="23"/>
      <c r="L40401" s="23"/>
    </row>
    <row r="40402">
      <c r="B40402" s="19"/>
      <c r="E40402" s="23"/>
      <c r="L40402" s="23"/>
    </row>
    <row r="40403">
      <c r="B40403" s="19"/>
      <c r="E40403" s="23"/>
      <c r="L40403" s="23"/>
    </row>
    <row r="40404">
      <c r="B40404" s="19"/>
      <c r="E40404" s="23"/>
      <c r="L40404" s="23"/>
    </row>
    <row r="40405">
      <c r="B40405" s="19"/>
      <c r="E40405" s="23"/>
      <c r="L40405" s="23"/>
    </row>
    <row r="40406">
      <c r="B40406" s="19"/>
      <c r="E40406" s="23"/>
      <c r="L40406" s="23"/>
    </row>
    <row r="40407">
      <c r="B40407" s="19"/>
      <c r="E40407" s="23"/>
      <c r="L40407" s="23"/>
    </row>
    <row r="40408">
      <c r="B40408" s="19"/>
      <c r="E40408" s="23"/>
      <c r="L40408" s="23"/>
    </row>
    <row r="40409">
      <c r="B40409" s="19"/>
      <c r="E40409" s="23"/>
      <c r="L40409" s="23"/>
    </row>
    <row r="40410">
      <c r="B40410" s="19"/>
      <c r="E40410" s="23"/>
      <c r="L40410" s="23"/>
    </row>
    <row r="40411">
      <c r="B40411" s="19"/>
      <c r="E40411" s="23"/>
      <c r="L40411" s="23"/>
    </row>
    <row r="40412">
      <c r="B40412" s="19"/>
      <c r="E40412" s="23"/>
      <c r="L40412" s="23"/>
    </row>
    <row r="40413">
      <c r="B40413" s="19"/>
      <c r="E40413" s="23"/>
      <c r="L40413" s="23"/>
    </row>
    <row r="40414">
      <c r="B40414" s="19"/>
      <c r="E40414" s="23"/>
      <c r="L40414" s="23"/>
    </row>
    <row r="40415">
      <c r="B40415" s="19"/>
      <c r="E40415" s="23"/>
      <c r="L40415" s="23"/>
    </row>
    <row r="40416">
      <c r="B40416" s="19"/>
      <c r="E40416" s="23"/>
      <c r="L40416" s="23"/>
    </row>
    <row r="40417">
      <c r="B40417" s="19"/>
      <c r="E40417" s="23"/>
      <c r="L40417" s="23"/>
    </row>
    <row r="40418">
      <c r="B40418" s="19"/>
      <c r="E40418" s="23"/>
      <c r="L40418" s="23"/>
    </row>
    <row r="40419">
      <c r="B40419" s="19"/>
      <c r="E40419" s="23"/>
      <c r="L40419" s="23"/>
    </row>
    <row r="40420">
      <c r="B40420" s="19"/>
      <c r="E40420" s="23"/>
      <c r="L40420" s="23"/>
    </row>
    <row r="40421">
      <c r="B40421" s="19"/>
      <c r="E40421" s="23"/>
      <c r="L40421" s="23"/>
    </row>
    <row r="40422">
      <c r="B40422" s="19"/>
      <c r="E40422" s="23"/>
      <c r="L40422" s="23"/>
    </row>
    <row r="40423">
      <c r="B40423" s="19"/>
      <c r="E40423" s="23"/>
      <c r="L40423" s="23"/>
    </row>
    <row r="40424">
      <c r="B40424" s="19"/>
      <c r="E40424" s="23"/>
      <c r="L40424" s="23"/>
    </row>
    <row r="40425">
      <c r="B40425" s="19"/>
      <c r="E40425" s="23"/>
      <c r="L40425" s="23"/>
    </row>
    <row r="40426">
      <c r="B40426" s="19"/>
      <c r="E40426" s="23"/>
      <c r="L40426" s="23"/>
    </row>
    <row r="40427">
      <c r="B40427" s="19"/>
      <c r="E40427" s="23"/>
      <c r="L40427" s="23"/>
    </row>
    <row r="40428">
      <c r="B40428" s="19"/>
      <c r="E40428" s="23"/>
      <c r="L40428" s="23"/>
    </row>
    <row r="40429">
      <c r="B40429" s="19"/>
      <c r="E40429" s="23"/>
      <c r="L40429" s="23"/>
    </row>
    <row r="40430">
      <c r="B40430" s="19"/>
      <c r="E40430" s="23"/>
      <c r="L40430" s="23"/>
    </row>
    <row r="40431">
      <c r="B40431" s="19"/>
      <c r="E40431" s="23"/>
      <c r="L40431" s="23"/>
    </row>
    <row r="40432">
      <c r="B40432" s="19"/>
      <c r="E40432" s="23"/>
      <c r="L40432" s="23"/>
    </row>
    <row r="40433">
      <c r="B40433" s="19"/>
      <c r="E40433" s="23"/>
      <c r="L40433" s="23"/>
    </row>
    <row r="40434">
      <c r="B40434" s="19"/>
      <c r="E40434" s="23"/>
      <c r="L40434" s="23"/>
    </row>
    <row r="40435">
      <c r="B40435" s="19"/>
      <c r="E40435" s="23"/>
      <c r="L40435" s="23"/>
    </row>
    <row r="40436">
      <c r="B40436" s="19"/>
      <c r="E40436" s="23"/>
      <c r="L40436" s="23"/>
    </row>
    <row r="40437">
      <c r="B40437" s="19"/>
      <c r="E40437" s="23"/>
      <c r="L40437" s="23"/>
    </row>
    <row r="40438">
      <c r="B40438" s="19"/>
      <c r="E40438" s="23"/>
      <c r="L40438" s="23"/>
    </row>
    <row r="40439">
      <c r="B40439" s="19"/>
      <c r="E40439" s="23"/>
      <c r="L40439" s="23"/>
    </row>
    <row r="40440">
      <c r="B40440" s="19"/>
      <c r="E40440" s="23"/>
      <c r="L40440" s="23"/>
    </row>
    <row r="40441">
      <c r="B40441" s="19"/>
      <c r="E40441" s="23"/>
      <c r="L40441" s="23"/>
    </row>
    <row r="40442">
      <c r="B40442" s="19"/>
      <c r="E40442" s="23"/>
      <c r="L40442" s="23"/>
    </row>
    <row r="40443">
      <c r="B40443" s="19"/>
      <c r="E40443" s="23"/>
      <c r="L40443" s="23"/>
    </row>
    <row r="40444">
      <c r="B40444" s="19"/>
      <c r="E40444" s="23"/>
      <c r="L40444" s="23"/>
    </row>
    <row r="40445">
      <c r="B40445" s="19"/>
      <c r="E40445" s="23"/>
      <c r="L40445" s="23"/>
    </row>
    <row r="40446">
      <c r="B40446" s="19"/>
      <c r="E40446" s="23"/>
      <c r="L40446" s="23"/>
    </row>
    <row r="40447">
      <c r="B40447" s="19"/>
      <c r="E40447" s="23"/>
      <c r="L40447" s="23"/>
    </row>
    <row r="40448">
      <c r="B40448" s="19"/>
      <c r="E40448" s="23"/>
      <c r="L40448" s="23"/>
    </row>
    <row r="40449">
      <c r="B40449" s="19"/>
      <c r="E40449" s="23"/>
      <c r="L40449" s="23"/>
    </row>
    <row r="40450">
      <c r="B40450" s="19"/>
      <c r="E40450" s="23"/>
      <c r="L40450" s="23"/>
    </row>
    <row r="40451">
      <c r="B40451" s="19"/>
      <c r="E40451" s="23"/>
      <c r="L40451" s="23"/>
    </row>
    <row r="40452">
      <c r="B40452" s="19"/>
      <c r="E40452" s="23"/>
      <c r="L40452" s="23"/>
    </row>
    <row r="40453">
      <c r="B40453" s="19"/>
      <c r="E40453" s="23"/>
      <c r="L40453" s="23"/>
    </row>
    <row r="40454">
      <c r="B40454" s="19"/>
      <c r="E40454" s="23"/>
      <c r="L40454" s="23"/>
    </row>
    <row r="40455">
      <c r="B40455" s="19"/>
      <c r="E40455" s="23"/>
      <c r="L40455" s="23"/>
    </row>
    <row r="40456">
      <c r="B40456" s="19"/>
      <c r="E40456" s="23"/>
      <c r="L40456" s="23"/>
    </row>
    <row r="40457">
      <c r="B40457" s="19"/>
      <c r="E40457" s="23"/>
      <c r="L40457" s="23"/>
    </row>
    <row r="40458">
      <c r="B40458" s="19"/>
      <c r="E40458" s="23"/>
      <c r="L40458" s="23"/>
    </row>
    <row r="40459">
      <c r="B40459" s="19"/>
      <c r="E40459" s="23"/>
      <c r="L40459" s="23"/>
    </row>
    <row r="40460">
      <c r="B40460" s="19"/>
      <c r="E40460" s="23"/>
      <c r="L40460" s="23"/>
    </row>
    <row r="40461">
      <c r="B40461" s="19"/>
      <c r="E40461" s="23"/>
      <c r="L40461" s="23"/>
    </row>
    <row r="40462">
      <c r="B40462" s="19"/>
      <c r="E40462" s="23"/>
      <c r="L40462" s="23"/>
    </row>
    <row r="40463">
      <c r="B40463" s="19"/>
      <c r="E40463" s="23"/>
      <c r="L40463" s="23"/>
    </row>
    <row r="40464">
      <c r="B40464" s="19"/>
      <c r="E40464" s="23"/>
      <c r="L40464" s="23"/>
    </row>
    <row r="40465">
      <c r="B40465" s="19"/>
      <c r="E40465" s="23"/>
      <c r="L40465" s="23"/>
    </row>
    <row r="40466">
      <c r="B40466" s="19"/>
      <c r="E40466" s="23"/>
      <c r="L40466" s="23"/>
    </row>
    <row r="40467">
      <c r="B40467" s="19"/>
      <c r="E40467" s="23"/>
      <c r="L40467" s="23"/>
    </row>
    <row r="40468">
      <c r="B40468" s="19"/>
      <c r="E40468" s="23"/>
      <c r="L40468" s="23"/>
    </row>
    <row r="40469">
      <c r="B40469" s="19"/>
      <c r="E40469" s="23"/>
      <c r="L40469" s="23"/>
    </row>
    <row r="40470">
      <c r="B40470" s="19"/>
      <c r="E40470" s="23"/>
      <c r="L40470" s="23"/>
    </row>
    <row r="40471">
      <c r="B40471" s="19"/>
      <c r="E40471" s="23"/>
      <c r="L40471" s="23"/>
    </row>
    <row r="40472">
      <c r="B40472" s="19"/>
      <c r="E40472" s="23"/>
      <c r="L40472" s="23"/>
    </row>
    <row r="40473">
      <c r="B40473" s="19"/>
      <c r="E40473" s="23"/>
      <c r="L40473" s="23"/>
    </row>
    <row r="40474">
      <c r="B40474" s="19"/>
      <c r="E40474" s="23"/>
      <c r="L40474" s="23"/>
    </row>
    <row r="40475">
      <c r="B40475" s="19"/>
      <c r="E40475" s="23"/>
      <c r="L40475" s="23"/>
    </row>
    <row r="40476">
      <c r="B40476" s="19"/>
      <c r="E40476" s="23"/>
      <c r="L40476" s="23"/>
    </row>
    <row r="40477">
      <c r="B40477" s="19"/>
      <c r="E40477" s="23"/>
      <c r="L40477" s="23"/>
    </row>
    <row r="40478">
      <c r="B40478" s="19"/>
      <c r="E40478" s="23"/>
      <c r="L40478" s="23"/>
    </row>
    <row r="40479">
      <c r="B40479" s="19"/>
      <c r="E40479" s="23"/>
      <c r="L40479" s="23"/>
    </row>
    <row r="40480">
      <c r="B40480" s="19"/>
      <c r="E40480" s="23"/>
      <c r="L40480" s="23"/>
    </row>
    <row r="40481">
      <c r="B40481" s="19"/>
      <c r="E40481" s="23"/>
      <c r="L40481" s="23"/>
    </row>
    <row r="40482">
      <c r="B40482" s="19"/>
      <c r="E40482" s="23"/>
      <c r="L40482" s="23"/>
    </row>
    <row r="40483">
      <c r="B40483" s="19"/>
      <c r="E40483" s="23"/>
      <c r="L40483" s="23"/>
    </row>
    <row r="40484">
      <c r="B40484" s="19"/>
      <c r="E40484" s="23"/>
      <c r="L40484" s="23"/>
    </row>
    <row r="40485">
      <c r="B40485" s="19"/>
      <c r="E40485" s="23"/>
      <c r="L40485" s="23"/>
    </row>
    <row r="40486">
      <c r="B40486" s="19"/>
      <c r="E40486" s="23"/>
      <c r="L40486" s="23"/>
    </row>
    <row r="40487">
      <c r="B40487" s="19"/>
      <c r="E40487" s="23"/>
      <c r="L40487" s="23"/>
    </row>
    <row r="40488">
      <c r="B40488" s="19"/>
      <c r="E40488" s="23"/>
      <c r="L40488" s="23"/>
    </row>
    <row r="40489">
      <c r="B40489" s="19"/>
      <c r="E40489" s="23"/>
      <c r="L40489" s="23"/>
    </row>
    <row r="40490">
      <c r="B40490" s="19"/>
      <c r="E40490" s="23"/>
      <c r="L40490" s="23"/>
    </row>
    <row r="40491">
      <c r="B40491" s="19"/>
      <c r="E40491" s="23"/>
      <c r="L40491" s="23"/>
    </row>
    <row r="40492">
      <c r="B40492" s="19"/>
      <c r="E40492" s="23"/>
      <c r="L40492" s="23"/>
    </row>
    <row r="40493">
      <c r="B40493" s="19"/>
      <c r="E40493" s="23"/>
      <c r="L40493" s="23"/>
    </row>
    <row r="40494">
      <c r="B40494" s="19"/>
      <c r="E40494" s="23"/>
      <c r="L40494" s="23"/>
    </row>
    <row r="40495">
      <c r="B40495" s="19"/>
      <c r="E40495" s="23"/>
      <c r="L40495" s="23"/>
    </row>
    <row r="40496">
      <c r="B40496" s="19"/>
      <c r="E40496" s="23"/>
      <c r="L40496" s="23"/>
    </row>
    <row r="40497">
      <c r="B40497" s="19"/>
      <c r="E40497" s="23"/>
      <c r="L40497" s="23"/>
    </row>
    <row r="40498">
      <c r="B40498" s="19"/>
      <c r="E40498" s="23"/>
      <c r="L40498" s="23"/>
    </row>
    <row r="40499">
      <c r="B40499" s="19"/>
      <c r="E40499" s="23"/>
      <c r="L40499" s="23"/>
    </row>
    <row r="40500">
      <c r="B40500" s="19"/>
      <c r="E40500" s="23"/>
      <c r="L40500" s="23"/>
    </row>
    <row r="40501">
      <c r="B40501" s="19"/>
      <c r="E40501" s="23"/>
      <c r="L40501" s="23"/>
    </row>
    <row r="40502">
      <c r="B40502" s="19"/>
      <c r="E40502" s="23"/>
      <c r="L40502" s="23"/>
    </row>
    <row r="40503">
      <c r="B40503" s="19"/>
      <c r="E40503" s="23"/>
      <c r="L40503" s="23"/>
    </row>
    <row r="40504">
      <c r="B40504" s="19"/>
      <c r="E40504" s="23"/>
      <c r="L40504" s="23"/>
    </row>
    <row r="40505">
      <c r="B40505" s="19"/>
      <c r="E40505" s="23"/>
      <c r="L40505" s="23"/>
    </row>
    <row r="40506">
      <c r="B40506" s="19"/>
      <c r="E40506" s="23"/>
      <c r="L40506" s="23"/>
    </row>
    <row r="40507">
      <c r="B40507" s="19"/>
      <c r="E40507" s="23"/>
      <c r="L40507" s="23"/>
    </row>
    <row r="40508">
      <c r="B40508" s="19"/>
      <c r="E40508" s="23"/>
      <c r="L40508" s="23"/>
    </row>
    <row r="40509">
      <c r="B40509" s="19"/>
      <c r="E40509" s="23"/>
      <c r="L40509" s="23"/>
    </row>
    <row r="40510">
      <c r="B40510" s="19"/>
      <c r="E40510" s="23"/>
      <c r="L40510" s="23"/>
    </row>
    <row r="40511">
      <c r="B40511" s="19"/>
      <c r="E40511" s="23"/>
      <c r="L40511" s="23"/>
    </row>
    <row r="40512">
      <c r="B40512" s="19"/>
      <c r="E40512" s="23"/>
      <c r="L40512" s="23"/>
    </row>
    <row r="40513">
      <c r="B40513" s="19"/>
      <c r="E40513" s="23"/>
      <c r="L40513" s="23"/>
    </row>
    <row r="40514">
      <c r="B40514" s="19"/>
      <c r="E40514" s="23"/>
      <c r="L40514" s="23"/>
    </row>
    <row r="40515">
      <c r="B40515" s="19"/>
      <c r="E40515" s="23"/>
      <c r="L40515" s="23"/>
    </row>
    <row r="40516">
      <c r="B40516" s="19"/>
      <c r="E40516" s="23"/>
      <c r="L40516" s="23"/>
    </row>
    <row r="40517">
      <c r="B40517" s="19"/>
      <c r="E40517" s="23"/>
      <c r="L40517" s="23"/>
    </row>
    <row r="40518">
      <c r="B40518" s="19"/>
      <c r="E40518" s="23"/>
      <c r="L40518" s="23"/>
    </row>
    <row r="40519">
      <c r="B40519" s="19"/>
      <c r="E40519" s="23"/>
      <c r="L40519" s="23"/>
    </row>
    <row r="40520">
      <c r="B40520" s="19"/>
      <c r="E40520" s="23"/>
      <c r="L40520" s="23"/>
    </row>
    <row r="40521">
      <c r="B40521" s="19"/>
      <c r="E40521" s="23"/>
      <c r="L40521" s="23"/>
    </row>
    <row r="40522">
      <c r="B40522" s="19"/>
      <c r="E40522" s="23"/>
      <c r="L40522" s="23"/>
    </row>
    <row r="40523">
      <c r="B40523" s="19"/>
      <c r="E40523" s="23"/>
      <c r="L40523" s="23"/>
    </row>
    <row r="40524">
      <c r="B40524" s="19"/>
      <c r="E40524" s="23"/>
      <c r="L40524" s="23"/>
    </row>
    <row r="40525">
      <c r="B40525" s="19"/>
      <c r="E40525" s="23"/>
      <c r="L40525" s="23"/>
    </row>
    <row r="40526">
      <c r="B40526" s="19"/>
      <c r="E40526" s="23"/>
      <c r="L40526" s="23"/>
    </row>
    <row r="40527">
      <c r="B40527" s="19"/>
      <c r="E40527" s="23"/>
      <c r="L40527" s="23"/>
    </row>
    <row r="40528">
      <c r="B40528" s="19"/>
      <c r="E40528" s="23"/>
      <c r="L40528" s="23"/>
    </row>
    <row r="40529">
      <c r="B40529" s="19"/>
      <c r="E40529" s="23"/>
      <c r="L40529" s="23"/>
    </row>
    <row r="40530">
      <c r="B40530" s="19"/>
      <c r="E40530" s="23"/>
      <c r="L40530" s="23"/>
    </row>
    <row r="40531">
      <c r="B40531" s="19"/>
      <c r="E40531" s="23"/>
      <c r="L40531" s="23"/>
    </row>
    <row r="40532">
      <c r="B40532" s="19"/>
      <c r="E40532" s="23"/>
      <c r="L40532" s="23"/>
    </row>
    <row r="40533">
      <c r="B40533" s="19"/>
      <c r="E40533" s="23"/>
      <c r="L40533" s="23"/>
    </row>
    <row r="40534">
      <c r="B40534" s="19"/>
      <c r="E40534" s="23"/>
      <c r="L40534" s="23"/>
    </row>
    <row r="40535">
      <c r="B40535" s="19"/>
      <c r="E40535" s="23"/>
      <c r="L40535" s="23"/>
    </row>
    <row r="40536">
      <c r="B40536" s="19"/>
      <c r="E40536" s="23"/>
      <c r="L40536" s="23"/>
    </row>
    <row r="40537">
      <c r="B40537" s="19"/>
      <c r="E40537" s="23"/>
      <c r="L40537" s="23"/>
    </row>
    <row r="40538">
      <c r="B40538" s="19"/>
      <c r="E40538" s="23"/>
      <c r="L40538" s="23"/>
    </row>
    <row r="40539">
      <c r="B40539" s="19"/>
      <c r="E40539" s="23"/>
      <c r="L40539" s="23"/>
    </row>
    <row r="40540">
      <c r="B40540" s="19"/>
      <c r="E40540" s="23"/>
      <c r="L40540" s="23"/>
    </row>
    <row r="40541">
      <c r="B40541" s="19"/>
      <c r="E40541" s="23"/>
      <c r="L40541" s="23"/>
    </row>
    <row r="40542">
      <c r="B40542" s="19"/>
      <c r="E40542" s="23"/>
      <c r="L40542" s="23"/>
    </row>
    <row r="40543">
      <c r="B40543" s="19"/>
      <c r="E40543" s="23"/>
      <c r="L40543" s="23"/>
    </row>
    <row r="40544">
      <c r="B40544" s="19"/>
      <c r="E40544" s="23"/>
      <c r="L40544" s="23"/>
    </row>
    <row r="40545">
      <c r="B40545" s="19"/>
      <c r="E40545" s="23"/>
      <c r="L40545" s="23"/>
    </row>
    <row r="40546">
      <c r="B40546" s="19"/>
      <c r="E40546" s="23"/>
      <c r="L40546" s="23"/>
    </row>
    <row r="40547">
      <c r="B40547" s="19"/>
      <c r="E40547" s="23"/>
      <c r="L40547" s="23"/>
    </row>
    <row r="40548">
      <c r="B40548" s="19"/>
      <c r="E40548" s="23"/>
      <c r="L40548" s="23"/>
    </row>
    <row r="40549">
      <c r="B40549" s="19"/>
      <c r="E40549" s="23"/>
      <c r="L40549" s="23"/>
    </row>
    <row r="40550">
      <c r="B40550" s="19"/>
      <c r="E40550" s="23"/>
      <c r="L40550" s="23"/>
    </row>
    <row r="40551">
      <c r="B40551" s="19"/>
      <c r="E40551" s="23"/>
      <c r="L40551" s="23"/>
    </row>
    <row r="40552">
      <c r="B40552" s="19"/>
      <c r="E40552" s="23"/>
      <c r="L40552" s="23"/>
    </row>
    <row r="40553">
      <c r="B40553" s="19"/>
      <c r="E40553" s="23"/>
      <c r="L40553" s="23"/>
    </row>
    <row r="40554">
      <c r="B40554" s="19"/>
      <c r="E40554" s="23"/>
      <c r="L40554" s="23"/>
    </row>
    <row r="40555">
      <c r="B40555" s="19"/>
      <c r="E40555" s="23"/>
      <c r="L40555" s="23"/>
    </row>
    <row r="40556">
      <c r="B40556" s="19"/>
      <c r="E40556" s="23"/>
      <c r="L40556" s="23"/>
    </row>
    <row r="40557">
      <c r="B40557" s="19"/>
      <c r="E40557" s="23"/>
      <c r="L40557" s="23"/>
    </row>
    <row r="40558">
      <c r="B40558" s="19"/>
      <c r="E40558" s="23"/>
      <c r="L40558" s="23"/>
    </row>
    <row r="40559">
      <c r="B40559" s="19"/>
      <c r="E40559" s="23"/>
      <c r="L40559" s="23"/>
    </row>
    <row r="40560">
      <c r="B40560" s="19"/>
      <c r="E40560" s="23"/>
      <c r="L40560" s="23"/>
    </row>
    <row r="40561">
      <c r="B40561" s="19"/>
      <c r="E40561" s="23"/>
      <c r="L40561" s="23"/>
    </row>
    <row r="40562">
      <c r="B40562" s="19"/>
      <c r="E40562" s="23"/>
      <c r="L40562" s="23"/>
    </row>
    <row r="40563">
      <c r="B40563" s="19"/>
      <c r="E40563" s="23"/>
      <c r="L40563" s="23"/>
    </row>
    <row r="40564">
      <c r="B40564" s="19"/>
      <c r="E40564" s="23"/>
      <c r="L40564" s="23"/>
    </row>
    <row r="40565">
      <c r="B40565" s="19"/>
      <c r="E40565" s="23"/>
      <c r="L40565" s="23"/>
    </row>
    <row r="40566">
      <c r="B40566" s="19"/>
      <c r="E40566" s="23"/>
      <c r="L40566" s="23"/>
    </row>
    <row r="40567">
      <c r="B40567" s="19"/>
      <c r="E40567" s="23"/>
      <c r="L40567" s="23"/>
    </row>
    <row r="40568">
      <c r="B40568" s="19"/>
      <c r="E40568" s="23"/>
      <c r="L40568" s="23"/>
    </row>
    <row r="40569">
      <c r="B40569" s="19"/>
      <c r="E40569" s="23"/>
      <c r="L40569" s="23"/>
    </row>
    <row r="40570">
      <c r="B40570" s="19"/>
      <c r="E40570" s="23"/>
      <c r="L40570" s="23"/>
    </row>
    <row r="40571">
      <c r="B40571" s="19"/>
      <c r="E40571" s="23"/>
      <c r="L40571" s="23"/>
    </row>
    <row r="40572">
      <c r="B40572" s="19"/>
      <c r="E40572" s="23"/>
      <c r="L40572" s="23"/>
    </row>
    <row r="40573">
      <c r="B40573" s="19"/>
      <c r="E40573" s="23"/>
      <c r="L40573" s="23"/>
    </row>
    <row r="40574">
      <c r="B40574" s="19"/>
      <c r="E40574" s="23"/>
      <c r="L40574" s="23"/>
    </row>
    <row r="40575">
      <c r="B40575" s="19"/>
      <c r="E40575" s="23"/>
      <c r="L40575" s="23"/>
    </row>
    <row r="40576">
      <c r="B40576" s="19"/>
      <c r="E40576" s="23"/>
      <c r="L40576" s="23"/>
    </row>
    <row r="40577">
      <c r="B40577" s="19"/>
      <c r="E40577" s="23"/>
      <c r="L40577" s="23"/>
    </row>
    <row r="40578">
      <c r="B40578" s="19"/>
      <c r="E40578" s="23"/>
      <c r="L40578" s="23"/>
    </row>
    <row r="40579">
      <c r="B40579" s="19"/>
      <c r="E40579" s="23"/>
      <c r="L40579" s="23"/>
    </row>
    <row r="40580">
      <c r="B40580" s="19"/>
      <c r="E40580" s="23"/>
      <c r="L40580" s="23"/>
    </row>
    <row r="40581">
      <c r="B40581" s="19"/>
      <c r="E40581" s="23"/>
      <c r="L40581" s="23"/>
    </row>
    <row r="40582">
      <c r="B40582" s="19"/>
      <c r="E40582" s="23"/>
      <c r="L40582" s="23"/>
    </row>
    <row r="40583">
      <c r="B40583" s="19"/>
      <c r="E40583" s="23"/>
      <c r="L40583" s="23"/>
    </row>
    <row r="40584">
      <c r="B40584" s="19"/>
      <c r="E40584" s="23"/>
      <c r="L40584" s="23"/>
    </row>
    <row r="40585">
      <c r="B40585" s="19"/>
      <c r="E40585" s="23"/>
      <c r="L40585" s="23"/>
    </row>
    <row r="40586">
      <c r="B40586" s="19"/>
      <c r="E40586" s="23"/>
      <c r="L40586" s="23"/>
    </row>
    <row r="40587">
      <c r="B40587" s="19"/>
      <c r="E40587" s="23"/>
      <c r="L40587" s="23"/>
    </row>
    <row r="40588">
      <c r="B40588" s="19"/>
      <c r="E40588" s="23"/>
      <c r="L40588" s="23"/>
    </row>
    <row r="40589">
      <c r="B40589" s="19"/>
      <c r="E40589" s="23"/>
      <c r="L40589" s="23"/>
    </row>
    <row r="40590">
      <c r="B40590" s="19"/>
      <c r="E40590" s="23"/>
      <c r="L40590" s="23"/>
    </row>
    <row r="40591">
      <c r="B40591" s="19"/>
      <c r="E40591" s="23"/>
      <c r="L40591" s="23"/>
    </row>
    <row r="40592">
      <c r="B40592" s="19"/>
      <c r="E40592" s="23"/>
      <c r="L40592" s="23"/>
    </row>
    <row r="40593">
      <c r="B40593" s="19"/>
      <c r="E40593" s="23"/>
      <c r="L40593" s="23"/>
    </row>
    <row r="40594">
      <c r="B40594" s="19"/>
      <c r="E40594" s="23"/>
      <c r="L40594" s="23"/>
    </row>
    <row r="40595">
      <c r="B40595" s="19"/>
      <c r="E40595" s="23"/>
      <c r="L40595" s="23"/>
    </row>
    <row r="40596">
      <c r="B40596" s="19"/>
      <c r="E40596" s="23"/>
      <c r="L40596" s="23"/>
    </row>
    <row r="40597">
      <c r="B40597" s="19"/>
      <c r="E40597" s="23"/>
      <c r="L40597" s="23"/>
    </row>
    <row r="40598">
      <c r="B40598" s="19"/>
      <c r="E40598" s="23"/>
      <c r="L40598" s="23"/>
    </row>
    <row r="40599">
      <c r="B40599" s="19"/>
      <c r="E40599" s="23"/>
      <c r="L40599" s="23"/>
    </row>
    <row r="40600">
      <c r="B40600" s="19"/>
      <c r="E40600" s="23"/>
      <c r="L40600" s="23"/>
    </row>
    <row r="40601">
      <c r="B40601" s="19"/>
      <c r="E40601" s="23"/>
      <c r="L40601" s="23"/>
    </row>
    <row r="40602">
      <c r="B40602" s="19"/>
      <c r="E40602" s="23"/>
      <c r="L40602" s="23"/>
    </row>
    <row r="40603">
      <c r="B40603" s="19"/>
      <c r="E40603" s="23"/>
      <c r="L40603" s="23"/>
    </row>
    <row r="40604">
      <c r="B40604" s="19"/>
      <c r="E40604" s="23"/>
      <c r="L40604" s="23"/>
    </row>
    <row r="40605">
      <c r="B40605" s="19"/>
      <c r="E40605" s="23"/>
      <c r="L40605" s="23"/>
    </row>
    <row r="40606">
      <c r="B40606" s="19"/>
      <c r="E40606" s="23"/>
      <c r="L40606" s="23"/>
    </row>
    <row r="40607">
      <c r="B40607" s="19"/>
      <c r="E40607" s="23"/>
      <c r="L40607" s="23"/>
    </row>
    <row r="40608">
      <c r="B40608" s="19"/>
      <c r="E40608" s="23"/>
      <c r="L40608" s="23"/>
    </row>
    <row r="40609">
      <c r="B40609" s="19"/>
      <c r="E40609" s="23"/>
      <c r="L40609" s="23"/>
    </row>
    <row r="40610">
      <c r="B40610" s="19"/>
      <c r="E40610" s="23"/>
      <c r="L40610" s="23"/>
    </row>
    <row r="40611">
      <c r="B40611" s="19"/>
      <c r="E40611" s="23"/>
      <c r="L40611" s="23"/>
    </row>
    <row r="40612">
      <c r="B40612" s="19"/>
      <c r="E40612" s="23"/>
      <c r="L40612" s="23"/>
    </row>
    <row r="40613">
      <c r="B40613" s="19"/>
      <c r="E40613" s="23"/>
      <c r="L40613" s="23"/>
    </row>
    <row r="40614">
      <c r="B40614" s="19"/>
      <c r="E40614" s="23"/>
      <c r="L40614" s="23"/>
    </row>
    <row r="40615">
      <c r="B40615" s="19"/>
      <c r="E40615" s="23"/>
      <c r="L40615" s="23"/>
    </row>
    <row r="40616">
      <c r="B40616" s="19"/>
      <c r="E40616" s="23"/>
      <c r="L40616" s="23"/>
    </row>
    <row r="40617">
      <c r="B40617" s="19"/>
      <c r="E40617" s="23"/>
      <c r="L40617" s="23"/>
    </row>
    <row r="40618">
      <c r="B40618" s="19"/>
      <c r="E40618" s="23"/>
      <c r="L40618" s="23"/>
    </row>
    <row r="40619">
      <c r="B40619" s="19"/>
      <c r="E40619" s="23"/>
      <c r="L40619" s="23"/>
    </row>
    <row r="40620">
      <c r="B40620" s="19"/>
      <c r="E40620" s="23"/>
      <c r="L40620" s="23"/>
    </row>
    <row r="40621">
      <c r="B40621" s="19"/>
      <c r="E40621" s="23"/>
      <c r="L40621" s="23"/>
    </row>
    <row r="40622">
      <c r="B40622" s="19"/>
      <c r="E40622" s="23"/>
      <c r="L40622" s="23"/>
    </row>
    <row r="40623">
      <c r="B40623" s="19"/>
      <c r="E40623" s="23"/>
      <c r="L40623" s="23"/>
    </row>
    <row r="40624">
      <c r="B40624" s="19"/>
      <c r="E40624" s="23"/>
      <c r="L40624" s="23"/>
    </row>
    <row r="40625">
      <c r="B40625" s="19"/>
      <c r="E40625" s="23"/>
      <c r="L40625" s="23"/>
    </row>
    <row r="40626">
      <c r="B40626" s="19"/>
      <c r="E40626" s="23"/>
      <c r="L40626" s="23"/>
    </row>
    <row r="40627">
      <c r="B40627" s="19"/>
      <c r="E40627" s="23"/>
      <c r="L40627" s="23"/>
    </row>
    <row r="40628">
      <c r="B40628" s="19"/>
      <c r="E40628" s="23"/>
      <c r="L40628" s="23"/>
    </row>
    <row r="40629">
      <c r="B40629" s="19"/>
      <c r="E40629" s="23"/>
      <c r="L40629" s="23"/>
    </row>
    <row r="40630">
      <c r="B40630" s="19"/>
      <c r="E40630" s="23"/>
      <c r="L40630" s="23"/>
    </row>
    <row r="40631">
      <c r="B40631" s="19"/>
      <c r="E40631" s="23"/>
      <c r="L40631" s="23"/>
    </row>
    <row r="40632">
      <c r="B40632" s="19"/>
      <c r="E40632" s="23"/>
      <c r="L40632" s="23"/>
    </row>
    <row r="40633">
      <c r="B40633" s="19"/>
      <c r="E40633" s="23"/>
      <c r="L40633" s="23"/>
    </row>
    <row r="40634">
      <c r="B40634" s="19"/>
      <c r="E40634" s="23"/>
      <c r="L40634" s="23"/>
    </row>
    <row r="40635">
      <c r="B40635" s="19"/>
      <c r="E40635" s="23"/>
      <c r="L40635" s="23"/>
    </row>
    <row r="40636">
      <c r="B40636" s="19"/>
      <c r="E40636" s="23"/>
      <c r="L40636" s="23"/>
    </row>
    <row r="40637">
      <c r="B40637" s="19"/>
      <c r="E40637" s="23"/>
      <c r="L40637" s="23"/>
    </row>
    <row r="40638">
      <c r="B40638" s="19"/>
      <c r="E40638" s="23"/>
      <c r="L40638" s="23"/>
    </row>
    <row r="40639">
      <c r="B40639" s="19"/>
      <c r="E40639" s="23"/>
      <c r="L40639" s="23"/>
    </row>
    <row r="40640">
      <c r="B40640" s="19"/>
      <c r="E40640" s="23"/>
      <c r="L40640" s="23"/>
    </row>
    <row r="40641">
      <c r="B40641" s="19"/>
      <c r="E40641" s="23"/>
      <c r="L40641" s="23"/>
    </row>
    <row r="40642">
      <c r="B40642" s="19"/>
      <c r="E40642" s="23"/>
      <c r="L40642" s="23"/>
    </row>
    <row r="40643">
      <c r="B40643" s="19"/>
      <c r="E40643" s="23"/>
      <c r="L40643" s="23"/>
    </row>
    <row r="40644">
      <c r="B40644" s="19"/>
      <c r="E40644" s="23"/>
      <c r="L40644" s="23"/>
    </row>
    <row r="40645">
      <c r="B40645" s="19"/>
      <c r="E40645" s="23"/>
      <c r="L40645" s="23"/>
    </row>
    <row r="40646">
      <c r="B40646" s="19"/>
      <c r="E40646" s="23"/>
      <c r="L40646" s="23"/>
    </row>
    <row r="40647">
      <c r="B40647" s="19"/>
      <c r="E40647" s="23"/>
      <c r="L40647" s="23"/>
    </row>
    <row r="40648">
      <c r="B40648" s="19"/>
      <c r="E40648" s="23"/>
      <c r="L40648" s="23"/>
    </row>
    <row r="40649">
      <c r="B40649" s="19"/>
      <c r="E40649" s="23"/>
      <c r="L40649" s="23"/>
    </row>
    <row r="40650">
      <c r="B40650" s="19"/>
      <c r="E40650" s="23"/>
      <c r="L40650" s="23"/>
    </row>
    <row r="40651">
      <c r="B40651" s="19"/>
      <c r="E40651" s="23"/>
      <c r="L40651" s="23"/>
    </row>
    <row r="40652">
      <c r="B40652" s="19"/>
      <c r="E40652" s="23"/>
      <c r="L40652" s="23"/>
    </row>
    <row r="40653">
      <c r="B40653" s="19"/>
      <c r="E40653" s="23"/>
      <c r="L40653" s="23"/>
    </row>
    <row r="40654">
      <c r="B40654" s="19"/>
      <c r="E40654" s="23"/>
      <c r="L40654" s="23"/>
    </row>
    <row r="40655">
      <c r="B40655" s="19"/>
      <c r="E40655" s="23"/>
      <c r="L40655" s="23"/>
    </row>
    <row r="40656">
      <c r="B40656" s="19"/>
      <c r="E40656" s="23"/>
      <c r="L40656" s="23"/>
    </row>
    <row r="40657">
      <c r="B40657" s="19"/>
      <c r="E40657" s="23"/>
      <c r="L40657" s="23"/>
    </row>
    <row r="40658">
      <c r="B40658" s="19"/>
      <c r="E40658" s="23"/>
      <c r="L40658" s="23"/>
    </row>
    <row r="40659">
      <c r="B40659" s="19"/>
      <c r="E40659" s="23"/>
      <c r="L40659" s="23"/>
    </row>
    <row r="40660">
      <c r="B40660" s="19"/>
      <c r="E40660" s="23"/>
      <c r="L40660" s="23"/>
    </row>
    <row r="40661">
      <c r="B40661" s="19"/>
      <c r="E40661" s="23"/>
      <c r="L40661" s="23"/>
    </row>
    <row r="40662">
      <c r="B40662" s="19"/>
      <c r="E40662" s="23"/>
      <c r="L40662" s="23"/>
    </row>
    <row r="40663">
      <c r="B40663" s="19"/>
      <c r="E40663" s="23"/>
      <c r="L40663" s="23"/>
    </row>
    <row r="40664">
      <c r="B40664" s="19"/>
      <c r="E40664" s="23"/>
      <c r="L40664" s="23"/>
    </row>
    <row r="40665">
      <c r="B40665" s="19"/>
      <c r="E40665" s="23"/>
      <c r="L40665" s="23"/>
    </row>
    <row r="40666">
      <c r="B40666" s="19"/>
      <c r="E40666" s="23"/>
      <c r="L40666" s="23"/>
    </row>
    <row r="40667">
      <c r="B40667" s="19"/>
      <c r="E40667" s="23"/>
      <c r="L40667" s="23"/>
    </row>
    <row r="40668">
      <c r="B40668" s="19"/>
      <c r="E40668" s="23"/>
      <c r="L40668" s="23"/>
    </row>
    <row r="40669">
      <c r="B40669" s="19"/>
      <c r="E40669" s="23"/>
      <c r="L40669" s="23"/>
    </row>
    <row r="40670">
      <c r="B40670" s="19"/>
      <c r="E40670" s="23"/>
      <c r="L40670" s="23"/>
    </row>
    <row r="40671">
      <c r="B40671" s="19"/>
      <c r="E40671" s="23"/>
      <c r="L40671" s="23"/>
    </row>
    <row r="40672">
      <c r="B40672" s="19"/>
      <c r="E40672" s="23"/>
      <c r="L40672" s="23"/>
    </row>
    <row r="40673">
      <c r="B40673" s="19"/>
      <c r="E40673" s="23"/>
      <c r="L40673" s="23"/>
    </row>
    <row r="40674">
      <c r="B40674" s="19"/>
      <c r="E40674" s="23"/>
      <c r="L40674" s="23"/>
    </row>
    <row r="40675">
      <c r="B40675" s="19"/>
      <c r="E40675" s="23"/>
      <c r="L40675" s="23"/>
    </row>
    <row r="40676">
      <c r="B40676" s="19"/>
      <c r="E40676" s="23"/>
      <c r="L40676" s="23"/>
    </row>
    <row r="40677">
      <c r="B40677" s="19"/>
      <c r="E40677" s="23"/>
      <c r="L40677" s="23"/>
    </row>
    <row r="40678">
      <c r="B40678" s="19"/>
      <c r="E40678" s="23"/>
      <c r="L40678" s="23"/>
    </row>
    <row r="40679">
      <c r="B40679" s="19"/>
      <c r="E40679" s="23"/>
      <c r="L40679" s="23"/>
    </row>
    <row r="40680">
      <c r="B40680" s="19"/>
      <c r="E40680" s="23"/>
      <c r="L40680" s="23"/>
    </row>
    <row r="40681">
      <c r="B40681" s="19"/>
      <c r="E40681" s="23"/>
      <c r="L40681" s="23"/>
    </row>
    <row r="40682">
      <c r="B40682" s="19"/>
      <c r="E40682" s="23"/>
      <c r="L40682" s="23"/>
    </row>
    <row r="40683">
      <c r="B40683" s="19"/>
      <c r="E40683" s="23"/>
      <c r="L40683" s="23"/>
    </row>
    <row r="40684">
      <c r="B40684" s="19"/>
      <c r="E40684" s="23"/>
      <c r="L40684" s="23"/>
    </row>
    <row r="40685">
      <c r="B40685" s="19"/>
      <c r="E40685" s="23"/>
      <c r="L40685" s="23"/>
    </row>
    <row r="40686">
      <c r="B40686" s="19"/>
      <c r="E40686" s="23"/>
      <c r="L40686" s="23"/>
    </row>
    <row r="40687">
      <c r="B40687" s="19"/>
      <c r="E40687" s="23"/>
      <c r="L40687" s="23"/>
    </row>
    <row r="40688">
      <c r="B40688" s="19"/>
      <c r="E40688" s="23"/>
      <c r="L40688" s="23"/>
    </row>
    <row r="40689">
      <c r="B40689" s="19"/>
      <c r="E40689" s="23"/>
      <c r="L40689" s="23"/>
    </row>
    <row r="40690">
      <c r="B40690" s="19"/>
      <c r="E40690" s="23"/>
      <c r="L40690" s="23"/>
    </row>
    <row r="40691">
      <c r="B40691" s="19"/>
      <c r="E40691" s="23"/>
      <c r="L40691" s="23"/>
    </row>
    <row r="40692">
      <c r="B40692" s="19"/>
      <c r="E40692" s="23"/>
      <c r="L40692" s="23"/>
    </row>
    <row r="40693">
      <c r="B40693" s="19"/>
      <c r="E40693" s="23"/>
      <c r="L40693" s="23"/>
    </row>
    <row r="40694">
      <c r="B40694" s="19"/>
      <c r="E40694" s="23"/>
      <c r="L40694" s="23"/>
    </row>
    <row r="40695">
      <c r="B40695" s="19"/>
      <c r="E40695" s="23"/>
      <c r="L40695" s="23"/>
    </row>
    <row r="40696">
      <c r="B40696" s="19"/>
      <c r="E40696" s="23"/>
      <c r="L40696" s="23"/>
    </row>
    <row r="40697">
      <c r="B40697" s="19"/>
      <c r="E40697" s="23"/>
      <c r="L40697" s="23"/>
    </row>
    <row r="40698">
      <c r="B40698" s="19"/>
      <c r="E40698" s="23"/>
      <c r="L40698" s="23"/>
    </row>
    <row r="40699">
      <c r="B40699" s="19"/>
      <c r="E40699" s="23"/>
      <c r="L40699" s="23"/>
    </row>
    <row r="40700">
      <c r="B40700" s="19"/>
      <c r="E40700" s="23"/>
      <c r="L40700" s="23"/>
    </row>
    <row r="40701">
      <c r="B40701" s="19"/>
      <c r="E40701" s="23"/>
      <c r="L40701" s="23"/>
    </row>
    <row r="40702">
      <c r="B40702" s="19"/>
      <c r="E40702" s="23"/>
      <c r="L40702" s="23"/>
    </row>
    <row r="40703">
      <c r="B40703" s="19"/>
      <c r="E40703" s="23"/>
      <c r="L40703" s="23"/>
    </row>
    <row r="40704">
      <c r="B40704" s="19"/>
      <c r="E40704" s="23"/>
      <c r="L40704" s="23"/>
    </row>
    <row r="40705">
      <c r="B40705" s="19"/>
      <c r="E40705" s="23"/>
      <c r="L40705" s="23"/>
    </row>
    <row r="40706">
      <c r="B40706" s="19"/>
      <c r="E40706" s="23"/>
      <c r="L40706" s="23"/>
    </row>
    <row r="40707">
      <c r="B40707" s="19"/>
      <c r="E40707" s="23"/>
      <c r="L40707" s="23"/>
    </row>
    <row r="40708">
      <c r="B40708" s="19"/>
      <c r="E40708" s="23"/>
      <c r="L40708" s="23"/>
    </row>
    <row r="40709">
      <c r="B40709" s="19"/>
      <c r="E40709" s="23"/>
      <c r="L40709" s="23"/>
    </row>
    <row r="40710">
      <c r="B40710" s="19"/>
      <c r="E40710" s="23"/>
      <c r="L40710" s="23"/>
    </row>
    <row r="40711">
      <c r="B40711" s="19"/>
      <c r="E40711" s="23"/>
      <c r="L40711" s="23"/>
    </row>
    <row r="40712">
      <c r="B40712" s="19"/>
      <c r="E40712" s="23"/>
      <c r="L40712" s="23"/>
    </row>
    <row r="40713">
      <c r="B40713" s="19"/>
      <c r="E40713" s="23"/>
      <c r="L40713" s="23"/>
    </row>
    <row r="40714">
      <c r="B40714" s="19"/>
      <c r="E40714" s="23"/>
      <c r="L40714" s="23"/>
    </row>
    <row r="40715">
      <c r="B40715" s="19"/>
      <c r="E40715" s="23"/>
      <c r="L40715" s="23"/>
    </row>
    <row r="40716">
      <c r="B40716" s="19"/>
      <c r="E40716" s="23"/>
      <c r="L40716" s="23"/>
    </row>
    <row r="40717">
      <c r="B40717" s="19"/>
      <c r="E40717" s="23"/>
      <c r="L40717" s="23"/>
    </row>
    <row r="40718">
      <c r="B40718" s="19"/>
      <c r="E40718" s="23"/>
      <c r="L40718" s="23"/>
    </row>
    <row r="40719">
      <c r="B40719" s="19"/>
      <c r="E40719" s="23"/>
      <c r="L40719" s="23"/>
    </row>
    <row r="40720">
      <c r="B40720" s="19"/>
      <c r="E40720" s="23"/>
      <c r="L40720" s="23"/>
    </row>
    <row r="40721">
      <c r="B40721" s="19"/>
      <c r="E40721" s="23"/>
      <c r="L40721" s="23"/>
    </row>
    <row r="40722">
      <c r="B40722" s="19"/>
      <c r="E40722" s="23"/>
      <c r="L40722" s="23"/>
    </row>
    <row r="40723">
      <c r="B40723" s="19"/>
      <c r="E40723" s="23"/>
      <c r="L40723" s="23"/>
    </row>
    <row r="40724">
      <c r="B40724" s="19"/>
      <c r="E40724" s="23"/>
      <c r="L40724" s="23"/>
    </row>
    <row r="40725">
      <c r="B40725" s="19"/>
      <c r="E40725" s="23"/>
      <c r="L40725" s="23"/>
    </row>
    <row r="40726">
      <c r="B40726" s="19"/>
      <c r="E40726" s="23"/>
      <c r="L40726" s="23"/>
    </row>
    <row r="40727">
      <c r="B40727" s="19"/>
      <c r="E40727" s="23"/>
      <c r="L40727" s="23"/>
    </row>
    <row r="40728">
      <c r="B40728" s="19"/>
      <c r="E40728" s="23"/>
      <c r="L40728" s="23"/>
    </row>
    <row r="40729">
      <c r="B40729" s="19"/>
      <c r="E40729" s="23"/>
      <c r="L40729" s="23"/>
    </row>
    <row r="40730">
      <c r="B40730" s="19"/>
      <c r="E40730" s="23"/>
      <c r="L40730" s="23"/>
    </row>
    <row r="40731">
      <c r="B40731" s="19"/>
      <c r="E40731" s="23"/>
      <c r="L40731" s="23"/>
    </row>
    <row r="40732">
      <c r="B40732" s="19"/>
      <c r="E40732" s="23"/>
      <c r="L40732" s="23"/>
    </row>
    <row r="40733">
      <c r="B40733" s="19"/>
      <c r="E40733" s="23"/>
      <c r="L40733" s="23"/>
    </row>
    <row r="40734">
      <c r="B40734" s="19"/>
      <c r="E40734" s="23"/>
      <c r="L40734" s="23"/>
    </row>
    <row r="40735">
      <c r="B40735" s="19"/>
      <c r="E40735" s="23"/>
      <c r="L40735" s="23"/>
    </row>
    <row r="40736">
      <c r="B40736" s="19"/>
      <c r="E40736" s="23"/>
      <c r="L40736" s="23"/>
    </row>
    <row r="40737">
      <c r="B40737" s="19"/>
      <c r="E40737" s="23"/>
      <c r="L40737" s="23"/>
    </row>
    <row r="40738">
      <c r="B40738" s="19"/>
      <c r="E40738" s="23"/>
      <c r="L40738" s="23"/>
    </row>
    <row r="40739">
      <c r="B40739" s="19"/>
      <c r="E40739" s="23"/>
      <c r="L40739" s="23"/>
    </row>
    <row r="40740">
      <c r="B40740" s="19"/>
      <c r="E40740" s="23"/>
      <c r="L40740" s="23"/>
    </row>
    <row r="40741">
      <c r="B40741" s="19"/>
      <c r="E40741" s="23"/>
      <c r="L40741" s="23"/>
    </row>
    <row r="40742">
      <c r="B40742" s="19"/>
      <c r="E40742" s="23"/>
      <c r="L40742" s="23"/>
    </row>
    <row r="40743">
      <c r="B40743" s="19"/>
      <c r="E40743" s="23"/>
      <c r="L40743" s="23"/>
    </row>
    <row r="40744">
      <c r="B40744" s="19"/>
      <c r="E40744" s="23"/>
      <c r="L40744" s="23"/>
    </row>
    <row r="40745">
      <c r="B40745" s="19"/>
      <c r="E40745" s="23"/>
      <c r="L40745" s="23"/>
    </row>
    <row r="40746">
      <c r="B40746" s="19"/>
      <c r="E40746" s="23"/>
      <c r="L40746" s="23"/>
    </row>
    <row r="40747">
      <c r="B40747" s="19"/>
      <c r="E40747" s="23"/>
      <c r="L40747" s="23"/>
    </row>
    <row r="40748">
      <c r="B40748" s="19"/>
      <c r="E40748" s="23"/>
      <c r="L40748" s="23"/>
    </row>
    <row r="40749">
      <c r="B40749" s="19"/>
      <c r="E40749" s="23"/>
      <c r="L40749" s="23"/>
    </row>
    <row r="40750">
      <c r="B40750" s="19"/>
      <c r="E40750" s="23"/>
      <c r="L40750" s="23"/>
    </row>
    <row r="40751">
      <c r="B40751" s="19"/>
      <c r="E40751" s="23"/>
      <c r="L40751" s="23"/>
    </row>
    <row r="40752">
      <c r="B40752" s="19"/>
      <c r="E40752" s="23"/>
      <c r="L40752" s="23"/>
    </row>
    <row r="40753">
      <c r="B40753" s="19"/>
      <c r="E40753" s="23"/>
      <c r="L40753" s="23"/>
    </row>
    <row r="40754">
      <c r="B40754" s="19"/>
      <c r="E40754" s="23"/>
      <c r="L40754" s="23"/>
    </row>
    <row r="40755">
      <c r="B40755" s="19"/>
      <c r="E40755" s="23"/>
      <c r="L40755" s="23"/>
    </row>
    <row r="40756">
      <c r="B40756" s="19"/>
      <c r="E40756" s="23"/>
      <c r="L40756" s="23"/>
    </row>
    <row r="40757">
      <c r="B40757" s="19"/>
      <c r="E40757" s="23"/>
      <c r="L40757" s="23"/>
    </row>
    <row r="40758">
      <c r="B40758" s="19"/>
      <c r="E40758" s="23"/>
      <c r="L40758" s="23"/>
    </row>
    <row r="40759">
      <c r="B40759" s="19"/>
      <c r="E40759" s="23"/>
      <c r="L40759" s="23"/>
    </row>
    <row r="40760">
      <c r="B40760" s="19"/>
      <c r="E40760" s="23"/>
      <c r="L40760" s="23"/>
    </row>
    <row r="40761">
      <c r="B40761" s="19"/>
      <c r="E40761" s="23"/>
      <c r="L40761" s="23"/>
    </row>
    <row r="40762">
      <c r="B40762" s="19"/>
      <c r="E40762" s="23"/>
      <c r="L40762" s="23"/>
    </row>
    <row r="40763">
      <c r="B40763" s="19"/>
      <c r="E40763" s="23"/>
      <c r="L40763" s="23"/>
    </row>
    <row r="40764">
      <c r="B40764" s="19"/>
      <c r="E40764" s="23"/>
      <c r="L40764" s="23"/>
    </row>
    <row r="40765">
      <c r="B40765" s="19"/>
      <c r="E40765" s="23"/>
      <c r="L40765" s="23"/>
    </row>
    <row r="40766">
      <c r="B40766" s="19"/>
      <c r="E40766" s="23"/>
      <c r="L40766" s="23"/>
    </row>
    <row r="40767">
      <c r="B40767" s="19"/>
      <c r="E40767" s="23"/>
      <c r="L40767" s="23"/>
    </row>
    <row r="40768">
      <c r="B40768" s="19"/>
      <c r="E40768" s="23"/>
      <c r="L40768" s="23"/>
    </row>
    <row r="40769">
      <c r="B40769" s="19"/>
      <c r="E40769" s="23"/>
      <c r="L40769" s="23"/>
    </row>
    <row r="40770">
      <c r="B40770" s="19"/>
      <c r="E40770" s="23"/>
      <c r="L40770" s="23"/>
    </row>
    <row r="40771">
      <c r="B40771" s="19"/>
      <c r="E40771" s="23"/>
      <c r="L40771" s="23"/>
    </row>
    <row r="40772">
      <c r="B40772" s="19"/>
      <c r="E40772" s="23"/>
      <c r="L40772" s="23"/>
    </row>
    <row r="40773">
      <c r="B40773" s="19"/>
      <c r="E40773" s="23"/>
      <c r="L40773" s="23"/>
    </row>
    <row r="40774">
      <c r="B40774" s="19"/>
      <c r="E40774" s="23"/>
      <c r="L40774" s="23"/>
    </row>
    <row r="40775">
      <c r="B40775" s="19"/>
      <c r="E40775" s="23"/>
      <c r="L40775" s="23"/>
    </row>
    <row r="40776">
      <c r="B40776" s="19"/>
      <c r="E40776" s="23"/>
      <c r="L40776" s="23"/>
    </row>
    <row r="40777">
      <c r="B40777" s="19"/>
      <c r="E40777" s="23"/>
      <c r="L40777" s="23"/>
    </row>
    <row r="40778">
      <c r="B40778" s="19"/>
      <c r="E40778" s="23"/>
      <c r="L40778" s="23"/>
    </row>
    <row r="40779">
      <c r="B40779" s="19"/>
      <c r="E40779" s="23"/>
      <c r="L40779" s="23"/>
    </row>
    <row r="40780">
      <c r="B40780" s="19"/>
      <c r="E40780" s="23"/>
      <c r="L40780" s="23"/>
    </row>
    <row r="40781">
      <c r="B40781" s="19"/>
      <c r="E40781" s="23"/>
      <c r="L40781" s="23"/>
    </row>
    <row r="40782">
      <c r="B40782" s="19"/>
      <c r="E40782" s="23"/>
      <c r="L40782" s="23"/>
    </row>
    <row r="40783">
      <c r="B40783" s="19"/>
      <c r="E40783" s="23"/>
      <c r="L40783" s="23"/>
    </row>
    <row r="40784">
      <c r="B40784" s="19"/>
      <c r="E40784" s="23"/>
      <c r="L40784" s="23"/>
    </row>
    <row r="40785">
      <c r="B40785" s="19"/>
      <c r="E40785" s="23"/>
      <c r="L40785" s="23"/>
    </row>
    <row r="40786">
      <c r="B40786" s="19"/>
      <c r="E40786" s="23"/>
      <c r="L40786" s="23"/>
    </row>
    <row r="40787">
      <c r="B40787" s="19"/>
      <c r="E40787" s="23"/>
      <c r="L40787" s="23"/>
    </row>
    <row r="40788">
      <c r="B40788" s="19"/>
      <c r="E40788" s="23"/>
      <c r="L40788" s="23"/>
    </row>
    <row r="40789">
      <c r="B40789" s="19"/>
      <c r="E40789" s="23"/>
      <c r="L40789" s="23"/>
    </row>
    <row r="40790">
      <c r="B40790" s="19"/>
      <c r="E40790" s="23"/>
      <c r="L40790" s="23"/>
    </row>
    <row r="40791">
      <c r="B40791" s="19"/>
      <c r="E40791" s="23"/>
      <c r="L40791" s="23"/>
    </row>
    <row r="40792">
      <c r="B40792" s="19"/>
      <c r="E40792" s="23"/>
      <c r="L40792" s="23"/>
    </row>
    <row r="40793">
      <c r="B40793" s="19"/>
      <c r="E40793" s="23"/>
      <c r="L40793" s="23"/>
    </row>
    <row r="40794">
      <c r="B40794" s="19"/>
      <c r="E40794" s="23"/>
      <c r="L40794" s="23"/>
    </row>
    <row r="40795">
      <c r="B40795" s="19"/>
      <c r="E40795" s="23"/>
      <c r="L40795" s="23"/>
    </row>
    <row r="40796">
      <c r="B40796" s="19"/>
      <c r="E40796" s="23"/>
      <c r="L40796" s="23"/>
    </row>
    <row r="40797">
      <c r="B40797" s="19"/>
      <c r="E40797" s="23"/>
      <c r="L40797" s="23"/>
    </row>
    <row r="40798">
      <c r="B40798" s="19"/>
      <c r="E40798" s="23"/>
      <c r="L40798" s="23"/>
    </row>
    <row r="40799">
      <c r="B40799" s="19"/>
      <c r="E40799" s="23"/>
      <c r="L40799" s="23"/>
    </row>
    <row r="40800">
      <c r="B40800" s="19"/>
      <c r="E40800" s="23"/>
      <c r="L40800" s="23"/>
    </row>
    <row r="40801">
      <c r="B40801" s="19"/>
      <c r="E40801" s="23"/>
      <c r="L40801" s="23"/>
    </row>
    <row r="40802">
      <c r="B40802" s="19"/>
      <c r="E40802" s="23"/>
      <c r="L40802" s="23"/>
    </row>
    <row r="40803">
      <c r="B40803" s="19"/>
      <c r="E40803" s="23"/>
      <c r="L40803" s="23"/>
    </row>
    <row r="40804">
      <c r="B40804" s="19"/>
      <c r="E40804" s="23"/>
      <c r="L40804" s="23"/>
    </row>
    <row r="40805">
      <c r="B40805" s="19"/>
      <c r="E40805" s="23"/>
      <c r="L40805" s="23"/>
    </row>
    <row r="40806">
      <c r="B40806" s="19"/>
      <c r="E40806" s="23"/>
      <c r="L40806" s="23"/>
    </row>
    <row r="40807">
      <c r="B40807" s="19"/>
      <c r="E40807" s="23"/>
      <c r="L40807" s="23"/>
    </row>
    <row r="40808">
      <c r="B40808" s="19"/>
      <c r="E40808" s="23"/>
      <c r="L40808" s="23"/>
    </row>
    <row r="40809">
      <c r="B40809" s="19"/>
      <c r="E40809" s="23"/>
      <c r="L40809" s="23"/>
    </row>
    <row r="40810">
      <c r="B40810" s="19"/>
      <c r="E40810" s="23"/>
      <c r="L40810" s="23"/>
    </row>
    <row r="40811">
      <c r="B40811" s="19"/>
      <c r="E40811" s="23"/>
      <c r="L40811" s="23"/>
    </row>
    <row r="40812">
      <c r="B40812" s="19"/>
      <c r="E40812" s="23"/>
      <c r="L40812" s="23"/>
    </row>
    <row r="40813">
      <c r="B40813" s="19"/>
      <c r="E40813" s="23"/>
      <c r="L40813" s="23"/>
    </row>
    <row r="40814">
      <c r="B40814" s="19"/>
      <c r="E40814" s="23"/>
      <c r="L40814" s="23"/>
    </row>
    <row r="40815">
      <c r="B40815" s="19"/>
      <c r="E40815" s="23"/>
      <c r="L40815" s="23"/>
    </row>
    <row r="40816">
      <c r="B40816" s="19"/>
      <c r="E40816" s="23"/>
      <c r="L40816" s="23"/>
    </row>
    <row r="40817">
      <c r="B40817" s="19"/>
      <c r="E40817" s="23"/>
      <c r="L40817" s="23"/>
    </row>
    <row r="40818">
      <c r="B40818" s="19"/>
      <c r="E40818" s="23"/>
      <c r="L40818" s="23"/>
    </row>
    <row r="40819">
      <c r="B40819" s="19"/>
      <c r="E40819" s="23"/>
      <c r="L40819" s="23"/>
    </row>
    <row r="40820">
      <c r="B40820" s="19"/>
      <c r="E40820" s="23"/>
      <c r="L40820" s="23"/>
    </row>
    <row r="40821">
      <c r="B40821" s="19"/>
      <c r="E40821" s="23"/>
      <c r="L40821" s="23"/>
    </row>
    <row r="40822">
      <c r="B40822" s="19"/>
      <c r="E40822" s="23"/>
      <c r="L40822" s="23"/>
    </row>
    <row r="40823">
      <c r="B40823" s="19"/>
      <c r="E40823" s="23"/>
      <c r="L40823" s="23"/>
    </row>
    <row r="40824">
      <c r="B40824" s="19"/>
      <c r="E40824" s="23"/>
      <c r="L40824" s="23"/>
    </row>
    <row r="40825">
      <c r="B40825" s="19"/>
      <c r="E40825" s="23"/>
      <c r="L40825" s="23"/>
    </row>
    <row r="40826">
      <c r="B40826" s="19"/>
      <c r="E40826" s="23"/>
      <c r="L40826" s="23"/>
    </row>
    <row r="40827">
      <c r="B40827" s="19"/>
      <c r="E40827" s="23"/>
      <c r="L40827" s="23"/>
    </row>
    <row r="40828">
      <c r="B40828" s="19"/>
      <c r="E40828" s="23"/>
      <c r="L40828" s="23"/>
    </row>
    <row r="40829">
      <c r="B40829" s="19"/>
      <c r="E40829" s="23"/>
      <c r="L40829" s="23"/>
    </row>
    <row r="40830">
      <c r="B40830" s="19"/>
      <c r="E40830" s="23"/>
      <c r="L40830" s="23"/>
    </row>
    <row r="40831">
      <c r="B40831" s="19"/>
      <c r="E40831" s="23"/>
      <c r="L40831" s="23"/>
    </row>
    <row r="40832">
      <c r="B40832" s="19"/>
      <c r="E40832" s="23"/>
      <c r="L40832" s="23"/>
    </row>
    <row r="40833">
      <c r="B40833" s="19"/>
      <c r="E40833" s="23"/>
      <c r="L40833" s="23"/>
    </row>
    <row r="40834">
      <c r="B40834" s="19"/>
      <c r="E40834" s="23"/>
      <c r="L40834" s="23"/>
    </row>
    <row r="40835">
      <c r="B40835" s="19"/>
      <c r="E40835" s="23"/>
      <c r="L40835" s="23"/>
    </row>
    <row r="40836">
      <c r="B40836" s="19"/>
      <c r="E40836" s="23"/>
      <c r="L40836" s="23"/>
    </row>
    <row r="40837">
      <c r="B40837" s="19"/>
      <c r="E40837" s="23"/>
      <c r="L40837" s="23"/>
    </row>
    <row r="40838">
      <c r="B40838" s="19"/>
      <c r="E40838" s="23"/>
      <c r="L40838" s="23"/>
    </row>
    <row r="40839">
      <c r="B40839" s="19"/>
      <c r="E40839" s="23"/>
      <c r="L40839" s="23"/>
    </row>
    <row r="40840">
      <c r="B40840" s="19"/>
      <c r="E40840" s="23"/>
      <c r="L40840" s="23"/>
    </row>
    <row r="40841">
      <c r="B40841" s="19"/>
      <c r="E40841" s="23"/>
      <c r="L40841" s="23"/>
    </row>
    <row r="40842">
      <c r="B40842" s="19"/>
      <c r="E40842" s="23"/>
      <c r="L40842" s="23"/>
    </row>
    <row r="40843">
      <c r="B40843" s="19"/>
      <c r="E40843" s="23"/>
      <c r="L40843" s="23"/>
    </row>
    <row r="40844">
      <c r="B40844" s="19"/>
      <c r="E40844" s="23"/>
      <c r="L40844" s="23"/>
    </row>
    <row r="40845">
      <c r="B40845" s="19"/>
      <c r="E40845" s="23"/>
      <c r="L40845" s="23"/>
    </row>
    <row r="40846">
      <c r="B40846" s="19"/>
      <c r="E40846" s="23"/>
      <c r="L40846" s="23"/>
    </row>
    <row r="40847">
      <c r="B40847" s="19"/>
      <c r="E40847" s="23"/>
      <c r="L40847" s="23"/>
    </row>
    <row r="40848">
      <c r="B40848" s="19"/>
      <c r="E40848" s="23"/>
      <c r="L40848" s="23"/>
    </row>
    <row r="40849">
      <c r="B40849" s="19"/>
      <c r="E40849" s="23"/>
      <c r="L40849" s="23"/>
    </row>
    <row r="40850">
      <c r="B40850" s="19"/>
      <c r="E40850" s="23"/>
      <c r="L40850" s="23"/>
    </row>
    <row r="40851">
      <c r="B40851" s="19"/>
      <c r="E40851" s="23"/>
      <c r="L40851" s="23"/>
    </row>
    <row r="40852">
      <c r="B40852" s="19"/>
      <c r="E40852" s="23"/>
      <c r="L40852" s="23"/>
    </row>
    <row r="40853">
      <c r="B40853" s="19"/>
      <c r="E40853" s="23"/>
      <c r="L40853" s="23"/>
    </row>
    <row r="40854">
      <c r="B40854" s="19"/>
      <c r="E40854" s="23"/>
      <c r="L40854" s="23"/>
    </row>
    <row r="40855">
      <c r="B40855" s="19"/>
      <c r="E40855" s="23"/>
      <c r="L40855" s="23"/>
    </row>
    <row r="40856">
      <c r="B40856" s="19"/>
      <c r="E40856" s="23"/>
      <c r="L40856" s="23"/>
    </row>
    <row r="40857">
      <c r="B40857" s="19"/>
      <c r="E40857" s="23"/>
      <c r="L40857" s="23"/>
    </row>
    <row r="40858">
      <c r="B40858" s="19"/>
      <c r="E40858" s="23"/>
      <c r="L40858" s="23"/>
    </row>
    <row r="40859">
      <c r="B40859" s="19"/>
      <c r="E40859" s="23"/>
      <c r="L40859" s="23"/>
    </row>
    <row r="40860">
      <c r="B40860" s="19"/>
      <c r="E40860" s="23"/>
      <c r="L40860" s="23"/>
    </row>
    <row r="40861">
      <c r="B40861" s="19"/>
      <c r="E40861" s="23"/>
      <c r="L40861" s="23"/>
    </row>
    <row r="40862">
      <c r="B40862" s="19"/>
      <c r="E40862" s="23"/>
      <c r="L40862" s="23"/>
    </row>
    <row r="40863">
      <c r="B40863" s="19"/>
      <c r="E40863" s="23"/>
      <c r="L40863" s="23"/>
    </row>
    <row r="40864">
      <c r="B40864" s="19"/>
      <c r="E40864" s="23"/>
      <c r="L40864" s="23"/>
    </row>
    <row r="40865">
      <c r="B40865" s="19"/>
      <c r="E40865" s="23"/>
      <c r="L40865" s="23"/>
    </row>
    <row r="40866">
      <c r="B40866" s="19"/>
      <c r="E40866" s="23"/>
      <c r="L40866" s="23"/>
    </row>
    <row r="40867">
      <c r="B40867" s="19"/>
      <c r="E40867" s="23"/>
      <c r="L40867" s="23"/>
    </row>
    <row r="40868">
      <c r="B40868" s="19"/>
      <c r="E40868" s="23"/>
      <c r="L40868" s="23"/>
    </row>
    <row r="40869">
      <c r="B40869" s="19"/>
      <c r="E40869" s="23"/>
      <c r="L40869" s="23"/>
    </row>
    <row r="40870">
      <c r="B40870" s="19"/>
      <c r="E40870" s="23"/>
      <c r="L40870" s="23"/>
    </row>
    <row r="40871">
      <c r="B40871" s="19"/>
      <c r="E40871" s="23"/>
      <c r="L40871" s="23"/>
    </row>
    <row r="40872">
      <c r="B40872" s="19"/>
      <c r="E40872" s="23"/>
      <c r="L40872" s="23"/>
    </row>
    <row r="40873">
      <c r="B40873" s="19"/>
      <c r="E40873" s="23"/>
      <c r="L40873" s="23"/>
    </row>
    <row r="40874">
      <c r="B40874" s="19"/>
      <c r="E40874" s="23"/>
      <c r="L40874" s="23"/>
    </row>
    <row r="40875">
      <c r="B40875" s="19"/>
      <c r="E40875" s="23"/>
      <c r="L40875" s="23"/>
    </row>
    <row r="40876">
      <c r="B40876" s="19"/>
      <c r="E40876" s="23"/>
      <c r="L40876" s="23"/>
    </row>
    <row r="40877">
      <c r="B40877" s="19"/>
      <c r="E40877" s="23"/>
      <c r="L40877" s="23"/>
    </row>
    <row r="40878">
      <c r="B40878" s="19"/>
      <c r="E40878" s="23"/>
      <c r="L40878" s="23"/>
    </row>
    <row r="40879">
      <c r="B40879" s="19"/>
      <c r="E40879" s="23"/>
      <c r="L40879" s="23"/>
    </row>
    <row r="40880">
      <c r="B40880" s="19"/>
      <c r="E40880" s="23"/>
      <c r="L40880" s="23"/>
    </row>
    <row r="40881">
      <c r="B40881" s="19"/>
      <c r="E40881" s="23"/>
      <c r="L40881" s="23"/>
    </row>
    <row r="40882">
      <c r="B40882" s="19"/>
      <c r="E40882" s="23"/>
      <c r="L40882" s="23"/>
    </row>
    <row r="40883">
      <c r="B40883" s="19"/>
      <c r="E40883" s="23"/>
      <c r="L40883" s="23"/>
    </row>
    <row r="40884">
      <c r="B40884" s="19"/>
      <c r="E40884" s="23"/>
      <c r="L40884" s="23"/>
    </row>
    <row r="40885">
      <c r="B40885" s="19"/>
      <c r="E40885" s="23"/>
      <c r="L40885" s="23"/>
    </row>
    <row r="40886">
      <c r="B40886" s="19"/>
      <c r="E40886" s="23"/>
      <c r="L40886" s="23"/>
    </row>
    <row r="40887">
      <c r="B40887" s="19"/>
      <c r="E40887" s="23"/>
      <c r="L40887" s="23"/>
    </row>
    <row r="40888">
      <c r="B40888" s="19"/>
      <c r="E40888" s="23"/>
      <c r="L40888" s="23"/>
    </row>
    <row r="40889">
      <c r="B40889" s="19"/>
      <c r="E40889" s="23"/>
      <c r="L40889" s="23"/>
    </row>
    <row r="40890">
      <c r="B40890" s="19"/>
      <c r="E40890" s="23"/>
      <c r="L40890" s="23"/>
    </row>
    <row r="40891">
      <c r="B40891" s="19"/>
      <c r="E40891" s="23"/>
      <c r="L40891" s="23"/>
    </row>
    <row r="40892">
      <c r="B40892" s="19"/>
      <c r="E40892" s="23"/>
      <c r="L40892" s="23"/>
    </row>
    <row r="40893">
      <c r="B40893" s="19"/>
      <c r="E40893" s="23"/>
      <c r="L40893" s="23"/>
    </row>
    <row r="40894">
      <c r="B40894" s="19"/>
      <c r="E40894" s="23"/>
      <c r="L40894" s="23"/>
    </row>
    <row r="40895">
      <c r="B40895" s="19"/>
      <c r="E40895" s="23"/>
      <c r="L40895" s="23"/>
    </row>
    <row r="40896">
      <c r="B40896" s="19"/>
      <c r="E40896" s="23"/>
      <c r="L40896" s="23"/>
    </row>
    <row r="40897">
      <c r="B40897" s="19"/>
      <c r="E40897" s="23"/>
      <c r="L40897" s="23"/>
    </row>
    <row r="40898">
      <c r="B40898" s="19"/>
      <c r="E40898" s="23"/>
      <c r="L40898" s="23"/>
    </row>
    <row r="40899">
      <c r="B40899" s="19"/>
      <c r="E40899" s="23"/>
      <c r="L40899" s="23"/>
    </row>
    <row r="40900">
      <c r="B40900" s="19"/>
      <c r="E40900" s="23"/>
      <c r="L40900" s="23"/>
    </row>
    <row r="40901">
      <c r="B40901" s="19"/>
      <c r="E40901" s="23"/>
      <c r="L40901" s="23"/>
    </row>
    <row r="40902">
      <c r="B40902" s="19"/>
      <c r="E40902" s="23"/>
      <c r="L40902" s="23"/>
    </row>
    <row r="40903">
      <c r="B40903" s="19"/>
      <c r="E40903" s="23"/>
      <c r="L40903" s="23"/>
    </row>
    <row r="40904">
      <c r="B40904" s="19"/>
      <c r="E40904" s="23"/>
      <c r="L40904" s="23"/>
    </row>
    <row r="40905">
      <c r="B40905" s="19"/>
      <c r="E40905" s="23"/>
      <c r="L40905" s="23"/>
    </row>
    <row r="40906">
      <c r="B40906" s="19"/>
      <c r="E40906" s="23"/>
      <c r="L40906" s="23"/>
    </row>
    <row r="40907">
      <c r="B40907" s="19"/>
      <c r="E40907" s="23"/>
      <c r="L40907" s="23"/>
    </row>
    <row r="40908">
      <c r="B40908" s="19"/>
      <c r="E40908" s="23"/>
      <c r="L40908" s="23"/>
    </row>
    <row r="40909">
      <c r="B40909" s="19"/>
      <c r="E40909" s="23"/>
      <c r="L40909" s="23"/>
    </row>
    <row r="40910">
      <c r="B40910" s="19"/>
      <c r="E40910" s="23"/>
      <c r="L40910" s="23"/>
    </row>
    <row r="40911">
      <c r="B40911" s="19"/>
      <c r="E40911" s="23"/>
      <c r="L40911" s="23"/>
    </row>
    <row r="40912">
      <c r="B40912" s="19"/>
      <c r="E40912" s="23"/>
      <c r="L40912" s="23"/>
    </row>
    <row r="40913">
      <c r="B40913" s="19"/>
      <c r="E40913" s="23"/>
      <c r="L40913" s="23"/>
    </row>
    <row r="40914">
      <c r="B40914" s="19"/>
      <c r="E40914" s="23"/>
      <c r="L40914" s="23"/>
    </row>
    <row r="40915">
      <c r="B40915" s="19"/>
      <c r="E40915" s="23"/>
      <c r="L40915" s="23"/>
    </row>
    <row r="40916">
      <c r="B40916" s="19"/>
      <c r="E40916" s="23"/>
      <c r="L40916" s="23"/>
    </row>
    <row r="40917">
      <c r="B40917" s="19"/>
      <c r="E40917" s="23"/>
      <c r="L40917" s="23"/>
    </row>
    <row r="40918">
      <c r="B40918" s="19"/>
      <c r="E40918" s="23"/>
      <c r="L40918" s="23"/>
    </row>
    <row r="40919">
      <c r="B40919" s="19"/>
      <c r="E40919" s="23"/>
      <c r="L40919" s="23"/>
    </row>
    <row r="40920">
      <c r="B40920" s="19"/>
      <c r="E40920" s="23"/>
      <c r="L40920" s="23"/>
    </row>
    <row r="40921">
      <c r="B40921" s="19"/>
      <c r="E40921" s="23"/>
      <c r="L40921" s="23"/>
    </row>
    <row r="40922">
      <c r="B40922" s="19"/>
      <c r="E40922" s="23"/>
      <c r="L40922" s="23"/>
    </row>
    <row r="40923">
      <c r="B40923" s="19"/>
      <c r="E40923" s="23"/>
      <c r="L40923" s="23"/>
    </row>
    <row r="40924">
      <c r="B40924" s="19"/>
      <c r="E40924" s="23"/>
      <c r="L40924" s="23"/>
    </row>
    <row r="40925">
      <c r="B40925" s="19"/>
      <c r="E40925" s="23"/>
      <c r="L40925" s="23"/>
    </row>
    <row r="40926">
      <c r="B40926" s="19"/>
      <c r="E40926" s="23"/>
      <c r="L40926" s="23"/>
    </row>
    <row r="40927">
      <c r="B40927" s="19"/>
      <c r="E40927" s="23"/>
      <c r="L40927" s="23"/>
    </row>
    <row r="40928">
      <c r="B40928" s="19"/>
      <c r="E40928" s="23"/>
      <c r="L40928" s="23"/>
    </row>
    <row r="40929">
      <c r="B40929" s="19"/>
      <c r="E40929" s="23"/>
      <c r="L40929" s="23"/>
    </row>
    <row r="40930">
      <c r="B40930" s="19"/>
      <c r="E40930" s="23"/>
      <c r="L40930" s="23"/>
    </row>
    <row r="40931">
      <c r="B40931" s="19"/>
      <c r="E40931" s="23"/>
      <c r="L40931" s="23"/>
    </row>
    <row r="40932">
      <c r="B40932" s="19"/>
      <c r="E40932" s="23"/>
      <c r="L40932" s="23"/>
    </row>
    <row r="40933">
      <c r="B40933" s="19"/>
      <c r="E40933" s="23"/>
      <c r="L40933" s="23"/>
    </row>
    <row r="40934">
      <c r="B40934" s="19"/>
      <c r="E40934" s="23"/>
      <c r="L40934" s="23"/>
    </row>
    <row r="40935">
      <c r="B40935" s="19"/>
      <c r="E40935" s="23"/>
      <c r="L40935" s="23"/>
    </row>
    <row r="40936">
      <c r="B40936" s="19"/>
      <c r="E40936" s="23"/>
      <c r="L40936" s="23"/>
    </row>
    <row r="40937">
      <c r="B40937" s="19"/>
      <c r="E40937" s="23"/>
      <c r="L40937" s="23"/>
    </row>
    <row r="40938">
      <c r="B40938" s="19"/>
      <c r="E40938" s="23"/>
      <c r="L40938" s="23"/>
    </row>
    <row r="40939">
      <c r="B40939" s="19"/>
      <c r="E40939" s="23"/>
      <c r="L40939" s="23"/>
    </row>
    <row r="40940">
      <c r="B40940" s="19"/>
      <c r="E40940" s="23"/>
      <c r="L40940" s="23"/>
    </row>
    <row r="40941">
      <c r="B40941" s="19"/>
      <c r="E40941" s="23"/>
      <c r="L40941" s="23"/>
    </row>
    <row r="40942">
      <c r="B40942" s="19"/>
      <c r="E40942" s="23"/>
      <c r="L40942" s="23"/>
    </row>
    <row r="40943">
      <c r="B40943" s="19"/>
      <c r="E40943" s="23"/>
      <c r="L40943" s="23"/>
    </row>
    <row r="40944">
      <c r="B40944" s="19"/>
      <c r="E40944" s="23"/>
      <c r="L40944" s="23"/>
    </row>
    <row r="40945">
      <c r="B40945" s="19"/>
      <c r="E40945" s="23"/>
      <c r="L40945" s="23"/>
    </row>
    <row r="40946">
      <c r="B40946" s="19"/>
      <c r="E40946" s="23"/>
      <c r="L40946" s="23"/>
    </row>
    <row r="40947">
      <c r="B40947" s="19"/>
      <c r="E40947" s="23"/>
      <c r="L40947" s="23"/>
    </row>
    <row r="40948">
      <c r="B40948" s="19"/>
      <c r="E40948" s="23"/>
      <c r="L40948" s="23"/>
    </row>
    <row r="40949">
      <c r="B40949" s="19"/>
      <c r="E40949" s="23"/>
      <c r="L40949" s="23"/>
    </row>
    <row r="40950">
      <c r="B40950" s="19"/>
      <c r="E40950" s="23"/>
      <c r="L40950" s="23"/>
    </row>
    <row r="40951">
      <c r="B40951" s="19"/>
      <c r="E40951" s="23"/>
      <c r="L40951" s="23"/>
    </row>
    <row r="40952">
      <c r="B40952" s="19"/>
      <c r="E40952" s="23"/>
      <c r="L40952" s="23"/>
    </row>
    <row r="40953">
      <c r="B40953" s="19"/>
      <c r="E40953" s="23"/>
      <c r="L40953" s="23"/>
    </row>
    <row r="40954">
      <c r="B40954" s="19"/>
      <c r="E40954" s="23"/>
      <c r="L40954" s="23"/>
    </row>
    <row r="40955">
      <c r="B40955" s="19"/>
      <c r="E40955" s="23"/>
      <c r="L40955" s="23"/>
    </row>
    <row r="40956">
      <c r="B40956" s="19"/>
      <c r="E40956" s="23"/>
      <c r="L40956" s="23"/>
    </row>
    <row r="40957">
      <c r="B40957" s="19"/>
      <c r="E40957" s="23"/>
      <c r="L40957" s="23"/>
    </row>
    <row r="40958">
      <c r="B40958" s="19"/>
      <c r="E40958" s="23"/>
      <c r="L40958" s="23"/>
    </row>
    <row r="40959">
      <c r="B40959" s="19"/>
      <c r="E40959" s="23"/>
      <c r="L40959" s="23"/>
    </row>
    <row r="40960">
      <c r="B40960" s="19"/>
      <c r="E40960" s="23"/>
      <c r="L40960" s="23"/>
    </row>
    <row r="40961">
      <c r="B40961" s="19"/>
      <c r="E40961" s="23"/>
      <c r="L40961" s="23"/>
    </row>
    <row r="40962">
      <c r="B40962" s="19"/>
      <c r="E40962" s="23"/>
      <c r="L40962" s="23"/>
    </row>
    <row r="40963">
      <c r="B40963" s="19"/>
      <c r="E40963" s="23"/>
      <c r="L40963" s="23"/>
    </row>
    <row r="40964">
      <c r="B40964" s="19"/>
      <c r="E40964" s="23"/>
      <c r="L40964" s="23"/>
    </row>
    <row r="40965">
      <c r="B40965" s="19"/>
      <c r="E40965" s="23"/>
      <c r="L40965" s="23"/>
    </row>
    <row r="40966">
      <c r="B40966" s="19"/>
      <c r="E40966" s="23"/>
      <c r="L40966" s="23"/>
    </row>
    <row r="40967">
      <c r="B40967" s="19"/>
      <c r="E40967" s="23"/>
      <c r="L40967" s="23"/>
    </row>
    <row r="40968">
      <c r="B40968" s="19"/>
      <c r="E40968" s="23"/>
      <c r="L40968" s="23"/>
    </row>
    <row r="40969">
      <c r="B40969" s="19"/>
      <c r="E40969" s="23"/>
      <c r="L40969" s="23"/>
    </row>
    <row r="40970">
      <c r="B40970" s="19"/>
      <c r="E40970" s="23"/>
      <c r="L40970" s="23"/>
    </row>
    <row r="40971">
      <c r="B40971" s="19"/>
      <c r="E40971" s="23"/>
      <c r="L40971" s="23"/>
    </row>
    <row r="40972">
      <c r="B40972" s="19"/>
      <c r="E40972" s="23"/>
      <c r="L40972" s="23"/>
    </row>
    <row r="40973">
      <c r="B40973" s="19"/>
      <c r="E40973" s="23"/>
      <c r="L40973" s="23"/>
    </row>
    <row r="40974">
      <c r="B40974" s="19"/>
      <c r="E40974" s="23"/>
      <c r="L40974" s="23"/>
    </row>
    <row r="40975">
      <c r="B40975" s="19"/>
      <c r="E40975" s="23"/>
      <c r="L40975" s="23"/>
    </row>
    <row r="40976">
      <c r="B40976" s="19"/>
      <c r="E40976" s="23"/>
      <c r="L40976" s="23"/>
    </row>
    <row r="40977">
      <c r="B40977" s="19"/>
      <c r="E40977" s="23"/>
      <c r="L40977" s="23"/>
    </row>
    <row r="40978">
      <c r="B40978" s="19"/>
      <c r="E40978" s="23"/>
      <c r="L40978" s="23"/>
    </row>
    <row r="40979">
      <c r="B40979" s="19"/>
      <c r="E40979" s="23"/>
      <c r="L40979" s="23"/>
    </row>
    <row r="40980">
      <c r="B40980" s="19"/>
      <c r="E40980" s="23"/>
      <c r="L40980" s="23"/>
    </row>
    <row r="40981">
      <c r="B40981" s="19"/>
      <c r="E40981" s="23"/>
      <c r="L40981" s="23"/>
    </row>
    <row r="40982">
      <c r="B40982" s="19"/>
      <c r="E40982" s="23"/>
      <c r="L40982" s="23"/>
    </row>
    <row r="40983">
      <c r="B40983" s="19"/>
      <c r="E40983" s="23"/>
      <c r="L40983" s="23"/>
    </row>
    <row r="40984">
      <c r="B40984" s="19"/>
      <c r="E40984" s="23"/>
      <c r="L40984" s="23"/>
    </row>
    <row r="40985">
      <c r="B40985" s="19"/>
      <c r="E40985" s="23"/>
      <c r="L40985" s="23"/>
    </row>
    <row r="40986">
      <c r="B40986" s="19"/>
      <c r="E40986" s="23"/>
      <c r="L40986" s="23"/>
    </row>
    <row r="40987">
      <c r="B40987" s="19"/>
      <c r="E40987" s="23"/>
      <c r="L40987" s="23"/>
    </row>
    <row r="40988">
      <c r="B40988" s="19"/>
      <c r="E40988" s="23"/>
      <c r="L40988" s="23"/>
    </row>
    <row r="40989">
      <c r="B40989" s="19"/>
      <c r="E40989" s="23"/>
      <c r="L40989" s="23"/>
    </row>
    <row r="40990">
      <c r="B40990" s="19"/>
      <c r="E40990" s="23"/>
      <c r="L40990" s="23"/>
    </row>
    <row r="40991">
      <c r="B40991" s="19"/>
      <c r="E40991" s="23"/>
      <c r="L40991" s="23"/>
    </row>
    <row r="40992">
      <c r="B40992" s="19"/>
      <c r="E40992" s="23"/>
      <c r="L40992" s="23"/>
    </row>
    <row r="40993">
      <c r="B40993" s="19"/>
      <c r="E40993" s="23"/>
      <c r="L40993" s="23"/>
    </row>
    <row r="40994">
      <c r="B40994" s="19"/>
      <c r="E40994" s="23"/>
      <c r="L40994" s="23"/>
    </row>
    <row r="40995">
      <c r="B40995" s="19"/>
      <c r="E40995" s="23"/>
      <c r="L40995" s="23"/>
    </row>
    <row r="40996">
      <c r="B40996" s="19"/>
      <c r="E40996" s="23"/>
      <c r="L40996" s="23"/>
    </row>
    <row r="40997">
      <c r="B40997" s="19"/>
      <c r="E40997" s="23"/>
      <c r="L40997" s="23"/>
    </row>
    <row r="40998">
      <c r="B40998" s="19"/>
      <c r="E40998" s="23"/>
      <c r="L40998" s="23"/>
    </row>
    <row r="40999">
      <c r="B40999" s="19"/>
      <c r="E40999" s="23"/>
      <c r="L40999" s="23"/>
    </row>
    <row r="41000">
      <c r="B41000" s="19"/>
      <c r="E41000" s="23"/>
      <c r="L41000" s="23"/>
    </row>
    <row r="41001">
      <c r="B41001" s="19"/>
      <c r="E41001" s="23"/>
      <c r="L41001" s="23"/>
    </row>
    <row r="41002">
      <c r="B41002" s="19"/>
      <c r="E41002" s="23"/>
      <c r="L41002" s="23"/>
    </row>
    <row r="41003">
      <c r="B41003" s="19"/>
      <c r="E41003" s="23"/>
      <c r="L41003" s="23"/>
    </row>
    <row r="41004">
      <c r="B41004" s="19"/>
      <c r="E41004" s="23"/>
      <c r="L41004" s="23"/>
    </row>
    <row r="41005">
      <c r="B41005" s="19"/>
      <c r="E41005" s="23"/>
      <c r="L41005" s="23"/>
    </row>
    <row r="41006">
      <c r="B41006" s="19"/>
      <c r="E41006" s="23"/>
      <c r="L41006" s="23"/>
    </row>
    <row r="41007">
      <c r="B41007" s="19"/>
      <c r="E41007" s="23"/>
      <c r="L41007" s="23"/>
    </row>
    <row r="41008">
      <c r="B41008" s="19"/>
      <c r="E41008" s="23"/>
      <c r="L41008" s="23"/>
    </row>
    <row r="41009">
      <c r="B41009" s="19"/>
      <c r="E41009" s="23"/>
      <c r="L41009" s="23"/>
    </row>
    <row r="41010">
      <c r="B41010" s="19"/>
      <c r="E41010" s="23"/>
      <c r="L41010" s="23"/>
    </row>
    <row r="41011">
      <c r="B41011" s="19"/>
      <c r="E41011" s="23"/>
      <c r="L41011" s="23"/>
    </row>
    <row r="41012">
      <c r="B41012" s="19"/>
      <c r="E41012" s="23"/>
      <c r="L41012" s="23"/>
    </row>
    <row r="41013">
      <c r="B41013" s="19"/>
      <c r="E41013" s="23"/>
      <c r="L41013" s="23"/>
    </row>
    <row r="41014">
      <c r="B41014" s="19"/>
      <c r="E41014" s="23"/>
      <c r="L41014" s="23"/>
    </row>
    <row r="41015">
      <c r="B41015" s="19"/>
      <c r="E41015" s="23"/>
      <c r="L41015" s="23"/>
    </row>
    <row r="41016">
      <c r="B41016" s="19"/>
      <c r="E41016" s="23"/>
      <c r="L41016" s="23"/>
    </row>
    <row r="41017">
      <c r="B41017" s="19"/>
      <c r="E41017" s="23"/>
      <c r="L41017" s="23"/>
    </row>
    <row r="41018">
      <c r="B41018" s="19"/>
      <c r="E41018" s="23"/>
      <c r="L41018" s="23"/>
    </row>
    <row r="41019">
      <c r="B41019" s="19"/>
      <c r="E41019" s="23"/>
      <c r="L41019" s="23"/>
    </row>
    <row r="41020">
      <c r="B41020" s="19"/>
      <c r="E41020" s="23"/>
      <c r="L41020" s="23"/>
    </row>
    <row r="41021">
      <c r="B41021" s="19"/>
      <c r="E41021" s="23"/>
      <c r="L41021" s="23"/>
    </row>
    <row r="41022">
      <c r="B41022" s="19"/>
      <c r="E41022" s="23"/>
      <c r="L41022" s="23"/>
    </row>
    <row r="41023">
      <c r="B41023" s="19"/>
      <c r="E41023" s="23"/>
      <c r="L41023" s="23"/>
    </row>
    <row r="41024">
      <c r="B41024" s="19"/>
      <c r="E41024" s="23"/>
      <c r="L41024" s="23"/>
    </row>
    <row r="41025">
      <c r="B41025" s="19"/>
      <c r="E41025" s="23"/>
      <c r="L41025" s="23"/>
    </row>
    <row r="41026">
      <c r="B41026" s="19"/>
      <c r="E41026" s="23"/>
      <c r="L41026" s="23"/>
    </row>
    <row r="41027">
      <c r="B41027" s="19"/>
      <c r="E41027" s="23"/>
      <c r="L41027" s="23"/>
    </row>
    <row r="41028">
      <c r="B41028" s="19"/>
      <c r="E41028" s="23"/>
      <c r="L41028" s="23"/>
    </row>
    <row r="41029">
      <c r="B41029" s="19"/>
      <c r="E41029" s="23"/>
      <c r="L41029" s="23"/>
    </row>
    <row r="41030">
      <c r="B41030" s="19"/>
      <c r="E41030" s="23"/>
      <c r="L41030" s="23"/>
    </row>
    <row r="41031">
      <c r="B41031" s="19"/>
      <c r="E41031" s="23"/>
      <c r="L41031" s="23"/>
    </row>
    <row r="41032">
      <c r="B41032" s="19"/>
      <c r="E41032" s="23"/>
      <c r="L41032" s="23"/>
    </row>
    <row r="41033">
      <c r="B41033" s="19"/>
      <c r="E41033" s="23"/>
      <c r="L41033" s="23"/>
    </row>
    <row r="41034">
      <c r="B41034" s="19"/>
      <c r="E41034" s="23"/>
      <c r="L41034" s="23"/>
    </row>
    <row r="41035">
      <c r="B41035" s="19"/>
      <c r="E41035" s="23"/>
      <c r="L41035" s="23"/>
    </row>
    <row r="41036">
      <c r="B41036" s="19"/>
      <c r="E41036" s="23"/>
      <c r="L41036" s="23"/>
    </row>
    <row r="41037">
      <c r="B41037" s="19"/>
      <c r="E41037" s="23"/>
      <c r="L41037" s="23"/>
    </row>
    <row r="41038">
      <c r="B41038" s="19"/>
      <c r="E41038" s="23"/>
      <c r="L41038" s="23"/>
    </row>
    <row r="41039">
      <c r="B41039" s="19"/>
      <c r="E41039" s="23"/>
      <c r="L41039" s="23"/>
    </row>
    <row r="41040">
      <c r="B41040" s="19"/>
      <c r="E41040" s="23"/>
      <c r="L41040" s="23"/>
    </row>
    <row r="41041">
      <c r="B41041" s="19"/>
      <c r="E41041" s="23"/>
      <c r="L41041" s="23"/>
    </row>
    <row r="41042">
      <c r="B41042" s="19"/>
      <c r="E41042" s="23"/>
      <c r="L41042" s="23"/>
    </row>
    <row r="41043">
      <c r="B41043" s="19"/>
      <c r="E41043" s="23"/>
      <c r="L41043" s="23"/>
    </row>
    <row r="41044">
      <c r="B41044" s="19"/>
      <c r="E41044" s="23"/>
      <c r="L41044" s="23"/>
    </row>
    <row r="41045">
      <c r="B41045" s="19"/>
      <c r="E41045" s="23"/>
      <c r="L41045" s="23"/>
    </row>
    <row r="41046">
      <c r="B41046" s="19"/>
      <c r="E41046" s="23"/>
      <c r="L41046" s="23"/>
    </row>
    <row r="41047">
      <c r="B41047" s="19"/>
      <c r="E41047" s="23"/>
      <c r="L41047" s="23"/>
    </row>
    <row r="41048">
      <c r="B41048" s="19"/>
      <c r="E41048" s="23"/>
      <c r="L41048" s="23"/>
    </row>
    <row r="41049">
      <c r="B41049" s="19"/>
      <c r="E41049" s="23"/>
      <c r="L41049" s="23"/>
    </row>
    <row r="41050">
      <c r="B41050" s="19"/>
      <c r="E41050" s="23"/>
      <c r="L41050" s="23"/>
    </row>
    <row r="41051">
      <c r="B41051" s="19"/>
      <c r="E41051" s="23"/>
      <c r="L41051" s="23"/>
    </row>
    <row r="41052">
      <c r="B41052" s="19"/>
      <c r="E41052" s="23"/>
      <c r="L41052" s="23"/>
    </row>
    <row r="41053">
      <c r="B41053" s="19"/>
      <c r="E41053" s="23"/>
      <c r="L41053" s="23"/>
    </row>
    <row r="41054">
      <c r="B41054" s="19"/>
      <c r="E41054" s="23"/>
      <c r="L41054" s="23"/>
    </row>
    <row r="41055">
      <c r="B41055" s="19"/>
      <c r="E41055" s="23"/>
      <c r="L41055" s="23"/>
    </row>
    <row r="41056">
      <c r="B41056" s="19"/>
      <c r="E41056" s="23"/>
      <c r="L41056" s="23"/>
    </row>
    <row r="41057">
      <c r="B41057" s="19"/>
      <c r="E41057" s="23"/>
      <c r="L41057" s="23"/>
    </row>
    <row r="41058">
      <c r="B41058" s="19"/>
      <c r="E41058" s="23"/>
      <c r="L41058" s="23"/>
    </row>
    <row r="41059">
      <c r="B41059" s="19"/>
      <c r="E41059" s="23"/>
      <c r="L41059" s="23"/>
    </row>
    <row r="41060">
      <c r="B41060" s="19"/>
      <c r="E41060" s="23"/>
      <c r="L41060" s="23"/>
    </row>
    <row r="41061">
      <c r="B41061" s="19"/>
      <c r="E41061" s="23"/>
      <c r="L41061" s="23"/>
    </row>
    <row r="41062">
      <c r="B41062" s="19"/>
      <c r="E41062" s="23"/>
      <c r="L41062" s="23"/>
    </row>
    <row r="41063">
      <c r="B41063" s="19"/>
      <c r="E41063" s="23"/>
      <c r="L41063" s="23"/>
    </row>
    <row r="41064">
      <c r="B41064" s="19"/>
      <c r="E41064" s="23"/>
      <c r="L41064" s="23"/>
    </row>
    <row r="41065">
      <c r="B41065" s="19"/>
      <c r="E41065" s="23"/>
      <c r="L41065" s="23"/>
    </row>
    <row r="41066">
      <c r="B41066" s="19"/>
      <c r="E41066" s="23"/>
      <c r="L41066" s="23"/>
    </row>
    <row r="41067">
      <c r="B41067" s="19"/>
      <c r="E41067" s="23"/>
      <c r="L41067" s="23"/>
    </row>
    <row r="41068">
      <c r="B41068" s="19"/>
      <c r="E41068" s="23"/>
      <c r="L41068" s="23"/>
    </row>
    <row r="41069">
      <c r="B41069" s="19"/>
      <c r="E41069" s="23"/>
      <c r="L41069" s="23"/>
    </row>
    <row r="41070">
      <c r="B41070" s="19"/>
      <c r="E41070" s="23"/>
      <c r="L41070" s="23"/>
    </row>
    <row r="41071">
      <c r="B41071" s="19"/>
      <c r="E41071" s="23"/>
      <c r="L41071" s="23"/>
    </row>
    <row r="41072">
      <c r="B41072" s="19"/>
      <c r="E41072" s="23"/>
      <c r="L41072" s="23"/>
    </row>
    <row r="41073">
      <c r="B41073" s="19"/>
      <c r="E41073" s="23"/>
      <c r="L41073" s="23"/>
    </row>
    <row r="41074">
      <c r="B41074" s="19"/>
      <c r="E41074" s="23"/>
      <c r="L41074" s="23"/>
    </row>
    <row r="41075">
      <c r="B41075" s="19"/>
      <c r="E41075" s="23"/>
      <c r="L41075" s="23"/>
    </row>
    <row r="41076">
      <c r="B41076" s="19"/>
      <c r="E41076" s="23"/>
      <c r="L41076" s="23"/>
    </row>
    <row r="41077">
      <c r="B41077" s="19"/>
      <c r="E41077" s="23"/>
      <c r="L41077" s="23"/>
    </row>
    <row r="41078">
      <c r="B41078" s="19"/>
      <c r="E41078" s="23"/>
      <c r="L41078" s="23"/>
    </row>
    <row r="41079">
      <c r="B41079" s="19"/>
      <c r="E41079" s="23"/>
      <c r="L41079" s="23"/>
    </row>
    <row r="41080">
      <c r="B41080" s="19"/>
      <c r="E41080" s="23"/>
      <c r="L41080" s="23"/>
    </row>
    <row r="41081">
      <c r="B41081" s="19"/>
      <c r="E41081" s="23"/>
      <c r="L41081" s="23"/>
    </row>
    <row r="41082">
      <c r="B41082" s="19"/>
      <c r="E41082" s="23"/>
      <c r="L41082" s="23"/>
    </row>
    <row r="41083">
      <c r="B41083" s="19"/>
      <c r="E41083" s="23"/>
      <c r="L41083" s="23"/>
    </row>
    <row r="41084">
      <c r="B41084" s="19"/>
      <c r="E41084" s="23"/>
      <c r="L41084" s="23"/>
    </row>
    <row r="41085">
      <c r="B41085" s="19"/>
      <c r="E41085" s="23"/>
      <c r="L41085" s="23"/>
    </row>
    <row r="41086">
      <c r="B41086" s="19"/>
      <c r="E41086" s="23"/>
      <c r="L41086" s="23"/>
    </row>
    <row r="41087">
      <c r="B41087" s="19"/>
      <c r="E41087" s="23"/>
      <c r="L41087" s="23"/>
    </row>
    <row r="41088">
      <c r="B41088" s="19"/>
      <c r="E41088" s="23"/>
      <c r="L41088" s="23"/>
    </row>
    <row r="41089">
      <c r="B41089" s="19"/>
      <c r="E41089" s="23"/>
      <c r="L41089" s="23"/>
    </row>
    <row r="41090">
      <c r="B41090" s="19"/>
      <c r="E41090" s="23"/>
      <c r="L41090" s="23"/>
    </row>
    <row r="41091">
      <c r="B41091" s="19"/>
      <c r="E41091" s="23"/>
      <c r="L41091" s="23"/>
    </row>
    <row r="41092">
      <c r="B41092" s="19"/>
      <c r="E41092" s="23"/>
      <c r="L41092" s="23"/>
    </row>
    <row r="41093">
      <c r="B41093" s="19"/>
      <c r="E41093" s="23"/>
      <c r="L41093" s="23"/>
    </row>
    <row r="41094">
      <c r="B41094" s="19"/>
      <c r="E41094" s="23"/>
      <c r="L41094" s="23"/>
    </row>
    <row r="41095">
      <c r="B41095" s="19"/>
      <c r="E41095" s="23"/>
      <c r="L41095" s="23"/>
    </row>
    <row r="41096">
      <c r="B41096" s="19"/>
      <c r="E41096" s="23"/>
      <c r="L41096" s="23"/>
    </row>
    <row r="41097">
      <c r="B41097" s="19"/>
      <c r="E41097" s="23"/>
      <c r="L41097" s="23"/>
    </row>
    <row r="41098">
      <c r="B41098" s="19"/>
      <c r="E41098" s="23"/>
      <c r="L41098" s="23"/>
    </row>
    <row r="41099">
      <c r="B41099" s="19"/>
      <c r="E41099" s="23"/>
      <c r="L41099" s="23"/>
    </row>
    <row r="41100">
      <c r="B41100" s="19"/>
      <c r="E41100" s="23"/>
      <c r="L41100" s="23"/>
    </row>
    <row r="41101">
      <c r="B41101" s="19"/>
      <c r="E41101" s="23"/>
      <c r="L41101" s="23"/>
    </row>
    <row r="41102">
      <c r="B41102" s="19"/>
      <c r="E41102" s="23"/>
      <c r="L41102" s="23"/>
    </row>
    <row r="41103">
      <c r="B41103" s="19"/>
      <c r="E41103" s="23"/>
      <c r="L41103" s="23"/>
    </row>
    <row r="41104">
      <c r="B41104" s="19"/>
      <c r="E41104" s="23"/>
      <c r="L41104" s="23"/>
    </row>
    <row r="41105">
      <c r="B41105" s="19"/>
      <c r="E41105" s="23"/>
      <c r="L41105" s="23"/>
    </row>
    <row r="41106">
      <c r="B41106" s="19"/>
      <c r="E41106" s="23"/>
      <c r="L41106" s="23"/>
    </row>
    <row r="41107">
      <c r="B41107" s="19"/>
      <c r="E41107" s="23"/>
      <c r="L41107" s="23"/>
    </row>
    <row r="41108">
      <c r="B41108" s="19"/>
      <c r="E41108" s="23"/>
      <c r="L41108" s="23"/>
    </row>
    <row r="41109">
      <c r="B41109" s="19"/>
      <c r="E41109" s="23"/>
      <c r="L41109" s="23"/>
    </row>
    <row r="41110">
      <c r="B41110" s="19"/>
      <c r="E41110" s="23"/>
      <c r="L41110" s="23"/>
    </row>
    <row r="41111">
      <c r="B41111" s="19"/>
      <c r="E41111" s="23"/>
      <c r="L41111" s="23"/>
    </row>
    <row r="41112">
      <c r="B41112" s="19"/>
      <c r="E41112" s="23"/>
      <c r="L41112" s="23"/>
    </row>
    <row r="41113">
      <c r="B41113" s="19"/>
      <c r="E41113" s="23"/>
      <c r="L41113" s="23"/>
    </row>
    <row r="41114">
      <c r="B41114" s="19"/>
      <c r="E41114" s="23"/>
      <c r="L41114" s="23"/>
    </row>
    <row r="41115">
      <c r="B41115" s="19"/>
      <c r="E41115" s="23"/>
      <c r="L41115" s="23"/>
    </row>
    <row r="41116">
      <c r="B41116" s="19"/>
      <c r="E41116" s="23"/>
      <c r="L41116" s="23"/>
    </row>
    <row r="41117">
      <c r="B41117" s="19"/>
      <c r="E41117" s="23"/>
      <c r="L41117" s="23"/>
    </row>
    <row r="41118">
      <c r="B41118" s="19"/>
      <c r="E41118" s="23"/>
      <c r="L41118" s="23"/>
    </row>
    <row r="41119">
      <c r="B41119" s="19"/>
      <c r="E41119" s="23"/>
      <c r="L41119" s="23"/>
    </row>
    <row r="41120">
      <c r="B41120" s="19"/>
      <c r="E41120" s="23"/>
      <c r="L41120" s="23"/>
    </row>
    <row r="41121">
      <c r="B41121" s="19"/>
      <c r="E41121" s="23"/>
      <c r="L41121" s="23"/>
    </row>
    <row r="41122">
      <c r="B41122" s="19"/>
      <c r="E41122" s="23"/>
      <c r="L41122" s="23"/>
    </row>
    <row r="41123">
      <c r="B41123" s="19"/>
      <c r="E41123" s="23"/>
      <c r="L41123" s="23"/>
    </row>
    <row r="41124">
      <c r="B41124" s="19"/>
      <c r="E41124" s="23"/>
      <c r="L41124" s="23"/>
    </row>
    <row r="41125">
      <c r="B41125" s="19"/>
      <c r="E41125" s="23"/>
      <c r="L41125" s="23"/>
    </row>
    <row r="41126">
      <c r="B41126" s="19"/>
      <c r="E41126" s="23"/>
      <c r="L41126" s="23"/>
    </row>
    <row r="41127">
      <c r="B41127" s="19"/>
      <c r="E41127" s="23"/>
      <c r="L41127" s="23"/>
    </row>
    <row r="41128">
      <c r="B41128" s="19"/>
      <c r="E41128" s="23"/>
      <c r="L41128" s="23"/>
    </row>
    <row r="41129">
      <c r="B41129" s="19"/>
      <c r="E41129" s="23"/>
      <c r="L41129" s="23"/>
    </row>
    <row r="41130">
      <c r="B41130" s="19"/>
      <c r="E41130" s="23"/>
      <c r="L41130" s="23"/>
    </row>
    <row r="41131">
      <c r="B41131" s="19"/>
      <c r="E41131" s="23"/>
      <c r="L41131" s="23"/>
    </row>
    <row r="41132">
      <c r="B41132" s="19"/>
      <c r="E41132" s="23"/>
      <c r="L41132" s="23"/>
    </row>
    <row r="41133">
      <c r="B41133" s="19"/>
      <c r="E41133" s="23"/>
      <c r="L41133" s="23"/>
    </row>
    <row r="41134">
      <c r="B41134" s="19"/>
      <c r="E41134" s="23"/>
      <c r="L41134" s="23"/>
    </row>
    <row r="41135">
      <c r="B41135" s="19"/>
      <c r="E41135" s="23"/>
      <c r="L41135" s="23"/>
    </row>
    <row r="41136">
      <c r="B41136" s="19"/>
      <c r="E41136" s="23"/>
      <c r="L41136" s="23"/>
    </row>
    <row r="41137">
      <c r="B41137" s="19"/>
      <c r="E41137" s="23"/>
      <c r="L41137" s="23"/>
    </row>
    <row r="41138">
      <c r="B41138" s="19"/>
      <c r="E41138" s="23"/>
      <c r="L41138" s="23"/>
    </row>
    <row r="41139">
      <c r="B41139" s="19"/>
      <c r="E41139" s="23"/>
      <c r="L41139" s="23"/>
    </row>
    <row r="41140">
      <c r="B41140" s="19"/>
      <c r="E41140" s="23"/>
      <c r="L41140" s="23"/>
    </row>
    <row r="41141">
      <c r="B41141" s="19"/>
      <c r="E41141" s="23"/>
      <c r="L41141" s="23"/>
    </row>
    <row r="41142">
      <c r="B41142" s="19"/>
      <c r="E41142" s="23"/>
      <c r="L41142" s="23"/>
    </row>
    <row r="41143">
      <c r="B41143" s="19"/>
      <c r="E41143" s="23"/>
      <c r="L41143" s="23"/>
    </row>
    <row r="41144">
      <c r="B41144" s="19"/>
      <c r="E41144" s="23"/>
      <c r="L41144" s="23"/>
    </row>
    <row r="41145">
      <c r="B41145" s="19"/>
      <c r="E41145" s="23"/>
      <c r="L41145" s="23"/>
    </row>
    <row r="41146">
      <c r="B41146" s="19"/>
      <c r="E41146" s="23"/>
      <c r="L41146" s="23"/>
    </row>
    <row r="41147">
      <c r="B41147" s="19"/>
      <c r="E41147" s="23"/>
      <c r="L41147" s="23"/>
    </row>
    <row r="41148">
      <c r="B41148" s="19"/>
      <c r="E41148" s="23"/>
      <c r="L41148" s="23"/>
    </row>
    <row r="41149">
      <c r="B41149" s="19"/>
      <c r="E41149" s="23"/>
      <c r="L41149" s="23"/>
    </row>
    <row r="41150">
      <c r="B41150" s="19"/>
      <c r="E41150" s="23"/>
      <c r="L41150" s="23"/>
    </row>
    <row r="41151">
      <c r="B41151" s="19"/>
      <c r="E41151" s="23"/>
      <c r="L41151" s="23"/>
    </row>
    <row r="41152">
      <c r="B41152" s="19"/>
      <c r="E41152" s="23"/>
      <c r="L41152" s="23"/>
    </row>
    <row r="41153">
      <c r="B41153" s="19"/>
      <c r="E41153" s="23"/>
      <c r="L41153" s="23"/>
    </row>
    <row r="41154">
      <c r="B41154" s="19"/>
      <c r="E41154" s="23"/>
      <c r="L41154" s="23"/>
    </row>
    <row r="41155">
      <c r="B41155" s="19"/>
      <c r="E41155" s="23"/>
      <c r="L41155" s="23"/>
    </row>
    <row r="41156">
      <c r="B41156" s="19"/>
      <c r="E41156" s="23"/>
      <c r="L41156" s="23"/>
    </row>
    <row r="41157">
      <c r="B41157" s="19"/>
      <c r="E41157" s="23"/>
      <c r="L41157" s="23"/>
    </row>
    <row r="41158">
      <c r="B41158" s="19"/>
      <c r="E41158" s="23"/>
      <c r="L41158" s="23"/>
    </row>
    <row r="41159">
      <c r="B41159" s="19"/>
      <c r="E41159" s="23"/>
      <c r="L41159" s="23"/>
    </row>
    <row r="41160">
      <c r="B41160" s="19"/>
      <c r="E41160" s="23"/>
      <c r="L41160" s="23"/>
    </row>
    <row r="41161">
      <c r="B41161" s="19"/>
      <c r="E41161" s="23"/>
      <c r="L41161" s="23"/>
    </row>
    <row r="41162">
      <c r="B41162" s="19"/>
      <c r="E41162" s="23"/>
      <c r="L41162" s="23"/>
    </row>
    <row r="41163">
      <c r="B41163" s="19"/>
      <c r="E41163" s="23"/>
      <c r="L41163" s="23"/>
    </row>
    <row r="41164">
      <c r="B41164" s="19"/>
      <c r="E41164" s="23"/>
      <c r="L41164" s="23"/>
    </row>
    <row r="41165">
      <c r="B41165" s="19"/>
      <c r="E41165" s="23"/>
      <c r="L41165" s="23"/>
    </row>
    <row r="41166">
      <c r="B41166" s="19"/>
      <c r="E41166" s="23"/>
      <c r="L41166" s="23"/>
    </row>
    <row r="41167">
      <c r="B41167" s="19"/>
      <c r="E41167" s="23"/>
      <c r="L41167" s="23"/>
    </row>
    <row r="41168">
      <c r="B41168" s="19"/>
      <c r="E41168" s="23"/>
      <c r="L41168" s="23"/>
    </row>
    <row r="41169">
      <c r="B41169" s="19"/>
      <c r="E41169" s="23"/>
      <c r="L41169" s="23"/>
    </row>
    <row r="41170">
      <c r="B41170" s="19"/>
      <c r="E41170" s="23"/>
      <c r="L41170" s="23"/>
    </row>
    <row r="41171">
      <c r="B41171" s="19"/>
      <c r="E41171" s="23"/>
      <c r="L41171" s="23"/>
    </row>
    <row r="41172">
      <c r="B41172" s="19"/>
      <c r="E41172" s="23"/>
      <c r="L41172" s="23"/>
    </row>
    <row r="41173">
      <c r="B41173" s="19"/>
      <c r="E41173" s="23"/>
      <c r="L41173" s="23"/>
    </row>
    <row r="41174">
      <c r="B41174" s="19"/>
      <c r="E41174" s="23"/>
      <c r="L41174" s="23"/>
    </row>
    <row r="41175">
      <c r="B41175" s="19"/>
      <c r="E41175" s="23"/>
      <c r="L41175" s="23"/>
    </row>
    <row r="41176">
      <c r="B41176" s="19"/>
      <c r="E41176" s="23"/>
      <c r="L41176" s="23"/>
    </row>
    <row r="41177">
      <c r="B41177" s="19"/>
      <c r="E41177" s="23"/>
      <c r="L41177" s="23"/>
    </row>
    <row r="41178">
      <c r="B41178" s="19"/>
      <c r="E41178" s="23"/>
      <c r="L41178" s="23"/>
    </row>
    <row r="41179">
      <c r="B41179" s="19"/>
      <c r="E41179" s="23"/>
      <c r="L41179" s="23"/>
    </row>
    <row r="41180">
      <c r="B41180" s="19"/>
      <c r="E41180" s="23"/>
      <c r="L41180" s="23"/>
    </row>
    <row r="41181">
      <c r="B41181" s="19"/>
      <c r="E41181" s="23"/>
      <c r="L41181" s="23"/>
    </row>
    <row r="41182">
      <c r="B41182" s="19"/>
      <c r="E41182" s="23"/>
      <c r="L41182" s="23"/>
    </row>
    <row r="41183">
      <c r="B41183" s="19"/>
      <c r="E41183" s="23"/>
      <c r="L41183" s="23"/>
    </row>
    <row r="41184">
      <c r="B41184" s="19"/>
      <c r="E41184" s="23"/>
      <c r="L41184" s="23"/>
    </row>
    <row r="41185">
      <c r="B41185" s="19"/>
      <c r="E41185" s="23"/>
      <c r="L41185" s="23"/>
    </row>
    <row r="41186">
      <c r="B41186" s="19"/>
      <c r="E41186" s="23"/>
      <c r="L41186" s="23"/>
    </row>
    <row r="41187">
      <c r="B41187" s="19"/>
      <c r="E41187" s="23"/>
      <c r="L41187" s="23"/>
    </row>
    <row r="41188">
      <c r="B41188" s="19"/>
      <c r="E41188" s="23"/>
      <c r="L41188" s="23"/>
    </row>
    <row r="41189">
      <c r="B41189" s="19"/>
      <c r="E41189" s="23"/>
      <c r="L41189" s="23"/>
    </row>
    <row r="41190">
      <c r="B41190" s="19"/>
      <c r="E41190" s="23"/>
      <c r="L41190" s="23"/>
    </row>
    <row r="41191">
      <c r="B41191" s="19"/>
      <c r="E41191" s="23"/>
      <c r="L41191" s="23"/>
    </row>
    <row r="41192">
      <c r="B41192" s="19"/>
      <c r="E41192" s="23"/>
      <c r="L41192" s="23"/>
    </row>
    <row r="41193">
      <c r="B41193" s="19"/>
      <c r="E41193" s="23"/>
      <c r="L41193" s="23"/>
    </row>
    <row r="41194">
      <c r="B41194" s="19"/>
      <c r="E41194" s="23"/>
      <c r="L41194" s="23"/>
    </row>
    <row r="41195">
      <c r="B41195" s="19"/>
      <c r="E41195" s="23"/>
      <c r="L41195" s="23"/>
    </row>
    <row r="41196">
      <c r="B41196" s="19"/>
      <c r="E41196" s="23"/>
      <c r="L41196" s="23"/>
    </row>
    <row r="41197">
      <c r="B41197" s="19"/>
      <c r="E41197" s="23"/>
      <c r="L41197" s="23"/>
    </row>
    <row r="41198">
      <c r="B41198" s="19"/>
      <c r="E41198" s="23"/>
      <c r="L41198" s="23"/>
    </row>
    <row r="41199">
      <c r="B41199" s="19"/>
      <c r="E41199" s="23"/>
      <c r="L41199" s="23"/>
    </row>
    <row r="41200">
      <c r="B41200" s="19"/>
      <c r="E41200" s="23"/>
      <c r="L41200" s="23"/>
    </row>
    <row r="41201">
      <c r="B41201" s="19"/>
      <c r="E41201" s="23"/>
      <c r="L41201" s="23"/>
    </row>
    <row r="41202">
      <c r="B41202" s="19"/>
      <c r="E41202" s="23"/>
      <c r="L41202" s="23"/>
    </row>
    <row r="41203">
      <c r="B41203" s="19"/>
      <c r="E41203" s="23"/>
      <c r="L41203" s="23"/>
    </row>
    <row r="41204">
      <c r="B41204" s="19"/>
      <c r="E41204" s="23"/>
      <c r="L41204" s="23"/>
    </row>
    <row r="41205">
      <c r="B41205" s="19"/>
      <c r="E41205" s="23"/>
      <c r="L41205" s="23"/>
    </row>
    <row r="41206">
      <c r="B41206" s="19"/>
      <c r="E41206" s="23"/>
      <c r="L41206" s="23"/>
    </row>
    <row r="41207">
      <c r="B41207" s="19"/>
      <c r="E41207" s="23"/>
      <c r="L41207" s="23"/>
    </row>
    <row r="41208">
      <c r="B41208" s="19"/>
      <c r="E41208" s="23"/>
      <c r="L41208" s="23"/>
    </row>
    <row r="41209">
      <c r="B41209" s="19"/>
      <c r="E41209" s="23"/>
      <c r="L41209" s="23"/>
    </row>
    <row r="41210">
      <c r="B41210" s="19"/>
      <c r="E41210" s="23"/>
      <c r="L41210" s="23"/>
    </row>
    <row r="41211">
      <c r="B41211" s="19"/>
      <c r="E41211" s="23"/>
      <c r="L41211" s="23"/>
    </row>
    <row r="41212">
      <c r="B41212" s="19"/>
      <c r="E41212" s="23"/>
      <c r="L41212" s="23"/>
    </row>
    <row r="41213">
      <c r="B41213" s="19"/>
      <c r="E41213" s="23"/>
      <c r="L41213" s="23"/>
    </row>
    <row r="41214">
      <c r="B41214" s="19"/>
      <c r="E41214" s="23"/>
      <c r="L41214" s="23"/>
    </row>
    <row r="41215">
      <c r="B41215" s="19"/>
      <c r="E41215" s="23"/>
      <c r="L41215" s="23"/>
    </row>
    <row r="41216">
      <c r="B41216" s="19"/>
      <c r="E41216" s="23"/>
      <c r="L41216" s="23"/>
    </row>
    <row r="41217">
      <c r="B41217" s="19"/>
      <c r="E41217" s="23"/>
      <c r="L41217" s="23"/>
    </row>
    <row r="41218">
      <c r="B41218" s="19"/>
      <c r="E41218" s="23"/>
      <c r="L41218" s="23"/>
    </row>
    <row r="41219">
      <c r="B41219" s="19"/>
      <c r="E41219" s="23"/>
      <c r="L41219" s="23"/>
    </row>
    <row r="41220">
      <c r="B41220" s="19"/>
      <c r="E41220" s="23"/>
      <c r="L41220" s="23"/>
    </row>
    <row r="41221">
      <c r="B41221" s="19"/>
      <c r="E41221" s="23"/>
      <c r="L41221" s="23"/>
    </row>
    <row r="41222">
      <c r="B41222" s="19"/>
      <c r="E41222" s="23"/>
      <c r="L41222" s="23"/>
    </row>
    <row r="41223">
      <c r="B41223" s="19"/>
      <c r="E41223" s="23"/>
      <c r="L41223" s="23"/>
    </row>
    <row r="41224">
      <c r="B41224" s="19"/>
      <c r="E41224" s="23"/>
      <c r="L41224" s="23"/>
    </row>
    <row r="41225">
      <c r="B41225" s="19"/>
      <c r="E41225" s="23"/>
      <c r="L41225" s="23"/>
    </row>
    <row r="41226">
      <c r="B41226" s="19"/>
      <c r="E41226" s="23"/>
      <c r="L41226" s="23"/>
    </row>
    <row r="41227">
      <c r="B41227" s="19"/>
      <c r="E41227" s="23"/>
      <c r="L41227" s="23"/>
    </row>
    <row r="41228">
      <c r="B41228" s="19"/>
      <c r="E41228" s="23"/>
      <c r="L41228" s="23"/>
    </row>
    <row r="41229">
      <c r="B41229" s="19"/>
      <c r="E41229" s="23"/>
      <c r="L41229" s="23"/>
    </row>
    <row r="41230">
      <c r="B41230" s="19"/>
      <c r="E41230" s="23"/>
      <c r="L41230" s="23"/>
    </row>
    <row r="41231">
      <c r="B41231" s="19"/>
      <c r="E41231" s="23"/>
      <c r="L41231" s="23"/>
    </row>
    <row r="41232">
      <c r="B41232" s="19"/>
      <c r="E41232" s="23"/>
      <c r="L41232" s="23"/>
    </row>
    <row r="41233">
      <c r="B41233" s="19"/>
      <c r="E41233" s="23"/>
      <c r="L41233" s="23"/>
    </row>
    <row r="41234">
      <c r="B41234" s="19"/>
      <c r="E41234" s="23"/>
      <c r="L41234" s="23"/>
    </row>
    <row r="41235">
      <c r="B41235" s="19"/>
      <c r="E41235" s="23"/>
      <c r="L41235" s="23"/>
    </row>
    <row r="41236">
      <c r="B41236" s="19"/>
      <c r="E41236" s="23"/>
      <c r="L41236" s="23"/>
    </row>
    <row r="41237">
      <c r="B41237" s="19"/>
      <c r="E41237" s="23"/>
      <c r="L41237" s="23"/>
    </row>
    <row r="41238">
      <c r="B41238" s="19"/>
      <c r="E41238" s="23"/>
      <c r="L41238" s="23"/>
    </row>
    <row r="41239">
      <c r="B41239" s="19"/>
      <c r="E41239" s="23"/>
      <c r="L41239" s="23"/>
    </row>
    <row r="41240">
      <c r="B41240" s="19"/>
      <c r="E41240" s="23"/>
      <c r="L41240" s="23"/>
    </row>
    <row r="41241">
      <c r="B41241" s="19"/>
      <c r="E41241" s="23"/>
      <c r="L41241" s="23"/>
    </row>
    <row r="41242">
      <c r="B41242" s="19"/>
      <c r="E41242" s="23"/>
      <c r="L41242" s="23"/>
    </row>
    <row r="41243">
      <c r="B41243" s="19"/>
      <c r="E41243" s="23"/>
      <c r="L41243" s="23"/>
    </row>
    <row r="41244">
      <c r="B41244" s="19"/>
      <c r="E41244" s="23"/>
      <c r="L41244" s="23"/>
    </row>
    <row r="41245">
      <c r="B41245" s="19"/>
      <c r="E41245" s="23"/>
      <c r="L41245" s="23"/>
    </row>
    <row r="41246">
      <c r="B41246" s="19"/>
      <c r="E41246" s="23"/>
      <c r="L41246" s="23"/>
    </row>
    <row r="41247">
      <c r="B41247" s="19"/>
      <c r="E41247" s="23"/>
      <c r="L41247" s="23"/>
    </row>
    <row r="41248">
      <c r="B41248" s="19"/>
      <c r="E41248" s="23"/>
      <c r="L41248" s="23"/>
    </row>
    <row r="41249">
      <c r="B41249" s="19"/>
      <c r="E41249" s="23"/>
      <c r="L41249" s="23"/>
    </row>
    <row r="41250">
      <c r="B41250" s="19"/>
      <c r="E41250" s="23"/>
      <c r="L41250" s="23"/>
    </row>
    <row r="41251">
      <c r="B41251" s="19"/>
      <c r="E41251" s="23"/>
      <c r="L41251" s="23"/>
    </row>
    <row r="41252">
      <c r="B41252" s="19"/>
      <c r="E41252" s="23"/>
      <c r="L41252" s="23"/>
    </row>
    <row r="41253">
      <c r="B41253" s="19"/>
      <c r="E41253" s="23"/>
      <c r="L41253" s="23"/>
    </row>
    <row r="41254">
      <c r="B41254" s="19"/>
      <c r="E41254" s="23"/>
      <c r="L41254" s="23"/>
    </row>
    <row r="41255">
      <c r="B41255" s="19"/>
      <c r="E41255" s="23"/>
      <c r="L41255" s="23"/>
    </row>
    <row r="41256">
      <c r="B41256" s="19"/>
      <c r="E41256" s="23"/>
      <c r="L41256" s="23"/>
    </row>
    <row r="41257">
      <c r="B41257" s="19"/>
      <c r="E41257" s="23"/>
      <c r="L41257" s="23"/>
    </row>
    <row r="41258">
      <c r="B41258" s="19"/>
      <c r="E41258" s="23"/>
      <c r="L41258" s="23"/>
    </row>
    <row r="41259">
      <c r="B41259" s="19"/>
      <c r="E41259" s="23"/>
      <c r="L41259" s="23"/>
    </row>
    <row r="41260">
      <c r="B41260" s="19"/>
      <c r="E41260" s="23"/>
      <c r="L41260" s="23"/>
    </row>
    <row r="41261">
      <c r="B41261" s="19"/>
      <c r="E41261" s="23"/>
      <c r="L41261" s="23"/>
    </row>
    <row r="41262">
      <c r="B41262" s="19"/>
      <c r="E41262" s="23"/>
      <c r="L41262" s="23"/>
    </row>
    <row r="41263">
      <c r="B41263" s="19"/>
      <c r="E41263" s="23"/>
      <c r="L41263" s="23"/>
    </row>
    <row r="41264">
      <c r="B41264" s="19"/>
      <c r="E41264" s="23"/>
      <c r="L41264" s="23"/>
    </row>
    <row r="41265">
      <c r="B41265" s="19"/>
      <c r="E41265" s="23"/>
      <c r="L41265" s="23"/>
    </row>
    <row r="41266">
      <c r="B41266" s="19"/>
      <c r="E41266" s="23"/>
      <c r="L41266" s="23"/>
    </row>
    <row r="41267">
      <c r="B41267" s="19"/>
      <c r="E41267" s="23"/>
      <c r="L41267" s="23"/>
    </row>
    <row r="41268">
      <c r="B41268" s="19"/>
      <c r="E41268" s="23"/>
      <c r="L41268" s="23"/>
    </row>
    <row r="41269">
      <c r="B41269" s="19"/>
      <c r="E41269" s="23"/>
      <c r="L41269" s="23"/>
    </row>
    <row r="41270">
      <c r="B41270" s="19"/>
      <c r="E41270" s="23"/>
      <c r="L41270" s="23"/>
    </row>
    <row r="41271">
      <c r="B41271" s="19"/>
      <c r="E41271" s="23"/>
      <c r="L41271" s="23"/>
    </row>
    <row r="41272">
      <c r="B41272" s="19"/>
      <c r="E41272" s="23"/>
      <c r="L41272" s="23"/>
    </row>
    <row r="41273">
      <c r="B41273" s="19"/>
      <c r="E41273" s="23"/>
      <c r="L41273" s="23"/>
    </row>
    <row r="41274">
      <c r="B41274" s="19"/>
      <c r="E41274" s="23"/>
      <c r="L41274" s="23"/>
    </row>
    <row r="41275">
      <c r="B41275" s="19"/>
      <c r="E41275" s="23"/>
      <c r="L41275" s="23"/>
    </row>
    <row r="41276">
      <c r="B41276" s="19"/>
      <c r="E41276" s="23"/>
      <c r="L41276" s="23"/>
    </row>
    <row r="41277">
      <c r="B41277" s="19"/>
      <c r="E41277" s="23"/>
      <c r="L41277" s="23"/>
    </row>
    <row r="41278">
      <c r="B41278" s="19"/>
      <c r="E41278" s="23"/>
      <c r="L41278" s="23"/>
    </row>
    <row r="41279">
      <c r="B41279" s="19"/>
      <c r="E41279" s="23"/>
      <c r="L41279" s="23"/>
    </row>
    <row r="41280">
      <c r="B41280" s="19"/>
      <c r="E41280" s="23"/>
      <c r="L41280" s="23"/>
    </row>
    <row r="41281">
      <c r="B41281" s="19"/>
      <c r="E41281" s="23"/>
      <c r="L41281" s="23"/>
    </row>
    <row r="41282">
      <c r="B41282" s="19"/>
      <c r="E41282" s="23"/>
      <c r="L41282" s="23"/>
    </row>
    <row r="41283">
      <c r="B41283" s="19"/>
      <c r="E41283" s="23"/>
      <c r="L41283" s="23"/>
    </row>
    <row r="41284">
      <c r="B41284" s="19"/>
      <c r="E41284" s="23"/>
      <c r="L41284" s="23"/>
    </row>
    <row r="41285">
      <c r="B41285" s="19"/>
      <c r="E41285" s="23"/>
      <c r="L41285" s="23"/>
    </row>
    <row r="41286">
      <c r="B41286" s="19"/>
      <c r="E41286" s="23"/>
      <c r="L41286" s="23"/>
    </row>
    <row r="41287">
      <c r="B41287" s="19"/>
      <c r="E41287" s="23"/>
      <c r="L41287" s="23"/>
    </row>
    <row r="41288">
      <c r="B41288" s="19"/>
      <c r="E41288" s="23"/>
      <c r="L41288" s="23"/>
    </row>
    <row r="41289">
      <c r="B41289" s="19"/>
      <c r="E41289" s="23"/>
      <c r="L41289" s="23"/>
    </row>
    <row r="41290">
      <c r="B41290" s="19"/>
      <c r="E41290" s="23"/>
      <c r="L41290" s="23"/>
    </row>
    <row r="41291">
      <c r="B41291" s="19"/>
      <c r="E41291" s="23"/>
      <c r="L41291" s="23"/>
    </row>
    <row r="41292">
      <c r="B41292" s="19"/>
      <c r="E41292" s="23"/>
      <c r="L41292" s="23"/>
    </row>
    <row r="41293">
      <c r="B41293" s="19"/>
      <c r="E41293" s="23"/>
      <c r="L41293" s="23"/>
    </row>
    <row r="41294">
      <c r="B41294" s="19"/>
      <c r="E41294" s="23"/>
      <c r="L41294" s="23"/>
    </row>
    <row r="41295">
      <c r="B41295" s="19"/>
      <c r="E41295" s="23"/>
      <c r="L41295" s="23"/>
    </row>
    <row r="41296">
      <c r="B41296" s="19"/>
      <c r="E41296" s="23"/>
      <c r="L41296" s="23"/>
    </row>
    <row r="41297">
      <c r="B41297" s="19"/>
      <c r="E41297" s="23"/>
      <c r="L41297" s="23"/>
    </row>
    <row r="41298">
      <c r="B41298" s="19"/>
      <c r="E41298" s="23"/>
      <c r="L41298" s="23"/>
    </row>
    <row r="41299">
      <c r="B41299" s="19"/>
      <c r="E41299" s="23"/>
      <c r="L41299" s="23"/>
    </row>
    <row r="41300">
      <c r="B41300" s="19"/>
      <c r="E41300" s="23"/>
      <c r="L41300" s="23"/>
    </row>
    <row r="41301">
      <c r="B41301" s="19"/>
      <c r="E41301" s="23"/>
      <c r="L41301" s="23"/>
    </row>
    <row r="41302">
      <c r="B41302" s="19"/>
      <c r="E41302" s="23"/>
      <c r="L41302" s="23"/>
    </row>
    <row r="41303">
      <c r="B41303" s="19"/>
      <c r="E41303" s="23"/>
      <c r="L41303" s="23"/>
    </row>
    <row r="41304">
      <c r="B41304" s="19"/>
      <c r="E41304" s="23"/>
      <c r="L41304" s="23"/>
    </row>
    <row r="41305">
      <c r="B41305" s="19"/>
      <c r="E41305" s="23"/>
      <c r="L41305" s="23"/>
    </row>
    <row r="41306">
      <c r="B41306" s="19"/>
      <c r="E41306" s="23"/>
      <c r="L41306" s="23"/>
    </row>
    <row r="41307">
      <c r="B41307" s="19"/>
      <c r="E41307" s="23"/>
      <c r="L41307" s="23"/>
    </row>
    <row r="41308">
      <c r="B41308" s="19"/>
      <c r="E41308" s="23"/>
      <c r="L41308" s="23"/>
    </row>
    <row r="41309">
      <c r="B41309" s="19"/>
      <c r="E41309" s="23"/>
      <c r="L41309" s="23"/>
    </row>
    <row r="41310">
      <c r="B41310" s="19"/>
      <c r="E41310" s="23"/>
      <c r="L41310" s="23"/>
    </row>
    <row r="41311">
      <c r="B41311" s="19"/>
      <c r="E41311" s="23"/>
      <c r="L41311" s="23"/>
    </row>
    <row r="41312">
      <c r="B41312" s="19"/>
      <c r="E41312" s="23"/>
      <c r="L41312" s="23"/>
    </row>
    <row r="41313">
      <c r="B41313" s="19"/>
      <c r="E41313" s="23"/>
      <c r="L41313" s="23"/>
    </row>
    <row r="41314">
      <c r="B41314" s="19"/>
      <c r="E41314" s="23"/>
      <c r="L41314" s="23"/>
    </row>
    <row r="41315">
      <c r="B41315" s="19"/>
      <c r="E41315" s="23"/>
      <c r="L41315" s="23"/>
    </row>
    <row r="41316">
      <c r="B41316" s="19"/>
      <c r="E41316" s="23"/>
      <c r="L41316" s="23"/>
    </row>
    <row r="41317">
      <c r="B41317" s="19"/>
      <c r="E41317" s="23"/>
      <c r="L41317" s="23"/>
    </row>
    <row r="41318">
      <c r="B41318" s="19"/>
      <c r="E41318" s="23"/>
      <c r="L41318" s="23"/>
    </row>
    <row r="41319">
      <c r="B41319" s="19"/>
      <c r="E41319" s="23"/>
      <c r="L41319" s="23"/>
    </row>
    <row r="41320">
      <c r="B41320" s="19"/>
      <c r="E41320" s="23"/>
      <c r="L41320" s="23"/>
    </row>
    <row r="41321">
      <c r="B41321" s="19"/>
      <c r="E41321" s="23"/>
      <c r="L41321" s="23"/>
    </row>
    <row r="41322">
      <c r="B41322" s="19"/>
      <c r="E41322" s="23"/>
      <c r="L41322" s="23"/>
    </row>
    <row r="41323">
      <c r="B41323" s="19"/>
      <c r="E41323" s="23"/>
      <c r="L41323" s="23"/>
    </row>
    <row r="41324">
      <c r="B41324" s="19"/>
      <c r="E41324" s="23"/>
      <c r="L41324" s="23"/>
    </row>
    <row r="41325">
      <c r="B41325" s="19"/>
      <c r="E41325" s="23"/>
      <c r="L41325" s="23"/>
    </row>
    <row r="41326">
      <c r="B41326" s="19"/>
      <c r="E41326" s="23"/>
      <c r="L41326" s="23"/>
    </row>
    <row r="41327">
      <c r="B41327" s="19"/>
      <c r="E41327" s="23"/>
      <c r="L41327" s="23"/>
    </row>
    <row r="41328">
      <c r="B41328" s="19"/>
      <c r="E41328" s="23"/>
      <c r="L41328" s="23"/>
    </row>
    <row r="41329">
      <c r="B41329" s="19"/>
      <c r="E41329" s="23"/>
      <c r="L41329" s="23"/>
    </row>
    <row r="41330">
      <c r="B41330" s="19"/>
      <c r="E41330" s="23"/>
      <c r="L41330" s="23"/>
    </row>
    <row r="41331">
      <c r="B41331" s="19"/>
      <c r="E41331" s="23"/>
      <c r="L41331" s="23"/>
    </row>
    <row r="41332">
      <c r="B41332" s="19"/>
      <c r="E41332" s="23"/>
      <c r="L41332" s="23"/>
    </row>
    <row r="41333">
      <c r="B41333" s="19"/>
      <c r="E41333" s="23"/>
      <c r="L41333" s="23"/>
    </row>
    <row r="41334">
      <c r="B41334" s="19"/>
      <c r="E41334" s="23"/>
      <c r="L41334" s="23"/>
    </row>
    <row r="41335">
      <c r="B41335" s="19"/>
      <c r="E41335" s="23"/>
      <c r="L41335" s="23"/>
    </row>
    <row r="41336">
      <c r="B41336" s="19"/>
      <c r="E41336" s="23"/>
      <c r="L41336" s="23"/>
    </row>
    <row r="41337">
      <c r="B41337" s="19"/>
      <c r="E41337" s="23"/>
      <c r="L41337" s="23"/>
    </row>
    <row r="41338">
      <c r="B41338" s="19"/>
      <c r="E41338" s="23"/>
      <c r="L41338" s="23"/>
    </row>
    <row r="41339">
      <c r="B41339" s="19"/>
      <c r="E41339" s="23"/>
      <c r="L41339" s="23"/>
    </row>
    <row r="41340">
      <c r="B41340" s="19"/>
      <c r="E41340" s="23"/>
      <c r="L41340" s="23"/>
    </row>
    <row r="41341">
      <c r="B41341" s="19"/>
      <c r="E41341" s="23"/>
      <c r="L41341" s="23"/>
    </row>
    <row r="41342">
      <c r="B41342" s="19"/>
      <c r="E41342" s="23"/>
      <c r="L41342" s="23"/>
    </row>
    <row r="41343">
      <c r="B41343" s="19"/>
      <c r="E41343" s="23"/>
      <c r="L41343" s="23"/>
    </row>
    <row r="41344">
      <c r="B41344" s="19"/>
      <c r="E41344" s="23"/>
      <c r="L41344" s="23"/>
    </row>
    <row r="41345">
      <c r="B41345" s="19"/>
      <c r="E41345" s="23"/>
      <c r="L41345" s="23"/>
    </row>
    <row r="41346">
      <c r="B41346" s="19"/>
      <c r="E41346" s="23"/>
      <c r="L41346" s="23"/>
    </row>
    <row r="41347">
      <c r="B41347" s="19"/>
      <c r="E41347" s="23"/>
      <c r="L41347" s="23"/>
    </row>
    <row r="41348">
      <c r="B41348" s="19"/>
      <c r="E41348" s="23"/>
      <c r="L41348" s="23"/>
    </row>
    <row r="41349">
      <c r="B41349" s="19"/>
      <c r="E41349" s="23"/>
      <c r="L41349" s="23"/>
    </row>
    <row r="41350">
      <c r="B41350" s="19"/>
      <c r="E41350" s="23"/>
      <c r="L41350" s="23"/>
    </row>
    <row r="41351">
      <c r="B41351" s="19"/>
      <c r="E41351" s="23"/>
      <c r="L41351" s="23"/>
    </row>
    <row r="41352">
      <c r="B41352" s="19"/>
      <c r="E41352" s="23"/>
      <c r="L41352" s="23"/>
    </row>
    <row r="41353">
      <c r="B41353" s="19"/>
      <c r="E41353" s="23"/>
      <c r="L41353" s="23"/>
    </row>
    <row r="41354">
      <c r="B41354" s="19"/>
      <c r="E41354" s="23"/>
      <c r="L41354" s="23"/>
    </row>
    <row r="41355">
      <c r="B41355" s="19"/>
      <c r="E41355" s="23"/>
      <c r="L41355" s="23"/>
    </row>
    <row r="41356">
      <c r="B41356" s="19"/>
      <c r="E41356" s="23"/>
      <c r="L41356" s="23"/>
    </row>
    <row r="41357">
      <c r="B41357" s="19"/>
      <c r="E41357" s="23"/>
      <c r="L41357" s="23"/>
    </row>
    <row r="41358">
      <c r="B41358" s="19"/>
      <c r="E41358" s="23"/>
      <c r="L41358" s="23"/>
    </row>
    <row r="41359">
      <c r="B41359" s="19"/>
      <c r="E41359" s="23"/>
      <c r="L41359" s="23"/>
    </row>
    <row r="41360">
      <c r="B41360" s="19"/>
      <c r="E41360" s="23"/>
      <c r="L41360" s="23"/>
    </row>
    <row r="41361">
      <c r="B41361" s="19"/>
      <c r="E41361" s="23"/>
      <c r="L41361" s="23"/>
    </row>
    <row r="41362">
      <c r="B41362" s="19"/>
      <c r="E41362" s="23"/>
      <c r="L41362" s="23"/>
    </row>
    <row r="41363">
      <c r="B41363" s="19"/>
      <c r="E41363" s="23"/>
      <c r="L41363" s="23"/>
    </row>
    <row r="41364">
      <c r="B41364" s="19"/>
      <c r="E41364" s="23"/>
      <c r="L41364" s="23"/>
    </row>
    <row r="41365">
      <c r="B41365" s="19"/>
      <c r="E41365" s="23"/>
      <c r="L41365" s="23"/>
    </row>
    <row r="41366">
      <c r="B41366" s="19"/>
      <c r="E41366" s="23"/>
      <c r="L41366" s="23"/>
    </row>
    <row r="41367">
      <c r="B41367" s="19"/>
      <c r="E41367" s="23"/>
      <c r="L41367" s="23"/>
    </row>
    <row r="41368">
      <c r="B41368" s="19"/>
      <c r="E41368" s="23"/>
      <c r="L41368" s="23"/>
    </row>
    <row r="41369">
      <c r="B41369" s="19"/>
      <c r="E41369" s="23"/>
      <c r="L41369" s="23"/>
    </row>
    <row r="41370">
      <c r="B41370" s="19"/>
      <c r="E41370" s="23"/>
      <c r="L41370" s="23"/>
    </row>
    <row r="41371">
      <c r="B41371" s="19"/>
      <c r="E41371" s="23"/>
      <c r="L41371" s="23"/>
    </row>
    <row r="41372">
      <c r="B41372" s="19"/>
      <c r="E41372" s="23"/>
      <c r="L41372" s="23"/>
    </row>
    <row r="41373">
      <c r="B41373" s="19"/>
      <c r="E41373" s="23"/>
      <c r="L41373" s="23"/>
    </row>
    <row r="41374">
      <c r="B41374" s="19"/>
      <c r="E41374" s="23"/>
      <c r="L41374" s="23"/>
    </row>
    <row r="41375">
      <c r="B41375" s="19"/>
      <c r="E41375" s="23"/>
      <c r="L41375" s="23"/>
    </row>
    <row r="41376">
      <c r="B41376" s="19"/>
      <c r="E41376" s="23"/>
      <c r="L41376" s="23"/>
    </row>
    <row r="41377">
      <c r="B41377" s="19"/>
      <c r="E41377" s="23"/>
      <c r="L41377" s="23"/>
    </row>
    <row r="41378">
      <c r="B41378" s="19"/>
      <c r="E41378" s="23"/>
      <c r="L41378" s="23"/>
    </row>
    <row r="41379">
      <c r="B41379" s="19"/>
      <c r="E41379" s="23"/>
      <c r="L41379" s="23"/>
    </row>
    <row r="41380">
      <c r="B41380" s="19"/>
      <c r="E41380" s="23"/>
      <c r="L41380" s="23"/>
    </row>
    <row r="41381">
      <c r="B41381" s="19"/>
      <c r="E41381" s="23"/>
      <c r="L41381" s="23"/>
    </row>
    <row r="41382">
      <c r="B41382" s="19"/>
      <c r="E41382" s="23"/>
      <c r="L41382" s="23"/>
    </row>
    <row r="41383">
      <c r="B41383" s="19"/>
      <c r="E41383" s="23"/>
      <c r="L41383" s="23"/>
    </row>
    <row r="41384">
      <c r="B41384" s="19"/>
      <c r="E41384" s="23"/>
      <c r="L41384" s="23"/>
    </row>
    <row r="41385">
      <c r="B41385" s="19"/>
      <c r="E41385" s="23"/>
      <c r="L41385" s="23"/>
    </row>
    <row r="41386">
      <c r="B41386" s="19"/>
      <c r="E41386" s="23"/>
      <c r="L41386" s="23"/>
    </row>
    <row r="41387">
      <c r="B41387" s="19"/>
      <c r="E41387" s="23"/>
      <c r="L41387" s="23"/>
    </row>
    <row r="41388">
      <c r="B41388" s="19"/>
      <c r="E41388" s="23"/>
      <c r="L41388" s="23"/>
    </row>
    <row r="41389">
      <c r="B41389" s="19"/>
      <c r="E41389" s="23"/>
      <c r="L41389" s="23"/>
    </row>
    <row r="41390">
      <c r="B41390" s="19"/>
      <c r="E41390" s="23"/>
      <c r="L41390" s="23"/>
    </row>
    <row r="41391">
      <c r="B41391" s="19"/>
      <c r="E41391" s="23"/>
      <c r="L41391" s="23"/>
    </row>
    <row r="41392">
      <c r="B41392" s="19"/>
      <c r="E41392" s="23"/>
      <c r="L41392" s="23"/>
    </row>
    <row r="41393">
      <c r="B41393" s="19"/>
      <c r="E41393" s="23"/>
      <c r="L41393" s="23"/>
    </row>
    <row r="41394">
      <c r="B41394" s="19"/>
      <c r="E41394" s="23"/>
      <c r="L41394" s="23"/>
    </row>
    <row r="41395">
      <c r="B41395" s="19"/>
      <c r="E41395" s="23"/>
      <c r="L41395" s="23"/>
    </row>
    <row r="41396">
      <c r="B41396" s="19"/>
      <c r="E41396" s="23"/>
      <c r="L41396" s="23"/>
    </row>
    <row r="41397">
      <c r="B41397" s="19"/>
      <c r="E41397" s="23"/>
      <c r="L41397" s="23"/>
    </row>
    <row r="41398">
      <c r="B41398" s="19"/>
      <c r="E41398" s="23"/>
      <c r="L41398" s="23"/>
    </row>
    <row r="41399">
      <c r="B41399" s="19"/>
      <c r="E41399" s="23"/>
      <c r="L41399" s="23"/>
    </row>
    <row r="41400">
      <c r="B41400" s="19"/>
      <c r="E41400" s="23"/>
      <c r="L41400" s="23"/>
    </row>
    <row r="41401">
      <c r="B41401" s="19"/>
      <c r="E41401" s="23"/>
      <c r="L41401" s="23"/>
    </row>
    <row r="41402">
      <c r="B41402" s="19"/>
      <c r="E41402" s="23"/>
      <c r="L41402" s="23"/>
    </row>
    <row r="41403">
      <c r="B41403" s="19"/>
      <c r="E41403" s="23"/>
      <c r="L41403" s="23"/>
    </row>
    <row r="41404">
      <c r="B41404" s="19"/>
      <c r="E41404" s="23"/>
      <c r="L41404" s="23"/>
    </row>
    <row r="41405">
      <c r="B41405" s="19"/>
      <c r="E41405" s="23"/>
      <c r="L41405" s="23"/>
    </row>
    <row r="41406">
      <c r="B41406" s="19"/>
      <c r="E41406" s="23"/>
      <c r="L41406" s="23"/>
    </row>
    <row r="41407">
      <c r="B41407" s="19"/>
      <c r="E41407" s="23"/>
      <c r="L41407" s="23"/>
    </row>
    <row r="41408">
      <c r="B41408" s="19"/>
      <c r="E41408" s="23"/>
      <c r="L41408" s="23"/>
    </row>
    <row r="41409">
      <c r="B41409" s="19"/>
      <c r="E41409" s="23"/>
      <c r="L41409" s="23"/>
    </row>
    <row r="41410">
      <c r="B41410" s="19"/>
      <c r="E41410" s="23"/>
      <c r="L41410" s="23"/>
    </row>
    <row r="41411">
      <c r="B41411" s="19"/>
      <c r="E41411" s="23"/>
      <c r="L41411" s="23"/>
    </row>
    <row r="41412">
      <c r="B41412" s="19"/>
      <c r="E41412" s="23"/>
      <c r="L41412" s="23"/>
    </row>
    <row r="41413">
      <c r="B41413" s="19"/>
      <c r="E41413" s="23"/>
      <c r="L41413" s="23"/>
    </row>
    <row r="41414">
      <c r="B41414" s="19"/>
      <c r="E41414" s="23"/>
      <c r="L41414" s="23"/>
    </row>
    <row r="41415">
      <c r="B41415" s="19"/>
      <c r="E41415" s="23"/>
      <c r="L41415" s="23"/>
    </row>
    <row r="41416">
      <c r="B41416" s="19"/>
      <c r="E41416" s="23"/>
      <c r="L41416" s="23"/>
    </row>
    <row r="41417">
      <c r="B41417" s="19"/>
      <c r="E41417" s="23"/>
      <c r="L41417" s="23"/>
    </row>
    <row r="41418">
      <c r="B41418" s="19"/>
      <c r="E41418" s="23"/>
      <c r="L41418" s="23"/>
    </row>
    <row r="41419">
      <c r="B41419" s="19"/>
      <c r="E41419" s="23"/>
      <c r="L41419" s="23"/>
    </row>
    <row r="41420">
      <c r="B41420" s="19"/>
      <c r="E41420" s="23"/>
      <c r="L41420" s="23"/>
    </row>
    <row r="41421">
      <c r="B41421" s="19"/>
      <c r="E41421" s="23"/>
      <c r="L41421" s="23"/>
    </row>
    <row r="41422">
      <c r="B41422" s="19"/>
      <c r="E41422" s="23"/>
      <c r="L41422" s="23"/>
    </row>
    <row r="41423">
      <c r="B41423" s="19"/>
      <c r="E41423" s="23"/>
      <c r="L41423" s="23"/>
    </row>
    <row r="41424">
      <c r="B41424" s="19"/>
      <c r="E41424" s="23"/>
      <c r="L41424" s="23"/>
    </row>
    <row r="41425">
      <c r="B41425" s="19"/>
      <c r="E41425" s="23"/>
      <c r="L41425" s="23"/>
    </row>
    <row r="41426">
      <c r="B41426" s="19"/>
      <c r="E41426" s="23"/>
      <c r="L41426" s="23"/>
    </row>
    <row r="41427">
      <c r="B41427" s="19"/>
      <c r="E41427" s="23"/>
      <c r="L41427" s="23"/>
    </row>
    <row r="41428">
      <c r="B41428" s="19"/>
      <c r="E41428" s="23"/>
      <c r="L41428" s="23"/>
    </row>
    <row r="41429">
      <c r="B41429" s="19"/>
      <c r="E41429" s="23"/>
      <c r="L41429" s="23"/>
    </row>
    <row r="41430">
      <c r="B41430" s="19"/>
      <c r="E41430" s="23"/>
      <c r="L41430" s="23"/>
    </row>
    <row r="41431">
      <c r="B41431" s="19"/>
      <c r="E41431" s="23"/>
      <c r="L41431" s="23"/>
    </row>
    <row r="41432">
      <c r="B41432" s="19"/>
      <c r="E41432" s="23"/>
      <c r="L41432" s="23"/>
    </row>
    <row r="41433">
      <c r="B41433" s="19"/>
      <c r="E41433" s="23"/>
      <c r="L41433" s="23"/>
    </row>
    <row r="41434">
      <c r="B41434" s="19"/>
      <c r="E41434" s="23"/>
      <c r="L41434" s="23"/>
    </row>
    <row r="41435">
      <c r="B41435" s="19"/>
      <c r="E41435" s="23"/>
      <c r="L41435" s="23"/>
    </row>
    <row r="41436">
      <c r="B41436" s="19"/>
      <c r="E41436" s="23"/>
      <c r="L41436" s="23"/>
    </row>
    <row r="41437">
      <c r="B41437" s="19"/>
      <c r="E41437" s="23"/>
      <c r="L41437" s="23"/>
    </row>
    <row r="41438">
      <c r="B41438" s="19"/>
      <c r="E41438" s="23"/>
      <c r="L41438" s="23"/>
    </row>
    <row r="41439">
      <c r="B41439" s="19"/>
      <c r="E41439" s="23"/>
      <c r="L41439" s="23"/>
    </row>
    <row r="41440">
      <c r="B41440" s="19"/>
      <c r="E41440" s="23"/>
      <c r="L41440" s="23"/>
    </row>
    <row r="41441">
      <c r="B41441" s="19"/>
      <c r="E41441" s="23"/>
      <c r="L41441" s="23"/>
    </row>
    <row r="41442">
      <c r="B41442" s="19"/>
      <c r="E41442" s="23"/>
      <c r="L41442" s="23"/>
    </row>
    <row r="41443">
      <c r="B41443" s="19"/>
      <c r="E41443" s="23"/>
      <c r="L41443" s="23"/>
    </row>
    <row r="41444">
      <c r="B41444" s="19"/>
      <c r="E41444" s="23"/>
      <c r="L41444" s="23"/>
    </row>
    <row r="41445">
      <c r="B41445" s="19"/>
      <c r="E41445" s="23"/>
      <c r="L41445" s="23"/>
    </row>
    <row r="41446">
      <c r="B41446" s="19"/>
      <c r="E41446" s="23"/>
      <c r="L41446" s="23"/>
    </row>
    <row r="41447">
      <c r="B41447" s="19"/>
      <c r="E41447" s="23"/>
      <c r="L41447" s="23"/>
    </row>
    <row r="41448">
      <c r="B41448" s="19"/>
      <c r="E41448" s="23"/>
      <c r="L41448" s="23"/>
    </row>
    <row r="41449">
      <c r="B41449" s="19"/>
      <c r="E41449" s="23"/>
      <c r="L41449" s="23"/>
    </row>
    <row r="41450">
      <c r="B41450" s="19"/>
      <c r="E41450" s="23"/>
      <c r="L41450" s="23"/>
    </row>
    <row r="41451">
      <c r="B41451" s="19"/>
      <c r="E41451" s="23"/>
      <c r="L41451" s="23"/>
    </row>
    <row r="41452">
      <c r="B41452" s="19"/>
      <c r="E41452" s="23"/>
      <c r="L41452" s="23"/>
    </row>
    <row r="41453">
      <c r="B41453" s="19"/>
      <c r="E41453" s="23"/>
      <c r="L41453" s="23"/>
    </row>
    <row r="41454">
      <c r="B41454" s="19"/>
      <c r="E41454" s="23"/>
      <c r="L41454" s="23"/>
    </row>
    <row r="41455">
      <c r="B41455" s="19"/>
      <c r="E41455" s="23"/>
      <c r="L41455" s="23"/>
    </row>
    <row r="41456">
      <c r="B41456" s="19"/>
      <c r="E41456" s="23"/>
      <c r="L41456" s="23"/>
    </row>
    <row r="41457">
      <c r="B41457" s="19"/>
      <c r="E41457" s="23"/>
      <c r="L41457" s="23"/>
    </row>
    <row r="41458">
      <c r="B41458" s="19"/>
      <c r="E41458" s="23"/>
      <c r="L41458" s="23"/>
    </row>
    <row r="41459">
      <c r="B41459" s="19"/>
      <c r="E41459" s="23"/>
      <c r="L41459" s="23"/>
    </row>
    <row r="41460">
      <c r="B41460" s="19"/>
      <c r="E41460" s="23"/>
      <c r="L41460" s="23"/>
    </row>
    <row r="41461">
      <c r="B41461" s="19"/>
      <c r="E41461" s="23"/>
      <c r="L41461" s="23"/>
    </row>
    <row r="41462">
      <c r="B41462" s="19"/>
      <c r="E41462" s="23"/>
      <c r="L41462" s="23"/>
    </row>
    <row r="41463">
      <c r="B41463" s="19"/>
      <c r="E41463" s="23"/>
      <c r="L41463" s="23"/>
    </row>
    <row r="41464">
      <c r="B41464" s="19"/>
      <c r="E41464" s="23"/>
      <c r="L41464" s="23"/>
    </row>
    <row r="41465">
      <c r="B41465" s="19"/>
      <c r="E41465" s="23"/>
      <c r="L41465" s="23"/>
    </row>
    <row r="41466">
      <c r="B41466" s="19"/>
      <c r="E41466" s="23"/>
      <c r="L41466" s="23"/>
    </row>
    <row r="41467">
      <c r="B41467" s="19"/>
      <c r="E41467" s="23"/>
      <c r="L41467" s="23"/>
    </row>
    <row r="41468">
      <c r="B41468" s="19"/>
      <c r="E41468" s="23"/>
      <c r="L41468" s="23"/>
    </row>
    <row r="41469">
      <c r="B41469" s="19"/>
      <c r="E41469" s="23"/>
      <c r="L41469" s="23"/>
    </row>
    <row r="41470">
      <c r="B41470" s="19"/>
      <c r="E41470" s="23"/>
      <c r="L41470" s="23"/>
    </row>
    <row r="41471">
      <c r="B41471" s="19"/>
      <c r="E41471" s="23"/>
      <c r="L41471" s="23"/>
    </row>
    <row r="41472">
      <c r="B41472" s="19"/>
      <c r="E41472" s="23"/>
      <c r="L41472" s="23"/>
    </row>
    <row r="41473">
      <c r="B41473" s="19"/>
      <c r="E41473" s="23"/>
      <c r="L41473" s="23"/>
    </row>
    <row r="41474">
      <c r="B41474" s="19"/>
      <c r="E41474" s="23"/>
      <c r="L41474" s="23"/>
    </row>
    <row r="41475">
      <c r="B41475" s="19"/>
      <c r="E41475" s="23"/>
      <c r="L41475" s="23"/>
    </row>
    <row r="41476">
      <c r="B41476" s="19"/>
      <c r="E41476" s="23"/>
      <c r="L41476" s="23"/>
    </row>
    <row r="41477">
      <c r="B41477" s="19"/>
      <c r="E41477" s="23"/>
      <c r="L41477" s="23"/>
    </row>
    <row r="41478">
      <c r="B41478" s="19"/>
      <c r="E41478" s="23"/>
      <c r="L41478" s="23"/>
    </row>
    <row r="41479">
      <c r="B41479" s="19"/>
      <c r="E41479" s="23"/>
      <c r="L41479" s="23"/>
    </row>
    <row r="41480">
      <c r="B41480" s="19"/>
      <c r="E41480" s="23"/>
      <c r="L41480" s="23"/>
    </row>
    <row r="41481">
      <c r="B41481" s="19"/>
      <c r="E41481" s="23"/>
      <c r="L41481" s="23"/>
    </row>
    <row r="41482">
      <c r="B41482" s="19"/>
      <c r="E41482" s="23"/>
      <c r="L41482" s="23"/>
    </row>
    <row r="41483">
      <c r="B41483" s="19"/>
      <c r="E41483" s="23"/>
      <c r="L41483" s="23"/>
    </row>
    <row r="41484">
      <c r="B41484" s="19"/>
      <c r="E41484" s="23"/>
      <c r="L41484" s="23"/>
    </row>
    <row r="41485">
      <c r="B41485" s="19"/>
      <c r="E41485" s="23"/>
      <c r="L41485" s="23"/>
    </row>
    <row r="41486">
      <c r="B41486" s="19"/>
      <c r="E41486" s="23"/>
      <c r="L41486" s="23"/>
    </row>
    <row r="41487">
      <c r="B41487" s="19"/>
      <c r="E41487" s="23"/>
      <c r="L41487" s="23"/>
    </row>
    <row r="41488">
      <c r="B41488" s="19"/>
      <c r="E41488" s="23"/>
      <c r="L41488" s="23"/>
    </row>
    <row r="41489">
      <c r="B41489" s="19"/>
      <c r="E41489" s="23"/>
      <c r="L41489" s="23"/>
    </row>
    <row r="41490">
      <c r="B41490" s="19"/>
      <c r="E41490" s="23"/>
      <c r="L41490" s="23"/>
    </row>
    <row r="41491">
      <c r="B41491" s="19"/>
      <c r="E41491" s="23"/>
      <c r="L41491" s="23"/>
    </row>
    <row r="41492">
      <c r="B41492" s="19"/>
      <c r="E41492" s="23"/>
      <c r="L41492" s="23"/>
    </row>
    <row r="41493">
      <c r="B41493" s="19"/>
      <c r="E41493" s="23"/>
      <c r="L41493" s="23"/>
    </row>
    <row r="41494">
      <c r="B41494" s="19"/>
      <c r="E41494" s="23"/>
      <c r="L41494" s="23"/>
    </row>
    <row r="41495">
      <c r="B41495" s="19"/>
      <c r="E41495" s="23"/>
      <c r="L41495" s="23"/>
    </row>
    <row r="41496">
      <c r="B41496" s="19"/>
      <c r="E41496" s="23"/>
      <c r="L41496" s="23"/>
    </row>
    <row r="41497">
      <c r="B41497" s="19"/>
      <c r="E41497" s="23"/>
      <c r="L41497" s="23"/>
    </row>
    <row r="41498">
      <c r="B41498" s="19"/>
      <c r="E41498" s="23"/>
      <c r="L41498" s="23"/>
    </row>
    <row r="41499">
      <c r="B41499" s="19"/>
      <c r="E41499" s="23"/>
      <c r="L41499" s="23"/>
    </row>
    <row r="41500">
      <c r="B41500" s="19"/>
      <c r="E41500" s="23"/>
      <c r="L41500" s="23"/>
    </row>
    <row r="41501">
      <c r="B41501" s="19"/>
      <c r="E41501" s="23"/>
      <c r="L41501" s="23"/>
    </row>
    <row r="41502">
      <c r="B41502" s="19"/>
      <c r="E41502" s="23"/>
      <c r="L41502" s="23"/>
    </row>
    <row r="41503">
      <c r="B41503" s="19"/>
      <c r="E41503" s="23"/>
      <c r="L41503" s="23"/>
    </row>
    <row r="41504">
      <c r="B41504" s="19"/>
      <c r="E41504" s="23"/>
      <c r="L41504" s="23"/>
    </row>
    <row r="41505">
      <c r="B41505" s="19"/>
      <c r="E41505" s="23"/>
      <c r="L41505" s="23"/>
    </row>
    <row r="41506">
      <c r="B41506" s="19"/>
      <c r="E41506" s="23"/>
      <c r="L41506" s="23"/>
    </row>
    <row r="41507">
      <c r="B41507" s="19"/>
      <c r="E41507" s="23"/>
      <c r="L41507" s="23"/>
    </row>
    <row r="41508">
      <c r="B41508" s="19"/>
      <c r="E41508" s="23"/>
      <c r="L41508" s="23"/>
    </row>
    <row r="41509">
      <c r="B41509" s="19"/>
      <c r="E41509" s="23"/>
      <c r="L41509" s="23"/>
    </row>
    <row r="41510">
      <c r="B41510" s="19"/>
      <c r="E41510" s="23"/>
      <c r="L41510" s="23"/>
    </row>
    <row r="41511">
      <c r="B41511" s="19"/>
      <c r="E41511" s="23"/>
      <c r="L41511" s="23"/>
    </row>
    <row r="41512">
      <c r="B41512" s="19"/>
      <c r="E41512" s="23"/>
      <c r="L41512" s="23"/>
    </row>
    <row r="41513">
      <c r="B41513" s="19"/>
      <c r="E41513" s="23"/>
      <c r="L41513" s="23"/>
    </row>
    <row r="41514">
      <c r="B41514" s="19"/>
      <c r="E41514" s="23"/>
      <c r="L41514" s="23"/>
    </row>
    <row r="41515">
      <c r="B41515" s="19"/>
      <c r="E41515" s="23"/>
      <c r="L41515" s="23"/>
    </row>
    <row r="41516">
      <c r="B41516" s="19"/>
      <c r="E41516" s="23"/>
      <c r="L41516" s="23"/>
    </row>
    <row r="41517">
      <c r="B41517" s="19"/>
      <c r="E41517" s="23"/>
      <c r="L41517" s="23"/>
    </row>
    <row r="41518">
      <c r="B41518" s="19"/>
      <c r="E41518" s="23"/>
      <c r="L41518" s="23"/>
    </row>
    <row r="41519">
      <c r="B41519" s="19"/>
      <c r="E41519" s="23"/>
      <c r="L41519" s="23"/>
    </row>
    <row r="41520">
      <c r="B41520" s="19"/>
      <c r="E41520" s="23"/>
      <c r="L41520" s="23"/>
    </row>
    <row r="41521">
      <c r="B41521" s="19"/>
      <c r="E41521" s="23"/>
      <c r="L41521" s="23"/>
    </row>
    <row r="41522">
      <c r="B41522" s="19"/>
      <c r="E41522" s="23"/>
      <c r="L41522" s="23"/>
    </row>
    <row r="41523">
      <c r="B41523" s="19"/>
      <c r="E41523" s="23"/>
      <c r="L41523" s="23"/>
    </row>
    <row r="41524">
      <c r="B41524" s="19"/>
      <c r="E41524" s="23"/>
      <c r="L41524" s="23"/>
    </row>
    <row r="41525">
      <c r="B41525" s="19"/>
      <c r="E41525" s="23"/>
      <c r="L41525" s="23"/>
    </row>
    <row r="41526">
      <c r="B41526" s="19"/>
      <c r="E41526" s="23"/>
      <c r="L41526" s="23"/>
    </row>
    <row r="41527">
      <c r="B41527" s="19"/>
      <c r="E41527" s="23"/>
      <c r="L41527" s="23"/>
    </row>
    <row r="41528">
      <c r="B41528" s="19"/>
      <c r="E41528" s="23"/>
      <c r="L41528" s="23"/>
    </row>
    <row r="41529">
      <c r="B41529" s="19"/>
      <c r="E41529" s="23"/>
      <c r="L41529" s="23"/>
    </row>
    <row r="41530">
      <c r="B41530" s="19"/>
      <c r="E41530" s="23"/>
      <c r="L41530" s="23"/>
    </row>
    <row r="41531">
      <c r="B41531" s="19"/>
      <c r="E41531" s="23"/>
      <c r="L41531" s="23"/>
    </row>
    <row r="41532">
      <c r="B41532" s="19"/>
      <c r="E41532" s="23"/>
      <c r="L41532" s="23"/>
    </row>
    <row r="41533">
      <c r="B41533" s="19"/>
      <c r="E41533" s="23"/>
      <c r="L41533" s="23"/>
    </row>
    <row r="41534">
      <c r="B41534" s="19"/>
      <c r="E41534" s="23"/>
      <c r="L41534" s="23"/>
    </row>
    <row r="41535">
      <c r="B41535" s="19"/>
      <c r="E41535" s="23"/>
      <c r="L41535" s="23"/>
    </row>
    <row r="41536">
      <c r="B41536" s="19"/>
      <c r="E41536" s="23"/>
      <c r="L41536" s="23"/>
    </row>
    <row r="41537">
      <c r="B41537" s="19"/>
      <c r="E41537" s="23"/>
      <c r="L41537" s="23"/>
    </row>
    <row r="41538">
      <c r="B41538" s="19"/>
      <c r="E41538" s="23"/>
      <c r="L41538" s="23"/>
    </row>
    <row r="41539">
      <c r="B41539" s="19"/>
      <c r="E41539" s="23"/>
      <c r="L41539" s="23"/>
    </row>
    <row r="41540">
      <c r="B41540" s="19"/>
      <c r="E41540" s="23"/>
      <c r="L41540" s="23"/>
    </row>
    <row r="41541">
      <c r="B41541" s="19"/>
      <c r="E41541" s="23"/>
      <c r="L41541" s="23"/>
    </row>
    <row r="41542">
      <c r="B41542" s="19"/>
      <c r="E41542" s="23"/>
      <c r="L41542" s="23"/>
    </row>
    <row r="41543">
      <c r="B41543" s="19"/>
      <c r="E41543" s="23"/>
      <c r="L41543" s="23"/>
    </row>
    <row r="41544">
      <c r="B41544" s="19"/>
      <c r="E41544" s="23"/>
      <c r="L41544" s="23"/>
    </row>
    <row r="41545">
      <c r="B41545" s="19"/>
      <c r="E41545" s="23"/>
      <c r="L41545" s="23"/>
    </row>
    <row r="41546">
      <c r="B41546" s="19"/>
      <c r="E41546" s="23"/>
      <c r="L41546" s="23"/>
    </row>
    <row r="41547">
      <c r="B41547" s="19"/>
      <c r="E41547" s="23"/>
      <c r="L41547" s="23"/>
    </row>
    <row r="41548">
      <c r="B41548" s="19"/>
      <c r="E41548" s="23"/>
      <c r="L41548" s="23"/>
    </row>
    <row r="41549">
      <c r="B41549" s="19"/>
      <c r="E41549" s="23"/>
      <c r="L41549" s="23"/>
    </row>
    <row r="41550">
      <c r="B41550" s="19"/>
      <c r="E41550" s="23"/>
      <c r="L41550" s="23"/>
    </row>
    <row r="41551">
      <c r="B41551" s="19"/>
      <c r="E41551" s="23"/>
      <c r="L41551" s="23"/>
    </row>
    <row r="41552">
      <c r="B41552" s="19"/>
      <c r="E41552" s="23"/>
      <c r="L41552" s="23"/>
    </row>
    <row r="41553">
      <c r="B41553" s="19"/>
      <c r="E41553" s="23"/>
      <c r="L41553" s="23"/>
    </row>
    <row r="41554">
      <c r="B41554" s="19"/>
      <c r="E41554" s="23"/>
      <c r="L41554" s="23"/>
    </row>
    <row r="41555">
      <c r="B41555" s="19"/>
      <c r="E41555" s="23"/>
      <c r="L41555" s="23"/>
    </row>
    <row r="41556">
      <c r="B41556" s="19"/>
      <c r="E41556" s="23"/>
      <c r="L41556" s="23"/>
    </row>
    <row r="41557">
      <c r="B41557" s="19"/>
      <c r="E41557" s="23"/>
      <c r="L41557" s="23"/>
    </row>
    <row r="41558">
      <c r="B41558" s="19"/>
      <c r="E41558" s="23"/>
      <c r="L41558" s="23"/>
    </row>
    <row r="41559">
      <c r="B41559" s="19"/>
      <c r="E41559" s="23"/>
      <c r="L41559" s="23"/>
    </row>
    <row r="41560">
      <c r="B41560" s="19"/>
      <c r="E41560" s="23"/>
      <c r="L41560" s="23"/>
    </row>
    <row r="41561">
      <c r="B41561" s="19"/>
      <c r="E41561" s="23"/>
      <c r="L41561" s="23"/>
    </row>
    <row r="41562">
      <c r="B41562" s="19"/>
      <c r="E41562" s="23"/>
      <c r="L41562" s="23"/>
    </row>
    <row r="41563">
      <c r="B41563" s="19"/>
      <c r="E41563" s="23"/>
      <c r="L41563" s="23"/>
    </row>
    <row r="41564">
      <c r="B41564" s="19"/>
      <c r="E41564" s="23"/>
      <c r="L41564" s="23"/>
    </row>
    <row r="41565">
      <c r="B41565" s="19"/>
      <c r="E41565" s="23"/>
      <c r="L41565" s="23"/>
    </row>
    <row r="41566">
      <c r="B41566" s="19"/>
      <c r="E41566" s="23"/>
      <c r="L41566" s="23"/>
    </row>
    <row r="41567">
      <c r="B41567" s="19"/>
      <c r="E41567" s="23"/>
      <c r="L41567" s="23"/>
    </row>
    <row r="41568">
      <c r="B41568" s="19"/>
      <c r="E41568" s="23"/>
      <c r="L41568" s="23"/>
    </row>
    <row r="41569">
      <c r="B41569" s="19"/>
      <c r="E41569" s="23"/>
      <c r="L41569" s="23"/>
    </row>
    <row r="41570">
      <c r="B41570" s="19"/>
      <c r="E41570" s="23"/>
      <c r="L41570" s="23"/>
    </row>
    <row r="41571">
      <c r="B41571" s="19"/>
      <c r="E41571" s="23"/>
      <c r="L41571" s="23"/>
    </row>
    <row r="41572">
      <c r="B41572" s="19"/>
      <c r="E41572" s="23"/>
      <c r="L41572" s="23"/>
    </row>
    <row r="41573">
      <c r="B41573" s="19"/>
      <c r="E41573" s="23"/>
      <c r="L41573" s="23"/>
    </row>
    <row r="41574">
      <c r="B41574" s="19"/>
      <c r="E41574" s="23"/>
      <c r="L41574" s="23"/>
    </row>
    <row r="41575">
      <c r="B41575" s="19"/>
      <c r="E41575" s="23"/>
      <c r="L41575" s="23"/>
    </row>
    <row r="41576">
      <c r="B41576" s="19"/>
      <c r="E41576" s="23"/>
      <c r="L41576" s="23"/>
    </row>
    <row r="41577">
      <c r="B41577" s="19"/>
      <c r="E41577" s="23"/>
      <c r="L41577" s="23"/>
    </row>
    <row r="41578">
      <c r="B41578" s="19"/>
      <c r="E41578" s="23"/>
      <c r="L41578" s="23"/>
    </row>
    <row r="41579">
      <c r="B41579" s="19"/>
      <c r="E41579" s="23"/>
      <c r="L41579" s="23"/>
    </row>
    <row r="41580">
      <c r="B41580" s="19"/>
      <c r="E41580" s="23"/>
      <c r="L41580" s="23"/>
    </row>
    <row r="41581">
      <c r="B41581" s="19"/>
      <c r="E41581" s="23"/>
      <c r="L41581" s="23"/>
    </row>
    <row r="41582">
      <c r="B41582" s="19"/>
      <c r="E41582" s="23"/>
      <c r="L41582" s="23"/>
    </row>
    <row r="41583">
      <c r="B41583" s="19"/>
      <c r="E41583" s="23"/>
      <c r="L41583" s="23"/>
    </row>
    <row r="41584">
      <c r="B41584" s="19"/>
      <c r="E41584" s="23"/>
      <c r="L41584" s="23"/>
    </row>
    <row r="41585">
      <c r="B41585" s="19"/>
      <c r="E41585" s="23"/>
      <c r="L41585" s="23"/>
    </row>
    <row r="41586">
      <c r="B41586" s="19"/>
      <c r="E41586" s="23"/>
      <c r="L41586" s="23"/>
    </row>
    <row r="41587">
      <c r="B41587" s="19"/>
      <c r="E41587" s="23"/>
      <c r="L41587" s="23"/>
    </row>
    <row r="41588">
      <c r="B41588" s="19"/>
      <c r="E41588" s="23"/>
      <c r="L41588" s="23"/>
    </row>
    <row r="41589">
      <c r="B41589" s="19"/>
      <c r="E41589" s="23"/>
      <c r="L41589" s="23"/>
    </row>
    <row r="41590">
      <c r="B41590" s="19"/>
      <c r="E41590" s="23"/>
      <c r="L41590" s="23"/>
    </row>
    <row r="41591">
      <c r="B41591" s="19"/>
      <c r="E41591" s="23"/>
      <c r="L41591" s="23"/>
    </row>
    <row r="41592">
      <c r="B41592" s="19"/>
      <c r="E41592" s="23"/>
      <c r="L41592" s="23"/>
    </row>
    <row r="41593">
      <c r="B41593" s="19"/>
      <c r="E41593" s="23"/>
      <c r="L41593" s="23"/>
    </row>
    <row r="41594">
      <c r="B41594" s="19"/>
      <c r="E41594" s="23"/>
      <c r="L41594" s="23"/>
    </row>
    <row r="41595">
      <c r="B41595" s="19"/>
      <c r="E41595" s="23"/>
      <c r="L41595" s="23"/>
    </row>
    <row r="41596">
      <c r="B41596" s="19"/>
      <c r="E41596" s="23"/>
      <c r="L41596" s="23"/>
    </row>
    <row r="41597">
      <c r="B41597" s="19"/>
      <c r="E41597" s="23"/>
      <c r="L41597" s="23"/>
    </row>
    <row r="41598">
      <c r="B41598" s="19"/>
      <c r="E41598" s="23"/>
      <c r="L41598" s="23"/>
    </row>
    <row r="41599">
      <c r="B41599" s="19"/>
      <c r="E41599" s="23"/>
      <c r="L41599" s="23"/>
    </row>
    <row r="41600">
      <c r="B41600" s="19"/>
      <c r="E41600" s="23"/>
      <c r="L41600" s="23"/>
    </row>
    <row r="41601">
      <c r="B41601" s="19"/>
      <c r="E41601" s="23"/>
      <c r="L41601" s="23"/>
    </row>
    <row r="41602">
      <c r="B41602" s="19"/>
      <c r="E41602" s="23"/>
      <c r="L41602" s="23"/>
    </row>
    <row r="41603">
      <c r="B41603" s="19"/>
      <c r="E41603" s="23"/>
      <c r="L41603" s="23"/>
    </row>
    <row r="41604">
      <c r="B41604" s="19"/>
      <c r="E41604" s="23"/>
      <c r="L41604" s="23"/>
    </row>
    <row r="41605">
      <c r="B41605" s="19"/>
      <c r="E41605" s="23"/>
      <c r="L41605" s="23"/>
    </row>
    <row r="41606">
      <c r="B41606" s="19"/>
      <c r="E41606" s="23"/>
      <c r="L41606" s="23"/>
    </row>
    <row r="41607">
      <c r="B41607" s="19"/>
      <c r="E41607" s="23"/>
      <c r="L41607" s="23"/>
    </row>
    <row r="41608">
      <c r="B41608" s="19"/>
      <c r="E41608" s="23"/>
      <c r="L41608" s="23"/>
    </row>
    <row r="41609">
      <c r="B41609" s="19"/>
      <c r="E41609" s="23"/>
      <c r="L41609" s="23"/>
    </row>
    <row r="41610">
      <c r="B41610" s="19"/>
      <c r="E41610" s="23"/>
      <c r="L41610" s="23"/>
    </row>
    <row r="41611">
      <c r="B41611" s="19"/>
      <c r="E41611" s="23"/>
      <c r="L41611" s="23"/>
    </row>
    <row r="41612">
      <c r="B41612" s="19"/>
      <c r="E41612" s="23"/>
      <c r="L41612" s="23"/>
    </row>
    <row r="41613">
      <c r="B41613" s="19"/>
      <c r="E41613" s="23"/>
      <c r="L41613" s="23"/>
    </row>
    <row r="41614">
      <c r="B41614" s="19"/>
      <c r="E41614" s="23"/>
      <c r="L41614" s="23"/>
    </row>
    <row r="41615">
      <c r="B41615" s="19"/>
      <c r="E41615" s="23"/>
      <c r="L41615" s="23"/>
    </row>
    <row r="41616">
      <c r="B41616" s="19"/>
      <c r="E41616" s="23"/>
      <c r="L41616" s="23"/>
    </row>
    <row r="41617">
      <c r="B41617" s="19"/>
      <c r="E41617" s="23"/>
      <c r="L41617" s="23"/>
    </row>
    <row r="41618">
      <c r="B41618" s="19"/>
      <c r="E41618" s="23"/>
      <c r="L41618" s="23"/>
    </row>
    <row r="41619">
      <c r="B41619" s="19"/>
      <c r="E41619" s="23"/>
      <c r="L41619" s="23"/>
    </row>
    <row r="41620">
      <c r="B41620" s="19"/>
      <c r="E41620" s="23"/>
      <c r="L41620" s="23"/>
    </row>
    <row r="41621">
      <c r="B41621" s="19"/>
      <c r="E41621" s="23"/>
      <c r="L41621" s="23"/>
    </row>
    <row r="41622">
      <c r="B41622" s="19"/>
      <c r="E41622" s="23"/>
      <c r="L41622" s="23"/>
    </row>
    <row r="41623">
      <c r="B41623" s="19"/>
      <c r="E41623" s="23"/>
      <c r="L41623" s="23"/>
    </row>
    <row r="41624">
      <c r="B41624" s="19"/>
      <c r="E41624" s="23"/>
      <c r="L41624" s="23"/>
    </row>
    <row r="41625">
      <c r="B41625" s="19"/>
      <c r="E41625" s="23"/>
      <c r="L41625" s="23"/>
    </row>
    <row r="41626">
      <c r="B41626" s="19"/>
      <c r="E41626" s="23"/>
      <c r="L41626" s="23"/>
    </row>
    <row r="41627">
      <c r="B41627" s="19"/>
      <c r="E41627" s="23"/>
      <c r="L41627" s="23"/>
    </row>
    <row r="41628">
      <c r="B41628" s="19"/>
      <c r="E41628" s="23"/>
      <c r="L41628" s="23"/>
    </row>
    <row r="41629">
      <c r="B41629" s="19"/>
      <c r="E41629" s="23"/>
      <c r="L41629" s="23"/>
    </row>
    <row r="41630">
      <c r="B41630" s="19"/>
      <c r="E41630" s="23"/>
      <c r="L41630" s="23"/>
    </row>
    <row r="41631">
      <c r="B41631" s="19"/>
      <c r="E41631" s="23"/>
      <c r="L41631" s="23"/>
    </row>
    <row r="41632">
      <c r="B41632" s="19"/>
      <c r="E41632" s="23"/>
      <c r="L41632" s="23"/>
    </row>
    <row r="41633">
      <c r="B41633" s="19"/>
      <c r="E41633" s="23"/>
      <c r="L41633" s="23"/>
    </row>
    <row r="41634">
      <c r="B41634" s="19"/>
      <c r="E41634" s="23"/>
      <c r="L41634" s="23"/>
    </row>
    <row r="41635">
      <c r="B41635" s="19"/>
      <c r="E41635" s="23"/>
      <c r="L41635" s="23"/>
    </row>
    <row r="41636">
      <c r="B41636" s="19"/>
      <c r="E41636" s="23"/>
      <c r="L41636" s="23"/>
    </row>
    <row r="41637">
      <c r="B41637" s="19"/>
      <c r="E41637" s="23"/>
      <c r="L41637" s="23"/>
    </row>
    <row r="41638">
      <c r="B41638" s="19"/>
      <c r="E41638" s="23"/>
      <c r="L41638" s="23"/>
    </row>
    <row r="41639">
      <c r="B41639" s="19"/>
      <c r="E41639" s="23"/>
      <c r="L41639" s="23"/>
    </row>
    <row r="41640">
      <c r="B41640" s="19"/>
      <c r="E41640" s="23"/>
      <c r="L41640" s="23"/>
    </row>
    <row r="41641">
      <c r="B41641" s="19"/>
      <c r="E41641" s="23"/>
      <c r="L41641" s="23"/>
    </row>
    <row r="41642">
      <c r="B41642" s="19"/>
      <c r="E41642" s="23"/>
      <c r="L41642" s="23"/>
    </row>
    <row r="41643">
      <c r="B41643" s="19"/>
      <c r="E41643" s="23"/>
      <c r="L41643" s="23"/>
    </row>
    <row r="41644">
      <c r="B41644" s="19"/>
      <c r="E41644" s="23"/>
      <c r="L41644" s="23"/>
    </row>
    <row r="41645">
      <c r="B41645" s="19"/>
      <c r="E41645" s="23"/>
      <c r="L41645" s="23"/>
    </row>
    <row r="41646">
      <c r="B41646" s="19"/>
      <c r="E41646" s="23"/>
      <c r="L41646" s="23"/>
    </row>
    <row r="41647">
      <c r="B41647" s="19"/>
      <c r="E41647" s="23"/>
      <c r="L41647" s="23"/>
    </row>
    <row r="41648">
      <c r="B41648" s="19"/>
      <c r="E41648" s="23"/>
      <c r="L41648" s="23"/>
    </row>
    <row r="41649">
      <c r="B41649" s="19"/>
      <c r="E41649" s="23"/>
      <c r="L41649" s="23"/>
    </row>
    <row r="41650">
      <c r="B41650" s="19"/>
      <c r="E41650" s="23"/>
      <c r="L41650" s="23"/>
    </row>
    <row r="41651">
      <c r="B41651" s="19"/>
      <c r="E41651" s="23"/>
      <c r="L41651" s="23"/>
    </row>
    <row r="41652">
      <c r="B41652" s="19"/>
      <c r="E41652" s="23"/>
      <c r="L41652" s="23"/>
    </row>
    <row r="41653">
      <c r="B41653" s="19"/>
      <c r="E41653" s="23"/>
      <c r="L41653" s="23"/>
    </row>
    <row r="41654">
      <c r="B41654" s="19"/>
      <c r="E41654" s="23"/>
      <c r="L41654" s="23"/>
    </row>
    <row r="41655">
      <c r="B41655" s="19"/>
      <c r="E41655" s="23"/>
      <c r="L41655" s="23"/>
    </row>
    <row r="41656">
      <c r="B41656" s="19"/>
      <c r="E41656" s="23"/>
      <c r="L41656" s="23"/>
    </row>
    <row r="41657">
      <c r="B41657" s="19"/>
      <c r="E41657" s="23"/>
      <c r="L41657" s="23"/>
    </row>
    <row r="41658">
      <c r="B41658" s="19"/>
      <c r="E41658" s="23"/>
      <c r="L41658" s="23"/>
    </row>
    <row r="41659">
      <c r="B41659" s="19"/>
      <c r="E41659" s="23"/>
      <c r="L41659" s="23"/>
    </row>
    <row r="41660">
      <c r="B41660" s="19"/>
      <c r="E41660" s="23"/>
      <c r="L41660" s="23"/>
    </row>
    <row r="41661">
      <c r="B41661" s="19"/>
      <c r="E41661" s="23"/>
      <c r="L41661" s="23"/>
    </row>
    <row r="41662">
      <c r="B41662" s="19"/>
      <c r="E41662" s="23"/>
      <c r="L41662" s="23"/>
    </row>
    <row r="41663">
      <c r="B41663" s="19"/>
      <c r="E41663" s="23"/>
      <c r="L41663" s="23"/>
    </row>
    <row r="41664">
      <c r="B41664" s="19"/>
      <c r="E41664" s="23"/>
      <c r="L41664" s="23"/>
    </row>
    <row r="41665">
      <c r="B41665" s="19"/>
      <c r="E41665" s="23"/>
      <c r="L41665" s="23"/>
    </row>
    <row r="41666">
      <c r="B41666" s="19"/>
      <c r="E41666" s="23"/>
      <c r="L41666" s="23"/>
    </row>
    <row r="41667">
      <c r="B41667" s="19"/>
      <c r="E41667" s="23"/>
      <c r="L41667" s="23"/>
    </row>
    <row r="41668">
      <c r="B41668" s="19"/>
      <c r="E41668" s="23"/>
      <c r="L41668" s="23"/>
    </row>
    <row r="41669">
      <c r="B41669" s="19"/>
      <c r="E41669" s="23"/>
      <c r="L41669" s="23"/>
    </row>
    <row r="41670">
      <c r="B41670" s="19"/>
      <c r="E41670" s="23"/>
      <c r="L41670" s="23"/>
    </row>
    <row r="41671">
      <c r="B41671" s="19"/>
      <c r="E41671" s="23"/>
      <c r="L41671" s="23"/>
    </row>
    <row r="41672">
      <c r="B41672" s="19"/>
      <c r="E41672" s="23"/>
      <c r="L41672" s="23"/>
    </row>
    <row r="41673">
      <c r="B41673" s="19"/>
      <c r="E41673" s="23"/>
      <c r="L41673" s="23"/>
    </row>
    <row r="41674">
      <c r="B41674" s="19"/>
      <c r="E41674" s="23"/>
      <c r="L41674" s="23"/>
    </row>
    <row r="41675">
      <c r="B41675" s="19"/>
      <c r="E41675" s="23"/>
      <c r="L41675" s="23"/>
    </row>
    <row r="41676">
      <c r="B41676" s="19"/>
      <c r="E41676" s="23"/>
      <c r="L41676" s="23"/>
    </row>
    <row r="41677">
      <c r="B41677" s="19"/>
      <c r="E41677" s="23"/>
      <c r="L41677" s="23"/>
    </row>
    <row r="41678">
      <c r="B41678" s="19"/>
      <c r="E41678" s="23"/>
      <c r="L41678" s="23"/>
    </row>
    <row r="41679">
      <c r="B41679" s="19"/>
      <c r="E41679" s="23"/>
      <c r="L41679" s="23"/>
    </row>
    <row r="41680">
      <c r="B41680" s="19"/>
      <c r="E41680" s="23"/>
      <c r="L41680" s="23"/>
    </row>
    <row r="41681">
      <c r="B41681" s="19"/>
      <c r="E41681" s="23"/>
      <c r="L41681" s="23"/>
    </row>
    <row r="41682">
      <c r="B41682" s="19"/>
      <c r="E41682" s="23"/>
      <c r="L41682" s="23"/>
    </row>
    <row r="41683">
      <c r="B41683" s="19"/>
      <c r="E41683" s="23"/>
      <c r="L41683" s="23"/>
    </row>
    <row r="41684">
      <c r="B41684" s="19"/>
      <c r="E41684" s="23"/>
      <c r="L41684" s="23"/>
    </row>
    <row r="41685">
      <c r="B41685" s="19"/>
      <c r="E41685" s="23"/>
      <c r="L41685" s="23"/>
    </row>
    <row r="41686">
      <c r="B41686" s="19"/>
      <c r="E41686" s="23"/>
      <c r="L41686" s="23"/>
    </row>
    <row r="41687">
      <c r="B41687" s="19"/>
      <c r="E41687" s="23"/>
      <c r="L41687" s="23"/>
    </row>
    <row r="41688">
      <c r="B41688" s="19"/>
      <c r="E41688" s="23"/>
      <c r="L41688" s="23"/>
    </row>
    <row r="41689">
      <c r="B41689" s="19"/>
      <c r="E41689" s="23"/>
      <c r="L41689" s="23"/>
    </row>
    <row r="41690">
      <c r="B41690" s="19"/>
      <c r="E41690" s="23"/>
      <c r="L41690" s="23"/>
    </row>
    <row r="41691">
      <c r="B41691" s="19"/>
      <c r="E41691" s="23"/>
      <c r="L41691" s="23"/>
    </row>
    <row r="41692">
      <c r="B41692" s="19"/>
      <c r="E41692" s="23"/>
      <c r="L41692" s="23"/>
    </row>
    <row r="41693">
      <c r="B41693" s="19"/>
      <c r="E41693" s="23"/>
      <c r="L41693" s="23"/>
    </row>
    <row r="41694">
      <c r="B41694" s="19"/>
      <c r="E41694" s="23"/>
      <c r="L41694" s="23"/>
    </row>
    <row r="41695">
      <c r="B41695" s="19"/>
      <c r="E41695" s="23"/>
      <c r="L41695" s="23"/>
    </row>
    <row r="41696">
      <c r="B41696" s="19"/>
      <c r="E41696" s="23"/>
      <c r="L41696" s="23"/>
    </row>
    <row r="41697">
      <c r="B41697" s="19"/>
      <c r="E41697" s="23"/>
      <c r="L41697" s="23"/>
    </row>
    <row r="41698">
      <c r="B41698" s="19"/>
      <c r="E41698" s="23"/>
      <c r="L41698" s="23"/>
    </row>
    <row r="41699">
      <c r="B41699" s="19"/>
      <c r="E41699" s="23"/>
      <c r="L41699" s="23"/>
    </row>
    <row r="41700">
      <c r="B41700" s="19"/>
      <c r="E41700" s="23"/>
      <c r="L41700" s="23"/>
    </row>
    <row r="41701">
      <c r="B41701" s="19"/>
      <c r="E41701" s="23"/>
      <c r="L41701" s="23"/>
    </row>
    <row r="41702">
      <c r="B41702" s="19"/>
      <c r="E41702" s="23"/>
      <c r="L41702" s="23"/>
    </row>
    <row r="41703">
      <c r="B41703" s="19"/>
      <c r="E41703" s="23"/>
      <c r="L41703" s="23"/>
    </row>
    <row r="41704">
      <c r="B41704" s="19"/>
      <c r="E41704" s="23"/>
      <c r="L41704" s="23"/>
    </row>
    <row r="41705">
      <c r="B41705" s="19"/>
      <c r="E41705" s="23"/>
      <c r="L41705" s="23"/>
    </row>
    <row r="41706">
      <c r="B41706" s="19"/>
      <c r="E41706" s="23"/>
      <c r="L41706" s="23"/>
    </row>
    <row r="41707">
      <c r="B41707" s="19"/>
      <c r="E41707" s="23"/>
      <c r="L41707" s="23"/>
    </row>
    <row r="41708">
      <c r="B41708" s="19"/>
      <c r="E41708" s="23"/>
      <c r="L41708" s="23"/>
    </row>
    <row r="41709">
      <c r="B41709" s="19"/>
      <c r="E41709" s="23"/>
      <c r="L41709" s="23"/>
    </row>
    <row r="41710">
      <c r="B41710" s="19"/>
      <c r="E41710" s="23"/>
      <c r="L41710" s="23"/>
    </row>
    <row r="41711">
      <c r="B41711" s="19"/>
      <c r="E41711" s="23"/>
      <c r="L41711" s="23"/>
    </row>
    <row r="41712">
      <c r="B41712" s="19"/>
      <c r="E41712" s="23"/>
      <c r="L41712" s="23"/>
    </row>
    <row r="41713">
      <c r="B41713" s="19"/>
      <c r="E41713" s="23"/>
      <c r="L41713" s="23"/>
    </row>
    <row r="41714">
      <c r="B41714" s="19"/>
      <c r="E41714" s="23"/>
      <c r="L41714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25.25"/>
    <col customWidth="1" min="3" max="3" width="8.63"/>
  </cols>
  <sheetData>
    <row r="1" ht="22.5" customHeight="1">
      <c r="A1" s="25" t="s">
        <v>1</v>
      </c>
      <c r="B1" s="25" t="s">
        <v>0</v>
      </c>
      <c r="C1" s="25" t="s">
        <v>9</v>
      </c>
    </row>
    <row r="2" ht="22.5" customHeight="1">
      <c r="A2" s="15">
        <v>1.0</v>
      </c>
      <c r="B2" s="15" t="s">
        <v>105</v>
      </c>
      <c r="C2" s="15" t="s">
        <v>183</v>
      </c>
    </row>
    <row r="3" ht="22.5" customHeight="1">
      <c r="A3" s="15">
        <v>2.0</v>
      </c>
      <c r="B3" s="15" t="s">
        <v>105</v>
      </c>
      <c r="C3" s="15" t="s">
        <v>183</v>
      </c>
    </row>
    <row r="4" ht="22.5" customHeight="1">
      <c r="A4" s="15">
        <v>3.0</v>
      </c>
      <c r="B4" s="15" t="s">
        <v>105</v>
      </c>
      <c r="C4" s="15" t="s">
        <v>183</v>
      </c>
    </row>
    <row r="5" ht="22.5" customHeight="1">
      <c r="A5" s="15">
        <v>4.0</v>
      </c>
      <c r="B5" s="15" t="s">
        <v>105</v>
      </c>
      <c r="C5" s="15" t="s">
        <v>183</v>
      </c>
    </row>
    <row r="6" ht="22.5" customHeight="1">
      <c r="A6" s="15">
        <v>5.0</v>
      </c>
      <c r="B6" s="15" t="s">
        <v>105</v>
      </c>
      <c r="C6" s="15" t="s">
        <v>183</v>
      </c>
    </row>
    <row r="7" ht="22.5" customHeight="1">
      <c r="A7" s="15">
        <v>6.0</v>
      </c>
      <c r="B7" s="15" t="s">
        <v>105</v>
      </c>
      <c r="C7" s="15" t="s">
        <v>183</v>
      </c>
    </row>
    <row r="8" ht="22.5" customHeight="1">
      <c r="A8" s="15">
        <v>7.0</v>
      </c>
      <c r="B8" s="15" t="s">
        <v>183</v>
      </c>
      <c r="C8" s="15" t="s">
        <v>183</v>
      </c>
    </row>
    <row r="9" ht="22.5" customHeight="1">
      <c r="A9" s="15">
        <v>8.0</v>
      </c>
      <c r="B9" s="15" t="s">
        <v>183</v>
      </c>
      <c r="C9" s="15" t="s">
        <v>183</v>
      </c>
    </row>
    <row r="10" ht="22.5" customHeight="1">
      <c r="A10" s="15">
        <v>9.0</v>
      </c>
      <c r="B10" s="15" t="s">
        <v>183</v>
      </c>
      <c r="C10" s="15" t="s">
        <v>183</v>
      </c>
    </row>
    <row r="11" ht="22.5" customHeight="1">
      <c r="A11" s="15">
        <v>10.0</v>
      </c>
      <c r="B11" s="15" t="s">
        <v>106</v>
      </c>
      <c r="C11" s="15" t="s">
        <v>184</v>
      </c>
    </row>
    <row r="12" ht="22.5" customHeight="1">
      <c r="A12" s="15">
        <v>11.0</v>
      </c>
      <c r="B12" s="15" t="s">
        <v>107</v>
      </c>
      <c r="C12" s="15" t="s">
        <v>185</v>
      </c>
    </row>
    <row r="13" ht="22.5" customHeight="1">
      <c r="A13" s="15">
        <v>12.0</v>
      </c>
      <c r="B13" s="15" t="s">
        <v>183</v>
      </c>
      <c r="C13" s="15" t="s">
        <v>183</v>
      </c>
    </row>
    <row r="14" ht="22.5" customHeight="1">
      <c r="A14" s="15">
        <v>13.0</v>
      </c>
      <c r="B14" s="15" t="s">
        <v>183</v>
      </c>
      <c r="C14" s="15" t="s">
        <v>183</v>
      </c>
    </row>
    <row r="15" ht="22.5" customHeight="1">
      <c r="A15" s="15">
        <v>14.0</v>
      </c>
      <c r="B15" s="15" t="s">
        <v>183</v>
      </c>
      <c r="C15" s="15" t="s">
        <v>183</v>
      </c>
    </row>
    <row r="16" ht="22.5" customHeight="1">
      <c r="A16" s="15">
        <v>15.0</v>
      </c>
      <c r="B16" s="15" t="s">
        <v>183</v>
      </c>
      <c r="C16" s="15" t="s">
        <v>183</v>
      </c>
    </row>
    <row r="17" ht="22.5" customHeight="1">
      <c r="A17" s="15">
        <v>16.0</v>
      </c>
      <c r="B17" s="15" t="s">
        <v>183</v>
      </c>
      <c r="C17" s="15" t="s">
        <v>183</v>
      </c>
    </row>
    <row r="18" ht="22.5" customHeight="1">
      <c r="A18" s="15">
        <v>17.0</v>
      </c>
      <c r="B18" s="15" t="s">
        <v>183</v>
      </c>
      <c r="C18" s="15" t="s">
        <v>183</v>
      </c>
    </row>
    <row r="19" ht="22.5" customHeight="1">
      <c r="A19" s="15">
        <v>18.0</v>
      </c>
      <c r="B19" s="15" t="s">
        <v>183</v>
      </c>
      <c r="C19" s="15" t="s">
        <v>183</v>
      </c>
    </row>
    <row r="20" ht="22.5" customHeight="1">
      <c r="A20" s="15">
        <v>19.0</v>
      </c>
      <c r="B20" s="15" t="s">
        <v>183</v>
      </c>
      <c r="C20" s="15" t="s">
        <v>183</v>
      </c>
    </row>
    <row r="21" ht="22.5" customHeight="1">
      <c r="A21" s="15">
        <v>20.0</v>
      </c>
      <c r="B21" s="15" t="s">
        <v>108</v>
      </c>
      <c r="C21" s="15" t="s">
        <v>186</v>
      </c>
    </row>
    <row r="22" ht="22.5" customHeight="1">
      <c r="A22" s="15">
        <v>21.0</v>
      </c>
      <c r="B22" s="15" t="s">
        <v>183</v>
      </c>
      <c r="C22" s="15" t="s">
        <v>183</v>
      </c>
    </row>
    <row r="23" ht="22.5" customHeight="1">
      <c r="A23" s="15">
        <v>22.0</v>
      </c>
      <c r="B23" s="15" t="s">
        <v>183</v>
      </c>
      <c r="C23" s="15" t="s">
        <v>183</v>
      </c>
    </row>
    <row r="24" ht="22.5" customHeight="1">
      <c r="A24" s="15">
        <v>23.0</v>
      </c>
      <c r="B24" s="15" t="s">
        <v>183</v>
      </c>
      <c r="C24" s="15" t="s">
        <v>183</v>
      </c>
    </row>
    <row r="25" ht="22.5" customHeight="1">
      <c r="A25" s="15">
        <v>24.0</v>
      </c>
      <c r="B25" s="15" t="s">
        <v>183</v>
      </c>
      <c r="C25" s="15" t="s">
        <v>183</v>
      </c>
    </row>
    <row r="26" ht="22.5" customHeight="1">
      <c r="A26" s="15">
        <v>25.0</v>
      </c>
      <c r="B26" s="15" t="s">
        <v>183</v>
      </c>
      <c r="C26" s="15" t="s">
        <v>183</v>
      </c>
    </row>
    <row r="27" ht="22.5" customHeight="1">
      <c r="A27" s="15">
        <v>26.0</v>
      </c>
      <c r="B27" s="15" t="s">
        <v>183</v>
      </c>
      <c r="C27" s="15" t="s">
        <v>183</v>
      </c>
    </row>
    <row r="28" ht="22.5" customHeight="1">
      <c r="A28" s="15">
        <v>27.0</v>
      </c>
      <c r="B28" s="15" t="s">
        <v>183</v>
      </c>
      <c r="C28" s="15" t="s">
        <v>183</v>
      </c>
    </row>
    <row r="29" ht="22.5" customHeight="1">
      <c r="A29" s="15">
        <v>28.0</v>
      </c>
      <c r="B29" s="15" t="s">
        <v>183</v>
      </c>
      <c r="C29" s="15" t="s">
        <v>183</v>
      </c>
    </row>
    <row r="30" ht="22.5" customHeight="1">
      <c r="A30" s="15">
        <v>29.0</v>
      </c>
      <c r="B30" s="15" t="s">
        <v>183</v>
      </c>
      <c r="C30" s="15" t="s">
        <v>183</v>
      </c>
    </row>
    <row r="31" ht="22.5" customHeight="1">
      <c r="A31" s="15">
        <v>30.0</v>
      </c>
      <c r="B31" s="15" t="s">
        <v>187</v>
      </c>
      <c r="C31" s="15" t="s">
        <v>188</v>
      </c>
    </row>
    <row r="32" ht="22.5" customHeight="1">
      <c r="A32" s="15">
        <v>40.0</v>
      </c>
      <c r="B32" s="15" t="s">
        <v>108</v>
      </c>
      <c r="C32" s="15" t="s">
        <v>186</v>
      </c>
    </row>
    <row r="33" ht="22.5" customHeight="1">
      <c r="A33" s="15">
        <v>41.0</v>
      </c>
      <c r="B33" s="15" t="s">
        <v>183</v>
      </c>
      <c r="C33" s="15" t="s">
        <v>183</v>
      </c>
    </row>
    <row r="34" ht="22.5" customHeight="1">
      <c r="A34" s="15">
        <v>42.0</v>
      </c>
      <c r="B34" s="15" t="s">
        <v>183</v>
      </c>
      <c r="C34" s="15" t="s">
        <v>183</v>
      </c>
    </row>
    <row r="35" ht="22.5" customHeight="1">
      <c r="A35" s="15">
        <v>43.0</v>
      </c>
      <c r="B35" s="15" t="s">
        <v>183</v>
      </c>
      <c r="C35" s="15" t="s">
        <v>183</v>
      </c>
    </row>
    <row r="36" ht="22.5" customHeight="1">
      <c r="A36" s="15">
        <v>44.0</v>
      </c>
      <c r="B36" s="15" t="s">
        <v>183</v>
      </c>
      <c r="C36" s="15" t="s">
        <v>183</v>
      </c>
    </row>
    <row r="37" ht="22.5" customHeight="1">
      <c r="A37" s="15">
        <v>45.0</v>
      </c>
      <c r="B37" s="15" t="s">
        <v>183</v>
      </c>
      <c r="C37" s="15" t="s">
        <v>183</v>
      </c>
    </row>
    <row r="38" ht="22.5" customHeight="1">
      <c r="A38" s="15">
        <v>46.0</v>
      </c>
      <c r="B38" s="15" t="s">
        <v>183</v>
      </c>
      <c r="C38" s="15" t="s">
        <v>183</v>
      </c>
    </row>
    <row r="39" ht="22.5" customHeight="1">
      <c r="A39" s="15">
        <v>47.0</v>
      </c>
      <c r="B39" s="15" t="s">
        <v>183</v>
      </c>
      <c r="C39" s="15" t="s">
        <v>183</v>
      </c>
    </row>
    <row r="40" ht="22.5" customHeight="1">
      <c r="A40" s="15">
        <v>48.0</v>
      </c>
      <c r="B40" s="15" t="s">
        <v>183</v>
      </c>
      <c r="C40" s="15" t="s">
        <v>183</v>
      </c>
    </row>
    <row r="41" ht="22.5" customHeight="1">
      <c r="A41" s="15">
        <v>49.0</v>
      </c>
      <c r="B41" s="15" t="s">
        <v>183</v>
      </c>
      <c r="C41" s="15" t="s">
        <v>183</v>
      </c>
    </row>
    <row r="42" ht="22.5" customHeight="1">
      <c r="A42" s="15">
        <v>50.0</v>
      </c>
      <c r="B42" s="15" t="s">
        <v>187</v>
      </c>
      <c r="C42" s="15" t="s">
        <v>188</v>
      </c>
    </row>
    <row r="43" ht="22.5" customHeight="1">
      <c r="A43" s="15">
        <v>60.0</v>
      </c>
      <c r="B43" s="15" t="s">
        <v>189</v>
      </c>
      <c r="C43" s="15" t="s">
        <v>190</v>
      </c>
    </row>
    <row r="44" ht="22.5" customHeight="1">
      <c r="A44" s="15">
        <v>70.0</v>
      </c>
      <c r="B44" s="15" t="s">
        <v>191</v>
      </c>
      <c r="C44" s="15" t="s">
        <v>192</v>
      </c>
    </row>
    <row r="45" ht="22.5" customHeight="1">
      <c r="A45" s="15">
        <v>71.0</v>
      </c>
      <c r="B45" s="15" t="s">
        <v>183</v>
      </c>
      <c r="C45" s="15" t="s">
        <v>183</v>
      </c>
    </row>
    <row r="46" ht="22.5" customHeight="1">
      <c r="A46" s="15">
        <v>72.0</v>
      </c>
      <c r="B46" s="15" t="s">
        <v>183</v>
      </c>
      <c r="C46" s="15" t="s">
        <v>183</v>
      </c>
    </row>
    <row r="47" ht="22.5" customHeight="1">
      <c r="A47" s="15">
        <v>73.0</v>
      </c>
      <c r="B47" s="15" t="s">
        <v>183</v>
      </c>
      <c r="C47" s="15" t="s">
        <v>183</v>
      </c>
    </row>
    <row r="48" ht="22.5" customHeight="1">
      <c r="A48" s="15">
        <v>74.0</v>
      </c>
      <c r="B48" s="15" t="s">
        <v>183</v>
      </c>
      <c r="C48" s="15" t="s">
        <v>183</v>
      </c>
    </row>
    <row r="49" ht="22.5" customHeight="1">
      <c r="A49" s="15">
        <v>75.0</v>
      </c>
      <c r="B49" s="15" t="s">
        <v>183</v>
      </c>
      <c r="C49" s="15" t="s">
        <v>183</v>
      </c>
    </row>
    <row r="50" ht="22.5" customHeight="1">
      <c r="A50" s="15">
        <v>76.0</v>
      </c>
      <c r="B50" s="15" t="s">
        <v>183</v>
      </c>
      <c r="C50" s="15" t="s">
        <v>183</v>
      </c>
    </row>
    <row r="51" ht="22.5" customHeight="1">
      <c r="A51" s="15">
        <v>77.0</v>
      </c>
      <c r="B51" s="15" t="s">
        <v>183</v>
      </c>
      <c r="C51" s="15" t="s">
        <v>183</v>
      </c>
    </row>
    <row r="52" ht="22.5" customHeight="1">
      <c r="A52" s="15">
        <v>78.0</v>
      </c>
      <c r="B52" s="15" t="s">
        <v>183</v>
      </c>
      <c r="C52" s="15" t="s">
        <v>183</v>
      </c>
    </row>
    <row r="53" ht="22.5" customHeight="1">
      <c r="A53" s="15">
        <v>79.0</v>
      </c>
      <c r="B53" s="15" t="s">
        <v>183</v>
      </c>
      <c r="C53" s="15" t="s">
        <v>183</v>
      </c>
    </row>
    <row r="54" ht="22.5" customHeight="1">
      <c r="A54" s="15">
        <v>80.0</v>
      </c>
      <c r="B54" s="15" t="s">
        <v>189</v>
      </c>
      <c r="C54" s="15" t="s">
        <v>190</v>
      </c>
    </row>
    <row r="55" ht="22.5" customHeight="1">
      <c r="A55" s="15">
        <v>81.0</v>
      </c>
      <c r="B55" s="15" t="s">
        <v>183</v>
      </c>
      <c r="C55" s="15" t="s">
        <v>183</v>
      </c>
    </row>
    <row r="56" ht="22.5" customHeight="1">
      <c r="A56" s="15">
        <v>82.0</v>
      </c>
      <c r="B56" s="15" t="s">
        <v>183</v>
      </c>
      <c r="C56" s="15" t="s">
        <v>183</v>
      </c>
    </row>
    <row r="57" ht="22.5" customHeight="1">
      <c r="A57" s="15">
        <v>83.0</v>
      </c>
      <c r="B57" s="15" t="s">
        <v>183</v>
      </c>
      <c r="C57" s="15" t="s">
        <v>183</v>
      </c>
    </row>
    <row r="58" ht="22.5" customHeight="1">
      <c r="A58" s="15">
        <v>84.0</v>
      </c>
      <c r="B58" s="15" t="s">
        <v>183</v>
      </c>
      <c r="C58" s="15" t="s">
        <v>183</v>
      </c>
    </row>
    <row r="59" ht="22.5" customHeight="1">
      <c r="A59" s="15">
        <v>85.0</v>
      </c>
      <c r="B59" s="15" t="s">
        <v>183</v>
      </c>
      <c r="C59" s="15" t="s">
        <v>183</v>
      </c>
    </row>
    <row r="60" ht="22.5" customHeight="1">
      <c r="A60" s="15">
        <v>86.0</v>
      </c>
      <c r="B60" s="15" t="s">
        <v>183</v>
      </c>
      <c r="C60" s="15" t="s">
        <v>183</v>
      </c>
    </row>
    <row r="61" ht="22.5" customHeight="1">
      <c r="A61" s="15">
        <v>87.0</v>
      </c>
      <c r="B61" s="15" t="s">
        <v>183</v>
      </c>
      <c r="C61" s="15" t="s">
        <v>183</v>
      </c>
    </row>
    <row r="62" ht="22.5" customHeight="1">
      <c r="A62" s="15">
        <v>88.0</v>
      </c>
      <c r="B62" s="15" t="s">
        <v>183</v>
      </c>
      <c r="C62" s="15" t="s">
        <v>183</v>
      </c>
    </row>
    <row r="63" ht="22.5" customHeight="1">
      <c r="A63" s="15">
        <v>89.0</v>
      </c>
      <c r="B63" s="15" t="s">
        <v>183</v>
      </c>
      <c r="C63" s="15" t="s">
        <v>183</v>
      </c>
    </row>
    <row r="64" ht="22.5" customHeight="1">
      <c r="A64" s="15">
        <v>90.0</v>
      </c>
      <c r="B64" s="15" t="s">
        <v>191</v>
      </c>
      <c r="C64" s="15" t="s">
        <v>192</v>
      </c>
    </row>
    <row r="65" ht="22.5" customHeight="1">
      <c r="A65" s="15">
        <v>100.0</v>
      </c>
      <c r="B65" s="15" t="s">
        <v>109</v>
      </c>
      <c r="C65" s="15" t="s">
        <v>193</v>
      </c>
    </row>
    <row r="66" ht="22.5" customHeight="1">
      <c r="A66" s="15">
        <v>101.0</v>
      </c>
      <c r="B66" s="15" t="s">
        <v>110</v>
      </c>
      <c r="C66" s="15" t="s">
        <v>194</v>
      </c>
    </row>
    <row r="67" ht="22.5" customHeight="1">
      <c r="A67" s="15">
        <v>102.0</v>
      </c>
      <c r="B67" s="15" t="s">
        <v>111</v>
      </c>
      <c r="C67" s="15" t="s">
        <v>195</v>
      </c>
    </row>
    <row r="68" ht="22.5" customHeight="1">
      <c r="A68" s="15">
        <v>103.0</v>
      </c>
      <c r="B68" s="15" t="s">
        <v>109</v>
      </c>
      <c r="C68" s="15" t="s">
        <v>193</v>
      </c>
    </row>
    <row r="69" ht="22.5" customHeight="1">
      <c r="A69" s="15">
        <v>104.0</v>
      </c>
      <c r="B69" s="15" t="s">
        <v>110</v>
      </c>
      <c r="C69" s="15" t="s">
        <v>194</v>
      </c>
    </row>
    <row r="70" ht="22.5" customHeight="1">
      <c r="A70" s="15">
        <v>105.0</v>
      </c>
      <c r="B70" s="15" t="s">
        <v>111</v>
      </c>
      <c r="C70" s="15" t="s">
        <v>195</v>
      </c>
    </row>
    <row r="71" ht="22.5" customHeight="1">
      <c r="A71" s="15">
        <v>106.0</v>
      </c>
      <c r="B71" s="15" t="s">
        <v>109</v>
      </c>
      <c r="C71" s="15" t="s">
        <v>193</v>
      </c>
    </row>
    <row r="72" ht="22.5" customHeight="1">
      <c r="A72" s="15">
        <v>107.0</v>
      </c>
      <c r="B72" s="15" t="s">
        <v>110</v>
      </c>
      <c r="C72" s="15" t="s">
        <v>194</v>
      </c>
    </row>
    <row r="73" ht="22.5" customHeight="1">
      <c r="A73" s="15">
        <v>108.0</v>
      </c>
      <c r="B73" s="15" t="s">
        <v>111</v>
      </c>
      <c r="C73" s="15" t="s">
        <v>195</v>
      </c>
    </row>
    <row r="74" ht="22.5" customHeight="1">
      <c r="A74" s="15">
        <v>109.0</v>
      </c>
      <c r="B74" s="15" t="s">
        <v>112</v>
      </c>
      <c r="C74" s="15" t="s">
        <v>196</v>
      </c>
    </row>
    <row r="75" ht="22.5" customHeight="1">
      <c r="A75" s="15">
        <v>110.0</v>
      </c>
      <c r="B75" s="15" t="s">
        <v>113</v>
      </c>
      <c r="C75" s="15" t="s">
        <v>197</v>
      </c>
    </row>
    <row r="76" ht="22.5" customHeight="1">
      <c r="A76" s="15">
        <v>111.0</v>
      </c>
      <c r="B76" s="15" t="s">
        <v>114</v>
      </c>
      <c r="C76" s="15" t="s">
        <v>198</v>
      </c>
    </row>
    <row r="77" ht="22.5" customHeight="1">
      <c r="A77" s="15">
        <v>112.0</v>
      </c>
      <c r="B77" s="15" t="s">
        <v>112</v>
      </c>
      <c r="C77" s="15" t="s">
        <v>196</v>
      </c>
    </row>
    <row r="78" ht="22.5" customHeight="1">
      <c r="A78" s="15">
        <v>113.0</v>
      </c>
      <c r="B78" s="15" t="s">
        <v>113</v>
      </c>
      <c r="C78" s="15" t="s">
        <v>197</v>
      </c>
    </row>
    <row r="79" ht="22.5" customHeight="1">
      <c r="A79" s="15">
        <v>114.0</v>
      </c>
      <c r="B79" s="15" t="s">
        <v>114</v>
      </c>
      <c r="C79" s="15" t="s">
        <v>198</v>
      </c>
    </row>
    <row r="80" ht="22.5" customHeight="1">
      <c r="A80" s="15">
        <v>115.0</v>
      </c>
      <c r="B80" s="15" t="s">
        <v>112</v>
      </c>
      <c r="C80" s="15" t="s">
        <v>196</v>
      </c>
    </row>
    <row r="81" ht="22.5" customHeight="1">
      <c r="A81" s="15">
        <v>116.0</v>
      </c>
      <c r="B81" s="15" t="s">
        <v>113</v>
      </c>
      <c r="C81" s="15" t="s">
        <v>197</v>
      </c>
    </row>
    <row r="82" ht="22.5" customHeight="1">
      <c r="A82" s="15">
        <v>117.0</v>
      </c>
      <c r="B82" s="15" t="s">
        <v>114</v>
      </c>
      <c r="C82" s="15" t="s">
        <v>198</v>
      </c>
    </row>
    <row r="83" ht="22.5" customHeight="1">
      <c r="A83" s="15">
        <v>118.0</v>
      </c>
      <c r="B83" s="15" t="s">
        <v>115</v>
      </c>
      <c r="C83" s="15" t="s">
        <v>199</v>
      </c>
    </row>
    <row r="84" ht="22.5" customHeight="1">
      <c r="A84" s="15">
        <v>119.0</v>
      </c>
      <c r="B84" s="15" t="s">
        <v>116</v>
      </c>
      <c r="C84" s="15" t="s">
        <v>200</v>
      </c>
    </row>
    <row r="85" ht="22.5" customHeight="1">
      <c r="A85" s="15">
        <v>120.0</v>
      </c>
      <c r="B85" s="15" t="s">
        <v>117</v>
      </c>
      <c r="C85" s="15" t="s">
        <v>201</v>
      </c>
    </row>
    <row r="86" ht="22.5" customHeight="1">
      <c r="A86" s="15">
        <v>121.0</v>
      </c>
      <c r="B86" s="15" t="s">
        <v>115</v>
      </c>
      <c r="C86" s="15" t="s">
        <v>199</v>
      </c>
    </row>
    <row r="87" ht="22.5" customHeight="1">
      <c r="A87" s="15">
        <v>122.0</v>
      </c>
      <c r="B87" s="15" t="s">
        <v>116</v>
      </c>
      <c r="C87" s="15" t="s">
        <v>200</v>
      </c>
    </row>
    <row r="88" ht="22.5" customHeight="1">
      <c r="A88" s="15">
        <v>123.0</v>
      </c>
      <c r="B88" s="15" t="s">
        <v>117</v>
      </c>
      <c r="C88" s="15" t="s">
        <v>201</v>
      </c>
    </row>
    <row r="89" ht="22.5" customHeight="1">
      <c r="A89" s="15">
        <v>124.0</v>
      </c>
      <c r="B89" s="15" t="s">
        <v>115</v>
      </c>
      <c r="C89" s="15" t="s">
        <v>199</v>
      </c>
    </row>
    <row r="90" ht="22.5" customHeight="1">
      <c r="A90" s="15">
        <v>125.0</v>
      </c>
      <c r="B90" s="15" t="s">
        <v>116</v>
      </c>
      <c r="C90" s="15" t="s">
        <v>200</v>
      </c>
    </row>
    <row r="91" ht="22.5" customHeight="1">
      <c r="A91" s="15">
        <v>126.0</v>
      </c>
      <c r="B91" s="15" t="s">
        <v>117</v>
      </c>
      <c r="C91" s="15" t="s">
        <v>201</v>
      </c>
    </row>
    <row r="92" ht="22.5" customHeight="1">
      <c r="A92" s="15">
        <v>127.0</v>
      </c>
      <c r="B92" s="15" t="s">
        <v>118</v>
      </c>
      <c r="C92" s="15" t="s">
        <v>202</v>
      </c>
    </row>
    <row r="93" ht="22.5" customHeight="1">
      <c r="A93" s="15">
        <v>128.0</v>
      </c>
      <c r="B93" s="15" t="s">
        <v>119</v>
      </c>
      <c r="C93" s="15" t="s">
        <v>203</v>
      </c>
    </row>
    <row r="94" ht="22.5" customHeight="1">
      <c r="A94" s="15">
        <v>129.0</v>
      </c>
      <c r="B94" s="15" t="s">
        <v>120</v>
      </c>
      <c r="C94" s="15" t="s">
        <v>204</v>
      </c>
    </row>
    <row r="95" ht="22.5" customHeight="1">
      <c r="A95" s="15">
        <v>130.0</v>
      </c>
      <c r="B95" s="15" t="s">
        <v>118</v>
      </c>
      <c r="C95" s="15" t="s">
        <v>202</v>
      </c>
    </row>
    <row r="96" ht="22.5" customHeight="1">
      <c r="A96" s="15">
        <v>131.0</v>
      </c>
      <c r="B96" s="15" t="s">
        <v>119</v>
      </c>
      <c r="C96" s="15" t="s">
        <v>203</v>
      </c>
    </row>
    <row r="97" ht="22.5" customHeight="1">
      <c r="A97" s="15">
        <v>132.0</v>
      </c>
      <c r="B97" s="15" t="s">
        <v>120</v>
      </c>
      <c r="C97" s="15" t="s">
        <v>204</v>
      </c>
    </row>
    <row r="98" ht="22.5" customHeight="1">
      <c r="A98" s="15">
        <v>133.0</v>
      </c>
      <c r="B98" s="15" t="s">
        <v>118</v>
      </c>
      <c r="C98" s="15" t="s">
        <v>202</v>
      </c>
    </row>
    <row r="99" ht="22.5" customHeight="1">
      <c r="A99" s="15">
        <v>134.0</v>
      </c>
      <c r="B99" s="15" t="s">
        <v>119</v>
      </c>
      <c r="C99" s="15" t="s">
        <v>203</v>
      </c>
    </row>
    <row r="100" ht="22.5" customHeight="1">
      <c r="A100" s="15">
        <v>135.0</v>
      </c>
      <c r="B100" s="15" t="s">
        <v>120</v>
      </c>
      <c r="C100" s="15" t="s">
        <v>204</v>
      </c>
    </row>
    <row r="101" ht="22.5" customHeight="1">
      <c r="A101" s="15">
        <v>200.0</v>
      </c>
      <c r="B101" s="15" t="s">
        <v>109</v>
      </c>
      <c r="C101" s="15" t="s">
        <v>193</v>
      </c>
    </row>
    <row r="102" ht="22.5" customHeight="1">
      <c r="A102" s="15">
        <v>201.0</v>
      </c>
      <c r="B102" s="15" t="s">
        <v>110</v>
      </c>
      <c r="C102" s="15" t="s">
        <v>194</v>
      </c>
    </row>
    <row r="103" ht="22.5" customHeight="1">
      <c r="A103" s="15">
        <v>202.0</v>
      </c>
      <c r="B103" s="15" t="s">
        <v>111</v>
      </c>
      <c r="C103" s="15" t="s">
        <v>195</v>
      </c>
    </row>
    <row r="104" ht="22.5" customHeight="1">
      <c r="A104" s="15">
        <v>203.0</v>
      </c>
      <c r="B104" s="15" t="s">
        <v>109</v>
      </c>
      <c r="C104" s="15" t="s">
        <v>193</v>
      </c>
    </row>
    <row r="105" ht="22.5" customHeight="1">
      <c r="A105" s="15">
        <v>204.0</v>
      </c>
      <c r="B105" s="15" t="s">
        <v>110</v>
      </c>
      <c r="C105" s="15" t="s">
        <v>194</v>
      </c>
    </row>
    <row r="106" ht="22.5" customHeight="1">
      <c r="A106" s="15">
        <v>205.0</v>
      </c>
      <c r="B106" s="15" t="s">
        <v>111</v>
      </c>
      <c r="C106" s="15" t="s">
        <v>195</v>
      </c>
    </row>
    <row r="107" ht="22.5" customHeight="1">
      <c r="A107" s="15">
        <v>206.0</v>
      </c>
      <c r="B107" s="15" t="s">
        <v>109</v>
      </c>
      <c r="C107" s="15" t="s">
        <v>193</v>
      </c>
    </row>
    <row r="108" ht="22.5" customHeight="1">
      <c r="A108" s="15">
        <v>207.0</v>
      </c>
      <c r="B108" s="15" t="s">
        <v>110</v>
      </c>
      <c r="C108" s="15" t="s">
        <v>194</v>
      </c>
    </row>
    <row r="109" ht="22.5" customHeight="1">
      <c r="A109" s="15">
        <v>208.0</v>
      </c>
      <c r="B109" s="15" t="s">
        <v>111</v>
      </c>
      <c r="C109" s="15" t="s">
        <v>195</v>
      </c>
    </row>
    <row r="110" ht="22.5" customHeight="1">
      <c r="A110" s="15">
        <v>209.0</v>
      </c>
      <c r="B110" s="15" t="s">
        <v>112</v>
      </c>
      <c r="C110" s="15" t="s">
        <v>196</v>
      </c>
    </row>
    <row r="111" ht="22.5" customHeight="1">
      <c r="A111" s="15">
        <v>210.0</v>
      </c>
      <c r="B111" s="15" t="s">
        <v>113</v>
      </c>
      <c r="C111" s="15" t="s">
        <v>197</v>
      </c>
    </row>
    <row r="112" ht="22.5" customHeight="1">
      <c r="A112" s="15">
        <v>211.0</v>
      </c>
      <c r="B112" s="15" t="s">
        <v>114</v>
      </c>
      <c r="C112" s="15" t="s">
        <v>198</v>
      </c>
    </row>
    <row r="113" ht="22.5" customHeight="1">
      <c r="A113" s="15">
        <v>212.0</v>
      </c>
      <c r="B113" s="15" t="s">
        <v>112</v>
      </c>
      <c r="C113" s="15" t="s">
        <v>196</v>
      </c>
    </row>
    <row r="114" ht="22.5" customHeight="1">
      <c r="A114" s="15">
        <v>213.0</v>
      </c>
      <c r="B114" s="15" t="s">
        <v>113</v>
      </c>
      <c r="C114" s="15" t="s">
        <v>197</v>
      </c>
    </row>
    <row r="115" ht="22.5" customHeight="1">
      <c r="A115" s="15">
        <v>214.0</v>
      </c>
      <c r="B115" s="15" t="s">
        <v>114</v>
      </c>
      <c r="C115" s="15" t="s">
        <v>198</v>
      </c>
    </row>
    <row r="116" ht="22.5" customHeight="1">
      <c r="A116" s="15">
        <v>215.0</v>
      </c>
      <c r="B116" s="15" t="s">
        <v>112</v>
      </c>
      <c r="C116" s="15" t="s">
        <v>196</v>
      </c>
    </row>
    <row r="117" ht="22.5" customHeight="1">
      <c r="A117" s="15">
        <v>216.0</v>
      </c>
      <c r="B117" s="15" t="s">
        <v>113</v>
      </c>
      <c r="C117" s="15" t="s">
        <v>197</v>
      </c>
    </row>
    <row r="118" ht="22.5" customHeight="1">
      <c r="A118" s="15">
        <v>217.0</v>
      </c>
      <c r="B118" s="15" t="s">
        <v>114</v>
      </c>
      <c r="C118" s="15" t="s">
        <v>198</v>
      </c>
    </row>
    <row r="119" ht="22.5" customHeight="1">
      <c r="A119" s="15">
        <v>218.0</v>
      </c>
      <c r="B119" s="15" t="s">
        <v>115</v>
      </c>
      <c r="C119" s="15" t="s">
        <v>199</v>
      </c>
    </row>
    <row r="120" ht="22.5" customHeight="1">
      <c r="A120" s="15">
        <v>219.0</v>
      </c>
      <c r="B120" s="15" t="s">
        <v>116</v>
      </c>
      <c r="C120" s="15" t="s">
        <v>200</v>
      </c>
    </row>
    <row r="121" ht="22.5" customHeight="1">
      <c r="A121" s="15">
        <v>220.0</v>
      </c>
      <c r="B121" s="15" t="s">
        <v>117</v>
      </c>
      <c r="C121" s="15" t="s">
        <v>201</v>
      </c>
    </row>
    <row r="122" ht="22.5" customHeight="1">
      <c r="A122" s="15">
        <v>221.0</v>
      </c>
      <c r="B122" s="15" t="s">
        <v>115</v>
      </c>
      <c r="C122" s="15" t="s">
        <v>199</v>
      </c>
    </row>
    <row r="123" ht="22.5" customHeight="1">
      <c r="A123" s="15">
        <v>222.0</v>
      </c>
      <c r="B123" s="15" t="s">
        <v>116</v>
      </c>
      <c r="C123" s="15" t="s">
        <v>200</v>
      </c>
    </row>
    <row r="124" ht="22.5" customHeight="1">
      <c r="A124" s="15">
        <v>223.0</v>
      </c>
      <c r="B124" s="15" t="s">
        <v>117</v>
      </c>
      <c r="C124" s="15" t="s">
        <v>201</v>
      </c>
    </row>
    <row r="125" ht="22.5" customHeight="1">
      <c r="A125" s="15">
        <v>224.0</v>
      </c>
      <c r="B125" s="15" t="s">
        <v>115</v>
      </c>
      <c r="C125" s="15" t="s">
        <v>199</v>
      </c>
    </row>
    <row r="126" ht="22.5" customHeight="1">
      <c r="A126" s="15">
        <v>225.0</v>
      </c>
      <c r="B126" s="15" t="s">
        <v>116</v>
      </c>
      <c r="C126" s="15" t="s">
        <v>200</v>
      </c>
    </row>
    <row r="127" ht="22.5" customHeight="1">
      <c r="A127" s="15">
        <v>226.0</v>
      </c>
      <c r="B127" s="15" t="s">
        <v>117</v>
      </c>
      <c r="C127" s="15" t="s">
        <v>201</v>
      </c>
    </row>
    <row r="128" ht="22.5" customHeight="1">
      <c r="A128" s="15">
        <v>227.0</v>
      </c>
      <c r="B128" s="15" t="s">
        <v>118</v>
      </c>
      <c r="C128" s="15" t="s">
        <v>202</v>
      </c>
    </row>
    <row r="129" ht="22.5" customHeight="1">
      <c r="A129" s="15">
        <v>228.0</v>
      </c>
      <c r="B129" s="15" t="s">
        <v>119</v>
      </c>
      <c r="C129" s="15" t="s">
        <v>203</v>
      </c>
    </row>
    <row r="130" ht="22.5" customHeight="1">
      <c r="A130" s="15">
        <v>229.0</v>
      </c>
      <c r="B130" s="15" t="s">
        <v>120</v>
      </c>
      <c r="C130" s="15" t="s">
        <v>204</v>
      </c>
    </row>
    <row r="131" ht="22.5" customHeight="1">
      <c r="A131" s="15">
        <v>230.0</v>
      </c>
      <c r="B131" s="15" t="s">
        <v>118</v>
      </c>
      <c r="C131" s="15" t="s">
        <v>202</v>
      </c>
    </row>
    <row r="132" ht="22.5" customHeight="1">
      <c r="A132" s="15">
        <v>231.0</v>
      </c>
      <c r="B132" s="15" t="s">
        <v>119</v>
      </c>
      <c r="C132" s="15" t="s">
        <v>203</v>
      </c>
    </row>
    <row r="133" ht="22.5" customHeight="1">
      <c r="A133" s="15">
        <v>232.0</v>
      </c>
      <c r="B133" s="15" t="s">
        <v>120</v>
      </c>
      <c r="C133" s="15" t="s">
        <v>204</v>
      </c>
    </row>
    <row r="134" ht="22.5" customHeight="1">
      <c r="A134" s="15">
        <v>233.0</v>
      </c>
      <c r="B134" s="15" t="s">
        <v>118</v>
      </c>
      <c r="C134" s="15" t="s">
        <v>202</v>
      </c>
    </row>
    <row r="135" ht="22.5" customHeight="1">
      <c r="A135" s="15">
        <v>234.0</v>
      </c>
      <c r="B135" s="15" t="s">
        <v>119</v>
      </c>
      <c r="C135" s="15" t="s">
        <v>203</v>
      </c>
    </row>
    <row r="136" ht="22.5" customHeight="1">
      <c r="A136" s="15">
        <v>235.0</v>
      </c>
      <c r="B136" s="15" t="s">
        <v>120</v>
      </c>
      <c r="C136" s="15" t="s">
        <v>204</v>
      </c>
    </row>
    <row r="137" ht="22.5" customHeight="1">
      <c r="A137" s="15">
        <v>1000.0</v>
      </c>
      <c r="B137" s="15" t="s">
        <v>109</v>
      </c>
      <c r="C137" s="15" t="s">
        <v>193</v>
      </c>
    </row>
    <row r="138" ht="22.5" customHeight="1">
      <c r="A138" s="15">
        <v>1001.0</v>
      </c>
      <c r="B138" s="15" t="s">
        <v>183</v>
      </c>
      <c r="C138" s="15" t="s">
        <v>183</v>
      </c>
    </row>
    <row r="139" ht="22.5" customHeight="1">
      <c r="A139" s="15">
        <v>1002.0</v>
      </c>
      <c r="B139" s="15" t="s">
        <v>183</v>
      </c>
      <c r="C139" s="15" t="s">
        <v>183</v>
      </c>
    </row>
    <row r="140" ht="22.5" customHeight="1">
      <c r="A140" s="15">
        <v>1003.0</v>
      </c>
      <c r="B140" s="15" t="s">
        <v>183</v>
      </c>
      <c r="C140" s="15" t="s">
        <v>183</v>
      </c>
    </row>
    <row r="141" ht="22.5" customHeight="1">
      <c r="A141" s="15">
        <v>1004.0</v>
      </c>
      <c r="B141" s="15" t="s">
        <v>183</v>
      </c>
      <c r="C141" s="15" t="s">
        <v>183</v>
      </c>
    </row>
    <row r="142" ht="22.5" customHeight="1">
      <c r="A142" s="15">
        <v>1005.0</v>
      </c>
      <c r="B142" s="15" t="s">
        <v>183</v>
      </c>
      <c r="C142" s="15" t="s">
        <v>183</v>
      </c>
    </row>
    <row r="143" ht="22.5" customHeight="1">
      <c r="A143" s="15">
        <v>1006.0</v>
      </c>
      <c r="B143" s="15" t="s">
        <v>183</v>
      </c>
      <c r="C143" s="15" t="s">
        <v>183</v>
      </c>
    </row>
    <row r="144" ht="22.5" customHeight="1">
      <c r="A144" s="15">
        <v>1007.0</v>
      </c>
      <c r="B144" s="15" t="s">
        <v>183</v>
      </c>
      <c r="C144" s="15" t="s">
        <v>183</v>
      </c>
    </row>
    <row r="145" ht="22.5" customHeight="1">
      <c r="A145" s="15">
        <v>1008.0</v>
      </c>
      <c r="B145" s="15" t="s">
        <v>183</v>
      </c>
      <c r="C145" s="15" t="s">
        <v>183</v>
      </c>
    </row>
    <row r="146" ht="22.5" customHeight="1">
      <c r="A146" s="15">
        <v>1009.0</v>
      </c>
      <c r="B146" s="15" t="s">
        <v>183</v>
      </c>
      <c r="C146" s="15" t="s">
        <v>183</v>
      </c>
    </row>
    <row r="147" ht="22.5" customHeight="1">
      <c r="A147" s="15">
        <v>1010.0</v>
      </c>
      <c r="B147" s="15" t="s">
        <v>112</v>
      </c>
      <c r="C147" s="15" t="s">
        <v>196</v>
      </c>
    </row>
    <row r="148" ht="22.5" customHeight="1">
      <c r="A148" s="15">
        <v>1011.0</v>
      </c>
      <c r="B148" s="15" t="s">
        <v>183</v>
      </c>
      <c r="C148" s="15" t="s">
        <v>183</v>
      </c>
    </row>
    <row r="149" ht="22.5" customHeight="1">
      <c r="A149" s="15">
        <v>1012.0</v>
      </c>
      <c r="B149" s="15" t="s">
        <v>183</v>
      </c>
      <c r="C149" s="15" t="s">
        <v>183</v>
      </c>
    </row>
    <row r="150" ht="22.5" customHeight="1">
      <c r="A150" s="15">
        <v>1013.0</v>
      </c>
      <c r="B150" s="15" t="s">
        <v>183</v>
      </c>
      <c r="C150" s="15" t="s">
        <v>183</v>
      </c>
    </row>
    <row r="151" ht="22.5" customHeight="1">
      <c r="A151" s="15">
        <v>1014.0</v>
      </c>
      <c r="B151" s="15" t="s">
        <v>183</v>
      </c>
      <c r="C151" s="15" t="s">
        <v>183</v>
      </c>
    </row>
    <row r="152" ht="22.5" customHeight="1">
      <c r="A152" s="15">
        <v>1015.0</v>
      </c>
      <c r="B152" s="15" t="s">
        <v>183</v>
      </c>
      <c r="C152" s="15" t="s">
        <v>183</v>
      </c>
    </row>
    <row r="153" ht="22.5" customHeight="1">
      <c r="A153" s="15">
        <v>1016.0</v>
      </c>
      <c r="B153" s="15" t="s">
        <v>183</v>
      </c>
      <c r="C153" s="15" t="s">
        <v>183</v>
      </c>
    </row>
    <row r="154" ht="22.5" customHeight="1">
      <c r="A154" s="15">
        <v>1017.0</v>
      </c>
      <c r="B154" s="15" t="s">
        <v>183</v>
      </c>
      <c r="C154" s="15" t="s">
        <v>183</v>
      </c>
    </row>
    <row r="155" ht="22.5" customHeight="1">
      <c r="A155" s="15">
        <v>1018.0</v>
      </c>
      <c r="B155" s="15" t="s">
        <v>183</v>
      </c>
      <c r="C155" s="15" t="s">
        <v>183</v>
      </c>
    </row>
    <row r="156" ht="22.5" customHeight="1">
      <c r="A156" s="15">
        <v>1019.0</v>
      </c>
      <c r="B156" s="15" t="s">
        <v>183</v>
      </c>
      <c r="C156" s="15" t="s">
        <v>183</v>
      </c>
    </row>
    <row r="157" ht="22.5" customHeight="1">
      <c r="A157" s="15">
        <v>1020.0</v>
      </c>
      <c r="B157" s="15" t="s">
        <v>115</v>
      </c>
      <c r="C157" s="15" t="s">
        <v>199</v>
      </c>
    </row>
    <row r="158" ht="22.5" customHeight="1">
      <c r="A158" s="15">
        <v>1021.0</v>
      </c>
      <c r="B158" s="15" t="s">
        <v>183</v>
      </c>
      <c r="C158" s="15" t="s">
        <v>183</v>
      </c>
    </row>
    <row r="159" ht="22.5" customHeight="1">
      <c r="A159" s="15">
        <v>1022.0</v>
      </c>
      <c r="B159" s="15" t="s">
        <v>183</v>
      </c>
      <c r="C159" s="15" t="s">
        <v>183</v>
      </c>
    </row>
    <row r="160" ht="22.5" customHeight="1">
      <c r="A160" s="15">
        <v>1023.0</v>
      </c>
      <c r="B160" s="15" t="s">
        <v>183</v>
      </c>
      <c r="C160" s="15" t="s">
        <v>183</v>
      </c>
    </row>
    <row r="161" ht="22.5" customHeight="1">
      <c r="A161" s="15">
        <v>1024.0</v>
      </c>
      <c r="B161" s="15" t="s">
        <v>183</v>
      </c>
      <c r="C161" s="15" t="s">
        <v>183</v>
      </c>
    </row>
    <row r="162" ht="22.5" customHeight="1">
      <c r="A162" s="15">
        <v>1025.0</v>
      </c>
      <c r="B162" s="15" t="s">
        <v>183</v>
      </c>
      <c r="C162" s="15" t="s">
        <v>183</v>
      </c>
    </row>
    <row r="163" ht="22.5" customHeight="1">
      <c r="A163" s="15">
        <v>1026.0</v>
      </c>
      <c r="B163" s="15" t="s">
        <v>183</v>
      </c>
      <c r="C163" s="15" t="s">
        <v>183</v>
      </c>
    </row>
    <row r="164" ht="22.5" customHeight="1">
      <c r="A164" s="15">
        <v>1027.0</v>
      </c>
      <c r="B164" s="15" t="s">
        <v>183</v>
      </c>
      <c r="C164" s="15" t="s">
        <v>183</v>
      </c>
    </row>
    <row r="165" ht="22.5" customHeight="1">
      <c r="A165" s="15">
        <v>1028.0</v>
      </c>
      <c r="B165" s="15" t="s">
        <v>183</v>
      </c>
      <c r="C165" s="15" t="s">
        <v>183</v>
      </c>
    </row>
    <row r="166" ht="22.5" customHeight="1">
      <c r="A166" s="15">
        <v>1029.0</v>
      </c>
      <c r="B166" s="15" t="s">
        <v>183</v>
      </c>
      <c r="C166" s="15" t="s">
        <v>183</v>
      </c>
    </row>
    <row r="167" ht="22.5" customHeight="1">
      <c r="A167" s="15">
        <v>1030.0</v>
      </c>
      <c r="B167" s="15" t="s">
        <v>118</v>
      </c>
      <c r="C167" s="15" t="s">
        <v>202</v>
      </c>
    </row>
    <row r="168" ht="22.5" customHeight="1">
      <c r="A168" s="15">
        <v>1031.0</v>
      </c>
      <c r="B168" s="15" t="s">
        <v>183</v>
      </c>
      <c r="C168" s="15" t="s">
        <v>183</v>
      </c>
    </row>
    <row r="169" ht="22.5" customHeight="1">
      <c r="A169" s="15">
        <v>1032.0</v>
      </c>
      <c r="B169" s="15" t="s">
        <v>183</v>
      </c>
      <c r="C169" s="15" t="s">
        <v>183</v>
      </c>
    </row>
    <row r="170" ht="22.5" customHeight="1">
      <c r="A170" s="15">
        <v>1033.0</v>
      </c>
      <c r="B170" s="15" t="s">
        <v>183</v>
      </c>
      <c r="C170" s="15" t="s">
        <v>183</v>
      </c>
    </row>
    <row r="171" ht="22.5" customHeight="1">
      <c r="A171" s="15">
        <v>1034.0</v>
      </c>
      <c r="B171" s="15" t="s">
        <v>183</v>
      </c>
      <c r="C171" s="15" t="s">
        <v>183</v>
      </c>
    </row>
    <row r="172" ht="22.5" customHeight="1">
      <c r="A172" s="15">
        <v>1035.0</v>
      </c>
      <c r="B172" s="15" t="s">
        <v>183</v>
      </c>
      <c r="C172" s="15" t="s">
        <v>183</v>
      </c>
    </row>
    <row r="173" ht="22.5" customHeight="1">
      <c r="A173" s="15">
        <v>1036.0</v>
      </c>
      <c r="B173" s="15" t="s">
        <v>183</v>
      </c>
      <c r="C173" s="15" t="s">
        <v>183</v>
      </c>
    </row>
    <row r="174" ht="22.5" customHeight="1">
      <c r="A174" s="15">
        <v>1037.0</v>
      </c>
      <c r="B174" s="15" t="s">
        <v>183</v>
      </c>
      <c r="C174" s="15" t="s">
        <v>183</v>
      </c>
    </row>
    <row r="175" ht="22.5" customHeight="1">
      <c r="A175" s="15">
        <v>1038.0</v>
      </c>
      <c r="B175" s="15" t="s">
        <v>183</v>
      </c>
      <c r="C175" s="15" t="s">
        <v>183</v>
      </c>
    </row>
    <row r="176" ht="22.5" customHeight="1">
      <c r="A176" s="15">
        <v>1039.0</v>
      </c>
      <c r="B176" s="15" t="s">
        <v>183</v>
      </c>
      <c r="C176" s="15" t="s">
        <v>183</v>
      </c>
    </row>
    <row r="177" ht="22.5" customHeight="1">
      <c r="A177" s="15">
        <v>1040.0</v>
      </c>
      <c r="B177" s="15" t="s">
        <v>110</v>
      </c>
      <c r="C177" s="15" t="s">
        <v>194</v>
      </c>
    </row>
    <row r="178" ht="22.5" customHeight="1">
      <c r="A178" s="15">
        <v>1041.0</v>
      </c>
      <c r="B178" s="15" t="s">
        <v>183</v>
      </c>
      <c r="C178" s="15" t="s">
        <v>183</v>
      </c>
    </row>
    <row r="179" ht="22.5" customHeight="1">
      <c r="A179" s="15">
        <v>1042.0</v>
      </c>
      <c r="B179" s="15" t="s">
        <v>183</v>
      </c>
      <c r="C179" s="15" t="s">
        <v>183</v>
      </c>
    </row>
    <row r="180" ht="22.5" customHeight="1">
      <c r="A180" s="15">
        <v>1043.0</v>
      </c>
      <c r="B180" s="15" t="s">
        <v>183</v>
      </c>
      <c r="C180" s="15" t="s">
        <v>183</v>
      </c>
    </row>
    <row r="181" ht="22.5" customHeight="1">
      <c r="A181" s="15">
        <v>1044.0</v>
      </c>
      <c r="B181" s="15" t="s">
        <v>183</v>
      </c>
      <c r="C181" s="15" t="s">
        <v>183</v>
      </c>
    </row>
    <row r="182" ht="22.5" customHeight="1">
      <c r="A182" s="15">
        <v>1045.0</v>
      </c>
      <c r="B182" s="15" t="s">
        <v>183</v>
      </c>
      <c r="C182" s="15" t="s">
        <v>183</v>
      </c>
    </row>
    <row r="183" ht="22.5" customHeight="1">
      <c r="A183" s="15">
        <v>1046.0</v>
      </c>
      <c r="B183" s="15" t="s">
        <v>183</v>
      </c>
      <c r="C183" s="15" t="s">
        <v>183</v>
      </c>
    </row>
    <row r="184" ht="22.5" customHeight="1">
      <c r="A184" s="15">
        <v>1047.0</v>
      </c>
      <c r="B184" s="15" t="s">
        <v>183</v>
      </c>
      <c r="C184" s="15" t="s">
        <v>183</v>
      </c>
    </row>
    <row r="185" ht="22.5" customHeight="1">
      <c r="A185" s="15">
        <v>1048.0</v>
      </c>
      <c r="B185" s="15" t="s">
        <v>183</v>
      </c>
      <c r="C185" s="15" t="s">
        <v>183</v>
      </c>
    </row>
    <row r="186" ht="22.5" customHeight="1">
      <c r="A186" s="15">
        <v>1049.0</v>
      </c>
      <c r="B186" s="15" t="s">
        <v>183</v>
      </c>
      <c r="C186" s="15" t="s">
        <v>183</v>
      </c>
    </row>
    <row r="187" ht="22.5" customHeight="1">
      <c r="A187" s="15">
        <v>1050.0</v>
      </c>
      <c r="B187" s="15" t="s">
        <v>115</v>
      </c>
      <c r="C187" s="15" t="s">
        <v>199</v>
      </c>
    </row>
    <row r="188" ht="22.5" customHeight="1">
      <c r="A188" s="15">
        <v>1051.0</v>
      </c>
      <c r="B188" s="15" t="s">
        <v>183</v>
      </c>
      <c r="C188" s="15" t="s">
        <v>183</v>
      </c>
    </row>
    <row r="189" ht="22.5" customHeight="1">
      <c r="A189" s="15">
        <v>1052.0</v>
      </c>
      <c r="B189" s="15" t="s">
        <v>183</v>
      </c>
      <c r="C189" s="15" t="s">
        <v>183</v>
      </c>
    </row>
    <row r="190" ht="22.5" customHeight="1">
      <c r="A190" s="15">
        <v>1053.0</v>
      </c>
      <c r="B190" s="15" t="s">
        <v>183</v>
      </c>
      <c r="C190" s="15" t="s">
        <v>183</v>
      </c>
    </row>
    <row r="191" ht="22.5" customHeight="1">
      <c r="A191" s="15">
        <v>1054.0</v>
      </c>
      <c r="B191" s="15" t="s">
        <v>183</v>
      </c>
      <c r="C191" s="15" t="s">
        <v>183</v>
      </c>
    </row>
    <row r="192" ht="22.5" customHeight="1">
      <c r="A192" s="15">
        <v>1055.0</v>
      </c>
      <c r="B192" s="15" t="s">
        <v>183</v>
      </c>
      <c r="C192" s="15" t="s">
        <v>183</v>
      </c>
    </row>
    <row r="193" ht="22.5" customHeight="1">
      <c r="A193" s="15">
        <v>1056.0</v>
      </c>
      <c r="B193" s="15" t="s">
        <v>183</v>
      </c>
      <c r="C193" s="15" t="s">
        <v>183</v>
      </c>
    </row>
    <row r="194" ht="22.5" customHeight="1">
      <c r="A194" s="15">
        <v>1057.0</v>
      </c>
      <c r="B194" s="15" t="s">
        <v>183</v>
      </c>
      <c r="C194" s="15" t="s">
        <v>183</v>
      </c>
    </row>
    <row r="195" ht="22.5" customHeight="1">
      <c r="A195" s="15">
        <v>1058.0</v>
      </c>
      <c r="B195" s="15" t="s">
        <v>183</v>
      </c>
      <c r="C195" s="15" t="s">
        <v>183</v>
      </c>
    </row>
    <row r="196" ht="22.5" customHeight="1">
      <c r="A196" s="15">
        <v>1059.0</v>
      </c>
      <c r="B196" s="15" t="s">
        <v>183</v>
      </c>
      <c r="C196" s="15" t="s">
        <v>183</v>
      </c>
    </row>
    <row r="197" ht="22.5" customHeight="1">
      <c r="A197" s="15">
        <v>1060.0</v>
      </c>
      <c r="B197" s="15" t="s">
        <v>119</v>
      </c>
      <c r="C197" s="15" t="s">
        <v>203</v>
      </c>
    </row>
    <row r="198" ht="22.5" customHeight="1">
      <c r="A198" s="15">
        <v>1061.0</v>
      </c>
      <c r="B198" s="15" t="s">
        <v>183</v>
      </c>
      <c r="C198" s="15" t="s">
        <v>183</v>
      </c>
    </row>
    <row r="199" ht="22.5" customHeight="1">
      <c r="A199" s="15">
        <v>1062.0</v>
      </c>
      <c r="B199" s="15" t="s">
        <v>183</v>
      </c>
      <c r="C199" s="15" t="s">
        <v>183</v>
      </c>
    </row>
    <row r="200" ht="22.5" customHeight="1">
      <c r="A200" s="15">
        <v>1063.0</v>
      </c>
      <c r="B200" s="15" t="s">
        <v>183</v>
      </c>
      <c r="C200" s="15" t="s">
        <v>183</v>
      </c>
    </row>
    <row r="201" ht="22.5" customHeight="1">
      <c r="A201" s="15">
        <v>1064.0</v>
      </c>
      <c r="B201" s="15" t="s">
        <v>183</v>
      </c>
      <c r="C201" s="15" t="s">
        <v>183</v>
      </c>
    </row>
    <row r="202" ht="22.5" customHeight="1">
      <c r="A202" s="15">
        <v>1065.0</v>
      </c>
      <c r="B202" s="15" t="s">
        <v>183</v>
      </c>
      <c r="C202" s="15" t="s">
        <v>183</v>
      </c>
    </row>
    <row r="203" ht="22.5" customHeight="1">
      <c r="A203" s="15">
        <v>1066.0</v>
      </c>
      <c r="B203" s="15" t="s">
        <v>183</v>
      </c>
      <c r="C203" s="15" t="s">
        <v>183</v>
      </c>
    </row>
    <row r="204" ht="22.5" customHeight="1">
      <c r="A204" s="15">
        <v>1067.0</v>
      </c>
      <c r="B204" s="15" t="s">
        <v>183</v>
      </c>
      <c r="C204" s="15" t="s">
        <v>183</v>
      </c>
    </row>
    <row r="205" ht="22.5" customHeight="1">
      <c r="A205" s="15">
        <v>1068.0</v>
      </c>
      <c r="B205" s="15" t="s">
        <v>183</v>
      </c>
      <c r="C205" s="15" t="s">
        <v>183</v>
      </c>
    </row>
    <row r="206" ht="22.5" customHeight="1">
      <c r="A206" s="15">
        <v>1069.0</v>
      </c>
      <c r="B206" s="15" t="s">
        <v>183</v>
      </c>
      <c r="C206" s="15" t="s">
        <v>183</v>
      </c>
    </row>
    <row r="207" ht="22.5" customHeight="1">
      <c r="A207" s="15">
        <v>1070.0</v>
      </c>
      <c r="B207" s="15" t="s">
        <v>113</v>
      </c>
      <c r="C207" s="15" t="s">
        <v>197</v>
      </c>
    </row>
    <row r="208" ht="22.5" customHeight="1">
      <c r="A208" s="15">
        <v>1071.0</v>
      </c>
      <c r="B208" s="15" t="s">
        <v>183</v>
      </c>
      <c r="C208" s="15" t="s">
        <v>183</v>
      </c>
    </row>
    <row r="209" ht="22.5" customHeight="1">
      <c r="A209" s="15">
        <v>1072.0</v>
      </c>
      <c r="B209" s="15" t="s">
        <v>183</v>
      </c>
      <c r="C209" s="15" t="s">
        <v>183</v>
      </c>
    </row>
    <row r="210" ht="22.5" customHeight="1">
      <c r="A210" s="15">
        <v>1073.0</v>
      </c>
      <c r="B210" s="15" t="s">
        <v>183</v>
      </c>
      <c r="C210" s="15" t="s">
        <v>183</v>
      </c>
    </row>
    <row r="211" ht="22.5" customHeight="1">
      <c r="A211" s="15">
        <v>1074.0</v>
      </c>
      <c r="B211" s="15" t="s">
        <v>183</v>
      </c>
      <c r="C211" s="15" t="s">
        <v>183</v>
      </c>
    </row>
    <row r="212" ht="22.5" customHeight="1">
      <c r="A212" s="15">
        <v>1075.0</v>
      </c>
      <c r="B212" s="15" t="s">
        <v>183</v>
      </c>
      <c r="C212" s="15" t="s">
        <v>183</v>
      </c>
    </row>
    <row r="213" ht="22.5" customHeight="1">
      <c r="A213" s="15">
        <v>1076.0</v>
      </c>
      <c r="B213" s="15" t="s">
        <v>183</v>
      </c>
      <c r="C213" s="15" t="s">
        <v>183</v>
      </c>
    </row>
    <row r="214" ht="22.5" customHeight="1">
      <c r="A214" s="15">
        <v>1077.0</v>
      </c>
      <c r="B214" s="15" t="s">
        <v>183</v>
      </c>
      <c r="C214" s="15" t="s">
        <v>183</v>
      </c>
    </row>
    <row r="215" ht="22.5" customHeight="1">
      <c r="A215" s="15">
        <v>1078.0</v>
      </c>
      <c r="B215" s="15" t="s">
        <v>183</v>
      </c>
      <c r="C215" s="15" t="s">
        <v>183</v>
      </c>
    </row>
    <row r="216" ht="22.5" customHeight="1">
      <c r="A216" s="15">
        <v>1079.0</v>
      </c>
      <c r="B216" s="15" t="s">
        <v>183</v>
      </c>
      <c r="C216" s="15" t="s">
        <v>183</v>
      </c>
    </row>
    <row r="217" ht="22.5" customHeight="1">
      <c r="A217" s="15">
        <v>1080.0</v>
      </c>
      <c r="B217" s="15" t="s">
        <v>110</v>
      </c>
      <c r="C217" s="15" t="s">
        <v>194</v>
      </c>
    </row>
    <row r="218" ht="22.5" customHeight="1">
      <c r="A218" s="15">
        <v>1081.0</v>
      </c>
      <c r="B218" s="15" t="s">
        <v>183</v>
      </c>
      <c r="C218" s="15" t="s">
        <v>183</v>
      </c>
    </row>
    <row r="219" ht="22.5" customHeight="1">
      <c r="A219" s="15">
        <v>1082.0</v>
      </c>
      <c r="B219" s="15" t="s">
        <v>183</v>
      </c>
      <c r="C219" s="15" t="s">
        <v>183</v>
      </c>
    </row>
    <row r="220" ht="22.5" customHeight="1">
      <c r="A220" s="15">
        <v>1083.0</v>
      </c>
      <c r="B220" s="15" t="s">
        <v>183</v>
      </c>
      <c r="C220" s="15" t="s">
        <v>183</v>
      </c>
    </row>
    <row r="221" ht="22.5" customHeight="1">
      <c r="A221" s="15">
        <v>1084.0</v>
      </c>
      <c r="B221" s="15" t="s">
        <v>183</v>
      </c>
      <c r="C221" s="15" t="s">
        <v>183</v>
      </c>
    </row>
    <row r="222" ht="22.5" customHeight="1">
      <c r="A222" s="15">
        <v>1085.0</v>
      </c>
      <c r="B222" s="15" t="s">
        <v>183</v>
      </c>
      <c r="C222" s="15" t="s">
        <v>183</v>
      </c>
    </row>
    <row r="223" ht="22.5" customHeight="1">
      <c r="A223" s="15">
        <v>1086.0</v>
      </c>
      <c r="B223" s="15" t="s">
        <v>183</v>
      </c>
      <c r="C223" s="15" t="s">
        <v>183</v>
      </c>
    </row>
    <row r="224" ht="22.5" customHeight="1">
      <c r="A224" s="15">
        <v>1087.0</v>
      </c>
      <c r="B224" s="15" t="s">
        <v>183</v>
      </c>
      <c r="C224" s="15" t="s">
        <v>183</v>
      </c>
    </row>
    <row r="225" ht="22.5" customHeight="1">
      <c r="A225" s="15">
        <v>1088.0</v>
      </c>
      <c r="B225" s="15" t="s">
        <v>183</v>
      </c>
      <c r="C225" s="15" t="s">
        <v>183</v>
      </c>
    </row>
    <row r="226" ht="22.5" customHeight="1">
      <c r="A226" s="15">
        <v>1089.0</v>
      </c>
      <c r="B226" s="15" t="s">
        <v>183</v>
      </c>
      <c r="C226" s="15" t="s">
        <v>183</v>
      </c>
    </row>
    <row r="227" ht="22.5" customHeight="1">
      <c r="A227" s="15">
        <v>1090.0</v>
      </c>
      <c r="B227" s="15" t="s">
        <v>119</v>
      </c>
      <c r="C227" s="15" t="s">
        <v>203</v>
      </c>
    </row>
    <row r="228" ht="22.5" customHeight="1">
      <c r="A228" s="15">
        <v>1091.0</v>
      </c>
      <c r="B228" s="15" t="s">
        <v>183</v>
      </c>
      <c r="C228" s="15" t="s">
        <v>183</v>
      </c>
    </row>
    <row r="229" ht="22.5" customHeight="1">
      <c r="A229" s="15">
        <v>1092.0</v>
      </c>
      <c r="B229" s="15" t="s">
        <v>183</v>
      </c>
      <c r="C229" s="15" t="s">
        <v>183</v>
      </c>
    </row>
    <row r="230" ht="22.5" customHeight="1">
      <c r="A230" s="15">
        <v>1093.0</v>
      </c>
      <c r="B230" s="15" t="s">
        <v>183</v>
      </c>
      <c r="C230" s="15" t="s">
        <v>183</v>
      </c>
    </row>
    <row r="231" ht="22.5" customHeight="1">
      <c r="A231" s="15">
        <v>1094.0</v>
      </c>
      <c r="B231" s="15" t="s">
        <v>183</v>
      </c>
      <c r="C231" s="15" t="s">
        <v>183</v>
      </c>
    </row>
    <row r="232" ht="22.5" customHeight="1">
      <c r="A232" s="15">
        <v>1095.0</v>
      </c>
      <c r="B232" s="15" t="s">
        <v>183</v>
      </c>
      <c r="C232" s="15" t="s">
        <v>183</v>
      </c>
    </row>
    <row r="233" ht="22.5" customHeight="1">
      <c r="A233" s="15">
        <v>1096.0</v>
      </c>
      <c r="B233" s="15" t="s">
        <v>183</v>
      </c>
      <c r="C233" s="15" t="s">
        <v>183</v>
      </c>
    </row>
    <row r="234" ht="22.5" customHeight="1">
      <c r="A234" s="15">
        <v>1097.0</v>
      </c>
      <c r="B234" s="15" t="s">
        <v>183</v>
      </c>
      <c r="C234" s="15" t="s">
        <v>183</v>
      </c>
    </row>
    <row r="235" ht="22.5" customHeight="1">
      <c r="A235" s="15">
        <v>1098.0</v>
      </c>
      <c r="B235" s="15" t="s">
        <v>183</v>
      </c>
      <c r="C235" s="15" t="s">
        <v>183</v>
      </c>
    </row>
    <row r="236" ht="22.5" customHeight="1">
      <c r="A236" s="15">
        <v>1099.0</v>
      </c>
      <c r="B236" s="15" t="s">
        <v>183</v>
      </c>
      <c r="C236" s="15" t="s">
        <v>183</v>
      </c>
    </row>
    <row r="237" ht="22.5" customHeight="1">
      <c r="A237" s="15">
        <v>1100.0</v>
      </c>
      <c r="B237" s="15" t="s">
        <v>119</v>
      </c>
      <c r="C237" s="15" t="s">
        <v>203</v>
      </c>
    </row>
    <row r="238" ht="22.5" customHeight="1">
      <c r="A238" s="15">
        <v>1101.0</v>
      </c>
      <c r="B238" s="15" t="s">
        <v>183</v>
      </c>
      <c r="C238" s="15" t="s">
        <v>183</v>
      </c>
    </row>
    <row r="239" ht="22.5" customHeight="1">
      <c r="A239" s="15">
        <v>1102.0</v>
      </c>
      <c r="B239" s="15" t="s">
        <v>183</v>
      </c>
      <c r="C239" s="15" t="s">
        <v>183</v>
      </c>
    </row>
    <row r="240" ht="22.5" customHeight="1">
      <c r="A240" s="15">
        <v>1103.0</v>
      </c>
      <c r="B240" s="15" t="s">
        <v>183</v>
      </c>
      <c r="C240" s="15" t="s">
        <v>183</v>
      </c>
    </row>
    <row r="241" ht="22.5" customHeight="1">
      <c r="A241" s="15">
        <v>1104.0</v>
      </c>
      <c r="B241" s="15" t="s">
        <v>183</v>
      </c>
      <c r="C241" s="15" t="s">
        <v>183</v>
      </c>
    </row>
    <row r="242" ht="22.5" customHeight="1">
      <c r="A242" s="15">
        <v>1105.0</v>
      </c>
      <c r="B242" s="15" t="s">
        <v>183</v>
      </c>
      <c r="C242" s="15" t="s">
        <v>183</v>
      </c>
    </row>
    <row r="243" ht="22.5" customHeight="1">
      <c r="A243" s="15">
        <v>1106.0</v>
      </c>
      <c r="B243" s="15" t="s">
        <v>183</v>
      </c>
      <c r="C243" s="15" t="s">
        <v>183</v>
      </c>
    </row>
    <row r="244" ht="22.5" customHeight="1">
      <c r="A244" s="15">
        <v>1107.0</v>
      </c>
      <c r="B244" s="15" t="s">
        <v>183</v>
      </c>
      <c r="C244" s="15" t="s">
        <v>183</v>
      </c>
    </row>
    <row r="245" ht="22.5" customHeight="1">
      <c r="A245" s="15">
        <v>1108.0</v>
      </c>
      <c r="B245" s="15" t="s">
        <v>183</v>
      </c>
      <c r="C245" s="15" t="s">
        <v>183</v>
      </c>
    </row>
    <row r="246" ht="22.5" customHeight="1">
      <c r="A246" s="15">
        <v>1109.0</v>
      </c>
      <c r="B246" s="15" t="s">
        <v>183</v>
      </c>
      <c r="C246" s="15" t="s">
        <v>183</v>
      </c>
    </row>
    <row r="247" ht="22.5" customHeight="1">
      <c r="A247" s="15">
        <v>1110.0</v>
      </c>
      <c r="B247" s="15" t="s">
        <v>110</v>
      </c>
      <c r="C247" s="15" t="s">
        <v>194</v>
      </c>
    </row>
    <row r="248" ht="22.5" customHeight="1">
      <c r="A248" s="15">
        <v>1111.0</v>
      </c>
      <c r="B248" s="15" t="s">
        <v>183</v>
      </c>
      <c r="C248" s="15" t="s">
        <v>183</v>
      </c>
    </row>
    <row r="249" ht="22.5" customHeight="1">
      <c r="A249" s="15">
        <v>1112.0</v>
      </c>
      <c r="B249" s="15" t="s">
        <v>183</v>
      </c>
      <c r="C249" s="15" t="s">
        <v>183</v>
      </c>
    </row>
    <row r="250" ht="22.5" customHeight="1">
      <c r="A250" s="15">
        <v>1113.0</v>
      </c>
      <c r="B250" s="15" t="s">
        <v>183</v>
      </c>
      <c r="C250" s="15" t="s">
        <v>183</v>
      </c>
    </row>
    <row r="251" ht="22.5" customHeight="1">
      <c r="A251" s="15">
        <v>1114.0</v>
      </c>
      <c r="B251" s="15" t="s">
        <v>183</v>
      </c>
      <c r="C251" s="15" t="s">
        <v>183</v>
      </c>
    </row>
    <row r="252" ht="22.5" customHeight="1">
      <c r="A252" s="15">
        <v>1115.0</v>
      </c>
      <c r="B252" s="15" t="s">
        <v>183</v>
      </c>
      <c r="C252" s="15" t="s">
        <v>183</v>
      </c>
    </row>
    <row r="253" ht="22.5" customHeight="1">
      <c r="A253" s="15">
        <v>1116.0</v>
      </c>
      <c r="B253" s="15" t="s">
        <v>183</v>
      </c>
      <c r="C253" s="15" t="s">
        <v>183</v>
      </c>
    </row>
    <row r="254" ht="22.5" customHeight="1">
      <c r="A254" s="15">
        <v>1117.0</v>
      </c>
      <c r="B254" s="15" t="s">
        <v>183</v>
      </c>
      <c r="C254" s="15" t="s">
        <v>183</v>
      </c>
    </row>
    <row r="255" ht="22.5" customHeight="1">
      <c r="A255" s="15">
        <v>1118.0</v>
      </c>
      <c r="B255" s="15" t="s">
        <v>183</v>
      </c>
      <c r="C255" s="15" t="s">
        <v>183</v>
      </c>
    </row>
    <row r="256" ht="22.5" customHeight="1">
      <c r="A256" s="15">
        <v>1119.0</v>
      </c>
      <c r="B256" s="15" t="s">
        <v>183</v>
      </c>
      <c r="C256" s="15" t="s">
        <v>183</v>
      </c>
    </row>
    <row r="257" ht="22.5" customHeight="1">
      <c r="A257" s="15">
        <v>1120.0</v>
      </c>
      <c r="B257" s="15" t="s">
        <v>110</v>
      </c>
      <c r="C257" s="15" t="s">
        <v>194</v>
      </c>
    </row>
    <row r="258" ht="22.5" customHeight="1">
      <c r="A258" s="15">
        <v>1121.0</v>
      </c>
      <c r="B258" s="15" t="s">
        <v>183</v>
      </c>
      <c r="C258" s="15" t="s">
        <v>183</v>
      </c>
    </row>
    <row r="259" ht="22.5" customHeight="1">
      <c r="A259" s="15">
        <v>1122.0</v>
      </c>
      <c r="B259" s="15" t="s">
        <v>183</v>
      </c>
      <c r="C259" s="15" t="s">
        <v>183</v>
      </c>
    </row>
    <row r="260" ht="22.5" customHeight="1">
      <c r="A260" s="15">
        <v>1123.0</v>
      </c>
      <c r="B260" s="15" t="s">
        <v>183</v>
      </c>
      <c r="C260" s="15" t="s">
        <v>183</v>
      </c>
    </row>
    <row r="261" ht="22.5" customHeight="1">
      <c r="A261" s="15">
        <v>1124.0</v>
      </c>
      <c r="B261" s="15" t="s">
        <v>183</v>
      </c>
      <c r="C261" s="15" t="s">
        <v>183</v>
      </c>
    </row>
    <row r="262" ht="22.5" customHeight="1">
      <c r="A262" s="15">
        <v>1125.0</v>
      </c>
      <c r="B262" s="15" t="s">
        <v>183</v>
      </c>
      <c r="C262" s="15" t="s">
        <v>183</v>
      </c>
    </row>
    <row r="263" ht="22.5" customHeight="1">
      <c r="A263" s="15">
        <v>1126.0</v>
      </c>
      <c r="B263" s="15" t="s">
        <v>183</v>
      </c>
      <c r="C263" s="15" t="s">
        <v>183</v>
      </c>
    </row>
    <row r="264" ht="22.5" customHeight="1">
      <c r="A264" s="15">
        <v>1127.0</v>
      </c>
      <c r="B264" s="15" t="s">
        <v>183</v>
      </c>
      <c r="C264" s="15" t="s">
        <v>183</v>
      </c>
    </row>
    <row r="265" ht="22.5" customHeight="1">
      <c r="A265" s="15">
        <v>1128.0</v>
      </c>
      <c r="B265" s="15" t="s">
        <v>183</v>
      </c>
      <c r="C265" s="15" t="s">
        <v>183</v>
      </c>
    </row>
    <row r="266" ht="22.5" customHeight="1">
      <c r="A266" s="15">
        <v>1129.0</v>
      </c>
      <c r="B266" s="15" t="s">
        <v>183</v>
      </c>
      <c r="C266" s="15" t="s">
        <v>183</v>
      </c>
    </row>
    <row r="267" ht="22.5" customHeight="1">
      <c r="A267" s="15">
        <v>1130.0</v>
      </c>
      <c r="B267" s="15" t="s">
        <v>119</v>
      </c>
      <c r="C267" s="15" t="s">
        <v>203</v>
      </c>
    </row>
    <row r="268" ht="22.5" customHeight="1">
      <c r="A268" s="15">
        <v>1131.0</v>
      </c>
      <c r="B268" s="15" t="s">
        <v>183</v>
      </c>
      <c r="C268" s="15" t="s">
        <v>183</v>
      </c>
    </row>
    <row r="269" ht="22.5" customHeight="1">
      <c r="A269" s="15">
        <v>1132.0</v>
      </c>
      <c r="B269" s="15" t="s">
        <v>183</v>
      </c>
      <c r="C269" s="15" t="s">
        <v>183</v>
      </c>
    </row>
    <row r="270" ht="22.5" customHeight="1">
      <c r="A270" s="15">
        <v>1133.0</v>
      </c>
      <c r="B270" s="15" t="s">
        <v>183</v>
      </c>
      <c r="C270" s="15" t="s">
        <v>183</v>
      </c>
    </row>
    <row r="271" ht="22.5" customHeight="1">
      <c r="A271" s="15">
        <v>1134.0</v>
      </c>
      <c r="B271" s="15" t="s">
        <v>183</v>
      </c>
      <c r="C271" s="15" t="s">
        <v>183</v>
      </c>
    </row>
    <row r="272" ht="22.5" customHeight="1">
      <c r="A272" s="15">
        <v>1135.0</v>
      </c>
      <c r="B272" s="15" t="s">
        <v>183</v>
      </c>
      <c r="C272" s="15" t="s">
        <v>183</v>
      </c>
    </row>
    <row r="273" ht="22.5" customHeight="1">
      <c r="A273" s="15">
        <v>1136.0</v>
      </c>
      <c r="B273" s="15" t="s">
        <v>183</v>
      </c>
      <c r="C273" s="15" t="s">
        <v>183</v>
      </c>
    </row>
    <row r="274" ht="22.5" customHeight="1">
      <c r="A274" s="15">
        <v>1137.0</v>
      </c>
      <c r="B274" s="15" t="s">
        <v>183</v>
      </c>
      <c r="C274" s="15" t="s">
        <v>183</v>
      </c>
    </row>
    <row r="275" ht="22.5" customHeight="1">
      <c r="A275" s="15">
        <v>1138.0</v>
      </c>
      <c r="B275" s="15" t="s">
        <v>183</v>
      </c>
      <c r="C275" s="15" t="s">
        <v>183</v>
      </c>
    </row>
    <row r="276" ht="22.5" customHeight="1">
      <c r="A276" s="15">
        <v>1139.0</v>
      </c>
      <c r="B276" s="15" t="s">
        <v>183</v>
      </c>
      <c r="C276" s="15" t="s">
        <v>183</v>
      </c>
    </row>
    <row r="277" ht="22.5" customHeight="1">
      <c r="A277" s="15">
        <v>1140.0</v>
      </c>
      <c r="B277" s="15" t="s">
        <v>116</v>
      </c>
      <c r="C277" s="15" t="s">
        <v>200</v>
      </c>
    </row>
    <row r="278" ht="22.5" customHeight="1">
      <c r="A278" s="15">
        <v>1141.0</v>
      </c>
      <c r="B278" s="15" t="s">
        <v>183</v>
      </c>
      <c r="C278" s="15" t="s">
        <v>183</v>
      </c>
    </row>
    <row r="279" ht="22.5" customHeight="1">
      <c r="A279" s="15">
        <v>1142.0</v>
      </c>
      <c r="B279" s="15" t="s">
        <v>183</v>
      </c>
      <c r="C279" s="15" t="s">
        <v>183</v>
      </c>
    </row>
    <row r="280" ht="22.5" customHeight="1">
      <c r="A280" s="15">
        <v>1143.0</v>
      </c>
      <c r="B280" s="15" t="s">
        <v>183</v>
      </c>
      <c r="C280" s="15" t="s">
        <v>183</v>
      </c>
    </row>
    <row r="281" ht="22.5" customHeight="1">
      <c r="A281" s="15">
        <v>1144.0</v>
      </c>
      <c r="B281" s="15" t="s">
        <v>183</v>
      </c>
      <c r="C281" s="15" t="s">
        <v>183</v>
      </c>
    </row>
    <row r="282" ht="22.5" customHeight="1">
      <c r="A282" s="15">
        <v>1145.0</v>
      </c>
      <c r="B282" s="15" t="s">
        <v>183</v>
      </c>
      <c r="C282" s="15" t="s">
        <v>183</v>
      </c>
    </row>
    <row r="283" ht="22.5" customHeight="1">
      <c r="A283" s="15">
        <v>1146.0</v>
      </c>
      <c r="B283" s="15" t="s">
        <v>183</v>
      </c>
      <c r="C283" s="15" t="s">
        <v>183</v>
      </c>
    </row>
    <row r="284" ht="22.5" customHeight="1">
      <c r="A284" s="15">
        <v>1147.0</v>
      </c>
      <c r="B284" s="15" t="s">
        <v>183</v>
      </c>
      <c r="C284" s="15" t="s">
        <v>183</v>
      </c>
    </row>
    <row r="285" ht="22.5" customHeight="1">
      <c r="A285" s="15">
        <v>1148.0</v>
      </c>
      <c r="B285" s="15" t="s">
        <v>183</v>
      </c>
      <c r="C285" s="15" t="s">
        <v>183</v>
      </c>
    </row>
    <row r="286" ht="22.5" customHeight="1">
      <c r="A286" s="15">
        <v>1149.0</v>
      </c>
      <c r="B286" s="15" t="s">
        <v>183</v>
      </c>
      <c r="C286" s="15" t="s">
        <v>183</v>
      </c>
    </row>
    <row r="287" ht="22.5" customHeight="1">
      <c r="A287" s="15">
        <v>1150.0</v>
      </c>
      <c r="B287" s="15" t="s">
        <v>116</v>
      </c>
      <c r="C287" s="15" t="s">
        <v>200</v>
      </c>
    </row>
    <row r="288" ht="22.5" customHeight="1">
      <c r="A288" s="15">
        <v>1151.0</v>
      </c>
      <c r="B288" s="15" t="s">
        <v>183</v>
      </c>
      <c r="C288" s="15" t="s">
        <v>183</v>
      </c>
    </row>
    <row r="289" ht="22.5" customHeight="1">
      <c r="A289" s="15">
        <v>1152.0</v>
      </c>
      <c r="B289" s="15" t="s">
        <v>183</v>
      </c>
      <c r="C289" s="15" t="s">
        <v>183</v>
      </c>
    </row>
    <row r="290" ht="22.5" customHeight="1">
      <c r="A290" s="15">
        <v>1153.0</v>
      </c>
      <c r="B290" s="15" t="s">
        <v>183</v>
      </c>
      <c r="C290" s="15" t="s">
        <v>183</v>
      </c>
    </row>
    <row r="291" ht="22.5" customHeight="1">
      <c r="A291" s="15">
        <v>1154.0</v>
      </c>
      <c r="B291" s="15" t="s">
        <v>183</v>
      </c>
      <c r="C291" s="15" t="s">
        <v>183</v>
      </c>
    </row>
    <row r="292" ht="22.5" customHeight="1">
      <c r="A292" s="15">
        <v>1155.0</v>
      </c>
      <c r="B292" s="15" t="s">
        <v>183</v>
      </c>
      <c r="C292" s="15" t="s">
        <v>183</v>
      </c>
    </row>
    <row r="293" ht="22.5" customHeight="1">
      <c r="A293" s="15">
        <v>1156.0</v>
      </c>
      <c r="B293" s="15" t="s">
        <v>183</v>
      </c>
      <c r="C293" s="15" t="s">
        <v>183</v>
      </c>
    </row>
    <row r="294" ht="22.5" customHeight="1">
      <c r="A294" s="15">
        <v>1157.0</v>
      </c>
      <c r="B294" s="15" t="s">
        <v>183</v>
      </c>
      <c r="C294" s="15" t="s">
        <v>183</v>
      </c>
    </row>
    <row r="295" ht="22.5" customHeight="1">
      <c r="A295" s="15">
        <v>1158.0</v>
      </c>
      <c r="B295" s="15" t="s">
        <v>183</v>
      </c>
      <c r="C295" s="15" t="s">
        <v>183</v>
      </c>
    </row>
    <row r="296" ht="22.5" customHeight="1">
      <c r="A296" s="15">
        <v>1159.0</v>
      </c>
      <c r="B296" s="15" t="s">
        <v>183</v>
      </c>
      <c r="C296" s="15" t="s">
        <v>183</v>
      </c>
    </row>
    <row r="297" ht="22.5" customHeight="1">
      <c r="A297" s="15">
        <v>1160.0</v>
      </c>
      <c r="B297" s="15" t="s">
        <v>113</v>
      </c>
      <c r="C297" s="15" t="s">
        <v>197</v>
      </c>
    </row>
    <row r="298" ht="22.5" customHeight="1">
      <c r="A298" s="15">
        <v>1161.0</v>
      </c>
      <c r="B298" s="15" t="s">
        <v>183</v>
      </c>
      <c r="C298" s="15" t="s">
        <v>183</v>
      </c>
    </row>
    <row r="299" ht="22.5" customHeight="1">
      <c r="A299" s="15">
        <v>1162.0</v>
      </c>
      <c r="B299" s="15" t="s">
        <v>183</v>
      </c>
      <c r="C299" s="15" t="s">
        <v>183</v>
      </c>
    </row>
    <row r="300" ht="22.5" customHeight="1">
      <c r="A300" s="15">
        <v>1163.0</v>
      </c>
      <c r="B300" s="15" t="s">
        <v>183</v>
      </c>
      <c r="C300" s="15" t="s">
        <v>183</v>
      </c>
    </row>
    <row r="301" ht="22.5" customHeight="1">
      <c r="A301" s="15">
        <v>1164.0</v>
      </c>
      <c r="B301" s="15" t="s">
        <v>183</v>
      </c>
      <c r="C301" s="15" t="s">
        <v>183</v>
      </c>
    </row>
    <row r="302" ht="22.5" customHeight="1">
      <c r="A302" s="15">
        <v>1165.0</v>
      </c>
      <c r="B302" s="15" t="s">
        <v>183</v>
      </c>
      <c r="C302" s="15" t="s">
        <v>183</v>
      </c>
    </row>
    <row r="303" ht="22.5" customHeight="1">
      <c r="A303" s="15">
        <v>1166.0</v>
      </c>
      <c r="B303" s="15" t="s">
        <v>183</v>
      </c>
      <c r="C303" s="15" t="s">
        <v>183</v>
      </c>
    </row>
    <row r="304" ht="22.5" customHeight="1">
      <c r="A304" s="15">
        <v>1167.0</v>
      </c>
      <c r="B304" s="15" t="s">
        <v>183</v>
      </c>
      <c r="C304" s="15" t="s">
        <v>183</v>
      </c>
    </row>
    <row r="305" ht="22.5" customHeight="1">
      <c r="A305" s="15">
        <v>1168.0</v>
      </c>
      <c r="B305" s="15" t="s">
        <v>183</v>
      </c>
      <c r="C305" s="15" t="s">
        <v>183</v>
      </c>
    </row>
    <row r="306" ht="22.5" customHeight="1">
      <c r="A306" s="15">
        <v>1169.0</v>
      </c>
      <c r="B306" s="15" t="s">
        <v>183</v>
      </c>
      <c r="C306" s="15" t="s">
        <v>183</v>
      </c>
    </row>
    <row r="307" ht="22.5" customHeight="1">
      <c r="A307" s="15">
        <v>1170.0</v>
      </c>
      <c r="B307" s="15" t="s">
        <v>113</v>
      </c>
      <c r="C307" s="15" t="s">
        <v>197</v>
      </c>
    </row>
    <row r="308" ht="22.5" customHeight="1">
      <c r="A308" s="15">
        <v>1171.0</v>
      </c>
      <c r="B308" s="15" t="s">
        <v>183</v>
      </c>
      <c r="C308" s="15" t="s">
        <v>183</v>
      </c>
    </row>
    <row r="309" ht="22.5" customHeight="1">
      <c r="A309" s="15">
        <v>1172.0</v>
      </c>
      <c r="B309" s="15" t="s">
        <v>183</v>
      </c>
      <c r="C309" s="15" t="s">
        <v>183</v>
      </c>
    </row>
    <row r="310" ht="22.5" customHeight="1">
      <c r="A310" s="15">
        <v>1173.0</v>
      </c>
      <c r="B310" s="15" t="s">
        <v>183</v>
      </c>
      <c r="C310" s="15" t="s">
        <v>183</v>
      </c>
    </row>
    <row r="311" ht="22.5" customHeight="1">
      <c r="A311" s="15">
        <v>1174.0</v>
      </c>
      <c r="B311" s="15" t="s">
        <v>183</v>
      </c>
      <c r="C311" s="15" t="s">
        <v>183</v>
      </c>
    </row>
    <row r="312" ht="22.5" customHeight="1">
      <c r="A312" s="15">
        <v>1175.0</v>
      </c>
      <c r="B312" s="15" t="s">
        <v>183</v>
      </c>
      <c r="C312" s="15" t="s">
        <v>183</v>
      </c>
    </row>
    <row r="313" ht="22.5" customHeight="1">
      <c r="A313" s="15">
        <v>1176.0</v>
      </c>
      <c r="B313" s="15" t="s">
        <v>183</v>
      </c>
      <c r="C313" s="15" t="s">
        <v>183</v>
      </c>
    </row>
    <row r="314" ht="22.5" customHeight="1">
      <c r="A314" s="15">
        <v>1177.0</v>
      </c>
      <c r="B314" s="15" t="s">
        <v>183</v>
      </c>
      <c r="C314" s="15" t="s">
        <v>183</v>
      </c>
    </row>
    <row r="315" ht="22.5" customHeight="1">
      <c r="A315" s="15">
        <v>1178.0</v>
      </c>
      <c r="B315" s="15" t="s">
        <v>183</v>
      </c>
      <c r="C315" s="15" t="s">
        <v>183</v>
      </c>
    </row>
    <row r="316" ht="22.5" customHeight="1">
      <c r="A316" s="15">
        <v>1179.0</v>
      </c>
      <c r="B316" s="15" t="s">
        <v>183</v>
      </c>
      <c r="C316" s="15" t="s">
        <v>183</v>
      </c>
    </row>
    <row r="317" ht="22.5" customHeight="1">
      <c r="A317" s="15">
        <v>1180.0</v>
      </c>
      <c r="B317" s="15" t="s">
        <v>111</v>
      </c>
      <c r="C317" s="15" t="s">
        <v>195</v>
      </c>
    </row>
    <row r="318" ht="22.5" customHeight="1">
      <c r="A318" s="15">
        <v>1181.0</v>
      </c>
      <c r="B318" s="15" t="s">
        <v>183</v>
      </c>
      <c r="C318" s="15" t="s">
        <v>183</v>
      </c>
    </row>
    <row r="319" ht="22.5" customHeight="1">
      <c r="A319" s="15">
        <v>1182.0</v>
      </c>
      <c r="B319" s="15" t="s">
        <v>183</v>
      </c>
      <c r="C319" s="15" t="s">
        <v>183</v>
      </c>
    </row>
    <row r="320" ht="22.5" customHeight="1">
      <c r="A320" s="15">
        <v>1183.0</v>
      </c>
      <c r="B320" s="15" t="s">
        <v>183</v>
      </c>
      <c r="C320" s="15" t="s">
        <v>183</v>
      </c>
    </row>
    <row r="321" ht="22.5" customHeight="1">
      <c r="A321" s="15">
        <v>1184.0</v>
      </c>
      <c r="B321" s="15" t="s">
        <v>183</v>
      </c>
      <c r="C321" s="15" t="s">
        <v>183</v>
      </c>
    </row>
    <row r="322" ht="22.5" customHeight="1">
      <c r="A322" s="15">
        <v>1185.0</v>
      </c>
      <c r="B322" s="15" t="s">
        <v>183</v>
      </c>
      <c r="C322" s="15" t="s">
        <v>183</v>
      </c>
    </row>
    <row r="323" ht="22.5" customHeight="1">
      <c r="A323" s="15">
        <v>1186.0</v>
      </c>
      <c r="B323" s="15" t="s">
        <v>183</v>
      </c>
      <c r="C323" s="15" t="s">
        <v>183</v>
      </c>
    </row>
    <row r="324" ht="22.5" customHeight="1">
      <c r="A324" s="15">
        <v>1187.0</v>
      </c>
      <c r="B324" s="15" t="s">
        <v>183</v>
      </c>
      <c r="C324" s="15" t="s">
        <v>183</v>
      </c>
    </row>
    <row r="325" ht="22.5" customHeight="1">
      <c r="A325" s="15">
        <v>1188.0</v>
      </c>
      <c r="B325" s="15" t="s">
        <v>183</v>
      </c>
      <c r="C325" s="15" t="s">
        <v>183</v>
      </c>
    </row>
    <row r="326" ht="22.5" customHeight="1">
      <c r="A326" s="15">
        <v>1189.0</v>
      </c>
      <c r="B326" s="15" t="s">
        <v>183</v>
      </c>
      <c r="C326" s="15" t="s">
        <v>183</v>
      </c>
    </row>
    <row r="327" ht="22.5" customHeight="1">
      <c r="A327" s="15">
        <v>1190.0</v>
      </c>
      <c r="B327" s="15" t="s">
        <v>114</v>
      </c>
      <c r="C327" s="15" t="s">
        <v>198</v>
      </c>
    </row>
    <row r="328" ht="22.5" customHeight="1">
      <c r="A328" s="15">
        <v>1191.0</v>
      </c>
      <c r="B328" s="15" t="s">
        <v>183</v>
      </c>
      <c r="C328" s="15" t="s">
        <v>183</v>
      </c>
    </row>
    <row r="329" ht="22.5" customHeight="1">
      <c r="A329" s="15">
        <v>1192.0</v>
      </c>
      <c r="B329" s="15" t="s">
        <v>183</v>
      </c>
      <c r="C329" s="15" t="s">
        <v>183</v>
      </c>
    </row>
    <row r="330" ht="22.5" customHeight="1">
      <c r="A330" s="15">
        <v>1193.0</v>
      </c>
      <c r="B330" s="15" t="s">
        <v>183</v>
      </c>
      <c r="C330" s="15" t="s">
        <v>183</v>
      </c>
    </row>
    <row r="331" ht="22.5" customHeight="1">
      <c r="A331" s="15">
        <v>1194.0</v>
      </c>
      <c r="B331" s="15" t="s">
        <v>183</v>
      </c>
      <c r="C331" s="15" t="s">
        <v>183</v>
      </c>
    </row>
    <row r="332" ht="22.5" customHeight="1">
      <c r="A332" s="15">
        <v>1195.0</v>
      </c>
      <c r="B332" s="15" t="s">
        <v>183</v>
      </c>
      <c r="C332" s="15" t="s">
        <v>183</v>
      </c>
    </row>
    <row r="333" ht="22.5" customHeight="1">
      <c r="A333" s="15">
        <v>1196.0</v>
      </c>
      <c r="B333" s="15" t="s">
        <v>183</v>
      </c>
      <c r="C333" s="15" t="s">
        <v>183</v>
      </c>
    </row>
    <row r="334" ht="22.5" customHeight="1">
      <c r="A334" s="15">
        <v>1197.0</v>
      </c>
      <c r="B334" s="15" t="s">
        <v>183</v>
      </c>
      <c r="C334" s="15" t="s">
        <v>183</v>
      </c>
    </row>
    <row r="335" ht="22.5" customHeight="1">
      <c r="A335" s="15">
        <v>1198.0</v>
      </c>
      <c r="B335" s="15" t="s">
        <v>183</v>
      </c>
      <c r="C335" s="15" t="s">
        <v>183</v>
      </c>
    </row>
    <row r="336" ht="22.5" customHeight="1">
      <c r="A336" s="15">
        <v>1199.0</v>
      </c>
      <c r="B336" s="15" t="s">
        <v>183</v>
      </c>
      <c r="C336" s="15" t="s">
        <v>183</v>
      </c>
    </row>
    <row r="337" ht="22.5" customHeight="1">
      <c r="A337" s="15">
        <v>1200.0</v>
      </c>
      <c r="B337" s="15" t="s">
        <v>120</v>
      </c>
      <c r="C337" s="15" t="s">
        <v>204</v>
      </c>
    </row>
    <row r="338" ht="22.5" customHeight="1">
      <c r="A338" s="15">
        <v>1201.0</v>
      </c>
      <c r="B338" s="15" t="s">
        <v>183</v>
      </c>
      <c r="C338" s="15" t="s">
        <v>183</v>
      </c>
    </row>
    <row r="339" ht="22.5" customHeight="1">
      <c r="A339" s="15">
        <v>1202.0</v>
      </c>
      <c r="B339" s="15" t="s">
        <v>183</v>
      </c>
      <c r="C339" s="15" t="s">
        <v>183</v>
      </c>
    </row>
    <row r="340" ht="22.5" customHeight="1">
      <c r="A340" s="15">
        <v>1203.0</v>
      </c>
      <c r="B340" s="15" t="s">
        <v>183</v>
      </c>
      <c r="C340" s="15" t="s">
        <v>183</v>
      </c>
    </row>
    <row r="341" ht="22.5" customHeight="1">
      <c r="A341" s="15">
        <v>1204.0</v>
      </c>
      <c r="B341" s="15" t="s">
        <v>183</v>
      </c>
      <c r="C341" s="15" t="s">
        <v>183</v>
      </c>
    </row>
    <row r="342" ht="22.5" customHeight="1">
      <c r="A342" s="15">
        <v>1205.0</v>
      </c>
      <c r="B342" s="15" t="s">
        <v>183</v>
      </c>
      <c r="C342" s="15" t="s">
        <v>183</v>
      </c>
    </row>
    <row r="343" ht="22.5" customHeight="1">
      <c r="A343" s="15">
        <v>1206.0</v>
      </c>
      <c r="B343" s="15" t="s">
        <v>183</v>
      </c>
      <c r="C343" s="15" t="s">
        <v>183</v>
      </c>
    </row>
    <row r="344" ht="22.5" customHeight="1">
      <c r="A344" s="15">
        <v>1207.0</v>
      </c>
      <c r="B344" s="15" t="s">
        <v>183</v>
      </c>
      <c r="C344" s="15" t="s">
        <v>183</v>
      </c>
    </row>
    <row r="345" ht="22.5" customHeight="1">
      <c r="A345" s="15">
        <v>1208.0</v>
      </c>
      <c r="B345" s="15" t="s">
        <v>183</v>
      </c>
      <c r="C345" s="15" t="s">
        <v>183</v>
      </c>
    </row>
    <row r="346" ht="22.5" customHeight="1">
      <c r="A346" s="15">
        <v>1209.0</v>
      </c>
      <c r="B346" s="15" t="s">
        <v>183</v>
      </c>
      <c r="C346" s="15" t="s">
        <v>183</v>
      </c>
    </row>
    <row r="347" ht="22.5" customHeight="1">
      <c r="A347" s="15">
        <v>1210.0</v>
      </c>
      <c r="B347" s="15" t="s">
        <v>120</v>
      </c>
      <c r="C347" s="15" t="s">
        <v>204</v>
      </c>
    </row>
    <row r="348" ht="22.5" customHeight="1">
      <c r="A348" s="15">
        <v>1211.0</v>
      </c>
      <c r="B348" s="15" t="s">
        <v>183</v>
      </c>
      <c r="C348" s="15" t="s">
        <v>183</v>
      </c>
    </row>
    <row r="349" ht="22.5" customHeight="1">
      <c r="A349" s="15">
        <v>1212.0</v>
      </c>
      <c r="B349" s="15" t="s">
        <v>183</v>
      </c>
      <c r="C349" s="15" t="s">
        <v>183</v>
      </c>
    </row>
    <row r="350" ht="22.5" customHeight="1">
      <c r="A350" s="15">
        <v>1213.0</v>
      </c>
      <c r="B350" s="15" t="s">
        <v>183</v>
      </c>
      <c r="C350" s="15" t="s">
        <v>183</v>
      </c>
    </row>
    <row r="351" ht="22.5" customHeight="1">
      <c r="A351" s="15">
        <v>1214.0</v>
      </c>
      <c r="B351" s="15" t="s">
        <v>183</v>
      </c>
      <c r="C351" s="15" t="s">
        <v>183</v>
      </c>
    </row>
    <row r="352" ht="22.5" customHeight="1">
      <c r="A352" s="15">
        <v>1215.0</v>
      </c>
      <c r="B352" s="15" t="s">
        <v>183</v>
      </c>
      <c r="C352" s="15" t="s">
        <v>183</v>
      </c>
    </row>
    <row r="353" ht="22.5" customHeight="1">
      <c r="A353" s="15">
        <v>1216.0</v>
      </c>
      <c r="B353" s="15" t="s">
        <v>183</v>
      </c>
      <c r="C353" s="15" t="s">
        <v>183</v>
      </c>
    </row>
    <row r="354" ht="22.5" customHeight="1">
      <c r="A354" s="15">
        <v>1217.0</v>
      </c>
      <c r="B354" s="15" t="s">
        <v>183</v>
      </c>
      <c r="C354" s="15" t="s">
        <v>183</v>
      </c>
    </row>
    <row r="355" ht="22.5" customHeight="1">
      <c r="A355" s="15">
        <v>1218.0</v>
      </c>
      <c r="B355" s="15" t="s">
        <v>183</v>
      </c>
      <c r="C355" s="15" t="s">
        <v>183</v>
      </c>
    </row>
    <row r="356" ht="22.5" customHeight="1">
      <c r="A356" s="15">
        <v>1219.0</v>
      </c>
      <c r="B356" s="15" t="s">
        <v>183</v>
      </c>
      <c r="C356" s="15" t="s">
        <v>183</v>
      </c>
    </row>
    <row r="357" ht="22.5" customHeight="1">
      <c r="A357" s="15">
        <v>1220.0</v>
      </c>
      <c r="B357" s="15" t="s">
        <v>117</v>
      </c>
      <c r="C357" s="15" t="s">
        <v>201</v>
      </c>
    </row>
    <row r="358" ht="22.5" customHeight="1">
      <c r="A358" s="15">
        <v>1221.0</v>
      </c>
      <c r="B358" s="15" t="s">
        <v>183</v>
      </c>
      <c r="C358" s="15" t="s">
        <v>183</v>
      </c>
    </row>
    <row r="359" ht="22.5" customHeight="1">
      <c r="A359" s="15">
        <v>1222.0</v>
      </c>
      <c r="B359" s="15" t="s">
        <v>183</v>
      </c>
      <c r="C359" s="15" t="s">
        <v>183</v>
      </c>
    </row>
    <row r="360" ht="22.5" customHeight="1">
      <c r="A360" s="15">
        <v>1223.0</v>
      </c>
      <c r="B360" s="15" t="s">
        <v>183</v>
      </c>
      <c r="C360" s="15" t="s">
        <v>183</v>
      </c>
    </row>
    <row r="361" ht="22.5" customHeight="1">
      <c r="A361" s="15">
        <v>1224.0</v>
      </c>
      <c r="B361" s="15" t="s">
        <v>183</v>
      </c>
      <c r="C361" s="15" t="s">
        <v>183</v>
      </c>
    </row>
    <row r="362" ht="22.5" customHeight="1">
      <c r="A362" s="15">
        <v>1225.0</v>
      </c>
      <c r="B362" s="15" t="s">
        <v>183</v>
      </c>
      <c r="C362" s="15" t="s">
        <v>183</v>
      </c>
    </row>
    <row r="363" ht="22.5" customHeight="1">
      <c r="A363" s="15">
        <v>1226.0</v>
      </c>
      <c r="B363" s="15" t="s">
        <v>183</v>
      </c>
      <c r="C363" s="15" t="s">
        <v>183</v>
      </c>
    </row>
    <row r="364" ht="22.5" customHeight="1">
      <c r="A364" s="15">
        <v>1227.0</v>
      </c>
      <c r="B364" s="15" t="s">
        <v>183</v>
      </c>
      <c r="C364" s="15" t="s">
        <v>183</v>
      </c>
    </row>
    <row r="365" ht="22.5" customHeight="1">
      <c r="A365" s="15">
        <v>1228.0</v>
      </c>
      <c r="B365" s="15" t="s">
        <v>183</v>
      </c>
      <c r="C365" s="15" t="s">
        <v>183</v>
      </c>
    </row>
    <row r="366" ht="22.5" customHeight="1">
      <c r="A366" s="15">
        <v>1229.0</v>
      </c>
      <c r="B366" s="15" t="s">
        <v>183</v>
      </c>
      <c r="C366" s="15" t="s">
        <v>183</v>
      </c>
    </row>
    <row r="367" ht="22.5" customHeight="1">
      <c r="A367" s="15">
        <v>1230.0</v>
      </c>
      <c r="B367" s="15" t="s">
        <v>114</v>
      </c>
      <c r="C367" s="15" t="s">
        <v>198</v>
      </c>
    </row>
    <row r="368" ht="22.5" customHeight="1">
      <c r="A368" s="15">
        <v>1231.0</v>
      </c>
      <c r="B368" s="15" t="s">
        <v>183</v>
      </c>
      <c r="C368" s="15" t="s">
        <v>183</v>
      </c>
    </row>
    <row r="369" ht="22.5" customHeight="1">
      <c r="A369" s="15">
        <v>1232.0</v>
      </c>
      <c r="B369" s="15" t="s">
        <v>183</v>
      </c>
      <c r="C369" s="15" t="s">
        <v>183</v>
      </c>
    </row>
    <row r="370" ht="22.5" customHeight="1">
      <c r="A370" s="15">
        <v>1233.0</v>
      </c>
      <c r="B370" s="15" t="s">
        <v>183</v>
      </c>
      <c r="C370" s="15" t="s">
        <v>183</v>
      </c>
    </row>
    <row r="371" ht="22.5" customHeight="1">
      <c r="A371" s="15">
        <v>1234.0</v>
      </c>
      <c r="B371" s="15" t="s">
        <v>183</v>
      </c>
      <c r="C371" s="15" t="s">
        <v>183</v>
      </c>
    </row>
    <row r="372" ht="22.5" customHeight="1">
      <c r="A372" s="15">
        <v>1235.0</v>
      </c>
      <c r="B372" s="15" t="s">
        <v>183</v>
      </c>
      <c r="C372" s="15" t="s">
        <v>183</v>
      </c>
    </row>
    <row r="373" ht="22.5" customHeight="1">
      <c r="A373" s="15">
        <v>1236.0</v>
      </c>
      <c r="B373" s="15" t="s">
        <v>183</v>
      </c>
      <c r="C373" s="15" t="s">
        <v>183</v>
      </c>
    </row>
    <row r="374" ht="22.5" customHeight="1">
      <c r="A374" s="15">
        <v>1237.0</v>
      </c>
      <c r="B374" s="15" t="s">
        <v>183</v>
      </c>
      <c r="C374" s="15" t="s">
        <v>183</v>
      </c>
    </row>
    <row r="375" ht="22.5" customHeight="1">
      <c r="A375" s="15">
        <v>1238.0</v>
      </c>
      <c r="B375" s="15" t="s">
        <v>183</v>
      </c>
      <c r="C375" s="15" t="s">
        <v>183</v>
      </c>
    </row>
    <row r="376" ht="22.5" customHeight="1">
      <c r="A376" s="15">
        <v>1239.0</v>
      </c>
      <c r="B376" s="15" t="s">
        <v>183</v>
      </c>
      <c r="C376" s="15" t="s">
        <v>183</v>
      </c>
    </row>
    <row r="377" ht="22.5" customHeight="1">
      <c r="A377" s="15">
        <v>1240.0</v>
      </c>
      <c r="B377" s="15" t="s">
        <v>114</v>
      </c>
      <c r="C377" s="15" t="s">
        <v>198</v>
      </c>
    </row>
    <row r="378" ht="22.5" customHeight="1">
      <c r="A378" s="15">
        <v>1241.0</v>
      </c>
      <c r="B378" s="15" t="s">
        <v>183</v>
      </c>
      <c r="C378" s="15" t="s">
        <v>183</v>
      </c>
    </row>
    <row r="379" ht="22.5" customHeight="1">
      <c r="A379" s="15">
        <v>1242.0</v>
      </c>
      <c r="B379" s="15" t="s">
        <v>183</v>
      </c>
      <c r="C379" s="15" t="s">
        <v>183</v>
      </c>
    </row>
    <row r="380" ht="22.5" customHeight="1">
      <c r="A380" s="15">
        <v>1243.0</v>
      </c>
      <c r="B380" s="15" t="s">
        <v>183</v>
      </c>
      <c r="C380" s="15" t="s">
        <v>183</v>
      </c>
    </row>
    <row r="381" ht="22.5" customHeight="1">
      <c r="A381" s="15">
        <v>1244.0</v>
      </c>
      <c r="B381" s="15" t="s">
        <v>183</v>
      </c>
      <c r="C381" s="15" t="s">
        <v>183</v>
      </c>
    </row>
    <row r="382" ht="22.5" customHeight="1">
      <c r="A382" s="15">
        <v>1245.0</v>
      </c>
      <c r="B382" s="15" t="s">
        <v>183</v>
      </c>
      <c r="C382" s="15" t="s">
        <v>183</v>
      </c>
    </row>
    <row r="383" ht="22.5" customHeight="1">
      <c r="A383" s="15">
        <v>1246.0</v>
      </c>
      <c r="B383" s="15" t="s">
        <v>183</v>
      </c>
      <c r="C383" s="15" t="s">
        <v>183</v>
      </c>
    </row>
    <row r="384" ht="22.5" customHeight="1">
      <c r="A384" s="15">
        <v>1247.0</v>
      </c>
      <c r="B384" s="15" t="s">
        <v>183</v>
      </c>
      <c r="C384" s="15" t="s">
        <v>183</v>
      </c>
    </row>
    <row r="385" ht="22.5" customHeight="1">
      <c r="A385" s="15">
        <v>1248.0</v>
      </c>
      <c r="B385" s="15" t="s">
        <v>183</v>
      </c>
      <c r="C385" s="15" t="s">
        <v>183</v>
      </c>
    </row>
    <row r="386" ht="22.5" customHeight="1">
      <c r="A386" s="15">
        <v>1249.0</v>
      </c>
      <c r="B386" s="15" t="s">
        <v>183</v>
      </c>
      <c r="C386" s="15" t="s">
        <v>183</v>
      </c>
    </row>
    <row r="387" ht="22.5" customHeight="1">
      <c r="A387" s="15">
        <v>1250.0</v>
      </c>
      <c r="B387" s="15" t="s">
        <v>111</v>
      </c>
      <c r="C387" s="15" t="s">
        <v>195</v>
      </c>
    </row>
    <row r="388" ht="22.5" customHeight="1">
      <c r="A388" s="15">
        <v>1251.0</v>
      </c>
      <c r="B388" s="15" t="s">
        <v>183</v>
      </c>
      <c r="C388" s="15" t="s">
        <v>183</v>
      </c>
    </row>
    <row r="389" ht="22.5" customHeight="1">
      <c r="A389" s="15">
        <v>1252.0</v>
      </c>
      <c r="B389" s="15" t="s">
        <v>183</v>
      </c>
      <c r="C389" s="15" t="s">
        <v>183</v>
      </c>
    </row>
    <row r="390" ht="22.5" customHeight="1">
      <c r="A390" s="15">
        <v>1253.0</v>
      </c>
      <c r="B390" s="15" t="s">
        <v>183</v>
      </c>
      <c r="C390" s="15" t="s">
        <v>183</v>
      </c>
    </row>
    <row r="391" ht="22.5" customHeight="1">
      <c r="A391" s="15">
        <v>1254.0</v>
      </c>
      <c r="B391" s="15" t="s">
        <v>183</v>
      </c>
      <c r="C391" s="15" t="s">
        <v>183</v>
      </c>
    </row>
    <row r="392" ht="22.5" customHeight="1">
      <c r="A392" s="15">
        <v>1255.0</v>
      </c>
      <c r="B392" s="15" t="s">
        <v>183</v>
      </c>
      <c r="C392" s="15" t="s">
        <v>183</v>
      </c>
    </row>
    <row r="393" ht="22.5" customHeight="1">
      <c r="A393" s="15">
        <v>1256.0</v>
      </c>
      <c r="B393" s="15" t="s">
        <v>183</v>
      </c>
      <c r="C393" s="15" t="s">
        <v>183</v>
      </c>
    </row>
    <row r="394" ht="22.5" customHeight="1">
      <c r="A394" s="15">
        <v>1257.0</v>
      </c>
      <c r="B394" s="15" t="s">
        <v>183</v>
      </c>
      <c r="C394" s="15" t="s">
        <v>183</v>
      </c>
    </row>
    <row r="395" ht="22.5" customHeight="1">
      <c r="A395" s="15">
        <v>1258.0</v>
      </c>
      <c r="B395" s="15" t="s">
        <v>183</v>
      </c>
      <c r="C395" s="15" t="s">
        <v>183</v>
      </c>
    </row>
    <row r="396" ht="22.5" customHeight="1">
      <c r="A396" s="15">
        <v>1259.0</v>
      </c>
      <c r="B396" s="15" t="s">
        <v>183</v>
      </c>
      <c r="C396" s="15" t="s">
        <v>183</v>
      </c>
    </row>
    <row r="397" ht="22.5" customHeight="1">
      <c r="A397" s="15">
        <v>1260.0</v>
      </c>
      <c r="B397" s="15" t="s">
        <v>111</v>
      </c>
      <c r="C397" s="15" t="s">
        <v>195</v>
      </c>
    </row>
    <row r="398" ht="22.5" customHeight="1">
      <c r="A398" s="15">
        <v>1261.0</v>
      </c>
      <c r="B398" s="15" t="s">
        <v>183</v>
      </c>
      <c r="C398" s="15" t="s">
        <v>183</v>
      </c>
    </row>
    <row r="399" ht="22.5" customHeight="1">
      <c r="A399" s="15">
        <v>1262.0</v>
      </c>
      <c r="B399" s="15" t="s">
        <v>183</v>
      </c>
      <c r="C399" s="15" t="s">
        <v>183</v>
      </c>
    </row>
    <row r="400" ht="22.5" customHeight="1">
      <c r="A400" s="15">
        <v>1263.0</v>
      </c>
      <c r="B400" s="15" t="s">
        <v>183</v>
      </c>
      <c r="C400" s="15" t="s">
        <v>183</v>
      </c>
    </row>
    <row r="401" ht="22.5" customHeight="1">
      <c r="A401" s="15">
        <v>1264.0</v>
      </c>
      <c r="B401" s="15" t="s">
        <v>183</v>
      </c>
      <c r="C401" s="15" t="s">
        <v>183</v>
      </c>
    </row>
    <row r="402" ht="22.5" customHeight="1">
      <c r="A402" s="15">
        <v>1265.0</v>
      </c>
      <c r="B402" s="15" t="s">
        <v>183</v>
      </c>
      <c r="C402" s="15" t="s">
        <v>183</v>
      </c>
    </row>
    <row r="403" ht="22.5" customHeight="1">
      <c r="A403" s="15">
        <v>1266.0</v>
      </c>
      <c r="B403" s="15" t="s">
        <v>183</v>
      </c>
      <c r="C403" s="15" t="s">
        <v>183</v>
      </c>
    </row>
    <row r="404" ht="22.5" customHeight="1">
      <c r="A404" s="15">
        <v>1267.0</v>
      </c>
      <c r="B404" s="15" t="s">
        <v>183</v>
      </c>
      <c r="C404" s="15" t="s">
        <v>183</v>
      </c>
    </row>
    <row r="405" ht="22.5" customHeight="1">
      <c r="A405" s="15">
        <v>1268.0</v>
      </c>
      <c r="B405" s="15" t="s">
        <v>183</v>
      </c>
      <c r="C405" s="15" t="s">
        <v>183</v>
      </c>
    </row>
    <row r="406" ht="22.5" customHeight="1">
      <c r="A406" s="15">
        <v>1269.0</v>
      </c>
      <c r="B406" s="15" t="s">
        <v>183</v>
      </c>
      <c r="C406" s="15" t="s">
        <v>183</v>
      </c>
    </row>
    <row r="407" ht="22.5" customHeight="1">
      <c r="A407" s="15">
        <v>1270.0</v>
      </c>
      <c r="B407" s="15" t="s">
        <v>120</v>
      </c>
      <c r="C407" s="15" t="s">
        <v>204</v>
      </c>
    </row>
    <row r="408" ht="22.5" customHeight="1">
      <c r="A408" s="15">
        <v>1300.0</v>
      </c>
      <c r="B408" s="15" t="s">
        <v>111</v>
      </c>
      <c r="C408" s="15" t="s">
        <v>195</v>
      </c>
    </row>
    <row r="409" ht="22.5" customHeight="1">
      <c r="A409" s="15">
        <v>1301.0</v>
      </c>
      <c r="B409" s="15" t="s">
        <v>183</v>
      </c>
      <c r="C409" s="15" t="s">
        <v>183</v>
      </c>
    </row>
    <row r="410" ht="22.5" customHeight="1">
      <c r="A410" s="15">
        <v>1302.0</v>
      </c>
      <c r="B410" s="15" t="s">
        <v>183</v>
      </c>
      <c r="C410" s="15" t="s">
        <v>183</v>
      </c>
    </row>
    <row r="411" ht="22.5" customHeight="1">
      <c r="A411" s="15">
        <v>1303.0</v>
      </c>
      <c r="B411" s="15" t="s">
        <v>183</v>
      </c>
      <c r="C411" s="15" t="s">
        <v>183</v>
      </c>
    </row>
    <row r="412" ht="22.5" customHeight="1">
      <c r="A412" s="15">
        <v>1304.0</v>
      </c>
      <c r="B412" s="15" t="s">
        <v>183</v>
      </c>
      <c r="C412" s="15" t="s">
        <v>183</v>
      </c>
    </row>
    <row r="413" ht="22.5" customHeight="1">
      <c r="A413" s="15">
        <v>1305.0</v>
      </c>
      <c r="B413" s="15" t="s">
        <v>183</v>
      </c>
      <c r="C413" s="15" t="s">
        <v>183</v>
      </c>
    </row>
    <row r="414" ht="22.5" customHeight="1">
      <c r="A414" s="15">
        <v>1306.0</v>
      </c>
      <c r="B414" s="15" t="s">
        <v>183</v>
      </c>
      <c r="C414" s="15" t="s">
        <v>183</v>
      </c>
    </row>
    <row r="415" ht="22.5" customHeight="1">
      <c r="A415" s="15">
        <v>1307.0</v>
      </c>
      <c r="B415" s="15" t="s">
        <v>183</v>
      </c>
      <c r="C415" s="15" t="s">
        <v>183</v>
      </c>
    </row>
    <row r="416" ht="22.5" customHeight="1">
      <c r="A416" s="15">
        <v>1308.0</v>
      </c>
      <c r="B416" s="15" t="s">
        <v>183</v>
      </c>
      <c r="C416" s="15" t="s">
        <v>183</v>
      </c>
    </row>
    <row r="417" ht="22.5" customHeight="1">
      <c r="A417" s="15">
        <v>1309.0</v>
      </c>
      <c r="B417" s="15" t="s">
        <v>183</v>
      </c>
      <c r="C417" s="15" t="s">
        <v>183</v>
      </c>
    </row>
    <row r="418" ht="22.5" customHeight="1">
      <c r="A418" s="15">
        <v>1310.0</v>
      </c>
      <c r="B418" s="15" t="s">
        <v>120</v>
      </c>
      <c r="C418" s="15" t="s">
        <v>204</v>
      </c>
    </row>
    <row r="419" ht="22.5" customHeight="1">
      <c r="A419" s="15">
        <v>1400.0</v>
      </c>
      <c r="B419" s="15" t="s">
        <v>114</v>
      </c>
      <c r="C419" s="15" t="s">
        <v>198</v>
      </c>
    </row>
    <row r="420" ht="22.5" customHeight="1">
      <c r="A420" s="15">
        <v>1401.0</v>
      </c>
      <c r="B420" s="15" t="s">
        <v>183</v>
      </c>
      <c r="C420" s="15" t="s">
        <v>183</v>
      </c>
    </row>
    <row r="421" ht="22.5" customHeight="1">
      <c r="A421" s="15">
        <v>1402.0</v>
      </c>
      <c r="B421" s="15" t="s">
        <v>183</v>
      </c>
      <c r="C421" s="15" t="s">
        <v>183</v>
      </c>
    </row>
    <row r="422" ht="22.5" customHeight="1">
      <c r="A422" s="15">
        <v>1403.0</v>
      </c>
      <c r="B422" s="15" t="s">
        <v>183</v>
      </c>
      <c r="C422" s="15" t="s">
        <v>183</v>
      </c>
    </row>
    <row r="423" ht="22.5" customHeight="1">
      <c r="A423" s="15">
        <v>1404.0</v>
      </c>
      <c r="B423" s="15" t="s">
        <v>183</v>
      </c>
      <c r="C423" s="15" t="s">
        <v>183</v>
      </c>
    </row>
    <row r="424" ht="22.5" customHeight="1">
      <c r="A424" s="15">
        <v>1405.0</v>
      </c>
      <c r="B424" s="15" t="s">
        <v>183</v>
      </c>
      <c r="C424" s="15" t="s">
        <v>183</v>
      </c>
    </row>
    <row r="425" ht="22.5" customHeight="1">
      <c r="A425" s="15">
        <v>1406.0</v>
      </c>
      <c r="B425" s="15" t="s">
        <v>183</v>
      </c>
      <c r="C425" s="15" t="s">
        <v>183</v>
      </c>
    </row>
    <row r="426" ht="22.5" customHeight="1">
      <c r="A426" s="15">
        <v>1407.0</v>
      </c>
      <c r="B426" s="15" t="s">
        <v>183</v>
      </c>
      <c r="C426" s="15" t="s">
        <v>183</v>
      </c>
    </row>
    <row r="427" ht="22.5" customHeight="1">
      <c r="A427" s="15">
        <v>1408.0</v>
      </c>
      <c r="B427" s="15" t="s">
        <v>183</v>
      </c>
      <c r="C427" s="15" t="s">
        <v>183</v>
      </c>
    </row>
    <row r="428" ht="22.5" customHeight="1">
      <c r="A428" s="15">
        <v>1409.0</v>
      </c>
      <c r="B428" s="15" t="s">
        <v>183</v>
      </c>
      <c r="C428" s="15" t="s">
        <v>183</v>
      </c>
    </row>
    <row r="429" ht="22.5" customHeight="1">
      <c r="A429" s="15">
        <v>1410.0</v>
      </c>
      <c r="B429" s="15" t="s">
        <v>111</v>
      </c>
      <c r="C429" s="15" t="s">
        <v>195</v>
      </c>
    </row>
    <row r="430" ht="22.5" customHeight="1">
      <c r="A430" s="15">
        <v>1411.0</v>
      </c>
      <c r="B430" s="15" t="s">
        <v>183</v>
      </c>
      <c r="C430" s="15" t="s">
        <v>183</v>
      </c>
    </row>
    <row r="431" ht="22.5" customHeight="1">
      <c r="A431" s="15">
        <v>1412.0</v>
      </c>
      <c r="B431" s="15" t="s">
        <v>183</v>
      </c>
      <c r="C431" s="15" t="s">
        <v>183</v>
      </c>
    </row>
    <row r="432" ht="22.5" customHeight="1">
      <c r="A432" s="15">
        <v>1413.0</v>
      </c>
      <c r="B432" s="15" t="s">
        <v>183</v>
      </c>
      <c r="C432" s="15" t="s">
        <v>183</v>
      </c>
    </row>
    <row r="433" ht="22.5" customHeight="1">
      <c r="A433" s="15">
        <v>1414.0</v>
      </c>
      <c r="B433" s="15" t="s">
        <v>183</v>
      </c>
      <c r="C433" s="15" t="s">
        <v>183</v>
      </c>
    </row>
    <row r="434" ht="22.5" customHeight="1">
      <c r="A434" s="15">
        <v>1415.0</v>
      </c>
      <c r="B434" s="15" t="s">
        <v>183</v>
      </c>
      <c r="C434" s="15" t="s">
        <v>183</v>
      </c>
    </row>
    <row r="435" ht="22.5" customHeight="1">
      <c r="A435" s="15">
        <v>1416.0</v>
      </c>
      <c r="B435" s="15" t="s">
        <v>183</v>
      </c>
      <c r="C435" s="15" t="s">
        <v>183</v>
      </c>
    </row>
    <row r="436" ht="22.5" customHeight="1">
      <c r="A436" s="15">
        <v>1417.0</v>
      </c>
      <c r="B436" s="15" t="s">
        <v>183</v>
      </c>
      <c r="C436" s="15" t="s">
        <v>183</v>
      </c>
    </row>
    <row r="437" ht="22.5" customHeight="1">
      <c r="A437" s="15">
        <v>1418.0</v>
      </c>
      <c r="B437" s="15" t="s">
        <v>183</v>
      </c>
      <c r="C437" s="15" t="s">
        <v>183</v>
      </c>
    </row>
    <row r="438" ht="22.5" customHeight="1">
      <c r="A438" s="15">
        <v>1419.0</v>
      </c>
      <c r="B438" s="15" t="s">
        <v>183</v>
      </c>
      <c r="C438" s="15" t="s">
        <v>183</v>
      </c>
    </row>
    <row r="439" ht="22.5" customHeight="1">
      <c r="A439" s="15">
        <v>1420.0</v>
      </c>
      <c r="B439" s="15" t="s">
        <v>120</v>
      </c>
      <c r="C439" s="15" t="s">
        <v>204</v>
      </c>
    </row>
    <row r="440" ht="22.5" customHeight="1">
      <c r="A440" s="15">
        <v>1421.0</v>
      </c>
      <c r="B440" s="15" t="s">
        <v>183</v>
      </c>
      <c r="C440" s="15" t="s">
        <v>183</v>
      </c>
    </row>
    <row r="441" ht="22.5" customHeight="1">
      <c r="A441" s="15">
        <v>1422.0</v>
      </c>
      <c r="B441" s="15" t="s">
        <v>183</v>
      </c>
      <c r="C441" s="15" t="s">
        <v>183</v>
      </c>
    </row>
    <row r="442" ht="22.5" customHeight="1">
      <c r="A442" s="15">
        <v>1423.0</v>
      </c>
      <c r="B442" s="15" t="s">
        <v>183</v>
      </c>
      <c r="C442" s="15" t="s">
        <v>183</v>
      </c>
    </row>
    <row r="443" ht="22.5" customHeight="1">
      <c r="A443" s="15">
        <v>1424.0</v>
      </c>
      <c r="B443" s="15" t="s">
        <v>183</v>
      </c>
      <c r="C443" s="15" t="s">
        <v>183</v>
      </c>
    </row>
    <row r="444" ht="22.5" customHeight="1">
      <c r="A444" s="15">
        <v>1425.0</v>
      </c>
      <c r="B444" s="15" t="s">
        <v>183</v>
      </c>
      <c r="C444" s="15" t="s">
        <v>183</v>
      </c>
    </row>
    <row r="445" ht="22.5" customHeight="1">
      <c r="A445" s="15">
        <v>1426.0</v>
      </c>
      <c r="B445" s="15" t="s">
        <v>183</v>
      </c>
      <c r="C445" s="15" t="s">
        <v>183</v>
      </c>
    </row>
    <row r="446" ht="22.5" customHeight="1">
      <c r="A446" s="15">
        <v>1427.0</v>
      </c>
      <c r="B446" s="15" t="s">
        <v>183</v>
      </c>
      <c r="C446" s="15" t="s">
        <v>183</v>
      </c>
    </row>
    <row r="447" ht="22.5" customHeight="1">
      <c r="A447" s="15">
        <v>1428.0</v>
      </c>
      <c r="B447" s="15" t="s">
        <v>183</v>
      </c>
      <c r="C447" s="15" t="s">
        <v>183</v>
      </c>
    </row>
    <row r="448" ht="22.5" customHeight="1">
      <c r="A448" s="15">
        <v>1429.0</v>
      </c>
      <c r="B448" s="15" t="s">
        <v>183</v>
      </c>
      <c r="C448" s="15" t="s">
        <v>183</v>
      </c>
    </row>
    <row r="449" ht="22.5" customHeight="1">
      <c r="A449" s="15">
        <v>1430.0</v>
      </c>
      <c r="B449" s="15" t="s">
        <v>120</v>
      </c>
      <c r="C449" s="15" t="s">
        <v>204</v>
      </c>
    </row>
    <row r="450" ht="22.5" customHeight="1">
      <c r="A450" s="15">
        <v>1431.0</v>
      </c>
      <c r="B450" s="15" t="s">
        <v>183</v>
      </c>
      <c r="C450" s="15" t="s">
        <v>183</v>
      </c>
    </row>
    <row r="451" ht="22.5" customHeight="1">
      <c r="A451" s="15">
        <v>1432.0</v>
      </c>
      <c r="B451" s="15" t="s">
        <v>183</v>
      </c>
      <c r="C451" s="15" t="s">
        <v>183</v>
      </c>
    </row>
    <row r="452" ht="22.5" customHeight="1">
      <c r="A452" s="15">
        <v>1433.0</v>
      </c>
      <c r="B452" s="15" t="s">
        <v>183</v>
      </c>
      <c r="C452" s="15" t="s">
        <v>183</v>
      </c>
    </row>
    <row r="453" ht="22.5" customHeight="1">
      <c r="A453" s="15">
        <v>1434.0</v>
      </c>
      <c r="B453" s="15" t="s">
        <v>183</v>
      </c>
      <c r="C453" s="15" t="s">
        <v>183</v>
      </c>
    </row>
    <row r="454" ht="22.5" customHeight="1">
      <c r="A454" s="15">
        <v>1435.0</v>
      </c>
      <c r="B454" s="15" t="s">
        <v>183</v>
      </c>
      <c r="C454" s="15" t="s">
        <v>183</v>
      </c>
    </row>
    <row r="455" ht="22.5" customHeight="1">
      <c r="A455" s="15">
        <v>1436.0</v>
      </c>
      <c r="B455" s="15" t="s">
        <v>183</v>
      </c>
      <c r="C455" s="15" t="s">
        <v>183</v>
      </c>
    </row>
    <row r="456" ht="22.5" customHeight="1">
      <c r="A456" s="15">
        <v>1437.0</v>
      </c>
      <c r="B456" s="15" t="s">
        <v>183</v>
      </c>
      <c r="C456" s="15" t="s">
        <v>183</v>
      </c>
    </row>
    <row r="457" ht="22.5" customHeight="1">
      <c r="A457" s="15">
        <v>1438.0</v>
      </c>
      <c r="B457" s="15" t="s">
        <v>183</v>
      </c>
      <c r="C457" s="15" t="s">
        <v>183</v>
      </c>
    </row>
    <row r="458" ht="22.5" customHeight="1">
      <c r="A458" s="15">
        <v>1439.0</v>
      </c>
      <c r="B458" s="15" t="s">
        <v>183</v>
      </c>
      <c r="C458" s="15" t="s">
        <v>183</v>
      </c>
    </row>
    <row r="459" ht="22.5" customHeight="1">
      <c r="A459" s="15">
        <v>1440.0</v>
      </c>
      <c r="B459" s="15" t="s">
        <v>111</v>
      </c>
      <c r="C459" s="15" t="s">
        <v>195</v>
      </c>
    </row>
    <row r="460" ht="22.5" customHeight="1">
      <c r="A460" s="15">
        <v>1441.0</v>
      </c>
      <c r="B460" s="15" t="s">
        <v>183</v>
      </c>
      <c r="C460" s="15" t="s">
        <v>183</v>
      </c>
    </row>
    <row r="461" ht="22.5" customHeight="1">
      <c r="A461" s="15">
        <v>1442.0</v>
      </c>
      <c r="B461" s="15" t="s">
        <v>183</v>
      </c>
      <c r="C461" s="15" t="s">
        <v>183</v>
      </c>
    </row>
    <row r="462" ht="22.5" customHeight="1">
      <c r="A462" s="15">
        <v>1443.0</v>
      </c>
      <c r="B462" s="15" t="s">
        <v>183</v>
      </c>
      <c r="C462" s="15" t="s">
        <v>183</v>
      </c>
    </row>
    <row r="463" ht="22.5" customHeight="1">
      <c r="A463" s="15">
        <v>1444.0</v>
      </c>
      <c r="B463" s="15" t="s">
        <v>183</v>
      </c>
      <c r="C463" s="15" t="s">
        <v>183</v>
      </c>
    </row>
    <row r="464" ht="22.5" customHeight="1">
      <c r="A464" s="15">
        <v>1445.0</v>
      </c>
      <c r="B464" s="15" t="s">
        <v>183</v>
      </c>
      <c r="C464" s="15" t="s">
        <v>183</v>
      </c>
    </row>
    <row r="465" ht="22.5" customHeight="1">
      <c r="A465" s="15">
        <v>1446.0</v>
      </c>
      <c r="B465" s="15" t="s">
        <v>183</v>
      </c>
      <c r="C465" s="15" t="s">
        <v>183</v>
      </c>
    </row>
    <row r="466" ht="22.5" customHeight="1">
      <c r="A466" s="15">
        <v>1447.0</v>
      </c>
      <c r="B466" s="15" t="s">
        <v>183</v>
      </c>
      <c r="C466" s="15" t="s">
        <v>183</v>
      </c>
    </row>
    <row r="467" ht="22.5" customHeight="1">
      <c r="A467" s="15">
        <v>1448.0</v>
      </c>
      <c r="B467" s="15" t="s">
        <v>183</v>
      </c>
      <c r="C467" s="15" t="s">
        <v>183</v>
      </c>
    </row>
    <row r="468" ht="22.5" customHeight="1">
      <c r="A468" s="15">
        <v>1449.0</v>
      </c>
      <c r="B468" s="15" t="s">
        <v>183</v>
      </c>
      <c r="C468" s="15" t="s">
        <v>183</v>
      </c>
    </row>
    <row r="469" ht="22.5" customHeight="1">
      <c r="A469" s="15">
        <v>1450.0</v>
      </c>
      <c r="B469" s="15" t="s">
        <v>117</v>
      </c>
      <c r="C469" s="15" t="s">
        <v>201</v>
      </c>
    </row>
    <row r="470" ht="22.5" customHeight="1">
      <c r="A470" s="15">
        <v>1451.0</v>
      </c>
      <c r="B470" s="15" t="s">
        <v>183</v>
      </c>
      <c r="C470" s="15" t="s">
        <v>183</v>
      </c>
    </row>
    <row r="471" ht="22.5" customHeight="1">
      <c r="A471" s="15">
        <v>1452.0</v>
      </c>
      <c r="B471" s="15" t="s">
        <v>183</v>
      </c>
      <c r="C471" s="15" t="s">
        <v>183</v>
      </c>
    </row>
    <row r="472" ht="22.5" customHeight="1">
      <c r="A472" s="15">
        <v>1453.0</v>
      </c>
      <c r="B472" s="15" t="s">
        <v>183</v>
      </c>
      <c r="C472" s="15" t="s">
        <v>183</v>
      </c>
    </row>
    <row r="473" ht="22.5" customHeight="1">
      <c r="A473" s="15">
        <v>1454.0</v>
      </c>
      <c r="B473" s="15" t="s">
        <v>183</v>
      </c>
      <c r="C473" s="15" t="s">
        <v>183</v>
      </c>
    </row>
    <row r="474" ht="22.5" customHeight="1">
      <c r="A474" s="15">
        <v>1455.0</v>
      </c>
      <c r="B474" s="15" t="s">
        <v>183</v>
      </c>
      <c r="C474" s="15" t="s">
        <v>183</v>
      </c>
    </row>
    <row r="475" ht="22.5" customHeight="1">
      <c r="A475" s="15">
        <v>1456.0</v>
      </c>
      <c r="B475" s="15" t="s">
        <v>183</v>
      </c>
      <c r="C475" s="15" t="s">
        <v>183</v>
      </c>
    </row>
    <row r="476" ht="22.5" customHeight="1">
      <c r="A476" s="15">
        <v>1457.0</v>
      </c>
      <c r="B476" s="15" t="s">
        <v>183</v>
      </c>
      <c r="C476" s="15" t="s">
        <v>183</v>
      </c>
    </row>
    <row r="477" ht="22.5" customHeight="1">
      <c r="A477" s="15">
        <v>1458.0</v>
      </c>
      <c r="B477" s="15" t="s">
        <v>183</v>
      </c>
      <c r="C477" s="15" t="s">
        <v>183</v>
      </c>
    </row>
    <row r="478" ht="22.5" customHeight="1">
      <c r="A478" s="15">
        <v>1459.0</v>
      </c>
      <c r="B478" s="15" t="s">
        <v>183</v>
      </c>
      <c r="C478" s="15" t="s">
        <v>183</v>
      </c>
    </row>
    <row r="479" ht="22.5" customHeight="1">
      <c r="A479" s="15">
        <v>1460.0</v>
      </c>
      <c r="B479" s="15" t="s">
        <v>114</v>
      </c>
      <c r="C479" s="15" t="s">
        <v>198</v>
      </c>
    </row>
    <row r="480" ht="22.5" customHeight="1">
      <c r="A480" s="15">
        <v>1461.0</v>
      </c>
      <c r="B480" s="15" t="s">
        <v>183</v>
      </c>
      <c r="C480" s="15" t="s">
        <v>183</v>
      </c>
    </row>
    <row r="481" ht="22.5" customHeight="1">
      <c r="A481" s="15">
        <v>1462.0</v>
      </c>
      <c r="B481" s="15" t="s">
        <v>183</v>
      </c>
      <c r="C481" s="15" t="s">
        <v>183</v>
      </c>
    </row>
    <row r="482" ht="22.5" customHeight="1">
      <c r="A482" s="15">
        <v>1463.0</v>
      </c>
      <c r="B482" s="15" t="s">
        <v>183</v>
      </c>
      <c r="C482" s="15" t="s">
        <v>183</v>
      </c>
    </row>
    <row r="483" ht="22.5" customHeight="1">
      <c r="A483" s="15">
        <v>1464.0</v>
      </c>
      <c r="B483" s="15" t="s">
        <v>183</v>
      </c>
      <c r="C483" s="15" t="s">
        <v>183</v>
      </c>
    </row>
    <row r="484" ht="22.5" customHeight="1">
      <c r="A484" s="15">
        <v>1465.0</v>
      </c>
      <c r="B484" s="15" t="s">
        <v>183</v>
      </c>
      <c r="C484" s="15" t="s">
        <v>183</v>
      </c>
    </row>
    <row r="485" ht="22.5" customHeight="1">
      <c r="A485" s="15">
        <v>1466.0</v>
      </c>
      <c r="B485" s="15" t="s">
        <v>183</v>
      </c>
      <c r="C485" s="15" t="s">
        <v>183</v>
      </c>
    </row>
    <row r="486" ht="22.5" customHeight="1">
      <c r="A486" s="15">
        <v>1467.0</v>
      </c>
      <c r="B486" s="15" t="s">
        <v>183</v>
      </c>
      <c r="C486" s="15" t="s">
        <v>183</v>
      </c>
    </row>
    <row r="487" ht="22.5" customHeight="1">
      <c r="A487" s="15">
        <v>1468.0</v>
      </c>
      <c r="B487" s="15" t="s">
        <v>183</v>
      </c>
      <c r="C487" s="15" t="s">
        <v>183</v>
      </c>
    </row>
    <row r="488" ht="22.5" customHeight="1">
      <c r="A488" s="15">
        <v>1469.0</v>
      </c>
      <c r="B488" s="15" t="s">
        <v>183</v>
      </c>
      <c r="C488" s="15" t="s">
        <v>183</v>
      </c>
    </row>
    <row r="489" ht="22.5" customHeight="1">
      <c r="A489" s="15">
        <v>1470.0</v>
      </c>
      <c r="B489" s="15" t="s">
        <v>117</v>
      </c>
      <c r="C489" s="15" t="s">
        <v>201</v>
      </c>
    </row>
    <row r="490" ht="22.5" customHeight="1">
      <c r="A490" s="15">
        <v>1471.0</v>
      </c>
      <c r="B490" s="15" t="s">
        <v>183</v>
      </c>
      <c r="C490" s="15" t="s">
        <v>183</v>
      </c>
    </row>
    <row r="491" ht="22.5" customHeight="1">
      <c r="A491" s="15">
        <v>1472.0</v>
      </c>
      <c r="B491" s="15" t="s">
        <v>183</v>
      </c>
      <c r="C491" s="15" t="s">
        <v>183</v>
      </c>
    </row>
    <row r="492" ht="22.5" customHeight="1">
      <c r="A492" s="15">
        <v>1473.0</v>
      </c>
      <c r="B492" s="15" t="s">
        <v>183</v>
      </c>
      <c r="C492" s="15" t="s">
        <v>183</v>
      </c>
    </row>
    <row r="493" ht="22.5" customHeight="1">
      <c r="A493" s="15">
        <v>1474.0</v>
      </c>
      <c r="B493" s="15" t="s">
        <v>183</v>
      </c>
      <c r="C493" s="15" t="s">
        <v>183</v>
      </c>
    </row>
    <row r="494" ht="22.5" customHeight="1">
      <c r="A494" s="15">
        <v>1475.0</v>
      </c>
      <c r="B494" s="15" t="s">
        <v>183</v>
      </c>
      <c r="C494" s="15" t="s">
        <v>183</v>
      </c>
    </row>
    <row r="495" ht="22.5" customHeight="1">
      <c r="A495" s="15">
        <v>1476.0</v>
      </c>
      <c r="B495" s="15" t="s">
        <v>183</v>
      </c>
      <c r="C495" s="15" t="s">
        <v>183</v>
      </c>
    </row>
    <row r="496" ht="22.5" customHeight="1">
      <c r="A496" s="15">
        <v>1477.0</v>
      </c>
      <c r="B496" s="15" t="s">
        <v>183</v>
      </c>
      <c r="C496" s="15" t="s">
        <v>183</v>
      </c>
    </row>
    <row r="497" ht="22.5" customHeight="1">
      <c r="A497" s="15">
        <v>1478.0</v>
      </c>
      <c r="B497" s="15" t="s">
        <v>183</v>
      </c>
      <c r="C497" s="15" t="s">
        <v>183</v>
      </c>
    </row>
    <row r="498" ht="22.5" customHeight="1">
      <c r="A498" s="15">
        <v>1479.0</v>
      </c>
      <c r="B498" s="15" t="s">
        <v>183</v>
      </c>
      <c r="C498" s="15" t="s">
        <v>183</v>
      </c>
    </row>
    <row r="499" ht="22.5" customHeight="1">
      <c r="A499" s="15">
        <v>1480.0</v>
      </c>
      <c r="B499" s="15" t="s">
        <v>111</v>
      </c>
      <c r="C499" s="15" t="s">
        <v>195</v>
      </c>
    </row>
    <row r="500" ht="22.5" customHeight="1">
      <c r="A500" s="15">
        <v>1481.0</v>
      </c>
      <c r="B500" s="15" t="s">
        <v>183</v>
      </c>
      <c r="C500" s="15" t="s">
        <v>183</v>
      </c>
    </row>
    <row r="501" ht="22.5" customHeight="1">
      <c r="A501" s="15">
        <v>1482.0</v>
      </c>
      <c r="B501" s="15" t="s">
        <v>183</v>
      </c>
      <c r="C501" s="15" t="s">
        <v>183</v>
      </c>
    </row>
    <row r="502" ht="22.5" customHeight="1">
      <c r="A502" s="15">
        <v>1483.0</v>
      </c>
      <c r="B502" s="15" t="s">
        <v>183</v>
      </c>
      <c r="C502" s="15" t="s">
        <v>183</v>
      </c>
    </row>
    <row r="503" ht="22.5" customHeight="1">
      <c r="A503" s="15">
        <v>1484.0</v>
      </c>
      <c r="B503" s="15" t="s">
        <v>183</v>
      </c>
      <c r="C503" s="15" t="s">
        <v>183</v>
      </c>
    </row>
    <row r="504" ht="22.5" customHeight="1">
      <c r="A504" s="15">
        <v>1485.0</v>
      </c>
      <c r="B504" s="15" t="s">
        <v>183</v>
      </c>
      <c r="C504" s="15" t="s">
        <v>183</v>
      </c>
    </row>
    <row r="505" ht="22.5" customHeight="1">
      <c r="A505" s="15">
        <v>1486.0</v>
      </c>
      <c r="B505" s="15" t="s">
        <v>183</v>
      </c>
      <c r="C505" s="15" t="s">
        <v>183</v>
      </c>
    </row>
    <row r="506" ht="22.5" customHeight="1">
      <c r="A506" s="15">
        <v>1487.0</v>
      </c>
      <c r="B506" s="15" t="s">
        <v>183</v>
      </c>
      <c r="C506" s="15" t="s">
        <v>183</v>
      </c>
    </row>
    <row r="507" ht="22.5" customHeight="1">
      <c r="A507" s="15">
        <v>1488.0</v>
      </c>
      <c r="B507" s="15" t="s">
        <v>183</v>
      </c>
      <c r="C507" s="15" t="s">
        <v>183</v>
      </c>
    </row>
    <row r="508" ht="22.5" customHeight="1">
      <c r="A508" s="15">
        <v>1489.0</v>
      </c>
      <c r="B508" s="15" t="s">
        <v>183</v>
      </c>
      <c r="C508" s="15" t="s">
        <v>183</v>
      </c>
    </row>
    <row r="509" ht="22.5" customHeight="1">
      <c r="A509" s="15">
        <v>1490.0</v>
      </c>
      <c r="B509" s="15" t="s">
        <v>120</v>
      </c>
      <c r="C509" s="15" t="s">
        <v>204</v>
      </c>
    </row>
    <row r="510" ht="22.5" customHeight="1">
      <c r="A510" s="15">
        <v>1491.0</v>
      </c>
      <c r="B510" s="15" t="s">
        <v>183</v>
      </c>
      <c r="C510" s="15" t="s">
        <v>183</v>
      </c>
    </row>
    <row r="511" ht="22.5" customHeight="1">
      <c r="A511" s="15">
        <v>1492.0</v>
      </c>
      <c r="B511" s="15" t="s">
        <v>183</v>
      </c>
      <c r="C511" s="15" t="s">
        <v>183</v>
      </c>
    </row>
    <row r="512" ht="22.5" customHeight="1">
      <c r="A512" s="15">
        <v>1493.0</v>
      </c>
      <c r="B512" s="15" t="s">
        <v>183</v>
      </c>
      <c r="C512" s="15" t="s">
        <v>183</v>
      </c>
    </row>
    <row r="513" ht="22.5" customHeight="1">
      <c r="A513" s="15">
        <v>1494.0</v>
      </c>
      <c r="B513" s="15" t="s">
        <v>183</v>
      </c>
      <c r="C513" s="15" t="s">
        <v>183</v>
      </c>
    </row>
    <row r="514" ht="22.5" customHeight="1">
      <c r="A514" s="15">
        <v>1495.0</v>
      </c>
      <c r="B514" s="15" t="s">
        <v>183</v>
      </c>
      <c r="C514" s="15" t="s">
        <v>183</v>
      </c>
    </row>
    <row r="515" ht="22.5" customHeight="1">
      <c r="A515" s="15">
        <v>1496.0</v>
      </c>
      <c r="B515" s="15" t="s">
        <v>183</v>
      </c>
      <c r="C515" s="15" t="s">
        <v>183</v>
      </c>
    </row>
    <row r="516" ht="22.5" customHeight="1">
      <c r="A516" s="15">
        <v>1497.0</v>
      </c>
      <c r="B516" s="15" t="s">
        <v>183</v>
      </c>
      <c r="C516" s="15" t="s">
        <v>183</v>
      </c>
    </row>
    <row r="517" ht="22.5" customHeight="1">
      <c r="A517" s="15">
        <v>1498.0</v>
      </c>
      <c r="B517" s="15" t="s">
        <v>183</v>
      </c>
      <c r="C517" s="15" t="s">
        <v>183</v>
      </c>
    </row>
    <row r="518" ht="22.5" customHeight="1">
      <c r="A518" s="15">
        <v>1499.0</v>
      </c>
      <c r="B518" s="15" t="s">
        <v>183</v>
      </c>
      <c r="C518" s="15" t="s">
        <v>183</v>
      </c>
    </row>
    <row r="519" ht="22.5" customHeight="1">
      <c r="A519" s="15">
        <v>1500.0</v>
      </c>
      <c r="B519" s="15" t="s">
        <v>111</v>
      </c>
      <c r="C519" s="15" t="s">
        <v>195</v>
      </c>
    </row>
    <row r="520" ht="22.5" customHeight="1">
      <c r="A520" s="15">
        <v>1501.0</v>
      </c>
      <c r="B520" s="15" t="s">
        <v>183</v>
      </c>
      <c r="C520" s="15" t="s">
        <v>183</v>
      </c>
    </row>
    <row r="521" ht="22.5" customHeight="1">
      <c r="A521" s="15">
        <v>1502.0</v>
      </c>
      <c r="B521" s="15" t="s">
        <v>183</v>
      </c>
      <c r="C521" s="15" t="s">
        <v>183</v>
      </c>
    </row>
    <row r="522" ht="22.5" customHeight="1">
      <c r="A522" s="15">
        <v>1503.0</v>
      </c>
      <c r="B522" s="15" t="s">
        <v>183</v>
      </c>
      <c r="C522" s="15" t="s">
        <v>183</v>
      </c>
    </row>
    <row r="523" ht="22.5" customHeight="1">
      <c r="A523" s="15">
        <v>1504.0</v>
      </c>
      <c r="B523" s="15" t="s">
        <v>183</v>
      </c>
      <c r="C523" s="15" t="s">
        <v>183</v>
      </c>
    </row>
    <row r="524" ht="22.5" customHeight="1">
      <c r="A524" s="15">
        <v>1505.0</v>
      </c>
      <c r="B524" s="15" t="s">
        <v>183</v>
      </c>
      <c r="C524" s="15" t="s">
        <v>183</v>
      </c>
    </row>
    <row r="525" ht="22.5" customHeight="1">
      <c r="A525" s="15">
        <v>1506.0</v>
      </c>
      <c r="B525" s="15" t="s">
        <v>183</v>
      </c>
      <c r="C525" s="15" t="s">
        <v>183</v>
      </c>
    </row>
    <row r="526" ht="22.5" customHeight="1">
      <c r="A526" s="15">
        <v>1507.0</v>
      </c>
      <c r="B526" s="15" t="s">
        <v>183</v>
      </c>
      <c r="C526" s="15" t="s">
        <v>183</v>
      </c>
    </row>
    <row r="527" ht="22.5" customHeight="1">
      <c r="A527" s="15">
        <v>1508.0</v>
      </c>
      <c r="B527" s="15" t="s">
        <v>183</v>
      </c>
      <c r="C527" s="15" t="s">
        <v>183</v>
      </c>
    </row>
    <row r="528" ht="22.5" customHeight="1">
      <c r="A528" s="15">
        <v>1509.0</v>
      </c>
      <c r="B528" s="15" t="s">
        <v>183</v>
      </c>
      <c r="C528" s="15" t="s">
        <v>183</v>
      </c>
    </row>
    <row r="529" ht="22.5" customHeight="1">
      <c r="A529" s="15">
        <v>1510.0</v>
      </c>
      <c r="B529" s="15" t="s">
        <v>117</v>
      </c>
      <c r="C529" s="15" t="s">
        <v>201</v>
      </c>
    </row>
    <row r="530" ht="22.5" customHeight="1">
      <c r="A530" s="15">
        <v>1511.0</v>
      </c>
      <c r="B530" s="15" t="s">
        <v>183</v>
      </c>
      <c r="C530" s="15" t="s">
        <v>183</v>
      </c>
    </row>
    <row r="531" ht="22.5" customHeight="1">
      <c r="A531" s="15">
        <v>1512.0</v>
      </c>
      <c r="B531" s="15" t="s">
        <v>183</v>
      </c>
      <c r="C531" s="15" t="s">
        <v>183</v>
      </c>
    </row>
    <row r="532" ht="22.5" customHeight="1">
      <c r="A532" s="15">
        <v>1513.0</v>
      </c>
      <c r="B532" s="15" t="s">
        <v>183</v>
      </c>
      <c r="C532" s="15" t="s">
        <v>183</v>
      </c>
    </row>
    <row r="533" ht="22.5" customHeight="1">
      <c r="A533" s="15">
        <v>1514.0</v>
      </c>
      <c r="B533" s="15" t="s">
        <v>183</v>
      </c>
      <c r="C533" s="15" t="s">
        <v>183</v>
      </c>
    </row>
    <row r="534" ht="22.5" customHeight="1">
      <c r="A534" s="15">
        <v>1515.0</v>
      </c>
      <c r="B534" s="15" t="s">
        <v>183</v>
      </c>
      <c r="C534" s="15" t="s">
        <v>183</v>
      </c>
    </row>
    <row r="535" ht="22.5" customHeight="1">
      <c r="A535" s="15">
        <v>1516.0</v>
      </c>
      <c r="B535" s="15" t="s">
        <v>183</v>
      </c>
      <c r="C535" s="15" t="s">
        <v>183</v>
      </c>
    </row>
    <row r="536" ht="22.5" customHeight="1">
      <c r="A536" s="15">
        <v>1517.0</v>
      </c>
      <c r="B536" s="15" t="s">
        <v>183</v>
      </c>
      <c r="C536" s="15" t="s">
        <v>183</v>
      </c>
    </row>
    <row r="537" ht="22.5" customHeight="1">
      <c r="A537" s="15">
        <v>1518.0</v>
      </c>
      <c r="B537" s="15" t="s">
        <v>183</v>
      </c>
      <c r="C537" s="15" t="s">
        <v>183</v>
      </c>
    </row>
    <row r="538" ht="22.5" customHeight="1">
      <c r="A538" s="15">
        <v>1519.0</v>
      </c>
      <c r="B538" s="15" t="s">
        <v>183</v>
      </c>
      <c r="C538" s="15" t="s">
        <v>183</v>
      </c>
    </row>
    <row r="539" ht="22.5" customHeight="1">
      <c r="A539" s="15">
        <v>1520.0</v>
      </c>
      <c r="B539" s="15" t="s">
        <v>114</v>
      </c>
      <c r="C539" s="15" t="s">
        <v>198</v>
      </c>
    </row>
    <row r="540" ht="22.5" customHeight="1">
      <c r="A540" s="15">
        <v>1600.0</v>
      </c>
      <c r="B540" s="15" t="s">
        <v>117</v>
      </c>
      <c r="C540" s="15" t="s">
        <v>201</v>
      </c>
    </row>
    <row r="541" ht="22.5" customHeight="1">
      <c r="A541" s="15">
        <v>1601.0</v>
      </c>
      <c r="B541" s="15" t="s">
        <v>183</v>
      </c>
      <c r="C541" s="15" t="s">
        <v>183</v>
      </c>
    </row>
    <row r="542" ht="22.5" customHeight="1">
      <c r="A542" s="15">
        <v>1602.0</v>
      </c>
      <c r="B542" s="15" t="s">
        <v>183</v>
      </c>
      <c r="C542" s="15" t="s">
        <v>183</v>
      </c>
    </row>
    <row r="543" ht="22.5" customHeight="1">
      <c r="A543" s="15">
        <v>1603.0</v>
      </c>
      <c r="B543" s="15" t="s">
        <v>183</v>
      </c>
      <c r="C543" s="15" t="s">
        <v>183</v>
      </c>
    </row>
    <row r="544" ht="22.5" customHeight="1">
      <c r="A544" s="15">
        <v>1604.0</v>
      </c>
      <c r="B544" s="15" t="s">
        <v>183</v>
      </c>
      <c r="C544" s="15" t="s">
        <v>183</v>
      </c>
    </row>
    <row r="545" ht="22.5" customHeight="1">
      <c r="A545" s="15">
        <v>1605.0</v>
      </c>
      <c r="B545" s="15" t="s">
        <v>183</v>
      </c>
      <c r="C545" s="15" t="s">
        <v>183</v>
      </c>
    </row>
    <row r="546" ht="22.5" customHeight="1">
      <c r="A546" s="15">
        <v>1606.0</v>
      </c>
      <c r="B546" s="15" t="s">
        <v>183</v>
      </c>
      <c r="C546" s="15" t="s">
        <v>183</v>
      </c>
    </row>
    <row r="547" ht="22.5" customHeight="1">
      <c r="A547" s="15">
        <v>1607.0</v>
      </c>
      <c r="B547" s="15" t="s">
        <v>183</v>
      </c>
      <c r="C547" s="15" t="s">
        <v>183</v>
      </c>
    </row>
    <row r="548" ht="22.5" customHeight="1">
      <c r="A548" s="15">
        <v>1608.0</v>
      </c>
      <c r="B548" s="15" t="s">
        <v>183</v>
      </c>
      <c r="C548" s="15" t="s">
        <v>183</v>
      </c>
    </row>
    <row r="549" ht="22.5" customHeight="1">
      <c r="A549" s="15">
        <v>1609.0</v>
      </c>
      <c r="B549" s="15" t="s">
        <v>183</v>
      </c>
      <c r="C549" s="15" t="s">
        <v>183</v>
      </c>
    </row>
    <row r="550" ht="22.5" customHeight="1">
      <c r="A550" s="15">
        <v>1610.0</v>
      </c>
      <c r="B550" s="15" t="s">
        <v>114</v>
      </c>
      <c r="C550" s="15" t="s">
        <v>198</v>
      </c>
    </row>
    <row r="551" ht="22.5" customHeight="1">
      <c r="A551" s="15">
        <v>1611.0</v>
      </c>
      <c r="B551" s="15" t="s">
        <v>183</v>
      </c>
      <c r="C551" s="15" t="s">
        <v>183</v>
      </c>
    </row>
    <row r="552" ht="22.5" customHeight="1">
      <c r="A552" s="15">
        <v>1612.0</v>
      </c>
      <c r="B552" s="15" t="s">
        <v>183</v>
      </c>
      <c r="C552" s="15" t="s">
        <v>183</v>
      </c>
    </row>
    <row r="553" ht="22.5" customHeight="1">
      <c r="A553" s="15">
        <v>1613.0</v>
      </c>
      <c r="B553" s="15" t="s">
        <v>183</v>
      </c>
      <c r="C553" s="15" t="s">
        <v>183</v>
      </c>
    </row>
    <row r="554" ht="22.5" customHeight="1">
      <c r="A554" s="15">
        <v>1614.0</v>
      </c>
      <c r="B554" s="15" t="s">
        <v>183</v>
      </c>
      <c r="C554" s="15" t="s">
        <v>183</v>
      </c>
    </row>
    <row r="555" ht="22.5" customHeight="1">
      <c r="A555" s="15">
        <v>1615.0</v>
      </c>
      <c r="B555" s="15" t="s">
        <v>183</v>
      </c>
      <c r="C555" s="15" t="s">
        <v>183</v>
      </c>
    </row>
    <row r="556" ht="22.5" customHeight="1">
      <c r="A556" s="15">
        <v>1616.0</v>
      </c>
      <c r="B556" s="15" t="s">
        <v>183</v>
      </c>
      <c r="C556" s="15" t="s">
        <v>183</v>
      </c>
    </row>
    <row r="557" ht="22.5" customHeight="1">
      <c r="A557" s="15">
        <v>1617.0</v>
      </c>
      <c r="B557" s="15" t="s">
        <v>183</v>
      </c>
      <c r="C557" s="15" t="s">
        <v>183</v>
      </c>
    </row>
    <row r="558" ht="22.5" customHeight="1">
      <c r="A558" s="15">
        <v>1618.0</v>
      </c>
      <c r="B558" s="15" t="s">
        <v>183</v>
      </c>
      <c r="C558" s="15" t="s">
        <v>183</v>
      </c>
    </row>
    <row r="559" ht="22.5" customHeight="1">
      <c r="A559" s="15">
        <v>1619.0</v>
      </c>
      <c r="B559" s="15" t="s">
        <v>183</v>
      </c>
      <c r="C559" s="15" t="s">
        <v>183</v>
      </c>
    </row>
    <row r="560" ht="22.5" customHeight="1">
      <c r="A560" s="15">
        <v>1620.0</v>
      </c>
      <c r="B560" s="15" t="s">
        <v>120</v>
      </c>
      <c r="C560" s="15" t="s">
        <v>204</v>
      </c>
    </row>
    <row r="561" ht="22.5" customHeight="1">
      <c r="A561" s="15">
        <v>1621.0</v>
      </c>
      <c r="B561" s="15" t="s">
        <v>183</v>
      </c>
      <c r="C561" s="15" t="s">
        <v>183</v>
      </c>
    </row>
    <row r="562" ht="22.5" customHeight="1">
      <c r="A562" s="15">
        <v>1622.0</v>
      </c>
      <c r="B562" s="15" t="s">
        <v>183</v>
      </c>
      <c r="C562" s="15" t="s">
        <v>183</v>
      </c>
    </row>
    <row r="563" ht="22.5" customHeight="1">
      <c r="A563" s="15">
        <v>1623.0</v>
      </c>
      <c r="B563" s="15" t="s">
        <v>183</v>
      </c>
      <c r="C563" s="15" t="s">
        <v>183</v>
      </c>
    </row>
    <row r="564" ht="22.5" customHeight="1">
      <c r="A564" s="15">
        <v>1624.0</v>
      </c>
      <c r="B564" s="15" t="s">
        <v>183</v>
      </c>
      <c r="C564" s="15" t="s">
        <v>183</v>
      </c>
    </row>
    <row r="565" ht="22.5" customHeight="1">
      <c r="A565" s="15">
        <v>1625.0</v>
      </c>
      <c r="B565" s="15" t="s">
        <v>183</v>
      </c>
      <c r="C565" s="15" t="s">
        <v>183</v>
      </c>
    </row>
    <row r="566" ht="22.5" customHeight="1">
      <c r="A566" s="15">
        <v>1626.0</v>
      </c>
      <c r="B566" s="15" t="s">
        <v>183</v>
      </c>
      <c r="C566" s="15" t="s">
        <v>183</v>
      </c>
    </row>
    <row r="567" ht="22.5" customHeight="1">
      <c r="A567" s="15">
        <v>1627.0</v>
      </c>
      <c r="B567" s="15" t="s">
        <v>183</v>
      </c>
      <c r="C567" s="15" t="s">
        <v>183</v>
      </c>
    </row>
    <row r="568" ht="22.5" customHeight="1">
      <c r="A568" s="15">
        <v>1628.0</v>
      </c>
      <c r="B568" s="15" t="s">
        <v>183</v>
      </c>
      <c r="C568" s="15" t="s">
        <v>183</v>
      </c>
    </row>
    <row r="569" ht="22.5" customHeight="1">
      <c r="A569" s="15">
        <v>1629.0</v>
      </c>
      <c r="B569" s="15" t="s">
        <v>183</v>
      </c>
      <c r="C569" s="15" t="s">
        <v>183</v>
      </c>
    </row>
    <row r="570" ht="22.5" customHeight="1">
      <c r="A570" s="15">
        <v>1630.0</v>
      </c>
      <c r="B570" s="15" t="s">
        <v>117</v>
      </c>
      <c r="C570" s="15" t="s">
        <v>201</v>
      </c>
    </row>
    <row r="571" ht="22.5" customHeight="1">
      <c r="A571" s="15">
        <v>1631.0</v>
      </c>
      <c r="B571" s="15" t="s">
        <v>183</v>
      </c>
      <c r="C571" s="15" t="s">
        <v>183</v>
      </c>
    </row>
    <row r="572" ht="22.5" customHeight="1">
      <c r="A572" s="15">
        <v>1632.0</v>
      </c>
      <c r="B572" s="15" t="s">
        <v>183</v>
      </c>
      <c r="C572" s="15" t="s">
        <v>183</v>
      </c>
    </row>
    <row r="573" ht="22.5" customHeight="1">
      <c r="A573" s="15">
        <v>1633.0</v>
      </c>
      <c r="B573" s="15" t="s">
        <v>183</v>
      </c>
      <c r="C573" s="15" t="s">
        <v>183</v>
      </c>
    </row>
    <row r="574" ht="22.5" customHeight="1">
      <c r="A574" s="15">
        <v>1634.0</v>
      </c>
      <c r="B574" s="15" t="s">
        <v>183</v>
      </c>
      <c r="C574" s="15" t="s">
        <v>183</v>
      </c>
    </row>
    <row r="575" ht="22.5" customHeight="1">
      <c r="A575" s="15">
        <v>1635.0</v>
      </c>
      <c r="B575" s="15" t="s">
        <v>183</v>
      </c>
      <c r="C575" s="15" t="s">
        <v>183</v>
      </c>
    </row>
    <row r="576" ht="22.5" customHeight="1">
      <c r="A576" s="15">
        <v>1636.0</v>
      </c>
      <c r="B576" s="15" t="s">
        <v>183</v>
      </c>
      <c r="C576" s="15" t="s">
        <v>183</v>
      </c>
    </row>
    <row r="577" ht="22.5" customHeight="1">
      <c r="A577" s="15">
        <v>1637.0</v>
      </c>
      <c r="B577" s="15" t="s">
        <v>183</v>
      </c>
      <c r="C577" s="15" t="s">
        <v>183</v>
      </c>
    </row>
    <row r="578" ht="22.5" customHeight="1">
      <c r="A578" s="15">
        <v>1638.0</v>
      </c>
      <c r="B578" s="15" t="s">
        <v>183</v>
      </c>
      <c r="C578" s="15" t="s">
        <v>183</v>
      </c>
    </row>
    <row r="579" ht="22.5" customHeight="1">
      <c r="A579" s="15">
        <v>1639.0</v>
      </c>
      <c r="B579" s="15" t="s">
        <v>183</v>
      </c>
      <c r="C579" s="15" t="s">
        <v>183</v>
      </c>
    </row>
    <row r="580" ht="22.5" customHeight="1">
      <c r="A580" s="15">
        <v>1640.0</v>
      </c>
      <c r="B580" s="15" t="s">
        <v>120</v>
      </c>
      <c r="C580" s="15" t="s">
        <v>204</v>
      </c>
    </row>
    <row r="581" ht="22.5" customHeight="1">
      <c r="A581" s="15">
        <v>1641.0</v>
      </c>
      <c r="B581" s="15" t="s">
        <v>183</v>
      </c>
      <c r="C581" s="15" t="s">
        <v>183</v>
      </c>
    </row>
    <row r="582" ht="22.5" customHeight="1">
      <c r="A582" s="15">
        <v>1642.0</v>
      </c>
      <c r="B582" s="15" t="s">
        <v>183</v>
      </c>
      <c r="C582" s="15" t="s">
        <v>183</v>
      </c>
    </row>
    <row r="583" ht="22.5" customHeight="1">
      <c r="A583" s="15">
        <v>1643.0</v>
      </c>
      <c r="B583" s="15" t="s">
        <v>183</v>
      </c>
      <c r="C583" s="15" t="s">
        <v>183</v>
      </c>
    </row>
    <row r="584" ht="22.5" customHeight="1">
      <c r="A584" s="15">
        <v>1644.0</v>
      </c>
      <c r="B584" s="15" t="s">
        <v>183</v>
      </c>
      <c r="C584" s="15" t="s">
        <v>183</v>
      </c>
    </row>
    <row r="585" ht="22.5" customHeight="1">
      <c r="A585" s="15">
        <v>1645.0</v>
      </c>
      <c r="B585" s="15" t="s">
        <v>183</v>
      </c>
      <c r="C585" s="15" t="s">
        <v>183</v>
      </c>
    </row>
    <row r="586" ht="22.5" customHeight="1">
      <c r="A586" s="15">
        <v>1646.0</v>
      </c>
      <c r="B586" s="15" t="s">
        <v>183</v>
      </c>
      <c r="C586" s="15" t="s">
        <v>183</v>
      </c>
    </row>
    <row r="587" ht="22.5" customHeight="1">
      <c r="A587" s="15">
        <v>1647.0</v>
      </c>
      <c r="B587" s="15" t="s">
        <v>183</v>
      </c>
      <c r="C587" s="15" t="s">
        <v>183</v>
      </c>
    </row>
    <row r="588" ht="22.5" customHeight="1">
      <c r="A588" s="15">
        <v>1648.0</v>
      </c>
      <c r="B588" s="15" t="s">
        <v>183</v>
      </c>
      <c r="C588" s="15" t="s">
        <v>183</v>
      </c>
    </row>
    <row r="589" ht="22.5" customHeight="1">
      <c r="A589" s="15">
        <v>1649.0</v>
      </c>
      <c r="B589" s="15" t="s">
        <v>183</v>
      </c>
      <c r="C589" s="15" t="s">
        <v>183</v>
      </c>
    </row>
    <row r="590" ht="22.5" customHeight="1">
      <c r="A590" s="15">
        <v>1650.0</v>
      </c>
      <c r="B590" s="15" t="s">
        <v>111</v>
      </c>
      <c r="C590" s="15" t="s">
        <v>195</v>
      </c>
    </row>
    <row r="591" ht="22.5" customHeight="1">
      <c r="A591" s="15">
        <v>1651.0</v>
      </c>
      <c r="B591" s="15" t="s">
        <v>183</v>
      </c>
      <c r="C591" s="15" t="s">
        <v>183</v>
      </c>
    </row>
    <row r="592" ht="22.5" customHeight="1">
      <c r="A592" s="15">
        <v>1652.0</v>
      </c>
      <c r="B592" s="15" t="s">
        <v>183</v>
      </c>
      <c r="C592" s="15" t="s">
        <v>183</v>
      </c>
    </row>
    <row r="593" ht="22.5" customHeight="1">
      <c r="A593" s="15">
        <v>1653.0</v>
      </c>
      <c r="B593" s="15" t="s">
        <v>183</v>
      </c>
      <c r="C593" s="15" t="s">
        <v>183</v>
      </c>
    </row>
    <row r="594" ht="22.5" customHeight="1">
      <c r="A594" s="15">
        <v>1654.0</v>
      </c>
      <c r="B594" s="15" t="s">
        <v>183</v>
      </c>
      <c r="C594" s="15" t="s">
        <v>183</v>
      </c>
    </row>
    <row r="595" ht="22.5" customHeight="1">
      <c r="A595" s="15">
        <v>1655.0</v>
      </c>
      <c r="B595" s="15" t="s">
        <v>183</v>
      </c>
      <c r="C595" s="15" t="s">
        <v>183</v>
      </c>
    </row>
    <row r="596" ht="22.5" customHeight="1">
      <c r="A596" s="15">
        <v>1656.0</v>
      </c>
      <c r="B596" s="15" t="s">
        <v>183</v>
      </c>
      <c r="C596" s="15" t="s">
        <v>183</v>
      </c>
    </row>
    <row r="597" ht="22.5" customHeight="1">
      <c r="A597" s="15">
        <v>1657.0</v>
      </c>
      <c r="B597" s="15" t="s">
        <v>183</v>
      </c>
      <c r="C597" s="15" t="s">
        <v>183</v>
      </c>
    </row>
    <row r="598" ht="22.5" customHeight="1">
      <c r="A598" s="15">
        <v>1658.0</v>
      </c>
      <c r="B598" s="15" t="s">
        <v>183</v>
      </c>
      <c r="C598" s="15" t="s">
        <v>183</v>
      </c>
    </row>
    <row r="599" ht="22.5" customHeight="1">
      <c r="A599" s="15">
        <v>1659.0</v>
      </c>
      <c r="B599" s="15" t="s">
        <v>183</v>
      </c>
      <c r="C599" s="15" t="s">
        <v>183</v>
      </c>
    </row>
    <row r="600" ht="22.5" customHeight="1">
      <c r="A600" s="15">
        <v>1660.0</v>
      </c>
      <c r="B600" s="15" t="s">
        <v>111</v>
      </c>
      <c r="C600" s="15" t="s">
        <v>195</v>
      </c>
    </row>
    <row r="601" ht="22.5" customHeight="1">
      <c r="A601" s="15">
        <v>1661.0</v>
      </c>
      <c r="B601" s="15" t="s">
        <v>183</v>
      </c>
      <c r="C601" s="15" t="s">
        <v>183</v>
      </c>
    </row>
    <row r="602" ht="22.5" customHeight="1">
      <c r="A602" s="15">
        <v>1662.0</v>
      </c>
      <c r="B602" s="15" t="s">
        <v>183</v>
      </c>
      <c r="C602" s="15" t="s">
        <v>183</v>
      </c>
    </row>
    <row r="603" ht="22.5" customHeight="1">
      <c r="A603" s="15">
        <v>1663.0</v>
      </c>
      <c r="B603" s="15" t="s">
        <v>183</v>
      </c>
      <c r="C603" s="15" t="s">
        <v>183</v>
      </c>
    </row>
    <row r="604" ht="22.5" customHeight="1">
      <c r="A604" s="15">
        <v>1664.0</v>
      </c>
      <c r="B604" s="15" t="s">
        <v>183</v>
      </c>
      <c r="C604" s="15" t="s">
        <v>183</v>
      </c>
    </row>
    <row r="605" ht="22.5" customHeight="1">
      <c r="A605" s="15">
        <v>1665.0</v>
      </c>
      <c r="B605" s="15" t="s">
        <v>183</v>
      </c>
      <c r="C605" s="15" t="s">
        <v>183</v>
      </c>
    </row>
    <row r="606" ht="22.5" customHeight="1">
      <c r="A606" s="15">
        <v>1666.0</v>
      </c>
      <c r="B606" s="15" t="s">
        <v>183</v>
      </c>
      <c r="C606" s="15" t="s">
        <v>183</v>
      </c>
    </row>
    <row r="607" ht="22.5" customHeight="1">
      <c r="A607" s="15">
        <v>1667.0</v>
      </c>
      <c r="B607" s="15" t="s">
        <v>183</v>
      </c>
      <c r="C607" s="15" t="s">
        <v>183</v>
      </c>
    </row>
    <row r="608" ht="22.5" customHeight="1">
      <c r="A608" s="15">
        <v>1668.0</v>
      </c>
      <c r="B608" s="15" t="s">
        <v>183</v>
      </c>
      <c r="C608" s="15" t="s">
        <v>183</v>
      </c>
    </row>
    <row r="609" ht="22.5" customHeight="1">
      <c r="A609" s="15">
        <v>1669.0</v>
      </c>
      <c r="B609" s="15" t="s">
        <v>183</v>
      </c>
      <c r="C609" s="15" t="s">
        <v>183</v>
      </c>
    </row>
    <row r="610" ht="22.5" customHeight="1">
      <c r="A610" s="15">
        <v>1670.0</v>
      </c>
      <c r="B610" s="15" t="s">
        <v>117</v>
      </c>
      <c r="C610" s="15" t="s">
        <v>201</v>
      </c>
    </row>
    <row r="611" ht="22.5" customHeight="1">
      <c r="A611" s="15">
        <v>1671.0</v>
      </c>
      <c r="B611" s="15" t="s">
        <v>183</v>
      </c>
      <c r="C611" s="15" t="s">
        <v>183</v>
      </c>
    </row>
    <row r="612" ht="22.5" customHeight="1">
      <c r="A612" s="15">
        <v>1672.0</v>
      </c>
      <c r="B612" s="15" t="s">
        <v>183</v>
      </c>
      <c r="C612" s="15" t="s">
        <v>183</v>
      </c>
    </row>
    <row r="613" ht="22.5" customHeight="1">
      <c r="A613" s="15">
        <v>1673.0</v>
      </c>
      <c r="B613" s="15" t="s">
        <v>183</v>
      </c>
      <c r="C613" s="15" t="s">
        <v>183</v>
      </c>
    </row>
    <row r="614" ht="22.5" customHeight="1">
      <c r="A614" s="15">
        <v>1674.0</v>
      </c>
      <c r="B614" s="15" t="s">
        <v>183</v>
      </c>
      <c r="C614" s="15" t="s">
        <v>183</v>
      </c>
    </row>
    <row r="615" ht="22.5" customHeight="1">
      <c r="A615" s="15">
        <v>1675.0</v>
      </c>
      <c r="B615" s="15" t="s">
        <v>183</v>
      </c>
      <c r="C615" s="15" t="s">
        <v>183</v>
      </c>
    </row>
    <row r="616" ht="22.5" customHeight="1">
      <c r="A616" s="15">
        <v>1676.0</v>
      </c>
      <c r="B616" s="15" t="s">
        <v>183</v>
      </c>
      <c r="C616" s="15" t="s">
        <v>183</v>
      </c>
    </row>
    <row r="617" ht="22.5" customHeight="1">
      <c r="A617" s="15">
        <v>1677.0</v>
      </c>
      <c r="B617" s="15" t="s">
        <v>183</v>
      </c>
      <c r="C617" s="15" t="s">
        <v>183</v>
      </c>
    </row>
    <row r="618" ht="22.5" customHeight="1">
      <c r="A618" s="15">
        <v>1678.0</v>
      </c>
      <c r="B618" s="15" t="s">
        <v>183</v>
      </c>
      <c r="C618" s="15" t="s">
        <v>183</v>
      </c>
    </row>
    <row r="619" ht="22.5" customHeight="1">
      <c r="A619" s="15">
        <v>1679.0</v>
      </c>
      <c r="B619" s="15" t="s">
        <v>183</v>
      </c>
      <c r="C619" s="15" t="s">
        <v>183</v>
      </c>
    </row>
    <row r="620" ht="22.5" customHeight="1">
      <c r="A620" s="15">
        <v>1680.0</v>
      </c>
      <c r="B620" s="15" t="s">
        <v>114</v>
      </c>
      <c r="C620" s="15" t="s">
        <v>198</v>
      </c>
    </row>
    <row r="621" ht="22.5" customHeight="1">
      <c r="A621" s="15">
        <v>1681.0</v>
      </c>
      <c r="B621" s="15" t="s">
        <v>183</v>
      </c>
      <c r="C621" s="15" t="s">
        <v>183</v>
      </c>
    </row>
    <row r="622" ht="22.5" customHeight="1">
      <c r="A622" s="15">
        <v>1682.0</v>
      </c>
      <c r="B622" s="15" t="s">
        <v>183</v>
      </c>
      <c r="C622" s="15" t="s">
        <v>183</v>
      </c>
    </row>
    <row r="623" ht="22.5" customHeight="1">
      <c r="A623" s="15">
        <v>1683.0</v>
      </c>
      <c r="B623" s="15" t="s">
        <v>183</v>
      </c>
      <c r="C623" s="15" t="s">
        <v>183</v>
      </c>
    </row>
    <row r="624" ht="22.5" customHeight="1">
      <c r="A624" s="15">
        <v>1684.0</v>
      </c>
      <c r="B624" s="15" t="s">
        <v>183</v>
      </c>
      <c r="C624" s="15" t="s">
        <v>183</v>
      </c>
    </row>
    <row r="625" ht="22.5" customHeight="1">
      <c r="A625" s="15">
        <v>1685.0</v>
      </c>
      <c r="B625" s="15" t="s">
        <v>183</v>
      </c>
      <c r="C625" s="15" t="s">
        <v>183</v>
      </c>
    </row>
    <row r="626" ht="22.5" customHeight="1">
      <c r="A626" s="15">
        <v>1686.0</v>
      </c>
      <c r="B626" s="15" t="s">
        <v>183</v>
      </c>
      <c r="C626" s="15" t="s">
        <v>183</v>
      </c>
    </row>
    <row r="627" ht="22.5" customHeight="1">
      <c r="A627" s="15">
        <v>1687.0</v>
      </c>
      <c r="B627" s="15" t="s">
        <v>183</v>
      </c>
      <c r="C627" s="15" t="s">
        <v>183</v>
      </c>
    </row>
    <row r="628" ht="22.5" customHeight="1">
      <c r="A628" s="15">
        <v>1688.0</v>
      </c>
      <c r="B628" s="15" t="s">
        <v>183</v>
      </c>
      <c r="C628" s="15" t="s">
        <v>183</v>
      </c>
    </row>
    <row r="629" ht="22.5" customHeight="1">
      <c r="A629" s="15">
        <v>1689.0</v>
      </c>
      <c r="B629" s="15" t="s">
        <v>183</v>
      </c>
      <c r="C629" s="15" t="s">
        <v>183</v>
      </c>
    </row>
    <row r="630" ht="22.5" customHeight="1">
      <c r="A630" s="15">
        <v>1690.0</v>
      </c>
      <c r="B630" s="15" t="s">
        <v>120</v>
      </c>
      <c r="C630" s="15" t="s">
        <v>204</v>
      </c>
    </row>
    <row r="631" ht="22.5" customHeight="1">
      <c r="A631" s="15">
        <v>1691.0</v>
      </c>
      <c r="B631" s="15" t="s">
        <v>183</v>
      </c>
      <c r="C631" s="15" t="s">
        <v>183</v>
      </c>
    </row>
    <row r="632" ht="22.5" customHeight="1">
      <c r="A632" s="15">
        <v>1692.0</v>
      </c>
      <c r="B632" s="15" t="s">
        <v>183</v>
      </c>
      <c r="C632" s="15" t="s">
        <v>183</v>
      </c>
    </row>
    <row r="633" ht="22.5" customHeight="1">
      <c r="A633" s="15">
        <v>1693.0</v>
      </c>
      <c r="B633" s="15" t="s">
        <v>183</v>
      </c>
      <c r="C633" s="15" t="s">
        <v>183</v>
      </c>
    </row>
    <row r="634" ht="22.5" customHeight="1">
      <c r="A634" s="15">
        <v>1694.0</v>
      </c>
      <c r="B634" s="15" t="s">
        <v>183</v>
      </c>
      <c r="C634" s="15" t="s">
        <v>183</v>
      </c>
    </row>
    <row r="635" ht="22.5" customHeight="1">
      <c r="A635" s="15">
        <v>1695.0</v>
      </c>
      <c r="B635" s="15" t="s">
        <v>183</v>
      </c>
      <c r="C635" s="15" t="s">
        <v>183</v>
      </c>
    </row>
    <row r="636" ht="22.5" customHeight="1">
      <c r="A636" s="15">
        <v>1696.0</v>
      </c>
      <c r="B636" s="15" t="s">
        <v>183</v>
      </c>
      <c r="C636" s="15" t="s">
        <v>183</v>
      </c>
    </row>
    <row r="637" ht="22.5" customHeight="1">
      <c r="A637" s="15">
        <v>1697.0</v>
      </c>
      <c r="B637" s="15" t="s">
        <v>183</v>
      </c>
      <c r="C637" s="15" t="s">
        <v>183</v>
      </c>
    </row>
    <row r="638" ht="22.5" customHeight="1">
      <c r="A638" s="15">
        <v>1698.0</v>
      </c>
      <c r="B638" s="15" t="s">
        <v>183</v>
      </c>
      <c r="C638" s="15" t="s">
        <v>183</v>
      </c>
    </row>
    <row r="639" ht="22.5" customHeight="1">
      <c r="A639" s="15">
        <v>1699.0</v>
      </c>
      <c r="B639" s="15" t="s">
        <v>183</v>
      </c>
      <c r="C639" s="15" t="s">
        <v>183</v>
      </c>
    </row>
    <row r="640" ht="22.5" customHeight="1">
      <c r="A640" s="15">
        <v>1700.0</v>
      </c>
      <c r="B640" s="15" t="s">
        <v>114</v>
      </c>
      <c r="C640" s="15" t="s">
        <v>198</v>
      </c>
    </row>
    <row r="641" ht="22.5" customHeight="1">
      <c r="A641" s="15">
        <v>1701.0</v>
      </c>
      <c r="B641" s="15" t="s">
        <v>183</v>
      </c>
      <c r="C641" s="15" t="s">
        <v>183</v>
      </c>
    </row>
    <row r="642" ht="22.5" customHeight="1">
      <c r="A642" s="15">
        <v>1702.0</v>
      </c>
      <c r="B642" s="15" t="s">
        <v>183</v>
      </c>
      <c r="C642" s="15" t="s">
        <v>183</v>
      </c>
    </row>
    <row r="643" ht="22.5" customHeight="1">
      <c r="A643" s="15">
        <v>1703.0</v>
      </c>
      <c r="B643" s="15" t="s">
        <v>183</v>
      </c>
      <c r="C643" s="15" t="s">
        <v>183</v>
      </c>
    </row>
    <row r="644" ht="22.5" customHeight="1">
      <c r="A644" s="15">
        <v>1704.0</v>
      </c>
      <c r="B644" s="15" t="s">
        <v>183</v>
      </c>
      <c r="C644" s="15" t="s">
        <v>183</v>
      </c>
    </row>
    <row r="645" ht="22.5" customHeight="1">
      <c r="A645" s="15">
        <v>1705.0</v>
      </c>
      <c r="B645" s="15" t="s">
        <v>183</v>
      </c>
      <c r="C645" s="15" t="s">
        <v>183</v>
      </c>
    </row>
    <row r="646" ht="22.5" customHeight="1">
      <c r="A646" s="15">
        <v>1706.0</v>
      </c>
      <c r="B646" s="15" t="s">
        <v>183</v>
      </c>
      <c r="C646" s="15" t="s">
        <v>183</v>
      </c>
    </row>
    <row r="647" ht="22.5" customHeight="1">
      <c r="A647" s="15">
        <v>1707.0</v>
      </c>
      <c r="B647" s="15" t="s">
        <v>183</v>
      </c>
      <c r="C647" s="15" t="s">
        <v>183</v>
      </c>
    </row>
    <row r="648" ht="22.5" customHeight="1">
      <c r="A648" s="15">
        <v>1708.0</v>
      </c>
      <c r="B648" s="15" t="s">
        <v>183</v>
      </c>
      <c r="C648" s="15" t="s">
        <v>183</v>
      </c>
    </row>
    <row r="649" ht="22.5" customHeight="1">
      <c r="A649" s="15">
        <v>1709.0</v>
      </c>
      <c r="B649" s="15" t="s">
        <v>183</v>
      </c>
      <c r="C649" s="15" t="s">
        <v>183</v>
      </c>
    </row>
    <row r="650" ht="22.5" customHeight="1">
      <c r="A650" s="15">
        <v>1710.0</v>
      </c>
      <c r="B650" s="15" t="s">
        <v>111</v>
      </c>
      <c r="C650" s="15" t="s">
        <v>195</v>
      </c>
    </row>
    <row r="651" ht="22.5" customHeight="1">
      <c r="A651" s="15">
        <v>1711.0</v>
      </c>
      <c r="B651" s="15" t="s">
        <v>183</v>
      </c>
      <c r="C651" s="15" t="s">
        <v>183</v>
      </c>
    </row>
    <row r="652" ht="22.5" customHeight="1">
      <c r="A652" s="15">
        <v>1712.0</v>
      </c>
      <c r="B652" s="15" t="s">
        <v>183</v>
      </c>
      <c r="C652" s="15" t="s">
        <v>183</v>
      </c>
    </row>
    <row r="653" ht="22.5" customHeight="1">
      <c r="A653" s="15">
        <v>1713.0</v>
      </c>
      <c r="B653" s="15" t="s">
        <v>183</v>
      </c>
      <c r="C653" s="15" t="s">
        <v>183</v>
      </c>
    </row>
    <row r="654" ht="22.5" customHeight="1">
      <c r="A654" s="15">
        <v>1714.0</v>
      </c>
      <c r="B654" s="15" t="s">
        <v>183</v>
      </c>
      <c r="C654" s="15" t="s">
        <v>183</v>
      </c>
    </row>
    <row r="655" ht="22.5" customHeight="1">
      <c r="A655" s="15">
        <v>1715.0</v>
      </c>
      <c r="B655" s="15" t="s">
        <v>183</v>
      </c>
      <c r="C655" s="15" t="s">
        <v>183</v>
      </c>
    </row>
    <row r="656" ht="22.5" customHeight="1">
      <c r="A656" s="15">
        <v>1716.0</v>
      </c>
      <c r="B656" s="15" t="s">
        <v>183</v>
      </c>
      <c r="C656" s="15" t="s">
        <v>183</v>
      </c>
    </row>
    <row r="657" ht="22.5" customHeight="1">
      <c r="A657" s="15">
        <v>1717.0</v>
      </c>
      <c r="B657" s="15" t="s">
        <v>183</v>
      </c>
      <c r="C657" s="15" t="s">
        <v>183</v>
      </c>
    </row>
    <row r="658" ht="22.5" customHeight="1">
      <c r="A658" s="15">
        <v>1718.0</v>
      </c>
      <c r="B658" s="15" t="s">
        <v>183</v>
      </c>
      <c r="C658" s="15" t="s">
        <v>183</v>
      </c>
    </row>
    <row r="659" ht="22.5" customHeight="1">
      <c r="A659" s="15">
        <v>1719.0</v>
      </c>
      <c r="B659" s="15" t="s">
        <v>183</v>
      </c>
      <c r="C659" s="15" t="s">
        <v>183</v>
      </c>
    </row>
    <row r="660" ht="22.5" customHeight="1">
      <c r="A660" s="15">
        <v>1720.0</v>
      </c>
      <c r="B660" s="15" t="s">
        <v>111</v>
      </c>
      <c r="C660" s="15" t="s">
        <v>195</v>
      </c>
    </row>
    <row r="661" ht="22.5" customHeight="1">
      <c r="A661" s="15">
        <v>1721.0</v>
      </c>
      <c r="B661" s="15" t="s">
        <v>183</v>
      </c>
      <c r="C661" s="15" t="s">
        <v>183</v>
      </c>
    </row>
    <row r="662" ht="22.5" customHeight="1">
      <c r="A662" s="15">
        <v>1722.0</v>
      </c>
      <c r="B662" s="15" t="s">
        <v>183</v>
      </c>
      <c r="C662" s="15" t="s">
        <v>183</v>
      </c>
    </row>
    <row r="663" ht="22.5" customHeight="1">
      <c r="A663" s="15">
        <v>1723.0</v>
      </c>
      <c r="B663" s="15" t="s">
        <v>183</v>
      </c>
      <c r="C663" s="15" t="s">
        <v>183</v>
      </c>
    </row>
    <row r="664" ht="22.5" customHeight="1">
      <c r="A664" s="15">
        <v>1724.0</v>
      </c>
      <c r="B664" s="15" t="s">
        <v>183</v>
      </c>
      <c r="C664" s="15" t="s">
        <v>183</v>
      </c>
    </row>
    <row r="665" ht="22.5" customHeight="1">
      <c r="A665" s="15">
        <v>1725.0</v>
      </c>
      <c r="B665" s="15" t="s">
        <v>183</v>
      </c>
      <c r="C665" s="15" t="s">
        <v>183</v>
      </c>
    </row>
    <row r="666" ht="22.5" customHeight="1">
      <c r="A666" s="15">
        <v>1726.0</v>
      </c>
      <c r="B666" s="15" t="s">
        <v>183</v>
      </c>
      <c r="C666" s="15" t="s">
        <v>183</v>
      </c>
    </row>
    <row r="667" ht="22.5" customHeight="1">
      <c r="A667" s="15">
        <v>1727.0</v>
      </c>
      <c r="B667" s="15" t="s">
        <v>183</v>
      </c>
      <c r="C667" s="15" t="s">
        <v>183</v>
      </c>
    </row>
    <row r="668" ht="22.5" customHeight="1">
      <c r="A668" s="15">
        <v>1728.0</v>
      </c>
      <c r="B668" s="15" t="s">
        <v>183</v>
      </c>
      <c r="C668" s="15" t="s">
        <v>183</v>
      </c>
    </row>
    <row r="669" ht="22.5" customHeight="1">
      <c r="A669" s="15">
        <v>1729.0</v>
      </c>
      <c r="B669" s="15" t="s">
        <v>183</v>
      </c>
      <c r="C669" s="15" t="s">
        <v>183</v>
      </c>
    </row>
    <row r="670" ht="22.5" customHeight="1">
      <c r="A670" s="15">
        <v>1730.0</v>
      </c>
      <c r="B670" s="15" t="s">
        <v>114</v>
      </c>
      <c r="C670" s="15" t="s">
        <v>198</v>
      </c>
    </row>
    <row r="671" ht="22.5" customHeight="1">
      <c r="A671" s="15">
        <v>1731.0</v>
      </c>
      <c r="B671" s="15" t="s">
        <v>183</v>
      </c>
      <c r="C671" s="15" t="s">
        <v>183</v>
      </c>
    </row>
    <row r="672" ht="22.5" customHeight="1">
      <c r="A672" s="15">
        <v>1732.0</v>
      </c>
      <c r="B672" s="15" t="s">
        <v>183</v>
      </c>
      <c r="C672" s="15" t="s">
        <v>183</v>
      </c>
    </row>
    <row r="673" ht="22.5" customHeight="1">
      <c r="A673" s="15">
        <v>1733.0</v>
      </c>
      <c r="B673" s="15" t="s">
        <v>183</v>
      </c>
      <c r="C673" s="15" t="s">
        <v>183</v>
      </c>
    </row>
    <row r="674" ht="22.5" customHeight="1">
      <c r="A674" s="15">
        <v>1734.0</v>
      </c>
      <c r="B674" s="15" t="s">
        <v>183</v>
      </c>
      <c r="C674" s="15" t="s">
        <v>183</v>
      </c>
    </row>
    <row r="675" ht="22.5" customHeight="1">
      <c r="A675" s="15">
        <v>1735.0</v>
      </c>
      <c r="B675" s="15" t="s">
        <v>183</v>
      </c>
      <c r="C675" s="15" t="s">
        <v>183</v>
      </c>
    </row>
    <row r="676" ht="22.5" customHeight="1">
      <c r="A676" s="15">
        <v>1736.0</v>
      </c>
      <c r="B676" s="15" t="s">
        <v>183</v>
      </c>
      <c r="C676" s="15" t="s">
        <v>183</v>
      </c>
    </row>
    <row r="677" ht="22.5" customHeight="1">
      <c r="A677" s="15">
        <v>1737.0</v>
      </c>
      <c r="B677" s="15" t="s">
        <v>183</v>
      </c>
      <c r="C677" s="15" t="s">
        <v>183</v>
      </c>
    </row>
    <row r="678" ht="22.5" customHeight="1">
      <c r="A678" s="15">
        <v>1738.0</v>
      </c>
      <c r="B678" s="15" t="s">
        <v>183</v>
      </c>
      <c r="C678" s="15" t="s">
        <v>183</v>
      </c>
    </row>
    <row r="679" ht="22.5" customHeight="1">
      <c r="A679" s="15">
        <v>1739.0</v>
      </c>
      <c r="B679" s="15" t="s">
        <v>183</v>
      </c>
      <c r="C679" s="15" t="s">
        <v>183</v>
      </c>
    </row>
    <row r="680" ht="22.5" customHeight="1">
      <c r="A680" s="15">
        <v>1740.0</v>
      </c>
      <c r="B680" s="15" t="s">
        <v>117</v>
      </c>
      <c r="C680" s="15" t="s">
        <v>201</v>
      </c>
    </row>
    <row r="681" ht="22.5" customHeight="1">
      <c r="A681" s="15">
        <v>1741.0</v>
      </c>
      <c r="B681" s="15" t="s">
        <v>183</v>
      </c>
      <c r="C681" s="15" t="s">
        <v>183</v>
      </c>
    </row>
    <row r="682" ht="22.5" customHeight="1">
      <c r="A682" s="15">
        <v>1742.0</v>
      </c>
      <c r="B682" s="15" t="s">
        <v>183</v>
      </c>
      <c r="C682" s="15" t="s">
        <v>183</v>
      </c>
    </row>
    <row r="683" ht="22.5" customHeight="1">
      <c r="A683" s="15">
        <v>1743.0</v>
      </c>
      <c r="B683" s="15" t="s">
        <v>183</v>
      </c>
      <c r="C683" s="15" t="s">
        <v>183</v>
      </c>
    </row>
    <row r="684" ht="22.5" customHeight="1">
      <c r="A684" s="15">
        <v>1744.0</v>
      </c>
      <c r="B684" s="15" t="s">
        <v>183</v>
      </c>
      <c r="C684" s="15" t="s">
        <v>183</v>
      </c>
    </row>
    <row r="685" ht="22.5" customHeight="1">
      <c r="A685" s="15">
        <v>1745.0</v>
      </c>
      <c r="B685" s="15" t="s">
        <v>183</v>
      </c>
      <c r="C685" s="15" t="s">
        <v>183</v>
      </c>
    </row>
    <row r="686" ht="22.5" customHeight="1">
      <c r="A686" s="15">
        <v>1746.0</v>
      </c>
      <c r="B686" s="15" t="s">
        <v>183</v>
      </c>
      <c r="C686" s="15" t="s">
        <v>183</v>
      </c>
    </row>
    <row r="687" ht="22.5" customHeight="1">
      <c r="A687" s="15">
        <v>1747.0</v>
      </c>
      <c r="B687" s="15" t="s">
        <v>183</v>
      </c>
      <c r="C687" s="15" t="s">
        <v>183</v>
      </c>
    </row>
    <row r="688" ht="22.5" customHeight="1">
      <c r="A688" s="15">
        <v>1748.0</v>
      </c>
      <c r="B688" s="15" t="s">
        <v>183</v>
      </c>
      <c r="C688" s="15" t="s">
        <v>183</v>
      </c>
    </row>
    <row r="689" ht="22.5" customHeight="1">
      <c r="A689" s="15">
        <v>1749.0</v>
      </c>
      <c r="B689" s="15" t="s">
        <v>183</v>
      </c>
      <c r="C689" s="15" t="s">
        <v>183</v>
      </c>
    </row>
    <row r="690" ht="22.5" customHeight="1">
      <c r="A690" s="15">
        <v>1750.0</v>
      </c>
      <c r="B690" s="15" t="s">
        <v>120</v>
      </c>
      <c r="C690" s="15" t="s">
        <v>204</v>
      </c>
    </row>
    <row r="691" ht="22.5" customHeight="1">
      <c r="A691" s="15">
        <v>1800.0</v>
      </c>
      <c r="B691" s="15" t="s">
        <v>117</v>
      </c>
      <c r="C691" s="15" t="s">
        <v>201</v>
      </c>
    </row>
    <row r="692" ht="22.5" customHeight="1">
      <c r="A692" s="15">
        <v>1801.0</v>
      </c>
      <c r="B692" s="15" t="s">
        <v>183</v>
      </c>
      <c r="C692" s="15" t="s">
        <v>183</v>
      </c>
    </row>
    <row r="693" ht="22.5" customHeight="1">
      <c r="A693" s="15">
        <v>1802.0</v>
      </c>
      <c r="B693" s="15" t="s">
        <v>183</v>
      </c>
      <c r="C693" s="15" t="s">
        <v>183</v>
      </c>
    </row>
    <row r="694" ht="22.5" customHeight="1">
      <c r="A694" s="15">
        <v>1803.0</v>
      </c>
      <c r="B694" s="15" t="s">
        <v>183</v>
      </c>
      <c r="C694" s="15" t="s">
        <v>183</v>
      </c>
    </row>
    <row r="695" ht="22.5" customHeight="1">
      <c r="A695" s="15">
        <v>1804.0</v>
      </c>
      <c r="B695" s="15" t="s">
        <v>183</v>
      </c>
      <c r="C695" s="15" t="s">
        <v>183</v>
      </c>
    </row>
    <row r="696" ht="22.5" customHeight="1">
      <c r="A696" s="15">
        <v>1805.0</v>
      </c>
      <c r="B696" s="15" t="s">
        <v>183</v>
      </c>
      <c r="C696" s="15" t="s">
        <v>183</v>
      </c>
    </row>
    <row r="697" ht="22.5" customHeight="1">
      <c r="A697" s="15">
        <v>1806.0</v>
      </c>
      <c r="B697" s="15" t="s">
        <v>183</v>
      </c>
      <c r="C697" s="15" t="s">
        <v>183</v>
      </c>
    </row>
    <row r="698" ht="22.5" customHeight="1">
      <c r="A698" s="15">
        <v>1807.0</v>
      </c>
      <c r="B698" s="15" t="s">
        <v>183</v>
      </c>
      <c r="C698" s="15" t="s">
        <v>183</v>
      </c>
    </row>
    <row r="699" ht="22.5" customHeight="1">
      <c r="A699" s="15">
        <v>1808.0</v>
      </c>
      <c r="B699" s="15" t="s">
        <v>183</v>
      </c>
      <c r="C699" s="15" t="s">
        <v>183</v>
      </c>
    </row>
    <row r="700" ht="22.5" customHeight="1">
      <c r="A700" s="15">
        <v>1809.0</v>
      </c>
      <c r="B700" s="15" t="s">
        <v>183</v>
      </c>
      <c r="C700" s="15" t="s">
        <v>183</v>
      </c>
    </row>
    <row r="701" ht="22.5" customHeight="1">
      <c r="A701" s="15">
        <v>1810.0</v>
      </c>
      <c r="B701" s="15" t="s">
        <v>120</v>
      </c>
      <c r="C701" s="15" t="s">
        <v>204</v>
      </c>
    </row>
    <row r="702" ht="22.5" customHeight="1">
      <c r="A702" s="15">
        <v>1811.0</v>
      </c>
      <c r="B702" s="15" t="s">
        <v>183</v>
      </c>
      <c r="C702" s="15" t="s">
        <v>183</v>
      </c>
    </row>
    <row r="703" ht="22.5" customHeight="1">
      <c r="A703" s="15">
        <v>1812.0</v>
      </c>
      <c r="B703" s="15" t="s">
        <v>183</v>
      </c>
      <c r="C703" s="15" t="s">
        <v>183</v>
      </c>
    </row>
    <row r="704" ht="22.5" customHeight="1">
      <c r="A704" s="15">
        <v>1813.0</v>
      </c>
      <c r="B704" s="15" t="s">
        <v>183</v>
      </c>
      <c r="C704" s="15" t="s">
        <v>183</v>
      </c>
    </row>
    <row r="705" ht="22.5" customHeight="1">
      <c r="A705" s="15">
        <v>1814.0</v>
      </c>
      <c r="B705" s="15" t="s">
        <v>183</v>
      </c>
      <c r="C705" s="15" t="s">
        <v>183</v>
      </c>
    </row>
    <row r="706" ht="22.5" customHeight="1">
      <c r="A706" s="15">
        <v>1815.0</v>
      </c>
      <c r="B706" s="15" t="s">
        <v>183</v>
      </c>
      <c r="C706" s="15" t="s">
        <v>183</v>
      </c>
    </row>
    <row r="707" ht="22.5" customHeight="1">
      <c r="A707" s="15">
        <v>1816.0</v>
      </c>
      <c r="B707" s="15" t="s">
        <v>183</v>
      </c>
      <c r="C707" s="15" t="s">
        <v>183</v>
      </c>
    </row>
    <row r="708" ht="22.5" customHeight="1">
      <c r="A708" s="15">
        <v>1817.0</v>
      </c>
      <c r="B708" s="15" t="s">
        <v>183</v>
      </c>
      <c r="C708" s="15" t="s">
        <v>183</v>
      </c>
    </row>
    <row r="709" ht="22.5" customHeight="1">
      <c r="A709" s="15">
        <v>1818.0</v>
      </c>
      <c r="B709" s="15" t="s">
        <v>183</v>
      </c>
      <c r="C709" s="15" t="s">
        <v>183</v>
      </c>
    </row>
    <row r="710" ht="22.5" customHeight="1">
      <c r="A710" s="15">
        <v>1819.0</v>
      </c>
      <c r="B710" s="15" t="s">
        <v>183</v>
      </c>
      <c r="C710" s="15" t="s">
        <v>183</v>
      </c>
    </row>
    <row r="711" ht="22.5" customHeight="1">
      <c r="A711" s="15">
        <v>1820.0</v>
      </c>
      <c r="B711" s="15" t="s">
        <v>114</v>
      </c>
      <c r="C711" s="15" t="s">
        <v>198</v>
      </c>
    </row>
    <row r="712" ht="22.5" customHeight="1">
      <c r="A712" s="15">
        <v>1821.0</v>
      </c>
      <c r="B712" s="15" t="s">
        <v>183</v>
      </c>
      <c r="C712" s="15" t="s">
        <v>183</v>
      </c>
    </row>
    <row r="713" ht="22.5" customHeight="1">
      <c r="A713" s="15">
        <v>1822.0</v>
      </c>
      <c r="B713" s="15" t="s">
        <v>183</v>
      </c>
      <c r="C713" s="15" t="s">
        <v>183</v>
      </c>
    </row>
    <row r="714" ht="22.5" customHeight="1">
      <c r="A714" s="15">
        <v>1823.0</v>
      </c>
      <c r="B714" s="15" t="s">
        <v>183</v>
      </c>
      <c r="C714" s="15" t="s">
        <v>183</v>
      </c>
    </row>
    <row r="715" ht="22.5" customHeight="1">
      <c r="A715" s="15">
        <v>1824.0</v>
      </c>
      <c r="B715" s="15" t="s">
        <v>183</v>
      </c>
      <c r="C715" s="15" t="s">
        <v>183</v>
      </c>
    </row>
    <row r="716" ht="22.5" customHeight="1">
      <c r="A716" s="15">
        <v>1825.0</v>
      </c>
      <c r="B716" s="15" t="s">
        <v>183</v>
      </c>
      <c r="C716" s="15" t="s">
        <v>183</v>
      </c>
    </row>
    <row r="717" ht="22.5" customHeight="1">
      <c r="A717" s="15">
        <v>1826.0</v>
      </c>
      <c r="B717" s="15" t="s">
        <v>183</v>
      </c>
      <c r="C717" s="15" t="s">
        <v>183</v>
      </c>
    </row>
    <row r="718" ht="22.5" customHeight="1">
      <c r="A718" s="15">
        <v>1827.0</v>
      </c>
      <c r="B718" s="15" t="s">
        <v>183</v>
      </c>
      <c r="C718" s="15" t="s">
        <v>183</v>
      </c>
    </row>
    <row r="719" ht="22.5" customHeight="1">
      <c r="A719" s="15">
        <v>1828.0</v>
      </c>
      <c r="B719" s="15" t="s">
        <v>183</v>
      </c>
      <c r="C719" s="15" t="s">
        <v>183</v>
      </c>
    </row>
    <row r="720" ht="22.5" customHeight="1">
      <c r="A720" s="15">
        <v>1829.0</v>
      </c>
      <c r="B720" s="15" t="s">
        <v>183</v>
      </c>
      <c r="C720" s="15" t="s">
        <v>183</v>
      </c>
    </row>
    <row r="721" ht="22.5" customHeight="1">
      <c r="A721" s="15">
        <v>1830.0</v>
      </c>
      <c r="B721" s="15" t="s">
        <v>114</v>
      </c>
      <c r="C721" s="15" t="s">
        <v>198</v>
      </c>
    </row>
    <row r="722" ht="22.5" customHeight="1">
      <c r="A722" s="15">
        <v>1831.0</v>
      </c>
      <c r="B722" s="15" t="s">
        <v>183</v>
      </c>
      <c r="C722" s="15" t="s">
        <v>183</v>
      </c>
    </row>
    <row r="723" ht="22.5" customHeight="1">
      <c r="A723" s="15">
        <v>1832.0</v>
      </c>
      <c r="B723" s="15" t="s">
        <v>183</v>
      </c>
      <c r="C723" s="15" t="s">
        <v>183</v>
      </c>
    </row>
    <row r="724" ht="22.5" customHeight="1">
      <c r="A724" s="15">
        <v>1833.0</v>
      </c>
      <c r="B724" s="15" t="s">
        <v>183</v>
      </c>
      <c r="C724" s="15" t="s">
        <v>183</v>
      </c>
    </row>
    <row r="725" ht="22.5" customHeight="1">
      <c r="A725" s="15">
        <v>1834.0</v>
      </c>
      <c r="B725" s="15" t="s">
        <v>183</v>
      </c>
      <c r="C725" s="15" t="s">
        <v>183</v>
      </c>
    </row>
    <row r="726" ht="22.5" customHeight="1">
      <c r="A726" s="15">
        <v>1835.0</v>
      </c>
      <c r="B726" s="15" t="s">
        <v>183</v>
      </c>
      <c r="C726" s="15" t="s">
        <v>183</v>
      </c>
    </row>
    <row r="727" ht="22.5" customHeight="1">
      <c r="A727" s="15">
        <v>1836.0</v>
      </c>
      <c r="B727" s="15" t="s">
        <v>183</v>
      </c>
      <c r="C727" s="15" t="s">
        <v>183</v>
      </c>
    </row>
    <row r="728" ht="22.5" customHeight="1">
      <c r="A728" s="15">
        <v>1837.0</v>
      </c>
      <c r="B728" s="15" t="s">
        <v>183</v>
      </c>
      <c r="C728" s="15" t="s">
        <v>183</v>
      </c>
    </row>
    <row r="729" ht="22.5" customHeight="1">
      <c r="A729" s="15">
        <v>1838.0</v>
      </c>
      <c r="B729" s="15" t="s">
        <v>183</v>
      </c>
      <c r="C729" s="15" t="s">
        <v>183</v>
      </c>
    </row>
    <row r="730" ht="22.5" customHeight="1">
      <c r="A730" s="15">
        <v>1839.0</v>
      </c>
      <c r="B730" s="15" t="s">
        <v>183</v>
      </c>
      <c r="C730" s="15" t="s">
        <v>183</v>
      </c>
    </row>
    <row r="731" ht="22.5" customHeight="1">
      <c r="A731" s="15">
        <v>1840.0</v>
      </c>
      <c r="B731" s="15" t="s">
        <v>120</v>
      </c>
      <c r="C731" s="15" t="s">
        <v>204</v>
      </c>
    </row>
    <row r="732" ht="22.5" customHeight="1">
      <c r="A732" s="15">
        <v>1841.0</v>
      </c>
      <c r="B732" s="15" t="s">
        <v>183</v>
      </c>
      <c r="C732" s="15" t="s">
        <v>183</v>
      </c>
    </row>
    <row r="733" ht="22.5" customHeight="1">
      <c r="A733" s="15">
        <v>1842.0</v>
      </c>
      <c r="B733" s="15" t="s">
        <v>183</v>
      </c>
      <c r="C733" s="15" t="s">
        <v>183</v>
      </c>
    </row>
    <row r="734" ht="22.5" customHeight="1">
      <c r="A734" s="15">
        <v>1843.0</v>
      </c>
      <c r="B734" s="15" t="s">
        <v>183</v>
      </c>
      <c r="C734" s="15" t="s">
        <v>183</v>
      </c>
    </row>
    <row r="735" ht="22.5" customHeight="1">
      <c r="A735" s="15">
        <v>1844.0</v>
      </c>
      <c r="B735" s="15" t="s">
        <v>183</v>
      </c>
      <c r="C735" s="15" t="s">
        <v>183</v>
      </c>
    </row>
    <row r="736" ht="22.5" customHeight="1">
      <c r="A736" s="15">
        <v>1845.0</v>
      </c>
      <c r="B736" s="15" t="s">
        <v>183</v>
      </c>
      <c r="C736" s="15" t="s">
        <v>183</v>
      </c>
    </row>
    <row r="737" ht="22.5" customHeight="1">
      <c r="A737" s="15">
        <v>1846.0</v>
      </c>
      <c r="B737" s="15" t="s">
        <v>183</v>
      </c>
      <c r="C737" s="15" t="s">
        <v>183</v>
      </c>
    </row>
    <row r="738" ht="22.5" customHeight="1">
      <c r="A738" s="15">
        <v>1847.0</v>
      </c>
      <c r="B738" s="15" t="s">
        <v>183</v>
      </c>
      <c r="C738" s="15" t="s">
        <v>183</v>
      </c>
    </row>
    <row r="739" ht="22.5" customHeight="1">
      <c r="A739" s="15">
        <v>1848.0</v>
      </c>
      <c r="B739" s="15" t="s">
        <v>183</v>
      </c>
      <c r="C739" s="15" t="s">
        <v>183</v>
      </c>
    </row>
    <row r="740" ht="22.5" customHeight="1">
      <c r="A740" s="15">
        <v>1849.0</v>
      </c>
      <c r="B740" s="15" t="s">
        <v>183</v>
      </c>
      <c r="C740" s="15" t="s">
        <v>183</v>
      </c>
    </row>
    <row r="741" ht="22.5" customHeight="1">
      <c r="A741" s="15">
        <v>1850.0</v>
      </c>
      <c r="B741" s="15" t="s">
        <v>111</v>
      </c>
      <c r="C741" s="15" t="s">
        <v>195</v>
      </c>
    </row>
    <row r="742" ht="22.5" customHeight="1">
      <c r="A742" s="15">
        <v>1851.0</v>
      </c>
      <c r="B742" s="15" t="s">
        <v>183</v>
      </c>
      <c r="C742" s="15" t="s">
        <v>183</v>
      </c>
    </row>
    <row r="743" ht="22.5" customHeight="1">
      <c r="A743" s="15">
        <v>1852.0</v>
      </c>
      <c r="B743" s="15" t="s">
        <v>183</v>
      </c>
      <c r="C743" s="15" t="s">
        <v>183</v>
      </c>
    </row>
    <row r="744" ht="22.5" customHeight="1">
      <c r="A744" s="15">
        <v>1853.0</v>
      </c>
      <c r="B744" s="15" t="s">
        <v>183</v>
      </c>
      <c r="C744" s="15" t="s">
        <v>183</v>
      </c>
    </row>
    <row r="745" ht="22.5" customHeight="1">
      <c r="A745" s="15">
        <v>1854.0</v>
      </c>
      <c r="B745" s="15" t="s">
        <v>183</v>
      </c>
      <c r="C745" s="15" t="s">
        <v>183</v>
      </c>
    </row>
    <row r="746" ht="22.5" customHeight="1">
      <c r="A746" s="15">
        <v>1855.0</v>
      </c>
      <c r="B746" s="15" t="s">
        <v>183</v>
      </c>
      <c r="C746" s="15" t="s">
        <v>183</v>
      </c>
    </row>
    <row r="747" ht="22.5" customHeight="1">
      <c r="A747" s="15">
        <v>1856.0</v>
      </c>
      <c r="B747" s="15" t="s">
        <v>183</v>
      </c>
      <c r="C747" s="15" t="s">
        <v>183</v>
      </c>
    </row>
    <row r="748" ht="22.5" customHeight="1">
      <c r="A748" s="15">
        <v>1857.0</v>
      </c>
      <c r="B748" s="15" t="s">
        <v>183</v>
      </c>
      <c r="C748" s="15" t="s">
        <v>183</v>
      </c>
    </row>
    <row r="749" ht="22.5" customHeight="1">
      <c r="A749" s="15">
        <v>1858.0</v>
      </c>
      <c r="B749" s="15" t="s">
        <v>183</v>
      </c>
      <c r="C749" s="15" t="s">
        <v>183</v>
      </c>
    </row>
    <row r="750" ht="22.5" customHeight="1">
      <c r="A750" s="15">
        <v>1859.0</v>
      </c>
      <c r="B750" s="15" t="s">
        <v>183</v>
      </c>
      <c r="C750" s="15" t="s">
        <v>183</v>
      </c>
    </row>
    <row r="751" ht="22.5" customHeight="1">
      <c r="A751" s="15">
        <v>1860.0</v>
      </c>
      <c r="B751" s="15" t="s">
        <v>111</v>
      </c>
      <c r="C751" s="15" t="s">
        <v>195</v>
      </c>
    </row>
    <row r="752" ht="22.5" customHeight="1">
      <c r="A752" s="15">
        <v>1861.0</v>
      </c>
      <c r="B752" s="15" t="s">
        <v>183</v>
      </c>
      <c r="C752" s="15" t="s">
        <v>183</v>
      </c>
    </row>
    <row r="753" ht="22.5" customHeight="1">
      <c r="A753" s="15">
        <v>1862.0</v>
      </c>
      <c r="B753" s="15" t="s">
        <v>183</v>
      </c>
      <c r="C753" s="15" t="s">
        <v>183</v>
      </c>
    </row>
    <row r="754" ht="22.5" customHeight="1">
      <c r="A754" s="15">
        <v>1863.0</v>
      </c>
      <c r="B754" s="15" t="s">
        <v>183</v>
      </c>
      <c r="C754" s="15" t="s">
        <v>183</v>
      </c>
    </row>
    <row r="755" ht="22.5" customHeight="1">
      <c r="A755" s="15">
        <v>1864.0</v>
      </c>
      <c r="B755" s="15" t="s">
        <v>183</v>
      </c>
      <c r="C755" s="15" t="s">
        <v>183</v>
      </c>
    </row>
    <row r="756" ht="22.5" customHeight="1">
      <c r="A756" s="15">
        <v>1865.0</v>
      </c>
      <c r="B756" s="15" t="s">
        <v>183</v>
      </c>
      <c r="C756" s="15" t="s">
        <v>183</v>
      </c>
    </row>
    <row r="757" ht="22.5" customHeight="1">
      <c r="A757" s="15">
        <v>1866.0</v>
      </c>
      <c r="B757" s="15" t="s">
        <v>183</v>
      </c>
      <c r="C757" s="15" t="s">
        <v>183</v>
      </c>
    </row>
    <row r="758" ht="22.5" customHeight="1">
      <c r="A758" s="15">
        <v>1867.0</v>
      </c>
      <c r="B758" s="15" t="s">
        <v>183</v>
      </c>
      <c r="C758" s="15" t="s">
        <v>183</v>
      </c>
    </row>
    <row r="759" ht="22.5" customHeight="1">
      <c r="A759" s="15">
        <v>1868.0</v>
      </c>
      <c r="B759" s="15" t="s">
        <v>183</v>
      </c>
      <c r="C759" s="15" t="s">
        <v>183</v>
      </c>
    </row>
    <row r="760" ht="22.5" customHeight="1">
      <c r="A760" s="15">
        <v>1869.0</v>
      </c>
      <c r="B760" s="15" t="s">
        <v>183</v>
      </c>
      <c r="C760" s="15" t="s">
        <v>183</v>
      </c>
    </row>
    <row r="761" ht="22.5" customHeight="1">
      <c r="A761" s="15">
        <v>1870.0</v>
      </c>
      <c r="B761" s="15" t="s">
        <v>114</v>
      </c>
      <c r="C761" s="15" t="s">
        <v>198</v>
      </c>
    </row>
    <row r="762" ht="22.5" customHeight="1">
      <c r="A762" s="15">
        <v>1871.0</v>
      </c>
      <c r="B762" s="15" t="s">
        <v>183</v>
      </c>
      <c r="C762" s="15" t="s">
        <v>183</v>
      </c>
    </row>
    <row r="763" ht="22.5" customHeight="1">
      <c r="A763" s="15">
        <v>1872.0</v>
      </c>
      <c r="B763" s="15" t="s">
        <v>183</v>
      </c>
      <c r="C763" s="15" t="s">
        <v>183</v>
      </c>
    </row>
    <row r="764" ht="22.5" customHeight="1">
      <c r="A764" s="15">
        <v>1873.0</v>
      </c>
      <c r="B764" s="15" t="s">
        <v>183</v>
      </c>
      <c r="C764" s="15" t="s">
        <v>183</v>
      </c>
    </row>
    <row r="765" ht="22.5" customHeight="1">
      <c r="A765" s="15">
        <v>1874.0</v>
      </c>
      <c r="B765" s="15" t="s">
        <v>183</v>
      </c>
      <c r="C765" s="15" t="s">
        <v>183</v>
      </c>
    </row>
    <row r="766" ht="22.5" customHeight="1">
      <c r="A766" s="15">
        <v>1875.0</v>
      </c>
      <c r="B766" s="15" t="s">
        <v>183</v>
      </c>
      <c r="C766" s="15" t="s">
        <v>183</v>
      </c>
    </row>
    <row r="767" ht="22.5" customHeight="1">
      <c r="A767" s="15">
        <v>1876.0</v>
      </c>
      <c r="B767" s="15" t="s">
        <v>183</v>
      </c>
      <c r="C767" s="15" t="s">
        <v>183</v>
      </c>
    </row>
    <row r="768" ht="22.5" customHeight="1">
      <c r="A768" s="15">
        <v>1877.0</v>
      </c>
      <c r="B768" s="15" t="s">
        <v>183</v>
      </c>
      <c r="C768" s="15" t="s">
        <v>183</v>
      </c>
    </row>
    <row r="769" ht="22.5" customHeight="1">
      <c r="A769" s="15">
        <v>1878.0</v>
      </c>
      <c r="B769" s="15" t="s">
        <v>183</v>
      </c>
      <c r="C769" s="15" t="s">
        <v>183</v>
      </c>
    </row>
    <row r="770" ht="22.5" customHeight="1">
      <c r="A770" s="15">
        <v>1879.0</v>
      </c>
      <c r="B770" s="15" t="s">
        <v>183</v>
      </c>
      <c r="C770" s="15" t="s">
        <v>183</v>
      </c>
    </row>
    <row r="771" ht="22.5" customHeight="1">
      <c r="A771" s="15">
        <v>1880.0</v>
      </c>
      <c r="B771" s="15" t="s">
        <v>120</v>
      </c>
      <c r="C771" s="15" t="s">
        <v>204</v>
      </c>
    </row>
    <row r="772" ht="22.5" customHeight="1">
      <c r="A772" s="15">
        <v>1881.0</v>
      </c>
      <c r="B772" s="15" t="s">
        <v>183</v>
      </c>
      <c r="C772" s="15" t="s">
        <v>183</v>
      </c>
    </row>
    <row r="773" ht="22.5" customHeight="1">
      <c r="A773" s="15">
        <v>1882.0</v>
      </c>
      <c r="B773" s="15" t="s">
        <v>183</v>
      </c>
      <c r="C773" s="15" t="s">
        <v>183</v>
      </c>
    </row>
    <row r="774" ht="22.5" customHeight="1">
      <c r="A774" s="15">
        <v>1883.0</v>
      </c>
      <c r="B774" s="15" t="s">
        <v>183</v>
      </c>
      <c r="C774" s="15" t="s">
        <v>183</v>
      </c>
    </row>
    <row r="775" ht="22.5" customHeight="1">
      <c r="A775" s="15">
        <v>1884.0</v>
      </c>
      <c r="B775" s="15" t="s">
        <v>183</v>
      </c>
      <c r="C775" s="15" t="s">
        <v>183</v>
      </c>
    </row>
    <row r="776" ht="22.5" customHeight="1">
      <c r="A776" s="15">
        <v>1885.0</v>
      </c>
      <c r="B776" s="15" t="s">
        <v>183</v>
      </c>
      <c r="C776" s="15" t="s">
        <v>183</v>
      </c>
    </row>
    <row r="777" ht="22.5" customHeight="1">
      <c r="A777" s="15">
        <v>1886.0</v>
      </c>
      <c r="B777" s="15" t="s">
        <v>183</v>
      </c>
      <c r="C777" s="15" t="s">
        <v>183</v>
      </c>
    </row>
    <row r="778" ht="22.5" customHeight="1">
      <c r="A778" s="15">
        <v>1887.0</v>
      </c>
      <c r="B778" s="15" t="s">
        <v>183</v>
      </c>
      <c r="C778" s="15" t="s">
        <v>183</v>
      </c>
    </row>
    <row r="779" ht="22.5" customHeight="1">
      <c r="A779" s="15">
        <v>1888.0</v>
      </c>
      <c r="B779" s="15" t="s">
        <v>183</v>
      </c>
      <c r="C779" s="15" t="s">
        <v>183</v>
      </c>
    </row>
    <row r="780" ht="22.5" customHeight="1">
      <c r="A780" s="15">
        <v>1889.0</v>
      </c>
      <c r="B780" s="15" t="s">
        <v>183</v>
      </c>
      <c r="C780" s="15" t="s">
        <v>183</v>
      </c>
    </row>
    <row r="781" ht="22.5" customHeight="1">
      <c r="A781" s="15">
        <v>1890.0</v>
      </c>
      <c r="B781" s="15" t="s">
        <v>117</v>
      </c>
      <c r="C781" s="15" t="s">
        <v>201</v>
      </c>
    </row>
    <row r="782" ht="22.5" customHeight="1">
      <c r="A782" s="15">
        <v>1891.0</v>
      </c>
      <c r="B782" s="15" t="s">
        <v>183</v>
      </c>
      <c r="C782" s="15" t="s">
        <v>183</v>
      </c>
    </row>
    <row r="783" ht="22.5" customHeight="1">
      <c r="A783" s="15">
        <v>1892.0</v>
      </c>
      <c r="B783" s="15" t="s">
        <v>183</v>
      </c>
      <c r="C783" s="15" t="s">
        <v>183</v>
      </c>
    </row>
    <row r="784" ht="22.5" customHeight="1">
      <c r="A784" s="15">
        <v>1893.0</v>
      </c>
      <c r="B784" s="15" t="s">
        <v>183</v>
      </c>
      <c r="C784" s="15" t="s">
        <v>183</v>
      </c>
    </row>
    <row r="785" ht="22.5" customHeight="1">
      <c r="A785" s="15">
        <v>1894.0</v>
      </c>
      <c r="B785" s="15" t="s">
        <v>183</v>
      </c>
      <c r="C785" s="15" t="s">
        <v>183</v>
      </c>
    </row>
    <row r="786" ht="22.5" customHeight="1">
      <c r="A786" s="15">
        <v>1895.0</v>
      </c>
      <c r="B786" s="15" t="s">
        <v>183</v>
      </c>
      <c r="C786" s="15" t="s">
        <v>183</v>
      </c>
    </row>
    <row r="787" ht="22.5" customHeight="1">
      <c r="A787" s="15">
        <v>1896.0</v>
      </c>
      <c r="B787" s="15" t="s">
        <v>183</v>
      </c>
      <c r="C787" s="15" t="s">
        <v>183</v>
      </c>
    </row>
    <row r="788" ht="22.5" customHeight="1">
      <c r="A788" s="15">
        <v>1897.0</v>
      </c>
      <c r="B788" s="15" t="s">
        <v>183</v>
      </c>
      <c r="C788" s="15" t="s">
        <v>183</v>
      </c>
    </row>
    <row r="789" ht="22.5" customHeight="1">
      <c r="A789" s="15">
        <v>1898.0</v>
      </c>
      <c r="B789" s="15" t="s">
        <v>183</v>
      </c>
      <c r="C789" s="15" t="s">
        <v>183</v>
      </c>
    </row>
    <row r="790" ht="22.5" customHeight="1">
      <c r="A790" s="15">
        <v>1899.0</v>
      </c>
      <c r="B790" s="15" t="s">
        <v>183</v>
      </c>
      <c r="C790" s="15" t="s">
        <v>183</v>
      </c>
    </row>
    <row r="791" ht="22.5" customHeight="1">
      <c r="A791" s="15">
        <v>1900.0</v>
      </c>
      <c r="B791" s="15" t="s">
        <v>111</v>
      </c>
      <c r="C791" s="15" t="s">
        <v>195</v>
      </c>
    </row>
    <row r="792" ht="22.5" customHeight="1">
      <c r="A792" s="15">
        <v>1901.0</v>
      </c>
      <c r="B792" s="15" t="s">
        <v>183</v>
      </c>
      <c r="C792" s="15" t="s">
        <v>183</v>
      </c>
    </row>
    <row r="793" ht="22.5" customHeight="1">
      <c r="A793" s="15">
        <v>1902.0</v>
      </c>
      <c r="B793" s="15" t="s">
        <v>183</v>
      </c>
      <c r="C793" s="15" t="s">
        <v>183</v>
      </c>
    </row>
    <row r="794" ht="22.5" customHeight="1">
      <c r="A794" s="15">
        <v>1903.0</v>
      </c>
      <c r="B794" s="15" t="s">
        <v>183</v>
      </c>
      <c r="C794" s="15" t="s">
        <v>183</v>
      </c>
    </row>
    <row r="795" ht="22.5" customHeight="1">
      <c r="A795" s="15">
        <v>1904.0</v>
      </c>
      <c r="B795" s="15" t="s">
        <v>183</v>
      </c>
      <c r="C795" s="15" t="s">
        <v>183</v>
      </c>
    </row>
    <row r="796" ht="22.5" customHeight="1">
      <c r="A796" s="15">
        <v>1905.0</v>
      </c>
      <c r="B796" s="15" t="s">
        <v>183</v>
      </c>
      <c r="C796" s="15" t="s">
        <v>183</v>
      </c>
    </row>
    <row r="797" ht="22.5" customHeight="1">
      <c r="A797" s="15">
        <v>1906.0</v>
      </c>
      <c r="B797" s="15" t="s">
        <v>183</v>
      </c>
      <c r="C797" s="15" t="s">
        <v>183</v>
      </c>
    </row>
    <row r="798" ht="22.5" customHeight="1">
      <c r="A798" s="15">
        <v>1907.0</v>
      </c>
      <c r="B798" s="15" t="s">
        <v>183</v>
      </c>
      <c r="C798" s="15" t="s">
        <v>183</v>
      </c>
    </row>
    <row r="799" ht="22.5" customHeight="1">
      <c r="A799" s="15">
        <v>1908.0</v>
      </c>
      <c r="B799" s="15" t="s">
        <v>183</v>
      </c>
      <c r="C799" s="15" t="s">
        <v>183</v>
      </c>
    </row>
    <row r="800" ht="22.5" customHeight="1">
      <c r="A800" s="15">
        <v>1909.0</v>
      </c>
      <c r="B800" s="15" t="s">
        <v>183</v>
      </c>
      <c r="C800" s="15" t="s">
        <v>183</v>
      </c>
    </row>
    <row r="801" ht="22.5" customHeight="1">
      <c r="A801" s="15">
        <v>1910.0</v>
      </c>
      <c r="B801" s="15" t="s">
        <v>114</v>
      </c>
      <c r="C801" s="15" t="s">
        <v>198</v>
      </c>
    </row>
    <row r="802" ht="22.5" customHeight="1">
      <c r="A802" s="15">
        <v>1911.0</v>
      </c>
      <c r="B802" s="15" t="s">
        <v>183</v>
      </c>
      <c r="C802" s="15" t="s">
        <v>183</v>
      </c>
    </row>
    <row r="803" ht="22.5" customHeight="1">
      <c r="A803" s="15">
        <v>1912.0</v>
      </c>
      <c r="B803" s="15" t="s">
        <v>183</v>
      </c>
      <c r="C803" s="15" t="s">
        <v>183</v>
      </c>
    </row>
    <row r="804" ht="22.5" customHeight="1">
      <c r="A804" s="15">
        <v>1913.0</v>
      </c>
      <c r="B804" s="15" t="s">
        <v>183</v>
      </c>
      <c r="C804" s="15" t="s">
        <v>183</v>
      </c>
    </row>
    <row r="805" ht="22.5" customHeight="1">
      <c r="A805" s="15">
        <v>1914.0</v>
      </c>
      <c r="B805" s="15" t="s">
        <v>183</v>
      </c>
      <c r="C805" s="15" t="s">
        <v>183</v>
      </c>
    </row>
    <row r="806" ht="22.5" customHeight="1">
      <c r="A806" s="15">
        <v>1915.0</v>
      </c>
      <c r="B806" s="15" t="s">
        <v>183</v>
      </c>
      <c r="C806" s="15" t="s">
        <v>183</v>
      </c>
    </row>
    <row r="807" ht="22.5" customHeight="1">
      <c r="A807" s="15">
        <v>1916.0</v>
      </c>
      <c r="B807" s="15" t="s">
        <v>183</v>
      </c>
      <c r="C807" s="15" t="s">
        <v>183</v>
      </c>
    </row>
    <row r="808" ht="22.5" customHeight="1">
      <c r="A808" s="15">
        <v>1917.0</v>
      </c>
      <c r="B808" s="15" t="s">
        <v>183</v>
      </c>
      <c r="C808" s="15" t="s">
        <v>183</v>
      </c>
    </row>
    <row r="809" ht="22.5" customHeight="1">
      <c r="A809" s="15">
        <v>1918.0</v>
      </c>
      <c r="B809" s="15" t="s">
        <v>183</v>
      </c>
      <c r="C809" s="15" t="s">
        <v>183</v>
      </c>
    </row>
    <row r="810" ht="22.5" customHeight="1">
      <c r="A810" s="15">
        <v>1919.0</v>
      </c>
      <c r="B810" s="15" t="s">
        <v>183</v>
      </c>
      <c r="C810" s="15" t="s">
        <v>183</v>
      </c>
    </row>
    <row r="811" ht="22.5" customHeight="1">
      <c r="A811" s="15">
        <v>1920.0</v>
      </c>
      <c r="B811" s="15" t="s">
        <v>117</v>
      </c>
      <c r="C811" s="15" t="s">
        <v>201</v>
      </c>
    </row>
    <row r="812" ht="22.5" customHeight="1">
      <c r="A812" s="15">
        <v>1921.0</v>
      </c>
      <c r="B812" s="15" t="s">
        <v>183</v>
      </c>
      <c r="C812" s="15" t="s">
        <v>183</v>
      </c>
    </row>
    <row r="813" ht="22.5" customHeight="1">
      <c r="A813" s="15">
        <v>1922.0</v>
      </c>
      <c r="B813" s="15" t="s">
        <v>183</v>
      </c>
      <c r="C813" s="15" t="s">
        <v>183</v>
      </c>
    </row>
    <row r="814" ht="22.5" customHeight="1">
      <c r="A814" s="15">
        <v>1923.0</v>
      </c>
      <c r="B814" s="15" t="s">
        <v>183</v>
      </c>
      <c r="C814" s="15" t="s">
        <v>183</v>
      </c>
    </row>
    <row r="815" ht="22.5" customHeight="1">
      <c r="A815" s="15">
        <v>1924.0</v>
      </c>
      <c r="B815" s="15" t="s">
        <v>183</v>
      </c>
      <c r="C815" s="15" t="s">
        <v>183</v>
      </c>
    </row>
    <row r="816" ht="22.5" customHeight="1">
      <c r="A816" s="15">
        <v>1925.0</v>
      </c>
      <c r="B816" s="15" t="s">
        <v>183</v>
      </c>
      <c r="C816" s="15" t="s">
        <v>183</v>
      </c>
    </row>
    <row r="817" ht="22.5" customHeight="1">
      <c r="A817" s="15">
        <v>1926.0</v>
      </c>
      <c r="B817" s="15" t="s">
        <v>183</v>
      </c>
      <c r="C817" s="15" t="s">
        <v>183</v>
      </c>
    </row>
    <row r="818" ht="22.5" customHeight="1">
      <c r="A818" s="15">
        <v>1927.0</v>
      </c>
      <c r="B818" s="15" t="s">
        <v>183</v>
      </c>
      <c r="C818" s="15" t="s">
        <v>183</v>
      </c>
    </row>
    <row r="819" ht="22.5" customHeight="1">
      <c r="A819" s="15">
        <v>1928.0</v>
      </c>
      <c r="B819" s="15" t="s">
        <v>183</v>
      </c>
      <c r="C819" s="15" t="s">
        <v>183</v>
      </c>
    </row>
    <row r="820" ht="22.5" customHeight="1">
      <c r="A820" s="15">
        <v>1929.0</v>
      </c>
      <c r="B820" s="15" t="s">
        <v>183</v>
      </c>
      <c r="C820" s="15" t="s">
        <v>183</v>
      </c>
    </row>
    <row r="821" ht="22.5" customHeight="1">
      <c r="A821" s="15">
        <v>1930.0</v>
      </c>
      <c r="B821" s="15" t="s">
        <v>120</v>
      </c>
      <c r="C821" s="15" t="s">
        <v>204</v>
      </c>
    </row>
    <row r="822" ht="22.5" customHeight="1">
      <c r="A822" s="15">
        <v>2000.0</v>
      </c>
      <c r="B822" s="15" t="s">
        <v>121</v>
      </c>
      <c r="C822" s="15" t="s">
        <v>205</v>
      </c>
    </row>
    <row r="823" ht="22.5" customHeight="1">
      <c r="A823" s="15">
        <v>2001.0</v>
      </c>
      <c r="B823" s="15" t="s">
        <v>122</v>
      </c>
      <c r="C823" s="15" t="s">
        <v>206</v>
      </c>
    </row>
    <row r="824" ht="22.5" customHeight="1">
      <c r="A824" s="15">
        <v>2002.0</v>
      </c>
      <c r="B824" s="15" t="s">
        <v>183</v>
      </c>
      <c r="C824" s="15" t="s">
        <v>183</v>
      </c>
    </row>
    <row r="825" ht="22.5" customHeight="1">
      <c r="A825" s="15">
        <v>2003.0</v>
      </c>
      <c r="B825" s="15" t="s">
        <v>183</v>
      </c>
      <c r="C825" s="15" t="s">
        <v>183</v>
      </c>
    </row>
    <row r="826" ht="22.5" customHeight="1">
      <c r="A826" s="15">
        <v>2004.0</v>
      </c>
      <c r="B826" s="15" t="s">
        <v>183</v>
      </c>
      <c r="C826" s="15" t="s">
        <v>183</v>
      </c>
    </row>
    <row r="827" ht="22.5" customHeight="1">
      <c r="A827" s="15">
        <v>2005.0</v>
      </c>
      <c r="B827" s="15" t="s">
        <v>183</v>
      </c>
      <c r="C827" s="15" t="s">
        <v>183</v>
      </c>
    </row>
    <row r="828" ht="22.5" customHeight="1">
      <c r="A828" s="15">
        <v>2006.0</v>
      </c>
      <c r="B828" s="15" t="s">
        <v>183</v>
      </c>
      <c r="C828" s="15" t="s">
        <v>183</v>
      </c>
    </row>
    <row r="829" ht="22.5" customHeight="1">
      <c r="A829" s="15">
        <v>2007.0</v>
      </c>
      <c r="B829" s="15" t="s">
        <v>183</v>
      </c>
      <c r="C829" s="15" t="s">
        <v>183</v>
      </c>
    </row>
    <row r="830" ht="22.5" customHeight="1">
      <c r="A830" s="15">
        <v>2008.0</v>
      </c>
      <c r="B830" s="15" t="s">
        <v>183</v>
      </c>
      <c r="C830" s="15" t="s">
        <v>183</v>
      </c>
    </row>
    <row r="831" ht="22.5" customHeight="1">
      <c r="A831" s="15">
        <v>2009.0</v>
      </c>
      <c r="B831" s="15" t="s">
        <v>183</v>
      </c>
      <c r="C831" s="15" t="s">
        <v>183</v>
      </c>
    </row>
    <row r="832" ht="22.5" customHeight="1">
      <c r="A832" s="15">
        <v>2010.0</v>
      </c>
      <c r="B832" s="15" t="s">
        <v>123</v>
      </c>
      <c r="C832" s="15" t="s">
        <v>207</v>
      </c>
    </row>
    <row r="833" ht="22.5" customHeight="1">
      <c r="A833" s="15">
        <v>2011.0</v>
      </c>
      <c r="B833" s="15" t="s">
        <v>124</v>
      </c>
      <c r="C833" s="15" t="s">
        <v>208</v>
      </c>
    </row>
    <row r="834" ht="22.5" customHeight="1">
      <c r="A834" s="15">
        <v>2012.0</v>
      </c>
      <c r="B834" s="15" t="s">
        <v>183</v>
      </c>
      <c r="C834" s="15" t="s">
        <v>183</v>
      </c>
    </row>
    <row r="835" ht="22.5" customHeight="1">
      <c r="A835" s="15">
        <v>2013.0</v>
      </c>
      <c r="B835" s="15" t="s">
        <v>183</v>
      </c>
      <c r="C835" s="15" t="s">
        <v>183</v>
      </c>
    </row>
    <row r="836" ht="22.5" customHeight="1">
      <c r="A836" s="15">
        <v>2014.0</v>
      </c>
      <c r="B836" s="15" t="s">
        <v>183</v>
      </c>
      <c r="C836" s="15" t="s">
        <v>183</v>
      </c>
    </row>
    <row r="837" ht="22.5" customHeight="1">
      <c r="A837" s="15">
        <v>2015.0</v>
      </c>
      <c r="B837" s="15" t="s">
        <v>183</v>
      </c>
      <c r="C837" s="15" t="s">
        <v>183</v>
      </c>
    </row>
    <row r="838" ht="22.5" customHeight="1">
      <c r="A838" s="15">
        <v>2016.0</v>
      </c>
      <c r="B838" s="15" t="s">
        <v>183</v>
      </c>
      <c r="C838" s="15" t="s">
        <v>183</v>
      </c>
    </row>
    <row r="839" ht="22.5" customHeight="1">
      <c r="A839" s="15">
        <v>2017.0</v>
      </c>
      <c r="B839" s="15" t="s">
        <v>183</v>
      </c>
      <c r="C839" s="15" t="s">
        <v>183</v>
      </c>
    </row>
    <row r="840" ht="22.5" customHeight="1">
      <c r="A840" s="15">
        <v>2018.0</v>
      </c>
      <c r="B840" s="15" t="s">
        <v>183</v>
      </c>
      <c r="C840" s="15" t="s">
        <v>183</v>
      </c>
    </row>
    <row r="841" ht="22.5" customHeight="1">
      <c r="A841" s="15">
        <v>2019.0</v>
      </c>
      <c r="B841" s="15" t="s">
        <v>183</v>
      </c>
      <c r="C841" s="15" t="s">
        <v>183</v>
      </c>
    </row>
    <row r="842" ht="22.5" customHeight="1">
      <c r="A842" s="15">
        <v>2020.0</v>
      </c>
      <c r="B842" s="15" t="s">
        <v>125</v>
      </c>
      <c r="C842" s="15" t="s">
        <v>209</v>
      </c>
    </row>
    <row r="843" ht="22.5" customHeight="1">
      <c r="A843" s="15">
        <v>2021.0</v>
      </c>
      <c r="B843" s="15" t="s">
        <v>126</v>
      </c>
      <c r="C843" s="15" t="s">
        <v>210</v>
      </c>
    </row>
    <row r="844" ht="22.5" customHeight="1">
      <c r="A844" s="15">
        <v>2022.0</v>
      </c>
      <c r="B844" s="15" t="s">
        <v>183</v>
      </c>
      <c r="C844" s="15" t="s">
        <v>183</v>
      </c>
    </row>
    <row r="845" ht="22.5" customHeight="1">
      <c r="A845" s="15">
        <v>2023.0</v>
      </c>
      <c r="B845" s="15" t="s">
        <v>183</v>
      </c>
      <c r="C845" s="15" t="s">
        <v>183</v>
      </c>
    </row>
    <row r="846" ht="22.5" customHeight="1">
      <c r="A846" s="15">
        <v>2024.0</v>
      </c>
      <c r="B846" s="15" t="s">
        <v>183</v>
      </c>
      <c r="C846" s="15" t="s">
        <v>183</v>
      </c>
    </row>
    <row r="847" ht="22.5" customHeight="1">
      <c r="A847" s="15">
        <v>2025.0</v>
      </c>
      <c r="B847" s="15" t="s">
        <v>183</v>
      </c>
      <c r="C847" s="15" t="s">
        <v>183</v>
      </c>
    </row>
    <row r="848" ht="22.5" customHeight="1">
      <c r="A848" s="15">
        <v>2026.0</v>
      </c>
      <c r="B848" s="15" t="s">
        <v>183</v>
      </c>
      <c r="C848" s="15" t="s">
        <v>183</v>
      </c>
    </row>
    <row r="849" ht="22.5" customHeight="1">
      <c r="A849" s="15">
        <v>2027.0</v>
      </c>
      <c r="B849" s="15" t="s">
        <v>183</v>
      </c>
      <c r="C849" s="15" t="s">
        <v>183</v>
      </c>
    </row>
    <row r="850" ht="22.5" customHeight="1">
      <c r="A850" s="15">
        <v>2028.0</v>
      </c>
      <c r="B850" s="15" t="s">
        <v>183</v>
      </c>
      <c r="C850" s="15" t="s">
        <v>183</v>
      </c>
    </row>
    <row r="851" ht="22.5" customHeight="1">
      <c r="A851" s="15">
        <v>2029.0</v>
      </c>
      <c r="B851" s="15" t="s">
        <v>183</v>
      </c>
      <c r="C851" s="15" t="s">
        <v>183</v>
      </c>
    </row>
    <row r="852" ht="22.5" customHeight="1">
      <c r="A852" s="15">
        <v>2030.0</v>
      </c>
      <c r="B852" s="15" t="s">
        <v>127</v>
      </c>
      <c r="C852" s="15" t="s">
        <v>211</v>
      </c>
    </row>
    <row r="853" ht="22.5" customHeight="1">
      <c r="A853" s="15">
        <v>2031.0</v>
      </c>
      <c r="B853" s="15" t="s">
        <v>128</v>
      </c>
      <c r="C853" s="15" t="s">
        <v>212</v>
      </c>
    </row>
    <row r="854" ht="22.5" customHeight="1">
      <c r="A854" s="15">
        <v>2032.0</v>
      </c>
      <c r="B854" s="15" t="s">
        <v>183</v>
      </c>
      <c r="C854" s="15" t="s">
        <v>183</v>
      </c>
    </row>
    <row r="855" ht="22.5" customHeight="1">
      <c r="A855" s="15">
        <v>2033.0</v>
      </c>
      <c r="B855" s="15" t="s">
        <v>183</v>
      </c>
      <c r="C855" s="15" t="s">
        <v>183</v>
      </c>
    </row>
    <row r="856" ht="22.5" customHeight="1">
      <c r="A856" s="15">
        <v>2034.0</v>
      </c>
      <c r="B856" s="15" t="s">
        <v>183</v>
      </c>
      <c r="C856" s="15" t="s">
        <v>183</v>
      </c>
    </row>
    <row r="857" ht="22.5" customHeight="1">
      <c r="A857" s="15">
        <v>2035.0</v>
      </c>
      <c r="B857" s="15" t="s">
        <v>183</v>
      </c>
      <c r="C857" s="15" t="s">
        <v>183</v>
      </c>
    </row>
    <row r="858" ht="22.5" customHeight="1">
      <c r="A858" s="15">
        <v>2036.0</v>
      </c>
      <c r="B858" s="15" t="s">
        <v>183</v>
      </c>
      <c r="C858" s="15" t="s">
        <v>183</v>
      </c>
    </row>
    <row r="859" ht="22.5" customHeight="1">
      <c r="A859" s="15">
        <v>2037.0</v>
      </c>
      <c r="B859" s="15" t="s">
        <v>183</v>
      </c>
      <c r="C859" s="15" t="s">
        <v>183</v>
      </c>
    </row>
    <row r="860" ht="22.5" customHeight="1">
      <c r="A860" s="15">
        <v>2038.0</v>
      </c>
      <c r="B860" s="15" t="s">
        <v>183</v>
      </c>
      <c r="C860" s="15" t="s">
        <v>183</v>
      </c>
    </row>
    <row r="861" ht="22.5" customHeight="1">
      <c r="A861" s="15">
        <v>2039.0</v>
      </c>
      <c r="B861" s="15" t="s">
        <v>183</v>
      </c>
      <c r="C861" s="15" t="s">
        <v>183</v>
      </c>
    </row>
    <row r="862" ht="22.5" customHeight="1">
      <c r="A862" s="15">
        <v>2040.0</v>
      </c>
      <c r="B862" s="15" t="s">
        <v>129</v>
      </c>
      <c r="C862" s="15" t="s">
        <v>213</v>
      </c>
    </row>
    <row r="863" ht="22.5" customHeight="1">
      <c r="A863" s="15">
        <v>2041.0</v>
      </c>
      <c r="B863" s="15" t="s">
        <v>130</v>
      </c>
      <c r="C863" s="15" t="s">
        <v>214</v>
      </c>
    </row>
    <row r="864" ht="22.5" customHeight="1">
      <c r="A864" s="15">
        <v>2042.0</v>
      </c>
      <c r="B864" s="15" t="s">
        <v>183</v>
      </c>
      <c r="C864" s="15" t="s">
        <v>183</v>
      </c>
    </row>
    <row r="865" ht="22.5" customHeight="1">
      <c r="A865" s="15">
        <v>2043.0</v>
      </c>
      <c r="B865" s="15" t="s">
        <v>183</v>
      </c>
      <c r="C865" s="15" t="s">
        <v>183</v>
      </c>
    </row>
    <row r="866" ht="22.5" customHeight="1">
      <c r="A866" s="15">
        <v>2044.0</v>
      </c>
      <c r="B866" s="15" t="s">
        <v>183</v>
      </c>
      <c r="C866" s="15" t="s">
        <v>183</v>
      </c>
    </row>
    <row r="867" ht="22.5" customHeight="1">
      <c r="A867" s="15">
        <v>2045.0</v>
      </c>
      <c r="B867" s="15" t="s">
        <v>183</v>
      </c>
      <c r="C867" s="15" t="s">
        <v>183</v>
      </c>
    </row>
    <row r="868" ht="22.5" customHeight="1">
      <c r="A868" s="15">
        <v>2046.0</v>
      </c>
      <c r="B868" s="15" t="s">
        <v>183</v>
      </c>
      <c r="C868" s="15" t="s">
        <v>183</v>
      </c>
    </row>
    <row r="869" ht="22.5" customHeight="1">
      <c r="A869" s="15">
        <v>2047.0</v>
      </c>
      <c r="B869" s="15" t="s">
        <v>183</v>
      </c>
      <c r="C869" s="15" t="s">
        <v>183</v>
      </c>
    </row>
    <row r="870" ht="22.5" customHeight="1">
      <c r="A870" s="15">
        <v>2048.0</v>
      </c>
      <c r="B870" s="15" t="s">
        <v>183</v>
      </c>
      <c r="C870" s="15" t="s">
        <v>183</v>
      </c>
    </row>
    <row r="871" ht="22.5" customHeight="1">
      <c r="A871" s="15">
        <v>2049.0</v>
      </c>
      <c r="B871" s="15" t="s">
        <v>183</v>
      </c>
      <c r="C871" s="15" t="s">
        <v>183</v>
      </c>
    </row>
    <row r="872" ht="22.5" customHeight="1">
      <c r="A872" s="15">
        <v>2050.0</v>
      </c>
      <c r="B872" s="15" t="s">
        <v>131</v>
      </c>
      <c r="C872" s="15" t="s">
        <v>215</v>
      </c>
    </row>
    <row r="873" ht="22.5" customHeight="1">
      <c r="A873" s="15">
        <v>2051.0</v>
      </c>
      <c r="B873" s="15" t="s">
        <v>132</v>
      </c>
      <c r="C873" s="15" t="s">
        <v>216</v>
      </c>
    </row>
    <row r="874" ht="22.5" customHeight="1">
      <c r="A874" s="15">
        <v>2052.0</v>
      </c>
      <c r="B874" s="15" t="s">
        <v>183</v>
      </c>
      <c r="C874" s="15" t="s">
        <v>183</v>
      </c>
    </row>
    <row r="875" ht="22.5" customHeight="1">
      <c r="A875" s="15">
        <v>2053.0</v>
      </c>
      <c r="B875" s="15" t="s">
        <v>183</v>
      </c>
      <c r="C875" s="15" t="s">
        <v>183</v>
      </c>
    </row>
    <row r="876" ht="22.5" customHeight="1">
      <c r="A876" s="15">
        <v>2054.0</v>
      </c>
      <c r="B876" s="15" t="s">
        <v>183</v>
      </c>
      <c r="C876" s="15" t="s">
        <v>183</v>
      </c>
    </row>
    <row r="877" ht="22.5" customHeight="1">
      <c r="A877" s="15">
        <v>2055.0</v>
      </c>
      <c r="B877" s="15" t="s">
        <v>183</v>
      </c>
      <c r="C877" s="15" t="s">
        <v>183</v>
      </c>
    </row>
    <row r="878" ht="22.5" customHeight="1">
      <c r="A878" s="15">
        <v>2056.0</v>
      </c>
      <c r="B878" s="15" t="s">
        <v>183</v>
      </c>
      <c r="C878" s="15" t="s">
        <v>183</v>
      </c>
    </row>
    <row r="879" ht="22.5" customHeight="1">
      <c r="A879" s="15">
        <v>2057.0</v>
      </c>
      <c r="B879" s="15" t="s">
        <v>183</v>
      </c>
      <c r="C879" s="15" t="s">
        <v>183</v>
      </c>
    </row>
    <row r="880" ht="22.5" customHeight="1">
      <c r="A880" s="15">
        <v>2058.0</v>
      </c>
      <c r="B880" s="15" t="s">
        <v>183</v>
      </c>
      <c r="C880" s="15" t="s">
        <v>183</v>
      </c>
    </row>
    <row r="881" ht="22.5" customHeight="1">
      <c r="A881" s="15">
        <v>2059.0</v>
      </c>
      <c r="B881" s="15" t="s">
        <v>183</v>
      </c>
      <c r="C881" s="15" t="s">
        <v>183</v>
      </c>
    </row>
    <row r="882" ht="22.5" customHeight="1">
      <c r="A882" s="15">
        <v>2060.0</v>
      </c>
      <c r="B882" s="15" t="s">
        <v>133</v>
      </c>
      <c r="C882" s="15" t="s">
        <v>217</v>
      </c>
    </row>
    <row r="883" ht="22.5" customHeight="1">
      <c r="A883" s="15">
        <v>2061.0</v>
      </c>
      <c r="B883" s="15" t="s">
        <v>134</v>
      </c>
      <c r="C883" s="15" t="s">
        <v>218</v>
      </c>
    </row>
    <row r="884" ht="22.5" customHeight="1">
      <c r="A884" s="15">
        <v>2070.0</v>
      </c>
      <c r="B884" s="15" t="s">
        <v>135</v>
      </c>
      <c r="C884" s="15" t="s">
        <v>219</v>
      </c>
    </row>
    <row r="885" ht="22.5" customHeight="1">
      <c r="A885" s="15">
        <v>2071.0</v>
      </c>
      <c r="B885" s="15" t="s">
        <v>136</v>
      </c>
      <c r="C885" s="15" t="s">
        <v>220</v>
      </c>
    </row>
    <row r="886" ht="22.5" customHeight="1">
      <c r="A886" s="15">
        <v>2072.0</v>
      </c>
      <c r="B886" s="15" t="s">
        <v>183</v>
      </c>
      <c r="C886" s="15" t="s">
        <v>183</v>
      </c>
    </row>
    <row r="887" ht="22.5" customHeight="1">
      <c r="A887" s="15">
        <v>2073.0</v>
      </c>
      <c r="B887" s="15" t="s">
        <v>183</v>
      </c>
      <c r="C887" s="15" t="s">
        <v>183</v>
      </c>
    </row>
    <row r="888" ht="22.5" customHeight="1">
      <c r="A888" s="15">
        <v>2074.0</v>
      </c>
      <c r="B888" s="15" t="s">
        <v>183</v>
      </c>
      <c r="C888" s="15" t="s">
        <v>183</v>
      </c>
    </row>
    <row r="889" ht="22.5" customHeight="1">
      <c r="A889" s="15">
        <v>2075.0</v>
      </c>
      <c r="B889" s="15" t="s">
        <v>183</v>
      </c>
      <c r="C889" s="15" t="s">
        <v>183</v>
      </c>
    </row>
    <row r="890" ht="22.5" customHeight="1">
      <c r="A890" s="15">
        <v>2076.0</v>
      </c>
      <c r="B890" s="15" t="s">
        <v>183</v>
      </c>
      <c r="C890" s="15" t="s">
        <v>183</v>
      </c>
    </row>
    <row r="891" ht="22.5" customHeight="1">
      <c r="A891" s="15">
        <v>2077.0</v>
      </c>
      <c r="B891" s="15" t="s">
        <v>183</v>
      </c>
      <c r="C891" s="15" t="s">
        <v>183</v>
      </c>
    </row>
    <row r="892" ht="22.5" customHeight="1">
      <c r="A892" s="15">
        <v>2078.0</v>
      </c>
      <c r="B892" s="15" t="s">
        <v>183</v>
      </c>
      <c r="C892" s="15" t="s">
        <v>183</v>
      </c>
    </row>
    <row r="893" ht="22.5" customHeight="1">
      <c r="A893" s="15">
        <v>2079.0</v>
      </c>
      <c r="B893" s="15" t="s">
        <v>183</v>
      </c>
      <c r="C893" s="15" t="s">
        <v>183</v>
      </c>
    </row>
    <row r="894" ht="22.5" customHeight="1">
      <c r="A894" s="15">
        <v>2080.0</v>
      </c>
      <c r="B894" s="15" t="s">
        <v>137</v>
      </c>
      <c r="C894" s="15" t="s">
        <v>221</v>
      </c>
    </row>
    <row r="895" ht="22.5" customHeight="1">
      <c r="A895" s="15">
        <v>2100.0</v>
      </c>
      <c r="B895" s="15" t="s">
        <v>138</v>
      </c>
      <c r="C895" s="15" t="s">
        <v>222</v>
      </c>
    </row>
    <row r="896" ht="22.5" customHeight="1">
      <c r="A896" s="15">
        <v>10000.0</v>
      </c>
      <c r="B896" s="15" t="s">
        <v>139</v>
      </c>
      <c r="C896" s="15" t="s">
        <v>223</v>
      </c>
    </row>
    <row r="897" ht="22.5" customHeight="1">
      <c r="A897" s="15">
        <v>10001.0</v>
      </c>
      <c r="B897" s="15" t="s">
        <v>140</v>
      </c>
      <c r="C897" s="15" t="s">
        <v>224</v>
      </c>
    </row>
    <row r="898" ht="22.5" customHeight="1">
      <c r="A898" s="15">
        <v>10002.0</v>
      </c>
      <c r="B898" s="15" t="s">
        <v>141</v>
      </c>
      <c r="C898" s="15" t="s">
        <v>225</v>
      </c>
    </row>
    <row r="899" ht="22.5" customHeight="1">
      <c r="A899" s="15">
        <v>11000.0</v>
      </c>
      <c r="B899" s="15" t="s">
        <v>142</v>
      </c>
      <c r="C899" s="15" t="s">
        <v>226</v>
      </c>
    </row>
    <row r="900" ht="22.5" customHeight="1">
      <c r="A900" s="15">
        <v>11001.0</v>
      </c>
      <c r="B900" s="15" t="s">
        <v>143</v>
      </c>
      <c r="C900" s="15" t="s">
        <v>227</v>
      </c>
    </row>
    <row r="901" ht="22.5" customHeight="1">
      <c r="A901" s="15">
        <v>11002.0</v>
      </c>
      <c r="B901" s="15" t="s">
        <v>144</v>
      </c>
      <c r="C901" s="15" t="s">
        <v>228</v>
      </c>
    </row>
    <row r="902" ht="22.5" customHeight="1">
      <c r="A902" s="15">
        <v>11003.0</v>
      </c>
      <c r="B902" s="15" t="s">
        <v>109</v>
      </c>
      <c r="C902" s="15" t="s">
        <v>193</v>
      </c>
    </row>
    <row r="903" ht="22.5" customHeight="1">
      <c r="A903" s="15">
        <v>11004.0</v>
      </c>
      <c r="B903" s="15" t="s">
        <v>109</v>
      </c>
      <c r="C903" s="15" t="s">
        <v>193</v>
      </c>
    </row>
    <row r="904" ht="22.5" customHeight="1">
      <c r="A904" s="15">
        <v>12000.0</v>
      </c>
      <c r="B904" s="15" t="s">
        <v>145</v>
      </c>
      <c r="C904" s="15" t="s">
        <v>229</v>
      </c>
    </row>
    <row r="905" ht="22.5" customHeight="1">
      <c r="A905" s="15">
        <v>12001.0</v>
      </c>
      <c r="B905" s="15" t="s">
        <v>146</v>
      </c>
      <c r="C905" s="15" t="s">
        <v>230</v>
      </c>
    </row>
    <row r="906" ht="22.5" customHeight="1">
      <c r="A906" s="15">
        <v>12002.0</v>
      </c>
      <c r="B906" s="15" t="s">
        <v>147</v>
      </c>
      <c r="C906" s="15" t="s">
        <v>231</v>
      </c>
    </row>
    <row r="907" ht="22.5" customHeight="1">
      <c r="A907" s="15">
        <v>12003.0</v>
      </c>
      <c r="B907" s="15" t="s">
        <v>148</v>
      </c>
      <c r="C907" s="15" t="s">
        <v>232</v>
      </c>
    </row>
    <row r="908" ht="22.5" customHeight="1">
      <c r="A908" s="15">
        <v>12004.0</v>
      </c>
      <c r="B908" s="15" t="s">
        <v>115</v>
      </c>
      <c r="C908" s="15" t="s">
        <v>199</v>
      </c>
    </row>
    <row r="909" ht="22.5" customHeight="1">
      <c r="A909" s="15">
        <v>12005.0</v>
      </c>
      <c r="B909" s="15" t="s">
        <v>112</v>
      </c>
      <c r="C909" s="15" t="s">
        <v>196</v>
      </c>
    </row>
    <row r="910" ht="22.5" customHeight="1">
      <c r="A910" s="15">
        <v>12006.0</v>
      </c>
      <c r="B910" s="15" t="s">
        <v>112</v>
      </c>
      <c r="C910" s="15" t="s">
        <v>196</v>
      </c>
    </row>
    <row r="911" ht="22.5" customHeight="1">
      <c r="A911" s="15">
        <v>12007.0</v>
      </c>
      <c r="B911" s="15" t="s">
        <v>118</v>
      </c>
      <c r="C911" s="15" t="s">
        <v>202</v>
      </c>
    </row>
    <row r="912" ht="22.5" customHeight="1">
      <c r="A912" s="15">
        <v>13000.0</v>
      </c>
      <c r="B912" s="15" t="s">
        <v>233</v>
      </c>
      <c r="C912" s="15" t="s">
        <v>234</v>
      </c>
    </row>
    <row r="913" ht="22.5" customHeight="1">
      <c r="A913" s="15">
        <v>13001.0</v>
      </c>
      <c r="B913" s="15" t="s">
        <v>149</v>
      </c>
      <c r="C913" s="15" t="s">
        <v>235</v>
      </c>
    </row>
    <row r="914" ht="22.5" customHeight="1">
      <c r="A914" s="15">
        <v>13002.0</v>
      </c>
      <c r="B914" s="15" t="s">
        <v>150</v>
      </c>
      <c r="C914" s="15" t="s">
        <v>236</v>
      </c>
    </row>
    <row r="915" ht="22.5" customHeight="1">
      <c r="A915" s="15">
        <v>14000.0</v>
      </c>
      <c r="B915" s="15" t="s">
        <v>151</v>
      </c>
      <c r="C915" s="15" t="s">
        <v>237</v>
      </c>
    </row>
    <row r="916" ht="22.5" customHeight="1">
      <c r="A916" s="15">
        <v>14001.0</v>
      </c>
      <c r="B916" s="15" t="s">
        <v>152</v>
      </c>
      <c r="C916" s="15" t="s">
        <v>238</v>
      </c>
    </row>
    <row r="917" ht="22.5" customHeight="1">
      <c r="A917" s="15">
        <v>14002.0</v>
      </c>
      <c r="B917" s="15" t="s">
        <v>153</v>
      </c>
      <c r="C917" s="15" t="s">
        <v>239</v>
      </c>
    </row>
    <row r="918" ht="22.5" customHeight="1">
      <c r="A918" s="15">
        <v>15000.0</v>
      </c>
      <c r="B918" s="15" t="s">
        <v>154</v>
      </c>
      <c r="C918" s="15" t="s">
        <v>240</v>
      </c>
    </row>
    <row r="919" ht="22.5" customHeight="1">
      <c r="A919" s="15">
        <v>15001.0</v>
      </c>
      <c r="B919" s="15" t="s">
        <v>183</v>
      </c>
      <c r="C919" s="15" t="s">
        <v>183</v>
      </c>
    </row>
    <row r="920" ht="22.5" customHeight="1">
      <c r="A920" s="15">
        <v>15002.0</v>
      </c>
      <c r="B920" s="15" t="s">
        <v>155</v>
      </c>
      <c r="C920" s="15" t="s">
        <v>241</v>
      </c>
    </row>
    <row r="921" ht="22.5" customHeight="1">
      <c r="A921" s="15">
        <v>16000.0</v>
      </c>
      <c r="B921" s="15" t="s">
        <v>242</v>
      </c>
      <c r="C921" s="15" t="s">
        <v>243</v>
      </c>
    </row>
    <row r="922" ht="22.5" customHeight="1">
      <c r="A922" s="15">
        <v>16001.0</v>
      </c>
      <c r="B922" s="15" t="s">
        <v>156</v>
      </c>
      <c r="C922" s="15" t="s">
        <v>244</v>
      </c>
    </row>
    <row r="923" ht="22.5" customHeight="1">
      <c r="A923" s="15">
        <v>16002.0</v>
      </c>
      <c r="B923" s="15" t="s">
        <v>157</v>
      </c>
      <c r="C923" s="15" t="s">
        <v>245</v>
      </c>
    </row>
    <row r="924" ht="22.5" customHeight="1">
      <c r="A924" s="15">
        <v>17000.0</v>
      </c>
      <c r="B924" s="15" t="s">
        <v>246</v>
      </c>
      <c r="C924" s="15" t="s">
        <v>247</v>
      </c>
    </row>
    <row r="925" ht="22.5" customHeight="1">
      <c r="A925" s="15">
        <v>17001.0</v>
      </c>
      <c r="B925" s="15" t="s">
        <v>158</v>
      </c>
      <c r="C925" s="15" t="s">
        <v>248</v>
      </c>
    </row>
    <row r="926" ht="22.5" customHeight="1">
      <c r="A926" s="15">
        <v>17002.0</v>
      </c>
      <c r="B926" s="15" t="s">
        <v>159</v>
      </c>
      <c r="C926" s="15" t="s">
        <v>249</v>
      </c>
    </row>
    <row r="927" ht="22.5" customHeight="1">
      <c r="A927" s="15">
        <v>18000.0</v>
      </c>
      <c r="B927" s="15" t="s">
        <v>160</v>
      </c>
      <c r="C927" s="15" t="s">
        <v>250</v>
      </c>
    </row>
    <row r="928" ht="22.5" customHeight="1">
      <c r="A928" s="15">
        <v>18001.0</v>
      </c>
      <c r="B928" s="15" t="s">
        <v>251</v>
      </c>
      <c r="C928" s="15" t="s">
        <v>252</v>
      </c>
    </row>
    <row r="929" ht="22.5" customHeight="1">
      <c r="A929" s="15">
        <v>18002.0</v>
      </c>
      <c r="B929" s="15" t="s">
        <v>161</v>
      </c>
      <c r="C929" s="15" t="s">
        <v>253</v>
      </c>
    </row>
    <row r="930" ht="22.5" customHeight="1">
      <c r="A930" s="15">
        <v>19000.0</v>
      </c>
      <c r="B930" s="15" t="s">
        <v>162</v>
      </c>
      <c r="C930" s="15" t="s">
        <v>254</v>
      </c>
    </row>
    <row r="931" ht="22.5" customHeight="1">
      <c r="A931" s="15">
        <v>19001.0</v>
      </c>
      <c r="B931" s="15" t="s">
        <v>163</v>
      </c>
      <c r="C931" s="15" t="s">
        <v>255</v>
      </c>
    </row>
    <row r="932" ht="22.5" customHeight="1">
      <c r="A932" s="15">
        <v>19050.0</v>
      </c>
      <c r="B932" s="15" t="s">
        <v>164</v>
      </c>
      <c r="C932" s="15" t="s">
        <v>256</v>
      </c>
    </row>
    <row r="933" ht="22.5" customHeight="1">
      <c r="A933" s="15">
        <v>19051.0</v>
      </c>
      <c r="B933" s="15" t="s">
        <v>165</v>
      </c>
      <c r="C933" s="15" t="s">
        <v>257</v>
      </c>
    </row>
    <row r="934" ht="22.5" customHeight="1">
      <c r="A934" s="15">
        <v>20000.0</v>
      </c>
      <c r="B934" s="15" t="s">
        <v>109</v>
      </c>
      <c r="C934" s="15" t="s">
        <v>193</v>
      </c>
    </row>
    <row r="935" ht="22.5" customHeight="1">
      <c r="A935" s="15">
        <v>20001.0</v>
      </c>
      <c r="B935" s="15" t="s">
        <v>110</v>
      </c>
      <c r="C935" s="15" t="s">
        <v>194</v>
      </c>
    </row>
    <row r="936" ht="22.5" customHeight="1">
      <c r="A936" s="15">
        <v>20002.0</v>
      </c>
      <c r="B936" s="15" t="s">
        <v>111</v>
      </c>
      <c r="C936" s="15" t="s">
        <v>195</v>
      </c>
    </row>
    <row r="937" ht="22.5" customHeight="1">
      <c r="A937" s="15">
        <v>20003.0</v>
      </c>
      <c r="B937" s="15" t="s">
        <v>109</v>
      </c>
      <c r="C937" s="15" t="s">
        <v>193</v>
      </c>
    </row>
    <row r="938" ht="22.5" customHeight="1">
      <c r="A938" s="15">
        <v>20004.0</v>
      </c>
      <c r="B938" s="15" t="s">
        <v>110</v>
      </c>
      <c r="C938" s="15" t="s">
        <v>194</v>
      </c>
    </row>
    <row r="939" ht="22.5" customHeight="1">
      <c r="A939" s="15">
        <v>20005.0</v>
      </c>
      <c r="B939" s="15" t="s">
        <v>111</v>
      </c>
      <c r="C939" s="15" t="s">
        <v>195</v>
      </c>
    </row>
    <row r="940" ht="22.5" customHeight="1">
      <c r="A940" s="15">
        <v>20006.0</v>
      </c>
      <c r="B940" s="15" t="s">
        <v>109</v>
      </c>
      <c r="C940" s="15" t="s">
        <v>193</v>
      </c>
    </row>
    <row r="941" ht="22.5" customHeight="1">
      <c r="A941" s="15">
        <v>20007.0</v>
      </c>
      <c r="B941" s="15" t="s">
        <v>110</v>
      </c>
      <c r="C941" s="15" t="s">
        <v>194</v>
      </c>
    </row>
    <row r="942" ht="22.5" customHeight="1">
      <c r="A942" s="15">
        <v>20008.0</v>
      </c>
      <c r="B942" s="15" t="s">
        <v>111</v>
      </c>
      <c r="C942" s="15" t="s">
        <v>195</v>
      </c>
    </row>
    <row r="943" ht="22.5" customHeight="1">
      <c r="A943" s="15">
        <v>20009.0</v>
      </c>
      <c r="B943" s="15" t="s">
        <v>112</v>
      </c>
      <c r="C943" s="15" t="s">
        <v>196</v>
      </c>
    </row>
    <row r="944" ht="22.5" customHeight="1">
      <c r="A944" s="15">
        <v>20010.0</v>
      </c>
      <c r="B944" s="15" t="s">
        <v>113</v>
      </c>
      <c r="C944" s="15" t="s">
        <v>197</v>
      </c>
    </row>
    <row r="945" ht="22.5" customHeight="1">
      <c r="A945" s="15">
        <v>20011.0</v>
      </c>
      <c r="B945" s="15" t="s">
        <v>114</v>
      </c>
      <c r="C945" s="15" t="s">
        <v>198</v>
      </c>
    </row>
    <row r="946" ht="22.5" customHeight="1">
      <c r="A946" s="15">
        <v>20012.0</v>
      </c>
      <c r="B946" s="15" t="s">
        <v>112</v>
      </c>
      <c r="C946" s="15" t="s">
        <v>196</v>
      </c>
    </row>
    <row r="947" ht="22.5" customHeight="1">
      <c r="A947" s="15">
        <v>20013.0</v>
      </c>
      <c r="B947" s="15" t="s">
        <v>113</v>
      </c>
      <c r="C947" s="15" t="s">
        <v>197</v>
      </c>
    </row>
    <row r="948" ht="22.5" customHeight="1">
      <c r="A948" s="15">
        <v>20014.0</v>
      </c>
      <c r="B948" s="15" t="s">
        <v>114</v>
      </c>
      <c r="C948" s="15" t="s">
        <v>198</v>
      </c>
    </row>
    <row r="949" ht="22.5" customHeight="1">
      <c r="A949" s="15">
        <v>20015.0</v>
      </c>
      <c r="B949" s="15" t="s">
        <v>112</v>
      </c>
      <c r="C949" s="15" t="s">
        <v>196</v>
      </c>
    </row>
    <row r="950" ht="22.5" customHeight="1">
      <c r="A950" s="15">
        <v>20016.0</v>
      </c>
      <c r="B950" s="15" t="s">
        <v>113</v>
      </c>
      <c r="C950" s="15" t="s">
        <v>197</v>
      </c>
    </row>
    <row r="951" ht="22.5" customHeight="1">
      <c r="A951" s="15">
        <v>20017.0</v>
      </c>
      <c r="B951" s="15" t="s">
        <v>114</v>
      </c>
      <c r="C951" s="15" t="s">
        <v>198</v>
      </c>
    </row>
    <row r="952" ht="22.5" customHeight="1">
      <c r="A952" s="15">
        <v>20018.0</v>
      </c>
      <c r="B952" s="15" t="s">
        <v>115</v>
      </c>
      <c r="C952" s="15" t="s">
        <v>199</v>
      </c>
    </row>
    <row r="953" ht="22.5" customHeight="1">
      <c r="A953" s="15">
        <v>20019.0</v>
      </c>
      <c r="B953" s="15" t="s">
        <v>116</v>
      </c>
      <c r="C953" s="15" t="s">
        <v>200</v>
      </c>
    </row>
    <row r="954" ht="22.5" customHeight="1">
      <c r="A954" s="15">
        <v>20020.0</v>
      </c>
      <c r="B954" s="15" t="s">
        <v>117</v>
      </c>
      <c r="C954" s="15" t="s">
        <v>201</v>
      </c>
    </row>
    <row r="955" ht="22.5" customHeight="1">
      <c r="A955" s="15">
        <v>20021.0</v>
      </c>
      <c r="B955" s="15" t="s">
        <v>115</v>
      </c>
      <c r="C955" s="15" t="s">
        <v>199</v>
      </c>
    </row>
    <row r="956" ht="22.5" customHeight="1">
      <c r="A956" s="15">
        <v>20022.0</v>
      </c>
      <c r="B956" s="15" t="s">
        <v>116</v>
      </c>
      <c r="C956" s="15" t="s">
        <v>200</v>
      </c>
    </row>
    <row r="957" ht="22.5" customHeight="1">
      <c r="A957" s="15">
        <v>20023.0</v>
      </c>
      <c r="B957" s="15" t="s">
        <v>117</v>
      </c>
      <c r="C957" s="15" t="s">
        <v>201</v>
      </c>
    </row>
    <row r="958" ht="22.5" customHeight="1">
      <c r="A958" s="15">
        <v>20024.0</v>
      </c>
      <c r="B958" s="15" t="s">
        <v>115</v>
      </c>
      <c r="C958" s="15" t="s">
        <v>199</v>
      </c>
    </row>
    <row r="959" ht="22.5" customHeight="1">
      <c r="A959" s="15">
        <v>20025.0</v>
      </c>
      <c r="B959" s="15" t="s">
        <v>116</v>
      </c>
      <c r="C959" s="15" t="s">
        <v>200</v>
      </c>
    </row>
    <row r="960" ht="22.5" customHeight="1">
      <c r="A960" s="15">
        <v>20026.0</v>
      </c>
      <c r="B960" s="15" t="s">
        <v>117</v>
      </c>
      <c r="C960" s="15" t="s">
        <v>201</v>
      </c>
    </row>
    <row r="961" ht="22.5" customHeight="1">
      <c r="A961" s="15">
        <v>20027.0</v>
      </c>
      <c r="B961" s="15" t="s">
        <v>118</v>
      </c>
      <c r="C961" s="15" t="s">
        <v>202</v>
      </c>
    </row>
    <row r="962" ht="22.5" customHeight="1">
      <c r="A962" s="15">
        <v>20028.0</v>
      </c>
      <c r="B962" s="15" t="s">
        <v>119</v>
      </c>
      <c r="C962" s="15" t="s">
        <v>203</v>
      </c>
    </row>
    <row r="963" ht="22.5" customHeight="1">
      <c r="A963" s="15">
        <v>20029.0</v>
      </c>
      <c r="B963" s="15" t="s">
        <v>120</v>
      </c>
      <c r="C963" s="15" t="s">
        <v>204</v>
      </c>
    </row>
    <row r="964" ht="22.5" customHeight="1">
      <c r="A964" s="15">
        <v>20030.0</v>
      </c>
      <c r="B964" s="15" t="s">
        <v>118</v>
      </c>
      <c r="C964" s="15" t="s">
        <v>202</v>
      </c>
    </row>
    <row r="965" ht="22.5" customHeight="1">
      <c r="A965" s="15">
        <v>20031.0</v>
      </c>
      <c r="B965" s="15" t="s">
        <v>119</v>
      </c>
      <c r="C965" s="15" t="s">
        <v>203</v>
      </c>
    </row>
    <row r="966" ht="22.5" customHeight="1">
      <c r="A966" s="15">
        <v>20032.0</v>
      </c>
      <c r="B966" s="15" t="s">
        <v>120</v>
      </c>
      <c r="C966" s="15" t="s">
        <v>204</v>
      </c>
    </row>
    <row r="967" ht="22.5" customHeight="1">
      <c r="A967" s="15">
        <v>20033.0</v>
      </c>
      <c r="B967" s="15" t="s">
        <v>118</v>
      </c>
      <c r="C967" s="15" t="s">
        <v>202</v>
      </c>
    </row>
    <row r="968" ht="22.5" customHeight="1">
      <c r="A968" s="15">
        <v>20034.0</v>
      </c>
      <c r="B968" s="15" t="s">
        <v>119</v>
      </c>
      <c r="C968" s="15" t="s">
        <v>203</v>
      </c>
    </row>
    <row r="969" ht="22.5" customHeight="1">
      <c r="A969" s="15">
        <v>20035.0</v>
      </c>
      <c r="B969" s="15" t="s">
        <v>120</v>
      </c>
      <c r="C969" s="15" t="s">
        <v>204</v>
      </c>
    </row>
    <row r="970" ht="22.5" customHeight="1">
      <c r="A970" s="15">
        <v>30000.0</v>
      </c>
      <c r="B970" s="15" t="s">
        <v>166</v>
      </c>
      <c r="C970" s="15" t="s">
        <v>258</v>
      </c>
    </row>
    <row r="971" ht="22.5" customHeight="1">
      <c r="A971" s="15">
        <v>30001.0</v>
      </c>
      <c r="B971" s="15" t="s">
        <v>167</v>
      </c>
      <c r="C971" s="15" t="s">
        <v>259</v>
      </c>
    </row>
    <row r="972" ht="22.5" customHeight="1">
      <c r="A972" s="15">
        <v>30002.0</v>
      </c>
      <c r="B972" s="15" t="s">
        <v>168</v>
      </c>
      <c r="C972" s="15" t="s">
        <v>260</v>
      </c>
    </row>
    <row r="973" ht="22.5" customHeight="1">
      <c r="A973" s="15">
        <v>30003.0</v>
      </c>
      <c r="B973" s="15" t="s">
        <v>166</v>
      </c>
      <c r="C973" s="15" t="s">
        <v>258</v>
      </c>
    </row>
    <row r="974" ht="22.5" customHeight="1">
      <c r="A974" s="15">
        <v>30004.0</v>
      </c>
      <c r="B974" s="15" t="s">
        <v>167</v>
      </c>
      <c r="C974" s="15" t="s">
        <v>259</v>
      </c>
    </row>
    <row r="975" ht="22.5" customHeight="1">
      <c r="A975" s="15">
        <v>30005.0</v>
      </c>
      <c r="B975" s="15" t="s">
        <v>168</v>
      </c>
      <c r="C975" s="15" t="s">
        <v>260</v>
      </c>
    </row>
    <row r="976" ht="22.5" customHeight="1">
      <c r="A976" s="15">
        <v>30006.0</v>
      </c>
      <c r="B976" s="15" t="s">
        <v>166</v>
      </c>
      <c r="C976" s="15" t="s">
        <v>258</v>
      </c>
    </row>
    <row r="977" ht="22.5" customHeight="1">
      <c r="A977" s="15">
        <v>30007.0</v>
      </c>
      <c r="B977" s="15" t="s">
        <v>167</v>
      </c>
      <c r="C977" s="15" t="s">
        <v>259</v>
      </c>
    </row>
    <row r="978" ht="22.5" customHeight="1">
      <c r="A978" s="15">
        <v>30008.0</v>
      </c>
      <c r="B978" s="15" t="s">
        <v>168</v>
      </c>
      <c r="C978" s="15" t="s">
        <v>260</v>
      </c>
    </row>
    <row r="979" ht="22.5" customHeight="1">
      <c r="A979" s="15">
        <v>30009.0</v>
      </c>
      <c r="B979" s="15" t="s">
        <v>169</v>
      </c>
      <c r="C979" s="15" t="s">
        <v>261</v>
      </c>
    </row>
    <row r="980" ht="22.5" customHeight="1">
      <c r="A980" s="15">
        <v>30010.0</v>
      </c>
      <c r="B980" s="15" t="s">
        <v>170</v>
      </c>
      <c r="C980" s="15" t="s">
        <v>262</v>
      </c>
    </row>
    <row r="981" ht="22.5" customHeight="1">
      <c r="A981" s="15">
        <v>30011.0</v>
      </c>
      <c r="B981" s="15" t="s">
        <v>171</v>
      </c>
      <c r="C981" s="15" t="s">
        <v>263</v>
      </c>
    </row>
    <row r="982" ht="22.5" customHeight="1">
      <c r="A982" s="15">
        <v>30012.0</v>
      </c>
      <c r="B982" s="15" t="s">
        <v>169</v>
      </c>
      <c r="C982" s="15" t="s">
        <v>261</v>
      </c>
    </row>
    <row r="983" ht="22.5" customHeight="1">
      <c r="A983" s="15">
        <v>30013.0</v>
      </c>
      <c r="B983" s="15" t="s">
        <v>170</v>
      </c>
      <c r="C983" s="15" t="s">
        <v>262</v>
      </c>
    </row>
    <row r="984" ht="22.5" customHeight="1">
      <c r="A984" s="15">
        <v>30014.0</v>
      </c>
      <c r="B984" s="15" t="s">
        <v>171</v>
      </c>
      <c r="C984" s="15" t="s">
        <v>263</v>
      </c>
    </row>
    <row r="985" ht="22.5" customHeight="1">
      <c r="A985" s="15">
        <v>30015.0</v>
      </c>
      <c r="B985" s="15" t="s">
        <v>169</v>
      </c>
      <c r="C985" s="15" t="s">
        <v>261</v>
      </c>
    </row>
    <row r="986" ht="22.5" customHeight="1">
      <c r="A986" s="15">
        <v>30016.0</v>
      </c>
      <c r="B986" s="15" t="s">
        <v>170</v>
      </c>
      <c r="C986" s="15" t="s">
        <v>262</v>
      </c>
    </row>
    <row r="987" ht="22.5" customHeight="1">
      <c r="A987" s="15">
        <v>30017.0</v>
      </c>
      <c r="B987" s="15" t="s">
        <v>171</v>
      </c>
      <c r="C987" s="15" t="s">
        <v>263</v>
      </c>
    </row>
    <row r="988" ht="22.5" customHeight="1">
      <c r="A988" s="15">
        <v>30018.0</v>
      </c>
      <c r="B988" s="15" t="s">
        <v>172</v>
      </c>
      <c r="C988" s="15" t="s">
        <v>264</v>
      </c>
    </row>
    <row r="989" ht="22.5" customHeight="1">
      <c r="A989" s="15">
        <v>30019.0</v>
      </c>
      <c r="B989" s="15" t="s">
        <v>173</v>
      </c>
      <c r="C989" s="15" t="s">
        <v>265</v>
      </c>
    </row>
    <row r="990" ht="22.5" customHeight="1">
      <c r="A990" s="15">
        <v>30020.0</v>
      </c>
      <c r="B990" s="15" t="s">
        <v>174</v>
      </c>
      <c r="C990" s="15" t="s">
        <v>266</v>
      </c>
    </row>
    <row r="991" ht="22.5" customHeight="1">
      <c r="A991" s="15">
        <v>30021.0</v>
      </c>
      <c r="B991" s="15" t="s">
        <v>172</v>
      </c>
      <c r="C991" s="15" t="s">
        <v>264</v>
      </c>
    </row>
    <row r="992" ht="22.5" customHeight="1">
      <c r="A992" s="15">
        <v>30022.0</v>
      </c>
      <c r="B992" s="15" t="s">
        <v>173</v>
      </c>
      <c r="C992" s="15" t="s">
        <v>265</v>
      </c>
    </row>
    <row r="993" ht="22.5" customHeight="1">
      <c r="A993" s="15">
        <v>30023.0</v>
      </c>
      <c r="B993" s="15" t="s">
        <v>174</v>
      </c>
      <c r="C993" s="15" t="s">
        <v>266</v>
      </c>
    </row>
    <row r="994" ht="22.5" customHeight="1">
      <c r="A994" s="15">
        <v>30024.0</v>
      </c>
      <c r="B994" s="15" t="s">
        <v>172</v>
      </c>
      <c r="C994" s="15" t="s">
        <v>264</v>
      </c>
    </row>
    <row r="995" ht="22.5" customHeight="1">
      <c r="A995" s="15">
        <v>30025.0</v>
      </c>
      <c r="B995" s="15" t="s">
        <v>173</v>
      </c>
      <c r="C995" s="15" t="s">
        <v>265</v>
      </c>
    </row>
    <row r="996" ht="22.5" customHeight="1">
      <c r="A996" s="15">
        <v>30026.0</v>
      </c>
      <c r="B996" s="15" t="s">
        <v>174</v>
      </c>
      <c r="C996" s="15" t="s">
        <v>266</v>
      </c>
    </row>
    <row r="997" ht="22.5" customHeight="1">
      <c r="A997" s="15">
        <v>30027.0</v>
      </c>
      <c r="B997" s="15" t="s">
        <v>175</v>
      </c>
      <c r="C997" s="15" t="s">
        <v>267</v>
      </c>
    </row>
    <row r="998" ht="22.5" customHeight="1">
      <c r="A998" s="15">
        <v>30028.0</v>
      </c>
      <c r="B998" s="15" t="s">
        <v>176</v>
      </c>
      <c r="C998" s="15" t="s">
        <v>268</v>
      </c>
    </row>
    <row r="999" ht="22.5" customHeight="1">
      <c r="A999" s="15">
        <v>30029.0</v>
      </c>
      <c r="B999" s="15" t="s">
        <v>177</v>
      </c>
      <c r="C999" s="15" t="s">
        <v>269</v>
      </c>
    </row>
    <row r="1000" ht="22.5" customHeight="1">
      <c r="A1000" s="15">
        <v>30030.0</v>
      </c>
      <c r="B1000" s="15" t="s">
        <v>175</v>
      </c>
      <c r="C1000" s="15" t="s">
        <v>267</v>
      </c>
    </row>
    <row r="1001" ht="22.5" customHeight="1">
      <c r="A1001" s="15">
        <v>30031.0</v>
      </c>
      <c r="B1001" s="15" t="s">
        <v>176</v>
      </c>
      <c r="C1001" s="15" t="s">
        <v>268</v>
      </c>
    </row>
    <row r="1002" ht="22.5" customHeight="1">
      <c r="A1002" s="15">
        <v>30032.0</v>
      </c>
      <c r="B1002" s="15" t="s">
        <v>177</v>
      </c>
      <c r="C1002" s="15" t="s">
        <v>269</v>
      </c>
    </row>
    <row r="1003" ht="22.5" customHeight="1">
      <c r="A1003" s="15">
        <v>30033.0</v>
      </c>
      <c r="B1003" s="15" t="s">
        <v>175</v>
      </c>
      <c r="C1003" s="15" t="s">
        <v>267</v>
      </c>
    </row>
    <row r="1004" ht="22.5" customHeight="1">
      <c r="A1004" s="15">
        <v>30034.0</v>
      </c>
      <c r="B1004" s="15" t="s">
        <v>176</v>
      </c>
      <c r="C1004" s="15" t="s">
        <v>268</v>
      </c>
    </row>
    <row r="1005" ht="22.5" customHeight="1">
      <c r="A1005" s="15">
        <v>30035.0</v>
      </c>
      <c r="B1005" s="15" t="s">
        <v>177</v>
      </c>
      <c r="C1005" s="15" t="s">
        <v>269</v>
      </c>
    </row>
    <row r="1006" ht="22.5" customHeight="1">
      <c r="A1006" s="15">
        <v>1000000.0</v>
      </c>
      <c r="B1006" s="15" t="s">
        <v>109</v>
      </c>
      <c r="C1006" s="15" t="s">
        <v>193</v>
      </c>
    </row>
    <row r="1007" ht="22.5" customHeight="1">
      <c r="A1007" s="15">
        <v>1000001.0</v>
      </c>
      <c r="B1007" s="15" t="s">
        <v>110</v>
      </c>
      <c r="C1007" s="15" t="s">
        <v>194</v>
      </c>
    </row>
    <row r="1008" ht="22.5" customHeight="1">
      <c r="A1008" s="15">
        <v>1000002.0</v>
      </c>
      <c r="B1008" s="15" t="s">
        <v>111</v>
      </c>
      <c r="C1008" s="15" t="s">
        <v>195</v>
      </c>
    </row>
    <row r="1009" ht="22.5" customHeight="1">
      <c r="A1009" s="15">
        <v>1000003.0</v>
      </c>
      <c r="B1009" s="15" t="s">
        <v>183</v>
      </c>
      <c r="C1009" s="15" t="s">
        <v>183</v>
      </c>
    </row>
    <row r="1010" ht="22.5" customHeight="1">
      <c r="A1010" s="15">
        <v>1000004.0</v>
      </c>
      <c r="B1010" s="15" t="s">
        <v>183</v>
      </c>
      <c r="C1010" s="15" t="s">
        <v>183</v>
      </c>
    </row>
    <row r="1011" ht="22.5" customHeight="1">
      <c r="A1011" s="15">
        <v>1000005.0</v>
      </c>
      <c r="B1011" s="15" t="s">
        <v>183</v>
      </c>
      <c r="C1011" s="15" t="s">
        <v>183</v>
      </c>
    </row>
    <row r="1012" ht="22.5" customHeight="1">
      <c r="A1012" s="15">
        <v>1000006.0</v>
      </c>
      <c r="B1012" s="15" t="s">
        <v>183</v>
      </c>
      <c r="C1012" s="15" t="s">
        <v>183</v>
      </c>
    </row>
    <row r="1013" ht="22.5" customHeight="1">
      <c r="A1013" s="15">
        <v>1000007.0</v>
      </c>
      <c r="B1013" s="15" t="s">
        <v>183</v>
      </c>
      <c r="C1013" s="15" t="s">
        <v>183</v>
      </c>
    </row>
    <row r="1014" ht="22.5" customHeight="1">
      <c r="A1014" s="15">
        <v>1000008.0</v>
      </c>
      <c r="B1014" s="15" t="s">
        <v>183</v>
      </c>
      <c r="C1014" s="15" t="s">
        <v>183</v>
      </c>
    </row>
    <row r="1015" ht="22.5" customHeight="1">
      <c r="A1015" s="15">
        <v>1000009.0</v>
      </c>
      <c r="B1015" s="15" t="s">
        <v>183</v>
      </c>
      <c r="C1015" s="15" t="s">
        <v>183</v>
      </c>
    </row>
    <row r="1016" ht="22.5" customHeight="1">
      <c r="A1016" s="15">
        <v>1000010.0</v>
      </c>
      <c r="B1016" s="15" t="s">
        <v>109</v>
      </c>
      <c r="C1016" s="15" t="s">
        <v>193</v>
      </c>
    </row>
    <row r="1017" ht="22.5" customHeight="1">
      <c r="A1017" s="15">
        <v>1000011.0</v>
      </c>
      <c r="B1017" s="15" t="s">
        <v>110</v>
      </c>
      <c r="C1017" s="15" t="s">
        <v>194</v>
      </c>
    </row>
    <row r="1018" ht="22.5" customHeight="1">
      <c r="A1018" s="15">
        <v>1000012.0</v>
      </c>
      <c r="B1018" s="15" t="s">
        <v>111</v>
      </c>
      <c r="C1018" s="15" t="s">
        <v>195</v>
      </c>
    </row>
    <row r="1019" ht="22.5" customHeight="1">
      <c r="A1019" s="15">
        <v>1000013.0</v>
      </c>
      <c r="B1019" s="15" t="s">
        <v>183</v>
      </c>
      <c r="C1019" s="15" t="s">
        <v>183</v>
      </c>
    </row>
    <row r="1020" ht="22.5" customHeight="1">
      <c r="A1020" s="15">
        <v>1000014.0</v>
      </c>
      <c r="B1020" s="15" t="s">
        <v>183</v>
      </c>
      <c r="C1020" s="15" t="s">
        <v>183</v>
      </c>
    </row>
    <row r="1021" ht="22.5" customHeight="1">
      <c r="A1021" s="15">
        <v>1000015.0</v>
      </c>
      <c r="B1021" s="15" t="s">
        <v>183</v>
      </c>
      <c r="C1021" s="15" t="s">
        <v>183</v>
      </c>
    </row>
    <row r="1022" ht="22.5" customHeight="1">
      <c r="A1022" s="15">
        <v>1000016.0</v>
      </c>
      <c r="B1022" s="15" t="s">
        <v>183</v>
      </c>
      <c r="C1022" s="15" t="s">
        <v>183</v>
      </c>
    </row>
    <row r="1023" ht="22.5" customHeight="1">
      <c r="A1023" s="15">
        <v>1000017.0</v>
      </c>
      <c r="B1023" s="15" t="s">
        <v>183</v>
      </c>
      <c r="C1023" s="15" t="s">
        <v>183</v>
      </c>
    </row>
    <row r="1024" ht="22.5" customHeight="1">
      <c r="A1024" s="15">
        <v>1000018.0</v>
      </c>
      <c r="B1024" s="15" t="s">
        <v>183</v>
      </c>
      <c r="C1024" s="15" t="s">
        <v>183</v>
      </c>
    </row>
    <row r="1025" ht="22.5" customHeight="1">
      <c r="A1025" s="15">
        <v>1000019.0</v>
      </c>
      <c r="B1025" s="15" t="s">
        <v>183</v>
      </c>
      <c r="C1025" s="15" t="s">
        <v>183</v>
      </c>
    </row>
    <row r="1026" ht="22.5" customHeight="1">
      <c r="A1026" s="15">
        <v>1000020.0</v>
      </c>
      <c r="B1026" s="15" t="s">
        <v>109</v>
      </c>
      <c r="C1026" s="15" t="s">
        <v>193</v>
      </c>
    </row>
    <row r="1027" ht="22.5" customHeight="1">
      <c r="A1027" s="15">
        <v>1000021.0</v>
      </c>
      <c r="B1027" s="15" t="s">
        <v>110</v>
      </c>
      <c r="C1027" s="15" t="s">
        <v>194</v>
      </c>
    </row>
    <row r="1028" ht="22.5" customHeight="1">
      <c r="A1028" s="15">
        <v>1000022.0</v>
      </c>
      <c r="B1028" s="15" t="s">
        <v>111</v>
      </c>
      <c r="C1028" s="15" t="s">
        <v>195</v>
      </c>
    </row>
    <row r="1029" ht="22.5" customHeight="1">
      <c r="A1029" s="15">
        <v>1000100.0</v>
      </c>
      <c r="B1029" s="15" t="s">
        <v>112</v>
      </c>
      <c r="C1029" s="15" t="s">
        <v>196</v>
      </c>
    </row>
    <row r="1030" ht="22.5" customHeight="1">
      <c r="A1030" s="15">
        <v>1000101.0</v>
      </c>
      <c r="B1030" s="15" t="s">
        <v>113</v>
      </c>
      <c r="C1030" s="15" t="s">
        <v>197</v>
      </c>
    </row>
    <row r="1031" ht="22.5" customHeight="1">
      <c r="A1031" s="15">
        <v>1000102.0</v>
      </c>
      <c r="B1031" s="15" t="s">
        <v>114</v>
      </c>
      <c r="C1031" s="15" t="s">
        <v>198</v>
      </c>
    </row>
    <row r="1032" ht="22.5" customHeight="1">
      <c r="A1032" s="15">
        <v>1000103.0</v>
      </c>
      <c r="B1032" s="15" t="s">
        <v>183</v>
      </c>
      <c r="C1032" s="15" t="s">
        <v>183</v>
      </c>
    </row>
    <row r="1033" ht="22.5" customHeight="1">
      <c r="A1033" s="15">
        <v>1000104.0</v>
      </c>
      <c r="B1033" s="15" t="s">
        <v>183</v>
      </c>
      <c r="C1033" s="15" t="s">
        <v>183</v>
      </c>
    </row>
    <row r="1034" ht="22.5" customHeight="1">
      <c r="A1034" s="15">
        <v>1000105.0</v>
      </c>
      <c r="B1034" s="15" t="s">
        <v>183</v>
      </c>
      <c r="C1034" s="15" t="s">
        <v>183</v>
      </c>
    </row>
    <row r="1035" ht="22.5" customHeight="1">
      <c r="A1035" s="15">
        <v>1000106.0</v>
      </c>
      <c r="B1035" s="15" t="s">
        <v>183</v>
      </c>
      <c r="C1035" s="15" t="s">
        <v>183</v>
      </c>
    </row>
    <row r="1036" ht="22.5" customHeight="1">
      <c r="A1036" s="15">
        <v>1000107.0</v>
      </c>
      <c r="B1036" s="15" t="s">
        <v>183</v>
      </c>
      <c r="C1036" s="15" t="s">
        <v>183</v>
      </c>
    </row>
    <row r="1037" ht="22.5" customHeight="1">
      <c r="A1037" s="15">
        <v>1000108.0</v>
      </c>
      <c r="B1037" s="15" t="s">
        <v>183</v>
      </c>
      <c r="C1037" s="15" t="s">
        <v>183</v>
      </c>
    </row>
    <row r="1038" ht="22.5" customHeight="1">
      <c r="A1038" s="15">
        <v>1000109.0</v>
      </c>
      <c r="B1038" s="15" t="s">
        <v>183</v>
      </c>
      <c r="C1038" s="15" t="s">
        <v>183</v>
      </c>
    </row>
    <row r="1039" ht="22.5" customHeight="1">
      <c r="A1039" s="15">
        <v>1000110.0</v>
      </c>
      <c r="B1039" s="15" t="s">
        <v>112</v>
      </c>
      <c r="C1039" s="15" t="s">
        <v>196</v>
      </c>
    </row>
    <row r="1040" ht="22.5" customHeight="1">
      <c r="A1040" s="15">
        <v>1000111.0</v>
      </c>
      <c r="B1040" s="15" t="s">
        <v>113</v>
      </c>
      <c r="C1040" s="15" t="s">
        <v>197</v>
      </c>
    </row>
    <row r="1041" ht="22.5" customHeight="1">
      <c r="A1041" s="15">
        <v>1000112.0</v>
      </c>
      <c r="B1041" s="15" t="s">
        <v>114</v>
      </c>
      <c r="C1041" s="15" t="s">
        <v>198</v>
      </c>
    </row>
    <row r="1042" ht="22.5" customHeight="1">
      <c r="A1042" s="15">
        <v>1000113.0</v>
      </c>
      <c r="B1042" s="15" t="s">
        <v>183</v>
      </c>
      <c r="C1042" s="15" t="s">
        <v>183</v>
      </c>
    </row>
    <row r="1043" ht="22.5" customHeight="1">
      <c r="A1043" s="15">
        <v>1000114.0</v>
      </c>
      <c r="B1043" s="15" t="s">
        <v>183</v>
      </c>
      <c r="C1043" s="15" t="s">
        <v>183</v>
      </c>
    </row>
    <row r="1044" ht="22.5" customHeight="1">
      <c r="A1044" s="15">
        <v>1000115.0</v>
      </c>
      <c r="B1044" s="15" t="s">
        <v>183</v>
      </c>
      <c r="C1044" s="15" t="s">
        <v>183</v>
      </c>
    </row>
    <row r="1045" ht="22.5" customHeight="1">
      <c r="A1045" s="15">
        <v>1000116.0</v>
      </c>
      <c r="B1045" s="15" t="s">
        <v>183</v>
      </c>
      <c r="C1045" s="15" t="s">
        <v>183</v>
      </c>
    </row>
    <row r="1046" ht="22.5" customHeight="1">
      <c r="A1046" s="15">
        <v>1000117.0</v>
      </c>
      <c r="B1046" s="15" t="s">
        <v>183</v>
      </c>
      <c r="C1046" s="15" t="s">
        <v>183</v>
      </c>
    </row>
    <row r="1047" ht="22.5" customHeight="1">
      <c r="A1047" s="15">
        <v>1000118.0</v>
      </c>
      <c r="B1047" s="15" t="s">
        <v>183</v>
      </c>
      <c r="C1047" s="15" t="s">
        <v>183</v>
      </c>
    </row>
    <row r="1048" ht="22.5" customHeight="1">
      <c r="A1048" s="15">
        <v>1000119.0</v>
      </c>
      <c r="B1048" s="15" t="s">
        <v>183</v>
      </c>
      <c r="C1048" s="15" t="s">
        <v>183</v>
      </c>
    </row>
    <row r="1049" ht="22.5" customHeight="1">
      <c r="A1049" s="15">
        <v>1000120.0</v>
      </c>
      <c r="B1049" s="15" t="s">
        <v>112</v>
      </c>
      <c r="C1049" s="15" t="s">
        <v>196</v>
      </c>
    </row>
    <row r="1050" ht="22.5" customHeight="1">
      <c r="A1050" s="15">
        <v>1000121.0</v>
      </c>
      <c r="B1050" s="15" t="s">
        <v>113</v>
      </c>
      <c r="C1050" s="15" t="s">
        <v>197</v>
      </c>
    </row>
    <row r="1051" ht="22.5" customHeight="1">
      <c r="A1051" s="15">
        <v>1000122.0</v>
      </c>
      <c r="B1051" s="15" t="s">
        <v>114</v>
      </c>
      <c r="C1051" s="15" t="s">
        <v>198</v>
      </c>
    </row>
    <row r="1052" ht="22.5" customHeight="1">
      <c r="A1052" s="15">
        <v>1000200.0</v>
      </c>
      <c r="B1052" s="15" t="s">
        <v>115</v>
      </c>
      <c r="C1052" s="15" t="s">
        <v>199</v>
      </c>
    </row>
    <row r="1053" ht="22.5" customHeight="1">
      <c r="A1053" s="15">
        <v>1000201.0</v>
      </c>
      <c r="B1053" s="15" t="s">
        <v>116</v>
      </c>
      <c r="C1053" s="15" t="s">
        <v>200</v>
      </c>
    </row>
    <row r="1054" ht="22.5" customHeight="1">
      <c r="A1054" s="15">
        <v>1000202.0</v>
      </c>
      <c r="B1054" s="15" t="s">
        <v>117</v>
      </c>
      <c r="C1054" s="15" t="s">
        <v>201</v>
      </c>
    </row>
    <row r="1055" ht="22.5" customHeight="1">
      <c r="A1055" s="15">
        <v>1000203.0</v>
      </c>
      <c r="B1055" s="15" t="s">
        <v>183</v>
      </c>
      <c r="C1055" s="15" t="s">
        <v>183</v>
      </c>
    </row>
    <row r="1056" ht="22.5" customHeight="1">
      <c r="A1056" s="15">
        <v>1000204.0</v>
      </c>
      <c r="B1056" s="15" t="s">
        <v>183</v>
      </c>
      <c r="C1056" s="15" t="s">
        <v>183</v>
      </c>
    </row>
    <row r="1057" ht="22.5" customHeight="1">
      <c r="A1057" s="15">
        <v>1000205.0</v>
      </c>
      <c r="B1057" s="15" t="s">
        <v>183</v>
      </c>
      <c r="C1057" s="15" t="s">
        <v>183</v>
      </c>
    </row>
    <row r="1058" ht="22.5" customHeight="1">
      <c r="A1058" s="15">
        <v>1000206.0</v>
      </c>
      <c r="B1058" s="15" t="s">
        <v>183</v>
      </c>
      <c r="C1058" s="15" t="s">
        <v>183</v>
      </c>
    </row>
    <row r="1059" ht="22.5" customHeight="1">
      <c r="A1059" s="15">
        <v>1000207.0</v>
      </c>
      <c r="B1059" s="15" t="s">
        <v>183</v>
      </c>
      <c r="C1059" s="15" t="s">
        <v>183</v>
      </c>
    </row>
    <row r="1060" ht="22.5" customHeight="1">
      <c r="A1060" s="15">
        <v>1000208.0</v>
      </c>
      <c r="B1060" s="15" t="s">
        <v>183</v>
      </c>
      <c r="C1060" s="15" t="s">
        <v>183</v>
      </c>
    </row>
    <row r="1061" ht="22.5" customHeight="1">
      <c r="A1061" s="15">
        <v>1000209.0</v>
      </c>
      <c r="B1061" s="15" t="s">
        <v>183</v>
      </c>
      <c r="C1061" s="15" t="s">
        <v>183</v>
      </c>
    </row>
    <row r="1062" ht="22.5" customHeight="1">
      <c r="A1062" s="15">
        <v>1000210.0</v>
      </c>
      <c r="B1062" s="15" t="s">
        <v>115</v>
      </c>
      <c r="C1062" s="15" t="s">
        <v>199</v>
      </c>
    </row>
    <row r="1063" ht="22.5" customHeight="1">
      <c r="A1063" s="15">
        <v>1000211.0</v>
      </c>
      <c r="B1063" s="15" t="s">
        <v>116</v>
      </c>
      <c r="C1063" s="15" t="s">
        <v>200</v>
      </c>
    </row>
    <row r="1064" ht="22.5" customHeight="1">
      <c r="A1064" s="15">
        <v>1000212.0</v>
      </c>
      <c r="B1064" s="15" t="s">
        <v>117</v>
      </c>
      <c r="C1064" s="15" t="s">
        <v>201</v>
      </c>
    </row>
    <row r="1065" ht="22.5" customHeight="1">
      <c r="A1065" s="15">
        <v>1000213.0</v>
      </c>
      <c r="B1065" s="15" t="s">
        <v>183</v>
      </c>
      <c r="C1065" s="15" t="s">
        <v>183</v>
      </c>
    </row>
    <row r="1066" ht="22.5" customHeight="1">
      <c r="A1066" s="15">
        <v>1000214.0</v>
      </c>
      <c r="B1066" s="15" t="s">
        <v>183</v>
      </c>
      <c r="C1066" s="15" t="s">
        <v>183</v>
      </c>
    </row>
    <row r="1067" ht="22.5" customHeight="1">
      <c r="A1067" s="15">
        <v>1000215.0</v>
      </c>
      <c r="B1067" s="15" t="s">
        <v>183</v>
      </c>
      <c r="C1067" s="15" t="s">
        <v>183</v>
      </c>
    </row>
    <row r="1068" ht="22.5" customHeight="1">
      <c r="A1068" s="15">
        <v>1000216.0</v>
      </c>
      <c r="B1068" s="15" t="s">
        <v>183</v>
      </c>
      <c r="C1068" s="15" t="s">
        <v>183</v>
      </c>
    </row>
    <row r="1069" ht="22.5" customHeight="1">
      <c r="A1069" s="15">
        <v>1000217.0</v>
      </c>
      <c r="B1069" s="15" t="s">
        <v>183</v>
      </c>
      <c r="C1069" s="15" t="s">
        <v>183</v>
      </c>
    </row>
    <row r="1070" ht="22.5" customHeight="1">
      <c r="A1070" s="15">
        <v>1000218.0</v>
      </c>
      <c r="B1070" s="15" t="s">
        <v>183</v>
      </c>
      <c r="C1070" s="15" t="s">
        <v>183</v>
      </c>
    </row>
    <row r="1071" ht="22.5" customHeight="1">
      <c r="A1071" s="15">
        <v>1000219.0</v>
      </c>
      <c r="B1071" s="15" t="s">
        <v>183</v>
      </c>
      <c r="C1071" s="15" t="s">
        <v>183</v>
      </c>
    </row>
    <row r="1072" ht="22.5" customHeight="1">
      <c r="A1072" s="15">
        <v>1000220.0</v>
      </c>
      <c r="B1072" s="15" t="s">
        <v>115</v>
      </c>
      <c r="C1072" s="15" t="s">
        <v>199</v>
      </c>
    </row>
    <row r="1073" ht="22.5" customHeight="1">
      <c r="A1073" s="15">
        <v>1000221.0</v>
      </c>
      <c r="B1073" s="15" t="s">
        <v>116</v>
      </c>
      <c r="C1073" s="15" t="s">
        <v>200</v>
      </c>
    </row>
    <row r="1074" ht="22.5" customHeight="1">
      <c r="A1074" s="15">
        <v>1000222.0</v>
      </c>
      <c r="B1074" s="15" t="s">
        <v>117</v>
      </c>
      <c r="C1074" s="15" t="s">
        <v>201</v>
      </c>
    </row>
    <row r="1075" ht="22.5" customHeight="1">
      <c r="A1075" s="15">
        <v>1000300.0</v>
      </c>
      <c r="B1075" s="15" t="s">
        <v>118</v>
      </c>
      <c r="C1075" s="15" t="s">
        <v>202</v>
      </c>
    </row>
    <row r="1076" ht="22.5" customHeight="1">
      <c r="A1076" s="15">
        <v>1000301.0</v>
      </c>
      <c r="B1076" s="15" t="s">
        <v>119</v>
      </c>
      <c r="C1076" s="15" t="s">
        <v>203</v>
      </c>
    </row>
    <row r="1077" ht="22.5" customHeight="1">
      <c r="A1077" s="15">
        <v>1000302.0</v>
      </c>
      <c r="B1077" s="15" t="s">
        <v>120</v>
      </c>
      <c r="C1077" s="15" t="s">
        <v>204</v>
      </c>
    </row>
    <row r="1078" ht="22.5" customHeight="1">
      <c r="A1078" s="15">
        <v>1000303.0</v>
      </c>
      <c r="B1078" s="15" t="s">
        <v>183</v>
      </c>
      <c r="C1078" s="15" t="s">
        <v>183</v>
      </c>
    </row>
    <row r="1079" ht="22.5" customHeight="1">
      <c r="A1079" s="15">
        <v>1000304.0</v>
      </c>
      <c r="B1079" s="15" t="s">
        <v>183</v>
      </c>
      <c r="C1079" s="15" t="s">
        <v>183</v>
      </c>
    </row>
    <row r="1080" ht="22.5" customHeight="1">
      <c r="A1080" s="15">
        <v>1000305.0</v>
      </c>
      <c r="B1080" s="15" t="s">
        <v>183</v>
      </c>
      <c r="C1080" s="15" t="s">
        <v>183</v>
      </c>
    </row>
    <row r="1081" ht="22.5" customHeight="1">
      <c r="A1081" s="15">
        <v>1000306.0</v>
      </c>
      <c r="B1081" s="15" t="s">
        <v>183</v>
      </c>
      <c r="C1081" s="15" t="s">
        <v>183</v>
      </c>
    </row>
    <row r="1082" ht="22.5" customHeight="1">
      <c r="A1082" s="15">
        <v>1000307.0</v>
      </c>
      <c r="B1082" s="15" t="s">
        <v>183</v>
      </c>
      <c r="C1082" s="15" t="s">
        <v>183</v>
      </c>
    </row>
    <row r="1083" ht="22.5" customHeight="1">
      <c r="A1083" s="15">
        <v>1000308.0</v>
      </c>
      <c r="B1083" s="15" t="s">
        <v>183</v>
      </c>
      <c r="C1083" s="15" t="s">
        <v>183</v>
      </c>
    </row>
    <row r="1084" ht="22.5" customHeight="1">
      <c r="A1084" s="15">
        <v>1000309.0</v>
      </c>
      <c r="B1084" s="15" t="s">
        <v>183</v>
      </c>
      <c r="C1084" s="15" t="s">
        <v>183</v>
      </c>
    </row>
    <row r="1085" ht="22.5" customHeight="1">
      <c r="A1085" s="15">
        <v>1000310.0</v>
      </c>
      <c r="B1085" s="15" t="s">
        <v>118</v>
      </c>
      <c r="C1085" s="15" t="s">
        <v>202</v>
      </c>
    </row>
    <row r="1086" ht="22.5" customHeight="1">
      <c r="A1086" s="15">
        <v>1000311.0</v>
      </c>
      <c r="B1086" s="15" t="s">
        <v>119</v>
      </c>
      <c r="C1086" s="15" t="s">
        <v>203</v>
      </c>
    </row>
    <row r="1087" ht="22.5" customHeight="1">
      <c r="A1087" s="15">
        <v>1000312.0</v>
      </c>
      <c r="B1087" s="15" t="s">
        <v>120</v>
      </c>
      <c r="C1087" s="15" t="s">
        <v>204</v>
      </c>
    </row>
    <row r="1088" ht="22.5" customHeight="1">
      <c r="A1088" s="15">
        <v>1000313.0</v>
      </c>
      <c r="B1088" s="15" t="s">
        <v>183</v>
      </c>
      <c r="C1088" s="15" t="s">
        <v>183</v>
      </c>
    </row>
    <row r="1089" ht="22.5" customHeight="1">
      <c r="A1089" s="15">
        <v>1000314.0</v>
      </c>
      <c r="B1089" s="15" t="s">
        <v>183</v>
      </c>
      <c r="C1089" s="15" t="s">
        <v>183</v>
      </c>
    </row>
    <row r="1090" ht="22.5" customHeight="1">
      <c r="A1090" s="15">
        <v>1000315.0</v>
      </c>
      <c r="B1090" s="15" t="s">
        <v>183</v>
      </c>
      <c r="C1090" s="15" t="s">
        <v>183</v>
      </c>
    </row>
    <row r="1091" ht="22.5" customHeight="1">
      <c r="A1091" s="15">
        <v>1000316.0</v>
      </c>
      <c r="B1091" s="15" t="s">
        <v>183</v>
      </c>
      <c r="C1091" s="15" t="s">
        <v>183</v>
      </c>
    </row>
    <row r="1092" ht="22.5" customHeight="1">
      <c r="A1092" s="15">
        <v>1000317.0</v>
      </c>
      <c r="B1092" s="15" t="s">
        <v>183</v>
      </c>
      <c r="C1092" s="15" t="s">
        <v>183</v>
      </c>
    </row>
    <row r="1093" ht="22.5" customHeight="1">
      <c r="A1093" s="15">
        <v>1000318.0</v>
      </c>
      <c r="B1093" s="15" t="s">
        <v>183</v>
      </c>
      <c r="C1093" s="15" t="s">
        <v>183</v>
      </c>
    </row>
    <row r="1094" ht="22.5" customHeight="1">
      <c r="A1094" s="15">
        <v>1000319.0</v>
      </c>
      <c r="B1094" s="15" t="s">
        <v>183</v>
      </c>
      <c r="C1094" s="15" t="s">
        <v>183</v>
      </c>
    </row>
    <row r="1095" ht="22.5" customHeight="1">
      <c r="A1095" s="15">
        <v>1000320.0</v>
      </c>
      <c r="B1095" s="15" t="s">
        <v>118</v>
      </c>
      <c r="C1095" s="15" t="s">
        <v>202</v>
      </c>
    </row>
    <row r="1096" ht="22.5" customHeight="1">
      <c r="A1096" s="15">
        <v>1000321.0</v>
      </c>
      <c r="B1096" s="15" t="s">
        <v>119</v>
      </c>
      <c r="C1096" s="15" t="s">
        <v>203</v>
      </c>
    </row>
    <row r="1097" ht="22.5" customHeight="1">
      <c r="A1097" s="15">
        <v>1000322.0</v>
      </c>
      <c r="B1097" s="15" t="s">
        <v>120</v>
      </c>
      <c r="C1097" s="15" t="s">
        <v>204</v>
      </c>
    </row>
    <row r="1098" ht="22.5" customHeight="1">
      <c r="A1098" s="15">
        <v>1001000.0</v>
      </c>
      <c r="B1098" s="15" t="s">
        <v>109</v>
      </c>
      <c r="C1098" s="15" t="s">
        <v>193</v>
      </c>
    </row>
    <row r="1099" ht="22.5" customHeight="1">
      <c r="A1099" s="15">
        <v>1001001.0</v>
      </c>
      <c r="B1099" s="15" t="s">
        <v>110</v>
      </c>
      <c r="C1099" s="15" t="s">
        <v>194</v>
      </c>
    </row>
    <row r="1100" ht="22.5" customHeight="1">
      <c r="A1100" s="15">
        <v>1001002.0</v>
      </c>
      <c r="B1100" s="15" t="s">
        <v>111</v>
      </c>
      <c r="C1100" s="15" t="s">
        <v>195</v>
      </c>
    </row>
    <row r="1101" ht="22.5" customHeight="1">
      <c r="A1101" s="15">
        <v>1001003.0</v>
      </c>
      <c r="B1101" s="15" t="s">
        <v>183</v>
      </c>
      <c r="C1101" s="15" t="s">
        <v>183</v>
      </c>
    </row>
    <row r="1102" ht="22.5" customHeight="1">
      <c r="A1102" s="15">
        <v>1001004.0</v>
      </c>
      <c r="B1102" s="15" t="s">
        <v>183</v>
      </c>
      <c r="C1102" s="15" t="s">
        <v>183</v>
      </c>
    </row>
    <row r="1103" ht="22.5" customHeight="1">
      <c r="A1103" s="15">
        <v>1001005.0</v>
      </c>
      <c r="B1103" s="15" t="s">
        <v>183</v>
      </c>
      <c r="C1103" s="15" t="s">
        <v>183</v>
      </c>
    </row>
    <row r="1104" ht="22.5" customHeight="1">
      <c r="A1104" s="15">
        <v>1001006.0</v>
      </c>
      <c r="B1104" s="15" t="s">
        <v>183</v>
      </c>
      <c r="C1104" s="15" t="s">
        <v>183</v>
      </c>
    </row>
    <row r="1105" ht="22.5" customHeight="1">
      <c r="A1105" s="15">
        <v>1001007.0</v>
      </c>
      <c r="B1105" s="15" t="s">
        <v>183</v>
      </c>
      <c r="C1105" s="15" t="s">
        <v>183</v>
      </c>
    </row>
    <row r="1106" ht="22.5" customHeight="1">
      <c r="A1106" s="15">
        <v>1001008.0</v>
      </c>
      <c r="B1106" s="15" t="s">
        <v>183</v>
      </c>
      <c r="C1106" s="15" t="s">
        <v>183</v>
      </c>
    </row>
    <row r="1107" ht="22.5" customHeight="1">
      <c r="A1107" s="15">
        <v>1001009.0</v>
      </c>
      <c r="B1107" s="15" t="s">
        <v>183</v>
      </c>
      <c r="C1107" s="15" t="s">
        <v>183</v>
      </c>
    </row>
    <row r="1108" ht="22.5" customHeight="1">
      <c r="A1108" s="15">
        <v>1001010.0</v>
      </c>
      <c r="B1108" s="15" t="s">
        <v>109</v>
      </c>
      <c r="C1108" s="15" t="s">
        <v>193</v>
      </c>
    </row>
    <row r="1109" ht="22.5" customHeight="1">
      <c r="A1109" s="15">
        <v>1001011.0</v>
      </c>
      <c r="B1109" s="15" t="s">
        <v>110</v>
      </c>
      <c r="C1109" s="15" t="s">
        <v>194</v>
      </c>
    </row>
    <row r="1110" ht="22.5" customHeight="1">
      <c r="A1110" s="15">
        <v>1001012.0</v>
      </c>
      <c r="B1110" s="15" t="s">
        <v>111</v>
      </c>
      <c r="C1110" s="15" t="s">
        <v>195</v>
      </c>
    </row>
    <row r="1111" ht="22.5" customHeight="1">
      <c r="A1111" s="15">
        <v>1001013.0</v>
      </c>
      <c r="B1111" s="15" t="s">
        <v>183</v>
      </c>
      <c r="C1111" s="15" t="s">
        <v>183</v>
      </c>
    </row>
    <row r="1112" ht="22.5" customHeight="1">
      <c r="A1112" s="15">
        <v>1001014.0</v>
      </c>
      <c r="B1112" s="15" t="s">
        <v>183</v>
      </c>
      <c r="C1112" s="15" t="s">
        <v>183</v>
      </c>
    </row>
    <row r="1113" ht="22.5" customHeight="1">
      <c r="A1113" s="15">
        <v>1001015.0</v>
      </c>
      <c r="B1113" s="15" t="s">
        <v>183</v>
      </c>
      <c r="C1113" s="15" t="s">
        <v>183</v>
      </c>
    </row>
    <row r="1114" ht="22.5" customHeight="1">
      <c r="A1114" s="15">
        <v>1001016.0</v>
      </c>
      <c r="B1114" s="15" t="s">
        <v>183</v>
      </c>
      <c r="C1114" s="15" t="s">
        <v>183</v>
      </c>
    </row>
    <row r="1115" ht="22.5" customHeight="1">
      <c r="A1115" s="15">
        <v>1001017.0</v>
      </c>
      <c r="B1115" s="15" t="s">
        <v>183</v>
      </c>
      <c r="C1115" s="15" t="s">
        <v>183</v>
      </c>
    </row>
    <row r="1116" ht="22.5" customHeight="1">
      <c r="A1116" s="15">
        <v>1001018.0</v>
      </c>
      <c r="B1116" s="15" t="s">
        <v>183</v>
      </c>
      <c r="C1116" s="15" t="s">
        <v>183</v>
      </c>
    </row>
    <row r="1117" ht="22.5" customHeight="1">
      <c r="A1117" s="15">
        <v>1001019.0</v>
      </c>
      <c r="B1117" s="15" t="s">
        <v>183</v>
      </c>
      <c r="C1117" s="15" t="s">
        <v>183</v>
      </c>
    </row>
    <row r="1118" ht="22.5" customHeight="1">
      <c r="A1118" s="15">
        <v>1001020.0</v>
      </c>
      <c r="B1118" s="15" t="s">
        <v>109</v>
      </c>
      <c r="C1118" s="15" t="s">
        <v>193</v>
      </c>
    </row>
    <row r="1119" ht="22.5" customHeight="1">
      <c r="A1119" s="15">
        <v>1001021.0</v>
      </c>
      <c r="B1119" s="15" t="s">
        <v>110</v>
      </c>
      <c r="C1119" s="15" t="s">
        <v>194</v>
      </c>
    </row>
    <row r="1120" ht="22.5" customHeight="1">
      <c r="A1120" s="15">
        <v>1001022.0</v>
      </c>
      <c r="B1120" s="15" t="s">
        <v>111</v>
      </c>
      <c r="C1120" s="15" t="s">
        <v>195</v>
      </c>
    </row>
    <row r="1121" ht="22.5" customHeight="1">
      <c r="A1121" s="15">
        <v>1001100.0</v>
      </c>
      <c r="B1121" s="15" t="s">
        <v>112</v>
      </c>
      <c r="C1121" s="15" t="s">
        <v>196</v>
      </c>
    </row>
    <row r="1122" ht="22.5" customHeight="1">
      <c r="A1122" s="15">
        <v>1001101.0</v>
      </c>
      <c r="B1122" s="15" t="s">
        <v>113</v>
      </c>
      <c r="C1122" s="15" t="s">
        <v>197</v>
      </c>
    </row>
    <row r="1123" ht="22.5" customHeight="1">
      <c r="A1123" s="15">
        <v>1001102.0</v>
      </c>
      <c r="B1123" s="15" t="s">
        <v>114</v>
      </c>
      <c r="C1123" s="15" t="s">
        <v>198</v>
      </c>
    </row>
    <row r="1124" ht="22.5" customHeight="1">
      <c r="A1124" s="15">
        <v>1001103.0</v>
      </c>
      <c r="B1124" s="15" t="s">
        <v>183</v>
      </c>
      <c r="C1124" s="15" t="s">
        <v>183</v>
      </c>
    </row>
    <row r="1125" ht="22.5" customHeight="1">
      <c r="A1125" s="15">
        <v>1001104.0</v>
      </c>
      <c r="B1125" s="15" t="s">
        <v>183</v>
      </c>
      <c r="C1125" s="15" t="s">
        <v>183</v>
      </c>
    </row>
    <row r="1126" ht="22.5" customHeight="1">
      <c r="A1126" s="15">
        <v>1001105.0</v>
      </c>
      <c r="B1126" s="15" t="s">
        <v>183</v>
      </c>
      <c r="C1126" s="15" t="s">
        <v>183</v>
      </c>
    </row>
    <row r="1127" ht="22.5" customHeight="1">
      <c r="A1127" s="15">
        <v>1001106.0</v>
      </c>
      <c r="B1127" s="15" t="s">
        <v>183</v>
      </c>
      <c r="C1127" s="15" t="s">
        <v>183</v>
      </c>
    </row>
    <row r="1128" ht="22.5" customHeight="1">
      <c r="A1128" s="15">
        <v>1001107.0</v>
      </c>
      <c r="B1128" s="15" t="s">
        <v>183</v>
      </c>
      <c r="C1128" s="15" t="s">
        <v>183</v>
      </c>
    </row>
    <row r="1129" ht="22.5" customHeight="1">
      <c r="A1129" s="15">
        <v>1001108.0</v>
      </c>
      <c r="B1129" s="15" t="s">
        <v>183</v>
      </c>
      <c r="C1129" s="15" t="s">
        <v>183</v>
      </c>
    </row>
    <row r="1130" ht="22.5" customHeight="1">
      <c r="A1130" s="15">
        <v>1001109.0</v>
      </c>
      <c r="B1130" s="15" t="s">
        <v>183</v>
      </c>
      <c r="C1130" s="15" t="s">
        <v>183</v>
      </c>
    </row>
    <row r="1131" ht="22.5" customHeight="1">
      <c r="A1131" s="15">
        <v>1001110.0</v>
      </c>
      <c r="B1131" s="15" t="s">
        <v>112</v>
      </c>
      <c r="C1131" s="15" t="s">
        <v>196</v>
      </c>
    </row>
    <row r="1132" ht="22.5" customHeight="1">
      <c r="A1132" s="15">
        <v>1001111.0</v>
      </c>
      <c r="B1132" s="15" t="s">
        <v>113</v>
      </c>
      <c r="C1132" s="15" t="s">
        <v>197</v>
      </c>
    </row>
    <row r="1133" ht="22.5" customHeight="1">
      <c r="A1133" s="15">
        <v>1001112.0</v>
      </c>
      <c r="B1133" s="15" t="s">
        <v>114</v>
      </c>
      <c r="C1133" s="15" t="s">
        <v>198</v>
      </c>
    </row>
    <row r="1134" ht="22.5" customHeight="1">
      <c r="A1134" s="15">
        <v>1001113.0</v>
      </c>
      <c r="B1134" s="15" t="s">
        <v>183</v>
      </c>
      <c r="C1134" s="15" t="s">
        <v>183</v>
      </c>
    </row>
    <row r="1135" ht="22.5" customHeight="1">
      <c r="A1135" s="15">
        <v>1001114.0</v>
      </c>
      <c r="B1135" s="15" t="s">
        <v>183</v>
      </c>
      <c r="C1135" s="15" t="s">
        <v>183</v>
      </c>
    </row>
    <row r="1136" ht="22.5" customHeight="1">
      <c r="A1136" s="15">
        <v>1001115.0</v>
      </c>
      <c r="B1136" s="15" t="s">
        <v>183</v>
      </c>
      <c r="C1136" s="15" t="s">
        <v>183</v>
      </c>
    </row>
    <row r="1137" ht="22.5" customHeight="1">
      <c r="A1137" s="15">
        <v>1001116.0</v>
      </c>
      <c r="B1137" s="15" t="s">
        <v>183</v>
      </c>
      <c r="C1137" s="15" t="s">
        <v>183</v>
      </c>
    </row>
    <row r="1138" ht="22.5" customHeight="1">
      <c r="A1138" s="15">
        <v>1001117.0</v>
      </c>
      <c r="B1138" s="15" t="s">
        <v>183</v>
      </c>
      <c r="C1138" s="15" t="s">
        <v>183</v>
      </c>
    </row>
    <row r="1139" ht="22.5" customHeight="1">
      <c r="A1139" s="15">
        <v>1001118.0</v>
      </c>
      <c r="B1139" s="15" t="s">
        <v>183</v>
      </c>
      <c r="C1139" s="15" t="s">
        <v>183</v>
      </c>
    </row>
    <row r="1140" ht="22.5" customHeight="1">
      <c r="A1140" s="15">
        <v>1001119.0</v>
      </c>
      <c r="B1140" s="15" t="s">
        <v>183</v>
      </c>
      <c r="C1140" s="15" t="s">
        <v>183</v>
      </c>
    </row>
    <row r="1141" ht="22.5" customHeight="1">
      <c r="A1141" s="15">
        <v>1001120.0</v>
      </c>
      <c r="B1141" s="15" t="s">
        <v>112</v>
      </c>
      <c r="C1141" s="15" t="s">
        <v>196</v>
      </c>
    </row>
    <row r="1142" ht="22.5" customHeight="1">
      <c r="A1142" s="15">
        <v>1001121.0</v>
      </c>
      <c r="B1142" s="15" t="s">
        <v>113</v>
      </c>
      <c r="C1142" s="15" t="s">
        <v>197</v>
      </c>
    </row>
    <row r="1143" ht="22.5" customHeight="1">
      <c r="A1143" s="15">
        <v>1001122.0</v>
      </c>
      <c r="B1143" s="15" t="s">
        <v>114</v>
      </c>
      <c r="C1143" s="15" t="s">
        <v>198</v>
      </c>
    </row>
    <row r="1144" ht="22.5" customHeight="1">
      <c r="A1144" s="15">
        <v>1001200.0</v>
      </c>
      <c r="B1144" s="15" t="s">
        <v>115</v>
      </c>
      <c r="C1144" s="15" t="s">
        <v>199</v>
      </c>
    </row>
    <row r="1145" ht="22.5" customHeight="1">
      <c r="A1145" s="15">
        <v>1001201.0</v>
      </c>
      <c r="B1145" s="15" t="s">
        <v>116</v>
      </c>
      <c r="C1145" s="15" t="s">
        <v>200</v>
      </c>
    </row>
    <row r="1146" ht="22.5" customHeight="1">
      <c r="A1146" s="15">
        <v>1001202.0</v>
      </c>
      <c r="B1146" s="15" t="s">
        <v>117</v>
      </c>
      <c r="C1146" s="15" t="s">
        <v>201</v>
      </c>
    </row>
    <row r="1147" ht="22.5" customHeight="1">
      <c r="A1147" s="15">
        <v>1001203.0</v>
      </c>
      <c r="B1147" s="15" t="s">
        <v>183</v>
      </c>
      <c r="C1147" s="15" t="s">
        <v>183</v>
      </c>
    </row>
    <row r="1148" ht="22.5" customHeight="1">
      <c r="A1148" s="15">
        <v>1001204.0</v>
      </c>
      <c r="B1148" s="15" t="s">
        <v>183</v>
      </c>
      <c r="C1148" s="15" t="s">
        <v>183</v>
      </c>
    </row>
    <row r="1149" ht="22.5" customHeight="1">
      <c r="A1149" s="15">
        <v>1001205.0</v>
      </c>
      <c r="B1149" s="15" t="s">
        <v>183</v>
      </c>
      <c r="C1149" s="15" t="s">
        <v>183</v>
      </c>
    </row>
    <row r="1150" ht="22.5" customHeight="1">
      <c r="A1150" s="15">
        <v>1001206.0</v>
      </c>
      <c r="B1150" s="15" t="s">
        <v>183</v>
      </c>
      <c r="C1150" s="15" t="s">
        <v>183</v>
      </c>
    </row>
    <row r="1151" ht="22.5" customHeight="1">
      <c r="A1151" s="15">
        <v>1001207.0</v>
      </c>
      <c r="B1151" s="15" t="s">
        <v>183</v>
      </c>
      <c r="C1151" s="15" t="s">
        <v>183</v>
      </c>
    </row>
    <row r="1152" ht="22.5" customHeight="1">
      <c r="A1152" s="15">
        <v>1001208.0</v>
      </c>
      <c r="B1152" s="15" t="s">
        <v>183</v>
      </c>
      <c r="C1152" s="15" t="s">
        <v>183</v>
      </c>
    </row>
    <row r="1153" ht="22.5" customHeight="1">
      <c r="A1153" s="15">
        <v>1001209.0</v>
      </c>
      <c r="B1153" s="15" t="s">
        <v>183</v>
      </c>
      <c r="C1153" s="15" t="s">
        <v>183</v>
      </c>
    </row>
    <row r="1154" ht="22.5" customHeight="1">
      <c r="A1154" s="15">
        <v>1001210.0</v>
      </c>
      <c r="B1154" s="15" t="s">
        <v>115</v>
      </c>
      <c r="C1154" s="15" t="s">
        <v>199</v>
      </c>
    </row>
    <row r="1155" ht="22.5" customHeight="1">
      <c r="A1155" s="15">
        <v>1001211.0</v>
      </c>
      <c r="B1155" s="15" t="s">
        <v>116</v>
      </c>
      <c r="C1155" s="15" t="s">
        <v>200</v>
      </c>
    </row>
    <row r="1156" ht="22.5" customHeight="1">
      <c r="A1156" s="15">
        <v>1001212.0</v>
      </c>
      <c r="B1156" s="15" t="s">
        <v>117</v>
      </c>
      <c r="C1156" s="15" t="s">
        <v>201</v>
      </c>
    </row>
    <row r="1157" ht="22.5" customHeight="1">
      <c r="A1157" s="15">
        <v>1001213.0</v>
      </c>
      <c r="B1157" s="15" t="s">
        <v>183</v>
      </c>
      <c r="C1157" s="15" t="s">
        <v>183</v>
      </c>
    </row>
    <row r="1158" ht="22.5" customHeight="1">
      <c r="A1158" s="15">
        <v>1001214.0</v>
      </c>
      <c r="B1158" s="15" t="s">
        <v>183</v>
      </c>
      <c r="C1158" s="15" t="s">
        <v>183</v>
      </c>
    </row>
    <row r="1159" ht="22.5" customHeight="1">
      <c r="A1159" s="15">
        <v>1001215.0</v>
      </c>
      <c r="B1159" s="15" t="s">
        <v>183</v>
      </c>
      <c r="C1159" s="15" t="s">
        <v>183</v>
      </c>
    </row>
    <row r="1160" ht="22.5" customHeight="1">
      <c r="A1160" s="15">
        <v>1001216.0</v>
      </c>
      <c r="B1160" s="15" t="s">
        <v>183</v>
      </c>
      <c r="C1160" s="15" t="s">
        <v>183</v>
      </c>
    </row>
    <row r="1161" ht="22.5" customHeight="1">
      <c r="A1161" s="15">
        <v>1001217.0</v>
      </c>
      <c r="B1161" s="15" t="s">
        <v>183</v>
      </c>
      <c r="C1161" s="15" t="s">
        <v>183</v>
      </c>
    </row>
    <row r="1162" ht="22.5" customHeight="1">
      <c r="A1162" s="15">
        <v>1001218.0</v>
      </c>
      <c r="B1162" s="15" t="s">
        <v>183</v>
      </c>
      <c r="C1162" s="15" t="s">
        <v>183</v>
      </c>
    </row>
    <row r="1163" ht="22.5" customHeight="1">
      <c r="A1163" s="15">
        <v>1001219.0</v>
      </c>
      <c r="B1163" s="15" t="s">
        <v>183</v>
      </c>
      <c r="C1163" s="15" t="s">
        <v>183</v>
      </c>
    </row>
    <row r="1164" ht="22.5" customHeight="1">
      <c r="A1164" s="15">
        <v>1001220.0</v>
      </c>
      <c r="B1164" s="15" t="s">
        <v>115</v>
      </c>
      <c r="C1164" s="15" t="s">
        <v>199</v>
      </c>
    </row>
    <row r="1165" ht="22.5" customHeight="1">
      <c r="A1165" s="15">
        <v>1001221.0</v>
      </c>
      <c r="B1165" s="15" t="s">
        <v>116</v>
      </c>
      <c r="C1165" s="15" t="s">
        <v>200</v>
      </c>
    </row>
    <row r="1166" ht="22.5" customHeight="1">
      <c r="A1166" s="15">
        <v>1001222.0</v>
      </c>
      <c r="B1166" s="15" t="s">
        <v>117</v>
      </c>
      <c r="C1166" s="15" t="s">
        <v>201</v>
      </c>
    </row>
    <row r="1167" ht="22.5" customHeight="1">
      <c r="A1167" s="15">
        <v>1001300.0</v>
      </c>
      <c r="B1167" s="15" t="s">
        <v>118</v>
      </c>
      <c r="C1167" s="15" t="s">
        <v>202</v>
      </c>
    </row>
    <row r="1168" ht="22.5" customHeight="1">
      <c r="A1168" s="15">
        <v>1001301.0</v>
      </c>
      <c r="B1168" s="15" t="s">
        <v>119</v>
      </c>
      <c r="C1168" s="15" t="s">
        <v>203</v>
      </c>
    </row>
    <row r="1169" ht="22.5" customHeight="1">
      <c r="A1169" s="15">
        <v>1001302.0</v>
      </c>
      <c r="B1169" s="15" t="s">
        <v>120</v>
      </c>
      <c r="C1169" s="15" t="s">
        <v>204</v>
      </c>
    </row>
    <row r="1170" ht="22.5" customHeight="1">
      <c r="A1170" s="15">
        <v>1001303.0</v>
      </c>
      <c r="B1170" s="15" t="s">
        <v>183</v>
      </c>
      <c r="C1170" s="15" t="s">
        <v>183</v>
      </c>
    </row>
    <row r="1171" ht="22.5" customHeight="1">
      <c r="A1171" s="15">
        <v>1001304.0</v>
      </c>
      <c r="B1171" s="15" t="s">
        <v>183</v>
      </c>
      <c r="C1171" s="15" t="s">
        <v>183</v>
      </c>
    </row>
    <row r="1172" ht="22.5" customHeight="1">
      <c r="A1172" s="15">
        <v>1001305.0</v>
      </c>
      <c r="B1172" s="15" t="s">
        <v>183</v>
      </c>
      <c r="C1172" s="15" t="s">
        <v>183</v>
      </c>
    </row>
    <row r="1173" ht="22.5" customHeight="1">
      <c r="A1173" s="15">
        <v>1001306.0</v>
      </c>
      <c r="B1173" s="15" t="s">
        <v>183</v>
      </c>
      <c r="C1173" s="15" t="s">
        <v>183</v>
      </c>
    </row>
    <row r="1174" ht="22.5" customHeight="1">
      <c r="A1174" s="15">
        <v>1001307.0</v>
      </c>
      <c r="B1174" s="15" t="s">
        <v>183</v>
      </c>
      <c r="C1174" s="15" t="s">
        <v>183</v>
      </c>
    </row>
    <row r="1175" ht="22.5" customHeight="1">
      <c r="A1175" s="15">
        <v>1001308.0</v>
      </c>
      <c r="B1175" s="15" t="s">
        <v>183</v>
      </c>
      <c r="C1175" s="15" t="s">
        <v>183</v>
      </c>
    </row>
    <row r="1176" ht="22.5" customHeight="1">
      <c r="A1176" s="15">
        <v>1001309.0</v>
      </c>
      <c r="B1176" s="15" t="s">
        <v>183</v>
      </c>
      <c r="C1176" s="15" t="s">
        <v>183</v>
      </c>
    </row>
    <row r="1177" ht="22.5" customHeight="1">
      <c r="A1177" s="15">
        <v>1001310.0</v>
      </c>
      <c r="B1177" s="15" t="s">
        <v>118</v>
      </c>
      <c r="C1177" s="15" t="s">
        <v>202</v>
      </c>
    </row>
    <row r="1178" ht="22.5" customHeight="1">
      <c r="A1178" s="15">
        <v>1001311.0</v>
      </c>
      <c r="B1178" s="15" t="s">
        <v>119</v>
      </c>
      <c r="C1178" s="15" t="s">
        <v>203</v>
      </c>
    </row>
    <row r="1179" ht="22.5" customHeight="1">
      <c r="A1179" s="15">
        <v>1001312.0</v>
      </c>
      <c r="B1179" s="15" t="s">
        <v>120</v>
      </c>
      <c r="C1179" s="15" t="s">
        <v>204</v>
      </c>
    </row>
    <row r="1180" ht="22.5" customHeight="1">
      <c r="A1180" s="15">
        <v>1001313.0</v>
      </c>
      <c r="B1180" s="15" t="s">
        <v>183</v>
      </c>
      <c r="C1180" s="15" t="s">
        <v>183</v>
      </c>
    </row>
    <row r="1181" ht="22.5" customHeight="1">
      <c r="A1181" s="15">
        <v>1001314.0</v>
      </c>
      <c r="B1181" s="15" t="s">
        <v>183</v>
      </c>
      <c r="C1181" s="15" t="s">
        <v>183</v>
      </c>
    </row>
    <row r="1182" ht="22.5" customHeight="1">
      <c r="A1182" s="15">
        <v>1001315.0</v>
      </c>
      <c r="B1182" s="15" t="s">
        <v>183</v>
      </c>
      <c r="C1182" s="15" t="s">
        <v>183</v>
      </c>
    </row>
    <row r="1183" ht="22.5" customHeight="1">
      <c r="A1183" s="15">
        <v>1001316.0</v>
      </c>
      <c r="B1183" s="15" t="s">
        <v>183</v>
      </c>
      <c r="C1183" s="15" t="s">
        <v>183</v>
      </c>
    </row>
    <row r="1184" ht="22.5" customHeight="1">
      <c r="A1184" s="15">
        <v>1001317.0</v>
      </c>
      <c r="B1184" s="15" t="s">
        <v>183</v>
      </c>
      <c r="C1184" s="15" t="s">
        <v>183</v>
      </c>
    </row>
    <row r="1185" ht="22.5" customHeight="1">
      <c r="A1185" s="15">
        <v>1001318.0</v>
      </c>
      <c r="B1185" s="15" t="s">
        <v>183</v>
      </c>
      <c r="C1185" s="15" t="s">
        <v>183</v>
      </c>
    </row>
    <row r="1186" ht="22.5" customHeight="1">
      <c r="A1186" s="15">
        <v>1001319.0</v>
      </c>
      <c r="B1186" s="15" t="s">
        <v>183</v>
      </c>
      <c r="C1186" s="15" t="s">
        <v>183</v>
      </c>
    </row>
    <row r="1187" ht="22.5" customHeight="1">
      <c r="A1187" s="15">
        <v>1001320.0</v>
      </c>
      <c r="B1187" s="15" t="s">
        <v>118</v>
      </c>
      <c r="C1187" s="15" t="s">
        <v>202</v>
      </c>
    </row>
    <row r="1188" ht="22.5" customHeight="1">
      <c r="A1188" s="15">
        <v>1001321.0</v>
      </c>
      <c r="B1188" s="15" t="s">
        <v>119</v>
      </c>
      <c r="C1188" s="15" t="s">
        <v>203</v>
      </c>
    </row>
    <row r="1189" ht="22.5" customHeight="1">
      <c r="A1189" s="15">
        <v>1001322.0</v>
      </c>
      <c r="B1189" s="15" t="s">
        <v>120</v>
      </c>
      <c r="C1189" s="15" t="s">
        <v>204</v>
      </c>
    </row>
    <row r="1190" ht="22.5" customHeight="1">
      <c r="A1190" s="15">
        <v>1002000.0</v>
      </c>
      <c r="B1190" s="15" t="s">
        <v>109</v>
      </c>
      <c r="C1190" s="15" t="s">
        <v>193</v>
      </c>
    </row>
    <row r="1191" ht="22.5" customHeight="1">
      <c r="A1191" s="15">
        <v>1002001.0</v>
      </c>
      <c r="B1191" s="15" t="s">
        <v>110</v>
      </c>
      <c r="C1191" s="15" t="s">
        <v>194</v>
      </c>
    </row>
    <row r="1192" ht="22.5" customHeight="1">
      <c r="A1192" s="15">
        <v>1002002.0</v>
      </c>
      <c r="B1192" s="15" t="s">
        <v>111</v>
      </c>
      <c r="C1192" s="15" t="s">
        <v>195</v>
      </c>
    </row>
    <row r="1193" ht="22.5" customHeight="1">
      <c r="A1193" s="15">
        <v>1002003.0</v>
      </c>
      <c r="B1193" s="15" t="s">
        <v>183</v>
      </c>
      <c r="C1193" s="15" t="s">
        <v>183</v>
      </c>
    </row>
    <row r="1194" ht="22.5" customHeight="1">
      <c r="A1194" s="15">
        <v>1002004.0</v>
      </c>
      <c r="B1194" s="15" t="s">
        <v>183</v>
      </c>
      <c r="C1194" s="15" t="s">
        <v>183</v>
      </c>
    </row>
    <row r="1195" ht="22.5" customHeight="1">
      <c r="A1195" s="15">
        <v>1002005.0</v>
      </c>
      <c r="B1195" s="15" t="s">
        <v>183</v>
      </c>
      <c r="C1195" s="15" t="s">
        <v>183</v>
      </c>
    </row>
    <row r="1196" ht="22.5" customHeight="1">
      <c r="A1196" s="15">
        <v>1002006.0</v>
      </c>
      <c r="B1196" s="15" t="s">
        <v>183</v>
      </c>
      <c r="C1196" s="15" t="s">
        <v>183</v>
      </c>
    </row>
    <row r="1197" ht="22.5" customHeight="1">
      <c r="A1197" s="15">
        <v>1002007.0</v>
      </c>
      <c r="B1197" s="15" t="s">
        <v>183</v>
      </c>
      <c r="C1197" s="15" t="s">
        <v>183</v>
      </c>
    </row>
    <row r="1198" ht="22.5" customHeight="1">
      <c r="A1198" s="15">
        <v>1002008.0</v>
      </c>
      <c r="B1198" s="15" t="s">
        <v>183</v>
      </c>
      <c r="C1198" s="15" t="s">
        <v>183</v>
      </c>
    </row>
    <row r="1199" ht="22.5" customHeight="1">
      <c r="A1199" s="15">
        <v>1002009.0</v>
      </c>
      <c r="B1199" s="15" t="s">
        <v>183</v>
      </c>
      <c r="C1199" s="15" t="s">
        <v>183</v>
      </c>
    </row>
    <row r="1200" ht="22.5" customHeight="1">
      <c r="A1200" s="15">
        <v>1002010.0</v>
      </c>
      <c r="B1200" s="15" t="s">
        <v>109</v>
      </c>
      <c r="C1200" s="15" t="s">
        <v>193</v>
      </c>
    </row>
    <row r="1201" ht="22.5" customHeight="1">
      <c r="A1201" s="15">
        <v>1002011.0</v>
      </c>
      <c r="B1201" s="15" t="s">
        <v>110</v>
      </c>
      <c r="C1201" s="15" t="s">
        <v>194</v>
      </c>
    </row>
    <row r="1202" ht="22.5" customHeight="1">
      <c r="A1202" s="15">
        <v>1002012.0</v>
      </c>
      <c r="B1202" s="15" t="s">
        <v>111</v>
      </c>
      <c r="C1202" s="15" t="s">
        <v>195</v>
      </c>
    </row>
    <row r="1203" ht="22.5" customHeight="1">
      <c r="A1203" s="15">
        <v>1002013.0</v>
      </c>
      <c r="B1203" s="15" t="s">
        <v>183</v>
      </c>
      <c r="C1203" s="15" t="s">
        <v>183</v>
      </c>
    </row>
    <row r="1204" ht="22.5" customHeight="1">
      <c r="A1204" s="15">
        <v>1002014.0</v>
      </c>
      <c r="B1204" s="15" t="s">
        <v>183</v>
      </c>
      <c r="C1204" s="15" t="s">
        <v>183</v>
      </c>
    </row>
    <row r="1205" ht="22.5" customHeight="1">
      <c r="A1205" s="15">
        <v>1002015.0</v>
      </c>
      <c r="B1205" s="15" t="s">
        <v>183</v>
      </c>
      <c r="C1205" s="15" t="s">
        <v>183</v>
      </c>
    </row>
    <row r="1206" ht="22.5" customHeight="1">
      <c r="A1206" s="15">
        <v>1002016.0</v>
      </c>
      <c r="B1206" s="15" t="s">
        <v>183</v>
      </c>
      <c r="C1206" s="15" t="s">
        <v>183</v>
      </c>
    </row>
    <row r="1207" ht="22.5" customHeight="1">
      <c r="A1207" s="15">
        <v>1002017.0</v>
      </c>
      <c r="B1207" s="15" t="s">
        <v>183</v>
      </c>
      <c r="C1207" s="15" t="s">
        <v>183</v>
      </c>
    </row>
    <row r="1208" ht="22.5" customHeight="1">
      <c r="A1208" s="15">
        <v>1002018.0</v>
      </c>
      <c r="B1208" s="15" t="s">
        <v>183</v>
      </c>
      <c r="C1208" s="15" t="s">
        <v>183</v>
      </c>
    </row>
    <row r="1209" ht="22.5" customHeight="1">
      <c r="A1209" s="15">
        <v>1002019.0</v>
      </c>
      <c r="B1209" s="15" t="s">
        <v>183</v>
      </c>
      <c r="C1209" s="15" t="s">
        <v>183</v>
      </c>
    </row>
    <row r="1210" ht="22.5" customHeight="1">
      <c r="A1210" s="15">
        <v>1002020.0</v>
      </c>
      <c r="B1210" s="15" t="s">
        <v>109</v>
      </c>
      <c r="C1210" s="15" t="s">
        <v>193</v>
      </c>
    </row>
    <row r="1211" ht="22.5" customHeight="1">
      <c r="A1211" s="15">
        <v>1002021.0</v>
      </c>
      <c r="B1211" s="15" t="s">
        <v>110</v>
      </c>
      <c r="C1211" s="15" t="s">
        <v>194</v>
      </c>
    </row>
    <row r="1212" ht="22.5" customHeight="1">
      <c r="A1212" s="15">
        <v>1002022.0</v>
      </c>
      <c r="B1212" s="15" t="s">
        <v>111</v>
      </c>
      <c r="C1212" s="15" t="s">
        <v>195</v>
      </c>
    </row>
    <row r="1213" ht="22.5" customHeight="1">
      <c r="A1213" s="15">
        <v>1002100.0</v>
      </c>
      <c r="B1213" s="15" t="s">
        <v>112</v>
      </c>
      <c r="C1213" s="15" t="s">
        <v>196</v>
      </c>
    </row>
    <row r="1214" ht="22.5" customHeight="1">
      <c r="A1214" s="15">
        <v>1002101.0</v>
      </c>
      <c r="B1214" s="15" t="s">
        <v>113</v>
      </c>
      <c r="C1214" s="15" t="s">
        <v>197</v>
      </c>
    </row>
    <row r="1215" ht="22.5" customHeight="1">
      <c r="A1215" s="15">
        <v>1002102.0</v>
      </c>
      <c r="B1215" s="15" t="s">
        <v>114</v>
      </c>
      <c r="C1215" s="15" t="s">
        <v>198</v>
      </c>
    </row>
    <row r="1216" ht="22.5" customHeight="1">
      <c r="A1216" s="15">
        <v>1002103.0</v>
      </c>
      <c r="B1216" s="15" t="s">
        <v>183</v>
      </c>
      <c r="C1216" s="15" t="s">
        <v>183</v>
      </c>
    </row>
    <row r="1217" ht="22.5" customHeight="1">
      <c r="A1217" s="15">
        <v>1002104.0</v>
      </c>
      <c r="B1217" s="15" t="s">
        <v>183</v>
      </c>
      <c r="C1217" s="15" t="s">
        <v>183</v>
      </c>
    </row>
    <row r="1218" ht="22.5" customHeight="1">
      <c r="A1218" s="15">
        <v>1002105.0</v>
      </c>
      <c r="B1218" s="15" t="s">
        <v>183</v>
      </c>
      <c r="C1218" s="15" t="s">
        <v>183</v>
      </c>
    </row>
    <row r="1219" ht="22.5" customHeight="1">
      <c r="A1219" s="15">
        <v>1002106.0</v>
      </c>
      <c r="B1219" s="15" t="s">
        <v>183</v>
      </c>
      <c r="C1219" s="15" t="s">
        <v>183</v>
      </c>
    </row>
    <row r="1220" ht="22.5" customHeight="1">
      <c r="A1220" s="15">
        <v>1002107.0</v>
      </c>
      <c r="B1220" s="15" t="s">
        <v>183</v>
      </c>
      <c r="C1220" s="15" t="s">
        <v>183</v>
      </c>
    </row>
    <row r="1221" ht="22.5" customHeight="1">
      <c r="A1221" s="15">
        <v>1002108.0</v>
      </c>
      <c r="B1221" s="15" t="s">
        <v>183</v>
      </c>
      <c r="C1221" s="15" t="s">
        <v>183</v>
      </c>
    </row>
    <row r="1222" ht="22.5" customHeight="1">
      <c r="A1222" s="15">
        <v>1002109.0</v>
      </c>
      <c r="B1222" s="15" t="s">
        <v>183</v>
      </c>
      <c r="C1222" s="15" t="s">
        <v>183</v>
      </c>
    </row>
    <row r="1223" ht="22.5" customHeight="1">
      <c r="A1223" s="15">
        <v>1002110.0</v>
      </c>
      <c r="B1223" s="15" t="s">
        <v>112</v>
      </c>
      <c r="C1223" s="15" t="s">
        <v>196</v>
      </c>
    </row>
    <row r="1224" ht="22.5" customHeight="1">
      <c r="A1224" s="15">
        <v>1002111.0</v>
      </c>
      <c r="B1224" s="15" t="s">
        <v>113</v>
      </c>
      <c r="C1224" s="15" t="s">
        <v>197</v>
      </c>
    </row>
    <row r="1225" ht="22.5" customHeight="1">
      <c r="A1225" s="15">
        <v>1002112.0</v>
      </c>
      <c r="B1225" s="15" t="s">
        <v>114</v>
      </c>
      <c r="C1225" s="15" t="s">
        <v>198</v>
      </c>
    </row>
    <row r="1226" ht="22.5" customHeight="1">
      <c r="A1226" s="15">
        <v>1002113.0</v>
      </c>
      <c r="B1226" s="15" t="s">
        <v>183</v>
      </c>
      <c r="C1226" s="15" t="s">
        <v>183</v>
      </c>
    </row>
    <row r="1227" ht="22.5" customHeight="1">
      <c r="A1227" s="15">
        <v>1002114.0</v>
      </c>
      <c r="B1227" s="15" t="s">
        <v>183</v>
      </c>
      <c r="C1227" s="15" t="s">
        <v>183</v>
      </c>
    </row>
    <row r="1228" ht="22.5" customHeight="1">
      <c r="A1228" s="15">
        <v>1002115.0</v>
      </c>
      <c r="B1228" s="15" t="s">
        <v>183</v>
      </c>
      <c r="C1228" s="15" t="s">
        <v>183</v>
      </c>
    </row>
    <row r="1229" ht="22.5" customHeight="1">
      <c r="A1229" s="15">
        <v>1002116.0</v>
      </c>
      <c r="B1229" s="15" t="s">
        <v>183</v>
      </c>
      <c r="C1229" s="15" t="s">
        <v>183</v>
      </c>
    </row>
    <row r="1230" ht="22.5" customHeight="1">
      <c r="A1230" s="15">
        <v>1002117.0</v>
      </c>
      <c r="B1230" s="15" t="s">
        <v>183</v>
      </c>
      <c r="C1230" s="15" t="s">
        <v>183</v>
      </c>
    </row>
    <row r="1231" ht="22.5" customHeight="1">
      <c r="A1231" s="15">
        <v>1002118.0</v>
      </c>
      <c r="B1231" s="15" t="s">
        <v>183</v>
      </c>
      <c r="C1231" s="15" t="s">
        <v>183</v>
      </c>
    </row>
    <row r="1232" ht="22.5" customHeight="1">
      <c r="A1232" s="15">
        <v>1002119.0</v>
      </c>
      <c r="B1232" s="15" t="s">
        <v>183</v>
      </c>
      <c r="C1232" s="15" t="s">
        <v>183</v>
      </c>
    </row>
    <row r="1233" ht="22.5" customHeight="1">
      <c r="A1233" s="15">
        <v>1002120.0</v>
      </c>
      <c r="B1233" s="15" t="s">
        <v>112</v>
      </c>
      <c r="C1233" s="15" t="s">
        <v>196</v>
      </c>
    </row>
    <row r="1234" ht="22.5" customHeight="1">
      <c r="A1234" s="15">
        <v>1002121.0</v>
      </c>
      <c r="B1234" s="15" t="s">
        <v>113</v>
      </c>
      <c r="C1234" s="15" t="s">
        <v>197</v>
      </c>
    </row>
    <row r="1235" ht="22.5" customHeight="1">
      <c r="A1235" s="15">
        <v>1002122.0</v>
      </c>
      <c r="B1235" s="15" t="s">
        <v>114</v>
      </c>
      <c r="C1235" s="15" t="s">
        <v>198</v>
      </c>
    </row>
    <row r="1236" ht="22.5" customHeight="1">
      <c r="A1236" s="15">
        <v>1002200.0</v>
      </c>
      <c r="B1236" s="15" t="s">
        <v>115</v>
      </c>
      <c r="C1236" s="15" t="s">
        <v>199</v>
      </c>
    </row>
    <row r="1237" ht="22.5" customHeight="1">
      <c r="A1237" s="15">
        <v>1002201.0</v>
      </c>
      <c r="B1237" s="15" t="s">
        <v>116</v>
      </c>
      <c r="C1237" s="15" t="s">
        <v>200</v>
      </c>
    </row>
    <row r="1238" ht="22.5" customHeight="1">
      <c r="A1238" s="15">
        <v>1002202.0</v>
      </c>
      <c r="B1238" s="15" t="s">
        <v>117</v>
      </c>
      <c r="C1238" s="15" t="s">
        <v>201</v>
      </c>
    </row>
    <row r="1239" ht="22.5" customHeight="1">
      <c r="A1239" s="15">
        <v>1002203.0</v>
      </c>
      <c r="B1239" s="15" t="s">
        <v>183</v>
      </c>
      <c r="C1239" s="15" t="s">
        <v>183</v>
      </c>
    </row>
    <row r="1240" ht="22.5" customHeight="1">
      <c r="A1240" s="15">
        <v>1002204.0</v>
      </c>
      <c r="B1240" s="15" t="s">
        <v>183</v>
      </c>
      <c r="C1240" s="15" t="s">
        <v>183</v>
      </c>
    </row>
    <row r="1241" ht="22.5" customHeight="1">
      <c r="A1241" s="15">
        <v>1002205.0</v>
      </c>
      <c r="B1241" s="15" t="s">
        <v>183</v>
      </c>
      <c r="C1241" s="15" t="s">
        <v>183</v>
      </c>
    </row>
    <row r="1242" ht="22.5" customHeight="1">
      <c r="A1242" s="15">
        <v>1002206.0</v>
      </c>
      <c r="B1242" s="15" t="s">
        <v>183</v>
      </c>
      <c r="C1242" s="15" t="s">
        <v>183</v>
      </c>
    </row>
    <row r="1243" ht="22.5" customHeight="1">
      <c r="A1243" s="15">
        <v>1002207.0</v>
      </c>
      <c r="B1243" s="15" t="s">
        <v>183</v>
      </c>
      <c r="C1243" s="15" t="s">
        <v>183</v>
      </c>
    </row>
    <row r="1244" ht="22.5" customHeight="1">
      <c r="A1244" s="15">
        <v>1002208.0</v>
      </c>
      <c r="B1244" s="15" t="s">
        <v>183</v>
      </c>
      <c r="C1244" s="15" t="s">
        <v>183</v>
      </c>
    </row>
    <row r="1245" ht="22.5" customHeight="1">
      <c r="A1245" s="15">
        <v>1002209.0</v>
      </c>
      <c r="B1245" s="15" t="s">
        <v>183</v>
      </c>
      <c r="C1245" s="15" t="s">
        <v>183</v>
      </c>
    </row>
    <row r="1246" ht="22.5" customHeight="1">
      <c r="A1246" s="15">
        <v>1002210.0</v>
      </c>
      <c r="B1246" s="15" t="s">
        <v>115</v>
      </c>
      <c r="C1246" s="15" t="s">
        <v>199</v>
      </c>
    </row>
    <row r="1247" ht="22.5" customHeight="1">
      <c r="A1247" s="15">
        <v>1002211.0</v>
      </c>
      <c r="B1247" s="15" t="s">
        <v>116</v>
      </c>
      <c r="C1247" s="15" t="s">
        <v>200</v>
      </c>
    </row>
    <row r="1248" ht="22.5" customHeight="1">
      <c r="A1248" s="15">
        <v>1002212.0</v>
      </c>
      <c r="B1248" s="15" t="s">
        <v>117</v>
      </c>
      <c r="C1248" s="15" t="s">
        <v>201</v>
      </c>
    </row>
    <row r="1249" ht="22.5" customHeight="1">
      <c r="A1249" s="15">
        <v>1002213.0</v>
      </c>
      <c r="B1249" s="15" t="s">
        <v>183</v>
      </c>
      <c r="C1249" s="15" t="s">
        <v>183</v>
      </c>
    </row>
    <row r="1250" ht="22.5" customHeight="1">
      <c r="A1250" s="15">
        <v>1002214.0</v>
      </c>
      <c r="B1250" s="15" t="s">
        <v>183</v>
      </c>
      <c r="C1250" s="15" t="s">
        <v>183</v>
      </c>
    </row>
    <row r="1251" ht="22.5" customHeight="1">
      <c r="A1251" s="15">
        <v>1002215.0</v>
      </c>
      <c r="B1251" s="15" t="s">
        <v>183</v>
      </c>
      <c r="C1251" s="15" t="s">
        <v>183</v>
      </c>
    </row>
    <row r="1252" ht="22.5" customHeight="1">
      <c r="A1252" s="15">
        <v>1002216.0</v>
      </c>
      <c r="B1252" s="15" t="s">
        <v>183</v>
      </c>
      <c r="C1252" s="15" t="s">
        <v>183</v>
      </c>
    </row>
    <row r="1253" ht="22.5" customHeight="1">
      <c r="A1253" s="15">
        <v>1002217.0</v>
      </c>
      <c r="B1253" s="15" t="s">
        <v>183</v>
      </c>
      <c r="C1253" s="15" t="s">
        <v>183</v>
      </c>
    </row>
    <row r="1254" ht="22.5" customHeight="1">
      <c r="A1254" s="15">
        <v>1002218.0</v>
      </c>
      <c r="B1254" s="15" t="s">
        <v>183</v>
      </c>
      <c r="C1254" s="15" t="s">
        <v>183</v>
      </c>
    </row>
    <row r="1255" ht="22.5" customHeight="1">
      <c r="A1255" s="15">
        <v>1002219.0</v>
      </c>
      <c r="B1255" s="15" t="s">
        <v>183</v>
      </c>
      <c r="C1255" s="15" t="s">
        <v>183</v>
      </c>
    </row>
    <row r="1256" ht="22.5" customHeight="1">
      <c r="A1256" s="15">
        <v>1002220.0</v>
      </c>
      <c r="B1256" s="15" t="s">
        <v>115</v>
      </c>
      <c r="C1256" s="15" t="s">
        <v>199</v>
      </c>
    </row>
    <row r="1257" ht="22.5" customHeight="1">
      <c r="A1257" s="15">
        <v>1002221.0</v>
      </c>
      <c r="B1257" s="15" t="s">
        <v>116</v>
      </c>
      <c r="C1257" s="15" t="s">
        <v>200</v>
      </c>
    </row>
    <row r="1258" ht="22.5" customHeight="1">
      <c r="A1258" s="15">
        <v>1002222.0</v>
      </c>
      <c r="B1258" s="15" t="s">
        <v>117</v>
      </c>
      <c r="C1258" s="15" t="s">
        <v>201</v>
      </c>
    </row>
    <row r="1259" ht="22.5" customHeight="1">
      <c r="A1259" s="15">
        <v>1002300.0</v>
      </c>
      <c r="B1259" s="15" t="s">
        <v>118</v>
      </c>
      <c r="C1259" s="15" t="s">
        <v>202</v>
      </c>
    </row>
    <row r="1260" ht="22.5" customHeight="1">
      <c r="A1260" s="15">
        <v>1002301.0</v>
      </c>
      <c r="B1260" s="15" t="s">
        <v>119</v>
      </c>
      <c r="C1260" s="15" t="s">
        <v>203</v>
      </c>
    </row>
    <row r="1261" ht="22.5" customHeight="1">
      <c r="A1261" s="15">
        <v>1002302.0</v>
      </c>
      <c r="B1261" s="15" t="s">
        <v>120</v>
      </c>
      <c r="C1261" s="15" t="s">
        <v>204</v>
      </c>
    </row>
    <row r="1262" ht="22.5" customHeight="1">
      <c r="A1262" s="15">
        <v>1002303.0</v>
      </c>
      <c r="B1262" s="15" t="s">
        <v>183</v>
      </c>
      <c r="C1262" s="15" t="s">
        <v>183</v>
      </c>
    </row>
    <row r="1263" ht="22.5" customHeight="1">
      <c r="A1263" s="15">
        <v>1002304.0</v>
      </c>
      <c r="B1263" s="15" t="s">
        <v>183</v>
      </c>
      <c r="C1263" s="15" t="s">
        <v>183</v>
      </c>
    </row>
    <row r="1264" ht="22.5" customHeight="1">
      <c r="A1264" s="15">
        <v>1002305.0</v>
      </c>
      <c r="B1264" s="15" t="s">
        <v>183</v>
      </c>
      <c r="C1264" s="15" t="s">
        <v>183</v>
      </c>
    </row>
    <row r="1265" ht="22.5" customHeight="1">
      <c r="A1265" s="15">
        <v>1002306.0</v>
      </c>
      <c r="B1265" s="15" t="s">
        <v>183</v>
      </c>
      <c r="C1265" s="15" t="s">
        <v>183</v>
      </c>
    </row>
    <row r="1266" ht="22.5" customHeight="1">
      <c r="A1266" s="15">
        <v>1002307.0</v>
      </c>
      <c r="B1266" s="15" t="s">
        <v>183</v>
      </c>
      <c r="C1266" s="15" t="s">
        <v>183</v>
      </c>
    </row>
    <row r="1267" ht="22.5" customHeight="1">
      <c r="A1267" s="15">
        <v>1002308.0</v>
      </c>
      <c r="B1267" s="15" t="s">
        <v>183</v>
      </c>
      <c r="C1267" s="15" t="s">
        <v>183</v>
      </c>
    </row>
    <row r="1268" ht="22.5" customHeight="1">
      <c r="A1268" s="15">
        <v>1002309.0</v>
      </c>
      <c r="B1268" s="15" t="s">
        <v>183</v>
      </c>
      <c r="C1268" s="15" t="s">
        <v>183</v>
      </c>
    </row>
    <row r="1269" ht="22.5" customHeight="1">
      <c r="A1269" s="15">
        <v>1002310.0</v>
      </c>
      <c r="B1269" s="15" t="s">
        <v>118</v>
      </c>
      <c r="C1269" s="15" t="s">
        <v>202</v>
      </c>
    </row>
    <row r="1270" ht="22.5" customHeight="1">
      <c r="A1270" s="15">
        <v>1002311.0</v>
      </c>
      <c r="B1270" s="15" t="s">
        <v>119</v>
      </c>
      <c r="C1270" s="15" t="s">
        <v>203</v>
      </c>
    </row>
    <row r="1271" ht="22.5" customHeight="1">
      <c r="A1271" s="15">
        <v>1002312.0</v>
      </c>
      <c r="B1271" s="15" t="s">
        <v>120</v>
      </c>
      <c r="C1271" s="15" t="s">
        <v>204</v>
      </c>
    </row>
    <row r="1272" ht="22.5" customHeight="1">
      <c r="A1272" s="15">
        <v>1002313.0</v>
      </c>
      <c r="B1272" s="15" t="s">
        <v>183</v>
      </c>
      <c r="C1272" s="15" t="s">
        <v>183</v>
      </c>
    </row>
    <row r="1273" ht="22.5" customHeight="1">
      <c r="A1273" s="15">
        <v>1002314.0</v>
      </c>
      <c r="B1273" s="15" t="s">
        <v>183</v>
      </c>
      <c r="C1273" s="15" t="s">
        <v>183</v>
      </c>
    </row>
    <row r="1274" ht="22.5" customHeight="1">
      <c r="A1274" s="15">
        <v>1002315.0</v>
      </c>
      <c r="B1274" s="15" t="s">
        <v>183</v>
      </c>
      <c r="C1274" s="15" t="s">
        <v>183</v>
      </c>
    </row>
    <row r="1275" ht="22.5" customHeight="1">
      <c r="A1275" s="15">
        <v>1002316.0</v>
      </c>
      <c r="B1275" s="15" t="s">
        <v>183</v>
      </c>
      <c r="C1275" s="15" t="s">
        <v>183</v>
      </c>
    </row>
    <row r="1276" ht="22.5" customHeight="1">
      <c r="A1276" s="15">
        <v>1002317.0</v>
      </c>
      <c r="B1276" s="15" t="s">
        <v>183</v>
      </c>
      <c r="C1276" s="15" t="s">
        <v>183</v>
      </c>
    </row>
    <row r="1277" ht="22.5" customHeight="1">
      <c r="A1277" s="15">
        <v>1002318.0</v>
      </c>
      <c r="B1277" s="15" t="s">
        <v>183</v>
      </c>
      <c r="C1277" s="15" t="s">
        <v>183</v>
      </c>
    </row>
    <row r="1278" ht="22.5" customHeight="1">
      <c r="A1278" s="15">
        <v>1002319.0</v>
      </c>
      <c r="B1278" s="15" t="s">
        <v>183</v>
      </c>
      <c r="C1278" s="15" t="s">
        <v>183</v>
      </c>
    </row>
    <row r="1279" ht="22.5" customHeight="1">
      <c r="A1279" s="15">
        <v>1002320.0</v>
      </c>
      <c r="B1279" s="15" t="s">
        <v>118</v>
      </c>
      <c r="C1279" s="15" t="s">
        <v>202</v>
      </c>
    </row>
    <row r="1280" ht="22.5" customHeight="1">
      <c r="A1280" s="15">
        <v>1002321.0</v>
      </c>
      <c r="B1280" s="15" t="s">
        <v>119</v>
      </c>
      <c r="C1280" s="15" t="s">
        <v>203</v>
      </c>
    </row>
    <row r="1281" ht="22.5" customHeight="1">
      <c r="A1281" s="15">
        <v>1002322.0</v>
      </c>
      <c r="B1281" s="15" t="s">
        <v>120</v>
      </c>
      <c r="C1281" s="15" t="s">
        <v>204</v>
      </c>
    </row>
    <row r="1282" ht="22.5" customHeight="1">
      <c r="A1282" s="15">
        <v>1003000.0</v>
      </c>
      <c r="B1282" s="15" t="s">
        <v>109</v>
      </c>
      <c r="C1282" s="15" t="s">
        <v>193</v>
      </c>
    </row>
    <row r="1283" ht="22.5" customHeight="1">
      <c r="A1283" s="15">
        <v>1003001.0</v>
      </c>
      <c r="B1283" s="15" t="s">
        <v>110</v>
      </c>
      <c r="C1283" s="15" t="s">
        <v>194</v>
      </c>
    </row>
    <row r="1284" ht="22.5" customHeight="1">
      <c r="A1284" s="15">
        <v>1003002.0</v>
      </c>
      <c r="B1284" s="15" t="s">
        <v>111</v>
      </c>
      <c r="C1284" s="15" t="s">
        <v>195</v>
      </c>
    </row>
    <row r="1285" ht="22.5" customHeight="1">
      <c r="A1285" s="15">
        <v>1003003.0</v>
      </c>
      <c r="B1285" s="15" t="s">
        <v>183</v>
      </c>
      <c r="C1285" s="15" t="s">
        <v>183</v>
      </c>
    </row>
    <row r="1286" ht="22.5" customHeight="1">
      <c r="A1286" s="15">
        <v>1003004.0</v>
      </c>
      <c r="B1286" s="15" t="s">
        <v>183</v>
      </c>
      <c r="C1286" s="15" t="s">
        <v>183</v>
      </c>
    </row>
    <row r="1287" ht="22.5" customHeight="1">
      <c r="A1287" s="15">
        <v>1003005.0</v>
      </c>
      <c r="B1287" s="15" t="s">
        <v>183</v>
      </c>
      <c r="C1287" s="15" t="s">
        <v>183</v>
      </c>
    </row>
    <row r="1288" ht="22.5" customHeight="1">
      <c r="A1288" s="15">
        <v>1003006.0</v>
      </c>
      <c r="B1288" s="15" t="s">
        <v>183</v>
      </c>
      <c r="C1288" s="15" t="s">
        <v>183</v>
      </c>
    </row>
    <row r="1289" ht="22.5" customHeight="1">
      <c r="A1289" s="15">
        <v>1003007.0</v>
      </c>
      <c r="B1289" s="15" t="s">
        <v>183</v>
      </c>
      <c r="C1289" s="15" t="s">
        <v>183</v>
      </c>
    </row>
    <row r="1290" ht="22.5" customHeight="1">
      <c r="A1290" s="15">
        <v>1003008.0</v>
      </c>
      <c r="B1290" s="15" t="s">
        <v>183</v>
      </c>
      <c r="C1290" s="15" t="s">
        <v>183</v>
      </c>
    </row>
    <row r="1291" ht="22.5" customHeight="1">
      <c r="A1291" s="15">
        <v>1003009.0</v>
      </c>
      <c r="B1291" s="15" t="s">
        <v>183</v>
      </c>
      <c r="C1291" s="15" t="s">
        <v>183</v>
      </c>
    </row>
    <row r="1292" ht="22.5" customHeight="1">
      <c r="A1292" s="15">
        <v>1003010.0</v>
      </c>
      <c r="B1292" s="15" t="s">
        <v>109</v>
      </c>
      <c r="C1292" s="15" t="s">
        <v>193</v>
      </c>
    </row>
    <row r="1293" ht="22.5" customHeight="1">
      <c r="A1293" s="15">
        <v>1003011.0</v>
      </c>
      <c r="B1293" s="15" t="s">
        <v>110</v>
      </c>
      <c r="C1293" s="15" t="s">
        <v>194</v>
      </c>
    </row>
    <row r="1294" ht="22.5" customHeight="1">
      <c r="A1294" s="15">
        <v>1003012.0</v>
      </c>
      <c r="B1294" s="15" t="s">
        <v>111</v>
      </c>
      <c r="C1294" s="15" t="s">
        <v>195</v>
      </c>
    </row>
    <row r="1295" ht="22.5" customHeight="1">
      <c r="A1295" s="15">
        <v>1003013.0</v>
      </c>
      <c r="B1295" s="15" t="s">
        <v>183</v>
      </c>
      <c r="C1295" s="15" t="s">
        <v>183</v>
      </c>
    </row>
    <row r="1296" ht="22.5" customHeight="1">
      <c r="A1296" s="15">
        <v>1003014.0</v>
      </c>
      <c r="B1296" s="15" t="s">
        <v>183</v>
      </c>
      <c r="C1296" s="15" t="s">
        <v>183</v>
      </c>
    </row>
    <row r="1297" ht="22.5" customHeight="1">
      <c r="A1297" s="15">
        <v>1003015.0</v>
      </c>
      <c r="B1297" s="15" t="s">
        <v>183</v>
      </c>
      <c r="C1297" s="15" t="s">
        <v>183</v>
      </c>
    </row>
    <row r="1298" ht="22.5" customHeight="1">
      <c r="A1298" s="15">
        <v>1003016.0</v>
      </c>
      <c r="B1298" s="15" t="s">
        <v>183</v>
      </c>
      <c r="C1298" s="15" t="s">
        <v>183</v>
      </c>
    </row>
    <row r="1299" ht="22.5" customHeight="1">
      <c r="A1299" s="15">
        <v>1003017.0</v>
      </c>
      <c r="B1299" s="15" t="s">
        <v>183</v>
      </c>
      <c r="C1299" s="15" t="s">
        <v>183</v>
      </c>
    </row>
    <row r="1300" ht="22.5" customHeight="1">
      <c r="A1300" s="15">
        <v>1003018.0</v>
      </c>
      <c r="B1300" s="15" t="s">
        <v>183</v>
      </c>
      <c r="C1300" s="15" t="s">
        <v>183</v>
      </c>
    </row>
    <row r="1301" ht="22.5" customHeight="1">
      <c r="A1301" s="15">
        <v>1003019.0</v>
      </c>
      <c r="B1301" s="15" t="s">
        <v>183</v>
      </c>
      <c r="C1301" s="15" t="s">
        <v>183</v>
      </c>
    </row>
    <row r="1302" ht="22.5" customHeight="1">
      <c r="A1302" s="15">
        <v>1003020.0</v>
      </c>
      <c r="B1302" s="15" t="s">
        <v>109</v>
      </c>
      <c r="C1302" s="15" t="s">
        <v>193</v>
      </c>
    </row>
    <row r="1303" ht="22.5" customHeight="1">
      <c r="A1303" s="15">
        <v>1003021.0</v>
      </c>
      <c r="B1303" s="15" t="s">
        <v>110</v>
      </c>
      <c r="C1303" s="15" t="s">
        <v>194</v>
      </c>
    </row>
    <row r="1304" ht="22.5" customHeight="1">
      <c r="A1304" s="15">
        <v>1003022.0</v>
      </c>
      <c r="B1304" s="15" t="s">
        <v>111</v>
      </c>
      <c r="C1304" s="15" t="s">
        <v>195</v>
      </c>
    </row>
    <row r="1305" ht="22.5" customHeight="1">
      <c r="A1305" s="15">
        <v>1003100.0</v>
      </c>
      <c r="B1305" s="15" t="s">
        <v>112</v>
      </c>
      <c r="C1305" s="15" t="s">
        <v>196</v>
      </c>
    </row>
    <row r="1306" ht="22.5" customHeight="1">
      <c r="A1306" s="15">
        <v>1003101.0</v>
      </c>
      <c r="B1306" s="15" t="s">
        <v>113</v>
      </c>
      <c r="C1306" s="15" t="s">
        <v>197</v>
      </c>
    </row>
    <row r="1307" ht="22.5" customHeight="1">
      <c r="A1307" s="15">
        <v>1003102.0</v>
      </c>
      <c r="B1307" s="15" t="s">
        <v>114</v>
      </c>
      <c r="C1307" s="15" t="s">
        <v>198</v>
      </c>
    </row>
    <row r="1308" ht="22.5" customHeight="1">
      <c r="A1308" s="15">
        <v>1003103.0</v>
      </c>
      <c r="B1308" s="15" t="s">
        <v>183</v>
      </c>
      <c r="C1308" s="15" t="s">
        <v>183</v>
      </c>
    </row>
    <row r="1309" ht="22.5" customHeight="1">
      <c r="A1309" s="15">
        <v>1003104.0</v>
      </c>
      <c r="B1309" s="15" t="s">
        <v>183</v>
      </c>
      <c r="C1309" s="15" t="s">
        <v>183</v>
      </c>
    </row>
    <row r="1310" ht="22.5" customHeight="1">
      <c r="A1310" s="15">
        <v>1003105.0</v>
      </c>
      <c r="B1310" s="15" t="s">
        <v>183</v>
      </c>
      <c r="C1310" s="15" t="s">
        <v>183</v>
      </c>
    </row>
    <row r="1311" ht="22.5" customHeight="1">
      <c r="A1311" s="15">
        <v>1003106.0</v>
      </c>
      <c r="B1311" s="15" t="s">
        <v>183</v>
      </c>
      <c r="C1311" s="15" t="s">
        <v>183</v>
      </c>
    </row>
    <row r="1312" ht="22.5" customHeight="1">
      <c r="A1312" s="15">
        <v>1003107.0</v>
      </c>
      <c r="B1312" s="15" t="s">
        <v>183</v>
      </c>
      <c r="C1312" s="15" t="s">
        <v>183</v>
      </c>
    </row>
    <row r="1313" ht="22.5" customHeight="1">
      <c r="A1313" s="15">
        <v>1003108.0</v>
      </c>
      <c r="B1313" s="15" t="s">
        <v>183</v>
      </c>
      <c r="C1313" s="15" t="s">
        <v>183</v>
      </c>
    </row>
    <row r="1314" ht="22.5" customHeight="1">
      <c r="A1314" s="15">
        <v>1003109.0</v>
      </c>
      <c r="B1314" s="15" t="s">
        <v>183</v>
      </c>
      <c r="C1314" s="15" t="s">
        <v>183</v>
      </c>
    </row>
    <row r="1315" ht="22.5" customHeight="1">
      <c r="A1315" s="15">
        <v>1003110.0</v>
      </c>
      <c r="B1315" s="15" t="s">
        <v>112</v>
      </c>
      <c r="C1315" s="15" t="s">
        <v>196</v>
      </c>
    </row>
    <row r="1316" ht="22.5" customHeight="1">
      <c r="A1316" s="15">
        <v>1003111.0</v>
      </c>
      <c r="B1316" s="15" t="s">
        <v>113</v>
      </c>
      <c r="C1316" s="15" t="s">
        <v>197</v>
      </c>
    </row>
    <row r="1317" ht="22.5" customHeight="1">
      <c r="A1317" s="15">
        <v>1003112.0</v>
      </c>
      <c r="B1317" s="15" t="s">
        <v>114</v>
      </c>
      <c r="C1317" s="15" t="s">
        <v>198</v>
      </c>
    </row>
    <row r="1318" ht="22.5" customHeight="1">
      <c r="A1318" s="15">
        <v>1003113.0</v>
      </c>
      <c r="B1318" s="15" t="s">
        <v>183</v>
      </c>
      <c r="C1318" s="15" t="s">
        <v>183</v>
      </c>
    </row>
    <row r="1319" ht="22.5" customHeight="1">
      <c r="A1319" s="15">
        <v>1003114.0</v>
      </c>
      <c r="B1319" s="15" t="s">
        <v>183</v>
      </c>
      <c r="C1319" s="15" t="s">
        <v>183</v>
      </c>
    </row>
    <row r="1320" ht="22.5" customHeight="1">
      <c r="A1320" s="15">
        <v>1003115.0</v>
      </c>
      <c r="B1320" s="15" t="s">
        <v>183</v>
      </c>
      <c r="C1320" s="15" t="s">
        <v>183</v>
      </c>
    </row>
    <row r="1321" ht="22.5" customHeight="1">
      <c r="A1321" s="15">
        <v>1003116.0</v>
      </c>
      <c r="B1321" s="15" t="s">
        <v>183</v>
      </c>
      <c r="C1321" s="15" t="s">
        <v>183</v>
      </c>
    </row>
    <row r="1322" ht="22.5" customHeight="1">
      <c r="A1322" s="15">
        <v>1003117.0</v>
      </c>
      <c r="B1322" s="15" t="s">
        <v>183</v>
      </c>
      <c r="C1322" s="15" t="s">
        <v>183</v>
      </c>
    </row>
    <row r="1323" ht="22.5" customHeight="1">
      <c r="A1323" s="15">
        <v>1003118.0</v>
      </c>
      <c r="B1323" s="15" t="s">
        <v>183</v>
      </c>
      <c r="C1323" s="15" t="s">
        <v>183</v>
      </c>
    </row>
    <row r="1324" ht="22.5" customHeight="1">
      <c r="A1324" s="15">
        <v>1003119.0</v>
      </c>
      <c r="B1324" s="15" t="s">
        <v>183</v>
      </c>
      <c r="C1324" s="15" t="s">
        <v>183</v>
      </c>
    </row>
    <row r="1325" ht="22.5" customHeight="1">
      <c r="A1325" s="15">
        <v>1003120.0</v>
      </c>
      <c r="B1325" s="15" t="s">
        <v>112</v>
      </c>
      <c r="C1325" s="15" t="s">
        <v>196</v>
      </c>
    </row>
    <row r="1326" ht="22.5" customHeight="1">
      <c r="A1326" s="15">
        <v>1003121.0</v>
      </c>
      <c r="B1326" s="15" t="s">
        <v>113</v>
      </c>
      <c r="C1326" s="15" t="s">
        <v>197</v>
      </c>
    </row>
    <row r="1327" ht="22.5" customHeight="1">
      <c r="A1327" s="15">
        <v>1003122.0</v>
      </c>
      <c r="B1327" s="15" t="s">
        <v>114</v>
      </c>
      <c r="C1327" s="15" t="s">
        <v>198</v>
      </c>
    </row>
    <row r="1328" ht="22.5" customHeight="1">
      <c r="A1328" s="15">
        <v>1003200.0</v>
      </c>
      <c r="B1328" s="15" t="s">
        <v>115</v>
      </c>
      <c r="C1328" s="15" t="s">
        <v>199</v>
      </c>
    </row>
    <row r="1329" ht="22.5" customHeight="1">
      <c r="A1329" s="15">
        <v>1003201.0</v>
      </c>
      <c r="B1329" s="15" t="s">
        <v>116</v>
      </c>
      <c r="C1329" s="15" t="s">
        <v>200</v>
      </c>
    </row>
    <row r="1330" ht="22.5" customHeight="1">
      <c r="A1330" s="15">
        <v>1003202.0</v>
      </c>
      <c r="B1330" s="15" t="s">
        <v>117</v>
      </c>
      <c r="C1330" s="15" t="s">
        <v>201</v>
      </c>
    </row>
    <row r="1331" ht="22.5" customHeight="1">
      <c r="A1331" s="15">
        <v>1003203.0</v>
      </c>
      <c r="B1331" s="15" t="s">
        <v>183</v>
      </c>
      <c r="C1331" s="15" t="s">
        <v>183</v>
      </c>
    </row>
    <row r="1332" ht="22.5" customHeight="1">
      <c r="A1332" s="15">
        <v>1003204.0</v>
      </c>
      <c r="B1332" s="15" t="s">
        <v>183</v>
      </c>
      <c r="C1332" s="15" t="s">
        <v>183</v>
      </c>
    </row>
    <row r="1333" ht="22.5" customHeight="1">
      <c r="A1333" s="15">
        <v>1003205.0</v>
      </c>
      <c r="B1333" s="15" t="s">
        <v>183</v>
      </c>
      <c r="C1333" s="15" t="s">
        <v>183</v>
      </c>
    </row>
    <row r="1334" ht="22.5" customHeight="1">
      <c r="A1334" s="15">
        <v>1003206.0</v>
      </c>
      <c r="B1334" s="15" t="s">
        <v>183</v>
      </c>
      <c r="C1334" s="15" t="s">
        <v>183</v>
      </c>
    </row>
    <row r="1335" ht="22.5" customHeight="1">
      <c r="A1335" s="15">
        <v>1003207.0</v>
      </c>
      <c r="B1335" s="15" t="s">
        <v>183</v>
      </c>
      <c r="C1335" s="15" t="s">
        <v>183</v>
      </c>
    </row>
    <row r="1336" ht="22.5" customHeight="1">
      <c r="A1336" s="15">
        <v>1003208.0</v>
      </c>
      <c r="B1336" s="15" t="s">
        <v>183</v>
      </c>
      <c r="C1336" s="15" t="s">
        <v>183</v>
      </c>
    </row>
    <row r="1337" ht="22.5" customHeight="1">
      <c r="A1337" s="15">
        <v>1003209.0</v>
      </c>
      <c r="B1337" s="15" t="s">
        <v>183</v>
      </c>
      <c r="C1337" s="15" t="s">
        <v>183</v>
      </c>
    </row>
    <row r="1338" ht="22.5" customHeight="1">
      <c r="A1338" s="15">
        <v>1003210.0</v>
      </c>
      <c r="B1338" s="15" t="s">
        <v>115</v>
      </c>
      <c r="C1338" s="15" t="s">
        <v>199</v>
      </c>
    </row>
    <row r="1339" ht="22.5" customHeight="1">
      <c r="A1339" s="15">
        <v>1003211.0</v>
      </c>
      <c r="B1339" s="15" t="s">
        <v>116</v>
      </c>
      <c r="C1339" s="15" t="s">
        <v>200</v>
      </c>
    </row>
    <row r="1340" ht="22.5" customHeight="1">
      <c r="A1340" s="15">
        <v>1003212.0</v>
      </c>
      <c r="B1340" s="15" t="s">
        <v>117</v>
      </c>
      <c r="C1340" s="15" t="s">
        <v>201</v>
      </c>
    </row>
    <row r="1341" ht="22.5" customHeight="1">
      <c r="A1341" s="15">
        <v>1003213.0</v>
      </c>
      <c r="B1341" s="15" t="s">
        <v>183</v>
      </c>
      <c r="C1341" s="15" t="s">
        <v>183</v>
      </c>
    </row>
    <row r="1342" ht="22.5" customHeight="1">
      <c r="A1342" s="15">
        <v>1003214.0</v>
      </c>
      <c r="B1342" s="15" t="s">
        <v>183</v>
      </c>
      <c r="C1342" s="15" t="s">
        <v>183</v>
      </c>
    </row>
    <row r="1343" ht="22.5" customHeight="1">
      <c r="A1343" s="15">
        <v>1003215.0</v>
      </c>
      <c r="B1343" s="15" t="s">
        <v>183</v>
      </c>
      <c r="C1343" s="15" t="s">
        <v>183</v>
      </c>
    </row>
    <row r="1344" ht="22.5" customHeight="1">
      <c r="A1344" s="15">
        <v>1003216.0</v>
      </c>
      <c r="B1344" s="15" t="s">
        <v>183</v>
      </c>
      <c r="C1344" s="15" t="s">
        <v>183</v>
      </c>
    </row>
    <row r="1345" ht="22.5" customHeight="1">
      <c r="A1345" s="15">
        <v>1003217.0</v>
      </c>
      <c r="B1345" s="15" t="s">
        <v>183</v>
      </c>
      <c r="C1345" s="15" t="s">
        <v>183</v>
      </c>
    </row>
    <row r="1346" ht="22.5" customHeight="1">
      <c r="A1346" s="15">
        <v>1003218.0</v>
      </c>
      <c r="B1346" s="15" t="s">
        <v>183</v>
      </c>
      <c r="C1346" s="15" t="s">
        <v>183</v>
      </c>
    </row>
    <row r="1347" ht="22.5" customHeight="1">
      <c r="A1347" s="15">
        <v>1003219.0</v>
      </c>
      <c r="B1347" s="15" t="s">
        <v>183</v>
      </c>
      <c r="C1347" s="15" t="s">
        <v>183</v>
      </c>
    </row>
    <row r="1348" ht="22.5" customHeight="1">
      <c r="A1348" s="15">
        <v>1003220.0</v>
      </c>
      <c r="B1348" s="15" t="s">
        <v>115</v>
      </c>
      <c r="C1348" s="15" t="s">
        <v>199</v>
      </c>
    </row>
    <row r="1349" ht="22.5" customHeight="1">
      <c r="A1349" s="15">
        <v>1003221.0</v>
      </c>
      <c r="B1349" s="15" t="s">
        <v>116</v>
      </c>
      <c r="C1349" s="15" t="s">
        <v>200</v>
      </c>
    </row>
    <row r="1350" ht="22.5" customHeight="1">
      <c r="A1350" s="15">
        <v>1003222.0</v>
      </c>
      <c r="B1350" s="15" t="s">
        <v>117</v>
      </c>
      <c r="C1350" s="15" t="s">
        <v>201</v>
      </c>
    </row>
    <row r="1351" ht="22.5" customHeight="1">
      <c r="A1351" s="15">
        <v>1003300.0</v>
      </c>
      <c r="B1351" s="15" t="s">
        <v>118</v>
      </c>
      <c r="C1351" s="15" t="s">
        <v>202</v>
      </c>
    </row>
    <row r="1352" ht="22.5" customHeight="1">
      <c r="A1352" s="15">
        <v>1003301.0</v>
      </c>
      <c r="B1352" s="15" t="s">
        <v>119</v>
      </c>
      <c r="C1352" s="15" t="s">
        <v>203</v>
      </c>
    </row>
    <row r="1353" ht="22.5" customHeight="1">
      <c r="A1353" s="15">
        <v>1003302.0</v>
      </c>
      <c r="B1353" s="15" t="s">
        <v>120</v>
      </c>
      <c r="C1353" s="15" t="s">
        <v>204</v>
      </c>
    </row>
    <row r="1354" ht="22.5" customHeight="1">
      <c r="A1354" s="15">
        <v>1003303.0</v>
      </c>
      <c r="B1354" s="15" t="s">
        <v>183</v>
      </c>
      <c r="C1354" s="15" t="s">
        <v>183</v>
      </c>
    </row>
    <row r="1355" ht="22.5" customHeight="1">
      <c r="A1355" s="15">
        <v>1003304.0</v>
      </c>
      <c r="B1355" s="15" t="s">
        <v>183</v>
      </c>
      <c r="C1355" s="15" t="s">
        <v>183</v>
      </c>
    </row>
    <row r="1356" ht="22.5" customHeight="1">
      <c r="A1356" s="15">
        <v>1003305.0</v>
      </c>
      <c r="B1356" s="15" t="s">
        <v>183</v>
      </c>
      <c r="C1356" s="15" t="s">
        <v>183</v>
      </c>
    </row>
    <row r="1357" ht="22.5" customHeight="1">
      <c r="A1357" s="15">
        <v>1003306.0</v>
      </c>
      <c r="B1357" s="15" t="s">
        <v>183</v>
      </c>
      <c r="C1357" s="15" t="s">
        <v>183</v>
      </c>
    </row>
    <row r="1358" ht="22.5" customHeight="1">
      <c r="A1358" s="15">
        <v>1003307.0</v>
      </c>
      <c r="B1358" s="15" t="s">
        <v>183</v>
      </c>
      <c r="C1358" s="15" t="s">
        <v>183</v>
      </c>
    </row>
    <row r="1359" ht="22.5" customHeight="1">
      <c r="A1359" s="15">
        <v>1003308.0</v>
      </c>
      <c r="B1359" s="15" t="s">
        <v>183</v>
      </c>
      <c r="C1359" s="15" t="s">
        <v>183</v>
      </c>
    </row>
    <row r="1360" ht="22.5" customHeight="1">
      <c r="A1360" s="15">
        <v>1003309.0</v>
      </c>
      <c r="B1360" s="15" t="s">
        <v>183</v>
      </c>
      <c r="C1360" s="15" t="s">
        <v>183</v>
      </c>
    </row>
    <row r="1361" ht="22.5" customHeight="1">
      <c r="A1361" s="15">
        <v>1003310.0</v>
      </c>
      <c r="B1361" s="15" t="s">
        <v>118</v>
      </c>
      <c r="C1361" s="15" t="s">
        <v>202</v>
      </c>
    </row>
    <row r="1362" ht="22.5" customHeight="1">
      <c r="A1362" s="15">
        <v>1003311.0</v>
      </c>
      <c r="B1362" s="15" t="s">
        <v>119</v>
      </c>
      <c r="C1362" s="15" t="s">
        <v>203</v>
      </c>
    </row>
    <row r="1363" ht="22.5" customHeight="1">
      <c r="A1363" s="15">
        <v>1003312.0</v>
      </c>
      <c r="B1363" s="15" t="s">
        <v>120</v>
      </c>
      <c r="C1363" s="15" t="s">
        <v>204</v>
      </c>
    </row>
    <row r="1364" ht="22.5" customHeight="1">
      <c r="A1364" s="15">
        <v>1003313.0</v>
      </c>
      <c r="B1364" s="15" t="s">
        <v>183</v>
      </c>
      <c r="C1364" s="15" t="s">
        <v>183</v>
      </c>
    </row>
    <row r="1365" ht="22.5" customHeight="1">
      <c r="A1365" s="15">
        <v>1003314.0</v>
      </c>
      <c r="B1365" s="15" t="s">
        <v>183</v>
      </c>
      <c r="C1365" s="15" t="s">
        <v>183</v>
      </c>
    </row>
    <row r="1366" ht="22.5" customHeight="1">
      <c r="A1366" s="15">
        <v>1003315.0</v>
      </c>
      <c r="B1366" s="15" t="s">
        <v>183</v>
      </c>
      <c r="C1366" s="15" t="s">
        <v>183</v>
      </c>
    </row>
    <row r="1367" ht="22.5" customHeight="1">
      <c r="A1367" s="15">
        <v>1003316.0</v>
      </c>
      <c r="B1367" s="15" t="s">
        <v>183</v>
      </c>
      <c r="C1367" s="15" t="s">
        <v>183</v>
      </c>
    </row>
    <row r="1368" ht="22.5" customHeight="1">
      <c r="A1368" s="15">
        <v>1003317.0</v>
      </c>
      <c r="B1368" s="15" t="s">
        <v>183</v>
      </c>
      <c r="C1368" s="15" t="s">
        <v>183</v>
      </c>
    </row>
    <row r="1369" ht="22.5" customHeight="1">
      <c r="A1369" s="15">
        <v>1003318.0</v>
      </c>
      <c r="B1369" s="15" t="s">
        <v>183</v>
      </c>
      <c r="C1369" s="15" t="s">
        <v>183</v>
      </c>
    </row>
    <row r="1370" ht="22.5" customHeight="1">
      <c r="A1370" s="15">
        <v>1003319.0</v>
      </c>
      <c r="B1370" s="15" t="s">
        <v>183</v>
      </c>
      <c r="C1370" s="15" t="s">
        <v>183</v>
      </c>
    </row>
    <row r="1371" ht="22.5" customHeight="1">
      <c r="A1371" s="15">
        <v>1003320.0</v>
      </c>
      <c r="B1371" s="15" t="s">
        <v>118</v>
      </c>
      <c r="C1371" s="15" t="s">
        <v>202</v>
      </c>
    </row>
    <row r="1372" ht="22.5" customHeight="1">
      <c r="A1372" s="15">
        <v>1003321.0</v>
      </c>
      <c r="B1372" s="15" t="s">
        <v>119</v>
      </c>
      <c r="C1372" s="15" t="s">
        <v>203</v>
      </c>
    </row>
    <row r="1373" ht="22.5" customHeight="1">
      <c r="A1373" s="15">
        <v>1003322.0</v>
      </c>
      <c r="B1373" s="15" t="s">
        <v>120</v>
      </c>
      <c r="C1373" s="15" t="s">
        <v>204</v>
      </c>
    </row>
    <row r="1374" ht="22.5" customHeight="1">
      <c r="A1374" s="15">
        <v>1004000.0</v>
      </c>
      <c r="B1374" s="15" t="s">
        <v>109</v>
      </c>
      <c r="C1374" s="15" t="s">
        <v>193</v>
      </c>
    </row>
    <row r="1375" ht="22.5" customHeight="1">
      <c r="A1375" s="15">
        <v>1004001.0</v>
      </c>
      <c r="B1375" s="15" t="s">
        <v>110</v>
      </c>
      <c r="C1375" s="15" t="s">
        <v>194</v>
      </c>
    </row>
    <row r="1376" ht="22.5" customHeight="1">
      <c r="A1376" s="15">
        <v>1004002.0</v>
      </c>
      <c r="B1376" s="15" t="s">
        <v>111</v>
      </c>
      <c r="C1376" s="15" t="s">
        <v>195</v>
      </c>
    </row>
    <row r="1377" ht="22.5" customHeight="1">
      <c r="A1377" s="15">
        <v>1004003.0</v>
      </c>
      <c r="B1377" s="15" t="s">
        <v>183</v>
      </c>
      <c r="C1377" s="15" t="s">
        <v>183</v>
      </c>
    </row>
    <row r="1378" ht="22.5" customHeight="1">
      <c r="A1378" s="15">
        <v>1004004.0</v>
      </c>
      <c r="B1378" s="15" t="s">
        <v>183</v>
      </c>
      <c r="C1378" s="15" t="s">
        <v>183</v>
      </c>
    </row>
    <row r="1379" ht="22.5" customHeight="1">
      <c r="A1379" s="15">
        <v>1004005.0</v>
      </c>
      <c r="B1379" s="15" t="s">
        <v>183</v>
      </c>
      <c r="C1379" s="15" t="s">
        <v>183</v>
      </c>
    </row>
    <row r="1380" ht="22.5" customHeight="1">
      <c r="A1380" s="15">
        <v>1004006.0</v>
      </c>
      <c r="B1380" s="15" t="s">
        <v>183</v>
      </c>
      <c r="C1380" s="15" t="s">
        <v>183</v>
      </c>
    </row>
    <row r="1381" ht="22.5" customHeight="1">
      <c r="A1381" s="15">
        <v>1004007.0</v>
      </c>
      <c r="B1381" s="15" t="s">
        <v>183</v>
      </c>
      <c r="C1381" s="15" t="s">
        <v>183</v>
      </c>
    </row>
    <row r="1382" ht="22.5" customHeight="1">
      <c r="A1382" s="15">
        <v>1004008.0</v>
      </c>
      <c r="B1382" s="15" t="s">
        <v>183</v>
      </c>
      <c r="C1382" s="15" t="s">
        <v>183</v>
      </c>
    </row>
    <row r="1383" ht="22.5" customHeight="1">
      <c r="A1383" s="15">
        <v>1004009.0</v>
      </c>
      <c r="B1383" s="15" t="s">
        <v>183</v>
      </c>
      <c r="C1383" s="15" t="s">
        <v>183</v>
      </c>
    </row>
    <row r="1384" ht="22.5" customHeight="1">
      <c r="A1384" s="15">
        <v>1004010.0</v>
      </c>
      <c r="B1384" s="15" t="s">
        <v>109</v>
      </c>
      <c r="C1384" s="15" t="s">
        <v>193</v>
      </c>
    </row>
    <row r="1385" ht="22.5" customHeight="1">
      <c r="A1385" s="15">
        <v>1004011.0</v>
      </c>
      <c r="B1385" s="15" t="s">
        <v>110</v>
      </c>
      <c r="C1385" s="15" t="s">
        <v>194</v>
      </c>
    </row>
    <row r="1386" ht="22.5" customHeight="1">
      <c r="A1386" s="15">
        <v>1004012.0</v>
      </c>
      <c r="B1386" s="15" t="s">
        <v>111</v>
      </c>
      <c r="C1386" s="15" t="s">
        <v>195</v>
      </c>
    </row>
    <row r="1387" ht="22.5" customHeight="1">
      <c r="A1387" s="15">
        <v>1004013.0</v>
      </c>
      <c r="B1387" s="15" t="s">
        <v>183</v>
      </c>
      <c r="C1387" s="15" t="s">
        <v>183</v>
      </c>
    </row>
    <row r="1388" ht="22.5" customHeight="1">
      <c r="A1388" s="15">
        <v>1004014.0</v>
      </c>
      <c r="B1388" s="15" t="s">
        <v>183</v>
      </c>
      <c r="C1388" s="15" t="s">
        <v>183</v>
      </c>
    </row>
    <row r="1389" ht="22.5" customHeight="1">
      <c r="A1389" s="15">
        <v>1004015.0</v>
      </c>
      <c r="B1389" s="15" t="s">
        <v>183</v>
      </c>
      <c r="C1389" s="15" t="s">
        <v>183</v>
      </c>
    </row>
    <row r="1390" ht="22.5" customHeight="1">
      <c r="A1390" s="15">
        <v>1004016.0</v>
      </c>
      <c r="B1390" s="15" t="s">
        <v>183</v>
      </c>
      <c r="C1390" s="15" t="s">
        <v>183</v>
      </c>
    </row>
    <row r="1391" ht="22.5" customHeight="1">
      <c r="A1391" s="15">
        <v>1004017.0</v>
      </c>
      <c r="B1391" s="15" t="s">
        <v>183</v>
      </c>
      <c r="C1391" s="15" t="s">
        <v>183</v>
      </c>
    </row>
    <row r="1392" ht="22.5" customHeight="1">
      <c r="A1392" s="15">
        <v>1004018.0</v>
      </c>
      <c r="B1392" s="15" t="s">
        <v>183</v>
      </c>
      <c r="C1392" s="15" t="s">
        <v>183</v>
      </c>
    </row>
    <row r="1393" ht="22.5" customHeight="1">
      <c r="A1393" s="15">
        <v>1004019.0</v>
      </c>
      <c r="B1393" s="15" t="s">
        <v>183</v>
      </c>
      <c r="C1393" s="15" t="s">
        <v>183</v>
      </c>
    </row>
    <row r="1394" ht="22.5" customHeight="1">
      <c r="A1394" s="15">
        <v>1004020.0</v>
      </c>
      <c r="B1394" s="15" t="s">
        <v>109</v>
      </c>
      <c r="C1394" s="15" t="s">
        <v>193</v>
      </c>
    </row>
    <row r="1395" ht="22.5" customHeight="1">
      <c r="A1395" s="15">
        <v>1004021.0</v>
      </c>
      <c r="B1395" s="15" t="s">
        <v>110</v>
      </c>
      <c r="C1395" s="15" t="s">
        <v>194</v>
      </c>
    </row>
    <row r="1396" ht="22.5" customHeight="1">
      <c r="A1396" s="15">
        <v>1004022.0</v>
      </c>
      <c r="B1396" s="15" t="s">
        <v>111</v>
      </c>
      <c r="C1396" s="15" t="s">
        <v>195</v>
      </c>
    </row>
    <row r="1397" ht="22.5" customHeight="1">
      <c r="A1397" s="15">
        <v>1004100.0</v>
      </c>
      <c r="B1397" s="15" t="s">
        <v>112</v>
      </c>
      <c r="C1397" s="15" t="s">
        <v>196</v>
      </c>
    </row>
    <row r="1398" ht="22.5" customHeight="1">
      <c r="A1398" s="15">
        <v>1004101.0</v>
      </c>
      <c r="B1398" s="15" t="s">
        <v>113</v>
      </c>
      <c r="C1398" s="15" t="s">
        <v>197</v>
      </c>
    </row>
    <row r="1399" ht="22.5" customHeight="1">
      <c r="A1399" s="15">
        <v>1004102.0</v>
      </c>
      <c r="B1399" s="15" t="s">
        <v>114</v>
      </c>
      <c r="C1399" s="15" t="s">
        <v>198</v>
      </c>
    </row>
    <row r="1400" ht="22.5" customHeight="1">
      <c r="A1400" s="15">
        <v>1004103.0</v>
      </c>
      <c r="B1400" s="15" t="s">
        <v>183</v>
      </c>
      <c r="C1400" s="15" t="s">
        <v>183</v>
      </c>
    </row>
    <row r="1401" ht="22.5" customHeight="1">
      <c r="A1401" s="15">
        <v>1004104.0</v>
      </c>
      <c r="B1401" s="15" t="s">
        <v>183</v>
      </c>
      <c r="C1401" s="15" t="s">
        <v>183</v>
      </c>
    </row>
    <row r="1402" ht="22.5" customHeight="1">
      <c r="A1402" s="15">
        <v>1004105.0</v>
      </c>
      <c r="B1402" s="15" t="s">
        <v>183</v>
      </c>
      <c r="C1402" s="15" t="s">
        <v>183</v>
      </c>
    </row>
    <row r="1403" ht="22.5" customHeight="1">
      <c r="A1403" s="15">
        <v>1004106.0</v>
      </c>
      <c r="B1403" s="15" t="s">
        <v>183</v>
      </c>
      <c r="C1403" s="15" t="s">
        <v>183</v>
      </c>
    </row>
    <row r="1404" ht="22.5" customHeight="1">
      <c r="A1404" s="15">
        <v>1004107.0</v>
      </c>
      <c r="B1404" s="15" t="s">
        <v>183</v>
      </c>
      <c r="C1404" s="15" t="s">
        <v>183</v>
      </c>
    </row>
    <row r="1405" ht="22.5" customHeight="1">
      <c r="A1405" s="15">
        <v>1004108.0</v>
      </c>
      <c r="B1405" s="15" t="s">
        <v>183</v>
      </c>
      <c r="C1405" s="15" t="s">
        <v>183</v>
      </c>
    </row>
    <row r="1406" ht="22.5" customHeight="1">
      <c r="A1406" s="15">
        <v>1004109.0</v>
      </c>
      <c r="B1406" s="15" t="s">
        <v>183</v>
      </c>
      <c r="C1406" s="15" t="s">
        <v>183</v>
      </c>
    </row>
    <row r="1407" ht="22.5" customHeight="1">
      <c r="A1407" s="15">
        <v>1004110.0</v>
      </c>
      <c r="B1407" s="15" t="s">
        <v>112</v>
      </c>
      <c r="C1407" s="15" t="s">
        <v>196</v>
      </c>
    </row>
    <row r="1408" ht="22.5" customHeight="1">
      <c r="A1408" s="15">
        <v>1004111.0</v>
      </c>
      <c r="B1408" s="15" t="s">
        <v>113</v>
      </c>
      <c r="C1408" s="15" t="s">
        <v>197</v>
      </c>
    </row>
    <row r="1409" ht="22.5" customHeight="1">
      <c r="A1409" s="15">
        <v>1004112.0</v>
      </c>
      <c r="B1409" s="15" t="s">
        <v>114</v>
      </c>
      <c r="C1409" s="15" t="s">
        <v>198</v>
      </c>
    </row>
    <row r="1410" ht="22.5" customHeight="1">
      <c r="A1410" s="15">
        <v>1004113.0</v>
      </c>
      <c r="B1410" s="15" t="s">
        <v>183</v>
      </c>
      <c r="C1410" s="15" t="s">
        <v>183</v>
      </c>
    </row>
    <row r="1411" ht="22.5" customHeight="1">
      <c r="A1411" s="15">
        <v>1004114.0</v>
      </c>
      <c r="B1411" s="15" t="s">
        <v>183</v>
      </c>
      <c r="C1411" s="15" t="s">
        <v>183</v>
      </c>
    </row>
    <row r="1412" ht="22.5" customHeight="1">
      <c r="A1412" s="15">
        <v>1004115.0</v>
      </c>
      <c r="B1412" s="15" t="s">
        <v>183</v>
      </c>
      <c r="C1412" s="15" t="s">
        <v>183</v>
      </c>
    </row>
    <row r="1413" ht="22.5" customHeight="1">
      <c r="A1413" s="15">
        <v>1004116.0</v>
      </c>
      <c r="B1413" s="15" t="s">
        <v>183</v>
      </c>
      <c r="C1413" s="15" t="s">
        <v>183</v>
      </c>
    </row>
    <row r="1414" ht="22.5" customHeight="1">
      <c r="A1414" s="15">
        <v>1004117.0</v>
      </c>
      <c r="B1414" s="15" t="s">
        <v>183</v>
      </c>
      <c r="C1414" s="15" t="s">
        <v>183</v>
      </c>
    </row>
    <row r="1415" ht="22.5" customHeight="1">
      <c r="A1415" s="15">
        <v>1004118.0</v>
      </c>
      <c r="B1415" s="15" t="s">
        <v>183</v>
      </c>
      <c r="C1415" s="15" t="s">
        <v>183</v>
      </c>
    </row>
    <row r="1416" ht="22.5" customHeight="1">
      <c r="A1416" s="15">
        <v>1004119.0</v>
      </c>
      <c r="B1416" s="15" t="s">
        <v>183</v>
      </c>
      <c r="C1416" s="15" t="s">
        <v>183</v>
      </c>
    </row>
    <row r="1417" ht="22.5" customHeight="1">
      <c r="A1417" s="15">
        <v>1004120.0</v>
      </c>
      <c r="B1417" s="15" t="s">
        <v>112</v>
      </c>
      <c r="C1417" s="15" t="s">
        <v>196</v>
      </c>
    </row>
    <row r="1418" ht="22.5" customHeight="1">
      <c r="A1418" s="15">
        <v>1004121.0</v>
      </c>
      <c r="B1418" s="15" t="s">
        <v>113</v>
      </c>
      <c r="C1418" s="15" t="s">
        <v>197</v>
      </c>
    </row>
    <row r="1419" ht="22.5" customHeight="1">
      <c r="A1419" s="15">
        <v>1004122.0</v>
      </c>
      <c r="B1419" s="15" t="s">
        <v>114</v>
      </c>
      <c r="C1419" s="15" t="s">
        <v>198</v>
      </c>
    </row>
    <row r="1420" ht="22.5" customHeight="1">
      <c r="A1420" s="15">
        <v>1004200.0</v>
      </c>
      <c r="B1420" s="15" t="s">
        <v>115</v>
      </c>
      <c r="C1420" s="15" t="s">
        <v>199</v>
      </c>
    </row>
    <row r="1421" ht="22.5" customHeight="1">
      <c r="A1421" s="15">
        <v>1004201.0</v>
      </c>
      <c r="B1421" s="15" t="s">
        <v>116</v>
      </c>
      <c r="C1421" s="15" t="s">
        <v>200</v>
      </c>
    </row>
    <row r="1422" ht="22.5" customHeight="1">
      <c r="A1422" s="15">
        <v>1004202.0</v>
      </c>
      <c r="B1422" s="15" t="s">
        <v>117</v>
      </c>
      <c r="C1422" s="15" t="s">
        <v>201</v>
      </c>
    </row>
    <row r="1423" ht="22.5" customHeight="1">
      <c r="A1423" s="15">
        <v>1004203.0</v>
      </c>
      <c r="B1423" s="15" t="s">
        <v>183</v>
      </c>
      <c r="C1423" s="15" t="s">
        <v>183</v>
      </c>
    </row>
    <row r="1424" ht="22.5" customHeight="1">
      <c r="A1424" s="15">
        <v>1004204.0</v>
      </c>
      <c r="B1424" s="15" t="s">
        <v>183</v>
      </c>
      <c r="C1424" s="15" t="s">
        <v>183</v>
      </c>
    </row>
    <row r="1425" ht="22.5" customHeight="1">
      <c r="A1425" s="15">
        <v>1004205.0</v>
      </c>
      <c r="B1425" s="15" t="s">
        <v>183</v>
      </c>
      <c r="C1425" s="15" t="s">
        <v>183</v>
      </c>
    </row>
    <row r="1426" ht="22.5" customHeight="1">
      <c r="A1426" s="15">
        <v>1004206.0</v>
      </c>
      <c r="B1426" s="15" t="s">
        <v>183</v>
      </c>
      <c r="C1426" s="15" t="s">
        <v>183</v>
      </c>
    </row>
    <row r="1427" ht="22.5" customHeight="1">
      <c r="A1427" s="15">
        <v>1004207.0</v>
      </c>
      <c r="B1427" s="15" t="s">
        <v>183</v>
      </c>
      <c r="C1427" s="15" t="s">
        <v>183</v>
      </c>
    </row>
    <row r="1428" ht="22.5" customHeight="1">
      <c r="A1428" s="15">
        <v>1004208.0</v>
      </c>
      <c r="B1428" s="15" t="s">
        <v>183</v>
      </c>
      <c r="C1428" s="15" t="s">
        <v>183</v>
      </c>
    </row>
    <row r="1429" ht="22.5" customHeight="1">
      <c r="A1429" s="15">
        <v>1004209.0</v>
      </c>
      <c r="B1429" s="15" t="s">
        <v>183</v>
      </c>
      <c r="C1429" s="15" t="s">
        <v>183</v>
      </c>
    </row>
    <row r="1430" ht="22.5" customHeight="1">
      <c r="A1430" s="15">
        <v>1004210.0</v>
      </c>
      <c r="B1430" s="15" t="s">
        <v>115</v>
      </c>
      <c r="C1430" s="15" t="s">
        <v>199</v>
      </c>
    </row>
    <row r="1431" ht="22.5" customHeight="1">
      <c r="A1431" s="15">
        <v>1004211.0</v>
      </c>
      <c r="B1431" s="15" t="s">
        <v>116</v>
      </c>
      <c r="C1431" s="15" t="s">
        <v>200</v>
      </c>
    </row>
    <row r="1432" ht="22.5" customHeight="1">
      <c r="A1432" s="15">
        <v>1004212.0</v>
      </c>
      <c r="B1432" s="15" t="s">
        <v>117</v>
      </c>
      <c r="C1432" s="15" t="s">
        <v>201</v>
      </c>
    </row>
    <row r="1433" ht="22.5" customHeight="1">
      <c r="A1433" s="15">
        <v>1004213.0</v>
      </c>
      <c r="B1433" s="15" t="s">
        <v>183</v>
      </c>
      <c r="C1433" s="15" t="s">
        <v>183</v>
      </c>
    </row>
    <row r="1434" ht="22.5" customHeight="1">
      <c r="A1434" s="15">
        <v>1004214.0</v>
      </c>
      <c r="B1434" s="15" t="s">
        <v>183</v>
      </c>
      <c r="C1434" s="15" t="s">
        <v>183</v>
      </c>
    </row>
    <row r="1435" ht="22.5" customHeight="1">
      <c r="A1435" s="15">
        <v>1004215.0</v>
      </c>
      <c r="B1435" s="15" t="s">
        <v>183</v>
      </c>
      <c r="C1435" s="15" t="s">
        <v>183</v>
      </c>
    </row>
    <row r="1436" ht="22.5" customHeight="1">
      <c r="A1436" s="15">
        <v>1004216.0</v>
      </c>
      <c r="B1436" s="15" t="s">
        <v>183</v>
      </c>
      <c r="C1436" s="15" t="s">
        <v>183</v>
      </c>
    </row>
    <row r="1437" ht="22.5" customHeight="1">
      <c r="A1437" s="15">
        <v>1004217.0</v>
      </c>
      <c r="B1437" s="15" t="s">
        <v>183</v>
      </c>
      <c r="C1437" s="15" t="s">
        <v>183</v>
      </c>
    </row>
    <row r="1438" ht="22.5" customHeight="1">
      <c r="A1438" s="15">
        <v>1004218.0</v>
      </c>
      <c r="B1438" s="15" t="s">
        <v>183</v>
      </c>
      <c r="C1438" s="15" t="s">
        <v>183</v>
      </c>
    </row>
    <row r="1439" ht="22.5" customHeight="1">
      <c r="A1439" s="15">
        <v>1004219.0</v>
      </c>
      <c r="B1439" s="15" t="s">
        <v>183</v>
      </c>
      <c r="C1439" s="15" t="s">
        <v>183</v>
      </c>
    </row>
    <row r="1440" ht="22.5" customHeight="1">
      <c r="A1440" s="15">
        <v>1004220.0</v>
      </c>
      <c r="B1440" s="15" t="s">
        <v>115</v>
      </c>
      <c r="C1440" s="15" t="s">
        <v>199</v>
      </c>
    </row>
    <row r="1441" ht="22.5" customHeight="1">
      <c r="A1441" s="15">
        <v>1004221.0</v>
      </c>
      <c r="B1441" s="15" t="s">
        <v>116</v>
      </c>
      <c r="C1441" s="15" t="s">
        <v>200</v>
      </c>
    </row>
    <row r="1442" ht="22.5" customHeight="1">
      <c r="A1442" s="15">
        <v>1004222.0</v>
      </c>
      <c r="B1442" s="15" t="s">
        <v>117</v>
      </c>
      <c r="C1442" s="15" t="s">
        <v>201</v>
      </c>
    </row>
    <row r="1443" ht="22.5" customHeight="1">
      <c r="A1443" s="15">
        <v>1004300.0</v>
      </c>
      <c r="B1443" s="15" t="s">
        <v>118</v>
      </c>
      <c r="C1443" s="15" t="s">
        <v>202</v>
      </c>
    </row>
    <row r="1444" ht="22.5" customHeight="1">
      <c r="A1444" s="15">
        <v>1004301.0</v>
      </c>
      <c r="B1444" s="15" t="s">
        <v>119</v>
      </c>
      <c r="C1444" s="15" t="s">
        <v>203</v>
      </c>
    </row>
    <row r="1445" ht="22.5" customHeight="1">
      <c r="A1445" s="15">
        <v>1004302.0</v>
      </c>
      <c r="B1445" s="15" t="s">
        <v>120</v>
      </c>
      <c r="C1445" s="15" t="s">
        <v>204</v>
      </c>
    </row>
    <row r="1446" ht="22.5" customHeight="1">
      <c r="A1446" s="15">
        <v>1004303.0</v>
      </c>
      <c r="B1446" s="15" t="s">
        <v>183</v>
      </c>
      <c r="C1446" s="15" t="s">
        <v>183</v>
      </c>
    </row>
    <row r="1447" ht="22.5" customHeight="1">
      <c r="A1447" s="15">
        <v>1004304.0</v>
      </c>
      <c r="B1447" s="15" t="s">
        <v>183</v>
      </c>
      <c r="C1447" s="15" t="s">
        <v>183</v>
      </c>
    </row>
    <row r="1448" ht="22.5" customHeight="1">
      <c r="A1448" s="15">
        <v>1004305.0</v>
      </c>
      <c r="B1448" s="15" t="s">
        <v>183</v>
      </c>
      <c r="C1448" s="15" t="s">
        <v>183</v>
      </c>
    </row>
    <row r="1449" ht="22.5" customHeight="1">
      <c r="A1449" s="15">
        <v>1004306.0</v>
      </c>
      <c r="B1449" s="15" t="s">
        <v>183</v>
      </c>
      <c r="C1449" s="15" t="s">
        <v>183</v>
      </c>
    </row>
    <row r="1450" ht="22.5" customHeight="1">
      <c r="A1450" s="15">
        <v>1004307.0</v>
      </c>
      <c r="B1450" s="15" t="s">
        <v>183</v>
      </c>
      <c r="C1450" s="15" t="s">
        <v>183</v>
      </c>
    </row>
    <row r="1451" ht="22.5" customHeight="1">
      <c r="A1451" s="15">
        <v>1004308.0</v>
      </c>
      <c r="B1451" s="15" t="s">
        <v>183</v>
      </c>
      <c r="C1451" s="15" t="s">
        <v>183</v>
      </c>
    </row>
    <row r="1452" ht="22.5" customHeight="1">
      <c r="A1452" s="15">
        <v>1004309.0</v>
      </c>
      <c r="B1452" s="15" t="s">
        <v>183</v>
      </c>
      <c r="C1452" s="15" t="s">
        <v>183</v>
      </c>
    </row>
    <row r="1453" ht="22.5" customHeight="1">
      <c r="A1453" s="15">
        <v>1004310.0</v>
      </c>
      <c r="B1453" s="15" t="s">
        <v>118</v>
      </c>
      <c r="C1453" s="15" t="s">
        <v>202</v>
      </c>
    </row>
    <row r="1454" ht="22.5" customHeight="1">
      <c r="A1454" s="15">
        <v>1004311.0</v>
      </c>
      <c r="B1454" s="15" t="s">
        <v>119</v>
      </c>
      <c r="C1454" s="15" t="s">
        <v>203</v>
      </c>
    </row>
    <row r="1455" ht="22.5" customHeight="1">
      <c r="A1455" s="15">
        <v>1004312.0</v>
      </c>
      <c r="B1455" s="15" t="s">
        <v>120</v>
      </c>
      <c r="C1455" s="15" t="s">
        <v>204</v>
      </c>
    </row>
    <row r="1456" ht="22.5" customHeight="1">
      <c r="A1456" s="15">
        <v>1004313.0</v>
      </c>
      <c r="B1456" s="15" t="s">
        <v>183</v>
      </c>
      <c r="C1456" s="15" t="s">
        <v>183</v>
      </c>
    </row>
    <row r="1457" ht="22.5" customHeight="1">
      <c r="A1457" s="15">
        <v>1004314.0</v>
      </c>
      <c r="B1457" s="15" t="s">
        <v>183</v>
      </c>
      <c r="C1457" s="15" t="s">
        <v>183</v>
      </c>
    </row>
    <row r="1458" ht="22.5" customHeight="1">
      <c r="A1458" s="15">
        <v>1004315.0</v>
      </c>
      <c r="B1458" s="15" t="s">
        <v>183</v>
      </c>
      <c r="C1458" s="15" t="s">
        <v>183</v>
      </c>
    </row>
    <row r="1459" ht="22.5" customHeight="1">
      <c r="A1459" s="15">
        <v>1004316.0</v>
      </c>
      <c r="B1459" s="15" t="s">
        <v>183</v>
      </c>
      <c r="C1459" s="15" t="s">
        <v>183</v>
      </c>
    </row>
    <row r="1460" ht="22.5" customHeight="1">
      <c r="A1460" s="15">
        <v>1004317.0</v>
      </c>
      <c r="B1460" s="15" t="s">
        <v>183</v>
      </c>
      <c r="C1460" s="15" t="s">
        <v>183</v>
      </c>
    </row>
    <row r="1461" ht="22.5" customHeight="1">
      <c r="A1461" s="15">
        <v>1004318.0</v>
      </c>
      <c r="B1461" s="15" t="s">
        <v>183</v>
      </c>
      <c r="C1461" s="15" t="s">
        <v>183</v>
      </c>
    </row>
    <row r="1462" ht="22.5" customHeight="1">
      <c r="A1462" s="15">
        <v>1004319.0</v>
      </c>
      <c r="B1462" s="15" t="s">
        <v>183</v>
      </c>
      <c r="C1462" s="15" t="s">
        <v>183</v>
      </c>
    </row>
    <row r="1463" ht="22.5" customHeight="1">
      <c r="A1463" s="15">
        <v>1004320.0</v>
      </c>
      <c r="B1463" s="15" t="s">
        <v>118</v>
      </c>
      <c r="C1463" s="15" t="s">
        <v>202</v>
      </c>
    </row>
    <row r="1464" ht="22.5" customHeight="1">
      <c r="A1464" s="15">
        <v>1004321.0</v>
      </c>
      <c r="B1464" s="15" t="s">
        <v>119</v>
      </c>
      <c r="C1464" s="15" t="s">
        <v>203</v>
      </c>
    </row>
    <row r="1465" ht="22.5" customHeight="1">
      <c r="A1465" s="15">
        <v>1004322.0</v>
      </c>
      <c r="B1465" s="15" t="s">
        <v>120</v>
      </c>
      <c r="C1465" s="15" t="s">
        <v>204</v>
      </c>
    </row>
    <row r="1466" ht="22.5" customHeight="1">
      <c r="A1466" s="15">
        <v>1005000.0</v>
      </c>
      <c r="B1466" s="15" t="s">
        <v>109</v>
      </c>
      <c r="C1466" s="15" t="s">
        <v>193</v>
      </c>
    </row>
    <row r="1467" ht="22.5" customHeight="1">
      <c r="A1467" s="15">
        <v>1005001.0</v>
      </c>
      <c r="B1467" s="15" t="s">
        <v>110</v>
      </c>
      <c r="C1467" s="15" t="s">
        <v>194</v>
      </c>
    </row>
    <row r="1468" ht="22.5" customHeight="1">
      <c r="A1468" s="15">
        <v>1005002.0</v>
      </c>
      <c r="B1468" s="15" t="s">
        <v>111</v>
      </c>
      <c r="C1468" s="15" t="s">
        <v>195</v>
      </c>
    </row>
    <row r="1469" ht="22.5" customHeight="1">
      <c r="A1469" s="15">
        <v>1005003.0</v>
      </c>
      <c r="B1469" s="15" t="s">
        <v>183</v>
      </c>
      <c r="C1469" s="15" t="s">
        <v>183</v>
      </c>
    </row>
    <row r="1470" ht="22.5" customHeight="1">
      <c r="A1470" s="15">
        <v>1005004.0</v>
      </c>
      <c r="B1470" s="15" t="s">
        <v>183</v>
      </c>
      <c r="C1470" s="15" t="s">
        <v>183</v>
      </c>
    </row>
    <row r="1471" ht="22.5" customHeight="1">
      <c r="A1471" s="15">
        <v>1005005.0</v>
      </c>
      <c r="B1471" s="15" t="s">
        <v>183</v>
      </c>
      <c r="C1471" s="15" t="s">
        <v>183</v>
      </c>
    </row>
    <row r="1472" ht="22.5" customHeight="1">
      <c r="A1472" s="15">
        <v>1005006.0</v>
      </c>
      <c r="B1472" s="15" t="s">
        <v>183</v>
      </c>
      <c r="C1472" s="15" t="s">
        <v>183</v>
      </c>
    </row>
    <row r="1473" ht="22.5" customHeight="1">
      <c r="A1473" s="15">
        <v>1005007.0</v>
      </c>
      <c r="B1473" s="15" t="s">
        <v>183</v>
      </c>
      <c r="C1473" s="15" t="s">
        <v>183</v>
      </c>
    </row>
    <row r="1474" ht="22.5" customHeight="1">
      <c r="A1474" s="15">
        <v>1005008.0</v>
      </c>
      <c r="B1474" s="15" t="s">
        <v>183</v>
      </c>
      <c r="C1474" s="15" t="s">
        <v>183</v>
      </c>
    </row>
    <row r="1475" ht="22.5" customHeight="1">
      <c r="A1475" s="15">
        <v>1005009.0</v>
      </c>
      <c r="B1475" s="15" t="s">
        <v>183</v>
      </c>
      <c r="C1475" s="15" t="s">
        <v>183</v>
      </c>
    </row>
    <row r="1476" ht="22.5" customHeight="1">
      <c r="A1476" s="15">
        <v>1005010.0</v>
      </c>
      <c r="B1476" s="15" t="s">
        <v>109</v>
      </c>
      <c r="C1476" s="15" t="s">
        <v>193</v>
      </c>
    </row>
    <row r="1477" ht="22.5" customHeight="1">
      <c r="A1477" s="15">
        <v>1005011.0</v>
      </c>
      <c r="B1477" s="15" t="s">
        <v>110</v>
      </c>
      <c r="C1477" s="15" t="s">
        <v>194</v>
      </c>
    </row>
    <row r="1478" ht="22.5" customHeight="1">
      <c r="A1478" s="15">
        <v>1005012.0</v>
      </c>
      <c r="B1478" s="15" t="s">
        <v>111</v>
      </c>
      <c r="C1478" s="15" t="s">
        <v>195</v>
      </c>
    </row>
    <row r="1479" ht="22.5" customHeight="1">
      <c r="A1479" s="15">
        <v>1005013.0</v>
      </c>
      <c r="B1479" s="15" t="s">
        <v>183</v>
      </c>
      <c r="C1479" s="15" t="s">
        <v>183</v>
      </c>
    </row>
    <row r="1480" ht="22.5" customHeight="1">
      <c r="A1480" s="15">
        <v>1005014.0</v>
      </c>
      <c r="B1480" s="15" t="s">
        <v>183</v>
      </c>
      <c r="C1480" s="15" t="s">
        <v>183</v>
      </c>
    </row>
    <row r="1481" ht="22.5" customHeight="1">
      <c r="A1481" s="15">
        <v>1005015.0</v>
      </c>
      <c r="B1481" s="15" t="s">
        <v>183</v>
      </c>
      <c r="C1481" s="15" t="s">
        <v>183</v>
      </c>
    </row>
    <row r="1482" ht="22.5" customHeight="1">
      <c r="A1482" s="15">
        <v>1005016.0</v>
      </c>
      <c r="B1482" s="15" t="s">
        <v>183</v>
      </c>
      <c r="C1482" s="15" t="s">
        <v>183</v>
      </c>
    </row>
    <row r="1483" ht="22.5" customHeight="1">
      <c r="A1483" s="15">
        <v>1005017.0</v>
      </c>
      <c r="B1483" s="15" t="s">
        <v>183</v>
      </c>
      <c r="C1483" s="15" t="s">
        <v>183</v>
      </c>
    </row>
    <row r="1484" ht="22.5" customHeight="1">
      <c r="A1484" s="15">
        <v>1005018.0</v>
      </c>
      <c r="B1484" s="15" t="s">
        <v>183</v>
      </c>
      <c r="C1484" s="15" t="s">
        <v>183</v>
      </c>
    </row>
    <row r="1485" ht="22.5" customHeight="1">
      <c r="A1485" s="15">
        <v>1005019.0</v>
      </c>
      <c r="B1485" s="15" t="s">
        <v>183</v>
      </c>
      <c r="C1485" s="15" t="s">
        <v>183</v>
      </c>
    </row>
    <row r="1486" ht="22.5" customHeight="1">
      <c r="A1486" s="15">
        <v>1005020.0</v>
      </c>
      <c r="B1486" s="15" t="s">
        <v>109</v>
      </c>
      <c r="C1486" s="15" t="s">
        <v>193</v>
      </c>
    </row>
    <row r="1487" ht="22.5" customHeight="1">
      <c r="A1487" s="15">
        <v>1005021.0</v>
      </c>
      <c r="B1487" s="15" t="s">
        <v>110</v>
      </c>
      <c r="C1487" s="15" t="s">
        <v>194</v>
      </c>
    </row>
    <row r="1488" ht="22.5" customHeight="1">
      <c r="A1488" s="15">
        <v>1005022.0</v>
      </c>
      <c r="B1488" s="15" t="s">
        <v>111</v>
      </c>
      <c r="C1488" s="15" t="s">
        <v>195</v>
      </c>
    </row>
    <row r="1489" ht="22.5" customHeight="1">
      <c r="A1489" s="15">
        <v>1005100.0</v>
      </c>
      <c r="B1489" s="15" t="s">
        <v>112</v>
      </c>
      <c r="C1489" s="15" t="s">
        <v>196</v>
      </c>
    </row>
    <row r="1490" ht="22.5" customHeight="1">
      <c r="A1490" s="15">
        <v>1005101.0</v>
      </c>
      <c r="B1490" s="15" t="s">
        <v>113</v>
      </c>
      <c r="C1490" s="15" t="s">
        <v>197</v>
      </c>
    </row>
    <row r="1491" ht="22.5" customHeight="1">
      <c r="A1491" s="15">
        <v>1005102.0</v>
      </c>
      <c r="B1491" s="15" t="s">
        <v>114</v>
      </c>
      <c r="C1491" s="15" t="s">
        <v>198</v>
      </c>
    </row>
    <row r="1492" ht="22.5" customHeight="1">
      <c r="A1492" s="15">
        <v>1005103.0</v>
      </c>
      <c r="B1492" s="15" t="s">
        <v>183</v>
      </c>
      <c r="C1492" s="15" t="s">
        <v>183</v>
      </c>
    </row>
    <row r="1493" ht="22.5" customHeight="1">
      <c r="A1493" s="15">
        <v>1005104.0</v>
      </c>
      <c r="B1493" s="15" t="s">
        <v>183</v>
      </c>
      <c r="C1493" s="15" t="s">
        <v>183</v>
      </c>
    </row>
    <row r="1494" ht="22.5" customHeight="1">
      <c r="A1494" s="15">
        <v>1005105.0</v>
      </c>
      <c r="B1494" s="15" t="s">
        <v>183</v>
      </c>
      <c r="C1494" s="15" t="s">
        <v>183</v>
      </c>
    </row>
    <row r="1495" ht="22.5" customHeight="1">
      <c r="A1495" s="15">
        <v>1005106.0</v>
      </c>
      <c r="B1495" s="15" t="s">
        <v>183</v>
      </c>
      <c r="C1495" s="15" t="s">
        <v>183</v>
      </c>
    </row>
    <row r="1496" ht="22.5" customHeight="1">
      <c r="A1496" s="15">
        <v>1005107.0</v>
      </c>
      <c r="B1496" s="15" t="s">
        <v>183</v>
      </c>
      <c r="C1496" s="15" t="s">
        <v>183</v>
      </c>
    </row>
    <row r="1497" ht="22.5" customHeight="1">
      <c r="A1497" s="15">
        <v>1005108.0</v>
      </c>
      <c r="B1497" s="15" t="s">
        <v>183</v>
      </c>
      <c r="C1497" s="15" t="s">
        <v>183</v>
      </c>
    </row>
    <row r="1498" ht="22.5" customHeight="1">
      <c r="A1498" s="15">
        <v>1005109.0</v>
      </c>
      <c r="B1498" s="15" t="s">
        <v>183</v>
      </c>
      <c r="C1498" s="15" t="s">
        <v>183</v>
      </c>
    </row>
    <row r="1499" ht="22.5" customHeight="1">
      <c r="A1499" s="15">
        <v>1005110.0</v>
      </c>
      <c r="B1499" s="15" t="s">
        <v>112</v>
      </c>
      <c r="C1499" s="15" t="s">
        <v>196</v>
      </c>
    </row>
    <row r="1500" ht="22.5" customHeight="1">
      <c r="A1500" s="15">
        <v>1005111.0</v>
      </c>
      <c r="B1500" s="15" t="s">
        <v>113</v>
      </c>
      <c r="C1500" s="15" t="s">
        <v>197</v>
      </c>
    </row>
    <row r="1501" ht="22.5" customHeight="1">
      <c r="A1501" s="15">
        <v>1005112.0</v>
      </c>
      <c r="B1501" s="15" t="s">
        <v>114</v>
      </c>
      <c r="C1501" s="15" t="s">
        <v>198</v>
      </c>
    </row>
    <row r="1502" ht="22.5" customHeight="1">
      <c r="A1502" s="15">
        <v>1005113.0</v>
      </c>
      <c r="B1502" s="15" t="s">
        <v>183</v>
      </c>
      <c r="C1502" s="15" t="s">
        <v>183</v>
      </c>
    </row>
    <row r="1503" ht="22.5" customHeight="1">
      <c r="A1503" s="15">
        <v>1005114.0</v>
      </c>
      <c r="B1503" s="15" t="s">
        <v>183</v>
      </c>
      <c r="C1503" s="15" t="s">
        <v>183</v>
      </c>
    </row>
    <row r="1504" ht="22.5" customHeight="1">
      <c r="A1504" s="15">
        <v>1005115.0</v>
      </c>
      <c r="B1504" s="15" t="s">
        <v>183</v>
      </c>
      <c r="C1504" s="15" t="s">
        <v>183</v>
      </c>
    </row>
    <row r="1505" ht="22.5" customHeight="1">
      <c r="A1505" s="15">
        <v>1005116.0</v>
      </c>
      <c r="B1505" s="15" t="s">
        <v>183</v>
      </c>
      <c r="C1505" s="15" t="s">
        <v>183</v>
      </c>
    </row>
    <row r="1506" ht="22.5" customHeight="1">
      <c r="A1506" s="15">
        <v>1005117.0</v>
      </c>
      <c r="B1506" s="15" t="s">
        <v>183</v>
      </c>
      <c r="C1506" s="15" t="s">
        <v>183</v>
      </c>
    </row>
    <row r="1507" ht="22.5" customHeight="1">
      <c r="A1507" s="15">
        <v>1005118.0</v>
      </c>
      <c r="B1507" s="15" t="s">
        <v>183</v>
      </c>
      <c r="C1507" s="15" t="s">
        <v>183</v>
      </c>
    </row>
    <row r="1508" ht="22.5" customHeight="1">
      <c r="A1508" s="15">
        <v>1005119.0</v>
      </c>
      <c r="B1508" s="15" t="s">
        <v>183</v>
      </c>
      <c r="C1508" s="15" t="s">
        <v>183</v>
      </c>
    </row>
    <row r="1509" ht="22.5" customHeight="1">
      <c r="A1509" s="15">
        <v>1005120.0</v>
      </c>
      <c r="B1509" s="15" t="s">
        <v>112</v>
      </c>
      <c r="C1509" s="15" t="s">
        <v>196</v>
      </c>
    </row>
    <row r="1510" ht="22.5" customHeight="1">
      <c r="A1510" s="15">
        <v>1005121.0</v>
      </c>
      <c r="B1510" s="15" t="s">
        <v>113</v>
      </c>
      <c r="C1510" s="15" t="s">
        <v>197</v>
      </c>
    </row>
    <row r="1511" ht="22.5" customHeight="1">
      <c r="A1511" s="15">
        <v>1005122.0</v>
      </c>
      <c r="B1511" s="15" t="s">
        <v>114</v>
      </c>
      <c r="C1511" s="15" t="s">
        <v>198</v>
      </c>
    </row>
    <row r="1512" ht="22.5" customHeight="1">
      <c r="A1512" s="15">
        <v>1005200.0</v>
      </c>
      <c r="B1512" s="15" t="s">
        <v>115</v>
      </c>
      <c r="C1512" s="15" t="s">
        <v>199</v>
      </c>
    </row>
    <row r="1513" ht="22.5" customHeight="1">
      <c r="A1513" s="15">
        <v>1005201.0</v>
      </c>
      <c r="B1513" s="15" t="s">
        <v>116</v>
      </c>
      <c r="C1513" s="15" t="s">
        <v>200</v>
      </c>
    </row>
    <row r="1514" ht="22.5" customHeight="1">
      <c r="A1514" s="15">
        <v>1005202.0</v>
      </c>
      <c r="B1514" s="15" t="s">
        <v>117</v>
      </c>
      <c r="C1514" s="15" t="s">
        <v>201</v>
      </c>
    </row>
    <row r="1515" ht="22.5" customHeight="1">
      <c r="A1515" s="15">
        <v>1005203.0</v>
      </c>
      <c r="B1515" s="15" t="s">
        <v>183</v>
      </c>
      <c r="C1515" s="15" t="s">
        <v>183</v>
      </c>
    </row>
    <row r="1516" ht="22.5" customHeight="1">
      <c r="A1516" s="15">
        <v>1005204.0</v>
      </c>
      <c r="B1516" s="15" t="s">
        <v>183</v>
      </c>
      <c r="C1516" s="15" t="s">
        <v>183</v>
      </c>
    </row>
    <row r="1517" ht="22.5" customHeight="1">
      <c r="A1517" s="15">
        <v>1005205.0</v>
      </c>
      <c r="B1517" s="15" t="s">
        <v>183</v>
      </c>
      <c r="C1517" s="15" t="s">
        <v>183</v>
      </c>
    </row>
    <row r="1518" ht="22.5" customHeight="1">
      <c r="A1518" s="15">
        <v>1005206.0</v>
      </c>
      <c r="B1518" s="15" t="s">
        <v>183</v>
      </c>
      <c r="C1518" s="15" t="s">
        <v>183</v>
      </c>
    </row>
    <row r="1519" ht="22.5" customHeight="1">
      <c r="A1519" s="15">
        <v>1005207.0</v>
      </c>
      <c r="B1519" s="15" t="s">
        <v>183</v>
      </c>
      <c r="C1519" s="15" t="s">
        <v>183</v>
      </c>
    </row>
    <row r="1520" ht="22.5" customHeight="1">
      <c r="A1520" s="15">
        <v>1005208.0</v>
      </c>
      <c r="B1520" s="15" t="s">
        <v>183</v>
      </c>
      <c r="C1520" s="15" t="s">
        <v>183</v>
      </c>
    </row>
    <row r="1521" ht="22.5" customHeight="1">
      <c r="A1521" s="15">
        <v>1005209.0</v>
      </c>
      <c r="B1521" s="15" t="s">
        <v>183</v>
      </c>
      <c r="C1521" s="15" t="s">
        <v>183</v>
      </c>
    </row>
    <row r="1522" ht="22.5" customHeight="1">
      <c r="A1522" s="15">
        <v>1005210.0</v>
      </c>
      <c r="B1522" s="15" t="s">
        <v>115</v>
      </c>
      <c r="C1522" s="15" t="s">
        <v>199</v>
      </c>
    </row>
    <row r="1523" ht="22.5" customHeight="1">
      <c r="A1523" s="15">
        <v>1005211.0</v>
      </c>
      <c r="B1523" s="15" t="s">
        <v>116</v>
      </c>
      <c r="C1523" s="15" t="s">
        <v>200</v>
      </c>
    </row>
    <row r="1524" ht="22.5" customHeight="1">
      <c r="A1524" s="15">
        <v>1005212.0</v>
      </c>
      <c r="B1524" s="15" t="s">
        <v>117</v>
      </c>
      <c r="C1524" s="15" t="s">
        <v>201</v>
      </c>
    </row>
    <row r="1525" ht="22.5" customHeight="1">
      <c r="A1525" s="15">
        <v>1005213.0</v>
      </c>
      <c r="B1525" s="15" t="s">
        <v>183</v>
      </c>
      <c r="C1525" s="15" t="s">
        <v>183</v>
      </c>
    </row>
    <row r="1526" ht="22.5" customHeight="1">
      <c r="A1526" s="15">
        <v>1005214.0</v>
      </c>
      <c r="B1526" s="15" t="s">
        <v>183</v>
      </c>
      <c r="C1526" s="15" t="s">
        <v>183</v>
      </c>
    </row>
    <row r="1527" ht="22.5" customHeight="1">
      <c r="A1527" s="15">
        <v>1005215.0</v>
      </c>
      <c r="B1527" s="15" t="s">
        <v>183</v>
      </c>
      <c r="C1527" s="15" t="s">
        <v>183</v>
      </c>
    </row>
    <row r="1528" ht="22.5" customHeight="1">
      <c r="A1528" s="15">
        <v>1005216.0</v>
      </c>
      <c r="B1528" s="15" t="s">
        <v>183</v>
      </c>
      <c r="C1528" s="15" t="s">
        <v>183</v>
      </c>
    </row>
    <row r="1529" ht="22.5" customHeight="1">
      <c r="A1529" s="15">
        <v>1005217.0</v>
      </c>
      <c r="B1529" s="15" t="s">
        <v>183</v>
      </c>
      <c r="C1529" s="15" t="s">
        <v>183</v>
      </c>
    </row>
    <row r="1530" ht="22.5" customHeight="1">
      <c r="A1530" s="15">
        <v>1005218.0</v>
      </c>
      <c r="B1530" s="15" t="s">
        <v>183</v>
      </c>
      <c r="C1530" s="15" t="s">
        <v>183</v>
      </c>
    </row>
    <row r="1531" ht="22.5" customHeight="1">
      <c r="A1531" s="15">
        <v>1005219.0</v>
      </c>
      <c r="B1531" s="15" t="s">
        <v>183</v>
      </c>
      <c r="C1531" s="15" t="s">
        <v>183</v>
      </c>
    </row>
    <row r="1532" ht="22.5" customHeight="1">
      <c r="A1532" s="15">
        <v>1005220.0</v>
      </c>
      <c r="B1532" s="15" t="s">
        <v>115</v>
      </c>
      <c r="C1532" s="15" t="s">
        <v>199</v>
      </c>
    </row>
    <row r="1533" ht="22.5" customHeight="1">
      <c r="A1533" s="15">
        <v>1005221.0</v>
      </c>
      <c r="B1533" s="15" t="s">
        <v>116</v>
      </c>
      <c r="C1533" s="15" t="s">
        <v>200</v>
      </c>
    </row>
    <row r="1534" ht="22.5" customHeight="1">
      <c r="A1534" s="15">
        <v>1005222.0</v>
      </c>
      <c r="B1534" s="15" t="s">
        <v>117</v>
      </c>
      <c r="C1534" s="15" t="s">
        <v>201</v>
      </c>
    </row>
    <row r="1535" ht="22.5" customHeight="1">
      <c r="A1535" s="15">
        <v>1005300.0</v>
      </c>
      <c r="B1535" s="15" t="s">
        <v>118</v>
      </c>
      <c r="C1535" s="15" t="s">
        <v>202</v>
      </c>
    </row>
    <row r="1536" ht="22.5" customHeight="1">
      <c r="A1536" s="15">
        <v>1005301.0</v>
      </c>
      <c r="B1536" s="15" t="s">
        <v>119</v>
      </c>
      <c r="C1536" s="15" t="s">
        <v>203</v>
      </c>
    </row>
    <row r="1537" ht="22.5" customHeight="1">
      <c r="A1537" s="15">
        <v>1005302.0</v>
      </c>
      <c r="B1537" s="15" t="s">
        <v>120</v>
      </c>
      <c r="C1537" s="15" t="s">
        <v>204</v>
      </c>
    </row>
    <row r="1538" ht="22.5" customHeight="1">
      <c r="A1538" s="15">
        <v>1005303.0</v>
      </c>
      <c r="B1538" s="15" t="s">
        <v>183</v>
      </c>
      <c r="C1538" s="15" t="s">
        <v>183</v>
      </c>
    </row>
    <row r="1539" ht="22.5" customHeight="1">
      <c r="A1539" s="15">
        <v>1005304.0</v>
      </c>
      <c r="B1539" s="15" t="s">
        <v>183</v>
      </c>
      <c r="C1539" s="15" t="s">
        <v>183</v>
      </c>
    </row>
    <row r="1540" ht="22.5" customHeight="1">
      <c r="A1540" s="15">
        <v>1005305.0</v>
      </c>
      <c r="B1540" s="15" t="s">
        <v>183</v>
      </c>
      <c r="C1540" s="15" t="s">
        <v>183</v>
      </c>
    </row>
    <row r="1541" ht="22.5" customHeight="1">
      <c r="A1541" s="15">
        <v>1005306.0</v>
      </c>
      <c r="B1541" s="15" t="s">
        <v>183</v>
      </c>
      <c r="C1541" s="15" t="s">
        <v>183</v>
      </c>
    </row>
    <row r="1542" ht="22.5" customHeight="1">
      <c r="A1542" s="15">
        <v>1005307.0</v>
      </c>
      <c r="B1542" s="15" t="s">
        <v>183</v>
      </c>
      <c r="C1542" s="15" t="s">
        <v>183</v>
      </c>
    </row>
    <row r="1543" ht="22.5" customHeight="1">
      <c r="A1543" s="15">
        <v>1005308.0</v>
      </c>
      <c r="B1543" s="15" t="s">
        <v>183</v>
      </c>
      <c r="C1543" s="15" t="s">
        <v>183</v>
      </c>
    </row>
    <row r="1544" ht="22.5" customHeight="1">
      <c r="A1544" s="15">
        <v>1005309.0</v>
      </c>
      <c r="B1544" s="15" t="s">
        <v>183</v>
      </c>
      <c r="C1544" s="15" t="s">
        <v>183</v>
      </c>
    </row>
    <row r="1545" ht="22.5" customHeight="1">
      <c r="A1545" s="15">
        <v>1005310.0</v>
      </c>
      <c r="B1545" s="15" t="s">
        <v>118</v>
      </c>
      <c r="C1545" s="15" t="s">
        <v>202</v>
      </c>
    </row>
    <row r="1546" ht="22.5" customHeight="1">
      <c r="A1546" s="15">
        <v>1005311.0</v>
      </c>
      <c r="B1546" s="15" t="s">
        <v>119</v>
      </c>
      <c r="C1546" s="15" t="s">
        <v>203</v>
      </c>
    </row>
    <row r="1547" ht="22.5" customHeight="1">
      <c r="A1547" s="15">
        <v>1005312.0</v>
      </c>
      <c r="B1547" s="15" t="s">
        <v>120</v>
      </c>
      <c r="C1547" s="15" t="s">
        <v>204</v>
      </c>
    </row>
    <row r="1548" ht="22.5" customHeight="1">
      <c r="A1548" s="15">
        <v>1005313.0</v>
      </c>
      <c r="B1548" s="15" t="s">
        <v>183</v>
      </c>
      <c r="C1548" s="15" t="s">
        <v>183</v>
      </c>
    </row>
    <row r="1549" ht="22.5" customHeight="1">
      <c r="A1549" s="15">
        <v>1005314.0</v>
      </c>
      <c r="B1549" s="15" t="s">
        <v>183</v>
      </c>
      <c r="C1549" s="15" t="s">
        <v>183</v>
      </c>
    </row>
    <row r="1550" ht="22.5" customHeight="1">
      <c r="A1550" s="15">
        <v>1005315.0</v>
      </c>
      <c r="B1550" s="15" t="s">
        <v>183</v>
      </c>
      <c r="C1550" s="15" t="s">
        <v>183</v>
      </c>
    </row>
    <row r="1551" ht="22.5" customHeight="1">
      <c r="A1551" s="15">
        <v>1005316.0</v>
      </c>
      <c r="B1551" s="15" t="s">
        <v>183</v>
      </c>
      <c r="C1551" s="15" t="s">
        <v>183</v>
      </c>
    </row>
    <row r="1552" ht="22.5" customHeight="1">
      <c r="A1552" s="15">
        <v>1005317.0</v>
      </c>
      <c r="B1552" s="15" t="s">
        <v>183</v>
      </c>
      <c r="C1552" s="15" t="s">
        <v>183</v>
      </c>
    </row>
    <row r="1553" ht="22.5" customHeight="1">
      <c r="A1553" s="15">
        <v>1005318.0</v>
      </c>
      <c r="B1553" s="15" t="s">
        <v>183</v>
      </c>
      <c r="C1553" s="15" t="s">
        <v>183</v>
      </c>
    </row>
    <row r="1554" ht="22.5" customHeight="1">
      <c r="A1554" s="15">
        <v>1005319.0</v>
      </c>
      <c r="B1554" s="15" t="s">
        <v>183</v>
      </c>
      <c r="C1554" s="15" t="s">
        <v>183</v>
      </c>
    </row>
    <row r="1555" ht="22.5" customHeight="1">
      <c r="A1555" s="15">
        <v>1005320.0</v>
      </c>
      <c r="B1555" s="15" t="s">
        <v>118</v>
      </c>
      <c r="C1555" s="15" t="s">
        <v>202</v>
      </c>
    </row>
    <row r="1556" ht="22.5" customHeight="1">
      <c r="A1556" s="15">
        <v>1005321.0</v>
      </c>
      <c r="B1556" s="15" t="s">
        <v>119</v>
      </c>
      <c r="C1556" s="15" t="s">
        <v>203</v>
      </c>
    </row>
    <row r="1557" ht="22.5" customHeight="1">
      <c r="A1557" s="15">
        <v>1005322.0</v>
      </c>
      <c r="B1557" s="15" t="s">
        <v>120</v>
      </c>
      <c r="C1557" s="15" t="s">
        <v>204</v>
      </c>
    </row>
    <row r="1558" ht="22.5" customHeight="1">
      <c r="A1558" s="15">
        <v>1006000.0</v>
      </c>
      <c r="B1558" s="15" t="s">
        <v>109</v>
      </c>
      <c r="C1558" s="15" t="s">
        <v>193</v>
      </c>
    </row>
    <row r="1559" ht="22.5" customHeight="1">
      <c r="A1559" s="15">
        <v>1006001.0</v>
      </c>
      <c r="B1559" s="15" t="s">
        <v>110</v>
      </c>
      <c r="C1559" s="15" t="s">
        <v>194</v>
      </c>
    </row>
    <row r="1560" ht="22.5" customHeight="1">
      <c r="A1560" s="15">
        <v>1006002.0</v>
      </c>
      <c r="B1560" s="15" t="s">
        <v>111</v>
      </c>
      <c r="C1560" s="15" t="s">
        <v>195</v>
      </c>
    </row>
    <row r="1561" ht="22.5" customHeight="1">
      <c r="A1561" s="15">
        <v>1006003.0</v>
      </c>
      <c r="B1561" s="15" t="s">
        <v>183</v>
      </c>
      <c r="C1561" s="15" t="s">
        <v>183</v>
      </c>
    </row>
    <row r="1562" ht="22.5" customHeight="1">
      <c r="A1562" s="15">
        <v>1006004.0</v>
      </c>
      <c r="B1562" s="15" t="s">
        <v>183</v>
      </c>
      <c r="C1562" s="15" t="s">
        <v>183</v>
      </c>
    </row>
    <row r="1563" ht="22.5" customHeight="1">
      <c r="A1563" s="15">
        <v>1006005.0</v>
      </c>
      <c r="B1563" s="15" t="s">
        <v>183</v>
      </c>
      <c r="C1563" s="15" t="s">
        <v>183</v>
      </c>
    </row>
    <row r="1564" ht="22.5" customHeight="1">
      <c r="A1564" s="15">
        <v>1006006.0</v>
      </c>
      <c r="B1564" s="15" t="s">
        <v>183</v>
      </c>
      <c r="C1564" s="15" t="s">
        <v>183</v>
      </c>
    </row>
    <row r="1565" ht="22.5" customHeight="1">
      <c r="A1565" s="15">
        <v>1006007.0</v>
      </c>
      <c r="B1565" s="15" t="s">
        <v>183</v>
      </c>
      <c r="C1565" s="15" t="s">
        <v>183</v>
      </c>
    </row>
    <row r="1566" ht="22.5" customHeight="1">
      <c r="A1566" s="15">
        <v>1006008.0</v>
      </c>
      <c r="B1566" s="15" t="s">
        <v>183</v>
      </c>
      <c r="C1566" s="15" t="s">
        <v>183</v>
      </c>
    </row>
    <row r="1567" ht="22.5" customHeight="1">
      <c r="A1567" s="15">
        <v>1006009.0</v>
      </c>
      <c r="B1567" s="15" t="s">
        <v>183</v>
      </c>
      <c r="C1567" s="15" t="s">
        <v>183</v>
      </c>
    </row>
    <row r="1568" ht="22.5" customHeight="1">
      <c r="A1568" s="15">
        <v>1006010.0</v>
      </c>
      <c r="B1568" s="15" t="s">
        <v>109</v>
      </c>
      <c r="C1568" s="15" t="s">
        <v>193</v>
      </c>
    </row>
    <row r="1569" ht="22.5" customHeight="1">
      <c r="A1569" s="15">
        <v>1006011.0</v>
      </c>
      <c r="B1569" s="15" t="s">
        <v>110</v>
      </c>
      <c r="C1569" s="15" t="s">
        <v>194</v>
      </c>
    </row>
    <row r="1570" ht="22.5" customHeight="1">
      <c r="A1570" s="15">
        <v>1006012.0</v>
      </c>
      <c r="B1570" s="15" t="s">
        <v>111</v>
      </c>
      <c r="C1570" s="15" t="s">
        <v>195</v>
      </c>
    </row>
    <row r="1571" ht="22.5" customHeight="1">
      <c r="A1571" s="15">
        <v>1006013.0</v>
      </c>
      <c r="B1571" s="15" t="s">
        <v>183</v>
      </c>
      <c r="C1571" s="15" t="s">
        <v>183</v>
      </c>
    </row>
    <row r="1572" ht="22.5" customHeight="1">
      <c r="A1572" s="15">
        <v>1006014.0</v>
      </c>
      <c r="B1572" s="15" t="s">
        <v>183</v>
      </c>
      <c r="C1572" s="15" t="s">
        <v>183</v>
      </c>
    </row>
    <row r="1573" ht="22.5" customHeight="1">
      <c r="A1573" s="15">
        <v>1006015.0</v>
      </c>
      <c r="B1573" s="15" t="s">
        <v>183</v>
      </c>
      <c r="C1573" s="15" t="s">
        <v>183</v>
      </c>
    </row>
    <row r="1574" ht="22.5" customHeight="1">
      <c r="A1574" s="15">
        <v>1006016.0</v>
      </c>
      <c r="B1574" s="15" t="s">
        <v>183</v>
      </c>
      <c r="C1574" s="15" t="s">
        <v>183</v>
      </c>
    </row>
    <row r="1575" ht="22.5" customHeight="1">
      <c r="A1575" s="15">
        <v>1006017.0</v>
      </c>
      <c r="B1575" s="15" t="s">
        <v>183</v>
      </c>
      <c r="C1575" s="15" t="s">
        <v>183</v>
      </c>
    </row>
    <row r="1576" ht="22.5" customHeight="1">
      <c r="A1576" s="15">
        <v>1006018.0</v>
      </c>
      <c r="B1576" s="15" t="s">
        <v>183</v>
      </c>
      <c r="C1576" s="15" t="s">
        <v>183</v>
      </c>
    </row>
    <row r="1577" ht="22.5" customHeight="1">
      <c r="A1577" s="15">
        <v>1006019.0</v>
      </c>
      <c r="B1577" s="15" t="s">
        <v>183</v>
      </c>
      <c r="C1577" s="15" t="s">
        <v>183</v>
      </c>
    </row>
    <row r="1578" ht="22.5" customHeight="1">
      <c r="A1578" s="15">
        <v>1006020.0</v>
      </c>
      <c r="B1578" s="15" t="s">
        <v>109</v>
      </c>
      <c r="C1578" s="15" t="s">
        <v>193</v>
      </c>
    </row>
    <row r="1579" ht="22.5" customHeight="1">
      <c r="A1579" s="15">
        <v>1006021.0</v>
      </c>
      <c r="B1579" s="15" t="s">
        <v>110</v>
      </c>
      <c r="C1579" s="15" t="s">
        <v>194</v>
      </c>
    </row>
    <row r="1580" ht="22.5" customHeight="1">
      <c r="A1580" s="15">
        <v>1006022.0</v>
      </c>
      <c r="B1580" s="15" t="s">
        <v>111</v>
      </c>
      <c r="C1580" s="15" t="s">
        <v>195</v>
      </c>
    </row>
    <row r="1581" ht="22.5" customHeight="1">
      <c r="A1581" s="15">
        <v>1006100.0</v>
      </c>
      <c r="B1581" s="15" t="s">
        <v>112</v>
      </c>
      <c r="C1581" s="15" t="s">
        <v>196</v>
      </c>
    </row>
    <row r="1582" ht="22.5" customHeight="1">
      <c r="A1582" s="15">
        <v>1006101.0</v>
      </c>
      <c r="B1582" s="15" t="s">
        <v>113</v>
      </c>
      <c r="C1582" s="15" t="s">
        <v>197</v>
      </c>
    </row>
    <row r="1583" ht="22.5" customHeight="1">
      <c r="A1583" s="15">
        <v>1006102.0</v>
      </c>
      <c r="B1583" s="15" t="s">
        <v>114</v>
      </c>
      <c r="C1583" s="15" t="s">
        <v>198</v>
      </c>
    </row>
    <row r="1584" ht="22.5" customHeight="1">
      <c r="A1584" s="15">
        <v>1006103.0</v>
      </c>
      <c r="B1584" s="15" t="s">
        <v>183</v>
      </c>
      <c r="C1584" s="15" t="s">
        <v>183</v>
      </c>
    </row>
    <row r="1585" ht="22.5" customHeight="1">
      <c r="A1585" s="15">
        <v>1006104.0</v>
      </c>
      <c r="B1585" s="15" t="s">
        <v>183</v>
      </c>
      <c r="C1585" s="15" t="s">
        <v>183</v>
      </c>
    </row>
    <row r="1586" ht="22.5" customHeight="1">
      <c r="A1586" s="15">
        <v>1006105.0</v>
      </c>
      <c r="B1586" s="15" t="s">
        <v>183</v>
      </c>
      <c r="C1586" s="15" t="s">
        <v>183</v>
      </c>
    </row>
    <row r="1587" ht="22.5" customHeight="1">
      <c r="A1587" s="15">
        <v>1006106.0</v>
      </c>
      <c r="B1587" s="15" t="s">
        <v>183</v>
      </c>
      <c r="C1587" s="15" t="s">
        <v>183</v>
      </c>
    </row>
    <row r="1588" ht="22.5" customHeight="1">
      <c r="A1588" s="15">
        <v>1006107.0</v>
      </c>
      <c r="B1588" s="15" t="s">
        <v>183</v>
      </c>
      <c r="C1588" s="15" t="s">
        <v>183</v>
      </c>
    </row>
    <row r="1589" ht="22.5" customHeight="1">
      <c r="A1589" s="15">
        <v>1006108.0</v>
      </c>
      <c r="B1589" s="15" t="s">
        <v>183</v>
      </c>
      <c r="C1589" s="15" t="s">
        <v>183</v>
      </c>
    </row>
    <row r="1590" ht="22.5" customHeight="1">
      <c r="A1590" s="15">
        <v>1006109.0</v>
      </c>
      <c r="B1590" s="15" t="s">
        <v>183</v>
      </c>
      <c r="C1590" s="15" t="s">
        <v>183</v>
      </c>
    </row>
    <row r="1591" ht="22.5" customHeight="1">
      <c r="A1591" s="15">
        <v>1006110.0</v>
      </c>
      <c r="B1591" s="15" t="s">
        <v>112</v>
      </c>
      <c r="C1591" s="15" t="s">
        <v>196</v>
      </c>
    </row>
    <row r="1592" ht="22.5" customHeight="1">
      <c r="A1592" s="15">
        <v>1006111.0</v>
      </c>
      <c r="B1592" s="15" t="s">
        <v>113</v>
      </c>
      <c r="C1592" s="15" t="s">
        <v>197</v>
      </c>
    </row>
    <row r="1593" ht="22.5" customHeight="1">
      <c r="A1593" s="15">
        <v>1006112.0</v>
      </c>
      <c r="B1593" s="15" t="s">
        <v>114</v>
      </c>
      <c r="C1593" s="15" t="s">
        <v>198</v>
      </c>
    </row>
    <row r="1594" ht="22.5" customHeight="1">
      <c r="A1594" s="15">
        <v>1006113.0</v>
      </c>
      <c r="B1594" s="15" t="s">
        <v>183</v>
      </c>
      <c r="C1594" s="15" t="s">
        <v>183</v>
      </c>
    </row>
    <row r="1595" ht="22.5" customHeight="1">
      <c r="A1595" s="15">
        <v>1006114.0</v>
      </c>
      <c r="B1595" s="15" t="s">
        <v>183</v>
      </c>
      <c r="C1595" s="15" t="s">
        <v>183</v>
      </c>
    </row>
    <row r="1596" ht="22.5" customHeight="1">
      <c r="A1596" s="15">
        <v>1006115.0</v>
      </c>
      <c r="B1596" s="15" t="s">
        <v>183</v>
      </c>
      <c r="C1596" s="15" t="s">
        <v>183</v>
      </c>
    </row>
    <row r="1597" ht="22.5" customHeight="1">
      <c r="A1597" s="15">
        <v>1006116.0</v>
      </c>
      <c r="B1597" s="15" t="s">
        <v>183</v>
      </c>
      <c r="C1597" s="15" t="s">
        <v>183</v>
      </c>
    </row>
    <row r="1598" ht="22.5" customHeight="1">
      <c r="A1598" s="15">
        <v>1006117.0</v>
      </c>
      <c r="B1598" s="15" t="s">
        <v>183</v>
      </c>
      <c r="C1598" s="15" t="s">
        <v>183</v>
      </c>
    </row>
    <row r="1599" ht="22.5" customHeight="1">
      <c r="A1599" s="15">
        <v>1006118.0</v>
      </c>
      <c r="B1599" s="15" t="s">
        <v>183</v>
      </c>
      <c r="C1599" s="15" t="s">
        <v>183</v>
      </c>
    </row>
    <row r="1600" ht="22.5" customHeight="1">
      <c r="A1600" s="15">
        <v>1006119.0</v>
      </c>
      <c r="B1600" s="15" t="s">
        <v>183</v>
      </c>
      <c r="C1600" s="15" t="s">
        <v>183</v>
      </c>
    </row>
    <row r="1601" ht="22.5" customHeight="1">
      <c r="A1601" s="15">
        <v>1006120.0</v>
      </c>
      <c r="B1601" s="15" t="s">
        <v>112</v>
      </c>
      <c r="C1601" s="15" t="s">
        <v>196</v>
      </c>
    </row>
    <row r="1602" ht="22.5" customHeight="1">
      <c r="A1602" s="15">
        <v>1006121.0</v>
      </c>
      <c r="B1602" s="15" t="s">
        <v>113</v>
      </c>
      <c r="C1602" s="15" t="s">
        <v>197</v>
      </c>
    </row>
    <row r="1603" ht="22.5" customHeight="1">
      <c r="A1603" s="15">
        <v>1006122.0</v>
      </c>
      <c r="B1603" s="15" t="s">
        <v>114</v>
      </c>
      <c r="C1603" s="15" t="s">
        <v>198</v>
      </c>
    </row>
    <row r="1604" ht="22.5" customHeight="1">
      <c r="A1604" s="15">
        <v>1006200.0</v>
      </c>
      <c r="B1604" s="15" t="s">
        <v>115</v>
      </c>
      <c r="C1604" s="15" t="s">
        <v>199</v>
      </c>
    </row>
    <row r="1605" ht="22.5" customHeight="1">
      <c r="A1605" s="15">
        <v>1006201.0</v>
      </c>
      <c r="B1605" s="15" t="s">
        <v>116</v>
      </c>
      <c r="C1605" s="15" t="s">
        <v>200</v>
      </c>
    </row>
    <row r="1606" ht="22.5" customHeight="1">
      <c r="A1606" s="15">
        <v>1006202.0</v>
      </c>
      <c r="B1606" s="15" t="s">
        <v>117</v>
      </c>
      <c r="C1606" s="15" t="s">
        <v>201</v>
      </c>
    </row>
    <row r="1607" ht="22.5" customHeight="1">
      <c r="A1607" s="15">
        <v>1006203.0</v>
      </c>
      <c r="B1607" s="15" t="s">
        <v>183</v>
      </c>
      <c r="C1607" s="15" t="s">
        <v>183</v>
      </c>
    </row>
    <row r="1608" ht="22.5" customHeight="1">
      <c r="A1608" s="15">
        <v>1006204.0</v>
      </c>
      <c r="B1608" s="15" t="s">
        <v>183</v>
      </c>
      <c r="C1608" s="15" t="s">
        <v>183</v>
      </c>
    </row>
    <row r="1609" ht="22.5" customHeight="1">
      <c r="A1609" s="15">
        <v>1006205.0</v>
      </c>
      <c r="B1609" s="15" t="s">
        <v>183</v>
      </c>
      <c r="C1609" s="15" t="s">
        <v>183</v>
      </c>
    </row>
    <row r="1610" ht="22.5" customHeight="1">
      <c r="A1610" s="15">
        <v>1006206.0</v>
      </c>
      <c r="B1610" s="15" t="s">
        <v>183</v>
      </c>
      <c r="C1610" s="15" t="s">
        <v>183</v>
      </c>
    </row>
    <row r="1611" ht="22.5" customHeight="1">
      <c r="A1611" s="15">
        <v>1006207.0</v>
      </c>
      <c r="B1611" s="15" t="s">
        <v>183</v>
      </c>
      <c r="C1611" s="15" t="s">
        <v>183</v>
      </c>
    </row>
    <row r="1612" ht="22.5" customHeight="1">
      <c r="A1612" s="15">
        <v>1006208.0</v>
      </c>
      <c r="B1612" s="15" t="s">
        <v>183</v>
      </c>
      <c r="C1612" s="15" t="s">
        <v>183</v>
      </c>
    </row>
    <row r="1613" ht="22.5" customHeight="1">
      <c r="A1613" s="15">
        <v>1006209.0</v>
      </c>
      <c r="B1613" s="15" t="s">
        <v>183</v>
      </c>
      <c r="C1613" s="15" t="s">
        <v>183</v>
      </c>
    </row>
    <row r="1614" ht="22.5" customHeight="1">
      <c r="A1614" s="15">
        <v>1006210.0</v>
      </c>
      <c r="B1614" s="15" t="s">
        <v>115</v>
      </c>
      <c r="C1614" s="15" t="s">
        <v>199</v>
      </c>
    </row>
    <row r="1615" ht="22.5" customHeight="1">
      <c r="A1615" s="15">
        <v>1006211.0</v>
      </c>
      <c r="B1615" s="15" t="s">
        <v>116</v>
      </c>
      <c r="C1615" s="15" t="s">
        <v>200</v>
      </c>
    </row>
    <row r="1616" ht="22.5" customHeight="1">
      <c r="A1616" s="15">
        <v>1006212.0</v>
      </c>
      <c r="B1616" s="15" t="s">
        <v>117</v>
      </c>
      <c r="C1616" s="15" t="s">
        <v>201</v>
      </c>
    </row>
    <row r="1617" ht="22.5" customHeight="1">
      <c r="A1617" s="15">
        <v>1006213.0</v>
      </c>
      <c r="B1617" s="15" t="s">
        <v>183</v>
      </c>
      <c r="C1617" s="15" t="s">
        <v>183</v>
      </c>
    </row>
    <row r="1618" ht="22.5" customHeight="1">
      <c r="A1618" s="15">
        <v>1006214.0</v>
      </c>
      <c r="B1618" s="15" t="s">
        <v>183</v>
      </c>
      <c r="C1618" s="15" t="s">
        <v>183</v>
      </c>
    </row>
    <row r="1619" ht="22.5" customHeight="1">
      <c r="A1619" s="15">
        <v>1006215.0</v>
      </c>
      <c r="B1619" s="15" t="s">
        <v>183</v>
      </c>
      <c r="C1619" s="15" t="s">
        <v>183</v>
      </c>
    </row>
    <row r="1620" ht="22.5" customHeight="1">
      <c r="A1620" s="15">
        <v>1006216.0</v>
      </c>
      <c r="B1620" s="15" t="s">
        <v>183</v>
      </c>
      <c r="C1620" s="15" t="s">
        <v>183</v>
      </c>
    </row>
    <row r="1621" ht="22.5" customHeight="1">
      <c r="A1621" s="15">
        <v>1006217.0</v>
      </c>
      <c r="B1621" s="15" t="s">
        <v>183</v>
      </c>
      <c r="C1621" s="15" t="s">
        <v>183</v>
      </c>
    </row>
    <row r="1622" ht="22.5" customHeight="1">
      <c r="A1622" s="15">
        <v>1006218.0</v>
      </c>
      <c r="B1622" s="15" t="s">
        <v>183</v>
      </c>
      <c r="C1622" s="15" t="s">
        <v>183</v>
      </c>
    </row>
    <row r="1623" ht="22.5" customHeight="1">
      <c r="A1623" s="15">
        <v>1006219.0</v>
      </c>
      <c r="B1623" s="15" t="s">
        <v>183</v>
      </c>
      <c r="C1623" s="15" t="s">
        <v>183</v>
      </c>
    </row>
    <row r="1624" ht="22.5" customHeight="1">
      <c r="A1624" s="15">
        <v>1006220.0</v>
      </c>
      <c r="B1624" s="15" t="s">
        <v>115</v>
      </c>
      <c r="C1624" s="15" t="s">
        <v>199</v>
      </c>
    </row>
    <row r="1625" ht="22.5" customHeight="1">
      <c r="A1625" s="15">
        <v>1006221.0</v>
      </c>
      <c r="B1625" s="15" t="s">
        <v>116</v>
      </c>
      <c r="C1625" s="15" t="s">
        <v>200</v>
      </c>
    </row>
    <row r="1626" ht="22.5" customHeight="1">
      <c r="A1626" s="15">
        <v>1006222.0</v>
      </c>
      <c r="B1626" s="15" t="s">
        <v>117</v>
      </c>
      <c r="C1626" s="15" t="s">
        <v>201</v>
      </c>
    </row>
    <row r="1627" ht="22.5" customHeight="1">
      <c r="A1627" s="15">
        <v>1006300.0</v>
      </c>
      <c r="B1627" s="15" t="s">
        <v>118</v>
      </c>
      <c r="C1627" s="15" t="s">
        <v>202</v>
      </c>
    </row>
    <row r="1628" ht="22.5" customHeight="1">
      <c r="A1628" s="15">
        <v>1006301.0</v>
      </c>
      <c r="B1628" s="15" t="s">
        <v>119</v>
      </c>
      <c r="C1628" s="15" t="s">
        <v>203</v>
      </c>
    </row>
    <row r="1629" ht="22.5" customHeight="1">
      <c r="A1629" s="15">
        <v>1006302.0</v>
      </c>
      <c r="B1629" s="15" t="s">
        <v>120</v>
      </c>
      <c r="C1629" s="15" t="s">
        <v>204</v>
      </c>
    </row>
    <row r="1630" ht="22.5" customHeight="1">
      <c r="A1630" s="15">
        <v>1006303.0</v>
      </c>
      <c r="B1630" s="15" t="s">
        <v>183</v>
      </c>
      <c r="C1630" s="15" t="s">
        <v>183</v>
      </c>
    </row>
    <row r="1631" ht="22.5" customHeight="1">
      <c r="A1631" s="15">
        <v>1006304.0</v>
      </c>
      <c r="B1631" s="15" t="s">
        <v>183</v>
      </c>
      <c r="C1631" s="15" t="s">
        <v>183</v>
      </c>
    </row>
    <row r="1632" ht="22.5" customHeight="1">
      <c r="A1632" s="15">
        <v>1006305.0</v>
      </c>
      <c r="B1632" s="15" t="s">
        <v>183</v>
      </c>
      <c r="C1632" s="15" t="s">
        <v>183</v>
      </c>
    </row>
    <row r="1633" ht="22.5" customHeight="1">
      <c r="A1633" s="15">
        <v>1006306.0</v>
      </c>
      <c r="B1633" s="15" t="s">
        <v>183</v>
      </c>
      <c r="C1633" s="15" t="s">
        <v>183</v>
      </c>
    </row>
    <row r="1634" ht="22.5" customHeight="1">
      <c r="A1634" s="15">
        <v>1006307.0</v>
      </c>
      <c r="B1634" s="15" t="s">
        <v>183</v>
      </c>
      <c r="C1634" s="15" t="s">
        <v>183</v>
      </c>
    </row>
    <row r="1635" ht="22.5" customHeight="1">
      <c r="A1635" s="15">
        <v>1006308.0</v>
      </c>
      <c r="B1635" s="15" t="s">
        <v>183</v>
      </c>
      <c r="C1635" s="15" t="s">
        <v>183</v>
      </c>
    </row>
    <row r="1636" ht="22.5" customHeight="1">
      <c r="A1636" s="15">
        <v>1006309.0</v>
      </c>
      <c r="B1636" s="15" t="s">
        <v>183</v>
      </c>
      <c r="C1636" s="15" t="s">
        <v>183</v>
      </c>
    </row>
    <row r="1637" ht="22.5" customHeight="1">
      <c r="A1637" s="15">
        <v>1006310.0</v>
      </c>
      <c r="B1637" s="15" t="s">
        <v>118</v>
      </c>
      <c r="C1637" s="15" t="s">
        <v>202</v>
      </c>
    </row>
    <row r="1638" ht="22.5" customHeight="1">
      <c r="A1638" s="15">
        <v>1006311.0</v>
      </c>
      <c r="B1638" s="15" t="s">
        <v>119</v>
      </c>
      <c r="C1638" s="15" t="s">
        <v>203</v>
      </c>
    </row>
    <row r="1639" ht="22.5" customHeight="1">
      <c r="A1639" s="15">
        <v>1006312.0</v>
      </c>
      <c r="B1639" s="15" t="s">
        <v>120</v>
      </c>
      <c r="C1639" s="15" t="s">
        <v>204</v>
      </c>
    </row>
    <row r="1640" ht="22.5" customHeight="1">
      <c r="A1640" s="15">
        <v>1006313.0</v>
      </c>
      <c r="B1640" s="15" t="s">
        <v>183</v>
      </c>
      <c r="C1640" s="15" t="s">
        <v>183</v>
      </c>
    </row>
    <row r="1641" ht="22.5" customHeight="1">
      <c r="A1641" s="15">
        <v>1006314.0</v>
      </c>
      <c r="B1641" s="15" t="s">
        <v>183</v>
      </c>
      <c r="C1641" s="15" t="s">
        <v>183</v>
      </c>
    </row>
    <row r="1642" ht="22.5" customHeight="1">
      <c r="A1642" s="15">
        <v>1006315.0</v>
      </c>
      <c r="B1642" s="15" t="s">
        <v>183</v>
      </c>
      <c r="C1642" s="15" t="s">
        <v>183</v>
      </c>
    </row>
    <row r="1643" ht="22.5" customHeight="1">
      <c r="A1643" s="15">
        <v>1006316.0</v>
      </c>
      <c r="B1643" s="15" t="s">
        <v>183</v>
      </c>
      <c r="C1643" s="15" t="s">
        <v>183</v>
      </c>
    </row>
    <row r="1644" ht="22.5" customHeight="1">
      <c r="A1644" s="15">
        <v>1006317.0</v>
      </c>
      <c r="B1644" s="15" t="s">
        <v>183</v>
      </c>
      <c r="C1644" s="15" t="s">
        <v>183</v>
      </c>
    </row>
    <row r="1645" ht="22.5" customHeight="1">
      <c r="A1645" s="15">
        <v>1006318.0</v>
      </c>
      <c r="B1645" s="15" t="s">
        <v>183</v>
      </c>
      <c r="C1645" s="15" t="s">
        <v>183</v>
      </c>
    </row>
    <row r="1646" ht="22.5" customHeight="1">
      <c r="A1646" s="15">
        <v>1006319.0</v>
      </c>
      <c r="B1646" s="15" t="s">
        <v>183</v>
      </c>
      <c r="C1646" s="15" t="s">
        <v>183</v>
      </c>
    </row>
    <row r="1647" ht="22.5" customHeight="1">
      <c r="A1647" s="15">
        <v>1006320.0</v>
      </c>
      <c r="B1647" s="15" t="s">
        <v>118</v>
      </c>
      <c r="C1647" s="15" t="s">
        <v>202</v>
      </c>
    </row>
    <row r="1648" ht="22.5" customHeight="1">
      <c r="A1648" s="15">
        <v>1006321.0</v>
      </c>
      <c r="B1648" s="15" t="s">
        <v>119</v>
      </c>
      <c r="C1648" s="15" t="s">
        <v>203</v>
      </c>
    </row>
    <row r="1649" ht="22.5" customHeight="1">
      <c r="A1649" s="15">
        <v>1006322.0</v>
      </c>
      <c r="B1649" s="15" t="s">
        <v>120</v>
      </c>
      <c r="C1649" s="15" t="s">
        <v>204</v>
      </c>
    </row>
    <row r="1650" ht="22.5" customHeight="1">
      <c r="A1650" s="15">
        <v>1007000.0</v>
      </c>
      <c r="B1650" s="15" t="s">
        <v>109</v>
      </c>
      <c r="C1650" s="15" t="s">
        <v>193</v>
      </c>
    </row>
    <row r="1651" ht="22.5" customHeight="1">
      <c r="A1651" s="15">
        <v>1007001.0</v>
      </c>
      <c r="B1651" s="15" t="s">
        <v>110</v>
      </c>
      <c r="C1651" s="15" t="s">
        <v>194</v>
      </c>
    </row>
    <row r="1652" ht="22.5" customHeight="1">
      <c r="A1652" s="15">
        <v>1007002.0</v>
      </c>
      <c r="B1652" s="15" t="s">
        <v>111</v>
      </c>
      <c r="C1652" s="15" t="s">
        <v>195</v>
      </c>
    </row>
    <row r="1653" ht="22.5" customHeight="1">
      <c r="A1653" s="15">
        <v>1007003.0</v>
      </c>
      <c r="B1653" s="15" t="s">
        <v>183</v>
      </c>
      <c r="C1653" s="15" t="s">
        <v>183</v>
      </c>
    </row>
    <row r="1654" ht="22.5" customHeight="1">
      <c r="A1654" s="15">
        <v>1007004.0</v>
      </c>
      <c r="B1654" s="15" t="s">
        <v>183</v>
      </c>
      <c r="C1654" s="15" t="s">
        <v>183</v>
      </c>
    </row>
    <row r="1655" ht="22.5" customHeight="1">
      <c r="A1655" s="15">
        <v>1007005.0</v>
      </c>
      <c r="B1655" s="15" t="s">
        <v>183</v>
      </c>
      <c r="C1655" s="15" t="s">
        <v>183</v>
      </c>
    </row>
    <row r="1656" ht="22.5" customHeight="1">
      <c r="A1656" s="15">
        <v>1007006.0</v>
      </c>
      <c r="B1656" s="15" t="s">
        <v>183</v>
      </c>
      <c r="C1656" s="15" t="s">
        <v>183</v>
      </c>
    </row>
    <row r="1657" ht="22.5" customHeight="1">
      <c r="A1657" s="15">
        <v>1007007.0</v>
      </c>
      <c r="B1657" s="15" t="s">
        <v>183</v>
      </c>
      <c r="C1657" s="15" t="s">
        <v>183</v>
      </c>
    </row>
    <row r="1658" ht="22.5" customHeight="1">
      <c r="A1658" s="15">
        <v>1007008.0</v>
      </c>
      <c r="B1658" s="15" t="s">
        <v>183</v>
      </c>
      <c r="C1658" s="15" t="s">
        <v>183</v>
      </c>
    </row>
    <row r="1659" ht="22.5" customHeight="1">
      <c r="A1659" s="15">
        <v>1007009.0</v>
      </c>
      <c r="B1659" s="15" t="s">
        <v>183</v>
      </c>
      <c r="C1659" s="15" t="s">
        <v>183</v>
      </c>
    </row>
    <row r="1660" ht="22.5" customHeight="1">
      <c r="A1660" s="15">
        <v>1007010.0</v>
      </c>
      <c r="B1660" s="15" t="s">
        <v>109</v>
      </c>
      <c r="C1660" s="15" t="s">
        <v>193</v>
      </c>
    </row>
    <row r="1661" ht="22.5" customHeight="1">
      <c r="A1661" s="15">
        <v>1007011.0</v>
      </c>
      <c r="B1661" s="15" t="s">
        <v>110</v>
      </c>
      <c r="C1661" s="15" t="s">
        <v>194</v>
      </c>
    </row>
    <row r="1662" ht="22.5" customHeight="1">
      <c r="A1662" s="15">
        <v>1007012.0</v>
      </c>
      <c r="B1662" s="15" t="s">
        <v>111</v>
      </c>
      <c r="C1662" s="15" t="s">
        <v>195</v>
      </c>
    </row>
    <row r="1663" ht="22.5" customHeight="1">
      <c r="A1663" s="15">
        <v>1007013.0</v>
      </c>
      <c r="B1663" s="15" t="s">
        <v>183</v>
      </c>
      <c r="C1663" s="15" t="s">
        <v>183</v>
      </c>
    </row>
    <row r="1664" ht="22.5" customHeight="1">
      <c r="A1664" s="15">
        <v>1007014.0</v>
      </c>
      <c r="B1664" s="15" t="s">
        <v>183</v>
      </c>
      <c r="C1664" s="15" t="s">
        <v>183</v>
      </c>
    </row>
    <row r="1665" ht="22.5" customHeight="1">
      <c r="A1665" s="15">
        <v>1007015.0</v>
      </c>
      <c r="B1665" s="15" t="s">
        <v>183</v>
      </c>
      <c r="C1665" s="15" t="s">
        <v>183</v>
      </c>
    </row>
    <row r="1666" ht="22.5" customHeight="1">
      <c r="A1666" s="15">
        <v>1007016.0</v>
      </c>
      <c r="B1666" s="15" t="s">
        <v>183</v>
      </c>
      <c r="C1666" s="15" t="s">
        <v>183</v>
      </c>
    </row>
    <row r="1667" ht="22.5" customHeight="1">
      <c r="A1667" s="15">
        <v>1007017.0</v>
      </c>
      <c r="B1667" s="15" t="s">
        <v>183</v>
      </c>
      <c r="C1667" s="15" t="s">
        <v>183</v>
      </c>
    </row>
    <row r="1668" ht="22.5" customHeight="1">
      <c r="A1668" s="15">
        <v>1007018.0</v>
      </c>
      <c r="B1668" s="15" t="s">
        <v>183</v>
      </c>
      <c r="C1668" s="15" t="s">
        <v>183</v>
      </c>
    </row>
    <row r="1669" ht="22.5" customHeight="1">
      <c r="A1669" s="15">
        <v>1007019.0</v>
      </c>
      <c r="B1669" s="15" t="s">
        <v>183</v>
      </c>
      <c r="C1669" s="15" t="s">
        <v>183</v>
      </c>
    </row>
    <row r="1670" ht="22.5" customHeight="1">
      <c r="A1670" s="15">
        <v>1007020.0</v>
      </c>
      <c r="B1670" s="15" t="s">
        <v>109</v>
      </c>
      <c r="C1670" s="15" t="s">
        <v>193</v>
      </c>
    </row>
    <row r="1671" ht="22.5" customHeight="1">
      <c r="A1671" s="15">
        <v>1007021.0</v>
      </c>
      <c r="B1671" s="15" t="s">
        <v>110</v>
      </c>
      <c r="C1671" s="15" t="s">
        <v>194</v>
      </c>
    </row>
    <row r="1672" ht="22.5" customHeight="1">
      <c r="A1672" s="15">
        <v>1007022.0</v>
      </c>
      <c r="B1672" s="15" t="s">
        <v>111</v>
      </c>
      <c r="C1672" s="15" t="s">
        <v>195</v>
      </c>
    </row>
    <row r="1673" ht="22.5" customHeight="1">
      <c r="A1673" s="15">
        <v>1007100.0</v>
      </c>
      <c r="B1673" s="15" t="s">
        <v>112</v>
      </c>
      <c r="C1673" s="15" t="s">
        <v>196</v>
      </c>
    </row>
    <row r="1674" ht="22.5" customHeight="1">
      <c r="A1674" s="15">
        <v>1007101.0</v>
      </c>
      <c r="B1674" s="15" t="s">
        <v>113</v>
      </c>
      <c r="C1674" s="15" t="s">
        <v>197</v>
      </c>
    </row>
    <row r="1675" ht="22.5" customHeight="1">
      <c r="A1675" s="15">
        <v>1007102.0</v>
      </c>
      <c r="B1675" s="15" t="s">
        <v>114</v>
      </c>
      <c r="C1675" s="15" t="s">
        <v>198</v>
      </c>
    </row>
    <row r="1676" ht="22.5" customHeight="1">
      <c r="A1676" s="15">
        <v>1007103.0</v>
      </c>
      <c r="B1676" s="15" t="s">
        <v>183</v>
      </c>
      <c r="C1676" s="15" t="s">
        <v>183</v>
      </c>
    </row>
    <row r="1677" ht="22.5" customHeight="1">
      <c r="A1677" s="15">
        <v>1007104.0</v>
      </c>
      <c r="B1677" s="15" t="s">
        <v>183</v>
      </c>
      <c r="C1677" s="15" t="s">
        <v>183</v>
      </c>
    </row>
    <row r="1678" ht="22.5" customHeight="1">
      <c r="A1678" s="15">
        <v>1007105.0</v>
      </c>
      <c r="B1678" s="15" t="s">
        <v>183</v>
      </c>
      <c r="C1678" s="15" t="s">
        <v>183</v>
      </c>
    </row>
    <row r="1679" ht="22.5" customHeight="1">
      <c r="A1679" s="15">
        <v>1007106.0</v>
      </c>
      <c r="B1679" s="15" t="s">
        <v>183</v>
      </c>
      <c r="C1679" s="15" t="s">
        <v>183</v>
      </c>
    </row>
    <row r="1680" ht="22.5" customHeight="1">
      <c r="A1680" s="15">
        <v>1007107.0</v>
      </c>
      <c r="B1680" s="15" t="s">
        <v>183</v>
      </c>
      <c r="C1680" s="15" t="s">
        <v>183</v>
      </c>
    </row>
    <row r="1681" ht="22.5" customHeight="1">
      <c r="A1681" s="15">
        <v>1007108.0</v>
      </c>
      <c r="B1681" s="15" t="s">
        <v>183</v>
      </c>
      <c r="C1681" s="15" t="s">
        <v>183</v>
      </c>
    </row>
    <row r="1682" ht="22.5" customHeight="1">
      <c r="A1682" s="15">
        <v>1007109.0</v>
      </c>
      <c r="B1682" s="15" t="s">
        <v>183</v>
      </c>
      <c r="C1682" s="15" t="s">
        <v>183</v>
      </c>
    </row>
    <row r="1683" ht="22.5" customHeight="1">
      <c r="A1683" s="15">
        <v>1007110.0</v>
      </c>
      <c r="B1683" s="15" t="s">
        <v>112</v>
      </c>
      <c r="C1683" s="15" t="s">
        <v>196</v>
      </c>
    </row>
    <row r="1684" ht="22.5" customHeight="1">
      <c r="A1684" s="15">
        <v>1007111.0</v>
      </c>
      <c r="B1684" s="15" t="s">
        <v>113</v>
      </c>
      <c r="C1684" s="15" t="s">
        <v>197</v>
      </c>
    </row>
    <row r="1685" ht="22.5" customHeight="1">
      <c r="A1685" s="15">
        <v>1007112.0</v>
      </c>
      <c r="B1685" s="15" t="s">
        <v>114</v>
      </c>
      <c r="C1685" s="15" t="s">
        <v>198</v>
      </c>
    </row>
    <row r="1686" ht="22.5" customHeight="1">
      <c r="A1686" s="15">
        <v>1007113.0</v>
      </c>
      <c r="B1686" s="15" t="s">
        <v>183</v>
      </c>
      <c r="C1686" s="15" t="s">
        <v>183</v>
      </c>
    </row>
    <row r="1687" ht="22.5" customHeight="1">
      <c r="A1687" s="15">
        <v>1007114.0</v>
      </c>
      <c r="B1687" s="15" t="s">
        <v>183</v>
      </c>
      <c r="C1687" s="15" t="s">
        <v>183</v>
      </c>
    </row>
    <row r="1688" ht="22.5" customHeight="1">
      <c r="A1688" s="15">
        <v>1007115.0</v>
      </c>
      <c r="B1688" s="15" t="s">
        <v>183</v>
      </c>
      <c r="C1688" s="15" t="s">
        <v>183</v>
      </c>
    </row>
    <row r="1689" ht="22.5" customHeight="1">
      <c r="A1689" s="15">
        <v>1007116.0</v>
      </c>
      <c r="B1689" s="15" t="s">
        <v>183</v>
      </c>
      <c r="C1689" s="15" t="s">
        <v>183</v>
      </c>
    </row>
    <row r="1690" ht="22.5" customHeight="1">
      <c r="A1690" s="15">
        <v>1007117.0</v>
      </c>
      <c r="B1690" s="15" t="s">
        <v>183</v>
      </c>
      <c r="C1690" s="15" t="s">
        <v>183</v>
      </c>
    </row>
    <row r="1691" ht="22.5" customHeight="1">
      <c r="A1691" s="15">
        <v>1007118.0</v>
      </c>
      <c r="B1691" s="15" t="s">
        <v>183</v>
      </c>
      <c r="C1691" s="15" t="s">
        <v>183</v>
      </c>
    </row>
    <row r="1692" ht="22.5" customHeight="1">
      <c r="A1692" s="15">
        <v>1007119.0</v>
      </c>
      <c r="B1692" s="15" t="s">
        <v>183</v>
      </c>
      <c r="C1692" s="15" t="s">
        <v>183</v>
      </c>
    </row>
    <row r="1693" ht="22.5" customHeight="1">
      <c r="A1693" s="15">
        <v>1007120.0</v>
      </c>
      <c r="B1693" s="15" t="s">
        <v>112</v>
      </c>
      <c r="C1693" s="15" t="s">
        <v>196</v>
      </c>
    </row>
    <row r="1694" ht="22.5" customHeight="1">
      <c r="A1694" s="15">
        <v>1007121.0</v>
      </c>
      <c r="B1694" s="15" t="s">
        <v>113</v>
      </c>
      <c r="C1694" s="15" t="s">
        <v>197</v>
      </c>
    </row>
    <row r="1695" ht="22.5" customHeight="1">
      <c r="A1695" s="15">
        <v>1007122.0</v>
      </c>
      <c r="B1695" s="15" t="s">
        <v>114</v>
      </c>
      <c r="C1695" s="15" t="s">
        <v>198</v>
      </c>
    </row>
    <row r="1696" ht="22.5" customHeight="1">
      <c r="A1696" s="15">
        <v>1007200.0</v>
      </c>
      <c r="B1696" s="15" t="s">
        <v>115</v>
      </c>
      <c r="C1696" s="15" t="s">
        <v>199</v>
      </c>
    </row>
    <row r="1697" ht="22.5" customHeight="1">
      <c r="A1697" s="15">
        <v>1007201.0</v>
      </c>
      <c r="B1697" s="15" t="s">
        <v>116</v>
      </c>
      <c r="C1697" s="15" t="s">
        <v>200</v>
      </c>
    </row>
    <row r="1698" ht="22.5" customHeight="1">
      <c r="A1698" s="15">
        <v>1007202.0</v>
      </c>
      <c r="B1698" s="15" t="s">
        <v>117</v>
      </c>
      <c r="C1698" s="15" t="s">
        <v>201</v>
      </c>
    </row>
    <row r="1699" ht="22.5" customHeight="1">
      <c r="A1699" s="15">
        <v>1007203.0</v>
      </c>
      <c r="B1699" s="15" t="s">
        <v>183</v>
      </c>
      <c r="C1699" s="15" t="s">
        <v>183</v>
      </c>
    </row>
    <row r="1700" ht="22.5" customHeight="1">
      <c r="A1700" s="15">
        <v>1007204.0</v>
      </c>
      <c r="B1700" s="15" t="s">
        <v>183</v>
      </c>
      <c r="C1700" s="15" t="s">
        <v>183</v>
      </c>
    </row>
    <row r="1701" ht="22.5" customHeight="1">
      <c r="A1701" s="15">
        <v>1007205.0</v>
      </c>
      <c r="B1701" s="15" t="s">
        <v>183</v>
      </c>
      <c r="C1701" s="15" t="s">
        <v>183</v>
      </c>
    </row>
    <row r="1702" ht="22.5" customHeight="1">
      <c r="A1702" s="15">
        <v>1007206.0</v>
      </c>
      <c r="B1702" s="15" t="s">
        <v>183</v>
      </c>
      <c r="C1702" s="15" t="s">
        <v>183</v>
      </c>
    </row>
    <row r="1703" ht="22.5" customHeight="1">
      <c r="A1703" s="15">
        <v>1007207.0</v>
      </c>
      <c r="B1703" s="15" t="s">
        <v>183</v>
      </c>
      <c r="C1703" s="15" t="s">
        <v>183</v>
      </c>
    </row>
    <row r="1704" ht="22.5" customHeight="1">
      <c r="A1704" s="15">
        <v>1007208.0</v>
      </c>
      <c r="B1704" s="15" t="s">
        <v>183</v>
      </c>
      <c r="C1704" s="15" t="s">
        <v>183</v>
      </c>
    </row>
    <row r="1705" ht="22.5" customHeight="1">
      <c r="A1705" s="15">
        <v>1007209.0</v>
      </c>
      <c r="B1705" s="15" t="s">
        <v>183</v>
      </c>
      <c r="C1705" s="15" t="s">
        <v>183</v>
      </c>
    </row>
    <row r="1706" ht="22.5" customHeight="1">
      <c r="A1706" s="15">
        <v>1007210.0</v>
      </c>
      <c r="B1706" s="15" t="s">
        <v>115</v>
      </c>
      <c r="C1706" s="15" t="s">
        <v>199</v>
      </c>
    </row>
    <row r="1707" ht="22.5" customHeight="1">
      <c r="A1707" s="15">
        <v>1007211.0</v>
      </c>
      <c r="B1707" s="15" t="s">
        <v>116</v>
      </c>
      <c r="C1707" s="15" t="s">
        <v>200</v>
      </c>
    </row>
    <row r="1708" ht="22.5" customHeight="1">
      <c r="A1708" s="15">
        <v>1007212.0</v>
      </c>
      <c r="B1708" s="15" t="s">
        <v>117</v>
      </c>
      <c r="C1708" s="15" t="s">
        <v>201</v>
      </c>
    </row>
    <row r="1709" ht="22.5" customHeight="1">
      <c r="A1709" s="15">
        <v>1007213.0</v>
      </c>
      <c r="B1709" s="15" t="s">
        <v>183</v>
      </c>
      <c r="C1709" s="15" t="s">
        <v>183</v>
      </c>
    </row>
    <row r="1710" ht="22.5" customHeight="1">
      <c r="A1710" s="15">
        <v>1007214.0</v>
      </c>
      <c r="B1710" s="15" t="s">
        <v>183</v>
      </c>
      <c r="C1710" s="15" t="s">
        <v>183</v>
      </c>
    </row>
    <row r="1711" ht="22.5" customHeight="1">
      <c r="A1711" s="15">
        <v>1007215.0</v>
      </c>
      <c r="B1711" s="15" t="s">
        <v>183</v>
      </c>
      <c r="C1711" s="15" t="s">
        <v>183</v>
      </c>
    </row>
    <row r="1712" ht="22.5" customHeight="1">
      <c r="A1712" s="15">
        <v>1007216.0</v>
      </c>
      <c r="B1712" s="15" t="s">
        <v>183</v>
      </c>
      <c r="C1712" s="15" t="s">
        <v>183</v>
      </c>
    </row>
    <row r="1713" ht="22.5" customHeight="1">
      <c r="A1713" s="15">
        <v>1007217.0</v>
      </c>
      <c r="B1713" s="15" t="s">
        <v>183</v>
      </c>
      <c r="C1713" s="15" t="s">
        <v>183</v>
      </c>
    </row>
    <row r="1714" ht="22.5" customHeight="1">
      <c r="A1714" s="15">
        <v>1007218.0</v>
      </c>
      <c r="B1714" s="15" t="s">
        <v>183</v>
      </c>
      <c r="C1714" s="15" t="s">
        <v>183</v>
      </c>
    </row>
    <row r="1715" ht="22.5" customHeight="1">
      <c r="A1715" s="15">
        <v>1007219.0</v>
      </c>
      <c r="B1715" s="15" t="s">
        <v>183</v>
      </c>
      <c r="C1715" s="15" t="s">
        <v>183</v>
      </c>
    </row>
    <row r="1716" ht="22.5" customHeight="1">
      <c r="A1716" s="15">
        <v>1007220.0</v>
      </c>
      <c r="B1716" s="15" t="s">
        <v>115</v>
      </c>
      <c r="C1716" s="15" t="s">
        <v>199</v>
      </c>
    </row>
    <row r="1717" ht="22.5" customHeight="1">
      <c r="A1717" s="15">
        <v>1007221.0</v>
      </c>
      <c r="B1717" s="15" t="s">
        <v>116</v>
      </c>
      <c r="C1717" s="15" t="s">
        <v>200</v>
      </c>
    </row>
    <row r="1718" ht="22.5" customHeight="1">
      <c r="A1718" s="15">
        <v>1007222.0</v>
      </c>
      <c r="B1718" s="15" t="s">
        <v>117</v>
      </c>
      <c r="C1718" s="15" t="s">
        <v>201</v>
      </c>
    </row>
    <row r="1719" ht="22.5" customHeight="1">
      <c r="A1719" s="15">
        <v>1007300.0</v>
      </c>
      <c r="B1719" s="15" t="s">
        <v>118</v>
      </c>
      <c r="C1719" s="15" t="s">
        <v>202</v>
      </c>
    </row>
    <row r="1720" ht="22.5" customHeight="1">
      <c r="A1720" s="15">
        <v>1007301.0</v>
      </c>
      <c r="B1720" s="15" t="s">
        <v>119</v>
      </c>
      <c r="C1720" s="15" t="s">
        <v>203</v>
      </c>
    </row>
    <row r="1721" ht="22.5" customHeight="1">
      <c r="A1721" s="15">
        <v>1007302.0</v>
      </c>
      <c r="B1721" s="15" t="s">
        <v>120</v>
      </c>
      <c r="C1721" s="15" t="s">
        <v>204</v>
      </c>
    </row>
    <row r="1722" ht="22.5" customHeight="1">
      <c r="A1722" s="15">
        <v>1007303.0</v>
      </c>
      <c r="B1722" s="15" t="s">
        <v>183</v>
      </c>
      <c r="C1722" s="15" t="s">
        <v>183</v>
      </c>
    </row>
    <row r="1723" ht="22.5" customHeight="1">
      <c r="A1723" s="15">
        <v>1007304.0</v>
      </c>
      <c r="B1723" s="15" t="s">
        <v>183</v>
      </c>
      <c r="C1723" s="15" t="s">
        <v>183</v>
      </c>
    </row>
    <row r="1724" ht="22.5" customHeight="1">
      <c r="A1724" s="15">
        <v>1007305.0</v>
      </c>
      <c r="B1724" s="15" t="s">
        <v>183</v>
      </c>
      <c r="C1724" s="15" t="s">
        <v>183</v>
      </c>
    </row>
    <row r="1725" ht="22.5" customHeight="1">
      <c r="A1725" s="15">
        <v>1007306.0</v>
      </c>
      <c r="B1725" s="15" t="s">
        <v>183</v>
      </c>
      <c r="C1725" s="15" t="s">
        <v>183</v>
      </c>
    </row>
    <row r="1726" ht="22.5" customHeight="1">
      <c r="A1726" s="15">
        <v>1007307.0</v>
      </c>
      <c r="B1726" s="15" t="s">
        <v>183</v>
      </c>
      <c r="C1726" s="15" t="s">
        <v>183</v>
      </c>
    </row>
    <row r="1727" ht="22.5" customHeight="1">
      <c r="A1727" s="15">
        <v>1007308.0</v>
      </c>
      <c r="B1727" s="15" t="s">
        <v>183</v>
      </c>
      <c r="C1727" s="15" t="s">
        <v>183</v>
      </c>
    </row>
    <row r="1728" ht="22.5" customHeight="1">
      <c r="A1728" s="15">
        <v>1007309.0</v>
      </c>
      <c r="B1728" s="15" t="s">
        <v>183</v>
      </c>
      <c r="C1728" s="15" t="s">
        <v>183</v>
      </c>
    </row>
    <row r="1729" ht="22.5" customHeight="1">
      <c r="A1729" s="15">
        <v>1007310.0</v>
      </c>
      <c r="B1729" s="15" t="s">
        <v>118</v>
      </c>
      <c r="C1729" s="15" t="s">
        <v>202</v>
      </c>
    </row>
    <row r="1730" ht="22.5" customHeight="1">
      <c r="A1730" s="15">
        <v>1007311.0</v>
      </c>
      <c r="B1730" s="15" t="s">
        <v>119</v>
      </c>
      <c r="C1730" s="15" t="s">
        <v>203</v>
      </c>
    </row>
    <row r="1731" ht="22.5" customHeight="1">
      <c r="A1731" s="15">
        <v>1007312.0</v>
      </c>
      <c r="B1731" s="15" t="s">
        <v>120</v>
      </c>
      <c r="C1731" s="15" t="s">
        <v>204</v>
      </c>
    </row>
    <row r="1732" ht="22.5" customHeight="1">
      <c r="A1732" s="15">
        <v>1007313.0</v>
      </c>
      <c r="B1732" s="15" t="s">
        <v>183</v>
      </c>
      <c r="C1732" s="15" t="s">
        <v>183</v>
      </c>
    </row>
    <row r="1733" ht="22.5" customHeight="1">
      <c r="A1733" s="15">
        <v>1007314.0</v>
      </c>
      <c r="B1733" s="15" t="s">
        <v>183</v>
      </c>
      <c r="C1733" s="15" t="s">
        <v>183</v>
      </c>
    </row>
    <row r="1734" ht="22.5" customHeight="1">
      <c r="A1734" s="15">
        <v>1007315.0</v>
      </c>
      <c r="B1734" s="15" t="s">
        <v>183</v>
      </c>
      <c r="C1734" s="15" t="s">
        <v>183</v>
      </c>
    </row>
    <row r="1735" ht="22.5" customHeight="1">
      <c r="A1735" s="15">
        <v>1007316.0</v>
      </c>
      <c r="B1735" s="15" t="s">
        <v>183</v>
      </c>
      <c r="C1735" s="15" t="s">
        <v>183</v>
      </c>
    </row>
    <row r="1736" ht="22.5" customHeight="1">
      <c r="A1736" s="15">
        <v>1007317.0</v>
      </c>
      <c r="B1736" s="15" t="s">
        <v>183</v>
      </c>
      <c r="C1736" s="15" t="s">
        <v>183</v>
      </c>
    </row>
    <row r="1737" ht="22.5" customHeight="1">
      <c r="A1737" s="15">
        <v>1007318.0</v>
      </c>
      <c r="B1737" s="15" t="s">
        <v>183</v>
      </c>
      <c r="C1737" s="15" t="s">
        <v>183</v>
      </c>
    </row>
    <row r="1738" ht="22.5" customHeight="1">
      <c r="A1738" s="15">
        <v>1007319.0</v>
      </c>
      <c r="B1738" s="15" t="s">
        <v>183</v>
      </c>
      <c r="C1738" s="15" t="s">
        <v>183</v>
      </c>
    </row>
    <row r="1739" ht="22.5" customHeight="1">
      <c r="A1739" s="15">
        <v>1007320.0</v>
      </c>
      <c r="B1739" s="15" t="s">
        <v>118</v>
      </c>
      <c r="C1739" s="15" t="s">
        <v>202</v>
      </c>
    </row>
    <row r="1740" ht="22.5" customHeight="1">
      <c r="A1740" s="15">
        <v>1007321.0</v>
      </c>
      <c r="B1740" s="15" t="s">
        <v>119</v>
      </c>
      <c r="C1740" s="15" t="s">
        <v>203</v>
      </c>
    </row>
    <row r="1741" ht="22.5" customHeight="1">
      <c r="A1741" s="15">
        <v>1007322.0</v>
      </c>
      <c r="B1741" s="15" t="s">
        <v>120</v>
      </c>
      <c r="C1741" s="15" t="s">
        <v>204</v>
      </c>
    </row>
    <row r="1742" ht="22.5" customHeight="1">
      <c r="A1742" s="15">
        <v>1008000.0</v>
      </c>
      <c r="B1742" s="15" t="s">
        <v>109</v>
      </c>
      <c r="C1742" s="15" t="s">
        <v>193</v>
      </c>
    </row>
    <row r="1743" ht="22.5" customHeight="1">
      <c r="A1743" s="15">
        <v>1008001.0</v>
      </c>
      <c r="B1743" s="15" t="s">
        <v>110</v>
      </c>
      <c r="C1743" s="15" t="s">
        <v>194</v>
      </c>
    </row>
    <row r="1744" ht="22.5" customHeight="1">
      <c r="A1744" s="15">
        <v>1008002.0</v>
      </c>
      <c r="B1744" s="15" t="s">
        <v>111</v>
      </c>
      <c r="C1744" s="15" t="s">
        <v>195</v>
      </c>
    </row>
    <row r="1745" ht="22.5" customHeight="1">
      <c r="A1745" s="15">
        <v>1008003.0</v>
      </c>
      <c r="B1745" s="15" t="s">
        <v>183</v>
      </c>
      <c r="C1745" s="15" t="s">
        <v>183</v>
      </c>
    </row>
    <row r="1746" ht="22.5" customHeight="1">
      <c r="A1746" s="15">
        <v>1008004.0</v>
      </c>
      <c r="B1746" s="15" t="s">
        <v>183</v>
      </c>
      <c r="C1746" s="15" t="s">
        <v>183</v>
      </c>
    </row>
    <row r="1747" ht="22.5" customHeight="1">
      <c r="A1747" s="15">
        <v>1008005.0</v>
      </c>
      <c r="B1747" s="15" t="s">
        <v>183</v>
      </c>
      <c r="C1747" s="15" t="s">
        <v>183</v>
      </c>
    </row>
    <row r="1748" ht="22.5" customHeight="1">
      <c r="A1748" s="15">
        <v>1008006.0</v>
      </c>
      <c r="B1748" s="15" t="s">
        <v>183</v>
      </c>
      <c r="C1748" s="15" t="s">
        <v>183</v>
      </c>
    </row>
    <row r="1749" ht="22.5" customHeight="1">
      <c r="A1749" s="15">
        <v>1008007.0</v>
      </c>
      <c r="B1749" s="15" t="s">
        <v>183</v>
      </c>
      <c r="C1749" s="15" t="s">
        <v>183</v>
      </c>
    </row>
    <row r="1750" ht="22.5" customHeight="1">
      <c r="A1750" s="15">
        <v>1008008.0</v>
      </c>
      <c r="B1750" s="15" t="s">
        <v>183</v>
      </c>
      <c r="C1750" s="15" t="s">
        <v>183</v>
      </c>
    </row>
    <row r="1751" ht="22.5" customHeight="1">
      <c r="A1751" s="15">
        <v>1008009.0</v>
      </c>
      <c r="B1751" s="15" t="s">
        <v>183</v>
      </c>
      <c r="C1751" s="15" t="s">
        <v>183</v>
      </c>
    </row>
    <row r="1752" ht="22.5" customHeight="1">
      <c r="A1752" s="15">
        <v>1008010.0</v>
      </c>
      <c r="B1752" s="15" t="s">
        <v>109</v>
      </c>
      <c r="C1752" s="15" t="s">
        <v>193</v>
      </c>
    </row>
    <row r="1753" ht="22.5" customHeight="1">
      <c r="A1753" s="15">
        <v>1008011.0</v>
      </c>
      <c r="B1753" s="15" t="s">
        <v>110</v>
      </c>
      <c r="C1753" s="15" t="s">
        <v>194</v>
      </c>
    </row>
    <row r="1754" ht="22.5" customHeight="1">
      <c r="A1754" s="15">
        <v>1008012.0</v>
      </c>
      <c r="B1754" s="15" t="s">
        <v>111</v>
      </c>
      <c r="C1754" s="15" t="s">
        <v>195</v>
      </c>
    </row>
    <row r="1755" ht="22.5" customHeight="1">
      <c r="A1755" s="15">
        <v>1008013.0</v>
      </c>
      <c r="B1755" s="15" t="s">
        <v>183</v>
      </c>
      <c r="C1755" s="15" t="s">
        <v>183</v>
      </c>
    </row>
    <row r="1756" ht="22.5" customHeight="1">
      <c r="A1756" s="15">
        <v>1008014.0</v>
      </c>
      <c r="B1756" s="15" t="s">
        <v>183</v>
      </c>
      <c r="C1756" s="15" t="s">
        <v>183</v>
      </c>
    </row>
    <row r="1757" ht="22.5" customHeight="1">
      <c r="A1757" s="15">
        <v>1008015.0</v>
      </c>
      <c r="B1757" s="15" t="s">
        <v>183</v>
      </c>
      <c r="C1757" s="15" t="s">
        <v>183</v>
      </c>
    </row>
    <row r="1758" ht="22.5" customHeight="1">
      <c r="A1758" s="15">
        <v>1008016.0</v>
      </c>
      <c r="B1758" s="15" t="s">
        <v>183</v>
      </c>
      <c r="C1758" s="15" t="s">
        <v>183</v>
      </c>
    </row>
    <row r="1759" ht="22.5" customHeight="1">
      <c r="A1759" s="15">
        <v>1008017.0</v>
      </c>
      <c r="B1759" s="15" t="s">
        <v>183</v>
      </c>
      <c r="C1759" s="15" t="s">
        <v>183</v>
      </c>
    </row>
    <row r="1760" ht="22.5" customHeight="1">
      <c r="A1760" s="15">
        <v>1008018.0</v>
      </c>
      <c r="B1760" s="15" t="s">
        <v>183</v>
      </c>
      <c r="C1760" s="15" t="s">
        <v>183</v>
      </c>
    </row>
    <row r="1761" ht="22.5" customHeight="1">
      <c r="A1761" s="15">
        <v>1008019.0</v>
      </c>
      <c r="B1761" s="15" t="s">
        <v>183</v>
      </c>
      <c r="C1761" s="15" t="s">
        <v>183</v>
      </c>
    </row>
    <row r="1762" ht="22.5" customHeight="1">
      <c r="A1762" s="15">
        <v>1008020.0</v>
      </c>
      <c r="B1762" s="15" t="s">
        <v>109</v>
      </c>
      <c r="C1762" s="15" t="s">
        <v>193</v>
      </c>
    </row>
    <row r="1763" ht="22.5" customHeight="1">
      <c r="A1763" s="15">
        <v>1008021.0</v>
      </c>
      <c r="B1763" s="15" t="s">
        <v>110</v>
      </c>
      <c r="C1763" s="15" t="s">
        <v>194</v>
      </c>
    </row>
    <row r="1764" ht="22.5" customHeight="1">
      <c r="A1764" s="15">
        <v>1008022.0</v>
      </c>
      <c r="B1764" s="15" t="s">
        <v>111</v>
      </c>
      <c r="C1764" s="15" t="s">
        <v>195</v>
      </c>
    </row>
    <row r="1765" ht="22.5" customHeight="1">
      <c r="A1765" s="15">
        <v>1008100.0</v>
      </c>
      <c r="B1765" s="15" t="s">
        <v>112</v>
      </c>
      <c r="C1765" s="15" t="s">
        <v>196</v>
      </c>
    </row>
    <row r="1766" ht="22.5" customHeight="1">
      <c r="A1766" s="15">
        <v>1008101.0</v>
      </c>
      <c r="B1766" s="15" t="s">
        <v>113</v>
      </c>
      <c r="C1766" s="15" t="s">
        <v>197</v>
      </c>
    </row>
    <row r="1767" ht="22.5" customHeight="1">
      <c r="A1767" s="15">
        <v>1008102.0</v>
      </c>
      <c r="B1767" s="15" t="s">
        <v>114</v>
      </c>
      <c r="C1767" s="15" t="s">
        <v>198</v>
      </c>
    </row>
    <row r="1768" ht="22.5" customHeight="1">
      <c r="A1768" s="15">
        <v>1008103.0</v>
      </c>
      <c r="B1768" s="15" t="s">
        <v>183</v>
      </c>
      <c r="C1768" s="15" t="s">
        <v>183</v>
      </c>
    </row>
    <row r="1769" ht="22.5" customHeight="1">
      <c r="A1769" s="15">
        <v>1008104.0</v>
      </c>
      <c r="B1769" s="15" t="s">
        <v>183</v>
      </c>
      <c r="C1769" s="15" t="s">
        <v>183</v>
      </c>
    </row>
    <row r="1770" ht="22.5" customHeight="1">
      <c r="A1770" s="15">
        <v>1008105.0</v>
      </c>
      <c r="B1770" s="15" t="s">
        <v>183</v>
      </c>
      <c r="C1770" s="15" t="s">
        <v>183</v>
      </c>
    </row>
    <row r="1771" ht="22.5" customHeight="1">
      <c r="A1771" s="15">
        <v>1008106.0</v>
      </c>
      <c r="B1771" s="15" t="s">
        <v>183</v>
      </c>
      <c r="C1771" s="15" t="s">
        <v>183</v>
      </c>
    </row>
    <row r="1772" ht="22.5" customHeight="1">
      <c r="A1772" s="15">
        <v>1008107.0</v>
      </c>
      <c r="B1772" s="15" t="s">
        <v>183</v>
      </c>
      <c r="C1772" s="15" t="s">
        <v>183</v>
      </c>
    </row>
    <row r="1773" ht="22.5" customHeight="1">
      <c r="A1773" s="15">
        <v>1008108.0</v>
      </c>
      <c r="B1773" s="15" t="s">
        <v>183</v>
      </c>
      <c r="C1773" s="15" t="s">
        <v>183</v>
      </c>
    </row>
    <row r="1774" ht="22.5" customHeight="1">
      <c r="A1774" s="15">
        <v>1008109.0</v>
      </c>
      <c r="B1774" s="15" t="s">
        <v>183</v>
      </c>
      <c r="C1774" s="15" t="s">
        <v>183</v>
      </c>
    </row>
    <row r="1775" ht="22.5" customHeight="1">
      <c r="A1775" s="15">
        <v>1008110.0</v>
      </c>
      <c r="B1775" s="15" t="s">
        <v>112</v>
      </c>
      <c r="C1775" s="15" t="s">
        <v>196</v>
      </c>
    </row>
    <row r="1776" ht="22.5" customHeight="1">
      <c r="A1776" s="15">
        <v>1008111.0</v>
      </c>
      <c r="B1776" s="15" t="s">
        <v>113</v>
      </c>
      <c r="C1776" s="15" t="s">
        <v>197</v>
      </c>
    </row>
    <row r="1777" ht="22.5" customHeight="1">
      <c r="A1777" s="15">
        <v>1008112.0</v>
      </c>
      <c r="B1777" s="15" t="s">
        <v>114</v>
      </c>
      <c r="C1777" s="15" t="s">
        <v>198</v>
      </c>
    </row>
    <row r="1778" ht="22.5" customHeight="1">
      <c r="A1778" s="15">
        <v>1008113.0</v>
      </c>
      <c r="B1778" s="15" t="s">
        <v>183</v>
      </c>
      <c r="C1778" s="15" t="s">
        <v>183</v>
      </c>
    </row>
    <row r="1779" ht="22.5" customHeight="1">
      <c r="A1779" s="15">
        <v>1008114.0</v>
      </c>
      <c r="B1779" s="15" t="s">
        <v>183</v>
      </c>
      <c r="C1779" s="15" t="s">
        <v>183</v>
      </c>
    </row>
    <row r="1780" ht="22.5" customHeight="1">
      <c r="A1780" s="15">
        <v>1008115.0</v>
      </c>
      <c r="B1780" s="15" t="s">
        <v>183</v>
      </c>
      <c r="C1780" s="15" t="s">
        <v>183</v>
      </c>
    </row>
    <row r="1781" ht="22.5" customHeight="1">
      <c r="A1781" s="15">
        <v>1008116.0</v>
      </c>
      <c r="B1781" s="15" t="s">
        <v>183</v>
      </c>
      <c r="C1781" s="15" t="s">
        <v>183</v>
      </c>
    </row>
    <row r="1782" ht="22.5" customHeight="1">
      <c r="A1782" s="15">
        <v>1008117.0</v>
      </c>
      <c r="B1782" s="15" t="s">
        <v>183</v>
      </c>
      <c r="C1782" s="15" t="s">
        <v>183</v>
      </c>
    </row>
    <row r="1783" ht="22.5" customHeight="1">
      <c r="A1783" s="15">
        <v>1008118.0</v>
      </c>
      <c r="B1783" s="15" t="s">
        <v>183</v>
      </c>
      <c r="C1783" s="15" t="s">
        <v>183</v>
      </c>
    </row>
    <row r="1784" ht="22.5" customHeight="1">
      <c r="A1784" s="15">
        <v>1008119.0</v>
      </c>
      <c r="B1784" s="15" t="s">
        <v>183</v>
      </c>
      <c r="C1784" s="15" t="s">
        <v>183</v>
      </c>
    </row>
    <row r="1785" ht="22.5" customHeight="1">
      <c r="A1785" s="15">
        <v>1008120.0</v>
      </c>
      <c r="B1785" s="15" t="s">
        <v>112</v>
      </c>
      <c r="C1785" s="15" t="s">
        <v>196</v>
      </c>
    </row>
    <row r="1786" ht="22.5" customHeight="1">
      <c r="A1786" s="15">
        <v>1008121.0</v>
      </c>
      <c r="B1786" s="15" t="s">
        <v>113</v>
      </c>
      <c r="C1786" s="15" t="s">
        <v>197</v>
      </c>
    </row>
    <row r="1787" ht="22.5" customHeight="1">
      <c r="A1787" s="15">
        <v>1008122.0</v>
      </c>
      <c r="B1787" s="15" t="s">
        <v>114</v>
      </c>
      <c r="C1787" s="15" t="s">
        <v>198</v>
      </c>
    </row>
    <row r="1788" ht="22.5" customHeight="1">
      <c r="A1788" s="15">
        <v>1008200.0</v>
      </c>
      <c r="B1788" s="15" t="s">
        <v>115</v>
      </c>
      <c r="C1788" s="15" t="s">
        <v>199</v>
      </c>
    </row>
    <row r="1789" ht="22.5" customHeight="1">
      <c r="A1789" s="15">
        <v>1008201.0</v>
      </c>
      <c r="B1789" s="15" t="s">
        <v>116</v>
      </c>
      <c r="C1789" s="15" t="s">
        <v>200</v>
      </c>
    </row>
    <row r="1790" ht="22.5" customHeight="1">
      <c r="A1790" s="15">
        <v>1008202.0</v>
      </c>
      <c r="B1790" s="15" t="s">
        <v>117</v>
      </c>
      <c r="C1790" s="15" t="s">
        <v>201</v>
      </c>
    </row>
    <row r="1791" ht="22.5" customHeight="1">
      <c r="A1791" s="15">
        <v>1008203.0</v>
      </c>
      <c r="B1791" s="15" t="s">
        <v>183</v>
      </c>
      <c r="C1791" s="15" t="s">
        <v>183</v>
      </c>
    </row>
    <row r="1792" ht="22.5" customHeight="1">
      <c r="A1792" s="15">
        <v>1008204.0</v>
      </c>
      <c r="B1792" s="15" t="s">
        <v>183</v>
      </c>
      <c r="C1792" s="15" t="s">
        <v>183</v>
      </c>
    </row>
    <row r="1793" ht="22.5" customHeight="1">
      <c r="A1793" s="15">
        <v>1008205.0</v>
      </c>
      <c r="B1793" s="15" t="s">
        <v>183</v>
      </c>
      <c r="C1793" s="15" t="s">
        <v>183</v>
      </c>
    </row>
    <row r="1794" ht="22.5" customHeight="1">
      <c r="A1794" s="15">
        <v>1008206.0</v>
      </c>
      <c r="B1794" s="15" t="s">
        <v>183</v>
      </c>
      <c r="C1794" s="15" t="s">
        <v>183</v>
      </c>
    </row>
    <row r="1795" ht="22.5" customHeight="1">
      <c r="A1795" s="15">
        <v>1008207.0</v>
      </c>
      <c r="B1795" s="15" t="s">
        <v>183</v>
      </c>
      <c r="C1795" s="15" t="s">
        <v>183</v>
      </c>
    </row>
    <row r="1796" ht="22.5" customHeight="1">
      <c r="A1796" s="15">
        <v>1008208.0</v>
      </c>
      <c r="B1796" s="15" t="s">
        <v>183</v>
      </c>
      <c r="C1796" s="15" t="s">
        <v>183</v>
      </c>
    </row>
    <row r="1797" ht="22.5" customHeight="1">
      <c r="A1797" s="15">
        <v>1008209.0</v>
      </c>
      <c r="B1797" s="15" t="s">
        <v>183</v>
      </c>
      <c r="C1797" s="15" t="s">
        <v>183</v>
      </c>
    </row>
    <row r="1798" ht="22.5" customHeight="1">
      <c r="A1798" s="15">
        <v>1008210.0</v>
      </c>
      <c r="B1798" s="15" t="s">
        <v>115</v>
      </c>
      <c r="C1798" s="15" t="s">
        <v>199</v>
      </c>
    </row>
    <row r="1799" ht="22.5" customHeight="1">
      <c r="A1799" s="15">
        <v>1008211.0</v>
      </c>
      <c r="B1799" s="15" t="s">
        <v>116</v>
      </c>
      <c r="C1799" s="15" t="s">
        <v>200</v>
      </c>
    </row>
    <row r="1800" ht="22.5" customHeight="1">
      <c r="A1800" s="15">
        <v>1008212.0</v>
      </c>
      <c r="B1800" s="15" t="s">
        <v>117</v>
      </c>
      <c r="C1800" s="15" t="s">
        <v>201</v>
      </c>
    </row>
    <row r="1801" ht="22.5" customHeight="1">
      <c r="A1801" s="15">
        <v>1008213.0</v>
      </c>
      <c r="B1801" s="15" t="s">
        <v>183</v>
      </c>
      <c r="C1801" s="15" t="s">
        <v>183</v>
      </c>
    </row>
    <row r="1802" ht="22.5" customHeight="1">
      <c r="A1802" s="15">
        <v>1008214.0</v>
      </c>
      <c r="B1802" s="15" t="s">
        <v>183</v>
      </c>
      <c r="C1802" s="15" t="s">
        <v>183</v>
      </c>
    </row>
    <row r="1803" ht="22.5" customHeight="1">
      <c r="A1803" s="15">
        <v>1008215.0</v>
      </c>
      <c r="B1803" s="15" t="s">
        <v>183</v>
      </c>
      <c r="C1803" s="15" t="s">
        <v>183</v>
      </c>
    </row>
    <row r="1804" ht="22.5" customHeight="1">
      <c r="A1804" s="15">
        <v>1008216.0</v>
      </c>
      <c r="B1804" s="15" t="s">
        <v>183</v>
      </c>
      <c r="C1804" s="15" t="s">
        <v>183</v>
      </c>
    </row>
    <row r="1805" ht="22.5" customHeight="1">
      <c r="A1805" s="15">
        <v>1008217.0</v>
      </c>
      <c r="B1805" s="15" t="s">
        <v>183</v>
      </c>
      <c r="C1805" s="15" t="s">
        <v>183</v>
      </c>
    </row>
    <row r="1806" ht="22.5" customHeight="1">
      <c r="A1806" s="15">
        <v>1008218.0</v>
      </c>
      <c r="B1806" s="15" t="s">
        <v>183</v>
      </c>
      <c r="C1806" s="15" t="s">
        <v>183</v>
      </c>
    </row>
    <row r="1807" ht="22.5" customHeight="1">
      <c r="A1807" s="15">
        <v>1008219.0</v>
      </c>
      <c r="B1807" s="15" t="s">
        <v>183</v>
      </c>
      <c r="C1807" s="15" t="s">
        <v>183</v>
      </c>
    </row>
    <row r="1808" ht="22.5" customHeight="1">
      <c r="A1808" s="15">
        <v>1008220.0</v>
      </c>
      <c r="B1808" s="15" t="s">
        <v>115</v>
      </c>
      <c r="C1808" s="15" t="s">
        <v>199</v>
      </c>
    </row>
    <row r="1809" ht="22.5" customHeight="1">
      <c r="A1809" s="15">
        <v>1008221.0</v>
      </c>
      <c r="B1809" s="15" t="s">
        <v>116</v>
      </c>
      <c r="C1809" s="15" t="s">
        <v>200</v>
      </c>
    </row>
    <row r="1810" ht="22.5" customHeight="1">
      <c r="A1810" s="15">
        <v>1008222.0</v>
      </c>
      <c r="B1810" s="15" t="s">
        <v>117</v>
      </c>
      <c r="C1810" s="15" t="s">
        <v>201</v>
      </c>
    </row>
    <row r="1811" ht="22.5" customHeight="1">
      <c r="A1811" s="15">
        <v>1008300.0</v>
      </c>
      <c r="B1811" s="15" t="s">
        <v>118</v>
      </c>
      <c r="C1811" s="15" t="s">
        <v>202</v>
      </c>
    </row>
    <row r="1812" ht="22.5" customHeight="1">
      <c r="A1812" s="15">
        <v>1008301.0</v>
      </c>
      <c r="B1812" s="15" t="s">
        <v>119</v>
      </c>
      <c r="C1812" s="15" t="s">
        <v>203</v>
      </c>
    </row>
    <row r="1813" ht="22.5" customHeight="1">
      <c r="A1813" s="15">
        <v>1008302.0</v>
      </c>
      <c r="B1813" s="15" t="s">
        <v>120</v>
      </c>
      <c r="C1813" s="15" t="s">
        <v>204</v>
      </c>
    </row>
    <row r="1814" ht="22.5" customHeight="1">
      <c r="A1814" s="15">
        <v>1008303.0</v>
      </c>
      <c r="B1814" s="15" t="s">
        <v>183</v>
      </c>
      <c r="C1814" s="15" t="s">
        <v>183</v>
      </c>
    </row>
    <row r="1815" ht="22.5" customHeight="1">
      <c r="A1815" s="15">
        <v>1008304.0</v>
      </c>
      <c r="B1815" s="15" t="s">
        <v>183</v>
      </c>
      <c r="C1815" s="15" t="s">
        <v>183</v>
      </c>
    </row>
    <row r="1816" ht="22.5" customHeight="1">
      <c r="A1816" s="15">
        <v>1008305.0</v>
      </c>
      <c r="B1816" s="15" t="s">
        <v>183</v>
      </c>
      <c r="C1816" s="15" t="s">
        <v>183</v>
      </c>
    </row>
    <row r="1817" ht="22.5" customHeight="1">
      <c r="A1817" s="15">
        <v>1008306.0</v>
      </c>
      <c r="B1817" s="15" t="s">
        <v>183</v>
      </c>
      <c r="C1817" s="15" t="s">
        <v>183</v>
      </c>
    </row>
    <row r="1818" ht="22.5" customHeight="1">
      <c r="A1818" s="15">
        <v>1008307.0</v>
      </c>
      <c r="B1818" s="15" t="s">
        <v>183</v>
      </c>
      <c r="C1818" s="15" t="s">
        <v>183</v>
      </c>
    </row>
    <row r="1819" ht="22.5" customHeight="1">
      <c r="A1819" s="15">
        <v>1008308.0</v>
      </c>
      <c r="B1819" s="15" t="s">
        <v>183</v>
      </c>
      <c r="C1819" s="15" t="s">
        <v>183</v>
      </c>
    </row>
    <row r="1820" ht="22.5" customHeight="1">
      <c r="A1820" s="15">
        <v>1008309.0</v>
      </c>
      <c r="B1820" s="15" t="s">
        <v>183</v>
      </c>
      <c r="C1820" s="15" t="s">
        <v>183</v>
      </c>
    </row>
    <row r="1821" ht="22.5" customHeight="1">
      <c r="A1821" s="15">
        <v>1008310.0</v>
      </c>
      <c r="B1821" s="15" t="s">
        <v>118</v>
      </c>
      <c r="C1821" s="15" t="s">
        <v>202</v>
      </c>
    </row>
    <row r="1822" ht="22.5" customHeight="1">
      <c r="A1822" s="15">
        <v>1008311.0</v>
      </c>
      <c r="B1822" s="15" t="s">
        <v>119</v>
      </c>
      <c r="C1822" s="15" t="s">
        <v>203</v>
      </c>
    </row>
    <row r="1823" ht="22.5" customHeight="1">
      <c r="A1823" s="15">
        <v>1008312.0</v>
      </c>
      <c r="B1823" s="15" t="s">
        <v>120</v>
      </c>
      <c r="C1823" s="15" t="s">
        <v>204</v>
      </c>
    </row>
    <row r="1824" ht="22.5" customHeight="1">
      <c r="A1824" s="15">
        <v>1008313.0</v>
      </c>
      <c r="B1824" s="15" t="s">
        <v>183</v>
      </c>
      <c r="C1824" s="15" t="s">
        <v>183</v>
      </c>
    </row>
    <row r="1825" ht="22.5" customHeight="1">
      <c r="A1825" s="15">
        <v>1008314.0</v>
      </c>
      <c r="B1825" s="15" t="s">
        <v>183</v>
      </c>
      <c r="C1825" s="15" t="s">
        <v>183</v>
      </c>
    </row>
    <row r="1826" ht="22.5" customHeight="1">
      <c r="A1826" s="15">
        <v>1008315.0</v>
      </c>
      <c r="B1826" s="15" t="s">
        <v>183</v>
      </c>
      <c r="C1826" s="15" t="s">
        <v>183</v>
      </c>
    </row>
    <row r="1827" ht="22.5" customHeight="1">
      <c r="A1827" s="15">
        <v>1008316.0</v>
      </c>
      <c r="B1827" s="15" t="s">
        <v>183</v>
      </c>
      <c r="C1827" s="15" t="s">
        <v>183</v>
      </c>
    </row>
    <row r="1828" ht="22.5" customHeight="1">
      <c r="A1828" s="15">
        <v>1008317.0</v>
      </c>
      <c r="B1828" s="15" t="s">
        <v>183</v>
      </c>
      <c r="C1828" s="15" t="s">
        <v>183</v>
      </c>
    </row>
    <row r="1829" ht="22.5" customHeight="1">
      <c r="A1829" s="15">
        <v>1008318.0</v>
      </c>
      <c r="B1829" s="15" t="s">
        <v>183</v>
      </c>
      <c r="C1829" s="15" t="s">
        <v>183</v>
      </c>
    </row>
    <row r="1830" ht="22.5" customHeight="1">
      <c r="A1830" s="15">
        <v>1008319.0</v>
      </c>
      <c r="B1830" s="15" t="s">
        <v>183</v>
      </c>
      <c r="C1830" s="15" t="s">
        <v>183</v>
      </c>
    </row>
    <row r="1831" ht="22.5" customHeight="1">
      <c r="A1831" s="15">
        <v>1008320.0</v>
      </c>
      <c r="B1831" s="15" t="s">
        <v>118</v>
      </c>
      <c r="C1831" s="15" t="s">
        <v>202</v>
      </c>
    </row>
    <row r="1832" ht="22.5" customHeight="1">
      <c r="A1832" s="15">
        <v>1008321.0</v>
      </c>
      <c r="B1832" s="15" t="s">
        <v>119</v>
      </c>
      <c r="C1832" s="15" t="s">
        <v>203</v>
      </c>
    </row>
    <row r="1833" ht="22.5" customHeight="1">
      <c r="A1833" s="15">
        <v>1008322.0</v>
      </c>
      <c r="B1833" s="15" t="s">
        <v>120</v>
      </c>
      <c r="C1833" s="15" t="s">
        <v>204</v>
      </c>
    </row>
    <row r="1834" ht="22.5" customHeight="1">
      <c r="A1834" s="15">
        <v>1009000.0</v>
      </c>
      <c r="B1834" s="15" t="s">
        <v>109</v>
      </c>
      <c r="C1834" s="15" t="s">
        <v>193</v>
      </c>
    </row>
    <row r="1835" ht="22.5" customHeight="1">
      <c r="A1835" s="15">
        <v>1009001.0</v>
      </c>
      <c r="B1835" s="15" t="s">
        <v>110</v>
      </c>
      <c r="C1835" s="15" t="s">
        <v>194</v>
      </c>
    </row>
    <row r="1836" ht="22.5" customHeight="1">
      <c r="A1836" s="15">
        <v>1009002.0</v>
      </c>
      <c r="B1836" s="15" t="s">
        <v>111</v>
      </c>
      <c r="C1836" s="15" t="s">
        <v>195</v>
      </c>
    </row>
    <row r="1837" ht="22.5" customHeight="1">
      <c r="A1837" s="15">
        <v>1009003.0</v>
      </c>
      <c r="B1837" s="15" t="s">
        <v>183</v>
      </c>
      <c r="C1837" s="15" t="s">
        <v>183</v>
      </c>
    </row>
    <row r="1838" ht="22.5" customHeight="1">
      <c r="A1838" s="15">
        <v>1009004.0</v>
      </c>
      <c r="B1838" s="15" t="s">
        <v>183</v>
      </c>
      <c r="C1838" s="15" t="s">
        <v>183</v>
      </c>
    </row>
    <row r="1839" ht="22.5" customHeight="1">
      <c r="A1839" s="15">
        <v>1009005.0</v>
      </c>
      <c r="B1839" s="15" t="s">
        <v>183</v>
      </c>
      <c r="C1839" s="15" t="s">
        <v>183</v>
      </c>
    </row>
    <row r="1840" ht="22.5" customHeight="1">
      <c r="A1840" s="15">
        <v>1009006.0</v>
      </c>
      <c r="B1840" s="15" t="s">
        <v>183</v>
      </c>
      <c r="C1840" s="15" t="s">
        <v>183</v>
      </c>
    </row>
    <row r="1841" ht="22.5" customHeight="1">
      <c r="A1841" s="15">
        <v>1009007.0</v>
      </c>
      <c r="B1841" s="15" t="s">
        <v>183</v>
      </c>
      <c r="C1841" s="15" t="s">
        <v>183</v>
      </c>
    </row>
    <row r="1842" ht="22.5" customHeight="1">
      <c r="A1842" s="15">
        <v>1009008.0</v>
      </c>
      <c r="B1842" s="15" t="s">
        <v>183</v>
      </c>
      <c r="C1842" s="15" t="s">
        <v>183</v>
      </c>
    </row>
    <row r="1843" ht="22.5" customHeight="1">
      <c r="A1843" s="15">
        <v>1009009.0</v>
      </c>
      <c r="B1843" s="15" t="s">
        <v>183</v>
      </c>
      <c r="C1843" s="15" t="s">
        <v>183</v>
      </c>
    </row>
    <row r="1844" ht="22.5" customHeight="1">
      <c r="A1844" s="15">
        <v>1009010.0</v>
      </c>
      <c r="B1844" s="15" t="s">
        <v>109</v>
      </c>
      <c r="C1844" s="15" t="s">
        <v>193</v>
      </c>
    </row>
    <row r="1845" ht="22.5" customHeight="1">
      <c r="A1845" s="15">
        <v>1009011.0</v>
      </c>
      <c r="B1845" s="15" t="s">
        <v>110</v>
      </c>
      <c r="C1845" s="15" t="s">
        <v>194</v>
      </c>
    </row>
    <row r="1846" ht="22.5" customHeight="1">
      <c r="A1846" s="15">
        <v>1009012.0</v>
      </c>
      <c r="B1846" s="15" t="s">
        <v>111</v>
      </c>
      <c r="C1846" s="15" t="s">
        <v>195</v>
      </c>
    </row>
    <row r="1847" ht="22.5" customHeight="1">
      <c r="A1847" s="15">
        <v>1009013.0</v>
      </c>
      <c r="B1847" s="15" t="s">
        <v>183</v>
      </c>
      <c r="C1847" s="15" t="s">
        <v>183</v>
      </c>
    </row>
    <row r="1848" ht="22.5" customHeight="1">
      <c r="A1848" s="15">
        <v>1009014.0</v>
      </c>
      <c r="B1848" s="15" t="s">
        <v>183</v>
      </c>
      <c r="C1848" s="15" t="s">
        <v>183</v>
      </c>
    </row>
    <row r="1849" ht="22.5" customHeight="1">
      <c r="A1849" s="15">
        <v>1009015.0</v>
      </c>
      <c r="B1849" s="15" t="s">
        <v>183</v>
      </c>
      <c r="C1849" s="15" t="s">
        <v>183</v>
      </c>
    </row>
    <row r="1850" ht="22.5" customHeight="1">
      <c r="A1850" s="15">
        <v>1009016.0</v>
      </c>
      <c r="B1850" s="15" t="s">
        <v>183</v>
      </c>
      <c r="C1850" s="15" t="s">
        <v>183</v>
      </c>
    </row>
    <row r="1851" ht="22.5" customHeight="1">
      <c r="A1851" s="15">
        <v>1009017.0</v>
      </c>
      <c r="B1851" s="15" t="s">
        <v>183</v>
      </c>
      <c r="C1851" s="15" t="s">
        <v>183</v>
      </c>
    </row>
    <row r="1852" ht="22.5" customHeight="1">
      <c r="A1852" s="15">
        <v>1009018.0</v>
      </c>
      <c r="B1852" s="15" t="s">
        <v>183</v>
      </c>
      <c r="C1852" s="15" t="s">
        <v>183</v>
      </c>
    </row>
    <row r="1853" ht="22.5" customHeight="1">
      <c r="A1853" s="15">
        <v>1009019.0</v>
      </c>
      <c r="B1853" s="15" t="s">
        <v>183</v>
      </c>
      <c r="C1853" s="15" t="s">
        <v>183</v>
      </c>
    </row>
    <row r="1854" ht="22.5" customHeight="1">
      <c r="A1854" s="15">
        <v>1009020.0</v>
      </c>
      <c r="B1854" s="15" t="s">
        <v>109</v>
      </c>
      <c r="C1854" s="15" t="s">
        <v>193</v>
      </c>
    </row>
    <row r="1855" ht="22.5" customHeight="1">
      <c r="A1855" s="15">
        <v>1009021.0</v>
      </c>
      <c r="B1855" s="15" t="s">
        <v>110</v>
      </c>
      <c r="C1855" s="15" t="s">
        <v>194</v>
      </c>
    </row>
    <row r="1856" ht="22.5" customHeight="1">
      <c r="A1856" s="15">
        <v>1009022.0</v>
      </c>
      <c r="B1856" s="15" t="s">
        <v>111</v>
      </c>
      <c r="C1856" s="15" t="s">
        <v>195</v>
      </c>
    </row>
    <row r="1857" ht="22.5" customHeight="1">
      <c r="A1857" s="15">
        <v>1009100.0</v>
      </c>
      <c r="B1857" s="15" t="s">
        <v>112</v>
      </c>
      <c r="C1857" s="15" t="s">
        <v>196</v>
      </c>
    </row>
    <row r="1858" ht="22.5" customHeight="1">
      <c r="A1858" s="15">
        <v>1009101.0</v>
      </c>
      <c r="B1858" s="15" t="s">
        <v>113</v>
      </c>
      <c r="C1858" s="15" t="s">
        <v>197</v>
      </c>
    </row>
    <row r="1859" ht="22.5" customHeight="1">
      <c r="A1859" s="15">
        <v>1009102.0</v>
      </c>
      <c r="B1859" s="15" t="s">
        <v>114</v>
      </c>
      <c r="C1859" s="15" t="s">
        <v>198</v>
      </c>
    </row>
    <row r="1860" ht="22.5" customHeight="1">
      <c r="A1860" s="15">
        <v>1009103.0</v>
      </c>
      <c r="B1860" s="15" t="s">
        <v>183</v>
      </c>
      <c r="C1860" s="15" t="s">
        <v>183</v>
      </c>
    </row>
    <row r="1861" ht="22.5" customHeight="1">
      <c r="A1861" s="15">
        <v>1009104.0</v>
      </c>
      <c r="B1861" s="15" t="s">
        <v>183</v>
      </c>
      <c r="C1861" s="15" t="s">
        <v>183</v>
      </c>
    </row>
    <row r="1862" ht="22.5" customHeight="1">
      <c r="A1862" s="15">
        <v>1009105.0</v>
      </c>
      <c r="B1862" s="15" t="s">
        <v>183</v>
      </c>
      <c r="C1862" s="15" t="s">
        <v>183</v>
      </c>
    </row>
    <row r="1863" ht="22.5" customHeight="1">
      <c r="A1863" s="15">
        <v>1009106.0</v>
      </c>
      <c r="B1863" s="15" t="s">
        <v>183</v>
      </c>
      <c r="C1863" s="15" t="s">
        <v>183</v>
      </c>
    </row>
    <row r="1864" ht="22.5" customHeight="1">
      <c r="A1864" s="15">
        <v>1009107.0</v>
      </c>
      <c r="B1864" s="15" t="s">
        <v>183</v>
      </c>
      <c r="C1864" s="15" t="s">
        <v>183</v>
      </c>
    </row>
    <row r="1865" ht="22.5" customHeight="1">
      <c r="A1865" s="15">
        <v>1009108.0</v>
      </c>
      <c r="B1865" s="15" t="s">
        <v>183</v>
      </c>
      <c r="C1865" s="15" t="s">
        <v>183</v>
      </c>
    </row>
    <row r="1866" ht="22.5" customHeight="1">
      <c r="A1866" s="15">
        <v>1009109.0</v>
      </c>
      <c r="B1866" s="15" t="s">
        <v>183</v>
      </c>
      <c r="C1866" s="15" t="s">
        <v>183</v>
      </c>
    </row>
    <row r="1867" ht="22.5" customHeight="1">
      <c r="A1867" s="15">
        <v>1009110.0</v>
      </c>
      <c r="B1867" s="15" t="s">
        <v>112</v>
      </c>
      <c r="C1867" s="15" t="s">
        <v>196</v>
      </c>
    </row>
    <row r="1868" ht="22.5" customHeight="1">
      <c r="A1868" s="15">
        <v>1009111.0</v>
      </c>
      <c r="B1868" s="15" t="s">
        <v>113</v>
      </c>
      <c r="C1868" s="15" t="s">
        <v>197</v>
      </c>
    </row>
    <row r="1869" ht="22.5" customHeight="1">
      <c r="A1869" s="15">
        <v>1009112.0</v>
      </c>
      <c r="B1869" s="15" t="s">
        <v>114</v>
      </c>
      <c r="C1869" s="15" t="s">
        <v>198</v>
      </c>
    </row>
    <row r="1870" ht="22.5" customHeight="1">
      <c r="A1870" s="15">
        <v>1009113.0</v>
      </c>
      <c r="B1870" s="15" t="s">
        <v>183</v>
      </c>
      <c r="C1870" s="15" t="s">
        <v>183</v>
      </c>
    </row>
    <row r="1871" ht="22.5" customHeight="1">
      <c r="A1871" s="15">
        <v>1009114.0</v>
      </c>
      <c r="B1871" s="15" t="s">
        <v>183</v>
      </c>
      <c r="C1871" s="15" t="s">
        <v>183</v>
      </c>
    </row>
    <row r="1872" ht="22.5" customHeight="1">
      <c r="A1872" s="15">
        <v>1009115.0</v>
      </c>
      <c r="B1872" s="15" t="s">
        <v>183</v>
      </c>
      <c r="C1872" s="15" t="s">
        <v>183</v>
      </c>
    </row>
    <row r="1873" ht="22.5" customHeight="1">
      <c r="A1873" s="15">
        <v>1009116.0</v>
      </c>
      <c r="B1873" s="15" t="s">
        <v>183</v>
      </c>
      <c r="C1873" s="15" t="s">
        <v>183</v>
      </c>
    </row>
    <row r="1874" ht="22.5" customHeight="1">
      <c r="A1874" s="15">
        <v>1009117.0</v>
      </c>
      <c r="B1874" s="15" t="s">
        <v>183</v>
      </c>
      <c r="C1874" s="15" t="s">
        <v>183</v>
      </c>
    </row>
    <row r="1875" ht="22.5" customHeight="1">
      <c r="A1875" s="15">
        <v>1009118.0</v>
      </c>
      <c r="B1875" s="15" t="s">
        <v>183</v>
      </c>
      <c r="C1875" s="15" t="s">
        <v>183</v>
      </c>
    </row>
    <row r="1876" ht="22.5" customHeight="1">
      <c r="A1876" s="15">
        <v>1009119.0</v>
      </c>
      <c r="B1876" s="15" t="s">
        <v>183</v>
      </c>
      <c r="C1876" s="15" t="s">
        <v>183</v>
      </c>
    </row>
    <row r="1877" ht="22.5" customHeight="1">
      <c r="A1877" s="15">
        <v>1009120.0</v>
      </c>
      <c r="B1877" s="15" t="s">
        <v>112</v>
      </c>
      <c r="C1877" s="15" t="s">
        <v>196</v>
      </c>
    </row>
    <row r="1878" ht="22.5" customHeight="1">
      <c r="A1878" s="15">
        <v>1009121.0</v>
      </c>
      <c r="B1878" s="15" t="s">
        <v>113</v>
      </c>
      <c r="C1878" s="15" t="s">
        <v>197</v>
      </c>
    </row>
    <row r="1879" ht="22.5" customHeight="1">
      <c r="A1879" s="15">
        <v>1009122.0</v>
      </c>
      <c r="B1879" s="15" t="s">
        <v>114</v>
      </c>
      <c r="C1879" s="15" t="s">
        <v>198</v>
      </c>
    </row>
    <row r="1880" ht="22.5" customHeight="1">
      <c r="A1880" s="15">
        <v>1009200.0</v>
      </c>
      <c r="B1880" s="15" t="s">
        <v>115</v>
      </c>
      <c r="C1880" s="15" t="s">
        <v>199</v>
      </c>
    </row>
    <row r="1881" ht="22.5" customHeight="1">
      <c r="A1881" s="15">
        <v>1009201.0</v>
      </c>
      <c r="B1881" s="15" t="s">
        <v>116</v>
      </c>
      <c r="C1881" s="15" t="s">
        <v>200</v>
      </c>
    </row>
    <row r="1882" ht="22.5" customHeight="1">
      <c r="A1882" s="15">
        <v>1009202.0</v>
      </c>
      <c r="B1882" s="15" t="s">
        <v>117</v>
      </c>
      <c r="C1882" s="15" t="s">
        <v>201</v>
      </c>
    </row>
    <row r="1883" ht="22.5" customHeight="1">
      <c r="A1883" s="15">
        <v>1009203.0</v>
      </c>
      <c r="B1883" s="15" t="s">
        <v>183</v>
      </c>
      <c r="C1883" s="15" t="s">
        <v>183</v>
      </c>
    </row>
    <row r="1884" ht="22.5" customHeight="1">
      <c r="A1884" s="15">
        <v>1009204.0</v>
      </c>
      <c r="B1884" s="15" t="s">
        <v>183</v>
      </c>
      <c r="C1884" s="15" t="s">
        <v>183</v>
      </c>
    </row>
    <row r="1885" ht="22.5" customHeight="1">
      <c r="A1885" s="15">
        <v>1009205.0</v>
      </c>
      <c r="B1885" s="15" t="s">
        <v>183</v>
      </c>
      <c r="C1885" s="15" t="s">
        <v>183</v>
      </c>
    </row>
    <row r="1886" ht="22.5" customHeight="1">
      <c r="A1886" s="15">
        <v>1009206.0</v>
      </c>
      <c r="B1886" s="15" t="s">
        <v>183</v>
      </c>
      <c r="C1886" s="15" t="s">
        <v>183</v>
      </c>
    </row>
    <row r="1887" ht="22.5" customHeight="1">
      <c r="A1887" s="15">
        <v>1009207.0</v>
      </c>
      <c r="B1887" s="15" t="s">
        <v>183</v>
      </c>
      <c r="C1887" s="15" t="s">
        <v>183</v>
      </c>
    </row>
    <row r="1888" ht="22.5" customHeight="1">
      <c r="A1888" s="15">
        <v>1009208.0</v>
      </c>
      <c r="B1888" s="15" t="s">
        <v>183</v>
      </c>
      <c r="C1888" s="15" t="s">
        <v>183</v>
      </c>
    </row>
    <row r="1889" ht="22.5" customHeight="1">
      <c r="A1889" s="15">
        <v>1009209.0</v>
      </c>
      <c r="B1889" s="15" t="s">
        <v>183</v>
      </c>
      <c r="C1889" s="15" t="s">
        <v>183</v>
      </c>
    </row>
    <row r="1890" ht="22.5" customHeight="1">
      <c r="A1890" s="15">
        <v>1009210.0</v>
      </c>
      <c r="B1890" s="15" t="s">
        <v>115</v>
      </c>
      <c r="C1890" s="15" t="s">
        <v>199</v>
      </c>
    </row>
    <row r="1891" ht="22.5" customHeight="1">
      <c r="A1891" s="15">
        <v>1009211.0</v>
      </c>
      <c r="B1891" s="15" t="s">
        <v>116</v>
      </c>
      <c r="C1891" s="15" t="s">
        <v>200</v>
      </c>
    </row>
    <row r="1892" ht="22.5" customHeight="1">
      <c r="A1892" s="15">
        <v>1009212.0</v>
      </c>
      <c r="B1892" s="15" t="s">
        <v>117</v>
      </c>
      <c r="C1892" s="15" t="s">
        <v>201</v>
      </c>
    </row>
    <row r="1893" ht="22.5" customHeight="1">
      <c r="A1893" s="15">
        <v>1009213.0</v>
      </c>
      <c r="B1893" s="15" t="s">
        <v>183</v>
      </c>
      <c r="C1893" s="15" t="s">
        <v>183</v>
      </c>
    </row>
    <row r="1894" ht="22.5" customHeight="1">
      <c r="A1894" s="15">
        <v>1009214.0</v>
      </c>
      <c r="B1894" s="15" t="s">
        <v>183</v>
      </c>
      <c r="C1894" s="15" t="s">
        <v>183</v>
      </c>
    </row>
    <row r="1895" ht="22.5" customHeight="1">
      <c r="A1895" s="15">
        <v>1009215.0</v>
      </c>
      <c r="B1895" s="15" t="s">
        <v>183</v>
      </c>
      <c r="C1895" s="15" t="s">
        <v>183</v>
      </c>
    </row>
    <row r="1896" ht="22.5" customHeight="1">
      <c r="A1896" s="15">
        <v>1009216.0</v>
      </c>
      <c r="B1896" s="15" t="s">
        <v>183</v>
      </c>
      <c r="C1896" s="15" t="s">
        <v>183</v>
      </c>
    </row>
    <row r="1897" ht="22.5" customHeight="1">
      <c r="A1897" s="15">
        <v>1009217.0</v>
      </c>
      <c r="B1897" s="15" t="s">
        <v>183</v>
      </c>
      <c r="C1897" s="15" t="s">
        <v>183</v>
      </c>
    </row>
    <row r="1898" ht="22.5" customHeight="1">
      <c r="A1898" s="15">
        <v>1009218.0</v>
      </c>
      <c r="B1898" s="15" t="s">
        <v>183</v>
      </c>
      <c r="C1898" s="15" t="s">
        <v>183</v>
      </c>
    </row>
    <row r="1899" ht="22.5" customHeight="1">
      <c r="A1899" s="15">
        <v>1009219.0</v>
      </c>
      <c r="B1899" s="15" t="s">
        <v>183</v>
      </c>
      <c r="C1899" s="15" t="s">
        <v>183</v>
      </c>
    </row>
    <row r="1900" ht="22.5" customHeight="1">
      <c r="A1900" s="15">
        <v>1009220.0</v>
      </c>
      <c r="B1900" s="15" t="s">
        <v>115</v>
      </c>
      <c r="C1900" s="15" t="s">
        <v>199</v>
      </c>
    </row>
    <row r="1901" ht="22.5" customHeight="1">
      <c r="A1901" s="15">
        <v>1009221.0</v>
      </c>
      <c r="B1901" s="15" t="s">
        <v>116</v>
      </c>
      <c r="C1901" s="15" t="s">
        <v>200</v>
      </c>
    </row>
    <row r="1902" ht="22.5" customHeight="1">
      <c r="A1902" s="15">
        <v>1009222.0</v>
      </c>
      <c r="B1902" s="15" t="s">
        <v>117</v>
      </c>
      <c r="C1902" s="15" t="s">
        <v>201</v>
      </c>
    </row>
    <row r="1903" ht="22.5" customHeight="1">
      <c r="A1903" s="15">
        <v>1009300.0</v>
      </c>
      <c r="B1903" s="15" t="s">
        <v>118</v>
      </c>
      <c r="C1903" s="15" t="s">
        <v>202</v>
      </c>
    </row>
    <row r="1904" ht="22.5" customHeight="1">
      <c r="A1904" s="15">
        <v>1009301.0</v>
      </c>
      <c r="B1904" s="15" t="s">
        <v>119</v>
      </c>
      <c r="C1904" s="15" t="s">
        <v>203</v>
      </c>
    </row>
    <row r="1905" ht="22.5" customHeight="1">
      <c r="A1905" s="15">
        <v>1009302.0</v>
      </c>
      <c r="B1905" s="15" t="s">
        <v>120</v>
      </c>
      <c r="C1905" s="15" t="s">
        <v>204</v>
      </c>
    </row>
    <row r="1906" ht="22.5" customHeight="1">
      <c r="A1906" s="15">
        <v>1009303.0</v>
      </c>
      <c r="B1906" s="15" t="s">
        <v>183</v>
      </c>
      <c r="C1906" s="15" t="s">
        <v>183</v>
      </c>
    </row>
    <row r="1907" ht="22.5" customHeight="1">
      <c r="A1907" s="15">
        <v>1009304.0</v>
      </c>
      <c r="B1907" s="15" t="s">
        <v>183</v>
      </c>
      <c r="C1907" s="15" t="s">
        <v>183</v>
      </c>
    </row>
    <row r="1908" ht="22.5" customHeight="1">
      <c r="A1908" s="15">
        <v>1009305.0</v>
      </c>
      <c r="B1908" s="15" t="s">
        <v>183</v>
      </c>
      <c r="C1908" s="15" t="s">
        <v>183</v>
      </c>
    </row>
    <row r="1909" ht="22.5" customHeight="1">
      <c r="A1909" s="15">
        <v>1009306.0</v>
      </c>
      <c r="B1909" s="15" t="s">
        <v>183</v>
      </c>
      <c r="C1909" s="15" t="s">
        <v>183</v>
      </c>
    </row>
    <row r="1910" ht="22.5" customHeight="1">
      <c r="A1910" s="15">
        <v>1009307.0</v>
      </c>
      <c r="B1910" s="15" t="s">
        <v>183</v>
      </c>
      <c r="C1910" s="15" t="s">
        <v>183</v>
      </c>
    </row>
    <row r="1911" ht="22.5" customHeight="1">
      <c r="A1911" s="15">
        <v>1009308.0</v>
      </c>
      <c r="B1911" s="15" t="s">
        <v>183</v>
      </c>
      <c r="C1911" s="15" t="s">
        <v>183</v>
      </c>
    </row>
    <row r="1912" ht="22.5" customHeight="1">
      <c r="A1912" s="15">
        <v>1009309.0</v>
      </c>
      <c r="B1912" s="15" t="s">
        <v>183</v>
      </c>
      <c r="C1912" s="15" t="s">
        <v>183</v>
      </c>
    </row>
    <row r="1913" ht="22.5" customHeight="1">
      <c r="A1913" s="15">
        <v>1009310.0</v>
      </c>
      <c r="B1913" s="15" t="s">
        <v>118</v>
      </c>
      <c r="C1913" s="15" t="s">
        <v>202</v>
      </c>
    </row>
    <row r="1914" ht="22.5" customHeight="1">
      <c r="A1914" s="15">
        <v>1009311.0</v>
      </c>
      <c r="B1914" s="15" t="s">
        <v>119</v>
      </c>
      <c r="C1914" s="15" t="s">
        <v>203</v>
      </c>
    </row>
    <row r="1915" ht="22.5" customHeight="1">
      <c r="A1915" s="15">
        <v>1009312.0</v>
      </c>
      <c r="B1915" s="15" t="s">
        <v>120</v>
      </c>
      <c r="C1915" s="15" t="s">
        <v>204</v>
      </c>
    </row>
    <row r="1916" ht="22.5" customHeight="1">
      <c r="A1916" s="15">
        <v>1009313.0</v>
      </c>
      <c r="B1916" s="15" t="s">
        <v>183</v>
      </c>
      <c r="C1916" s="15" t="s">
        <v>183</v>
      </c>
    </row>
    <row r="1917" ht="22.5" customHeight="1">
      <c r="A1917" s="15">
        <v>1009314.0</v>
      </c>
      <c r="B1917" s="15" t="s">
        <v>183</v>
      </c>
      <c r="C1917" s="15" t="s">
        <v>183</v>
      </c>
    </row>
    <row r="1918" ht="22.5" customHeight="1">
      <c r="A1918" s="15">
        <v>1009315.0</v>
      </c>
      <c r="B1918" s="15" t="s">
        <v>183</v>
      </c>
      <c r="C1918" s="15" t="s">
        <v>183</v>
      </c>
    </row>
    <row r="1919" ht="22.5" customHeight="1">
      <c r="A1919" s="15">
        <v>1009316.0</v>
      </c>
      <c r="B1919" s="15" t="s">
        <v>183</v>
      </c>
      <c r="C1919" s="15" t="s">
        <v>183</v>
      </c>
    </row>
    <row r="1920" ht="22.5" customHeight="1">
      <c r="A1920" s="15">
        <v>1009317.0</v>
      </c>
      <c r="B1920" s="15" t="s">
        <v>183</v>
      </c>
      <c r="C1920" s="15" t="s">
        <v>183</v>
      </c>
    </row>
    <row r="1921" ht="22.5" customHeight="1">
      <c r="A1921" s="15">
        <v>1009318.0</v>
      </c>
      <c r="B1921" s="15" t="s">
        <v>183</v>
      </c>
      <c r="C1921" s="15" t="s">
        <v>183</v>
      </c>
    </row>
    <row r="1922" ht="22.5" customHeight="1">
      <c r="A1922" s="15">
        <v>1009319.0</v>
      </c>
      <c r="B1922" s="15" t="s">
        <v>183</v>
      </c>
      <c r="C1922" s="15" t="s">
        <v>183</v>
      </c>
    </row>
    <row r="1923" ht="22.5" customHeight="1">
      <c r="A1923" s="15">
        <v>1009320.0</v>
      </c>
      <c r="B1923" s="15" t="s">
        <v>118</v>
      </c>
      <c r="C1923" s="15" t="s">
        <v>202</v>
      </c>
    </row>
    <row r="1924" ht="22.5" customHeight="1">
      <c r="A1924" s="15">
        <v>1009321.0</v>
      </c>
      <c r="B1924" s="15" t="s">
        <v>119</v>
      </c>
      <c r="C1924" s="15" t="s">
        <v>203</v>
      </c>
    </row>
    <row r="1925" ht="22.5" customHeight="1">
      <c r="A1925" s="15">
        <v>1009322.0</v>
      </c>
      <c r="B1925" s="15" t="s">
        <v>120</v>
      </c>
      <c r="C1925" s="15" t="s">
        <v>204</v>
      </c>
    </row>
    <row r="1926" ht="22.5" customHeight="1">
      <c r="A1926" s="15">
        <v>2000000.0</v>
      </c>
      <c r="B1926" s="15" t="s">
        <v>166</v>
      </c>
      <c r="C1926" s="15" t="s">
        <v>258</v>
      </c>
    </row>
    <row r="1927" ht="22.5" customHeight="1">
      <c r="A1927" s="15">
        <v>2000001.0</v>
      </c>
      <c r="B1927" s="15" t="s">
        <v>167</v>
      </c>
      <c r="C1927" s="15" t="s">
        <v>259</v>
      </c>
    </row>
    <row r="1928" ht="22.5" customHeight="1">
      <c r="A1928" s="15">
        <v>2000002.0</v>
      </c>
      <c r="B1928" s="15" t="s">
        <v>168</v>
      </c>
      <c r="C1928" s="15" t="s">
        <v>260</v>
      </c>
    </row>
    <row r="1929" ht="22.5" customHeight="1">
      <c r="A1929" s="15">
        <v>2000003.0</v>
      </c>
      <c r="B1929" s="15" t="s">
        <v>183</v>
      </c>
      <c r="C1929" s="15" t="s">
        <v>183</v>
      </c>
    </row>
    <row r="1930" ht="22.5" customHeight="1">
      <c r="A1930" s="15">
        <v>2000004.0</v>
      </c>
      <c r="B1930" s="15" t="s">
        <v>183</v>
      </c>
      <c r="C1930" s="15" t="s">
        <v>183</v>
      </c>
    </row>
    <row r="1931" ht="22.5" customHeight="1">
      <c r="A1931" s="15">
        <v>2000005.0</v>
      </c>
      <c r="B1931" s="15" t="s">
        <v>183</v>
      </c>
      <c r="C1931" s="15" t="s">
        <v>183</v>
      </c>
    </row>
    <row r="1932" ht="22.5" customHeight="1">
      <c r="A1932" s="15">
        <v>2000006.0</v>
      </c>
      <c r="B1932" s="15" t="s">
        <v>183</v>
      </c>
      <c r="C1932" s="15" t="s">
        <v>183</v>
      </c>
    </row>
    <row r="1933" ht="22.5" customHeight="1">
      <c r="A1933" s="15">
        <v>2000007.0</v>
      </c>
      <c r="B1933" s="15" t="s">
        <v>183</v>
      </c>
      <c r="C1933" s="15" t="s">
        <v>183</v>
      </c>
    </row>
    <row r="1934" ht="22.5" customHeight="1">
      <c r="A1934" s="15">
        <v>2000008.0</v>
      </c>
      <c r="B1934" s="15" t="s">
        <v>183</v>
      </c>
      <c r="C1934" s="15" t="s">
        <v>183</v>
      </c>
    </row>
    <row r="1935" ht="22.5" customHeight="1">
      <c r="A1935" s="15">
        <v>2000009.0</v>
      </c>
      <c r="B1935" s="15" t="s">
        <v>183</v>
      </c>
      <c r="C1935" s="15" t="s">
        <v>183</v>
      </c>
    </row>
    <row r="1936" ht="22.5" customHeight="1">
      <c r="A1936" s="15">
        <v>2000010.0</v>
      </c>
      <c r="B1936" s="15" t="s">
        <v>178</v>
      </c>
      <c r="C1936" s="15" t="s">
        <v>258</v>
      </c>
    </row>
    <row r="1937" ht="22.5" customHeight="1">
      <c r="A1937" s="15">
        <v>2000011.0</v>
      </c>
      <c r="B1937" s="15" t="s">
        <v>167</v>
      </c>
      <c r="C1937" s="15" t="s">
        <v>259</v>
      </c>
    </row>
    <row r="1938" ht="22.5" customHeight="1">
      <c r="A1938" s="15">
        <v>2000012.0</v>
      </c>
      <c r="B1938" s="15" t="s">
        <v>168</v>
      </c>
      <c r="C1938" s="15" t="s">
        <v>260</v>
      </c>
    </row>
    <row r="1939" ht="22.5" customHeight="1">
      <c r="A1939" s="15">
        <v>2000013.0</v>
      </c>
      <c r="B1939" s="15" t="s">
        <v>183</v>
      </c>
      <c r="C1939" s="15" t="s">
        <v>183</v>
      </c>
    </row>
    <row r="1940" ht="22.5" customHeight="1">
      <c r="A1940" s="15">
        <v>2000014.0</v>
      </c>
      <c r="B1940" s="15" t="s">
        <v>183</v>
      </c>
      <c r="C1940" s="15" t="s">
        <v>183</v>
      </c>
    </row>
    <row r="1941" ht="22.5" customHeight="1">
      <c r="A1941" s="15">
        <v>2000015.0</v>
      </c>
      <c r="B1941" s="15" t="s">
        <v>183</v>
      </c>
      <c r="C1941" s="15" t="s">
        <v>183</v>
      </c>
    </row>
    <row r="1942" ht="22.5" customHeight="1">
      <c r="A1942" s="15">
        <v>2000016.0</v>
      </c>
      <c r="B1942" s="15" t="s">
        <v>183</v>
      </c>
      <c r="C1942" s="15" t="s">
        <v>183</v>
      </c>
    </row>
    <row r="1943" ht="22.5" customHeight="1">
      <c r="A1943" s="15">
        <v>2000017.0</v>
      </c>
      <c r="B1943" s="15" t="s">
        <v>183</v>
      </c>
      <c r="C1943" s="15" t="s">
        <v>183</v>
      </c>
    </row>
    <row r="1944" ht="22.5" customHeight="1">
      <c r="A1944" s="15">
        <v>2000018.0</v>
      </c>
      <c r="B1944" s="15" t="s">
        <v>183</v>
      </c>
      <c r="C1944" s="15" t="s">
        <v>183</v>
      </c>
    </row>
    <row r="1945" ht="22.5" customHeight="1">
      <c r="A1945" s="15">
        <v>2000019.0</v>
      </c>
      <c r="B1945" s="15" t="s">
        <v>183</v>
      </c>
      <c r="C1945" s="15" t="s">
        <v>183</v>
      </c>
    </row>
    <row r="1946" ht="22.5" customHeight="1">
      <c r="A1946" s="15">
        <v>2000020.0</v>
      </c>
      <c r="B1946" s="15" t="s">
        <v>178</v>
      </c>
      <c r="C1946" s="15" t="s">
        <v>258</v>
      </c>
    </row>
    <row r="1947" ht="22.5" customHeight="1">
      <c r="A1947" s="15">
        <v>2000021.0</v>
      </c>
      <c r="B1947" s="15" t="s">
        <v>167</v>
      </c>
      <c r="C1947" s="15" t="s">
        <v>259</v>
      </c>
    </row>
    <row r="1948" ht="22.5" customHeight="1">
      <c r="A1948" s="15">
        <v>2000022.0</v>
      </c>
      <c r="B1948" s="15" t="s">
        <v>168</v>
      </c>
      <c r="C1948" s="15" t="s">
        <v>260</v>
      </c>
    </row>
    <row r="1949" ht="22.5" customHeight="1">
      <c r="A1949" s="15">
        <v>2000100.0</v>
      </c>
      <c r="B1949" s="15" t="s">
        <v>169</v>
      </c>
      <c r="C1949" s="15" t="s">
        <v>261</v>
      </c>
    </row>
    <row r="1950" ht="22.5" customHeight="1">
      <c r="A1950" s="15">
        <v>2000101.0</v>
      </c>
      <c r="B1950" s="15" t="s">
        <v>170</v>
      </c>
      <c r="C1950" s="15" t="s">
        <v>262</v>
      </c>
    </row>
    <row r="1951" ht="22.5" customHeight="1">
      <c r="A1951" s="15">
        <v>2000102.0</v>
      </c>
      <c r="B1951" s="15" t="s">
        <v>171</v>
      </c>
      <c r="C1951" s="15" t="s">
        <v>263</v>
      </c>
    </row>
    <row r="1952" ht="22.5" customHeight="1">
      <c r="A1952" s="15">
        <v>2000103.0</v>
      </c>
      <c r="B1952" s="15" t="s">
        <v>183</v>
      </c>
      <c r="C1952" s="15" t="s">
        <v>183</v>
      </c>
    </row>
    <row r="1953" ht="22.5" customHeight="1">
      <c r="A1953" s="15">
        <v>2000104.0</v>
      </c>
      <c r="B1953" s="15" t="s">
        <v>183</v>
      </c>
      <c r="C1953" s="15" t="s">
        <v>183</v>
      </c>
    </row>
    <row r="1954" ht="22.5" customHeight="1">
      <c r="A1954" s="15">
        <v>2000105.0</v>
      </c>
      <c r="B1954" s="15" t="s">
        <v>183</v>
      </c>
      <c r="C1954" s="15" t="s">
        <v>183</v>
      </c>
    </row>
    <row r="1955" ht="22.5" customHeight="1">
      <c r="A1955" s="15">
        <v>2000106.0</v>
      </c>
      <c r="B1955" s="15" t="s">
        <v>183</v>
      </c>
      <c r="C1955" s="15" t="s">
        <v>183</v>
      </c>
    </row>
    <row r="1956" ht="22.5" customHeight="1">
      <c r="A1956" s="15">
        <v>2000107.0</v>
      </c>
      <c r="B1956" s="15" t="s">
        <v>183</v>
      </c>
      <c r="C1956" s="15" t="s">
        <v>183</v>
      </c>
    </row>
    <row r="1957" ht="22.5" customHeight="1">
      <c r="A1957" s="15">
        <v>2000108.0</v>
      </c>
      <c r="B1957" s="15" t="s">
        <v>183</v>
      </c>
      <c r="C1957" s="15" t="s">
        <v>183</v>
      </c>
    </row>
    <row r="1958" ht="22.5" customHeight="1">
      <c r="A1958" s="15">
        <v>2000109.0</v>
      </c>
      <c r="B1958" s="15" t="s">
        <v>183</v>
      </c>
      <c r="C1958" s="15" t="s">
        <v>183</v>
      </c>
    </row>
    <row r="1959" ht="22.5" customHeight="1">
      <c r="A1959" s="15">
        <v>2000110.0</v>
      </c>
      <c r="B1959" s="15" t="s">
        <v>169</v>
      </c>
      <c r="C1959" s="15" t="s">
        <v>261</v>
      </c>
    </row>
    <row r="1960" ht="22.5" customHeight="1">
      <c r="A1960" s="15">
        <v>2000111.0</v>
      </c>
      <c r="B1960" s="15" t="s">
        <v>170</v>
      </c>
      <c r="C1960" s="15" t="s">
        <v>262</v>
      </c>
    </row>
    <row r="1961" ht="22.5" customHeight="1">
      <c r="A1961" s="15">
        <v>2000112.0</v>
      </c>
      <c r="B1961" s="15" t="s">
        <v>171</v>
      </c>
      <c r="C1961" s="15" t="s">
        <v>263</v>
      </c>
    </row>
    <row r="1962" ht="22.5" customHeight="1">
      <c r="A1962" s="15">
        <v>2000113.0</v>
      </c>
      <c r="B1962" s="15" t="s">
        <v>183</v>
      </c>
      <c r="C1962" s="15" t="s">
        <v>183</v>
      </c>
    </row>
    <row r="1963" ht="22.5" customHeight="1">
      <c r="A1963" s="15">
        <v>2000114.0</v>
      </c>
      <c r="B1963" s="15" t="s">
        <v>183</v>
      </c>
      <c r="C1963" s="15" t="s">
        <v>183</v>
      </c>
    </row>
    <row r="1964" ht="22.5" customHeight="1">
      <c r="A1964" s="15">
        <v>2000115.0</v>
      </c>
      <c r="B1964" s="15" t="s">
        <v>183</v>
      </c>
      <c r="C1964" s="15" t="s">
        <v>183</v>
      </c>
    </row>
    <row r="1965" ht="22.5" customHeight="1">
      <c r="A1965" s="15">
        <v>2000116.0</v>
      </c>
      <c r="B1965" s="15" t="s">
        <v>183</v>
      </c>
      <c r="C1965" s="15" t="s">
        <v>183</v>
      </c>
    </row>
    <row r="1966" ht="22.5" customHeight="1">
      <c r="A1966" s="15">
        <v>2000117.0</v>
      </c>
      <c r="B1966" s="15" t="s">
        <v>183</v>
      </c>
      <c r="C1966" s="15" t="s">
        <v>183</v>
      </c>
    </row>
    <row r="1967" ht="22.5" customHeight="1">
      <c r="A1967" s="15">
        <v>2000118.0</v>
      </c>
      <c r="B1967" s="15" t="s">
        <v>183</v>
      </c>
      <c r="C1967" s="15" t="s">
        <v>183</v>
      </c>
    </row>
    <row r="1968" ht="22.5" customHeight="1">
      <c r="A1968" s="15">
        <v>2000119.0</v>
      </c>
      <c r="B1968" s="15" t="s">
        <v>183</v>
      </c>
      <c r="C1968" s="15" t="s">
        <v>183</v>
      </c>
    </row>
    <row r="1969" ht="22.5" customHeight="1">
      <c r="A1969" s="15">
        <v>2000120.0</v>
      </c>
      <c r="B1969" s="15" t="s">
        <v>169</v>
      </c>
      <c r="C1969" s="15" t="s">
        <v>261</v>
      </c>
    </row>
    <row r="1970" ht="22.5" customHeight="1">
      <c r="A1970" s="15">
        <v>2000121.0</v>
      </c>
      <c r="B1970" s="15" t="s">
        <v>170</v>
      </c>
      <c r="C1970" s="15" t="s">
        <v>262</v>
      </c>
    </row>
    <row r="1971" ht="22.5" customHeight="1">
      <c r="A1971" s="15">
        <v>2000122.0</v>
      </c>
      <c r="B1971" s="15" t="s">
        <v>171</v>
      </c>
      <c r="C1971" s="15" t="s">
        <v>263</v>
      </c>
    </row>
    <row r="1972" ht="22.5" customHeight="1">
      <c r="A1972" s="15">
        <v>2000200.0</v>
      </c>
      <c r="B1972" s="15" t="s">
        <v>172</v>
      </c>
      <c r="C1972" s="15" t="s">
        <v>264</v>
      </c>
    </row>
    <row r="1973" ht="22.5" customHeight="1">
      <c r="A1973" s="15">
        <v>2000201.0</v>
      </c>
      <c r="B1973" s="15" t="s">
        <v>173</v>
      </c>
      <c r="C1973" s="15" t="s">
        <v>265</v>
      </c>
    </row>
    <row r="1974" ht="22.5" customHeight="1">
      <c r="A1974" s="15">
        <v>2000202.0</v>
      </c>
      <c r="B1974" s="15" t="s">
        <v>174</v>
      </c>
      <c r="C1974" s="15" t="s">
        <v>266</v>
      </c>
    </row>
    <row r="1975" ht="22.5" customHeight="1">
      <c r="A1975" s="15">
        <v>2000203.0</v>
      </c>
      <c r="B1975" s="15" t="s">
        <v>183</v>
      </c>
      <c r="C1975" s="15" t="s">
        <v>183</v>
      </c>
    </row>
    <row r="1976" ht="22.5" customHeight="1">
      <c r="A1976" s="15">
        <v>2000204.0</v>
      </c>
      <c r="B1976" s="15" t="s">
        <v>183</v>
      </c>
      <c r="C1976" s="15" t="s">
        <v>183</v>
      </c>
    </row>
    <row r="1977" ht="22.5" customHeight="1">
      <c r="A1977" s="15">
        <v>2000205.0</v>
      </c>
      <c r="B1977" s="15" t="s">
        <v>183</v>
      </c>
      <c r="C1977" s="15" t="s">
        <v>183</v>
      </c>
    </row>
    <row r="1978" ht="22.5" customHeight="1">
      <c r="A1978" s="15">
        <v>2000206.0</v>
      </c>
      <c r="B1978" s="15" t="s">
        <v>183</v>
      </c>
      <c r="C1978" s="15" t="s">
        <v>183</v>
      </c>
    </row>
    <row r="1979" ht="22.5" customHeight="1">
      <c r="A1979" s="15">
        <v>2000207.0</v>
      </c>
      <c r="B1979" s="15" t="s">
        <v>183</v>
      </c>
      <c r="C1979" s="15" t="s">
        <v>183</v>
      </c>
    </row>
    <row r="1980" ht="22.5" customHeight="1">
      <c r="A1980" s="15">
        <v>2000208.0</v>
      </c>
      <c r="B1980" s="15" t="s">
        <v>183</v>
      </c>
      <c r="C1980" s="15" t="s">
        <v>183</v>
      </c>
    </row>
    <row r="1981" ht="22.5" customHeight="1">
      <c r="A1981" s="15">
        <v>2000209.0</v>
      </c>
      <c r="B1981" s="15" t="s">
        <v>183</v>
      </c>
      <c r="C1981" s="15" t="s">
        <v>183</v>
      </c>
    </row>
    <row r="1982" ht="22.5" customHeight="1">
      <c r="A1982" s="15">
        <v>2000210.0</v>
      </c>
      <c r="B1982" s="15" t="s">
        <v>179</v>
      </c>
      <c r="C1982" s="15" t="s">
        <v>264</v>
      </c>
    </row>
    <row r="1983" ht="22.5" customHeight="1">
      <c r="A1983" s="15">
        <v>2000211.0</v>
      </c>
      <c r="B1983" s="15" t="s">
        <v>173</v>
      </c>
      <c r="C1983" s="15" t="s">
        <v>265</v>
      </c>
    </row>
    <row r="1984" ht="22.5" customHeight="1">
      <c r="A1984" s="15">
        <v>2000212.0</v>
      </c>
      <c r="B1984" s="15" t="s">
        <v>174</v>
      </c>
      <c r="C1984" s="15" t="s">
        <v>266</v>
      </c>
    </row>
    <row r="1985" ht="22.5" customHeight="1">
      <c r="A1985" s="15">
        <v>2000213.0</v>
      </c>
      <c r="B1985" s="15" t="s">
        <v>183</v>
      </c>
      <c r="C1985" s="15" t="s">
        <v>183</v>
      </c>
    </row>
    <row r="1986" ht="22.5" customHeight="1">
      <c r="A1986" s="15">
        <v>2000214.0</v>
      </c>
      <c r="B1986" s="15" t="s">
        <v>183</v>
      </c>
      <c r="C1986" s="15" t="s">
        <v>183</v>
      </c>
    </row>
    <row r="1987" ht="22.5" customHeight="1">
      <c r="A1987" s="15">
        <v>2000215.0</v>
      </c>
      <c r="B1987" s="15" t="s">
        <v>183</v>
      </c>
      <c r="C1987" s="15" t="s">
        <v>183</v>
      </c>
    </row>
    <row r="1988" ht="22.5" customHeight="1">
      <c r="A1988" s="15">
        <v>2000216.0</v>
      </c>
      <c r="B1988" s="15" t="s">
        <v>183</v>
      </c>
      <c r="C1988" s="15" t="s">
        <v>183</v>
      </c>
    </row>
    <row r="1989" ht="22.5" customHeight="1">
      <c r="A1989" s="15">
        <v>2000217.0</v>
      </c>
      <c r="B1989" s="15" t="s">
        <v>183</v>
      </c>
      <c r="C1989" s="15" t="s">
        <v>183</v>
      </c>
    </row>
    <row r="1990" ht="22.5" customHeight="1">
      <c r="A1990" s="15">
        <v>2000218.0</v>
      </c>
      <c r="B1990" s="15" t="s">
        <v>183</v>
      </c>
      <c r="C1990" s="15" t="s">
        <v>183</v>
      </c>
    </row>
    <row r="1991" ht="22.5" customHeight="1">
      <c r="A1991" s="15">
        <v>2000219.0</v>
      </c>
      <c r="B1991" s="15" t="s">
        <v>183</v>
      </c>
      <c r="C1991" s="15" t="s">
        <v>183</v>
      </c>
    </row>
    <row r="1992" ht="22.5" customHeight="1">
      <c r="A1992" s="15">
        <v>2000220.0</v>
      </c>
      <c r="B1992" s="15" t="s">
        <v>179</v>
      </c>
      <c r="C1992" s="15" t="s">
        <v>264</v>
      </c>
    </row>
    <row r="1993" ht="22.5" customHeight="1">
      <c r="A1993" s="15">
        <v>2000221.0</v>
      </c>
      <c r="B1993" s="15" t="s">
        <v>180</v>
      </c>
      <c r="C1993" s="15" t="s">
        <v>265</v>
      </c>
    </row>
    <row r="1994" ht="22.5" customHeight="1">
      <c r="A1994" s="15">
        <v>2000222.0</v>
      </c>
      <c r="B1994" s="15" t="s">
        <v>181</v>
      </c>
      <c r="C1994" s="15" t="s">
        <v>266</v>
      </c>
    </row>
    <row r="1995" ht="22.5" customHeight="1">
      <c r="A1995" s="15">
        <v>2000300.0</v>
      </c>
      <c r="B1995" s="15" t="s">
        <v>175</v>
      </c>
      <c r="C1995" s="15" t="s">
        <v>267</v>
      </c>
    </row>
    <row r="1996" ht="22.5" customHeight="1">
      <c r="A1996" s="15">
        <v>2000301.0</v>
      </c>
      <c r="B1996" s="15" t="s">
        <v>176</v>
      </c>
      <c r="C1996" s="15" t="s">
        <v>268</v>
      </c>
    </row>
    <row r="1997" ht="22.5" customHeight="1">
      <c r="A1997" s="15">
        <v>2000302.0</v>
      </c>
      <c r="B1997" s="15" t="s">
        <v>177</v>
      </c>
      <c r="C1997" s="15" t="s">
        <v>269</v>
      </c>
    </row>
    <row r="1998" ht="22.5" customHeight="1">
      <c r="A1998" s="15">
        <v>2000303.0</v>
      </c>
      <c r="B1998" s="15" t="s">
        <v>183</v>
      </c>
      <c r="C1998" s="15" t="s">
        <v>183</v>
      </c>
    </row>
    <row r="1999" ht="22.5" customHeight="1">
      <c r="A1999" s="15">
        <v>2000304.0</v>
      </c>
      <c r="B1999" s="15" t="s">
        <v>183</v>
      </c>
      <c r="C1999" s="15" t="s">
        <v>183</v>
      </c>
    </row>
    <row r="2000" ht="22.5" customHeight="1">
      <c r="A2000" s="15">
        <v>2000305.0</v>
      </c>
      <c r="B2000" s="15" t="s">
        <v>183</v>
      </c>
      <c r="C2000" s="15" t="s">
        <v>183</v>
      </c>
    </row>
    <row r="2001" ht="22.5" customHeight="1">
      <c r="A2001" s="15">
        <v>2000306.0</v>
      </c>
      <c r="B2001" s="15" t="s">
        <v>183</v>
      </c>
      <c r="C2001" s="15" t="s">
        <v>183</v>
      </c>
    </row>
    <row r="2002" ht="22.5" customHeight="1">
      <c r="A2002" s="15">
        <v>2000307.0</v>
      </c>
      <c r="B2002" s="15" t="s">
        <v>183</v>
      </c>
      <c r="C2002" s="15" t="s">
        <v>183</v>
      </c>
    </row>
    <row r="2003" ht="22.5" customHeight="1">
      <c r="A2003" s="15">
        <v>2000308.0</v>
      </c>
      <c r="B2003" s="15" t="s">
        <v>183</v>
      </c>
      <c r="C2003" s="15" t="s">
        <v>183</v>
      </c>
    </row>
    <row r="2004" ht="22.5" customHeight="1">
      <c r="A2004" s="15">
        <v>2000309.0</v>
      </c>
      <c r="B2004" s="15" t="s">
        <v>183</v>
      </c>
      <c r="C2004" s="15" t="s">
        <v>183</v>
      </c>
    </row>
    <row r="2005" ht="22.5" customHeight="1">
      <c r="A2005" s="15">
        <v>2000310.0</v>
      </c>
      <c r="B2005" s="15" t="s">
        <v>175</v>
      </c>
      <c r="C2005" s="15" t="s">
        <v>267</v>
      </c>
    </row>
    <row r="2006" ht="22.5" customHeight="1">
      <c r="A2006" s="15">
        <v>2000311.0</v>
      </c>
      <c r="B2006" s="15" t="s">
        <v>176</v>
      </c>
      <c r="C2006" s="15" t="s">
        <v>268</v>
      </c>
    </row>
    <row r="2007" ht="22.5" customHeight="1">
      <c r="A2007" s="15">
        <v>2000312.0</v>
      </c>
      <c r="B2007" s="15" t="s">
        <v>177</v>
      </c>
      <c r="C2007" s="15" t="s">
        <v>269</v>
      </c>
    </row>
    <row r="2008" ht="22.5" customHeight="1">
      <c r="A2008" s="15">
        <v>2000313.0</v>
      </c>
      <c r="B2008" s="15" t="s">
        <v>183</v>
      </c>
      <c r="C2008" s="15" t="s">
        <v>183</v>
      </c>
    </row>
    <row r="2009" ht="22.5" customHeight="1">
      <c r="A2009" s="15">
        <v>2000314.0</v>
      </c>
      <c r="B2009" s="15" t="s">
        <v>183</v>
      </c>
      <c r="C2009" s="15" t="s">
        <v>183</v>
      </c>
    </row>
    <row r="2010" ht="22.5" customHeight="1">
      <c r="A2010" s="15">
        <v>2000315.0</v>
      </c>
      <c r="B2010" s="15" t="s">
        <v>183</v>
      </c>
      <c r="C2010" s="15" t="s">
        <v>183</v>
      </c>
    </row>
    <row r="2011" ht="22.5" customHeight="1">
      <c r="A2011" s="15">
        <v>2000316.0</v>
      </c>
      <c r="B2011" s="15" t="s">
        <v>183</v>
      </c>
      <c r="C2011" s="15" t="s">
        <v>183</v>
      </c>
    </row>
    <row r="2012" ht="22.5" customHeight="1">
      <c r="A2012" s="15">
        <v>2000317.0</v>
      </c>
      <c r="B2012" s="15" t="s">
        <v>183</v>
      </c>
      <c r="C2012" s="15" t="s">
        <v>183</v>
      </c>
    </row>
    <row r="2013" ht="22.5" customHeight="1">
      <c r="A2013" s="15">
        <v>2000318.0</v>
      </c>
      <c r="B2013" s="15" t="s">
        <v>183</v>
      </c>
      <c r="C2013" s="15" t="s">
        <v>183</v>
      </c>
    </row>
    <row r="2014" ht="22.5" customHeight="1">
      <c r="A2014" s="15">
        <v>2000319.0</v>
      </c>
      <c r="B2014" s="15" t="s">
        <v>183</v>
      </c>
      <c r="C2014" s="15" t="s">
        <v>183</v>
      </c>
    </row>
    <row r="2015" ht="22.5" customHeight="1">
      <c r="A2015" s="15">
        <v>2000320.0</v>
      </c>
      <c r="B2015" s="15" t="s">
        <v>175</v>
      </c>
      <c r="C2015" s="15" t="s">
        <v>267</v>
      </c>
    </row>
    <row r="2016" ht="22.5" customHeight="1">
      <c r="A2016" s="15">
        <v>2000321.0</v>
      </c>
      <c r="B2016" s="15" t="s">
        <v>176</v>
      </c>
      <c r="C2016" s="15" t="s">
        <v>268</v>
      </c>
    </row>
    <row r="2017" ht="22.5" customHeight="1">
      <c r="A2017" s="15">
        <v>2000322.0</v>
      </c>
      <c r="B2017" s="15" t="s">
        <v>177</v>
      </c>
      <c r="C2017" s="15" t="s">
        <v>269</v>
      </c>
    </row>
    <row r="2018" ht="22.5" customHeight="1">
      <c r="A2018" s="15">
        <v>2001001.0</v>
      </c>
      <c r="B2018" s="15" t="s">
        <v>167</v>
      </c>
      <c r="C2018" s="15" t="s">
        <v>259</v>
      </c>
    </row>
    <row r="2019" ht="22.5" customHeight="1">
      <c r="A2019" s="15">
        <v>2001002.0</v>
      </c>
      <c r="B2019" s="15" t="s">
        <v>168</v>
      </c>
      <c r="C2019" s="15" t="s">
        <v>260</v>
      </c>
    </row>
    <row r="2020" ht="22.5" customHeight="1">
      <c r="A2020" s="15">
        <v>2001003.0</v>
      </c>
      <c r="B2020" s="15" t="s">
        <v>183</v>
      </c>
      <c r="C2020" s="15" t="s">
        <v>183</v>
      </c>
    </row>
    <row r="2021" ht="22.5" customHeight="1">
      <c r="A2021" s="15">
        <v>2001004.0</v>
      </c>
      <c r="B2021" s="15" t="s">
        <v>183</v>
      </c>
      <c r="C2021" s="15" t="s">
        <v>183</v>
      </c>
    </row>
    <row r="2022" ht="22.5" customHeight="1">
      <c r="A2022" s="15">
        <v>2001005.0</v>
      </c>
      <c r="B2022" s="15" t="s">
        <v>183</v>
      </c>
      <c r="C2022" s="15" t="s">
        <v>183</v>
      </c>
    </row>
    <row r="2023" ht="22.5" customHeight="1">
      <c r="A2023" s="15">
        <v>2001006.0</v>
      </c>
      <c r="B2023" s="15" t="s">
        <v>183</v>
      </c>
      <c r="C2023" s="15" t="s">
        <v>183</v>
      </c>
    </row>
    <row r="2024" ht="22.5" customHeight="1">
      <c r="A2024" s="15">
        <v>2001007.0</v>
      </c>
      <c r="B2024" s="15" t="s">
        <v>183</v>
      </c>
      <c r="C2024" s="15" t="s">
        <v>183</v>
      </c>
    </row>
    <row r="2025" ht="22.5" customHeight="1">
      <c r="A2025" s="15">
        <v>2001008.0</v>
      </c>
      <c r="B2025" s="15" t="s">
        <v>183</v>
      </c>
      <c r="C2025" s="15" t="s">
        <v>183</v>
      </c>
    </row>
    <row r="2026" ht="22.5" customHeight="1">
      <c r="A2026" s="15">
        <v>2001009.0</v>
      </c>
      <c r="B2026" s="15" t="s">
        <v>183</v>
      </c>
      <c r="C2026" s="15" t="s">
        <v>183</v>
      </c>
    </row>
    <row r="2027" ht="22.5" customHeight="1">
      <c r="A2027" s="15">
        <v>2001010.0</v>
      </c>
      <c r="B2027" s="15" t="s">
        <v>183</v>
      </c>
      <c r="C2027" s="15" t="s">
        <v>183</v>
      </c>
    </row>
    <row r="2028" ht="22.5" customHeight="1">
      <c r="A2028" s="15">
        <v>2001011.0</v>
      </c>
      <c r="B2028" s="15" t="s">
        <v>167</v>
      </c>
      <c r="C2028" s="15" t="s">
        <v>259</v>
      </c>
    </row>
    <row r="2029" ht="22.5" customHeight="1">
      <c r="A2029" s="15">
        <v>2001012.0</v>
      </c>
      <c r="B2029" s="15" t="s">
        <v>168</v>
      </c>
      <c r="C2029" s="15" t="s">
        <v>260</v>
      </c>
    </row>
    <row r="2030" ht="22.5" customHeight="1">
      <c r="A2030" s="15">
        <v>2001013.0</v>
      </c>
      <c r="B2030" s="15" t="s">
        <v>183</v>
      </c>
      <c r="C2030" s="15" t="s">
        <v>183</v>
      </c>
    </row>
    <row r="2031" ht="22.5" customHeight="1">
      <c r="A2031" s="15">
        <v>2001014.0</v>
      </c>
      <c r="B2031" s="15" t="s">
        <v>183</v>
      </c>
      <c r="C2031" s="15" t="s">
        <v>183</v>
      </c>
    </row>
    <row r="2032" ht="22.5" customHeight="1">
      <c r="A2032" s="15">
        <v>2001015.0</v>
      </c>
      <c r="B2032" s="15" t="s">
        <v>183</v>
      </c>
      <c r="C2032" s="15" t="s">
        <v>183</v>
      </c>
    </row>
    <row r="2033" ht="22.5" customHeight="1">
      <c r="A2033" s="15">
        <v>2001016.0</v>
      </c>
      <c r="B2033" s="15" t="s">
        <v>183</v>
      </c>
      <c r="C2033" s="15" t="s">
        <v>183</v>
      </c>
    </row>
    <row r="2034" ht="22.5" customHeight="1">
      <c r="A2034" s="15">
        <v>2001017.0</v>
      </c>
      <c r="B2034" s="15" t="s">
        <v>183</v>
      </c>
      <c r="C2034" s="15" t="s">
        <v>183</v>
      </c>
    </row>
    <row r="2035" ht="22.5" customHeight="1">
      <c r="A2035" s="15">
        <v>2001018.0</v>
      </c>
      <c r="B2035" s="15" t="s">
        <v>183</v>
      </c>
      <c r="C2035" s="15" t="s">
        <v>183</v>
      </c>
    </row>
    <row r="2036" ht="22.5" customHeight="1">
      <c r="A2036" s="15">
        <v>2001019.0</v>
      </c>
      <c r="B2036" s="15" t="s">
        <v>183</v>
      </c>
      <c r="C2036" s="15" t="s">
        <v>183</v>
      </c>
    </row>
    <row r="2037" ht="22.5" customHeight="1">
      <c r="A2037" s="15">
        <v>2001020.0</v>
      </c>
      <c r="B2037" s="15" t="s">
        <v>183</v>
      </c>
      <c r="C2037" s="15" t="s">
        <v>183</v>
      </c>
    </row>
    <row r="2038" ht="22.5" customHeight="1">
      <c r="A2038" s="15">
        <v>2001021.0</v>
      </c>
      <c r="B2038" s="15" t="s">
        <v>167</v>
      </c>
      <c r="C2038" s="15" t="s">
        <v>259</v>
      </c>
    </row>
    <row r="2039" ht="22.5" customHeight="1">
      <c r="A2039" s="15">
        <v>2001022.0</v>
      </c>
      <c r="B2039" s="15" t="s">
        <v>168</v>
      </c>
      <c r="C2039" s="15" t="s">
        <v>260</v>
      </c>
    </row>
    <row r="2040" ht="22.5" customHeight="1">
      <c r="A2040" s="15">
        <v>2001101.0</v>
      </c>
      <c r="B2040" s="15" t="s">
        <v>170</v>
      </c>
      <c r="C2040" s="15" t="s">
        <v>262</v>
      </c>
    </row>
    <row r="2041" ht="22.5" customHeight="1">
      <c r="A2041" s="15">
        <v>2001102.0</v>
      </c>
      <c r="B2041" s="15" t="s">
        <v>171</v>
      </c>
      <c r="C2041" s="15" t="s">
        <v>263</v>
      </c>
    </row>
    <row r="2042" ht="22.5" customHeight="1">
      <c r="A2042" s="15">
        <v>2001103.0</v>
      </c>
      <c r="B2042" s="15" t="s">
        <v>183</v>
      </c>
      <c r="C2042" s="15" t="s">
        <v>183</v>
      </c>
    </row>
    <row r="2043" ht="22.5" customHeight="1">
      <c r="A2043" s="15">
        <v>2001104.0</v>
      </c>
      <c r="B2043" s="15" t="s">
        <v>183</v>
      </c>
      <c r="C2043" s="15" t="s">
        <v>183</v>
      </c>
    </row>
    <row r="2044" ht="22.5" customHeight="1">
      <c r="A2044" s="15">
        <v>2001105.0</v>
      </c>
      <c r="B2044" s="15" t="s">
        <v>183</v>
      </c>
      <c r="C2044" s="15" t="s">
        <v>183</v>
      </c>
    </row>
    <row r="2045" ht="22.5" customHeight="1">
      <c r="A2045" s="15">
        <v>2001106.0</v>
      </c>
      <c r="B2045" s="15" t="s">
        <v>183</v>
      </c>
      <c r="C2045" s="15" t="s">
        <v>183</v>
      </c>
    </row>
    <row r="2046" ht="22.5" customHeight="1">
      <c r="A2046" s="15">
        <v>2001107.0</v>
      </c>
      <c r="B2046" s="15" t="s">
        <v>183</v>
      </c>
      <c r="C2046" s="15" t="s">
        <v>183</v>
      </c>
    </row>
    <row r="2047" ht="22.5" customHeight="1">
      <c r="A2047" s="15">
        <v>2001108.0</v>
      </c>
      <c r="B2047" s="15" t="s">
        <v>183</v>
      </c>
      <c r="C2047" s="15" t="s">
        <v>183</v>
      </c>
    </row>
    <row r="2048" ht="22.5" customHeight="1">
      <c r="A2048" s="15">
        <v>2001109.0</v>
      </c>
      <c r="B2048" s="15" t="s">
        <v>183</v>
      </c>
      <c r="C2048" s="15" t="s">
        <v>183</v>
      </c>
    </row>
    <row r="2049" ht="22.5" customHeight="1">
      <c r="A2049" s="15">
        <v>2001110.0</v>
      </c>
      <c r="B2049" s="15" t="s">
        <v>183</v>
      </c>
      <c r="C2049" s="15" t="s">
        <v>183</v>
      </c>
    </row>
    <row r="2050" ht="22.5" customHeight="1">
      <c r="A2050" s="15">
        <v>2001111.0</v>
      </c>
      <c r="B2050" s="15" t="s">
        <v>170</v>
      </c>
      <c r="C2050" s="15" t="s">
        <v>262</v>
      </c>
    </row>
    <row r="2051" ht="22.5" customHeight="1">
      <c r="A2051" s="15">
        <v>2001112.0</v>
      </c>
      <c r="B2051" s="15" t="s">
        <v>171</v>
      </c>
      <c r="C2051" s="15" t="s">
        <v>263</v>
      </c>
    </row>
    <row r="2052" ht="22.5" customHeight="1">
      <c r="A2052" s="15">
        <v>2001113.0</v>
      </c>
      <c r="B2052" s="15" t="s">
        <v>183</v>
      </c>
      <c r="C2052" s="15" t="s">
        <v>183</v>
      </c>
    </row>
    <row r="2053" ht="22.5" customHeight="1">
      <c r="A2053" s="15">
        <v>2001114.0</v>
      </c>
      <c r="B2053" s="15" t="s">
        <v>183</v>
      </c>
      <c r="C2053" s="15" t="s">
        <v>183</v>
      </c>
    </row>
    <row r="2054" ht="22.5" customHeight="1">
      <c r="A2054" s="15">
        <v>2001115.0</v>
      </c>
      <c r="B2054" s="15" t="s">
        <v>183</v>
      </c>
      <c r="C2054" s="15" t="s">
        <v>183</v>
      </c>
    </row>
    <row r="2055" ht="22.5" customHeight="1">
      <c r="A2055" s="15">
        <v>2001116.0</v>
      </c>
      <c r="B2055" s="15" t="s">
        <v>183</v>
      </c>
      <c r="C2055" s="15" t="s">
        <v>183</v>
      </c>
    </row>
    <row r="2056" ht="22.5" customHeight="1">
      <c r="A2056" s="15">
        <v>2001117.0</v>
      </c>
      <c r="B2056" s="15" t="s">
        <v>183</v>
      </c>
      <c r="C2056" s="15" t="s">
        <v>183</v>
      </c>
    </row>
    <row r="2057" ht="22.5" customHeight="1">
      <c r="A2057" s="15">
        <v>2001118.0</v>
      </c>
      <c r="B2057" s="15" t="s">
        <v>183</v>
      </c>
      <c r="C2057" s="15" t="s">
        <v>183</v>
      </c>
    </row>
    <row r="2058" ht="22.5" customHeight="1">
      <c r="A2058" s="15">
        <v>2001119.0</v>
      </c>
      <c r="B2058" s="15" t="s">
        <v>183</v>
      </c>
      <c r="C2058" s="15" t="s">
        <v>183</v>
      </c>
    </row>
    <row r="2059" ht="22.5" customHeight="1">
      <c r="A2059" s="15">
        <v>2001120.0</v>
      </c>
      <c r="B2059" s="15" t="s">
        <v>183</v>
      </c>
      <c r="C2059" s="15" t="s">
        <v>183</v>
      </c>
    </row>
    <row r="2060" ht="22.5" customHeight="1">
      <c r="A2060" s="15">
        <v>2001121.0</v>
      </c>
      <c r="B2060" s="15" t="s">
        <v>170</v>
      </c>
      <c r="C2060" s="15" t="s">
        <v>262</v>
      </c>
    </row>
    <row r="2061" ht="22.5" customHeight="1">
      <c r="A2061" s="15">
        <v>2001122.0</v>
      </c>
      <c r="B2061" s="15" t="s">
        <v>171</v>
      </c>
      <c r="C2061" s="15" t="s">
        <v>263</v>
      </c>
    </row>
    <row r="2062" ht="22.5" customHeight="1">
      <c r="A2062" s="15">
        <v>2001201.0</v>
      </c>
      <c r="B2062" s="15" t="s">
        <v>173</v>
      </c>
      <c r="C2062" s="15" t="s">
        <v>265</v>
      </c>
    </row>
    <row r="2063" ht="22.5" customHeight="1">
      <c r="A2063" s="15">
        <v>2001202.0</v>
      </c>
      <c r="B2063" s="15" t="s">
        <v>174</v>
      </c>
      <c r="C2063" s="15" t="s">
        <v>266</v>
      </c>
    </row>
    <row r="2064" ht="22.5" customHeight="1">
      <c r="A2064" s="15">
        <v>2001203.0</v>
      </c>
      <c r="B2064" s="15" t="s">
        <v>183</v>
      </c>
      <c r="C2064" s="15" t="s">
        <v>183</v>
      </c>
    </row>
    <row r="2065" ht="22.5" customHeight="1">
      <c r="A2065" s="15">
        <v>2001204.0</v>
      </c>
      <c r="B2065" s="15" t="s">
        <v>183</v>
      </c>
      <c r="C2065" s="15" t="s">
        <v>183</v>
      </c>
    </row>
    <row r="2066" ht="22.5" customHeight="1">
      <c r="A2066" s="15">
        <v>2001205.0</v>
      </c>
      <c r="B2066" s="15" t="s">
        <v>183</v>
      </c>
      <c r="C2066" s="15" t="s">
        <v>183</v>
      </c>
    </row>
    <row r="2067" ht="22.5" customHeight="1">
      <c r="A2067" s="15">
        <v>2001206.0</v>
      </c>
      <c r="B2067" s="15" t="s">
        <v>183</v>
      </c>
      <c r="C2067" s="15" t="s">
        <v>183</v>
      </c>
    </row>
    <row r="2068" ht="22.5" customHeight="1">
      <c r="A2068" s="15">
        <v>2001207.0</v>
      </c>
      <c r="B2068" s="15" t="s">
        <v>183</v>
      </c>
      <c r="C2068" s="15" t="s">
        <v>183</v>
      </c>
    </row>
    <row r="2069" ht="22.5" customHeight="1">
      <c r="A2069" s="15">
        <v>2001208.0</v>
      </c>
      <c r="B2069" s="15" t="s">
        <v>183</v>
      </c>
      <c r="C2069" s="15" t="s">
        <v>183</v>
      </c>
    </row>
    <row r="2070" ht="22.5" customHeight="1">
      <c r="A2070" s="15">
        <v>2001209.0</v>
      </c>
      <c r="B2070" s="15" t="s">
        <v>183</v>
      </c>
      <c r="C2070" s="15" t="s">
        <v>183</v>
      </c>
    </row>
    <row r="2071" ht="22.5" customHeight="1">
      <c r="A2071" s="15">
        <v>2001210.0</v>
      </c>
      <c r="B2071" s="15" t="s">
        <v>183</v>
      </c>
      <c r="C2071" s="15" t="s">
        <v>183</v>
      </c>
    </row>
    <row r="2072" ht="22.5" customHeight="1">
      <c r="A2072" s="15">
        <v>2001211.0</v>
      </c>
      <c r="B2072" s="15" t="s">
        <v>173</v>
      </c>
      <c r="C2072" s="15" t="s">
        <v>265</v>
      </c>
    </row>
    <row r="2073" ht="22.5" customHeight="1">
      <c r="A2073" s="15">
        <v>2001212.0</v>
      </c>
      <c r="B2073" s="15" t="s">
        <v>174</v>
      </c>
      <c r="C2073" s="15" t="s">
        <v>266</v>
      </c>
    </row>
    <row r="2074" ht="22.5" customHeight="1">
      <c r="A2074" s="15">
        <v>2001213.0</v>
      </c>
      <c r="B2074" s="15" t="s">
        <v>183</v>
      </c>
      <c r="C2074" s="15" t="s">
        <v>183</v>
      </c>
    </row>
    <row r="2075" ht="22.5" customHeight="1">
      <c r="A2075" s="15">
        <v>2001214.0</v>
      </c>
      <c r="B2075" s="15" t="s">
        <v>183</v>
      </c>
      <c r="C2075" s="15" t="s">
        <v>183</v>
      </c>
    </row>
    <row r="2076" ht="22.5" customHeight="1">
      <c r="A2076" s="15">
        <v>2001215.0</v>
      </c>
      <c r="B2076" s="15" t="s">
        <v>183</v>
      </c>
      <c r="C2076" s="15" t="s">
        <v>183</v>
      </c>
    </row>
    <row r="2077" ht="22.5" customHeight="1">
      <c r="A2077" s="15">
        <v>2001216.0</v>
      </c>
      <c r="B2077" s="15" t="s">
        <v>183</v>
      </c>
      <c r="C2077" s="15" t="s">
        <v>183</v>
      </c>
    </row>
    <row r="2078" ht="22.5" customHeight="1">
      <c r="A2078" s="15">
        <v>2001217.0</v>
      </c>
      <c r="B2078" s="15" t="s">
        <v>183</v>
      </c>
      <c r="C2078" s="15" t="s">
        <v>183</v>
      </c>
    </row>
    <row r="2079" ht="22.5" customHeight="1">
      <c r="A2079" s="15">
        <v>2001218.0</v>
      </c>
      <c r="B2079" s="15" t="s">
        <v>183</v>
      </c>
      <c r="C2079" s="15" t="s">
        <v>183</v>
      </c>
    </row>
    <row r="2080" ht="22.5" customHeight="1">
      <c r="A2080" s="15">
        <v>2001219.0</v>
      </c>
      <c r="B2080" s="15" t="s">
        <v>183</v>
      </c>
      <c r="C2080" s="15" t="s">
        <v>183</v>
      </c>
    </row>
    <row r="2081" ht="22.5" customHeight="1">
      <c r="A2081" s="15">
        <v>2001220.0</v>
      </c>
      <c r="B2081" s="15" t="s">
        <v>183</v>
      </c>
      <c r="C2081" s="15" t="s">
        <v>183</v>
      </c>
    </row>
    <row r="2082" ht="22.5" customHeight="1">
      <c r="A2082" s="15">
        <v>2001221.0</v>
      </c>
      <c r="B2082" s="15" t="s">
        <v>173</v>
      </c>
      <c r="C2082" s="15" t="s">
        <v>265</v>
      </c>
    </row>
    <row r="2083" ht="22.5" customHeight="1">
      <c r="A2083" s="15">
        <v>2001222.0</v>
      </c>
      <c r="B2083" s="15" t="s">
        <v>174</v>
      </c>
      <c r="C2083" s="15" t="s">
        <v>266</v>
      </c>
    </row>
    <row r="2084" ht="22.5" customHeight="1">
      <c r="A2084" s="15">
        <v>2001301.0</v>
      </c>
      <c r="B2084" s="15" t="s">
        <v>176</v>
      </c>
      <c r="C2084" s="15" t="s">
        <v>268</v>
      </c>
    </row>
    <row r="2085" ht="22.5" customHeight="1">
      <c r="A2085" s="15">
        <v>2001302.0</v>
      </c>
      <c r="B2085" s="15" t="s">
        <v>177</v>
      </c>
      <c r="C2085" s="15" t="s">
        <v>269</v>
      </c>
    </row>
    <row r="2086" ht="22.5" customHeight="1">
      <c r="A2086" s="15">
        <v>2001303.0</v>
      </c>
      <c r="B2086" s="15" t="s">
        <v>183</v>
      </c>
      <c r="C2086" s="15" t="s">
        <v>183</v>
      </c>
    </row>
    <row r="2087" ht="22.5" customHeight="1">
      <c r="A2087" s="15">
        <v>2001304.0</v>
      </c>
      <c r="B2087" s="15" t="s">
        <v>183</v>
      </c>
      <c r="C2087" s="15" t="s">
        <v>183</v>
      </c>
    </row>
    <row r="2088" ht="22.5" customHeight="1">
      <c r="A2088" s="15">
        <v>2001305.0</v>
      </c>
      <c r="B2088" s="15" t="s">
        <v>183</v>
      </c>
      <c r="C2088" s="15" t="s">
        <v>183</v>
      </c>
    </row>
    <row r="2089" ht="22.5" customHeight="1">
      <c r="A2089" s="15">
        <v>2001306.0</v>
      </c>
      <c r="B2089" s="15" t="s">
        <v>183</v>
      </c>
      <c r="C2089" s="15" t="s">
        <v>183</v>
      </c>
    </row>
    <row r="2090" ht="22.5" customHeight="1">
      <c r="A2090" s="15">
        <v>2001307.0</v>
      </c>
      <c r="B2090" s="15" t="s">
        <v>183</v>
      </c>
      <c r="C2090" s="15" t="s">
        <v>183</v>
      </c>
    </row>
    <row r="2091" ht="22.5" customHeight="1">
      <c r="A2091" s="15">
        <v>2001308.0</v>
      </c>
      <c r="B2091" s="15" t="s">
        <v>183</v>
      </c>
      <c r="C2091" s="15" t="s">
        <v>183</v>
      </c>
    </row>
    <row r="2092" ht="22.5" customHeight="1">
      <c r="A2092" s="15">
        <v>2001309.0</v>
      </c>
      <c r="B2092" s="15" t="s">
        <v>183</v>
      </c>
      <c r="C2092" s="15" t="s">
        <v>183</v>
      </c>
    </row>
    <row r="2093" ht="22.5" customHeight="1">
      <c r="A2093" s="15">
        <v>2001310.0</v>
      </c>
      <c r="B2093" s="15" t="s">
        <v>183</v>
      </c>
      <c r="C2093" s="15" t="s">
        <v>183</v>
      </c>
    </row>
    <row r="2094" ht="22.5" customHeight="1">
      <c r="A2094" s="15">
        <v>2001311.0</v>
      </c>
      <c r="B2094" s="15" t="s">
        <v>176</v>
      </c>
      <c r="C2094" s="15" t="s">
        <v>268</v>
      </c>
    </row>
    <row r="2095" ht="22.5" customHeight="1">
      <c r="A2095" s="15">
        <v>2001312.0</v>
      </c>
      <c r="B2095" s="15" t="s">
        <v>177</v>
      </c>
      <c r="C2095" s="15" t="s">
        <v>269</v>
      </c>
    </row>
    <row r="2096" ht="22.5" customHeight="1">
      <c r="A2096" s="15">
        <v>2001313.0</v>
      </c>
      <c r="B2096" s="15" t="s">
        <v>183</v>
      </c>
      <c r="C2096" s="15" t="s">
        <v>183</v>
      </c>
    </row>
    <row r="2097" ht="22.5" customHeight="1">
      <c r="A2097" s="15">
        <v>2001314.0</v>
      </c>
      <c r="B2097" s="15" t="s">
        <v>183</v>
      </c>
      <c r="C2097" s="15" t="s">
        <v>183</v>
      </c>
    </row>
    <row r="2098" ht="22.5" customHeight="1">
      <c r="A2098" s="15">
        <v>2001315.0</v>
      </c>
      <c r="B2098" s="15" t="s">
        <v>183</v>
      </c>
      <c r="C2098" s="15" t="s">
        <v>183</v>
      </c>
    </row>
    <row r="2099" ht="22.5" customHeight="1">
      <c r="A2099" s="15">
        <v>2001316.0</v>
      </c>
      <c r="B2099" s="15" t="s">
        <v>183</v>
      </c>
      <c r="C2099" s="15" t="s">
        <v>183</v>
      </c>
    </row>
    <row r="2100" ht="22.5" customHeight="1">
      <c r="A2100" s="15">
        <v>2001317.0</v>
      </c>
      <c r="B2100" s="15" t="s">
        <v>183</v>
      </c>
      <c r="C2100" s="15" t="s">
        <v>183</v>
      </c>
    </row>
    <row r="2101" ht="22.5" customHeight="1">
      <c r="A2101" s="15">
        <v>2001318.0</v>
      </c>
      <c r="B2101" s="15" t="s">
        <v>183</v>
      </c>
      <c r="C2101" s="15" t="s">
        <v>183</v>
      </c>
    </row>
    <row r="2102" ht="22.5" customHeight="1">
      <c r="A2102" s="15">
        <v>2001319.0</v>
      </c>
      <c r="B2102" s="15" t="s">
        <v>183</v>
      </c>
      <c r="C2102" s="15" t="s">
        <v>183</v>
      </c>
    </row>
    <row r="2103" ht="22.5" customHeight="1">
      <c r="A2103" s="15">
        <v>2001320.0</v>
      </c>
      <c r="B2103" s="15" t="s">
        <v>183</v>
      </c>
      <c r="C2103" s="15" t="s">
        <v>183</v>
      </c>
    </row>
    <row r="2104" ht="22.5" customHeight="1">
      <c r="A2104" s="15">
        <v>2001321.0</v>
      </c>
      <c r="B2104" s="15" t="s">
        <v>176</v>
      </c>
      <c r="C2104" s="15" t="s">
        <v>268</v>
      </c>
    </row>
    <row r="2105" ht="22.5" customHeight="1">
      <c r="A2105" s="15">
        <v>2001322.0</v>
      </c>
      <c r="B2105" s="15" t="s">
        <v>177</v>
      </c>
      <c r="C2105" s="15" t="s">
        <v>269</v>
      </c>
    </row>
    <row r="2106" ht="22.5" customHeight="1">
      <c r="A2106" s="15">
        <v>2002002.0</v>
      </c>
      <c r="B2106" s="15" t="s">
        <v>168</v>
      </c>
      <c r="C2106" s="15" t="s">
        <v>260</v>
      </c>
    </row>
    <row r="2107" ht="22.5" customHeight="1">
      <c r="A2107" s="15">
        <v>2002003.0</v>
      </c>
      <c r="B2107" s="15" t="s">
        <v>183</v>
      </c>
      <c r="C2107" s="15" t="s">
        <v>183</v>
      </c>
    </row>
    <row r="2108" ht="22.5" customHeight="1">
      <c r="A2108" s="15">
        <v>2002004.0</v>
      </c>
      <c r="B2108" s="15" t="s">
        <v>183</v>
      </c>
      <c r="C2108" s="15" t="s">
        <v>183</v>
      </c>
    </row>
    <row r="2109" ht="22.5" customHeight="1">
      <c r="A2109" s="15">
        <v>2002005.0</v>
      </c>
      <c r="B2109" s="15" t="s">
        <v>183</v>
      </c>
      <c r="C2109" s="15" t="s">
        <v>183</v>
      </c>
    </row>
    <row r="2110" ht="22.5" customHeight="1">
      <c r="A2110" s="15">
        <v>2002006.0</v>
      </c>
      <c r="B2110" s="15" t="s">
        <v>183</v>
      </c>
      <c r="C2110" s="15" t="s">
        <v>183</v>
      </c>
    </row>
    <row r="2111" ht="22.5" customHeight="1">
      <c r="A2111" s="15">
        <v>2002007.0</v>
      </c>
      <c r="B2111" s="15" t="s">
        <v>183</v>
      </c>
      <c r="C2111" s="15" t="s">
        <v>183</v>
      </c>
    </row>
    <row r="2112" ht="22.5" customHeight="1">
      <c r="A2112" s="15">
        <v>2002008.0</v>
      </c>
      <c r="B2112" s="15" t="s">
        <v>183</v>
      </c>
      <c r="C2112" s="15" t="s">
        <v>183</v>
      </c>
    </row>
    <row r="2113" ht="22.5" customHeight="1">
      <c r="A2113" s="15">
        <v>2002009.0</v>
      </c>
      <c r="B2113" s="15" t="s">
        <v>183</v>
      </c>
      <c r="C2113" s="15" t="s">
        <v>183</v>
      </c>
    </row>
    <row r="2114" ht="22.5" customHeight="1">
      <c r="A2114" s="15">
        <v>2002010.0</v>
      </c>
      <c r="B2114" s="15" t="s">
        <v>183</v>
      </c>
      <c r="C2114" s="15" t="s">
        <v>183</v>
      </c>
    </row>
    <row r="2115" ht="22.5" customHeight="1">
      <c r="A2115" s="15">
        <v>2002011.0</v>
      </c>
      <c r="B2115" s="15" t="s">
        <v>183</v>
      </c>
      <c r="C2115" s="15" t="s">
        <v>183</v>
      </c>
    </row>
    <row r="2116" ht="22.5" customHeight="1">
      <c r="A2116" s="15">
        <v>2002012.0</v>
      </c>
      <c r="B2116" s="15" t="s">
        <v>168</v>
      </c>
      <c r="C2116" s="15" t="s">
        <v>260</v>
      </c>
    </row>
    <row r="2117" ht="22.5" customHeight="1">
      <c r="A2117" s="15">
        <v>2002013.0</v>
      </c>
      <c r="B2117" s="15" t="s">
        <v>183</v>
      </c>
      <c r="C2117" s="15" t="s">
        <v>183</v>
      </c>
    </row>
    <row r="2118" ht="22.5" customHeight="1">
      <c r="A2118" s="15">
        <v>2002014.0</v>
      </c>
      <c r="B2118" s="15" t="s">
        <v>183</v>
      </c>
      <c r="C2118" s="15" t="s">
        <v>183</v>
      </c>
    </row>
    <row r="2119" ht="22.5" customHeight="1">
      <c r="A2119" s="15">
        <v>2002015.0</v>
      </c>
      <c r="B2119" s="15" t="s">
        <v>183</v>
      </c>
      <c r="C2119" s="15" t="s">
        <v>183</v>
      </c>
    </row>
    <row r="2120" ht="22.5" customHeight="1">
      <c r="A2120" s="15">
        <v>2002016.0</v>
      </c>
      <c r="B2120" s="15" t="s">
        <v>183</v>
      </c>
      <c r="C2120" s="15" t="s">
        <v>183</v>
      </c>
    </row>
    <row r="2121" ht="22.5" customHeight="1">
      <c r="A2121" s="15">
        <v>2002017.0</v>
      </c>
      <c r="B2121" s="15" t="s">
        <v>183</v>
      </c>
      <c r="C2121" s="15" t="s">
        <v>183</v>
      </c>
    </row>
    <row r="2122" ht="22.5" customHeight="1">
      <c r="A2122" s="15">
        <v>2002018.0</v>
      </c>
      <c r="B2122" s="15" t="s">
        <v>183</v>
      </c>
      <c r="C2122" s="15" t="s">
        <v>183</v>
      </c>
    </row>
    <row r="2123" ht="22.5" customHeight="1">
      <c r="A2123" s="15">
        <v>2002019.0</v>
      </c>
      <c r="B2123" s="15" t="s">
        <v>183</v>
      </c>
      <c r="C2123" s="15" t="s">
        <v>183</v>
      </c>
    </row>
    <row r="2124" ht="22.5" customHeight="1">
      <c r="A2124" s="15">
        <v>2002020.0</v>
      </c>
      <c r="B2124" s="15" t="s">
        <v>183</v>
      </c>
      <c r="C2124" s="15" t="s">
        <v>183</v>
      </c>
    </row>
    <row r="2125" ht="22.5" customHeight="1">
      <c r="A2125" s="15">
        <v>2002021.0</v>
      </c>
      <c r="B2125" s="15" t="s">
        <v>183</v>
      </c>
      <c r="C2125" s="15" t="s">
        <v>183</v>
      </c>
    </row>
    <row r="2126" ht="22.5" customHeight="1">
      <c r="A2126" s="15">
        <v>2002022.0</v>
      </c>
      <c r="B2126" s="15" t="s">
        <v>168</v>
      </c>
      <c r="C2126" s="15" t="s">
        <v>260</v>
      </c>
    </row>
    <row r="2127" ht="22.5" customHeight="1">
      <c r="A2127" s="15">
        <v>2002102.0</v>
      </c>
      <c r="B2127" s="15" t="s">
        <v>171</v>
      </c>
      <c r="C2127" s="15" t="s">
        <v>263</v>
      </c>
    </row>
    <row r="2128" ht="22.5" customHeight="1">
      <c r="A2128" s="15">
        <v>2002103.0</v>
      </c>
      <c r="B2128" s="15" t="s">
        <v>183</v>
      </c>
      <c r="C2128" s="15" t="s">
        <v>183</v>
      </c>
    </row>
    <row r="2129" ht="22.5" customHeight="1">
      <c r="A2129" s="15">
        <v>2002104.0</v>
      </c>
      <c r="B2129" s="15" t="s">
        <v>183</v>
      </c>
      <c r="C2129" s="15" t="s">
        <v>183</v>
      </c>
    </row>
    <row r="2130" ht="22.5" customHeight="1">
      <c r="A2130" s="15">
        <v>2002105.0</v>
      </c>
      <c r="B2130" s="15" t="s">
        <v>183</v>
      </c>
      <c r="C2130" s="15" t="s">
        <v>183</v>
      </c>
    </row>
    <row r="2131" ht="22.5" customHeight="1">
      <c r="A2131" s="15">
        <v>2002106.0</v>
      </c>
      <c r="B2131" s="15" t="s">
        <v>183</v>
      </c>
      <c r="C2131" s="15" t="s">
        <v>183</v>
      </c>
    </row>
    <row r="2132" ht="22.5" customHeight="1">
      <c r="A2132" s="15">
        <v>2002107.0</v>
      </c>
      <c r="B2132" s="15" t="s">
        <v>183</v>
      </c>
      <c r="C2132" s="15" t="s">
        <v>183</v>
      </c>
    </row>
    <row r="2133" ht="22.5" customHeight="1">
      <c r="A2133" s="15">
        <v>2002108.0</v>
      </c>
      <c r="B2133" s="15" t="s">
        <v>183</v>
      </c>
      <c r="C2133" s="15" t="s">
        <v>183</v>
      </c>
    </row>
    <row r="2134" ht="22.5" customHeight="1">
      <c r="A2134" s="15">
        <v>2002109.0</v>
      </c>
      <c r="B2134" s="15" t="s">
        <v>183</v>
      </c>
      <c r="C2134" s="15" t="s">
        <v>183</v>
      </c>
    </row>
    <row r="2135" ht="22.5" customHeight="1">
      <c r="A2135" s="15">
        <v>2002110.0</v>
      </c>
      <c r="B2135" s="15" t="s">
        <v>183</v>
      </c>
      <c r="C2135" s="15" t="s">
        <v>183</v>
      </c>
    </row>
    <row r="2136" ht="22.5" customHeight="1">
      <c r="A2136" s="15">
        <v>2002111.0</v>
      </c>
      <c r="B2136" s="15" t="s">
        <v>183</v>
      </c>
      <c r="C2136" s="15" t="s">
        <v>183</v>
      </c>
    </row>
    <row r="2137" ht="22.5" customHeight="1">
      <c r="A2137" s="15">
        <v>2002112.0</v>
      </c>
      <c r="B2137" s="15" t="s">
        <v>171</v>
      </c>
      <c r="C2137" s="15" t="s">
        <v>263</v>
      </c>
    </row>
    <row r="2138" ht="22.5" customHeight="1">
      <c r="A2138" s="15">
        <v>2002113.0</v>
      </c>
      <c r="B2138" s="15" t="s">
        <v>183</v>
      </c>
      <c r="C2138" s="15" t="s">
        <v>183</v>
      </c>
    </row>
    <row r="2139" ht="22.5" customHeight="1">
      <c r="A2139" s="15">
        <v>2002114.0</v>
      </c>
      <c r="B2139" s="15" t="s">
        <v>183</v>
      </c>
      <c r="C2139" s="15" t="s">
        <v>183</v>
      </c>
    </row>
    <row r="2140" ht="22.5" customHeight="1">
      <c r="A2140" s="15">
        <v>2002115.0</v>
      </c>
      <c r="B2140" s="15" t="s">
        <v>183</v>
      </c>
      <c r="C2140" s="15" t="s">
        <v>183</v>
      </c>
    </row>
    <row r="2141" ht="22.5" customHeight="1">
      <c r="A2141" s="15">
        <v>2002116.0</v>
      </c>
      <c r="B2141" s="15" t="s">
        <v>183</v>
      </c>
      <c r="C2141" s="15" t="s">
        <v>183</v>
      </c>
    </row>
    <row r="2142" ht="22.5" customHeight="1">
      <c r="A2142" s="15">
        <v>2002117.0</v>
      </c>
      <c r="B2142" s="15" t="s">
        <v>183</v>
      </c>
      <c r="C2142" s="15" t="s">
        <v>183</v>
      </c>
    </row>
    <row r="2143" ht="22.5" customHeight="1">
      <c r="A2143" s="15">
        <v>2002118.0</v>
      </c>
      <c r="B2143" s="15" t="s">
        <v>183</v>
      </c>
      <c r="C2143" s="15" t="s">
        <v>183</v>
      </c>
    </row>
    <row r="2144" ht="22.5" customHeight="1">
      <c r="A2144" s="15">
        <v>2002119.0</v>
      </c>
      <c r="B2144" s="15" t="s">
        <v>183</v>
      </c>
      <c r="C2144" s="15" t="s">
        <v>183</v>
      </c>
    </row>
    <row r="2145" ht="22.5" customHeight="1">
      <c r="A2145" s="15">
        <v>2002120.0</v>
      </c>
      <c r="B2145" s="15" t="s">
        <v>183</v>
      </c>
      <c r="C2145" s="15" t="s">
        <v>183</v>
      </c>
    </row>
    <row r="2146" ht="22.5" customHeight="1">
      <c r="A2146" s="15">
        <v>2002121.0</v>
      </c>
      <c r="B2146" s="15" t="s">
        <v>183</v>
      </c>
      <c r="C2146" s="15" t="s">
        <v>183</v>
      </c>
    </row>
    <row r="2147" ht="22.5" customHeight="1">
      <c r="A2147" s="15">
        <v>2002122.0</v>
      </c>
      <c r="B2147" s="15" t="s">
        <v>171</v>
      </c>
      <c r="C2147" s="15" t="s">
        <v>263</v>
      </c>
    </row>
    <row r="2148" ht="22.5" customHeight="1">
      <c r="A2148" s="15">
        <v>2002202.0</v>
      </c>
      <c r="B2148" s="15" t="s">
        <v>174</v>
      </c>
      <c r="C2148" s="15" t="s">
        <v>266</v>
      </c>
    </row>
    <row r="2149" ht="22.5" customHeight="1">
      <c r="A2149" s="15">
        <v>2002203.0</v>
      </c>
      <c r="B2149" s="15" t="s">
        <v>183</v>
      </c>
      <c r="C2149" s="15" t="s">
        <v>183</v>
      </c>
    </row>
    <row r="2150" ht="22.5" customHeight="1">
      <c r="A2150" s="15">
        <v>2002204.0</v>
      </c>
      <c r="B2150" s="15" t="s">
        <v>183</v>
      </c>
      <c r="C2150" s="15" t="s">
        <v>183</v>
      </c>
    </row>
    <row r="2151" ht="22.5" customHeight="1">
      <c r="A2151" s="15">
        <v>2002205.0</v>
      </c>
      <c r="B2151" s="15" t="s">
        <v>183</v>
      </c>
      <c r="C2151" s="15" t="s">
        <v>183</v>
      </c>
    </row>
    <row r="2152" ht="22.5" customHeight="1">
      <c r="A2152" s="15">
        <v>2002206.0</v>
      </c>
      <c r="B2152" s="15" t="s">
        <v>183</v>
      </c>
      <c r="C2152" s="15" t="s">
        <v>183</v>
      </c>
    </row>
    <row r="2153" ht="22.5" customHeight="1">
      <c r="A2153" s="15">
        <v>2002207.0</v>
      </c>
      <c r="B2153" s="15" t="s">
        <v>183</v>
      </c>
      <c r="C2153" s="15" t="s">
        <v>183</v>
      </c>
    </row>
    <row r="2154" ht="22.5" customHeight="1">
      <c r="A2154" s="15">
        <v>2002208.0</v>
      </c>
      <c r="B2154" s="15" t="s">
        <v>183</v>
      </c>
      <c r="C2154" s="15" t="s">
        <v>183</v>
      </c>
    </row>
    <row r="2155" ht="22.5" customHeight="1">
      <c r="A2155" s="15">
        <v>2002209.0</v>
      </c>
      <c r="B2155" s="15" t="s">
        <v>183</v>
      </c>
      <c r="C2155" s="15" t="s">
        <v>183</v>
      </c>
    </row>
    <row r="2156" ht="22.5" customHeight="1">
      <c r="A2156" s="15">
        <v>2002210.0</v>
      </c>
      <c r="B2156" s="15" t="s">
        <v>183</v>
      </c>
      <c r="C2156" s="15" t="s">
        <v>183</v>
      </c>
    </row>
    <row r="2157" ht="22.5" customHeight="1">
      <c r="A2157" s="15">
        <v>2002211.0</v>
      </c>
      <c r="B2157" s="15" t="s">
        <v>183</v>
      </c>
      <c r="C2157" s="15" t="s">
        <v>183</v>
      </c>
    </row>
    <row r="2158" ht="22.5" customHeight="1">
      <c r="A2158" s="15">
        <v>2002212.0</v>
      </c>
      <c r="B2158" s="15" t="s">
        <v>174</v>
      </c>
      <c r="C2158" s="15" t="s">
        <v>266</v>
      </c>
    </row>
    <row r="2159" ht="22.5" customHeight="1">
      <c r="A2159" s="15">
        <v>2002213.0</v>
      </c>
      <c r="B2159" s="15" t="s">
        <v>183</v>
      </c>
      <c r="C2159" s="15" t="s">
        <v>183</v>
      </c>
    </row>
    <row r="2160" ht="22.5" customHeight="1">
      <c r="A2160" s="15">
        <v>2002214.0</v>
      </c>
      <c r="B2160" s="15" t="s">
        <v>183</v>
      </c>
      <c r="C2160" s="15" t="s">
        <v>183</v>
      </c>
    </row>
    <row r="2161" ht="22.5" customHeight="1">
      <c r="A2161" s="15">
        <v>2002215.0</v>
      </c>
      <c r="B2161" s="15" t="s">
        <v>183</v>
      </c>
      <c r="C2161" s="15" t="s">
        <v>183</v>
      </c>
    </row>
    <row r="2162" ht="22.5" customHeight="1">
      <c r="A2162" s="15">
        <v>2002216.0</v>
      </c>
      <c r="B2162" s="15" t="s">
        <v>183</v>
      </c>
      <c r="C2162" s="15" t="s">
        <v>183</v>
      </c>
    </row>
    <row r="2163" ht="22.5" customHeight="1">
      <c r="A2163" s="15">
        <v>2002217.0</v>
      </c>
      <c r="B2163" s="15" t="s">
        <v>183</v>
      </c>
      <c r="C2163" s="15" t="s">
        <v>183</v>
      </c>
    </row>
    <row r="2164" ht="22.5" customHeight="1">
      <c r="A2164" s="15">
        <v>2002218.0</v>
      </c>
      <c r="B2164" s="15" t="s">
        <v>183</v>
      </c>
      <c r="C2164" s="15" t="s">
        <v>183</v>
      </c>
    </row>
    <row r="2165" ht="22.5" customHeight="1">
      <c r="A2165" s="15">
        <v>2002219.0</v>
      </c>
      <c r="B2165" s="15" t="s">
        <v>183</v>
      </c>
      <c r="C2165" s="15" t="s">
        <v>183</v>
      </c>
    </row>
    <row r="2166" ht="22.5" customHeight="1">
      <c r="A2166" s="15">
        <v>2002220.0</v>
      </c>
      <c r="B2166" s="15" t="s">
        <v>183</v>
      </c>
      <c r="C2166" s="15" t="s">
        <v>183</v>
      </c>
    </row>
    <row r="2167" ht="22.5" customHeight="1">
      <c r="A2167" s="15">
        <v>2002221.0</v>
      </c>
      <c r="B2167" s="15" t="s">
        <v>183</v>
      </c>
      <c r="C2167" s="15" t="s">
        <v>183</v>
      </c>
    </row>
    <row r="2168" ht="22.5" customHeight="1">
      <c r="A2168" s="15">
        <v>2002222.0</v>
      </c>
      <c r="B2168" s="15" t="s">
        <v>174</v>
      </c>
      <c r="C2168" s="15" t="s">
        <v>266</v>
      </c>
    </row>
    <row r="2169" ht="22.5" customHeight="1">
      <c r="A2169" s="15">
        <v>2002302.0</v>
      </c>
      <c r="B2169" s="15" t="s">
        <v>177</v>
      </c>
      <c r="C2169" s="15" t="s">
        <v>269</v>
      </c>
    </row>
    <row r="2170" ht="22.5" customHeight="1">
      <c r="A2170" s="15">
        <v>2002303.0</v>
      </c>
      <c r="B2170" s="15" t="s">
        <v>183</v>
      </c>
      <c r="C2170" s="15" t="s">
        <v>183</v>
      </c>
    </row>
    <row r="2171" ht="22.5" customHeight="1">
      <c r="A2171" s="15">
        <v>2002304.0</v>
      </c>
      <c r="B2171" s="15" t="s">
        <v>183</v>
      </c>
      <c r="C2171" s="15" t="s">
        <v>183</v>
      </c>
    </row>
    <row r="2172" ht="22.5" customHeight="1">
      <c r="A2172" s="15">
        <v>2002305.0</v>
      </c>
      <c r="B2172" s="15" t="s">
        <v>183</v>
      </c>
      <c r="C2172" s="15" t="s">
        <v>183</v>
      </c>
    </row>
    <row r="2173" ht="22.5" customHeight="1">
      <c r="A2173" s="15">
        <v>2002306.0</v>
      </c>
      <c r="B2173" s="15" t="s">
        <v>183</v>
      </c>
      <c r="C2173" s="15" t="s">
        <v>183</v>
      </c>
    </row>
    <row r="2174" ht="22.5" customHeight="1">
      <c r="A2174" s="15">
        <v>2002307.0</v>
      </c>
      <c r="B2174" s="15" t="s">
        <v>183</v>
      </c>
      <c r="C2174" s="15" t="s">
        <v>183</v>
      </c>
    </row>
    <row r="2175" ht="22.5" customHeight="1">
      <c r="A2175" s="15">
        <v>2002308.0</v>
      </c>
      <c r="B2175" s="15" t="s">
        <v>183</v>
      </c>
      <c r="C2175" s="15" t="s">
        <v>183</v>
      </c>
    </row>
    <row r="2176" ht="22.5" customHeight="1">
      <c r="A2176" s="15">
        <v>2002309.0</v>
      </c>
      <c r="B2176" s="15" t="s">
        <v>183</v>
      </c>
      <c r="C2176" s="15" t="s">
        <v>183</v>
      </c>
    </row>
    <row r="2177" ht="22.5" customHeight="1">
      <c r="A2177" s="15">
        <v>2002310.0</v>
      </c>
      <c r="B2177" s="15" t="s">
        <v>183</v>
      </c>
      <c r="C2177" s="15" t="s">
        <v>183</v>
      </c>
    </row>
    <row r="2178" ht="22.5" customHeight="1">
      <c r="A2178" s="15">
        <v>2002311.0</v>
      </c>
      <c r="B2178" s="15" t="s">
        <v>183</v>
      </c>
      <c r="C2178" s="15" t="s">
        <v>183</v>
      </c>
    </row>
    <row r="2179" ht="22.5" customHeight="1">
      <c r="A2179" s="15">
        <v>2002312.0</v>
      </c>
      <c r="B2179" s="15" t="s">
        <v>177</v>
      </c>
      <c r="C2179" s="15" t="s">
        <v>269</v>
      </c>
    </row>
    <row r="2180" ht="22.5" customHeight="1">
      <c r="A2180" s="15">
        <v>2002313.0</v>
      </c>
      <c r="B2180" s="15" t="s">
        <v>183</v>
      </c>
      <c r="C2180" s="15" t="s">
        <v>183</v>
      </c>
    </row>
    <row r="2181" ht="22.5" customHeight="1">
      <c r="A2181" s="15">
        <v>2002314.0</v>
      </c>
      <c r="B2181" s="15" t="s">
        <v>183</v>
      </c>
      <c r="C2181" s="15" t="s">
        <v>183</v>
      </c>
    </row>
    <row r="2182" ht="22.5" customHeight="1">
      <c r="A2182" s="15">
        <v>2002315.0</v>
      </c>
      <c r="B2182" s="15" t="s">
        <v>183</v>
      </c>
      <c r="C2182" s="15" t="s">
        <v>183</v>
      </c>
    </row>
    <row r="2183" ht="22.5" customHeight="1">
      <c r="A2183" s="15">
        <v>2002316.0</v>
      </c>
      <c r="B2183" s="15" t="s">
        <v>183</v>
      </c>
      <c r="C2183" s="15" t="s">
        <v>183</v>
      </c>
    </row>
    <row r="2184" ht="22.5" customHeight="1">
      <c r="A2184" s="15">
        <v>2002317.0</v>
      </c>
      <c r="B2184" s="15" t="s">
        <v>183</v>
      </c>
      <c r="C2184" s="15" t="s">
        <v>183</v>
      </c>
    </row>
    <row r="2185" ht="22.5" customHeight="1">
      <c r="A2185" s="15">
        <v>2002318.0</v>
      </c>
      <c r="B2185" s="15" t="s">
        <v>183</v>
      </c>
      <c r="C2185" s="15" t="s">
        <v>183</v>
      </c>
    </row>
    <row r="2186" ht="22.5" customHeight="1">
      <c r="A2186" s="15">
        <v>2002319.0</v>
      </c>
      <c r="B2186" s="15" t="s">
        <v>183</v>
      </c>
      <c r="C2186" s="15" t="s">
        <v>183</v>
      </c>
    </row>
    <row r="2187" ht="22.5" customHeight="1">
      <c r="A2187" s="15">
        <v>2002320.0</v>
      </c>
      <c r="B2187" s="15" t="s">
        <v>183</v>
      </c>
      <c r="C2187" s="15" t="s">
        <v>183</v>
      </c>
    </row>
    <row r="2188" ht="22.5" customHeight="1">
      <c r="A2188" s="15">
        <v>2002321.0</v>
      </c>
      <c r="B2188" s="15" t="s">
        <v>183</v>
      </c>
      <c r="C2188" s="15" t="s">
        <v>183</v>
      </c>
    </row>
    <row r="2189" ht="22.5" customHeight="1">
      <c r="A2189" s="15">
        <v>2002322.0</v>
      </c>
      <c r="B2189" s="15" t="s">
        <v>177</v>
      </c>
      <c r="C2189" s="15" t="s">
        <v>269</v>
      </c>
    </row>
    <row r="2190" ht="22.5" customHeight="1">
      <c r="A2190" s="15">
        <v>2003000.0</v>
      </c>
      <c r="B2190" s="15" t="s">
        <v>166</v>
      </c>
      <c r="C2190" s="15" t="s">
        <v>258</v>
      </c>
    </row>
    <row r="2191" ht="22.5" customHeight="1">
      <c r="A2191" s="15">
        <v>2003001.0</v>
      </c>
      <c r="B2191" s="15" t="s">
        <v>167</v>
      </c>
      <c r="C2191" s="15" t="s">
        <v>259</v>
      </c>
    </row>
    <row r="2192" ht="22.5" customHeight="1">
      <c r="A2192" s="15">
        <v>2003002.0</v>
      </c>
      <c r="B2192" s="15" t="s">
        <v>168</v>
      </c>
      <c r="C2192" s="15" t="s">
        <v>260</v>
      </c>
    </row>
    <row r="2193" ht="22.5" customHeight="1">
      <c r="A2193" s="15">
        <v>2003003.0</v>
      </c>
      <c r="B2193" s="15" t="s">
        <v>183</v>
      </c>
      <c r="C2193" s="15" t="s">
        <v>183</v>
      </c>
    </row>
    <row r="2194" ht="22.5" customHeight="1">
      <c r="A2194" s="15">
        <v>2003004.0</v>
      </c>
      <c r="B2194" s="15" t="s">
        <v>183</v>
      </c>
      <c r="C2194" s="15" t="s">
        <v>183</v>
      </c>
    </row>
    <row r="2195" ht="22.5" customHeight="1">
      <c r="A2195" s="15">
        <v>2003005.0</v>
      </c>
      <c r="B2195" s="15" t="s">
        <v>183</v>
      </c>
      <c r="C2195" s="15" t="s">
        <v>183</v>
      </c>
    </row>
    <row r="2196" ht="22.5" customHeight="1">
      <c r="A2196" s="15">
        <v>2003006.0</v>
      </c>
      <c r="B2196" s="15" t="s">
        <v>183</v>
      </c>
      <c r="C2196" s="15" t="s">
        <v>183</v>
      </c>
    </row>
    <row r="2197" ht="22.5" customHeight="1">
      <c r="A2197" s="15">
        <v>2003007.0</v>
      </c>
      <c r="B2197" s="15" t="s">
        <v>183</v>
      </c>
      <c r="C2197" s="15" t="s">
        <v>183</v>
      </c>
    </row>
    <row r="2198" ht="22.5" customHeight="1">
      <c r="A2198" s="15">
        <v>2003008.0</v>
      </c>
      <c r="B2198" s="15" t="s">
        <v>183</v>
      </c>
      <c r="C2198" s="15" t="s">
        <v>183</v>
      </c>
    </row>
    <row r="2199" ht="22.5" customHeight="1">
      <c r="A2199" s="15">
        <v>2003009.0</v>
      </c>
      <c r="B2199" s="15" t="s">
        <v>183</v>
      </c>
      <c r="C2199" s="15" t="s">
        <v>183</v>
      </c>
    </row>
    <row r="2200" ht="22.5" customHeight="1">
      <c r="A2200" s="15">
        <v>2003010.0</v>
      </c>
      <c r="B2200" s="15" t="s">
        <v>166</v>
      </c>
      <c r="C2200" s="15" t="s">
        <v>258</v>
      </c>
    </row>
    <row r="2201" ht="22.5" customHeight="1">
      <c r="A2201" s="15">
        <v>2003011.0</v>
      </c>
      <c r="B2201" s="15" t="s">
        <v>167</v>
      </c>
      <c r="C2201" s="15" t="s">
        <v>259</v>
      </c>
    </row>
    <row r="2202" ht="22.5" customHeight="1">
      <c r="A2202" s="15">
        <v>2003012.0</v>
      </c>
      <c r="B2202" s="15" t="s">
        <v>168</v>
      </c>
      <c r="C2202" s="15" t="s">
        <v>260</v>
      </c>
    </row>
    <row r="2203" ht="22.5" customHeight="1">
      <c r="A2203" s="15">
        <v>2003013.0</v>
      </c>
      <c r="B2203" s="15" t="s">
        <v>183</v>
      </c>
      <c r="C2203" s="15" t="s">
        <v>183</v>
      </c>
    </row>
    <row r="2204" ht="22.5" customHeight="1">
      <c r="A2204" s="15">
        <v>2003014.0</v>
      </c>
      <c r="B2204" s="15" t="s">
        <v>183</v>
      </c>
      <c r="C2204" s="15" t="s">
        <v>183</v>
      </c>
    </row>
    <row r="2205" ht="22.5" customHeight="1">
      <c r="A2205" s="15">
        <v>2003015.0</v>
      </c>
      <c r="B2205" s="15" t="s">
        <v>183</v>
      </c>
      <c r="C2205" s="15" t="s">
        <v>183</v>
      </c>
    </row>
    <row r="2206" ht="22.5" customHeight="1">
      <c r="A2206" s="15">
        <v>2003016.0</v>
      </c>
      <c r="B2206" s="15" t="s">
        <v>183</v>
      </c>
      <c r="C2206" s="15" t="s">
        <v>183</v>
      </c>
    </row>
    <row r="2207" ht="22.5" customHeight="1">
      <c r="A2207" s="15">
        <v>2003017.0</v>
      </c>
      <c r="B2207" s="15" t="s">
        <v>183</v>
      </c>
      <c r="C2207" s="15" t="s">
        <v>183</v>
      </c>
    </row>
    <row r="2208" ht="22.5" customHeight="1">
      <c r="A2208" s="15">
        <v>2003018.0</v>
      </c>
      <c r="B2208" s="15" t="s">
        <v>183</v>
      </c>
      <c r="C2208" s="15" t="s">
        <v>183</v>
      </c>
    </row>
    <row r="2209" ht="22.5" customHeight="1">
      <c r="A2209" s="15">
        <v>2003019.0</v>
      </c>
      <c r="B2209" s="15" t="s">
        <v>183</v>
      </c>
      <c r="C2209" s="15" t="s">
        <v>183</v>
      </c>
    </row>
    <row r="2210" ht="22.5" customHeight="1">
      <c r="A2210" s="15">
        <v>2003020.0</v>
      </c>
      <c r="B2210" s="15" t="s">
        <v>166</v>
      </c>
      <c r="C2210" s="15" t="s">
        <v>258</v>
      </c>
    </row>
    <row r="2211" ht="22.5" customHeight="1">
      <c r="A2211" s="15">
        <v>2003021.0</v>
      </c>
      <c r="B2211" s="15" t="s">
        <v>167</v>
      </c>
      <c r="C2211" s="15" t="s">
        <v>259</v>
      </c>
    </row>
    <row r="2212" ht="22.5" customHeight="1">
      <c r="A2212" s="15">
        <v>2003022.0</v>
      </c>
      <c r="B2212" s="15" t="s">
        <v>168</v>
      </c>
      <c r="C2212" s="15" t="s">
        <v>260</v>
      </c>
    </row>
    <row r="2213" ht="22.5" customHeight="1">
      <c r="A2213" s="15">
        <v>2003100.0</v>
      </c>
      <c r="B2213" s="15" t="s">
        <v>169</v>
      </c>
      <c r="C2213" s="15" t="s">
        <v>261</v>
      </c>
    </row>
    <row r="2214" ht="22.5" customHeight="1">
      <c r="A2214" s="15">
        <v>2003101.0</v>
      </c>
      <c r="B2214" s="15" t="s">
        <v>170</v>
      </c>
      <c r="C2214" s="15" t="s">
        <v>262</v>
      </c>
    </row>
    <row r="2215" ht="22.5" customHeight="1">
      <c r="A2215" s="15">
        <v>2003102.0</v>
      </c>
      <c r="B2215" s="15" t="s">
        <v>171</v>
      </c>
      <c r="C2215" s="15" t="s">
        <v>263</v>
      </c>
    </row>
    <row r="2216" ht="22.5" customHeight="1">
      <c r="A2216" s="15">
        <v>2003103.0</v>
      </c>
      <c r="B2216" s="15" t="s">
        <v>183</v>
      </c>
      <c r="C2216" s="15" t="s">
        <v>183</v>
      </c>
    </row>
    <row r="2217" ht="22.5" customHeight="1">
      <c r="A2217" s="15">
        <v>2003104.0</v>
      </c>
      <c r="B2217" s="15" t="s">
        <v>183</v>
      </c>
      <c r="C2217" s="15" t="s">
        <v>183</v>
      </c>
    </row>
    <row r="2218" ht="22.5" customHeight="1">
      <c r="A2218" s="15">
        <v>2003105.0</v>
      </c>
      <c r="B2218" s="15" t="s">
        <v>183</v>
      </c>
      <c r="C2218" s="15" t="s">
        <v>183</v>
      </c>
    </row>
    <row r="2219" ht="22.5" customHeight="1">
      <c r="A2219" s="15">
        <v>2003106.0</v>
      </c>
      <c r="B2219" s="15" t="s">
        <v>183</v>
      </c>
      <c r="C2219" s="15" t="s">
        <v>183</v>
      </c>
    </row>
    <row r="2220" ht="22.5" customHeight="1">
      <c r="A2220" s="15">
        <v>2003107.0</v>
      </c>
      <c r="B2220" s="15" t="s">
        <v>183</v>
      </c>
      <c r="C2220" s="15" t="s">
        <v>183</v>
      </c>
    </row>
    <row r="2221" ht="22.5" customHeight="1">
      <c r="A2221" s="15">
        <v>2003108.0</v>
      </c>
      <c r="B2221" s="15" t="s">
        <v>183</v>
      </c>
      <c r="C2221" s="15" t="s">
        <v>183</v>
      </c>
    </row>
    <row r="2222" ht="22.5" customHeight="1">
      <c r="A2222" s="15">
        <v>2003109.0</v>
      </c>
      <c r="B2222" s="15" t="s">
        <v>183</v>
      </c>
      <c r="C2222" s="15" t="s">
        <v>183</v>
      </c>
    </row>
    <row r="2223" ht="22.5" customHeight="1">
      <c r="A2223" s="15">
        <v>2003110.0</v>
      </c>
      <c r="B2223" s="15" t="s">
        <v>169</v>
      </c>
      <c r="C2223" s="15" t="s">
        <v>261</v>
      </c>
    </row>
    <row r="2224" ht="22.5" customHeight="1">
      <c r="A2224" s="15">
        <v>2003111.0</v>
      </c>
      <c r="B2224" s="15" t="s">
        <v>170</v>
      </c>
      <c r="C2224" s="15" t="s">
        <v>262</v>
      </c>
    </row>
    <row r="2225" ht="22.5" customHeight="1">
      <c r="A2225" s="15">
        <v>2003112.0</v>
      </c>
      <c r="B2225" s="15" t="s">
        <v>171</v>
      </c>
      <c r="C2225" s="15" t="s">
        <v>263</v>
      </c>
    </row>
    <row r="2226" ht="22.5" customHeight="1">
      <c r="A2226" s="15">
        <v>2003113.0</v>
      </c>
      <c r="B2226" s="15" t="s">
        <v>183</v>
      </c>
      <c r="C2226" s="15" t="s">
        <v>183</v>
      </c>
    </row>
    <row r="2227" ht="22.5" customHeight="1">
      <c r="A2227" s="15">
        <v>2003114.0</v>
      </c>
      <c r="B2227" s="15" t="s">
        <v>183</v>
      </c>
      <c r="C2227" s="15" t="s">
        <v>183</v>
      </c>
    </row>
    <row r="2228" ht="22.5" customHeight="1">
      <c r="A2228" s="15">
        <v>2003115.0</v>
      </c>
      <c r="B2228" s="15" t="s">
        <v>183</v>
      </c>
      <c r="C2228" s="15" t="s">
        <v>183</v>
      </c>
    </row>
    <row r="2229" ht="22.5" customHeight="1">
      <c r="A2229" s="15">
        <v>2003116.0</v>
      </c>
      <c r="B2229" s="15" t="s">
        <v>183</v>
      </c>
      <c r="C2229" s="15" t="s">
        <v>183</v>
      </c>
    </row>
    <row r="2230" ht="22.5" customHeight="1">
      <c r="A2230" s="15">
        <v>2003117.0</v>
      </c>
      <c r="B2230" s="15" t="s">
        <v>183</v>
      </c>
      <c r="C2230" s="15" t="s">
        <v>183</v>
      </c>
    </row>
    <row r="2231" ht="22.5" customHeight="1">
      <c r="A2231" s="15">
        <v>2003118.0</v>
      </c>
      <c r="B2231" s="15" t="s">
        <v>183</v>
      </c>
      <c r="C2231" s="15" t="s">
        <v>183</v>
      </c>
    </row>
    <row r="2232" ht="22.5" customHeight="1">
      <c r="A2232" s="15">
        <v>2003119.0</v>
      </c>
      <c r="B2232" s="15" t="s">
        <v>183</v>
      </c>
      <c r="C2232" s="15" t="s">
        <v>183</v>
      </c>
    </row>
    <row r="2233" ht="22.5" customHeight="1">
      <c r="A2233" s="15">
        <v>2003120.0</v>
      </c>
      <c r="B2233" s="15" t="s">
        <v>169</v>
      </c>
      <c r="C2233" s="15" t="s">
        <v>261</v>
      </c>
    </row>
    <row r="2234" ht="22.5" customHeight="1">
      <c r="A2234" s="15">
        <v>2003121.0</v>
      </c>
      <c r="B2234" s="15" t="s">
        <v>170</v>
      </c>
      <c r="C2234" s="15" t="s">
        <v>262</v>
      </c>
    </row>
    <row r="2235" ht="22.5" customHeight="1">
      <c r="A2235" s="15">
        <v>2003122.0</v>
      </c>
      <c r="B2235" s="15" t="s">
        <v>171</v>
      </c>
      <c r="C2235" s="15" t="s">
        <v>263</v>
      </c>
    </row>
    <row r="2236" ht="22.5" customHeight="1">
      <c r="A2236" s="15">
        <v>2003200.0</v>
      </c>
      <c r="B2236" s="15" t="s">
        <v>172</v>
      </c>
      <c r="C2236" s="15" t="s">
        <v>264</v>
      </c>
    </row>
    <row r="2237" ht="22.5" customHeight="1">
      <c r="A2237" s="15">
        <v>2003201.0</v>
      </c>
      <c r="B2237" s="15" t="s">
        <v>173</v>
      </c>
      <c r="C2237" s="15" t="s">
        <v>265</v>
      </c>
    </row>
    <row r="2238" ht="22.5" customHeight="1">
      <c r="A2238" s="15">
        <v>2003202.0</v>
      </c>
      <c r="B2238" s="15" t="s">
        <v>174</v>
      </c>
      <c r="C2238" s="15" t="s">
        <v>266</v>
      </c>
    </row>
    <row r="2239" ht="22.5" customHeight="1">
      <c r="A2239" s="15">
        <v>2003203.0</v>
      </c>
      <c r="B2239" s="15" t="s">
        <v>183</v>
      </c>
      <c r="C2239" s="15" t="s">
        <v>183</v>
      </c>
    </row>
    <row r="2240" ht="22.5" customHeight="1">
      <c r="A2240" s="15">
        <v>2003204.0</v>
      </c>
      <c r="B2240" s="15" t="s">
        <v>183</v>
      </c>
      <c r="C2240" s="15" t="s">
        <v>183</v>
      </c>
    </row>
    <row r="2241" ht="22.5" customHeight="1">
      <c r="A2241" s="15">
        <v>2003205.0</v>
      </c>
      <c r="B2241" s="15" t="s">
        <v>183</v>
      </c>
      <c r="C2241" s="15" t="s">
        <v>183</v>
      </c>
    </row>
    <row r="2242" ht="22.5" customHeight="1">
      <c r="A2242" s="15">
        <v>2003206.0</v>
      </c>
      <c r="B2242" s="15" t="s">
        <v>183</v>
      </c>
      <c r="C2242" s="15" t="s">
        <v>183</v>
      </c>
    </row>
    <row r="2243" ht="22.5" customHeight="1">
      <c r="A2243" s="15">
        <v>2003207.0</v>
      </c>
      <c r="B2243" s="15" t="s">
        <v>183</v>
      </c>
      <c r="C2243" s="15" t="s">
        <v>183</v>
      </c>
    </row>
    <row r="2244" ht="22.5" customHeight="1">
      <c r="A2244" s="15">
        <v>2003208.0</v>
      </c>
      <c r="B2244" s="15" t="s">
        <v>183</v>
      </c>
      <c r="C2244" s="15" t="s">
        <v>183</v>
      </c>
    </row>
    <row r="2245" ht="22.5" customHeight="1">
      <c r="A2245" s="15">
        <v>2003209.0</v>
      </c>
      <c r="B2245" s="15" t="s">
        <v>183</v>
      </c>
      <c r="C2245" s="15" t="s">
        <v>183</v>
      </c>
    </row>
    <row r="2246" ht="22.5" customHeight="1">
      <c r="A2246" s="15">
        <v>2003210.0</v>
      </c>
      <c r="B2246" s="15" t="s">
        <v>172</v>
      </c>
      <c r="C2246" s="15" t="s">
        <v>264</v>
      </c>
    </row>
    <row r="2247" ht="22.5" customHeight="1">
      <c r="A2247" s="15">
        <v>2003211.0</v>
      </c>
      <c r="B2247" s="15" t="s">
        <v>173</v>
      </c>
      <c r="C2247" s="15" t="s">
        <v>265</v>
      </c>
    </row>
    <row r="2248" ht="22.5" customHeight="1">
      <c r="A2248" s="15">
        <v>2003212.0</v>
      </c>
      <c r="B2248" s="15" t="s">
        <v>174</v>
      </c>
      <c r="C2248" s="15" t="s">
        <v>266</v>
      </c>
    </row>
    <row r="2249" ht="22.5" customHeight="1">
      <c r="A2249" s="15">
        <v>2003213.0</v>
      </c>
      <c r="B2249" s="15" t="s">
        <v>183</v>
      </c>
      <c r="C2249" s="15" t="s">
        <v>183</v>
      </c>
    </row>
    <row r="2250" ht="22.5" customHeight="1">
      <c r="A2250" s="15">
        <v>2003214.0</v>
      </c>
      <c r="B2250" s="15" t="s">
        <v>183</v>
      </c>
      <c r="C2250" s="15" t="s">
        <v>183</v>
      </c>
    </row>
    <row r="2251" ht="22.5" customHeight="1">
      <c r="A2251" s="15">
        <v>2003215.0</v>
      </c>
      <c r="B2251" s="15" t="s">
        <v>183</v>
      </c>
      <c r="C2251" s="15" t="s">
        <v>183</v>
      </c>
    </row>
    <row r="2252" ht="22.5" customHeight="1">
      <c r="A2252" s="15">
        <v>2003216.0</v>
      </c>
      <c r="B2252" s="15" t="s">
        <v>183</v>
      </c>
      <c r="C2252" s="15" t="s">
        <v>183</v>
      </c>
    </row>
    <row r="2253" ht="22.5" customHeight="1">
      <c r="A2253" s="15">
        <v>2003217.0</v>
      </c>
      <c r="B2253" s="15" t="s">
        <v>183</v>
      </c>
      <c r="C2253" s="15" t="s">
        <v>183</v>
      </c>
    </row>
    <row r="2254" ht="22.5" customHeight="1">
      <c r="A2254" s="15">
        <v>2003218.0</v>
      </c>
      <c r="B2254" s="15" t="s">
        <v>183</v>
      </c>
      <c r="C2254" s="15" t="s">
        <v>183</v>
      </c>
    </row>
    <row r="2255" ht="22.5" customHeight="1">
      <c r="A2255" s="15">
        <v>2003219.0</v>
      </c>
      <c r="B2255" s="15" t="s">
        <v>183</v>
      </c>
      <c r="C2255" s="15" t="s">
        <v>183</v>
      </c>
    </row>
    <row r="2256" ht="22.5" customHeight="1">
      <c r="A2256" s="15">
        <v>2003220.0</v>
      </c>
      <c r="B2256" s="15" t="s">
        <v>172</v>
      </c>
      <c r="C2256" s="15" t="s">
        <v>264</v>
      </c>
    </row>
    <row r="2257" ht="22.5" customHeight="1">
      <c r="A2257" s="15">
        <v>2003221.0</v>
      </c>
      <c r="B2257" s="15" t="s">
        <v>173</v>
      </c>
      <c r="C2257" s="15" t="s">
        <v>265</v>
      </c>
    </row>
    <row r="2258" ht="22.5" customHeight="1">
      <c r="A2258" s="15">
        <v>2003222.0</v>
      </c>
      <c r="B2258" s="15" t="s">
        <v>174</v>
      </c>
      <c r="C2258" s="15" t="s">
        <v>266</v>
      </c>
    </row>
    <row r="2259" ht="22.5" customHeight="1">
      <c r="A2259" s="15">
        <v>2003300.0</v>
      </c>
      <c r="B2259" s="15" t="s">
        <v>175</v>
      </c>
      <c r="C2259" s="15" t="s">
        <v>267</v>
      </c>
    </row>
    <row r="2260" ht="22.5" customHeight="1">
      <c r="A2260" s="15">
        <v>2003301.0</v>
      </c>
      <c r="B2260" s="15" t="s">
        <v>176</v>
      </c>
      <c r="C2260" s="15" t="s">
        <v>268</v>
      </c>
    </row>
    <row r="2261" ht="22.5" customHeight="1">
      <c r="A2261" s="15">
        <v>2003302.0</v>
      </c>
      <c r="B2261" s="15" t="s">
        <v>177</v>
      </c>
      <c r="C2261" s="15" t="s">
        <v>269</v>
      </c>
    </row>
    <row r="2262" ht="22.5" customHeight="1">
      <c r="A2262" s="15">
        <v>2003303.0</v>
      </c>
      <c r="B2262" s="15" t="s">
        <v>183</v>
      </c>
      <c r="C2262" s="15" t="s">
        <v>183</v>
      </c>
    </row>
    <row r="2263" ht="22.5" customHeight="1">
      <c r="A2263" s="15">
        <v>2003304.0</v>
      </c>
      <c r="B2263" s="15" t="s">
        <v>183</v>
      </c>
      <c r="C2263" s="15" t="s">
        <v>183</v>
      </c>
    </row>
    <row r="2264" ht="22.5" customHeight="1">
      <c r="A2264" s="15">
        <v>2003305.0</v>
      </c>
      <c r="B2264" s="15" t="s">
        <v>183</v>
      </c>
      <c r="C2264" s="15" t="s">
        <v>183</v>
      </c>
    </row>
    <row r="2265" ht="22.5" customHeight="1">
      <c r="A2265" s="15">
        <v>2003306.0</v>
      </c>
      <c r="B2265" s="15" t="s">
        <v>183</v>
      </c>
      <c r="C2265" s="15" t="s">
        <v>183</v>
      </c>
    </row>
    <row r="2266" ht="22.5" customHeight="1">
      <c r="A2266" s="15">
        <v>2003307.0</v>
      </c>
      <c r="B2266" s="15" t="s">
        <v>183</v>
      </c>
      <c r="C2266" s="15" t="s">
        <v>183</v>
      </c>
    </row>
    <row r="2267" ht="22.5" customHeight="1">
      <c r="A2267" s="15">
        <v>2003308.0</v>
      </c>
      <c r="B2267" s="15" t="s">
        <v>183</v>
      </c>
      <c r="C2267" s="15" t="s">
        <v>183</v>
      </c>
    </row>
    <row r="2268" ht="22.5" customHeight="1">
      <c r="A2268" s="15">
        <v>2003309.0</v>
      </c>
      <c r="B2268" s="15" t="s">
        <v>183</v>
      </c>
      <c r="C2268" s="15" t="s">
        <v>183</v>
      </c>
    </row>
    <row r="2269" ht="22.5" customHeight="1">
      <c r="A2269" s="15">
        <v>2003310.0</v>
      </c>
      <c r="B2269" s="15" t="s">
        <v>175</v>
      </c>
      <c r="C2269" s="15" t="s">
        <v>267</v>
      </c>
    </row>
    <row r="2270" ht="22.5" customHeight="1">
      <c r="A2270" s="15">
        <v>2003311.0</v>
      </c>
      <c r="B2270" s="15" t="s">
        <v>176</v>
      </c>
      <c r="C2270" s="15" t="s">
        <v>268</v>
      </c>
    </row>
    <row r="2271" ht="22.5" customHeight="1">
      <c r="A2271" s="15">
        <v>2003312.0</v>
      </c>
      <c r="B2271" s="15" t="s">
        <v>177</v>
      </c>
      <c r="C2271" s="15" t="s">
        <v>269</v>
      </c>
    </row>
    <row r="2272" ht="22.5" customHeight="1">
      <c r="A2272" s="15">
        <v>2003313.0</v>
      </c>
      <c r="B2272" s="15" t="s">
        <v>183</v>
      </c>
      <c r="C2272" s="15" t="s">
        <v>183</v>
      </c>
    </row>
    <row r="2273" ht="22.5" customHeight="1">
      <c r="A2273" s="15">
        <v>2003314.0</v>
      </c>
      <c r="B2273" s="15" t="s">
        <v>183</v>
      </c>
      <c r="C2273" s="15" t="s">
        <v>183</v>
      </c>
    </row>
    <row r="2274" ht="22.5" customHeight="1">
      <c r="A2274" s="15">
        <v>2003315.0</v>
      </c>
      <c r="B2274" s="15" t="s">
        <v>183</v>
      </c>
      <c r="C2274" s="15" t="s">
        <v>183</v>
      </c>
    </row>
    <row r="2275" ht="22.5" customHeight="1">
      <c r="A2275" s="15">
        <v>2003316.0</v>
      </c>
      <c r="B2275" s="15" t="s">
        <v>183</v>
      </c>
      <c r="C2275" s="15" t="s">
        <v>183</v>
      </c>
    </row>
    <row r="2276" ht="22.5" customHeight="1">
      <c r="A2276" s="15">
        <v>2003317.0</v>
      </c>
      <c r="B2276" s="15" t="s">
        <v>183</v>
      </c>
      <c r="C2276" s="15" t="s">
        <v>183</v>
      </c>
    </row>
    <row r="2277" ht="22.5" customHeight="1">
      <c r="A2277" s="15">
        <v>2003318.0</v>
      </c>
      <c r="B2277" s="15" t="s">
        <v>183</v>
      </c>
      <c r="C2277" s="15" t="s">
        <v>183</v>
      </c>
    </row>
    <row r="2278" ht="22.5" customHeight="1">
      <c r="A2278" s="15">
        <v>2003319.0</v>
      </c>
      <c r="B2278" s="15" t="s">
        <v>183</v>
      </c>
      <c r="C2278" s="15" t="s">
        <v>183</v>
      </c>
    </row>
    <row r="2279" ht="22.5" customHeight="1">
      <c r="A2279" s="15">
        <v>2003320.0</v>
      </c>
      <c r="B2279" s="15" t="s">
        <v>175</v>
      </c>
      <c r="C2279" s="15" t="s">
        <v>267</v>
      </c>
    </row>
    <row r="2280" ht="22.5" customHeight="1">
      <c r="A2280" s="15">
        <v>2003321.0</v>
      </c>
      <c r="B2280" s="15" t="s">
        <v>176</v>
      </c>
      <c r="C2280" s="15" t="s">
        <v>268</v>
      </c>
    </row>
    <row r="2281" ht="22.5" customHeight="1">
      <c r="A2281" s="15">
        <v>2003322.0</v>
      </c>
      <c r="B2281" s="15" t="s">
        <v>177</v>
      </c>
      <c r="C2281" s="15" t="s">
        <v>269</v>
      </c>
    </row>
    <row r="2282" ht="22.5" customHeight="1">
      <c r="A2282" s="15">
        <v>2010000.0</v>
      </c>
      <c r="B2282" s="15" t="s">
        <v>166</v>
      </c>
      <c r="C2282" s="15" t="s">
        <v>258</v>
      </c>
    </row>
    <row r="2283" ht="22.5" customHeight="1">
      <c r="A2283" s="15">
        <v>2010001.0</v>
      </c>
      <c r="B2283" s="15" t="s">
        <v>167</v>
      </c>
      <c r="C2283" s="15" t="s">
        <v>259</v>
      </c>
    </row>
    <row r="2284" ht="22.5" customHeight="1">
      <c r="A2284" s="15">
        <v>2010002.0</v>
      </c>
      <c r="B2284" s="15" t="s">
        <v>168</v>
      </c>
      <c r="C2284" s="15" t="s">
        <v>260</v>
      </c>
    </row>
    <row r="2285" ht="22.5" customHeight="1">
      <c r="A2285" s="15">
        <v>2010003.0</v>
      </c>
      <c r="B2285" s="15" t="s">
        <v>183</v>
      </c>
      <c r="C2285" s="15" t="s">
        <v>183</v>
      </c>
    </row>
    <row r="2286" ht="22.5" customHeight="1">
      <c r="A2286" s="15">
        <v>2010004.0</v>
      </c>
      <c r="B2286" s="15" t="s">
        <v>183</v>
      </c>
      <c r="C2286" s="15" t="s">
        <v>183</v>
      </c>
    </row>
    <row r="2287" ht="22.5" customHeight="1">
      <c r="A2287" s="15">
        <v>2010005.0</v>
      </c>
      <c r="B2287" s="15" t="s">
        <v>183</v>
      </c>
      <c r="C2287" s="15" t="s">
        <v>183</v>
      </c>
    </row>
    <row r="2288" ht="22.5" customHeight="1">
      <c r="A2288" s="15">
        <v>2010006.0</v>
      </c>
      <c r="B2288" s="15" t="s">
        <v>183</v>
      </c>
      <c r="C2288" s="15" t="s">
        <v>183</v>
      </c>
    </row>
    <row r="2289" ht="22.5" customHeight="1">
      <c r="A2289" s="15">
        <v>2010007.0</v>
      </c>
      <c r="B2289" s="15" t="s">
        <v>183</v>
      </c>
      <c r="C2289" s="15" t="s">
        <v>183</v>
      </c>
    </row>
    <row r="2290" ht="22.5" customHeight="1">
      <c r="A2290" s="15">
        <v>2010008.0</v>
      </c>
      <c r="B2290" s="15" t="s">
        <v>183</v>
      </c>
      <c r="C2290" s="15" t="s">
        <v>183</v>
      </c>
    </row>
    <row r="2291" ht="22.5" customHeight="1">
      <c r="A2291" s="15">
        <v>2010009.0</v>
      </c>
      <c r="B2291" s="15" t="s">
        <v>183</v>
      </c>
      <c r="C2291" s="15" t="s">
        <v>183</v>
      </c>
    </row>
    <row r="2292" ht="22.5" customHeight="1">
      <c r="A2292" s="15">
        <v>2010010.0</v>
      </c>
      <c r="B2292" s="15" t="s">
        <v>166</v>
      </c>
      <c r="C2292" s="15" t="s">
        <v>258</v>
      </c>
    </row>
    <row r="2293" ht="22.5" customHeight="1">
      <c r="A2293" s="15">
        <v>2010011.0</v>
      </c>
      <c r="B2293" s="15" t="s">
        <v>167</v>
      </c>
      <c r="C2293" s="15" t="s">
        <v>259</v>
      </c>
    </row>
    <row r="2294" ht="22.5" customHeight="1">
      <c r="A2294" s="15">
        <v>2010012.0</v>
      </c>
      <c r="B2294" s="15" t="s">
        <v>168</v>
      </c>
      <c r="C2294" s="15" t="s">
        <v>260</v>
      </c>
    </row>
    <row r="2295" ht="22.5" customHeight="1">
      <c r="A2295" s="15">
        <v>2010013.0</v>
      </c>
      <c r="B2295" s="15" t="s">
        <v>183</v>
      </c>
      <c r="C2295" s="15" t="s">
        <v>183</v>
      </c>
    </row>
    <row r="2296" ht="22.5" customHeight="1">
      <c r="A2296" s="15">
        <v>2010014.0</v>
      </c>
      <c r="B2296" s="15" t="s">
        <v>183</v>
      </c>
      <c r="C2296" s="15" t="s">
        <v>183</v>
      </c>
    </row>
    <row r="2297" ht="22.5" customHeight="1">
      <c r="A2297" s="15">
        <v>2010015.0</v>
      </c>
      <c r="B2297" s="15" t="s">
        <v>183</v>
      </c>
      <c r="C2297" s="15" t="s">
        <v>183</v>
      </c>
    </row>
    <row r="2298" ht="22.5" customHeight="1">
      <c r="A2298" s="15">
        <v>2010016.0</v>
      </c>
      <c r="B2298" s="15" t="s">
        <v>183</v>
      </c>
      <c r="C2298" s="15" t="s">
        <v>183</v>
      </c>
    </row>
    <row r="2299" ht="22.5" customHeight="1">
      <c r="A2299" s="15">
        <v>2010017.0</v>
      </c>
      <c r="B2299" s="15" t="s">
        <v>183</v>
      </c>
      <c r="C2299" s="15" t="s">
        <v>183</v>
      </c>
    </row>
    <row r="2300" ht="22.5" customHeight="1">
      <c r="A2300" s="15">
        <v>2010018.0</v>
      </c>
      <c r="B2300" s="15" t="s">
        <v>183</v>
      </c>
      <c r="C2300" s="15" t="s">
        <v>183</v>
      </c>
    </row>
    <row r="2301" ht="22.5" customHeight="1">
      <c r="A2301" s="15">
        <v>2010019.0</v>
      </c>
      <c r="B2301" s="15" t="s">
        <v>183</v>
      </c>
      <c r="C2301" s="15" t="s">
        <v>183</v>
      </c>
    </row>
    <row r="2302" ht="22.5" customHeight="1">
      <c r="A2302" s="15">
        <v>2010020.0</v>
      </c>
      <c r="B2302" s="15" t="s">
        <v>166</v>
      </c>
      <c r="C2302" s="15" t="s">
        <v>258</v>
      </c>
    </row>
    <row r="2303" ht="22.5" customHeight="1">
      <c r="A2303" s="15">
        <v>2010021.0</v>
      </c>
      <c r="B2303" s="15" t="s">
        <v>167</v>
      </c>
      <c r="C2303" s="15" t="s">
        <v>259</v>
      </c>
    </row>
    <row r="2304" ht="22.5" customHeight="1">
      <c r="A2304" s="15">
        <v>2010022.0</v>
      </c>
      <c r="B2304" s="15" t="s">
        <v>168</v>
      </c>
      <c r="C2304" s="15" t="s">
        <v>260</v>
      </c>
    </row>
    <row r="2305" ht="22.5" customHeight="1">
      <c r="A2305" s="15">
        <v>2010100.0</v>
      </c>
      <c r="B2305" s="15" t="s">
        <v>169</v>
      </c>
      <c r="C2305" s="15" t="s">
        <v>261</v>
      </c>
    </row>
    <row r="2306" ht="22.5" customHeight="1">
      <c r="A2306" s="15">
        <v>2010101.0</v>
      </c>
      <c r="B2306" s="15" t="s">
        <v>170</v>
      </c>
      <c r="C2306" s="15" t="s">
        <v>262</v>
      </c>
    </row>
    <row r="2307" ht="22.5" customHeight="1">
      <c r="A2307" s="15">
        <v>2010102.0</v>
      </c>
      <c r="B2307" s="15" t="s">
        <v>171</v>
      </c>
      <c r="C2307" s="15" t="s">
        <v>263</v>
      </c>
    </row>
    <row r="2308" ht="22.5" customHeight="1">
      <c r="A2308" s="15">
        <v>2010103.0</v>
      </c>
      <c r="B2308" s="15" t="s">
        <v>183</v>
      </c>
      <c r="C2308" s="15" t="s">
        <v>183</v>
      </c>
    </row>
    <row r="2309" ht="22.5" customHeight="1">
      <c r="A2309" s="15">
        <v>2010104.0</v>
      </c>
      <c r="B2309" s="15" t="s">
        <v>183</v>
      </c>
      <c r="C2309" s="15" t="s">
        <v>183</v>
      </c>
    </row>
    <row r="2310" ht="22.5" customHeight="1">
      <c r="A2310" s="15">
        <v>2010105.0</v>
      </c>
      <c r="B2310" s="15" t="s">
        <v>183</v>
      </c>
      <c r="C2310" s="15" t="s">
        <v>183</v>
      </c>
    </row>
    <row r="2311" ht="22.5" customHeight="1">
      <c r="A2311" s="15">
        <v>2010106.0</v>
      </c>
      <c r="B2311" s="15" t="s">
        <v>183</v>
      </c>
      <c r="C2311" s="15" t="s">
        <v>183</v>
      </c>
    </row>
    <row r="2312" ht="22.5" customHeight="1">
      <c r="A2312" s="15">
        <v>2010107.0</v>
      </c>
      <c r="B2312" s="15" t="s">
        <v>183</v>
      </c>
      <c r="C2312" s="15" t="s">
        <v>183</v>
      </c>
    </row>
    <row r="2313" ht="22.5" customHeight="1">
      <c r="A2313" s="15">
        <v>2010108.0</v>
      </c>
      <c r="B2313" s="15" t="s">
        <v>183</v>
      </c>
      <c r="C2313" s="15" t="s">
        <v>183</v>
      </c>
    </row>
    <row r="2314" ht="22.5" customHeight="1">
      <c r="A2314" s="15">
        <v>2010109.0</v>
      </c>
      <c r="B2314" s="15" t="s">
        <v>183</v>
      </c>
      <c r="C2314" s="15" t="s">
        <v>183</v>
      </c>
    </row>
    <row r="2315" ht="22.5" customHeight="1">
      <c r="A2315" s="15">
        <v>2010110.0</v>
      </c>
      <c r="B2315" s="15" t="s">
        <v>169</v>
      </c>
      <c r="C2315" s="15" t="s">
        <v>261</v>
      </c>
    </row>
    <row r="2316" ht="22.5" customHeight="1">
      <c r="A2316" s="15">
        <v>2010111.0</v>
      </c>
      <c r="B2316" s="15" t="s">
        <v>170</v>
      </c>
      <c r="C2316" s="15" t="s">
        <v>262</v>
      </c>
    </row>
    <row r="2317" ht="22.5" customHeight="1">
      <c r="A2317" s="15">
        <v>2010112.0</v>
      </c>
      <c r="B2317" s="15" t="s">
        <v>171</v>
      </c>
      <c r="C2317" s="15" t="s">
        <v>263</v>
      </c>
    </row>
    <row r="2318" ht="22.5" customHeight="1">
      <c r="A2318" s="15">
        <v>2010113.0</v>
      </c>
      <c r="B2318" s="15" t="s">
        <v>183</v>
      </c>
      <c r="C2318" s="15" t="s">
        <v>183</v>
      </c>
    </row>
    <row r="2319" ht="22.5" customHeight="1">
      <c r="A2319" s="15">
        <v>2010114.0</v>
      </c>
      <c r="B2319" s="15" t="s">
        <v>183</v>
      </c>
      <c r="C2319" s="15" t="s">
        <v>183</v>
      </c>
    </row>
    <row r="2320" ht="22.5" customHeight="1">
      <c r="A2320" s="15">
        <v>2010115.0</v>
      </c>
      <c r="B2320" s="15" t="s">
        <v>183</v>
      </c>
      <c r="C2320" s="15" t="s">
        <v>183</v>
      </c>
    </row>
    <row r="2321" ht="22.5" customHeight="1">
      <c r="A2321" s="15">
        <v>2010116.0</v>
      </c>
      <c r="B2321" s="15" t="s">
        <v>183</v>
      </c>
      <c r="C2321" s="15" t="s">
        <v>183</v>
      </c>
    </row>
    <row r="2322" ht="22.5" customHeight="1">
      <c r="A2322" s="15">
        <v>2010117.0</v>
      </c>
      <c r="B2322" s="15" t="s">
        <v>183</v>
      </c>
      <c r="C2322" s="15" t="s">
        <v>183</v>
      </c>
    </row>
    <row r="2323" ht="22.5" customHeight="1">
      <c r="A2323" s="15">
        <v>2010118.0</v>
      </c>
      <c r="B2323" s="15" t="s">
        <v>183</v>
      </c>
      <c r="C2323" s="15" t="s">
        <v>183</v>
      </c>
    </row>
    <row r="2324" ht="22.5" customHeight="1">
      <c r="A2324" s="15">
        <v>2010119.0</v>
      </c>
      <c r="B2324" s="15" t="s">
        <v>183</v>
      </c>
      <c r="C2324" s="15" t="s">
        <v>183</v>
      </c>
    </row>
    <row r="2325" ht="22.5" customHeight="1">
      <c r="A2325" s="15">
        <v>2010120.0</v>
      </c>
      <c r="B2325" s="15" t="s">
        <v>169</v>
      </c>
      <c r="C2325" s="15" t="s">
        <v>261</v>
      </c>
    </row>
    <row r="2326" ht="22.5" customHeight="1">
      <c r="A2326" s="15">
        <v>2010121.0</v>
      </c>
      <c r="B2326" s="15" t="s">
        <v>170</v>
      </c>
      <c r="C2326" s="15" t="s">
        <v>262</v>
      </c>
    </row>
    <row r="2327" ht="22.5" customHeight="1">
      <c r="A2327" s="15">
        <v>2010122.0</v>
      </c>
      <c r="B2327" s="15" t="s">
        <v>171</v>
      </c>
      <c r="C2327" s="15" t="s">
        <v>263</v>
      </c>
    </row>
    <row r="2328" ht="22.5" customHeight="1">
      <c r="A2328" s="15">
        <v>2010200.0</v>
      </c>
      <c r="B2328" s="15" t="s">
        <v>172</v>
      </c>
      <c r="C2328" s="15" t="s">
        <v>264</v>
      </c>
    </row>
    <row r="2329" ht="22.5" customHeight="1">
      <c r="A2329" s="15">
        <v>2010201.0</v>
      </c>
      <c r="B2329" s="15" t="s">
        <v>173</v>
      </c>
      <c r="C2329" s="15" t="s">
        <v>265</v>
      </c>
    </row>
    <row r="2330" ht="22.5" customHeight="1">
      <c r="A2330" s="15">
        <v>2010202.0</v>
      </c>
      <c r="B2330" s="15" t="s">
        <v>174</v>
      </c>
      <c r="C2330" s="15" t="s">
        <v>266</v>
      </c>
    </row>
    <row r="2331" ht="22.5" customHeight="1">
      <c r="A2331" s="15">
        <v>2010203.0</v>
      </c>
      <c r="B2331" s="15" t="s">
        <v>183</v>
      </c>
      <c r="C2331" s="15" t="s">
        <v>183</v>
      </c>
    </row>
    <row r="2332" ht="22.5" customHeight="1">
      <c r="A2332" s="15">
        <v>2010204.0</v>
      </c>
      <c r="B2332" s="15" t="s">
        <v>183</v>
      </c>
      <c r="C2332" s="15" t="s">
        <v>183</v>
      </c>
    </row>
    <row r="2333" ht="22.5" customHeight="1">
      <c r="A2333" s="15">
        <v>2010205.0</v>
      </c>
      <c r="B2333" s="15" t="s">
        <v>183</v>
      </c>
      <c r="C2333" s="15" t="s">
        <v>183</v>
      </c>
    </row>
    <row r="2334" ht="22.5" customHeight="1">
      <c r="A2334" s="15">
        <v>2010206.0</v>
      </c>
      <c r="B2334" s="15" t="s">
        <v>183</v>
      </c>
      <c r="C2334" s="15" t="s">
        <v>183</v>
      </c>
    </row>
    <row r="2335" ht="22.5" customHeight="1">
      <c r="A2335" s="15">
        <v>2010207.0</v>
      </c>
      <c r="B2335" s="15" t="s">
        <v>183</v>
      </c>
      <c r="C2335" s="15" t="s">
        <v>183</v>
      </c>
    </row>
    <row r="2336" ht="22.5" customHeight="1">
      <c r="A2336" s="15">
        <v>2010208.0</v>
      </c>
      <c r="B2336" s="15" t="s">
        <v>183</v>
      </c>
      <c r="C2336" s="15" t="s">
        <v>183</v>
      </c>
    </row>
    <row r="2337" ht="22.5" customHeight="1">
      <c r="A2337" s="15">
        <v>2010209.0</v>
      </c>
      <c r="B2337" s="15" t="s">
        <v>183</v>
      </c>
      <c r="C2337" s="15" t="s">
        <v>183</v>
      </c>
    </row>
    <row r="2338" ht="22.5" customHeight="1">
      <c r="A2338" s="15">
        <v>2010210.0</v>
      </c>
      <c r="B2338" s="15" t="s">
        <v>172</v>
      </c>
      <c r="C2338" s="15" t="s">
        <v>264</v>
      </c>
    </row>
    <row r="2339" ht="22.5" customHeight="1">
      <c r="A2339" s="15">
        <v>2010211.0</v>
      </c>
      <c r="B2339" s="15" t="s">
        <v>173</v>
      </c>
      <c r="C2339" s="15" t="s">
        <v>265</v>
      </c>
    </row>
    <row r="2340" ht="22.5" customHeight="1">
      <c r="A2340" s="15">
        <v>2010212.0</v>
      </c>
      <c r="B2340" s="15" t="s">
        <v>174</v>
      </c>
      <c r="C2340" s="15" t="s">
        <v>266</v>
      </c>
    </row>
    <row r="2341" ht="22.5" customHeight="1">
      <c r="A2341" s="15">
        <v>2010213.0</v>
      </c>
      <c r="B2341" s="15" t="s">
        <v>183</v>
      </c>
      <c r="C2341" s="15" t="s">
        <v>183</v>
      </c>
    </row>
    <row r="2342" ht="22.5" customHeight="1">
      <c r="A2342" s="15">
        <v>2010214.0</v>
      </c>
      <c r="B2342" s="15" t="s">
        <v>183</v>
      </c>
      <c r="C2342" s="15" t="s">
        <v>183</v>
      </c>
    </row>
    <row r="2343" ht="22.5" customHeight="1">
      <c r="A2343" s="15">
        <v>2010215.0</v>
      </c>
      <c r="B2343" s="15" t="s">
        <v>183</v>
      </c>
      <c r="C2343" s="15" t="s">
        <v>183</v>
      </c>
    </row>
    <row r="2344" ht="22.5" customHeight="1">
      <c r="A2344" s="15">
        <v>2010216.0</v>
      </c>
      <c r="B2344" s="15" t="s">
        <v>183</v>
      </c>
      <c r="C2344" s="15" t="s">
        <v>183</v>
      </c>
    </row>
    <row r="2345" ht="22.5" customHeight="1">
      <c r="A2345" s="15">
        <v>2010217.0</v>
      </c>
      <c r="B2345" s="15" t="s">
        <v>183</v>
      </c>
      <c r="C2345" s="15" t="s">
        <v>183</v>
      </c>
    </row>
    <row r="2346" ht="22.5" customHeight="1">
      <c r="A2346" s="15">
        <v>2010218.0</v>
      </c>
      <c r="B2346" s="15" t="s">
        <v>183</v>
      </c>
      <c r="C2346" s="15" t="s">
        <v>183</v>
      </c>
    </row>
    <row r="2347" ht="22.5" customHeight="1">
      <c r="A2347" s="15">
        <v>2010219.0</v>
      </c>
      <c r="B2347" s="15" t="s">
        <v>183</v>
      </c>
      <c r="C2347" s="15" t="s">
        <v>183</v>
      </c>
    </row>
    <row r="2348" ht="22.5" customHeight="1">
      <c r="A2348" s="15">
        <v>2010220.0</v>
      </c>
      <c r="B2348" s="15" t="s">
        <v>172</v>
      </c>
      <c r="C2348" s="15" t="s">
        <v>264</v>
      </c>
    </row>
    <row r="2349" ht="22.5" customHeight="1">
      <c r="A2349" s="15">
        <v>2010221.0</v>
      </c>
      <c r="B2349" s="15" t="s">
        <v>173</v>
      </c>
      <c r="C2349" s="15" t="s">
        <v>265</v>
      </c>
    </row>
    <row r="2350" ht="22.5" customHeight="1">
      <c r="A2350" s="15">
        <v>2010222.0</v>
      </c>
      <c r="B2350" s="15" t="s">
        <v>174</v>
      </c>
      <c r="C2350" s="15" t="s">
        <v>266</v>
      </c>
    </row>
    <row r="2351" ht="22.5" customHeight="1">
      <c r="A2351" s="15">
        <v>2010300.0</v>
      </c>
      <c r="B2351" s="15" t="s">
        <v>175</v>
      </c>
      <c r="C2351" s="15" t="s">
        <v>267</v>
      </c>
    </row>
    <row r="2352" ht="22.5" customHeight="1">
      <c r="A2352" s="15">
        <v>2010301.0</v>
      </c>
      <c r="B2352" s="15" t="s">
        <v>176</v>
      </c>
      <c r="C2352" s="15" t="s">
        <v>268</v>
      </c>
    </row>
    <row r="2353" ht="22.5" customHeight="1">
      <c r="A2353" s="15">
        <v>2010302.0</v>
      </c>
      <c r="B2353" s="15" t="s">
        <v>177</v>
      </c>
      <c r="C2353" s="15" t="s">
        <v>269</v>
      </c>
    </row>
    <row r="2354" ht="22.5" customHeight="1">
      <c r="A2354" s="15">
        <v>2010303.0</v>
      </c>
      <c r="B2354" s="15" t="s">
        <v>183</v>
      </c>
      <c r="C2354" s="15" t="s">
        <v>183</v>
      </c>
    </row>
    <row r="2355" ht="22.5" customHeight="1">
      <c r="A2355" s="15">
        <v>2010304.0</v>
      </c>
      <c r="B2355" s="15" t="s">
        <v>183</v>
      </c>
      <c r="C2355" s="15" t="s">
        <v>183</v>
      </c>
    </row>
    <row r="2356" ht="22.5" customHeight="1">
      <c r="A2356" s="15">
        <v>2010305.0</v>
      </c>
      <c r="B2356" s="15" t="s">
        <v>183</v>
      </c>
      <c r="C2356" s="15" t="s">
        <v>183</v>
      </c>
    </row>
    <row r="2357" ht="22.5" customHeight="1">
      <c r="A2357" s="15">
        <v>2010306.0</v>
      </c>
      <c r="B2357" s="15" t="s">
        <v>183</v>
      </c>
      <c r="C2357" s="15" t="s">
        <v>183</v>
      </c>
    </row>
    <row r="2358" ht="22.5" customHeight="1">
      <c r="A2358" s="15">
        <v>2010307.0</v>
      </c>
      <c r="B2358" s="15" t="s">
        <v>183</v>
      </c>
      <c r="C2358" s="15" t="s">
        <v>183</v>
      </c>
    </row>
    <row r="2359" ht="22.5" customHeight="1">
      <c r="A2359" s="15">
        <v>2010308.0</v>
      </c>
      <c r="B2359" s="15" t="s">
        <v>183</v>
      </c>
      <c r="C2359" s="15" t="s">
        <v>183</v>
      </c>
    </row>
    <row r="2360" ht="22.5" customHeight="1">
      <c r="A2360" s="15">
        <v>2010309.0</v>
      </c>
      <c r="B2360" s="15" t="s">
        <v>183</v>
      </c>
      <c r="C2360" s="15" t="s">
        <v>183</v>
      </c>
    </row>
    <row r="2361" ht="22.5" customHeight="1">
      <c r="A2361" s="15">
        <v>2010310.0</v>
      </c>
      <c r="B2361" s="15" t="s">
        <v>175</v>
      </c>
      <c r="C2361" s="15" t="s">
        <v>267</v>
      </c>
    </row>
    <row r="2362" ht="22.5" customHeight="1">
      <c r="A2362" s="15">
        <v>2010311.0</v>
      </c>
      <c r="B2362" s="15" t="s">
        <v>176</v>
      </c>
      <c r="C2362" s="15" t="s">
        <v>268</v>
      </c>
    </row>
    <row r="2363" ht="22.5" customHeight="1">
      <c r="A2363" s="15">
        <v>2010312.0</v>
      </c>
      <c r="B2363" s="15" t="s">
        <v>177</v>
      </c>
      <c r="C2363" s="15" t="s">
        <v>269</v>
      </c>
    </row>
    <row r="2364" ht="22.5" customHeight="1">
      <c r="A2364" s="15">
        <v>2010313.0</v>
      </c>
      <c r="B2364" s="15" t="s">
        <v>183</v>
      </c>
      <c r="C2364" s="15" t="s">
        <v>183</v>
      </c>
    </row>
    <row r="2365" ht="22.5" customHeight="1">
      <c r="A2365" s="15">
        <v>2010314.0</v>
      </c>
      <c r="B2365" s="15" t="s">
        <v>183</v>
      </c>
      <c r="C2365" s="15" t="s">
        <v>183</v>
      </c>
    </row>
    <row r="2366" ht="22.5" customHeight="1">
      <c r="A2366" s="15">
        <v>2010315.0</v>
      </c>
      <c r="B2366" s="15" t="s">
        <v>183</v>
      </c>
      <c r="C2366" s="15" t="s">
        <v>183</v>
      </c>
    </row>
    <row r="2367" ht="22.5" customHeight="1">
      <c r="A2367" s="15">
        <v>2010316.0</v>
      </c>
      <c r="B2367" s="15" t="s">
        <v>183</v>
      </c>
      <c r="C2367" s="15" t="s">
        <v>183</v>
      </c>
    </row>
    <row r="2368" ht="22.5" customHeight="1">
      <c r="A2368" s="15">
        <v>2010317.0</v>
      </c>
      <c r="B2368" s="15" t="s">
        <v>183</v>
      </c>
      <c r="C2368" s="15" t="s">
        <v>183</v>
      </c>
    </row>
    <row r="2369" ht="22.5" customHeight="1">
      <c r="A2369" s="15">
        <v>2010318.0</v>
      </c>
      <c r="B2369" s="15" t="s">
        <v>183</v>
      </c>
      <c r="C2369" s="15" t="s">
        <v>183</v>
      </c>
    </row>
    <row r="2370" ht="22.5" customHeight="1">
      <c r="A2370" s="15">
        <v>2010319.0</v>
      </c>
      <c r="B2370" s="15" t="s">
        <v>183</v>
      </c>
      <c r="C2370" s="15" t="s">
        <v>183</v>
      </c>
    </row>
    <row r="2371" ht="22.5" customHeight="1">
      <c r="A2371" s="15">
        <v>2010320.0</v>
      </c>
      <c r="B2371" s="15" t="s">
        <v>175</v>
      </c>
      <c r="C2371" s="15" t="s">
        <v>267</v>
      </c>
    </row>
    <row r="2372" ht="22.5" customHeight="1">
      <c r="A2372" s="15">
        <v>2010321.0</v>
      </c>
      <c r="B2372" s="15" t="s">
        <v>176</v>
      </c>
      <c r="C2372" s="15" t="s">
        <v>268</v>
      </c>
    </row>
    <row r="2373" ht="22.5" customHeight="1">
      <c r="A2373" s="15">
        <v>2010322.0</v>
      </c>
      <c r="B2373" s="15" t="s">
        <v>177</v>
      </c>
      <c r="C2373" s="15" t="s">
        <v>269</v>
      </c>
    </row>
    <row r="2374" ht="22.5" customHeight="1">
      <c r="A2374" s="15">
        <v>2011001.0</v>
      </c>
      <c r="B2374" s="15" t="s">
        <v>167</v>
      </c>
      <c r="C2374" s="15" t="s">
        <v>259</v>
      </c>
    </row>
    <row r="2375" ht="22.5" customHeight="1">
      <c r="A2375" s="15">
        <v>2011002.0</v>
      </c>
      <c r="B2375" s="15" t="s">
        <v>168</v>
      </c>
      <c r="C2375" s="15" t="s">
        <v>260</v>
      </c>
    </row>
    <row r="2376" ht="22.5" customHeight="1">
      <c r="A2376" s="15">
        <v>2011003.0</v>
      </c>
      <c r="B2376" s="15" t="s">
        <v>183</v>
      </c>
      <c r="C2376" s="15" t="s">
        <v>183</v>
      </c>
    </row>
    <row r="2377" ht="22.5" customHeight="1">
      <c r="A2377" s="15">
        <v>2011004.0</v>
      </c>
      <c r="B2377" s="15" t="s">
        <v>183</v>
      </c>
      <c r="C2377" s="15" t="s">
        <v>183</v>
      </c>
    </row>
    <row r="2378" ht="22.5" customHeight="1">
      <c r="A2378" s="15">
        <v>2011005.0</v>
      </c>
      <c r="B2378" s="15" t="s">
        <v>183</v>
      </c>
      <c r="C2378" s="15" t="s">
        <v>183</v>
      </c>
    </row>
    <row r="2379" ht="22.5" customHeight="1">
      <c r="A2379" s="15">
        <v>2011006.0</v>
      </c>
      <c r="B2379" s="15" t="s">
        <v>183</v>
      </c>
      <c r="C2379" s="15" t="s">
        <v>183</v>
      </c>
    </row>
    <row r="2380" ht="22.5" customHeight="1">
      <c r="A2380" s="15">
        <v>2011007.0</v>
      </c>
      <c r="B2380" s="15" t="s">
        <v>183</v>
      </c>
      <c r="C2380" s="15" t="s">
        <v>183</v>
      </c>
    </row>
    <row r="2381" ht="22.5" customHeight="1">
      <c r="A2381" s="15">
        <v>2011008.0</v>
      </c>
      <c r="B2381" s="15" t="s">
        <v>183</v>
      </c>
      <c r="C2381" s="15" t="s">
        <v>183</v>
      </c>
    </row>
    <row r="2382" ht="22.5" customHeight="1">
      <c r="A2382" s="15">
        <v>2011009.0</v>
      </c>
      <c r="B2382" s="15" t="s">
        <v>183</v>
      </c>
      <c r="C2382" s="15" t="s">
        <v>183</v>
      </c>
    </row>
    <row r="2383" ht="22.5" customHeight="1">
      <c r="A2383" s="15">
        <v>2011010.0</v>
      </c>
      <c r="B2383" s="15" t="s">
        <v>183</v>
      </c>
      <c r="C2383" s="15" t="s">
        <v>183</v>
      </c>
    </row>
    <row r="2384" ht="22.5" customHeight="1">
      <c r="A2384" s="15">
        <v>2011011.0</v>
      </c>
      <c r="B2384" s="15" t="s">
        <v>167</v>
      </c>
      <c r="C2384" s="15" t="s">
        <v>259</v>
      </c>
    </row>
    <row r="2385" ht="22.5" customHeight="1">
      <c r="A2385" s="15">
        <v>2011012.0</v>
      </c>
      <c r="B2385" s="15" t="s">
        <v>168</v>
      </c>
      <c r="C2385" s="15" t="s">
        <v>260</v>
      </c>
    </row>
    <row r="2386" ht="22.5" customHeight="1">
      <c r="A2386" s="15">
        <v>2011013.0</v>
      </c>
      <c r="B2386" s="15" t="s">
        <v>183</v>
      </c>
      <c r="C2386" s="15" t="s">
        <v>183</v>
      </c>
    </row>
    <row r="2387" ht="22.5" customHeight="1">
      <c r="A2387" s="15">
        <v>2011014.0</v>
      </c>
      <c r="B2387" s="15" t="s">
        <v>183</v>
      </c>
      <c r="C2387" s="15" t="s">
        <v>183</v>
      </c>
    </row>
    <row r="2388" ht="22.5" customHeight="1">
      <c r="A2388" s="15">
        <v>2011015.0</v>
      </c>
      <c r="B2388" s="15" t="s">
        <v>183</v>
      </c>
      <c r="C2388" s="15" t="s">
        <v>183</v>
      </c>
    </row>
    <row r="2389" ht="22.5" customHeight="1">
      <c r="A2389" s="15">
        <v>2011016.0</v>
      </c>
      <c r="B2389" s="15" t="s">
        <v>183</v>
      </c>
      <c r="C2389" s="15" t="s">
        <v>183</v>
      </c>
    </row>
    <row r="2390" ht="22.5" customHeight="1">
      <c r="A2390" s="15">
        <v>2011017.0</v>
      </c>
      <c r="B2390" s="15" t="s">
        <v>183</v>
      </c>
      <c r="C2390" s="15" t="s">
        <v>183</v>
      </c>
    </row>
    <row r="2391" ht="22.5" customHeight="1">
      <c r="A2391" s="15">
        <v>2011018.0</v>
      </c>
      <c r="B2391" s="15" t="s">
        <v>183</v>
      </c>
      <c r="C2391" s="15" t="s">
        <v>183</v>
      </c>
    </row>
    <row r="2392" ht="22.5" customHeight="1">
      <c r="A2392" s="15">
        <v>2011019.0</v>
      </c>
      <c r="B2392" s="15" t="s">
        <v>183</v>
      </c>
      <c r="C2392" s="15" t="s">
        <v>183</v>
      </c>
    </row>
    <row r="2393" ht="22.5" customHeight="1">
      <c r="A2393" s="15">
        <v>2011020.0</v>
      </c>
      <c r="B2393" s="15" t="s">
        <v>183</v>
      </c>
      <c r="C2393" s="15" t="s">
        <v>183</v>
      </c>
    </row>
    <row r="2394" ht="22.5" customHeight="1">
      <c r="A2394" s="15">
        <v>2011021.0</v>
      </c>
      <c r="B2394" s="15" t="s">
        <v>167</v>
      </c>
      <c r="C2394" s="15" t="s">
        <v>259</v>
      </c>
    </row>
    <row r="2395" ht="22.5" customHeight="1">
      <c r="A2395" s="15">
        <v>2011022.0</v>
      </c>
      <c r="B2395" s="15" t="s">
        <v>168</v>
      </c>
      <c r="C2395" s="15" t="s">
        <v>260</v>
      </c>
    </row>
    <row r="2396" ht="22.5" customHeight="1">
      <c r="A2396" s="15">
        <v>2011101.0</v>
      </c>
      <c r="B2396" s="15" t="s">
        <v>170</v>
      </c>
      <c r="C2396" s="15" t="s">
        <v>262</v>
      </c>
    </row>
    <row r="2397" ht="22.5" customHeight="1">
      <c r="A2397" s="15">
        <v>2011102.0</v>
      </c>
      <c r="B2397" s="15" t="s">
        <v>171</v>
      </c>
      <c r="C2397" s="15" t="s">
        <v>263</v>
      </c>
    </row>
    <row r="2398" ht="22.5" customHeight="1">
      <c r="A2398" s="15">
        <v>2011103.0</v>
      </c>
      <c r="B2398" s="15" t="s">
        <v>183</v>
      </c>
      <c r="C2398" s="15" t="s">
        <v>183</v>
      </c>
    </row>
    <row r="2399" ht="22.5" customHeight="1">
      <c r="A2399" s="15">
        <v>2011104.0</v>
      </c>
      <c r="B2399" s="15" t="s">
        <v>183</v>
      </c>
      <c r="C2399" s="15" t="s">
        <v>183</v>
      </c>
    </row>
    <row r="2400" ht="22.5" customHeight="1">
      <c r="A2400" s="15">
        <v>2011105.0</v>
      </c>
      <c r="B2400" s="15" t="s">
        <v>183</v>
      </c>
      <c r="C2400" s="15" t="s">
        <v>183</v>
      </c>
    </row>
    <row r="2401" ht="22.5" customHeight="1">
      <c r="A2401" s="15">
        <v>2011106.0</v>
      </c>
      <c r="B2401" s="15" t="s">
        <v>183</v>
      </c>
      <c r="C2401" s="15" t="s">
        <v>183</v>
      </c>
    </row>
    <row r="2402" ht="22.5" customHeight="1">
      <c r="A2402" s="15">
        <v>2011107.0</v>
      </c>
      <c r="B2402" s="15" t="s">
        <v>183</v>
      </c>
      <c r="C2402" s="15" t="s">
        <v>183</v>
      </c>
    </row>
    <row r="2403" ht="22.5" customHeight="1">
      <c r="A2403" s="15">
        <v>2011108.0</v>
      </c>
      <c r="B2403" s="15" t="s">
        <v>183</v>
      </c>
      <c r="C2403" s="15" t="s">
        <v>183</v>
      </c>
    </row>
    <row r="2404" ht="22.5" customHeight="1">
      <c r="A2404" s="15">
        <v>2011109.0</v>
      </c>
      <c r="B2404" s="15" t="s">
        <v>183</v>
      </c>
      <c r="C2404" s="15" t="s">
        <v>183</v>
      </c>
    </row>
    <row r="2405" ht="22.5" customHeight="1">
      <c r="A2405" s="15">
        <v>2011110.0</v>
      </c>
      <c r="B2405" s="15" t="s">
        <v>183</v>
      </c>
      <c r="C2405" s="15" t="s">
        <v>183</v>
      </c>
    </row>
    <row r="2406" ht="22.5" customHeight="1">
      <c r="A2406" s="15">
        <v>2011111.0</v>
      </c>
      <c r="B2406" s="15" t="s">
        <v>170</v>
      </c>
      <c r="C2406" s="15" t="s">
        <v>262</v>
      </c>
    </row>
    <row r="2407" ht="22.5" customHeight="1">
      <c r="A2407" s="15">
        <v>2011112.0</v>
      </c>
      <c r="B2407" s="15" t="s">
        <v>171</v>
      </c>
      <c r="C2407" s="15" t="s">
        <v>263</v>
      </c>
    </row>
    <row r="2408" ht="22.5" customHeight="1">
      <c r="A2408" s="15">
        <v>2011113.0</v>
      </c>
      <c r="B2408" s="15" t="s">
        <v>183</v>
      </c>
      <c r="C2408" s="15" t="s">
        <v>183</v>
      </c>
    </row>
    <row r="2409" ht="22.5" customHeight="1">
      <c r="A2409" s="15">
        <v>2011114.0</v>
      </c>
      <c r="B2409" s="15" t="s">
        <v>183</v>
      </c>
      <c r="C2409" s="15" t="s">
        <v>183</v>
      </c>
    </row>
    <row r="2410" ht="22.5" customHeight="1">
      <c r="A2410" s="15">
        <v>2011115.0</v>
      </c>
      <c r="B2410" s="15" t="s">
        <v>183</v>
      </c>
      <c r="C2410" s="15" t="s">
        <v>183</v>
      </c>
    </row>
    <row r="2411" ht="22.5" customHeight="1">
      <c r="A2411" s="15">
        <v>2011116.0</v>
      </c>
      <c r="B2411" s="15" t="s">
        <v>183</v>
      </c>
      <c r="C2411" s="15" t="s">
        <v>183</v>
      </c>
    </row>
    <row r="2412" ht="22.5" customHeight="1">
      <c r="A2412" s="15">
        <v>2011117.0</v>
      </c>
      <c r="B2412" s="15" t="s">
        <v>183</v>
      </c>
      <c r="C2412" s="15" t="s">
        <v>183</v>
      </c>
    </row>
    <row r="2413" ht="22.5" customHeight="1">
      <c r="A2413" s="15">
        <v>2011118.0</v>
      </c>
      <c r="B2413" s="15" t="s">
        <v>183</v>
      </c>
      <c r="C2413" s="15" t="s">
        <v>183</v>
      </c>
    </row>
    <row r="2414" ht="22.5" customHeight="1">
      <c r="A2414" s="15">
        <v>2011119.0</v>
      </c>
      <c r="B2414" s="15" t="s">
        <v>183</v>
      </c>
      <c r="C2414" s="15" t="s">
        <v>183</v>
      </c>
    </row>
    <row r="2415" ht="22.5" customHeight="1">
      <c r="A2415" s="15">
        <v>2011120.0</v>
      </c>
      <c r="B2415" s="15" t="s">
        <v>183</v>
      </c>
      <c r="C2415" s="15" t="s">
        <v>183</v>
      </c>
    </row>
    <row r="2416" ht="22.5" customHeight="1">
      <c r="A2416" s="15">
        <v>2011121.0</v>
      </c>
      <c r="B2416" s="15" t="s">
        <v>170</v>
      </c>
      <c r="C2416" s="15" t="s">
        <v>262</v>
      </c>
    </row>
    <row r="2417" ht="22.5" customHeight="1">
      <c r="A2417" s="15">
        <v>2011122.0</v>
      </c>
      <c r="B2417" s="15" t="s">
        <v>171</v>
      </c>
      <c r="C2417" s="15" t="s">
        <v>263</v>
      </c>
    </row>
    <row r="2418" ht="22.5" customHeight="1">
      <c r="A2418" s="15">
        <v>2011201.0</v>
      </c>
      <c r="B2418" s="15" t="s">
        <v>173</v>
      </c>
      <c r="C2418" s="15" t="s">
        <v>265</v>
      </c>
    </row>
    <row r="2419" ht="22.5" customHeight="1">
      <c r="A2419" s="15">
        <v>2011202.0</v>
      </c>
      <c r="B2419" s="15" t="s">
        <v>174</v>
      </c>
      <c r="C2419" s="15" t="s">
        <v>266</v>
      </c>
    </row>
    <row r="2420" ht="22.5" customHeight="1">
      <c r="A2420" s="15">
        <v>2011203.0</v>
      </c>
      <c r="B2420" s="15" t="s">
        <v>183</v>
      </c>
      <c r="C2420" s="15" t="s">
        <v>183</v>
      </c>
    </row>
    <row r="2421" ht="22.5" customHeight="1">
      <c r="A2421" s="15">
        <v>2011204.0</v>
      </c>
      <c r="B2421" s="15" t="s">
        <v>183</v>
      </c>
      <c r="C2421" s="15" t="s">
        <v>183</v>
      </c>
    </row>
    <row r="2422" ht="22.5" customHeight="1">
      <c r="A2422" s="15">
        <v>2011205.0</v>
      </c>
      <c r="B2422" s="15" t="s">
        <v>183</v>
      </c>
      <c r="C2422" s="15" t="s">
        <v>183</v>
      </c>
    </row>
    <row r="2423" ht="22.5" customHeight="1">
      <c r="A2423" s="15">
        <v>2011206.0</v>
      </c>
      <c r="B2423" s="15" t="s">
        <v>183</v>
      </c>
      <c r="C2423" s="15" t="s">
        <v>183</v>
      </c>
    </row>
    <row r="2424" ht="22.5" customHeight="1">
      <c r="A2424" s="15">
        <v>2011207.0</v>
      </c>
      <c r="B2424" s="15" t="s">
        <v>183</v>
      </c>
      <c r="C2424" s="15" t="s">
        <v>183</v>
      </c>
    </row>
    <row r="2425" ht="22.5" customHeight="1">
      <c r="A2425" s="15">
        <v>2011208.0</v>
      </c>
      <c r="B2425" s="15" t="s">
        <v>183</v>
      </c>
      <c r="C2425" s="15" t="s">
        <v>183</v>
      </c>
    </row>
    <row r="2426" ht="22.5" customHeight="1">
      <c r="A2426" s="15">
        <v>2011209.0</v>
      </c>
      <c r="B2426" s="15" t="s">
        <v>183</v>
      </c>
      <c r="C2426" s="15" t="s">
        <v>183</v>
      </c>
    </row>
    <row r="2427" ht="22.5" customHeight="1">
      <c r="A2427" s="15">
        <v>2011210.0</v>
      </c>
      <c r="B2427" s="15" t="s">
        <v>183</v>
      </c>
      <c r="C2427" s="15" t="s">
        <v>183</v>
      </c>
    </row>
    <row r="2428" ht="22.5" customHeight="1">
      <c r="A2428" s="15">
        <v>2011211.0</v>
      </c>
      <c r="B2428" s="15" t="s">
        <v>173</v>
      </c>
      <c r="C2428" s="15" t="s">
        <v>265</v>
      </c>
    </row>
    <row r="2429" ht="22.5" customHeight="1">
      <c r="A2429" s="15">
        <v>2011212.0</v>
      </c>
      <c r="B2429" s="15" t="s">
        <v>174</v>
      </c>
      <c r="C2429" s="15" t="s">
        <v>266</v>
      </c>
    </row>
    <row r="2430" ht="22.5" customHeight="1">
      <c r="A2430" s="15">
        <v>2011213.0</v>
      </c>
      <c r="B2430" s="15" t="s">
        <v>183</v>
      </c>
      <c r="C2430" s="15" t="s">
        <v>183</v>
      </c>
    </row>
    <row r="2431" ht="22.5" customHeight="1">
      <c r="A2431" s="15">
        <v>2011214.0</v>
      </c>
      <c r="B2431" s="15" t="s">
        <v>183</v>
      </c>
      <c r="C2431" s="15" t="s">
        <v>183</v>
      </c>
    </row>
    <row r="2432" ht="22.5" customHeight="1">
      <c r="A2432" s="15">
        <v>2011215.0</v>
      </c>
      <c r="B2432" s="15" t="s">
        <v>183</v>
      </c>
      <c r="C2432" s="15" t="s">
        <v>183</v>
      </c>
    </row>
    <row r="2433" ht="22.5" customHeight="1">
      <c r="A2433" s="15">
        <v>2011216.0</v>
      </c>
      <c r="B2433" s="15" t="s">
        <v>183</v>
      </c>
      <c r="C2433" s="15" t="s">
        <v>183</v>
      </c>
    </row>
    <row r="2434" ht="22.5" customHeight="1">
      <c r="A2434" s="15">
        <v>2011217.0</v>
      </c>
      <c r="B2434" s="15" t="s">
        <v>183</v>
      </c>
      <c r="C2434" s="15" t="s">
        <v>183</v>
      </c>
    </row>
    <row r="2435" ht="22.5" customHeight="1">
      <c r="A2435" s="15">
        <v>2011218.0</v>
      </c>
      <c r="B2435" s="15" t="s">
        <v>183</v>
      </c>
      <c r="C2435" s="15" t="s">
        <v>183</v>
      </c>
    </row>
    <row r="2436" ht="22.5" customHeight="1">
      <c r="A2436" s="15">
        <v>2011219.0</v>
      </c>
      <c r="B2436" s="15" t="s">
        <v>183</v>
      </c>
      <c r="C2436" s="15" t="s">
        <v>183</v>
      </c>
    </row>
    <row r="2437" ht="22.5" customHeight="1">
      <c r="A2437" s="15">
        <v>2011220.0</v>
      </c>
      <c r="B2437" s="15" t="s">
        <v>183</v>
      </c>
      <c r="C2437" s="15" t="s">
        <v>183</v>
      </c>
    </row>
    <row r="2438" ht="22.5" customHeight="1">
      <c r="A2438" s="15">
        <v>2011221.0</v>
      </c>
      <c r="B2438" s="15" t="s">
        <v>173</v>
      </c>
      <c r="C2438" s="15" t="s">
        <v>265</v>
      </c>
    </row>
    <row r="2439" ht="22.5" customHeight="1">
      <c r="A2439" s="15">
        <v>2011222.0</v>
      </c>
      <c r="B2439" s="15" t="s">
        <v>174</v>
      </c>
      <c r="C2439" s="15" t="s">
        <v>266</v>
      </c>
    </row>
    <row r="2440" ht="22.5" customHeight="1">
      <c r="A2440" s="15">
        <v>2011301.0</v>
      </c>
      <c r="B2440" s="15" t="s">
        <v>176</v>
      </c>
      <c r="C2440" s="15" t="s">
        <v>268</v>
      </c>
    </row>
    <row r="2441" ht="22.5" customHeight="1">
      <c r="A2441" s="15">
        <v>2011302.0</v>
      </c>
      <c r="B2441" s="15" t="s">
        <v>177</v>
      </c>
      <c r="C2441" s="15" t="s">
        <v>269</v>
      </c>
    </row>
    <row r="2442" ht="22.5" customHeight="1">
      <c r="A2442" s="15">
        <v>2011303.0</v>
      </c>
      <c r="B2442" s="15" t="s">
        <v>183</v>
      </c>
      <c r="C2442" s="15" t="s">
        <v>183</v>
      </c>
    </row>
    <row r="2443" ht="22.5" customHeight="1">
      <c r="A2443" s="15">
        <v>2011304.0</v>
      </c>
      <c r="B2443" s="15" t="s">
        <v>183</v>
      </c>
      <c r="C2443" s="15" t="s">
        <v>183</v>
      </c>
    </row>
    <row r="2444" ht="22.5" customHeight="1">
      <c r="A2444" s="15">
        <v>2011305.0</v>
      </c>
      <c r="B2444" s="15" t="s">
        <v>183</v>
      </c>
      <c r="C2444" s="15" t="s">
        <v>183</v>
      </c>
    </row>
    <row r="2445" ht="22.5" customHeight="1">
      <c r="A2445" s="15">
        <v>2011306.0</v>
      </c>
      <c r="B2445" s="15" t="s">
        <v>183</v>
      </c>
      <c r="C2445" s="15" t="s">
        <v>183</v>
      </c>
    </row>
    <row r="2446" ht="22.5" customHeight="1">
      <c r="A2446" s="15">
        <v>2011307.0</v>
      </c>
      <c r="B2446" s="15" t="s">
        <v>183</v>
      </c>
      <c r="C2446" s="15" t="s">
        <v>183</v>
      </c>
    </row>
    <row r="2447" ht="22.5" customHeight="1">
      <c r="A2447" s="15">
        <v>2011308.0</v>
      </c>
      <c r="B2447" s="15" t="s">
        <v>183</v>
      </c>
      <c r="C2447" s="15" t="s">
        <v>183</v>
      </c>
    </row>
    <row r="2448" ht="22.5" customHeight="1">
      <c r="A2448" s="15">
        <v>2011309.0</v>
      </c>
      <c r="B2448" s="15" t="s">
        <v>183</v>
      </c>
      <c r="C2448" s="15" t="s">
        <v>183</v>
      </c>
    </row>
    <row r="2449" ht="22.5" customHeight="1">
      <c r="A2449" s="15">
        <v>2011310.0</v>
      </c>
      <c r="B2449" s="15" t="s">
        <v>183</v>
      </c>
      <c r="C2449" s="15" t="s">
        <v>183</v>
      </c>
    </row>
    <row r="2450" ht="22.5" customHeight="1">
      <c r="A2450" s="15">
        <v>2011311.0</v>
      </c>
      <c r="B2450" s="15" t="s">
        <v>176</v>
      </c>
      <c r="C2450" s="15" t="s">
        <v>268</v>
      </c>
    </row>
    <row r="2451" ht="22.5" customHeight="1">
      <c r="A2451" s="15">
        <v>2011312.0</v>
      </c>
      <c r="B2451" s="15" t="s">
        <v>177</v>
      </c>
      <c r="C2451" s="15" t="s">
        <v>269</v>
      </c>
    </row>
    <row r="2452" ht="22.5" customHeight="1">
      <c r="A2452" s="15">
        <v>2011313.0</v>
      </c>
      <c r="B2452" s="15" t="s">
        <v>183</v>
      </c>
      <c r="C2452" s="15" t="s">
        <v>183</v>
      </c>
    </row>
    <row r="2453" ht="22.5" customHeight="1">
      <c r="A2453" s="15">
        <v>2011314.0</v>
      </c>
      <c r="B2453" s="15" t="s">
        <v>183</v>
      </c>
      <c r="C2453" s="15" t="s">
        <v>183</v>
      </c>
    </row>
    <row r="2454" ht="22.5" customHeight="1">
      <c r="A2454" s="15">
        <v>2011315.0</v>
      </c>
      <c r="B2454" s="15" t="s">
        <v>183</v>
      </c>
      <c r="C2454" s="15" t="s">
        <v>183</v>
      </c>
    </row>
    <row r="2455" ht="22.5" customHeight="1">
      <c r="A2455" s="15">
        <v>2011316.0</v>
      </c>
      <c r="B2455" s="15" t="s">
        <v>183</v>
      </c>
      <c r="C2455" s="15" t="s">
        <v>183</v>
      </c>
    </row>
    <row r="2456" ht="22.5" customHeight="1">
      <c r="A2456" s="15">
        <v>2011317.0</v>
      </c>
      <c r="B2456" s="15" t="s">
        <v>183</v>
      </c>
      <c r="C2456" s="15" t="s">
        <v>183</v>
      </c>
    </row>
    <row r="2457" ht="22.5" customHeight="1">
      <c r="A2457" s="15">
        <v>2011318.0</v>
      </c>
      <c r="B2457" s="15" t="s">
        <v>183</v>
      </c>
      <c r="C2457" s="15" t="s">
        <v>183</v>
      </c>
    </row>
    <row r="2458" ht="22.5" customHeight="1">
      <c r="A2458" s="15">
        <v>2011319.0</v>
      </c>
      <c r="B2458" s="15" t="s">
        <v>183</v>
      </c>
      <c r="C2458" s="15" t="s">
        <v>183</v>
      </c>
    </row>
    <row r="2459" ht="22.5" customHeight="1">
      <c r="A2459" s="15">
        <v>2011320.0</v>
      </c>
      <c r="B2459" s="15" t="s">
        <v>183</v>
      </c>
      <c r="C2459" s="15" t="s">
        <v>183</v>
      </c>
    </row>
    <row r="2460" ht="22.5" customHeight="1">
      <c r="A2460" s="15">
        <v>2011321.0</v>
      </c>
      <c r="B2460" s="15" t="s">
        <v>176</v>
      </c>
      <c r="C2460" s="15" t="s">
        <v>268</v>
      </c>
    </row>
    <row r="2461" ht="22.5" customHeight="1">
      <c r="A2461" s="15">
        <v>2011322.0</v>
      </c>
      <c r="B2461" s="15" t="s">
        <v>177</v>
      </c>
      <c r="C2461" s="15" t="s">
        <v>269</v>
      </c>
    </row>
    <row r="2462" ht="22.5" customHeight="1">
      <c r="A2462" s="15">
        <v>2012002.0</v>
      </c>
      <c r="B2462" s="15" t="s">
        <v>168</v>
      </c>
      <c r="C2462" s="15" t="s">
        <v>260</v>
      </c>
    </row>
    <row r="2463" ht="22.5" customHeight="1">
      <c r="A2463" s="15">
        <v>2012003.0</v>
      </c>
      <c r="B2463" s="15" t="s">
        <v>183</v>
      </c>
      <c r="C2463" s="15" t="s">
        <v>183</v>
      </c>
    </row>
    <row r="2464" ht="22.5" customHeight="1">
      <c r="A2464" s="15">
        <v>2012004.0</v>
      </c>
      <c r="B2464" s="15" t="s">
        <v>183</v>
      </c>
      <c r="C2464" s="15" t="s">
        <v>183</v>
      </c>
    </row>
    <row r="2465" ht="22.5" customHeight="1">
      <c r="A2465" s="15">
        <v>2012005.0</v>
      </c>
      <c r="B2465" s="15" t="s">
        <v>183</v>
      </c>
      <c r="C2465" s="15" t="s">
        <v>183</v>
      </c>
    </row>
    <row r="2466" ht="22.5" customHeight="1">
      <c r="A2466" s="15">
        <v>2012006.0</v>
      </c>
      <c r="B2466" s="15" t="s">
        <v>183</v>
      </c>
      <c r="C2466" s="15" t="s">
        <v>183</v>
      </c>
    </row>
    <row r="2467" ht="22.5" customHeight="1">
      <c r="A2467" s="15">
        <v>2012007.0</v>
      </c>
      <c r="B2467" s="15" t="s">
        <v>183</v>
      </c>
      <c r="C2467" s="15" t="s">
        <v>183</v>
      </c>
    </row>
    <row r="2468" ht="22.5" customHeight="1">
      <c r="A2468" s="15">
        <v>2012008.0</v>
      </c>
      <c r="B2468" s="15" t="s">
        <v>183</v>
      </c>
      <c r="C2468" s="15" t="s">
        <v>183</v>
      </c>
    </row>
    <row r="2469" ht="22.5" customHeight="1">
      <c r="A2469" s="15">
        <v>2012009.0</v>
      </c>
      <c r="B2469" s="15" t="s">
        <v>183</v>
      </c>
      <c r="C2469" s="15" t="s">
        <v>183</v>
      </c>
    </row>
    <row r="2470" ht="22.5" customHeight="1">
      <c r="A2470" s="15">
        <v>2012010.0</v>
      </c>
      <c r="B2470" s="15" t="s">
        <v>183</v>
      </c>
      <c r="C2470" s="15" t="s">
        <v>183</v>
      </c>
    </row>
    <row r="2471" ht="22.5" customHeight="1">
      <c r="A2471" s="15">
        <v>2012011.0</v>
      </c>
      <c r="B2471" s="15" t="s">
        <v>183</v>
      </c>
      <c r="C2471" s="15" t="s">
        <v>183</v>
      </c>
    </row>
    <row r="2472" ht="22.5" customHeight="1">
      <c r="A2472" s="15">
        <v>2012012.0</v>
      </c>
      <c r="B2472" s="15" t="s">
        <v>168</v>
      </c>
      <c r="C2472" s="15" t="s">
        <v>260</v>
      </c>
    </row>
    <row r="2473" ht="22.5" customHeight="1">
      <c r="A2473" s="15">
        <v>2012013.0</v>
      </c>
      <c r="B2473" s="15" t="s">
        <v>183</v>
      </c>
      <c r="C2473" s="15" t="s">
        <v>183</v>
      </c>
    </row>
    <row r="2474" ht="22.5" customHeight="1">
      <c r="A2474" s="15">
        <v>2012014.0</v>
      </c>
      <c r="B2474" s="15" t="s">
        <v>183</v>
      </c>
      <c r="C2474" s="15" t="s">
        <v>183</v>
      </c>
    </row>
    <row r="2475" ht="22.5" customHeight="1">
      <c r="A2475" s="15">
        <v>2012015.0</v>
      </c>
      <c r="B2475" s="15" t="s">
        <v>183</v>
      </c>
      <c r="C2475" s="15" t="s">
        <v>183</v>
      </c>
    </row>
    <row r="2476" ht="22.5" customHeight="1">
      <c r="A2476" s="15">
        <v>2012016.0</v>
      </c>
      <c r="B2476" s="15" t="s">
        <v>183</v>
      </c>
      <c r="C2476" s="15" t="s">
        <v>183</v>
      </c>
    </row>
    <row r="2477" ht="22.5" customHeight="1">
      <c r="A2477" s="15">
        <v>2012017.0</v>
      </c>
      <c r="B2477" s="15" t="s">
        <v>183</v>
      </c>
      <c r="C2477" s="15" t="s">
        <v>183</v>
      </c>
    </row>
    <row r="2478" ht="22.5" customHeight="1">
      <c r="A2478" s="15">
        <v>2012018.0</v>
      </c>
      <c r="B2478" s="15" t="s">
        <v>183</v>
      </c>
      <c r="C2478" s="15" t="s">
        <v>183</v>
      </c>
    </row>
    <row r="2479" ht="22.5" customHeight="1">
      <c r="A2479" s="15">
        <v>2012019.0</v>
      </c>
      <c r="B2479" s="15" t="s">
        <v>183</v>
      </c>
      <c r="C2479" s="15" t="s">
        <v>183</v>
      </c>
    </row>
    <row r="2480" ht="22.5" customHeight="1">
      <c r="A2480" s="15">
        <v>2012020.0</v>
      </c>
      <c r="B2480" s="15" t="s">
        <v>183</v>
      </c>
      <c r="C2480" s="15" t="s">
        <v>183</v>
      </c>
    </row>
    <row r="2481" ht="22.5" customHeight="1">
      <c r="A2481" s="15">
        <v>2012021.0</v>
      </c>
      <c r="B2481" s="15" t="s">
        <v>183</v>
      </c>
      <c r="C2481" s="15" t="s">
        <v>183</v>
      </c>
    </row>
    <row r="2482" ht="22.5" customHeight="1">
      <c r="A2482" s="15">
        <v>2012022.0</v>
      </c>
      <c r="B2482" s="15" t="s">
        <v>168</v>
      </c>
      <c r="C2482" s="15" t="s">
        <v>260</v>
      </c>
    </row>
    <row r="2483" ht="22.5" customHeight="1">
      <c r="A2483" s="15">
        <v>2012102.0</v>
      </c>
      <c r="B2483" s="15" t="s">
        <v>171</v>
      </c>
      <c r="C2483" s="15" t="s">
        <v>263</v>
      </c>
    </row>
    <row r="2484" ht="22.5" customHeight="1">
      <c r="A2484" s="15">
        <v>2012103.0</v>
      </c>
      <c r="B2484" s="15" t="s">
        <v>183</v>
      </c>
      <c r="C2484" s="15" t="s">
        <v>183</v>
      </c>
    </row>
    <row r="2485" ht="22.5" customHeight="1">
      <c r="A2485" s="15">
        <v>2012104.0</v>
      </c>
      <c r="B2485" s="15" t="s">
        <v>183</v>
      </c>
      <c r="C2485" s="15" t="s">
        <v>183</v>
      </c>
    </row>
    <row r="2486" ht="22.5" customHeight="1">
      <c r="A2486" s="15">
        <v>2012105.0</v>
      </c>
      <c r="B2486" s="15" t="s">
        <v>183</v>
      </c>
      <c r="C2486" s="15" t="s">
        <v>183</v>
      </c>
    </row>
    <row r="2487" ht="22.5" customHeight="1">
      <c r="A2487" s="15">
        <v>2012106.0</v>
      </c>
      <c r="B2487" s="15" t="s">
        <v>183</v>
      </c>
      <c r="C2487" s="15" t="s">
        <v>183</v>
      </c>
    </row>
    <row r="2488" ht="22.5" customHeight="1">
      <c r="A2488" s="15">
        <v>2012107.0</v>
      </c>
      <c r="B2488" s="15" t="s">
        <v>183</v>
      </c>
      <c r="C2488" s="15" t="s">
        <v>183</v>
      </c>
    </row>
    <row r="2489" ht="22.5" customHeight="1">
      <c r="A2489" s="15">
        <v>2012108.0</v>
      </c>
      <c r="B2489" s="15" t="s">
        <v>183</v>
      </c>
      <c r="C2489" s="15" t="s">
        <v>183</v>
      </c>
    </row>
    <row r="2490" ht="22.5" customHeight="1">
      <c r="A2490" s="15">
        <v>2012109.0</v>
      </c>
      <c r="B2490" s="15" t="s">
        <v>183</v>
      </c>
      <c r="C2490" s="15" t="s">
        <v>183</v>
      </c>
    </row>
    <row r="2491" ht="22.5" customHeight="1">
      <c r="A2491" s="15">
        <v>2012110.0</v>
      </c>
      <c r="B2491" s="15" t="s">
        <v>183</v>
      </c>
      <c r="C2491" s="15" t="s">
        <v>183</v>
      </c>
    </row>
    <row r="2492" ht="22.5" customHeight="1">
      <c r="A2492" s="15">
        <v>2012111.0</v>
      </c>
      <c r="B2492" s="15" t="s">
        <v>183</v>
      </c>
      <c r="C2492" s="15" t="s">
        <v>183</v>
      </c>
    </row>
    <row r="2493" ht="22.5" customHeight="1">
      <c r="A2493" s="15">
        <v>2012112.0</v>
      </c>
      <c r="B2493" s="15" t="s">
        <v>171</v>
      </c>
      <c r="C2493" s="15" t="s">
        <v>263</v>
      </c>
    </row>
    <row r="2494" ht="22.5" customHeight="1">
      <c r="A2494" s="15">
        <v>2012113.0</v>
      </c>
      <c r="B2494" s="15" t="s">
        <v>183</v>
      </c>
      <c r="C2494" s="15" t="s">
        <v>183</v>
      </c>
    </row>
    <row r="2495" ht="22.5" customHeight="1">
      <c r="A2495" s="15">
        <v>2012114.0</v>
      </c>
      <c r="B2495" s="15" t="s">
        <v>183</v>
      </c>
      <c r="C2495" s="15" t="s">
        <v>183</v>
      </c>
    </row>
    <row r="2496" ht="22.5" customHeight="1">
      <c r="A2496" s="15">
        <v>2012115.0</v>
      </c>
      <c r="B2496" s="15" t="s">
        <v>183</v>
      </c>
      <c r="C2496" s="15" t="s">
        <v>183</v>
      </c>
    </row>
    <row r="2497" ht="22.5" customHeight="1">
      <c r="A2497" s="15">
        <v>2012116.0</v>
      </c>
      <c r="B2497" s="15" t="s">
        <v>183</v>
      </c>
      <c r="C2497" s="15" t="s">
        <v>183</v>
      </c>
    </row>
    <row r="2498" ht="22.5" customHeight="1">
      <c r="A2498" s="15">
        <v>2012117.0</v>
      </c>
      <c r="B2498" s="15" t="s">
        <v>183</v>
      </c>
      <c r="C2498" s="15" t="s">
        <v>183</v>
      </c>
    </row>
    <row r="2499" ht="22.5" customHeight="1">
      <c r="A2499" s="15">
        <v>2012118.0</v>
      </c>
      <c r="B2499" s="15" t="s">
        <v>183</v>
      </c>
      <c r="C2499" s="15" t="s">
        <v>183</v>
      </c>
    </row>
    <row r="2500" ht="22.5" customHeight="1">
      <c r="A2500" s="15">
        <v>2012119.0</v>
      </c>
      <c r="B2500" s="15" t="s">
        <v>183</v>
      </c>
      <c r="C2500" s="15" t="s">
        <v>183</v>
      </c>
    </row>
    <row r="2501" ht="22.5" customHeight="1">
      <c r="A2501" s="15">
        <v>2012120.0</v>
      </c>
      <c r="B2501" s="15" t="s">
        <v>183</v>
      </c>
      <c r="C2501" s="15" t="s">
        <v>183</v>
      </c>
    </row>
    <row r="2502" ht="22.5" customHeight="1">
      <c r="A2502" s="15">
        <v>2012121.0</v>
      </c>
      <c r="B2502" s="15" t="s">
        <v>183</v>
      </c>
      <c r="C2502" s="15" t="s">
        <v>183</v>
      </c>
    </row>
    <row r="2503" ht="22.5" customHeight="1">
      <c r="A2503" s="15">
        <v>2012122.0</v>
      </c>
      <c r="B2503" s="15" t="s">
        <v>171</v>
      </c>
      <c r="C2503" s="15" t="s">
        <v>263</v>
      </c>
    </row>
    <row r="2504" ht="22.5" customHeight="1">
      <c r="A2504" s="15">
        <v>2012202.0</v>
      </c>
      <c r="B2504" s="15" t="s">
        <v>174</v>
      </c>
      <c r="C2504" s="15" t="s">
        <v>266</v>
      </c>
    </row>
    <row r="2505" ht="22.5" customHeight="1">
      <c r="A2505" s="15">
        <v>2012203.0</v>
      </c>
      <c r="B2505" s="15" t="s">
        <v>183</v>
      </c>
      <c r="C2505" s="15" t="s">
        <v>183</v>
      </c>
    </row>
    <row r="2506" ht="22.5" customHeight="1">
      <c r="A2506" s="15">
        <v>2012204.0</v>
      </c>
      <c r="B2506" s="15" t="s">
        <v>183</v>
      </c>
      <c r="C2506" s="15" t="s">
        <v>183</v>
      </c>
    </row>
    <row r="2507" ht="22.5" customHeight="1">
      <c r="A2507" s="15">
        <v>2012205.0</v>
      </c>
      <c r="B2507" s="15" t="s">
        <v>183</v>
      </c>
      <c r="C2507" s="15" t="s">
        <v>183</v>
      </c>
    </row>
    <row r="2508" ht="22.5" customHeight="1">
      <c r="A2508" s="15">
        <v>2012206.0</v>
      </c>
      <c r="B2508" s="15" t="s">
        <v>183</v>
      </c>
      <c r="C2508" s="15" t="s">
        <v>183</v>
      </c>
    </row>
    <row r="2509" ht="22.5" customHeight="1">
      <c r="A2509" s="15">
        <v>2012207.0</v>
      </c>
      <c r="B2509" s="15" t="s">
        <v>183</v>
      </c>
      <c r="C2509" s="15" t="s">
        <v>183</v>
      </c>
    </row>
    <row r="2510" ht="22.5" customHeight="1">
      <c r="A2510" s="15">
        <v>2012208.0</v>
      </c>
      <c r="B2510" s="15" t="s">
        <v>183</v>
      </c>
      <c r="C2510" s="15" t="s">
        <v>183</v>
      </c>
    </row>
    <row r="2511" ht="22.5" customHeight="1">
      <c r="A2511" s="15">
        <v>2012209.0</v>
      </c>
      <c r="B2511" s="15" t="s">
        <v>183</v>
      </c>
      <c r="C2511" s="15" t="s">
        <v>183</v>
      </c>
    </row>
    <row r="2512" ht="22.5" customHeight="1">
      <c r="A2512" s="15">
        <v>2012210.0</v>
      </c>
      <c r="B2512" s="15" t="s">
        <v>183</v>
      </c>
      <c r="C2512" s="15" t="s">
        <v>183</v>
      </c>
    </row>
    <row r="2513" ht="22.5" customHeight="1">
      <c r="A2513" s="15">
        <v>2012211.0</v>
      </c>
      <c r="B2513" s="15" t="s">
        <v>183</v>
      </c>
      <c r="C2513" s="15" t="s">
        <v>183</v>
      </c>
    </row>
    <row r="2514" ht="22.5" customHeight="1">
      <c r="A2514" s="15">
        <v>2012212.0</v>
      </c>
      <c r="B2514" s="15" t="s">
        <v>174</v>
      </c>
      <c r="C2514" s="15" t="s">
        <v>266</v>
      </c>
    </row>
    <row r="2515" ht="22.5" customHeight="1">
      <c r="A2515" s="15">
        <v>2012213.0</v>
      </c>
      <c r="B2515" s="15" t="s">
        <v>183</v>
      </c>
      <c r="C2515" s="15" t="s">
        <v>183</v>
      </c>
    </row>
    <row r="2516" ht="22.5" customHeight="1">
      <c r="A2516" s="15">
        <v>2012214.0</v>
      </c>
      <c r="B2516" s="15" t="s">
        <v>183</v>
      </c>
      <c r="C2516" s="15" t="s">
        <v>183</v>
      </c>
    </row>
    <row r="2517" ht="22.5" customHeight="1">
      <c r="A2517" s="15">
        <v>2012215.0</v>
      </c>
      <c r="B2517" s="15" t="s">
        <v>183</v>
      </c>
      <c r="C2517" s="15" t="s">
        <v>183</v>
      </c>
    </row>
    <row r="2518" ht="22.5" customHeight="1">
      <c r="A2518" s="15">
        <v>2012216.0</v>
      </c>
      <c r="B2518" s="15" t="s">
        <v>183</v>
      </c>
      <c r="C2518" s="15" t="s">
        <v>183</v>
      </c>
    </row>
    <row r="2519" ht="22.5" customHeight="1">
      <c r="A2519" s="15">
        <v>2012217.0</v>
      </c>
      <c r="B2519" s="15" t="s">
        <v>183</v>
      </c>
      <c r="C2519" s="15" t="s">
        <v>183</v>
      </c>
    </row>
    <row r="2520" ht="22.5" customHeight="1">
      <c r="A2520" s="15">
        <v>2012218.0</v>
      </c>
      <c r="B2520" s="15" t="s">
        <v>183</v>
      </c>
      <c r="C2520" s="15" t="s">
        <v>183</v>
      </c>
    </row>
    <row r="2521" ht="22.5" customHeight="1">
      <c r="A2521" s="15">
        <v>2012219.0</v>
      </c>
      <c r="B2521" s="15" t="s">
        <v>183</v>
      </c>
      <c r="C2521" s="15" t="s">
        <v>183</v>
      </c>
    </row>
    <row r="2522" ht="22.5" customHeight="1">
      <c r="A2522" s="15">
        <v>2012220.0</v>
      </c>
      <c r="B2522" s="15" t="s">
        <v>183</v>
      </c>
      <c r="C2522" s="15" t="s">
        <v>183</v>
      </c>
    </row>
    <row r="2523" ht="22.5" customHeight="1">
      <c r="A2523" s="15">
        <v>2012221.0</v>
      </c>
      <c r="B2523" s="15" t="s">
        <v>183</v>
      </c>
      <c r="C2523" s="15" t="s">
        <v>183</v>
      </c>
    </row>
    <row r="2524" ht="22.5" customHeight="1">
      <c r="A2524" s="15">
        <v>2012222.0</v>
      </c>
      <c r="B2524" s="15" t="s">
        <v>174</v>
      </c>
      <c r="C2524" s="15" t="s">
        <v>266</v>
      </c>
    </row>
    <row r="2525" ht="22.5" customHeight="1">
      <c r="A2525" s="15">
        <v>2012302.0</v>
      </c>
      <c r="B2525" s="15" t="s">
        <v>177</v>
      </c>
      <c r="C2525" s="15" t="s">
        <v>269</v>
      </c>
    </row>
    <row r="2526" ht="22.5" customHeight="1">
      <c r="A2526" s="15">
        <v>2012303.0</v>
      </c>
      <c r="B2526" s="15" t="s">
        <v>183</v>
      </c>
      <c r="C2526" s="15" t="s">
        <v>183</v>
      </c>
    </row>
    <row r="2527" ht="22.5" customHeight="1">
      <c r="A2527" s="15">
        <v>2012304.0</v>
      </c>
      <c r="B2527" s="15" t="s">
        <v>183</v>
      </c>
      <c r="C2527" s="15" t="s">
        <v>183</v>
      </c>
    </row>
    <row r="2528" ht="22.5" customHeight="1">
      <c r="A2528" s="15">
        <v>2012305.0</v>
      </c>
      <c r="B2528" s="15" t="s">
        <v>183</v>
      </c>
      <c r="C2528" s="15" t="s">
        <v>183</v>
      </c>
    </row>
    <row r="2529" ht="22.5" customHeight="1">
      <c r="A2529" s="15">
        <v>2012306.0</v>
      </c>
      <c r="B2529" s="15" t="s">
        <v>183</v>
      </c>
      <c r="C2529" s="15" t="s">
        <v>183</v>
      </c>
    </row>
    <row r="2530" ht="22.5" customHeight="1">
      <c r="A2530" s="15">
        <v>2012307.0</v>
      </c>
      <c r="B2530" s="15" t="s">
        <v>183</v>
      </c>
      <c r="C2530" s="15" t="s">
        <v>183</v>
      </c>
    </row>
    <row r="2531" ht="22.5" customHeight="1">
      <c r="A2531" s="15">
        <v>2012308.0</v>
      </c>
      <c r="B2531" s="15" t="s">
        <v>183</v>
      </c>
      <c r="C2531" s="15" t="s">
        <v>183</v>
      </c>
    </row>
    <row r="2532" ht="22.5" customHeight="1">
      <c r="A2532" s="15">
        <v>2012309.0</v>
      </c>
      <c r="B2532" s="15" t="s">
        <v>183</v>
      </c>
      <c r="C2532" s="15" t="s">
        <v>183</v>
      </c>
    </row>
    <row r="2533" ht="22.5" customHeight="1">
      <c r="A2533" s="15">
        <v>2012310.0</v>
      </c>
      <c r="B2533" s="15" t="s">
        <v>183</v>
      </c>
      <c r="C2533" s="15" t="s">
        <v>183</v>
      </c>
    </row>
    <row r="2534" ht="22.5" customHeight="1">
      <c r="A2534" s="15">
        <v>2012311.0</v>
      </c>
      <c r="B2534" s="15" t="s">
        <v>183</v>
      </c>
      <c r="C2534" s="15" t="s">
        <v>183</v>
      </c>
    </row>
    <row r="2535" ht="22.5" customHeight="1">
      <c r="A2535" s="15">
        <v>2012312.0</v>
      </c>
      <c r="B2535" s="15" t="s">
        <v>177</v>
      </c>
      <c r="C2535" s="15" t="s">
        <v>269</v>
      </c>
    </row>
    <row r="2536" ht="22.5" customHeight="1">
      <c r="A2536" s="15">
        <v>2012313.0</v>
      </c>
      <c r="B2536" s="15" t="s">
        <v>183</v>
      </c>
      <c r="C2536" s="15" t="s">
        <v>183</v>
      </c>
    </row>
    <row r="2537" ht="22.5" customHeight="1">
      <c r="A2537" s="15">
        <v>2012314.0</v>
      </c>
      <c r="B2537" s="15" t="s">
        <v>183</v>
      </c>
      <c r="C2537" s="15" t="s">
        <v>183</v>
      </c>
    </row>
    <row r="2538" ht="22.5" customHeight="1">
      <c r="A2538" s="15">
        <v>2012315.0</v>
      </c>
      <c r="B2538" s="15" t="s">
        <v>183</v>
      </c>
      <c r="C2538" s="15" t="s">
        <v>183</v>
      </c>
    </row>
    <row r="2539" ht="22.5" customHeight="1">
      <c r="A2539" s="15">
        <v>2012316.0</v>
      </c>
      <c r="B2539" s="15" t="s">
        <v>183</v>
      </c>
      <c r="C2539" s="15" t="s">
        <v>183</v>
      </c>
    </row>
    <row r="2540" ht="22.5" customHeight="1">
      <c r="A2540" s="15">
        <v>2012317.0</v>
      </c>
      <c r="B2540" s="15" t="s">
        <v>183</v>
      </c>
      <c r="C2540" s="15" t="s">
        <v>183</v>
      </c>
    </row>
    <row r="2541" ht="22.5" customHeight="1">
      <c r="A2541" s="15">
        <v>2012318.0</v>
      </c>
      <c r="B2541" s="15" t="s">
        <v>183</v>
      </c>
      <c r="C2541" s="15" t="s">
        <v>183</v>
      </c>
    </row>
    <row r="2542" ht="22.5" customHeight="1">
      <c r="A2542" s="15">
        <v>2012319.0</v>
      </c>
      <c r="B2542" s="15" t="s">
        <v>183</v>
      </c>
      <c r="C2542" s="15" t="s">
        <v>183</v>
      </c>
    </row>
    <row r="2543" ht="22.5" customHeight="1">
      <c r="A2543" s="15">
        <v>2012320.0</v>
      </c>
      <c r="B2543" s="15" t="s">
        <v>183</v>
      </c>
      <c r="C2543" s="15" t="s">
        <v>183</v>
      </c>
    </row>
    <row r="2544" ht="22.5" customHeight="1">
      <c r="A2544" s="15">
        <v>2012321.0</v>
      </c>
      <c r="B2544" s="15" t="s">
        <v>183</v>
      </c>
      <c r="C2544" s="15" t="s">
        <v>183</v>
      </c>
    </row>
    <row r="2545" ht="22.5" customHeight="1">
      <c r="A2545" s="15">
        <v>2012322.0</v>
      </c>
      <c r="B2545" s="15" t="s">
        <v>177</v>
      </c>
      <c r="C2545" s="15" t="s">
        <v>269</v>
      </c>
    </row>
    <row r="2546" ht="22.5" customHeight="1">
      <c r="A2546" s="15">
        <v>2013000.0</v>
      </c>
      <c r="B2546" s="15" t="s">
        <v>166</v>
      </c>
      <c r="C2546" s="15" t="s">
        <v>258</v>
      </c>
    </row>
    <row r="2547" ht="22.5" customHeight="1">
      <c r="A2547" s="15">
        <v>2013001.0</v>
      </c>
      <c r="B2547" s="15" t="s">
        <v>167</v>
      </c>
      <c r="C2547" s="15" t="s">
        <v>259</v>
      </c>
    </row>
    <row r="2548" ht="22.5" customHeight="1">
      <c r="A2548" s="15">
        <v>2013002.0</v>
      </c>
      <c r="B2548" s="15" t="s">
        <v>168</v>
      </c>
      <c r="C2548" s="15" t="s">
        <v>260</v>
      </c>
    </row>
    <row r="2549" ht="22.5" customHeight="1">
      <c r="A2549" s="15">
        <v>2013003.0</v>
      </c>
      <c r="B2549" s="15" t="s">
        <v>183</v>
      </c>
      <c r="C2549" s="15" t="s">
        <v>183</v>
      </c>
    </row>
    <row r="2550" ht="22.5" customHeight="1">
      <c r="A2550" s="15">
        <v>2013004.0</v>
      </c>
      <c r="B2550" s="15" t="s">
        <v>183</v>
      </c>
      <c r="C2550" s="15" t="s">
        <v>183</v>
      </c>
    </row>
    <row r="2551" ht="22.5" customHeight="1">
      <c r="A2551" s="15">
        <v>2013005.0</v>
      </c>
      <c r="B2551" s="15" t="s">
        <v>183</v>
      </c>
      <c r="C2551" s="15" t="s">
        <v>183</v>
      </c>
    </row>
    <row r="2552" ht="22.5" customHeight="1">
      <c r="A2552" s="15">
        <v>2013006.0</v>
      </c>
      <c r="B2552" s="15" t="s">
        <v>183</v>
      </c>
      <c r="C2552" s="15" t="s">
        <v>183</v>
      </c>
    </row>
    <row r="2553" ht="22.5" customHeight="1">
      <c r="A2553" s="15">
        <v>2013007.0</v>
      </c>
      <c r="B2553" s="15" t="s">
        <v>183</v>
      </c>
      <c r="C2553" s="15" t="s">
        <v>183</v>
      </c>
    </row>
    <row r="2554" ht="22.5" customHeight="1">
      <c r="A2554" s="15">
        <v>2013008.0</v>
      </c>
      <c r="B2554" s="15" t="s">
        <v>183</v>
      </c>
      <c r="C2554" s="15" t="s">
        <v>183</v>
      </c>
    </row>
    <row r="2555" ht="22.5" customHeight="1">
      <c r="A2555" s="15">
        <v>2013009.0</v>
      </c>
      <c r="B2555" s="15" t="s">
        <v>183</v>
      </c>
      <c r="C2555" s="15" t="s">
        <v>183</v>
      </c>
    </row>
    <row r="2556" ht="22.5" customHeight="1">
      <c r="A2556" s="15">
        <v>2013010.0</v>
      </c>
      <c r="B2556" s="15" t="s">
        <v>166</v>
      </c>
      <c r="C2556" s="15" t="s">
        <v>258</v>
      </c>
    </row>
    <row r="2557" ht="22.5" customHeight="1">
      <c r="A2557" s="15">
        <v>2013011.0</v>
      </c>
      <c r="B2557" s="15" t="s">
        <v>167</v>
      </c>
      <c r="C2557" s="15" t="s">
        <v>259</v>
      </c>
    </row>
    <row r="2558" ht="22.5" customHeight="1">
      <c r="A2558" s="15">
        <v>2013012.0</v>
      </c>
      <c r="B2558" s="15" t="s">
        <v>168</v>
      </c>
      <c r="C2558" s="15" t="s">
        <v>260</v>
      </c>
    </row>
    <row r="2559" ht="22.5" customHeight="1">
      <c r="A2559" s="15">
        <v>2013013.0</v>
      </c>
      <c r="B2559" s="15" t="s">
        <v>183</v>
      </c>
      <c r="C2559" s="15" t="s">
        <v>183</v>
      </c>
    </row>
    <row r="2560" ht="22.5" customHeight="1">
      <c r="A2560" s="15">
        <v>2013014.0</v>
      </c>
      <c r="B2560" s="15" t="s">
        <v>183</v>
      </c>
      <c r="C2560" s="15" t="s">
        <v>183</v>
      </c>
    </row>
    <row r="2561" ht="22.5" customHeight="1">
      <c r="A2561" s="15">
        <v>2013015.0</v>
      </c>
      <c r="B2561" s="15" t="s">
        <v>183</v>
      </c>
      <c r="C2561" s="15" t="s">
        <v>183</v>
      </c>
    </row>
    <row r="2562" ht="22.5" customHeight="1">
      <c r="A2562" s="15">
        <v>2013016.0</v>
      </c>
      <c r="B2562" s="15" t="s">
        <v>183</v>
      </c>
      <c r="C2562" s="15" t="s">
        <v>183</v>
      </c>
    </row>
    <row r="2563" ht="22.5" customHeight="1">
      <c r="A2563" s="15">
        <v>2013017.0</v>
      </c>
      <c r="B2563" s="15" t="s">
        <v>183</v>
      </c>
      <c r="C2563" s="15" t="s">
        <v>183</v>
      </c>
    </row>
    <row r="2564" ht="22.5" customHeight="1">
      <c r="A2564" s="15">
        <v>2013018.0</v>
      </c>
      <c r="B2564" s="15" t="s">
        <v>183</v>
      </c>
      <c r="C2564" s="15" t="s">
        <v>183</v>
      </c>
    </row>
    <row r="2565" ht="22.5" customHeight="1">
      <c r="A2565" s="15">
        <v>2013019.0</v>
      </c>
      <c r="B2565" s="15" t="s">
        <v>183</v>
      </c>
      <c r="C2565" s="15" t="s">
        <v>183</v>
      </c>
    </row>
    <row r="2566" ht="22.5" customHeight="1">
      <c r="A2566" s="15">
        <v>2013020.0</v>
      </c>
      <c r="B2566" s="15" t="s">
        <v>166</v>
      </c>
      <c r="C2566" s="15" t="s">
        <v>258</v>
      </c>
    </row>
    <row r="2567" ht="22.5" customHeight="1">
      <c r="A2567" s="15">
        <v>2013021.0</v>
      </c>
      <c r="B2567" s="15" t="s">
        <v>167</v>
      </c>
      <c r="C2567" s="15" t="s">
        <v>259</v>
      </c>
    </row>
    <row r="2568" ht="22.5" customHeight="1">
      <c r="A2568" s="15">
        <v>2013022.0</v>
      </c>
      <c r="B2568" s="15" t="s">
        <v>168</v>
      </c>
      <c r="C2568" s="15" t="s">
        <v>260</v>
      </c>
    </row>
    <row r="2569" ht="22.5" customHeight="1">
      <c r="A2569" s="15">
        <v>2013100.0</v>
      </c>
      <c r="B2569" s="15" t="s">
        <v>169</v>
      </c>
      <c r="C2569" s="15" t="s">
        <v>261</v>
      </c>
    </row>
    <row r="2570" ht="22.5" customHeight="1">
      <c r="A2570" s="15">
        <v>2013101.0</v>
      </c>
      <c r="B2570" s="15" t="s">
        <v>170</v>
      </c>
      <c r="C2570" s="15" t="s">
        <v>262</v>
      </c>
    </row>
    <row r="2571" ht="22.5" customHeight="1">
      <c r="A2571" s="15">
        <v>2013102.0</v>
      </c>
      <c r="B2571" s="15" t="s">
        <v>171</v>
      </c>
      <c r="C2571" s="15" t="s">
        <v>263</v>
      </c>
    </row>
    <row r="2572" ht="22.5" customHeight="1">
      <c r="A2572" s="15">
        <v>2013103.0</v>
      </c>
      <c r="B2572" s="15" t="s">
        <v>183</v>
      </c>
      <c r="C2572" s="15" t="s">
        <v>183</v>
      </c>
    </row>
    <row r="2573" ht="22.5" customHeight="1">
      <c r="A2573" s="15">
        <v>2013104.0</v>
      </c>
      <c r="B2573" s="15" t="s">
        <v>183</v>
      </c>
      <c r="C2573" s="15" t="s">
        <v>183</v>
      </c>
    </row>
    <row r="2574" ht="22.5" customHeight="1">
      <c r="A2574" s="15">
        <v>2013105.0</v>
      </c>
      <c r="B2574" s="15" t="s">
        <v>183</v>
      </c>
      <c r="C2574" s="15" t="s">
        <v>183</v>
      </c>
    </row>
    <row r="2575" ht="22.5" customHeight="1">
      <c r="A2575" s="15">
        <v>2013106.0</v>
      </c>
      <c r="B2575" s="15" t="s">
        <v>183</v>
      </c>
      <c r="C2575" s="15" t="s">
        <v>183</v>
      </c>
    </row>
    <row r="2576" ht="22.5" customHeight="1">
      <c r="A2576" s="15">
        <v>2013107.0</v>
      </c>
      <c r="B2576" s="15" t="s">
        <v>183</v>
      </c>
      <c r="C2576" s="15" t="s">
        <v>183</v>
      </c>
    </row>
    <row r="2577" ht="22.5" customHeight="1">
      <c r="A2577" s="15">
        <v>2013108.0</v>
      </c>
      <c r="B2577" s="15" t="s">
        <v>183</v>
      </c>
      <c r="C2577" s="15" t="s">
        <v>183</v>
      </c>
    </row>
    <row r="2578" ht="22.5" customHeight="1">
      <c r="A2578" s="15">
        <v>2013109.0</v>
      </c>
      <c r="B2578" s="15" t="s">
        <v>183</v>
      </c>
      <c r="C2578" s="15" t="s">
        <v>183</v>
      </c>
    </row>
    <row r="2579" ht="22.5" customHeight="1">
      <c r="A2579" s="15">
        <v>2013110.0</v>
      </c>
      <c r="B2579" s="15" t="s">
        <v>169</v>
      </c>
      <c r="C2579" s="15" t="s">
        <v>261</v>
      </c>
    </row>
    <row r="2580" ht="22.5" customHeight="1">
      <c r="A2580" s="15">
        <v>2013111.0</v>
      </c>
      <c r="B2580" s="15" t="s">
        <v>170</v>
      </c>
      <c r="C2580" s="15" t="s">
        <v>262</v>
      </c>
    </row>
    <row r="2581" ht="22.5" customHeight="1">
      <c r="A2581" s="15">
        <v>2013112.0</v>
      </c>
      <c r="B2581" s="15" t="s">
        <v>171</v>
      </c>
      <c r="C2581" s="15" t="s">
        <v>263</v>
      </c>
    </row>
    <row r="2582" ht="22.5" customHeight="1">
      <c r="A2582" s="15">
        <v>2013113.0</v>
      </c>
      <c r="B2582" s="15" t="s">
        <v>183</v>
      </c>
      <c r="C2582" s="15" t="s">
        <v>183</v>
      </c>
    </row>
    <row r="2583" ht="22.5" customHeight="1">
      <c r="A2583" s="15">
        <v>2013114.0</v>
      </c>
      <c r="B2583" s="15" t="s">
        <v>183</v>
      </c>
      <c r="C2583" s="15" t="s">
        <v>183</v>
      </c>
    </row>
    <row r="2584" ht="22.5" customHeight="1">
      <c r="A2584" s="15">
        <v>2013115.0</v>
      </c>
      <c r="B2584" s="15" t="s">
        <v>183</v>
      </c>
      <c r="C2584" s="15" t="s">
        <v>183</v>
      </c>
    </row>
    <row r="2585" ht="22.5" customHeight="1">
      <c r="A2585" s="15">
        <v>2013116.0</v>
      </c>
      <c r="B2585" s="15" t="s">
        <v>183</v>
      </c>
      <c r="C2585" s="15" t="s">
        <v>183</v>
      </c>
    </row>
    <row r="2586" ht="22.5" customHeight="1">
      <c r="A2586" s="15">
        <v>2013117.0</v>
      </c>
      <c r="B2586" s="15" t="s">
        <v>183</v>
      </c>
      <c r="C2586" s="15" t="s">
        <v>183</v>
      </c>
    </row>
    <row r="2587" ht="22.5" customHeight="1">
      <c r="A2587" s="15">
        <v>2013118.0</v>
      </c>
      <c r="B2587" s="15" t="s">
        <v>183</v>
      </c>
      <c r="C2587" s="15" t="s">
        <v>183</v>
      </c>
    </row>
    <row r="2588" ht="22.5" customHeight="1">
      <c r="A2588" s="15">
        <v>2013119.0</v>
      </c>
      <c r="B2588" s="15" t="s">
        <v>183</v>
      </c>
      <c r="C2588" s="15" t="s">
        <v>183</v>
      </c>
    </row>
    <row r="2589" ht="22.5" customHeight="1">
      <c r="A2589" s="15">
        <v>2013120.0</v>
      </c>
      <c r="B2589" s="15" t="s">
        <v>169</v>
      </c>
      <c r="C2589" s="15" t="s">
        <v>261</v>
      </c>
    </row>
    <row r="2590" ht="22.5" customHeight="1">
      <c r="A2590" s="15">
        <v>2013121.0</v>
      </c>
      <c r="B2590" s="15" t="s">
        <v>170</v>
      </c>
      <c r="C2590" s="15" t="s">
        <v>262</v>
      </c>
    </row>
    <row r="2591" ht="22.5" customHeight="1">
      <c r="A2591" s="15">
        <v>2013122.0</v>
      </c>
      <c r="B2591" s="15" t="s">
        <v>171</v>
      </c>
      <c r="C2591" s="15" t="s">
        <v>263</v>
      </c>
    </row>
    <row r="2592" ht="22.5" customHeight="1">
      <c r="A2592" s="15">
        <v>2013200.0</v>
      </c>
      <c r="B2592" s="15" t="s">
        <v>172</v>
      </c>
      <c r="C2592" s="15" t="s">
        <v>264</v>
      </c>
    </row>
    <row r="2593" ht="22.5" customHeight="1">
      <c r="A2593" s="15">
        <v>2013201.0</v>
      </c>
      <c r="B2593" s="15" t="s">
        <v>173</v>
      </c>
      <c r="C2593" s="15" t="s">
        <v>265</v>
      </c>
    </row>
    <row r="2594" ht="22.5" customHeight="1">
      <c r="A2594" s="15">
        <v>2013202.0</v>
      </c>
      <c r="B2594" s="15" t="s">
        <v>174</v>
      </c>
      <c r="C2594" s="15" t="s">
        <v>266</v>
      </c>
    </row>
    <row r="2595" ht="22.5" customHeight="1">
      <c r="A2595" s="15">
        <v>2013203.0</v>
      </c>
      <c r="B2595" s="15" t="s">
        <v>183</v>
      </c>
      <c r="C2595" s="15" t="s">
        <v>183</v>
      </c>
    </row>
    <row r="2596" ht="22.5" customHeight="1">
      <c r="A2596" s="15">
        <v>2013204.0</v>
      </c>
      <c r="B2596" s="15" t="s">
        <v>183</v>
      </c>
      <c r="C2596" s="15" t="s">
        <v>183</v>
      </c>
    </row>
    <row r="2597" ht="22.5" customHeight="1">
      <c r="A2597" s="15">
        <v>2013205.0</v>
      </c>
      <c r="B2597" s="15" t="s">
        <v>183</v>
      </c>
      <c r="C2597" s="15" t="s">
        <v>183</v>
      </c>
    </row>
    <row r="2598" ht="22.5" customHeight="1">
      <c r="A2598" s="15">
        <v>2013206.0</v>
      </c>
      <c r="B2598" s="15" t="s">
        <v>183</v>
      </c>
      <c r="C2598" s="15" t="s">
        <v>183</v>
      </c>
    </row>
    <row r="2599" ht="22.5" customHeight="1">
      <c r="A2599" s="15">
        <v>2013207.0</v>
      </c>
      <c r="B2599" s="15" t="s">
        <v>183</v>
      </c>
      <c r="C2599" s="15" t="s">
        <v>183</v>
      </c>
    </row>
    <row r="2600" ht="22.5" customHeight="1">
      <c r="A2600" s="15">
        <v>2013208.0</v>
      </c>
      <c r="B2600" s="15" t="s">
        <v>183</v>
      </c>
      <c r="C2600" s="15" t="s">
        <v>183</v>
      </c>
    </row>
    <row r="2601" ht="22.5" customHeight="1">
      <c r="A2601" s="15">
        <v>2013209.0</v>
      </c>
      <c r="B2601" s="15" t="s">
        <v>183</v>
      </c>
      <c r="C2601" s="15" t="s">
        <v>183</v>
      </c>
    </row>
    <row r="2602" ht="22.5" customHeight="1">
      <c r="A2602" s="15">
        <v>2013210.0</v>
      </c>
      <c r="B2602" s="15" t="s">
        <v>172</v>
      </c>
      <c r="C2602" s="15" t="s">
        <v>264</v>
      </c>
    </row>
    <row r="2603" ht="22.5" customHeight="1">
      <c r="A2603" s="15">
        <v>2013211.0</v>
      </c>
      <c r="B2603" s="15" t="s">
        <v>173</v>
      </c>
      <c r="C2603" s="15" t="s">
        <v>265</v>
      </c>
    </row>
    <row r="2604" ht="22.5" customHeight="1">
      <c r="A2604" s="15">
        <v>2013212.0</v>
      </c>
      <c r="B2604" s="15" t="s">
        <v>174</v>
      </c>
      <c r="C2604" s="15" t="s">
        <v>266</v>
      </c>
    </row>
    <row r="2605" ht="22.5" customHeight="1">
      <c r="A2605" s="15">
        <v>2013213.0</v>
      </c>
      <c r="B2605" s="15" t="s">
        <v>183</v>
      </c>
      <c r="C2605" s="15" t="s">
        <v>183</v>
      </c>
    </row>
    <row r="2606" ht="22.5" customHeight="1">
      <c r="A2606" s="15">
        <v>2013214.0</v>
      </c>
      <c r="B2606" s="15" t="s">
        <v>183</v>
      </c>
      <c r="C2606" s="15" t="s">
        <v>183</v>
      </c>
    </row>
    <row r="2607" ht="22.5" customHeight="1">
      <c r="A2607" s="15">
        <v>2013215.0</v>
      </c>
      <c r="B2607" s="15" t="s">
        <v>183</v>
      </c>
      <c r="C2607" s="15" t="s">
        <v>183</v>
      </c>
    </row>
    <row r="2608" ht="22.5" customHeight="1">
      <c r="A2608" s="15">
        <v>2013216.0</v>
      </c>
      <c r="B2608" s="15" t="s">
        <v>183</v>
      </c>
      <c r="C2608" s="15" t="s">
        <v>183</v>
      </c>
    </row>
    <row r="2609" ht="22.5" customHeight="1">
      <c r="A2609" s="15">
        <v>2013217.0</v>
      </c>
      <c r="B2609" s="15" t="s">
        <v>183</v>
      </c>
      <c r="C2609" s="15" t="s">
        <v>183</v>
      </c>
    </row>
    <row r="2610" ht="22.5" customHeight="1">
      <c r="A2610" s="15">
        <v>2013218.0</v>
      </c>
      <c r="B2610" s="15" t="s">
        <v>183</v>
      </c>
      <c r="C2610" s="15" t="s">
        <v>183</v>
      </c>
    </row>
    <row r="2611" ht="22.5" customHeight="1">
      <c r="A2611" s="15">
        <v>2013219.0</v>
      </c>
      <c r="B2611" s="15" t="s">
        <v>183</v>
      </c>
      <c r="C2611" s="15" t="s">
        <v>183</v>
      </c>
    </row>
    <row r="2612" ht="22.5" customHeight="1">
      <c r="A2612" s="15">
        <v>2013220.0</v>
      </c>
      <c r="B2612" s="15" t="s">
        <v>172</v>
      </c>
      <c r="C2612" s="15" t="s">
        <v>264</v>
      </c>
    </row>
    <row r="2613" ht="22.5" customHeight="1">
      <c r="A2613" s="15">
        <v>2013221.0</v>
      </c>
      <c r="B2613" s="15" t="s">
        <v>173</v>
      </c>
      <c r="C2613" s="15" t="s">
        <v>265</v>
      </c>
    </row>
    <row r="2614" ht="22.5" customHeight="1">
      <c r="A2614" s="15">
        <v>2013222.0</v>
      </c>
      <c r="B2614" s="15" t="s">
        <v>174</v>
      </c>
      <c r="C2614" s="15" t="s">
        <v>266</v>
      </c>
    </row>
    <row r="2615" ht="22.5" customHeight="1">
      <c r="A2615" s="15">
        <v>2013300.0</v>
      </c>
      <c r="B2615" s="15" t="s">
        <v>175</v>
      </c>
      <c r="C2615" s="15" t="s">
        <v>267</v>
      </c>
    </row>
    <row r="2616" ht="22.5" customHeight="1">
      <c r="A2616" s="15">
        <v>2013301.0</v>
      </c>
      <c r="B2616" s="15" t="s">
        <v>176</v>
      </c>
      <c r="C2616" s="15" t="s">
        <v>268</v>
      </c>
    </row>
    <row r="2617" ht="22.5" customHeight="1">
      <c r="A2617" s="15">
        <v>2013302.0</v>
      </c>
      <c r="B2617" s="15" t="s">
        <v>177</v>
      </c>
      <c r="C2617" s="15" t="s">
        <v>269</v>
      </c>
    </row>
    <row r="2618" ht="22.5" customHeight="1">
      <c r="A2618" s="15">
        <v>2013303.0</v>
      </c>
      <c r="B2618" s="15" t="s">
        <v>183</v>
      </c>
      <c r="C2618" s="15" t="s">
        <v>183</v>
      </c>
    </row>
    <row r="2619" ht="22.5" customHeight="1">
      <c r="A2619" s="15">
        <v>2013304.0</v>
      </c>
      <c r="B2619" s="15" t="s">
        <v>183</v>
      </c>
      <c r="C2619" s="15" t="s">
        <v>183</v>
      </c>
    </row>
    <row r="2620" ht="22.5" customHeight="1">
      <c r="A2620" s="15">
        <v>2013305.0</v>
      </c>
      <c r="B2620" s="15" t="s">
        <v>183</v>
      </c>
      <c r="C2620" s="15" t="s">
        <v>183</v>
      </c>
    </row>
    <row r="2621" ht="22.5" customHeight="1">
      <c r="A2621" s="15">
        <v>2013306.0</v>
      </c>
      <c r="B2621" s="15" t="s">
        <v>183</v>
      </c>
      <c r="C2621" s="15" t="s">
        <v>183</v>
      </c>
    </row>
    <row r="2622" ht="22.5" customHeight="1">
      <c r="A2622" s="15">
        <v>2013307.0</v>
      </c>
      <c r="B2622" s="15" t="s">
        <v>183</v>
      </c>
      <c r="C2622" s="15" t="s">
        <v>183</v>
      </c>
    </row>
    <row r="2623" ht="22.5" customHeight="1">
      <c r="A2623" s="15">
        <v>2013308.0</v>
      </c>
      <c r="B2623" s="15" t="s">
        <v>183</v>
      </c>
      <c r="C2623" s="15" t="s">
        <v>183</v>
      </c>
    </row>
    <row r="2624" ht="22.5" customHeight="1">
      <c r="A2624" s="15">
        <v>2013309.0</v>
      </c>
      <c r="B2624" s="15" t="s">
        <v>183</v>
      </c>
      <c r="C2624" s="15" t="s">
        <v>183</v>
      </c>
    </row>
    <row r="2625" ht="22.5" customHeight="1">
      <c r="A2625" s="15">
        <v>2013310.0</v>
      </c>
      <c r="B2625" s="15" t="s">
        <v>175</v>
      </c>
      <c r="C2625" s="15" t="s">
        <v>267</v>
      </c>
    </row>
    <row r="2626" ht="22.5" customHeight="1">
      <c r="A2626" s="15">
        <v>2013311.0</v>
      </c>
      <c r="B2626" s="15" t="s">
        <v>176</v>
      </c>
      <c r="C2626" s="15" t="s">
        <v>268</v>
      </c>
    </row>
    <row r="2627" ht="22.5" customHeight="1">
      <c r="A2627" s="15">
        <v>2013312.0</v>
      </c>
      <c r="B2627" s="15" t="s">
        <v>177</v>
      </c>
      <c r="C2627" s="15" t="s">
        <v>269</v>
      </c>
    </row>
    <row r="2628" ht="22.5" customHeight="1">
      <c r="A2628" s="15">
        <v>2013313.0</v>
      </c>
      <c r="B2628" s="15" t="s">
        <v>183</v>
      </c>
      <c r="C2628" s="15" t="s">
        <v>183</v>
      </c>
    </row>
    <row r="2629" ht="22.5" customHeight="1">
      <c r="A2629" s="15">
        <v>2013314.0</v>
      </c>
      <c r="B2629" s="15" t="s">
        <v>183</v>
      </c>
      <c r="C2629" s="15" t="s">
        <v>183</v>
      </c>
    </row>
    <row r="2630" ht="22.5" customHeight="1">
      <c r="A2630" s="15">
        <v>2013315.0</v>
      </c>
      <c r="B2630" s="15" t="s">
        <v>183</v>
      </c>
      <c r="C2630" s="15" t="s">
        <v>183</v>
      </c>
    </row>
    <row r="2631" ht="22.5" customHeight="1">
      <c r="A2631" s="15">
        <v>2013316.0</v>
      </c>
      <c r="B2631" s="15" t="s">
        <v>183</v>
      </c>
      <c r="C2631" s="15" t="s">
        <v>183</v>
      </c>
    </row>
    <row r="2632" ht="22.5" customHeight="1">
      <c r="A2632" s="15">
        <v>2013317.0</v>
      </c>
      <c r="B2632" s="15" t="s">
        <v>183</v>
      </c>
      <c r="C2632" s="15" t="s">
        <v>183</v>
      </c>
    </row>
    <row r="2633" ht="22.5" customHeight="1">
      <c r="A2633" s="15">
        <v>2013318.0</v>
      </c>
      <c r="B2633" s="15" t="s">
        <v>183</v>
      </c>
      <c r="C2633" s="15" t="s">
        <v>183</v>
      </c>
    </row>
    <row r="2634" ht="22.5" customHeight="1">
      <c r="A2634" s="15">
        <v>2013319.0</v>
      </c>
      <c r="B2634" s="15" t="s">
        <v>183</v>
      </c>
      <c r="C2634" s="15" t="s">
        <v>183</v>
      </c>
    </row>
    <row r="2635" ht="22.5" customHeight="1">
      <c r="A2635" s="15">
        <v>2013320.0</v>
      </c>
      <c r="B2635" s="15" t="s">
        <v>175</v>
      </c>
      <c r="C2635" s="15" t="s">
        <v>267</v>
      </c>
    </row>
    <row r="2636" ht="22.5" customHeight="1">
      <c r="A2636" s="15">
        <v>2013321.0</v>
      </c>
      <c r="B2636" s="15" t="s">
        <v>176</v>
      </c>
      <c r="C2636" s="15" t="s">
        <v>268</v>
      </c>
    </row>
    <row r="2637" ht="22.5" customHeight="1">
      <c r="A2637" s="15">
        <v>2013322.0</v>
      </c>
      <c r="B2637" s="15" t="s">
        <v>177</v>
      </c>
      <c r="C2637" s="15" t="s">
        <v>269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66.88"/>
    <col customWidth="1" min="3" max="3" width="19.63"/>
  </cols>
  <sheetData>
    <row r="1">
      <c r="A1" s="26" t="s">
        <v>1</v>
      </c>
      <c r="B1" s="26" t="s">
        <v>0</v>
      </c>
      <c r="C1" s="26" t="s">
        <v>9</v>
      </c>
    </row>
    <row r="2">
      <c r="A2" s="17">
        <v>1.0</v>
      </c>
      <c r="B2" s="17" t="s">
        <v>183</v>
      </c>
      <c r="C2" s="17" t="s">
        <v>183</v>
      </c>
    </row>
    <row r="3">
      <c r="A3" s="17">
        <v>2.0</v>
      </c>
      <c r="B3" s="17" t="s">
        <v>183</v>
      </c>
      <c r="C3" s="17" t="s">
        <v>183</v>
      </c>
    </row>
    <row r="4">
      <c r="A4" s="17">
        <v>3.0</v>
      </c>
      <c r="B4" s="17" t="s">
        <v>183</v>
      </c>
      <c r="C4" s="17" t="s">
        <v>183</v>
      </c>
    </row>
    <row r="5">
      <c r="A5" s="17">
        <v>100.0</v>
      </c>
      <c r="B5" s="17" t="s">
        <v>183</v>
      </c>
      <c r="C5" s="17" t="s">
        <v>183</v>
      </c>
    </row>
    <row r="6">
      <c r="A6" s="17">
        <v>310000.0</v>
      </c>
      <c r="B6" s="17" t="s">
        <v>270</v>
      </c>
      <c r="C6" s="17" t="s">
        <v>271</v>
      </c>
    </row>
    <row r="7">
      <c r="A7" s="17">
        <v>310100.0</v>
      </c>
      <c r="B7" s="17" t="s">
        <v>272</v>
      </c>
      <c r="C7" s="17" t="s">
        <v>273</v>
      </c>
    </row>
    <row r="8">
      <c r="A8" s="17">
        <v>310200.0</v>
      </c>
      <c r="B8" s="17" t="s">
        <v>274</v>
      </c>
      <c r="C8" s="17" t="s">
        <v>275</v>
      </c>
    </row>
    <row r="9">
      <c r="A9" s="17">
        <v>310400.0</v>
      </c>
      <c r="B9" s="17" t="s">
        <v>270</v>
      </c>
      <c r="C9" s="17" t="s">
        <v>271</v>
      </c>
    </row>
    <row r="10">
      <c r="A10" s="17">
        <v>310401.0</v>
      </c>
      <c r="B10" s="17" t="s">
        <v>274</v>
      </c>
      <c r="C10" s="17" t="s">
        <v>275</v>
      </c>
    </row>
    <row r="11">
      <c r="A11" s="17">
        <v>311000.0</v>
      </c>
      <c r="B11" s="17" t="s">
        <v>276</v>
      </c>
      <c r="C11" s="17" t="s">
        <v>277</v>
      </c>
    </row>
    <row r="12">
      <c r="A12" s="17">
        <v>311100.0</v>
      </c>
      <c r="B12" s="17" t="s">
        <v>278</v>
      </c>
      <c r="C12" s="17" t="s">
        <v>279</v>
      </c>
    </row>
    <row r="13">
      <c r="A13" s="17">
        <v>311500.0</v>
      </c>
      <c r="B13" s="17" t="s">
        <v>280</v>
      </c>
      <c r="C13" s="17" t="s">
        <v>281</v>
      </c>
    </row>
    <row r="14">
      <c r="A14" s="17">
        <v>311600.0</v>
      </c>
      <c r="B14" s="17" t="s">
        <v>282</v>
      </c>
      <c r="C14" s="17" t="s">
        <v>283</v>
      </c>
    </row>
    <row r="15">
      <c r="A15" s="17">
        <v>311601.0</v>
      </c>
      <c r="B15" s="17" t="s">
        <v>284</v>
      </c>
      <c r="C15" s="17" t="s">
        <v>285</v>
      </c>
    </row>
    <row r="16">
      <c r="A16" s="17">
        <v>311700.0</v>
      </c>
      <c r="B16" s="17" t="s">
        <v>286</v>
      </c>
      <c r="C16" s="17" t="s">
        <v>287</v>
      </c>
    </row>
    <row r="17">
      <c r="A17" s="17">
        <v>311701.0</v>
      </c>
      <c r="B17" s="17" t="s">
        <v>288</v>
      </c>
      <c r="C17" s="17" t="s">
        <v>289</v>
      </c>
    </row>
    <row r="18">
      <c r="A18" s="17">
        <v>311800.0</v>
      </c>
      <c r="B18" s="17" t="s">
        <v>290</v>
      </c>
      <c r="C18" s="17" t="s">
        <v>291</v>
      </c>
    </row>
    <row r="19">
      <c r="A19" s="17">
        <v>311801.0</v>
      </c>
      <c r="B19" s="17" t="s">
        <v>292</v>
      </c>
      <c r="C19" s="17" t="s">
        <v>293</v>
      </c>
    </row>
    <row r="20">
      <c r="A20" s="17">
        <v>311900.0</v>
      </c>
      <c r="B20" s="17" t="s">
        <v>294</v>
      </c>
      <c r="C20" s="17" t="s">
        <v>295</v>
      </c>
    </row>
    <row r="21">
      <c r="A21" s="17">
        <v>312000.0</v>
      </c>
      <c r="B21" s="17" t="s">
        <v>296</v>
      </c>
      <c r="C21" s="17" t="s">
        <v>297</v>
      </c>
    </row>
    <row r="22">
      <c r="A22" s="17">
        <v>312001.0</v>
      </c>
      <c r="B22" s="17" t="s">
        <v>298</v>
      </c>
      <c r="C22" s="17" t="s">
        <v>299</v>
      </c>
    </row>
    <row r="23">
      <c r="A23" s="17">
        <v>312002.0</v>
      </c>
      <c r="B23" s="17" t="s">
        <v>300</v>
      </c>
      <c r="C23" s="17" t="s">
        <v>301</v>
      </c>
    </row>
    <row r="24">
      <c r="A24" s="17">
        <v>312100.0</v>
      </c>
      <c r="B24" s="17" t="s">
        <v>302</v>
      </c>
      <c r="C24" s="17" t="s">
        <v>303</v>
      </c>
    </row>
    <row r="25">
      <c r="A25" s="17">
        <v>312300.0</v>
      </c>
      <c r="B25" s="17" t="s">
        <v>304</v>
      </c>
      <c r="C25" s="17" t="s">
        <v>305</v>
      </c>
    </row>
    <row r="26">
      <c r="A26" s="17">
        <v>312500.0</v>
      </c>
      <c r="B26" s="17" t="s">
        <v>306</v>
      </c>
      <c r="C26" s="17" t="s">
        <v>307</v>
      </c>
    </row>
    <row r="27">
      <c r="A27" s="17">
        <v>312501.0</v>
      </c>
      <c r="B27" s="17" t="s">
        <v>308</v>
      </c>
      <c r="C27" s="17" t="s">
        <v>309</v>
      </c>
    </row>
    <row r="28">
      <c r="A28" s="17">
        <v>320000.0</v>
      </c>
      <c r="B28" s="17" t="s">
        <v>310</v>
      </c>
      <c r="C28" s="17" t="s">
        <v>311</v>
      </c>
    </row>
    <row r="29">
      <c r="A29" s="17">
        <v>320001.0</v>
      </c>
      <c r="B29" s="17" t="s">
        <v>312</v>
      </c>
      <c r="C29" s="17" t="s">
        <v>313</v>
      </c>
    </row>
    <row r="30">
      <c r="A30" s="17">
        <v>320100.0</v>
      </c>
      <c r="B30" s="17" t="s">
        <v>314</v>
      </c>
      <c r="C30" s="17" t="s">
        <v>315</v>
      </c>
    </row>
    <row r="31">
      <c r="A31" s="17">
        <v>320101.0</v>
      </c>
      <c r="B31" s="17" t="s">
        <v>312</v>
      </c>
      <c r="C31" s="17" t="s">
        <v>313</v>
      </c>
    </row>
    <row r="32">
      <c r="A32" s="17">
        <v>320200.0</v>
      </c>
      <c r="B32" s="17" t="s">
        <v>316</v>
      </c>
      <c r="C32" s="17" t="s">
        <v>317</v>
      </c>
    </row>
    <row r="33">
      <c r="A33" s="17">
        <v>320201.0</v>
      </c>
      <c r="B33" s="17" t="s">
        <v>312</v>
      </c>
      <c r="C33" s="17" t="s">
        <v>313</v>
      </c>
    </row>
    <row r="34">
      <c r="A34" s="17">
        <v>320300.0</v>
      </c>
      <c r="B34" s="17" t="s">
        <v>318</v>
      </c>
      <c r="C34" s="17" t="s">
        <v>319</v>
      </c>
    </row>
    <row r="35">
      <c r="A35" s="17">
        <v>320301.0</v>
      </c>
      <c r="B35" s="17" t="s">
        <v>312</v>
      </c>
      <c r="C35" s="17" t="s">
        <v>313</v>
      </c>
    </row>
    <row r="36">
      <c r="A36" s="17">
        <v>320400.0</v>
      </c>
      <c r="B36" s="17" t="s">
        <v>320</v>
      </c>
      <c r="C36" s="17" t="s">
        <v>321</v>
      </c>
    </row>
    <row r="37">
      <c r="A37" s="17">
        <v>320500.0</v>
      </c>
      <c r="B37" s="17" t="s">
        <v>322</v>
      </c>
      <c r="C37" s="17" t="s">
        <v>323</v>
      </c>
    </row>
    <row r="38">
      <c r="A38" s="17">
        <v>320600.0</v>
      </c>
      <c r="B38" s="17" t="s">
        <v>324</v>
      </c>
      <c r="C38" s="17" t="s">
        <v>325</v>
      </c>
    </row>
    <row r="39">
      <c r="A39" s="17">
        <v>320700.0</v>
      </c>
      <c r="B39" s="17" t="s">
        <v>326</v>
      </c>
      <c r="C39" s="17" t="s">
        <v>327</v>
      </c>
    </row>
    <row r="40">
      <c r="A40" s="17">
        <v>320800.0</v>
      </c>
      <c r="B40" s="17" t="s">
        <v>308</v>
      </c>
      <c r="C40" s="17" t="s">
        <v>309</v>
      </c>
    </row>
    <row r="41">
      <c r="A41" s="17">
        <v>320900.0</v>
      </c>
      <c r="B41" s="17" t="s">
        <v>328</v>
      </c>
      <c r="C41" s="17" t="s">
        <v>329</v>
      </c>
    </row>
    <row r="42">
      <c r="A42" s="17">
        <v>321000.0</v>
      </c>
      <c r="B42" s="17" t="s">
        <v>330</v>
      </c>
      <c r="C42" s="17" t="s">
        <v>331</v>
      </c>
    </row>
    <row r="43">
      <c r="A43" s="17">
        <v>321200.0</v>
      </c>
      <c r="B43" s="17" t="s">
        <v>332</v>
      </c>
      <c r="C43" s="17" t="s">
        <v>333</v>
      </c>
    </row>
    <row r="44">
      <c r="A44" s="17">
        <v>321300.0</v>
      </c>
      <c r="B44" s="17" t="s">
        <v>334</v>
      </c>
      <c r="C44" s="17" t="s">
        <v>335</v>
      </c>
    </row>
    <row r="45">
      <c r="A45" s="17">
        <v>321500.0</v>
      </c>
      <c r="B45" s="17" t="s">
        <v>336</v>
      </c>
      <c r="C45" s="17" t="s">
        <v>337</v>
      </c>
    </row>
    <row r="46">
      <c r="A46" s="17">
        <v>321600.0</v>
      </c>
      <c r="B46" s="17" t="s">
        <v>338</v>
      </c>
      <c r="C46" s="17" t="s">
        <v>339</v>
      </c>
    </row>
    <row r="47">
      <c r="A47" s="17">
        <v>321700.0</v>
      </c>
      <c r="B47" s="17" t="s">
        <v>340</v>
      </c>
      <c r="C47" s="17" t="s">
        <v>341</v>
      </c>
    </row>
    <row r="48">
      <c r="A48" s="17">
        <v>321800.0</v>
      </c>
      <c r="B48" s="17" t="s">
        <v>342</v>
      </c>
      <c r="C48" s="17" t="s">
        <v>343</v>
      </c>
    </row>
    <row r="49">
      <c r="A49" s="17">
        <v>321900.0</v>
      </c>
      <c r="B49" s="17" t="s">
        <v>344</v>
      </c>
      <c r="C49" s="17" t="s">
        <v>345</v>
      </c>
    </row>
    <row r="50">
      <c r="A50" s="17">
        <v>322000.0</v>
      </c>
      <c r="B50" s="17" t="s">
        <v>346</v>
      </c>
      <c r="C50" s="17" t="s">
        <v>347</v>
      </c>
    </row>
    <row r="51">
      <c r="A51" s="17">
        <v>322100.0</v>
      </c>
      <c r="B51" s="17" t="s">
        <v>348</v>
      </c>
      <c r="C51" s="17" t="s">
        <v>349</v>
      </c>
    </row>
    <row r="52">
      <c r="A52" s="17">
        <v>322200.0</v>
      </c>
      <c r="B52" s="17" t="s">
        <v>350</v>
      </c>
      <c r="C52" s="17" t="s">
        <v>351</v>
      </c>
    </row>
    <row r="53">
      <c r="A53" s="17">
        <v>330000.0</v>
      </c>
      <c r="B53" s="17" t="s">
        <v>352</v>
      </c>
      <c r="C53" s="17" t="s">
        <v>353</v>
      </c>
    </row>
    <row r="54">
      <c r="A54" s="17">
        <v>330400.0</v>
      </c>
      <c r="B54" s="17" t="s">
        <v>354</v>
      </c>
      <c r="C54" s="17" t="s">
        <v>355</v>
      </c>
    </row>
    <row r="55">
      <c r="A55" s="17">
        <v>330600.0</v>
      </c>
      <c r="B55" s="17" t="s">
        <v>356</v>
      </c>
      <c r="C55" s="17" t="s">
        <v>357</v>
      </c>
    </row>
    <row r="56">
      <c r="A56" s="17">
        <v>330700.0</v>
      </c>
      <c r="B56" s="17" t="s">
        <v>358</v>
      </c>
      <c r="C56" s="17" t="s">
        <v>359</v>
      </c>
    </row>
    <row r="57">
      <c r="A57" s="17">
        <v>330800.0</v>
      </c>
      <c r="B57" s="17" t="s">
        <v>360</v>
      </c>
      <c r="C57" s="17" t="s">
        <v>361</v>
      </c>
    </row>
    <row r="58">
      <c r="A58" s="17">
        <v>330801.0</v>
      </c>
      <c r="B58" s="17" t="s">
        <v>362</v>
      </c>
      <c r="C58" s="17" t="s">
        <v>363</v>
      </c>
    </row>
    <row r="59">
      <c r="A59" s="17">
        <v>330900.0</v>
      </c>
      <c r="B59" s="17" t="s">
        <v>364</v>
      </c>
      <c r="C59" s="17" t="s">
        <v>365</v>
      </c>
    </row>
    <row r="60">
      <c r="A60" s="17">
        <v>340000.0</v>
      </c>
      <c r="B60" s="17" t="s">
        <v>366</v>
      </c>
      <c r="C60" s="17" t="s">
        <v>367</v>
      </c>
    </row>
    <row r="61">
      <c r="A61" s="17">
        <v>340100.0</v>
      </c>
      <c r="B61" s="17" t="s">
        <v>368</v>
      </c>
      <c r="C61" s="17" t="s">
        <v>369</v>
      </c>
    </row>
    <row r="62">
      <c r="A62" s="17">
        <v>340200.0</v>
      </c>
      <c r="B62" s="17" t="s">
        <v>370</v>
      </c>
      <c r="C62" s="17" t="s">
        <v>371</v>
      </c>
    </row>
    <row r="63">
      <c r="A63" s="17">
        <v>340300.0</v>
      </c>
      <c r="B63" s="17" t="s">
        <v>372</v>
      </c>
      <c r="C63" s="17" t="s">
        <v>373</v>
      </c>
    </row>
    <row r="64">
      <c r="A64" s="17">
        <v>340400.0</v>
      </c>
      <c r="B64" s="17" t="s">
        <v>374</v>
      </c>
      <c r="C64" s="17" t="s">
        <v>375</v>
      </c>
    </row>
    <row r="65">
      <c r="A65" s="17">
        <v>340500.0</v>
      </c>
      <c r="B65" s="17" t="s">
        <v>376</v>
      </c>
      <c r="C65" s="17" t="s">
        <v>377</v>
      </c>
    </row>
    <row r="66">
      <c r="A66" s="17">
        <v>340700.0</v>
      </c>
      <c r="B66" s="17" t="s">
        <v>378</v>
      </c>
      <c r="C66" s="17" t="s">
        <v>379</v>
      </c>
    </row>
    <row r="67">
      <c r="A67" s="17">
        <v>340701.0</v>
      </c>
      <c r="B67" s="17" t="s">
        <v>380</v>
      </c>
      <c r="C67" s="17" t="s">
        <v>381</v>
      </c>
    </row>
    <row r="68">
      <c r="A68" s="17">
        <v>340800.0</v>
      </c>
      <c r="B68" s="17" t="s">
        <v>382</v>
      </c>
      <c r="C68" s="17" t="s">
        <v>383</v>
      </c>
    </row>
    <row r="69">
      <c r="A69" s="17">
        <v>340900.0</v>
      </c>
      <c r="B69" s="17" t="s">
        <v>384</v>
      </c>
      <c r="C69" s="17" t="s">
        <v>385</v>
      </c>
    </row>
    <row r="70">
      <c r="A70" s="17">
        <v>341000.0</v>
      </c>
      <c r="B70" s="17" t="s">
        <v>386</v>
      </c>
      <c r="C70" s="17" t="s">
        <v>387</v>
      </c>
    </row>
    <row r="71">
      <c r="A71" s="17">
        <v>350000.0</v>
      </c>
      <c r="B71" s="17" t="s">
        <v>388</v>
      </c>
      <c r="C71" s="17" t="s">
        <v>389</v>
      </c>
    </row>
    <row r="72">
      <c r="A72" s="17">
        <v>350200.0</v>
      </c>
      <c r="B72" s="17" t="s">
        <v>390</v>
      </c>
      <c r="C72" s="17" t="s">
        <v>391</v>
      </c>
    </row>
    <row r="73">
      <c r="A73" s="17">
        <v>350300.0</v>
      </c>
      <c r="B73" s="17" t="s">
        <v>392</v>
      </c>
      <c r="C73" s="17" t="s">
        <v>393</v>
      </c>
    </row>
    <row r="74">
      <c r="A74" s="17">
        <v>350400.0</v>
      </c>
      <c r="B74" s="17" t="s">
        <v>394</v>
      </c>
      <c r="C74" s="17" t="s">
        <v>395</v>
      </c>
    </row>
    <row r="75">
      <c r="A75" s="17">
        <v>350500.0</v>
      </c>
      <c r="B75" s="17" t="s">
        <v>396</v>
      </c>
      <c r="C75" s="17" t="s">
        <v>397</v>
      </c>
    </row>
    <row r="76">
      <c r="A76" s="17">
        <v>350600.0</v>
      </c>
      <c r="B76" s="17" t="s">
        <v>398</v>
      </c>
      <c r="C76" s="17" t="s">
        <v>399</v>
      </c>
    </row>
    <row r="77">
      <c r="A77" s="17">
        <v>360200.0</v>
      </c>
      <c r="B77" s="17" t="s">
        <v>400</v>
      </c>
      <c r="C77" s="17" t="s">
        <v>401</v>
      </c>
    </row>
    <row r="78">
      <c r="A78" s="17">
        <v>360700.0</v>
      </c>
      <c r="B78" s="17" t="s">
        <v>402</v>
      </c>
      <c r="C78" s="17" t="s">
        <v>403</v>
      </c>
    </row>
    <row r="79">
      <c r="A79" s="17">
        <v>361100.0</v>
      </c>
      <c r="B79" s="17" t="s">
        <v>404</v>
      </c>
      <c r="C79" s="17" t="s">
        <v>405</v>
      </c>
    </row>
    <row r="80">
      <c r="A80" s="17">
        <v>370000.0</v>
      </c>
      <c r="B80" s="17" t="s">
        <v>276</v>
      </c>
      <c r="C80" s="17" t="s">
        <v>277</v>
      </c>
    </row>
    <row r="81">
      <c r="A81" s="17">
        <v>370001.0</v>
      </c>
      <c r="B81" s="17" t="s">
        <v>278</v>
      </c>
      <c r="C81" s="17" t="s">
        <v>279</v>
      </c>
    </row>
    <row r="82">
      <c r="A82" s="17">
        <v>370002.0</v>
      </c>
      <c r="B82" s="17" t="s">
        <v>406</v>
      </c>
      <c r="C82" s="17" t="s">
        <v>407</v>
      </c>
    </row>
    <row r="83">
      <c r="A83" s="17">
        <v>6000800.0</v>
      </c>
      <c r="B83" s="17" t="s">
        <v>408</v>
      </c>
      <c r="C83" s="17" t="s">
        <v>409</v>
      </c>
    </row>
    <row r="84">
      <c r="A84" s="17">
        <v>6000801.0</v>
      </c>
      <c r="B84" s="17" t="s">
        <v>410</v>
      </c>
      <c r="C84" s="17" t="s">
        <v>411</v>
      </c>
    </row>
    <row r="85">
      <c r="A85" s="17">
        <v>6000900.0</v>
      </c>
      <c r="B85" s="17" t="s">
        <v>412</v>
      </c>
      <c r="C85" s="17" t="s">
        <v>413</v>
      </c>
    </row>
    <row r="86">
      <c r="A86" s="17">
        <v>6000901.0</v>
      </c>
      <c r="B86" s="17" t="s">
        <v>414</v>
      </c>
      <c r="C86" s="17" t="s">
        <v>415</v>
      </c>
    </row>
    <row r="87">
      <c r="A87" s="17">
        <v>6001000.0</v>
      </c>
      <c r="B87" s="17" t="s">
        <v>416</v>
      </c>
      <c r="C87" s="17" t="s">
        <v>417</v>
      </c>
    </row>
    <row r="88">
      <c r="A88" s="17">
        <v>6001001.0</v>
      </c>
      <c r="B88" s="17" t="s">
        <v>418</v>
      </c>
      <c r="C88" s="17" t="s">
        <v>419</v>
      </c>
    </row>
    <row r="89">
      <c r="A89" s="17">
        <v>6001400.0</v>
      </c>
      <c r="B89" s="17" t="s">
        <v>420</v>
      </c>
      <c r="C89" s="17" t="s">
        <v>421</v>
      </c>
    </row>
    <row r="90">
      <c r="A90" s="17">
        <v>6001401.0</v>
      </c>
      <c r="B90" s="17" t="s">
        <v>183</v>
      </c>
      <c r="C90" s="17" t="s">
        <v>183</v>
      </c>
    </row>
    <row r="91">
      <c r="A91" s="17">
        <v>6001500.0</v>
      </c>
      <c r="B91" s="17" t="s">
        <v>422</v>
      </c>
      <c r="C91" s="17" t="s">
        <v>423</v>
      </c>
    </row>
    <row r="92">
      <c r="A92" s="17">
        <v>6001501.0</v>
      </c>
      <c r="B92" s="17" t="s">
        <v>424</v>
      </c>
      <c r="C92" s="17" t="s">
        <v>425</v>
      </c>
    </row>
    <row r="93">
      <c r="A93" s="17">
        <v>6001600.0</v>
      </c>
      <c r="B93" s="17" t="s">
        <v>426</v>
      </c>
      <c r="C93" s="17" t="s">
        <v>427</v>
      </c>
    </row>
    <row r="94">
      <c r="A94" s="17">
        <v>6001601.0</v>
      </c>
      <c r="B94" s="17" t="s">
        <v>428</v>
      </c>
      <c r="C94" s="17" t="s">
        <v>429</v>
      </c>
    </row>
    <row r="95">
      <c r="A95" s="17">
        <v>6001700.0</v>
      </c>
      <c r="B95" s="17" t="s">
        <v>430</v>
      </c>
      <c r="C95" s="17" t="s">
        <v>431</v>
      </c>
    </row>
    <row r="96">
      <c r="A96" s="17">
        <v>6001701.0</v>
      </c>
      <c r="B96" s="17" t="s">
        <v>432</v>
      </c>
      <c r="C96" s="17" t="s">
        <v>433</v>
      </c>
    </row>
    <row r="97">
      <c r="A97" s="17">
        <v>6001800.0</v>
      </c>
      <c r="B97" s="17" t="s">
        <v>434</v>
      </c>
      <c r="C97" s="17" t="s">
        <v>435</v>
      </c>
    </row>
    <row r="98">
      <c r="A98" s="17">
        <v>6001801.0</v>
      </c>
      <c r="B98" s="17" t="s">
        <v>436</v>
      </c>
      <c r="C98" s="17" t="s">
        <v>437</v>
      </c>
    </row>
    <row r="99">
      <c r="A99" s="17">
        <v>6002600.0</v>
      </c>
      <c r="B99" s="17" t="s">
        <v>438</v>
      </c>
      <c r="C99" s="17" t="s">
        <v>439</v>
      </c>
    </row>
    <row r="100">
      <c r="A100" s="17">
        <v>6002601.0</v>
      </c>
      <c r="B100" s="17" t="s">
        <v>440</v>
      </c>
      <c r="C100" s="17" t="s">
        <v>441</v>
      </c>
    </row>
    <row r="101">
      <c r="A101" s="17">
        <v>6002700.0</v>
      </c>
      <c r="B101" s="17" t="s">
        <v>442</v>
      </c>
      <c r="C101" s="17" t="s">
        <v>443</v>
      </c>
    </row>
    <row r="102">
      <c r="A102" s="17">
        <v>6002701.0</v>
      </c>
      <c r="B102" s="17" t="s">
        <v>444</v>
      </c>
      <c r="C102" s="17" t="s">
        <v>445</v>
      </c>
    </row>
    <row r="103">
      <c r="A103" s="17">
        <v>6002800.0</v>
      </c>
      <c r="B103" s="17" t="s">
        <v>446</v>
      </c>
      <c r="C103" s="17" t="s">
        <v>447</v>
      </c>
    </row>
    <row r="104">
      <c r="A104" s="17">
        <v>6002801.0</v>
      </c>
      <c r="B104" s="17" t="s">
        <v>448</v>
      </c>
      <c r="C104" s="17" t="s">
        <v>449</v>
      </c>
    </row>
    <row r="105">
      <c r="A105" s="17">
        <v>6002900.0</v>
      </c>
      <c r="B105" s="17" t="s">
        <v>450</v>
      </c>
      <c r="C105" s="17" t="s">
        <v>451</v>
      </c>
    </row>
    <row r="106">
      <c r="A106" s="17">
        <v>6002901.0</v>
      </c>
      <c r="B106" s="17" t="s">
        <v>452</v>
      </c>
      <c r="C106" s="17" t="s">
        <v>453</v>
      </c>
    </row>
    <row r="107">
      <c r="A107" s="17">
        <v>6003000.0</v>
      </c>
      <c r="B107" s="17" t="s">
        <v>454</v>
      </c>
      <c r="C107" s="17" t="s">
        <v>455</v>
      </c>
    </row>
    <row r="108">
      <c r="A108" s="17">
        <v>6003001.0</v>
      </c>
      <c r="B108" s="17" t="s">
        <v>456</v>
      </c>
      <c r="C108" s="17" t="s">
        <v>457</v>
      </c>
    </row>
    <row r="109">
      <c r="A109" s="17">
        <v>6003100.0</v>
      </c>
      <c r="B109" s="17" t="s">
        <v>458</v>
      </c>
      <c r="C109" s="17" t="s">
        <v>459</v>
      </c>
    </row>
    <row r="110">
      <c r="A110" s="17">
        <v>6003101.0</v>
      </c>
      <c r="B110" s="17" t="s">
        <v>460</v>
      </c>
      <c r="C110" s="17" t="s">
        <v>461</v>
      </c>
    </row>
    <row r="111">
      <c r="A111" s="17">
        <v>6003200.0</v>
      </c>
      <c r="B111" s="17" t="s">
        <v>462</v>
      </c>
      <c r="C111" s="17" t="s">
        <v>463</v>
      </c>
    </row>
    <row r="112">
      <c r="A112" s="17">
        <v>6003201.0</v>
      </c>
      <c r="B112" s="17" t="s">
        <v>464</v>
      </c>
      <c r="C112" s="17" t="s">
        <v>465</v>
      </c>
    </row>
    <row r="113">
      <c r="A113" s="17">
        <v>6003300.0</v>
      </c>
      <c r="B113" s="17" t="s">
        <v>466</v>
      </c>
      <c r="C113" s="17" t="s">
        <v>467</v>
      </c>
    </row>
    <row r="114">
      <c r="A114" s="17">
        <v>6003301.0</v>
      </c>
      <c r="B114" s="17" t="s">
        <v>468</v>
      </c>
      <c r="C114" s="17" t="s">
        <v>469</v>
      </c>
    </row>
    <row r="115">
      <c r="A115" s="17">
        <v>6003400.0</v>
      </c>
      <c r="B115" s="17" t="s">
        <v>470</v>
      </c>
      <c r="C115" s="17" t="s">
        <v>471</v>
      </c>
    </row>
    <row r="116">
      <c r="A116" s="17">
        <v>6003401.0</v>
      </c>
      <c r="B116" s="17" t="s">
        <v>472</v>
      </c>
      <c r="C116" s="17" t="s">
        <v>473</v>
      </c>
    </row>
    <row r="117">
      <c r="A117" s="17">
        <v>6003500.0</v>
      </c>
      <c r="B117" s="17" t="s">
        <v>474</v>
      </c>
      <c r="C117" s="17" t="s">
        <v>475</v>
      </c>
    </row>
    <row r="118">
      <c r="A118" s="17">
        <v>6003501.0</v>
      </c>
      <c r="B118" s="17" t="s">
        <v>476</v>
      </c>
      <c r="C118" s="17" t="s">
        <v>477</v>
      </c>
    </row>
    <row r="119">
      <c r="A119" s="17">
        <v>6003600.0</v>
      </c>
      <c r="B119" s="17" t="s">
        <v>478</v>
      </c>
      <c r="C119" s="17" t="s">
        <v>479</v>
      </c>
    </row>
    <row r="120">
      <c r="A120" s="17">
        <v>6003601.0</v>
      </c>
      <c r="B120" s="17" t="s">
        <v>480</v>
      </c>
      <c r="C120" s="17" t="s">
        <v>481</v>
      </c>
    </row>
    <row r="121">
      <c r="A121" s="17">
        <v>6005600.0</v>
      </c>
      <c r="B121" s="17" t="s">
        <v>482</v>
      </c>
      <c r="C121" s="17" t="s">
        <v>483</v>
      </c>
    </row>
    <row r="122">
      <c r="A122" s="17">
        <v>6005601.0</v>
      </c>
      <c r="B122" s="17" t="s">
        <v>484</v>
      </c>
      <c r="C122" s="17" t="s">
        <v>485</v>
      </c>
    </row>
    <row r="123">
      <c r="A123" s="17">
        <v>6006000.0</v>
      </c>
      <c r="B123" s="17" t="s">
        <v>486</v>
      </c>
      <c r="C123" s="17" t="s">
        <v>487</v>
      </c>
    </row>
    <row r="124">
      <c r="A124" s="17">
        <v>6006001.0</v>
      </c>
      <c r="B124" s="17" t="s">
        <v>488</v>
      </c>
      <c r="C124" s="17" t="s">
        <v>489</v>
      </c>
    </row>
    <row r="125">
      <c r="A125" s="17">
        <v>6006100.0</v>
      </c>
      <c r="B125" s="17" t="s">
        <v>490</v>
      </c>
      <c r="C125" s="17" t="s">
        <v>491</v>
      </c>
    </row>
    <row r="126">
      <c r="A126" s="17">
        <v>6006101.0</v>
      </c>
      <c r="B126" s="17" t="s">
        <v>492</v>
      </c>
      <c r="C126" s="17" t="s">
        <v>493</v>
      </c>
    </row>
    <row r="127">
      <c r="A127" s="17">
        <v>6012300.0</v>
      </c>
      <c r="B127" s="17" t="s">
        <v>494</v>
      </c>
      <c r="C127" s="17" t="s">
        <v>495</v>
      </c>
    </row>
    <row r="128">
      <c r="A128" s="17">
        <v>6012301.0</v>
      </c>
      <c r="B128" s="17" t="s">
        <v>496</v>
      </c>
      <c r="C128" s="17" t="s">
        <v>497</v>
      </c>
    </row>
    <row r="129">
      <c r="A129" s="17">
        <v>6030200.0</v>
      </c>
      <c r="B129" s="17" t="s">
        <v>498</v>
      </c>
      <c r="C129" s="17" t="s">
        <v>499</v>
      </c>
    </row>
    <row r="130">
      <c r="A130" s="17">
        <v>6030201.0</v>
      </c>
      <c r="B130" s="17" t="s">
        <v>500</v>
      </c>
      <c r="C130" s="17" t="s">
        <v>501</v>
      </c>
    </row>
    <row r="131">
      <c r="A131" s="17">
        <v>6030600.0</v>
      </c>
      <c r="B131" s="17" t="s">
        <v>502</v>
      </c>
      <c r="C131" s="17" t="s">
        <v>503</v>
      </c>
    </row>
    <row r="132">
      <c r="A132" s="17">
        <v>6030601.0</v>
      </c>
      <c r="B132" s="17" t="s">
        <v>504</v>
      </c>
      <c r="C132" s="17" t="s">
        <v>505</v>
      </c>
    </row>
    <row r="133">
      <c r="A133" s="17">
        <v>6030800.0</v>
      </c>
      <c r="B133" s="17" t="s">
        <v>506</v>
      </c>
      <c r="C133" s="17" t="s">
        <v>507</v>
      </c>
    </row>
    <row r="134">
      <c r="A134" s="17">
        <v>6030801.0</v>
      </c>
      <c r="B134" s="17" t="s">
        <v>508</v>
      </c>
      <c r="C134" s="17" t="s">
        <v>509</v>
      </c>
    </row>
    <row r="135">
      <c r="A135" s="17">
        <v>6030900.0</v>
      </c>
      <c r="B135" s="17" t="s">
        <v>510</v>
      </c>
      <c r="C135" s="17" t="s">
        <v>511</v>
      </c>
    </row>
    <row r="136">
      <c r="A136" s="17">
        <v>6030901.0</v>
      </c>
      <c r="B136" s="17" t="s">
        <v>512</v>
      </c>
      <c r="C136" s="17" t="s">
        <v>513</v>
      </c>
    </row>
    <row r="137">
      <c r="A137" s="17">
        <v>6031900.0</v>
      </c>
      <c r="B137" s="17" t="s">
        <v>514</v>
      </c>
      <c r="C137" s="17" t="s">
        <v>515</v>
      </c>
    </row>
    <row r="138">
      <c r="A138" s="17">
        <v>6031901.0</v>
      </c>
      <c r="B138" s="17" t="s">
        <v>516</v>
      </c>
      <c r="C138" s="17" t="s">
        <v>517</v>
      </c>
    </row>
    <row r="139">
      <c r="A139" s="17">
        <v>6032200.0</v>
      </c>
      <c r="B139" s="17" t="s">
        <v>518</v>
      </c>
      <c r="C139" s="17" t="s">
        <v>519</v>
      </c>
    </row>
    <row r="140">
      <c r="A140" s="17">
        <v>6032201.0</v>
      </c>
      <c r="B140" s="17" t="s">
        <v>520</v>
      </c>
      <c r="C140" s="17" t="s">
        <v>521</v>
      </c>
    </row>
    <row r="141">
      <c r="A141" s="17">
        <v>6035100.0</v>
      </c>
      <c r="B141" s="17" t="s">
        <v>522</v>
      </c>
      <c r="C141" s="17" t="s">
        <v>523</v>
      </c>
    </row>
    <row r="142">
      <c r="A142" s="17">
        <v>6035101.0</v>
      </c>
      <c r="B142" s="17" t="s">
        <v>524</v>
      </c>
      <c r="C142" s="17" t="s">
        <v>525</v>
      </c>
    </row>
    <row r="143">
      <c r="A143" s="17">
        <v>6040000.0</v>
      </c>
      <c r="B143" s="17" t="s">
        <v>526</v>
      </c>
      <c r="C143" s="17" t="s">
        <v>527</v>
      </c>
    </row>
    <row r="144">
      <c r="A144" s="17">
        <v>6040001.0</v>
      </c>
      <c r="B144" s="17" t="s">
        <v>528</v>
      </c>
      <c r="C144" s="17" t="s">
        <v>529</v>
      </c>
    </row>
    <row r="145">
      <c r="A145" s="17">
        <v>6040100.0</v>
      </c>
      <c r="B145" s="17" t="s">
        <v>530</v>
      </c>
      <c r="C145" s="17" t="s">
        <v>531</v>
      </c>
    </row>
    <row r="146">
      <c r="A146" s="17">
        <v>6040101.0</v>
      </c>
      <c r="B146" s="17" t="s">
        <v>532</v>
      </c>
      <c r="C146" s="17" t="s">
        <v>533</v>
      </c>
    </row>
    <row r="147">
      <c r="A147" s="17">
        <v>6040300.0</v>
      </c>
      <c r="B147" s="17" t="s">
        <v>534</v>
      </c>
      <c r="C147" s="17" t="s">
        <v>535</v>
      </c>
    </row>
    <row r="148">
      <c r="A148" s="17">
        <v>6040301.0</v>
      </c>
      <c r="B148" s="17" t="s">
        <v>536</v>
      </c>
      <c r="C148" s="17" t="s">
        <v>537</v>
      </c>
    </row>
    <row r="149">
      <c r="A149" s="17">
        <v>6040400.0</v>
      </c>
      <c r="B149" s="17" t="s">
        <v>538</v>
      </c>
      <c r="C149" s="17" t="s">
        <v>539</v>
      </c>
    </row>
    <row r="150">
      <c r="A150" s="17">
        <v>6040401.0</v>
      </c>
      <c r="B150" s="17" t="s">
        <v>540</v>
      </c>
      <c r="C150" s="17" t="s">
        <v>541</v>
      </c>
    </row>
    <row r="151">
      <c r="A151" s="17">
        <v>6040500.0</v>
      </c>
      <c r="B151" s="17" t="s">
        <v>542</v>
      </c>
      <c r="C151" s="17" t="s">
        <v>543</v>
      </c>
    </row>
    <row r="152">
      <c r="A152" s="17">
        <v>6040501.0</v>
      </c>
      <c r="B152" s="17" t="s">
        <v>544</v>
      </c>
      <c r="C152" s="17" t="s">
        <v>545</v>
      </c>
    </row>
    <row r="153">
      <c r="A153" s="17">
        <v>6043000.0</v>
      </c>
      <c r="B153" s="17" t="s">
        <v>546</v>
      </c>
      <c r="C153" s="17" t="s">
        <v>547</v>
      </c>
    </row>
    <row r="154">
      <c r="A154" s="17">
        <v>6043001.0</v>
      </c>
      <c r="B154" s="17" t="s">
        <v>548</v>
      </c>
      <c r="C154" s="17" t="s">
        <v>549</v>
      </c>
    </row>
    <row r="155">
      <c r="A155" s="17">
        <v>6043100.0</v>
      </c>
      <c r="B155" s="17" t="s">
        <v>550</v>
      </c>
      <c r="C155" s="17" t="s">
        <v>551</v>
      </c>
    </row>
    <row r="156">
      <c r="A156" s="17">
        <v>6043101.0</v>
      </c>
      <c r="B156" s="17" t="s">
        <v>552</v>
      </c>
      <c r="C156" s="17" t="s">
        <v>553</v>
      </c>
    </row>
    <row r="157">
      <c r="A157" s="17">
        <v>6060300.0</v>
      </c>
      <c r="B157" s="17" t="s">
        <v>554</v>
      </c>
      <c r="C157" s="17" t="s">
        <v>555</v>
      </c>
    </row>
    <row r="158">
      <c r="A158" s="17">
        <v>6060400.0</v>
      </c>
      <c r="B158" s="17" t="s">
        <v>556</v>
      </c>
      <c r="C158" s="17" t="s">
        <v>557</v>
      </c>
    </row>
    <row r="159">
      <c r="A159" s="17">
        <v>6060500.0</v>
      </c>
      <c r="B159" s="17" t="s">
        <v>558</v>
      </c>
      <c r="C159" s="17" t="s">
        <v>559</v>
      </c>
    </row>
    <row r="160">
      <c r="A160" s="17">
        <v>6060600.0</v>
      </c>
      <c r="B160" s="17" t="s">
        <v>560</v>
      </c>
      <c r="C160" s="17" t="s">
        <v>561</v>
      </c>
    </row>
    <row r="161">
      <c r="A161" s="17">
        <v>6090000.0</v>
      </c>
      <c r="B161" s="17" t="s">
        <v>562</v>
      </c>
      <c r="C161" s="17" t="s">
        <v>563</v>
      </c>
    </row>
    <row r="162">
      <c r="A162" s="17">
        <v>6090001.0</v>
      </c>
      <c r="B162" s="17" t="s">
        <v>564</v>
      </c>
      <c r="C162" s="17" t="s">
        <v>565</v>
      </c>
    </row>
    <row r="163">
      <c r="A163" s="17">
        <v>6160000.0</v>
      </c>
      <c r="B163" s="17" t="s">
        <v>566</v>
      </c>
      <c r="C163" s="17" t="s">
        <v>567</v>
      </c>
    </row>
    <row r="164">
      <c r="A164" s="17">
        <v>6160001.0</v>
      </c>
      <c r="B164" s="17" t="s">
        <v>568</v>
      </c>
      <c r="C164" s="17" t="s">
        <v>569</v>
      </c>
    </row>
    <row r="165">
      <c r="A165" s="17">
        <v>6260000.0</v>
      </c>
      <c r="B165" s="17" t="s">
        <v>570</v>
      </c>
      <c r="C165" s="17" t="s">
        <v>571</v>
      </c>
    </row>
    <row r="166">
      <c r="A166" s="17">
        <v>6260001.0</v>
      </c>
      <c r="B166" s="17" t="s">
        <v>572</v>
      </c>
      <c r="C166" s="17" t="s">
        <v>573</v>
      </c>
    </row>
    <row r="167">
      <c r="A167" s="17">
        <v>6260300.0</v>
      </c>
      <c r="B167" s="17" t="s">
        <v>574</v>
      </c>
      <c r="C167" s="17" t="s">
        <v>575</v>
      </c>
    </row>
    <row r="168">
      <c r="A168" s="17">
        <v>6260301.0</v>
      </c>
      <c r="B168" s="17" t="s">
        <v>576</v>
      </c>
      <c r="C168" s="17" t="s">
        <v>577</v>
      </c>
    </row>
    <row r="169">
      <c r="A169" s="17">
        <v>6260400.0</v>
      </c>
      <c r="B169" s="17" t="s">
        <v>578</v>
      </c>
      <c r="C169" s="17" t="s">
        <v>579</v>
      </c>
    </row>
    <row r="170">
      <c r="A170" s="17">
        <v>6260401.0</v>
      </c>
      <c r="B170" s="17" t="s">
        <v>580</v>
      </c>
      <c r="C170" s="17" t="s">
        <v>581</v>
      </c>
    </row>
    <row r="171">
      <c r="A171" s="17">
        <v>6500000.0</v>
      </c>
      <c r="B171" s="17" t="s">
        <v>582</v>
      </c>
      <c r="C171" s="17" t="s">
        <v>583</v>
      </c>
    </row>
    <row r="172">
      <c r="A172" s="17">
        <v>6500100.0</v>
      </c>
      <c r="B172" s="17" t="s">
        <v>584</v>
      </c>
      <c r="C172" s="17" t="s">
        <v>585</v>
      </c>
    </row>
    <row r="173">
      <c r="A173" s="17">
        <v>6500200.0</v>
      </c>
      <c r="B173" s="17" t="s">
        <v>586</v>
      </c>
      <c r="C173" s="17" t="s">
        <v>587</v>
      </c>
    </row>
    <row r="174">
      <c r="A174" s="17">
        <v>6500300.0</v>
      </c>
      <c r="B174" s="17" t="s">
        <v>588</v>
      </c>
      <c r="C174" s="17" t="s">
        <v>589</v>
      </c>
    </row>
    <row r="175">
      <c r="A175" s="17">
        <v>6500400.0</v>
      </c>
      <c r="B175" s="17" t="s">
        <v>590</v>
      </c>
      <c r="C175" s="17" t="s">
        <v>591</v>
      </c>
    </row>
    <row r="176">
      <c r="A176" s="17">
        <v>6500500.0</v>
      </c>
      <c r="B176" s="17" t="s">
        <v>592</v>
      </c>
      <c r="C176" s="17" t="s">
        <v>593</v>
      </c>
    </row>
    <row r="177">
      <c r="A177" s="17">
        <v>6500600.0</v>
      </c>
      <c r="B177" s="17" t="s">
        <v>594</v>
      </c>
      <c r="C177" s="17" t="s">
        <v>595</v>
      </c>
    </row>
    <row r="178">
      <c r="A178" s="17">
        <v>6500700.0</v>
      </c>
      <c r="B178" s="17" t="s">
        <v>596</v>
      </c>
      <c r="C178" s="17" t="s">
        <v>597</v>
      </c>
    </row>
    <row r="179">
      <c r="A179" s="17">
        <v>6500800.0</v>
      </c>
      <c r="B179" s="17" t="s">
        <v>598</v>
      </c>
      <c r="C179" s="17" t="s">
        <v>599</v>
      </c>
    </row>
    <row r="180">
      <c r="A180" s="17">
        <v>6500900.0</v>
      </c>
      <c r="B180" s="17" t="s">
        <v>600</v>
      </c>
      <c r="C180" s="17" t="s">
        <v>601</v>
      </c>
    </row>
    <row r="181">
      <c r="A181" s="17">
        <v>6600000.0</v>
      </c>
      <c r="B181" s="17" t="s">
        <v>602</v>
      </c>
      <c r="C181" s="17" t="s">
        <v>603</v>
      </c>
    </row>
    <row r="182">
      <c r="A182" s="17">
        <v>6600001.0</v>
      </c>
      <c r="B182" s="17" t="s">
        <v>604</v>
      </c>
      <c r="C182" s="17" t="s">
        <v>605</v>
      </c>
    </row>
    <row r="183">
      <c r="A183" s="17">
        <v>6600002.0</v>
      </c>
      <c r="B183" s="17" t="s">
        <v>606</v>
      </c>
      <c r="C183" s="17" t="s">
        <v>607</v>
      </c>
    </row>
    <row r="184">
      <c r="A184" s="17">
        <v>6600100.0</v>
      </c>
      <c r="B184" s="17" t="s">
        <v>608</v>
      </c>
      <c r="C184" s="17" t="s">
        <v>609</v>
      </c>
    </row>
    <row r="185">
      <c r="A185" s="17">
        <v>6600101.0</v>
      </c>
      <c r="B185" s="17" t="s">
        <v>610</v>
      </c>
      <c r="C185" s="17" t="s">
        <v>611</v>
      </c>
    </row>
    <row r="186">
      <c r="A186" s="17">
        <v>6600102.0</v>
      </c>
      <c r="B186" s="17" t="s">
        <v>612</v>
      </c>
      <c r="C186" s="17" t="s">
        <v>613</v>
      </c>
    </row>
    <row r="187">
      <c r="A187" s="17">
        <v>6610400.0</v>
      </c>
      <c r="B187" s="17" t="s">
        <v>614</v>
      </c>
      <c r="C187" s="17" t="s">
        <v>271</v>
      </c>
    </row>
    <row r="188">
      <c r="A188" s="17">
        <v>6610500.0</v>
      </c>
      <c r="B188" s="17" t="s">
        <v>615</v>
      </c>
      <c r="C188" s="17" t="s">
        <v>273</v>
      </c>
    </row>
    <row r="189">
      <c r="A189" s="17">
        <v>6610600.0</v>
      </c>
      <c r="B189" s="17" t="s">
        <v>616</v>
      </c>
      <c r="C189" s="17" t="s">
        <v>275</v>
      </c>
    </row>
    <row r="190">
      <c r="A190" s="17">
        <v>6610700.0</v>
      </c>
      <c r="B190" s="17" t="s">
        <v>617</v>
      </c>
      <c r="C190" s="17" t="s">
        <v>618</v>
      </c>
    </row>
    <row r="191">
      <c r="A191" s="17">
        <v>6610701.0</v>
      </c>
      <c r="B191" s="17" t="s">
        <v>619</v>
      </c>
      <c r="C191" s="17" t="s">
        <v>620</v>
      </c>
    </row>
    <row r="192">
      <c r="A192" s="17">
        <v>6610702.0</v>
      </c>
      <c r="B192" s="17" t="s">
        <v>621</v>
      </c>
      <c r="C192" s="17" t="s">
        <v>622</v>
      </c>
    </row>
    <row r="193">
      <c r="A193" s="17">
        <v>6610800.0</v>
      </c>
      <c r="B193" s="17" t="s">
        <v>623</v>
      </c>
      <c r="C193" s="17" t="s">
        <v>624</v>
      </c>
    </row>
    <row r="194">
      <c r="A194" s="17">
        <v>6610801.0</v>
      </c>
      <c r="B194" s="17" t="s">
        <v>625</v>
      </c>
      <c r="C194" s="17" t="s">
        <v>626</v>
      </c>
    </row>
    <row r="195">
      <c r="A195" s="17">
        <v>6610802.0</v>
      </c>
      <c r="B195" s="17" t="s">
        <v>627</v>
      </c>
      <c r="C195" s="17" t="s">
        <v>628</v>
      </c>
    </row>
    <row r="196">
      <c r="A196" s="17">
        <v>6611000.0</v>
      </c>
      <c r="B196" s="17" t="s">
        <v>366</v>
      </c>
      <c r="C196" s="17" t="s">
        <v>367</v>
      </c>
    </row>
    <row r="197">
      <c r="A197" s="17">
        <v>6611001.0</v>
      </c>
      <c r="B197" s="17" t="s">
        <v>629</v>
      </c>
      <c r="C197" s="17" t="s">
        <v>630</v>
      </c>
    </row>
    <row r="198">
      <c r="A198" s="17">
        <v>6611002.0</v>
      </c>
      <c r="B198" s="17" t="s">
        <v>631</v>
      </c>
      <c r="C198" s="17" t="s">
        <v>632</v>
      </c>
    </row>
    <row r="199">
      <c r="A199" s="17">
        <v>6611100.0</v>
      </c>
      <c r="B199" s="17" t="s">
        <v>376</v>
      </c>
      <c r="C199" s="17" t="s">
        <v>377</v>
      </c>
    </row>
    <row r="200">
      <c r="A200" s="17">
        <v>6611101.0</v>
      </c>
      <c r="B200" s="17" t="s">
        <v>633</v>
      </c>
      <c r="C200" s="17" t="s">
        <v>634</v>
      </c>
    </row>
    <row r="201">
      <c r="A201" s="17">
        <v>6611102.0</v>
      </c>
      <c r="B201" s="17" t="s">
        <v>635</v>
      </c>
      <c r="C201" s="17" t="s">
        <v>636</v>
      </c>
    </row>
    <row r="202">
      <c r="A202" s="17">
        <v>6611200.0</v>
      </c>
      <c r="B202" s="17" t="s">
        <v>352</v>
      </c>
      <c r="C202" s="17" t="s">
        <v>353</v>
      </c>
    </row>
    <row r="203">
      <c r="A203" s="17">
        <v>6611201.0</v>
      </c>
      <c r="B203" s="17" t="s">
        <v>637</v>
      </c>
      <c r="C203" s="17" t="s">
        <v>638</v>
      </c>
    </row>
    <row r="204">
      <c r="A204" s="17">
        <v>6611202.0</v>
      </c>
      <c r="B204" s="17" t="s">
        <v>639</v>
      </c>
      <c r="C204" s="17" t="s">
        <v>640</v>
      </c>
    </row>
    <row r="205">
      <c r="A205" s="17">
        <v>6611300.0</v>
      </c>
      <c r="B205" s="17" t="s">
        <v>354</v>
      </c>
      <c r="C205" s="17" t="s">
        <v>355</v>
      </c>
    </row>
    <row r="206">
      <c r="A206" s="17">
        <v>6611301.0</v>
      </c>
      <c r="B206" s="17" t="s">
        <v>641</v>
      </c>
      <c r="C206" s="17" t="s">
        <v>642</v>
      </c>
    </row>
    <row r="207">
      <c r="A207" s="17">
        <v>6611302.0</v>
      </c>
      <c r="B207" s="17" t="s">
        <v>643</v>
      </c>
      <c r="C207" s="17" t="s">
        <v>644</v>
      </c>
    </row>
    <row r="208">
      <c r="A208" s="17">
        <v>6611400.0</v>
      </c>
      <c r="B208" s="17" t="s">
        <v>388</v>
      </c>
      <c r="C208" s="17" t="s">
        <v>389</v>
      </c>
    </row>
    <row r="209">
      <c r="A209" s="17">
        <v>6621000.0</v>
      </c>
      <c r="B209" s="17" t="s">
        <v>645</v>
      </c>
      <c r="C209" s="17" t="s">
        <v>646</v>
      </c>
    </row>
    <row r="210">
      <c r="A210" s="17">
        <v>6621100.0</v>
      </c>
      <c r="B210" s="17" t="s">
        <v>647</v>
      </c>
      <c r="C210" s="17" t="s">
        <v>648</v>
      </c>
    </row>
    <row r="211">
      <c r="A211" s="17">
        <v>6621200.0</v>
      </c>
      <c r="B211" s="17" t="s">
        <v>649</v>
      </c>
      <c r="C211" s="17" t="s">
        <v>650</v>
      </c>
    </row>
    <row r="212">
      <c r="A212" s="17">
        <v>6621300.0</v>
      </c>
      <c r="B212" s="17" t="s">
        <v>651</v>
      </c>
      <c r="C212" s="17" t="s">
        <v>652</v>
      </c>
    </row>
    <row r="213">
      <c r="A213" s="17">
        <v>6621400.0</v>
      </c>
      <c r="B213" s="17" t="s">
        <v>653</v>
      </c>
      <c r="C213" s="17" t="s">
        <v>654</v>
      </c>
    </row>
    <row r="214">
      <c r="A214" s="17">
        <v>6621500.0</v>
      </c>
      <c r="B214" s="17" t="s">
        <v>655</v>
      </c>
      <c r="C214" s="17" t="s">
        <v>656</v>
      </c>
    </row>
    <row r="215">
      <c r="A215" s="17">
        <v>6621600.0</v>
      </c>
      <c r="B215" s="17" t="s">
        <v>657</v>
      </c>
      <c r="C215" s="17" t="s">
        <v>658</v>
      </c>
    </row>
    <row r="216">
      <c r="A216" s="17">
        <v>6621700.0</v>
      </c>
      <c r="B216" s="17" t="s">
        <v>659</v>
      </c>
      <c r="C216" s="17" t="s">
        <v>660</v>
      </c>
    </row>
    <row r="217">
      <c r="A217" s="17">
        <v>6621800.0</v>
      </c>
      <c r="B217" s="17" t="s">
        <v>661</v>
      </c>
      <c r="C217" s="17" t="s">
        <v>662</v>
      </c>
    </row>
    <row r="218">
      <c r="A218" s="17">
        <v>6621900.0</v>
      </c>
      <c r="B218" s="17" t="s">
        <v>663</v>
      </c>
      <c r="C218" s="17" t="s">
        <v>664</v>
      </c>
    </row>
    <row r="219">
      <c r="A219" s="17">
        <v>6622000.0</v>
      </c>
      <c r="B219" s="17" t="s">
        <v>665</v>
      </c>
      <c r="C219" s="17" t="s">
        <v>666</v>
      </c>
    </row>
    <row r="220">
      <c r="A220" s="17">
        <v>6622100.0</v>
      </c>
      <c r="B220" s="17" t="s">
        <v>667</v>
      </c>
      <c r="C220" s="17" t="s">
        <v>668</v>
      </c>
    </row>
    <row r="221">
      <c r="A221" s="17">
        <v>6622200.0</v>
      </c>
      <c r="B221" s="17" t="s">
        <v>669</v>
      </c>
      <c r="C221" s="17" t="s">
        <v>670</v>
      </c>
    </row>
    <row r="222">
      <c r="A222" s="17">
        <v>6622300.0</v>
      </c>
      <c r="B222" s="17" t="s">
        <v>671</v>
      </c>
      <c r="C222" s="17" t="s">
        <v>672</v>
      </c>
    </row>
    <row r="223">
      <c r="A223" s="17">
        <v>6622400.0</v>
      </c>
      <c r="B223" s="17" t="s">
        <v>673</v>
      </c>
      <c r="C223" s="17" t="s">
        <v>674</v>
      </c>
    </row>
    <row r="224">
      <c r="A224" s="17">
        <v>6622500.0</v>
      </c>
      <c r="B224" s="17" t="s">
        <v>675</v>
      </c>
      <c r="C224" s="17" t="s">
        <v>676</v>
      </c>
    </row>
    <row r="225">
      <c r="A225" s="17">
        <v>6622600.0</v>
      </c>
      <c r="B225" s="17" t="s">
        <v>677</v>
      </c>
      <c r="C225" s="17" t="s">
        <v>678</v>
      </c>
    </row>
    <row r="226">
      <c r="A226" s="17">
        <v>6622700.0</v>
      </c>
      <c r="B226" s="17" t="s">
        <v>679</v>
      </c>
      <c r="C226" s="17" t="s">
        <v>680</v>
      </c>
    </row>
    <row r="227">
      <c r="A227" s="17">
        <v>6622800.0</v>
      </c>
      <c r="B227" s="17" t="s">
        <v>681</v>
      </c>
      <c r="C227" s="17" t="s">
        <v>682</v>
      </c>
    </row>
    <row r="228">
      <c r="A228" s="17">
        <v>6622900.0</v>
      </c>
      <c r="B228" s="17" t="s">
        <v>683</v>
      </c>
      <c r="C228" s="17" t="s">
        <v>684</v>
      </c>
    </row>
    <row r="229">
      <c r="A229" s="17">
        <v>6623000.0</v>
      </c>
      <c r="B229" s="17" t="s">
        <v>685</v>
      </c>
      <c r="C229" s="17" t="s">
        <v>686</v>
      </c>
    </row>
    <row r="230">
      <c r="A230" s="17">
        <v>6623100.0</v>
      </c>
      <c r="B230" s="17" t="s">
        <v>687</v>
      </c>
      <c r="C230" s="17" t="s">
        <v>688</v>
      </c>
    </row>
    <row r="231">
      <c r="A231" s="17">
        <v>6623200.0</v>
      </c>
      <c r="B231" s="17" t="s">
        <v>689</v>
      </c>
      <c r="C231" s="17" t="s">
        <v>660</v>
      </c>
    </row>
    <row r="232">
      <c r="A232" s="17">
        <v>6624000.0</v>
      </c>
      <c r="B232" s="17" t="s">
        <v>690</v>
      </c>
      <c r="C232" s="17" t="s">
        <v>691</v>
      </c>
    </row>
    <row r="233">
      <c r="A233" s="17">
        <v>6624100.0</v>
      </c>
      <c r="B233" s="17" t="s">
        <v>692</v>
      </c>
      <c r="C233" s="17" t="s">
        <v>693</v>
      </c>
    </row>
    <row r="234">
      <c r="A234" s="17">
        <v>6624200.0</v>
      </c>
      <c r="B234" s="17" t="s">
        <v>694</v>
      </c>
      <c r="C234" s="17" t="s">
        <v>695</v>
      </c>
    </row>
    <row r="235">
      <c r="A235" s="17">
        <v>6624300.0</v>
      </c>
      <c r="B235" s="17" t="s">
        <v>696</v>
      </c>
      <c r="C235" s="17" t="s">
        <v>697</v>
      </c>
    </row>
    <row r="236">
      <c r="A236" s="17">
        <v>6624400.0</v>
      </c>
      <c r="B236" s="17" t="s">
        <v>698</v>
      </c>
      <c r="C236" s="17" t="s">
        <v>699</v>
      </c>
    </row>
    <row r="237">
      <c r="A237" s="17">
        <v>6624500.0</v>
      </c>
      <c r="B237" s="17" t="s">
        <v>700</v>
      </c>
      <c r="C237" s="17" t="s">
        <v>701</v>
      </c>
    </row>
    <row r="238">
      <c r="A238" s="17">
        <v>6630000.0</v>
      </c>
      <c r="B238" s="17" t="s">
        <v>702</v>
      </c>
      <c r="C238" s="17" t="s">
        <v>703</v>
      </c>
    </row>
    <row r="239">
      <c r="A239" s="17">
        <v>6630100.0</v>
      </c>
      <c r="B239" s="17" t="s">
        <v>704</v>
      </c>
      <c r="C239" s="17" t="s">
        <v>705</v>
      </c>
    </row>
    <row r="240">
      <c r="A240" s="17">
        <v>6630200.0</v>
      </c>
      <c r="B240" s="17" t="s">
        <v>706</v>
      </c>
      <c r="C240" s="17" t="s">
        <v>707</v>
      </c>
    </row>
    <row r="241">
      <c r="A241" s="17">
        <v>6630300.0</v>
      </c>
      <c r="B241" s="17" t="s">
        <v>708</v>
      </c>
      <c r="C241" s="17" t="s">
        <v>709</v>
      </c>
    </row>
    <row r="242">
      <c r="A242" s="17">
        <v>6630400.0</v>
      </c>
      <c r="B242" s="17" t="s">
        <v>710</v>
      </c>
      <c r="C242" s="17" t="s">
        <v>711</v>
      </c>
    </row>
    <row r="243">
      <c r="A243" s="17">
        <v>6630500.0</v>
      </c>
      <c r="B243" s="17" t="s">
        <v>712</v>
      </c>
      <c r="C243" s="17" t="s">
        <v>713</v>
      </c>
    </row>
    <row r="244">
      <c r="A244" s="17">
        <v>6630600.0</v>
      </c>
      <c r="B244" s="17" t="s">
        <v>714</v>
      </c>
      <c r="C244" s="17" t="s">
        <v>715</v>
      </c>
    </row>
    <row r="245">
      <c r="A245" s="17">
        <v>6630700.0</v>
      </c>
      <c r="B245" s="17" t="s">
        <v>716</v>
      </c>
      <c r="C245" s="17" t="s">
        <v>717</v>
      </c>
    </row>
    <row r="246">
      <c r="A246" s="17">
        <v>6630800.0</v>
      </c>
      <c r="B246" s="17" t="s">
        <v>718</v>
      </c>
      <c r="C246" s="17" t="s">
        <v>719</v>
      </c>
    </row>
    <row r="247">
      <c r="A247" s="17">
        <v>6630900.0</v>
      </c>
      <c r="B247" s="17" t="s">
        <v>720</v>
      </c>
      <c r="C247" s="17" t="s">
        <v>721</v>
      </c>
    </row>
    <row r="248">
      <c r="A248" s="17">
        <v>6631000.0</v>
      </c>
      <c r="B248" s="17" t="s">
        <v>722</v>
      </c>
      <c r="C248" s="17" t="s">
        <v>723</v>
      </c>
    </row>
    <row r="249">
      <c r="A249" s="17">
        <v>6631100.0</v>
      </c>
      <c r="B249" s="17" t="s">
        <v>724</v>
      </c>
      <c r="C249" s="17" t="s">
        <v>725</v>
      </c>
    </row>
    <row r="250">
      <c r="A250" s="17">
        <v>6631200.0</v>
      </c>
      <c r="B250" s="17" t="s">
        <v>726</v>
      </c>
      <c r="C250" s="17" t="s">
        <v>727</v>
      </c>
    </row>
    <row r="251">
      <c r="A251" s="17">
        <v>6631300.0</v>
      </c>
      <c r="B251" s="17" t="s">
        <v>728</v>
      </c>
      <c r="C251" s="17" t="s">
        <v>729</v>
      </c>
    </row>
    <row r="252">
      <c r="A252" s="17">
        <v>6631400.0</v>
      </c>
      <c r="B252" s="17" t="s">
        <v>730</v>
      </c>
      <c r="C252" s="17" t="s">
        <v>731</v>
      </c>
    </row>
    <row r="253">
      <c r="A253" s="17">
        <v>6631500.0</v>
      </c>
      <c r="B253" s="17" t="s">
        <v>732</v>
      </c>
      <c r="C253" s="17" t="s">
        <v>733</v>
      </c>
    </row>
    <row r="254">
      <c r="A254" s="17">
        <v>6631600.0</v>
      </c>
      <c r="B254" s="17" t="s">
        <v>734</v>
      </c>
      <c r="C254" s="17" t="s">
        <v>735</v>
      </c>
    </row>
    <row r="255">
      <c r="A255" s="17">
        <v>6631700.0</v>
      </c>
      <c r="B255" s="17" t="s">
        <v>736</v>
      </c>
      <c r="C255" s="17" t="s">
        <v>737</v>
      </c>
    </row>
    <row r="256">
      <c r="A256" s="17">
        <v>6631800.0</v>
      </c>
      <c r="B256" s="17" t="s">
        <v>738</v>
      </c>
      <c r="C256" s="17" t="s">
        <v>739</v>
      </c>
    </row>
    <row r="257">
      <c r="A257" s="17">
        <v>6631900.0</v>
      </c>
      <c r="B257" s="17" t="s">
        <v>740</v>
      </c>
      <c r="C257" s="17" t="s">
        <v>741</v>
      </c>
    </row>
    <row r="258">
      <c r="A258" s="17">
        <v>6632000.0</v>
      </c>
      <c r="B258" s="17" t="s">
        <v>742</v>
      </c>
      <c r="C258" s="17" t="s">
        <v>743</v>
      </c>
    </row>
    <row r="259">
      <c r="A259" s="17">
        <v>6632100.0</v>
      </c>
      <c r="B259" s="17" t="s">
        <v>744</v>
      </c>
      <c r="C259" s="17" t="s">
        <v>745</v>
      </c>
    </row>
    <row r="260">
      <c r="A260" s="17">
        <v>6632200.0</v>
      </c>
      <c r="B260" s="17" t="s">
        <v>746</v>
      </c>
      <c r="C260" s="17" t="s">
        <v>747</v>
      </c>
    </row>
    <row r="261">
      <c r="A261" s="17">
        <v>6632300.0</v>
      </c>
      <c r="B261" s="17" t="s">
        <v>748</v>
      </c>
      <c r="C261" s="17" t="s">
        <v>749</v>
      </c>
    </row>
    <row r="262">
      <c r="A262" s="17">
        <v>6632400.0</v>
      </c>
      <c r="B262" s="17" t="s">
        <v>750</v>
      </c>
      <c r="C262" s="17" t="s">
        <v>751</v>
      </c>
    </row>
    <row r="263">
      <c r="A263" s="17">
        <v>6632500.0</v>
      </c>
      <c r="B263" s="17" t="s">
        <v>752</v>
      </c>
      <c r="C263" s="17" t="s">
        <v>753</v>
      </c>
    </row>
    <row r="264">
      <c r="A264" s="17">
        <v>6632600.0</v>
      </c>
      <c r="B264" s="17" t="s">
        <v>754</v>
      </c>
      <c r="C264" s="17" t="s">
        <v>755</v>
      </c>
    </row>
    <row r="265">
      <c r="A265" s="17">
        <v>6632700.0</v>
      </c>
      <c r="B265" s="17" t="s">
        <v>756</v>
      </c>
      <c r="C265" s="17" t="s">
        <v>757</v>
      </c>
    </row>
    <row r="266">
      <c r="A266" s="17">
        <v>6632800.0</v>
      </c>
      <c r="B266" s="17" t="s">
        <v>758</v>
      </c>
      <c r="C266" s="17" t="s">
        <v>759</v>
      </c>
    </row>
    <row r="267">
      <c r="A267" s="17">
        <v>6632900.0</v>
      </c>
      <c r="B267" s="17" t="s">
        <v>760</v>
      </c>
      <c r="C267" s="17" t="s">
        <v>761</v>
      </c>
    </row>
    <row r="268">
      <c r="A268" s="17">
        <v>6633000.0</v>
      </c>
      <c r="B268" s="17" t="s">
        <v>762</v>
      </c>
      <c r="C268" s="17" t="s">
        <v>763</v>
      </c>
    </row>
    <row r="269">
      <c r="A269" s="17">
        <v>6633100.0</v>
      </c>
      <c r="B269" s="17" t="s">
        <v>764</v>
      </c>
      <c r="C269" s="17" t="s">
        <v>765</v>
      </c>
    </row>
    <row r="270">
      <c r="A270" s="17">
        <v>6633200.0</v>
      </c>
      <c r="B270" s="17" t="s">
        <v>766</v>
      </c>
      <c r="C270" s="17" t="s">
        <v>767</v>
      </c>
    </row>
    <row r="271">
      <c r="A271" s="17">
        <v>6640000.0</v>
      </c>
      <c r="B271" s="17" t="s">
        <v>768</v>
      </c>
      <c r="C271" s="17" t="s">
        <v>769</v>
      </c>
    </row>
    <row r="272">
      <c r="A272" s="17">
        <v>6640100.0</v>
      </c>
      <c r="B272" s="17" t="s">
        <v>770</v>
      </c>
      <c r="C272" s="17" t="s">
        <v>771</v>
      </c>
    </row>
    <row r="273">
      <c r="A273" s="17">
        <v>6641000.0</v>
      </c>
      <c r="B273" s="17" t="s">
        <v>772</v>
      </c>
      <c r="C273" s="17" t="s">
        <v>773</v>
      </c>
    </row>
    <row r="274">
      <c r="A274" s="17">
        <v>6641100.0</v>
      </c>
      <c r="B274" s="17" t="s">
        <v>774</v>
      </c>
      <c r="C274" s="17" t="s">
        <v>775</v>
      </c>
    </row>
    <row r="275">
      <c r="A275" s="17">
        <v>6642000.0</v>
      </c>
      <c r="B275" s="17" t="s">
        <v>776</v>
      </c>
      <c r="C275" s="17" t="s">
        <v>777</v>
      </c>
    </row>
    <row r="276">
      <c r="A276" s="17">
        <v>6642100.0</v>
      </c>
      <c r="B276" s="17" t="s">
        <v>778</v>
      </c>
      <c r="C276" s="17" t="s">
        <v>779</v>
      </c>
    </row>
    <row r="277">
      <c r="A277" s="17">
        <v>6643000.0</v>
      </c>
      <c r="B277" s="17" t="s">
        <v>780</v>
      </c>
      <c r="C277" s="17" t="s">
        <v>781</v>
      </c>
    </row>
    <row r="278">
      <c r="A278" s="17">
        <v>6643100.0</v>
      </c>
      <c r="B278" s="17" t="s">
        <v>782</v>
      </c>
      <c r="C278" s="17" t="s">
        <v>783</v>
      </c>
    </row>
    <row r="279">
      <c r="A279" s="17">
        <v>6644000.0</v>
      </c>
      <c r="B279" s="17" t="s">
        <v>784</v>
      </c>
      <c r="C279" s="17" t="s">
        <v>785</v>
      </c>
    </row>
    <row r="280">
      <c r="A280" s="17">
        <v>6644100.0</v>
      </c>
      <c r="B280" s="17" t="s">
        <v>786</v>
      </c>
      <c r="C280" s="17" t="s">
        <v>787</v>
      </c>
    </row>
    <row r="281">
      <c r="A281" s="17">
        <v>6645000.0</v>
      </c>
      <c r="B281" s="17" t="s">
        <v>788</v>
      </c>
      <c r="C281" s="17" t="s">
        <v>789</v>
      </c>
    </row>
    <row r="282">
      <c r="A282" s="17">
        <v>6645100.0</v>
      </c>
      <c r="B282" s="17" t="s">
        <v>790</v>
      </c>
      <c r="C282" s="17" t="s">
        <v>791</v>
      </c>
    </row>
    <row r="283">
      <c r="A283" s="17">
        <v>6646000.0</v>
      </c>
      <c r="B283" s="17" t="s">
        <v>792</v>
      </c>
      <c r="C283" s="17" t="s">
        <v>793</v>
      </c>
    </row>
    <row r="284">
      <c r="A284" s="17">
        <v>6646100.0</v>
      </c>
      <c r="B284" s="17" t="s">
        <v>794</v>
      </c>
      <c r="C284" s="17" t="s">
        <v>795</v>
      </c>
    </row>
    <row r="285">
      <c r="A285" s="17">
        <v>6647000.0</v>
      </c>
      <c r="B285" s="17" t="s">
        <v>796</v>
      </c>
      <c r="C285" s="17" t="s">
        <v>797</v>
      </c>
    </row>
    <row r="286">
      <c r="A286" s="17">
        <v>6647100.0</v>
      </c>
      <c r="B286" s="17" t="s">
        <v>798</v>
      </c>
      <c r="C286" s="17" t="s">
        <v>799</v>
      </c>
    </row>
    <row r="287">
      <c r="A287" s="17">
        <v>6647200.0</v>
      </c>
      <c r="B287" s="17" t="s">
        <v>800</v>
      </c>
      <c r="C287" s="17" t="s">
        <v>801</v>
      </c>
    </row>
    <row r="288">
      <c r="A288" s="17">
        <v>6647300.0</v>
      </c>
      <c r="B288" s="17" t="s">
        <v>802</v>
      </c>
      <c r="C288" s="17" t="s">
        <v>803</v>
      </c>
    </row>
    <row r="289">
      <c r="A289" s="17">
        <v>6647400.0</v>
      </c>
      <c r="B289" s="17" t="s">
        <v>804</v>
      </c>
      <c r="C289" s="17" t="s">
        <v>805</v>
      </c>
    </row>
    <row r="290">
      <c r="A290" s="17">
        <v>6647500.0</v>
      </c>
      <c r="B290" s="17" t="s">
        <v>806</v>
      </c>
      <c r="C290" s="17" t="s">
        <v>807</v>
      </c>
    </row>
    <row r="291">
      <c r="A291" s="17">
        <v>6800000.0</v>
      </c>
      <c r="B291" s="17" t="s">
        <v>808</v>
      </c>
      <c r="C291" s="17" t="s">
        <v>809</v>
      </c>
    </row>
    <row r="292">
      <c r="A292" s="17">
        <v>6800200.0</v>
      </c>
      <c r="B292" s="17" t="s">
        <v>810</v>
      </c>
      <c r="C292" s="17" t="s">
        <v>811</v>
      </c>
    </row>
    <row r="293">
      <c r="A293" s="17">
        <v>6810100.0</v>
      </c>
      <c r="B293" s="17" t="s">
        <v>380</v>
      </c>
      <c r="C293" s="17" t="s">
        <v>381</v>
      </c>
    </row>
    <row r="294">
      <c r="A294" s="17">
        <v>6820000.0</v>
      </c>
      <c r="B294" s="17" t="s">
        <v>812</v>
      </c>
      <c r="C294" s="17" t="s">
        <v>813</v>
      </c>
    </row>
    <row r="295">
      <c r="A295" s="17">
        <v>6820100.0</v>
      </c>
      <c r="B295" s="17" t="s">
        <v>814</v>
      </c>
      <c r="C295" s="17" t="s">
        <v>815</v>
      </c>
    </row>
    <row r="296">
      <c r="A296" s="17">
        <v>6820200.0</v>
      </c>
      <c r="B296" s="17" t="s">
        <v>816</v>
      </c>
      <c r="C296" s="17" t="s">
        <v>817</v>
      </c>
    </row>
    <row r="297">
      <c r="A297" s="17">
        <v>6820300.0</v>
      </c>
      <c r="B297" s="17" t="s">
        <v>818</v>
      </c>
      <c r="C297" s="17" t="s">
        <v>819</v>
      </c>
    </row>
    <row r="298">
      <c r="A298" s="17">
        <v>6820400.0</v>
      </c>
      <c r="B298" s="17" t="s">
        <v>820</v>
      </c>
      <c r="C298" s="17" t="s">
        <v>821</v>
      </c>
    </row>
    <row r="299">
      <c r="A299" s="17">
        <v>6820500.0</v>
      </c>
      <c r="B299" s="17" t="s">
        <v>822</v>
      </c>
      <c r="C299" s="17" t="s">
        <v>823</v>
      </c>
    </row>
    <row r="300">
      <c r="A300" s="17">
        <v>6820600.0</v>
      </c>
      <c r="B300" s="17" t="s">
        <v>824</v>
      </c>
      <c r="C300" s="17" t="s">
        <v>825</v>
      </c>
    </row>
    <row r="301">
      <c r="A301" s="17">
        <v>6830000.0</v>
      </c>
      <c r="B301" s="17" t="s">
        <v>826</v>
      </c>
      <c r="C301" s="17" t="s">
        <v>827</v>
      </c>
    </row>
    <row r="302">
      <c r="A302" s="17">
        <v>6830100.0</v>
      </c>
      <c r="B302" s="17" t="s">
        <v>828</v>
      </c>
      <c r="C302" s="17" t="s">
        <v>829</v>
      </c>
    </row>
    <row r="303">
      <c r="A303" s="17">
        <v>6830200.0</v>
      </c>
      <c r="B303" s="17" t="s">
        <v>830</v>
      </c>
      <c r="C303" s="17" t="s">
        <v>831</v>
      </c>
    </row>
    <row r="304">
      <c r="A304" s="17">
        <v>6830300.0</v>
      </c>
      <c r="B304" s="17" t="s">
        <v>832</v>
      </c>
      <c r="C304" s="17" t="s">
        <v>833</v>
      </c>
    </row>
    <row r="305">
      <c r="A305" s="17">
        <v>6830400.0</v>
      </c>
      <c r="B305" s="17" t="s">
        <v>834</v>
      </c>
      <c r="C305" s="17" t="s">
        <v>835</v>
      </c>
    </row>
    <row r="306">
      <c r="A306" s="17">
        <v>6840000.0</v>
      </c>
      <c r="B306" s="17" t="s">
        <v>836</v>
      </c>
      <c r="C306" s="17" t="s">
        <v>837</v>
      </c>
    </row>
    <row r="307">
      <c r="A307" s="17">
        <v>6840100.0</v>
      </c>
      <c r="B307" s="17" t="s">
        <v>838</v>
      </c>
      <c r="C307" s="17" t="s">
        <v>839</v>
      </c>
    </row>
    <row r="308">
      <c r="A308" s="17">
        <v>6840200.0</v>
      </c>
      <c r="B308" s="17" t="s">
        <v>840</v>
      </c>
      <c r="C308" s="17" t="s">
        <v>841</v>
      </c>
    </row>
    <row r="309">
      <c r="A309" s="17">
        <v>6850000.0</v>
      </c>
      <c r="B309" s="17" t="s">
        <v>312</v>
      </c>
      <c r="C309" s="17" t="s">
        <v>313</v>
      </c>
    </row>
    <row r="310">
      <c r="A310" s="17">
        <v>6850100.0</v>
      </c>
      <c r="B310" s="17" t="s">
        <v>842</v>
      </c>
      <c r="C310" s="17" t="s">
        <v>843</v>
      </c>
    </row>
    <row r="311">
      <c r="A311" s="17">
        <v>6850200.0</v>
      </c>
      <c r="B311" s="17" t="s">
        <v>844</v>
      </c>
      <c r="C311" s="17" t="s">
        <v>845</v>
      </c>
    </row>
    <row r="312">
      <c r="A312" s="17">
        <v>6850300.0</v>
      </c>
      <c r="B312" s="17" t="s">
        <v>838</v>
      </c>
      <c r="C312" s="17" t="s">
        <v>839</v>
      </c>
    </row>
    <row r="313">
      <c r="A313" s="17">
        <v>6850400.0</v>
      </c>
      <c r="B313" s="17" t="s">
        <v>846</v>
      </c>
      <c r="C313" s="17" t="s">
        <v>847</v>
      </c>
    </row>
    <row r="314">
      <c r="A314" s="17">
        <v>6850500.0</v>
      </c>
      <c r="B314" s="17" t="s">
        <v>406</v>
      </c>
      <c r="C314" s="17" t="s">
        <v>407</v>
      </c>
    </row>
    <row r="315">
      <c r="A315" s="17">
        <v>6850600.0</v>
      </c>
      <c r="B315" s="17" t="s">
        <v>848</v>
      </c>
      <c r="C315" s="17" t="s">
        <v>849</v>
      </c>
    </row>
    <row r="316">
      <c r="A316" s="17">
        <v>6850700.0</v>
      </c>
      <c r="B316" s="17" t="s">
        <v>850</v>
      </c>
      <c r="C316" s="17" t="s">
        <v>851</v>
      </c>
    </row>
    <row r="317">
      <c r="A317" s="17">
        <v>6850800.0</v>
      </c>
      <c r="B317" s="17" t="s">
        <v>852</v>
      </c>
      <c r="C317" s="17" t="s">
        <v>853</v>
      </c>
    </row>
    <row r="318">
      <c r="A318" s="17">
        <v>6850900.0</v>
      </c>
      <c r="B318" s="17" t="s">
        <v>854</v>
      </c>
      <c r="C318" s="17" t="s">
        <v>855</v>
      </c>
    </row>
    <row r="319">
      <c r="A319" s="17">
        <v>6851000.0</v>
      </c>
      <c r="B319" s="17" t="s">
        <v>856</v>
      </c>
      <c r="C319" s="17" t="s">
        <v>857</v>
      </c>
    </row>
    <row r="320">
      <c r="A320" s="17">
        <v>6851100.0</v>
      </c>
      <c r="B320" s="17" t="s">
        <v>858</v>
      </c>
      <c r="C320" s="17" t="s">
        <v>859</v>
      </c>
    </row>
    <row r="321">
      <c r="A321" s="17">
        <v>6851200.0</v>
      </c>
      <c r="B321" s="17" t="s">
        <v>860</v>
      </c>
      <c r="C321" s="17" t="s">
        <v>861</v>
      </c>
    </row>
    <row r="322">
      <c r="A322" s="17">
        <v>6851300.0</v>
      </c>
      <c r="B322" s="17" t="s">
        <v>862</v>
      </c>
      <c r="C322" s="17" t="s">
        <v>863</v>
      </c>
    </row>
    <row r="323">
      <c r="A323" s="17">
        <v>6851400.0</v>
      </c>
      <c r="B323" s="17" t="s">
        <v>864</v>
      </c>
      <c r="C323" s="17" t="s">
        <v>865</v>
      </c>
    </row>
    <row r="324">
      <c r="A324" s="17">
        <v>6851500.0</v>
      </c>
      <c r="B324" s="17" t="s">
        <v>866</v>
      </c>
      <c r="C324" s="17" t="s">
        <v>867</v>
      </c>
    </row>
    <row r="325">
      <c r="A325" s="17">
        <v>6851600.0</v>
      </c>
      <c r="B325" s="17" t="s">
        <v>868</v>
      </c>
      <c r="C325" s="17" t="s">
        <v>869</v>
      </c>
    </row>
    <row r="326">
      <c r="A326" s="17">
        <v>6851700.0</v>
      </c>
      <c r="B326" s="17" t="s">
        <v>870</v>
      </c>
      <c r="C326" s="17" t="s">
        <v>871</v>
      </c>
    </row>
    <row r="327">
      <c r="A327" s="17">
        <v>7000000.0</v>
      </c>
      <c r="B327" s="17" t="s">
        <v>872</v>
      </c>
      <c r="C327" s="17" t="s">
        <v>873</v>
      </c>
    </row>
    <row r="328">
      <c r="A328" s="17">
        <v>7000001.0</v>
      </c>
      <c r="B328" s="17" t="s">
        <v>874</v>
      </c>
      <c r="C328" s="17" t="s">
        <v>875</v>
      </c>
    </row>
    <row r="329">
      <c r="A329" s="17">
        <v>7000002.0</v>
      </c>
      <c r="B329" s="17" t="s">
        <v>876</v>
      </c>
      <c r="C329" s="17" t="s">
        <v>877</v>
      </c>
    </row>
    <row r="330">
      <c r="A330" s="17">
        <v>7000090.0</v>
      </c>
      <c r="B330" s="17" t="s">
        <v>270</v>
      </c>
      <c r="C330" s="17" t="s">
        <v>271</v>
      </c>
    </row>
    <row r="331">
      <c r="A331" s="17">
        <v>7000091.0</v>
      </c>
      <c r="B331" s="17" t="s">
        <v>183</v>
      </c>
      <c r="C331" s="17" t="s">
        <v>183</v>
      </c>
    </row>
    <row r="332">
      <c r="A332" s="17">
        <v>7000092.0</v>
      </c>
      <c r="B332" s="17" t="s">
        <v>183</v>
      </c>
      <c r="C332" s="17" t="s">
        <v>183</v>
      </c>
    </row>
    <row r="333">
      <c r="A333" s="17">
        <v>7000093.0</v>
      </c>
      <c r="B333" s="17" t="s">
        <v>183</v>
      </c>
      <c r="C333" s="17" t="s">
        <v>183</v>
      </c>
    </row>
    <row r="334">
      <c r="A334" s="17">
        <v>7000094.0</v>
      </c>
      <c r="B334" s="17" t="s">
        <v>183</v>
      </c>
      <c r="C334" s="17" t="s">
        <v>183</v>
      </c>
    </row>
    <row r="335">
      <c r="A335" s="17">
        <v>7000095.0</v>
      </c>
      <c r="B335" s="17" t="s">
        <v>183</v>
      </c>
      <c r="C335" s="17" t="s">
        <v>183</v>
      </c>
    </row>
    <row r="336">
      <c r="A336" s="17">
        <v>7000096.0</v>
      </c>
      <c r="B336" s="17" t="s">
        <v>183</v>
      </c>
      <c r="C336" s="17" t="s">
        <v>183</v>
      </c>
    </row>
    <row r="337">
      <c r="A337" s="17">
        <v>7000097.0</v>
      </c>
      <c r="B337" s="17" t="s">
        <v>183</v>
      </c>
      <c r="C337" s="17" t="s">
        <v>183</v>
      </c>
    </row>
    <row r="338">
      <c r="A338" s="17">
        <v>7000098.0</v>
      </c>
      <c r="B338" s="17" t="s">
        <v>183</v>
      </c>
      <c r="C338" s="17" t="s">
        <v>183</v>
      </c>
    </row>
    <row r="339">
      <c r="A339" s="17">
        <v>7000099.0</v>
      </c>
      <c r="B339" s="17" t="s">
        <v>183</v>
      </c>
      <c r="C339" s="17" t="s">
        <v>183</v>
      </c>
    </row>
    <row r="340">
      <c r="A340" s="17">
        <v>7000100.0</v>
      </c>
      <c r="B340" s="17" t="s">
        <v>878</v>
      </c>
      <c r="C340" s="17" t="s">
        <v>879</v>
      </c>
    </row>
    <row r="341">
      <c r="A341" s="17">
        <v>7000101.0</v>
      </c>
      <c r="B341" s="17" t="s">
        <v>880</v>
      </c>
      <c r="C341" s="17" t="s">
        <v>881</v>
      </c>
    </row>
    <row r="342">
      <c r="A342" s="17">
        <v>7000102.0</v>
      </c>
      <c r="B342" s="17" t="s">
        <v>882</v>
      </c>
      <c r="C342" s="17" t="s">
        <v>883</v>
      </c>
    </row>
    <row r="343">
      <c r="A343" s="17">
        <v>7000190.0</v>
      </c>
      <c r="B343" s="17" t="s">
        <v>272</v>
      </c>
      <c r="C343" s="17" t="s">
        <v>273</v>
      </c>
    </row>
    <row r="344">
      <c r="A344" s="17">
        <v>7000191.0</v>
      </c>
      <c r="B344" s="17" t="s">
        <v>183</v>
      </c>
      <c r="C344" s="17" t="s">
        <v>183</v>
      </c>
    </row>
    <row r="345">
      <c r="A345" s="17">
        <v>7000192.0</v>
      </c>
      <c r="B345" s="17" t="s">
        <v>183</v>
      </c>
      <c r="C345" s="17" t="s">
        <v>183</v>
      </c>
    </row>
    <row r="346">
      <c r="A346" s="17">
        <v>7000193.0</v>
      </c>
      <c r="B346" s="17" t="s">
        <v>183</v>
      </c>
      <c r="C346" s="17" t="s">
        <v>183</v>
      </c>
    </row>
    <row r="347">
      <c r="A347" s="17">
        <v>7000194.0</v>
      </c>
      <c r="B347" s="17" t="s">
        <v>183</v>
      </c>
      <c r="C347" s="17" t="s">
        <v>183</v>
      </c>
    </row>
    <row r="348">
      <c r="A348" s="17">
        <v>7000195.0</v>
      </c>
      <c r="B348" s="17" t="s">
        <v>183</v>
      </c>
      <c r="C348" s="17" t="s">
        <v>183</v>
      </c>
    </row>
    <row r="349">
      <c r="A349" s="17">
        <v>7000196.0</v>
      </c>
      <c r="B349" s="17" t="s">
        <v>183</v>
      </c>
      <c r="C349" s="17" t="s">
        <v>183</v>
      </c>
    </row>
    <row r="350">
      <c r="A350" s="17">
        <v>7000197.0</v>
      </c>
      <c r="B350" s="17" t="s">
        <v>183</v>
      </c>
      <c r="C350" s="17" t="s">
        <v>183</v>
      </c>
    </row>
    <row r="351">
      <c r="A351" s="17">
        <v>7000198.0</v>
      </c>
      <c r="B351" s="17" t="s">
        <v>183</v>
      </c>
      <c r="C351" s="17" t="s">
        <v>183</v>
      </c>
    </row>
    <row r="352">
      <c r="A352" s="17">
        <v>7000199.0</v>
      </c>
      <c r="B352" s="17" t="s">
        <v>183</v>
      </c>
      <c r="C352" s="17" t="s">
        <v>183</v>
      </c>
    </row>
    <row r="353">
      <c r="A353" s="17">
        <v>7000200.0</v>
      </c>
      <c r="B353" s="17" t="s">
        <v>884</v>
      </c>
      <c r="C353" s="17" t="s">
        <v>885</v>
      </c>
    </row>
    <row r="354">
      <c r="A354" s="17">
        <v>7000201.0</v>
      </c>
      <c r="B354" s="17" t="s">
        <v>886</v>
      </c>
      <c r="C354" s="17" t="s">
        <v>887</v>
      </c>
    </row>
    <row r="355">
      <c r="A355" s="17">
        <v>7000202.0</v>
      </c>
      <c r="B355" s="17" t="s">
        <v>888</v>
      </c>
      <c r="C355" s="17" t="s">
        <v>889</v>
      </c>
    </row>
    <row r="356">
      <c r="A356" s="17">
        <v>7000290.0</v>
      </c>
      <c r="B356" s="17" t="s">
        <v>274</v>
      </c>
      <c r="C356" s="17" t="s">
        <v>275</v>
      </c>
    </row>
    <row r="357">
      <c r="A357" s="17">
        <v>7000291.0</v>
      </c>
      <c r="B357" s="17" t="s">
        <v>183</v>
      </c>
      <c r="C357" s="17" t="s">
        <v>183</v>
      </c>
    </row>
    <row r="358">
      <c r="A358" s="17">
        <v>7000292.0</v>
      </c>
      <c r="B358" s="17" t="s">
        <v>183</v>
      </c>
      <c r="C358" s="17" t="s">
        <v>183</v>
      </c>
    </row>
    <row r="359">
      <c r="A359" s="17">
        <v>7000293.0</v>
      </c>
      <c r="B359" s="17" t="s">
        <v>183</v>
      </c>
      <c r="C359" s="17" t="s">
        <v>183</v>
      </c>
    </row>
    <row r="360">
      <c r="A360" s="17">
        <v>7000294.0</v>
      </c>
      <c r="B360" s="17" t="s">
        <v>183</v>
      </c>
      <c r="C360" s="17" t="s">
        <v>183</v>
      </c>
    </row>
    <row r="361">
      <c r="A361" s="17">
        <v>7000295.0</v>
      </c>
      <c r="B361" s="17" t="s">
        <v>183</v>
      </c>
      <c r="C361" s="17" t="s">
        <v>183</v>
      </c>
    </row>
    <row r="362">
      <c r="A362" s="17">
        <v>7000296.0</v>
      </c>
      <c r="B362" s="17" t="s">
        <v>183</v>
      </c>
      <c r="C362" s="17" t="s">
        <v>183</v>
      </c>
    </row>
    <row r="363">
      <c r="A363" s="17">
        <v>7000297.0</v>
      </c>
      <c r="B363" s="17" t="s">
        <v>183</v>
      </c>
      <c r="C363" s="17" t="s">
        <v>183</v>
      </c>
    </row>
    <row r="364">
      <c r="A364" s="17">
        <v>7000298.0</v>
      </c>
      <c r="B364" s="17" t="s">
        <v>183</v>
      </c>
      <c r="C364" s="17" t="s">
        <v>183</v>
      </c>
    </row>
    <row r="365">
      <c r="A365" s="17">
        <v>7000299.0</v>
      </c>
      <c r="B365" s="17" t="s">
        <v>183</v>
      </c>
      <c r="C365" s="17" t="s">
        <v>183</v>
      </c>
    </row>
    <row r="366">
      <c r="A366" s="17">
        <v>7000300.0</v>
      </c>
      <c r="B366" s="17" t="s">
        <v>890</v>
      </c>
      <c r="C366" s="17" t="s">
        <v>891</v>
      </c>
    </row>
    <row r="367">
      <c r="A367" s="17">
        <v>7000301.0</v>
      </c>
      <c r="B367" s="17" t="s">
        <v>892</v>
      </c>
      <c r="C367" s="17" t="s">
        <v>893</v>
      </c>
    </row>
    <row r="368">
      <c r="A368" s="17">
        <v>7000302.0</v>
      </c>
      <c r="B368" s="17" t="s">
        <v>894</v>
      </c>
      <c r="C368" s="17" t="s">
        <v>895</v>
      </c>
    </row>
    <row r="369">
      <c r="A369" s="17">
        <v>7000400.0</v>
      </c>
      <c r="B369" s="17" t="s">
        <v>896</v>
      </c>
      <c r="C369" s="17" t="s">
        <v>897</v>
      </c>
    </row>
    <row r="370">
      <c r="A370" s="17">
        <v>7000401.0</v>
      </c>
      <c r="B370" s="17" t="s">
        <v>898</v>
      </c>
      <c r="C370" s="17" t="s">
        <v>899</v>
      </c>
    </row>
    <row r="371">
      <c r="A371" s="17">
        <v>7000402.0</v>
      </c>
      <c r="B371" s="17" t="s">
        <v>900</v>
      </c>
      <c r="C371" s="17" t="s">
        <v>901</v>
      </c>
    </row>
    <row r="372">
      <c r="A372" s="17">
        <v>7000500.0</v>
      </c>
      <c r="B372" s="17" t="s">
        <v>902</v>
      </c>
      <c r="C372" s="17" t="s">
        <v>903</v>
      </c>
    </row>
    <row r="373">
      <c r="A373" s="17">
        <v>7000501.0</v>
      </c>
      <c r="B373" s="17" t="s">
        <v>904</v>
      </c>
      <c r="C373" s="17" t="s">
        <v>905</v>
      </c>
    </row>
    <row r="374">
      <c r="A374" s="17">
        <v>7000502.0</v>
      </c>
      <c r="B374" s="17" t="s">
        <v>906</v>
      </c>
      <c r="C374" s="17" t="s">
        <v>907</v>
      </c>
    </row>
    <row r="375">
      <c r="A375" s="17">
        <v>7000600.0</v>
      </c>
      <c r="B375" s="17" t="s">
        <v>908</v>
      </c>
      <c r="C375" s="17" t="s">
        <v>909</v>
      </c>
    </row>
    <row r="376">
      <c r="A376" s="17">
        <v>7000601.0</v>
      </c>
      <c r="B376" s="17" t="s">
        <v>910</v>
      </c>
      <c r="C376" s="17" t="s">
        <v>911</v>
      </c>
    </row>
    <row r="377">
      <c r="A377" s="17">
        <v>7000602.0</v>
      </c>
      <c r="B377" s="17" t="s">
        <v>912</v>
      </c>
      <c r="C377" s="17" t="s">
        <v>913</v>
      </c>
    </row>
    <row r="378">
      <c r="A378" s="17">
        <v>7000700.0</v>
      </c>
      <c r="B378" s="17" t="s">
        <v>914</v>
      </c>
      <c r="C378" s="17" t="s">
        <v>915</v>
      </c>
    </row>
    <row r="379">
      <c r="A379" s="17">
        <v>7000701.0</v>
      </c>
      <c r="B379" s="17" t="s">
        <v>916</v>
      </c>
      <c r="C379" s="17" t="s">
        <v>917</v>
      </c>
    </row>
    <row r="380">
      <c r="A380" s="17">
        <v>7000702.0</v>
      </c>
      <c r="B380" s="17" t="s">
        <v>918</v>
      </c>
      <c r="C380" s="17" t="s">
        <v>919</v>
      </c>
    </row>
    <row r="381">
      <c r="A381" s="17">
        <v>7000800.0</v>
      </c>
      <c r="B381" s="17" t="s">
        <v>920</v>
      </c>
      <c r="C381" s="17" t="s">
        <v>921</v>
      </c>
    </row>
    <row r="382">
      <c r="A382" s="17">
        <v>7000801.0</v>
      </c>
      <c r="B382" s="17" t="s">
        <v>922</v>
      </c>
      <c r="C382" s="17" t="s">
        <v>923</v>
      </c>
    </row>
    <row r="383">
      <c r="A383" s="17">
        <v>7000802.0</v>
      </c>
      <c r="B383" s="17" t="s">
        <v>924</v>
      </c>
      <c r="C383" s="17" t="s">
        <v>925</v>
      </c>
    </row>
    <row r="384">
      <c r="A384" s="17">
        <v>7000900.0</v>
      </c>
      <c r="B384" s="17" t="s">
        <v>926</v>
      </c>
      <c r="C384" s="17" t="s">
        <v>927</v>
      </c>
    </row>
    <row r="385">
      <c r="A385" s="17">
        <v>7000901.0</v>
      </c>
      <c r="B385" s="17" t="s">
        <v>928</v>
      </c>
      <c r="C385" s="17" t="s">
        <v>929</v>
      </c>
    </row>
    <row r="386">
      <c r="A386" s="17">
        <v>7000902.0</v>
      </c>
      <c r="B386" s="17" t="s">
        <v>930</v>
      </c>
      <c r="C386" s="17" t="s">
        <v>931</v>
      </c>
    </row>
    <row r="387">
      <c r="A387" s="17">
        <v>7001000.0</v>
      </c>
      <c r="B387" s="17" t="s">
        <v>932</v>
      </c>
      <c r="C387" s="17" t="s">
        <v>933</v>
      </c>
    </row>
    <row r="388">
      <c r="A388" s="17">
        <v>7001001.0</v>
      </c>
      <c r="B388" s="17" t="s">
        <v>934</v>
      </c>
      <c r="C388" s="17" t="s">
        <v>935</v>
      </c>
    </row>
    <row r="389">
      <c r="A389" s="17">
        <v>7001002.0</v>
      </c>
      <c r="B389" s="17" t="s">
        <v>936</v>
      </c>
      <c r="C389" s="17" t="s">
        <v>937</v>
      </c>
    </row>
    <row r="390">
      <c r="A390" s="17">
        <v>7001400.0</v>
      </c>
      <c r="B390" s="17" t="s">
        <v>938</v>
      </c>
      <c r="C390" s="17" t="s">
        <v>939</v>
      </c>
    </row>
    <row r="391">
      <c r="A391" s="17">
        <v>7001401.0</v>
      </c>
      <c r="B391" s="17" t="s">
        <v>940</v>
      </c>
      <c r="C391" s="17" t="s">
        <v>941</v>
      </c>
    </row>
    <row r="392">
      <c r="A392" s="17">
        <v>7001402.0</v>
      </c>
      <c r="B392" s="17" t="s">
        <v>942</v>
      </c>
      <c r="C392" s="17" t="s">
        <v>943</v>
      </c>
    </row>
    <row r="393">
      <c r="A393" s="17">
        <v>7001403.0</v>
      </c>
      <c r="B393" s="17" t="s">
        <v>944</v>
      </c>
      <c r="C393" s="17" t="s">
        <v>945</v>
      </c>
    </row>
    <row r="394">
      <c r="A394" s="17">
        <v>7001500.0</v>
      </c>
      <c r="B394" s="17" t="s">
        <v>946</v>
      </c>
      <c r="C394" s="17" t="s">
        <v>311</v>
      </c>
    </row>
    <row r="395">
      <c r="A395" s="17">
        <v>7001501.0</v>
      </c>
      <c r="B395" s="17" t="s">
        <v>947</v>
      </c>
      <c r="C395" s="17" t="s">
        <v>948</v>
      </c>
    </row>
    <row r="396">
      <c r="A396" s="17">
        <v>7001502.0</v>
      </c>
      <c r="B396" s="17" t="s">
        <v>949</v>
      </c>
      <c r="C396" s="17" t="s">
        <v>950</v>
      </c>
    </row>
    <row r="397">
      <c r="A397" s="17">
        <v>7001600.0</v>
      </c>
      <c r="B397" s="17" t="s">
        <v>951</v>
      </c>
      <c r="C397" s="17" t="s">
        <v>317</v>
      </c>
    </row>
    <row r="398">
      <c r="A398" s="17">
        <v>7001601.0</v>
      </c>
      <c r="B398" s="17" t="s">
        <v>952</v>
      </c>
      <c r="C398" s="17" t="s">
        <v>953</v>
      </c>
    </row>
    <row r="399">
      <c r="A399" s="17">
        <v>7001602.0</v>
      </c>
      <c r="B399" s="17" t="s">
        <v>954</v>
      </c>
      <c r="C399" s="17" t="s">
        <v>955</v>
      </c>
    </row>
    <row r="400">
      <c r="A400" s="17">
        <v>7001700.0</v>
      </c>
      <c r="B400" s="17" t="s">
        <v>956</v>
      </c>
      <c r="C400" s="17" t="s">
        <v>315</v>
      </c>
    </row>
    <row r="401">
      <c r="A401" s="17">
        <v>7001701.0</v>
      </c>
      <c r="B401" s="17" t="s">
        <v>957</v>
      </c>
      <c r="C401" s="17" t="s">
        <v>958</v>
      </c>
    </row>
    <row r="402">
      <c r="A402" s="17">
        <v>7001702.0</v>
      </c>
      <c r="B402" s="17" t="s">
        <v>959</v>
      </c>
      <c r="C402" s="17" t="s">
        <v>960</v>
      </c>
    </row>
    <row r="403">
      <c r="A403" s="17">
        <v>7001800.0</v>
      </c>
      <c r="B403" s="17" t="s">
        <v>961</v>
      </c>
      <c r="C403" s="17" t="s">
        <v>319</v>
      </c>
    </row>
    <row r="404">
      <c r="A404" s="17">
        <v>7001801.0</v>
      </c>
      <c r="B404" s="17" t="s">
        <v>962</v>
      </c>
      <c r="C404" s="17" t="s">
        <v>963</v>
      </c>
    </row>
    <row r="405">
      <c r="A405" s="17">
        <v>7001802.0</v>
      </c>
      <c r="B405" s="17" t="s">
        <v>964</v>
      </c>
      <c r="C405" s="17" t="s">
        <v>965</v>
      </c>
    </row>
    <row r="406">
      <c r="A406" s="17">
        <v>7001900.0</v>
      </c>
      <c r="B406" s="17" t="s">
        <v>966</v>
      </c>
      <c r="C406" s="17" t="s">
        <v>967</v>
      </c>
    </row>
    <row r="407">
      <c r="A407" s="17">
        <v>7001901.0</v>
      </c>
      <c r="B407" s="17" t="s">
        <v>968</v>
      </c>
      <c r="C407" s="17" t="s">
        <v>969</v>
      </c>
    </row>
    <row r="408">
      <c r="A408" s="17">
        <v>7001902.0</v>
      </c>
      <c r="B408" s="17" t="s">
        <v>970</v>
      </c>
      <c r="C408" s="17" t="s">
        <v>971</v>
      </c>
    </row>
    <row r="409">
      <c r="A409" s="17">
        <v>7002000.0</v>
      </c>
      <c r="B409" s="17" t="s">
        <v>972</v>
      </c>
      <c r="C409" s="17" t="s">
        <v>973</v>
      </c>
    </row>
    <row r="410">
      <c r="A410" s="17">
        <v>7002001.0</v>
      </c>
      <c r="B410" s="17" t="s">
        <v>974</v>
      </c>
      <c r="C410" s="17" t="s">
        <v>975</v>
      </c>
    </row>
    <row r="411">
      <c r="A411" s="17">
        <v>7002002.0</v>
      </c>
      <c r="B411" s="17" t="s">
        <v>976</v>
      </c>
      <c r="C411" s="17" t="s">
        <v>977</v>
      </c>
    </row>
    <row r="412">
      <c r="A412" s="17">
        <v>7002100.0</v>
      </c>
      <c r="B412" s="17" t="s">
        <v>978</v>
      </c>
      <c r="C412" s="17" t="s">
        <v>979</v>
      </c>
    </row>
    <row r="413">
      <c r="A413" s="17">
        <v>7002101.0</v>
      </c>
      <c r="B413" s="17" t="s">
        <v>980</v>
      </c>
      <c r="C413" s="17" t="s">
        <v>981</v>
      </c>
    </row>
    <row r="414">
      <c r="A414" s="17">
        <v>7002102.0</v>
      </c>
      <c r="B414" s="17" t="s">
        <v>982</v>
      </c>
      <c r="C414" s="17" t="s">
        <v>983</v>
      </c>
    </row>
    <row r="415">
      <c r="A415" s="17">
        <v>7002103.0</v>
      </c>
      <c r="B415" s="17" t="s">
        <v>984</v>
      </c>
      <c r="C415" s="17" t="s">
        <v>985</v>
      </c>
    </row>
    <row r="416">
      <c r="A416" s="17">
        <v>7002200.0</v>
      </c>
      <c r="B416" s="17" t="s">
        <v>986</v>
      </c>
      <c r="C416" s="17" t="s">
        <v>987</v>
      </c>
    </row>
    <row r="417">
      <c r="A417" s="17">
        <v>7002300.0</v>
      </c>
      <c r="B417" s="17" t="s">
        <v>988</v>
      </c>
      <c r="C417" s="17" t="s">
        <v>989</v>
      </c>
    </row>
    <row r="418">
      <c r="A418" s="17">
        <v>7002301.0</v>
      </c>
      <c r="B418" s="17" t="s">
        <v>990</v>
      </c>
      <c r="C418" s="17" t="s">
        <v>991</v>
      </c>
    </row>
    <row r="419">
      <c r="A419" s="17">
        <v>7002302.0</v>
      </c>
      <c r="B419" s="17" t="s">
        <v>992</v>
      </c>
      <c r="C419" s="17" t="s">
        <v>993</v>
      </c>
    </row>
    <row r="420">
      <c r="A420" s="17">
        <v>7002400.0</v>
      </c>
      <c r="B420" s="17" t="s">
        <v>994</v>
      </c>
      <c r="C420" s="17" t="s">
        <v>995</v>
      </c>
    </row>
    <row r="421">
      <c r="A421" s="17">
        <v>7002401.0</v>
      </c>
      <c r="B421" s="17" t="s">
        <v>996</v>
      </c>
      <c r="C421" s="17" t="s">
        <v>997</v>
      </c>
    </row>
    <row r="422">
      <c r="A422" s="17">
        <v>7002402.0</v>
      </c>
      <c r="B422" s="17" t="s">
        <v>998</v>
      </c>
      <c r="C422" s="17" t="s">
        <v>999</v>
      </c>
    </row>
    <row r="423">
      <c r="A423" s="17">
        <v>7002403.0</v>
      </c>
      <c r="B423" s="17" t="s">
        <v>1000</v>
      </c>
      <c r="C423" s="17" t="s">
        <v>1001</v>
      </c>
    </row>
    <row r="424">
      <c r="A424" s="17">
        <v>7002500.0</v>
      </c>
      <c r="B424" s="17" t="s">
        <v>1002</v>
      </c>
      <c r="C424" s="17" t="s">
        <v>1003</v>
      </c>
    </row>
    <row r="425">
      <c r="A425" s="17">
        <v>7002600.0</v>
      </c>
      <c r="B425" s="17" t="s">
        <v>1004</v>
      </c>
      <c r="C425" s="17" t="s">
        <v>369</v>
      </c>
    </row>
    <row r="426">
      <c r="A426" s="17">
        <v>7002700.0</v>
      </c>
      <c r="B426" s="17" t="s">
        <v>1005</v>
      </c>
      <c r="C426" s="17" t="s">
        <v>371</v>
      </c>
    </row>
    <row r="427">
      <c r="A427" s="17">
        <v>7002800.0</v>
      </c>
      <c r="B427" s="17" t="s">
        <v>1006</v>
      </c>
      <c r="C427" s="17" t="s">
        <v>373</v>
      </c>
    </row>
    <row r="428">
      <c r="A428" s="17">
        <v>7002900.0</v>
      </c>
      <c r="B428" s="17" t="s">
        <v>1007</v>
      </c>
      <c r="C428" s="17" t="s">
        <v>375</v>
      </c>
    </row>
    <row r="429">
      <c r="A429" s="17">
        <v>7003000.0</v>
      </c>
      <c r="B429" s="17" t="s">
        <v>286</v>
      </c>
      <c r="C429" s="17" t="s">
        <v>287</v>
      </c>
    </row>
    <row r="430">
      <c r="A430" s="17">
        <v>7003100.0</v>
      </c>
      <c r="B430" s="17" t="s">
        <v>282</v>
      </c>
      <c r="C430" s="17" t="s">
        <v>283</v>
      </c>
    </row>
    <row r="431">
      <c r="A431" s="17">
        <v>7003200.0</v>
      </c>
      <c r="B431" s="17" t="s">
        <v>290</v>
      </c>
      <c r="C431" s="17" t="s">
        <v>291</v>
      </c>
    </row>
    <row r="432">
      <c r="A432" s="17">
        <v>7003300.0</v>
      </c>
      <c r="B432" s="17" t="s">
        <v>294</v>
      </c>
      <c r="C432" s="17" t="s">
        <v>295</v>
      </c>
    </row>
    <row r="433">
      <c r="A433" s="17">
        <v>7003400.0</v>
      </c>
      <c r="B433" s="17" t="s">
        <v>288</v>
      </c>
      <c r="C433" s="17" t="s">
        <v>1008</v>
      </c>
    </row>
    <row r="434">
      <c r="A434" s="17">
        <v>7003500.0</v>
      </c>
      <c r="B434" s="17" t="s">
        <v>284</v>
      </c>
      <c r="C434" s="17" t="s">
        <v>285</v>
      </c>
    </row>
    <row r="435">
      <c r="A435" s="17">
        <v>7003600.0</v>
      </c>
      <c r="B435" s="17" t="s">
        <v>292</v>
      </c>
      <c r="C435" s="17" t="s">
        <v>293</v>
      </c>
    </row>
    <row r="436">
      <c r="A436" s="17">
        <v>7005600.0</v>
      </c>
      <c r="B436" s="17" t="s">
        <v>1009</v>
      </c>
      <c r="C436" s="17" t="s">
        <v>1010</v>
      </c>
    </row>
    <row r="437">
      <c r="A437" s="17">
        <v>7006500.0</v>
      </c>
      <c r="B437" s="17" t="s">
        <v>1011</v>
      </c>
      <c r="C437" s="17" t="s">
        <v>1012</v>
      </c>
    </row>
    <row r="438">
      <c r="A438" s="17">
        <v>7006600.0</v>
      </c>
      <c r="B438" s="17" t="s">
        <v>1013</v>
      </c>
      <c r="C438" s="17" t="s">
        <v>1014</v>
      </c>
    </row>
    <row r="439">
      <c r="A439" s="17">
        <v>7006700.0</v>
      </c>
      <c r="B439" s="17" t="s">
        <v>304</v>
      </c>
      <c r="C439" s="17" t="s">
        <v>305</v>
      </c>
    </row>
    <row r="440">
      <c r="A440" s="17">
        <v>7010000.0</v>
      </c>
      <c r="B440" s="17" t="s">
        <v>1015</v>
      </c>
      <c r="C440" s="17" t="s">
        <v>1016</v>
      </c>
    </row>
    <row r="441">
      <c r="A441" s="17">
        <v>7010200.0</v>
      </c>
      <c r="B441" s="17" t="s">
        <v>1017</v>
      </c>
      <c r="C441" s="17" t="s">
        <v>1018</v>
      </c>
    </row>
    <row r="442">
      <c r="A442" s="17">
        <v>7010500.0</v>
      </c>
      <c r="B442" s="17" t="s">
        <v>1019</v>
      </c>
      <c r="C442" s="17" t="s">
        <v>1020</v>
      </c>
    </row>
    <row r="443">
      <c r="A443" s="17">
        <v>7010700.0</v>
      </c>
      <c r="B443" s="17" t="s">
        <v>1021</v>
      </c>
      <c r="C443" s="17" t="s">
        <v>1022</v>
      </c>
    </row>
    <row r="444">
      <c r="A444" s="17">
        <v>7010800.0</v>
      </c>
      <c r="B444" s="17" t="s">
        <v>1023</v>
      </c>
      <c r="C444" s="17" t="s">
        <v>1024</v>
      </c>
    </row>
    <row r="445">
      <c r="A445" s="17">
        <v>7010900.0</v>
      </c>
      <c r="B445" s="17" t="s">
        <v>1025</v>
      </c>
      <c r="C445" s="17" t="s">
        <v>1026</v>
      </c>
    </row>
    <row r="446">
      <c r="A446" s="17">
        <v>7011000.0</v>
      </c>
      <c r="B446" s="17" t="s">
        <v>1027</v>
      </c>
      <c r="C446" s="17" t="s">
        <v>1028</v>
      </c>
    </row>
    <row r="447">
      <c r="A447" s="17">
        <v>7011100.0</v>
      </c>
      <c r="B447" s="17" t="s">
        <v>1029</v>
      </c>
      <c r="C447" s="17" t="s">
        <v>1030</v>
      </c>
    </row>
    <row r="448">
      <c r="A448" s="17">
        <v>7011200.0</v>
      </c>
      <c r="B448" s="17" t="s">
        <v>1031</v>
      </c>
      <c r="C448" s="17" t="s">
        <v>1032</v>
      </c>
    </row>
    <row r="449">
      <c r="A449" s="17">
        <v>7011400.0</v>
      </c>
      <c r="B449" s="17" t="s">
        <v>1033</v>
      </c>
      <c r="C449" s="17" t="s">
        <v>1034</v>
      </c>
    </row>
    <row r="450">
      <c r="A450" s="17">
        <v>7011500.0</v>
      </c>
      <c r="B450" s="17" t="s">
        <v>582</v>
      </c>
      <c r="C450" s="17" t="s">
        <v>583</v>
      </c>
    </row>
    <row r="451">
      <c r="A451" s="17">
        <v>7011600.0</v>
      </c>
      <c r="B451" s="17" t="s">
        <v>1035</v>
      </c>
      <c r="C451" s="17" t="s">
        <v>1036</v>
      </c>
    </row>
    <row r="452">
      <c r="A452" s="17">
        <v>7011700.0</v>
      </c>
      <c r="B452" s="17" t="s">
        <v>1037</v>
      </c>
      <c r="C452" s="17" t="s">
        <v>1038</v>
      </c>
    </row>
    <row r="453">
      <c r="A453" s="17">
        <v>7011900.0</v>
      </c>
      <c r="B453" s="17" t="s">
        <v>1039</v>
      </c>
      <c r="C453" s="17" t="s">
        <v>1040</v>
      </c>
    </row>
    <row r="454">
      <c r="A454" s="17">
        <v>7012000.0</v>
      </c>
      <c r="B454" s="17" t="s">
        <v>1041</v>
      </c>
      <c r="C454" s="17" t="s">
        <v>1042</v>
      </c>
    </row>
    <row r="455">
      <c r="A455" s="17">
        <v>7012200.0</v>
      </c>
      <c r="B455" s="17" t="s">
        <v>1043</v>
      </c>
      <c r="C455" s="17" t="s">
        <v>1044</v>
      </c>
    </row>
    <row r="456">
      <c r="A456" s="17">
        <v>7012300.0</v>
      </c>
      <c r="B456" s="17" t="s">
        <v>382</v>
      </c>
      <c r="C456" s="17" t="s">
        <v>1045</v>
      </c>
    </row>
    <row r="457">
      <c r="A457" s="17">
        <v>7012400.0</v>
      </c>
      <c r="B457" s="17" t="s">
        <v>1046</v>
      </c>
      <c r="C457" s="17" t="s">
        <v>1047</v>
      </c>
    </row>
    <row r="458">
      <c r="A458" s="17">
        <v>7012500.0</v>
      </c>
      <c r="B458" s="17" t="s">
        <v>1048</v>
      </c>
      <c r="C458" s="17" t="s">
        <v>1049</v>
      </c>
    </row>
    <row r="459">
      <c r="A459" s="17">
        <v>7012600.0</v>
      </c>
      <c r="B459" s="17" t="s">
        <v>1050</v>
      </c>
      <c r="C459" s="17" t="s">
        <v>1051</v>
      </c>
    </row>
    <row r="460">
      <c r="A460" s="17">
        <v>7012700.0</v>
      </c>
      <c r="B460" s="17" t="s">
        <v>1052</v>
      </c>
      <c r="C460" s="17" t="s">
        <v>1053</v>
      </c>
    </row>
    <row r="461">
      <c r="A461" s="17">
        <v>7020000.0</v>
      </c>
      <c r="B461" s="17" t="s">
        <v>1054</v>
      </c>
      <c r="C461" s="17" t="s">
        <v>1055</v>
      </c>
    </row>
    <row r="462">
      <c r="A462" s="17">
        <v>7030000.0</v>
      </c>
      <c r="B462" s="17" t="s">
        <v>1056</v>
      </c>
      <c r="C462" s="17" t="s">
        <v>1057</v>
      </c>
    </row>
    <row r="463">
      <c r="A463" s="17">
        <v>7030200.0</v>
      </c>
      <c r="B463" s="17" t="s">
        <v>1058</v>
      </c>
      <c r="C463" s="17" t="s">
        <v>1059</v>
      </c>
    </row>
    <row r="464">
      <c r="A464" s="17">
        <v>7030500.0</v>
      </c>
      <c r="B464" s="17" t="s">
        <v>1060</v>
      </c>
      <c r="C464" s="17" t="s">
        <v>1061</v>
      </c>
    </row>
    <row r="465">
      <c r="A465" s="17">
        <v>7030600.0</v>
      </c>
      <c r="B465" s="17" t="s">
        <v>1062</v>
      </c>
      <c r="C465" s="17" t="s">
        <v>1063</v>
      </c>
    </row>
    <row r="466">
      <c r="A466" s="17">
        <v>7030700.0</v>
      </c>
      <c r="B466" s="17" t="s">
        <v>1064</v>
      </c>
      <c r="C466" s="17" t="s">
        <v>1065</v>
      </c>
    </row>
    <row r="467">
      <c r="A467" s="17">
        <v>7030800.0</v>
      </c>
      <c r="B467" s="17" t="s">
        <v>1066</v>
      </c>
      <c r="C467" s="17" t="s">
        <v>1067</v>
      </c>
    </row>
    <row r="468">
      <c r="A468" s="17">
        <v>7030900.0</v>
      </c>
      <c r="B468" s="17" t="s">
        <v>1068</v>
      </c>
      <c r="C468" s="17" t="s">
        <v>1069</v>
      </c>
    </row>
    <row r="469">
      <c r="A469" s="17">
        <v>7031200.0</v>
      </c>
      <c r="B469" s="17" t="s">
        <v>1070</v>
      </c>
      <c r="C469" s="17" t="s">
        <v>1071</v>
      </c>
    </row>
    <row r="470">
      <c r="A470" s="17">
        <v>7031300.0</v>
      </c>
      <c r="B470" s="17" t="s">
        <v>1072</v>
      </c>
      <c r="C470" s="17" t="s">
        <v>1073</v>
      </c>
    </row>
    <row r="471">
      <c r="A471" s="17">
        <v>7031400.0</v>
      </c>
      <c r="B471" s="17" t="s">
        <v>1074</v>
      </c>
      <c r="C471" s="17" t="s">
        <v>1075</v>
      </c>
    </row>
    <row r="472">
      <c r="A472" s="17">
        <v>7031600.0</v>
      </c>
      <c r="B472" s="17" t="s">
        <v>1076</v>
      </c>
      <c r="C472" s="17" t="s">
        <v>1077</v>
      </c>
    </row>
    <row r="473">
      <c r="A473" s="17">
        <v>7031700.0</v>
      </c>
      <c r="B473" s="17" t="s">
        <v>1078</v>
      </c>
      <c r="C473" s="17" t="s">
        <v>1079</v>
      </c>
    </row>
    <row r="474">
      <c r="A474" s="17">
        <v>7031800.0</v>
      </c>
      <c r="B474" s="17" t="s">
        <v>1080</v>
      </c>
      <c r="C474" s="17" t="s">
        <v>1081</v>
      </c>
    </row>
    <row r="475">
      <c r="A475" s="17">
        <v>7031900.0</v>
      </c>
      <c r="B475" s="17" t="s">
        <v>1082</v>
      </c>
      <c r="C475" s="17" t="s">
        <v>1083</v>
      </c>
    </row>
    <row r="476">
      <c r="A476" s="17">
        <v>7032200.0</v>
      </c>
      <c r="B476" s="17" t="s">
        <v>1084</v>
      </c>
      <c r="C476" s="17" t="s">
        <v>1085</v>
      </c>
    </row>
    <row r="477">
      <c r="A477" s="17">
        <v>7032300.0</v>
      </c>
      <c r="B477" s="17" t="s">
        <v>1086</v>
      </c>
      <c r="C477" s="17" t="s">
        <v>1087</v>
      </c>
    </row>
    <row r="478">
      <c r="A478" s="17">
        <v>7032400.0</v>
      </c>
      <c r="B478" s="17" t="s">
        <v>1088</v>
      </c>
      <c r="C478" s="17" t="s">
        <v>1089</v>
      </c>
    </row>
    <row r="479">
      <c r="A479" s="17">
        <v>7032700.0</v>
      </c>
      <c r="B479" s="17" t="s">
        <v>1090</v>
      </c>
      <c r="C479" s="17" t="s">
        <v>1091</v>
      </c>
    </row>
    <row r="480">
      <c r="A480" s="17">
        <v>7032800.0</v>
      </c>
      <c r="B480" s="17" t="s">
        <v>1092</v>
      </c>
      <c r="C480" s="17" t="s">
        <v>1093</v>
      </c>
    </row>
    <row r="481">
      <c r="A481" s="17">
        <v>7032900.0</v>
      </c>
      <c r="B481" s="17" t="s">
        <v>1094</v>
      </c>
      <c r="C481" s="17" t="s">
        <v>1095</v>
      </c>
    </row>
    <row r="482">
      <c r="A482" s="17">
        <v>7033000.0</v>
      </c>
      <c r="B482" s="17" t="s">
        <v>1096</v>
      </c>
      <c r="C482" s="17" t="s">
        <v>1097</v>
      </c>
    </row>
    <row r="483">
      <c r="A483" s="17">
        <v>7033100.0</v>
      </c>
      <c r="B483" s="17" t="s">
        <v>183</v>
      </c>
      <c r="C483" s="17" t="s">
        <v>183</v>
      </c>
    </row>
    <row r="484">
      <c r="A484" s="17">
        <v>7033200.0</v>
      </c>
      <c r="B484" s="17" t="s">
        <v>1098</v>
      </c>
      <c r="C484" s="17" t="s">
        <v>1099</v>
      </c>
    </row>
    <row r="485">
      <c r="A485" s="17">
        <v>7033300.0</v>
      </c>
      <c r="B485" s="17" t="s">
        <v>1100</v>
      </c>
      <c r="C485" s="17" t="s">
        <v>1101</v>
      </c>
    </row>
    <row r="486">
      <c r="A486" s="17">
        <v>7033400.0</v>
      </c>
      <c r="B486" s="17" t="s">
        <v>1102</v>
      </c>
      <c r="C486" s="17" t="s">
        <v>1103</v>
      </c>
    </row>
    <row r="487">
      <c r="A487" s="17">
        <v>7033600.0</v>
      </c>
      <c r="B487" s="17" t="s">
        <v>1104</v>
      </c>
      <c r="C487" s="17" t="s">
        <v>1105</v>
      </c>
    </row>
    <row r="488">
      <c r="A488" s="17">
        <v>7033700.0</v>
      </c>
      <c r="B488" s="17" t="s">
        <v>1106</v>
      </c>
      <c r="C488" s="17" t="s">
        <v>1107</v>
      </c>
    </row>
    <row r="489">
      <c r="A489" s="17">
        <v>7033800.0</v>
      </c>
      <c r="B489" s="17" t="s">
        <v>1108</v>
      </c>
      <c r="C489" s="17" t="s">
        <v>1109</v>
      </c>
    </row>
    <row r="490">
      <c r="A490" s="17">
        <v>7033900.0</v>
      </c>
      <c r="B490" s="17" t="s">
        <v>1110</v>
      </c>
      <c r="C490" s="17" t="s">
        <v>1111</v>
      </c>
    </row>
    <row r="491">
      <c r="A491" s="17">
        <v>7034000.0</v>
      </c>
      <c r="B491" s="17" t="s">
        <v>1112</v>
      </c>
      <c r="C491" s="17" t="s">
        <v>1113</v>
      </c>
    </row>
    <row r="492">
      <c r="A492" s="17">
        <v>7034100.0</v>
      </c>
      <c r="B492" s="17" t="s">
        <v>1114</v>
      </c>
      <c r="C492" s="17" t="s">
        <v>1115</v>
      </c>
    </row>
    <row r="493">
      <c r="A493" s="17">
        <v>7034200.0</v>
      </c>
      <c r="B493" s="17" t="s">
        <v>1116</v>
      </c>
      <c r="C493" s="17" t="s">
        <v>1117</v>
      </c>
    </row>
    <row r="494">
      <c r="A494" s="17">
        <v>7034300.0</v>
      </c>
      <c r="B494" s="17" t="s">
        <v>1118</v>
      </c>
      <c r="C494" s="17" t="s">
        <v>1119</v>
      </c>
    </row>
    <row r="495">
      <c r="A495" s="17">
        <v>7034400.0</v>
      </c>
      <c r="B495" s="17" t="s">
        <v>1120</v>
      </c>
      <c r="C495" s="17" t="s">
        <v>1121</v>
      </c>
    </row>
    <row r="496">
      <c r="A496" s="17">
        <v>7034500.0</v>
      </c>
      <c r="B496" s="17" t="s">
        <v>1122</v>
      </c>
      <c r="C496" s="17" t="s">
        <v>1123</v>
      </c>
    </row>
    <row r="497">
      <c r="A497" s="17">
        <v>7034600.0</v>
      </c>
      <c r="B497" s="17" t="s">
        <v>1124</v>
      </c>
      <c r="C497" s="17" t="s">
        <v>1125</v>
      </c>
    </row>
    <row r="498">
      <c r="A498" s="17">
        <v>7034700.0</v>
      </c>
      <c r="B498" s="17" t="s">
        <v>1126</v>
      </c>
      <c r="C498" s="17" t="s">
        <v>1127</v>
      </c>
    </row>
    <row r="499">
      <c r="A499" s="17">
        <v>7034800.0</v>
      </c>
      <c r="B499" s="17" t="s">
        <v>1128</v>
      </c>
      <c r="C499" s="17" t="s">
        <v>1129</v>
      </c>
    </row>
    <row r="500">
      <c r="A500" s="17">
        <v>7034900.0</v>
      </c>
      <c r="B500" s="17" t="s">
        <v>396</v>
      </c>
      <c r="C500" s="17" t="s">
        <v>1130</v>
      </c>
    </row>
    <row r="501">
      <c r="A501" s="17">
        <v>7035000.0</v>
      </c>
      <c r="B501" s="17" t="s">
        <v>1131</v>
      </c>
      <c r="C501" s="17" t="s">
        <v>1132</v>
      </c>
    </row>
    <row r="502">
      <c r="A502" s="17">
        <v>7035100.0</v>
      </c>
      <c r="B502" s="17" t="s">
        <v>1133</v>
      </c>
      <c r="C502" s="17" t="s">
        <v>1134</v>
      </c>
    </row>
    <row r="503">
      <c r="A503" s="17">
        <v>7035200.0</v>
      </c>
      <c r="B503" s="17" t="s">
        <v>1135</v>
      </c>
      <c r="C503" s="17" t="s">
        <v>1136</v>
      </c>
    </row>
    <row r="504">
      <c r="A504" s="17">
        <v>7035300.0</v>
      </c>
      <c r="B504" s="17" t="s">
        <v>1137</v>
      </c>
      <c r="C504" s="17" t="s">
        <v>1138</v>
      </c>
    </row>
    <row r="505">
      <c r="A505" s="17">
        <v>7035400.0</v>
      </c>
      <c r="B505" s="17" t="s">
        <v>1139</v>
      </c>
      <c r="C505" s="17" t="s">
        <v>1140</v>
      </c>
    </row>
    <row r="506">
      <c r="A506" s="17">
        <v>7035500.0</v>
      </c>
      <c r="B506" s="17" t="s">
        <v>1141</v>
      </c>
      <c r="C506" s="17" t="s">
        <v>1142</v>
      </c>
    </row>
    <row r="507">
      <c r="A507" s="17">
        <v>7035600.0</v>
      </c>
      <c r="B507" s="17" t="s">
        <v>1143</v>
      </c>
      <c r="C507" s="17" t="s">
        <v>1144</v>
      </c>
    </row>
    <row r="508">
      <c r="A508" s="17">
        <v>7035700.0</v>
      </c>
      <c r="B508" s="17" t="s">
        <v>1145</v>
      </c>
      <c r="C508" s="17" t="s">
        <v>1146</v>
      </c>
    </row>
    <row r="509">
      <c r="A509" s="17">
        <v>7035800.0</v>
      </c>
      <c r="B509" s="17" t="s">
        <v>1147</v>
      </c>
      <c r="C509" s="17" t="s">
        <v>1148</v>
      </c>
    </row>
    <row r="510">
      <c r="A510" s="17">
        <v>7035900.0</v>
      </c>
      <c r="B510" s="17" t="s">
        <v>1149</v>
      </c>
      <c r="C510" s="17" t="s">
        <v>1150</v>
      </c>
    </row>
    <row r="511">
      <c r="A511" s="17">
        <v>7036200.0</v>
      </c>
      <c r="B511" s="17" t="s">
        <v>1151</v>
      </c>
      <c r="C511" s="17" t="s">
        <v>1152</v>
      </c>
    </row>
    <row r="512">
      <c r="A512" s="17">
        <v>7036300.0</v>
      </c>
      <c r="B512" s="17" t="s">
        <v>1153</v>
      </c>
      <c r="C512" s="17" t="s">
        <v>1154</v>
      </c>
    </row>
    <row r="513">
      <c r="A513" s="17">
        <v>7036400.0</v>
      </c>
      <c r="B513" s="17" t="s">
        <v>1155</v>
      </c>
      <c r="C513" s="17" t="s">
        <v>1156</v>
      </c>
    </row>
    <row r="514">
      <c r="A514" s="17">
        <v>7036500.0</v>
      </c>
      <c r="B514" s="17" t="s">
        <v>1157</v>
      </c>
      <c r="C514" s="17" t="s">
        <v>1158</v>
      </c>
    </row>
    <row r="515">
      <c r="A515" s="17">
        <v>7036800.0</v>
      </c>
      <c r="B515" s="17" t="s">
        <v>1159</v>
      </c>
      <c r="C515" s="17" t="s">
        <v>1160</v>
      </c>
    </row>
    <row r="516">
      <c r="A516" s="17">
        <v>7036900.0</v>
      </c>
      <c r="B516" s="17" t="s">
        <v>1161</v>
      </c>
      <c r="C516" s="17" t="s">
        <v>1162</v>
      </c>
    </row>
    <row r="517">
      <c r="A517" s="17">
        <v>7037000.0</v>
      </c>
      <c r="B517" s="17" t="s">
        <v>1163</v>
      </c>
      <c r="C517" s="17" t="s">
        <v>1164</v>
      </c>
    </row>
    <row r="518">
      <c r="A518" s="17">
        <v>7037300.0</v>
      </c>
      <c r="B518" s="17" t="s">
        <v>1165</v>
      </c>
      <c r="C518" s="17" t="s">
        <v>1166</v>
      </c>
    </row>
    <row r="519">
      <c r="A519" s="17">
        <v>7037700.0</v>
      </c>
      <c r="B519" s="17" t="s">
        <v>1167</v>
      </c>
      <c r="C519" s="17" t="s">
        <v>1168</v>
      </c>
    </row>
    <row r="520">
      <c r="A520" s="17">
        <v>7037800.0</v>
      </c>
      <c r="B520" s="17" t="s">
        <v>1169</v>
      </c>
      <c r="C520" s="17" t="s">
        <v>1170</v>
      </c>
    </row>
    <row r="521">
      <c r="A521" s="17">
        <v>7040000.0</v>
      </c>
      <c r="B521" s="17" t="s">
        <v>1171</v>
      </c>
      <c r="C521" s="17" t="s">
        <v>1172</v>
      </c>
    </row>
    <row r="522">
      <c r="A522" s="17">
        <v>7040100.0</v>
      </c>
      <c r="B522" s="17" t="s">
        <v>346</v>
      </c>
      <c r="C522" s="17" t="s">
        <v>347</v>
      </c>
    </row>
    <row r="523">
      <c r="A523" s="17">
        <v>7040200.0</v>
      </c>
      <c r="B523" s="17" t="s">
        <v>328</v>
      </c>
      <c r="C523" s="17" t="s">
        <v>329</v>
      </c>
    </row>
    <row r="524">
      <c r="A524" s="17">
        <v>7040290.0</v>
      </c>
      <c r="B524" s="17" t="s">
        <v>1173</v>
      </c>
      <c r="C524" s="17" t="s">
        <v>1174</v>
      </c>
    </row>
    <row r="525">
      <c r="A525" s="17">
        <v>7040291.0</v>
      </c>
      <c r="B525" s="17" t="s">
        <v>183</v>
      </c>
      <c r="C525" s="17" t="s">
        <v>183</v>
      </c>
    </row>
    <row r="526">
      <c r="A526" s="17">
        <v>7040292.0</v>
      </c>
      <c r="B526" s="17" t="s">
        <v>183</v>
      </c>
      <c r="C526" s="17" t="s">
        <v>183</v>
      </c>
    </row>
    <row r="527">
      <c r="A527" s="17">
        <v>7040293.0</v>
      </c>
      <c r="B527" s="17" t="s">
        <v>183</v>
      </c>
      <c r="C527" s="17" t="s">
        <v>183</v>
      </c>
    </row>
    <row r="528">
      <c r="A528" s="17">
        <v>7040294.0</v>
      </c>
      <c r="B528" s="17" t="s">
        <v>183</v>
      </c>
      <c r="C528" s="17" t="s">
        <v>183</v>
      </c>
    </row>
    <row r="529">
      <c r="A529" s="17">
        <v>7040295.0</v>
      </c>
      <c r="B529" s="17" t="s">
        <v>183</v>
      </c>
      <c r="C529" s="17" t="s">
        <v>183</v>
      </c>
    </row>
    <row r="530">
      <c r="A530" s="17">
        <v>7040296.0</v>
      </c>
      <c r="B530" s="17" t="s">
        <v>183</v>
      </c>
      <c r="C530" s="17" t="s">
        <v>183</v>
      </c>
    </row>
    <row r="531">
      <c r="A531" s="17">
        <v>7040297.0</v>
      </c>
      <c r="B531" s="17" t="s">
        <v>183</v>
      </c>
      <c r="C531" s="17" t="s">
        <v>183</v>
      </c>
    </row>
    <row r="532">
      <c r="A532" s="17">
        <v>7040298.0</v>
      </c>
      <c r="B532" s="17" t="s">
        <v>183</v>
      </c>
      <c r="C532" s="17" t="s">
        <v>183</v>
      </c>
    </row>
    <row r="533">
      <c r="A533" s="17">
        <v>7040299.0</v>
      </c>
      <c r="B533" s="17" t="s">
        <v>183</v>
      </c>
      <c r="C533" s="17" t="s">
        <v>183</v>
      </c>
    </row>
    <row r="534">
      <c r="A534" s="17">
        <v>7040300.0</v>
      </c>
      <c r="B534" s="17" t="s">
        <v>1175</v>
      </c>
      <c r="C534" s="17" t="s">
        <v>1176</v>
      </c>
    </row>
    <row r="535">
      <c r="A535" s="17">
        <v>7040400.0</v>
      </c>
      <c r="B535" s="17" t="s">
        <v>1177</v>
      </c>
      <c r="C535" s="17" t="s">
        <v>1178</v>
      </c>
    </row>
    <row r="536">
      <c r="A536" s="17">
        <v>7040500.0</v>
      </c>
      <c r="B536" s="17" t="s">
        <v>1179</v>
      </c>
      <c r="C536" s="17" t="s">
        <v>1180</v>
      </c>
    </row>
    <row r="537">
      <c r="A537" s="17">
        <v>7043200.0</v>
      </c>
      <c r="B537" s="17" t="s">
        <v>1181</v>
      </c>
      <c r="C537" s="17" t="s">
        <v>1182</v>
      </c>
    </row>
    <row r="538">
      <c r="A538" s="17">
        <v>7043300.0</v>
      </c>
      <c r="B538" s="17" t="s">
        <v>1183</v>
      </c>
      <c r="C538" s="17" t="s">
        <v>1184</v>
      </c>
    </row>
    <row r="539">
      <c r="A539" s="17">
        <v>7043400.0</v>
      </c>
      <c r="B539" s="17" t="s">
        <v>1185</v>
      </c>
      <c r="C539" s="17" t="s">
        <v>1186</v>
      </c>
    </row>
    <row r="540">
      <c r="A540" s="17">
        <v>7043500.0</v>
      </c>
      <c r="B540" s="17" t="s">
        <v>1187</v>
      </c>
      <c r="C540" s="17" t="s">
        <v>1188</v>
      </c>
    </row>
    <row r="541">
      <c r="A541" s="17">
        <v>7043600.0</v>
      </c>
      <c r="B541" s="17" t="s">
        <v>1189</v>
      </c>
      <c r="C541" s="17" t="s">
        <v>1190</v>
      </c>
    </row>
    <row r="542">
      <c r="A542" s="17">
        <v>7043700.0</v>
      </c>
      <c r="B542" s="17" t="s">
        <v>1191</v>
      </c>
      <c r="C542" s="17" t="s">
        <v>1192</v>
      </c>
    </row>
    <row r="543">
      <c r="A543" s="17">
        <v>7043800.0</v>
      </c>
      <c r="B543" s="17" t="s">
        <v>1193</v>
      </c>
      <c r="C543" s="17" t="s">
        <v>1194</v>
      </c>
    </row>
    <row r="544">
      <c r="A544" s="17">
        <v>7043900.0</v>
      </c>
      <c r="B544" s="17" t="s">
        <v>1195</v>
      </c>
      <c r="C544" s="17" t="s">
        <v>1196</v>
      </c>
    </row>
    <row r="545">
      <c r="A545" s="17">
        <v>7044000.0</v>
      </c>
      <c r="B545" s="17" t="s">
        <v>1197</v>
      </c>
      <c r="C545" s="17" t="s">
        <v>1198</v>
      </c>
    </row>
    <row r="546">
      <c r="A546" s="17">
        <v>7044100.0</v>
      </c>
      <c r="B546" s="17" t="s">
        <v>1199</v>
      </c>
      <c r="C546" s="17" t="s">
        <v>1200</v>
      </c>
    </row>
    <row r="547">
      <c r="A547" s="17">
        <v>7044200.0</v>
      </c>
      <c r="B547" s="17" t="s">
        <v>1201</v>
      </c>
      <c r="C547" s="17" t="s">
        <v>1202</v>
      </c>
    </row>
    <row r="548">
      <c r="A548" s="17">
        <v>7044300.0</v>
      </c>
      <c r="B548" s="17" t="s">
        <v>1203</v>
      </c>
      <c r="C548" s="17" t="s">
        <v>1204</v>
      </c>
    </row>
    <row r="549">
      <c r="A549" s="17">
        <v>7044400.0</v>
      </c>
      <c r="B549" s="17" t="s">
        <v>1205</v>
      </c>
      <c r="C549" s="17" t="s">
        <v>1206</v>
      </c>
    </row>
    <row r="550">
      <c r="A550" s="17">
        <v>7044500.0</v>
      </c>
      <c r="B550" s="17" t="s">
        <v>1207</v>
      </c>
      <c r="C550" s="17" t="s">
        <v>1208</v>
      </c>
    </row>
    <row r="551">
      <c r="A551" s="17">
        <v>7044600.0</v>
      </c>
      <c r="B551" s="17" t="s">
        <v>1209</v>
      </c>
      <c r="C551" s="17" t="s">
        <v>1210</v>
      </c>
    </row>
    <row r="552">
      <c r="A552" s="17">
        <v>7050000.0</v>
      </c>
      <c r="B552" s="17" t="s">
        <v>1211</v>
      </c>
      <c r="C552" s="17" t="s">
        <v>1212</v>
      </c>
    </row>
    <row r="553">
      <c r="A553" s="17">
        <v>7050100.0</v>
      </c>
      <c r="B553" s="17" t="s">
        <v>1213</v>
      </c>
      <c r="C553" s="17" t="s">
        <v>1214</v>
      </c>
    </row>
    <row r="554">
      <c r="A554" s="17">
        <v>7060000.0</v>
      </c>
      <c r="B554" s="17" t="s">
        <v>1215</v>
      </c>
      <c r="C554" s="17" t="s">
        <v>1216</v>
      </c>
    </row>
    <row r="555">
      <c r="A555" s="17">
        <v>7060100.0</v>
      </c>
      <c r="B555" s="17" t="s">
        <v>1217</v>
      </c>
      <c r="C555" s="17" t="s">
        <v>1218</v>
      </c>
    </row>
    <row r="556">
      <c r="A556" s="17">
        <v>7060200.0</v>
      </c>
      <c r="B556" s="17" t="s">
        <v>1219</v>
      </c>
      <c r="C556" s="17" t="s">
        <v>1220</v>
      </c>
    </row>
    <row r="557">
      <c r="A557" s="17">
        <v>7070000.0</v>
      </c>
      <c r="B557" s="17" t="s">
        <v>1221</v>
      </c>
      <c r="C557" s="17" t="s">
        <v>1222</v>
      </c>
    </row>
    <row r="558">
      <c r="A558" s="17">
        <v>7080000.0</v>
      </c>
      <c r="B558" s="17" t="s">
        <v>1223</v>
      </c>
      <c r="C558" s="17" t="s">
        <v>1224</v>
      </c>
    </row>
    <row r="559">
      <c r="A559" s="17">
        <v>7080100.0</v>
      </c>
      <c r="B559" s="17" t="s">
        <v>1225</v>
      </c>
      <c r="C559" s="17" t="s">
        <v>1226</v>
      </c>
    </row>
    <row r="560">
      <c r="A560" s="17">
        <v>7080200.0</v>
      </c>
      <c r="B560" s="17" t="s">
        <v>1227</v>
      </c>
      <c r="C560" s="17" t="s">
        <v>1228</v>
      </c>
    </row>
    <row r="561">
      <c r="A561" s="17">
        <v>7080300.0</v>
      </c>
      <c r="B561" s="17" t="s">
        <v>1229</v>
      </c>
      <c r="C561" s="17" t="s">
        <v>1230</v>
      </c>
    </row>
    <row r="562">
      <c r="A562" s="17">
        <v>7080400.0</v>
      </c>
      <c r="B562" s="17" t="s">
        <v>1231</v>
      </c>
      <c r="C562" s="17" t="s">
        <v>1232</v>
      </c>
    </row>
    <row r="563">
      <c r="A563" s="17">
        <v>7080500.0</v>
      </c>
      <c r="B563" s="17" t="s">
        <v>1233</v>
      </c>
      <c r="C563" s="17" t="s">
        <v>1234</v>
      </c>
    </row>
    <row r="564">
      <c r="A564" s="17">
        <v>7080600.0</v>
      </c>
      <c r="B564" s="17" t="s">
        <v>1235</v>
      </c>
      <c r="C564" s="17" t="s">
        <v>1236</v>
      </c>
    </row>
    <row r="565">
      <c r="A565" s="17">
        <v>7080700.0</v>
      </c>
      <c r="B565" s="17" t="s">
        <v>1237</v>
      </c>
      <c r="C565" s="17" t="s">
        <v>1238</v>
      </c>
    </row>
    <row r="566">
      <c r="A566" s="17">
        <v>7080800.0</v>
      </c>
      <c r="B566" s="17" t="s">
        <v>1239</v>
      </c>
      <c r="C566" s="17" t="s">
        <v>1240</v>
      </c>
    </row>
    <row r="567">
      <c r="A567" s="17">
        <v>7080900.0</v>
      </c>
      <c r="B567" s="17" t="s">
        <v>1241</v>
      </c>
      <c r="C567" s="17" t="s">
        <v>1242</v>
      </c>
    </row>
    <row r="568">
      <c r="A568" s="17">
        <v>7081000.0</v>
      </c>
      <c r="B568" s="17" t="s">
        <v>1243</v>
      </c>
      <c r="C568" s="17" t="s">
        <v>1244</v>
      </c>
    </row>
    <row r="569">
      <c r="A569" s="17">
        <v>7081100.0</v>
      </c>
      <c r="B569" s="17" t="s">
        <v>1245</v>
      </c>
      <c r="C569" s="17" t="s">
        <v>1246</v>
      </c>
    </row>
    <row r="570">
      <c r="A570" s="17">
        <v>7081200.0</v>
      </c>
      <c r="B570" s="17" t="s">
        <v>1247</v>
      </c>
      <c r="C570" s="17" t="s">
        <v>1248</v>
      </c>
    </row>
    <row r="571">
      <c r="A571" s="17">
        <v>7081300.0</v>
      </c>
      <c r="B571" s="17" t="s">
        <v>1249</v>
      </c>
      <c r="C571" s="17" t="s">
        <v>1250</v>
      </c>
    </row>
    <row r="572">
      <c r="A572" s="17">
        <v>7081400.0</v>
      </c>
      <c r="B572" s="17" t="s">
        <v>1251</v>
      </c>
      <c r="C572" s="17" t="s">
        <v>1252</v>
      </c>
    </row>
    <row r="573">
      <c r="A573" s="17">
        <v>7081500.0</v>
      </c>
      <c r="B573" s="17" t="s">
        <v>1253</v>
      </c>
      <c r="C573" s="17" t="s">
        <v>1254</v>
      </c>
    </row>
    <row r="574">
      <c r="A574" s="17">
        <v>7081700.0</v>
      </c>
      <c r="B574" s="17" t="s">
        <v>1255</v>
      </c>
      <c r="C574" s="17" t="s">
        <v>1256</v>
      </c>
    </row>
    <row r="575">
      <c r="A575" s="17">
        <v>7081800.0</v>
      </c>
      <c r="B575" s="17" t="s">
        <v>1257</v>
      </c>
      <c r="C575" s="17" t="s">
        <v>1258</v>
      </c>
    </row>
    <row r="576">
      <c r="A576" s="17">
        <v>7081900.0</v>
      </c>
      <c r="B576" s="17" t="s">
        <v>1259</v>
      </c>
      <c r="C576" s="17" t="s">
        <v>1260</v>
      </c>
    </row>
    <row r="577">
      <c r="A577" s="17">
        <v>7082000.0</v>
      </c>
      <c r="B577" s="17" t="s">
        <v>1261</v>
      </c>
      <c r="C577" s="17" t="s">
        <v>1262</v>
      </c>
    </row>
    <row r="578">
      <c r="A578" s="17">
        <v>7082100.0</v>
      </c>
      <c r="B578" s="17" t="s">
        <v>1263</v>
      </c>
      <c r="C578" s="17" t="s">
        <v>1264</v>
      </c>
    </row>
    <row r="579">
      <c r="A579" s="17">
        <v>7082200.0</v>
      </c>
      <c r="B579" s="17" t="s">
        <v>1265</v>
      </c>
      <c r="C579" s="17" t="s">
        <v>1266</v>
      </c>
    </row>
    <row r="580">
      <c r="A580" s="17">
        <v>7082300.0</v>
      </c>
      <c r="B580" s="17" t="s">
        <v>1267</v>
      </c>
      <c r="C580" s="17" t="s">
        <v>1268</v>
      </c>
    </row>
    <row r="581">
      <c r="A581" s="17">
        <v>7082400.0</v>
      </c>
      <c r="B581" s="17" t="s">
        <v>1269</v>
      </c>
      <c r="C581" s="17" t="s">
        <v>1270</v>
      </c>
    </row>
    <row r="582">
      <c r="A582" s="17">
        <v>7082500.0</v>
      </c>
      <c r="B582" s="17" t="s">
        <v>1271</v>
      </c>
      <c r="C582" s="17" t="s">
        <v>1272</v>
      </c>
    </row>
    <row r="583">
      <c r="A583" s="17">
        <v>7082600.0</v>
      </c>
      <c r="B583" s="17" t="s">
        <v>1273</v>
      </c>
      <c r="C583" s="17" t="s">
        <v>1274</v>
      </c>
    </row>
    <row r="584">
      <c r="A584" s="17">
        <v>7082700.0</v>
      </c>
      <c r="B584" s="17" t="s">
        <v>1275</v>
      </c>
      <c r="C584" s="17" t="s">
        <v>1276</v>
      </c>
    </row>
    <row r="585">
      <c r="A585" s="17">
        <v>7082800.0</v>
      </c>
      <c r="B585" s="17" t="s">
        <v>1277</v>
      </c>
      <c r="C585" s="17" t="s">
        <v>1278</v>
      </c>
    </row>
    <row r="586">
      <c r="A586" s="17">
        <v>7082900.0</v>
      </c>
      <c r="B586" s="17" t="s">
        <v>1279</v>
      </c>
      <c r="C586" s="17" t="s">
        <v>1280</v>
      </c>
    </row>
    <row r="587">
      <c r="A587" s="17">
        <v>7090000.0</v>
      </c>
      <c r="B587" s="17" t="s">
        <v>1281</v>
      </c>
      <c r="C587" s="17" t="s">
        <v>1282</v>
      </c>
    </row>
    <row r="588">
      <c r="A588" s="17">
        <v>7090100.0</v>
      </c>
      <c r="B588" s="17" t="s">
        <v>1283</v>
      </c>
      <c r="C588" s="17" t="s">
        <v>1284</v>
      </c>
    </row>
    <row r="589">
      <c r="A589" s="17">
        <v>7090300.0</v>
      </c>
      <c r="B589" s="17" t="s">
        <v>1285</v>
      </c>
      <c r="C589" s="17" t="s">
        <v>1286</v>
      </c>
    </row>
    <row r="590">
      <c r="A590" s="17">
        <v>7100000.0</v>
      </c>
      <c r="B590" s="17" t="s">
        <v>1287</v>
      </c>
      <c r="C590" s="17" t="s">
        <v>1288</v>
      </c>
    </row>
    <row r="591">
      <c r="A591" s="17">
        <v>7100100.0</v>
      </c>
      <c r="B591" s="17" t="s">
        <v>1289</v>
      </c>
      <c r="C591" s="17" t="s">
        <v>1290</v>
      </c>
    </row>
    <row r="592">
      <c r="A592" s="17">
        <v>7100190.0</v>
      </c>
      <c r="B592" s="17" t="s">
        <v>1291</v>
      </c>
      <c r="C592" s="17" t="s">
        <v>1292</v>
      </c>
    </row>
    <row r="593">
      <c r="A593" s="17">
        <v>7110000.0</v>
      </c>
      <c r="B593" s="17" t="s">
        <v>1293</v>
      </c>
      <c r="C593" s="17" t="s">
        <v>1294</v>
      </c>
    </row>
    <row r="594">
      <c r="A594" s="17">
        <v>7120000.0</v>
      </c>
      <c r="B594" s="17" t="s">
        <v>1295</v>
      </c>
      <c r="C594" s="17" t="s">
        <v>1296</v>
      </c>
    </row>
    <row r="595">
      <c r="A595" s="17">
        <v>7120100.0</v>
      </c>
      <c r="B595" s="17" t="s">
        <v>1297</v>
      </c>
      <c r="C595" s="17" t="s">
        <v>1298</v>
      </c>
    </row>
    <row r="596">
      <c r="A596" s="17">
        <v>7120101.0</v>
      </c>
      <c r="B596" s="17" t="s">
        <v>1299</v>
      </c>
      <c r="C596" s="17" t="s">
        <v>1300</v>
      </c>
    </row>
    <row r="597">
      <c r="A597" s="17">
        <v>7120200.0</v>
      </c>
      <c r="B597" s="17" t="s">
        <v>1301</v>
      </c>
      <c r="C597" s="17" t="s">
        <v>1302</v>
      </c>
    </row>
    <row r="598">
      <c r="A598" s="17">
        <v>7120300.0</v>
      </c>
      <c r="B598" s="17" t="s">
        <v>1303</v>
      </c>
      <c r="C598" s="17" t="s">
        <v>1304</v>
      </c>
    </row>
    <row r="599">
      <c r="A599" s="17">
        <v>7120400.0</v>
      </c>
      <c r="B599" s="17" t="s">
        <v>1305</v>
      </c>
      <c r="C599" s="17" t="s">
        <v>1306</v>
      </c>
    </row>
    <row r="600">
      <c r="A600" s="17">
        <v>7120500.0</v>
      </c>
      <c r="B600" s="17" t="s">
        <v>1307</v>
      </c>
      <c r="C600" s="17" t="s">
        <v>1308</v>
      </c>
    </row>
    <row r="601">
      <c r="A601" s="17">
        <v>7120600.0</v>
      </c>
      <c r="B601" s="17" t="s">
        <v>1309</v>
      </c>
      <c r="C601" s="17" t="s">
        <v>1310</v>
      </c>
    </row>
    <row r="602">
      <c r="A602" s="17">
        <v>7120700.0</v>
      </c>
      <c r="B602" s="17" t="s">
        <v>1311</v>
      </c>
      <c r="C602" s="17" t="s">
        <v>1312</v>
      </c>
    </row>
    <row r="603">
      <c r="A603" s="17">
        <v>7120900.0</v>
      </c>
      <c r="B603" s="17" t="s">
        <v>1313</v>
      </c>
      <c r="C603" s="17" t="s">
        <v>1314</v>
      </c>
    </row>
    <row r="604">
      <c r="A604" s="17">
        <v>7121000.0</v>
      </c>
      <c r="B604" s="17" t="s">
        <v>1315</v>
      </c>
      <c r="C604" s="17" t="s">
        <v>1316</v>
      </c>
    </row>
    <row r="605">
      <c r="A605" s="17">
        <v>7121100.0</v>
      </c>
      <c r="B605" s="17" t="s">
        <v>1317</v>
      </c>
      <c r="C605" s="17" t="s">
        <v>1318</v>
      </c>
    </row>
    <row r="606">
      <c r="A606" s="17">
        <v>7121200.0</v>
      </c>
      <c r="B606" s="17" t="s">
        <v>1319</v>
      </c>
      <c r="C606" s="17" t="s">
        <v>1320</v>
      </c>
    </row>
    <row r="607">
      <c r="A607" s="17">
        <v>7121300.0</v>
      </c>
      <c r="B607" s="17" t="s">
        <v>1321</v>
      </c>
      <c r="C607" s="17" t="s">
        <v>1322</v>
      </c>
    </row>
    <row r="608">
      <c r="A608" s="17">
        <v>7121400.0</v>
      </c>
      <c r="B608" s="17" t="s">
        <v>1323</v>
      </c>
      <c r="C608" s="17" t="s">
        <v>1324</v>
      </c>
    </row>
    <row r="609">
      <c r="A609" s="17">
        <v>7121500.0</v>
      </c>
      <c r="B609" s="17" t="s">
        <v>1325</v>
      </c>
      <c r="C609" s="17" t="s">
        <v>1326</v>
      </c>
    </row>
    <row r="610">
      <c r="A610" s="17">
        <v>7121600.0</v>
      </c>
      <c r="B610" s="17" t="s">
        <v>1327</v>
      </c>
      <c r="C610" s="17" t="s">
        <v>1328</v>
      </c>
    </row>
    <row r="611">
      <c r="A611" s="17">
        <v>7121700.0</v>
      </c>
      <c r="B611" s="17" t="s">
        <v>1329</v>
      </c>
      <c r="C611" s="17" t="s">
        <v>1330</v>
      </c>
    </row>
    <row r="612">
      <c r="A612" s="17">
        <v>7121800.0</v>
      </c>
      <c r="B612" s="17" t="s">
        <v>1331</v>
      </c>
      <c r="C612" s="17" t="s">
        <v>1332</v>
      </c>
    </row>
    <row r="613">
      <c r="A613" s="17">
        <v>7121900.0</v>
      </c>
      <c r="B613" s="17" t="s">
        <v>1333</v>
      </c>
      <c r="C613" s="17" t="s">
        <v>1334</v>
      </c>
    </row>
    <row r="614">
      <c r="A614" s="17">
        <v>7122000.0</v>
      </c>
      <c r="B614" s="17" t="s">
        <v>1335</v>
      </c>
      <c r="C614" s="17" t="s">
        <v>1336</v>
      </c>
    </row>
    <row r="615">
      <c r="A615" s="17">
        <v>7122100.0</v>
      </c>
      <c r="B615" s="17" t="s">
        <v>1337</v>
      </c>
      <c r="C615" s="17" t="s">
        <v>1338</v>
      </c>
    </row>
    <row r="616">
      <c r="A616" s="17">
        <v>7122200.0</v>
      </c>
      <c r="B616" s="17" t="s">
        <v>1339</v>
      </c>
      <c r="C616" s="17" t="s">
        <v>1340</v>
      </c>
    </row>
    <row r="617">
      <c r="A617" s="17">
        <v>7122300.0</v>
      </c>
      <c r="B617" s="17" t="s">
        <v>1341</v>
      </c>
      <c r="C617" s="17" t="s">
        <v>1342</v>
      </c>
    </row>
    <row r="618">
      <c r="A618" s="17">
        <v>7122400.0</v>
      </c>
      <c r="B618" s="17" t="s">
        <v>1343</v>
      </c>
      <c r="C618" s="17" t="s">
        <v>1344</v>
      </c>
    </row>
    <row r="619">
      <c r="A619" s="17">
        <v>7122500.0</v>
      </c>
      <c r="B619" s="17" t="s">
        <v>1345</v>
      </c>
      <c r="C619" s="17" t="s">
        <v>1346</v>
      </c>
    </row>
    <row r="620">
      <c r="A620" s="17">
        <v>7122600.0</v>
      </c>
      <c r="B620" s="17" t="s">
        <v>1347</v>
      </c>
      <c r="C620" s="17" t="s">
        <v>1348</v>
      </c>
    </row>
    <row r="621">
      <c r="A621" s="17">
        <v>7122700.0</v>
      </c>
      <c r="B621" s="17" t="s">
        <v>1349</v>
      </c>
      <c r="C621" s="17" t="s">
        <v>1350</v>
      </c>
    </row>
    <row r="622">
      <c r="A622" s="17">
        <v>7122800.0</v>
      </c>
      <c r="B622" s="17" t="s">
        <v>1351</v>
      </c>
      <c r="C622" s="17" t="s">
        <v>1352</v>
      </c>
    </row>
    <row r="623">
      <c r="A623" s="17">
        <v>7122900.0</v>
      </c>
      <c r="B623" s="17" t="s">
        <v>1353</v>
      </c>
      <c r="C623" s="17" t="s">
        <v>1354</v>
      </c>
    </row>
    <row r="624">
      <c r="A624" s="17">
        <v>7123000.0</v>
      </c>
      <c r="B624" s="17" t="s">
        <v>1355</v>
      </c>
      <c r="C624" s="17" t="s">
        <v>1356</v>
      </c>
    </row>
    <row r="625">
      <c r="A625" s="17">
        <v>7123100.0</v>
      </c>
      <c r="B625" s="17" t="s">
        <v>1357</v>
      </c>
      <c r="C625" s="17" t="s">
        <v>1358</v>
      </c>
    </row>
    <row r="626">
      <c r="A626" s="17">
        <v>7123200.0</v>
      </c>
      <c r="B626" s="17" t="s">
        <v>1359</v>
      </c>
      <c r="C626" s="17" t="s">
        <v>1360</v>
      </c>
    </row>
    <row r="627">
      <c r="A627" s="17">
        <v>7123300.0</v>
      </c>
      <c r="B627" s="17" t="s">
        <v>1361</v>
      </c>
      <c r="C627" s="17" t="s">
        <v>1362</v>
      </c>
    </row>
    <row r="628">
      <c r="A628" s="17">
        <v>7123400.0</v>
      </c>
      <c r="B628" s="17" t="s">
        <v>1363</v>
      </c>
      <c r="C628" s="17" t="s">
        <v>1364</v>
      </c>
    </row>
    <row r="629">
      <c r="A629" s="17">
        <v>7123500.0</v>
      </c>
      <c r="B629" s="17" t="s">
        <v>1365</v>
      </c>
      <c r="C629" s="17" t="s">
        <v>1366</v>
      </c>
    </row>
    <row r="630">
      <c r="A630" s="17">
        <v>7123600.0</v>
      </c>
      <c r="B630" s="17" t="s">
        <v>1367</v>
      </c>
      <c r="C630" s="17" t="s">
        <v>1368</v>
      </c>
    </row>
    <row r="631">
      <c r="A631" s="17">
        <v>7123700.0</v>
      </c>
      <c r="B631" s="17" t="s">
        <v>1369</v>
      </c>
      <c r="C631" s="17" t="s">
        <v>1370</v>
      </c>
    </row>
    <row r="632">
      <c r="A632" s="17">
        <v>7123800.0</v>
      </c>
      <c r="B632" s="17" t="s">
        <v>1371</v>
      </c>
      <c r="C632" s="17" t="s">
        <v>1372</v>
      </c>
    </row>
    <row r="633">
      <c r="A633" s="17">
        <v>7123900.0</v>
      </c>
      <c r="B633" s="17" t="s">
        <v>1373</v>
      </c>
      <c r="C633" s="17" t="s">
        <v>1374</v>
      </c>
    </row>
    <row r="634">
      <c r="A634" s="17">
        <v>7124000.0</v>
      </c>
      <c r="B634" s="17" t="s">
        <v>1375</v>
      </c>
      <c r="C634" s="17" t="s">
        <v>1376</v>
      </c>
    </row>
    <row r="635">
      <c r="A635" s="17">
        <v>7124100.0</v>
      </c>
      <c r="B635" s="17" t="s">
        <v>1377</v>
      </c>
      <c r="C635" s="17" t="s">
        <v>1378</v>
      </c>
    </row>
    <row r="636">
      <c r="A636" s="17">
        <v>7124300.0</v>
      </c>
      <c r="B636" s="17" t="s">
        <v>1379</v>
      </c>
      <c r="C636" s="17" t="s">
        <v>1380</v>
      </c>
    </row>
    <row r="637">
      <c r="A637" s="17">
        <v>7124400.0</v>
      </c>
      <c r="B637" s="17" t="s">
        <v>1381</v>
      </c>
      <c r="C637" s="17" t="s">
        <v>1382</v>
      </c>
    </row>
    <row r="638">
      <c r="A638" s="17">
        <v>7124500.0</v>
      </c>
      <c r="B638" s="17" t="s">
        <v>1383</v>
      </c>
      <c r="C638" s="17" t="s">
        <v>1384</v>
      </c>
    </row>
    <row r="639">
      <c r="A639" s="17">
        <v>7124600.0</v>
      </c>
      <c r="B639" s="17" t="s">
        <v>1385</v>
      </c>
      <c r="C639" s="17" t="s">
        <v>1386</v>
      </c>
    </row>
    <row r="640">
      <c r="A640" s="17">
        <v>7124700.0</v>
      </c>
      <c r="B640" s="17" t="s">
        <v>1387</v>
      </c>
      <c r="C640" s="17" t="s">
        <v>1388</v>
      </c>
    </row>
    <row r="641">
      <c r="A641" s="17">
        <v>7126000.0</v>
      </c>
      <c r="B641" s="17" t="s">
        <v>1389</v>
      </c>
      <c r="C641" s="17" t="s">
        <v>1390</v>
      </c>
    </row>
    <row r="642">
      <c r="A642" s="17">
        <v>7150000.0</v>
      </c>
      <c r="B642" s="17" t="s">
        <v>1391</v>
      </c>
      <c r="C642" s="17" t="s">
        <v>1392</v>
      </c>
    </row>
    <row r="643">
      <c r="A643" s="17">
        <v>7160000.0</v>
      </c>
      <c r="B643" s="17" t="s">
        <v>1393</v>
      </c>
      <c r="C643" s="17" t="s">
        <v>1394</v>
      </c>
    </row>
    <row r="644">
      <c r="A644" s="17">
        <v>7170100.0</v>
      </c>
      <c r="B644" s="17" t="s">
        <v>1395</v>
      </c>
      <c r="C644" s="17" t="s">
        <v>1396</v>
      </c>
    </row>
    <row r="645">
      <c r="A645" s="17">
        <v>7200000.0</v>
      </c>
      <c r="B645" s="17" t="s">
        <v>1397</v>
      </c>
      <c r="C645" s="17" t="s">
        <v>1398</v>
      </c>
    </row>
    <row r="646">
      <c r="A646" s="17">
        <v>7200100.0</v>
      </c>
      <c r="B646" s="17" t="s">
        <v>1399</v>
      </c>
      <c r="C646" s="17" t="s">
        <v>1400</v>
      </c>
    </row>
    <row r="647">
      <c r="A647" s="17">
        <v>7220000.0</v>
      </c>
      <c r="B647" s="17" t="s">
        <v>1401</v>
      </c>
      <c r="C647" s="17" t="s">
        <v>1402</v>
      </c>
    </row>
    <row r="648">
      <c r="A648" s="17">
        <v>7230000.0</v>
      </c>
      <c r="B648" s="17" t="s">
        <v>1403</v>
      </c>
      <c r="C648" s="17" t="s">
        <v>1404</v>
      </c>
    </row>
    <row r="649">
      <c r="A649" s="17">
        <v>7230001.0</v>
      </c>
      <c r="B649" s="17" t="s">
        <v>1405</v>
      </c>
      <c r="C649" s="17" t="s">
        <v>1406</v>
      </c>
    </row>
    <row r="650">
      <c r="A650" s="17">
        <v>7240000.0</v>
      </c>
      <c r="B650" s="17" t="s">
        <v>1407</v>
      </c>
      <c r="C650" s="17" t="s">
        <v>1408</v>
      </c>
    </row>
    <row r="651">
      <c r="A651" s="17">
        <v>7260000.0</v>
      </c>
      <c r="B651" s="17" t="s">
        <v>1409</v>
      </c>
      <c r="C651" s="17" t="s">
        <v>1410</v>
      </c>
    </row>
    <row r="652">
      <c r="A652" s="17">
        <v>7260200.0</v>
      </c>
      <c r="B652" s="17" t="s">
        <v>1411</v>
      </c>
      <c r="C652" s="17" t="s">
        <v>1412</v>
      </c>
    </row>
    <row r="653">
      <c r="A653" s="17">
        <v>7260300.0</v>
      </c>
      <c r="B653" s="17" t="s">
        <v>1413</v>
      </c>
      <c r="C653" s="17" t="s">
        <v>1414</v>
      </c>
    </row>
    <row r="654">
      <c r="A654" s="17">
        <v>7260400.0</v>
      </c>
      <c r="B654" s="17" t="s">
        <v>1415</v>
      </c>
      <c r="C654" s="17" t="s">
        <v>1416</v>
      </c>
    </row>
    <row r="655">
      <c r="A655" s="17">
        <v>7260600.0</v>
      </c>
      <c r="B655" s="17" t="s">
        <v>1417</v>
      </c>
      <c r="C655" s="17" t="s">
        <v>1418</v>
      </c>
    </row>
    <row r="656">
      <c r="A656" s="17">
        <v>7260700.0</v>
      </c>
      <c r="B656" s="17" t="s">
        <v>1419</v>
      </c>
      <c r="C656" s="17" t="s">
        <v>1420</v>
      </c>
    </row>
    <row r="657">
      <c r="A657" s="17">
        <v>7260701.0</v>
      </c>
      <c r="B657" s="17" t="s">
        <v>183</v>
      </c>
      <c r="C657" s="17" t="s">
        <v>183</v>
      </c>
    </row>
    <row r="658">
      <c r="A658" s="17">
        <v>7260702.0</v>
      </c>
      <c r="B658" s="17" t="s">
        <v>183</v>
      </c>
      <c r="C658" s="17" t="s">
        <v>183</v>
      </c>
    </row>
    <row r="659">
      <c r="A659" s="17">
        <v>7260703.0</v>
      </c>
      <c r="B659" s="17" t="s">
        <v>183</v>
      </c>
      <c r="C659" s="17" t="s">
        <v>183</v>
      </c>
    </row>
    <row r="660">
      <c r="A660" s="17">
        <v>7260704.0</v>
      </c>
      <c r="B660" s="17" t="s">
        <v>183</v>
      </c>
      <c r="C660" s="17" t="s">
        <v>183</v>
      </c>
    </row>
    <row r="661">
      <c r="A661" s="17">
        <v>7260705.0</v>
      </c>
      <c r="B661" s="17" t="s">
        <v>183</v>
      </c>
      <c r="C661" s="17" t="s">
        <v>183</v>
      </c>
    </row>
    <row r="662">
      <c r="A662" s="17">
        <v>7260706.0</v>
      </c>
      <c r="B662" s="17" t="s">
        <v>183</v>
      </c>
      <c r="C662" s="17" t="s">
        <v>183</v>
      </c>
    </row>
    <row r="663">
      <c r="A663" s="17">
        <v>7260707.0</v>
      </c>
      <c r="B663" s="17" t="s">
        <v>183</v>
      </c>
      <c r="C663" s="17" t="s">
        <v>183</v>
      </c>
    </row>
    <row r="664">
      <c r="A664" s="17">
        <v>7260708.0</v>
      </c>
      <c r="B664" s="17" t="s">
        <v>183</v>
      </c>
      <c r="C664" s="17" t="s">
        <v>183</v>
      </c>
    </row>
    <row r="665">
      <c r="A665" s="17">
        <v>7260709.0</v>
      </c>
      <c r="B665" s="17" t="s">
        <v>183</v>
      </c>
      <c r="C665" s="17" t="s">
        <v>183</v>
      </c>
    </row>
    <row r="666">
      <c r="A666" s="17">
        <v>7260710.0</v>
      </c>
      <c r="B666" s="17" t="s">
        <v>340</v>
      </c>
      <c r="C666" s="17" t="s">
        <v>1421</v>
      </c>
    </row>
    <row r="667">
      <c r="A667" s="17">
        <v>7260900.0</v>
      </c>
      <c r="B667" s="17" t="s">
        <v>1422</v>
      </c>
      <c r="C667" s="17" t="s">
        <v>1423</v>
      </c>
    </row>
    <row r="668">
      <c r="A668" s="17">
        <v>7270100.0</v>
      </c>
      <c r="B668" s="17" t="s">
        <v>1424</v>
      </c>
      <c r="C668" s="17" t="s">
        <v>1425</v>
      </c>
    </row>
    <row r="669">
      <c r="A669" s="17">
        <v>7280000.0</v>
      </c>
      <c r="B669" s="17" t="s">
        <v>1426</v>
      </c>
      <c r="C669" s="17" t="s">
        <v>1427</v>
      </c>
    </row>
    <row r="670">
      <c r="A670" s="17">
        <v>7290000.0</v>
      </c>
      <c r="B670" s="17" t="s">
        <v>1428</v>
      </c>
      <c r="C670" s="17" t="s">
        <v>1429</v>
      </c>
    </row>
    <row r="671">
      <c r="A671" s="17">
        <v>7300000.0</v>
      </c>
      <c r="B671" s="17" t="s">
        <v>1430</v>
      </c>
      <c r="C671" s="17" t="s">
        <v>1431</v>
      </c>
    </row>
    <row r="672">
      <c r="A672" s="17">
        <v>7310000.0</v>
      </c>
      <c r="B672" s="17" t="s">
        <v>1432</v>
      </c>
      <c r="C672" s="17" t="s">
        <v>1433</v>
      </c>
    </row>
    <row r="673">
      <c r="A673" s="17">
        <v>7320000.0</v>
      </c>
      <c r="B673" s="17" t="s">
        <v>1434</v>
      </c>
      <c r="C673" s="17" t="s">
        <v>1435</v>
      </c>
    </row>
    <row r="674">
      <c r="A674" s="17">
        <v>7330000.0</v>
      </c>
      <c r="B674" s="17" t="s">
        <v>1436</v>
      </c>
      <c r="C674" s="17" t="s">
        <v>1437</v>
      </c>
    </row>
    <row r="675">
      <c r="A675" s="17">
        <v>7330100.0</v>
      </c>
      <c r="B675" s="17" t="s">
        <v>1438</v>
      </c>
      <c r="C675" s="17" t="s">
        <v>1439</v>
      </c>
    </row>
    <row r="676">
      <c r="A676" s="17">
        <v>7330200.0</v>
      </c>
      <c r="B676" s="17" t="s">
        <v>1440</v>
      </c>
      <c r="C676" s="17" t="s">
        <v>1441</v>
      </c>
    </row>
    <row r="677">
      <c r="A677" s="17">
        <v>7330300.0</v>
      </c>
      <c r="B677" s="17" t="s">
        <v>1442</v>
      </c>
      <c r="C677" s="17" t="s">
        <v>1443</v>
      </c>
    </row>
    <row r="678">
      <c r="A678" s="17">
        <v>7330400.0</v>
      </c>
      <c r="B678" s="17" t="s">
        <v>1444</v>
      </c>
      <c r="C678" s="17" t="s">
        <v>1445</v>
      </c>
    </row>
    <row r="679">
      <c r="A679" s="17">
        <v>7330500.0</v>
      </c>
      <c r="B679" s="17" t="s">
        <v>1446</v>
      </c>
      <c r="C679" s="17" t="s">
        <v>1447</v>
      </c>
    </row>
    <row r="680">
      <c r="A680" s="17">
        <v>7330600.0</v>
      </c>
      <c r="B680" s="17" t="s">
        <v>1448</v>
      </c>
      <c r="C680" s="17" t="s">
        <v>1449</v>
      </c>
    </row>
    <row r="681">
      <c r="A681" s="17">
        <v>7330700.0</v>
      </c>
      <c r="B681" s="17" t="s">
        <v>1450</v>
      </c>
      <c r="C681" s="17" t="s">
        <v>1451</v>
      </c>
    </row>
    <row r="682">
      <c r="A682" s="17">
        <v>7330800.0</v>
      </c>
      <c r="B682" s="17" t="s">
        <v>1452</v>
      </c>
      <c r="C682" s="17" t="s">
        <v>1453</v>
      </c>
    </row>
    <row r="683">
      <c r="A683" s="17">
        <v>7330900.0</v>
      </c>
      <c r="B683" s="17" t="s">
        <v>1454</v>
      </c>
      <c r="C683" s="17" t="s">
        <v>1455</v>
      </c>
    </row>
    <row r="684">
      <c r="A684" s="17">
        <v>7331000.0</v>
      </c>
      <c r="B684" s="17" t="s">
        <v>1456</v>
      </c>
      <c r="C684" s="17" t="s">
        <v>1457</v>
      </c>
    </row>
    <row r="685">
      <c r="A685" s="17">
        <v>7331100.0</v>
      </c>
      <c r="B685" s="17" t="s">
        <v>1458</v>
      </c>
      <c r="C685" s="17" t="s">
        <v>1459</v>
      </c>
    </row>
    <row r="686">
      <c r="A686" s="17">
        <v>7331200.0</v>
      </c>
      <c r="B686" s="17" t="s">
        <v>1460</v>
      </c>
      <c r="C686" s="17" t="s">
        <v>1461</v>
      </c>
    </row>
    <row r="687">
      <c r="A687" s="17">
        <v>7331300.0</v>
      </c>
      <c r="B687" s="17" t="s">
        <v>1462</v>
      </c>
      <c r="C687" s="17" t="s">
        <v>1463</v>
      </c>
    </row>
    <row r="688">
      <c r="A688" s="17">
        <v>7331400.0</v>
      </c>
      <c r="B688" s="17" t="s">
        <v>1464</v>
      </c>
      <c r="C688" s="17" t="s">
        <v>1465</v>
      </c>
    </row>
    <row r="689">
      <c r="A689" s="17">
        <v>7331500.0</v>
      </c>
      <c r="B689" s="17" t="s">
        <v>1466</v>
      </c>
      <c r="C689" s="17" t="s">
        <v>1467</v>
      </c>
    </row>
    <row r="690">
      <c r="A690" s="17">
        <v>7331600.0</v>
      </c>
      <c r="B690" s="17" t="s">
        <v>1468</v>
      </c>
      <c r="C690" s="17" t="s">
        <v>1469</v>
      </c>
    </row>
    <row r="691">
      <c r="A691" s="17">
        <v>7331700.0</v>
      </c>
      <c r="B691" s="17" t="s">
        <v>1470</v>
      </c>
      <c r="C691" s="17" t="s">
        <v>1471</v>
      </c>
    </row>
    <row r="692">
      <c r="A692" s="17">
        <v>7331800.0</v>
      </c>
      <c r="B692" s="17" t="s">
        <v>1472</v>
      </c>
      <c r="C692" s="17" t="s">
        <v>1473</v>
      </c>
    </row>
    <row r="693">
      <c r="A693" s="17">
        <v>7331900.0</v>
      </c>
      <c r="B693" s="17" t="s">
        <v>1474</v>
      </c>
      <c r="C693" s="17" t="s">
        <v>1475</v>
      </c>
    </row>
    <row r="694">
      <c r="A694" s="17">
        <v>7332000.0</v>
      </c>
      <c r="B694" s="17" t="s">
        <v>1476</v>
      </c>
      <c r="C694" s="17" t="s">
        <v>1477</v>
      </c>
    </row>
    <row r="695">
      <c r="A695" s="17">
        <v>7332100.0</v>
      </c>
      <c r="B695" s="17" t="s">
        <v>1478</v>
      </c>
      <c r="C695" s="17" t="s">
        <v>1479</v>
      </c>
    </row>
    <row r="696">
      <c r="A696" s="17">
        <v>7332200.0</v>
      </c>
      <c r="B696" s="17" t="s">
        <v>1480</v>
      </c>
      <c r="C696" s="17" t="s">
        <v>1481</v>
      </c>
    </row>
    <row r="697">
      <c r="A697" s="17">
        <v>7332300.0</v>
      </c>
      <c r="B697" s="17" t="s">
        <v>1482</v>
      </c>
      <c r="C697" s="17" t="s">
        <v>1483</v>
      </c>
    </row>
    <row r="698">
      <c r="A698" s="17">
        <v>7332400.0</v>
      </c>
      <c r="B698" s="17" t="s">
        <v>1484</v>
      </c>
      <c r="C698" s="17" t="s">
        <v>1485</v>
      </c>
    </row>
    <row r="699">
      <c r="A699" s="17">
        <v>7332500.0</v>
      </c>
      <c r="B699" s="17" t="s">
        <v>1486</v>
      </c>
      <c r="C699" s="17" t="s">
        <v>1487</v>
      </c>
    </row>
    <row r="700">
      <c r="A700" s="17">
        <v>7332600.0</v>
      </c>
      <c r="B700" s="17" t="s">
        <v>1488</v>
      </c>
      <c r="C700" s="17" t="s">
        <v>1489</v>
      </c>
    </row>
    <row r="701">
      <c r="A701" s="17">
        <v>7332700.0</v>
      </c>
      <c r="B701" s="17" t="s">
        <v>1490</v>
      </c>
      <c r="C701" s="17" t="s">
        <v>1491</v>
      </c>
    </row>
    <row r="702">
      <c r="A702" s="17">
        <v>7340000.0</v>
      </c>
      <c r="B702" s="17" t="s">
        <v>1492</v>
      </c>
      <c r="C702" s="17" t="s">
        <v>1493</v>
      </c>
    </row>
    <row r="703">
      <c r="A703" s="17">
        <v>7340100.0</v>
      </c>
      <c r="B703" s="17" t="s">
        <v>1494</v>
      </c>
      <c r="C703" s="17" t="s">
        <v>1495</v>
      </c>
    </row>
    <row r="704">
      <c r="A704" s="17">
        <v>7340200.0</v>
      </c>
      <c r="B704" s="17" t="s">
        <v>1496</v>
      </c>
      <c r="C704" s="17" t="s">
        <v>1497</v>
      </c>
    </row>
    <row r="705">
      <c r="A705" s="17">
        <v>7340300.0</v>
      </c>
      <c r="B705" s="17" t="s">
        <v>1498</v>
      </c>
      <c r="C705" s="17" t="s">
        <v>1499</v>
      </c>
    </row>
    <row r="706">
      <c r="A706" s="17">
        <v>7340400.0</v>
      </c>
      <c r="B706" s="17" t="s">
        <v>1500</v>
      </c>
      <c r="C706" s="17" t="s">
        <v>1501</v>
      </c>
    </row>
    <row r="707">
      <c r="A707" s="17">
        <v>7340500.0</v>
      </c>
      <c r="B707" s="17" t="s">
        <v>1502</v>
      </c>
      <c r="C707" s="17" t="s">
        <v>1503</v>
      </c>
    </row>
    <row r="708">
      <c r="A708" s="17">
        <v>7340600.0</v>
      </c>
      <c r="B708" s="17" t="s">
        <v>1504</v>
      </c>
      <c r="C708" s="17" t="s">
        <v>1505</v>
      </c>
    </row>
    <row r="709">
      <c r="A709" s="17">
        <v>7340700.0</v>
      </c>
      <c r="B709" s="17" t="s">
        <v>1506</v>
      </c>
      <c r="C709" s="17" t="s">
        <v>1507</v>
      </c>
    </row>
    <row r="710">
      <c r="A710" s="17">
        <v>7340800.0</v>
      </c>
      <c r="B710" s="17" t="s">
        <v>1508</v>
      </c>
      <c r="C710" s="17" t="s">
        <v>1509</v>
      </c>
    </row>
    <row r="711">
      <c r="A711" s="17">
        <v>7340900.0</v>
      </c>
      <c r="B711" s="17" t="s">
        <v>1510</v>
      </c>
      <c r="C711" s="17" t="s">
        <v>1511</v>
      </c>
    </row>
    <row r="712">
      <c r="A712" s="17">
        <v>7341000.0</v>
      </c>
      <c r="B712" s="17" t="s">
        <v>1512</v>
      </c>
      <c r="C712" s="17" t="s">
        <v>1513</v>
      </c>
    </row>
    <row r="713">
      <c r="A713" s="17">
        <v>7341100.0</v>
      </c>
      <c r="B713" s="17" t="s">
        <v>1514</v>
      </c>
      <c r="C713" s="17" t="s">
        <v>1515</v>
      </c>
    </row>
    <row r="714">
      <c r="A714" s="17">
        <v>7341200.0</v>
      </c>
      <c r="B714" s="17" t="s">
        <v>1516</v>
      </c>
      <c r="C714" s="17" t="s">
        <v>1517</v>
      </c>
    </row>
    <row r="715">
      <c r="A715" s="17">
        <v>7341300.0</v>
      </c>
      <c r="B715" s="17" t="s">
        <v>1518</v>
      </c>
      <c r="C715" s="17" t="s">
        <v>1519</v>
      </c>
    </row>
    <row r="716">
      <c r="A716" s="17">
        <v>7341400.0</v>
      </c>
      <c r="B716" s="17" t="s">
        <v>1520</v>
      </c>
      <c r="C716" s="17" t="s">
        <v>1521</v>
      </c>
    </row>
    <row r="717">
      <c r="A717" s="17">
        <v>7341500.0</v>
      </c>
      <c r="B717" s="17" t="s">
        <v>1522</v>
      </c>
      <c r="C717" s="17" t="s">
        <v>1523</v>
      </c>
    </row>
    <row r="718">
      <c r="A718" s="17">
        <v>7341600.0</v>
      </c>
      <c r="B718" s="17" t="s">
        <v>1524</v>
      </c>
      <c r="C718" s="17" t="s">
        <v>1525</v>
      </c>
    </row>
    <row r="719">
      <c r="A719" s="17">
        <v>7341700.0</v>
      </c>
      <c r="B719" s="17" t="s">
        <v>1526</v>
      </c>
      <c r="C719" s="17" t="s">
        <v>1527</v>
      </c>
    </row>
    <row r="720">
      <c r="A720" s="17">
        <v>7341800.0</v>
      </c>
      <c r="B720" s="17" t="s">
        <v>1528</v>
      </c>
      <c r="C720" s="17" t="s">
        <v>1529</v>
      </c>
    </row>
    <row r="721">
      <c r="A721" s="17">
        <v>7341900.0</v>
      </c>
      <c r="B721" s="17" t="s">
        <v>1530</v>
      </c>
      <c r="C721" s="17" t="s">
        <v>1531</v>
      </c>
    </row>
    <row r="722">
      <c r="A722" s="17">
        <v>7342000.0</v>
      </c>
      <c r="B722" s="17" t="s">
        <v>1532</v>
      </c>
      <c r="C722" s="17" t="s">
        <v>1533</v>
      </c>
    </row>
    <row r="723">
      <c r="A723" s="17">
        <v>7342100.0</v>
      </c>
      <c r="B723" s="17" t="s">
        <v>1534</v>
      </c>
      <c r="C723" s="17" t="s">
        <v>1535</v>
      </c>
    </row>
    <row r="724">
      <c r="A724" s="17">
        <v>7342200.0</v>
      </c>
      <c r="B724" s="17" t="s">
        <v>1536</v>
      </c>
      <c r="C724" s="17" t="s">
        <v>1537</v>
      </c>
    </row>
    <row r="725">
      <c r="A725" s="17">
        <v>7342300.0</v>
      </c>
      <c r="B725" s="17" t="s">
        <v>1538</v>
      </c>
      <c r="C725" s="17" t="s">
        <v>1539</v>
      </c>
    </row>
    <row r="726">
      <c r="A726" s="17">
        <v>7342400.0</v>
      </c>
      <c r="B726" s="17" t="s">
        <v>1540</v>
      </c>
      <c r="C726" s="17" t="s">
        <v>1541</v>
      </c>
    </row>
    <row r="727">
      <c r="A727" s="17">
        <v>7342500.0</v>
      </c>
      <c r="B727" s="17" t="s">
        <v>1542</v>
      </c>
      <c r="C727" s="17" t="s">
        <v>1543</v>
      </c>
    </row>
    <row r="728">
      <c r="A728" s="17">
        <v>7342600.0</v>
      </c>
      <c r="B728" s="17" t="s">
        <v>1544</v>
      </c>
      <c r="C728" s="17" t="s">
        <v>1545</v>
      </c>
    </row>
    <row r="729">
      <c r="A729" s="17">
        <v>7342700.0</v>
      </c>
      <c r="B729" s="17" t="s">
        <v>1546</v>
      </c>
      <c r="C729" s="17" t="s">
        <v>1547</v>
      </c>
    </row>
    <row r="730">
      <c r="A730" s="17">
        <v>7350000.0</v>
      </c>
      <c r="B730" s="17" t="s">
        <v>1548</v>
      </c>
      <c r="C730" s="17" t="s">
        <v>1549</v>
      </c>
    </row>
    <row r="731">
      <c r="A731" s="17">
        <v>7350100.0</v>
      </c>
      <c r="B731" s="17" t="s">
        <v>1550</v>
      </c>
      <c r="C731" s="17" t="s">
        <v>1551</v>
      </c>
    </row>
    <row r="732">
      <c r="A732" s="17">
        <v>7350200.0</v>
      </c>
      <c r="B732" s="17" t="s">
        <v>1552</v>
      </c>
      <c r="C732" s="17" t="s">
        <v>1553</v>
      </c>
    </row>
    <row r="733">
      <c r="A733" s="17">
        <v>7350300.0</v>
      </c>
      <c r="B733" s="17" t="s">
        <v>1554</v>
      </c>
      <c r="C733" s="17" t="s">
        <v>1555</v>
      </c>
    </row>
    <row r="734">
      <c r="A734" s="17">
        <v>7350400.0</v>
      </c>
      <c r="B734" s="17" t="s">
        <v>1556</v>
      </c>
      <c r="C734" s="17" t="s">
        <v>1557</v>
      </c>
    </row>
    <row r="735">
      <c r="A735" s="17">
        <v>7350500.0</v>
      </c>
      <c r="B735" s="17" t="s">
        <v>1558</v>
      </c>
      <c r="C735" s="17" t="s">
        <v>1559</v>
      </c>
    </row>
    <row r="736">
      <c r="A736" s="17">
        <v>7350600.0</v>
      </c>
      <c r="B736" s="17" t="s">
        <v>1560</v>
      </c>
      <c r="C736" s="17" t="s">
        <v>1561</v>
      </c>
    </row>
    <row r="737">
      <c r="A737" s="17">
        <v>7350700.0</v>
      </c>
      <c r="B737" s="17" t="s">
        <v>1562</v>
      </c>
      <c r="C737" s="17" t="s">
        <v>1563</v>
      </c>
    </row>
    <row r="738">
      <c r="A738" s="17">
        <v>7350800.0</v>
      </c>
      <c r="B738" s="17" t="s">
        <v>1564</v>
      </c>
      <c r="C738" s="17" t="s">
        <v>1565</v>
      </c>
    </row>
    <row r="739">
      <c r="A739" s="17">
        <v>7350900.0</v>
      </c>
      <c r="B739" s="17" t="s">
        <v>1566</v>
      </c>
      <c r="C739" s="17" t="s">
        <v>1567</v>
      </c>
    </row>
    <row r="740">
      <c r="A740" s="17">
        <v>7351000.0</v>
      </c>
      <c r="B740" s="17" t="s">
        <v>1568</v>
      </c>
      <c r="C740" s="17" t="s">
        <v>1569</v>
      </c>
    </row>
    <row r="741">
      <c r="A741" s="17">
        <v>7351100.0</v>
      </c>
      <c r="B741" s="17" t="s">
        <v>1570</v>
      </c>
      <c r="C741" s="17" t="s">
        <v>1571</v>
      </c>
    </row>
    <row r="742">
      <c r="A742" s="17">
        <v>7351200.0</v>
      </c>
      <c r="B742" s="17" t="s">
        <v>1572</v>
      </c>
      <c r="C742" s="17" t="s">
        <v>1573</v>
      </c>
    </row>
    <row r="743">
      <c r="A743" s="17">
        <v>7351300.0</v>
      </c>
      <c r="B743" s="17" t="s">
        <v>1574</v>
      </c>
      <c r="C743" s="17" t="s">
        <v>1575</v>
      </c>
    </row>
    <row r="744">
      <c r="A744" s="17">
        <v>7351400.0</v>
      </c>
      <c r="B744" s="17" t="s">
        <v>1576</v>
      </c>
      <c r="C744" s="17" t="s">
        <v>1577</v>
      </c>
    </row>
    <row r="745">
      <c r="A745" s="17">
        <v>7351500.0</v>
      </c>
      <c r="B745" s="17" t="s">
        <v>1578</v>
      </c>
      <c r="C745" s="17" t="s">
        <v>1579</v>
      </c>
    </row>
    <row r="746">
      <c r="A746" s="17">
        <v>7351600.0</v>
      </c>
      <c r="B746" s="17" t="s">
        <v>1580</v>
      </c>
      <c r="C746" s="17" t="s">
        <v>1581</v>
      </c>
    </row>
    <row r="747">
      <c r="A747" s="17">
        <v>7351700.0</v>
      </c>
      <c r="B747" s="17" t="s">
        <v>1582</v>
      </c>
      <c r="C747" s="17" t="s">
        <v>1583</v>
      </c>
    </row>
    <row r="748">
      <c r="A748" s="17">
        <v>7351800.0</v>
      </c>
      <c r="B748" s="17" t="s">
        <v>1584</v>
      </c>
      <c r="C748" s="17" t="s">
        <v>1585</v>
      </c>
    </row>
    <row r="749">
      <c r="A749" s="17">
        <v>7351900.0</v>
      </c>
      <c r="B749" s="17" t="s">
        <v>1586</v>
      </c>
      <c r="C749" s="17" t="s">
        <v>1587</v>
      </c>
    </row>
    <row r="750">
      <c r="A750" s="17">
        <v>7352000.0</v>
      </c>
      <c r="B750" s="17" t="s">
        <v>1588</v>
      </c>
      <c r="C750" s="17" t="s">
        <v>1589</v>
      </c>
    </row>
    <row r="751">
      <c r="A751" s="17">
        <v>7352100.0</v>
      </c>
      <c r="B751" s="17" t="s">
        <v>1590</v>
      </c>
      <c r="C751" s="17" t="s">
        <v>1591</v>
      </c>
    </row>
    <row r="752">
      <c r="A752" s="17">
        <v>7352200.0</v>
      </c>
      <c r="B752" s="17" t="s">
        <v>1592</v>
      </c>
      <c r="C752" s="17" t="s">
        <v>1593</v>
      </c>
    </row>
    <row r="753">
      <c r="A753" s="17">
        <v>7352300.0</v>
      </c>
      <c r="B753" s="17" t="s">
        <v>1594</v>
      </c>
      <c r="C753" s="17" t="s">
        <v>1595</v>
      </c>
    </row>
    <row r="754">
      <c r="A754" s="17">
        <v>7352400.0</v>
      </c>
      <c r="B754" s="17" t="s">
        <v>1596</v>
      </c>
      <c r="C754" s="17" t="s">
        <v>1597</v>
      </c>
    </row>
    <row r="755">
      <c r="A755" s="17">
        <v>7352500.0</v>
      </c>
      <c r="B755" s="17" t="s">
        <v>1598</v>
      </c>
      <c r="C755" s="17" t="s">
        <v>1599</v>
      </c>
    </row>
    <row r="756">
      <c r="A756" s="17">
        <v>7352600.0</v>
      </c>
      <c r="B756" s="17" t="s">
        <v>1600</v>
      </c>
      <c r="C756" s="17" t="s">
        <v>1601</v>
      </c>
    </row>
    <row r="757">
      <c r="A757" s="17">
        <v>7352700.0</v>
      </c>
      <c r="B757" s="17" t="s">
        <v>1602</v>
      </c>
      <c r="C757" s="17" t="s">
        <v>1603</v>
      </c>
    </row>
    <row r="758">
      <c r="A758" s="17">
        <v>7360600.0</v>
      </c>
      <c r="B758" s="17" t="s">
        <v>1604</v>
      </c>
      <c r="C758" s="17" t="s">
        <v>1605</v>
      </c>
    </row>
    <row r="759">
      <c r="A759" s="17">
        <v>7360900.0</v>
      </c>
      <c r="B759" s="17" t="s">
        <v>1606</v>
      </c>
      <c r="C759" s="17" t="s">
        <v>1607</v>
      </c>
    </row>
    <row r="760">
      <c r="A760" s="17">
        <v>7361200.0</v>
      </c>
      <c r="B760" s="17" t="s">
        <v>1608</v>
      </c>
      <c r="C760" s="17" t="s">
        <v>1609</v>
      </c>
    </row>
    <row r="761">
      <c r="A761" s="17">
        <v>7361300.0</v>
      </c>
      <c r="B761" s="17" t="s">
        <v>1610</v>
      </c>
      <c r="C761" s="17" t="s">
        <v>1611</v>
      </c>
    </row>
    <row r="762">
      <c r="A762" s="17">
        <v>7361500.0</v>
      </c>
      <c r="B762" s="17" t="s">
        <v>1612</v>
      </c>
      <c r="C762" s="17" t="s">
        <v>1613</v>
      </c>
    </row>
    <row r="763">
      <c r="A763" s="17">
        <v>7361800.0</v>
      </c>
      <c r="B763" s="17" t="s">
        <v>1614</v>
      </c>
      <c r="C763" s="17" t="s">
        <v>1615</v>
      </c>
    </row>
    <row r="764">
      <c r="A764" s="17">
        <v>7362100.0</v>
      </c>
      <c r="B764" s="17" t="s">
        <v>1616</v>
      </c>
      <c r="C764" s="17" t="s">
        <v>1617</v>
      </c>
    </row>
    <row r="765">
      <c r="A765" s="17">
        <v>7370000.0</v>
      </c>
      <c r="B765" s="17" t="s">
        <v>1618</v>
      </c>
      <c r="C765" s="17" t="s">
        <v>1619</v>
      </c>
    </row>
    <row r="766">
      <c r="A766" s="17">
        <v>7370200.0</v>
      </c>
      <c r="B766" s="17" t="s">
        <v>1620</v>
      </c>
      <c r="C766" s="17" t="s">
        <v>1621</v>
      </c>
    </row>
    <row r="767">
      <c r="A767" s="17">
        <v>7370300.0</v>
      </c>
      <c r="B767" s="17" t="s">
        <v>1622</v>
      </c>
      <c r="C767" s="17" t="s">
        <v>1623</v>
      </c>
    </row>
    <row r="768">
      <c r="A768" s="17">
        <v>7370400.0</v>
      </c>
      <c r="B768" s="17" t="s">
        <v>1624</v>
      </c>
      <c r="C768" s="17" t="s">
        <v>1625</v>
      </c>
    </row>
    <row r="769">
      <c r="A769" s="17">
        <v>7370500.0</v>
      </c>
      <c r="B769" s="17" t="s">
        <v>1626</v>
      </c>
      <c r="C769" s="17" t="s">
        <v>1627</v>
      </c>
    </row>
    <row r="770">
      <c r="A770" s="17">
        <v>7370600.0</v>
      </c>
      <c r="B770" s="17" t="s">
        <v>1628</v>
      </c>
      <c r="C770" s="17" t="s">
        <v>1629</v>
      </c>
    </row>
    <row r="771">
      <c r="A771" s="17">
        <v>7370800.0</v>
      </c>
      <c r="B771" s="17" t="s">
        <v>1630</v>
      </c>
      <c r="C771" s="17" t="s">
        <v>1631</v>
      </c>
    </row>
    <row r="772">
      <c r="A772" s="17">
        <v>7370900.0</v>
      </c>
      <c r="B772" s="17" t="s">
        <v>1632</v>
      </c>
      <c r="C772" s="17" t="s">
        <v>1633</v>
      </c>
    </row>
    <row r="773">
      <c r="A773" s="17">
        <v>7371200.0</v>
      </c>
      <c r="B773" s="17" t="s">
        <v>1634</v>
      </c>
      <c r="C773" s="17" t="s">
        <v>1635</v>
      </c>
    </row>
    <row r="774">
      <c r="A774" s="17">
        <v>7371500.0</v>
      </c>
      <c r="B774" s="17" t="s">
        <v>1636</v>
      </c>
      <c r="C774" s="17" t="s">
        <v>1637</v>
      </c>
    </row>
    <row r="775">
      <c r="A775" s="17">
        <v>8000000.0</v>
      </c>
      <c r="B775" s="17" t="s">
        <v>270</v>
      </c>
      <c r="C775" s="17" t="s">
        <v>271</v>
      </c>
    </row>
    <row r="776">
      <c r="A776" s="17">
        <v>8010000.0</v>
      </c>
      <c r="B776" s="17" t="s">
        <v>272</v>
      </c>
      <c r="C776" s="17" t="s">
        <v>273</v>
      </c>
    </row>
    <row r="777">
      <c r="A777" s="17">
        <v>8010100.0</v>
      </c>
      <c r="B777" s="17" t="s">
        <v>617</v>
      </c>
      <c r="C777" s="17" t="s">
        <v>618</v>
      </c>
    </row>
    <row r="778">
      <c r="A778" s="17">
        <v>8020000.0</v>
      </c>
      <c r="B778" s="17" t="s">
        <v>274</v>
      </c>
      <c r="C778" s="17" t="s">
        <v>275</v>
      </c>
    </row>
    <row r="779">
      <c r="A779" s="17">
        <v>8020100.0</v>
      </c>
      <c r="B779" s="17" t="s">
        <v>1638</v>
      </c>
      <c r="C779" s="17" t="s">
        <v>1639</v>
      </c>
    </row>
    <row r="780">
      <c r="A780" s="17">
        <v>8020200.0</v>
      </c>
      <c r="B780" s="17" t="s">
        <v>280</v>
      </c>
      <c r="C780" s="17" t="s">
        <v>281</v>
      </c>
    </row>
    <row r="781">
      <c r="A781" s="17">
        <v>8100000.0</v>
      </c>
      <c r="B781" s="17" t="s">
        <v>1640</v>
      </c>
      <c r="C781" s="17" t="s">
        <v>939</v>
      </c>
    </row>
    <row r="782">
      <c r="A782" s="17">
        <v>8100100.0</v>
      </c>
      <c r="B782" s="17" t="s">
        <v>310</v>
      </c>
      <c r="C782" s="17" t="s">
        <v>311</v>
      </c>
    </row>
    <row r="783">
      <c r="A783" s="17">
        <v>8100200.0</v>
      </c>
      <c r="B783" s="17" t="s">
        <v>316</v>
      </c>
      <c r="C783" s="17" t="s">
        <v>317</v>
      </c>
    </row>
    <row r="784">
      <c r="A784" s="17">
        <v>8100300.0</v>
      </c>
      <c r="B784" s="17" t="s">
        <v>314</v>
      </c>
      <c r="C784" s="17" t="s">
        <v>315</v>
      </c>
    </row>
    <row r="785">
      <c r="A785" s="17">
        <v>8100400.0</v>
      </c>
      <c r="B785" s="17" t="s">
        <v>318</v>
      </c>
      <c r="C785" s="17" t="s">
        <v>319</v>
      </c>
    </row>
    <row r="786">
      <c r="A786" s="17">
        <v>8110000.0</v>
      </c>
      <c r="B786" s="17" t="s">
        <v>966</v>
      </c>
      <c r="C786" s="17" t="s">
        <v>1641</v>
      </c>
    </row>
    <row r="787">
      <c r="A787" s="17">
        <v>8110100.0</v>
      </c>
      <c r="B787" s="17" t="s">
        <v>972</v>
      </c>
      <c r="C787" s="17" t="s">
        <v>1642</v>
      </c>
    </row>
    <row r="788">
      <c r="A788" s="17">
        <v>8110200.0</v>
      </c>
      <c r="B788" s="17" t="s">
        <v>978</v>
      </c>
      <c r="C788" s="17" t="s">
        <v>1643</v>
      </c>
    </row>
    <row r="789">
      <c r="A789" s="17">
        <v>8110300.0</v>
      </c>
      <c r="B789" s="17" t="s">
        <v>986</v>
      </c>
      <c r="C789" s="17" t="s">
        <v>1644</v>
      </c>
    </row>
    <row r="790">
      <c r="A790" s="17">
        <v>8110400.0</v>
      </c>
      <c r="B790" s="17" t="s">
        <v>1645</v>
      </c>
      <c r="C790" s="17" t="s">
        <v>1646</v>
      </c>
    </row>
    <row r="791">
      <c r="A791" s="17">
        <v>8110500.0</v>
      </c>
      <c r="B791" s="17" t="s">
        <v>994</v>
      </c>
      <c r="C791" s="17" t="s">
        <v>1647</v>
      </c>
    </row>
    <row r="792">
      <c r="A792" s="17">
        <v>8110600.0</v>
      </c>
      <c r="B792" s="17" t="s">
        <v>1002</v>
      </c>
      <c r="C792" s="17" t="s">
        <v>1648</v>
      </c>
    </row>
    <row r="793">
      <c r="A793" s="17">
        <v>8110700.0</v>
      </c>
      <c r="B793" s="17" t="s">
        <v>1649</v>
      </c>
      <c r="C793" s="17" t="s">
        <v>1650</v>
      </c>
    </row>
    <row r="794">
      <c r="A794" s="17">
        <v>8110800.0</v>
      </c>
      <c r="B794" s="17" t="s">
        <v>1651</v>
      </c>
      <c r="C794" s="17" t="s">
        <v>1652</v>
      </c>
    </row>
    <row r="795">
      <c r="A795" s="17">
        <v>8110900.0</v>
      </c>
      <c r="B795" s="17" t="s">
        <v>1653</v>
      </c>
      <c r="C795" s="17" t="s">
        <v>1654</v>
      </c>
    </row>
    <row r="796">
      <c r="A796" s="17">
        <v>8111000.0</v>
      </c>
      <c r="B796" s="17" t="s">
        <v>1655</v>
      </c>
      <c r="C796" s="17" t="s">
        <v>1656</v>
      </c>
    </row>
    <row r="797">
      <c r="A797" s="17">
        <v>8120000.0</v>
      </c>
      <c r="B797" s="17" t="s">
        <v>1657</v>
      </c>
      <c r="C797" s="17" t="s">
        <v>1658</v>
      </c>
    </row>
    <row r="798">
      <c r="A798" s="17">
        <v>8130000.0</v>
      </c>
      <c r="B798" s="17" t="s">
        <v>328</v>
      </c>
      <c r="C798" s="17" t="s">
        <v>329</v>
      </c>
    </row>
    <row r="799">
      <c r="A799" s="17">
        <v>8140000.0</v>
      </c>
      <c r="B799" s="17" t="s">
        <v>326</v>
      </c>
      <c r="C799" s="17" t="s">
        <v>327</v>
      </c>
    </row>
    <row r="800">
      <c r="A800" s="17">
        <v>8150000.0</v>
      </c>
      <c r="B800" s="17" t="s">
        <v>1659</v>
      </c>
      <c r="C800" s="17" t="s">
        <v>1660</v>
      </c>
    </row>
    <row r="801">
      <c r="A801" s="17">
        <v>8150100.0</v>
      </c>
      <c r="B801" s="17" t="s">
        <v>1661</v>
      </c>
      <c r="C801" s="17" t="s">
        <v>1662</v>
      </c>
    </row>
    <row r="802">
      <c r="A802" s="17">
        <v>8150300.0</v>
      </c>
      <c r="B802" s="17" t="s">
        <v>1663</v>
      </c>
      <c r="C802" s="17" t="s">
        <v>1664</v>
      </c>
    </row>
    <row r="803">
      <c r="A803" s="17">
        <v>8200000.0</v>
      </c>
      <c r="B803" s="17" t="s">
        <v>366</v>
      </c>
      <c r="C803" s="17" t="s">
        <v>367</v>
      </c>
    </row>
    <row r="804">
      <c r="A804" s="17">
        <v>8200100.0</v>
      </c>
      <c r="B804" s="17" t="s">
        <v>368</v>
      </c>
      <c r="C804" s="17" t="s">
        <v>369</v>
      </c>
    </row>
    <row r="805">
      <c r="A805" s="17">
        <v>8200200.0</v>
      </c>
      <c r="B805" s="17" t="s">
        <v>370</v>
      </c>
      <c r="C805" s="17" t="s">
        <v>371</v>
      </c>
    </row>
    <row r="806">
      <c r="A806" s="17">
        <v>8200300.0</v>
      </c>
      <c r="B806" s="17" t="s">
        <v>372</v>
      </c>
      <c r="C806" s="17" t="s">
        <v>373</v>
      </c>
    </row>
    <row r="807">
      <c r="A807" s="17">
        <v>8200400.0</v>
      </c>
      <c r="B807" s="17" t="s">
        <v>374</v>
      </c>
      <c r="C807" s="17" t="s">
        <v>375</v>
      </c>
    </row>
    <row r="808">
      <c r="A808" s="17">
        <v>8200500.0</v>
      </c>
      <c r="B808" s="17" t="s">
        <v>376</v>
      </c>
      <c r="C808" s="17" t="s">
        <v>377</v>
      </c>
    </row>
    <row r="809">
      <c r="A809" s="17">
        <v>8210000.0</v>
      </c>
      <c r="B809" s="17" t="s">
        <v>286</v>
      </c>
      <c r="C809" s="17" t="s">
        <v>287</v>
      </c>
    </row>
    <row r="810">
      <c r="A810" s="17">
        <v>8210100.0</v>
      </c>
      <c r="B810" s="17" t="s">
        <v>282</v>
      </c>
      <c r="C810" s="17" t="s">
        <v>283</v>
      </c>
    </row>
    <row r="811">
      <c r="A811" s="17">
        <v>8210200.0</v>
      </c>
      <c r="B811" s="17" t="s">
        <v>290</v>
      </c>
      <c r="C811" s="17" t="s">
        <v>291</v>
      </c>
    </row>
    <row r="812">
      <c r="A812" s="17">
        <v>8210300.0</v>
      </c>
      <c r="B812" s="17" t="s">
        <v>294</v>
      </c>
      <c r="C812" s="17" t="s">
        <v>295</v>
      </c>
    </row>
    <row r="813">
      <c r="A813" s="17">
        <v>8210400.0</v>
      </c>
      <c r="B813" s="17" t="s">
        <v>288</v>
      </c>
      <c r="C813" s="17" t="s">
        <v>289</v>
      </c>
    </row>
    <row r="814">
      <c r="A814" s="17">
        <v>8210500.0</v>
      </c>
      <c r="B814" s="17" t="s">
        <v>284</v>
      </c>
      <c r="C814" s="17" t="s">
        <v>285</v>
      </c>
    </row>
    <row r="815">
      <c r="A815" s="17">
        <v>8210600.0</v>
      </c>
      <c r="B815" s="17" t="s">
        <v>292</v>
      </c>
      <c r="C815" s="17" t="s">
        <v>293</v>
      </c>
    </row>
    <row r="816">
      <c r="A816" s="17">
        <v>8220000.0</v>
      </c>
      <c r="B816" s="17" t="s">
        <v>386</v>
      </c>
      <c r="C816" s="17" t="s">
        <v>387</v>
      </c>
    </row>
    <row r="817">
      <c r="A817" s="17">
        <v>8220001.0</v>
      </c>
      <c r="B817" s="17" t="s">
        <v>1665</v>
      </c>
      <c r="C817" s="17" t="s">
        <v>1666</v>
      </c>
    </row>
    <row r="818">
      <c r="A818" s="17">
        <v>8220002.0</v>
      </c>
      <c r="B818" s="17" t="s">
        <v>1667</v>
      </c>
      <c r="C818" s="17" t="s">
        <v>1668</v>
      </c>
    </row>
    <row r="819">
      <c r="A819" s="17">
        <v>8230000.0</v>
      </c>
      <c r="B819" s="17" t="s">
        <v>302</v>
      </c>
      <c r="C819" s="17" t="s">
        <v>303</v>
      </c>
    </row>
    <row r="820">
      <c r="A820" s="17">
        <v>8300000.0</v>
      </c>
      <c r="B820" s="17" t="s">
        <v>1669</v>
      </c>
      <c r="C820" s="17" t="s">
        <v>1670</v>
      </c>
    </row>
    <row r="821">
      <c r="A821" s="17">
        <v>8300100.0</v>
      </c>
      <c r="B821" s="17" t="s">
        <v>1671</v>
      </c>
      <c r="C821" s="17" t="s">
        <v>1672</v>
      </c>
    </row>
    <row r="822">
      <c r="A822" s="17">
        <v>8310000.0</v>
      </c>
      <c r="B822" s="17" t="s">
        <v>1673</v>
      </c>
      <c r="C822" s="17" t="s">
        <v>1674</v>
      </c>
    </row>
    <row r="823">
      <c r="A823" s="17">
        <v>8310100.0</v>
      </c>
      <c r="B823" s="17" t="s">
        <v>1675</v>
      </c>
      <c r="C823" s="17" t="s">
        <v>1676</v>
      </c>
    </row>
    <row r="824">
      <c r="A824" s="17">
        <v>8320000.0</v>
      </c>
      <c r="B824" s="17" t="s">
        <v>332</v>
      </c>
      <c r="C824" s="17" t="s">
        <v>333</v>
      </c>
    </row>
    <row r="825">
      <c r="A825" s="17">
        <v>8320100.0</v>
      </c>
      <c r="B825" s="17" t="s">
        <v>334</v>
      </c>
      <c r="C825" s="17" t="s">
        <v>335</v>
      </c>
    </row>
    <row r="826">
      <c r="A826" s="17">
        <v>8320200.0</v>
      </c>
      <c r="B826" s="17" t="s">
        <v>1677</v>
      </c>
      <c r="C826" s="17" t="s">
        <v>1678</v>
      </c>
    </row>
    <row r="827">
      <c r="A827" s="17">
        <v>8320300.0</v>
      </c>
      <c r="B827" s="17" t="s">
        <v>342</v>
      </c>
      <c r="C827" s="17" t="s">
        <v>343</v>
      </c>
    </row>
    <row r="828">
      <c r="A828" s="17">
        <v>8320400.0</v>
      </c>
      <c r="B828" s="17" t="s">
        <v>1679</v>
      </c>
      <c r="C828" s="17" t="s">
        <v>1680</v>
      </c>
    </row>
    <row r="829">
      <c r="A829" s="17">
        <v>8320500.0</v>
      </c>
      <c r="B829" s="17" t="s">
        <v>1013</v>
      </c>
      <c r="C829" s="17" t="s">
        <v>1014</v>
      </c>
    </row>
    <row r="830">
      <c r="A830" s="17">
        <v>8320600.0</v>
      </c>
      <c r="B830" s="17" t="s">
        <v>1681</v>
      </c>
      <c r="C830" s="17" t="s">
        <v>1682</v>
      </c>
    </row>
    <row r="831">
      <c r="A831" s="17">
        <v>8320700.0</v>
      </c>
      <c r="B831" s="17" t="s">
        <v>1683</v>
      </c>
      <c r="C831" s="17" t="s">
        <v>1684</v>
      </c>
    </row>
    <row r="832">
      <c r="A832" s="17">
        <v>8330000.0</v>
      </c>
      <c r="B832" s="17" t="s">
        <v>352</v>
      </c>
      <c r="C832" s="17" t="s">
        <v>353</v>
      </c>
    </row>
    <row r="833">
      <c r="A833" s="17">
        <v>8330100.0</v>
      </c>
      <c r="B833" s="17" t="s">
        <v>354</v>
      </c>
      <c r="C833" s="17" t="s">
        <v>355</v>
      </c>
    </row>
    <row r="834">
      <c r="A834" s="17">
        <v>8330200.0</v>
      </c>
      <c r="B834" s="17" t="s">
        <v>1685</v>
      </c>
      <c r="C834" s="17" t="s">
        <v>1686</v>
      </c>
    </row>
    <row r="835">
      <c r="A835" s="17">
        <v>8330300.0</v>
      </c>
      <c r="B835" s="17" t="s">
        <v>1687</v>
      </c>
      <c r="C835" s="17" t="s">
        <v>1688</v>
      </c>
    </row>
    <row r="836">
      <c r="A836" s="17">
        <v>8330400.0</v>
      </c>
      <c r="B836" s="17" t="s">
        <v>358</v>
      </c>
      <c r="C836" s="17" t="s">
        <v>359</v>
      </c>
    </row>
    <row r="837">
      <c r="A837" s="17">
        <v>8330500.0</v>
      </c>
      <c r="B837" s="17" t="s">
        <v>356</v>
      </c>
      <c r="C837" s="17" t="s">
        <v>357</v>
      </c>
    </row>
    <row r="838">
      <c r="A838" s="17">
        <v>8330600.0</v>
      </c>
      <c r="B838" s="17" t="s">
        <v>360</v>
      </c>
      <c r="C838" s="17" t="s">
        <v>361</v>
      </c>
    </row>
    <row r="839">
      <c r="A839" s="17">
        <v>8330700.0</v>
      </c>
      <c r="B839" s="17" t="s">
        <v>1689</v>
      </c>
      <c r="C839" s="17" t="s">
        <v>1690</v>
      </c>
    </row>
    <row r="840">
      <c r="A840" s="17">
        <v>8330900.0</v>
      </c>
      <c r="B840" s="17" t="s">
        <v>1691</v>
      </c>
      <c r="C840" s="17" t="s">
        <v>1692</v>
      </c>
    </row>
    <row r="841">
      <c r="A841" s="17">
        <v>8340000.0</v>
      </c>
      <c r="B841" s="17" t="s">
        <v>336</v>
      </c>
      <c r="C841" s="17" t="s">
        <v>337</v>
      </c>
    </row>
    <row r="842">
      <c r="A842" s="17">
        <v>8340100.0</v>
      </c>
      <c r="B842" s="17" t="s">
        <v>330</v>
      </c>
      <c r="C842" s="17" t="s">
        <v>331</v>
      </c>
    </row>
    <row r="843">
      <c r="A843" s="17">
        <v>8350000.0</v>
      </c>
      <c r="B843" s="17" t="s">
        <v>304</v>
      </c>
      <c r="C843" s="17" t="s">
        <v>305</v>
      </c>
    </row>
    <row r="844">
      <c r="A844" s="17">
        <v>8350100.0</v>
      </c>
      <c r="B844" s="17" t="s">
        <v>1693</v>
      </c>
      <c r="C844" s="17" t="s">
        <v>1694</v>
      </c>
    </row>
    <row r="845">
      <c r="A845" s="17">
        <v>8350200.0</v>
      </c>
      <c r="B845" s="17" t="s">
        <v>400</v>
      </c>
      <c r="C845" s="17" t="s">
        <v>401</v>
      </c>
    </row>
    <row r="846">
      <c r="A846" s="17">
        <v>8350300.0</v>
      </c>
      <c r="B846" s="17" t="s">
        <v>1695</v>
      </c>
      <c r="C846" s="17" t="s">
        <v>1696</v>
      </c>
    </row>
    <row r="847">
      <c r="A847" s="17">
        <v>8350400.0</v>
      </c>
      <c r="B847" s="17" t="s">
        <v>1697</v>
      </c>
      <c r="C847" s="17" t="s">
        <v>1698</v>
      </c>
    </row>
    <row r="848">
      <c r="A848" s="17">
        <v>8360000.0</v>
      </c>
      <c r="B848" s="17" t="s">
        <v>1699</v>
      </c>
      <c r="C848" s="17" t="s">
        <v>1700</v>
      </c>
    </row>
    <row r="849">
      <c r="A849" s="17">
        <v>8370000.0</v>
      </c>
      <c r="B849" s="17" t="s">
        <v>1701</v>
      </c>
      <c r="C849" s="17" t="s">
        <v>1702</v>
      </c>
    </row>
    <row r="850">
      <c r="A850" s="17">
        <v>8380000.0</v>
      </c>
      <c r="B850" s="17" t="s">
        <v>344</v>
      </c>
      <c r="C850" s="17" t="s">
        <v>345</v>
      </c>
    </row>
    <row r="851">
      <c r="A851" s="17">
        <v>8390000.0</v>
      </c>
      <c r="B851" s="17" t="s">
        <v>348</v>
      </c>
      <c r="C851" s="17" t="s">
        <v>349</v>
      </c>
    </row>
    <row r="852">
      <c r="A852" s="17">
        <v>8400000.0</v>
      </c>
      <c r="B852" s="17" t="s">
        <v>350</v>
      </c>
      <c r="C852" s="17" t="s">
        <v>351</v>
      </c>
    </row>
    <row r="853">
      <c r="A853" s="17">
        <v>8410000.0</v>
      </c>
      <c r="B853" s="17" t="s">
        <v>378</v>
      </c>
      <c r="C853" s="17" t="s">
        <v>1703</v>
      </c>
    </row>
    <row r="854">
      <c r="A854" s="17">
        <v>8410100.0</v>
      </c>
      <c r="B854" s="17" t="s">
        <v>1704</v>
      </c>
      <c r="C854" s="17" t="s">
        <v>1705</v>
      </c>
    </row>
    <row r="855">
      <c r="A855" s="17">
        <v>8420000.0</v>
      </c>
      <c r="B855" s="17" t="s">
        <v>346</v>
      </c>
      <c r="C855" s="17" t="s">
        <v>347</v>
      </c>
    </row>
    <row r="856">
      <c r="A856" s="17">
        <v>8420100.0</v>
      </c>
      <c r="B856" s="17" t="s">
        <v>1706</v>
      </c>
      <c r="C856" s="17" t="s">
        <v>1707</v>
      </c>
    </row>
    <row r="857">
      <c r="A857" s="17">
        <v>8420200.0</v>
      </c>
      <c r="B857" s="17" t="s">
        <v>1708</v>
      </c>
      <c r="C857" s="17" t="s">
        <v>1709</v>
      </c>
    </row>
    <row r="858">
      <c r="A858" s="17">
        <v>8430000.0</v>
      </c>
      <c r="B858" s="17" t="s">
        <v>324</v>
      </c>
      <c r="C858" s="17" t="s">
        <v>325</v>
      </c>
    </row>
    <row r="859">
      <c r="A859" s="17">
        <v>8440000.0</v>
      </c>
      <c r="B859" s="17" t="s">
        <v>388</v>
      </c>
      <c r="C859" s="17" t="s">
        <v>389</v>
      </c>
    </row>
    <row r="860">
      <c r="A860" s="17">
        <v>8440100.0</v>
      </c>
      <c r="B860" s="17" t="s">
        <v>1017</v>
      </c>
      <c r="C860" s="17" t="s">
        <v>1018</v>
      </c>
    </row>
    <row r="861">
      <c r="A861" s="17">
        <v>8440200.0</v>
      </c>
      <c r="B861" s="17" t="s">
        <v>1710</v>
      </c>
      <c r="C861" s="17" t="s">
        <v>1711</v>
      </c>
    </row>
    <row r="862">
      <c r="A862" s="17">
        <v>8450000.0</v>
      </c>
      <c r="B862" s="17" t="s">
        <v>1712</v>
      </c>
      <c r="C862" s="17" t="s">
        <v>1713</v>
      </c>
    </row>
    <row r="863">
      <c r="A863" s="17">
        <v>8450100.0</v>
      </c>
      <c r="B863" s="17" t="s">
        <v>1714</v>
      </c>
      <c r="C863" s="17" t="s">
        <v>1715</v>
      </c>
    </row>
    <row r="864">
      <c r="A864" s="17">
        <v>8460000.0</v>
      </c>
      <c r="B864" s="17" t="s">
        <v>1716</v>
      </c>
      <c r="C864" s="17" t="s">
        <v>1717</v>
      </c>
    </row>
    <row r="865">
      <c r="A865" s="17">
        <v>8460100.0</v>
      </c>
      <c r="B865" s="17" t="s">
        <v>1718</v>
      </c>
      <c r="C865" s="17" t="s">
        <v>1719</v>
      </c>
    </row>
    <row r="866">
      <c r="A866" s="17">
        <v>8460200.0</v>
      </c>
      <c r="B866" s="17" t="s">
        <v>1720</v>
      </c>
      <c r="C866" s="17" t="s">
        <v>1721</v>
      </c>
    </row>
    <row r="867">
      <c r="A867" s="17">
        <v>8460300.0</v>
      </c>
      <c r="B867" s="17" t="s">
        <v>1722</v>
      </c>
      <c r="C867" s="17" t="s">
        <v>1723</v>
      </c>
    </row>
    <row r="868">
      <c r="A868" s="17">
        <v>8460400.0</v>
      </c>
      <c r="B868" s="17" t="s">
        <v>1724</v>
      </c>
      <c r="C868" s="17" t="s">
        <v>1725</v>
      </c>
    </row>
    <row r="869">
      <c r="A869" s="17">
        <v>8460500.0</v>
      </c>
      <c r="B869" s="17" t="s">
        <v>1726</v>
      </c>
      <c r="C869" s="17" t="s">
        <v>1727</v>
      </c>
    </row>
    <row r="870">
      <c r="A870" s="17">
        <v>8500000.0</v>
      </c>
      <c r="B870" s="17" t="s">
        <v>278</v>
      </c>
      <c r="C870" s="17" t="s">
        <v>279</v>
      </c>
    </row>
    <row r="871">
      <c r="A871" s="17">
        <v>8510000.0</v>
      </c>
      <c r="B871" s="17" t="s">
        <v>276</v>
      </c>
      <c r="C871" s="17" t="s">
        <v>277</v>
      </c>
    </row>
    <row r="872">
      <c r="A872" s="17">
        <v>8520000.0</v>
      </c>
      <c r="B872" s="17" t="s">
        <v>1728</v>
      </c>
      <c r="C872" s="17" t="s">
        <v>1729</v>
      </c>
    </row>
    <row r="873">
      <c r="A873" s="17">
        <v>8530000.0</v>
      </c>
      <c r="B873" s="17" t="s">
        <v>1730</v>
      </c>
      <c r="C873" s="17" t="s">
        <v>1731</v>
      </c>
    </row>
    <row r="874">
      <c r="A874" s="17">
        <v>8530100.0</v>
      </c>
      <c r="B874" s="17" t="s">
        <v>1732</v>
      </c>
      <c r="C874" s="17" t="s">
        <v>1733</v>
      </c>
    </row>
    <row r="875">
      <c r="A875" s="17">
        <v>8530200.0</v>
      </c>
      <c r="B875" s="17" t="s">
        <v>1734</v>
      </c>
      <c r="C875" s="17" t="s">
        <v>1735</v>
      </c>
    </row>
    <row r="876">
      <c r="A876" s="17">
        <v>8540000.0</v>
      </c>
      <c r="B876" s="17" t="s">
        <v>390</v>
      </c>
      <c r="C876" s="17" t="s">
        <v>391</v>
      </c>
    </row>
    <row r="877">
      <c r="A877" s="17">
        <v>8600100.0</v>
      </c>
      <c r="B877" s="17" t="s">
        <v>1736</v>
      </c>
      <c r="C877" s="17" t="s">
        <v>1737</v>
      </c>
    </row>
    <row r="878">
      <c r="A878" s="17">
        <v>8600200.0</v>
      </c>
      <c r="B878" s="17" t="s">
        <v>1738</v>
      </c>
      <c r="C878" s="17" t="s">
        <v>1739</v>
      </c>
    </row>
    <row r="879">
      <c r="A879" s="17">
        <v>8600300.0</v>
      </c>
      <c r="B879" s="17" t="s">
        <v>1740</v>
      </c>
      <c r="C879" s="17" t="s">
        <v>1741</v>
      </c>
    </row>
    <row r="880">
      <c r="A880" s="17">
        <v>8610000.0</v>
      </c>
      <c r="B880" s="17" t="s">
        <v>1742</v>
      </c>
      <c r="C880" s="17" t="s">
        <v>395</v>
      </c>
    </row>
    <row r="881">
      <c r="A881" s="17">
        <v>8610100.0</v>
      </c>
      <c r="B881" s="17" t="s">
        <v>1743</v>
      </c>
      <c r="C881" s="17" t="s">
        <v>1744</v>
      </c>
    </row>
    <row r="882">
      <c r="A882" s="17">
        <v>8610200.0</v>
      </c>
      <c r="B882" s="17" t="s">
        <v>308</v>
      </c>
      <c r="C882" s="17" t="s">
        <v>309</v>
      </c>
    </row>
    <row r="883">
      <c r="A883" s="17">
        <v>8610300.0</v>
      </c>
      <c r="B883" s="17" t="s">
        <v>1745</v>
      </c>
      <c r="C883" s="17" t="s">
        <v>1746</v>
      </c>
    </row>
    <row r="884">
      <c r="A884" s="17">
        <v>8610400.0</v>
      </c>
      <c r="B884" s="17" t="s">
        <v>1747</v>
      </c>
      <c r="C884" s="17" t="s">
        <v>1748</v>
      </c>
    </row>
    <row r="885">
      <c r="A885" s="17">
        <v>8610500.0</v>
      </c>
      <c r="B885" s="17" t="s">
        <v>1749</v>
      </c>
      <c r="C885" s="17" t="s">
        <v>1750</v>
      </c>
    </row>
    <row r="886">
      <c r="A886" s="17">
        <v>8610600.0</v>
      </c>
      <c r="B886" s="17" t="s">
        <v>1751</v>
      </c>
      <c r="C886" s="17" t="s">
        <v>1752</v>
      </c>
    </row>
    <row r="887">
      <c r="A887" s="17">
        <v>8610700.0</v>
      </c>
      <c r="B887" s="17" t="s">
        <v>1753</v>
      </c>
      <c r="C887" s="17" t="s">
        <v>1754</v>
      </c>
    </row>
    <row r="888">
      <c r="A888" s="17">
        <v>8620000.0</v>
      </c>
      <c r="B888" s="17" t="s">
        <v>1755</v>
      </c>
      <c r="C888" s="17" t="s">
        <v>1756</v>
      </c>
    </row>
    <row r="889">
      <c r="A889" s="17">
        <v>8620100.0</v>
      </c>
      <c r="B889" s="17" t="s">
        <v>1757</v>
      </c>
      <c r="C889" s="17" t="s">
        <v>1758</v>
      </c>
    </row>
    <row r="890">
      <c r="A890" s="17">
        <v>8630000.0</v>
      </c>
      <c r="B890" s="17" t="s">
        <v>392</v>
      </c>
      <c r="C890" s="17" t="s">
        <v>393</v>
      </c>
    </row>
    <row r="891">
      <c r="A891" s="17">
        <v>8630100.0</v>
      </c>
      <c r="B891" s="17" t="s">
        <v>404</v>
      </c>
      <c r="C891" s="17" t="s">
        <v>405</v>
      </c>
    </row>
    <row r="892">
      <c r="A892" s="17">
        <v>8630200.0</v>
      </c>
      <c r="B892" s="17" t="s">
        <v>1759</v>
      </c>
      <c r="C892" s="17" t="s">
        <v>1760</v>
      </c>
    </row>
    <row r="893">
      <c r="A893" s="17">
        <v>8630300.0</v>
      </c>
      <c r="B893" s="17" t="s">
        <v>1761</v>
      </c>
      <c r="C893" s="17" t="s">
        <v>1762</v>
      </c>
    </row>
    <row r="894">
      <c r="A894" s="17">
        <v>8630400.0</v>
      </c>
      <c r="B894" s="17" t="s">
        <v>1763</v>
      </c>
      <c r="C894" s="17" t="s">
        <v>1764</v>
      </c>
    </row>
    <row r="895">
      <c r="A895" s="17">
        <v>8630500.0</v>
      </c>
      <c r="B895" s="17" t="s">
        <v>1765</v>
      </c>
      <c r="C895" s="17" t="s">
        <v>1766</v>
      </c>
    </row>
    <row r="896">
      <c r="A896" s="17">
        <v>8630600.0</v>
      </c>
      <c r="B896" s="17" t="s">
        <v>1767</v>
      </c>
      <c r="C896" s="17" t="s">
        <v>1768</v>
      </c>
    </row>
    <row r="897">
      <c r="A897" s="17">
        <v>8630700.0</v>
      </c>
      <c r="B897" s="17" t="s">
        <v>1769</v>
      </c>
      <c r="C897" s="17" t="s">
        <v>1770</v>
      </c>
    </row>
    <row r="898">
      <c r="A898" s="17">
        <v>8630800.0</v>
      </c>
      <c r="B898" s="17" t="s">
        <v>1771</v>
      </c>
      <c r="C898" s="17" t="s">
        <v>1772</v>
      </c>
    </row>
    <row r="899">
      <c r="A899" s="17">
        <v>8640000.0</v>
      </c>
      <c r="B899" s="17" t="s">
        <v>396</v>
      </c>
      <c r="C899" s="17" t="s">
        <v>397</v>
      </c>
    </row>
    <row r="900">
      <c r="A900" s="17">
        <v>8640100.0</v>
      </c>
      <c r="B900" s="17" t="s">
        <v>398</v>
      </c>
      <c r="C900" s="17" t="s">
        <v>399</v>
      </c>
    </row>
    <row r="901">
      <c r="A901" s="17">
        <v>8640200.0</v>
      </c>
      <c r="B901" s="17" t="s">
        <v>1773</v>
      </c>
      <c r="C901" s="17" t="s">
        <v>1774</v>
      </c>
    </row>
    <row r="902">
      <c r="A902" s="17">
        <v>8640300.0</v>
      </c>
      <c r="B902" s="17" t="s">
        <v>1775</v>
      </c>
      <c r="C902" s="17" t="s">
        <v>1776</v>
      </c>
    </row>
    <row r="903">
      <c r="A903" s="17">
        <v>8640400.0</v>
      </c>
      <c r="B903" s="17" t="s">
        <v>1777</v>
      </c>
      <c r="C903" s="17" t="s">
        <v>1778</v>
      </c>
    </row>
    <row r="904">
      <c r="A904" s="17">
        <v>8640500.0</v>
      </c>
      <c r="B904" s="17" t="s">
        <v>1779</v>
      </c>
      <c r="C904" s="17" t="s">
        <v>1780</v>
      </c>
    </row>
    <row r="905">
      <c r="A905" s="17">
        <v>8640600.0</v>
      </c>
      <c r="B905" s="17" t="s">
        <v>1781</v>
      </c>
      <c r="C905" s="17" t="s">
        <v>1782</v>
      </c>
    </row>
    <row r="906">
      <c r="A906" s="17">
        <v>8640700.0</v>
      </c>
      <c r="B906" s="17" t="s">
        <v>1783</v>
      </c>
      <c r="C906" s="17" t="s">
        <v>1784</v>
      </c>
    </row>
    <row r="907">
      <c r="A907" s="17">
        <v>8640800.0</v>
      </c>
      <c r="B907" s="17" t="s">
        <v>1785</v>
      </c>
      <c r="C907" s="17" t="s">
        <v>1786</v>
      </c>
    </row>
    <row r="908">
      <c r="A908" s="17">
        <v>8640900.0</v>
      </c>
      <c r="B908" s="17" t="s">
        <v>1787</v>
      </c>
      <c r="C908" s="17" t="s">
        <v>1788</v>
      </c>
    </row>
    <row r="909">
      <c r="A909" s="17">
        <v>8641000.0</v>
      </c>
      <c r="B909" s="17" t="s">
        <v>1789</v>
      </c>
      <c r="C909" s="17" t="s">
        <v>1790</v>
      </c>
    </row>
    <row r="910">
      <c r="A910" s="17">
        <v>8641100.0</v>
      </c>
      <c r="B910" s="17" t="s">
        <v>1791</v>
      </c>
      <c r="C910" s="17" t="s">
        <v>1792</v>
      </c>
    </row>
    <row r="911">
      <c r="A911" s="17">
        <v>8641200.0</v>
      </c>
      <c r="B911" s="17" t="s">
        <v>1793</v>
      </c>
      <c r="C911" s="17" t="s">
        <v>1794</v>
      </c>
    </row>
    <row r="912">
      <c r="A912" s="17">
        <v>8650000.0</v>
      </c>
      <c r="B912" s="17" t="s">
        <v>1795</v>
      </c>
      <c r="C912" s="17" t="s">
        <v>1796</v>
      </c>
    </row>
    <row r="913">
      <c r="A913" s="17">
        <v>8650100.0</v>
      </c>
      <c r="B913" s="17" t="s">
        <v>1797</v>
      </c>
      <c r="C913" s="17" t="s">
        <v>1798</v>
      </c>
    </row>
    <row r="914">
      <c r="A914" s="17">
        <v>8652000.0</v>
      </c>
      <c r="B914" s="17" t="s">
        <v>1799</v>
      </c>
      <c r="C914" s="17" t="s">
        <v>1800</v>
      </c>
    </row>
    <row r="915">
      <c r="A915" s="17">
        <v>8652100.0</v>
      </c>
      <c r="B915" s="17" t="s">
        <v>1801</v>
      </c>
      <c r="C915" s="17" t="s">
        <v>1802</v>
      </c>
    </row>
    <row r="916">
      <c r="A916" s="17">
        <v>8660000.0</v>
      </c>
      <c r="B916" s="17" t="s">
        <v>320</v>
      </c>
      <c r="C916" s="17" t="s">
        <v>321</v>
      </c>
    </row>
    <row r="917">
      <c r="A917" s="17">
        <v>8660101.0</v>
      </c>
      <c r="B917" s="17" t="s">
        <v>382</v>
      </c>
      <c r="C917" s="17" t="s">
        <v>383</v>
      </c>
    </row>
    <row r="918">
      <c r="A918" s="17">
        <v>8660200.0</v>
      </c>
      <c r="B918" s="17" t="s">
        <v>1803</v>
      </c>
      <c r="C918" s="17" t="s">
        <v>1804</v>
      </c>
    </row>
    <row r="919">
      <c r="A919" s="17">
        <v>8660300.0</v>
      </c>
      <c r="B919" s="17" t="s">
        <v>1805</v>
      </c>
      <c r="C919" s="17" t="s">
        <v>1806</v>
      </c>
    </row>
    <row r="920">
      <c r="A920" s="17">
        <v>8660400.0</v>
      </c>
      <c r="B920" s="17" t="s">
        <v>1807</v>
      </c>
      <c r="C920" s="17" t="s">
        <v>1808</v>
      </c>
    </row>
    <row r="921">
      <c r="A921" s="17">
        <v>8670000.0</v>
      </c>
      <c r="B921" s="17" t="s">
        <v>322</v>
      </c>
      <c r="C921" s="17" t="s">
        <v>323</v>
      </c>
    </row>
    <row r="922">
      <c r="A922" s="17">
        <v>8670101.0</v>
      </c>
      <c r="B922" s="17" t="s">
        <v>384</v>
      </c>
      <c r="C922" s="17" t="s">
        <v>385</v>
      </c>
    </row>
    <row r="923">
      <c r="A923" s="17">
        <v>8690000.0</v>
      </c>
      <c r="B923" s="17" t="s">
        <v>1809</v>
      </c>
      <c r="C923" s="17" t="s">
        <v>1810</v>
      </c>
    </row>
    <row r="924">
      <c r="A924" s="17">
        <v>8690100.0</v>
      </c>
      <c r="B924" s="17" t="s">
        <v>1811</v>
      </c>
      <c r="C924" s="17" t="s">
        <v>1812</v>
      </c>
    </row>
    <row r="925">
      <c r="A925" s="17">
        <v>8690200.0</v>
      </c>
      <c r="B925" s="17" t="s">
        <v>1813</v>
      </c>
      <c r="C925" s="17" t="s">
        <v>1814</v>
      </c>
    </row>
    <row r="926">
      <c r="A926" s="17">
        <v>8690300.0</v>
      </c>
      <c r="B926" s="17" t="s">
        <v>1815</v>
      </c>
      <c r="C926" s="17" t="s">
        <v>1816</v>
      </c>
    </row>
    <row r="927">
      <c r="A927" s="17">
        <v>8690400.0</v>
      </c>
      <c r="B927" s="17" t="s">
        <v>1817</v>
      </c>
      <c r="C927" s="17" t="s">
        <v>1818</v>
      </c>
    </row>
    <row r="928">
      <c r="A928" s="17">
        <v>8700000.0</v>
      </c>
      <c r="B928" s="17" t="s">
        <v>1819</v>
      </c>
      <c r="C928" s="17" t="s">
        <v>1820</v>
      </c>
    </row>
    <row r="929">
      <c r="A929" s="17">
        <v>8710000.0</v>
      </c>
      <c r="B929" s="17" t="s">
        <v>1821</v>
      </c>
      <c r="C929" s="17" t="s">
        <v>1822</v>
      </c>
    </row>
    <row r="930">
      <c r="A930" s="17">
        <v>8720000.0</v>
      </c>
      <c r="B930" s="17" t="s">
        <v>1823</v>
      </c>
      <c r="C930" s="17" t="s">
        <v>1824</v>
      </c>
    </row>
    <row r="931">
      <c r="A931" s="17">
        <v>8740000.0</v>
      </c>
      <c r="B931" s="17" t="s">
        <v>1825</v>
      </c>
      <c r="C931" s="17" t="s">
        <v>1826</v>
      </c>
    </row>
    <row r="932">
      <c r="A932" s="17">
        <v>8750000.0</v>
      </c>
      <c r="B932" s="17" t="s">
        <v>1827</v>
      </c>
      <c r="C932" s="17" t="s">
        <v>1828</v>
      </c>
    </row>
    <row r="933">
      <c r="A933" s="17">
        <v>8760000.0</v>
      </c>
      <c r="B933" s="17" t="s">
        <v>362</v>
      </c>
      <c r="C933" s="17" t="s">
        <v>363</v>
      </c>
    </row>
    <row r="934">
      <c r="A934" s="17">
        <v>8760100.0</v>
      </c>
      <c r="B934" s="17" t="s">
        <v>1829</v>
      </c>
      <c r="C934" s="17" t="s">
        <v>1830</v>
      </c>
    </row>
    <row r="935">
      <c r="A935" s="17">
        <v>8760200.0</v>
      </c>
      <c r="B935" s="17" t="s">
        <v>1831</v>
      </c>
      <c r="C935" s="17" t="s">
        <v>1832</v>
      </c>
    </row>
    <row r="936">
      <c r="A936" s="17">
        <v>8761000.0</v>
      </c>
      <c r="B936" s="17" t="s">
        <v>312</v>
      </c>
      <c r="C936" s="17" t="s">
        <v>313</v>
      </c>
    </row>
    <row r="937">
      <c r="A937" s="17">
        <v>8761100.0</v>
      </c>
      <c r="B937" s="17" t="s">
        <v>842</v>
      </c>
      <c r="C937" s="17" t="s">
        <v>843</v>
      </c>
    </row>
    <row r="938">
      <c r="A938" s="17">
        <v>8762000.0</v>
      </c>
      <c r="B938" s="17" t="s">
        <v>844</v>
      </c>
      <c r="C938" s="17" t="s">
        <v>845</v>
      </c>
    </row>
    <row r="939">
      <c r="A939" s="17">
        <v>8763000.0</v>
      </c>
      <c r="B939" s="17" t="s">
        <v>838</v>
      </c>
      <c r="C939" s="17" t="s">
        <v>839</v>
      </c>
    </row>
    <row r="940">
      <c r="A940" s="17">
        <v>8764000.0</v>
      </c>
      <c r="B940" s="17" t="s">
        <v>846</v>
      </c>
      <c r="C940" s="17" t="s">
        <v>847</v>
      </c>
    </row>
    <row r="941">
      <c r="A941" s="17">
        <v>8765000.0</v>
      </c>
      <c r="B941" s="17" t="s">
        <v>840</v>
      </c>
      <c r="C941" s="17" t="s">
        <v>841</v>
      </c>
    </row>
    <row r="942">
      <c r="A942" s="17">
        <v>8766000.0</v>
      </c>
      <c r="B942" s="17" t="s">
        <v>406</v>
      </c>
      <c r="C942" s="17" t="s">
        <v>407</v>
      </c>
    </row>
    <row r="943">
      <c r="A943" s="17">
        <v>8770000.0</v>
      </c>
      <c r="B943" s="17" t="s">
        <v>1833</v>
      </c>
      <c r="C943" s="17" t="s">
        <v>1834</v>
      </c>
    </row>
    <row r="944">
      <c r="A944" s="17">
        <v>8771000.0</v>
      </c>
      <c r="B944" s="17" t="s">
        <v>1835</v>
      </c>
      <c r="C944" s="17" t="s">
        <v>1836</v>
      </c>
    </row>
    <row r="945">
      <c r="A945" s="17">
        <v>8800000.0</v>
      </c>
      <c r="B945" s="17" t="s">
        <v>848</v>
      </c>
      <c r="C945" s="17" t="s">
        <v>849</v>
      </c>
    </row>
    <row r="946">
      <c r="A946" s="17">
        <v>8800100.0</v>
      </c>
      <c r="B946" s="17" t="s">
        <v>850</v>
      </c>
      <c r="C946" s="17" t="s">
        <v>851</v>
      </c>
    </row>
    <row r="947">
      <c r="A947" s="17">
        <v>8800200.0</v>
      </c>
      <c r="B947" s="17" t="s">
        <v>852</v>
      </c>
      <c r="C947" s="17" t="s">
        <v>853</v>
      </c>
    </row>
    <row r="948">
      <c r="A948" s="17">
        <v>8801000.0</v>
      </c>
      <c r="B948" s="17" t="s">
        <v>854</v>
      </c>
      <c r="C948" s="17" t="s">
        <v>855</v>
      </c>
    </row>
    <row r="949">
      <c r="A949" s="17">
        <v>8801100.0</v>
      </c>
      <c r="B949" s="17" t="s">
        <v>856</v>
      </c>
      <c r="C949" s="17" t="s">
        <v>857</v>
      </c>
    </row>
    <row r="950">
      <c r="A950" s="17">
        <v>8801200.0</v>
      </c>
      <c r="B950" s="17" t="s">
        <v>858</v>
      </c>
      <c r="C950" s="17" t="s">
        <v>859</v>
      </c>
    </row>
    <row r="951">
      <c r="A951" s="17">
        <v>8810000.0</v>
      </c>
      <c r="B951" s="17" t="s">
        <v>860</v>
      </c>
      <c r="C951" s="17" t="s">
        <v>861</v>
      </c>
    </row>
    <row r="952">
      <c r="A952" s="17">
        <v>8810200.0</v>
      </c>
      <c r="B952" s="17" t="s">
        <v>1837</v>
      </c>
      <c r="C952" s="17" t="s">
        <v>1838</v>
      </c>
    </row>
    <row r="953">
      <c r="A953" s="17">
        <v>8810300.0</v>
      </c>
      <c r="B953" s="17" t="s">
        <v>862</v>
      </c>
      <c r="C953" s="17" t="s">
        <v>863</v>
      </c>
    </row>
    <row r="954">
      <c r="A954" s="17">
        <v>8810400.0</v>
      </c>
      <c r="B954" s="17" t="s">
        <v>864</v>
      </c>
      <c r="C954" s="17" t="s">
        <v>865</v>
      </c>
    </row>
    <row r="955">
      <c r="A955" s="17">
        <v>8811000.0</v>
      </c>
      <c r="B955" s="17" t="s">
        <v>866</v>
      </c>
      <c r="C955" s="17" t="s">
        <v>867</v>
      </c>
    </row>
    <row r="956">
      <c r="A956" s="17">
        <v>8811200.0</v>
      </c>
      <c r="B956" s="17" t="s">
        <v>1839</v>
      </c>
      <c r="C956" s="17" t="s">
        <v>1840</v>
      </c>
    </row>
    <row r="957">
      <c r="A957" s="17">
        <v>8813100.0</v>
      </c>
      <c r="B957" s="17" t="s">
        <v>1841</v>
      </c>
      <c r="C957" s="17" t="s">
        <v>1842</v>
      </c>
    </row>
    <row r="958">
      <c r="A958" s="17">
        <v>8821000.0</v>
      </c>
      <c r="B958" s="17" t="s">
        <v>1843</v>
      </c>
      <c r="C958" s="17" t="s">
        <v>1844</v>
      </c>
    </row>
    <row r="959">
      <c r="A959" s="17">
        <v>8821100.0</v>
      </c>
      <c r="B959" s="17" t="s">
        <v>1845</v>
      </c>
      <c r="C959" s="17" t="s">
        <v>1846</v>
      </c>
    </row>
    <row r="960">
      <c r="A960" s="17">
        <v>8821200.0</v>
      </c>
      <c r="B960" s="17" t="s">
        <v>1847</v>
      </c>
      <c r="C960" s="17" t="s">
        <v>1848</v>
      </c>
    </row>
    <row r="961">
      <c r="A961" s="17">
        <v>8830000.0</v>
      </c>
      <c r="B961" s="17" t="s">
        <v>1849</v>
      </c>
      <c r="C961" s="17" t="s">
        <v>1850</v>
      </c>
    </row>
    <row r="962">
      <c r="A962" s="17">
        <v>8831000.0</v>
      </c>
      <c r="B962" s="17" t="s">
        <v>1851</v>
      </c>
      <c r="C962" s="17" t="s">
        <v>1852</v>
      </c>
    </row>
    <row r="963">
      <c r="A963" s="17">
        <v>8831100.0</v>
      </c>
      <c r="B963" s="17" t="s">
        <v>868</v>
      </c>
      <c r="C963" s="17" t="s">
        <v>869</v>
      </c>
    </row>
    <row r="964">
      <c r="A964" s="17">
        <v>8831200.0</v>
      </c>
      <c r="B964" s="17" t="s">
        <v>870</v>
      </c>
      <c r="C964" s="17" t="s">
        <v>871</v>
      </c>
    </row>
    <row r="965">
      <c r="A965" s="17">
        <v>8880000.0</v>
      </c>
      <c r="B965" s="17" t="s">
        <v>1853</v>
      </c>
      <c r="C965" s="17" t="s">
        <v>1854</v>
      </c>
    </row>
    <row r="966">
      <c r="A966" s="17">
        <v>8880100.0</v>
      </c>
      <c r="B966" s="17" t="s">
        <v>1855</v>
      </c>
      <c r="C966" s="17" t="s">
        <v>1856</v>
      </c>
    </row>
    <row r="967">
      <c r="A967" s="17">
        <v>8880200.0</v>
      </c>
      <c r="B967" s="17" t="s">
        <v>1857</v>
      </c>
      <c r="C967" s="17" t="s">
        <v>1858</v>
      </c>
    </row>
    <row r="968">
      <c r="A968" s="17">
        <v>8880300.0</v>
      </c>
      <c r="B968" s="17" t="s">
        <v>1859</v>
      </c>
      <c r="C968" s="17" t="s">
        <v>1860</v>
      </c>
    </row>
    <row r="969">
      <c r="A969" s="17">
        <v>8880400.0</v>
      </c>
      <c r="B969" s="17" t="s">
        <v>1861</v>
      </c>
      <c r="C969" s="17" t="s">
        <v>1862</v>
      </c>
    </row>
    <row r="970">
      <c r="A970" s="17">
        <v>8881000.0</v>
      </c>
      <c r="B970" s="17" t="s">
        <v>1863</v>
      </c>
      <c r="C970" s="17" t="s">
        <v>1864</v>
      </c>
    </row>
    <row r="971">
      <c r="A971" s="17">
        <v>8881100.0</v>
      </c>
      <c r="B971" s="17" t="s">
        <v>1865</v>
      </c>
      <c r="C971" s="17" t="s">
        <v>1866</v>
      </c>
    </row>
    <row r="972">
      <c r="A972" s="17">
        <v>8881200.0</v>
      </c>
      <c r="B972" s="17" t="s">
        <v>1867</v>
      </c>
      <c r="C972" s="17" t="s">
        <v>1868</v>
      </c>
    </row>
    <row r="973">
      <c r="A973" s="17">
        <v>8881300.0</v>
      </c>
      <c r="B973" s="17" t="s">
        <v>1869</v>
      </c>
      <c r="C973" s="17" t="s">
        <v>1870</v>
      </c>
    </row>
    <row r="974">
      <c r="A974" s="17">
        <v>8881400.0</v>
      </c>
      <c r="B974" s="17" t="s">
        <v>1871</v>
      </c>
      <c r="C974" s="17" t="s">
        <v>1872</v>
      </c>
    </row>
    <row r="975">
      <c r="A975" s="17">
        <v>8881500.0</v>
      </c>
      <c r="B975" s="17" t="s">
        <v>1873</v>
      </c>
      <c r="C975" s="17" t="s">
        <v>1874</v>
      </c>
    </row>
    <row r="976">
      <c r="A976" s="17">
        <v>8881600.0</v>
      </c>
      <c r="B976" s="17" t="s">
        <v>1875</v>
      </c>
      <c r="C976" s="17" t="s">
        <v>1876</v>
      </c>
    </row>
    <row r="977">
      <c r="A977" s="17">
        <v>8882000.0</v>
      </c>
      <c r="B977" s="17" t="s">
        <v>1877</v>
      </c>
      <c r="C977" s="17" t="s">
        <v>1878</v>
      </c>
    </row>
    <row r="978">
      <c r="A978" s="17">
        <v>8882100.0</v>
      </c>
      <c r="B978" s="17" t="s">
        <v>1879</v>
      </c>
      <c r="C978" s="17" t="s">
        <v>1880</v>
      </c>
    </row>
    <row r="979">
      <c r="A979" s="17">
        <v>8882200.0</v>
      </c>
      <c r="B979" s="17" t="s">
        <v>1881</v>
      </c>
      <c r="C979" s="17" t="s">
        <v>1882</v>
      </c>
    </row>
    <row r="980">
      <c r="A980" s="17">
        <v>8882300.0</v>
      </c>
      <c r="B980" s="17" t="s">
        <v>1883</v>
      </c>
      <c r="C980" s="17" t="s">
        <v>1884</v>
      </c>
    </row>
    <row r="981">
      <c r="A981" s="17">
        <v>8882400.0</v>
      </c>
      <c r="B981" s="17" t="s">
        <v>1885</v>
      </c>
      <c r="C981" s="17" t="s">
        <v>1886</v>
      </c>
    </row>
    <row r="982">
      <c r="A982" s="17">
        <v>8882500.0</v>
      </c>
      <c r="B982" s="17" t="s">
        <v>1887</v>
      </c>
      <c r="C982" s="17" t="s">
        <v>1888</v>
      </c>
    </row>
    <row r="983">
      <c r="A983" s="17">
        <v>8883000.0</v>
      </c>
      <c r="B983" s="17" t="s">
        <v>1889</v>
      </c>
      <c r="C983" s="17" t="s">
        <v>1890</v>
      </c>
    </row>
    <row r="984">
      <c r="A984" s="17">
        <v>8883100.0</v>
      </c>
      <c r="B984" s="17" t="s">
        <v>1891</v>
      </c>
      <c r="C984" s="17" t="s">
        <v>1892</v>
      </c>
    </row>
    <row r="985">
      <c r="A985" s="17">
        <v>8883200.0</v>
      </c>
      <c r="B985" s="17" t="s">
        <v>1893</v>
      </c>
      <c r="C985" s="17" t="s">
        <v>1894</v>
      </c>
    </row>
    <row r="986">
      <c r="A986" s="17">
        <v>8883300.0</v>
      </c>
      <c r="B986" s="17" t="s">
        <v>1895</v>
      </c>
      <c r="C986" s="17" t="s">
        <v>1896</v>
      </c>
    </row>
    <row r="987">
      <c r="A987" s="17">
        <v>8883400.0</v>
      </c>
      <c r="B987" s="17" t="s">
        <v>1897</v>
      </c>
      <c r="C987" s="17" t="s">
        <v>1898</v>
      </c>
    </row>
    <row r="988">
      <c r="A988" s="17">
        <v>8884000.0</v>
      </c>
      <c r="B988" s="17" t="s">
        <v>1899</v>
      </c>
      <c r="C988" s="17" t="s">
        <v>1900</v>
      </c>
    </row>
    <row r="989">
      <c r="A989" s="17">
        <v>8884100.0</v>
      </c>
      <c r="B989" s="17" t="s">
        <v>1901</v>
      </c>
      <c r="C989" s="17" t="s">
        <v>1902</v>
      </c>
    </row>
    <row r="990">
      <c r="A990" s="17">
        <v>8884200.0</v>
      </c>
      <c r="B990" s="17" t="s">
        <v>1903</v>
      </c>
      <c r="C990" s="17" t="s">
        <v>1904</v>
      </c>
    </row>
    <row r="991">
      <c r="A991" s="17">
        <v>8884300.0</v>
      </c>
      <c r="B991" s="17" t="s">
        <v>1905</v>
      </c>
      <c r="C991" s="17" t="s">
        <v>1906</v>
      </c>
    </row>
    <row r="992">
      <c r="A992" s="17">
        <v>8885000.0</v>
      </c>
      <c r="B992" s="17" t="s">
        <v>1907</v>
      </c>
      <c r="C992" s="17" t="s">
        <v>1908</v>
      </c>
    </row>
    <row r="993">
      <c r="A993" s="17">
        <v>8885100.0</v>
      </c>
      <c r="B993" s="17" t="s">
        <v>1909</v>
      </c>
      <c r="C993" s="17" t="s">
        <v>1910</v>
      </c>
    </row>
    <row r="994">
      <c r="A994" s="17">
        <v>8885200.0</v>
      </c>
      <c r="B994" s="17" t="s">
        <v>1911</v>
      </c>
      <c r="C994" s="17" t="s">
        <v>1912</v>
      </c>
    </row>
    <row r="995">
      <c r="A995" s="17">
        <v>8920100.0</v>
      </c>
      <c r="B995" s="17" t="s">
        <v>623</v>
      </c>
      <c r="C995" s="17" t="s">
        <v>624</v>
      </c>
    </row>
    <row r="996">
      <c r="A996" s="17">
        <v>8921400.0</v>
      </c>
      <c r="B996" s="17" t="s">
        <v>1913</v>
      </c>
      <c r="C996" s="17" t="s">
        <v>1914</v>
      </c>
    </row>
    <row r="997">
      <c r="A997" s="17">
        <v>8960100.0</v>
      </c>
      <c r="B997" s="17" t="s">
        <v>1915</v>
      </c>
      <c r="C997" s="17" t="s">
        <v>1916</v>
      </c>
    </row>
    <row r="998">
      <c r="A998" s="17">
        <v>8960200.0</v>
      </c>
      <c r="B998" s="17" t="s">
        <v>1917</v>
      </c>
      <c r="C998" s="17" t="s">
        <v>1918</v>
      </c>
    </row>
    <row r="999">
      <c r="A999" s="17">
        <v>9021400.0</v>
      </c>
      <c r="B999" s="17" t="s">
        <v>1919</v>
      </c>
      <c r="C999" s="17" t="s">
        <v>1920</v>
      </c>
    </row>
    <row r="1000">
      <c r="A1000" s="17">
        <v>9030900.0</v>
      </c>
      <c r="B1000" s="17" t="s">
        <v>1921</v>
      </c>
      <c r="C1000" s="17" t="s">
        <v>1922</v>
      </c>
    </row>
    <row r="1001">
      <c r="A1001" s="17">
        <v>9031000.0</v>
      </c>
      <c r="B1001" s="17" t="s">
        <v>1923</v>
      </c>
      <c r="C1001" s="17" t="s">
        <v>1924</v>
      </c>
    </row>
    <row r="1002">
      <c r="A1002" s="17">
        <v>9031400.0</v>
      </c>
      <c r="B1002" s="17" t="s">
        <v>1925</v>
      </c>
      <c r="C1002" s="17" t="s">
        <v>1926</v>
      </c>
    </row>
    <row r="1003">
      <c r="A1003" s="17">
        <v>9031500.0</v>
      </c>
      <c r="B1003" s="17" t="s">
        <v>1927</v>
      </c>
      <c r="C1003" s="17" t="s">
        <v>1928</v>
      </c>
    </row>
    <row r="1004">
      <c r="A1004" s="17">
        <v>9031700.0</v>
      </c>
      <c r="B1004" s="17" t="s">
        <v>1929</v>
      </c>
      <c r="C1004" s="17" t="s">
        <v>1930</v>
      </c>
    </row>
    <row r="1005">
      <c r="A1005" s="17">
        <v>9040200.0</v>
      </c>
      <c r="B1005" s="17" t="s">
        <v>1931</v>
      </c>
      <c r="C1005" s="17" t="s">
        <v>1932</v>
      </c>
    </row>
    <row r="1006">
      <c r="A1006" s="17">
        <v>9040500.0</v>
      </c>
      <c r="B1006" s="17" t="s">
        <v>1933</v>
      </c>
      <c r="C1006" s="17" t="s">
        <v>1934</v>
      </c>
    </row>
    <row r="1007">
      <c r="A1007" s="17">
        <v>9040800.0</v>
      </c>
      <c r="B1007" s="17" t="s">
        <v>1935</v>
      </c>
      <c r="C1007" s="17" t="s">
        <v>1936</v>
      </c>
    </row>
    <row r="1008">
      <c r="A1008" s="17">
        <v>9041000.0</v>
      </c>
      <c r="B1008" s="17" t="s">
        <v>1937</v>
      </c>
      <c r="C1008" s="17" t="s">
        <v>1938</v>
      </c>
    </row>
    <row r="1009">
      <c r="A1009" s="17">
        <v>9060400.0</v>
      </c>
      <c r="B1009" s="17" t="s">
        <v>1939</v>
      </c>
      <c r="C1009" s="17" t="s">
        <v>1940</v>
      </c>
    </row>
    <row r="1010">
      <c r="A1010" s="17">
        <v>9071000.0</v>
      </c>
      <c r="B1010" s="17" t="s">
        <v>1941</v>
      </c>
      <c r="C1010" s="17" t="s">
        <v>1942</v>
      </c>
    </row>
    <row r="1011">
      <c r="A1011" s="17">
        <v>9081000.0</v>
      </c>
      <c r="B1011" s="17" t="s">
        <v>1943</v>
      </c>
      <c r="C1011" s="17" t="s">
        <v>1944</v>
      </c>
    </row>
    <row r="1012">
      <c r="A1012" s="17">
        <v>9090200.0</v>
      </c>
      <c r="B1012" s="17" t="s">
        <v>1945</v>
      </c>
      <c r="C1012" s="17" t="s">
        <v>1946</v>
      </c>
    </row>
    <row r="1013">
      <c r="A1013" s="17">
        <v>9111500.0</v>
      </c>
      <c r="B1013" s="17" t="s">
        <v>1947</v>
      </c>
      <c r="C1013" s="17" t="s">
        <v>1948</v>
      </c>
    </row>
    <row r="1014">
      <c r="A1014" s="17">
        <v>9122000.0</v>
      </c>
      <c r="B1014" s="17" t="s">
        <v>1925</v>
      </c>
      <c r="C1014" s="17" t="s">
        <v>1926</v>
      </c>
    </row>
    <row r="1015">
      <c r="A1015" s="17">
        <v>9130300.0</v>
      </c>
      <c r="B1015" s="17" t="s">
        <v>1949</v>
      </c>
      <c r="C1015" s="17" t="s">
        <v>1950</v>
      </c>
    </row>
    <row r="1016">
      <c r="A1016" s="17">
        <v>9150400.0</v>
      </c>
      <c r="B1016" s="17" t="s">
        <v>1951</v>
      </c>
      <c r="C1016" s="17" t="s">
        <v>1952</v>
      </c>
    </row>
    <row r="1017">
      <c r="A1017" s="17">
        <v>9151100.0</v>
      </c>
      <c r="B1017" s="17" t="s">
        <v>1953</v>
      </c>
      <c r="C1017" s="17" t="s">
        <v>1954</v>
      </c>
    </row>
    <row r="1018">
      <c r="A1018" s="17">
        <v>9160900.0</v>
      </c>
      <c r="B1018" s="17" t="s">
        <v>1955</v>
      </c>
      <c r="C1018" s="17" t="s">
        <v>1956</v>
      </c>
    </row>
    <row r="1019">
      <c r="A1019" s="17">
        <v>9170100.0</v>
      </c>
      <c r="B1019" s="17" t="s">
        <v>1957</v>
      </c>
      <c r="C1019" s="17" t="s">
        <v>1958</v>
      </c>
    </row>
    <row r="1020">
      <c r="A1020" s="17">
        <v>9200600.0</v>
      </c>
      <c r="B1020" s="17" t="s">
        <v>1959</v>
      </c>
      <c r="C1020" s="17" t="s">
        <v>1960</v>
      </c>
    </row>
    <row r="1021">
      <c r="A1021" s="17">
        <v>9210600.0</v>
      </c>
      <c r="B1021" s="17" t="s">
        <v>1961</v>
      </c>
      <c r="C1021" s="17" t="s">
        <v>1962</v>
      </c>
    </row>
    <row r="1022">
      <c r="A1022" s="17">
        <v>9230500.0</v>
      </c>
      <c r="B1022" s="17" t="s">
        <v>1963</v>
      </c>
      <c r="C1022" s="17" t="s">
        <v>1964</v>
      </c>
    </row>
    <row r="1023">
      <c r="A1023" s="17">
        <v>9330900.0</v>
      </c>
      <c r="B1023" s="17" t="s">
        <v>1965</v>
      </c>
      <c r="C1023" s="17" t="s">
        <v>1966</v>
      </c>
    </row>
    <row r="1024">
      <c r="A1024" s="17">
        <v>9420000.0</v>
      </c>
      <c r="B1024" s="17" t="s">
        <v>1967</v>
      </c>
      <c r="C1024" s="17" t="s">
        <v>1968</v>
      </c>
    </row>
    <row r="1025">
      <c r="A1025" s="17">
        <v>9990100.0</v>
      </c>
      <c r="B1025" s="17" t="s">
        <v>1969</v>
      </c>
      <c r="C1025" s="17" t="s">
        <v>1970</v>
      </c>
    </row>
    <row r="1026">
      <c r="A1026" s="17">
        <v>9990200.0</v>
      </c>
      <c r="B1026" s="17" t="s">
        <v>1971</v>
      </c>
      <c r="C1026" s="17" t="s">
        <v>1972</v>
      </c>
    </row>
    <row r="1027">
      <c r="A1027" s="17">
        <v>9990300.0</v>
      </c>
      <c r="B1027" s="17" t="s">
        <v>1973</v>
      </c>
      <c r="C1027" s="17" t="s">
        <v>1974</v>
      </c>
    </row>
    <row r="1028">
      <c r="A1028" s="17">
        <v>9990400.0</v>
      </c>
      <c r="B1028" s="17" t="s">
        <v>1975</v>
      </c>
      <c r="C1028" s="17" t="s">
        <v>1976</v>
      </c>
    </row>
    <row r="1029">
      <c r="A1029" s="17">
        <v>9990500.0</v>
      </c>
      <c r="B1029" s="17" t="s">
        <v>1977</v>
      </c>
      <c r="C1029" s="17" t="s">
        <v>1978</v>
      </c>
    </row>
    <row r="1030">
      <c r="A1030" s="17">
        <v>9990600.0</v>
      </c>
      <c r="B1030" s="17" t="s">
        <v>1979</v>
      </c>
      <c r="C1030" s="17" t="s">
        <v>1980</v>
      </c>
    </row>
    <row r="1031">
      <c r="A1031" s="17">
        <v>9990700.0</v>
      </c>
      <c r="B1031" s="17" t="s">
        <v>1981</v>
      </c>
      <c r="C1031" s="17" t="s">
        <v>1982</v>
      </c>
    </row>
    <row r="1032">
      <c r="A1032" s="17">
        <v>9990800.0</v>
      </c>
      <c r="B1032" s="17" t="s">
        <v>1983</v>
      </c>
      <c r="C1032" s="17" t="s">
        <v>1984</v>
      </c>
    </row>
    <row r="1033">
      <c r="A1033" s="17">
        <v>9990900.0</v>
      </c>
      <c r="B1033" s="17" t="s">
        <v>1985</v>
      </c>
      <c r="C1033" s="17" t="s">
        <v>1986</v>
      </c>
    </row>
    <row r="1034">
      <c r="A1034" s="17">
        <v>9991000.0</v>
      </c>
      <c r="B1034" s="17" t="s">
        <v>1987</v>
      </c>
      <c r="C1034" s="17" t="s">
        <v>1988</v>
      </c>
    </row>
    <row r="1035">
      <c r="A1035" s="17">
        <v>1.8E7</v>
      </c>
      <c r="B1035" s="17" t="s">
        <v>270</v>
      </c>
      <c r="C1035" s="17" t="s">
        <v>271</v>
      </c>
    </row>
    <row r="1036">
      <c r="A1036" s="17">
        <v>1.801E7</v>
      </c>
      <c r="B1036" s="17" t="s">
        <v>272</v>
      </c>
      <c r="C1036" s="17" t="s">
        <v>273</v>
      </c>
    </row>
    <row r="1037">
      <c r="A1037" s="17">
        <v>1.80101E7</v>
      </c>
      <c r="B1037" s="17" t="s">
        <v>617</v>
      </c>
      <c r="C1037" s="17" t="s">
        <v>618</v>
      </c>
    </row>
    <row r="1038">
      <c r="A1038" s="17">
        <v>1.802E7</v>
      </c>
      <c r="B1038" s="17" t="s">
        <v>274</v>
      </c>
      <c r="C1038" s="17" t="s">
        <v>275</v>
      </c>
    </row>
    <row r="1039">
      <c r="A1039" s="17">
        <v>1.80202E7</v>
      </c>
      <c r="B1039" s="17" t="s">
        <v>280</v>
      </c>
      <c r="C1039" s="17" t="s">
        <v>281</v>
      </c>
    </row>
    <row r="1040">
      <c r="A1040" s="17">
        <v>1.81E7</v>
      </c>
      <c r="B1040" s="17" t="s">
        <v>938</v>
      </c>
      <c r="C1040" s="17" t="s">
        <v>939</v>
      </c>
    </row>
    <row r="1041">
      <c r="A1041" s="17">
        <v>1.81005E7</v>
      </c>
      <c r="B1041" s="17" t="s">
        <v>623</v>
      </c>
      <c r="C1041" s="17" t="s">
        <v>624</v>
      </c>
    </row>
    <row r="1042">
      <c r="A1042" s="17">
        <v>1.812E7</v>
      </c>
      <c r="B1042" s="17" t="s">
        <v>1657</v>
      </c>
      <c r="C1042" s="17" t="s">
        <v>1658</v>
      </c>
    </row>
    <row r="1043">
      <c r="A1043" s="17">
        <v>1.82E7</v>
      </c>
      <c r="B1043" s="17" t="s">
        <v>366</v>
      </c>
      <c r="C1043" s="17" t="s">
        <v>367</v>
      </c>
    </row>
    <row r="1044">
      <c r="A1044" s="17">
        <v>1.82005E7</v>
      </c>
      <c r="B1044" s="17" t="s">
        <v>376</v>
      </c>
      <c r="C1044" s="17" t="s">
        <v>377</v>
      </c>
    </row>
    <row r="1045">
      <c r="A1045" s="17">
        <v>1.82107E7</v>
      </c>
      <c r="B1045" s="17" t="s">
        <v>1989</v>
      </c>
      <c r="C1045" s="17" t="s">
        <v>1990</v>
      </c>
    </row>
    <row r="1046">
      <c r="A1046" s="17">
        <v>1.823E7</v>
      </c>
      <c r="B1046" s="17" t="s">
        <v>302</v>
      </c>
      <c r="C1046" s="17" t="s">
        <v>303</v>
      </c>
    </row>
    <row r="1047">
      <c r="A1047" s="17">
        <v>1.8330103E7</v>
      </c>
      <c r="B1047" s="17" t="s">
        <v>1991</v>
      </c>
      <c r="C1047" s="17" t="s">
        <v>1992</v>
      </c>
    </row>
    <row r="1048">
      <c r="A1048" s="17">
        <v>1.83305E7</v>
      </c>
      <c r="B1048" s="17" t="s">
        <v>1993</v>
      </c>
      <c r="C1048" s="17" t="s">
        <v>357</v>
      </c>
    </row>
    <row r="1049">
      <c r="A1049" s="17">
        <v>1.83307E7</v>
      </c>
      <c r="B1049" s="17" t="s">
        <v>1689</v>
      </c>
      <c r="C1049" s="17" t="s">
        <v>1690</v>
      </c>
    </row>
    <row r="1050">
      <c r="A1050" s="17">
        <v>1.83504E7</v>
      </c>
      <c r="B1050" s="17" t="s">
        <v>1994</v>
      </c>
      <c r="C1050" s="17" t="s">
        <v>1995</v>
      </c>
    </row>
    <row r="1051">
      <c r="A1051" s="17">
        <v>1.84201E7</v>
      </c>
      <c r="B1051" s="17" t="s">
        <v>1706</v>
      </c>
      <c r="C1051" s="17" t="s">
        <v>1707</v>
      </c>
    </row>
    <row r="1052">
      <c r="A1052" s="17">
        <v>1.84202E7</v>
      </c>
      <c r="B1052" s="17" t="s">
        <v>1708</v>
      </c>
      <c r="C1052" s="17" t="s">
        <v>1709</v>
      </c>
    </row>
    <row r="1053">
      <c r="A1053" s="17">
        <v>1.843E7</v>
      </c>
      <c r="B1053" s="17" t="s">
        <v>324</v>
      </c>
      <c r="C1053" s="17" t="s">
        <v>325</v>
      </c>
    </row>
    <row r="1054">
      <c r="A1054" s="17">
        <v>1.844E7</v>
      </c>
      <c r="B1054" s="17" t="s">
        <v>388</v>
      </c>
      <c r="C1054" s="17" t="s">
        <v>389</v>
      </c>
    </row>
    <row r="1055">
      <c r="A1055" s="17">
        <v>1.85E7</v>
      </c>
      <c r="B1055" s="17" t="s">
        <v>278</v>
      </c>
      <c r="C1055" s="17" t="s">
        <v>279</v>
      </c>
    </row>
    <row r="1056">
      <c r="A1056" s="17">
        <v>1.864E7</v>
      </c>
      <c r="B1056" s="17" t="s">
        <v>396</v>
      </c>
      <c r="C1056" s="17" t="s">
        <v>397</v>
      </c>
    </row>
    <row r="1057">
      <c r="A1057" s="17">
        <v>1.86401E7</v>
      </c>
      <c r="B1057" s="17" t="s">
        <v>398</v>
      </c>
      <c r="C1057" s="17" t="s">
        <v>399</v>
      </c>
    </row>
    <row r="1058">
      <c r="A1058" s="17">
        <v>1.86402E7</v>
      </c>
      <c r="B1058" s="17" t="s">
        <v>1773</v>
      </c>
      <c r="C1058" s="17" t="s">
        <v>1774</v>
      </c>
    </row>
    <row r="1059">
      <c r="A1059" s="17">
        <v>1.865E7</v>
      </c>
      <c r="B1059" s="17" t="s">
        <v>1795</v>
      </c>
      <c r="C1059" s="17" t="s">
        <v>1796</v>
      </c>
    </row>
    <row r="1060">
      <c r="A1060" s="17">
        <v>1.86501E7</v>
      </c>
      <c r="B1060" s="17" t="s">
        <v>1797</v>
      </c>
      <c r="C1060" s="17" t="s">
        <v>1798</v>
      </c>
    </row>
    <row r="1061">
      <c r="A1061" s="17">
        <v>1.86602E7</v>
      </c>
      <c r="B1061" s="17" t="s">
        <v>1803</v>
      </c>
      <c r="C1061" s="17" t="s">
        <v>1804</v>
      </c>
    </row>
    <row r="1062">
      <c r="A1062" s="17">
        <v>1.86603E7</v>
      </c>
      <c r="B1062" s="17" t="s">
        <v>1805</v>
      </c>
      <c r="C1062" s="17" t="s">
        <v>1806</v>
      </c>
    </row>
    <row r="1063">
      <c r="A1063" s="17">
        <v>1.87E7</v>
      </c>
      <c r="B1063" s="17" t="s">
        <v>1996</v>
      </c>
      <c r="C1063" s="17" t="s">
        <v>1997</v>
      </c>
    </row>
    <row r="1064">
      <c r="A1064" s="17">
        <v>1.871E7</v>
      </c>
      <c r="B1064" s="17" t="s">
        <v>338</v>
      </c>
      <c r="C1064" s="17" t="s">
        <v>339</v>
      </c>
    </row>
    <row r="1065">
      <c r="A1065" s="17">
        <v>1.97E7</v>
      </c>
      <c r="B1065" s="17" t="s">
        <v>1998</v>
      </c>
      <c r="C1065" s="17" t="s">
        <v>1999</v>
      </c>
    </row>
    <row r="1066">
      <c r="A1066" s="17">
        <v>1.9700001E7</v>
      </c>
      <c r="B1066" s="17" t="s">
        <v>183</v>
      </c>
      <c r="C1066" s="17" t="s">
        <v>183</v>
      </c>
    </row>
    <row r="1067">
      <c r="A1067" s="17">
        <v>1.9700002E7</v>
      </c>
      <c r="B1067" s="17" t="s">
        <v>183</v>
      </c>
      <c r="C1067" s="17" t="s">
        <v>183</v>
      </c>
    </row>
    <row r="1068">
      <c r="A1068" s="17">
        <v>1.9700003E7</v>
      </c>
      <c r="B1068" s="17" t="s">
        <v>183</v>
      </c>
      <c r="C1068" s="17" t="s">
        <v>183</v>
      </c>
    </row>
    <row r="1069">
      <c r="A1069" s="17">
        <v>1.9700004E7</v>
      </c>
      <c r="B1069" s="17" t="s">
        <v>183</v>
      </c>
      <c r="C1069" s="17" t="s">
        <v>183</v>
      </c>
    </row>
    <row r="1070">
      <c r="A1070" s="17">
        <v>1.9700005E7</v>
      </c>
      <c r="B1070" s="17" t="s">
        <v>183</v>
      </c>
      <c r="C1070" s="17" t="s">
        <v>183</v>
      </c>
    </row>
    <row r="1071">
      <c r="A1071" s="17">
        <v>1.9700006E7</v>
      </c>
      <c r="B1071" s="17" t="s">
        <v>183</v>
      </c>
      <c r="C1071" s="17" t="s">
        <v>183</v>
      </c>
    </row>
    <row r="1072">
      <c r="A1072" s="17">
        <v>1.9700007E7</v>
      </c>
      <c r="B1072" s="17" t="s">
        <v>183</v>
      </c>
      <c r="C1072" s="17" t="s">
        <v>183</v>
      </c>
    </row>
    <row r="1073">
      <c r="A1073" s="17">
        <v>1.9700008E7</v>
      </c>
      <c r="B1073" s="17" t="s">
        <v>183</v>
      </c>
      <c r="C1073" s="17" t="s">
        <v>183</v>
      </c>
    </row>
    <row r="1074">
      <c r="A1074" s="17">
        <v>1.9700009E7</v>
      </c>
      <c r="B1074" s="17" t="s">
        <v>183</v>
      </c>
      <c r="C1074" s="17" t="s">
        <v>183</v>
      </c>
    </row>
    <row r="1075">
      <c r="A1075" s="17">
        <v>1.970001E7</v>
      </c>
      <c r="B1075" s="17" t="s">
        <v>2000</v>
      </c>
      <c r="C1075" s="17" t="s">
        <v>2001</v>
      </c>
    </row>
    <row r="1076">
      <c r="A1076" s="17">
        <v>1.9700011E7</v>
      </c>
      <c r="B1076" s="17" t="s">
        <v>183</v>
      </c>
      <c r="C1076" s="17" t="s">
        <v>183</v>
      </c>
    </row>
    <row r="1077">
      <c r="A1077" s="17">
        <v>1.9700012E7</v>
      </c>
      <c r="B1077" s="17" t="s">
        <v>183</v>
      </c>
      <c r="C1077" s="17" t="s">
        <v>183</v>
      </c>
    </row>
    <row r="1078">
      <c r="A1078" s="17">
        <v>1.9700013E7</v>
      </c>
      <c r="B1078" s="17" t="s">
        <v>183</v>
      </c>
      <c r="C1078" s="17" t="s">
        <v>183</v>
      </c>
    </row>
    <row r="1079">
      <c r="A1079" s="17">
        <v>1.9700014E7</v>
      </c>
      <c r="B1079" s="17" t="s">
        <v>183</v>
      </c>
      <c r="C1079" s="17" t="s">
        <v>183</v>
      </c>
    </row>
    <row r="1080">
      <c r="A1080" s="17">
        <v>1.9700015E7</v>
      </c>
      <c r="B1080" s="17" t="s">
        <v>183</v>
      </c>
      <c r="C1080" s="17" t="s">
        <v>183</v>
      </c>
    </row>
    <row r="1081">
      <c r="A1081" s="17">
        <v>1.9700016E7</v>
      </c>
      <c r="B1081" s="17" t="s">
        <v>183</v>
      </c>
      <c r="C1081" s="17" t="s">
        <v>183</v>
      </c>
    </row>
    <row r="1082">
      <c r="A1082" s="17">
        <v>1.9700017E7</v>
      </c>
      <c r="B1082" s="17" t="s">
        <v>183</v>
      </c>
      <c r="C1082" s="17" t="s">
        <v>183</v>
      </c>
    </row>
    <row r="1083">
      <c r="A1083" s="17">
        <v>1.9700018E7</v>
      </c>
      <c r="B1083" s="17" t="s">
        <v>183</v>
      </c>
      <c r="C1083" s="17" t="s">
        <v>183</v>
      </c>
    </row>
    <row r="1084">
      <c r="A1084" s="17">
        <v>1.9700019E7</v>
      </c>
      <c r="B1084" s="17" t="s">
        <v>183</v>
      </c>
      <c r="C1084" s="17" t="s">
        <v>183</v>
      </c>
    </row>
    <row r="1085">
      <c r="A1085" s="17">
        <v>1.970002E7</v>
      </c>
      <c r="B1085" s="17" t="s">
        <v>2002</v>
      </c>
      <c r="C1085" s="17" t="s">
        <v>2003</v>
      </c>
    </row>
    <row r="1086">
      <c r="A1086" s="17">
        <v>1.9700021E7</v>
      </c>
      <c r="B1086" s="17" t="s">
        <v>183</v>
      </c>
      <c r="C1086" s="17" t="s">
        <v>183</v>
      </c>
    </row>
    <row r="1087">
      <c r="A1087" s="17">
        <v>1.9700022E7</v>
      </c>
      <c r="B1087" s="17" t="s">
        <v>183</v>
      </c>
      <c r="C1087" s="17" t="s">
        <v>183</v>
      </c>
    </row>
    <row r="1088">
      <c r="A1088" s="17">
        <v>1.9700023E7</v>
      </c>
      <c r="B1088" s="17" t="s">
        <v>183</v>
      </c>
      <c r="C1088" s="17" t="s">
        <v>183</v>
      </c>
    </row>
    <row r="1089">
      <c r="A1089" s="17">
        <v>1.9700024E7</v>
      </c>
      <c r="B1089" s="17" t="s">
        <v>183</v>
      </c>
      <c r="C1089" s="17" t="s">
        <v>183</v>
      </c>
    </row>
    <row r="1090">
      <c r="A1090" s="17">
        <v>1.9700025E7</v>
      </c>
      <c r="B1090" s="17" t="s">
        <v>183</v>
      </c>
      <c r="C1090" s="17" t="s">
        <v>183</v>
      </c>
    </row>
    <row r="1091">
      <c r="A1091" s="17">
        <v>1.9700026E7</v>
      </c>
      <c r="B1091" s="17" t="s">
        <v>183</v>
      </c>
      <c r="C1091" s="17" t="s">
        <v>183</v>
      </c>
    </row>
    <row r="1092">
      <c r="A1092" s="17">
        <v>1.9700027E7</v>
      </c>
      <c r="B1092" s="17" t="s">
        <v>183</v>
      </c>
      <c r="C1092" s="17" t="s">
        <v>183</v>
      </c>
    </row>
    <row r="1093">
      <c r="A1093" s="17">
        <v>1.9700028E7</v>
      </c>
      <c r="B1093" s="17" t="s">
        <v>183</v>
      </c>
      <c r="C1093" s="17" t="s">
        <v>183</v>
      </c>
    </row>
    <row r="1094">
      <c r="A1094" s="17">
        <v>1.9700029E7</v>
      </c>
      <c r="B1094" s="17" t="s">
        <v>183</v>
      </c>
      <c r="C1094" s="17" t="s">
        <v>183</v>
      </c>
    </row>
    <row r="1095">
      <c r="A1095" s="17">
        <v>1.970003E7</v>
      </c>
      <c r="B1095" s="17" t="s">
        <v>2004</v>
      </c>
      <c r="C1095" s="17" t="s">
        <v>2005</v>
      </c>
    </row>
    <row r="1096">
      <c r="A1096" s="17">
        <v>1.9700031E7</v>
      </c>
      <c r="B1096" s="17" t="s">
        <v>183</v>
      </c>
      <c r="C1096" s="17" t="s">
        <v>183</v>
      </c>
    </row>
    <row r="1097">
      <c r="A1097" s="17">
        <v>1.9700032E7</v>
      </c>
      <c r="B1097" s="17" t="s">
        <v>183</v>
      </c>
      <c r="C1097" s="17" t="s">
        <v>183</v>
      </c>
    </row>
    <row r="1098">
      <c r="A1098" s="17">
        <v>1.9700033E7</v>
      </c>
      <c r="B1098" s="17" t="s">
        <v>183</v>
      </c>
      <c r="C1098" s="17" t="s">
        <v>183</v>
      </c>
    </row>
    <row r="1099">
      <c r="A1099" s="17">
        <v>1.9700034E7</v>
      </c>
      <c r="B1099" s="17" t="s">
        <v>183</v>
      </c>
      <c r="C1099" s="17" t="s">
        <v>183</v>
      </c>
    </row>
    <row r="1100">
      <c r="A1100" s="17">
        <v>1.9700035E7</v>
      </c>
      <c r="B1100" s="17" t="s">
        <v>183</v>
      </c>
      <c r="C1100" s="17" t="s">
        <v>183</v>
      </c>
    </row>
    <row r="1101">
      <c r="A1101" s="17">
        <v>1.9700036E7</v>
      </c>
      <c r="B1101" s="17" t="s">
        <v>183</v>
      </c>
      <c r="C1101" s="17" t="s">
        <v>183</v>
      </c>
    </row>
    <row r="1102">
      <c r="A1102" s="17">
        <v>1.9700037E7</v>
      </c>
      <c r="B1102" s="17" t="s">
        <v>183</v>
      </c>
      <c r="C1102" s="17" t="s">
        <v>183</v>
      </c>
    </row>
    <row r="1103">
      <c r="A1103" s="17">
        <v>1.9700038E7</v>
      </c>
      <c r="B1103" s="17" t="s">
        <v>183</v>
      </c>
      <c r="C1103" s="17" t="s">
        <v>183</v>
      </c>
    </row>
    <row r="1104">
      <c r="A1104" s="17">
        <v>1.9700039E7</v>
      </c>
      <c r="B1104" s="17" t="s">
        <v>183</v>
      </c>
      <c r="C1104" s="17" t="s">
        <v>183</v>
      </c>
    </row>
    <row r="1105">
      <c r="A1105" s="17">
        <v>1.970004E7</v>
      </c>
      <c r="B1105" s="17" t="s">
        <v>2006</v>
      </c>
      <c r="C1105" s="17" t="s">
        <v>2007</v>
      </c>
    </row>
    <row r="1106">
      <c r="A1106" s="17">
        <v>1.9700041E7</v>
      </c>
      <c r="B1106" s="17" t="s">
        <v>183</v>
      </c>
      <c r="C1106" s="17" t="s">
        <v>183</v>
      </c>
    </row>
    <row r="1107">
      <c r="A1107" s="17">
        <v>1.9700042E7</v>
      </c>
      <c r="B1107" s="17" t="s">
        <v>183</v>
      </c>
      <c r="C1107" s="17" t="s">
        <v>183</v>
      </c>
    </row>
    <row r="1108">
      <c r="A1108" s="17">
        <v>1.9700043E7</v>
      </c>
      <c r="B1108" s="17" t="s">
        <v>183</v>
      </c>
      <c r="C1108" s="17" t="s">
        <v>183</v>
      </c>
    </row>
    <row r="1109">
      <c r="A1109" s="17">
        <v>1.9700044E7</v>
      </c>
      <c r="B1109" s="17" t="s">
        <v>183</v>
      </c>
      <c r="C1109" s="17" t="s">
        <v>183</v>
      </c>
    </row>
    <row r="1110">
      <c r="A1110" s="17">
        <v>1.9700045E7</v>
      </c>
      <c r="B1110" s="17" t="s">
        <v>183</v>
      </c>
      <c r="C1110" s="17" t="s">
        <v>183</v>
      </c>
    </row>
    <row r="1111">
      <c r="A1111" s="17">
        <v>1.9700046E7</v>
      </c>
      <c r="B1111" s="17" t="s">
        <v>183</v>
      </c>
      <c r="C1111" s="17" t="s">
        <v>183</v>
      </c>
    </row>
    <row r="1112">
      <c r="A1112" s="17">
        <v>1.9700047E7</v>
      </c>
      <c r="B1112" s="17" t="s">
        <v>183</v>
      </c>
      <c r="C1112" s="17" t="s">
        <v>183</v>
      </c>
    </row>
    <row r="1113">
      <c r="A1113" s="17">
        <v>1.9700048E7</v>
      </c>
      <c r="B1113" s="17" t="s">
        <v>183</v>
      </c>
      <c r="C1113" s="17" t="s">
        <v>183</v>
      </c>
    </row>
    <row r="1114">
      <c r="A1114" s="17">
        <v>1.9700049E7</v>
      </c>
      <c r="B1114" s="17" t="s">
        <v>183</v>
      </c>
      <c r="C1114" s="17" t="s">
        <v>183</v>
      </c>
    </row>
    <row r="1115">
      <c r="A1115" s="17">
        <v>1.970005E7</v>
      </c>
      <c r="B1115" s="17" t="s">
        <v>2008</v>
      </c>
      <c r="C1115" s="17" t="s">
        <v>2009</v>
      </c>
    </row>
    <row r="1116">
      <c r="A1116" s="17">
        <v>1.9700051E7</v>
      </c>
      <c r="B1116" s="17" t="s">
        <v>183</v>
      </c>
      <c r="C1116" s="17" t="s">
        <v>183</v>
      </c>
    </row>
    <row r="1117">
      <c r="A1117" s="17">
        <v>1.9700052E7</v>
      </c>
      <c r="B1117" s="17" t="s">
        <v>183</v>
      </c>
      <c r="C1117" s="17" t="s">
        <v>183</v>
      </c>
    </row>
    <row r="1118">
      <c r="A1118" s="17">
        <v>1.9700053E7</v>
      </c>
      <c r="B1118" s="17" t="s">
        <v>183</v>
      </c>
      <c r="C1118" s="17" t="s">
        <v>183</v>
      </c>
    </row>
    <row r="1119">
      <c r="A1119" s="17">
        <v>1.9700054E7</v>
      </c>
      <c r="B1119" s="17" t="s">
        <v>183</v>
      </c>
      <c r="C1119" s="17" t="s">
        <v>183</v>
      </c>
    </row>
    <row r="1120">
      <c r="A1120" s="17">
        <v>1.9700055E7</v>
      </c>
      <c r="B1120" s="17" t="s">
        <v>183</v>
      </c>
      <c r="C1120" s="17" t="s">
        <v>183</v>
      </c>
    </row>
    <row r="1121">
      <c r="A1121" s="17">
        <v>1.9700056E7</v>
      </c>
      <c r="B1121" s="17" t="s">
        <v>183</v>
      </c>
      <c r="C1121" s="17" t="s">
        <v>183</v>
      </c>
    </row>
    <row r="1122">
      <c r="A1122" s="17">
        <v>1.9700057E7</v>
      </c>
      <c r="B1122" s="17" t="s">
        <v>183</v>
      </c>
      <c r="C1122" s="17" t="s">
        <v>183</v>
      </c>
    </row>
    <row r="1123">
      <c r="A1123" s="17">
        <v>1.9700058E7</v>
      </c>
      <c r="B1123" s="17" t="s">
        <v>183</v>
      </c>
      <c r="C1123" s="17" t="s">
        <v>183</v>
      </c>
    </row>
    <row r="1124">
      <c r="A1124" s="17">
        <v>1.9700059E7</v>
      </c>
      <c r="B1124" s="17" t="s">
        <v>183</v>
      </c>
      <c r="C1124" s="17" t="s">
        <v>183</v>
      </c>
    </row>
    <row r="1125">
      <c r="A1125" s="17">
        <v>1.970006E7</v>
      </c>
      <c r="B1125" s="17" t="s">
        <v>2010</v>
      </c>
      <c r="C1125" s="17" t="s">
        <v>2011</v>
      </c>
    </row>
    <row r="1126">
      <c r="A1126" s="17">
        <v>1.9700061E7</v>
      </c>
      <c r="B1126" s="17" t="s">
        <v>183</v>
      </c>
      <c r="C1126" s="17" t="s">
        <v>183</v>
      </c>
    </row>
    <row r="1127">
      <c r="A1127" s="17">
        <v>1.9700062E7</v>
      </c>
      <c r="B1127" s="17" t="s">
        <v>183</v>
      </c>
      <c r="C1127" s="17" t="s">
        <v>183</v>
      </c>
    </row>
    <row r="1128">
      <c r="A1128" s="17">
        <v>1.9700063E7</v>
      </c>
      <c r="B1128" s="17" t="s">
        <v>183</v>
      </c>
      <c r="C1128" s="17" t="s">
        <v>183</v>
      </c>
    </row>
    <row r="1129">
      <c r="A1129" s="17">
        <v>1.9700064E7</v>
      </c>
      <c r="B1129" s="17" t="s">
        <v>183</v>
      </c>
      <c r="C1129" s="17" t="s">
        <v>183</v>
      </c>
    </row>
    <row r="1130">
      <c r="A1130" s="17">
        <v>1.9700065E7</v>
      </c>
      <c r="B1130" s="17" t="s">
        <v>183</v>
      </c>
      <c r="C1130" s="17" t="s">
        <v>183</v>
      </c>
    </row>
    <row r="1131">
      <c r="A1131" s="17">
        <v>1.9700066E7</v>
      </c>
      <c r="B1131" s="17" t="s">
        <v>183</v>
      </c>
      <c r="C1131" s="17" t="s">
        <v>183</v>
      </c>
    </row>
    <row r="1132">
      <c r="A1132" s="17">
        <v>1.9700067E7</v>
      </c>
      <c r="B1132" s="17" t="s">
        <v>183</v>
      </c>
      <c r="C1132" s="17" t="s">
        <v>183</v>
      </c>
    </row>
    <row r="1133">
      <c r="A1133" s="17">
        <v>1.9700068E7</v>
      </c>
      <c r="B1133" s="17" t="s">
        <v>183</v>
      </c>
      <c r="C1133" s="17" t="s">
        <v>183</v>
      </c>
    </row>
    <row r="1134">
      <c r="A1134" s="17">
        <v>1.9700069E7</v>
      </c>
      <c r="B1134" s="17" t="s">
        <v>183</v>
      </c>
      <c r="C1134" s="17" t="s">
        <v>183</v>
      </c>
    </row>
    <row r="1135">
      <c r="A1135" s="17">
        <v>1.970007E7</v>
      </c>
      <c r="B1135" s="17" t="s">
        <v>2012</v>
      </c>
      <c r="C1135" s="17" t="s">
        <v>2013</v>
      </c>
    </row>
    <row r="1136">
      <c r="A1136" s="17">
        <v>1.9700071E7</v>
      </c>
      <c r="B1136" s="17" t="s">
        <v>183</v>
      </c>
      <c r="C1136" s="17" t="s">
        <v>183</v>
      </c>
    </row>
    <row r="1137">
      <c r="A1137" s="17">
        <v>1.9700072E7</v>
      </c>
      <c r="B1137" s="17" t="s">
        <v>183</v>
      </c>
      <c r="C1137" s="17" t="s">
        <v>183</v>
      </c>
    </row>
    <row r="1138">
      <c r="A1138" s="17">
        <v>1.9700073E7</v>
      </c>
      <c r="B1138" s="17" t="s">
        <v>183</v>
      </c>
      <c r="C1138" s="17" t="s">
        <v>183</v>
      </c>
    </row>
    <row r="1139">
      <c r="A1139" s="17">
        <v>1.9700074E7</v>
      </c>
      <c r="B1139" s="17" t="s">
        <v>183</v>
      </c>
      <c r="C1139" s="17" t="s">
        <v>183</v>
      </c>
    </row>
    <row r="1140">
      <c r="A1140" s="17">
        <v>1.9700075E7</v>
      </c>
      <c r="B1140" s="17" t="s">
        <v>183</v>
      </c>
      <c r="C1140" s="17" t="s">
        <v>183</v>
      </c>
    </row>
    <row r="1141">
      <c r="A1141" s="17">
        <v>1.9700076E7</v>
      </c>
      <c r="B1141" s="17" t="s">
        <v>183</v>
      </c>
      <c r="C1141" s="17" t="s">
        <v>183</v>
      </c>
    </row>
    <row r="1142">
      <c r="A1142" s="17">
        <v>1.9700077E7</v>
      </c>
      <c r="B1142" s="17" t="s">
        <v>183</v>
      </c>
      <c r="C1142" s="17" t="s">
        <v>183</v>
      </c>
    </row>
    <row r="1143">
      <c r="A1143" s="17">
        <v>1.9700078E7</v>
      </c>
      <c r="B1143" s="17" t="s">
        <v>183</v>
      </c>
      <c r="C1143" s="17" t="s">
        <v>183</v>
      </c>
    </row>
    <row r="1144">
      <c r="A1144" s="17">
        <v>1.9700079E7</v>
      </c>
      <c r="B1144" s="17" t="s">
        <v>183</v>
      </c>
      <c r="C1144" s="17" t="s">
        <v>183</v>
      </c>
    </row>
    <row r="1145">
      <c r="A1145" s="17">
        <v>1.970008E7</v>
      </c>
      <c r="B1145" s="17" t="s">
        <v>1701</v>
      </c>
      <c r="C1145" s="17" t="s">
        <v>1702</v>
      </c>
    </row>
    <row r="1146">
      <c r="A1146" s="17">
        <v>1.9700081E7</v>
      </c>
      <c r="B1146" s="17" t="s">
        <v>183</v>
      </c>
      <c r="C1146" s="17" t="s">
        <v>183</v>
      </c>
    </row>
    <row r="1147">
      <c r="A1147" s="17">
        <v>1.9700082E7</v>
      </c>
      <c r="B1147" s="17" t="s">
        <v>183</v>
      </c>
      <c r="C1147" s="17" t="s">
        <v>183</v>
      </c>
    </row>
    <row r="1148">
      <c r="A1148" s="17">
        <v>1.9700083E7</v>
      </c>
      <c r="B1148" s="17" t="s">
        <v>183</v>
      </c>
      <c r="C1148" s="17" t="s">
        <v>183</v>
      </c>
    </row>
    <row r="1149">
      <c r="A1149" s="17">
        <v>1.9700084E7</v>
      </c>
      <c r="B1149" s="17" t="s">
        <v>183</v>
      </c>
      <c r="C1149" s="17" t="s">
        <v>183</v>
      </c>
    </row>
    <row r="1150">
      <c r="A1150" s="17">
        <v>1.9700085E7</v>
      </c>
      <c r="B1150" s="17" t="s">
        <v>183</v>
      </c>
      <c r="C1150" s="17" t="s">
        <v>183</v>
      </c>
    </row>
    <row r="1151">
      <c r="A1151" s="17">
        <v>1.9700086E7</v>
      </c>
      <c r="B1151" s="17" t="s">
        <v>183</v>
      </c>
      <c r="C1151" s="17" t="s">
        <v>183</v>
      </c>
    </row>
    <row r="1152">
      <c r="A1152" s="17">
        <v>1.9700087E7</v>
      </c>
      <c r="B1152" s="17" t="s">
        <v>183</v>
      </c>
      <c r="C1152" s="17" t="s">
        <v>183</v>
      </c>
    </row>
    <row r="1153">
      <c r="A1153" s="17">
        <v>1.9700088E7</v>
      </c>
      <c r="B1153" s="17" t="s">
        <v>183</v>
      </c>
      <c r="C1153" s="17" t="s">
        <v>183</v>
      </c>
    </row>
    <row r="1154">
      <c r="A1154" s="17">
        <v>1.9700089E7</v>
      </c>
      <c r="B1154" s="17" t="s">
        <v>183</v>
      </c>
      <c r="C1154" s="17" t="s">
        <v>183</v>
      </c>
    </row>
    <row r="1155">
      <c r="A1155" s="17">
        <v>1.970009E7</v>
      </c>
      <c r="B1155" s="17" t="s">
        <v>2014</v>
      </c>
      <c r="C1155" s="17" t="s">
        <v>2015</v>
      </c>
    </row>
    <row r="1156">
      <c r="A1156" s="17">
        <v>1.9700091E7</v>
      </c>
      <c r="B1156" s="17" t="s">
        <v>183</v>
      </c>
      <c r="C1156" s="17" t="s">
        <v>183</v>
      </c>
    </row>
    <row r="1157">
      <c r="A1157" s="17">
        <v>1.9700092E7</v>
      </c>
      <c r="B1157" s="17" t="s">
        <v>183</v>
      </c>
      <c r="C1157" s="17" t="s">
        <v>183</v>
      </c>
    </row>
    <row r="1158">
      <c r="A1158" s="17">
        <v>1.9700093E7</v>
      </c>
      <c r="B1158" s="17" t="s">
        <v>183</v>
      </c>
      <c r="C1158" s="17" t="s">
        <v>183</v>
      </c>
    </row>
    <row r="1159">
      <c r="A1159" s="17">
        <v>1.9700094E7</v>
      </c>
      <c r="B1159" s="17" t="s">
        <v>183</v>
      </c>
      <c r="C1159" s="17" t="s">
        <v>183</v>
      </c>
    </row>
    <row r="1160">
      <c r="A1160" s="17">
        <v>1.9700095E7</v>
      </c>
      <c r="B1160" s="17" t="s">
        <v>183</v>
      </c>
      <c r="C1160" s="17" t="s">
        <v>183</v>
      </c>
    </row>
    <row r="1161">
      <c r="A1161" s="17">
        <v>1.9700096E7</v>
      </c>
      <c r="B1161" s="17" t="s">
        <v>183</v>
      </c>
      <c r="C1161" s="17" t="s">
        <v>183</v>
      </c>
    </row>
    <row r="1162">
      <c r="A1162" s="17">
        <v>1.9700097E7</v>
      </c>
      <c r="B1162" s="17" t="s">
        <v>183</v>
      </c>
      <c r="C1162" s="17" t="s">
        <v>183</v>
      </c>
    </row>
    <row r="1163">
      <c r="A1163" s="17">
        <v>1.9700098E7</v>
      </c>
      <c r="B1163" s="17" t="s">
        <v>183</v>
      </c>
      <c r="C1163" s="17" t="s">
        <v>183</v>
      </c>
    </row>
    <row r="1164">
      <c r="A1164" s="17">
        <v>1.9700099E7</v>
      </c>
      <c r="B1164" s="17" t="s">
        <v>183</v>
      </c>
      <c r="C1164" s="17" t="s">
        <v>183</v>
      </c>
    </row>
    <row r="1165">
      <c r="A1165" s="17">
        <v>1.97001E7</v>
      </c>
      <c r="B1165" s="17" t="s">
        <v>2016</v>
      </c>
      <c r="C1165" s="17" t="s">
        <v>2017</v>
      </c>
    </row>
    <row r="1166">
      <c r="A1166" s="17">
        <v>1.9799999E7</v>
      </c>
      <c r="B1166" s="17" t="s">
        <v>2018</v>
      </c>
      <c r="C1166" s="17" t="s">
        <v>2019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88"/>
    <col customWidth="1" min="3" max="3" width="10.13"/>
    <col customWidth="1" min="4" max="4" width="12.63"/>
  </cols>
  <sheetData>
    <row r="1">
      <c r="A1" s="27" t="s">
        <v>1</v>
      </c>
      <c r="B1" s="27" t="s">
        <v>2020</v>
      </c>
      <c r="C1" s="27" t="s">
        <v>2021</v>
      </c>
      <c r="D1" s="27" t="s">
        <v>2022</v>
      </c>
    </row>
    <row r="2">
      <c r="A2" s="17">
        <v>0.0</v>
      </c>
      <c r="B2" s="17">
        <v>-1.0</v>
      </c>
      <c r="C2" s="17">
        <v>-1.0</v>
      </c>
      <c r="D2" s="17">
        <v>0.0</v>
      </c>
    </row>
    <row r="3">
      <c r="A3" s="17">
        <v>10000.0</v>
      </c>
      <c r="B3" s="17">
        <v>-1.0</v>
      </c>
      <c r="C3" s="17">
        <v>8610100.0</v>
      </c>
      <c r="D3" s="17">
        <v>1.0</v>
      </c>
    </row>
    <row r="4">
      <c r="A4" s="17">
        <v>10001.0</v>
      </c>
      <c r="B4" s="17">
        <v>-1.0</v>
      </c>
      <c r="C4" s="17">
        <v>7032200.0</v>
      </c>
      <c r="D4" s="17">
        <v>1.0</v>
      </c>
    </row>
    <row r="5">
      <c r="A5" s="17">
        <v>10002.0</v>
      </c>
      <c r="B5" s="17">
        <v>-1.0</v>
      </c>
      <c r="C5" s="17">
        <v>7035900.0</v>
      </c>
      <c r="D5" s="17">
        <v>1.0</v>
      </c>
    </row>
    <row r="6">
      <c r="A6" s="17">
        <v>11000.0</v>
      </c>
      <c r="B6" s="17">
        <v>-1.0</v>
      </c>
      <c r="C6" s="17">
        <v>7033200.0</v>
      </c>
      <c r="D6" s="17">
        <v>1.0</v>
      </c>
    </row>
    <row r="7">
      <c r="A7" s="17">
        <v>11001.0</v>
      </c>
      <c r="B7" s="17">
        <v>-1.0</v>
      </c>
      <c r="C7" s="17">
        <v>7010200.0</v>
      </c>
      <c r="D7" s="17">
        <v>1.0</v>
      </c>
    </row>
    <row r="8">
      <c r="A8" s="17">
        <v>11002.0</v>
      </c>
      <c r="B8" s="17">
        <v>-1.0</v>
      </c>
      <c r="C8" s="17">
        <v>7032400.0</v>
      </c>
      <c r="D8" s="17">
        <v>1.0</v>
      </c>
    </row>
    <row r="9">
      <c r="A9" s="17">
        <v>12000.0</v>
      </c>
      <c r="B9" s="17">
        <v>-1.0</v>
      </c>
      <c r="C9" s="17">
        <v>7011000.0</v>
      </c>
      <c r="D9" s="17">
        <v>1.0</v>
      </c>
    </row>
    <row r="10">
      <c r="A10" s="17">
        <v>12001.0</v>
      </c>
      <c r="B10" s="17">
        <v>-1.0</v>
      </c>
      <c r="C10" s="17">
        <v>7030600.0</v>
      </c>
      <c r="D10" s="17">
        <v>1.0</v>
      </c>
    </row>
    <row r="11">
      <c r="A11" s="17">
        <v>12002.0</v>
      </c>
      <c r="B11" s="17">
        <v>-1.0</v>
      </c>
      <c r="C11" s="17">
        <v>7012000.0</v>
      </c>
      <c r="D11" s="17">
        <v>1.0</v>
      </c>
    </row>
    <row r="12">
      <c r="A12" s="17">
        <v>12003.0</v>
      </c>
      <c r="B12" s="17">
        <v>-1.0</v>
      </c>
      <c r="C12" s="17">
        <v>7012000.0</v>
      </c>
      <c r="D12" s="17">
        <v>1.0</v>
      </c>
    </row>
    <row r="13">
      <c r="A13" s="17">
        <v>13000.0</v>
      </c>
      <c r="B13" s="17">
        <v>-1.0</v>
      </c>
      <c r="C13" s="17">
        <v>7030900.0</v>
      </c>
      <c r="D13" s="17">
        <v>1.0</v>
      </c>
    </row>
    <row r="14">
      <c r="A14" s="17">
        <v>13001.0</v>
      </c>
      <c r="B14" s="17">
        <v>-1.0</v>
      </c>
      <c r="C14" s="17">
        <v>7031900.0</v>
      </c>
      <c r="D14" s="17">
        <v>1.0</v>
      </c>
    </row>
    <row r="15">
      <c r="A15" s="17">
        <v>13002.0</v>
      </c>
      <c r="B15" s="17">
        <v>-1.0</v>
      </c>
      <c r="C15" s="17">
        <v>7082400.0</v>
      </c>
      <c r="D15" s="17">
        <v>1.0</v>
      </c>
    </row>
    <row r="16">
      <c r="A16" s="17">
        <v>14000.0</v>
      </c>
      <c r="B16" s="17">
        <v>-1.0</v>
      </c>
      <c r="C16" s="17">
        <v>7010700.0</v>
      </c>
      <c r="D16" s="17">
        <v>1.0</v>
      </c>
    </row>
    <row r="17">
      <c r="A17" s="17">
        <v>14001.0</v>
      </c>
      <c r="B17" s="17">
        <v>-1.0</v>
      </c>
      <c r="C17" s="17">
        <v>7031800.0</v>
      </c>
      <c r="D17" s="17">
        <v>1.0</v>
      </c>
    </row>
    <row r="18">
      <c r="A18" s="17">
        <v>14002.0</v>
      </c>
      <c r="B18" s="17">
        <v>-1.0</v>
      </c>
      <c r="C18" s="17">
        <v>7012200.0</v>
      </c>
      <c r="D18" s="17">
        <v>1.0</v>
      </c>
    </row>
    <row r="19">
      <c r="A19" s="17">
        <v>15000.0</v>
      </c>
      <c r="B19" s="17">
        <v>-1.0</v>
      </c>
      <c r="C19" s="17">
        <v>7310000.0</v>
      </c>
      <c r="D19" s="17">
        <v>1.0</v>
      </c>
    </row>
    <row r="20">
      <c r="A20" s="17">
        <v>15001.0</v>
      </c>
      <c r="B20" s="17">
        <v>-1.0</v>
      </c>
      <c r="C20" s="17">
        <v>7031300.0</v>
      </c>
      <c r="D20" s="17">
        <v>1.0</v>
      </c>
    </row>
    <row r="21">
      <c r="A21" s="17">
        <v>15002.0</v>
      </c>
      <c r="B21" s="17">
        <v>-1.0</v>
      </c>
      <c r="C21" s="17">
        <v>7090300.0</v>
      </c>
      <c r="D21" s="17">
        <v>1.0</v>
      </c>
    </row>
    <row r="22">
      <c r="A22" s="17">
        <v>16000.0</v>
      </c>
      <c r="B22" s="17">
        <v>-1.0</v>
      </c>
      <c r="C22" s="17">
        <v>7031200.0</v>
      </c>
      <c r="D22" s="17">
        <v>1.0</v>
      </c>
    </row>
    <row r="23">
      <c r="A23" s="17">
        <v>16001.0</v>
      </c>
      <c r="B23" s="17">
        <v>-1.0</v>
      </c>
      <c r="C23" s="17">
        <v>7110000.0</v>
      </c>
      <c r="D23" s="17">
        <v>1.0</v>
      </c>
    </row>
    <row r="24">
      <c r="A24" s="17">
        <v>16002.0</v>
      </c>
      <c r="B24" s="17">
        <v>-1.0</v>
      </c>
      <c r="C24" s="17">
        <v>7010900.0</v>
      </c>
      <c r="D24" s="17">
        <v>1.0</v>
      </c>
    </row>
    <row r="25">
      <c r="A25" s="17">
        <v>17000.0</v>
      </c>
      <c r="B25" s="17">
        <v>-1.0</v>
      </c>
      <c r="C25" s="17">
        <v>7060000.0</v>
      </c>
      <c r="D25" s="17">
        <v>1.0</v>
      </c>
    </row>
    <row r="26">
      <c r="A26" s="17">
        <v>17001.0</v>
      </c>
      <c r="B26" s="17">
        <v>-1.0</v>
      </c>
      <c r="C26" s="17">
        <v>7082500.0</v>
      </c>
      <c r="D26" s="17">
        <v>1.0</v>
      </c>
    </row>
    <row r="27">
      <c r="A27" s="17">
        <v>17002.0</v>
      </c>
      <c r="B27" s="17">
        <v>-1.0</v>
      </c>
      <c r="C27" s="17">
        <v>7032900.0</v>
      </c>
      <c r="D27" s="17">
        <v>1.0</v>
      </c>
    </row>
    <row r="28">
      <c r="A28" s="17">
        <v>18000.0</v>
      </c>
      <c r="B28" s="17">
        <v>-1.0</v>
      </c>
      <c r="C28" s="17">
        <v>7030200.0</v>
      </c>
      <c r="D28" s="17">
        <v>1.0</v>
      </c>
    </row>
    <row r="29">
      <c r="A29" s="17">
        <v>18001.0</v>
      </c>
      <c r="B29" s="17">
        <v>-1.0</v>
      </c>
      <c r="C29" s="17">
        <v>7030800.0</v>
      </c>
      <c r="D29" s="17">
        <v>1.0</v>
      </c>
    </row>
    <row r="30">
      <c r="A30" s="17">
        <v>18002.0</v>
      </c>
      <c r="B30" s="17">
        <v>-1.0</v>
      </c>
      <c r="C30" s="17">
        <v>7011700.0</v>
      </c>
      <c r="D30" s="17">
        <v>1.0</v>
      </c>
    </row>
    <row r="31">
      <c r="A31" s="17">
        <v>19001.0</v>
      </c>
      <c r="B31" s="17">
        <v>-1.0</v>
      </c>
      <c r="C31" s="17">
        <v>7036300.0</v>
      </c>
      <c r="D31" s="17">
        <v>1.0</v>
      </c>
    </row>
    <row r="32">
      <c r="A32" s="17">
        <v>100000.0</v>
      </c>
      <c r="B32" s="17">
        <v>-1.0</v>
      </c>
      <c r="C32" s="17">
        <v>7032200.0</v>
      </c>
      <c r="D32" s="17">
        <v>100.0</v>
      </c>
    </row>
    <row r="33">
      <c r="A33" s="17">
        <v>310000.0</v>
      </c>
      <c r="B33" s="17">
        <v>-1.0</v>
      </c>
      <c r="C33" s="17">
        <v>310000.0</v>
      </c>
      <c r="D33" s="17">
        <v>0.0</v>
      </c>
    </row>
    <row r="34">
      <c r="A34" s="17">
        <v>310100.0</v>
      </c>
      <c r="B34" s="17">
        <v>-1.0</v>
      </c>
      <c r="C34" s="17">
        <v>310100.0</v>
      </c>
      <c r="D34" s="17">
        <v>0.0</v>
      </c>
    </row>
    <row r="35">
      <c r="A35" s="17">
        <v>310200.0</v>
      </c>
      <c r="B35" s="17">
        <v>-1.0</v>
      </c>
      <c r="C35" s="17">
        <v>310200.0</v>
      </c>
      <c r="D35" s="17">
        <v>0.0</v>
      </c>
    </row>
    <row r="36">
      <c r="A36" s="17">
        <v>310400.0</v>
      </c>
      <c r="B36" s="17">
        <v>-1.0</v>
      </c>
      <c r="C36" s="17">
        <v>310400.0</v>
      </c>
      <c r="D36" s="17">
        <v>0.0</v>
      </c>
    </row>
    <row r="37">
      <c r="A37" s="17">
        <v>310401.0</v>
      </c>
      <c r="B37" s="17">
        <v>-1.0</v>
      </c>
      <c r="C37" s="17">
        <v>310401.0</v>
      </c>
      <c r="D37" s="17">
        <v>0.0</v>
      </c>
    </row>
    <row r="38">
      <c r="A38" s="17">
        <v>311000.0</v>
      </c>
      <c r="B38" s="17">
        <v>-1.0</v>
      </c>
      <c r="C38" s="17">
        <v>311000.0</v>
      </c>
      <c r="D38" s="17">
        <v>0.0</v>
      </c>
    </row>
    <row r="39">
      <c r="A39" s="17">
        <v>311100.0</v>
      </c>
      <c r="B39" s="17">
        <v>-1.0</v>
      </c>
      <c r="C39" s="17">
        <v>311100.0</v>
      </c>
      <c r="D39" s="17">
        <v>0.0</v>
      </c>
    </row>
    <row r="40">
      <c r="A40" s="17">
        <v>311500.0</v>
      </c>
      <c r="B40" s="17">
        <v>-1.0</v>
      </c>
      <c r="C40" s="17">
        <v>311500.0</v>
      </c>
      <c r="D40" s="17">
        <v>0.0</v>
      </c>
    </row>
    <row r="41">
      <c r="A41" s="17">
        <v>311600.0</v>
      </c>
      <c r="B41" s="17">
        <v>-1.0</v>
      </c>
      <c r="C41" s="17">
        <v>311600.0</v>
      </c>
      <c r="D41" s="17">
        <v>0.0</v>
      </c>
    </row>
    <row r="42">
      <c r="A42" s="17">
        <v>311601.0</v>
      </c>
      <c r="B42" s="17">
        <v>-1.0</v>
      </c>
      <c r="C42" s="17">
        <v>311601.0</v>
      </c>
      <c r="D42" s="17">
        <v>0.0</v>
      </c>
    </row>
    <row r="43">
      <c r="A43" s="17">
        <v>311700.0</v>
      </c>
      <c r="B43" s="17">
        <v>-1.0</v>
      </c>
      <c r="C43" s="17">
        <v>311700.0</v>
      </c>
      <c r="D43" s="17">
        <v>0.0</v>
      </c>
    </row>
    <row r="44">
      <c r="A44" s="17">
        <v>311701.0</v>
      </c>
      <c r="B44" s="17">
        <v>-1.0</v>
      </c>
      <c r="C44" s="17">
        <v>311701.0</v>
      </c>
      <c r="D44" s="17">
        <v>0.0</v>
      </c>
    </row>
    <row r="45">
      <c r="A45" s="17">
        <v>311800.0</v>
      </c>
      <c r="B45" s="17">
        <v>-1.0</v>
      </c>
      <c r="C45" s="17">
        <v>311800.0</v>
      </c>
      <c r="D45" s="17">
        <v>0.0</v>
      </c>
    </row>
    <row r="46">
      <c r="A46" s="17">
        <v>311801.0</v>
      </c>
      <c r="B46" s="17">
        <v>-1.0</v>
      </c>
      <c r="C46" s="17">
        <v>311801.0</v>
      </c>
      <c r="D46" s="17">
        <v>0.0</v>
      </c>
    </row>
    <row r="47">
      <c r="A47" s="17">
        <v>311900.0</v>
      </c>
      <c r="B47" s="17">
        <v>-1.0</v>
      </c>
      <c r="C47" s="17">
        <v>311900.0</v>
      </c>
      <c r="D47" s="17">
        <v>0.0</v>
      </c>
    </row>
    <row r="48">
      <c r="A48" s="17">
        <v>312000.0</v>
      </c>
      <c r="B48" s="17">
        <v>-1.0</v>
      </c>
      <c r="C48" s="17">
        <v>312000.0</v>
      </c>
      <c r="D48" s="17">
        <v>0.0</v>
      </c>
    </row>
    <row r="49">
      <c r="A49" s="17">
        <v>312001.0</v>
      </c>
      <c r="B49" s="17">
        <v>-1.0</v>
      </c>
      <c r="C49" s="17">
        <v>312001.0</v>
      </c>
      <c r="D49" s="17">
        <v>0.0</v>
      </c>
    </row>
    <row r="50">
      <c r="A50" s="17">
        <v>312002.0</v>
      </c>
      <c r="B50" s="17">
        <v>-1.0</v>
      </c>
      <c r="C50" s="17">
        <v>312002.0</v>
      </c>
      <c r="D50" s="17">
        <v>0.0</v>
      </c>
    </row>
    <row r="51">
      <c r="A51" s="17">
        <v>312100.0</v>
      </c>
      <c r="B51" s="17">
        <v>-1.0</v>
      </c>
      <c r="C51" s="17">
        <v>312100.0</v>
      </c>
      <c r="D51" s="17">
        <v>0.0</v>
      </c>
    </row>
    <row r="52">
      <c r="A52" s="17">
        <v>312300.0</v>
      </c>
      <c r="B52" s="17">
        <v>-1.0</v>
      </c>
      <c r="C52" s="17">
        <v>312300.0</v>
      </c>
      <c r="D52" s="17">
        <v>0.0</v>
      </c>
    </row>
    <row r="53">
      <c r="A53" s="17">
        <v>312500.0</v>
      </c>
      <c r="B53" s="17">
        <v>-1.0</v>
      </c>
      <c r="C53" s="17">
        <v>312500.0</v>
      </c>
      <c r="D53" s="17">
        <v>0.0</v>
      </c>
    </row>
    <row r="54">
      <c r="A54" s="17">
        <v>312501.0</v>
      </c>
      <c r="B54" s="17">
        <v>-1.0</v>
      </c>
      <c r="C54" s="17">
        <v>312501.0</v>
      </c>
      <c r="D54" s="17">
        <v>0.0</v>
      </c>
    </row>
    <row r="55">
      <c r="A55" s="17">
        <v>320000.0</v>
      </c>
      <c r="B55" s="17">
        <v>-1.0</v>
      </c>
      <c r="C55" s="17">
        <v>320000.0</v>
      </c>
      <c r="D55" s="17">
        <v>0.0</v>
      </c>
    </row>
    <row r="56">
      <c r="A56" s="17">
        <v>320001.0</v>
      </c>
      <c r="B56" s="17">
        <v>-1.0</v>
      </c>
      <c r="C56" s="17">
        <v>320001.0</v>
      </c>
      <c r="D56" s="17">
        <v>0.0</v>
      </c>
    </row>
    <row r="57">
      <c r="A57" s="17">
        <v>320100.0</v>
      </c>
      <c r="B57" s="17">
        <v>-1.0</v>
      </c>
      <c r="C57" s="17">
        <v>320100.0</v>
      </c>
      <c r="D57" s="17">
        <v>0.0</v>
      </c>
    </row>
    <row r="58">
      <c r="A58" s="17">
        <v>320101.0</v>
      </c>
      <c r="B58" s="17">
        <v>-1.0</v>
      </c>
      <c r="C58" s="17">
        <v>320101.0</v>
      </c>
      <c r="D58" s="17">
        <v>0.0</v>
      </c>
    </row>
    <row r="59">
      <c r="A59" s="17">
        <v>320200.0</v>
      </c>
      <c r="B59" s="17">
        <v>-1.0</v>
      </c>
      <c r="C59" s="17">
        <v>320200.0</v>
      </c>
      <c r="D59" s="17">
        <v>0.0</v>
      </c>
    </row>
    <row r="60">
      <c r="A60" s="17">
        <v>320201.0</v>
      </c>
      <c r="B60" s="17">
        <v>-1.0</v>
      </c>
      <c r="C60" s="17">
        <v>320201.0</v>
      </c>
      <c r="D60" s="17">
        <v>0.0</v>
      </c>
    </row>
    <row r="61">
      <c r="A61" s="17">
        <v>320300.0</v>
      </c>
      <c r="B61" s="17">
        <v>-1.0</v>
      </c>
      <c r="C61" s="17">
        <v>320300.0</v>
      </c>
      <c r="D61" s="17">
        <v>0.0</v>
      </c>
    </row>
    <row r="62">
      <c r="A62" s="17">
        <v>320301.0</v>
      </c>
      <c r="B62" s="17">
        <v>-1.0</v>
      </c>
      <c r="C62" s="17">
        <v>320301.0</v>
      </c>
      <c r="D62" s="17">
        <v>0.0</v>
      </c>
    </row>
    <row r="63">
      <c r="A63" s="17">
        <v>320400.0</v>
      </c>
      <c r="B63" s="17">
        <v>-1.0</v>
      </c>
      <c r="C63" s="17">
        <v>320400.0</v>
      </c>
      <c r="D63" s="17">
        <v>0.0</v>
      </c>
    </row>
    <row r="64">
      <c r="A64" s="17">
        <v>320500.0</v>
      </c>
      <c r="B64" s="17">
        <v>-1.0</v>
      </c>
      <c r="C64" s="17">
        <v>320500.0</v>
      </c>
      <c r="D64" s="17">
        <v>0.0</v>
      </c>
    </row>
    <row r="65">
      <c r="A65" s="17">
        <v>320600.0</v>
      </c>
      <c r="B65" s="17">
        <v>-1.0</v>
      </c>
      <c r="C65" s="17">
        <v>320600.0</v>
      </c>
      <c r="D65" s="17">
        <v>0.0</v>
      </c>
    </row>
    <row r="66">
      <c r="A66" s="17">
        <v>320700.0</v>
      </c>
      <c r="B66" s="17">
        <v>-1.0</v>
      </c>
      <c r="C66" s="17">
        <v>320700.0</v>
      </c>
      <c r="D66" s="17">
        <v>0.0</v>
      </c>
    </row>
    <row r="67">
      <c r="A67" s="17">
        <v>320800.0</v>
      </c>
      <c r="B67" s="17">
        <v>-1.0</v>
      </c>
      <c r="C67" s="17">
        <v>320800.0</v>
      </c>
      <c r="D67" s="17">
        <v>0.0</v>
      </c>
    </row>
    <row r="68">
      <c r="A68" s="17">
        <v>320801.0</v>
      </c>
      <c r="B68" s="17">
        <v>-1.0</v>
      </c>
      <c r="C68" s="17">
        <v>-1.0</v>
      </c>
      <c r="D68" s="17">
        <v>0.0</v>
      </c>
    </row>
    <row r="69">
      <c r="A69" s="17">
        <v>320900.0</v>
      </c>
      <c r="B69" s="17">
        <v>-1.0</v>
      </c>
      <c r="C69" s="17">
        <v>320900.0</v>
      </c>
      <c r="D69" s="17">
        <v>0.0</v>
      </c>
    </row>
    <row r="70">
      <c r="A70" s="17">
        <v>321000.0</v>
      </c>
      <c r="B70" s="17">
        <v>-1.0</v>
      </c>
      <c r="C70" s="17">
        <v>321000.0</v>
      </c>
      <c r="D70" s="17">
        <v>0.0</v>
      </c>
    </row>
    <row r="71">
      <c r="A71" s="17">
        <v>321200.0</v>
      </c>
      <c r="B71" s="17">
        <v>-1.0</v>
      </c>
      <c r="C71" s="17">
        <v>321200.0</v>
      </c>
      <c r="D71" s="17">
        <v>0.0</v>
      </c>
    </row>
    <row r="72">
      <c r="A72" s="17">
        <v>321300.0</v>
      </c>
      <c r="B72" s="17">
        <v>-1.0</v>
      </c>
      <c r="C72" s="17">
        <v>321300.0</v>
      </c>
      <c r="D72" s="17">
        <v>0.0</v>
      </c>
    </row>
    <row r="73">
      <c r="A73" s="17">
        <v>321500.0</v>
      </c>
      <c r="B73" s="17">
        <v>-1.0</v>
      </c>
      <c r="C73" s="17">
        <v>321500.0</v>
      </c>
      <c r="D73" s="17">
        <v>0.0</v>
      </c>
    </row>
    <row r="74">
      <c r="A74" s="17">
        <v>321600.0</v>
      </c>
      <c r="B74" s="17">
        <v>-1.0</v>
      </c>
      <c r="C74" s="17">
        <v>321600.0</v>
      </c>
      <c r="D74" s="17">
        <v>0.0</v>
      </c>
    </row>
    <row r="75">
      <c r="A75" s="17">
        <v>321700.0</v>
      </c>
      <c r="B75" s="17">
        <v>-1.0</v>
      </c>
      <c r="C75" s="17">
        <v>321700.0</v>
      </c>
      <c r="D75" s="17">
        <v>0.0</v>
      </c>
    </row>
    <row r="76">
      <c r="A76" s="17">
        <v>321800.0</v>
      </c>
      <c r="B76" s="17">
        <v>-1.0</v>
      </c>
      <c r="C76" s="17">
        <v>321800.0</v>
      </c>
      <c r="D76" s="17">
        <v>0.0</v>
      </c>
    </row>
    <row r="77">
      <c r="A77" s="17">
        <v>321900.0</v>
      </c>
      <c r="B77" s="17">
        <v>-1.0</v>
      </c>
      <c r="C77" s="17">
        <v>321900.0</v>
      </c>
      <c r="D77" s="17">
        <v>0.0</v>
      </c>
    </row>
    <row r="78">
      <c r="A78" s="17">
        <v>322000.0</v>
      </c>
      <c r="B78" s="17">
        <v>-1.0</v>
      </c>
      <c r="C78" s="17">
        <v>322000.0</v>
      </c>
      <c r="D78" s="17">
        <v>0.0</v>
      </c>
    </row>
    <row r="79">
      <c r="A79" s="17">
        <v>322100.0</v>
      </c>
      <c r="B79" s="17">
        <v>-1.0</v>
      </c>
      <c r="C79" s="17">
        <v>322100.0</v>
      </c>
      <c r="D79" s="17">
        <v>0.0</v>
      </c>
    </row>
    <row r="80">
      <c r="A80" s="17">
        <v>322200.0</v>
      </c>
      <c r="B80" s="17">
        <v>-1.0</v>
      </c>
      <c r="C80" s="17">
        <v>322200.0</v>
      </c>
      <c r="D80" s="17">
        <v>0.0</v>
      </c>
    </row>
    <row r="81">
      <c r="A81" s="17">
        <v>330000.0</v>
      </c>
      <c r="B81" s="17">
        <v>-1.0</v>
      </c>
      <c r="C81" s="17">
        <v>330000.0</v>
      </c>
      <c r="D81" s="17">
        <v>0.0</v>
      </c>
    </row>
    <row r="82">
      <c r="A82" s="17">
        <v>330400.0</v>
      </c>
      <c r="B82" s="17">
        <v>-1.0</v>
      </c>
      <c r="C82" s="17">
        <v>330400.0</v>
      </c>
      <c r="D82" s="17">
        <v>0.0</v>
      </c>
    </row>
    <row r="83">
      <c r="A83" s="17">
        <v>330600.0</v>
      </c>
      <c r="B83" s="17">
        <v>-1.0</v>
      </c>
      <c r="C83" s="17">
        <v>330600.0</v>
      </c>
      <c r="D83" s="17">
        <v>0.0</v>
      </c>
    </row>
    <row r="84">
      <c r="A84" s="17">
        <v>330700.0</v>
      </c>
      <c r="B84" s="17">
        <v>-1.0</v>
      </c>
      <c r="C84" s="17">
        <v>330700.0</v>
      </c>
      <c r="D84" s="17">
        <v>0.0</v>
      </c>
    </row>
    <row r="85">
      <c r="A85" s="17">
        <v>330800.0</v>
      </c>
      <c r="B85" s="17">
        <v>-1.0</v>
      </c>
      <c r="C85" s="17">
        <v>330800.0</v>
      </c>
      <c r="D85" s="17">
        <v>0.0</v>
      </c>
    </row>
    <row r="86">
      <c r="A86" s="17">
        <v>330801.0</v>
      </c>
      <c r="B86" s="17">
        <v>-1.0</v>
      </c>
      <c r="C86" s="17">
        <v>330801.0</v>
      </c>
      <c r="D86" s="17">
        <v>0.0</v>
      </c>
    </row>
    <row r="87">
      <c r="A87" s="17">
        <v>330900.0</v>
      </c>
      <c r="B87" s="17">
        <v>-1.0</v>
      </c>
      <c r="C87" s="17">
        <v>330900.0</v>
      </c>
      <c r="D87" s="17">
        <v>0.0</v>
      </c>
    </row>
    <row r="88">
      <c r="A88" s="17">
        <v>340000.0</v>
      </c>
      <c r="B88" s="17">
        <v>-1.0</v>
      </c>
      <c r="C88" s="17">
        <v>340000.0</v>
      </c>
      <c r="D88" s="17">
        <v>0.0</v>
      </c>
    </row>
    <row r="89">
      <c r="A89" s="17">
        <v>340100.0</v>
      </c>
      <c r="B89" s="17">
        <v>-1.0</v>
      </c>
      <c r="C89" s="17">
        <v>340100.0</v>
      </c>
      <c r="D89" s="17">
        <v>0.0</v>
      </c>
    </row>
    <row r="90">
      <c r="A90" s="17">
        <v>340200.0</v>
      </c>
      <c r="B90" s="17">
        <v>-1.0</v>
      </c>
      <c r="C90" s="17">
        <v>340200.0</v>
      </c>
      <c r="D90" s="17">
        <v>0.0</v>
      </c>
    </row>
    <row r="91">
      <c r="A91" s="17">
        <v>340300.0</v>
      </c>
      <c r="B91" s="17">
        <v>-1.0</v>
      </c>
      <c r="C91" s="17">
        <v>340300.0</v>
      </c>
      <c r="D91" s="17">
        <v>0.0</v>
      </c>
    </row>
    <row r="92">
      <c r="A92" s="17">
        <v>340400.0</v>
      </c>
      <c r="B92" s="17">
        <v>-1.0</v>
      </c>
      <c r="C92" s="17">
        <v>340400.0</v>
      </c>
      <c r="D92" s="17">
        <v>0.0</v>
      </c>
    </row>
    <row r="93">
      <c r="A93" s="17">
        <v>340500.0</v>
      </c>
      <c r="B93" s="17">
        <v>-1.0</v>
      </c>
      <c r="C93" s="17">
        <v>340500.0</v>
      </c>
      <c r="D93" s="17">
        <v>0.0</v>
      </c>
    </row>
    <row r="94">
      <c r="A94" s="17">
        <v>340700.0</v>
      </c>
      <c r="B94" s="17">
        <v>-1.0</v>
      </c>
      <c r="C94" s="17">
        <v>340700.0</v>
      </c>
      <c r="D94" s="17">
        <v>0.0</v>
      </c>
    </row>
    <row r="95">
      <c r="A95" s="17">
        <v>340701.0</v>
      </c>
      <c r="B95" s="17">
        <v>-1.0</v>
      </c>
      <c r="C95" s="17">
        <v>340701.0</v>
      </c>
      <c r="D95" s="17">
        <v>0.0</v>
      </c>
    </row>
    <row r="96">
      <c r="A96" s="17">
        <v>340800.0</v>
      </c>
      <c r="B96" s="17">
        <v>-1.0</v>
      </c>
      <c r="C96" s="17">
        <v>340800.0</v>
      </c>
      <c r="D96" s="17">
        <v>0.0</v>
      </c>
    </row>
    <row r="97">
      <c r="A97" s="17">
        <v>340900.0</v>
      </c>
      <c r="B97" s="17">
        <v>-1.0</v>
      </c>
      <c r="C97" s="17">
        <v>340900.0</v>
      </c>
      <c r="D97" s="17">
        <v>0.0</v>
      </c>
    </row>
    <row r="98">
      <c r="A98" s="17">
        <v>341000.0</v>
      </c>
      <c r="B98" s="17">
        <v>-1.0</v>
      </c>
      <c r="C98" s="17">
        <v>341000.0</v>
      </c>
      <c r="D98" s="17">
        <v>0.0</v>
      </c>
    </row>
    <row r="99">
      <c r="A99" s="17">
        <v>350000.0</v>
      </c>
      <c r="B99" s="17">
        <v>-1.0</v>
      </c>
      <c r="C99" s="17">
        <v>350000.0</v>
      </c>
      <c r="D99" s="17">
        <v>0.0</v>
      </c>
    </row>
    <row r="100">
      <c r="A100" s="17">
        <v>350200.0</v>
      </c>
      <c r="B100" s="17">
        <v>-1.0</v>
      </c>
      <c r="C100" s="17">
        <v>350200.0</v>
      </c>
      <c r="D100" s="17">
        <v>0.0</v>
      </c>
    </row>
    <row r="101">
      <c r="A101" s="17">
        <v>350300.0</v>
      </c>
      <c r="B101" s="17">
        <v>-1.0</v>
      </c>
      <c r="C101" s="17">
        <v>350300.0</v>
      </c>
      <c r="D101" s="17">
        <v>0.0</v>
      </c>
    </row>
    <row r="102">
      <c r="A102" s="17">
        <v>350400.0</v>
      </c>
      <c r="B102" s="17">
        <v>-1.0</v>
      </c>
      <c r="C102" s="17">
        <v>350400.0</v>
      </c>
      <c r="D102" s="17">
        <v>0.0</v>
      </c>
    </row>
    <row r="103">
      <c r="A103" s="17">
        <v>350500.0</v>
      </c>
      <c r="B103" s="17">
        <v>-1.0</v>
      </c>
      <c r="C103" s="17">
        <v>350500.0</v>
      </c>
      <c r="D103" s="17">
        <v>0.0</v>
      </c>
    </row>
    <row r="104">
      <c r="A104" s="17">
        <v>350600.0</v>
      </c>
      <c r="B104" s="17">
        <v>-1.0</v>
      </c>
      <c r="C104" s="17">
        <v>350600.0</v>
      </c>
      <c r="D104" s="17">
        <v>0.0</v>
      </c>
    </row>
    <row r="105">
      <c r="A105" s="17">
        <v>360200.0</v>
      </c>
      <c r="B105" s="17">
        <v>-1.0</v>
      </c>
      <c r="C105" s="17">
        <v>360200.0</v>
      </c>
      <c r="D105" s="17">
        <v>0.0</v>
      </c>
    </row>
    <row r="106">
      <c r="A106" s="17">
        <v>360700.0</v>
      </c>
      <c r="B106" s="17">
        <v>-1.0</v>
      </c>
      <c r="C106" s="17">
        <v>360700.0</v>
      </c>
      <c r="D106" s="17">
        <v>0.0</v>
      </c>
    </row>
    <row r="107">
      <c r="A107" s="17">
        <v>361100.0</v>
      </c>
      <c r="B107" s="17">
        <v>-1.0</v>
      </c>
      <c r="C107" s="17">
        <v>361100.0</v>
      </c>
      <c r="D107" s="17">
        <v>0.0</v>
      </c>
    </row>
    <row r="108">
      <c r="A108" s="17">
        <v>370000.0</v>
      </c>
      <c r="B108" s="17">
        <v>-1.0</v>
      </c>
      <c r="C108" s="17">
        <v>370000.0</v>
      </c>
      <c r="D108" s="17">
        <v>0.0</v>
      </c>
    </row>
    <row r="109">
      <c r="A109" s="17">
        <v>370001.0</v>
      </c>
      <c r="B109" s="17">
        <v>-1.0</v>
      </c>
      <c r="C109" s="17">
        <v>370001.0</v>
      </c>
      <c r="D109" s="17">
        <v>0.0</v>
      </c>
    </row>
    <row r="110">
      <c r="A110" s="17">
        <v>370002.0</v>
      </c>
      <c r="B110" s="17">
        <v>-1.0</v>
      </c>
      <c r="C110" s="17">
        <v>370002.0</v>
      </c>
      <c r="D110" s="17">
        <v>0.0</v>
      </c>
    </row>
    <row r="111">
      <c r="A111" s="17">
        <v>6001400.0</v>
      </c>
      <c r="B111" s="17">
        <v>100.0</v>
      </c>
      <c r="C111" s="17">
        <v>7001403.0</v>
      </c>
      <c r="D111" s="17">
        <v>1000.0</v>
      </c>
    </row>
    <row r="112">
      <c r="A112" s="17">
        <v>6001401.0</v>
      </c>
      <c r="B112" s="17">
        <v>100.0</v>
      </c>
      <c r="C112" s="17">
        <v>6001400.0</v>
      </c>
      <c r="D112" s="17">
        <v>1000.0</v>
      </c>
    </row>
    <row r="113">
      <c r="A113" s="17">
        <v>6001500.0</v>
      </c>
      <c r="B113" s="17">
        <v>100.0</v>
      </c>
      <c r="C113" s="17">
        <v>6001500.0</v>
      </c>
      <c r="D113" s="17">
        <v>1000.0</v>
      </c>
    </row>
    <row r="114">
      <c r="A114" s="17">
        <v>6001501.0</v>
      </c>
      <c r="B114" s="17">
        <v>100.0</v>
      </c>
      <c r="C114" s="17">
        <v>6001501.0</v>
      </c>
      <c r="D114" s="17">
        <v>1000.0</v>
      </c>
    </row>
    <row r="115">
      <c r="A115" s="17">
        <v>6001600.0</v>
      </c>
      <c r="B115" s="17">
        <v>100.0</v>
      </c>
      <c r="C115" s="17">
        <v>6001600.0</v>
      </c>
      <c r="D115" s="17">
        <v>1000.0</v>
      </c>
    </row>
    <row r="116">
      <c r="A116" s="17">
        <v>6001601.0</v>
      </c>
      <c r="B116" s="17">
        <v>100.0</v>
      </c>
      <c r="C116" s="17">
        <v>6001601.0</v>
      </c>
      <c r="D116" s="17">
        <v>1000.0</v>
      </c>
    </row>
    <row r="117">
      <c r="A117" s="17">
        <v>6001700.0</v>
      </c>
      <c r="B117" s="17">
        <v>100.0</v>
      </c>
      <c r="C117" s="17">
        <v>6001700.0</v>
      </c>
      <c r="D117" s="17">
        <v>1000.0</v>
      </c>
    </row>
    <row r="118">
      <c r="A118" s="17">
        <v>6001701.0</v>
      </c>
      <c r="B118" s="17">
        <v>100.0</v>
      </c>
      <c r="C118" s="17">
        <v>6001701.0</v>
      </c>
      <c r="D118" s="17">
        <v>1000.0</v>
      </c>
    </row>
    <row r="119">
      <c r="A119" s="17">
        <v>6001800.0</v>
      </c>
      <c r="B119" s="17">
        <v>100.0</v>
      </c>
      <c r="C119" s="17">
        <v>6001800.0</v>
      </c>
      <c r="D119" s="17">
        <v>1000.0</v>
      </c>
    </row>
    <row r="120">
      <c r="A120" s="17">
        <v>6001801.0</v>
      </c>
      <c r="B120" s="17">
        <v>100.0</v>
      </c>
      <c r="C120" s="17">
        <v>6001801.0</v>
      </c>
      <c r="D120" s="17">
        <v>1000.0</v>
      </c>
    </row>
    <row r="121">
      <c r="A121" s="17">
        <v>6002600.0</v>
      </c>
      <c r="B121" s="17">
        <v>7002600.0</v>
      </c>
      <c r="C121" s="17">
        <v>6002600.0</v>
      </c>
      <c r="D121" s="17">
        <v>1000.0</v>
      </c>
    </row>
    <row r="122">
      <c r="A122" s="17">
        <v>6002601.0</v>
      </c>
      <c r="B122" s="17">
        <v>7002600.0</v>
      </c>
      <c r="C122" s="17">
        <v>6002601.0</v>
      </c>
      <c r="D122" s="17">
        <v>1000.0</v>
      </c>
    </row>
    <row r="123">
      <c r="A123" s="17">
        <v>6002700.0</v>
      </c>
      <c r="B123" s="17">
        <v>7002700.0</v>
      </c>
      <c r="C123" s="17">
        <v>6002700.0</v>
      </c>
      <c r="D123" s="17">
        <v>1000.0</v>
      </c>
    </row>
    <row r="124">
      <c r="A124" s="17">
        <v>6002701.0</v>
      </c>
      <c r="B124" s="17">
        <v>7002700.0</v>
      </c>
      <c r="C124" s="17">
        <v>6002701.0</v>
      </c>
      <c r="D124" s="17">
        <v>1000.0</v>
      </c>
    </row>
    <row r="125">
      <c r="A125" s="17">
        <v>6002800.0</v>
      </c>
      <c r="B125" s="17">
        <v>7002800.0</v>
      </c>
      <c r="C125" s="17">
        <v>6002800.0</v>
      </c>
      <c r="D125" s="17">
        <v>1000.0</v>
      </c>
    </row>
    <row r="126">
      <c r="A126" s="17">
        <v>6002801.0</v>
      </c>
      <c r="B126" s="17">
        <v>7002800.0</v>
      </c>
      <c r="C126" s="17">
        <v>6002801.0</v>
      </c>
      <c r="D126" s="17">
        <v>1000.0</v>
      </c>
    </row>
    <row r="127">
      <c r="A127" s="17">
        <v>6002900.0</v>
      </c>
      <c r="B127" s="17">
        <v>7002900.0</v>
      </c>
      <c r="C127" s="17">
        <v>6002900.0</v>
      </c>
      <c r="D127" s="17">
        <v>1000.0</v>
      </c>
    </row>
    <row r="128">
      <c r="A128" s="17">
        <v>6002901.0</v>
      </c>
      <c r="B128" s="17">
        <v>7002900.0</v>
      </c>
      <c r="C128" s="17">
        <v>6002901.0</v>
      </c>
      <c r="D128" s="17">
        <v>1000.0</v>
      </c>
    </row>
    <row r="129">
      <c r="A129" s="17">
        <v>6003000.0</v>
      </c>
      <c r="B129" s="17">
        <v>7003000.0</v>
      </c>
      <c r="C129" s="17">
        <v>6003000.0</v>
      </c>
      <c r="D129" s="17">
        <v>1000.0</v>
      </c>
    </row>
    <row r="130">
      <c r="A130" s="17">
        <v>6003001.0</v>
      </c>
      <c r="B130" s="17">
        <v>7003000.0</v>
      </c>
      <c r="C130" s="17">
        <v>6003001.0</v>
      </c>
      <c r="D130" s="17">
        <v>1000.0</v>
      </c>
    </row>
    <row r="131">
      <c r="A131" s="17">
        <v>6003100.0</v>
      </c>
      <c r="B131" s="17">
        <v>7003100.0</v>
      </c>
      <c r="C131" s="17">
        <v>6003100.0</v>
      </c>
      <c r="D131" s="17">
        <v>1000.0</v>
      </c>
    </row>
    <row r="132">
      <c r="A132" s="17">
        <v>6003101.0</v>
      </c>
      <c r="B132" s="17">
        <v>7003100.0</v>
      </c>
      <c r="C132" s="17">
        <v>6003101.0</v>
      </c>
      <c r="D132" s="17">
        <v>1000.0</v>
      </c>
    </row>
    <row r="133">
      <c r="A133" s="17">
        <v>6003200.0</v>
      </c>
      <c r="B133" s="17">
        <v>7003200.0</v>
      </c>
      <c r="C133" s="17">
        <v>6003200.0</v>
      </c>
      <c r="D133" s="17">
        <v>1000.0</v>
      </c>
    </row>
    <row r="134">
      <c r="A134" s="17">
        <v>6003201.0</v>
      </c>
      <c r="B134" s="17">
        <v>7003200.0</v>
      </c>
      <c r="C134" s="17">
        <v>6003201.0</v>
      </c>
      <c r="D134" s="17">
        <v>1000.0</v>
      </c>
    </row>
    <row r="135">
      <c r="A135" s="17">
        <v>6003300.0</v>
      </c>
      <c r="B135" s="17">
        <v>7003300.0</v>
      </c>
      <c r="C135" s="17">
        <v>6003300.0</v>
      </c>
      <c r="D135" s="17">
        <v>1000.0</v>
      </c>
    </row>
    <row r="136">
      <c r="A136" s="17">
        <v>6003301.0</v>
      </c>
      <c r="B136" s="17">
        <v>7003300.0</v>
      </c>
      <c r="C136" s="17">
        <v>6003301.0</v>
      </c>
      <c r="D136" s="17">
        <v>1000.0</v>
      </c>
    </row>
    <row r="137">
      <c r="A137" s="17">
        <v>6003400.0</v>
      </c>
      <c r="B137" s="17">
        <v>7003400.0</v>
      </c>
      <c r="C137" s="17">
        <v>6003400.0</v>
      </c>
      <c r="D137" s="17">
        <v>1000.0</v>
      </c>
    </row>
    <row r="138">
      <c r="A138" s="17">
        <v>6003401.0</v>
      </c>
      <c r="B138" s="17">
        <v>7003400.0</v>
      </c>
      <c r="C138" s="17">
        <v>6003401.0</v>
      </c>
      <c r="D138" s="17">
        <v>1000.0</v>
      </c>
    </row>
    <row r="139">
      <c r="A139" s="17">
        <v>6003500.0</v>
      </c>
      <c r="B139" s="17">
        <v>7003500.0</v>
      </c>
      <c r="C139" s="17">
        <v>6003500.0</v>
      </c>
      <c r="D139" s="17">
        <v>1000.0</v>
      </c>
    </row>
    <row r="140">
      <c r="A140" s="17">
        <v>6003501.0</v>
      </c>
      <c r="B140" s="17">
        <v>7003500.0</v>
      </c>
      <c r="C140" s="17">
        <v>6003501.0</v>
      </c>
      <c r="D140" s="17">
        <v>1000.0</v>
      </c>
    </row>
    <row r="141">
      <c r="A141" s="17">
        <v>6003600.0</v>
      </c>
      <c r="B141" s="17">
        <v>7003600.0</v>
      </c>
      <c r="C141" s="17">
        <v>6003600.0</v>
      </c>
      <c r="D141" s="17">
        <v>1000.0</v>
      </c>
    </row>
    <row r="142">
      <c r="A142" s="17">
        <v>6003601.0</v>
      </c>
      <c r="B142" s="17">
        <v>7003600.0</v>
      </c>
      <c r="C142" s="17">
        <v>6003601.0</v>
      </c>
      <c r="D142" s="17">
        <v>1000.0</v>
      </c>
    </row>
    <row r="143">
      <c r="A143" s="17">
        <v>6005600.0</v>
      </c>
      <c r="B143" s="17">
        <v>7005600.0</v>
      </c>
      <c r="C143" s="17">
        <v>6005600.0</v>
      </c>
      <c r="D143" s="17">
        <v>100.0</v>
      </c>
    </row>
    <row r="144">
      <c r="A144" s="17">
        <v>6005601.0</v>
      </c>
      <c r="B144" s="17">
        <v>7005600.0</v>
      </c>
      <c r="C144" s="17">
        <v>6005601.0</v>
      </c>
      <c r="D144" s="17">
        <v>100.0</v>
      </c>
    </row>
    <row r="145">
      <c r="A145" s="17">
        <v>6030200.0</v>
      </c>
      <c r="B145" s="17">
        <v>7030200.0</v>
      </c>
      <c r="C145" s="17">
        <v>6030200.0</v>
      </c>
      <c r="D145" s="17">
        <v>100.0</v>
      </c>
    </row>
    <row r="146">
      <c r="A146" s="17">
        <v>6030600.0</v>
      </c>
      <c r="B146" s="17">
        <v>7030600.0</v>
      </c>
      <c r="C146" s="17">
        <v>6030600.0</v>
      </c>
      <c r="D146" s="17">
        <v>100.0</v>
      </c>
    </row>
    <row r="147">
      <c r="A147" s="17">
        <v>6030800.0</v>
      </c>
      <c r="B147" s="17">
        <v>7030800.0</v>
      </c>
      <c r="C147" s="17">
        <v>6030800.0</v>
      </c>
      <c r="D147" s="17">
        <v>100.0</v>
      </c>
    </row>
    <row r="148">
      <c r="A148" s="17">
        <v>6030900.0</v>
      </c>
      <c r="B148" s="17">
        <v>100.0</v>
      </c>
      <c r="C148" s="17">
        <v>6030900.0</v>
      </c>
      <c r="D148" s="17">
        <v>100.0</v>
      </c>
    </row>
    <row r="149">
      <c r="A149" s="17">
        <v>6030901.0</v>
      </c>
      <c r="B149" s="17">
        <v>100.0</v>
      </c>
      <c r="C149" s="17">
        <v>6030901.0</v>
      </c>
      <c r="D149" s="17">
        <v>100.0</v>
      </c>
    </row>
    <row r="150">
      <c r="A150" s="17">
        <v>6035100.0</v>
      </c>
      <c r="B150" s="17">
        <v>7035100.0</v>
      </c>
      <c r="C150" s="17">
        <v>6035100.0</v>
      </c>
      <c r="D150" s="17">
        <v>100.0</v>
      </c>
    </row>
    <row r="151">
      <c r="A151" s="17">
        <v>6040100.0</v>
      </c>
      <c r="B151" s="17">
        <v>100.0</v>
      </c>
      <c r="C151" s="17">
        <v>6040100.0</v>
      </c>
      <c r="D151" s="17">
        <v>100.0</v>
      </c>
    </row>
    <row r="152">
      <c r="A152" s="17">
        <v>6040101.0</v>
      </c>
      <c r="B152" s="17">
        <v>100.0</v>
      </c>
      <c r="C152" s="17">
        <v>6040101.0</v>
      </c>
      <c r="D152" s="17">
        <v>100.0</v>
      </c>
    </row>
    <row r="153">
      <c r="A153" s="17">
        <v>6040300.0</v>
      </c>
      <c r="B153" s="17">
        <v>7040300.0</v>
      </c>
      <c r="C153" s="17">
        <v>6040300.0</v>
      </c>
      <c r="D153" s="17">
        <v>100.0</v>
      </c>
    </row>
    <row r="154">
      <c r="A154" s="17">
        <v>6040400.0</v>
      </c>
      <c r="B154" s="17">
        <v>7040400.0</v>
      </c>
      <c r="C154" s="17">
        <v>6040400.0</v>
      </c>
      <c r="D154" s="17">
        <v>100.0</v>
      </c>
    </row>
    <row r="155">
      <c r="A155" s="17">
        <v>6040500.0</v>
      </c>
      <c r="B155" s="17">
        <v>7040500.0</v>
      </c>
      <c r="C155" s="17">
        <v>6040500.0</v>
      </c>
      <c r="D155" s="17">
        <v>100.0</v>
      </c>
    </row>
    <row r="156">
      <c r="A156" s="17">
        <v>6043100.0</v>
      </c>
      <c r="B156" s="17">
        <v>7043100.0</v>
      </c>
      <c r="C156" s="17">
        <v>6043100.0</v>
      </c>
      <c r="D156" s="17">
        <v>100.0</v>
      </c>
    </row>
    <row r="157">
      <c r="A157" s="17">
        <v>6060300.0</v>
      </c>
      <c r="B157" s="17">
        <v>6060300.0</v>
      </c>
      <c r="C157" s="17">
        <v>6060300.0</v>
      </c>
      <c r="D157" s="17">
        <v>100.0</v>
      </c>
    </row>
    <row r="158">
      <c r="A158" s="17">
        <v>6060400.0</v>
      </c>
      <c r="B158" s="17">
        <v>6060400.0</v>
      </c>
      <c r="C158" s="17">
        <v>6060400.0</v>
      </c>
      <c r="D158" s="17">
        <v>100.0</v>
      </c>
    </row>
    <row r="159">
      <c r="A159" s="17">
        <v>6060500.0</v>
      </c>
      <c r="B159" s="17">
        <v>6060500.0</v>
      </c>
      <c r="C159" s="17">
        <v>6060500.0</v>
      </c>
      <c r="D159" s="17">
        <v>100.0</v>
      </c>
    </row>
    <row r="160">
      <c r="A160" s="17">
        <v>6060600.0</v>
      </c>
      <c r="B160" s="17">
        <v>6060600.0</v>
      </c>
      <c r="C160" s="17">
        <v>6060600.0</v>
      </c>
      <c r="D160" s="17">
        <v>100.0</v>
      </c>
    </row>
    <row r="161">
      <c r="A161" s="17">
        <v>6090000.0</v>
      </c>
      <c r="B161" s="17">
        <v>7090000.0</v>
      </c>
      <c r="C161" s="17">
        <v>6090000.0</v>
      </c>
      <c r="D161" s="17">
        <v>100.0</v>
      </c>
    </row>
    <row r="162">
      <c r="A162" s="17">
        <v>6160000.0</v>
      </c>
      <c r="B162" s="17">
        <v>7160000.0</v>
      </c>
      <c r="C162" s="17">
        <v>6160000.0</v>
      </c>
      <c r="D162" s="17">
        <v>100.0</v>
      </c>
    </row>
    <row r="163">
      <c r="A163" s="17">
        <v>6260000.0</v>
      </c>
      <c r="B163" s="17">
        <v>7260300.0</v>
      </c>
      <c r="C163" s="17">
        <v>6260000.0</v>
      </c>
      <c r="D163" s="17">
        <v>100.0</v>
      </c>
    </row>
    <row r="164">
      <c r="A164" s="17">
        <v>6260001.0</v>
      </c>
      <c r="B164" s="17">
        <v>7260300.0</v>
      </c>
      <c r="C164" s="17">
        <v>6260001.0</v>
      </c>
      <c r="D164" s="17">
        <v>100.0</v>
      </c>
    </row>
    <row r="165">
      <c r="A165" s="17">
        <v>6260300.0</v>
      </c>
      <c r="B165" s="17">
        <v>7260300.0</v>
      </c>
      <c r="C165" s="17">
        <v>6260300.0</v>
      </c>
      <c r="D165" s="17">
        <v>100.0</v>
      </c>
    </row>
    <row r="166">
      <c r="A166" s="17">
        <v>6260301.0</v>
      </c>
      <c r="B166" s="17">
        <v>7260300.0</v>
      </c>
      <c r="C166" s="17">
        <v>6260301.0</v>
      </c>
      <c r="D166" s="17">
        <v>100.0</v>
      </c>
    </row>
    <row r="167">
      <c r="A167" s="17">
        <v>6260400.0</v>
      </c>
      <c r="B167" s="17">
        <v>7260400.0</v>
      </c>
      <c r="C167" s="17">
        <v>6260400.0</v>
      </c>
      <c r="D167" s="17">
        <v>100.0</v>
      </c>
    </row>
    <row r="168">
      <c r="A168" s="17">
        <v>6260401.0</v>
      </c>
      <c r="B168" s="17">
        <v>7260400.0</v>
      </c>
      <c r="C168" s="17">
        <v>6260401.0</v>
      </c>
      <c r="D168" s="17">
        <v>100.0</v>
      </c>
    </row>
    <row r="169">
      <c r="A169" s="17">
        <v>6500000.0</v>
      </c>
      <c r="B169" s="17">
        <v>900.0</v>
      </c>
      <c r="C169" s="17">
        <v>6500000.0</v>
      </c>
      <c r="D169" s="17">
        <v>1.0</v>
      </c>
    </row>
    <row r="170">
      <c r="A170" s="17">
        <v>6500100.0</v>
      </c>
      <c r="B170" s="17">
        <v>900.0</v>
      </c>
      <c r="C170" s="17">
        <v>6500100.0</v>
      </c>
      <c r="D170" s="17">
        <v>1.0</v>
      </c>
    </row>
    <row r="171">
      <c r="A171" s="17">
        <v>6500200.0</v>
      </c>
      <c r="B171" s="17">
        <v>900.0</v>
      </c>
      <c r="C171" s="17">
        <v>6500200.0</v>
      </c>
      <c r="D171" s="17">
        <v>1.0</v>
      </c>
    </row>
    <row r="172">
      <c r="A172" s="17">
        <v>6500300.0</v>
      </c>
      <c r="B172" s="17">
        <v>900.0</v>
      </c>
      <c r="C172" s="17">
        <v>6500300.0</v>
      </c>
      <c r="D172" s="17">
        <v>1.0</v>
      </c>
    </row>
    <row r="173">
      <c r="A173" s="17">
        <v>6500400.0</v>
      </c>
      <c r="B173" s="17">
        <v>900.0</v>
      </c>
      <c r="C173" s="17">
        <v>6500400.0</v>
      </c>
      <c r="D173" s="17">
        <v>1.0</v>
      </c>
    </row>
    <row r="174">
      <c r="A174" s="17">
        <v>6500500.0</v>
      </c>
      <c r="B174" s="17">
        <v>900.0</v>
      </c>
      <c r="C174" s="17">
        <v>6500500.0</v>
      </c>
      <c r="D174" s="17">
        <v>1.0</v>
      </c>
    </row>
    <row r="175">
      <c r="A175" s="17">
        <v>6500600.0</v>
      </c>
      <c r="B175" s="17">
        <v>900.0</v>
      </c>
      <c r="C175" s="17">
        <v>6500600.0</v>
      </c>
      <c r="D175" s="17">
        <v>1.0</v>
      </c>
    </row>
    <row r="176">
      <c r="A176" s="17">
        <v>6500700.0</v>
      </c>
      <c r="B176" s="17">
        <v>900.0</v>
      </c>
      <c r="C176" s="17">
        <v>6500700.0</v>
      </c>
      <c r="D176" s="17">
        <v>1.0</v>
      </c>
    </row>
    <row r="177">
      <c r="A177" s="17">
        <v>6500800.0</v>
      </c>
      <c r="B177" s="17">
        <v>900.0</v>
      </c>
      <c r="C177" s="17">
        <v>6500800.0</v>
      </c>
      <c r="D177" s="17">
        <v>1.0</v>
      </c>
    </row>
    <row r="178">
      <c r="A178" s="17">
        <v>6500900.0</v>
      </c>
      <c r="B178" s="17">
        <v>900.0</v>
      </c>
      <c r="C178" s="17">
        <v>6500900.0</v>
      </c>
      <c r="D178" s="17">
        <v>1.0</v>
      </c>
    </row>
    <row r="179">
      <c r="A179" s="17">
        <v>6600000.0</v>
      </c>
      <c r="B179" s="17">
        <v>100.0</v>
      </c>
      <c r="C179" s="17">
        <v>6600000.0</v>
      </c>
      <c r="D179" s="17">
        <v>100.0</v>
      </c>
    </row>
    <row r="180">
      <c r="A180" s="17">
        <v>6600001.0</v>
      </c>
      <c r="B180" s="17">
        <v>100.0</v>
      </c>
      <c r="C180" s="17">
        <v>6600001.0</v>
      </c>
      <c r="D180" s="17">
        <v>100.0</v>
      </c>
    </row>
    <row r="181">
      <c r="A181" s="17">
        <v>6600100.0</v>
      </c>
      <c r="B181" s="17">
        <v>100.0</v>
      </c>
      <c r="C181" s="17">
        <v>6600100.0</v>
      </c>
      <c r="D181" s="17">
        <v>100.0</v>
      </c>
    </row>
    <row r="182">
      <c r="A182" s="17">
        <v>6600101.0</v>
      </c>
      <c r="B182" s="17">
        <v>100.0</v>
      </c>
      <c r="C182" s="17">
        <v>6600101.0</v>
      </c>
      <c r="D182" s="17">
        <v>100.0</v>
      </c>
    </row>
    <row r="183">
      <c r="A183" s="17">
        <v>6610400.0</v>
      </c>
      <c r="B183" s="17">
        <v>6610400.0</v>
      </c>
      <c r="C183" s="17">
        <v>6610400.0</v>
      </c>
      <c r="D183" s="17">
        <v>1000.0</v>
      </c>
    </row>
    <row r="184">
      <c r="A184" s="17">
        <v>6610500.0</v>
      </c>
      <c r="B184" s="17">
        <v>6610500.0</v>
      </c>
      <c r="C184" s="17">
        <v>6610500.0</v>
      </c>
      <c r="D184" s="17">
        <v>1000.0</v>
      </c>
    </row>
    <row r="185">
      <c r="A185" s="17">
        <v>6610600.0</v>
      </c>
      <c r="B185" s="17">
        <v>6610600.0</v>
      </c>
      <c r="C185" s="17">
        <v>6610600.0</v>
      </c>
      <c r="D185" s="17">
        <v>1000.0</v>
      </c>
    </row>
    <row r="186">
      <c r="A186" s="17">
        <v>6610700.0</v>
      </c>
      <c r="B186" s="17">
        <v>6610700.0</v>
      </c>
      <c r="C186" s="17">
        <v>6610700.0</v>
      </c>
      <c r="D186" s="17">
        <v>1000.0</v>
      </c>
    </row>
    <row r="187">
      <c r="A187" s="17">
        <v>6610800.0</v>
      </c>
      <c r="B187" s="17">
        <v>100.0</v>
      </c>
      <c r="C187" s="17">
        <v>6610800.0</v>
      </c>
      <c r="D187" s="17">
        <v>1000.0</v>
      </c>
    </row>
    <row r="188">
      <c r="A188" s="17">
        <v>6610801.0</v>
      </c>
      <c r="B188" s="17">
        <v>100.0</v>
      </c>
      <c r="C188" s="17">
        <v>6610801.0</v>
      </c>
      <c r="D188" s="17">
        <v>1000.0</v>
      </c>
    </row>
    <row r="189">
      <c r="A189" s="17">
        <v>6610802.0</v>
      </c>
      <c r="B189" s="17">
        <v>100.0</v>
      </c>
      <c r="C189" s="17">
        <v>6610802.0</v>
      </c>
      <c r="D189" s="17">
        <v>1000.0</v>
      </c>
    </row>
    <row r="190">
      <c r="A190" s="17">
        <v>6611001.0</v>
      </c>
      <c r="B190" s="17">
        <v>7006200.0</v>
      </c>
      <c r="C190" s="17">
        <v>6611001.0</v>
      </c>
      <c r="D190" s="17">
        <v>1000.0</v>
      </c>
    </row>
    <row r="191">
      <c r="A191" s="17">
        <v>6611002.0</v>
      </c>
      <c r="B191" s="17">
        <v>7006200.0</v>
      </c>
      <c r="C191" s="17">
        <v>6611002.0</v>
      </c>
      <c r="D191" s="17">
        <v>1000.0</v>
      </c>
    </row>
    <row r="192">
      <c r="A192" s="17">
        <v>6611100.0</v>
      </c>
      <c r="B192" s="17">
        <v>6611100.0</v>
      </c>
      <c r="C192" s="17">
        <v>6611100.0</v>
      </c>
      <c r="D192" s="17">
        <v>1000.0</v>
      </c>
    </row>
    <row r="193">
      <c r="A193" s="17">
        <v>6611101.0</v>
      </c>
      <c r="B193" s="17">
        <v>6611100.0</v>
      </c>
      <c r="C193" s="17">
        <v>6611101.0</v>
      </c>
      <c r="D193" s="17">
        <v>1000.0</v>
      </c>
    </row>
    <row r="194">
      <c r="A194" s="17">
        <v>6611102.0</v>
      </c>
      <c r="B194" s="17">
        <v>6611100.0</v>
      </c>
      <c r="C194" s="17">
        <v>6611102.0</v>
      </c>
      <c r="D194" s="17">
        <v>1000.0</v>
      </c>
    </row>
    <row r="195">
      <c r="A195" s="17">
        <v>6611200.0</v>
      </c>
      <c r="B195" s="17">
        <v>100.0</v>
      </c>
      <c r="C195" s="17">
        <v>6611200.0</v>
      </c>
      <c r="D195" s="17">
        <v>100.0</v>
      </c>
    </row>
    <row r="196">
      <c r="A196" s="17">
        <v>6611201.0</v>
      </c>
      <c r="B196" s="17">
        <v>100.0</v>
      </c>
      <c r="C196" s="17">
        <v>6611201.0</v>
      </c>
      <c r="D196" s="17">
        <v>100.0</v>
      </c>
    </row>
    <row r="197">
      <c r="A197" s="17">
        <v>6611202.0</v>
      </c>
      <c r="B197" s="17">
        <v>100.0</v>
      </c>
      <c r="C197" s="17">
        <v>6611202.0</v>
      </c>
      <c r="D197" s="17">
        <v>100.0</v>
      </c>
    </row>
    <row r="198">
      <c r="A198" s="17">
        <v>6611300.0</v>
      </c>
      <c r="B198" s="17">
        <v>100.0</v>
      </c>
      <c r="C198" s="17">
        <v>6611300.0</v>
      </c>
      <c r="D198" s="17">
        <v>100.0</v>
      </c>
    </row>
    <row r="199">
      <c r="A199" s="17">
        <v>6611301.0</v>
      </c>
      <c r="B199" s="17">
        <v>100.0</v>
      </c>
      <c r="C199" s="17">
        <v>6611301.0</v>
      </c>
      <c r="D199" s="17">
        <v>100.0</v>
      </c>
    </row>
    <row r="200">
      <c r="A200" s="17">
        <v>6611302.0</v>
      </c>
      <c r="B200" s="17">
        <v>100.0</v>
      </c>
      <c r="C200" s="17">
        <v>6611302.0</v>
      </c>
      <c r="D200" s="17">
        <v>100.0</v>
      </c>
    </row>
    <row r="201">
      <c r="A201" s="17">
        <v>6611400.0</v>
      </c>
      <c r="B201" s="17">
        <v>6611400.0</v>
      </c>
      <c r="C201" s="17">
        <v>6611400.0</v>
      </c>
      <c r="D201" s="17">
        <v>100.0</v>
      </c>
    </row>
    <row r="202">
      <c r="A202" s="17">
        <v>6621000.0</v>
      </c>
      <c r="B202" s="17">
        <v>6621000.0</v>
      </c>
      <c r="C202" s="17">
        <v>6621000.0</v>
      </c>
      <c r="D202" s="17">
        <v>100.0</v>
      </c>
    </row>
    <row r="203">
      <c r="A203" s="17">
        <v>6621100.0</v>
      </c>
      <c r="B203" s="17">
        <v>6621000.0</v>
      </c>
      <c r="C203" s="17">
        <v>6621100.0</v>
      </c>
      <c r="D203" s="17">
        <v>100.0</v>
      </c>
    </row>
    <row r="204">
      <c r="A204" s="17">
        <v>6621200.0</v>
      </c>
      <c r="B204" s="17">
        <v>6621000.0</v>
      </c>
      <c r="C204" s="17">
        <v>6621200.0</v>
      </c>
      <c r="D204" s="17">
        <v>100.0</v>
      </c>
    </row>
    <row r="205">
      <c r="A205" s="17">
        <v>6621300.0</v>
      </c>
      <c r="B205" s="17">
        <v>6621000.0</v>
      </c>
      <c r="C205" s="17">
        <v>6621300.0</v>
      </c>
      <c r="D205" s="17">
        <v>100.0</v>
      </c>
    </row>
    <row r="206">
      <c r="A206" s="17">
        <v>6621400.0</v>
      </c>
      <c r="B206" s="17">
        <v>6621000.0</v>
      </c>
      <c r="C206" s="17">
        <v>6621400.0</v>
      </c>
      <c r="D206" s="17">
        <v>100.0</v>
      </c>
    </row>
    <row r="207">
      <c r="A207" s="17">
        <v>6621500.0</v>
      </c>
      <c r="B207" s="17">
        <v>6621000.0</v>
      </c>
      <c r="C207" s="17">
        <v>6621500.0</v>
      </c>
      <c r="D207" s="17">
        <v>100.0</v>
      </c>
    </row>
    <row r="208">
      <c r="A208" s="17">
        <v>6621600.0</v>
      </c>
      <c r="B208" s="17">
        <v>6621000.0</v>
      </c>
      <c r="C208" s="17">
        <v>6621600.0</v>
      </c>
      <c r="D208" s="17">
        <v>100.0</v>
      </c>
    </row>
    <row r="209">
      <c r="A209" s="17">
        <v>6621700.0</v>
      </c>
      <c r="B209" s="17">
        <v>6621000.0</v>
      </c>
      <c r="C209" s="17">
        <v>6621700.0</v>
      </c>
      <c r="D209" s="17">
        <v>100.0</v>
      </c>
    </row>
    <row r="210">
      <c r="A210" s="17">
        <v>6621800.0</v>
      </c>
      <c r="B210" s="17">
        <v>6621000.0</v>
      </c>
      <c r="C210" s="17">
        <v>6621800.0</v>
      </c>
      <c r="D210" s="17">
        <v>100.0</v>
      </c>
    </row>
    <row r="211">
      <c r="A211" s="17">
        <v>6621900.0</v>
      </c>
      <c r="B211" s="17">
        <v>6621000.0</v>
      </c>
      <c r="C211" s="17">
        <v>6621900.0</v>
      </c>
      <c r="D211" s="17">
        <v>100.0</v>
      </c>
    </row>
    <row r="212">
      <c r="A212" s="17">
        <v>6622000.0</v>
      </c>
      <c r="B212" s="17">
        <v>6621000.0</v>
      </c>
      <c r="C212" s="17">
        <v>6622000.0</v>
      </c>
      <c r="D212" s="17">
        <v>100.0</v>
      </c>
    </row>
    <row r="213">
      <c r="A213" s="17">
        <v>6622100.0</v>
      </c>
      <c r="B213" s="17">
        <v>6621000.0</v>
      </c>
      <c r="C213" s="17">
        <v>6622100.0</v>
      </c>
      <c r="D213" s="17">
        <v>100.0</v>
      </c>
    </row>
    <row r="214">
      <c r="A214" s="17">
        <v>6622200.0</v>
      </c>
      <c r="B214" s="17">
        <v>6621000.0</v>
      </c>
      <c r="C214" s="17">
        <v>6622200.0</v>
      </c>
      <c r="D214" s="17">
        <v>100.0</v>
      </c>
    </row>
    <row r="215">
      <c r="A215" s="17">
        <v>6622300.0</v>
      </c>
      <c r="B215" s="17">
        <v>6621000.0</v>
      </c>
      <c r="C215" s="17">
        <v>6622300.0</v>
      </c>
      <c r="D215" s="17">
        <v>100.0</v>
      </c>
    </row>
    <row r="216">
      <c r="A216" s="17">
        <v>6622400.0</v>
      </c>
      <c r="B216" s="17">
        <v>6621000.0</v>
      </c>
      <c r="C216" s="17">
        <v>6622400.0</v>
      </c>
      <c r="D216" s="17">
        <v>100.0</v>
      </c>
    </row>
    <row r="217">
      <c r="A217" s="17">
        <v>6622500.0</v>
      </c>
      <c r="B217" s="17">
        <v>6621000.0</v>
      </c>
      <c r="C217" s="17">
        <v>6622500.0</v>
      </c>
      <c r="D217" s="17">
        <v>100.0</v>
      </c>
    </row>
    <row r="218">
      <c r="A218" s="17">
        <v>6622600.0</v>
      </c>
      <c r="B218" s="17">
        <v>6621000.0</v>
      </c>
      <c r="C218" s="17">
        <v>6622600.0</v>
      </c>
      <c r="D218" s="17">
        <v>100.0</v>
      </c>
    </row>
    <row r="219">
      <c r="A219" s="17">
        <v>6622700.0</v>
      </c>
      <c r="B219" s="17">
        <v>6621000.0</v>
      </c>
      <c r="C219" s="17">
        <v>6622700.0</v>
      </c>
      <c r="D219" s="17">
        <v>100.0</v>
      </c>
    </row>
    <row r="220">
      <c r="A220" s="17">
        <v>6622800.0</v>
      </c>
      <c r="B220" s="17">
        <v>6621000.0</v>
      </c>
      <c r="C220" s="17">
        <v>6622800.0</v>
      </c>
      <c r="D220" s="17">
        <v>100.0</v>
      </c>
    </row>
    <row r="221">
      <c r="A221" s="17">
        <v>6622900.0</v>
      </c>
      <c r="B221" s="17">
        <v>6621000.0</v>
      </c>
      <c r="C221" s="17">
        <v>6622900.0</v>
      </c>
      <c r="D221" s="17">
        <v>100.0</v>
      </c>
    </row>
    <row r="222">
      <c r="A222" s="17">
        <v>6623000.0</v>
      </c>
      <c r="B222" s="17">
        <v>6621000.0</v>
      </c>
      <c r="C222" s="17">
        <v>6623000.0</v>
      </c>
      <c r="D222" s="17">
        <v>100.0</v>
      </c>
    </row>
    <row r="223">
      <c r="A223" s="17">
        <v>6623100.0</v>
      </c>
      <c r="B223" s="17">
        <v>6621000.0</v>
      </c>
      <c r="C223" s="17">
        <v>6623100.0</v>
      </c>
      <c r="D223" s="17">
        <v>100.0</v>
      </c>
    </row>
    <row r="224">
      <c r="A224" s="17">
        <v>6623200.0</v>
      </c>
      <c r="B224" s="17">
        <v>6621000.0</v>
      </c>
      <c r="C224" s="17">
        <v>6623200.0</v>
      </c>
      <c r="D224" s="17">
        <v>100.0</v>
      </c>
    </row>
    <row r="225">
      <c r="A225" s="17">
        <v>6624000.0</v>
      </c>
      <c r="B225" s="17">
        <v>6624000.0</v>
      </c>
      <c r="C225" s="17">
        <v>6624000.0</v>
      </c>
      <c r="D225" s="17">
        <v>100.0</v>
      </c>
    </row>
    <row r="226">
      <c r="A226" s="17">
        <v>6624100.0</v>
      </c>
      <c r="B226" s="17">
        <v>6624000.0</v>
      </c>
      <c r="C226" s="17">
        <v>6624100.0</v>
      </c>
      <c r="D226" s="17">
        <v>100.0</v>
      </c>
    </row>
    <row r="227">
      <c r="A227" s="17">
        <v>6624200.0</v>
      </c>
      <c r="B227" s="17">
        <v>6624000.0</v>
      </c>
      <c r="C227" s="17">
        <v>6624200.0</v>
      </c>
      <c r="D227" s="17">
        <v>100.0</v>
      </c>
    </row>
    <row r="228">
      <c r="A228" s="17">
        <v>6624300.0</v>
      </c>
      <c r="B228" s="17">
        <v>6624000.0</v>
      </c>
      <c r="C228" s="17">
        <v>6624300.0</v>
      </c>
      <c r="D228" s="17">
        <v>100.0</v>
      </c>
    </row>
    <row r="229">
      <c r="A229" s="17">
        <v>6624400.0</v>
      </c>
      <c r="B229" s="17">
        <v>6624000.0</v>
      </c>
      <c r="C229" s="17">
        <v>6624400.0</v>
      </c>
      <c r="D229" s="17">
        <v>100.0</v>
      </c>
    </row>
    <row r="230">
      <c r="A230" s="17">
        <v>6624500.0</v>
      </c>
      <c r="B230" s="17">
        <v>6624000.0</v>
      </c>
      <c r="C230" s="17">
        <v>6624500.0</v>
      </c>
      <c r="D230" s="17">
        <v>100.0</v>
      </c>
    </row>
    <row r="231">
      <c r="A231" s="17">
        <v>6630000.0</v>
      </c>
      <c r="B231" s="17">
        <v>6630000.0</v>
      </c>
      <c r="C231" s="17">
        <v>6630000.0</v>
      </c>
      <c r="D231" s="17">
        <v>100.0</v>
      </c>
    </row>
    <row r="232">
      <c r="A232" s="17">
        <v>6630100.0</v>
      </c>
      <c r="B232" s="17">
        <v>6630000.0</v>
      </c>
      <c r="C232" s="17">
        <v>6630100.0</v>
      </c>
      <c r="D232" s="17">
        <v>100.0</v>
      </c>
    </row>
    <row r="233">
      <c r="A233" s="17">
        <v>6630200.0</v>
      </c>
      <c r="B233" s="17">
        <v>6630000.0</v>
      </c>
      <c r="C233" s="17">
        <v>6630200.0</v>
      </c>
      <c r="D233" s="17">
        <v>100.0</v>
      </c>
    </row>
    <row r="234">
      <c r="A234" s="17">
        <v>6630300.0</v>
      </c>
      <c r="B234" s="17">
        <v>6630000.0</v>
      </c>
      <c r="C234" s="17">
        <v>6630300.0</v>
      </c>
      <c r="D234" s="17">
        <v>100.0</v>
      </c>
    </row>
    <row r="235">
      <c r="A235" s="17">
        <v>6630400.0</v>
      </c>
      <c r="B235" s="17">
        <v>6630000.0</v>
      </c>
      <c r="C235" s="17">
        <v>6630400.0</v>
      </c>
      <c r="D235" s="17">
        <v>100.0</v>
      </c>
    </row>
    <row r="236">
      <c r="A236" s="17">
        <v>6630500.0</v>
      </c>
      <c r="B236" s="17">
        <v>6630000.0</v>
      </c>
      <c r="C236" s="17">
        <v>6630500.0</v>
      </c>
      <c r="D236" s="17">
        <v>100.0</v>
      </c>
    </row>
    <row r="237">
      <c r="A237" s="17">
        <v>6630600.0</v>
      </c>
      <c r="B237" s="17">
        <v>6630000.0</v>
      </c>
      <c r="C237" s="17">
        <v>6630600.0</v>
      </c>
      <c r="D237" s="17">
        <v>100.0</v>
      </c>
    </row>
    <row r="238">
      <c r="A238" s="17">
        <v>6630700.0</v>
      </c>
      <c r="B238" s="17">
        <v>6630000.0</v>
      </c>
      <c r="C238" s="17">
        <v>6630700.0</v>
      </c>
      <c r="D238" s="17">
        <v>100.0</v>
      </c>
    </row>
    <row r="239">
      <c r="A239" s="17">
        <v>6630800.0</v>
      </c>
      <c r="B239" s="17">
        <v>6630000.0</v>
      </c>
      <c r="C239" s="17">
        <v>6630800.0</v>
      </c>
      <c r="D239" s="17">
        <v>100.0</v>
      </c>
    </row>
    <row r="240">
      <c r="A240" s="17">
        <v>6630900.0</v>
      </c>
      <c r="B240" s="17">
        <v>6630000.0</v>
      </c>
      <c r="C240" s="17">
        <v>6630900.0</v>
      </c>
      <c r="D240" s="17">
        <v>100.0</v>
      </c>
    </row>
    <row r="241">
      <c r="A241" s="17">
        <v>6631000.0</v>
      </c>
      <c r="B241" s="17">
        <v>6630000.0</v>
      </c>
      <c r="C241" s="17">
        <v>6631000.0</v>
      </c>
      <c r="D241" s="17">
        <v>100.0</v>
      </c>
    </row>
    <row r="242">
      <c r="A242" s="17">
        <v>6631100.0</v>
      </c>
      <c r="B242" s="17">
        <v>6630000.0</v>
      </c>
      <c r="C242" s="17">
        <v>6631100.0</v>
      </c>
      <c r="D242" s="17">
        <v>100.0</v>
      </c>
    </row>
    <row r="243">
      <c r="A243" s="17">
        <v>6631200.0</v>
      </c>
      <c r="B243" s="17">
        <v>6630000.0</v>
      </c>
      <c r="C243" s="17">
        <v>6631200.0</v>
      </c>
      <c r="D243" s="17">
        <v>100.0</v>
      </c>
    </row>
    <row r="244">
      <c r="A244" s="17">
        <v>6631300.0</v>
      </c>
      <c r="B244" s="17">
        <v>6630000.0</v>
      </c>
      <c r="C244" s="17">
        <v>6631300.0</v>
      </c>
      <c r="D244" s="17">
        <v>100.0</v>
      </c>
    </row>
    <row r="245">
      <c r="A245" s="17">
        <v>6631400.0</v>
      </c>
      <c r="B245" s="17">
        <v>6630000.0</v>
      </c>
      <c r="C245" s="17">
        <v>6631400.0</v>
      </c>
      <c r="D245" s="17">
        <v>100.0</v>
      </c>
    </row>
    <row r="246">
      <c r="A246" s="17">
        <v>6631500.0</v>
      </c>
      <c r="B246" s="17">
        <v>6630000.0</v>
      </c>
      <c r="C246" s="17">
        <v>6631500.0</v>
      </c>
      <c r="D246" s="17">
        <v>100.0</v>
      </c>
    </row>
    <row r="247">
      <c r="A247" s="17">
        <v>6631600.0</v>
      </c>
      <c r="B247" s="17">
        <v>6630000.0</v>
      </c>
      <c r="C247" s="17">
        <v>6631600.0</v>
      </c>
      <c r="D247" s="17">
        <v>100.0</v>
      </c>
    </row>
    <row r="248">
      <c r="A248" s="17">
        <v>6631700.0</v>
      </c>
      <c r="B248" s="17">
        <v>6630000.0</v>
      </c>
      <c r="C248" s="17">
        <v>6631700.0</v>
      </c>
      <c r="D248" s="17">
        <v>100.0</v>
      </c>
    </row>
    <row r="249">
      <c r="A249" s="17">
        <v>6631800.0</v>
      </c>
      <c r="B249" s="17">
        <v>6630000.0</v>
      </c>
      <c r="C249" s="17">
        <v>6631800.0</v>
      </c>
      <c r="D249" s="17">
        <v>100.0</v>
      </c>
    </row>
    <row r="250">
      <c r="A250" s="17">
        <v>6631900.0</v>
      </c>
      <c r="B250" s="17">
        <v>6630000.0</v>
      </c>
      <c r="C250" s="17">
        <v>6631900.0</v>
      </c>
      <c r="D250" s="17">
        <v>100.0</v>
      </c>
    </row>
    <row r="251">
      <c r="A251" s="17">
        <v>6632000.0</v>
      </c>
      <c r="B251" s="17">
        <v>6630000.0</v>
      </c>
      <c r="C251" s="17">
        <v>6632000.0</v>
      </c>
      <c r="D251" s="17">
        <v>100.0</v>
      </c>
    </row>
    <row r="252">
      <c r="A252" s="17">
        <v>6632100.0</v>
      </c>
      <c r="B252" s="17">
        <v>6630000.0</v>
      </c>
      <c r="C252" s="17">
        <v>6632100.0</v>
      </c>
      <c r="D252" s="17">
        <v>100.0</v>
      </c>
    </row>
    <row r="253">
      <c r="A253" s="17">
        <v>6632200.0</v>
      </c>
      <c r="B253" s="17">
        <v>6630000.0</v>
      </c>
      <c r="C253" s="17">
        <v>6632200.0</v>
      </c>
      <c r="D253" s="17">
        <v>100.0</v>
      </c>
    </row>
    <row r="254">
      <c r="A254" s="17">
        <v>6632300.0</v>
      </c>
      <c r="B254" s="17">
        <v>6630000.0</v>
      </c>
      <c r="C254" s="17">
        <v>6632300.0</v>
      </c>
      <c r="D254" s="17">
        <v>100.0</v>
      </c>
    </row>
    <row r="255">
      <c r="A255" s="17">
        <v>6632400.0</v>
      </c>
      <c r="B255" s="17">
        <v>6630000.0</v>
      </c>
      <c r="C255" s="17">
        <v>6632400.0</v>
      </c>
      <c r="D255" s="17">
        <v>100.0</v>
      </c>
    </row>
    <row r="256">
      <c r="A256" s="17">
        <v>6632500.0</v>
      </c>
      <c r="B256" s="17">
        <v>6630000.0</v>
      </c>
      <c r="C256" s="17">
        <v>6632500.0</v>
      </c>
      <c r="D256" s="17">
        <v>100.0</v>
      </c>
    </row>
    <row r="257">
      <c r="A257" s="17">
        <v>6632600.0</v>
      </c>
      <c r="B257" s="17">
        <v>6630000.0</v>
      </c>
      <c r="C257" s="17">
        <v>6632600.0</v>
      </c>
      <c r="D257" s="17">
        <v>100.0</v>
      </c>
    </row>
    <row r="258">
      <c r="A258" s="17">
        <v>6632700.0</v>
      </c>
      <c r="B258" s="17">
        <v>6630000.0</v>
      </c>
      <c r="C258" s="17">
        <v>6632700.0</v>
      </c>
      <c r="D258" s="17">
        <v>100.0</v>
      </c>
    </row>
    <row r="259">
      <c r="A259" s="17">
        <v>6632800.0</v>
      </c>
      <c r="B259" s="17">
        <v>6630000.0</v>
      </c>
      <c r="C259" s="17">
        <v>6632800.0</v>
      </c>
      <c r="D259" s="17">
        <v>100.0</v>
      </c>
    </row>
    <row r="260">
      <c r="A260" s="17">
        <v>6632900.0</v>
      </c>
      <c r="B260" s="17">
        <v>6630000.0</v>
      </c>
      <c r="C260" s="17">
        <v>6632900.0</v>
      </c>
      <c r="D260" s="17">
        <v>100.0</v>
      </c>
    </row>
    <row r="261">
      <c r="A261" s="17">
        <v>6633000.0</v>
      </c>
      <c r="B261" s="17">
        <v>6630000.0</v>
      </c>
      <c r="C261" s="17">
        <v>6633000.0</v>
      </c>
      <c r="D261" s="17">
        <v>100.0</v>
      </c>
    </row>
    <row r="262">
      <c r="A262" s="17">
        <v>6633100.0</v>
      </c>
      <c r="B262" s="17">
        <v>6630000.0</v>
      </c>
      <c r="C262" s="17">
        <v>6633100.0</v>
      </c>
      <c r="D262" s="17">
        <v>100.0</v>
      </c>
    </row>
    <row r="263">
      <c r="A263" s="17">
        <v>6633200.0</v>
      </c>
      <c r="B263" s="17">
        <v>6630000.0</v>
      </c>
      <c r="C263" s="17">
        <v>6633200.0</v>
      </c>
      <c r="D263" s="17">
        <v>100.0</v>
      </c>
    </row>
    <row r="264">
      <c r="A264" s="17">
        <v>6640000.0</v>
      </c>
      <c r="B264" s="17">
        <v>900.0</v>
      </c>
      <c r="C264" s="17">
        <v>6640000.0</v>
      </c>
      <c r="D264" s="17">
        <v>1.0</v>
      </c>
    </row>
    <row r="265">
      <c r="A265" s="17">
        <v>6640100.0</v>
      </c>
      <c r="B265" s="17">
        <v>900.0</v>
      </c>
      <c r="C265" s="17">
        <v>6640100.0</v>
      </c>
      <c r="D265" s="17">
        <v>1.0</v>
      </c>
    </row>
    <row r="266">
      <c r="A266" s="17">
        <v>6641000.0</v>
      </c>
      <c r="B266" s="17">
        <v>900.0</v>
      </c>
      <c r="C266" s="17">
        <v>6641000.0</v>
      </c>
      <c r="D266" s="17">
        <v>1.0</v>
      </c>
    </row>
    <row r="267">
      <c r="A267" s="17">
        <v>6641100.0</v>
      </c>
      <c r="B267" s="17">
        <v>900.0</v>
      </c>
      <c r="C267" s="17">
        <v>6641100.0</v>
      </c>
      <c r="D267" s="17">
        <v>1.0</v>
      </c>
    </row>
    <row r="268">
      <c r="A268" s="17">
        <v>6642000.0</v>
      </c>
      <c r="B268" s="17">
        <v>900.0</v>
      </c>
      <c r="C268" s="17">
        <v>6642000.0</v>
      </c>
      <c r="D268" s="17">
        <v>1.0</v>
      </c>
    </row>
    <row r="269">
      <c r="A269" s="17">
        <v>6642100.0</v>
      </c>
      <c r="B269" s="17">
        <v>900.0</v>
      </c>
      <c r="C269" s="17">
        <v>6642100.0</v>
      </c>
      <c r="D269" s="17">
        <v>1.0</v>
      </c>
    </row>
    <row r="270">
      <c r="A270" s="17">
        <v>6643000.0</v>
      </c>
      <c r="B270" s="17">
        <v>900.0</v>
      </c>
      <c r="C270" s="17">
        <v>6643000.0</v>
      </c>
      <c r="D270" s="17">
        <v>1.0</v>
      </c>
    </row>
    <row r="271">
      <c r="A271" s="17">
        <v>6643100.0</v>
      </c>
      <c r="B271" s="17">
        <v>900.0</v>
      </c>
      <c r="C271" s="17">
        <v>6643100.0</v>
      </c>
      <c r="D271" s="17">
        <v>1.0</v>
      </c>
    </row>
    <row r="272">
      <c r="A272" s="17">
        <v>6644000.0</v>
      </c>
      <c r="B272" s="17">
        <v>900.0</v>
      </c>
      <c r="C272" s="17">
        <v>6644000.0</v>
      </c>
      <c r="D272" s="17">
        <v>1.0</v>
      </c>
    </row>
    <row r="273">
      <c r="A273" s="17">
        <v>6644100.0</v>
      </c>
      <c r="B273" s="17">
        <v>900.0</v>
      </c>
      <c r="C273" s="17">
        <v>6644100.0</v>
      </c>
      <c r="D273" s="17">
        <v>1.0</v>
      </c>
    </row>
    <row r="274">
      <c r="A274" s="17">
        <v>6645000.0</v>
      </c>
      <c r="B274" s="17">
        <v>900.0</v>
      </c>
      <c r="C274" s="17">
        <v>6645000.0</v>
      </c>
      <c r="D274" s="17">
        <v>1.0</v>
      </c>
    </row>
    <row r="275">
      <c r="A275" s="17">
        <v>6645100.0</v>
      </c>
      <c r="B275" s="17">
        <v>900.0</v>
      </c>
      <c r="C275" s="17">
        <v>6645100.0</v>
      </c>
      <c r="D275" s="17">
        <v>1.0</v>
      </c>
    </row>
    <row r="276">
      <c r="A276" s="17">
        <v>6646000.0</v>
      </c>
      <c r="B276" s="17">
        <v>900.0</v>
      </c>
      <c r="C276" s="17">
        <v>6646000.0</v>
      </c>
      <c r="D276" s="17">
        <v>1.0</v>
      </c>
    </row>
    <row r="277">
      <c r="A277" s="17">
        <v>6646100.0</v>
      </c>
      <c r="B277" s="17">
        <v>900.0</v>
      </c>
      <c r="C277" s="17">
        <v>6646100.0</v>
      </c>
      <c r="D277" s="17">
        <v>1.0</v>
      </c>
    </row>
    <row r="278">
      <c r="A278" s="17">
        <v>6647000.0</v>
      </c>
      <c r="B278" s="17">
        <v>900.0</v>
      </c>
      <c r="C278" s="17">
        <v>6647000.0</v>
      </c>
      <c r="D278" s="17">
        <v>1.0</v>
      </c>
    </row>
    <row r="279">
      <c r="A279" s="17">
        <v>6647100.0</v>
      </c>
      <c r="B279" s="17">
        <v>900.0</v>
      </c>
      <c r="C279" s="17">
        <v>6647100.0</v>
      </c>
      <c r="D279" s="17">
        <v>1.0</v>
      </c>
    </row>
    <row r="280">
      <c r="A280" s="17">
        <v>6647200.0</v>
      </c>
      <c r="B280" s="17">
        <v>900.0</v>
      </c>
      <c r="C280" s="17">
        <v>6647200.0</v>
      </c>
      <c r="D280" s="17">
        <v>1.0</v>
      </c>
    </row>
    <row r="281">
      <c r="A281" s="17">
        <v>6647300.0</v>
      </c>
      <c r="B281" s="17">
        <v>900.0</v>
      </c>
      <c r="C281" s="17">
        <v>6647300.0</v>
      </c>
      <c r="D281" s="17">
        <v>1.0</v>
      </c>
    </row>
    <row r="282">
      <c r="A282" s="17">
        <v>6647400.0</v>
      </c>
      <c r="B282" s="17">
        <v>900.0</v>
      </c>
      <c r="C282" s="17">
        <v>6647400.0</v>
      </c>
      <c r="D282" s="17">
        <v>1.0</v>
      </c>
    </row>
    <row r="283">
      <c r="A283" s="17">
        <v>6647500.0</v>
      </c>
      <c r="B283" s="17">
        <v>900.0</v>
      </c>
      <c r="C283" s="17">
        <v>6647500.0</v>
      </c>
      <c r="D283" s="17">
        <v>1.0</v>
      </c>
    </row>
    <row r="284">
      <c r="A284" s="17">
        <v>6820000.0</v>
      </c>
      <c r="B284" s="17">
        <v>6820000.0</v>
      </c>
      <c r="C284" s="17">
        <v>6820000.0</v>
      </c>
      <c r="D284" s="17">
        <v>6820000.0</v>
      </c>
    </row>
    <row r="285">
      <c r="A285" s="17">
        <v>6820100.0</v>
      </c>
      <c r="B285" s="17">
        <v>6820100.0</v>
      </c>
      <c r="C285" s="17">
        <v>6820100.0</v>
      </c>
      <c r="D285" s="17">
        <v>6820100.0</v>
      </c>
    </row>
    <row r="286">
      <c r="A286" s="17">
        <v>6820200.0</v>
      </c>
      <c r="B286" s="17">
        <v>6820200.0</v>
      </c>
      <c r="C286" s="17">
        <v>6820200.0</v>
      </c>
      <c r="D286" s="17">
        <v>6820200.0</v>
      </c>
    </row>
    <row r="287">
      <c r="A287" s="17">
        <v>6820300.0</v>
      </c>
      <c r="B287" s="17">
        <v>6820300.0</v>
      </c>
      <c r="C287" s="17">
        <v>6820300.0</v>
      </c>
      <c r="D287" s="17">
        <v>6820300.0</v>
      </c>
    </row>
    <row r="288">
      <c r="A288" s="17">
        <v>6820400.0</v>
      </c>
      <c r="B288" s="17">
        <v>6820400.0</v>
      </c>
      <c r="C288" s="17">
        <v>6820400.0</v>
      </c>
      <c r="D288" s="17">
        <v>6820400.0</v>
      </c>
    </row>
    <row r="289">
      <c r="A289" s="17">
        <v>6820500.0</v>
      </c>
      <c r="B289" s="17">
        <v>6820500.0</v>
      </c>
      <c r="C289" s="17">
        <v>6820500.0</v>
      </c>
      <c r="D289" s="17">
        <v>6820500.0</v>
      </c>
    </row>
    <row r="290">
      <c r="A290" s="17">
        <v>6820600.0</v>
      </c>
      <c r="B290" s="17">
        <v>6820600.0</v>
      </c>
      <c r="C290" s="17">
        <v>6820600.0</v>
      </c>
      <c r="D290" s="17">
        <v>6820600.0</v>
      </c>
    </row>
    <row r="291">
      <c r="A291" s="17">
        <v>6830000.0</v>
      </c>
      <c r="B291" s="17">
        <v>6830000.0</v>
      </c>
      <c r="C291" s="17">
        <v>6830000.0</v>
      </c>
      <c r="D291" s="17">
        <v>6830000.0</v>
      </c>
    </row>
    <row r="292">
      <c r="A292" s="17">
        <v>6830100.0</v>
      </c>
      <c r="B292" s="17">
        <v>6830100.0</v>
      </c>
      <c r="C292" s="17">
        <v>6830100.0</v>
      </c>
      <c r="D292" s="17">
        <v>6830100.0</v>
      </c>
    </row>
    <row r="293">
      <c r="A293" s="17">
        <v>6830200.0</v>
      </c>
      <c r="B293" s="17">
        <v>6830200.0</v>
      </c>
      <c r="C293" s="17">
        <v>6830200.0</v>
      </c>
      <c r="D293" s="17">
        <v>6830200.0</v>
      </c>
    </row>
    <row r="294">
      <c r="A294" s="17">
        <v>6830300.0</v>
      </c>
      <c r="B294" s="17">
        <v>6830300.0</v>
      </c>
      <c r="C294" s="17">
        <v>6830300.0</v>
      </c>
      <c r="D294" s="17">
        <v>6830300.0</v>
      </c>
    </row>
    <row r="295">
      <c r="A295" s="17">
        <v>6830400.0</v>
      </c>
      <c r="B295" s="17">
        <v>6830400.0</v>
      </c>
      <c r="C295" s="17">
        <v>6830400.0</v>
      </c>
      <c r="D295" s="17">
        <v>6830400.0</v>
      </c>
    </row>
    <row r="296">
      <c r="A296" s="17">
        <v>6840000.0</v>
      </c>
      <c r="B296" s="17">
        <v>6840000.0</v>
      </c>
      <c r="C296" s="17">
        <v>6840000.0</v>
      </c>
      <c r="D296" s="17">
        <v>6840000.0</v>
      </c>
    </row>
    <row r="297">
      <c r="A297" s="17">
        <v>6840100.0</v>
      </c>
      <c r="B297" s="17">
        <v>6840100.0</v>
      </c>
      <c r="C297" s="17">
        <v>6840100.0</v>
      </c>
      <c r="D297" s="17">
        <v>6840100.0</v>
      </c>
    </row>
    <row r="298">
      <c r="A298" s="17">
        <v>6840200.0</v>
      </c>
      <c r="B298" s="17">
        <v>6840200.0</v>
      </c>
      <c r="C298" s="17">
        <v>6840200.0</v>
      </c>
      <c r="D298" s="17">
        <v>6840200.0</v>
      </c>
    </row>
    <row r="299">
      <c r="A299" s="17">
        <v>6850200.0</v>
      </c>
      <c r="B299" s="17">
        <v>6850200.0</v>
      </c>
      <c r="C299" s="17">
        <v>8762000.0</v>
      </c>
      <c r="D299" s="17">
        <v>9.0000005E8</v>
      </c>
    </row>
    <row r="300">
      <c r="A300" s="17">
        <v>6850500.0</v>
      </c>
      <c r="B300" s="17">
        <v>6850500.0</v>
      </c>
      <c r="C300" s="17">
        <v>8766000.0</v>
      </c>
      <c r="D300" s="17">
        <v>9.0000008E8</v>
      </c>
    </row>
    <row r="301">
      <c r="A301" s="17">
        <v>6850700.0</v>
      </c>
      <c r="B301" s="17">
        <v>6850700.0</v>
      </c>
      <c r="C301" s="17">
        <v>8800100.0</v>
      </c>
      <c r="D301" s="17">
        <v>9.0000012E8</v>
      </c>
    </row>
    <row r="302">
      <c r="A302" s="17">
        <v>6850800.0</v>
      </c>
      <c r="B302" s="17">
        <v>6850800.0</v>
      </c>
      <c r="C302" s="17">
        <v>8800200.0</v>
      </c>
      <c r="D302" s="17">
        <v>9.0000013E8</v>
      </c>
    </row>
    <row r="303">
      <c r="A303" s="17">
        <v>6850900.0</v>
      </c>
      <c r="B303" s="17">
        <v>6850900.0</v>
      </c>
      <c r="C303" s="17">
        <v>8801000.0</v>
      </c>
      <c r="D303" s="17">
        <v>9.0000014E8</v>
      </c>
    </row>
    <row r="304">
      <c r="A304" s="17">
        <v>6851200.0</v>
      </c>
      <c r="B304" s="17">
        <v>6851200.0</v>
      </c>
      <c r="C304" s="17">
        <v>8810000.0</v>
      </c>
      <c r="D304" s="17">
        <v>9.0000017E8</v>
      </c>
    </row>
    <row r="305">
      <c r="A305" s="17">
        <v>6851300.0</v>
      </c>
      <c r="B305" s="17">
        <v>6851300.0</v>
      </c>
      <c r="C305" s="17">
        <v>8810300.0</v>
      </c>
      <c r="D305" s="17">
        <v>9.0000019E8</v>
      </c>
    </row>
    <row r="306">
      <c r="A306" s="17">
        <v>6851400.0</v>
      </c>
      <c r="B306" s="17">
        <v>6851400.0</v>
      </c>
      <c r="C306" s="17">
        <v>8810400.0</v>
      </c>
      <c r="D306" s="17">
        <v>9.000002E8</v>
      </c>
    </row>
    <row r="307">
      <c r="A307" s="17">
        <v>6851700.0</v>
      </c>
      <c r="B307" s="17">
        <v>6851700.0</v>
      </c>
      <c r="C307" s="17">
        <v>8831200.0</v>
      </c>
      <c r="D307" s="17">
        <v>9.000003E8</v>
      </c>
    </row>
    <row r="308">
      <c r="A308" s="17">
        <v>7000000.0</v>
      </c>
      <c r="B308" s="17">
        <v>7000000.0</v>
      </c>
      <c r="C308" s="17">
        <v>7000000.0</v>
      </c>
      <c r="D308" s="17">
        <v>1000.0</v>
      </c>
    </row>
    <row r="309">
      <c r="A309" s="17">
        <v>7000001.0</v>
      </c>
      <c r="B309" s="17">
        <v>7000000.0</v>
      </c>
      <c r="C309" s="17">
        <v>7000001.0</v>
      </c>
      <c r="D309" s="17">
        <v>1000.0</v>
      </c>
    </row>
    <row r="310">
      <c r="A310" s="17">
        <v>7000002.0</v>
      </c>
      <c r="B310" s="17">
        <v>7000000.0</v>
      </c>
      <c r="C310" s="17">
        <v>7000002.0</v>
      </c>
      <c r="D310" s="17">
        <v>1000.0</v>
      </c>
    </row>
    <row r="311">
      <c r="A311" s="17">
        <v>7000090.0</v>
      </c>
      <c r="B311" s="17">
        <v>7000000.0</v>
      </c>
      <c r="C311" s="17">
        <v>7000090.0</v>
      </c>
      <c r="D311" s="17">
        <v>1.0</v>
      </c>
    </row>
    <row r="312">
      <c r="A312" s="17">
        <v>7000100.0</v>
      </c>
      <c r="B312" s="17">
        <v>7000100.0</v>
      </c>
      <c r="C312" s="17">
        <v>7000100.0</v>
      </c>
      <c r="D312" s="17">
        <v>1000.0</v>
      </c>
    </row>
    <row r="313">
      <c r="A313" s="17">
        <v>7000101.0</v>
      </c>
      <c r="B313" s="17">
        <v>7000100.0</v>
      </c>
      <c r="C313" s="17">
        <v>7000101.0</v>
      </c>
      <c r="D313" s="17">
        <v>1000.0</v>
      </c>
    </row>
    <row r="314">
      <c r="A314" s="17">
        <v>7000102.0</v>
      </c>
      <c r="B314" s="17">
        <v>7000100.0</v>
      </c>
      <c r="C314" s="17">
        <v>7000102.0</v>
      </c>
      <c r="D314" s="17">
        <v>1000.0</v>
      </c>
    </row>
    <row r="315">
      <c r="A315" s="17">
        <v>7000190.0</v>
      </c>
      <c r="B315" s="17">
        <v>7000100.0</v>
      </c>
      <c r="C315" s="17">
        <v>7000190.0</v>
      </c>
      <c r="D315" s="17">
        <v>1.0</v>
      </c>
    </row>
    <row r="316">
      <c r="A316" s="17">
        <v>7000200.0</v>
      </c>
      <c r="B316" s="17">
        <v>7000200.0</v>
      </c>
      <c r="C316" s="17">
        <v>7000200.0</v>
      </c>
      <c r="D316" s="17">
        <v>1000.0</v>
      </c>
    </row>
    <row r="317">
      <c r="A317" s="17">
        <v>7000201.0</v>
      </c>
      <c r="B317" s="17">
        <v>7000200.0</v>
      </c>
      <c r="C317" s="17">
        <v>7000201.0</v>
      </c>
      <c r="D317" s="17">
        <v>1000.0</v>
      </c>
    </row>
    <row r="318">
      <c r="A318" s="17">
        <v>7000202.0</v>
      </c>
      <c r="B318" s="17">
        <v>7000200.0</v>
      </c>
      <c r="C318" s="17">
        <v>7000202.0</v>
      </c>
      <c r="D318" s="17">
        <v>1000.0</v>
      </c>
    </row>
    <row r="319">
      <c r="A319" s="17">
        <v>7000290.0</v>
      </c>
      <c r="B319" s="17">
        <v>7000200.0</v>
      </c>
      <c r="C319" s="17">
        <v>7000290.0</v>
      </c>
      <c r="D319" s="17">
        <v>1.0</v>
      </c>
    </row>
    <row r="320">
      <c r="A320" s="17">
        <v>7000300.0</v>
      </c>
      <c r="B320" s="17">
        <v>7000300.0</v>
      </c>
      <c r="C320" s="17">
        <v>7000300.0</v>
      </c>
      <c r="D320" s="17">
        <v>1000.0</v>
      </c>
    </row>
    <row r="321">
      <c r="A321" s="17">
        <v>7000301.0</v>
      </c>
      <c r="B321" s="17">
        <v>7000300.0</v>
      </c>
      <c r="C321" s="17">
        <v>7000301.0</v>
      </c>
      <c r="D321" s="17">
        <v>1000.0</v>
      </c>
    </row>
    <row r="322">
      <c r="A322" s="17">
        <v>7000302.0</v>
      </c>
      <c r="B322" s="17">
        <v>7000300.0</v>
      </c>
      <c r="C322" s="17">
        <v>7000302.0</v>
      </c>
      <c r="D322" s="17">
        <v>1000.0</v>
      </c>
    </row>
    <row r="323">
      <c r="A323" s="17">
        <v>7000400.0</v>
      </c>
      <c r="B323" s="17">
        <v>7000400.0</v>
      </c>
      <c r="C323" s="17">
        <v>7000400.0</v>
      </c>
      <c r="D323" s="17">
        <v>1000.0</v>
      </c>
    </row>
    <row r="324">
      <c r="A324" s="17">
        <v>7000401.0</v>
      </c>
      <c r="B324" s="17">
        <v>7000400.0</v>
      </c>
      <c r="C324" s="17">
        <v>7000401.0</v>
      </c>
      <c r="D324" s="17">
        <v>1000.0</v>
      </c>
    </row>
    <row r="325">
      <c r="A325" s="17">
        <v>7000402.0</v>
      </c>
      <c r="B325" s="17">
        <v>7000400.0</v>
      </c>
      <c r="C325" s="17">
        <v>7000402.0</v>
      </c>
      <c r="D325" s="17">
        <v>1000.0</v>
      </c>
    </row>
    <row r="326">
      <c r="A326" s="17">
        <v>7000500.0</v>
      </c>
      <c r="B326" s="17">
        <v>7000500.0</v>
      </c>
      <c r="C326" s="17">
        <v>7000500.0</v>
      </c>
      <c r="D326" s="17">
        <v>1000.0</v>
      </c>
    </row>
    <row r="327">
      <c r="A327" s="17">
        <v>7000501.0</v>
      </c>
      <c r="B327" s="17">
        <v>7000500.0</v>
      </c>
      <c r="C327" s="17">
        <v>7000501.0</v>
      </c>
      <c r="D327" s="17">
        <v>1000.0</v>
      </c>
    </row>
    <row r="328">
      <c r="A328" s="17">
        <v>7000502.0</v>
      </c>
      <c r="B328" s="17">
        <v>7000500.0</v>
      </c>
      <c r="C328" s="17">
        <v>7000502.0</v>
      </c>
      <c r="D328" s="17">
        <v>1000.0</v>
      </c>
    </row>
    <row r="329">
      <c r="A329" s="17">
        <v>7000600.0</v>
      </c>
      <c r="B329" s="17">
        <v>7000600.0</v>
      </c>
      <c r="C329" s="17">
        <v>7000600.0</v>
      </c>
      <c r="D329" s="17">
        <v>1000.0</v>
      </c>
    </row>
    <row r="330">
      <c r="A330" s="17">
        <v>7000601.0</v>
      </c>
      <c r="B330" s="17">
        <v>7000600.0</v>
      </c>
      <c r="C330" s="17">
        <v>7000601.0</v>
      </c>
      <c r="D330" s="17">
        <v>1000.0</v>
      </c>
    </row>
    <row r="331">
      <c r="A331" s="17">
        <v>7000602.0</v>
      </c>
      <c r="B331" s="17">
        <v>7000600.0</v>
      </c>
      <c r="C331" s="17">
        <v>7000602.0</v>
      </c>
      <c r="D331" s="17">
        <v>1000.0</v>
      </c>
    </row>
    <row r="332">
      <c r="A332" s="17">
        <v>7000700.0</v>
      </c>
      <c r="B332" s="17">
        <v>7000700.0</v>
      </c>
      <c r="C332" s="17">
        <v>7000700.0</v>
      </c>
      <c r="D332" s="17">
        <v>1000.0</v>
      </c>
    </row>
    <row r="333">
      <c r="A333" s="17">
        <v>7000701.0</v>
      </c>
      <c r="B333" s="17">
        <v>7000700.0</v>
      </c>
      <c r="C333" s="17">
        <v>7000701.0</v>
      </c>
      <c r="D333" s="17">
        <v>1000.0</v>
      </c>
    </row>
    <row r="334">
      <c r="A334" s="17">
        <v>7000702.0</v>
      </c>
      <c r="B334" s="17">
        <v>7000700.0</v>
      </c>
      <c r="C334" s="17">
        <v>7000702.0</v>
      </c>
      <c r="D334" s="17">
        <v>1000.0</v>
      </c>
    </row>
    <row r="335">
      <c r="A335" s="17">
        <v>7000800.0</v>
      </c>
      <c r="B335" s="17">
        <v>7000800.0</v>
      </c>
      <c r="C335" s="17">
        <v>7000800.0</v>
      </c>
      <c r="D335" s="17">
        <v>1000.0</v>
      </c>
    </row>
    <row r="336">
      <c r="A336" s="17">
        <v>7000801.0</v>
      </c>
      <c r="B336" s="17">
        <v>7000800.0</v>
      </c>
      <c r="C336" s="17">
        <v>7000801.0</v>
      </c>
      <c r="D336" s="17">
        <v>1000.0</v>
      </c>
    </row>
    <row r="337">
      <c r="A337" s="17">
        <v>7000802.0</v>
      </c>
      <c r="B337" s="17">
        <v>7000800.0</v>
      </c>
      <c r="C337" s="17">
        <v>7000802.0</v>
      </c>
      <c r="D337" s="17">
        <v>1000.0</v>
      </c>
    </row>
    <row r="338">
      <c r="A338" s="17">
        <v>7000900.0</v>
      </c>
      <c r="B338" s="17">
        <v>7000900.0</v>
      </c>
      <c r="C338" s="17">
        <v>7000900.0</v>
      </c>
      <c r="D338" s="17">
        <v>1000.0</v>
      </c>
    </row>
    <row r="339">
      <c r="A339" s="17">
        <v>7000901.0</v>
      </c>
      <c r="B339" s="17">
        <v>7000900.0</v>
      </c>
      <c r="C339" s="17">
        <v>7000901.0</v>
      </c>
      <c r="D339" s="17">
        <v>1000.0</v>
      </c>
    </row>
    <row r="340">
      <c r="A340" s="17">
        <v>7000902.0</v>
      </c>
      <c r="B340" s="17">
        <v>7000900.0</v>
      </c>
      <c r="C340" s="17">
        <v>7000902.0</v>
      </c>
      <c r="D340" s="17">
        <v>1000.0</v>
      </c>
    </row>
    <row r="341">
      <c r="A341" s="17">
        <v>7001000.0</v>
      </c>
      <c r="B341" s="17">
        <v>7001000.0</v>
      </c>
      <c r="C341" s="17">
        <v>7001000.0</v>
      </c>
      <c r="D341" s="17">
        <v>1000.0</v>
      </c>
    </row>
    <row r="342">
      <c r="A342" s="17">
        <v>7001001.0</v>
      </c>
      <c r="B342" s="17">
        <v>7001000.0</v>
      </c>
      <c r="C342" s="17">
        <v>7001001.0</v>
      </c>
      <c r="D342" s="17">
        <v>1000.0</v>
      </c>
    </row>
    <row r="343">
      <c r="A343" s="17">
        <v>7001002.0</v>
      </c>
      <c r="B343" s="17">
        <v>7001000.0</v>
      </c>
      <c r="C343" s="17">
        <v>7001002.0</v>
      </c>
      <c r="D343" s="17">
        <v>1000.0</v>
      </c>
    </row>
    <row r="344">
      <c r="A344" s="17">
        <v>7001100.0</v>
      </c>
      <c r="B344" s="17">
        <v>7001100.0</v>
      </c>
      <c r="C344" s="17">
        <v>8540000.0</v>
      </c>
      <c r="D344" s="17">
        <v>100.0</v>
      </c>
    </row>
    <row r="345">
      <c r="A345" s="17">
        <v>7001400.0</v>
      </c>
      <c r="B345" s="17">
        <v>100.0</v>
      </c>
      <c r="C345" s="17">
        <v>7001400.0</v>
      </c>
      <c r="D345" s="17">
        <v>1000.0</v>
      </c>
    </row>
    <row r="346">
      <c r="A346" s="17">
        <v>7001401.0</v>
      </c>
      <c r="B346" s="17">
        <v>100.0</v>
      </c>
      <c r="C346" s="17">
        <v>7001401.0</v>
      </c>
      <c r="D346" s="17">
        <v>1000.0</v>
      </c>
    </row>
    <row r="347">
      <c r="A347" s="17">
        <v>7001402.0</v>
      </c>
      <c r="B347" s="17">
        <v>100.0</v>
      </c>
      <c r="C347" s="17">
        <v>7001402.0</v>
      </c>
      <c r="D347" s="17">
        <v>1000.0</v>
      </c>
    </row>
    <row r="348">
      <c r="A348" s="17">
        <v>7001409.0</v>
      </c>
      <c r="B348" s="17">
        <v>-1.0</v>
      </c>
      <c r="C348" s="17">
        <v>7001402.0</v>
      </c>
      <c r="D348" s="17">
        <v>1000.0</v>
      </c>
    </row>
    <row r="349">
      <c r="A349" s="17">
        <v>7001500.0</v>
      </c>
      <c r="B349" s="17">
        <v>100.0</v>
      </c>
      <c r="C349" s="17">
        <v>7001500.0</v>
      </c>
      <c r="D349" s="17">
        <v>1000.0</v>
      </c>
    </row>
    <row r="350">
      <c r="A350" s="17">
        <v>7001501.0</v>
      </c>
      <c r="B350" s="17">
        <v>100.0</v>
      </c>
      <c r="C350" s="17">
        <v>7001501.0</v>
      </c>
      <c r="D350" s="17">
        <v>1000.0</v>
      </c>
    </row>
    <row r="351">
      <c r="A351" s="17">
        <v>7001502.0</v>
      </c>
      <c r="B351" s="17">
        <v>100.0</v>
      </c>
      <c r="C351" s="17">
        <v>7001502.0</v>
      </c>
      <c r="D351" s="17">
        <v>1000.0</v>
      </c>
    </row>
    <row r="352">
      <c r="A352" s="17">
        <v>7001600.0</v>
      </c>
      <c r="B352" s="17">
        <v>100.0</v>
      </c>
      <c r="C352" s="17">
        <v>7001600.0</v>
      </c>
      <c r="D352" s="17">
        <v>1000.0</v>
      </c>
    </row>
    <row r="353">
      <c r="A353" s="17">
        <v>7001601.0</v>
      </c>
      <c r="B353" s="17">
        <v>100.0</v>
      </c>
      <c r="C353" s="17">
        <v>7001601.0</v>
      </c>
      <c r="D353" s="17">
        <v>1000.0</v>
      </c>
    </row>
    <row r="354">
      <c r="A354" s="17">
        <v>7001602.0</v>
      </c>
      <c r="B354" s="17">
        <v>100.0</v>
      </c>
      <c r="C354" s="17">
        <v>7001602.0</v>
      </c>
      <c r="D354" s="17">
        <v>1000.0</v>
      </c>
    </row>
    <row r="355">
      <c r="A355" s="17">
        <v>7001700.0</v>
      </c>
      <c r="B355" s="17">
        <v>100.0</v>
      </c>
      <c r="C355" s="17">
        <v>7001700.0</v>
      </c>
      <c r="D355" s="17">
        <v>1000.0</v>
      </c>
    </row>
    <row r="356">
      <c r="A356" s="17">
        <v>7001701.0</v>
      </c>
      <c r="B356" s="17">
        <v>100.0</v>
      </c>
      <c r="C356" s="17">
        <v>7001701.0</v>
      </c>
      <c r="D356" s="17">
        <v>1000.0</v>
      </c>
    </row>
    <row r="357">
      <c r="A357" s="17">
        <v>7001702.0</v>
      </c>
      <c r="B357" s="17">
        <v>100.0</v>
      </c>
      <c r="C357" s="17">
        <v>7001702.0</v>
      </c>
      <c r="D357" s="17">
        <v>1000.0</v>
      </c>
    </row>
    <row r="358">
      <c r="A358" s="17">
        <v>7001800.0</v>
      </c>
      <c r="B358" s="17">
        <v>100.0</v>
      </c>
      <c r="C358" s="17">
        <v>7001800.0</v>
      </c>
      <c r="D358" s="17">
        <v>1000.0</v>
      </c>
    </row>
    <row r="359">
      <c r="A359" s="17">
        <v>7001801.0</v>
      </c>
      <c r="B359" s="17">
        <v>100.0</v>
      </c>
      <c r="C359" s="17">
        <v>7001801.0</v>
      </c>
      <c r="D359" s="17">
        <v>1000.0</v>
      </c>
    </row>
    <row r="360">
      <c r="A360" s="17">
        <v>7001802.0</v>
      </c>
      <c r="B360" s="17">
        <v>100.0</v>
      </c>
      <c r="C360" s="17">
        <v>7001802.0</v>
      </c>
      <c r="D360" s="17">
        <v>1000.0</v>
      </c>
    </row>
    <row r="361">
      <c r="A361" s="17">
        <v>7002600.0</v>
      </c>
      <c r="B361" s="17">
        <v>7002600.0</v>
      </c>
      <c r="C361" s="17">
        <v>7002600.0</v>
      </c>
      <c r="D361" s="17">
        <v>1000.0</v>
      </c>
    </row>
    <row r="362">
      <c r="A362" s="17">
        <v>7002700.0</v>
      </c>
      <c r="B362" s="17">
        <v>7002700.0</v>
      </c>
      <c r="C362" s="17">
        <v>7002700.0</v>
      </c>
      <c r="D362" s="17">
        <v>1000.0</v>
      </c>
    </row>
    <row r="363">
      <c r="A363" s="17">
        <v>7002800.0</v>
      </c>
      <c r="B363" s="17">
        <v>7002800.0</v>
      </c>
      <c r="C363" s="17">
        <v>7002800.0</v>
      </c>
      <c r="D363" s="17">
        <v>1000.0</v>
      </c>
    </row>
    <row r="364">
      <c r="A364" s="17">
        <v>7002900.0</v>
      </c>
      <c r="B364" s="17">
        <v>7002900.0</v>
      </c>
      <c r="C364" s="17">
        <v>7002900.0</v>
      </c>
      <c r="D364" s="17">
        <v>1000.0</v>
      </c>
    </row>
    <row r="365">
      <c r="A365" s="17">
        <v>7003000.0</v>
      </c>
      <c r="B365" s="17">
        <v>7003000.0</v>
      </c>
      <c r="C365" s="17">
        <v>7003000.0</v>
      </c>
      <c r="D365" s="17">
        <v>1000.0</v>
      </c>
    </row>
    <row r="366">
      <c r="A366" s="17">
        <v>7003100.0</v>
      </c>
      <c r="B366" s="17">
        <v>7003100.0</v>
      </c>
      <c r="C366" s="17">
        <v>7003100.0</v>
      </c>
      <c r="D366" s="17">
        <v>1000.0</v>
      </c>
    </row>
    <row r="367">
      <c r="A367" s="17">
        <v>7003200.0</v>
      </c>
      <c r="B367" s="17">
        <v>7003200.0</v>
      </c>
      <c r="C367" s="17">
        <v>7003200.0</v>
      </c>
      <c r="D367" s="17">
        <v>1000.0</v>
      </c>
    </row>
    <row r="368">
      <c r="A368" s="17">
        <v>7003300.0</v>
      </c>
      <c r="B368" s="17">
        <v>7003300.0</v>
      </c>
      <c r="C368" s="17">
        <v>7003300.0</v>
      </c>
      <c r="D368" s="17">
        <v>1000.0</v>
      </c>
    </row>
    <row r="369">
      <c r="A369" s="17">
        <v>7003400.0</v>
      </c>
      <c r="B369" s="17">
        <v>7003400.0</v>
      </c>
      <c r="C369" s="17">
        <v>7003400.0</v>
      </c>
      <c r="D369" s="17">
        <v>1000.0</v>
      </c>
    </row>
    <row r="370">
      <c r="A370" s="17">
        <v>7003500.0</v>
      </c>
      <c r="B370" s="17">
        <v>7003500.0</v>
      </c>
      <c r="C370" s="17">
        <v>7003500.0</v>
      </c>
      <c r="D370" s="17">
        <v>1000.0</v>
      </c>
    </row>
    <row r="371">
      <c r="A371" s="17">
        <v>7003600.0</v>
      </c>
      <c r="B371" s="17">
        <v>7003600.0</v>
      </c>
      <c r="C371" s="17">
        <v>7003600.0</v>
      </c>
      <c r="D371" s="17">
        <v>1000.0</v>
      </c>
    </row>
    <row r="372">
      <c r="A372" s="17">
        <v>7005600.0</v>
      </c>
      <c r="B372" s="17">
        <v>7005600.0</v>
      </c>
      <c r="C372" s="17">
        <v>7005600.0</v>
      </c>
      <c r="D372" s="17">
        <v>100.0</v>
      </c>
    </row>
    <row r="373">
      <c r="A373" s="17">
        <v>7006000.0</v>
      </c>
      <c r="B373" s="17">
        <v>100.0</v>
      </c>
      <c r="C373" s="17">
        <v>8300100.0</v>
      </c>
      <c r="D373" s="17">
        <v>100.0</v>
      </c>
    </row>
    <row r="374">
      <c r="A374" s="17">
        <v>7006001.0</v>
      </c>
      <c r="B374" s="17">
        <v>7006001.0</v>
      </c>
      <c r="C374" s="17">
        <v>8300100.0</v>
      </c>
      <c r="D374" s="17">
        <v>100.0</v>
      </c>
    </row>
    <row r="375">
      <c r="A375" s="17">
        <v>7006100.0</v>
      </c>
      <c r="B375" s="17">
        <v>100.0</v>
      </c>
      <c r="C375" s="17">
        <v>8310100.0</v>
      </c>
      <c r="D375" s="17">
        <v>100.0</v>
      </c>
    </row>
    <row r="376">
      <c r="A376" s="17">
        <v>7006101.0</v>
      </c>
      <c r="B376" s="17">
        <v>7006101.0</v>
      </c>
      <c r="C376" s="17">
        <v>8310100.0</v>
      </c>
      <c r="D376" s="17">
        <v>100.0</v>
      </c>
    </row>
    <row r="377">
      <c r="A377" s="17">
        <v>7006200.0</v>
      </c>
      <c r="B377" s="17">
        <v>7006200.0</v>
      </c>
      <c r="C377" s="17">
        <v>8200000.0</v>
      </c>
      <c r="D377" s="17">
        <v>1000.0</v>
      </c>
    </row>
    <row r="378">
      <c r="A378" s="17">
        <v>7006300.0</v>
      </c>
      <c r="B378" s="17">
        <v>-1.0</v>
      </c>
      <c r="C378" s="17">
        <v>6611100.0</v>
      </c>
      <c r="D378" s="17">
        <v>2.0</v>
      </c>
    </row>
    <row r="379">
      <c r="A379" s="17">
        <v>7006400.0</v>
      </c>
      <c r="B379" s="17">
        <v>-1.0</v>
      </c>
      <c r="C379" s="17">
        <v>8330500.0</v>
      </c>
      <c r="D379" s="17">
        <v>2.0</v>
      </c>
    </row>
    <row r="380">
      <c r="A380" s="17">
        <v>7006500.0</v>
      </c>
      <c r="B380" s="17">
        <v>-1.0</v>
      </c>
      <c r="C380" s="17">
        <v>7006500.0</v>
      </c>
      <c r="D380" s="17">
        <v>3.0</v>
      </c>
    </row>
    <row r="381">
      <c r="A381" s="17">
        <v>7006600.0</v>
      </c>
      <c r="B381" s="17">
        <v>-1.0</v>
      </c>
      <c r="C381" s="17">
        <v>7006600.0</v>
      </c>
      <c r="D381" s="17">
        <v>1.0</v>
      </c>
    </row>
    <row r="382">
      <c r="A382" s="17">
        <v>7006700.0</v>
      </c>
      <c r="B382" s="17">
        <v>-1.0</v>
      </c>
      <c r="C382" s="17">
        <v>7006700.0</v>
      </c>
      <c r="D382" s="17">
        <v>2.0</v>
      </c>
    </row>
    <row r="383">
      <c r="A383" s="17">
        <v>7010200.0</v>
      </c>
      <c r="B383" s="17">
        <v>7010200.0</v>
      </c>
      <c r="C383" s="17">
        <v>7010200.0</v>
      </c>
      <c r="D383" s="17">
        <v>100.0</v>
      </c>
    </row>
    <row r="384">
      <c r="A384" s="17">
        <v>7010500.0</v>
      </c>
      <c r="B384" s="17">
        <v>900.0</v>
      </c>
      <c r="C384" s="17">
        <v>7010500.0</v>
      </c>
      <c r="D384" s="17">
        <v>1.0</v>
      </c>
    </row>
    <row r="385">
      <c r="A385" s="17">
        <v>7010700.0</v>
      </c>
      <c r="B385" s="17">
        <v>900.0</v>
      </c>
      <c r="C385" s="17">
        <v>7010700.0</v>
      </c>
      <c r="D385" s="17">
        <v>1.0</v>
      </c>
    </row>
    <row r="386">
      <c r="A386" s="17">
        <v>7010900.0</v>
      </c>
      <c r="B386" s="17">
        <v>900.0</v>
      </c>
      <c r="C386" s="17">
        <v>7010900.0</v>
      </c>
      <c r="D386" s="17">
        <v>1.0</v>
      </c>
    </row>
    <row r="387">
      <c r="A387" s="17">
        <v>7011000.0</v>
      </c>
      <c r="B387" s="17">
        <v>900.0</v>
      </c>
      <c r="C387" s="17">
        <v>7011000.0</v>
      </c>
      <c r="D387" s="17">
        <v>1.0</v>
      </c>
    </row>
    <row r="388">
      <c r="A388" s="17">
        <v>7011200.0</v>
      </c>
      <c r="B388" s="17">
        <v>900.0</v>
      </c>
      <c r="C388" s="17">
        <v>7011200.0</v>
      </c>
      <c r="D388" s="17">
        <v>1.0</v>
      </c>
    </row>
    <row r="389">
      <c r="A389" s="17">
        <v>7011600.0</v>
      </c>
      <c r="B389" s="17">
        <v>900.0</v>
      </c>
      <c r="C389" s="17">
        <v>7011600.0</v>
      </c>
      <c r="D389" s="17">
        <v>1.0</v>
      </c>
    </row>
    <row r="390">
      <c r="A390" s="17">
        <v>7011700.0</v>
      </c>
      <c r="B390" s="17">
        <v>900.0</v>
      </c>
      <c r="C390" s="17">
        <v>7011700.0</v>
      </c>
      <c r="D390" s="17">
        <v>1.0</v>
      </c>
    </row>
    <row r="391">
      <c r="A391" s="17">
        <v>7012000.0</v>
      </c>
      <c r="B391" s="17">
        <v>900.0</v>
      </c>
      <c r="C391" s="17">
        <v>7012000.0</v>
      </c>
      <c r="D391" s="17">
        <v>1.0</v>
      </c>
    </row>
    <row r="392">
      <c r="A392" s="17">
        <v>7012200.0</v>
      </c>
      <c r="B392" s="17">
        <v>7012200.0</v>
      </c>
      <c r="C392" s="17">
        <v>7012200.0</v>
      </c>
      <c r="D392" s="17">
        <v>100.0</v>
      </c>
    </row>
    <row r="393">
      <c r="A393" s="17">
        <v>7012300.0</v>
      </c>
      <c r="B393" s="17">
        <v>7012300.0</v>
      </c>
      <c r="C393" s="17">
        <v>7012300.0</v>
      </c>
      <c r="D393" s="17">
        <v>100.0</v>
      </c>
    </row>
    <row r="394">
      <c r="A394" s="17">
        <v>7020000.0</v>
      </c>
      <c r="B394" s="17">
        <v>900.0</v>
      </c>
      <c r="C394" s="17">
        <v>7020000.0</v>
      </c>
      <c r="D394" s="17">
        <v>1.0</v>
      </c>
    </row>
    <row r="395">
      <c r="A395" s="17">
        <v>7030000.0</v>
      </c>
      <c r="B395" s="17">
        <v>900.0</v>
      </c>
      <c r="C395" s="17">
        <v>7030000.0</v>
      </c>
      <c r="D395" s="17">
        <v>1.0</v>
      </c>
    </row>
    <row r="396">
      <c r="A396" s="17">
        <v>7030200.0</v>
      </c>
      <c r="B396" s="17">
        <v>7030200.0</v>
      </c>
      <c r="C396" s="17">
        <v>7030200.0</v>
      </c>
      <c r="D396" s="17">
        <v>100.0</v>
      </c>
    </row>
    <row r="397">
      <c r="A397" s="17">
        <v>7030600.0</v>
      </c>
      <c r="B397" s="17">
        <v>7030600.0</v>
      </c>
      <c r="C397" s="17">
        <v>7030600.0</v>
      </c>
      <c r="D397" s="17">
        <v>100.0</v>
      </c>
    </row>
    <row r="398">
      <c r="A398" s="17">
        <v>7030700.0</v>
      </c>
      <c r="B398" s="17">
        <v>7030700.0</v>
      </c>
      <c r="C398" s="17">
        <v>7030700.0</v>
      </c>
      <c r="D398" s="17">
        <v>100.0</v>
      </c>
    </row>
    <row r="399">
      <c r="A399" s="17">
        <v>7030800.0</v>
      </c>
      <c r="B399" s="17">
        <v>7030800.0</v>
      </c>
      <c r="C399" s="17">
        <v>7030800.0</v>
      </c>
      <c r="D399" s="17">
        <v>100.0</v>
      </c>
    </row>
    <row r="400">
      <c r="A400" s="17">
        <v>7030900.0</v>
      </c>
      <c r="B400" s="17">
        <v>100.0</v>
      </c>
      <c r="C400" s="17">
        <v>7030900.0</v>
      </c>
      <c r="D400" s="17">
        <v>100.0</v>
      </c>
    </row>
    <row r="401">
      <c r="A401" s="17">
        <v>7031200.0</v>
      </c>
      <c r="B401" s="17">
        <v>900.0</v>
      </c>
      <c r="C401" s="17">
        <v>7031200.0</v>
      </c>
      <c r="D401" s="17">
        <v>1.0</v>
      </c>
    </row>
    <row r="402">
      <c r="A402" s="17">
        <v>7031300.0</v>
      </c>
      <c r="B402" s="17">
        <v>900.0</v>
      </c>
      <c r="C402" s="17">
        <v>7031300.0</v>
      </c>
      <c r="D402" s="17">
        <v>1.0</v>
      </c>
    </row>
    <row r="403">
      <c r="A403" s="17">
        <v>7031800.0</v>
      </c>
      <c r="B403" s="17">
        <v>900.0</v>
      </c>
      <c r="C403" s="17">
        <v>7031800.0</v>
      </c>
      <c r="D403" s="17">
        <v>1.0</v>
      </c>
    </row>
    <row r="404">
      <c r="A404" s="17">
        <v>7031900.0</v>
      </c>
      <c r="B404" s="17">
        <v>7031900.0</v>
      </c>
      <c r="C404" s="17">
        <v>7031900.0</v>
      </c>
      <c r="D404" s="17">
        <v>101.0</v>
      </c>
    </row>
    <row r="405">
      <c r="A405" s="17">
        <v>7032200.0</v>
      </c>
      <c r="B405" s="17">
        <v>100.0</v>
      </c>
      <c r="C405" s="17">
        <v>7032200.0</v>
      </c>
      <c r="D405" s="17">
        <v>100.0</v>
      </c>
    </row>
    <row r="406">
      <c r="A406" s="17">
        <v>7032400.0</v>
      </c>
      <c r="B406" s="17">
        <v>900.0</v>
      </c>
      <c r="C406" s="17">
        <v>7032400.0</v>
      </c>
      <c r="D406" s="17">
        <v>1.0</v>
      </c>
    </row>
    <row r="407">
      <c r="A407" s="17">
        <v>7032700.0</v>
      </c>
      <c r="B407" s="17">
        <v>900.0</v>
      </c>
      <c r="C407" s="17">
        <v>7032700.0</v>
      </c>
      <c r="D407" s="17">
        <v>1.0</v>
      </c>
    </row>
    <row r="408">
      <c r="A408" s="17">
        <v>7032800.0</v>
      </c>
      <c r="B408" s="17">
        <v>900.0</v>
      </c>
      <c r="C408" s="17">
        <v>7032800.0</v>
      </c>
      <c r="D408" s="17">
        <v>1.0</v>
      </c>
    </row>
    <row r="409">
      <c r="A409" s="17">
        <v>7032900.0</v>
      </c>
      <c r="B409" s="17">
        <v>900.0</v>
      </c>
      <c r="C409" s="17">
        <v>7032900.0</v>
      </c>
      <c r="D409" s="17">
        <v>1.0</v>
      </c>
    </row>
    <row r="410">
      <c r="A410" s="17">
        <v>7033200.0</v>
      </c>
      <c r="B410" s="17">
        <v>900.0</v>
      </c>
      <c r="C410" s="17">
        <v>7033200.0</v>
      </c>
      <c r="D410" s="17">
        <v>1.0</v>
      </c>
    </row>
    <row r="411">
      <c r="A411" s="17">
        <v>7033400.0</v>
      </c>
      <c r="B411" s="17">
        <v>900.0</v>
      </c>
      <c r="C411" s="17">
        <v>7033400.0</v>
      </c>
      <c r="D411" s="17">
        <v>1.0</v>
      </c>
    </row>
    <row r="412">
      <c r="A412" s="17">
        <v>7034100.0</v>
      </c>
      <c r="B412" s="17">
        <v>900.0</v>
      </c>
      <c r="C412" s="17">
        <v>7034100.0</v>
      </c>
      <c r="D412" s="17">
        <v>1.0</v>
      </c>
    </row>
    <row r="413">
      <c r="A413" s="17">
        <v>7034400.0</v>
      </c>
      <c r="B413" s="17">
        <v>900.0</v>
      </c>
      <c r="C413" s="17">
        <v>7034400.0</v>
      </c>
      <c r="D413" s="17">
        <v>1.0</v>
      </c>
    </row>
    <row r="414">
      <c r="A414" s="17">
        <v>7034500.0</v>
      </c>
      <c r="B414" s="17">
        <v>900.0</v>
      </c>
      <c r="C414" s="17">
        <v>7034500.0</v>
      </c>
      <c r="D414" s="17">
        <v>1.0</v>
      </c>
    </row>
    <row r="415">
      <c r="A415" s="17">
        <v>7034600.0</v>
      </c>
      <c r="B415" s="17">
        <v>900.0</v>
      </c>
      <c r="C415" s="17">
        <v>7034600.0</v>
      </c>
      <c r="D415" s="17">
        <v>1.0</v>
      </c>
    </row>
    <row r="416">
      <c r="A416" s="17">
        <v>7034700.0</v>
      </c>
      <c r="B416" s="17">
        <v>900.0</v>
      </c>
      <c r="C416" s="17">
        <v>7034700.0</v>
      </c>
      <c r="D416" s="17">
        <v>1.0</v>
      </c>
    </row>
    <row r="417">
      <c r="A417" s="17">
        <v>7035100.0</v>
      </c>
      <c r="B417" s="17">
        <v>7035100.0</v>
      </c>
      <c r="C417" s="17">
        <v>7035100.0</v>
      </c>
      <c r="D417" s="17">
        <v>100.0</v>
      </c>
    </row>
    <row r="418">
      <c r="A418" s="17">
        <v>7035400.0</v>
      </c>
      <c r="B418" s="17">
        <v>7035400.0</v>
      </c>
      <c r="C418" s="17">
        <v>7035400.0</v>
      </c>
      <c r="D418" s="17">
        <v>100.0</v>
      </c>
    </row>
    <row r="419">
      <c r="A419" s="17">
        <v>7035410.0</v>
      </c>
      <c r="B419" s="17">
        <v>7035410.0</v>
      </c>
      <c r="C419" s="17">
        <v>7035400.0</v>
      </c>
      <c r="D419" s="17">
        <v>100.0</v>
      </c>
    </row>
    <row r="420">
      <c r="A420" s="17">
        <v>7035500.0</v>
      </c>
      <c r="B420" s="17">
        <v>7035500.0</v>
      </c>
      <c r="C420" s="17">
        <v>7035500.0</v>
      </c>
      <c r="D420" s="17">
        <v>100.0</v>
      </c>
    </row>
    <row r="421">
      <c r="A421" s="17">
        <v>7035510.0</v>
      </c>
      <c r="B421" s="17">
        <v>7035510.0</v>
      </c>
      <c r="C421" s="17">
        <v>7035500.0</v>
      </c>
      <c r="D421" s="17">
        <v>100.0</v>
      </c>
    </row>
    <row r="422">
      <c r="A422" s="17">
        <v>7035700.0</v>
      </c>
      <c r="B422" s="17">
        <v>7035700.0</v>
      </c>
      <c r="C422" s="17">
        <v>7035700.0</v>
      </c>
      <c r="D422" s="17">
        <v>1.0</v>
      </c>
    </row>
    <row r="423">
      <c r="A423" s="17">
        <v>7035800.0</v>
      </c>
      <c r="B423" s="17">
        <v>7035800.0</v>
      </c>
      <c r="C423" s="17">
        <v>7035800.0</v>
      </c>
      <c r="D423" s="17">
        <v>10.0</v>
      </c>
    </row>
    <row r="424">
      <c r="A424" s="17">
        <v>7035900.0</v>
      </c>
      <c r="B424" s="17">
        <v>100.0</v>
      </c>
      <c r="C424" s="17">
        <v>7035900.0</v>
      </c>
      <c r="D424" s="17">
        <v>100.0</v>
      </c>
    </row>
    <row r="425">
      <c r="A425" s="17">
        <v>7036000.0</v>
      </c>
      <c r="B425" s="17">
        <v>7036000.0</v>
      </c>
      <c r="C425" s="17">
        <v>8610100.0</v>
      </c>
      <c r="D425" s="17">
        <v>1.0</v>
      </c>
    </row>
    <row r="426">
      <c r="A426" s="17">
        <v>7036100.0</v>
      </c>
      <c r="B426" s="17">
        <v>7036100.0</v>
      </c>
      <c r="C426" s="17">
        <v>8650000.0</v>
      </c>
      <c r="D426" s="17">
        <v>1.0</v>
      </c>
    </row>
    <row r="427">
      <c r="A427" s="17">
        <v>7036200.0</v>
      </c>
      <c r="B427" s="17">
        <v>900.0</v>
      </c>
      <c r="C427" s="17">
        <v>7036200.0</v>
      </c>
      <c r="D427" s="17">
        <v>1.0</v>
      </c>
    </row>
    <row r="428">
      <c r="A428" s="17">
        <v>7036300.0</v>
      </c>
      <c r="B428" s="17">
        <v>900.0</v>
      </c>
      <c r="C428" s="17">
        <v>7036300.0</v>
      </c>
      <c r="D428" s="17">
        <v>1.0</v>
      </c>
    </row>
    <row r="429">
      <c r="A429" s="17">
        <v>7036400.0</v>
      </c>
      <c r="B429" s="17">
        <v>900.0</v>
      </c>
      <c r="C429" s="17">
        <v>7036400.0</v>
      </c>
      <c r="D429" s="17">
        <v>1.0</v>
      </c>
    </row>
    <row r="430">
      <c r="A430" s="17">
        <v>7036500.0</v>
      </c>
      <c r="B430" s="17">
        <v>900.0</v>
      </c>
      <c r="C430" s="17">
        <v>7036500.0</v>
      </c>
      <c r="D430" s="17">
        <v>1.0</v>
      </c>
    </row>
    <row r="431">
      <c r="A431" s="17">
        <v>7036800.0</v>
      </c>
      <c r="B431" s="17">
        <v>900.0</v>
      </c>
      <c r="C431" s="17">
        <v>7036800.0</v>
      </c>
      <c r="D431" s="17">
        <v>1.0</v>
      </c>
    </row>
    <row r="432">
      <c r="A432" s="17">
        <v>7036900.0</v>
      </c>
      <c r="B432" s="17">
        <v>900.0</v>
      </c>
      <c r="C432" s="17">
        <v>7036900.0</v>
      </c>
      <c r="D432" s="17">
        <v>1.0</v>
      </c>
    </row>
    <row r="433">
      <c r="A433" s="17">
        <v>7037000.0</v>
      </c>
      <c r="B433" s="17">
        <v>900.0</v>
      </c>
      <c r="C433" s="17">
        <v>7037000.0</v>
      </c>
      <c r="D433" s="17">
        <v>1.0</v>
      </c>
    </row>
    <row r="434">
      <c r="A434" s="17">
        <v>7037300.0</v>
      </c>
      <c r="B434" s="17">
        <v>900.0</v>
      </c>
      <c r="C434" s="17">
        <v>7037300.0</v>
      </c>
      <c r="D434" s="17">
        <v>1.0</v>
      </c>
    </row>
    <row r="435">
      <c r="A435" s="17">
        <v>7037600.0</v>
      </c>
      <c r="B435" s="17">
        <v>-1.0</v>
      </c>
      <c r="C435" s="17">
        <v>320800.0</v>
      </c>
      <c r="D435" s="17">
        <v>2.0</v>
      </c>
    </row>
    <row r="436">
      <c r="A436" s="17">
        <v>7037700.0</v>
      </c>
      <c r="B436" s="17">
        <v>-1.0</v>
      </c>
      <c r="C436" s="17">
        <v>7037700.0</v>
      </c>
      <c r="D436" s="17">
        <v>1.0</v>
      </c>
    </row>
    <row r="437">
      <c r="A437" s="17">
        <v>7037800.0</v>
      </c>
      <c r="B437" s="17">
        <v>-1.0</v>
      </c>
      <c r="C437" s="17">
        <v>7037800.0</v>
      </c>
      <c r="D437" s="17">
        <v>2.0</v>
      </c>
    </row>
    <row r="438">
      <c r="A438" s="17">
        <v>7040000.0</v>
      </c>
      <c r="B438" s="17">
        <v>100.0</v>
      </c>
      <c r="C438" s="17">
        <v>7040000.0</v>
      </c>
      <c r="D438" s="17">
        <v>100.0</v>
      </c>
    </row>
    <row r="439">
      <c r="A439" s="17">
        <v>7040100.0</v>
      </c>
      <c r="B439" s="17">
        <v>100.0</v>
      </c>
      <c r="C439" s="17">
        <v>7040100.0</v>
      </c>
      <c r="D439" s="17">
        <v>100.0</v>
      </c>
    </row>
    <row r="440">
      <c r="A440" s="17">
        <v>7040200.0</v>
      </c>
      <c r="B440" s="17">
        <v>100.0</v>
      </c>
      <c r="C440" s="17">
        <v>7040200.0</v>
      </c>
      <c r="D440" s="17">
        <v>100.0</v>
      </c>
    </row>
    <row r="441">
      <c r="A441" s="17">
        <v>7040201.0</v>
      </c>
      <c r="B441" s="17">
        <v>7040201.0</v>
      </c>
      <c r="C441" s="17">
        <v>7040290.0</v>
      </c>
      <c r="D441" s="17">
        <v>1.0</v>
      </c>
    </row>
    <row r="442">
      <c r="A442" s="17">
        <v>7040300.0</v>
      </c>
      <c r="B442" s="17">
        <v>7040300.0</v>
      </c>
      <c r="C442" s="17">
        <v>7040300.0</v>
      </c>
      <c r="D442" s="17">
        <v>100.0</v>
      </c>
    </row>
    <row r="443">
      <c r="A443" s="17">
        <v>7040400.0</v>
      </c>
      <c r="B443" s="17">
        <v>7040400.0</v>
      </c>
      <c r="C443" s="17">
        <v>7040400.0</v>
      </c>
      <c r="D443" s="17">
        <v>100.0</v>
      </c>
    </row>
    <row r="444">
      <c r="A444" s="17">
        <v>7040500.0</v>
      </c>
      <c r="B444" s="17">
        <v>7040500.0</v>
      </c>
      <c r="C444" s="17">
        <v>7040500.0</v>
      </c>
      <c r="D444" s="17">
        <v>100.0</v>
      </c>
    </row>
    <row r="445">
      <c r="A445" s="17">
        <v>7043000.0</v>
      </c>
      <c r="B445" s="17">
        <v>100.0</v>
      </c>
      <c r="C445" s="17">
        <v>8380000.0</v>
      </c>
      <c r="D445" s="17">
        <v>100.0</v>
      </c>
    </row>
    <row r="446">
      <c r="A446" s="17">
        <v>7043100.0</v>
      </c>
      <c r="B446" s="17">
        <v>7043100.0</v>
      </c>
      <c r="C446" s="17">
        <v>8400000.0</v>
      </c>
      <c r="D446" s="17">
        <v>100.0</v>
      </c>
    </row>
    <row r="447">
      <c r="A447" s="17">
        <v>7043200.0</v>
      </c>
      <c r="B447" s="17">
        <v>800.0</v>
      </c>
      <c r="C447" s="17">
        <v>7043200.0</v>
      </c>
      <c r="D447" s="17">
        <v>100.0</v>
      </c>
    </row>
    <row r="448">
      <c r="A448" s="17">
        <v>7043300.0</v>
      </c>
      <c r="B448" s="17">
        <v>800.0</v>
      </c>
      <c r="C448" s="17">
        <v>7043300.0</v>
      </c>
      <c r="D448" s="17">
        <v>100.0</v>
      </c>
    </row>
    <row r="449">
      <c r="A449" s="17">
        <v>7043400.0</v>
      </c>
      <c r="B449" s="17">
        <v>800.0</v>
      </c>
      <c r="C449" s="17">
        <v>7043400.0</v>
      </c>
      <c r="D449" s="17">
        <v>100.0</v>
      </c>
    </row>
    <row r="450">
      <c r="A450" s="17">
        <v>7043500.0</v>
      </c>
      <c r="B450" s="17">
        <v>800.0</v>
      </c>
      <c r="C450" s="17">
        <v>7043500.0</v>
      </c>
      <c r="D450" s="17">
        <v>100.0</v>
      </c>
    </row>
    <row r="451">
      <c r="A451" s="17">
        <v>7043600.0</v>
      </c>
      <c r="B451" s="17">
        <v>800.0</v>
      </c>
      <c r="C451" s="17">
        <v>7043600.0</v>
      </c>
      <c r="D451" s="17">
        <v>100.0</v>
      </c>
    </row>
    <row r="452">
      <c r="A452" s="17">
        <v>7043700.0</v>
      </c>
      <c r="B452" s="17">
        <v>800.0</v>
      </c>
      <c r="C452" s="17">
        <v>7043700.0</v>
      </c>
      <c r="D452" s="17">
        <v>100.0</v>
      </c>
    </row>
    <row r="453">
      <c r="A453" s="17">
        <v>7043800.0</v>
      </c>
      <c r="B453" s="17">
        <v>800.0</v>
      </c>
      <c r="C453" s="17">
        <v>7043800.0</v>
      </c>
      <c r="D453" s="17">
        <v>100.0</v>
      </c>
    </row>
    <row r="454">
      <c r="A454" s="17">
        <v>7044000.0</v>
      </c>
      <c r="B454" s="17">
        <v>800.0</v>
      </c>
      <c r="C454" s="17">
        <v>7044000.0</v>
      </c>
      <c r="D454" s="17">
        <v>100.0</v>
      </c>
    </row>
    <row r="455">
      <c r="A455" s="17">
        <v>7044100.0</v>
      </c>
      <c r="B455" s="17">
        <v>800.0</v>
      </c>
      <c r="C455" s="17">
        <v>7044100.0</v>
      </c>
      <c r="D455" s="17">
        <v>100.0</v>
      </c>
    </row>
    <row r="456">
      <c r="A456" s="17">
        <v>7044200.0</v>
      </c>
      <c r="B456" s="17">
        <v>800.0</v>
      </c>
      <c r="C456" s="17">
        <v>7044200.0</v>
      </c>
      <c r="D456" s="17">
        <v>100.0</v>
      </c>
    </row>
    <row r="457">
      <c r="A457" s="17">
        <v>7044300.0</v>
      </c>
      <c r="B457" s="17">
        <v>800.0</v>
      </c>
      <c r="C457" s="17">
        <v>7044300.0</v>
      </c>
      <c r="D457" s="17">
        <v>100.0</v>
      </c>
    </row>
    <row r="458">
      <c r="A458" s="17">
        <v>7044400.0</v>
      </c>
      <c r="B458" s="17">
        <v>800.0</v>
      </c>
      <c r="C458" s="17">
        <v>7044400.0</v>
      </c>
      <c r="D458" s="17">
        <v>100.0</v>
      </c>
    </row>
    <row r="459">
      <c r="A459" s="17">
        <v>7044500.0</v>
      </c>
      <c r="B459" s="17">
        <v>800.0</v>
      </c>
      <c r="C459" s="17">
        <v>7044500.0</v>
      </c>
      <c r="D459" s="17">
        <v>100.0</v>
      </c>
    </row>
    <row r="460">
      <c r="A460" s="17">
        <v>7044600.0</v>
      </c>
      <c r="B460" s="17">
        <v>800.0</v>
      </c>
      <c r="C460" s="17">
        <v>7044600.0</v>
      </c>
      <c r="D460" s="17">
        <v>100.0</v>
      </c>
    </row>
    <row r="461">
      <c r="A461" s="17">
        <v>7050000.0</v>
      </c>
      <c r="B461" s="17">
        <v>7050000.0</v>
      </c>
      <c r="C461" s="17">
        <v>7050000.0</v>
      </c>
      <c r="D461" s="17">
        <v>100.0</v>
      </c>
    </row>
    <row r="462">
      <c r="A462" s="17">
        <v>7050100.0</v>
      </c>
      <c r="B462" s="17">
        <v>7050100.0</v>
      </c>
      <c r="C462" s="17">
        <v>7050100.0</v>
      </c>
      <c r="D462" s="17">
        <v>100.0</v>
      </c>
    </row>
    <row r="463">
      <c r="A463" s="17">
        <v>7060000.0</v>
      </c>
      <c r="B463" s="17">
        <v>100.0</v>
      </c>
      <c r="C463" s="17">
        <v>7060000.0</v>
      </c>
      <c r="D463" s="17">
        <v>100.0</v>
      </c>
    </row>
    <row r="464">
      <c r="A464" s="17">
        <v>7060100.0</v>
      </c>
      <c r="B464" s="17">
        <v>7060100.0</v>
      </c>
      <c r="C464" s="17">
        <v>7060100.0</v>
      </c>
      <c r="D464" s="17">
        <v>100.0</v>
      </c>
    </row>
    <row r="465">
      <c r="A465" s="17">
        <v>7060200.0</v>
      </c>
      <c r="B465" s="17">
        <v>100.0</v>
      </c>
      <c r="C465" s="17">
        <v>7060200.0</v>
      </c>
      <c r="D465" s="17">
        <v>100.0</v>
      </c>
    </row>
    <row r="466">
      <c r="A466" s="17">
        <v>7070000.0</v>
      </c>
      <c r="B466" s="17">
        <v>7070000.0</v>
      </c>
      <c r="C466" s="17">
        <v>7070000.0</v>
      </c>
      <c r="D466" s="17">
        <v>100.0</v>
      </c>
    </row>
    <row r="467">
      <c r="A467" s="17">
        <v>7080000.0</v>
      </c>
      <c r="B467" s="17">
        <v>100.0</v>
      </c>
      <c r="C467" s="17">
        <v>7080000.0</v>
      </c>
      <c r="D467" s="17">
        <v>10.0</v>
      </c>
    </row>
    <row r="468">
      <c r="A468" s="17">
        <v>7080100.0</v>
      </c>
      <c r="B468" s="17">
        <v>100.0</v>
      </c>
      <c r="C468" s="17">
        <v>7080100.0</v>
      </c>
      <c r="D468" s="17">
        <v>10.0</v>
      </c>
    </row>
    <row r="469">
      <c r="A469" s="17">
        <v>7080200.0</v>
      </c>
      <c r="B469" s="17">
        <v>100.0</v>
      </c>
      <c r="C469" s="17">
        <v>7080200.0</v>
      </c>
      <c r="D469" s="17">
        <v>10.0</v>
      </c>
    </row>
    <row r="470">
      <c r="A470" s="17">
        <v>7080300.0</v>
      </c>
      <c r="B470" s="17">
        <v>100.0</v>
      </c>
      <c r="C470" s="17">
        <v>7080300.0</v>
      </c>
      <c r="D470" s="17">
        <v>10.0</v>
      </c>
    </row>
    <row r="471">
      <c r="A471" s="17">
        <v>7080400.0</v>
      </c>
      <c r="B471" s="17">
        <v>100.0</v>
      </c>
      <c r="C471" s="17">
        <v>7080400.0</v>
      </c>
      <c r="D471" s="17">
        <v>10.0</v>
      </c>
    </row>
    <row r="472">
      <c r="A472" s="17">
        <v>7080500.0</v>
      </c>
      <c r="B472" s="17">
        <v>100.0</v>
      </c>
      <c r="C472" s="17">
        <v>7080500.0</v>
      </c>
      <c r="D472" s="17">
        <v>10.0</v>
      </c>
    </row>
    <row r="473">
      <c r="A473" s="17">
        <v>7080600.0</v>
      </c>
      <c r="B473" s="17">
        <v>100.0</v>
      </c>
      <c r="C473" s="17">
        <v>7080600.0</v>
      </c>
      <c r="D473" s="17">
        <v>10.0</v>
      </c>
    </row>
    <row r="474">
      <c r="A474" s="17">
        <v>7080700.0</v>
      </c>
      <c r="B474" s="17">
        <v>100.0</v>
      </c>
      <c r="C474" s="17">
        <v>7080700.0</v>
      </c>
      <c r="D474" s="17">
        <v>10.0</v>
      </c>
    </row>
    <row r="475">
      <c r="A475" s="17">
        <v>7080800.0</v>
      </c>
      <c r="B475" s="17">
        <v>100.0</v>
      </c>
      <c r="C475" s="17">
        <v>7080800.0</v>
      </c>
      <c r="D475" s="17">
        <v>10.0</v>
      </c>
    </row>
    <row r="476">
      <c r="A476" s="17">
        <v>7080900.0</v>
      </c>
      <c r="B476" s="17">
        <v>100.0</v>
      </c>
      <c r="C476" s="17">
        <v>7080900.0</v>
      </c>
      <c r="D476" s="17">
        <v>10.0</v>
      </c>
    </row>
    <row r="477">
      <c r="A477" s="17">
        <v>7081000.0</v>
      </c>
      <c r="B477" s="17">
        <v>100.0</v>
      </c>
      <c r="C477" s="17">
        <v>7081000.0</v>
      </c>
      <c r="D477" s="17">
        <v>10.0</v>
      </c>
    </row>
    <row r="478">
      <c r="A478" s="17">
        <v>7081100.0</v>
      </c>
      <c r="B478" s="17">
        <v>100.0</v>
      </c>
      <c r="C478" s="17">
        <v>7081100.0</v>
      </c>
      <c r="D478" s="17">
        <v>10.0</v>
      </c>
    </row>
    <row r="479">
      <c r="A479" s="17">
        <v>7081200.0</v>
      </c>
      <c r="B479" s="17">
        <v>100.0</v>
      </c>
      <c r="C479" s="17">
        <v>7081200.0</v>
      </c>
      <c r="D479" s="17">
        <v>10.0</v>
      </c>
    </row>
    <row r="480">
      <c r="A480" s="17">
        <v>7081300.0</v>
      </c>
      <c r="B480" s="17">
        <v>100.0</v>
      </c>
      <c r="C480" s="17">
        <v>7081300.0</v>
      </c>
      <c r="D480" s="17">
        <v>10.0</v>
      </c>
    </row>
    <row r="481">
      <c r="A481" s="17">
        <v>7081400.0</v>
      </c>
      <c r="B481" s="17">
        <v>100.0</v>
      </c>
      <c r="C481" s="17">
        <v>7081400.0</v>
      </c>
      <c r="D481" s="17">
        <v>10.0</v>
      </c>
    </row>
    <row r="482">
      <c r="A482" s="17">
        <v>7081500.0</v>
      </c>
      <c r="B482" s="17">
        <v>100.0</v>
      </c>
      <c r="C482" s="17">
        <v>7081500.0</v>
      </c>
      <c r="D482" s="17">
        <v>10.0</v>
      </c>
    </row>
    <row r="483">
      <c r="A483" s="17">
        <v>7081700.0</v>
      </c>
      <c r="B483" s="17">
        <v>100.0</v>
      </c>
      <c r="C483" s="17">
        <v>7081700.0</v>
      </c>
      <c r="D483" s="17">
        <v>10.0</v>
      </c>
    </row>
    <row r="484">
      <c r="A484" s="17">
        <v>7081800.0</v>
      </c>
      <c r="B484" s="17">
        <v>100.0</v>
      </c>
      <c r="C484" s="17">
        <v>7081800.0</v>
      </c>
      <c r="D484" s="17">
        <v>10.0</v>
      </c>
    </row>
    <row r="485">
      <c r="A485" s="17">
        <v>7081900.0</v>
      </c>
      <c r="B485" s="17">
        <v>100.0</v>
      </c>
      <c r="C485" s="17">
        <v>7081900.0</v>
      </c>
      <c r="D485" s="17">
        <v>10.0</v>
      </c>
    </row>
    <row r="486">
      <c r="A486" s="17">
        <v>7082000.0</v>
      </c>
      <c r="B486" s="17">
        <v>100.0</v>
      </c>
      <c r="C486" s="17">
        <v>7082000.0</v>
      </c>
      <c r="D486" s="17">
        <v>10.0</v>
      </c>
    </row>
    <row r="487">
      <c r="A487" s="17">
        <v>7082100.0</v>
      </c>
      <c r="B487" s="17">
        <v>100.0</v>
      </c>
      <c r="C487" s="17">
        <v>7082100.0</v>
      </c>
      <c r="D487" s="17">
        <v>10.0</v>
      </c>
    </row>
    <row r="488">
      <c r="A488" s="17">
        <v>7082200.0</v>
      </c>
      <c r="B488" s="17">
        <v>100.0</v>
      </c>
      <c r="C488" s="17">
        <v>7082200.0</v>
      </c>
      <c r="D488" s="17">
        <v>10.0</v>
      </c>
    </row>
    <row r="489">
      <c r="A489" s="17">
        <v>7082300.0</v>
      </c>
      <c r="B489" s="17">
        <v>100.0</v>
      </c>
      <c r="C489" s="17">
        <v>7082300.0</v>
      </c>
      <c r="D489" s="17">
        <v>10.0</v>
      </c>
    </row>
    <row r="490">
      <c r="A490" s="17">
        <v>7082400.0</v>
      </c>
      <c r="B490" s="17">
        <v>100.0</v>
      </c>
      <c r="C490" s="17">
        <v>7082400.0</v>
      </c>
      <c r="D490" s="17">
        <v>10.0</v>
      </c>
    </row>
    <row r="491">
      <c r="A491" s="17">
        <v>7082500.0</v>
      </c>
      <c r="B491" s="17">
        <v>7082500.0</v>
      </c>
      <c r="C491" s="17">
        <v>7082500.0</v>
      </c>
      <c r="D491" s="17">
        <v>10.0</v>
      </c>
    </row>
    <row r="492">
      <c r="A492" s="17">
        <v>7082600.0</v>
      </c>
      <c r="B492" s="17">
        <v>7082500.0</v>
      </c>
      <c r="C492" s="17">
        <v>7082600.0</v>
      </c>
      <c r="D492" s="17">
        <v>10.0</v>
      </c>
    </row>
    <row r="493">
      <c r="A493" s="17">
        <v>7082700.0</v>
      </c>
      <c r="B493" s="17">
        <v>7082700.0</v>
      </c>
      <c r="C493" s="17">
        <v>7082700.0</v>
      </c>
      <c r="D493" s="17">
        <v>10.0</v>
      </c>
    </row>
    <row r="494">
      <c r="A494" s="17">
        <v>7082800.0</v>
      </c>
      <c r="B494" s="17">
        <v>7082700.0</v>
      </c>
      <c r="C494" s="17">
        <v>7082800.0</v>
      </c>
      <c r="D494" s="17">
        <v>10.0</v>
      </c>
    </row>
    <row r="495">
      <c r="A495" s="17">
        <v>7082900.0</v>
      </c>
      <c r="B495" s="17">
        <v>7082700.0</v>
      </c>
      <c r="C495" s="17">
        <v>7082900.0</v>
      </c>
      <c r="D495" s="17">
        <v>10.0</v>
      </c>
    </row>
    <row r="496">
      <c r="A496" s="17">
        <v>7090000.0</v>
      </c>
      <c r="B496" s="17">
        <v>7090000.0</v>
      </c>
      <c r="C496" s="17">
        <v>7090000.0</v>
      </c>
      <c r="D496" s="17">
        <v>100.0</v>
      </c>
    </row>
    <row r="497">
      <c r="A497" s="17">
        <v>7090100.0</v>
      </c>
      <c r="B497" s="17">
        <v>7090100.0</v>
      </c>
      <c r="C497" s="17">
        <v>7090100.0</v>
      </c>
      <c r="D497" s="17">
        <v>100.0</v>
      </c>
    </row>
    <row r="498">
      <c r="A498" s="17">
        <v>7090300.0</v>
      </c>
      <c r="B498" s="17">
        <v>900.0</v>
      </c>
      <c r="C498" s="17">
        <v>7090300.0</v>
      </c>
      <c r="D498" s="17">
        <v>1.0</v>
      </c>
    </row>
    <row r="499">
      <c r="A499" s="17">
        <v>7100100.0</v>
      </c>
      <c r="B499" s="17">
        <v>7100100.0</v>
      </c>
      <c r="C499" s="17">
        <v>7100100.0</v>
      </c>
      <c r="D499" s="17">
        <v>100.0</v>
      </c>
    </row>
    <row r="500">
      <c r="A500" s="17">
        <v>7100110.0</v>
      </c>
      <c r="B500" s="17">
        <v>7100110.0</v>
      </c>
      <c r="C500" s="17">
        <v>7100190.0</v>
      </c>
      <c r="D500" s="17">
        <v>1.0</v>
      </c>
    </row>
    <row r="501">
      <c r="A501" s="17">
        <v>7110000.0</v>
      </c>
      <c r="B501" s="17">
        <v>7110000.0</v>
      </c>
      <c r="C501" s="17">
        <v>7110000.0</v>
      </c>
      <c r="D501" s="17">
        <v>100.0</v>
      </c>
    </row>
    <row r="502">
      <c r="A502" s="17">
        <v>7120000.0</v>
      </c>
      <c r="B502" s="17">
        <v>200.0</v>
      </c>
      <c r="C502" s="17">
        <v>7120000.0</v>
      </c>
      <c r="D502" s="17">
        <v>100.0</v>
      </c>
    </row>
    <row r="503">
      <c r="A503" s="17">
        <v>7120100.0</v>
      </c>
      <c r="B503" s="17">
        <v>200.0</v>
      </c>
      <c r="C503" s="17">
        <v>7120100.0</v>
      </c>
      <c r="D503" s="17">
        <v>100.0</v>
      </c>
    </row>
    <row r="504">
      <c r="A504" s="17">
        <v>7120200.0</v>
      </c>
      <c r="B504" s="17">
        <v>200.0</v>
      </c>
      <c r="C504" s="17">
        <v>7120200.0</v>
      </c>
      <c r="D504" s="17">
        <v>100.0</v>
      </c>
    </row>
    <row r="505">
      <c r="A505" s="17">
        <v>7120300.0</v>
      </c>
      <c r="B505" s="17">
        <v>200.0</v>
      </c>
      <c r="C505" s="17">
        <v>7120300.0</v>
      </c>
      <c r="D505" s="17">
        <v>100.0</v>
      </c>
    </row>
    <row r="506">
      <c r="A506" s="17">
        <v>7120400.0</v>
      </c>
      <c r="B506" s="17">
        <v>200.0</v>
      </c>
      <c r="C506" s="17">
        <v>7120400.0</v>
      </c>
      <c r="D506" s="17">
        <v>100.0</v>
      </c>
    </row>
    <row r="507">
      <c r="A507" s="17">
        <v>7120500.0</v>
      </c>
      <c r="B507" s="17">
        <v>200.0</v>
      </c>
      <c r="C507" s="17">
        <v>7120500.0</v>
      </c>
      <c r="D507" s="17">
        <v>100.0</v>
      </c>
    </row>
    <row r="508">
      <c r="A508" s="17">
        <v>7120600.0</v>
      </c>
      <c r="B508" s="17">
        <v>200.0</v>
      </c>
      <c r="C508" s="17">
        <v>7120600.0</v>
      </c>
      <c r="D508" s="17">
        <v>100.0</v>
      </c>
    </row>
    <row r="509">
      <c r="A509" s="17">
        <v>7120900.0</v>
      </c>
      <c r="B509" s="17">
        <v>7120900.0</v>
      </c>
      <c r="C509" s="17">
        <v>7120900.0</v>
      </c>
      <c r="D509" s="17">
        <v>100.0</v>
      </c>
    </row>
    <row r="510">
      <c r="A510" s="17">
        <v>7121000.0</v>
      </c>
      <c r="B510" s="17">
        <v>7121000.0</v>
      </c>
      <c r="C510" s="17">
        <v>7121000.0</v>
      </c>
      <c r="D510" s="17">
        <v>100.0</v>
      </c>
    </row>
    <row r="511">
      <c r="A511" s="17">
        <v>7121001.0</v>
      </c>
      <c r="B511" s="17">
        <v>7121001.0</v>
      </c>
      <c r="C511" s="17">
        <v>7121000.0</v>
      </c>
      <c r="D511" s="17">
        <v>100.0</v>
      </c>
    </row>
    <row r="512">
      <c r="A512" s="17">
        <v>7121100.0</v>
      </c>
      <c r="B512" s="17">
        <v>7121100.0</v>
      </c>
      <c r="C512" s="17">
        <v>7121100.0</v>
      </c>
      <c r="D512" s="17">
        <v>100.0</v>
      </c>
    </row>
    <row r="513">
      <c r="A513" s="17">
        <v>7121200.0</v>
      </c>
      <c r="B513" s="17">
        <v>7121200.0</v>
      </c>
      <c r="C513" s="17">
        <v>7121200.0</v>
      </c>
      <c r="D513" s="17">
        <v>100.0</v>
      </c>
    </row>
    <row r="514">
      <c r="A514" s="17">
        <v>7121300.0</v>
      </c>
      <c r="B514" s="17">
        <v>7121300.0</v>
      </c>
      <c r="C514" s="17">
        <v>7121300.0</v>
      </c>
      <c r="D514" s="17">
        <v>100.0</v>
      </c>
    </row>
    <row r="515">
      <c r="A515" s="17">
        <v>7121400.0</v>
      </c>
      <c r="B515" s="17">
        <v>7121400.0</v>
      </c>
      <c r="C515" s="17">
        <v>7121400.0</v>
      </c>
      <c r="D515" s="17">
        <v>100.0</v>
      </c>
    </row>
    <row r="516">
      <c r="A516" s="17">
        <v>7121500.0</v>
      </c>
      <c r="B516" s="17">
        <v>7121500.0</v>
      </c>
      <c r="C516" s="17">
        <v>7121500.0</v>
      </c>
      <c r="D516" s="17">
        <v>100.0</v>
      </c>
    </row>
    <row r="517">
      <c r="A517" s="17">
        <v>7121600.0</v>
      </c>
      <c r="B517" s="17">
        <v>7121600.0</v>
      </c>
      <c r="C517" s="17">
        <v>7121600.0</v>
      </c>
      <c r="D517" s="17">
        <v>100.0</v>
      </c>
    </row>
    <row r="518">
      <c r="A518" s="17">
        <v>7121700.0</v>
      </c>
      <c r="B518" s="17">
        <v>7121700.0</v>
      </c>
      <c r="C518" s="17">
        <v>7121700.0</v>
      </c>
      <c r="D518" s="17">
        <v>100.0</v>
      </c>
    </row>
    <row r="519">
      <c r="A519" s="17">
        <v>7121800.0</v>
      </c>
      <c r="B519" s="17">
        <v>7121800.0</v>
      </c>
      <c r="C519" s="17">
        <v>7121800.0</v>
      </c>
      <c r="D519" s="17">
        <v>100.0</v>
      </c>
    </row>
    <row r="520">
      <c r="A520" s="17">
        <v>7121900.0</v>
      </c>
      <c r="B520" s="17">
        <v>7121900.0</v>
      </c>
      <c r="C520" s="17">
        <v>7121900.0</v>
      </c>
      <c r="D520" s="17">
        <v>100.0</v>
      </c>
    </row>
    <row r="521">
      <c r="A521" s="17">
        <v>7122000.0</v>
      </c>
      <c r="B521" s="17">
        <v>7122000.0</v>
      </c>
      <c r="C521" s="17">
        <v>7122000.0</v>
      </c>
      <c r="D521" s="17">
        <v>100.0</v>
      </c>
    </row>
    <row r="522">
      <c r="A522" s="17">
        <v>7122100.0</v>
      </c>
      <c r="B522" s="17">
        <v>7122100.0</v>
      </c>
      <c r="C522" s="17">
        <v>7122100.0</v>
      </c>
      <c r="D522" s="17">
        <v>100.0</v>
      </c>
    </row>
    <row r="523">
      <c r="A523" s="17">
        <v>7122200.0</v>
      </c>
      <c r="B523" s="17">
        <v>7122200.0</v>
      </c>
      <c r="C523" s="17">
        <v>7122200.0</v>
      </c>
      <c r="D523" s="17">
        <v>100.0</v>
      </c>
    </row>
    <row r="524">
      <c r="A524" s="17">
        <v>7122300.0</v>
      </c>
      <c r="B524" s="17">
        <v>7122300.0</v>
      </c>
      <c r="C524" s="17">
        <v>7122300.0</v>
      </c>
      <c r="D524" s="17">
        <v>100.0</v>
      </c>
    </row>
    <row r="525">
      <c r="A525" s="17">
        <v>7122400.0</v>
      </c>
      <c r="B525" s="17">
        <v>7122400.0</v>
      </c>
      <c r="C525" s="17">
        <v>7122400.0</v>
      </c>
      <c r="D525" s="17">
        <v>100.0</v>
      </c>
    </row>
    <row r="526">
      <c r="A526" s="17">
        <v>7122500.0</v>
      </c>
      <c r="B526" s="17">
        <v>7122500.0</v>
      </c>
      <c r="C526" s="17">
        <v>7122500.0</v>
      </c>
      <c r="D526" s="17">
        <v>100.0</v>
      </c>
    </row>
    <row r="527">
      <c r="A527" s="17">
        <v>7122600.0</v>
      </c>
      <c r="B527" s="17">
        <v>7122600.0</v>
      </c>
      <c r="C527" s="17">
        <v>7122600.0</v>
      </c>
      <c r="D527" s="17">
        <v>100.0</v>
      </c>
    </row>
    <row r="528">
      <c r="A528" s="17">
        <v>7122700.0</v>
      </c>
      <c r="B528" s="17">
        <v>300.0</v>
      </c>
      <c r="C528" s="17">
        <v>7122700.0</v>
      </c>
      <c r="D528" s="17">
        <v>100.0</v>
      </c>
    </row>
    <row r="529">
      <c r="A529" s="17">
        <v>7122800.0</v>
      </c>
      <c r="B529" s="17">
        <v>300.0</v>
      </c>
      <c r="C529" s="17">
        <v>7122800.0</v>
      </c>
      <c r="D529" s="17">
        <v>100.0</v>
      </c>
    </row>
    <row r="530">
      <c r="A530" s="17">
        <v>7122900.0</v>
      </c>
      <c r="B530" s="17">
        <v>300.0</v>
      </c>
      <c r="C530" s="17">
        <v>7122900.0</v>
      </c>
      <c r="D530" s="17">
        <v>100.0</v>
      </c>
    </row>
    <row r="531">
      <c r="A531" s="17">
        <v>7123000.0</v>
      </c>
      <c r="B531" s="17">
        <v>300.0</v>
      </c>
      <c r="C531" s="17">
        <v>7123000.0</v>
      </c>
      <c r="D531" s="17">
        <v>100.0</v>
      </c>
    </row>
    <row r="532">
      <c r="A532" s="17">
        <v>7123100.0</v>
      </c>
      <c r="B532" s="17">
        <v>300.0</v>
      </c>
      <c r="C532" s="17">
        <v>7123100.0</v>
      </c>
      <c r="D532" s="17">
        <v>100.0</v>
      </c>
    </row>
    <row r="533">
      <c r="A533" s="17">
        <v>7123200.0</v>
      </c>
      <c r="B533" s="17">
        <v>300.0</v>
      </c>
      <c r="C533" s="17">
        <v>7123200.0</v>
      </c>
      <c r="D533" s="17">
        <v>100.0</v>
      </c>
    </row>
    <row r="534">
      <c r="A534" s="17">
        <v>7123300.0</v>
      </c>
      <c r="B534" s="17">
        <v>300.0</v>
      </c>
      <c r="C534" s="17">
        <v>7123300.0</v>
      </c>
      <c r="D534" s="17">
        <v>100.0</v>
      </c>
    </row>
    <row r="535">
      <c r="A535" s="17">
        <v>7123400.0</v>
      </c>
      <c r="B535" s="17">
        <v>300.0</v>
      </c>
      <c r="C535" s="17">
        <v>7123400.0</v>
      </c>
      <c r="D535" s="17">
        <v>100.0</v>
      </c>
    </row>
    <row r="536">
      <c r="A536" s="17">
        <v>7123500.0</v>
      </c>
      <c r="B536" s="17">
        <v>300.0</v>
      </c>
      <c r="C536" s="17">
        <v>7123500.0</v>
      </c>
      <c r="D536" s="17">
        <v>100.0</v>
      </c>
    </row>
    <row r="537">
      <c r="A537" s="17">
        <v>7123600.0</v>
      </c>
      <c r="B537" s="17">
        <v>300.0</v>
      </c>
      <c r="C537" s="17">
        <v>7123600.0</v>
      </c>
      <c r="D537" s="17">
        <v>100.0</v>
      </c>
    </row>
    <row r="538">
      <c r="A538" s="17">
        <v>7123700.0</v>
      </c>
      <c r="B538" s="17">
        <v>300.0</v>
      </c>
      <c r="C538" s="17">
        <v>7123700.0</v>
      </c>
      <c r="D538" s="17">
        <v>100.0</v>
      </c>
    </row>
    <row r="539">
      <c r="A539" s="17">
        <v>7123800.0</v>
      </c>
      <c r="B539" s="17">
        <v>300.0</v>
      </c>
      <c r="C539" s="17">
        <v>7123800.0</v>
      </c>
      <c r="D539" s="17">
        <v>100.0</v>
      </c>
    </row>
    <row r="540">
      <c r="A540" s="17">
        <v>7123900.0</v>
      </c>
      <c r="B540" s="17">
        <v>300.0</v>
      </c>
      <c r="C540" s="17">
        <v>7123900.0</v>
      </c>
      <c r="D540" s="17">
        <v>100.0</v>
      </c>
    </row>
    <row r="541">
      <c r="A541" s="17">
        <v>7124000.0</v>
      </c>
      <c r="B541" s="17">
        <v>300.0</v>
      </c>
      <c r="C541" s="17">
        <v>7124000.0</v>
      </c>
      <c r="D541" s="17">
        <v>100.0</v>
      </c>
    </row>
    <row r="542">
      <c r="A542" s="17">
        <v>7124100.0</v>
      </c>
      <c r="B542" s="17">
        <v>300.0</v>
      </c>
      <c r="C542" s="17">
        <v>7124100.0</v>
      </c>
      <c r="D542" s="17">
        <v>100.0</v>
      </c>
    </row>
    <row r="543">
      <c r="A543" s="17">
        <v>7124300.0</v>
      </c>
      <c r="B543" s="17">
        <v>300.0</v>
      </c>
      <c r="C543" s="17">
        <v>7124300.0</v>
      </c>
      <c r="D543" s="17">
        <v>100.0</v>
      </c>
    </row>
    <row r="544">
      <c r="A544" s="17">
        <v>7124400.0</v>
      </c>
      <c r="B544" s="17">
        <v>300.0</v>
      </c>
      <c r="C544" s="17">
        <v>7124400.0</v>
      </c>
      <c r="D544" s="17">
        <v>100.0</v>
      </c>
    </row>
    <row r="545">
      <c r="A545" s="17">
        <v>7124500.0</v>
      </c>
      <c r="B545" s="17">
        <v>300.0</v>
      </c>
      <c r="C545" s="17">
        <v>7124500.0</v>
      </c>
      <c r="D545" s="17">
        <v>100.0</v>
      </c>
    </row>
    <row r="546">
      <c r="A546" s="17">
        <v>7124600.0</v>
      </c>
      <c r="B546" s="17">
        <v>300.0</v>
      </c>
      <c r="C546" s="17">
        <v>7124600.0</v>
      </c>
      <c r="D546" s="17">
        <v>100.0</v>
      </c>
    </row>
    <row r="547">
      <c r="A547" s="17">
        <v>7124700.0</v>
      </c>
      <c r="B547" s="17">
        <v>300.0</v>
      </c>
      <c r="C547" s="17">
        <v>7124700.0</v>
      </c>
      <c r="D547" s="17">
        <v>100.0</v>
      </c>
    </row>
    <row r="548">
      <c r="A548" s="17">
        <v>7126000.0</v>
      </c>
      <c r="B548" s="17">
        <v>7126000.0</v>
      </c>
      <c r="C548" s="17">
        <v>7126000.0</v>
      </c>
      <c r="D548" s="17">
        <v>100.0</v>
      </c>
    </row>
    <row r="549">
      <c r="A549" s="17">
        <v>7126001.0</v>
      </c>
      <c r="B549" s="17">
        <v>7126001.0</v>
      </c>
      <c r="C549" s="17">
        <v>7126000.0</v>
      </c>
      <c r="D549" s="17">
        <v>100.0</v>
      </c>
    </row>
    <row r="550">
      <c r="A550" s="17">
        <v>7126002.0</v>
      </c>
      <c r="B550" s="17">
        <v>7126002.0</v>
      </c>
      <c r="C550" s="17">
        <v>7126000.0</v>
      </c>
      <c r="D550" s="17">
        <v>100.0</v>
      </c>
    </row>
    <row r="551">
      <c r="A551" s="17">
        <v>7150000.0</v>
      </c>
      <c r="B551" s="17">
        <v>100.0</v>
      </c>
      <c r="C551" s="17">
        <v>7150000.0</v>
      </c>
      <c r="D551" s="17">
        <v>100.0</v>
      </c>
    </row>
    <row r="552">
      <c r="A552" s="17">
        <v>7160000.0</v>
      </c>
      <c r="B552" s="17">
        <v>7160000.0</v>
      </c>
      <c r="C552" s="17">
        <v>7160000.0</v>
      </c>
      <c r="D552" s="17">
        <v>100.0</v>
      </c>
    </row>
    <row r="553">
      <c r="A553" s="17">
        <v>7170100.0</v>
      </c>
      <c r="B553" s="17">
        <v>-1.0</v>
      </c>
      <c r="C553" s="17">
        <v>7170100.0</v>
      </c>
      <c r="D553" s="17">
        <v>1.0</v>
      </c>
    </row>
    <row r="554">
      <c r="A554" s="17">
        <v>7220000.0</v>
      </c>
      <c r="B554" s="17">
        <v>900.0</v>
      </c>
      <c r="C554" s="17">
        <v>7220000.0</v>
      </c>
      <c r="D554" s="17">
        <v>1.0</v>
      </c>
    </row>
    <row r="555">
      <c r="A555" s="17">
        <v>7230000.0</v>
      </c>
      <c r="B555" s="17">
        <v>7230000.0</v>
      </c>
      <c r="C555" s="17">
        <v>7230000.0</v>
      </c>
      <c r="D555" s="17">
        <v>100.0</v>
      </c>
    </row>
    <row r="556">
      <c r="A556" s="17">
        <v>7230001.0</v>
      </c>
      <c r="B556" s="17">
        <v>7230001.0</v>
      </c>
      <c r="C556" s="17">
        <v>7230001.0</v>
      </c>
      <c r="D556" s="17">
        <v>1.0</v>
      </c>
    </row>
    <row r="557">
      <c r="A557" s="17">
        <v>7240000.0</v>
      </c>
      <c r="B557" s="17">
        <v>7240000.0</v>
      </c>
      <c r="C557" s="17">
        <v>7240000.0</v>
      </c>
      <c r="D557" s="17">
        <v>100.0</v>
      </c>
    </row>
    <row r="558">
      <c r="A558" s="17">
        <v>7260000.0</v>
      </c>
      <c r="B558" s="17">
        <v>7260300.0</v>
      </c>
      <c r="C558" s="17">
        <v>7260000.0</v>
      </c>
      <c r="D558" s="17">
        <v>100.0</v>
      </c>
    </row>
    <row r="559">
      <c r="A559" s="17">
        <v>7260300.0</v>
      </c>
      <c r="B559" s="17">
        <v>7260300.0</v>
      </c>
      <c r="C559" s="17">
        <v>7260300.0</v>
      </c>
      <c r="D559" s="17">
        <v>100.0</v>
      </c>
    </row>
    <row r="560">
      <c r="A560" s="17">
        <v>7260400.0</v>
      </c>
      <c r="B560" s="17">
        <v>7260400.0</v>
      </c>
      <c r="C560" s="17">
        <v>7260400.0</v>
      </c>
      <c r="D560" s="17">
        <v>100.0</v>
      </c>
    </row>
    <row r="561">
      <c r="A561" s="17">
        <v>7260700.0</v>
      </c>
      <c r="B561" s="17">
        <v>7260700.0</v>
      </c>
      <c r="C561" s="17">
        <v>7260700.0</v>
      </c>
      <c r="D561" s="17">
        <v>1.0</v>
      </c>
    </row>
    <row r="562">
      <c r="A562" s="17">
        <v>7260800.0</v>
      </c>
      <c r="B562" s="17">
        <v>7260800.0</v>
      </c>
      <c r="C562" s="17">
        <v>7260710.0</v>
      </c>
      <c r="D562" s="17">
        <v>100.0</v>
      </c>
    </row>
    <row r="563">
      <c r="A563" s="17">
        <v>7260900.0</v>
      </c>
      <c r="B563" s="17">
        <v>-1.0</v>
      </c>
      <c r="C563" s="17">
        <v>7260900.0</v>
      </c>
      <c r="D563" s="17">
        <v>1.0</v>
      </c>
    </row>
    <row r="564">
      <c r="A564" s="17">
        <v>7270100.0</v>
      </c>
      <c r="B564" s="17">
        <v>900.0</v>
      </c>
      <c r="C564" s="17">
        <v>7270100.0</v>
      </c>
      <c r="D564" s="17">
        <v>1.0</v>
      </c>
    </row>
    <row r="565">
      <c r="A565" s="17">
        <v>7280000.0</v>
      </c>
      <c r="B565" s="17">
        <v>900.0</v>
      </c>
      <c r="C565" s="17">
        <v>7280000.0</v>
      </c>
      <c r="D565" s="17">
        <v>1.0</v>
      </c>
    </row>
    <row r="566">
      <c r="A566" s="17">
        <v>7290000.0</v>
      </c>
      <c r="B566" s="17">
        <v>900.0</v>
      </c>
      <c r="C566" s="17">
        <v>7290000.0</v>
      </c>
      <c r="D566" s="17">
        <v>1.0</v>
      </c>
    </row>
    <row r="567">
      <c r="A567" s="17">
        <v>7310000.0</v>
      </c>
      <c r="B567" s="17">
        <v>900.0</v>
      </c>
      <c r="C567" s="17">
        <v>7310000.0</v>
      </c>
      <c r="D567" s="17">
        <v>1.0</v>
      </c>
    </row>
    <row r="568">
      <c r="A568" s="17">
        <v>7330000.0</v>
      </c>
      <c r="B568" s="17">
        <v>100.0</v>
      </c>
      <c r="C568" s="17">
        <v>7330000.0</v>
      </c>
      <c r="D568" s="17">
        <v>10.0</v>
      </c>
    </row>
    <row r="569">
      <c r="A569" s="17">
        <v>7330100.0</v>
      </c>
      <c r="B569" s="17">
        <v>100.0</v>
      </c>
      <c r="C569" s="17">
        <v>7330100.0</v>
      </c>
      <c r="D569" s="17">
        <v>10.0</v>
      </c>
    </row>
    <row r="570">
      <c r="A570" s="17">
        <v>7330200.0</v>
      </c>
      <c r="B570" s="17">
        <v>100.0</v>
      </c>
      <c r="C570" s="17">
        <v>7330200.0</v>
      </c>
      <c r="D570" s="17">
        <v>10.0</v>
      </c>
    </row>
    <row r="571">
      <c r="A571" s="17">
        <v>7330300.0</v>
      </c>
      <c r="B571" s="17">
        <v>100.0</v>
      </c>
      <c r="C571" s="17">
        <v>7330300.0</v>
      </c>
      <c r="D571" s="17">
        <v>10.0</v>
      </c>
    </row>
    <row r="572">
      <c r="A572" s="17">
        <v>7330400.0</v>
      </c>
      <c r="B572" s="17">
        <v>100.0</v>
      </c>
      <c r="C572" s="17">
        <v>7330400.0</v>
      </c>
      <c r="D572" s="17">
        <v>10.0</v>
      </c>
    </row>
    <row r="573">
      <c r="A573" s="17">
        <v>7330500.0</v>
      </c>
      <c r="B573" s="17">
        <v>100.0</v>
      </c>
      <c r="C573" s="17">
        <v>7330500.0</v>
      </c>
      <c r="D573" s="17">
        <v>10.0</v>
      </c>
    </row>
    <row r="574">
      <c r="A574" s="17">
        <v>7330600.0</v>
      </c>
      <c r="B574" s="17">
        <v>100.0</v>
      </c>
      <c r="C574" s="17">
        <v>7330600.0</v>
      </c>
      <c r="D574" s="17">
        <v>10.0</v>
      </c>
    </row>
    <row r="575">
      <c r="A575" s="17">
        <v>7330700.0</v>
      </c>
      <c r="B575" s="17">
        <v>100.0</v>
      </c>
      <c r="C575" s="17">
        <v>7330700.0</v>
      </c>
      <c r="D575" s="17">
        <v>10.0</v>
      </c>
    </row>
    <row r="576">
      <c r="A576" s="17">
        <v>7330800.0</v>
      </c>
      <c r="B576" s="17">
        <v>100.0</v>
      </c>
      <c r="C576" s="17">
        <v>7330800.0</v>
      </c>
      <c r="D576" s="17">
        <v>10.0</v>
      </c>
    </row>
    <row r="577">
      <c r="A577" s="17">
        <v>7330900.0</v>
      </c>
      <c r="B577" s="17">
        <v>100.0</v>
      </c>
      <c r="C577" s="17">
        <v>7330900.0</v>
      </c>
      <c r="D577" s="17">
        <v>10.0</v>
      </c>
    </row>
    <row r="578">
      <c r="A578" s="17">
        <v>7331000.0</v>
      </c>
      <c r="B578" s="17">
        <v>100.0</v>
      </c>
      <c r="C578" s="17">
        <v>7331000.0</v>
      </c>
      <c r="D578" s="17">
        <v>10.0</v>
      </c>
    </row>
    <row r="579">
      <c r="A579" s="17">
        <v>7331100.0</v>
      </c>
      <c r="B579" s="17">
        <v>100.0</v>
      </c>
      <c r="C579" s="17">
        <v>7331100.0</v>
      </c>
      <c r="D579" s="17">
        <v>10.0</v>
      </c>
    </row>
    <row r="580">
      <c r="A580" s="17">
        <v>7331200.0</v>
      </c>
      <c r="B580" s="17">
        <v>100.0</v>
      </c>
      <c r="C580" s="17">
        <v>7331200.0</v>
      </c>
      <c r="D580" s="17">
        <v>10.0</v>
      </c>
    </row>
    <row r="581">
      <c r="A581" s="17">
        <v>7331300.0</v>
      </c>
      <c r="B581" s="17">
        <v>100.0</v>
      </c>
      <c r="C581" s="17">
        <v>7331300.0</v>
      </c>
      <c r="D581" s="17">
        <v>10.0</v>
      </c>
    </row>
    <row r="582">
      <c r="A582" s="17">
        <v>7331400.0</v>
      </c>
      <c r="B582" s="17">
        <v>100.0</v>
      </c>
      <c r="C582" s="17">
        <v>7331400.0</v>
      </c>
      <c r="D582" s="17">
        <v>10.0</v>
      </c>
    </row>
    <row r="583">
      <c r="A583" s="17">
        <v>7331500.0</v>
      </c>
      <c r="B583" s="17">
        <v>100.0</v>
      </c>
      <c r="C583" s="17">
        <v>7331500.0</v>
      </c>
      <c r="D583" s="17">
        <v>10.0</v>
      </c>
    </row>
    <row r="584">
      <c r="A584" s="17">
        <v>7331700.0</v>
      </c>
      <c r="B584" s="17">
        <v>100.0</v>
      </c>
      <c r="C584" s="17">
        <v>7331700.0</v>
      </c>
      <c r="D584" s="17">
        <v>10.0</v>
      </c>
    </row>
    <row r="585">
      <c r="A585" s="17">
        <v>7331800.0</v>
      </c>
      <c r="B585" s="17">
        <v>100.0</v>
      </c>
      <c r="C585" s="17">
        <v>7331800.0</v>
      </c>
      <c r="D585" s="17">
        <v>10.0</v>
      </c>
    </row>
    <row r="586">
      <c r="A586" s="17">
        <v>7331900.0</v>
      </c>
      <c r="B586" s="17">
        <v>100.0</v>
      </c>
      <c r="C586" s="17">
        <v>7331900.0</v>
      </c>
      <c r="D586" s="17">
        <v>10.0</v>
      </c>
    </row>
    <row r="587">
      <c r="A587" s="17">
        <v>7332000.0</v>
      </c>
      <c r="B587" s="17">
        <v>100.0</v>
      </c>
      <c r="C587" s="17">
        <v>7332000.0</v>
      </c>
      <c r="D587" s="17">
        <v>10.0</v>
      </c>
    </row>
    <row r="588">
      <c r="A588" s="17">
        <v>7332100.0</v>
      </c>
      <c r="B588" s="17">
        <v>100.0</v>
      </c>
      <c r="C588" s="17">
        <v>7332100.0</v>
      </c>
      <c r="D588" s="17">
        <v>10.0</v>
      </c>
    </row>
    <row r="589">
      <c r="A589" s="17">
        <v>7332200.0</v>
      </c>
      <c r="B589" s="17">
        <v>100.0</v>
      </c>
      <c r="C589" s="17">
        <v>7332200.0</v>
      </c>
      <c r="D589" s="17">
        <v>10.0</v>
      </c>
    </row>
    <row r="590">
      <c r="A590" s="17">
        <v>7332300.0</v>
      </c>
      <c r="B590" s="17">
        <v>100.0</v>
      </c>
      <c r="C590" s="17">
        <v>7332300.0</v>
      </c>
      <c r="D590" s="17">
        <v>10.0</v>
      </c>
    </row>
    <row r="591">
      <c r="A591" s="17">
        <v>7332400.0</v>
      </c>
      <c r="B591" s="17">
        <v>100.0</v>
      </c>
      <c r="C591" s="17">
        <v>7332400.0</v>
      </c>
      <c r="D591" s="17">
        <v>10.0</v>
      </c>
    </row>
    <row r="592">
      <c r="A592" s="17">
        <v>7340000.0</v>
      </c>
      <c r="B592" s="17">
        <v>7340000.0</v>
      </c>
      <c r="C592" s="17">
        <v>7340000.0</v>
      </c>
      <c r="D592" s="17">
        <v>10.0</v>
      </c>
    </row>
    <row r="593">
      <c r="A593" s="17">
        <v>7340100.0</v>
      </c>
      <c r="B593" s="17">
        <v>7340000.0</v>
      </c>
      <c r="C593" s="17">
        <v>7340100.0</v>
      </c>
      <c r="D593" s="17">
        <v>10.0</v>
      </c>
    </row>
    <row r="594">
      <c r="A594" s="17">
        <v>7340200.0</v>
      </c>
      <c r="B594" s="17">
        <v>7340000.0</v>
      </c>
      <c r="C594" s="17">
        <v>7340200.0</v>
      </c>
      <c r="D594" s="17">
        <v>10.0</v>
      </c>
    </row>
    <row r="595">
      <c r="A595" s="17">
        <v>7340300.0</v>
      </c>
      <c r="B595" s="17">
        <v>7340000.0</v>
      </c>
      <c r="C595" s="17">
        <v>7340300.0</v>
      </c>
      <c r="D595" s="17">
        <v>10.0</v>
      </c>
    </row>
    <row r="596">
      <c r="A596" s="17">
        <v>7340400.0</v>
      </c>
      <c r="B596" s="17">
        <v>7340000.0</v>
      </c>
      <c r="C596" s="17">
        <v>7340400.0</v>
      </c>
      <c r="D596" s="17">
        <v>10.0</v>
      </c>
    </row>
    <row r="597">
      <c r="A597" s="17">
        <v>7340500.0</v>
      </c>
      <c r="B597" s="17">
        <v>7340000.0</v>
      </c>
      <c r="C597" s="17">
        <v>7340500.0</v>
      </c>
      <c r="D597" s="17">
        <v>10.0</v>
      </c>
    </row>
    <row r="598">
      <c r="A598" s="17">
        <v>7340600.0</v>
      </c>
      <c r="B598" s="17">
        <v>7340000.0</v>
      </c>
      <c r="C598" s="17">
        <v>7340600.0</v>
      </c>
      <c r="D598" s="17">
        <v>10.0</v>
      </c>
    </row>
    <row r="599">
      <c r="A599" s="17">
        <v>7340700.0</v>
      </c>
      <c r="B599" s="17">
        <v>7340000.0</v>
      </c>
      <c r="C599" s="17">
        <v>7340700.0</v>
      </c>
      <c r="D599" s="17">
        <v>10.0</v>
      </c>
    </row>
    <row r="600">
      <c r="A600" s="17">
        <v>7340800.0</v>
      </c>
      <c r="B600" s="17">
        <v>7340000.0</v>
      </c>
      <c r="C600" s="17">
        <v>7340800.0</v>
      </c>
      <c r="D600" s="17">
        <v>10.0</v>
      </c>
    </row>
    <row r="601">
      <c r="A601" s="17">
        <v>7340900.0</v>
      </c>
      <c r="B601" s="17">
        <v>7340000.0</v>
      </c>
      <c r="C601" s="17">
        <v>7340900.0</v>
      </c>
      <c r="D601" s="17">
        <v>10.0</v>
      </c>
    </row>
    <row r="602">
      <c r="A602" s="17">
        <v>7341000.0</v>
      </c>
      <c r="B602" s="17">
        <v>7340000.0</v>
      </c>
      <c r="C602" s="17">
        <v>7341000.0</v>
      </c>
      <c r="D602" s="17">
        <v>10.0</v>
      </c>
    </row>
    <row r="603">
      <c r="A603" s="17">
        <v>7341100.0</v>
      </c>
      <c r="B603" s="17">
        <v>7340000.0</v>
      </c>
      <c r="C603" s="17">
        <v>7341100.0</v>
      </c>
      <c r="D603" s="17">
        <v>10.0</v>
      </c>
    </row>
    <row r="604">
      <c r="A604" s="17">
        <v>7341200.0</v>
      </c>
      <c r="B604" s="17">
        <v>7340000.0</v>
      </c>
      <c r="C604" s="17">
        <v>7341200.0</v>
      </c>
      <c r="D604" s="17">
        <v>10.0</v>
      </c>
    </row>
    <row r="605">
      <c r="A605" s="17">
        <v>7341300.0</v>
      </c>
      <c r="B605" s="17">
        <v>7340000.0</v>
      </c>
      <c r="C605" s="17">
        <v>7341300.0</v>
      </c>
      <c r="D605" s="17">
        <v>10.0</v>
      </c>
    </row>
    <row r="606">
      <c r="A606" s="17">
        <v>7341400.0</v>
      </c>
      <c r="B606" s="17">
        <v>7340000.0</v>
      </c>
      <c r="C606" s="17">
        <v>7341400.0</v>
      </c>
      <c r="D606" s="17">
        <v>10.0</v>
      </c>
    </row>
    <row r="607">
      <c r="A607" s="17">
        <v>7341500.0</v>
      </c>
      <c r="B607" s="17">
        <v>7340000.0</v>
      </c>
      <c r="C607" s="17">
        <v>7341500.0</v>
      </c>
      <c r="D607" s="17">
        <v>10.0</v>
      </c>
    </row>
    <row r="608">
      <c r="A608" s="17">
        <v>7341700.0</v>
      </c>
      <c r="B608" s="17">
        <v>7340000.0</v>
      </c>
      <c r="C608" s="17">
        <v>7341700.0</v>
      </c>
      <c r="D608" s="17">
        <v>10.0</v>
      </c>
    </row>
    <row r="609">
      <c r="A609" s="17">
        <v>7341800.0</v>
      </c>
      <c r="B609" s="17">
        <v>7340000.0</v>
      </c>
      <c r="C609" s="17">
        <v>7341800.0</v>
      </c>
      <c r="D609" s="17">
        <v>10.0</v>
      </c>
    </row>
    <row r="610">
      <c r="A610" s="17">
        <v>7341900.0</v>
      </c>
      <c r="B610" s="17">
        <v>7340000.0</v>
      </c>
      <c r="C610" s="17">
        <v>7341900.0</v>
      </c>
      <c r="D610" s="17">
        <v>10.0</v>
      </c>
    </row>
    <row r="611">
      <c r="A611" s="17">
        <v>7342000.0</v>
      </c>
      <c r="B611" s="17">
        <v>7340000.0</v>
      </c>
      <c r="C611" s="17">
        <v>7342000.0</v>
      </c>
      <c r="D611" s="17">
        <v>10.0</v>
      </c>
    </row>
    <row r="612">
      <c r="A612" s="17">
        <v>7342100.0</v>
      </c>
      <c r="B612" s="17">
        <v>7340000.0</v>
      </c>
      <c r="C612" s="17">
        <v>7342100.0</v>
      </c>
      <c r="D612" s="17">
        <v>10.0</v>
      </c>
    </row>
    <row r="613">
      <c r="A613" s="17">
        <v>7342200.0</v>
      </c>
      <c r="B613" s="17">
        <v>7340000.0</v>
      </c>
      <c r="C613" s="17">
        <v>7342200.0</v>
      </c>
      <c r="D613" s="17">
        <v>10.0</v>
      </c>
    </row>
    <row r="614">
      <c r="A614" s="17">
        <v>7342300.0</v>
      </c>
      <c r="B614" s="17">
        <v>7340000.0</v>
      </c>
      <c r="C614" s="17">
        <v>7342300.0</v>
      </c>
      <c r="D614" s="17">
        <v>10.0</v>
      </c>
    </row>
    <row r="615">
      <c r="A615" s="17">
        <v>7342400.0</v>
      </c>
      <c r="B615" s="17">
        <v>7340000.0</v>
      </c>
      <c r="C615" s="17">
        <v>7342400.0</v>
      </c>
      <c r="D615" s="17">
        <v>10.0</v>
      </c>
    </row>
    <row r="616">
      <c r="A616" s="17">
        <v>7350000.0</v>
      </c>
      <c r="B616" s="17">
        <v>7350000.0</v>
      </c>
      <c r="C616" s="17">
        <v>7350000.0</v>
      </c>
      <c r="D616" s="17">
        <v>10.0</v>
      </c>
    </row>
    <row r="617">
      <c r="A617" s="17">
        <v>7350100.0</v>
      </c>
      <c r="B617" s="17">
        <v>7350000.0</v>
      </c>
      <c r="C617" s="17">
        <v>7350100.0</v>
      </c>
      <c r="D617" s="17">
        <v>10.0</v>
      </c>
    </row>
    <row r="618">
      <c r="A618" s="17">
        <v>7350200.0</v>
      </c>
      <c r="B618" s="17">
        <v>7350000.0</v>
      </c>
      <c r="C618" s="17">
        <v>7350200.0</v>
      </c>
      <c r="D618" s="17">
        <v>10.0</v>
      </c>
    </row>
    <row r="619">
      <c r="A619" s="17">
        <v>7350300.0</v>
      </c>
      <c r="B619" s="17">
        <v>7350000.0</v>
      </c>
      <c r="C619" s="17">
        <v>7350300.0</v>
      </c>
      <c r="D619" s="17">
        <v>10.0</v>
      </c>
    </row>
    <row r="620">
      <c r="A620" s="17">
        <v>7350400.0</v>
      </c>
      <c r="B620" s="17">
        <v>7350000.0</v>
      </c>
      <c r="C620" s="17">
        <v>7350400.0</v>
      </c>
      <c r="D620" s="17">
        <v>10.0</v>
      </c>
    </row>
    <row r="621">
      <c r="A621" s="17">
        <v>7350500.0</v>
      </c>
      <c r="B621" s="17">
        <v>7350000.0</v>
      </c>
      <c r="C621" s="17">
        <v>7350500.0</v>
      </c>
      <c r="D621" s="17">
        <v>10.0</v>
      </c>
    </row>
    <row r="622">
      <c r="A622" s="17">
        <v>7350600.0</v>
      </c>
      <c r="B622" s="17">
        <v>7350000.0</v>
      </c>
      <c r="C622" s="17">
        <v>7350600.0</v>
      </c>
      <c r="D622" s="17">
        <v>10.0</v>
      </c>
    </row>
    <row r="623">
      <c r="A623" s="17">
        <v>7350700.0</v>
      </c>
      <c r="B623" s="17">
        <v>7350000.0</v>
      </c>
      <c r="C623" s="17">
        <v>7350700.0</v>
      </c>
      <c r="D623" s="17">
        <v>10.0</v>
      </c>
    </row>
    <row r="624">
      <c r="A624" s="17">
        <v>7350800.0</v>
      </c>
      <c r="B624" s="17">
        <v>7350000.0</v>
      </c>
      <c r="C624" s="17">
        <v>7350800.0</v>
      </c>
      <c r="D624" s="17">
        <v>10.0</v>
      </c>
    </row>
    <row r="625">
      <c r="A625" s="17">
        <v>7350900.0</v>
      </c>
      <c r="B625" s="17">
        <v>7350000.0</v>
      </c>
      <c r="C625" s="17">
        <v>7350900.0</v>
      </c>
      <c r="D625" s="17">
        <v>10.0</v>
      </c>
    </row>
    <row r="626">
      <c r="A626" s="17">
        <v>7351000.0</v>
      </c>
      <c r="B626" s="17">
        <v>7350000.0</v>
      </c>
      <c r="C626" s="17">
        <v>7351000.0</v>
      </c>
      <c r="D626" s="17">
        <v>10.0</v>
      </c>
    </row>
    <row r="627">
      <c r="A627" s="17">
        <v>7351100.0</v>
      </c>
      <c r="B627" s="17">
        <v>7350000.0</v>
      </c>
      <c r="C627" s="17">
        <v>7351100.0</v>
      </c>
      <c r="D627" s="17">
        <v>10.0</v>
      </c>
    </row>
    <row r="628">
      <c r="A628" s="17">
        <v>7351200.0</v>
      </c>
      <c r="B628" s="17">
        <v>7350000.0</v>
      </c>
      <c r="C628" s="17">
        <v>7351200.0</v>
      </c>
      <c r="D628" s="17">
        <v>10.0</v>
      </c>
    </row>
    <row r="629">
      <c r="A629" s="17">
        <v>7351300.0</v>
      </c>
      <c r="B629" s="17">
        <v>7350000.0</v>
      </c>
      <c r="C629" s="17">
        <v>7351300.0</v>
      </c>
      <c r="D629" s="17">
        <v>10.0</v>
      </c>
    </row>
    <row r="630">
      <c r="A630" s="17">
        <v>7351400.0</v>
      </c>
      <c r="B630" s="17">
        <v>7350000.0</v>
      </c>
      <c r="C630" s="17">
        <v>7351400.0</v>
      </c>
      <c r="D630" s="17">
        <v>10.0</v>
      </c>
    </row>
    <row r="631">
      <c r="A631" s="17">
        <v>7351500.0</v>
      </c>
      <c r="B631" s="17">
        <v>7350000.0</v>
      </c>
      <c r="C631" s="17">
        <v>7351500.0</v>
      </c>
      <c r="D631" s="17">
        <v>10.0</v>
      </c>
    </row>
    <row r="632">
      <c r="A632" s="17">
        <v>7351700.0</v>
      </c>
      <c r="B632" s="17">
        <v>7350000.0</v>
      </c>
      <c r="C632" s="17">
        <v>7351700.0</v>
      </c>
      <c r="D632" s="17">
        <v>10.0</v>
      </c>
    </row>
    <row r="633">
      <c r="A633" s="17">
        <v>7351800.0</v>
      </c>
      <c r="B633" s="17">
        <v>7350000.0</v>
      </c>
      <c r="C633" s="17">
        <v>7351800.0</v>
      </c>
      <c r="D633" s="17">
        <v>10.0</v>
      </c>
    </row>
    <row r="634">
      <c r="A634" s="17">
        <v>7351900.0</v>
      </c>
      <c r="B634" s="17">
        <v>7350000.0</v>
      </c>
      <c r="C634" s="17">
        <v>7351900.0</v>
      </c>
      <c r="D634" s="17">
        <v>10.0</v>
      </c>
    </row>
    <row r="635">
      <c r="A635" s="17">
        <v>7352000.0</v>
      </c>
      <c r="B635" s="17">
        <v>7350000.0</v>
      </c>
      <c r="C635" s="17">
        <v>7352000.0</v>
      </c>
      <c r="D635" s="17">
        <v>10.0</v>
      </c>
    </row>
    <row r="636">
      <c r="A636" s="17">
        <v>7352100.0</v>
      </c>
      <c r="B636" s="17">
        <v>7350000.0</v>
      </c>
      <c r="C636" s="17">
        <v>7352100.0</v>
      </c>
      <c r="D636" s="17">
        <v>10.0</v>
      </c>
    </row>
    <row r="637">
      <c r="A637" s="17">
        <v>7352200.0</v>
      </c>
      <c r="B637" s="17">
        <v>7350000.0</v>
      </c>
      <c r="C637" s="17">
        <v>7352200.0</v>
      </c>
      <c r="D637" s="17">
        <v>10.0</v>
      </c>
    </row>
    <row r="638">
      <c r="A638" s="17">
        <v>7352300.0</v>
      </c>
      <c r="B638" s="17">
        <v>7350000.0</v>
      </c>
      <c r="C638" s="17">
        <v>7352300.0</v>
      </c>
      <c r="D638" s="17">
        <v>10.0</v>
      </c>
    </row>
    <row r="639">
      <c r="A639" s="17">
        <v>7352400.0</v>
      </c>
      <c r="B639" s="17">
        <v>7350000.0</v>
      </c>
      <c r="C639" s="17">
        <v>7352400.0</v>
      </c>
      <c r="D639" s="17">
        <v>10.0</v>
      </c>
    </row>
    <row r="640">
      <c r="A640" s="17">
        <v>7360600.0</v>
      </c>
      <c r="B640" s="17">
        <v>300.0</v>
      </c>
      <c r="C640" s="17">
        <v>7360600.0</v>
      </c>
      <c r="D640" s="17">
        <v>100.0</v>
      </c>
    </row>
    <row r="641">
      <c r="A641" s="17">
        <v>7360900.0</v>
      </c>
      <c r="B641" s="17">
        <v>300.0</v>
      </c>
      <c r="C641" s="17">
        <v>7360900.0</v>
      </c>
      <c r="D641" s="17">
        <v>100.0</v>
      </c>
    </row>
    <row r="642">
      <c r="A642" s="17">
        <v>7361200.0</v>
      </c>
      <c r="B642" s="17">
        <v>300.0</v>
      </c>
      <c r="C642" s="17">
        <v>7361200.0</v>
      </c>
      <c r="D642" s="17">
        <v>100.0</v>
      </c>
    </row>
    <row r="643">
      <c r="A643" s="17">
        <v>7361300.0</v>
      </c>
      <c r="B643" s="17">
        <v>300.0</v>
      </c>
      <c r="C643" s="17">
        <v>7361300.0</v>
      </c>
      <c r="D643" s="17">
        <v>100.0</v>
      </c>
    </row>
    <row r="644">
      <c r="A644" s="17">
        <v>7362100.0</v>
      </c>
      <c r="B644" s="17">
        <v>300.0</v>
      </c>
      <c r="C644" s="17">
        <v>7362100.0</v>
      </c>
      <c r="D644" s="17">
        <v>100.0</v>
      </c>
    </row>
    <row r="645">
      <c r="A645" s="17">
        <v>7370300.0</v>
      </c>
      <c r="B645" s="17">
        <v>300.0</v>
      </c>
      <c r="C645" s="17">
        <v>7370300.0</v>
      </c>
      <c r="D645" s="17">
        <v>100.0</v>
      </c>
    </row>
    <row r="646">
      <c r="A646" s="17">
        <v>7370400.0</v>
      </c>
      <c r="B646" s="17">
        <v>300.0</v>
      </c>
      <c r="C646" s="17">
        <v>7370400.0</v>
      </c>
      <c r="D646" s="17">
        <v>100.0</v>
      </c>
    </row>
    <row r="647">
      <c r="A647" s="17">
        <v>7370600.0</v>
      </c>
      <c r="B647" s="17">
        <v>300.0</v>
      </c>
      <c r="C647" s="17">
        <v>7370600.0</v>
      </c>
      <c r="D647" s="17">
        <v>100.0</v>
      </c>
    </row>
    <row r="648">
      <c r="A648" s="17">
        <v>7370900.0</v>
      </c>
      <c r="B648" s="17">
        <v>300.0</v>
      </c>
      <c r="C648" s="17">
        <v>7370900.0</v>
      </c>
      <c r="D648" s="17">
        <v>100.0</v>
      </c>
    </row>
    <row r="649">
      <c r="A649" s="17">
        <v>7371500.0</v>
      </c>
      <c r="B649" s="17">
        <v>300.0</v>
      </c>
      <c r="C649" s="17">
        <v>7371500.0</v>
      </c>
      <c r="D649" s="17">
        <v>100.0</v>
      </c>
    </row>
    <row r="650">
      <c r="A650" s="17">
        <v>8000000.0</v>
      </c>
      <c r="B650" s="17">
        <v>400000.0</v>
      </c>
      <c r="C650" s="17">
        <v>8000000.0</v>
      </c>
      <c r="D650" s="17">
        <v>2000.0</v>
      </c>
    </row>
    <row r="651">
      <c r="A651" s="17">
        <v>8000001.0</v>
      </c>
      <c r="B651" s="17">
        <v>400000.0</v>
      </c>
      <c r="C651" s="17">
        <v>8000000.0</v>
      </c>
      <c r="D651" s="17">
        <v>2010.0</v>
      </c>
    </row>
    <row r="652">
      <c r="A652" s="17">
        <v>8010000.0</v>
      </c>
      <c r="B652" s="17">
        <v>400010.0</v>
      </c>
      <c r="C652" s="17">
        <v>8010000.0</v>
      </c>
      <c r="D652" s="17">
        <v>2020.0</v>
      </c>
    </row>
    <row r="653">
      <c r="A653" s="17">
        <v>8010001.0</v>
      </c>
      <c r="B653" s="17">
        <v>400010.0</v>
      </c>
      <c r="C653" s="17">
        <v>8010000.0</v>
      </c>
      <c r="D653" s="17">
        <v>2030.0</v>
      </c>
    </row>
    <row r="654">
      <c r="A654" s="17">
        <v>8010100.0</v>
      </c>
      <c r="B654" s="17">
        <v>400020.0</v>
      </c>
      <c r="C654" s="17">
        <v>8010100.0</v>
      </c>
      <c r="D654" s="17">
        <v>2040.0</v>
      </c>
    </row>
    <row r="655">
      <c r="A655" s="17">
        <v>8010101.0</v>
      </c>
      <c r="B655" s="17">
        <v>400020.0</v>
      </c>
      <c r="C655" s="17">
        <v>8010100.0</v>
      </c>
      <c r="D655" s="17">
        <v>2050.0</v>
      </c>
    </row>
    <row r="656">
      <c r="A656" s="17">
        <v>8020000.0</v>
      </c>
      <c r="B656" s="17">
        <v>400020.0</v>
      </c>
      <c r="C656" s="17">
        <v>8020000.0</v>
      </c>
      <c r="D656" s="17">
        <v>2060.0</v>
      </c>
    </row>
    <row r="657">
      <c r="A657" s="17">
        <v>8020001.0</v>
      </c>
      <c r="B657" s="17">
        <v>400020.0</v>
      </c>
      <c r="C657" s="17">
        <v>8020000.0</v>
      </c>
      <c r="D657" s="17">
        <v>2070.0</v>
      </c>
    </row>
    <row r="658">
      <c r="A658" s="17">
        <v>8020200.0</v>
      </c>
      <c r="B658" s="17">
        <v>400030.0</v>
      </c>
      <c r="C658" s="17">
        <v>8020200.0</v>
      </c>
      <c r="D658" s="17">
        <v>2080.0</v>
      </c>
    </row>
    <row r="659">
      <c r="A659" s="17">
        <v>8020201.0</v>
      </c>
      <c r="B659" s="17">
        <v>400030.0</v>
      </c>
      <c r="C659" s="17">
        <v>8020200.0</v>
      </c>
      <c r="D659" s="17">
        <v>2090.0</v>
      </c>
    </row>
    <row r="660">
      <c r="A660" s="17">
        <v>8100000.0</v>
      </c>
      <c r="B660" s="17">
        <v>-1.0</v>
      </c>
      <c r="C660" s="17">
        <v>8100000.0</v>
      </c>
      <c r="D660" s="17">
        <v>2100.0</v>
      </c>
    </row>
    <row r="661">
      <c r="A661" s="17">
        <v>8100001.0</v>
      </c>
      <c r="B661" s="17">
        <v>-1.0</v>
      </c>
      <c r="C661" s="17">
        <v>8100000.0</v>
      </c>
      <c r="D661" s="17">
        <v>2110.0</v>
      </c>
    </row>
    <row r="662">
      <c r="A662" s="17">
        <v>8100100.0</v>
      </c>
      <c r="B662" s="17">
        <v>401000.0</v>
      </c>
      <c r="C662" s="17">
        <v>8100100.0</v>
      </c>
      <c r="D662" s="17">
        <v>8100100.0</v>
      </c>
    </row>
    <row r="663">
      <c r="A663" s="17">
        <v>8100101.0</v>
      </c>
      <c r="B663" s="17">
        <v>401000.0</v>
      </c>
      <c r="C663" s="17">
        <v>8100100.0</v>
      </c>
      <c r="D663" s="17">
        <v>8100101.0</v>
      </c>
    </row>
    <row r="664">
      <c r="A664" s="17">
        <v>8100102.0</v>
      </c>
      <c r="B664" s="17">
        <v>401000.0</v>
      </c>
      <c r="C664" s="17">
        <v>8100100.0</v>
      </c>
      <c r="D664" s="17">
        <v>8100102.0</v>
      </c>
    </row>
    <row r="665">
      <c r="A665" s="17">
        <v>8100200.0</v>
      </c>
      <c r="B665" s="17">
        <v>401000.0</v>
      </c>
      <c r="C665" s="17">
        <v>8100200.0</v>
      </c>
      <c r="D665" s="17">
        <v>8100200.0</v>
      </c>
    </row>
    <row r="666">
      <c r="A666" s="17">
        <v>8100201.0</v>
      </c>
      <c r="B666" s="17">
        <v>401000.0</v>
      </c>
      <c r="C666" s="17">
        <v>8100200.0</v>
      </c>
      <c r="D666" s="17">
        <v>8100201.0</v>
      </c>
    </row>
    <row r="667">
      <c r="A667" s="17">
        <v>8100202.0</v>
      </c>
      <c r="B667" s="17">
        <v>401000.0</v>
      </c>
      <c r="C667" s="17">
        <v>8100200.0</v>
      </c>
      <c r="D667" s="17">
        <v>8100202.0</v>
      </c>
    </row>
    <row r="668">
      <c r="A668" s="17">
        <v>8100300.0</v>
      </c>
      <c r="B668" s="17">
        <v>401000.0</v>
      </c>
      <c r="C668" s="17">
        <v>8100300.0</v>
      </c>
      <c r="D668" s="17">
        <v>8100300.0</v>
      </c>
    </row>
    <row r="669">
      <c r="A669" s="17">
        <v>8100301.0</v>
      </c>
      <c r="B669" s="17">
        <v>401000.0</v>
      </c>
      <c r="C669" s="17">
        <v>8100300.0</v>
      </c>
      <c r="D669" s="17">
        <v>8100301.0</v>
      </c>
    </row>
    <row r="670">
      <c r="A670" s="17">
        <v>8100302.0</v>
      </c>
      <c r="B670" s="17">
        <v>401000.0</v>
      </c>
      <c r="C670" s="17">
        <v>8100300.0</v>
      </c>
      <c r="D670" s="17">
        <v>8100302.0</v>
      </c>
    </row>
    <row r="671">
      <c r="A671" s="17">
        <v>8100400.0</v>
      </c>
      <c r="B671" s="17">
        <v>401000.0</v>
      </c>
      <c r="C671" s="17">
        <v>8100400.0</v>
      </c>
      <c r="D671" s="17">
        <v>8100400.0</v>
      </c>
    </row>
    <row r="672">
      <c r="A672" s="17">
        <v>8100401.0</v>
      </c>
      <c r="B672" s="17">
        <v>401000.0</v>
      </c>
      <c r="C672" s="17">
        <v>8100400.0</v>
      </c>
      <c r="D672" s="17">
        <v>8100401.0</v>
      </c>
    </row>
    <row r="673">
      <c r="A673" s="17">
        <v>8100402.0</v>
      </c>
      <c r="B673" s="17">
        <v>401000.0</v>
      </c>
      <c r="C673" s="17">
        <v>8100400.0</v>
      </c>
      <c r="D673" s="17">
        <v>8100402.0</v>
      </c>
    </row>
    <row r="674">
      <c r="A674" s="17">
        <v>8100500.0</v>
      </c>
      <c r="B674" s="17">
        <v>-1.0</v>
      </c>
      <c r="C674" s="17">
        <v>8100500.0</v>
      </c>
      <c r="D674" s="17">
        <v>2120.0</v>
      </c>
    </row>
    <row r="675">
      <c r="A675" s="17">
        <v>8100501.0</v>
      </c>
      <c r="B675" s="17">
        <v>-1.0</v>
      </c>
      <c r="C675" s="17">
        <v>8100500.0</v>
      </c>
      <c r="D675" s="17">
        <v>2130.0</v>
      </c>
    </row>
    <row r="676">
      <c r="A676" s="17">
        <v>8110000.0</v>
      </c>
      <c r="B676" s="17">
        <v>401000.0</v>
      </c>
      <c r="C676" s="17">
        <v>8110000.0</v>
      </c>
      <c r="D676" s="17">
        <v>8110000.0</v>
      </c>
    </row>
    <row r="677">
      <c r="A677" s="17">
        <v>8110001.0</v>
      </c>
      <c r="B677" s="17">
        <v>401000.0</v>
      </c>
      <c r="C677" s="17">
        <v>8110000.0</v>
      </c>
      <c r="D677" s="17">
        <v>8110001.0</v>
      </c>
    </row>
    <row r="678">
      <c r="A678" s="17">
        <v>8110002.0</v>
      </c>
      <c r="B678" s="17">
        <v>401000.0</v>
      </c>
      <c r="C678" s="17">
        <v>8110000.0</v>
      </c>
      <c r="D678" s="17">
        <v>8110002.0</v>
      </c>
    </row>
    <row r="679">
      <c r="A679" s="17">
        <v>8110010.0</v>
      </c>
      <c r="B679" s="17">
        <v>401000.0</v>
      </c>
      <c r="C679" s="17">
        <v>8110000.0</v>
      </c>
      <c r="D679" s="17">
        <v>8110010.0</v>
      </c>
    </row>
    <row r="680">
      <c r="A680" s="17">
        <v>8110011.0</v>
      </c>
      <c r="B680" s="17">
        <v>401000.0</v>
      </c>
      <c r="C680" s="17">
        <v>8110000.0</v>
      </c>
      <c r="D680" s="17">
        <v>8110011.0</v>
      </c>
    </row>
    <row r="681">
      <c r="A681" s="17">
        <v>8110012.0</v>
      </c>
      <c r="B681" s="17">
        <v>401000.0</v>
      </c>
      <c r="C681" s="17">
        <v>8110000.0</v>
      </c>
      <c r="D681" s="17">
        <v>8110012.0</v>
      </c>
    </row>
    <row r="682">
      <c r="A682" s="17">
        <v>8110100.0</v>
      </c>
      <c r="B682" s="17">
        <v>401000.0</v>
      </c>
      <c r="C682" s="17">
        <v>8110100.0</v>
      </c>
      <c r="D682" s="17">
        <v>8110100.0</v>
      </c>
    </row>
    <row r="683">
      <c r="A683" s="17">
        <v>8110101.0</v>
      </c>
      <c r="B683" s="17">
        <v>401000.0</v>
      </c>
      <c r="C683" s="17">
        <v>8110100.0</v>
      </c>
      <c r="D683" s="17">
        <v>8110101.0</v>
      </c>
    </row>
    <row r="684">
      <c r="A684" s="17">
        <v>8110102.0</v>
      </c>
      <c r="B684" s="17">
        <v>401000.0</v>
      </c>
      <c r="C684" s="17">
        <v>8110100.0</v>
      </c>
      <c r="D684" s="17">
        <v>8110102.0</v>
      </c>
    </row>
    <row r="685">
      <c r="A685" s="17">
        <v>8110110.0</v>
      </c>
      <c r="B685" s="17">
        <v>401000.0</v>
      </c>
      <c r="C685" s="17">
        <v>8110100.0</v>
      </c>
      <c r="D685" s="17">
        <v>8110110.0</v>
      </c>
    </row>
    <row r="686">
      <c r="A686" s="17">
        <v>8110111.0</v>
      </c>
      <c r="B686" s="17">
        <v>401000.0</v>
      </c>
      <c r="C686" s="17">
        <v>8110100.0</v>
      </c>
      <c r="D686" s="17">
        <v>8110111.0</v>
      </c>
    </row>
    <row r="687">
      <c r="A687" s="17">
        <v>8110112.0</v>
      </c>
      <c r="B687" s="17">
        <v>401000.0</v>
      </c>
      <c r="C687" s="17">
        <v>8110100.0</v>
      </c>
      <c r="D687" s="17">
        <v>8110112.0</v>
      </c>
    </row>
    <row r="688">
      <c r="A688" s="17">
        <v>8110200.0</v>
      </c>
      <c r="B688" s="17">
        <v>401000.0</v>
      </c>
      <c r="C688" s="17">
        <v>8110200.0</v>
      </c>
      <c r="D688" s="17">
        <v>8110200.0</v>
      </c>
    </row>
    <row r="689">
      <c r="A689" s="17">
        <v>8110201.0</v>
      </c>
      <c r="B689" s="17">
        <v>401000.0</v>
      </c>
      <c r="C689" s="17">
        <v>8110200.0</v>
      </c>
      <c r="D689" s="17">
        <v>8110201.0</v>
      </c>
    </row>
    <row r="690">
      <c r="A690" s="17">
        <v>8110202.0</v>
      </c>
      <c r="B690" s="17">
        <v>401000.0</v>
      </c>
      <c r="C690" s="17">
        <v>8110200.0</v>
      </c>
      <c r="D690" s="17">
        <v>8110202.0</v>
      </c>
    </row>
    <row r="691">
      <c r="A691" s="17">
        <v>8110210.0</v>
      </c>
      <c r="B691" s="17">
        <v>401000.0</v>
      </c>
      <c r="C691" s="17">
        <v>8110200.0</v>
      </c>
      <c r="D691" s="17">
        <v>8110210.0</v>
      </c>
    </row>
    <row r="692">
      <c r="A692" s="17">
        <v>8110211.0</v>
      </c>
      <c r="B692" s="17">
        <v>401000.0</v>
      </c>
      <c r="C692" s="17">
        <v>8110200.0</v>
      </c>
      <c r="D692" s="17">
        <v>8110211.0</v>
      </c>
    </row>
    <row r="693">
      <c r="A693" s="17">
        <v>8110212.0</v>
      </c>
      <c r="B693" s="17">
        <v>401000.0</v>
      </c>
      <c r="C693" s="17">
        <v>8110200.0</v>
      </c>
      <c r="D693" s="17">
        <v>8110212.0</v>
      </c>
    </row>
    <row r="694">
      <c r="A694" s="17">
        <v>8110400.0</v>
      </c>
      <c r="B694" s="17">
        <v>401000.0</v>
      </c>
      <c r="C694" s="17">
        <v>8110400.0</v>
      </c>
      <c r="D694" s="17">
        <v>8110400.0</v>
      </c>
    </row>
    <row r="695">
      <c r="A695" s="17">
        <v>8110401.0</v>
      </c>
      <c r="B695" s="17">
        <v>401000.0</v>
      </c>
      <c r="C695" s="17">
        <v>8110400.0</v>
      </c>
      <c r="D695" s="17">
        <v>8110401.0</v>
      </c>
    </row>
    <row r="696">
      <c r="A696" s="17">
        <v>8110402.0</v>
      </c>
      <c r="B696" s="17">
        <v>401000.0</v>
      </c>
      <c r="C696" s="17">
        <v>8110400.0</v>
      </c>
      <c r="D696" s="17">
        <v>8110402.0</v>
      </c>
    </row>
    <row r="697">
      <c r="A697" s="17">
        <v>8110410.0</v>
      </c>
      <c r="B697" s="17">
        <v>401000.0</v>
      </c>
      <c r="C697" s="17">
        <v>8110400.0</v>
      </c>
      <c r="D697" s="17">
        <v>8110410.0</v>
      </c>
    </row>
    <row r="698">
      <c r="A698" s="17">
        <v>8110411.0</v>
      </c>
      <c r="B698" s="17">
        <v>401000.0</v>
      </c>
      <c r="C698" s="17">
        <v>8110400.0</v>
      </c>
      <c r="D698" s="17">
        <v>8110411.0</v>
      </c>
    </row>
    <row r="699">
      <c r="A699" s="17">
        <v>8110412.0</v>
      </c>
      <c r="B699" s="17">
        <v>401000.0</v>
      </c>
      <c r="C699" s="17">
        <v>8110400.0</v>
      </c>
      <c r="D699" s="17">
        <v>8110412.0</v>
      </c>
    </row>
    <row r="700">
      <c r="A700" s="17">
        <v>8110500.0</v>
      </c>
      <c r="B700" s="17">
        <v>401000.0</v>
      </c>
      <c r="C700" s="17">
        <v>8110500.0</v>
      </c>
      <c r="D700" s="17">
        <v>8110500.0</v>
      </c>
    </row>
    <row r="701">
      <c r="A701" s="17">
        <v>8110501.0</v>
      </c>
      <c r="B701" s="17">
        <v>401000.0</v>
      </c>
      <c r="C701" s="17">
        <v>8110500.0</v>
      </c>
      <c r="D701" s="17">
        <v>8110501.0</v>
      </c>
    </row>
    <row r="702">
      <c r="A702" s="17">
        <v>8110502.0</v>
      </c>
      <c r="B702" s="17">
        <v>401000.0</v>
      </c>
      <c r="C702" s="17">
        <v>8110500.0</v>
      </c>
      <c r="D702" s="17">
        <v>8110502.0</v>
      </c>
    </row>
    <row r="703">
      <c r="A703" s="17">
        <v>8110510.0</v>
      </c>
      <c r="B703" s="17">
        <v>401000.0</v>
      </c>
      <c r="C703" s="17">
        <v>8110500.0</v>
      </c>
      <c r="D703" s="17">
        <v>8110510.0</v>
      </c>
    </row>
    <row r="704">
      <c r="A704" s="17">
        <v>8110511.0</v>
      </c>
      <c r="B704" s="17">
        <v>401000.0</v>
      </c>
      <c r="C704" s="17">
        <v>8110500.0</v>
      </c>
      <c r="D704" s="17">
        <v>8110511.0</v>
      </c>
    </row>
    <row r="705">
      <c r="A705" s="17">
        <v>8110512.0</v>
      </c>
      <c r="B705" s="17">
        <v>401000.0</v>
      </c>
      <c r="C705" s="17">
        <v>8110500.0</v>
      </c>
      <c r="D705" s="17">
        <v>8110512.0</v>
      </c>
    </row>
    <row r="706">
      <c r="A706" s="17">
        <v>8110700.0</v>
      </c>
      <c r="B706" s="17">
        <v>401000.0</v>
      </c>
      <c r="C706" s="17">
        <v>8110700.0</v>
      </c>
      <c r="D706" s="17">
        <v>8110700.0</v>
      </c>
    </row>
    <row r="707">
      <c r="A707" s="17">
        <v>8110701.0</v>
      </c>
      <c r="B707" s="17">
        <v>401000.0</v>
      </c>
      <c r="C707" s="17">
        <v>8110700.0</v>
      </c>
      <c r="D707" s="17">
        <v>8110701.0</v>
      </c>
    </row>
    <row r="708">
      <c r="A708" s="17">
        <v>8110702.0</v>
      </c>
      <c r="B708" s="17">
        <v>401000.0</v>
      </c>
      <c r="C708" s="17">
        <v>8110700.0</v>
      </c>
      <c r="D708" s="17">
        <v>8110702.0</v>
      </c>
    </row>
    <row r="709">
      <c r="A709" s="17">
        <v>8110703.0</v>
      </c>
      <c r="B709" s="17">
        <v>401000.0</v>
      </c>
      <c r="C709" s="17">
        <v>8110700.0</v>
      </c>
      <c r="D709" s="17">
        <v>8110703.0</v>
      </c>
    </row>
    <row r="710">
      <c r="A710" s="17">
        <v>8110800.0</v>
      </c>
      <c r="B710" s="17">
        <v>401000.0</v>
      </c>
      <c r="C710" s="17">
        <v>8110800.0</v>
      </c>
      <c r="D710" s="17">
        <v>8110800.0</v>
      </c>
    </row>
    <row r="711">
      <c r="A711" s="17">
        <v>8110801.0</v>
      </c>
      <c r="B711" s="17">
        <v>401000.0</v>
      </c>
      <c r="C711" s="17">
        <v>8110800.0</v>
      </c>
      <c r="D711" s="17">
        <v>8110801.0</v>
      </c>
    </row>
    <row r="712">
      <c r="A712" s="17">
        <v>8110802.0</v>
      </c>
      <c r="B712" s="17">
        <v>401000.0</v>
      </c>
      <c r="C712" s="17">
        <v>8110800.0</v>
      </c>
      <c r="D712" s="17">
        <v>8110802.0</v>
      </c>
    </row>
    <row r="713">
      <c r="A713" s="17">
        <v>8110803.0</v>
      </c>
      <c r="B713" s="17">
        <v>401000.0</v>
      </c>
      <c r="C713" s="17">
        <v>8110800.0</v>
      </c>
      <c r="D713" s="17">
        <v>8110803.0</v>
      </c>
    </row>
    <row r="714">
      <c r="A714" s="17">
        <v>8110900.0</v>
      </c>
      <c r="B714" s="17">
        <v>401000.0</v>
      </c>
      <c r="C714" s="17">
        <v>8110900.0</v>
      </c>
      <c r="D714" s="17">
        <v>8110900.0</v>
      </c>
    </row>
    <row r="715">
      <c r="A715" s="17">
        <v>8110901.0</v>
      </c>
      <c r="B715" s="17">
        <v>401000.0</v>
      </c>
      <c r="C715" s="17">
        <v>8110900.0</v>
      </c>
      <c r="D715" s="17">
        <v>8110901.0</v>
      </c>
    </row>
    <row r="716">
      <c r="A716" s="17">
        <v>8110902.0</v>
      </c>
      <c r="B716" s="17">
        <v>401000.0</v>
      </c>
      <c r="C716" s="17">
        <v>8110900.0</v>
      </c>
      <c r="D716" s="17">
        <v>8110902.0</v>
      </c>
    </row>
    <row r="717">
      <c r="A717" s="17">
        <v>8110903.0</v>
      </c>
      <c r="B717" s="17">
        <v>401000.0</v>
      </c>
      <c r="C717" s="17">
        <v>8110900.0</v>
      </c>
      <c r="D717" s="17">
        <v>8110903.0</v>
      </c>
    </row>
    <row r="718">
      <c r="A718" s="17">
        <v>8111000.0</v>
      </c>
      <c r="B718" s="17">
        <v>401000.0</v>
      </c>
      <c r="C718" s="17">
        <v>8111000.0</v>
      </c>
      <c r="D718" s="17">
        <v>8111000.0</v>
      </c>
    </row>
    <row r="719">
      <c r="A719" s="17">
        <v>8111001.0</v>
      </c>
      <c r="B719" s="17">
        <v>401000.0</v>
      </c>
      <c r="C719" s="17">
        <v>8111000.0</v>
      </c>
      <c r="D719" s="17">
        <v>8111001.0</v>
      </c>
    </row>
    <row r="720">
      <c r="A720" s="17">
        <v>8111002.0</v>
      </c>
      <c r="B720" s="17">
        <v>401000.0</v>
      </c>
      <c r="C720" s="17">
        <v>8111000.0</v>
      </c>
      <c r="D720" s="17">
        <v>8111002.0</v>
      </c>
    </row>
    <row r="721">
      <c r="A721" s="17">
        <v>8111003.0</v>
      </c>
      <c r="B721" s="17">
        <v>401000.0</v>
      </c>
      <c r="C721" s="17">
        <v>8111000.0</v>
      </c>
      <c r="D721" s="17">
        <v>8111003.0</v>
      </c>
    </row>
    <row r="722">
      <c r="A722" s="17">
        <v>8120000.0</v>
      </c>
      <c r="B722" s="17">
        <v>-1.0</v>
      </c>
      <c r="C722" s="17">
        <v>8120000.0</v>
      </c>
      <c r="D722" s="17">
        <v>2140.0</v>
      </c>
    </row>
    <row r="723">
      <c r="A723" s="17">
        <v>8120001.0</v>
      </c>
      <c r="B723" s="17">
        <v>-1.0</v>
      </c>
      <c r="C723" s="17">
        <v>8120000.0</v>
      </c>
      <c r="D723" s="17">
        <v>2150.0</v>
      </c>
    </row>
    <row r="724">
      <c r="A724" s="17">
        <v>8130000.0</v>
      </c>
      <c r="B724" s="17">
        <v>-1.0</v>
      </c>
      <c r="C724" s="17">
        <v>8130000.0</v>
      </c>
      <c r="D724" s="17">
        <v>8130000.0</v>
      </c>
    </row>
    <row r="725">
      <c r="A725" s="17">
        <v>8130001.0</v>
      </c>
      <c r="B725" s="17">
        <v>-1.0</v>
      </c>
      <c r="C725" s="17">
        <v>8130000.0</v>
      </c>
      <c r="D725" s="17">
        <v>8130001.0</v>
      </c>
    </row>
    <row r="726">
      <c r="A726" s="17">
        <v>8130002.0</v>
      </c>
      <c r="B726" s="17">
        <v>-1.0</v>
      </c>
      <c r="C726" s="17">
        <v>8130000.0</v>
      </c>
      <c r="D726" s="17">
        <v>8130002.0</v>
      </c>
    </row>
    <row r="727">
      <c r="A727" s="17">
        <v>8140000.0</v>
      </c>
      <c r="B727" s="17">
        <v>-1.0</v>
      </c>
      <c r="C727" s="17">
        <v>8140000.0</v>
      </c>
      <c r="D727" s="17">
        <v>8140000.0</v>
      </c>
    </row>
    <row r="728">
      <c r="A728" s="17">
        <v>8140001.0</v>
      </c>
      <c r="B728" s="17">
        <v>-1.0</v>
      </c>
      <c r="C728" s="17">
        <v>8140000.0</v>
      </c>
      <c r="D728" s="17">
        <v>8140001.0</v>
      </c>
    </row>
    <row r="729">
      <c r="A729" s="17">
        <v>8140002.0</v>
      </c>
      <c r="B729" s="17">
        <v>-1.0</v>
      </c>
      <c r="C729" s="17">
        <v>8140000.0</v>
      </c>
      <c r="D729" s="17">
        <v>8140002.0</v>
      </c>
    </row>
    <row r="730">
      <c r="A730" s="17">
        <v>8200000.0</v>
      </c>
      <c r="B730" s="17">
        <v>400030.0</v>
      </c>
      <c r="C730" s="17">
        <v>8200000.0</v>
      </c>
      <c r="D730" s="17">
        <v>2160.0</v>
      </c>
    </row>
    <row r="731">
      <c r="A731" s="17">
        <v>8200001.0</v>
      </c>
      <c r="B731" s="17">
        <v>400030.0</v>
      </c>
      <c r="C731" s="17">
        <v>8200000.0</v>
      </c>
      <c r="D731" s="17">
        <v>2170.0</v>
      </c>
    </row>
    <row r="732">
      <c r="A732" s="17">
        <v>8200100.0</v>
      </c>
      <c r="B732" s="17">
        <v>401010.0</v>
      </c>
      <c r="C732" s="17">
        <v>8200100.0</v>
      </c>
      <c r="D732" s="17">
        <v>8200100.0</v>
      </c>
    </row>
    <row r="733">
      <c r="A733" s="17">
        <v>8200101.0</v>
      </c>
      <c r="B733" s="17">
        <v>401010.0</v>
      </c>
      <c r="C733" s="17">
        <v>8200100.0</v>
      </c>
      <c r="D733" s="17">
        <v>8200101.0</v>
      </c>
    </row>
    <row r="734">
      <c r="A734" s="17">
        <v>8200102.0</v>
      </c>
      <c r="B734" s="17">
        <v>401010.0</v>
      </c>
      <c r="C734" s="17">
        <v>8200100.0</v>
      </c>
      <c r="D734" s="17">
        <v>8200102.0</v>
      </c>
    </row>
    <row r="735">
      <c r="A735" s="17">
        <v>8200200.0</v>
      </c>
      <c r="B735" s="17">
        <v>401010.0</v>
      </c>
      <c r="C735" s="17">
        <v>8200200.0</v>
      </c>
      <c r="D735" s="17">
        <v>8200200.0</v>
      </c>
    </row>
    <row r="736">
      <c r="A736" s="17">
        <v>8200201.0</v>
      </c>
      <c r="B736" s="17">
        <v>401010.0</v>
      </c>
      <c r="C736" s="17">
        <v>8200200.0</v>
      </c>
      <c r="D736" s="17">
        <v>8200201.0</v>
      </c>
    </row>
    <row r="737">
      <c r="A737" s="17">
        <v>8200202.0</v>
      </c>
      <c r="B737" s="17">
        <v>401010.0</v>
      </c>
      <c r="C737" s="17">
        <v>8200200.0</v>
      </c>
      <c r="D737" s="17">
        <v>8200202.0</v>
      </c>
    </row>
    <row r="738">
      <c r="A738" s="17">
        <v>8200300.0</v>
      </c>
      <c r="B738" s="17">
        <v>401010.0</v>
      </c>
      <c r="C738" s="17">
        <v>8200300.0</v>
      </c>
      <c r="D738" s="17">
        <v>8200300.0</v>
      </c>
    </row>
    <row r="739">
      <c r="A739" s="17">
        <v>8200301.0</v>
      </c>
      <c r="B739" s="17">
        <v>401010.0</v>
      </c>
      <c r="C739" s="17">
        <v>8200300.0</v>
      </c>
      <c r="D739" s="17">
        <v>8200301.0</v>
      </c>
    </row>
    <row r="740">
      <c r="A740" s="17">
        <v>8200302.0</v>
      </c>
      <c r="B740" s="17">
        <v>401010.0</v>
      </c>
      <c r="C740" s="17">
        <v>8200300.0</v>
      </c>
      <c r="D740" s="17">
        <v>8200302.0</v>
      </c>
    </row>
    <row r="741">
      <c r="A741" s="17">
        <v>8200400.0</v>
      </c>
      <c r="B741" s="17">
        <v>401010.0</v>
      </c>
      <c r="C741" s="17">
        <v>8200400.0</v>
      </c>
      <c r="D741" s="17">
        <v>8200400.0</v>
      </c>
    </row>
    <row r="742">
      <c r="A742" s="17">
        <v>8200401.0</v>
      </c>
      <c r="B742" s="17">
        <v>401010.0</v>
      </c>
      <c r="C742" s="17">
        <v>8200400.0</v>
      </c>
      <c r="D742" s="17">
        <v>8200401.0</v>
      </c>
    </row>
    <row r="743">
      <c r="A743" s="17">
        <v>8200402.0</v>
      </c>
      <c r="B743" s="17">
        <v>401010.0</v>
      </c>
      <c r="C743" s="17">
        <v>8200400.0</v>
      </c>
      <c r="D743" s="17">
        <v>8200402.0</v>
      </c>
    </row>
    <row r="744">
      <c r="A744" s="17">
        <v>8200500.0</v>
      </c>
      <c r="B744" s="17">
        <v>400040.0</v>
      </c>
      <c r="C744" s="17">
        <v>8200500.0</v>
      </c>
      <c r="D744" s="17">
        <v>2180.0</v>
      </c>
    </row>
    <row r="745">
      <c r="A745" s="17">
        <v>8200501.0</v>
      </c>
      <c r="B745" s="17">
        <v>400040.0</v>
      </c>
      <c r="C745" s="17">
        <v>8200500.0</v>
      </c>
      <c r="D745" s="17">
        <v>2190.0</v>
      </c>
    </row>
    <row r="746">
      <c r="A746" s="17">
        <v>8210000.0</v>
      </c>
      <c r="B746" s="17">
        <v>401010.0</v>
      </c>
      <c r="C746" s="17">
        <v>8210000.0</v>
      </c>
      <c r="D746" s="17">
        <v>8210000.0</v>
      </c>
    </row>
    <row r="747">
      <c r="A747" s="17">
        <v>8210001.0</v>
      </c>
      <c r="B747" s="17">
        <v>401010.0</v>
      </c>
      <c r="C747" s="17">
        <v>8210000.0</v>
      </c>
      <c r="D747" s="17">
        <v>8210001.0</v>
      </c>
    </row>
    <row r="748">
      <c r="A748" s="17">
        <v>8210002.0</v>
      </c>
      <c r="B748" s="17">
        <v>401010.0</v>
      </c>
      <c r="C748" s="17">
        <v>8210000.0</v>
      </c>
      <c r="D748" s="17">
        <v>8210002.0</v>
      </c>
    </row>
    <row r="749">
      <c r="A749" s="17">
        <v>8210100.0</v>
      </c>
      <c r="B749" s="17">
        <v>401010.0</v>
      </c>
      <c r="C749" s="17">
        <v>8210100.0</v>
      </c>
      <c r="D749" s="17">
        <v>8210100.0</v>
      </c>
    </row>
    <row r="750">
      <c r="A750" s="17">
        <v>8210101.0</v>
      </c>
      <c r="B750" s="17">
        <v>401010.0</v>
      </c>
      <c r="C750" s="17">
        <v>8210100.0</v>
      </c>
      <c r="D750" s="17">
        <v>8210101.0</v>
      </c>
    </row>
    <row r="751">
      <c r="A751" s="17">
        <v>8210102.0</v>
      </c>
      <c r="B751" s="17">
        <v>401010.0</v>
      </c>
      <c r="C751" s="17">
        <v>8210100.0</v>
      </c>
      <c r="D751" s="17">
        <v>8210102.0</v>
      </c>
    </row>
    <row r="752">
      <c r="A752" s="17">
        <v>8210200.0</v>
      </c>
      <c r="B752" s="17">
        <v>401010.0</v>
      </c>
      <c r="C752" s="17">
        <v>8210200.0</v>
      </c>
      <c r="D752" s="17">
        <v>8210200.0</v>
      </c>
    </row>
    <row r="753">
      <c r="A753" s="17">
        <v>8210201.0</v>
      </c>
      <c r="B753" s="17">
        <v>401010.0</v>
      </c>
      <c r="C753" s="17">
        <v>8210200.0</v>
      </c>
      <c r="D753" s="17">
        <v>8210201.0</v>
      </c>
    </row>
    <row r="754">
      <c r="A754" s="17">
        <v>8210202.0</v>
      </c>
      <c r="B754" s="17">
        <v>401010.0</v>
      </c>
      <c r="C754" s="17">
        <v>8210200.0</v>
      </c>
      <c r="D754" s="17">
        <v>8210202.0</v>
      </c>
    </row>
    <row r="755">
      <c r="A755" s="17">
        <v>8210300.0</v>
      </c>
      <c r="B755" s="17">
        <v>401010.0</v>
      </c>
      <c r="C755" s="17">
        <v>8210300.0</v>
      </c>
      <c r="D755" s="17">
        <v>8210300.0</v>
      </c>
    </row>
    <row r="756">
      <c r="A756" s="17">
        <v>8210301.0</v>
      </c>
      <c r="B756" s="17">
        <v>401010.0</v>
      </c>
      <c r="C756" s="17">
        <v>8210300.0</v>
      </c>
      <c r="D756" s="17">
        <v>8210301.0</v>
      </c>
    </row>
    <row r="757">
      <c r="A757" s="17">
        <v>8210302.0</v>
      </c>
      <c r="B757" s="17">
        <v>401010.0</v>
      </c>
      <c r="C757" s="17">
        <v>8210300.0</v>
      </c>
      <c r="D757" s="17">
        <v>8210302.0</v>
      </c>
    </row>
    <row r="758">
      <c r="A758" s="17">
        <v>8210400.0</v>
      </c>
      <c r="B758" s="17">
        <v>401010.0</v>
      </c>
      <c r="C758" s="17">
        <v>8210400.0</v>
      </c>
      <c r="D758" s="17">
        <v>8210400.0</v>
      </c>
    </row>
    <row r="759">
      <c r="A759" s="17">
        <v>8210401.0</v>
      </c>
      <c r="B759" s="17">
        <v>401010.0</v>
      </c>
      <c r="C759" s="17">
        <v>8210400.0</v>
      </c>
      <c r="D759" s="17">
        <v>8210401.0</v>
      </c>
    </row>
    <row r="760">
      <c r="A760" s="17">
        <v>8210402.0</v>
      </c>
      <c r="B760" s="17">
        <v>401010.0</v>
      </c>
      <c r="C760" s="17">
        <v>8210400.0</v>
      </c>
      <c r="D760" s="17">
        <v>8210402.0</v>
      </c>
    </row>
    <row r="761">
      <c r="A761" s="17">
        <v>8210500.0</v>
      </c>
      <c r="B761" s="17">
        <v>401010.0</v>
      </c>
      <c r="C761" s="17">
        <v>8210500.0</v>
      </c>
      <c r="D761" s="17">
        <v>8210500.0</v>
      </c>
    </row>
    <row r="762">
      <c r="A762" s="17">
        <v>8210501.0</v>
      </c>
      <c r="B762" s="17">
        <v>401010.0</v>
      </c>
      <c r="C762" s="17">
        <v>8210500.0</v>
      </c>
      <c r="D762" s="17">
        <v>8210501.0</v>
      </c>
    </row>
    <row r="763">
      <c r="A763" s="17">
        <v>8210502.0</v>
      </c>
      <c r="B763" s="17">
        <v>401010.0</v>
      </c>
      <c r="C763" s="17">
        <v>8210500.0</v>
      </c>
      <c r="D763" s="17">
        <v>8210502.0</v>
      </c>
    </row>
    <row r="764">
      <c r="A764" s="17">
        <v>8210600.0</v>
      </c>
      <c r="B764" s="17">
        <v>401010.0</v>
      </c>
      <c r="C764" s="17">
        <v>8210600.0</v>
      </c>
      <c r="D764" s="17">
        <v>8210600.0</v>
      </c>
    </row>
    <row r="765">
      <c r="A765" s="17">
        <v>8210601.0</v>
      </c>
      <c r="B765" s="17">
        <v>401010.0</v>
      </c>
      <c r="C765" s="17">
        <v>8210600.0</v>
      </c>
      <c r="D765" s="17">
        <v>8210601.0</v>
      </c>
    </row>
    <row r="766">
      <c r="A766" s="17">
        <v>8210602.0</v>
      </c>
      <c r="B766" s="17">
        <v>401010.0</v>
      </c>
      <c r="C766" s="17">
        <v>8210600.0</v>
      </c>
      <c r="D766" s="17">
        <v>8210602.0</v>
      </c>
    </row>
    <row r="767">
      <c r="A767" s="17">
        <v>8210700.0</v>
      </c>
      <c r="B767" s="17">
        <v>400050.0</v>
      </c>
      <c r="C767" s="17">
        <v>8210700.0</v>
      </c>
      <c r="D767" s="17">
        <v>2200.0</v>
      </c>
    </row>
    <row r="768">
      <c r="A768" s="17">
        <v>8210701.0</v>
      </c>
      <c r="B768" s="17">
        <v>400050.0</v>
      </c>
      <c r="C768" s="17">
        <v>8210700.0</v>
      </c>
      <c r="D768" s="17">
        <v>2210.0</v>
      </c>
    </row>
    <row r="769">
      <c r="A769" s="17">
        <v>8220000.0</v>
      </c>
      <c r="B769" s="17">
        <v>-1.0</v>
      </c>
      <c r="C769" s="17">
        <v>8220000.0</v>
      </c>
      <c r="D769" s="17">
        <v>8220000.0</v>
      </c>
    </row>
    <row r="770">
      <c r="A770" s="17">
        <v>8220001.0</v>
      </c>
      <c r="B770" s="17">
        <v>-1.0</v>
      </c>
      <c r="C770" s="17">
        <v>8220000.0</v>
      </c>
      <c r="D770" s="17">
        <v>8220001.0</v>
      </c>
    </row>
    <row r="771">
      <c r="A771" s="17">
        <v>8220002.0</v>
      </c>
      <c r="B771" s="17">
        <v>-1.0</v>
      </c>
      <c r="C771" s="17">
        <v>8220000.0</v>
      </c>
      <c r="D771" s="17">
        <v>8220002.0</v>
      </c>
    </row>
    <row r="772">
      <c r="A772" s="17">
        <v>8230000.0</v>
      </c>
      <c r="B772" s="17">
        <v>-1.0</v>
      </c>
      <c r="C772" s="17">
        <v>8230000.0</v>
      </c>
      <c r="D772" s="17">
        <v>2220.0</v>
      </c>
    </row>
    <row r="773">
      <c r="A773" s="17">
        <v>8230001.0</v>
      </c>
      <c r="B773" s="17">
        <v>-1.0</v>
      </c>
      <c r="C773" s="17">
        <v>8230000.0</v>
      </c>
      <c r="D773" s="17">
        <v>2230.0</v>
      </c>
    </row>
    <row r="774">
      <c r="A774" s="17">
        <v>8300000.0</v>
      </c>
      <c r="B774" s="17">
        <v>401020.0</v>
      </c>
      <c r="C774" s="17">
        <v>8300000.0</v>
      </c>
      <c r="D774" s="17">
        <v>8300000.0</v>
      </c>
    </row>
    <row r="775">
      <c r="A775" s="17">
        <v>8300001.0</v>
      </c>
      <c r="B775" s="17">
        <v>401020.0</v>
      </c>
      <c r="C775" s="17">
        <v>8300000.0</v>
      </c>
      <c r="D775" s="17">
        <v>8300001.0</v>
      </c>
    </row>
    <row r="776">
      <c r="A776" s="17">
        <v>8300002.0</v>
      </c>
      <c r="B776" s="17">
        <v>401020.0</v>
      </c>
      <c r="C776" s="17">
        <v>8300000.0</v>
      </c>
      <c r="D776" s="17">
        <v>8300002.0</v>
      </c>
    </row>
    <row r="777">
      <c r="A777" s="17">
        <v>8310000.0</v>
      </c>
      <c r="B777" s="17">
        <v>401020.0</v>
      </c>
      <c r="C777" s="17">
        <v>8310000.0</v>
      </c>
      <c r="D777" s="17">
        <v>8310000.0</v>
      </c>
    </row>
    <row r="778">
      <c r="A778" s="17">
        <v>8310001.0</v>
      </c>
      <c r="B778" s="17">
        <v>401020.0</v>
      </c>
      <c r="C778" s="17">
        <v>8310000.0</v>
      </c>
      <c r="D778" s="17">
        <v>8310001.0</v>
      </c>
    </row>
    <row r="779">
      <c r="A779" s="17">
        <v>8310002.0</v>
      </c>
      <c r="B779" s="17">
        <v>401020.0</v>
      </c>
      <c r="C779" s="17">
        <v>8310000.0</v>
      </c>
      <c r="D779" s="17">
        <v>8310002.0</v>
      </c>
    </row>
    <row r="780">
      <c r="A780" s="17">
        <v>8320000.0</v>
      </c>
      <c r="B780" s="17">
        <v>401020.0</v>
      </c>
      <c r="C780" s="17">
        <v>8320000.0</v>
      </c>
      <c r="D780" s="17">
        <v>8320000.0</v>
      </c>
    </row>
    <row r="781">
      <c r="A781" s="17">
        <v>8320001.0</v>
      </c>
      <c r="B781" s="17">
        <v>401020.0</v>
      </c>
      <c r="C781" s="17">
        <v>8320000.0</v>
      </c>
      <c r="D781" s="17">
        <v>8320001.0</v>
      </c>
    </row>
    <row r="782">
      <c r="A782" s="17">
        <v>8320002.0</v>
      </c>
      <c r="B782" s="17">
        <v>401020.0</v>
      </c>
      <c r="C782" s="17">
        <v>8320000.0</v>
      </c>
      <c r="D782" s="17">
        <v>8320002.0</v>
      </c>
    </row>
    <row r="783">
      <c r="A783" s="17">
        <v>8320100.0</v>
      </c>
      <c r="B783" s="17">
        <v>401020.0</v>
      </c>
      <c r="C783" s="17">
        <v>8320100.0</v>
      </c>
      <c r="D783" s="17">
        <v>8320100.0</v>
      </c>
    </row>
    <row r="784">
      <c r="A784" s="17">
        <v>8320101.0</v>
      </c>
      <c r="B784" s="17">
        <v>401020.0</v>
      </c>
      <c r="C784" s="17">
        <v>8320100.0</v>
      </c>
      <c r="D784" s="17">
        <v>8320101.0</v>
      </c>
    </row>
    <row r="785">
      <c r="A785" s="17">
        <v>8320102.0</v>
      </c>
      <c r="B785" s="17">
        <v>401020.0</v>
      </c>
      <c r="C785" s="17">
        <v>8320100.0</v>
      </c>
      <c r="D785" s="17">
        <v>8320102.0</v>
      </c>
    </row>
    <row r="786">
      <c r="A786" s="17">
        <v>8320300.0</v>
      </c>
      <c r="B786" s="17">
        <v>401020.0</v>
      </c>
      <c r="C786" s="17">
        <v>8320300.0</v>
      </c>
      <c r="D786" s="17">
        <v>8320300.0</v>
      </c>
    </row>
    <row r="787">
      <c r="A787" s="17">
        <v>8320301.0</v>
      </c>
      <c r="B787" s="17">
        <v>401020.0</v>
      </c>
      <c r="C787" s="17">
        <v>8320300.0</v>
      </c>
      <c r="D787" s="17">
        <v>8320301.0</v>
      </c>
    </row>
    <row r="788">
      <c r="A788" s="17">
        <v>8320302.0</v>
      </c>
      <c r="B788" s="17">
        <v>401020.0</v>
      </c>
      <c r="C788" s="17">
        <v>8320300.0</v>
      </c>
      <c r="D788" s="17">
        <v>8320302.0</v>
      </c>
    </row>
    <row r="789">
      <c r="A789" s="17">
        <v>8320400.0</v>
      </c>
      <c r="B789" s="17">
        <v>401020.0</v>
      </c>
      <c r="C789" s="17">
        <v>8320400.0</v>
      </c>
      <c r="D789" s="17">
        <v>8320400.0</v>
      </c>
    </row>
    <row r="790">
      <c r="A790" s="17">
        <v>8320410.0</v>
      </c>
      <c r="B790" s="17">
        <v>401020.0</v>
      </c>
      <c r="C790" s="17">
        <v>8320400.0</v>
      </c>
      <c r="D790" s="17">
        <v>8320410.0</v>
      </c>
    </row>
    <row r="791">
      <c r="A791" s="17">
        <v>8320420.0</v>
      </c>
      <c r="B791" s="17">
        <v>401020.0</v>
      </c>
      <c r="C791" s="17">
        <v>8320400.0</v>
      </c>
      <c r="D791" s="17">
        <v>8320420.0</v>
      </c>
    </row>
    <row r="792">
      <c r="A792" s="17">
        <v>8320500.0</v>
      </c>
      <c r="B792" s="17">
        <v>401020.0</v>
      </c>
      <c r="C792" s="17">
        <v>8320500.0</v>
      </c>
      <c r="D792" s="17">
        <v>8320500.0</v>
      </c>
    </row>
    <row r="793">
      <c r="A793" s="17">
        <v>8320510.0</v>
      </c>
      <c r="B793" s="17">
        <v>401020.0</v>
      </c>
      <c r="C793" s="17">
        <v>8320500.0</v>
      </c>
      <c r="D793" s="17">
        <v>8320510.0</v>
      </c>
    </row>
    <row r="794">
      <c r="A794" s="17">
        <v>8320520.0</v>
      </c>
      <c r="B794" s="17">
        <v>401020.0</v>
      </c>
      <c r="C794" s="17">
        <v>8320500.0</v>
      </c>
      <c r="D794" s="17">
        <v>8320520.0</v>
      </c>
    </row>
    <row r="795">
      <c r="A795" s="17">
        <v>8320600.0</v>
      </c>
      <c r="B795" s="17">
        <v>401020.0</v>
      </c>
      <c r="C795" s="17">
        <v>8320600.0</v>
      </c>
      <c r="D795" s="17">
        <v>8320600.0</v>
      </c>
    </row>
    <row r="796">
      <c r="A796" s="17">
        <v>8320610.0</v>
      </c>
      <c r="B796" s="17">
        <v>401020.0</v>
      </c>
      <c r="C796" s="17">
        <v>8320600.0</v>
      </c>
      <c r="D796" s="17">
        <v>8320610.0</v>
      </c>
    </row>
    <row r="797">
      <c r="A797" s="17">
        <v>8320620.0</v>
      </c>
      <c r="B797" s="17">
        <v>401020.0</v>
      </c>
      <c r="C797" s="17">
        <v>8320600.0</v>
      </c>
      <c r="D797" s="17">
        <v>8320620.0</v>
      </c>
    </row>
    <row r="798">
      <c r="A798" s="17">
        <v>8320700.0</v>
      </c>
      <c r="B798" s="17">
        <v>401020.0</v>
      </c>
      <c r="C798" s="17">
        <v>8320700.0</v>
      </c>
      <c r="D798" s="17">
        <v>8320700.0</v>
      </c>
    </row>
    <row r="799">
      <c r="A799" s="17">
        <v>8320710.0</v>
      </c>
      <c r="B799" s="17">
        <v>401020.0</v>
      </c>
      <c r="C799" s="17">
        <v>8320700.0</v>
      </c>
      <c r="D799" s="17">
        <v>8320710.0</v>
      </c>
    </row>
    <row r="800">
      <c r="A800" s="17">
        <v>8320720.0</v>
      </c>
      <c r="B800" s="17">
        <v>401020.0</v>
      </c>
      <c r="C800" s="17">
        <v>8320700.0</v>
      </c>
      <c r="D800" s="17">
        <v>8320720.0</v>
      </c>
    </row>
    <row r="801">
      <c r="A801" s="17">
        <v>8330000.0</v>
      </c>
      <c r="B801" s="17">
        <v>401020.0</v>
      </c>
      <c r="C801" s="17">
        <v>8330000.0</v>
      </c>
      <c r="D801" s="17">
        <v>8330000.0</v>
      </c>
    </row>
    <row r="802">
      <c r="A802" s="17">
        <v>8330001.0</v>
      </c>
      <c r="B802" s="17">
        <v>401020.0</v>
      </c>
      <c r="C802" s="17">
        <v>8330000.0</v>
      </c>
      <c r="D802" s="17">
        <v>8330001.0</v>
      </c>
    </row>
    <row r="803">
      <c r="A803" s="17">
        <v>8330002.0</v>
      </c>
      <c r="B803" s="17">
        <v>401020.0</v>
      </c>
      <c r="C803" s="17">
        <v>8330000.0</v>
      </c>
      <c r="D803" s="17">
        <v>8330002.0</v>
      </c>
    </row>
    <row r="804">
      <c r="A804" s="17">
        <v>8330100.0</v>
      </c>
      <c r="B804" s="17">
        <v>401020.0</v>
      </c>
      <c r="C804" s="17">
        <v>8330100.0</v>
      </c>
      <c r="D804" s="17">
        <v>8330100.0</v>
      </c>
    </row>
    <row r="805">
      <c r="A805" s="17">
        <v>8330101.0</v>
      </c>
      <c r="B805" s="17">
        <v>401020.0</v>
      </c>
      <c r="C805" s="17">
        <v>8330100.0</v>
      </c>
      <c r="D805" s="17">
        <v>8330101.0</v>
      </c>
    </row>
    <row r="806">
      <c r="A806" s="17">
        <v>8330102.0</v>
      </c>
      <c r="B806" s="17">
        <v>401020.0</v>
      </c>
      <c r="C806" s="17">
        <v>8330100.0</v>
      </c>
      <c r="D806" s="17">
        <v>8330102.0</v>
      </c>
    </row>
    <row r="807">
      <c r="A807" s="17">
        <v>8330103.0</v>
      </c>
      <c r="B807" s="17">
        <v>401020.0</v>
      </c>
      <c r="C807" s="17">
        <v>8330103.0</v>
      </c>
      <c r="D807" s="17">
        <v>2240.0</v>
      </c>
    </row>
    <row r="808">
      <c r="A808" s="17">
        <v>8330104.0</v>
      </c>
      <c r="B808" s="17">
        <v>401020.0</v>
      </c>
      <c r="C808" s="17">
        <v>8330104.0</v>
      </c>
      <c r="D808" s="17">
        <v>2250.0</v>
      </c>
    </row>
    <row r="809">
      <c r="A809" s="17">
        <v>8330200.0</v>
      </c>
      <c r="B809" s="17">
        <v>401020.0</v>
      </c>
      <c r="C809" s="17">
        <v>8330200.0</v>
      </c>
      <c r="D809" s="17">
        <v>8330200.0</v>
      </c>
    </row>
    <row r="810">
      <c r="A810" s="17">
        <v>8330201.0</v>
      </c>
      <c r="B810" s="17">
        <v>401020.0</v>
      </c>
      <c r="C810" s="17">
        <v>8330200.0</v>
      </c>
      <c r="D810" s="17">
        <v>8330201.0</v>
      </c>
    </row>
    <row r="811">
      <c r="A811" s="17">
        <v>8330202.0</v>
      </c>
      <c r="B811" s="17">
        <v>401020.0</v>
      </c>
      <c r="C811" s="17">
        <v>8330200.0</v>
      </c>
      <c r="D811" s="17">
        <v>8330202.0</v>
      </c>
    </row>
    <row r="812">
      <c r="A812" s="17">
        <v>8330300.0</v>
      </c>
      <c r="B812" s="17">
        <v>401020.0</v>
      </c>
      <c r="C812" s="17">
        <v>8330300.0</v>
      </c>
      <c r="D812" s="17">
        <v>8330300.0</v>
      </c>
    </row>
    <row r="813">
      <c r="A813" s="17">
        <v>8330301.0</v>
      </c>
      <c r="B813" s="17">
        <v>401020.0</v>
      </c>
      <c r="C813" s="17">
        <v>8330300.0</v>
      </c>
      <c r="D813" s="17">
        <v>8330301.0</v>
      </c>
    </row>
    <row r="814">
      <c r="A814" s="17">
        <v>8330302.0</v>
      </c>
      <c r="B814" s="17">
        <v>401020.0</v>
      </c>
      <c r="C814" s="17">
        <v>8330300.0</v>
      </c>
      <c r="D814" s="17">
        <v>8330302.0</v>
      </c>
    </row>
    <row r="815">
      <c r="A815" s="17">
        <v>8330400.0</v>
      </c>
      <c r="B815" s="17">
        <v>401020.0</v>
      </c>
      <c r="C815" s="17">
        <v>8330400.0</v>
      </c>
      <c r="D815" s="17">
        <v>8330400.0</v>
      </c>
    </row>
    <row r="816">
      <c r="A816" s="17">
        <v>8330401.0</v>
      </c>
      <c r="B816" s="17">
        <v>401020.0</v>
      </c>
      <c r="C816" s="17">
        <v>8330400.0</v>
      </c>
      <c r="D816" s="17">
        <v>8330401.0</v>
      </c>
    </row>
    <row r="817">
      <c r="A817" s="17">
        <v>8330500.0</v>
      </c>
      <c r="B817" s="17">
        <v>401020.0</v>
      </c>
      <c r="C817" s="17">
        <v>8330500.0</v>
      </c>
      <c r="D817" s="17">
        <v>2260.0</v>
      </c>
    </row>
    <row r="818">
      <c r="A818" s="17">
        <v>8330600.0</v>
      </c>
      <c r="B818" s="17">
        <v>401020.0</v>
      </c>
      <c r="C818" s="17">
        <v>8330600.0</v>
      </c>
      <c r="D818" s="17">
        <v>8330600.0</v>
      </c>
    </row>
    <row r="819">
      <c r="A819" s="17">
        <v>8330601.0</v>
      </c>
      <c r="B819" s="17">
        <v>401020.0</v>
      </c>
      <c r="C819" s="17">
        <v>8330600.0</v>
      </c>
      <c r="D819" s="17">
        <v>8330601.0</v>
      </c>
    </row>
    <row r="820">
      <c r="A820" s="17">
        <v>8330602.0</v>
      </c>
      <c r="B820" s="17">
        <v>401020.0</v>
      </c>
      <c r="C820" s="17">
        <v>8330600.0</v>
      </c>
      <c r="D820" s="17">
        <v>8330602.0</v>
      </c>
    </row>
    <row r="821">
      <c r="A821" s="17">
        <v>8330700.0</v>
      </c>
      <c r="B821" s="17">
        <v>401020.0</v>
      </c>
      <c r="C821" s="17">
        <v>8330700.0</v>
      </c>
      <c r="D821" s="17">
        <v>2270.0</v>
      </c>
    </row>
    <row r="822">
      <c r="A822" s="17">
        <v>8330900.0</v>
      </c>
      <c r="B822" s="17">
        <v>401020.0</v>
      </c>
      <c r="C822" s="17">
        <v>8330900.0</v>
      </c>
      <c r="D822" s="17">
        <v>8330900.0</v>
      </c>
    </row>
    <row r="823">
      <c r="A823" s="17">
        <v>8330910.0</v>
      </c>
      <c r="B823" s="17">
        <v>401020.0</v>
      </c>
      <c r="C823" s="17">
        <v>8330900.0</v>
      </c>
      <c r="D823" s="17">
        <v>8330910.0</v>
      </c>
    </row>
    <row r="824">
      <c r="A824" s="17">
        <v>8330920.0</v>
      </c>
      <c r="B824" s="17">
        <v>401020.0</v>
      </c>
      <c r="C824" s="17">
        <v>8330900.0</v>
      </c>
      <c r="D824" s="17">
        <v>8330920.0</v>
      </c>
    </row>
    <row r="825">
      <c r="A825" s="17">
        <v>8340000.0</v>
      </c>
      <c r="B825" s="17">
        <v>401020.0</v>
      </c>
      <c r="C825" s="17">
        <v>8340000.0</v>
      </c>
      <c r="D825" s="17">
        <v>8340000.0</v>
      </c>
    </row>
    <row r="826">
      <c r="A826" s="17">
        <v>8340001.0</v>
      </c>
      <c r="B826" s="17">
        <v>401020.0</v>
      </c>
      <c r="C826" s="17">
        <v>8340000.0</v>
      </c>
      <c r="D826" s="17">
        <v>8340001.0</v>
      </c>
    </row>
    <row r="827">
      <c r="A827" s="17">
        <v>8340002.0</v>
      </c>
      <c r="B827" s="17">
        <v>401020.0</v>
      </c>
      <c r="C827" s="17">
        <v>8340000.0</v>
      </c>
      <c r="D827" s="17">
        <v>8340002.0</v>
      </c>
    </row>
    <row r="828">
      <c r="A828" s="17">
        <v>8340100.0</v>
      </c>
      <c r="B828" s="17">
        <v>401020.0</v>
      </c>
      <c r="C828" s="17">
        <v>8340100.0</v>
      </c>
      <c r="D828" s="17">
        <v>8340100.0</v>
      </c>
    </row>
    <row r="829">
      <c r="A829" s="17">
        <v>8340101.0</v>
      </c>
      <c r="B829" s="17">
        <v>401020.0</v>
      </c>
      <c r="C829" s="17">
        <v>8340100.0</v>
      </c>
      <c r="D829" s="17">
        <v>8340101.0</v>
      </c>
    </row>
    <row r="830">
      <c r="A830" s="17">
        <v>8340102.0</v>
      </c>
      <c r="B830" s="17">
        <v>401020.0</v>
      </c>
      <c r="C830" s="17">
        <v>8340100.0</v>
      </c>
      <c r="D830" s="17">
        <v>8340102.0</v>
      </c>
    </row>
    <row r="831">
      <c r="A831" s="17">
        <v>8350000.0</v>
      </c>
      <c r="B831" s="17">
        <v>401020.0</v>
      </c>
      <c r="C831" s="17">
        <v>8350000.0</v>
      </c>
      <c r="D831" s="17">
        <v>8350000.0</v>
      </c>
    </row>
    <row r="832">
      <c r="A832" s="17">
        <v>8350001.0</v>
      </c>
      <c r="B832" s="17">
        <v>401020.0</v>
      </c>
      <c r="C832" s="17">
        <v>8350000.0</v>
      </c>
      <c r="D832" s="17">
        <v>8350001.0</v>
      </c>
    </row>
    <row r="833">
      <c r="A833" s="17">
        <v>8350002.0</v>
      </c>
      <c r="B833" s="17">
        <v>401020.0</v>
      </c>
      <c r="C833" s="17">
        <v>8350000.0</v>
      </c>
      <c r="D833" s="17">
        <v>8350002.0</v>
      </c>
    </row>
    <row r="834">
      <c r="A834" s="17">
        <v>8350200.0</v>
      </c>
      <c r="B834" s="17">
        <v>401020.0</v>
      </c>
      <c r="C834" s="17">
        <v>8350200.0</v>
      </c>
      <c r="D834" s="17">
        <v>8350200.0</v>
      </c>
    </row>
    <row r="835">
      <c r="A835" s="17">
        <v>8350201.0</v>
      </c>
      <c r="B835" s="17">
        <v>401020.0</v>
      </c>
      <c r="C835" s="17">
        <v>8350200.0</v>
      </c>
      <c r="D835" s="17">
        <v>8350201.0</v>
      </c>
    </row>
    <row r="836">
      <c r="A836" s="17">
        <v>8350202.0</v>
      </c>
      <c r="B836" s="17">
        <v>401020.0</v>
      </c>
      <c r="C836" s="17">
        <v>8350200.0</v>
      </c>
      <c r="D836" s="17">
        <v>8350202.0</v>
      </c>
    </row>
    <row r="837">
      <c r="A837" s="17">
        <v>8350400.0</v>
      </c>
      <c r="B837" s="17">
        <v>401020.0</v>
      </c>
      <c r="C837" s="17">
        <v>8350400.0</v>
      </c>
      <c r="D837" s="17">
        <v>2280.0</v>
      </c>
    </row>
    <row r="838">
      <c r="A838" s="17">
        <v>8360000.0</v>
      </c>
      <c r="B838" s="17">
        <v>-1.0</v>
      </c>
      <c r="C838" s="17">
        <v>8360000.0</v>
      </c>
      <c r="D838" s="17">
        <v>2290.0</v>
      </c>
    </row>
    <row r="839">
      <c r="A839" s="17">
        <v>8370000.0</v>
      </c>
      <c r="B839" s="17">
        <v>-1.0</v>
      </c>
      <c r="C839" s="17">
        <v>8370000.0</v>
      </c>
      <c r="D839" s="17">
        <v>2300.0</v>
      </c>
    </row>
    <row r="840">
      <c r="A840" s="17">
        <v>8410000.0</v>
      </c>
      <c r="B840" s="17">
        <v>8410000.0</v>
      </c>
      <c r="C840" s="17">
        <v>8410000.0</v>
      </c>
      <c r="D840" s="17">
        <v>2310.0</v>
      </c>
    </row>
    <row r="841">
      <c r="A841" s="17">
        <v>8410100.0</v>
      </c>
      <c r="B841" s="17">
        <v>401030.0</v>
      </c>
      <c r="C841" s="17">
        <v>8410100.0</v>
      </c>
      <c r="D841" s="17">
        <v>2320.0</v>
      </c>
    </row>
    <row r="842">
      <c r="A842" s="17">
        <v>8420000.0</v>
      </c>
      <c r="B842" s="17">
        <v>401020.0</v>
      </c>
      <c r="C842" s="17">
        <v>8420000.0</v>
      </c>
      <c r="D842" s="17">
        <v>8420000.0</v>
      </c>
    </row>
    <row r="843">
      <c r="A843" s="17">
        <v>8420001.0</v>
      </c>
      <c r="B843" s="17">
        <v>401020.0</v>
      </c>
      <c r="C843" s="17">
        <v>8420000.0</v>
      </c>
      <c r="D843" s="17">
        <v>8420001.0</v>
      </c>
    </row>
    <row r="844">
      <c r="A844" s="17">
        <v>8420002.0</v>
      </c>
      <c r="B844" s="17">
        <v>401020.0</v>
      </c>
      <c r="C844" s="17">
        <v>8420000.0</v>
      </c>
      <c r="D844" s="17">
        <v>8420002.0</v>
      </c>
    </row>
    <row r="845">
      <c r="A845" s="17">
        <v>8420100.0</v>
      </c>
      <c r="B845" s="17">
        <v>401020.0</v>
      </c>
      <c r="C845" s="17">
        <v>8420100.0</v>
      </c>
      <c r="D845" s="17">
        <v>2330.0</v>
      </c>
    </row>
    <row r="846">
      <c r="A846" s="17">
        <v>8420200.0</v>
      </c>
      <c r="B846" s="17">
        <v>401020.0</v>
      </c>
      <c r="C846" s="17">
        <v>8420200.0</v>
      </c>
      <c r="D846" s="17">
        <v>2340.0</v>
      </c>
    </row>
    <row r="847">
      <c r="A847" s="17">
        <v>8430000.0</v>
      </c>
      <c r="B847" s="17">
        <v>401020.0</v>
      </c>
      <c r="C847" s="17">
        <v>8430000.0</v>
      </c>
      <c r="D847" s="17">
        <v>2350.0</v>
      </c>
    </row>
    <row r="848">
      <c r="A848" s="17">
        <v>8440000.0</v>
      </c>
      <c r="B848" s="17">
        <v>400060.0</v>
      </c>
      <c r="C848" s="17">
        <v>8440000.0</v>
      </c>
      <c r="D848" s="17">
        <v>2360.0</v>
      </c>
    </row>
    <row r="849">
      <c r="A849" s="17">
        <v>8440001.0</v>
      </c>
      <c r="B849" s="17">
        <v>400060.0</v>
      </c>
      <c r="C849" s="17">
        <v>8440000.0</v>
      </c>
      <c r="D849" s="17">
        <v>2370.0</v>
      </c>
    </row>
    <row r="850">
      <c r="A850" s="17">
        <v>8440200.0</v>
      </c>
      <c r="B850" s="17">
        <v>8440200.0</v>
      </c>
      <c r="C850" s="17">
        <v>8440200.0</v>
      </c>
      <c r="D850" s="17">
        <v>2380.0</v>
      </c>
    </row>
    <row r="851">
      <c r="A851" s="17">
        <v>8450000.0</v>
      </c>
      <c r="B851" s="17">
        <v>401030.0</v>
      </c>
      <c r="C851" s="17">
        <v>8450000.0</v>
      </c>
      <c r="D851" s="17">
        <v>8450000.0</v>
      </c>
    </row>
    <row r="852">
      <c r="A852" s="17">
        <v>8450100.0</v>
      </c>
      <c r="B852" s="17">
        <v>401030.0</v>
      </c>
      <c r="C852" s="17">
        <v>8450100.0</v>
      </c>
      <c r="D852" s="17">
        <v>2390.0</v>
      </c>
    </row>
    <row r="853">
      <c r="A853" s="17">
        <v>8460100.0</v>
      </c>
      <c r="B853" s="17">
        <v>401030.0</v>
      </c>
      <c r="C853" s="17">
        <v>8460100.0</v>
      </c>
      <c r="D853" s="17">
        <v>8460100.0</v>
      </c>
    </row>
    <row r="854">
      <c r="A854" s="17">
        <v>8460200.0</v>
      </c>
      <c r="B854" s="17">
        <v>401030.0</v>
      </c>
      <c r="C854" s="17">
        <v>8460200.0</v>
      </c>
      <c r="D854" s="17">
        <v>2400.0</v>
      </c>
    </row>
    <row r="855">
      <c r="A855" s="17">
        <v>8460300.0</v>
      </c>
      <c r="B855" s="17">
        <v>401030.0</v>
      </c>
      <c r="C855" s="17">
        <v>8460300.0</v>
      </c>
      <c r="D855" s="17">
        <v>8460300.0</v>
      </c>
    </row>
    <row r="856">
      <c r="A856" s="17">
        <v>8460400.0</v>
      </c>
      <c r="B856" s="17">
        <v>401030.0</v>
      </c>
      <c r="C856" s="17">
        <v>8460400.0</v>
      </c>
      <c r="D856" s="17">
        <v>2410.0</v>
      </c>
    </row>
    <row r="857">
      <c r="A857" s="17">
        <v>8460500.0</v>
      </c>
      <c r="B857" s="17">
        <v>401030.0</v>
      </c>
      <c r="C857" s="17">
        <v>8460500.0</v>
      </c>
      <c r="D857" s="17">
        <v>8460500.0</v>
      </c>
    </row>
    <row r="858">
      <c r="A858" s="17">
        <v>8500000.0</v>
      </c>
      <c r="B858" s="17">
        <v>-1.0</v>
      </c>
      <c r="C858" s="17">
        <v>8500000.0</v>
      </c>
      <c r="D858" s="17">
        <v>2420.0</v>
      </c>
    </row>
    <row r="859">
      <c r="A859" s="17">
        <v>8500100.0</v>
      </c>
      <c r="B859" s="17">
        <v>-1.0</v>
      </c>
      <c r="C859" s="17">
        <v>8500100.0</v>
      </c>
      <c r="D859" s="17">
        <v>2430.0</v>
      </c>
    </row>
    <row r="860">
      <c r="A860" s="17">
        <v>8500101.0</v>
      </c>
      <c r="B860" s="17">
        <v>-1.0</v>
      </c>
      <c r="C860" s="17">
        <v>8500101.0</v>
      </c>
      <c r="D860" s="17">
        <v>2440.0</v>
      </c>
    </row>
    <row r="861">
      <c r="A861" s="17">
        <v>8500102.0</v>
      </c>
      <c r="B861" s="17">
        <v>-1.0</v>
      </c>
      <c r="C861" s="17">
        <v>8500102.0</v>
      </c>
      <c r="D861" s="17">
        <v>2450.0</v>
      </c>
    </row>
    <row r="862">
      <c r="A862" s="17">
        <v>8510000.0</v>
      </c>
      <c r="B862" s="17">
        <v>-1.0</v>
      </c>
      <c r="C862" s="17">
        <v>8510000.0</v>
      </c>
      <c r="D862" s="17">
        <v>8510000.0</v>
      </c>
    </row>
    <row r="863">
      <c r="A863" s="17">
        <v>8510001.0</v>
      </c>
      <c r="B863" s="17">
        <v>-1.0</v>
      </c>
      <c r="C863" s="17">
        <v>8510000.0</v>
      </c>
      <c r="D863" s="17">
        <v>8510001.0</v>
      </c>
    </row>
    <row r="864">
      <c r="A864" s="17">
        <v>8510002.0</v>
      </c>
      <c r="B864" s="17">
        <v>-1.0</v>
      </c>
      <c r="C864" s="17">
        <v>8510000.0</v>
      </c>
      <c r="D864" s="17">
        <v>8510002.0</v>
      </c>
    </row>
    <row r="865">
      <c r="A865" s="17">
        <v>8520000.0</v>
      </c>
      <c r="B865" s="17">
        <v>-1.0</v>
      </c>
      <c r="C865" s="17">
        <v>8520000.0</v>
      </c>
      <c r="D865" s="17">
        <v>8520000.0</v>
      </c>
    </row>
    <row r="866">
      <c r="A866" s="17">
        <v>8520001.0</v>
      </c>
      <c r="B866" s="17">
        <v>-1.0</v>
      </c>
      <c r="C866" s="17">
        <v>8520000.0</v>
      </c>
      <c r="D866" s="17">
        <v>8520001.0</v>
      </c>
    </row>
    <row r="867">
      <c r="A867" s="17">
        <v>8520002.0</v>
      </c>
      <c r="B867" s="17">
        <v>-1.0</v>
      </c>
      <c r="C867" s="17">
        <v>8520000.0</v>
      </c>
      <c r="D867" s="17">
        <v>8520002.0</v>
      </c>
    </row>
    <row r="868">
      <c r="A868" s="17">
        <v>8530000.0</v>
      </c>
      <c r="B868" s="17">
        <v>401030.0</v>
      </c>
      <c r="C868" s="17">
        <v>8530000.0</v>
      </c>
      <c r="D868" s="17">
        <v>8530000.0</v>
      </c>
    </row>
    <row r="869">
      <c r="A869" s="17">
        <v>8530100.0</v>
      </c>
      <c r="B869" s="17">
        <v>401030.0</v>
      </c>
      <c r="C869" s="17">
        <v>8530100.0</v>
      </c>
      <c r="D869" s="17">
        <v>8530100.0</v>
      </c>
    </row>
    <row r="870">
      <c r="A870" s="17">
        <v>8530200.0</v>
      </c>
      <c r="B870" s="17">
        <v>401030.0</v>
      </c>
      <c r="C870" s="17">
        <v>8530200.0</v>
      </c>
      <c r="D870" s="17">
        <v>2460.0</v>
      </c>
    </row>
    <row r="871">
      <c r="A871" s="17">
        <v>8540000.0</v>
      </c>
      <c r="B871" s="17">
        <v>401050.0</v>
      </c>
      <c r="C871" s="17">
        <v>8540000.0</v>
      </c>
      <c r="D871" s="17">
        <v>8540000.0</v>
      </c>
    </row>
    <row r="872">
      <c r="A872" s="17">
        <v>8600100.0</v>
      </c>
      <c r="B872" s="17">
        <v>-1.0</v>
      </c>
      <c r="C872" s="17">
        <v>8600100.0</v>
      </c>
      <c r="D872" s="17">
        <v>8600100.0</v>
      </c>
    </row>
    <row r="873">
      <c r="A873" s="17">
        <v>8600101.0</v>
      </c>
      <c r="B873" s="17">
        <v>-1.0</v>
      </c>
      <c r="C873" s="17">
        <v>8600100.0</v>
      </c>
      <c r="D873" s="17">
        <v>8600101.0</v>
      </c>
    </row>
    <row r="874">
      <c r="A874" s="17">
        <v>8600102.0</v>
      </c>
      <c r="B874" s="17">
        <v>-1.0</v>
      </c>
      <c r="C874" s="17">
        <v>8600100.0</v>
      </c>
      <c r="D874" s="17">
        <v>8600102.0</v>
      </c>
    </row>
    <row r="875">
      <c r="A875" s="17">
        <v>8600200.0</v>
      </c>
      <c r="B875" s="17">
        <v>-1.0</v>
      </c>
      <c r="C875" s="17">
        <v>8600200.0</v>
      </c>
      <c r="D875" s="17">
        <v>8600200.0</v>
      </c>
    </row>
    <row r="876">
      <c r="A876" s="17">
        <v>8600201.0</v>
      </c>
      <c r="B876" s="17">
        <v>-1.0</v>
      </c>
      <c r="C876" s="17">
        <v>8600200.0</v>
      </c>
      <c r="D876" s="17">
        <v>8600201.0</v>
      </c>
    </row>
    <row r="877">
      <c r="A877" s="17">
        <v>8600202.0</v>
      </c>
      <c r="B877" s="17">
        <v>-1.0</v>
      </c>
      <c r="C877" s="17">
        <v>8600200.0</v>
      </c>
      <c r="D877" s="17">
        <v>8600202.0</v>
      </c>
    </row>
    <row r="878">
      <c r="A878" s="17">
        <v>8600300.0</v>
      </c>
      <c r="B878" s="17">
        <v>8600300.0</v>
      </c>
      <c r="C878" s="17">
        <v>8600300.0</v>
      </c>
      <c r="D878" s="17">
        <v>2470.0</v>
      </c>
    </row>
    <row r="879">
      <c r="A879" s="17">
        <v>8610000.0</v>
      </c>
      <c r="B879" s="17">
        <v>-1.0</v>
      </c>
      <c r="C879" s="17">
        <v>8610000.0</v>
      </c>
      <c r="D879" s="17">
        <v>2480.0</v>
      </c>
    </row>
    <row r="880">
      <c r="A880" s="17">
        <v>8610100.0</v>
      </c>
      <c r="B880" s="17">
        <v>-1.0</v>
      </c>
      <c r="C880" s="17">
        <v>8610100.0</v>
      </c>
      <c r="D880" s="17">
        <v>2490.0</v>
      </c>
    </row>
    <row r="881">
      <c r="A881" s="17">
        <v>8610300.0</v>
      </c>
      <c r="B881" s="17">
        <v>401020.0</v>
      </c>
      <c r="C881" s="17">
        <v>8610300.0</v>
      </c>
      <c r="D881" s="17">
        <v>8610300.0</v>
      </c>
    </row>
    <row r="882">
      <c r="A882" s="17">
        <v>8610400.0</v>
      </c>
      <c r="B882" s="17">
        <v>401020.0</v>
      </c>
      <c r="C882" s="17">
        <v>8610400.0</v>
      </c>
      <c r="D882" s="17">
        <v>8610400.0</v>
      </c>
    </row>
    <row r="883">
      <c r="A883" s="17">
        <v>8610500.0</v>
      </c>
      <c r="B883" s="17">
        <v>401020.0</v>
      </c>
      <c r="C883" s="17">
        <v>8610500.0</v>
      </c>
      <c r="D883" s="17">
        <v>8610500.0</v>
      </c>
    </row>
    <row r="884">
      <c r="A884" s="17">
        <v>8610600.0</v>
      </c>
      <c r="B884" s="17">
        <v>401020.0</v>
      </c>
      <c r="C884" s="17">
        <v>8610600.0</v>
      </c>
      <c r="D884" s="17">
        <v>8610600.0</v>
      </c>
    </row>
    <row r="885">
      <c r="A885" s="17">
        <v>8610700.0</v>
      </c>
      <c r="B885" s="17">
        <v>8610700.0</v>
      </c>
      <c r="C885" s="17">
        <v>8610700.0</v>
      </c>
      <c r="D885" s="17">
        <v>8610700.0</v>
      </c>
    </row>
    <row r="886">
      <c r="A886" s="17">
        <v>8610710.0</v>
      </c>
      <c r="B886" s="17">
        <v>8610700.0</v>
      </c>
      <c r="C886" s="17">
        <v>8610700.0</v>
      </c>
      <c r="D886" s="17">
        <v>8610710.0</v>
      </c>
    </row>
    <row r="887">
      <c r="A887" s="17">
        <v>8610720.0</v>
      </c>
      <c r="B887" s="17">
        <v>8610700.0</v>
      </c>
      <c r="C887" s="17">
        <v>8610700.0</v>
      </c>
      <c r="D887" s="17">
        <v>8610720.0</v>
      </c>
    </row>
    <row r="888">
      <c r="A888" s="17">
        <v>8620000.0</v>
      </c>
      <c r="B888" s="17">
        <v>8620000.0</v>
      </c>
      <c r="C888" s="17">
        <v>8620000.0</v>
      </c>
      <c r="D888" s="17">
        <v>8620000.0</v>
      </c>
    </row>
    <row r="889">
      <c r="A889" s="17">
        <v>8620010.0</v>
      </c>
      <c r="B889" s="17">
        <v>8620000.0</v>
      </c>
      <c r="C889" s="17">
        <v>8620000.0</v>
      </c>
      <c r="D889" s="17">
        <v>8620010.0</v>
      </c>
    </row>
    <row r="890">
      <c r="A890" s="17">
        <v>8620020.0</v>
      </c>
      <c r="B890" s="17">
        <v>8620000.0</v>
      </c>
      <c r="C890" s="17">
        <v>8620000.0</v>
      </c>
      <c r="D890" s="17">
        <v>8620020.0</v>
      </c>
    </row>
    <row r="891">
      <c r="A891" s="17">
        <v>8620100.0</v>
      </c>
      <c r="B891" s="17">
        <v>8620100.0</v>
      </c>
      <c r="C891" s="17">
        <v>8620100.0</v>
      </c>
      <c r="D891" s="17">
        <v>8620100.0</v>
      </c>
    </row>
    <row r="892">
      <c r="A892" s="17">
        <v>8620110.0</v>
      </c>
      <c r="B892" s="17">
        <v>8620100.0</v>
      </c>
      <c r="C892" s="17">
        <v>8620100.0</v>
      </c>
      <c r="D892" s="17">
        <v>8620110.0</v>
      </c>
    </row>
    <row r="893">
      <c r="A893" s="17">
        <v>8620120.0</v>
      </c>
      <c r="B893" s="17">
        <v>8620100.0</v>
      </c>
      <c r="C893" s="17">
        <v>8620100.0</v>
      </c>
      <c r="D893" s="17">
        <v>8620120.0</v>
      </c>
    </row>
    <row r="894">
      <c r="A894" s="17">
        <v>8630000.0</v>
      </c>
      <c r="B894" s="17">
        <v>-1.0</v>
      </c>
      <c r="C894" s="17">
        <v>8630000.0</v>
      </c>
      <c r="D894" s="17">
        <v>8630000.0</v>
      </c>
    </row>
    <row r="895">
      <c r="A895" s="17">
        <v>8630010.0</v>
      </c>
      <c r="B895" s="17">
        <v>-1.0</v>
      </c>
      <c r="C895" s="17">
        <v>8630000.0</v>
      </c>
      <c r="D895" s="17">
        <v>8630010.0</v>
      </c>
    </row>
    <row r="896">
      <c r="A896" s="17">
        <v>8630020.0</v>
      </c>
      <c r="B896" s="17">
        <v>-1.0</v>
      </c>
      <c r="C896" s="17">
        <v>8630000.0</v>
      </c>
      <c r="D896" s="17">
        <v>8630020.0</v>
      </c>
    </row>
    <row r="897">
      <c r="A897" s="17">
        <v>8630100.0</v>
      </c>
      <c r="B897" s="17">
        <v>-1.0</v>
      </c>
      <c r="C897" s="17">
        <v>8630100.0</v>
      </c>
      <c r="D897" s="17">
        <v>8630100.0</v>
      </c>
    </row>
    <row r="898">
      <c r="A898" s="17">
        <v>8630110.0</v>
      </c>
      <c r="B898" s="17">
        <v>-1.0</v>
      </c>
      <c r="C898" s="17">
        <v>8630100.0</v>
      </c>
      <c r="D898" s="17">
        <v>8630110.0</v>
      </c>
    </row>
    <row r="899">
      <c r="A899" s="17">
        <v>8630120.0</v>
      </c>
      <c r="B899" s="17">
        <v>-1.0</v>
      </c>
      <c r="C899" s="17">
        <v>8630100.0</v>
      </c>
      <c r="D899" s="17">
        <v>8630120.0</v>
      </c>
    </row>
    <row r="900">
      <c r="A900" s="17">
        <v>8630200.0</v>
      </c>
      <c r="B900" s="17">
        <v>8630200.0</v>
      </c>
      <c r="C900" s="17">
        <v>8630200.0</v>
      </c>
      <c r="D900" s="17">
        <v>8630200.0</v>
      </c>
    </row>
    <row r="901">
      <c r="A901" s="17">
        <v>8630300.0</v>
      </c>
      <c r="B901" s="17">
        <v>8630200.0</v>
      </c>
      <c r="C901" s="17">
        <v>8630300.0</v>
      </c>
      <c r="D901" s="17">
        <v>8630300.0</v>
      </c>
    </row>
    <row r="902">
      <c r="A902" s="17">
        <v>8630400.0</v>
      </c>
      <c r="B902" s="17">
        <v>8630200.0</v>
      </c>
      <c r="C902" s="17">
        <v>8630400.0</v>
      </c>
      <c r="D902" s="17">
        <v>8630400.0</v>
      </c>
    </row>
    <row r="903">
      <c r="A903" s="17">
        <v>8630500.0</v>
      </c>
      <c r="B903" s="17">
        <v>8630200.0</v>
      </c>
      <c r="C903" s="17">
        <v>8630500.0</v>
      </c>
      <c r="D903" s="17">
        <v>8630500.0</v>
      </c>
    </row>
    <row r="904">
      <c r="A904" s="17">
        <v>8630600.0</v>
      </c>
      <c r="B904" s="17">
        <v>8630200.0</v>
      </c>
      <c r="C904" s="17">
        <v>8630600.0</v>
      </c>
      <c r="D904" s="17">
        <v>8630600.0</v>
      </c>
    </row>
    <row r="905">
      <c r="A905" s="17">
        <v>8630700.0</v>
      </c>
      <c r="B905" s="17">
        <v>8630200.0</v>
      </c>
      <c r="C905" s="17">
        <v>8630700.0</v>
      </c>
      <c r="D905" s="17">
        <v>8630700.0</v>
      </c>
    </row>
    <row r="906">
      <c r="A906" s="17">
        <v>8630800.0</v>
      </c>
      <c r="B906" s="17">
        <v>8630200.0</v>
      </c>
      <c r="C906" s="17">
        <v>8630800.0</v>
      </c>
      <c r="D906" s="17">
        <v>8630800.0</v>
      </c>
    </row>
    <row r="907">
      <c r="A907" s="17">
        <v>8640000.0</v>
      </c>
      <c r="B907" s="17">
        <v>-1.0</v>
      </c>
      <c r="C907" s="17">
        <v>8640000.0</v>
      </c>
      <c r="D907" s="17">
        <v>2500.0</v>
      </c>
    </row>
    <row r="908">
      <c r="A908" s="17">
        <v>8640100.0</v>
      </c>
      <c r="B908" s="17">
        <v>-1.0</v>
      </c>
      <c r="C908" s="17">
        <v>8640100.0</v>
      </c>
      <c r="D908" s="17">
        <v>2510.0</v>
      </c>
    </row>
    <row r="909">
      <c r="A909" s="17">
        <v>8642000.0</v>
      </c>
      <c r="B909" s="17">
        <v>-1.0</v>
      </c>
      <c r="C909" s="17">
        <v>8640200.0</v>
      </c>
      <c r="D909" s="17">
        <v>2520.0</v>
      </c>
    </row>
    <row r="910">
      <c r="A910" s="17">
        <v>8650000.0</v>
      </c>
      <c r="B910" s="17">
        <v>-1.0</v>
      </c>
      <c r="C910" s="17">
        <v>8650000.0</v>
      </c>
      <c r="D910" s="17">
        <v>2530.0</v>
      </c>
    </row>
    <row r="911">
      <c r="A911" s="17">
        <v>8650100.0</v>
      </c>
      <c r="B911" s="17">
        <v>-1.0</v>
      </c>
      <c r="C911" s="17">
        <v>8650100.0</v>
      </c>
      <c r="D911" s="17">
        <v>2540.0</v>
      </c>
    </row>
    <row r="912">
      <c r="A912" s="17">
        <v>8652000.0</v>
      </c>
      <c r="B912" s="17">
        <v>8652000.0</v>
      </c>
      <c r="C912" s="17">
        <v>8652000.0</v>
      </c>
      <c r="D912" s="17">
        <v>8652000.0</v>
      </c>
    </row>
    <row r="913">
      <c r="A913" s="17">
        <v>8652010.0</v>
      </c>
      <c r="B913" s="17">
        <v>8652000.0</v>
      </c>
      <c r="C913" s="17">
        <v>8652000.0</v>
      </c>
      <c r="D913" s="17">
        <v>8652010.0</v>
      </c>
    </row>
    <row r="914">
      <c r="A914" s="17">
        <v>8652020.0</v>
      </c>
      <c r="B914" s="17">
        <v>8652000.0</v>
      </c>
      <c r="C914" s="17">
        <v>8652000.0</v>
      </c>
      <c r="D914" s="17">
        <v>8652020.0</v>
      </c>
    </row>
    <row r="915">
      <c r="A915" s="17">
        <v>8652100.0</v>
      </c>
      <c r="B915" s="17">
        <v>8652100.0</v>
      </c>
      <c r="C915" s="17">
        <v>8652100.0</v>
      </c>
      <c r="D915" s="17">
        <v>8652100.0</v>
      </c>
    </row>
    <row r="916">
      <c r="A916" s="17">
        <v>8652110.0</v>
      </c>
      <c r="B916" s="17">
        <v>8652100.0</v>
      </c>
      <c r="C916" s="17">
        <v>8652100.0</v>
      </c>
      <c r="D916" s="17">
        <v>8652110.0</v>
      </c>
    </row>
    <row r="917">
      <c r="A917" s="17">
        <v>8652120.0</v>
      </c>
      <c r="B917" s="17">
        <v>8652100.0</v>
      </c>
      <c r="C917" s="17">
        <v>8652100.0</v>
      </c>
      <c r="D917" s="17">
        <v>8652120.0</v>
      </c>
    </row>
    <row r="918">
      <c r="A918" s="17">
        <v>8660000.0</v>
      </c>
      <c r="B918" s="17">
        <v>-1.0</v>
      </c>
      <c r="C918" s="17">
        <v>8660000.0</v>
      </c>
      <c r="D918" s="17">
        <v>8660000.0</v>
      </c>
    </row>
    <row r="919">
      <c r="A919" s="17">
        <v>8660001.0</v>
      </c>
      <c r="B919" s="17">
        <v>-1.0</v>
      </c>
      <c r="C919" s="17">
        <v>8660000.0</v>
      </c>
      <c r="D919" s="17">
        <v>8660001.0</v>
      </c>
    </row>
    <row r="920">
      <c r="A920" s="17">
        <v>8660002.0</v>
      </c>
      <c r="B920" s="17">
        <v>-1.0</v>
      </c>
      <c r="C920" s="17">
        <v>8660000.0</v>
      </c>
      <c r="D920" s="17">
        <v>8660002.0</v>
      </c>
    </row>
    <row r="921">
      <c r="A921" s="17">
        <v>8660100.0</v>
      </c>
      <c r="B921" s="17">
        <v>-1.0</v>
      </c>
      <c r="C921" s="17">
        <v>8660101.0</v>
      </c>
      <c r="D921" s="17">
        <v>8660100.0</v>
      </c>
    </row>
    <row r="922">
      <c r="A922" s="17">
        <v>8660101.0</v>
      </c>
      <c r="B922" s="17">
        <v>-1.0</v>
      </c>
      <c r="C922" s="17">
        <v>8660101.0</v>
      </c>
      <c r="D922" s="17">
        <v>8660101.0</v>
      </c>
    </row>
    <row r="923">
      <c r="A923" s="17">
        <v>8660102.0</v>
      </c>
      <c r="B923" s="17">
        <v>-1.0</v>
      </c>
      <c r="C923" s="17">
        <v>8660101.0</v>
      </c>
      <c r="D923" s="17">
        <v>8660102.0</v>
      </c>
    </row>
    <row r="924">
      <c r="A924" s="17">
        <v>8660200.0</v>
      </c>
      <c r="B924" s="17">
        <v>8660200.0</v>
      </c>
      <c r="C924" s="17">
        <v>8660200.0</v>
      </c>
      <c r="D924" s="17">
        <v>2550.0</v>
      </c>
    </row>
    <row r="925">
      <c r="A925" s="17">
        <v>8660300.0</v>
      </c>
      <c r="B925" s="17">
        <v>8660300.0</v>
      </c>
      <c r="C925" s="17">
        <v>8660300.0</v>
      </c>
      <c r="D925" s="17">
        <v>2560.0</v>
      </c>
    </row>
    <row r="926">
      <c r="A926" s="17">
        <v>8670000.0</v>
      </c>
      <c r="B926" s="17">
        <v>-1.0</v>
      </c>
      <c r="C926" s="17">
        <v>8670000.0</v>
      </c>
      <c r="D926" s="17">
        <v>8670000.0</v>
      </c>
    </row>
    <row r="927">
      <c r="A927" s="17">
        <v>8670001.0</v>
      </c>
      <c r="B927" s="17">
        <v>-1.0</v>
      </c>
      <c r="C927" s="17">
        <v>8670000.0</v>
      </c>
      <c r="D927" s="17">
        <v>8670001.0</v>
      </c>
    </row>
    <row r="928">
      <c r="A928" s="17">
        <v>8670002.0</v>
      </c>
      <c r="B928" s="17">
        <v>-1.0</v>
      </c>
      <c r="C928" s="17">
        <v>8670000.0</v>
      </c>
      <c r="D928" s="17">
        <v>8670002.0</v>
      </c>
    </row>
    <row r="929">
      <c r="A929" s="17">
        <v>8670100.0</v>
      </c>
      <c r="B929" s="17">
        <v>-1.0</v>
      </c>
      <c r="C929" s="17">
        <v>8670101.0</v>
      </c>
      <c r="D929" s="17">
        <v>8670100.0</v>
      </c>
    </row>
    <row r="930">
      <c r="A930" s="17">
        <v>8670101.0</v>
      </c>
      <c r="B930" s="17">
        <v>-1.0</v>
      </c>
      <c r="C930" s="17">
        <v>8670101.0</v>
      </c>
      <c r="D930" s="17">
        <v>8670101.0</v>
      </c>
    </row>
    <row r="931">
      <c r="A931" s="17">
        <v>8670102.0</v>
      </c>
      <c r="B931" s="17">
        <v>-1.0</v>
      </c>
      <c r="C931" s="17">
        <v>8670101.0</v>
      </c>
      <c r="D931" s="17">
        <v>8670102.0</v>
      </c>
    </row>
    <row r="932">
      <c r="A932" s="17">
        <v>8690000.0</v>
      </c>
      <c r="B932" s="17">
        <v>401040.0</v>
      </c>
      <c r="C932" s="17">
        <v>8690000.0</v>
      </c>
      <c r="D932" s="17">
        <v>8690000.0</v>
      </c>
    </row>
    <row r="933">
      <c r="A933" s="17">
        <v>8690100.0</v>
      </c>
      <c r="B933" s="17">
        <v>401040.0</v>
      </c>
      <c r="C933" s="17">
        <v>8690100.0</v>
      </c>
      <c r="D933" s="17">
        <v>8690100.0</v>
      </c>
    </row>
    <row r="934">
      <c r="A934" s="17">
        <v>8690200.0</v>
      </c>
      <c r="B934" s="17">
        <v>401040.0</v>
      </c>
      <c r="C934" s="17">
        <v>8690200.0</v>
      </c>
      <c r="D934" s="17">
        <v>8690200.0</v>
      </c>
    </row>
    <row r="935">
      <c r="A935" s="17">
        <v>8690300.0</v>
      </c>
      <c r="B935" s="17">
        <v>401040.0</v>
      </c>
      <c r="C935" s="17">
        <v>8690300.0</v>
      </c>
      <c r="D935" s="17">
        <v>8690300.0</v>
      </c>
    </row>
    <row r="936">
      <c r="A936" s="17">
        <v>8690400.0</v>
      </c>
      <c r="B936" s="17">
        <v>401040.0</v>
      </c>
      <c r="C936" s="17">
        <v>8690400.0</v>
      </c>
      <c r="D936" s="17">
        <v>8690400.0</v>
      </c>
    </row>
    <row r="937">
      <c r="A937" s="17">
        <v>8700002.0</v>
      </c>
      <c r="B937" s="17">
        <v>401040.0</v>
      </c>
      <c r="C937" s="17">
        <v>8700000.0</v>
      </c>
      <c r="D937" s="17">
        <v>2570.0</v>
      </c>
    </row>
    <row r="938">
      <c r="A938" s="17">
        <v>8710002.0</v>
      </c>
      <c r="B938" s="17">
        <v>401040.0</v>
      </c>
      <c r="C938" s="17">
        <v>8710000.0</v>
      </c>
      <c r="D938" s="17">
        <v>2580.0</v>
      </c>
    </row>
    <row r="939">
      <c r="A939" s="17">
        <v>8760000.0</v>
      </c>
      <c r="B939" s="17">
        <v>400000.0</v>
      </c>
      <c r="C939" s="17">
        <v>8760000.0</v>
      </c>
      <c r="D939" s="17">
        <v>9.0E8</v>
      </c>
    </row>
    <row r="940">
      <c r="A940" s="17">
        <v>8760050.0</v>
      </c>
      <c r="B940" s="17">
        <v>400000.0</v>
      </c>
      <c r="C940" s="17">
        <v>8760000.0</v>
      </c>
      <c r="D940" s="17">
        <v>9.0E8</v>
      </c>
    </row>
    <row r="941">
      <c r="A941" s="17">
        <v>8760100.0</v>
      </c>
      <c r="B941" s="17">
        <v>400010.0</v>
      </c>
      <c r="C941" s="17">
        <v>8760100.0</v>
      </c>
      <c r="D941" s="17">
        <v>9.0000001E8</v>
      </c>
    </row>
    <row r="942">
      <c r="A942" s="17">
        <v>8760150.0</v>
      </c>
      <c r="B942" s="17">
        <v>400010.0</v>
      </c>
      <c r="C942" s="17">
        <v>8760100.0</v>
      </c>
      <c r="D942" s="17">
        <v>9.0000001E8</v>
      </c>
    </row>
    <row r="943">
      <c r="A943" s="17">
        <v>8760200.0</v>
      </c>
      <c r="B943" s="17">
        <v>400020.0</v>
      </c>
      <c r="C943" s="17">
        <v>8760200.0</v>
      </c>
      <c r="D943" s="17">
        <v>9.0000002E8</v>
      </c>
    </row>
    <row r="944">
      <c r="A944" s="17">
        <v>8760250.0</v>
      </c>
      <c r="B944" s="17">
        <v>400020.0</v>
      </c>
      <c r="C944" s="17">
        <v>8760200.0</v>
      </c>
      <c r="D944" s="17">
        <v>9.0000002E8</v>
      </c>
    </row>
    <row r="945">
      <c r="A945" s="17">
        <v>8761000.0</v>
      </c>
      <c r="B945" s="17">
        <v>400030.0</v>
      </c>
      <c r="C945" s="17">
        <v>8761000.0</v>
      </c>
      <c r="D945" s="17">
        <v>9.0000003E8</v>
      </c>
    </row>
    <row r="946">
      <c r="A946" s="17">
        <v>8761050.0</v>
      </c>
      <c r="B946" s="17">
        <v>400030.0</v>
      </c>
      <c r="C946" s="17">
        <v>8761000.0</v>
      </c>
      <c r="D946" s="17">
        <v>9.0000003E8</v>
      </c>
    </row>
    <row r="947">
      <c r="A947" s="17">
        <v>8761100.0</v>
      </c>
      <c r="B947" s="17">
        <v>400040.0</v>
      </c>
      <c r="C947" s="17">
        <v>8761100.0</v>
      </c>
      <c r="D947" s="17">
        <v>9.0000004E8</v>
      </c>
    </row>
    <row r="948">
      <c r="A948" s="17">
        <v>8761150.0</v>
      </c>
      <c r="B948" s="17">
        <v>400040.0</v>
      </c>
      <c r="C948" s="17">
        <v>8761100.0</v>
      </c>
      <c r="D948" s="17">
        <v>9.0000004E8</v>
      </c>
    </row>
    <row r="949">
      <c r="A949" s="17">
        <v>8762000.0</v>
      </c>
      <c r="B949" s="17">
        <v>400050.0</v>
      </c>
      <c r="C949" s="17">
        <v>8762000.0</v>
      </c>
      <c r="D949" s="17">
        <v>9.0000005E8</v>
      </c>
    </row>
    <row r="950">
      <c r="A950" s="17">
        <v>8762050.0</v>
      </c>
      <c r="B950" s="17">
        <v>400050.0</v>
      </c>
      <c r="C950" s="17">
        <v>8762000.0</v>
      </c>
      <c r="D950" s="17">
        <v>9.0000005E8</v>
      </c>
    </row>
    <row r="951">
      <c r="A951" s="17">
        <v>8763000.0</v>
      </c>
      <c r="B951" s="17">
        <v>400060.0</v>
      </c>
      <c r="C951" s="17">
        <v>8763000.0</v>
      </c>
      <c r="D951" s="17">
        <v>9.0000006E8</v>
      </c>
    </row>
    <row r="952">
      <c r="A952" s="17">
        <v>8763050.0</v>
      </c>
      <c r="B952" s="17">
        <v>400060.0</v>
      </c>
      <c r="C952" s="17">
        <v>8763000.0</v>
      </c>
      <c r="D952" s="17">
        <v>9.0000006E8</v>
      </c>
    </row>
    <row r="953">
      <c r="A953" s="17">
        <v>8766000.0</v>
      </c>
      <c r="B953" s="17">
        <v>401050.0</v>
      </c>
      <c r="C953" s="17">
        <v>8766000.0</v>
      </c>
      <c r="D953" s="17">
        <v>9.0000008E8</v>
      </c>
    </row>
    <row r="954">
      <c r="A954" s="17">
        <v>8766050.0</v>
      </c>
      <c r="B954" s="17">
        <v>401050.0</v>
      </c>
      <c r="C954" s="17">
        <v>8766000.0</v>
      </c>
      <c r="D954" s="17">
        <v>9.0000008E8</v>
      </c>
    </row>
    <row r="955">
      <c r="A955" s="17">
        <v>8770000.0</v>
      </c>
      <c r="B955" s="17">
        <v>8770000.0</v>
      </c>
      <c r="C955" s="17">
        <v>8770000.0</v>
      </c>
      <c r="D955" s="17">
        <v>9.0000009E8</v>
      </c>
    </row>
    <row r="956">
      <c r="A956" s="17">
        <v>8770050.0</v>
      </c>
      <c r="B956" s="17">
        <v>8770050.0</v>
      </c>
      <c r="C956" s="17">
        <v>8770000.0</v>
      </c>
      <c r="D956" s="17">
        <v>9.0000009E8</v>
      </c>
    </row>
    <row r="957">
      <c r="A957" s="17">
        <v>8771000.0</v>
      </c>
      <c r="B957" s="17">
        <v>8771000.0</v>
      </c>
      <c r="C957" s="17">
        <v>8771000.0</v>
      </c>
      <c r="D957" s="17">
        <v>9.000001E8</v>
      </c>
    </row>
    <row r="958">
      <c r="A958" s="17">
        <v>8771050.0</v>
      </c>
      <c r="B958" s="17">
        <v>8771050.0</v>
      </c>
      <c r="C958" s="17">
        <v>8771000.0</v>
      </c>
      <c r="D958" s="17">
        <v>9.000001E8</v>
      </c>
    </row>
    <row r="959">
      <c r="A959" s="17">
        <v>8800100.0</v>
      </c>
      <c r="B959" s="17">
        <v>8800100.0</v>
      </c>
      <c r="C959" s="17">
        <v>8800100.0</v>
      </c>
      <c r="D959" s="17">
        <v>9.0000012E8</v>
      </c>
    </row>
    <row r="960">
      <c r="A960" s="17">
        <v>8800150.0</v>
      </c>
      <c r="B960" s="17">
        <v>8800150.0</v>
      </c>
      <c r="C960" s="17">
        <v>8800100.0</v>
      </c>
      <c r="D960" s="17">
        <v>9.0000012E8</v>
      </c>
    </row>
    <row r="961">
      <c r="A961" s="17">
        <v>8800200.0</v>
      </c>
      <c r="B961" s="17">
        <v>8800200.0</v>
      </c>
      <c r="C961" s="17">
        <v>8800200.0</v>
      </c>
      <c r="D961" s="17">
        <v>9.0000013E8</v>
      </c>
    </row>
    <row r="962">
      <c r="A962" s="17">
        <v>8800250.0</v>
      </c>
      <c r="B962" s="17">
        <v>8800250.0</v>
      </c>
      <c r="C962" s="17">
        <v>8800200.0</v>
      </c>
      <c r="D962" s="17">
        <v>9.0000013E8</v>
      </c>
    </row>
    <row r="963">
      <c r="A963" s="17">
        <v>8801000.0</v>
      </c>
      <c r="B963" s="17">
        <v>8801000.0</v>
      </c>
      <c r="C963" s="17">
        <v>8801000.0</v>
      </c>
      <c r="D963" s="17">
        <v>9.0000014E8</v>
      </c>
    </row>
    <row r="964">
      <c r="A964" s="17">
        <v>8801050.0</v>
      </c>
      <c r="B964" s="17">
        <v>8801050.0</v>
      </c>
      <c r="C964" s="17">
        <v>8801000.0</v>
      </c>
      <c r="D964" s="17">
        <v>9.0000014E8</v>
      </c>
    </row>
    <row r="965">
      <c r="A965" s="17">
        <v>8810000.0</v>
      </c>
      <c r="B965" s="17">
        <v>8810000.0</v>
      </c>
      <c r="C965" s="17">
        <v>8810000.0</v>
      </c>
      <c r="D965" s="17">
        <v>9.0000017E8</v>
      </c>
    </row>
    <row r="966">
      <c r="A966" s="17">
        <v>8810050.0</v>
      </c>
      <c r="B966" s="17">
        <v>8810050.0</v>
      </c>
      <c r="C966" s="17">
        <v>8810000.0</v>
      </c>
      <c r="D966" s="17">
        <v>9.0000017E8</v>
      </c>
    </row>
    <row r="967">
      <c r="A967" s="17">
        <v>8810200.0</v>
      </c>
      <c r="B967" s="17">
        <v>8810200.0</v>
      </c>
      <c r="C967" s="17">
        <v>8810200.0</v>
      </c>
      <c r="D967" s="17">
        <v>9.0000018E8</v>
      </c>
    </row>
    <row r="968">
      <c r="A968" s="17">
        <v>8810250.0</v>
      </c>
      <c r="B968" s="17">
        <v>8810250.0</v>
      </c>
      <c r="C968" s="17">
        <v>8810200.0</v>
      </c>
      <c r="D968" s="17">
        <v>9.0000018E8</v>
      </c>
    </row>
    <row r="969">
      <c r="A969" s="17">
        <v>8810300.0</v>
      </c>
      <c r="B969" s="17">
        <v>8810300.0</v>
      </c>
      <c r="C969" s="17">
        <v>8810300.0</v>
      </c>
      <c r="D969" s="17">
        <v>9.0000019E8</v>
      </c>
    </row>
    <row r="970">
      <c r="A970" s="17">
        <v>8810350.0</v>
      </c>
      <c r="B970" s="17">
        <v>8810350.0</v>
      </c>
      <c r="C970" s="17">
        <v>8810300.0</v>
      </c>
      <c r="D970" s="17">
        <v>9.0000019E8</v>
      </c>
    </row>
    <row r="971">
      <c r="A971" s="17">
        <v>8810400.0</v>
      </c>
      <c r="B971" s="17">
        <v>8810400.0</v>
      </c>
      <c r="C971" s="17">
        <v>8810400.0</v>
      </c>
      <c r="D971" s="17">
        <v>9.000002E8</v>
      </c>
    </row>
    <row r="972">
      <c r="A972" s="17">
        <v>8810450.0</v>
      </c>
      <c r="B972" s="17">
        <v>8810450.0</v>
      </c>
      <c r="C972" s="17">
        <v>8810400.0</v>
      </c>
      <c r="D972" s="17">
        <v>9.000002E8</v>
      </c>
    </row>
    <row r="973">
      <c r="A973" s="17">
        <v>8813100.0</v>
      </c>
      <c r="B973" s="17">
        <v>8813100.0</v>
      </c>
      <c r="C973" s="17">
        <v>8813100.0</v>
      </c>
      <c r="D973" s="17">
        <v>9.0000023E8</v>
      </c>
    </row>
    <row r="974">
      <c r="A974" s="17">
        <v>8813150.0</v>
      </c>
      <c r="B974" s="17">
        <v>8813150.0</v>
      </c>
      <c r="C974" s="17">
        <v>8813100.0</v>
      </c>
      <c r="D974" s="17">
        <v>9.0000023E8</v>
      </c>
    </row>
    <row r="975">
      <c r="A975" s="17">
        <v>8821000.0</v>
      </c>
      <c r="B975" s="17">
        <v>8821000.0</v>
      </c>
      <c r="C975" s="17">
        <v>8821000.0</v>
      </c>
      <c r="D975" s="17">
        <v>9.0000024E8</v>
      </c>
    </row>
    <row r="976">
      <c r="A976" s="17">
        <v>8821050.0</v>
      </c>
      <c r="B976" s="17">
        <v>8821050.0</v>
      </c>
      <c r="C976" s="17">
        <v>8821000.0</v>
      </c>
      <c r="D976" s="17">
        <v>9.0000024E8</v>
      </c>
    </row>
    <row r="977">
      <c r="A977" s="17">
        <v>8830000.0</v>
      </c>
      <c r="B977" s="17">
        <v>8830000.0</v>
      </c>
      <c r="C977" s="17">
        <v>8830000.0</v>
      </c>
      <c r="D977" s="17">
        <v>9.0000027E8</v>
      </c>
    </row>
    <row r="978">
      <c r="A978" s="17">
        <v>8830050.0</v>
      </c>
      <c r="B978" s="17">
        <v>8830050.0</v>
      </c>
      <c r="C978" s="17">
        <v>8830000.0</v>
      </c>
      <c r="D978" s="17">
        <v>9.0000027E8</v>
      </c>
    </row>
    <row r="979">
      <c r="A979" s="17">
        <v>8831000.0</v>
      </c>
      <c r="B979" s="17">
        <v>8831000.0</v>
      </c>
      <c r="C979" s="17">
        <v>8831000.0</v>
      </c>
      <c r="D979" s="17">
        <v>9.0000028E8</v>
      </c>
    </row>
    <row r="980">
      <c r="A980" s="17">
        <v>8831050.0</v>
      </c>
      <c r="B980" s="17">
        <v>8831050.0</v>
      </c>
      <c r="C980" s="17">
        <v>8831000.0</v>
      </c>
      <c r="D980" s="17">
        <v>9.0000028E8</v>
      </c>
    </row>
    <row r="981">
      <c r="A981" s="17">
        <v>8831200.0</v>
      </c>
      <c r="B981" s="17">
        <v>8831200.0</v>
      </c>
      <c r="C981" s="17">
        <v>8831200.0</v>
      </c>
      <c r="D981" s="17">
        <v>9.000003E8</v>
      </c>
    </row>
    <row r="982">
      <c r="A982" s="17">
        <v>8831250.0</v>
      </c>
      <c r="B982" s="17">
        <v>8831250.0</v>
      </c>
      <c r="C982" s="17">
        <v>8831200.0</v>
      </c>
      <c r="D982" s="17">
        <v>9.000003E8</v>
      </c>
    </row>
    <row r="983">
      <c r="A983" s="17">
        <v>8850000.0</v>
      </c>
      <c r="B983" s="17">
        <v>400000.0</v>
      </c>
      <c r="C983" s="17">
        <v>1.8E7</v>
      </c>
      <c r="D983" s="17">
        <v>2000.0</v>
      </c>
    </row>
    <row r="984">
      <c r="A984" s="17">
        <v>8850050.0</v>
      </c>
      <c r="B984" s="17">
        <v>400000.0</v>
      </c>
      <c r="C984" s="17">
        <v>1.8E7</v>
      </c>
      <c r="D984" s="17">
        <v>2000.0</v>
      </c>
    </row>
    <row r="985">
      <c r="A985" s="17">
        <v>8850100.0</v>
      </c>
      <c r="B985" s="17">
        <v>400010.0</v>
      </c>
      <c r="C985" s="17">
        <v>1.801E7</v>
      </c>
      <c r="D985" s="17">
        <v>2020.0</v>
      </c>
    </row>
    <row r="986">
      <c r="A986" s="17">
        <v>8850150.0</v>
      </c>
      <c r="B986" s="17">
        <v>400010.0</v>
      </c>
      <c r="C986" s="17">
        <v>1.801E7</v>
      </c>
      <c r="D986" s="17">
        <v>2020.0</v>
      </c>
    </row>
    <row r="987">
      <c r="A987" s="17">
        <v>8850200.0</v>
      </c>
      <c r="B987" s="17">
        <v>400010.0</v>
      </c>
      <c r="C987" s="17">
        <v>1.80101E7</v>
      </c>
      <c r="D987" s="17">
        <v>2040.0</v>
      </c>
    </row>
    <row r="988">
      <c r="A988" s="17">
        <v>8850250.0</v>
      </c>
      <c r="B988" s="17">
        <v>400010.0</v>
      </c>
      <c r="C988" s="17">
        <v>1.80101E7</v>
      </c>
      <c r="D988" s="17">
        <v>2040.0</v>
      </c>
    </row>
    <row r="989">
      <c r="A989" s="17">
        <v>8850300.0</v>
      </c>
      <c r="B989" s="17">
        <v>400020.0</v>
      </c>
      <c r="C989" s="17">
        <v>1.802E7</v>
      </c>
      <c r="D989" s="17">
        <v>2060.0</v>
      </c>
    </row>
    <row r="990">
      <c r="A990" s="17">
        <v>8850350.0</v>
      </c>
      <c r="B990" s="17">
        <v>400020.0</v>
      </c>
      <c r="C990" s="17">
        <v>1.802E7</v>
      </c>
      <c r="D990" s="17">
        <v>2060.0</v>
      </c>
    </row>
    <row r="991">
      <c r="A991" s="17">
        <v>8850400.0</v>
      </c>
      <c r="B991" s="17">
        <v>400020.0</v>
      </c>
      <c r="C991" s="17">
        <v>1.80202E7</v>
      </c>
      <c r="D991" s="17">
        <v>2080.0</v>
      </c>
    </row>
    <row r="992">
      <c r="A992" s="17">
        <v>8850450.0</v>
      </c>
      <c r="B992" s="17">
        <v>400020.0</v>
      </c>
      <c r="C992" s="17">
        <v>1.80202E7</v>
      </c>
      <c r="D992" s="17">
        <v>2080.0</v>
      </c>
    </row>
    <row r="993">
      <c r="A993" s="17">
        <v>8850500.0</v>
      </c>
      <c r="B993" s="17">
        <v>8850500.0</v>
      </c>
      <c r="C993" s="17">
        <v>1.81E7</v>
      </c>
      <c r="D993" s="17">
        <v>2100.0</v>
      </c>
    </row>
    <row r="994">
      <c r="A994" s="17">
        <v>8850550.0</v>
      </c>
      <c r="B994" s="17">
        <v>8850550.0</v>
      </c>
      <c r="C994" s="17">
        <v>1.81E7</v>
      </c>
      <c r="D994" s="17">
        <v>2100.0</v>
      </c>
    </row>
    <row r="995">
      <c r="A995" s="17">
        <v>8850600.0</v>
      </c>
      <c r="B995" s="17">
        <v>8850600.0</v>
      </c>
      <c r="C995" s="17">
        <v>1.81005E7</v>
      </c>
      <c r="D995" s="17">
        <v>2120.0</v>
      </c>
    </row>
    <row r="996">
      <c r="A996" s="17">
        <v>8850650.0</v>
      </c>
      <c r="B996" s="17">
        <v>8850650.0</v>
      </c>
      <c r="C996" s="17">
        <v>1.81005E7</v>
      </c>
      <c r="D996" s="17">
        <v>2120.0</v>
      </c>
    </row>
    <row r="997">
      <c r="A997" s="17">
        <v>8850700.0</v>
      </c>
      <c r="B997" s="17">
        <v>8850700.0</v>
      </c>
      <c r="C997" s="17">
        <v>1.812E7</v>
      </c>
      <c r="D997" s="17">
        <v>2140.0</v>
      </c>
    </row>
    <row r="998">
      <c r="A998" s="17">
        <v>8850750.0</v>
      </c>
      <c r="B998" s="17">
        <v>8850750.0</v>
      </c>
      <c r="C998" s="17">
        <v>1.812E7</v>
      </c>
      <c r="D998" s="17">
        <v>2140.0</v>
      </c>
    </row>
    <row r="999">
      <c r="A999" s="17">
        <v>8850800.0</v>
      </c>
      <c r="B999" s="17">
        <v>400030.0</v>
      </c>
      <c r="C999" s="17">
        <v>1.82E7</v>
      </c>
      <c r="D999" s="17">
        <v>2160.0</v>
      </c>
    </row>
    <row r="1000">
      <c r="A1000" s="17">
        <v>8850850.0</v>
      </c>
      <c r="B1000" s="17">
        <v>400030.0</v>
      </c>
      <c r="C1000" s="17">
        <v>1.82E7</v>
      </c>
      <c r="D1000" s="17">
        <v>2160.0</v>
      </c>
    </row>
    <row r="1001">
      <c r="A1001" s="17">
        <v>8850900.0</v>
      </c>
      <c r="B1001" s="17">
        <v>400040.0</v>
      </c>
      <c r="C1001" s="17">
        <v>1.82005E7</v>
      </c>
      <c r="D1001" s="17">
        <v>2180.0</v>
      </c>
    </row>
    <row r="1002">
      <c r="A1002" s="17">
        <v>8850950.0</v>
      </c>
      <c r="B1002" s="17">
        <v>400040.0</v>
      </c>
      <c r="C1002" s="17">
        <v>1.82005E7</v>
      </c>
      <c r="D1002" s="17">
        <v>2180.0</v>
      </c>
    </row>
    <row r="1003">
      <c r="A1003" s="17">
        <v>8851000.0</v>
      </c>
      <c r="B1003" s="17">
        <v>400050.0</v>
      </c>
      <c r="C1003" s="17">
        <v>1.82107E7</v>
      </c>
      <c r="D1003" s="17">
        <v>2200.0</v>
      </c>
    </row>
    <row r="1004">
      <c r="A1004" s="17">
        <v>8851050.0</v>
      </c>
      <c r="B1004" s="17">
        <v>400050.0</v>
      </c>
      <c r="C1004" s="17">
        <v>1.82107E7</v>
      </c>
      <c r="D1004" s="17">
        <v>2200.0</v>
      </c>
    </row>
    <row r="1005">
      <c r="A1005" s="17">
        <v>8851100.0</v>
      </c>
      <c r="B1005" s="17">
        <v>8851100.0</v>
      </c>
      <c r="C1005" s="17">
        <v>1.823E7</v>
      </c>
      <c r="D1005" s="17">
        <v>2220.0</v>
      </c>
    </row>
    <row r="1006">
      <c r="A1006" s="17">
        <v>8851150.0</v>
      </c>
      <c r="B1006" s="17">
        <v>8851150.0</v>
      </c>
      <c r="C1006" s="17">
        <v>1.823E7</v>
      </c>
      <c r="D1006" s="17">
        <v>2220.0</v>
      </c>
    </row>
    <row r="1007">
      <c r="A1007" s="17">
        <v>8851200.0</v>
      </c>
      <c r="B1007" s="17">
        <v>8851200.0</v>
      </c>
      <c r="C1007" s="17">
        <v>1.8330103E7</v>
      </c>
      <c r="D1007" s="17">
        <v>2240.0</v>
      </c>
    </row>
    <row r="1008">
      <c r="A1008" s="17">
        <v>8851250.0</v>
      </c>
      <c r="B1008" s="17">
        <v>8851250.0</v>
      </c>
      <c r="C1008" s="17">
        <v>1.8330103E7</v>
      </c>
      <c r="D1008" s="17">
        <v>2240.0</v>
      </c>
    </row>
    <row r="1009">
      <c r="A1009" s="17">
        <v>8851300.0</v>
      </c>
      <c r="B1009" s="17">
        <v>8851300.0</v>
      </c>
      <c r="C1009" s="17">
        <v>1.83305E7</v>
      </c>
      <c r="D1009" s="17">
        <v>2260.0</v>
      </c>
    </row>
    <row r="1010">
      <c r="A1010" s="17">
        <v>8851350.0</v>
      </c>
      <c r="B1010" s="17">
        <v>8851350.0</v>
      </c>
      <c r="C1010" s="17">
        <v>1.83305E7</v>
      </c>
      <c r="D1010" s="17">
        <v>2260.0</v>
      </c>
    </row>
    <row r="1011">
      <c r="A1011" s="17">
        <v>8851800.0</v>
      </c>
      <c r="B1011" s="17">
        <v>8851800.0</v>
      </c>
      <c r="C1011" s="17">
        <v>1.843E7</v>
      </c>
      <c r="D1011" s="17">
        <v>2350.0</v>
      </c>
    </row>
    <row r="1012">
      <c r="A1012" s="17">
        <v>8851850.0</v>
      </c>
      <c r="B1012" s="17">
        <v>8851850.0</v>
      </c>
      <c r="C1012" s="17">
        <v>1.843E7</v>
      </c>
      <c r="D1012" s="17">
        <v>2350.0</v>
      </c>
    </row>
    <row r="1013">
      <c r="A1013" s="17">
        <v>8851900.0</v>
      </c>
      <c r="B1013" s="17">
        <v>400060.0</v>
      </c>
      <c r="C1013" s="17">
        <v>1.844E7</v>
      </c>
      <c r="D1013" s="17">
        <v>2360.0</v>
      </c>
    </row>
    <row r="1014">
      <c r="A1014" s="17">
        <v>8851950.0</v>
      </c>
      <c r="B1014" s="17">
        <v>400060.0</v>
      </c>
      <c r="C1014" s="17">
        <v>1.844E7</v>
      </c>
      <c r="D1014" s="17">
        <v>2360.0</v>
      </c>
    </row>
    <row r="1015">
      <c r="A1015" s="17">
        <v>8852000.0</v>
      </c>
      <c r="B1015" s="17">
        <v>8852000.0</v>
      </c>
      <c r="C1015" s="17">
        <v>1.85E7</v>
      </c>
      <c r="D1015" s="17">
        <v>2420.0</v>
      </c>
    </row>
    <row r="1016">
      <c r="A1016" s="17">
        <v>8852050.0</v>
      </c>
      <c r="B1016" s="17">
        <v>8852050.0</v>
      </c>
      <c r="C1016" s="17">
        <v>1.85E7</v>
      </c>
      <c r="D1016" s="17">
        <v>2420.0</v>
      </c>
    </row>
    <row r="1017">
      <c r="A1017" s="17">
        <v>8880000.0</v>
      </c>
      <c r="B1017" s="17">
        <v>8880000.0</v>
      </c>
      <c r="C1017" s="17">
        <v>8880000.0</v>
      </c>
      <c r="D1017" s="17">
        <v>5.0</v>
      </c>
    </row>
    <row r="1018">
      <c r="A1018" s="17">
        <v>8880200.0</v>
      </c>
      <c r="B1018" s="17">
        <v>8880200.0</v>
      </c>
      <c r="C1018" s="17">
        <v>8880200.0</v>
      </c>
      <c r="D1018" s="17">
        <v>5.0</v>
      </c>
    </row>
    <row r="1019">
      <c r="A1019" s="17">
        <v>8880300.0</v>
      </c>
      <c r="B1019" s="17">
        <v>8880300.0</v>
      </c>
      <c r="C1019" s="17">
        <v>8880300.0</v>
      </c>
      <c r="D1019" s="17">
        <v>5.0</v>
      </c>
    </row>
    <row r="1020">
      <c r="A1020" s="17">
        <v>8881000.0</v>
      </c>
      <c r="B1020" s="17">
        <v>8881000.0</v>
      </c>
      <c r="C1020" s="17">
        <v>8881000.0</v>
      </c>
      <c r="D1020" s="17">
        <v>5.0</v>
      </c>
    </row>
    <row r="1021">
      <c r="A1021" s="17">
        <v>8881200.0</v>
      </c>
      <c r="B1021" s="17">
        <v>8881200.0</v>
      </c>
      <c r="C1021" s="17">
        <v>8881200.0</v>
      </c>
      <c r="D1021" s="17">
        <v>5.0</v>
      </c>
    </row>
    <row r="1022">
      <c r="A1022" s="17">
        <v>8881500.0</v>
      </c>
      <c r="B1022" s="17">
        <v>8881500.0</v>
      </c>
      <c r="C1022" s="17">
        <v>8881500.0</v>
      </c>
      <c r="D1022" s="17">
        <v>5.0</v>
      </c>
    </row>
    <row r="1023">
      <c r="A1023" s="17">
        <v>8882100.0</v>
      </c>
      <c r="B1023" s="17">
        <v>8882100.0</v>
      </c>
      <c r="C1023" s="17">
        <v>8882100.0</v>
      </c>
      <c r="D1023" s="17">
        <v>5.0</v>
      </c>
    </row>
    <row r="1024">
      <c r="A1024" s="17">
        <v>8882500.0</v>
      </c>
      <c r="B1024" s="17">
        <v>8882500.0</v>
      </c>
      <c r="C1024" s="17">
        <v>8882500.0</v>
      </c>
      <c r="D1024" s="17">
        <v>5.0</v>
      </c>
    </row>
    <row r="1025">
      <c r="A1025" s="17">
        <v>8883000.0</v>
      </c>
      <c r="B1025" s="17">
        <v>8883000.0</v>
      </c>
      <c r="C1025" s="17">
        <v>8883000.0</v>
      </c>
      <c r="D1025" s="17">
        <v>5.0</v>
      </c>
    </row>
    <row r="1026">
      <c r="A1026" s="17">
        <v>8883100.0</v>
      </c>
      <c r="B1026" s="17">
        <v>8883100.0</v>
      </c>
      <c r="C1026" s="17">
        <v>8883100.0</v>
      </c>
      <c r="D1026" s="17">
        <v>5.0</v>
      </c>
    </row>
    <row r="1027">
      <c r="A1027" s="17">
        <v>8883200.0</v>
      </c>
      <c r="B1027" s="17">
        <v>8883200.0</v>
      </c>
      <c r="C1027" s="17">
        <v>8883200.0</v>
      </c>
      <c r="D1027" s="17">
        <v>5.0</v>
      </c>
    </row>
    <row r="1028">
      <c r="A1028" s="17">
        <v>8883300.0</v>
      </c>
      <c r="B1028" s="17">
        <v>8883300.0</v>
      </c>
      <c r="C1028" s="17">
        <v>8883300.0</v>
      </c>
      <c r="D1028" s="17">
        <v>5.0</v>
      </c>
    </row>
    <row r="1029">
      <c r="A1029" s="17">
        <v>8883400.0</v>
      </c>
      <c r="B1029" s="17">
        <v>8883400.0</v>
      </c>
      <c r="C1029" s="17">
        <v>8883400.0</v>
      </c>
      <c r="D1029" s="17">
        <v>5.0</v>
      </c>
    </row>
    <row r="1030">
      <c r="A1030" s="17">
        <v>8884200.0</v>
      </c>
      <c r="B1030" s="17">
        <v>8884200.0</v>
      </c>
      <c r="C1030" s="17">
        <v>8884200.0</v>
      </c>
      <c r="D1030" s="17">
        <v>5.0</v>
      </c>
    </row>
    <row r="1031">
      <c r="A1031" s="17">
        <v>8884300.0</v>
      </c>
      <c r="B1031" s="17">
        <v>8884300.0</v>
      </c>
      <c r="C1031" s="17">
        <v>8884300.0</v>
      </c>
      <c r="D1031" s="17">
        <v>5.0</v>
      </c>
    </row>
    <row r="1032">
      <c r="A1032" s="17">
        <v>8885000.0</v>
      </c>
      <c r="B1032" s="17">
        <v>8885000.0</v>
      </c>
      <c r="C1032" s="17">
        <v>8885000.0</v>
      </c>
      <c r="D1032" s="17">
        <v>5.0</v>
      </c>
    </row>
    <row r="1033">
      <c r="A1033" s="17">
        <v>8885100.0</v>
      </c>
      <c r="B1033" s="17">
        <v>8885100.0</v>
      </c>
      <c r="C1033" s="17">
        <v>8885100.0</v>
      </c>
      <c r="D1033" s="17">
        <v>5.0</v>
      </c>
    </row>
    <row r="1034">
      <c r="A1034" s="17">
        <v>8885200.0</v>
      </c>
      <c r="B1034" s="17">
        <v>8885200.0</v>
      </c>
      <c r="C1034" s="17">
        <v>8885200.0</v>
      </c>
      <c r="D1034" s="17">
        <v>5.0</v>
      </c>
    </row>
    <row r="1035">
      <c r="A1035" s="17">
        <v>8990000.0</v>
      </c>
      <c r="B1035" s="17">
        <v>200.0</v>
      </c>
      <c r="C1035" s="17">
        <v>8100100.0</v>
      </c>
      <c r="D1035" s="17">
        <v>8100100.0</v>
      </c>
    </row>
    <row r="1036">
      <c r="A1036" s="17">
        <v>8990010.0</v>
      </c>
      <c r="B1036" s="17">
        <v>200.0</v>
      </c>
      <c r="C1036" s="17">
        <v>8100100.0</v>
      </c>
      <c r="D1036" s="17">
        <v>8100100.0</v>
      </c>
    </row>
    <row r="1037">
      <c r="A1037" s="17">
        <v>8990020.0</v>
      </c>
      <c r="B1037" s="17">
        <v>200.0</v>
      </c>
      <c r="C1037" s="17">
        <v>8100100.0</v>
      </c>
      <c r="D1037" s="17">
        <v>8100100.0</v>
      </c>
    </row>
    <row r="1038">
      <c r="A1038" s="17">
        <v>8990030.0</v>
      </c>
      <c r="B1038" s="17">
        <v>200.0</v>
      </c>
      <c r="C1038" s="17">
        <v>8100100.0</v>
      </c>
      <c r="D1038" s="17">
        <v>8100100.0</v>
      </c>
    </row>
    <row r="1039">
      <c r="A1039" s="17">
        <v>8990040.0</v>
      </c>
      <c r="B1039" s="17">
        <v>200.0</v>
      </c>
      <c r="C1039" s="17">
        <v>8100100.0</v>
      </c>
      <c r="D1039" s="17">
        <v>8100100.0</v>
      </c>
    </row>
    <row r="1040">
      <c r="A1040" s="17">
        <v>8990050.0</v>
      </c>
      <c r="B1040" s="17">
        <v>200.0</v>
      </c>
      <c r="C1040" s="17">
        <v>8100100.0</v>
      </c>
      <c r="D1040" s="17">
        <v>8100100.0</v>
      </c>
    </row>
    <row r="1041">
      <c r="A1041" s="17">
        <v>8990100.0</v>
      </c>
      <c r="B1041" s="17">
        <v>200.0</v>
      </c>
      <c r="C1041" s="17">
        <v>8100100.0</v>
      </c>
      <c r="D1041" s="17">
        <v>8100100.0</v>
      </c>
    </row>
    <row r="1042">
      <c r="A1042" s="17">
        <v>8990110.0</v>
      </c>
      <c r="B1042" s="17">
        <v>200.0</v>
      </c>
      <c r="C1042" s="17">
        <v>8100100.0</v>
      </c>
      <c r="D1042" s="17">
        <v>8100100.0</v>
      </c>
    </row>
    <row r="1043">
      <c r="A1043" s="17">
        <v>8990120.0</v>
      </c>
      <c r="B1043" s="17">
        <v>200.0</v>
      </c>
      <c r="C1043" s="17">
        <v>8100100.0</v>
      </c>
      <c r="D1043" s="17">
        <v>8100100.0</v>
      </c>
    </row>
    <row r="1044">
      <c r="A1044" s="17">
        <v>8990130.0</v>
      </c>
      <c r="B1044" s="17">
        <v>200.0</v>
      </c>
      <c r="C1044" s="17">
        <v>8100100.0</v>
      </c>
      <c r="D1044" s="17">
        <v>8100100.0</v>
      </c>
    </row>
    <row r="1045">
      <c r="A1045" s="17">
        <v>8990140.0</v>
      </c>
      <c r="B1045" s="17">
        <v>200.0</v>
      </c>
      <c r="C1045" s="17">
        <v>8100100.0</v>
      </c>
      <c r="D1045" s="17">
        <v>8100100.0</v>
      </c>
    </row>
    <row r="1046">
      <c r="A1046" s="17">
        <v>8990150.0</v>
      </c>
      <c r="B1046" s="17">
        <v>200.0</v>
      </c>
      <c r="C1046" s="17">
        <v>8100100.0</v>
      </c>
      <c r="D1046" s="17">
        <v>8100100.0</v>
      </c>
    </row>
    <row r="1047">
      <c r="A1047" s="17">
        <v>8990200.0</v>
      </c>
      <c r="B1047" s="17">
        <v>200.0</v>
      </c>
      <c r="C1047" s="17">
        <v>8100100.0</v>
      </c>
      <c r="D1047" s="17">
        <v>8100100.0</v>
      </c>
    </row>
    <row r="1048">
      <c r="A1048" s="17">
        <v>8990210.0</v>
      </c>
      <c r="B1048" s="17">
        <v>200.0</v>
      </c>
      <c r="C1048" s="17">
        <v>8100100.0</v>
      </c>
      <c r="D1048" s="17">
        <v>8100100.0</v>
      </c>
    </row>
    <row r="1049">
      <c r="A1049" s="17">
        <v>8990220.0</v>
      </c>
      <c r="B1049" s="17">
        <v>200.0</v>
      </c>
      <c r="C1049" s="17">
        <v>8100100.0</v>
      </c>
      <c r="D1049" s="17">
        <v>8100100.0</v>
      </c>
    </row>
    <row r="1050">
      <c r="A1050" s="17">
        <v>8990230.0</v>
      </c>
      <c r="B1050" s="17">
        <v>200.0</v>
      </c>
      <c r="C1050" s="17">
        <v>8100100.0</v>
      </c>
      <c r="D1050" s="17">
        <v>8100100.0</v>
      </c>
    </row>
    <row r="1051">
      <c r="A1051" s="17">
        <v>8990240.0</v>
      </c>
      <c r="B1051" s="17">
        <v>200.0</v>
      </c>
      <c r="C1051" s="17">
        <v>8100100.0</v>
      </c>
      <c r="D1051" s="17">
        <v>8100100.0</v>
      </c>
    </row>
    <row r="1052">
      <c r="A1052" s="17">
        <v>8990250.0</v>
      </c>
      <c r="B1052" s="17">
        <v>200.0</v>
      </c>
      <c r="C1052" s="17">
        <v>8100100.0</v>
      </c>
      <c r="D1052" s="17">
        <v>8100100.0</v>
      </c>
    </row>
    <row r="1053">
      <c r="A1053" s="17">
        <v>9021400.0</v>
      </c>
      <c r="B1053" s="17">
        <v>100.0</v>
      </c>
      <c r="C1053" s="17">
        <v>9021400.0</v>
      </c>
      <c r="D1053" s="17">
        <v>1.0</v>
      </c>
    </row>
    <row r="1054">
      <c r="A1054" s="17">
        <v>9030900.0</v>
      </c>
      <c r="B1054" s="17">
        <v>100.0</v>
      </c>
      <c r="C1054" s="17">
        <v>9030900.0</v>
      </c>
      <c r="D1054" s="17">
        <v>1.0</v>
      </c>
    </row>
    <row r="1055">
      <c r="A1055" s="17">
        <v>9031000.0</v>
      </c>
      <c r="B1055" s="17">
        <v>100.0</v>
      </c>
      <c r="C1055" s="17">
        <v>9031000.0</v>
      </c>
      <c r="D1055" s="17">
        <v>1.0</v>
      </c>
    </row>
    <row r="1056">
      <c r="A1056" s="17">
        <v>9031400.0</v>
      </c>
      <c r="B1056" s="17">
        <v>100.0</v>
      </c>
      <c r="C1056" s="17">
        <v>9031400.0</v>
      </c>
      <c r="D1056" s="17">
        <v>1.0</v>
      </c>
    </row>
    <row r="1057">
      <c r="A1057" s="17">
        <v>9031500.0</v>
      </c>
      <c r="B1057" s="17">
        <v>100.0</v>
      </c>
      <c r="C1057" s="17">
        <v>9031500.0</v>
      </c>
      <c r="D1057" s="17">
        <v>1.0</v>
      </c>
    </row>
    <row r="1058">
      <c r="A1058" s="17">
        <v>9031700.0</v>
      </c>
      <c r="B1058" s="17">
        <v>100.0</v>
      </c>
      <c r="C1058" s="17">
        <v>9031700.0</v>
      </c>
      <c r="D1058" s="17">
        <v>1.0</v>
      </c>
    </row>
    <row r="1059">
      <c r="A1059" s="17">
        <v>9040200.0</v>
      </c>
      <c r="B1059" s="17">
        <v>100.0</v>
      </c>
      <c r="C1059" s="17">
        <v>9040200.0</v>
      </c>
      <c r="D1059" s="17">
        <v>1.0</v>
      </c>
    </row>
    <row r="1060">
      <c r="A1060" s="17">
        <v>9040500.0</v>
      </c>
      <c r="B1060" s="17">
        <v>100.0</v>
      </c>
      <c r="C1060" s="17">
        <v>9040500.0</v>
      </c>
      <c r="D1060" s="17">
        <v>1.0</v>
      </c>
    </row>
    <row r="1061">
      <c r="A1061" s="17">
        <v>9040800.0</v>
      </c>
      <c r="B1061" s="17">
        <v>100.0</v>
      </c>
      <c r="C1061" s="17">
        <v>9040800.0</v>
      </c>
      <c r="D1061" s="17">
        <v>1.0</v>
      </c>
    </row>
    <row r="1062">
      <c r="A1062" s="17">
        <v>9041000.0</v>
      </c>
      <c r="B1062" s="17">
        <v>100.0</v>
      </c>
      <c r="C1062" s="17">
        <v>9041000.0</v>
      </c>
      <c r="D1062" s="17">
        <v>1.0</v>
      </c>
    </row>
    <row r="1063">
      <c r="A1063" s="17">
        <v>9060400.0</v>
      </c>
      <c r="B1063" s="17">
        <v>100.0</v>
      </c>
      <c r="C1063" s="17">
        <v>9060400.0</v>
      </c>
      <c r="D1063" s="17">
        <v>1.0</v>
      </c>
    </row>
    <row r="1064">
      <c r="A1064" s="17">
        <v>9071000.0</v>
      </c>
      <c r="B1064" s="17">
        <v>100.0</v>
      </c>
      <c r="C1064" s="17">
        <v>9071000.0</v>
      </c>
      <c r="D1064" s="17">
        <v>1.0</v>
      </c>
    </row>
    <row r="1065">
      <c r="A1065" s="17">
        <v>9081000.0</v>
      </c>
      <c r="B1065" s="17">
        <v>100.0</v>
      </c>
      <c r="C1065" s="17">
        <v>9081000.0</v>
      </c>
      <c r="D1065" s="17">
        <v>1.0</v>
      </c>
    </row>
    <row r="1066">
      <c r="A1066" s="17">
        <v>9090200.0</v>
      </c>
      <c r="B1066" s="17">
        <v>100.0</v>
      </c>
      <c r="C1066" s="17">
        <v>9090200.0</v>
      </c>
      <c r="D1066" s="17">
        <v>1.0</v>
      </c>
    </row>
    <row r="1067">
      <c r="A1067" s="17">
        <v>9111500.0</v>
      </c>
      <c r="B1067" s="17">
        <v>100.0</v>
      </c>
      <c r="C1067" s="17">
        <v>9111500.0</v>
      </c>
      <c r="D1067" s="17">
        <v>1.0</v>
      </c>
    </row>
    <row r="1068">
      <c r="A1068" s="17">
        <v>9122000.0</v>
      </c>
      <c r="B1068" s="17">
        <v>100.0</v>
      </c>
      <c r="C1068" s="17">
        <v>9122000.0</v>
      </c>
      <c r="D1068" s="17">
        <v>1.0</v>
      </c>
    </row>
    <row r="1069">
      <c r="A1069" s="17">
        <v>9130300.0</v>
      </c>
      <c r="B1069" s="17">
        <v>100.0</v>
      </c>
      <c r="C1069" s="17">
        <v>9130300.0</v>
      </c>
      <c r="D1069" s="17">
        <v>1.0</v>
      </c>
    </row>
    <row r="1070">
      <c r="A1070" s="17">
        <v>9150400.0</v>
      </c>
      <c r="B1070" s="17">
        <v>100.0</v>
      </c>
      <c r="C1070" s="17">
        <v>9150400.0</v>
      </c>
      <c r="D1070" s="17">
        <v>1.0</v>
      </c>
    </row>
    <row r="1071">
      <c r="A1071" s="17">
        <v>9151100.0</v>
      </c>
      <c r="B1071" s="17">
        <v>100.0</v>
      </c>
      <c r="C1071" s="17">
        <v>9151100.0</v>
      </c>
      <c r="D1071" s="17">
        <v>1.0</v>
      </c>
    </row>
    <row r="1072">
      <c r="A1072" s="17">
        <v>9160900.0</v>
      </c>
      <c r="B1072" s="17">
        <v>100.0</v>
      </c>
      <c r="C1072" s="17">
        <v>9160900.0</v>
      </c>
      <c r="D1072" s="17">
        <v>1.0</v>
      </c>
    </row>
    <row r="1073">
      <c r="A1073" s="17">
        <v>9170100.0</v>
      </c>
      <c r="B1073" s="17">
        <v>100.0</v>
      </c>
      <c r="C1073" s="17">
        <v>9170100.0</v>
      </c>
      <c r="D1073" s="17">
        <v>1.0</v>
      </c>
    </row>
    <row r="1074">
      <c r="A1074" s="17">
        <v>9200600.0</v>
      </c>
      <c r="B1074" s="17">
        <v>100.0</v>
      </c>
      <c r="C1074" s="17">
        <v>9200600.0</v>
      </c>
      <c r="D1074" s="17">
        <v>1.0</v>
      </c>
    </row>
    <row r="1075">
      <c r="A1075" s="17">
        <v>9210600.0</v>
      </c>
      <c r="B1075" s="17">
        <v>100.0</v>
      </c>
      <c r="C1075" s="17">
        <v>9210600.0</v>
      </c>
      <c r="D1075" s="17">
        <v>1.0</v>
      </c>
    </row>
    <row r="1076">
      <c r="A1076" s="17">
        <v>9230500.0</v>
      </c>
      <c r="B1076" s="17">
        <v>100.0</v>
      </c>
      <c r="C1076" s="17">
        <v>9230500.0</v>
      </c>
      <c r="D1076" s="17">
        <v>1.0</v>
      </c>
    </row>
    <row r="1077">
      <c r="A1077" s="17">
        <v>9330900.0</v>
      </c>
      <c r="B1077" s="17">
        <v>100.0</v>
      </c>
      <c r="C1077" s="17">
        <v>9330900.0</v>
      </c>
      <c r="D1077" s="17">
        <v>1.0</v>
      </c>
    </row>
    <row r="1078">
      <c r="A1078" s="17">
        <v>9420000.0</v>
      </c>
      <c r="B1078" s="17">
        <v>100.0</v>
      </c>
      <c r="C1078" s="17">
        <v>9420000.0</v>
      </c>
      <c r="D1078" s="17">
        <v>1.0</v>
      </c>
    </row>
    <row r="1079">
      <c r="A1079" s="17">
        <v>9990000.0</v>
      </c>
      <c r="B1079" s="17">
        <v>-1.0</v>
      </c>
      <c r="C1079" s="17">
        <v>-1.0</v>
      </c>
      <c r="D1079" s="17">
        <v>1.0</v>
      </c>
    </row>
    <row r="1080">
      <c r="A1080" s="17">
        <v>9990100.0</v>
      </c>
      <c r="B1080" s="17">
        <v>100.0</v>
      </c>
      <c r="C1080" s="17">
        <v>9990100.0</v>
      </c>
      <c r="D1080" s="17">
        <v>1.0</v>
      </c>
    </row>
    <row r="1081">
      <c r="A1081" s="17">
        <v>9990101.0</v>
      </c>
      <c r="B1081" s="17">
        <v>100.0</v>
      </c>
      <c r="C1081" s="17">
        <v>9990100.0</v>
      </c>
      <c r="D1081" s="17">
        <v>1.0</v>
      </c>
    </row>
    <row r="1082">
      <c r="A1082" s="17">
        <v>9990102.0</v>
      </c>
      <c r="B1082" s="17">
        <v>100.0</v>
      </c>
      <c r="C1082" s="17">
        <v>9990100.0</v>
      </c>
      <c r="D1082" s="17">
        <v>1.0</v>
      </c>
    </row>
    <row r="1083">
      <c r="A1083" s="17">
        <v>9990103.0</v>
      </c>
      <c r="B1083" s="17">
        <v>100.0</v>
      </c>
      <c r="C1083" s="17">
        <v>9990100.0</v>
      </c>
      <c r="D1083" s="17">
        <v>1.0</v>
      </c>
    </row>
    <row r="1084">
      <c r="A1084" s="17">
        <v>9990104.0</v>
      </c>
      <c r="B1084" s="17">
        <v>100.0</v>
      </c>
      <c r="C1084" s="17">
        <v>9990100.0</v>
      </c>
      <c r="D1084" s="17">
        <v>1.0</v>
      </c>
    </row>
    <row r="1085">
      <c r="A1085" s="17">
        <v>9990105.0</v>
      </c>
      <c r="B1085" s="17">
        <v>100.0</v>
      </c>
      <c r="C1085" s="17">
        <v>9990100.0</v>
      </c>
      <c r="D1085" s="17">
        <v>1.0</v>
      </c>
    </row>
    <row r="1086">
      <c r="A1086" s="17">
        <v>9990106.0</v>
      </c>
      <c r="B1086" s="17">
        <v>100.0</v>
      </c>
      <c r="C1086" s="17">
        <v>9990100.0</v>
      </c>
      <c r="D1086" s="17">
        <v>1.0</v>
      </c>
    </row>
    <row r="1087">
      <c r="A1087" s="17">
        <v>9990107.0</v>
      </c>
      <c r="B1087" s="17">
        <v>100.0</v>
      </c>
      <c r="C1087" s="17">
        <v>9990100.0</v>
      </c>
      <c r="D1087" s="17">
        <v>1.0</v>
      </c>
    </row>
    <row r="1088">
      <c r="A1088" s="17">
        <v>9990108.0</v>
      </c>
      <c r="B1088" s="17">
        <v>100.0</v>
      </c>
      <c r="C1088" s="17">
        <v>9990100.0</v>
      </c>
      <c r="D1088" s="17">
        <v>1.0</v>
      </c>
    </row>
    <row r="1089">
      <c r="A1089" s="17">
        <v>9990109.0</v>
      </c>
      <c r="B1089" s="17">
        <v>100.0</v>
      </c>
      <c r="C1089" s="17">
        <v>9990100.0</v>
      </c>
      <c r="D1089" s="17">
        <v>1.0</v>
      </c>
    </row>
    <row r="1090">
      <c r="A1090" s="17">
        <v>9990110.0</v>
      </c>
      <c r="B1090" s="17">
        <v>100.0</v>
      </c>
      <c r="C1090" s="17">
        <v>9990100.0</v>
      </c>
      <c r="D1090" s="17">
        <v>1.0</v>
      </c>
    </row>
    <row r="1091">
      <c r="A1091" s="17">
        <v>9990111.0</v>
      </c>
      <c r="B1091" s="17">
        <v>100.0</v>
      </c>
      <c r="C1091" s="17">
        <v>9990100.0</v>
      </c>
      <c r="D1091" s="17">
        <v>1.0</v>
      </c>
    </row>
    <row r="1092">
      <c r="A1092" s="17">
        <v>9990112.0</v>
      </c>
      <c r="B1092" s="17">
        <v>100.0</v>
      </c>
      <c r="C1092" s="17">
        <v>9990100.0</v>
      </c>
      <c r="D1092" s="17">
        <v>1.0</v>
      </c>
    </row>
    <row r="1093">
      <c r="A1093" s="17">
        <v>9990113.0</v>
      </c>
      <c r="B1093" s="17">
        <v>100.0</v>
      </c>
      <c r="C1093" s="17">
        <v>9990100.0</v>
      </c>
      <c r="D1093" s="17">
        <v>1.0</v>
      </c>
    </row>
    <row r="1094">
      <c r="A1094" s="17">
        <v>9990114.0</v>
      </c>
      <c r="B1094" s="17">
        <v>100.0</v>
      </c>
      <c r="C1094" s="17">
        <v>9990100.0</v>
      </c>
      <c r="D1094" s="17">
        <v>1.0</v>
      </c>
    </row>
    <row r="1095">
      <c r="A1095" s="17">
        <v>9990115.0</v>
      </c>
      <c r="B1095" s="17">
        <v>100.0</v>
      </c>
      <c r="C1095" s="17">
        <v>9990100.0</v>
      </c>
      <c r="D1095" s="17">
        <v>1.0</v>
      </c>
    </row>
    <row r="1096">
      <c r="A1096" s="17">
        <v>9990116.0</v>
      </c>
      <c r="B1096" s="17">
        <v>100.0</v>
      </c>
      <c r="C1096" s="17">
        <v>9990100.0</v>
      </c>
      <c r="D1096" s="17">
        <v>1.0</v>
      </c>
    </row>
    <row r="1097">
      <c r="A1097" s="17">
        <v>9990117.0</v>
      </c>
      <c r="B1097" s="17">
        <v>100.0</v>
      </c>
      <c r="C1097" s="17">
        <v>9990100.0</v>
      </c>
      <c r="D1097" s="17">
        <v>1.0</v>
      </c>
    </row>
    <row r="1098">
      <c r="A1098" s="17">
        <v>9990118.0</v>
      </c>
      <c r="B1098" s="17">
        <v>100.0</v>
      </c>
      <c r="C1098" s="17">
        <v>9990100.0</v>
      </c>
      <c r="D1098" s="17">
        <v>1.0</v>
      </c>
    </row>
    <row r="1099">
      <c r="A1099" s="17">
        <v>9990119.0</v>
      </c>
      <c r="B1099" s="17">
        <v>100.0</v>
      </c>
      <c r="C1099" s="17">
        <v>9990100.0</v>
      </c>
      <c r="D1099" s="17">
        <v>1.0</v>
      </c>
    </row>
    <row r="1100">
      <c r="A1100" s="17">
        <v>9990120.0</v>
      </c>
      <c r="B1100" s="17">
        <v>100.0</v>
      </c>
      <c r="C1100" s="17">
        <v>9990100.0</v>
      </c>
      <c r="D1100" s="17">
        <v>1.0</v>
      </c>
    </row>
    <row r="1101">
      <c r="A1101" s="17">
        <v>9990121.0</v>
      </c>
      <c r="B1101" s="17">
        <v>100.0</v>
      </c>
      <c r="C1101" s="17">
        <v>9990100.0</v>
      </c>
      <c r="D1101" s="17">
        <v>1.0</v>
      </c>
    </row>
    <row r="1102">
      <c r="A1102" s="17">
        <v>9990122.0</v>
      </c>
      <c r="B1102" s="17">
        <v>100.0</v>
      </c>
      <c r="C1102" s="17">
        <v>9990100.0</v>
      </c>
      <c r="D1102" s="17">
        <v>1.0</v>
      </c>
    </row>
    <row r="1103">
      <c r="A1103" s="17">
        <v>9990123.0</v>
      </c>
      <c r="B1103" s="17">
        <v>100.0</v>
      </c>
      <c r="C1103" s="17">
        <v>9990100.0</v>
      </c>
      <c r="D1103" s="17">
        <v>1.0</v>
      </c>
    </row>
    <row r="1104">
      <c r="A1104" s="17">
        <v>9990124.0</v>
      </c>
      <c r="B1104" s="17">
        <v>100.0</v>
      </c>
      <c r="C1104" s="17">
        <v>9990100.0</v>
      </c>
      <c r="D1104" s="17">
        <v>1.0</v>
      </c>
    </row>
    <row r="1105">
      <c r="A1105" s="17">
        <v>9990125.0</v>
      </c>
      <c r="B1105" s="17">
        <v>100.0</v>
      </c>
      <c r="C1105" s="17">
        <v>9990100.0</v>
      </c>
      <c r="D1105" s="17">
        <v>1.0</v>
      </c>
    </row>
    <row r="1106">
      <c r="A1106" s="17">
        <v>9990126.0</v>
      </c>
      <c r="B1106" s="17">
        <v>100.0</v>
      </c>
      <c r="C1106" s="17">
        <v>9990100.0</v>
      </c>
      <c r="D1106" s="17">
        <v>1.0</v>
      </c>
    </row>
    <row r="1107">
      <c r="A1107" s="17">
        <v>9990127.0</v>
      </c>
      <c r="B1107" s="17">
        <v>100.0</v>
      </c>
      <c r="C1107" s="17">
        <v>9990100.0</v>
      </c>
      <c r="D1107" s="17">
        <v>1.0</v>
      </c>
    </row>
    <row r="1108">
      <c r="A1108" s="17">
        <v>9990128.0</v>
      </c>
      <c r="B1108" s="17">
        <v>100.0</v>
      </c>
      <c r="C1108" s="17">
        <v>9990100.0</v>
      </c>
      <c r="D1108" s="17">
        <v>1.0</v>
      </c>
    </row>
    <row r="1109">
      <c r="A1109" s="17">
        <v>9990129.0</v>
      </c>
      <c r="B1109" s="17">
        <v>100.0</v>
      </c>
      <c r="C1109" s="17">
        <v>9990100.0</v>
      </c>
      <c r="D1109" s="17">
        <v>1.0</v>
      </c>
    </row>
    <row r="1110">
      <c r="A1110" s="17">
        <v>9990130.0</v>
      </c>
      <c r="B1110" s="17">
        <v>100.0</v>
      </c>
      <c r="C1110" s="17">
        <v>9990100.0</v>
      </c>
      <c r="D1110" s="17">
        <v>1.0</v>
      </c>
    </row>
    <row r="1111">
      <c r="A1111" s="17">
        <v>9990131.0</v>
      </c>
      <c r="B1111" s="17">
        <v>100.0</v>
      </c>
      <c r="C1111" s="17">
        <v>9990100.0</v>
      </c>
      <c r="D1111" s="17">
        <v>1.0</v>
      </c>
    </row>
    <row r="1112">
      <c r="A1112" s="17">
        <v>9990132.0</v>
      </c>
      <c r="B1112" s="17">
        <v>100.0</v>
      </c>
      <c r="C1112" s="17">
        <v>9990100.0</v>
      </c>
      <c r="D1112" s="17">
        <v>1.0</v>
      </c>
    </row>
    <row r="1113">
      <c r="A1113" s="17">
        <v>9990133.0</v>
      </c>
      <c r="B1113" s="17">
        <v>100.0</v>
      </c>
      <c r="C1113" s="17">
        <v>9990100.0</v>
      </c>
      <c r="D1113" s="17">
        <v>1.0</v>
      </c>
    </row>
    <row r="1114">
      <c r="A1114" s="17">
        <v>9990134.0</v>
      </c>
      <c r="B1114" s="17">
        <v>100.0</v>
      </c>
      <c r="C1114" s="17">
        <v>9990100.0</v>
      </c>
      <c r="D1114" s="17">
        <v>1.0</v>
      </c>
    </row>
    <row r="1115">
      <c r="A1115" s="17">
        <v>9990135.0</v>
      </c>
      <c r="B1115" s="17">
        <v>100.0</v>
      </c>
      <c r="C1115" s="17">
        <v>9990100.0</v>
      </c>
      <c r="D1115" s="17">
        <v>1.0</v>
      </c>
    </row>
    <row r="1116">
      <c r="A1116" s="17">
        <v>9990136.0</v>
      </c>
      <c r="B1116" s="17">
        <v>100.0</v>
      </c>
      <c r="C1116" s="17">
        <v>9990100.0</v>
      </c>
      <c r="D1116" s="17">
        <v>1.0</v>
      </c>
    </row>
    <row r="1117">
      <c r="A1117" s="17">
        <v>9990137.0</v>
      </c>
      <c r="B1117" s="17">
        <v>100.0</v>
      </c>
      <c r="C1117" s="17">
        <v>9990100.0</v>
      </c>
      <c r="D1117" s="17">
        <v>1.0</v>
      </c>
    </row>
    <row r="1118">
      <c r="A1118" s="17">
        <v>9990138.0</v>
      </c>
      <c r="B1118" s="17">
        <v>100.0</v>
      </c>
      <c r="C1118" s="17">
        <v>9990100.0</v>
      </c>
      <c r="D1118" s="17">
        <v>1.0</v>
      </c>
    </row>
    <row r="1119">
      <c r="A1119" s="17">
        <v>9990139.0</v>
      </c>
      <c r="B1119" s="17">
        <v>100.0</v>
      </c>
      <c r="C1119" s="17">
        <v>9990100.0</v>
      </c>
      <c r="D1119" s="17">
        <v>1.0</v>
      </c>
    </row>
    <row r="1120">
      <c r="A1120" s="17">
        <v>9990140.0</v>
      </c>
      <c r="B1120" s="17">
        <v>100.0</v>
      </c>
      <c r="C1120" s="17">
        <v>9990100.0</v>
      </c>
      <c r="D1120" s="17">
        <v>1.0</v>
      </c>
    </row>
    <row r="1121">
      <c r="A1121" s="17">
        <v>9990141.0</v>
      </c>
      <c r="B1121" s="17">
        <v>100.0</v>
      </c>
      <c r="C1121" s="17">
        <v>9990100.0</v>
      </c>
      <c r="D1121" s="17">
        <v>1.0</v>
      </c>
    </row>
    <row r="1122">
      <c r="A1122" s="17">
        <v>9990142.0</v>
      </c>
      <c r="B1122" s="17">
        <v>100.0</v>
      </c>
      <c r="C1122" s="17">
        <v>9990100.0</v>
      </c>
      <c r="D1122" s="17">
        <v>1.0</v>
      </c>
    </row>
    <row r="1123">
      <c r="A1123" s="17">
        <v>9990143.0</v>
      </c>
      <c r="B1123" s="17">
        <v>100.0</v>
      </c>
      <c r="C1123" s="17">
        <v>9990100.0</v>
      </c>
      <c r="D1123" s="17">
        <v>1.0</v>
      </c>
    </row>
    <row r="1124">
      <c r="A1124" s="17">
        <v>9990144.0</v>
      </c>
      <c r="B1124" s="17">
        <v>100.0</v>
      </c>
      <c r="C1124" s="17">
        <v>9990100.0</v>
      </c>
      <c r="D1124" s="17">
        <v>1.0</v>
      </c>
    </row>
    <row r="1125">
      <c r="A1125" s="17">
        <v>9990145.0</v>
      </c>
      <c r="B1125" s="17">
        <v>100.0</v>
      </c>
      <c r="C1125" s="17">
        <v>9990100.0</v>
      </c>
      <c r="D1125" s="17">
        <v>1.0</v>
      </c>
    </row>
    <row r="1126">
      <c r="A1126" s="17">
        <v>9990146.0</v>
      </c>
      <c r="B1126" s="17">
        <v>100.0</v>
      </c>
      <c r="C1126" s="17">
        <v>9990100.0</v>
      </c>
      <c r="D1126" s="17">
        <v>1.0</v>
      </c>
    </row>
    <row r="1127">
      <c r="A1127" s="17">
        <v>9990147.0</v>
      </c>
      <c r="B1127" s="17">
        <v>100.0</v>
      </c>
      <c r="C1127" s="17">
        <v>9990100.0</v>
      </c>
      <c r="D1127" s="17">
        <v>1.0</v>
      </c>
    </row>
    <row r="1128">
      <c r="A1128" s="17">
        <v>9990148.0</v>
      </c>
      <c r="B1128" s="17">
        <v>100.0</v>
      </c>
      <c r="C1128" s="17">
        <v>9990100.0</v>
      </c>
      <c r="D1128" s="17">
        <v>1.0</v>
      </c>
    </row>
    <row r="1129">
      <c r="A1129" s="17">
        <v>9990149.0</v>
      </c>
      <c r="B1129" s="17">
        <v>100.0</v>
      </c>
      <c r="C1129" s="17">
        <v>9990100.0</v>
      </c>
      <c r="D1129" s="17">
        <v>1.0</v>
      </c>
    </row>
    <row r="1130">
      <c r="A1130" s="17">
        <v>9990150.0</v>
      </c>
      <c r="B1130" s="17">
        <v>100.0</v>
      </c>
      <c r="C1130" s="17">
        <v>9990100.0</v>
      </c>
      <c r="D1130" s="17">
        <v>1.0</v>
      </c>
    </row>
    <row r="1131">
      <c r="A1131" s="17">
        <v>9990151.0</v>
      </c>
      <c r="B1131" s="17">
        <v>100.0</v>
      </c>
      <c r="C1131" s="17">
        <v>9990100.0</v>
      </c>
      <c r="D1131" s="17">
        <v>1.0</v>
      </c>
    </row>
    <row r="1132">
      <c r="A1132" s="17">
        <v>9990152.0</v>
      </c>
      <c r="B1132" s="17">
        <v>100.0</v>
      </c>
      <c r="C1132" s="17">
        <v>9990100.0</v>
      </c>
      <c r="D1132" s="17">
        <v>1.0</v>
      </c>
    </row>
    <row r="1133">
      <c r="A1133" s="17">
        <v>9990153.0</v>
      </c>
      <c r="B1133" s="17">
        <v>100.0</v>
      </c>
      <c r="C1133" s="17">
        <v>9990100.0</v>
      </c>
      <c r="D1133" s="17">
        <v>1.0</v>
      </c>
    </row>
    <row r="1134">
      <c r="A1134" s="17">
        <v>9990154.0</v>
      </c>
      <c r="B1134" s="17">
        <v>100.0</v>
      </c>
      <c r="C1134" s="17">
        <v>9990100.0</v>
      </c>
      <c r="D1134" s="17">
        <v>1.0</v>
      </c>
    </row>
    <row r="1135">
      <c r="A1135" s="17">
        <v>9990155.0</v>
      </c>
      <c r="B1135" s="17">
        <v>100.0</v>
      </c>
      <c r="C1135" s="17">
        <v>9990100.0</v>
      </c>
      <c r="D1135" s="17">
        <v>1.0</v>
      </c>
    </row>
    <row r="1136">
      <c r="A1136" s="17">
        <v>9990156.0</v>
      </c>
      <c r="B1136" s="17">
        <v>100.0</v>
      </c>
      <c r="C1136" s="17">
        <v>9990100.0</v>
      </c>
      <c r="D1136" s="17">
        <v>1.0</v>
      </c>
    </row>
    <row r="1137">
      <c r="A1137" s="17">
        <v>9990157.0</v>
      </c>
      <c r="B1137" s="17">
        <v>100.0</v>
      </c>
      <c r="C1137" s="17">
        <v>9990100.0</v>
      </c>
      <c r="D1137" s="17">
        <v>1.0</v>
      </c>
    </row>
    <row r="1138">
      <c r="A1138" s="17">
        <v>9990158.0</v>
      </c>
      <c r="B1138" s="17">
        <v>100.0</v>
      </c>
      <c r="C1138" s="17">
        <v>9990100.0</v>
      </c>
      <c r="D1138" s="17">
        <v>1.0</v>
      </c>
    </row>
    <row r="1139">
      <c r="A1139" s="17">
        <v>9990159.0</v>
      </c>
      <c r="B1139" s="17">
        <v>100.0</v>
      </c>
      <c r="C1139" s="17">
        <v>9990100.0</v>
      </c>
      <c r="D1139" s="17">
        <v>1.0</v>
      </c>
    </row>
    <row r="1140">
      <c r="A1140" s="17">
        <v>9990160.0</v>
      </c>
      <c r="B1140" s="17">
        <v>100.0</v>
      </c>
      <c r="C1140" s="17">
        <v>9990100.0</v>
      </c>
      <c r="D1140" s="17">
        <v>1.0</v>
      </c>
    </row>
    <row r="1141">
      <c r="A1141" s="17">
        <v>9990161.0</v>
      </c>
      <c r="B1141" s="17">
        <v>100.0</v>
      </c>
      <c r="C1141" s="17">
        <v>9990100.0</v>
      </c>
      <c r="D1141" s="17">
        <v>1.0</v>
      </c>
    </row>
    <row r="1142">
      <c r="A1142" s="17">
        <v>9990162.0</v>
      </c>
      <c r="B1142" s="17">
        <v>100.0</v>
      </c>
      <c r="C1142" s="17">
        <v>9990100.0</v>
      </c>
      <c r="D1142" s="17">
        <v>1.0</v>
      </c>
    </row>
    <row r="1143">
      <c r="A1143" s="17">
        <v>9990163.0</v>
      </c>
      <c r="B1143" s="17">
        <v>100.0</v>
      </c>
      <c r="C1143" s="17">
        <v>9990100.0</v>
      </c>
      <c r="D1143" s="17">
        <v>1.0</v>
      </c>
    </row>
    <row r="1144">
      <c r="A1144" s="17">
        <v>9990164.0</v>
      </c>
      <c r="B1144" s="17">
        <v>100.0</v>
      </c>
      <c r="C1144" s="17">
        <v>9990100.0</v>
      </c>
      <c r="D1144" s="17">
        <v>1.0</v>
      </c>
    </row>
    <row r="1145">
      <c r="A1145" s="17">
        <v>9990165.0</v>
      </c>
      <c r="B1145" s="17">
        <v>100.0</v>
      </c>
      <c r="C1145" s="17">
        <v>9990100.0</v>
      </c>
      <c r="D1145" s="17">
        <v>1.0</v>
      </c>
    </row>
    <row r="1146">
      <c r="A1146" s="17">
        <v>9990166.0</v>
      </c>
      <c r="B1146" s="17">
        <v>100.0</v>
      </c>
      <c r="C1146" s="17">
        <v>9990100.0</v>
      </c>
      <c r="D1146" s="17">
        <v>1.0</v>
      </c>
    </row>
    <row r="1147">
      <c r="A1147" s="17">
        <v>9990167.0</v>
      </c>
      <c r="B1147" s="17">
        <v>100.0</v>
      </c>
      <c r="C1147" s="17">
        <v>9990100.0</v>
      </c>
      <c r="D1147" s="17">
        <v>1.0</v>
      </c>
    </row>
    <row r="1148">
      <c r="A1148" s="17">
        <v>9990168.0</v>
      </c>
      <c r="B1148" s="17">
        <v>100.0</v>
      </c>
      <c r="C1148" s="17">
        <v>9990100.0</v>
      </c>
      <c r="D1148" s="17">
        <v>1.0</v>
      </c>
    </row>
    <row r="1149">
      <c r="A1149" s="17">
        <v>9990169.0</v>
      </c>
      <c r="B1149" s="17">
        <v>100.0</v>
      </c>
      <c r="C1149" s="17">
        <v>9990100.0</v>
      </c>
      <c r="D1149" s="17">
        <v>1.0</v>
      </c>
    </row>
    <row r="1150">
      <c r="A1150" s="17">
        <v>9990170.0</v>
      </c>
      <c r="B1150" s="17">
        <v>100.0</v>
      </c>
      <c r="C1150" s="17">
        <v>9990100.0</v>
      </c>
      <c r="D1150" s="17">
        <v>1.0</v>
      </c>
    </row>
    <row r="1151">
      <c r="A1151" s="17">
        <v>9990171.0</v>
      </c>
      <c r="B1151" s="17">
        <v>100.0</v>
      </c>
      <c r="C1151" s="17">
        <v>9990100.0</v>
      </c>
      <c r="D1151" s="17">
        <v>1.0</v>
      </c>
    </row>
    <row r="1152">
      <c r="A1152" s="17">
        <v>9990172.0</v>
      </c>
      <c r="B1152" s="17">
        <v>100.0</v>
      </c>
      <c r="C1152" s="17">
        <v>9990100.0</v>
      </c>
      <c r="D1152" s="17">
        <v>1.0</v>
      </c>
    </row>
    <row r="1153">
      <c r="A1153" s="17">
        <v>9990173.0</v>
      </c>
      <c r="B1153" s="17">
        <v>100.0</v>
      </c>
      <c r="C1153" s="17">
        <v>9990100.0</v>
      </c>
      <c r="D1153" s="17">
        <v>1.0</v>
      </c>
    </row>
    <row r="1154">
      <c r="A1154" s="17">
        <v>9990174.0</v>
      </c>
      <c r="B1154" s="17">
        <v>100.0</v>
      </c>
      <c r="C1154" s="17">
        <v>9990100.0</v>
      </c>
      <c r="D1154" s="17">
        <v>1.0</v>
      </c>
    </row>
    <row r="1155">
      <c r="A1155" s="17">
        <v>9990175.0</v>
      </c>
      <c r="B1155" s="17">
        <v>100.0</v>
      </c>
      <c r="C1155" s="17">
        <v>9990100.0</v>
      </c>
      <c r="D1155" s="17">
        <v>1.0</v>
      </c>
    </row>
    <row r="1156">
      <c r="A1156" s="17">
        <v>9990176.0</v>
      </c>
      <c r="B1156" s="17">
        <v>100.0</v>
      </c>
      <c r="C1156" s="17">
        <v>9990100.0</v>
      </c>
      <c r="D1156" s="17">
        <v>1.0</v>
      </c>
    </row>
    <row r="1157">
      <c r="A1157" s="17">
        <v>9990177.0</v>
      </c>
      <c r="B1157" s="17">
        <v>100.0</v>
      </c>
      <c r="C1157" s="17">
        <v>9990100.0</v>
      </c>
      <c r="D1157" s="17">
        <v>1.0</v>
      </c>
    </row>
    <row r="1158">
      <c r="A1158" s="17">
        <v>9990178.0</v>
      </c>
      <c r="B1158" s="17">
        <v>100.0</v>
      </c>
      <c r="C1158" s="17">
        <v>9990100.0</v>
      </c>
      <c r="D1158" s="17">
        <v>1.0</v>
      </c>
    </row>
    <row r="1159">
      <c r="A1159" s="17">
        <v>9990179.0</v>
      </c>
      <c r="B1159" s="17">
        <v>100.0</v>
      </c>
      <c r="C1159" s="17">
        <v>9990100.0</v>
      </c>
      <c r="D1159" s="17">
        <v>1.0</v>
      </c>
    </row>
    <row r="1160">
      <c r="A1160" s="17">
        <v>9990180.0</v>
      </c>
      <c r="B1160" s="17">
        <v>100.0</v>
      </c>
      <c r="C1160" s="17">
        <v>9990100.0</v>
      </c>
      <c r="D1160" s="17">
        <v>1.0</v>
      </c>
    </row>
    <row r="1161">
      <c r="A1161" s="17">
        <v>9990181.0</v>
      </c>
      <c r="B1161" s="17">
        <v>100.0</v>
      </c>
      <c r="C1161" s="17">
        <v>9990100.0</v>
      </c>
      <c r="D1161" s="17">
        <v>1.0</v>
      </c>
    </row>
    <row r="1162">
      <c r="A1162" s="17">
        <v>9990182.0</v>
      </c>
      <c r="B1162" s="17">
        <v>100.0</v>
      </c>
      <c r="C1162" s="17">
        <v>9990100.0</v>
      </c>
      <c r="D1162" s="17">
        <v>1.0</v>
      </c>
    </row>
    <row r="1163">
      <c r="A1163" s="17">
        <v>9990183.0</v>
      </c>
      <c r="B1163" s="17">
        <v>100.0</v>
      </c>
      <c r="C1163" s="17">
        <v>9990100.0</v>
      </c>
      <c r="D1163" s="17">
        <v>1.0</v>
      </c>
    </row>
    <row r="1164">
      <c r="A1164" s="17">
        <v>9990184.0</v>
      </c>
      <c r="B1164" s="17">
        <v>100.0</v>
      </c>
      <c r="C1164" s="17">
        <v>9990100.0</v>
      </c>
      <c r="D1164" s="17">
        <v>1.0</v>
      </c>
    </row>
    <row r="1165">
      <c r="A1165" s="17">
        <v>9990185.0</v>
      </c>
      <c r="B1165" s="17">
        <v>100.0</v>
      </c>
      <c r="C1165" s="17">
        <v>9990100.0</v>
      </c>
      <c r="D1165" s="17">
        <v>1.0</v>
      </c>
    </row>
    <row r="1166">
      <c r="A1166" s="17">
        <v>9990186.0</v>
      </c>
      <c r="B1166" s="17">
        <v>100.0</v>
      </c>
      <c r="C1166" s="17">
        <v>9990100.0</v>
      </c>
      <c r="D1166" s="17">
        <v>1.0</v>
      </c>
    </row>
    <row r="1167">
      <c r="A1167" s="17">
        <v>9990187.0</v>
      </c>
      <c r="B1167" s="17">
        <v>100.0</v>
      </c>
      <c r="C1167" s="17">
        <v>9990100.0</v>
      </c>
      <c r="D1167" s="17">
        <v>1.0</v>
      </c>
    </row>
    <row r="1168">
      <c r="A1168" s="17">
        <v>9990188.0</v>
      </c>
      <c r="B1168" s="17">
        <v>100.0</v>
      </c>
      <c r="C1168" s="17">
        <v>9990100.0</v>
      </c>
      <c r="D1168" s="17">
        <v>1.0</v>
      </c>
    </row>
    <row r="1169">
      <c r="A1169" s="17">
        <v>9990189.0</v>
      </c>
      <c r="B1169" s="17">
        <v>100.0</v>
      </c>
      <c r="C1169" s="17">
        <v>9990100.0</v>
      </c>
      <c r="D1169" s="17">
        <v>1.0</v>
      </c>
    </row>
    <row r="1170">
      <c r="A1170" s="17">
        <v>9990190.0</v>
      </c>
      <c r="B1170" s="17">
        <v>100.0</v>
      </c>
      <c r="C1170" s="17">
        <v>9990100.0</v>
      </c>
      <c r="D1170" s="17">
        <v>1.0</v>
      </c>
    </row>
    <row r="1171">
      <c r="A1171" s="17">
        <v>9990191.0</v>
      </c>
      <c r="B1171" s="17">
        <v>100.0</v>
      </c>
      <c r="C1171" s="17">
        <v>9990100.0</v>
      </c>
      <c r="D1171" s="17">
        <v>1.0</v>
      </c>
    </row>
    <row r="1172">
      <c r="A1172" s="17">
        <v>9990192.0</v>
      </c>
      <c r="B1172" s="17">
        <v>100.0</v>
      </c>
      <c r="C1172" s="17">
        <v>9990100.0</v>
      </c>
      <c r="D1172" s="17">
        <v>1.0</v>
      </c>
    </row>
    <row r="1173">
      <c r="A1173" s="17">
        <v>9990193.0</v>
      </c>
      <c r="B1173" s="17">
        <v>100.0</v>
      </c>
      <c r="C1173" s="17">
        <v>9990100.0</v>
      </c>
      <c r="D1173" s="17">
        <v>1.0</v>
      </c>
    </row>
    <row r="1174">
      <c r="A1174" s="17">
        <v>9990194.0</v>
      </c>
      <c r="B1174" s="17">
        <v>100.0</v>
      </c>
      <c r="C1174" s="17">
        <v>9990100.0</v>
      </c>
      <c r="D1174" s="17">
        <v>1.0</v>
      </c>
    </row>
    <row r="1175">
      <c r="A1175" s="17">
        <v>9990195.0</v>
      </c>
      <c r="B1175" s="17">
        <v>100.0</v>
      </c>
      <c r="C1175" s="17">
        <v>9990100.0</v>
      </c>
      <c r="D1175" s="17">
        <v>1.0</v>
      </c>
    </row>
    <row r="1176">
      <c r="A1176" s="17">
        <v>9990196.0</v>
      </c>
      <c r="B1176" s="17">
        <v>100.0</v>
      </c>
      <c r="C1176" s="17">
        <v>9990100.0</v>
      </c>
      <c r="D1176" s="17">
        <v>1.0</v>
      </c>
    </row>
    <row r="1177">
      <c r="A1177" s="17">
        <v>9990197.0</v>
      </c>
      <c r="B1177" s="17">
        <v>100.0</v>
      </c>
      <c r="C1177" s="17">
        <v>9990100.0</v>
      </c>
      <c r="D1177" s="17">
        <v>1.0</v>
      </c>
    </row>
    <row r="1178">
      <c r="A1178" s="17">
        <v>9990198.0</v>
      </c>
      <c r="B1178" s="17">
        <v>100.0</v>
      </c>
      <c r="C1178" s="17">
        <v>9990100.0</v>
      </c>
      <c r="D1178" s="17">
        <v>1.0</v>
      </c>
    </row>
    <row r="1179">
      <c r="A1179" s="17">
        <v>9990199.0</v>
      </c>
      <c r="B1179" s="17">
        <v>100.0</v>
      </c>
      <c r="C1179" s="17">
        <v>9990100.0</v>
      </c>
      <c r="D1179" s="17">
        <v>1.0</v>
      </c>
    </row>
    <row r="1180">
      <c r="A1180" s="17">
        <v>9990200.0</v>
      </c>
      <c r="B1180" s="17">
        <v>100.0</v>
      </c>
      <c r="C1180" s="17">
        <v>9990200.0</v>
      </c>
      <c r="D1180" s="17">
        <v>1.0</v>
      </c>
    </row>
    <row r="1181">
      <c r="A1181" s="17">
        <v>9990201.0</v>
      </c>
      <c r="B1181" s="17">
        <v>100.0</v>
      </c>
      <c r="C1181" s="17">
        <v>9990200.0</v>
      </c>
      <c r="D1181" s="17">
        <v>1.0</v>
      </c>
    </row>
    <row r="1182">
      <c r="A1182" s="17">
        <v>9990202.0</v>
      </c>
      <c r="B1182" s="17">
        <v>100.0</v>
      </c>
      <c r="C1182" s="17">
        <v>9990200.0</v>
      </c>
      <c r="D1182" s="17">
        <v>1.0</v>
      </c>
    </row>
    <row r="1183">
      <c r="A1183" s="17">
        <v>9990203.0</v>
      </c>
      <c r="B1183" s="17">
        <v>100.0</v>
      </c>
      <c r="C1183" s="17">
        <v>9990200.0</v>
      </c>
      <c r="D1183" s="17">
        <v>1.0</v>
      </c>
    </row>
    <row r="1184">
      <c r="A1184" s="17">
        <v>9990204.0</v>
      </c>
      <c r="B1184" s="17">
        <v>100.0</v>
      </c>
      <c r="C1184" s="17">
        <v>9990200.0</v>
      </c>
      <c r="D1184" s="17">
        <v>1.0</v>
      </c>
    </row>
    <row r="1185">
      <c r="A1185" s="17">
        <v>9990205.0</v>
      </c>
      <c r="B1185" s="17">
        <v>100.0</v>
      </c>
      <c r="C1185" s="17">
        <v>9990200.0</v>
      </c>
      <c r="D1185" s="17">
        <v>1.0</v>
      </c>
    </row>
    <row r="1186">
      <c r="A1186" s="17">
        <v>9990206.0</v>
      </c>
      <c r="B1186" s="17">
        <v>100.0</v>
      </c>
      <c r="C1186" s="17">
        <v>9990200.0</v>
      </c>
      <c r="D1186" s="17">
        <v>1.0</v>
      </c>
    </row>
    <row r="1187">
      <c r="A1187" s="17">
        <v>9990207.0</v>
      </c>
      <c r="B1187" s="17">
        <v>100.0</v>
      </c>
      <c r="C1187" s="17">
        <v>9990200.0</v>
      </c>
      <c r="D1187" s="17">
        <v>1.0</v>
      </c>
    </row>
    <row r="1188">
      <c r="A1188" s="17">
        <v>9990208.0</v>
      </c>
      <c r="B1188" s="17">
        <v>100.0</v>
      </c>
      <c r="C1188" s="17">
        <v>9990200.0</v>
      </c>
      <c r="D1188" s="17">
        <v>1.0</v>
      </c>
    </row>
    <row r="1189">
      <c r="A1189" s="17">
        <v>9990209.0</v>
      </c>
      <c r="B1189" s="17">
        <v>100.0</v>
      </c>
      <c r="C1189" s="17">
        <v>9990200.0</v>
      </c>
      <c r="D1189" s="17">
        <v>1.0</v>
      </c>
    </row>
    <row r="1190">
      <c r="A1190" s="17">
        <v>9990210.0</v>
      </c>
      <c r="B1190" s="17">
        <v>100.0</v>
      </c>
      <c r="C1190" s="17">
        <v>9990200.0</v>
      </c>
      <c r="D1190" s="17">
        <v>1.0</v>
      </c>
    </row>
    <row r="1191">
      <c r="A1191" s="17">
        <v>9990211.0</v>
      </c>
      <c r="B1191" s="17">
        <v>100.0</v>
      </c>
      <c r="C1191" s="17">
        <v>9990200.0</v>
      </c>
      <c r="D1191" s="17">
        <v>1.0</v>
      </c>
    </row>
    <row r="1192">
      <c r="A1192" s="17">
        <v>9990212.0</v>
      </c>
      <c r="B1192" s="17">
        <v>100.0</v>
      </c>
      <c r="C1192" s="17">
        <v>9990200.0</v>
      </c>
      <c r="D1192" s="17">
        <v>1.0</v>
      </c>
    </row>
    <row r="1193">
      <c r="A1193" s="17">
        <v>9990213.0</v>
      </c>
      <c r="B1193" s="17">
        <v>100.0</v>
      </c>
      <c r="C1193" s="17">
        <v>9990200.0</v>
      </c>
      <c r="D1193" s="17">
        <v>1.0</v>
      </c>
    </row>
    <row r="1194">
      <c r="A1194" s="17">
        <v>9990214.0</v>
      </c>
      <c r="B1194" s="17">
        <v>100.0</v>
      </c>
      <c r="C1194" s="17">
        <v>9990200.0</v>
      </c>
      <c r="D1194" s="17">
        <v>1.0</v>
      </c>
    </row>
    <row r="1195">
      <c r="A1195" s="17">
        <v>9990215.0</v>
      </c>
      <c r="B1195" s="17">
        <v>100.0</v>
      </c>
      <c r="C1195" s="17">
        <v>9990200.0</v>
      </c>
      <c r="D1195" s="17">
        <v>1.0</v>
      </c>
    </row>
    <row r="1196">
      <c r="A1196" s="17">
        <v>9990216.0</v>
      </c>
      <c r="B1196" s="17">
        <v>100.0</v>
      </c>
      <c r="C1196" s="17">
        <v>9990200.0</v>
      </c>
      <c r="D1196" s="17">
        <v>1.0</v>
      </c>
    </row>
    <row r="1197">
      <c r="A1197" s="17">
        <v>9990217.0</v>
      </c>
      <c r="B1197" s="17">
        <v>100.0</v>
      </c>
      <c r="C1197" s="17">
        <v>9990200.0</v>
      </c>
      <c r="D1197" s="17">
        <v>1.0</v>
      </c>
    </row>
    <row r="1198">
      <c r="A1198" s="17">
        <v>9990218.0</v>
      </c>
      <c r="B1198" s="17">
        <v>100.0</v>
      </c>
      <c r="C1198" s="17">
        <v>9990200.0</v>
      </c>
      <c r="D1198" s="17">
        <v>1.0</v>
      </c>
    </row>
    <row r="1199">
      <c r="A1199" s="17">
        <v>9990219.0</v>
      </c>
      <c r="B1199" s="17">
        <v>100.0</v>
      </c>
      <c r="C1199" s="17">
        <v>9990200.0</v>
      </c>
      <c r="D1199" s="17">
        <v>1.0</v>
      </c>
    </row>
    <row r="1200">
      <c r="A1200" s="17">
        <v>9990220.0</v>
      </c>
      <c r="B1200" s="17">
        <v>100.0</v>
      </c>
      <c r="C1200" s="17">
        <v>9990200.0</v>
      </c>
      <c r="D1200" s="17">
        <v>1.0</v>
      </c>
    </row>
    <row r="1201">
      <c r="A1201" s="17">
        <v>9990221.0</v>
      </c>
      <c r="B1201" s="17">
        <v>100.0</v>
      </c>
      <c r="C1201" s="17">
        <v>9990200.0</v>
      </c>
      <c r="D1201" s="17">
        <v>1.0</v>
      </c>
    </row>
    <row r="1202">
      <c r="A1202" s="17">
        <v>9990222.0</v>
      </c>
      <c r="B1202" s="17">
        <v>100.0</v>
      </c>
      <c r="C1202" s="17">
        <v>9990200.0</v>
      </c>
      <c r="D1202" s="17">
        <v>1.0</v>
      </c>
    </row>
    <row r="1203">
      <c r="A1203" s="17">
        <v>9990223.0</v>
      </c>
      <c r="B1203" s="17">
        <v>100.0</v>
      </c>
      <c r="C1203" s="17">
        <v>9990200.0</v>
      </c>
      <c r="D1203" s="17">
        <v>1.0</v>
      </c>
    </row>
    <row r="1204">
      <c r="A1204" s="17">
        <v>9990224.0</v>
      </c>
      <c r="B1204" s="17">
        <v>100.0</v>
      </c>
      <c r="C1204" s="17">
        <v>9990200.0</v>
      </c>
      <c r="D1204" s="17">
        <v>1.0</v>
      </c>
    </row>
    <row r="1205">
      <c r="A1205" s="17">
        <v>9990225.0</v>
      </c>
      <c r="B1205" s="17">
        <v>100.0</v>
      </c>
      <c r="C1205" s="17">
        <v>9990200.0</v>
      </c>
      <c r="D1205" s="17">
        <v>1.0</v>
      </c>
    </row>
    <row r="1206">
      <c r="A1206" s="17">
        <v>9990226.0</v>
      </c>
      <c r="B1206" s="17">
        <v>100.0</v>
      </c>
      <c r="C1206" s="17">
        <v>9990200.0</v>
      </c>
      <c r="D1206" s="17">
        <v>1.0</v>
      </c>
    </row>
    <row r="1207">
      <c r="A1207" s="17">
        <v>9990227.0</v>
      </c>
      <c r="B1207" s="17">
        <v>100.0</v>
      </c>
      <c r="C1207" s="17">
        <v>9990200.0</v>
      </c>
      <c r="D1207" s="17">
        <v>1.0</v>
      </c>
    </row>
    <row r="1208">
      <c r="A1208" s="17">
        <v>9990228.0</v>
      </c>
      <c r="B1208" s="17">
        <v>100.0</v>
      </c>
      <c r="C1208" s="17">
        <v>9990200.0</v>
      </c>
      <c r="D1208" s="17">
        <v>1.0</v>
      </c>
    </row>
    <row r="1209">
      <c r="A1209" s="17">
        <v>9990229.0</v>
      </c>
      <c r="B1209" s="17">
        <v>100.0</v>
      </c>
      <c r="C1209" s="17">
        <v>9990200.0</v>
      </c>
      <c r="D1209" s="17">
        <v>1.0</v>
      </c>
    </row>
    <row r="1210">
      <c r="A1210" s="17">
        <v>9990230.0</v>
      </c>
      <c r="B1210" s="17">
        <v>100.0</v>
      </c>
      <c r="C1210" s="17">
        <v>9990200.0</v>
      </c>
      <c r="D1210" s="17">
        <v>1.0</v>
      </c>
    </row>
    <row r="1211">
      <c r="A1211" s="17">
        <v>9990231.0</v>
      </c>
      <c r="B1211" s="17">
        <v>100.0</v>
      </c>
      <c r="C1211" s="17">
        <v>9990200.0</v>
      </c>
      <c r="D1211" s="17">
        <v>1.0</v>
      </c>
    </row>
    <row r="1212">
      <c r="A1212" s="17">
        <v>9990232.0</v>
      </c>
      <c r="B1212" s="17">
        <v>100.0</v>
      </c>
      <c r="C1212" s="17">
        <v>9990200.0</v>
      </c>
      <c r="D1212" s="17">
        <v>1.0</v>
      </c>
    </row>
    <row r="1213">
      <c r="A1213" s="17">
        <v>9990233.0</v>
      </c>
      <c r="B1213" s="17">
        <v>100.0</v>
      </c>
      <c r="C1213" s="17">
        <v>9990200.0</v>
      </c>
      <c r="D1213" s="17">
        <v>1.0</v>
      </c>
    </row>
    <row r="1214">
      <c r="A1214" s="17">
        <v>9990234.0</v>
      </c>
      <c r="B1214" s="17">
        <v>100.0</v>
      </c>
      <c r="C1214" s="17">
        <v>9990200.0</v>
      </c>
      <c r="D1214" s="17">
        <v>1.0</v>
      </c>
    </row>
    <row r="1215">
      <c r="A1215" s="17">
        <v>9990235.0</v>
      </c>
      <c r="B1215" s="17">
        <v>100.0</v>
      </c>
      <c r="C1215" s="17">
        <v>9990200.0</v>
      </c>
      <c r="D1215" s="17">
        <v>1.0</v>
      </c>
    </row>
    <row r="1216">
      <c r="A1216" s="17">
        <v>9990236.0</v>
      </c>
      <c r="B1216" s="17">
        <v>100.0</v>
      </c>
      <c r="C1216" s="17">
        <v>9990200.0</v>
      </c>
      <c r="D1216" s="17">
        <v>1.0</v>
      </c>
    </row>
    <row r="1217">
      <c r="A1217" s="17">
        <v>9990237.0</v>
      </c>
      <c r="B1217" s="17">
        <v>100.0</v>
      </c>
      <c r="C1217" s="17">
        <v>9990200.0</v>
      </c>
      <c r="D1217" s="17">
        <v>1.0</v>
      </c>
    </row>
    <row r="1218">
      <c r="A1218" s="17">
        <v>9990238.0</v>
      </c>
      <c r="B1218" s="17">
        <v>100.0</v>
      </c>
      <c r="C1218" s="17">
        <v>9990200.0</v>
      </c>
      <c r="D1218" s="17">
        <v>1.0</v>
      </c>
    </row>
    <row r="1219">
      <c r="A1219" s="17">
        <v>9990239.0</v>
      </c>
      <c r="B1219" s="17">
        <v>100.0</v>
      </c>
      <c r="C1219" s="17">
        <v>9990200.0</v>
      </c>
      <c r="D1219" s="17">
        <v>1.0</v>
      </c>
    </row>
    <row r="1220">
      <c r="A1220" s="17">
        <v>9990240.0</v>
      </c>
      <c r="B1220" s="17">
        <v>100.0</v>
      </c>
      <c r="C1220" s="17">
        <v>9990200.0</v>
      </c>
      <c r="D1220" s="17">
        <v>1.0</v>
      </c>
    </row>
    <row r="1221">
      <c r="A1221" s="17">
        <v>9990241.0</v>
      </c>
      <c r="B1221" s="17">
        <v>100.0</v>
      </c>
      <c r="C1221" s="17">
        <v>9990200.0</v>
      </c>
      <c r="D1221" s="17">
        <v>1.0</v>
      </c>
    </row>
    <row r="1222">
      <c r="A1222" s="17">
        <v>9990242.0</v>
      </c>
      <c r="B1222" s="17">
        <v>100.0</v>
      </c>
      <c r="C1222" s="17">
        <v>9990200.0</v>
      </c>
      <c r="D1222" s="17">
        <v>1.0</v>
      </c>
    </row>
    <row r="1223">
      <c r="A1223" s="17">
        <v>9990243.0</v>
      </c>
      <c r="B1223" s="17">
        <v>100.0</v>
      </c>
      <c r="C1223" s="17">
        <v>9990200.0</v>
      </c>
      <c r="D1223" s="17">
        <v>1.0</v>
      </c>
    </row>
    <row r="1224">
      <c r="A1224" s="17">
        <v>9990244.0</v>
      </c>
      <c r="B1224" s="17">
        <v>100.0</v>
      </c>
      <c r="C1224" s="17">
        <v>9990200.0</v>
      </c>
      <c r="D1224" s="17">
        <v>1.0</v>
      </c>
    </row>
    <row r="1225">
      <c r="A1225" s="17">
        <v>9990245.0</v>
      </c>
      <c r="B1225" s="17">
        <v>100.0</v>
      </c>
      <c r="C1225" s="17">
        <v>9990200.0</v>
      </c>
      <c r="D1225" s="17">
        <v>1.0</v>
      </c>
    </row>
    <row r="1226">
      <c r="A1226" s="17">
        <v>9990246.0</v>
      </c>
      <c r="B1226" s="17">
        <v>100.0</v>
      </c>
      <c r="C1226" s="17">
        <v>9990200.0</v>
      </c>
      <c r="D1226" s="17">
        <v>1.0</v>
      </c>
    </row>
    <row r="1227">
      <c r="A1227" s="17">
        <v>9990247.0</v>
      </c>
      <c r="B1227" s="17">
        <v>100.0</v>
      </c>
      <c r="C1227" s="17">
        <v>9990200.0</v>
      </c>
      <c r="D1227" s="17">
        <v>1.0</v>
      </c>
    </row>
    <row r="1228">
      <c r="A1228" s="17">
        <v>9990248.0</v>
      </c>
      <c r="B1228" s="17">
        <v>100.0</v>
      </c>
      <c r="C1228" s="17">
        <v>9990200.0</v>
      </c>
      <c r="D1228" s="17">
        <v>1.0</v>
      </c>
    </row>
    <row r="1229">
      <c r="A1229" s="17">
        <v>9990249.0</v>
      </c>
      <c r="B1229" s="17">
        <v>100.0</v>
      </c>
      <c r="C1229" s="17">
        <v>9990200.0</v>
      </c>
      <c r="D1229" s="17">
        <v>1.0</v>
      </c>
    </row>
    <row r="1230">
      <c r="A1230" s="17">
        <v>9990250.0</v>
      </c>
      <c r="B1230" s="17">
        <v>100.0</v>
      </c>
      <c r="C1230" s="17">
        <v>9990200.0</v>
      </c>
      <c r="D1230" s="17">
        <v>1.0</v>
      </c>
    </row>
    <row r="1231">
      <c r="A1231" s="17">
        <v>9990251.0</v>
      </c>
      <c r="B1231" s="17">
        <v>100.0</v>
      </c>
      <c r="C1231" s="17">
        <v>9990200.0</v>
      </c>
      <c r="D1231" s="17">
        <v>1.0</v>
      </c>
    </row>
    <row r="1232">
      <c r="A1232" s="17">
        <v>9990252.0</v>
      </c>
      <c r="B1232" s="17">
        <v>100.0</v>
      </c>
      <c r="C1232" s="17">
        <v>9990200.0</v>
      </c>
      <c r="D1232" s="17">
        <v>1.0</v>
      </c>
    </row>
    <row r="1233">
      <c r="A1233" s="17">
        <v>9990253.0</v>
      </c>
      <c r="B1233" s="17">
        <v>100.0</v>
      </c>
      <c r="C1233" s="17">
        <v>9990200.0</v>
      </c>
      <c r="D1233" s="17">
        <v>1.0</v>
      </c>
    </row>
    <row r="1234">
      <c r="A1234" s="17">
        <v>9990254.0</v>
      </c>
      <c r="B1234" s="17">
        <v>100.0</v>
      </c>
      <c r="C1234" s="17">
        <v>9990200.0</v>
      </c>
      <c r="D1234" s="17">
        <v>1.0</v>
      </c>
    </row>
    <row r="1235">
      <c r="A1235" s="17">
        <v>9990255.0</v>
      </c>
      <c r="B1235" s="17">
        <v>100.0</v>
      </c>
      <c r="C1235" s="17">
        <v>9990200.0</v>
      </c>
      <c r="D1235" s="17">
        <v>1.0</v>
      </c>
    </row>
    <row r="1236">
      <c r="A1236" s="17">
        <v>9990256.0</v>
      </c>
      <c r="B1236" s="17">
        <v>100.0</v>
      </c>
      <c r="C1236" s="17">
        <v>9990200.0</v>
      </c>
      <c r="D1236" s="17">
        <v>1.0</v>
      </c>
    </row>
    <row r="1237">
      <c r="A1237" s="17">
        <v>9990257.0</v>
      </c>
      <c r="B1237" s="17">
        <v>100.0</v>
      </c>
      <c r="C1237" s="17">
        <v>9990200.0</v>
      </c>
      <c r="D1237" s="17">
        <v>1.0</v>
      </c>
    </row>
    <row r="1238">
      <c r="A1238" s="17">
        <v>9990258.0</v>
      </c>
      <c r="B1238" s="17">
        <v>100.0</v>
      </c>
      <c r="C1238" s="17">
        <v>9990200.0</v>
      </c>
      <c r="D1238" s="17">
        <v>1.0</v>
      </c>
    </row>
    <row r="1239">
      <c r="A1239" s="17">
        <v>9990259.0</v>
      </c>
      <c r="B1239" s="17">
        <v>100.0</v>
      </c>
      <c r="C1239" s="17">
        <v>9990200.0</v>
      </c>
      <c r="D1239" s="17">
        <v>1.0</v>
      </c>
    </row>
    <row r="1240">
      <c r="A1240" s="17">
        <v>9990260.0</v>
      </c>
      <c r="B1240" s="17">
        <v>100.0</v>
      </c>
      <c r="C1240" s="17">
        <v>9990200.0</v>
      </c>
      <c r="D1240" s="17">
        <v>1.0</v>
      </c>
    </row>
    <row r="1241">
      <c r="A1241" s="17">
        <v>9990261.0</v>
      </c>
      <c r="B1241" s="17">
        <v>100.0</v>
      </c>
      <c r="C1241" s="17">
        <v>9990200.0</v>
      </c>
      <c r="D1241" s="17">
        <v>1.0</v>
      </c>
    </row>
    <row r="1242">
      <c r="A1242" s="17">
        <v>9990262.0</v>
      </c>
      <c r="B1242" s="17">
        <v>100.0</v>
      </c>
      <c r="C1242" s="17">
        <v>9990200.0</v>
      </c>
      <c r="D1242" s="17">
        <v>1.0</v>
      </c>
    </row>
    <row r="1243">
      <c r="A1243" s="17">
        <v>9990263.0</v>
      </c>
      <c r="B1243" s="17">
        <v>100.0</v>
      </c>
      <c r="C1243" s="17">
        <v>9990200.0</v>
      </c>
      <c r="D1243" s="17">
        <v>1.0</v>
      </c>
    </row>
    <row r="1244">
      <c r="A1244" s="17">
        <v>9990264.0</v>
      </c>
      <c r="B1244" s="17">
        <v>100.0</v>
      </c>
      <c r="C1244" s="17">
        <v>9990200.0</v>
      </c>
      <c r="D1244" s="17">
        <v>1.0</v>
      </c>
    </row>
    <row r="1245">
      <c r="A1245" s="17">
        <v>9990265.0</v>
      </c>
      <c r="B1245" s="17">
        <v>100.0</v>
      </c>
      <c r="C1245" s="17">
        <v>9990200.0</v>
      </c>
      <c r="D1245" s="17">
        <v>1.0</v>
      </c>
    </row>
    <row r="1246">
      <c r="A1246" s="17">
        <v>9990266.0</v>
      </c>
      <c r="B1246" s="17">
        <v>100.0</v>
      </c>
      <c r="C1246" s="17">
        <v>9990200.0</v>
      </c>
      <c r="D1246" s="17">
        <v>1.0</v>
      </c>
    </row>
    <row r="1247">
      <c r="A1247" s="17">
        <v>9990267.0</v>
      </c>
      <c r="B1247" s="17">
        <v>100.0</v>
      </c>
      <c r="C1247" s="17">
        <v>9990200.0</v>
      </c>
      <c r="D1247" s="17">
        <v>1.0</v>
      </c>
    </row>
    <row r="1248">
      <c r="A1248" s="17">
        <v>9990268.0</v>
      </c>
      <c r="B1248" s="17">
        <v>100.0</v>
      </c>
      <c r="C1248" s="17">
        <v>9990200.0</v>
      </c>
      <c r="D1248" s="17">
        <v>1.0</v>
      </c>
    </row>
    <row r="1249">
      <c r="A1249" s="17">
        <v>9990269.0</v>
      </c>
      <c r="B1249" s="17">
        <v>100.0</v>
      </c>
      <c r="C1249" s="17">
        <v>9990200.0</v>
      </c>
      <c r="D1249" s="17">
        <v>1.0</v>
      </c>
    </row>
    <row r="1250">
      <c r="A1250" s="17">
        <v>9990270.0</v>
      </c>
      <c r="B1250" s="17">
        <v>100.0</v>
      </c>
      <c r="C1250" s="17">
        <v>9990200.0</v>
      </c>
      <c r="D1250" s="17">
        <v>1.0</v>
      </c>
    </row>
    <row r="1251">
      <c r="A1251" s="17">
        <v>9990271.0</v>
      </c>
      <c r="B1251" s="17">
        <v>100.0</v>
      </c>
      <c r="C1251" s="17">
        <v>9990200.0</v>
      </c>
      <c r="D1251" s="17">
        <v>1.0</v>
      </c>
    </row>
    <row r="1252">
      <c r="A1252" s="17">
        <v>9990272.0</v>
      </c>
      <c r="B1252" s="17">
        <v>100.0</v>
      </c>
      <c r="C1252" s="17">
        <v>9990200.0</v>
      </c>
      <c r="D1252" s="17">
        <v>1.0</v>
      </c>
    </row>
    <row r="1253">
      <c r="A1253" s="17">
        <v>9990273.0</v>
      </c>
      <c r="B1253" s="17">
        <v>100.0</v>
      </c>
      <c r="C1253" s="17">
        <v>9990200.0</v>
      </c>
      <c r="D1253" s="17">
        <v>1.0</v>
      </c>
    </row>
    <row r="1254">
      <c r="A1254" s="17">
        <v>9990274.0</v>
      </c>
      <c r="B1254" s="17">
        <v>100.0</v>
      </c>
      <c r="C1254" s="17">
        <v>9990200.0</v>
      </c>
      <c r="D1254" s="17">
        <v>1.0</v>
      </c>
    </row>
    <row r="1255">
      <c r="A1255" s="17">
        <v>9990275.0</v>
      </c>
      <c r="B1255" s="17">
        <v>100.0</v>
      </c>
      <c r="C1255" s="17">
        <v>9990200.0</v>
      </c>
      <c r="D1255" s="17">
        <v>1.0</v>
      </c>
    </row>
    <row r="1256">
      <c r="A1256" s="17">
        <v>9990276.0</v>
      </c>
      <c r="B1256" s="17">
        <v>100.0</v>
      </c>
      <c r="C1256" s="17">
        <v>9990200.0</v>
      </c>
      <c r="D1256" s="17">
        <v>1.0</v>
      </c>
    </row>
    <row r="1257">
      <c r="A1257" s="17">
        <v>9990277.0</v>
      </c>
      <c r="B1257" s="17">
        <v>100.0</v>
      </c>
      <c r="C1257" s="17">
        <v>9990200.0</v>
      </c>
      <c r="D1257" s="17">
        <v>1.0</v>
      </c>
    </row>
    <row r="1258">
      <c r="A1258" s="17">
        <v>9990278.0</v>
      </c>
      <c r="B1258" s="17">
        <v>100.0</v>
      </c>
      <c r="C1258" s="17">
        <v>9990200.0</v>
      </c>
      <c r="D1258" s="17">
        <v>1.0</v>
      </c>
    </row>
    <row r="1259">
      <c r="A1259" s="17">
        <v>9990279.0</v>
      </c>
      <c r="B1259" s="17">
        <v>100.0</v>
      </c>
      <c r="C1259" s="17">
        <v>9990200.0</v>
      </c>
      <c r="D1259" s="17">
        <v>1.0</v>
      </c>
    </row>
    <row r="1260">
      <c r="A1260" s="17">
        <v>9990280.0</v>
      </c>
      <c r="B1260" s="17">
        <v>100.0</v>
      </c>
      <c r="C1260" s="17">
        <v>9990200.0</v>
      </c>
      <c r="D1260" s="17">
        <v>1.0</v>
      </c>
    </row>
    <row r="1261">
      <c r="A1261" s="17">
        <v>9990281.0</v>
      </c>
      <c r="B1261" s="17">
        <v>100.0</v>
      </c>
      <c r="C1261" s="17">
        <v>9990200.0</v>
      </c>
      <c r="D1261" s="17">
        <v>1.0</v>
      </c>
    </row>
    <row r="1262">
      <c r="A1262" s="17">
        <v>9990282.0</v>
      </c>
      <c r="B1262" s="17">
        <v>100.0</v>
      </c>
      <c r="C1262" s="17">
        <v>9990200.0</v>
      </c>
      <c r="D1262" s="17">
        <v>1.0</v>
      </c>
    </row>
    <row r="1263">
      <c r="A1263" s="17">
        <v>9990283.0</v>
      </c>
      <c r="B1263" s="17">
        <v>100.0</v>
      </c>
      <c r="C1263" s="17">
        <v>9990200.0</v>
      </c>
      <c r="D1263" s="17">
        <v>1.0</v>
      </c>
    </row>
    <row r="1264">
      <c r="A1264" s="17">
        <v>9990284.0</v>
      </c>
      <c r="B1264" s="17">
        <v>100.0</v>
      </c>
      <c r="C1264" s="17">
        <v>9990200.0</v>
      </c>
      <c r="D1264" s="17">
        <v>1.0</v>
      </c>
    </row>
    <row r="1265">
      <c r="A1265" s="17">
        <v>9990285.0</v>
      </c>
      <c r="B1265" s="17">
        <v>100.0</v>
      </c>
      <c r="C1265" s="17">
        <v>9990200.0</v>
      </c>
      <c r="D1265" s="17">
        <v>1.0</v>
      </c>
    </row>
    <row r="1266">
      <c r="A1266" s="17">
        <v>9990286.0</v>
      </c>
      <c r="B1266" s="17">
        <v>100.0</v>
      </c>
      <c r="C1266" s="17">
        <v>9990200.0</v>
      </c>
      <c r="D1266" s="17">
        <v>1.0</v>
      </c>
    </row>
    <row r="1267">
      <c r="A1267" s="17">
        <v>9990287.0</v>
      </c>
      <c r="B1267" s="17">
        <v>100.0</v>
      </c>
      <c r="C1267" s="17">
        <v>9990200.0</v>
      </c>
      <c r="D1267" s="17">
        <v>1.0</v>
      </c>
    </row>
    <row r="1268">
      <c r="A1268" s="17">
        <v>9990288.0</v>
      </c>
      <c r="B1268" s="17">
        <v>100.0</v>
      </c>
      <c r="C1268" s="17">
        <v>9990200.0</v>
      </c>
      <c r="D1268" s="17">
        <v>1.0</v>
      </c>
    </row>
    <row r="1269">
      <c r="A1269" s="17">
        <v>9990289.0</v>
      </c>
      <c r="B1269" s="17">
        <v>100.0</v>
      </c>
      <c r="C1269" s="17">
        <v>9990200.0</v>
      </c>
      <c r="D1269" s="17">
        <v>1.0</v>
      </c>
    </row>
    <row r="1270">
      <c r="A1270" s="17">
        <v>9990290.0</v>
      </c>
      <c r="B1270" s="17">
        <v>100.0</v>
      </c>
      <c r="C1270" s="17">
        <v>9990200.0</v>
      </c>
      <c r="D1270" s="17">
        <v>1.0</v>
      </c>
    </row>
    <row r="1271">
      <c r="A1271" s="17">
        <v>9990291.0</v>
      </c>
      <c r="B1271" s="17">
        <v>100.0</v>
      </c>
      <c r="C1271" s="17">
        <v>9990200.0</v>
      </c>
      <c r="D1271" s="17">
        <v>1.0</v>
      </c>
    </row>
    <row r="1272">
      <c r="A1272" s="17">
        <v>9990292.0</v>
      </c>
      <c r="B1272" s="17">
        <v>100.0</v>
      </c>
      <c r="C1272" s="17">
        <v>9990200.0</v>
      </c>
      <c r="D1272" s="17">
        <v>1.0</v>
      </c>
    </row>
    <row r="1273">
      <c r="A1273" s="17">
        <v>9990293.0</v>
      </c>
      <c r="B1273" s="17">
        <v>100.0</v>
      </c>
      <c r="C1273" s="17">
        <v>9990200.0</v>
      </c>
      <c r="D1273" s="17">
        <v>1.0</v>
      </c>
    </row>
    <row r="1274">
      <c r="A1274" s="17">
        <v>9990294.0</v>
      </c>
      <c r="B1274" s="17">
        <v>100.0</v>
      </c>
      <c r="C1274" s="17">
        <v>9990200.0</v>
      </c>
      <c r="D1274" s="17">
        <v>1.0</v>
      </c>
    </row>
    <row r="1275">
      <c r="A1275" s="17">
        <v>9990295.0</v>
      </c>
      <c r="B1275" s="17">
        <v>100.0</v>
      </c>
      <c r="C1275" s="17">
        <v>9990200.0</v>
      </c>
      <c r="D1275" s="17">
        <v>1.0</v>
      </c>
    </row>
    <row r="1276">
      <c r="A1276" s="17">
        <v>9990296.0</v>
      </c>
      <c r="B1276" s="17">
        <v>100.0</v>
      </c>
      <c r="C1276" s="17">
        <v>9990200.0</v>
      </c>
      <c r="D1276" s="17">
        <v>1.0</v>
      </c>
    </row>
    <row r="1277">
      <c r="A1277" s="17">
        <v>9990297.0</v>
      </c>
      <c r="B1277" s="17">
        <v>100.0</v>
      </c>
      <c r="C1277" s="17">
        <v>9990200.0</v>
      </c>
      <c r="D1277" s="17">
        <v>1.0</v>
      </c>
    </row>
    <row r="1278">
      <c r="A1278" s="17">
        <v>9990298.0</v>
      </c>
      <c r="B1278" s="17">
        <v>100.0</v>
      </c>
      <c r="C1278" s="17">
        <v>9990200.0</v>
      </c>
      <c r="D1278" s="17">
        <v>1.0</v>
      </c>
    </row>
    <row r="1279">
      <c r="A1279" s="17">
        <v>9990299.0</v>
      </c>
      <c r="B1279" s="17">
        <v>100.0</v>
      </c>
      <c r="C1279" s="17">
        <v>9990200.0</v>
      </c>
      <c r="D1279" s="17">
        <v>1.0</v>
      </c>
    </row>
    <row r="1280">
      <c r="A1280" s="17">
        <v>9990300.0</v>
      </c>
      <c r="B1280" s="17">
        <v>100.0</v>
      </c>
      <c r="C1280" s="17">
        <v>9990300.0</v>
      </c>
      <c r="D1280" s="17">
        <v>1.0</v>
      </c>
    </row>
    <row r="1281">
      <c r="A1281" s="17">
        <v>9990301.0</v>
      </c>
      <c r="B1281" s="17">
        <v>100.0</v>
      </c>
      <c r="C1281" s="17">
        <v>9990300.0</v>
      </c>
      <c r="D1281" s="17">
        <v>1.0</v>
      </c>
    </row>
    <row r="1282">
      <c r="A1282" s="17">
        <v>9990302.0</v>
      </c>
      <c r="B1282" s="17">
        <v>100.0</v>
      </c>
      <c r="C1282" s="17">
        <v>9990300.0</v>
      </c>
      <c r="D1282" s="17">
        <v>1.0</v>
      </c>
    </row>
    <row r="1283">
      <c r="A1283" s="17">
        <v>9990303.0</v>
      </c>
      <c r="B1283" s="17">
        <v>100.0</v>
      </c>
      <c r="C1283" s="17">
        <v>9990300.0</v>
      </c>
      <c r="D1283" s="17">
        <v>1.0</v>
      </c>
    </row>
    <row r="1284">
      <c r="A1284" s="17">
        <v>9990304.0</v>
      </c>
      <c r="B1284" s="17">
        <v>100.0</v>
      </c>
      <c r="C1284" s="17">
        <v>9990300.0</v>
      </c>
      <c r="D1284" s="17">
        <v>1.0</v>
      </c>
    </row>
    <row r="1285">
      <c r="A1285" s="17">
        <v>9990305.0</v>
      </c>
      <c r="B1285" s="17">
        <v>100.0</v>
      </c>
      <c r="C1285" s="17">
        <v>9990300.0</v>
      </c>
      <c r="D1285" s="17">
        <v>1.0</v>
      </c>
    </row>
    <row r="1286">
      <c r="A1286" s="17">
        <v>9990306.0</v>
      </c>
      <c r="B1286" s="17">
        <v>100.0</v>
      </c>
      <c r="C1286" s="17">
        <v>9990300.0</v>
      </c>
      <c r="D1286" s="17">
        <v>1.0</v>
      </c>
    </row>
    <row r="1287">
      <c r="A1287" s="17">
        <v>9990307.0</v>
      </c>
      <c r="B1287" s="17">
        <v>100.0</v>
      </c>
      <c r="C1287" s="17">
        <v>9990300.0</v>
      </c>
      <c r="D1287" s="17">
        <v>1.0</v>
      </c>
    </row>
    <row r="1288">
      <c r="A1288" s="17">
        <v>9990308.0</v>
      </c>
      <c r="B1288" s="17">
        <v>100.0</v>
      </c>
      <c r="C1288" s="17">
        <v>9990300.0</v>
      </c>
      <c r="D1288" s="17">
        <v>1.0</v>
      </c>
    </row>
    <row r="1289">
      <c r="A1289" s="17">
        <v>9990309.0</v>
      </c>
      <c r="B1289" s="17">
        <v>100.0</v>
      </c>
      <c r="C1289" s="17">
        <v>9990300.0</v>
      </c>
      <c r="D1289" s="17">
        <v>1.0</v>
      </c>
    </row>
    <row r="1290">
      <c r="A1290" s="17">
        <v>9990310.0</v>
      </c>
      <c r="B1290" s="17">
        <v>100.0</v>
      </c>
      <c r="C1290" s="17">
        <v>9990300.0</v>
      </c>
      <c r="D1290" s="17">
        <v>1.0</v>
      </c>
    </row>
    <row r="1291">
      <c r="A1291" s="17">
        <v>9990311.0</v>
      </c>
      <c r="B1291" s="17">
        <v>100.0</v>
      </c>
      <c r="C1291" s="17">
        <v>9990300.0</v>
      </c>
      <c r="D1291" s="17">
        <v>1.0</v>
      </c>
    </row>
    <row r="1292">
      <c r="A1292" s="17">
        <v>9990312.0</v>
      </c>
      <c r="B1292" s="17">
        <v>100.0</v>
      </c>
      <c r="C1292" s="17">
        <v>9990300.0</v>
      </c>
      <c r="D1292" s="17">
        <v>1.0</v>
      </c>
    </row>
    <row r="1293">
      <c r="A1293" s="17">
        <v>9990313.0</v>
      </c>
      <c r="B1293" s="17">
        <v>100.0</v>
      </c>
      <c r="C1293" s="17">
        <v>9990300.0</v>
      </c>
      <c r="D1293" s="17">
        <v>1.0</v>
      </c>
    </row>
    <row r="1294">
      <c r="A1294" s="17">
        <v>9990314.0</v>
      </c>
      <c r="B1294" s="17">
        <v>100.0</v>
      </c>
      <c r="C1294" s="17">
        <v>9990300.0</v>
      </c>
      <c r="D1294" s="17">
        <v>1.0</v>
      </c>
    </row>
    <row r="1295">
      <c r="A1295" s="17">
        <v>9990315.0</v>
      </c>
      <c r="B1295" s="17">
        <v>100.0</v>
      </c>
      <c r="C1295" s="17">
        <v>9990300.0</v>
      </c>
      <c r="D1295" s="17">
        <v>1.0</v>
      </c>
    </row>
    <row r="1296">
      <c r="A1296" s="17">
        <v>9990316.0</v>
      </c>
      <c r="B1296" s="17">
        <v>100.0</v>
      </c>
      <c r="C1296" s="17">
        <v>9990300.0</v>
      </c>
      <c r="D1296" s="17">
        <v>1.0</v>
      </c>
    </row>
    <row r="1297">
      <c r="A1297" s="17">
        <v>9990317.0</v>
      </c>
      <c r="B1297" s="17">
        <v>100.0</v>
      </c>
      <c r="C1297" s="17">
        <v>9990300.0</v>
      </c>
      <c r="D1297" s="17">
        <v>1.0</v>
      </c>
    </row>
    <row r="1298">
      <c r="A1298" s="17">
        <v>9990318.0</v>
      </c>
      <c r="B1298" s="17">
        <v>100.0</v>
      </c>
      <c r="C1298" s="17">
        <v>9990300.0</v>
      </c>
      <c r="D1298" s="17">
        <v>1.0</v>
      </c>
    </row>
    <row r="1299">
      <c r="A1299" s="17">
        <v>9990319.0</v>
      </c>
      <c r="B1299" s="17">
        <v>100.0</v>
      </c>
      <c r="C1299" s="17">
        <v>9990300.0</v>
      </c>
      <c r="D1299" s="17">
        <v>1.0</v>
      </c>
    </row>
    <row r="1300">
      <c r="A1300" s="17">
        <v>9990320.0</v>
      </c>
      <c r="B1300" s="17">
        <v>100.0</v>
      </c>
      <c r="C1300" s="17">
        <v>9990300.0</v>
      </c>
      <c r="D1300" s="17">
        <v>1.0</v>
      </c>
    </row>
    <row r="1301">
      <c r="A1301" s="17">
        <v>9990321.0</v>
      </c>
      <c r="B1301" s="17">
        <v>100.0</v>
      </c>
      <c r="C1301" s="17">
        <v>9990300.0</v>
      </c>
      <c r="D1301" s="17">
        <v>1.0</v>
      </c>
    </row>
    <row r="1302">
      <c r="A1302" s="17">
        <v>9990322.0</v>
      </c>
      <c r="B1302" s="17">
        <v>100.0</v>
      </c>
      <c r="C1302" s="17">
        <v>9990300.0</v>
      </c>
      <c r="D1302" s="17">
        <v>1.0</v>
      </c>
    </row>
    <row r="1303">
      <c r="A1303" s="17">
        <v>9990323.0</v>
      </c>
      <c r="B1303" s="17">
        <v>100.0</v>
      </c>
      <c r="C1303" s="17">
        <v>9990300.0</v>
      </c>
      <c r="D1303" s="17">
        <v>1.0</v>
      </c>
    </row>
    <row r="1304">
      <c r="A1304" s="17">
        <v>9990324.0</v>
      </c>
      <c r="B1304" s="17">
        <v>100.0</v>
      </c>
      <c r="C1304" s="17">
        <v>9990300.0</v>
      </c>
      <c r="D1304" s="17">
        <v>1.0</v>
      </c>
    </row>
    <row r="1305">
      <c r="A1305" s="17">
        <v>9990325.0</v>
      </c>
      <c r="B1305" s="17">
        <v>100.0</v>
      </c>
      <c r="C1305" s="17">
        <v>9990300.0</v>
      </c>
      <c r="D1305" s="17">
        <v>1.0</v>
      </c>
    </row>
    <row r="1306">
      <c r="A1306" s="17">
        <v>9990326.0</v>
      </c>
      <c r="B1306" s="17">
        <v>100.0</v>
      </c>
      <c r="C1306" s="17">
        <v>9990300.0</v>
      </c>
      <c r="D1306" s="17">
        <v>1.0</v>
      </c>
    </row>
    <row r="1307">
      <c r="A1307" s="17">
        <v>9990327.0</v>
      </c>
      <c r="B1307" s="17">
        <v>100.0</v>
      </c>
      <c r="C1307" s="17">
        <v>9990300.0</v>
      </c>
      <c r="D1307" s="17">
        <v>1.0</v>
      </c>
    </row>
    <row r="1308">
      <c r="A1308" s="17">
        <v>9990328.0</v>
      </c>
      <c r="B1308" s="17">
        <v>100.0</v>
      </c>
      <c r="C1308" s="17">
        <v>9990300.0</v>
      </c>
      <c r="D1308" s="17">
        <v>1.0</v>
      </c>
    </row>
    <row r="1309">
      <c r="A1309" s="17">
        <v>9990329.0</v>
      </c>
      <c r="B1309" s="17">
        <v>100.0</v>
      </c>
      <c r="C1309" s="17">
        <v>9990300.0</v>
      </c>
      <c r="D1309" s="17">
        <v>1.0</v>
      </c>
    </row>
    <row r="1310">
      <c r="A1310" s="17">
        <v>9990330.0</v>
      </c>
      <c r="B1310" s="17">
        <v>100.0</v>
      </c>
      <c r="C1310" s="17">
        <v>9990300.0</v>
      </c>
      <c r="D1310" s="17">
        <v>1.0</v>
      </c>
    </row>
    <row r="1311">
      <c r="A1311" s="17">
        <v>9990331.0</v>
      </c>
      <c r="B1311" s="17">
        <v>100.0</v>
      </c>
      <c r="C1311" s="17">
        <v>9990300.0</v>
      </c>
      <c r="D1311" s="17">
        <v>1.0</v>
      </c>
    </row>
    <row r="1312">
      <c r="A1312" s="17">
        <v>9990332.0</v>
      </c>
      <c r="B1312" s="17">
        <v>100.0</v>
      </c>
      <c r="C1312" s="17">
        <v>9990300.0</v>
      </c>
      <c r="D1312" s="17">
        <v>1.0</v>
      </c>
    </row>
    <row r="1313">
      <c r="A1313" s="17">
        <v>9990333.0</v>
      </c>
      <c r="B1313" s="17">
        <v>100.0</v>
      </c>
      <c r="C1313" s="17">
        <v>9990300.0</v>
      </c>
      <c r="D1313" s="17">
        <v>1.0</v>
      </c>
    </row>
    <row r="1314">
      <c r="A1314" s="17">
        <v>9990334.0</v>
      </c>
      <c r="B1314" s="17">
        <v>100.0</v>
      </c>
      <c r="C1314" s="17">
        <v>9990300.0</v>
      </c>
      <c r="D1314" s="17">
        <v>1.0</v>
      </c>
    </row>
    <row r="1315">
      <c r="A1315" s="17">
        <v>9990335.0</v>
      </c>
      <c r="B1315" s="17">
        <v>100.0</v>
      </c>
      <c r="C1315" s="17">
        <v>9990300.0</v>
      </c>
      <c r="D1315" s="17">
        <v>1.0</v>
      </c>
    </row>
    <row r="1316">
      <c r="A1316" s="17">
        <v>9990336.0</v>
      </c>
      <c r="B1316" s="17">
        <v>100.0</v>
      </c>
      <c r="C1316" s="17">
        <v>9990300.0</v>
      </c>
      <c r="D1316" s="17">
        <v>1.0</v>
      </c>
    </row>
    <row r="1317">
      <c r="A1317" s="17">
        <v>9990337.0</v>
      </c>
      <c r="B1317" s="17">
        <v>100.0</v>
      </c>
      <c r="C1317" s="17">
        <v>9990300.0</v>
      </c>
      <c r="D1317" s="17">
        <v>1.0</v>
      </c>
    </row>
    <row r="1318">
      <c r="A1318" s="17">
        <v>9990338.0</v>
      </c>
      <c r="B1318" s="17">
        <v>100.0</v>
      </c>
      <c r="C1318" s="17">
        <v>9990300.0</v>
      </c>
      <c r="D1318" s="17">
        <v>1.0</v>
      </c>
    </row>
    <row r="1319">
      <c r="A1319" s="17">
        <v>9990339.0</v>
      </c>
      <c r="B1319" s="17">
        <v>100.0</v>
      </c>
      <c r="C1319" s="17">
        <v>9990300.0</v>
      </c>
      <c r="D1319" s="17">
        <v>1.0</v>
      </c>
    </row>
    <row r="1320">
      <c r="A1320" s="17">
        <v>9990340.0</v>
      </c>
      <c r="B1320" s="17">
        <v>100.0</v>
      </c>
      <c r="C1320" s="17">
        <v>9990300.0</v>
      </c>
      <c r="D1320" s="17">
        <v>1.0</v>
      </c>
    </row>
    <row r="1321">
      <c r="A1321" s="17">
        <v>9990341.0</v>
      </c>
      <c r="B1321" s="17">
        <v>100.0</v>
      </c>
      <c r="C1321" s="17">
        <v>9990300.0</v>
      </c>
      <c r="D1321" s="17">
        <v>1.0</v>
      </c>
    </row>
    <row r="1322">
      <c r="A1322" s="17">
        <v>9990342.0</v>
      </c>
      <c r="B1322" s="17">
        <v>100.0</v>
      </c>
      <c r="C1322" s="17">
        <v>9990300.0</v>
      </c>
      <c r="D1322" s="17">
        <v>1.0</v>
      </c>
    </row>
    <row r="1323">
      <c r="A1323" s="17">
        <v>9990343.0</v>
      </c>
      <c r="B1323" s="17">
        <v>100.0</v>
      </c>
      <c r="C1323" s="17">
        <v>9990300.0</v>
      </c>
      <c r="D1323" s="17">
        <v>1.0</v>
      </c>
    </row>
    <row r="1324">
      <c r="A1324" s="17">
        <v>9990344.0</v>
      </c>
      <c r="B1324" s="17">
        <v>100.0</v>
      </c>
      <c r="C1324" s="17">
        <v>9990300.0</v>
      </c>
      <c r="D1324" s="17">
        <v>1.0</v>
      </c>
    </row>
    <row r="1325">
      <c r="A1325" s="17">
        <v>9990345.0</v>
      </c>
      <c r="B1325" s="17">
        <v>100.0</v>
      </c>
      <c r="C1325" s="17">
        <v>9990300.0</v>
      </c>
      <c r="D1325" s="17">
        <v>1.0</v>
      </c>
    </row>
    <row r="1326">
      <c r="A1326" s="17">
        <v>9990346.0</v>
      </c>
      <c r="B1326" s="17">
        <v>100.0</v>
      </c>
      <c r="C1326" s="17">
        <v>9990300.0</v>
      </c>
      <c r="D1326" s="17">
        <v>1.0</v>
      </c>
    </row>
    <row r="1327">
      <c r="A1327" s="17">
        <v>9990347.0</v>
      </c>
      <c r="B1327" s="17">
        <v>100.0</v>
      </c>
      <c r="C1327" s="17">
        <v>9990300.0</v>
      </c>
      <c r="D1327" s="17">
        <v>1.0</v>
      </c>
    </row>
    <row r="1328">
      <c r="A1328" s="17">
        <v>9990348.0</v>
      </c>
      <c r="B1328" s="17">
        <v>100.0</v>
      </c>
      <c r="C1328" s="17">
        <v>9990300.0</v>
      </c>
      <c r="D1328" s="17">
        <v>1.0</v>
      </c>
    </row>
    <row r="1329">
      <c r="A1329" s="17">
        <v>9990349.0</v>
      </c>
      <c r="B1329" s="17">
        <v>100.0</v>
      </c>
      <c r="C1329" s="17">
        <v>9990300.0</v>
      </c>
      <c r="D1329" s="17">
        <v>1.0</v>
      </c>
    </row>
    <row r="1330">
      <c r="A1330" s="17">
        <v>9990350.0</v>
      </c>
      <c r="B1330" s="17">
        <v>100.0</v>
      </c>
      <c r="C1330" s="17">
        <v>9990300.0</v>
      </c>
      <c r="D1330" s="17">
        <v>1.0</v>
      </c>
    </row>
    <row r="1331">
      <c r="A1331" s="17">
        <v>9990351.0</v>
      </c>
      <c r="B1331" s="17">
        <v>100.0</v>
      </c>
      <c r="C1331" s="17">
        <v>9990300.0</v>
      </c>
      <c r="D1331" s="17">
        <v>1.0</v>
      </c>
    </row>
    <row r="1332">
      <c r="A1332" s="17">
        <v>9990352.0</v>
      </c>
      <c r="B1332" s="17">
        <v>100.0</v>
      </c>
      <c r="C1332" s="17">
        <v>9990300.0</v>
      </c>
      <c r="D1332" s="17">
        <v>1.0</v>
      </c>
    </row>
    <row r="1333">
      <c r="A1333" s="17">
        <v>9990353.0</v>
      </c>
      <c r="B1333" s="17">
        <v>100.0</v>
      </c>
      <c r="C1333" s="17">
        <v>9990300.0</v>
      </c>
      <c r="D1333" s="17">
        <v>1.0</v>
      </c>
    </row>
    <row r="1334">
      <c r="A1334" s="17">
        <v>9990354.0</v>
      </c>
      <c r="B1334" s="17">
        <v>100.0</v>
      </c>
      <c r="C1334" s="17">
        <v>9990300.0</v>
      </c>
      <c r="D1334" s="17">
        <v>1.0</v>
      </c>
    </row>
    <row r="1335">
      <c r="A1335" s="17">
        <v>9990355.0</v>
      </c>
      <c r="B1335" s="17">
        <v>100.0</v>
      </c>
      <c r="C1335" s="17">
        <v>9990300.0</v>
      </c>
      <c r="D1335" s="17">
        <v>1.0</v>
      </c>
    </row>
    <row r="1336">
      <c r="A1336" s="17">
        <v>9990356.0</v>
      </c>
      <c r="B1336" s="17">
        <v>100.0</v>
      </c>
      <c r="C1336" s="17">
        <v>9990300.0</v>
      </c>
      <c r="D1336" s="17">
        <v>1.0</v>
      </c>
    </row>
    <row r="1337">
      <c r="A1337" s="17">
        <v>9990357.0</v>
      </c>
      <c r="B1337" s="17">
        <v>100.0</v>
      </c>
      <c r="C1337" s="17">
        <v>9990300.0</v>
      </c>
      <c r="D1337" s="17">
        <v>1.0</v>
      </c>
    </row>
    <row r="1338">
      <c r="A1338" s="17">
        <v>9990358.0</v>
      </c>
      <c r="B1338" s="17">
        <v>100.0</v>
      </c>
      <c r="C1338" s="17">
        <v>9990300.0</v>
      </c>
      <c r="D1338" s="17">
        <v>1.0</v>
      </c>
    </row>
    <row r="1339">
      <c r="A1339" s="17">
        <v>9990359.0</v>
      </c>
      <c r="B1339" s="17">
        <v>100.0</v>
      </c>
      <c r="C1339" s="17">
        <v>9990300.0</v>
      </c>
      <c r="D1339" s="17">
        <v>1.0</v>
      </c>
    </row>
    <row r="1340">
      <c r="A1340" s="17">
        <v>9990360.0</v>
      </c>
      <c r="B1340" s="17">
        <v>100.0</v>
      </c>
      <c r="C1340" s="17">
        <v>9990300.0</v>
      </c>
      <c r="D1340" s="17">
        <v>1.0</v>
      </c>
    </row>
    <row r="1341">
      <c r="A1341" s="17">
        <v>9990361.0</v>
      </c>
      <c r="B1341" s="17">
        <v>100.0</v>
      </c>
      <c r="C1341" s="17">
        <v>9990300.0</v>
      </c>
      <c r="D1341" s="17">
        <v>1.0</v>
      </c>
    </row>
    <row r="1342">
      <c r="A1342" s="17">
        <v>9990362.0</v>
      </c>
      <c r="B1342" s="17">
        <v>100.0</v>
      </c>
      <c r="C1342" s="17">
        <v>9990300.0</v>
      </c>
      <c r="D1342" s="17">
        <v>1.0</v>
      </c>
    </row>
    <row r="1343">
      <c r="A1343" s="17">
        <v>9990363.0</v>
      </c>
      <c r="B1343" s="17">
        <v>100.0</v>
      </c>
      <c r="C1343" s="17">
        <v>9990300.0</v>
      </c>
      <c r="D1343" s="17">
        <v>1.0</v>
      </c>
    </row>
    <row r="1344">
      <c r="A1344" s="17">
        <v>9990364.0</v>
      </c>
      <c r="B1344" s="17">
        <v>100.0</v>
      </c>
      <c r="C1344" s="17">
        <v>9990300.0</v>
      </c>
      <c r="D1344" s="17">
        <v>1.0</v>
      </c>
    </row>
    <row r="1345">
      <c r="A1345" s="17">
        <v>9990365.0</v>
      </c>
      <c r="B1345" s="17">
        <v>100.0</v>
      </c>
      <c r="C1345" s="17">
        <v>9990300.0</v>
      </c>
      <c r="D1345" s="17">
        <v>1.0</v>
      </c>
    </row>
    <row r="1346">
      <c r="A1346" s="17">
        <v>9990366.0</v>
      </c>
      <c r="B1346" s="17">
        <v>100.0</v>
      </c>
      <c r="C1346" s="17">
        <v>9990300.0</v>
      </c>
      <c r="D1346" s="17">
        <v>1.0</v>
      </c>
    </row>
    <row r="1347">
      <c r="A1347" s="17">
        <v>9990367.0</v>
      </c>
      <c r="B1347" s="17">
        <v>100.0</v>
      </c>
      <c r="C1347" s="17">
        <v>9990300.0</v>
      </c>
      <c r="D1347" s="17">
        <v>1.0</v>
      </c>
    </row>
    <row r="1348">
      <c r="A1348" s="17">
        <v>9990368.0</v>
      </c>
      <c r="B1348" s="17">
        <v>100.0</v>
      </c>
      <c r="C1348" s="17">
        <v>9990300.0</v>
      </c>
      <c r="D1348" s="17">
        <v>1.0</v>
      </c>
    </row>
    <row r="1349">
      <c r="A1349" s="17">
        <v>9990369.0</v>
      </c>
      <c r="B1349" s="17">
        <v>100.0</v>
      </c>
      <c r="C1349" s="17">
        <v>9990300.0</v>
      </c>
      <c r="D1349" s="17">
        <v>1.0</v>
      </c>
    </row>
    <row r="1350">
      <c r="A1350" s="17">
        <v>9990370.0</v>
      </c>
      <c r="B1350" s="17">
        <v>100.0</v>
      </c>
      <c r="C1350" s="17">
        <v>9990300.0</v>
      </c>
      <c r="D1350" s="17">
        <v>1.0</v>
      </c>
    </row>
    <row r="1351">
      <c r="A1351" s="17">
        <v>9990371.0</v>
      </c>
      <c r="B1351" s="17">
        <v>100.0</v>
      </c>
      <c r="C1351" s="17">
        <v>9990300.0</v>
      </c>
      <c r="D1351" s="17">
        <v>1.0</v>
      </c>
    </row>
    <row r="1352">
      <c r="A1352" s="17">
        <v>9990372.0</v>
      </c>
      <c r="B1352" s="17">
        <v>100.0</v>
      </c>
      <c r="C1352" s="17">
        <v>9990300.0</v>
      </c>
      <c r="D1352" s="17">
        <v>1.0</v>
      </c>
    </row>
    <row r="1353">
      <c r="A1353" s="17">
        <v>9990373.0</v>
      </c>
      <c r="B1353" s="17">
        <v>100.0</v>
      </c>
      <c r="C1353" s="17">
        <v>9990300.0</v>
      </c>
      <c r="D1353" s="17">
        <v>1.0</v>
      </c>
    </row>
    <row r="1354">
      <c r="A1354" s="17">
        <v>9990374.0</v>
      </c>
      <c r="B1354" s="17">
        <v>100.0</v>
      </c>
      <c r="C1354" s="17">
        <v>9990300.0</v>
      </c>
      <c r="D1354" s="17">
        <v>1.0</v>
      </c>
    </row>
    <row r="1355">
      <c r="A1355" s="17">
        <v>9990375.0</v>
      </c>
      <c r="B1355" s="17">
        <v>100.0</v>
      </c>
      <c r="C1355" s="17">
        <v>9990300.0</v>
      </c>
      <c r="D1355" s="17">
        <v>1.0</v>
      </c>
    </row>
    <row r="1356">
      <c r="A1356" s="17">
        <v>9990376.0</v>
      </c>
      <c r="B1356" s="17">
        <v>100.0</v>
      </c>
      <c r="C1356" s="17">
        <v>9990300.0</v>
      </c>
      <c r="D1356" s="17">
        <v>1.0</v>
      </c>
    </row>
    <row r="1357">
      <c r="A1357" s="17">
        <v>9990377.0</v>
      </c>
      <c r="B1357" s="17">
        <v>100.0</v>
      </c>
      <c r="C1357" s="17">
        <v>9990300.0</v>
      </c>
      <c r="D1357" s="17">
        <v>1.0</v>
      </c>
    </row>
    <row r="1358">
      <c r="A1358" s="17">
        <v>9990378.0</v>
      </c>
      <c r="B1358" s="17">
        <v>100.0</v>
      </c>
      <c r="C1358" s="17">
        <v>9990300.0</v>
      </c>
      <c r="D1358" s="17">
        <v>1.0</v>
      </c>
    </row>
    <row r="1359">
      <c r="A1359" s="17">
        <v>9990379.0</v>
      </c>
      <c r="B1359" s="17">
        <v>100.0</v>
      </c>
      <c r="C1359" s="17">
        <v>9990300.0</v>
      </c>
      <c r="D1359" s="17">
        <v>1.0</v>
      </c>
    </row>
    <row r="1360">
      <c r="A1360" s="17">
        <v>9990380.0</v>
      </c>
      <c r="B1360" s="17">
        <v>100.0</v>
      </c>
      <c r="C1360" s="17">
        <v>9990300.0</v>
      </c>
      <c r="D1360" s="17">
        <v>1.0</v>
      </c>
    </row>
    <row r="1361">
      <c r="A1361" s="17">
        <v>9990381.0</v>
      </c>
      <c r="B1361" s="17">
        <v>100.0</v>
      </c>
      <c r="C1361" s="17">
        <v>9990300.0</v>
      </c>
      <c r="D1361" s="17">
        <v>1.0</v>
      </c>
    </row>
    <row r="1362">
      <c r="A1362" s="17">
        <v>9990382.0</v>
      </c>
      <c r="B1362" s="17">
        <v>100.0</v>
      </c>
      <c r="C1362" s="17">
        <v>9990300.0</v>
      </c>
      <c r="D1362" s="17">
        <v>1.0</v>
      </c>
    </row>
    <row r="1363">
      <c r="A1363" s="17">
        <v>9990383.0</v>
      </c>
      <c r="B1363" s="17">
        <v>100.0</v>
      </c>
      <c r="C1363" s="17">
        <v>9990300.0</v>
      </c>
      <c r="D1363" s="17">
        <v>1.0</v>
      </c>
    </row>
    <row r="1364">
      <c r="A1364" s="17">
        <v>9990384.0</v>
      </c>
      <c r="B1364" s="17">
        <v>100.0</v>
      </c>
      <c r="C1364" s="17">
        <v>9990300.0</v>
      </c>
      <c r="D1364" s="17">
        <v>1.0</v>
      </c>
    </row>
    <row r="1365">
      <c r="A1365" s="17">
        <v>9990385.0</v>
      </c>
      <c r="B1365" s="17">
        <v>100.0</v>
      </c>
      <c r="C1365" s="17">
        <v>9990300.0</v>
      </c>
      <c r="D1365" s="17">
        <v>1.0</v>
      </c>
    </row>
    <row r="1366">
      <c r="A1366" s="17">
        <v>9990386.0</v>
      </c>
      <c r="B1366" s="17">
        <v>100.0</v>
      </c>
      <c r="C1366" s="17">
        <v>9990300.0</v>
      </c>
      <c r="D1366" s="17">
        <v>1.0</v>
      </c>
    </row>
    <row r="1367">
      <c r="A1367" s="17">
        <v>9990387.0</v>
      </c>
      <c r="B1367" s="17">
        <v>100.0</v>
      </c>
      <c r="C1367" s="17">
        <v>9990300.0</v>
      </c>
      <c r="D1367" s="17">
        <v>1.0</v>
      </c>
    </row>
    <row r="1368">
      <c r="A1368" s="17">
        <v>9990388.0</v>
      </c>
      <c r="B1368" s="17">
        <v>100.0</v>
      </c>
      <c r="C1368" s="17">
        <v>9990300.0</v>
      </c>
      <c r="D1368" s="17">
        <v>1.0</v>
      </c>
    </row>
    <row r="1369">
      <c r="A1369" s="17">
        <v>9990389.0</v>
      </c>
      <c r="B1369" s="17">
        <v>100.0</v>
      </c>
      <c r="C1369" s="17">
        <v>9990300.0</v>
      </c>
      <c r="D1369" s="17">
        <v>1.0</v>
      </c>
    </row>
    <row r="1370">
      <c r="A1370" s="17">
        <v>9990390.0</v>
      </c>
      <c r="B1370" s="17">
        <v>100.0</v>
      </c>
      <c r="C1370" s="17">
        <v>9990300.0</v>
      </c>
      <c r="D1370" s="17">
        <v>1.0</v>
      </c>
    </row>
    <row r="1371">
      <c r="A1371" s="17">
        <v>9990391.0</v>
      </c>
      <c r="B1371" s="17">
        <v>100.0</v>
      </c>
      <c r="C1371" s="17">
        <v>9990300.0</v>
      </c>
      <c r="D1371" s="17">
        <v>1.0</v>
      </c>
    </row>
    <row r="1372">
      <c r="A1372" s="17">
        <v>9990392.0</v>
      </c>
      <c r="B1372" s="17">
        <v>100.0</v>
      </c>
      <c r="C1372" s="17">
        <v>9990300.0</v>
      </c>
      <c r="D1372" s="17">
        <v>1.0</v>
      </c>
    </row>
    <row r="1373">
      <c r="A1373" s="17">
        <v>9990393.0</v>
      </c>
      <c r="B1373" s="17">
        <v>100.0</v>
      </c>
      <c r="C1373" s="17">
        <v>9990300.0</v>
      </c>
      <c r="D1373" s="17">
        <v>1.0</v>
      </c>
    </row>
    <row r="1374">
      <c r="A1374" s="17">
        <v>9990394.0</v>
      </c>
      <c r="B1374" s="17">
        <v>100.0</v>
      </c>
      <c r="C1374" s="17">
        <v>9990300.0</v>
      </c>
      <c r="D1374" s="17">
        <v>1.0</v>
      </c>
    </row>
    <row r="1375">
      <c r="A1375" s="17">
        <v>9990395.0</v>
      </c>
      <c r="B1375" s="17">
        <v>100.0</v>
      </c>
      <c r="C1375" s="17">
        <v>9990300.0</v>
      </c>
      <c r="D1375" s="17">
        <v>1.0</v>
      </c>
    </row>
    <row r="1376">
      <c r="A1376" s="17">
        <v>9990396.0</v>
      </c>
      <c r="B1376" s="17">
        <v>100.0</v>
      </c>
      <c r="C1376" s="17">
        <v>9990300.0</v>
      </c>
      <c r="D1376" s="17">
        <v>1.0</v>
      </c>
    </row>
    <row r="1377">
      <c r="A1377" s="17">
        <v>9990397.0</v>
      </c>
      <c r="B1377" s="17">
        <v>100.0</v>
      </c>
      <c r="C1377" s="17">
        <v>9990300.0</v>
      </c>
      <c r="D1377" s="17">
        <v>1.0</v>
      </c>
    </row>
    <row r="1378">
      <c r="A1378" s="17">
        <v>9990398.0</v>
      </c>
      <c r="B1378" s="17">
        <v>100.0</v>
      </c>
      <c r="C1378" s="17">
        <v>9990300.0</v>
      </c>
      <c r="D1378" s="17">
        <v>1.0</v>
      </c>
    </row>
    <row r="1379">
      <c r="A1379" s="17">
        <v>9990399.0</v>
      </c>
      <c r="B1379" s="17">
        <v>100.0</v>
      </c>
      <c r="C1379" s="17">
        <v>9990300.0</v>
      </c>
      <c r="D1379" s="17">
        <v>1.0</v>
      </c>
    </row>
    <row r="1380">
      <c r="A1380" s="17">
        <v>9990400.0</v>
      </c>
      <c r="B1380" s="17">
        <v>100.0</v>
      </c>
      <c r="C1380" s="17">
        <v>9990400.0</v>
      </c>
      <c r="D1380" s="17">
        <v>1.0</v>
      </c>
    </row>
    <row r="1381">
      <c r="A1381" s="17">
        <v>9990401.0</v>
      </c>
      <c r="B1381" s="17">
        <v>100.0</v>
      </c>
      <c r="C1381" s="17">
        <v>9990400.0</v>
      </c>
      <c r="D1381" s="17">
        <v>1.0</v>
      </c>
    </row>
    <row r="1382">
      <c r="A1382" s="17">
        <v>9990402.0</v>
      </c>
      <c r="B1382" s="17">
        <v>100.0</v>
      </c>
      <c r="C1382" s="17">
        <v>9990400.0</v>
      </c>
      <c r="D1382" s="17">
        <v>1.0</v>
      </c>
    </row>
    <row r="1383">
      <c r="A1383" s="17">
        <v>9990403.0</v>
      </c>
      <c r="B1383" s="17">
        <v>100.0</v>
      </c>
      <c r="C1383" s="17">
        <v>9990400.0</v>
      </c>
      <c r="D1383" s="17">
        <v>1.0</v>
      </c>
    </row>
    <row r="1384">
      <c r="A1384" s="17">
        <v>9990404.0</v>
      </c>
      <c r="B1384" s="17">
        <v>100.0</v>
      </c>
      <c r="C1384" s="17">
        <v>9990400.0</v>
      </c>
      <c r="D1384" s="17">
        <v>1.0</v>
      </c>
    </row>
    <row r="1385">
      <c r="A1385" s="17">
        <v>9990405.0</v>
      </c>
      <c r="B1385" s="17">
        <v>100.0</v>
      </c>
      <c r="C1385" s="17">
        <v>9990400.0</v>
      </c>
      <c r="D1385" s="17">
        <v>1.0</v>
      </c>
    </row>
    <row r="1386">
      <c r="A1386" s="17">
        <v>9990406.0</v>
      </c>
      <c r="B1386" s="17">
        <v>100.0</v>
      </c>
      <c r="C1386" s="17">
        <v>9990400.0</v>
      </c>
      <c r="D1386" s="17">
        <v>1.0</v>
      </c>
    </row>
    <row r="1387">
      <c r="A1387" s="17">
        <v>9990407.0</v>
      </c>
      <c r="B1387" s="17">
        <v>100.0</v>
      </c>
      <c r="C1387" s="17">
        <v>9990400.0</v>
      </c>
      <c r="D1387" s="17">
        <v>1.0</v>
      </c>
    </row>
    <row r="1388">
      <c r="A1388" s="17">
        <v>9990408.0</v>
      </c>
      <c r="B1388" s="17">
        <v>100.0</v>
      </c>
      <c r="C1388" s="17">
        <v>9990400.0</v>
      </c>
      <c r="D1388" s="17">
        <v>1.0</v>
      </c>
    </row>
    <row r="1389">
      <c r="A1389" s="17">
        <v>9990409.0</v>
      </c>
      <c r="B1389" s="17">
        <v>100.0</v>
      </c>
      <c r="C1389" s="17">
        <v>9990400.0</v>
      </c>
      <c r="D1389" s="17">
        <v>1.0</v>
      </c>
    </row>
    <row r="1390">
      <c r="A1390" s="17">
        <v>9990410.0</v>
      </c>
      <c r="B1390" s="17">
        <v>100.0</v>
      </c>
      <c r="C1390" s="17">
        <v>9990400.0</v>
      </c>
      <c r="D1390" s="17">
        <v>1.0</v>
      </c>
    </row>
    <row r="1391">
      <c r="A1391" s="17">
        <v>9990411.0</v>
      </c>
      <c r="B1391" s="17">
        <v>100.0</v>
      </c>
      <c r="C1391" s="17">
        <v>9990400.0</v>
      </c>
      <c r="D1391" s="17">
        <v>1.0</v>
      </c>
    </row>
    <row r="1392">
      <c r="A1392" s="17">
        <v>9990412.0</v>
      </c>
      <c r="B1392" s="17">
        <v>100.0</v>
      </c>
      <c r="C1392" s="17">
        <v>9990400.0</v>
      </c>
      <c r="D1392" s="17">
        <v>1.0</v>
      </c>
    </row>
    <row r="1393">
      <c r="A1393" s="17">
        <v>9990413.0</v>
      </c>
      <c r="B1393" s="17">
        <v>100.0</v>
      </c>
      <c r="C1393" s="17">
        <v>9990400.0</v>
      </c>
      <c r="D1393" s="17">
        <v>1.0</v>
      </c>
    </row>
    <row r="1394">
      <c r="A1394" s="17">
        <v>9990414.0</v>
      </c>
      <c r="B1394" s="17">
        <v>100.0</v>
      </c>
      <c r="C1394" s="17">
        <v>9990400.0</v>
      </c>
      <c r="D1394" s="17">
        <v>1.0</v>
      </c>
    </row>
    <row r="1395">
      <c r="A1395" s="17">
        <v>9990415.0</v>
      </c>
      <c r="B1395" s="17">
        <v>100.0</v>
      </c>
      <c r="C1395" s="17">
        <v>9990400.0</v>
      </c>
      <c r="D1395" s="17">
        <v>1.0</v>
      </c>
    </row>
    <row r="1396">
      <c r="A1396" s="17">
        <v>9990416.0</v>
      </c>
      <c r="B1396" s="17">
        <v>100.0</v>
      </c>
      <c r="C1396" s="17">
        <v>9990400.0</v>
      </c>
      <c r="D1396" s="17">
        <v>1.0</v>
      </c>
    </row>
    <row r="1397">
      <c r="A1397" s="17">
        <v>9990417.0</v>
      </c>
      <c r="B1397" s="17">
        <v>100.0</v>
      </c>
      <c r="C1397" s="17">
        <v>9990400.0</v>
      </c>
      <c r="D1397" s="17">
        <v>1.0</v>
      </c>
    </row>
    <row r="1398">
      <c r="A1398" s="17">
        <v>9990418.0</v>
      </c>
      <c r="B1398" s="17">
        <v>100.0</v>
      </c>
      <c r="C1398" s="17">
        <v>9990400.0</v>
      </c>
      <c r="D1398" s="17">
        <v>1.0</v>
      </c>
    </row>
    <row r="1399">
      <c r="A1399" s="17">
        <v>9990419.0</v>
      </c>
      <c r="B1399" s="17">
        <v>100.0</v>
      </c>
      <c r="C1399" s="17">
        <v>9990400.0</v>
      </c>
      <c r="D1399" s="17">
        <v>1.0</v>
      </c>
    </row>
    <row r="1400">
      <c r="A1400" s="17">
        <v>9990420.0</v>
      </c>
      <c r="B1400" s="17">
        <v>100.0</v>
      </c>
      <c r="C1400" s="17">
        <v>9990400.0</v>
      </c>
      <c r="D1400" s="17">
        <v>1.0</v>
      </c>
    </row>
    <row r="1401">
      <c r="A1401" s="17">
        <v>9990421.0</v>
      </c>
      <c r="B1401" s="17">
        <v>100.0</v>
      </c>
      <c r="C1401" s="17">
        <v>9990400.0</v>
      </c>
      <c r="D1401" s="17">
        <v>1.0</v>
      </c>
    </row>
    <row r="1402">
      <c r="A1402" s="17">
        <v>9990422.0</v>
      </c>
      <c r="B1402" s="17">
        <v>100.0</v>
      </c>
      <c r="C1402" s="17">
        <v>9990400.0</v>
      </c>
      <c r="D1402" s="17">
        <v>1.0</v>
      </c>
    </row>
    <row r="1403">
      <c r="A1403" s="17">
        <v>9990423.0</v>
      </c>
      <c r="B1403" s="17">
        <v>100.0</v>
      </c>
      <c r="C1403" s="17">
        <v>9990400.0</v>
      </c>
      <c r="D1403" s="17">
        <v>1.0</v>
      </c>
    </row>
    <row r="1404">
      <c r="A1404" s="17">
        <v>9990424.0</v>
      </c>
      <c r="B1404" s="17">
        <v>100.0</v>
      </c>
      <c r="C1404" s="17">
        <v>9990400.0</v>
      </c>
      <c r="D1404" s="17">
        <v>1.0</v>
      </c>
    </row>
    <row r="1405">
      <c r="A1405" s="17">
        <v>9990425.0</v>
      </c>
      <c r="B1405" s="17">
        <v>100.0</v>
      </c>
      <c r="C1405" s="17">
        <v>9990400.0</v>
      </c>
      <c r="D1405" s="17">
        <v>1.0</v>
      </c>
    </row>
    <row r="1406">
      <c r="A1406" s="17">
        <v>9990426.0</v>
      </c>
      <c r="B1406" s="17">
        <v>100.0</v>
      </c>
      <c r="C1406" s="17">
        <v>9990400.0</v>
      </c>
      <c r="D1406" s="17">
        <v>1.0</v>
      </c>
    </row>
    <row r="1407">
      <c r="A1407" s="17">
        <v>9990427.0</v>
      </c>
      <c r="B1407" s="17">
        <v>100.0</v>
      </c>
      <c r="C1407" s="17">
        <v>9990400.0</v>
      </c>
      <c r="D1407" s="17">
        <v>1.0</v>
      </c>
    </row>
    <row r="1408">
      <c r="A1408" s="17">
        <v>9990428.0</v>
      </c>
      <c r="B1408" s="17">
        <v>100.0</v>
      </c>
      <c r="C1408" s="17">
        <v>9990400.0</v>
      </c>
      <c r="D1408" s="17">
        <v>1.0</v>
      </c>
    </row>
    <row r="1409">
      <c r="A1409" s="17">
        <v>9990429.0</v>
      </c>
      <c r="B1409" s="17">
        <v>100.0</v>
      </c>
      <c r="C1409" s="17">
        <v>9990400.0</v>
      </c>
      <c r="D1409" s="17">
        <v>1.0</v>
      </c>
    </row>
    <row r="1410">
      <c r="A1410" s="17">
        <v>9990430.0</v>
      </c>
      <c r="B1410" s="17">
        <v>100.0</v>
      </c>
      <c r="C1410" s="17">
        <v>9990400.0</v>
      </c>
      <c r="D1410" s="17">
        <v>1.0</v>
      </c>
    </row>
    <row r="1411">
      <c r="A1411" s="17">
        <v>9990431.0</v>
      </c>
      <c r="B1411" s="17">
        <v>100.0</v>
      </c>
      <c r="C1411" s="17">
        <v>9990400.0</v>
      </c>
      <c r="D1411" s="17">
        <v>1.0</v>
      </c>
    </row>
    <row r="1412">
      <c r="A1412" s="17">
        <v>9990432.0</v>
      </c>
      <c r="B1412" s="17">
        <v>100.0</v>
      </c>
      <c r="C1412" s="17">
        <v>9990400.0</v>
      </c>
      <c r="D1412" s="17">
        <v>1.0</v>
      </c>
    </row>
    <row r="1413">
      <c r="A1413" s="17">
        <v>9990433.0</v>
      </c>
      <c r="B1413" s="17">
        <v>100.0</v>
      </c>
      <c r="C1413" s="17">
        <v>9990400.0</v>
      </c>
      <c r="D1413" s="17">
        <v>1.0</v>
      </c>
    </row>
    <row r="1414">
      <c r="A1414" s="17">
        <v>9990434.0</v>
      </c>
      <c r="B1414" s="17">
        <v>100.0</v>
      </c>
      <c r="C1414" s="17">
        <v>9990400.0</v>
      </c>
      <c r="D1414" s="17">
        <v>1.0</v>
      </c>
    </row>
    <row r="1415">
      <c r="A1415" s="17">
        <v>9990435.0</v>
      </c>
      <c r="B1415" s="17">
        <v>100.0</v>
      </c>
      <c r="C1415" s="17">
        <v>9990400.0</v>
      </c>
      <c r="D1415" s="17">
        <v>1.0</v>
      </c>
    </row>
    <row r="1416">
      <c r="A1416" s="17">
        <v>9990436.0</v>
      </c>
      <c r="B1416" s="17">
        <v>100.0</v>
      </c>
      <c r="C1416" s="17">
        <v>9990400.0</v>
      </c>
      <c r="D1416" s="17">
        <v>1.0</v>
      </c>
    </row>
    <row r="1417">
      <c r="A1417" s="17">
        <v>9990437.0</v>
      </c>
      <c r="B1417" s="17">
        <v>100.0</v>
      </c>
      <c r="C1417" s="17">
        <v>9990400.0</v>
      </c>
      <c r="D1417" s="17">
        <v>1.0</v>
      </c>
    </row>
    <row r="1418">
      <c r="A1418" s="17">
        <v>9990438.0</v>
      </c>
      <c r="B1418" s="17">
        <v>100.0</v>
      </c>
      <c r="C1418" s="17">
        <v>9990400.0</v>
      </c>
      <c r="D1418" s="17">
        <v>1.0</v>
      </c>
    </row>
    <row r="1419">
      <c r="A1419" s="17">
        <v>9990439.0</v>
      </c>
      <c r="B1419" s="17">
        <v>100.0</v>
      </c>
      <c r="C1419" s="17">
        <v>9990400.0</v>
      </c>
      <c r="D1419" s="17">
        <v>1.0</v>
      </c>
    </row>
    <row r="1420">
      <c r="A1420" s="17">
        <v>9990440.0</v>
      </c>
      <c r="B1420" s="17">
        <v>100.0</v>
      </c>
      <c r="C1420" s="17">
        <v>9990400.0</v>
      </c>
      <c r="D1420" s="17">
        <v>1.0</v>
      </c>
    </row>
    <row r="1421">
      <c r="A1421" s="17">
        <v>9990441.0</v>
      </c>
      <c r="B1421" s="17">
        <v>100.0</v>
      </c>
      <c r="C1421" s="17">
        <v>9990400.0</v>
      </c>
      <c r="D1421" s="17">
        <v>1.0</v>
      </c>
    </row>
    <row r="1422">
      <c r="A1422" s="17">
        <v>9990442.0</v>
      </c>
      <c r="B1422" s="17">
        <v>100.0</v>
      </c>
      <c r="C1422" s="17">
        <v>9990400.0</v>
      </c>
      <c r="D1422" s="17">
        <v>1.0</v>
      </c>
    </row>
    <row r="1423">
      <c r="A1423" s="17">
        <v>9990443.0</v>
      </c>
      <c r="B1423" s="17">
        <v>100.0</v>
      </c>
      <c r="C1423" s="17">
        <v>9990400.0</v>
      </c>
      <c r="D1423" s="17">
        <v>1.0</v>
      </c>
    </row>
    <row r="1424">
      <c r="A1424" s="17">
        <v>9990444.0</v>
      </c>
      <c r="B1424" s="17">
        <v>100.0</v>
      </c>
      <c r="C1424" s="17">
        <v>9990400.0</v>
      </c>
      <c r="D1424" s="17">
        <v>1.0</v>
      </c>
    </row>
    <row r="1425">
      <c r="A1425" s="17">
        <v>9990445.0</v>
      </c>
      <c r="B1425" s="17">
        <v>100.0</v>
      </c>
      <c r="C1425" s="17">
        <v>9990400.0</v>
      </c>
      <c r="D1425" s="17">
        <v>1.0</v>
      </c>
    </row>
    <row r="1426">
      <c r="A1426" s="17">
        <v>9990446.0</v>
      </c>
      <c r="B1426" s="17">
        <v>100.0</v>
      </c>
      <c r="C1426" s="17">
        <v>9990400.0</v>
      </c>
      <c r="D1426" s="17">
        <v>1.0</v>
      </c>
    </row>
    <row r="1427">
      <c r="A1427" s="17">
        <v>9990447.0</v>
      </c>
      <c r="B1427" s="17">
        <v>100.0</v>
      </c>
      <c r="C1427" s="17">
        <v>9990400.0</v>
      </c>
      <c r="D1427" s="17">
        <v>1.0</v>
      </c>
    </row>
    <row r="1428">
      <c r="A1428" s="17">
        <v>9990448.0</v>
      </c>
      <c r="B1428" s="17">
        <v>100.0</v>
      </c>
      <c r="C1428" s="17">
        <v>9990400.0</v>
      </c>
      <c r="D1428" s="17">
        <v>1.0</v>
      </c>
    </row>
    <row r="1429">
      <c r="A1429" s="17">
        <v>9990449.0</v>
      </c>
      <c r="B1429" s="17">
        <v>100.0</v>
      </c>
      <c r="C1429" s="17">
        <v>9990400.0</v>
      </c>
      <c r="D1429" s="17">
        <v>1.0</v>
      </c>
    </row>
    <row r="1430">
      <c r="A1430" s="17">
        <v>9990450.0</v>
      </c>
      <c r="B1430" s="17">
        <v>100.0</v>
      </c>
      <c r="C1430" s="17">
        <v>9990400.0</v>
      </c>
      <c r="D1430" s="17">
        <v>1.0</v>
      </c>
    </row>
    <row r="1431">
      <c r="A1431" s="17">
        <v>9990451.0</v>
      </c>
      <c r="B1431" s="17">
        <v>100.0</v>
      </c>
      <c r="C1431" s="17">
        <v>9990400.0</v>
      </c>
      <c r="D1431" s="17">
        <v>1.0</v>
      </c>
    </row>
    <row r="1432">
      <c r="A1432" s="17">
        <v>9990452.0</v>
      </c>
      <c r="B1432" s="17">
        <v>100.0</v>
      </c>
      <c r="C1432" s="17">
        <v>9990400.0</v>
      </c>
      <c r="D1432" s="17">
        <v>1.0</v>
      </c>
    </row>
    <row r="1433">
      <c r="A1433" s="17">
        <v>9990453.0</v>
      </c>
      <c r="B1433" s="17">
        <v>100.0</v>
      </c>
      <c r="C1433" s="17">
        <v>9990400.0</v>
      </c>
      <c r="D1433" s="17">
        <v>1.0</v>
      </c>
    </row>
    <row r="1434">
      <c r="A1434" s="17">
        <v>9990454.0</v>
      </c>
      <c r="B1434" s="17">
        <v>100.0</v>
      </c>
      <c r="C1434" s="17">
        <v>9990400.0</v>
      </c>
      <c r="D1434" s="17">
        <v>1.0</v>
      </c>
    </row>
    <row r="1435">
      <c r="A1435" s="17">
        <v>9990455.0</v>
      </c>
      <c r="B1435" s="17">
        <v>100.0</v>
      </c>
      <c r="C1435" s="17">
        <v>9990400.0</v>
      </c>
      <c r="D1435" s="17">
        <v>1.0</v>
      </c>
    </row>
    <row r="1436">
      <c r="A1436" s="17">
        <v>9990456.0</v>
      </c>
      <c r="B1436" s="17">
        <v>100.0</v>
      </c>
      <c r="C1436" s="17">
        <v>9990400.0</v>
      </c>
      <c r="D1436" s="17">
        <v>1.0</v>
      </c>
    </row>
    <row r="1437">
      <c r="A1437" s="17">
        <v>9990457.0</v>
      </c>
      <c r="B1437" s="17">
        <v>100.0</v>
      </c>
      <c r="C1437" s="17">
        <v>9990400.0</v>
      </c>
      <c r="D1437" s="17">
        <v>1.0</v>
      </c>
    </row>
    <row r="1438">
      <c r="A1438" s="17">
        <v>9990458.0</v>
      </c>
      <c r="B1438" s="17">
        <v>100.0</v>
      </c>
      <c r="C1438" s="17">
        <v>9990400.0</v>
      </c>
      <c r="D1438" s="17">
        <v>1.0</v>
      </c>
    </row>
    <row r="1439">
      <c r="A1439" s="17">
        <v>9990459.0</v>
      </c>
      <c r="B1439" s="17">
        <v>100.0</v>
      </c>
      <c r="C1439" s="17">
        <v>9990400.0</v>
      </c>
      <c r="D1439" s="17">
        <v>1.0</v>
      </c>
    </row>
    <row r="1440">
      <c r="A1440" s="17">
        <v>9990460.0</v>
      </c>
      <c r="B1440" s="17">
        <v>100.0</v>
      </c>
      <c r="C1440" s="17">
        <v>9990400.0</v>
      </c>
      <c r="D1440" s="17">
        <v>1.0</v>
      </c>
    </row>
    <row r="1441">
      <c r="A1441" s="17">
        <v>9990461.0</v>
      </c>
      <c r="B1441" s="17">
        <v>100.0</v>
      </c>
      <c r="C1441" s="17">
        <v>9990400.0</v>
      </c>
      <c r="D1441" s="17">
        <v>1.0</v>
      </c>
    </row>
    <row r="1442">
      <c r="A1442" s="17">
        <v>9990462.0</v>
      </c>
      <c r="B1442" s="17">
        <v>100.0</v>
      </c>
      <c r="C1442" s="17">
        <v>9990400.0</v>
      </c>
      <c r="D1442" s="17">
        <v>1.0</v>
      </c>
    </row>
    <row r="1443">
      <c r="A1443" s="17">
        <v>9990463.0</v>
      </c>
      <c r="B1443" s="17">
        <v>100.0</v>
      </c>
      <c r="C1443" s="17">
        <v>9990400.0</v>
      </c>
      <c r="D1443" s="17">
        <v>1.0</v>
      </c>
    </row>
    <row r="1444">
      <c r="A1444" s="17">
        <v>9990464.0</v>
      </c>
      <c r="B1444" s="17">
        <v>100.0</v>
      </c>
      <c r="C1444" s="17">
        <v>9990400.0</v>
      </c>
      <c r="D1444" s="17">
        <v>1.0</v>
      </c>
    </row>
    <row r="1445">
      <c r="A1445" s="17">
        <v>9990465.0</v>
      </c>
      <c r="B1445" s="17">
        <v>100.0</v>
      </c>
      <c r="C1445" s="17">
        <v>9990400.0</v>
      </c>
      <c r="D1445" s="17">
        <v>1.0</v>
      </c>
    </row>
    <row r="1446">
      <c r="A1446" s="17">
        <v>9990466.0</v>
      </c>
      <c r="B1446" s="17">
        <v>100.0</v>
      </c>
      <c r="C1446" s="17">
        <v>9990400.0</v>
      </c>
      <c r="D1446" s="17">
        <v>1.0</v>
      </c>
    </row>
    <row r="1447">
      <c r="A1447" s="17">
        <v>9990467.0</v>
      </c>
      <c r="B1447" s="17">
        <v>100.0</v>
      </c>
      <c r="C1447" s="17">
        <v>9990400.0</v>
      </c>
      <c r="D1447" s="17">
        <v>1.0</v>
      </c>
    </row>
    <row r="1448">
      <c r="A1448" s="17">
        <v>9990468.0</v>
      </c>
      <c r="B1448" s="17">
        <v>100.0</v>
      </c>
      <c r="C1448" s="17">
        <v>9990400.0</v>
      </c>
      <c r="D1448" s="17">
        <v>1.0</v>
      </c>
    </row>
    <row r="1449">
      <c r="A1449" s="17">
        <v>9990469.0</v>
      </c>
      <c r="B1449" s="17">
        <v>100.0</v>
      </c>
      <c r="C1449" s="17">
        <v>9990400.0</v>
      </c>
      <c r="D1449" s="17">
        <v>1.0</v>
      </c>
    </row>
    <row r="1450">
      <c r="A1450" s="17">
        <v>9990470.0</v>
      </c>
      <c r="B1450" s="17">
        <v>100.0</v>
      </c>
      <c r="C1450" s="17">
        <v>9990400.0</v>
      </c>
      <c r="D1450" s="17">
        <v>1.0</v>
      </c>
    </row>
    <row r="1451">
      <c r="A1451" s="17">
        <v>9990471.0</v>
      </c>
      <c r="B1451" s="17">
        <v>100.0</v>
      </c>
      <c r="C1451" s="17">
        <v>9990400.0</v>
      </c>
      <c r="D1451" s="17">
        <v>1.0</v>
      </c>
    </row>
    <row r="1452">
      <c r="A1452" s="17">
        <v>9990472.0</v>
      </c>
      <c r="B1452" s="17">
        <v>100.0</v>
      </c>
      <c r="C1452" s="17">
        <v>9990400.0</v>
      </c>
      <c r="D1452" s="17">
        <v>1.0</v>
      </c>
    </row>
    <row r="1453">
      <c r="A1453" s="17">
        <v>9990473.0</v>
      </c>
      <c r="B1453" s="17">
        <v>100.0</v>
      </c>
      <c r="C1453" s="17">
        <v>9990400.0</v>
      </c>
      <c r="D1453" s="17">
        <v>1.0</v>
      </c>
    </row>
    <row r="1454">
      <c r="A1454" s="17">
        <v>9990474.0</v>
      </c>
      <c r="B1454" s="17">
        <v>100.0</v>
      </c>
      <c r="C1454" s="17">
        <v>9990400.0</v>
      </c>
      <c r="D1454" s="17">
        <v>1.0</v>
      </c>
    </row>
    <row r="1455">
      <c r="A1455" s="17">
        <v>9990475.0</v>
      </c>
      <c r="B1455" s="17">
        <v>100.0</v>
      </c>
      <c r="C1455" s="17">
        <v>9990400.0</v>
      </c>
      <c r="D1455" s="17">
        <v>1.0</v>
      </c>
    </row>
    <row r="1456">
      <c r="A1456" s="17">
        <v>9990476.0</v>
      </c>
      <c r="B1456" s="17">
        <v>100.0</v>
      </c>
      <c r="C1456" s="17">
        <v>9990400.0</v>
      </c>
      <c r="D1456" s="17">
        <v>1.0</v>
      </c>
    </row>
    <row r="1457">
      <c r="A1457" s="17">
        <v>9990477.0</v>
      </c>
      <c r="B1457" s="17">
        <v>100.0</v>
      </c>
      <c r="C1457" s="17">
        <v>9990400.0</v>
      </c>
      <c r="D1457" s="17">
        <v>1.0</v>
      </c>
    </row>
    <row r="1458">
      <c r="A1458" s="17">
        <v>9990478.0</v>
      </c>
      <c r="B1458" s="17">
        <v>100.0</v>
      </c>
      <c r="C1458" s="17">
        <v>9990400.0</v>
      </c>
      <c r="D1458" s="17">
        <v>1.0</v>
      </c>
    </row>
    <row r="1459">
      <c r="A1459" s="17">
        <v>9990479.0</v>
      </c>
      <c r="B1459" s="17">
        <v>100.0</v>
      </c>
      <c r="C1459" s="17">
        <v>9990400.0</v>
      </c>
      <c r="D1459" s="17">
        <v>1.0</v>
      </c>
    </row>
    <row r="1460">
      <c r="A1460" s="17">
        <v>9990480.0</v>
      </c>
      <c r="B1460" s="17">
        <v>100.0</v>
      </c>
      <c r="C1460" s="17">
        <v>9990400.0</v>
      </c>
      <c r="D1460" s="17">
        <v>1.0</v>
      </c>
    </row>
    <row r="1461">
      <c r="A1461" s="17">
        <v>9990481.0</v>
      </c>
      <c r="B1461" s="17">
        <v>100.0</v>
      </c>
      <c r="C1461" s="17">
        <v>9990400.0</v>
      </c>
      <c r="D1461" s="17">
        <v>1.0</v>
      </c>
    </row>
    <row r="1462">
      <c r="A1462" s="17">
        <v>9990482.0</v>
      </c>
      <c r="B1462" s="17">
        <v>100.0</v>
      </c>
      <c r="C1462" s="17">
        <v>9990400.0</v>
      </c>
      <c r="D1462" s="17">
        <v>1.0</v>
      </c>
    </row>
    <row r="1463">
      <c r="A1463" s="17">
        <v>9990483.0</v>
      </c>
      <c r="B1463" s="17">
        <v>100.0</v>
      </c>
      <c r="C1463" s="17">
        <v>9990400.0</v>
      </c>
      <c r="D1463" s="17">
        <v>1.0</v>
      </c>
    </row>
    <row r="1464">
      <c r="A1464" s="17">
        <v>9990484.0</v>
      </c>
      <c r="B1464" s="17">
        <v>100.0</v>
      </c>
      <c r="C1464" s="17">
        <v>9990400.0</v>
      </c>
      <c r="D1464" s="17">
        <v>1.0</v>
      </c>
    </row>
    <row r="1465">
      <c r="A1465" s="17">
        <v>9990485.0</v>
      </c>
      <c r="B1465" s="17">
        <v>100.0</v>
      </c>
      <c r="C1465" s="17">
        <v>9990400.0</v>
      </c>
      <c r="D1465" s="17">
        <v>1.0</v>
      </c>
    </row>
    <row r="1466">
      <c r="A1466" s="17">
        <v>9990486.0</v>
      </c>
      <c r="B1466" s="17">
        <v>100.0</v>
      </c>
      <c r="C1466" s="17">
        <v>9990400.0</v>
      </c>
      <c r="D1466" s="17">
        <v>1.0</v>
      </c>
    </row>
    <row r="1467">
      <c r="A1467" s="17">
        <v>9990487.0</v>
      </c>
      <c r="B1467" s="17">
        <v>100.0</v>
      </c>
      <c r="C1467" s="17">
        <v>9990400.0</v>
      </c>
      <c r="D1467" s="17">
        <v>1.0</v>
      </c>
    </row>
    <row r="1468">
      <c r="A1468" s="17">
        <v>9990488.0</v>
      </c>
      <c r="B1468" s="17">
        <v>100.0</v>
      </c>
      <c r="C1468" s="17">
        <v>9990400.0</v>
      </c>
      <c r="D1468" s="17">
        <v>1.0</v>
      </c>
    </row>
    <row r="1469">
      <c r="A1469" s="17">
        <v>9990489.0</v>
      </c>
      <c r="B1469" s="17">
        <v>100.0</v>
      </c>
      <c r="C1469" s="17">
        <v>9990400.0</v>
      </c>
      <c r="D1469" s="17">
        <v>1.0</v>
      </c>
    </row>
    <row r="1470">
      <c r="A1470" s="17">
        <v>9990490.0</v>
      </c>
      <c r="B1470" s="17">
        <v>100.0</v>
      </c>
      <c r="C1470" s="17">
        <v>9990400.0</v>
      </c>
      <c r="D1470" s="17">
        <v>1.0</v>
      </c>
    </row>
    <row r="1471">
      <c r="A1471" s="17">
        <v>9990491.0</v>
      </c>
      <c r="B1471" s="17">
        <v>100.0</v>
      </c>
      <c r="C1471" s="17">
        <v>9990400.0</v>
      </c>
      <c r="D1471" s="17">
        <v>1.0</v>
      </c>
    </row>
    <row r="1472">
      <c r="A1472" s="17">
        <v>9990492.0</v>
      </c>
      <c r="B1472" s="17">
        <v>100.0</v>
      </c>
      <c r="C1472" s="17">
        <v>9990400.0</v>
      </c>
      <c r="D1472" s="17">
        <v>1.0</v>
      </c>
    </row>
    <row r="1473">
      <c r="A1473" s="17">
        <v>9990493.0</v>
      </c>
      <c r="B1473" s="17">
        <v>100.0</v>
      </c>
      <c r="C1473" s="17">
        <v>9990400.0</v>
      </c>
      <c r="D1473" s="17">
        <v>1.0</v>
      </c>
    </row>
    <row r="1474">
      <c r="A1474" s="17">
        <v>9990494.0</v>
      </c>
      <c r="B1474" s="17">
        <v>100.0</v>
      </c>
      <c r="C1474" s="17">
        <v>9990400.0</v>
      </c>
      <c r="D1474" s="17">
        <v>1.0</v>
      </c>
    </row>
    <row r="1475">
      <c r="A1475" s="17">
        <v>9990495.0</v>
      </c>
      <c r="B1475" s="17">
        <v>100.0</v>
      </c>
      <c r="C1475" s="17">
        <v>9990400.0</v>
      </c>
      <c r="D1475" s="17">
        <v>1.0</v>
      </c>
    </row>
    <row r="1476">
      <c r="A1476" s="17">
        <v>9990496.0</v>
      </c>
      <c r="B1476" s="17">
        <v>100.0</v>
      </c>
      <c r="C1476" s="17">
        <v>9990400.0</v>
      </c>
      <c r="D1476" s="17">
        <v>1.0</v>
      </c>
    </row>
    <row r="1477">
      <c r="A1477" s="17">
        <v>9990497.0</v>
      </c>
      <c r="B1477" s="17">
        <v>100.0</v>
      </c>
      <c r="C1477" s="17">
        <v>9990400.0</v>
      </c>
      <c r="D1477" s="17">
        <v>1.0</v>
      </c>
    </row>
    <row r="1478">
      <c r="A1478" s="17">
        <v>9990498.0</v>
      </c>
      <c r="B1478" s="17">
        <v>100.0</v>
      </c>
      <c r="C1478" s="17">
        <v>9990400.0</v>
      </c>
      <c r="D1478" s="17">
        <v>1.0</v>
      </c>
    </row>
    <row r="1479">
      <c r="A1479" s="17">
        <v>9990499.0</v>
      </c>
      <c r="B1479" s="17">
        <v>100.0</v>
      </c>
      <c r="C1479" s="17">
        <v>9990400.0</v>
      </c>
      <c r="D1479" s="17">
        <v>1.0</v>
      </c>
    </row>
    <row r="1480">
      <c r="A1480" s="17">
        <v>9990500.0</v>
      </c>
      <c r="B1480" s="17">
        <v>100.0</v>
      </c>
      <c r="C1480" s="17">
        <v>9990500.0</v>
      </c>
      <c r="D1480" s="17">
        <v>1.0</v>
      </c>
    </row>
    <row r="1481">
      <c r="A1481" s="17">
        <v>9990501.0</v>
      </c>
      <c r="B1481" s="17">
        <v>100.0</v>
      </c>
      <c r="C1481" s="17">
        <v>9990500.0</v>
      </c>
      <c r="D1481" s="17">
        <v>1.0</v>
      </c>
    </row>
    <row r="1482">
      <c r="A1482" s="17">
        <v>9990502.0</v>
      </c>
      <c r="B1482" s="17">
        <v>100.0</v>
      </c>
      <c r="C1482" s="17">
        <v>9990500.0</v>
      </c>
      <c r="D1482" s="17">
        <v>1.0</v>
      </c>
    </row>
    <row r="1483">
      <c r="A1483" s="17">
        <v>9990503.0</v>
      </c>
      <c r="B1483" s="17">
        <v>100.0</v>
      </c>
      <c r="C1483" s="17">
        <v>9990500.0</v>
      </c>
      <c r="D1483" s="17">
        <v>1.0</v>
      </c>
    </row>
    <row r="1484">
      <c r="A1484" s="17">
        <v>9990504.0</v>
      </c>
      <c r="B1484" s="17">
        <v>100.0</v>
      </c>
      <c r="C1484" s="17">
        <v>9990500.0</v>
      </c>
      <c r="D1484" s="17">
        <v>1.0</v>
      </c>
    </row>
    <row r="1485">
      <c r="A1485" s="17">
        <v>9990505.0</v>
      </c>
      <c r="B1485" s="17">
        <v>100.0</v>
      </c>
      <c r="C1485" s="17">
        <v>9990500.0</v>
      </c>
      <c r="D1485" s="17">
        <v>1.0</v>
      </c>
    </row>
    <row r="1486">
      <c r="A1486" s="17">
        <v>9990506.0</v>
      </c>
      <c r="B1486" s="17">
        <v>100.0</v>
      </c>
      <c r="C1486" s="17">
        <v>9990500.0</v>
      </c>
      <c r="D1486" s="17">
        <v>1.0</v>
      </c>
    </row>
    <row r="1487">
      <c r="A1487" s="17">
        <v>9990507.0</v>
      </c>
      <c r="B1487" s="17">
        <v>100.0</v>
      </c>
      <c r="C1487" s="17">
        <v>9990500.0</v>
      </c>
      <c r="D1487" s="17">
        <v>1.0</v>
      </c>
    </row>
    <row r="1488">
      <c r="A1488" s="17">
        <v>9990508.0</v>
      </c>
      <c r="B1488" s="17">
        <v>100.0</v>
      </c>
      <c r="C1488" s="17">
        <v>9990500.0</v>
      </c>
      <c r="D1488" s="17">
        <v>1.0</v>
      </c>
    </row>
    <row r="1489">
      <c r="A1489" s="17">
        <v>9990509.0</v>
      </c>
      <c r="B1489" s="17">
        <v>100.0</v>
      </c>
      <c r="C1489" s="17">
        <v>9990500.0</v>
      </c>
      <c r="D1489" s="17">
        <v>1.0</v>
      </c>
    </row>
    <row r="1490">
      <c r="A1490" s="17">
        <v>9990510.0</v>
      </c>
      <c r="B1490" s="17">
        <v>100.0</v>
      </c>
      <c r="C1490" s="17">
        <v>9990500.0</v>
      </c>
      <c r="D1490" s="17">
        <v>1.0</v>
      </c>
    </row>
    <row r="1491">
      <c r="A1491" s="17">
        <v>9990511.0</v>
      </c>
      <c r="B1491" s="17">
        <v>100.0</v>
      </c>
      <c r="C1491" s="17">
        <v>9990500.0</v>
      </c>
      <c r="D1491" s="17">
        <v>1.0</v>
      </c>
    </row>
    <row r="1492">
      <c r="A1492" s="17">
        <v>9990512.0</v>
      </c>
      <c r="B1492" s="17">
        <v>100.0</v>
      </c>
      <c r="C1492" s="17">
        <v>9990500.0</v>
      </c>
      <c r="D1492" s="17">
        <v>1.0</v>
      </c>
    </row>
    <row r="1493">
      <c r="A1493" s="17">
        <v>9990513.0</v>
      </c>
      <c r="B1493" s="17">
        <v>100.0</v>
      </c>
      <c r="C1493" s="17">
        <v>9990500.0</v>
      </c>
      <c r="D1493" s="17">
        <v>1.0</v>
      </c>
    </row>
    <row r="1494">
      <c r="A1494" s="17">
        <v>9990514.0</v>
      </c>
      <c r="B1494" s="17">
        <v>100.0</v>
      </c>
      <c r="C1494" s="17">
        <v>9990500.0</v>
      </c>
      <c r="D1494" s="17">
        <v>1.0</v>
      </c>
    </row>
    <row r="1495">
      <c r="A1495" s="17">
        <v>9990515.0</v>
      </c>
      <c r="B1495" s="17">
        <v>100.0</v>
      </c>
      <c r="C1495" s="17">
        <v>9990500.0</v>
      </c>
      <c r="D1495" s="17">
        <v>1.0</v>
      </c>
    </row>
    <row r="1496">
      <c r="A1496" s="17">
        <v>9990516.0</v>
      </c>
      <c r="B1496" s="17">
        <v>100.0</v>
      </c>
      <c r="C1496" s="17">
        <v>9990500.0</v>
      </c>
      <c r="D1496" s="17">
        <v>1.0</v>
      </c>
    </row>
    <row r="1497">
      <c r="A1497" s="17">
        <v>9990517.0</v>
      </c>
      <c r="B1497" s="17">
        <v>100.0</v>
      </c>
      <c r="C1497" s="17">
        <v>9990500.0</v>
      </c>
      <c r="D1497" s="17">
        <v>1.0</v>
      </c>
    </row>
    <row r="1498">
      <c r="A1498" s="17">
        <v>9990518.0</v>
      </c>
      <c r="B1498" s="17">
        <v>100.0</v>
      </c>
      <c r="C1498" s="17">
        <v>9990500.0</v>
      </c>
      <c r="D1498" s="17">
        <v>1.0</v>
      </c>
    </row>
    <row r="1499">
      <c r="A1499" s="17">
        <v>9990519.0</v>
      </c>
      <c r="B1499" s="17">
        <v>100.0</v>
      </c>
      <c r="C1499" s="17">
        <v>9990500.0</v>
      </c>
      <c r="D1499" s="17">
        <v>1.0</v>
      </c>
    </row>
    <row r="1500">
      <c r="A1500" s="17">
        <v>9990520.0</v>
      </c>
      <c r="B1500" s="17">
        <v>100.0</v>
      </c>
      <c r="C1500" s="17">
        <v>9990500.0</v>
      </c>
      <c r="D1500" s="17">
        <v>1.0</v>
      </c>
    </row>
    <row r="1501">
      <c r="A1501" s="17">
        <v>9990521.0</v>
      </c>
      <c r="B1501" s="17">
        <v>100.0</v>
      </c>
      <c r="C1501" s="17">
        <v>9990500.0</v>
      </c>
      <c r="D1501" s="17">
        <v>1.0</v>
      </c>
    </row>
    <row r="1502">
      <c r="A1502" s="17">
        <v>9990522.0</v>
      </c>
      <c r="B1502" s="17">
        <v>100.0</v>
      </c>
      <c r="C1502" s="17">
        <v>9990500.0</v>
      </c>
      <c r="D1502" s="17">
        <v>1.0</v>
      </c>
    </row>
    <row r="1503">
      <c r="A1503" s="17">
        <v>9990523.0</v>
      </c>
      <c r="B1503" s="17">
        <v>100.0</v>
      </c>
      <c r="C1503" s="17">
        <v>9990500.0</v>
      </c>
      <c r="D1503" s="17">
        <v>1.0</v>
      </c>
    </row>
    <row r="1504">
      <c r="A1504" s="17">
        <v>9990524.0</v>
      </c>
      <c r="B1504" s="17">
        <v>100.0</v>
      </c>
      <c r="C1504" s="17">
        <v>9990500.0</v>
      </c>
      <c r="D1504" s="17">
        <v>1.0</v>
      </c>
    </row>
    <row r="1505">
      <c r="A1505" s="17">
        <v>9990525.0</v>
      </c>
      <c r="B1505" s="17">
        <v>100.0</v>
      </c>
      <c r="C1505" s="17">
        <v>9990500.0</v>
      </c>
      <c r="D1505" s="17">
        <v>1.0</v>
      </c>
    </row>
    <row r="1506">
      <c r="A1506" s="17">
        <v>9990526.0</v>
      </c>
      <c r="B1506" s="17">
        <v>100.0</v>
      </c>
      <c r="C1506" s="17">
        <v>9990500.0</v>
      </c>
      <c r="D1506" s="17">
        <v>1.0</v>
      </c>
    </row>
    <row r="1507">
      <c r="A1507" s="17">
        <v>9990527.0</v>
      </c>
      <c r="B1507" s="17">
        <v>100.0</v>
      </c>
      <c r="C1507" s="17">
        <v>9990500.0</v>
      </c>
      <c r="D1507" s="17">
        <v>1.0</v>
      </c>
    </row>
    <row r="1508">
      <c r="A1508" s="17">
        <v>9990528.0</v>
      </c>
      <c r="B1508" s="17">
        <v>100.0</v>
      </c>
      <c r="C1508" s="17">
        <v>9990500.0</v>
      </c>
      <c r="D1508" s="17">
        <v>1.0</v>
      </c>
    </row>
    <row r="1509">
      <c r="A1509" s="17">
        <v>9990529.0</v>
      </c>
      <c r="B1509" s="17">
        <v>100.0</v>
      </c>
      <c r="C1509" s="17">
        <v>9990500.0</v>
      </c>
      <c r="D1509" s="17">
        <v>1.0</v>
      </c>
    </row>
    <row r="1510">
      <c r="A1510" s="17">
        <v>9990530.0</v>
      </c>
      <c r="B1510" s="17">
        <v>100.0</v>
      </c>
      <c r="C1510" s="17">
        <v>9990500.0</v>
      </c>
      <c r="D1510" s="17">
        <v>1.0</v>
      </c>
    </row>
    <row r="1511">
      <c r="A1511" s="17">
        <v>9990531.0</v>
      </c>
      <c r="B1511" s="17">
        <v>100.0</v>
      </c>
      <c r="C1511" s="17">
        <v>9990500.0</v>
      </c>
      <c r="D1511" s="17">
        <v>1.0</v>
      </c>
    </row>
    <row r="1512">
      <c r="A1512" s="17">
        <v>9990532.0</v>
      </c>
      <c r="B1512" s="17">
        <v>100.0</v>
      </c>
      <c r="C1512" s="17">
        <v>9990500.0</v>
      </c>
      <c r="D1512" s="17">
        <v>1.0</v>
      </c>
    </row>
    <row r="1513">
      <c r="A1513" s="17">
        <v>9990533.0</v>
      </c>
      <c r="B1513" s="17">
        <v>100.0</v>
      </c>
      <c r="C1513" s="17">
        <v>9990500.0</v>
      </c>
      <c r="D1513" s="17">
        <v>1.0</v>
      </c>
    </row>
    <row r="1514">
      <c r="A1514" s="17">
        <v>9990534.0</v>
      </c>
      <c r="B1514" s="17">
        <v>100.0</v>
      </c>
      <c r="C1514" s="17">
        <v>9990500.0</v>
      </c>
      <c r="D1514" s="17">
        <v>1.0</v>
      </c>
    </row>
    <row r="1515">
      <c r="A1515" s="17">
        <v>9990535.0</v>
      </c>
      <c r="B1515" s="17">
        <v>100.0</v>
      </c>
      <c r="C1515" s="17">
        <v>9990500.0</v>
      </c>
      <c r="D1515" s="17">
        <v>1.0</v>
      </c>
    </row>
    <row r="1516">
      <c r="A1516" s="17">
        <v>9990536.0</v>
      </c>
      <c r="B1516" s="17">
        <v>100.0</v>
      </c>
      <c r="C1516" s="17">
        <v>9990500.0</v>
      </c>
      <c r="D1516" s="17">
        <v>1.0</v>
      </c>
    </row>
    <row r="1517">
      <c r="A1517" s="17">
        <v>9990537.0</v>
      </c>
      <c r="B1517" s="17">
        <v>100.0</v>
      </c>
      <c r="C1517" s="17">
        <v>9990500.0</v>
      </c>
      <c r="D1517" s="17">
        <v>1.0</v>
      </c>
    </row>
    <row r="1518">
      <c r="A1518" s="17">
        <v>9990538.0</v>
      </c>
      <c r="B1518" s="17">
        <v>100.0</v>
      </c>
      <c r="C1518" s="17">
        <v>9990500.0</v>
      </c>
      <c r="D1518" s="17">
        <v>1.0</v>
      </c>
    </row>
    <row r="1519">
      <c r="A1519" s="17">
        <v>9990539.0</v>
      </c>
      <c r="B1519" s="17">
        <v>100.0</v>
      </c>
      <c r="C1519" s="17">
        <v>9990500.0</v>
      </c>
      <c r="D1519" s="17">
        <v>1.0</v>
      </c>
    </row>
    <row r="1520">
      <c r="A1520" s="17">
        <v>9990540.0</v>
      </c>
      <c r="B1520" s="17">
        <v>100.0</v>
      </c>
      <c r="C1520" s="17">
        <v>9990500.0</v>
      </c>
      <c r="D1520" s="17">
        <v>1.0</v>
      </c>
    </row>
    <row r="1521">
      <c r="A1521" s="17">
        <v>9990541.0</v>
      </c>
      <c r="B1521" s="17">
        <v>100.0</v>
      </c>
      <c r="C1521" s="17">
        <v>9990500.0</v>
      </c>
      <c r="D1521" s="17">
        <v>1.0</v>
      </c>
    </row>
    <row r="1522">
      <c r="A1522" s="17">
        <v>9990542.0</v>
      </c>
      <c r="B1522" s="17">
        <v>100.0</v>
      </c>
      <c r="C1522" s="17">
        <v>9990500.0</v>
      </c>
      <c r="D1522" s="17">
        <v>1.0</v>
      </c>
    </row>
    <row r="1523">
      <c r="A1523" s="17">
        <v>9990543.0</v>
      </c>
      <c r="B1523" s="17">
        <v>100.0</v>
      </c>
      <c r="C1523" s="17">
        <v>9990500.0</v>
      </c>
      <c r="D1523" s="17">
        <v>1.0</v>
      </c>
    </row>
    <row r="1524">
      <c r="A1524" s="17">
        <v>9990544.0</v>
      </c>
      <c r="B1524" s="17">
        <v>100.0</v>
      </c>
      <c r="C1524" s="17">
        <v>9990500.0</v>
      </c>
      <c r="D1524" s="17">
        <v>1.0</v>
      </c>
    </row>
    <row r="1525">
      <c r="A1525" s="17">
        <v>9990545.0</v>
      </c>
      <c r="B1525" s="17">
        <v>100.0</v>
      </c>
      <c r="C1525" s="17">
        <v>9990500.0</v>
      </c>
      <c r="D1525" s="17">
        <v>1.0</v>
      </c>
    </row>
    <row r="1526">
      <c r="A1526" s="17">
        <v>9990546.0</v>
      </c>
      <c r="B1526" s="17">
        <v>100.0</v>
      </c>
      <c r="C1526" s="17">
        <v>9990500.0</v>
      </c>
      <c r="D1526" s="17">
        <v>1.0</v>
      </c>
    </row>
    <row r="1527">
      <c r="A1527" s="17">
        <v>9990547.0</v>
      </c>
      <c r="B1527" s="17">
        <v>100.0</v>
      </c>
      <c r="C1527" s="17">
        <v>9990500.0</v>
      </c>
      <c r="D1527" s="17">
        <v>1.0</v>
      </c>
    </row>
    <row r="1528">
      <c r="A1528" s="17">
        <v>9990548.0</v>
      </c>
      <c r="B1528" s="17">
        <v>100.0</v>
      </c>
      <c r="C1528" s="17">
        <v>9990500.0</v>
      </c>
      <c r="D1528" s="17">
        <v>1.0</v>
      </c>
    </row>
    <row r="1529">
      <c r="A1529" s="17">
        <v>9990549.0</v>
      </c>
      <c r="B1529" s="17">
        <v>100.0</v>
      </c>
      <c r="C1529" s="17">
        <v>9990500.0</v>
      </c>
      <c r="D1529" s="17">
        <v>1.0</v>
      </c>
    </row>
    <row r="1530">
      <c r="A1530" s="17">
        <v>9990550.0</v>
      </c>
      <c r="B1530" s="17">
        <v>100.0</v>
      </c>
      <c r="C1530" s="17">
        <v>9990500.0</v>
      </c>
      <c r="D1530" s="17">
        <v>1.0</v>
      </c>
    </row>
    <row r="1531">
      <c r="A1531" s="17">
        <v>9990551.0</v>
      </c>
      <c r="B1531" s="17">
        <v>100.0</v>
      </c>
      <c r="C1531" s="17">
        <v>9990500.0</v>
      </c>
      <c r="D1531" s="17">
        <v>1.0</v>
      </c>
    </row>
    <row r="1532">
      <c r="A1532" s="17">
        <v>9990552.0</v>
      </c>
      <c r="B1532" s="17">
        <v>100.0</v>
      </c>
      <c r="C1532" s="17">
        <v>9990500.0</v>
      </c>
      <c r="D1532" s="17">
        <v>1.0</v>
      </c>
    </row>
    <row r="1533">
      <c r="A1533" s="17">
        <v>9990553.0</v>
      </c>
      <c r="B1533" s="17">
        <v>100.0</v>
      </c>
      <c r="C1533" s="17">
        <v>9990500.0</v>
      </c>
      <c r="D1533" s="17">
        <v>1.0</v>
      </c>
    </row>
    <row r="1534">
      <c r="A1534" s="17">
        <v>9990554.0</v>
      </c>
      <c r="B1534" s="17">
        <v>100.0</v>
      </c>
      <c r="C1534" s="17">
        <v>9990500.0</v>
      </c>
      <c r="D1534" s="17">
        <v>1.0</v>
      </c>
    </row>
    <row r="1535">
      <c r="A1535" s="17">
        <v>9990555.0</v>
      </c>
      <c r="B1535" s="17">
        <v>100.0</v>
      </c>
      <c r="C1535" s="17">
        <v>9990500.0</v>
      </c>
      <c r="D1535" s="17">
        <v>1.0</v>
      </c>
    </row>
    <row r="1536">
      <c r="A1536" s="17">
        <v>9990556.0</v>
      </c>
      <c r="B1536" s="17">
        <v>100.0</v>
      </c>
      <c r="C1536" s="17">
        <v>9990500.0</v>
      </c>
      <c r="D1536" s="17">
        <v>1.0</v>
      </c>
    </row>
    <row r="1537">
      <c r="A1537" s="17">
        <v>9990557.0</v>
      </c>
      <c r="B1537" s="17">
        <v>100.0</v>
      </c>
      <c r="C1537" s="17">
        <v>9990500.0</v>
      </c>
      <c r="D1537" s="17">
        <v>1.0</v>
      </c>
    </row>
    <row r="1538">
      <c r="A1538" s="17">
        <v>9990558.0</v>
      </c>
      <c r="B1538" s="17">
        <v>100.0</v>
      </c>
      <c r="C1538" s="17">
        <v>9990500.0</v>
      </c>
      <c r="D1538" s="17">
        <v>1.0</v>
      </c>
    </row>
    <row r="1539">
      <c r="A1539" s="17">
        <v>9990559.0</v>
      </c>
      <c r="B1539" s="17">
        <v>100.0</v>
      </c>
      <c r="C1539" s="17">
        <v>9990500.0</v>
      </c>
      <c r="D1539" s="17">
        <v>1.0</v>
      </c>
    </row>
    <row r="1540">
      <c r="A1540" s="17">
        <v>9990560.0</v>
      </c>
      <c r="B1540" s="17">
        <v>100.0</v>
      </c>
      <c r="C1540" s="17">
        <v>9990500.0</v>
      </c>
      <c r="D1540" s="17">
        <v>1.0</v>
      </c>
    </row>
    <row r="1541">
      <c r="A1541" s="17">
        <v>9990561.0</v>
      </c>
      <c r="B1541" s="17">
        <v>100.0</v>
      </c>
      <c r="C1541" s="17">
        <v>9990500.0</v>
      </c>
      <c r="D1541" s="17">
        <v>1.0</v>
      </c>
    </row>
    <row r="1542">
      <c r="A1542" s="17">
        <v>9990562.0</v>
      </c>
      <c r="B1542" s="17">
        <v>100.0</v>
      </c>
      <c r="C1542" s="17">
        <v>9990500.0</v>
      </c>
      <c r="D1542" s="17">
        <v>1.0</v>
      </c>
    </row>
    <row r="1543">
      <c r="A1543" s="17">
        <v>9990563.0</v>
      </c>
      <c r="B1543" s="17">
        <v>100.0</v>
      </c>
      <c r="C1543" s="17">
        <v>9990500.0</v>
      </c>
      <c r="D1543" s="17">
        <v>1.0</v>
      </c>
    </row>
    <row r="1544">
      <c r="A1544" s="17">
        <v>9990564.0</v>
      </c>
      <c r="B1544" s="17">
        <v>100.0</v>
      </c>
      <c r="C1544" s="17">
        <v>9990500.0</v>
      </c>
      <c r="D1544" s="17">
        <v>1.0</v>
      </c>
    </row>
    <row r="1545">
      <c r="A1545" s="17">
        <v>9990565.0</v>
      </c>
      <c r="B1545" s="17">
        <v>100.0</v>
      </c>
      <c r="C1545" s="17">
        <v>9990500.0</v>
      </c>
      <c r="D1545" s="17">
        <v>1.0</v>
      </c>
    </row>
    <row r="1546">
      <c r="A1546" s="17">
        <v>9990566.0</v>
      </c>
      <c r="B1546" s="17">
        <v>100.0</v>
      </c>
      <c r="C1546" s="17">
        <v>9990500.0</v>
      </c>
      <c r="D1546" s="17">
        <v>1.0</v>
      </c>
    </row>
    <row r="1547">
      <c r="A1547" s="17">
        <v>9990567.0</v>
      </c>
      <c r="B1547" s="17">
        <v>100.0</v>
      </c>
      <c r="C1547" s="17">
        <v>9990500.0</v>
      </c>
      <c r="D1547" s="17">
        <v>1.0</v>
      </c>
    </row>
    <row r="1548">
      <c r="A1548" s="17">
        <v>9990568.0</v>
      </c>
      <c r="B1548" s="17">
        <v>100.0</v>
      </c>
      <c r="C1548" s="17">
        <v>9990500.0</v>
      </c>
      <c r="D1548" s="17">
        <v>1.0</v>
      </c>
    </row>
    <row r="1549">
      <c r="A1549" s="17">
        <v>9990569.0</v>
      </c>
      <c r="B1549" s="17">
        <v>100.0</v>
      </c>
      <c r="C1549" s="17">
        <v>9990500.0</v>
      </c>
      <c r="D1549" s="17">
        <v>1.0</v>
      </c>
    </row>
    <row r="1550">
      <c r="A1550" s="17">
        <v>9990570.0</v>
      </c>
      <c r="B1550" s="17">
        <v>100.0</v>
      </c>
      <c r="C1550" s="17">
        <v>9990500.0</v>
      </c>
      <c r="D1550" s="17">
        <v>1.0</v>
      </c>
    </row>
    <row r="1551">
      <c r="A1551" s="17">
        <v>9990571.0</v>
      </c>
      <c r="B1551" s="17">
        <v>100.0</v>
      </c>
      <c r="C1551" s="17">
        <v>9990500.0</v>
      </c>
      <c r="D1551" s="17">
        <v>1.0</v>
      </c>
    </row>
    <row r="1552">
      <c r="A1552" s="17">
        <v>9990572.0</v>
      </c>
      <c r="B1552" s="17">
        <v>100.0</v>
      </c>
      <c r="C1552" s="17">
        <v>9990500.0</v>
      </c>
      <c r="D1552" s="17">
        <v>1.0</v>
      </c>
    </row>
    <row r="1553">
      <c r="A1553" s="17">
        <v>9990573.0</v>
      </c>
      <c r="B1553" s="17">
        <v>100.0</v>
      </c>
      <c r="C1553" s="17">
        <v>9990500.0</v>
      </c>
      <c r="D1553" s="17">
        <v>1.0</v>
      </c>
    </row>
    <row r="1554">
      <c r="A1554" s="17">
        <v>9990574.0</v>
      </c>
      <c r="B1554" s="17">
        <v>100.0</v>
      </c>
      <c r="C1554" s="17">
        <v>9990500.0</v>
      </c>
      <c r="D1554" s="17">
        <v>1.0</v>
      </c>
    </row>
    <row r="1555">
      <c r="A1555" s="17">
        <v>9990575.0</v>
      </c>
      <c r="B1555" s="17">
        <v>100.0</v>
      </c>
      <c r="C1555" s="17">
        <v>9990500.0</v>
      </c>
      <c r="D1555" s="17">
        <v>1.0</v>
      </c>
    </row>
    <row r="1556">
      <c r="A1556" s="17">
        <v>9990576.0</v>
      </c>
      <c r="B1556" s="17">
        <v>100.0</v>
      </c>
      <c r="C1556" s="17">
        <v>9990500.0</v>
      </c>
      <c r="D1556" s="17">
        <v>1.0</v>
      </c>
    </row>
    <row r="1557">
      <c r="A1557" s="17">
        <v>9990577.0</v>
      </c>
      <c r="B1557" s="17">
        <v>100.0</v>
      </c>
      <c r="C1557" s="17">
        <v>9990500.0</v>
      </c>
      <c r="D1557" s="17">
        <v>1.0</v>
      </c>
    </row>
    <row r="1558">
      <c r="A1558" s="17">
        <v>9990578.0</v>
      </c>
      <c r="B1558" s="17">
        <v>100.0</v>
      </c>
      <c r="C1558" s="17">
        <v>9990500.0</v>
      </c>
      <c r="D1558" s="17">
        <v>1.0</v>
      </c>
    </row>
    <row r="1559">
      <c r="A1559" s="17">
        <v>9990579.0</v>
      </c>
      <c r="B1559" s="17">
        <v>100.0</v>
      </c>
      <c r="C1559" s="17">
        <v>9990500.0</v>
      </c>
      <c r="D1559" s="17">
        <v>1.0</v>
      </c>
    </row>
    <row r="1560">
      <c r="A1560" s="17">
        <v>9990580.0</v>
      </c>
      <c r="B1560" s="17">
        <v>100.0</v>
      </c>
      <c r="C1560" s="17">
        <v>9990500.0</v>
      </c>
      <c r="D1560" s="17">
        <v>1.0</v>
      </c>
    </row>
    <row r="1561">
      <c r="A1561" s="17">
        <v>9990581.0</v>
      </c>
      <c r="B1561" s="17">
        <v>100.0</v>
      </c>
      <c r="C1561" s="17">
        <v>9990500.0</v>
      </c>
      <c r="D1561" s="17">
        <v>1.0</v>
      </c>
    </row>
    <row r="1562">
      <c r="A1562" s="17">
        <v>9990582.0</v>
      </c>
      <c r="B1562" s="17">
        <v>100.0</v>
      </c>
      <c r="C1562" s="17">
        <v>9990500.0</v>
      </c>
      <c r="D1562" s="17">
        <v>1.0</v>
      </c>
    </row>
    <row r="1563">
      <c r="A1563" s="17">
        <v>9990583.0</v>
      </c>
      <c r="B1563" s="17">
        <v>100.0</v>
      </c>
      <c r="C1563" s="17">
        <v>9990500.0</v>
      </c>
      <c r="D1563" s="17">
        <v>1.0</v>
      </c>
    </row>
    <row r="1564">
      <c r="A1564" s="17">
        <v>9990584.0</v>
      </c>
      <c r="B1564" s="17">
        <v>100.0</v>
      </c>
      <c r="C1564" s="17">
        <v>9990500.0</v>
      </c>
      <c r="D1564" s="17">
        <v>1.0</v>
      </c>
    </row>
    <row r="1565">
      <c r="A1565" s="17">
        <v>9990585.0</v>
      </c>
      <c r="B1565" s="17">
        <v>100.0</v>
      </c>
      <c r="C1565" s="17">
        <v>9990500.0</v>
      </c>
      <c r="D1565" s="17">
        <v>1.0</v>
      </c>
    </row>
    <row r="1566">
      <c r="A1566" s="17">
        <v>9990586.0</v>
      </c>
      <c r="B1566" s="17">
        <v>100.0</v>
      </c>
      <c r="C1566" s="17">
        <v>9990500.0</v>
      </c>
      <c r="D1566" s="17">
        <v>1.0</v>
      </c>
    </row>
    <row r="1567">
      <c r="A1567" s="17">
        <v>9990587.0</v>
      </c>
      <c r="B1567" s="17">
        <v>100.0</v>
      </c>
      <c r="C1567" s="17">
        <v>9990500.0</v>
      </c>
      <c r="D1567" s="17">
        <v>1.0</v>
      </c>
    </row>
    <row r="1568">
      <c r="A1568" s="17">
        <v>9990588.0</v>
      </c>
      <c r="B1568" s="17">
        <v>100.0</v>
      </c>
      <c r="C1568" s="17">
        <v>9990500.0</v>
      </c>
      <c r="D1568" s="17">
        <v>1.0</v>
      </c>
    </row>
    <row r="1569">
      <c r="A1569" s="17">
        <v>9990589.0</v>
      </c>
      <c r="B1569" s="17">
        <v>100.0</v>
      </c>
      <c r="C1569" s="17">
        <v>9990500.0</v>
      </c>
      <c r="D1569" s="17">
        <v>1.0</v>
      </c>
    </row>
    <row r="1570">
      <c r="A1570" s="17">
        <v>9990590.0</v>
      </c>
      <c r="B1570" s="17">
        <v>100.0</v>
      </c>
      <c r="C1570" s="17">
        <v>9990500.0</v>
      </c>
      <c r="D1570" s="17">
        <v>1.0</v>
      </c>
    </row>
    <row r="1571">
      <c r="A1571" s="17">
        <v>9990591.0</v>
      </c>
      <c r="B1571" s="17">
        <v>100.0</v>
      </c>
      <c r="C1571" s="17">
        <v>9990500.0</v>
      </c>
      <c r="D1571" s="17">
        <v>1.0</v>
      </c>
    </row>
    <row r="1572">
      <c r="A1572" s="17">
        <v>9990592.0</v>
      </c>
      <c r="B1572" s="17">
        <v>100.0</v>
      </c>
      <c r="C1572" s="17">
        <v>9990500.0</v>
      </c>
      <c r="D1572" s="17">
        <v>1.0</v>
      </c>
    </row>
    <row r="1573">
      <c r="A1573" s="17">
        <v>9990593.0</v>
      </c>
      <c r="B1573" s="17">
        <v>100.0</v>
      </c>
      <c r="C1573" s="17">
        <v>9990500.0</v>
      </c>
      <c r="D1573" s="17">
        <v>1.0</v>
      </c>
    </row>
    <row r="1574">
      <c r="A1574" s="17">
        <v>9990594.0</v>
      </c>
      <c r="B1574" s="17">
        <v>100.0</v>
      </c>
      <c r="C1574" s="17">
        <v>9990500.0</v>
      </c>
      <c r="D1574" s="17">
        <v>1.0</v>
      </c>
    </row>
    <row r="1575">
      <c r="A1575" s="17">
        <v>9990595.0</v>
      </c>
      <c r="B1575" s="17">
        <v>100.0</v>
      </c>
      <c r="C1575" s="17">
        <v>9990500.0</v>
      </c>
      <c r="D1575" s="17">
        <v>1.0</v>
      </c>
    </row>
    <row r="1576">
      <c r="A1576" s="17">
        <v>9990596.0</v>
      </c>
      <c r="B1576" s="17">
        <v>100.0</v>
      </c>
      <c r="C1576" s="17">
        <v>9990500.0</v>
      </c>
      <c r="D1576" s="17">
        <v>1.0</v>
      </c>
    </row>
    <row r="1577">
      <c r="A1577" s="17">
        <v>9990597.0</v>
      </c>
      <c r="B1577" s="17">
        <v>100.0</v>
      </c>
      <c r="C1577" s="17">
        <v>9990500.0</v>
      </c>
      <c r="D1577" s="17">
        <v>1.0</v>
      </c>
    </row>
    <row r="1578">
      <c r="A1578" s="17">
        <v>9990598.0</v>
      </c>
      <c r="B1578" s="17">
        <v>100.0</v>
      </c>
      <c r="C1578" s="17">
        <v>9990500.0</v>
      </c>
      <c r="D1578" s="17">
        <v>1.0</v>
      </c>
    </row>
    <row r="1579">
      <c r="A1579" s="17">
        <v>9990599.0</v>
      </c>
      <c r="B1579" s="17">
        <v>100.0</v>
      </c>
      <c r="C1579" s="17">
        <v>9990500.0</v>
      </c>
      <c r="D1579" s="17">
        <v>1.0</v>
      </c>
    </row>
    <row r="1580">
      <c r="A1580" s="17">
        <v>9990600.0</v>
      </c>
      <c r="B1580" s="17">
        <v>100.0</v>
      </c>
      <c r="C1580" s="17">
        <v>9990600.0</v>
      </c>
      <c r="D1580" s="17">
        <v>1.0</v>
      </c>
    </row>
    <row r="1581">
      <c r="A1581" s="17">
        <v>9990601.0</v>
      </c>
      <c r="B1581" s="17">
        <v>100.0</v>
      </c>
      <c r="C1581" s="17">
        <v>9990600.0</v>
      </c>
      <c r="D1581" s="17">
        <v>1.0</v>
      </c>
    </row>
    <row r="1582">
      <c r="A1582" s="17">
        <v>9990602.0</v>
      </c>
      <c r="B1582" s="17">
        <v>100.0</v>
      </c>
      <c r="C1582" s="17">
        <v>9990600.0</v>
      </c>
      <c r="D1582" s="17">
        <v>1.0</v>
      </c>
    </row>
    <row r="1583">
      <c r="A1583" s="17">
        <v>9990603.0</v>
      </c>
      <c r="B1583" s="17">
        <v>100.0</v>
      </c>
      <c r="C1583" s="17">
        <v>9990600.0</v>
      </c>
      <c r="D1583" s="17">
        <v>1.0</v>
      </c>
    </row>
    <row r="1584">
      <c r="A1584" s="17">
        <v>9990604.0</v>
      </c>
      <c r="B1584" s="17">
        <v>100.0</v>
      </c>
      <c r="C1584" s="17">
        <v>9990600.0</v>
      </c>
      <c r="D1584" s="17">
        <v>1.0</v>
      </c>
    </row>
    <row r="1585">
      <c r="A1585" s="17">
        <v>9990605.0</v>
      </c>
      <c r="B1585" s="17">
        <v>100.0</v>
      </c>
      <c r="C1585" s="17">
        <v>9990600.0</v>
      </c>
      <c r="D1585" s="17">
        <v>1.0</v>
      </c>
    </row>
    <row r="1586">
      <c r="A1586" s="17">
        <v>9990606.0</v>
      </c>
      <c r="B1586" s="17">
        <v>100.0</v>
      </c>
      <c r="C1586" s="17">
        <v>9990600.0</v>
      </c>
      <c r="D1586" s="17">
        <v>1.0</v>
      </c>
    </row>
    <row r="1587">
      <c r="A1587" s="17">
        <v>9990607.0</v>
      </c>
      <c r="B1587" s="17">
        <v>100.0</v>
      </c>
      <c r="C1587" s="17">
        <v>9990600.0</v>
      </c>
      <c r="D1587" s="17">
        <v>1.0</v>
      </c>
    </row>
    <row r="1588">
      <c r="A1588" s="17">
        <v>9990608.0</v>
      </c>
      <c r="B1588" s="17">
        <v>100.0</v>
      </c>
      <c r="C1588" s="17">
        <v>9990600.0</v>
      </c>
      <c r="D1588" s="17">
        <v>1.0</v>
      </c>
    </row>
    <row r="1589">
      <c r="A1589" s="17">
        <v>9990609.0</v>
      </c>
      <c r="B1589" s="17">
        <v>100.0</v>
      </c>
      <c r="C1589" s="17">
        <v>9990600.0</v>
      </c>
      <c r="D1589" s="17">
        <v>1.0</v>
      </c>
    </row>
    <row r="1590">
      <c r="A1590" s="17">
        <v>9990610.0</v>
      </c>
      <c r="B1590" s="17">
        <v>100.0</v>
      </c>
      <c r="C1590" s="17">
        <v>9990600.0</v>
      </c>
      <c r="D1590" s="17">
        <v>1.0</v>
      </c>
    </row>
    <row r="1591">
      <c r="A1591" s="17">
        <v>9990611.0</v>
      </c>
      <c r="B1591" s="17">
        <v>100.0</v>
      </c>
      <c r="C1591" s="17">
        <v>9990600.0</v>
      </c>
      <c r="D1591" s="17">
        <v>1.0</v>
      </c>
    </row>
    <row r="1592">
      <c r="A1592" s="17">
        <v>9990612.0</v>
      </c>
      <c r="B1592" s="17">
        <v>100.0</v>
      </c>
      <c r="C1592" s="17">
        <v>9990600.0</v>
      </c>
      <c r="D1592" s="17">
        <v>1.0</v>
      </c>
    </row>
    <row r="1593">
      <c r="A1593" s="17">
        <v>9990613.0</v>
      </c>
      <c r="B1593" s="17">
        <v>100.0</v>
      </c>
      <c r="C1593" s="17">
        <v>9990600.0</v>
      </c>
      <c r="D1593" s="17">
        <v>1.0</v>
      </c>
    </row>
    <row r="1594">
      <c r="A1594" s="17">
        <v>9990614.0</v>
      </c>
      <c r="B1594" s="17">
        <v>100.0</v>
      </c>
      <c r="C1594" s="17">
        <v>9990600.0</v>
      </c>
      <c r="D1594" s="17">
        <v>1.0</v>
      </c>
    </row>
    <row r="1595">
      <c r="A1595" s="17">
        <v>9990615.0</v>
      </c>
      <c r="B1595" s="17">
        <v>100.0</v>
      </c>
      <c r="C1595" s="17">
        <v>9990600.0</v>
      </c>
      <c r="D1595" s="17">
        <v>1.0</v>
      </c>
    </row>
    <row r="1596">
      <c r="A1596" s="17">
        <v>9990616.0</v>
      </c>
      <c r="B1596" s="17">
        <v>100.0</v>
      </c>
      <c r="C1596" s="17">
        <v>9990600.0</v>
      </c>
      <c r="D1596" s="17">
        <v>1.0</v>
      </c>
    </row>
    <row r="1597">
      <c r="A1597" s="17">
        <v>9990617.0</v>
      </c>
      <c r="B1597" s="17">
        <v>100.0</v>
      </c>
      <c r="C1597" s="17">
        <v>9990600.0</v>
      </c>
      <c r="D1597" s="17">
        <v>1.0</v>
      </c>
    </row>
    <row r="1598">
      <c r="A1598" s="17">
        <v>9990618.0</v>
      </c>
      <c r="B1598" s="17">
        <v>100.0</v>
      </c>
      <c r="C1598" s="17">
        <v>9990600.0</v>
      </c>
      <c r="D1598" s="17">
        <v>1.0</v>
      </c>
    </row>
    <row r="1599">
      <c r="A1599" s="17">
        <v>9990619.0</v>
      </c>
      <c r="B1599" s="17">
        <v>100.0</v>
      </c>
      <c r="C1599" s="17">
        <v>9990600.0</v>
      </c>
      <c r="D1599" s="17">
        <v>1.0</v>
      </c>
    </row>
    <row r="1600">
      <c r="A1600" s="17">
        <v>9990620.0</v>
      </c>
      <c r="B1600" s="17">
        <v>100.0</v>
      </c>
      <c r="C1600" s="17">
        <v>9990600.0</v>
      </c>
      <c r="D1600" s="17">
        <v>1.0</v>
      </c>
    </row>
    <row r="1601">
      <c r="A1601" s="17">
        <v>9990621.0</v>
      </c>
      <c r="B1601" s="17">
        <v>100.0</v>
      </c>
      <c r="C1601" s="17">
        <v>9990600.0</v>
      </c>
      <c r="D1601" s="17">
        <v>1.0</v>
      </c>
    </row>
    <row r="1602">
      <c r="A1602" s="17">
        <v>9990622.0</v>
      </c>
      <c r="B1602" s="17">
        <v>100.0</v>
      </c>
      <c r="C1602" s="17">
        <v>9990600.0</v>
      </c>
      <c r="D1602" s="17">
        <v>1.0</v>
      </c>
    </row>
    <row r="1603">
      <c r="A1603" s="17">
        <v>9990623.0</v>
      </c>
      <c r="B1603" s="17">
        <v>100.0</v>
      </c>
      <c r="C1603" s="17">
        <v>9990600.0</v>
      </c>
      <c r="D1603" s="17">
        <v>1.0</v>
      </c>
    </row>
    <row r="1604">
      <c r="A1604" s="17">
        <v>9990624.0</v>
      </c>
      <c r="B1604" s="17">
        <v>100.0</v>
      </c>
      <c r="C1604" s="17">
        <v>9990600.0</v>
      </c>
      <c r="D1604" s="17">
        <v>1.0</v>
      </c>
    </row>
    <row r="1605">
      <c r="A1605" s="17">
        <v>9990625.0</v>
      </c>
      <c r="B1605" s="17">
        <v>100.0</v>
      </c>
      <c r="C1605" s="17">
        <v>9990600.0</v>
      </c>
      <c r="D1605" s="17">
        <v>1.0</v>
      </c>
    </row>
    <row r="1606">
      <c r="A1606" s="17">
        <v>9990626.0</v>
      </c>
      <c r="B1606" s="17">
        <v>100.0</v>
      </c>
      <c r="C1606" s="17">
        <v>9990600.0</v>
      </c>
      <c r="D1606" s="17">
        <v>1.0</v>
      </c>
    </row>
    <row r="1607">
      <c r="A1607" s="17">
        <v>9990627.0</v>
      </c>
      <c r="B1607" s="17">
        <v>100.0</v>
      </c>
      <c r="C1607" s="17">
        <v>9990600.0</v>
      </c>
      <c r="D1607" s="17">
        <v>1.0</v>
      </c>
    </row>
    <row r="1608">
      <c r="A1608" s="17">
        <v>9990628.0</v>
      </c>
      <c r="B1608" s="17">
        <v>100.0</v>
      </c>
      <c r="C1608" s="17">
        <v>9990600.0</v>
      </c>
      <c r="D1608" s="17">
        <v>1.0</v>
      </c>
    </row>
    <row r="1609">
      <c r="A1609" s="17">
        <v>9990629.0</v>
      </c>
      <c r="B1609" s="17">
        <v>100.0</v>
      </c>
      <c r="C1609" s="17">
        <v>9990600.0</v>
      </c>
      <c r="D1609" s="17">
        <v>1.0</v>
      </c>
    </row>
    <row r="1610">
      <c r="A1610" s="17">
        <v>9990630.0</v>
      </c>
      <c r="B1610" s="17">
        <v>100.0</v>
      </c>
      <c r="C1610" s="17">
        <v>9990600.0</v>
      </c>
      <c r="D1610" s="17">
        <v>1.0</v>
      </c>
    </row>
    <row r="1611">
      <c r="A1611" s="17">
        <v>9990631.0</v>
      </c>
      <c r="B1611" s="17">
        <v>100.0</v>
      </c>
      <c r="C1611" s="17">
        <v>9990600.0</v>
      </c>
      <c r="D1611" s="17">
        <v>1.0</v>
      </c>
    </row>
    <row r="1612">
      <c r="A1612" s="17">
        <v>9990632.0</v>
      </c>
      <c r="B1612" s="17">
        <v>100.0</v>
      </c>
      <c r="C1612" s="17">
        <v>9990600.0</v>
      </c>
      <c r="D1612" s="17">
        <v>1.0</v>
      </c>
    </row>
    <row r="1613">
      <c r="A1613" s="17">
        <v>9990633.0</v>
      </c>
      <c r="B1613" s="17">
        <v>100.0</v>
      </c>
      <c r="C1613" s="17">
        <v>9990600.0</v>
      </c>
      <c r="D1613" s="17">
        <v>1.0</v>
      </c>
    </row>
    <row r="1614">
      <c r="A1614" s="17">
        <v>9990634.0</v>
      </c>
      <c r="B1614" s="17">
        <v>100.0</v>
      </c>
      <c r="C1614" s="17">
        <v>9990600.0</v>
      </c>
      <c r="D1614" s="17">
        <v>1.0</v>
      </c>
    </row>
    <row r="1615">
      <c r="A1615" s="17">
        <v>9990635.0</v>
      </c>
      <c r="B1615" s="17">
        <v>100.0</v>
      </c>
      <c r="C1615" s="17">
        <v>9990600.0</v>
      </c>
      <c r="D1615" s="17">
        <v>1.0</v>
      </c>
    </row>
    <row r="1616">
      <c r="A1616" s="17">
        <v>9990636.0</v>
      </c>
      <c r="B1616" s="17">
        <v>100.0</v>
      </c>
      <c r="C1616" s="17">
        <v>9990600.0</v>
      </c>
      <c r="D1616" s="17">
        <v>1.0</v>
      </c>
    </row>
    <row r="1617">
      <c r="A1617" s="17">
        <v>9990637.0</v>
      </c>
      <c r="B1617" s="17">
        <v>100.0</v>
      </c>
      <c r="C1617" s="17">
        <v>9990600.0</v>
      </c>
      <c r="D1617" s="17">
        <v>1.0</v>
      </c>
    </row>
    <row r="1618">
      <c r="A1618" s="17">
        <v>9990638.0</v>
      </c>
      <c r="B1618" s="17">
        <v>100.0</v>
      </c>
      <c r="C1618" s="17">
        <v>9990600.0</v>
      </c>
      <c r="D1618" s="17">
        <v>1.0</v>
      </c>
    </row>
    <row r="1619">
      <c r="A1619" s="17">
        <v>9990639.0</v>
      </c>
      <c r="B1619" s="17">
        <v>100.0</v>
      </c>
      <c r="C1619" s="17">
        <v>9990600.0</v>
      </c>
      <c r="D1619" s="17">
        <v>1.0</v>
      </c>
    </row>
    <row r="1620">
      <c r="A1620" s="17">
        <v>9990640.0</v>
      </c>
      <c r="B1620" s="17">
        <v>100.0</v>
      </c>
      <c r="C1620" s="17">
        <v>9990600.0</v>
      </c>
      <c r="D1620" s="17">
        <v>1.0</v>
      </c>
    </row>
    <row r="1621">
      <c r="A1621" s="17">
        <v>9990641.0</v>
      </c>
      <c r="B1621" s="17">
        <v>100.0</v>
      </c>
      <c r="C1621" s="17">
        <v>9990600.0</v>
      </c>
      <c r="D1621" s="17">
        <v>1.0</v>
      </c>
    </row>
    <row r="1622">
      <c r="A1622" s="17">
        <v>9990642.0</v>
      </c>
      <c r="B1622" s="17">
        <v>100.0</v>
      </c>
      <c r="C1622" s="17">
        <v>9990600.0</v>
      </c>
      <c r="D1622" s="17">
        <v>1.0</v>
      </c>
    </row>
    <row r="1623">
      <c r="A1623" s="17">
        <v>9990643.0</v>
      </c>
      <c r="B1623" s="17">
        <v>100.0</v>
      </c>
      <c r="C1623" s="17">
        <v>9990600.0</v>
      </c>
      <c r="D1623" s="17">
        <v>1.0</v>
      </c>
    </row>
    <row r="1624">
      <c r="A1624" s="17">
        <v>9990644.0</v>
      </c>
      <c r="B1624" s="17">
        <v>100.0</v>
      </c>
      <c r="C1624" s="17">
        <v>9990600.0</v>
      </c>
      <c r="D1624" s="17">
        <v>1.0</v>
      </c>
    </row>
    <row r="1625">
      <c r="A1625" s="17">
        <v>9990645.0</v>
      </c>
      <c r="B1625" s="17">
        <v>100.0</v>
      </c>
      <c r="C1625" s="17">
        <v>9990600.0</v>
      </c>
      <c r="D1625" s="17">
        <v>1.0</v>
      </c>
    </row>
    <row r="1626">
      <c r="A1626" s="17">
        <v>9990646.0</v>
      </c>
      <c r="B1626" s="17">
        <v>100.0</v>
      </c>
      <c r="C1626" s="17">
        <v>9990600.0</v>
      </c>
      <c r="D1626" s="17">
        <v>1.0</v>
      </c>
    </row>
    <row r="1627">
      <c r="A1627" s="17">
        <v>9990647.0</v>
      </c>
      <c r="B1627" s="17">
        <v>100.0</v>
      </c>
      <c r="C1627" s="17">
        <v>9990600.0</v>
      </c>
      <c r="D1627" s="17">
        <v>1.0</v>
      </c>
    </row>
    <row r="1628">
      <c r="A1628" s="17">
        <v>9990648.0</v>
      </c>
      <c r="B1628" s="17">
        <v>100.0</v>
      </c>
      <c r="C1628" s="17">
        <v>9990600.0</v>
      </c>
      <c r="D1628" s="17">
        <v>1.0</v>
      </c>
    </row>
    <row r="1629">
      <c r="A1629" s="17">
        <v>9990649.0</v>
      </c>
      <c r="B1629" s="17">
        <v>100.0</v>
      </c>
      <c r="C1629" s="17">
        <v>9990600.0</v>
      </c>
      <c r="D1629" s="17">
        <v>1.0</v>
      </c>
    </row>
    <row r="1630">
      <c r="A1630" s="17">
        <v>9990650.0</v>
      </c>
      <c r="B1630" s="17">
        <v>100.0</v>
      </c>
      <c r="C1630" s="17">
        <v>9990600.0</v>
      </c>
      <c r="D1630" s="17">
        <v>1.0</v>
      </c>
    </row>
    <row r="1631">
      <c r="A1631" s="17">
        <v>9990651.0</v>
      </c>
      <c r="B1631" s="17">
        <v>100.0</v>
      </c>
      <c r="C1631" s="17">
        <v>9990600.0</v>
      </c>
      <c r="D1631" s="17">
        <v>1.0</v>
      </c>
    </row>
    <row r="1632">
      <c r="A1632" s="17">
        <v>9990652.0</v>
      </c>
      <c r="B1632" s="17">
        <v>100.0</v>
      </c>
      <c r="C1632" s="17">
        <v>9990600.0</v>
      </c>
      <c r="D1632" s="17">
        <v>1.0</v>
      </c>
    </row>
    <row r="1633">
      <c r="A1633" s="17">
        <v>9990653.0</v>
      </c>
      <c r="B1633" s="17">
        <v>100.0</v>
      </c>
      <c r="C1633" s="17">
        <v>9990600.0</v>
      </c>
      <c r="D1633" s="17">
        <v>1.0</v>
      </c>
    </row>
    <row r="1634">
      <c r="A1634" s="17">
        <v>9990654.0</v>
      </c>
      <c r="B1634" s="17">
        <v>100.0</v>
      </c>
      <c r="C1634" s="17">
        <v>9990600.0</v>
      </c>
      <c r="D1634" s="17">
        <v>1.0</v>
      </c>
    </row>
    <row r="1635">
      <c r="A1635" s="17">
        <v>9990655.0</v>
      </c>
      <c r="B1635" s="17">
        <v>100.0</v>
      </c>
      <c r="C1635" s="17">
        <v>9990600.0</v>
      </c>
      <c r="D1635" s="17">
        <v>1.0</v>
      </c>
    </row>
    <row r="1636">
      <c r="A1636" s="17">
        <v>9990656.0</v>
      </c>
      <c r="B1636" s="17">
        <v>100.0</v>
      </c>
      <c r="C1636" s="17">
        <v>9990600.0</v>
      </c>
      <c r="D1636" s="17">
        <v>1.0</v>
      </c>
    </row>
    <row r="1637">
      <c r="A1637" s="17">
        <v>9990657.0</v>
      </c>
      <c r="B1637" s="17">
        <v>100.0</v>
      </c>
      <c r="C1637" s="17">
        <v>9990600.0</v>
      </c>
      <c r="D1637" s="17">
        <v>1.0</v>
      </c>
    </row>
    <row r="1638">
      <c r="A1638" s="17">
        <v>9990658.0</v>
      </c>
      <c r="B1638" s="17">
        <v>100.0</v>
      </c>
      <c r="C1638" s="17">
        <v>9990600.0</v>
      </c>
      <c r="D1638" s="17">
        <v>1.0</v>
      </c>
    </row>
    <row r="1639">
      <c r="A1639" s="17">
        <v>9990659.0</v>
      </c>
      <c r="B1639" s="17">
        <v>100.0</v>
      </c>
      <c r="C1639" s="17">
        <v>9990600.0</v>
      </c>
      <c r="D1639" s="17">
        <v>1.0</v>
      </c>
    </row>
    <row r="1640">
      <c r="A1640" s="17">
        <v>9990660.0</v>
      </c>
      <c r="B1640" s="17">
        <v>100.0</v>
      </c>
      <c r="C1640" s="17">
        <v>9990600.0</v>
      </c>
      <c r="D1640" s="17">
        <v>1.0</v>
      </c>
    </row>
    <row r="1641">
      <c r="A1641" s="17">
        <v>9990661.0</v>
      </c>
      <c r="B1641" s="17">
        <v>100.0</v>
      </c>
      <c r="C1641" s="17">
        <v>9990600.0</v>
      </c>
      <c r="D1641" s="17">
        <v>1.0</v>
      </c>
    </row>
    <row r="1642">
      <c r="A1642" s="17">
        <v>9990662.0</v>
      </c>
      <c r="B1642" s="17">
        <v>100.0</v>
      </c>
      <c r="C1642" s="17">
        <v>9990600.0</v>
      </c>
      <c r="D1642" s="17">
        <v>1.0</v>
      </c>
    </row>
    <row r="1643">
      <c r="A1643" s="17">
        <v>9990663.0</v>
      </c>
      <c r="B1643" s="17">
        <v>100.0</v>
      </c>
      <c r="C1643" s="17">
        <v>9990600.0</v>
      </c>
      <c r="D1643" s="17">
        <v>1.0</v>
      </c>
    </row>
    <row r="1644">
      <c r="A1644" s="17">
        <v>9990664.0</v>
      </c>
      <c r="B1644" s="17">
        <v>100.0</v>
      </c>
      <c r="C1644" s="17">
        <v>9990600.0</v>
      </c>
      <c r="D1644" s="17">
        <v>1.0</v>
      </c>
    </row>
    <row r="1645">
      <c r="A1645" s="17">
        <v>9990665.0</v>
      </c>
      <c r="B1645" s="17">
        <v>100.0</v>
      </c>
      <c r="C1645" s="17">
        <v>9990600.0</v>
      </c>
      <c r="D1645" s="17">
        <v>1.0</v>
      </c>
    </row>
    <row r="1646">
      <c r="A1646" s="17">
        <v>9990666.0</v>
      </c>
      <c r="B1646" s="17">
        <v>100.0</v>
      </c>
      <c r="C1646" s="17">
        <v>9990600.0</v>
      </c>
      <c r="D1646" s="17">
        <v>1.0</v>
      </c>
    </row>
    <row r="1647">
      <c r="A1647" s="17">
        <v>9990667.0</v>
      </c>
      <c r="B1647" s="17">
        <v>100.0</v>
      </c>
      <c r="C1647" s="17">
        <v>9990600.0</v>
      </c>
      <c r="D1647" s="17">
        <v>1.0</v>
      </c>
    </row>
    <row r="1648">
      <c r="A1648" s="17">
        <v>9990668.0</v>
      </c>
      <c r="B1648" s="17">
        <v>100.0</v>
      </c>
      <c r="C1648" s="17">
        <v>9990600.0</v>
      </c>
      <c r="D1648" s="17">
        <v>1.0</v>
      </c>
    </row>
    <row r="1649">
      <c r="A1649" s="17">
        <v>9990669.0</v>
      </c>
      <c r="B1649" s="17">
        <v>100.0</v>
      </c>
      <c r="C1649" s="17">
        <v>9990600.0</v>
      </c>
      <c r="D1649" s="17">
        <v>1.0</v>
      </c>
    </row>
    <row r="1650">
      <c r="A1650" s="17">
        <v>9990670.0</v>
      </c>
      <c r="B1650" s="17">
        <v>100.0</v>
      </c>
      <c r="C1650" s="17">
        <v>9990600.0</v>
      </c>
      <c r="D1650" s="17">
        <v>1.0</v>
      </c>
    </row>
    <row r="1651">
      <c r="A1651" s="17">
        <v>9990671.0</v>
      </c>
      <c r="B1651" s="17">
        <v>100.0</v>
      </c>
      <c r="C1651" s="17">
        <v>9990600.0</v>
      </c>
      <c r="D1651" s="17">
        <v>1.0</v>
      </c>
    </row>
    <row r="1652">
      <c r="A1652" s="17">
        <v>9990672.0</v>
      </c>
      <c r="B1652" s="17">
        <v>100.0</v>
      </c>
      <c r="C1652" s="17">
        <v>9990600.0</v>
      </c>
      <c r="D1652" s="17">
        <v>1.0</v>
      </c>
    </row>
    <row r="1653">
      <c r="A1653" s="17">
        <v>9990673.0</v>
      </c>
      <c r="B1653" s="17">
        <v>100.0</v>
      </c>
      <c r="C1653" s="17">
        <v>9990600.0</v>
      </c>
      <c r="D1653" s="17">
        <v>1.0</v>
      </c>
    </row>
    <row r="1654">
      <c r="A1654" s="17">
        <v>9990674.0</v>
      </c>
      <c r="B1654" s="17">
        <v>100.0</v>
      </c>
      <c r="C1654" s="17">
        <v>9990600.0</v>
      </c>
      <c r="D1654" s="17">
        <v>1.0</v>
      </c>
    </row>
    <row r="1655">
      <c r="A1655" s="17">
        <v>9990675.0</v>
      </c>
      <c r="B1655" s="17">
        <v>100.0</v>
      </c>
      <c r="C1655" s="17">
        <v>9990600.0</v>
      </c>
      <c r="D1655" s="17">
        <v>1.0</v>
      </c>
    </row>
    <row r="1656">
      <c r="A1656" s="17">
        <v>9990676.0</v>
      </c>
      <c r="B1656" s="17">
        <v>100.0</v>
      </c>
      <c r="C1656" s="17">
        <v>9990600.0</v>
      </c>
      <c r="D1656" s="17">
        <v>1.0</v>
      </c>
    </row>
    <row r="1657">
      <c r="A1657" s="17">
        <v>9990677.0</v>
      </c>
      <c r="B1657" s="17">
        <v>100.0</v>
      </c>
      <c r="C1657" s="17">
        <v>9990600.0</v>
      </c>
      <c r="D1657" s="17">
        <v>1.0</v>
      </c>
    </row>
    <row r="1658">
      <c r="A1658" s="17">
        <v>9990678.0</v>
      </c>
      <c r="B1658" s="17">
        <v>100.0</v>
      </c>
      <c r="C1658" s="17">
        <v>9990600.0</v>
      </c>
      <c r="D1658" s="17">
        <v>1.0</v>
      </c>
    </row>
    <row r="1659">
      <c r="A1659" s="17">
        <v>9990679.0</v>
      </c>
      <c r="B1659" s="17">
        <v>100.0</v>
      </c>
      <c r="C1659" s="17">
        <v>9990600.0</v>
      </c>
      <c r="D1659" s="17">
        <v>1.0</v>
      </c>
    </row>
    <row r="1660">
      <c r="A1660" s="17">
        <v>9990680.0</v>
      </c>
      <c r="B1660" s="17">
        <v>100.0</v>
      </c>
      <c r="C1660" s="17">
        <v>9990600.0</v>
      </c>
      <c r="D1660" s="17">
        <v>1.0</v>
      </c>
    </row>
    <row r="1661">
      <c r="A1661" s="17">
        <v>9990681.0</v>
      </c>
      <c r="B1661" s="17">
        <v>100.0</v>
      </c>
      <c r="C1661" s="17">
        <v>9990600.0</v>
      </c>
      <c r="D1661" s="17">
        <v>1.0</v>
      </c>
    </row>
    <row r="1662">
      <c r="A1662" s="17">
        <v>9990682.0</v>
      </c>
      <c r="B1662" s="17">
        <v>100.0</v>
      </c>
      <c r="C1662" s="17">
        <v>9990600.0</v>
      </c>
      <c r="D1662" s="17">
        <v>1.0</v>
      </c>
    </row>
    <row r="1663">
      <c r="A1663" s="17">
        <v>9990683.0</v>
      </c>
      <c r="B1663" s="17">
        <v>100.0</v>
      </c>
      <c r="C1663" s="17">
        <v>9990600.0</v>
      </c>
      <c r="D1663" s="17">
        <v>1.0</v>
      </c>
    </row>
    <row r="1664">
      <c r="A1664" s="17">
        <v>9990684.0</v>
      </c>
      <c r="B1664" s="17">
        <v>100.0</v>
      </c>
      <c r="C1664" s="17">
        <v>9990600.0</v>
      </c>
      <c r="D1664" s="17">
        <v>1.0</v>
      </c>
    </row>
    <row r="1665">
      <c r="A1665" s="17">
        <v>9990685.0</v>
      </c>
      <c r="B1665" s="17">
        <v>100.0</v>
      </c>
      <c r="C1665" s="17">
        <v>9990600.0</v>
      </c>
      <c r="D1665" s="17">
        <v>1.0</v>
      </c>
    </row>
    <row r="1666">
      <c r="A1666" s="17">
        <v>9990686.0</v>
      </c>
      <c r="B1666" s="17">
        <v>100.0</v>
      </c>
      <c r="C1666" s="17">
        <v>9990600.0</v>
      </c>
      <c r="D1666" s="17">
        <v>1.0</v>
      </c>
    </row>
    <row r="1667">
      <c r="A1667" s="17">
        <v>9990687.0</v>
      </c>
      <c r="B1667" s="17">
        <v>100.0</v>
      </c>
      <c r="C1667" s="17">
        <v>9990600.0</v>
      </c>
      <c r="D1667" s="17">
        <v>1.0</v>
      </c>
    </row>
    <row r="1668">
      <c r="A1668" s="17">
        <v>9990688.0</v>
      </c>
      <c r="B1668" s="17">
        <v>100.0</v>
      </c>
      <c r="C1668" s="17">
        <v>9990600.0</v>
      </c>
      <c r="D1668" s="17">
        <v>1.0</v>
      </c>
    </row>
    <row r="1669">
      <c r="A1669" s="17">
        <v>9990689.0</v>
      </c>
      <c r="B1669" s="17">
        <v>100.0</v>
      </c>
      <c r="C1669" s="17">
        <v>9990600.0</v>
      </c>
      <c r="D1669" s="17">
        <v>1.0</v>
      </c>
    </row>
    <row r="1670">
      <c r="A1670" s="17">
        <v>9990690.0</v>
      </c>
      <c r="B1670" s="17">
        <v>100.0</v>
      </c>
      <c r="C1670" s="17">
        <v>9990600.0</v>
      </c>
      <c r="D1670" s="17">
        <v>1.0</v>
      </c>
    </row>
    <row r="1671">
      <c r="A1671" s="17">
        <v>9990691.0</v>
      </c>
      <c r="B1671" s="17">
        <v>100.0</v>
      </c>
      <c r="C1671" s="17">
        <v>9990600.0</v>
      </c>
      <c r="D1671" s="17">
        <v>1.0</v>
      </c>
    </row>
    <row r="1672">
      <c r="A1672" s="17">
        <v>9990692.0</v>
      </c>
      <c r="B1672" s="17">
        <v>100.0</v>
      </c>
      <c r="C1672" s="17">
        <v>9990600.0</v>
      </c>
      <c r="D1672" s="17">
        <v>1.0</v>
      </c>
    </row>
    <row r="1673">
      <c r="A1673" s="17">
        <v>9990693.0</v>
      </c>
      <c r="B1673" s="17">
        <v>100.0</v>
      </c>
      <c r="C1673" s="17">
        <v>9990600.0</v>
      </c>
      <c r="D1673" s="17">
        <v>1.0</v>
      </c>
    </row>
    <row r="1674">
      <c r="A1674" s="17">
        <v>9990694.0</v>
      </c>
      <c r="B1674" s="17">
        <v>100.0</v>
      </c>
      <c r="C1674" s="17">
        <v>9990600.0</v>
      </c>
      <c r="D1674" s="17">
        <v>1.0</v>
      </c>
    </row>
    <row r="1675">
      <c r="A1675" s="17">
        <v>9990695.0</v>
      </c>
      <c r="B1675" s="17">
        <v>100.0</v>
      </c>
      <c r="C1675" s="17">
        <v>9990600.0</v>
      </c>
      <c r="D1675" s="17">
        <v>1.0</v>
      </c>
    </row>
    <row r="1676">
      <c r="A1676" s="17">
        <v>9990696.0</v>
      </c>
      <c r="B1676" s="17">
        <v>100.0</v>
      </c>
      <c r="C1676" s="17">
        <v>9990600.0</v>
      </c>
      <c r="D1676" s="17">
        <v>1.0</v>
      </c>
    </row>
    <row r="1677">
      <c r="A1677" s="17">
        <v>9990697.0</v>
      </c>
      <c r="B1677" s="17">
        <v>100.0</v>
      </c>
      <c r="C1677" s="17">
        <v>9990600.0</v>
      </c>
      <c r="D1677" s="17">
        <v>1.0</v>
      </c>
    </row>
    <row r="1678">
      <c r="A1678" s="17">
        <v>9990698.0</v>
      </c>
      <c r="B1678" s="17">
        <v>100.0</v>
      </c>
      <c r="C1678" s="17">
        <v>9990600.0</v>
      </c>
      <c r="D1678" s="17">
        <v>1.0</v>
      </c>
    </row>
    <row r="1679">
      <c r="A1679" s="17">
        <v>9990699.0</v>
      </c>
      <c r="B1679" s="17">
        <v>100.0</v>
      </c>
      <c r="C1679" s="17">
        <v>9990600.0</v>
      </c>
      <c r="D1679" s="17">
        <v>1.0</v>
      </c>
    </row>
    <row r="1680">
      <c r="A1680" s="17">
        <v>9990700.0</v>
      </c>
      <c r="B1680" s="17">
        <v>100.0</v>
      </c>
      <c r="C1680" s="17">
        <v>9990700.0</v>
      </c>
      <c r="D1680" s="17">
        <v>1.0</v>
      </c>
    </row>
    <row r="1681">
      <c r="A1681" s="17">
        <v>9990701.0</v>
      </c>
      <c r="B1681" s="17">
        <v>100.0</v>
      </c>
      <c r="C1681" s="17">
        <v>9990700.0</v>
      </c>
      <c r="D1681" s="17">
        <v>1.0</v>
      </c>
    </row>
    <row r="1682">
      <c r="A1682" s="17">
        <v>9990702.0</v>
      </c>
      <c r="B1682" s="17">
        <v>100.0</v>
      </c>
      <c r="C1682" s="17">
        <v>9990700.0</v>
      </c>
      <c r="D1682" s="17">
        <v>1.0</v>
      </c>
    </row>
    <row r="1683">
      <c r="A1683" s="17">
        <v>9990703.0</v>
      </c>
      <c r="B1683" s="17">
        <v>100.0</v>
      </c>
      <c r="C1683" s="17">
        <v>9990700.0</v>
      </c>
      <c r="D1683" s="17">
        <v>1.0</v>
      </c>
    </row>
    <row r="1684">
      <c r="A1684" s="17">
        <v>9990704.0</v>
      </c>
      <c r="B1684" s="17">
        <v>100.0</v>
      </c>
      <c r="C1684" s="17">
        <v>9990700.0</v>
      </c>
      <c r="D1684" s="17">
        <v>1.0</v>
      </c>
    </row>
    <row r="1685">
      <c r="A1685" s="17">
        <v>9990705.0</v>
      </c>
      <c r="B1685" s="17">
        <v>100.0</v>
      </c>
      <c r="C1685" s="17">
        <v>9990700.0</v>
      </c>
      <c r="D1685" s="17">
        <v>1.0</v>
      </c>
    </row>
    <row r="1686">
      <c r="A1686" s="17">
        <v>9990706.0</v>
      </c>
      <c r="B1686" s="17">
        <v>100.0</v>
      </c>
      <c r="C1686" s="17">
        <v>9990700.0</v>
      </c>
      <c r="D1686" s="17">
        <v>1.0</v>
      </c>
    </row>
    <row r="1687">
      <c r="A1687" s="17">
        <v>9990707.0</v>
      </c>
      <c r="B1687" s="17">
        <v>100.0</v>
      </c>
      <c r="C1687" s="17">
        <v>9990700.0</v>
      </c>
      <c r="D1687" s="17">
        <v>1.0</v>
      </c>
    </row>
    <row r="1688">
      <c r="A1688" s="17">
        <v>9990708.0</v>
      </c>
      <c r="B1688" s="17">
        <v>100.0</v>
      </c>
      <c r="C1688" s="17">
        <v>9990700.0</v>
      </c>
      <c r="D1688" s="17">
        <v>1.0</v>
      </c>
    </row>
    <row r="1689">
      <c r="A1689" s="17">
        <v>9990709.0</v>
      </c>
      <c r="B1689" s="17">
        <v>100.0</v>
      </c>
      <c r="C1689" s="17">
        <v>9990700.0</v>
      </c>
      <c r="D1689" s="17">
        <v>1.0</v>
      </c>
    </row>
    <row r="1690">
      <c r="A1690" s="17">
        <v>9990710.0</v>
      </c>
      <c r="B1690" s="17">
        <v>100.0</v>
      </c>
      <c r="C1690" s="17">
        <v>9990700.0</v>
      </c>
      <c r="D1690" s="17">
        <v>1.0</v>
      </c>
    </row>
    <row r="1691">
      <c r="A1691" s="17">
        <v>9990711.0</v>
      </c>
      <c r="B1691" s="17">
        <v>100.0</v>
      </c>
      <c r="C1691" s="17">
        <v>9990700.0</v>
      </c>
      <c r="D1691" s="17">
        <v>1.0</v>
      </c>
    </row>
    <row r="1692">
      <c r="A1692" s="17">
        <v>9990712.0</v>
      </c>
      <c r="B1692" s="17">
        <v>100.0</v>
      </c>
      <c r="C1692" s="17">
        <v>9990700.0</v>
      </c>
      <c r="D1692" s="17">
        <v>1.0</v>
      </c>
    </row>
    <row r="1693">
      <c r="A1693" s="17">
        <v>9990713.0</v>
      </c>
      <c r="B1693" s="17">
        <v>100.0</v>
      </c>
      <c r="C1693" s="17">
        <v>9990700.0</v>
      </c>
      <c r="D1693" s="17">
        <v>1.0</v>
      </c>
    </row>
    <row r="1694">
      <c r="A1694" s="17">
        <v>9990714.0</v>
      </c>
      <c r="B1694" s="17">
        <v>100.0</v>
      </c>
      <c r="C1694" s="17">
        <v>9990700.0</v>
      </c>
      <c r="D1694" s="17">
        <v>1.0</v>
      </c>
    </row>
    <row r="1695">
      <c r="A1695" s="17">
        <v>9990715.0</v>
      </c>
      <c r="B1695" s="17">
        <v>100.0</v>
      </c>
      <c r="C1695" s="17">
        <v>9990700.0</v>
      </c>
      <c r="D1695" s="17">
        <v>1.0</v>
      </c>
    </row>
    <row r="1696">
      <c r="A1696" s="17">
        <v>9990716.0</v>
      </c>
      <c r="B1696" s="17">
        <v>100.0</v>
      </c>
      <c r="C1696" s="17">
        <v>9990700.0</v>
      </c>
      <c r="D1696" s="17">
        <v>1.0</v>
      </c>
    </row>
    <row r="1697">
      <c r="A1697" s="17">
        <v>9990717.0</v>
      </c>
      <c r="B1697" s="17">
        <v>100.0</v>
      </c>
      <c r="C1697" s="17">
        <v>9990700.0</v>
      </c>
      <c r="D1697" s="17">
        <v>1.0</v>
      </c>
    </row>
    <row r="1698">
      <c r="A1698" s="17">
        <v>9990718.0</v>
      </c>
      <c r="B1698" s="17">
        <v>100.0</v>
      </c>
      <c r="C1698" s="17">
        <v>9990700.0</v>
      </c>
      <c r="D1698" s="17">
        <v>1.0</v>
      </c>
    </row>
    <row r="1699">
      <c r="A1699" s="17">
        <v>9990719.0</v>
      </c>
      <c r="B1699" s="17">
        <v>100.0</v>
      </c>
      <c r="C1699" s="17">
        <v>9990700.0</v>
      </c>
      <c r="D1699" s="17">
        <v>1.0</v>
      </c>
    </row>
    <row r="1700">
      <c r="A1700" s="17">
        <v>9990720.0</v>
      </c>
      <c r="B1700" s="17">
        <v>100.0</v>
      </c>
      <c r="C1700" s="17">
        <v>9990700.0</v>
      </c>
      <c r="D1700" s="17">
        <v>1.0</v>
      </c>
    </row>
    <row r="1701">
      <c r="A1701" s="17">
        <v>9990721.0</v>
      </c>
      <c r="B1701" s="17">
        <v>100.0</v>
      </c>
      <c r="C1701" s="17">
        <v>9990700.0</v>
      </c>
      <c r="D1701" s="17">
        <v>1.0</v>
      </c>
    </row>
    <row r="1702">
      <c r="A1702" s="17">
        <v>9990722.0</v>
      </c>
      <c r="B1702" s="17">
        <v>100.0</v>
      </c>
      <c r="C1702" s="17">
        <v>9990700.0</v>
      </c>
      <c r="D1702" s="17">
        <v>1.0</v>
      </c>
    </row>
    <row r="1703">
      <c r="A1703" s="17">
        <v>9990723.0</v>
      </c>
      <c r="B1703" s="17">
        <v>100.0</v>
      </c>
      <c r="C1703" s="17">
        <v>9990700.0</v>
      </c>
      <c r="D1703" s="17">
        <v>1.0</v>
      </c>
    </row>
    <row r="1704">
      <c r="A1704" s="17">
        <v>9990724.0</v>
      </c>
      <c r="B1704" s="17">
        <v>100.0</v>
      </c>
      <c r="C1704" s="17">
        <v>9990700.0</v>
      </c>
      <c r="D1704" s="17">
        <v>1.0</v>
      </c>
    </row>
    <row r="1705">
      <c r="A1705" s="17">
        <v>9990725.0</v>
      </c>
      <c r="B1705" s="17">
        <v>100.0</v>
      </c>
      <c r="C1705" s="17">
        <v>9990700.0</v>
      </c>
      <c r="D1705" s="17">
        <v>1.0</v>
      </c>
    </row>
    <row r="1706">
      <c r="A1706" s="17">
        <v>9990726.0</v>
      </c>
      <c r="B1706" s="17">
        <v>100.0</v>
      </c>
      <c r="C1706" s="17">
        <v>9990700.0</v>
      </c>
      <c r="D1706" s="17">
        <v>1.0</v>
      </c>
    </row>
    <row r="1707">
      <c r="A1707" s="17">
        <v>9990727.0</v>
      </c>
      <c r="B1707" s="17">
        <v>100.0</v>
      </c>
      <c r="C1707" s="17">
        <v>9990700.0</v>
      </c>
      <c r="D1707" s="17">
        <v>1.0</v>
      </c>
    </row>
    <row r="1708">
      <c r="A1708" s="17">
        <v>9990728.0</v>
      </c>
      <c r="B1708" s="17">
        <v>100.0</v>
      </c>
      <c r="C1708" s="17">
        <v>9990700.0</v>
      </c>
      <c r="D1708" s="17">
        <v>1.0</v>
      </c>
    </row>
    <row r="1709">
      <c r="A1709" s="17">
        <v>9990729.0</v>
      </c>
      <c r="B1709" s="17">
        <v>100.0</v>
      </c>
      <c r="C1709" s="17">
        <v>9990700.0</v>
      </c>
      <c r="D1709" s="17">
        <v>1.0</v>
      </c>
    </row>
    <row r="1710">
      <c r="A1710" s="17">
        <v>9990730.0</v>
      </c>
      <c r="B1710" s="17">
        <v>100.0</v>
      </c>
      <c r="C1710" s="17">
        <v>9990700.0</v>
      </c>
      <c r="D1710" s="17">
        <v>1.0</v>
      </c>
    </row>
    <row r="1711">
      <c r="A1711" s="17">
        <v>9990731.0</v>
      </c>
      <c r="B1711" s="17">
        <v>100.0</v>
      </c>
      <c r="C1711" s="17">
        <v>9990700.0</v>
      </c>
      <c r="D1711" s="17">
        <v>1.0</v>
      </c>
    </row>
    <row r="1712">
      <c r="A1712" s="17">
        <v>9990732.0</v>
      </c>
      <c r="B1712" s="17">
        <v>100.0</v>
      </c>
      <c r="C1712" s="17">
        <v>9990700.0</v>
      </c>
      <c r="D1712" s="17">
        <v>1.0</v>
      </c>
    </row>
    <row r="1713">
      <c r="A1713" s="17">
        <v>9990733.0</v>
      </c>
      <c r="B1713" s="17">
        <v>100.0</v>
      </c>
      <c r="C1713" s="17">
        <v>9990700.0</v>
      </c>
      <c r="D1713" s="17">
        <v>1.0</v>
      </c>
    </row>
    <row r="1714">
      <c r="A1714" s="17">
        <v>9990734.0</v>
      </c>
      <c r="B1714" s="17">
        <v>100.0</v>
      </c>
      <c r="C1714" s="17">
        <v>9990700.0</v>
      </c>
      <c r="D1714" s="17">
        <v>1.0</v>
      </c>
    </row>
    <row r="1715">
      <c r="A1715" s="17">
        <v>9990735.0</v>
      </c>
      <c r="B1715" s="17">
        <v>100.0</v>
      </c>
      <c r="C1715" s="17">
        <v>9990700.0</v>
      </c>
      <c r="D1715" s="17">
        <v>1.0</v>
      </c>
    </row>
    <row r="1716">
      <c r="A1716" s="17">
        <v>9990736.0</v>
      </c>
      <c r="B1716" s="17">
        <v>100.0</v>
      </c>
      <c r="C1716" s="17">
        <v>9990700.0</v>
      </c>
      <c r="D1716" s="17">
        <v>1.0</v>
      </c>
    </row>
    <row r="1717">
      <c r="A1717" s="17">
        <v>9990737.0</v>
      </c>
      <c r="B1717" s="17">
        <v>100.0</v>
      </c>
      <c r="C1717" s="17">
        <v>9990700.0</v>
      </c>
      <c r="D1717" s="17">
        <v>1.0</v>
      </c>
    </row>
    <row r="1718">
      <c r="A1718" s="17">
        <v>9990738.0</v>
      </c>
      <c r="B1718" s="17">
        <v>100.0</v>
      </c>
      <c r="C1718" s="17">
        <v>9990700.0</v>
      </c>
      <c r="D1718" s="17">
        <v>1.0</v>
      </c>
    </row>
    <row r="1719">
      <c r="A1719" s="17">
        <v>9990739.0</v>
      </c>
      <c r="B1719" s="17">
        <v>100.0</v>
      </c>
      <c r="C1719" s="17">
        <v>9990700.0</v>
      </c>
      <c r="D1719" s="17">
        <v>1.0</v>
      </c>
    </row>
    <row r="1720">
      <c r="A1720" s="17">
        <v>9990740.0</v>
      </c>
      <c r="B1720" s="17">
        <v>100.0</v>
      </c>
      <c r="C1720" s="17">
        <v>9990700.0</v>
      </c>
      <c r="D1720" s="17">
        <v>1.0</v>
      </c>
    </row>
    <row r="1721">
      <c r="A1721" s="17">
        <v>9990741.0</v>
      </c>
      <c r="B1721" s="17">
        <v>100.0</v>
      </c>
      <c r="C1721" s="17">
        <v>9990700.0</v>
      </c>
      <c r="D1721" s="17">
        <v>1.0</v>
      </c>
    </row>
    <row r="1722">
      <c r="A1722" s="17">
        <v>9990742.0</v>
      </c>
      <c r="B1722" s="17">
        <v>100.0</v>
      </c>
      <c r="C1722" s="17">
        <v>9990700.0</v>
      </c>
      <c r="D1722" s="17">
        <v>1.0</v>
      </c>
    </row>
    <row r="1723">
      <c r="A1723" s="17">
        <v>9990743.0</v>
      </c>
      <c r="B1723" s="17">
        <v>100.0</v>
      </c>
      <c r="C1723" s="17">
        <v>9990700.0</v>
      </c>
      <c r="D1723" s="17">
        <v>1.0</v>
      </c>
    </row>
    <row r="1724">
      <c r="A1724" s="17">
        <v>9990744.0</v>
      </c>
      <c r="B1724" s="17">
        <v>100.0</v>
      </c>
      <c r="C1724" s="17">
        <v>9990700.0</v>
      </c>
      <c r="D1724" s="17">
        <v>1.0</v>
      </c>
    </row>
    <row r="1725">
      <c r="A1725" s="17">
        <v>9990745.0</v>
      </c>
      <c r="B1725" s="17">
        <v>100.0</v>
      </c>
      <c r="C1725" s="17">
        <v>9990700.0</v>
      </c>
      <c r="D1725" s="17">
        <v>1.0</v>
      </c>
    </row>
    <row r="1726">
      <c r="A1726" s="17">
        <v>9990746.0</v>
      </c>
      <c r="B1726" s="17">
        <v>100.0</v>
      </c>
      <c r="C1726" s="17">
        <v>9990700.0</v>
      </c>
      <c r="D1726" s="17">
        <v>1.0</v>
      </c>
    </row>
    <row r="1727">
      <c r="A1727" s="17">
        <v>9990747.0</v>
      </c>
      <c r="B1727" s="17">
        <v>100.0</v>
      </c>
      <c r="C1727" s="17">
        <v>9990700.0</v>
      </c>
      <c r="D1727" s="17">
        <v>1.0</v>
      </c>
    </row>
    <row r="1728">
      <c r="A1728" s="17">
        <v>9990748.0</v>
      </c>
      <c r="B1728" s="17">
        <v>100.0</v>
      </c>
      <c r="C1728" s="17">
        <v>9990700.0</v>
      </c>
      <c r="D1728" s="17">
        <v>1.0</v>
      </c>
    </row>
    <row r="1729">
      <c r="A1729" s="17">
        <v>9990749.0</v>
      </c>
      <c r="B1729" s="17">
        <v>100.0</v>
      </c>
      <c r="C1729" s="17">
        <v>9990700.0</v>
      </c>
      <c r="D1729" s="17">
        <v>1.0</v>
      </c>
    </row>
    <row r="1730">
      <c r="A1730" s="17">
        <v>9990750.0</v>
      </c>
      <c r="B1730" s="17">
        <v>100.0</v>
      </c>
      <c r="C1730" s="17">
        <v>9990700.0</v>
      </c>
      <c r="D1730" s="17">
        <v>1.0</v>
      </c>
    </row>
    <row r="1731">
      <c r="A1731" s="17">
        <v>9990751.0</v>
      </c>
      <c r="B1731" s="17">
        <v>100.0</v>
      </c>
      <c r="C1731" s="17">
        <v>9990700.0</v>
      </c>
      <c r="D1731" s="17">
        <v>1.0</v>
      </c>
    </row>
    <row r="1732">
      <c r="A1732" s="17">
        <v>9990752.0</v>
      </c>
      <c r="B1732" s="17">
        <v>100.0</v>
      </c>
      <c r="C1732" s="17">
        <v>9990700.0</v>
      </c>
      <c r="D1732" s="17">
        <v>1.0</v>
      </c>
    </row>
    <row r="1733">
      <c r="A1733" s="17">
        <v>9990753.0</v>
      </c>
      <c r="B1733" s="17">
        <v>100.0</v>
      </c>
      <c r="C1733" s="17">
        <v>9990700.0</v>
      </c>
      <c r="D1733" s="17">
        <v>1.0</v>
      </c>
    </row>
    <row r="1734">
      <c r="A1734" s="17">
        <v>9990754.0</v>
      </c>
      <c r="B1734" s="17">
        <v>100.0</v>
      </c>
      <c r="C1734" s="17">
        <v>9990700.0</v>
      </c>
      <c r="D1734" s="17">
        <v>1.0</v>
      </c>
    </row>
    <row r="1735">
      <c r="A1735" s="17">
        <v>9990755.0</v>
      </c>
      <c r="B1735" s="17">
        <v>100.0</v>
      </c>
      <c r="C1735" s="17">
        <v>9990700.0</v>
      </c>
      <c r="D1735" s="17">
        <v>1.0</v>
      </c>
    </row>
    <row r="1736">
      <c r="A1736" s="17">
        <v>9990756.0</v>
      </c>
      <c r="B1736" s="17">
        <v>100.0</v>
      </c>
      <c r="C1736" s="17">
        <v>9990700.0</v>
      </c>
      <c r="D1736" s="17">
        <v>1.0</v>
      </c>
    </row>
    <row r="1737">
      <c r="A1737" s="17">
        <v>9990757.0</v>
      </c>
      <c r="B1737" s="17">
        <v>100.0</v>
      </c>
      <c r="C1737" s="17">
        <v>9990700.0</v>
      </c>
      <c r="D1737" s="17">
        <v>1.0</v>
      </c>
    </row>
    <row r="1738">
      <c r="A1738" s="17">
        <v>9990758.0</v>
      </c>
      <c r="B1738" s="17">
        <v>100.0</v>
      </c>
      <c r="C1738" s="17">
        <v>9990700.0</v>
      </c>
      <c r="D1738" s="17">
        <v>1.0</v>
      </c>
    </row>
    <row r="1739">
      <c r="A1739" s="17">
        <v>9990759.0</v>
      </c>
      <c r="B1739" s="17">
        <v>100.0</v>
      </c>
      <c r="C1739" s="17">
        <v>9990700.0</v>
      </c>
      <c r="D1739" s="17">
        <v>1.0</v>
      </c>
    </row>
    <row r="1740">
      <c r="A1740" s="17">
        <v>9990760.0</v>
      </c>
      <c r="B1740" s="17">
        <v>100.0</v>
      </c>
      <c r="C1740" s="17">
        <v>9990700.0</v>
      </c>
      <c r="D1740" s="17">
        <v>1.0</v>
      </c>
    </row>
    <row r="1741">
      <c r="A1741" s="17">
        <v>9990761.0</v>
      </c>
      <c r="B1741" s="17">
        <v>100.0</v>
      </c>
      <c r="C1741" s="17">
        <v>9990700.0</v>
      </c>
      <c r="D1741" s="17">
        <v>1.0</v>
      </c>
    </row>
    <row r="1742">
      <c r="A1742" s="17">
        <v>9990762.0</v>
      </c>
      <c r="B1742" s="17">
        <v>100.0</v>
      </c>
      <c r="C1742" s="17">
        <v>9990700.0</v>
      </c>
      <c r="D1742" s="17">
        <v>1.0</v>
      </c>
    </row>
    <row r="1743">
      <c r="A1743" s="17">
        <v>9990763.0</v>
      </c>
      <c r="B1743" s="17">
        <v>100.0</v>
      </c>
      <c r="C1743" s="17">
        <v>9990700.0</v>
      </c>
      <c r="D1743" s="17">
        <v>1.0</v>
      </c>
    </row>
    <row r="1744">
      <c r="A1744" s="17">
        <v>9990764.0</v>
      </c>
      <c r="B1744" s="17">
        <v>100.0</v>
      </c>
      <c r="C1744" s="17">
        <v>9990700.0</v>
      </c>
      <c r="D1744" s="17">
        <v>1.0</v>
      </c>
    </row>
    <row r="1745">
      <c r="A1745" s="17">
        <v>9990765.0</v>
      </c>
      <c r="B1745" s="17">
        <v>100.0</v>
      </c>
      <c r="C1745" s="17">
        <v>9990700.0</v>
      </c>
      <c r="D1745" s="17">
        <v>1.0</v>
      </c>
    </row>
    <row r="1746">
      <c r="A1746" s="17">
        <v>9990766.0</v>
      </c>
      <c r="B1746" s="17">
        <v>100.0</v>
      </c>
      <c r="C1746" s="17">
        <v>9990700.0</v>
      </c>
      <c r="D1746" s="17">
        <v>1.0</v>
      </c>
    </row>
    <row r="1747">
      <c r="A1747" s="17">
        <v>9990767.0</v>
      </c>
      <c r="B1747" s="17">
        <v>100.0</v>
      </c>
      <c r="C1747" s="17">
        <v>9990700.0</v>
      </c>
      <c r="D1747" s="17">
        <v>1.0</v>
      </c>
    </row>
    <row r="1748">
      <c r="A1748" s="17">
        <v>9990768.0</v>
      </c>
      <c r="B1748" s="17">
        <v>100.0</v>
      </c>
      <c r="C1748" s="17">
        <v>9990700.0</v>
      </c>
      <c r="D1748" s="17">
        <v>1.0</v>
      </c>
    </row>
    <row r="1749">
      <c r="A1749" s="17">
        <v>9990769.0</v>
      </c>
      <c r="B1749" s="17">
        <v>100.0</v>
      </c>
      <c r="C1749" s="17">
        <v>9990700.0</v>
      </c>
      <c r="D1749" s="17">
        <v>1.0</v>
      </c>
    </row>
    <row r="1750">
      <c r="A1750" s="17">
        <v>9990770.0</v>
      </c>
      <c r="B1750" s="17">
        <v>100.0</v>
      </c>
      <c r="C1750" s="17">
        <v>9990700.0</v>
      </c>
      <c r="D1750" s="17">
        <v>1.0</v>
      </c>
    </row>
    <row r="1751">
      <c r="A1751" s="17">
        <v>9990771.0</v>
      </c>
      <c r="B1751" s="17">
        <v>100.0</v>
      </c>
      <c r="C1751" s="17">
        <v>9990700.0</v>
      </c>
      <c r="D1751" s="17">
        <v>1.0</v>
      </c>
    </row>
    <row r="1752">
      <c r="A1752" s="17">
        <v>9990772.0</v>
      </c>
      <c r="B1752" s="17">
        <v>100.0</v>
      </c>
      <c r="C1752" s="17">
        <v>9990700.0</v>
      </c>
      <c r="D1752" s="17">
        <v>1.0</v>
      </c>
    </row>
    <row r="1753">
      <c r="A1753" s="17">
        <v>9990773.0</v>
      </c>
      <c r="B1753" s="17">
        <v>100.0</v>
      </c>
      <c r="C1753" s="17">
        <v>9990700.0</v>
      </c>
      <c r="D1753" s="17">
        <v>1.0</v>
      </c>
    </row>
    <row r="1754">
      <c r="A1754" s="17">
        <v>9990774.0</v>
      </c>
      <c r="B1754" s="17">
        <v>100.0</v>
      </c>
      <c r="C1754" s="17">
        <v>9990700.0</v>
      </c>
      <c r="D1754" s="17">
        <v>1.0</v>
      </c>
    </row>
    <row r="1755">
      <c r="A1755" s="17">
        <v>9990775.0</v>
      </c>
      <c r="B1755" s="17">
        <v>100.0</v>
      </c>
      <c r="C1755" s="17">
        <v>9990700.0</v>
      </c>
      <c r="D1755" s="17">
        <v>1.0</v>
      </c>
    </row>
    <row r="1756">
      <c r="A1756" s="17">
        <v>9990776.0</v>
      </c>
      <c r="B1756" s="17">
        <v>100.0</v>
      </c>
      <c r="C1756" s="17">
        <v>9990700.0</v>
      </c>
      <c r="D1756" s="17">
        <v>1.0</v>
      </c>
    </row>
    <row r="1757">
      <c r="A1757" s="17">
        <v>9990777.0</v>
      </c>
      <c r="B1757" s="17">
        <v>100.0</v>
      </c>
      <c r="C1757" s="17">
        <v>9990700.0</v>
      </c>
      <c r="D1757" s="17">
        <v>1.0</v>
      </c>
    </row>
    <row r="1758">
      <c r="A1758" s="17">
        <v>9990778.0</v>
      </c>
      <c r="B1758" s="17">
        <v>100.0</v>
      </c>
      <c r="C1758" s="17">
        <v>9990700.0</v>
      </c>
      <c r="D1758" s="17">
        <v>1.0</v>
      </c>
    </row>
    <row r="1759">
      <c r="A1759" s="17">
        <v>9990779.0</v>
      </c>
      <c r="B1759" s="17">
        <v>100.0</v>
      </c>
      <c r="C1759" s="17">
        <v>9990700.0</v>
      </c>
      <c r="D1759" s="17">
        <v>1.0</v>
      </c>
    </row>
    <row r="1760">
      <c r="A1760" s="17">
        <v>9990780.0</v>
      </c>
      <c r="B1760" s="17">
        <v>100.0</v>
      </c>
      <c r="C1760" s="17">
        <v>9990700.0</v>
      </c>
      <c r="D1760" s="17">
        <v>1.0</v>
      </c>
    </row>
    <row r="1761">
      <c r="A1761" s="17">
        <v>9990781.0</v>
      </c>
      <c r="B1761" s="17">
        <v>100.0</v>
      </c>
      <c r="C1761" s="17">
        <v>9990700.0</v>
      </c>
      <c r="D1761" s="17">
        <v>1.0</v>
      </c>
    </row>
    <row r="1762">
      <c r="A1762" s="17">
        <v>9990782.0</v>
      </c>
      <c r="B1762" s="17">
        <v>100.0</v>
      </c>
      <c r="C1762" s="17">
        <v>9990700.0</v>
      </c>
      <c r="D1762" s="17">
        <v>1.0</v>
      </c>
    </row>
    <row r="1763">
      <c r="A1763" s="17">
        <v>9990783.0</v>
      </c>
      <c r="B1763" s="17">
        <v>100.0</v>
      </c>
      <c r="C1763" s="17">
        <v>9990700.0</v>
      </c>
      <c r="D1763" s="17">
        <v>1.0</v>
      </c>
    </row>
    <row r="1764">
      <c r="A1764" s="17">
        <v>9990784.0</v>
      </c>
      <c r="B1764" s="17">
        <v>100.0</v>
      </c>
      <c r="C1764" s="17">
        <v>9990700.0</v>
      </c>
      <c r="D1764" s="17">
        <v>1.0</v>
      </c>
    </row>
    <row r="1765">
      <c r="A1765" s="17">
        <v>9990785.0</v>
      </c>
      <c r="B1765" s="17">
        <v>100.0</v>
      </c>
      <c r="C1765" s="17">
        <v>9990700.0</v>
      </c>
      <c r="D1765" s="17">
        <v>1.0</v>
      </c>
    </row>
    <row r="1766">
      <c r="A1766" s="17">
        <v>9990786.0</v>
      </c>
      <c r="B1766" s="17">
        <v>100.0</v>
      </c>
      <c r="C1766" s="17">
        <v>9990700.0</v>
      </c>
      <c r="D1766" s="17">
        <v>1.0</v>
      </c>
    </row>
    <row r="1767">
      <c r="A1767" s="17">
        <v>9990787.0</v>
      </c>
      <c r="B1767" s="17">
        <v>100.0</v>
      </c>
      <c r="C1767" s="17">
        <v>9990700.0</v>
      </c>
      <c r="D1767" s="17">
        <v>1.0</v>
      </c>
    </row>
    <row r="1768">
      <c r="A1768" s="17">
        <v>9990788.0</v>
      </c>
      <c r="B1768" s="17">
        <v>100.0</v>
      </c>
      <c r="C1768" s="17">
        <v>9990700.0</v>
      </c>
      <c r="D1768" s="17">
        <v>1.0</v>
      </c>
    </row>
    <row r="1769">
      <c r="A1769" s="17">
        <v>9990789.0</v>
      </c>
      <c r="B1769" s="17">
        <v>100.0</v>
      </c>
      <c r="C1769" s="17">
        <v>9990700.0</v>
      </c>
      <c r="D1769" s="17">
        <v>1.0</v>
      </c>
    </row>
    <row r="1770">
      <c r="A1770" s="17">
        <v>9990790.0</v>
      </c>
      <c r="B1770" s="17">
        <v>100.0</v>
      </c>
      <c r="C1770" s="17">
        <v>9990700.0</v>
      </c>
      <c r="D1770" s="17">
        <v>1.0</v>
      </c>
    </row>
    <row r="1771">
      <c r="A1771" s="17">
        <v>9990791.0</v>
      </c>
      <c r="B1771" s="17">
        <v>100.0</v>
      </c>
      <c r="C1771" s="17">
        <v>9990700.0</v>
      </c>
      <c r="D1771" s="17">
        <v>1.0</v>
      </c>
    </row>
    <row r="1772">
      <c r="A1772" s="17">
        <v>9990792.0</v>
      </c>
      <c r="B1772" s="17">
        <v>100.0</v>
      </c>
      <c r="C1772" s="17">
        <v>9990700.0</v>
      </c>
      <c r="D1772" s="17">
        <v>1.0</v>
      </c>
    </row>
    <row r="1773">
      <c r="A1773" s="17">
        <v>9990793.0</v>
      </c>
      <c r="B1773" s="17">
        <v>100.0</v>
      </c>
      <c r="C1773" s="17">
        <v>9990700.0</v>
      </c>
      <c r="D1773" s="17">
        <v>1.0</v>
      </c>
    </row>
    <row r="1774">
      <c r="A1774" s="17">
        <v>9990794.0</v>
      </c>
      <c r="B1774" s="17">
        <v>100.0</v>
      </c>
      <c r="C1774" s="17">
        <v>9990700.0</v>
      </c>
      <c r="D1774" s="17">
        <v>1.0</v>
      </c>
    </row>
    <row r="1775">
      <c r="A1775" s="17">
        <v>9990795.0</v>
      </c>
      <c r="B1775" s="17">
        <v>100.0</v>
      </c>
      <c r="C1775" s="17">
        <v>9990700.0</v>
      </c>
      <c r="D1775" s="17">
        <v>1.0</v>
      </c>
    </row>
    <row r="1776">
      <c r="A1776" s="17">
        <v>9990796.0</v>
      </c>
      <c r="B1776" s="17">
        <v>100.0</v>
      </c>
      <c r="C1776" s="17">
        <v>9990700.0</v>
      </c>
      <c r="D1776" s="17">
        <v>1.0</v>
      </c>
    </row>
    <row r="1777">
      <c r="A1777" s="17">
        <v>9990797.0</v>
      </c>
      <c r="B1777" s="17">
        <v>100.0</v>
      </c>
      <c r="C1777" s="17">
        <v>9990700.0</v>
      </c>
      <c r="D1777" s="17">
        <v>1.0</v>
      </c>
    </row>
    <row r="1778">
      <c r="A1778" s="17">
        <v>9990798.0</v>
      </c>
      <c r="B1778" s="17">
        <v>100.0</v>
      </c>
      <c r="C1778" s="17">
        <v>9990700.0</v>
      </c>
      <c r="D1778" s="17">
        <v>1.0</v>
      </c>
    </row>
    <row r="1779">
      <c r="A1779" s="17">
        <v>9990799.0</v>
      </c>
      <c r="B1779" s="17">
        <v>100.0</v>
      </c>
      <c r="C1779" s="17">
        <v>9990700.0</v>
      </c>
      <c r="D1779" s="17">
        <v>1.0</v>
      </c>
    </row>
    <row r="1780">
      <c r="A1780" s="17">
        <v>9990800.0</v>
      </c>
      <c r="B1780" s="17">
        <v>100.0</v>
      </c>
      <c r="C1780" s="17">
        <v>9990800.0</v>
      </c>
      <c r="D1780" s="17">
        <v>1.0</v>
      </c>
    </row>
    <row r="1781">
      <c r="A1781" s="17">
        <v>9990801.0</v>
      </c>
      <c r="B1781" s="17">
        <v>100.0</v>
      </c>
      <c r="C1781" s="17">
        <v>9990800.0</v>
      </c>
      <c r="D1781" s="17">
        <v>1.0</v>
      </c>
    </row>
    <row r="1782">
      <c r="A1782" s="17">
        <v>9990802.0</v>
      </c>
      <c r="B1782" s="17">
        <v>100.0</v>
      </c>
      <c r="C1782" s="17">
        <v>9990800.0</v>
      </c>
      <c r="D1782" s="17">
        <v>1.0</v>
      </c>
    </row>
    <row r="1783">
      <c r="A1783" s="17">
        <v>9990803.0</v>
      </c>
      <c r="B1783" s="17">
        <v>100.0</v>
      </c>
      <c r="C1783" s="17">
        <v>9990800.0</v>
      </c>
      <c r="D1783" s="17">
        <v>1.0</v>
      </c>
    </row>
    <row r="1784">
      <c r="A1784" s="17">
        <v>9990804.0</v>
      </c>
      <c r="B1784" s="17">
        <v>100.0</v>
      </c>
      <c r="C1784" s="17">
        <v>9990800.0</v>
      </c>
      <c r="D1784" s="17">
        <v>1.0</v>
      </c>
    </row>
    <row r="1785">
      <c r="A1785" s="17">
        <v>9990805.0</v>
      </c>
      <c r="B1785" s="17">
        <v>100.0</v>
      </c>
      <c r="C1785" s="17">
        <v>9990800.0</v>
      </c>
      <c r="D1785" s="17">
        <v>1.0</v>
      </c>
    </row>
    <row r="1786">
      <c r="A1786" s="17">
        <v>9990806.0</v>
      </c>
      <c r="B1786" s="17">
        <v>100.0</v>
      </c>
      <c r="C1786" s="17">
        <v>9990800.0</v>
      </c>
      <c r="D1786" s="17">
        <v>1.0</v>
      </c>
    </row>
    <row r="1787">
      <c r="A1787" s="17">
        <v>9990807.0</v>
      </c>
      <c r="B1787" s="17">
        <v>100.0</v>
      </c>
      <c r="C1787" s="17">
        <v>9990800.0</v>
      </c>
      <c r="D1787" s="17">
        <v>1.0</v>
      </c>
    </row>
    <row r="1788">
      <c r="A1788" s="17">
        <v>9990808.0</v>
      </c>
      <c r="B1788" s="17">
        <v>100.0</v>
      </c>
      <c r="C1788" s="17">
        <v>9990800.0</v>
      </c>
      <c r="D1788" s="17">
        <v>1.0</v>
      </c>
    </row>
    <row r="1789">
      <c r="A1789" s="17">
        <v>9990809.0</v>
      </c>
      <c r="B1789" s="17">
        <v>100.0</v>
      </c>
      <c r="C1789" s="17">
        <v>9990800.0</v>
      </c>
      <c r="D1789" s="17">
        <v>1.0</v>
      </c>
    </row>
    <row r="1790">
      <c r="A1790" s="17">
        <v>9990810.0</v>
      </c>
      <c r="B1790" s="17">
        <v>100.0</v>
      </c>
      <c r="C1790" s="17">
        <v>9990800.0</v>
      </c>
      <c r="D1790" s="17">
        <v>1.0</v>
      </c>
    </row>
    <row r="1791">
      <c r="A1791" s="17">
        <v>9990811.0</v>
      </c>
      <c r="B1791" s="17">
        <v>100.0</v>
      </c>
      <c r="C1791" s="17">
        <v>9990800.0</v>
      </c>
      <c r="D1791" s="17">
        <v>1.0</v>
      </c>
    </row>
    <row r="1792">
      <c r="A1792" s="17">
        <v>9990812.0</v>
      </c>
      <c r="B1792" s="17">
        <v>100.0</v>
      </c>
      <c r="C1792" s="17">
        <v>9990800.0</v>
      </c>
      <c r="D1792" s="17">
        <v>1.0</v>
      </c>
    </row>
    <row r="1793">
      <c r="A1793" s="17">
        <v>9990813.0</v>
      </c>
      <c r="B1793" s="17">
        <v>100.0</v>
      </c>
      <c r="C1793" s="17">
        <v>9990800.0</v>
      </c>
      <c r="D1793" s="17">
        <v>1.0</v>
      </c>
    </row>
    <row r="1794">
      <c r="A1794" s="17">
        <v>9990814.0</v>
      </c>
      <c r="B1794" s="17">
        <v>100.0</v>
      </c>
      <c r="C1794" s="17">
        <v>9990800.0</v>
      </c>
      <c r="D1794" s="17">
        <v>1.0</v>
      </c>
    </row>
    <row r="1795">
      <c r="A1795" s="17">
        <v>9990815.0</v>
      </c>
      <c r="B1795" s="17">
        <v>100.0</v>
      </c>
      <c r="C1795" s="17">
        <v>9990800.0</v>
      </c>
      <c r="D1795" s="17">
        <v>1.0</v>
      </c>
    </row>
    <row r="1796">
      <c r="A1796" s="17">
        <v>9990816.0</v>
      </c>
      <c r="B1796" s="17">
        <v>100.0</v>
      </c>
      <c r="C1796" s="17">
        <v>9990800.0</v>
      </c>
      <c r="D1796" s="17">
        <v>1.0</v>
      </c>
    </row>
    <row r="1797">
      <c r="A1797" s="17">
        <v>9990817.0</v>
      </c>
      <c r="B1797" s="17">
        <v>100.0</v>
      </c>
      <c r="C1797" s="17">
        <v>9990800.0</v>
      </c>
      <c r="D1797" s="17">
        <v>1.0</v>
      </c>
    </row>
    <row r="1798">
      <c r="A1798" s="17">
        <v>9990818.0</v>
      </c>
      <c r="B1798" s="17">
        <v>100.0</v>
      </c>
      <c r="C1798" s="17">
        <v>9990800.0</v>
      </c>
      <c r="D1798" s="17">
        <v>1.0</v>
      </c>
    </row>
    <row r="1799">
      <c r="A1799" s="17">
        <v>9990819.0</v>
      </c>
      <c r="B1799" s="17">
        <v>100.0</v>
      </c>
      <c r="C1799" s="17">
        <v>9990800.0</v>
      </c>
      <c r="D1799" s="17">
        <v>1.0</v>
      </c>
    </row>
    <row r="1800">
      <c r="A1800" s="17">
        <v>9990820.0</v>
      </c>
      <c r="B1800" s="17">
        <v>100.0</v>
      </c>
      <c r="C1800" s="17">
        <v>9990800.0</v>
      </c>
      <c r="D1800" s="17">
        <v>1.0</v>
      </c>
    </row>
    <row r="1801">
      <c r="A1801" s="17">
        <v>9990821.0</v>
      </c>
      <c r="B1801" s="17">
        <v>100.0</v>
      </c>
      <c r="C1801" s="17">
        <v>9990800.0</v>
      </c>
      <c r="D1801" s="17">
        <v>1.0</v>
      </c>
    </row>
    <row r="1802">
      <c r="A1802" s="17">
        <v>9990822.0</v>
      </c>
      <c r="B1802" s="17">
        <v>100.0</v>
      </c>
      <c r="C1802" s="17">
        <v>9990800.0</v>
      </c>
      <c r="D1802" s="17">
        <v>1.0</v>
      </c>
    </row>
    <row r="1803">
      <c r="A1803" s="17">
        <v>9990823.0</v>
      </c>
      <c r="B1803" s="17">
        <v>100.0</v>
      </c>
      <c r="C1803" s="17">
        <v>9990800.0</v>
      </c>
      <c r="D1803" s="17">
        <v>1.0</v>
      </c>
    </row>
    <row r="1804">
      <c r="A1804" s="17">
        <v>9990824.0</v>
      </c>
      <c r="B1804" s="17">
        <v>100.0</v>
      </c>
      <c r="C1804" s="17">
        <v>9990800.0</v>
      </c>
      <c r="D1804" s="17">
        <v>1.0</v>
      </c>
    </row>
    <row r="1805">
      <c r="A1805" s="17">
        <v>9990825.0</v>
      </c>
      <c r="B1805" s="17">
        <v>100.0</v>
      </c>
      <c r="C1805" s="17">
        <v>9990800.0</v>
      </c>
      <c r="D1805" s="17">
        <v>1.0</v>
      </c>
    </row>
    <row r="1806">
      <c r="A1806" s="17">
        <v>9990826.0</v>
      </c>
      <c r="B1806" s="17">
        <v>100.0</v>
      </c>
      <c r="C1806" s="17">
        <v>9990800.0</v>
      </c>
      <c r="D1806" s="17">
        <v>1.0</v>
      </c>
    </row>
    <row r="1807">
      <c r="A1807" s="17">
        <v>9990827.0</v>
      </c>
      <c r="B1807" s="17">
        <v>100.0</v>
      </c>
      <c r="C1807" s="17">
        <v>9990800.0</v>
      </c>
      <c r="D1807" s="17">
        <v>1.0</v>
      </c>
    </row>
    <row r="1808">
      <c r="A1808" s="17">
        <v>9990828.0</v>
      </c>
      <c r="B1808" s="17">
        <v>100.0</v>
      </c>
      <c r="C1808" s="17">
        <v>9990800.0</v>
      </c>
      <c r="D1808" s="17">
        <v>1.0</v>
      </c>
    </row>
    <row r="1809">
      <c r="A1809" s="17">
        <v>9990829.0</v>
      </c>
      <c r="B1809" s="17">
        <v>100.0</v>
      </c>
      <c r="C1809" s="17">
        <v>9990800.0</v>
      </c>
      <c r="D1809" s="17">
        <v>1.0</v>
      </c>
    </row>
    <row r="1810">
      <c r="A1810" s="17">
        <v>9990830.0</v>
      </c>
      <c r="B1810" s="17">
        <v>100.0</v>
      </c>
      <c r="C1810" s="17">
        <v>9990800.0</v>
      </c>
      <c r="D1810" s="17">
        <v>1.0</v>
      </c>
    </row>
    <row r="1811">
      <c r="A1811" s="17">
        <v>9990831.0</v>
      </c>
      <c r="B1811" s="17">
        <v>100.0</v>
      </c>
      <c r="C1811" s="17">
        <v>9990800.0</v>
      </c>
      <c r="D1811" s="17">
        <v>1.0</v>
      </c>
    </row>
    <row r="1812">
      <c r="A1812" s="17">
        <v>9990832.0</v>
      </c>
      <c r="B1812" s="17">
        <v>100.0</v>
      </c>
      <c r="C1812" s="17">
        <v>9990800.0</v>
      </c>
      <c r="D1812" s="17">
        <v>1.0</v>
      </c>
    </row>
    <row r="1813">
      <c r="A1813" s="17">
        <v>9990833.0</v>
      </c>
      <c r="B1813" s="17">
        <v>100.0</v>
      </c>
      <c r="C1813" s="17">
        <v>9990800.0</v>
      </c>
      <c r="D1813" s="17">
        <v>1.0</v>
      </c>
    </row>
    <row r="1814">
      <c r="A1814" s="17">
        <v>9990834.0</v>
      </c>
      <c r="B1814" s="17">
        <v>100.0</v>
      </c>
      <c r="C1814" s="17">
        <v>9990800.0</v>
      </c>
      <c r="D1814" s="17">
        <v>1.0</v>
      </c>
    </row>
    <row r="1815">
      <c r="A1815" s="17">
        <v>9990835.0</v>
      </c>
      <c r="B1815" s="17">
        <v>100.0</v>
      </c>
      <c r="C1815" s="17">
        <v>9990800.0</v>
      </c>
      <c r="D1815" s="17">
        <v>1.0</v>
      </c>
    </row>
    <row r="1816">
      <c r="A1816" s="17">
        <v>9990836.0</v>
      </c>
      <c r="B1816" s="17">
        <v>100.0</v>
      </c>
      <c r="C1816" s="17">
        <v>9990800.0</v>
      </c>
      <c r="D1816" s="17">
        <v>1.0</v>
      </c>
    </row>
    <row r="1817">
      <c r="A1817" s="17">
        <v>9990837.0</v>
      </c>
      <c r="B1817" s="17">
        <v>100.0</v>
      </c>
      <c r="C1817" s="17">
        <v>9990800.0</v>
      </c>
      <c r="D1817" s="17">
        <v>1.0</v>
      </c>
    </row>
    <row r="1818">
      <c r="A1818" s="17">
        <v>9990838.0</v>
      </c>
      <c r="B1818" s="17">
        <v>100.0</v>
      </c>
      <c r="C1818" s="17">
        <v>9990800.0</v>
      </c>
      <c r="D1818" s="17">
        <v>1.0</v>
      </c>
    </row>
    <row r="1819">
      <c r="A1819" s="17">
        <v>9990839.0</v>
      </c>
      <c r="B1819" s="17">
        <v>100.0</v>
      </c>
      <c r="C1819" s="17">
        <v>9990800.0</v>
      </c>
      <c r="D1819" s="17">
        <v>1.0</v>
      </c>
    </row>
    <row r="1820">
      <c r="A1820" s="17">
        <v>9990840.0</v>
      </c>
      <c r="B1820" s="17">
        <v>100.0</v>
      </c>
      <c r="C1820" s="17">
        <v>9990800.0</v>
      </c>
      <c r="D1820" s="17">
        <v>1.0</v>
      </c>
    </row>
    <row r="1821">
      <c r="A1821" s="17">
        <v>9990841.0</v>
      </c>
      <c r="B1821" s="17">
        <v>100.0</v>
      </c>
      <c r="C1821" s="17">
        <v>9990800.0</v>
      </c>
      <c r="D1821" s="17">
        <v>1.0</v>
      </c>
    </row>
    <row r="1822">
      <c r="A1822" s="17">
        <v>9990842.0</v>
      </c>
      <c r="B1822" s="17">
        <v>100.0</v>
      </c>
      <c r="C1822" s="17">
        <v>9990800.0</v>
      </c>
      <c r="D1822" s="17">
        <v>1.0</v>
      </c>
    </row>
    <row r="1823">
      <c r="A1823" s="17">
        <v>9990843.0</v>
      </c>
      <c r="B1823" s="17">
        <v>100.0</v>
      </c>
      <c r="C1823" s="17">
        <v>9990800.0</v>
      </c>
      <c r="D1823" s="17">
        <v>1.0</v>
      </c>
    </row>
    <row r="1824">
      <c r="A1824" s="17">
        <v>9990844.0</v>
      </c>
      <c r="B1824" s="17">
        <v>100.0</v>
      </c>
      <c r="C1824" s="17">
        <v>9990800.0</v>
      </c>
      <c r="D1824" s="17">
        <v>1.0</v>
      </c>
    </row>
    <row r="1825">
      <c r="A1825" s="17">
        <v>9990845.0</v>
      </c>
      <c r="B1825" s="17">
        <v>100.0</v>
      </c>
      <c r="C1825" s="17">
        <v>9990800.0</v>
      </c>
      <c r="D1825" s="17">
        <v>1.0</v>
      </c>
    </row>
    <row r="1826">
      <c r="A1826" s="17">
        <v>9990846.0</v>
      </c>
      <c r="B1826" s="17">
        <v>100.0</v>
      </c>
      <c r="C1826" s="17">
        <v>9990800.0</v>
      </c>
      <c r="D1826" s="17">
        <v>1.0</v>
      </c>
    </row>
    <row r="1827">
      <c r="A1827" s="17">
        <v>9990847.0</v>
      </c>
      <c r="B1827" s="17">
        <v>100.0</v>
      </c>
      <c r="C1827" s="17">
        <v>9990800.0</v>
      </c>
      <c r="D1827" s="17">
        <v>1.0</v>
      </c>
    </row>
    <row r="1828">
      <c r="A1828" s="17">
        <v>9990848.0</v>
      </c>
      <c r="B1828" s="17">
        <v>100.0</v>
      </c>
      <c r="C1828" s="17">
        <v>9990800.0</v>
      </c>
      <c r="D1828" s="17">
        <v>1.0</v>
      </c>
    </row>
    <row r="1829">
      <c r="A1829" s="17">
        <v>9990849.0</v>
      </c>
      <c r="B1829" s="17">
        <v>100.0</v>
      </c>
      <c r="C1829" s="17">
        <v>9990800.0</v>
      </c>
      <c r="D1829" s="17">
        <v>1.0</v>
      </c>
    </row>
    <row r="1830">
      <c r="A1830" s="17">
        <v>9990850.0</v>
      </c>
      <c r="B1830" s="17">
        <v>100.0</v>
      </c>
      <c r="C1830" s="17">
        <v>9990800.0</v>
      </c>
      <c r="D1830" s="17">
        <v>1.0</v>
      </c>
    </row>
    <row r="1831">
      <c r="A1831" s="17">
        <v>9990851.0</v>
      </c>
      <c r="B1831" s="17">
        <v>100.0</v>
      </c>
      <c r="C1831" s="17">
        <v>9990800.0</v>
      </c>
      <c r="D1831" s="17">
        <v>1.0</v>
      </c>
    </row>
    <row r="1832">
      <c r="A1832" s="17">
        <v>9990852.0</v>
      </c>
      <c r="B1832" s="17">
        <v>100.0</v>
      </c>
      <c r="C1832" s="17">
        <v>9990800.0</v>
      </c>
      <c r="D1832" s="17">
        <v>1.0</v>
      </c>
    </row>
    <row r="1833">
      <c r="A1833" s="17">
        <v>9990853.0</v>
      </c>
      <c r="B1833" s="17">
        <v>100.0</v>
      </c>
      <c r="C1833" s="17">
        <v>9990800.0</v>
      </c>
      <c r="D1833" s="17">
        <v>1.0</v>
      </c>
    </row>
    <row r="1834">
      <c r="A1834" s="17">
        <v>9990854.0</v>
      </c>
      <c r="B1834" s="17">
        <v>100.0</v>
      </c>
      <c r="C1834" s="17">
        <v>9990800.0</v>
      </c>
      <c r="D1834" s="17">
        <v>1.0</v>
      </c>
    </row>
    <row r="1835">
      <c r="A1835" s="17">
        <v>9990855.0</v>
      </c>
      <c r="B1835" s="17">
        <v>100.0</v>
      </c>
      <c r="C1835" s="17">
        <v>9990800.0</v>
      </c>
      <c r="D1835" s="17">
        <v>1.0</v>
      </c>
    </row>
    <row r="1836">
      <c r="A1836" s="17">
        <v>9990856.0</v>
      </c>
      <c r="B1836" s="17">
        <v>100.0</v>
      </c>
      <c r="C1836" s="17">
        <v>9990800.0</v>
      </c>
      <c r="D1836" s="17">
        <v>1.0</v>
      </c>
    </row>
    <row r="1837">
      <c r="A1837" s="17">
        <v>9990857.0</v>
      </c>
      <c r="B1837" s="17">
        <v>100.0</v>
      </c>
      <c r="C1837" s="17">
        <v>9990800.0</v>
      </c>
      <c r="D1837" s="17">
        <v>1.0</v>
      </c>
    </row>
    <row r="1838">
      <c r="A1838" s="17">
        <v>9990858.0</v>
      </c>
      <c r="B1838" s="17">
        <v>100.0</v>
      </c>
      <c r="C1838" s="17">
        <v>9990800.0</v>
      </c>
      <c r="D1838" s="17">
        <v>1.0</v>
      </c>
    </row>
    <row r="1839">
      <c r="A1839" s="17">
        <v>9990859.0</v>
      </c>
      <c r="B1839" s="17">
        <v>100.0</v>
      </c>
      <c r="C1839" s="17">
        <v>9990800.0</v>
      </c>
      <c r="D1839" s="17">
        <v>1.0</v>
      </c>
    </row>
    <row r="1840">
      <c r="A1840" s="17">
        <v>9990860.0</v>
      </c>
      <c r="B1840" s="17">
        <v>100.0</v>
      </c>
      <c r="C1840" s="17">
        <v>9990800.0</v>
      </c>
      <c r="D1840" s="17">
        <v>1.0</v>
      </c>
    </row>
    <row r="1841">
      <c r="A1841" s="17">
        <v>9990861.0</v>
      </c>
      <c r="B1841" s="17">
        <v>100.0</v>
      </c>
      <c r="C1841" s="17">
        <v>9990800.0</v>
      </c>
      <c r="D1841" s="17">
        <v>1.0</v>
      </c>
    </row>
    <row r="1842">
      <c r="A1842" s="17">
        <v>9990862.0</v>
      </c>
      <c r="B1842" s="17">
        <v>100.0</v>
      </c>
      <c r="C1842" s="17">
        <v>9990800.0</v>
      </c>
      <c r="D1842" s="17">
        <v>1.0</v>
      </c>
    </row>
    <row r="1843">
      <c r="A1843" s="17">
        <v>9990863.0</v>
      </c>
      <c r="B1843" s="17">
        <v>100.0</v>
      </c>
      <c r="C1843" s="17">
        <v>9990800.0</v>
      </c>
      <c r="D1843" s="17">
        <v>1.0</v>
      </c>
    </row>
    <row r="1844">
      <c r="A1844" s="17">
        <v>9990864.0</v>
      </c>
      <c r="B1844" s="17">
        <v>100.0</v>
      </c>
      <c r="C1844" s="17">
        <v>9990800.0</v>
      </c>
      <c r="D1844" s="17">
        <v>1.0</v>
      </c>
    </row>
    <row r="1845">
      <c r="A1845" s="17">
        <v>9990865.0</v>
      </c>
      <c r="B1845" s="17">
        <v>100.0</v>
      </c>
      <c r="C1845" s="17">
        <v>9990800.0</v>
      </c>
      <c r="D1845" s="17">
        <v>1.0</v>
      </c>
    </row>
    <row r="1846">
      <c r="A1846" s="17">
        <v>9990866.0</v>
      </c>
      <c r="B1846" s="17">
        <v>100.0</v>
      </c>
      <c r="C1846" s="17">
        <v>9990800.0</v>
      </c>
      <c r="D1846" s="17">
        <v>1.0</v>
      </c>
    </row>
    <row r="1847">
      <c r="A1847" s="17">
        <v>9990867.0</v>
      </c>
      <c r="B1847" s="17">
        <v>100.0</v>
      </c>
      <c r="C1847" s="17">
        <v>9990800.0</v>
      </c>
      <c r="D1847" s="17">
        <v>1.0</v>
      </c>
    </row>
    <row r="1848">
      <c r="A1848" s="17">
        <v>9990868.0</v>
      </c>
      <c r="B1848" s="17">
        <v>100.0</v>
      </c>
      <c r="C1848" s="17">
        <v>9990800.0</v>
      </c>
      <c r="D1848" s="17">
        <v>1.0</v>
      </c>
    </row>
    <row r="1849">
      <c r="A1849" s="17">
        <v>9990869.0</v>
      </c>
      <c r="B1849" s="17">
        <v>100.0</v>
      </c>
      <c r="C1849" s="17">
        <v>9990800.0</v>
      </c>
      <c r="D1849" s="17">
        <v>1.0</v>
      </c>
    </row>
    <row r="1850">
      <c r="A1850" s="17">
        <v>9990870.0</v>
      </c>
      <c r="B1850" s="17">
        <v>100.0</v>
      </c>
      <c r="C1850" s="17">
        <v>9990800.0</v>
      </c>
      <c r="D1850" s="17">
        <v>1.0</v>
      </c>
    </row>
    <row r="1851">
      <c r="A1851" s="17">
        <v>9990871.0</v>
      </c>
      <c r="B1851" s="17">
        <v>100.0</v>
      </c>
      <c r="C1851" s="17">
        <v>9990800.0</v>
      </c>
      <c r="D1851" s="17">
        <v>1.0</v>
      </c>
    </row>
    <row r="1852">
      <c r="A1852" s="17">
        <v>9990872.0</v>
      </c>
      <c r="B1852" s="17">
        <v>100.0</v>
      </c>
      <c r="C1852" s="17">
        <v>9990800.0</v>
      </c>
      <c r="D1852" s="17">
        <v>1.0</v>
      </c>
    </row>
    <row r="1853">
      <c r="A1853" s="17">
        <v>9990873.0</v>
      </c>
      <c r="B1853" s="17">
        <v>100.0</v>
      </c>
      <c r="C1853" s="17">
        <v>9990800.0</v>
      </c>
      <c r="D1853" s="17">
        <v>1.0</v>
      </c>
    </row>
    <row r="1854">
      <c r="A1854" s="17">
        <v>9990874.0</v>
      </c>
      <c r="B1854" s="17">
        <v>100.0</v>
      </c>
      <c r="C1854" s="17">
        <v>9990800.0</v>
      </c>
      <c r="D1854" s="17">
        <v>1.0</v>
      </c>
    </row>
    <row r="1855">
      <c r="A1855" s="17">
        <v>9990875.0</v>
      </c>
      <c r="B1855" s="17">
        <v>100.0</v>
      </c>
      <c r="C1855" s="17">
        <v>9990800.0</v>
      </c>
      <c r="D1855" s="17">
        <v>1.0</v>
      </c>
    </row>
    <row r="1856">
      <c r="A1856" s="17">
        <v>9990876.0</v>
      </c>
      <c r="B1856" s="17">
        <v>100.0</v>
      </c>
      <c r="C1856" s="17">
        <v>9990800.0</v>
      </c>
      <c r="D1856" s="17">
        <v>1.0</v>
      </c>
    </row>
    <row r="1857">
      <c r="A1857" s="17">
        <v>9990877.0</v>
      </c>
      <c r="B1857" s="17">
        <v>100.0</v>
      </c>
      <c r="C1857" s="17">
        <v>9990800.0</v>
      </c>
      <c r="D1857" s="17">
        <v>1.0</v>
      </c>
    </row>
    <row r="1858">
      <c r="A1858" s="17">
        <v>9990878.0</v>
      </c>
      <c r="B1858" s="17">
        <v>100.0</v>
      </c>
      <c r="C1858" s="17">
        <v>9990800.0</v>
      </c>
      <c r="D1858" s="17">
        <v>1.0</v>
      </c>
    </row>
    <row r="1859">
      <c r="A1859" s="17">
        <v>9990879.0</v>
      </c>
      <c r="B1859" s="17">
        <v>100.0</v>
      </c>
      <c r="C1859" s="17">
        <v>9990800.0</v>
      </c>
      <c r="D1859" s="17">
        <v>1.0</v>
      </c>
    </row>
    <row r="1860">
      <c r="A1860" s="17">
        <v>9990880.0</v>
      </c>
      <c r="B1860" s="17">
        <v>100.0</v>
      </c>
      <c r="C1860" s="17">
        <v>9990800.0</v>
      </c>
      <c r="D1860" s="17">
        <v>1.0</v>
      </c>
    </row>
    <row r="1861">
      <c r="A1861" s="17">
        <v>9990881.0</v>
      </c>
      <c r="B1861" s="17">
        <v>100.0</v>
      </c>
      <c r="C1861" s="17">
        <v>9990800.0</v>
      </c>
      <c r="D1861" s="17">
        <v>1.0</v>
      </c>
    </row>
    <row r="1862">
      <c r="A1862" s="17">
        <v>9990882.0</v>
      </c>
      <c r="B1862" s="17">
        <v>100.0</v>
      </c>
      <c r="C1862" s="17">
        <v>9990800.0</v>
      </c>
      <c r="D1862" s="17">
        <v>1.0</v>
      </c>
    </row>
    <row r="1863">
      <c r="A1863" s="17">
        <v>9990883.0</v>
      </c>
      <c r="B1863" s="17">
        <v>100.0</v>
      </c>
      <c r="C1863" s="17">
        <v>9990800.0</v>
      </c>
      <c r="D1863" s="17">
        <v>1.0</v>
      </c>
    </row>
    <row r="1864">
      <c r="A1864" s="17">
        <v>9990884.0</v>
      </c>
      <c r="B1864" s="17">
        <v>100.0</v>
      </c>
      <c r="C1864" s="17">
        <v>9990800.0</v>
      </c>
      <c r="D1864" s="17">
        <v>1.0</v>
      </c>
    </row>
    <row r="1865">
      <c r="A1865" s="17">
        <v>9990885.0</v>
      </c>
      <c r="B1865" s="17">
        <v>100.0</v>
      </c>
      <c r="C1865" s="17">
        <v>9990800.0</v>
      </c>
      <c r="D1865" s="17">
        <v>1.0</v>
      </c>
    </row>
    <row r="1866">
      <c r="A1866" s="17">
        <v>9990886.0</v>
      </c>
      <c r="B1866" s="17">
        <v>100.0</v>
      </c>
      <c r="C1866" s="17">
        <v>9990800.0</v>
      </c>
      <c r="D1866" s="17">
        <v>1.0</v>
      </c>
    </row>
    <row r="1867">
      <c r="A1867" s="17">
        <v>9990887.0</v>
      </c>
      <c r="B1867" s="17">
        <v>100.0</v>
      </c>
      <c r="C1867" s="17">
        <v>9990800.0</v>
      </c>
      <c r="D1867" s="17">
        <v>1.0</v>
      </c>
    </row>
    <row r="1868">
      <c r="A1868" s="17">
        <v>9990888.0</v>
      </c>
      <c r="B1868" s="17">
        <v>100.0</v>
      </c>
      <c r="C1868" s="17">
        <v>9990800.0</v>
      </c>
      <c r="D1868" s="17">
        <v>1.0</v>
      </c>
    </row>
    <row r="1869">
      <c r="A1869" s="17">
        <v>9990889.0</v>
      </c>
      <c r="B1869" s="17">
        <v>100.0</v>
      </c>
      <c r="C1869" s="17">
        <v>9990800.0</v>
      </c>
      <c r="D1869" s="17">
        <v>1.0</v>
      </c>
    </row>
    <row r="1870">
      <c r="A1870" s="17">
        <v>9990890.0</v>
      </c>
      <c r="B1870" s="17">
        <v>100.0</v>
      </c>
      <c r="C1870" s="17">
        <v>9990800.0</v>
      </c>
      <c r="D1870" s="17">
        <v>1.0</v>
      </c>
    </row>
    <row r="1871">
      <c r="A1871" s="17">
        <v>9990891.0</v>
      </c>
      <c r="B1871" s="17">
        <v>100.0</v>
      </c>
      <c r="C1871" s="17">
        <v>9990800.0</v>
      </c>
      <c r="D1871" s="17">
        <v>1.0</v>
      </c>
    </row>
    <row r="1872">
      <c r="A1872" s="17">
        <v>9990892.0</v>
      </c>
      <c r="B1872" s="17">
        <v>100.0</v>
      </c>
      <c r="C1872" s="17">
        <v>9990800.0</v>
      </c>
      <c r="D1872" s="17">
        <v>1.0</v>
      </c>
    </row>
    <row r="1873">
      <c r="A1873" s="17">
        <v>9990893.0</v>
      </c>
      <c r="B1873" s="17">
        <v>100.0</v>
      </c>
      <c r="C1873" s="17">
        <v>9990800.0</v>
      </c>
      <c r="D1873" s="17">
        <v>1.0</v>
      </c>
    </row>
    <row r="1874">
      <c r="A1874" s="17">
        <v>9990894.0</v>
      </c>
      <c r="B1874" s="17">
        <v>100.0</v>
      </c>
      <c r="C1874" s="17">
        <v>9990800.0</v>
      </c>
      <c r="D1874" s="17">
        <v>1.0</v>
      </c>
    </row>
    <row r="1875">
      <c r="A1875" s="17">
        <v>9990895.0</v>
      </c>
      <c r="B1875" s="17">
        <v>100.0</v>
      </c>
      <c r="C1875" s="17">
        <v>9990800.0</v>
      </c>
      <c r="D1875" s="17">
        <v>1.0</v>
      </c>
    </row>
    <row r="1876">
      <c r="A1876" s="17">
        <v>9990896.0</v>
      </c>
      <c r="B1876" s="17">
        <v>100.0</v>
      </c>
      <c r="C1876" s="17">
        <v>9990800.0</v>
      </c>
      <c r="D1876" s="17">
        <v>1.0</v>
      </c>
    </row>
    <row r="1877">
      <c r="A1877" s="17">
        <v>9990897.0</v>
      </c>
      <c r="B1877" s="17">
        <v>100.0</v>
      </c>
      <c r="C1877" s="17">
        <v>9990800.0</v>
      </c>
      <c r="D1877" s="17">
        <v>1.0</v>
      </c>
    </row>
    <row r="1878">
      <c r="A1878" s="17">
        <v>9990898.0</v>
      </c>
      <c r="B1878" s="17">
        <v>100.0</v>
      </c>
      <c r="C1878" s="17">
        <v>9990800.0</v>
      </c>
      <c r="D1878" s="17">
        <v>1.0</v>
      </c>
    </row>
    <row r="1879">
      <c r="A1879" s="17">
        <v>9990899.0</v>
      </c>
      <c r="B1879" s="17">
        <v>100.0</v>
      </c>
      <c r="C1879" s="17">
        <v>9990800.0</v>
      </c>
      <c r="D1879" s="17">
        <v>1.0</v>
      </c>
    </row>
    <row r="1880">
      <c r="A1880" s="17">
        <v>9990900.0</v>
      </c>
      <c r="B1880" s="17">
        <v>100.0</v>
      </c>
      <c r="C1880" s="17">
        <v>9990900.0</v>
      </c>
      <c r="D1880" s="17">
        <v>1.0</v>
      </c>
    </row>
    <row r="1881">
      <c r="A1881" s="17">
        <v>9990901.0</v>
      </c>
      <c r="B1881" s="17">
        <v>100.0</v>
      </c>
      <c r="C1881" s="17">
        <v>9990900.0</v>
      </c>
      <c r="D1881" s="17">
        <v>1.0</v>
      </c>
    </row>
    <row r="1882">
      <c r="A1882" s="17">
        <v>9990902.0</v>
      </c>
      <c r="B1882" s="17">
        <v>100.0</v>
      </c>
      <c r="C1882" s="17">
        <v>9990900.0</v>
      </c>
      <c r="D1882" s="17">
        <v>1.0</v>
      </c>
    </row>
    <row r="1883">
      <c r="A1883" s="17">
        <v>9990903.0</v>
      </c>
      <c r="B1883" s="17">
        <v>100.0</v>
      </c>
      <c r="C1883" s="17">
        <v>9990900.0</v>
      </c>
      <c r="D1883" s="17">
        <v>1.0</v>
      </c>
    </row>
    <row r="1884">
      <c r="A1884" s="17">
        <v>9990904.0</v>
      </c>
      <c r="B1884" s="17">
        <v>100.0</v>
      </c>
      <c r="C1884" s="17">
        <v>9990900.0</v>
      </c>
      <c r="D1884" s="17">
        <v>1.0</v>
      </c>
    </row>
    <row r="1885">
      <c r="A1885" s="17">
        <v>9990905.0</v>
      </c>
      <c r="B1885" s="17">
        <v>100.0</v>
      </c>
      <c r="C1885" s="17">
        <v>9990900.0</v>
      </c>
      <c r="D1885" s="17">
        <v>1.0</v>
      </c>
    </row>
    <row r="1886">
      <c r="A1886" s="17">
        <v>9990906.0</v>
      </c>
      <c r="B1886" s="17">
        <v>100.0</v>
      </c>
      <c r="C1886" s="17">
        <v>9990900.0</v>
      </c>
      <c r="D1886" s="17">
        <v>1.0</v>
      </c>
    </row>
    <row r="1887">
      <c r="A1887" s="17">
        <v>9990907.0</v>
      </c>
      <c r="B1887" s="17">
        <v>100.0</v>
      </c>
      <c r="C1887" s="17">
        <v>9990900.0</v>
      </c>
      <c r="D1887" s="17">
        <v>1.0</v>
      </c>
    </row>
    <row r="1888">
      <c r="A1888" s="17">
        <v>9990908.0</v>
      </c>
      <c r="B1888" s="17">
        <v>100.0</v>
      </c>
      <c r="C1888" s="17">
        <v>9990900.0</v>
      </c>
      <c r="D1888" s="17">
        <v>1.0</v>
      </c>
    </row>
    <row r="1889">
      <c r="A1889" s="17">
        <v>9990909.0</v>
      </c>
      <c r="B1889" s="17">
        <v>100.0</v>
      </c>
      <c r="C1889" s="17">
        <v>9990900.0</v>
      </c>
      <c r="D1889" s="17">
        <v>1.0</v>
      </c>
    </row>
    <row r="1890">
      <c r="A1890" s="17">
        <v>9990910.0</v>
      </c>
      <c r="B1890" s="17">
        <v>100.0</v>
      </c>
      <c r="C1890" s="17">
        <v>9990900.0</v>
      </c>
      <c r="D1890" s="17">
        <v>1.0</v>
      </c>
    </row>
    <row r="1891">
      <c r="A1891" s="17">
        <v>9990911.0</v>
      </c>
      <c r="B1891" s="17">
        <v>100.0</v>
      </c>
      <c r="C1891" s="17">
        <v>9990900.0</v>
      </c>
      <c r="D1891" s="17">
        <v>1.0</v>
      </c>
    </row>
    <row r="1892">
      <c r="A1892" s="17">
        <v>9990912.0</v>
      </c>
      <c r="B1892" s="17">
        <v>100.0</v>
      </c>
      <c r="C1892" s="17">
        <v>9990900.0</v>
      </c>
      <c r="D1892" s="17">
        <v>1.0</v>
      </c>
    </row>
    <row r="1893">
      <c r="A1893" s="17">
        <v>9990913.0</v>
      </c>
      <c r="B1893" s="17">
        <v>100.0</v>
      </c>
      <c r="C1893" s="17">
        <v>9990900.0</v>
      </c>
      <c r="D1893" s="17">
        <v>1.0</v>
      </c>
    </row>
    <row r="1894">
      <c r="A1894" s="17">
        <v>9990914.0</v>
      </c>
      <c r="B1894" s="17">
        <v>100.0</v>
      </c>
      <c r="C1894" s="17">
        <v>9990900.0</v>
      </c>
      <c r="D1894" s="17">
        <v>1.0</v>
      </c>
    </row>
    <row r="1895">
      <c r="A1895" s="17">
        <v>9990915.0</v>
      </c>
      <c r="B1895" s="17">
        <v>100.0</v>
      </c>
      <c r="C1895" s="17">
        <v>9990900.0</v>
      </c>
      <c r="D1895" s="17">
        <v>1.0</v>
      </c>
    </row>
    <row r="1896">
      <c r="A1896" s="17">
        <v>9990916.0</v>
      </c>
      <c r="B1896" s="17">
        <v>100.0</v>
      </c>
      <c r="C1896" s="17">
        <v>9990900.0</v>
      </c>
      <c r="D1896" s="17">
        <v>1.0</v>
      </c>
    </row>
    <row r="1897">
      <c r="A1897" s="17">
        <v>9990917.0</v>
      </c>
      <c r="B1897" s="17">
        <v>100.0</v>
      </c>
      <c r="C1897" s="17">
        <v>9990900.0</v>
      </c>
      <c r="D1897" s="17">
        <v>1.0</v>
      </c>
    </row>
    <row r="1898">
      <c r="A1898" s="17">
        <v>9990918.0</v>
      </c>
      <c r="B1898" s="17">
        <v>100.0</v>
      </c>
      <c r="C1898" s="17">
        <v>9990900.0</v>
      </c>
      <c r="D1898" s="17">
        <v>1.0</v>
      </c>
    </row>
    <row r="1899">
      <c r="A1899" s="17">
        <v>9990919.0</v>
      </c>
      <c r="B1899" s="17">
        <v>100.0</v>
      </c>
      <c r="C1899" s="17">
        <v>9990900.0</v>
      </c>
      <c r="D1899" s="17">
        <v>1.0</v>
      </c>
    </row>
    <row r="1900">
      <c r="A1900" s="17">
        <v>9990920.0</v>
      </c>
      <c r="B1900" s="17">
        <v>100.0</v>
      </c>
      <c r="C1900" s="17">
        <v>9990900.0</v>
      </c>
      <c r="D1900" s="17">
        <v>1.0</v>
      </c>
    </row>
    <row r="1901">
      <c r="A1901" s="17">
        <v>9990921.0</v>
      </c>
      <c r="B1901" s="17">
        <v>100.0</v>
      </c>
      <c r="C1901" s="17">
        <v>9990900.0</v>
      </c>
      <c r="D1901" s="17">
        <v>1.0</v>
      </c>
    </row>
    <row r="1902">
      <c r="A1902" s="17">
        <v>9990922.0</v>
      </c>
      <c r="B1902" s="17">
        <v>100.0</v>
      </c>
      <c r="C1902" s="17">
        <v>9990900.0</v>
      </c>
      <c r="D1902" s="17">
        <v>1.0</v>
      </c>
    </row>
    <row r="1903">
      <c r="A1903" s="17">
        <v>9990923.0</v>
      </c>
      <c r="B1903" s="17">
        <v>100.0</v>
      </c>
      <c r="C1903" s="17">
        <v>9990900.0</v>
      </c>
      <c r="D1903" s="17">
        <v>1.0</v>
      </c>
    </row>
    <row r="1904">
      <c r="A1904" s="17">
        <v>9990924.0</v>
      </c>
      <c r="B1904" s="17">
        <v>100.0</v>
      </c>
      <c r="C1904" s="17">
        <v>9990900.0</v>
      </c>
      <c r="D1904" s="17">
        <v>1.0</v>
      </c>
    </row>
    <row r="1905">
      <c r="A1905" s="17">
        <v>9990925.0</v>
      </c>
      <c r="B1905" s="17">
        <v>100.0</v>
      </c>
      <c r="C1905" s="17">
        <v>9990900.0</v>
      </c>
      <c r="D1905" s="17">
        <v>1.0</v>
      </c>
    </row>
    <row r="1906">
      <c r="A1906" s="17">
        <v>9990926.0</v>
      </c>
      <c r="B1906" s="17">
        <v>100.0</v>
      </c>
      <c r="C1906" s="17">
        <v>9990900.0</v>
      </c>
      <c r="D1906" s="17">
        <v>1.0</v>
      </c>
    </row>
    <row r="1907">
      <c r="A1907" s="17">
        <v>9990927.0</v>
      </c>
      <c r="B1907" s="17">
        <v>100.0</v>
      </c>
      <c r="C1907" s="17">
        <v>9990900.0</v>
      </c>
      <c r="D1907" s="17">
        <v>1.0</v>
      </c>
    </row>
    <row r="1908">
      <c r="A1908" s="17">
        <v>9990928.0</v>
      </c>
      <c r="B1908" s="17">
        <v>100.0</v>
      </c>
      <c r="C1908" s="17">
        <v>9990900.0</v>
      </c>
      <c r="D1908" s="17">
        <v>1.0</v>
      </c>
    </row>
    <row r="1909">
      <c r="A1909" s="17">
        <v>9990929.0</v>
      </c>
      <c r="B1909" s="17">
        <v>100.0</v>
      </c>
      <c r="C1909" s="17">
        <v>9990900.0</v>
      </c>
      <c r="D1909" s="17">
        <v>1.0</v>
      </c>
    </row>
    <row r="1910">
      <c r="A1910" s="17">
        <v>9990930.0</v>
      </c>
      <c r="B1910" s="17">
        <v>100.0</v>
      </c>
      <c r="C1910" s="17">
        <v>9990900.0</v>
      </c>
      <c r="D1910" s="17">
        <v>1.0</v>
      </c>
    </row>
    <row r="1911">
      <c r="A1911" s="17">
        <v>9990931.0</v>
      </c>
      <c r="B1911" s="17">
        <v>100.0</v>
      </c>
      <c r="C1911" s="17">
        <v>9990900.0</v>
      </c>
      <c r="D1911" s="17">
        <v>1.0</v>
      </c>
    </row>
    <row r="1912">
      <c r="A1912" s="17">
        <v>9990932.0</v>
      </c>
      <c r="B1912" s="17">
        <v>100.0</v>
      </c>
      <c r="C1912" s="17">
        <v>9990900.0</v>
      </c>
      <c r="D1912" s="17">
        <v>1.0</v>
      </c>
    </row>
    <row r="1913">
      <c r="A1913" s="17">
        <v>9990933.0</v>
      </c>
      <c r="B1913" s="17">
        <v>100.0</v>
      </c>
      <c r="C1913" s="17">
        <v>9990900.0</v>
      </c>
      <c r="D1913" s="17">
        <v>1.0</v>
      </c>
    </row>
    <row r="1914">
      <c r="A1914" s="17">
        <v>9990934.0</v>
      </c>
      <c r="B1914" s="17">
        <v>100.0</v>
      </c>
      <c r="C1914" s="17">
        <v>9990900.0</v>
      </c>
      <c r="D1914" s="17">
        <v>1.0</v>
      </c>
    </row>
    <row r="1915">
      <c r="A1915" s="17">
        <v>9990935.0</v>
      </c>
      <c r="B1915" s="17">
        <v>100.0</v>
      </c>
      <c r="C1915" s="17">
        <v>9990900.0</v>
      </c>
      <c r="D1915" s="17">
        <v>1.0</v>
      </c>
    </row>
    <row r="1916">
      <c r="A1916" s="17">
        <v>9990936.0</v>
      </c>
      <c r="B1916" s="17">
        <v>100.0</v>
      </c>
      <c r="C1916" s="17">
        <v>9990900.0</v>
      </c>
      <c r="D1916" s="17">
        <v>1.0</v>
      </c>
    </row>
    <row r="1917">
      <c r="A1917" s="17">
        <v>9990937.0</v>
      </c>
      <c r="B1917" s="17">
        <v>100.0</v>
      </c>
      <c r="C1917" s="17">
        <v>9990900.0</v>
      </c>
      <c r="D1917" s="17">
        <v>1.0</v>
      </c>
    </row>
    <row r="1918">
      <c r="A1918" s="17">
        <v>9990938.0</v>
      </c>
      <c r="B1918" s="17">
        <v>100.0</v>
      </c>
      <c r="C1918" s="17">
        <v>9990900.0</v>
      </c>
      <c r="D1918" s="17">
        <v>1.0</v>
      </c>
    </row>
    <row r="1919">
      <c r="A1919" s="17">
        <v>9990939.0</v>
      </c>
      <c r="B1919" s="17">
        <v>100.0</v>
      </c>
      <c r="C1919" s="17">
        <v>9990900.0</v>
      </c>
      <c r="D1919" s="17">
        <v>1.0</v>
      </c>
    </row>
    <row r="1920">
      <c r="A1920" s="17">
        <v>9990940.0</v>
      </c>
      <c r="B1920" s="17">
        <v>100.0</v>
      </c>
      <c r="C1920" s="17">
        <v>9990900.0</v>
      </c>
      <c r="D1920" s="17">
        <v>1.0</v>
      </c>
    </row>
    <row r="1921">
      <c r="A1921" s="17">
        <v>9990941.0</v>
      </c>
      <c r="B1921" s="17">
        <v>100.0</v>
      </c>
      <c r="C1921" s="17">
        <v>9990900.0</v>
      </c>
      <c r="D1921" s="17">
        <v>1.0</v>
      </c>
    </row>
    <row r="1922">
      <c r="A1922" s="17">
        <v>9990942.0</v>
      </c>
      <c r="B1922" s="17">
        <v>100.0</v>
      </c>
      <c r="C1922" s="17">
        <v>9990900.0</v>
      </c>
      <c r="D1922" s="17">
        <v>1.0</v>
      </c>
    </row>
    <row r="1923">
      <c r="A1923" s="17">
        <v>9990943.0</v>
      </c>
      <c r="B1923" s="17">
        <v>100.0</v>
      </c>
      <c r="C1923" s="17">
        <v>9990900.0</v>
      </c>
      <c r="D1923" s="17">
        <v>1.0</v>
      </c>
    </row>
    <row r="1924">
      <c r="A1924" s="17">
        <v>9990944.0</v>
      </c>
      <c r="B1924" s="17">
        <v>100.0</v>
      </c>
      <c r="C1924" s="17">
        <v>9990900.0</v>
      </c>
      <c r="D1924" s="17">
        <v>1.0</v>
      </c>
    </row>
    <row r="1925">
      <c r="A1925" s="17">
        <v>9990945.0</v>
      </c>
      <c r="B1925" s="17">
        <v>100.0</v>
      </c>
      <c r="C1925" s="17">
        <v>9990900.0</v>
      </c>
      <c r="D1925" s="17">
        <v>1.0</v>
      </c>
    </row>
    <row r="1926">
      <c r="A1926" s="17">
        <v>9990946.0</v>
      </c>
      <c r="B1926" s="17">
        <v>100.0</v>
      </c>
      <c r="C1926" s="17">
        <v>9990900.0</v>
      </c>
      <c r="D1926" s="17">
        <v>1.0</v>
      </c>
    </row>
    <row r="1927">
      <c r="A1927" s="17">
        <v>9990947.0</v>
      </c>
      <c r="B1927" s="17">
        <v>100.0</v>
      </c>
      <c r="C1927" s="17">
        <v>9990900.0</v>
      </c>
      <c r="D1927" s="17">
        <v>1.0</v>
      </c>
    </row>
    <row r="1928">
      <c r="A1928" s="17">
        <v>9990948.0</v>
      </c>
      <c r="B1928" s="17">
        <v>100.0</v>
      </c>
      <c r="C1928" s="17">
        <v>9990900.0</v>
      </c>
      <c r="D1928" s="17">
        <v>1.0</v>
      </c>
    </row>
    <row r="1929">
      <c r="A1929" s="17">
        <v>9990949.0</v>
      </c>
      <c r="B1929" s="17">
        <v>100.0</v>
      </c>
      <c r="C1929" s="17">
        <v>9990900.0</v>
      </c>
      <c r="D1929" s="17">
        <v>1.0</v>
      </c>
    </row>
    <row r="1930">
      <c r="A1930" s="17">
        <v>9990950.0</v>
      </c>
      <c r="B1930" s="17">
        <v>100.0</v>
      </c>
      <c r="C1930" s="17">
        <v>9990900.0</v>
      </c>
      <c r="D1930" s="17">
        <v>1.0</v>
      </c>
    </row>
    <row r="1931">
      <c r="A1931" s="17">
        <v>9990951.0</v>
      </c>
      <c r="B1931" s="17">
        <v>100.0</v>
      </c>
      <c r="C1931" s="17">
        <v>9990900.0</v>
      </c>
      <c r="D1931" s="17">
        <v>1.0</v>
      </c>
    </row>
    <row r="1932">
      <c r="A1932" s="17">
        <v>9990952.0</v>
      </c>
      <c r="B1932" s="17">
        <v>100.0</v>
      </c>
      <c r="C1932" s="17">
        <v>9990900.0</v>
      </c>
      <c r="D1932" s="17">
        <v>1.0</v>
      </c>
    </row>
    <row r="1933">
      <c r="A1933" s="17">
        <v>9990953.0</v>
      </c>
      <c r="B1933" s="17">
        <v>100.0</v>
      </c>
      <c r="C1933" s="17">
        <v>9990900.0</v>
      </c>
      <c r="D1933" s="17">
        <v>1.0</v>
      </c>
    </row>
    <row r="1934">
      <c r="A1934" s="17">
        <v>9990954.0</v>
      </c>
      <c r="B1934" s="17">
        <v>100.0</v>
      </c>
      <c r="C1934" s="17">
        <v>9990900.0</v>
      </c>
      <c r="D1934" s="17">
        <v>1.0</v>
      </c>
    </row>
    <row r="1935">
      <c r="A1935" s="17">
        <v>9990955.0</v>
      </c>
      <c r="B1935" s="17">
        <v>100.0</v>
      </c>
      <c r="C1935" s="17">
        <v>9990900.0</v>
      </c>
      <c r="D1935" s="17">
        <v>1.0</v>
      </c>
    </row>
    <row r="1936">
      <c r="A1936" s="17">
        <v>9990956.0</v>
      </c>
      <c r="B1936" s="17">
        <v>100.0</v>
      </c>
      <c r="C1936" s="17">
        <v>9990900.0</v>
      </c>
      <c r="D1936" s="17">
        <v>1.0</v>
      </c>
    </row>
    <row r="1937">
      <c r="A1937" s="17">
        <v>9990957.0</v>
      </c>
      <c r="B1937" s="17">
        <v>100.0</v>
      </c>
      <c r="C1937" s="17">
        <v>9990900.0</v>
      </c>
      <c r="D1937" s="17">
        <v>1.0</v>
      </c>
    </row>
    <row r="1938">
      <c r="A1938" s="17">
        <v>9990958.0</v>
      </c>
      <c r="B1938" s="17">
        <v>100.0</v>
      </c>
      <c r="C1938" s="17">
        <v>9990900.0</v>
      </c>
      <c r="D1938" s="17">
        <v>1.0</v>
      </c>
    </row>
    <row r="1939">
      <c r="A1939" s="17">
        <v>9990959.0</v>
      </c>
      <c r="B1939" s="17">
        <v>100.0</v>
      </c>
      <c r="C1939" s="17">
        <v>9990900.0</v>
      </c>
      <c r="D1939" s="17">
        <v>1.0</v>
      </c>
    </row>
    <row r="1940">
      <c r="A1940" s="17">
        <v>9990960.0</v>
      </c>
      <c r="B1940" s="17">
        <v>100.0</v>
      </c>
      <c r="C1940" s="17">
        <v>9990900.0</v>
      </c>
      <c r="D1940" s="17">
        <v>1.0</v>
      </c>
    </row>
    <row r="1941">
      <c r="A1941" s="17">
        <v>9990961.0</v>
      </c>
      <c r="B1941" s="17">
        <v>100.0</v>
      </c>
      <c r="C1941" s="17">
        <v>9990900.0</v>
      </c>
      <c r="D1941" s="17">
        <v>1.0</v>
      </c>
    </row>
    <row r="1942">
      <c r="A1942" s="17">
        <v>9990962.0</v>
      </c>
      <c r="B1942" s="17">
        <v>100.0</v>
      </c>
      <c r="C1942" s="17">
        <v>9990900.0</v>
      </c>
      <c r="D1942" s="17">
        <v>1.0</v>
      </c>
    </row>
    <row r="1943">
      <c r="A1943" s="17">
        <v>9990963.0</v>
      </c>
      <c r="B1943" s="17">
        <v>100.0</v>
      </c>
      <c r="C1943" s="17">
        <v>9990900.0</v>
      </c>
      <c r="D1943" s="17">
        <v>1.0</v>
      </c>
    </row>
    <row r="1944">
      <c r="A1944" s="17">
        <v>9990964.0</v>
      </c>
      <c r="B1944" s="17">
        <v>100.0</v>
      </c>
      <c r="C1944" s="17">
        <v>9990900.0</v>
      </c>
      <c r="D1944" s="17">
        <v>1.0</v>
      </c>
    </row>
    <row r="1945">
      <c r="A1945" s="17">
        <v>9990965.0</v>
      </c>
      <c r="B1945" s="17">
        <v>100.0</v>
      </c>
      <c r="C1945" s="17">
        <v>9990900.0</v>
      </c>
      <c r="D1945" s="17">
        <v>1.0</v>
      </c>
    </row>
    <row r="1946">
      <c r="A1946" s="17">
        <v>9990966.0</v>
      </c>
      <c r="B1946" s="17">
        <v>100.0</v>
      </c>
      <c r="C1946" s="17">
        <v>9990900.0</v>
      </c>
      <c r="D1946" s="17">
        <v>1.0</v>
      </c>
    </row>
    <row r="1947">
      <c r="A1947" s="17">
        <v>9990967.0</v>
      </c>
      <c r="B1947" s="17">
        <v>100.0</v>
      </c>
      <c r="C1947" s="17">
        <v>9990900.0</v>
      </c>
      <c r="D1947" s="17">
        <v>1.0</v>
      </c>
    </row>
    <row r="1948">
      <c r="A1948" s="17">
        <v>9990968.0</v>
      </c>
      <c r="B1948" s="17">
        <v>100.0</v>
      </c>
      <c r="C1948" s="17">
        <v>9990900.0</v>
      </c>
      <c r="D1948" s="17">
        <v>1.0</v>
      </c>
    </row>
    <row r="1949">
      <c r="A1949" s="17">
        <v>9990969.0</v>
      </c>
      <c r="B1949" s="17">
        <v>100.0</v>
      </c>
      <c r="C1949" s="17">
        <v>9990900.0</v>
      </c>
      <c r="D1949" s="17">
        <v>1.0</v>
      </c>
    </row>
    <row r="1950">
      <c r="A1950" s="17">
        <v>9990970.0</v>
      </c>
      <c r="B1950" s="17">
        <v>100.0</v>
      </c>
      <c r="C1950" s="17">
        <v>9990900.0</v>
      </c>
      <c r="D1950" s="17">
        <v>1.0</v>
      </c>
    </row>
    <row r="1951">
      <c r="A1951" s="17">
        <v>9990971.0</v>
      </c>
      <c r="B1951" s="17">
        <v>100.0</v>
      </c>
      <c r="C1951" s="17">
        <v>9990900.0</v>
      </c>
      <c r="D1951" s="17">
        <v>1.0</v>
      </c>
    </row>
    <row r="1952">
      <c r="A1952" s="17">
        <v>9990972.0</v>
      </c>
      <c r="B1952" s="17">
        <v>100.0</v>
      </c>
      <c r="C1952" s="17">
        <v>9990900.0</v>
      </c>
      <c r="D1952" s="17">
        <v>1.0</v>
      </c>
    </row>
    <row r="1953">
      <c r="A1953" s="17">
        <v>9990973.0</v>
      </c>
      <c r="B1953" s="17">
        <v>100.0</v>
      </c>
      <c r="C1953" s="17">
        <v>9990900.0</v>
      </c>
      <c r="D1953" s="17">
        <v>1.0</v>
      </c>
    </row>
    <row r="1954">
      <c r="A1954" s="17">
        <v>9990974.0</v>
      </c>
      <c r="B1954" s="17">
        <v>100.0</v>
      </c>
      <c r="C1954" s="17">
        <v>9990900.0</v>
      </c>
      <c r="D1954" s="17">
        <v>1.0</v>
      </c>
    </row>
    <row r="1955">
      <c r="A1955" s="17">
        <v>9990975.0</v>
      </c>
      <c r="B1955" s="17">
        <v>100.0</v>
      </c>
      <c r="C1955" s="17">
        <v>9990900.0</v>
      </c>
      <c r="D1955" s="17">
        <v>1.0</v>
      </c>
    </row>
    <row r="1956">
      <c r="A1956" s="17">
        <v>9990976.0</v>
      </c>
      <c r="B1956" s="17">
        <v>100.0</v>
      </c>
      <c r="C1956" s="17">
        <v>9990900.0</v>
      </c>
      <c r="D1956" s="17">
        <v>1.0</v>
      </c>
    </row>
    <row r="1957">
      <c r="A1957" s="17">
        <v>9990977.0</v>
      </c>
      <c r="B1957" s="17">
        <v>100.0</v>
      </c>
      <c r="C1957" s="17">
        <v>9990900.0</v>
      </c>
      <c r="D1957" s="17">
        <v>1.0</v>
      </c>
    </row>
    <row r="1958">
      <c r="A1958" s="17">
        <v>9990978.0</v>
      </c>
      <c r="B1958" s="17">
        <v>100.0</v>
      </c>
      <c r="C1958" s="17">
        <v>9990900.0</v>
      </c>
      <c r="D1958" s="17">
        <v>1.0</v>
      </c>
    </row>
    <row r="1959">
      <c r="A1959" s="17">
        <v>9990979.0</v>
      </c>
      <c r="B1959" s="17">
        <v>100.0</v>
      </c>
      <c r="C1959" s="17">
        <v>9990900.0</v>
      </c>
      <c r="D1959" s="17">
        <v>1.0</v>
      </c>
    </row>
    <row r="1960">
      <c r="A1960" s="17">
        <v>9990980.0</v>
      </c>
      <c r="B1960" s="17">
        <v>100.0</v>
      </c>
      <c r="C1960" s="17">
        <v>9990900.0</v>
      </c>
      <c r="D1960" s="17">
        <v>1.0</v>
      </c>
    </row>
    <row r="1961">
      <c r="A1961" s="17">
        <v>9990981.0</v>
      </c>
      <c r="B1961" s="17">
        <v>100.0</v>
      </c>
      <c r="C1961" s="17">
        <v>9990900.0</v>
      </c>
      <c r="D1961" s="17">
        <v>1.0</v>
      </c>
    </row>
    <row r="1962">
      <c r="A1962" s="17">
        <v>9990982.0</v>
      </c>
      <c r="B1962" s="17">
        <v>100.0</v>
      </c>
      <c r="C1962" s="17">
        <v>9990900.0</v>
      </c>
      <c r="D1962" s="17">
        <v>1.0</v>
      </c>
    </row>
    <row r="1963">
      <c r="A1963" s="17">
        <v>9990983.0</v>
      </c>
      <c r="B1963" s="17">
        <v>100.0</v>
      </c>
      <c r="C1963" s="17">
        <v>9990900.0</v>
      </c>
      <c r="D1963" s="17">
        <v>1.0</v>
      </c>
    </row>
    <row r="1964">
      <c r="A1964" s="17">
        <v>9990984.0</v>
      </c>
      <c r="B1964" s="17">
        <v>100.0</v>
      </c>
      <c r="C1964" s="17">
        <v>9990900.0</v>
      </c>
      <c r="D1964" s="17">
        <v>1.0</v>
      </c>
    </row>
    <row r="1965">
      <c r="A1965" s="17">
        <v>9990985.0</v>
      </c>
      <c r="B1965" s="17">
        <v>100.0</v>
      </c>
      <c r="C1965" s="17">
        <v>9990900.0</v>
      </c>
      <c r="D1965" s="17">
        <v>1.0</v>
      </c>
    </row>
    <row r="1966">
      <c r="A1966" s="17">
        <v>9990986.0</v>
      </c>
      <c r="B1966" s="17">
        <v>100.0</v>
      </c>
      <c r="C1966" s="17">
        <v>9990900.0</v>
      </c>
      <c r="D1966" s="17">
        <v>1.0</v>
      </c>
    </row>
    <row r="1967">
      <c r="A1967" s="17">
        <v>9990987.0</v>
      </c>
      <c r="B1967" s="17">
        <v>100.0</v>
      </c>
      <c r="C1967" s="17">
        <v>9990900.0</v>
      </c>
      <c r="D1967" s="17">
        <v>1.0</v>
      </c>
    </row>
    <row r="1968">
      <c r="A1968" s="17">
        <v>9990988.0</v>
      </c>
      <c r="B1968" s="17">
        <v>100.0</v>
      </c>
      <c r="C1968" s="17">
        <v>9990900.0</v>
      </c>
      <c r="D1968" s="17">
        <v>1.0</v>
      </c>
    </row>
    <row r="1969">
      <c r="A1969" s="17">
        <v>9990989.0</v>
      </c>
      <c r="B1969" s="17">
        <v>100.0</v>
      </c>
      <c r="C1969" s="17">
        <v>9990900.0</v>
      </c>
      <c r="D1969" s="17">
        <v>1.0</v>
      </c>
    </row>
    <row r="1970">
      <c r="A1970" s="17">
        <v>9990990.0</v>
      </c>
      <c r="B1970" s="17">
        <v>100.0</v>
      </c>
      <c r="C1970" s="17">
        <v>9990900.0</v>
      </c>
      <c r="D1970" s="17">
        <v>1.0</v>
      </c>
    </row>
    <row r="1971">
      <c r="A1971" s="17">
        <v>9990991.0</v>
      </c>
      <c r="B1971" s="17">
        <v>100.0</v>
      </c>
      <c r="C1971" s="17">
        <v>9990900.0</v>
      </c>
      <c r="D1971" s="17">
        <v>1.0</v>
      </c>
    </row>
    <row r="1972">
      <c r="A1972" s="17">
        <v>9990992.0</v>
      </c>
      <c r="B1972" s="17">
        <v>100.0</v>
      </c>
      <c r="C1972" s="17">
        <v>9990900.0</v>
      </c>
      <c r="D1972" s="17">
        <v>1.0</v>
      </c>
    </row>
    <row r="1973">
      <c r="A1973" s="17">
        <v>9990993.0</v>
      </c>
      <c r="B1973" s="17">
        <v>100.0</v>
      </c>
      <c r="C1973" s="17">
        <v>9990900.0</v>
      </c>
      <c r="D1973" s="17">
        <v>1.0</v>
      </c>
    </row>
    <row r="1974">
      <c r="A1974" s="17">
        <v>9990994.0</v>
      </c>
      <c r="B1974" s="17">
        <v>100.0</v>
      </c>
      <c r="C1974" s="17">
        <v>9990900.0</v>
      </c>
      <c r="D1974" s="17">
        <v>1.0</v>
      </c>
    </row>
    <row r="1975">
      <c r="A1975" s="17">
        <v>9990995.0</v>
      </c>
      <c r="B1975" s="17">
        <v>100.0</v>
      </c>
      <c r="C1975" s="17">
        <v>9990900.0</v>
      </c>
      <c r="D1975" s="17">
        <v>1.0</v>
      </c>
    </row>
    <row r="1976">
      <c r="A1976" s="17">
        <v>9990996.0</v>
      </c>
      <c r="B1976" s="17">
        <v>100.0</v>
      </c>
      <c r="C1976" s="17">
        <v>9990900.0</v>
      </c>
      <c r="D1976" s="17">
        <v>1.0</v>
      </c>
    </row>
    <row r="1977">
      <c r="A1977" s="17">
        <v>9990997.0</v>
      </c>
      <c r="B1977" s="17">
        <v>100.0</v>
      </c>
      <c r="C1977" s="17">
        <v>9990900.0</v>
      </c>
      <c r="D1977" s="17">
        <v>1.0</v>
      </c>
    </row>
    <row r="1978">
      <c r="A1978" s="17">
        <v>9990998.0</v>
      </c>
      <c r="B1978" s="17">
        <v>100.0</v>
      </c>
      <c r="C1978" s="17">
        <v>9990900.0</v>
      </c>
      <c r="D1978" s="17">
        <v>1.0</v>
      </c>
    </row>
    <row r="1979">
      <c r="A1979" s="17">
        <v>9990999.0</v>
      </c>
      <c r="B1979" s="17">
        <v>100.0</v>
      </c>
      <c r="C1979" s="17">
        <v>9990900.0</v>
      </c>
      <c r="D1979" s="17">
        <v>1.0</v>
      </c>
    </row>
    <row r="1980">
      <c r="A1980" s="17">
        <v>9991000.0</v>
      </c>
      <c r="B1980" s="17">
        <v>100.0</v>
      </c>
      <c r="C1980" s="17">
        <v>9991000.0</v>
      </c>
      <c r="D1980" s="17">
        <v>1.0</v>
      </c>
    </row>
    <row r="1981">
      <c r="A1981" s="17">
        <v>9991001.0</v>
      </c>
      <c r="B1981" s="17">
        <v>100.0</v>
      </c>
      <c r="C1981" s="17">
        <v>9991000.0</v>
      </c>
      <c r="D1981" s="17">
        <v>1.0</v>
      </c>
    </row>
    <row r="1982">
      <c r="A1982" s="17">
        <v>9991002.0</v>
      </c>
      <c r="B1982" s="17">
        <v>100.0</v>
      </c>
      <c r="C1982" s="17">
        <v>9991000.0</v>
      </c>
      <c r="D1982" s="17">
        <v>1.0</v>
      </c>
    </row>
    <row r="1983">
      <c r="A1983" s="17">
        <v>9991003.0</v>
      </c>
      <c r="B1983" s="17">
        <v>100.0</v>
      </c>
      <c r="C1983" s="17">
        <v>9991000.0</v>
      </c>
      <c r="D1983" s="17">
        <v>1.0</v>
      </c>
    </row>
    <row r="1984">
      <c r="A1984" s="17">
        <v>9991004.0</v>
      </c>
      <c r="B1984" s="17">
        <v>100.0</v>
      </c>
      <c r="C1984" s="17">
        <v>9991000.0</v>
      </c>
      <c r="D1984" s="17">
        <v>1.0</v>
      </c>
    </row>
    <row r="1985">
      <c r="A1985" s="17">
        <v>9991005.0</v>
      </c>
      <c r="B1985" s="17">
        <v>100.0</v>
      </c>
      <c r="C1985" s="17">
        <v>9991000.0</v>
      </c>
      <c r="D1985" s="17">
        <v>1.0</v>
      </c>
    </row>
    <row r="1986">
      <c r="A1986" s="17">
        <v>9991006.0</v>
      </c>
      <c r="B1986" s="17">
        <v>100.0</v>
      </c>
      <c r="C1986" s="17">
        <v>9991000.0</v>
      </c>
      <c r="D1986" s="17">
        <v>1.0</v>
      </c>
    </row>
    <row r="1987">
      <c r="A1987" s="17">
        <v>9991007.0</v>
      </c>
      <c r="B1987" s="17">
        <v>100.0</v>
      </c>
      <c r="C1987" s="17">
        <v>9991000.0</v>
      </c>
      <c r="D1987" s="17">
        <v>1.0</v>
      </c>
    </row>
    <row r="1988">
      <c r="A1988" s="17">
        <v>9991008.0</v>
      </c>
      <c r="B1988" s="17">
        <v>100.0</v>
      </c>
      <c r="C1988" s="17">
        <v>9991000.0</v>
      </c>
      <c r="D1988" s="17">
        <v>1.0</v>
      </c>
    </row>
    <row r="1989">
      <c r="A1989" s="17">
        <v>9991009.0</v>
      </c>
      <c r="B1989" s="17">
        <v>100.0</v>
      </c>
      <c r="C1989" s="17">
        <v>9991000.0</v>
      </c>
      <c r="D1989" s="17">
        <v>1.0</v>
      </c>
    </row>
    <row r="1990">
      <c r="A1990" s="17">
        <v>9991010.0</v>
      </c>
      <c r="B1990" s="17">
        <v>100.0</v>
      </c>
      <c r="C1990" s="17">
        <v>9991000.0</v>
      </c>
      <c r="D1990" s="17">
        <v>1.0</v>
      </c>
    </row>
    <row r="1991">
      <c r="A1991" s="17">
        <v>9991011.0</v>
      </c>
      <c r="B1991" s="17">
        <v>100.0</v>
      </c>
      <c r="C1991" s="17">
        <v>9991000.0</v>
      </c>
      <c r="D1991" s="17">
        <v>1.0</v>
      </c>
    </row>
    <row r="1992">
      <c r="A1992" s="17">
        <v>9991012.0</v>
      </c>
      <c r="B1992" s="17">
        <v>100.0</v>
      </c>
      <c r="C1992" s="17">
        <v>9991000.0</v>
      </c>
      <c r="D1992" s="17">
        <v>1.0</v>
      </c>
    </row>
    <row r="1993">
      <c r="A1993" s="17">
        <v>9991013.0</v>
      </c>
      <c r="B1993" s="17">
        <v>100.0</v>
      </c>
      <c r="C1993" s="17">
        <v>9991000.0</v>
      </c>
      <c r="D1993" s="17">
        <v>1.0</v>
      </c>
    </row>
    <row r="1994">
      <c r="A1994" s="17">
        <v>9991014.0</v>
      </c>
      <c r="B1994" s="17">
        <v>100.0</v>
      </c>
      <c r="C1994" s="17">
        <v>9991000.0</v>
      </c>
      <c r="D1994" s="17">
        <v>1.0</v>
      </c>
    </row>
    <row r="1995">
      <c r="A1995" s="17">
        <v>9991015.0</v>
      </c>
      <c r="B1995" s="17">
        <v>100.0</v>
      </c>
      <c r="C1995" s="17">
        <v>9991000.0</v>
      </c>
      <c r="D1995" s="17">
        <v>1.0</v>
      </c>
    </row>
    <row r="1996">
      <c r="A1996" s="17">
        <v>9991016.0</v>
      </c>
      <c r="B1996" s="17">
        <v>100.0</v>
      </c>
      <c r="C1996" s="17">
        <v>9991000.0</v>
      </c>
      <c r="D1996" s="17">
        <v>1.0</v>
      </c>
    </row>
    <row r="1997">
      <c r="A1997" s="17">
        <v>9991017.0</v>
      </c>
      <c r="B1997" s="17">
        <v>100.0</v>
      </c>
      <c r="C1997" s="17">
        <v>9991000.0</v>
      </c>
      <c r="D1997" s="17">
        <v>1.0</v>
      </c>
    </row>
    <row r="1998">
      <c r="A1998" s="17">
        <v>9991018.0</v>
      </c>
      <c r="B1998" s="17">
        <v>100.0</v>
      </c>
      <c r="C1998" s="17">
        <v>9991000.0</v>
      </c>
      <c r="D1998" s="17">
        <v>1.0</v>
      </c>
    </row>
    <row r="1999">
      <c r="A1999" s="17">
        <v>9991019.0</v>
      </c>
      <c r="B1999" s="17">
        <v>100.0</v>
      </c>
      <c r="C1999" s="17">
        <v>9991000.0</v>
      </c>
      <c r="D1999" s="17">
        <v>1.0</v>
      </c>
    </row>
    <row r="2000">
      <c r="A2000" s="17">
        <v>9991020.0</v>
      </c>
      <c r="B2000" s="17">
        <v>100.0</v>
      </c>
      <c r="C2000" s="17">
        <v>9991000.0</v>
      </c>
      <c r="D2000" s="17">
        <v>1.0</v>
      </c>
    </row>
    <row r="2001">
      <c r="A2001" s="17">
        <v>9991021.0</v>
      </c>
      <c r="B2001" s="17">
        <v>100.0</v>
      </c>
      <c r="C2001" s="17">
        <v>9991000.0</v>
      </c>
      <c r="D2001" s="17">
        <v>1.0</v>
      </c>
    </row>
    <row r="2002">
      <c r="A2002" s="17">
        <v>9991022.0</v>
      </c>
      <c r="B2002" s="17">
        <v>100.0</v>
      </c>
      <c r="C2002" s="17">
        <v>9991000.0</v>
      </c>
      <c r="D2002" s="17">
        <v>1.0</v>
      </c>
    </row>
    <row r="2003">
      <c r="A2003" s="17">
        <v>9991023.0</v>
      </c>
      <c r="B2003" s="17">
        <v>100.0</v>
      </c>
      <c r="C2003" s="17">
        <v>9991000.0</v>
      </c>
      <c r="D2003" s="17">
        <v>1.0</v>
      </c>
    </row>
    <row r="2004">
      <c r="A2004" s="17">
        <v>9991024.0</v>
      </c>
      <c r="B2004" s="17">
        <v>100.0</v>
      </c>
      <c r="C2004" s="17">
        <v>9991000.0</v>
      </c>
      <c r="D2004" s="17">
        <v>1.0</v>
      </c>
    </row>
    <row r="2005">
      <c r="A2005" s="17">
        <v>9991025.0</v>
      </c>
      <c r="B2005" s="17">
        <v>100.0</v>
      </c>
      <c r="C2005" s="17">
        <v>9991000.0</v>
      </c>
      <c r="D2005" s="17">
        <v>1.0</v>
      </c>
    </row>
    <row r="2006">
      <c r="A2006" s="17">
        <v>9991026.0</v>
      </c>
      <c r="B2006" s="17">
        <v>100.0</v>
      </c>
      <c r="C2006" s="17">
        <v>9991000.0</v>
      </c>
      <c r="D2006" s="17">
        <v>1.0</v>
      </c>
    </row>
    <row r="2007">
      <c r="A2007" s="17">
        <v>9991027.0</v>
      </c>
      <c r="B2007" s="17">
        <v>100.0</v>
      </c>
      <c r="C2007" s="17">
        <v>9991000.0</v>
      </c>
      <c r="D2007" s="17">
        <v>1.0</v>
      </c>
    </row>
    <row r="2008">
      <c r="A2008" s="17">
        <v>9991028.0</v>
      </c>
      <c r="B2008" s="17">
        <v>100.0</v>
      </c>
      <c r="C2008" s="17">
        <v>9991000.0</v>
      </c>
      <c r="D2008" s="17">
        <v>1.0</v>
      </c>
    </row>
    <row r="2009">
      <c r="A2009" s="17">
        <v>9991029.0</v>
      </c>
      <c r="B2009" s="17">
        <v>100.0</v>
      </c>
      <c r="C2009" s="17">
        <v>9991000.0</v>
      </c>
      <c r="D2009" s="17">
        <v>1.0</v>
      </c>
    </row>
    <row r="2010">
      <c r="A2010" s="17">
        <v>9991030.0</v>
      </c>
      <c r="B2010" s="17">
        <v>100.0</v>
      </c>
      <c r="C2010" s="17">
        <v>9991000.0</v>
      </c>
      <c r="D2010" s="17">
        <v>1.0</v>
      </c>
    </row>
    <row r="2011">
      <c r="A2011" s="17">
        <v>9991031.0</v>
      </c>
      <c r="B2011" s="17">
        <v>100.0</v>
      </c>
      <c r="C2011" s="17">
        <v>9991000.0</v>
      </c>
      <c r="D2011" s="17">
        <v>1.0</v>
      </c>
    </row>
    <row r="2012">
      <c r="A2012" s="17">
        <v>9991032.0</v>
      </c>
      <c r="B2012" s="17">
        <v>100.0</v>
      </c>
      <c r="C2012" s="17">
        <v>9991000.0</v>
      </c>
      <c r="D2012" s="17">
        <v>1.0</v>
      </c>
    </row>
    <row r="2013">
      <c r="A2013" s="17">
        <v>9991033.0</v>
      </c>
      <c r="B2013" s="17">
        <v>100.0</v>
      </c>
      <c r="C2013" s="17">
        <v>9991000.0</v>
      </c>
      <c r="D2013" s="17">
        <v>1.0</v>
      </c>
    </row>
    <row r="2014">
      <c r="A2014" s="17">
        <v>9991034.0</v>
      </c>
      <c r="B2014" s="17">
        <v>100.0</v>
      </c>
      <c r="C2014" s="17">
        <v>9991000.0</v>
      </c>
      <c r="D2014" s="17">
        <v>1.0</v>
      </c>
    </row>
    <row r="2015">
      <c r="A2015" s="17">
        <v>9991035.0</v>
      </c>
      <c r="B2015" s="17">
        <v>100.0</v>
      </c>
      <c r="C2015" s="17">
        <v>9991000.0</v>
      </c>
      <c r="D2015" s="17">
        <v>1.0</v>
      </c>
    </row>
    <row r="2016">
      <c r="A2016" s="17">
        <v>9991036.0</v>
      </c>
      <c r="B2016" s="17">
        <v>100.0</v>
      </c>
      <c r="C2016" s="17">
        <v>9991000.0</v>
      </c>
      <c r="D2016" s="17">
        <v>1.0</v>
      </c>
    </row>
    <row r="2017">
      <c r="A2017" s="17">
        <v>9991037.0</v>
      </c>
      <c r="B2017" s="17">
        <v>100.0</v>
      </c>
      <c r="C2017" s="17">
        <v>9991000.0</v>
      </c>
      <c r="D2017" s="17">
        <v>1.0</v>
      </c>
    </row>
    <row r="2018">
      <c r="A2018" s="17">
        <v>9991038.0</v>
      </c>
      <c r="B2018" s="17">
        <v>100.0</v>
      </c>
      <c r="C2018" s="17">
        <v>9991000.0</v>
      </c>
      <c r="D2018" s="17">
        <v>1.0</v>
      </c>
    </row>
    <row r="2019">
      <c r="A2019" s="17">
        <v>9991039.0</v>
      </c>
      <c r="B2019" s="17">
        <v>100.0</v>
      </c>
      <c r="C2019" s="17">
        <v>9991000.0</v>
      </c>
      <c r="D2019" s="17">
        <v>1.0</v>
      </c>
    </row>
    <row r="2020">
      <c r="A2020" s="17">
        <v>9991040.0</v>
      </c>
      <c r="B2020" s="17">
        <v>100.0</v>
      </c>
      <c r="C2020" s="17">
        <v>9991000.0</v>
      </c>
      <c r="D2020" s="17">
        <v>1.0</v>
      </c>
    </row>
    <row r="2021">
      <c r="A2021" s="17">
        <v>9991041.0</v>
      </c>
      <c r="B2021" s="17">
        <v>100.0</v>
      </c>
      <c r="C2021" s="17">
        <v>9991000.0</v>
      </c>
      <c r="D2021" s="17">
        <v>1.0</v>
      </c>
    </row>
    <row r="2022">
      <c r="A2022" s="17">
        <v>9991042.0</v>
      </c>
      <c r="B2022" s="17">
        <v>100.0</v>
      </c>
      <c r="C2022" s="17">
        <v>9991000.0</v>
      </c>
      <c r="D2022" s="17">
        <v>1.0</v>
      </c>
    </row>
    <row r="2023">
      <c r="A2023" s="17">
        <v>9991043.0</v>
      </c>
      <c r="B2023" s="17">
        <v>100.0</v>
      </c>
      <c r="C2023" s="17">
        <v>9991000.0</v>
      </c>
      <c r="D2023" s="17">
        <v>1.0</v>
      </c>
    </row>
    <row r="2024">
      <c r="A2024" s="17">
        <v>9991044.0</v>
      </c>
      <c r="B2024" s="17">
        <v>100.0</v>
      </c>
      <c r="C2024" s="17">
        <v>9991000.0</v>
      </c>
      <c r="D2024" s="17">
        <v>1.0</v>
      </c>
    </row>
    <row r="2025">
      <c r="A2025" s="17">
        <v>9991045.0</v>
      </c>
      <c r="B2025" s="17">
        <v>100.0</v>
      </c>
      <c r="C2025" s="17">
        <v>9991000.0</v>
      </c>
      <c r="D2025" s="17">
        <v>1.0</v>
      </c>
    </row>
    <row r="2026">
      <c r="A2026" s="17">
        <v>9991046.0</v>
      </c>
      <c r="B2026" s="17">
        <v>100.0</v>
      </c>
      <c r="C2026" s="17">
        <v>9991000.0</v>
      </c>
      <c r="D2026" s="17">
        <v>1.0</v>
      </c>
    </row>
    <row r="2027">
      <c r="A2027" s="17">
        <v>9991047.0</v>
      </c>
      <c r="B2027" s="17">
        <v>100.0</v>
      </c>
      <c r="C2027" s="17">
        <v>9991000.0</v>
      </c>
      <c r="D2027" s="17">
        <v>1.0</v>
      </c>
    </row>
    <row r="2028">
      <c r="A2028" s="17">
        <v>9991048.0</v>
      </c>
      <c r="B2028" s="17">
        <v>100.0</v>
      </c>
      <c r="C2028" s="17">
        <v>9991000.0</v>
      </c>
      <c r="D2028" s="17">
        <v>1.0</v>
      </c>
    </row>
    <row r="2029">
      <c r="A2029" s="17">
        <v>9991049.0</v>
      </c>
      <c r="B2029" s="17">
        <v>100.0</v>
      </c>
      <c r="C2029" s="17">
        <v>9991000.0</v>
      </c>
      <c r="D2029" s="17">
        <v>1.0</v>
      </c>
    </row>
    <row r="2030">
      <c r="A2030" s="17">
        <v>9991050.0</v>
      </c>
      <c r="B2030" s="17">
        <v>100.0</v>
      </c>
      <c r="C2030" s="17">
        <v>9991000.0</v>
      </c>
      <c r="D2030" s="17">
        <v>1.0</v>
      </c>
    </row>
    <row r="2031">
      <c r="A2031" s="17">
        <v>9991051.0</v>
      </c>
      <c r="B2031" s="17">
        <v>100.0</v>
      </c>
      <c r="C2031" s="17">
        <v>9991000.0</v>
      </c>
      <c r="D2031" s="17">
        <v>1.0</v>
      </c>
    </row>
    <row r="2032">
      <c r="A2032" s="17">
        <v>9991052.0</v>
      </c>
      <c r="B2032" s="17">
        <v>100.0</v>
      </c>
      <c r="C2032" s="17">
        <v>9991000.0</v>
      </c>
      <c r="D2032" s="17">
        <v>1.0</v>
      </c>
    </row>
    <row r="2033">
      <c r="A2033" s="17">
        <v>9991053.0</v>
      </c>
      <c r="B2033" s="17">
        <v>100.0</v>
      </c>
      <c r="C2033" s="17">
        <v>9991000.0</v>
      </c>
      <c r="D2033" s="17">
        <v>1.0</v>
      </c>
    </row>
    <row r="2034">
      <c r="A2034" s="17">
        <v>9991054.0</v>
      </c>
      <c r="B2034" s="17">
        <v>100.0</v>
      </c>
      <c r="C2034" s="17">
        <v>9991000.0</v>
      </c>
      <c r="D2034" s="17">
        <v>1.0</v>
      </c>
    </row>
    <row r="2035">
      <c r="A2035" s="17">
        <v>9991055.0</v>
      </c>
      <c r="B2035" s="17">
        <v>100.0</v>
      </c>
      <c r="C2035" s="17">
        <v>9991000.0</v>
      </c>
      <c r="D2035" s="17">
        <v>1.0</v>
      </c>
    </row>
    <row r="2036">
      <c r="A2036" s="17">
        <v>9991056.0</v>
      </c>
      <c r="B2036" s="17">
        <v>100.0</v>
      </c>
      <c r="C2036" s="17">
        <v>9991000.0</v>
      </c>
      <c r="D2036" s="17">
        <v>1.0</v>
      </c>
    </row>
    <row r="2037">
      <c r="A2037" s="17">
        <v>9991057.0</v>
      </c>
      <c r="B2037" s="17">
        <v>100.0</v>
      </c>
      <c r="C2037" s="17">
        <v>9991000.0</v>
      </c>
      <c r="D2037" s="17">
        <v>1.0</v>
      </c>
    </row>
    <row r="2038">
      <c r="A2038" s="17">
        <v>9991058.0</v>
      </c>
      <c r="B2038" s="17">
        <v>100.0</v>
      </c>
      <c r="C2038" s="17">
        <v>9991000.0</v>
      </c>
      <c r="D2038" s="17">
        <v>1.0</v>
      </c>
    </row>
    <row r="2039">
      <c r="A2039" s="17">
        <v>9991059.0</v>
      </c>
      <c r="B2039" s="17">
        <v>100.0</v>
      </c>
      <c r="C2039" s="17">
        <v>9991000.0</v>
      </c>
      <c r="D2039" s="17">
        <v>1.0</v>
      </c>
    </row>
    <row r="2040">
      <c r="A2040" s="17">
        <v>9991060.0</v>
      </c>
      <c r="B2040" s="17">
        <v>100.0</v>
      </c>
      <c r="C2040" s="17">
        <v>9991000.0</v>
      </c>
      <c r="D2040" s="17">
        <v>1.0</v>
      </c>
    </row>
    <row r="2041">
      <c r="A2041" s="17">
        <v>9991061.0</v>
      </c>
      <c r="B2041" s="17">
        <v>100.0</v>
      </c>
      <c r="C2041" s="17">
        <v>9991000.0</v>
      </c>
      <c r="D2041" s="17">
        <v>1.0</v>
      </c>
    </row>
    <row r="2042">
      <c r="A2042" s="17">
        <v>9991062.0</v>
      </c>
      <c r="B2042" s="17">
        <v>100.0</v>
      </c>
      <c r="C2042" s="17">
        <v>9991000.0</v>
      </c>
      <c r="D2042" s="17">
        <v>1.0</v>
      </c>
    </row>
    <row r="2043">
      <c r="A2043" s="17">
        <v>9991063.0</v>
      </c>
      <c r="B2043" s="17">
        <v>100.0</v>
      </c>
      <c r="C2043" s="17">
        <v>9991000.0</v>
      </c>
      <c r="D2043" s="17">
        <v>1.0</v>
      </c>
    </row>
    <row r="2044">
      <c r="A2044" s="17">
        <v>9991064.0</v>
      </c>
      <c r="B2044" s="17">
        <v>100.0</v>
      </c>
      <c r="C2044" s="17">
        <v>9991000.0</v>
      </c>
      <c r="D2044" s="17">
        <v>1.0</v>
      </c>
    </row>
    <row r="2045">
      <c r="A2045" s="17">
        <v>9991065.0</v>
      </c>
      <c r="B2045" s="17">
        <v>100.0</v>
      </c>
      <c r="C2045" s="17">
        <v>9991000.0</v>
      </c>
      <c r="D2045" s="17">
        <v>1.0</v>
      </c>
    </row>
    <row r="2046">
      <c r="A2046" s="17">
        <v>9991066.0</v>
      </c>
      <c r="B2046" s="17">
        <v>100.0</v>
      </c>
      <c r="C2046" s="17">
        <v>9991000.0</v>
      </c>
      <c r="D2046" s="17">
        <v>1.0</v>
      </c>
    </row>
    <row r="2047">
      <c r="A2047" s="17">
        <v>9991067.0</v>
      </c>
      <c r="B2047" s="17">
        <v>100.0</v>
      </c>
      <c r="C2047" s="17">
        <v>9991000.0</v>
      </c>
      <c r="D2047" s="17">
        <v>1.0</v>
      </c>
    </row>
    <row r="2048">
      <c r="A2048" s="17">
        <v>9991068.0</v>
      </c>
      <c r="B2048" s="17">
        <v>100.0</v>
      </c>
      <c r="C2048" s="17">
        <v>9991000.0</v>
      </c>
      <c r="D2048" s="17">
        <v>1.0</v>
      </c>
    </row>
    <row r="2049">
      <c r="A2049" s="17">
        <v>9991069.0</v>
      </c>
      <c r="B2049" s="17">
        <v>100.0</v>
      </c>
      <c r="C2049" s="17">
        <v>9991000.0</v>
      </c>
      <c r="D2049" s="17">
        <v>1.0</v>
      </c>
    </row>
    <row r="2050">
      <c r="A2050" s="17">
        <v>9991070.0</v>
      </c>
      <c r="B2050" s="17">
        <v>100.0</v>
      </c>
      <c r="C2050" s="17">
        <v>9991000.0</v>
      </c>
      <c r="D2050" s="17">
        <v>1.0</v>
      </c>
    </row>
    <row r="2051">
      <c r="A2051" s="17">
        <v>9991071.0</v>
      </c>
      <c r="B2051" s="17">
        <v>100.0</v>
      </c>
      <c r="C2051" s="17">
        <v>9991000.0</v>
      </c>
      <c r="D2051" s="17">
        <v>1.0</v>
      </c>
    </row>
    <row r="2052">
      <c r="A2052" s="17">
        <v>9991072.0</v>
      </c>
      <c r="B2052" s="17">
        <v>100.0</v>
      </c>
      <c r="C2052" s="17">
        <v>9991000.0</v>
      </c>
      <c r="D2052" s="17">
        <v>1.0</v>
      </c>
    </row>
    <row r="2053">
      <c r="A2053" s="17">
        <v>9991073.0</v>
      </c>
      <c r="B2053" s="17">
        <v>100.0</v>
      </c>
      <c r="C2053" s="17">
        <v>9991000.0</v>
      </c>
      <c r="D2053" s="17">
        <v>1.0</v>
      </c>
    </row>
    <row r="2054">
      <c r="A2054" s="17">
        <v>9991074.0</v>
      </c>
      <c r="B2054" s="17">
        <v>100.0</v>
      </c>
      <c r="C2054" s="17">
        <v>9991000.0</v>
      </c>
      <c r="D2054" s="17">
        <v>1.0</v>
      </c>
    </row>
    <row r="2055">
      <c r="A2055" s="17">
        <v>9991075.0</v>
      </c>
      <c r="B2055" s="17">
        <v>100.0</v>
      </c>
      <c r="C2055" s="17">
        <v>9991000.0</v>
      </c>
      <c r="D2055" s="17">
        <v>1.0</v>
      </c>
    </row>
    <row r="2056">
      <c r="A2056" s="17">
        <v>9991076.0</v>
      </c>
      <c r="B2056" s="17">
        <v>100.0</v>
      </c>
      <c r="C2056" s="17">
        <v>9991000.0</v>
      </c>
      <c r="D2056" s="17">
        <v>1.0</v>
      </c>
    </row>
    <row r="2057">
      <c r="A2057" s="17">
        <v>9991077.0</v>
      </c>
      <c r="B2057" s="17">
        <v>100.0</v>
      </c>
      <c r="C2057" s="17">
        <v>9991000.0</v>
      </c>
      <c r="D2057" s="17">
        <v>1.0</v>
      </c>
    </row>
    <row r="2058">
      <c r="A2058" s="17">
        <v>9991078.0</v>
      </c>
      <c r="B2058" s="17">
        <v>100.0</v>
      </c>
      <c r="C2058" s="17">
        <v>9991000.0</v>
      </c>
      <c r="D2058" s="17">
        <v>1.0</v>
      </c>
    </row>
    <row r="2059">
      <c r="A2059" s="17">
        <v>9991079.0</v>
      </c>
      <c r="B2059" s="17">
        <v>100.0</v>
      </c>
      <c r="C2059" s="17">
        <v>9991000.0</v>
      </c>
      <c r="D2059" s="17">
        <v>1.0</v>
      </c>
    </row>
    <row r="2060">
      <c r="A2060" s="17">
        <v>9991080.0</v>
      </c>
      <c r="B2060" s="17">
        <v>100.0</v>
      </c>
      <c r="C2060" s="17">
        <v>9991000.0</v>
      </c>
      <c r="D2060" s="17">
        <v>1.0</v>
      </c>
    </row>
    <row r="2061">
      <c r="A2061" s="17">
        <v>9991081.0</v>
      </c>
      <c r="B2061" s="17">
        <v>100.0</v>
      </c>
      <c r="C2061" s="17">
        <v>9991000.0</v>
      </c>
      <c r="D2061" s="17">
        <v>1.0</v>
      </c>
    </row>
    <row r="2062">
      <c r="A2062" s="17">
        <v>9991082.0</v>
      </c>
      <c r="B2062" s="17">
        <v>100.0</v>
      </c>
      <c r="C2062" s="17">
        <v>9991000.0</v>
      </c>
      <c r="D2062" s="17">
        <v>1.0</v>
      </c>
    </row>
    <row r="2063">
      <c r="A2063" s="17">
        <v>9991083.0</v>
      </c>
      <c r="B2063" s="17">
        <v>100.0</v>
      </c>
      <c r="C2063" s="17">
        <v>9991000.0</v>
      </c>
      <c r="D2063" s="17">
        <v>1.0</v>
      </c>
    </row>
    <row r="2064">
      <c r="A2064" s="17">
        <v>9991084.0</v>
      </c>
      <c r="B2064" s="17">
        <v>100.0</v>
      </c>
      <c r="C2064" s="17">
        <v>9991000.0</v>
      </c>
      <c r="D2064" s="17">
        <v>1.0</v>
      </c>
    </row>
    <row r="2065">
      <c r="A2065" s="17">
        <v>9991085.0</v>
      </c>
      <c r="B2065" s="17">
        <v>100.0</v>
      </c>
      <c r="C2065" s="17">
        <v>9991000.0</v>
      </c>
      <c r="D2065" s="17">
        <v>1.0</v>
      </c>
    </row>
    <row r="2066">
      <c r="A2066" s="17">
        <v>9991086.0</v>
      </c>
      <c r="B2066" s="17">
        <v>100.0</v>
      </c>
      <c r="C2066" s="17">
        <v>9991000.0</v>
      </c>
      <c r="D2066" s="17">
        <v>1.0</v>
      </c>
    </row>
    <row r="2067">
      <c r="A2067" s="17">
        <v>9991087.0</v>
      </c>
      <c r="B2067" s="17">
        <v>100.0</v>
      </c>
      <c r="C2067" s="17">
        <v>9991000.0</v>
      </c>
      <c r="D2067" s="17">
        <v>1.0</v>
      </c>
    </row>
    <row r="2068">
      <c r="A2068" s="17">
        <v>9991088.0</v>
      </c>
      <c r="B2068" s="17">
        <v>100.0</v>
      </c>
      <c r="C2068" s="17">
        <v>9991000.0</v>
      </c>
      <c r="D2068" s="17">
        <v>1.0</v>
      </c>
    </row>
    <row r="2069">
      <c r="A2069" s="17">
        <v>9991089.0</v>
      </c>
      <c r="B2069" s="17">
        <v>100.0</v>
      </c>
      <c r="C2069" s="17">
        <v>9991000.0</v>
      </c>
      <c r="D2069" s="17">
        <v>1.0</v>
      </c>
    </row>
    <row r="2070">
      <c r="A2070" s="17">
        <v>9991090.0</v>
      </c>
      <c r="B2070" s="17">
        <v>100.0</v>
      </c>
      <c r="C2070" s="17">
        <v>9991000.0</v>
      </c>
      <c r="D2070" s="17">
        <v>1.0</v>
      </c>
    </row>
    <row r="2071">
      <c r="A2071" s="17">
        <v>9991091.0</v>
      </c>
      <c r="B2071" s="17">
        <v>100.0</v>
      </c>
      <c r="C2071" s="17">
        <v>9991000.0</v>
      </c>
      <c r="D2071" s="17">
        <v>1.0</v>
      </c>
    </row>
    <row r="2072">
      <c r="A2072" s="17">
        <v>9991092.0</v>
      </c>
      <c r="B2072" s="17">
        <v>100.0</v>
      </c>
      <c r="C2072" s="17">
        <v>9991000.0</v>
      </c>
      <c r="D2072" s="17">
        <v>1.0</v>
      </c>
    </row>
    <row r="2073">
      <c r="A2073" s="17">
        <v>9991093.0</v>
      </c>
      <c r="B2073" s="17">
        <v>100.0</v>
      </c>
      <c r="C2073" s="17">
        <v>9991000.0</v>
      </c>
      <c r="D2073" s="17">
        <v>1.0</v>
      </c>
    </row>
    <row r="2074">
      <c r="A2074" s="17">
        <v>9991094.0</v>
      </c>
      <c r="B2074" s="17">
        <v>100.0</v>
      </c>
      <c r="C2074" s="17">
        <v>9991000.0</v>
      </c>
      <c r="D2074" s="17">
        <v>1.0</v>
      </c>
    </row>
    <row r="2075">
      <c r="A2075" s="17">
        <v>9991095.0</v>
      </c>
      <c r="B2075" s="17">
        <v>100.0</v>
      </c>
      <c r="C2075" s="17">
        <v>9991000.0</v>
      </c>
      <c r="D2075" s="17">
        <v>1.0</v>
      </c>
    </row>
    <row r="2076">
      <c r="A2076" s="17">
        <v>9991096.0</v>
      </c>
      <c r="B2076" s="17">
        <v>100.0</v>
      </c>
      <c r="C2076" s="17">
        <v>9991000.0</v>
      </c>
      <c r="D2076" s="17">
        <v>1.0</v>
      </c>
    </row>
    <row r="2077">
      <c r="A2077" s="17">
        <v>9991097.0</v>
      </c>
      <c r="B2077" s="17">
        <v>100.0</v>
      </c>
      <c r="C2077" s="17">
        <v>9991000.0</v>
      </c>
      <c r="D2077" s="17">
        <v>1.0</v>
      </c>
    </row>
    <row r="2078">
      <c r="A2078" s="17">
        <v>9991098.0</v>
      </c>
      <c r="B2078" s="17">
        <v>100.0</v>
      </c>
      <c r="C2078" s="17">
        <v>9991000.0</v>
      </c>
      <c r="D2078" s="17">
        <v>1.0</v>
      </c>
    </row>
    <row r="2079">
      <c r="A2079" s="17">
        <v>9991099.0</v>
      </c>
      <c r="B2079" s="17">
        <v>100.0</v>
      </c>
      <c r="C2079" s="17">
        <v>9991000.0</v>
      </c>
      <c r="D2079" s="17">
        <v>1.0</v>
      </c>
    </row>
    <row r="2080">
      <c r="A2080" s="17">
        <v>9.99999999E8</v>
      </c>
      <c r="B2080" s="17">
        <v>-1.0</v>
      </c>
      <c r="C2080" s="17">
        <v>-1.0</v>
      </c>
      <c r="D2080" s="17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0.63"/>
    <col customWidth="1" min="3" max="5" width="16.88"/>
    <col customWidth="1" min="6" max="8" width="20.88"/>
  </cols>
  <sheetData>
    <row r="1">
      <c r="A1" s="27" t="s">
        <v>1</v>
      </c>
      <c r="B1" s="27" t="s">
        <v>2023</v>
      </c>
      <c r="C1" s="27" t="s">
        <v>2024</v>
      </c>
      <c r="D1" s="27" t="s">
        <v>2025</v>
      </c>
      <c r="E1" s="27" t="s">
        <v>2026</v>
      </c>
      <c r="F1" s="27" t="s">
        <v>2027</v>
      </c>
      <c r="G1" s="27" t="s">
        <v>2028</v>
      </c>
      <c r="H1" s="27" t="s">
        <v>2029</v>
      </c>
    </row>
    <row r="2">
      <c r="A2" s="17">
        <v>1.0</v>
      </c>
      <c r="B2" s="17">
        <v>0.0</v>
      </c>
      <c r="C2" s="17">
        <v>5.011E8</v>
      </c>
      <c r="D2" s="17">
        <v>-1.0</v>
      </c>
      <c r="E2" s="17">
        <v>-1.0</v>
      </c>
      <c r="F2" s="17">
        <v>-1.0</v>
      </c>
      <c r="G2" s="17">
        <v>-1.0</v>
      </c>
      <c r="H2" s="17">
        <v>-1.0</v>
      </c>
    </row>
    <row r="3">
      <c r="A3" s="17">
        <v>2.0</v>
      </c>
      <c r="B3" s="17">
        <v>0.0</v>
      </c>
      <c r="C3" s="17">
        <v>5.011E8</v>
      </c>
      <c r="D3" s="17">
        <v>5.012E8</v>
      </c>
      <c r="E3" s="17">
        <v>-1.0</v>
      </c>
      <c r="F3" s="17">
        <v>-1.0</v>
      </c>
      <c r="G3" s="17">
        <v>-1.0</v>
      </c>
      <c r="H3" s="17">
        <v>-1.0</v>
      </c>
    </row>
    <row r="4">
      <c r="A4" s="17">
        <v>3.0</v>
      </c>
      <c r="B4" s="17">
        <v>0.0</v>
      </c>
      <c r="C4" s="17">
        <v>5.011E8</v>
      </c>
      <c r="D4" s="17">
        <v>5.012E8</v>
      </c>
      <c r="E4" s="17">
        <v>5.013E8</v>
      </c>
      <c r="F4" s="17">
        <v>-1.0</v>
      </c>
      <c r="G4" s="17">
        <v>-1.0</v>
      </c>
      <c r="H4" s="17">
        <v>-1.0</v>
      </c>
    </row>
    <row r="5">
      <c r="A5" s="17">
        <v>4.0</v>
      </c>
      <c r="B5" s="17">
        <v>0.0</v>
      </c>
      <c r="C5" s="17">
        <v>4.10000001E8</v>
      </c>
      <c r="D5" s="17">
        <v>-1.0</v>
      </c>
      <c r="E5" s="17">
        <v>-1.0</v>
      </c>
      <c r="F5" s="17">
        <v>-1.0</v>
      </c>
      <c r="G5" s="17">
        <v>-1.0</v>
      </c>
      <c r="H5" s="17">
        <v>-1.0</v>
      </c>
    </row>
    <row r="6">
      <c r="A6" s="17">
        <v>5.0</v>
      </c>
      <c r="B6" s="17">
        <v>0.0</v>
      </c>
      <c r="C6" s="17">
        <v>4.10000002E8</v>
      </c>
      <c r="D6" s="17">
        <v>-1.0</v>
      </c>
      <c r="E6" s="17">
        <v>-1.0</v>
      </c>
      <c r="F6" s="17">
        <v>-1.0</v>
      </c>
      <c r="G6" s="17">
        <v>-1.0</v>
      </c>
      <c r="H6" s="17">
        <v>-1.0</v>
      </c>
    </row>
    <row r="7">
      <c r="A7" s="17">
        <v>6.0</v>
      </c>
      <c r="B7" s="17">
        <v>0.0</v>
      </c>
      <c r="C7" s="17">
        <v>4.10000003E8</v>
      </c>
      <c r="D7" s="17">
        <v>4.10000003E8</v>
      </c>
      <c r="E7" s="17">
        <v>4.10000003E8</v>
      </c>
      <c r="F7" s="17">
        <v>-1.0</v>
      </c>
      <c r="G7" s="17">
        <v>-1.0</v>
      </c>
      <c r="H7" s="17">
        <v>-1.0</v>
      </c>
    </row>
    <row r="8">
      <c r="A8" s="17">
        <v>10.0</v>
      </c>
      <c r="B8" s="17">
        <v>0.0</v>
      </c>
      <c r="C8" s="17">
        <v>-1.0</v>
      </c>
      <c r="D8" s="17">
        <v>-1.0</v>
      </c>
      <c r="E8" s="17">
        <v>-1.0</v>
      </c>
      <c r="F8" s="17">
        <v>-1.0</v>
      </c>
      <c r="G8" s="17">
        <v>-1.0</v>
      </c>
      <c r="H8" s="17">
        <v>-1.0</v>
      </c>
    </row>
    <row r="9">
      <c r="A9" s="17">
        <v>11.0</v>
      </c>
      <c r="B9" s="17">
        <v>0.0</v>
      </c>
      <c r="C9" s="17">
        <v>-1.0</v>
      </c>
      <c r="D9" s="17">
        <v>-1.0</v>
      </c>
      <c r="E9" s="17">
        <v>-1.0</v>
      </c>
      <c r="F9" s="17">
        <v>-1.0</v>
      </c>
      <c r="G9" s="17">
        <v>-1.0</v>
      </c>
      <c r="H9" s="17">
        <v>-1.0</v>
      </c>
    </row>
    <row r="10">
      <c r="A10" s="17">
        <v>20.0</v>
      </c>
      <c r="B10" s="17">
        <v>0.0</v>
      </c>
      <c r="C10" s="17">
        <v>-1.0</v>
      </c>
      <c r="D10" s="17">
        <v>-1.0</v>
      </c>
      <c r="E10" s="17">
        <v>-1.0</v>
      </c>
      <c r="F10" s="17">
        <v>-1.0</v>
      </c>
      <c r="G10" s="17">
        <v>-1.0</v>
      </c>
      <c r="H10" s="17">
        <v>-1.0</v>
      </c>
    </row>
    <row r="11">
      <c r="A11" s="17">
        <v>100.0</v>
      </c>
      <c r="B11" s="17">
        <v>0.0</v>
      </c>
      <c r="C11" s="17">
        <v>100.0</v>
      </c>
      <c r="D11" s="17">
        <v>-1.0</v>
      </c>
      <c r="E11" s="17">
        <v>-1.0</v>
      </c>
      <c r="F11" s="17">
        <v>-1.0</v>
      </c>
      <c r="G11" s="17">
        <v>-1.0</v>
      </c>
      <c r="H11" s="17">
        <v>-1.0</v>
      </c>
    </row>
    <row r="12">
      <c r="A12" s="17">
        <v>101.0</v>
      </c>
      <c r="B12" s="17">
        <v>0.0</v>
      </c>
      <c r="C12" s="17">
        <v>200.0</v>
      </c>
      <c r="D12" s="17">
        <v>100.0</v>
      </c>
      <c r="E12" s="17">
        <v>-1.0</v>
      </c>
      <c r="F12" s="17">
        <v>-1.0</v>
      </c>
      <c r="G12" s="17">
        <v>-1.0</v>
      </c>
      <c r="H12" s="17">
        <v>-1.0</v>
      </c>
    </row>
    <row r="13">
      <c r="A13" s="17">
        <v>102.0</v>
      </c>
      <c r="B13" s="17">
        <v>0.0</v>
      </c>
      <c r="C13" s="17">
        <v>300.0</v>
      </c>
      <c r="D13" s="17">
        <v>200.0</v>
      </c>
      <c r="E13" s="17">
        <v>100.0</v>
      </c>
      <c r="F13" s="17">
        <v>-1.0</v>
      </c>
      <c r="G13" s="17">
        <v>-1.0</v>
      </c>
      <c r="H13" s="17">
        <v>-1.0</v>
      </c>
    </row>
    <row r="14">
      <c r="A14" s="17">
        <v>103.0</v>
      </c>
      <c r="B14" s="17">
        <v>0.0</v>
      </c>
      <c r="C14" s="17">
        <v>100.0</v>
      </c>
      <c r="D14" s="17">
        <v>-1.0</v>
      </c>
      <c r="E14" s="17">
        <v>-1.0</v>
      </c>
      <c r="F14" s="17">
        <v>-1.0</v>
      </c>
      <c r="G14" s="17">
        <v>-1.0</v>
      </c>
      <c r="H14" s="17">
        <v>-1.0</v>
      </c>
    </row>
    <row r="15">
      <c r="A15" s="17">
        <v>104.0</v>
      </c>
      <c r="B15" s="17">
        <v>0.0</v>
      </c>
      <c r="C15" s="17">
        <v>200.0</v>
      </c>
      <c r="D15" s="17">
        <v>100.0</v>
      </c>
      <c r="E15" s="17">
        <v>-1.0</v>
      </c>
      <c r="F15" s="17">
        <v>-1.0</v>
      </c>
      <c r="G15" s="17">
        <v>-1.0</v>
      </c>
      <c r="H15" s="17">
        <v>-1.0</v>
      </c>
    </row>
    <row r="16">
      <c r="A16" s="17">
        <v>105.0</v>
      </c>
      <c r="B16" s="17">
        <v>0.0</v>
      </c>
      <c r="C16" s="17">
        <v>300.0</v>
      </c>
      <c r="D16" s="17">
        <v>200.0</v>
      </c>
      <c r="E16" s="17">
        <v>100.0</v>
      </c>
      <c r="F16" s="17">
        <v>-1.0</v>
      </c>
      <c r="G16" s="17">
        <v>-1.0</v>
      </c>
      <c r="H16" s="17">
        <v>-1.0</v>
      </c>
    </row>
    <row r="17">
      <c r="A17" s="17">
        <v>106.0</v>
      </c>
      <c r="B17" s="17">
        <v>0.0</v>
      </c>
      <c r="C17" s="17">
        <v>100.0</v>
      </c>
      <c r="D17" s="17">
        <v>-1.0</v>
      </c>
      <c r="E17" s="17">
        <v>-1.0</v>
      </c>
      <c r="F17" s="17">
        <v>-1.0</v>
      </c>
      <c r="G17" s="17">
        <v>-1.0</v>
      </c>
      <c r="H17" s="17">
        <v>-1.0</v>
      </c>
    </row>
    <row r="18">
      <c r="A18" s="17">
        <v>107.0</v>
      </c>
      <c r="B18" s="17">
        <v>0.0</v>
      </c>
      <c r="C18" s="17">
        <v>200.0</v>
      </c>
      <c r="D18" s="17">
        <v>100.0</v>
      </c>
      <c r="E18" s="17">
        <v>-1.0</v>
      </c>
      <c r="F18" s="17">
        <v>-1.0</v>
      </c>
      <c r="G18" s="17">
        <v>-1.0</v>
      </c>
      <c r="H18" s="17">
        <v>-1.0</v>
      </c>
    </row>
    <row r="19">
      <c r="A19" s="17">
        <v>108.0</v>
      </c>
      <c r="B19" s="17">
        <v>0.0</v>
      </c>
      <c r="C19" s="17">
        <v>300.0</v>
      </c>
      <c r="D19" s="17">
        <v>200.0</v>
      </c>
      <c r="E19" s="17">
        <v>100.0</v>
      </c>
      <c r="F19" s="17">
        <v>-1.0</v>
      </c>
      <c r="G19" s="17">
        <v>-1.0</v>
      </c>
      <c r="H19" s="17">
        <v>-1.0</v>
      </c>
    </row>
    <row r="20">
      <c r="A20" s="17">
        <v>109.0</v>
      </c>
      <c r="B20" s="17">
        <v>1.0</v>
      </c>
      <c r="C20" s="17">
        <v>100.0</v>
      </c>
      <c r="D20" s="17">
        <v>-1.0</v>
      </c>
      <c r="E20" s="17">
        <v>-1.0</v>
      </c>
      <c r="F20" s="17">
        <v>-1.0</v>
      </c>
      <c r="G20" s="17">
        <v>-1.0</v>
      </c>
      <c r="H20" s="17">
        <v>-1.0</v>
      </c>
    </row>
    <row r="21">
      <c r="A21" s="17">
        <v>110.0</v>
      </c>
      <c r="B21" s="17">
        <v>1.0</v>
      </c>
      <c r="C21" s="17">
        <v>200.0</v>
      </c>
      <c r="D21" s="17">
        <v>100.0</v>
      </c>
      <c r="E21" s="17">
        <v>-1.0</v>
      </c>
      <c r="F21" s="17">
        <v>-1.0</v>
      </c>
      <c r="G21" s="17">
        <v>-1.0</v>
      </c>
      <c r="H21" s="17">
        <v>-1.0</v>
      </c>
    </row>
    <row r="22">
      <c r="A22" s="17">
        <v>111.0</v>
      </c>
      <c r="B22" s="17">
        <v>1.0</v>
      </c>
      <c r="C22" s="17">
        <v>300.0</v>
      </c>
      <c r="D22" s="17">
        <v>200.0</v>
      </c>
      <c r="E22" s="17">
        <v>100.0</v>
      </c>
      <c r="F22" s="17">
        <v>-1.0</v>
      </c>
      <c r="G22" s="17">
        <v>-1.0</v>
      </c>
      <c r="H22" s="17">
        <v>-1.0</v>
      </c>
    </row>
    <row r="23">
      <c r="A23" s="17">
        <v>112.0</v>
      </c>
      <c r="B23" s="17">
        <v>1.0</v>
      </c>
      <c r="C23" s="17">
        <v>100.0</v>
      </c>
      <c r="D23" s="17">
        <v>-1.0</v>
      </c>
      <c r="E23" s="17">
        <v>-1.0</v>
      </c>
      <c r="F23" s="17">
        <v>-1.0</v>
      </c>
      <c r="G23" s="17">
        <v>-1.0</v>
      </c>
      <c r="H23" s="17">
        <v>-1.0</v>
      </c>
    </row>
    <row r="24">
      <c r="A24" s="17">
        <v>113.0</v>
      </c>
      <c r="B24" s="17">
        <v>1.0</v>
      </c>
      <c r="C24" s="17">
        <v>200.0</v>
      </c>
      <c r="D24" s="17">
        <v>100.0</v>
      </c>
      <c r="E24" s="17">
        <v>-1.0</v>
      </c>
      <c r="F24" s="17">
        <v>-1.0</v>
      </c>
      <c r="G24" s="17">
        <v>-1.0</v>
      </c>
      <c r="H24" s="17">
        <v>-1.0</v>
      </c>
    </row>
    <row r="25">
      <c r="A25" s="17">
        <v>114.0</v>
      </c>
      <c r="B25" s="17">
        <v>1.0</v>
      </c>
      <c r="C25" s="17">
        <v>300.0</v>
      </c>
      <c r="D25" s="17">
        <v>200.0</v>
      </c>
      <c r="E25" s="17">
        <v>100.0</v>
      </c>
      <c r="F25" s="17">
        <v>-1.0</v>
      </c>
      <c r="G25" s="17">
        <v>-1.0</v>
      </c>
      <c r="H25" s="17">
        <v>-1.0</v>
      </c>
    </row>
    <row r="26">
      <c r="A26" s="17">
        <v>115.0</v>
      </c>
      <c r="B26" s="17">
        <v>1.0</v>
      </c>
      <c r="C26" s="17">
        <v>100.0</v>
      </c>
      <c r="D26" s="17">
        <v>-1.0</v>
      </c>
      <c r="E26" s="17">
        <v>-1.0</v>
      </c>
      <c r="F26" s="17">
        <v>-1.0</v>
      </c>
      <c r="G26" s="17">
        <v>-1.0</v>
      </c>
      <c r="H26" s="17">
        <v>-1.0</v>
      </c>
    </row>
    <row r="27">
      <c r="A27" s="17">
        <v>116.0</v>
      </c>
      <c r="B27" s="17">
        <v>1.0</v>
      </c>
      <c r="C27" s="17">
        <v>200.0</v>
      </c>
      <c r="D27" s="17">
        <v>100.0</v>
      </c>
      <c r="E27" s="17">
        <v>-1.0</v>
      </c>
      <c r="F27" s="17">
        <v>-1.0</v>
      </c>
      <c r="G27" s="17">
        <v>-1.0</v>
      </c>
      <c r="H27" s="17">
        <v>-1.0</v>
      </c>
    </row>
    <row r="28">
      <c r="A28" s="17">
        <v>117.0</v>
      </c>
      <c r="B28" s="17">
        <v>1.0</v>
      </c>
      <c r="C28" s="17">
        <v>300.0</v>
      </c>
      <c r="D28" s="17">
        <v>200.0</v>
      </c>
      <c r="E28" s="17">
        <v>100.0</v>
      </c>
      <c r="F28" s="17">
        <v>-1.0</v>
      </c>
      <c r="G28" s="17">
        <v>-1.0</v>
      </c>
      <c r="H28" s="17">
        <v>-1.0</v>
      </c>
    </row>
    <row r="29">
      <c r="A29" s="17">
        <v>118.0</v>
      </c>
      <c r="B29" s="17">
        <v>2.0</v>
      </c>
      <c r="C29" s="17">
        <v>100.0</v>
      </c>
      <c r="D29" s="17">
        <v>-1.0</v>
      </c>
      <c r="E29" s="17">
        <v>-1.0</v>
      </c>
      <c r="F29" s="17">
        <v>-1.0</v>
      </c>
      <c r="G29" s="17">
        <v>-1.0</v>
      </c>
      <c r="H29" s="17">
        <v>-1.0</v>
      </c>
    </row>
    <row r="30">
      <c r="A30" s="17">
        <v>119.0</v>
      </c>
      <c r="B30" s="17">
        <v>2.0</v>
      </c>
      <c r="C30" s="17">
        <v>200.0</v>
      </c>
      <c r="D30" s="17">
        <v>100.0</v>
      </c>
      <c r="E30" s="17">
        <v>-1.0</v>
      </c>
      <c r="F30" s="17">
        <v>-1.0</v>
      </c>
      <c r="G30" s="17">
        <v>-1.0</v>
      </c>
      <c r="H30" s="17">
        <v>-1.0</v>
      </c>
    </row>
    <row r="31">
      <c r="A31" s="17">
        <v>120.0</v>
      </c>
      <c r="B31" s="17">
        <v>2.0</v>
      </c>
      <c r="C31" s="17">
        <v>300.0</v>
      </c>
      <c r="D31" s="17">
        <v>200.0</v>
      </c>
      <c r="E31" s="17">
        <v>100.0</v>
      </c>
      <c r="F31" s="17">
        <v>-1.0</v>
      </c>
      <c r="G31" s="17">
        <v>-1.0</v>
      </c>
      <c r="H31" s="17">
        <v>-1.0</v>
      </c>
    </row>
    <row r="32">
      <c r="A32" s="17">
        <v>121.0</v>
      </c>
      <c r="B32" s="17">
        <v>2.0</v>
      </c>
      <c r="C32" s="17">
        <v>100.0</v>
      </c>
      <c r="D32" s="17">
        <v>-1.0</v>
      </c>
      <c r="E32" s="17">
        <v>-1.0</v>
      </c>
      <c r="F32" s="17">
        <v>-1.0</v>
      </c>
      <c r="G32" s="17">
        <v>-1.0</v>
      </c>
      <c r="H32" s="17">
        <v>-1.0</v>
      </c>
    </row>
    <row r="33">
      <c r="A33" s="17">
        <v>122.0</v>
      </c>
      <c r="B33" s="17">
        <v>2.0</v>
      </c>
      <c r="C33" s="17">
        <v>200.0</v>
      </c>
      <c r="D33" s="17">
        <v>100.0</v>
      </c>
      <c r="E33" s="17">
        <v>-1.0</v>
      </c>
      <c r="F33" s="17">
        <v>-1.0</v>
      </c>
      <c r="G33" s="17">
        <v>-1.0</v>
      </c>
      <c r="H33" s="17">
        <v>-1.0</v>
      </c>
    </row>
    <row r="34">
      <c r="A34" s="17">
        <v>123.0</v>
      </c>
      <c r="B34" s="17">
        <v>2.0</v>
      </c>
      <c r="C34" s="17">
        <v>300.0</v>
      </c>
      <c r="D34" s="17">
        <v>200.0</v>
      </c>
      <c r="E34" s="17">
        <v>100.0</v>
      </c>
      <c r="F34" s="17">
        <v>-1.0</v>
      </c>
      <c r="G34" s="17">
        <v>-1.0</v>
      </c>
      <c r="H34" s="17">
        <v>-1.0</v>
      </c>
    </row>
    <row r="35">
      <c r="A35" s="17">
        <v>124.0</v>
      </c>
      <c r="B35" s="17">
        <v>2.0</v>
      </c>
      <c r="C35" s="17">
        <v>100.0</v>
      </c>
      <c r="D35" s="17">
        <v>-1.0</v>
      </c>
      <c r="E35" s="17">
        <v>-1.0</v>
      </c>
      <c r="F35" s="17">
        <v>-1.0</v>
      </c>
      <c r="G35" s="17">
        <v>-1.0</v>
      </c>
      <c r="H35" s="17">
        <v>-1.0</v>
      </c>
    </row>
    <row r="36">
      <c r="A36" s="17">
        <v>125.0</v>
      </c>
      <c r="B36" s="17">
        <v>2.0</v>
      </c>
      <c r="C36" s="17">
        <v>200.0</v>
      </c>
      <c r="D36" s="17">
        <v>100.0</v>
      </c>
      <c r="E36" s="17">
        <v>-1.0</v>
      </c>
      <c r="F36" s="17">
        <v>-1.0</v>
      </c>
      <c r="G36" s="17">
        <v>-1.0</v>
      </c>
      <c r="H36" s="17">
        <v>-1.0</v>
      </c>
    </row>
    <row r="37">
      <c r="A37" s="17">
        <v>126.0</v>
      </c>
      <c r="B37" s="17">
        <v>2.0</v>
      </c>
      <c r="C37" s="17">
        <v>300.0</v>
      </c>
      <c r="D37" s="17">
        <v>200.0</v>
      </c>
      <c r="E37" s="17">
        <v>100.0</v>
      </c>
      <c r="F37" s="17">
        <v>-1.0</v>
      </c>
      <c r="G37" s="17">
        <v>-1.0</v>
      </c>
      <c r="H37" s="17">
        <v>-1.0</v>
      </c>
    </row>
    <row r="38">
      <c r="A38" s="17">
        <v>127.0</v>
      </c>
      <c r="B38" s="17">
        <v>3.0</v>
      </c>
      <c r="C38" s="17">
        <v>100.0</v>
      </c>
      <c r="D38" s="17">
        <v>-1.0</v>
      </c>
      <c r="E38" s="17">
        <v>-1.0</v>
      </c>
      <c r="F38" s="17">
        <v>-1.0</v>
      </c>
      <c r="G38" s="17">
        <v>-1.0</v>
      </c>
      <c r="H38" s="17">
        <v>-1.0</v>
      </c>
    </row>
    <row r="39">
      <c r="A39" s="17">
        <v>128.0</v>
      </c>
      <c r="B39" s="17">
        <v>3.0</v>
      </c>
      <c r="C39" s="17">
        <v>200.0</v>
      </c>
      <c r="D39" s="17">
        <v>100.0</v>
      </c>
      <c r="E39" s="17">
        <v>-1.0</v>
      </c>
      <c r="F39" s="17">
        <v>-1.0</v>
      </c>
      <c r="G39" s="17">
        <v>-1.0</v>
      </c>
      <c r="H39" s="17">
        <v>-1.0</v>
      </c>
    </row>
    <row r="40">
      <c r="A40" s="17">
        <v>129.0</v>
      </c>
      <c r="B40" s="17">
        <v>3.0</v>
      </c>
      <c r="C40" s="17">
        <v>300.0</v>
      </c>
      <c r="D40" s="17">
        <v>200.0</v>
      </c>
      <c r="E40" s="17">
        <v>100.0</v>
      </c>
      <c r="F40" s="17">
        <v>-1.0</v>
      </c>
      <c r="G40" s="17">
        <v>-1.0</v>
      </c>
      <c r="H40" s="17">
        <v>-1.0</v>
      </c>
    </row>
    <row r="41">
      <c r="A41" s="17">
        <v>130.0</v>
      </c>
      <c r="B41" s="17">
        <v>3.0</v>
      </c>
      <c r="C41" s="17">
        <v>100.0</v>
      </c>
      <c r="D41" s="17">
        <v>-1.0</v>
      </c>
      <c r="E41" s="17">
        <v>-1.0</v>
      </c>
      <c r="F41" s="17">
        <v>-1.0</v>
      </c>
      <c r="G41" s="17">
        <v>-1.0</v>
      </c>
      <c r="H41" s="17">
        <v>-1.0</v>
      </c>
    </row>
    <row r="42">
      <c r="A42" s="17">
        <v>131.0</v>
      </c>
      <c r="B42" s="17">
        <v>3.0</v>
      </c>
      <c r="C42" s="17">
        <v>200.0</v>
      </c>
      <c r="D42" s="17">
        <v>100.0</v>
      </c>
      <c r="E42" s="17">
        <v>-1.0</v>
      </c>
      <c r="F42" s="17">
        <v>-1.0</v>
      </c>
      <c r="G42" s="17">
        <v>-1.0</v>
      </c>
      <c r="H42" s="17">
        <v>-1.0</v>
      </c>
    </row>
    <row r="43">
      <c r="A43" s="17">
        <v>132.0</v>
      </c>
      <c r="B43" s="17">
        <v>3.0</v>
      </c>
      <c r="C43" s="17">
        <v>300.0</v>
      </c>
      <c r="D43" s="17">
        <v>200.0</v>
      </c>
      <c r="E43" s="17">
        <v>100.0</v>
      </c>
      <c r="F43" s="17">
        <v>-1.0</v>
      </c>
      <c r="G43" s="17">
        <v>-1.0</v>
      </c>
      <c r="H43" s="17">
        <v>-1.0</v>
      </c>
    </row>
    <row r="44">
      <c r="A44" s="17">
        <v>133.0</v>
      </c>
      <c r="B44" s="17">
        <v>3.0</v>
      </c>
      <c r="C44" s="17">
        <v>100.0</v>
      </c>
      <c r="D44" s="17">
        <v>-1.0</v>
      </c>
      <c r="E44" s="17">
        <v>-1.0</v>
      </c>
      <c r="F44" s="17">
        <v>-1.0</v>
      </c>
      <c r="G44" s="17">
        <v>-1.0</v>
      </c>
      <c r="H44" s="17">
        <v>-1.0</v>
      </c>
    </row>
    <row r="45">
      <c r="A45" s="17">
        <v>134.0</v>
      </c>
      <c r="B45" s="17">
        <v>3.0</v>
      </c>
      <c r="C45" s="17">
        <v>200.0</v>
      </c>
      <c r="D45" s="17">
        <v>100.0</v>
      </c>
      <c r="E45" s="17">
        <v>-1.0</v>
      </c>
      <c r="F45" s="17">
        <v>-1.0</v>
      </c>
      <c r="G45" s="17">
        <v>-1.0</v>
      </c>
      <c r="H45" s="17">
        <v>-1.0</v>
      </c>
    </row>
    <row r="46">
      <c r="A46" s="17">
        <v>135.0</v>
      </c>
      <c r="B46" s="17">
        <v>3.0</v>
      </c>
      <c r="C46" s="17">
        <v>300.0</v>
      </c>
      <c r="D46" s="17">
        <v>200.0</v>
      </c>
      <c r="E46" s="17">
        <v>100.0</v>
      </c>
      <c r="F46" s="17">
        <v>-1.0</v>
      </c>
      <c r="G46" s="17">
        <v>-1.0</v>
      </c>
      <c r="H46" s="17">
        <v>-1.0</v>
      </c>
    </row>
    <row r="47">
      <c r="A47" s="17">
        <v>200.0</v>
      </c>
      <c r="B47" s="17">
        <v>0.0</v>
      </c>
      <c r="C47" s="17">
        <v>110.0</v>
      </c>
      <c r="D47" s="17">
        <v>-1.0</v>
      </c>
      <c r="E47" s="17">
        <v>-1.0</v>
      </c>
      <c r="F47" s="17">
        <v>-1.0</v>
      </c>
      <c r="G47" s="17">
        <v>-1.0</v>
      </c>
      <c r="H47" s="17">
        <v>-1.0</v>
      </c>
    </row>
    <row r="48">
      <c r="A48" s="17">
        <v>201.0</v>
      </c>
      <c r="B48" s="17">
        <v>0.0</v>
      </c>
      <c r="C48" s="17">
        <v>210.0</v>
      </c>
      <c r="D48" s="17">
        <v>110.0</v>
      </c>
      <c r="E48" s="17">
        <v>-1.0</v>
      </c>
      <c r="F48" s="17">
        <v>-1.0</v>
      </c>
      <c r="G48" s="17">
        <v>-1.0</v>
      </c>
      <c r="H48" s="17">
        <v>-1.0</v>
      </c>
    </row>
    <row r="49">
      <c r="A49" s="17">
        <v>202.0</v>
      </c>
      <c r="B49" s="17">
        <v>0.0</v>
      </c>
      <c r="C49" s="17">
        <v>310.0</v>
      </c>
      <c r="D49" s="17">
        <v>210.0</v>
      </c>
      <c r="E49" s="17">
        <v>110.0</v>
      </c>
      <c r="F49" s="17">
        <v>-1.0</v>
      </c>
      <c r="G49" s="17">
        <v>-1.0</v>
      </c>
      <c r="H49" s="17">
        <v>-1.0</v>
      </c>
    </row>
    <row r="50">
      <c r="A50" s="17">
        <v>203.0</v>
      </c>
      <c r="B50" s="17">
        <v>0.0</v>
      </c>
      <c r="C50" s="17">
        <v>110.0</v>
      </c>
      <c r="D50" s="17">
        <v>-1.0</v>
      </c>
      <c r="E50" s="17">
        <v>-1.0</v>
      </c>
      <c r="F50" s="17">
        <v>-1.0</v>
      </c>
      <c r="G50" s="17">
        <v>-1.0</v>
      </c>
      <c r="H50" s="17">
        <v>-1.0</v>
      </c>
    </row>
    <row r="51">
      <c r="A51" s="17">
        <v>204.0</v>
      </c>
      <c r="B51" s="17">
        <v>0.0</v>
      </c>
      <c r="C51" s="17">
        <v>210.0</v>
      </c>
      <c r="D51" s="17">
        <v>110.0</v>
      </c>
      <c r="E51" s="17">
        <v>-1.0</v>
      </c>
      <c r="F51" s="17">
        <v>-1.0</v>
      </c>
      <c r="G51" s="17">
        <v>-1.0</v>
      </c>
      <c r="H51" s="17">
        <v>-1.0</v>
      </c>
    </row>
    <row r="52">
      <c r="A52" s="17">
        <v>205.0</v>
      </c>
      <c r="B52" s="17">
        <v>0.0</v>
      </c>
      <c r="C52" s="17">
        <v>310.0</v>
      </c>
      <c r="D52" s="17">
        <v>210.0</v>
      </c>
      <c r="E52" s="17">
        <v>110.0</v>
      </c>
      <c r="F52" s="17">
        <v>-1.0</v>
      </c>
      <c r="G52" s="17">
        <v>-1.0</v>
      </c>
      <c r="H52" s="17">
        <v>-1.0</v>
      </c>
    </row>
    <row r="53">
      <c r="A53" s="17">
        <v>206.0</v>
      </c>
      <c r="B53" s="17">
        <v>0.0</v>
      </c>
      <c r="C53" s="17">
        <v>110.0</v>
      </c>
      <c r="D53" s="17">
        <v>-1.0</v>
      </c>
      <c r="E53" s="17">
        <v>-1.0</v>
      </c>
      <c r="F53" s="17">
        <v>-1.0</v>
      </c>
      <c r="G53" s="17">
        <v>-1.0</v>
      </c>
      <c r="H53" s="17">
        <v>-1.0</v>
      </c>
    </row>
    <row r="54">
      <c r="A54" s="17">
        <v>207.0</v>
      </c>
      <c r="B54" s="17">
        <v>0.0</v>
      </c>
      <c r="C54" s="17">
        <v>210.0</v>
      </c>
      <c r="D54" s="17">
        <v>110.0</v>
      </c>
      <c r="E54" s="17">
        <v>-1.0</v>
      </c>
      <c r="F54" s="17">
        <v>-1.0</v>
      </c>
      <c r="G54" s="17">
        <v>-1.0</v>
      </c>
      <c r="H54" s="17">
        <v>-1.0</v>
      </c>
    </row>
    <row r="55">
      <c r="A55" s="17">
        <v>208.0</v>
      </c>
      <c r="B55" s="17">
        <v>0.0</v>
      </c>
      <c r="C55" s="17">
        <v>310.0</v>
      </c>
      <c r="D55" s="17">
        <v>210.0</v>
      </c>
      <c r="E55" s="17">
        <v>110.0</v>
      </c>
      <c r="F55" s="17">
        <v>-1.0</v>
      </c>
      <c r="G55" s="17">
        <v>-1.0</v>
      </c>
      <c r="H55" s="17">
        <v>-1.0</v>
      </c>
    </row>
    <row r="56">
      <c r="A56" s="17">
        <v>209.0</v>
      </c>
      <c r="B56" s="17">
        <v>1.0</v>
      </c>
      <c r="C56" s="17">
        <v>110.0</v>
      </c>
      <c r="D56" s="17">
        <v>-1.0</v>
      </c>
      <c r="E56" s="17">
        <v>-1.0</v>
      </c>
      <c r="F56" s="17">
        <v>-1.0</v>
      </c>
      <c r="G56" s="17">
        <v>-1.0</v>
      </c>
      <c r="H56" s="17">
        <v>-1.0</v>
      </c>
    </row>
    <row r="57">
      <c r="A57" s="17">
        <v>210.0</v>
      </c>
      <c r="B57" s="17">
        <v>1.0</v>
      </c>
      <c r="C57" s="17">
        <v>210.0</v>
      </c>
      <c r="D57" s="17">
        <v>110.0</v>
      </c>
      <c r="E57" s="17">
        <v>-1.0</v>
      </c>
      <c r="F57" s="17">
        <v>-1.0</v>
      </c>
      <c r="G57" s="17">
        <v>-1.0</v>
      </c>
      <c r="H57" s="17">
        <v>-1.0</v>
      </c>
    </row>
    <row r="58">
      <c r="A58" s="17">
        <v>211.0</v>
      </c>
      <c r="B58" s="17">
        <v>1.0</v>
      </c>
      <c r="C58" s="17">
        <v>310.0</v>
      </c>
      <c r="D58" s="17">
        <v>210.0</v>
      </c>
      <c r="E58" s="17">
        <v>110.0</v>
      </c>
      <c r="F58" s="17">
        <v>-1.0</v>
      </c>
      <c r="G58" s="17">
        <v>-1.0</v>
      </c>
      <c r="H58" s="17">
        <v>-1.0</v>
      </c>
    </row>
    <row r="59">
      <c r="A59" s="17">
        <v>212.0</v>
      </c>
      <c r="B59" s="17">
        <v>1.0</v>
      </c>
      <c r="C59" s="17">
        <v>110.0</v>
      </c>
      <c r="D59" s="17">
        <v>-1.0</v>
      </c>
      <c r="E59" s="17">
        <v>-1.0</v>
      </c>
      <c r="F59" s="17">
        <v>-1.0</v>
      </c>
      <c r="G59" s="17">
        <v>-1.0</v>
      </c>
      <c r="H59" s="17">
        <v>-1.0</v>
      </c>
    </row>
    <row r="60">
      <c r="A60" s="17">
        <v>213.0</v>
      </c>
      <c r="B60" s="17">
        <v>1.0</v>
      </c>
      <c r="C60" s="17">
        <v>210.0</v>
      </c>
      <c r="D60" s="17">
        <v>110.0</v>
      </c>
      <c r="E60" s="17">
        <v>-1.0</v>
      </c>
      <c r="F60" s="17">
        <v>-1.0</v>
      </c>
      <c r="G60" s="17">
        <v>-1.0</v>
      </c>
      <c r="H60" s="17">
        <v>-1.0</v>
      </c>
    </row>
    <row r="61">
      <c r="A61" s="17">
        <v>214.0</v>
      </c>
      <c r="B61" s="17">
        <v>1.0</v>
      </c>
      <c r="C61" s="17">
        <v>310.0</v>
      </c>
      <c r="D61" s="17">
        <v>210.0</v>
      </c>
      <c r="E61" s="17">
        <v>110.0</v>
      </c>
      <c r="F61" s="17">
        <v>-1.0</v>
      </c>
      <c r="G61" s="17">
        <v>-1.0</v>
      </c>
      <c r="H61" s="17">
        <v>-1.0</v>
      </c>
    </row>
    <row r="62">
      <c r="A62" s="17">
        <v>215.0</v>
      </c>
      <c r="B62" s="17">
        <v>1.0</v>
      </c>
      <c r="C62" s="17">
        <v>110.0</v>
      </c>
      <c r="D62" s="17">
        <v>-1.0</v>
      </c>
      <c r="E62" s="17">
        <v>-1.0</v>
      </c>
      <c r="F62" s="17">
        <v>-1.0</v>
      </c>
      <c r="G62" s="17">
        <v>-1.0</v>
      </c>
      <c r="H62" s="17">
        <v>-1.0</v>
      </c>
    </row>
    <row r="63">
      <c r="A63" s="17">
        <v>216.0</v>
      </c>
      <c r="B63" s="17">
        <v>1.0</v>
      </c>
      <c r="C63" s="17">
        <v>210.0</v>
      </c>
      <c r="D63" s="17">
        <v>110.0</v>
      </c>
      <c r="E63" s="17">
        <v>-1.0</v>
      </c>
      <c r="F63" s="17">
        <v>-1.0</v>
      </c>
      <c r="G63" s="17">
        <v>-1.0</v>
      </c>
      <c r="H63" s="17">
        <v>-1.0</v>
      </c>
    </row>
    <row r="64">
      <c r="A64" s="17">
        <v>217.0</v>
      </c>
      <c r="B64" s="17">
        <v>1.0</v>
      </c>
      <c r="C64" s="17">
        <v>310.0</v>
      </c>
      <c r="D64" s="17">
        <v>210.0</v>
      </c>
      <c r="E64" s="17">
        <v>110.0</v>
      </c>
      <c r="F64" s="17">
        <v>-1.0</v>
      </c>
      <c r="G64" s="17">
        <v>-1.0</v>
      </c>
      <c r="H64" s="17">
        <v>-1.0</v>
      </c>
    </row>
    <row r="65">
      <c r="A65" s="17">
        <v>218.0</v>
      </c>
      <c r="B65" s="17">
        <v>2.0</v>
      </c>
      <c r="C65" s="17">
        <v>110.0</v>
      </c>
      <c r="D65" s="17">
        <v>-1.0</v>
      </c>
      <c r="E65" s="17">
        <v>-1.0</v>
      </c>
      <c r="F65" s="17">
        <v>-1.0</v>
      </c>
      <c r="G65" s="17">
        <v>-1.0</v>
      </c>
      <c r="H65" s="17">
        <v>-1.0</v>
      </c>
    </row>
    <row r="66">
      <c r="A66" s="17">
        <v>219.0</v>
      </c>
      <c r="B66" s="17">
        <v>2.0</v>
      </c>
      <c r="C66" s="17">
        <v>210.0</v>
      </c>
      <c r="D66" s="17">
        <v>110.0</v>
      </c>
      <c r="E66" s="17">
        <v>-1.0</v>
      </c>
      <c r="F66" s="17">
        <v>-1.0</v>
      </c>
      <c r="G66" s="17">
        <v>-1.0</v>
      </c>
      <c r="H66" s="17">
        <v>-1.0</v>
      </c>
    </row>
    <row r="67">
      <c r="A67" s="17">
        <v>220.0</v>
      </c>
      <c r="B67" s="17">
        <v>2.0</v>
      </c>
      <c r="C67" s="17">
        <v>310.0</v>
      </c>
      <c r="D67" s="17">
        <v>210.0</v>
      </c>
      <c r="E67" s="17">
        <v>110.0</v>
      </c>
      <c r="F67" s="17">
        <v>-1.0</v>
      </c>
      <c r="G67" s="17">
        <v>-1.0</v>
      </c>
      <c r="H67" s="17">
        <v>-1.0</v>
      </c>
    </row>
    <row r="68">
      <c r="A68" s="17">
        <v>221.0</v>
      </c>
      <c r="B68" s="17">
        <v>2.0</v>
      </c>
      <c r="C68" s="17">
        <v>110.0</v>
      </c>
      <c r="D68" s="17">
        <v>-1.0</v>
      </c>
      <c r="E68" s="17">
        <v>-1.0</v>
      </c>
      <c r="F68" s="17">
        <v>-1.0</v>
      </c>
      <c r="G68" s="17">
        <v>-1.0</v>
      </c>
      <c r="H68" s="17">
        <v>-1.0</v>
      </c>
    </row>
    <row r="69">
      <c r="A69" s="17">
        <v>222.0</v>
      </c>
      <c r="B69" s="17">
        <v>2.0</v>
      </c>
      <c r="C69" s="17">
        <v>210.0</v>
      </c>
      <c r="D69" s="17">
        <v>110.0</v>
      </c>
      <c r="E69" s="17">
        <v>-1.0</v>
      </c>
      <c r="F69" s="17">
        <v>-1.0</v>
      </c>
      <c r="G69" s="17">
        <v>-1.0</v>
      </c>
      <c r="H69" s="17">
        <v>-1.0</v>
      </c>
    </row>
    <row r="70">
      <c r="A70" s="17">
        <v>223.0</v>
      </c>
      <c r="B70" s="17">
        <v>2.0</v>
      </c>
      <c r="C70" s="17">
        <v>310.0</v>
      </c>
      <c r="D70" s="17">
        <v>210.0</v>
      </c>
      <c r="E70" s="17">
        <v>110.0</v>
      </c>
      <c r="F70" s="17">
        <v>-1.0</v>
      </c>
      <c r="G70" s="17">
        <v>-1.0</v>
      </c>
      <c r="H70" s="17">
        <v>-1.0</v>
      </c>
    </row>
    <row r="71">
      <c r="A71" s="17">
        <v>224.0</v>
      </c>
      <c r="B71" s="17">
        <v>2.0</v>
      </c>
      <c r="C71" s="17">
        <v>110.0</v>
      </c>
      <c r="D71" s="17">
        <v>-1.0</v>
      </c>
      <c r="E71" s="17">
        <v>-1.0</v>
      </c>
      <c r="F71" s="17">
        <v>-1.0</v>
      </c>
      <c r="G71" s="17">
        <v>-1.0</v>
      </c>
      <c r="H71" s="17">
        <v>-1.0</v>
      </c>
    </row>
    <row r="72">
      <c r="A72" s="17">
        <v>225.0</v>
      </c>
      <c r="B72" s="17">
        <v>2.0</v>
      </c>
      <c r="C72" s="17">
        <v>210.0</v>
      </c>
      <c r="D72" s="17">
        <v>110.0</v>
      </c>
      <c r="E72" s="17">
        <v>-1.0</v>
      </c>
      <c r="F72" s="17">
        <v>-1.0</v>
      </c>
      <c r="G72" s="17">
        <v>-1.0</v>
      </c>
      <c r="H72" s="17">
        <v>-1.0</v>
      </c>
    </row>
    <row r="73">
      <c r="A73" s="17">
        <v>226.0</v>
      </c>
      <c r="B73" s="17">
        <v>2.0</v>
      </c>
      <c r="C73" s="17">
        <v>310.0</v>
      </c>
      <c r="D73" s="17">
        <v>210.0</v>
      </c>
      <c r="E73" s="17">
        <v>110.0</v>
      </c>
      <c r="F73" s="17">
        <v>-1.0</v>
      </c>
      <c r="G73" s="17">
        <v>-1.0</v>
      </c>
      <c r="H73" s="17">
        <v>-1.0</v>
      </c>
    </row>
    <row r="74">
      <c r="A74" s="17">
        <v>227.0</v>
      </c>
      <c r="B74" s="17">
        <v>3.0</v>
      </c>
      <c r="C74" s="17">
        <v>110.0</v>
      </c>
      <c r="D74" s="17">
        <v>-1.0</v>
      </c>
      <c r="E74" s="17">
        <v>-1.0</v>
      </c>
      <c r="F74" s="17">
        <v>-1.0</v>
      </c>
      <c r="G74" s="17">
        <v>-1.0</v>
      </c>
      <c r="H74" s="17">
        <v>-1.0</v>
      </c>
    </row>
    <row r="75">
      <c r="A75" s="17">
        <v>228.0</v>
      </c>
      <c r="B75" s="17">
        <v>3.0</v>
      </c>
      <c r="C75" s="17">
        <v>210.0</v>
      </c>
      <c r="D75" s="17">
        <v>110.0</v>
      </c>
      <c r="E75" s="17">
        <v>-1.0</v>
      </c>
      <c r="F75" s="17">
        <v>-1.0</v>
      </c>
      <c r="G75" s="17">
        <v>-1.0</v>
      </c>
      <c r="H75" s="17">
        <v>-1.0</v>
      </c>
    </row>
    <row r="76">
      <c r="A76" s="17">
        <v>229.0</v>
      </c>
      <c r="B76" s="17">
        <v>3.0</v>
      </c>
      <c r="C76" s="17">
        <v>310.0</v>
      </c>
      <c r="D76" s="17">
        <v>210.0</v>
      </c>
      <c r="E76" s="17">
        <v>110.0</v>
      </c>
      <c r="F76" s="17">
        <v>-1.0</v>
      </c>
      <c r="G76" s="17">
        <v>-1.0</v>
      </c>
      <c r="H76" s="17">
        <v>-1.0</v>
      </c>
    </row>
    <row r="77">
      <c r="A77" s="17">
        <v>230.0</v>
      </c>
      <c r="B77" s="17">
        <v>3.0</v>
      </c>
      <c r="C77" s="17">
        <v>110.0</v>
      </c>
      <c r="D77" s="17">
        <v>-1.0</v>
      </c>
      <c r="E77" s="17">
        <v>-1.0</v>
      </c>
      <c r="F77" s="17">
        <v>-1.0</v>
      </c>
      <c r="G77" s="17">
        <v>-1.0</v>
      </c>
      <c r="H77" s="17">
        <v>-1.0</v>
      </c>
    </row>
    <row r="78">
      <c r="A78" s="17">
        <v>231.0</v>
      </c>
      <c r="B78" s="17">
        <v>3.0</v>
      </c>
      <c r="C78" s="17">
        <v>210.0</v>
      </c>
      <c r="D78" s="17">
        <v>110.0</v>
      </c>
      <c r="E78" s="17">
        <v>-1.0</v>
      </c>
      <c r="F78" s="17">
        <v>-1.0</v>
      </c>
      <c r="G78" s="17">
        <v>-1.0</v>
      </c>
      <c r="H78" s="17">
        <v>-1.0</v>
      </c>
    </row>
    <row r="79">
      <c r="A79" s="17">
        <v>232.0</v>
      </c>
      <c r="B79" s="17">
        <v>3.0</v>
      </c>
      <c r="C79" s="17">
        <v>310.0</v>
      </c>
      <c r="D79" s="17">
        <v>210.0</v>
      </c>
      <c r="E79" s="17">
        <v>110.0</v>
      </c>
      <c r="F79" s="17">
        <v>-1.0</v>
      </c>
      <c r="G79" s="17">
        <v>-1.0</v>
      </c>
      <c r="H79" s="17">
        <v>-1.0</v>
      </c>
    </row>
    <row r="80">
      <c r="A80" s="17">
        <v>233.0</v>
      </c>
      <c r="B80" s="17">
        <v>3.0</v>
      </c>
      <c r="C80" s="17">
        <v>110.0</v>
      </c>
      <c r="D80" s="17">
        <v>-1.0</v>
      </c>
      <c r="E80" s="17">
        <v>-1.0</v>
      </c>
      <c r="F80" s="17">
        <v>-1.0</v>
      </c>
      <c r="G80" s="17">
        <v>-1.0</v>
      </c>
      <c r="H80" s="17">
        <v>-1.0</v>
      </c>
    </row>
    <row r="81">
      <c r="A81" s="17">
        <v>234.0</v>
      </c>
      <c r="B81" s="17">
        <v>3.0</v>
      </c>
      <c r="C81" s="17">
        <v>210.0</v>
      </c>
      <c r="D81" s="17">
        <v>110.0</v>
      </c>
      <c r="E81" s="17">
        <v>-1.0</v>
      </c>
      <c r="F81" s="17">
        <v>-1.0</v>
      </c>
      <c r="G81" s="17">
        <v>-1.0</v>
      </c>
      <c r="H81" s="17">
        <v>-1.0</v>
      </c>
    </row>
    <row r="82">
      <c r="A82" s="17">
        <v>235.0</v>
      </c>
      <c r="B82" s="17">
        <v>3.0</v>
      </c>
      <c r="C82" s="17">
        <v>310.0</v>
      </c>
      <c r="D82" s="17">
        <v>210.0</v>
      </c>
      <c r="E82" s="17">
        <v>110.0</v>
      </c>
      <c r="F82" s="17">
        <v>-1.0</v>
      </c>
      <c r="G82" s="17">
        <v>-1.0</v>
      </c>
      <c r="H82" s="17">
        <v>-1.0</v>
      </c>
    </row>
    <row r="83">
      <c r="A83" s="17">
        <v>1000.0</v>
      </c>
      <c r="B83" s="17">
        <v>0.0</v>
      </c>
      <c r="C83" s="17">
        <v>7.071211E8</v>
      </c>
      <c r="D83" s="17">
        <v>-1.0</v>
      </c>
      <c r="E83" s="17">
        <v>-1.0</v>
      </c>
      <c r="F83" s="17">
        <v>-1.0</v>
      </c>
      <c r="G83" s="17">
        <v>-1.0</v>
      </c>
      <c r="H83" s="17">
        <v>-1.0</v>
      </c>
    </row>
    <row r="84">
      <c r="A84" s="17">
        <v>1010.0</v>
      </c>
      <c r="B84" s="17">
        <v>1.0</v>
      </c>
      <c r="C84" s="17">
        <v>7.0712E8</v>
      </c>
      <c r="D84" s="17">
        <v>-1.0</v>
      </c>
      <c r="E84" s="17">
        <v>-1.0</v>
      </c>
      <c r="F84" s="17">
        <v>-1.0</v>
      </c>
      <c r="G84" s="17">
        <v>-1.0</v>
      </c>
      <c r="H84" s="17">
        <v>-1.0</v>
      </c>
    </row>
    <row r="85">
      <c r="A85" s="17">
        <v>1020.0</v>
      </c>
      <c r="B85" s="17">
        <v>2.0</v>
      </c>
      <c r="C85" s="17">
        <v>7.071224E8</v>
      </c>
      <c r="D85" s="17">
        <v>-1.0</v>
      </c>
      <c r="E85" s="17">
        <v>-1.0</v>
      </c>
      <c r="F85" s="17">
        <v>-1.0</v>
      </c>
      <c r="G85" s="17">
        <v>-1.0</v>
      </c>
      <c r="H85" s="17">
        <v>-1.0</v>
      </c>
    </row>
    <row r="86">
      <c r="A86" s="17">
        <v>1030.0</v>
      </c>
      <c r="B86" s="17">
        <v>3.0</v>
      </c>
      <c r="C86" s="17">
        <v>7.071233E8</v>
      </c>
      <c r="D86" s="17">
        <v>-1.0</v>
      </c>
      <c r="E86" s="17">
        <v>-1.0</v>
      </c>
      <c r="F86" s="17">
        <v>-1.0</v>
      </c>
      <c r="G86" s="17">
        <v>-1.0</v>
      </c>
      <c r="H86" s="17">
        <v>-1.0</v>
      </c>
    </row>
    <row r="87">
      <c r="A87" s="17">
        <v>1040.0</v>
      </c>
      <c r="B87" s="17">
        <v>0.0</v>
      </c>
      <c r="C87" s="17">
        <v>7.070403E8</v>
      </c>
      <c r="D87" s="17">
        <v>7.070404E8</v>
      </c>
      <c r="E87" s="17">
        <v>-1.0</v>
      </c>
      <c r="F87" s="17">
        <v>-1.0</v>
      </c>
      <c r="G87" s="17">
        <v>-1.0</v>
      </c>
      <c r="H87" s="17">
        <v>-1.0</v>
      </c>
    </row>
    <row r="88">
      <c r="A88" s="17">
        <v>1050.0</v>
      </c>
      <c r="B88" s="17">
        <v>2.0</v>
      </c>
      <c r="C88" s="17">
        <v>7.070402E8</v>
      </c>
      <c r="D88" s="17">
        <v>-1.0</v>
      </c>
      <c r="E88" s="17">
        <v>-1.0</v>
      </c>
      <c r="F88" s="17">
        <v>-1.0</v>
      </c>
      <c r="G88" s="17">
        <v>-1.0</v>
      </c>
      <c r="H88" s="17">
        <v>-1.0</v>
      </c>
    </row>
    <row r="89">
      <c r="A89" s="17">
        <v>1060.0</v>
      </c>
      <c r="B89" s="17">
        <v>3.0</v>
      </c>
      <c r="C89" s="17">
        <v>7.070309E8</v>
      </c>
      <c r="D89" s="17">
        <v>7.07000202E8</v>
      </c>
      <c r="E89" s="17">
        <v>-1.0</v>
      </c>
      <c r="F89" s="17">
        <v>-1.0</v>
      </c>
      <c r="G89" s="17">
        <v>-1.0</v>
      </c>
      <c r="H89" s="17">
        <v>-1.0</v>
      </c>
    </row>
    <row r="90">
      <c r="A90" s="17">
        <v>1070.0</v>
      </c>
      <c r="B90" s="17">
        <v>1.0</v>
      </c>
      <c r="C90" s="17">
        <v>7.070307E8</v>
      </c>
      <c r="D90" s="17">
        <v>7.07000002E8</v>
      </c>
      <c r="E90" s="17">
        <v>-1.0</v>
      </c>
      <c r="F90" s="17">
        <v>-1.0</v>
      </c>
      <c r="G90" s="17">
        <v>-1.0</v>
      </c>
      <c r="H90" s="17">
        <v>-1.0</v>
      </c>
    </row>
    <row r="91">
      <c r="A91" s="17">
        <v>1080.0</v>
      </c>
      <c r="B91" s="17">
        <v>0.0</v>
      </c>
      <c r="C91" s="17">
        <v>7.070026E8</v>
      </c>
      <c r="D91" s="17">
        <v>7.07000901E8</v>
      </c>
      <c r="E91" s="17">
        <v>-1.0</v>
      </c>
      <c r="F91" s="17">
        <v>-1.0</v>
      </c>
      <c r="G91" s="17">
        <v>-1.0</v>
      </c>
      <c r="H91" s="17">
        <v>-1.0</v>
      </c>
    </row>
    <row r="92">
      <c r="A92" s="17">
        <v>1090.0</v>
      </c>
      <c r="B92" s="17">
        <v>3.0</v>
      </c>
      <c r="C92" s="17">
        <v>7.070027E8</v>
      </c>
      <c r="D92" s="17">
        <v>7.07000801E8</v>
      </c>
      <c r="E92" s="17">
        <v>-1.0</v>
      </c>
      <c r="F92" s="17">
        <v>-1.0</v>
      </c>
      <c r="G92" s="17">
        <v>-1.0</v>
      </c>
      <c r="H92" s="17">
        <v>-1.0</v>
      </c>
    </row>
    <row r="93">
      <c r="A93" s="17">
        <v>1100.0</v>
      </c>
      <c r="B93" s="17">
        <v>3.0</v>
      </c>
      <c r="C93" s="17">
        <v>7.070028E8</v>
      </c>
      <c r="D93" s="17">
        <v>7.07000801E8</v>
      </c>
      <c r="E93" s="17">
        <v>-1.0</v>
      </c>
      <c r="F93" s="17">
        <v>-1.0</v>
      </c>
      <c r="G93" s="17">
        <v>-1.0</v>
      </c>
      <c r="H93" s="17">
        <v>-1.0</v>
      </c>
    </row>
    <row r="94">
      <c r="A94" s="17">
        <v>1110.0</v>
      </c>
      <c r="B94" s="17">
        <v>0.0</v>
      </c>
      <c r="C94" s="17">
        <v>7.070029E8</v>
      </c>
      <c r="D94" s="17">
        <v>7.07000901E8</v>
      </c>
      <c r="E94" s="17">
        <v>-1.0</v>
      </c>
      <c r="F94" s="17">
        <v>-1.0</v>
      </c>
      <c r="G94" s="17">
        <v>-1.0</v>
      </c>
      <c r="H94" s="17">
        <v>-1.0</v>
      </c>
    </row>
    <row r="95">
      <c r="A95" s="17">
        <v>1120.0</v>
      </c>
      <c r="B95" s="17">
        <v>0.0</v>
      </c>
      <c r="C95" s="17">
        <v>7.07121E8</v>
      </c>
      <c r="D95" s="17">
        <v>7.070405E8</v>
      </c>
      <c r="E95" s="17">
        <v>-1.0</v>
      </c>
      <c r="F95" s="17">
        <v>-1.0</v>
      </c>
      <c r="G95" s="17">
        <v>-1.0</v>
      </c>
      <c r="H95" s="17">
        <v>-1.0</v>
      </c>
    </row>
    <row r="96">
      <c r="A96" s="17">
        <v>1130.0</v>
      </c>
      <c r="B96" s="17">
        <v>3.0</v>
      </c>
      <c r="C96" s="17">
        <v>7.070102E8</v>
      </c>
      <c r="D96" s="17">
        <v>7.070901E8</v>
      </c>
      <c r="E96" s="17">
        <v>-1.0</v>
      </c>
      <c r="F96" s="17">
        <v>-1.0</v>
      </c>
      <c r="G96" s="17">
        <v>-1.0</v>
      </c>
      <c r="H96" s="17">
        <v>-1.0</v>
      </c>
    </row>
    <row r="97">
      <c r="A97" s="17">
        <v>1140.0</v>
      </c>
      <c r="B97" s="17">
        <v>2.0</v>
      </c>
      <c r="C97" s="17">
        <v>7.07003E8</v>
      </c>
      <c r="D97" s="17">
        <v>7.070034E8</v>
      </c>
      <c r="E97" s="17">
        <v>-1.0</v>
      </c>
      <c r="F97" s="17">
        <v>-1.0</v>
      </c>
      <c r="G97" s="17">
        <v>-1.0</v>
      </c>
      <c r="H97" s="17">
        <v>-1.0</v>
      </c>
    </row>
    <row r="98">
      <c r="A98" s="17">
        <v>1150.0</v>
      </c>
      <c r="B98" s="17">
        <v>2.0</v>
      </c>
      <c r="C98" s="17">
        <v>7.070031E8</v>
      </c>
      <c r="D98" s="17">
        <v>7.070035E8</v>
      </c>
      <c r="E98" s="17">
        <v>-1.0</v>
      </c>
      <c r="F98" s="17">
        <v>-1.0</v>
      </c>
      <c r="G98" s="17">
        <v>-1.0</v>
      </c>
      <c r="H98" s="17">
        <v>-1.0</v>
      </c>
    </row>
    <row r="99">
      <c r="A99" s="17">
        <v>1160.0</v>
      </c>
      <c r="B99" s="17">
        <v>1.0</v>
      </c>
      <c r="C99" s="17">
        <v>7.070032E8</v>
      </c>
      <c r="D99" s="17">
        <v>7.070036E8</v>
      </c>
      <c r="E99" s="17">
        <v>-1.0</v>
      </c>
      <c r="F99" s="17">
        <v>-1.0</v>
      </c>
      <c r="G99" s="17">
        <v>-1.0</v>
      </c>
      <c r="H99" s="17">
        <v>-1.0</v>
      </c>
    </row>
    <row r="100">
      <c r="A100" s="17">
        <v>1170.0</v>
      </c>
      <c r="B100" s="17">
        <v>1.0</v>
      </c>
      <c r="C100" s="17">
        <v>7.070033E8</v>
      </c>
      <c r="D100" s="17">
        <v>7.07000102E8</v>
      </c>
      <c r="E100" s="17">
        <v>-1.0</v>
      </c>
      <c r="F100" s="17">
        <v>-1.0</v>
      </c>
      <c r="G100" s="17">
        <v>-1.0</v>
      </c>
      <c r="H100" s="17">
        <v>-1.0</v>
      </c>
    </row>
    <row r="101">
      <c r="A101" s="17">
        <v>1180.0</v>
      </c>
      <c r="B101" s="17">
        <v>0.0</v>
      </c>
      <c r="C101" s="17">
        <v>7.070105E8</v>
      </c>
      <c r="D101" s="17">
        <v>7.07000301E8</v>
      </c>
      <c r="E101" s="17">
        <v>7.07000401E8</v>
      </c>
      <c r="F101" s="17">
        <v>-1.0</v>
      </c>
      <c r="G101" s="17">
        <v>-1.0</v>
      </c>
      <c r="H101" s="17">
        <v>-1.0</v>
      </c>
    </row>
    <row r="102">
      <c r="A102" s="17">
        <v>1190.0</v>
      </c>
      <c r="B102" s="17">
        <v>1.0</v>
      </c>
      <c r="C102" s="17">
        <v>7.070334E8</v>
      </c>
      <c r="D102" s="17">
        <v>7.07000001E8</v>
      </c>
      <c r="E102" s="17">
        <v>7.07000201E8</v>
      </c>
      <c r="F102" s="17">
        <v>-1.0</v>
      </c>
      <c r="G102" s="17">
        <v>-1.0</v>
      </c>
      <c r="H102" s="17">
        <v>-1.0</v>
      </c>
    </row>
    <row r="103">
      <c r="A103" s="17">
        <v>1200.0</v>
      </c>
      <c r="B103" s="17">
        <v>3.0</v>
      </c>
      <c r="C103" s="17">
        <v>7.0729E8</v>
      </c>
      <c r="D103" s="17">
        <v>7.07000401E8</v>
      </c>
      <c r="E103" s="17">
        <v>7.07000501E8</v>
      </c>
      <c r="F103" s="17">
        <v>-1.0</v>
      </c>
      <c r="G103" s="17">
        <v>-1.0</v>
      </c>
      <c r="H103" s="17">
        <v>-1.0</v>
      </c>
    </row>
    <row r="104">
      <c r="A104" s="17">
        <v>1210.0</v>
      </c>
      <c r="B104" s="17">
        <v>2.0</v>
      </c>
      <c r="C104" s="17">
        <v>7.070329E8</v>
      </c>
      <c r="D104" s="17">
        <v>7.07000101E8</v>
      </c>
      <c r="E104" s="17">
        <v>7.07000501E8</v>
      </c>
      <c r="F104" s="17">
        <v>-1.0</v>
      </c>
      <c r="G104" s="17">
        <v>-1.0</v>
      </c>
      <c r="H104" s="17">
        <v>-1.0</v>
      </c>
    </row>
    <row r="105">
      <c r="A105" s="17">
        <v>1220.0</v>
      </c>
      <c r="B105" s="17">
        <v>2.0</v>
      </c>
      <c r="C105" s="17">
        <v>7.0728E8</v>
      </c>
      <c r="D105" s="17">
        <v>7.07000201E8</v>
      </c>
      <c r="E105" s="17">
        <v>7.07000401E8</v>
      </c>
      <c r="F105" s="17">
        <v>-1.0</v>
      </c>
      <c r="G105" s="17">
        <v>-1.0</v>
      </c>
      <c r="H105" s="17">
        <v>-1.0</v>
      </c>
    </row>
    <row r="106">
      <c r="A106" s="17">
        <v>1230.0</v>
      </c>
      <c r="B106" s="17">
        <v>1.0</v>
      </c>
      <c r="C106" s="17">
        <v>7.0703E8</v>
      </c>
      <c r="D106" s="17">
        <v>7.07000001E8</v>
      </c>
      <c r="E106" s="17">
        <v>7.07000301E8</v>
      </c>
      <c r="F106" s="17">
        <v>-1.0</v>
      </c>
      <c r="G106" s="17">
        <v>-1.0</v>
      </c>
      <c r="H106" s="17">
        <v>-1.0</v>
      </c>
    </row>
    <row r="107">
      <c r="A107" s="17">
        <v>1240.0</v>
      </c>
      <c r="B107" s="17">
        <v>1.0</v>
      </c>
      <c r="C107" s="17">
        <v>7.070112E8</v>
      </c>
      <c r="D107" s="17">
        <v>7.07000601E8</v>
      </c>
      <c r="E107" s="17">
        <v>7.07000701E8</v>
      </c>
      <c r="F107" s="17">
        <v>-1.0</v>
      </c>
      <c r="G107" s="17">
        <v>-1.0</v>
      </c>
      <c r="H107" s="17">
        <v>-1.0</v>
      </c>
    </row>
    <row r="108">
      <c r="A108" s="17">
        <v>1250.0</v>
      </c>
      <c r="B108" s="17">
        <v>0.0</v>
      </c>
      <c r="C108" s="17">
        <v>7.070117E8</v>
      </c>
      <c r="D108" s="17">
        <v>7.07000401E8</v>
      </c>
      <c r="E108" s="17">
        <v>7.07000701E8</v>
      </c>
      <c r="F108" s="17">
        <v>-1.0</v>
      </c>
      <c r="G108" s="17">
        <v>-1.0</v>
      </c>
      <c r="H108" s="17">
        <v>-1.0</v>
      </c>
    </row>
    <row r="109">
      <c r="A109" s="17">
        <v>1260.0</v>
      </c>
      <c r="B109" s="17">
        <v>0.0</v>
      </c>
      <c r="C109" s="17">
        <v>7.0711E8</v>
      </c>
      <c r="D109" s="17">
        <v>7.071209E8</v>
      </c>
      <c r="E109" s="17">
        <v>7.0723E8</v>
      </c>
      <c r="F109" s="17">
        <v>-1.0</v>
      </c>
      <c r="G109" s="17">
        <v>-1.0</v>
      </c>
      <c r="H109" s="17">
        <v>-1.0</v>
      </c>
    </row>
    <row r="110">
      <c r="A110" s="17">
        <v>1270.0</v>
      </c>
      <c r="B110" s="17">
        <v>3.0</v>
      </c>
      <c r="C110" s="17">
        <v>7.070056E8</v>
      </c>
      <c r="D110" s="17">
        <v>7.07000001E8</v>
      </c>
      <c r="E110" s="17">
        <v>7.07001001E8</v>
      </c>
      <c r="F110" s="17">
        <v>-1.0</v>
      </c>
      <c r="G110" s="17">
        <v>-1.0</v>
      </c>
      <c r="H110" s="17">
        <v>-1.0</v>
      </c>
    </row>
    <row r="111">
      <c r="A111" s="17">
        <v>1300.0</v>
      </c>
      <c r="B111" s="17">
        <v>0.0</v>
      </c>
      <c r="C111" s="17">
        <v>7.070362E8</v>
      </c>
      <c r="D111" s="17">
        <v>7.07000501E8</v>
      </c>
      <c r="E111" s="17">
        <v>7.07000701E8</v>
      </c>
      <c r="F111" s="17">
        <v>-1.0</v>
      </c>
      <c r="G111" s="17">
        <v>-1.0</v>
      </c>
      <c r="H111" s="17">
        <v>-1.0</v>
      </c>
    </row>
    <row r="112">
      <c r="A112" s="17">
        <v>1310.0</v>
      </c>
      <c r="B112" s="17">
        <v>3.0</v>
      </c>
      <c r="C112" s="17">
        <v>7.070369E8</v>
      </c>
      <c r="D112" s="17">
        <v>7.07000301E8</v>
      </c>
      <c r="E112" s="17">
        <v>7.07000601E8</v>
      </c>
      <c r="F112" s="17">
        <v>-1.0</v>
      </c>
      <c r="G112" s="17">
        <v>-1.0</v>
      </c>
      <c r="H112" s="17">
        <v>-1.0</v>
      </c>
    </row>
    <row r="113">
      <c r="A113" s="17">
        <v>1400.0</v>
      </c>
      <c r="B113" s="17">
        <v>1.0</v>
      </c>
      <c r="C113" s="17">
        <v>7.070105E8</v>
      </c>
      <c r="D113" s="17">
        <v>7.071229E8</v>
      </c>
      <c r="E113" s="17">
        <v>7.07001602E8</v>
      </c>
      <c r="F113" s="17">
        <v>-1.0</v>
      </c>
      <c r="G113" s="17">
        <v>-1.0</v>
      </c>
      <c r="H113" s="17">
        <v>-1.0</v>
      </c>
    </row>
    <row r="114">
      <c r="A114" s="17">
        <v>1410.0</v>
      </c>
      <c r="B114" s="17">
        <v>0.0</v>
      </c>
      <c r="C114" s="17">
        <v>7.070334E8</v>
      </c>
      <c r="D114" s="17">
        <v>7.070306E8</v>
      </c>
      <c r="E114" s="17">
        <v>7.07000202E8</v>
      </c>
      <c r="F114" s="17">
        <v>-1.0</v>
      </c>
      <c r="G114" s="17">
        <v>-1.0</v>
      </c>
      <c r="H114" s="17">
        <v>-1.0</v>
      </c>
    </row>
    <row r="115">
      <c r="A115" s="17">
        <v>1420.0</v>
      </c>
      <c r="B115" s="17">
        <v>3.0</v>
      </c>
      <c r="C115" s="17">
        <v>7.070318E8</v>
      </c>
      <c r="D115" s="17">
        <v>7.070402E8</v>
      </c>
      <c r="E115" s="17">
        <v>7.07000801E8</v>
      </c>
      <c r="F115" s="17">
        <v>-1.0</v>
      </c>
      <c r="G115" s="17">
        <v>-1.0</v>
      </c>
      <c r="H115" s="17">
        <v>-1.0</v>
      </c>
    </row>
    <row r="116">
      <c r="A116" s="17">
        <v>1430.0</v>
      </c>
      <c r="B116" s="17">
        <v>3.0</v>
      </c>
      <c r="C116" s="17">
        <v>7.070825E8</v>
      </c>
      <c r="D116" s="17">
        <v>7.070601E8</v>
      </c>
      <c r="E116" s="17">
        <v>7.070015E8</v>
      </c>
      <c r="F116" s="17">
        <v>-1.0</v>
      </c>
      <c r="G116" s="17">
        <v>-1.0</v>
      </c>
      <c r="H116" s="17">
        <v>-1.0</v>
      </c>
    </row>
    <row r="117">
      <c r="A117" s="17">
        <v>1440.0</v>
      </c>
      <c r="B117" s="17">
        <v>0.0</v>
      </c>
      <c r="C117" s="17">
        <v>7.070346E8</v>
      </c>
      <c r="D117" s="17">
        <v>7.0726E8</v>
      </c>
      <c r="E117" s="17">
        <v>7.07000902E8</v>
      </c>
      <c r="F117" s="17">
        <v>-1.0</v>
      </c>
      <c r="G117" s="17">
        <v>-1.0</v>
      </c>
      <c r="H117" s="17">
        <v>-1.0</v>
      </c>
    </row>
    <row r="118">
      <c r="A118" s="17">
        <v>1450.0</v>
      </c>
      <c r="B118" s="17">
        <v>2.0</v>
      </c>
      <c r="C118" s="17">
        <v>7.0731E8</v>
      </c>
      <c r="D118" s="17">
        <v>7.073323E8</v>
      </c>
      <c r="E118" s="17">
        <v>7.07000202E8</v>
      </c>
      <c r="F118" s="17">
        <v>-1.0</v>
      </c>
      <c r="G118" s="17">
        <v>-1.0</v>
      </c>
      <c r="H118" s="17">
        <v>-1.0</v>
      </c>
    </row>
    <row r="119">
      <c r="A119" s="17">
        <v>1460.0</v>
      </c>
      <c r="B119" s="17">
        <v>1.0</v>
      </c>
      <c r="C119" s="17">
        <v>7.070312E8</v>
      </c>
      <c r="D119" s="17">
        <v>7.070501E8</v>
      </c>
      <c r="E119" s="17">
        <v>7.07126E8</v>
      </c>
      <c r="F119" s="17">
        <v>-1.0</v>
      </c>
      <c r="G119" s="17">
        <v>-1.0</v>
      </c>
      <c r="H119" s="17">
        <v>-1.0</v>
      </c>
    </row>
    <row r="120">
      <c r="A120" s="17">
        <v>1470.0</v>
      </c>
      <c r="B120" s="17">
        <v>2.0</v>
      </c>
      <c r="C120" s="17">
        <v>7.070344E8</v>
      </c>
      <c r="D120" s="17">
        <v>7.070361E8</v>
      </c>
      <c r="E120" s="17">
        <v>7.070306E8</v>
      </c>
      <c r="F120" s="17">
        <v>-1.0</v>
      </c>
      <c r="G120" s="17">
        <v>-1.0</v>
      </c>
      <c r="H120" s="17">
        <v>-1.0</v>
      </c>
    </row>
    <row r="121">
      <c r="A121" s="17">
        <v>1480.0</v>
      </c>
      <c r="B121" s="17">
        <v>0.0</v>
      </c>
      <c r="C121" s="17">
        <v>7.070122E8</v>
      </c>
      <c r="D121" s="17">
        <v>7.070123E8</v>
      </c>
      <c r="E121" s="17">
        <v>7.07000002E8</v>
      </c>
      <c r="F121" s="17">
        <v>-1.0</v>
      </c>
      <c r="G121" s="17">
        <v>-1.0</v>
      </c>
      <c r="H121" s="17">
        <v>-1.0</v>
      </c>
    </row>
    <row r="122">
      <c r="A122" s="17">
        <v>1490.0</v>
      </c>
      <c r="B122" s="17">
        <v>3.0</v>
      </c>
      <c r="C122" s="17">
        <v>7.07006001E8</v>
      </c>
      <c r="D122" s="17">
        <v>7.0704E8</v>
      </c>
      <c r="E122" s="17">
        <v>7.07001002E8</v>
      </c>
      <c r="F122" s="17">
        <v>-1.0</v>
      </c>
      <c r="G122" s="17">
        <v>-1.0</v>
      </c>
      <c r="H122" s="17">
        <v>-1.0</v>
      </c>
    </row>
    <row r="123">
      <c r="A123" s="17">
        <v>1500.0</v>
      </c>
      <c r="B123" s="17">
        <v>0.0</v>
      </c>
      <c r="C123" s="17">
        <v>7.07006101E8</v>
      </c>
      <c r="D123" s="17">
        <v>7.071001E8</v>
      </c>
      <c r="E123" s="17">
        <v>7.07000202E8</v>
      </c>
      <c r="F123" s="17">
        <v>-1.0</v>
      </c>
      <c r="G123" s="17">
        <v>-1.0</v>
      </c>
      <c r="H123" s="17">
        <v>-1.0</v>
      </c>
    </row>
    <row r="124">
      <c r="A124" s="17">
        <v>1510.0</v>
      </c>
      <c r="B124" s="17">
        <v>2.0</v>
      </c>
      <c r="C124" s="17">
        <v>7.0706E8</v>
      </c>
      <c r="D124" s="17">
        <v>7.071209E8</v>
      </c>
      <c r="E124" s="17">
        <v>7.0707E8</v>
      </c>
      <c r="F124" s="17">
        <v>-1.0</v>
      </c>
      <c r="G124" s="17">
        <v>-1.0</v>
      </c>
      <c r="H124" s="17">
        <v>-1.0</v>
      </c>
    </row>
    <row r="125">
      <c r="A125" s="17">
        <v>1520.0</v>
      </c>
      <c r="B125" s="17">
        <v>1.0</v>
      </c>
      <c r="C125" s="17">
        <v>7.07126E8</v>
      </c>
      <c r="D125" s="17">
        <v>7.07126001E8</v>
      </c>
      <c r="E125" s="17">
        <v>7.07126002E8</v>
      </c>
      <c r="F125" s="17">
        <v>-1.0</v>
      </c>
      <c r="G125" s="17">
        <v>-1.0</v>
      </c>
      <c r="H125" s="17">
        <v>-1.0</v>
      </c>
    </row>
    <row r="126">
      <c r="A126" s="17">
        <v>1600.0</v>
      </c>
      <c r="B126" s="17">
        <v>2.0</v>
      </c>
      <c r="C126" s="17">
        <v>7.070365E8</v>
      </c>
      <c r="D126" s="17">
        <v>7.07121E8</v>
      </c>
      <c r="E126" s="17">
        <v>7.07121001E8</v>
      </c>
      <c r="F126" s="17">
        <v>-1.0</v>
      </c>
      <c r="G126" s="17">
        <v>-1.0</v>
      </c>
      <c r="H126" s="17">
        <v>-1.0</v>
      </c>
    </row>
    <row r="127">
      <c r="A127" s="17">
        <v>1610.0</v>
      </c>
      <c r="B127" s="17">
        <v>1.0</v>
      </c>
      <c r="C127" s="17">
        <v>7.070373E8</v>
      </c>
      <c r="D127" s="17">
        <v>7.070056E8</v>
      </c>
      <c r="E127" s="17">
        <v>7.0709E8</v>
      </c>
      <c r="F127" s="17">
        <v>-1.0</v>
      </c>
      <c r="G127" s="17">
        <v>-1.0</v>
      </c>
      <c r="H127" s="17">
        <v>-1.0</v>
      </c>
    </row>
    <row r="128">
      <c r="A128" s="17">
        <v>1620.0</v>
      </c>
      <c r="B128" s="17">
        <v>3.0</v>
      </c>
      <c r="C128" s="17">
        <v>6642000.0</v>
      </c>
      <c r="D128" s="17">
        <v>7.07000402E8</v>
      </c>
      <c r="E128" s="17">
        <v>7.07000702E8</v>
      </c>
      <c r="F128" s="17">
        <v>-1.0</v>
      </c>
      <c r="G128" s="17">
        <v>-1.0</v>
      </c>
      <c r="H128" s="17">
        <v>-1.0</v>
      </c>
    </row>
    <row r="129">
      <c r="A129" s="17">
        <v>1630.0</v>
      </c>
      <c r="B129" s="17">
        <v>2.0</v>
      </c>
      <c r="C129" s="17">
        <v>6641100.0</v>
      </c>
      <c r="D129" s="17">
        <v>7.07000102E8</v>
      </c>
      <c r="E129" s="17">
        <v>7.07000602E8</v>
      </c>
      <c r="F129" s="17">
        <v>-1.0</v>
      </c>
      <c r="G129" s="17">
        <v>-1.0</v>
      </c>
      <c r="H129" s="17">
        <v>-1.0</v>
      </c>
    </row>
    <row r="130">
      <c r="A130" s="17">
        <v>1640.0</v>
      </c>
      <c r="B130" s="17">
        <v>3.0</v>
      </c>
      <c r="C130" s="17">
        <v>6644100.0</v>
      </c>
      <c r="D130" s="17">
        <v>7.07000002E8</v>
      </c>
      <c r="E130" s="17">
        <v>7.07000702E8</v>
      </c>
      <c r="F130" s="17">
        <v>-1.0</v>
      </c>
      <c r="G130" s="17">
        <v>-1.0</v>
      </c>
      <c r="H130" s="17">
        <v>-1.0</v>
      </c>
    </row>
    <row r="131">
      <c r="A131" s="17">
        <v>1650.0</v>
      </c>
      <c r="B131" s="17">
        <v>0.0</v>
      </c>
      <c r="C131" s="17">
        <v>6640000.0</v>
      </c>
      <c r="D131" s="17">
        <v>7.07000002E8</v>
      </c>
      <c r="E131" s="17">
        <v>7.07000102E8</v>
      </c>
      <c r="F131" s="17">
        <v>-1.0</v>
      </c>
      <c r="G131" s="17">
        <v>-1.0</v>
      </c>
      <c r="H131" s="17">
        <v>-1.0</v>
      </c>
    </row>
    <row r="132">
      <c r="A132" s="17">
        <v>1660.0</v>
      </c>
      <c r="B132" s="17">
        <v>0.0</v>
      </c>
      <c r="C132" s="17">
        <v>6641000.0</v>
      </c>
      <c r="D132" s="17">
        <v>7.07000302E8</v>
      </c>
      <c r="E132" s="17">
        <v>7.07000402E8</v>
      </c>
      <c r="F132" s="17">
        <v>-1.0</v>
      </c>
      <c r="G132" s="17">
        <v>-1.0</v>
      </c>
      <c r="H132" s="17">
        <v>-1.0</v>
      </c>
    </row>
    <row r="133">
      <c r="A133" s="17">
        <v>1670.0</v>
      </c>
      <c r="B133" s="17">
        <v>2.0</v>
      </c>
      <c r="C133" s="17">
        <v>6642100.0</v>
      </c>
      <c r="D133" s="17">
        <v>7.07000002E8</v>
      </c>
      <c r="E133" s="17">
        <v>7.07000302E8</v>
      </c>
      <c r="F133" s="17">
        <v>-1.0</v>
      </c>
      <c r="G133" s="17">
        <v>-1.0</v>
      </c>
      <c r="H133" s="17">
        <v>-1.0</v>
      </c>
    </row>
    <row r="134">
      <c r="A134" s="17">
        <v>1680.0</v>
      </c>
      <c r="B134" s="17">
        <v>1.0</v>
      </c>
      <c r="C134" s="17">
        <v>6640100.0</v>
      </c>
      <c r="D134" s="17">
        <v>7.07000502E8</v>
      </c>
      <c r="E134" s="17">
        <v>7.07000602E8</v>
      </c>
      <c r="F134" s="17">
        <v>-1.0</v>
      </c>
      <c r="G134" s="17">
        <v>-1.0</v>
      </c>
      <c r="H134" s="17">
        <v>-1.0</v>
      </c>
    </row>
    <row r="135">
      <c r="A135" s="17">
        <v>1690.0</v>
      </c>
      <c r="B135" s="17">
        <v>3.0</v>
      </c>
      <c r="C135" s="17">
        <v>6646100.0</v>
      </c>
      <c r="D135" s="17">
        <v>7.07000502E8</v>
      </c>
      <c r="E135" s="17">
        <v>7.07000602E8</v>
      </c>
      <c r="F135" s="17">
        <v>-1.0</v>
      </c>
      <c r="G135" s="17">
        <v>-1.0</v>
      </c>
      <c r="H135" s="17">
        <v>-1.0</v>
      </c>
    </row>
    <row r="136">
      <c r="A136" s="17">
        <v>1700.0</v>
      </c>
      <c r="B136" s="17">
        <v>1.0</v>
      </c>
      <c r="C136" s="17">
        <v>6643100.0</v>
      </c>
      <c r="D136" s="17">
        <v>7.07000102E8</v>
      </c>
      <c r="E136" s="17">
        <v>7.07000602E8</v>
      </c>
      <c r="F136" s="17">
        <v>-1.0</v>
      </c>
      <c r="G136" s="17">
        <v>-1.0</v>
      </c>
      <c r="H136" s="17">
        <v>-1.0</v>
      </c>
    </row>
    <row r="137">
      <c r="A137" s="17">
        <v>1710.0</v>
      </c>
      <c r="B137" s="17">
        <v>0.0</v>
      </c>
      <c r="C137" s="17">
        <v>6643000.0</v>
      </c>
      <c r="D137" s="17">
        <v>7.07000002E8</v>
      </c>
      <c r="E137" s="17">
        <v>7.07000302E8</v>
      </c>
      <c r="F137" s="17">
        <v>-1.0</v>
      </c>
      <c r="G137" s="17">
        <v>-1.0</v>
      </c>
      <c r="H137" s="17">
        <v>-1.0</v>
      </c>
    </row>
    <row r="138">
      <c r="A138" s="17">
        <v>1720.0</v>
      </c>
      <c r="B138" s="17">
        <v>0.0</v>
      </c>
      <c r="C138" s="17">
        <v>7.07121E8</v>
      </c>
      <c r="D138" s="17">
        <v>7.070501E8</v>
      </c>
      <c r="E138" s="17">
        <v>7.070302E8</v>
      </c>
      <c r="F138" s="17">
        <v>-1.0</v>
      </c>
      <c r="G138" s="17">
        <v>-1.0</v>
      </c>
      <c r="H138" s="17">
        <v>-1.0</v>
      </c>
    </row>
    <row r="139">
      <c r="A139" s="17">
        <v>1730.0</v>
      </c>
      <c r="B139" s="17">
        <v>1.0</v>
      </c>
      <c r="C139" s="17">
        <v>6060300.0</v>
      </c>
      <c r="D139" s="17">
        <v>7.070601E8</v>
      </c>
      <c r="E139" s="17">
        <v>6060500.0</v>
      </c>
      <c r="F139" s="17">
        <v>-1.0</v>
      </c>
      <c r="G139" s="17">
        <v>-1.0</v>
      </c>
      <c r="H139" s="17">
        <v>-1.0</v>
      </c>
    </row>
    <row r="140">
      <c r="A140" s="17">
        <v>1740.0</v>
      </c>
      <c r="B140" s="17">
        <v>2.0</v>
      </c>
      <c r="C140" s="17">
        <v>7.07000902E8</v>
      </c>
      <c r="D140" s="17">
        <v>7.070308E8</v>
      </c>
      <c r="E140" s="17">
        <v>7.0709E8</v>
      </c>
      <c r="F140" s="17">
        <v>-1.0</v>
      </c>
      <c r="G140" s="17">
        <v>-1.0</v>
      </c>
      <c r="H140" s="17">
        <v>-1.0</v>
      </c>
    </row>
    <row r="141">
      <c r="A141" s="17">
        <v>1750.0</v>
      </c>
      <c r="B141" s="17">
        <v>3.0</v>
      </c>
      <c r="C141" s="17">
        <v>7.0724E8</v>
      </c>
      <c r="D141" s="17">
        <v>7.070322E8</v>
      </c>
      <c r="E141" s="17">
        <v>7.07001409E8</v>
      </c>
      <c r="F141" s="17">
        <v>-1.0</v>
      </c>
      <c r="G141" s="17">
        <v>-1.0</v>
      </c>
      <c r="H141" s="17">
        <v>-1.0</v>
      </c>
    </row>
    <row r="142">
      <c r="A142" s="17">
        <v>1800.0</v>
      </c>
      <c r="B142" s="17">
        <v>2.0</v>
      </c>
      <c r="C142" s="17">
        <v>6645100.0</v>
      </c>
      <c r="D142" s="17">
        <v>7.07000302E8</v>
      </c>
      <c r="E142" s="17">
        <v>7.07000602E8</v>
      </c>
      <c r="F142" s="17">
        <v>-1.0</v>
      </c>
      <c r="G142" s="17">
        <v>-1.0</v>
      </c>
      <c r="H142" s="17">
        <v>-1.0</v>
      </c>
    </row>
    <row r="143">
      <c r="A143" s="17">
        <v>1820.0</v>
      </c>
      <c r="B143" s="17">
        <v>1.0</v>
      </c>
      <c r="C143" s="17">
        <v>6645000.0</v>
      </c>
      <c r="D143" s="17">
        <v>7.07000002E8</v>
      </c>
      <c r="E143" s="17">
        <v>7.07000202E8</v>
      </c>
      <c r="F143" s="17">
        <v>-1.0</v>
      </c>
      <c r="G143" s="17">
        <v>-1.0</v>
      </c>
      <c r="H143" s="17">
        <v>-1.0</v>
      </c>
    </row>
    <row r="144">
      <c r="A144" s="17">
        <v>1830.0</v>
      </c>
      <c r="B144" s="17">
        <v>1.0</v>
      </c>
      <c r="C144" s="17">
        <v>6646000.0</v>
      </c>
      <c r="D144" s="17">
        <v>7.07000002E8</v>
      </c>
      <c r="E144" s="17">
        <v>7.07000202E8</v>
      </c>
      <c r="F144" s="17">
        <v>-1.0</v>
      </c>
      <c r="G144" s="17">
        <v>-1.0</v>
      </c>
      <c r="H144" s="17">
        <v>-1.0</v>
      </c>
    </row>
    <row r="145">
      <c r="A145" s="17">
        <v>1850.0</v>
      </c>
      <c r="B145" s="17">
        <v>0.0</v>
      </c>
      <c r="C145" s="17">
        <v>6644000.0</v>
      </c>
      <c r="D145" s="17">
        <v>7.07000102E8</v>
      </c>
      <c r="E145" s="17">
        <v>7.07000502E8</v>
      </c>
      <c r="F145" s="17">
        <v>-1.0</v>
      </c>
      <c r="G145" s="17">
        <v>-1.0</v>
      </c>
      <c r="H145" s="17">
        <v>-1.0</v>
      </c>
    </row>
    <row r="146">
      <c r="A146" s="17">
        <v>1860.0</v>
      </c>
      <c r="B146" s="17">
        <v>0.0</v>
      </c>
      <c r="C146" s="17">
        <v>6647000.0</v>
      </c>
      <c r="D146" s="17">
        <v>7.07000002E8</v>
      </c>
      <c r="E146" s="17">
        <v>7.07000202E8</v>
      </c>
      <c r="F146" s="17">
        <v>-1.0</v>
      </c>
      <c r="G146" s="17">
        <v>-1.0</v>
      </c>
      <c r="H146" s="17">
        <v>-1.0</v>
      </c>
    </row>
    <row r="147">
      <c r="A147" s="17">
        <v>1870.0</v>
      </c>
      <c r="B147" s="17">
        <v>1.0</v>
      </c>
      <c r="C147" s="17">
        <v>6647400.0</v>
      </c>
      <c r="D147" s="17">
        <v>7.07000002E8</v>
      </c>
      <c r="E147" s="17">
        <v>7.07000402E8</v>
      </c>
      <c r="F147" s="17">
        <v>-1.0</v>
      </c>
      <c r="G147" s="17">
        <v>-1.0</v>
      </c>
      <c r="H147" s="17">
        <v>-1.0</v>
      </c>
    </row>
    <row r="148">
      <c r="A148" s="17">
        <v>1880.0</v>
      </c>
      <c r="B148" s="17">
        <v>3.0</v>
      </c>
      <c r="C148" s="17">
        <v>6647500.0</v>
      </c>
      <c r="D148" s="17">
        <v>7.07000102E8</v>
      </c>
      <c r="E148" s="17">
        <v>7.07000602E8</v>
      </c>
      <c r="F148" s="17">
        <v>-1.0</v>
      </c>
      <c r="G148" s="17">
        <v>-1.0</v>
      </c>
      <c r="H148" s="17">
        <v>-1.0</v>
      </c>
    </row>
    <row r="149">
      <c r="A149" s="17">
        <v>1890.0</v>
      </c>
      <c r="B149" s="17">
        <v>2.0</v>
      </c>
      <c r="C149" s="17">
        <v>6647100.0</v>
      </c>
      <c r="D149" s="17">
        <v>7.07000402E8</v>
      </c>
      <c r="E149" s="17">
        <v>7.07000702E8</v>
      </c>
      <c r="F149" s="17">
        <v>-1.0</v>
      </c>
      <c r="G149" s="17">
        <v>-1.0</v>
      </c>
      <c r="H149" s="17">
        <v>-1.0</v>
      </c>
    </row>
    <row r="150">
      <c r="A150" s="17">
        <v>1900.0</v>
      </c>
      <c r="B150" s="17">
        <v>0.0</v>
      </c>
      <c r="C150" s="17">
        <v>6647200.0</v>
      </c>
      <c r="D150" s="17">
        <v>7.07000002E8</v>
      </c>
      <c r="E150" s="17">
        <v>7.07000102E8</v>
      </c>
      <c r="F150" s="17">
        <v>-1.0</v>
      </c>
      <c r="G150" s="17">
        <v>-1.0</v>
      </c>
      <c r="H150" s="17">
        <v>-1.0</v>
      </c>
    </row>
    <row r="151">
      <c r="A151" s="17">
        <v>1920.0</v>
      </c>
      <c r="B151" s="17">
        <v>2.0</v>
      </c>
      <c r="C151" s="17">
        <v>6647300.0</v>
      </c>
      <c r="D151" s="17">
        <v>7.07000202E8</v>
      </c>
      <c r="E151" s="17">
        <v>7.07000402E8</v>
      </c>
      <c r="F151" s="17">
        <v>-1.0</v>
      </c>
      <c r="G151" s="17">
        <v>-1.0</v>
      </c>
      <c r="H151" s="17">
        <v>-1.0</v>
      </c>
    </row>
    <row r="152">
      <c r="A152" s="17">
        <v>2000.0</v>
      </c>
      <c r="B152" s="17">
        <v>3.0</v>
      </c>
      <c r="C152" s="17">
        <v>7.0710011E8</v>
      </c>
      <c r="D152" s="17">
        <v>7.071201E8</v>
      </c>
      <c r="E152" s="17">
        <v>-1.0</v>
      </c>
      <c r="F152" s="17">
        <v>-1.0</v>
      </c>
      <c r="G152" s="17">
        <v>-1.0</v>
      </c>
      <c r="H152" s="17">
        <v>-1.0</v>
      </c>
    </row>
    <row r="153">
      <c r="A153" s="17">
        <v>2001.0</v>
      </c>
      <c r="B153" s="17">
        <v>2.0</v>
      </c>
      <c r="C153" s="17">
        <v>7.0710011E8</v>
      </c>
      <c r="D153" s="17">
        <v>100000.0</v>
      </c>
      <c r="E153" s="17">
        <v>7.07001602E8</v>
      </c>
      <c r="F153" s="17">
        <v>-1.0</v>
      </c>
      <c r="G153" s="17">
        <v>-1.0</v>
      </c>
      <c r="H153" s="17">
        <v>-1.0</v>
      </c>
    </row>
    <row r="154">
      <c r="A154" s="17">
        <v>2010.0</v>
      </c>
      <c r="B154" s="17">
        <v>1.0</v>
      </c>
      <c r="C154" s="17">
        <v>7.07040201E8</v>
      </c>
      <c r="D154" s="17">
        <v>7.070308E8</v>
      </c>
      <c r="E154" s="17">
        <v>7.070351E8</v>
      </c>
      <c r="F154" s="17">
        <v>-1.0</v>
      </c>
      <c r="G154" s="17">
        <v>-1.0</v>
      </c>
      <c r="H154" s="17">
        <v>-1.0</v>
      </c>
    </row>
    <row r="155">
      <c r="A155" s="17">
        <v>2011.0</v>
      </c>
      <c r="B155" s="17">
        <v>0.0</v>
      </c>
      <c r="C155" s="17">
        <v>7.07040201E8</v>
      </c>
      <c r="D155" s="17">
        <v>7.070402E8</v>
      </c>
      <c r="E155" s="17">
        <v>7.070319E8</v>
      </c>
      <c r="F155" s="17">
        <v>-1.0</v>
      </c>
      <c r="G155" s="17">
        <v>-1.0</v>
      </c>
      <c r="H155" s="17">
        <v>-1.0</v>
      </c>
    </row>
    <row r="156">
      <c r="A156" s="17">
        <v>2020.0</v>
      </c>
      <c r="B156" s="17">
        <v>2.0</v>
      </c>
      <c r="C156" s="17">
        <v>7.0700019E8</v>
      </c>
      <c r="D156" s="17">
        <v>7.071205E8</v>
      </c>
      <c r="E156" s="17">
        <v>7.072608E8</v>
      </c>
      <c r="F156" s="17">
        <v>-1.0</v>
      </c>
      <c r="G156" s="17">
        <v>-1.0</v>
      </c>
      <c r="H156" s="17">
        <v>-1.0</v>
      </c>
    </row>
    <row r="157">
      <c r="A157" s="17">
        <v>2021.0</v>
      </c>
      <c r="B157" s="17">
        <v>3.0</v>
      </c>
      <c r="C157" s="17">
        <v>7.0700019E8</v>
      </c>
      <c r="D157" s="17">
        <v>7.070601E8</v>
      </c>
      <c r="E157" s="17">
        <v>7.07036E8</v>
      </c>
      <c r="F157" s="17">
        <v>-1.0</v>
      </c>
      <c r="G157" s="17">
        <v>-1.0</v>
      </c>
      <c r="H157" s="17">
        <v>-1.0</v>
      </c>
    </row>
    <row r="158">
      <c r="A158" s="17">
        <v>2030.0</v>
      </c>
      <c r="B158" s="17">
        <v>0.0</v>
      </c>
      <c r="C158" s="17">
        <v>7.0700009E8</v>
      </c>
      <c r="D158" s="17">
        <v>7.070102E8</v>
      </c>
      <c r="E158" s="17">
        <v>7.070501E8</v>
      </c>
      <c r="F158" s="17">
        <v>-1.0</v>
      </c>
      <c r="G158" s="17">
        <v>-1.0</v>
      </c>
      <c r="H158" s="17">
        <v>-1.0</v>
      </c>
    </row>
    <row r="159">
      <c r="A159" s="17">
        <v>2031.0</v>
      </c>
      <c r="B159" s="17">
        <v>1.0</v>
      </c>
      <c r="C159" s="17">
        <v>7.0700009E8</v>
      </c>
      <c r="D159" s="17">
        <v>7.070122E8</v>
      </c>
      <c r="E159" s="17">
        <v>7.070011E8</v>
      </c>
      <c r="F159" s="17">
        <v>-1.0</v>
      </c>
      <c r="G159" s="17">
        <v>-1.0</v>
      </c>
      <c r="H159" s="17">
        <v>-1.0</v>
      </c>
    </row>
    <row r="160">
      <c r="A160" s="17">
        <v>2040.0</v>
      </c>
      <c r="B160" s="17">
        <v>0.0</v>
      </c>
      <c r="C160" s="17">
        <v>7.07230001E8</v>
      </c>
      <c r="D160" s="17">
        <v>7.070354E8</v>
      </c>
      <c r="E160" s="17">
        <v>7.070355E8</v>
      </c>
      <c r="F160" s="17">
        <v>-1.0</v>
      </c>
      <c r="G160" s="17">
        <v>-1.0</v>
      </c>
      <c r="H160" s="17">
        <v>-1.0</v>
      </c>
    </row>
    <row r="161">
      <c r="A161" s="17">
        <v>2041.0</v>
      </c>
      <c r="B161" s="17">
        <v>1.0</v>
      </c>
      <c r="C161" s="17">
        <v>7.070322E8</v>
      </c>
      <c r="D161" s="17">
        <v>7.0703541E8</v>
      </c>
      <c r="E161" s="17">
        <v>7.0703551E8</v>
      </c>
      <c r="F161" s="17">
        <v>-1.0</v>
      </c>
      <c r="G161" s="17">
        <v>-1.0</v>
      </c>
      <c r="H161" s="17">
        <v>-1.0</v>
      </c>
    </row>
    <row r="162">
      <c r="A162" s="17">
        <v>2050.0</v>
      </c>
      <c r="B162" s="17">
        <v>3.0</v>
      </c>
      <c r="C162" s="17">
        <v>7.0700029E8</v>
      </c>
      <c r="D162" s="17">
        <v>7.0715E8</v>
      </c>
      <c r="E162" s="17">
        <v>7.0716E8</v>
      </c>
      <c r="F162" s="17">
        <v>-1.0</v>
      </c>
      <c r="G162" s="17">
        <v>-1.0</v>
      </c>
      <c r="H162" s="17">
        <v>-1.0</v>
      </c>
    </row>
    <row r="163">
      <c r="A163" s="17">
        <v>2051.0</v>
      </c>
      <c r="B163" s="17">
        <v>2.0</v>
      </c>
      <c r="C163" s="17">
        <v>7.0700029E8</v>
      </c>
      <c r="D163" s="17">
        <v>7.070358E8</v>
      </c>
      <c r="E163" s="17">
        <v>7.0709E8</v>
      </c>
      <c r="F163" s="17">
        <v>-1.0</v>
      </c>
      <c r="G163" s="17">
        <v>-1.0</v>
      </c>
      <c r="H163" s="17">
        <v>-1.0</v>
      </c>
    </row>
    <row r="164">
      <c r="A164" s="17">
        <v>2060.0</v>
      </c>
      <c r="B164" s="17">
        <v>2.0</v>
      </c>
      <c r="C164" s="17">
        <v>7.072607E8</v>
      </c>
      <c r="D164" s="17">
        <v>7.071239E8</v>
      </c>
      <c r="E164" s="17">
        <v>7.072604E8</v>
      </c>
      <c r="F164" s="17">
        <v>-1.0</v>
      </c>
      <c r="G164" s="17">
        <v>-1.0</v>
      </c>
      <c r="H164" s="17">
        <v>-1.0</v>
      </c>
    </row>
    <row r="165">
      <c r="A165" s="17">
        <v>2061.0</v>
      </c>
      <c r="B165" s="17">
        <v>3.0</v>
      </c>
      <c r="C165" s="17">
        <v>7.072607E8</v>
      </c>
      <c r="D165" s="17">
        <v>7.071204E8</v>
      </c>
      <c r="E165" s="17">
        <v>7.070062E8</v>
      </c>
      <c r="F165" s="17">
        <v>-1.0</v>
      </c>
      <c r="G165" s="17">
        <v>-1.0</v>
      </c>
      <c r="H165" s="17">
        <v>-1.0</v>
      </c>
    </row>
    <row r="166">
      <c r="A166" s="17">
        <v>2070.0</v>
      </c>
      <c r="B166" s="17">
        <v>1.0</v>
      </c>
      <c r="C166" s="17">
        <v>7.070066E8</v>
      </c>
      <c r="D166" s="17">
        <v>7.070067E8</v>
      </c>
      <c r="E166" s="17">
        <v>7.070065E8</v>
      </c>
      <c r="F166" s="17">
        <v>-1.0</v>
      </c>
      <c r="G166" s="17">
        <v>-1.0</v>
      </c>
      <c r="H166" s="17">
        <v>-1.0</v>
      </c>
    </row>
    <row r="167">
      <c r="A167" s="17">
        <v>2071.0</v>
      </c>
      <c r="B167" s="17">
        <v>0.0</v>
      </c>
      <c r="C167" s="17">
        <v>7.070066E8</v>
      </c>
      <c r="D167" s="17">
        <v>7.070067E8</v>
      </c>
      <c r="E167" s="17">
        <v>7.070378E8</v>
      </c>
      <c r="F167" s="17">
        <v>-1.0</v>
      </c>
      <c r="G167" s="17">
        <v>-1.0</v>
      </c>
      <c r="H167" s="17">
        <v>-1.0</v>
      </c>
    </row>
    <row r="168">
      <c r="A168" s="17">
        <v>2080.0</v>
      </c>
      <c r="B168" s="17">
        <v>0.0</v>
      </c>
      <c r="C168" s="17">
        <v>7.071701E8</v>
      </c>
      <c r="D168" s="17">
        <v>7.072609E8</v>
      </c>
      <c r="E168" s="17">
        <v>7.070377E8</v>
      </c>
      <c r="F168" s="17">
        <v>-1.0</v>
      </c>
      <c r="G168" s="17">
        <v>-1.0</v>
      </c>
      <c r="H168" s="17">
        <v>-1.0</v>
      </c>
    </row>
    <row r="169">
      <c r="A169" s="17">
        <v>2100.0</v>
      </c>
      <c r="B169" s="17">
        <v>1.0</v>
      </c>
      <c r="C169" s="17">
        <v>7.070357E8</v>
      </c>
      <c r="D169" s="17">
        <v>7.070358E8</v>
      </c>
      <c r="E169" s="17">
        <v>7.070359E8</v>
      </c>
      <c r="F169" s="17">
        <v>-1.0</v>
      </c>
      <c r="G169" s="17">
        <v>-1.0</v>
      </c>
      <c r="H169" s="17">
        <v>-1.0</v>
      </c>
    </row>
    <row r="170">
      <c r="A170" s="17">
        <v>10000.0</v>
      </c>
      <c r="B170" s="17">
        <v>3.0</v>
      </c>
      <c r="C170" s="17">
        <v>10000.0</v>
      </c>
      <c r="D170" s="17">
        <v>7.07000402E8</v>
      </c>
      <c r="E170" s="17">
        <v>-1.0</v>
      </c>
      <c r="F170" s="17">
        <v>-1.0</v>
      </c>
      <c r="G170" s="17">
        <v>-1.0</v>
      </c>
      <c r="H170" s="17">
        <v>-1.0</v>
      </c>
    </row>
    <row r="171">
      <c r="A171" s="17">
        <v>10001.0</v>
      </c>
      <c r="B171" s="17">
        <v>1.0</v>
      </c>
      <c r="C171" s="17">
        <v>10001.0</v>
      </c>
      <c r="D171" s="17">
        <v>7.07000602E8</v>
      </c>
      <c r="E171" s="17">
        <v>-1.0</v>
      </c>
      <c r="F171" s="17">
        <v>-1.0</v>
      </c>
      <c r="G171" s="17">
        <v>-1.0</v>
      </c>
      <c r="H171" s="17">
        <v>-1.0</v>
      </c>
    </row>
    <row r="172">
      <c r="A172" s="17">
        <v>10002.0</v>
      </c>
      <c r="B172" s="17">
        <v>1.0</v>
      </c>
      <c r="C172" s="17">
        <v>10002.0</v>
      </c>
      <c r="D172" s="17">
        <v>7.070404E8</v>
      </c>
      <c r="E172" s="17">
        <v>7.07E8</v>
      </c>
      <c r="F172" s="17">
        <v>-1.0</v>
      </c>
      <c r="G172" s="17">
        <v>-1.0</v>
      </c>
      <c r="H172" s="17">
        <v>-1.0</v>
      </c>
    </row>
    <row r="173">
      <c r="A173" s="17">
        <v>11000.0</v>
      </c>
      <c r="B173" s="17">
        <v>0.0</v>
      </c>
      <c r="C173" s="17">
        <v>7.0702E8</v>
      </c>
      <c r="D173" s="17">
        <v>7.070014E8</v>
      </c>
      <c r="E173" s="17">
        <v>-1.0</v>
      </c>
      <c r="F173" s="17">
        <v>-1.0</v>
      </c>
      <c r="G173" s="17">
        <v>-1.0</v>
      </c>
      <c r="H173" s="17">
        <v>-1.0</v>
      </c>
    </row>
    <row r="174">
      <c r="A174" s="17">
        <v>11001.0</v>
      </c>
      <c r="B174" s="17">
        <v>0.0</v>
      </c>
      <c r="C174" s="17">
        <v>7.070105E8</v>
      </c>
      <c r="D174" s="17">
        <v>11000.0</v>
      </c>
      <c r="E174" s="17">
        <v>7.071001E8</v>
      </c>
      <c r="F174" s="17">
        <v>-1.0</v>
      </c>
      <c r="G174" s="17">
        <v>-1.0</v>
      </c>
      <c r="H174" s="17">
        <v>-1.0</v>
      </c>
    </row>
    <row r="175">
      <c r="A175" s="17">
        <v>11002.0</v>
      </c>
      <c r="B175" s="17">
        <v>0.0</v>
      </c>
      <c r="C175" s="17">
        <v>11002.0</v>
      </c>
      <c r="D175" s="17">
        <v>7.07000902E8</v>
      </c>
      <c r="E175" s="17">
        <v>7.07000702E8</v>
      </c>
      <c r="F175" s="17">
        <v>-1.0</v>
      </c>
      <c r="G175" s="17">
        <v>-1.0</v>
      </c>
      <c r="H175" s="17">
        <v>-1.0</v>
      </c>
    </row>
    <row r="176">
      <c r="A176" s="17">
        <v>11003.0</v>
      </c>
      <c r="B176" s="17">
        <v>0.0</v>
      </c>
      <c r="C176" s="17">
        <v>7.07E8</v>
      </c>
      <c r="D176" s="17">
        <v>-1.0</v>
      </c>
      <c r="E176" s="17">
        <v>-1.0</v>
      </c>
      <c r="F176" s="17">
        <v>-1.0</v>
      </c>
      <c r="G176" s="17">
        <v>-1.0</v>
      </c>
      <c r="H176" s="17">
        <v>-1.0</v>
      </c>
    </row>
    <row r="177">
      <c r="A177" s="17">
        <v>11004.0</v>
      </c>
      <c r="B177" s="17">
        <v>0.0</v>
      </c>
      <c r="C177" s="17">
        <v>7.070004E8</v>
      </c>
      <c r="D177" s="17">
        <v>-1.0</v>
      </c>
      <c r="E177" s="17">
        <v>-1.0</v>
      </c>
      <c r="F177" s="17">
        <v>-1.0</v>
      </c>
      <c r="G177" s="17">
        <v>-1.0</v>
      </c>
      <c r="H177" s="17">
        <v>-1.0</v>
      </c>
    </row>
    <row r="178">
      <c r="A178" s="17">
        <v>12000.0</v>
      </c>
      <c r="B178" s="17">
        <v>0.0</v>
      </c>
      <c r="C178" s="17">
        <v>7.070116E8</v>
      </c>
      <c r="D178" s="17">
        <v>7.073418E8</v>
      </c>
      <c r="E178" s="17">
        <v>-1.0</v>
      </c>
      <c r="F178" s="17">
        <v>-1.0</v>
      </c>
      <c r="G178" s="17">
        <v>-1.0</v>
      </c>
      <c r="H178" s="17">
        <v>-1.0</v>
      </c>
    </row>
    <row r="179">
      <c r="A179" s="17">
        <v>12001.0</v>
      </c>
      <c r="B179" s="17">
        <v>0.0</v>
      </c>
      <c r="C179" s="17">
        <v>7.07011E8</v>
      </c>
      <c r="D179" s="17">
        <v>7.07000802E8</v>
      </c>
      <c r="E179" s="17">
        <v>-1.0</v>
      </c>
      <c r="F179" s="17">
        <v>-1.0</v>
      </c>
      <c r="G179" s="17">
        <v>-1.0</v>
      </c>
      <c r="H179" s="17">
        <v>-1.0</v>
      </c>
    </row>
    <row r="180">
      <c r="A180" s="17">
        <v>12002.0</v>
      </c>
      <c r="B180" s="17">
        <v>1.0</v>
      </c>
      <c r="C180" s="17">
        <v>12002.0</v>
      </c>
      <c r="D180" s="17">
        <v>7.070334E8</v>
      </c>
      <c r="E180" s="17">
        <v>7.07000002E8</v>
      </c>
      <c r="F180" s="17">
        <v>-1.0</v>
      </c>
      <c r="G180" s="17">
        <v>-1.0</v>
      </c>
      <c r="H180" s="17">
        <v>-1.0</v>
      </c>
    </row>
    <row r="181">
      <c r="A181" s="17">
        <v>12003.0</v>
      </c>
      <c r="B181" s="17">
        <v>1.0</v>
      </c>
      <c r="C181" s="17">
        <v>12002.0</v>
      </c>
      <c r="D181" s="17">
        <v>7.070334E8</v>
      </c>
      <c r="E181" s="17">
        <v>7.07000002E8</v>
      </c>
      <c r="F181" s="17">
        <v>-1.0</v>
      </c>
      <c r="G181" s="17">
        <v>-1.0</v>
      </c>
      <c r="H181" s="17">
        <v>-1.0</v>
      </c>
    </row>
    <row r="182">
      <c r="A182" s="17">
        <v>12004.0</v>
      </c>
      <c r="B182" s="17">
        <v>2.0</v>
      </c>
      <c r="C182" s="17">
        <v>7.070002E8</v>
      </c>
      <c r="D182" s="17">
        <v>-1.0</v>
      </c>
      <c r="E182" s="17">
        <v>-1.0</v>
      </c>
      <c r="F182" s="17">
        <v>-1.0</v>
      </c>
      <c r="G182" s="17">
        <v>-1.0</v>
      </c>
      <c r="H182" s="17">
        <v>-1.0</v>
      </c>
    </row>
    <row r="183">
      <c r="A183" s="17">
        <v>12005.0</v>
      </c>
      <c r="B183" s="17">
        <v>1.0</v>
      </c>
      <c r="C183" s="17">
        <v>7.070003E8</v>
      </c>
      <c r="D183" s="17">
        <v>-1.0</v>
      </c>
      <c r="E183" s="17">
        <v>-1.0</v>
      </c>
      <c r="F183" s="17">
        <v>-1.0</v>
      </c>
      <c r="G183" s="17">
        <v>-1.0</v>
      </c>
      <c r="H183" s="17">
        <v>-1.0</v>
      </c>
    </row>
    <row r="184">
      <c r="A184" s="17">
        <v>12006.0</v>
      </c>
      <c r="B184" s="17">
        <v>1.0</v>
      </c>
      <c r="C184" s="17">
        <v>7.070005E8</v>
      </c>
      <c r="D184" s="17">
        <v>-1.0</v>
      </c>
      <c r="E184" s="17">
        <v>-1.0</v>
      </c>
      <c r="F184" s="17">
        <v>-1.0</v>
      </c>
      <c r="G184" s="17">
        <v>-1.0</v>
      </c>
      <c r="H184" s="17">
        <v>-1.0</v>
      </c>
    </row>
    <row r="185">
      <c r="A185" s="17">
        <v>12007.0</v>
      </c>
      <c r="B185" s="17">
        <v>3.0</v>
      </c>
      <c r="C185" s="17">
        <v>7.070007E8</v>
      </c>
      <c r="D185" s="17">
        <v>-1.0</v>
      </c>
      <c r="E185" s="17">
        <v>-1.0</v>
      </c>
      <c r="F185" s="17">
        <v>-1.0</v>
      </c>
      <c r="G185" s="17">
        <v>-1.0</v>
      </c>
      <c r="H185" s="17">
        <v>-1.0</v>
      </c>
    </row>
    <row r="186">
      <c r="A186" s="17">
        <v>13001.0</v>
      </c>
      <c r="B186" s="17">
        <v>2.0</v>
      </c>
      <c r="C186" s="17">
        <v>7.0728E8</v>
      </c>
      <c r="D186" s="17">
        <v>7.070319E8</v>
      </c>
      <c r="E186" s="17">
        <v>-1.0</v>
      </c>
      <c r="F186" s="17">
        <v>-1.0</v>
      </c>
      <c r="G186" s="17">
        <v>-1.0</v>
      </c>
      <c r="H186" s="17">
        <v>-1.0</v>
      </c>
    </row>
    <row r="187">
      <c r="A187" s="17">
        <v>13002.0</v>
      </c>
      <c r="B187" s="17">
        <v>2.0</v>
      </c>
      <c r="C187" s="17">
        <v>7.070347E8</v>
      </c>
      <c r="D187" s="17">
        <v>7.071203E8</v>
      </c>
      <c r="E187" s="17">
        <v>7.073324E8</v>
      </c>
      <c r="F187" s="17">
        <v>-1.0</v>
      </c>
      <c r="G187" s="17">
        <v>-1.0</v>
      </c>
      <c r="H187" s="17">
        <v>-1.0</v>
      </c>
    </row>
    <row r="188">
      <c r="A188" s="17">
        <v>14000.0</v>
      </c>
      <c r="B188" s="17">
        <v>2.0</v>
      </c>
      <c r="C188" s="17">
        <v>7.0729E8</v>
      </c>
      <c r="D188" s="17">
        <v>7.070358E8</v>
      </c>
      <c r="E188" s="17">
        <v>-1.0</v>
      </c>
      <c r="F188" s="17">
        <v>-1.0</v>
      </c>
      <c r="G188" s="17">
        <v>-1.0</v>
      </c>
      <c r="H188" s="17">
        <v>-1.0</v>
      </c>
    </row>
    <row r="189">
      <c r="A189" s="17">
        <v>14001.0</v>
      </c>
      <c r="B189" s="17">
        <v>3.0</v>
      </c>
      <c r="C189" s="17">
        <v>7.070107E8</v>
      </c>
      <c r="D189" s="17">
        <v>7.0733E8</v>
      </c>
      <c r="E189" s="17">
        <v>-1.0</v>
      </c>
      <c r="F189" s="17">
        <v>-1.0</v>
      </c>
      <c r="G189" s="17">
        <v>-1.0</v>
      </c>
      <c r="H189" s="17">
        <v>-1.0</v>
      </c>
    </row>
    <row r="190">
      <c r="A190" s="17">
        <v>14002.0</v>
      </c>
      <c r="B190" s="17">
        <v>3.0</v>
      </c>
      <c r="C190" s="17">
        <v>7.070327E8</v>
      </c>
      <c r="D190" s="17">
        <v>7.070011E8</v>
      </c>
      <c r="E190" s="17">
        <v>7.07000002E8</v>
      </c>
      <c r="F190" s="17">
        <v>-1.0</v>
      </c>
      <c r="G190" s="17">
        <v>-1.0</v>
      </c>
      <c r="H190" s="17">
        <v>-1.0</v>
      </c>
    </row>
    <row r="191">
      <c r="A191" s="17">
        <v>15000.0</v>
      </c>
      <c r="B191" s="17">
        <v>1.0</v>
      </c>
      <c r="C191" s="17">
        <v>7.070313E8</v>
      </c>
      <c r="D191" s="17">
        <v>7.07000302E8</v>
      </c>
      <c r="E191" s="17">
        <v>-1.0</v>
      </c>
      <c r="F191" s="17">
        <v>-1.0</v>
      </c>
      <c r="G191" s="17">
        <v>-1.0</v>
      </c>
      <c r="H191" s="17">
        <v>-1.0</v>
      </c>
    </row>
    <row r="192">
      <c r="A192" s="17">
        <v>15002.0</v>
      </c>
      <c r="B192" s="17">
        <v>2.0</v>
      </c>
      <c r="C192" s="17">
        <v>7.070903E8</v>
      </c>
      <c r="D192" s="17">
        <v>7.0709E8</v>
      </c>
      <c r="E192" s="17">
        <v>7.07001002E8</v>
      </c>
      <c r="F192" s="17">
        <v>-1.0</v>
      </c>
      <c r="G192" s="17">
        <v>-1.0</v>
      </c>
      <c r="H192" s="17">
        <v>-1.0</v>
      </c>
    </row>
    <row r="193">
      <c r="A193" s="17">
        <v>16001.0</v>
      </c>
      <c r="B193" s="17">
        <v>1.0</v>
      </c>
      <c r="C193" s="17">
        <v>7.0722E8</v>
      </c>
      <c r="D193" s="17">
        <v>7.0711E8</v>
      </c>
      <c r="E193" s="17">
        <v>-1.0</v>
      </c>
      <c r="F193" s="17">
        <v>-1.0</v>
      </c>
      <c r="G193" s="17">
        <v>-1.0</v>
      </c>
      <c r="H193" s="17">
        <v>-1.0</v>
      </c>
    </row>
    <row r="194">
      <c r="A194" s="17">
        <v>16002.0</v>
      </c>
      <c r="B194" s="17">
        <v>1.0</v>
      </c>
      <c r="C194" s="17">
        <v>7.070112E8</v>
      </c>
      <c r="D194" s="17">
        <v>16002.0</v>
      </c>
      <c r="E194" s="17">
        <v>7.0709E8</v>
      </c>
      <c r="F194" s="17">
        <v>-1.0</v>
      </c>
      <c r="G194" s="17">
        <v>-1.0</v>
      </c>
      <c r="H194" s="17">
        <v>-1.0</v>
      </c>
    </row>
    <row r="195">
      <c r="A195" s="17">
        <v>17001.0</v>
      </c>
      <c r="B195" s="17">
        <v>3.0</v>
      </c>
      <c r="C195" s="17">
        <v>7.070328E8</v>
      </c>
      <c r="D195" s="17">
        <v>7.07001502E8</v>
      </c>
      <c r="E195" s="17">
        <v>-1.0</v>
      </c>
      <c r="F195" s="17">
        <v>-1.0</v>
      </c>
      <c r="G195" s="17">
        <v>-1.0</v>
      </c>
      <c r="H195" s="17">
        <v>-1.0</v>
      </c>
    </row>
    <row r="196">
      <c r="A196" s="17">
        <v>17002.0</v>
      </c>
      <c r="B196" s="17">
        <v>3.0</v>
      </c>
      <c r="C196" s="17">
        <v>7.070341E8</v>
      </c>
      <c r="D196" s="17">
        <v>17002.0</v>
      </c>
      <c r="E196" s="17">
        <v>7.07000502E8</v>
      </c>
      <c r="F196" s="17">
        <v>-1.0</v>
      </c>
      <c r="G196" s="17">
        <v>-1.0</v>
      </c>
      <c r="H196" s="17">
        <v>-1.0</v>
      </c>
    </row>
    <row r="197">
      <c r="A197" s="17">
        <v>18000.0</v>
      </c>
      <c r="B197" s="17">
        <v>3.0</v>
      </c>
      <c r="C197" s="17">
        <v>7.070345E8</v>
      </c>
      <c r="D197" s="17">
        <v>7.07000402E8</v>
      </c>
      <c r="E197" s="17">
        <v>-1.0</v>
      </c>
      <c r="F197" s="17">
        <v>-1.0</v>
      </c>
      <c r="G197" s="17">
        <v>-1.0</v>
      </c>
      <c r="H197" s="17">
        <v>-1.0</v>
      </c>
    </row>
    <row r="198">
      <c r="A198" s="17">
        <v>18002.0</v>
      </c>
      <c r="B198" s="17">
        <v>0.0</v>
      </c>
      <c r="C198" s="17">
        <v>7.070117E8</v>
      </c>
      <c r="D198" s="17">
        <v>7.070122E8</v>
      </c>
      <c r="E198" s="17">
        <v>7.070361E8</v>
      </c>
      <c r="F198" s="17">
        <v>-1.0</v>
      </c>
      <c r="G198" s="17">
        <v>-1.0</v>
      </c>
      <c r="H198" s="17">
        <v>-1.0</v>
      </c>
    </row>
    <row r="199">
      <c r="A199" s="17">
        <v>19000.0</v>
      </c>
      <c r="B199" s="17">
        <v>0.0</v>
      </c>
      <c r="C199" s="17">
        <v>7.070364E8</v>
      </c>
      <c r="D199" s="17">
        <v>7.0709E8</v>
      </c>
      <c r="E199" s="17">
        <v>7.070063E8</v>
      </c>
      <c r="F199" s="17">
        <v>-1.0</v>
      </c>
      <c r="G199" s="17">
        <v>-1.0</v>
      </c>
      <c r="H199" s="17">
        <v>-1.0</v>
      </c>
    </row>
    <row r="200">
      <c r="A200" s="17">
        <v>19001.0</v>
      </c>
      <c r="B200" s="17">
        <v>2.0</v>
      </c>
      <c r="C200" s="17">
        <v>7.070362E8</v>
      </c>
      <c r="D200" s="17">
        <v>19001.0</v>
      </c>
      <c r="E200" s="17">
        <v>7.07000802E8</v>
      </c>
      <c r="F200" s="17">
        <v>-1.0</v>
      </c>
      <c r="G200" s="17">
        <v>-1.0</v>
      </c>
      <c r="H200" s="17">
        <v>-1.0</v>
      </c>
    </row>
    <row r="201">
      <c r="A201" s="17">
        <v>19050.0</v>
      </c>
      <c r="B201" s="17">
        <v>1.0</v>
      </c>
      <c r="C201" s="17">
        <v>7.07037E8</v>
      </c>
      <c r="D201" s="17">
        <v>7.07001402E8</v>
      </c>
      <c r="E201" s="17">
        <v>7.070064E8</v>
      </c>
      <c r="F201" s="17">
        <v>-1.0</v>
      </c>
      <c r="G201" s="17">
        <v>-1.0</v>
      </c>
      <c r="H201" s="17">
        <v>-1.0</v>
      </c>
    </row>
    <row r="202">
      <c r="A202" s="17">
        <v>19051.0</v>
      </c>
      <c r="B202" s="17">
        <v>3.0</v>
      </c>
      <c r="C202" s="17">
        <v>7.070368E8</v>
      </c>
      <c r="D202" s="17">
        <v>7.07000902E8</v>
      </c>
      <c r="E202" s="17">
        <v>7.070376E8</v>
      </c>
      <c r="F202" s="17">
        <v>-1.0</v>
      </c>
      <c r="G202" s="17">
        <v>-1.0</v>
      </c>
      <c r="H202" s="17">
        <v>-1.0</v>
      </c>
    </row>
    <row r="203">
      <c r="A203" s="17">
        <v>20000.0</v>
      </c>
      <c r="B203" s="17">
        <v>0.0</v>
      </c>
      <c r="C203" s="17">
        <v>1.0</v>
      </c>
      <c r="D203" s="17">
        <v>-1.0</v>
      </c>
      <c r="E203" s="17">
        <v>-1.0</v>
      </c>
      <c r="F203" s="17">
        <v>-1.0</v>
      </c>
      <c r="G203" s="17">
        <v>-1.0</v>
      </c>
      <c r="H203" s="17">
        <v>-1.0</v>
      </c>
    </row>
    <row r="204">
      <c r="A204" s="17">
        <v>20001.0</v>
      </c>
      <c r="B204" s="17">
        <v>0.0</v>
      </c>
      <c r="C204" s="17">
        <v>1.0</v>
      </c>
      <c r="D204" s="17">
        <v>1.0</v>
      </c>
      <c r="E204" s="17">
        <v>-1.0</v>
      </c>
      <c r="F204" s="17">
        <v>-1.0</v>
      </c>
      <c r="G204" s="17">
        <v>-1.0</v>
      </c>
      <c r="H204" s="17">
        <v>-1.0</v>
      </c>
    </row>
    <row r="205">
      <c r="A205" s="17">
        <v>20002.0</v>
      </c>
      <c r="B205" s="17">
        <v>0.0</v>
      </c>
      <c r="C205" s="17">
        <v>1.0</v>
      </c>
      <c r="D205" s="17">
        <v>1.0</v>
      </c>
      <c r="E205" s="17">
        <v>1.0</v>
      </c>
      <c r="F205" s="17">
        <v>-1.0</v>
      </c>
      <c r="G205" s="17">
        <v>-1.0</v>
      </c>
      <c r="H205" s="17">
        <v>-1.0</v>
      </c>
    </row>
    <row r="206">
      <c r="A206" s="17">
        <v>20003.0</v>
      </c>
      <c r="B206" s="17">
        <v>0.0</v>
      </c>
      <c r="C206" s="17">
        <v>1.0</v>
      </c>
      <c r="D206" s="17">
        <v>-1.0</v>
      </c>
      <c r="E206" s="17">
        <v>-1.0</v>
      </c>
      <c r="F206" s="17">
        <v>-1.0</v>
      </c>
      <c r="G206" s="17">
        <v>-1.0</v>
      </c>
      <c r="H206" s="17">
        <v>-1.0</v>
      </c>
    </row>
    <row r="207">
      <c r="A207" s="17">
        <v>20004.0</v>
      </c>
      <c r="B207" s="17">
        <v>0.0</v>
      </c>
      <c r="C207" s="17">
        <v>1.0</v>
      </c>
      <c r="D207" s="17">
        <v>1.0</v>
      </c>
      <c r="E207" s="17">
        <v>-1.0</v>
      </c>
      <c r="F207" s="17">
        <v>-1.0</v>
      </c>
      <c r="G207" s="17">
        <v>-1.0</v>
      </c>
      <c r="H207" s="17">
        <v>-1.0</v>
      </c>
    </row>
    <row r="208">
      <c r="A208" s="17">
        <v>20005.0</v>
      </c>
      <c r="B208" s="17">
        <v>0.0</v>
      </c>
      <c r="C208" s="17">
        <v>1.0</v>
      </c>
      <c r="D208" s="17">
        <v>1.0</v>
      </c>
      <c r="E208" s="17">
        <v>1.0</v>
      </c>
      <c r="F208" s="17">
        <v>-1.0</v>
      </c>
      <c r="G208" s="17">
        <v>-1.0</v>
      </c>
      <c r="H208" s="17">
        <v>-1.0</v>
      </c>
    </row>
    <row r="209">
      <c r="A209" s="17">
        <v>20006.0</v>
      </c>
      <c r="B209" s="17">
        <v>0.0</v>
      </c>
      <c r="C209" s="17">
        <v>1.0</v>
      </c>
      <c r="D209" s="17">
        <v>-1.0</v>
      </c>
      <c r="E209" s="17">
        <v>-1.0</v>
      </c>
      <c r="F209" s="17">
        <v>-1.0</v>
      </c>
      <c r="G209" s="17">
        <v>-1.0</v>
      </c>
      <c r="H209" s="17">
        <v>-1.0</v>
      </c>
    </row>
    <row r="210">
      <c r="A210" s="17">
        <v>20007.0</v>
      </c>
      <c r="B210" s="17">
        <v>0.0</v>
      </c>
      <c r="C210" s="17">
        <v>1.0</v>
      </c>
      <c r="D210" s="17">
        <v>1.0</v>
      </c>
      <c r="E210" s="17">
        <v>-1.0</v>
      </c>
      <c r="F210" s="17">
        <v>-1.0</v>
      </c>
      <c r="G210" s="17">
        <v>-1.0</v>
      </c>
      <c r="H210" s="17">
        <v>-1.0</v>
      </c>
    </row>
    <row r="211">
      <c r="A211" s="17">
        <v>20008.0</v>
      </c>
      <c r="B211" s="17">
        <v>0.0</v>
      </c>
      <c r="C211" s="17">
        <v>1.0</v>
      </c>
      <c r="D211" s="17">
        <v>1.0</v>
      </c>
      <c r="E211" s="17">
        <v>1.0</v>
      </c>
      <c r="F211" s="17">
        <v>-1.0</v>
      </c>
      <c r="G211" s="17">
        <v>-1.0</v>
      </c>
      <c r="H211" s="17">
        <v>-1.0</v>
      </c>
    </row>
    <row r="212">
      <c r="A212" s="17">
        <v>20009.0</v>
      </c>
      <c r="B212" s="17">
        <v>1.0</v>
      </c>
      <c r="C212" s="17">
        <v>1.0</v>
      </c>
      <c r="D212" s="17">
        <v>-1.0</v>
      </c>
      <c r="E212" s="17">
        <v>-1.0</v>
      </c>
      <c r="F212" s="17">
        <v>-1.0</v>
      </c>
      <c r="G212" s="17">
        <v>-1.0</v>
      </c>
      <c r="H212" s="17">
        <v>-1.0</v>
      </c>
    </row>
    <row r="213">
      <c r="A213" s="17">
        <v>20010.0</v>
      </c>
      <c r="B213" s="17">
        <v>1.0</v>
      </c>
      <c r="C213" s="17">
        <v>1.0</v>
      </c>
      <c r="D213" s="17">
        <v>1.0</v>
      </c>
      <c r="E213" s="17">
        <v>-1.0</v>
      </c>
      <c r="F213" s="17">
        <v>-1.0</v>
      </c>
      <c r="G213" s="17">
        <v>-1.0</v>
      </c>
      <c r="H213" s="17">
        <v>-1.0</v>
      </c>
    </row>
    <row r="214">
      <c r="A214" s="17">
        <v>20011.0</v>
      </c>
      <c r="B214" s="17">
        <v>1.0</v>
      </c>
      <c r="C214" s="17">
        <v>1.0</v>
      </c>
      <c r="D214" s="17">
        <v>1.0</v>
      </c>
      <c r="E214" s="17">
        <v>1.0</v>
      </c>
      <c r="F214" s="17">
        <v>-1.0</v>
      </c>
      <c r="G214" s="17">
        <v>-1.0</v>
      </c>
      <c r="H214" s="17">
        <v>-1.0</v>
      </c>
    </row>
    <row r="215">
      <c r="A215" s="17">
        <v>20012.0</v>
      </c>
      <c r="B215" s="17">
        <v>1.0</v>
      </c>
      <c r="C215" s="17">
        <v>1.0</v>
      </c>
      <c r="D215" s="17">
        <v>-1.0</v>
      </c>
      <c r="E215" s="17">
        <v>-1.0</v>
      </c>
      <c r="F215" s="17">
        <v>-1.0</v>
      </c>
      <c r="G215" s="17">
        <v>-1.0</v>
      </c>
      <c r="H215" s="17">
        <v>-1.0</v>
      </c>
    </row>
    <row r="216">
      <c r="A216" s="17">
        <v>20013.0</v>
      </c>
      <c r="B216" s="17">
        <v>1.0</v>
      </c>
      <c r="C216" s="17">
        <v>1.0</v>
      </c>
      <c r="D216" s="17">
        <v>1.0</v>
      </c>
      <c r="E216" s="17">
        <v>-1.0</v>
      </c>
      <c r="F216" s="17">
        <v>-1.0</v>
      </c>
      <c r="G216" s="17">
        <v>-1.0</v>
      </c>
      <c r="H216" s="17">
        <v>-1.0</v>
      </c>
    </row>
    <row r="217">
      <c r="A217" s="17">
        <v>20014.0</v>
      </c>
      <c r="B217" s="17">
        <v>1.0</v>
      </c>
      <c r="C217" s="17">
        <v>1.0</v>
      </c>
      <c r="D217" s="17">
        <v>1.0</v>
      </c>
      <c r="E217" s="17">
        <v>1.0</v>
      </c>
      <c r="F217" s="17">
        <v>-1.0</v>
      </c>
      <c r="G217" s="17">
        <v>-1.0</v>
      </c>
      <c r="H217" s="17">
        <v>-1.0</v>
      </c>
    </row>
    <row r="218">
      <c r="A218" s="17">
        <v>20015.0</v>
      </c>
      <c r="B218" s="17">
        <v>1.0</v>
      </c>
      <c r="C218" s="17">
        <v>1.0</v>
      </c>
      <c r="D218" s="17">
        <v>-1.0</v>
      </c>
      <c r="E218" s="17">
        <v>-1.0</v>
      </c>
      <c r="F218" s="17">
        <v>-1.0</v>
      </c>
      <c r="G218" s="17">
        <v>-1.0</v>
      </c>
      <c r="H218" s="17">
        <v>-1.0</v>
      </c>
    </row>
    <row r="219">
      <c r="A219" s="17">
        <v>20016.0</v>
      </c>
      <c r="B219" s="17">
        <v>1.0</v>
      </c>
      <c r="C219" s="17">
        <v>1.0</v>
      </c>
      <c r="D219" s="17">
        <v>1.0</v>
      </c>
      <c r="E219" s="17">
        <v>-1.0</v>
      </c>
      <c r="F219" s="17">
        <v>-1.0</v>
      </c>
      <c r="G219" s="17">
        <v>-1.0</v>
      </c>
      <c r="H219" s="17">
        <v>-1.0</v>
      </c>
    </row>
    <row r="220">
      <c r="A220" s="17">
        <v>20017.0</v>
      </c>
      <c r="B220" s="17">
        <v>1.0</v>
      </c>
      <c r="C220" s="17">
        <v>1.0</v>
      </c>
      <c r="D220" s="17">
        <v>1.0</v>
      </c>
      <c r="E220" s="17">
        <v>1.0</v>
      </c>
      <c r="F220" s="17">
        <v>-1.0</v>
      </c>
      <c r="G220" s="17">
        <v>-1.0</v>
      </c>
      <c r="H220" s="17">
        <v>-1.0</v>
      </c>
    </row>
    <row r="221">
      <c r="A221" s="17">
        <v>20018.0</v>
      </c>
      <c r="B221" s="17">
        <v>2.0</v>
      </c>
      <c r="C221" s="17">
        <v>1.0</v>
      </c>
      <c r="D221" s="17">
        <v>-1.0</v>
      </c>
      <c r="E221" s="17">
        <v>-1.0</v>
      </c>
      <c r="F221" s="17">
        <v>-1.0</v>
      </c>
      <c r="G221" s="17">
        <v>-1.0</v>
      </c>
      <c r="H221" s="17">
        <v>-1.0</v>
      </c>
    </row>
    <row r="222">
      <c r="A222" s="17">
        <v>20019.0</v>
      </c>
      <c r="B222" s="17">
        <v>2.0</v>
      </c>
      <c r="C222" s="17">
        <v>1.0</v>
      </c>
      <c r="D222" s="17">
        <v>1.0</v>
      </c>
      <c r="E222" s="17">
        <v>-1.0</v>
      </c>
      <c r="F222" s="17">
        <v>-1.0</v>
      </c>
      <c r="G222" s="17">
        <v>-1.0</v>
      </c>
      <c r="H222" s="17">
        <v>-1.0</v>
      </c>
    </row>
    <row r="223">
      <c r="A223" s="17">
        <v>20020.0</v>
      </c>
      <c r="B223" s="17">
        <v>2.0</v>
      </c>
      <c r="C223" s="17">
        <v>1.0</v>
      </c>
      <c r="D223" s="17">
        <v>1.0</v>
      </c>
      <c r="E223" s="17">
        <v>1.0</v>
      </c>
      <c r="F223" s="17">
        <v>-1.0</v>
      </c>
      <c r="G223" s="17">
        <v>-1.0</v>
      </c>
      <c r="H223" s="17">
        <v>-1.0</v>
      </c>
    </row>
    <row r="224">
      <c r="A224" s="17">
        <v>20021.0</v>
      </c>
      <c r="B224" s="17">
        <v>2.0</v>
      </c>
      <c r="C224" s="17">
        <v>1.0</v>
      </c>
      <c r="D224" s="17">
        <v>-1.0</v>
      </c>
      <c r="E224" s="17">
        <v>-1.0</v>
      </c>
      <c r="F224" s="17">
        <v>-1.0</v>
      </c>
      <c r="G224" s="17">
        <v>-1.0</v>
      </c>
      <c r="H224" s="17">
        <v>-1.0</v>
      </c>
    </row>
    <row r="225">
      <c r="A225" s="17">
        <v>20022.0</v>
      </c>
      <c r="B225" s="17">
        <v>2.0</v>
      </c>
      <c r="C225" s="17">
        <v>1.0</v>
      </c>
      <c r="D225" s="17">
        <v>1.0</v>
      </c>
      <c r="E225" s="17">
        <v>-1.0</v>
      </c>
      <c r="F225" s="17">
        <v>-1.0</v>
      </c>
      <c r="G225" s="17">
        <v>-1.0</v>
      </c>
      <c r="H225" s="17">
        <v>-1.0</v>
      </c>
    </row>
    <row r="226">
      <c r="A226" s="17">
        <v>20023.0</v>
      </c>
      <c r="B226" s="17">
        <v>2.0</v>
      </c>
      <c r="C226" s="17">
        <v>1.0</v>
      </c>
      <c r="D226" s="17">
        <v>1.0</v>
      </c>
      <c r="E226" s="17">
        <v>1.0</v>
      </c>
      <c r="F226" s="17">
        <v>-1.0</v>
      </c>
      <c r="G226" s="17">
        <v>-1.0</v>
      </c>
      <c r="H226" s="17">
        <v>-1.0</v>
      </c>
    </row>
    <row r="227">
      <c r="A227" s="17">
        <v>20024.0</v>
      </c>
      <c r="B227" s="17">
        <v>2.0</v>
      </c>
      <c r="C227" s="17">
        <v>1.0</v>
      </c>
      <c r="D227" s="17">
        <v>-1.0</v>
      </c>
      <c r="E227" s="17">
        <v>-1.0</v>
      </c>
      <c r="F227" s="17">
        <v>-1.0</v>
      </c>
      <c r="G227" s="17">
        <v>-1.0</v>
      </c>
      <c r="H227" s="17">
        <v>-1.0</v>
      </c>
    </row>
    <row r="228">
      <c r="A228" s="17">
        <v>20025.0</v>
      </c>
      <c r="B228" s="17">
        <v>2.0</v>
      </c>
      <c r="C228" s="17">
        <v>1.0</v>
      </c>
      <c r="D228" s="17">
        <v>1.0</v>
      </c>
      <c r="E228" s="17">
        <v>-1.0</v>
      </c>
      <c r="F228" s="17">
        <v>-1.0</v>
      </c>
      <c r="G228" s="17">
        <v>-1.0</v>
      </c>
      <c r="H228" s="17">
        <v>-1.0</v>
      </c>
    </row>
    <row r="229">
      <c r="A229" s="17">
        <v>20026.0</v>
      </c>
      <c r="B229" s="17">
        <v>2.0</v>
      </c>
      <c r="C229" s="17">
        <v>1.0</v>
      </c>
      <c r="D229" s="17">
        <v>1.0</v>
      </c>
      <c r="E229" s="17">
        <v>1.0</v>
      </c>
      <c r="F229" s="17">
        <v>-1.0</v>
      </c>
      <c r="G229" s="17">
        <v>-1.0</v>
      </c>
      <c r="H229" s="17">
        <v>-1.0</v>
      </c>
    </row>
    <row r="230">
      <c r="A230" s="17">
        <v>20027.0</v>
      </c>
      <c r="B230" s="17">
        <v>3.0</v>
      </c>
      <c r="C230" s="17">
        <v>1.0</v>
      </c>
      <c r="D230" s="17">
        <v>-1.0</v>
      </c>
      <c r="E230" s="17">
        <v>-1.0</v>
      </c>
      <c r="F230" s="17">
        <v>-1.0</v>
      </c>
      <c r="G230" s="17">
        <v>-1.0</v>
      </c>
      <c r="H230" s="17">
        <v>-1.0</v>
      </c>
    </row>
    <row r="231">
      <c r="A231" s="17">
        <v>20028.0</v>
      </c>
      <c r="B231" s="17">
        <v>3.0</v>
      </c>
      <c r="C231" s="17">
        <v>1.0</v>
      </c>
      <c r="D231" s="17">
        <v>1.0</v>
      </c>
      <c r="E231" s="17">
        <v>-1.0</v>
      </c>
      <c r="F231" s="17">
        <v>-1.0</v>
      </c>
      <c r="G231" s="17">
        <v>-1.0</v>
      </c>
      <c r="H231" s="17">
        <v>-1.0</v>
      </c>
    </row>
    <row r="232">
      <c r="A232" s="17">
        <v>20029.0</v>
      </c>
      <c r="B232" s="17">
        <v>3.0</v>
      </c>
      <c r="C232" s="17">
        <v>1.0</v>
      </c>
      <c r="D232" s="17">
        <v>1.0</v>
      </c>
      <c r="E232" s="17">
        <v>1.0</v>
      </c>
      <c r="F232" s="17">
        <v>-1.0</v>
      </c>
      <c r="G232" s="17">
        <v>-1.0</v>
      </c>
      <c r="H232" s="17">
        <v>-1.0</v>
      </c>
    </row>
    <row r="233">
      <c r="A233" s="17">
        <v>20030.0</v>
      </c>
      <c r="B233" s="17">
        <v>3.0</v>
      </c>
      <c r="C233" s="17">
        <v>1.0</v>
      </c>
      <c r="D233" s="17">
        <v>-1.0</v>
      </c>
      <c r="E233" s="17">
        <v>-1.0</v>
      </c>
      <c r="F233" s="17">
        <v>-1.0</v>
      </c>
      <c r="G233" s="17">
        <v>-1.0</v>
      </c>
      <c r="H233" s="17">
        <v>-1.0</v>
      </c>
    </row>
    <row r="234">
      <c r="A234" s="17">
        <v>20031.0</v>
      </c>
      <c r="B234" s="17">
        <v>3.0</v>
      </c>
      <c r="C234" s="17">
        <v>1.0</v>
      </c>
      <c r="D234" s="17">
        <v>1.0</v>
      </c>
      <c r="E234" s="17">
        <v>-1.0</v>
      </c>
      <c r="F234" s="17">
        <v>-1.0</v>
      </c>
      <c r="G234" s="17">
        <v>-1.0</v>
      </c>
      <c r="H234" s="17">
        <v>-1.0</v>
      </c>
    </row>
    <row r="235">
      <c r="A235" s="17">
        <v>20032.0</v>
      </c>
      <c r="B235" s="17">
        <v>3.0</v>
      </c>
      <c r="C235" s="17">
        <v>1.0</v>
      </c>
      <c r="D235" s="17">
        <v>1.0</v>
      </c>
      <c r="E235" s="17">
        <v>1.0</v>
      </c>
      <c r="F235" s="17">
        <v>-1.0</v>
      </c>
      <c r="G235" s="17">
        <v>-1.0</v>
      </c>
      <c r="H235" s="17">
        <v>-1.0</v>
      </c>
    </row>
    <row r="236">
      <c r="A236" s="17">
        <v>20033.0</v>
      </c>
      <c r="B236" s="17">
        <v>3.0</v>
      </c>
      <c r="C236" s="17">
        <v>1.0</v>
      </c>
      <c r="D236" s="17">
        <v>-1.0</v>
      </c>
      <c r="E236" s="17">
        <v>-1.0</v>
      </c>
      <c r="F236" s="17">
        <v>-1.0</v>
      </c>
      <c r="G236" s="17">
        <v>-1.0</v>
      </c>
      <c r="H236" s="17">
        <v>-1.0</v>
      </c>
    </row>
    <row r="237">
      <c r="A237" s="17">
        <v>20034.0</v>
      </c>
      <c r="B237" s="17">
        <v>3.0</v>
      </c>
      <c r="C237" s="17">
        <v>1.0</v>
      </c>
      <c r="D237" s="17">
        <v>1.0</v>
      </c>
      <c r="E237" s="17">
        <v>-1.0</v>
      </c>
      <c r="F237" s="17">
        <v>-1.0</v>
      </c>
      <c r="G237" s="17">
        <v>-1.0</v>
      </c>
      <c r="H237" s="17">
        <v>-1.0</v>
      </c>
    </row>
    <row r="238">
      <c r="A238" s="17">
        <v>20035.0</v>
      </c>
      <c r="B238" s="17">
        <v>3.0</v>
      </c>
      <c r="C238" s="17">
        <v>1.0</v>
      </c>
      <c r="D238" s="17">
        <v>1.0</v>
      </c>
      <c r="E238" s="17">
        <v>1.0</v>
      </c>
      <c r="F238" s="17">
        <v>-1.0</v>
      </c>
      <c r="G238" s="17">
        <v>-1.0</v>
      </c>
      <c r="H238" s="17">
        <v>-1.0</v>
      </c>
    </row>
    <row r="239">
      <c r="A239" s="17">
        <v>30000.0</v>
      </c>
      <c r="B239" s="17">
        <v>0.0</v>
      </c>
      <c r="C239" s="17">
        <v>1.0</v>
      </c>
      <c r="D239" s="17">
        <v>-1.0</v>
      </c>
      <c r="E239" s="17">
        <v>-1.0</v>
      </c>
      <c r="F239" s="17">
        <v>-1.0</v>
      </c>
      <c r="G239" s="17">
        <v>-1.0</v>
      </c>
      <c r="H239" s="17">
        <v>-1.0</v>
      </c>
    </row>
    <row r="240">
      <c r="A240" s="17">
        <v>30001.0</v>
      </c>
      <c r="B240" s="17">
        <v>0.0</v>
      </c>
      <c r="C240" s="17">
        <v>1.0</v>
      </c>
      <c r="D240" s="17">
        <v>1.0</v>
      </c>
      <c r="E240" s="17">
        <v>-1.0</v>
      </c>
      <c r="F240" s="17">
        <v>-1.0</v>
      </c>
      <c r="G240" s="17">
        <v>-1.0</v>
      </c>
      <c r="H240" s="17">
        <v>-1.0</v>
      </c>
    </row>
    <row r="241">
      <c r="A241" s="17">
        <v>30002.0</v>
      </c>
      <c r="B241" s="17">
        <v>0.0</v>
      </c>
      <c r="C241" s="17">
        <v>1.0</v>
      </c>
      <c r="D241" s="17">
        <v>1.0</v>
      </c>
      <c r="E241" s="17">
        <v>1.0</v>
      </c>
      <c r="F241" s="17">
        <v>-1.0</v>
      </c>
      <c r="G241" s="17">
        <v>-1.0</v>
      </c>
      <c r="H241" s="17">
        <v>-1.0</v>
      </c>
    </row>
    <row r="242">
      <c r="A242" s="17">
        <v>30003.0</v>
      </c>
      <c r="B242" s="17">
        <v>0.0</v>
      </c>
      <c r="C242" s="17">
        <v>1.0</v>
      </c>
      <c r="D242" s="17">
        <v>-1.0</v>
      </c>
      <c r="E242" s="17">
        <v>-1.0</v>
      </c>
      <c r="F242" s="17">
        <v>-1.0</v>
      </c>
      <c r="G242" s="17">
        <v>-1.0</v>
      </c>
      <c r="H242" s="17">
        <v>-1.0</v>
      </c>
    </row>
    <row r="243">
      <c r="A243" s="17">
        <v>30004.0</v>
      </c>
      <c r="B243" s="17">
        <v>0.0</v>
      </c>
      <c r="C243" s="17">
        <v>1.0</v>
      </c>
      <c r="D243" s="17">
        <v>1.0</v>
      </c>
      <c r="E243" s="17">
        <v>-1.0</v>
      </c>
      <c r="F243" s="17">
        <v>-1.0</v>
      </c>
      <c r="G243" s="17">
        <v>-1.0</v>
      </c>
      <c r="H243" s="17">
        <v>-1.0</v>
      </c>
    </row>
    <row r="244">
      <c r="A244" s="17">
        <v>30005.0</v>
      </c>
      <c r="B244" s="17">
        <v>0.0</v>
      </c>
      <c r="C244" s="17">
        <v>1.0</v>
      </c>
      <c r="D244" s="17">
        <v>1.0</v>
      </c>
      <c r="E244" s="17">
        <v>1.0</v>
      </c>
      <c r="F244" s="17">
        <v>-1.0</v>
      </c>
      <c r="G244" s="17">
        <v>-1.0</v>
      </c>
      <c r="H244" s="17">
        <v>-1.0</v>
      </c>
    </row>
    <row r="245">
      <c r="A245" s="17">
        <v>30006.0</v>
      </c>
      <c r="B245" s="17">
        <v>0.0</v>
      </c>
      <c r="C245" s="17">
        <v>1.0</v>
      </c>
      <c r="D245" s="17">
        <v>-1.0</v>
      </c>
      <c r="E245" s="17">
        <v>-1.0</v>
      </c>
      <c r="F245" s="17">
        <v>-1.0</v>
      </c>
      <c r="G245" s="17">
        <v>-1.0</v>
      </c>
      <c r="H245" s="17">
        <v>-1.0</v>
      </c>
    </row>
    <row r="246">
      <c r="A246" s="17">
        <v>30007.0</v>
      </c>
      <c r="B246" s="17">
        <v>0.0</v>
      </c>
      <c r="C246" s="17">
        <v>1.0</v>
      </c>
      <c r="D246" s="17">
        <v>1.0</v>
      </c>
      <c r="E246" s="17">
        <v>-1.0</v>
      </c>
      <c r="F246" s="17">
        <v>-1.0</v>
      </c>
      <c r="G246" s="17">
        <v>-1.0</v>
      </c>
      <c r="H246" s="17">
        <v>-1.0</v>
      </c>
    </row>
    <row r="247">
      <c r="A247" s="17">
        <v>30008.0</v>
      </c>
      <c r="B247" s="17">
        <v>0.0</v>
      </c>
      <c r="C247" s="17">
        <v>1.0</v>
      </c>
      <c r="D247" s="17">
        <v>1.0</v>
      </c>
      <c r="E247" s="17">
        <v>1.0</v>
      </c>
      <c r="F247" s="17">
        <v>-1.0</v>
      </c>
      <c r="G247" s="17">
        <v>-1.0</v>
      </c>
      <c r="H247" s="17">
        <v>-1.0</v>
      </c>
    </row>
    <row r="248">
      <c r="A248" s="17">
        <v>30009.0</v>
      </c>
      <c r="B248" s="17">
        <v>1.0</v>
      </c>
      <c r="C248" s="17">
        <v>1.0</v>
      </c>
      <c r="D248" s="17">
        <v>-1.0</v>
      </c>
      <c r="E248" s="17">
        <v>-1.0</v>
      </c>
      <c r="F248" s="17">
        <v>-1.0</v>
      </c>
      <c r="G248" s="17">
        <v>-1.0</v>
      </c>
      <c r="H248" s="17">
        <v>-1.0</v>
      </c>
    </row>
    <row r="249">
      <c r="A249" s="17">
        <v>30010.0</v>
      </c>
      <c r="B249" s="17">
        <v>1.0</v>
      </c>
      <c r="C249" s="17">
        <v>1.0</v>
      </c>
      <c r="D249" s="17">
        <v>1.0</v>
      </c>
      <c r="E249" s="17">
        <v>-1.0</v>
      </c>
      <c r="F249" s="17">
        <v>-1.0</v>
      </c>
      <c r="G249" s="17">
        <v>-1.0</v>
      </c>
      <c r="H249" s="17">
        <v>-1.0</v>
      </c>
    </row>
    <row r="250">
      <c r="A250" s="17">
        <v>30011.0</v>
      </c>
      <c r="B250" s="17">
        <v>1.0</v>
      </c>
      <c r="C250" s="17">
        <v>1.0</v>
      </c>
      <c r="D250" s="17">
        <v>1.0</v>
      </c>
      <c r="E250" s="17">
        <v>1.0</v>
      </c>
      <c r="F250" s="17">
        <v>-1.0</v>
      </c>
      <c r="G250" s="17">
        <v>-1.0</v>
      </c>
      <c r="H250" s="17">
        <v>-1.0</v>
      </c>
    </row>
    <row r="251">
      <c r="A251" s="17">
        <v>30012.0</v>
      </c>
      <c r="B251" s="17">
        <v>1.0</v>
      </c>
      <c r="C251" s="17">
        <v>1.0</v>
      </c>
      <c r="D251" s="17">
        <v>-1.0</v>
      </c>
      <c r="E251" s="17">
        <v>-1.0</v>
      </c>
      <c r="F251" s="17">
        <v>-1.0</v>
      </c>
      <c r="G251" s="17">
        <v>-1.0</v>
      </c>
      <c r="H251" s="17">
        <v>-1.0</v>
      </c>
    </row>
    <row r="252">
      <c r="A252" s="17">
        <v>30013.0</v>
      </c>
      <c r="B252" s="17">
        <v>1.0</v>
      </c>
      <c r="C252" s="17">
        <v>1.0</v>
      </c>
      <c r="D252" s="17">
        <v>1.0</v>
      </c>
      <c r="E252" s="17">
        <v>-1.0</v>
      </c>
      <c r="F252" s="17">
        <v>-1.0</v>
      </c>
      <c r="G252" s="17">
        <v>-1.0</v>
      </c>
      <c r="H252" s="17">
        <v>-1.0</v>
      </c>
    </row>
    <row r="253">
      <c r="A253" s="17">
        <v>30014.0</v>
      </c>
      <c r="B253" s="17">
        <v>1.0</v>
      </c>
      <c r="C253" s="17">
        <v>1.0</v>
      </c>
      <c r="D253" s="17">
        <v>1.0</v>
      </c>
      <c r="E253" s="17">
        <v>1.0</v>
      </c>
      <c r="F253" s="17">
        <v>-1.0</v>
      </c>
      <c r="G253" s="17">
        <v>-1.0</v>
      </c>
      <c r="H253" s="17">
        <v>-1.0</v>
      </c>
    </row>
    <row r="254">
      <c r="A254" s="17">
        <v>30015.0</v>
      </c>
      <c r="B254" s="17">
        <v>1.0</v>
      </c>
      <c r="C254" s="17">
        <v>1.0</v>
      </c>
      <c r="D254" s="17">
        <v>-1.0</v>
      </c>
      <c r="E254" s="17">
        <v>-1.0</v>
      </c>
      <c r="F254" s="17">
        <v>-1.0</v>
      </c>
      <c r="G254" s="17">
        <v>-1.0</v>
      </c>
      <c r="H254" s="17">
        <v>-1.0</v>
      </c>
    </row>
    <row r="255">
      <c r="A255" s="17">
        <v>30016.0</v>
      </c>
      <c r="B255" s="17">
        <v>1.0</v>
      </c>
      <c r="C255" s="17">
        <v>1.0</v>
      </c>
      <c r="D255" s="17">
        <v>1.0</v>
      </c>
      <c r="E255" s="17">
        <v>-1.0</v>
      </c>
      <c r="F255" s="17">
        <v>-1.0</v>
      </c>
      <c r="G255" s="17">
        <v>-1.0</v>
      </c>
      <c r="H255" s="17">
        <v>-1.0</v>
      </c>
    </row>
    <row r="256">
      <c r="A256" s="17">
        <v>30017.0</v>
      </c>
      <c r="B256" s="17">
        <v>1.0</v>
      </c>
      <c r="C256" s="17">
        <v>1.0</v>
      </c>
      <c r="D256" s="17">
        <v>1.0</v>
      </c>
      <c r="E256" s="17">
        <v>1.0</v>
      </c>
      <c r="F256" s="17">
        <v>-1.0</v>
      </c>
      <c r="G256" s="17">
        <v>-1.0</v>
      </c>
      <c r="H256" s="17">
        <v>-1.0</v>
      </c>
    </row>
    <row r="257">
      <c r="A257" s="17">
        <v>30018.0</v>
      </c>
      <c r="B257" s="17">
        <v>2.0</v>
      </c>
      <c r="C257" s="17">
        <v>1.0</v>
      </c>
      <c r="D257" s="17">
        <v>-1.0</v>
      </c>
      <c r="E257" s="17">
        <v>-1.0</v>
      </c>
      <c r="F257" s="17">
        <v>-1.0</v>
      </c>
      <c r="G257" s="17">
        <v>-1.0</v>
      </c>
      <c r="H257" s="17">
        <v>-1.0</v>
      </c>
    </row>
    <row r="258">
      <c r="A258" s="17">
        <v>30019.0</v>
      </c>
      <c r="B258" s="17">
        <v>2.0</v>
      </c>
      <c r="C258" s="17">
        <v>1.0</v>
      </c>
      <c r="D258" s="17">
        <v>1.0</v>
      </c>
      <c r="E258" s="17">
        <v>-1.0</v>
      </c>
      <c r="F258" s="17">
        <v>-1.0</v>
      </c>
      <c r="G258" s="17">
        <v>-1.0</v>
      </c>
      <c r="H258" s="17">
        <v>-1.0</v>
      </c>
    </row>
    <row r="259">
      <c r="A259" s="17">
        <v>30020.0</v>
      </c>
      <c r="B259" s="17">
        <v>2.0</v>
      </c>
      <c r="C259" s="17">
        <v>1.0</v>
      </c>
      <c r="D259" s="17">
        <v>1.0</v>
      </c>
      <c r="E259" s="17">
        <v>1.0</v>
      </c>
      <c r="F259" s="17">
        <v>-1.0</v>
      </c>
      <c r="G259" s="17">
        <v>-1.0</v>
      </c>
      <c r="H259" s="17">
        <v>-1.0</v>
      </c>
    </row>
    <row r="260">
      <c r="A260" s="17">
        <v>30021.0</v>
      </c>
      <c r="B260" s="17">
        <v>2.0</v>
      </c>
      <c r="C260" s="17">
        <v>1.0</v>
      </c>
      <c r="D260" s="17">
        <v>-1.0</v>
      </c>
      <c r="E260" s="17">
        <v>-1.0</v>
      </c>
      <c r="F260" s="17">
        <v>-1.0</v>
      </c>
      <c r="G260" s="17">
        <v>-1.0</v>
      </c>
      <c r="H260" s="17">
        <v>-1.0</v>
      </c>
    </row>
    <row r="261">
      <c r="A261" s="17">
        <v>30022.0</v>
      </c>
      <c r="B261" s="17">
        <v>2.0</v>
      </c>
      <c r="C261" s="17">
        <v>1.0</v>
      </c>
      <c r="D261" s="17">
        <v>1.0</v>
      </c>
      <c r="E261" s="17">
        <v>-1.0</v>
      </c>
      <c r="F261" s="17">
        <v>-1.0</v>
      </c>
      <c r="G261" s="17">
        <v>-1.0</v>
      </c>
      <c r="H261" s="17">
        <v>-1.0</v>
      </c>
    </row>
    <row r="262">
      <c r="A262" s="17">
        <v>30023.0</v>
      </c>
      <c r="B262" s="17">
        <v>2.0</v>
      </c>
      <c r="C262" s="17">
        <v>1.0</v>
      </c>
      <c r="D262" s="17">
        <v>1.0</v>
      </c>
      <c r="E262" s="17">
        <v>1.0</v>
      </c>
      <c r="F262" s="17">
        <v>-1.0</v>
      </c>
      <c r="G262" s="17">
        <v>-1.0</v>
      </c>
      <c r="H262" s="17">
        <v>-1.0</v>
      </c>
    </row>
    <row r="263">
      <c r="A263" s="17">
        <v>30024.0</v>
      </c>
      <c r="B263" s="17">
        <v>2.0</v>
      </c>
      <c r="C263" s="17">
        <v>1.0</v>
      </c>
      <c r="D263" s="17">
        <v>-1.0</v>
      </c>
      <c r="E263" s="17">
        <v>-1.0</v>
      </c>
      <c r="F263" s="17">
        <v>-1.0</v>
      </c>
      <c r="G263" s="17">
        <v>-1.0</v>
      </c>
      <c r="H263" s="17">
        <v>-1.0</v>
      </c>
    </row>
    <row r="264">
      <c r="A264" s="17">
        <v>30025.0</v>
      </c>
      <c r="B264" s="17">
        <v>2.0</v>
      </c>
      <c r="C264" s="17">
        <v>1.0</v>
      </c>
      <c r="D264" s="17">
        <v>1.0</v>
      </c>
      <c r="E264" s="17">
        <v>-1.0</v>
      </c>
      <c r="F264" s="17">
        <v>-1.0</v>
      </c>
      <c r="G264" s="17">
        <v>-1.0</v>
      </c>
      <c r="H264" s="17">
        <v>-1.0</v>
      </c>
    </row>
    <row r="265">
      <c r="A265" s="17">
        <v>30026.0</v>
      </c>
      <c r="B265" s="17">
        <v>2.0</v>
      </c>
      <c r="C265" s="17">
        <v>1.0</v>
      </c>
      <c r="D265" s="17">
        <v>1.0</v>
      </c>
      <c r="E265" s="17">
        <v>1.0</v>
      </c>
      <c r="F265" s="17">
        <v>-1.0</v>
      </c>
      <c r="G265" s="17">
        <v>-1.0</v>
      </c>
      <c r="H265" s="17">
        <v>-1.0</v>
      </c>
    </row>
    <row r="266">
      <c r="A266" s="17">
        <v>30027.0</v>
      </c>
      <c r="B266" s="17">
        <v>3.0</v>
      </c>
      <c r="C266" s="17">
        <v>1.0</v>
      </c>
      <c r="D266" s="17">
        <v>-1.0</v>
      </c>
      <c r="E266" s="17">
        <v>-1.0</v>
      </c>
      <c r="F266" s="17">
        <v>-1.0</v>
      </c>
      <c r="G266" s="17">
        <v>-1.0</v>
      </c>
      <c r="H266" s="17">
        <v>-1.0</v>
      </c>
    </row>
    <row r="267">
      <c r="A267" s="17">
        <v>30028.0</v>
      </c>
      <c r="B267" s="17">
        <v>3.0</v>
      </c>
      <c r="C267" s="17">
        <v>1.0</v>
      </c>
      <c r="D267" s="17">
        <v>1.0</v>
      </c>
      <c r="E267" s="17">
        <v>-1.0</v>
      </c>
      <c r="F267" s="17">
        <v>-1.0</v>
      </c>
      <c r="G267" s="17">
        <v>-1.0</v>
      </c>
      <c r="H267" s="17">
        <v>-1.0</v>
      </c>
    </row>
    <row r="268">
      <c r="A268" s="17">
        <v>30029.0</v>
      </c>
      <c r="B268" s="17">
        <v>3.0</v>
      </c>
      <c r="C268" s="17">
        <v>1.0</v>
      </c>
      <c r="D268" s="17">
        <v>1.0</v>
      </c>
      <c r="E268" s="17">
        <v>1.0</v>
      </c>
      <c r="F268" s="17">
        <v>-1.0</v>
      </c>
      <c r="G268" s="17">
        <v>-1.0</v>
      </c>
      <c r="H268" s="17">
        <v>-1.0</v>
      </c>
    </row>
    <row r="269">
      <c r="A269" s="17">
        <v>30030.0</v>
      </c>
      <c r="B269" s="17">
        <v>3.0</v>
      </c>
      <c r="C269" s="17">
        <v>1.0</v>
      </c>
      <c r="D269" s="17">
        <v>-1.0</v>
      </c>
      <c r="E269" s="17">
        <v>-1.0</v>
      </c>
      <c r="F269" s="17">
        <v>-1.0</v>
      </c>
      <c r="G269" s="17">
        <v>-1.0</v>
      </c>
      <c r="H269" s="17">
        <v>-1.0</v>
      </c>
    </row>
    <row r="270">
      <c r="A270" s="17">
        <v>30031.0</v>
      </c>
      <c r="B270" s="17">
        <v>3.0</v>
      </c>
      <c r="C270" s="17">
        <v>1.0</v>
      </c>
      <c r="D270" s="17">
        <v>1.0</v>
      </c>
      <c r="E270" s="17">
        <v>-1.0</v>
      </c>
      <c r="F270" s="17">
        <v>-1.0</v>
      </c>
      <c r="G270" s="17">
        <v>-1.0</v>
      </c>
      <c r="H270" s="17">
        <v>-1.0</v>
      </c>
    </row>
    <row r="271">
      <c r="A271" s="17">
        <v>30032.0</v>
      </c>
      <c r="B271" s="17">
        <v>3.0</v>
      </c>
      <c r="C271" s="17">
        <v>1.0</v>
      </c>
      <c r="D271" s="17">
        <v>1.0</v>
      </c>
      <c r="E271" s="17">
        <v>1.0</v>
      </c>
      <c r="F271" s="17">
        <v>-1.0</v>
      </c>
      <c r="G271" s="17">
        <v>-1.0</v>
      </c>
      <c r="H271" s="17">
        <v>-1.0</v>
      </c>
    </row>
    <row r="272">
      <c r="A272" s="17">
        <v>30033.0</v>
      </c>
      <c r="B272" s="17">
        <v>3.0</v>
      </c>
      <c r="C272" s="17">
        <v>1.0</v>
      </c>
      <c r="D272" s="17">
        <v>-1.0</v>
      </c>
      <c r="E272" s="17">
        <v>-1.0</v>
      </c>
      <c r="F272" s="17">
        <v>-1.0</v>
      </c>
      <c r="G272" s="17">
        <v>-1.0</v>
      </c>
      <c r="H272" s="17">
        <v>-1.0</v>
      </c>
    </row>
    <row r="273">
      <c r="A273" s="17">
        <v>30034.0</v>
      </c>
      <c r="B273" s="17">
        <v>3.0</v>
      </c>
      <c r="C273" s="17">
        <v>1.0</v>
      </c>
      <c r="D273" s="17">
        <v>1.0</v>
      </c>
      <c r="E273" s="17">
        <v>-1.0</v>
      </c>
      <c r="F273" s="17">
        <v>-1.0</v>
      </c>
      <c r="G273" s="17">
        <v>-1.0</v>
      </c>
      <c r="H273" s="17">
        <v>-1.0</v>
      </c>
    </row>
    <row r="274">
      <c r="A274" s="17">
        <v>30035.0</v>
      </c>
      <c r="B274" s="17">
        <v>3.0</v>
      </c>
      <c r="C274" s="17">
        <v>1.0</v>
      </c>
      <c r="D274" s="17">
        <v>1.0</v>
      </c>
      <c r="E274" s="17">
        <v>1.0</v>
      </c>
      <c r="F274" s="17">
        <v>-1.0</v>
      </c>
      <c r="G274" s="17">
        <v>-1.0</v>
      </c>
      <c r="H274" s="17">
        <v>-1.0</v>
      </c>
    </row>
    <row r="275">
      <c r="A275" s="17">
        <v>1000000.0</v>
      </c>
      <c r="B275" s="17">
        <v>0.0</v>
      </c>
      <c r="C275" s="17">
        <v>1000000.0</v>
      </c>
      <c r="D275" s="17">
        <v>-1.0</v>
      </c>
      <c r="E275" s="17">
        <v>-1.0</v>
      </c>
      <c r="F275" s="17">
        <v>-1.0</v>
      </c>
      <c r="G275" s="17">
        <v>-1.0</v>
      </c>
      <c r="H275" s="17">
        <v>-1.0</v>
      </c>
    </row>
    <row r="276">
      <c r="A276" s="17">
        <v>1000001.0</v>
      </c>
      <c r="B276" s="17">
        <v>0.0</v>
      </c>
      <c r="C276" s="17">
        <v>1000001.0</v>
      </c>
      <c r="D276" s="17">
        <v>1000000.0</v>
      </c>
      <c r="E276" s="17">
        <v>-1.0</v>
      </c>
      <c r="F276" s="17">
        <v>-1.0</v>
      </c>
      <c r="G276" s="17">
        <v>-1.0</v>
      </c>
      <c r="H276" s="17">
        <v>-1.0</v>
      </c>
    </row>
    <row r="277">
      <c r="A277" s="17">
        <v>1000002.0</v>
      </c>
      <c r="B277" s="17">
        <v>0.0</v>
      </c>
      <c r="C277" s="17">
        <v>1000002.0</v>
      </c>
      <c r="D277" s="17">
        <v>1000001.0</v>
      </c>
      <c r="E277" s="17">
        <v>1000000.0</v>
      </c>
      <c r="F277" s="17">
        <v>-1.0</v>
      </c>
      <c r="G277" s="17">
        <v>-1.0</v>
      </c>
      <c r="H277" s="17">
        <v>-1.0</v>
      </c>
    </row>
    <row r="278">
      <c r="A278" s="17">
        <v>1000010.0</v>
      </c>
      <c r="B278" s="17">
        <v>0.0</v>
      </c>
      <c r="C278" s="17">
        <v>1000000.0</v>
      </c>
      <c r="D278" s="17">
        <v>-1.0</v>
      </c>
      <c r="E278" s="17">
        <v>-1.0</v>
      </c>
      <c r="F278" s="17">
        <v>-1.0</v>
      </c>
      <c r="G278" s="17">
        <v>-1.0</v>
      </c>
      <c r="H278" s="17">
        <v>-1.0</v>
      </c>
    </row>
    <row r="279">
      <c r="A279" s="17">
        <v>1000011.0</v>
      </c>
      <c r="B279" s="17">
        <v>0.0</v>
      </c>
      <c r="C279" s="17">
        <v>1000001.0</v>
      </c>
      <c r="D279" s="17">
        <v>1000000.0</v>
      </c>
      <c r="E279" s="17">
        <v>-1.0</v>
      </c>
      <c r="F279" s="17">
        <v>-1.0</v>
      </c>
      <c r="G279" s="17">
        <v>-1.0</v>
      </c>
      <c r="H279" s="17">
        <v>-1.0</v>
      </c>
    </row>
    <row r="280">
      <c r="A280" s="17">
        <v>1000012.0</v>
      </c>
      <c r="B280" s="17">
        <v>0.0</v>
      </c>
      <c r="C280" s="17">
        <v>1000002.0</v>
      </c>
      <c r="D280" s="17">
        <v>1000001.0</v>
      </c>
      <c r="E280" s="17">
        <v>1000000.0</v>
      </c>
      <c r="F280" s="17">
        <v>-1.0</v>
      </c>
      <c r="G280" s="17">
        <v>-1.0</v>
      </c>
      <c r="H280" s="17">
        <v>-1.0</v>
      </c>
    </row>
    <row r="281">
      <c r="A281" s="17">
        <v>1000020.0</v>
      </c>
      <c r="B281" s="17">
        <v>0.0</v>
      </c>
      <c r="C281" s="17">
        <v>1000000.0</v>
      </c>
      <c r="D281" s="17">
        <v>-1.0</v>
      </c>
      <c r="E281" s="17">
        <v>-1.0</v>
      </c>
      <c r="F281" s="17">
        <v>-1.0</v>
      </c>
      <c r="G281" s="17">
        <v>-1.0</v>
      </c>
      <c r="H281" s="17">
        <v>-1.0</v>
      </c>
    </row>
    <row r="282">
      <c r="A282" s="17">
        <v>1000021.0</v>
      </c>
      <c r="B282" s="17">
        <v>0.0</v>
      </c>
      <c r="C282" s="17">
        <v>1000001.0</v>
      </c>
      <c r="D282" s="17">
        <v>1000000.0</v>
      </c>
      <c r="E282" s="17">
        <v>-1.0</v>
      </c>
      <c r="F282" s="17">
        <v>-1.0</v>
      </c>
      <c r="G282" s="17">
        <v>-1.0</v>
      </c>
      <c r="H282" s="17">
        <v>-1.0</v>
      </c>
    </row>
    <row r="283">
      <c r="A283" s="17">
        <v>1000022.0</v>
      </c>
      <c r="B283" s="17">
        <v>0.0</v>
      </c>
      <c r="C283" s="17">
        <v>1000002.0</v>
      </c>
      <c r="D283" s="17">
        <v>1000001.0</v>
      </c>
      <c r="E283" s="17">
        <v>1000000.0</v>
      </c>
      <c r="F283" s="17">
        <v>-1.0</v>
      </c>
      <c r="G283" s="17">
        <v>-1.0</v>
      </c>
      <c r="H283" s="17">
        <v>-1.0</v>
      </c>
    </row>
    <row r="284">
      <c r="A284" s="17">
        <v>1000100.0</v>
      </c>
      <c r="B284" s="17">
        <v>1.0</v>
      </c>
      <c r="C284" s="17">
        <v>1000000.0</v>
      </c>
      <c r="D284" s="17">
        <v>-1.0</v>
      </c>
      <c r="E284" s="17">
        <v>-1.0</v>
      </c>
      <c r="F284" s="17">
        <v>-1.0</v>
      </c>
      <c r="G284" s="17">
        <v>-1.0</v>
      </c>
      <c r="H284" s="17">
        <v>-1.0</v>
      </c>
    </row>
    <row r="285">
      <c r="A285" s="17">
        <v>1000101.0</v>
      </c>
      <c r="B285" s="17">
        <v>1.0</v>
      </c>
      <c r="C285" s="17">
        <v>1000001.0</v>
      </c>
      <c r="D285" s="17">
        <v>1000000.0</v>
      </c>
      <c r="E285" s="17">
        <v>-1.0</v>
      </c>
      <c r="F285" s="17">
        <v>-1.0</v>
      </c>
      <c r="G285" s="17">
        <v>-1.0</v>
      </c>
      <c r="H285" s="17">
        <v>-1.0</v>
      </c>
    </row>
    <row r="286">
      <c r="A286" s="17">
        <v>1000102.0</v>
      </c>
      <c r="B286" s="17">
        <v>1.0</v>
      </c>
      <c r="C286" s="17">
        <v>1000002.0</v>
      </c>
      <c r="D286" s="17">
        <v>1000001.0</v>
      </c>
      <c r="E286" s="17">
        <v>1000000.0</v>
      </c>
      <c r="F286" s="17">
        <v>-1.0</v>
      </c>
      <c r="G286" s="17">
        <v>-1.0</v>
      </c>
      <c r="H286" s="17">
        <v>-1.0</v>
      </c>
    </row>
    <row r="287">
      <c r="A287" s="17">
        <v>1000110.0</v>
      </c>
      <c r="B287" s="17">
        <v>1.0</v>
      </c>
      <c r="C287" s="17">
        <v>1000000.0</v>
      </c>
      <c r="D287" s="17">
        <v>-1.0</v>
      </c>
      <c r="E287" s="17">
        <v>-1.0</v>
      </c>
      <c r="F287" s="17">
        <v>-1.0</v>
      </c>
      <c r="G287" s="17">
        <v>-1.0</v>
      </c>
      <c r="H287" s="17">
        <v>-1.0</v>
      </c>
    </row>
    <row r="288">
      <c r="A288" s="17">
        <v>1000111.0</v>
      </c>
      <c r="B288" s="17">
        <v>1.0</v>
      </c>
      <c r="C288" s="17">
        <v>1000001.0</v>
      </c>
      <c r="D288" s="17">
        <v>1000000.0</v>
      </c>
      <c r="E288" s="17">
        <v>-1.0</v>
      </c>
      <c r="F288" s="17">
        <v>-1.0</v>
      </c>
      <c r="G288" s="17">
        <v>-1.0</v>
      </c>
      <c r="H288" s="17">
        <v>-1.0</v>
      </c>
    </row>
    <row r="289">
      <c r="A289" s="17">
        <v>1000112.0</v>
      </c>
      <c r="B289" s="17">
        <v>1.0</v>
      </c>
      <c r="C289" s="17">
        <v>1000002.0</v>
      </c>
      <c r="D289" s="17">
        <v>1000001.0</v>
      </c>
      <c r="E289" s="17">
        <v>1000000.0</v>
      </c>
      <c r="F289" s="17">
        <v>-1.0</v>
      </c>
      <c r="G289" s="17">
        <v>-1.0</v>
      </c>
      <c r="H289" s="17">
        <v>-1.0</v>
      </c>
    </row>
    <row r="290">
      <c r="A290" s="17">
        <v>1000120.0</v>
      </c>
      <c r="B290" s="17">
        <v>1.0</v>
      </c>
      <c r="C290" s="17">
        <v>1000000.0</v>
      </c>
      <c r="D290" s="17">
        <v>-1.0</v>
      </c>
      <c r="E290" s="17">
        <v>-1.0</v>
      </c>
      <c r="F290" s="17">
        <v>-1.0</v>
      </c>
      <c r="G290" s="17">
        <v>-1.0</v>
      </c>
      <c r="H290" s="17">
        <v>-1.0</v>
      </c>
    </row>
    <row r="291">
      <c r="A291" s="17">
        <v>1000121.0</v>
      </c>
      <c r="B291" s="17">
        <v>1.0</v>
      </c>
      <c r="C291" s="17">
        <v>1000001.0</v>
      </c>
      <c r="D291" s="17">
        <v>1000000.0</v>
      </c>
      <c r="E291" s="17">
        <v>-1.0</v>
      </c>
      <c r="F291" s="17">
        <v>-1.0</v>
      </c>
      <c r="G291" s="17">
        <v>-1.0</v>
      </c>
      <c r="H291" s="17">
        <v>-1.0</v>
      </c>
    </row>
    <row r="292">
      <c r="A292" s="17">
        <v>1000122.0</v>
      </c>
      <c r="B292" s="17">
        <v>1.0</v>
      </c>
      <c r="C292" s="17">
        <v>1000002.0</v>
      </c>
      <c r="D292" s="17">
        <v>1000001.0</v>
      </c>
      <c r="E292" s="17">
        <v>1000000.0</v>
      </c>
      <c r="F292" s="17">
        <v>-1.0</v>
      </c>
      <c r="G292" s="17">
        <v>-1.0</v>
      </c>
      <c r="H292" s="17">
        <v>-1.0</v>
      </c>
    </row>
    <row r="293">
      <c r="A293" s="17">
        <v>1000200.0</v>
      </c>
      <c r="B293" s="17">
        <v>2.0</v>
      </c>
      <c r="C293" s="17">
        <v>1000000.0</v>
      </c>
      <c r="D293" s="17">
        <v>-1.0</v>
      </c>
      <c r="E293" s="17">
        <v>-1.0</v>
      </c>
      <c r="F293" s="17">
        <v>-1.0</v>
      </c>
      <c r="G293" s="17">
        <v>-1.0</v>
      </c>
      <c r="H293" s="17">
        <v>-1.0</v>
      </c>
    </row>
    <row r="294">
      <c r="A294" s="17">
        <v>1000201.0</v>
      </c>
      <c r="B294" s="17">
        <v>2.0</v>
      </c>
      <c r="C294" s="17">
        <v>1000001.0</v>
      </c>
      <c r="D294" s="17">
        <v>1000000.0</v>
      </c>
      <c r="E294" s="17">
        <v>-1.0</v>
      </c>
      <c r="F294" s="17">
        <v>-1.0</v>
      </c>
      <c r="G294" s="17">
        <v>-1.0</v>
      </c>
      <c r="H294" s="17">
        <v>-1.0</v>
      </c>
    </row>
    <row r="295">
      <c r="A295" s="17">
        <v>1000202.0</v>
      </c>
      <c r="B295" s="17">
        <v>2.0</v>
      </c>
      <c r="C295" s="17">
        <v>1000002.0</v>
      </c>
      <c r="D295" s="17">
        <v>1000001.0</v>
      </c>
      <c r="E295" s="17">
        <v>1000000.0</v>
      </c>
      <c r="F295" s="17">
        <v>-1.0</v>
      </c>
      <c r="G295" s="17">
        <v>-1.0</v>
      </c>
      <c r="H295" s="17">
        <v>-1.0</v>
      </c>
    </row>
    <row r="296">
      <c r="A296" s="17">
        <v>1000210.0</v>
      </c>
      <c r="B296" s="17">
        <v>2.0</v>
      </c>
      <c r="C296" s="17">
        <v>1000000.0</v>
      </c>
      <c r="D296" s="17">
        <v>-1.0</v>
      </c>
      <c r="E296" s="17">
        <v>-1.0</v>
      </c>
      <c r="F296" s="17">
        <v>-1.0</v>
      </c>
      <c r="G296" s="17">
        <v>-1.0</v>
      </c>
      <c r="H296" s="17">
        <v>-1.0</v>
      </c>
    </row>
    <row r="297">
      <c r="A297" s="17">
        <v>1000211.0</v>
      </c>
      <c r="B297" s="17">
        <v>2.0</v>
      </c>
      <c r="C297" s="17">
        <v>1000001.0</v>
      </c>
      <c r="D297" s="17">
        <v>1000000.0</v>
      </c>
      <c r="E297" s="17">
        <v>-1.0</v>
      </c>
      <c r="F297" s="17">
        <v>-1.0</v>
      </c>
      <c r="G297" s="17">
        <v>-1.0</v>
      </c>
      <c r="H297" s="17">
        <v>-1.0</v>
      </c>
    </row>
    <row r="298">
      <c r="A298" s="17">
        <v>1000212.0</v>
      </c>
      <c r="B298" s="17">
        <v>2.0</v>
      </c>
      <c r="C298" s="17">
        <v>1000002.0</v>
      </c>
      <c r="D298" s="17">
        <v>1000001.0</v>
      </c>
      <c r="E298" s="17">
        <v>1000000.0</v>
      </c>
      <c r="F298" s="17">
        <v>-1.0</v>
      </c>
      <c r="G298" s="17">
        <v>-1.0</v>
      </c>
      <c r="H298" s="17">
        <v>-1.0</v>
      </c>
    </row>
    <row r="299">
      <c r="A299" s="17">
        <v>1000220.0</v>
      </c>
      <c r="B299" s="17">
        <v>2.0</v>
      </c>
      <c r="C299" s="17">
        <v>1000000.0</v>
      </c>
      <c r="D299" s="17">
        <v>-1.0</v>
      </c>
      <c r="E299" s="17">
        <v>-1.0</v>
      </c>
      <c r="F299" s="17">
        <v>-1.0</v>
      </c>
      <c r="G299" s="17">
        <v>-1.0</v>
      </c>
      <c r="H299" s="17">
        <v>-1.0</v>
      </c>
    </row>
    <row r="300">
      <c r="A300" s="17">
        <v>1000221.0</v>
      </c>
      <c r="B300" s="17">
        <v>2.0</v>
      </c>
      <c r="C300" s="17">
        <v>1000001.0</v>
      </c>
      <c r="D300" s="17">
        <v>1000000.0</v>
      </c>
      <c r="E300" s="17">
        <v>-1.0</v>
      </c>
      <c r="F300" s="17">
        <v>-1.0</v>
      </c>
      <c r="G300" s="17">
        <v>-1.0</v>
      </c>
      <c r="H300" s="17">
        <v>-1.0</v>
      </c>
    </row>
    <row r="301">
      <c r="A301" s="17">
        <v>1000222.0</v>
      </c>
      <c r="B301" s="17">
        <v>2.0</v>
      </c>
      <c r="C301" s="17">
        <v>1000002.0</v>
      </c>
      <c r="D301" s="17">
        <v>1000001.0</v>
      </c>
      <c r="E301" s="17">
        <v>1000000.0</v>
      </c>
      <c r="F301" s="17">
        <v>-1.0</v>
      </c>
      <c r="G301" s="17">
        <v>-1.0</v>
      </c>
      <c r="H301" s="17">
        <v>-1.0</v>
      </c>
    </row>
    <row r="302">
      <c r="A302" s="17">
        <v>1000300.0</v>
      </c>
      <c r="B302" s="17">
        <v>3.0</v>
      </c>
      <c r="C302" s="17">
        <v>1000000.0</v>
      </c>
      <c r="D302" s="17">
        <v>-1.0</v>
      </c>
      <c r="E302" s="17">
        <v>-1.0</v>
      </c>
      <c r="F302" s="17">
        <v>-1.0</v>
      </c>
      <c r="G302" s="17">
        <v>-1.0</v>
      </c>
      <c r="H302" s="17">
        <v>-1.0</v>
      </c>
    </row>
    <row r="303">
      <c r="A303" s="17">
        <v>1000301.0</v>
      </c>
      <c r="B303" s="17">
        <v>3.0</v>
      </c>
      <c r="C303" s="17">
        <v>1000001.0</v>
      </c>
      <c r="D303" s="17">
        <v>1000000.0</v>
      </c>
      <c r="E303" s="17">
        <v>-1.0</v>
      </c>
      <c r="F303" s="17">
        <v>-1.0</v>
      </c>
      <c r="G303" s="17">
        <v>-1.0</v>
      </c>
      <c r="H303" s="17">
        <v>-1.0</v>
      </c>
    </row>
    <row r="304">
      <c r="A304" s="17">
        <v>1000302.0</v>
      </c>
      <c r="B304" s="17">
        <v>3.0</v>
      </c>
      <c r="C304" s="17">
        <v>1000002.0</v>
      </c>
      <c r="D304" s="17">
        <v>1000001.0</v>
      </c>
      <c r="E304" s="17">
        <v>1000000.0</v>
      </c>
      <c r="F304" s="17">
        <v>-1.0</v>
      </c>
      <c r="G304" s="17">
        <v>-1.0</v>
      </c>
      <c r="H304" s="17">
        <v>-1.0</v>
      </c>
    </row>
    <row r="305">
      <c r="A305" s="17">
        <v>1000310.0</v>
      </c>
      <c r="B305" s="17">
        <v>3.0</v>
      </c>
      <c r="C305" s="17">
        <v>1000000.0</v>
      </c>
      <c r="D305" s="17">
        <v>-1.0</v>
      </c>
      <c r="E305" s="17">
        <v>-1.0</v>
      </c>
      <c r="F305" s="17">
        <v>-1.0</v>
      </c>
      <c r="G305" s="17">
        <v>-1.0</v>
      </c>
      <c r="H305" s="17">
        <v>-1.0</v>
      </c>
    </row>
    <row r="306">
      <c r="A306" s="17">
        <v>1000311.0</v>
      </c>
      <c r="B306" s="17">
        <v>3.0</v>
      </c>
      <c r="C306" s="17">
        <v>1000001.0</v>
      </c>
      <c r="D306" s="17">
        <v>1000000.0</v>
      </c>
      <c r="E306" s="17">
        <v>-1.0</v>
      </c>
      <c r="F306" s="17">
        <v>-1.0</v>
      </c>
      <c r="G306" s="17">
        <v>-1.0</v>
      </c>
      <c r="H306" s="17">
        <v>-1.0</v>
      </c>
    </row>
    <row r="307">
      <c r="A307" s="17">
        <v>1000312.0</v>
      </c>
      <c r="B307" s="17">
        <v>3.0</v>
      </c>
      <c r="C307" s="17">
        <v>1000002.0</v>
      </c>
      <c r="D307" s="17">
        <v>1000001.0</v>
      </c>
      <c r="E307" s="17">
        <v>1000000.0</v>
      </c>
      <c r="F307" s="17">
        <v>-1.0</v>
      </c>
      <c r="G307" s="17">
        <v>-1.0</v>
      </c>
      <c r="H307" s="17">
        <v>-1.0</v>
      </c>
    </row>
    <row r="308">
      <c r="A308" s="17">
        <v>1000320.0</v>
      </c>
      <c r="B308" s="17">
        <v>3.0</v>
      </c>
      <c r="C308" s="17">
        <v>1000000.0</v>
      </c>
      <c r="D308" s="17">
        <v>-1.0</v>
      </c>
      <c r="E308" s="17">
        <v>-1.0</v>
      </c>
      <c r="F308" s="17">
        <v>-1.0</v>
      </c>
      <c r="G308" s="17">
        <v>-1.0</v>
      </c>
      <c r="H308" s="17">
        <v>-1.0</v>
      </c>
    </row>
    <row r="309">
      <c r="A309" s="17">
        <v>1000321.0</v>
      </c>
      <c r="B309" s="17">
        <v>3.0</v>
      </c>
      <c r="C309" s="17">
        <v>1000001.0</v>
      </c>
      <c r="D309" s="17">
        <v>1000000.0</v>
      </c>
      <c r="E309" s="17">
        <v>-1.0</v>
      </c>
      <c r="F309" s="17">
        <v>-1.0</v>
      </c>
      <c r="G309" s="17">
        <v>-1.0</v>
      </c>
      <c r="H309" s="17">
        <v>-1.0</v>
      </c>
    </row>
    <row r="310">
      <c r="A310" s="17">
        <v>1000322.0</v>
      </c>
      <c r="B310" s="17">
        <v>3.0</v>
      </c>
      <c r="C310" s="17">
        <v>1000002.0</v>
      </c>
      <c r="D310" s="17">
        <v>1000001.0</v>
      </c>
      <c r="E310" s="17">
        <v>1000000.0</v>
      </c>
      <c r="F310" s="17">
        <v>-1.0</v>
      </c>
      <c r="G310" s="17">
        <v>-1.0</v>
      </c>
      <c r="H310" s="17">
        <v>-1.0</v>
      </c>
    </row>
    <row r="311">
      <c r="A311" s="17">
        <v>1001000.0</v>
      </c>
      <c r="B311" s="17">
        <v>0.0</v>
      </c>
      <c r="C311" s="17">
        <v>1001000.0</v>
      </c>
      <c r="D311" s="17">
        <v>-1.0</v>
      </c>
      <c r="E311" s="17">
        <v>-1.0</v>
      </c>
      <c r="F311" s="17">
        <v>-1.0</v>
      </c>
      <c r="G311" s="17">
        <v>-1.0</v>
      </c>
      <c r="H311" s="17">
        <v>-1.0</v>
      </c>
    </row>
    <row r="312">
      <c r="A312" s="17">
        <v>1001001.0</v>
      </c>
      <c r="B312" s="17">
        <v>0.0</v>
      </c>
      <c r="C312" s="17">
        <v>1001001.0</v>
      </c>
      <c r="D312" s="17">
        <v>1001000.0</v>
      </c>
      <c r="E312" s="17">
        <v>-1.0</v>
      </c>
      <c r="F312" s="17">
        <v>-1.0</v>
      </c>
      <c r="G312" s="17">
        <v>-1.0</v>
      </c>
      <c r="H312" s="17">
        <v>-1.0</v>
      </c>
    </row>
    <row r="313">
      <c r="A313" s="17">
        <v>1001002.0</v>
      </c>
      <c r="B313" s="17">
        <v>0.0</v>
      </c>
      <c r="C313" s="17">
        <v>1001002.0</v>
      </c>
      <c r="D313" s="17">
        <v>1001001.0</v>
      </c>
      <c r="E313" s="17">
        <v>1001000.0</v>
      </c>
      <c r="F313" s="17">
        <v>-1.0</v>
      </c>
      <c r="G313" s="17">
        <v>-1.0</v>
      </c>
      <c r="H313" s="17">
        <v>-1.0</v>
      </c>
    </row>
    <row r="314">
      <c r="A314" s="17">
        <v>1001010.0</v>
      </c>
      <c r="B314" s="17">
        <v>0.0</v>
      </c>
      <c r="C314" s="17">
        <v>1001000.0</v>
      </c>
      <c r="D314" s="17">
        <v>-1.0</v>
      </c>
      <c r="E314" s="17">
        <v>-1.0</v>
      </c>
      <c r="F314" s="17">
        <v>-1.0</v>
      </c>
      <c r="G314" s="17">
        <v>-1.0</v>
      </c>
      <c r="H314" s="17">
        <v>-1.0</v>
      </c>
    </row>
    <row r="315">
      <c r="A315" s="17">
        <v>1001011.0</v>
      </c>
      <c r="B315" s="17">
        <v>0.0</v>
      </c>
      <c r="C315" s="17">
        <v>1001001.0</v>
      </c>
      <c r="D315" s="17">
        <v>1001000.0</v>
      </c>
      <c r="E315" s="17">
        <v>-1.0</v>
      </c>
      <c r="F315" s="17">
        <v>-1.0</v>
      </c>
      <c r="G315" s="17">
        <v>-1.0</v>
      </c>
      <c r="H315" s="17">
        <v>-1.0</v>
      </c>
    </row>
    <row r="316">
      <c r="A316" s="17">
        <v>1001012.0</v>
      </c>
      <c r="B316" s="17">
        <v>0.0</v>
      </c>
      <c r="C316" s="17">
        <v>1001002.0</v>
      </c>
      <c r="D316" s="17">
        <v>1001001.0</v>
      </c>
      <c r="E316" s="17">
        <v>1001000.0</v>
      </c>
      <c r="F316" s="17">
        <v>-1.0</v>
      </c>
      <c r="G316" s="17">
        <v>-1.0</v>
      </c>
      <c r="H316" s="17">
        <v>-1.0</v>
      </c>
    </row>
    <row r="317">
      <c r="A317" s="17">
        <v>1001020.0</v>
      </c>
      <c r="B317" s="17">
        <v>0.0</v>
      </c>
      <c r="C317" s="17">
        <v>1001000.0</v>
      </c>
      <c r="D317" s="17">
        <v>-1.0</v>
      </c>
      <c r="E317" s="17">
        <v>-1.0</v>
      </c>
      <c r="F317" s="17">
        <v>-1.0</v>
      </c>
      <c r="G317" s="17">
        <v>-1.0</v>
      </c>
      <c r="H317" s="17">
        <v>-1.0</v>
      </c>
    </row>
    <row r="318">
      <c r="A318" s="17">
        <v>1001021.0</v>
      </c>
      <c r="B318" s="17">
        <v>0.0</v>
      </c>
      <c r="C318" s="17">
        <v>1001001.0</v>
      </c>
      <c r="D318" s="17">
        <v>1001000.0</v>
      </c>
      <c r="E318" s="17">
        <v>-1.0</v>
      </c>
      <c r="F318" s="17">
        <v>-1.0</v>
      </c>
      <c r="G318" s="17">
        <v>-1.0</v>
      </c>
      <c r="H318" s="17">
        <v>-1.0</v>
      </c>
    </row>
    <row r="319">
      <c r="A319" s="17">
        <v>1001022.0</v>
      </c>
      <c r="B319" s="17">
        <v>0.0</v>
      </c>
      <c r="C319" s="17">
        <v>1001002.0</v>
      </c>
      <c r="D319" s="17">
        <v>1001001.0</v>
      </c>
      <c r="E319" s="17">
        <v>1001000.0</v>
      </c>
      <c r="F319" s="17">
        <v>-1.0</v>
      </c>
      <c r="G319" s="17">
        <v>-1.0</v>
      </c>
      <c r="H319" s="17">
        <v>-1.0</v>
      </c>
    </row>
    <row r="320">
      <c r="A320" s="17">
        <v>1001100.0</v>
      </c>
      <c r="B320" s="17">
        <v>1.0</v>
      </c>
      <c r="C320" s="17">
        <v>1001000.0</v>
      </c>
      <c r="D320" s="17">
        <v>-1.0</v>
      </c>
      <c r="E320" s="17">
        <v>-1.0</v>
      </c>
      <c r="F320" s="17">
        <v>-1.0</v>
      </c>
      <c r="G320" s="17">
        <v>-1.0</v>
      </c>
      <c r="H320" s="17">
        <v>-1.0</v>
      </c>
    </row>
    <row r="321">
      <c r="A321" s="17">
        <v>1001101.0</v>
      </c>
      <c r="B321" s="17">
        <v>1.0</v>
      </c>
      <c r="C321" s="17">
        <v>1001001.0</v>
      </c>
      <c r="D321" s="17">
        <v>1001000.0</v>
      </c>
      <c r="E321" s="17">
        <v>-1.0</v>
      </c>
      <c r="F321" s="17">
        <v>-1.0</v>
      </c>
      <c r="G321" s="17">
        <v>-1.0</v>
      </c>
      <c r="H321" s="17">
        <v>-1.0</v>
      </c>
    </row>
    <row r="322">
      <c r="A322" s="17">
        <v>1001102.0</v>
      </c>
      <c r="B322" s="17">
        <v>1.0</v>
      </c>
      <c r="C322" s="17">
        <v>1001002.0</v>
      </c>
      <c r="D322" s="17">
        <v>1001001.0</v>
      </c>
      <c r="E322" s="17">
        <v>1001000.0</v>
      </c>
      <c r="F322" s="17">
        <v>-1.0</v>
      </c>
      <c r="G322" s="17">
        <v>-1.0</v>
      </c>
      <c r="H322" s="17">
        <v>-1.0</v>
      </c>
    </row>
    <row r="323">
      <c r="A323" s="17">
        <v>1001110.0</v>
      </c>
      <c r="B323" s="17">
        <v>1.0</v>
      </c>
      <c r="C323" s="17">
        <v>1001000.0</v>
      </c>
      <c r="D323" s="17">
        <v>-1.0</v>
      </c>
      <c r="E323" s="17">
        <v>-1.0</v>
      </c>
      <c r="F323" s="17">
        <v>-1.0</v>
      </c>
      <c r="G323" s="17">
        <v>-1.0</v>
      </c>
      <c r="H323" s="17">
        <v>-1.0</v>
      </c>
    </row>
    <row r="324">
      <c r="A324" s="17">
        <v>1001111.0</v>
      </c>
      <c r="B324" s="17">
        <v>1.0</v>
      </c>
      <c r="C324" s="17">
        <v>1001001.0</v>
      </c>
      <c r="D324" s="17">
        <v>1001000.0</v>
      </c>
      <c r="E324" s="17">
        <v>-1.0</v>
      </c>
      <c r="F324" s="17">
        <v>-1.0</v>
      </c>
      <c r="G324" s="17">
        <v>-1.0</v>
      </c>
      <c r="H324" s="17">
        <v>-1.0</v>
      </c>
    </row>
    <row r="325">
      <c r="A325" s="17">
        <v>1001112.0</v>
      </c>
      <c r="B325" s="17">
        <v>1.0</v>
      </c>
      <c r="C325" s="17">
        <v>1001002.0</v>
      </c>
      <c r="D325" s="17">
        <v>1001001.0</v>
      </c>
      <c r="E325" s="17">
        <v>1001000.0</v>
      </c>
      <c r="F325" s="17">
        <v>-1.0</v>
      </c>
      <c r="G325" s="17">
        <v>-1.0</v>
      </c>
      <c r="H325" s="17">
        <v>-1.0</v>
      </c>
    </row>
    <row r="326">
      <c r="A326" s="17">
        <v>1001120.0</v>
      </c>
      <c r="B326" s="17">
        <v>1.0</v>
      </c>
      <c r="C326" s="17">
        <v>1001000.0</v>
      </c>
      <c r="D326" s="17">
        <v>-1.0</v>
      </c>
      <c r="E326" s="17">
        <v>-1.0</v>
      </c>
      <c r="F326" s="17">
        <v>-1.0</v>
      </c>
      <c r="G326" s="17">
        <v>-1.0</v>
      </c>
      <c r="H326" s="17">
        <v>-1.0</v>
      </c>
    </row>
    <row r="327">
      <c r="A327" s="17">
        <v>1001121.0</v>
      </c>
      <c r="B327" s="17">
        <v>1.0</v>
      </c>
      <c r="C327" s="17">
        <v>1001001.0</v>
      </c>
      <c r="D327" s="17">
        <v>1001000.0</v>
      </c>
      <c r="E327" s="17">
        <v>-1.0</v>
      </c>
      <c r="F327" s="17">
        <v>-1.0</v>
      </c>
      <c r="G327" s="17">
        <v>-1.0</v>
      </c>
      <c r="H327" s="17">
        <v>-1.0</v>
      </c>
    </row>
    <row r="328">
      <c r="A328" s="17">
        <v>1001122.0</v>
      </c>
      <c r="B328" s="17">
        <v>1.0</v>
      </c>
      <c r="C328" s="17">
        <v>1001002.0</v>
      </c>
      <c r="D328" s="17">
        <v>1001001.0</v>
      </c>
      <c r="E328" s="17">
        <v>1001000.0</v>
      </c>
      <c r="F328" s="17">
        <v>-1.0</v>
      </c>
      <c r="G328" s="17">
        <v>-1.0</v>
      </c>
      <c r="H328" s="17">
        <v>-1.0</v>
      </c>
    </row>
    <row r="329">
      <c r="A329" s="17">
        <v>1001200.0</v>
      </c>
      <c r="B329" s="17">
        <v>2.0</v>
      </c>
      <c r="C329" s="17">
        <v>1001000.0</v>
      </c>
      <c r="D329" s="17">
        <v>-1.0</v>
      </c>
      <c r="E329" s="17">
        <v>-1.0</v>
      </c>
      <c r="F329" s="17">
        <v>-1.0</v>
      </c>
      <c r="G329" s="17">
        <v>-1.0</v>
      </c>
      <c r="H329" s="17">
        <v>-1.0</v>
      </c>
    </row>
    <row r="330">
      <c r="A330" s="17">
        <v>1001201.0</v>
      </c>
      <c r="B330" s="17">
        <v>2.0</v>
      </c>
      <c r="C330" s="17">
        <v>1001001.0</v>
      </c>
      <c r="D330" s="17">
        <v>1001000.0</v>
      </c>
      <c r="E330" s="17">
        <v>-1.0</v>
      </c>
      <c r="F330" s="17">
        <v>-1.0</v>
      </c>
      <c r="G330" s="17">
        <v>-1.0</v>
      </c>
      <c r="H330" s="17">
        <v>-1.0</v>
      </c>
    </row>
    <row r="331">
      <c r="A331" s="17">
        <v>1001202.0</v>
      </c>
      <c r="B331" s="17">
        <v>2.0</v>
      </c>
      <c r="C331" s="17">
        <v>1001002.0</v>
      </c>
      <c r="D331" s="17">
        <v>1001001.0</v>
      </c>
      <c r="E331" s="17">
        <v>1001000.0</v>
      </c>
      <c r="F331" s="17">
        <v>-1.0</v>
      </c>
      <c r="G331" s="17">
        <v>-1.0</v>
      </c>
      <c r="H331" s="17">
        <v>-1.0</v>
      </c>
    </row>
    <row r="332">
      <c r="A332" s="17">
        <v>1001210.0</v>
      </c>
      <c r="B332" s="17">
        <v>2.0</v>
      </c>
      <c r="C332" s="17">
        <v>1001000.0</v>
      </c>
      <c r="D332" s="17">
        <v>-1.0</v>
      </c>
      <c r="E332" s="17">
        <v>-1.0</v>
      </c>
      <c r="F332" s="17">
        <v>-1.0</v>
      </c>
      <c r="G332" s="17">
        <v>-1.0</v>
      </c>
      <c r="H332" s="17">
        <v>-1.0</v>
      </c>
    </row>
    <row r="333">
      <c r="A333" s="17">
        <v>1001211.0</v>
      </c>
      <c r="B333" s="17">
        <v>2.0</v>
      </c>
      <c r="C333" s="17">
        <v>1001001.0</v>
      </c>
      <c r="D333" s="17">
        <v>1001000.0</v>
      </c>
      <c r="E333" s="17">
        <v>-1.0</v>
      </c>
      <c r="F333" s="17">
        <v>-1.0</v>
      </c>
      <c r="G333" s="17">
        <v>-1.0</v>
      </c>
      <c r="H333" s="17">
        <v>-1.0</v>
      </c>
    </row>
    <row r="334">
      <c r="A334" s="17">
        <v>1001212.0</v>
      </c>
      <c r="B334" s="17">
        <v>2.0</v>
      </c>
      <c r="C334" s="17">
        <v>1001002.0</v>
      </c>
      <c r="D334" s="17">
        <v>1001001.0</v>
      </c>
      <c r="E334" s="17">
        <v>1001000.0</v>
      </c>
      <c r="F334" s="17">
        <v>-1.0</v>
      </c>
      <c r="G334" s="17">
        <v>-1.0</v>
      </c>
      <c r="H334" s="17">
        <v>-1.0</v>
      </c>
    </row>
    <row r="335">
      <c r="A335" s="17">
        <v>1001220.0</v>
      </c>
      <c r="B335" s="17">
        <v>2.0</v>
      </c>
      <c r="C335" s="17">
        <v>1001000.0</v>
      </c>
      <c r="D335" s="17">
        <v>-1.0</v>
      </c>
      <c r="E335" s="17">
        <v>-1.0</v>
      </c>
      <c r="F335" s="17">
        <v>-1.0</v>
      </c>
      <c r="G335" s="17">
        <v>-1.0</v>
      </c>
      <c r="H335" s="17">
        <v>-1.0</v>
      </c>
    </row>
    <row r="336">
      <c r="A336" s="17">
        <v>1001221.0</v>
      </c>
      <c r="B336" s="17">
        <v>2.0</v>
      </c>
      <c r="C336" s="17">
        <v>1001001.0</v>
      </c>
      <c r="D336" s="17">
        <v>1001000.0</v>
      </c>
      <c r="E336" s="17">
        <v>-1.0</v>
      </c>
      <c r="F336" s="17">
        <v>-1.0</v>
      </c>
      <c r="G336" s="17">
        <v>-1.0</v>
      </c>
      <c r="H336" s="17">
        <v>-1.0</v>
      </c>
    </row>
    <row r="337">
      <c r="A337" s="17">
        <v>1001222.0</v>
      </c>
      <c r="B337" s="17">
        <v>2.0</v>
      </c>
      <c r="C337" s="17">
        <v>1001002.0</v>
      </c>
      <c r="D337" s="17">
        <v>1001001.0</v>
      </c>
      <c r="E337" s="17">
        <v>1001000.0</v>
      </c>
      <c r="F337" s="17">
        <v>-1.0</v>
      </c>
      <c r="G337" s="17">
        <v>-1.0</v>
      </c>
      <c r="H337" s="17">
        <v>-1.0</v>
      </c>
    </row>
    <row r="338">
      <c r="A338" s="17">
        <v>1001300.0</v>
      </c>
      <c r="B338" s="17">
        <v>3.0</v>
      </c>
      <c r="C338" s="17">
        <v>1001000.0</v>
      </c>
      <c r="D338" s="17">
        <v>-1.0</v>
      </c>
      <c r="E338" s="17">
        <v>-1.0</v>
      </c>
      <c r="F338" s="17">
        <v>-1.0</v>
      </c>
      <c r="G338" s="17">
        <v>-1.0</v>
      </c>
      <c r="H338" s="17">
        <v>-1.0</v>
      </c>
    </row>
    <row r="339">
      <c r="A339" s="17">
        <v>1001301.0</v>
      </c>
      <c r="B339" s="17">
        <v>3.0</v>
      </c>
      <c r="C339" s="17">
        <v>1001001.0</v>
      </c>
      <c r="D339" s="17">
        <v>1001000.0</v>
      </c>
      <c r="E339" s="17">
        <v>-1.0</v>
      </c>
      <c r="F339" s="17">
        <v>-1.0</v>
      </c>
      <c r="G339" s="17">
        <v>-1.0</v>
      </c>
      <c r="H339" s="17">
        <v>-1.0</v>
      </c>
    </row>
    <row r="340">
      <c r="A340" s="17">
        <v>1001302.0</v>
      </c>
      <c r="B340" s="17">
        <v>3.0</v>
      </c>
      <c r="C340" s="17">
        <v>1001002.0</v>
      </c>
      <c r="D340" s="17">
        <v>1001001.0</v>
      </c>
      <c r="E340" s="17">
        <v>1001000.0</v>
      </c>
      <c r="F340" s="17">
        <v>-1.0</v>
      </c>
      <c r="G340" s="17">
        <v>-1.0</v>
      </c>
      <c r="H340" s="17">
        <v>-1.0</v>
      </c>
    </row>
    <row r="341">
      <c r="A341" s="17">
        <v>1001310.0</v>
      </c>
      <c r="B341" s="17">
        <v>3.0</v>
      </c>
      <c r="C341" s="17">
        <v>1001000.0</v>
      </c>
      <c r="D341" s="17">
        <v>-1.0</v>
      </c>
      <c r="E341" s="17">
        <v>-1.0</v>
      </c>
      <c r="F341" s="17">
        <v>-1.0</v>
      </c>
      <c r="G341" s="17">
        <v>-1.0</v>
      </c>
      <c r="H341" s="17">
        <v>-1.0</v>
      </c>
    </row>
    <row r="342">
      <c r="A342" s="17">
        <v>1001311.0</v>
      </c>
      <c r="B342" s="17">
        <v>3.0</v>
      </c>
      <c r="C342" s="17">
        <v>1001001.0</v>
      </c>
      <c r="D342" s="17">
        <v>1001000.0</v>
      </c>
      <c r="E342" s="17">
        <v>-1.0</v>
      </c>
      <c r="F342" s="17">
        <v>-1.0</v>
      </c>
      <c r="G342" s="17">
        <v>-1.0</v>
      </c>
      <c r="H342" s="17">
        <v>-1.0</v>
      </c>
    </row>
    <row r="343">
      <c r="A343" s="17">
        <v>1001312.0</v>
      </c>
      <c r="B343" s="17">
        <v>3.0</v>
      </c>
      <c r="C343" s="17">
        <v>1001002.0</v>
      </c>
      <c r="D343" s="17">
        <v>1001001.0</v>
      </c>
      <c r="E343" s="17">
        <v>1001000.0</v>
      </c>
      <c r="F343" s="17">
        <v>-1.0</v>
      </c>
      <c r="G343" s="17">
        <v>-1.0</v>
      </c>
      <c r="H343" s="17">
        <v>-1.0</v>
      </c>
    </row>
    <row r="344">
      <c r="A344" s="17">
        <v>1001320.0</v>
      </c>
      <c r="B344" s="17">
        <v>3.0</v>
      </c>
      <c r="C344" s="17">
        <v>1001000.0</v>
      </c>
      <c r="D344" s="17">
        <v>-1.0</v>
      </c>
      <c r="E344" s="17">
        <v>-1.0</v>
      </c>
      <c r="F344" s="17">
        <v>-1.0</v>
      </c>
      <c r="G344" s="17">
        <v>-1.0</v>
      </c>
      <c r="H344" s="17">
        <v>-1.0</v>
      </c>
    </row>
    <row r="345">
      <c r="A345" s="17">
        <v>1001321.0</v>
      </c>
      <c r="B345" s="17">
        <v>3.0</v>
      </c>
      <c r="C345" s="17">
        <v>1001001.0</v>
      </c>
      <c r="D345" s="17">
        <v>1001000.0</v>
      </c>
      <c r="E345" s="17">
        <v>-1.0</v>
      </c>
      <c r="F345" s="17">
        <v>-1.0</v>
      </c>
      <c r="G345" s="17">
        <v>-1.0</v>
      </c>
      <c r="H345" s="17">
        <v>-1.0</v>
      </c>
    </row>
    <row r="346">
      <c r="A346" s="17">
        <v>1001322.0</v>
      </c>
      <c r="B346" s="17">
        <v>3.0</v>
      </c>
      <c r="C346" s="17">
        <v>1001002.0</v>
      </c>
      <c r="D346" s="17">
        <v>1001001.0</v>
      </c>
      <c r="E346" s="17">
        <v>1001000.0</v>
      </c>
      <c r="F346" s="17">
        <v>-1.0</v>
      </c>
      <c r="G346" s="17">
        <v>-1.0</v>
      </c>
      <c r="H346" s="17">
        <v>-1.0</v>
      </c>
    </row>
    <row r="347">
      <c r="A347" s="17">
        <v>1002000.0</v>
      </c>
      <c r="B347" s="17">
        <v>0.0</v>
      </c>
      <c r="C347" s="17">
        <v>1002000.0</v>
      </c>
      <c r="D347" s="17">
        <v>-1.0</v>
      </c>
      <c r="E347" s="17">
        <v>-1.0</v>
      </c>
      <c r="F347" s="17">
        <v>-1.0</v>
      </c>
      <c r="G347" s="17">
        <v>-1.0</v>
      </c>
      <c r="H347" s="17">
        <v>-1.0</v>
      </c>
    </row>
    <row r="348">
      <c r="A348" s="17">
        <v>1002001.0</v>
      </c>
      <c r="B348" s="17">
        <v>0.0</v>
      </c>
      <c r="C348" s="17">
        <v>1002001.0</v>
      </c>
      <c r="D348" s="17">
        <v>1002000.0</v>
      </c>
      <c r="E348" s="17">
        <v>-1.0</v>
      </c>
      <c r="F348" s="17">
        <v>-1.0</v>
      </c>
      <c r="G348" s="17">
        <v>-1.0</v>
      </c>
      <c r="H348" s="17">
        <v>-1.0</v>
      </c>
    </row>
    <row r="349">
      <c r="A349" s="17">
        <v>1002002.0</v>
      </c>
      <c r="B349" s="17">
        <v>0.0</v>
      </c>
      <c r="C349" s="17">
        <v>1002002.0</v>
      </c>
      <c r="D349" s="17">
        <v>1002001.0</v>
      </c>
      <c r="E349" s="17">
        <v>1002000.0</v>
      </c>
      <c r="F349" s="17">
        <v>-1.0</v>
      </c>
      <c r="G349" s="17">
        <v>-1.0</v>
      </c>
      <c r="H349" s="17">
        <v>-1.0</v>
      </c>
    </row>
    <row r="350">
      <c r="A350" s="17">
        <v>1002010.0</v>
      </c>
      <c r="B350" s="17">
        <v>0.0</v>
      </c>
      <c r="C350" s="17">
        <v>1002000.0</v>
      </c>
      <c r="D350" s="17">
        <v>-1.0</v>
      </c>
      <c r="E350" s="17">
        <v>-1.0</v>
      </c>
      <c r="F350" s="17">
        <v>-1.0</v>
      </c>
      <c r="G350" s="17">
        <v>-1.0</v>
      </c>
      <c r="H350" s="17">
        <v>-1.0</v>
      </c>
    </row>
    <row r="351">
      <c r="A351" s="17">
        <v>1002011.0</v>
      </c>
      <c r="B351" s="17">
        <v>0.0</v>
      </c>
      <c r="C351" s="17">
        <v>1002001.0</v>
      </c>
      <c r="D351" s="17">
        <v>1002000.0</v>
      </c>
      <c r="E351" s="17">
        <v>-1.0</v>
      </c>
      <c r="F351" s="17">
        <v>-1.0</v>
      </c>
      <c r="G351" s="17">
        <v>-1.0</v>
      </c>
      <c r="H351" s="17">
        <v>-1.0</v>
      </c>
    </row>
    <row r="352">
      <c r="A352" s="17">
        <v>1002012.0</v>
      </c>
      <c r="B352" s="17">
        <v>0.0</v>
      </c>
      <c r="C352" s="17">
        <v>1002002.0</v>
      </c>
      <c r="D352" s="17">
        <v>1002001.0</v>
      </c>
      <c r="E352" s="17">
        <v>1002000.0</v>
      </c>
      <c r="F352" s="17">
        <v>-1.0</v>
      </c>
      <c r="G352" s="17">
        <v>-1.0</v>
      </c>
      <c r="H352" s="17">
        <v>-1.0</v>
      </c>
    </row>
    <row r="353">
      <c r="A353" s="17">
        <v>1002020.0</v>
      </c>
      <c r="B353" s="17">
        <v>0.0</v>
      </c>
      <c r="C353" s="17">
        <v>1002000.0</v>
      </c>
      <c r="D353" s="17">
        <v>-1.0</v>
      </c>
      <c r="E353" s="17">
        <v>-1.0</v>
      </c>
      <c r="F353" s="17">
        <v>-1.0</v>
      </c>
      <c r="G353" s="17">
        <v>-1.0</v>
      </c>
      <c r="H353" s="17">
        <v>-1.0</v>
      </c>
    </row>
    <row r="354">
      <c r="A354" s="17">
        <v>1002021.0</v>
      </c>
      <c r="B354" s="17">
        <v>0.0</v>
      </c>
      <c r="C354" s="17">
        <v>1002001.0</v>
      </c>
      <c r="D354" s="17">
        <v>1002000.0</v>
      </c>
      <c r="E354" s="17">
        <v>-1.0</v>
      </c>
      <c r="F354" s="17">
        <v>-1.0</v>
      </c>
      <c r="G354" s="17">
        <v>-1.0</v>
      </c>
      <c r="H354" s="17">
        <v>-1.0</v>
      </c>
    </row>
    <row r="355">
      <c r="A355" s="17">
        <v>1002022.0</v>
      </c>
      <c r="B355" s="17">
        <v>0.0</v>
      </c>
      <c r="C355" s="17">
        <v>1002002.0</v>
      </c>
      <c r="D355" s="17">
        <v>1002001.0</v>
      </c>
      <c r="E355" s="17">
        <v>1002000.0</v>
      </c>
      <c r="F355" s="17">
        <v>-1.0</v>
      </c>
      <c r="G355" s="17">
        <v>-1.0</v>
      </c>
      <c r="H355" s="17">
        <v>-1.0</v>
      </c>
    </row>
    <row r="356">
      <c r="A356" s="17">
        <v>1002100.0</v>
      </c>
      <c r="B356" s="17">
        <v>1.0</v>
      </c>
      <c r="C356" s="17">
        <v>1002000.0</v>
      </c>
      <c r="D356" s="17">
        <v>-1.0</v>
      </c>
      <c r="E356" s="17">
        <v>-1.0</v>
      </c>
      <c r="F356" s="17">
        <v>-1.0</v>
      </c>
      <c r="G356" s="17">
        <v>-1.0</v>
      </c>
      <c r="H356" s="17">
        <v>-1.0</v>
      </c>
    </row>
    <row r="357">
      <c r="A357" s="17">
        <v>1002101.0</v>
      </c>
      <c r="B357" s="17">
        <v>1.0</v>
      </c>
      <c r="C357" s="17">
        <v>1002001.0</v>
      </c>
      <c r="D357" s="17">
        <v>1002000.0</v>
      </c>
      <c r="E357" s="17">
        <v>-1.0</v>
      </c>
      <c r="F357" s="17">
        <v>-1.0</v>
      </c>
      <c r="G357" s="17">
        <v>-1.0</v>
      </c>
      <c r="H357" s="17">
        <v>-1.0</v>
      </c>
    </row>
    <row r="358">
      <c r="A358" s="17">
        <v>1002102.0</v>
      </c>
      <c r="B358" s="17">
        <v>1.0</v>
      </c>
      <c r="C358" s="17">
        <v>1002002.0</v>
      </c>
      <c r="D358" s="17">
        <v>1002001.0</v>
      </c>
      <c r="E358" s="17">
        <v>1002000.0</v>
      </c>
      <c r="F358" s="17">
        <v>-1.0</v>
      </c>
      <c r="G358" s="17">
        <v>-1.0</v>
      </c>
      <c r="H358" s="17">
        <v>-1.0</v>
      </c>
    </row>
    <row r="359">
      <c r="A359" s="17">
        <v>1002110.0</v>
      </c>
      <c r="B359" s="17">
        <v>1.0</v>
      </c>
      <c r="C359" s="17">
        <v>1002000.0</v>
      </c>
      <c r="D359" s="17">
        <v>-1.0</v>
      </c>
      <c r="E359" s="17">
        <v>-1.0</v>
      </c>
      <c r="F359" s="17">
        <v>-1.0</v>
      </c>
      <c r="G359" s="17">
        <v>-1.0</v>
      </c>
      <c r="H359" s="17">
        <v>-1.0</v>
      </c>
    </row>
    <row r="360">
      <c r="A360" s="17">
        <v>1002111.0</v>
      </c>
      <c r="B360" s="17">
        <v>1.0</v>
      </c>
      <c r="C360" s="17">
        <v>1002001.0</v>
      </c>
      <c r="D360" s="17">
        <v>1002000.0</v>
      </c>
      <c r="E360" s="17">
        <v>-1.0</v>
      </c>
      <c r="F360" s="17">
        <v>-1.0</v>
      </c>
      <c r="G360" s="17">
        <v>-1.0</v>
      </c>
      <c r="H360" s="17">
        <v>-1.0</v>
      </c>
    </row>
    <row r="361">
      <c r="A361" s="17">
        <v>1002112.0</v>
      </c>
      <c r="B361" s="17">
        <v>1.0</v>
      </c>
      <c r="C361" s="17">
        <v>1002002.0</v>
      </c>
      <c r="D361" s="17">
        <v>1002001.0</v>
      </c>
      <c r="E361" s="17">
        <v>1002000.0</v>
      </c>
      <c r="F361" s="17">
        <v>-1.0</v>
      </c>
      <c r="G361" s="17">
        <v>-1.0</v>
      </c>
      <c r="H361" s="17">
        <v>-1.0</v>
      </c>
    </row>
    <row r="362">
      <c r="A362" s="17">
        <v>1002120.0</v>
      </c>
      <c r="B362" s="17">
        <v>1.0</v>
      </c>
      <c r="C362" s="17">
        <v>1002000.0</v>
      </c>
      <c r="D362" s="17">
        <v>-1.0</v>
      </c>
      <c r="E362" s="17">
        <v>-1.0</v>
      </c>
      <c r="F362" s="17">
        <v>-1.0</v>
      </c>
      <c r="G362" s="17">
        <v>-1.0</v>
      </c>
      <c r="H362" s="17">
        <v>-1.0</v>
      </c>
    </row>
    <row r="363">
      <c r="A363" s="17">
        <v>1002121.0</v>
      </c>
      <c r="B363" s="17">
        <v>1.0</v>
      </c>
      <c r="C363" s="17">
        <v>1002001.0</v>
      </c>
      <c r="D363" s="17">
        <v>1002000.0</v>
      </c>
      <c r="E363" s="17">
        <v>-1.0</v>
      </c>
      <c r="F363" s="17">
        <v>-1.0</v>
      </c>
      <c r="G363" s="17">
        <v>-1.0</v>
      </c>
      <c r="H363" s="17">
        <v>-1.0</v>
      </c>
    </row>
    <row r="364">
      <c r="A364" s="17">
        <v>1002122.0</v>
      </c>
      <c r="B364" s="17">
        <v>1.0</v>
      </c>
      <c r="C364" s="17">
        <v>1002002.0</v>
      </c>
      <c r="D364" s="17">
        <v>1002001.0</v>
      </c>
      <c r="E364" s="17">
        <v>1002000.0</v>
      </c>
      <c r="F364" s="17">
        <v>-1.0</v>
      </c>
      <c r="G364" s="17">
        <v>-1.0</v>
      </c>
      <c r="H364" s="17">
        <v>-1.0</v>
      </c>
    </row>
    <row r="365">
      <c r="A365" s="17">
        <v>1002200.0</v>
      </c>
      <c r="B365" s="17">
        <v>2.0</v>
      </c>
      <c r="C365" s="17">
        <v>1002000.0</v>
      </c>
      <c r="D365" s="17">
        <v>-1.0</v>
      </c>
      <c r="E365" s="17">
        <v>-1.0</v>
      </c>
      <c r="F365" s="17">
        <v>-1.0</v>
      </c>
      <c r="G365" s="17">
        <v>-1.0</v>
      </c>
      <c r="H365" s="17">
        <v>-1.0</v>
      </c>
    </row>
    <row r="366">
      <c r="A366" s="17">
        <v>1002201.0</v>
      </c>
      <c r="B366" s="17">
        <v>2.0</v>
      </c>
      <c r="C366" s="17">
        <v>1002001.0</v>
      </c>
      <c r="D366" s="17">
        <v>1002000.0</v>
      </c>
      <c r="E366" s="17">
        <v>-1.0</v>
      </c>
      <c r="F366" s="17">
        <v>-1.0</v>
      </c>
      <c r="G366" s="17">
        <v>-1.0</v>
      </c>
      <c r="H366" s="17">
        <v>-1.0</v>
      </c>
    </row>
    <row r="367">
      <c r="A367" s="17">
        <v>1002202.0</v>
      </c>
      <c r="B367" s="17">
        <v>2.0</v>
      </c>
      <c r="C367" s="17">
        <v>1002002.0</v>
      </c>
      <c r="D367" s="17">
        <v>1002001.0</v>
      </c>
      <c r="E367" s="17">
        <v>1002000.0</v>
      </c>
      <c r="F367" s="17">
        <v>-1.0</v>
      </c>
      <c r="G367" s="17">
        <v>-1.0</v>
      </c>
      <c r="H367" s="17">
        <v>-1.0</v>
      </c>
    </row>
    <row r="368">
      <c r="A368" s="17">
        <v>1002210.0</v>
      </c>
      <c r="B368" s="17">
        <v>2.0</v>
      </c>
      <c r="C368" s="17">
        <v>1002000.0</v>
      </c>
      <c r="D368" s="17">
        <v>-1.0</v>
      </c>
      <c r="E368" s="17">
        <v>-1.0</v>
      </c>
      <c r="F368" s="17">
        <v>-1.0</v>
      </c>
      <c r="G368" s="17">
        <v>-1.0</v>
      </c>
      <c r="H368" s="17">
        <v>-1.0</v>
      </c>
    </row>
    <row r="369">
      <c r="A369" s="17">
        <v>1002211.0</v>
      </c>
      <c r="B369" s="17">
        <v>2.0</v>
      </c>
      <c r="C369" s="17">
        <v>1002001.0</v>
      </c>
      <c r="D369" s="17">
        <v>1002000.0</v>
      </c>
      <c r="E369" s="17">
        <v>-1.0</v>
      </c>
      <c r="F369" s="17">
        <v>-1.0</v>
      </c>
      <c r="G369" s="17">
        <v>-1.0</v>
      </c>
      <c r="H369" s="17">
        <v>-1.0</v>
      </c>
    </row>
    <row r="370">
      <c r="A370" s="17">
        <v>1002212.0</v>
      </c>
      <c r="B370" s="17">
        <v>2.0</v>
      </c>
      <c r="C370" s="17">
        <v>1002002.0</v>
      </c>
      <c r="D370" s="17">
        <v>1002001.0</v>
      </c>
      <c r="E370" s="17">
        <v>1002000.0</v>
      </c>
      <c r="F370" s="17">
        <v>-1.0</v>
      </c>
      <c r="G370" s="17">
        <v>-1.0</v>
      </c>
      <c r="H370" s="17">
        <v>-1.0</v>
      </c>
    </row>
    <row r="371">
      <c r="A371" s="17">
        <v>1002220.0</v>
      </c>
      <c r="B371" s="17">
        <v>2.0</v>
      </c>
      <c r="C371" s="17">
        <v>1002000.0</v>
      </c>
      <c r="D371" s="17">
        <v>-1.0</v>
      </c>
      <c r="E371" s="17">
        <v>-1.0</v>
      </c>
      <c r="F371" s="17">
        <v>-1.0</v>
      </c>
      <c r="G371" s="17">
        <v>-1.0</v>
      </c>
      <c r="H371" s="17">
        <v>-1.0</v>
      </c>
    </row>
    <row r="372">
      <c r="A372" s="17">
        <v>1002221.0</v>
      </c>
      <c r="B372" s="17">
        <v>2.0</v>
      </c>
      <c r="C372" s="17">
        <v>1002001.0</v>
      </c>
      <c r="D372" s="17">
        <v>1002000.0</v>
      </c>
      <c r="E372" s="17">
        <v>-1.0</v>
      </c>
      <c r="F372" s="17">
        <v>-1.0</v>
      </c>
      <c r="G372" s="17">
        <v>-1.0</v>
      </c>
      <c r="H372" s="17">
        <v>-1.0</v>
      </c>
    </row>
    <row r="373">
      <c r="A373" s="17">
        <v>1002222.0</v>
      </c>
      <c r="B373" s="17">
        <v>2.0</v>
      </c>
      <c r="C373" s="17">
        <v>1002002.0</v>
      </c>
      <c r="D373" s="17">
        <v>1002001.0</v>
      </c>
      <c r="E373" s="17">
        <v>1002000.0</v>
      </c>
      <c r="F373" s="17">
        <v>-1.0</v>
      </c>
      <c r="G373" s="17">
        <v>-1.0</v>
      </c>
      <c r="H373" s="17">
        <v>-1.0</v>
      </c>
    </row>
    <row r="374">
      <c r="A374" s="17">
        <v>1002300.0</v>
      </c>
      <c r="B374" s="17">
        <v>3.0</v>
      </c>
      <c r="C374" s="17">
        <v>1002000.0</v>
      </c>
      <c r="D374" s="17">
        <v>-1.0</v>
      </c>
      <c r="E374" s="17">
        <v>-1.0</v>
      </c>
      <c r="F374" s="17">
        <v>-1.0</v>
      </c>
      <c r="G374" s="17">
        <v>-1.0</v>
      </c>
      <c r="H374" s="17">
        <v>-1.0</v>
      </c>
    </row>
    <row r="375">
      <c r="A375" s="17">
        <v>1002301.0</v>
      </c>
      <c r="B375" s="17">
        <v>3.0</v>
      </c>
      <c r="C375" s="17">
        <v>1002001.0</v>
      </c>
      <c r="D375" s="17">
        <v>1002000.0</v>
      </c>
      <c r="E375" s="17">
        <v>-1.0</v>
      </c>
      <c r="F375" s="17">
        <v>-1.0</v>
      </c>
      <c r="G375" s="17">
        <v>-1.0</v>
      </c>
      <c r="H375" s="17">
        <v>-1.0</v>
      </c>
    </row>
    <row r="376">
      <c r="A376" s="17">
        <v>1002302.0</v>
      </c>
      <c r="B376" s="17">
        <v>3.0</v>
      </c>
      <c r="C376" s="17">
        <v>1002002.0</v>
      </c>
      <c r="D376" s="17">
        <v>1002001.0</v>
      </c>
      <c r="E376" s="17">
        <v>1002000.0</v>
      </c>
      <c r="F376" s="17">
        <v>-1.0</v>
      </c>
      <c r="G376" s="17">
        <v>-1.0</v>
      </c>
      <c r="H376" s="17">
        <v>-1.0</v>
      </c>
    </row>
    <row r="377">
      <c r="A377" s="17">
        <v>1002310.0</v>
      </c>
      <c r="B377" s="17">
        <v>3.0</v>
      </c>
      <c r="C377" s="17">
        <v>1002000.0</v>
      </c>
      <c r="D377" s="17">
        <v>-1.0</v>
      </c>
      <c r="E377" s="17">
        <v>-1.0</v>
      </c>
      <c r="F377" s="17">
        <v>-1.0</v>
      </c>
      <c r="G377" s="17">
        <v>-1.0</v>
      </c>
      <c r="H377" s="17">
        <v>-1.0</v>
      </c>
    </row>
    <row r="378">
      <c r="A378" s="17">
        <v>1002311.0</v>
      </c>
      <c r="B378" s="17">
        <v>3.0</v>
      </c>
      <c r="C378" s="17">
        <v>1002001.0</v>
      </c>
      <c r="D378" s="17">
        <v>1002000.0</v>
      </c>
      <c r="E378" s="17">
        <v>-1.0</v>
      </c>
      <c r="F378" s="17">
        <v>-1.0</v>
      </c>
      <c r="G378" s="17">
        <v>-1.0</v>
      </c>
      <c r="H378" s="17">
        <v>-1.0</v>
      </c>
    </row>
    <row r="379">
      <c r="A379" s="17">
        <v>1002312.0</v>
      </c>
      <c r="B379" s="17">
        <v>3.0</v>
      </c>
      <c r="C379" s="17">
        <v>1002002.0</v>
      </c>
      <c r="D379" s="17">
        <v>1002001.0</v>
      </c>
      <c r="E379" s="17">
        <v>1002000.0</v>
      </c>
      <c r="F379" s="17">
        <v>-1.0</v>
      </c>
      <c r="G379" s="17">
        <v>-1.0</v>
      </c>
      <c r="H379" s="17">
        <v>-1.0</v>
      </c>
    </row>
    <row r="380">
      <c r="A380" s="17">
        <v>1002320.0</v>
      </c>
      <c r="B380" s="17">
        <v>3.0</v>
      </c>
      <c r="C380" s="17">
        <v>1002000.0</v>
      </c>
      <c r="D380" s="17">
        <v>-1.0</v>
      </c>
      <c r="E380" s="17">
        <v>-1.0</v>
      </c>
      <c r="F380" s="17">
        <v>-1.0</v>
      </c>
      <c r="G380" s="17">
        <v>-1.0</v>
      </c>
      <c r="H380" s="17">
        <v>-1.0</v>
      </c>
    </row>
    <row r="381">
      <c r="A381" s="17">
        <v>1002321.0</v>
      </c>
      <c r="B381" s="17">
        <v>3.0</v>
      </c>
      <c r="C381" s="17">
        <v>1002001.0</v>
      </c>
      <c r="D381" s="17">
        <v>1002000.0</v>
      </c>
      <c r="E381" s="17">
        <v>-1.0</v>
      </c>
      <c r="F381" s="17">
        <v>-1.0</v>
      </c>
      <c r="G381" s="17">
        <v>-1.0</v>
      </c>
      <c r="H381" s="17">
        <v>-1.0</v>
      </c>
    </row>
    <row r="382">
      <c r="A382" s="17">
        <v>1002322.0</v>
      </c>
      <c r="B382" s="17">
        <v>3.0</v>
      </c>
      <c r="C382" s="17">
        <v>1002002.0</v>
      </c>
      <c r="D382" s="17">
        <v>1002001.0</v>
      </c>
      <c r="E382" s="17">
        <v>1002000.0</v>
      </c>
      <c r="F382" s="17">
        <v>-1.0</v>
      </c>
      <c r="G382" s="17">
        <v>-1.0</v>
      </c>
      <c r="H382" s="17">
        <v>-1.0</v>
      </c>
    </row>
    <row r="383">
      <c r="A383" s="17">
        <v>1003000.0</v>
      </c>
      <c r="B383" s="17">
        <v>0.0</v>
      </c>
      <c r="C383" s="17">
        <v>1003000.0</v>
      </c>
      <c r="D383" s="17">
        <v>-1.0</v>
      </c>
      <c r="E383" s="17">
        <v>-1.0</v>
      </c>
      <c r="F383" s="17">
        <v>-1.0</v>
      </c>
      <c r="G383" s="17">
        <v>-1.0</v>
      </c>
      <c r="H383" s="17">
        <v>-1.0</v>
      </c>
    </row>
    <row r="384">
      <c r="A384" s="17">
        <v>1003001.0</v>
      </c>
      <c r="B384" s="17">
        <v>0.0</v>
      </c>
      <c r="C384" s="17">
        <v>1003001.0</v>
      </c>
      <c r="D384" s="17">
        <v>1003000.0</v>
      </c>
      <c r="E384" s="17">
        <v>-1.0</v>
      </c>
      <c r="F384" s="17">
        <v>-1.0</v>
      </c>
      <c r="G384" s="17">
        <v>-1.0</v>
      </c>
      <c r="H384" s="17">
        <v>-1.0</v>
      </c>
    </row>
    <row r="385">
      <c r="A385" s="17">
        <v>1003002.0</v>
      </c>
      <c r="B385" s="17">
        <v>0.0</v>
      </c>
      <c r="C385" s="17">
        <v>1003002.0</v>
      </c>
      <c r="D385" s="17">
        <v>1003001.0</v>
      </c>
      <c r="E385" s="17">
        <v>1003000.0</v>
      </c>
      <c r="F385" s="17">
        <v>-1.0</v>
      </c>
      <c r="G385" s="17">
        <v>-1.0</v>
      </c>
      <c r="H385" s="17">
        <v>-1.0</v>
      </c>
    </row>
    <row r="386">
      <c r="A386" s="17">
        <v>1003010.0</v>
      </c>
      <c r="B386" s="17">
        <v>0.0</v>
      </c>
      <c r="C386" s="17">
        <v>1003000.0</v>
      </c>
      <c r="D386" s="17">
        <v>-1.0</v>
      </c>
      <c r="E386" s="17">
        <v>-1.0</v>
      </c>
      <c r="F386" s="17">
        <v>-1.0</v>
      </c>
      <c r="G386" s="17">
        <v>-1.0</v>
      </c>
      <c r="H386" s="17">
        <v>-1.0</v>
      </c>
    </row>
    <row r="387">
      <c r="A387" s="17">
        <v>1003011.0</v>
      </c>
      <c r="B387" s="17">
        <v>0.0</v>
      </c>
      <c r="C387" s="17">
        <v>1003001.0</v>
      </c>
      <c r="D387" s="17">
        <v>1003000.0</v>
      </c>
      <c r="E387" s="17">
        <v>-1.0</v>
      </c>
      <c r="F387" s="17">
        <v>-1.0</v>
      </c>
      <c r="G387" s="17">
        <v>-1.0</v>
      </c>
      <c r="H387" s="17">
        <v>-1.0</v>
      </c>
    </row>
    <row r="388">
      <c r="A388" s="17">
        <v>1003012.0</v>
      </c>
      <c r="B388" s="17">
        <v>0.0</v>
      </c>
      <c r="C388" s="17">
        <v>1003002.0</v>
      </c>
      <c r="D388" s="17">
        <v>1003001.0</v>
      </c>
      <c r="E388" s="17">
        <v>1003000.0</v>
      </c>
      <c r="F388" s="17">
        <v>-1.0</v>
      </c>
      <c r="G388" s="17">
        <v>-1.0</v>
      </c>
      <c r="H388" s="17">
        <v>-1.0</v>
      </c>
    </row>
    <row r="389">
      <c r="A389" s="17">
        <v>1003020.0</v>
      </c>
      <c r="B389" s="17">
        <v>0.0</v>
      </c>
      <c r="C389" s="17">
        <v>1003000.0</v>
      </c>
      <c r="D389" s="17">
        <v>-1.0</v>
      </c>
      <c r="E389" s="17">
        <v>-1.0</v>
      </c>
      <c r="F389" s="17">
        <v>-1.0</v>
      </c>
      <c r="G389" s="17">
        <v>-1.0</v>
      </c>
      <c r="H389" s="17">
        <v>-1.0</v>
      </c>
    </row>
    <row r="390">
      <c r="A390" s="17">
        <v>1003021.0</v>
      </c>
      <c r="B390" s="17">
        <v>0.0</v>
      </c>
      <c r="C390" s="17">
        <v>1003001.0</v>
      </c>
      <c r="D390" s="17">
        <v>1003000.0</v>
      </c>
      <c r="E390" s="17">
        <v>-1.0</v>
      </c>
      <c r="F390" s="17">
        <v>-1.0</v>
      </c>
      <c r="G390" s="17">
        <v>-1.0</v>
      </c>
      <c r="H390" s="17">
        <v>-1.0</v>
      </c>
    </row>
    <row r="391">
      <c r="A391" s="17">
        <v>1003022.0</v>
      </c>
      <c r="B391" s="17">
        <v>0.0</v>
      </c>
      <c r="C391" s="17">
        <v>1003002.0</v>
      </c>
      <c r="D391" s="17">
        <v>1003001.0</v>
      </c>
      <c r="E391" s="17">
        <v>1003000.0</v>
      </c>
      <c r="F391" s="17">
        <v>-1.0</v>
      </c>
      <c r="G391" s="17">
        <v>-1.0</v>
      </c>
      <c r="H391" s="17">
        <v>-1.0</v>
      </c>
    </row>
    <row r="392">
      <c r="A392" s="17">
        <v>1003100.0</v>
      </c>
      <c r="B392" s="17">
        <v>1.0</v>
      </c>
      <c r="C392" s="17">
        <v>1003000.0</v>
      </c>
      <c r="D392" s="17">
        <v>-1.0</v>
      </c>
      <c r="E392" s="17">
        <v>-1.0</v>
      </c>
      <c r="F392" s="17">
        <v>-1.0</v>
      </c>
      <c r="G392" s="17">
        <v>-1.0</v>
      </c>
      <c r="H392" s="17">
        <v>-1.0</v>
      </c>
    </row>
    <row r="393">
      <c r="A393" s="17">
        <v>1003101.0</v>
      </c>
      <c r="B393" s="17">
        <v>1.0</v>
      </c>
      <c r="C393" s="17">
        <v>1003001.0</v>
      </c>
      <c r="D393" s="17">
        <v>1003000.0</v>
      </c>
      <c r="E393" s="17">
        <v>-1.0</v>
      </c>
      <c r="F393" s="17">
        <v>-1.0</v>
      </c>
      <c r="G393" s="17">
        <v>-1.0</v>
      </c>
      <c r="H393" s="17">
        <v>-1.0</v>
      </c>
    </row>
    <row r="394">
      <c r="A394" s="17">
        <v>1003102.0</v>
      </c>
      <c r="B394" s="17">
        <v>1.0</v>
      </c>
      <c r="C394" s="17">
        <v>1003002.0</v>
      </c>
      <c r="D394" s="17">
        <v>1003001.0</v>
      </c>
      <c r="E394" s="17">
        <v>1003000.0</v>
      </c>
      <c r="F394" s="17">
        <v>-1.0</v>
      </c>
      <c r="G394" s="17">
        <v>-1.0</v>
      </c>
      <c r="H394" s="17">
        <v>-1.0</v>
      </c>
    </row>
    <row r="395">
      <c r="A395" s="17">
        <v>1003110.0</v>
      </c>
      <c r="B395" s="17">
        <v>1.0</v>
      </c>
      <c r="C395" s="17">
        <v>1003000.0</v>
      </c>
      <c r="D395" s="17">
        <v>-1.0</v>
      </c>
      <c r="E395" s="17">
        <v>-1.0</v>
      </c>
      <c r="F395" s="17">
        <v>-1.0</v>
      </c>
      <c r="G395" s="17">
        <v>-1.0</v>
      </c>
      <c r="H395" s="17">
        <v>-1.0</v>
      </c>
    </row>
    <row r="396">
      <c r="A396" s="17">
        <v>1003111.0</v>
      </c>
      <c r="B396" s="17">
        <v>1.0</v>
      </c>
      <c r="C396" s="17">
        <v>1003001.0</v>
      </c>
      <c r="D396" s="17">
        <v>1003000.0</v>
      </c>
      <c r="E396" s="17">
        <v>-1.0</v>
      </c>
      <c r="F396" s="17">
        <v>-1.0</v>
      </c>
      <c r="G396" s="17">
        <v>-1.0</v>
      </c>
      <c r="H396" s="17">
        <v>-1.0</v>
      </c>
    </row>
    <row r="397">
      <c r="A397" s="17">
        <v>1003112.0</v>
      </c>
      <c r="B397" s="17">
        <v>1.0</v>
      </c>
      <c r="C397" s="17">
        <v>1003002.0</v>
      </c>
      <c r="D397" s="17">
        <v>1003001.0</v>
      </c>
      <c r="E397" s="17">
        <v>1003000.0</v>
      </c>
      <c r="F397" s="17">
        <v>-1.0</v>
      </c>
      <c r="G397" s="17">
        <v>-1.0</v>
      </c>
      <c r="H397" s="17">
        <v>-1.0</v>
      </c>
    </row>
    <row r="398">
      <c r="A398" s="17">
        <v>1003120.0</v>
      </c>
      <c r="B398" s="17">
        <v>1.0</v>
      </c>
      <c r="C398" s="17">
        <v>1003000.0</v>
      </c>
      <c r="D398" s="17">
        <v>-1.0</v>
      </c>
      <c r="E398" s="17">
        <v>-1.0</v>
      </c>
      <c r="F398" s="17">
        <v>-1.0</v>
      </c>
      <c r="G398" s="17">
        <v>-1.0</v>
      </c>
      <c r="H398" s="17">
        <v>-1.0</v>
      </c>
    </row>
    <row r="399">
      <c r="A399" s="17">
        <v>1003121.0</v>
      </c>
      <c r="B399" s="17">
        <v>1.0</v>
      </c>
      <c r="C399" s="17">
        <v>1003001.0</v>
      </c>
      <c r="D399" s="17">
        <v>1003000.0</v>
      </c>
      <c r="E399" s="17">
        <v>-1.0</v>
      </c>
      <c r="F399" s="17">
        <v>-1.0</v>
      </c>
      <c r="G399" s="17">
        <v>-1.0</v>
      </c>
      <c r="H399" s="17">
        <v>-1.0</v>
      </c>
    </row>
    <row r="400">
      <c r="A400" s="17">
        <v>1003122.0</v>
      </c>
      <c r="B400" s="17">
        <v>1.0</v>
      </c>
      <c r="C400" s="17">
        <v>1003002.0</v>
      </c>
      <c r="D400" s="17">
        <v>1003001.0</v>
      </c>
      <c r="E400" s="17">
        <v>1003000.0</v>
      </c>
      <c r="F400" s="17">
        <v>-1.0</v>
      </c>
      <c r="G400" s="17">
        <v>-1.0</v>
      </c>
      <c r="H400" s="17">
        <v>-1.0</v>
      </c>
    </row>
    <row r="401">
      <c r="A401" s="17">
        <v>1003200.0</v>
      </c>
      <c r="B401" s="17">
        <v>2.0</v>
      </c>
      <c r="C401" s="17">
        <v>1003000.0</v>
      </c>
      <c r="D401" s="17">
        <v>-1.0</v>
      </c>
      <c r="E401" s="17">
        <v>-1.0</v>
      </c>
      <c r="F401" s="17">
        <v>-1.0</v>
      </c>
      <c r="G401" s="17">
        <v>-1.0</v>
      </c>
      <c r="H401" s="17">
        <v>-1.0</v>
      </c>
    </row>
    <row r="402">
      <c r="A402" s="17">
        <v>1003201.0</v>
      </c>
      <c r="B402" s="17">
        <v>2.0</v>
      </c>
      <c r="C402" s="17">
        <v>1003001.0</v>
      </c>
      <c r="D402" s="17">
        <v>1003000.0</v>
      </c>
      <c r="E402" s="17">
        <v>-1.0</v>
      </c>
      <c r="F402" s="17">
        <v>-1.0</v>
      </c>
      <c r="G402" s="17">
        <v>-1.0</v>
      </c>
      <c r="H402" s="17">
        <v>-1.0</v>
      </c>
    </row>
    <row r="403">
      <c r="A403" s="17">
        <v>1003202.0</v>
      </c>
      <c r="B403" s="17">
        <v>2.0</v>
      </c>
      <c r="C403" s="17">
        <v>1003002.0</v>
      </c>
      <c r="D403" s="17">
        <v>1003001.0</v>
      </c>
      <c r="E403" s="17">
        <v>1003000.0</v>
      </c>
      <c r="F403" s="17">
        <v>-1.0</v>
      </c>
      <c r="G403" s="17">
        <v>-1.0</v>
      </c>
      <c r="H403" s="17">
        <v>-1.0</v>
      </c>
    </row>
    <row r="404">
      <c r="A404" s="17">
        <v>1003210.0</v>
      </c>
      <c r="B404" s="17">
        <v>2.0</v>
      </c>
      <c r="C404" s="17">
        <v>1003000.0</v>
      </c>
      <c r="D404" s="17">
        <v>-1.0</v>
      </c>
      <c r="E404" s="17">
        <v>-1.0</v>
      </c>
      <c r="F404" s="17">
        <v>-1.0</v>
      </c>
      <c r="G404" s="17">
        <v>-1.0</v>
      </c>
      <c r="H404" s="17">
        <v>-1.0</v>
      </c>
    </row>
    <row r="405">
      <c r="A405" s="17">
        <v>1003211.0</v>
      </c>
      <c r="B405" s="17">
        <v>2.0</v>
      </c>
      <c r="C405" s="17">
        <v>1003001.0</v>
      </c>
      <c r="D405" s="17">
        <v>1003000.0</v>
      </c>
      <c r="E405" s="17">
        <v>-1.0</v>
      </c>
      <c r="F405" s="17">
        <v>-1.0</v>
      </c>
      <c r="G405" s="17">
        <v>-1.0</v>
      </c>
      <c r="H405" s="17">
        <v>-1.0</v>
      </c>
    </row>
    <row r="406">
      <c r="A406" s="17">
        <v>1003212.0</v>
      </c>
      <c r="B406" s="17">
        <v>2.0</v>
      </c>
      <c r="C406" s="17">
        <v>1003002.0</v>
      </c>
      <c r="D406" s="17">
        <v>1003001.0</v>
      </c>
      <c r="E406" s="17">
        <v>1003000.0</v>
      </c>
      <c r="F406" s="17">
        <v>-1.0</v>
      </c>
      <c r="G406" s="17">
        <v>-1.0</v>
      </c>
      <c r="H406" s="17">
        <v>-1.0</v>
      </c>
    </row>
    <row r="407">
      <c r="A407" s="17">
        <v>1003220.0</v>
      </c>
      <c r="B407" s="17">
        <v>2.0</v>
      </c>
      <c r="C407" s="17">
        <v>1003000.0</v>
      </c>
      <c r="D407" s="17">
        <v>-1.0</v>
      </c>
      <c r="E407" s="17">
        <v>-1.0</v>
      </c>
      <c r="F407" s="17">
        <v>-1.0</v>
      </c>
      <c r="G407" s="17">
        <v>-1.0</v>
      </c>
      <c r="H407" s="17">
        <v>-1.0</v>
      </c>
    </row>
    <row r="408">
      <c r="A408" s="17">
        <v>1003221.0</v>
      </c>
      <c r="B408" s="17">
        <v>2.0</v>
      </c>
      <c r="C408" s="17">
        <v>1003001.0</v>
      </c>
      <c r="D408" s="17">
        <v>1003000.0</v>
      </c>
      <c r="E408" s="17">
        <v>-1.0</v>
      </c>
      <c r="F408" s="17">
        <v>-1.0</v>
      </c>
      <c r="G408" s="17">
        <v>-1.0</v>
      </c>
      <c r="H408" s="17">
        <v>-1.0</v>
      </c>
    </row>
    <row r="409">
      <c r="A409" s="17">
        <v>1003222.0</v>
      </c>
      <c r="B409" s="17">
        <v>2.0</v>
      </c>
      <c r="C409" s="17">
        <v>1003002.0</v>
      </c>
      <c r="D409" s="17">
        <v>1003001.0</v>
      </c>
      <c r="E409" s="17">
        <v>1003000.0</v>
      </c>
      <c r="F409" s="17">
        <v>-1.0</v>
      </c>
      <c r="G409" s="17">
        <v>-1.0</v>
      </c>
      <c r="H409" s="17">
        <v>-1.0</v>
      </c>
    </row>
    <row r="410">
      <c r="A410" s="17">
        <v>1003300.0</v>
      </c>
      <c r="B410" s="17">
        <v>3.0</v>
      </c>
      <c r="C410" s="17">
        <v>1003000.0</v>
      </c>
      <c r="D410" s="17">
        <v>-1.0</v>
      </c>
      <c r="E410" s="17">
        <v>-1.0</v>
      </c>
      <c r="F410" s="17">
        <v>-1.0</v>
      </c>
      <c r="G410" s="17">
        <v>-1.0</v>
      </c>
      <c r="H410" s="17">
        <v>-1.0</v>
      </c>
    </row>
    <row r="411">
      <c r="A411" s="17">
        <v>1003301.0</v>
      </c>
      <c r="B411" s="17">
        <v>3.0</v>
      </c>
      <c r="C411" s="17">
        <v>1003001.0</v>
      </c>
      <c r="D411" s="17">
        <v>1003000.0</v>
      </c>
      <c r="E411" s="17">
        <v>-1.0</v>
      </c>
      <c r="F411" s="17">
        <v>-1.0</v>
      </c>
      <c r="G411" s="17">
        <v>-1.0</v>
      </c>
      <c r="H411" s="17">
        <v>-1.0</v>
      </c>
    </row>
    <row r="412">
      <c r="A412" s="17">
        <v>1003302.0</v>
      </c>
      <c r="B412" s="17">
        <v>3.0</v>
      </c>
      <c r="C412" s="17">
        <v>1003002.0</v>
      </c>
      <c r="D412" s="17">
        <v>1003001.0</v>
      </c>
      <c r="E412" s="17">
        <v>1003000.0</v>
      </c>
      <c r="F412" s="17">
        <v>-1.0</v>
      </c>
      <c r="G412" s="17">
        <v>-1.0</v>
      </c>
      <c r="H412" s="17">
        <v>-1.0</v>
      </c>
    </row>
    <row r="413">
      <c r="A413" s="17">
        <v>1003310.0</v>
      </c>
      <c r="B413" s="17">
        <v>3.0</v>
      </c>
      <c r="C413" s="17">
        <v>1003000.0</v>
      </c>
      <c r="D413" s="17">
        <v>-1.0</v>
      </c>
      <c r="E413" s="17">
        <v>-1.0</v>
      </c>
      <c r="F413" s="17">
        <v>-1.0</v>
      </c>
      <c r="G413" s="17">
        <v>-1.0</v>
      </c>
      <c r="H413" s="17">
        <v>-1.0</v>
      </c>
    </row>
    <row r="414">
      <c r="A414" s="17">
        <v>1003311.0</v>
      </c>
      <c r="B414" s="17">
        <v>3.0</v>
      </c>
      <c r="C414" s="17">
        <v>1003001.0</v>
      </c>
      <c r="D414" s="17">
        <v>1003000.0</v>
      </c>
      <c r="E414" s="17">
        <v>-1.0</v>
      </c>
      <c r="F414" s="17">
        <v>-1.0</v>
      </c>
      <c r="G414" s="17">
        <v>-1.0</v>
      </c>
      <c r="H414" s="17">
        <v>-1.0</v>
      </c>
    </row>
    <row r="415">
      <c r="A415" s="17">
        <v>1003312.0</v>
      </c>
      <c r="B415" s="17">
        <v>3.0</v>
      </c>
      <c r="C415" s="17">
        <v>1003002.0</v>
      </c>
      <c r="D415" s="17">
        <v>1003001.0</v>
      </c>
      <c r="E415" s="17">
        <v>1003000.0</v>
      </c>
      <c r="F415" s="17">
        <v>-1.0</v>
      </c>
      <c r="G415" s="17">
        <v>-1.0</v>
      </c>
      <c r="H415" s="17">
        <v>-1.0</v>
      </c>
    </row>
    <row r="416">
      <c r="A416" s="17">
        <v>1003320.0</v>
      </c>
      <c r="B416" s="17">
        <v>3.0</v>
      </c>
      <c r="C416" s="17">
        <v>1003000.0</v>
      </c>
      <c r="D416" s="17">
        <v>-1.0</v>
      </c>
      <c r="E416" s="17">
        <v>-1.0</v>
      </c>
      <c r="F416" s="17">
        <v>-1.0</v>
      </c>
      <c r="G416" s="17">
        <v>-1.0</v>
      </c>
      <c r="H416" s="17">
        <v>-1.0</v>
      </c>
    </row>
    <row r="417">
      <c r="A417" s="17">
        <v>1003321.0</v>
      </c>
      <c r="B417" s="17">
        <v>3.0</v>
      </c>
      <c r="C417" s="17">
        <v>1003001.0</v>
      </c>
      <c r="D417" s="17">
        <v>1003000.0</v>
      </c>
      <c r="E417" s="17">
        <v>-1.0</v>
      </c>
      <c r="F417" s="17">
        <v>-1.0</v>
      </c>
      <c r="G417" s="17">
        <v>-1.0</v>
      </c>
      <c r="H417" s="17">
        <v>-1.0</v>
      </c>
    </row>
    <row r="418">
      <c r="A418" s="17">
        <v>1003322.0</v>
      </c>
      <c r="B418" s="17">
        <v>3.0</v>
      </c>
      <c r="C418" s="17">
        <v>1003002.0</v>
      </c>
      <c r="D418" s="17">
        <v>1003001.0</v>
      </c>
      <c r="E418" s="17">
        <v>1003000.0</v>
      </c>
      <c r="F418" s="17">
        <v>-1.0</v>
      </c>
      <c r="G418" s="17">
        <v>-1.0</v>
      </c>
      <c r="H418" s="17">
        <v>-1.0</v>
      </c>
    </row>
    <row r="419">
      <c r="A419" s="17">
        <v>1004000.0</v>
      </c>
      <c r="B419" s="17">
        <v>0.0</v>
      </c>
      <c r="C419" s="17">
        <v>1004000.0</v>
      </c>
      <c r="D419" s="17">
        <v>-1.0</v>
      </c>
      <c r="E419" s="17">
        <v>-1.0</v>
      </c>
      <c r="F419" s="17">
        <v>-1.0</v>
      </c>
      <c r="G419" s="17">
        <v>-1.0</v>
      </c>
      <c r="H419" s="17">
        <v>-1.0</v>
      </c>
    </row>
    <row r="420">
      <c r="A420" s="17">
        <v>1004001.0</v>
      </c>
      <c r="B420" s="17">
        <v>0.0</v>
      </c>
      <c r="C420" s="17">
        <v>1004001.0</v>
      </c>
      <c r="D420" s="17">
        <v>1004000.0</v>
      </c>
      <c r="E420" s="17">
        <v>-1.0</v>
      </c>
      <c r="F420" s="17">
        <v>-1.0</v>
      </c>
      <c r="G420" s="17">
        <v>-1.0</v>
      </c>
      <c r="H420" s="17">
        <v>-1.0</v>
      </c>
    </row>
    <row r="421">
      <c r="A421" s="17">
        <v>1004002.0</v>
      </c>
      <c r="B421" s="17">
        <v>0.0</v>
      </c>
      <c r="C421" s="17">
        <v>1004002.0</v>
      </c>
      <c r="D421" s="17">
        <v>1004001.0</v>
      </c>
      <c r="E421" s="17">
        <v>1004000.0</v>
      </c>
      <c r="F421" s="17">
        <v>-1.0</v>
      </c>
      <c r="G421" s="17">
        <v>-1.0</v>
      </c>
      <c r="H421" s="17">
        <v>-1.0</v>
      </c>
    </row>
    <row r="422">
      <c r="A422" s="17">
        <v>1004010.0</v>
      </c>
      <c r="B422" s="17">
        <v>0.0</v>
      </c>
      <c r="C422" s="17">
        <v>1004000.0</v>
      </c>
      <c r="D422" s="17">
        <v>-1.0</v>
      </c>
      <c r="E422" s="17">
        <v>-1.0</v>
      </c>
      <c r="F422" s="17">
        <v>-1.0</v>
      </c>
      <c r="G422" s="17">
        <v>-1.0</v>
      </c>
      <c r="H422" s="17">
        <v>-1.0</v>
      </c>
    </row>
    <row r="423">
      <c r="A423" s="17">
        <v>1004011.0</v>
      </c>
      <c r="B423" s="17">
        <v>0.0</v>
      </c>
      <c r="C423" s="17">
        <v>1004001.0</v>
      </c>
      <c r="D423" s="17">
        <v>1004000.0</v>
      </c>
      <c r="E423" s="17">
        <v>-1.0</v>
      </c>
      <c r="F423" s="17">
        <v>-1.0</v>
      </c>
      <c r="G423" s="17">
        <v>-1.0</v>
      </c>
      <c r="H423" s="17">
        <v>-1.0</v>
      </c>
    </row>
    <row r="424">
      <c r="A424" s="17">
        <v>1004012.0</v>
      </c>
      <c r="B424" s="17">
        <v>0.0</v>
      </c>
      <c r="C424" s="17">
        <v>1004002.0</v>
      </c>
      <c r="D424" s="17">
        <v>1004001.0</v>
      </c>
      <c r="E424" s="17">
        <v>1004000.0</v>
      </c>
      <c r="F424" s="17">
        <v>-1.0</v>
      </c>
      <c r="G424" s="17">
        <v>-1.0</v>
      </c>
      <c r="H424" s="17">
        <v>-1.0</v>
      </c>
    </row>
    <row r="425">
      <c r="A425" s="17">
        <v>1004020.0</v>
      </c>
      <c r="B425" s="17">
        <v>0.0</v>
      </c>
      <c r="C425" s="17">
        <v>1004000.0</v>
      </c>
      <c r="D425" s="17">
        <v>-1.0</v>
      </c>
      <c r="E425" s="17">
        <v>-1.0</v>
      </c>
      <c r="F425" s="17">
        <v>-1.0</v>
      </c>
      <c r="G425" s="17">
        <v>-1.0</v>
      </c>
      <c r="H425" s="17">
        <v>-1.0</v>
      </c>
    </row>
    <row r="426">
      <c r="A426" s="17">
        <v>1004021.0</v>
      </c>
      <c r="B426" s="17">
        <v>0.0</v>
      </c>
      <c r="C426" s="17">
        <v>1004001.0</v>
      </c>
      <c r="D426" s="17">
        <v>1004000.0</v>
      </c>
      <c r="E426" s="17">
        <v>-1.0</v>
      </c>
      <c r="F426" s="17">
        <v>-1.0</v>
      </c>
      <c r="G426" s="17">
        <v>-1.0</v>
      </c>
      <c r="H426" s="17">
        <v>-1.0</v>
      </c>
    </row>
    <row r="427">
      <c r="A427" s="17">
        <v>1004022.0</v>
      </c>
      <c r="B427" s="17">
        <v>0.0</v>
      </c>
      <c r="C427" s="17">
        <v>1004002.0</v>
      </c>
      <c r="D427" s="17">
        <v>1004001.0</v>
      </c>
      <c r="E427" s="17">
        <v>1004000.0</v>
      </c>
      <c r="F427" s="17">
        <v>-1.0</v>
      </c>
      <c r="G427" s="17">
        <v>-1.0</v>
      </c>
      <c r="H427" s="17">
        <v>-1.0</v>
      </c>
    </row>
    <row r="428">
      <c r="A428" s="17">
        <v>1004100.0</v>
      </c>
      <c r="B428" s="17">
        <v>1.0</v>
      </c>
      <c r="C428" s="17">
        <v>1004000.0</v>
      </c>
      <c r="D428" s="17">
        <v>-1.0</v>
      </c>
      <c r="E428" s="17">
        <v>-1.0</v>
      </c>
      <c r="F428" s="17">
        <v>-1.0</v>
      </c>
      <c r="G428" s="17">
        <v>-1.0</v>
      </c>
      <c r="H428" s="17">
        <v>-1.0</v>
      </c>
    </row>
    <row r="429">
      <c r="A429" s="17">
        <v>1004101.0</v>
      </c>
      <c r="B429" s="17">
        <v>1.0</v>
      </c>
      <c r="C429" s="17">
        <v>1004001.0</v>
      </c>
      <c r="D429" s="17">
        <v>1004000.0</v>
      </c>
      <c r="E429" s="17">
        <v>-1.0</v>
      </c>
      <c r="F429" s="17">
        <v>-1.0</v>
      </c>
      <c r="G429" s="17">
        <v>-1.0</v>
      </c>
      <c r="H429" s="17">
        <v>-1.0</v>
      </c>
    </row>
    <row r="430">
      <c r="A430" s="17">
        <v>1004102.0</v>
      </c>
      <c r="B430" s="17">
        <v>1.0</v>
      </c>
      <c r="C430" s="17">
        <v>1004002.0</v>
      </c>
      <c r="D430" s="17">
        <v>1004001.0</v>
      </c>
      <c r="E430" s="17">
        <v>1004000.0</v>
      </c>
      <c r="F430" s="17">
        <v>-1.0</v>
      </c>
      <c r="G430" s="17">
        <v>-1.0</v>
      </c>
      <c r="H430" s="17">
        <v>-1.0</v>
      </c>
    </row>
    <row r="431">
      <c r="A431" s="17">
        <v>1004110.0</v>
      </c>
      <c r="B431" s="17">
        <v>1.0</v>
      </c>
      <c r="C431" s="17">
        <v>1004000.0</v>
      </c>
      <c r="D431" s="17">
        <v>-1.0</v>
      </c>
      <c r="E431" s="17">
        <v>-1.0</v>
      </c>
      <c r="F431" s="17">
        <v>-1.0</v>
      </c>
      <c r="G431" s="17">
        <v>-1.0</v>
      </c>
      <c r="H431" s="17">
        <v>-1.0</v>
      </c>
    </row>
    <row r="432">
      <c r="A432" s="17">
        <v>1004111.0</v>
      </c>
      <c r="B432" s="17">
        <v>1.0</v>
      </c>
      <c r="C432" s="17">
        <v>1004001.0</v>
      </c>
      <c r="D432" s="17">
        <v>1004000.0</v>
      </c>
      <c r="E432" s="17">
        <v>-1.0</v>
      </c>
      <c r="F432" s="17">
        <v>-1.0</v>
      </c>
      <c r="G432" s="17">
        <v>-1.0</v>
      </c>
      <c r="H432" s="17">
        <v>-1.0</v>
      </c>
    </row>
    <row r="433">
      <c r="A433" s="17">
        <v>1004112.0</v>
      </c>
      <c r="B433" s="17">
        <v>1.0</v>
      </c>
      <c r="C433" s="17">
        <v>1004002.0</v>
      </c>
      <c r="D433" s="17">
        <v>1004001.0</v>
      </c>
      <c r="E433" s="17">
        <v>1004000.0</v>
      </c>
      <c r="F433" s="17">
        <v>-1.0</v>
      </c>
      <c r="G433" s="17">
        <v>-1.0</v>
      </c>
      <c r="H433" s="17">
        <v>-1.0</v>
      </c>
    </row>
    <row r="434">
      <c r="A434" s="17">
        <v>1004120.0</v>
      </c>
      <c r="B434" s="17">
        <v>1.0</v>
      </c>
      <c r="C434" s="17">
        <v>1004000.0</v>
      </c>
      <c r="D434" s="17">
        <v>-1.0</v>
      </c>
      <c r="E434" s="17">
        <v>-1.0</v>
      </c>
      <c r="F434" s="17">
        <v>-1.0</v>
      </c>
      <c r="G434" s="17">
        <v>-1.0</v>
      </c>
      <c r="H434" s="17">
        <v>-1.0</v>
      </c>
    </row>
    <row r="435">
      <c r="A435" s="17">
        <v>1004121.0</v>
      </c>
      <c r="B435" s="17">
        <v>1.0</v>
      </c>
      <c r="C435" s="17">
        <v>1004001.0</v>
      </c>
      <c r="D435" s="17">
        <v>1004000.0</v>
      </c>
      <c r="E435" s="17">
        <v>-1.0</v>
      </c>
      <c r="F435" s="17">
        <v>-1.0</v>
      </c>
      <c r="G435" s="17">
        <v>-1.0</v>
      </c>
      <c r="H435" s="17">
        <v>-1.0</v>
      </c>
    </row>
    <row r="436">
      <c r="A436" s="17">
        <v>1004122.0</v>
      </c>
      <c r="B436" s="17">
        <v>1.0</v>
      </c>
      <c r="C436" s="17">
        <v>1004002.0</v>
      </c>
      <c r="D436" s="17">
        <v>1004001.0</v>
      </c>
      <c r="E436" s="17">
        <v>1004000.0</v>
      </c>
      <c r="F436" s="17">
        <v>-1.0</v>
      </c>
      <c r="G436" s="17">
        <v>-1.0</v>
      </c>
      <c r="H436" s="17">
        <v>-1.0</v>
      </c>
    </row>
    <row r="437">
      <c r="A437" s="17">
        <v>1004200.0</v>
      </c>
      <c r="B437" s="17">
        <v>2.0</v>
      </c>
      <c r="C437" s="17">
        <v>1004000.0</v>
      </c>
      <c r="D437" s="17">
        <v>-1.0</v>
      </c>
      <c r="E437" s="17">
        <v>-1.0</v>
      </c>
      <c r="F437" s="17">
        <v>-1.0</v>
      </c>
      <c r="G437" s="17">
        <v>-1.0</v>
      </c>
      <c r="H437" s="17">
        <v>-1.0</v>
      </c>
    </row>
    <row r="438">
      <c r="A438" s="17">
        <v>1004201.0</v>
      </c>
      <c r="B438" s="17">
        <v>2.0</v>
      </c>
      <c r="C438" s="17">
        <v>1004001.0</v>
      </c>
      <c r="D438" s="17">
        <v>1004000.0</v>
      </c>
      <c r="E438" s="17">
        <v>-1.0</v>
      </c>
      <c r="F438" s="17">
        <v>-1.0</v>
      </c>
      <c r="G438" s="17">
        <v>-1.0</v>
      </c>
      <c r="H438" s="17">
        <v>-1.0</v>
      </c>
    </row>
    <row r="439">
      <c r="A439" s="17">
        <v>1004202.0</v>
      </c>
      <c r="B439" s="17">
        <v>2.0</v>
      </c>
      <c r="C439" s="17">
        <v>1004002.0</v>
      </c>
      <c r="D439" s="17">
        <v>1004001.0</v>
      </c>
      <c r="E439" s="17">
        <v>1004000.0</v>
      </c>
      <c r="F439" s="17">
        <v>-1.0</v>
      </c>
      <c r="G439" s="17">
        <v>-1.0</v>
      </c>
      <c r="H439" s="17">
        <v>-1.0</v>
      </c>
    </row>
    <row r="440">
      <c r="A440" s="17">
        <v>1004210.0</v>
      </c>
      <c r="B440" s="17">
        <v>2.0</v>
      </c>
      <c r="C440" s="17">
        <v>1004000.0</v>
      </c>
      <c r="D440" s="17">
        <v>-1.0</v>
      </c>
      <c r="E440" s="17">
        <v>-1.0</v>
      </c>
      <c r="F440" s="17">
        <v>-1.0</v>
      </c>
      <c r="G440" s="17">
        <v>-1.0</v>
      </c>
      <c r="H440" s="17">
        <v>-1.0</v>
      </c>
    </row>
    <row r="441">
      <c r="A441" s="17">
        <v>1004211.0</v>
      </c>
      <c r="B441" s="17">
        <v>2.0</v>
      </c>
      <c r="C441" s="17">
        <v>1004001.0</v>
      </c>
      <c r="D441" s="17">
        <v>1004000.0</v>
      </c>
      <c r="E441" s="17">
        <v>-1.0</v>
      </c>
      <c r="F441" s="17">
        <v>-1.0</v>
      </c>
      <c r="G441" s="17">
        <v>-1.0</v>
      </c>
      <c r="H441" s="17">
        <v>-1.0</v>
      </c>
    </row>
    <row r="442">
      <c r="A442" s="17">
        <v>1004212.0</v>
      </c>
      <c r="B442" s="17">
        <v>2.0</v>
      </c>
      <c r="C442" s="17">
        <v>1004002.0</v>
      </c>
      <c r="D442" s="17">
        <v>1004001.0</v>
      </c>
      <c r="E442" s="17">
        <v>1004000.0</v>
      </c>
      <c r="F442" s="17">
        <v>-1.0</v>
      </c>
      <c r="G442" s="17">
        <v>-1.0</v>
      </c>
      <c r="H442" s="17">
        <v>-1.0</v>
      </c>
    </row>
    <row r="443">
      <c r="A443" s="17">
        <v>1004220.0</v>
      </c>
      <c r="B443" s="17">
        <v>2.0</v>
      </c>
      <c r="C443" s="17">
        <v>1004000.0</v>
      </c>
      <c r="D443" s="17">
        <v>-1.0</v>
      </c>
      <c r="E443" s="17">
        <v>-1.0</v>
      </c>
      <c r="F443" s="17">
        <v>-1.0</v>
      </c>
      <c r="G443" s="17">
        <v>-1.0</v>
      </c>
      <c r="H443" s="17">
        <v>-1.0</v>
      </c>
    </row>
    <row r="444">
      <c r="A444" s="17">
        <v>1004221.0</v>
      </c>
      <c r="B444" s="17">
        <v>2.0</v>
      </c>
      <c r="C444" s="17">
        <v>1004001.0</v>
      </c>
      <c r="D444" s="17">
        <v>1004000.0</v>
      </c>
      <c r="E444" s="17">
        <v>-1.0</v>
      </c>
      <c r="F444" s="17">
        <v>-1.0</v>
      </c>
      <c r="G444" s="17">
        <v>-1.0</v>
      </c>
      <c r="H444" s="17">
        <v>-1.0</v>
      </c>
    </row>
    <row r="445">
      <c r="A445" s="17">
        <v>1004222.0</v>
      </c>
      <c r="B445" s="17">
        <v>2.0</v>
      </c>
      <c r="C445" s="17">
        <v>1004002.0</v>
      </c>
      <c r="D445" s="17">
        <v>1004001.0</v>
      </c>
      <c r="E445" s="17">
        <v>1004000.0</v>
      </c>
      <c r="F445" s="17">
        <v>-1.0</v>
      </c>
      <c r="G445" s="17">
        <v>-1.0</v>
      </c>
      <c r="H445" s="17">
        <v>-1.0</v>
      </c>
    </row>
    <row r="446">
      <c r="A446" s="17">
        <v>1004300.0</v>
      </c>
      <c r="B446" s="17">
        <v>3.0</v>
      </c>
      <c r="C446" s="17">
        <v>1004000.0</v>
      </c>
      <c r="D446" s="17">
        <v>-1.0</v>
      </c>
      <c r="E446" s="17">
        <v>-1.0</v>
      </c>
      <c r="F446" s="17">
        <v>-1.0</v>
      </c>
      <c r="G446" s="17">
        <v>-1.0</v>
      </c>
      <c r="H446" s="17">
        <v>-1.0</v>
      </c>
    </row>
    <row r="447">
      <c r="A447" s="17">
        <v>1004301.0</v>
      </c>
      <c r="B447" s="17">
        <v>3.0</v>
      </c>
      <c r="C447" s="17">
        <v>1004001.0</v>
      </c>
      <c r="D447" s="17">
        <v>1004000.0</v>
      </c>
      <c r="E447" s="17">
        <v>-1.0</v>
      </c>
      <c r="F447" s="17">
        <v>-1.0</v>
      </c>
      <c r="G447" s="17">
        <v>-1.0</v>
      </c>
      <c r="H447" s="17">
        <v>-1.0</v>
      </c>
    </row>
    <row r="448">
      <c r="A448" s="17">
        <v>1004302.0</v>
      </c>
      <c r="B448" s="17">
        <v>3.0</v>
      </c>
      <c r="C448" s="17">
        <v>1004002.0</v>
      </c>
      <c r="D448" s="17">
        <v>1004001.0</v>
      </c>
      <c r="E448" s="17">
        <v>1004000.0</v>
      </c>
      <c r="F448" s="17">
        <v>-1.0</v>
      </c>
      <c r="G448" s="17">
        <v>-1.0</v>
      </c>
      <c r="H448" s="17">
        <v>-1.0</v>
      </c>
    </row>
    <row r="449">
      <c r="A449" s="17">
        <v>1004310.0</v>
      </c>
      <c r="B449" s="17">
        <v>3.0</v>
      </c>
      <c r="C449" s="17">
        <v>1004000.0</v>
      </c>
      <c r="D449" s="17">
        <v>-1.0</v>
      </c>
      <c r="E449" s="17">
        <v>-1.0</v>
      </c>
      <c r="F449" s="17">
        <v>-1.0</v>
      </c>
      <c r="G449" s="17">
        <v>-1.0</v>
      </c>
      <c r="H449" s="17">
        <v>-1.0</v>
      </c>
    </row>
    <row r="450">
      <c r="A450" s="17">
        <v>1004311.0</v>
      </c>
      <c r="B450" s="17">
        <v>3.0</v>
      </c>
      <c r="C450" s="17">
        <v>1004001.0</v>
      </c>
      <c r="D450" s="17">
        <v>1004000.0</v>
      </c>
      <c r="E450" s="17">
        <v>-1.0</v>
      </c>
      <c r="F450" s="17">
        <v>-1.0</v>
      </c>
      <c r="G450" s="17">
        <v>-1.0</v>
      </c>
      <c r="H450" s="17">
        <v>-1.0</v>
      </c>
    </row>
    <row r="451">
      <c r="A451" s="17">
        <v>1004312.0</v>
      </c>
      <c r="B451" s="17">
        <v>3.0</v>
      </c>
      <c r="C451" s="17">
        <v>1004002.0</v>
      </c>
      <c r="D451" s="17">
        <v>1004001.0</v>
      </c>
      <c r="E451" s="17">
        <v>1004000.0</v>
      </c>
      <c r="F451" s="17">
        <v>-1.0</v>
      </c>
      <c r="G451" s="17">
        <v>-1.0</v>
      </c>
      <c r="H451" s="17">
        <v>-1.0</v>
      </c>
    </row>
    <row r="452">
      <c r="A452" s="17">
        <v>1004320.0</v>
      </c>
      <c r="B452" s="17">
        <v>3.0</v>
      </c>
      <c r="C452" s="17">
        <v>1004000.0</v>
      </c>
      <c r="D452" s="17">
        <v>-1.0</v>
      </c>
      <c r="E452" s="17">
        <v>-1.0</v>
      </c>
      <c r="F452" s="17">
        <v>-1.0</v>
      </c>
      <c r="G452" s="17">
        <v>-1.0</v>
      </c>
      <c r="H452" s="17">
        <v>-1.0</v>
      </c>
    </row>
    <row r="453">
      <c r="A453" s="17">
        <v>1004321.0</v>
      </c>
      <c r="B453" s="17">
        <v>3.0</v>
      </c>
      <c r="C453" s="17">
        <v>1004001.0</v>
      </c>
      <c r="D453" s="17">
        <v>1004000.0</v>
      </c>
      <c r="E453" s="17">
        <v>-1.0</v>
      </c>
      <c r="F453" s="17">
        <v>-1.0</v>
      </c>
      <c r="G453" s="17">
        <v>-1.0</v>
      </c>
      <c r="H453" s="17">
        <v>-1.0</v>
      </c>
    </row>
    <row r="454">
      <c r="A454" s="17">
        <v>1004322.0</v>
      </c>
      <c r="B454" s="17">
        <v>3.0</v>
      </c>
      <c r="C454" s="17">
        <v>1004002.0</v>
      </c>
      <c r="D454" s="17">
        <v>1004001.0</v>
      </c>
      <c r="E454" s="17">
        <v>1004000.0</v>
      </c>
      <c r="F454" s="17">
        <v>-1.0</v>
      </c>
      <c r="G454" s="17">
        <v>-1.0</v>
      </c>
      <c r="H454" s="17">
        <v>-1.0</v>
      </c>
    </row>
    <row r="455">
      <c r="A455" s="17">
        <v>1005000.0</v>
      </c>
      <c r="B455" s="17">
        <v>0.0</v>
      </c>
      <c r="C455" s="17">
        <v>1005000.0</v>
      </c>
      <c r="D455" s="17">
        <v>-1.0</v>
      </c>
      <c r="E455" s="17">
        <v>-1.0</v>
      </c>
      <c r="F455" s="17">
        <v>-1.0</v>
      </c>
      <c r="G455" s="17">
        <v>-1.0</v>
      </c>
      <c r="H455" s="17">
        <v>-1.0</v>
      </c>
    </row>
    <row r="456">
      <c r="A456" s="17">
        <v>1005001.0</v>
      </c>
      <c r="B456" s="17">
        <v>0.0</v>
      </c>
      <c r="C456" s="17">
        <v>1005001.0</v>
      </c>
      <c r="D456" s="17">
        <v>1005000.0</v>
      </c>
      <c r="E456" s="17">
        <v>-1.0</v>
      </c>
      <c r="F456" s="17">
        <v>-1.0</v>
      </c>
      <c r="G456" s="17">
        <v>-1.0</v>
      </c>
      <c r="H456" s="17">
        <v>-1.0</v>
      </c>
    </row>
    <row r="457">
      <c r="A457" s="17">
        <v>1005002.0</v>
      </c>
      <c r="B457" s="17">
        <v>0.0</v>
      </c>
      <c r="C457" s="17">
        <v>1005002.0</v>
      </c>
      <c r="D457" s="17">
        <v>1005001.0</v>
      </c>
      <c r="E457" s="17">
        <v>1005000.0</v>
      </c>
      <c r="F457" s="17">
        <v>-1.0</v>
      </c>
      <c r="G457" s="17">
        <v>-1.0</v>
      </c>
      <c r="H457" s="17">
        <v>-1.0</v>
      </c>
    </row>
    <row r="458">
      <c r="A458" s="17">
        <v>1005010.0</v>
      </c>
      <c r="B458" s="17">
        <v>0.0</v>
      </c>
      <c r="C458" s="17">
        <v>1005000.0</v>
      </c>
      <c r="D458" s="17">
        <v>-1.0</v>
      </c>
      <c r="E458" s="17">
        <v>-1.0</v>
      </c>
      <c r="F458" s="17">
        <v>-1.0</v>
      </c>
      <c r="G458" s="17">
        <v>-1.0</v>
      </c>
      <c r="H458" s="17">
        <v>-1.0</v>
      </c>
    </row>
    <row r="459">
      <c r="A459" s="17">
        <v>1005011.0</v>
      </c>
      <c r="B459" s="17">
        <v>0.0</v>
      </c>
      <c r="C459" s="17">
        <v>1005001.0</v>
      </c>
      <c r="D459" s="17">
        <v>1005000.0</v>
      </c>
      <c r="E459" s="17">
        <v>-1.0</v>
      </c>
      <c r="F459" s="17">
        <v>-1.0</v>
      </c>
      <c r="G459" s="17">
        <v>-1.0</v>
      </c>
      <c r="H459" s="17">
        <v>-1.0</v>
      </c>
    </row>
    <row r="460">
      <c r="A460" s="17">
        <v>1005012.0</v>
      </c>
      <c r="B460" s="17">
        <v>0.0</v>
      </c>
      <c r="C460" s="17">
        <v>1005002.0</v>
      </c>
      <c r="D460" s="17">
        <v>1005001.0</v>
      </c>
      <c r="E460" s="17">
        <v>1005000.0</v>
      </c>
      <c r="F460" s="17">
        <v>-1.0</v>
      </c>
      <c r="G460" s="17">
        <v>-1.0</v>
      </c>
      <c r="H460" s="17">
        <v>-1.0</v>
      </c>
    </row>
    <row r="461">
      <c r="A461" s="17">
        <v>1005020.0</v>
      </c>
      <c r="B461" s="17">
        <v>0.0</v>
      </c>
      <c r="C461" s="17">
        <v>1005000.0</v>
      </c>
      <c r="D461" s="17">
        <v>-1.0</v>
      </c>
      <c r="E461" s="17">
        <v>-1.0</v>
      </c>
      <c r="F461" s="17">
        <v>-1.0</v>
      </c>
      <c r="G461" s="17">
        <v>-1.0</v>
      </c>
      <c r="H461" s="17">
        <v>-1.0</v>
      </c>
    </row>
    <row r="462">
      <c r="A462" s="17">
        <v>1005021.0</v>
      </c>
      <c r="B462" s="17">
        <v>0.0</v>
      </c>
      <c r="C462" s="17">
        <v>1005001.0</v>
      </c>
      <c r="D462" s="17">
        <v>1005000.0</v>
      </c>
      <c r="E462" s="17">
        <v>-1.0</v>
      </c>
      <c r="F462" s="17">
        <v>-1.0</v>
      </c>
      <c r="G462" s="17">
        <v>-1.0</v>
      </c>
      <c r="H462" s="17">
        <v>-1.0</v>
      </c>
    </row>
    <row r="463">
      <c r="A463" s="17">
        <v>1005022.0</v>
      </c>
      <c r="B463" s="17">
        <v>0.0</v>
      </c>
      <c r="C463" s="17">
        <v>1005002.0</v>
      </c>
      <c r="D463" s="17">
        <v>1005001.0</v>
      </c>
      <c r="E463" s="17">
        <v>1005000.0</v>
      </c>
      <c r="F463" s="17">
        <v>-1.0</v>
      </c>
      <c r="G463" s="17">
        <v>-1.0</v>
      </c>
      <c r="H463" s="17">
        <v>-1.0</v>
      </c>
    </row>
    <row r="464">
      <c r="A464" s="17">
        <v>1005100.0</v>
      </c>
      <c r="B464" s="17">
        <v>1.0</v>
      </c>
      <c r="C464" s="17">
        <v>1005000.0</v>
      </c>
      <c r="D464" s="17">
        <v>-1.0</v>
      </c>
      <c r="E464" s="17">
        <v>-1.0</v>
      </c>
      <c r="F464" s="17">
        <v>-1.0</v>
      </c>
      <c r="G464" s="17">
        <v>-1.0</v>
      </c>
      <c r="H464" s="17">
        <v>-1.0</v>
      </c>
    </row>
    <row r="465">
      <c r="A465" s="17">
        <v>1005101.0</v>
      </c>
      <c r="B465" s="17">
        <v>1.0</v>
      </c>
      <c r="C465" s="17">
        <v>1005001.0</v>
      </c>
      <c r="D465" s="17">
        <v>1005000.0</v>
      </c>
      <c r="E465" s="17">
        <v>-1.0</v>
      </c>
      <c r="F465" s="17">
        <v>-1.0</v>
      </c>
      <c r="G465" s="17">
        <v>-1.0</v>
      </c>
      <c r="H465" s="17">
        <v>-1.0</v>
      </c>
    </row>
    <row r="466">
      <c r="A466" s="17">
        <v>1005102.0</v>
      </c>
      <c r="B466" s="17">
        <v>1.0</v>
      </c>
      <c r="C466" s="17">
        <v>1005002.0</v>
      </c>
      <c r="D466" s="17">
        <v>1005001.0</v>
      </c>
      <c r="E466" s="17">
        <v>1005000.0</v>
      </c>
      <c r="F466" s="17">
        <v>-1.0</v>
      </c>
      <c r="G466" s="17">
        <v>-1.0</v>
      </c>
      <c r="H466" s="17">
        <v>-1.0</v>
      </c>
    </row>
    <row r="467">
      <c r="A467" s="17">
        <v>1005110.0</v>
      </c>
      <c r="B467" s="17">
        <v>1.0</v>
      </c>
      <c r="C467" s="17">
        <v>1005000.0</v>
      </c>
      <c r="D467" s="17">
        <v>-1.0</v>
      </c>
      <c r="E467" s="17">
        <v>-1.0</v>
      </c>
      <c r="F467" s="17">
        <v>-1.0</v>
      </c>
      <c r="G467" s="17">
        <v>-1.0</v>
      </c>
      <c r="H467" s="17">
        <v>-1.0</v>
      </c>
    </row>
    <row r="468">
      <c r="A468" s="17">
        <v>1005111.0</v>
      </c>
      <c r="B468" s="17">
        <v>1.0</v>
      </c>
      <c r="C468" s="17">
        <v>1005001.0</v>
      </c>
      <c r="D468" s="17">
        <v>1005000.0</v>
      </c>
      <c r="E468" s="17">
        <v>-1.0</v>
      </c>
      <c r="F468" s="17">
        <v>-1.0</v>
      </c>
      <c r="G468" s="17">
        <v>-1.0</v>
      </c>
      <c r="H468" s="17">
        <v>-1.0</v>
      </c>
    </row>
    <row r="469">
      <c r="A469" s="17">
        <v>1005112.0</v>
      </c>
      <c r="B469" s="17">
        <v>1.0</v>
      </c>
      <c r="C469" s="17">
        <v>1005002.0</v>
      </c>
      <c r="D469" s="17">
        <v>1005001.0</v>
      </c>
      <c r="E469" s="17">
        <v>1005000.0</v>
      </c>
      <c r="F469" s="17">
        <v>-1.0</v>
      </c>
      <c r="G469" s="17">
        <v>-1.0</v>
      </c>
      <c r="H469" s="17">
        <v>-1.0</v>
      </c>
    </row>
    <row r="470">
      <c r="A470" s="17">
        <v>1005120.0</v>
      </c>
      <c r="B470" s="17">
        <v>1.0</v>
      </c>
      <c r="C470" s="17">
        <v>1005000.0</v>
      </c>
      <c r="D470" s="17">
        <v>-1.0</v>
      </c>
      <c r="E470" s="17">
        <v>-1.0</v>
      </c>
      <c r="F470" s="17">
        <v>-1.0</v>
      </c>
      <c r="G470" s="17">
        <v>-1.0</v>
      </c>
      <c r="H470" s="17">
        <v>-1.0</v>
      </c>
    </row>
    <row r="471">
      <c r="A471" s="17">
        <v>1005121.0</v>
      </c>
      <c r="B471" s="17">
        <v>1.0</v>
      </c>
      <c r="C471" s="17">
        <v>1005001.0</v>
      </c>
      <c r="D471" s="17">
        <v>1005000.0</v>
      </c>
      <c r="E471" s="17">
        <v>-1.0</v>
      </c>
      <c r="F471" s="17">
        <v>-1.0</v>
      </c>
      <c r="G471" s="17">
        <v>-1.0</v>
      </c>
      <c r="H471" s="17">
        <v>-1.0</v>
      </c>
    </row>
    <row r="472">
      <c r="A472" s="17">
        <v>1005122.0</v>
      </c>
      <c r="B472" s="17">
        <v>1.0</v>
      </c>
      <c r="C472" s="17">
        <v>1005002.0</v>
      </c>
      <c r="D472" s="17">
        <v>1005001.0</v>
      </c>
      <c r="E472" s="17">
        <v>1005000.0</v>
      </c>
      <c r="F472" s="17">
        <v>-1.0</v>
      </c>
      <c r="G472" s="17">
        <v>-1.0</v>
      </c>
      <c r="H472" s="17">
        <v>-1.0</v>
      </c>
    </row>
    <row r="473">
      <c r="A473" s="17">
        <v>1005200.0</v>
      </c>
      <c r="B473" s="17">
        <v>2.0</v>
      </c>
      <c r="C473" s="17">
        <v>1005000.0</v>
      </c>
      <c r="D473" s="17">
        <v>-1.0</v>
      </c>
      <c r="E473" s="17">
        <v>-1.0</v>
      </c>
      <c r="F473" s="17">
        <v>-1.0</v>
      </c>
      <c r="G473" s="17">
        <v>-1.0</v>
      </c>
      <c r="H473" s="17">
        <v>-1.0</v>
      </c>
    </row>
    <row r="474">
      <c r="A474" s="17">
        <v>1005201.0</v>
      </c>
      <c r="B474" s="17">
        <v>2.0</v>
      </c>
      <c r="C474" s="17">
        <v>1005001.0</v>
      </c>
      <c r="D474" s="17">
        <v>1005000.0</v>
      </c>
      <c r="E474" s="17">
        <v>-1.0</v>
      </c>
      <c r="F474" s="17">
        <v>-1.0</v>
      </c>
      <c r="G474" s="17">
        <v>-1.0</v>
      </c>
      <c r="H474" s="17">
        <v>-1.0</v>
      </c>
    </row>
    <row r="475">
      <c r="A475" s="17">
        <v>1005202.0</v>
      </c>
      <c r="B475" s="17">
        <v>2.0</v>
      </c>
      <c r="C475" s="17">
        <v>1005002.0</v>
      </c>
      <c r="D475" s="17">
        <v>1005001.0</v>
      </c>
      <c r="E475" s="17">
        <v>1005000.0</v>
      </c>
      <c r="F475" s="17">
        <v>-1.0</v>
      </c>
      <c r="G475" s="17">
        <v>-1.0</v>
      </c>
      <c r="H475" s="17">
        <v>-1.0</v>
      </c>
    </row>
    <row r="476">
      <c r="A476" s="17">
        <v>1005210.0</v>
      </c>
      <c r="B476" s="17">
        <v>2.0</v>
      </c>
      <c r="C476" s="17">
        <v>1005000.0</v>
      </c>
      <c r="D476" s="17">
        <v>-1.0</v>
      </c>
      <c r="E476" s="17">
        <v>-1.0</v>
      </c>
      <c r="F476" s="17">
        <v>-1.0</v>
      </c>
      <c r="G476" s="17">
        <v>-1.0</v>
      </c>
      <c r="H476" s="17">
        <v>-1.0</v>
      </c>
    </row>
    <row r="477">
      <c r="A477" s="17">
        <v>1005211.0</v>
      </c>
      <c r="B477" s="17">
        <v>2.0</v>
      </c>
      <c r="C477" s="17">
        <v>1005001.0</v>
      </c>
      <c r="D477" s="17">
        <v>1005000.0</v>
      </c>
      <c r="E477" s="17">
        <v>-1.0</v>
      </c>
      <c r="F477" s="17">
        <v>-1.0</v>
      </c>
      <c r="G477" s="17">
        <v>-1.0</v>
      </c>
      <c r="H477" s="17">
        <v>-1.0</v>
      </c>
    </row>
    <row r="478">
      <c r="A478" s="17">
        <v>1005212.0</v>
      </c>
      <c r="B478" s="17">
        <v>2.0</v>
      </c>
      <c r="C478" s="17">
        <v>1005002.0</v>
      </c>
      <c r="D478" s="17">
        <v>1005001.0</v>
      </c>
      <c r="E478" s="17">
        <v>1005000.0</v>
      </c>
      <c r="F478" s="17">
        <v>-1.0</v>
      </c>
      <c r="G478" s="17">
        <v>-1.0</v>
      </c>
      <c r="H478" s="17">
        <v>-1.0</v>
      </c>
    </row>
    <row r="479">
      <c r="A479" s="17">
        <v>1005220.0</v>
      </c>
      <c r="B479" s="17">
        <v>2.0</v>
      </c>
      <c r="C479" s="17">
        <v>1005000.0</v>
      </c>
      <c r="D479" s="17">
        <v>-1.0</v>
      </c>
      <c r="E479" s="17">
        <v>-1.0</v>
      </c>
      <c r="F479" s="17">
        <v>-1.0</v>
      </c>
      <c r="G479" s="17">
        <v>-1.0</v>
      </c>
      <c r="H479" s="17">
        <v>-1.0</v>
      </c>
    </row>
    <row r="480">
      <c r="A480" s="17">
        <v>1005221.0</v>
      </c>
      <c r="B480" s="17">
        <v>2.0</v>
      </c>
      <c r="C480" s="17">
        <v>1005001.0</v>
      </c>
      <c r="D480" s="17">
        <v>1005000.0</v>
      </c>
      <c r="E480" s="17">
        <v>-1.0</v>
      </c>
      <c r="F480" s="17">
        <v>-1.0</v>
      </c>
      <c r="G480" s="17">
        <v>-1.0</v>
      </c>
      <c r="H480" s="17">
        <v>-1.0</v>
      </c>
    </row>
    <row r="481">
      <c r="A481" s="17">
        <v>1005222.0</v>
      </c>
      <c r="B481" s="17">
        <v>2.0</v>
      </c>
      <c r="C481" s="17">
        <v>1005002.0</v>
      </c>
      <c r="D481" s="17">
        <v>1005001.0</v>
      </c>
      <c r="E481" s="17">
        <v>1005000.0</v>
      </c>
      <c r="F481" s="17">
        <v>-1.0</v>
      </c>
      <c r="G481" s="17">
        <v>-1.0</v>
      </c>
      <c r="H481" s="17">
        <v>-1.0</v>
      </c>
    </row>
    <row r="482">
      <c r="A482" s="17">
        <v>1005300.0</v>
      </c>
      <c r="B482" s="17">
        <v>3.0</v>
      </c>
      <c r="C482" s="17">
        <v>1005000.0</v>
      </c>
      <c r="D482" s="17">
        <v>-1.0</v>
      </c>
      <c r="E482" s="17">
        <v>-1.0</v>
      </c>
      <c r="F482" s="17">
        <v>-1.0</v>
      </c>
      <c r="G482" s="17">
        <v>-1.0</v>
      </c>
      <c r="H482" s="17">
        <v>-1.0</v>
      </c>
    </row>
    <row r="483">
      <c r="A483" s="17">
        <v>1005301.0</v>
      </c>
      <c r="B483" s="17">
        <v>3.0</v>
      </c>
      <c r="C483" s="17">
        <v>1005001.0</v>
      </c>
      <c r="D483" s="17">
        <v>1005000.0</v>
      </c>
      <c r="E483" s="17">
        <v>-1.0</v>
      </c>
      <c r="F483" s="17">
        <v>-1.0</v>
      </c>
      <c r="G483" s="17">
        <v>-1.0</v>
      </c>
      <c r="H483" s="17">
        <v>-1.0</v>
      </c>
    </row>
    <row r="484">
      <c r="A484" s="17">
        <v>1005302.0</v>
      </c>
      <c r="B484" s="17">
        <v>3.0</v>
      </c>
      <c r="C484" s="17">
        <v>1005002.0</v>
      </c>
      <c r="D484" s="17">
        <v>1005001.0</v>
      </c>
      <c r="E484" s="17">
        <v>1005000.0</v>
      </c>
      <c r="F484" s="17">
        <v>-1.0</v>
      </c>
      <c r="G484" s="17">
        <v>-1.0</v>
      </c>
      <c r="H484" s="17">
        <v>-1.0</v>
      </c>
    </row>
    <row r="485">
      <c r="A485" s="17">
        <v>1005310.0</v>
      </c>
      <c r="B485" s="17">
        <v>3.0</v>
      </c>
      <c r="C485" s="17">
        <v>1005000.0</v>
      </c>
      <c r="D485" s="17">
        <v>-1.0</v>
      </c>
      <c r="E485" s="17">
        <v>-1.0</v>
      </c>
      <c r="F485" s="17">
        <v>-1.0</v>
      </c>
      <c r="G485" s="17">
        <v>-1.0</v>
      </c>
      <c r="H485" s="17">
        <v>-1.0</v>
      </c>
    </row>
    <row r="486">
      <c r="A486" s="17">
        <v>1005311.0</v>
      </c>
      <c r="B486" s="17">
        <v>3.0</v>
      </c>
      <c r="C486" s="17">
        <v>1005001.0</v>
      </c>
      <c r="D486" s="17">
        <v>1005000.0</v>
      </c>
      <c r="E486" s="17">
        <v>-1.0</v>
      </c>
      <c r="F486" s="17">
        <v>-1.0</v>
      </c>
      <c r="G486" s="17">
        <v>-1.0</v>
      </c>
      <c r="H486" s="17">
        <v>-1.0</v>
      </c>
    </row>
    <row r="487">
      <c r="A487" s="17">
        <v>1005312.0</v>
      </c>
      <c r="B487" s="17">
        <v>3.0</v>
      </c>
      <c r="C487" s="17">
        <v>1005002.0</v>
      </c>
      <c r="D487" s="17">
        <v>1005001.0</v>
      </c>
      <c r="E487" s="17">
        <v>1005000.0</v>
      </c>
      <c r="F487" s="17">
        <v>-1.0</v>
      </c>
      <c r="G487" s="17">
        <v>-1.0</v>
      </c>
      <c r="H487" s="17">
        <v>-1.0</v>
      </c>
    </row>
    <row r="488">
      <c r="A488" s="17">
        <v>1005320.0</v>
      </c>
      <c r="B488" s="17">
        <v>3.0</v>
      </c>
      <c r="C488" s="17">
        <v>1005000.0</v>
      </c>
      <c r="D488" s="17">
        <v>-1.0</v>
      </c>
      <c r="E488" s="17">
        <v>-1.0</v>
      </c>
      <c r="F488" s="17">
        <v>-1.0</v>
      </c>
      <c r="G488" s="17">
        <v>-1.0</v>
      </c>
      <c r="H488" s="17">
        <v>-1.0</v>
      </c>
    </row>
    <row r="489">
      <c r="A489" s="17">
        <v>1005321.0</v>
      </c>
      <c r="B489" s="17">
        <v>3.0</v>
      </c>
      <c r="C489" s="17">
        <v>1005001.0</v>
      </c>
      <c r="D489" s="17">
        <v>1005000.0</v>
      </c>
      <c r="E489" s="17">
        <v>-1.0</v>
      </c>
      <c r="F489" s="17">
        <v>-1.0</v>
      </c>
      <c r="G489" s="17">
        <v>-1.0</v>
      </c>
      <c r="H489" s="17">
        <v>-1.0</v>
      </c>
    </row>
    <row r="490">
      <c r="A490" s="17">
        <v>1005322.0</v>
      </c>
      <c r="B490" s="17">
        <v>3.0</v>
      </c>
      <c r="C490" s="17">
        <v>1005002.0</v>
      </c>
      <c r="D490" s="17">
        <v>1005001.0</v>
      </c>
      <c r="E490" s="17">
        <v>1005000.0</v>
      </c>
      <c r="F490" s="17">
        <v>-1.0</v>
      </c>
      <c r="G490" s="17">
        <v>-1.0</v>
      </c>
      <c r="H490" s="17">
        <v>-1.0</v>
      </c>
    </row>
    <row r="491">
      <c r="A491" s="17">
        <v>1006000.0</v>
      </c>
      <c r="B491" s="17">
        <v>0.0</v>
      </c>
      <c r="C491" s="17">
        <v>1006000.0</v>
      </c>
      <c r="D491" s="17">
        <v>-1.0</v>
      </c>
      <c r="E491" s="17">
        <v>-1.0</v>
      </c>
      <c r="F491" s="17">
        <v>-1.0</v>
      </c>
      <c r="G491" s="17">
        <v>-1.0</v>
      </c>
      <c r="H491" s="17">
        <v>-1.0</v>
      </c>
    </row>
    <row r="492">
      <c r="A492" s="17">
        <v>1006001.0</v>
      </c>
      <c r="B492" s="17">
        <v>0.0</v>
      </c>
      <c r="C492" s="17">
        <v>1006001.0</v>
      </c>
      <c r="D492" s="17">
        <v>1006000.0</v>
      </c>
      <c r="E492" s="17">
        <v>-1.0</v>
      </c>
      <c r="F492" s="17">
        <v>-1.0</v>
      </c>
      <c r="G492" s="17">
        <v>-1.0</v>
      </c>
      <c r="H492" s="17">
        <v>-1.0</v>
      </c>
    </row>
    <row r="493">
      <c r="A493" s="17">
        <v>1006002.0</v>
      </c>
      <c r="B493" s="17">
        <v>0.0</v>
      </c>
      <c r="C493" s="17">
        <v>1006002.0</v>
      </c>
      <c r="D493" s="17">
        <v>1006001.0</v>
      </c>
      <c r="E493" s="17">
        <v>1006000.0</v>
      </c>
      <c r="F493" s="17">
        <v>-1.0</v>
      </c>
      <c r="G493" s="17">
        <v>-1.0</v>
      </c>
      <c r="H493" s="17">
        <v>-1.0</v>
      </c>
    </row>
    <row r="494">
      <c r="A494" s="17">
        <v>1006010.0</v>
      </c>
      <c r="B494" s="17">
        <v>0.0</v>
      </c>
      <c r="C494" s="17">
        <v>1006000.0</v>
      </c>
      <c r="D494" s="17">
        <v>-1.0</v>
      </c>
      <c r="E494" s="17">
        <v>-1.0</v>
      </c>
      <c r="F494" s="17">
        <v>-1.0</v>
      </c>
      <c r="G494" s="17">
        <v>-1.0</v>
      </c>
      <c r="H494" s="17">
        <v>-1.0</v>
      </c>
    </row>
    <row r="495">
      <c r="A495" s="17">
        <v>1006011.0</v>
      </c>
      <c r="B495" s="17">
        <v>0.0</v>
      </c>
      <c r="C495" s="17">
        <v>1006001.0</v>
      </c>
      <c r="D495" s="17">
        <v>1006000.0</v>
      </c>
      <c r="E495" s="17">
        <v>-1.0</v>
      </c>
      <c r="F495" s="17">
        <v>-1.0</v>
      </c>
      <c r="G495" s="17">
        <v>-1.0</v>
      </c>
      <c r="H495" s="17">
        <v>-1.0</v>
      </c>
    </row>
    <row r="496">
      <c r="A496" s="17">
        <v>1006012.0</v>
      </c>
      <c r="B496" s="17">
        <v>0.0</v>
      </c>
      <c r="C496" s="17">
        <v>1006002.0</v>
      </c>
      <c r="D496" s="17">
        <v>1006001.0</v>
      </c>
      <c r="E496" s="17">
        <v>1006000.0</v>
      </c>
      <c r="F496" s="17">
        <v>-1.0</v>
      </c>
      <c r="G496" s="17">
        <v>-1.0</v>
      </c>
      <c r="H496" s="17">
        <v>-1.0</v>
      </c>
    </row>
    <row r="497">
      <c r="A497" s="17">
        <v>1006020.0</v>
      </c>
      <c r="B497" s="17">
        <v>0.0</v>
      </c>
      <c r="C497" s="17">
        <v>1006000.0</v>
      </c>
      <c r="D497" s="17">
        <v>-1.0</v>
      </c>
      <c r="E497" s="17">
        <v>-1.0</v>
      </c>
      <c r="F497" s="17">
        <v>-1.0</v>
      </c>
      <c r="G497" s="17">
        <v>-1.0</v>
      </c>
      <c r="H497" s="17">
        <v>-1.0</v>
      </c>
    </row>
    <row r="498">
      <c r="A498" s="17">
        <v>1006021.0</v>
      </c>
      <c r="B498" s="17">
        <v>0.0</v>
      </c>
      <c r="C498" s="17">
        <v>1006001.0</v>
      </c>
      <c r="D498" s="17">
        <v>1006000.0</v>
      </c>
      <c r="E498" s="17">
        <v>-1.0</v>
      </c>
      <c r="F498" s="17">
        <v>-1.0</v>
      </c>
      <c r="G498" s="17">
        <v>-1.0</v>
      </c>
      <c r="H498" s="17">
        <v>-1.0</v>
      </c>
    </row>
    <row r="499">
      <c r="A499" s="17">
        <v>1006022.0</v>
      </c>
      <c r="B499" s="17">
        <v>0.0</v>
      </c>
      <c r="C499" s="17">
        <v>1006002.0</v>
      </c>
      <c r="D499" s="17">
        <v>1006001.0</v>
      </c>
      <c r="E499" s="17">
        <v>1006000.0</v>
      </c>
      <c r="F499" s="17">
        <v>-1.0</v>
      </c>
      <c r="G499" s="17">
        <v>-1.0</v>
      </c>
      <c r="H499" s="17">
        <v>-1.0</v>
      </c>
    </row>
    <row r="500">
      <c r="A500" s="17">
        <v>1006100.0</v>
      </c>
      <c r="B500" s="17">
        <v>1.0</v>
      </c>
      <c r="C500" s="17">
        <v>1006000.0</v>
      </c>
      <c r="D500" s="17">
        <v>-1.0</v>
      </c>
      <c r="E500" s="17">
        <v>-1.0</v>
      </c>
      <c r="F500" s="17">
        <v>-1.0</v>
      </c>
      <c r="G500" s="17">
        <v>-1.0</v>
      </c>
      <c r="H500" s="17">
        <v>-1.0</v>
      </c>
    </row>
    <row r="501">
      <c r="A501" s="17">
        <v>1006101.0</v>
      </c>
      <c r="B501" s="17">
        <v>1.0</v>
      </c>
      <c r="C501" s="17">
        <v>1006001.0</v>
      </c>
      <c r="D501" s="17">
        <v>1006000.0</v>
      </c>
      <c r="E501" s="17">
        <v>-1.0</v>
      </c>
      <c r="F501" s="17">
        <v>-1.0</v>
      </c>
      <c r="G501" s="17">
        <v>-1.0</v>
      </c>
      <c r="H501" s="17">
        <v>-1.0</v>
      </c>
    </row>
    <row r="502">
      <c r="A502" s="17">
        <v>1006102.0</v>
      </c>
      <c r="B502" s="17">
        <v>1.0</v>
      </c>
      <c r="C502" s="17">
        <v>1006002.0</v>
      </c>
      <c r="D502" s="17">
        <v>1006001.0</v>
      </c>
      <c r="E502" s="17">
        <v>1006000.0</v>
      </c>
      <c r="F502" s="17">
        <v>-1.0</v>
      </c>
      <c r="G502" s="17">
        <v>-1.0</v>
      </c>
      <c r="H502" s="17">
        <v>-1.0</v>
      </c>
    </row>
    <row r="503">
      <c r="A503" s="17">
        <v>1006110.0</v>
      </c>
      <c r="B503" s="17">
        <v>1.0</v>
      </c>
      <c r="C503" s="17">
        <v>1006000.0</v>
      </c>
      <c r="D503" s="17">
        <v>-1.0</v>
      </c>
      <c r="E503" s="17">
        <v>-1.0</v>
      </c>
      <c r="F503" s="17">
        <v>-1.0</v>
      </c>
      <c r="G503" s="17">
        <v>-1.0</v>
      </c>
      <c r="H503" s="17">
        <v>-1.0</v>
      </c>
    </row>
    <row r="504">
      <c r="A504" s="17">
        <v>1006111.0</v>
      </c>
      <c r="B504" s="17">
        <v>1.0</v>
      </c>
      <c r="C504" s="17">
        <v>1006001.0</v>
      </c>
      <c r="D504" s="17">
        <v>1006000.0</v>
      </c>
      <c r="E504" s="17">
        <v>-1.0</v>
      </c>
      <c r="F504" s="17">
        <v>-1.0</v>
      </c>
      <c r="G504" s="17">
        <v>-1.0</v>
      </c>
      <c r="H504" s="17">
        <v>-1.0</v>
      </c>
    </row>
    <row r="505">
      <c r="A505" s="17">
        <v>1006112.0</v>
      </c>
      <c r="B505" s="17">
        <v>1.0</v>
      </c>
      <c r="C505" s="17">
        <v>1006002.0</v>
      </c>
      <c r="D505" s="17">
        <v>1006001.0</v>
      </c>
      <c r="E505" s="17">
        <v>1006000.0</v>
      </c>
      <c r="F505" s="17">
        <v>-1.0</v>
      </c>
      <c r="G505" s="17">
        <v>-1.0</v>
      </c>
      <c r="H505" s="17">
        <v>-1.0</v>
      </c>
    </row>
    <row r="506">
      <c r="A506" s="17">
        <v>1006120.0</v>
      </c>
      <c r="B506" s="17">
        <v>1.0</v>
      </c>
      <c r="C506" s="17">
        <v>1006000.0</v>
      </c>
      <c r="D506" s="17">
        <v>-1.0</v>
      </c>
      <c r="E506" s="17">
        <v>-1.0</v>
      </c>
      <c r="F506" s="17">
        <v>-1.0</v>
      </c>
      <c r="G506" s="17">
        <v>-1.0</v>
      </c>
      <c r="H506" s="17">
        <v>-1.0</v>
      </c>
    </row>
    <row r="507">
      <c r="A507" s="17">
        <v>1006121.0</v>
      </c>
      <c r="B507" s="17">
        <v>1.0</v>
      </c>
      <c r="C507" s="17">
        <v>1006001.0</v>
      </c>
      <c r="D507" s="17">
        <v>1006000.0</v>
      </c>
      <c r="E507" s="17">
        <v>-1.0</v>
      </c>
      <c r="F507" s="17">
        <v>-1.0</v>
      </c>
      <c r="G507" s="17">
        <v>-1.0</v>
      </c>
      <c r="H507" s="17">
        <v>-1.0</v>
      </c>
    </row>
    <row r="508">
      <c r="A508" s="17">
        <v>1006122.0</v>
      </c>
      <c r="B508" s="17">
        <v>1.0</v>
      </c>
      <c r="C508" s="17">
        <v>1006002.0</v>
      </c>
      <c r="D508" s="17">
        <v>1006001.0</v>
      </c>
      <c r="E508" s="17">
        <v>1006000.0</v>
      </c>
      <c r="F508" s="17">
        <v>-1.0</v>
      </c>
      <c r="G508" s="17">
        <v>-1.0</v>
      </c>
      <c r="H508" s="17">
        <v>-1.0</v>
      </c>
    </row>
    <row r="509">
      <c r="A509" s="17">
        <v>1006200.0</v>
      </c>
      <c r="B509" s="17">
        <v>2.0</v>
      </c>
      <c r="C509" s="17">
        <v>1006000.0</v>
      </c>
      <c r="D509" s="17">
        <v>-1.0</v>
      </c>
      <c r="E509" s="17">
        <v>-1.0</v>
      </c>
      <c r="F509" s="17">
        <v>-1.0</v>
      </c>
      <c r="G509" s="17">
        <v>-1.0</v>
      </c>
      <c r="H509" s="17">
        <v>-1.0</v>
      </c>
    </row>
    <row r="510">
      <c r="A510" s="17">
        <v>1006201.0</v>
      </c>
      <c r="B510" s="17">
        <v>2.0</v>
      </c>
      <c r="C510" s="17">
        <v>1006001.0</v>
      </c>
      <c r="D510" s="17">
        <v>1006000.0</v>
      </c>
      <c r="E510" s="17">
        <v>-1.0</v>
      </c>
      <c r="F510" s="17">
        <v>-1.0</v>
      </c>
      <c r="G510" s="17">
        <v>-1.0</v>
      </c>
      <c r="H510" s="17">
        <v>-1.0</v>
      </c>
    </row>
    <row r="511">
      <c r="A511" s="17">
        <v>1006202.0</v>
      </c>
      <c r="B511" s="17">
        <v>2.0</v>
      </c>
      <c r="C511" s="17">
        <v>1006002.0</v>
      </c>
      <c r="D511" s="17">
        <v>1006001.0</v>
      </c>
      <c r="E511" s="17">
        <v>1006000.0</v>
      </c>
      <c r="F511" s="17">
        <v>-1.0</v>
      </c>
      <c r="G511" s="17">
        <v>-1.0</v>
      </c>
      <c r="H511" s="17">
        <v>-1.0</v>
      </c>
    </row>
    <row r="512">
      <c r="A512" s="17">
        <v>1006210.0</v>
      </c>
      <c r="B512" s="17">
        <v>2.0</v>
      </c>
      <c r="C512" s="17">
        <v>1006000.0</v>
      </c>
      <c r="D512" s="17">
        <v>-1.0</v>
      </c>
      <c r="E512" s="17">
        <v>-1.0</v>
      </c>
      <c r="F512" s="17">
        <v>-1.0</v>
      </c>
      <c r="G512" s="17">
        <v>-1.0</v>
      </c>
      <c r="H512" s="17">
        <v>-1.0</v>
      </c>
    </row>
    <row r="513">
      <c r="A513" s="17">
        <v>1006211.0</v>
      </c>
      <c r="B513" s="17">
        <v>2.0</v>
      </c>
      <c r="C513" s="17">
        <v>1006001.0</v>
      </c>
      <c r="D513" s="17">
        <v>1006000.0</v>
      </c>
      <c r="E513" s="17">
        <v>-1.0</v>
      </c>
      <c r="F513" s="17">
        <v>-1.0</v>
      </c>
      <c r="G513" s="17">
        <v>-1.0</v>
      </c>
      <c r="H513" s="17">
        <v>-1.0</v>
      </c>
    </row>
    <row r="514">
      <c r="A514" s="17">
        <v>1006212.0</v>
      </c>
      <c r="B514" s="17">
        <v>2.0</v>
      </c>
      <c r="C514" s="17">
        <v>1006002.0</v>
      </c>
      <c r="D514" s="17">
        <v>1006001.0</v>
      </c>
      <c r="E514" s="17">
        <v>1006000.0</v>
      </c>
      <c r="F514" s="17">
        <v>-1.0</v>
      </c>
      <c r="G514" s="17">
        <v>-1.0</v>
      </c>
      <c r="H514" s="17">
        <v>-1.0</v>
      </c>
    </row>
    <row r="515">
      <c r="A515" s="17">
        <v>1006220.0</v>
      </c>
      <c r="B515" s="17">
        <v>2.0</v>
      </c>
      <c r="C515" s="17">
        <v>1006000.0</v>
      </c>
      <c r="D515" s="17">
        <v>-1.0</v>
      </c>
      <c r="E515" s="17">
        <v>-1.0</v>
      </c>
      <c r="F515" s="17">
        <v>-1.0</v>
      </c>
      <c r="G515" s="17">
        <v>-1.0</v>
      </c>
      <c r="H515" s="17">
        <v>-1.0</v>
      </c>
    </row>
    <row r="516">
      <c r="A516" s="17">
        <v>1006221.0</v>
      </c>
      <c r="B516" s="17">
        <v>2.0</v>
      </c>
      <c r="C516" s="17">
        <v>1006001.0</v>
      </c>
      <c r="D516" s="17">
        <v>1006000.0</v>
      </c>
      <c r="E516" s="17">
        <v>-1.0</v>
      </c>
      <c r="F516" s="17">
        <v>-1.0</v>
      </c>
      <c r="G516" s="17">
        <v>-1.0</v>
      </c>
      <c r="H516" s="17">
        <v>-1.0</v>
      </c>
    </row>
    <row r="517">
      <c r="A517" s="17">
        <v>1006222.0</v>
      </c>
      <c r="B517" s="17">
        <v>2.0</v>
      </c>
      <c r="C517" s="17">
        <v>1006002.0</v>
      </c>
      <c r="D517" s="17">
        <v>1006001.0</v>
      </c>
      <c r="E517" s="17">
        <v>1006000.0</v>
      </c>
      <c r="F517" s="17">
        <v>-1.0</v>
      </c>
      <c r="G517" s="17">
        <v>-1.0</v>
      </c>
      <c r="H517" s="17">
        <v>-1.0</v>
      </c>
    </row>
    <row r="518">
      <c r="A518" s="17">
        <v>1006300.0</v>
      </c>
      <c r="B518" s="17">
        <v>3.0</v>
      </c>
      <c r="C518" s="17">
        <v>1006000.0</v>
      </c>
      <c r="D518" s="17">
        <v>-1.0</v>
      </c>
      <c r="E518" s="17">
        <v>-1.0</v>
      </c>
      <c r="F518" s="17">
        <v>-1.0</v>
      </c>
      <c r="G518" s="17">
        <v>-1.0</v>
      </c>
      <c r="H518" s="17">
        <v>-1.0</v>
      </c>
    </row>
    <row r="519">
      <c r="A519" s="17">
        <v>1006301.0</v>
      </c>
      <c r="B519" s="17">
        <v>3.0</v>
      </c>
      <c r="C519" s="17">
        <v>1006001.0</v>
      </c>
      <c r="D519" s="17">
        <v>1006000.0</v>
      </c>
      <c r="E519" s="17">
        <v>-1.0</v>
      </c>
      <c r="F519" s="17">
        <v>-1.0</v>
      </c>
      <c r="G519" s="17">
        <v>-1.0</v>
      </c>
      <c r="H519" s="17">
        <v>-1.0</v>
      </c>
    </row>
    <row r="520">
      <c r="A520" s="17">
        <v>1006302.0</v>
      </c>
      <c r="B520" s="17">
        <v>3.0</v>
      </c>
      <c r="C520" s="17">
        <v>1006002.0</v>
      </c>
      <c r="D520" s="17">
        <v>1006001.0</v>
      </c>
      <c r="E520" s="17">
        <v>1006000.0</v>
      </c>
      <c r="F520" s="17">
        <v>-1.0</v>
      </c>
      <c r="G520" s="17">
        <v>-1.0</v>
      </c>
      <c r="H520" s="17">
        <v>-1.0</v>
      </c>
    </row>
    <row r="521">
      <c r="A521" s="17">
        <v>1006310.0</v>
      </c>
      <c r="B521" s="17">
        <v>3.0</v>
      </c>
      <c r="C521" s="17">
        <v>1006000.0</v>
      </c>
      <c r="D521" s="17">
        <v>-1.0</v>
      </c>
      <c r="E521" s="17">
        <v>-1.0</v>
      </c>
      <c r="F521" s="17">
        <v>-1.0</v>
      </c>
      <c r="G521" s="17">
        <v>-1.0</v>
      </c>
      <c r="H521" s="17">
        <v>-1.0</v>
      </c>
    </row>
    <row r="522">
      <c r="A522" s="17">
        <v>1006311.0</v>
      </c>
      <c r="B522" s="17">
        <v>3.0</v>
      </c>
      <c r="C522" s="17">
        <v>1006001.0</v>
      </c>
      <c r="D522" s="17">
        <v>1006000.0</v>
      </c>
      <c r="E522" s="17">
        <v>-1.0</v>
      </c>
      <c r="F522" s="17">
        <v>-1.0</v>
      </c>
      <c r="G522" s="17">
        <v>-1.0</v>
      </c>
      <c r="H522" s="17">
        <v>-1.0</v>
      </c>
    </row>
    <row r="523">
      <c r="A523" s="17">
        <v>1006312.0</v>
      </c>
      <c r="B523" s="17">
        <v>3.0</v>
      </c>
      <c r="C523" s="17">
        <v>1006002.0</v>
      </c>
      <c r="D523" s="17">
        <v>1006001.0</v>
      </c>
      <c r="E523" s="17">
        <v>1006000.0</v>
      </c>
      <c r="F523" s="17">
        <v>-1.0</v>
      </c>
      <c r="G523" s="17">
        <v>-1.0</v>
      </c>
      <c r="H523" s="17">
        <v>-1.0</v>
      </c>
    </row>
    <row r="524">
      <c r="A524" s="17">
        <v>1006320.0</v>
      </c>
      <c r="B524" s="17">
        <v>3.0</v>
      </c>
      <c r="C524" s="17">
        <v>1006000.0</v>
      </c>
      <c r="D524" s="17">
        <v>-1.0</v>
      </c>
      <c r="E524" s="17">
        <v>-1.0</v>
      </c>
      <c r="F524" s="17">
        <v>-1.0</v>
      </c>
      <c r="G524" s="17">
        <v>-1.0</v>
      </c>
      <c r="H524" s="17">
        <v>-1.0</v>
      </c>
    </row>
    <row r="525">
      <c r="A525" s="17">
        <v>1006321.0</v>
      </c>
      <c r="B525" s="17">
        <v>3.0</v>
      </c>
      <c r="C525" s="17">
        <v>1006001.0</v>
      </c>
      <c r="D525" s="17">
        <v>1006000.0</v>
      </c>
      <c r="E525" s="17">
        <v>-1.0</v>
      </c>
      <c r="F525" s="17">
        <v>-1.0</v>
      </c>
      <c r="G525" s="17">
        <v>-1.0</v>
      </c>
      <c r="H525" s="17">
        <v>-1.0</v>
      </c>
    </row>
    <row r="526">
      <c r="A526" s="17">
        <v>1006322.0</v>
      </c>
      <c r="B526" s="17">
        <v>3.0</v>
      </c>
      <c r="C526" s="17">
        <v>1006002.0</v>
      </c>
      <c r="D526" s="17">
        <v>1006001.0</v>
      </c>
      <c r="E526" s="17">
        <v>1006000.0</v>
      </c>
      <c r="F526" s="17">
        <v>-1.0</v>
      </c>
      <c r="G526" s="17">
        <v>-1.0</v>
      </c>
      <c r="H526" s="17">
        <v>-1.0</v>
      </c>
    </row>
    <row r="527">
      <c r="A527" s="17">
        <v>1007000.0</v>
      </c>
      <c r="B527" s="17">
        <v>0.0</v>
      </c>
      <c r="C527" s="17">
        <v>1007000.0</v>
      </c>
      <c r="D527" s="17">
        <v>-1.0</v>
      </c>
      <c r="E527" s="17">
        <v>-1.0</v>
      </c>
      <c r="F527" s="17">
        <v>-1.0</v>
      </c>
      <c r="G527" s="17">
        <v>-1.0</v>
      </c>
      <c r="H527" s="17">
        <v>-1.0</v>
      </c>
    </row>
    <row r="528">
      <c r="A528" s="17">
        <v>1007001.0</v>
      </c>
      <c r="B528" s="17">
        <v>0.0</v>
      </c>
      <c r="C528" s="17">
        <v>1007001.0</v>
      </c>
      <c r="D528" s="17">
        <v>1007000.0</v>
      </c>
      <c r="E528" s="17">
        <v>-1.0</v>
      </c>
      <c r="F528" s="17">
        <v>-1.0</v>
      </c>
      <c r="G528" s="17">
        <v>-1.0</v>
      </c>
      <c r="H528" s="17">
        <v>-1.0</v>
      </c>
    </row>
    <row r="529">
      <c r="A529" s="17">
        <v>1007002.0</v>
      </c>
      <c r="B529" s="17">
        <v>0.0</v>
      </c>
      <c r="C529" s="17">
        <v>1007002.0</v>
      </c>
      <c r="D529" s="17">
        <v>1007001.0</v>
      </c>
      <c r="E529" s="17">
        <v>1007000.0</v>
      </c>
      <c r="F529" s="17">
        <v>-1.0</v>
      </c>
      <c r="G529" s="17">
        <v>-1.0</v>
      </c>
      <c r="H529" s="17">
        <v>-1.0</v>
      </c>
    </row>
    <row r="530">
      <c r="A530" s="17">
        <v>1007010.0</v>
      </c>
      <c r="B530" s="17">
        <v>0.0</v>
      </c>
      <c r="C530" s="17">
        <v>1007000.0</v>
      </c>
      <c r="D530" s="17">
        <v>-1.0</v>
      </c>
      <c r="E530" s="17">
        <v>-1.0</v>
      </c>
      <c r="F530" s="17">
        <v>-1.0</v>
      </c>
      <c r="G530" s="17">
        <v>-1.0</v>
      </c>
      <c r="H530" s="17">
        <v>-1.0</v>
      </c>
    </row>
    <row r="531">
      <c r="A531" s="17">
        <v>1007011.0</v>
      </c>
      <c r="B531" s="17">
        <v>0.0</v>
      </c>
      <c r="C531" s="17">
        <v>1007001.0</v>
      </c>
      <c r="D531" s="17">
        <v>1007000.0</v>
      </c>
      <c r="E531" s="17">
        <v>-1.0</v>
      </c>
      <c r="F531" s="17">
        <v>-1.0</v>
      </c>
      <c r="G531" s="17">
        <v>-1.0</v>
      </c>
      <c r="H531" s="17">
        <v>-1.0</v>
      </c>
    </row>
    <row r="532">
      <c r="A532" s="17">
        <v>1007012.0</v>
      </c>
      <c r="B532" s="17">
        <v>0.0</v>
      </c>
      <c r="C532" s="17">
        <v>1007002.0</v>
      </c>
      <c r="D532" s="17">
        <v>1007001.0</v>
      </c>
      <c r="E532" s="17">
        <v>1007000.0</v>
      </c>
      <c r="F532" s="17">
        <v>-1.0</v>
      </c>
      <c r="G532" s="17">
        <v>-1.0</v>
      </c>
      <c r="H532" s="17">
        <v>-1.0</v>
      </c>
    </row>
    <row r="533">
      <c r="A533" s="17">
        <v>1007020.0</v>
      </c>
      <c r="B533" s="17">
        <v>0.0</v>
      </c>
      <c r="C533" s="17">
        <v>1007000.0</v>
      </c>
      <c r="D533" s="17">
        <v>-1.0</v>
      </c>
      <c r="E533" s="17">
        <v>-1.0</v>
      </c>
      <c r="F533" s="17">
        <v>-1.0</v>
      </c>
      <c r="G533" s="17">
        <v>-1.0</v>
      </c>
      <c r="H533" s="17">
        <v>-1.0</v>
      </c>
    </row>
    <row r="534">
      <c r="A534" s="17">
        <v>1007021.0</v>
      </c>
      <c r="B534" s="17">
        <v>0.0</v>
      </c>
      <c r="C534" s="17">
        <v>1007001.0</v>
      </c>
      <c r="D534" s="17">
        <v>1007000.0</v>
      </c>
      <c r="E534" s="17">
        <v>-1.0</v>
      </c>
      <c r="F534" s="17">
        <v>-1.0</v>
      </c>
      <c r="G534" s="17">
        <v>-1.0</v>
      </c>
      <c r="H534" s="17">
        <v>-1.0</v>
      </c>
    </row>
    <row r="535">
      <c r="A535" s="17">
        <v>1007022.0</v>
      </c>
      <c r="B535" s="17">
        <v>0.0</v>
      </c>
      <c r="C535" s="17">
        <v>1007002.0</v>
      </c>
      <c r="D535" s="17">
        <v>1007001.0</v>
      </c>
      <c r="E535" s="17">
        <v>1007000.0</v>
      </c>
      <c r="F535" s="17">
        <v>-1.0</v>
      </c>
      <c r="G535" s="17">
        <v>-1.0</v>
      </c>
      <c r="H535" s="17">
        <v>-1.0</v>
      </c>
    </row>
    <row r="536">
      <c r="A536" s="17">
        <v>1007100.0</v>
      </c>
      <c r="B536" s="17">
        <v>1.0</v>
      </c>
      <c r="C536" s="17">
        <v>1007000.0</v>
      </c>
      <c r="D536" s="17">
        <v>-1.0</v>
      </c>
      <c r="E536" s="17">
        <v>-1.0</v>
      </c>
      <c r="F536" s="17">
        <v>-1.0</v>
      </c>
      <c r="G536" s="17">
        <v>-1.0</v>
      </c>
      <c r="H536" s="17">
        <v>-1.0</v>
      </c>
    </row>
    <row r="537">
      <c r="A537" s="17">
        <v>1007101.0</v>
      </c>
      <c r="B537" s="17">
        <v>1.0</v>
      </c>
      <c r="C537" s="17">
        <v>1007001.0</v>
      </c>
      <c r="D537" s="17">
        <v>1007000.0</v>
      </c>
      <c r="E537" s="17">
        <v>-1.0</v>
      </c>
      <c r="F537" s="17">
        <v>-1.0</v>
      </c>
      <c r="G537" s="17">
        <v>-1.0</v>
      </c>
      <c r="H537" s="17">
        <v>-1.0</v>
      </c>
    </row>
    <row r="538">
      <c r="A538" s="17">
        <v>1007102.0</v>
      </c>
      <c r="B538" s="17">
        <v>1.0</v>
      </c>
      <c r="C538" s="17">
        <v>1007002.0</v>
      </c>
      <c r="D538" s="17">
        <v>1007001.0</v>
      </c>
      <c r="E538" s="17">
        <v>1007000.0</v>
      </c>
      <c r="F538" s="17">
        <v>-1.0</v>
      </c>
      <c r="G538" s="17">
        <v>-1.0</v>
      </c>
      <c r="H538" s="17">
        <v>-1.0</v>
      </c>
    </row>
    <row r="539">
      <c r="A539" s="17">
        <v>1007110.0</v>
      </c>
      <c r="B539" s="17">
        <v>1.0</v>
      </c>
      <c r="C539" s="17">
        <v>1007000.0</v>
      </c>
      <c r="D539" s="17">
        <v>-1.0</v>
      </c>
      <c r="E539" s="17">
        <v>-1.0</v>
      </c>
      <c r="F539" s="17">
        <v>-1.0</v>
      </c>
      <c r="G539" s="17">
        <v>-1.0</v>
      </c>
      <c r="H539" s="17">
        <v>-1.0</v>
      </c>
    </row>
    <row r="540">
      <c r="A540" s="17">
        <v>1007111.0</v>
      </c>
      <c r="B540" s="17">
        <v>1.0</v>
      </c>
      <c r="C540" s="17">
        <v>1007001.0</v>
      </c>
      <c r="D540" s="17">
        <v>1007000.0</v>
      </c>
      <c r="E540" s="17">
        <v>-1.0</v>
      </c>
      <c r="F540" s="17">
        <v>-1.0</v>
      </c>
      <c r="G540" s="17">
        <v>-1.0</v>
      </c>
      <c r="H540" s="17">
        <v>-1.0</v>
      </c>
    </row>
    <row r="541">
      <c r="A541" s="17">
        <v>1007112.0</v>
      </c>
      <c r="B541" s="17">
        <v>1.0</v>
      </c>
      <c r="C541" s="17">
        <v>1007002.0</v>
      </c>
      <c r="D541" s="17">
        <v>1007001.0</v>
      </c>
      <c r="E541" s="17">
        <v>1007000.0</v>
      </c>
      <c r="F541" s="17">
        <v>-1.0</v>
      </c>
      <c r="G541" s="17">
        <v>-1.0</v>
      </c>
      <c r="H541" s="17">
        <v>-1.0</v>
      </c>
    </row>
    <row r="542">
      <c r="A542" s="17">
        <v>1007120.0</v>
      </c>
      <c r="B542" s="17">
        <v>1.0</v>
      </c>
      <c r="C542" s="17">
        <v>1007000.0</v>
      </c>
      <c r="D542" s="17">
        <v>-1.0</v>
      </c>
      <c r="E542" s="17">
        <v>-1.0</v>
      </c>
      <c r="F542" s="17">
        <v>-1.0</v>
      </c>
      <c r="G542" s="17">
        <v>-1.0</v>
      </c>
      <c r="H542" s="17">
        <v>-1.0</v>
      </c>
    </row>
    <row r="543">
      <c r="A543" s="17">
        <v>1007121.0</v>
      </c>
      <c r="B543" s="17">
        <v>1.0</v>
      </c>
      <c r="C543" s="17">
        <v>1007001.0</v>
      </c>
      <c r="D543" s="17">
        <v>1007000.0</v>
      </c>
      <c r="E543" s="17">
        <v>-1.0</v>
      </c>
      <c r="F543" s="17">
        <v>-1.0</v>
      </c>
      <c r="G543" s="17">
        <v>-1.0</v>
      </c>
      <c r="H543" s="17">
        <v>-1.0</v>
      </c>
    </row>
    <row r="544">
      <c r="A544" s="17">
        <v>1007122.0</v>
      </c>
      <c r="B544" s="17">
        <v>1.0</v>
      </c>
      <c r="C544" s="17">
        <v>1007002.0</v>
      </c>
      <c r="D544" s="17">
        <v>1007001.0</v>
      </c>
      <c r="E544" s="17">
        <v>1007000.0</v>
      </c>
      <c r="F544" s="17">
        <v>-1.0</v>
      </c>
      <c r="G544" s="17">
        <v>-1.0</v>
      </c>
      <c r="H544" s="17">
        <v>-1.0</v>
      </c>
    </row>
    <row r="545">
      <c r="A545" s="17">
        <v>1007200.0</v>
      </c>
      <c r="B545" s="17">
        <v>2.0</v>
      </c>
      <c r="C545" s="17">
        <v>1007000.0</v>
      </c>
      <c r="D545" s="17">
        <v>-1.0</v>
      </c>
      <c r="E545" s="17">
        <v>-1.0</v>
      </c>
      <c r="F545" s="17">
        <v>-1.0</v>
      </c>
      <c r="G545" s="17">
        <v>-1.0</v>
      </c>
      <c r="H545" s="17">
        <v>-1.0</v>
      </c>
    </row>
    <row r="546">
      <c r="A546" s="17">
        <v>1007201.0</v>
      </c>
      <c r="B546" s="17">
        <v>2.0</v>
      </c>
      <c r="C546" s="17">
        <v>1007001.0</v>
      </c>
      <c r="D546" s="17">
        <v>1007000.0</v>
      </c>
      <c r="E546" s="17">
        <v>-1.0</v>
      </c>
      <c r="F546" s="17">
        <v>-1.0</v>
      </c>
      <c r="G546" s="17">
        <v>-1.0</v>
      </c>
      <c r="H546" s="17">
        <v>-1.0</v>
      </c>
    </row>
    <row r="547">
      <c r="A547" s="17">
        <v>1007202.0</v>
      </c>
      <c r="B547" s="17">
        <v>2.0</v>
      </c>
      <c r="C547" s="17">
        <v>1007002.0</v>
      </c>
      <c r="D547" s="17">
        <v>1007001.0</v>
      </c>
      <c r="E547" s="17">
        <v>1007000.0</v>
      </c>
      <c r="F547" s="17">
        <v>-1.0</v>
      </c>
      <c r="G547" s="17">
        <v>-1.0</v>
      </c>
      <c r="H547" s="17">
        <v>-1.0</v>
      </c>
    </row>
    <row r="548">
      <c r="A548" s="17">
        <v>1007210.0</v>
      </c>
      <c r="B548" s="17">
        <v>2.0</v>
      </c>
      <c r="C548" s="17">
        <v>1007000.0</v>
      </c>
      <c r="D548" s="17">
        <v>-1.0</v>
      </c>
      <c r="E548" s="17">
        <v>-1.0</v>
      </c>
      <c r="F548" s="17">
        <v>-1.0</v>
      </c>
      <c r="G548" s="17">
        <v>-1.0</v>
      </c>
      <c r="H548" s="17">
        <v>-1.0</v>
      </c>
    </row>
    <row r="549">
      <c r="A549" s="17">
        <v>1007211.0</v>
      </c>
      <c r="B549" s="17">
        <v>2.0</v>
      </c>
      <c r="C549" s="17">
        <v>1007001.0</v>
      </c>
      <c r="D549" s="17">
        <v>1007000.0</v>
      </c>
      <c r="E549" s="17">
        <v>-1.0</v>
      </c>
      <c r="F549" s="17">
        <v>-1.0</v>
      </c>
      <c r="G549" s="17">
        <v>-1.0</v>
      </c>
      <c r="H549" s="17">
        <v>-1.0</v>
      </c>
    </row>
    <row r="550">
      <c r="A550" s="17">
        <v>1007212.0</v>
      </c>
      <c r="B550" s="17">
        <v>2.0</v>
      </c>
      <c r="C550" s="17">
        <v>1007002.0</v>
      </c>
      <c r="D550" s="17">
        <v>1007001.0</v>
      </c>
      <c r="E550" s="17">
        <v>1007000.0</v>
      </c>
      <c r="F550" s="17">
        <v>-1.0</v>
      </c>
      <c r="G550" s="17">
        <v>-1.0</v>
      </c>
      <c r="H550" s="17">
        <v>-1.0</v>
      </c>
    </row>
    <row r="551">
      <c r="A551" s="17">
        <v>1007220.0</v>
      </c>
      <c r="B551" s="17">
        <v>2.0</v>
      </c>
      <c r="C551" s="17">
        <v>1007000.0</v>
      </c>
      <c r="D551" s="17">
        <v>-1.0</v>
      </c>
      <c r="E551" s="17">
        <v>-1.0</v>
      </c>
      <c r="F551" s="17">
        <v>-1.0</v>
      </c>
      <c r="G551" s="17">
        <v>-1.0</v>
      </c>
      <c r="H551" s="17">
        <v>-1.0</v>
      </c>
    </row>
    <row r="552">
      <c r="A552" s="17">
        <v>1007221.0</v>
      </c>
      <c r="B552" s="17">
        <v>2.0</v>
      </c>
      <c r="C552" s="17">
        <v>1007001.0</v>
      </c>
      <c r="D552" s="17">
        <v>1007000.0</v>
      </c>
      <c r="E552" s="17">
        <v>-1.0</v>
      </c>
      <c r="F552" s="17">
        <v>-1.0</v>
      </c>
      <c r="G552" s="17">
        <v>-1.0</v>
      </c>
      <c r="H552" s="17">
        <v>-1.0</v>
      </c>
    </row>
    <row r="553">
      <c r="A553" s="17">
        <v>1007222.0</v>
      </c>
      <c r="B553" s="17">
        <v>2.0</v>
      </c>
      <c r="C553" s="17">
        <v>1007002.0</v>
      </c>
      <c r="D553" s="17">
        <v>1007001.0</v>
      </c>
      <c r="E553" s="17">
        <v>1007000.0</v>
      </c>
      <c r="F553" s="17">
        <v>-1.0</v>
      </c>
      <c r="G553" s="17">
        <v>-1.0</v>
      </c>
      <c r="H553" s="17">
        <v>-1.0</v>
      </c>
    </row>
    <row r="554">
      <c r="A554" s="17">
        <v>1007300.0</v>
      </c>
      <c r="B554" s="17">
        <v>3.0</v>
      </c>
      <c r="C554" s="17">
        <v>1007000.0</v>
      </c>
      <c r="D554" s="17">
        <v>-1.0</v>
      </c>
      <c r="E554" s="17">
        <v>-1.0</v>
      </c>
      <c r="F554" s="17">
        <v>-1.0</v>
      </c>
      <c r="G554" s="17">
        <v>-1.0</v>
      </c>
      <c r="H554" s="17">
        <v>-1.0</v>
      </c>
    </row>
    <row r="555">
      <c r="A555" s="17">
        <v>1007301.0</v>
      </c>
      <c r="B555" s="17">
        <v>3.0</v>
      </c>
      <c r="C555" s="17">
        <v>1007001.0</v>
      </c>
      <c r="D555" s="17">
        <v>1007000.0</v>
      </c>
      <c r="E555" s="17">
        <v>-1.0</v>
      </c>
      <c r="F555" s="17">
        <v>-1.0</v>
      </c>
      <c r="G555" s="17">
        <v>-1.0</v>
      </c>
      <c r="H555" s="17">
        <v>-1.0</v>
      </c>
    </row>
    <row r="556">
      <c r="A556" s="17">
        <v>1007302.0</v>
      </c>
      <c r="B556" s="17">
        <v>3.0</v>
      </c>
      <c r="C556" s="17">
        <v>1007002.0</v>
      </c>
      <c r="D556" s="17">
        <v>1007001.0</v>
      </c>
      <c r="E556" s="17">
        <v>1007000.0</v>
      </c>
      <c r="F556" s="17">
        <v>-1.0</v>
      </c>
      <c r="G556" s="17">
        <v>-1.0</v>
      </c>
      <c r="H556" s="17">
        <v>-1.0</v>
      </c>
    </row>
    <row r="557">
      <c r="A557" s="17">
        <v>1007310.0</v>
      </c>
      <c r="B557" s="17">
        <v>3.0</v>
      </c>
      <c r="C557" s="17">
        <v>1007000.0</v>
      </c>
      <c r="D557" s="17">
        <v>-1.0</v>
      </c>
      <c r="E557" s="17">
        <v>-1.0</v>
      </c>
      <c r="F557" s="17">
        <v>-1.0</v>
      </c>
      <c r="G557" s="17">
        <v>-1.0</v>
      </c>
      <c r="H557" s="17">
        <v>-1.0</v>
      </c>
    </row>
    <row r="558">
      <c r="A558" s="17">
        <v>1007311.0</v>
      </c>
      <c r="B558" s="17">
        <v>3.0</v>
      </c>
      <c r="C558" s="17">
        <v>1007001.0</v>
      </c>
      <c r="D558" s="17">
        <v>1007000.0</v>
      </c>
      <c r="E558" s="17">
        <v>-1.0</v>
      </c>
      <c r="F558" s="17">
        <v>-1.0</v>
      </c>
      <c r="G558" s="17">
        <v>-1.0</v>
      </c>
      <c r="H558" s="17">
        <v>-1.0</v>
      </c>
    </row>
    <row r="559">
      <c r="A559" s="17">
        <v>1007312.0</v>
      </c>
      <c r="B559" s="17">
        <v>3.0</v>
      </c>
      <c r="C559" s="17">
        <v>1007002.0</v>
      </c>
      <c r="D559" s="17">
        <v>1007001.0</v>
      </c>
      <c r="E559" s="17">
        <v>1007000.0</v>
      </c>
      <c r="F559" s="17">
        <v>-1.0</v>
      </c>
      <c r="G559" s="17">
        <v>-1.0</v>
      </c>
      <c r="H559" s="17">
        <v>-1.0</v>
      </c>
    </row>
    <row r="560">
      <c r="A560" s="17">
        <v>1007320.0</v>
      </c>
      <c r="B560" s="17">
        <v>3.0</v>
      </c>
      <c r="C560" s="17">
        <v>1007000.0</v>
      </c>
      <c r="D560" s="17">
        <v>-1.0</v>
      </c>
      <c r="E560" s="17">
        <v>-1.0</v>
      </c>
      <c r="F560" s="17">
        <v>-1.0</v>
      </c>
      <c r="G560" s="17">
        <v>-1.0</v>
      </c>
      <c r="H560" s="17">
        <v>-1.0</v>
      </c>
    </row>
    <row r="561">
      <c r="A561" s="17">
        <v>1007321.0</v>
      </c>
      <c r="B561" s="17">
        <v>3.0</v>
      </c>
      <c r="C561" s="17">
        <v>1007001.0</v>
      </c>
      <c r="D561" s="17">
        <v>1007000.0</v>
      </c>
      <c r="E561" s="17">
        <v>-1.0</v>
      </c>
      <c r="F561" s="17">
        <v>-1.0</v>
      </c>
      <c r="G561" s="17">
        <v>-1.0</v>
      </c>
      <c r="H561" s="17">
        <v>-1.0</v>
      </c>
    </row>
    <row r="562">
      <c r="A562" s="17">
        <v>1007322.0</v>
      </c>
      <c r="B562" s="17">
        <v>3.0</v>
      </c>
      <c r="C562" s="17">
        <v>1007002.0</v>
      </c>
      <c r="D562" s="17">
        <v>1007001.0</v>
      </c>
      <c r="E562" s="17">
        <v>1007000.0</v>
      </c>
      <c r="F562" s="17">
        <v>-1.0</v>
      </c>
      <c r="G562" s="17">
        <v>-1.0</v>
      </c>
      <c r="H562" s="17">
        <v>-1.0</v>
      </c>
    </row>
    <row r="563">
      <c r="A563" s="17">
        <v>1008000.0</v>
      </c>
      <c r="B563" s="17">
        <v>0.0</v>
      </c>
      <c r="C563" s="17">
        <v>1008000.0</v>
      </c>
      <c r="D563" s="17">
        <v>-1.0</v>
      </c>
      <c r="E563" s="17">
        <v>-1.0</v>
      </c>
      <c r="F563" s="17">
        <v>-1.0</v>
      </c>
      <c r="G563" s="17">
        <v>-1.0</v>
      </c>
      <c r="H563" s="17">
        <v>-1.0</v>
      </c>
    </row>
    <row r="564">
      <c r="A564" s="17">
        <v>1008001.0</v>
      </c>
      <c r="B564" s="17">
        <v>0.0</v>
      </c>
      <c r="C564" s="17">
        <v>1008001.0</v>
      </c>
      <c r="D564" s="17">
        <v>1008000.0</v>
      </c>
      <c r="E564" s="17">
        <v>-1.0</v>
      </c>
      <c r="F564" s="17">
        <v>-1.0</v>
      </c>
      <c r="G564" s="17">
        <v>-1.0</v>
      </c>
      <c r="H564" s="17">
        <v>-1.0</v>
      </c>
    </row>
    <row r="565">
      <c r="A565" s="17">
        <v>1008002.0</v>
      </c>
      <c r="B565" s="17">
        <v>0.0</v>
      </c>
      <c r="C565" s="17">
        <v>1008002.0</v>
      </c>
      <c r="D565" s="17">
        <v>1008001.0</v>
      </c>
      <c r="E565" s="17">
        <v>1008000.0</v>
      </c>
      <c r="F565" s="17">
        <v>-1.0</v>
      </c>
      <c r="G565" s="17">
        <v>-1.0</v>
      </c>
      <c r="H565" s="17">
        <v>-1.0</v>
      </c>
    </row>
    <row r="566">
      <c r="A566" s="17">
        <v>1008010.0</v>
      </c>
      <c r="B566" s="17">
        <v>0.0</v>
      </c>
      <c r="C566" s="17">
        <v>1008000.0</v>
      </c>
      <c r="D566" s="17">
        <v>-1.0</v>
      </c>
      <c r="E566" s="17">
        <v>-1.0</v>
      </c>
      <c r="F566" s="17">
        <v>-1.0</v>
      </c>
      <c r="G566" s="17">
        <v>-1.0</v>
      </c>
      <c r="H566" s="17">
        <v>-1.0</v>
      </c>
    </row>
    <row r="567">
      <c r="A567" s="17">
        <v>1008011.0</v>
      </c>
      <c r="B567" s="17">
        <v>0.0</v>
      </c>
      <c r="C567" s="17">
        <v>1008001.0</v>
      </c>
      <c r="D567" s="17">
        <v>1008000.0</v>
      </c>
      <c r="E567" s="17">
        <v>-1.0</v>
      </c>
      <c r="F567" s="17">
        <v>-1.0</v>
      </c>
      <c r="G567" s="17">
        <v>-1.0</v>
      </c>
      <c r="H567" s="17">
        <v>-1.0</v>
      </c>
    </row>
    <row r="568">
      <c r="A568" s="17">
        <v>1008012.0</v>
      </c>
      <c r="B568" s="17">
        <v>0.0</v>
      </c>
      <c r="C568" s="17">
        <v>1008002.0</v>
      </c>
      <c r="D568" s="17">
        <v>1008001.0</v>
      </c>
      <c r="E568" s="17">
        <v>1008000.0</v>
      </c>
      <c r="F568" s="17">
        <v>-1.0</v>
      </c>
      <c r="G568" s="17">
        <v>-1.0</v>
      </c>
      <c r="H568" s="17">
        <v>-1.0</v>
      </c>
    </row>
    <row r="569">
      <c r="A569" s="17">
        <v>1008020.0</v>
      </c>
      <c r="B569" s="17">
        <v>0.0</v>
      </c>
      <c r="C569" s="17">
        <v>1008000.0</v>
      </c>
      <c r="D569" s="17">
        <v>-1.0</v>
      </c>
      <c r="E569" s="17">
        <v>-1.0</v>
      </c>
      <c r="F569" s="17">
        <v>-1.0</v>
      </c>
      <c r="G569" s="17">
        <v>-1.0</v>
      </c>
      <c r="H569" s="17">
        <v>-1.0</v>
      </c>
    </row>
    <row r="570">
      <c r="A570" s="17">
        <v>1008021.0</v>
      </c>
      <c r="B570" s="17">
        <v>0.0</v>
      </c>
      <c r="C570" s="17">
        <v>1008001.0</v>
      </c>
      <c r="D570" s="17">
        <v>1008000.0</v>
      </c>
      <c r="E570" s="17">
        <v>-1.0</v>
      </c>
      <c r="F570" s="17">
        <v>-1.0</v>
      </c>
      <c r="G570" s="17">
        <v>-1.0</v>
      </c>
      <c r="H570" s="17">
        <v>-1.0</v>
      </c>
    </row>
    <row r="571">
      <c r="A571" s="17">
        <v>1008022.0</v>
      </c>
      <c r="B571" s="17">
        <v>0.0</v>
      </c>
      <c r="C571" s="17">
        <v>1008002.0</v>
      </c>
      <c r="D571" s="17">
        <v>1008001.0</v>
      </c>
      <c r="E571" s="17">
        <v>1008000.0</v>
      </c>
      <c r="F571" s="17">
        <v>-1.0</v>
      </c>
      <c r="G571" s="17">
        <v>-1.0</v>
      </c>
      <c r="H571" s="17">
        <v>-1.0</v>
      </c>
    </row>
    <row r="572">
      <c r="A572" s="17">
        <v>1008100.0</v>
      </c>
      <c r="B572" s="17">
        <v>1.0</v>
      </c>
      <c r="C572" s="17">
        <v>1008000.0</v>
      </c>
      <c r="D572" s="17">
        <v>-1.0</v>
      </c>
      <c r="E572" s="17">
        <v>-1.0</v>
      </c>
      <c r="F572" s="17">
        <v>-1.0</v>
      </c>
      <c r="G572" s="17">
        <v>-1.0</v>
      </c>
      <c r="H572" s="17">
        <v>-1.0</v>
      </c>
    </row>
    <row r="573">
      <c r="A573" s="17">
        <v>1008101.0</v>
      </c>
      <c r="B573" s="17">
        <v>1.0</v>
      </c>
      <c r="C573" s="17">
        <v>1008001.0</v>
      </c>
      <c r="D573" s="17">
        <v>1008000.0</v>
      </c>
      <c r="E573" s="17">
        <v>-1.0</v>
      </c>
      <c r="F573" s="17">
        <v>-1.0</v>
      </c>
      <c r="G573" s="17">
        <v>-1.0</v>
      </c>
      <c r="H573" s="17">
        <v>-1.0</v>
      </c>
    </row>
    <row r="574">
      <c r="A574" s="17">
        <v>1008102.0</v>
      </c>
      <c r="B574" s="17">
        <v>1.0</v>
      </c>
      <c r="C574" s="17">
        <v>1008002.0</v>
      </c>
      <c r="D574" s="17">
        <v>1008001.0</v>
      </c>
      <c r="E574" s="17">
        <v>1008000.0</v>
      </c>
      <c r="F574" s="17">
        <v>-1.0</v>
      </c>
      <c r="G574" s="17">
        <v>-1.0</v>
      </c>
      <c r="H574" s="17">
        <v>-1.0</v>
      </c>
    </row>
    <row r="575">
      <c r="A575" s="17">
        <v>1008110.0</v>
      </c>
      <c r="B575" s="17">
        <v>1.0</v>
      </c>
      <c r="C575" s="17">
        <v>1008000.0</v>
      </c>
      <c r="D575" s="17">
        <v>-1.0</v>
      </c>
      <c r="E575" s="17">
        <v>-1.0</v>
      </c>
      <c r="F575" s="17">
        <v>-1.0</v>
      </c>
      <c r="G575" s="17">
        <v>-1.0</v>
      </c>
      <c r="H575" s="17">
        <v>-1.0</v>
      </c>
    </row>
    <row r="576">
      <c r="A576" s="17">
        <v>1008111.0</v>
      </c>
      <c r="B576" s="17">
        <v>1.0</v>
      </c>
      <c r="C576" s="17">
        <v>1008001.0</v>
      </c>
      <c r="D576" s="17">
        <v>1008000.0</v>
      </c>
      <c r="E576" s="17">
        <v>-1.0</v>
      </c>
      <c r="F576" s="17">
        <v>-1.0</v>
      </c>
      <c r="G576" s="17">
        <v>-1.0</v>
      </c>
      <c r="H576" s="17">
        <v>-1.0</v>
      </c>
    </row>
    <row r="577">
      <c r="A577" s="17">
        <v>1008112.0</v>
      </c>
      <c r="B577" s="17">
        <v>1.0</v>
      </c>
      <c r="C577" s="17">
        <v>1008002.0</v>
      </c>
      <c r="D577" s="17">
        <v>1008001.0</v>
      </c>
      <c r="E577" s="17">
        <v>1008000.0</v>
      </c>
      <c r="F577" s="17">
        <v>-1.0</v>
      </c>
      <c r="G577" s="17">
        <v>-1.0</v>
      </c>
      <c r="H577" s="17">
        <v>-1.0</v>
      </c>
    </row>
    <row r="578">
      <c r="A578" s="17">
        <v>1008120.0</v>
      </c>
      <c r="B578" s="17">
        <v>1.0</v>
      </c>
      <c r="C578" s="17">
        <v>1008000.0</v>
      </c>
      <c r="D578" s="17">
        <v>-1.0</v>
      </c>
      <c r="E578" s="17">
        <v>-1.0</v>
      </c>
      <c r="F578" s="17">
        <v>-1.0</v>
      </c>
      <c r="G578" s="17">
        <v>-1.0</v>
      </c>
      <c r="H578" s="17">
        <v>-1.0</v>
      </c>
    </row>
    <row r="579">
      <c r="A579" s="17">
        <v>1008121.0</v>
      </c>
      <c r="B579" s="17">
        <v>1.0</v>
      </c>
      <c r="C579" s="17">
        <v>1008001.0</v>
      </c>
      <c r="D579" s="17">
        <v>1008000.0</v>
      </c>
      <c r="E579" s="17">
        <v>-1.0</v>
      </c>
      <c r="F579" s="17">
        <v>-1.0</v>
      </c>
      <c r="G579" s="17">
        <v>-1.0</v>
      </c>
      <c r="H579" s="17">
        <v>-1.0</v>
      </c>
    </row>
    <row r="580">
      <c r="A580" s="17">
        <v>1008122.0</v>
      </c>
      <c r="B580" s="17">
        <v>1.0</v>
      </c>
      <c r="C580" s="17">
        <v>1008002.0</v>
      </c>
      <c r="D580" s="17">
        <v>1008001.0</v>
      </c>
      <c r="E580" s="17">
        <v>1008000.0</v>
      </c>
      <c r="F580" s="17">
        <v>-1.0</v>
      </c>
      <c r="G580" s="17">
        <v>-1.0</v>
      </c>
      <c r="H580" s="17">
        <v>-1.0</v>
      </c>
    </row>
    <row r="581">
      <c r="A581" s="17">
        <v>1008200.0</v>
      </c>
      <c r="B581" s="17">
        <v>2.0</v>
      </c>
      <c r="C581" s="17">
        <v>1008000.0</v>
      </c>
      <c r="D581" s="17">
        <v>-1.0</v>
      </c>
      <c r="E581" s="17">
        <v>-1.0</v>
      </c>
      <c r="F581" s="17">
        <v>-1.0</v>
      </c>
      <c r="G581" s="17">
        <v>-1.0</v>
      </c>
      <c r="H581" s="17">
        <v>-1.0</v>
      </c>
    </row>
    <row r="582">
      <c r="A582" s="17">
        <v>1008201.0</v>
      </c>
      <c r="B582" s="17">
        <v>2.0</v>
      </c>
      <c r="C582" s="17">
        <v>1008001.0</v>
      </c>
      <c r="D582" s="17">
        <v>1008000.0</v>
      </c>
      <c r="E582" s="17">
        <v>-1.0</v>
      </c>
      <c r="F582" s="17">
        <v>-1.0</v>
      </c>
      <c r="G582" s="17">
        <v>-1.0</v>
      </c>
      <c r="H582" s="17">
        <v>-1.0</v>
      </c>
    </row>
    <row r="583">
      <c r="A583" s="17">
        <v>1008202.0</v>
      </c>
      <c r="B583" s="17">
        <v>2.0</v>
      </c>
      <c r="C583" s="17">
        <v>1008002.0</v>
      </c>
      <c r="D583" s="17">
        <v>1008001.0</v>
      </c>
      <c r="E583" s="17">
        <v>1008000.0</v>
      </c>
      <c r="F583" s="17">
        <v>-1.0</v>
      </c>
      <c r="G583" s="17">
        <v>-1.0</v>
      </c>
      <c r="H583" s="17">
        <v>-1.0</v>
      </c>
    </row>
    <row r="584">
      <c r="A584" s="17">
        <v>1008210.0</v>
      </c>
      <c r="B584" s="17">
        <v>2.0</v>
      </c>
      <c r="C584" s="17">
        <v>1008000.0</v>
      </c>
      <c r="D584" s="17">
        <v>-1.0</v>
      </c>
      <c r="E584" s="17">
        <v>-1.0</v>
      </c>
      <c r="F584" s="17">
        <v>-1.0</v>
      </c>
      <c r="G584" s="17">
        <v>-1.0</v>
      </c>
      <c r="H584" s="17">
        <v>-1.0</v>
      </c>
    </row>
    <row r="585">
      <c r="A585" s="17">
        <v>1008211.0</v>
      </c>
      <c r="B585" s="17">
        <v>2.0</v>
      </c>
      <c r="C585" s="17">
        <v>1008001.0</v>
      </c>
      <c r="D585" s="17">
        <v>1008000.0</v>
      </c>
      <c r="E585" s="17">
        <v>-1.0</v>
      </c>
      <c r="F585" s="17">
        <v>-1.0</v>
      </c>
      <c r="G585" s="17">
        <v>-1.0</v>
      </c>
      <c r="H585" s="17">
        <v>-1.0</v>
      </c>
    </row>
    <row r="586">
      <c r="A586" s="17">
        <v>1008212.0</v>
      </c>
      <c r="B586" s="17">
        <v>2.0</v>
      </c>
      <c r="C586" s="17">
        <v>1008002.0</v>
      </c>
      <c r="D586" s="17">
        <v>1008001.0</v>
      </c>
      <c r="E586" s="17">
        <v>1008000.0</v>
      </c>
      <c r="F586" s="17">
        <v>-1.0</v>
      </c>
      <c r="G586" s="17">
        <v>-1.0</v>
      </c>
      <c r="H586" s="17">
        <v>-1.0</v>
      </c>
    </row>
    <row r="587">
      <c r="A587" s="17">
        <v>1008220.0</v>
      </c>
      <c r="B587" s="17">
        <v>2.0</v>
      </c>
      <c r="C587" s="17">
        <v>1008000.0</v>
      </c>
      <c r="D587" s="17">
        <v>-1.0</v>
      </c>
      <c r="E587" s="17">
        <v>-1.0</v>
      </c>
      <c r="F587" s="17">
        <v>-1.0</v>
      </c>
      <c r="G587" s="17">
        <v>-1.0</v>
      </c>
      <c r="H587" s="17">
        <v>-1.0</v>
      </c>
    </row>
    <row r="588">
      <c r="A588" s="17">
        <v>1008221.0</v>
      </c>
      <c r="B588" s="17">
        <v>2.0</v>
      </c>
      <c r="C588" s="17">
        <v>1008001.0</v>
      </c>
      <c r="D588" s="17">
        <v>1008000.0</v>
      </c>
      <c r="E588" s="17">
        <v>-1.0</v>
      </c>
      <c r="F588" s="17">
        <v>-1.0</v>
      </c>
      <c r="G588" s="17">
        <v>-1.0</v>
      </c>
      <c r="H588" s="17">
        <v>-1.0</v>
      </c>
    </row>
    <row r="589">
      <c r="A589" s="17">
        <v>1008222.0</v>
      </c>
      <c r="B589" s="17">
        <v>2.0</v>
      </c>
      <c r="C589" s="17">
        <v>1008002.0</v>
      </c>
      <c r="D589" s="17">
        <v>1008001.0</v>
      </c>
      <c r="E589" s="17">
        <v>1008000.0</v>
      </c>
      <c r="F589" s="17">
        <v>-1.0</v>
      </c>
      <c r="G589" s="17">
        <v>-1.0</v>
      </c>
      <c r="H589" s="17">
        <v>-1.0</v>
      </c>
    </row>
    <row r="590">
      <c r="A590" s="17">
        <v>1008300.0</v>
      </c>
      <c r="B590" s="17">
        <v>3.0</v>
      </c>
      <c r="C590" s="17">
        <v>1008000.0</v>
      </c>
      <c r="D590" s="17">
        <v>-1.0</v>
      </c>
      <c r="E590" s="17">
        <v>-1.0</v>
      </c>
      <c r="F590" s="17">
        <v>-1.0</v>
      </c>
      <c r="G590" s="17">
        <v>-1.0</v>
      </c>
      <c r="H590" s="17">
        <v>-1.0</v>
      </c>
    </row>
    <row r="591">
      <c r="A591" s="17">
        <v>1008301.0</v>
      </c>
      <c r="B591" s="17">
        <v>3.0</v>
      </c>
      <c r="C591" s="17">
        <v>1008001.0</v>
      </c>
      <c r="D591" s="17">
        <v>1008000.0</v>
      </c>
      <c r="E591" s="17">
        <v>-1.0</v>
      </c>
      <c r="F591" s="17">
        <v>-1.0</v>
      </c>
      <c r="G591" s="17">
        <v>-1.0</v>
      </c>
      <c r="H591" s="17">
        <v>-1.0</v>
      </c>
    </row>
    <row r="592">
      <c r="A592" s="17">
        <v>1008302.0</v>
      </c>
      <c r="B592" s="17">
        <v>3.0</v>
      </c>
      <c r="C592" s="17">
        <v>1008002.0</v>
      </c>
      <c r="D592" s="17">
        <v>1008001.0</v>
      </c>
      <c r="E592" s="17">
        <v>1008000.0</v>
      </c>
      <c r="F592" s="17">
        <v>-1.0</v>
      </c>
      <c r="G592" s="17">
        <v>-1.0</v>
      </c>
      <c r="H592" s="17">
        <v>-1.0</v>
      </c>
    </row>
    <row r="593">
      <c r="A593" s="17">
        <v>1008310.0</v>
      </c>
      <c r="B593" s="17">
        <v>3.0</v>
      </c>
      <c r="C593" s="17">
        <v>1008000.0</v>
      </c>
      <c r="D593" s="17">
        <v>-1.0</v>
      </c>
      <c r="E593" s="17">
        <v>-1.0</v>
      </c>
      <c r="F593" s="17">
        <v>-1.0</v>
      </c>
      <c r="G593" s="17">
        <v>-1.0</v>
      </c>
      <c r="H593" s="17">
        <v>-1.0</v>
      </c>
    </row>
    <row r="594">
      <c r="A594" s="17">
        <v>1008311.0</v>
      </c>
      <c r="B594" s="17">
        <v>3.0</v>
      </c>
      <c r="C594" s="17">
        <v>1008001.0</v>
      </c>
      <c r="D594" s="17">
        <v>1008000.0</v>
      </c>
      <c r="E594" s="17">
        <v>-1.0</v>
      </c>
      <c r="F594" s="17">
        <v>-1.0</v>
      </c>
      <c r="G594" s="17">
        <v>-1.0</v>
      </c>
      <c r="H594" s="17">
        <v>-1.0</v>
      </c>
    </row>
    <row r="595">
      <c r="A595" s="17">
        <v>1008312.0</v>
      </c>
      <c r="B595" s="17">
        <v>3.0</v>
      </c>
      <c r="C595" s="17">
        <v>1008002.0</v>
      </c>
      <c r="D595" s="17">
        <v>1008001.0</v>
      </c>
      <c r="E595" s="17">
        <v>1008000.0</v>
      </c>
      <c r="F595" s="17">
        <v>-1.0</v>
      </c>
      <c r="G595" s="17">
        <v>-1.0</v>
      </c>
      <c r="H595" s="17">
        <v>-1.0</v>
      </c>
    </row>
    <row r="596">
      <c r="A596" s="17">
        <v>1008320.0</v>
      </c>
      <c r="B596" s="17">
        <v>3.0</v>
      </c>
      <c r="C596" s="17">
        <v>1008000.0</v>
      </c>
      <c r="D596" s="17">
        <v>-1.0</v>
      </c>
      <c r="E596" s="17">
        <v>-1.0</v>
      </c>
      <c r="F596" s="17">
        <v>-1.0</v>
      </c>
      <c r="G596" s="17">
        <v>-1.0</v>
      </c>
      <c r="H596" s="17">
        <v>-1.0</v>
      </c>
    </row>
    <row r="597">
      <c r="A597" s="17">
        <v>1008321.0</v>
      </c>
      <c r="B597" s="17">
        <v>3.0</v>
      </c>
      <c r="C597" s="17">
        <v>1008001.0</v>
      </c>
      <c r="D597" s="17">
        <v>1008000.0</v>
      </c>
      <c r="E597" s="17">
        <v>-1.0</v>
      </c>
      <c r="F597" s="17">
        <v>-1.0</v>
      </c>
      <c r="G597" s="17">
        <v>-1.0</v>
      </c>
      <c r="H597" s="17">
        <v>-1.0</v>
      </c>
    </row>
    <row r="598">
      <c r="A598" s="17">
        <v>1008322.0</v>
      </c>
      <c r="B598" s="17">
        <v>3.0</v>
      </c>
      <c r="C598" s="17">
        <v>1008002.0</v>
      </c>
      <c r="D598" s="17">
        <v>1008001.0</v>
      </c>
      <c r="E598" s="17">
        <v>1008000.0</v>
      </c>
      <c r="F598" s="17">
        <v>-1.0</v>
      </c>
      <c r="G598" s="17">
        <v>-1.0</v>
      </c>
      <c r="H598" s="17">
        <v>-1.0</v>
      </c>
    </row>
    <row r="599">
      <c r="A599" s="17">
        <v>1009000.0</v>
      </c>
      <c r="B599" s="17">
        <v>0.0</v>
      </c>
      <c r="C599" s="17">
        <v>1009000.0</v>
      </c>
      <c r="D599" s="17">
        <v>-1.0</v>
      </c>
      <c r="E599" s="17">
        <v>-1.0</v>
      </c>
      <c r="F599" s="17">
        <v>-1.0</v>
      </c>
      <c r="G599" s="17">
        <v>-1.0</v>
      </c>
      <c r="H599" s="17">
        <v>-1.0</v>
      </c>
    </row>
    <row r="600">
      <c r="A600" s="17">
        <v>1009001.0</v>
      </c>
      <c r="B600" s="17">
        <v>0.0</v>
      </c>
      <c r="C600" s="17">
        <v>1009001.0</v>
      </c>
      <c r="D600" s="17">
        <v>1009000.0</v>
      </c>
      <c r="E600" s="17">
        <v>-1.0</v>
      </c>
      <c r="F600" s="17">
        <v>-1.0</v>
      </c>
      <c r="G600" s="17">
        <v>-1.0</v>
      </c>
      <c r="H600" s="17">
        <v>-1.0</v>
      </c>
    </row>
    <row r="601">
      <c r="A601" s="17">
        <v>1009002.0</v>
      </c>
      <c r="B601" s="17">
        <v>0.0</v>
      </c>
      <c r="C601" s="17">
        <v>1009002.0</v>
      </c>
      <c r="D601" s="17">
        <v>1009001.0</v>
      </c>
      <c r="E601" s="17">
        <v>1009000.0</v>
      </c>
      <c r="F601" s="17">
        <v>-1.0</v>
      </c>
      <c r="G601" s="17">
        <v>-1.0</v>
      </c>
      <c r="H601" s="17">
        <v>-1.0</v>
      </c>
    </row>
    <row r="602">
      <c r="A602" s="17">
        <v>1009010.0</v>
      </c>
      <c r="B602" s="17">
        <v>0.0</v>
      </c>
      <c r="C602" s="17">
        <v>1009000.0</v>
      </c>
      <c r="D602" s="17">
        <v>-1.0</v>
      </c>
      <c r="E602" s="17">
        <v>-1.0</v>
      </c>
      <c r="F602" s="17">
        <v>-1.0</v>
      </c>
      <c r="G602" s="17">
        <v>-1.0</v>
      </c>
      <c r="H602" s="17">
        <v>-1.0</v>
      </c>
    </row>
    <row r="603">
      <c r="A603" s="17">
        <v>1009011.0</v>
      </c>
      <c r="B603" s="17">
        <v>0.0</v>
      </c>
      <c r="C603" s="17">
        <v>1009001.0</v>
      </c>
      <c r="D603" s="17">
        <v>1009000.0</v>
      </c>
      <c r="E603" s="17">
        <v>-1.0</v>
      </c>
      <c r="F603" s="17">
        <v>-1.0</v>
      </c>
      <c r="G603" s="17">
        <v>-1.0</v>
      </c>
      <c r="H603" s="17">
        <v>-1.0</v>
      </c>
    </row>
    <row r="604">
      <c r="A604" s="17">
        <v>1009012.0</v>
      </c>
      <c r="B604" s="17">
        <v>0.0</v>
      </c>
      <c r="C604" s="17">
        <v>1009002.0</v>
      </c>
      <c r="D604" s="17">
        <v>1009001.0</v>
      </c>
      <c r="E604" s="17">
        <v>1009000.0</v>
      </c>
      <c r="F604" s="17">
        <v>-1.0</v>
      </c>
      <c r="G604" s="17">
        <v>-1.0</v>
      </c>
      <c r="H604" s="17">
        <v>-1.0</v>
      </c>
    </row>
    <row r="605">
      <c r="A605" s="17">
        <v>1009020.0</v>
      </c>
      <c r="B605" s="17">
        <v>0.0</v>
      </c>
      <c r="C605" s="17">
        <v>1009000.0</v>
      </c>
      <c r="D605" s="17">
        <v>-1.0</v>
      </c>
      <c r="E605" s="17">
        <v>-1.0</v>
      </c>
      <c r="F605" s="17">
        <v>-1.0</v>
      </c>
      <c r="G605" s="17">
        <v>-1.0</v>
      </c>
      <c r="H605" s="17">
        <v>-1.0</v>
      </c>
    </row>
    <row r="606">
      <c r="A606" s="17">
        <v>1009021.0</v>
      </c>
      <c r="B606" s="17">
        <v>0.0</v>
      </c>
      <c r="C606" s="17">
        <v>1009001.0</v>
      </c>
      <c r="D606" s="17">
        <v>1009000.0</v>
      </c>
      <c r="E606" s="17">
        <v>-1.0</v>
      </c>
      <c r="F606" s="17">
        <v>-1.0</v>
      </c>
      <c r="G606" s="17">
        <v>-1.0</v>
      </c>
      <c r="H606" s="17">
        <v>-1.0</v>
      </c>
    </row>
    <row r="607">
      <c r="A607" s="17">
        <v>1009022.0</v>
      </c>
      <c r="B607" s="17">
        <v>0.0</v>
      </c>
      <c r="C607" s="17">
        <v>1009002.0</v>
      </c>
      <c r="D607" s="17">
        <v>1009001.0</v>
      </c>
      <c r="E607" s="17">
        <v>1009000.0</v>
      </c>
      <c r="F607" s="17">
        <v>-1.0</v>
      </c>
      <c r="G607" s="17">
        <v>-1.0</v>
      </c>
      <c r="H607" s="17">
        <v>-1.0</v>
      </c>
    </row>
    <row r="608">
      <c r="A608" s="17">
        <v>1009100.0</v>
      </c>
      <c r="B608" s="17">
        <v>1.0</v>
      </c>
      <c r="C608" s="17">
        <v>1009000.0</v>
      </c>
      <c r="D608" s="17">
        <v>-1.0</v>
      </c>
      <c r="E608" s="17">
        <v>-1.0</v>
      </c>
      <c r="F608" s="17">
        <v>-1.0</v>
      </c>
      <c r="G608" s="17">
        <v>-1.0</v>
      </c>
      <c r="H608" s="17">
        <v>-1.0</v>
      </c>
    </row>
    <row r="609">
      <c r="A609" s="17">
        <v>1009101.0</v>
      </c>
      <c r="B609" s="17">
        <v>1.0</v>
      </c>
      <c r="C609" s="17">
        <v>1009001.0</v>
      </c>
      <c r="D609" s="17">
        <v>1009000.0</v>
      </c>
      <c r="E609" s="17">
        <v>-1.0</v>
      </c>
      <c r="F609" s="17">
        <v>-1.0</v>
      </c>
      <c r="G609" s="17">
        <v>-1.0</v>
      </c>
      <c r="H609" s="17">
        <v>-1.0</v>
      </c>
    </row>
    <row r="610">
      <c r="A610" s="17">
        <v>1009102.0</v>
      </c>
      <c r="B610" s="17">
        <v>1.0</v>
      </c>
      <c r="C610" s="17">
        <v>1009002.0</v>
      </c>
      <c r="D610" s="17">
        <v>1009001.0</v>
      </c>
      <c r="E610" s="17">
        <v>1009000.0</v>
      </c>
      <c r="F610" s="17">
        <v>-1.0</v>
      </c>
      <c r="G610" s="17">
        <v>-1.0</v>
      </c>
      <c r="H610" s="17">
        <v>-1.0</v>
      </c>
    </row>
    <row r="611">
      <c r="A611" s="17">
        <v>1009110.0</v>
      </c>
      <c r="B611" s="17">
        <v>1.0</v>
      </c>
      <c r="C611" s="17">
        <v>1009000.0</v>
      </c>
      <c r="D611" s="17">
        <v>-1.0</v>
      </c>
      <c r="E611" s="17">
        <v>-1.0</v>
      </c>
      <c r="F611" s="17">
        <v>-1.0</v>
      </c>
      <c r="G611" s="17">
        <v>-1.0</v>
      </c>
      <c r="H611" s="17">
        <v>-1.0</v>
      </c>
    </row>
    <row r="612">
      <c r="A612" s="17">
        <v>1009111.0</v>
      </c>
      <c r="B612" s="17">
        <v>1.0</v>
      </c>
      <c r="C612" s="17">
        <v>1009001.0</v>
      </c>
      <c r="D612" s="17">
        <v>1009000.0</v>
      </c>
      <c r="E612" s="17">
        <v>-1.0</v>
      </c>
      <c r="F612" s="17">
        <v>-1.0</v>
      </c>
      <c r="G612" s="17">
        <v>-1.0</v>
      </c>
      <c r="H612" s="17">
        <v>-1.0</v>
      </c>
    </row>
    <row r="613">
      <c r="A613" s="17">
        <v>1009112.0</v>
      </c>
      <c r="B613" s="17">
        <v>1.0</v>
      </c>
      <c r="C613" s="17">
        <v>1009002.0</v>
      </c>
      <c r="D613" s="17">
        <v>1009001.0</v>
      </c>
      <c r="E613" s="17">
        <v>1009000.0</v>
      </c>
      <c r="F613" s="17">
        <v>-1.0</v>
      </c>
      <c r="G613" s="17">
        <v>-1.0</v>
      </c>
      <c r="H613" s="17">
        <v>-1.0</v>
      </c>
    </row>
    <row r="614">
      <c r="A614" s="17">
        <v>1009120.0</v>
      </c>
      <c r="B614" s="17">
        <v>1.0</v>
      </c>
      <c r="C614" s="17">
        <v>1009000.0</v>
      </c>
      <c r="D614" s="17">
        <v>-1.0</v>
      </c>
      <c r="E614" s="17">
        <v>-1.0</v>
      </c>
      <c r="F614" s="17">
        <v>-1.0</v>
      </c>
      <c r="G614" s="17">
        <v>-1.0</v>
      </c>
      <c r="H614" s="17">
        <v>-1.0</v>
      </c>
    </row>
    <row r="615">
      <c r="A615" s="17">
        <v>1009121.0</v>
      </c>
      <c r="B615" s="17">
        <v>1.0</v>
      </c>
      <c r="C615" s="17">
        <v>1009001.0</v>
      </c>
      <c r="D615" s="17">
        <v>1009000.0</v>
      </c>
      <c r="E615" s="17">
        <v>-1.0</v>
      </c>
      <c r="F615" s="17">
        <v>-1.0</v>
      </c>
      <c r="G615" s="17">
        <v>-1.0</v>
      </c>
      <c r="H615" s="17">
        <v>-1.0</v>
      </c>
    </row>
    <row r="616">
      <c r="A616" s="17">
        <v>1009122.0</v>
      </c>
      <c r="B616" s="17">
        <v>1.0</v>
      </c>
      <c r="C616" s="17">
        <v>1009002.0</v>
      </c>
      <c r="D616" s="17">
        <v>1009001.0</v>
      </c>
      <c r="E616" s="17">
        <v>1009000.0</v>
      </c>
      <c r="F616" s="17">
        <v>-1.0</v>
      </c>
      <c r="G616" s="17">
        <v>-1.0</v>
      </c>
      <c r="H616" s="17">
        <v>-1.0</v>
      </c>
    </row>
    <row r="617">
      <c r="A617" s="17">
        <v>1009200.0</v>
      </c>
      <c r="B617" s="17">
        <v>2.0</v>
      </c>
      <c r="C617" s="17">
        <v>1009000.0</v>
      </c>
      <c r="D617" s="17">
        <v>-1.0</v>
      </c>
      <c r="E617" s="17">
        <v>-1.0</v>
      </c>
      <c r="F617" s="17">
        <v>-1.0</v>
      </c>
      <c r="G617" s="17">
        <v>-1.0</v>
      </c>
      <c r="H617" s="17">
        <v>-1.0</v>
      </c>
    </row>
    <row r="618">
      <c r="A618" s="17">
        <v>1009201.0</v>
      </c>
      <c r="B618" s="17">
        <v>2.0</v>
      </c>
      <c r="C618" s="17">
        <v>1009001.0</v>
      </c>
      <c r="D618" s="17">
        <v>1009000.0</v>
      </c>
      <c r="E618" s="17">
        <v>-1.0</v>
      </c>
      <c r="F618" s="17">
        <v>-1.0</v>
      </c>
      <c r="G618" s="17">
        <v>-1.0</v>
      </c>
      <c r="H618" s="17">
        <v>-1.0</v>
      </c>
    </row>
    <row r="619">
      <c r="A619" s="17">
        <v>1009202.0</v>
      </c>
      <c r="B619" s="17">
        <v>2.0</v>
      </c>
      <c r="C619" s="17">
        <v>1009002.0</v>
      </c>
      <c r="D619" s="17">
        <v>1009001.0</v>
      </c>
      <c r="E619" s="17">
        <v>1009000.0</v>
      </c>
      <c r="F619" s="17">
        <v>-1.0</v>
      </c>
      <c r="G619" s="17">
        <v>-1.0</v>
      </c>
      <c r="H619" s="17">
        <v>-1.0</v>
      </c>
    </row>
    <row r="620">
      <c r="A620" s="17">
        <v>1009210.0</v>
      </c>
      <c r="B620" s="17">
        <v>2.0</v>
      </c>
      <c r="C620" s="17">
        <v>1009000.0</v>
      </c>
      <c r="D620" s="17">
        <v>-1.0</v>
      </c>
      <c r="E620" s="17">
        <v>-1.0</v>
      </c>
      <c r="F620" s="17">
        <v>-1.0</v>
      </c>
      <c r="G620" s="17">
        <v>-1.0</v>
      </c>
      <c r="H620" s="17">
        <v>-1.0</v>
      </c>
    </row>
    <row r="621">
      <c r="A621" s="17">
        <v>1009211.0</v>
      </c>
      <c r="B621" s="17">
        <v>2.0</v>
      </c>
      <c r="C621" s="17">
        <v>1009001.0</v>
      </c>
      <c r="D621" s="17">
        <v>1009000.0</v>
      </c>
      <c r="E621" s="17">
        <v>-1.0</v>
      </c>
      <c r="F621" s="17">
        <v>-1.0</v>
      </c>
      <c r="G621" s="17">
        <v>-1.0</v>
      </c>
      <c r="H621" s="17">
        <v>-1.0</v>
      </c>
    </row>
    <row r="622">
      <c r="A622" s="17">
        <v>1009212.0</v>
      </c>
      <c r="B622" s="17">
        <v>2.0</v>
      </c>
      <c r="C622" s="17">
        <v>1009002.0</v>
      </c>
      <c r="D622" s="17">
        <v>1009001.0</v>
      </c>
      <c r="E622" s="17">
        <v>1009000.0</v>
      </c>
      <c r="F622" s="17">
        <v>-1.0</v>
      </c>
      <c r="G622" s="17">
        <v>-1.0</v>
      </c>
      <c r="H622" s="17">
        <v>-1.0</v>
      </c>
    </row>
    <row r="623">
      <c r="A623" s="17">
        <v>1009220.0</v>
      </c>
      <c r="B623" s="17">
        <v>2.0</v>
      </c>
      <c r="C623" s="17">
        <v>1009000.0</v>
      </c>
      <c r="D623" s="17">
        <v>-1.0</v>
      </c>
      <c r="E623" s="17">
        <v>-1.0</v>
      </c>
      <c r="F623" s="17">
        <v>-1.0</v>
      </c>
      <c r="G623" s="17">
        <v>-1.0</v>
      </c>
      <c r="H623" s="17">
        <v>-1.0</v>
      </c>
    </row>
    <row r="624">
      <c r="A624" s="17">
        <v>1009221.0</v>
      </c>
      <c r="B624" s="17">
        <v>2.0</v>
      </c>
      <c r="C624" s="17">
        <v>1009001.0</v>
      </c>
      <c r="D624" s="17">
        <v>1009000.0</v>
      </c>
      <c r="E624" s="17">
        <v>-1.0</v>
      </c>
      <c r="F624" s="17">
        <v>-1.0</v>
      </c>
      <c r="G624" s="17">
        <v>-1.0</v>
      </c>
      <c r="H624" s="17">
        <v>-1.0</v>
      </c>
    </row>
    <row r="625">
      <c r="A625" s="17">
        <v>1009222.0</v>
      </c>
      <c r="B625" s="17">
        <v>2.0</v>
      </c>
      <c r="C625" s="17">
        <v>1009002.0</v>
      </c>
      <c r="D625" s="17">
        <v>1009001.0</v>
      </c>
      <c r="E625" s="17">
        <v>1009000.0</v>
      </c>
      <c r="F625" s="17">
        <v>-1.0</v>
      </c>
      <c r="G625" s="17">
        <v>-1.0</v>
      </c>
      <c r="H625" s="17">
        <v>-1.0</v>
      </c>
    </row>
    <row r="626">
      <c r="A626" s="17">
        <v>1009300.0</v>
      </c>
      <c r="B626" s="17">
        <v>3.0</v>
      </c>
      <c r="C626" s="17">
        <v>1009000.0</v>
      </c>
      <c r="D626" s="17">
        <v>-1.0</v>
      </c>
      <c r="E626" s="17">
        <v>-1.0</v>
      </c>
      <c r="F626" s="17">
        <v>-1.0</v>
      </c>
      <c r="G626" s="17">
        <v>-1.0</v>
      </c>
      <c r="H626" s="17">
        <v>-1.0</v>
      </c>
    </row>
    <row r="627">
      <c r="A627" s="17">
        <v>1009301.0</v>
      </c>
      <c r="B627" s="17">
        <v>3.0</v>
      </c>
      <c r="C627" s="17">
        <v>1009001.0</v>
      </c>
      <c r="D627" s="17">
        <v>1009000.0</v>
      </c>
      <c r="E627" s="17">
        <v>-1.0</v>
      </c>
      <c r="F627" s="17">
        <v>-1.0</v>
      </c>
      <c r="G627" s="17">
        <v>-1.0</v>
      </c>
      <c r="H627" s="17">
        <v>-1.0</v>
      </c>
    </row>
    <row r="628">
      <c r="A628" s="17">
        <v>1009302.0</v>
      </c>
      <c r="B628" s="17">
        <v>3.0</v>
      </c>
      <c r="C628" s="17">
        <v>1009002.0</v>
      </c>
      <c r="D628" s="17">
        <v>1009001.0</v>
      </c>
      <c r="E628" s="17">
        <v>1009000.0</v>
      </c>
      <c r="F628" s="17">
        <v>-1.0</v>
      </c>
      <c r="G628" s="17">
        <v>-1.0</v>
      </c>
      <c r="H628" s="17">
        <v>-1.0</v>
      </c>
    </row>
    <row r="629">
      <c r="A629" s="17">
        <v>1009310.0</v>
      </c>
      <c r="B629" s="17">
        <v>3.0</v>
      </c>
      <c r="C629" s="17">
        <v>1009000.0</v>
      </c>
      <c r="D629" s="17">
        <v>-1.0</v>
      </c>
      <c r="E629" s="17">
        <v>-1.0</v>
      </c>
      <c r="F629" s="17">
        <v>-1.0</v>
      </c>
      <c r="G629" s="17">
        <v>-1.0</v>
      </c>
      <c r="H629" s="17">
        <v>-1.0</v>
      </c>
    </row>
    <row r="630">
      <c r="A630" s="17">
        <v>1009311.0</v>
      </c>
      <c r="B630" s="17">
        <v>3.0</v>
      </c>
      <c r="C630" s="17">
        <v>1009001.0</v>
      </c>
      <c r="D630" s="17">
        <v>1009000.0</v>
      </c>
      <c r="E630" s="17">
        <v>-1.0</v>
      </c>
      <c r="F630" s="17">
        <v>-1.0</v>
      </c>
      <c r="G630" s="17">
        <v>-1.0</v>
      </c>
      <c r="H630" s="17">
        <v>-1.0</v>
      </c>
    </row>
    <row r="631">
      <c r="A631" s="17">
        <v>1009312.0</v>
      </c>
      <c r="B631" s="17">
        <v>3.0</v>
      </c>
      <c r="C631" s="17">
        <v>1009002.0</v>
      </c>
      <c r="D631" s="17">
        <v>1009001.0</v>
      </c>
      <c r="E631" s="17">
        <v>1009000.0</v>
      </c>
      <c r="F631" s="17">
        <v>-1.0</v>
      </c>
      <c r="G631" s="17">
        <v>-1.0</v>
      </c>
      <c r="H631" s="17">
        <v>-1.0</v>
      </c>
    </row>
    <row r="632">
      <c r="A632" s="17">
        <v>1009320.0</v>
      </c>
      <c r="B632" s="17">
        <v>3.0</v>
      </c>
      <c r="C632" s="17">
        <v>1009000.0</v>
      </c>
      <c r="D632" s="17">
        <v>-1.0</v>
      </c>
      <c r="E632" s="17">
        <v>-1.0</v>
      </c>
      <c r="F632" s="17">
        <v>-1.0</v>
      </c>
      <c r="G632" s="17">
        <v>-1.0</v>
      </c>
      <c r="H632" s="17">
        <v>-1.0</v>
      </c>
    </row>
    <row r="633">
      <c r="A633" s="17">
        <v>1009321.0</v>
      </c>
      <c r="B633" s="17">
        <v>3.0</v>
      </c>
      <c r="C633" s="17">
        <v>1009001.0</v>
      </c>
      <c r="D633" s="17">
        <v>1009000.0</v>
      </c>
      <c r="E633" s="17">
        <v>-1.0</v>
      </c>
      <c r="F633" s="17">
        <v>-1.0</v>
      </c>
      <c r="G633" s="17">
        <v>-1.0</v>
      </c>
      <c r="H633" s="17">
        <v>-1.0</v>
      </c>
    </row>
    <row r="634">
      <c r="A634" s="17">
        <v>1009322.0</v>
      </c>
      <c r="B634" s="17">
        <v>3.0</v>
      </c>
      <c r="C634" s="17">
        <v>1009002.0</v>
      </c>
      <c r="D634" s="17">
        <v>1009001.0</v>
      </c>
      <c r="E634" s="17">
        <v>1009000.0</v>
      </c>
      <c r="F634" s="17">
        <v>-1.0</v>
      </c>
      <c r="G634" s="17">
        <v>-1.0</v>
      </c>
      <c r="H634" s="17">
        <v>-1.0</v>
      </c>
    </row>
    <row r="635">
      <c r="A635" s="17">
        <v>2000000.0</v>
      </c>
      <c r="B635" s="17">
        <v>0.0</v>
      </c>
      <c r="C635" s="17">
        <v>2000000.0</v>
      </c>
      <c r="D635" s="17">
        <v>-1.0</v>
      </c>
      <c r="E635" s="17">
        <v>-1.0</v>
      </c>
      <c r="F635" s="17">
        <v>3000000.0</v>
      </c>
      <c r="G635" s="17">
        <v>-1.0</v>
      </c>
      <c r="H635" s="17">
        <v>-1.0</v>
      </c>
    </row>
    <row r="636">
      <c r="A636" s="17">
        <v>2000001.0</v>
      </c>
      <c r="B636" s="17">
        <v>0.0</v>
      </c>
      <c r="C636" s="17">
        <v>2000000.0</v>
      </c>
      <c r="D636" s="17">
        <v>2100000.0</v>
      </c>
      <c r="E636" s="17">
        <v>-1.0</v>
      </c>
      <c r="F636" s="17">
        <v>3000000.0</v>
      </c>
      <c r="G636" s="17">
        <v>-1.0</v>
      </c>
      <c r="H636" s="17">
        <v>-1.0</v>
      </c>
    </row>
    <row r="637">
      <c r="A637" s="17">
        <v>2000002.0</v>
      </c>
      <c r="B637" s="17">
        <v>0.0</v>
      </c>
      <c r="C637" s="17">
        <v>2000000.0</v>
      </c>
      <c r="D637" s="17">
        <v>2100000.0</v>
      </c>
      <c r="E637" s="17">
        <v>2100000.0</v>
      </c>
      <c r="F637" s="17">
        <v>3000000.0</v>
      </c>
      <c r="G637" s="17">
        <v>-1.0</v>
      </c>
      <c r="H637" s="17">
        <v>-1.0</v>
      </c>
    </row>
    <row r="638">
      <c r="A638" s="17">
        <v>2000010.0</v>
      </c>
      <c r="B638" s="17">
        <v>0.0</v>
      </c>
      <c r="C638" s="17">
        <v>2000000.0</v>
      </c>
      <c r="D638" s="17">
        <v>-1.0</v>
      </c>
      <c r="E638" s="17">
        <v>-1.0</v>
      </c>
      <c r="F638" s="17">
        <v>3000000.0</v>
      </c>
      <c r="G638" s="17">
        <v>-1.0</v>
      </c>
      <c r="H638" s="17">
        <v>-1.0</v>
      </c>
    </row>
    <row r="639">
      <c r="A639" s="17">
        <v>2000011.0</v>
      </c>
      <c r="B639" s="17">
        <v>0.0</v>
      </c>
      <c r="C639" s="17">
        <v>2000000.0</v>
      </c>
      <c r="D639" s="17">
        <v>2100000.0</v>
      </c>
      <c r="E639" s="17">
        <v>-1.0</v>
      </c>
      <c r="F639" s="17">
        <v>3000000.0</v>
      </c>
      <c r="G639" s="17">
        <v>-1.0</v>
      </c>
      <c r="H639" s="17">
        <v>-1.0</v>
      </c>
    </row>
    <row r="640">
      <c r="A640" s="17">
        <v>2000012.0</v>
      </c>
      <c r="B640" s="17">
        <v>0.0</v>
      </c>
      <c r="C640" s="17">
        <v>2000000.0</v>
      </c>
      <c r="D640" s="17">
        <v>2100000.0</v>
      </c>
      <c r="E640" s="17">
        <v>2100000.0</v>
      </c>
      <c r="F640" s="17">
        <v>3000000.0</v>
      </c>
      <c r="G640" s="17">
        <v>-1.0</v>
      </c>
      <c r="H640" s="17">
        <v>-1.0</v>
      </c>
    </row>
    <row r="641">
      <c r="A641" s="17">
        <v>2000020.0</v>
      </c>
      <c r="B641" s="17">
        <v>0.0</v>
      </c>
      <c r="C641" s="17">
        <v>2000000.0</v>
      </c>
      <c r="D641" s="17">
        <v>-1.0</v>
      </c>
      <c r="E641" s="17">
        <v>-1.0</v>
      </c>
      <c r="F641" s="17">
        <v>3000000.0</v>
      </c>
      <c r="G641" s="17">
        <v>-1.0</v>
      </c>
      <c r="H641" s="17">
        <v>-1.0</v>
      </c>
    </row>
    <row r="642">
      <c r="A642" s="17">
        <v>2000021.0</v>
      </c>
      <c r="B642" s="17">
        <v>0.0</v>
      </c>
      <c r="C642" s="17">
        <v>2000000.0</v>
      </c>
      <c r="D642" s="17">
        <v>2100000.0</v>
      </c>
      <c r="E642" s="17">
        <v>-1.0</v>
      </c>
      <c r="F642" s="17">
        <v>3000000.0</v>
      </c>
      <c r="G642" s="17">
        <v>-1.0</v>
      </c>
      <c r="H642" s="17">
        <v>-1.0</v>
      </c>
    </row>
    <row r="643">
      <c r="A643" s="17">
        <v>2000022.0</v>
      </c>
      <c r="B643" s="17">
        <v>0.0</v>
      </c>
      <c r="C643" s="17">
        <v>2000000.0</v>
      </c>
      <c r="D643" s="17">
        <v>2100000.0</v>
      </c>
      <c r="E643" s="17">
        <v>2100000.0</v>
      </c>
      <c r="F643" s="17">
        <v>3000000.0</v>
      </c>
      <c r="G643" s="17">
        <v>-1.0</v>
      </c>
      <c r="H643" s="17">
        <v>-1.0</v>
      </c>
    </row>
    <row r="644">
      <c r="A644" s="17">
        <v>2000100.0</v>
      </c>
      <c r="B644" s="17">
        <v>1.0</v>
      </c>
      <c r="C644" s="17">
        <v>2000000.0</v>
      </c>
      <c r="D644" s="17">
        <v>-1.0</v>
      </c>
      <c r="E644" s="17">
        <v>-1.0</v>
      </c>
      <c r="F644" s="17">
        <v>3000000.0</v>
      </c>
      <c r="G644" s="17">
        <v>-1.0</v>
      </c>
      <c r="H644" s="17">
        <v>-1.0</v>
      </c>
    </row>
    <row r="645">
      <c r="A645" s="17">
        <v>2000101.0</v>
      </c>
      <c r="B645" s="17">
        <v>1.0</v>
      </c>
      <c r="C645" s="17">
        <v>2000000.0</v>
      </c>
      <c r="D645" s="17">
        <v>2100000.0</v>
      </c>
      <c r="E645" s="17">
        <v>-1.0</v>
      </c>
      <c r="F645" s="17">
        <v>3000000.0</v>
      </c>
      <c r="G645" s="17">
        <v>-1.0</v>
      </c>
      <c r="H645" s="17">
        <v>-1.0</v>
      </c>
    </row>
    <row r="646">
      <c r="A646" s="17">
        <v>2000102.0</v>
      </c>
      <c r="B646" s="17">
        <v>1.0</v>
      </c>
      <c r="C646" s="17">
        <v>2000000.0</v>
      </c>
      <c r="D646" s="17">
        <v>2100000.0</v>
      </c>
      <c r="E646" s="17">
        <v>2100000.0</v>
      </c>
      <c r="F646" s="17">
        <v>3000000.0</v>
      </c>
      <c r="G646" s="17">
        <v>-1.0</v>
      </c>
      <c r="H646" s="17">
        <v>-1.0</v>
      </c>
    </row>
    <row r="647">
      <c r="A647" s="17">
        <v>2000110.0</v>
      </c>
      <c r="B647" s="17">
        <v>1.0</v>
      </c>
      <c r="C647" s="17">
        <v>2000000.0</v>
      </c>
      <c r="D647" s="17">
        <v>-1.0</v>
      </c>
      <c r="E647" s="17">
        <v>-1.0</v>
      </c>
      <c r="F647" s="17">
        <v>3000000.0</v>
      </c>
      <c r="G647" s="17">
        <v>-1.0</v>
      </c>
      <c r="H647" s="17">
        <v>-1.0</v>
      </c>
    </row>
    <row r="648">
      <c r="A648" s="17">
        <v>2000111.0</v>
      </c>
      <c r="B648" s="17">
        <v>1.0</v>
      </c>
      <c r="C648" s="17">
        <v>2000000.0</v>
      </c>
      <c r="D648" s="17">
        <v>2100000.0</v>
      </c>
      <c r="E648" s="17">
        <v>-1.0</v>
      </c>
      <c r="F648" s="17">
        <v>3000000.0</v>
      </c>
      <c r="G648" s="17">
        <v>-1.0</v>
      </c>
      <c r="H648" s="17">
        <v>-1.0</v>
      </c>
    </row>
    <row r="649">
      <c r="A649" s="17">
        <v>2000112.0</v>
      </c>
      <c r="B649" s="17">
        <v>1.0</v>
      </c>
      <c r="C649" s="17">
        <v>2000000.0</v>
      </c>
      <c r="D649" s="17">
        <v>2100000.0</v>
      </c>
      <c r="E649" s="17">
        <v>2100000.0</v>
      </c>
      <c r="F649" s="17">
        <v>3000000.0</v>
      </c>
      <c r="G649" s="17">
        <v>-1.0</v>
      </c>
      <c r="H649" s="17">
        <v>-1.0</v>
      </c>
    </row>
    <row r="650">
      <c r="A650" s="17">
        <v>2000120.0</v>
      </c>
      <c r="B650" s="17">
        <v>1.0</v>
      </c>
      <c r="C650" s="17">
        <v>2000000.0</v>
      </c>
      <c r="D650" s="17">
        <v>-1.0</v>
      </c>
      <c r="E650" s="17">
        <v>-1.0</v>
      </c>
      <c r="F650" s="17">
        <v>3000000.0</v>
      </c>
      <c r="G650" s="17">
        <v>-1.0</v>
      </c>
      <c r="H650" s="17">
        <v>-1.0</v>
      </c>
    </row>
    <row r="651">
      <c r="A651" s="17">
        <v>2000121.0</v>
      </c>
      <c r="B651" s="17">
        <v>1.0</v>
      </c>
      <c r="C651" s="17">
        <v>2000000.0</v>
      </c>
      <c r="D651" s="17">
        <v>2100000.0</v>
      </c>
      <c r="E651" s="17">
        <v>-1.0</v>
      </c>
      <c r="F651" s="17">
        <v>3000000.0</v>
      </c>
      <c r="G651" s="17">
        <v>-1.0</v>
      </c>
      <c r="H651" s="17">
        <v>-1.0</v>
      </c>
    </row>
    <row r="652">
      <c r="A652" s="17">
        <v>2000122.0</v>
      </c>
      <c r="B652" s="17">
        <v>1.0</v>
      </c>
      <c r="C652" s="17">
        <v>2000000.0</v>
      </c>
      <c r="D652" s="17">
        <v>2100000.0</v>
      </c>
      <c r="E652" s="17">
        <v>2100000.0</v>
      </c>
      <c r="F652" s="17">
        <v>3000000.0</v>
      </c>
      <c r="G652" s="17">
        <v>-1.0</v>
      </c>
      <c r="H652" s="17">
        <v>-1.0</v>
      </c>
    </row>
    <row r="653">
      <c r="A653" s="17">
        <v>2000200.0</v>
      </c>
      <c r="B653" s="17">
        <v>2.0</v>
      </c>
      <c r="C653" s="17">
        <v>2000000.0</v>
      </c>
      <c r="D653" s="17">
        <v>-1.0</v>
      </c>
      <c r="E653" s="17">
        <v>-1.0</v>
      </c>
      <c r="F653" s="17">
        <v>3000000.0</v>
      </c>
      <c r="G653" s="17">
        <v>-1.0</v>
      </c>
      <c r="H653" s="17">
        <v>-1.0</v>
      </c>
    </row>
    <row r="654">
      <c r="A654" s="17">
        <v>2000201.0</v>
      </c>
      <c r="B654" s="17">
        <v>2.0</v>
      </c>
      <c r="C654" s="17">
        <v>2000000.0</v>
      </c>
      <c r="D654" s="17">
        <v>2100000.0</v>
      </c>
      <c r="E654" s="17">
        <v>-1.0</v>
      </c>
      <c r="F654" s="17">
        <v>3000000.0</v>
      </c>
      <c r="G654" s="17">
        <v>-1.0</v>
      </c>
      <c r="H654" s="17">
        <v>-1.0</v>
      </c>
    </row>
    <row r="655">
      <c r="A655" s="17">
        <v>2000202.0</v>
      </c>
      <c r="B655" s="17">
        <v>2.0</v>
      </c>
      <c r="C655" s="17">
        <v>2000000.0</v>
      </c>
      <c r="D655" s="17">
        <v>2100000.0</v>
      </c>
      <c r="E655" s="17">
        <v>2100000.0</v>
      </c>
      <c r="F655" s="17">
        <v>3000000.0</v>
      </c>
      <c r="G655" s="17">
        <v>-1.0</v>
      </c>
      <c r="H655" s="17">
        <v>-1.0</v>
      </c>
    </row>
    <row r="656">
      <c r="A656" s="17">
        <v>2000210.0</v>
      </c>
      <c r="B656" s="17">
        <v>2.0</v>
      </c>
      <c r="C656" s="17">
        <v>2000000.0</v>
      </c>
      <c r="D656" s="17">
        <v>-1.0</v>
      </c>
      <c r="E656" s="17">
        <v>-1.0</v>
      </c>
      <c r="F656" s="17">
        <v>3000000.0</v>
      </c>
      <c r="G656" s="17">
        <v>-1.0</v>
      </c>
      <c r="H656" s="17">
        <v>-1.0</v>
      </c>
    </row>
    <row r="657">
      <c r="A657" s="17">
        <v>2000211.0</v>
      </c>
      <c r="B657" s="17">
        <v>2.0</v>
      </c>
      <c r="C657" s="17">
        <v>2000000.0</v>
      </c>
      <c r="D657" s="17">
        <v>2100000.0</v>
      </c>
      <c r="E657" s="17">
        <v>-1.0</v>
      </c>
      <c r="F657" s="17">
        <v>3000000.0</v>
      </c>
      <c r="G657" s="17">
        <v>-1.0</v>
      </c>
      <c r="H657" s="17">
        <v>-1.0</v>
      </c>
    </row>
    <row r="658">
      <c r="A658" s="17">
        <v>2000212.0</v>
      </c>
      <c r="B658" s="17">
        <v>2.0</v>
      </c>
      <c r="C658" s="17">
        <v>2000000.0</v>
      </c>
      <c r="D658" s="17">
        <v>2100000.0</v>
      </c>
      <c r="E658" s="17">
        <v>2100000.0</v>
      </c>
      <c r="F658" s="17">
        <v>3000000.0</v>
      </c>
      <c r="G658" s="17">
        <v>-1.0</v>
      </c>
      <c r="H658" s="17">
        <v>-1.0</v>
      </c>
    </row>
    <row r="659">
      <c r="A659" s="17">
        <v>2000220.0</v>
      </c>
      <c r="B659" s="17">
        <v>2.0</v>
      </c>
      <c r="C659" s="17">
        <v>2000000.0</v>
      </c>
      <c r="D659" s="17">
        <v>-1.0</v>
      </c>
      <c r="E659" s="17">
        <v>-1.0</v>
      </c>
      <c r="F659" s="17">
        <v>3000000.0</v>
      </c>
      <c r="G659" s="17">
        <v>-1.0</v>
      </c>
      <c r="H659" s="17">
        <v>-1.0</v>
      </c>
    </row>
    <row r="660">
      <c r="A660" s="17">
        <v>2000221.0</v>
      </c>
      <c r="B660" s="17">
        <v>2.0</v>
      </c>
      <c r="C660" s="17">
        <v>2000000.0</v>
      </c>
      <c r="D660" s="17">
        <v>2100000.0</v>
      </c>
      <c r="E660" s="17">
        <v>-1.0</v>
      </c>
      <c r="F660" s="17">
        <v>3000000.0</v>
      </c>
      <c r="G660" s="17">
        <v>-1.0</v>
      </c>
      <c r="H660" s="17">
        <v>-1.0</v>
      </c>
    </row>
    <row r="661">
      <c r="A661" s="17">
        <v>2000222.0</v>
      </c>
      <c r="B661" s="17">
        <v>2.0</v>
      </c>
      <c r="C661" s="17">
        <v>2000000.0</v>
      </c>
      <c r="D661" s="17">
        <v>2100000.0</v>
      </c>
      <c r="E661" s="17">
        <v>2100000.0</v>
      </c>
      <c r="F661" s="17">
        <v>3000000.0</v>
      </c>
      <c r="G661" s="17">
        <v>-1.0</v>
      </c>
      <c r="H661" s="17">
        <v>-1.0</v>
      </c>
    </row>
    <row r="662">
      <c r="A662" s="17">
        <v>2000300.0</v>
      </c>
      <c r="B662" s="17">
        <v>3.0</v>
      </c>
      <c r="C662" s="17">
        <v>2000000.0</v>
      </c>
      <c r="D662" s="17">
        <v>-1.0</v>
      </c>
      <c r="E662" s="17">
        <v>-1.0</v>
      </c>
      <c r="F662" s="17">
        <v>3000000.0</v>
      </c>
      <c r="G662" s="17">
        <v>-1.0</v>
      </c>
      <c r="H662" s="17">
        <v>-1.0</v>
      </c>
    </row>
    <row r="663">
      <c r="A663" s="17">
        <v>2000301.0</v>
      </c>
      <c r="B663" s="17">
        <v>3.0</v>
      </c>
      <c r="C663" s="17">
        <v>2000000.0</v>
      </c>
      <c r="D663" s="17">
        <v>2100000.0</v>
      </c>
      <c r="E663" s="17">
        <v>-1.0</v>
      </c>
      <c r="F663" s="17">
        <v>3000000.0</v>
      </c>
      <c r="G663" s="17">
        <v>-1.0</v>
      </c>
      <c r="H663" s="17">
        <v>-1.0</v>
      </c>
    </row>
    <row r="664">
      <c r="A664" s="17">
        <v>2000302.0</v>
      </c>
      <c r="B664" s="17">
        <v>3.0</v>
      </c>
      <c r="C664" s="17">
        <v>2000000.0</v>
      </c>
      <c r="D664" s="17">
        <v>2100000.0</v>
      </c>
      <c r="E664" s="17">
        <v>2100000.0</v>
      </c>
      <c r="F664" s="17">
        <v>3000000.0</v>
      </c>
      <c r="G664" s="17">
        <v>-1.0</v>
      </c>
      <c r="H664" s="17">
        <v>-1.0</v>
      </c>
    </row>
    <row r="665">
      <c r="A665" s="17">
        <v>2000310.0</v>
      </c>
      <c r="B665" s="17">
        <v>3.0</v>
      </c>
      <c r="C665" s="17">
        <v>2000000.0</v>
      </c>
      <c r="D665" s="17">
        <v>-1.0</v>
      </c>
      <c r="E665" s="17">
        <v>-1.0</v>
      </c>
      <c r="F665" s="17">
        <v>3000000.0</v>
      </c>
      <c r="G665" s="17">
        <v>-1.0</v>
      </c>
      <c r="H665" s="17">
        <v>-1.0</v>
      </c>
    </row>
    <row r="666">
      <c r="A666" s="17">
        <v>2000311.0</v>
      </c>
      <c r="B666" s="17">
        <v>3.0</v>
      </c>
      <c r="C666" s="17">
        <v>2000000.0</v>
      </c>
      <c r="D666" s="17">
        <v>2100000.0</v>
      </c>
      <c r="E666" s="17">
        <v>-1.0</v>
      </c>
      <c r="F666" s="17">
        <v>3000000.0</v>
      </c>
      <c r="G666" s="17">
        <v>-1.0</v>
      </c>
      <c r="H666" s="17">
        <v>-1.0</v>
      </c>
    </row>
    <row r="667">
      <c r="A667" s="17">
        <v>2000312.0</v>
      </c>
      <c r="B667" s="17">
        <v>3.0</v>
      </c>
      <c r="C667" s="17">
        <v>2000000.0</v>
      </c>
      <c r="D667" s="17">
        <v>2100000.0</v>
      </c>
      <c r="E667" s="17">
        <v>2100000.0</v>
      </c>
      <c r="F667" s="17">
        <v>3000000.0</v>
      </c>
      <c r="G667" s="17">
        <v>-1.0</v>
      </c>
      <c r="H667" s="17">
        <v>-1.0</v>
      </c>
    </row>
    <row r="668">
      <c r="A668" s="17">
        <v>2000320.0</v>
      </c>
      <c r="B668" s="17">
        <v>3.0</v>
      </c>
      <c r="C668" s="17">
        <v>2000000.0</v>
      </c>
      <c r="D668" s="17">
        <v>-1.0</v>
      </c>
      <c r="E668" s="17">
        <v>-1.0</v>
      </c>
      <c r="F668" s="17">
        <v>3000000.0</v>
      </c>
      <c r="G668" s="17">
        <v>-1.0</v>
      </c>
      <c r="H668" s="17">
        <v>-1.0</v>
      </c>
    </row>
    <row r="669">
      <c r="A669" s="17">
        <v>2000321.0</v>
      </c>
      <c r="B669" s="17">
        <v>3.0</v>
      </c>
      <c r="C669" s="17">
        <v>2000000.0</v>
      </c>
      <c r="D669" s="17">
        <v>2100000.0</v>
      </c>
      <c r="E669" s="17">
        <v>-1.0</v>
      </c>
      <c r="F669" s="17">
        <v>3000000.0</v>
      </c>
      <c r="G669" s="17">
        <v>-1.0</v>
      </c>
      <c r="H669" s="17">
        <v>-1.0</v>
      </c>
    </row>
    <row r="670">
      <c r="A670" s="17">
        <v>2000322.0</v>
      </c>
      <c r="B670" s="17">
        <v>3.0</v>
      </c>
      <c r="C670" s="17">
        <v>2000000.0</v>
      </c>
      <c r="D670" s="17">
        <v>2100000.0</v>
      </c>
      <c r="E670" s="17">
        <v>2100000.0</v>
      </c>
      <c r="F670" s="17">
        <v>3000000.0</v>
      </c>
      <c r="G670" s="17">
        <v>-1.0</v>
      </c>
      <c r="H670" s="17">
        <v>-1.0</v>
      </c>
    </row>
    <row r="671">
      <c r="A671" s="17">
        <v>2001001.0</v>
      </c>
      <c r="B671" s="17">
        <v>0.0</v>
      </c>
      <c r="C671" s="17">
        <v>2000000.0</v>
      </c>
      <c r="D671" s="17">
        <v>2000000.0</v>
      </c>
      <c r="E671" s="17">
        <v>-1.0</v>
      </c>
      <c r="F671" s="17">
        <v>3000000.0</v>
      </c>
      <c r="G671" s="17">
        <v>3000000.0</v>
      </c>
      <c r="H671" s="17">
        <v>-1.0</v>
      </c>
    </row>
    <row r="672">
      <c r="A672" s="17">
        <v>2001002.0</v>
      </c>
      <c r="B672" s="17">
        <v>0.0</v>
      </c>
      <c r="C672" s="17">
        <v>2000000.0</v>
      </c>
      <c r="D672" s="17">
        <v>2000000.0</v>
      </c>
      <c r="E672" s="17">
        <v>2100000.0</v>
      </c>
      <c r="F672" s="17">
        <v>3000000.0</v>
      </c>
      <c r="G672" s="17">
        <v>3000000.0</v>
      </c>
      <c r="H672" s="17">
        <v>-1.0</v>
      </c>
    </row>
    <row r="673">
      <c r="A673" s="17">
        <v>2001011.0</v>
      </c>
      <c r="B673" s="17">
        <v>0.0</v>
      </c>
      <c r="C673" s="17">
        <v>2000000.0</v>
      </c>
      <c r="D673" s="17">
        <v>2000000.0</v>
      </c>
      <c r="E673" s="17">
        <v>-1.0</v>
      </c>
      <c r="F673" s="17">
        <v>3000000.0</v>
      </c>
      <c r="G673" s="17">
        <v>3000000.0</v>
      </c>
      <c r="H673" s="17">
        <v>-1.0</v>
      </c>
    </row>
    <row r="674">
      <c r="A674" s="17">
        <v>2001012.0</v>
      </c>
      <c r="B674" s="17">
        <v>0.0</v>
      </c>
      <c r="C674" s="17">
        <v>2000000.0</v>
      </c>
      <c r="D674" s="17">
        <v>2000000.0</v>
      </c>
      <c r="E674" s="17">
        <v>2100000.0</v>
      </c>
      <c r="F674" s="17">
        <v>3000000.0</v>
      </c>
      <c r="G674" s="17">
        <v>3000000.0</v>
      </c>
      <c r="H674" s="17">
        <v>-1.0</v>
      </c>
    </row>
    <row r="675">
      <c r="A675" s="17">
        <v>2001021.0</v>
      </c>
      <c r="B675" s="17">
        <v>0.0</v>
      </c>
      <c r="C675" s="17">
        <v>2000000.0</v>
      </c>
      <c r="D675" s="17">
        <v>2000000.0</v>
      </c>
      <c r="E675" s="17">
        <v>-1.0</v>
      </c>
      <c r="F675" s="17">
        <v>3000000.0</v>
      </c>
      <c r="G675" s="17">
        <v>3000000.0</v>
      </c>
      <c r="H675" s="17">
        <v>-1.0</v>
      </c>
    </row>
    <row r="676">
      <c r="A676" s="17">
        <v>2001022.0</v>
      </c>
      <c r="B676" s="17">
        <v>0.0</v>
      </c>
      <c r="C676" s="17">
        <v>2000000.0</v>
      </c>
      <c r="D676" s="17">
        <v>2000000.0</v>
      </c>
      <c r="E676" s="17">
        <v>2100000.0</v>
      </c>
      <c r="F676" s="17">
        <v>3000000.0</v>
      </c>
      <c r="G676" s="17">
        <v>3000000.0</v>
      </c>
      <c r="H676" s="17">
        <v>-1.0</v>
      </c>
    </row>
    <row r="677">
      <c r="A677" s="17">
        <v>2001101.0</v>
      </c>
      <c r="B677" s="17">
        <v>1.0</v>
      </c>
      <c r="C677" s="17">
        <v>2000000.0</v>
      </c>
      <c r="D677" s="17">
        <v>2000000.0</v>
      </c>
      <c r="E677" s="17">
        <v>-1.0</v>
      </c>
      <c r="F677" s="17">
        <v>3000000.0</v>
      </c>
      <c r="G677" s="17">
        <v>3000000.0</v>
      </c>
      <c r="H677" s="17">
        <v>-1.0</v>
      </c>
    </row>
    <row r="678">
      <c r="A678" s="17">
        <v>2001102.0</v>
      </c>
      <c r="B678" s="17">
        <v>1.0</v>
      </c>
      <c r="C678" s="17">
        <v>2000000.0</v>
      </c>
      <c r="D678" s="17">
        <v>2000000.0</v>
      </c>
      <c r="E678" s="17">
        <v>2100000.0</v>
      </c>
      <c r="F678" s="17">
        <v>3000000.0</v>
      </c>
      <c r="G678" s="17">
        <v>3000000.0</v>
      </c>
      <c r="H678" s="17">
        <v>-1.0</v>
      </c>
    </row>
    <row r="679">
      <c r="A679" s="17">
        <v>2001111.0</v>
      </c>
      <c r="B679" s="17">
        <v>1.0</v>
      </c>
      <c r="C679" s="17">
        <v>2000000.0</v>
      </c>
      <c r="D679" s="17">
        <v>2000000.0</v>
      </c>
      <c r="E679" s="17">
        <v>-1.0</v>
      </c>
      <c r="F679" s="17">
        <v>3000000.0</v>
      </c>
      <c r="G679" s="17">
        <v>3000000.0</v>
      </c>
      <c r="H679" s="17">
        <v>-1.0</v>
      </c>
    </row>
    <row r="680">
      <c r="A680" s="17">
        <v>2001112.0</v>
      </c>
      <c r="B680" s="17">
        <v>1.0</v>
      </c>
      <c r="C680" s="17">
        <v>2000000.0</v>
      </c>
      <c r="D680" s="17">
        <v>2000000.0</v>
      </c>
      <c r="E680" s="17">
        <v>2100000.0</v>
      </c>
      <c r="F680" s="17">
        <v>3000000.0</v>
      </c>
      <c r="G680" s="17">
        <v>3000000.0</v>
      </c>
      <c r="H680" s="17">
        <v>-1.0</v>
      </c>
    </row>
    <row r="681">
      <c r="A681" s="17">
        <v>2001121.0</v>
      </c>
      <c r="B681" s="17">
        <v>1.0</v>
      </c>
      <c r="C681" s="17">
        <v>2000000.0</v>
      </c>
      <c r="D681" s="17">
        <v>2000000.0</v>
      </c>
      <c r="E681" s="17">
        <v>-1.0</v>
      </c>
      <c r="F681" s="17">
        <v>3000000.0</v>
      </c>
      <c r="G681" s="17">
        <v>3000000.0</v>
      </c>
      <c r="H681" s="17">
        <v>-1.0</v>
      </c>
    </row>
    <row r="682">
      <c r="A682" s="17">
        <v>2001122.0</v>
      </c>
      <c r="B682" s="17">
        <v>1.0</v>
      </c>
      <c r="C682" s="17">
        <v>2000000.0</v>
      </c>
      <c r="D682" s="17">
        <v>2000000.0</v>
      </c>
      <c r="E682" s="17">
        <v>2100000.0</v>
      </c>
      <c r="F682" s="17">
        <v>3000000.0</v>
      </c>
      <c r="G682" s="17">
        <v>3000000.0</v>
      </c>
      <c r="H682" s="17">
        <v>-1.0</v>
      </c>
    </row>
    <row r="683">
      <c r="A683" s="17">
        <v>2001201.0</v>
      </c>
      <c r="B683" s="17">
        <v>2.0</v>
      </c>
      <c r="C683" s="17">
        <v>2000000.0</v>
      </c>
      <c r="D683" s="17">
        <v>2000000.0</v>
      </c>
      <c r="E683" s="17">
        <v>-1.0</v>
      </c>
      <c r="F683" s="17">
        <v>3000000.0</v>
      </c>
      <c r="G683" s="17">
        <v>3000000.0</v>
      </c>
      <c r="H683" s="17">
        <v>-1.0</v>
      </c>
    </row>
    <row r="684">
      <c r="A684" s="17">
        <v>2001202.0</v>
      </c>
      <c r="B684" s="17">
        <v>2.0</v>
      </c>
      <c r="C684" s="17">
        <v>2000000.0</v>
      </c>
      <c r="D684" s="17">
        <v>2000000.0</v>
      </c>
      <c r="E684" s="17">
        <v>2100000.0</v>
      </c>
      <c r="F684" s="17">
        <v>3000000.0</v>
      </c>
      <c r="G684" s="17">
        <v>3000000.0</v>
      </c>
      <c r="H684" s="17">
        <v>-1.0</v>
      </c>
    </row>
    <row r="685">
      <c r="A685" s="17">
        <v>2001211.0</v>
      </c>
      <c r="B685" s="17">
        <v>2.0</v>
      </c>
      <c r="C685" s="17">
        <v>2000000.0</v>
      </c>
      <c r="D685" s="17">
        <v>2000000.0</v>
      </c>
      <c r="E685" s="17">
        <v>-1.0</v>
      </c>
      <c r="F685" s="17">
        <v>3000000.0</v>
      </c>
      <c r="G685" s="17">
        <v>3000000.0</v>
      </c>
      <c r="H685" s="17">
        <v>-1.0</v>
      </c>
    </row>
    <row r="686">
      <c r="A686" s="17">
        <v>2001212.0</v>
      </c>
      <c r="B686" s="17">
        <v>2.0</v>
      </c>
      <c r="C686" s="17">
        <v>2000000.0</v>
      </c>
      <c r="D686" s="17">
        <v>2000000.0</v>
      </c>
      <c r="E686" s="17">
        <v>2100000.0</v>
      </c>
      <c r="F686" s="17">
        <v>3000000.0</v>
      </c>
      <c r="G686" s="17">
        <v>3000000.0</v>
      </c>
      <c r="H686" s="17">
        <v>-1.0</v>
      </c>
    </row>
    <row r="687">
      <c r="A687" s="17">
        <v>2001221.0</v>
      </c>
      <c r="B687" s="17">
        <v>2.0</v>
      </c>
      <c r="C687" s="17">
        <v>2000000.0</v>
      </c>
      <c r="D687" s="17">
        <v>2000000.0</v>
      </c>
      <c r="E687" s="17">
        <v>-1.0</v>
      </c>
      <c r="F687" s="17">
        <v>3000000.0</v>
      </c>
      <c r="G687" s="17">
        <v>3000000.0</v>
      </c>
      <c r="H687" s="17">
        <v>-1.0</v>
      </c>
    </row>
    <row r="688">
      <c r="A688" s="17">
        <v>2001222.0</v>
      </c>
      <c r="B688" s="17">
        <v>2.0</v>
      </c>
      <c r="C688" s="17">
        <v>2000000.0</v>
      </c>
      <c r="D688" s="17">
        <v>2000000.0</v>
      </c>
      <c r="E688" s="17">
        <v>2100000.0</v>
      </c>
      <c r="F688" s="17">
        <v>3000000.0</v>
      </c>
      <c r="G688" s="17">
        <v>3000000.0</v>
      </c>
      <c r="H688" s="17">
        <v>-1.0</v>
      </c>
    </row>
    <row r="689">
      <c r="A689" s="17">
        <v>2001301.0</v>
      </c>
      <c r="B689" s="17">
        <v>3.0</v>
      </c>
      <c r="C689" s="17">
        <v>2000000.0</v>
      </c>
      <c r="D689" s="17">
        <v>2000000.0</v>
      </c>
      <c r="E689" s="17">
        <v>-1.0</v>
      </c>
      <c r="F689" s="17">
        <v>3000000.0</v>
      </c>
      <c r="G689" s="17">
        <v>3000000.0</v>
      </c>
      <c r="H689" s="17">
        <v>-1.0</v>
      </c>
    </row>
    <row r="690">
      <c r="A690" s="17">
        <v>2001302.0</v>
      </c>
      <c r="B690" s="17">
        <v>3.0</v>
      </c>
      <c r="C690" s="17">
        <v>2000000.0</v>
      </c>
      <c r="D690" s="17">
        <v>2000000.0</v>
      </c>
      <c r="E690" s="17">
        <v>2100000.0</v>
      </c>
      <c r="F690" s="17">
        <v>3000000.0</v>
      </c>
      <c r="G690" s="17">
        <v>3000000.0</v>
      </c>
      <c r="H690" s="17">
        <v>-1.0</v>
      </c>
    </row>
    <row r="691">
      <c r="A691" s="17">
        <v>2001311.0</v>
      </c>
      <c r="B691" s="17">
        <v>3.0</v>
      </c>
      <c r="C691" s="17">
        <v>2000000.0</v>
      </c>
      <c r="D691" s="17">
        <v>2000000.0</v>
      </c>
      <c r="E691" s="17">
        <v>-1.0</v>
      </c>
      <c r="F691" s="17">
        <v>3000000.0</v>
      </c>
      <c r="G691" s="17">
        <v>3000000.0</v>
      </c>
      <c r="H691" s="17">
        <v>-1.0</v>
      </c>
    </row>
    <row r="692">
      <c r="A692" s="17">
        <v>2001312.0</v>
      </c>
      <c r="B692" s="17">
        <v>3.0</v>
      </c>
      <c r="C692" s="17">
        <v>2000000.0</v>
      </c>
      <c r="D692" s="17">
        <v>2000000.0</v>
      </c>
      <c r="E692" s="17">
        <v>2100000.0</v>
      </c>
      <c r="F692" s="17">
        <v>3000000.0</v>
      </c>
      <c r="G692" s="17">
        <v>3000000.0</v>
      </c>
      <c r="H692" s="17">
        <v>-1.0</v>
      </c>
    </row>
    <row r="693">
      <c r="A693" s="17">
        <v>2001321.0</v>
      </c>
      <c r="B693" s="17">
        <v>3.0</v>
      </c>
      <c r="C693" s="17">
        <v>2000000.0</v>
      </c>
      <c r="D693" s="17">
        <v>2000000.0</v>
      </c>
      <c r="E693" s="17">
        <v>-1.0</v>
      </c>
      <c r="F693" s="17">
        <v>3000000.0</v>
      </c>
      <c r="G693" s="17">
        <v>3000000.0</v>
      </c>
      <c r="H693" s="17">
        <v>-1.0</v>
      </c>
    </row>
    <row r="694">
      <c r="A694" s="17">
        <v>2001322.0</v>
      </c>
      <c r="B694" s="17">
        <v>3.0</v>
      </c>
      <c r="C694" s="17">
        <v>2000000.0</v>
      </c>
      <c r="D694" s="17">
        <v>2000000.0</v>
      </c>
      <c r="E694" s="17">
        <v>2100000.0</v>
      </c>
      <c r="F694" s="17">
        <v>3000000.0</v>
      </c>
      <c r="G694" s="17">
        <v>3000000.0</v>
      </c>
      <c r="H694" s="17">
        <v>-1.0</v>
      </c>
    </row>
    <row r="695">
      <c r="A695" s="17">
        <v>2002002.0</v>
      </c>
      <c r="B695" s="17">
        <v>0.0</v>
      </c>
      <c r="C695" s="17">
        <v>2000000.0</v>
      </c>
      <c r="D695" s="17">
        <v>2000000.0</v>
      </c>
      <c r="E695" s="17">
        <v>2000000.0</v>
      </c>
      <c r="F695" s="17">
        <v>3000000.0</v>
      </c>
      <c r="G695" s="17">
        <v>3000000.0</v>
      </c>
      <c r="H695" s="17">
        <v>3000000.0</v>
      </c>
    </row>
    <row r="696">
      <c r="A696" s="17">
        <v>2002012.0</v>
      </c>
      <c r="B696" s="17">
        <v>0.0</v>
      </c>
      <c r="C696" s="17">
        <v>2000000.0</v>
      </c>
      <c r="D696" s="17">
        <v>2000000.0</v>
      </c>
      <c r="E696" s="17">
        <v>2000000.0</v>
      </c>
      <c r="F696" s="17">
        <v>3000000.0</v>
      </c>
      <c r="G696" s="17">
        <v>3000000.0</v>
      </c>
      <c r="H696" s="17">
        <v>3000000.0</v>
      </c>
    </row>
    <row r="697">
      <c r="A697" s="17">
        <v>2002022.0</v>
      </c>
      <c r="B697" s="17">
        <v>0.0</v>
      </c>
      <c r="C697" s="17">
        <v>2000000.0</v>
      </c>
      <c r="D697" s="17">
        <v>2000000.0</v>
      </c>
      <c r="E697" s="17">
        <v>2000000.0</v>
      </c>
      <c r="F697" s="17">
        <v>3000000.0</v>
      </c>
      <c r="G697" s="17">
        <v>3000000.0</v>
      </c>
      <c r="H697" s="17">
        <v>3000000.0</v>
      </c>
    </row>
    <row r="698">
      <c r="A698" s="17">
        <v>2002102.0</v>
      </c>
      <c r="B698" s="17">
        <v>1.0</v>
      </c>
      <c r="C698" s="17">
        <v>2000000.0</v>
      </c>
      <c r="D698" s="17">
        <v>2000000.0</v>
      </c>
      <c r="E698" s="17">
        <v>2000000.0</v>
      </c>
      <c r="F698" s="17">
        <v>3000000.0</v>
      </c>
      <c r="G698" s="17">
        <v>3000000.0</v>
      </c>
      <c r="H698" s="17">
        <v>3000000.0</v>
      </c>
    </row>
    <row r="699">
      <c r="A699" s="17">
        <v>2002112.0</v>
      </c>
      <c r="B699" s="17">
        <v>1.0</v>
      </c>
      <c r="C699" s="17">
        <v>2000000.0</v>
      </c>
      <c r="D699" s="17">
        <v>2000000.0</v>
      </c>
      <c r="E699" s="17">
        <v>2000000.0</v>
      </c>
      <c r="F699" s="17">
        <v>3000000.0</v>
      </c>
      <c r="G699" s="17">
        <v>3000000.0</v>
      </c>
      <c r="H699" s="17">
        <v>3000000.0</v>
      </c>
    </row>
    <row r="700">
      <c r="A700" s="17">
        <v>2002122.0</v>
      </c>
      <c r="B700" s="17">
        <v>1.0</v>
      </c>
      <c r="C700" s="17">
        <v>2000000.0</v>
      </c>
      <c r="D700" s="17">
        <v>2000000.0</v>
      </c>
      <c r="E700" s="17">
        <v>2000000.0</v>
      </c>
      <c r="F700" s="17">
        <v>3000000.0</v>
      </c>
      <c r="G700" s="17">
        <v>3000000.0</v>
      </c>
      <c r="H700" s="17">
        <v>3000000.0</v>
      </c>
    </row>
    <row r="701">
      <c r="A701" s="17">
        <v>2002202.0</v>
      </c>
      <c r="B701" s="17">
        <v>2.0</v>
      </c>
      <c r="C701" s="17">
        <v>2000000.0</v>
      </c>
      <c r="D701" s="17">
        <v>2000000.0</v>
      </c>
      <c r="E701" s="17">
        <v>2000000.0</v>
      </c>
      <c r="F701" s="17">
        <v>3000000.0</v>
      </c>
      <c r="G701" s="17">
        <v>3000000.0</v>
      </c>
      <c r="H701" s="17">
        <v>3000000.0</v>
      </c>
    </row>
    <row r="702">
      <c r="A702" s="17">
        <v>2002212.0</v>
      </c>
      <c r="B702" s="17">
        <v>2.0</v>
      </c>
      <c r="C702" s="17">
        <v>2000000.0</v>
      </c>
      <c r="D702" s="17">
        <v>2000000.0</v>
      </c>
      <c r="E702" s="17">
        <v>2000000.0</v>
      </c>
      <c r="F702" s="17">
        <v>3000000.0</v>
      </c>
      <c r="G702" s="17">
        <v>3000000.0</v>
      </c>
      <c r="H702" s="17">
        <v>3000000.0</v>
      </c>
    </row>
    <row r="703">
      <c r="A703" s="17">
        <v>2002222.0</v>
      </c>
      <c r="B703" s="17">
        <v>2.0</v>
      </c>
      <c r="C703" s="17">
        <v>2000000.0</v>
      </c>
      <c r="D703" s="17">
        <v>2000000.0</v>
      </c>
      <c r="E703" s="17">
        <v>2000000.0</v>
      </c>
      <c r="F703" s="17">
        <v>3000000.0</v>
      </c>
      <c r="G703" s="17">
        <v>3000000.0</v>
      </c>
      <c r="H703" s="17">
        <v>3000000.0</v>
      </c>
    </row>
    <row r="704">
      <c r="A704" s="17">
        <v>2002302.0</v>
      </c>
      <c r="B704" s="17">
        <v>3.0</v>
      </c>
      <c r="C704" s="17">
        <v>2000000.0</v>
      </c>
      <c r="D704" s="17">
        <v>2000000.0</v>
      </c>
      <c r="E704" s="17">
        <v>2000000.0</v>
      </c>
      <c r="F704" s="17">
        <v>3000000.0</v>
      </c>
      <c r="G704" s="17">
        <v>3000000.0</v>
      </c>
      <c r="H704" s="17">
        <v>3000000.0</v>
      </c>
    </row>
    <row r="705">
      <c r="A705" s="17">
        <v>2002312.0</v>
      </c>
      <c r="B705" s="17">
        <v>3.0</v>
      </c>
      <c r="C705" s="17">
        <v>2000000.0</v>
      </c>
      <c r="D705" s="17">
        <v>2000000.0</v>
      </c>
      <c r="E705" s="17">
        <v>2000000.0</v>
      </c>
      <c r="F705" s="17">
        <v>3000000.0</v>
      </c>
      <c r="G705" s="17">
        <v>3000000.0</v>
      </c>
      <c r="H705" s="17">
        <v>3000000.0</v>
      </c>
    </row>
    <row r="706">
      <c r="A706" s="17">
        <v>2002322.0</v>
      </c>
      <c r="B706" s="17">
        <v>3.0</v>
      </c>
      <c r="C706" s="17">
        <v>2000000.0</v>
      </c>
      <c r="D706" s="17">
        <v>2000000.0</v>
      </c>
      <c r="E706" s="17">
        <v>2000000.0</v>
      </c>
      <c r="F706" s="17">
        <v>3000000.0</v>
      </c>
      <c r="G706" s="17">
        <v>3000000.0</v>
      </c>
      <c r="H706" s="17">
        <v>3000000.0</v>
      </c>
    </row>
    <row r="707">
      <c r="A707" s="17">
        <v>2003000.0</v>
      </c>
      <c r="B707" s="17">
        <v>0.0</v>
      </c>
      <c r="C707" s="17">
        <v>2100000.0</v>
      </c>
      <c r="D707" s="17">
        <v>-1.0</v>
      </c>
      <c r="E707" s="17">
        <v>-1.0</v>
      </c>
      <c r="F707" s="17">
        <v>-1.0</v>
      </c>
      <c r="G707" s="17">
        <v>-1.0</v>
      </c>
      <c r="H707" s="17">
        <v>-1.0</v>
      </c>
    </row>
    <row r="708">
      <c r="A708" s="17">
        <v>2003001.0</v>
      </c>
      <c r="B708" s="17">
        <v>0.0</v>
      </c>
      <c r="C708" s="17">
        <v>2100000.0</v>
      </c>
      <c r="D708" s="17">
        <v>2100000.0</v>
      </c>
      <c r="E708" s="17">
        <v>-1.0</v>
      </c>
      <c r="F708" s="17">
        <v>-1.0</v>
      </c>
      <c r="G708" s="17">
        <v>-1.0</v>
      </c>
      <c r="H708" s="17">
        <v>-1.0</v>
      </c>
    </row>
    <row r="709">
      <c r="A709" s="17">
        <v>2003002.0</v>
      </c>
      <c r="B709" s="17">
        <v>0.0</v>
      </c>
      <c r="C709" s="17">
        <v>2100000.0</v>
      </c>
      <c r="D709" s="17">
        <v>2100000.0</v>
      </c>
      <c r="E709" s="17">
        <v>2100000.0</v>
      </c>
      <c r="F709" s="17">
        <v>-1.0</v>
      </c>
      <c r="G709" s="17">
        <v>-1.0</v>
      </c>
      <c r="H709" s="17">
        <v>-1.0</v>
      </c>
    </row>
    <row r="710">
      <c r="A710" s="17">
        <v>2003010.0</v>
      </c>
      <c r="B710" s="17">
        <v>0.0</v>
      </c>
      <c r="C710" s="17">
        <v>2100000.0</v>
      </c>
      <c r="D710" s="17">
        <v>-1.0</v>
      </c>
      <c r="E710" s="17">
        <v>-1.0</v>
      </c>
      <c r="F710" s="17">
        <v>-1.0</v>
      </c>
      <c r="G710" s="17">
        <v>-1.0</v>
      </c>
      <c r="H710" s="17">
        <v>-1.0</v>
      </c>
    </row>
    <row r="711">
      <c r="A711" s="17">
        <v>2003011.0</v>
      </c>
      <c r="B711" s="17">
        <v>0.0</v>
      </c>
      <c r="C711" s="17">
        <v>2100000.0</v>
      </c>
      <c r="D711" s="17">
        <v>2100000.0</v>
      </c>
      <c r="E711" s="17">
        <v>-1.0</v>
      </c>
      <c r="F711" s="17">
        <v>-1.0</v>
      </c>
      <c r="G711" s="17">
        <v>-1.0</v>
      </c>
      <c r="H711" s="17">
        <v>-1.0</v>
      </c>
    </row>
    <row r="712">
      <c r="A712" s="17">
        <v>2003012.0</v>
      </c>
      <c r="B712" s="17">
        <v>0.0</v>
      </c>
      <c r="C712" s="17">
        <v>2100000.0</v>
      </c>
      <c r="D712" s="17">
        <v>2100000.0</v>
      </c>
      <c r="E712" s="17">
        <v>2100000.0</v>
      </c>
      <c r="F712" s="17">
        <v>-1.0</v>
      </c>
      <c r="G712" s="17">
        <v>-1.0</v>
      </c>
      <c r="H712" s="17">
        <v>-1.0</v>
      </c>
    </row>
    <row r="713">
      <c r="A713" s="17">
        <v>2003020.0</v>
      </c>
      <c r="B713" s="17">
        <v>0.0</v>
      </c>
      <c r="C713" s="17">
        <v>2100000.0</v>
      </c>
      <c r="D713" s="17">
        <v>-1.0</v>
      </c>
      <c r="E713" s="17">
        <v>-1.0</v>
      </c>
      <c r="F713" s="17">
        <v>-1.0</v>
      </c>
      <c r="G713" s="17">
        <v>-1.0</v>
      </c>
      <c r="H713" s="17">
        <v>-1.0</v>
      </c>
    </row>
    <row r="714">
      <c r="A714" s="17">
        <v>2003021.0</v>
      </c>
      <c r="B714" s="17">
        <v>0.0</v>
      </c>
      <c r="C714" s="17">
        <v>2100000.0</v>
      </c>
      <c r="D714" s="17">
        <v>2100000.0</v>
      </c>
      <c r="E714" s="17">
        <v>-1.0</v>
      </c>
      <c r="F714" s="17">
        <v>-1.0</v>
      </c>
      <c r="G714" s="17">
        <v>-1.0</v>
      </c>
      <c r="H714" s="17">
        <v>-1.0</v>
      </c>
    </row>
    <row r="715">
      <c r="A715" s="17">
        <v>2003022.0</v>
      </c>
      <c r="B715" s="17">
        <v>0.0</v>
      </c>
      <c r="C715" s="17">
        <v>2100000.0</v>
      </c>
      <c r="D715" s="17">
        <v>2100000.0</v>
      </c>
      <c r="E715" s="17">
        <v>2100000.0</v>
      </c>
      <c r="F715" s="17">
        <v>-1.0</v>
      </c>
      <c r="G715" s="17">
        <v>-1.0</v>
      </c>
      <c r="H715" s="17">
        <v>-1.0</v>
      </c>
    </row>
    <row r="716">
      <c r="A716" s="17">
        <v>2003100.0</v>
      </c>
      <c r="B716" s="17">
        <v>1.0</v>
      </c>
      <c r="C716" s="17">
        <v>2100000.0</v>
      </c>
      <c r="D716" s="17">
        <v>-1.0</v>
      </c>
      <c r="E716" s="17">
        <v>-1.0</v>
      </c>
      <c r="F716" s="17">
        <v>-1.0</v>
      </c>
      <c r="G716" s="17">
        <v>-1.0</v>
      </c>
      <c r="H716" s="17">
        <v>-1.0</v>
      </c>
    </row>
    <row r="717">
      <c r="A717" s="17">
        <v>2003101.0</v>
      </c>
      <c r="B717" s="17">
        <v>1.0</v>
      </c>
      <c r="C717" s="17">
        <v>2100000.0</v>
      </c>
      <c r="D717" s="17">
        <v>2100000.0</v>
      </c>
      <c r="E717" s="17">
        <v>-1.0</v>
      </c>
      <c r="F717" s="17">
        <v>-1.0</v>
      </c>
      <c r="G717" s="17">
        <v>-1.0</v>
      </c>
      <c r="H717" s="17">
        <v>-1.0</v>
      </c>
    </row>
    <row r="718">
      <c r="A718" s="17">
        <v>2003102.0</v>
      </c>
      <c r="B718" s="17">
        <v>1.0</v>
      </c>
      <c r="C718" s="17">
        <v>2100000.0</v>
      </c>
      <c r="D718" s="17">
        <v>2100000.0</v>
      </c>
      <c r="E718" s="17">
        <v>2100000.0</v>
      </c>
      <c r="F718" s="17">
        <v>-1.0</v>
      </c>
      <c r="G718" s="17">
        <v>-1.0</v>
      </c>
      <c r="H718" s="17">
        <v>-1.0</v>
      </c>
    </row>
    <row r="719">
      <c r="A719" s="17">
        <v>2003110.0</v>
      </c>
      <c r="B719" s="17">
        <v>1.0</v>
      </c>
      <c r="C719" s="17">
        <v>2100000.0</v>
      </c>
      <c r="D719" s="17">
        <v>-1.0</v>
      </c>
      <c r="E719" s="17">
        <v>-1.0</v>
      </c>
      <c r="F719" s="17">
        <v>-1.0</v>
      </c>
      <c r="G719" s="17">
        <v>-1.0</v>
      </c>
      <c r="H719" s="17">
        <v>-1.0</v>
      </c>
    </row>
    <row r="720">
      <c r="A720" s="17">
        <v>2003111.0</v>
      </c>
      <c r="B720" s="17">
        <v>1.0</v>
      </c>
      <c r="C720" s="17">
        <v>2100000.0</v>
      </c>
      <c r="D720" s="17">
        <v>2100000.0</v>
      </c>
      <c r="E720" s="17">
        <v>-1.0</v>
      </c>
      <c r="F720" s="17">
        <v>-1.0</v>
      </c>
      <c r="G720" s="17">
        <v>-1.0</v>
      </c>
      <c r="H720" s="17">
        <v>-1.0</v>
      </c>
    </row>
    <row r="721">
      <c r="A721" s="17">
        <v>2003112.0</v>
      </c>
      <c r="B721" s="17">
        <v>1.0</v>
      </c>
      <c r="C721" s="17">
        <v>2100000.0</v>
      </c>
      <c r="D721" s="17">
        <v>2100000.0</v>
      </c>
      <c r="E721" s="17">
        <v>2100000.0</v>
      </c>
      <c r="F721" s="17">
        <v>-1.0</v>
      </c>
      <c r="G721" s="17">
        <v>-1.0</v>
      </c>
      <c r="H721" s="17">
        <v>-1.0</v>
      </c>
    </row>
    <row r="722">
      <c r="A722" s="17">
        <v>2003120.0</v>
      </c>
      <c r="B722" s="17">
        <v>1.0</v>
      </c>
      <c r="C722" s="17">
        <v>2100000.0</v>
      </c>
      <c r="D722" s="17">
        <v>-1.0</v>
      </c>
      <c r="E722" s="17">
        <v>-1.0</v>
      </c>
      <c r="F722" s="17">
        <v>-1.0</v>
      </c>
      <c r="G722" s="17">
        <v>-1.0</v>
      </c>
      <c r="H722" s="17">
        <v>-1.0</v>
      </c>
    </row>
    <row r="723">
      <c r="A723" s="17">
        <v>2003121.0</v>
      </c>
      <c r="B723" s="17">
        <v>1.0</v>
      </c>
      <c r="C723" s="17">
        <v>2100000.0</v>
      </c>
      <c r="D723" s="17">
        <v>2100000.0</v>
      </c>
      <c r="E723" s="17">
        <v>-1.0</v>
      </c>
      <c r="F723" s="17">
        <v>-1.0</v>
      </c>
      <c r="G723" s="17">
        <v>-1.0</v>
      </c>
      <c r="H723" s="17">
        <v>-1.0</v>
      </c>
    </row>
    <row r="724">
      <c r="A724" s="17">
        <v>2003122.0</v>
      </c>
      <c r="B724" s="17">
        <v>1.0</v>
      </c>
      <c r="C724" s="17">
        <v>2100000.0</v>
      </c>
      <c r="D724" s="17">
        <v>2100000.0</v>
      </c>
      <c r="E724" s="17">
        <v>2100000.0</v>
      </c>
      <c r="F724" s="17">
        <v>-1.0</v>
      </c>
      <c r="G724" s="17">
        <v>-1.0</v>
      </c>
      <c r="H724" s="17">
        <v>-1.0</v>
      </c>
    </row>
    <row r="725">
      <c r="A725" s="17">
        <v>2003200.0</v>
      </c>
      <c r="B725" s="17">
        <v>2.0</v>
      </c>
      <c r="C725" s="17">
        <v>2100000.0</v>
      </c>
      <c r="D725" s="17">
        <v>-1.0</v>
      </c>
      <c r="E725" s="17">
        <v>-1.0</v>
      </c>
      <c r="F725" s="17">
        <v>-1.0</v>
      </c>
      <c r="G725" s="17">
        <v>-1.0</v>
      </c>
      <c r="H725" s="17">
        <v>-1.0</v>
      </c>
    </row>
    <row r="726">
      <c r="A726" s="17">
        <v>2003201.0</v>
      </c>
      <c r="B726" s="17">
        <v>2.0</v>
      </c>
      <c r="C726" s="17">
        <v>2100000.0</v>
      </c>
      <c r="D726" s="17">
        <v>2100000.0</v>
      </c>
      <c r="E726" s="17">
        <v>-1.0</v>
      </c>
      <c r="F726" s="17">
        <v>-1.0</v>
      </c>
      <c r="G726" s="17">
        <v>-1.0</v>
      </c>
      <c r="H726" s="17">
        <v>-1.0</v>
      </c>
    </row>
    <row r="727">
      <c r="A727" s="17">
        <v>2003202.0</v>
      </c>
      <c r="B727" s="17">
        <v>2.0</v>
      </c>
      <c r="C727" s="17">
        <v>2100000.0</v>
      </c>
      <c r="D727" s="17">
        <v>2100000.0</v>
      </c>
      <c r="E727" s="17">
        <v>2100000.0</v>
      </c>
      <c r="F727" s="17">
        <v>-1.0</v>
      </c>
      <c r="G727" s="17">
        <v>-1.0</v>
      </c>
      <c r="H727" s="17">
        <v>-1.0</v>
      </c>
    </row>
    <row r="728">
      <c r="A728" s="17">
        <v>2003210.0</v>
      </c>
      <c r="B728" s="17">
        <v>2.0</v>
      </c>
      <c r="C728" s="17">
        <v>2100000.0</v>
      </c>
      <c r="D728" s="17">
        <v>-1.0</v>
      </c>
      <c r="E728" s="17">
        <v>-1.0</v>
      </c>
      <c r="F728" s="17">
        <v>-1.0</v>
      </c>
      <c r="G728" s="17">
        <v>-1.0</v>
      </c>
      <c r="H728" s="17">
        <v>-1.0</v>
      </c>
    </row>
    <row r="729">
      <c r="A729" s="17">
        <v>2003211.0</v>
      </c>
      <c r="B729" s="17">
        <v>2.0</v>
      </c>
      <c r="C729" s="17">
        <v>2100000.0</v>
      </c>
      <c r="D729" s="17">
        <v>2100000.0</v>
      </c>
      <c r="E729" s="17">
        <v>-1.0</v>
      </c>
      <c r="F729" s="17">
        <v>-1.0</v>
      </c>
      <c r="G729" s="17">
        <v>-1.0</v>
      </c>
      <c r="H729" s="17">
        <v>-1.0</v>
      </c>
    </row>
    <row r="730">
      <c r="A730" s="17">
        <v>2003212.0</v>
      </c>
      <c r="B730" s="17">
        <v>2.0</v>
      </c>
      <c r="C730" s="17">
        <v>2100000.0</v>
      </c>
      <c r="D730" s="17">
        <v>2100000.0</v>
      </c>
      <c r="E730" s="17">
        <v>2100000.0</v>
      </c>
      <c r="F730" s="17">
        <v>-1.0</v>
      </c>
      <c r="G730" s="17">
        <v>-1.0</v>
      </c>
      <c r="H730" s="17">
        <v>-1.0</v>
      </c>
    </row>
    <row r="731">
      <c r="A731" s="17">
        <v>2003220.0</v>
      </c>
      <c r="B731" s="17">
        <v>2.0</v>
      </c>
      <c r="C731" s="17">
        <v>2100000.0</v>
      </c>
      <c r="D731" s="17">
        <v>-1.0</v>
      </c>
      <c r="E731" s="17">
        <v>-1.0</v>
      </c>
      <c r="F731" s="17">
        <v>-1.0</v>
      </c>
      <c r="G731" s="17">
        <v>-1.0</v>
      </c>
      <c r="H731" s="17">
        <v>-1.0</v>
      </c>
    </row>
    <row r="732">
      <c r="A732" s="17">
        <v>2003221.0</v>
      </c>
      <c r="B732" s="17">
        <v>2.0</v>
      </c>
      <c r="C732" s="17">
        <v>2100000.0</v>
      </c>
      <c r="D732" s="17">
        <v>2100000.0</v>
      </c>
      <c r="E732" s="17">
        <v>-1.0</v>
      </c>
      <c r="F732" s="17">
        <v>-1.0</v>
      </c>
      <c r="G732" s="17">
        <v>-1.0</v>
      </c>
      <c r="H732" s="17">
        <v>-1.0</v>
      </c>
    </row>
    <row r="733">
      <c r="A733" s="17">
        <v>2003222.0</v>
      </c>
      <c r="B733" s="17">
        <v>2.0</v>
      </c>
      <c r="C733" s="17">
        <v>2100000.0</v>
      </c>
      <c r="D733" s="17">
        <v>2100000.0</v>
      </c>
      <c r="E733" s="17">
        <v>2100000.0</v>
      </c>
      <c r="F733" s="17">
        <v>-1.0</v>
      </c>
      <c r="G733" s="17">
        <v>-1.0</v>
      </c>
      <c r="H733" s="17">
        <v>-1.0</v>
      </c>
    </row>
    <row r="734">
      <c r="A734" s="17">
        <v>2003300.0</v>
      </c>
      <c r="B734" s="17">
        <v>3.0</v>
      </c>
      <c r="C734" s="17">
        <v>2100000.0</v>
      </c>
      <c r="D734" s="17">
        <v>-1.0</v>
      </c>
      <c r="E734" s="17">
        <v>-1.0</v>
      </c>
      <c r="F734" s="17">
        <v>-1.0</v>
      </c>
      <c r="G734" s="17">
        <v>-1.0</v>
      </c>
      <c r="H734" s="17">
        <v>-1.0</v>
      </c>
    </row>
    <row r="735">
      <c r="A735" s="17">
        <v>2003301.0</v>
      </c>
      <c r="B735" s="17">
        <v>3.0</v>
      </c>
      <c r="C735" s="17">
        <v>2100000.0</v>
      </c>
      <c r="D735" s="17">
        <v>2100000.0</v>
      </c>
      <c r="E735" s="17">
        <v>-1.0</v>
      </c>
      <c r="F735" s="17">
        <v>-1.0</v>
      </c>
      <c r="G735" s="17">
        <v>-1.0</v>
      </c>
      <c r="H735" s="17">
        <v>-1.0</v>
      </c>
    </row>
    <row r="736">
      <c r="A736" s="17">
        <v>2003302.0</v>
      </c>
      <c r="B736" s="17">
        <v>3.0</v>
      </c>
      <c r="C736" s="17">
        <v>2100000.0</v>
      </c>
      <c r="D736" s="17">
        <v>2100000.0</v>
      </c>
      <c r="E736" s="17">
        <v>2100000.0</v>
      </c>
      <c r="F736" s="17">
        <v>-1.0</v>
      </c>
      <c r="G736" s="17">
        <v>-1.0</v>
      </c>
      <c r="H736" s="17">
        <v>-1.0</v>
      </c>
    </row>
    <row r="737">
      <c r="A737" s="17">
        <v>2003310.0</v>
      </c>
      <c r="B737" s="17">
        <v>3.0</v>
      </c>
      <c r="C737" s="17">
        <v>2100000.0</v>
      </c>
      <c r="D737" s="17">
        <v>-1.0</v>
      </c>
      <c r="E737" s="17">
        <v>-1.0</v>
      </c>
      <c r="F737" s="17">
        <v>-1.0</v>
      </c>
      <c r="G737" s="17">
        <v>-1.0</v>
      </c>
      <c r="H737" s="17">
        <v>-1.0</v>
      </c>
    </row>
    <row r="738">
      <c r="A738" s="17">
        <v>2003311.0</v>
      </c>
      <c r="B738" s="17">
        <v>3.0</v>
      </c>
      <c r="C738" s="17">
        <v>2100000.0</v>
      </c>
      <c r="D738" s="17">
        <v>2100000.0</v>
      </c>
      <c r="E738" s="17">
        <v>-1.0</v>
      </c>
      <c r="F738" s="17">
        <v>-1.0</v>
      </c>
      <c r="G738" s="17">
        <v>-1.0</v>
      </c>
      <c r="H738" s="17">
        <v>-1.0</v>
      </c>
    </row>
    <row r="739">
      <c r="A739" s="17">
        <v>2003312.0</v>
      </c>
      <c r="B739" s="17">
        <v>3.0</v>
      </c>
      <c r="C739" s="17">
        <v>2100000.0</v>
      </c>
      <c r="D739" s="17">
        <v>2100000.0</v>
      </c>
      <c r="E739" s="17">
        <v>2100000.0</v>
      </c>
      <c r="F739" s="17">
        <v>-1.0</v>
      </c>
      <c r="G739" s="17">
        <v>-1.0</v>
      </c>
      <c r="H739" s="17">
        <v>-1.0</v>
      </c>
    </row>
    <row r="740">
      <c r="A740" s="17">
        <v>2003320.0</v>
      </c>
      <c r="B740" s="17">
        <v>3.0</v>
      </c>
      <c r="C740" s="17">
        <v>2100000.0</v>
      </c>
      <c r="D740" s="17">
        <v>-1.0</v>
      </c>
      <c r="E740" s="17">
        <v>-1.0</v>
      </c>
      <c r="F740" s="17">
        <v>-1.0</v>
      </c>
      <c r="G740" s="17">
        <v>-1.0</v>
      </c>
      <c r="H740" s="17">
        <v>-1.0</v>
      </c>
    </row>
    <row r="741">
      <c r="A741" s="17">
        <v>2003321.0</v>
      </c>
      <c r="B741" s="17">
        <v>3.0</v>
      </c>
      <c r="C741" s="17">
        <v>2100000.0</v>
      </c>
      <c r="D741" s="17">
        <v>2100000.0</v>
      </c>
      <c r="E741" s="17">
        <v>-1.0</v>
      </c>
      <c r="F741" s="17">
        <v>-1.0</v>
      </c>
      <c r="G741" s="17">
        <v>-1.0</v>
      </c>
      <c r="H741" s="17">
        <v>-1.0</v>
      </c>
    </row>
    <row r="742">
      <c r="A742" s="17">
        <v>2003322.0</v>
      </c>
      <c r="B742" s="17">
        <v>3.0</v>
      </c>
      <c r="C742" s="17">
        <v>2100000.0</v>
      </c>
      <c r="D742" s="17">
        <v>2100000.0</v>
      </c>
      <c r="E742" s="17">
        <v>2100000.0</v>
      </c>
      <c r="F742" s="17">
        <v>-1.0</v>
      </c>
      <c r="G742" s="17">
        <v>-1.0</v>
      </c>
      <c r="H742" s="17">
        <v>-1.0</v>
      </c>
    </row>
    <row r="743">
      <c r="A743" s="17">
        <v>2010000.0</v>
      </c>
      <c r="B743" s="17">
        <v>0.0</v>
      </c>
      <c r="C743" s="17">
        <v>2000000.0</v>
      </c>
      <c r="D743" s="17">
        <v>-1.0</v>
      </c>
      <c r="E743" s="17">
        <v>-1.0</v>
      </c>
      <c r="F743" s="17">
        <v>3000000.0</v>
      </c>
      <c r="G743" s="17">
        <v>-1.0</v>
      </c>
      <c r="H743" s="17">
        <v>-1.0</v>
      </c>
    </row>
    <row r="744">
      <c r="A744" s="17">
        <v>2010001.0</v>
      </c>
      <c r="B744" s="17">
        <v>0.0</v>
      </c>
      <c r="C744" s="17">
        <v>2000000.0</v>
      </c>
      <c r="D744" s="17">
        <v>2200000.0</v>
      </c>
      <c r="E744" s="17">
        <v>-1.0</v>
      </c>
      <c r="F744" s="17">
        <v>3000000.0</v>
      </c>
      <c r="G744" s="17">
        <v>-1.0</v>
      </c>
      <c r="H744" s="17">
        <v>-1.0</v>
      </c>
    </row>
    <row r="745">
      <c r="A745" s="17">
        <v>2010002.0</v>
      </c>
      <c r="B745" s="17">
        <v>0.0</v>
      </c>
      <c r="C745" s="17">
        <v>2000000.0</v>
      </c>
      <c r="D745" s="17">
        <v>2200000.0</v>
      </c>
      <c r="E745" s="17">
        <v>2200000.0</v>
      </c>
      <c r="F745" s="17">
        <v>3000000.0</v>
      </c>
      <c r="G745" s="17">
        <v>-1.0</v>
      </c>
      <c r="H745" s="17">
        <v>-1.0</v>
      </c>
    </row>
    <row r="746">
      <c r="A746" s="17">
        <v>2010010.0</v>
      </c>
      <c r="B746" s="17">
        <v>0.0</v>
      </c>
      <c r="C746" s="17">
        <v>2000000.0</v>
      </c>
      <c r="D746" s="17">
        <v>-1.0</v>
      </c>
      <c r="E746" s="17">
        <v>-1.0</v>
      </c>
      <c r="F746" s="17">
        <v>3000000.0</v>
      </c>
      <c r="G746" s="17">
        <v>-1.0</v>
      </c>
      <c r="H746" s="17">
        <v>-1.0</v>
      </c>
    </row>
    <row r="747">
      <c r="A747" s="17">
        <v>2010011.0</v>
      </c>
      <c r="B747" s="17">
        <v>0.0</v>
      </c>
      <c r="C747" s="17">
        <v>2000000.0</v>
      </c>
      <c r="D747" s="17">
        <v>2200000.0</v>
      </c>
      <c r="E747" s="17">
        <v>-1.0</v>
      </c>
      <c r="F747" s="17">
        <v>3000000.0</v>
      </c>
      <c r="G747" s="17">
        <v>-1.0</v>
      </c>
      <c r="H747" s="17">
        <v>-1.0</v>
      </c>
    </row>
    <row r="748">
      <c r="A748" s="17">
        <v>2010012.0</v>
      </c>
      <c r="B748" s="17">
        <v>0.0</v>
      </c>
      <c r="C748" s="17">
        <v>2000000.0</v>
      </c>
      <c r="D748" s="17">
        <v>2200000.0</v>
      </c>
      <c r="E748" s="17">
        <v>2200000.0</v>
      </c>
      <c r="F748" s="17">
        <v>3000000.0</v>
      </c>
      <c r="G748" s="17">
        <v>-1.0</v>
      </c>
      <c r="H748" s="17">
        <v>-1.0</v>
      </c>
    </row>
    <row r="749">
      <c r="A749" s="17">
        <v>2010020.0</v>
      </c>
      <c r="B749" s="17">
        <v>0.0</v>
      </c>
      <c r="C749" s="17">
        <v>2000000.0</v>
      </c>
      <c r="D749" s="17">
        <v>-1.0</v>
      </c>
      <c r="E749" s="17">
        <v>-1.0</v>
      </c>
      <c r="F749" s="17">
        <v>3000000.0</v>
      </c>
      <c r="G749" s="17">
        <v>-1.0</v>
      </c>
      <c r="H749" s="17">
        <v>-1.0</v>
      </c>
    </row>
    <row r="750">
      <c r="A750" s="17">
        <v>2010021.0</v>
      </c>
      <c r="B750" s="17">
        <v>0.0</v>
      </c>
      <c r="C750" s="17">
        <v>2000000.0</v>
      </c>
      <c r="D750" s="17">
        <v>2200000.0</v>
      </c>
      <c r="E750" s="17">
        <v>-1.0</v>
      </c>
      <c r="F750" s="17">
        <v>3000000.0</v>
      </c>
      <c r="G750" s="17">
        <v>-1.0</v>
      </c>
      <c r="H750" s="17">
        <v>-1.0</v>
      </c>
    </row>
    <row r="751">
      <c r="A751" s="17">
        <v>2010022.0</v>
      </c>
      <c r="B751" s="17">
        <v>0.0</v>
      </c>
      <c r="C751" s="17">
        <v>2000000.0</v>
      </c>
      <c r="D751" s="17">
        <v>2200000.0</v>
      </c>
      <c r="E751" s="17">
        <v>2200000.0</v>
      </c>
      <c r="F751" s="17">
        <v>3000000.0</v>
      </c>
      <c r="G751" s="17">
        <v>-1.0</v>
      </c>
      <c r="H751" s="17">
        <v>-1.0</v>
      </c>
    </row>
    <row r="752">
      <c r="A752" s="17">
        <v>2010100.0</v>
      </c>
      <c r="B752" s="17">
        <v>1.0</v>
      </c>
      <c r="C752" s="17">
        <v>2000000.0</v>
      </c>
      <c r="D752" s="17">
        <v>-1.0</v>
      </c>
      <c r="E752" s="17">
        <v>-1.0</v>
      </c>
      <c r="F752" s="17">
        <v>3000000.0</v>
      </c>
      <c r="G752" s="17">
        <v>-1.0</v>
      </c>
      <c r="H752" s="17">
        <v>-1.0</v>
      </c>
    </row>
    <row r="753">
      <c r="A753" s="17">
        <v>2010101.0</v>
      </c>
      <c r="B753" s="17">
        <v>1.0</v>
      </c>
      <c r="C753" s="17">
        <v>2000000.0</v>
      </c>
      <c r="D753" s="17">
        <v>2200000.0</v>
      </c>
      <c r="E753" s="17">
        <v>-1.0</v>
      </c>
      <c r="F753" s="17">
        <v>3000000.0</v>
      </c>
      <c r="G753" s="17">
        <v>-1.0</v>
      </c>
      <c r="H753" s="17">
        <v>-1.0</v>
      </c>
    </row>
    <row r="754">
      <c r="A754" s="17">
        <v>2010102.0</v>
      </c>
      <c r="B754" s="17">
        <v>1.0</v>
      </c>
      <c r="C754" s="17">
        <v>2000000.0</v>
      </c>
      <c r="D754" s="17">
        <v>2200000.0</v>
      </c>
      <c r="E754" s="17">
        <v>2200000.0</v>
      </c>
      <c r="F754" s="17">
        <v>3000000.0</v>
      </c>
      <c r="G754" s="17">
        <v>-1.0</v>
      </c>
      <c r="H754" s="17">
        <v>-1.0</v>
      </c>
    </row>
    <row r="755">
      <c r="A755" s="17">
        <v>2010110.0</v>
      </c>
      <c r="B755" s="17">
        <v>1.0</v>
      </c>
      <c r="C755" s="17">
        <v>2000000.0</v>
      </c>
      <c r="D755" s="17">
        <v>-1.0</v>
      </c>
      <c r="E755" s="17">
        <v>-1.0</v>
      </c>
      <c r="F755" s="17">
        <v>3000000.0</v>
      </c>
      <c r="G755" s="17">
        <v>-1.0</v>
      </c>
      <c r="H755" s="17">
        <v>-1.0</v>
      </c>
    </row>
    <row r="756">
      <c r="A756" s="17">
        <v>2010111.0</v>
      </c>
      <c r="B756" s="17">
        <v>1.0</v>
      </c>
      <c r="C756" s="17">
        <v>2000000.0</v>
      </c>
      <c r="D756" s="17">
        <v>2200000.0</v>
      </c>
      <c r="E756" s="17">
        <v>-1.0</v>
      </c>
      <c r="F756" s="17">
        <v>3000000.0</v>
      </c>
      <c r="G756" s="17">
        <v>-1.0</v>
      </c>
      <c r="H756" s="17">
        <v>-1.0</v>
      </c>
    </row>
    <row r="757">
      <c r="A757" s="17">
        <v>2010112.0</v>
      </c>
      <c r="B757" s="17">
        <v>1.0</v>
      </c>
      <c r="C757" s="17">
        <v>2000000.0</v>
      </c>
      <c r="D757" s="17">
        <v>2200000.0</v>
      </c>
      <c r="E757" s="17">
        <v>2200000.0</v>
      </c>
      <c r="F757" s="17">
        <v>3000000.0</v>
      </c>
      <c r="G757" s="17">
        <v>-1.0</v>
      </c>
      <c r="H757" s="17">
        <v>-1.0</v>
      </c>
    </row>
    <row r="758">
      <c r="A758" s="17">
        <v>2010120.0</v>
      </c>
      <c r="B758" s="17">
        <v>1.0</v>
      </c>
      <c r="C758" s="17">
        <v>2000000.0</v>
      </c>
      <c r="D758" s="17">
        <v>-1.0</v>
      </c>
      <c r="E758" s="17">
        <v>-1.0</v>
      </c>
      <c r="F758" s="17">
        <v>3000000.0</v>
      </c>
      <c r="G758" s="17">
        <v>-1.0</v>
      </c>
      <c r="H758" s="17">
        <v>-1.0</v>
      </c>
    </row>
    <row r="759">
      <c r="A759" s="17">
        <v>2010121.0</v>
      </c>
      <c r="B759" s="17">
        <v>1.0</v>
      </c>
      <c r="C759" s="17">
        <v>2000000.0</v>
      </c>
      <c r="D759" s="17">
        <v>2200000.0</v>
      </c>
      <c r="E759" s="17">
        <v>-1.0</v>
      </c>
      <c r="F759" s="17">
        <v>3000000.0</v>
      </c>
      <c r="G759" s="17">
        <v>-1.0</v>
      </c>
      <c r="H759" s="17">
        <v>-1.0</v>
      </c>
    </row>
    <row r="760">
      <c r="A760" s="17">
        <v>2010122.0</v>
      </c>
      <c r="B760" s="17">
        <v>1.0</v>
      </c>
      <c r="C760" s="17">
        <v>2000000.0</v>
      </c>
      <c r="D760" s="17">
        <v>2200000.0</v>
      </c>
      <c r="E760" s="17">
        <v>2200000.0</v>
      </c>
      <c r="F760" s="17">
        <v>3000000.0</v>
      </c>
      <c r="G760" s="17">
        <v>-1.0</v>
      </c>
      <c r="H760" s="17">
        <v>-1.0</v>
      </c>
    </row>
    <row r="761">
      <c r="A761" s="17">
        <v>2010200.0</v>
      </c>
      <c r="B761" s="17">
        <v>2.0</v>
      </c>
      <c r="C761" s="17">
        <v>2000000.0</v>
      </c>
      <c r="D761" s="17">
        <v>-1.0</v>
      </c>
      <c r="E761" s="17">
        <v>-1.0</v>
      </c>
      <c r="F761" s="17">
        <v>3000000.0</v>
      </c>
      <c r="G761" s="17">
        <v>-1.0</v>
      </c>
      <c r="H761" s="17">
        <v>-1.0</v>
      </c>
    </row>
    <row r="762">
      <c r="A762" s="17">
        <v>2010201.0</v>
      </c>
      <c r="B762" s="17">
        <v>2.0</v>
      </c>
      <c r="C762" s="17">
        <v>2000000.0</v>
      </c>
      <c r="D762" s="17">
        <v>2200000.0</v>
      </c>
      <c r="E762" s="17">
        <v>-1.0</v>
      </c>
      <c r="F762" s="17">
        <v>3000000.0</v>
      </c>
      <c r="G762" s="17">
        <v>-1.0</v>
      </c>
      <c r="H762" s="17">
        <v>-1.0</v>
      </c>
    </row>
    <row r="763">
      <c r="A763" s="17">
        <v>2010202.0</v>
      </c>
      <c r="B763" s="17">
        <v>2.0</v>
      </c>
      <c r="C763" s="17">
        <v>2000000.0</v>
      </c>
      <c r="D763" s="17">
        <v>2200000.0</v>
      </c>
      <c r="E763" s="17">
        <v>2200000.0</v>
      </c>
      <c r="F763" s="17">
        <v>3000000.0</v>
      </c>
      <c r="G763" s="17">
        <v>-1.0</v>
      </c>
      <c r="H763" s="17">
        <v>-1.0</v>
      </c>
    </row>
    <row r="764">
      <c r="A764" s="17">
        <v>2010210.0</v>
      </c>
      <c r="B764" s="17">
        <v>2.0</v>
      </c>
      <c r="C764" s="17">
        <v>2000000.0</v>
      </c>
      <c r="D764" s="17">
        <v>-1.0</v>
      </c>
      <c r="E764" s="17">
        <v>-1.0</v>
      </c>
      <c r="F764" s="17">
        <v>3000000.0</v>
      </c>
      <c r="G764" s="17">
        <v>-1.0</v>
      </c>
      <c r="H764" s="17">
        <v>-1.0</v>
      </c>
    </row>
    <row r="765">
      <c r="A765" s="17">
        <v>2010211.0</v>
      </c>
      <c r="B765" s="17">
        <v>2.0</v>
      </c>
      <c r="C765" s="17">
        <v>2000000.0</v>
      </c>
      <c r="D765" s="17">
        <v>2200000.0</v>
      </c>
      <c r="E765" s="17">
        <v>-1.0</v>
      </c>
      <c r="F765" s="17">
        <v>3000000.0</v>
      </c>
      <c r="G765" s="17">
        <v>-1.0</v>
      </c>
      <c r="H765" s="17">
        <v>-1.0</v>
      </c>
    </row>
    <row r="766">
      <c r="A766" s="17">
        <v>2010212.0</v>
      </c>
      <c r="B766" s="17">
        <v>2.0</v>
      </c>
      <c r="C766" s="17">
        <v>2000000.0</v>
      </c>
      <c r="D766" s="17">
        <v>2200000.0</v>
      </c>
      <c r="E766" s="17">
        <v>2200000.0</v>
      </c>
      <c r="F766" s="17">
        <v>3000000.0</v>
      </c>
      <c r="G766" s="17">
        <v>-1.0</v>
      </c>
      <c r="H766" s="17">
        <v>-1.0</v>
      </c>
    </row>
    <row r="767">
      <c r="A767" s="17">
        <v>2010220.0</v>
      </c>
      <c r="B767" s="17">
        <v>2.0</v>
      </c>
      <c r="C767" s="17">
        <v>2000000.0</v>
      </c>
      <c r="D767" s="17">
        <v>-1.0</v>
      </c>
      <c r="E767" s="17">
        <v>-1.0</v>
      </c>
      <c r="F767" s="17">
        <v>3000000.0</v>
      </c>
      <c r="G767" s="17">
        <v>-1.0</v>
      </c>
      <c r="H767" s="17">
        <v>-1.0</v>
      </c>
    </row>
    <row r="768">
      <c r="A768" s="17">
        <v>2010221.0</v>
      </c>
      <c r="B768" s="17">
        <v>2.0</v>
      </c>
      <c r="C768" s="17">
        <v>2000000.0</v>
      </c>
      <c r="D768" s="17">
        <v>2200000.0</v>
      </c>
      <c r="E768" s="17">
        <v>-1.0</v>
      </c>
      <c r="F768" s="17">
        <v>3000000.0</v>
      </c>
      <c r="G768" s="17">
        <v>-1.0</v>
      </c>
      <c r="H768" s="17">
        <v>-1.0</v>
      </c>
    </row>
    <row r="769">
      <c r="A769" s="17">
        <v>2010222.0</v>
      </c>
      <c r="B769" s="17">
        <v>2.0</v>
      </c>
      <c r="C769" s="17">
        <v>2000000.0</v>
      </c>
      <c r="D769" s="17">
        <v>2200000.0</v>
      </c>
      <c r="E769" s="17">
        <v>2200000.0</v>
      </c>
      <c r="F769" s="17">
        <v>3000000.0</v>
      </c>
      <c r="G769" s="17">
        <v>-1.0</v>
      </c>
      <c r="H769" s="17">
        <v>-1.0</v>
      </c>
    </row>
    <row r="770">
      <c r="A770" s="17">
        <v>2010300.0</v>
      </c>
      <c r="B770" s="17">
        <v>3.0</v>
      </c>
      <c r="C770" s="17">
        <v>2000000.0</v>
      </c>
      <c r="D770" s="17">
        <v>-1.0</v>
      </c>
      <c r="E770" s="17">
        <v>-1.0</v>
      </c>
      <c r="F770" s="17">
        <v>3000000.0</v>
      </c>
      <c r="G770" s="17">
        <v>-1.0</v>
      </c>
      <c r="H770" s="17">
        <v>-1.0</v>
      </c>
    </row>
    <row r="771">
      <c r="A771" s="17">
        <v>2010301.0</v>
      </c>
      <c r="B771" s="17">
        <v>3.0</v>
      </c>
      <c r="C771" s="17">
        <v>2000000.0</v>
      </c>
      <c r="D771" s="17">
        <v>2200000.0</v>
      </c>
      <c r="E771" s="17">
        <v>-1.0</v>
      </c>
      <c r="F771" s="17">
        <v>3000000.0</v>
      </c>
      <c r="G771" s="17">
        <v>-1.0</v>
      </c>
      <c r="H771" s="17">
        <v>-1.0</v>
      </c>
    </row>
    <row r="772">
      <c r="A772" s="17">
        <v>2010302.0</v>
      </c>
      <c r="B772" s="17">
        <v>3.0</v>
      </c>
      <c r="C772" s="17">
        <v>2000000.0</v>
      </c>
      <c r="D772" s="17">
        <v>2200000.0</v>
      </c>
      <c r="E772" s="17">
        <v>2200000.0</v>
      </c>
      <c r="F772" s="17">
        <v>3000000.0</v>
      </c>
      <c r="G772" s="17">
        <v>-1.0</v>
      </c>
      <c r="H772" s="17">
        <v>-1.0</v>
      </c>
    </row>
    <row r="773">
      <c r="A773" s="17">
        <v>2010310.0</v>
      </c>
      <c r="B773" s="17">
        <v>3.0</v>
      </c>
      <c r="C773" s="17">
        <v>2000000.0</v>
      </c>
      <c r="D773" s="17">
        <v>-1.0</v>
      </c>
      <c r="E773" s="17">
        <v>-1.0</v>
      </c>
      <c r="F773" s="17">
        <v>3000000.0</v>
      </c>
      <c r="G773" s="17">
        <v>-1.0</v>
      </c>
      <c r="H773" s="17">
        <v>-1.0</v>
      </c>
    </row>
    <row r="774">
      <c r="A774" s="17">
        <v>2010311.0</v>
      </c>
      <c r="B774" s="17">
        <v>3.0</v>
      </c>
      <c r="C774" s="17">
        <v>2000000.0</v>
      </c>
      <c r="D774" s="17">
        <v>2200000.0</v>
      </c>
      <c r="E774" s="17">
        <v>-1.0</v>
      </c>
      <c r="F774" s="17">
        <v>3000000.0</v>
      </c>
      <c r="G774" s="17">
        <v>-1.0</v>
      </c>
      <c r="H774" s="17">
        <v>-1.0</v>
      </c>
    </row>
    <row r="775">
      <c r="A775" s="17">
        <v>2010312.0</v>
      </c>
      <c r="B775" s="17">
        <v>3.0</v>
      </c>
      <c r="C775" s="17">
        <v>2000000.0</v>
      </c>
      <c r="D775" s="17">
        <v>2200000.0</v>
      </c>
      <c r="E775" s="17">
        <v>2200000.0</v>
      </c>
      <c r="F775" s="17">
        <v>3000000.0</v>
      </c>
      <c r="G775" s="17">
        <v>-1.0</v>
      </c>
      <c r="H775" s="17">
        <v>-1.0</v>
      </c>
    </row>
    <row r="776">
      <c r="A776" s="17">
        <v>2010320.0</v>
      </c>
      <c r="B776" s="17">
        <v>3.0</v>
      </c>
      <c r="C776" s="17">
        <v>2000000.0</v>
      </c>
      <c r="D776" s="17">
        <v>-1.0</v>
      </c>
      <c r="E776" s="17">
        <v>-1.0</v>
      </c>
      <c r="F776" s="17">
        <v>3000000.0</v>
      </c>
      <c r="G776" s="17">
        <v>-1.0</v>
      </c>
      <c r="H776" s="17">
        <v>-1.0</v>
      </c>
    </row>
    <row r="777">
      <c r="A777" s="17">
        <v>2010321.0</v>
      </c>
      <c r="B777" s="17">
        <v>3.0</v>
      </c>
      <c r="C777" s="17">
        <v>2000000.0</v>
      </c>
      <c r="D777" s="17">
        <v>2200000.0</v>
      </c>
      <c r="E777" s="17">
        <v>-1.0</v>
      </c>
      <c r="F777" s="17">
        <v>3000000.0</v>
      </c>
      <c r="G777" s="17">
        <v>-1.0</v>
      </c>
      <c r="H777" s="17">
        <v>-1.0</v>
      </c>
    </row>
    <row r="778">
      <c r="A778" s="17">
        <v>2010322.0</v>
      </c>
      <c r="B778" s="17">
        <v>3.0</v>
      </c>
      <c r="C778" s="17">
        <v>2000000.0</v>
      </c>
      <c r="D778" s="17">
        <v>2200000.0</v>
      </c>
      <c r="E778" s="17">
        <v>2200000.0</v>
      </c>
      <c r="F778" s="17">
        <v>3000000.0</v>
      </c>
      <c r="G778" s="17">
        <v>-1.0</v>
      </c>
      <c r="H778" s="17">
        <v>-1.0</v>
      </c>
    </row>
    <row r="779">
      <c r="A779" s="17">
        <v>2011001.0</v>
      </c>
      <c r="B779" s="17">
        <v>0.0</v>
      </c>
      <c r="C779" s="17">
        <v>2000000.0</v>
      </c>
      <c r="D779" s="17">
        <v>2000000.0</v>
      </c>
      <c r="E779" s="17">
        <v>-1.0</v>
      </c>
      <c r="F779" s="17">
        <v>3000000.0</v>
      </c>
      <c r="G779" s="17">
        <v>3000000.0</v>
      </c>
      <c r="H779" s="17">
        <v>-1.0</v>
      </c>
    </row>
    <row r="780">
      <c r="A780" s="17">
        <v>2011002.0</v>
      </c>
      <c r="B780" s="17">
        <v>0.0</v>
      </c>
      <c r="C780" s="17">
        <v>2000000.0</v>
      </c>
      <c r="D780" s="17">
        <v>2000000.0</v>
      </c>
      <c r="E780" s="17">
        <v>2200000.0</v>
      </c>
      <c r="F780" s="17">
        <v>3000000.0</v>
      </c>
      <c r="G780" s="17">
        <v>3000000.0</v>
      </c>
      <c r="H780" s="17">
        <v>-1.0</v>
      </c>
    </row>
    <row r="781">
      <c r="A781" s="17">
        <v>2011011.0</v>
      </c>
      <c r="B781" s="17">
        <v>0.0</v>
      </c>
      <c r="C781" s="17">
        <v>2000000.0</v>
      </c>
      <c r="D781" s="17">
        <v>2000000.0</v>
      </c>
      <c r="E781" s="17">
        <v>-1.0</v>
      </c>
      <c r="F781" s="17">
        <v>3000000.0</v>
      </c>
      <c r="G781" s="17">
        <v>3000000.0</v>
      </c>
      <c r="H781" s="17">
        <v>-1.0</v>
      </c>
    </row>
    <row r="782">
      <c r="A782" s="17">
        <v>2011012.0</v>
      </c>
      <c r="B782" s="17">
        <v>0.0</v>
      </c>
      <c r="C782" s="17">
        <v>2000000.0</v>
      </c>
      <c r="D782" s="17">
        <v>2000000.0</v>
      </c>
      <c r="E782" s="17">
        <v>2200000.0</v>
      </c>
      <c r="F782" s="17">
        <v>3000000.0</v>
      </c>
      <c r="G782" s="17">
        <v>3000000.0</v>
      </c>
      <c r="H782" s="17">
        <v>-1.0</v>
      </c>
    </row>
    <row r="783">
      <c r="A783" s="17">
        <v>2011021.0</v>
      </c>
      <c r="B783" s="17">
        <v>0.0</v>
      </c>
      <c r="C783" s="17">
        <v>2000000.0</v>
      </c>
      <c r="D783" s="17">
        <v>2000000.0</v>
      </c>
      <c r="E783" s="17">
        <v>-1.0</v>
      </c>
      <c r="F783" s="17">
        <v>3000000.0</v>
      </c>
      <c r="G783" s="17">
        <v>3000000.0</v>
      </c>
      <c r="H783" s="17">
        <v>-1.0</v>
      </c>
    </row>
    <row r="784">
      <c r="A784" s="17">
        <v>2011022.0</v>
      </c>
      <c r="B784" s="17">
        <v>0.0</v>
      </c>
      <c r="C784" s="17">
        <v>2000000.0</v>
      </c>
      <c r="D784" s="17">
        <v>2000000.0</v>
      </c>
      <c r="E784" s="17">
        <v>2200000.0</v>
      </c>
      <c r="F784" s="17">
        <v>3000000.0</v>
      </c>
      <c r="G784" s="17">
        <v>3000000.0</v>
      </c>
      <c r="H784" s="17">
        <v>-1.0</v>
      </c>
    </row>
    <row r="785">
      <c r="A785" s="17">
        <v>2011101.0</v>
      </c>
      <c r="B785" s="17">
        <v>1.0</v>
      </c>
      <c r="C785" s="17">
        <v>2000000.0</v>
      </c>
      <c r="D785" s="17">
        <v>2000000.0</v>
      </c>
      <c r="E785" s="17">
        <v>-1.0</v>
      </c>
      <c r="F785" s="17">
        <v>3000000.0</v>
      </c>
      <c r="G785" s="17">
        <v>3000000.0</v>
      </c>
      <c r="H785" s="17">
        <v>-1.0</v>
      </c>
    </row>
    <row r="786">
      <c r="A786" s="17">
        <v>2011102.0</v>
      </c>
      <c r="B786" s="17">
        <v>1.0</v>
      </c>
      <c r="C786" s="17">
        <v>2000000.0</v>
      </c>
      <c r="D786" s="17">
        <v>2000000.0</v>
      </c>
      <c r="E786" s="17">
        <v>2200000.0</v>
      </c>
      <c r="F786" s="17">
        <v>3000000.0</v>
      </c>
      <c r="G786" s="17">
        <v>3000000.0</v>
      </c>
      <c r="H786" s="17">
        <v>-1.0</v>
      </c>
    </row>
    <row r="787">
      <c r="A787" s="17">
        <v>2011111.0</v>
      </c>
      <c r="B787" s="17">
        <v>1.0</v>
      </c>
      <c r="C787" s="17">
        <v>2000000.0</v>
      </c>
      <c r="D787" s="17">
        <v>2000000.0</v>
      </c>
      <c r="E787" s="17">
        <v>-1.0</v>
      </c>
      <c r="F787" s="17">
        <v>3000000.0</v>
      </c>
      <c r="G787" s="17">
        <v>3000000.0</v>
      </c>
      <c r="H787" s="17">
        <v>-1.0</v>
      </c>
    </row>
    <row r="788">
      <c r="A788" s="17">
        <v>2011112.0</v>
      </c>
      <c r="B788" s="17">
        <v>1.0</v>
      </c>
      <c r="C788" s="17">
        <v>2000000.0</v>
      </c>
      <c r="D788" s="17">
        <v>2000000.0</v>
      </c>
      <c r="E788" s="17">
        <v>2200000.0</v>
      </c>
      <c r="F788" s="17">
        <v>3000000.0</v>
      </c>
      <c r="G788" s="17">
        <v>3000000.0</v>
      </c>
      <c r="H788" s="17">
        <v>-1.0</v>
      </c>
    </row>
    <row r="789">
      <c r="A789" s="17">
        <v>2011121.0</v>
      </c>
      <c r="B789" s="17">
        <v>1.0</v>
      </c>
      <c r="C789" s="17">
        <v>2000000.0</v>
      </c>
      <c r="D789" s="17">
        <v>2000000.0</v>
      </c>
      <c r="E789" s="17">
        <v>-1.0</v>
      </c>
      <c r="F789" s="17">
        <v>3000000.0</v>
      </c>
      <c r="G789" s="17">
        <v>3000000.0</v>
      </c>
      <c r="H789" s="17">
        <v>-1.0</v>
      </c>
    </row>
    <row r="790">
      <c r="A790" s="17">
        <v>2011122.0</v>
      </c>
      <c r="B790" s="17">
        <v>1.0</v>
      </c>
      <c r="C790" s="17">
        <v>2000000.0</v>
      </c>
      <c r="D790" s="17">
        <v>2000000.0</v>
      </c>
      <c r="E790" s="17">
        <v>2200000.0</v>
      </c>
      <c r="F790" s="17">
        <v>3000000.0</v>
      </c>
      <c r="G790" s="17">
        <v>3000000.0</v>
      </c>
      <c r="H790" s="17">
        <v>-1.0</v>
      </c>
    </row>
    <row r="791">
      <c r="A791" s="17">
        <v>2011201.0</v>
      </c>
      <c r="B791" s="17">
        <v>2.0</v>
      </c>
      <c r="C791" s="17">
        <v>2000000.0</v>
      </c>
      <c r="D791" s="17">
        <v>2000000.0</v>
      </c>
      <c r="E791" s="17">
        <v>-1.0</v>
      </c>
      <c r="F791" s="17">
        <v>3000000.0</v>
      </c>
      <c r="G791" s="17">
        <v>3000000.0</v>
      </c>
      <c r="H791" s="17">
        <v>-1.0</v>
      </c>
    </row>
    <row r="792">
      <c r="A792" s="17">
        <v>2011202.0</v>
      </c>
      <c r="B792" s="17">
        <v>2.0</v>
      </c>
      <c r="C792" s="17">
        <v>2000000.0</v>
      </c>
      <c r="D792" s="17">
        <v>2000000.0</v>
      </c>
      <c r="E792" s="17">
        <v>2200000.0</v>
      </c>
      <c r="F792" s="17">
        <v>3000000.0</v>
      </c>
      <c r="G792" s="17">
        <v>3000000.0</v>
      </c>
      <c r="H792" s="17">
        <v>-1.0</v>
      </c>
    </row>
    <row r="793">
      <c r="A793" s="17">
        <v>2011211.0</v>
      </c>
      <c r="B793" s="17">
        <v>2.0</v>
      </c>
      <c r="C793" s="17">
        <v>2000000.0</v>
      </c>
      <c r="D793" s="17">
        <v>2000000.0</v>
      </c>
      <c r="E793" s="17">
        <v>-1.0</v>
      </c>
      <c r="F793" s="17">
        <v>3000000.0</v>
      </c>
      <c r="G793" s="17">
        <v>3000000.0</v>
      </c>
      <c r="H793" s="17">
        <v>-1.0</v>
      </c>
    </row>
    <row r="794">
      <c r="A794" s="17">
        <v>2011212.0</v>
      </c>
      <c r="B794" s="17">
        <v>2.0</v>
      </c>
      <c r="C794" s="17">
        <v>2000000.0</v>
      </c>
      <c r="D794" s="17">
        <v>2000000.0</v>
      </c>
      <c r="E794" s="17">
        <v>2200000.0</v>
      </c>
      <c r="F794" s="17">
        <v>3000000.0</v>
      </c>
      <c r="G794" s="17">
        <v>3000000.0</v>
      </c>
      <c r="H794" s="17">
        <v>-1.0</v>
      </c>
    </row>
    <row r="795">
      <c r="A795" s="17">
        <v>2011221.0</v>
      </c>
      <c r="B795" s="17">
        <v>2.0</v>
      </c>
      <c r="C795" s="17">
        <v>2000000.0</v>
      </c>
      <c r="D795" s="17">
        <v>2000000.0</v>
      </c>
      <c r="E795" s="17">
        <v>-1.0</v>
      </c>
      <c r="F795" s="17">
        <v>3000000.0</v>
      </c>
      <c r="G795" s="17">
        <v>3000000.0</v>
      </c>
      <c r="H795" s="17">
        <v>-1.0</v>
      </c>
    </row>
    <row r="796">
      <c r="A796" s="17">
        <v>2011222.0</v>
      </c>
      <c r="B796" s="17">
        <v>2.0</v>
      </c>
      <c r="C796" s="17">
        <v>2000000.0</v>
      </c>
      <c r="D796" s="17">
        <v>2000000.0</v>
      </c>
      <c r="E796" s="17">
        <v>2200000.0</v>
      </c>
      <c r="F796" s="17">
        <v>3000000.0</v>
      </c>
      <c r="G796" s="17">
        <v>3000000.0</v>
      </c>
      <c r="H796" s="17">
        <v>-1.0</v>
      </c>
    </row>
    <row r="797">
      <c r="A797" s="17">
        <v>2011301.0</v>
      </c>
      <c r="B797" s="17">
        <v>3.0</v>
      </c>
      <c r="C797" s="17">
        <v>2000000.0</v>
      </c>
      <c r="D797" s="17">
        <v>2000000.0</v>
      </c>
      <c r="E797" s="17">
        <v>-1.0</v>
      </c>
      <c r="F797" s="17">
        <v>3000000.0</v>
      </c>
      <c r="G797" s="17">
        <v>3000000.0</v>
      </c>
      <c r="H797" s="17">
        <v>-1.0</v>
      </c>
    </row>
    <row r="798">
      <c r="A798" s="17">
        <v>2011302.0</v>
      </c>
      <c r="B798" s="17">
        <v>3.0</v>
      </c>
      <c r="C798" s="17">
        <v>2000000.0</v>
      </c>
      <c r="D798" s="17">
        <v>2000000.0</v>
      </c>
      <c r="E798" s="17">
        <v>2200000.0</v>
      </c>
      <c r="F798" s="17">
        <v>3000000.0</v>
      </c>
      <c r="G798" s="17">
        <v>3000000.0</v>
      </c>
      <c r="H798" s="17">
        <v>-1.0</v>
      </c>
    </row>
    <row r="799">
      <c r="A799" s="17">
        <v>2011311.0</v>
      </c>
      <c r="B799" s="17">
        <v>3.0</v>
      </c>
      <c r="C799" s="17">
        <v>2000000.0</v>
      </c>
      <c r="D799" s="17">
        <v>2000000.0</v>
      </c>
      <c r="E799" s="17">
        <v>-1.0</v>
      </c>
      <c r="F799" s="17">
        <v>3000000.0</v>
      </c>
      <c r="G799" s="17">
        <v>3000000.0</v>
      </c>
      <c r="H799" s="17">
        <v>-1.0</v>
      </c>
    </row>
    <row r="800">
      <c r="A800" s="17">
        <v>2011312.0</v>
      </c>
      <c r="B800" s="17">
        <v>3.0</v>
      </c>
      <c r="C800" s="17">
        <v>2000000.0</v>
      </c>
      <c r="D800" s="17">
        <v>2000000.0</v>
      </c>
      <c r="E800" s="17">
        <v>2200000.0</v>
      </c>
      <c r="F800" s="17">
        <v>3000000.0</v>
      </c>
      <c r="G800" s="17">
        <v>3000000.0</v>
      </c>
      <c r="H800" s="17">
        <v>-1.0</v>
      </c>
    </row>
    <row r="801">
      <c r="A801" s="17">
        <v>2011321.0</v>
      </c>
      <c r="B801" s="17">
        <v>3.0</v>
      </c>
      <c r="C801" s="17">
        <v>2000000.0</v>
      </c>
      <c r="D801" s="17">
        <v>2000000.0</v>
      </c>
      <c r="E801" s="17">
        <v>-1.0</v>
      </c>
      <c r="F801" s="17">
        <v>3000000.0</v>
      </c>
      <c r="G801" s="17">
        <v>3000000.0</v>
      </c>
      <c r="H801" s="17">
        <v>-1.0</v>
      </c>
    </row>
    <row r="802">
      <c r="A802" s="17">
        <v>2011322.0</v>
      </c>
      <c r="B802" s="17">
        <v>3.0</v>
      </c>
      <c r="C802" s="17">
        <v>2000000.0</v>
      </c>
      <c r="D802" s="17">
        <v>2000000.0</v>
      </c>
      <c r="E802" s="17">
        <v>2200000.0</v>
      </c>
      <c r="F802" s="17">
        <v>3000000.0</v>
      </c>
      <c r="G802" s="17">
        <v>3000000.0</v>
      </c>
      <c r="H802" s="17">
        <v>-1.0</v>
      </c>
    </row>
    <row r="803">
      <c r="A803" s="17">
        <v>2012002.0</v>
      </c>
      <c r="B803" s="17">
        <v>0.0</v>
      </c>
      <c r="C803" s="17">
        <v>2000000.0</v>
      </c>
      <c r="D803" s="17">
        <v>2000000.0</v>
      </c>
      <c r="E803" s="17">
        <v>2000000.0</v>
      </c>
      <c r="F803" s="17">
        <v>3000000.0</v>
      </c>
      <c r="G803" s="17">
        <v>3000000.0</v>
      </c>
      <c r="H803" s="17">
        <v>3000000.0</v>
      </c>
    </row>
    <row r="804">
      <c r="A804" s="17">
        <v>2012012.0</v>
      </c>
      <c r="B804" s="17">
        <v>0.0</v>
      </c>
      <c r="C804" s="17">
        <v>2000000.0</v>
      </c>
      <c r="D804" s="17">
        <v>2000000.0</v>
      </c>
      <c r="E804" s="17">
        <v>2000000.0</v>
      </c>
      <c r="F804" s="17">
        <v>3000000.0</v>
      </c>
      <c r="G804" s="17">
        <v>3000000.0</v>
      </c>
      <c r="H804" s="17">
        <v>3000000.0</v>
      </c>
    </row>
    <row r="805">
      <c r="A805" s="17">
        <v>2012022.0</v>
      </c>
      <c r="B805" s="17">
        <v>0.0</v>
      </c>
      <c r="C805" s="17">
        <v>2000000.0</v>
      </c>
      <c r="D805" s="17">
        <v>2000000.0</v>
      </c>
      <c r="E805" s="17">
        <v>2000000.0</v>
      </c>
      <c r="F805" s="17">
        <v>3000000.0</v>
      </c>
      <c r="G805" s="17">
        <v>3000000.0</v>
      </c>
      <c r="H805" s="17">
        <v>3000000.0</v>
      </c>
    </row>
    <row r="806">
      <c r="A806" s="17">
        <v>2012102.0</v>
      </c>
      <c r="B806" s="17">
        <v>1.0</v>
      </c>
      <c r="C806" s="17">
        <v>2000000.0</v>
      </c>
      <c r="D806" s="17">
        <v>2000000.0</v>
      </c>
      <c r="E806" s="17">
        <v>2000000.0</v>
      </c>
      <c r="F806" s="17">
        <v>3000000.0</v>
      </c>
      <c r="G806" s="17">
        <v>3000000.0</v>
      </c>
      <c r="H806" s="17">
        <v>3000000.0</v>
      </c>
    </row>
    <row r="807">
      <c r="A807" s="17">
        <v>2012112.0</v>
      </c>
      <c r="B807" s="17">
        <v>1.0</v>
      </c>
      <c r="C807" s="17">
        <v>2000000.0</v>
      </c>
      <c r="D807" s="17">
        <v>2000000.0</v>
      </c>
      <c r="E807" s="17">
        <v>2000000.0</v>
      </c>
      <c r="F807" s="17">
        <v>3000000.0</v>
      </c>
      <c r="G807" s="17">
        <v>3000000.0</v>
      </c>
      <c r="H807" s="17">
        <v>3000000.0</v>
      </c>
    </row>
    <row r="808">
      <c r="A808" s="17">
        <v>2012122.0</v>
      </c>
      <c r="B808" s="17">
        <v>1.0</v>
      </c>
      <c r="C808" s="17">
        <v>2000000.0</v>
      </c>
      <c r="D808" s="17">
        <v>2000000.0</v>
      </c>
      <c r="E808" s="17">
        <v>2000000.0</v>
      </c>
      <c r="F808" s="17">
        <v>3000000.0</v>
      </c>
      <c r="G808" s="17">
        <v>3000000.0</v>
      </c>
      <c r="H808" s="17">
        <v>3000000.0</v>
      </c>
    </row>
    <row r="809">
      <c r="A809" s="17">
        <v>2012202.0</v>
      </c>
      <c r="B809" s="17">
        <v>2.0</v>
      </c>
      <c r="C809" s="17">
        <v>2000000.0</v>
      </c>
      <c r="D809" s="17">
        <v>2000000.0</v>
      </c>
      <c r="E809" s="17">
        <v>2000000.0</v>
      </c>
      <c r="F809" s="17">
        <v>3000000.0</v>
      </c>
      <c r="G809" s="17">
        <v>3000000.0</v>
      </c>
      <c r="H809" s="17">
        <v>3000000.0</v>
      </c>
    </row>
    <row r="810">
      <c r="A810" s="17">
        <v>2012212.0</v>
      </c>
      <c r="B810" s="17">
        <v>2.0</v>
      </c>
      <c r="C810" s="17">
        <v>2000000.0</v>
      </c>
      <c r="D810" s="17">
        <v>2000000.0</v>
      </c>
      <c r="E810" s="17">
        <v>2000000.0</v>
      </c>
      <c r="F810" s="17">
        <v>3000000.0</v>
      </c>
      <c r="G810" s="17">
        <v>3000000.0</v>
      </c>
      <c r="H810" s="17">
        <v>3000000.0</v>
      </c>
    </row>
    <row r="811">
      <c r="A811" s="17">
        <v>2012222.0</v>
      </c>
      <c r="B811" s="17">
        <v>2.0</v>
      </c>
      <c r="C811" s="17">
        <v>2000000.0</v>
      </c>
      <c r="D811" s="17">
        <v>2000000.0</v>
      </c>
      <c r="E811" s="17">
        <v>2000000.0</v>
      </c>
      <c r="F811" s="17">
        <v>3000000.0</v>
      </c>
      <c r="G811" s="17">
        <v>3000000.0</v>
      </c>
      <c r="H811" s="17">
        <v>3000000.0</v>
      </c>
    </row>
    <row r="812">
      <c r="A812" s="17">
        <v>2012302.0</v>
      </c>
      <c r="B812" s="17">
        <v>3.0</v>
      </c>
      <c r="C812" s="17">
        <v>2000000.0</v>
      </c>
      <c r="D812" s="17">
        <v>2000000.0</v>
      </c>
      <c r="E812" s="17">
        <v>2000000.0</v>
      </c>
      <c r="F812" s="17">
        <v>3000000.0</v>
      </c>
      <c r="G812" s="17">
        <v>3000000.0</v>
      </c>
      <c r="H812" s="17">
        <v>3000000.0</v>
      </c>
    </row>
    <row r="813">
      <c r="A813" s="17">
        <v>2012312.0</v>
      </c>
      <c r="B813" s="17">
        <v>3.0</v>
      </c>
      <c r="C813" s="17">
        <v>2000000.0</v>
      </c>
      <c r="D813" s="17">
        <v>2000000.0</v>
      </c>
      <c r="E813" s="17">
        <v>2000000.0</v>
      </c>
      <c r="F813" s="17">
        <v>3000000.0</v>
      </c>
      <c r="G813" s="17">
        <v>3000000.0</v>
      </c>
      <c r="H813" s="17">
        <v>3000000.0</v>
      </c>
    </row>
    <row r="814">
      <c r="A814" s="17">
        <v>2012322.0</v>
      </c>
      <c r="B814" s="17">
        <v>3.0</v>
      </c>
      <c r="C814" s="17">
        <v>2000000.0</v>
      </c>
      <c r="D814" s="17">
        <v>2000000.0</v>
      </c>
      <c r="E814" s="17">
        <v>2000000.0</v>
      </c>
      <c r="F814" s="17">
        <v>3000000.0</v>
      </c>
      <c r="G814" s="17">
        <v>3000000.0</v>
      </c>
      <c r="H814" s="17">
        <v>3000000.0</v>
      </c>
    </row>
    <row r="815">
      <c r="A815" s="17">
        <v>2013000.0</v>
      </c>
      <c r="B815" s="17">
        <v>0.0</v>
      </c>
      <c r="C815" s="17">
        <v>2200000.0</v>
      </c>
      <c r="D815" s="17">
        <v>-1.0</v>
      </c>
      <c r="E815" s="17">
        <v>-1.0</v>
      </c>
      <c r="F815" s="17">
        <v>-1.0</v>
      </c>
      <c r="G815" s="17">
        <v>-1.0</v>
      </c>
      <c r="H815" s="17">
        <v>-1.0</v>
      </c>
    </row>
    <row r="816">
      <c r="A816" s="17">
        <v>2013001.0</v>
      </c>
      <c r="B816" s="17">
        <v>0.0</v>
      </c>
      <c r="C816" s="17">
        <v>2200000.0</v>
      </c>
      <c r="D816" s="17">
        <v>2200000.0</v>
      </c>
      <c r="E816" s="17">
        <v>-1.0</v>
      </c>
      <c r="F816" s="17">
        <v>-1.0</v>
      </c>
      <c r="G816" s="17">
        <v>-1.0</v>
      </c>
      <c r="H816" s="17">
        <v>-1.0</v>
      </c>
    </row>
    <row r="817">
      <c r="A817" s="17">
        <v>2013002.0</v>
      </c>
      <c r="B817" s="17">
        <v>0.0</v>
      </c>
      <c r="C817" s="17">
        <v>2200000.0</v>
      </c>
      <c r="D817" s="17">
        <v>2200000.0</v>
      </c>
      <c r="E817" s="17">
        <v>2200000.0</v>
      </c>
      <c r="F817" s="17">
        <v>-1.0</v>
      </c>
      <c r="G817" s="17">
        <v>-1.0</v>
      </c>
      <c r="H817" s="17">
        <v>-1.0</v>
      </c>
    </row>
    <row r="818">
      <c r="A818" s="17">
        <v>2013010.0</v>
      </c>
      <c r="B818" s="17">
        <v>0.0</v>
      </c>
      <c r="C818" s="17">
        <v>2200000.0</v>
      </c>
      <c r="D818" s="17">
        <v>-1.0</v>
      </c>
      <c r="E818" s="17">
        <v>-1.0</v>
      </c>
      <c r="F818" s="17">
        <v>-1.0</v>
      </c>
      <c r="G818" s="17">
        <v>-1.0</v>
      </c>
      <c r="H818" s="17">
        <v>-1.0</v>
      </c>
    </row>
    <row r="819">
      <c r="A819" s="17">
        <v>2013011.0</v>
      </c>
      <c r="B819" s="17">
        <v>0.0</v>
      </c>
      <c r="C819" s="17">
        <v>2200000.0</v>
      </c>
      <c r="D819" s="17">
        <v>2200000.0</v>
      </c>
      <c r="E819" s="17">
        <v>-1.0</v>
      </c>
      <c r="F819" s="17">
        <v>-1.0</v>
      </c>
      <c r="G819" s="17">
        <v>-1.0</v>
      </c>
      <c r="H819" s="17">
        <v>-1.0</v>
      </c>
    </row>
    <row r="820">
      <c r="A820" s="17">
        <v>2013012.0</v>
      </c>
      <c r="B820" s="17">
        <v>0.0</v>
      </c>
      <c r="C820" s="17">
        <v>2200000.0</v>
      </c>
      <c r="D820" s="17">
        <v>2200000.0</v>
      </c>
      <c r="E820" s="17">
        <v>2200000.0</v>
      </c>
      <c r="F820" s="17">
        <v>-1.0</v>
      </c>
      <c r="G820" s="17">
        <v>-1.0</v>
      </c>
      <c r="H820" s="17">
        <v>-1.0</v>
      </c>
    </row>
    <row r="821">
      <c r="A821" s="17">
        <v>2013020.0</v>
      </c>
      <c r="B821" s="17">
        <v>0.0</v>
      </c>
      <c r="C821" s="17">
        <v>2200000.0</v>
      </c>
      <c r="D821" s="17">
        <v>-1.0</v>
      </c>
      <c r="E821" s="17">
        <v>-1.0</v>
      </c>
      <c r="F821" s="17">
        <v>-1.0</v>
      </c>
      <c r="G821" s="17">
        <v>-1.0</v>
      </c>
      <c r="H821" s="17">
        <v>-1.0</v>
      </c>
    </row>
    <row r="822">
      <c r="A822" s="17">
        <v>2013021.0</v>
      </c>
      <c r="B822" s="17">
        <v>0.0</v>
      </c>
      <c r="C822" s="17">
        <v>2200000.0</v>
      </c>
      <c r="D822" s="17">
        <v>2200000.0</v>
      </c>
      <c r="E822" s="17">
        <v>-1.0</v>
      </c>
      <c r="F822" s="17">
        <v>-1.0</v>
      </c>
      <c r="G822" s="17">
        <v>-1.0</v>
      </c>
      <c r="H822" s="17">
        <v>-1.0</v>
      </c>
    </row>
    <row r="823">
      <c r="A823" s="17">
        <v>2013022.0</v>
      </c>
      <c r="B823" s="17">
        <v>0.0</v>
      </c>
      <c r="C823" s="17">
        <v>2200000.0</v>
      </c>
      <c r="D823" s="17">
        <v>2200000.0</v>
      </c>
      <c r="E823" s="17">
        <v>2200000.0</v>
      </c>
      <c r="F823" s="17">
        <v>-1.0</v>
      </c>
      <c r="G823" s="17">
        <v>-1.0</v>
      </c>
      <c r="H823" s="17">
        <v>-1.0</v>
      </c>
    </row>
    <row r="824">
      <c r="A824" s="17">
        <v>2013100.0</v>
      </c>
      <c r="B824" s="17">
        <v>1.0</v>
      </c>
      <c r="C824" s="17">
        <v>2200000.0</v>
      </c>
      <c r="D824" s="17">
        <v>-1.0</v>
      </c>
      <c r="E824" s="17">
        <v>-1.0</v>
      </c>
      <c r="F824" s="17">
        <v>-1.0</v>
      </c>
      <c r="G824" s="17">
        <v>-1.0</v>
      </c>
      <c r="H824" s="17">
        <v>-1.0</v>
      </c>
    </row>
    <row r="825">
      <c r="A825" s="17">
        <v>2013101.0</v>
      </c>
      <c r="B825" s="17">
        <v>1.0</v>
      </c>
      <c r="C825" s="17">
        <v>2200000.0</v>
      </c>
      <c r="D825" s="17">
        <v>2200000.0</v>
      </c>
      <c r="E825" s="17">
        <v>-1.0</v>
      </c>
      <c r="F825" s="17">
        <v>-1.0</v>
      </c>
      <c r="G825" s="17">
        <v>-1.0</v>
      </c>
      <c r="H825" s="17">
        <v>-1.0</v>
      </c>
    </row>
    <row r="826">
      <c r="A826" s="17">
        <v>2013102.0</v>
      </c>
      <c r="B826" s="17">
        <v>1.0</v>
      </c>
      <c r="C826" s="17">
        <v>2200000.0</v>
      </c>
      <c r="D826" s="17">
        <v>2200000.0</v>
      </c>
      <c r="E826" s="17">
        <v>2200000.0</v>
      </c>
      <c r="F826" s="17">
        <v>-1.0</v>
      </c>
      <c r="G826" s="17">
        <v>-1.0</v>
      </c>
      <c r="H826" s="17">
        <v>-1.0</v>
      </c>
    </row>
    <row r="827">
      <c r="A827" s="17">
        <v>2013110.0</v>
      </c>
      <c r="B827" s="17">
        <v>1.0</v>
      </c>
      <c r="C827" s="17">
        <v>2200000.0</v>
      </c>
      <c r="D827" s="17">
        <v>-1.0</v>
      </c>
      <c r="E827" s="17">
        <v>-1.0</v>
      </c>
      <c r="F827" s="17">
        <v>-1.0</v>
      </c>
      <c r="G827" s="17">
        <v>-1.0</v>
      </c>
      <c r="H827" s="17">
        <v>-1.0</v>
      </c>
    </row>
    <row r="828">
      <c r="A828" s="17">
        <v>2013111.0</v>
      </c>
      <c r="B828" s="17">
        <v>1.0</v>
      </c>
      <c r="C828" s="17">
        <v>2200000.0</v>
      </c>
      <c r="D828" s="17">
        <v>2200000.0</v>
      </c>
      <c r="E828" s="17">
        <v>-1.0</v>
      </c>
      <c r="F828" s="17">
        <v>-1.0</v>
      </c>
      <c r="G828" s="17">
        <v>-1.0</v>
      </c>
      <c r="H828" s="17">
        <v>-1.0</v>
      </c>
    </row>
    <row r="829">
      <c r="A829" s="17">
        <v>2013112.0</v>
      </c>
      <c r="B829" s="17">
        <v>1.0</v>
      </c>
      <c r="C829" s="17">
        <v>2200000.0</v>
      </c>
      <c r="D829" s="17">
        <v>2200000.0</v>
      </c>
      <c r="E829" s="17">
        <v>2200000.0</v>
      </c>
      <c r="F829" s="17">
        <v>-1.0</v>
      </c>
      <c r="G829" s="17">
        <v>-1.0</v>
      </c>
      <c r="H829" s="17">
        <v>-1.0</v>
      </c>
    </row>
    <row r="830">
      <c r="A830" s="17">
        <v>2013120.0</v>
      </c>
      <c r="B830" s="17">
        <v>1.0</v>
      </c>
      <c r="C830" s="17">
        <v>2200000.0</v>
      </c>
      <c r="D830" s="17">
        <v>-1.0</v>
      </c>
      <c r="E830" s="17">
        <v>-1.0</v>
      </c>
      <c r="F830" s="17">
        <v>-1.0</v>
      </c>
      <c r="G830" s="17">
        <v>-1.0</v>
      </c>
      <c r="H830" s="17">
        <v>-1.0</v>
      </c>
    </row>
    <row r="831">
      <c r="A831" s="17">
        <v>2013121.0</v>
      </c>
      <c r="B831" s="17">
        <v>1.0</v>
      </c>
      <c r="C831" s="17">
        <v>2200000.0</v>
      </c>
      <c r="D831" s="17">
        <v>2200000.0</v>
      </c>
      <c r="E831" s="17">
        <v>-1.0</v>
      </c>
      <c r="F831" s="17">
        <v>-1.0</v>
      </c>
      <c r="G831" s="17">
        <v>-1.0</v>
      </c>
      <c r="H831" s="17">
        <v>-1.0</v>
      </c>
    </row>
    <row r="832">
      <c r="A832" s="17">
        <v>2013122.0</v>
      </c>
      <c r="B832" s="17">
        <v>1.0</v>
      </c>
      <c r="C832" s="17">
        <v>2200000.0</v>
      </c>
      <c r="D832" s="17">
        <v>2200000.0</v>
      </c>
      <c r="E832" s="17">
        <v>2200000.0</v>
      </c>
      <c r="F832" s="17">
        <v>-1.0</v>
      </c>
      <c r="G832" s="17">
        <v>-1.0</v>
      </c>
      <c r="H832" s="17">
        <v>-1.0</v>
      </c>
    </row>
    <row r="833">
      <c r="A833" s="17">
        <v>2013200.0</v>
      </c>
      <c r="B833" s="17">
        <v>2.0</v>
      </c>
      <c r="C833" s="17">
        <v>2200000.0</v>
      </c>
      <c r="D833" s="17">
        <v>-1.0</v>
      </c>
      <c r="E833" s="17">
        <v>-1.0</v>
      </c>
      <c r="F833" s="17">
        <v>-1.0</v>
      </c>
      <c r="G833" s="17">
        <v>-1.0</v>
      </c>
      <c r="H833" s="17">
        <v>-1.0</v>
      </c>
    </row>
    <row r="834">
      <c r="A834" s="17">
        <v>2013201.0</v>
      </c>
      <c r="B834" s="17">
        <v>2.0</v>
      </c>
      <c r="C834" s="17">
        <v>2200000.0</v>
      </c>
      <c r="D834" s="17">
        <v>2200000.0</v>
      </c>
      <c r="E834" s="17">
        <v>-1.0</v>
      </c>
      <c r="F834" s="17">
        <v>-1.0</v>
      </c>
      <c r="G834" s="17">
        <v>-1.0</v>
      </c>
      <c r="H834" s="17">
        <v>-1.0</v>
      </c>
    </row>
    <row r="835">
      <c r="A835" s="17">
        <v>2013202.0</v>
      </c>
      <c r="B835" s="17">
        <v>2.0</v>
      </c>
      <c r="C835" s="17">
        <v>2200000.0</v>
      </c>
      <c r="D835" s="17">
        <v>2200000.0</v>
      </c>
      <c r="E835" s="17">
        <v>2200000.0</v>
      </c>
      <c r="F835" s="17">
        <v>-1.0</v>
      </c>
      <c r="G835" s="17">
        <v>-1.0</v>
      </c>
      <c r="H835" s="17">
        <v>-1.0</v>
      </c>
    </row>
    <row r="836">
      <c r="A836" s="17">
        <v>2013210.0</v>
      </c>
      <c r="B836" s="17">
        <v>2.0</v>
      </c>
      <c r="C836" s="17">
        <v>2200000.0</v>
      </c>
      <c r="D836" s="17">
        <v>-1.0</v>
      </c>
      <c r="E836" s="17">
        <v>-1.0</v>
      </c>
      <c r="F836" s="17">
        <v>-1.0</v>
      </c>
      <c r="G836" s="17">
        <v>-1.0</v>
      </c>
      <c r="H836" s="17">
        <v>-1.0</v>
      </c>
    </row>
    <row r="837">
      <c r="A837" s="17">
        <v>2013211.0</v>
      </c>
      <c r="B837" s="17">
        <v>2.0</v>
      </c>
      <c r="C837" s="17">
        <v>2200000.0</v>
      </c>
      <c r="D837" s="17">
        <v>2200000.0</v>
      </c>
      <c r="E837" s="17">
        <v>-1.0</v>
      </c>
      <c r="F837" s="17">
        <v>-1.0</v>
      </c>
      <c r="G837" s="17">
        <v>-1.0</v>
      </c>
      <c r="H837" s="17">
        <v>-1.0</v>
      </c>
    </row>
    <row r="838">
      <c r="A838" s="17">
        <v>2013212.0</v>
      </c>
      <c r="B838" s="17">
        <v>2.0</v>
      </c>
      <c r="C838" s="17">
        <v>2200000.0</v>
      </c>
      <c r="D838" s="17">
        <v>2200000.0</v>
      </c>
      <c r="E838" s="17">
        <v>2200000.0</v>
      </c>
      <c r="F838" s="17">
        <v>-1.0</v>
      </c>
      <c r="G838" s="17">
        <v>-1.0</v>
      </c>
      <c r="H838" s="17">
        <v>-1.0</v>
      </c>
    </row>
    <row r="839">
      <c r="A839" s="17">
        <v>2013220.0</v>
      </c>
      <c r="B839" s="17">
        <v>2.0</v>
      </c>
      <c r="C839" s="17">
        <v>2200000.0</v>
      </c>
      <c r="D839" s="17">
        <v>-1.0</v>
      </c>
      <c r="E839" s="17">
        <v>-1.0</v>
      </c>
      <c r="F839" s="17">
        <v>-1.0</v>
      </c>
      <c r="G839" s="17">
        <v>-1.0</v>
      </c>
      <c r="H839" s="17">
        <v>-1.0</v>
      </c>
    </row>
    <row r="840">
      <c r="A840" s="17">
        <v>2013221.0</v>
      </c>
      <c r="B840" s="17">
        <v>2.0</v>
      </c>
      <c r="C840" s="17">
        <v>2200000.0</v>
      </c>
      <c r="D840" s="17">
        <v>2200000.0</v>
      </c>
      <c r="E840" s="17">
        <v>-1.0</v>
      </c>
      <c r="F840" s="17">
        <v>-1.0</v>
      </c>
      <c r="G840" s="17">
        <v>-1.0</v>
      </c>
      <c r="H840" s="17">
        <v>-1.0</v>
      </c>
    </row>
    <row r="841">
      <c r="A841" s="17">
        <v>2013222.0</v>
      </c>
      <c r="B841" s="17">
        <v>2.0</v>
      </c>
      <c r="C841" s="17">
        <v>2200000.0</v>
      </c>
      <c r="D841" s="17">
        <v>2200000.0</v>
      </c>
      <c r="E841" s="17">
        <v>2200000.0</v>
      </c>
      <c r="F841" s="17">
        <v>-1.0</v>
      </c>
      <c r="G841" s="17">
        <v>-1.0</v>
      </c>
      <c r="H841" s="17">
        <v>-1.0</v>
      </c>
    </row>
    <row r="842">
      <c r="A842" s="17">
        <v>2013300.0</v>
      </c>
      <c r="B842" s="17">
        <v>3.0</v>
      </c>
      <c r="C842" s="17">
        <v>2200000.0</v>
      </c>
      <c r="D842" s="17">
        <v>-1.0</v>
      </c>
      <c r="E842" s="17">
        <v>-1.0</v>
      </c>
      <c r="F842" s="17">
        <v>-1.0</v>
      </c>
      <c r="G842" s="17">
        <v>-1.0</v>
      </c>
      <c r="H842" s="17">
        <v>-1.0</v>
      </c>
    </row>
    <row r="843">
      <c r="A843" s="17">
        <v>2013301.0</v>
      </c>
      <c r="B843" s="17">
        <v>3.0</v>
      </c>
      <c r="C843" s="17">
        <v>2200000.0</v>
      </c>
      <c r="D843" s="17">
        <v>2200000.0</v>
      </c>
      <c r="E843" s="17">
        <v>-1.0</v>
      </c>
      <c r="F843" s="17">
        <v>-1.0</v>
      </c>
      <c r="G843" s="17">
        <v>-1.0</v>
      </c>
      <c r="H843" s="17">
        <v>-1.0</v>
      </c>
    </row>
    <row r="844">
      <c r="A844" s="17">
        <v>2013302.0</v>
      </c>
      <c r="B844" s="17">
        <v>3.0</v>
      </c>
      <c r="C844" s="17">
        <v>2200000.0</v>
      </c>
      <c r="D844" s="17">
        <v>2200000.0</v>
      </c>
      <c r="E844" s="17">
        <v>2200000.0</v>
      </c>
      <c r="F844" s="17">
        <v>-1.0</v>
      </c>
      <c r="G844" s="17">
        <v>-1.0</v>
      </c>
      <c r="H844" s="17">
        <v>-1.0</v>
      </c>
    </row>
    <row r="845">
      <c r="A845" s="17">
        <v>2013310.0</v>
      </c>
      <c r="B845" s="17">
        <v>3.0</v>
      </c>
      <c r="C845" s="17">
        <v>2200000.0</v>
      </c>
      <c r="D845" s="17">
        <v>-1.0</v>
      </c>
      <c r="E845" s="17">
        <v>-1.0</v>
      </c>
      <c r="F845" s="17">
        <v>-1.0</v>
      </c>
      <c r="G845" s="17">
        <v>-1.0</v>
      </c>
      <c r="H845" s="17">
        <v>-1.0</v>
      </c>
    </row>
    <row r="846">
      <c r="A846" s="17">
        <v>2013311.0</v>
      </c>
      <c r="B846" s="17">
        <v>3.0</v>
      </c>
      <c r="C846" s="17">
        <v>2200000.0</v>
      </c>
      <c r="D846" s="17">
        <v>2200000.0</v>
      </c>
      <c r="E846" s="17">
        <v>-1.0</v>
      </c>
      <c r="F846" s="17">
        <v>-1.0</v>
      </c>
      <c r="G846" s="17">
        <v>-1.0</v>
      </c>
      <c r="H846" s="17">
        <v>-1.0</v>
      </c>
    </row>
    <row r="847">
      <c r="A847" s="17">
        <v>2013312.0</v>
      </c>
      <c r="B847" s="17">
        <v>3.0</v>
      </c>
      <c r="C847" s="17">
        <v>2200000.0</v>
      </c>
      <c r="D847" s="17">
        <v>2200000.0</v>
      </c>
      <c r="E847" s="17">
        <v>2200000.0</v>
      </c>
      <c r="F847" s="17">
        <v>-1.0</v>
      </c>
      <c r="G847" s="17">
        <v>-1.0</v>
      </c>
      <c r="H847" s="17">
        <v>-1.0</v>
      </c>
    </row>
    <row r="848">
      <c r="A848" s="17">
        <v>2013320.0</v>
      </c>
      <c r="B848" s="17">
        <v>3.0</v>
      </c>
      <c r="C848" s="17">
        <v>2200000.0</v>
      </c>
      <c r="D848" s="17">
        <v>-1.0</v>
      </c>
      <c r="E848" s="17">
        <v>-1.0</v>
      </c>
      <c r="F848" s="17">
        <v>-1.0</v>
      </c>
      <c r="G848" s="17">
        <v>-1.0</v>
      </c>
      <c r="H848" s="17">
        <v>-1.0</v>
      </c>
    </row>
    <row r="849">
      <c r="A849" s="17">
        <v>2013321.0</v>
      </c>
      <c r="B849" s="17">
        <v>3.0</v>
      </c>
      <c r="C849" s="17">
        <v>2200000.0</v>
      </c>
      <c r="D849" s="17">
        <v>2200000.0</v>
      </c>
      <c r="E849" s="17">
        <v>-1.0</v>
      </c>
      <c r="F849" s="17">
        <v>-1.0</v>
      </c>
      <c r="G849" s="17">
        <v>-1.0</v>
      </c>
      <c r="H849" s="17">
        <v>-1.0</v>
      </c>
    </row>
    <row r="850">
      <c r="A850" s="17">
        <v>2013322.0</v>
      </c>
      <c r="B850" s="17">
        <v>3.0</v>
      </c>
      <c r="C850" s="17">
        <v>2200000.0</v>
      </c>
      <c r="D850" s="17">
        <v>2200000.0</v>
      </c>
      <c r="E850" s="17">
        <v>2200000.0</v>
      </c>
      <c r="F850" s="17">
        <v>-1.0</v>
      </c>
      <c r="G850" s="17">
        <v>-1.0</v>
      </c>
      <c r="H850" s="17">
        <v>-1.0</v>
      </c>
    </row>
    <row r="851">
      <c r="A851" s="17">
        <v>6001400.0</v>
      </c>
      <c r="B851" s="17">
        <v>0.0</v>
      </c>
      <c r="C851" s="17">
        <v>6001400.0</v>
      </c>
      <c r="D851" s="17">
        <v>-1.0</v>
      </c>
      <c r="E851" s="17">
        <v>-1.0</v>
      </c>
      <c r="F851" s="17">
        <v>-1.0</v>
      </c>
      <c r="G851" s="17">
        <v>-1.0</v>
      </c>
      <c r="H851" s="17">
        <v>-1.0</v>
      </c>
    </row>
    <row r="852">
      <c r="A852" s="17">
        <v>6001401.0</v>
      </c>
      <c r="B852" s="17">
        <v>0.0</v>
      </c>
      <c r="C852" s="17">
        <v>6001401.0</v>
      </c>
      <c r="D852" s="17">
        <v>-1.0</v>
      </c>
      <c r="E852" s="17">
        <v>-1.0</v>
      </c>
      <c r="F852" s="17">
        <v>-1.0</v>
      </c>
      <c r="G852" s="17">
        <v>-1.0</v>
      </c>
      <c r="H852" s="17">
        <v>-1.0</v>
      </c>
    </row>
    <row r="853">
      <c r="A853" s="17">
        <v>6001500.0</v>
      </c>
      <c r="B853" s="17">
        <v>0.0</v>
      </c>
      <c r="C853" s="17">
        <v>6001500.0</v>
      </c>
      <c r="D853" s="17">
        <v>-1.0</v>
      </c>
      <c r="E853" s="17">
        <v>-1.0</v>
      </c>
      <c r="F853" s="17">
        <v>-1.0</v>
      </c>
      <c r="G853" s="17">
        <v>-1.0</v>
      </c>
      <c r="H853" s="17">
        <v>-1.0</v>
      </c>
    </row>
    <row r="854">
      <c r="A854" s="17">
        <v>6001501.0</v>
      </c>
      <c r="B854" s="17">
        <v>0.0</v>
      </c>
      <c r="C854" s="17">
        <v>6001501.0</v>
      </c>
      <c r="D854" s="17">
        <v>-1.0</v>
      </c>
      <c r="E854" s="17">
        <v>-1.0</v>
      </c>
      <c r="F854" s="17">
        <v>-1.0</v>
      </c>
      <c r="G854" s="17">
        <v>-1.0</v>
      </c>
      <c r="H854" s="17">
        <v>-1.0</v>
      </c>
    </row>
    <row r="855">
      <c r="A855" s="17">
        <v>6001600.0</v>
      </c>
      <c r="B855" s="17">
        <v>0.0</v>
      </c>
      <c r="C855" s="17">
        <v>6001600.0</v>
      </c>
      <c r="D855" s="17">
        <v>-1.0</v>
      </c>
      <c r="E855" s="17">
        <v>-1.0</v>
      </c>
      <c r="F855" s="17">
        <v>-1.0</v>
      </c>
      <c r="G855" s="17">
        <v>-1.0</v>
      </c>
      <c r="H855" s="17">
        <v>-1.0</v>
      </c>
    </row>
    <row r="856">
      <c r="A856" s="17">
        <v>6001601.0</v>
      </c>
      <c r="B856" s="17">
        <v>0.0</v>
      </c>
      <c r="C856" s="17">
        <v>6001601.0</v>
      </c>
      <c r="D856" s="17">
        <v>-1.0</v>
      </c>
      <c r="E856" s="17">
        <v>-1.0</v>
      </c>
      <c r="F856" s="17">
        <v>-1.0</v>
      </c>
      <c r="G856" s="17">
        <v>-1.0</v>
      </c>
      <c r="H856" s="17">
        <v>-1.0</v>
      </c>
    </row>
    <row r="857">
      <c r="A857" s="17">
        <v>6001700.0</v>
      </c>
      <c r="B857" s="17">
        <v>0.0</v>
      </c>
      <c r="C857" s="17">
        <v>6001700.0</v>
      </c>
      <c r="D857" s="17">
        <v>-1.0</v>
      </c>
      <c r="E857" s="17">
        <v>-1.0</v>
      </c>
      <c r="F857" s="17">
        <v>-1.0</v>
      </c>
      <c r="G857" s="17">
        <v>-1.0</v>
      </c>
      <c r="H857" s="17">
        <v>-1.0</v>
      </c>
    </row>
    <row r="858">
      <c r="A858" s="17">
        <v>6001701.0</v>
      </c>
      <c r="B858" s="17">
        <v>0.0</v>
      </c>
      <c r="C858" s="17">
        <v>6001701.0</v>
      </c>
      <c r="D858" s="17">
        <v>-1.0</v>
      </c>
      <c r="E858" s="17">
        <v>-1.0</v>
      </c>
      <c r="F858" s="17">
        <v>-1.0</v>
      </c>
      <c r="G858" s="17">
        <v>-1.0</v>
      </c>
      <c r="H858" s="17">
        <v>-1.0</v>
      </c>
    </row>
    <row r="859">
      <c r="A859" s="17">
        <v>6001800.0</v>
      </c>
      <c r="B859" s="17">
        <v>0.0</v>
      </c>
      <c r="C859" s="17">
        <v>6001800.0</v>
      </c>
      <c r="D859" s="17">
        <v>-1.0</v>
      </c>
      <c r="E859" s="17">
        <v>-1.0</v>
      </c>
      <c r="F859" s="17">
        <v>-1.0</v>
      </c>
      <c r="G859" s="17">
        <v>-1.0</v>
      </c>
      <c r="H859" s="17">
        <v>-1.0</v>
      </c>
    </row>
    <row r="860">
      <c r="A860" s="17">
        <v>6001801.0</v>
      </c>
      <c r="B860" s="17">
        <v>0.0</v>
      </c>
      <c r="C860" s="17">
        <v>6001801.0</v>
      </c>
      <c r="D860" s="17">
        <v>-1.0</v>
      </c>
      <c r="E860" s="17">
        <v>-1.0</v>
      </c>
      <c r="F860" s="17">
        <v>-1.0</v>
      </c>
      <c r="G860" s="17">
        <v>-1.0</v>
      </c>
      <c r="H860" s="17">
        <v>-1.0</v>
      </c>
    </row>
    <row r="861">
      <c r="A861" s="17">
        <v>6002600.0</v>
      </c>
      <c r="B861" s="17">
        <v>0.0</v>
      </c>
      <c r="C861" s="17">
        <v>6002600.0</v>
      </c>
      <c r="D861" s="17">
        <v>-1.0</v>
      </c>
      <c r="E861" s="17">
        <v>-1.0</v>
      </c>
      <c r="F861" s="17">
        <v>-1.0</v>
      </c>
      <c r="G861" s="17">
        <v>-1.0</v>
      </c>
      <c r="H861" s="17">
        <v>-1.0</v>
      </c>
    </row>
    <row r="862">
      <c r="A862" s="17">
        <v>6002601.0</v>
      </c>
      <c r="B862" s="17">
        <v>0.0</v>
      </c>
      <c r="C862" s="17">
        <v>6002601.0</v>
      </c>
      <c r="D862" s="17">
        <v>-1.0</v>
      </c>
      <c r="E862" s="17">
        <v>-1.0</v>
      </c>
      <c r="F862" s="17">
        <v>-1.0</v>
      </c>
      <c r="G862" s="17">
        <v>-1.0</v>
      </c>
      <c r="H862" s="17">
        <v>-1.0</v>
      </c>
    </row>
    <row r="863">
      <c r="A863" s="17">
        <v>6002700.0</v>
      </c>
      <c r="B863" s="17">
        <v>0.0</v>
      </c>
      <c r="C863" s="17">
        <v>6002700.0</v>
      </c>
      <c r="D863" s="17">
        <v>-1.0</v>
      </c>
      <c r="E863" s="17">
        <v>-1.0</v>
      </c>
      <c r="F863" s="17">
        <v>-1.0</v>
      </c>
      <c r="G863" s="17">
        <v>-1.0</v>
      </c>
      <c r="H863" s="17">
        <v>-1.0</v>
      </c>
    </row>
    <row r="864">
      <c r="A864" s="17">
        <v>6002701.0</v>
      </c>
      <c r="B864" s="17">
        <v>0.0</v>
      </c>
      <c r="C864" s="17">
        <v>6002701.0</v>
      </c>
      <c r="D864" s="17">
        <v>-1.0</v>
      </c>
      <c r="E864" s="17">
        <v>-1.0</v>
      </c>
      <c r="F864" s="17">
        <v>-1.0</v>
      </c>
      <c r="G864" s="17">
        <v>-1.0</v>
      </c>
      <c r="H864" s="17">
        <v>-1.0</v>
      </c>
    </row>
    <row r="865">
      <c r="A865" s="17">
        <v>6002800.0</v>
      </c>
      <c r="B865" s="17">
        <v>0.0</v>
      </c>
      <c r="C865" s="17">
        <v>6002800.0</v>
      </c>
      <c r="D865" s="17">
        <v>-1.0</v>
      </c>
      <c r="E865" s="17">
        <v>-1.0</v>
      </c>
      <c r="F865" s="17">
        <v>-1.0</v>
      </c>
      <c r="G865" s="17">
        <v>-1.0</v>
      </c>
      <c r="H865" s="17">
        <v>-1.0</v>
      </c>
    </row>
    <row r="866">
      <c r="A866" s="17">
        <v>6002801.0</v>
      </c>
      <c r="B866" s="17">
        <v>0.0</v>
      </c>
      <c r="C866" s="17">
        <v>6002801.0</v>
      </c>
      <c r="D866" s="17">
        <v>-1.0</v>
      </c>
      <c r="E866" s="17">
        <v>-1.0</v>
      </c>
      <c r="F866" s="17">
        <v>-1.0</v>
      </c>
      <c r="G866" s="17">
        <v>-1.0</v>
      </c>
      <c r="H866" s="17">
        <v>-1.0</v>
      </c>
    </row>
    <row r="867">
      <c r="A867" s="17">
        <v>6002900.0</v>
      </c>
      <c r="B867" s="17">
        <v>0.0</v>
      </c>
      <c r="C867" s="17">
        <v>6002900.0</v>
      </c>
      <c r="D867" s="17">
        <v>-1.0</v>
      </c>
      <c r="E867" s="17">
        <v>-1.0</v>
      </c>
      <c r="F867" s="17">
        <v>-1.0</v>
      </c>
      <c r="G867" s="17">
        <v>-1.0</v>
      </c>
      <c r="H867" s="17">
        <v>-1.0</v>
      </c>
    </row>
    <row r="868">
      <c r="A868" s="17">
        <v>6002901.0</v>
      </c>
      <c r="B868" s="17">
        <v>0.0</v>
      </c>
      <c r="C868" s="17">
        <v>6002901.0</v>
      </c>
      <c r="D868" s="17">
        <v>-1.0</v>
      </c>
      <c r="E868" s="17">
        <v>-1.0</v>
      </c>
      <c r="F868" s="17">
        <v>-1.0</v>
      </c>
      <c r="G868" s="17">
        <v>-1.0</v>
      </c>
      <c r="H868" s="17">
        <v>-1.0</v>
      </c>
    </row>
    <row r="869">
      <c r="A869" s="17">
        <v>6003000.0</v>
      </c>
      <c r="B869" s="17">
        <v>0.0</v>
      </c>
      <c r="C869" s="17">
        <v>6003000.0</v>
      </c>
      <c r="D869" s="17">
        <v>-1.0</v>
      </c>
      <c r="E869" s="17">
        <v>-1.0</v>
      </c>
      <c r="F869" s="17">
        <v>-1.0</v>
      </c>
      <c r="G869" s="17">
        <v>-1.0</v>
      </c>
      <c r="H869" s="17">
        <v>-1.0</v>
      </c>
    </row>
    <row r="870">
      <c r="A870" s="17">
        <v>6003001.0</v>
      </c>
      <c r="B870" s="17">
        <v>0.0</v>
      </c>
      <c r="C870" s="17">
        <v>6003001.0</v>
      </c>
      <c r="D870" s="17">
        <v>-1.0</v>
      </c>
      <c r="E870" s="17">
        <v>-1.0</v>
      </c>
      <c r="F870" s="17">
        <v>-1.0</v>
      </c>
      <c r="G870" s="17">
        <v>-1.0</v>
      </c>
      <c r="H870" s="17">
        <v>-1.0</v>
      </c>
    </row>
    <row r="871">
      <c r="A871" s="17">
        <v>6003100.0</v>
      </c>
      <c r="B871" s="17">
        <v>0.0</v>
      </c>
      <c r="C871" s="17">
        <v>6003100.0</v>
      </c>
      <c r="D871" s="17">
        <v>-1.0</v>
      </c>
      <c r="E871" s="17">
        <v>-1.0</v>
      </c>
      <c r="F871" s="17">
        <v>-1.0</v>
      </c>
      <c r="G871" s="17">
        <v>-1.0</v>
      </c>
      <c r="H871" s="17">
        <v>-1.0</v>
      </c>
    </row>
    <row r="872">
      <c r="A872" s="17">
        <v>6003101.0</v>
      </c>
      <c r="B872" s="17">
        <v>0.0</v>
      </c>
      <c r="C872" s="17">
        <v>6003101.0</v>
      </c>
      <c r="D872" s="17">
        <v>-1.0</v>
      </c>
      <c r="E872" s="17">
        <v>-1.0</v>
      </c>
      <c r="F872" s="17">
        <v>-1.0</v>
      </c>
      <c r="G872" s="17">
        <v>-1.0</v>
      </c>
      <c r="H872" s="17">
        <v>-1.0</v>
      </c>
    </row>
    <row r="873">
      <c r="A873" s="17">
        <v>6003200.0</v>
      </c>
      <c r="B873" s="17">
        <v>0.0</v>
      </c>
      <c r="C873" s="17">
        <v>6003200.0</v>
      </c>
      <c r="D873" s="17">
        <v>-1.0</v>
      </c>
      <c r="E873" s="17">
        <v>-1.0</v>
      </c>
      <c r="F873" s="17">
        <v>-1.0</v>
      </c>
      <c r="G873" s="17">
        <v>-1.0</v>
      </c>
      <c r="H873" s="17">
        <v>-1.0</v>
      </c>
    </row>
    <row r="874">
      <c r="A874" s="17">
        <v>6003201.0</v>
      </c>
      <c r="B874" s="17">
        <v>0.0</v>
      </c>
      <c r="C874" s="17">
        <v>6003201.0</v>
      </c>
      <c r="D874" s="17">
        <v>-1.0</v>
      </c>
      <c r="E874" s="17">
        <v>-1.0</v>
      </c>
      <c r="F874" s="17">
        <v>-1.0</v>
      </c>
      <c r="G874" s="17">
        <v>-1.0</v>
      </c>
      <c r="H874" s="17">
        <v>-1.0</v>
      </c>
    </row>
    <row r="875">
      <c r="A875" s="17">
        <v>6003300.0</v>
      </c>
      <c r="B875" s="17">
        <v>0.0</v>
      </c>
      <c r="C875" s="17">
        <v>6003300.0</v>
      </c>
      <c r="D875" s="17">
        <v>-1.0</v>
      </c>
      <c r="E875" s="17">
        <v>-1.0</v>
      </c>
      <c r="F875" s="17">
        <v>-1.0</v>
      </c>
      <c r="G875" s="17">
        <v>-1.0</v>
      </c>
      <c r="H875" s="17">
        <v>-1.0</v>
      </c>
    </row>
    <row r="876">
      <c r="A876" s="17">
        <v>6003301.0</v>
      </c>
      <c r="B876" s="17">
        <v>0.0</v>
      </c>
      <c r="C876" s="17">
        <v>6003301.0</v>
      </c>
      <c r="D876" s="17">
        <v>-1.0</v>
      </c>
      <c r="E876" s="17">
        <v>-1.0</v>
      </c>
      <c r="F876" s="17">
        <v>-1.0</v>
      </c>
      <c r="G876" s="17">
        <v>-1.0</v>
      </c>
      <c r="H876" s="17">
        <v>-1.0</v>
      </c>
    </row>
    <row r="877">
      <c r="A877" s="17">
        <v>6003400.0</v>
      </c>
      <c r="B877" s="17">
        <v>0.0</v>
      </c>
      <c r="C877" s="17">
        <v>6003400.0</v>
      </c>
      <c r="D877" s="17">
        <v>-1.0</v>
      </c>
      <c r="E877" s="17">
        <v>-1.0</v>
      </c>
      <c r="F877" s="17">
        <v>-1.0</v>
      </c>
      <c r="G877" s="17">
        <v>-1.0</v>
      </c>
      <c r="H877" s="17">
        <v>-1.0</v>
      </c>
    </row>
    <row r="878">
      <c r="A878" s="17">
        <v>6003401.0</v>
      </c>
      <c r="B878" s="17">
        <v>0.0</v>
      </c>
      <c r="C878" s="17">
        <v>6003401.0</v>
      </c>
      <c r="D878" s="17">
        <v>-1.0</v>
      </c>
      <c r="E878" s="17">
        <v>-1.0</v>
      </c>
      <c r="F878" s="17">
        <v>-1.0</v>
      </c>
      <c r="G878" s="17">
        <v>-1.0</v>
      </c>
      <c r="H878" s="17">
        <v>-1.0</v>
      </c>
    </row>
    <row r="879">
      <c r="A879" s="17">
        <v>6003500.0</v>
      </c>
      <c r="B879" s="17">
        <v>0.0</v>
      </c>
      <c r="C879" s="17">
        <v>6003500.0</v>
      </c>
      <c r="D879" s="17">
        <v>-1.0</v>
      </c>
      <c r="E879" s="17">
        <v>-1.0</v>
      </c>
      <c r="F879" s="17">
        <v>-1.0</v>
      </c>
      <c r="G879" s="17">
        <v>-1.0</v>
      </c>
      <c r="H879" s="17">
        <v>-1.0</v>
      </c>
    </row>
    <row r="880">
      <c r="A880" s="17">
        <v>6003501.0</v>
      </c>
      <c r="B880" s="17">
        <v>0.0</v>
      </c>
      <c r="C880" s="17">
        <v>6003501.0</v>
      </c>
      <c r="D880" s="17">
        <v>-1.0</v>
      </c>
      <c r="E880" s="17">
        <v>-1.0</v>
      </c>
      <c r="F880" s="17">
        <v>-1.0</v>
      </c>
      <c r="G880" s="17">
        <v>-1.0</v>
      </c>
      <c r="H880" s="17">
        <v>-1.0</v>
      </c>
    </row>
    <row r="881">
      <c r="A881" s="17">
        <v>6003600.0</v>
      </c>
      <c r="B881" s="17">
        <v>0.0</v>
      </c>
      <c r="C881" s="17">
        <v>6003600.0</v>
      </c>
      <c r="D881" s="17">
        <v>-1.0</v>
      </c>
      <c r="E881" s="17">
        <v>-1.0</v>
      </c>
      <c r="F881" s="17">
        <v>-1.0</v>
      </c>
      <c r="G881" s="17">
        <v>-1.0</v>
      </c>
      <c r="H881" s="17">
        <v>-1.0</v>
      </c>
    </row>
    <row r="882">
      <c r="A882" s="17">
        <v>6003601.0</v>
      </c>
      <c r="B882" s="17">
        <v>0.0</v>
      </c>
      <c r="C882" s="17">
        <v>6003601.0</v>
      </c>
      <c r="D882" s="17">
        <v>-1.0</v>
      </c>
      <c r="E882" s="17">
        <v>-1.0</v>
      </c>
      <c r="F882" s="17">
        <v>-1.0</v>
      </c>
      <c r="G882" s="17">
        <v>-1.0</v>
      </c>
      <c r="H882" s="17">
        <v>-1.0</v>
      </c>
    </row>
    <row r="883">
      <c r="A883" s="17">
        <v>6005600.0</v>
      </c>
      <c r="B883" s="17">
        <v>0.0</v>
      </c>
      <c r="C883" s="17">
        <v>6005600.0</v>
      </c>
      <c r="D883" s="17">
        <v>-1.0</v>
      </c>
      <c r="E883" s="17">
        <v>-1.0</v>
      </c>
      <c r="F883" s="17">
        <v>-1.0</v>
      </c>
      <c r="G883" s="17">
        <v>-1.0</v>
      </c>
      <c r="H883" s="17">
        <v>-1.0</v>
      </c>
    </row>
    <row r="884">
      <c r="A884" s="17">
        <v>6005601.0</v>
      </c>
      <c r="B884" s="17">
        <v>0.0</v>
      </c>
      <c r="C884" s="17">
        <v>6005601.0</v>
      </c>
      <c r="D884" s="17">
        <v>-1.0</v>
      </c>
      <c r="E884" s="17">
        <v>-1.0</v>
      </c>
      <c r="F884" s="17">
        <v>-1.0</v>
      </c>
      <c r="G884" s="17">
        <v>-1.0</v>
      </c>
      <c r="H884" s="17">
        <v>-1.0</v>
      </c>
    </row>
    <row r="885">
      <c r="A885" s="17">
        <v>6030200.0</v>
      </c>
      <c r="B885" s="17">
        <v>0.0</v>
      </c>
      <c r="C885" s="17">
        <v>6030200.0</v>
      </c>
      <c r="D885" s="17">
        <v>-1.0</v>
      </c>
      <c r="E885" s="17">
        <v>-1.0</v>
      </c>
      <c r="F885" s="17">
        <v>-1.0</v>
      </c>
      <c r="G885" s="17">
        <v>-1.0</v>
      </c>
      <c r="H885" s="17">
        <v>-1.0</v>
      </c>
    </row>
    <row r="886">
      <c r="A886" s="17">
        <v>6030600.0</v>
      </c>
      <c r="B886" s="17">
        <v>0.0</v>
      </c>
      <c r="C886" s="17">
        <v>6030600.0</v>
      </c>
      <c r="D886" s="17">
        <v>-1.0</v>
      </c>
      <c r="E886" s="17">
        <v>-1.0</v>
      </c>
      <c r="F886" s="17">
        <v>-1.0</v>
      </c>
      <c r="G886" s="17">
        <v>-1.0</v>
      </c>
      <c r="H886" s="17">
        <v>-1.0</v>
      </c>
    </row>
    <row r="887">
      <c r="A887" s="17">
        <v>6030800.0</v>
      </c>
      <c r="B887" s="17">
        <v>0.0</v>
      </c>
      <c r="C887" s="17">
        <v>6030800.0</v>
      </c>
      <c r="D887" s="17">
        <v>-1.0</v>
      </c>
      <c r="E887" s="17">
        <v>-1.0</v>
      </c>
      <c r="F887" s="17">
        <v>-1.0</v>
      </c>
      <c r="G887" s="17">
        <v>-1.0</v>
      </c>
      <c r="H887" s="17">
        <v>-1.0</v>
      </c>
    </row>
    <row r="888">
      <c r="A888" s="17">
        <v>6030900.0</v>
      </c>
      <c r="B888" s="17">
        <v>0.0</v>
      </c>
      <c r="C888" s="17">
        <v>6030900.0</v>
      </c>
      <c r="D888" s="17">
        <v>-1.0</v>
      </c>
      <c r="E888" s="17">
        <v>-1.0</v>
      </c>
      <c r="F888" s="17">
        <v>-1.0</v>
      </c>
      <c r="G888" s="17">
        <v>-1.0</v>
      </c>
      <c r="H888" s="17">
        <v>-1.0</v>
      </c>
    </row>
    <row r="889">
      <c r="A889" s="17">
        <v>6030901.0</v>
      </c>
      <c r="B889" s="17">
        <v>0.0</v>
      </c>
      <c r="C889" s="17">
        <v>6030901.0</v>
      </c>
      <c r="D889" s="17">
        <v>-1.0</v>
      </c>
      <c r="E889" s="17">
        <v>-1.0</v>
      </c>
      <c r="F889" s="17">
        <v>-1.0</v>
      </c>
      <c r="G889" s="17">
        <v>-1.0</v>
      </c>
      <c r="H889" s="17">
        <v>-1.0</v>
      </c>
    </row>
    <row r="890">
      <c r="A890" s="17">
        <v>6035100.0</v>
      </c>
      <c r="B890" s="17">
        <v>0.0</v>
      </c>
      <c r="C890" s="17">
        <v>6035100.0</v>
      </c>
      <c r="D890" s="17">
        <v>-1.0</v>
      </c>
      <c r="E890" s="17">
        <v>-1.0</v>
      </c>
      <c r="F890" s="17">
        <v>-1.0</v>
      </c>
      <c r="G890" s="17">
        <v>-1.0</v>
      </c>
      <c r="H890" s="17">
        <v>-1.0</v>
      </c>
    </row>
    <row r="891">
      <c r="A891" s="17">
        <v>6040100.0</v>
      </c>
      <c r="B891" s="17">
        <v>0.0</v>
      </c>
      <c r="C891" s="17">
        <v>6040100.0</v>
      </c>
      <c r="D891" s="17">
        <v>-1.0</v>
      </c>
      <c r="E891" s="17">
        <v>-1.0</v>
      </c>
      <c r="F891" s="17">
        <v>-1.0</v>
      </c>
      <c r="G891" s="17">
        <v>-1.0</v>
      </c>
      <c r="H891" s="17">
        <v>-1.0</v>
      </c>
    </row>
    <row r="892">
      <c r="A892" s="17">
        <v>6040101.0</v>
      </c>
      <c r="B892" s="17">
        <v>0.0</v>
      </c>
      <c r="C892" s="17">
        <v>6040101.0</v>
      </c>
      <c r="D892" s="17">
        <v>-1.0</v>
      </c>
      <c r="E892" s="17">
        <v>-1.0</v>
      </c>
      <c r="F892" s="17">
        <v>-1.0</v>
      </c>
      <c r="G892" s="17">
        <v>-1.0</v>
      </c>
      <c r="H892" s="17">
        <v>-1.0</v>
      </c>
    </row>
    <row r="893">
      <c r="A893" s="17">
        <v>6040300.0</v>
      </c>
      <c r="B893" s="17">
        <v>0.0</v>
      </c>
      <c r="C893" s="17">
        <v>6040300.0</v>
      </c>
      <c r="D893" s="17">
        <v>-1.0</v>
      </c>
      <c r="E893" s="17">
        <v>-1.0</v>
      </c>
      <c r="F893" s="17">
        <v>-1.0</v>
      </c>
      <c r="G893" s="17">
        <v>-1.0</v>
      </c>
      <c r="H893" s="17">
        <v>-1.0</v>
      </c>
    </row>
    <row r="894">
      <c r="A894" s="17">
        <v>6040400.0</v>
      </c>
      <c r="B894" s="17">
        <v>0.0</v>
      </c>
      <c r="C894" s="17">
        <v>6040400.0</v>
      </c>
      <c r="D894" s="17">
        <v>-1.0</v>
      </c>
      <c r="E894" s="17">
        <v>-1.0</v>
      </c>
      <c r="F894" s="17">
        <v>-1.0</v>
      </c>
      <c r="G894" s="17">
        <v>-1.0</v>
      </c>
      <c r="H894" s="17">
        <v>-1.0</v>
      </c>
    </row>
    <row r="895">
      <c r="A895" s="17">
        <v>6040500.0</v>
      </c>
      <c r="B895" s="17">
        <v>0.0</v>
      </c>
      <c r="C895" s="17">
        <v>6040500.0</v>
      </c>
      <c r="D895" s="17">
        <v>-1.0</v>
      </c>
      <c r="E895" s="17">
        <v>-1.0</v>
      </c>
      <c r="F895" s="17">
        <v>-1.0</v>
      </c>
      <c r="G895" s="17">
        <v>-1.0</v>
      </c>
      <c r="H895" s="17">
        <v>-1.0</v>
      </c>
    </row>
    <row r="896">
      <c r="A896" s="17">
        <v>6043100.0</v>
      </c>
      <c r="B896" s="17">
        <v>0.0</v>
      </c>
      <c r="C896" s="17">
        <v>6043100.0</v>
      </c>
      <c r="D896" s="17">
        <v>-1.0</v>
      </c>
      <c r="E896" s="17">
        <v>-1.0</v>
      </c>
      <c r="F896" s="17">
        <v>-1.0</v>
      </c>
      <c r="G896" s="17">
        <v>-1.0</v>
      </c>
      <c r="H896" s="17">
        <v>-1.0</v>
      </c>
    </row>
    <row r="897">
      <c r="A897" s="17">
        <v>6060300.0</v>
      </c>
      <c r="B897" s="17">
        <v>0.0</v>
      </c>
      <c r="C897" s="17">
        <v>6060300.0</v>
      </c>
      <c r="D897" s="17">
        <v>-1.0</v>
      </c>
      <c r="E897" s="17">
        <v>-1.0</v>
      </c>
      <c r="F897" s="17">
        <v>-1.0</v>
      </c>
      <c r="G897" s="17">
        <v>-1.0</v>
      </c>
      <c r="H897" s="17">
        <v>-1.0</v>
      </c>
    </row>
    <row r="898">
      <c r="A898" s="17">
        <v>6060400.0</v>
      </c>
      <c r="B898" s="17">
        <v>0.0</v>
      </c>
      <c r="C898" s="17">
        <v>6060400.0</v>
      </c>
      <c r="D898" s="17">
        <v>-1.0</v>
      </c>
      <c r="E898" s="17">
        <v>-1.0</v>
      </c>
      <c r="F898" s="17">
        <v>-1.0</v>
      </c>
      <c r="G898" s="17">
        <v>-1.0</v>
      </c>
      <c r="H898" s="17">
        <v>-1.0</v>
      </c>
    </row>
    <row r="899">
      <c r="A899" s="17">
        <v>6060500.0</v>
      </c>
      <c r="B899" s="17">
        <v>0.0</v>
      </c>
      <c r="C899" s="17">
        <v>6060500.0</v>
      </c>
      <c r="D899" s="17">
        <v>-1.0</v>
      </c>
      <c r="E899" s="17">
        <v>-1.0</v>
      </c>
      <c r="F899" s="17">
        <v>-1.0</v>
      </c>
      <c r="G899" s="17">
        <v>-1.0</v>
      </c>
      <c r="H899" s="17">
        <v>-1.0</v>
      </c>
    </row>
    <row r="900">
      <c r="A900" s="17">
        <v>6060600.0</v>
      </c>
      <c r="B900" s="17">
        <v>0.0</v>
      </c>
      <c r="C900" s="17">
        <v>6060600.0</v>
      </c>
      <c r="D900" s="17">
        <v>-1.0</v>
      </c>
      <c r="E900" s="17">
        <v>-1.0</v>
      </c>
      <c r="F900" s="17">
        <v>-1.0</v>
      </c>
      <c r="G900" s="17">
        <v>-1.0</v>
      </c>
      <c r="H900" s="17">
        <v>-1.0</v>
      </c>
    </row>
    <row r="901">
      <c r="A901" s="17">
        <v>6090000.0</v>
      </c>
      <c r="B901" s="17">
        <v>0.0</v>
      </c>
      <c r="C901" s="17">
        <v>6090000.0</v>
      </c>
      <c r="D901" s="17">
        <v>-1.0</v>
      </c>
      <c r="E901" s="17">
        <v>-1.0</v>
      </c>
      <c r="F901" s="17">
        <v>-1.0</v>
      </c>
      <c r="G901" s="17">
        <v>-1.0</v>
      </c>
      <c r="H901" s="17">
        <v>-1.0</v>
      </c>
    </row>
    <row r="902">
      <c r="A902" s="17">
        <v>6160000.0</v>
      </c>
      <c r="B902" s="17">
        <v>0.0</v>
      </c>
      <c r="C902" s="17">
        <v>6160000.0</v>
      </c>
      <c r="D902" s="17">
        <v>-1.0</v>
      </c>
      <c r="E902" s="17">
        <v>-1.0</v>
      </c>
      <c r="F902" s="17">
        <v>-1.0</v>
      </c>
      <c r="G902" s="17">
        <v>-1.0</v>
      </c>
      <c r="H902" s="17">
        <v>-1.0</v>
      </c>
    </row>
    <row r="903">
      <c r="A903" s="17">
        <v>6260000.0</v>
      </c>
      <c r="B903" s="17">
        <v>0.0</v>
      </c>
      <c r="C903" s="17">
        <v>6260000.0</v>
      </c>
      <c r="D903" s="17">
        <v>-1.0</v>
      </c>
      <c r="E903" s="17">
        <v>-1.0</v>
      </c>
      <c r="F903" s="17">
        <v>-1.0</v>
      </c>
      <c r="G903" s="17">
        <v>-1.0</v>
      </c>
      <c r="H903" s="17">
        <v>-1.0</v>
      </c>
    </row>
    <row r="904">
      <c r="A904" s="17">
        <v>6260001.0</v>
      </c>
      <c r="B904" s="17">
        <v>0.0</v>
      </c>
      <c r="C904" s="17">
        <v>6260001.0</v>
      </c>
      <c r="D904" s="17">
        <v>-1.0</v>
      </c>
      <c r="E904" s="17">
        <v>-1.0</v>
      </c>
      <c r="F904" s="17">
        <v>-1.0</v>
      </c>
      <c r="G904" s="17">
        <v>-1.0</v>
      </c>
      <c r="H904" s="17">
        <v>-1.0</v>
      </c>
    </row>
    <row r="905">
      <c r="A905" s="17">
        <v>6260300.0</v>
      </c>
      <c r="B905" s="17">
        <v>0.0</v>
      </c>
      <c r="C905" s="17">
        <v>6260300.0</v>
      </c>
      <c r="D905" s="17">
        <v>-1.0</v>
      </c>
      <c r="E905" s="17">
        <v>-1.0</v>
      </c>
      <c r="F905" s="17">
        <v>-1.0</v>
      </c>
      <c r="G905" s="17">
        <v>-1.0</v>
      </c>
      <c r="H905" s="17">
        <v>-1.0</v>
      </c>
    </row>
    <row r="906">
      <c r="A906" s="17">
        <v>6260301.0</v>
      </c>
      <c r="B906" s="17">
        <v>0.0</v>
      </c>
      <c r="C906" s="17">
        <v>6260301.0</v>
      </c>
      <c r="D906" s="17">
        <v>-1.0</v>
      </c>
      <c r="E906" s="17">
        <v>-1.0</v>
      </c>
      <c r="F906" s="17">
        <v>-1.0</v>
      </c>
      <c r="G906" s="17">
        <v>-1.0</v>
      </c>
      <c r="H906" s="17">
        <v>-1.0</v>
      </c>
    </row>
    <row r="907">
      <c r="A907" s="17">
        <v>6260400.0</v>
      </c>
      <c r="B907" s="17">
        <v>0.0</v>
      </c>
      <c r="C907" s="17">
        <v>6260400.0</v>
      </c>
      <c r="D907" s="17">
        <v>-1.0</v>
      </c>
      <c r="E907" s="17">
        <v>-1.0</v>
      </c>
      <c r="F907" s="17">
        <v>-1.0</v>
      </c>
      <c r="G907" s="17">
        <v>-1.0</v>
      </c>
      <c r="H907" s="17">
        <v>-1.0</v>
      </c>
    </row>
    <row r="908">
      <c r="A908" s="17">
        <v>6260401.0</v>
      </c>
      <c r="B908" s="17">
        <v>0.0</v>
      </c>
      <c r="C908" s="17">
        <v>6260401.0</v>
      </c>
      <c r="D908" s="17">
        <v>-1.0</v>
      </c>
      <c r="E908" s="17">
        <v>-1.0</v>
      </c>
      <c r="F908" s="17">
        <v>-1.0</v>
      </c>
      <c r="G908" s="17">
        <v>-1.0</v>
      </c>
      <c r="H908" s="17">
        <v>-1.0</v>
      </c>
    </row>
    <row r="909">
      <c r="A909" s="17">
        <v>6500000.0</v>
      </c>
      <c r="B909" s="17">
        <v>0.0</v>
      </c>
      <c r="C909" s="17">
        <v>6500000.0</v>
      </c>
      <c r="D909" s="17">
        <v>-1.0</v>
      </c>
      <c r="E909" s="17">
        <v>-1.0</v>
      </c>
      <c r="F909" s="17">
        <v>-1.0</v>
      </c>
      <c r="G909" s="17">
        <v>-1.0</v>
      </c>
      <c r="H909" s="17">
        <v>-1.0</v>
      </c>
    </row>
    <row r="910">
      <c r="A910" s="17">
        <v>6500100.0</v>
      </c>
      <c r="B910" s="17">
        <v>0.0</v>
      </c>
      <c r="C910" s="17">
        <v>6500100.0</v>
      </c>
      <c r="D910" s="17">
        <v>-1.0</v>
      </c>
      <c r="E910" s="17">
        <v>-1.0</v>
      </c>
      <c r="F910" s="17">
        <v>-1.0</v>
      </c>
      <c r="G910" s="17">
        <v>-1.0</v>
      </c>
      <c r="H910" s="17">
        <v>-1.0</v>
      </c>
    </row>
    <row r="911">
      <c r="A911" s="17">
        <v>6500200.0</v>
      </c>
      <c r="B911" s="17">
        <v>0.0</v>
      </c>
      <c r="C911" s="17">
        <v>6500200.0</v>
      </c>
      <c r="D911" s="17">
        <v>-1.0</v>
      </c>
      <c r="E911" s="17">
        <v>-1.0</v>
      </c>
      <c r="F911" s="17">
        <v>-1.0</v>
      </c>
      <c r="G911" s="17">
        <v>-1.0</v>
      </c>
      <c r="H911" s="17">
        <v>-1.0</v>
      </c>
    </row>
    <row r="912">
      <c r="A912" s="17">
        <v>6500300.0</v>
      </c>
      <c r="B912" s="17">
        <v>0.0</v>
      </c>
      <c r="C912" s="17">
        <v>6500300.0</v>
      </c>
      <c r="D912" s="17">
        <v>-1.0</v>
      </c>
      <c r="E912" s="17">
        <v>-1.0</v>
      </c>
      <c r="F912" s="17">
        <v>-1.0</v>
      </c>
      <c r="G912" s="17">
        <v>-1.0</v>
      </c>
      <c r="H912" s="17">
        <v>-1.0</v>
      </c>
    </row>
    <row r="913">
      <c r="A913" s="17">
        <v>6500400.0</v>
      </c>
      <c r="B913" s="17">
        <v>0.0</v>
      </c>
      <c r="C913" s="17">
        <v>6500400.0</v>
      </c>
      <c r="D913" s="17">
        <v>-1.0</v>
      </c>
      <c r="E913" s="17">
        <v>-1.0</v>
      </c>
      <c r="F913" s="17">
        <v>-1.0</v>
      </c>
      <c r="G913" s="17">
        <v>-1.0</v>
      </c>
      <c r="H913" s="17">
        <v>-1.0</v>
      </c>
    </row>
    <row r="914">
      <c r="A914" s="17">
        <v>6500500.0</v>
      </c>
      <c r="B914" s="17">
        <v>0.0</v>
      </c>
      <c r="C914" s="17">
        <v>6500500.0</v>
      </c>
      <c r="D914" s="17">
        <v>-1.0</v>
      </c>
      <c r="E914" s="17">
        <v>-1.0</v>
      </c>
      <c r="F914" s="17">
        <v>-1.0</v>
      </c>
      <c r="G914" s="17">
        <v>-1.0</v>
      </c>
      <c r="H914" s="17">
        <v>-1.0</v>
      </c>
    </row>
    <row r="915">
      <c r="A915" s="17">
        <v>6500600.0</v>
      </c>
      <c r="B915" s="17">
        <v>0.0</v>
      </c>
      <c r="C915" s="17">
        <v>6500600.0</v>
      </c>
      <c r="D915" s="17">
        <v>-1.0</v>
      </c>
      <c r="E915" s="17">
        <v>-1.0</v>
      </c>
      <c r="F915" s="17">
        <v>-1.0</v>
      </c>
      <c r="G915" s="17">
        <v>-1.0</v>
      </c>
      <c r="H915" s="17">
        <v>-1.0</v>
      </c>
    </row>
    <row r="916">
      <c r="A916" s="17">
        <v>6500700.0</v>
      </c>
      <c r="B916" s="17">
        <v>0.0</v>
      </c>
      <c r="C916" s="17">
        <v>6500700.0</v>
      </c>
      <c r="D916" s="17">
        <v>-1.0</v>
      </c>
      <c r="E916" s="17">
        <v>-1.0</v>
      </c>
      <c r="F916" s="17">
        <v>-1.0</v>
      </c>
      <c r="G916" s="17">
        <v>-1.0</v>
      </c>
      <c r="H916" s="17">
        <v>-1.0</v>
      </c>
    </row>
    <row r="917">
      <c r="A917" s="17">
        <v>6500800.0</v>
      </c>
      <c r="B917" s="17">
        <v>0.0</v>
      </c>
      <c r="C917" s="17">
        <v>6500800.0</v>
      </c>
      <c r="D917" s="17">
        <v>-1.0</v>
      </c>
      <c r="E917" s="17">
        <v>-1.0</v>
      </c>
      <c r="F917" s="17">
        <v>-1.0</v>
      </c>
      <c r="G917" s="17">
        <v>-1.0</v>
      </c>
      <c r="H917" s="17">
        <v>-1.0</v>
      </c>
    </row>
    <row r="918">
      <c r="A918" s="17">
        <v>6500900.0</v>
      </c>
      <c r="B918" s="17">
        <v>0.0</v>
      </c>
      <c r="C918" s="17">
        <v>6500900.0</v>
      </c>
      <c r="D918" s="17">
        <v>-1.0</v>
      </c>
      <c r="E918" s="17">
        <v>-1.0</v>
      </c>
      <c r="F918" s="17">
        <v>-1.0</v>
      </c>
      <c r="G918" s="17">
        <v>-1.0</v>
      </c>
      <c r="H918" s="17">
        <v>-1.0</v>
      </c>
    </row>
    <row r="919">
      <c r="A919" s="17">
        <v>6600000.0</v>
      </c>
      <c r="B919" s="17">
        <v>0.0</v>
      </c>
      <c r="C919" s="17">
        <v>6600000.0</v>
      </c>
      <c r="D919" s="17">
        <v>-1.0</v>
      </c>
      <c r="E919" s="17">
        <v>-1.0</v>
      </c>
      <c r="F919" s="17">
        <v>-1.0</v>
      </c>
      <c r="G919" s="17">
        <v>-1.0</v>
      </c>
      <c r="H919" s="17">
        <v>-1.0</v>
      </c>
    </row>
    <row r="920">
      <c r="A920" s="17">
        <v>6600001.0</v>
      </c>
      <c r="B920" s="17">
        <v>0.0</v>
      </c>
      <c r="C920" s="17">
        <v>6600001.0</v>
      </c>
      <c r="D920" s="17">
        <v>-1.0</v>
      </c>
      <c r="E920" s="17">
        <v>-1.0</v>
      </c>
      <c r="F920" s="17">
        <v>-1.0</v>
      </c>
      <c r="G920" s="17">
        <v>-1.0</v>
      </c>
      <c r="H920" s="17">
        <v>-1.0</v>
      </c>
    </row>
    <row r="921">
      <c r="A921" s="17">
        <v>6600100.0</v>
      </c>
      <c r="B921" s="17">
        <v>0.0</v>
      </c>
      <c r="C921" s="17">
        <v>6600100.0</v>
      </c>
      <c r="D921" s="17">
        <v>-1.0</v>
      </c>
      <c r="E921" s="17">
        <v>-1.0</v>
      </c>
      <c r="F921" s="17">
        <v>-1.0</v>
      </c>
      <c r="G921" s="17">
        <v>-1.0</v>
      </c>
      <c r="H921" s="17">
        <v>-1.0</v>
      </c>
    </row>
    <row r="922">
      <c r="A922" s="17">
        <v>6600101.0</v>
      </c>
      <c r="B922" s="17">
        <v>0.0</v>
      </c>
      <c r="C922" s="17">
        <v>6600101.0</v>
      </c>
      <c r="D922" s="17">
        <v>-1.0</v>
      </c>
      <c r="E922" s="17">
        <v>-1.0</v>
      </c>
      <c r="F922" s="17">
        <v>-1.0</v>
      </c>
      <c r="G922" s="17">
        <v>-1.0</v>
      </c>
      <c r="H922" s="17">
        <v>-1.0</v>
      </c>
    </row>
    <row r="923">
      <c r="A923" s="17">
        <v>6610400.0</v>
      </c>
      <c r="B923" s="17">
        <v>0.0</v>
      </c>
      <c r="C923" s="17">
        <v>6610400.0</v>
      </c>
      <c r="D923" s="17">
        <v>-1.0</v>
      </c>
      <c r="E923" s="17">
        <v>-1.0</v>
      </c>
      <c r="F923" s="17">
        <v>-1.0</v>
      </c>
      <c r="G923" s="17">
        <v>-1.0</v>
      </c>
      <c r="H923" s="17">
        <v>-1.0</v>
      </c>
    </row>
    <row r="924">
      <c r="A924" s="17">
        <v>6610500.0</v>
      </c>
      <c r="B924" s="17">
        <v>0.0</v>
      </c>
      <c r="C924" s="17">
        <v>6610500.0</v>
      </c>
      <c r="D924" s="17">
        <v>-1.0</v>
      </c>
      <c r="E924" s="17">
        <v>-1.0</v>
      </c>
      <c r="F924" s="17">
        <v>-1.0</v>
      </c>
      <c r="G924" s="17">
        <v>-1.0</v>
      </c>
      <c r="H924" s="17">
        <v>-1.0</v>
      </c>
    </row>
    <row r="925">
      <c r="A925" s="17">
        <v>6610600.0</v>
      </c>
      <c r="B925" s="17">
        <v>0.0</v>
      </c>
      <c r="C925" s="17">
        <v>6610600.0</v>
      </c>
      <c r="D925" s="17">
        <v>-1.0</v>
      </c>
      <c r="E925" s="17">
        <v>-1.0</v>
      </c>
      <c r="F925" s="17">
        <v>-1.0</v>
      </c>
      <c r="G925" s="17">
        <v>-1.0</v>
      </c>
      <c r="H925" s="17">
        <v>-1.0</v>
      </c>
    </row>
    <row r="926">
      <c r="A926" s="17">
        <v>6610700.0</v>
      </c>
      <c r="B926" s="17">
        <v>0.0</v>
      </c>
      <c r="C926" s="17">
        <v>6610700.0</v>
      </c>
      <c r="D926" s="17">
        <v>-1.0</v>
      </c>
      <c r="E926" s="17">
        <v>-1.0</v>
      </c>
      <c r="F926" s="17">
        <v>-1.0</v>
      </c>
      <c r="G926" s="17">
        <v>-1.0</v>
      </c>
      <c r="H926" s="17">
        <v>-1.0</v>
      </c>
    </row>
    <row r="927">
      <c r="A927" s="17">
        <v>6610800.0</v>
      </c>
      <c r="B927" s="17">
        <v>0.0</v>
      </c>
      <c r="C927" s="17">
        <v>6610800.0</v>
      </c>
      <c r="D927" s="17">
        <v>-1.0</v>
      </c>
      <c r="E927" s="17">
        <v>-1.0</v>
      </c>
      <c r="F927" s="17">
        <v>-1.0</v>
      </c>
      <c r="G927" s="17">
        <v>-1.0</v>
      </c>
      <c r="H927" s="17">
        <v>-1.0</v>
      </c>
    </row>
    <row r="928">
      <c r="A928" s="17">
        <v>6610801.0</v>
      </c>
      <c r="B928" s="17">
        <v>0.0</v>
      </c>
      <c r="C928" s="17">
        <v>6610801.0</v>
      </c>
      <c r="D928" s="17">
        <v>-1.0</v>
      </c>
      <c r="E928" s="17">
        <v>-1.0</v>
      </c>
      <c r="F928" s="17">
        <v>-1.0</v>
      </c>
      <c r="G928" s="17">
        <v>-1.0</v>
      </c>
      <c r="H928" s="17">
        <v>-1.0</v>
      </c>
    </row>
    <row r="929">
      <c r="A929" s="17">
        <v>6610802.0</v>
      </c>
      <c r="B929" s="17">
        <v>0.0</v>
      </c>
      <c r="C929" s="17">
        <v>6610802.0</v>
      </c>
      <c r="D929" s="17">
        <v>-1.0</v>
      </c>
      <c r="E929" s="17">
        <v>-1.0</v>
      </c>
      <c r="F929" s="17">
        <v>-1.0</v>
      </c>
      <c r="G929" s="17">
        <v>-1.0</v>
      </c>
      <c r="H929" s="17">
        <v>-1.0</v>
      </c>
    </row>
    <row r="930">
      <c r="A930" s="17">
        <v>6611001.0</v>
      </c>
      <c r="B930" s="17">
        <v>0.0</v>
      </c>
      <c r="C930" s="17">
        <v>6611001.0</v>
      </c>
      <c r="D930" s="17">
        <v>-1.0</v>
      </c>
      <c r="E930" s="17">
        <v>-1.0</v>
      </c>
      <c r="F930" s="17">
        <v>-1.0</v>
      </c>
      <c r="G930" s="17">
        <v>-1.0</v>
      </c>
      <c r="H930" s="17">
        <v>-1.0</v>
      </c>
    </row>
    <row r="931">
      <c r="A931" s="17">
        <v>6611002.0</v>
      </c>
      <c r="B931" s="17">
        <v>0.0</v>
      </c>
      <c r="C931" s="17">
        <v>6611002.0</v>
      </c>
      <c r="D931" s="17">
        <v>-1.0</v>
      </c>
      <c r="E931" s="17">
        <v>-1.0</v>
      </c>
      <c r="F931" s="17">
        <v>-1.0</v>
      </c>
      <c r="G931" s="17">
        <v>-1.0</v>
      </c>
      <c r="H931" s="17">
        <v>-1.0</v>
      </c>
    </row>
    <row r="932">
      <c r="A932" s="17">
        <v>6611100.0</v>
      </c>
      <c r="B932" s="17">
        <v>0.0</v>
      </c>
      <c r="C932" s="17">
        <v>6611100.0</v>
      </c>
      <c r="D932" s="17">
        <v>-1.0</v>
      </c>
      <c r="E932" s="17">
        <v>-1.0</v>
      </c>
      <c r="F932" s="17">
        <v>-1.0</v>
      </c>
      <c r="G932" s="17">
        <v>-1.0</v>
      </c>
      <c r="H932" s="17">
        <v>-1.0</v>
      </c>
    </row>
    <row r="933">
      <c r="A933" s="17">
        <v>6611101.0</v>
      </c>
      <c r="B933" s="17">
        <v>0.0</v>
      </c>
      <c r="C933" s="17">
        <v>6611101.0</v>
      </c>
      <c r="D933" s="17">
        <v>-1.0</v>
      </c>
      <c r="E933" s="17">
        <v>-1.0</v>
      </c>
      <c r="F933" s="17">
        <v>-1.0</v>
      </c>
      <c r="G933" s="17">
        <v>-1.0</v>
      </c>
      <c r="H933" s="17">
        <v>-1.0</v>
      </c>
    </row>
    <row r="934">
      <c r="A934" s="17">
        <v>6611102.0</v>
      </c>
      <c r="B934" s="17">
        <v>0.0</v>
      </c>
      <c r="C934" s="17">
        <v>6611102.0</v>
      </c>
      <c r="D934" s="17">
        <v>-1.0</v>
      </c>
      <c r="E934" s="17">
        <v>-1.0</v>
      </c>
      <c r="F934" s="17">
        <v>-1.0</v>
      </c>
      <c r="G934" s="17">
        <v>-1.0</v>
      </c>
      <c r="H934" s="17">
        <v>-1.0</v>
      </c>
    </row>
    <row r="935">
      <c r="A935" s="17">
        <v>6611200.0</v>
      </c>
      <c r="B935" s="17">
        <v>0.0</v>
      </c>
      <c r="C935" s="17">
        <v>6611200.0</v>
      </c>
      <c r="D935" s="17">
        <v>-1.0</v>
      </c>
      <c r="E935" s="17">
        <v>-1.0</v>
      </c>
      <c r="F935" s="17">
        <v>-1.0</v>
      </c>
      <c r="G935" s="17">
        <v>-1.0</v>
      </c>
      <c r="H935" s="17">
        <v>-1.0</v>
      </c>
    </row>
    <row r="936">
      <c r="A936" s="17">
        <v>6611201.0</v>
      </c>
      <c r="B936" s="17">
        <v>0.0</v>
      </c>
      <c r="C936" s="17">
        <v>6611201.0</v>
      </c>
      <c r="D936" s="17">
        <v>-1.0</v>
      </c>
      <c r="E936" s="17">
        <v>-1.0</v>
      </c>
      <c r="F936" s="17">
        <v>-1.0</v>
      </c>
      <c r="G936" s="17">
        <v>-1.0</v>
      </c>
      <c r="H936" s="17">
        <v>-1.0</v>
      </c>
    </row>
    <row r="937">
      <c r="A937" s="17">
        <v>6611202.0</v>
      </c>
      <c r="B937" s="17">
        <v>0.0</v>
      </c>
      <c r="C937" s="17">
        <v>6611202.0</v>
      </c>
      <c r="D937" s="17">
        <v>-1.0</v>
      </c>
      <c r="E937" s="17">
        <v>-1.0</v>
      </c>
      <c r="F937" s="17">
        <v>-1.0</v>
      </c>
      <c r="G937" s="17">
        <v>-1.0</v>
      </c>
      <c r="H937" s="17">
        <v>-1.0</v>
      </c>
    </row>
    <row r="938">
      <c r="A938" s="17">
        <v>6611300.0</v>
      </c>
      <c r="B938" s="17">
        <v>0.0</v>
      </c>
      <c r="C938" s="17">
        <v>6611300.0</v>
      </c>
      <c r="D938" s="17">
        <v>-1.0</v>
      </c>
      <c r="E938" s="17">
        <v>-1.0</v>
      </c>
      <c r="F938" s="17">
        <v>-1.0</v>
      </c>
      <c r="G938" s="17">
        <v>-1.0</v>
      </c>
      <c r="H938" s="17">
        <v>-1.0</v>
      </c>
    </row>
    <row r="939">
      <c r="A939" s="17">
        <v>6611301.0</v>
      </c>
      <c r="B939" s="17">
        <v>0.0</v>
      </c>
      <c r="C939" s="17">
        <v>6611301.0</v>
      </c>
      <c r="D939" s="17">
        <v>-1.0</v>
      </c>
      <c r="E939" s="17">
        <v>-1.0</v>
      </c>
      <c r="F939" s="17">
        <v>-1.0</v>
      </c>
      <c r="G939" s="17">
        <v>-1.0</v>
      </c>
      <c r="H939" s="17">
        <v>-1.0</v>
      </c>
    </row>
    <row r="940">
      <c r="A940" s="17">
        <v>6611302.0</v>
      </c>
      <c r="B940" s="17">
        <v>0.0</v>
      </c>
      <c r="C940" s="17">
        <v>6611302.0</v>
      </c>
      <c r="D940" s="17">
        <v>-1.0</v>
      </c>
      <c r="E940" s="17">
        <v>-1.0</v>
      </c>
      <c r="F940" s="17">
        <v>-1.0</v>
      </c>
      <c r="G940" s="17">
        <v>-1.0</v>
      </c>
      <c r="H940" s="17">
        <v>-1.0</v>
      </c>
    </row>
    <row r="941">
      <c r="A941" s="17">
        <v>6611400.0</v>
      </c>
      <c r="B941" s="17">
        <v>0.0</v>
      </c>
      <c r="C941" s="17">
        <v>6611400.0</v>
      </c>
      <c r="D941" s="17">
        <v>-1.0</v>
      </c>
      <c r="E941" s="17">
        <v>-1.0</v>
      </c>
      <c r="F941" s="17">
        <v>-1.0</v>
      </c>
      <c r="G941" s="17">
        <v>-1.0</v>
      </c>
      <c r="H941" s="17">
        <v>-1.0</v>
      </c>
    </row>
    <row r="942">
      <c r="A942" s="17">
        <v>6621000.0</v>
      </c>
      <c r="B942" s="17">
        <v>0.0</v>
      </c>
      <c r="C942" s="17">
        <v>6621000.0</v>
      </c>
      <c r="D942" s="17">
        <v>-1.0</v>
      </c>
      <c r="E942" s="17">
        <v>-1.0</v>
      </c>
      <c r="F942" s="17">
        <v>-1.0</v>
      </c>
      <c r="G942" s="17">
        <v>-1.0</v>
      </c>
      <c r="H942" s="17">
        <v>-1.0</v>
      </c>
    </row>
    <row r="943">
      <c r="A943" s="17">
        <v>6621100.0</v>
      </c>
      <c r="B943" s="17">
        <v>0.0</v>
      </c>
      <c r="C943" s="17">
        <v>6621100.0</v>
      </c>
      <c r="D943" s="17">
        <v>-1.0</v>
      </c>
      <c r="E943" s="17">
        <v>-1.0</v>
      </c>
      <c r="F943" s="17">
        <v>-1.0</v>
      </c>
      <c r="G943" s="17">
        <v>-1.0</v>
      </c>
      <c r="H943" s="17">
        <v>-1.0</v>
      </c>
    </row>
    <row r="944">
      <c r="A944" s="17">
        <v>6621200.0</v>
      </c>
      <c r="B944" s="17">
        <v>0.0</v>
      </c>
      <c r="C944" s="17">
        <v>6621200.0</v>
      </c>
      <c r="D944" s="17">
        <v>-1.0</v>
      </c>
      <c r="E944" s="17">
        <v>-1.0</v>
      </c>
      <c r="F944" s="17">
        <v>-1.0</v>
      </c>
      <c r="G944" s="17">
        <v>-1.0</v>
      </c>
      <c r="H944" s="17">
        <v>-1.0</v>
      </c>
    </row>
    <row r="945">
      <c r="A945" s="17">
        <v>6621300.0</v>
      </c>
      <c r="B945" s="17">
        <v>0.0</v>
      </c>
      <c r="C945" s="17">
        <v>6621300.0</v>
      </c>
      <c r="D945" s="17">
        <v>-1.0</v>
      </c>
      <c r="E945" s="17">
        <v>-1.0</v>
      </c>
      <c r="F945" s="17">
        <v>-1.0</v>
      </c>
      <c r="G945" s="17">
        <v>-1.0</v>
      </c>
      <c r="H945" s="17">
        <v>-1.0</v>
      </c>
    </row>
    <row r="946">
      <c r="A946" s="17">
        <v>6621400.0</v>
      </c>
      <c r="B946" s="17">
        <v>0.0</v>
      </c>
      <c r="C946" s="17">
        <v>6621400.0</v>
      </c>
      <c r="D946" s="17">
        <v>-1.0</v>
      </c>
      <c r="E946" s="17">
        <v>-1.0</v>
      </c>
      <c r="F946" s="17">
        <v>-1.0</v>
      </c>
      <c r="G946" s="17">
        <v>-1.0</v>
      </c>
      <c r="H946" s="17">
        <v>-1.0</v>
      </c>
    </row>
    <row r="947">
      <c r="A947" s="17">
        <v>6621500.0</v>
      </c>
      <c r="B947" s="17">
        <v>0.0</v>
      </c>
      <c r="C947" s="17">
        <v>6621500.0</v>
      </c>
      <c r="D947" s="17">
        <v>-1.0</v>
      </c>
      <c r="E947" s="17">
        <v>-1.0</v>
      </c>
      <c r="F947" s="17">
        <v>-1.0</v>
      </c>
      <c r="G947" s="17">
        <v>-1.0</v>
      </c>
      <c r="H947" s="17">
        <v>-1.0</v>
      </c>
    </row>
    <row r="948">
      <c r="A948" s="17">
        <v>6621600.0</v>
      </c>
      <c r="B948" s="17">
        <v>0.0</v>
      </c>
      <c r="C948" s="17">
        <v>6621600.0</v>
      </c>
      <c r="D948" s="17">
        <v>-1.0</v>
      </c>
      <c r="E948" s="17">
        <v>-1.0</v>
      </c>
      <c r="F948" s="17">
        <v>-1.0</v>
      </c>
      <c r="G948" s="17">
        <v>-1.0</v>
      </c>
      <c r="H948" s="17">
        <v>-1.0</v>
      </c>
    </row>
    <row r="949">
      <c r="A949" s="17">
        <v>6621700.0</v>
      </c>
      <c r="B949" s="17">
        <v>0.0</v>
      </c>
      <c r="C949" s="17">
        <v>6621700.0</v>
      </c>
      <c r="D949" s="17">
        <v>-1.0</v>
      </c>
      <c r="E949" s="17">
        <v>-1.0</v>
      </c>
      <c r="F949" s="17">
        <v>-1.0</v>
      </c>
      <c r="G949" s="17">
        <v>-1.0</v>
      </c>
      <c r="H949" s="17">
        <v>-1.0</v>
      </c>
    </row>
    <row r="950">
      <c r="A950" s="17">
        <v>6621800.0</v>
      </c>
      <c r="B950" s="17">
        <v>0.0</v>
      </c>
      <c r="C950" s="17">
        <v>6621800.0</v>
      </c>
      <c r="D950" s="17">
        <v>-1.0</v>
      </c>
      <c r="E950" s="17">
        <v>-1.0</v>
      </c>
      <c r="F950" s="17">
        <v>-1.0</v>
      </c>
      <c r="G950" s="17">
        <v>-1.0</v>
      </c>
      <c r="H950" s="17">
        <v>-1.0</v>
      </c>
    </row>
    <row r="951">
      <c r="A951" s="17">
        <v>6621900.0</v>
      </c>
      <c r="B951" s="17">
        <v>0.0</v>
      </c>
      <c r="C951" s="17">
        <v>6621900.0</v>
      </c>
      <c r="D951" s="17">
        <v>-1.0</v>
      </c>
      <c r="E951" s="17">
        <v>-1.0</v>
      </c>
      <c r="F951" s="17">
        <v>-1.0</v>
      </c>
      <c r="G951" s="17">
        <v>-1.0</v>
      </c>
      <c r="H951" s="17">
        <v>-1.0</v>
      </c>
    </row>
    <row r="952">
      <c r="A952" s="17">
        <v>6622000.0</v>
      </c>
      <c r="B952" s="17">
        <v>0.0</v>
      </c>
      <c r="C952" s="17">
        <v>6622000.0</v>
      </c>
      <c r="D952" s="17">
        <v>-1.0</v>
      </c>
      <c r="E952" s="17">
        <v>-1.0</v>
      </c>
      <c r="F952" s="17">
        <v>-1.0</v>
      </c>
      <c r="G952" s="17">
        <v>-1.0</v>
      </c>
      <c r="H952" s="17">
        <v>-1.0</v>
      </c>
    </row>
    <row r="953">
      <c r="A953" s="17">
        <v>6622100.0</v>
      </c>
      <c r="B953" s="17">
        <v>0.0</v>
      </c>
      <c r="C953" s="17">
        <v>6622100.0</v>
      </c>
      <c r="D953" s="17">
        <v>-1.0</v>
      </c>
      <c r="E953" s="17">
        <v>-1.0</v>
      </c>
      <c r="F953" s="17">
        <v>-1.0</v>
      </c>
      <c r="G953" s="17">
        <v>-1.0</v>
      </c>
      <c r="H953" s="17">
        <v>-1.0</v>
      </c>
    </row>
    <row r="954">
      <c r="A954" s="17">
        <v>6622200.0</v>
      </c>
      <c r="B954" s="17">
        <v>0.0</v>
      </c>
      <c r="C954" s="17">
        <v>6622200.0</v>
      </c>
      <c r="D954" s="17">
        <v>-1.0</v>
      </c>
      <c r="E954" s="17">
        <v>-1.0</v>
      </c>
      <c r="F954" s="17">
        <v>-1.0</v>
      </c>
      <c r="G954" s="17">
        <v>-1.0</v>
      </c>
      <c r="H954" s="17">
        <v>-1.0</v>
      </c>
    </row>
    <row r="955">
      <c r="A955" s="17">
        <v>6622300.0</v>
      </c>
      <c r="B955" s="17">
        <v>0.0</v>
      </c>
      <c r="C955" s="17">
        <v>6622300.0</v>
      </c>
      <c r="D955" s="17">
        <v>-1.0</v>
      </c>
      <c r="E955" s="17">
        <v>-1.0</v>
      </c>
      <c r="F955" s="17">
        <v>-1.0</v>
      </c>
      <c r="G955" s="17">
        <v>-1.0</v>
      </c>
      <c r="H955" s="17">
        <v>-1.0</v>
      </c>
    </row>
    <row r="956">
      <c r="A956" s="17">
        <v>6622400.0</v>
      </c>
      <c r="B956" s="17">
        <v>0.0</v>
      </c>
      <c r="C956" s="17">
        <v>6622400.0</v>
      </c>
      <c r="D956" s="17">
        <v>-1.0</v>
      </c>
      <c r="E956" s="17">
        <v>-1.0</v>
      </c>
      <c r="F956" s="17">
        <v>-1.0</v>
      </c>
      <c r="G956" s="17">
        <v>-1.0</v>
      </c>
      <c r="H956" s="17">
        <v>-1.0</v>
      </c>
    </row>
    <row r="957">
      <c r="A957" s="17">
        <v>6622500.0</v>
      </c>
      <c r="B957" s="17">
        <v>0.0</v>
      </c>
      <c r="C957" s="17">
        <v>6622500.0</v>
      </c>
      <c r="D957" s="17">
        <v>-1.0</v>
      </c>
      <c r="E957" s="17">
        <v>-1.0</v>
      </c>
      <c r="F957" s="17">
        <v>-1.0</v>
      </c>
      <c r="G957" s="17">
        <v>-1.0</v>
      </c>
      <c r="H957" s="17">
        <v>-1.0</v>
      </c>
    </row>
    <row r="958">
      <c r="A958" s="17">
        <v>6622600.0</v>
      </c>
      <c r="B958" s="17">
        <v>0.0</v>
      </c>
      <c r="C958" s="17">
        <v>6622600.0</v>
      </c>
      <c r="D958" s="17">
        <v>-1.0</v>
      </c>
      <c r="E958" s="17">
        <v>-1.0</v>
      </c>
      <c r="F958" s="17">
        <v>-1.0</v>
      </c>
      <c r="G958" s="17">
        <v>-1.0</v>
      </c>
      <c r="H958" s="17">
        <v>-1.0</v>
      </c>
    </row>
    <row r="959">
      <c r="A959" s="17">
        <v>6622700.0</v>
      </c>
      <c r="B959" s="17">
        <v>0.0</v>
      </c>
      <c r="C959" s="17">
        <v>6622700.0</v>
      </c>
      <c r="D959" s="17">
        <v>-1.0</v>
      </c>
      <c r="E959" s="17">
        <v>-1.0</v>
      </c>
      <c r="F959" s="17">
        <v>-1.0</v>
      </c>
      <c r="G959" s="17">
        <v>-1.0</v>
      </c>
      <c r="H959" s="17">
        <v>-1.0</v>
      </c>
    </row>
    <row r="960">
      <c r="A960" s="17">
        <v>6622800.0</v>
      </c>
      <c r="B960" s="17">
        <v>0.0</v>
      </c>
      <c r="C960" s="17">
        <v>6622800.0</v>
      </c>
      <c r="D960" s="17">
        <v>-1.0</v>
      </c>
      <c r="E960" s="17">
        <v>-1.0</v>
      </c>
      <c r="F960" s="17">
        <v>-1.0</v>
      </c>
      <c r="G960" s="17">
        <v>-1.0</v>
      </c>
      <c r="H960" s="17">
        <v>-1.0</v>
      </c>
    </row>
    <row r="961">
      <c r="A961" s="17">
        <v>6622900.0</v>
      </c>
      <c r="B961" s="17">
        <v>0.0</v>
      </c>
      <c r="C961" s="17">
        <v>6622900.0</v>
      </c>
      <c r="D961" s="17">
        <v>-1.0</v>
      </c>
      <c r="E961" s="17">
        <v>-1.0</v>
      </c>
      <c r="F961" s="17">
        <v>-1.0</v>
      </c>
      <c r="G961" s="17">
        <v>-1.0</v>
      </c>
      <c r="H961" s="17">
        <v>-1.0</v>
      </c>
    </row>
    <row r="962">
      <c r="A962" s="17">
        <v>6623000.0</v>
      </c>
      <c r="B962" s="17">
        <v>0.0</v>
      </c>
      <c r="C962" s="17">
        <v>6623000.0</v>
      </c>
      <c r="D962" s="17">
        <v>-1.0</v>
      </c>
      <c r="E962" s="17">
        <v>-1.0</v>
      </c>
      <c r="F962" s="17">
        <v>-1.0</v>
      </c>
      <c r="G962" s="17">
        <v>-1.0</v>
      </c>
      <c r="H962" s="17">
        <v>-1.0</v>
      </c>
    </row>
    <row r="963">
      <c r="A963" s="17">
        <v>6623100.0</v>
      </c>
      <c r="B963" s="17">
        <v>0.0</v>
      </c>
      <c r="C963" s="17">
        <v>6623100.0</v>
      </c>
      <c r="D963" s="17">
        <v>-1.0</v>
      </c>
      <c r="E963" s="17">
        <v>-1.0</v>
      </c>
      <c r="F963" s="17">
        <v>-1.0</v>
      </c>
      <c r="G963" s="17">
        <v>-1.0</v>
      </c>
      <c r="H963" s="17">
        <v>-1.0</v>
      </c>
    </row>
    <row r="964">
      <c r="A964" s="17">
        <v>6623200.0</v>
      </c>
      <c r="B964" s="17">
        <v>0.0</v>
      </c>
      <c r="C964" s="17">
        <v>6623200.0</v>
      </c>
      <c r="D964" s="17">
        <v>-1.0</v>
      </c>
      <c r="E964" s="17">
        <v>-1.0</v>
      </c>
      <c r="F964" s="17">
        <v>-1.0</v>
      </c>
      <c r="G964" s="17">
        <v>-1.0</v>
      </c>
      <c r="H964" s="17">
        <v>-1.0</v>
      </c>
    </row>
    <row r="965">
      <c r="A965" s="17">
        <v>6624000.0</v>
      </c>
      <c r="B965" s="17">
        <v>0.0</v>
      </c>
      <c r="C965" s="17">
        <v>6624000.0</v>
      </c>
      <c r="D965" s="17">
        <v>-1.0</v>
      </c>
      <c r="E965" s="17">
        <v>-1.0</v>
      </c>
      <c r="F965" s="17">
        <v>-1.0</v>
      </c>
      <c r="G965" s="17">
        <v>-1.0</v>
      </c>
      <c r="H965" s="17">
        <v>-1.0</v>
      </c>
    </row>
    <row r="966">
      <c r="A966" s="17">
        <v>6624100.0</v>
      </c>
      <c r="B966" s="17">
        <v>0.0</v>
      </c>
      <c r="C966" s="17">
        <v>6624100.0</v>
      </c>
      <c r="D966" s="17">
        <v>-1.0</v>
      </c>
      <c r="E966" s="17">
        <v>-1.0</v>
      </c>
      <c r="F966" s="17">
        <v>-1.0</v>
      </c>
      <c r="G966" s="17">
        <v>-1.0</v>
      </c>
      <c r="H966" s="17">
        <v>-1.0</v>
      </c>
    </row>
    <row r="967">
      <c r="A967" s="17">
        <v>6624200.0</v>
      </c>
      <c r="B967" s="17">
        <v>0.0</v>
      </c>
      <c r="C967" s="17">
        <v>6624200.0</v>
      </c>
      <c r="D967" s="17">
        <v>-1.0</v>
      </c>
      <c r="E967" s="17">
        <v>-1.0</v>
      </c>
      <c r="F967" s="17">
        <v>-1.0</v>
      </c>
      <c r="G967" s="17">
        <v>-1.0</v>
      </c>
      <c r="H967" s="17">
        <v>-1.0</v>
      </c>
    </row>
    <row r="968">
      <c r="A968" s="17">
        <v>6624300.0</v>
      </c>
      <c r="B968" s="17">
        <v>0.0</v>
      </c>
      <c r="C968" s="17">
        <v>6624300.0</v>
      </c>
      <c r="D968" s="17">
        <v>-1.0</v>
      </c>
      <c r="E968" s="17">
        <v>-1.0</v>
      </c>
      <c r="F968" s="17">
        <v>-1.0</v>
      </c>
      <c r="G968" s="17">
        <v>-1.0</v>
      </c>
      <c r="H968" s="17">
        <v>-1.0</v>
      </c>
    </row>
    <row r="969">
      <c r="A969" s="17">
        <v>6624400.0</v>
      </c>
      <c r="B969" s="17">
        <v>0.0</v>
      </c>
      <c r="C969" s="17">
        <v>6624400.0</v>
      </c>
      <c r="D969" s="17">
        <v>-1.0</v>
      </c>
      <c r="E969" s="17">
        <v>-1.0</v>
      </c>
      <c r="F969" s="17">
        <v>-1.0</v>
      </c>
      <c r="G969" s="17">
        <v>-1.0</v>
      </c>
      <c r="H969" s="17">
        <v>-1.0</v>
      </c>
    </row>
    <row r="970">
      <c r="A970" s="17">
        <v>6624500.0</v>
      </c>
      <c r="B970" s="17">
        <v>0.0</v>
      </c>
      <c r="C970" s="17">
        <v>6624500.0</v>
      </c>
      <c r="D970" s="17">
        <v>-1.0</v>
      </c>
      <c r="E970" s="17">
        <v>-1.0</v>
      </c>
      <c r="F970" s="17">
        <v>-1.0</v>
      </c>
      <c r="G970" s="17">
        <v>-1.0</v>
      </c>
      <c r="H970" s="17">
        <v>-1.0</v>
      </c>
    </row>
    <row r="971">
      <c r="A971" s="17">
        <v>6630000.0</v>
      </c>
      <c r="B971" s="17">
        <v>0.0</v>
      </c>
      <c r="C971" s="17">
        <v>6630000.0</v>
      </c>
      <c r="D971" s="17">
        <v>-1.0</v>
      </c>
      <c r="E971" s="17">
        <v>-1.0</v>
      </c>
      <c r="F971" s="17">
        <v>-1.0</v>
      </c>
      <c r="G971" s="17">
        <v>-1.0</v>
      </c>
      <c r="H971" s="17">
        <v>-1.0</v>
      </c>
    </row>
    <row r="972">
      <c r="A972" s="17">
        <v>6630100.0</v>
      </c>
      <c r="B972" s="17">
        <v>0.0</v>
      </c>
      <c r="C972" s="17">
        <v>6630100.0</v>
      </c>
      <c r="D972" s="17">
        <v>-1.0</v>
      </c>
      <c r="E972" s="17">
        <v>-1.0</v>
      </c>
      <c r="F972" s="17">
        <v>-1.0</v>
      </c>
      <c r="G972" s="17">
        <v>-1.0</v>
      </c>
      <c r="H972" s="17">
        <v>-1.0</v>
      </c>
    </row>
    <row r="973">
      <c r="A973" s="17">
        <v>6630200.0</v>
      </c>
      <c r="B973" s="17">
        <v>0.0</v>
      </c>
      <c r="C973" s="17">
        <v>6630200.0</v>
      </c>
      <c r="D973" s="17">
        <v>-1.0</v>
      </c>
      <c r="E973" s="17">
        <v>-1.0</v>
      </c>
      <c r="F973" s="17">
        <v>-1.0</v>
      </c>
      <c r="G973" s="17">
        <v>-1.0</v>
      </c>
      <c r="H973" s="17">
        <v>-1.0</v>
      </c>
    </row>
    <row r="974">
      <c r="A974" s="17">
        <v>6630300.0</v>
      </c>
      <c r="B974" s="17">
        <v>0.0</v>
      </c>
      <c r="C974" s="17">
        <v>6630300.0</v>
      </c>
      <c r="D974" s="17">
        <v>-1.0</v>
      </c>
      <c r="E974" s="17">
        <v>-1.0</v>
      </c>
      <c r="F974" s="17">
        <v>-1.0</v>
      </c>
      <c r="G974" s="17">
        <v>-1.0</v>
      </c>
      <c r="H974" s="17">
        <v>-1.0</v>
      </c>
    </row>
    <row r="975">
      <c r="A975" s="17">
        <v>6630400.0</v>
      </c>
      <c r="B975" s="17">
        <v>0.0</v>
      </c>
      <c r="C975" s="17">
        <v>6630400.0</v>
      </c>
      <c r="D975" s="17">
        <v>-1.0</v>
      </c>
      <c r="E975" s="17">
        <v>-1.0</v>
      </c>
      <c r="F975" s="17">
        <v>-1.0</v>
      </c>
      <c r="G975" s="17">
        <v>-1.0</v>
      </c>
      <c r="H975" s="17">
        <v>-1.0</v>
      </c>
    </row>
    <row r="976">
      <c r="A976" s="17">
        <v>6630500.0</v>
      </c>
      <c r="B976" s="17">
        <v>0.0</v>
      </c>
      <c r="C976" s="17">
        <v>6630500.0</v>
      </c>
      <c r="D976" s="17">
        <v>-1.0</v>
      </c>
      <c r="E976" s="17">
        <v>-1.0</v>
      </c>
      <c r="F976" s="17">
        <v>-1.0</v>
      </c>
      <c r="G976" s="17">
        <v>-1.0</v>
      </c>
      <c r="H976" s="17">
        <v>-1.0</v>
      </c>
    </row>
    <row r="977">
      <c r="A977" s="17">
        <v>6630600.0</v>
      </c>
      <c r="B977" s="17">
        <v>0.0</v>
      </c>
      <c r="C977" s="17">
        <v>6630600.0</v>
      </c>
      <c r="D977" s="17">
        <v>-1.0</v>
      </c>
      <c r="E977" s="17">
        <v>-1.0</v>
      </c>
      <c r="F977" s="17">
        <v>-1.0</v>
      </c>
      <c r="G977" s="17">
        <v>-1.0</v>
      </c>
      <c r="H977" s="17">
        <v>-1.0</v>
      </c>
    </row>
    <row r="978">
      <c r="A978" s="17">
        <v>6630700.0</v>
      </c>
      <c r="B978" s="17">
        <v>0.0</v>
      </c>
      <c r="C978" s="17">
        <v>6630700.0</v>
      </c>
      <c r="D978" s="17">
        <v>-1.0</v>
      </c>
      <c r="E978" s="17">
        <v>-1.0</v>
      </c>
      <c r="F978" s="17">
        <v>-1.0</v>
      </c>
      <c r="G978" s="17">
        <v>-1.0</v>
      </c>
      <c r="H978" s="17">
        <v>-1.0</v>
      </c>
    </row>
    <row r="979">
      <c r="A979" s="17">
        <v>6630800.0</v>
      </c>
      <c r="B979" s="17">
        <v>0.0</v>
      </c>
      <c r="C979" s="17">
        <v>6630800.0</v>
      </c>
      <c r="D979" s="17">
        <v>-1.0</v>
      </c>
      <c r="E979" s="17">
        <v>-1.0</v>
      </c>
      <c r="F979" s="17">
        <v>-1.0</v>
      </c>
      <c r="G979" s="17">
        <v>-1.0</v>
      </c>
      <c r="H979" s="17">
        <v>-1.0</v>
      </c>
    </row>
    <row r="980">
      <c r="A980" s="17">
        <v>6630900.0</v>
      </c>
      <c r="B980" s="17">
        <v>0.0</v>
      </c>
      <c r="C980" s="17">
        <v>6630900.0</v>
      </c>
      <c r="D980" s="17">
        <v>-1.0</v>
      </c>
      <c r="E980" s="17">
        <v>-1.0</v>
      </c>
      <c r="F980" s="17">
        <v>-1.0</v>
      </c>
      <c r="G980" s="17">
        <v>-1.0</v>
      </c>
      <c r="H980" s="17">
        <v>-1.0</v>
      </c>
    </row>
    <row r="981">
      <c r="A981" s="17">
        <v>6631000.0</v>
      </c>
      <c r="B981" s="17">
        <v>0.0</v>
      </c>
      <c r="C981" s="17">
        <v>6631000.0</v>
      </c>
      <c r="D981" s="17">
        <v>-1.0</v>
      </c>
      <c r="E981" s="17">
        <v>-1.0</v>
      </c>
      <c r="F981" s="17">
        <v>-1.0</v>
      </c>
      <c r="G981" s="17">
        <v>-1.0</v>
      </c>
      <c r="H981" s="17">
        <v>-1.0</v>
      </c>
    </row>
    <row r="982">
      <c r="A982" s="17">
        <v>6631100.0</v>
      </c>
      <c r="B982" s="17">
        <v>0.0</v>
      </c>
      <c r="C982" s="17">
        <v>6631100.0</v>
      </c>
      <c r="D982" s="17">
        <v>-1.0</v>
      </c>
      <c r="E982" s="17">
        <v>-1.0</v>
      </c>
      <c r="F982" s="17">
        <v>-1.0</v>
      </c>
      <c r="G982" s="17">
        <v>-1.0</v>
      </c>
      <c r="H982" s="17">
        <v>-1.0</v>
      </c>
    </row>
    <row r="983">
      <c r="A983" s="17">
        <v>6631200.0</v>
      </c>
      <c r="B983" s="17">
        <v>0.0</v>
      </c>
      <c r="C983" s="17">
        <v>6631200.0</v>
      </c>
      <c r="D983" s="17">
        <v>-1.0</v>
      </c>
      <c r="E983" s="17">
        <v>-1.0</v>
      </c>
      <c r="F983" s="17">
        <v>-1.0</v>
      </c>
      <c r="G983" s="17">
        <v>-1.0</v>
      </c>
      <c r="H983" s="17">
        <v>-1.0</v>
      </c>
    </row>
    <row r="984">
      <c r="A984" s="17">
        <v>6631300.0</v>
      </c>
      <c r="B984" s="17">
        <v>0.0</v>
      </c>
      <c r="C984" s="17">
        <v>6631300.0</v>
      </c>
      <c r="D984" s="17">
        <v>-1.0</v>
      </c>
      <c r="E984" s="17">
        <v>-1.0</v>
      </c>
      <c r="F984" s="17">
        <v>-1.0</v>
      </c>
      <c r="G984" s="17">
        <v>-1.0</v>
      </c>
      <c r="H984" s="17">
        <v>-1.0</v>
      </c>
    </row>
    <row r="985">
      <c r="A985" s="17">
        <v>6631400.0</v>
      </c>
      <c r="B985" s="17">
        <v>0.0</v>
      </c>
      <c r="C985" s="17">
        <v>6631400.0</v>
      </c>
      <c r="D985" s="17">
        <v>-1.0</v>
      </c>
      <c r="E985" s="17">
        <v>-1.0</v>
      </c>
      <c r="F985" s="17">
        <v>-1.0</v>
      </c>
      <c r="G985" s="17">
        <v>-1.0</v>
      </c>
      <c r="H985" s="17">
        <v>-1.0</v>
      </c>
    </row>
    <row r="986">
      <c r="A986" s="17">
        <v>6631500.0</v>
      </c>
      <c r="B986" s="17">
        <v>0.0</v>
      </c>
      <c r="C986" s="17">
        <v>6631500.0</v>
      </c>
      <c r="D986" s="17">
        <v>-1.0</v>
      </c>
      <c r="E986" s="17">
        <v>-1.0</v>
      </c>
      <c r="F986" s="17">
        <v>-1.0</v>
      </c>
      <c r="G986" s="17">
        <v>-1.0</v>
      </c>
      <c r="H986" s="17">
        <v>-1.0</v>
      </c>
    </row>
    <row r="987">
      <c r="A987" s="17">
        <v>6631600.0</v>
      </c>
      <c r="B987" s="17">
        <v>0.0</v>
      </c>
      <c r="C987" s="17">
        <v>6631600.0</v>
      </c>
      <c r="D987" s="17">
        <v>-1.0</v>
      </c>
      <c r="E987" s="17">
        <v>-1.0</v>
      </c>
      <c r="F987" s="17">
        <v>-1.0</v>
      </c>
      <c r="G987" s="17">
        <v>-1.0</v>
      </c>
      <c r="H987" s="17">
        <v>-1.0</v>
      </c>
    </row>
    <row r="988">
      <c r="A988" s="17">
        <v>6631700.0</v>
      </c>
      <c r="B988" s="17">
        <v>0.0</v>
      </c>
      <c r="C988" s="17">
        <v>6631700.0</v>
      </c>
      <c r="D988" s="17">
        <v>-1.0</v>
      </c>
      <c r="E988" s="17">
        <v>-1.0</v>
      </c>
      <c r="F988" s="17">
        <v>-1.0</v>
      </c>
      <c r="G988" s="17">
        <v>-1.0</v>
      </c>
      <c r="H988" s="17">
        <v>-1.0</v>
      </c>
    </row>
    <row r="989">
      <c r="A989" s="17">
        <v>6631800.0</v>
      </c>
      <c r="B989" s="17">
        <v>0.0</v>
      </c>
      <c r="C989" s="17">
        <v>6631800.0</v>
      </c>
      <c r="D989" s="17">
        <v>-1.0</v>
      </c>
      <c r="E989" s="17">
        <v>-1.0</v>
      </c>
      <c r="F989" s="17">
        <v>-1.0</v>
      </c>
      <c r="G989" s="17">
        <v>-1.0</v>
      </c>
      <c r="H989" s="17">
        <v>-1.0</v>
      </c>
    </row>
    <row r="990">
      <c r="A990" s="17">
        <v>6631900.0</v>
      </c>
      <c r="B990" s="17">
        <v>0.0</v>
      </c>
      <c r="C990" s="17">
        <v>6631900.0</v>
      </c>
      <c r="D990" s="17">
        <v>-1.0</v>
      </c>
      <c r="E990" s="17">
        <v>-1.0</v>
      </c>
      <c r="F990" s="17">
        <v>-1.0</v>
      </c>
      <c r="G990" s="17">
        <v>-1.0</v>
      </c>
      <c r="H990" s="17">
        <v>-1.0</v>
      </c>
    </row>
    <row r="991">
      <c r="A991" s="17">
        <v>6632000.0</v>
      </c>
      <c r="B991" s="17">
        <v>0.0</v>
      </c>
      <c r="C991" s="17">
        <v>6632000.0</v>
      </c>
      <c r="D991" s="17">
        <v>-1.0</v>
      </c>
      <c r="E991" s="17">
        <v>-1.0</v>
      </c>
      <c r="F991" s="17">
        <v>-1.0</v>
      </c>
      <c r="G991" s="17">
        <v>-1.0</v>
      </c>
      <c r="H991" s="17">
        <v>-1.0</v>
      </c>
    </row>
    <row r="992">
      <c r="A992" s="17">
        <v>6632100.0</v>
      </c>
      <c r="B992" s="17">
        <v>0.0</v>
      </c>
      <c r="C992" s="17">
        <v>6632100.0</v>
      </c>
      <c r="D992" s="17">
        <v>-1.0</v>
      </c>
      <c r="E992" s="17">
        <v>-1.0</v>
      </c>
      <c r="F992" s="17">
        <v>-1.0</v>
      </c>
      <c r="G992" s="17">
        <v>-1.0</v>
      </c>
      <c r="H992" s="17">
        <v>-1.0</v>
      </c>
    </row>
    <row r="993">
      <c r="A993" s="17">
        <v>6632200.0</v>
      </c>
      <c r="B993" s="17">
        <v>0.0</v>
      </c>
      <c r="C993" s="17">
        <v>6632200.0</v>
      </c>
      <c r="D993" s="17">
        <v>-1.0</v>
      </c>
      <c r="E993" s="17">
        <v>-1.0</v>
      </c>
      <c r="F993" s="17">
        <v>-1.0</v>
      </c>
      <c r="G993" s="17">
        <v>-1.0</v>
      </c>
      <c r="H993" s="17">
        <v>-1.0</v>
      </c>
    </row>
    <row r="994">
      <c r="A994" s="17">
        <v>6632300.0</v>
      </c>
      <c r="B994" s="17">
        <v>0.0</v>
      </c>
      <c r="C994" s="17">
        <v>6632300.0</v>
      </c>
      <c r="D994" s="17">
        <v>-1.0</v>
      </c>
      <c r="E994" s="17">
        <v>-1.0</v>
      </c>
      <c r="F994" s="17">
        <v>-1.0</v>
      </c>
      <c r="G994" s="17">
        <v>-1.0</v>
      </c>
      <c r="H994" s="17">
        <v>-1.0</v>
      </c>
    </row>
    <row r="995">
      <c r="A995" s="17">
        <v>6632400.0</v>
      </c>
      <c r="B995" s="17">
        <v>0.0</v>
      </c>
      <c r="C995" s="17">
        <v>6632400.0</v>
      </c>
      <c r="D995" s="17">
        <v>-1.0</v>
      </c>
      <c r="E995" s="17">
        <v>-1.0</v>
      </c>
      <c r="F995" s="17">
        <v>-1.0</v>
      </c>
      <c r="G995" s="17">
        <v>-1.0</v>
      </c>
      <c r="H995" s="17">
        <v>-1.0</v>
      </c>
    </row>
    <row r="996">
      <c r="A996" s="17">
        <v>6632500.0</v>
      </c>
      <c r="B996" s="17">
        <v>0.0</v>
      </c>
      <c r="C996" s="17">
        <v>6632500.0</v>
      </c>
      <c r="D996" s="17">
        <v>-1.0</v>
      </c>
      <c r="E996" s="17">
        <v>-1.0</v>
      </c>
      <c r="F996" s="17">
        <v>-1.0</v>
      </c>
      <c r="G996" s="17">
        <v>-1.0</v>
      </c>
      <c r="H996" s="17">
        <v>-1.0</v>
      </c>
    </row>
    <row r="997">
      <c r="A997" s="17">
        <v>6632600.0</v>
      </c>
      <c r="B997" s="17">
        <v>0.0</v>
      </c>
      <c r="C997" s="17">
        <v>6632600.0</v>
      </c>
      <c r="D997" s="17">
        <v>-1.0</v>
      </c>
      <c r="E997" s="17">
        <v>-1.0</v>
      </c>
      <c r="F997" s="17">
        <v>-1.0</v>
      </c>
      <c r="G997" s="17">
        <v>-1.0</v>
      </c>
      <c r="H997" s="17">
        <v>-1.0</v>
      </c>
    </row>
    <row r="998">
      <c r="A998" s="17">
        <v>6632700.0</v>
      </c>
      <c r="B998" s="17">
        <v>0.0</v>
      </c>
      <c r="C998" s="17">
        <v>6632700.0</v>
      </c>
      <c r="D998" s="17">
        <v>-1.0</v>
      </c>
      <c r="E998" s="17">
        <v>-1.0</v>
      </c>
      <c r="F998" s="17">
        <v>-1.0</v>
      </c>
      <c r="G998" s="17">
        <v>-1.0</v>
      </c>
      <c r="H998" s="17">
        <v>-1.0</v>
      </c>
    </row>
    <row r="999">
      <c r="A999" s="17">
        <v>6632800.0</v>
      </c>
      <c r="B999" s="17">
        <v>0.0</v>
      </c>
      <c r="C999" s="17">
        <v>6632800.0</v>
      </c>
      <c r="D999" s="17">
        <v>-1.0</v>
      </c>
      <c r="E999" s="17">
        <v>-1.0</v>
      </c>
      <c r="F999" s="17">
        <v>-1.0</v>
      </c>
      <c r="G999" s="17">
        <v>-1.0</v>
      </c>
      <c r="H999" s="17">
        <v>-1.0</v>
      </c>
    </row>
    <row r="1000">
      <c r="A1000" s="17">
        <v>6632900.0</v>
      </c>
      <c r="B1000" s="17">
        <v>0.0</v>
      </c>
      <c r="C1000" s="17">
        <v>6632900.0</v>
      </c>
      <c r="D1000" s="17">
        <v>-1.0</v>
      </c>
      <c r="E1000" s="17">
        <v>-1.0</v>
      </c>
      <c r="F1000" s="17">
        <v>-1.0</v>
      </c>
      <c r="G1000" s="17">
        <v>-1.0</v>
      </c>
      <c r="H1000" s="17">
        <v>-1.0</v>
      </c>
    </row>
    <row r="1001">
      <c r="A1001" s="17">
        <v>6633000.0</v>
      </c>
      <c r="B1001" s="17">
        <v>0.0</v>
      </c>
      <c r="C1001" s="17">
        <v>6633000.0</v>
      </c>
      <c r="D1001" s="17">
        <v>-1.0</v>
      </c>
      <c r="E1001" s="17">
        <v>-1.0</v>
      </c>
      <c r="F1001" s="17">
        <v>-1.0</v>
      </c>
      <c r="G1001" s="17">
        <v>-1.0</v>
      </c>
      <c r="H1001" s="17">
        <v>-1.0</v>
      </c>
    </row>
    <row r="1002">
      <c r="A1002" s="17">
        <v>6633100.0</v>
      </c>
      <c r="B1002" s="17">
        <v>0.0</v>
      </c>
      <c r="C1002" s="17">
        <v>6633100.0</v>
      </c>
      <c r="D1002" s="17">
        <v>-1.0</v>
      </c>
      <c r="E1002" s="17">
        <v>-1.0</v>
      </c>
      <c r="F1002" s="17">
        <v>-1.0</v>
      </c>
      <c r="G1002" s="17">
        <v>-1.0</v>
      </c>
      <c r="H1002" s="17">
        <v>-1.0</v>
      </c>
    </row>
    <row r="1003">
      <c r="A1003" s="17">
        <v>6633200.0</v>
      </c>
      <c r="B1003" s="17">
        <v>0.0</v>
      </c>
      <c r="C1003" s="17">
        <v>6633200.0</v>
      </c>
      <c r="D1003" s="17">
        <v>-1.0</v>
      </c>
      <c r="E1003" s="17">
        <v>-1.0</v>
      </c>
      <c r="F1003" s="17">
        <v>-1.0</v>
      </c>
      <c r="G1003" s="17">
        <v>-1.0</v>
      </c>
      <c r="H1003" s="17">
        <v>-1.0</v>
      </c>
    </row>
    <row r="1004">
      <c r="A1004" s="17">
        <v>6640000.0</v>
      </c>
      <c r="B1004" s="17">
        <v>0.0</v>
      </c>
      <c r="C1004" s="17">
        <v>6640000.0</v>
      </c>
      <c r="D1004" s="17">
        <v>-1.0</v>
      </c>
      <c r="E1004" s="17">
        <v>-1.0</v>
      </c>
      <c r="F1004" s="17">
        <v>-1.0</v>
      </c>
      <c r="G1004" s="17">
        <v>-1.0</v>
      </c>
      <c r="H1004" s="17">
        <v>-1.0</v>
      </c>
    </row>
    <row r="1005">
      <c r="A1005" s="17">
        <v>6640100.0</v>
      </c>
      <c r="B1005" s="17">
        <v>0.0</v>
      </c>
      <c r="C1005" s="17">
        <v>6640100.0</v>
      </c>
      <c r="D1005" s="17">
        <v>-1.0</v>
      </c>
      <c r="E1005" s="17">
        <v>-1.0</v>
      </c>
      <c r="F1005" s="17">
        <v>-1.0</v>
      </c>
      <c r="G1005" s="17">
        <v>-1.0</v>
      </c>
      <c r="H1005" s="17">
        <v>-1.0</v>
      </c>
    </row>
    <row r="1006">
      <c r="A1006" s="17">
        <v>6641000.0</v>
      </c>
      <c r="B1006" s="17">
        <v>0.0</v>
      </c>
      <c r="C1006" s="17">
        <v>6641000.0</v>
      </c>
      <c r="D1006" s="17">
        <v>-1.0</v>
      </c>
      <c r="E1006" s="17">
        <v>-1.0</v>
      </c>
      <c r="F1006" s="17">
        <v>-1.0</v>
      </c>
      <c r="G1006" s="17">
        <v>-1.0</v>
      </c>
      <c r="H1006" s="17">
        <v>-1.0</v>
      </c>
    </row>
    <row r="1007">
      <c r="A1007" s="17">
        <v>6641100.0</v>
      </c>
      <c r="B1007" s="17">
        <v>0.0</v>
      </c>
      <c r="C1007" s="17">
        <v>6641100.0</v>
      </c>
      <c r="D1007" s="17">
        <v>-1.0</v>
      </c>
      <c r="E1007" s="17">
        <v>-1.0</v>
      </c>
      <c r="F1007" s="17">
        <v>-1.0</v>
      </c>
      <c r="G1007" s="17">
        <v>-1.0</v>
      </c>
      <c r="H1007" s="17">
        <v>-1.0</v>
      </c>
    </row>
    <row r="1008">
      <c r="A1008" s="17">
        <v>6642000.0</v>
      </c>
      <c r="B1008" s="17">
        <v>0.0</v>
      </c>
      <c r="C1008" s="17">
        <v>6642000.0</v>
      </c>
      <c r="D1008" s="17">
        <v>-1.0</v>
      </c>
      <c r="E1008" s="17">
        <v>-1.0</v>
      </c>
      <c r="F1008" s="17">
        <v>-1.0</v>
      </c>
      <c r="G1008" s="17">
        <v>-1.0</v>
      </c>
      <c r="H1008" s="17">
        <v>-1.0</v>
      </c>
    </row>
    <row r="1009">
      <c r="A1009" s="17">
        <v>6642100.0</v>
      </c>
      <c r="B1009" s="17">
        <v>0.0</v>
      </c>
      <c r="C1009" s="17">
        <v>6642100.0</v>
      </c>
      <c r="D1009" s="17">
        <v>-1.0</v>
      </c>
      <c r="E1009" s="17">
        <v>-1.0</v>
      </c>
      <c r="F1009" s="17">
        <v>-1.0</v>
      </c>
      <c r="G1009" s="17">
        <v>-1.0</v>
      </c>
      <c r="H1009" s="17">
        <v>-1.0</v>
      </c>
    </row>
    <row r="1010">
      <c r="A1010" s="17">
        <v>6643000.0</v>
      </c>
      <c r="B1010" s="17">
        <v>0.0</v>
      </c>
      <c r="C1010" s="17">
        <v>6643000.0</v>
      </c>
      <c r="D1010" s="17">
        <v>-1.0</v>
      </c>
      <c r="E1010" s="17">
        <v>-1.0</v>
      </c>
      <c r="F1010" s="17">
        <v>-1.0</v>
      </c>
      <c r="G1010" s="17">
        <v>-1.0</v>
      </c>
      <c r="H1010" s="17">
        <v>-1.0</v>
      </c>
    </row>
    <row r="1011">
      <c r="A1011" s="17">
        <v>6643100.0</v>
      </c>
      <c r="B1011" s="17">
        <v>0.0</v>
      </c>
      <c r="C1011" s="17">
        <v>6643100.0</v>
      </c>
      <c r="D1011" s="17">
        <v>-1.0</v>
      </c>
      <c r="E1011" s="17">
        <v>-1.0</v>
      </c>
      <c r="F1011" s="17">
        <v>-1.0</v>
      </c>
      <c r="G1011" s="17">
        <v>-1.0</v>
      </c>
      <c r="H1011" s="17">
        <v>-1.0</v>
      </c>
    </row>
    <row r="1012">
      <c r="A1012" s="17">
        <v>6644000.0</v>
      </c>
      <c r="B1012" s="17">
        <v>0.0</v>
      </c>
      <c r="C1012" s="17">
        <v>6644000.0</v>
      </c>
      <c r="D1012" s="17">
        <v>-1.0</v>
      </c>
      <c r="E1012" s="17">
        <v>-1.0</v>
      </c>
      <c r="F1012" s="17">
        <v>-1.0</v>
      </c>
      <c r="G1012" s="17">
        <v>-1.0</v>
      </c>
      <c r="H1012" s="17">
        <v>-1.0</v>
      </c>
    </row>
    <row r="1013">
      <c r="A1013" s="17">
        <v>6644100.0</v>
      </c>
      <c r="B1013" s="17">
        <v>0.0</v>
      </c>
      <c r="C1013" s="17">
        <v>6644100.0</v>
      </c>
      <c r="D1013" s="17">
        <v>-1.0</v>
      </c>
      <c r="E1013" s="17">
        <v>-1.0</v>
      </c>
      <c r="F1013" s="17">
        <v>-1.0</v>
      </c>
      <c r="G1013" s="17">
        <v>-1.0</v>
      </c>
      <c r="H1013" s="17">
        <v>-1.0</v>
      </c>
    </row>
    <row r="1014">
      <c r="A1014" s="17">
        <v>6645000.0</v>
      </c>
      <c r="B1014" s="17">
        <v>0.0</v>
      </c>
      <c r="C1014" s="17">
        <v>6645000.0</v>
      </c>
      <c r="D1014" s="17">
        <v>-1.0</v>
      </c>
      <c r="E1014" s="17">
        <v>-1.0</v>
      </c>
      <c r="F1014" s="17">
        <v>-1.0</v>
      </c>
      <c r="G1014" s="17">
        <v>-1.0</v>
      </c>
      <c r="H1014" s="17">
        <v>-1.0</v>
      </c>
    </row>
    <row r="1015">
      <c r="A1015" s="17">
        <v>6645100.0</v>
      </c>
      <c r="B1015" s="17">
        <v>0.0</v>
      </c>
      <c r="C1015" s="17">
        <v>6645100.0</v>
      </c>
      <c r="D1015" s="17">
        <v>-1.0</v>
      </c>
      <c r="E1015" s="17">
        <v>-1.0</v>
      </c>
      <c r="F1015" s="17">
        <v>-1.0</v>
      </c>
      <c r="G1015" s="17">
        <v>-1.0</v>
      </c>
      <c r="H1015" s="17">
        <v>-1.0</v>
      </c>
    </row>
    <row r="1016">
      <c r="A1016" s="17">
        <v>6646000.0</v>
      </c>
      <c r="B1016" s="17">
        <v>0.0</v>
      </c>
      <c r="C1016" s="17">
        <v>6646000.0</v>
      </c>
      <c r="D1016" s="17">
        <v>-1.0</v>
      </c>
      <c r="E1016" s="17">
        <v>-1.0</v>
      </c>
      <c r="F1016" s="17">
        <v>-1.0</v>
      </c>
      <c r="G1016" s="17">
        <v>-1.0</v>
      </c>
      <c r="H1016" s="17">
        <v>-1.0</v>
      </c>
    </row>
    <row r="1017">
      <c r="A1017" s="17">
        <v>6646100.0</v>
      </c>
      <c r="B1017" s="17">
        <v>0.0</v>
      </c>
      <c r="C1017" s="17">
        <v>6646100.0</v>
      </c>
      <c r="D1017" s="17">
        <v>-1.0</v>
      </c>
      <c r="E1017" s="17">
        <v>-1.0</v>
      </c>
      <c r="F1017" s="17">
        <v>-1.0</v>
      </c>
      <c r="G1017" s="17">
        <v>-1.0</v>
      </c>
      <c r="H1017" s="17">
        <v>-1.0</v>
      </c>
    </row>
    <row r="1018">
      <c r="A1018" s="17">
        <v>6647000.0</v>
      </c>
      <c r="B1018" s="17">
        <v>0.0</v>
      </c>
      <c r="C1018" s="17">
        <v>6647000.0</v>
      </c>
      <c r="D1018" s="17">
        <v>-1.0</v>
      </c>
      <c r="E1018" s="17">
        <v>-1.0</v>
      </c>
      <c r="F1018" s="17">
        <v>-1.0</v>
      </c>
      <c r="G1018" s="17">
        <v>-1.0</v>
      </c>
      <c r="H1018" s="17">
        <v>-1.0</v>
      </c>
    </row>
    <row r="1019">
      <c r="A1019" s="17">
        <v>6647100.0</v>
      </c>
      <c r="B1019" s="17">
        <v>0.0</v>
      </c>
      <c r="C1019" s="17">
        <v>6647100.0</v>
      </c>
      <c r="D1019" s="17">
        <v>-1.0</v>
      </c>
      <c r="E1019" s="17">
        <v>-1.0</v>
      </c>
      <c r="F1019" s="17">
        <v>-1.0</v>
      </c>
      <c r="G1019" s="17">
        <v>-1.0</v>
      </c>
      <c r="H1019" s="17">
        <v>-1.0</v>
      </c>
    </row>
    <row r="1020">
      <c r="A1020" s="17">
        <v>6647200.0</v>
      </c>
      <c r="B1020" s="17">
        <v>0.0</v>
      </c>
      <c r="C1020" s="17">
        <v>6647200.0</v>
      </c>
      <c r="D1020" s="17">
        <v>-1.0</v>
      </c>
      <c r="E1020" s="17">
        <v>-1.0</v>
      </c>
      <c r="F1020" s="17">
        <v>-1.0</v>
      </c>
      <c r="G1020" s="17">
        <v>-1.0</v>
      </c>
      <c r="H1020" s="17">
        <v>-1.0</v>
      </c>
    </row>
    <row r="1021">
      <c r="A1021" s="17">
        <v>6647300.0</v>
      </c>
      <c r="B1021" s="17">
        <v>0.0</v>
      </c>
      <c r="C1021" s="17">
        <v>6647300.0</v>
      </c>
      <c r="D1021" s="17">
        <v>-1.0</v>
      </c>
      <c r="E1021" s="17">
        <v>-1.0</v>
      </c>
      <c r="F1021" s="17">
        <v>-1.0</v>
      </c>
      <c r="G1021" s="17">
        <v>-1.0</v>
      </c>
      <c r="H1021" s="17">
        <v>-1.0</v>
      </c>
    </row>
    <row r="1022">
      <c r="A1022" s="17">
        <v>6647400.0</v>
      </c>
      <c r="B1022" s="17">
        <v>0.0</v>
      </c>
      <c r="C1022" s="17">
        <v>6647400.0</v>
      </c>
      <c r="D1022" s="17">
        <v>-1.0</v>
      </c>
      <c r="E1022" s="17">
        <v>-1.0</v>
      </c>
      <c r="F1022" s="17">
        <v>-1.0</v>
      </c>
      <c r="G1022" s="17">
        <v>-1.0</v>
      </c>
      <c r="H1022" s="17">
        <v>-1.0</v>
      </c>
    </row>
    <row r="1023">
      <c r="A1023" s="17">
        <v>6647500.0</v>
      </c>
      <c r="B1023" s="17">
        <v>0.0</v>
      </c>
      <c r="C1023" s="17">
        <v>6647500.0</v>
      </c>
      <c r="D1023" s="17">
        <v>-1.0</v>
      </c>
      <c r="E1023" s="17">
        <v>-1.0</v>
      </c>
      <c r="F1023" s="17">
        <v>-1.0</v>
      </c>
      <c r="G1023" s="17">
        <v>-1.0</v>
      </c>
      <c r="H1023" s="17">
        <v>-1.0</v>
      </c>
    </row>
    <row r="1024">
      <c r="A1024" s="17">
        <v>6820000.0</v>
      </c>
      <c r="B1024" s="17">
        <v>0.0</v>
      </c>
      <c r="C1024" s="17">
        <v>6820000.0</v>
      </c>
      <c r="D1024" s="17">
        <v>-1.0</v>
      </c>
      <c r="E1024" s="17">
        <v>-1.0</v>
      </c>
      <c r="F1024" s="17">
        <v>-1.0</v>
      </c>
      <c r="G1024" s="17">
        <v>-1.0</v>
      </c>
      <c r="H1024" s="17">
        <v>-1.0</v>
      </c>
    </row>
    <row r="1025">
      <c r="A1025" s="17">
        <v>6820100.0</v>
      </c>
      <c r="B1025" s="17">
        <v>0.0</v>
      </c>
      <c r="C1025" s="17">
        <v>6820100.0</v>
      </c>
      <c r="D1025" s="17">
        <v>-1.0</v>
      </c>
      <c r="E1025" s="17">
        <v>-1.0</v>
      </c>
      <c r="F1025" s="17">
        <v>-1.0</v>
      </c>
      <c r="G1025" s="17">
        <v>-1.0</v>
      </c>
      <c r="H1025" s="17">
        <v>-1.0</v>
      </c>
    </row>
    <row r="1026">
      <c r="A1026" s="17">
        <v>6820200.0</v>
      </c>
      <c r="B1026" s="17">
        <v>0.0</v>
      </c>
      <c r="C1026" s="17">
        <v>6820200.0</v>
      </c>
      <c r="D1026" s="17">
        <v>-1.0</v>
      </c>
      <c r="E1026" s="17">
        <v>-1.0</v>
      </c>
      <c r="F1026" s="17">
        <v>-1.0</v>
      </c>
      <c r="G1026" s="17">
        <v>-1.0</v>
      </c>
      <c r="H1026" s="17">
        <v>-1.0</v>
      </c>
    </row>
    <row r="1027">
      <c r="A1027" s="17">
        <v>6820300.0</v>
      </c>
      <c r="B1027" s="17">
        <v>0.0</v>
      </c>
      <c r="C1027" s="17">
        <v>6820300.0</v>
      </c>
      <c r="D1027" s="17">
        <v>-1.0</v>
      </c>
      <c r="E1027" s="17">
        <v>-1.0</v>
      </c>
      <c r="F1027" s="17">
        <v>-1.0</v>
      </c>
      <c r="G1027" s="17">
        <v>-1.0</v>
      </c>
      <c r="H1027" s="17">
        <v>-1.0</v>
      </c>
    </row>
    <row r="1028">
      <c r="A1028" s="17">
        <v>6820400.0</v>
      </c>
      <c r="B1028" s="17">
        <v>0.0</v>
      </c>
      <c r="C1028" s="17">
        <v>6820400.0</v>
      </c>
      <c r="D1028" s="17">
        <v>-1.0</v>
      </c>
      <c r="E1028" s="17">
        <v>-1.0</v>
      </c>
      <c r="F1028" s="17">
        <v>-1.0</v>
      </c>
      <c r="G1028" s="17">
        <v>-1.0</v>
      </c>
      <c r="H1028" s="17">
        <v>-1.0</v>
      </c>
    </row>
    <row r="1029">
      <c r="A1029" s="17">
        <v>6820500.0</v>
      </c>
      <c r="B1029" s="17">
        <v>0.0</v>
      </c>
      <c r="C1029" s="17">
        <v>6820500.0</v>
      </c>
      <c r="D1029" s="17">
        <v>-1.0</v>
      </c>
      <c r="E1029" s="17">
        <v>-1.0</v>
      </c>
      <c r="F1029" s="17">
        <v>-1.0</v>
      </c>
      <c r="G1029" s="17">
        <v>-1.0</v>
      </c>
      <c r="H1029" s="17">
        <v>-1.0</v>
      </c>
    </row>
    <row r="1030">
      <c r="A1030" s="17">
        <v>6820600.0</v>
      </c>
      <c r="B1030" s="17">
        <v>0.0</v>
      </c>
      <c r="C1030" s="17">
        <v>6820600.0</v>
      </c>
      <c r="D1030" s="17">
        <v>-1.0</v>
      </c>
      <c r="E1030" s="17">
        <v>-1.0</v>
      </c>
      <c r="F1030" s="17">
        <v>-1.0</v>
      </c>
      <c r="G1030" s="17">
        <v>-1.0</v>
      </c>
      <c r="H1030" s="17">
        <v>-1.0</v>
      </c>
    </row>
    <row r="1031">
      <c r="A1031" s="17">
        <v>6830000.0</v>
      </c>
      <c r="B1031" s="17">
        <v>0.0</v>
      </c>
      <c r="C1031" s="17">
        <v>6830000.0</v>
      </c>
      <c r="D1031" s="17">
        <v>-1.0</v>
      </c>
      <c r="E1031" s="17">
        <v>-1.0</v>
      </c>
      <c r="F1031" s="17">
        <v>-1.0</v>
      </c>
      <c r="G1031" s="17">
        <v>-1.0</v>
      </c>
      <c r="H1031" s="17">
        <v>-1.0</v>
      </c>
    </row>
    <row r="1032">
      <c r="A1032" s="17">
        <v>6830100.0</v>
      </c>
      <c r="B1032" s="17">
        <v>0.0</v>
      </c>
      <c r="C1032" s="17">
        <v>6830100.0</v>
      </c>
      <c r="D1032" s="17">
        <v>-1.0</v>
      </c>
      <c r="E1032" s="17">
        <v>-1.0</v>
      </c>
      <c r="F1032" s="17">
        <v>-1.0</v>
      </c>
      <c r="G1032" s="17">
        <v>-1.0</v>
      </c>
      <c r="H1032" s="17">
        <v>-1.0</v>
      </c>
    </row>
    <row r="1033">
      <c r="A1033" s="17">
        <v>6830200.0</v>
      </c>
      <c r="B1033" s="17">
        <v>0.0</v>
      </c>
      <c r="C1033" s="17">
        <v>6830200.0</v>
      </c>
      <c r="D1033" s="17">
        <v>-1.0</v>
      </c>
      <c r="E1033" s="17">
        <v>-1.0</v>
      </c>
      <c r="F1033" s="17">
        <v>-1.0</v>
      </c>
      <c r="G1033" s="17">
        <v>-1.0</v>
      </c>
      <c r="H1033" s="17">
        <v>-1.0</v>
      </c>
    </row>
    <row r="1034">
      <c r="A1034" s="17">
        <v>6830300.0</v>
      </c>
      <c r="B1034" s="17">
        <v>0.0</v>
      </c>
      <c r="C1034" s="17">
        <v>6830300.0</v>
      </c>
      <c r="D1034" s="17">
        <v>-1.0</v>
      </c>
      <c r="E1034" s="17">
        <v>-1.0</v>
      </c>
      <c r="F1034" s="17">
        <v>-1.0</v>
      </c>
      <c r="G1034" s="17">
        <v>-1.0</v>
      </c>
      <c r="H1034" s="17">
        <v>-1.0</v>
      </c>
    </row>
    <row r="1035">
      <c r="A1035" s="17">
        <v>6830400.0</v>
      </c>
      <c r="B1035" s="17">
        <v>0.0</v>
      </c>
      <c r="C1035" s="17">
        <v>6830400.0</v>
      </c>
      <c r="D1035" s="17">
        <v>-1.0</v>
      </c>
      <c r="E1035" s="17">
        <v>-1.0</v>
      </c>
      <c r="F1035" s="17">
        <v>-1.0</v>
      </c>
      <c r="G1035" s="17">
        <v>-1.0</v>
      </c>
      <c r="H1035" s="17">
        <v>-1.0</v>
      </c>
    </row>
    <row r="1036">
      <c r="A1036" s="17">
        <v>6840000.0</v>
      </c>
      <c r="B1036" s="17">
        <v>0.0</v>
      </c>
      <c r="C1036" s="17">
        <v>6840000.0</v>
      </c>
      <c r="D1036" s="17">
        <v>-1.0</v>
      </c>
      <c r="E1036" s="17">
        <v>-1.0</v>
      </c>
      <c r="F1036" s="17">
        <v>-1.0</v>
      </c>
      <c r="G1036" s="17">
        <v>-1.0</v>
      </c>
      <c r="H1036" s="17">
        <v>-1.0</v>
      </c>
    </row>
    <row r="1037">
      <c r="A1037" s="17">
        <v>6840100.0</v>
      </c>
      <c r="B1037" s="17">
        <v>0.0</v>
      </c>
      <c r="C1037" s="17">
        <v>6840100.0</v>
      </c>
      <c r="D1037" s="17">
        <v>-1.0</v>
      </c>
      <c r="E1037" s="17">
        <v>-1.0</v>
      </c>
      <c r="F1037" s="17">
        <v>-1.0</v>
      </c>
      <c r="G1037" s="17">
        <v>-1.0</v>
      </c>
      <c r="H1037" s="17">
        <v>-1.0</v>
      </c>
    </row>
    <row r="1038">
      <c r="A1038" s="17">
        <v>6840200.0</v>
      </c>
      <c r="B1038" s="17">
        <v>0.0</v>
      </c>
      <c r="C1038" s="17">
        <v>6840200.0</v>
      </c>
      <c r="D1038" s="17">
        <v>-1.0</v>
      </c>
      <c r="E1038" s="17">
        <v>-1.0</v>
      </c>
      <c r="F1038" s="17">
        <v>-1.0</v>
      </c>
      <c r="G1038" s="17">
        <v>-1.0</v>
      </c>
      <c r="H1038" s="17">
        <v>-1.0</v>
      </c>
    </row>
    <row r="1039">
      <c r="A1039" s="17">
        <v>6850200.0</v>
      </c>
      <c r="B1039" s="17">
        <v>0.0</v>
      </c>
      <c r="C1039" s="17">
        <v>6850200.0</v>
      </c>
      <c r="D1039" s="17">
        <v>-1.0</v>
      </c>
      <c r="E1039" s="17">
        <v>-1.0</v>
      </c>
      <c r="F1039" s="17">
        <v>-1.0</v>
      </c>
      <c r="G1039" s="17">
        <v>-1.0</v>
      </c>
      <c r="H1039" s="17">
        <v>-1.0</v>
      </c>
    </row>
    <row r="1040">
      <c r="A1040" s="17">
        <v>6850500.0</v>
      </c>
      <c r="B1040" s="17">
        <v>0.0</v>
      </c>
      <c r="C1040" s="17">
        <v>6850500.0</v>
      </c>
      <c r="D1040" s="17">
        <v>-1.0</v>
      </c>
      <c r="E1040" s="17">
        <v>-1.0</v>
      </c>
      <c r="F1040" s="17">
        <v>-1.0</v>
      </c>
      <c r="G1040" s="17">
        <v>-1.0</v>
      </c>
      <c r="H1040" s="17">
        <v>-1.0</v>
      </c>
    </row>
    <row r="1041">
      <c r="A1041" s="17">
        <v>6850700.0</v>
      </c>
      <c r="B1041" s="17">
        <v>0.0</v>
      </c>
      <c r="C1041" s="17">
        <v>6850700.0</v>
      </c>
      <c r="D1041" s="17">
        <v>-1.0</v>
      </c>
      <c r="E1041" s="17">
        <v>-1.0</v>
      </c>
      <c r="F1041" s="17">
        <v>-1.0</v>
      </c>
      <c r="G1041" s="17">
        <v>-1.0</v>
      </c>
      <c r="H1041" s="17">
        <v>-1.0</v>
      </c>
    </row>
    <row r="1042">
      <c r="A1042" s="17">
        <v>6850800.0</v>
      </c>
      <c r="B1042" s="17">
        <v>0.0</v>
      </c>
      <c r="C1042" s="17">
        <v>6850800.0</v>
      </c>
      <c r="D1042" s="17">
        <v>-1.0</v>
      </c>
      <c r="E1042" s="17">
        <v>-1.0</v>
      </c>
      <c r="F1042" s="17">
        <v>-1.0</v>
      </c>
      <c r="G1042" s="17">
        <v>-1.0</v>
      </c>
      <c r="H1042" s="17">
        <v>-1.0</v>
      </c>
    </row>
    <row r="1043">
      <c r="A1043" s="17">
        <v>6850900.0</v>
      </c>
      <c r="B1043" s="17">
        <v>0.0</v>
      </c>
      <c r="C1043" s="17">
        <v>6850900.0</v>
      </c>
      <c r="D1043" s="17">
        <v>-1.0</v>
      </c>
      <c r="E1043" s="17">
        <v>-1.0</v>
      </c>
      <c r="F1043" s="17">
        <v>-1.0</v>
      </c>
      <c r="G1043" s="17">
        <v>-1.0</v>
      </c>
      <c r="H1043" s="17">
        <v>-1.0</v>
      </c>
    </row>
    <row r="1044">
      <c r="A1044" s="17">
        <v>6851200.0</v>
      </c>
      <c r="B1044" s="17">
        <v>0.0</v>
      </c>
      <c r="C1044" s="17">
        <v>6851200.0</v>
      </c>
      <c r="D1044" s="17">
        <v>-1.0</v>
      </c>
      <c r="E1044" s="17">
        <v>-1.0</v>
      </c>
      <c r="F1044" s="17">
        <v>-1.0</v>
      </c>
      <c r="G1044" s="17">
        <v>-1.0</v>
      </c>
      <c r="H1044" s="17">
        <v>-1.0</v>
      </c>
    </row>
    <row r="1045">
      <c r="A1045" s="17">
        <v>6851300.0</v>
      </c>
      <c r="B1045" s="17">
        <v>0.0</v>
      </c>
      <c r="C1045" s="17">
        <v>6851300.0</v>
      </c>
      <c r="D1045" s="17">
        <v>-1.0</v>
      </c>
      <c r="E1045" s="17">
        <v>-1.0</v>
      </c>
      <c r="F1045" s="17">
        <v>-1.0</v>
      </c>
      <c r="G1045" s="17">
        <v>-1.0</v>
      </c>
      <c r="H1045" s="17">
        <v>-1.0</v>
      </c>
    </row>
    <row r="1046">
      <c r="A1046" s="17">
        <v>6851400.0</v>
      </c>
      <c r="B1046" s="17">
        <v>0.0</v>
      </c>
      <c r="C1046" s="17">
        <v>6851400.0</v>
      </c>
      <c r="D1046" s="17">
        <v>-1.0</v>
      </c>
      <c r="E1046" s="17">
        <v>-1.0</v>
      </c>
      <c r="F1046" s="17">
        <v>-1.0</v>
      </c>
      <c r="G1046" s="17">
        <v>-1.0</v>
      </c>
      <c r="H1046" s="17">
        <v>-1.0</v>
      </c>
    </row>
    <row r="1047">
      <c r="A1047" s="17">
        <v>6851700.0</v>
      </c>
      <c r="B1047" s="17">
        <v>0.0</v>
      </c>
      <c r="C1047" s="17">
        <v>6851700.0</v>
      </c>
      <c r="D1047" s="17">
        <v>-1.0</v>
      </c>
      <c r="E1047" s="17">
        <v>-1.0</v>
      </c>
      <c r="F1047" s="17">
        <v>-1.0</v>
      </c>
      <c r="G1047" s="17">
        <v>-1.0</v>
      </c>
      <c r="H1047" s="17">
        <v>-1.0</v>
      </c>
    </row>
    <row r="1048">
      <c r="A1048" s="17">
        <v>7000000.0</v>
      </c>
      <c r="B1048" s="17">
        <v>0.0</v>
      </c>
      <c r="C1048" s="17">
        <v>7.07E8</v>
      </c>
      <c r="D1048" s="17">
        <v>-1.0</v>
      </c>
      <c r="E1048" s="17">
        <v>-1.0</v>
      </c>
      <c r="F1048" s="17">
        <v>-1.0</v>
      </c>
      <c r="G1048" s="17">
        <v>-1.0</v>
      </c>
      <c r="H1048" s="17">
        <v>-1.0</v>
      </c>
    </row>
    <row r="1049">
      <c r="A1049" s="17">
        <v>7000001.0</v>
      </c>
      <c r="B1049" s="17">
        <v>0.0</v>
      </c>
      <c r="C1049" s="17">
        <v>7.07000001E8</v>
      </c>
      <c r="D1049" s="17">
        <v>-1.0</v>
      </c>
      <c r="E1049" s="17">
        <v>-1.0</v>
      </c>
      <c r="F1049" s="17">
        <v>-1.0</v>
      </c>
      <c r="G1049" s="17">
        <v>-1.0</v>
      </c>
      <c r="H1049" s="17">
        <v>-1.0</v>
      </c>
    </row>
    <row r="1050">
      <c r="A1050" s="17">
        <v>7000002.0</v>
      </c>
      <c r="B1050" s="17">
        <v>0.0</v>
      </c>
      <c r="C1050" s="17">
        <v>7.07000002E8</v>
      </c>
      <c r="D1050" s="17">
        <v>-1.0</v>
      </c>
      <c r="E1050" s="17">
        <v>-1.0</v>
      </c>
      <c r="F1050" s="17">
        <v>-1.0</v>
      </c>
      <c r="G1050" s="17">
        <v>-1.0</v>
      </c>
      <c r="H1050" s="17">
        <v>-1.0</v>
      </c>
    </row>
    <row r="1051">
      <c r="A1051" s="17">
        <v>7000090.0</v>
      </c>
      <c r="B1051" s="17">
        <v>0.0</v>
      </c>
      <c r="C1051" s="17">
        <v>7.0700009E8</v>
      </c>
      <c r="D1051" s="17">
        <v>-1.0</v>
      </c>
      <c r="E1051" s="17">
        <v>-1.0</v>
      </c>
      <c r="F1051" s="17">
        <v>-1.0</v>
      </c>
      <c r="G1051" s="17">
        <v>-1.0</v>
      </c>
      <c r="H1051" s="17">
        <v>-1.0</v>
      </c>
    </row>
    <row r="1052">
      <c r="A1052" s="17">
        <v>7000100.0</v>
      </c>
      <c r="B1052" s="17">
        <v>0.0</v>
      </c>
      <c r="C1052" s="17">
        <v>7.070001E8</v>
      </c>
      <c r="D1052" s="17">
        <v>-1.0</v>
      </c>
      <c r="E1052" s="17">
        <v>-1.0</v>
      </c>
      <c r="F1052" s="17">
        <v>-1.0</v>
      </c>
      <c r="G1052" s="17">
        <v>-1.0</v>
      </c>
      <c r="H1052" s="17">
        <v>-1.0</v>
      </c>
    </row>
    <row r="1053">
      <c r="A1053" s="17">
        <v>7000101.0</v>
      </c>
      <c r="B1053" s="17">
        <v>0.0</v>
      </c>
      <c r="C1053" s="17">
        <v>7.07000101E8</v>
      </c>
      <c r="D1053" s="17">
        <v>-1.0</v>
      </c>
      <c r="E1053" s="17">
        <v>-1.0</v>
      </c>
      <c r="F1053" s="17">
        <v>-1.0</v>
      </c>
      <c r="G1053" s="17">
        <v>-1.0</v>
      </c>
      <c r="H1053" s="17">
        <v>-1.0</v>
      </c>
    </row>
    <row r="1054">
      <c r="A1054" s="17">
        <v>7000102.0</v>
      </c>
      <c r="B1054" s="17">
        <v>0.0</v>
      </c>
      <c r="C1054" s="17">
        <v>7.07000102E8</v>
      </c>
      <c r="D1054" s="17">
        <v>-1.0</v>
      </c>
      <c r="E1054" s="17">
        <v>-1.0</v>
      </c>
      <c r="F1054" s="17">
        <v>-1.0</v>
      </c>
      <c r="G1054" s="17">
        <v>-1.0</v>
      </c>
      <c r="H1054" s="17">
        <v>-1.0</v>
      </c>
    </row>
    <row r="1055">
      <c r="A1055" s="17">
        <v>7000190.0</v>
      </c>
      <c r="B1055" s="17">
        <v>0.0</v>
      </c>
      <c r="C1055" s="17">
        <v>7.0700019E8</v>
      </c>
      <c r="D1055" s="17">
        <v>-1.0</v>
      </c>
      <c r="E1055" s="17">
        <v>-1.0</v>
      </c>
      <c r="F1055" s="17">
        <v>-1.0</v>
      </c>
      <c r="G1055" s="17">
        <v>-1.0</v>
      </c>
      <c r="H1055" s="17">
        <v>-1.0</v>
      </c>
    </row>
    <row r="1056">
      <c r="A1056" s="17">
        <v>7000200.0</v>
      </c>
      <c r="B1056" s="17">
        <v>0.0</v>
      </c>
      <c r="C1056" s="17">
        <v>7.070002E8</v>
      </c>
      <c r="D1056" s="17">
        <v>-1.0</v>
      </c>
      <c r="E1056" s="17">
        <v>-1.0</v>
      </c>
      <c r="F1056" s="17">
        <v>-1.0</v>
      </c>
      <c r="G1056" s="17">
        <v>-1.0</v>
      </c>
      <c r="H1056" s="17">
        <v>-1.0</v>
      </c>
    </row>
    <row r="1057">
      <c r="A1057" s="17">
        <v>7000201.0</v>
      </c>
      <c r="B1057" s="17">
        <v>0.0</v>
      </c>
      <c r="C1057" s="17">
        <v>7.07000201E8</v>
      </c>
      <c r="D1057" s="17">
        <v>-1.0</v>
      </c>
      <c r="E1057" s="17">
        <v>-1.0</v>
      </c>
      <c r="F1057" s="17">
        <v>-1.0</v>
      </c>
      <c r="G1057" s="17">
        <v>-1.0</v>
      </c>
      <c r="H1057" s="17">
        <v>-1.0</v>
      </c>
    </row>
    <row r="1058">
      <c r="A1058" s="17">
        <v>7000202.0</v>
      </c>
      <c r="B1058" s="17">
        <v>0.0</v>
      </c>
      <c r="C1058" s="17">
        <v>7.07000202E8</v>
      </c>
      <c r="D1058" s="17">
        <v>-1.0</v>
      </c>
      <c r="E1058" s="17">
        <v>-1.0</v>
      </c>
      <c r="F1058" s="17">
        <v>-1.0</v>
      </c>
      <c r="G1058" s="17">
        <v>-1.0</v>
      </c>
      <c r="H1058" s="17">
        <v>-1.0</v>
      </c>
    </row>
    <row r="1059">
      <c r="A1059" s="17">
        <v>7000290.0</v>
      </c>
      <c r="B1059" s="17">
        <v>0.0</v>
      </c>
      <c r="C1059" s="17">
        <v>7.0700029E8</v>
      </c>
      <c r="D1059" s="17">
        <v>-1.0</v>
      </c>
      <c r="E1059" s="17">
        <v>-1.0</v>
      </c>
      <c r="F1059" s="17">
        <v>-1.0</v>
      </c>
      <c r="G1059" s="17">
        <v>-1.0</v>
      </c>
      <c r="H1059" s="17">
        <v>-1.0</v>
      </c>
    </row>
    <row r="1060">
      <c r="A1060" s="17">
        <v>7000300.0</v>
      </c>
      <c r="B1060" s="17">
        <v>0.0</v>
      </c>
      <c r="C1060" s="17">
        <v>7.070003E8</v>
      </c>
      <c r="D1060" s="17">
        <v>-1.0</v>
      </c>
      <c r="E1060" s="17">
        <v>-1.0</v>
      </c>
      <c r="F1060" s="17">
        <v>-1.0</v>
      </c>
      <c r="G1060" s="17">
        <v>-1.0</v>
      </c>
      <c r="H1060" s="17">
        <v>-1.0</v>
      </c>
    </row>
    <row r="1061">
      <c r="A1061" s="17">
        <v>7000301.0</v>
      </c>
      <c r="B1061" s="17">
        <v>0.0</v>
      </c>
      <c r="C1061" s="17">
        <v>7.07000301E8</v>
      </c>
      <c r="D1061" s="17">
        <v>-1.0</v>
      </c>
      <c r="E1061" s="17">
        <v>-1.0</v>
      </c>
      <c r="F1061" s="17">
        <v>-1.0</v>
      </c>
      <c r="G1061" s="17">
        <v>-1.0</v>
      </c>
      <c r="H1061" s="17">
        <v>-1.0</v>
      </c>
    </row>
    <row r="1062">
      <c r="A1062" s="17">
        <v>7000302.0</v>
      </c>
      <c r="B1062" s="17">
        <v>0.0</v>
      </c>
      <c r="C1062" s="17">
        <v>7.07000302E8</v>
      </c>
      <c r="D1062" s="17">
        <v>-1.0</v>
      </c>
      <c r="E1062" s="17">
        <v>-1.0</v>
      </c>
      <c r="F1062" s="17">
        <v>-1.0</v>
      </c>
      <c r="G1062" s="17">
        <v>-1.0</v>
      </c>
      <c r="H1062" s="17">
        <v>-1.0</v>
      </c>
    </row>
    <row r="1063">
      <c r="A1063" s="17">
        <v>7000400.0</v>
      </c>
      <c r="B1063" s="17">
        <v>0.0</v>
      </c>
      <c r="C1063" s="17">
        <v>7.070004E8</v>
      </c>
      <c r="D1063" s="17">
        <v>-1.0</v>
      </c>
      <c r="E1063" s="17">
        <v>-1.0</v>
      </c>
      <c r="F1063" s="17">
        <v>-1.0</v>
      </c>
      <c r="G1063" s="17">
        <v>-1.0</v>
      </c>
      <c r="H1063" s="17">
        <v>-1.0</v>
      </c>
    </row>
    <row r="1064">
      <c r="A1064" s="17">
        <v>7000401.0</v>
      </c>
      <c r="B1064" s="17">
        <v>0.0</v>
      </c>
      <c r="C1064" s="17">
        <v>7.07000401E8</v>
      </c>
      <c r="D1064" s="17">
        <v>-1.0</v>
      </c>
      <c r="E1064" s="17">
        <v>-1.0</v>
      </c>
      <c r="F1064" s="17">
        <v>-1.0</v>
      </c>
      <c r="G1064" s="17">
        <v>-1.0</v>
      </c>
      <c r="H1064" s="17">
        <v>-1.0</v>
      </c>
    </row>
    <row r="1065">
      <c r="A1065" s="17">
        <v>7000402.0</v>
      </c>
      <c r="B1065" s="17">
        <v>0.0</v>
      </c>
      <c r="C1065" s="17">
        <v>7.07000402E8</v>
      </c>
      <c r="D1065" s="17">
        <v>-1.0</v>
      </c>
      <c r="E1065" s="17">
        <v>-1.0</v>
      </c>
      <c r="F1065" s="17">
        <v>-1.0</v>
      </c>
      <c r="G1065" s="17">
        <v>-1.0</v>
      </c>
      <c r="H1065" s="17">
        <v>-1.0</v>
      </c>
    </row>
    <row r="1066">
      <c r="A1066" s="17">
        <v>7000500.0</v>
      </c>
      <c r="B1066" s="17">
        <v>0.0</v>
      </c>
      <c r="C1066" s="17">
        <v>7.070005E8</v>
      </c>
      <c r="D1066" s="17">
        <v>-1.0</v>
      </c>
      <c r="E1066" s="17">
        <v>-1.0</v>
      </c>
      <c r="F1066" s="17">
        <v>-1.0</v>
      </c>
      <c r="G1066" s="17">
        <v>-1.0</v>
      </c>
      <c r="H1066" s="17">
        <v>-1.0</v>
      </c>
    </row>
    <row r="1067">
      <c r="A1067" s="17">
        <v>7000501.0</v>
      </c>
      <c r="B1067" s="17">
        <v>0.0</v>
      </c>
      <c r="C1067" s="17">
        <v>7.07000501E8</v>
      </c>
      <c r="D1067" s="17">
        <v>-1.0</v>
      </c>
      <c r="E1067" s="17">
        <v>-1.0</v>
      </c>
      <c r="F1067" s="17">
        <v>-1.0</v>
      </c>
      <c r="G1067" s="17">
        <v>-1.0</v>
      </c>
      <c r="H1067" s="17">
        <v>-1.0</v>
      </c>
    </row>
    <row r="1068">
      <c r="A1068" s="17">
        <v>7000502.0</v>
      </c>
      <c r="B1068" s="17">
        <v>0.0</v>
      </c>
      <c r="C1068" s="17">
        <v>7.07000502E8</v>
      </c>
      <c r="D1068" s="17">
        <v>-1.0</v>
      </c>
      <c r="E1068" s="17">
        <v>-1.0</v>
      </c>
      <c r="F1068" s="17">
        <v>-1.0</v>
      </c>
      <c r="G1068" s="17">
        <v>-1.0</v>
      </c>
      <c r="H1068" s="17">
        <v>-1.0</v>
      </c>
    </row>
    <row r="1069">
      <c r="A1069" s="17">
        <v>7000600.0</v>
      </c>
      <c r="B1069" s="17">
        <v>0.0</v>
      </c>
      <c r="C1069" s="17">
        <v>7.070006E8</v>
      </c>
      <c r="D1069" s="17">
        <v>-1.0</v>
      </c>
      <c r="E1069" s="17">
        <v>-1.0</v>
      </c>
      <c r="F1069" s="17">
        <v>-1.0</v>
      </c>
      <c r="G1069" s="17">
        <v>-1.0</v>
      </c>
      <c r="H1069" s="17">
        <v>-1.0</v>
      </c>
    </row>
    <row r="1070">
      <c r="A1070" s="17">
        <v>7000601.0</v>
      </c>
      <c r="B1070" s="17">
        <v>0.0</v>
      </c>
      <c r="C1070" s="17">
        <v>7.07000601E8</v>
      </c>
      <c r="D1070" s="17">
        <v>-1.0</v>
      </c>
      <c r="E1070" s="17">
        <v>-1.0</v>
      </c>
      <c r="F1070" s="17">
        <v>-1.0</v>
      </c>
      <c r="G1070" s="17">
        <v>-1.0</v>
      </c>
      <c r="H1070" s="17">
        <v>-1.0</v>
      </c>
    </row>
    <row r="1071">
      <c r="A1071" s="17">
        <v>7000602.0</v>
      </c>
      <c r="B1071" s="17">
        <v>0.0</v>
      </c>
      <c r="C1071" s="17">
        <v>7.07000602E8</v>
      </c>
      <c r="D1071" s="17">
        <v>-1.0</v>
      </c>
      <c r="E1071" s="17">
        <v>-1.0</v>
      </c>
      <c r="F1071" s="17">
        <v>-1.0</v>
      </c>
      <c r="G1071" s="17">
        <v>-1.0</v>
      </c>
      <c r="H1071" s="17">
        <v>-1.0</v>
      </c>
    </row>
    <row r="1072">
      <c r="A1072" s="17">
        <v>7000700.0</v>
      </c>
      <c r="B1072" s="17">
        <v>0.0</v>
      </c>
      <c r="C1072" s="17">
        <v>7.070007E8</v>
      </c>
      <c r="D1072" s="17">
        <v>-1.0</v>
      </c>
      <c r="E1072" s="17">
        <v>-1.0</v>
      </c>
      <c r="F1072" s="17">
        <v>-1.0</v>
      </c>
      <c r="G1072" s="17">
        <v>-1.0</v>
      </c>
      <c r="H1072" s="17">
        <v>-1.0</v>
      </c>
    </row>
    <row r="1073">
      <c r="A1073" s="17">
        <v>7000701.0</v>
      </c>
      <c r="B1073" s="17">
        <v>0.0</v>
      </c>
      <c r="C1073" s="17">
        <v>7.07000701E8</v>
      </c>
      <c r="D1073" s="17">
        <v>-1.0</v>
      </c>
      <c r="E1073" s="17">
        <v>-1.0</v>
      </c>
      <c r="F1073" s="17">
        <v>-1.0</v>
      </c>
      <c r="G1073" s="17">
        <v>-1.0</v>
      </c>
      <c r="H1073" s="17">
        <v>-1.0</v>
      </c>
    </row>
    <row r="1074">
      <c r="A1074" s="17">
        <v>7000702.0</v>
      </c>
      <c r="B1074" s="17">
        <v>0.0</v>
      </c>
      <c r="C1074" s="17">
        <v>7.07000702E8</v>
      </c>
      <c r="D1074" s="17">
        <v>-1.0</v>
      </c>
      <c r="E1074" s="17">
        <v>-1.0</v>
      </c>
      <c r="F1074" s="17">
        <v>-1.0</v>
      </c>
      <c r="G1074" s="17">
        <v>-1.0</v>
      </c>
      <c r="H1074" s="17">
        <v>-1.0</v>
      </c>
    </row>
    <row r="1075">
      <c r="A1075" s="17">
        <v>7000800.0</v>
      </c>
      <c r="B1075" s="17">
        <v>0.0</v>
      </c>
      <c r="C1075" s="17">
        <v>7.070008E8</v>
      </c>
      <c r="D1075" s="17">
        <v>-1.0</v>
      </c>
      <c r="E1075" s="17">
        <v>-1.0</v>
      </c>
      <c r="F1075" s="17">
        <v>-1.0</v>
      </c>
      <c r="G1075" s="17">
        <v>-1.0</v>
      </c>
      <c r="H1075" s="17">
        <v>-1.0</v>
      </c>
    </row>
    <row r="1076">
      <c r="A1076" s="17">
        <v>7000801.0</v>
      </c>
      <c r="B1076" s="17">
        <v>0.0</v>
      </c>
      <c r="C1076" s="17">
        <v>7.07000801E8</v>
      </c>
      <c r="D1076" s="17">
        <v>-1.0</v>
      </c>
      <c r="E1076" s="17">
        <v>-1.0</v>
      </c>
      <c r="F1076" s="17">
        <v>-1.0</v>
      </c>
      <c r="G1076" s="17">
        <v>-1.0</v>
      </c>
      <c r="H1076" s="17">
        <v>-1.0</v>
      </c>
    </row>
    <row r="1077">
      <c r="A1077" s="17">
        <v>7000802.0</v>
      </c>
      <c r="B1077" s="17">
        <v>0.0</v>
      </c>
      <c r="C1077" s="17">
        <v>7.07000802E8</v>
      </c>
      <c r="D1077" s="17">
        <v>-1.0</v>
      </c>
      <c r="E1077" s="17">
        <v>-1.0</v>
      </c>
      <c r="F1077" s="17">
        <v>-1.0</v>
      </c>
      <c r="G1077" s="17">
        <v>-1.0</v>
      </c>
      <c r="H1077" s="17">
        <v>-1.0</v>
      </c>
    </row>
    <row r="1078">
      <c r="A1078" s="17">
        <v>7000900.0</v>
      </c>
      <c r="B1078" s="17">
        <v>0.0</v>
      </c>
      <c r="C1078" s="17">
        <v>7.070009E8</v>
      </c>
      <c r="D1078" s="17">
        <v>-1.0</v>
      </c>
      <c r="E1078" s="17">
        <v>-1.0</v>
      </c>
      <c r="F1078" s="17">
        <v>-1.0</v>
      </c>
      <c r="G1078" s="17">
        <v>-1.0</v>
      </c>
      <c r="H1078" s="17">
        <v>-1.0</v>
      </c>
    </row>
    <row r="1079">
      <c r="A1079" s="17">
        <v>7000901.0</v>
      </c>
      <c r="B1079" s="17">
        <v>0.0</v>
      </c>
      <c r="C1079" s="17">
        <v>7.07000901E8</v>
      </c>
      <c r="D1079" s="17">
        <v>-1.0</v>
      </c>
      <c r="E1079" s="17">
        <v>-1.0</v>
      </c>
      <c r="F1079" s="17">
        <v>-1.0</v>
      </c>
      <c r="G1079" s="17">
        <v>-1.0</v>
      </c>
      <c r="H1079" s="17">
        <v>-1.0</v>
      </c>
    </row>
    <row r="1080">
      <c r="A1080" s="17">
        <v>7000902.0</v>
      </c>
      <c r="B1080" s="17">
        <v>0.0</v>
      </c>
      <c r="C1080" s="17">
        <v>7.07000902E8</v>
      </c>
      <c r="D1080" s="17">
        <v>-1.0</v>
      </c>
      <c r="E1080" s="17">
        <v>-1.0</v>
      </c>
      <c r="F1080" s="17">
        <v>-1.0</v>
      </c>
      <c r="G1080" s="17">
        <v>-1.0</v>
      </c>
      <c r="H1080" s="17">
        <v>-1.0</v>
      </c>
    </row>
    <row r="1081">
      <c r="A1081" s="17">
        <v>7001000.0</v>
      </c>
      <c r="B1081" s="17">
        <v>0.0</v>
      </c>
      <c r="C1081" s="17">
        <v>7.07001E8</v>
      </c>
      <c r="D1081" s="17">
        <v>-1.0</v>
      </c>
      <c r="E1081" s="17">
        <v>-1.0</v>
      </c>
      <c r="F1081" s="17">
        <v>-1.0</v>
      </c>
      <c r="G1081" s="17">
        <v>-1.0</v>
      </c>
      <c r="H1081" s="17">
        <v>-1.0</v>
      </c>
    </row>
    <row r="1082">
      <c r="A1082" s="17">
        <v>7001001.0</v>
      </c>
      <c r="B1082" s="17">
        <v>0.0</v>
      </c>
      <c r="C1082" s="17">
        <v>7.07001001E8</v>
      </c>
      <c r="D1082" s="17">
        <v>-1.0</v>
      </c>
      <c r="E1082" s="17">
        <v>-1.0</v>
      </c>
      <c r="F1082" s="17">
        <v>-1.0</v>
      </c>
      <c r="G1082" s="17">
        <v>-1.0</v>
      </c>
      <c r="H1082" s="17">
        <v>-1.0</v>
      </c>
    </row>
    <row r="1083">
      <c r="A1083" s="17">
        <v>7001002.0</v>
      </c>
      <c r="B1083" s="17">
        <v>0.0</v>
      </c>
      <c r="C1083" s="17">
        <v>7.07001002E8</v>
      </c>
      <c r="D1083" s="17">
        <v>-1.0</v>
      </c>
      <c r="E1083" s="17">
        <v>-1.0</v>
      </c>
      <c r="F1083" s="17">
        <v>-1.0</v>
      </c>
      <c r="G1083" s="17">
        <v>-1.0</v>
      </c>
      <c r="H1083" s="17">
        <v>-1.0</v>
      </c>
    </row>
    <row r="1084">
      <c r="A1084" s="17">
        <v>7001100.0</v>
      </c>
      <c r="B1084" s="17">
        <v>0.0</v>
      </c>
      <c r="C1084" s="17">
        <v>7.070011E8</v>
      </c>
      <c r="D1084" s="17">
        <v>-1.0</v>
      </c>
      <c r="E1084" s="17">
        <v>-1.0</v>
      </c>
      <c r="F1084" s="17">
        <v>-1.0</v>
      </c>
      <c r="G1084" s="17">
        <v>-1.0</v>
      </c>
      <c r="H1084" s="17">
        <v>-1.0</v>
      </c>
    </row>
    <row r="1085">
      <c r="A1085" s="17">
        <v>7001400.0</v>
      </c>
      <c r="B1085" s="17">
        <v>0.0</v>
      </c>
      <c r="C1085" s="17">
        <v>7.070014E8</v>
      </c>
      <c r="D1085" s="17">
        <v>-1.0</v>
      </c>
      <c r="E1085" s="17">
        <v>-1.0</v>
      </c>
      <c r="F1085" s="17">
        <v>-1.0</v>
      </c>
      <c r="G1085" s="17">
        <v>-1.0</v>
      </c>
      <c r="H1085" s="17">
        <v>-1.0</v>
      </c>
    </row>
    <row r="1086">
      <c r="A1086" s="17">
        <v>7001401.0</v>
      </c>
      <c r="B1086" s="17">
        <v>0.0</v>
      </c>
      <c r="C1086" s="17">
        <v>7.07001401E8</v>
      </c>
      <c r="D1086" s="17">
        <v>-1.0</v>
      </c>
      <c r="E1086" s="17">
        <v>-1.0</v>
      </c>
      <c r="F1086" s="17">
        <v>-1.0</v>
      </c>
      <c r="G1086" s="17">
        <v>-1.0</v>
      </c>
      <c r="H1086" s="17">
        <v>-1.0</v>
      </c>
    </row>
    <row r="1087">
      <c r="A1087" s="17">
        <v>7001402.0</v>
      </c>
      <c r="B1087" s="17">
        <v>0.0</v>
      </c>
      <c r="C1087" s="17">
        <v>7.07001402E8</v>
      </c>
      <c r="D1087" s="17">
        <v>-1.0</v>
      </c>
      <c r="E1087" s="17">
        <v>-1.0</v>
      </c>
      <c r="F1087" s="17">
        <v>-1.0</v>
      </c>
      <c r="G1087" s="17">
        <v>-1.0</v>
      </c>
      <c r="H1087" s="17">
        <v>-1.0</v>
      </c>
    </row>
    <row r="1088">
      <c r="A1088" s="17">
        <v>7001500.0</v>
      </c>
      <c r="B1088" s="17">
        <v>0.0</v>
      </c>
      <c r="C1088" s="17">
        <v>7.070015E8</v>
      </c>
      <c r="D1088" s="17">
        <v>-1.0</v>
      </c>
      <c r="E1088" s="17">
        <v>-1.0</v>
      </c>
      <c r="F1088" s="17">
        <v>-1.0</v>
      </c>
      <c r="G1088" s="17">
        <v>-1.0</v>
      </c>
      <c r="H1088" s="17">
        <v>-1.0</v>
      </c>
    </row>
    <row r="1089">
      <c r="A1089" s="17">
        <v>7001501.0</v>
      </c>
      <c r="B1089" s="17">
        <v>0.0</v>
      </c>
      <c r="C1089" s="17">
        <v>7.07001501E8</v>
      </c>
      <c r="D1089" s="17">
        <v>-1.0</v>
      </c>
      <c r="E1089" s="17">
        <v>-1.0</v>
      </c>
      <c r="F1089" s="17">
        <v>-1.0</v>
      </c>
      <c r="G1089" s="17">
        <v>-1.0</v>
      </c>
      <c r="H1089" s="17">
        <v>-1.0</v>
      </c>
    </row>
    <row r="1090">
      <c r="A1090" s="17">
        <v>7001502.0</v>
      </c>
      <c r="B1090" s="17">
        <v>0.0</v>
      </c>
      <c r="C1090" s="17">
        <v>7.07001502E8</v>
      </c>
      <c r="D1090" s="17">
        <v>-1.0</v>
      </c>
      <c r="E1090" s="17">
        <v>-1.0</v>
      </c>
      <c r="F1090" s="17">
        <v>-1.0</v>
      </c>
      <c r="G1090" s="17">
        <v>-1.0</v>
      </c>
      <c r="H1090" s="17">
        <v>-1.0</v>
      </c>
    </row>
    <row r="1091">
      <c r="A1091" s="17">
        <v>7001600.0</v>
      </c>
      <c r="B1091" s="17">
        <v>0.0</v>
      </c>
      <c r="C1091" s="17">
        <v>7.070016E8</v>
      </c>
      <c r="D1091" s="17">
        <v>-1.0</v>
      </c>
      <c r="E1091" s="17">
        <v>-1.0</v>
      </c>
      <c r="F1091" s="17">
        <v>-1.0</v>
      </c>
      <c r="G1091" s="17">
        <v>-1.0</v>
      </c>
      <c r="H1091" s="17">
        <v>-1.0</v>
      </c>
    </row>
    <row r="1092">
      <c r="A1092" s="17">
        <v>7001601.0</v>
      </c>
      <c r="B1092" s="17">
        <v>0.0</v>
      </c>
      <c r="C1092" s="17">
        <v>7.07001601E8</v>
      </c>
      <c r="D1092" s="17">
        <v>-1.0</v>
      </c>
      <c r="E1092" s="17">
        <v>-1.0</v>
      </c>
      <c r="F1092" s="17">
        <v>-1.0</v>
      </c>
      <c r="G1092" s="17">
        <v>-1.0</v>
      </c>
      <c r="H1092" s="17">
        <v>-1.0</v>
      </c>
    </row>
    <row r="1093">
      <c r="A1093" s="17">
        <v>7001602.0</v>
      </c>
      <c r="B1093" s="17">
        <v>0.0</v>
      </c>
      <c r="C1093" s="17">
        <v>7.07001602E8</v>
      </c>
      <c r="D1093" s="17">
        <v>-1.0</v>
      </c>
      <c r="E1093" s="17">
        <v>-1.0</v>
      </c>
      <c r="F1093" s="17">
        <v>-1.0</v>
      </c>
      <c r="G1093" s="17">
        <v>-1.0</v>
      </c>
      <c r="H1093" s="17">
        <v>-1.0</v>
      </c>
    </row>
    <row r="1094">
      <c r="A1094" s="17">
        <v>7001700.0</v>
      </c>
      <c r="B1094" s="17">
        <v>0.0</v>
      </c>
      <c r="C1094" s="17">
        <v>7.070017E8</v>
      </c>
      <c r="D1094" s="17">
        <v>-1.0</v>
      </c>
      <c r="E1094" s="17">
        <v>-1.0</v>
      </c>
      <c r="F1094" s="17">
        <v>-1.0</v>
      </c>
      <c r="G1094" s="17">
        <v>-1.0</v>
      </c>
      <c r="H1094" s="17">
        <v>-1.0</v>
      </c>
    </row>
    <row r="1095">
      <c r="A1095" s="17">
        <v>7001701.0</v>
      </c>
      <c r="B1095" s="17">
        <v>0.0</v>
      </c>
      <c r="C1095" s="17">
        <v>7.07001701E8</v>
      </c>
      <c r="D1095" s="17">
        <v>-1.0</v>
      </c>
      <c r="E1095" s="17">
        <v>-1.0</v>
      </c>
      <c r="F1095" s="17">
        <v>-1.0</v>
      </c>
      <c r="G1095" s="17">
        <v>-1.0</v>
      </c>
      <c r="H1095" s="17">
        <v>-1.0</v>
      </c>
    </row>
    <row r="1096">
      <c r="A1096" s="17">
        <v>7001702.0</v>
      </c>
      <c r="B1096" s="17">
        <v>0.0</v>
      </c>
      <c r="C1096" s="17">
        <v>7.07001702E8</v>
      </c>
      <c r="D1096" s="17">
        <v>-1.0</v>
      </c>
      <c r="E1096" s="17">
        <v>-1.0</v>
      </c>
      <c r="F1096" s="17">
        <v>-1.0</v>
      </c>
      <c r="G1096" s="17">
        <v>-1.0</v>
      </c>
      <c r="H1096" s="17">
        <v>-1.0</v>
      </c>
    </row>
    <row r="1097">
      <c r="A1097" s="17">
        <v>7001800.0</v>
      </c>
      <c r="B1097" s="17">
        <v>0.0</v>
      </c>
      <c r="C1097" s="17">
        <v>7.070018E8</v>
      </c>
      <c r="D1097" s="17">
        <v>-1.0</v>
      </c>
      <c r="E1097" s="17">
        <v>-1.0</v>
      </c>
      <c r="F1097" s="17">
        <v>-1.0</v>
      </c>
      <c r="G1097" s="17">
        <v>-1.0</v>
      </c>
      <c r="H1097" s="17">
        <v>-1.0</v>
      </c>
    </row>
    <row r="1098">
      <c r="A1098" s="17">
        <v>7001801.0</v>
      </c>
      <c r="B1098" s="17">
        <v>0.0</v>
      </c>
      <c r="C1098" s="17">
        <v>7.07001801E8</v>
      </c>
      <c r="D1098" s="17">
        <v>-1.0</v>
      </c>
      <c r="E1098" s="17">
        <v>-1.0</v>
      </c>
      <c r="F1098" s="17">
        <v>-1.0</v>
      </c>
      <c r="G1098" s="17">
        <v>-1.0</v>
      </c>
      <c r="H1098" s="17">
        <v>-1.0</v>
      </c>
    </row>
    <row r="1099">
      <c r="A1099" s="17">
        <v>7001802.0</v>
      </c>
      <c r="B1099" s="17">
        <v>0.0</v>
      </c>
      <c r="C1099" s="17">
        <v>7.07001802E8</v>
      </c>
      <c r="D1099" s="17">
        <v>-1.0</v>
      </c>
      <c r="E1099" s="17">
        <v>-1.0</v>
      </c>
      <c r="F1099" s="17">
        <v>-1.0</v>
      </c>
      <c r="G1099" s="17">
        <v>-1.0</v>
      </c>
      <c r="H1099" s="17">
        <v>-1.0</v>
      </c>
    </row>
    <row r="1100">
      <c r="A1100" s="17">
        <v>7002600.0</v>
      </c>
      <c r="B1100" s="17">
        <v>0.0</v>
      </c>
      <c r="C1100" s="17">
        <v>7.070026E8</v>
      </c>
      <c r="D1100" s="17">
        <v>-1.0</v>
      </c>
      <c r="E1100" s="17">
        <v>-1.0</v>
      </c>
      <c r="F1100" s="17">
        <v>-1.0</v>
      </c>
      <c r="G1100" s="17">
        <v>-1.0</v>
      </c>
      <c r="H1100" s="17">
        <v>-1.0</v>
      </c>
    </row>
    <row r="1101">
      <c r="A1101" s="17">
        <v>7002700.0</v>
      </c>
      <c r="B1101" s="17">
        <v>0.0</v>
      </c>
      <c r="C1101" s="17">
        <v>7.070027E8</v>
      </c>
      <c r="D1101" s="17">
        <v>-1.0</v>
      </c>
      <c r="E1101" s="17">
        <v>-1.0</v>
      </c>
      <c r="F1101" s="17">
        <v>-1.0</v>
      </c>
      <c r="G1101" s="17">
        <v>-1.0</v>
      </c>
      <c r="H1101" s="17">
        <v>-1.0</v>
      </c>
    </row>
    <row r="1102">
      <c r="A1102" s="17">
        <v>7002800.0</v>
      </c>
      <c r="B1102" s="17">
        <v>0.0</v>
      </c>
      <c r="C1102" s="17">
        <v>7.070028E8</v>
      </c>
      <c r="D1102" s="17">
        <v>-1.0</v>
      </c>
      <c r="E1102" s="17">
        <v>-1.0</v>
      </c>
      <c r="F1102" s="17">
        <v>-1.0</v>
      </c>
      <c r="G1102" s="17">
        <v>-1.0</v>
      </c>
      <c r="H1102" s="17">
        <v>-1.0</v>
      </c>
    </row>
    <row r="1103">
      <c r="A1103" s="17">
        <v>7002900.0</v>
      </c>
      <c r="B1103" s="17">
        <v>0.0</v>
      </c>
      <c r="C1103" s="17">
        <v>7.070029E8</v>
      </c>
      <c r="D1103" s="17">
        <v>-1.0</v>
      </c>
      <c r="E1103" s="17">
        <v>-1.0</v>
      </c>
      <c r="F1103" s="17">
        <v>-1.0</v>
      </c>
      <c r="G1103" s="17">
        <v>-1.0</v>
      </c>
      <c r="H1103" s="17">
        <v>-1.0</v>
      </c>
    </row>
    <row r="1104">
      <c r="A1104" s="17">
        <v>7003000.0</v>
      </c>
      <c r="B1104" s="17">
        <v>0.0</v>
      </c>
      <c r="C1104" s="17">
        <v>7.07003E8</v>
      </c>
      <c r="D1104" s="17">
        <v>-1.0</v>
      </c>
      <c r="E1104" s="17">
        <v>-1.0</v>
      </c>
      <c r="F1104" s="17">
        <v>-1.0</v>
      </c>
      <c r="G1104" s="17">
        <v>-1.0</v>
      </c>
      <c r="H1104" s="17">
        <v>-1.0</v>
      </c>
    </row>
    <row r="1105">
      <c r="A1105" s="17">
        <v>7003100.0</v>
      </c>
      <c r="B1105" s="17">
        <v>0.0</v>
      </c>
      <c r="C1105" s="17">
        <v>7.070031E8</v>
      </c>
      <c r="D1105" s="17">
        <v>-1.0</v>
      </c>
      <c r="E1105" s="17">
        <v>-1.0</v>
      </c>
      <c r="F1105" s="17">
        <v>-1.0</v>
      </c>
      <c r="G1105" s="17">
        <v>-1.0</v>
      </c>
      <c r="H1105" s="17">
        <v>-1.0</v>
      </c>
    </row>
    <row r="1106">
      <c r="A1106" s="17">
        <v>7003200.0</v>
      </c>
      <c r="B1106" s="17">
        <v>0.0</v>
      </c>
      <c r="C1106" s="17">
        <v>7.070032E8</v>
      </c>
      <c r="D1106" s="17">
        <v>-1.0</v>
      </c>
      <c r="E1106" s="17">
        <v>-1.0</v>
      </c>
      <c r="F1106" s="17">
        <v>-1.0</v>
      </c>
      <c r="G1106" s="17">
        <v>-1.0</v>
      </c>
      <c r="H1106" s="17">
        <v>-1.0</v>
      </c>
    </row>
    <row r="1107">
      <c r="A1107" s="17">
        <v>7003300.0</v>
      </c>
      <c r="B1107" s="17">
        <v>0.0</v>
      </c>
      <c r="C1107" s="17">
        <v>7.070033E8</v>
      </c>
      <c r="D1107" s="17">
        <v>-1.0</v>
      </c>
      <c r="E1107" s="17">
        <v>-1.0</v>
      </c>
      <c r="F1107" s="17">
        <v>-1.0</v>
      </c>
      <c r="G1107" s="17">
        <v>-1.0</v>
      </c>
      <c r="H1107" s="17">
        <v>-1.0</v>
      </c>
    </row>
    <row r="1108">
      <c r="A1108" s="17">
        <v>7003400.0</v>
      </c>
      <c r="B1108" s="17">
        <v>0.0</v>
      </c>
      <c r="C1108" s="17">
        <v>7.070034E8</v>
      </c>
      <c r="D1108" s="17">
        <v>-1.0</v>
      </c>
      <c r="E1108" s="17">
        <v>-1.0</v>
      </c>
      <c r="F1108" s="17">
        <v>-1.0</v>
      </c>
      <c r="G1108" s="17">
        <v>-1.0</v>
      </c>
      <c r="H1108" s="17">
        <v>-1.0</v>
      </c>
    </row>
    <row r="1109">
      <c r="A1109" s="17">
        <v>7003500.0</v>
      </c>
      <c r="B1109" s="17">
        <v>0.0</v>
      </c>
      <c r="C1109" s="17">
        <v>7.070035E8</v>
      </c>
      <c r="D1109" s="17">
        <v>-1.0</v>
      </c>
      <c r="E1109" s="17">
        <v>-1.0</v>
      </c>
      <c r="F1109" s="17">
        <v>-1.0</v>
      </c>
      <c r="G1109" s="17">
        <v>-1.0</v>
      </c>
      <c r="H1109" s="17">
        <v>-1.0</v>
      </c>
    </row>
    <row r="1110">
      <c r="A1110" s="17">
        <v>7003600.0</v>
      </c>
      <c r="B1110" s="17">
        <v>0.0</v>
      </c>
      <c r="C1110" s="17">
        <v>7.070036E8</v>
      </c>
      <c r="D1110" s="17">
        <v>-1.0</v>
      </c>
      <c r="E1110" s="17">
        <v>-1.0</v>
      </c>
      <c r="F1110" s="17">
        <v>-1.0</v>
      </c>
      <c r="G1110" s="17">
        <v>-1.0</v>
      </c>
      <c r="H1110" s="17">
        <v>-1.0</v>
      </c>
    </row>
    <row r="1111">
      <c r="A1111" s="17">
        <v>7005600.0</v>
      </c>
      <c r="B1111" s="17">
        <v>0.0</v>
      </c>
      <c r="C1111" s="17">
        <v>7.070056E8</v>
      </c>
      <c r="D1111" s="17">
        <v>-1.0</v>
      </c>
      <c r="E1111" s="17">
        <v>-1.0</v>
      </c>
      <c r="F1111" s="17">
        <v>-1.0</v>
      </c>
      <c r="G1111" s="17">
        <v>-1.0</v>
      </c>
      <c r="H1111" s="17">
        <v>-1.0</v>
      </c>
    </row>
    <row r="1112">
      <c r="A1112" s="17">
        <v>7006000.0</v>
      </c>
      <c r="B1112" s="17">
        <v>0.0</v>
      </c>
      <c r="C1112" s="17">
        <v>7.07006E8</v>
      </c>
      <c r="D1112" s="17">
        <v>-1.0</v>
      </c>
      <c r="E1112" s="17">
        <v>-1.0</v>
      </c>
      <c r="F1112" s="17">
        <v>-1.0</v>
      </c>
      <c r="G1112" s="17">
        <v>-1.0</v>
      </c>
      <c r="H1112" s="17">
        <v>-1.0</v>
      </c>
    </row>
    <row r="1113">
      <c r="A1113" s="17">
        <v>7006001.0</v>
      </c>
      <c r="B1113" s="17">
        <v>0.0</v>
      </c>
      <c r="C1113" s="17">
        <v>7.07006001E8</v>
      </c>
      <c r="D1113" s="17">
        <v>-1.0</v>
      </c>
      <c r="E1113" s="17">
        <v>-1.0</v>
      </c>
      <c r="F1113" s="17">
        <v>-1.0</v>
      </c>
      <c r="G1113" s="17">
        <v>-1.0</v>
      </c>
      <c r="H1113" s="17">
        <v>-1.0</v>
      </c>
    </row>
    <row r="1114">
      <c r="A1114" s="17">
        <v>7006100.0</v>
      </c>
      <c r="B1114" s="17">
        <v>0.0</v>
      </c>
      <c r="C1114" s="17">
        <v>7.070061E8</v>
      </c>
      <c r="D1114" s="17">
        <v>-1.0</v>
      </c>
      <c r="E1114" s="17">
        <v>-1.0</v>
      </c>
      <c r="F1114" s="17">
        <v>-1.0</v>
      </c>
      <c r="G1114" s="17">
        <v>-1.0</v>
      </c>
      <c r="H1114" s="17">
        <v>-1.0</v>
      </c>
    </row>
    <row r="1115">
      <c r="A1115" s="17">
        <v>7006101.0</v>
      </c>
      <c r="B1115" s="17">
        <v>0.0</v>
      </c>
      <c r="C1115" s="17">
        <v>7.07006101E8</v>
      </c>
      <c r="D1115" s="17">
        <v>-1.0</v>
      </c>
      <c r="E1115" s="17">
        <v>-1.0</v>
      </c>
      <c r="F1115" s="17">
        <v>-1.0</v>
      </c>
      <c r="G1115" s="17">
        <v>-1.0</v>
      </c>
      <c r="H1115" s="17">
        <v>-1.0</v>
      </c>
    </row>
    <row r="1116">
      <c r="A1116" s="17">
        <v>7006200.0</v>
      </c>
      <c r="B1116" s="17">
        <v>0.0</v>
      </c>
      <c r="C1116" s="17">
        <v>7.070062E8</v>
      </c>
      <c r="D1116" s="17">
        <v>-1.0</v>
      </c>
      <c r="E1116" s="17">
        <v>-1.0</v>
      </c>
      <c r="F1116" s="17">
        <v>-1.0</v>
      </c>
      <c r="G1116" s="17">
        <v>-1.0</v>
      </c>
      <c r="H1116" s="17">
        <v>-1.0</v>
      </c>
    </row>
    <row r="1117">
      <c r="A1117" s="17">
        <v>7006300.0</v>
      </c>
      <c r="B1117" s="17">
        <v>0.0</v>
      </c>
      <c r="C1117" s="17">
        <v>7.070063E8</v>
      </c>
      <c r="D1117" s="17">
        <v>-1.0</v>
      </c>
      <c r="E1117" s="17">
        <v>-1.0</v>
      </c>
      <c r="F1117" s="17">
        <v>-1.0</v>
      </c>
      <c r="G1117" s="17">
        <v>-1.0</v>
      </c>
      <c r="H1117" s="17">
        <v>-1.0</v>
      </c>
    </row>
    <row r="1118">
      <c r="A1118" s="17">
        <v>7006400.0</v>
      </c>
      <c r="B1118" s="17">
        <v>0.0</v>
      </c>
      <c r="C1118" s="17">
        <v>7.070064E8</v>
      </c>
      <c r="D1118" s="17">
        <v>-1.0</v>
      </c>
      <c r="E1118" s="17">
        <v>-1.0</v>
      </c>
      <c r="F1118" s="17">
        <v>-1.0</v>
      </c>
      <c r="G1118" s="17">
        <v>-1.0</v>
      </c>
      <c r="H1118" s="17">
        <v>-1.0</v>
      </c>
    </row>
    <row r="1119">
      <c r="A1119" s="17">
        <v>7006500.0</v>
      </c>
      <c r="B1119" s="17">
        <v>0.0</v>
      </c>
      <c r="C1119" s="17">
        <v>7.070065E8</v>
      </c>
      <c r="D1119" s="17">
        <v>-1.0</v>
      </c>
      <c r="E1119" s="17">
        <v>-1.0</v>
      </c>
      <c r="F1119" s="17">
        <v>-1.0</v>
      </c>
      <c r="G1119" s="17">
        <v>-1.0</v>
      </c>
      <c r="H1119" s="17">
        <v>-1.0</v>
      </c>
    </row>
    <row r="1120">
      <c r="A1120" s="17">
        <v>7006600.0</v>
      </c>
      <c r="B1120" s="17">
        <v>0.0</v>
      </c>
      <c r="C1120" s="17">
        <v>7.070066E8</v>
      </c>
      <c r="D1120" s="17">
        <v>-1.0</v>
      </c>
      <c r="E1120" s="17">
        <v>-1.0</v>
      </c>
      <c r="F1120" s="17">
        <v>-1.0</v>
      </c>
      <c r="G1120" s="17">
        <v>-1.0</v>
      </c>
      <c r="H1120" s="17">
        <v>-1.0</v>
      </c>
    </row>
    <row r="1121">
      <c r="A1121" s="17">
        <v>7006700.0</v>
      </c>
      <c r="B1121" s="17">
        <v>0.0</v>
      </c>
      <c r="C1121" s="17">
        <v>7.070067E8</v>
      </c>
      <c r="D1121" s="17">
        <v>-1.0</v>
      </c>
      <c r="E1121" s="17">
        <v>-1.0</v>
      </c>
      <c r="F1121" s="17">
        <v>-1.0</v>
      </c>
      <c r="G1121" s="17">
        <v>-1.0</v>
      </c>
      <c r="H1121" s="17">
        <v>-1.0</v>
      </c>
    </row>
    <row r="1122">
      <c r="A1122" s="17">
        <v>7010200.0</v>
      </c>
      <c r="B1122" s="17">
        <v>0.0</v>
      </c>
      <c r="C1122" s="17">
        <v>7.070102E8</v>
      </c>
      <c r="D1122" s="17">
        <v>-1.0</v>
      </c>
      <c r="E1122" s="17">
        <v>-1.0</v>
      </c>
      <c r="F1122" s="17">
        <v>-1.0</v>
      </c>
      <c r="G1122" s="17">
        <v>-1.0</v>
      </c>
      <c r="H1122" s="17">
        <v>-1.0</v>
      </c>
    </row>
    <row r="1123">
      <c r="A1123" s="17">
        <v>7010500.0</v>
      </c>
      <c r="B1123" s="17">
        <v>0.0</v>
      </c>
      <c r="C1123" s="17">
        <v>7.070105E8</v>
      </c>
      <c r="D1123" s="17">
        <v>-1.0</v>
      </c>
      <c r="E1123" s="17">
        <v>-1.0</v>
      </c>
      <c r="F1123" s="17">
        <v>-1.0</v>
      </c>
      <c r="G1123" s="17">
        <v>-1.0</v>
      </c>
      <c r="H1123" s="17">
        <v>-1.0</v>
      </c>
    </row>
    <row r="1124">
      <c r="A1124" s="17">
        <v>7010700.0</v>
      </c>
      <c r="B1124" s="17">
        <v>0.0</v>
      </c>
      <c r="C1124" s="17">
        <v>7.070107E8</v>
      </c>
      <c r="D1124" s="17">
        <v>-1.0</v>
      </c>
      <c r="E1124" s="17">
        <v>-1.0</v>
      </c>
      <c r="F1124" s="17">
        <v>-1.0</v>
      </c>
      <c r="G1124" s="17">
        <v>-1.0</v>
      </c>
      <c r="H1124" s="17">
        <v>-1.0</v>
      </c>
    </row>
    <row r="1125">
      <c r="A1125" s="17">
        <v>7010900.0</v>
      </c>
      <c r="B1125" s="17">
        <v>0.0</v>
      </c>
      <c r="C1125" s="17">
        <v>7.070109E8</v>
      </c>
      <c r="D1125" s="17">
        <v>-1.0</v>
      </c>
      <c r="E1125" s="17">
        <v>-1.0</v>
      </c>
      <c r="F1125" s="17">
        <v>-1.0</v>
      </c>
      <c r="G1125" s="17">
        <v>-1.0</v>
      </c>
      <c r="H1125" s="17">
        <v>-1.0</v>
      </c>
    </row>
    <row r="1126">
      <c r="A1126" s="17">
        <v>7011000.0</v>
      </c>
      <c r="B1126" s="17">
        <v>0.0</v>
      </c>
      <c r="C1126" s="17">
        <v>7.07011E8</v>
      </c>
      <c r="D1126" s="17">
        <v>-1.0</v>
      </c>
      <c r="E1126" s="17">
        <v>-1.0</v>
      </c>
      <c r="F1126" s="17">
        <v>-1.0</v>
      </c>
      <c r="G1126" s="17">
        <v>-1.0</v>
      </c>
      <c r="H1126" s="17">
        <v>-1.0</v>
      </c>
    </row>
    <row r="1127">
      <c r="A1127" s="17">
        <v>7011200.0</v>
      </c>
      <c r="B1127" s="17">
        <v>0.0</v>
      </c>
      <c r="C1127" s="17">
        <v>7.070112E8</v>
      </c>
      <c r="D1127" s="17">
        <v>-1.0</v>
      </c>
      <c r="E1127" s="17">
        <v>-1.0</v>
      </c>
      <c r="F1127" s="17">
        <v>-1.0</v>
      </c>
      <c r="G1127" s="17">
        <v>-1.0</v>
      </c>
      <c r="H1127" s="17">
        <v>-1.0</v>
      </c>
    </row>
    <row r="1128">
      <c r="A1128" s="17">
        <v>7011600.0</v>
      </c>
      <c r="B1128" s="17">
        <v>0.0</v>
      </c>
      <c r="C1128" s="17">
        <v>7.070116E8</v>
      </c>
      <c r="D1128" s="17">
        <v>-1.0</v>
      </c>
      <c r="E1128" s="17">
        <v>-1.0</v>
      </c>
      <c r="F1128" s="17">
        <v>-1.0</v>
      </c>
      <c r="G1128" s="17">
        <v>-1.0</v>
      </c>
      <c r="H1128" s="17">
        <v>-1.0</v>
      </c>
    </row>
    <row r="1129">
      <c r="A1129" s="17">
        <v>7011700.0</v>
      </c>
      <c r="B1129" s="17">
        <v>0.0</v>
      </c>
      <c r="C1129" s="17">
        <v>7.070117E8</v>
      </c>
      <c r="D1129" s="17">
        <v>-1.0</v>
      </c>
      <c r="E1129" s="17">
        <v>-1.0</v>
      </c>
      <c r="F1129" s="17">
        <v>-1.0</v>
      </c>
      <c r="G1129" s="17">
        <v>-1.0</v>
      </c>
      <c r="H1129" s="17">
        <v>-1.0</v>
      </c>
    </row>
    <row r="1130">
      <c r="A1130" s="17">
        <v>7012000.0</v>
      </c>
      <c r="B1130" s="17">
        <v>0.0</v>
      </c>
      <c r="C1130" s="17">
        <v>7.07012E8</v>
      </c>
      <c r="D1130" s="17">
        <v>-1.0</v>
      </c>
      <c r="E1130" s="17">
        <v>-1.0</v>
      </c>
      <c r="F1130" s="17">
        <v>-1.0</v>
      </c>
      <c r="G1130" s="17">
        <v>-1.0</v>
      </c>
      <c r="H1130" s="17">
        <v>-1.0</v>
      </c>
    </row>
    <row r="1131">
      <c r="A1131" s="17">
        <v>7012200.0</v>
      </c>
      <c r="B1131" s="17">
        <v>0.0</v>
      </c>
      <c r="C1131" s="17">
        <v>7.070122E8</v>
      </c>
      <c r="D1131" s="17">
        <v>-1.0</v>
      </c>
      <c r="E1131" s="17">
        <v>-1.0</v>
      </c>
      <c r="F1131" s="17">
        <v>-1.0</v>
      </c>
      <c r="G1131" s="17">
        <v>-1.0</v>
      </c>
      <c r="H1131" s="17">
        <v>-1.0</v>
      </c>
    </row>
    <row r="1132">
      <c r="A1132" s="17">
        <v>7012300.0</v>
      </c>
      <c r="B1132" s="17">
        <v>0.0</v>
      </c>
      <c r="C1132" s="17">
        <v>7.070123E8</v>
      </c>
      <c r="D1132" s="17">
        <v>-1.0</v>
      </c>
      <c r="E1132" s="17">
        <v>-1.0</v>
      </c>
      <c r="F1132" s="17">
        <v>-1.0</v>
      </c>
      <c r="G1132" s="17">
        <v>-1.0</v>
      </c>
      <c r="H1132" s="17">
        <v>-1.0</v>
      </c>
    </row>
    <row r="1133">
      <c r="A1133" s="17">
        <v>7020000.0</v>
      </c>
      <c r="B1133" s="17">
        <v>0.0</v>
      </c>
      <c r="C1133" s="17">
        <v>7.0702E8</v>
      </c>
      <c r="D1133" s="17">
        <v>-1.0</v>
      </c>
      <c r="E1133" s="17">
        <v>-1.0</v>
      </c>
      <c r="F1133" s="17">
        <v>-1.0</v>
      </c>
      <c r="G1133" s="17">
        <v>-1.0</v>
      </c>
      <c r="H1133" s="17">
        <v>-1.0</v>
      </c>
    </row>
    <row r="1134">
      <c r="A1134" s="17">
        <v>7030000.0</v>
      </c>
      <c r="B1134" s="17">
        <v>0.0</v>
      </c>
      <c r="C1134" s="17">
        <v>7.0703E8</v>
      </c>
      <c r="D1134" s="17">
        <v>-1.0</v>
      </c>
      <c r="E1134" s="17">
        <v>-1.0</v>
      </c>
      <c r="F1134" s="17">
        <v>-1.0</v>
      </c>
      <c r="G1134" s="17">
        <v>-1.0</v>
      </c>
      <c r="H1134" s="17">
        <v>-1.0</v>
      </c>
    </row>
    <row r="1135">
      <c r="A1135" s="17">
        <v>7030200.0</v>
      </c>
      <c r="B1135" s="17">
        <v>0.0</v>
      </c>
      <c r="C1135" s="17">
        <v>7.070302E8</v>
      </c>
      <c r="D1135" s="17">
        <v>-1.0</v>
      </c>
      <c r="E1135" s="17">
        <v>-1.0</v>
      </c>
      <c r="F1135" s="17">
        <v>-1.0</v>
      </c>
      <c r="G1135" s="17">
        <v>-1.0</v>
      </c>
      <c r="H1135" s="17">
        <v>-1.0</v>
      </c>
    </row>
    <row r="1136">
      <c r="A1136" s="17">
        <v>7030600.0</v>
      </c>
      <c r="B1136" s="17">
        <v>0.0</v>
      </c>
      <c r="C1136" s="17">
        <v>7.070306E8</v>
      </c>
      <c r="D1136" s="17">
        <v>-1.0</v>
      </c>
      <c r="E1136" s="17">
        <v>-1.0</v>
      </c>
      <c r="F1136" s="17">
        <v>-1.0</v>
      </c>
      <c r="G1136" s="17">
        <v>-1.0</v>
      </c>
      <c r="H1136" s="17">
        <v>-1.0</v>
      </c>
    </row>
    <row r="1137">
      <c r="A1137" s="17">
        <v>7030700.0</v>
      </c>
      <c r="B1137" s="17">
        <v>0.0</v>
      </c>
      <c r="C1137" s="17">
        <v>7.070307E8</v>
      </c>
      <c r="D1137" s="17">
        <v>-1.0</v>
      </c>
      <c r="E1137" s="17">
        <v>-1.0</v>
      </c>
      <c r="F1137" s="17">
        <v>-1.0</v>
      </c>
      <c r="G1137" s="17">
        <v>-1.0</v>
      </c>
      <c r="H1137" s="17">
        <v>-1.0</v>
      </c>
    </row>
    <row r="1138">
      <c r="A1138" s="17">
        <v>7030800.0</v>
      </c>
      <c r="B1138" s="17">
        <v>0.0</v>
      </c>
      <c r="C1138" s="17">
        <v>7.070308E8</v>
      </c>
      <c r="D1138" s="17">
        <v>-1.0</v>
      </c>
      <c r="E1138" s="17">
        <v>-1.0</v>
      </c>
      <c r="F1138" s="17">
        <v>-1.0</v>
      </c>
      <c r="G1138" s="17">
        <v>-1.0</v>
      </c>
      <c r="H1138" s="17">
        <v>-1.0</v>
      </c>
    </row>
    <row r="1139">
      <c r="A1139" s="17">
        <v>7030900.0</v>
      </c>
      <c r="B1139" s="17">
        <v>0.0</v>
      </c>
      <c r="C1139" s="17">
        <v>7.070309E8</v>
      </c>
      <c r="D1139" s="17">
        <v>-1.0</v>
      </c>
      <c r="E1139" s="17">
        <v>-1.0</v>
      </c>
      <c r="F1139" s="17">
        <v>-1.0</v>
      </c>
      <c r="G1139" s="17">
        <v>-1.0</v>
      </c>
      <c r="H1139" s="17">
        <v>-1.0</v>
      </c>
    </row>
    <row r="1140">
      <c r="A1140" s="17">
        <v>7031200.0</v>
      </c>
      <c r="B1140" s="17">
        <v>0.0</v>
      </c>
      <c r="C1140" s="17">
        <v>7.070312E8</v>
      </c>
      <c r="D1140" s="17">
        <v>-1.0</v>
      </c>
      <c r="E1140" s="17">
        <v>-1.0</v>
      </c>
      <c r="F1140" s="17">
        <v>-1.0</v>
      </c>
      <c r="G1140" s="17">
        <v>-1.0</v>
      </c>
      <c r="H1140" s="17">
        <v>-1.0</v>
      </c>
    </row>
    <row r="1141">
      <c r="A1141" s="17">
        <v>7031300.0</v>
      </c>
      <c r="B1141" s="17">
        <v>0.0</v>
      </c>
      <c r="C1141" s="17">
        <v>7.070313E8</v>
      </c>
      <c r="D1141" s="17">
        <v>-1.0</v>
      </c>
      <c r="E1141" s="17">
        <v>-1.0</v>
      </c>
      <c r="F1141" s="17">
        <v>-1.0</v>
      </c>
      <c r="G1141" s="17">
        <v>-1.0</v>
      </c>
      <c r="H1141" s="17">
        <v>-1.0</v>
      </c>
    </row>
    <row r="1142">
      <c r="A1142" s="17">
        <v>7031800.0</v>
      </c>
      <c r="B1142" s="17">
        <v>0.0</v>
      </c>
      <c r="C1142" s="17">
        <v>7.070318E8</v>
      </c>
      <c r="D1142" s="17">
        <v>-1.0</v>
      </c>
      <c r="E1142" s="17">
        <v>-1.0</v>
      </c>
      <c r="F1142" s="17">
        <v>-1.0</v>
      </c>
      <c r="G1142" s="17">
        <v>-1.0</v>
      </c>
      <c r="H1142" s="17">
        <v>-1.0</v>
      </c>
    </row>
    <row r="1143">
      <c r="A1143" s="17">
        <v>7031900.0</v>
      </c>
      <c r="B1143" s="17">
        <v>0.0</v>
      </c>
      <c r="C1143" s="17">
        <v>7.070319E8</v>
      </c>
      <c r="D1143" s="17">
        <v>-1.0</v>
      </c>
      <c r="E1143" s="17">
        <v>-1.0</v>
      </c>
      <c r="F1143" s="17">
        <v>-1.0</v>
      </c>
      <c r="G1143" s="17">
        <v>-1.0</v>
      </c>
      <c r="H1143" s="17">
        <v>-1.0</v>
      </c>
    </row>
    <row r="1144">
      <c r="A1144" s="17">
        <v>7032200.0</v>
      </c>
      <c r="B1144" s="17">
        <v>0.0</v>
      </c>
      <c r="C1144" s="17">
        <v>7.070322E8</v>
      </c>
      <c r="D1144" s="17">
        <v>-1.0</v>
      </c>
      <c r="E1144" s="17">
        <v>-1.0</v>
      </c>
      <c r="F1144" s="17">
        <v>-1.0</v>
      </c>
      <c r="G1144" s="17">
        <v>-1.0</v>
      </c>
      <c r="H1144" s="17">
        <v>-1.0</v>
      </c>
    </row>
    <row r="1145">
      <c r="A1145" s="17">
        <v>7032400.0</v>
      </c>
      <c r="B1145" s="17">
        <v>0.0</v>
      </c>
      <c r="C1145" s="17">
        <v>7.070324E8</v>
      </c>
      <c r="D1145" s="17">
        <v>-1.0</v>
      </c>
      <c r="E1145" s="17">
        <v>-1.0</v>
      </c>
      <c r="F1145" s="17">
        <v>-1.0</v>
      </c>
      <c r="G1145" s="17">
        <v>-1.0</v>
      </c>
      <c r="H1145" s="17">
        <v>-1.0</v>
      </c>
    </row>
    <row r="1146">
      <c r="A1146" s="17">
        <v>7032700.0</v>
      </c>
      <c r="B1146" s="17">
        <v>0.0</v>
      </c>
      <c r="C1146" s="17">
        <v>7.070327E8</v>
      </c>
      <c r="D1146" s="17">
        <v>-1.0</v>
      </c>
      <c r="E1146" s="17">
        <v>-1.0</v>
      </c>
      <c r="F1146" s="17">
        <v>-1.0</v>
      </c>
      <c r="G1146" s="17">
        <v>-1.0</v>
      </c>
      <c r="H1146" s="17">
        <v>-1.0</v>
      </c>
    </row>
    <row r="1147">
      <c r="A1147" s="17">
        <v>7032800.0</v>
      </c>
      <c r="B1147" s="17">
        <v>0.0</v>
      </c>
      <c r="C1147" s="17">
        <v>7.070328E8</v>
      </c>
      <c r="D1147" s="17">
        <v>-1.0</v>
      </c>
      <c r="E1147" s="17">
        <v>-1.0</v>
      </c>
      <c r="F1147" s="17">
        <v>-1.0</v>
      </c>
      <c r="G1147" s="17">
        <v>-1.0</v>
      </c>
      <c r="H1147" s="17">
        <v>-1.0</v>
      </c>
    </row>
    <row r="1148">
      <c r="A1148" s="17">
        <v>7032900.0</v>
      </c>
      <c r="B1148" s="17">
        <v>0.0</v>
      </c>
      <c r="C1148" s="17">
        <v>7.070329E8</v>
      </c>
      <c r="D1148" s="17">
        <v>-1.0</v>
      </c>
      <c r="E1148" s="17">
        <v>-1.0</v>
      </c>
      <c r="F1148" s="17">
        <v>-1.0</v>
      </c>
      <c r="G1148" s="17">
        <v>-1.0</v>
      </c>
      <c r="H1148" s="17">
        <v>-1.0</v>
      </c>
    </row>
    <row r="1149">
      <c r="A1149" s="17">
        <v>7033200.0</v>
      </c>
      <c r="B1149" s="17">
        <v>0.0</v>
      </c>
      <c r="C1149" s="17">
        <v>7.070332E8</v>
      </c>
      <c r="D1149" s="17">
        <v>-1.0</v>
      </c>
      <c r="E1149" s="17">
        <v>-1.0</v>
      </c>
      <c r="F1149" s="17">
        <v>-1.0</v>
      </c>
      <c r="G1149" s="17">
        <v>-1.0</v>
      </c>
      <c r="H1149" s="17">
        <v>-1.0</v>
      </c>
    </row>
    <row r="1150">
      <c r="A1150" s="17">
        <v>7033300.0</v>
      </c>
      <c r="B1150" s="17">
        <v>0.0</v>
      </c>
      <c r="C1150" s="17">
        <v>7.070333E8</v>
      </c>
      <c r="D1150" s="17">
        <v>-1.0</v>
      </c>
      <c r="E1150" s="17">
        <v>-1.0</v>
      </c>
      <c r="F1150" s="17">
        <v>-1.0</v>
      </c>
      <c r="G1150" s="17">
        <v>-1.0</v>
      </c>
      <c r="H1150" s="17">
        <v>-1.0</v>
      </c>
    </row>
    <row r="1151">
      <c r="A1151" s="17">
        <v>7033400.0</v>
      </c>
      <c r="B1151" s="17">
        <v>0.0</v>
      </c>
      <c r="C1151" s="17">
        <v>7.070334E8</v>
      </c>
      <c r="D1151" s="17">
        <v>-1.0</v>
      </c>
      <c r="E1151" s="17">
        <v>-1.0</v>
      </c>
      <c r="F1151" s="17">
        <v>-1.0</v>
      </c>
      <c r="G1151" s="17">
        <v>-1.0</v>
      </c>
      <c r="H1151" s="17">
        <v>-1.0</v>
      </c>
    </row>
    <row r="1152">
      <c r="A1152" s="17">
        <v>7034100.0</v>
      </c>
      <c r="B1152" s="17">
        <v>0.0</v>
      </c>
      <c r="C1152" s="17">
        <v>7.070341E8</v>
      </c>
      <c r="D1152" s="17">
        <v>-1.0</v>
      </c>
      <c r="E1152" s="17">
        <v>-1.0</v>
      </c>
      <c r="F1152" s="17">
        <v>-1.0</v>
      </c>
      <c r="G1152" s="17">
        <v>-1.0</v>
      </c>
      <c r="H1152" s="17">
        <v>-1.0</v>
      </c>
    </row>
    <row r="1153">
      <c r="A1153" s="17">
        <v>7034400.0</v>
      </c>
      <c r="B1153" s="17">
        <v>0.0</v>
      </c>
      <c r="C1153" s="17">
        <v>7.070344E8</v>
      </c>
      <c r="D1153" s="17">
        <v>-1.0</v>
      </c>
      <c r="E1153" s="17">
        <v>-1.0</v>
      </c>
      <c r="F1153" s="17">
        <v>-1.0</v>
      </c>
      <c r="G1153" s="17">
        <v>-1.0</v>
      </c>
      <c r="H1153" s="17">
        <v>-1.0</v>
      </c>
    </row>
    <row r="1154">
      <c r="A1154" s="17">
        <v>7034500.0</v>
      </c>
      <c r="B1154" s="17">
        <v>0.0</v>
      </c>
      <c r="C1154" s="17">
        <v>7.070345E8</v>
      </c>
      <c r="D1154" s="17">
        <v>-1.0</v>
      </c>
      <c r="E1154" s="17">
        <v>-1.0</v>
      </c>
      <c r="F1154" s="17">
        <v>-1.0</v>
      </c>
      <c r="G1154" s="17">
        <v>-1.0</v>
      </c>
      <c r="H1154" s="17">
        <v>-1.0</v>
      </c>
    </row>
    <row r="1155">
      <c r="A1155" s="17">
        <v>7034600.0</v>
      </c>
      <c r="B1155" s="17">
        <v>0.0</v>
      </c>
      <c r="C1155" s="17">
        <v>7.070346E8</v>
      </c>
      <c r="D1155" s="17">
        <v>-1.0</v>
      </c>
      <c r="E1155" s="17">
        <v>-1.0</v>
      </c>
      <c r="F1155" s="17">
        <v>-1.0</v>
      </c>
      <c r="G1155" s="17">
        <v>-1.0</v>
      </c>
      <c r="H1155" s="17">
        <v>-1.0</v>
      </c>
    </row>
    <row r="1156">
      <c r="A1156" s="17">
        <v>7034700.0</v>
      </c>
      <c r="B1156" s="17">
        <v>0.0</v>
      </c>
      <c r="C1156" s="17">
        <v>7.070347E8</v>
      </c>
      <c r="D1156" s="17">
        <v>-1.0</v>
      </c>
      <c r="E1156" s="17">
        <v>-1.0</v>
      </c>
      <c r="F1156" s="17">
        <v>-1.0</v>
      </c>
      <c r="G1156" s="17">
        <v>-1.0</v>
      </c>
      <c r="H1156" s="17">
        <v>-1.0</v>
      </c>
    </row>
    <row r="1157">
      <c r="A1157" s="17">
        <v>7035100.0</v>
      </c>
      <c r="B1157" s="17">
        <v>0.0</v>
      </c>
      <c r="C1157" s="17">
        <v>7.070351E8</v>
      </c>
      <c r="D1157" s="17">
        <v>-1.0</v>
      </c>
      <c r="E1157" s="17">
        <v>-1.0</v>
      </c>
      <c r="F1157" s="17">
        <v>-1.0</v>
      </c>
      <c r="G1157" s="17">
        <v>-1.0</v>
      </c>
      <c r="H1157" s="17">
        <v>-1.0</v>
      </c>
    </row>
    <row r="1158">
      <c r="A1158" s="17">
        <v>7035400.0</v>
      </c>
      <c r="B1158" s="17">
        <v>0.0</v>
      </c>
      <c r="C1158" s="17">
        <v>7.070354E8</v>
      </c>
      <c r="D1158" s="17">
        <v>-1.0</v>
      </c>
      <c r="E1158" s="17">
        <v>-1.0</v>
      </c>
      <c r="F1158" s="17">
        <v>-1.0</v>
      </c>
      <c r="G1158" s="17">
        <v>-1.0</v>
      </c>
      <c r="H1158" s="17">
        <v>-1.0</v>
      </c>
    </row>
    <row r="1159">
      <c r="A1159" s="17">
        <v>7035410.0</v>
      </c>
      <c r="B1159" s="17">
        <v>0.0</v>
      </c>
      <c r="C1159" s="17">
        <v>7.0703541E8</v>
      </c>
      <c r="D1159" s="17">
        <v>-1.0</v>
      </c>
      <c r="E1159" s="17">
        <v>-1.0</v>
      </c>
      <c r="F1159" s="17">
        <v>-1.0</v>
      </c>
      <c r="G1159" s="17">
        <v>-1.0</v>
      </c>
      <c r="H1159" s="17">
        <v>-1.0</v>
      </c>
    </row>
    <row r="1160">
      <c r="A1160" s="17">
        <v>7035500.0</v>
      </c>
      <c r="B1160" s="17">
        <v>0.0</v>
      </c>
      <c r="C1160" s="17">
        <v>7.070355E8</v>
      </c>
      <c r="D1160" s="17">
        <v>-1.0</v>
      </c>
      <c r="E1160" s="17">
        <v>-1.0</v>
      </c>
      <c r="F1160" s="17">
        <v>-1.0</v>
      </c>
      <c r="G1160" s="17">
        <v>-1.0</v>
      </c>
      <c r="H1160" s="17">
        <v>-1.0</v>
      </c>
    </row>
    <row r="1161">
      <c r="A1161" s="17">
        <v>7035510.0</v>
      </c>
      <c r="B1161" s="17">
        <v>0.0</v>
      </c>
      <c r="C1161" s="17">
        <v>7.0703551E8</v>
      </c>
      <c r="D1161" s="17">
        <v>-1.0</v>
      </c>
      <c r="E1161" s="17">
        <v>-1.0</v>
      </c>
      <c r="F1161" s="17">
        <v>-1.0</v>
      </c>
      <c r="G1161" s="17">
        <v>-1.0</v>
      </c>
      <c r="H1161" s="17">
        <v>-1.0</v>
      </c>
    </row>
    <row r="1162">
      <c r="A1162" s="17">
        <v>7035700.0</v>
      </c>
      <c r="B1162" s="17">
        <v>0.0</v>
      </c>
      <c r="C1162" s="17">
        <v>7.070357E8</v>
      </c>
      <c r="D1162" s="17">
        <v>-1.0</v>
      </c>
      <c r="E1162" s="17">
        <v>-1.0</v>
      </c>
      <c r="F1162" s="17">
        <v>-1.0</v>
      </c>
      <c r="G1162" s="17">
        <v>-1.0</v>
      </c>
      <c r="H1162" s="17">
        <v>-1.0</v>
      </c>
    </row>
    <row r="1163">
      <c r="A1163" s="17">
        <v>7035800.0</v>
      </c>
      <c r="B1163" s="17">
        <v>0.0</v>
      </c>
      <c r="C1163" s="17">
        <v>7.070358E8</v>
      </c>
      <c r="D1163" s="17">
        <v>-1.0</v>
      </c>
      <c r="E1163" s="17">
        <v>-1.0</v>
      </c>
      <c r="F1163" s="17">
        <v>-1.0</v>
      </c>
      <c r="G1163" s="17">
        <v>-1.0</v>
      </c>
      <c r="H1163" s="17">
        <v>-1.0</v>
      </c>
    </row>
    <row r="1164">
      <c r="A1164" s="17">
        <v>7035900.0</v>
      </c>
      <c r="B1164" s="17">
        <v>0.0</v>
      </c>
      <c r="C1164" s="17">
        <v>7.070359E8</v>
      </c>
      <c r="D1164" s="17">
        <v>-1.0</v>
      </c>
      <c r="E1164" s="17">
        <v>-1.0</v>
      </c>
      <c r="F1164" s="17">
        <v>-1.0</v>
      </c>
      <c r="G1164" s="17">
        <v>-1.0</v>
      </c>
      <c r="H1164" s="17">
        <v>-1.0</v>
      </c>
    </row>
    <row r="1165">
      <c r="A1165" s="17">
        <v>7036000.0</v>
      </c>
      <c r="B1165" s="17">
        <v>0.0</v>
      </c>
      <c r="C1165" s="17">
        <v>7.07036E8</v>
      </c>
      <c r="D1165" s="17">
        <v>-1.0</v>
      </c>
      <c r="E1165" s="17">
        <v>-1.0</v>
      </c>
      <c r="F1165" s="17">
        <v>-1.0</v>
      </c>
      <c r="G1165" s="17">
        <v>-1.0</v>
      </c>
      <c r="H1165" s="17">
        <v>-1.0</v>
      </c>
    </row>
    <row r="1166">
      <c r="A1166" s="17">
        <v>7036100.0</v>
      </c>
      <c r="B1166" s="17">
        <v>0.0</v>
      </c>
      <c r="C1166" s="17">
        <v>7.070361E8</v>
      </c>
      <c r="D1166" s="17">
        <v>-1.0</v>
      </c>
      <c r="E1166" s="17">
        <v>-1.0</v>
      </c>
      <c r="F1166" s="17">
        <v>-1.0</v>
      </c>
      <c r="G1166" s="17">
        <v>-1.0</v>
      </c>
      <c r="H1166" s="17">
        <v>-1.0</v>
      </c>
    </row>
    <row r="1167">
      <c r="A1167" s="17">
        <v>7036200.0</v>
      </c>
      <c r="B1167" s="17">
        <v>0.0</v>
      </c>
      <c r="C1167" s="17">
        <v>7.070362E8</v>
      </c>
      <c r="D1167" s="17">
        <v>-1.0</v>
      </c>
      <c r="E1167" s="17">
        <v>-1.0</v>
      </c>
      <c r="F1167" s="17">
        <v>-1.0</v>
      </c>
      <c r="G1167" s="17">
        <v>-1.0</v>
      </c>
      <c r="H1167" s="17">
        <v>-1.0</v>
      </c>
    </row>
    <row r="1168">
      <c r="A1168" s="17">
        <v>7036300.0</v>
      </c>
      <c r="B1168" s="17">
        <v>0.0</v>
      </c>
      <c r="C1168" s="17">
        <v>7.070363E8</v>
      </c>
      <c r="D1168" s="17">
        <v>-1.0</v>
      </c>
      <c r="E1168" s="17">
        <v>-1.0</v>
      </c>
      <c r="F1168" s="17">
        <v>-1.0</v>
      </c>
      <c r="G1168" s="17">
        <v>-1.0</v>
      </c>
      <c r="H1168" s="17">
        <v>-1.0</v>
      </c>
    </row>
    <row r="1169">
      <c r="A1169" s="17">
        <v>7036400.0</v>
      </c>
      <c r="B1169" s="17">
        <v>0.0</v>
      </c>
      <c r="C1169" s="17">
        <v>7.070364E8</v>
      </c>
      <c r="D1169" s="17">
        <v>-1.0</v>
      </c>
      <c r="E1169" s="17">
        <v>-1.0</v>
      </c>
      <c r="F1169" s="17">
        <v>-1.0</v>
      </c>
      <c r="G1169" s="17">
        <v>-1.0</v>
      </c>
      <c r="H1169" s="17">
        <v>-1.0</v>
      </c>
    </row>
    <row r="1170">
      <c r="A1170" s="17">
        <v>7036500.0</v>
      </c>
      <c r="B1170" s="17">
        <v>0.0</v>
      </c>
      <c r="C1170" s="17">
        <v>7.070365E8</v>
      </c>
      <c r="D1170" s="17">
        <v>-1.0</v>
      </c>
      <c r="E1170" s="17">
        <v>-1.0</v>
      </c>
      <c r="F1170" s="17">
        <v>-1.0</v>
      </c>
      <c r="G1170" s="17">
        <v>-1.0</v>
      </c>
      <c r="H1170" s="17">
        <v>-1.0</v>
      </c>
    </row>
    <row r="1171">
      <c r="A1171" s="17">
        <v>7036800.0</v>
      </c>
      <c r="B1171" s="17">
        <v>0.0</v>
      </c>
      <c r="C1171" s="17">
        <v>7.070368E8</v>
      </c>
      <c r="D1171" s="17">
        <v>-1.0</v>
      </c>
      <c r="E1171" s="17">
        <v>-1.0</v>
      </c>
      <c r="F1171" s="17">
        <v>-1.0</v>
      </c>
      <c r="G1171" s="17">
        <v>-1.0</v>
      </c>
      <c r="H1171" s="17">
        <v>-1.0</v>
      </c>
    </row>
    <row r="1172">
      <c r="A1172" s="17">
        <v>7036900.0</v>
      </c>
      <c r="B1172" s="17">
        <v>0.0</v>
      </c>
      <c r="C1172" s="17">
        <v>7.070369E8</v>
      </c>
      <c r="D1172" s="17">
        <v>-1.0</v>
      </c>
      <c r="E1172" s="17">
        <v>-1.0</v>
      </c>
      <c r="F1172" s="17">
        <v>-1.0</v>
      </c>
      <c r="G1172" s="17">
        <v>-1.0</v>
      </c>
      <c r="H1172" s="17">
        <v>-1.0</v>
      </c>
    </row>
    <row r="1173">
      <c r="A1173" s="17">
        <v>7037000.0</v>
      </c>
      <c r="B1173" s="17">
        <v>0.0</v>
      </c>
      <c r="C1173" s="17">
        <v>7.07037E8</v>
      </c>
      <c r="D1173" s="17">
        <v>-1.0</v>
      </c>
      <c r="E1173" s="17">
        <v>-1.0</v>
      </c>
      <c r="F1173" s="17">
        <v>-1.0</v>
      </c>
      <c r="G1173" s="17">
        <v>-1.0</v>
      </c>
      <c r="H1173" s="17">
        <v>-1.0</v>
      </c>
    </row>
    <row r="1174">
      <c r="A1174" s="17">
        <v>7037300.0</v>
      </c>
      <c r="B1174" s="17">
        <v>0.0</v>
      </c>
      <c r="C1174" s="17">
        <v>7.070373E8</v>
      </c>
      <c r="D1174" s="17">
        <v>-1.0</v>
      </c>
      <c r="E1174" s="17">
        <v>-1.0</v>
      </c>
      <c r="F1174" s="17">
        <v>-1.0</v>
      </c>
      <c r="G1174" s="17">
        <v>-1.0</v>
      </c>
      <c r="H1174" s="17">
        <v>-1.0</v>
      </c>
    </row>
    <row r="1175">
      <c r="A1175" s="17">
        <v>7037600.0</v>
      </c>
      <c r="B1175" s="17">
        <v>0.0</v>
      </c>
      <c r="C1175" s="17">
        <v>7.070376E8</v>
      </c>
      <c r="D1175" s="17">
        <v>-1.0</v>
      </c>
      <c r="E1175" s="17">
        <v>-1.0</v>
      </c>
      <c r="F1175" s="17">
        <v>-1.0</v>
      </c>
      <c r="G1175" s="17">
        <v>-1.0</v>
      </c>
      <c r="H1175" s="17">
        <v>-1.0</v>
      </c>
    </row>
    <row r="1176">
      <c r="A1176" s="17">
        <v>7037700.0</v>
      </c>
      <c r="B1176" s="17">
        <v>0.0</v>
      </c>
      <c r="C1176" s="17">
        <v>7.070377E8</v>
      </c>
      <c r="D1176" s="17">
        <v>-1.0</v>
      </c>
      <c r="E1176" s="17">
        <v>-1.0</v>
      </c>
      <c r="F1176" s="17">
        <v>-1.0</v>
      </c>
      <c r="G1176" s="17">
        <v>-1.0</v>
      </c>
      <c r="H1176" s="17">
        <v>-1.0</v>
      </c>
    </row>
    <row r="1177">
      <c r="A1177" s="17">
        <v>7037800.0</v>
      </c>
      <c r="B1177" s="17">
        <v>0.0</v>
      </c>
      <c r="C1177" s="17">
        <v>7.070378E8</v>
      </c>
      <c r="D1177" s="17">
        <v>-1.0</v>
      </c>
      <c r="E1177" s="17">
        <v>-1.0</v>
      </c>
      <c r="F1177" s="17">
        <v>-1.0</v>
      </c>
      <c r="G1177" s="17">
        <v>-1.0</v>
      </c>
      <c r="H1177" s="17">
        <v>-1.0</v>
      </c>
    </row>
    <row r="1178">
      <c r="A1178" s="17">
        <v>7040000.0</v>
      </c>
      <c r="B1178" s="17">
        <v>0.0</v>
      </c>
      <c r="C1178" s="17">
        <v>7.0704E8</v>
      </c>
      <c r="D1178" s="17">
        <v>-1.0</v>
      </c>
      <c r="E1178" s="17">
        <v>-1.0</v>
      </c>
      <c r="F1178" s="17">
        <v>-1.0</v>
      </c>
      <c r="G1178" s="17">
        <v>-1.0</v>
      </c>
      <c r="H1178" s="17">
        <v>-1.0</v>
      </c>
    </row>
    <row r="1179">
      <c r="A1179" s="17">
        <v>7040100.0</v>
      </c>
      <c r="B1179" s="17">
        <v>0.0</v>
      </c>
      <c r="C1179" s="17">
        <v>7.070401E8</v>
      </c>
      <c r="D1179" s="17">
        <v>-1.0</v>
      </c>
      <c r="E1179" s="17">
        <v>-1.0</v>
      </c>
      <c r="F1179" s="17">
        <v>-1.0</v>
      </c>
      <c r="G1179" s="17">
        <v>-1.0</v>
      </c>
      <c r="H1179" s="17">
        <v>-1.0</v>
      </c>
    </row>
    <row r="1180">
      <c r="A1180" s="17">
        <v>7040200.0</v>
      </c>
      <c r="B1180" s="17">
        <v>0.0</v>
      </c>
      <c r="C1180" s="17">
        <v>7.070402E8</v>
      </c>
      <c r="D1180" s="17">
        <v>-1.0</v>
      </c>
      <c r="E1180" s="17">
        <v>-1.0</v>
      </c>
      <c r="F1180" s="17">
        <v>-1.0</v>
      </c>
      <c r="G1180" s="17">
        <v>-1.0</v>
      </c>
      <c r="H1180" s="17">
        <v>-1.0</v>
      </c>
    </row>
    <row r="1181">
      <c r="A1181" s="17">
        <v>7040201.0</v>
      </c>
      <c r="B1181" s="17">
        <v>0.0</v>
      </c>
      <c r="C1181" s="17">
        <v>7.07040201E8</v>
      </c>
      <c r="D1181" s="17">
        <v>-1.0</v>
      </c>
      <c r="E1181" s="17">
        <v>-1.0</v>
      </c>
      <c r="F1181" s="17">
        <v>-1.0</v>
      </c>
      <c r="G1181" s="17">
        <v>-1.0</v>
      </c>
      <c r="H1181" s="17">
        <v>-1.0</v>
      </c>
    </row>
    <row r="1182">
      <c r="A1182" s="17">
        <v>7040300.0</v>
      </c>
      <c r="B1182" s="17">
        <v>0.0</v>
      </c>
      <c r="C1182" s="17">
        <v>7.070403E8</v>
      </c>
      <c r="D1182" s="17">
        <v>-1.0</v>
      </c>
      <c r="E1182" s="17">
        <v>-1.0</v>
      </c>
      <c r="F1182" s="17">
        <v>-1.0</v>
      </c>
      <c r="G1182" s="17">
        <v>-1.0</v>
      </c>
      <c r="H1182" s="17">
        <v>-1.0</v>
      </c>
    </row>
    <row r="1183">
      <c r="A1183" s="17">
        <v>7040400.0</v>
      </c>
      <c r="B1183" s="17">
        <v>0.0</v>
      </c>
      <c r="C1183" s="17">
        <v>7.070404E8</v>
      </c>
      <c r="D1183" s="17">
        <v>-1.0</v>
      </c>
      <c r="E1183" s="17">
        <v>-1.0</v>
      </c>
      <c r="F1183" s="17">
        <v>-1.0</v>
      </c>
      <c r="G1183" s="17">
        <v>-1.0</v>
      </c>
      <c r="H1183" s="17">
        <v>-1.0</v>
      </c>
    </row>
    <row r="1184">
      <c r="A1184" s="17">
        <v>7040500.0</v>
      </c>
      <c r="B1184" s="17">
        <v>0.0</v>
      </c>
      <c r="C1184" s="17">
        <v>7.070405E8</v>
      </c>
      <c r="D1184" s="17">
        <v>-1.0</v>
      </c>
      <c r="E1184" s="17">
        <v>-1.0</v>
      </c>
      <c r="F1184" s="17">
        <v>-1.0</v>
      </c>
      <c r="G1184" s="17">
        <v>-1.0</v>
      </c>
      <c r="H1184" s="17">
        <v>-1.0</v>
      </c>
    </row>
    <row r="1185">
      <c r="A1185" s="17">
        <v>7043000.0</v>
      </c>
      <c r="B1185" s="17">
        <v>0.0</v>
      </c>
      <c r="C1185" s="17">
        <v>7.07043E8</v>
      </c>
      <c r="D1185" s="17">
        <v>-1.0</v>
      </c>
      <c r="E1185" s="17">
        <v>-1.0</v>
      </c>
      <c r="F1185" s="17">
        <v>-1.0</v>
      </c>
      <c r="G1185" s="17">
        <v>-1.0</v>
      </c>
      <c r="H1185" s="17">
        <v>-1.0</v>
      </c>
    </row>
    <row r="1186">
      <c r="A1186" s="17">
        <v>7043100.0</v>
      </c>
      <c r="B1186" s="17">
        <v>0.0</v>
      </c>
      <c r="C1186" s="17">
        <v>7.070431E8</v>
      </c>
      <c r="D1186" s="17">
        <v>-1.0</v>
      </c>
      <c r="E1186" s="17">
        <v>-1.0</v>
      </c>
      <c r="F1186" s="17">
        <v>-1.0</v>
      </c>
      <c r="G1186" s="17">
        <v>-1.0</v>
      </c>
      <c r="H1186" s="17">
        <v>-1.0</v>
      </c>
    </row>
    <row r="1187">
      <c r="A1187" s="17">
        <v>7043200.0</v>
      </c>
      <c r="B1187" s="17">
        <v>0.0</v>
      </c>
      <c r="C1187" s="17">
        <v>7.070432E8</v>
      </c>
      <c r="D1187" s="17">
        <v>-1.0</v>
      </c>
      <c r="E1187" s="17">
        <v>-1.0</v>
      </c>
      <c r="F1187" s="17">
        <v>-1.0</v>
      </c>
      <c r="G1187" s="17">
        <v>-1.0</v>
      </c>
      <c r="H1187" s="17">
        <v>-1.0</v>
      </c>
    </row>
    <row r="1188">
      <c r="A1188" s="17">
        <v>7043300.0</v>
      </c>
      <c r="B1188" s="17">
        <v>0.0</v>
      </c>
      <c r="C1188" s="17">
        <v>7.070433E8</v>
      </c>
      <c r="D1188" s="17">
        <v>-1.0</v>
      </c>
      <c r="E1188" s="17">
        <v>-1.0</v>
      </c>
      <c r="F1188" s="17">
        <v>-1.0</v>
      </c>
      <c r="G1188" s="17">
        <v>-1.0</v>
      </c>
      <c r="H1188" s="17">
        <v>-1.0</v>
      </c>
    </row>
    <row r="1189">
      <c r="A1189" s="17">
        <v>7043400.0</v>
      </c>
      <c r="B1189" s="17">
        <v>0.0</v>
      </c>
      <c r="C1189" s="17">
        <v>7.070434E8</v>
      </c>
      <c r="D1189" s="17">
        <v>-1.0</v>
      </c>
      <c r="E1189" s="17">
        <v>-1.0</v>
      </c>
      <c r="F1189" s="17">
        <v>-1.0</v>
      </c>
      <c r="G1189" s="17">
        <v>-1.0</v>
      </c>
      <c r="H1189" s="17">
        <v>-1.0</v>
      </c>
    </row>
    <row r="1190">
      <c r="A1190" s="17">
        <v>7043500.0</v>
      </c>
      <c r="B1190" s="17">
        <v>0.0</v>
      </c>
      <c r="C1190" s="17">
        <v>7.070435E8</v>
      </c>
      <c r="D1190" s="17">
        <v>-1.0</v>
      </c>
      <c r="E1190" s="17">
        <v>-1.0</v>
      </c>
      <c r="F1190" s="17">
        <v>-1.0</v>
      </c>
      <c r="G1190" s="17">
        <v>-1.0</v>
      </c>
      <c r="H1190" s="17">
        <v>-1.0</v>
      </c>
    </row>
    <row r="1191">
      <c r="A1191" s="17">
        <v>7043600.0</v>
      </c>
      <c r="B1191" s="17">
        <v>0.0</v>
      </c>
      <c r="C1191" s="17">
        <v>7.070436E8</v>
      </c>
      <c r="D1191" s="17">
        <v>-1.0</v>
      </c>
      <c r="E1191" s="17">
        <v>-1.0</v>
      </c>
      <c r="F1191" s="17">
        <v>-1.0</v>
      </c>
      <c r="G1191" s="17">
        <v>-1.0</v>
      </c>
      <c r="H1191" s="17">
        <v>-1.0</v>
      </c>
    </row>
    <row r="1192">
      <c r="A1192" s="17">
        <v>7043700.0</v>
      </c>
      <c r="B1192" s="17">
        <v>0.0</v>
      </c>
      <c r="C1192" s="17">
        <v>7.070437E8</v>
      </c>
      <c r="D1192" s="17">
        <v>-1.0</v>
      </c>
      <c r="E1192" s="17">
        <v>-1.0</v>
      </c>
      <c r="F1192" s="17">
        <v>-1.0</v>
      </c>
      <c r="G1192" s="17">
        <v>-1.0</v>
      </c>
      <c r="H1192" s="17">
        <v>-1.0</v>
      </c>
    </row>
    <row r="1193">
      <c r="A1193" s="17">
        <v>7043800.0</v>
      </c>
      <c r="B1193" s="17">
        <v>0.0</v>
      </c>
      <c r="C1193" s="17">
        <v>7.070438E8</v>
      </c>
      <c r="D1193" s="17">
        <v>-1.0</v>
      </c>
      <c r="E1193" s="17">
        <v>-1.0</v>
      </c>
      <c r="F1193" s="17">
        <v>-1.0</v>
      </c>
      <c r="G1193" s="17">
        <v>-1.0</v>
      </c>
      <c r="H1193" s="17">
        <v>-1.0</v>
      </c>
    </row>
    <row r="1194">
      <c r="A1194" s="17">
        <v>7044000.0</v>
      </c>
      <c r="B1194" s="17">
        <v>0.0</v>
      </c>
      <c r="C1194" s="17">
        <v>7.07044E8</v>
      </c>
      <c r="D1194" s="17">
        <v>-1.0</v>
      </c>
      <c r="E1194" s="17">
        <v>-1.0</v>
      </c>
      <c r="F1194" s="17">
        <v>-1.0</v>
      </c>
      <c r="G1194" s="17">
        <v>-1.0</v>
      </c>
      <c r="H1194" s="17">
        <v>-1.0</v>
      </c>
    </row>
    <row r="1195">
      <c r="A1195" s="17">
        <v>7044100.0</v>
      </c>
      <c r="B1195" s="17">
        <v>0.0</v>
      </c>
      <c r="C1195" s="17">
        <v>7.070441E8</v>
      </c>
      <c r="D1195" s="17">
        <v>-1.0</v>
      </c>
      <c r="E1195" s="17">
        <v>-1.0</v>
      </c>
      <c r="F1195" s="17">
        <v>-1.0</v>
      </c>
      <c r="G1195" s="17">
        <v>-1.0</v>
      </c>
      <c r="H1195" s="17">
        <v>-1.0</v>
      </c>
    </row>
    <row r="1196">
      <c r="A1196" s="17">
        <v>7044200.0</v>
      </c>
      <c r="B1196" s="17">
        <v>0.0</v>
      </c>
      <c r="C1196" s="17">
        <v>7.070442E8</v>
      </c>
      <c r="D1196" s="17">
        <v>-1.0</v>
      </c>
      <c r="E1196" s="17">
        <v>-1.0</v>
      </c>
      <c r="F1196" s="17">
        <v>-1.0</v>
      </c>
      <c r="G1196" s="17">
        <v>-1.0</v>
      </c>
      <c r="H1196" s="17">
        <v>-1.0</v>
      </c>
    </row>
    <row r="1197">
      <c r="A1197" s="17">
        <v>7044300.0</v>
      </c>
      <c r="B1197" s="17">
        <v>0.0</v>
      </c>
      <c r="C1197" s="17">
        <v>7.070443E8</v>
      </c>
      <c r="D1197" s="17">
        <v>-1.0</v>
      </c>
      <c r="E1197" s="17">
        <v>-1.0</v>
      </c>
      <c r="F1197" s="17">
        <v>-1.0</v>
      </c>
      <c r="G1197" s="17">
        <v>-1.0</v>
      </c>
      <c r="H1197" s="17">
        <v>-1.0</v>
      </c>
    </row>
    <row r="1198">
      <c r="A1198" s="17">
        <v>7044400.0</v>
      </c>
      <c r="B1198" s="17">
        <v>0.0</v>
      </c>
      <c r="C1198" s="17">
        <v>7.070444E8</v>
      </c>
      <c r="D1198" s="17">
        <v>-1.0</v>
      </c>
      <c r="E1198" s="17">
        <v>-1.0</v>
      </c>
      <c r="F1198" s="17">
        <v>-1.0</v>
      </c>
      <c r="G1198" s="17">
        <v>-1.0</v>
      </c>
      <c r="H1198" s="17">
        <v>-1.0</v>
      </c>
    </row>
    <row r="1199">
      <c r="A1199" s="17">
        <v>7044500.0</v>
      </c>
      <c r="B1199" s="17">
        <v>0.0</v>
      </c>
      <c r="C1199" s="17">
        <v>7.070445E8</v>
      </c>
      <c r="D1199" s="17">
        <v>-1.0</v>
      </c>
      <c r="E1199" s="17">
        <v>-1.0</v>
      </c>
      <c r="F1199" s="17">
        <v>-1.0</v>
      </c>
      <c r="G1199" s="17">
        <v>-1.0</v>
      </c>
      <c r="H1199" s="17">
        <v>-1.0</v>
      </c>
    </row>
    <row r="1200">
      <c r="A1200" s="17">
        <v>7044600.0</v>
      </c>
      <c r="B1200" s="17">
        <v>0.0</v>
      </c>
      <c r="C1200" s="17">
        <v>7.070446E8</v>
      </c>
      <c r="D1200" s="17">
        <v>-1.0</v>
      </c>
      <c r="E1200" s="17">
        <v>-1.0</v>
      </c>
      <c r="F1200" s="17">
        <v>-1.0</v>
      </c>
      <c r="G1200" s="17">
        <v>-1.0</v>
      </c>
      <c r="H1200" s="17">
        <v>-1.0</v>
      </c>
    </row>
    <row r="1201">
      <c r="A1201" s="17">
        <v>7050000.0</v>
      </c>
      <c r="B1201" s="17">
        <v>0.0</v>
      </c>
      <c r="C1201" s="17">
        <v>7.0705E8</v>
      </c>
      <c r="D1201" s="17">
        <v>-1.0</v>
      </c>
      <c r="E1201" s="17">
        <v>-1.0</v>
      </c>
      <c r="F1201" s="17">
        <v>-1.0</v>
      </c>
      <c r="G1201" s="17">
        <v>-1.0</v>
      </c>
      <c r="H1201" s="17">
        <v>-1.0</v>
      </c>
    </row>
    <row r="1202">
      <c r="A1202" s="17">
        <v>7050100.0</v>
      </c>
      <c r="B1202" s="17">
        <v>0.0</v>
      </c>
      <c r="C1202" s="17">
        <v>7.070501E8</v>
      </c>
      <c r="D1202" s="17">
        <v>-1.0</v>
      </c>
      <c r="E1202" s="17">
        <v>-1.0</v>
      </c>
      <c r="F1202" s="17">
        <v>-1.0</v>
      </c>
      <c r="G1202" s="17">
        <v>-1.0</v>
      </c>
      <c r="H1202" s="17">
        <v>-1.0</v>
      </c>
    </row>
    <row r="1203">
      <c r="A1203" s="17">
        <v>7060000.0</v>
      </c>
      <c r="B1203" s="17">
        <v>0.0</v>
      </c>
      <c r="C1203" s="17">
        <v>7.0706E8</v>
      </c>
      <c r="D1203" s="17">
        <v>-1.0</v>
      </c>
      <c r="E1203" s="17">
        <v>-1.0</v>
      </c>
      <c r="F1203" s="17">
        <v>-1.0</v>
      </c>
      <c r="G1203" s="17">
        <v>-1.0</v>
      </c>
      <c r="H1203" s="17">
        <v>-1.0</v>
      </c>
    </row>
    <row r="1204">
      <c r="A1204" s="17">
        <v>7060100.0</v>
      </c>
      <c r="B1204" s="17">
        <v>0.0</v>
      </c>
      <c r="C1204" s="17">
        <v>7.070601E8</v>
      </c>
      <c r="D1204" s="17">
        <v>-1.0</v>
      </c>
      <c r="E1204" s="17">
        <v>-1.0</v>
      </c>
      <c r="F1204" s="17">
        <v>-1.0</v>
      </c>
      <c r="G1204" s="17">
        <v>-1.0</v>
      </c>
      <c r="H1204" s="17">
        <v>-1.0</v>
      </c>
    </row>
    <row r="1205">
      <c r="A1205" s="17">
        <v>7060200.0</v>
      </c>
      <c r="B1205" s="17">
        <v>0.0</v>
      </c>
      <c r="C1205" s="17">
        <v>7.070602E8</v>
      </c>
      <c r="D1205" s="17">
        <v>-1.0</v>
      </c>
      <c r="E1205" s="17">
        <v>-1.0</v>
      </c>
      <c r="F1205" s="17">
        <v>-1.0</v>
      </c>
      <c r="G1205" s="17">
        <v>-1.0</v>
      </c>
      <c r="H1205" s="17">
        <v>-1.0</v>
      </c>
    </row>
    <row r="1206">
      <c r="A1206" s="17">
        <v>7070000.0</v>
      </c>
      <c r="B1206" s="17">
        <v>0.0</v>
      </c>
      <c r="C1206" s="17">
        <v>7.0707E8</v>
      </c>
      <c r="D1206" s="17">
        <v>-1.0</v>
      </c>
      <c r="E1206" s="17">
        <v>-1.0</v>
      </c>
      <c r="F1206" s="17">
        <v>-1.0</v>
      </c>
      <c r="G1206" s="17">
        <v>-1.0</v>
      </c>
      <c r="H1206" s="17">
        <v>-1.0</v>
      </c>
    </row>
    <row r="1207">
      <c r="A1207" s="17">
        <v>7080000.0</v>
      </c>
      <c r="B1207" s="17">
        <v>0.0</v>
      </c>
      <c r="C1207" s="17">
        <v>7.0708E8</v>
      </c>
      <c r="D1207" s="17">
        <v>-1.0</v>
      </c>
      <c r="E1207" s="17">
        <v>-1.0</v>
      </c>
      <c r="F1207" s="17">
        <v>-1.0</v>
      </c>
      <c r="G1207" s="17">
        <v>-1.0</v>
      </c>
      <c r="H1207" s="17">
        <v>-1.0</v>
      </c>
    </row>
    <row r="1208">
      <c r="A1208" s="17">
        <v>7080100.0</v>
      </c>
      <c r="B1208" s="17">
        <v>0.0</v>
      </c>
      <c r="C1208" s="17">
        <v>7.070801E8</v>
      </c>
      <c r="D1208" s="17">
        <v>-1.0</v>
      </c>
      <c r="E1208" s="17">
        <v>-1.0</v>
      </c>
      <c r="F1208" s="17">
        <v>-1.0</v>
      </c>
      <c r="G1208" s="17">
        <v>-1.0</v>
      </c>
      <c r="H1208" s="17">
        <v>-1.0</v>
      </c>
    </row>
    <row r="1209">
      <c r="A1209" s="17">
        <v>7080200.0</v>
      </c>
      <c r="B1209" s="17">
        <v>0.0</v>
      </c>
      <c r="C1209" s="17">
        <v>7.070802E8</v>
      </c>
      <c r="D1209" s="17">
        <v>-1.0</v>
      </c>
      <c r="E1209" s="17">
        <v>-1.0</v>
      </c>
      <c r="F1209" s="17">
        <v>-1.0</v>
      </c>
      <c r="G1209" s="17">
        <v>-1.0</v>
      </c>
      <c r="H1209" s="17">
        <v>-1.0</v>
      </c>
    </row>
    <row r="1210">
      <c r="A1210" s="17">
        <v>7080300.0</v>
      </c>
      <c r="B1210" s="17">
        <v>0.0</v>
      </c>
      <c r="C1210" s="17">
        <v>7.070803E8</v>
      </c>
      <c r="D1210" s="17">
        <v>-1.0</v>
      </c>
      <c r="E1210" s="17">
        <v>-1.0</v>
      </c>
      <c r="F1210" s="17">
        <v>-1.0</v>
      </c>
      <c r="G1210" s="17">
        <v>-1.0</v>
      </c>
      <c r="H1210" s="17">
        <v>-1.0</v>
      </c>
    </row>
    <row r="1211">
      <c r="A1211" s="17">
        <v>7080400.0</v>
      </c>
      <c r="B1211" s="17">
        <v>0.0</v>
      </c>
      <c r="C1211" s="17">
        <v>7.070804E8</v>
      </c>
      <c r="D1211" s="17">
        <v>-1.0</v>
      </c>
      <c r="E1211" s="17">
        <v>-1.0</v>
      </c>
      <c r="F1211" s="17">
        <v>-1.0</v>
      </c>
      <c r="G1211" s="17">
        <v>-1.0</v>
      </c>
      <c r="H1211" s="17">
        <v>-1.0</v>
      </c>
    </row>
    <row r="1212">
      <c r="A1212" s="17">
        <v>7080500.0</v>
      </c>
      <c r="B1212" s="17">
        <v>0.0</v>
      </c>
      <c r="C1212" s="17">
        <v>7.070805E8</v>
      </c>
      <c r="D1212" s="17">
        <v>-1.0</v>
      </c>
      <c r="E1212" s="17">
        <v>-1.0</v>
      </c>
      <c r="F1212" s="17">
        <v>-1.0</v>
      </c>
      <c r="G1212" s="17">
        <v>-1.0</v>
      </c>
      <c r="H1212" s="17">
        <v>-1.0</v>
      </c>
    </row>
    <row r="1213">
      <c r="A1213" s="17">
        <v>7080600.0</v>
      </c>
      <c r="B1213" s="17">
        <v>0.0</v>
      </c>
      <c r="C1213" s="17">
        <v>7.070806E8</v>
      </c>
      <c r="D1213" s="17">
        <v>-1.0</v>
      </c>
      <c r="E1213" s="17">
        <v>-1.0</v>
      </c>
      <c r="F1213" s="17">
        <v>-1.0</v>
      </c>
      <c r="G1213" s="17">
        <v>-1.0</v>
      </c>
      <c r="H1213" s="17">
        <v>-1.0</v>
      </c>
    </row>
    <row r="1214">
      <c r="A1214" s="17">
        <v>7080700.0</v>
      </c>
      <c r="B1214" s="17">
        <v>0.0</v>
      </c>
      <c r="C1214" s="17">
        <v>7.070807E8</v>
      </c>
      <c r="D1214" s="17">
        <v>-1.0</v>
      </c>
      <c r="E1214" s="17">
        <v>-1.0</v>
      </c>
      <c r="F1214" s="17">
        <v>-1.0</v>
      </c>
      <c r="G1214" s="17">
        <v>-1.0</v>
      </c>
      <c r="H1214" s="17">
        <v>-1.0</v>
      </c>
    </row>
    <row r="1215">
      <c r="A1215" s="17">
        <v>7080800.0</v>
      </c>
      <c r="B1215" s="17">
        <v>0.0</v>
      </c>
      <c r="C1215" s="17">
        <v>7.070808E8</v>
      </c>
      <c r="D1215" s="17">
        <v>-1.0</v>
      </c>
      <c r="E1215" s="17">
        <v>-1.0</v>
      </c>
      <c r="F1215" s="17">
        <v>-1.0</v>
      </c>
      <c r="G1215" s="17">
        <v>-1.0</v>
      </c>
      <c r="H1215" s="17">
        <v>-1.0</v>
      </c>
    </row>
    <row r="1216">
      <c r="A1216" s="17">
        <v>7080900.0</v>
      </c>
      <c r="B1216" s="17">
        <v>0.0</v>
      </c>
      <c r="C1216" s="17">
        <v>7.070809E8</v>
      </c>
      <c r="D1216" s="17">
        <v>-1.0</v>
      </c>
      <c r="E1216" s="17">
        <v>-1.0</v>
      </c>
      <c r="F1216" s="17">
        <v>-1.0</v>
      </c>
      <c r="G1216" s="17">
        <v>-1.0</v>
      </c>
      <c r="H1216" s="17">
        <v>-1.0</v>
      </c>
    </row>
    <row r="1217">
      <c r="A1217" s="17">
        <v>7081000.0</v>
      </c>
      <c r="B1217" s="17">
        <v>0.0</v>
      </c>
      <c r="C1217" s="17">
        <v>7.07081E8</v>
      </c>
      <c r="D1217" s="17">
        <v>-1.0</v>
      </c>
      <c r="E1217" s="17">
        <v>-1.0</v>
      </c>
      <c r="F1217" s="17">
        <v>-1.0</v>
      </c>
      <c r="G1217" s="17">
        <v>-1.0</v>
      </c>
      <c r="H1217" s="17">
        <v>-1.0</v>
      </c>
    </row>
    <row r="1218">
      <c r="A1218" s="17">
        <v>7081100.0</v>
      </c>
      <c r="B1218" s="17">
        <v>0.0</v>
      </c>
      <c r="C1218" s="17">
        <v>7.070811E8</v>
      </c>
      <c r="D1218" s="17">
        <v>-1.0</v>
      </c>
      <c r="E1218" s="17">
        <v>-1.0</v>
      </c>
      <c r="F1218" s="17">
        <v>-1.0</v>
      </c>
      <c r="G1218" s="17">
        <v>-1.0</v>
      </c>
      <c r="H1218" s="17">
        <v>-1.0</v>
      </c>
    </row>
    <row r="1219">
      <c r="A1219" s="17">
        <v>7081200.0</v>
      </c>
      <c r="B1219" s="17">
        <v>0.0</v>
      </c>
      <c r="C1219" s="17">
        <v>7.070812E8</v>
      </c>
      <c r="D1219" s="17">
        <v>-1.0</v>
      </c>
      <c r="E1219" s="17">
        <v>-1.0</v>
      </c>
      <c r="F1219" s="17">
        <v>-1.0</v>
      </c>
      <c r="G1219" s="17">
        <v>-1.0</v>
      </c>
      <c r="H1219" s="17">
        <v>-1.0</v>
      </c>
    </row>
    <row r="1220">
      <c r="A1220" s="17">
        <v>7081300.0</v>
      </c>
      <c r="B1220" s="17">
        <v>0.0</v>
      </c>
      <c r="C1220" s="17">
        <v>7.070813E8</v>
      </c>
      <c r="D1220" s="17">
        <v>-1.0</v>
      </c>
      <c r="E1220" s="17">
        <v>-1.0</v>
      </c>
      <c r="F1220" s="17">
        <v>-1.0</v>
      </c>
      <c r="G1220" s="17">
        <v>-1.0</v>
      </c>
      <c r="H1220" s="17">
        <v>-1.0</v>
      </c>
    </row>
    <row r="1221">
      <c r="A1221" s="17">
        <v>7081400.0</v>
      </c>
      <c r="B1221" s="17">
        <v>0.0</v>
      </c>
      <c r="C1221" s="17">
        <v>7.070814E8</v>
      </c>
      <c r="D1221" s="17">
        <v>-1.0</v>
      </c>
      <c r="E1221" s="17">
        <v>-1.0</v>
      </c>
      <c r="F1221" s="17">
        <v>-1.0</v>
      </c>
      <c r="G1221" s="17">
        <v>-1.0</v>
      </c>
      <c r="H1221" s="17">
        <v>-1.0</v>
      </c>
    </row>
    <row r="1222">
      <c r="A1222" s="17">
        <v>7081500.0</v>
      </c>
      <c r="B1222" s="17">
        <v>0.0</v>
      </c>
      <c r="C1222" s="17">
        <v>7.070815E8</v>
      </c>
      <c r="D1222" s="17">
        <v>-1.0</v>
      </c>
      <c r="E1222" s="17">
        <v>-1.0</v>
      </c>
      <c r="F1222" s="17">
        <v>-1.0</v>
      </c>
      <c r="G1222" s="17">
        <v>-1.0</v>
      </c>
      <c r="H1222" s="17">
        <v>-1.0</v>
      </c>
    </row>
    <row r="1223">
      <c r="A1223" s="17">
        <v>7081700.0</v>
      </c>
      <c r="B1223" s="17">
        <v>0.0</v>
      </c>
      <c r="C1223" s="17">
        <v>7.070817E8</v>
      </c>
      <c r="D1223" s="17">
        <v>-1.0</v>
      </c>
      <c r="E1223" s="17">
        <v>-1.0</v>
      </c>
      <c r="F1223" s="17">
        <v>-1.0</v>
      </c>
      <c r="G1223" s="17">
        <v>-1.0</v>
      </c>
      <c r="H1223" s="17">
        <v>-1.0</v>
      </c>
    </row>
    <row r="1224">
      <c r="A1224" s="17">
        <v>7081800.0</v>
      </c>
      <c r="B1224" s="17">
        <v>0.0</v>
      </c>
      <c r="C1224" s="17">
        <v>7.070818E8</v>
      </c>
      <c r="D1224" s="17">
        <v>-1.0</v>
      </c>
      <c r="E1224" s="17">
        <v>-1.0</v>
      </c>
      <c r="F1224" s="17">
        <v>-1.0</v>
      </c>
      <c r="G1224" s="17">
        <v>-1.0</v>
      </c>
      <c r="H1224" s="17">
        <v>-1.0</v>
      </c>
    </row>
    <row r="1225">
      <c r="A1225" s="17">
        <v>7081900.0</v>
      </c>
      <c r="B1225" s="17">
        <v>0.0</v>
      </c>
      <c r="C1225" s="17">
        <v>7.070819E8</v>
      </c>
      <c r="D1225" s="17">
        <v>-1.0</v>
      </c>
      <c r="E1225" s="17">
        <v>-1.0</v>
      </c>
      <c r="F1225" s="17">
        <v>-1.0</v>
      </c>
      <c r="G1225" s="17">
        <v>-1.0</v>
      </c>
      <c r="H1225" s="17">
        <v>-1.0</v>
      </c>
    </row>
    <row r="1226">
      <c r="A1226" s="17">
        <v>7082000.0</v>
      </c>
      <c r="B1226" s="17">
        <v>0.0</v>
      </c>
      <c r="C1226" s="17">
        <v>7.07082E8</v>
      </c>
      <c r="D1226" s="17">
        <v>-1.0</v>
      </c>
      <c r="E1226" s="17">
        <v>-1.0</v>
      </c>
      <c r="F1226" s="17">
        <v>-1.0</v>
      </c>
      <c r="G1226" s="17">
        <v>-1.0</v>
      </c>
      <c r="H1226" s="17">
        <v>-1.0</v>
      </c>
    </row>
    <row r="1227">
      <c r="A1227" s="17">
        <v>7082100.0</v>
      </c>
      <c r="B1227" s="17">
        <v>0.0</v>
      </c>
      <c r="C1227" s="17">
        <v>7.070821E8</v>
      </c>
      <c r="D1227" s="17">
        <v>-1.0</v>
      </c>
      <c r="E1227" s="17">
        <v>-1.0</v>
      </c>
      <c r="F1227" s="17">
        <v>-1.0</v>
      </c>
      <c r="G1227" s="17">
        <v>-1.0</v>
      </c>
      <c r="H1227" s="17">
        <v>-1.0</v>
      </c>
    </row>
    <row r="1228">
      <c r="A1228" s="17">
        <v>7082200.0</v>
      </c>
      <c r="B1228" s="17">
        <v>0.0</v>
      </c>
      <c r="C1228" s="17">
        <v>7.070822E8</v>
      </c>
      <c r="D1228" s="17">
        <v>-1.0</v>
      </c>
      <c r="E1228" s="17">
        <v>-1.0</v>
      </c>
      <c r="F1228" s="17">
        <v>-1.0</v>
      </c>
      <c r="G1228" s="17">
        <v>-1.0</v>
      </c>
      <c r="H1228" s="17">
        <v>-1.0</v>
      </c>
    </row>
    <row r="1229">
      <c r="A1229" s="17">
        <v>7082300.0</v>
      </c>
      <c r="B1229" s="17">
        <v>0.0</v>
      </c>
      <c r="C1229" s="17">
        <v>7.070823E8</v>
      </c>
      <c r="D1229" s="17">
        <v>-1.0</v>
      </c>
      <c r="E1229" s="17">
        <v>-1.0</v>
      </c>
      <c r="F1229" s="17">
        <v>-1.0</v>
      </c>
      <c r="G1229" s="17">
        <v>-1.0</v>
      </c>
      <c r="H1229" s="17">
        <v>-1.0</v>
      </c>
    </row>
    <row r="1230">
      <c r="A1230" s="17">
        <v>7082400.0</v>
      </c>
      <c r="B1230" s="17">
        <v>0.0</v>
      </c>
      <c r="C1230" s="17">
        <v>7.070824E8</v>
      </c>
      <c r="D1230" s="17">
        <v>-1.0</v>
      </c>
      <c r="E1230" s="17">
        <v>-1.0</v>
      </c>
      <c r="F1230" s="17">
        <v>-1.0</v>
      </c>
      <c r="G1230" s="17">
        <v>-1.0</v>
      </c>
      <c r="H1230" s="17">
        <v>-1.0</v>
      </c>
    </row>
    <row r="1231">
      <c r="A1231" s="17">
        <v>7082500.0</v>
      </c>
      <c r="B1231" s="17">
        <v>0.0</v>
      </c>
      <c r="C1231" s="17">
        <v>7.070825E8</v>
      </c>
      <c r="D1231" s="17">
        <v>-1.0</v>
      </c>
      <c r="E1231" s="17">
        <v>-1.0</v>
      </c>
      <c r="F1231" s="17">
        <v>-1.0</v>
      </c>
      <c r="G1231" s="17">
        <v>-1.0</v>
      </c>
      <c r="H1231" s="17">
        <v>-1.0</v>
      </c>
    </row>
    <row r="1232">
      <c r="A1232" s="17">
        <v>7082600.0</v>
      </c>
      <c r="B1232" s="17">
        <v>0.0</v>
      </c>
      <c r="C1232" s="17">
        <v>7.070826E8</v>
      </c>
      <c r="D1232" s="17">
        <v>-1.0</v>
      </c>
      <c r="E1232" s="17">
        <v>-1.0</v>
      </c>
      <c r="F1232" s="17">
        <v>-1.0</v>
      </c>
      <c r="G1232" s="17">
        <v>-1.0</v>
      </c>
      <c r="H1232" s="17">
        <v>-1.0</v>
      </c>
    </row>
    <row r="1233">
      <c r="A1233" s="17">
        <v>7082700.0</v>
      </c>
      <c r="B1233" s="17">
        <v>0.0</v>
      </c>
      <c r="C1233" s="17">
        <v>7.070827E8</v>
      </c>
      <c r="D1233" s="17">
        <v>-1.0</v>
      </c>
      <c r="E1233" s="17">
        <v>-1.0</v>
      </c>
      <c r="F1233" s="17">
        <v>-1.0</v>
      </c>
      <c r="G1233" s="17">
        <v>-1.0</v>
      </c>
      <c r="H1233" s="17">
        <v>-1.0</v>
      </c>
    </row>
    <row r="1234">
      <c r="A1234" s="17">
        <v>7082800.0</v>
      </c>
      <c r="B1234" s="17">
        <v>0.0</v>
      </c>
      <c r="C1234" s="17">
        <v>7.070828E8</v>
      </c>
      <c r="D1234" s="17">
        <v>-1.0</v>
      </c>
      <c r="E1234" s="17">
        <v>-1.0</v>
      </c>
      <c r="F1234" s="17">
        <v>-1.0</v>
      </c>
      <c r="G1234" s="17">
        <v>-1.0</v>
      </c>
      <c r="H1234" s="17">
        <v>-1.0</v>
      </c>
    </row>
    <row r="1235">
      <c r="A1235" s="17">
        <v>7082900.0</v>
      </c>
      <c r="B1235" s="17">
        <v>0.0</v>
      </c>
      <c r="C1235" s="17">
        <v>7.070829E8</v>
      </c>
      <c r="D1235" s="17">
        <v>-1.0</v>
      </c>
      <c r="E1235" s="17">
        <v>-1.0</v>
      </c>
      <c r="F1235" s="17">
        <v>-1.0</v>
      </c>
      <c r="G1235" s="17">
        <v>-1.0</v>
      </c>
      <c r="H1235" s="17">
        <v>-1.0</v>
      </c>
    </row>
    <row r="1236">
      <c r="A1236" s="17">
        <v>7090000.0</v>
      </c>
      <c r="B1236" s="17">
        <v>0.0</v>
      </c>
      <c r="C1236" s="17">
        <v>7.0709E8</v>
      </c>
      <c r="D1236" s="17">
        <v>-1.0</v>
      </c>
      <c r="E1236" s="17">
        <v>-1.0</v>
      </c>
      <c r="F1236" s="17">
        <v>-1.0</v>
      </c>
      <c r="G1236" s="17">
        <v>-1.0</v>
      </c>
      <c r="H1236" s="17">
        <v>-1.0</v>
      </c>
    </row>
    <row r="1237">
      <c r="A1237" s="17">
        <v>7090100.0</v>
      </c>
      <c r="B1237" s="17">
        <v>0.0</v>
      </c>
      <c r="C1237" s="17">
        <v>7.070901E8</v>
      </c>
      <c r="D1237" s="17">
        <v>-1.0</v>
      </c>
      <c r="E1237" s="17">
        <v>-1.0</v>
      </c>
      <c r="F1237" s="17">
        <v>-1.0</v>
      </c>
      <c r="G1237" s="17">
        <v>-1.0</v>
      </c>
      <c r="H1237" s="17">
        <v>-1.0</v>
      </c>
    </row>
    <row r="1238">
      <c r="A1238" s="17">
        <v>7090300.0</v>
      </c>
      <c r="B1238" s="17">
        <v>0.0</v>
      </c>
      <c r="C1238" s="17">
        <v>7.070903E8</v>
      </c>
      <c r="D1238" s="17">
        <v>-1.0</v>
      </c>
      <c r="E1238" s="17">
        <v>-1.0</v>
      </c>
      <c r="F1238" s="17">
        <v>-1.0</v>
      </c>
      <c r="G1238" s="17">
        <v>-1.0</v>
      </c>
      <c r="H1238" s="17">
        <v>-1.0</v>
      </c>
    </row>
    <row r="1239">
      <c r="A1239" s="17">
        <v>7100100.0</v>
      </c>
      <c r="B1239" s="17">
        <v>0.0</v>
      </c>
      <c r="C1239" s="17">
        <v>7.071001E8</v>
      </c>
      <c r="D1239" s="17">
        <v>-1.0</v>
      </c>
      <c r="E1239" s="17">
        <v>-1.0</v>
      </c>
      <c r="F1239" s="17">
        <v>-1.0</v>
      </c>
      <c r="G1239" s="17">
        <v>-1.0</v>
      </c>
      <c r="H1239" s="17">
        <v>-1.0</v>
      </c>
    </row>
    <row r="1240">
      <c r="A1240" s="17">
        <v>7100110.0</v>
      </c>
      <c r="B1240" s="17">
        <v>0.0</v>
      </c>
      <c r="C1240" s="17">
        <v>7.0710011E8</v>
      </c>
      <c r="D1240" s="17">
        <v>-1.0</v>
      </c>
      <c r="E1240" s="17">
        <v>-1.0</v>
      </c>
      <c r="F1240" s="17">
        <v>-1.0</v>
      </c>
      <c r="G1240" s="17">
        <v>-1.0</v>
      </c>
      <c r="H1240" s="17">
        <v>-1.0</v>
      </c>
    </row>
    <row r="1241">
      <c r="A1241" s="17">
        <v>7110000.0</v>
      </c>
      <c r="B1241" s="17">
        <v>0.0</v>
      </c>
      <c r="C1241" s="17">
        <v>7.0711E8</v>
      </c>
      <c r="D1241" s="17">
        <v>-1.0</v>
      </c>
      <c r="E1241" s="17">
        <v>-1.0</v>
      </c>
      <c r="F1241" s="17">
        <v>-1.0</v>
      </c>
      <c r="G1241" s="17">
        <v>-1.0</v>
      </c>
      <c r="H1241" s="17">
        <v>-1.0</v>
      </c>
    </row>
    <row r="1242">
      <c r="A1242" s="17">
        <v>7120000.0</v>
      </c>
      <c r="B1242" s="17">
        <v>0.0</v>
      </c>
      <c r="C1242" s="17">
        <v>7.0712E8</v>
      </c>
      <c r="D1242" s="17">
        <v>-1.0</v>
      </c>
      <c r="E1242" s="17">
        <v>-1.0</v>
      </c>
      <c r="F1242" s="17">
        <v>-1.0</v>
      </c>
      <c r="G1242" s="17">
        <v>-1.0</v>
      </c>
      <c r="H1242" s="17">
        <v>-1.0</v>
      </c>
    </row>
    <row r="1243">
      <c r="A1243" s="17">
        <v>7120100.0</v>
      </c>
      <c r="B1243" s="17">
        <v>0.0</v>
      </c>
      <c r="C1243" s="17">
        <v>7.071201E8</v>
      </c>
      <c r="D1243" s="17">
        <v>-1.0</v>
      </c>
      <c r="E1243" s="17">
        <v>-1.0</v>
      </c>
      <c r="F1243" s="17">
        <v>-1.0</v>
      </c>
      <c r="G1243" s="17">
        <v>-1.0</v>
      </c>
      <c r="H1243" s="17">
        <v>-1.0</v>
      </c>
    </row>
    <row r="1244">
      <c r="A1244" s="17">
        <v>7120200.0</v>
      </c>
      <c r="B1244" s="17">
        <v>0.0</v>
      </c>
      <c r="C1244" s="17">
        <v>7.071202E8</v>
      </c>
      <c r="D1244" s="17">
        <v>-1.0</v>
      </c>
      <c r="E1244" s="17">
        <v>-1.0</v>
      </c>
      <c r="F1244" s="17">
        <v>-1.0</v>
      </c>
      <c r="G1244" s="17">
        <v>-1.0</v>
      </c>
      <c r="H1244" s="17">
        <v>-1.0</v>
      </c>
    </row>
    <row r="1245">
      <c r="A1245" s="17">
        <v>7120300.0</v>
      </c>
      <c r="B1245" s="17">
        <v>0.0</v>
      </c>
      <c r="C1245" s="17">
        <v>7.071203E8</v>
      </c>
      <c r="D1245" s="17">
        <v>-1.0</v>
      </c>
      <c r="E1245" s="17">
        <v>-1.0</v>
      </c>
      <c r="F1245" s="17">
        <v>-1.0</v>
      </c>
      <c r="G1245" s="17">
        <v>-1.0</v>
      </c>
      <c r="H1245" s="17">
        <v>-1.0</v>
      </c>
    </row>
    <row r="1246">
      <c r="A1246" s="17">
        <v>7120400.0</v>
      </c>
      <c r="B1246" s="17">
        <v>0.0</v>
      </c>
      <c r="C1246" s="17">
        <v>7.071204E8</v>
      </c>
      <c r="D1246" s="17">
        <v>-1.0</v>
      </c>
      <c r="E1246" s="17">
        <v>-1.0</v>
      </c>
      <c r="F1246" s="17">
        <v>-1.0</v>
      </c>
      <c r="G1246" s="17">
        <v>-1.0</v>
      </c>
      <c r="H1246" s="17">
        <v>-1.0</v>
      </c>
    </row>
    <row r="1247">
      <c r="A1247" s="17">
        <v>7120500.0</v>
      </c>
      <c r="B1247" s="17">
        <v>0.0</v>
      </c>
      <c r="C1247" s="17">
        <v>7.071205E8</v>
      </c>
      <c r="D1247" s="17">
        <v>-1.0</v>
      </c>
      <c r="E1247" s="17">
        <v>-1.0</v>
      </c>
      <c r="F1247" s="17">
        <v>-1.0</v>
      </c>
      <c r="G1247" s="17">
        <v>-1.0</v>
      </c>
      <c r="H1247" s="17">
        <v>-1.0</v>
      </c>
    </row>
    <row r="1248">
      <c r="A1248" s="17">
        <v>7120600.0</v>
      </c>
      <c r="B1248" s="17">
        <v>0.0</v>
      </c>
      <c r="C1248" s="17">
        <v>7.071206E8</v>
      </c>
      <c r="D1248" s="17">
        <v>-1.0</v>
      </c>
      <c r="E1248" s="17">
        <v>-1.0</v>
      </c>
      <c r="F1248" s="17">
        <v>-1.0</v>
      </c>
      <c r="G1248" s="17">
        <v>-1.0</v>
      </c>
      <c r="H1248" s="17">
        <v>-1.0</v>
      </c>
    </row>
    <row r="1249">
      <c r="A1249" s="17">
        <v>7120900.0</v>
      </c>
      <c r="B1249" s="17">
        <v>0.0</v>
      </c>
      <c r="C1249" s="17">
        <v>7.071209E8</v>
      </c>
      <c r="D1249" s="17">
        <v>-1.0</v>
      </c>
      <c r="E1249" s="17">
        <v>-1.0</v>
      </c>
      <c r="F1249" s="17">
        <v>-1.0</v>
      </c>
      <c r="G1249" s="17">
        <v>-1.0</v>
      </c>
      <c r="H1249" s="17">
        <v>-1.0</v>
      </c>
    </row>
    <row r="1250">
      <c r="A1250" s="17">
        <v>7121000.0</v>
      </c>
      <c r="B1250" s="17">
        <v>0.0</v>
      </c>
      <c r="C1250" s="17">
        <v>7.07121E8</v>
      </c>
      <c r="D1250" s="17">
        <v>-1.0</v>
      </c>
      <c r="E1250" s="17">
        <v>-1.0</v>
      </c>
      <c r="F1250" s="17">
        <v>-1.0</v>
      </c>
      <c r="G1250" s="17">
        <v>-1.0</v>
      </c>
      <c r="H1250" s="17">
        <v>-1.0</v>
      </c>
    </row>
    <row r="1251">
      <c r="A1251" s="17">
        <v>7121100.0</v>
      </c>
      <c r="B1251" s="17">
        <v>0.0</v>
      </c>
      <c r="C1251" s="17">
        <v>7.071211E8</v>
      </c>
      <c r="D1251" s="17">
        <v>-1.0</v>
      </c>
      <c r="E1251" s="17">
        <v>-1.0</v>
      </c>
      <c r="F1251" s="17">
        <v>-1.0</v>
      </c>
      <c r="G1251" s="17">
        <v>-1.0</v>
      </c>
      <c r="H1251" s="17">
        <v>-1.0</v>
      </c>
    </row>
    <row r="1252">
      <c r="A1252" s="17">
        <v>7121200.0</v>
      </c>
      <c r="B1252" s="17">
        <v>0.0</v>
      </c>
      <c r="C1252" s="17">
        <v>7.071212E8</v>
      </c>
      <c r="D1252" s="17">
        <v>-1.0</v>
      </c>
      <c r="E1252" s="17">
        <v>-1.0</v>
      </c>
      <c r="F1252" s="17">
        <v>-1.0</v>
      </c>
      <c r="G1252" s="17">
        <v>-1.0</v>
      </c>
      <c r="H1252" s="17">
        <v>-1.0</v>
      </c>
    </row>
    <row r="1253">
      <c r="A1253" s="17">
        <v>7121300.0</v>
      </c>
      <c r="B1253" s="17">
        <v>0.0</v>
      </c>
      <c r="C1253" s="17">
        <v>7.071213E8</v>
      </c>
      <c r="D1253" s="17">
        <v>-1.0</v>
      </c>
      <c r="E1253" s="17">
        <v>-1.0</v>
      </c>
      <c r="F1253" s="17">
        <v>-1.0</v>
      </c>
      <c r="G1253" s="17">
        <v>-1.0</v>
      </c>
      <c r="H1253" s="17">
        <v>-1.0</v>
      </c>
    </row>
    <row r="1254">
      <c r="A1254" s="17">
        <v>7121400.0</v>
      </c>
      <c r="B1254" s="17">
        <v>0.0</v>
      </c>
      <c r="C1254" s="17">
        <v>7.071214E8</v>
      </c>
      <c r="D1254" s="17">
        <v>-1.0</v>
      </c>
      <c r="E1254" s="17">
        <v>-1.0</v>
      </c>
      <c r="F1254" s="17">
        <v>-1.0</v>
      </c>
      <c r="G1254" s="17">
        <v>-1.0</v>
      </c>
      <c r="H1254" s="17">
        <v>-1.0</v>
      </c>
    </row>
    <row r="1255">
      <c r="A1255" s="17">
        <v>7121500.0</v>
      </c>
      <c r="B1255" s="17">
        <v>0.0</v>
      </c>
      <c r="C1255" s="17">
        <v>7.071215E8</v>
      </c>
      <c r="D1255" s="17">
        <v>-1.0</v>
      </c>
      <c r="E1255" s="17">
        <v>-1.0</v>
      </c>
      <c r="F1255" s="17">
        <v>-1.0</v>
      </c>
      <c r="G1255" s="17">
        <v>-1.0</v>
      </c>
      <c r="H1255" s="17">
        <v>-1.0</v>
      </c>
    </row>
    <row r="1256">
      <c r="A1256" s="17">
        <v>7121600.0</v>
      </c>
      <c r="B1256" s="17">
        <v>0.0</v>
      </c>
      <c r="C1256" s="17">
        <v>7.071216E8</v>
      </c>
      <c r="D1256" s="17">
        <v>-1.0</v>
      </c>
      <c r="E1256" s="17">
        <v>-1.0</v>
      </c>
      <c r="F1256" s="17">
        <v>-1.0</v>
      </c>
      <c r="G1256" s="17">
        <v>-1.0</v>
      </c>
      <c r="H1256" s="17">
        <v>-1.0</v>
      </c>
    </row>
    <row r="1257">
      <c r="A1257" s="17">
        <v>7121700.0</v>
      </c>
      <c r="B1257" s="17">
        <v>0.0</v>
      </c>
      <c r="C1257" s="17">
        <v>7.071217E8</v>
      </c>
      <c r="D1257" s="17">
        <v>-1.0</v>
      </c>
      <c r="E1257" s="17">
        <v>-1.0</v>
      </c>
      <c r="F1257" s="17">
        <v>-1.0</v>
      </c>
      <c r="G1257" s="17">
        <v>-1.0</v>
      </c>
      <c r="H1257" s="17">
        <v>-1.0</v>
      </c>
    </row>
    <row r="1258">
      <c r="A1258" s="17">
        <v>7121800.0</v>
      </c>
      <c r="B1258" s="17">
        <v>0.0</v>
      </c>
      <c r="C1258" s="17">
        <v>7.071218E8</v>
      </c>
      <c r="D1258" s="17">
        <v>-1.0</v>
      </c>
      <c r="E1258" s="17">
        <v>-1.0</v>
      </c>
      <c r="F1258" s="17">
        <v>-1.0</v>
      </c>
      <c r="G1258" s="17">
        <v>-1.0</v>
      </c>
      <c r="H1258" s="17">
        <v>-1.0</v>
      </c>
    </row>
    <row r="1259">
      <c r="A1259" s="17">
        <v>7121900.0</v>
      </c>
      <c r="B1259" s="17">
        <v>0.0</v>
      </c>
      <c r="C1259" s="17">
        <v>7.071219E8</v>
      </c>
      <c r="D1259" s="17">
        <v>-1.0</v>
      </c>
      <c r="E1259" s="17">
        <v>-1.0</v>
      </c>
      <c r="F1259" s="17">
        <v>-1.0</v>
      </c>
      <c r="G1259" s="17">
        <v>-1.0</v>
      </c>
      <c r="H1259" s="17">
        <v>-1.0</v>
      </c>
    </row>
    <row r="1260">
      <c r="A1260" s="17">
        <v>7122000.0</v>
      </c>
      <c r="B1260" s="17">
        <v>0.0</v>
      </c>
      <c r="C1260" s="17">
        <v>7.07122E8</v>
      </c>
      <c r="D1260" s="17">
        <v>-1.0</v>
      </c>
      <c r="E1260" s="17">
        <v>-1.0</v>
      </c>
      <c r="F1260" s="17">
        <v>-1.0</v>
      </c>
      <c r="G1260" s="17">
        <v>-1.0</v>
      </c>
      <c r="H1260" s="17">
        <v>-1.0</v>
      </c>
    </row>
    <row r="1261">
      <c r="A1261" s="17">
        <v>7122100.0</v>
      </c>
      <c r="B1261" s="17">
        <v>0.0</v>
      </c>
      <c r="C1261" s="17">
        <v>7.071221E8</v>
      </c>
      <c r="D1261" s="17">
        <v>-1.0</v>
      </c>
      <c r="E1261" s="17">
        <v>-1.0</v>
      </c>
      <c r="F1261" s="17">
        <v>-1.0</v>
      </c>
      <c r="G1261" s="17">
        <v>-1.0</v>
      </c>
      <c r="H1261" s="17">
        <v>-1.0</v>
      </c>
    </row>
    <row r="1262">
      <c r="A1262" s="17">
        <v>7122200.0</v>
      </c>
      <c r="B1262" s="17">
        <v>0.0</v>
      </c>
      <c r="C1262" s="17">
        <v>7.071222E8</v>
      </c>
      <c r="D1262" s="17">
        <v>-1.0</v>
      </c>
      <c r="E1262" s="17">
        <v>-1.0</v>
      </c>
      <c r="F1262" s="17">
        <v>-1.0</v>
      </c>
      <c r="G1262" s="17">
        <v>-1.0</v>
      </c>
      <c r="H1262" s="17">
        <v>-1.0</v>
      </c>
    </row>
    <row r="1263">
      <c r="A1263" s="17">
        <v>7122300.0</v>
      </c>
      <c r="B1263" s="17">
        <v>0.0</v>
      </c>
      <c r="C1263" s="17">
        <v>7.071223E8</v>
      </c>
      <c r="D1263" s="17">
        <v>-1.0</v>
      </c>
      <c r="E1263" s="17">
        <v>-1.0</v>
      </c>
      <c r="F1263" s="17">
        <v>-1.0</v>
      </c>
      <c r="G1263" s="17">
        <v>-1.0</v>
      </c>
      <c r="H1263" s="17">
        <v>-1.0</v>
      </c>
    </row>
    <row r="1264">
      <c r="A1264" s="17">
        <v>7122400.0</v>
      </c>
      <c r="B1264" s="17">
        <v>0.0</v>
      </c>
      <c r="C1264" s="17">
        <v>7.071224E8</v>
      </c>
      <c r="D1264" s="17">
        <v>-1.0</v>
      </c>
      <c r="E1264" s="17">
        <v>-1.0</v>
      </c>
      <c r="F1264" s="17">
        <v>-1.0</v>
      </c>
      <c r="G1264" s="17">
        <v>-1.0</v>
      </c>
      <c r="H1264" s="17">
        <v>-1.0</v>
      </c>
    </row>
    <row r="1265">
      <c r="A1265" s="17">
        <v>7122500.0</v>
      </c>
      <c r="B1265" s="17">
        <v>0.0</v>
      </c>
      <c r="C1265" s="17">
        <v>7.071225E8</v>
      </c>
      <c r="D1265" s="17">
        <v>-1.0</v>
      </c>
      <c r="E1265" s="17">
        <v>-1.0</v>
      </c>
      <c r="F1265" s="17">
        <v>-1.0</v>
      </c>
      <c r="G1265" s="17">
        <v>-1.0</v>
      </c>
      <c r="H1265" s="17">
        <v>-1.0</v>
      </c>
    </row>
    <row r="1266">
      <c r="A1266" s="17">
        <v>7122600.0</v>
      </c>
      <c r="B1266" s="17">
        <v>0.0</v>
      </c>
      <c r="C1266" s="17">
        <v>7.071226E8</v>
      </c>
      <c r="D1266" s="17">
        <v>-1.0</v>
      </c>
      <c r="E1266" s="17">
        <v>-1.0</v>
      </c>
      <c r="F1266" s="17">
        <v>-1.0</v>
      </c>
      <c r="G1266" s="17">
        <v>-1.0</v>
      </c>
      <c r="H1266" s="17">
        <v>-1.0</v>
      </c>
    </row>
    <row r="1267">
      <c r="A1267" s="17">
        <v>7122700.0</v>
      </c>
      <c r="B1267" s="17">
        <v>0.0</v>
      </c>
      <c r="C1267" s="17">
        <v>7.071227E8</v>
      </c>
      <c r="D1267" s="17">
        <v>-1.0</v>
      </c>
      <c r="E1267" s="17">
        <v>-1.0</v>
      </c>
      <c r="F1267" s="17">
        <v>-1.0</v>
      </c>
      <c r="G1267" s="17">
        <v>-1.0</v>
      </c>
      <c r="H1267" s="17">
        <v>-1.0</v>
      </c>
    </row>
    <row r="1268">
      <c r="A1268" s="17">
        <v>7122800.0</v>
      </c>
      <c r="B1268" s="17">
        <v>0.0</v>
      </c>
      <c r="C1268" s="17">
        <v>7.071228E8</v>
      </c>
      <c r="D1268" s="17">
        <v>-1.0</v>
      </c>
      <c r="E1268" s="17">
        <v>-1.0</v>
      </c>
      <c r="F1268" s="17">
        <v>-1.0</v>
      </c>
      <c r="G1268" s="17">
        <v>-1.0</v>
      </c>
      <c r="H1268" s="17">
        <v>-1.0</v>
      </c>
    </row>
    <row r="1269">
      <c r="A1269" s="17">
        <v>7122900.0</v>
      </c>
      <c r="B1269" s="17">
        <v>0.0</v>
      </c>
      <c r="C1269" s="17">
        <v>7.071229E8</v>
      </c>
      <c r="D1269" s="17">
        <v>-1.0</v>
      </c>
      <c r="E1269" s="17">
        <v>-1.0</v>
      </c>
      <c r="F1269" s="17">
        <v>-1.0</v>
      </c>
      <c r="G1269" s="17">
        <v>-1.0</v>
      </c>
      <c r="H1269" s="17">
        <v>-1.0</v>
      </c>
    </row>
    <row r="1270">
      <c r="A1270" s="17">
        <v>7123000.0</v>
      </c>
      <c r="B1270" s="17">
        <v>0.0</v>
      </c>
      <c r="C1270" s="17">
        <v>7.07123E8</v>
      </c>
      <c r="D1270" s="17">
        <v>-1.0</v>
      </c>
      <c r="E1270" s="17">
        <v>-1.0</v>
      </c>
      <c r="F1270" s="17">
        <v>-1.0</v>
      </c>
      <c r="G1270" s="17">
        <v>-1.0</v>
      </c>
      <c r="H1270" s="17">
        <v>-1.0</v>
      </c>
    </row>
    <row r="1271">
      <c r="A1271" s="17">
        <v>7123100.0</v>
      </c>
      <c r="B1271" s="17">
        <v>0.0</v>
      </c>
      <c r="C1271" s="17">
        <v>7.071231E8</v>
      </c>
      <c r="D1271" s="17">
        <v>-1.0</v>
      </c>
      <c r="E1271" s="17">
        <v>-1.0</v>
      </c>
      <c r="F1271" s="17">
        <v>-1.0</v>
      </c>
      <c r="G1271" s="17">
        <v>-1.0</v>
      </c>
      <c r="H1271" s="17">
        <v>-1.0</v>
      </c>
    </row>
    <row r="1272">
      <c r="A1272" s="17">
        <v>7123200.0</v>
      </c>
      <c r="B1272" s="17">
        <v>0.0</v>
      </c>
      <c r="C1272" s="17">
        <v>7.071232E8</v>
      </c>
      <c r="D1272" s="17">
        <v>-1.0</v>
      </c>
      <c r="E1272" s="17">
        <v>-1.0</v>
      </c>
      <c r="F1272" s="17">
        <v>-1.0</v>
      </c>
      <c r="G1272" s="17">
        <v>-1.0</v>
      </c>
      <c r="H1272" s="17">
        <v>-1.0</v>
      </c>
    </row>
    <row r="1273">
      <c r="A1273" s="17">
        <v>7123300.0</v>
      </c>
      <c r="B1273" s="17">
        <v>0.0</v>
      </c>
      <c r="C1273" s="17">
        <v>7.071233E8</v>
      </c>
      <c r="D1273" s="17">
        <v>-1.0</v>
      </c>
      <c r="E1273" s="17">
        <v>-1.0</v>
      </c>
      <c r="F1273" s="17">
        <v>-1.0</v>
      </c>
      <c r="G1273" s="17">
        <v>-1.0</v>
      </c>
      <c r="H1273" s="17">
        <v>-1.0</v>
      </c>
    </row>
    <row r="1274">
      <c r="A1274" s="17">
        <v>7123400.0</v>
      </c>
      <c r="B1274" s="17">
        <v>0.0</v>
      </c>
      <c r="C1274" s="17">
        <v>7.071234E8</v>
      </c>
      <c r="D1274" s="17">
        <v>-1.0</v>
      </c>
      <c r="E1274" s="17">
        <v>-1.0</v>
      </c>
      <c r="F1274" s="17">
        <v>-1.0</v>
      </c>
      <c r="G1274" s="17">
        <v>-1.0</v>
      </c>
      <c r="H1274" s="17">
        <v>-1.0</v>
      </c>
    </row>
    <row r="1275">
      <c r="A1275" s="17">
        <v>7123500.0</v>
      </c>
      <c r="B1275" s="17">
        <v>0.0</v>
      </c>
      <c r="C1275" s="17">
        <v>7.071235E8</v>
      </c>
      <c r="D1275" s="17">
        <v>-1.0</v>
      </c>
      <c r="E1275" s="17">
        <v>-1.0</v>
      </c>
      <c r="F1275" s="17">
        <v>-1.0</v>
      </c>
      <c r="G1275" s="17">
        <v>-1.0</v>
      </c>
      <c r="H1275" s="17">
        <v>-1.0</v>
      </c>
    </row>
    <row r="1276">
      <c r="A1276" s="17">
        <v>7123600.0</v>
      </c>
      <c r="B1276" s="17">
        <v>0.0</v>
      </c>
      <c r="C1276" s="17">
        <v>7.071236E8</v>
      </c>
      <c r="D1276" s="17">
        <v>-1.0</v>
      </c>
      <c r="E1276" s="17">
        <v>-1.0</v>
      </c>
      <c r="F1276" s="17">
        <v>-1.0</v>
      </c>
      <c r="G1276" s="17">
        <v>-1.0</v>
      </c>
      <c r="H1276" s="17">
        <v>-1.0</v>
      </c>
    </row>
    <row r="1277">
      <c r="A1277" s="17">
        <v>7123700.0</v>
      </c>
      <c r="B1277" s="17">
        <v>0.0</v>
      </c>
      <c r="C1277" s="17">
        <v>7.071237E8</v>
      </c>
      <c r="D1277" s="17">
        <v>-1.0</v>
      </c>
      <c r="E1277" s="17">
        <v>-1.0</v>
      </c>
      <c r="F1277" s="17">
        <v>-1.0</v>
      </c>
      <c r="G1277" s="17">
        <v>-1.0</v>
      </c>
      <c r="H1277" s="17">
        <v>-1.0</v>
      </c>
    </row>
    <row r="1278">
      <c r="A1278" s="17">
        <v>7123800.0</v>
      </c>
      <c r="B1278" s="17">
        <v>0.0</v>
      </c>
      <c r="C1278" s="17">
        <v>7.071238E8</v>
      </c>
      <c r="D1278" s="17">
        <v>-1.0</v>
      </c>
      <c r="E1278" s="17">
        <v>-1.0</v>
      </c>
      <c r="F1278" s="17">
        <v>-1.0</v>
      </c>
      <c r="G1278" s="17">
        <v>-1.0</v>
      </c>
      <c r="H1278" s="17">
        <v>-1.0</v>
      </c>
    </row>
    <row r="1279">
      <c r="A1279" s="17">
        <v>7123900.0</v>
      </c>
      <c r="B1279" s="17">
        <v>0.0</v>
      </c>
      <c r="C1279" s="17">
        <v>7.071239E8</v>
      </c>
      <c r="D1279" s="17">
        <v>-1.0</v>
      </c>
      <c r="E1279" s="17">
        <v>-1.0</v>
      </c>
      <c r="F1279" s="17">
        <v>-1.0</v>
      </c>
      <c r="G1279" s="17">
        <v>-1.0</v>
      </c>
      <c r="H1279" s="17">
        <v>-1.0</v>
      </c>
    </row>
    <row r="1280">
      <c r="A1280" s="17">
        <v>7124000.0</v>
      </c>
      <c r="B1280" s="17">
        <v>0.0</v>
      </c>
      <c r="C1280" s="17">
        <v>7.07124E8</v>
      </c>
      <c r="D1280" s="17">
        <v>-1.0</v>
      </c>
      <c r="E1280" s="17">
        <v>-1.0</v>
      </c>
      <c r="F1280" s="17">
        <v>-1.0</v>
      </c>
      <c r="G1280" s="17">
        <v>-1.0</v>
      </c>
      <c r="H1280" s="17">
        <v>-1.0</v>
      </c>
    </row>
    <row r="1281">
      <c r="A1281" s="17">
        <v>7124100.0</v>
      </c>
      <c r="B1281" s="17">
        <v>0.0</v>
      </c>
      <c r="C1281" s="17">
        <v>7.071241E8</v>
      </c>
      <c r="D1281" s="17">
        <v>-1.0</v>
      </c>
      <c r="E1281" s="17">
        <v>-1.0</v>
      </c>
      <c r="F1281" s="17">
        <v>-1.0</v>
      </c>
      <c r="G1281" s="17">
        <v>-1.0</v>
      </c>
      <c r="H1281" s="17">
        <v>-1.0</v>
      </c>
    </row>
    <row r="1282">
      <c r="A1282" s="17">
        <v>7124300.0</v>
      </c>
      <c r="B1282" s="17">
        <v>0.0</v>
      </c>
      <c r="C1282" s="17">
        <v>7.071243E8</v>
      </c>
      <c r="D1282" s="17">
        <v>-1.0</v>
      </c>
      <c r="E1282" s="17">
        <v>-1.0</v>
      </c>
      <c r="F1282" s="17">
        <v>-1.0</v>
      </c>
      <c r="G1282" s="17">
        <v>-1.0</v>
      </c>
      <c r="H1282" s="17">
        <v>-1.0</v>
      </c>
    </row>
    <row r="1283">
      <c r="A1283" s="17">
        <v>7124400.0</v>
      </c>
      <c r="B1283" s="17">
        <v>0.0</v>
      </c>
      <c r="C1283" s="17">
        <v>7.071244E8</v>
      </c>
      <c r="D1283" s="17">
        <v>-1.0</v>
      </c>
      <c r="E1283" s="17">
        <v>-1.0</v>
      </c>
      <c r="F1283" s="17">
        <v>-1.0</v>
      </c>
      <c r="G1283" s="17">
        <v>-1.0</v>
      </c>
      <c r="H1283" s="17">
        <v>-1.0</v>
      </c>
    </row>
    <row r="1284">
      <c r="A1284" s="17">
        <v>7124500.0</v>
      </c>
      <c r="B1284" s="17">
        <v>0.0</v>
      </c>
      <c r="C1284" s="17">
        <v>7.071245E8</v>
      </c>
      <c r="D1284" s="17">
        <v>-1.0</v>
      </c>
      <c r="E1284" s="17">
        <v>-1.0</v>
      </c>
      <c r="F1284" s="17">
        <v>-1.0</v>
      </c>
      <c r="G1284" s="17">
        <v>-1.0</v>
      </c>
      <c r="H1284" s="17">
        <v>-1.0</v>
      </c>
    </row>
    <row r="1285">
      <c r="A1285" s="17">
        <v>7124600.0</v>
      </c>
      <c r="B1285" s="17">
        <v>0.0</v>
      </c>
      <c r="C1285" s="17">
        <v>7.071246E8</v>
      </c>
      <c r="D1285" s="17">
        <v>-1.0</v>
      </c>
      <c r="E1285" s="17">
        <v>-1.0</v>
      </c>
      <c r="F1285" s="17">
        <v>-1.0</v>
      </c>
      <c r="G1285" s="17">
        <v>-1.0</v>
      </c>
      <c r="H1285" s="17">
        <v>-1.0</v>
      </c>
    </row>
    <row r="1286">
      <c r="A1286" s="17">
        <v>7124700.0</v>
      </c>
      <c r="B1286" s="17">
        <v>0.0</v>
      </c>
      <c r="C1286" s="17">
        <v>7.071247E8</v>
      </c>
      <c r="D1286" s="17">
        <v>-1.0</v>
      </c>
      <c r="E1286" s="17">
        <v>-1.0</v>
      </c>
      <c r="F1286" s="17">
        <v>-1.0</v>
      </c>
      <c r="G1286" s="17">
        <v>-1.0</v>
      </c>
      <c r="H1286" s="17">
        <v>-1.0</v>
      </c>
    </row>
    <row r="1287">
      <c r="A1287" s="17">
        <v>7126000.0</v>
      </c>
      <c r="B1287" s="17">
        <v>0.0</v>
      </c>
      <c r="C1287" s="17">
        <v>7.07126E8</v>
      </c>
      <c r="D1287" s="17">
        <v>-1.0</v>
      </c>
      <c r="E1287" s="17">
        <v>-1.0</v>
      </c>
      <c r="F1287" s="17">
        <v>-1.0</v>
      </c>
      <c r="G1287" s="17">
        <v>-1.0</v>
      </c>
      <c r="H1287" s="17">
        <v>-1.0</v>
      </c>
    </row>
    <row r="1288">
      <c r="A1288" s="17">
        <v>7150000.0</v>
      </c>
      <c r="B1288" s="17">
        <v>0.0</v>
      </c>
      <c r="C1288" s="17">
        <v>7.0715E8</v>
      </c>
      <c r="D1288" s="17">
        <v>-1.0</v>
      </c>
      <c r="E1288" s="17">
        <v>-1.0</v>
      </c>
      <c r="F1288" s="17">
        <v>-1.0</v>
      </c>
      <c r="G1288" s="17">
        <v>-1.0</v>
      </c>
      <c r="H1288" s="17">
        <v>-1.0</v>
      </c>
    </row>
    <row r="1289">
      <c r="A1289" s="17">
        <v>7160000.0</v>
      </c>
      <c r="B1289" s="17">
        <v>0.0</v>
      </c>
      <c r="C1289" s="17">
        <v>7.0716E8</v>
      </c>
      <c r="D1289" s="17">
        <v>-1.0</v>
      </c>
      <c r="E1289" s="17">
        <v>-1.0</v>
      </c>
      <c r="F1289" s="17">
        <v>-1.0</v>
      </c>
      <c r="G1289" s="17">
        <v>-1.0</v>
      </c>
      <c r="H1289" s="17">
        <v>-1.0</v>
      </c>
    </row>
    <row r="1290">
      <c r="A1290" s="17">
        <v>7220000.0</v>
      </c>
      <c r="B1290" s="17">
        <v>0.0</v>
      </c>
      <c r="C1290" s="17">
        <v>7.0722E8</v>
      </c>
      <c r="D1290" s="17">
        <v>-1.0</v>
      </c>
      <c r="E1290" s="17">
        <v>-1.0</v>
      </c>
      <c r="F1290" s="17">
        <v>-1.0</v>
      </c>
      <c r="G1290" s="17">
        <v>-1.0</v>
      </c>
      <c r="H1290" s="17">
        <v>-1.0</v>
      </c>
    </row>
    <row r="1291">
      <c r="A1291" s="17">
        <v>7230000.0</v>
      </c>
      <c r="B1291" s="17">
        <v>0.0</v>
      </c>
      <c r="C1291" s="17">
        <v>7.0723E8</v>
      </c>
      <c r="D1291" s="17">
        <v>-1.0</v>
      </c>
      <c r="E1291" s="17">
        <v>-1.0</v>
      </c>
      <c r="F1291" s="17">
        <v>-1.0</v>
      </c>
      <c r="G1291" s="17">
        <v>-1.0</v>
      </c>
      <c r="H1291" s="17">
        <v>-1.0</v>
      </c>
    </row>
    <row r="1292">
      <c r="A1292" s="17">
        <v>7230001.0</v>
      </c>
      <c r="B1292" s="17">
        <v>0.0</v>
      </c>
      <c r="C1292" s="17">
        <v>7.07230001E8</v>
      </c>
      <c r="D1292" s="17">
        <v>-1.0</v>
      </c>
      <c r="E1292" s="17">
        <v>-1.0</v>
      </c>
      <c r="F1292" s="17">
        <v>-1.0</v>
      </c>
      <c r="G1292" s="17">
        <v>-1.0</v>
      </c>
      <c r="H1292" s="17">
        <v>-1.0</v>
      </c>
    </row>
    <row r="1293">
      <c r="A1293" s="17">
        <v>7240000.0</v>
      </c>
      <c r="B1293" s="17">
        <v>0.0</v>
      </c>
      <c r="C1293" s="17">
        <v>7.0724E8</v>
      </c>
      <c r="D1293" s="17">
        <v>-1.0</v>
      </c>
      <c r="E1293" s="17">
        <v>-1.0</v>
      </c>
      <c r="F1293" s="17">
        <v>-1.0</v>
      </c>
      <c r="G1293" s="17">
        <v>-1.0</v>
      </c>
      <c r="H1293" s="17">
        <v>-1.0</v>
      </c>
    </row>
    <row r="1294">
      <c r="A1294" s="17">
        <v>7260000.0</v>
      </c>
      <c r="B1294" s="17">
        <v>0.0</v>
      </c>
      <c r="C1294" s="17">
        <v>7.0726E8</v>
      </c>
      <c r="D1294" s="17">
        <v>-1.0</v>
      </c>
      <c r="E1294" s="17">
        <v>-1.0</v>
      </c>
      <c r="F1294" s="17">
        <v>-1.0</v>
      </c>
      <c r="G1294" s="17">
        <v>-1.0</v>
      </c>
      <c r="H1294" s="17">
        <v>-1.0</v>
      </c>
    </row>
    <row r="1295">
      <c r="A1295" s="17">
        <v>7260300.0</v>
      </c>
      <c r="B1295" s="17">
        <v>0.0</v>
      </c>
      <c r="C1295" s="17">
        <v>7.072603E8</v>
      </c>
      <c r="D1295" s="17">
        <v>-1.0</v>
      </c>
      <c r="E1295" s="17">
        <v>-1.0</v>
      </c>
      <c r="F1295" s="17">
        <v>-1.0</v>
      </c>
      <c r="G1295" s="17">
        <v>-1.0</v>
      </c>
      <c r="H1295" s="17">
        <v>-1.0</v>
      </c>
    </row>
    <row r="1296">
      <c r="A1296" s="17">
        <v>7260400.0</v>
      </c>
      <c r="B1296" s="17">
        <v>0.0</v>
      </c>
      <c r="C1296" s="17">
        <v>7.072604E8</v>
      </c>
      <c r="D1296" s="17">
        <v>-1.0</v>
      </c>
      <c r="E1296" s="17">
        <v>-1.0</v>
      </c>
      <c r="F1296" s="17">
        <v>-1.0</v>
      </c>
      <c r="G1296" s="17">
        <v>-1.0</v>
      </c>
      <c r="H1296" s="17">
        <v>-1.0</v>
      </c>
    </row>
    <row r="1297">
      <c r="A1297" s="17">
        <v>7260700.0</v>
      </c>
      <c r="B1297" s="17">
        <v>0.0</v>
      </c>
      <c r="C1297" s="17">
        <v>7.072607E8</v>
      </c>
      <c r="D1297" s="17">
        <v>-1.0</v>
      </c>
      <c r="E1297" s="17">
        <v>-1.0</v>
      </c>
      <c r="F1297" s="17">
        <v>-1.0</v>
      </c>
      <c r="G1297" s="17">
        <v>-1.0</v>
      </c>
      <c r="H1297" s="17">
        <v>-1.0</v>
      </c>
    </row>
    <row r="1298">
      <c r="A1298" s="17">
        <v>7260800.0</v>
      </c>
      <c r="B1298" s="17">
        <v>0.0</v>
      </c>
      <c r="C1298" s="17">
        <v>7.072608E8</v>
      </c>
      <c r="D1298" s="17">
        <v>-1.0</v>
      </c>
      <c r="E1298" s="17">
        <v>-1.0</v>
      </c>
      <c r="F1298" s="17">
        <v>-1.0</v>
      </c>
      <c r="G1298" s="17">
        <v>-1.0</v>
      </c>
      <c r="H1298" s="17">
        <v>-1.0</v>
      </c>
    </row>
    <row r="1299">
      <c r="A1299" s="17">
        <v>7260900.0</v>
      </c>
      <c r="B1299" s="17">
        <v>0.0</v>
      </c>
      <c r="C1299" s="17">
        <v>7.072609E8</v>
      </c>
      <c r="D1299" s="17">
        <v>-1.0</v>
      </c>
      <c r="E1299" s="17">
        <v>-1.0</v>
      </c>
      <c r="F1299" s="17">
        <v>-1.0</v>
      </c>
      <c r="G1299" s="17">
        <v>-1.0</v>
      </c>
      <c r="H1299" s="17">
        <v>-1.0</v>
      </c>
    </row>
    <row r="1300">
      <c r="A1300" s="17">
        <v>7270100.0</v>
      </c>
      <c r="B1300" s="17">
        <v>0.0</v>
      </c>
      <c r="C1300" s="17">
        <v>7.072701E8</v>
      </c>
      <c r="D1300" s="17">
        <v>-1.0</v>
      </c>
      <c r="E1300" s="17">
        <v>-1.0</v>
      </c>
      <c r="F1300" s="17">
        <v>-1.0</v>
      </c>
      <c r="G1300" s="17">
        <v>-1.0</v>
      </c>
      <c r="H1300" s="17">
        <v>-1.0</v>
      </c>
    </row>
    <row r="1301">
      <c r="A1301" s="17">
        <v>7280000.0</v>
      </c>
      <c r="B1301" s="17">
        <v>0.0</v>
      </c>
      <c r="C1301" s="17">
        <v>7.0728E8</v>
      </c>
      <c r="D1301" s="17">
        <v>-1.0</v>
      </c>
      <c r="E1301" s="17">
        <v>-1.0</v>
      </c>
      <c r="F1301" s="17">
        <v>-1.0</v>
      </c>
      <c r="G1301" s="17">
        <v>-1.0</v>
      </c>
      <c r="H1301" s="17">
        <v>-1.0</v>
      </c>
    </row>
    <row r="1302">
      <c r="A1302" s="17">
        <v>7290000.0</v>
      </c>
      <c r="B1302" s="17">
        <v>0.0</v>
      </c>
      <c r="C1302" s="17">
        <v>7.0729E8</v>
      </c>
      <c r="D1302" s="17">
        <v>-1.0</v>
      </c>
      <c r="E1302" s="17">
        <v>-1.0</v>
      </c>
      <c r="F1302" s="17">
        <v>-1.0</v>
      </c>
      <c r="G1302" s="17">
        <v>-1.0</v>
      </c>
      <c r="H1302" s="17">
        <v>-1.0</v>
      </c>
    </row>
    <row r="1303">
      <c r="A1303" s="17">
        <v>7310000.0</v>
      </c>
      <c r="B1303" s="17">
        <v>0.0</v>
      </c>
      <c r="C1303" s="17">
        <v>7.0731E8</v>
      </c>
      <c r="D1303" s="17">
        <v>-1.0</v>
      </c>
      <c r="E1303" s="17">
        <v>-1.0</v>
      </c>
      <c r="F1303" s="17">
        <v>-1.0</v>
      </c>
      <c r="G1303" s="17">
        <v>-1.0</v>
      </c>
      <c r="H1303" s="17">
        <v>-1.0</v>
      </c>
    </row>
    <row r="1304">
      <c r="A1304" s="17">
        <v>7330000.0</v>
      </c>
      <c r="B1304" s="17">
        <v>0.0</v>
      </c>
      <c r="C1304" s="17">
        <v>7.0733E8</v>
      </c>
      <c r="D1304" s="17">
        <v>-1.0</v>
      </c>
      <c r="E1304" s="17">
        <v>-1.0</v>
      </c>
      <c r="F1304" s="17">
        <v>-1.0</v>
      </c>
      <c r="G1304" s="17">
        <v>-1.0</v>
      </c>
      <c r="H1304" s="17">
        <v>-1.0</v>
      </c>
    </row>
    <row r="1305">
      <c r="A1305" s="17">
        <v>7330100.0</v>
      </c>
      <c r="B1305" s="17">
        <v>0.0</v>
      </c>
      <c r="C1305" s="17">
        <v>7.073301E8</v>
      </c>
      <c r="D1305" s="17">
        <v>-1.0</v>
      </c>
      <c r="E1305" s="17">
        <v>-1.0</v>
      </c>
      <c r="F1305" s="17">
        <v>-1.0</v>
      </c>
      <c r="G1305" s="17">
        <v>-1.0</v>
      </c>
      <c r="H1305" s="17">
        <v>-1.0</v>
      </c>
    </row>
    <row r="1306">
      <c r="A1306" s="17">
        <v>7330200.0</v>
      </c>
      <c r="B1306" s="17">
        <v>0.0</v>
      </c>
      <c r="C1306" s="17">
        <v>7.073302E8</v>
      </c>
      <c r="D1306" s="17">
        <v>-1.0</v>
      </c>
      <c r="E1306" s="17">
        <v>-1.0</v>
      </c>
      <c r="F1306" s="17">
        <v>-1.0</v>
      </c>
      <c r="G1306" s="17">
        <v>-1.0</v>
      </c>
      <c r="H1306" s="17">
        <v>-1.0</v>
      </c>
    </row>
    <row r="1307">
      <c r="A1307" s="17">
        <v>7330300.0</v>
      </c>
      <c r="B1307" s="17">
        <v>0.0</v>
      </c>
      <c r="C1307" s="17">
        <v>7.073303E8</v>
      </c>
      <c r="D1307" s="17">
        <v>-1.0</v>
      </c>
      <c r="E1307" s="17">
        <v>-1.0</v>
      </c>
      <c r="F1307" s="17">
        <v>-1.0</v>
      </c>
      <c r="G1307" s="17">
        <v>-1.0</v>
      </c>
      <c r="H1307" s="17">
        <v>-1.0</v>
      </c>
    </row>
    <row r="1308">
      <c r="A1308" s="17">
        <v>7330400.0</v>
      </c>
      <c r="B1308" s="17">
        <v>0.0</v>
      </c>
      <c r="C1308" s="17">
        <v>7.073304E8</v>
      </c>
      <c r="D1308" s="17">
        <v>-1.0</v>
      </c>
      <c r="E1308" s="17">
        <v>-1.0</v>
      </c>
      <c r="F1308" s="17">
        <v>-1.0</v>
      </c>
      <c r="G1308" s="17">
        <v>-1.0</v>
      </c>
      <c r="H1308" s="17">
        <v>-1.0</v>
      </c>
    </row>
    <row r="1309">
      <c r="A1309" s="17">
        <v>7330500.0</v>
      </c>
      <c r="B1309" s="17">
        <v>0.0</v>
      </c>
      <c r="C1309" s="17">
        <v>7.073305E8</v>
      </c>
      <c r="D1309" s="17">
        <v>-1.0</v>
      </c>
      <c r="E1309" s="17">
        <v>-1.0</v>
      </c>
      <c r="F1309" s="17">
        <v>-1.0</v>
      </c>
      <c r="G1309" s="17">
        <v>-1.0</v>
      </c>
      <c r="H1309" s="17">
        <v>-1.0</v>
      </c>
    </row>
    <row r="1310">
      <c r="A1310" s="17">
        <v>7330600.0</v>
      </c>
      <c r="B1310" s="17">
        <v>0.0</v>
      </c>
      <c r="C1310" s="17">
        <v>7.073306E8</v>
      </c>
      <c r="D1310" s="17">
        <v>-1.0</v>
      </c>
      <c r="E1310" s="17">
        <v>-1.0</v>
      </c>
      <c r="F1310" s="17">
        <v>-1.0</v>
      </c>
      <c r="G1310" s="17">
        <v>-1.0</v>
      </c>
      <c r="H1310" s="17">
        <v>-1.0</v>
      </c>
    </row>
    <row r="1311">
      <c r="A1311" s="17">
        <v>7330700.0</v>
      </c>
      <c r="B1311" s="17">
        <v>0.0</v>
      </c>
      <c r="C1311" s="17">
        <v>7.073307E8</v>
      </c>
      <c r="D1311" s="17">
        <v>-1.0</v>
      </c>
      <c r="E1311" s="17">
        <v>-1.0</v>
      </c>
      <c r="F1311" s="17">
        <v>-1.0</v>
      </c>
      <c r="G1311" s="17">
        <v>-1.0</v>
      </c>
      <c r="H1311" s="17">
        <v>-1.0</v>
      </c>
    </row>
    <row r="1312">
      <c r="A1312" s="17">
        <v>7330800.0</v>
      </c>
      <c r="B1312" s="17">
        <v>0.0</v>
      </c>
      <c r="C1312" s="17">
        <v>7.073308E8</v>
      </c>
      <c r="D1312" s="17">
        <v>-1.0</v>
      </c>
      <c r="E1312" s="17">
        <v>-1.0</v>
      </c>
      <c r="F1312" s="17">
        <v>-1.0</v>
      </c>
      <c r="G1312" s="17">
        <v>-1.0</v>
      </c>
      <c r="H1312" s="17">
        <v>-1.0</v>
      </c>
    </row>
    <row r="1313">
      <c r="A1313" s="17">
        <v>7330900.0</v>
      </c>
      <c r="B1313" s="17">
        <v>0.0</v>
      </c>
      <c r="C1313" s="17">
        <v>7.073309E8</v>
      </c>
      <c r="D1313" s="17">
        <v>-1.0</v>
      </c>
      <c r="E1313" s="17">
        <v>-1.0</v>
      </c>
      <c r="F1313" s="17">
        <v>-1.0</v>
      </c>
      <c r="G1313" s="17">
        <v>-1.0</v>
      </c>
      <c r="H1313" s="17">
        <v>-1.0</v>
      </c>
    </row>
    <row r="1314">
      <c r="A1314" s="17">
        <v>7331000.0</v>
      </c>
      <c r="B1314" s="17">
        <v>0.0</v>
      </c>
      <c r="C1314" s="17">
        <v>7.07331E8</v>
      </c>
      <c r="D1314" s="17">
        <v>-1.0</v>
      </c>
      <c r="E1314" s="17">
        <v>-1.0</v>
      </c>
      <c r="F1314" s="17">
        <v>-1.0</v>
      </c>
      <c r="G1314" s="17">
        <v>-1.0</v>
      </c>
      <c r="H1314" s="17">
        <v>-1.0</v>
      </c>
    </row>
    <row r="1315">
      <c r="A1315" s="17">
        <v>7331100.0</v>
      </c>
      <c r="B1315" s="17">
        <v>0.0</v>
      </c>
      <c r="C1315" s="17">
        <v>7.073311E8</v>
      </c>
      <c r="D1315" s="17">
        <v>-1.0</v>
      </c>
      <c r="E1315" s="17">
        <v>-1.0</v>
      </c>
      <c r="F1315" s="17">
        <v>-1.0</v>
      </c>
      <c r="G1315" s="17">
        <v>-1.0</v>
      </c>
      <c r="H1315" s="17">
        <v>-1.0</v>
      </c>
    </row>
    <row r="1316">
      <c r="A1316" s="17">
        <v>7331200.0</v>
      </c>
      <c r="B1316" s="17">
        <v>0.0</v>
      </c>
      <c r="C1316" s="17">
        <v>7.073312E8</v>
      </c>
      <c r="D1316" s="17">
        <v>-1.0</v>
      </c>
      <c r="E1316" s="17">
        <v>-1.0</v>
      </c>
      <c r="F1316" s="17">
        <v>-1.0</v>
      </c>
      <c r="G1316" s="17">
        <v>-1.0</v>
      </c>
      <c r="H1316" s="17">
        <v>-1.0</v>
      </c>
    </row>
    <row r="1317">
      <c r="A1317" s="17">
        <v>7331300.0</v>
      </c>
      <c r="B1317" s="17">
        <v>0.0</v>
      </c>
      <c r="C1317" s="17">
        <v>7.073313E8</v>
      </c>
      <c r="D1317" s="17">
        <v>-1.0</v>
      </c>
      <c r="E1317" s="17">
        <v>-1.0</v>
      </c>
      <c r="F1317" s="17">
        <v>-1.0</v>
      </c>
      <c r="G1317" s="17">
        <v>-1.0</v>
      </c>
      <c r="H1317" s="17">
        <v>-1.0</v>
      </c>
    </row>
    <row r="1318">
      <c r="A1318" s="17">
        <v>7331400.0</v>
      </c>
      <c r="B1318" s="17">
        <v>0.0</v>
      </c>
      <c r="C1318" s="17">
        <v>7.073314E8</v>
      </c>
      <c r="D1318" s="17">
        <v>-1.0</v>
      </c>
      <c r="E1318" s="17">
        <v>-1.0</v>
      </c>
      <c r="F1318" s="17">
        <v>-1.0</v>
      </c>
      <c r="G1318" s="17">
        <v>-1.0</v>
      </c>
      <c r="H1318" s="17">
        <v>-1.0</v>
      </c>
    </row>
    <row r="1319">
      <c r="A1319" s="17">
        <v>7331500.0</v>
      </c>
      <c r="B1319" s="17">
        <v>0.0</v>
      </c>
      <c r="C1319" s="17">
        <v>7.073315E8</v>
      </c>
      <c r="D1319" s="17">
        <v>-1.0</v>
      </c>
      <c r="E1319" s="17">
        <v>-1.0</v>
      </c>
      <c r="F1319" s="17">
        <v>-1.0</v>
      </c>
      <c r="G1319" s="17">
        <v>-1.0</v>
      </c>
      <c r="H1319" s="17">
        <v>-1.0</v>
      </c>
    </row>
    <row r="1320">
      <c r="A1320" s="17">
        <v>7331700.0</v>
      </c>
      <c r="B1320" s="17">
        <v>0.0</v>
      </c>
      <c r="C1320" s="17">
        <v>7.073317E8</v>
      </c>
      <c r="D1320" s="17">
        <v>-1.0</v>
      </c>
      <c r="E1320" s="17">
        <v>-1.0</v>
      </c>
      <c r="F1320" s="17">
        <v>-1.0</v>
      </c>
      <c r="G1320" s="17">
        <v>-1.0</v>
      </c>
      <c r="H1320" s="17">
        <v>-1.0</v>
      </c>
    </row>
    <row r="1321">
      <c r="A1321" s="17">
        <v>7331800.0</v>
      </c>
      <c r="B1321" s="17">
        <v>0.0</v>
      </c>
      <c r="C1321" s="17">
        <v>7.073318E8</v>
      </c>
      <c r="D1321" s="17">
        <v>-1.0</v>
      </c>
      <c r="E1321" s="17">
        <v>-1.0</v>
      </c>
      <c r="F1321" s="17">
        <v>-1.0</v>
      </c>
      <c r="G1321" s="17">
        <v>-1.0</v>
      </c>
      <c r="H1321" s="17">
        <v>-1.0</v>
      </c>
    </row>
    <row r="1322">
      <c r="A1322" s="17">
        <v>7331900.0</v>
      </c>
      <c r="B1322" s="17">
        <v>0.0</v>
      </c>
      <c r="C1322" s="17">
        <v>7.073319E8</v>
      </c>
      <c r="D1322" s="17">
        <v>-1.0</v>
      </c>
      <c r="E1322" s="17">
        <v>-1.0</v>
      </c>
      <c r="F1322" s="17">
        <v>-1.0</v>
      </c>
      <c r="G1322" s="17">
        <v>-1.0</v>
      </c>
      <c r="H1322" s="17">
        <v>-1.0</v>
      </c>
    </row>
    <row r="1323">
      <c r="A1323" s="17">
        <v>7332000.0</v>
      </c>
      <c r="B1323" s="17">
        <v>0.0</v>
      </c>
      <c r="C1323" s="17">
        <v>7.07332E8</v>
      </c>
      <c r="D1323" s="17">
        <v>-1.0</v>
      </c>
      <c r="E1323" s="17">
        <v>-1.0</v>
      </c>
      <c r="F1323" s="17">
        <v>-1.0</v>
      </c>
      <c r="G1323" s="17">
        <v>-1.0</v>
      </c>
      <c r="H1323" s="17">
        <v>-1.0</v>
      </c>
    </row>
    <row r="1324">
      <c r="A1324" s="17">
        <v>7332100.0</v>
      </c>
      <c r="B1324" s="17">
        <v>0.0</v>
      </c>
      <c r="C1324" s="17">
        <v>7.073321E8</v>
      </c>
      <c r="D1324" s="17">
        <v>-1.0</v>
      </c>
      <c r="E1324" s="17">
        <v>-1.0</v>
      </c>
      <c r="F1324" s="17">
        <v>-1.0</v>
      </c>
      <c r="G1324" s="17">
        <v>-1.0</v>
      </c>
      <c r="H1324" s="17">
        <v>-1.0</v>
      </c>
    </row>
    <row r="1325">
      <c r="A1325" s="17">
        <v>7332200.0</v>
      </c>
      <c r="B1325" s="17">
        <v>0.0</v>
      </c>
      <c r="C1325" s="17">
        <v>7.073322E8</v>
      </c>
      <c r="D1325" s="17">
        <v>-1.0</v>
      </c>
      <c r="E1325" s="17">
        <v>-1.0</v>
      </c>
      <c r="F1325" s="17">
        <v>-1.0</v>
      </c>
      <c r="G1325" s="17">
        <v>-1.0</v>
      </c>
      <c r="H1325" s="17">
        <v>-1.0</v>
      </c>
    </row>
    <row r="1326">
      <c r="A1326" s="17">
        <v>7332300.0</v>
      </c>
      <c r="B1326" s="17">
        <v>0.0</v>
      </c>
      <c r="C1326" s="17">
        <v>7.073323E8</v>
      </c>
      <c r="D1326" s="17">
        <v>-1.0</v>
      </c>
      <c r="E1326" s="17">
        <v>-1.0</v>
      </c>
      <c r="F1326" s="17">
        <v>-1.0</v>
      </c>
      <c r="G1326" s="17">
        <v>-1.0</v>
      </c>
      <c r="H1326" s="17">
        <v>-1.0</v>
      </c>
    </row>
    <row r="1327">
      <c r="A1327" s="17">
        <v>7332400.0</v>
      </c>
      <c r="B1327" s="17">
        <v>0.0</v>
      </c>
      <c r="C1327" s="17">
        <v>7.073324E8</v>
      </c>
      <c r="D1327" s="17">
        <v>-1.0</v>
      </c>
      <c r="E1327" s="17">
        <v>-1.0</v>
      </c>
      <c r="F1327" s="17">
        <v>-1.0</v>
      </c>
      <c r="G1327" s="17">
        <v>-1.0</v>
      </c>
      <c r="H1327" s="17">
        <v>-1.0</v>
      </c>
    </row>
    <row r="1328">
      <c r="A1328" s="17">
        <v>7340000.0</v>
      </c>
      <c r="B1328" s="17">
        <v>0.0</v>
      </c>
      <c r="C1328" s="17">
        <v>7.0734E8</v>
      </c>
      <c r="D1328" s="17">
        <v>-1.0</v>
      </c>
      <c r="E1328" s="17">
        <v>-1.0</v>
      </c>
      <c r="F1328" s="17">
        <v>-1.0</v>
      </c>
      <c r="G1328" s="17">
        <v>-1.0</v>
      </c>
      <c r="H1328" s="17">
        <v>-1.0</v>
      </c>
    </row>
    <row r="1329">
      <c r="A1329" s="17">
        <v>7340100.0</v>
      </c>
      <c r="B1329" s="17">
        <v>0.0</v>
      </c>
      <c r="C1329" s="17">
        <v>7.073401E8</v>
      </c>
      <c r="D1329" s="17">
        <v>-1.0</v>
      </c>
      <c r="E1329" s="17">
        <v>-1.0</v>
      </c>
      <c r="F1329" s="17">
        <v>-1.0</v>
      </c>
      <c r="G1329" s="17">
        <v>-1.0</v>
      </c>
      <c r="H1329" s="17">
        <v>-1.0</v>
      </c>
    </row>
    <row r="1330">
      <c r="A1330" s="17">
        <v>7340200.0</v>
      </c>
      <c r="B1330" s="17">
        <v>0.0</v>
      </c>
      <c r="C1330" s="17">
        <v>7.073402E8</v>
      </c>
      <c r="D1330" s="17">
        <v>-1.0</v>
      </c>
      <c r="E1330" s="17">
        <v>-1.0</v>
      </c>
      <c r="F1330" s="17">
        <v>-1.0</v>
      </c>
      <c r="G1330" s="17">
        <v>-1.0</v>
      </c>
      <c r="H1330" s="17">
        <v>-1.0</v>
      </c>
    </row>
    <row r="1331">
      <c r="A1331" s="17">
        <v>7340300.0</v>
      </c>
      <c r="B1331" s="17">
        <v>0.0</v>
      </c>
      <c r="C1331" s="17">
        <v>7.073403E8</v>
      </c>
      <c r="D1331" s="17">
        <v>-1.0</v>
      </c>
      <c r="E1331" s="17">
        <v>-1.0</v>
      </c>
      <c r="F1331" s="17">
        <v>-1.0</v>
      </c>
      <c r="G1331" s="17">
        <v>-1.0</v>
      </c>
      <c r="H1331" s="17">
        <v>-1.0</v>
      </c>
    </row>
    <row r="1332">
      <c r="A1332" s="17">
        <v>7340400.0</v>
      </c>
      <c r="B1332" s="17">
        <v>0.0</v>
      </c>
      <c r="C1332" s="17">
        <v>7.073404E8</v>
      </c>
      <c r="D1332" s="17">
        <v>-1.0</v>
      </c>
      <c r="E1332" s="17">
        <v>-1.0</v>
      </c>
      <c r="F1332" s="17">
        <v>-1.0</v>
      </c>
      <c r="G1332" s="17">
        <v>-1.0</v>
      </c>
      <c r="H1332" s="17">
        <v>-1.0</v>
      </c>
    </row>
    <row r="1333">
      <c r="A1333" s="17">
        <v>7340500.0</v>
      </c>
      <c r="B1333" s="17">
        <v>0.0</v>
      </c>
      <c r="C1333" s="17">
        <v>7.073405E8</v>
      </c>
      <c r="D1333" s="17">
        <v>-1.0</v>
      </c>
      <c r="E1333" s="17">
        <v>-1.0</v>
      </c>
      <c r="F1333" s="17">
        <v>-1.0</v>
      </c>
      <c r="G1333" s="17">
        <v>-1.0</v>
      </c>
      <c r="H1333" s="17">
        <v>-1.0</v>
      </c>
    </row>
    <row r="1334">
      <c r="A1334" s="17">
        <v>7340600.0</v>
      </c>
      <c r="B1334" s="17">
        <v>0.0</v>
      </c>
      <c r="C1334" s="17">
        <v>7.073406E8</v>
      </c>
      <c r="D1334" s="17">
        <v>-1.0</v>
      </c>
      <c r="E1334" s="17">
        <v>-1.0</v>
      </c>
      <c r="F1334" s="17">
        <v>-1.0</v>
      </c>
      <c r="G1334" s="17">
        <v>-1.0</v>
      </c>
      <c r="H1334" s="17">
        <v>-1.0</v>
      </c>
    </row>
    <row r="1335">
      <c r="A1335" s="17">
        <v>7340700.0</v>
      </c>
      <c r="B1335" s="17">
        <v>0.0</v>
      </c>
      <c r="C1335" s="17">
        <v>7.073407E8</v>
      </c>
      <c r="D1335" s="17">
        <v>-1.0</v>
      </c>
      <c r="E1335" s="17">
        <v>-1.0</v>
      </c>
      <c r="F1335" s="17">
        <v>-1.0</v>
      </c>
      <c r="G1335" s="17">
        <v>-1.0</v>
      </c>
      <c r="H1335" s="17">
        <v>-1.0</v>
      </c>
    </row>
    <row r="1336">
      <c r="A1336" s="17">
        <v>7340800.0</v>
      </c>
      <c r="B1336" s="17">
        <v>0.0</v>
      </c>
      <c r="C1336" s="17">
        <v>7.073408E8</v>
      </c>
      <c r="D1336" s="17">
        <v>-1.0</v>
      </c>
      <c r="E1336" s="17">
        <v>-1.0</v>
      </c>
      <c r="F1336" s="17">
        <v>-1.0</v>
      </c>
      <c r="G1336" s="17">
        <v>-1.0</v>
      </c>
      <c r="H1336" s="17">
        <v>-1.0</v>
      </c>
    </row>
    <row r="1337">
      <c r="A1337" s="17">
        <v>7340900.0</v>
      </c>
      <c r="B1337" s="17">
        <v>0.0</v>
      </c>
      <c r="C1337" s="17">
        <v>7.073409E8</v>
      </c>
      <c r="D1337" s="17">
        <v>-1.0</v>
      </c>
      <c r="E1337" s="17">
        <v>-1.0</v>
      </c>
      <c r="F1337" s="17">
        <v>-1.0</v>
      </c>
      <c r="G1337" s="17">
        <v>-1.0</v>
      </c>
      <c r="H1337" s="17">
        <v>-1.0</v>
      </c>
    </row>
    <row r="1338">
      <c r="A1338" s="17">
        <v>7341000.0</v>
      </c>
      <c r="B1338" s="17">
        <v>0.0</v>
      </c>
      <c r="C1338" s="17">
        <v>7.07341E8</v>
      </c>
      <c r="D1338" s="17">
        <v>-1.0</v>
      </c>
      <c r="E1338" s="17">
        <v>-1.0</v>
      </c>
      <c r="F1338" s="17">
        <v>-1.0</v>
      </c>
      <c r="G1338" s="17">
        <v>-1.0</v>
      </c>
      <c r="H1338" s="17">
        <v>-1.0</v>
      </c>
    </row>
    <row r="1339">
      <c r="A1339" s="17">
        <v>7341100.0</v>
      </c>
      <c r="B1339" s="17">
        <v>0.0</v>
      </c>
      <c r="C1339" s="17">
        <v>7.073411E8</v>
      </c>
      <c r="D1339" s="17">
        <v>-1.0</v>
      </c>
      <c r="E1339" s="17">
        <v>-1.0</v>
      </c>
      <c r="F1339" s="17">
        <v>-1.0</v>
      </c>
      <c r="G1339" s="17">
        <v>-1.0</v>
      </c>
      <c r="H1339" s="17">
        <v>-1.0</v>
      </c>
    </row>
    <row r="1340">
      <c r="A1340" s="17">
        <v>7341200.0</v>
      </c>
      <c r="B1340" s="17">
        <v>0.0</v>
      </c>
      <c r="C1340" s="17">
        <v>7.073412E8</v>
      </c>
      <c r="D1340" s="17">
        <v>-1.0</v>
      </c>
      <c r="E1340" s="17">
        <v>-1.0</v>
      </c>
      <c r="F1340" s="17">
        <v>-1.0</v>
      </c>
      <c r="G1340" s="17">
        <v>-1.0</v>
      </c>
      <c r="H1340" s="17">
        <v>-1.0</v>
      </c>
    </row>
    <row r="1341">
      <c r="A1341" s="17">
        <v>7341300.0</v>
      </c>
      <c r="B1341" s="17">
        <v>0.0</v>
      </c>
      <c r="C1341" s="17">
        <v>7.073413E8</v>
      </c>
      <c r="D1341" s="17">
        <v>-1.0</v>
      </c>
      <c r="E1341" s="17">
        <v>-1.0</v>
      </c>
      <c r="F1341" s="17">
        <v>-1.0</v>
      </c>
      <c r="G1341" s="17">
        <v>-1.0</v>
      </c>
      <c r="H1341" s="17">
        <v>-1.0</v>
      </c>
    </row>
    <row r="1342">
      <c r="A1342" s="17">
        <v>7341400.0</v>
      </c>
      <c r="B1342" s="17">
        <v>0.0</v>
      </c>
      <c r="C1342" s="17">
        <v>7.073414E8</v>
      </c>
      <c r="D1342" s="17">
        <v>-1.0</v>
      </c>
      <c r="E1342" s="17">
        <v>-1.0</v>
      </c>
      <c r="F1342" s="17">
        <v>-1.0</v>
      </c>
      <c r="G1342" s="17">
        <v>-1.0</v>
      </c>
      <c r="H1342" s="17">
        <v>-1.0</v>
      </c>
    </row>
    <row r="1343">
      <c r="A1343" s="17">
        <v>7341500.0</v>
      </c>
      <c r="B1343" s="17">
        <v>0.0</v>
      </c>
      <c r="C1343" s="17">
        <v>7.073415E8</v>
      </c>
      <c r="D1343" s="17">
        <v>-1.0</v>
      </c>
      <c r="E1343" s="17">
        <v>-1.0</v>
      </c>
      <c r="F1343" s="17">
        <v>-1.0</v>
      </c>
      <c r="G1343" s="17">
        <v>-1.0</v>
      </c>
      <c r="H1343" s="17">
        <v>-1.0</v>
      </c>
    </row>
    <row r="1344">
      <c r="A1344" s="17">
        <v>7341700.0</v>
      </c>
      <c r="B1344" s="17">
        <v>0.0</v>
      </c>
      <c r="C1344" s="17">
        <v>7.073417E8</v>
      </c>
      <c r="D1344" s="17">
        <v>-1.0</v>
      </c>
      <c r="E1344" s="17">
        <v>-1.0</v>
      </c>
      <c r="F1344" s="17">
        <v>-1.0</v>
      </c>
      <c r="G1344" s="17">
        <v>-1.0</v>
      </c>
      <c r="H1344" s="17">
        <v>-1.0</v>
      </c>
    </row>
    <row r="1345">
      <c r="A1345" s="17">
        <v>7341800.0</v>
      </c>
      <c r="B1345" s="17">
        <v>0.0</v>
      </c>
      <c r="C1345" s="17">
        <v>7.073418E8</v>
      </c>
      <c r="D1345" s="17">
        <v>-1.0</v>
      </c>
      <c r="E1345" s="17">
        <v>-1.0</v>
      </c>
      <c r="F1345" s="17">
        <v>-1.0</v>
      </c>
      <c r="G1345" s="17">
        <v>-1.0</v>
      </c>
      <c r="H1345" s="17">
        <v>-1.0</v>
      </c>
    </row>
    <row r="1346">
      <c r="A1346" s="17">
        <v>7341900.0</v>
      </c>
      <c r="B1346" s="17">
        <v>0.0</v>
      </c>
      <c r="C1346" s="17">
        <v>7.073419E8</v>
      </c>
      <c r="D1346" s="17">
        <v>-1.0</v>
      </c>
      <c r="E1346" s="17">
        <v>-1.0</v>
      </c>
      <c r="F1346" s="17">
        <v>-1.0</v>
      </c>
      <c r="G1346" s="17">
        <v>-1.0</v>
      </c>
      <c r="H1346" s="17">
        <v>-1.0</v>
      </c>
    </row>
    <row r="1347">
      <c r="A1347" s="17">
        <v>7342000.0</v>
      </c>
      <c r="B1347" s="17">
        <v>0.0</v>
      </c>
      <c r="C1347" s="17">
        <v>7.07342E8</v>
      </c>
      <c r="D1347" s="17">
        <v>-1.0</v>
      </c>
      <c r="E1347" s="17">
        <v>-1.0</v>
      </c>
      <c r="F1347" s="17">
        <v>-1.0</v>
      </c>
      <c r="G1347" s="17">
        <v>-1.0</v>
      </c>
      <c r="H1347" s="17">
        <v>-1.0</v>
      </c>
    </row>
    <row r="1348">
      <c r="A1348" s="17">
        <v>7342100.0</v>
      </c>
      <c r="B1348" s="17">
        <v>0.0</v>
      </c>
      <c r="C1348" s="17">
        <v>7.073421E8</v>
      </c>
      <c r="D1348" s="17">
        <v>-1.0</v>
      </c>
      <c r="E1348" s="17">
        <v>-1.0</v>
      </c>
      <c r="F1348" s="17">
        <v>-1.0</v>
      </c>
      <c r="G1348" s="17">
        <v>-1.0</v>
      </c>
      <c r="H1348" s="17">
        <v>-1.0</v>
      </c>
    </row>
    <row r="1349">
      <c r="A1349" s="17">
        <v>7342200.0</v>
      </c>
      <c r="B1349" s="17">
        <v>0.0</v>
      </c>
      <c r="C1349" s="17">
        <v>7.073422E8</v>
      </c>
      <c r="D1349" s="17">
        <v>-1.0</v>
      </c>
      <c r="E1349" s="17">
        <v>-1.0</v>
      </c>
      <c r="F1349" s="17">
        <v>-1.0</v>
      </c>
      <c r="G1349" s="17">
        <v>-1.0</v>
      </c>
      <c r="H1349" s="17">
        <v>-1.0</v>
      </c>
    </row>
    <row r="1350">
      <c r="A1350" s="17">
        <v>7342300.0</v>
      </c>
      <c r="B1350" s="17">
        <v>0.0</v>
      </c>
      <c r="C1350" s="17">
        <v>7.073423E8</v>
      </c>
      <c r="D1350" s="17">
        <v>-1.0</v>
      </c>
      <c r="E1350" s="17">
        <v>-1.0</v>
      </c>
      <c r="F1350" s="17">
        <v>-1.0</v>
      </c>
      <c r="G1350" s="17">
        <v>-1.0</v>
      </c>
      <c r="H1350" s="17">
        <v>-1.0</v>
      </c>
    </row>
    <row r="1351">
      <c r="A1351" s="17">
        <v>7342400.0</v>
      </c>
      <c r="B1351" s="17">
        <v>0.0</v>
      </c>
      <c r="C1351" s="17">
        <v>7.073424E8</v>
      </c>
      <c r="D1351" s="17">
        <v>-1.0</v>
      </c>
      <c r="E1351" s="17">
        <v>-1.0</v>
      </c>
      <c r="F1351" s="17">
        <v>-1.0</v>
      </c>
      <c r="G1351" s="17">
        <v>-1.0</v>
      </c>
      <c r="H1351" s="17">
        <v>-1.0</v>
      </c>
    </row>
    <row r="1352">
      <c r="A1352" s="17">
        <v>7350000.0</v>
      </c>
      <c r="B1352" s="17">
        <v>0.0</v>
      </c>
      <c r="C1352" s="17">
        <v>7.0735E8</v>
      </c>
      <c r="D1352" s="17">
        <v>-1.0</v>
      </c>
      <c r="E1352" s="17">
        <v>-1.0</v>
      </c>
      <c r="F1352" s="17">
        <v>-1.0</v>
      </c>
      <c r="G1352" s="17">
        <v>-1.0</v>
      </c>
      <c r="H1352" s="17">
        <v>-1.0</v>
      </c>
    </row>
    <row r="1353">
      <c r="A1353" s="17">
        <v>7350100.0</v>
      </c>
      <c r="B1353" s="17">
        <v>0.0</v>
      </c>
      <c r="C1353" s="17">
        <v>7.073501E8</v>
      </c>
      <c r="D1353" s="17">
        <v>-1.0</v>
      </c>
      <c r="E1353" s="17">
        <v>-1.0</v>
      </c>
      <c r="F1353" s="17">
        <v>-1.0</v>
      </c>
      <c r="G1353" s="17">
        <v>-1.0</v>
      </c>
      <c r="H1353" s="17">
        <v>-1.0</v>
      </c>
    </row>
    <row r="1354">
      <c r="A1354" s="17">
        <v>7350200.0</v>
      </c>
      <c r="B1354" s="17">
        <v>0.0</v>
      </c>
      <c r="C1354" s="17">
        <v>7.073502E8</v>
      </c>
      <c r="D1354" s="17">
        <v>-1.0</v>
      </c>
      <c r="E1354" s="17">
        <v>-1.0</v>
      </c>
      <c r="F1354" s="17">
        <v>-1.0</v>
      </c>
      <c r="G1354" s="17">
        <v>-1.0</v>
      </c>
      <c r="H1354" s="17">
        <v>-1.0</v>
      </c>
    </row>
    <row r="1355">
      <c r="A1355" s="17">
        <v>7350300.0</v>
      </c>
      <c r="B1355" s="17">
        <v>0.0</v>
      </c>
      <c r="C1355" s="17">
        <v>7.073503E8</v>
      </c>
      <c r="D1355" s="17">
        <v>-1.0</v>
      </c>
      <c r="E1355" s="17">
        <v>-1.0</v>
      </c>
      <c r="F1355" s="17">
        <v>-1.0</v>
      </c>
      <c r="G1355" s="17">
        <v>-1.0</v>
      </c>
      <c r="H1355" s="17">
        <v>-1.0</v>
      </c>
    </row>
    <row r="1356">
      <c r="A1356" s="17">
        <v>7350400.0</v>
      </c>
      <c r="B1356" s="17">
        <v>0.0</v>
      </c>
      <c r="C1356" s="17">
        <v>7.073504E8</v>
      </c>
      <c r="D1356" s="17">
        <v>-1.0</v>
      </c>
      <c r="E1356" s="17">
        <v>-1.0</v>
      </c>
      <c r="F1356" s="17">
        <v>-1.0</v>
      </c>
      <c r="G1356" s="17">
        <v>-1.0</v>
      </c>
      <c r="H1356" s="17">
        <v>-1.0</v>
      </c>
    </row>
    <row r="1357">
      <c r="A1357" s="17">
        <v>7350500.0</v>
      </c>
      <c r="B1357" s="17">
        <v>0.0</v>
      </c>
      <c r="C1357" s="17">
        <v>7.073505E8</v>
      </c>
      <c r="D1357" s="17">
        <v>-1.0</v>
      </c>
      <c r="E1357" s="17">
        <v>-1.0</v>
      </c>
      <c r="F1357" s="17">
        <v>-1.0</v>
      </c>
      <c r="G1357" s="17">
        <v>-1.0</v>
      </c>
      <c r="H1357" s="17">
        <v>-1.0</v>
      </c>
    </row>
    <row r="1358">
      <c r="A1358" s="17">
        <v>7350600.0</v>
      </c>
      <c r="B1358" s="17">
        <v>0.0</v>
      </c>
      <c r="C1358" s="17">
        <v>7.073506E8</v>
      </c>
      <c r="D1358" s="17">
        <v>-1.0</v>
      </c>
      <c r="E1358" s="17">
        <v>-1.0</v>
      </c>
      <c r="F1358" s="17">
        <v>-1.0</v>
      </c>
      <c r="G1358" s="17">
        <v>-1.0</v>
      </c>
      <c r="H1358" s="17">
        <v>-1.0</v>
      </c>
    </row>
    <row r="1359">
      <c r="A1359" s="17">
        <v>7350700.0</v>
      </c>
      <c r="B1359" s="17">
        <v>0.0</v>
      </c>
      <c r="C1359" s="17">
        <v>7.073507E8</v>
      </c>
      <c r="D1359" s="17">
        <v>-1.0</v>
      </c>
      <c r="E1359" s="17">
        <v>-1.0</v>
      </c>
      <c r="F1359" s="17">
        <v>-1.0</v>
      </c>
      <c r="G1359" s="17">
        <v>-1.0</v>
      </c>
      <c r="H1359" s="17">
        <v>-1.0</v>
      </c>
    </row>
    <row r="1360">
      <c r="A1360" s="17">
        <v>7350800.0</v>
      </c>
      <c r="B1360" s="17">
        <v>0.0</v>
      </c>
      <c r="C1360" s="17">
        <v>7.073508E8</v>
      </c>
      <c r="D1360" s="17">
        <v>-1.0</v>
      </c>
      <c r="E1360" s="17">
        <v>-1.0</v>
      </c>
      <c r="F1360" s="17">
        <v>-1.0</v>
      </c>
      <c r="G1360" s="17">
        <v>-1.0</v>
      </c>
      <c r="H1360" s="17">
        <v>-1.0</v>
      </c>
    </row>
    <row r="1361">
      <c r="A1361" s="17">
        <v>7350900.0</v>
      </c>
      <c r="B1361" s="17">
        <v>0.0</v>
      </c>
      <c r="C1361" s="17">
        <v>7.073509E8</v>
      </c>
      <c r="D1361" s="17">
        <v>-1.0</v>
      </c>
      <c r="E1361" s="17">
        <v>-1.0</v>
      </c>
      <c r="F1361" s="17">
        <v>-1.0</v>
      </c>
      <c r="G1361" s="17">
        <v>-1.0</v>
      </c>
      <c r="H1361" s="17">
        <v>-1.0</v>
      </c>
    </row>
    <row r="1362">
      <c r="A1362" s="17">
        <v>7351000.0</v>
      </c>
      <c r="B1362" s="17">
        <v>0.0</v>
      </c>
      <c r="C1362" s="17">
        <v>7.07351E8</v>
      </c>
      <c r="D1362" s="17">
        <v>-1.0</v>
      </c>
      <c r="E1362" s="17">
        <v>-1.0</v>
      </c>
      <c r="F1362" s="17">
        <v>-1.0</v>
      </c>
      <c r="G1362" s="17">
        <v>-1.0</v>
      </c>
      <c r="H1362" s="17">
        <v>-1.0</v>
      </c>
    </row>
    <row r="1363">
      <c r="A1363" s="17">
        <v>7351100.0</v>
      </c>
      <c r="B1363" s="17">
        <v>0.0</v>
      </c>
      <c r="C1363" s="17">
        <v>7.073511E8</v>
      </c>
      <c r="D1363" s="17">
        <v>-1.0</v>
      </c>
      <c r="E1363" s="17">
        <v>-1.0</v>
      </c>
      <c r="F1363" s="17">
        <v>-1.0</v>
      </c>
      <c r="G1363" s="17">
        <v>-1.0</v>
      </c>
      <c r="H1363" s="17">
        <v>-1.0</v>
      </c>
    </row>
    <row r="1364">
      <c r="A1364" s="17">
        <v>7351200.0</v>
      </c>
      <c r="B1364" s="17">
        <v>0.0</v>
      </c>
      <c r="C1364" s="17">
        <v>7.073512E8</v>
      </c>
      <c r="D1364" s="17">
        <v>-1.0</v>
      </c>
      <c r="E1364" s="17">
        <v>-1.0</v>
      </c>
      <c r="F1364" s="17">
        <v>-1.0</v>
      </c>
      <c r="G1364" s="17">
        <v>-1.0</v>
      </c>
      <c r="H1364" s="17">
        <v>-1.0</v>
      </c>
    </row>
    <row r="1365">
      <c r="A1365" s="17">
        <v>7351300.0</v>
      </c>
      <c r="B1365" s="17">
        <v>0.0</v>
      </c>
      <c r="C1365" s="17">
        <v>7.073513E8</v>
      </c>
      <c r="D1365" s="17">
        <v>-1.0</v>
      </c>
      <c r="E1365" s="17">
        <v>-1.0</v>
      </c>
      <c r="F1365" s="17">
        <v>-1.0</v>
      </c>
      <c r="G1365" s="17">
        <v>-1.0</v>
      </c>
      <c r="H1365" s="17">
        <v>-1.0</v>
      </c>
    </row>
    <row r="1366">
      <c r="A1366" s="17">
        <v>7351400.0</v>
      </c>
      <c r="B1366" s="17">
        <v>0.0</v>
      </c>
      <c r="C1366" s="17">
        <v>7.073514E8</v>
      </c>
      <c r="D1366" s="17">
        <v>-1.0</v>
      </c>
      <c r="E1366" s="17">
        <v>-1.0</v>
      </c>
      <c r="F1366" s="17">
        <v>-1.0</v>
      </c>
      <c r="G1366" s="17">
        <v>-1.0</v>
      </c>
      <c r="H1366" s="17">
        <v>-1.0</v>
      </c>
    </row>
    <row r="1367">
      <c r="A1367" s="17">
        <v>7351500.0</v>
      </c>
      <c r="B1367" s="17">
        <v>0.0</v>
      </c>
      <c r="C1367" s="17">
        <v>7.073515E8</v>
      </c>
      <c r="D1367" s="17">
        <v>-1.0</v>
      </c>
      <c r="E1367" s="17">
        <v>-1.0</v>
      </c>
      <c r="F1367" s="17">
        <v>-1.0</v>
      </c>
      <c r="G1367" s="17">
        <v>-1.0</v>
      </c>
      <c r="H1367" s="17">
        <v>-1.0</v>
      </c>
    </row>
    <row r="1368">
      <c r="A1368" s="17">
        <v>7351700.0</v>
      </c>
      <c r="B1368" s="17">
        <v>0.0</v>
      </c>
      <c r="C1368" s="17">
        <v>7.073517E8</v>
      </c>
      <c r="D1368" s="17">
        <v>-1.0</v>
      </c>
      <c r="E1368" s="17">
        <v>-1.0</v>
      </c>
      <c r="F1368" s="17">
        <v>-1.0</v>
      </c>
      <c r="G1368" s="17">
        <v>-1.0</v>
      </c>
      <c r="H1368" s="17">
        <v>-1.0</v>
      </c>
    </row>
    <row r="1369">
      <c r="A1369" s="17">
        <v>7351800.0</v>
      </c>
      <c r="B1369" s="17">
        <v>0.0</v>
      </c>
      <c r="C1369" s="17">
        <v>7.073518E8</v>
      </c>
      <c r="D1369" s="17">
        <v>-1.0</v>
      </c>
      <c r="E1369" s="17">
        <v>-1.0</v>
      </c>
      <c r="F1369" s="17">
        <v>-1.0</v>
      </c>
      <c r="G1369" s="17">
        <v>-1.0</v>
      </c>
      <c r="H1369" s="17">
        <v>-1.0</v>
      </c>
    </row>
    <row r="1370">
      <c r="A1370" s="17">
        <v>7351900.0</v>
      </c>
      <c r="B1370" s="17">
        <v>0.0</v>
      </c>
      <c r="C1370" s="17">
        <v>7.073519E8</v>
      </c>
      <c r="D1370" s="17">
        <v>-1.0</v>
      </c>
      <c r="E1370" s="17">
        <v>-1.0</v>
      </c>
      <c r="F1370" s="17">
        <v>-1.0</v>
      </c>
      <c r="G1370" s="17">
        <v>-1.0</v>
      </c>
      <c r="H1370" s="17">
        <v>-1.0</v>
      </c>
    </row>
    <row r="1371">
      <c r="A1371" s="17">
        <v>7352000.0</v>
      </c>
      <c r="B1371" s="17">
        <v>0.0</v>
      </c>
      <c r="C1371" s="17">
        <v>7.07352E8</v>
      </c>
      <c r="D1371" s="17">
        <v>-1.0</v>
      </c>
      <c r="E1371" s="17">
        <v>-1.0</v>
      </c>
      <c r="F1371" s="17">
        <v>-1.0</v>
      </c>
      <c r="G1371" s="17">
        <v>-1.0</v>
      </c>
      <c r="H1371" s="17">
        <v>-1.0</v>
      </c>
    </row>
    <row r="1372">
      <c r="A1372" s="17">
        <v>7352100.0</v>
      </c>
      <c r="B1372" s="17">
        <v>0.0</v>
      </c>
      <c r="C1372" s="17">
        <v>7.073521E8</v>
      </c>
      <c r="D1372" s="17">
        <v>-1.0</v>
      </c>
      <c r="E1372" s="17">
        <v>-1.0</v>
      </c>
      <c r="F1372" s="17">
        <v>-1.0</v>
      </c>
      <c r="G1372" s="17">
        <v>-1.0</v>
      </c>
      <c r="H1372" s="17">
        <v>-1.0</v>
      </c>
    </row>
    <row r="1373">
      <c r="A1373" s="17">
        <v>7352200.0</v>
      </c>
      <c r="B1373" s="17">
        <v>0.0</v>
      </c>
      <c r="C1373" s="17">
        <v>7.073522E8</v>
      </c>
      <c r="D1373" s="17">
        <v>-1.0</v>
      </c>
      <c r="E1373" s="17">
        <v>-1.0</v>
      </c>
      <c r="F1373" s="17">
        <v>-1.0</v>
      </c>
      <c r="G1373" s="17">
        <v>-1.0</v>
      </c>
      <c r="H1373" s="17">
        <v>-1.0</v>
      </c>
    </row>
    <row r="1374">
      <c r="A1374" s="17">
        <v>7352300.0</v>
      </c>
      <c r="B1374" s="17">
        <v>0.0</v>
      </c>
      <c r="C1374" s="17">
        <v>7.073523E8</v>
      </c>
      <c r="D1374" s="17">
        <v>-1.0</v>
      </c>
      <c r="E1374" s="17">
        <v>-1.0</v>
      </c>
      <c r="F1374" s="17">
        <v>-1.0</v>
      </c>
      <c r="G1374" s="17">
        <v>-1.0</v>
      </c>
      <c r="H1374" s="17">
        <v>-1.0</v>
      </c>
    </row>
    <row r="1375">
      <c r="A1375" s="17">
        <v>7352400.0</v>
      </c>
      <c r="B1375" s="17">
        <v>0.0</v>
      </c>
      <c r="C1375" s="17">
        <v>7.073524E8</v>
      </c>
      <c r="D1375" s="17">
        <v>-1.0</v>
      </c>
      <c r="E1375" s="17">
        <v>-1.0</v>
      </c>
      <c r="F1375" s="17">
        <v>-1.0</v>
      </c>
      <c r="G1375" s="17">
        <v>-1.0</v>
      </c>
      <c r="H1375" s="17">
        <v>-1.0</v>
      </c>
    </row>
    <row r="1376">
      <c r="A1376" s="17">
        <v>7360600.0</v>
      </c>
      <c r="B1376" s="17">
        <v>0.0</v>
      </c>
      <c r="C1376" s="17">
        <v>7.073606E8</v>
      </c>
      <c r="D1376" s="17">
        <v>-1.0</v>
      </c>
      <c r="E1376" s="17">
        <v>-1.0</v>
      </c>
      <c r="F1376" s="17">
        <v>-1.0</v>
      </c>
      <c r="G1376" s="17">
        <v>-1.0</v>
      </c>
      <c r="H1376" s="17">
        <v>-1.0</v>
      </c>
    </row>
    <row r="1377">
      <c r="A1377" s="17">
        <v>7360900.0</v>
      </c>
      <c r="B1377" s="17">
        <v>0.0</v>
      </c>
      <c r="C1377" s="17">
        <v>7.073609E8</v>
      </c>
      <c r="D1377" s="17">
        <v>-1.0</v>
      </c>
      <c r="E1377" s="17">
        <v>-1.0</v>
      </c>
      <c r="F1377" s="17">
        <v>-1.0</v>
      </c>
      <c r="G1377" s="17">
        <v>-1.0</v>
      </c>
      <c r="H1377" s="17">
        <v>-1.0</v>
      </c>
    </row>
    <row r="1378">
      <c r="A1378" s="17">
        <v>7361200.0</v>
      </c>
      <c r="B1378" s="17">
        <v>0.0</v>
      </c>
      <c r="C1378" s="17">
        <v>7.073612E8</v>
      </c>
      <c r="D1378" s="17">
        <v>-1.0</v>
      </c>
      <c r="E1378" s="17">
        <v>-1.0</v>
      </c>
      <c r="F1378" s="17">
        <v>-1.0</v>
      </c>
      <c r="G1378" s="17">
        <v>-1.0</v>
      </c>
      <c r="H1378" s="17">
        <v>-1.0</v>
      </c>
    </row>
    <row r="1379">
      <c r="A1379" s="17">
        <v>7361300.0</v>
      </c>
      <c r="B1379" s="17">
        <v>0.0</v>
      </c>
      <c r="C1379" s="17">
        <v>7.073613E8</v>
      </c>
      <c r="D1379" s="17">
        <v>-1.0</v>
      </c>
      <c r="E1379" s="17">
        <v>-1.0</v>
      </c>
      <c r="F1379" s="17">
        <v>-1.0</v>
      </c>
      <c r="G1379" s="17">
        <v>-1.0</v>
      </c>
      <c r="H1379" s="17">
        <v>-1.0</v>
      </c>
    </row>
    <row r="1380">
      <c r="A1380" s="17">
        <v>7362100.0</v>
      </c>
      <c r="B1380" s="17">
        <v>0.0</v>
      </c>
      <c r="C1380" s="17">
        <v>7.073621E8</v>
      </c>
      <c r="D1380" s="17">
        <v>-1.0</v>
      </c>
      <c r="E1380" s="17">
        <v>-1.0</v>
      </c>
      <c r="F1380" s="17">
        <v>-1.0</v>
      </c>
      <c r="G1380" s="17">
        <v>-1.0</v>
      </c>
      <c r="H1380" s="17">
        <v>-1.0</v>
      </c>
    </row>
    <row r="1381">
      <c r="A1381" s="17">
        <v>7370300.0</v>
      </c>
      <c r="B1381" s="17">
        <v>0.0</v>
      </c>
      <c r="C1381" s="17">
        <v>7.073703E8</v>
      </c>
      <c r="D1381" s="17">
        <v>-1.0</v>
      </c>
      <c r="E1381" s="17">
        <v>-1.0</v>
      </c>
      <c r="F1381" s="17">
        <v>-1.0</v>
      </c>
      <c r="G1381" s="17">
        <v>-1.0</v>
      </c>
      <c r="H1381" s="17">
        <v>-1.0</v>
      </c>
    </row>
    <row r="1382">
      <c r="A1382" s="17">
        <v>7370400.0</v>
      </c>
      <c r="B1382" s="17">
        <v>0.0</v>
      </c>
      <c r="C1382" s="17">
        <v>7.073704E8</v>
      </c>
      <c r="D1382" s="17">
        <v>-1.0</v>
      </c>
      <c r="E1382" s="17">
        <v>-1.0</v>
      </c>
      <c r="F1382" s="17">
        <v>-1.0</v>
      </c>
      <c r="G1382" s="17">
        <v>-1.0</v>
      </c>
      <c r="H1382" s="17">
        <v>-1.0</v>
      </c>
    </row>
    <row r="1383">
      <c r="A1383" s="17">
        <v>7370600.0</v>
      </c>
      <c r="B1383" s="17">
        <v>0.0</v>
      </c>
      <c r="C1383" s="17">
        <v>7.073706E8</v>
      </c>
      <c r="D1383" s="17">
        <v>-1.0</v>
      </c>
      <c r="E1383" s="17">
        <v>-1.0</v>
      </c>
      <c r="F1383" s="17">
        <v>-1.0</v>
      </c>
      <c r="G1383" s="17">
        <v>-1.0</v>
      </c>
      <c r="H1383" s="17">
        <v>-1.0</v>
      </c>
    </row>
    <row r="1384">
      <c r="A1384" s="17">
        <v>7370900.0</v>
      </c>
      <c r="B1384" s="17">
        <v>0.0</v>
      </c>
      <c r="C1384" s="17">
        <v>7.073709E8</v>
      </c>
      <c r="D1384" s="17">
        <v>-1.0</v>
      </c>
      <c r="E1384" s="17">
        <v>-1.0</v>
      </c>
      <c r="F1384" s="17">
        <v>-1.0</v>
      </c>
      <c r="G1384" s="17">
        <v>-1.0</v>
      </c>
      <c r="H1384" s="17">
        <v>-1.0</v>
      </c>
    </row>
    <row r="1385">
      <c r="A1385" s="17">
        <v>7371500.0</v>
      </c>
      <c r="B1385" s="17">
        <v>0.0</v>
      </c>
      <c r="C1385" s="17">
        <v>7.073715E8</v>
      </c>
      <c r="D1385" s="17">
        <v>-1.0</v>
      </c>
      <c r="E1385" s="17">
        <v>-1.0</v>
      </c>
      <c r="F1385" s="17">
        <v>-1.0</v>
      </c>
      <c r="G1385" s="17">
        <v>-1.0</v>
      </c>
      <c r="H1385" s="17">
        <v>-1.0</v>
      </c>
    </row>
    <row r="1386">
      <c r="A1386" s="17">
        <v>7999999.0</v>
      </c>
      <c r="B1386" s="17">
        <v>0.0</v>
      </c>
      <c r="C1386" s="17">
        <v>7.07999999E8</v>
      </c>
      <c r="D1386" s="17">
        <v>-1.0</v>
      </c>
      <c r="E1386" s="17">
        <v>-1.0</v>
      </c>
      <c r="F1386" s="17">
        <v>-1.0</v>
      </c>
      <c r="G1386" s="17">
        <v>-1.0</v>
      </c>
      <c r="H1386" s="17">
        <v>-1.0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11.25"/>
  </cols>
  <sheetData>
    <row r="1">
      <c r="A1" s="27" t="s">
        <v>1</v>
      </c>
      <c r="B1" s="27" t="s">
        <v>2030</v>
      </c>
    </row>
    <row r="2">
      <c r="A2" s="17">
        <v>0.0</v>
      </c>
      <c r="B2" s="17">
        <v>-1.0</v>
      </c>
    </row>
    <row r="3">
      <c r="A3" s="17">
        <v>100.0</v>
      </c>
      <c r="B3" s="17">
        <v>7000000.0</v>
      </c>
    </row>
    <row r="4">
      <c r="A4" s="17">
        <v>100.0</v>
      </c>
      <c r="B4" s="17">
        <v>7000001.0</v>
      </c>
    </row>
    <row r="5">
      <c r="A5" s="17">
        <v>100.0</v>
      </c>
      <c r="B5" s="17">
        <v>7000002.0</v>
      </c>
    </row>
    <row r="6">
      <c r="A6" s="17">
        <v>100.0</v>
      </c>
      <c r="B6" s="17">
        <v>7000100.0</v>
      </c>
    </row>
    <row r="7">
      <c r="A7" s="17">
        <v>100.0</v>
      </c>
      <c r="B7" s="17">
        <v>7000101.0</v>
      </c>
    </row>
    <row r="8">
      <c r="A8" s="17">
        <v>100.0</v>
      </c>
      <c r="B8" s="17">
        <v>7000102.0</v>
      </c>
    </row>
    <row r="9">
      <c r="A9" s="17">
        <v>100.0</v>
      </c>
      <c r="B9" s="17">
        <v>7000200.0</v>
      </c>
    </row>
    <row r="10">
      <c r="A10" s="17">
        <v>100.0</v>
      </c>
      <c r="B10" s="17">
        <v>7000201.0</v>
      </c>
    </row>
    <row r="11">
      <c r="A11" s="17">
        <v>100.0</v>
      </c>
      <c r="B11" s="17">
        <v>7000202.0</v>
      </c>
    </row>
    <row r="12">
      <c r="A12" s="17">
        <v>100.0</v>
      </c>
      <c r="B12" s="17">
        <v>7000300.0</v>
      </c>
    </row>
    <row r="13">
      <c r="A13" s="17">
        <v>100.0</v>
      </c>
      <c r="B13" s="17">
        <v>7000301.0</v>
      </c>
    </row>
    <row r="14">
      <c r="A14" s="17">
        <v>100.0</v>
      </c>
      <c r="B14" s="17">
        <v>7000302.0</v>
      </c>
    </row>
    <row r="15">
      <c r="A15" s="17">
        <v>100.0</v>
      </c>
      <c r="B15" s="17">
        <v>7000400.0</v>
      </c>
    </row>
    <row r="16">
      <c r="A16" s="17">
        <v>100.0</v>
      </c>
      <c r="B16" s="17">
        <v>7000401.0</v>
      </c>
    </row>
    <row r="17">
      <c r="A17" s="17">
        <v>100.0</v>
      </c>
      <c r="B17" s="17">
        <v>7000402.0</v>
      </c>
    </row>
    <row r="18">
      <c r="A18" s="17">
        <v>100.0</v>
      </c>
      <c r="B18" s="17">
        <v>7000500.0</v>
      </c>
    </row>
    <row r="19">
      <c r="A19" s="17">
        <v>100.0</v>
      </c>
      <c r="B19" s="17">
        <v>7000501.0</v>
      </c>
    </row>
    <row r="20">
      <c r="A20" s="17">
        <v>100.0</v>
      </c>
      <c r="B20" s="17">
        <v>7000502.0</v>
      </c>
    </row>
    <row r="21">
      <c r="A21" s="17">
        <v>100.0</v>
      </c>
      <c r="B21" s="17">
        <v>7000600.0</v>
      </c>
    </row>
    <row r="22">
      <c r="A22" s="17">
        <v>100.0</v>
      </c>
      <c r="B22" s="17">
        <v>7000601.0</v>
      </c>
    </row>
    <row r="23">
      <c r="A23" s="17">
        <v>100.0</v>
      </c>
      <c r="B23" s="17">
        <v>7000602.0</v>
      </c>
    </row>
    <row r="24">
      <c r="A24" s="17">
        <v>100.0</v>
      </c>
      <c r="B24" s="17">
        <v>7000700.0</v>
      </c>
    </row>
    <row r="25">
      <c r="A25" s="17">
        <v>100.0</v>
      </c>
      <c r="B25" s="17">
        <v>7000701.0</v>
      </c>
    </row>
    <row r="26">
      <c r="A26" s="17">
        <v>100.0</v>
      </c>
      <c r="B26" s="17">
        <v>7000702.0</v>
      </c>
    </row>
    <row r="27">
      <c r="A27" s="17">
        <v>100.0</v>
      </c>
      <c r="B27" s="17">
        <v>7000800.0</v>
      </c>
    </row>
    <row r="28">
      <c r="A28" s="17">
        <v>100.0</v>
      </c>
      <c r="B28" s="17">
        <v>7000801.0</v>
      </c>
    </row>
    <row r="29">
      <c r="A29" s="17">
        <v>100.0</v>
      </c>
      <c r="B29" s="17">
        <v>7000802.0</v>
      </c>
    </row>
    <row r="30">
      <c r="A30" s="17">
        <v>100.0</v>
      </c>
      <c r="B30" s="17">
        <v>7000900.0</v>
      </c>
    </row>
    <row r="31">
      <c r="A31" s="17">
        <v>100.0</v>
      </c>
      <c r="B31" s="17">
        <v>7000901.0</v>
      </c>
    </row>
    <row r="32">
      <c r="A32" s="17">
        <v>100.0</v>
      </c>
      <c r="B32" s="17">
        <v>7000902.0</v>
      </c>
    </row>
    <row r="33">
      <c r="A33" s="17">
        <v>100.0</v>
      </c>
      <c r="B33" s="17">
        <v>7001000.0</v>
      </c>
    </row>
    <row r="34">
      <c r="A34" s="17">
        <v>100.0</v>
      </c>
      <c r="B34" s="17">
        <v>7001001.0</v>
      </c>
    </row>
    <row r="35">
      <c r="A35" s="17">
        <v>100.0</v>
      </c>
      <c r="B35" s="17">
        <v>7001002.0</v>
      </c>
    </row>
    <row r="36">
      <c r="A36" s="17">
        <v>100.0</v>
      </c>
      <c r="B36" s="17">
        <v>7001400.0</v>
      </c>
    </row>
    <row r="37">
      <c r="A37" s="17">
        <v>100.0</v>
      </c>
      <c r="B37" s="17">
        <v>7001401.0</v>
      </c>
    </row>
    <row r="38">
      <c r="A38" s="17">
        <v>100.0</v>
      </c>
      <c r="B38" s="17">
        <v>7001402.0</v>
      </c>
    </row>
    <row r="39">
      <c r="A39" s="17">
        <v>100.0</v>
      </c>
      <c r="B39" s="17">
        <v>7001500.0</v>
      </c>
    </row>
    <row r="40">
      <c r="A40" s="17">
        <v>100.0</v>
      </c>
      <c r="B40" s="17">
        <v>7001501.0</v>
      </c>
    </row>
    <row r="41">
      <c r="A41" s="17">
        <v>100.0</v>
      </c>
      <c r="B41" s="17">
        <v>7001502.0</v>
      </c>
    </row>
    <row r="42">
      <c r="A42" s="17">
        <v>100.0</v>
      </c>
      <c r="B42" s="17">
        <v>7001600.0</v>
      </c>
    </row>
    <row r="43">
      <c r="A43" s="17">
        <v>100.0</v>
      </c>
      <c r="B43" s="17">
        <v>7001601.0</v>
      </c>
    </row>
    <row r="44">
      <c r="A44" s="17">
        <v>100.0</v>
      </c>
      <c r="B44" s="17">
        <v>7001602.0</v>
      </c>
    </row>
    <row r="45">
      <c r="A45" s="17">
        <v>100.0</v>
      </c>
      <c r="B45" s="17">
        <v>7001700.0</v>
      </c>
    </row>
    <row r="46">
      <c r="A46" s="17">
        <v>100.0</v>
      </c>
      <c r="B46" s="17">
        <v>7001701.0</v>
      </c>
    </row>
    <row r="47">
      <c r="A47" s="17">
        <v>100.0</v>
      </c>
      <c r="B47" s="17">
        <v>7001702.0</v>
      </c>
    </row>
    <row r="48">
      <c r="A48" s="17">
        <v>100.0</v>
      </c>
      <c r="B48" s="17">
        <v>7001800.0</v>
      </c>
    </row>
    <row r="49">
      <c r="A49" s="17">
        <v>100.0</v>
      </c>
      <c r="B49" s="17">
        <v>7001801.0</v>
      </c>
    </row>
    <row r="50">
      <c r="A50" s="17">
        <v>100.0</v>
      </c>
      <c r="B50" s="17">
        <v>7001802.0</v>
      </c>
    </row>
    <row r="51">
      <c r="A51" s="17">
        <v>100.0</v>
      </c>
      <c r="B51" s="17">
        <v>7002600.0</v>
      </c>
    </row>
    <row r="52">
      <c r="A52" s="17">
        <v>100.0</v>
      </c>
      <c r="B52" s="17">
        <v>7002700.0</v>
      </c>
    </row>
    <row r="53">
      <c r="A53" s="17">
        <v>100.0</v>
      </c>
      <c r="B53" s="17">
        <v>7002800.0</v>
      </c>
    </row>
    <row r="54">
      <c r="A54" s="17">
        <v>100.0</v>
      </c>
      <c r="B54" s="17">
        <v>7002900.0</v>
      </c>
    </row>
    <row r="55">
      <c r="A55" s="17">
        <v>100.0</v>
      </c>
      <c r="B55" s="17">
        <v>7003000.0</v>
      </c>
    </row>
    <row r="56">
      <c r="A56" s="17">
        <v>100.0</v>
      </c>
      <c r="B56" s="17">
        <v>7003100.0</v>
      </c>
    </row>
    <row r="57">
      <c r="A57" s="17">
        <v>100.0</v>
      </c>
      <c r="B57" s="17">
        <v>7003200.0</v>
      </c>
    </row>
    <row r="58">
      <c r="A58" s="17">
        <v>100.0</v>
      </c>
      <c r="B58" s="17">
        <v>7003300.0</v>
      </c>
    </row>
    <row r="59">
      <c r="A59" s="17">
        <v>100.0</v>
      </c>
      <c r="B59" s="17">
        <v>7003400.0</v>
      </c>
    </row>
    <row r="60">
      <c r="A60" s="17">
        <v>100.0</v>
      </c>
      <c r="B60" s="17">
        <v>7003500.0</v>
      </c>
    </row>
    <row r="61">
      <c r="A61" s="17">
        <v>100.0</v>
      </c>
      <c r="B61" s="17">
        <v>7003600.0</v>
      </c>
    </row>
    <row r="62">
      <c r="A62" s="17">
        <v>100.0</v>
      </c>
      <c r="B62" s="17">
        <v>7005600.0</v>
      </c>
    </row>
    <row r="63">
      <c r="A63" s="17">
        <v>100.0</v>
      </c>
      <c r="B63" s="17">
        <v>7006000.0</v>
      </c>
    </row>
    <row r="64">
      <c r="A64" s="17">
        <v>100.0</v>
      </c>
      <c r="B64" s="17">
        <v>7006100.0</v>
      </c>
    </row>
    <row r="65">
      <c r="A65" s="17">
        <v>100.0</v>
      </c>
      <c r="B65" s="17">
        <v>7010200.0</v>
      </c>
    </row>
    <row r="66">
      <c r="A66" s="17">
        <v>100.0</v>
      </c>
      <c r="B66" s="17">
        <v>7010500.0</v>
      </c>
    </row>
    <row r="67">
      <c r="A67" s="17">
        <v>100.0</v>
      </c>
      <c r="B67" s="17">
        <v>7010700.0</v>
      </c>
    </row>
    <row r="68">
      <c r="A68" s="17">
        <v>100.0</v>
      </c>
      <c r="B68" s="17">
        <v>7010900.0</v>
      </c>
    </row>
    <row r="69">
      <c r="A69" s="17">
        <v>100.0</v>
      </c>
      <c r="B69" s="17">
        <v>7011000.0</v>
      </c>
    </row>
    <row r="70">
      <c r="A70" s="17">
        <v>100.0</v>
      </c>
      <c r="B70" s="17">
        <v>7011200.0</v>
      </c>
    </row>
    <row r="71">
      <c r="A71" s="17">
        <v>100.0</v>
      </c>
      <c r="B71" s="17">
        <v>7011600.0</v>
      </c>
    </row>
    <row r="72">
      <c r="A72" s="17">
        <v>100.0</v>
      </c>
      <c r="B72" s="17">
        <v>7011700.0</v>
      </c>
    </row>
    <row r="73">
      <c r="A73" s="17">
        <v>100.0</v>
      </c>
      <c r="B73" s="17">
        <v>7012000.0</v>
      </c>
    </row>
    <row r="74">
      <c r="A74" s="17">
        <v>100.0</v>
      </c>
      <c r="B74" s="17">
        <v>7012200.0</v>
      </c>
    </row>
    <row r="75">
      <c r="A75" s="17">
        <v>100.0</v>
      </c>
      <c r="B75" s="17">
        <v>7012300.0</v>
      </c>
    </row>
    <row r="76">
      <c r="A76" s="17">
        <v>100.0</v>
      </c>
      <c r="B76" s="17">
        <v>7020000.0</v>
      </c>
    </row>
    <row r="77">
      <c r="A77" s="17">
        <v>100.0</v>
      </c>
      <c r="B77" s="17">
        <v>7030000.0</v>
      </c>
    </row>
    <row r="78">
      <c r="A78" s="17">
        <v>100.0</v>
      </c>
      <c r="B78" s="17">
        <v>7030200.0</v>
      </c>
    </row>
    <row r="79">
      <c r="A79" s="17">
        <v>100.0</v>
      </c>
      <c r="B79" s="17">
        <v>7030600.0</v>
      </c>
    </row>
    <row r="80">
      <c r="A80" s="17">
        <v>100.0</v>
      </c>
      <c r="B80" s="17">
        <v>7030700.0</v>
      </c>
    </row>
    <row r="81">
      <c r="A81" s="17">
        <v>100.0</v>
      </c>
      <c r="B81" s="17">
        <v>7030800.0</v>
      </c>
    </row>
    <row r="82">
      <c r="A82" s="17">
        <v>100.0</v>
      </c>
      <c r="B82" s="17">
        <v>7030900.0</v>
      </c>
    </row>
    <row r="83">
      <c r="A83" s="17">
        <v>100.0</v>
      </c>
      <c r="B83" s="17">
        <v>7031200.0</v>
      </c>
    </row>
    <row r="84">
      <c r="A84" s="17">
        <v>100.0</v>
      </c>
      <c r="B84" s="17">
        <v>7031300.0</v>
      </c>
    </row>
    <row r="85">
      <c r="A85" s="17">
        <v>100.0</v>
      </c>
      <c r="B85" s="17">
        <v>7031800.0</v>
      </c>
    </row>
    <row r="86">
      <c r="A86" s="17">
        <v>100.0</v>
      </c>
      <c r="B86" s="17">
        <v>7031900.0</v>
      </c>
    </row>
    <row r="87">
      <c r="A87" s="17">
        <v>100.0</v>
      </c>
      <c r="B87" s="17">
        <v>7032200.0</v>
      </c>
    </row>
    <row r="88">
      <c r="A88" s="17">
        <v>100.0</v>
      </c>
      <c r="B88" s="17">
        <v>7032400.0</v>
      </c>
    </row>
    <row r="89">
      <c r="A89" s="17">
        <v>100.0</v>
      </c>
      <c r="B89" s="17">
        <v>7032700.0</v>
      </c>
    </row>
    <row r="90">
      <c r="A90" s="17">
        <v>100.0</v>
      </c>
      <c r="B90" s="17">
        <v>7032800.0</v>
      </c>
    </row>
    <row r="91">
      <c r="A91" s="17">
        <v>100.0</v>
      </c>
      <c r="B91" s="17">
        <v>7032900.0</v>
      </c>
    </row>
    <row r="92">
      <c r="A92" s="17">
        <v>100.0</v>
      </c>
      <c r="B92" s="17">
        <v>7033200.0</v>
      </c>
    </row>
    <row r="93">
      <c r="A93" s="17">
        <v>100.0</v>
      </c>
      <c r="B93" s="17">
        <v>7033400.0</v>
      </c>
    </row>
    <row r="94">
      <c r="A94" s="17">
        <v>100.0</v>
      </c>
      <c r="B94" s="17">
        <v>7034100.0</v>
      </c>
    </row>
    <row r="95">
      <c r="A95" s="17">
        <v>100.0</v>
      </c>
      <c r="B95" s="17">
        <v>7034400.0</v>
      </c>
    </row>
    <row r="96">
      <c r="A96" s="17">
        <v>100.0</v>
      </c>
      <c r="B96" s="17">
        <v>7034500.0</v>
      </c>
    </row>
    <row r="97">
      <c r="A97" s="17">
        <v>100.0</v>
      </c>
      <c r="B97" s="17">
        <v>7034600.0</v>
      </c>
    </row>
    <row r="98">
      <c r="A98" s="17">
        <v>100.0</v>
      </c>
      <c r="B98" s="17">
        <v>7034700.0</v>
      </c>
    </row>
    <row r="99">
      <c r="A99" s="17">
        <v>100.0</v>
      </c>
      <c r="B99" s="17">
        <v>7035100.0</v>
      </c>
    </row>
    <row r="100">
      <c r="A100" s="17">
        <v>100.0</v>
      </c>
      <c r="B100" s="17">
        <v>7036100.0</v>
      </c>
    </row>
    <row r="101">
      <c r="A101" s="17">
        <v>100.0</v>
      </c>
      <c r="B101" s="17">
        <v>7040000.0</v>
      </c>
    </row>
    <row r="102">
      <c r="A102" s="17">
        <v>100.0</v>
      </c>
      <c r="B102" s="17">
        <v>7040100.0</v>
      </c>
    </row>
    <row r="103">
      <c r="A103" s="17">
        <v>100.0</v>
      </c>
      <c r="B103" s="17">
        <v>7040200.0</v>
      </c>
    </row>
    <row r="104">
      <c r="A104" s="17">
        <v>100.0</v>
      </c>
      <c r="B104" s="17">
        <v>7040300.0</v>
      </c>
    </row>
    <row r="105">
      <c r="A105" s="17">
        <v>100.0</v>
      </c>
      <c r="B105" s="17">
        <v>7040400.0</v>
      </c>
    </row>
    <row r="106">
      <c r="A106" s="17">
        <v>100.0</v>
      </c>
      <c r="B106" s="17">
        <v>7040500.0</v>
      </c>
    </row>
    <row r="107">
      <c r="A107" s="17">
        <v>100.0</v>
      </c>
      <c r="B107" s="17">
        <v>7043000.0</v>
      </c>
    </row>
    <row r="108">
      <c r="A108" s="17">
        <v>100.0</v>
      </c>
      <c r="B108" s="17">
        <v>7043100.0</v>
      </c>
    </row>
    <row r="109">
      <c r="A109" s="17">
        <v>100.0</v>
      </c>
      <c r="B109" s="17">
        <v>7043200.0</v>
      </c>
    </row>
    <row r="110">
      <c r="A110" s="17">
        <v>100.0</v>
      </c>
      <c r="B110" s="17">
        <v>7043300.0</v>
      </c>
    </row>
    <row r="111">
      <c r="A111" s="17">
        <v>100.0</v>
      </c>
      <c r="B111" s="17">
        <v>7043400.0</v>
      </c>
    </row>
    <row r="112">
      <c r="A112" s="17">
        <v>100.0</v>
      </c>
      <c r="B112" s="17">
        <v>7043500.0</v>
      </c>
    </row>
    <row r="113">
      <c r="A113" s="17">
        <v>100.0</v>
      </c>
      <c r="B113" s="17">
        <v>7043600.0</v>
      </c>
    </row>
    <row r="114">
      <c r="A114" s="17">
        <v>100.0</v>
      </c>
      <c r="B114" s="17">
        <v>7043700.0</v>
      </c>
    </row>
    <row r="115">
      <c r="A115" s="17">
        <v>100.0</v>
      </c>
      <c r="B115" s="17">
        <v>7043800.0</v>
      </c>
    </row>
    <row r="116">
      <c r="A116" s="17">
        <v>100.0</v>
      </c>
      <c r="B116" s="17">
        <v>7044000.0</v>
      </c>
    </row>
    <row r="117">
      <c r="A117" s="17">
        <v>100.0</v>
      </c>
      <c r="B117" s="17">
        <v>7044100.0</v>
      </c>
    </row>
    <row r="118">
      <c r="A118" s="17">
        <v>100.0</v>
      </c>
      <c r="B118" s="17">
        <v>7044200.0</v>
      </c>
    </row>
    <row r="119">
      <c r="A119" s="17">
        <v>100.0</v>
      </c>
      <c r="B119" s="17">
        <v>7044300.0</v>
      </c>
    </row>
    <row r="120">
      <c r="A120" s="17">
        <v>100.0</v>
      </c>
      <c r="B120" s="17">
        <v>7044400.0</v>
      </c>
    </row>
    <row r="121">
      <c r="A121" s="17">
        <v>100.0</v>
      </c>
      <c r="B121" s="17">
        <v>7044500.0</v>
      </c>
    </row>
    <row r="122">
      <c r="A122" s="17">
        <v>100.0</v>
      </c>
      <c r="B122" s="17">
        <v>7044600.0</v>
      </c>
    </row>
    <row r="123">
      <c r="A123" s="17">
        <v>100.0</v>
      </c>
      <c r="B123" s="17">
        <v>7050000.0</v>
      </c>
    </row>
    <row r="124">
      <c r="A124" s="17">
        <v>100.0</v>
      </c>
      <c r="B124" s="17">
        <v>7050100.0</v>
      </c>
    </row>
    <row r="125">
      <c r="A125" s="17">
        <v>100.0</v>
      </c>
      <c r="B125" s="17">
        <v>7060000.0</v>
      </c>
    </row>
    <row r="126">
      <c r="A126" s="17">
        <v>100.0</v>
      </c>
      <c r="B126" s="17">
        <v>7060100.0</v>
      </c>
    </row>
    <row r="127">
      <c r="A127" s="17">
        <v>100.0</v>
      </c>
      <c r="B127" s="17">
        <v>7060200.0</v>
      </c>
    </row>
    <row r="128">
      <c r="A128" s="17">
        <v>100.0</v>
      </c>
      <c r="B128" s="17">
        <v>7070000.0</v>
      </c>
    </row>
    <row r="129">
      <c r="A129" s="17">
        <v>100.0</v>
      </c>
      <c r="B129" s="17">
        <v>7080000.0</v>
      </c>
    </row>
    <row r="130">
      <c r="A130" s="17">
        <v>100.0</v>
      </c>
      <c r="B130" s="17">
        <v>7080100.0</v>
      </c>
    </row>
    <row r="131">
      <c r="A131" s="17">
        <v>100.0</v>
      </c>
      <c r="B131" s="17">
        <v>7080200.0</v>
      </c>
    </row>
    <row r="132">
      <c r="A132" s="17">
        <v>100.0</v>
      </c>
      <c r="B132" s="17">
        <v>7080300.0</v>
      </c>
    </row>
    <row r="133">
      <c r="A133" s="17">
        <v>100.0</v>
      </c>
      <c r="B133" s="17">
        <v>7080400.0</v>
      </c>
    </row>
    <row r="134">
      <c r="A134" s="17">
        <v>100.0</v>
      </c>
      <c r="B134" s="17">
        <v>7080500.0</v>
      </c>
    </row>
    <row r="135">
      <c r="A135" s="17">
        <v>100.0</v>
      </c>
      <c r="B135" s="17">
        <v>7080600.0</v>
      </c>
    </row>
    <row r="136">
      <c r="A136" s="17">
        <v>100.0</v>
      </c>
      <c r="B136" s="17">
        <v>7080700.0</v>
      </c>
    </row>
    <row r="137">
      <c r="A137" s="17">
        <v>100.0</v>
      </c>
      <c r="B137" s="17">
        <v>7080800.0</v>
      </c>
    </row>
    <row r="138">
      <c r="A138" s="17">
        <v>100.0</v>
      </c>
      <c r="B138" s="17">
        <v>7080900.0</v>
      </c>
    </row>
    <row r="139">
      <c r="A139" s="17">
        <v>100.0</v>
      </c>
      <c r="B139" s="17">
        <v>7081000.0</v>
      </c>
    </row>
    <row r="140">
      <c r="A140" s="17">
        <v>100.0</v>
      </c>
      <c r="B140" s="17">
        <v>7081100.0</v>
      </c>
    </row>
    <row r="141">
      <c r="A141" s="17">
        <v>100.0</v>
      </c>
      <c r="B141" s="17">
        <v>7081200.0</v>
      </c>
    </row>
    <row r="142">
      <c r="A142" s="17">
        <v>100.0</v>
      </c>
      <c r="B142" s="17">
        <v>7081300.0</v>
      </c>
    </row>
    <row r="143">
      <c r="A143" s="17">
        <v>100.0</v>
      </c>
      <c r="B143" s="17">
        <v>7081400.0</v>
      </c>
    </row>
    <row r="144">
      <c r="A144" s="17">
        <v>100.0</v>
      </c>
      <c r="B144" s="17">
        <v>7081500.0</v>
      </c>
    </row>
    <row r="145">
      <c r="A145" s="17">
        <v>100.0</v>
      </c>
      <c r="B145" s="17">
        <v>7081700.0</v>
      </c>
    </row>
    <row r="146">
      <c r="A146" s="17">
        <v>100.0</v>
      </c>
      <c r="B146" s="17">
        <v>7081800.0</v>
      </c>
    </row>
    <row r="147">
      <c r="A147" s="17">
        <v>100.0</v>
      </c>
      <c r="B147" s="17">
        <v>7081900.0</v>
      </c>
    </row>
    <row r="148">
      <c r="A148" s="17">
        <v>100.0</v>
      </c>
      <c r="B148" s="17">
        <v>7082000.0</v>
      </c>
    </row>
    <row r="149">
      <c r="A149" s="17">
        <v>100.0</v>
      </c>
      <c r="B149" s="17">
        <v>7082100.0</v>
      </c>
    </row>
    <row r="150">
      <c r="A150" s="17">
        <v>100.0</v>
      </c>
      <c r="B150" s="17">
        <v>7082200.0</v>
      </c>
    </row>
    <row r="151">
      <c r="A151" s="17">
        <v>100.0</v>
      </c>
      <c r="B151" s="17">
        <v>7082300.0</v>
      </c>
    </row>
    <row r="152">
      <c r="A152" s="17">
        <v>100.0</v>
      </c>
      <c r="B152" s="17">
        <v>7082400.0</v>
      </c>
    </row>
    <row r="153">
      <c r="A153" s="17">
        <v>100.0</v>
      </c>
      <c r="B153" s="17">
        <v>7082500.0</v>
      </c>
    </row>
    <row r="154">
      <c r="A154" s="17">
        <v>100.0</v>
      </c>
      <c r="B154" s="17">
        <v>7082600.0</v>
      </c>
    </row>
    <row r="155">
      <c r="A155" s="17">
        <v>100.0</v>
      </c>
      <c r="B155" s="17">
        <v>7082700.0</v>
      </c>
    </row>
    <row r="156">
      <c r="A156" s="17">
        <v>100.0</v>
      </c>
      <c r="B156" s="17">
        <v>7082800.0</v>
      </c>
    </row>
    <row r="157">
      <c r="A157" s="17">
        <v>100.0</v>
      </c>
      <c r="B157" s="17">
        <v>7082900.0</v>
      </c>
    </row>
    <row r="158">
      <c r="A158" s="17">
        <v>100.0</v>
      </c>
      <c r="B158" s="17">
        <v>7090000.0</v>
      </c>
    </row>
    <row r="159">
      <c r="A159" s="17">
        <v>100.0</v>
      </c>
      <c r="B159" s="17">
        <v>7090100.0</v>
      </c>
    </row>
    <row r="160">
      <c r="A160" s="17">
        <v>100.0</v>
      </c>
      <c r="B160" s="17">
        <v>7090300.0</v>
      </c>
    </row>
    <row r="161">
      <c r="A161" s="17">
        <v>100.0</v>
      </c>
      <c r="B161" s="17">
        <v>7100100.0</v>
      </c>
    </row>
    <row r="162">
      <c r="A162" s="17">
        <v>100.0</v>
      </c>
      <c r="B162" s="17">
        <v>7110000.0</v>
      </c>
    </row>
    <row r="163">
      <c r="A163" s="17">
        <v>100.0</v>
      </c>
      <c r="B163" s="17">
        <v>7120000.0</v>
      </c>
    </row>
    <row r="164">
      <c r="A164" s="17">
        <v>100.0</v>
      </c>
      <c r="B164" s="17">
        <v>7120100.0</v>
      </c>
    </row>
    <row r="165">
      <c r="A165" s="17">
        <v>100.0</v>
      </c>
      <c r="B165" s="17">
        <v>7120200.0</v>
      </c>
    </row>
    <row r="166">
      <c r="A166" s="17">
        <v>100.0</v>
      </c>
      <c r="B166" s="17">
        <v>7120300.0</v>
      </c>
    </row>
    <row r="167">
      <c r="A167" s="17">
        <v>100.0</v>
      </c>
      <c r="B167" s="17">
        <v>7120400.0</v>
      </c>
    </row>
    <row r="168">
      <c r="A168" s="17">
        <v>100.0</v>
      </c>
      <c r="B168" s="17">
        <v>7120500.0</v>
      </c>
    </row>
    <row r="169">
      <c r="A169" s="17">
        <v>100.0</v>
      </c>
      <c r="B169" s="17">
        <v>7120600.0</v>
      </c>
    </row>
    <row r="170">
      <c r="A170" s="17">
        <v>100.0</v>
      </c>
      <c r="B170" s="17">
        <v>7120900.0</v>
      </c>
    </row>
    <row r="171">
      <c r="A171" s="17">
        <v>100.0</v>
      </c>
      <c r="B171" s="17">
        <v>7121000.0</v>
      </c>
    </row>
    <row r="172">
      <c r="A172" s="17">
        <v>100.0</v>
      </c>
      <c r="B172" s="17">
        <v>7121100.0</v>
      </c>
    </row>
    <row r="173">
      <c r="A173" s="17">
        <v>100.0</v>
      </c>
      <c r="B173" s="17">
        <v>7121200.0</v>
      </c>
    </row>
    <row r="174">
      <c r="A174" s="17">
        <v>100.0</v>
      </c>
      <c r="B174" s="17">
        <v>7121300.0</v>
      </c>
    </row>
    <row r="175">
      <c r="A175" s="17">
        <v>100.0</v>
      </c>
      <c r="B175" s="17">
        <v>7121400.0</v>
      </c>
    </row>
    <row r="176">
      <c r="A176" s="17">
        <v>100.0</v>
      </c>
      <c r="B176" s="17">
        <v>7121500.0</v>
      </c>
    </row>
    <row r="177">
      <c r="A177" s="17">
        <v>100.0</v>
      </c>
      <c r="B177" s="17">
        <v>7121600.0</v>
      </c>
    </row>
    <row r="178">
      <c r="A178" s="17">
        <v>100.0</v>
      </c>
      <c r="B178" s="17">
        <v>7121700.0</v>
      </c>
    </row>
    <row r="179">
      <c r="A179" s="17">
        <v>100.0</v>
      </c>
      <c r="B179" s="17">
        <v>7121800.0</v>
      </c>
    </row>
    <row r="180">
      <c r="A180" s="17">
        <v>100.0</v>
      </c>
      <c r="B180" s="17">
        <v>7121900.0</v>
      </c>
    </row>
    <row r="181">
      <c r="A181" s="17">
        <v>100.0</v>
      </c>
      <c r="B181" s="17">
        <v>7122000.0</v>
      </c>
    </row>
    <row r="182">
      <c r="A182" s="17">
        <v>100.0</v>
      </c>
      <c r="B182" s="17">
        <v>7122100.0</v>
      </c>
    </row>
    <row r="183">
      <c r="A183" s="17">
        <v>100.0</v>
      </c>
      <c r="B183" s="17">
        <v>7122200.0</v>
      </c>
    </row>
    <row r="184">
      <c r="A184" s="17">
        <v>100.0</v>
      </c>
      <c r="B184" s="17">
        <v>7122300.0</v>
      </c>
    </row>
    <row r="185">
      <c r="A185" s="17">
        <v>100.0</v>
      </c>
      <c r="B185" s="17">
        <v>7122400.0</v>
      </c>
    </row>
    <row r="186">
      <c r="A186" s="17">
        <v>100.0</v>
      </c>
      <c r="B186" s="17">
        <v>7122500.0</v>
      </c>
    </row>
    <row r="187">
      <c r="A187" s="17">
        <v>100.0</v>
      </c>
      <c r="B187" s="17">
        <v>7122600.0</v>
      </c>
    </row>
    <row r="188">
      <c r="A188" s="17">
        <v>100.0</v>
      </c>
      <c r="B188" s="17">
        <v>7122700.0</v>
      </c>
    </row>
    <row r="189">
      <c r="A189" s="17">
        <v>100.0</v>
      </c>
      <c r="B189" s="17">
        <v>7122800.0</v>
      </c>
    </row>
    <row r="190">
      <c r="A190" s="17">
        <v>100.0</v>
      </c>
      <c r="B190" s="17">
        <v>7122900.0</v>
      </c>
    </row>
    <row r="191">
      <c r="A191" s="17">
        <v>100.0</v>
      </c>
      <c r="B191" s="17">
        <v>7123000.0</v>
      </c>
    </row>
    <row r="192">
      <c r="A192" s="17">
        <v>100.0</v>
      </c>
      <c r="B192" s="17">
        <v>7123100.0</v>
      </c>
    </row>
    <row r="193">
      <c r="A193" s="17">
        <v>100.0</v>
      </c>
      <c r="B193" s="17">
        <v>7123200.0</v>
      </c>
    </row>
    <row r="194">
      <c r="A194" s="17">
        <v>100.0</v>
      </c>
      <c r="B194" s="17">
        <v>7123300.0</v>
      </c>
    </row>
    <row r="195">
      <c r="A195" s="17">
        <v>100.0</v>
      </c>
      <c r="B195" s="17">
        <v>7123400.0</v>
      </c>
    </row>
    <row r="196">
      <c r="A196" s="17">
        <v>100.0</v>
      </c>
      <c r="B196" s="17">
        <v>7123500.0</v>
      </c>
    </row>
    <row r="197">
      <c r="A197" s="17">
        <v>100.0</v>
      </c>
      <c r="B197" s="17">
        <v>7123600.0</v>
      </c>
    </row>
    <row r="198">
      <c r="A198" s="17">
        <v>100.0</v>
      </c>
      <c r="B198" s="17">
        <v>7123700.0</v>
      </c>
    </row>
    <row r="199">
      <c r="A199" s="17">
        <v>100.0</v>
      </c>
      <c r="B199" s="17">
        <v>7123800.0</v>
      </c>
    </row>
    <row r="200">
      <c r="A200" s="17">
        <v>100.0</v>
      </c>
      <c r="B200" s="17">
        <v>7123900.0</v>
      </c>
    </row>
    <row r="201">
      <c r="A201" s="17">
        <v>100.0</v>
      </c>
      <c r="B201" s="17">
        <v>7124000.0</v>
      </c>
    </row>
    <row r="202">
      <c r="A202" s="17">
        <v>100.0</v>
      </c>
      <c r="B202" s="17">
        <v>7124100.0</v>
      </c>
    </row>
    <row r="203">
      <c r="A203" s="17">
        <v>100.0</v>
      </c>
      <c r="B203" s="17">
        <v>7124300.0</v>
      </c>
    </row>
    <row r="204">
      <c r="A204" s="17">
        <v>100.0</v>
      </c>
      <c r="B204" s="17">
        <v>7124400.0</v>
      </c>
    </row>
    <row r="205">
      <c r="A205" s="17">
        <v>100.0</v>
      </c>
      <c r="B205" s="17">
        <v>7124500.0</v>
      </c>
    </row>
    <row r="206">
      <c r="A206" s="17">
        <v>100.0</v>
      </c>
      <c r="B206" s="17">
        <v>7124600.0</v>
      </c>
    </row>
    <row r="207">
      <c r="A207" s="17">
        <v>100.0</v>
      </c>
      <c r="B207" s="17">
        <v>7124700.0</v>
      </c>
    </row>
    <row r="208">
      <c r="A208" s="17">
        <v>100.0</v>
      </c>
      <c r="B208" s="17">
        <v>7126000.0</v>
      </c>
    </row>
    <row r="209">
      <c r="A209" s="17">
        <v>100.0</v>
      </c>
      <c r="B209" s="17">
        <v>7150000.0</v>
      </c>
    </row>
    <row r="210">
      <c r="A210" s="17">
        <v>100.0</v>
      </c>
      <c r="B210" s="17">
        <v>7160000.0</v>
      </c>
    </row>
    <row r="211">
      <c r="A211" s="17">
        <v>100.0</v>
      </c>
      <c r="B211" s="17">
        <v>7220000.0</v>
      </c>
    </row>
    <row r="212">
      <c r="A212" s="17">
        <v>100.0</v>
      </c>
      <c r="B212" s="17">
        <v>7230000.0</v>
      </c>
    </row>
    <row r="213">
      <c r="A213" s="17">
        <v>100.0</v>
      </c>
      <c r="B213" s="17">
        <v>7240000.0</v>
      </c>
    </row>
    <row r="214">
      <c r="A214" s="17">
        <v>100.0</v>
      </c>
      <c r="B214" s="17">
        <v>7260000.0</v>
      </c>
    </row>
    <row r="215">
      <c r="A215" s="17">
        <v>100.0</v>
      </c>
      <c r="B215" s="17">
        <v>7260300.0</v>
      </c>
    </row>
    <row r="216">
      <c r="A216" s="17">
        <v>100.0</v>
      </c>
      <c r="B216" s="17">
        <v>7260400.0</v>
      </c>
    </row>
    <row r="217">
      <c r="A217" s="17">
        <v>100.0</v>
      </c>
      <c r="B217" s="17">
        <v>7270100.0</v>
      </c>
    </row>
    <row r="218">
      <c r="A218" s="17">
        <v>100.0</v>
      </c>
      <c r="B218" s="17">
        <v>7280000.0</v>
      </c>
    </row>
    <row r="219">
      <c r="A219" s="17">
        <v>100.0</v>
      </c>
      <c r="B219" s="17">
        <v>7290000.0</v>
      </c>
    </row>
    <row r="220">
      <c r="A220" s="17">
        <v>100.0</v>
      </c>
      <c r="B220" s="17">
        <v>7310000.0</v>
      </c>
    </row>
    <row r="221">
      <c r="A221" s="17">
        <v>100.0</v>
      </c>
      <c r="B221" s="17">
        <v>7330000.0</v>
      </c>
    </row>
    <row r="222">
      <c r="A222" s="17">
        <v>100.0</v>
      </c>
      <c r="B222" s="17">
        <v>7330100.0</v>
      </c>
    </row>
    <row r="223">
      <c r="A223" s="17">
        <v>100.0</v>
      </c>
      <c r="B223" s="17">
        <v>7330200.0</v>
      </c>
    </row>
    <row r="224">
      <c r="A224" s="17">
        <v>100.0</v>
      </c>
      <c r="B224" s="17">
        <v>7330300.0</v>
      </c>
    </row>
    <row r="225">
      <c r="A225" s="17">
        <v>100.0</v>
      </c>
      <c r="B225" s="17">
        <v>7330400.0</v>
      </c>
    </row>
    <row r="226">
      <c r="A226" s="17">
        <v>100.0</v>
      </c>
      <c r="B226" s="17">
        <v>7330500.0</v>
      </c>
    </row>
    <row r="227">
      <c r="A227" s="17">
        <v>100.0</v>
      </c>
      <c r="B227" s="17">
        <v>7330600.0</v>
      </c>
    </row>
    <row r="228">
      <c r="A228" s="17">
        <v>100.0</v>
      </c>
      <c r="B228" s="17">
        <v>7330700.0</v>
      </c>
    </row>
    <row r="229">
      <c r="A229" s="17">
        <v>100.0</v>
      </c>
      <c r="B229" s="17">
        <v>7330800.0</v>
      </c>
    </row>
    <row r="230">
      <c r="A230" s="17">
        <v>100.0</v>
      </c>
      <c r="B230" s="17">
        <v>7330900.0</v>
      </c>
    </row>
    <row r="231">
      <c r="A231" s="17">
        <v>100.0</v>
      </c>
      <c r="B231" s="17">
        <v>7331000.0</v>
      </c>
    </row>
    <row r="232">
      <c r="A232" s="17">
        <v>100.0</v>
      </c>
      <c r="B232" s="17">
        <v>7331100.0</v>
      </c>
    </row>
    <row r="233">
      <c r="A233" s="17">
        <v>100.0</v>
      </c>
      <c r="B233" s="17">
        <v>7331200.0</v>
      </c>
    </row>
    <row r="234">
      <c r="A234" s="17">
        <v>100.0</v>
      </c>
      <c r="B234" s="17">
        <v>7331300.0</v>
      </c>
    </row>
    <row r="235">
      <c r="A235" s="17">
        <v>100.0</v>
      </c>
      <c r="B235" s="17">
        <v>7331400.0</v>
      </c>
    </row>
    <row r="236">
      <c r="A236" s="17">
        <v>100.0</v>
      </c>
      <c r="B236" s="17">
        <v>7331500.0</v>
      </c>
    </row>
    <row r="237">
      <c r="A237" s="17">
        <v>100.0</v>
      </c>
      <c r="B237" s="17">
        <v>7331700.0</v>
      </c>
    </row>
    <row r="238">
      <c r="A238" s="17">
        <v>100.0</v>
      </c>
      <c r="B238" s="17">
        <v>7331800.0</v>
      </c>
    </row>
    <row r="239">
      <c r="A239" s="17">
        <v>100.0</v>
      </c>
      <c r="B239" s="17">
        <v>7331900.0</v>
      </c>
    </row>
    <row r="240">
      <c r="A240" s="17">
        <v>100.0</v>
      </c>
      <c r="B240" s="17">
        <v>7332000.0</v>
      </c>
    </row>
    <row r="241">
      <c r="A241" s="17">
        <v>100.0</v>
      </c>
      <c r="B241" s="17">
        <v>7332100.0</v>
      </c>
    </row>
    <row r="242">
      <c r="A242" s="17">
        <v>100.0</v>
      </c>
      <c r="B242" s="17">
        <v>7332200.0</v>
      </c>
    </row>
    <row r="243">
      <c r="A243" s="17">
        <v>100.0</v>
      </c>
      <c r="B243" s="17">
        <v>7332300.0</v>
      </c>
    </row>
    <row r="244">
      <c r="A244" s="17">
        <v>100.0</v>
      </c>
      <c r="B244" s="17">
        <v>7332400.0</v>
      </c>
    </row>
    <row r="245">
      <c r="A245" s="17">
        <v>100.0</v>
      </c>
      <c r="B245" s="17">
        <v>7340000.0</v>
      </c>
    </row>
    <row r="246">
      <c r="A246" s="17">
        <v>100.0</v>
      </c>
      <c r="B246" s="17">
        <v>7340100.0</v>
      </c>
    </row>
    <row r="247">
      <c r="A247" s="17">
        <v>100.0</v>
      </c>
      <c r="B247" s="17">
        <v>7340200.0</v>
      </c>
    </row>
    <row r="248">
      <c r="A248" s="17">
        <v>100.0</v>
      </c>
      <c r="B248" s="17">
        <v>7340300.0</v>
      </c>
    </row>
    <row r="249">
      <c r="A249" s="17">
        <v>100.0</v>
      </c>
      <c r="B249" s="17">
        <v>7340400.0</v>
      </c>
    </row>
    <row r="250">
      <c r="A250" s="17">
        <v>100.0</v>
      </c>
      <c r="B250" s="17">
        <v>7340500.0</v>
      </c>
    </row>
    <row r="251">
      <c r="A251" s="17">
        <v>100.0</v>
      </c>
      <c r="B251" s="17">
        <v>7340600.0</v>
      </c>
    </row>
    <row r="252">
      <c r="A252" s="17">
        <v>100.0</v>
      </c>
      <c r="B252" s="17">
        <v>7340700.0</v>
      </c>
    </row>
    <row r="253">
      <c r="A253" s="17">
        <v>100.0</v>
      </c>
      <c r="B253" s="17">
        <v>7340800.0</v>
      </c>
    </row>
    <row r="254">
      <c r="A254" s="17">
        <v>100.0</v>
      </c>
      <c r="B254" s="17">
        <v>7340900.0</v>
      </c>
    </row>
    <row r="255">
      <c r="A255" s="17">
        <v>100.0</v>
      </c>
      <c r="B255" s="17">
        <v>7341000.0</v>
      </c>
    </row>
    <row r="256">
      <c r="A256" s="17">
        <v>100.0</v>
      </c>
      <c r="B256" s="17">
        <v>7341100.0</v>
      </c>
    </row>
    <row r="257">
      <c r="A257" s="17">
        <v>100.0</v>
      </c>
      <c r="B257" s="17">
        <v>7341200.0</v>
      </c>
    </row>
    <row r="258">
      <c r="A258" s="17">
        <v>100.0</v>
      </c>
      <c r="B258" s="17">
        <v>7341300.0</v>
      </c>
    </row>
    <row r="259">
      <c r="A259" s="17">
        <v>100.0</v>
      </c>
      <c r="B259" s="17">
        <v>7341400.0</v>
      </c>
    </row>
    <row r="260">
      <c r="A260" s="17">
        <v>100.0</v>
      </c>
      <c r="B260" s="17">
        <v>7341500.0</v>
      </c>
    </row>
    <row r="261">
      <c r="A261" s="17">
        <v>100.0</v>
      </c>
      <c r="B261" s="17">
        <v>7341700.0</v>
      </c>
    </row>
    <row r="262">
      <c r="A262" s="17">
        <v>100.0</v>
      </c>
      <c r="B262" s="17">
        <v>7341800.0</v>
      </c>
    </row>
    <row r="263">
      <c r="A263" s="17">
        <v>100.0</v>
      </c>
      <c r="B263" s="17">
        <v>7341900.0</v>
      </c>
    </row>
    <row r="264">
      <c r="A264" s="17">
        <v>100.0</v>
      </c>
      <c r="B264" s="17">
        <v>7342000.0</v>
      </c>
    </row>
    <row r="265">
      <c r="A265" s="17">
        <v>100.0</v>
      </c>
      <c r="B265" s="17">
        <v>7342100.0</v>
      </c>
    </row>
    <row r="266">
      <c r="A266" s="17">
        <v>100.0</v>
      </c>
      <c r="B266" s="17">
        <v>7342200.0</v>
      </c>
    </row>
    <row r="267">
      <c r="A267" s="17">
        <v>100.0</v>
      </c>
      <c r="B267" s="17">
        <v>7342300.0</v>
      </c>
    </row>
    <row r="268">
      <c r="A268" s="17">
        <v>100.0</v>
      </c>
      <c r="B268" s="17">
        <v>7342400.0</v>
      </c>
    </row>
    <row r="269">
      <c r="A269" s="17">
        <v>100.0</v>
      </c>
      <c r="B269" s="17">
        <v>7350000.0</v>
      </c>
    </row>
    <row r="270">
      <c r="A270" s="17">
        <v>100.0</v>
      </c>
      <c r="B270" s="17">
        <v>7350100.0</v>
      </c>
    </row>
    <row r="271">
      <c r="A271" s="17">
        <v>100.0</v>
      </c>
      <c r="B271" s="17">
        <v>7350200.0</v>
      </c>
    </row>
    <row r="272">
      <c r="A272" s="17">
        <v>100.0</v>
      </c>
      <c r="B272" s="17">
        <v>7350300.0</v>
      </c>
    </row>
    <row r="273">
      <c r="A273" s="17">
        <v>100.0</v>
      </c>
      <c r="B273" s="17">
        <v>7350400.0</v>
      </c>
    </row>
    <row r="274">
      <c r="A274" s="17">
        <v>100.0</v>
      </c>
      <c r="B274" s="17">
        <v>7350500.0</v>
      </c>
    </row>
    <row r="275">
      <c r="A275" s="17">
        <v>100.0</v>
      </c>
      <c r="B275" s="17">
        <v>7350600.0</v>
      </c>
    </row>
    <row r="276">
      <c r="A276" s="17">
        <v>100.0</v>
      </c>
      <c r="B276" s="17">
        <v>7350700.0</v>
      </c>
    </row>
    <row r="277">
      <c r="A277" s="17">
        <v>100.0</v>
      </c>
      <c r="B277" s="17">
        <v>7350800.0</v>
      </c>
    </row>
    <row r="278">
      <c r="A278" s="17">
        <v>100.0</v>
      </c>
      <c r="B278" s="17">
        <v>7350900.0</v>
      </c>
    </row>
    <row r="279">
      <c r="A279" s="17">
        <v>100.0</v>
      </c>
      <c r="B279" s="17">
        <v>7351000.0</v>
      </c>
    </row>
    <row r="280">
      <c r="A280" s="17">
        <v>100.0</v>
      </c>
      <c r="B280" s="17">
        <v>7351100.0</v>
      </c>
    </row>
    <row r="281">
      <c r="A281" s="17">
        <v>100.0</v>
      </c>
      <c r="B281" s="17">
        <v>7351200.0</v>
      </c>
    </row>
    <row r="282">
      <c r="A282" s="17">
        <v>100.0</v>
      </c>
      <c r="B282" s="17">
        <v>7351300.0</v>
      </c>
    </row>
    <row r="283">
      <c r="A283" s="17">
        <v>100.0</v>
      </c>
      <c r="B283" s="17">
        <v>7351400.0</v>
      </c>
    </row>
    <row r="284">
      <c r="A284" s="17">
        <v>100.0</v>
      </c>
      <c r="B284" s="17">
        <v>7351500.0</v>
      </c>
    </row>
    <row r="285">
      <c r="A285" s="17">
        <v>100.0</v>
      </c>
      <c r="B285" s="17">
        <v>7351700.0</v>
      </c>
    </row>
    <row r="286">
      <c r="A286" s="17">
        <v>100.0</v>
      </c>
      <c r="B286" s="17">
        <v>7351800.0</v>
      </c>
    </row>
    <row r="287">
      <c r="A287" s="17">
        <v>100.0</v>
      </c>
      <c r="B287" s="17">
        <v>7351900.0</v>
      </c>
    </row>
    <row r="288">
      <c r="A288" s="17">
        <v>100.0</v>
      </c>
      <c r="B288" s="17">
        <v>7352000.0</v>
      </c>
    </row>
    <row r="289">
      <c r="A289" s="17">
        <v>100.0</v>
      </c>
      <c r="B289" s="17">
        <v>7352100.0</v>
      </c>
    </row>
    <row r="290">
      <c r="A290" s="17">
        <v>100.0</v>
      </c>
      <c r="B290" s="17">
        <v>7352200.0</v>
      </c>
    </row>
    <row r="291">
      <c r="A291" s="17">
        <v>100.0</v>
      </c>
      <c r="B291" s="17">
        <v>7352300.0</v>
      </c>
    </row>
    <row r="292">
      <c r="A292" s="17">
        <v>100.0</v>
      </c>
      <c r="B292" s="17">
        <v>7352400.0</v>
      </c>
    </row>
    <row r="293">
      <c r="A293" s="17">
        <v>110.0</v>
      </c>
      <c r="B293" s="17">
        <v>7000000.0</v>
      </c>
    </row>
    <row r="294">
      <c r="A294" s="17">
        <v>110.0</v>
      </c>
      <c r="B294" s="17">
        <v>7000001.0</v>
      </c>
    </row>
    <row r="295">
      <c r="A295" s="17">
        <v>110.0</v>
      </c>
      <c r="B295" s="17">
        <v>7000002.0</v>
      </c>
    </row>
    <row r="296">
      <c r="A296" s="17">
        <v>110.0</v>
      </c>
      <c r="B296" s="17">
        <v>7000100.0</v>
      </c>
    </row>
    <row r="297">
      <c r="A297" s="17">
        <v>110.0</v>
      </c>
      <c r="B297" s="17">
        <v>7000101.0</v>
      </c>
    </row>
    <row r="298">
      <c r="A298" s="17">
        <v>110.0</v>
      </c>
      <c r="B298" s="17">
        <v>7000102.0</v>
      </c>
    </row>
    <row r="299">
      <c r="A299" s="17">
        <v>110.0</v>
      </c>
      <c r="B299" s="17">
        <v>7000200.0</v>
      </c>
    </row>
    <row r="300">
      <c r="A300" s="17">
        <v>110.0</v>
      </c>
      <c r="B300" s="17">
        <v>7000201.0</v>
      </c>
    </row>
    <row r="301">
      <c r="A301" s="17">
        <v>110.0</v>
      </c>
      <c r="B301" s="17">
        <v>7000202.0</v>
      </c>
    </row>
    <row r="302">
      <c r="A302" s="17">
        <v>110.0</v>
      </c>
      <c r="B302" s="17">
        <v>7000300.0</v>
      </c>
    </row>
    <row r="303">
      <c r="A303" s="17">
        <v>110.0</v>
      </c>
      <c r="B303" s="17">
        <v>7000301.0</v>
      </c>
    </row>
    <row r="304">
      <c r="A304" s="17">
        <v>110.0</v>
      </c>
      <c r="B304" s="17">
        <v>7000302.0</v>
      </c>
    </row>
    <row r="305">
      <c r="A305" s="17">
        <v>110.0</v>
      </c>
      <c r="B305" s="17">
        <v>7000400.0</v>
      </c>
    </row>
    <row r="306">
      <c r="A306" s="17">
        <v>110.0</v>
      </c>
      <c r="B306" s="17">
        <v>7000401.0</v>
      </c>
    </row>
    <row r="307">
      <c r="A307" s="17">
        <v>110.0</v>
      </c>
      <c r="B307" s="17">
        <v>7000402.0</v>
      </c>
    </row>
    <row r="308">
      <c r="A308" s="17">
        <v>110.0</v>
      </c>
      <c r="B308" s="17">
        <v>7000500.0</v>
      </c>
    </row>
    <row r="309">
      <c r="A309" s="17">
        <v>110.0</v>
      </c>
      <c r="B309" s="17">
        <v>7000501.0</v>
      </c>
    </row>
    <row r="310">
      <c r="A310" s="17">
        <v>110.0</v>
      </c>
      <c r="B310" s="17">
        <v>7000502.0</v>
      </c>
    </row>
    <row r="311">
      <c r="A311" s="17">
        <v>110.0</v>
      </c>
      <c r="B311" s="17">
        <v>7000600.0</v>
      </c>
    </row>
    <row r="312">
      <c r="A312" s="17">
        <v>110.0</v>
      </c>
      <c r="B312" s="17">
        <v>7000601.0</v>
      </c>
    </row>
    <row r="313">
      <c r="A313" s="17">
        <v>110.0</v>
      </c>
      <c r="B313" s="17">
        <v>7000602.0</v>
      </c>
    </row>
    <row r="314">
      <c r="A314" s="17">
        <v>110.0</v>
      </c>
      <c r="B314" s="17">
        <v>7000700.0</v>
      </c>
    </row>
    <row r="315">
      <c r="A315" s="17">
        <v>110.0</v>
      </c>
      <c r="B315" s="17">
        <v>7000701.0</v>
      </c>
    </row>
    <row r="316">
      <c r="A316" s="17">
        <v>110.0</v>
      </c>
      <c r="B316" s="17">
        <v>7000702.0</v>
      </c>
    </row>
    <row r="317">
      <c r="A317" s="17">
        <v>110.0</v>
      </c>
      <c r="B317" s="17">
        <v>7000800.0</v>
      </c>
    </row>
    <row r="318">
      <c r="A318" s="17">
        <v>110.0</v>
      </c>
      <c r="B318" s="17">
        <v>7000801.0</v>
      </c>
    </row>
    <row r="319">
      <c r="A319" s="17">
        <v>110.0</v>
      </c>
      <c r="B319" s="17">
        <v>7000802.0</v>
      </c>
    </row>
    <row r="320">
      <c r="A320" s="17">
        <v>110.0</v>
      </c>
      <c r="B320" s="17">
        <v>7000900.0</v>
      </c>
    </row>
    <row r="321">
      <c r="A321" s="17">
        <v>110.0</v>
      </c>
      <c r="B321" s="17">
        <v>7000901.0</v>
      </c>
    </row>
    <row r="322">
      <c r="A322" s="17">
        <v>110.0</v>
      </c>
      <c r="B322" s="17">
        <v>7000902.0</v>
      </c>
    </row>
    <row r="323">
      <c r="A323" s="17">
        <v>110.0</v>
      </c>
      <c r="B323" s="17">
        <v>7001000.0</v>
      </c>
    </row>
    <row r="324">
      <c r="A324" s="17">
        <v>110.0</v>
      </c>
      <c r="B324" s="17">
        <v>7001001.0</v>
      </c>
    </row>
    <row r="325">
      <c r="A325" s="17">
        <v>110.0</v>
      </c>
      <c r="B325" s="17">
        <v>7001002.0</v>
      </c>
    </row>
    <row r="326">
      <c r="A326" s="17">
        <v>110.0</v>
      </c>
      <c r="B326" s="17">
        <v>7001400.0</v>
      </c>
    </row>
    <row r="327">
      <c r="A327" s="17">
        <v>110.0</v>
      </c>
      <c r="B327" s="17">
        <v>7001401.0</v>
      </c>
    </row>
    <row r="328">
      <c r="A328" s="17">
        <v>110.0</v>
      </c>
      <c r="B328" s="17">
        <v>7001402.0</v>
      </c>
    </row>
    <row r="329">
      <c r="A329" s="17">
        <v>110.0</v>
      </c>
      <c r="B329" s="17">
        <v>7001500.0</v>
      </c>
    </row>
    <row r="330">
      <c r="A330" s="17">
        <v>110.0</v>
      </c>
      <c r="B330" s="17">
        <v>7001501.0</v>
      </c>
    </row>
    <row r="331">
      <c r="A331" s="17">
        <v>110.0</v>
      </c>
      <c r="B331" s="17">
        <v>7001502.0</v>
      </c>
    </row>
    <row r="332">
      <c r="A332" s="17">
        <v>110.0</v>
      </c>
      <c r="B332" s="17">
        <v>7001600.0</v>
      </c>
    </row>
    <row r="333">
      <c r="A333" s="17">
        <v>110.0</v>
      </c>
      <c r="B333" s="17">
        <v>7001601.0</v>
      </c>
    </row>
    <row r="334">
      <c r="A334" s="17">
        <v>110.0</v>
      </c>
      <c r="B334" s="17">
        <v>7001602.0</v>
      </c>
    </row>
    <row r="335">
      <c r="A335" s="17">
        <v>110.0</v>
      </c>
      <c r="B335" s="17">
        <v>7001700.0</v>
      </c>
    </row>
    <row r="336">
      <c r="A336" s="17">
        <v>110.0</v>
      </c>
      <c r="B336" s="17">
        <v>7001701.0</v>
      </c>
    </row>
    <row r="337">
      <c r="A337" s="17">
        <v>110.0</v>
      </c>
      <c r="B337" s="17">
        <v>7001702.0</v>
      </c>
    </row>
    <row r="338">
      <c r="A338" s="17">
        <v>110.0</v>
      </c>
      <c r="B338" s="17">
        <v>7001800.0</v>
      </c>
    </row>
    <row r="339">
      <c r="A339" s="17">
        <v>110.0</v>
      </c>
      <c r="B339" s="17">
        <v>7001801.0</v>
      </c>
    </row>
    <row r="340">
      <c r="A340" s="17">
        <v>110.0</v>
      </c>
      <c r="B340" s="17">
        <v>7001802.0</v>
      </c>
    </row>
    <row r="341">
      <c r="A341" s="17">
        <v>110.0</v>
      </c>
      <c r="B341" s="17">
        <v>7002600.0</v>
      </c>
    </row>
    <row r="342">
      <c r="A342" s="17">
        <v>110.0</v>
      </c>
      <c r="B342" s="17">
        <v>7002700.0</v>
      </c>
    </row>
    <row r="343">
      <c r="A343" s="17">
        <v>110.0</v>
      </c>
      <c r="B343" s="17">
        <v>7002800.0</v>
      </c>
    </row>
    <row r="344">
      <c r="A344" s="17">
        <v>110.0</v>
      </c>
      <c r="B344" s="17">
        <v>7002900.0</v>
      </c>
    </row>
    <row r="345">
      <c r="A345" s="17">
        <v>110.0</v>
      </c>
      <c r="B345" s="17">
        <v>7003000.0</v>
      </c>
    </row>
    <row r="346">
      <c r="A346" s="17">
        <v>110.0</v>
      </c>
      <c r="B346" s="17">
        <v>7003100.0</v>
      </c>
    </row>
    <row r="347">
      <c r="A347" s="17">
        <v>110.0</v>
      </c>
      <c r="B347" s="17">
        <v>7003200.0</v>
      </c>
    </row>
    <row r="348">
      <c r="A348" s="17">
        <v>110.0</v>
      </c>
      <c r="B348" s="17">
        <v>7003300.0</v>
      </c>
    </row>
    <row r="349">
      <c r="A349" s="17">
        <v>110.0</v>
      </c>
      <c r="B349" s="17">
        <v>7003400.0</v>
      </c>
    </row>
    <row r="350">
      <c r="A350" s="17">
        <v>110.0</v>
      </c>
      <c r="B350" s="17">
        <v>7003500.0</v>
      </c>
    </row>
    <row r="351">
      <c r="A351" s="17">
        <v>110.0</v>
      </c>
      <c r="B351" s="17">
        <v>7003600.0</v>
      </c>
    </row>
    <row r="352">
      <c r="A352" s="17">
        <v>110.0</v>
      </c>
      <c r="B352" s="17">
        <v>7005600.0</v>
      </c>
    </row>
    <row r="353">
      <c r="A353" s="17">
        <v>110.0</v>
      </c>
      <c r="B353" s="17">
        <v>7006000.0</v>
      </c>
    </row>
    <row r="354">
      <c r="A354" s="17">
        <v>110.0</v>
      </c>
      <c r="B354" s="17">
        <v>7006100.0</v>
      </c>
    </row>
    <row r="355">
      <c r="A355" s="17">
        <v>110.0</v>
      </c>
      <c r="B355" s="17">
        <v>7010200.0</v>
      </c>
    </row>
    <row r="356">
      <c r="A356" s="17">
        <v>110.0</v>
      </c>
      <c r="B356" s="17">
        <v>7010500.0</v>
      </c>
    </row>
    <row r="357">
      <c r="A357" s="17">
        <v>110.0</v>
      </c>
      <c r="B357" s="17">
        <v>7010700.0</v>
      </c>
    </row>
    <row r="358">
      <c r="A358" s="17">
        <v>110.0</v>
      </c>
      <c r="B358" s="17">
        <v>7010900.0</v>
      </c>
    </row>
    <row r="359">
      <c r="A359" s="17">
        <v>110.0</v>
      </c>
      <c r="B359" s="17">
        <v>7011000.0</v>
      </c>
    </row>
    <row r="360">
      <c r="A360" s="17">
        <v>110.0</v>
      </c>
      <c r="B360" s="17">
        <v>7011200.0</v>
      </c>
    </row>
    <row r="361">
      <c r="A361" s="17">
        <v>110.0</v>
      </c>
      <c r="B361" s="17">
        <v>7011600.0</v>
      </c>
    </row>
    <row r="362">
      <c r="A362" s="17">
        <v>110.0</v>
      </c>
      <c r="B362" s="17">
        <v>7011700.0</v>
      </c>
    </row>
    <row r="363">
      <c r="A363" s="17">
        <v>110.0</v>
      </c>
      <c r="B363" s="17">
        <v>7012000.0</v>
      </c>
    </row>
    <row r="364">
      <c r="A364" s="17">
        <v>110.0</v>
      </c>
      <c r="B364" s="17">
        <v>7012200.0</v>
      </c>
    </row>
    <row r="365">
      <c r="A365" s="17">
        <v>110.0</v>
      </c>
      <c r="B365" s="17">
        <v>7012300.0</v>
      </c>
    </row>
    <row r="366">
      <c r="A366" s="17">
        <v>110.0</v>
      </c>
      <c r="B366" s="17">
        <v>7020000.0</v>
      </c>
    </row>
    <row r="367">
      <c r="A367" s="17">
        <v>110.0</v>
      </c>
      <c r="B367" s="17">
        <v>7030000.0</v>
      </c>
    </row>
    <row r="368">
      <c r="A368" s="17">
        <v>110.0</v>
      </c>
      <c r="B368" s="17">
        <v>7030200.0</v>
      </c>
    </row>
    <row r="369">
      <c r="A369" s="17">
        <v>110.0</v>
      </c>
      <c r="B369" s="17">
        <v>7030600.0</v>
      </c>
    </row>
    <row r="370">
      <c r="A370" s="17">
        <v>110.0</v>
      </c>
      <c r="B370" s="17">
        <v>7030700.0</v>
      </c>
    </row>
    <row r="371">
      <c r="A371" s="17">
        <v>110.0</v>
      </c>
      <c r="B371" s="17">
        <v>7030800.0</v>
      </c>
    </row>
    <row r="372">
      <c r="A372" s="17">
        <v>110.0</v>
      </c>
      <c r="B372" s="17">
        <v>7030900.0</v>
      </c>
    </row>
    <row r="373">
      <c r="A373" s="17">
        <v>110.0</v>
      </c>
      <c r="B373" s="17">
        <v>7031200.0</v>
      </c>
    </row>
    <row r="374">
      <c r="A374" s="17">
        <v>110.0</v>
      </c>
      <c r="B374" s="17">
        <v>7031300.0</v>
      </c>
    </row>
    <row r="375">
      <c r="A375" s="17">
        <v>110.0</v>
      </c>
      <c r="B375" s="17">
        <v>7031800.0</v>
      </c>
    </row>
    <row r="376">
      <c r="A376" s="17">
        <v>110.0</v>
      </c>
      <c r="B376" s="17">
        <v>7031900.0</v>
      </c>
    </row>
    <row r="377">
      <c r="A377" s="17">
        <v>110.0</v>
      </c>
      <c r="B377" s="17">
        <v>7032200.0</v>
      </c>
    </row>
    <row r="378">
      <c r="A378" s="17">
        <v>110.0</v>
      </c>
      <c r="B378" s="17">
        <v>7032400.0</v>
      </c>
    </row>
    <row r="379">
      <c r="A379" s="17">
        <v>110.0</v>
      </c>
      <c r="B379" s="17">
        <v>7032700.0</v>
      </c>
    </row>
    <row r="380">
      <c r="A380" s="17">
        <v>110.0</v>
      </c>
      <c r="B380" s="17">
        <v>7032800.0</v>
      </c>
    </row>
    <row r="381">
      <c r="A381" s="17">
        <v>110.0</v>
      </c>
      <c r="B381" s="17">
        <v>7032900.0</v>
      </c>
    </row>
    <row r="382">
      <c r="A382" s="17">
        <v>110.0</v>
      </c>
      <c r="B382" s="17">
        <v>7033200.0</v>
      </c>
    </row>
    <row r="383">
      <c r="A383" s="17">
        <v>110.0</v>
      </c>
      <c r="B383" s="17">
        <v>7033400.0</v>
      </c>
    </row>
    <row r="384">
      <c r="A384" s="17">
        <v>110.0</v>
      </c>
      <c r="B384" s="17">
        <v>7034100.0</v>
      </c>
    </row>
    <row r="385">
      <c r="A385" s="17">
        <v>110.0</v>
      </c>
      <c r="B385" s="17">
        <v>7034400.0</v>
      </c>
    </row>
    <row r="386">
      <c r="A386" s="17">
        <v>110.0</v>
      </c>
      <c r="B386" s="17">
        <v>7034500.0</v>
      </c>
    </row>
    <row r="387">
      <c r="A387" s="17">
        <v>110.0</v>
      </c>
      <c r="B387" s="17">
        <v>7034600.0</v>
      </c>
    </row>
    <row r="388">
      <c r="A388" s="17">
        <v>110.0</v>
      </c>
      <c r="B388" s="17">
        <v>7034700.0</v>
      </c>
    </row>
    <row r="389">
      <c r="A389" s="17">
        <v>110.0</v>
      </c>
      <c r="B389" s="17">
        <v>7035100.0</v>
      </c>
    </row>
    <row r="390">
      <c r="A390" s="17">
        <v>110.0</v>
      </c>
      <c r="B390" s="17">
        <v>7036100.0</v>
      </c>
    </row>
    <row r="391">
      <c r="A391" s="17">
        <v>110.0</v>
      </c>
      <c r="B391" s="17">
        <v>7040000.0</v>
      </c>
    </row>
    <row r="392">
      <c r="A392" s="17">
        <v>110.0</v>
      </c>
      <c r="B392" s="17">
        <v>7040100.0</v>
      </c>
    </row>
    <row r="393">
      <c r="A393" s="17">
        <v>110.0</v>
      </c>
      <c r="B393" s="17">
        <v>7040200.0</v>
      </c>
    </row>
    <row r="394">
      <c r="A394" s="17">
        <v>110.0</v>
      </c>
      <c r="B394" s="17">
        <v>7040300.0</v>
      </c>
    </row>
    <row r="395">
      <c r="A395" s="17">
        <v>110.0</v>
      </c>
      <c r="B395" s="17">
        <v>7040400.0</v>
      </c>
    </row>
    <row r="396">
      <c r="A396" s="17">
        <v>110.0</v>
      </c>
      <c r="B396" s="17">
        <v>7040500.0</v>
      </c>
    </row>
    <row r="397">
      <c r="A397" s="17">
        <v>110.0</v>
      </c>
      <c r="B397" s="17">
        <v>7043000.0</v>
      </c>
    </row>
    <row r="398">
      <c r="A398" s="17">
        <v>110.0</v>
      </c>
      <c r="B398" s="17">
        <v>7043100.0</v>
      </c>
    </row>
    <row r="399">
      <c r="A399" s="17">
        <v>110.0</v>
      </c>
      <c r="B399" s="17">
        <v>7043200.0</v>
      </c>
    </row>
    <row r="400">
      <c r="A400" s="17">
        <v>110.0</v>
      </c>
      <c r="B400" s="17">
        <v>7043300.0</v>
      </c>
    </row>
    <row r="401">
      <c r="A401" s="17">
        <v>110.0</v>
      </c>
      <c r="B401" s="17">
        <v>7043400.0</v>
      </c>
    </row>
    <row r="402">
      <c r="A402" s="17">
        <v>110.0</v>
      </c>
      <c r="B402" s="17">
        <v>7043500.0</v>
      </c>
    </row>
    <row r="403">
      <c r="A403" s="17">
        <v>110.0</v>
      </c>
      <c r="B403" s="17">
        <v>7043600.0</v>
      </c>
    </row>
    <row r="404">
      <c r="A404" s="17">
        <v>110.0</v>
      </c>
      <c r="B404" s="17">
        <v>7043700.0</v>
      </c>
    </row>
    <row r="405">
      <c r="A405" s="17">
        <v>110.0</v>
      </c>
      <c r="B405" s="17">
        <v>7043800.0</v>
      </c>
    </row>
    <row r="406">
      <c r="A406" s="17">
        <v>110.0</v>
      </c>
      <c r="B406" s="17">
        <v>7044000.0</v>
      </c>
    </row>
    <row r="407">
      <c r="A407" s="17">
        <v>110.0</v>
      </c>
      <c r="B407" s="17">
        <v>7044100.0</v>
      </c>
    </row>
    <row r="408">
      <c r="A408" s="17">
        <v>110.0</v>
      </c>
      <c r="B408" s="17">
        <v>7044200.0</v>
      </c>
    </row>
    <row r="409">
      <c r="A409" s="17">
        <v>110.0</v>
      </c>
      <c r="B409" s="17">
        <v>7044300.0</v>
      </c>
    </row>
    <row r="410">
      <c r="A410" s="17">
        <v>110.0</v>
      </c>
      <c r="B410" s="17">
        <v>7044400.0</v>
      </c>
    </row>
    <row r="411">
      <c r="A411" s="17">
        <v>110.0</v>
      </c>
      <c r="B411" s="17">
        <v>7044500.0</v>
      </c>
    </row>
    <row r="412">
      <c r="A412" s="17">
        <v>110.0</v>
      </c>
      <c r="B412" s="17">
        <v>7044600.0</v>
      </c>
    </row>
    <row r="413">
      <c r="A413" s="17">
        <v>110.0</v>
      </c>
      <c r="B413" s="17">
        <v>7050000.0</v>
      </c>
    </row>
    <row r="414">
      <c r="A414" s="17">
        <v>110.0</v>
      </c>
      <c r="B414" s="17">
        <v>7050100.0</v>
      </c>
    </row>
    <row r="415">
      <c r="A415" s="17">
        <v>110.0</v>
      </c>
      <c r="B415" s="17">
        <v>7060000.0</v>
      </c>
    </row>
    <row r="416">
      <c r="A416" s="17">
        <v>110.0</v>
      </c>
      <c r="B416" s="17">
        <v>7060100.0</v>
      </c>
    </row>
    <row r="417">
      <c r="A417" s="17">
        <v>110.0</v>
      </c>
      <c r="B417" s="17">
        <v>7060200.0</v>
      </c>
    </row>
    <row r="418">
      <c r="A418" s="17">
        <v>110.0</v>
      </c>
      <c r="B418" s="17">
        <v>7070000.0</v>
      </c>
    </row>
    <row r="419">
      <c r="A419" s="17">
        <v>110.0</v>
      </c>
      <c r="B419" s="17">
        <v>7080000.0</v>
      </c>
    </row>
    <row r="420">
      <c r="A420" s="17">
        <v>110.0</v>
      </c>
      <c r="B420" s="17">
        <v>7080100.0</v>
      </c>
    </row>
    <row r="421">
      <c r="A421" s="17">
        <v>110.0</v>
      </c>
      <c r="B421" s="17">
        <v>7080200.0</v>
      </c>
    </row>
    <row r="422">
      <c r="A422" s="17">
        <v>110.0</v>
      </c>
      <c r="B422" s="17">
        <v>7080300.0</v>
      </c>
    </row>
    <row r="423">
      <c r="A423" s="17">
        <v>110.0</v>
      </c>
      <c r="B423" s="17">
        <v>7080400.0</v>
      </c>
    </row>
    <row r="424">
      <c r="A424" s="17">
        <v>110.0</v>
      </c>
      <c r="B424" s="17">
        <v>7080500.0</v>
      </c>
    </row>
    <row r="425">
      <c r="A425" s="17">
        <v>110.0</v>
      </c>
      <c r="B425" s="17">
        <v>7080600.0</v>
      </c>
    </row>
    <row r="426">
      <c r="A426" s="17">
        <v>110.0</v>
      </c>
      <c r="B426" s="17">
        <v>7080700.0</v>
      </c>
    </row>
    <row r="427">
      <c r="A427" s="17">
        <v>110.0</v>
      </c>
      <c r="B427" s="17">
        <v>7080800.0</v>
      </c>
    </row>
    <row r="428">
      <c r="A428" s="17">
        <v>110.0</v>
      </c>
      <c r="B428" s="17">
        <v>7080900.0</v>
      </c>
    </row>
    <row r="429">
      <c r="A429" s="17">
        <v>110.0</v>
      </c>
      <c r="B429" s="17">
        <v>7081000.0</v>
      </c>
    </row>
    <row r="430">
      <c r="A430" s="17">
        <v>110.0</v>
      </c>
      <c r="B430" s="17">
        <v>7081100.0</v>
      </c>
    </row>
    <row r="431">
      <c r="A431" s="17">
        <v>110.0</v>
      </c>
      <c r="B431" s="17">
        <v>7081200.0</v>
      </c>
    </row>
    <row r="432">
      <c r="A432" s="17">
        <v>110.0</v>
      </c>
      <c r="B432" s="17">
        <v>7081300.0</v>
      </c>
    </row>
    <row r="433">
      <c r="A433" s="17">
        <v>110.0</v>
      </c>
      <c r="B433" s="17">
        <v>7081400.0</v>
      </c>
    </row>
    <row r="434">
      <c r="A434" s="17">
        <v>110.0</v>
      </c>
      <c r="B434" s="17">
        <v>7081500.0</v>
      </c>
    </row>
    <row r="435">
      <c r="A435" s="17">
        <v>110.0</v>
      </c>
      <c r="B435" s="17">
        <v>7081700.0</v>
      </c>
    </row>
    <row r="436">
      <c r="A436" s="17">
        <v>110.0</v>
      </c>
      <c r="B436" s="17">
        <v>7081800.0</v>
      </c>
    </row>
    <row r="437">
      <c r="A437" s="17">
        <v>110.0</v>
      </c>
      <c r="B437" s="17">
        <v>7081900.0</v>
      </c>
    </row>
    <row r="438">
      <c r="A438" s="17">
        <v>110.0</v>
      </c>
      <c r="B438" s="17">
        <v>7082000.0</v>
      </c>
    </row>
    <row r="439">
      <c r="A439" s="17">
        <v>110.0</v>
      </c>
      <c r="B439" s="17">
        <v>7082100.0</v>
      </c>
    </row>
    <row r="440">
      <c r="A440" s="17">
        <v>110.0</v>
      </c>
      <c r="B440" s="17">
        <v>7082200.0</v>
      </c>
    </row>
    <row r="441">
      <c r="A441" s="17">
        <v>110.0</v>
      </c>
      <c r="B441" s="17">
        <v>7082300.0</v>
      </c>
    </row>
    <row r="442">
      <c r="A442" s="17">
        <v>110.0</v>
      </c>
      <c r="B442" s="17">
        <v>7082400.0</v>
      </c>
    </row>
    <row r="443">
      <c r="A443" s="17">
        <v>110.0</v>
      </c>
      <c r="B443" s="17">
        <v>7082500.0</v>
      </c>
    </row>
    <row r="444">
      <c r="A444" s="17">
        <v>110.0</v>
      </c>
      <c r="B444" s="17">
        <v>7082600.0</v>
      </c>
    </row>
    <row r="445">
      <c r="A445" s="17">
        <v>110.0</v>
      </c>
      <c r="B445" s="17">
        <v>7082700.0</v>
      </c>
    </row>
    <row r="446">
      <c r="A446" s="17">
        <v>110.0</v>
      </c>
      <c r="B446" s="17">
        <v>7082800.0</v>
      </c>
    </row>
    <row r="447">
      <c r="A447" s="17">
        <v>110.0</v>
      </c>
      <c r="B447" s="17">
        <v>7082900.0</v>
      </c>
    </row>
    <row r="448">
      <c r="A448" s="17">
        <v>110.0</v>
      </c>
      <c r="B448" s="17">
        <v>7090000.0</v>
      </c>
    </row>
    <row r="449">
      <c r="A449" s="17">
        <v>110.0</v>
      </c>
      <c r="B449" s="17">
        <v>7090100.0</v>
      </c>
    </row>
    <row r="450">
      <c r="A450" s="17">
        <v>110.0</v>
      </c>
      <c r="B450" s="17">
        <v>7090300.0</v>
      </c>
    </row>
    <row r="451">
      <c r="A451" s="17">
        <v>110.0</v>
      </c>
      <c r="B451" s="17">
        <v>7100100.0</v>
      </c>
    </row>
    <row r="452">
      <c r="A452" s="17">
        <v>110.0</v>
      </c>
      <c r="B452" s="17">
        <v>7110000.0</v>
      </c>
    </row>
    <row r="453">
      <c r="A453" s="17">
        <v>110.0</v>
      </c>
      <c r="B453" s="17">
        <v>7120000.0</v>
      </c>
    </row>
    <row r="454">
      <c r="A454" s="17">
        <v>110.0</v>
      </c>
      <c r="B454" s="17">
        <v>7120100.0</v>
      </c>
    </row>
    <row r="455">
      <c r="A455" s="17">
        <v>110.0</v>
      </c>
      <c r="B455" s="17">
        <v>7120200.0</v>
      </c>
    </row>
    <row r="456">
      <c r="A456" s="17">
        <v>110.0</v>
      </c>
      <c r="B456" s="17">
        <v>7120300.0</v>
      </c>
    </row>
    <row r="457">
      <c r="A457" s="17">
        <v>110.0</v>
      </c>
      <c r="B457" s="17">
        <v>7120400.0</v>
      </c>
    </row>
    <row r="458">
      <c r="A458" s="17">
        <v>110.0</v>
      </c>
      <c r="B458" s="17">
        <v>7120500.0</v>
      </c>
    </row>
    <row r="459">
      <c r="A459" s="17">
        <v>110.0</v>
      </c>
      <c r="B459" s="17">
        <v>7120600.0</v>
      </c>
    </row>
    <row r="460">
      <c r="A460" s="17">
        <v>110.0</v>
      </c>
      <c r="B460" s="17">
        <v>7120900.0</v>
      </c>
    </row>
    <row r="461">
      <c r="A461" s="17">
        <v>110.0</v>
      </c>
      <c r="B461" s="17">
        <v>7121000.0</v>
      </c>
    </row>
    <row r="462">
      <c r="A462" s="17">
        <v>110.0</v>
      </c>
      <c r="B462" s="17">
        <v>7121100.0</v>
      </c>
    </row>
    <row r="463">
      <c r="A463" s="17">
        <v>110.0</v>
      </c>
      <c r="B463" s="17">
        <v>7121200.0</v>
      </c>
    </row>
    <row r="464">
      <c r="A464" s="17">
        <v>110.0</v>
      </c>
      <c r="B464" s="17">
        <v>7121300.0</v>
      </c>
    </row>
    <row r="465">
      <c r="A465" s="17">
        <v>110.0</v>
      </c>
      <c r="B465" s="17">
        <v>7121400.0</v>
      </c>
    </row>
    <row r="466">
      <c r="A466" s="17">
        <v>110.0</v>
      </c>
      <c r="B466" s="17">
        <v>7121500.0</v>
      </c>
    </row>
    <row r="467">
      <c r="A467" s="17">
        <v>110.0</v>
      </c>
      <c r="B467" s="17">
        <v>7121600.0</v>
      </c>
    </row>
    <row r="468">
      <c r="A468" s="17">
        <v>110.0</v>
      </c>
      <c r="B468" s="17">
        <v>7121700.0</v>
      </c>
    </row>
    <row r="469">
      <c r="A469" s="17">
        <v>110.0</v>
      </c>
      <c r="B469" s="17">
        <v>7121800.0</v>
      </c>
    </row>
    <row r="470">
      <c r="A470" s="17">
        <v>110.0</v>
      </c>
      <c r="B470" s="17">
        <v>7121900.0</v>
      </c>
    </row>
    <row r="471">
      <c r="A471" s="17">
        <v>110.0</v>
      </c>
      <c r="B471" s="17">
        <v>7122000.0</v>
      </c>
    </row>
    <row r="472">
      <c r="A472" s="17">
        <v>110.0</v>
      </c>
      <c r="B472" s="17">
        <v>7122100.0</v>
      </c>
    </row>
    <row r="473">
      <c r="A473" s="17">
        <v>110.0</v>
      </c>
      <c r="B473" s="17">
        <v>7122200.0</v>
      </c>
    </row>
    <row r="474">
      <c r="A474" s="17">
        <v>110.0</v>
      </c>
      <c r="B474" s="17">
        <v>7122300.0</v>
      </c>
    </row>
    <row r="475">
      <c r="A475" s="17">
        <v>110.0</v>
      </c>
      <c r="B475" s="17">
        <v>7122400.0</v>
      </c>
    </row>
    <row r="476">
      <c r="A476" s="17">
        <v>110.0</v>
      </c>
      <c r="B476" s="17">
        <v>7122500.0</v>
      </c>
    </row>
    <row r="477">
      <c r="A477" s="17">
        <v>110.0</v>
      </c>
      <c r="B477" s="17">
        <v>7122600.0</v>
      </c>
    </row>
    <row r="478">
      <c r="A478" s="17">
        <v>110.0</v>
      </c>
      <c r="B478" s="17">
        <v>7122700.0</v>
      </c>
    </row>
    <row r="479">
      <c r="A479" s="17">
        <v>110.0</v>
      </c>
      <c r="B479" s="17">
        <v>7122800.0</v>
      </c>
    </row>
    <row r="480">
      <c r="A480" s="17">
        <v>110.0</v>
      </c>
      <c r="B480" s="17">
        <v>7122900.0</v>
      </c>
    </row>
    <row r="481">
      <c r="A481" s="17">
        <v>110.0</v>
      </c>
      <c r="B481" s="17">
        <v>7123000.0</v>
      </c>
    </row>
    <row r="482">
      <c r="A482" s="17">
        <v>110.0</v>
      </c>
      <c r="B482" s="17">
        <v>7123100.0</v>
      </c>
    </row>
    <row r="483">
      <c r="A483" s="17">
        <v>110.0</v>
      </c>
      <c r="B483" s="17">
        <v>7123200.0</v>
      </c>
    </row>
    <row r="484">
      <c r="A484" s="17">
        <v>110.0</v>
      </c>
      <c r="B484" s="17">
        <v>7123300.0</v>
      </c>
    </row>
    <row r="485">
      <c r="A485" s="17">
        <v>110.0</v>
      </c>
      <c r="B485" s="17">
        <v>7123400.0</v>
      </c>
    </row>
    <row r="486">
      <c r="A486" s="17">
        <v>110.0</v>
      </c>
      <c r="B486" s="17">
        <v>7123500.0</v>
      </c>
    </row>
    <row r="487">
      <c r="A487" s="17">
        <v>110.0</v>
      </c>
      <c r="B487" s="17">
        <v>7123600.0</v>
      </c>
    </row>
    <row r="488">
      <c r="A488" s="17">
        <v>110.0</v>
      </c>
      <c r="B488" s="17">
        <v>7123700.0</v>
      </c>
    </row>
    <row r="489">
      <c r="A489" s="17">
        <v>110.0</v>
      </c>
      <c r="B489" s="17">
        <v>7123800.0</v>
      </c>
    </row>
    <row r="490">
      <c r="A490" s="17">
        <v>110.0</v>
      </c>
      <c r="B490" s="17">
        <v>7123900.0</v>
      </c>
    </row>
    <row r="491">
      <c r="A491" s="17">
        <v>110.0</v>
      </c>
      <c r="B491" s="17">
        <v>7124000.0</v>
      </c>
    </row>
    <row r="492">
      <c r="A492" s="17">
        <v>110.0</v>
      </c>
      <c r="B492" s="17">
        <v>7124100.0</v>
      </c>
    </row>
    <row r="493">
      <c r="A493" s="17">
        <v>110.0</v>
      </c>
      <c r="B493" s="17">
        <v>7124300.0</v>
      </c>
    </row>
    <row r="494">
      <c r="A494" s="17">
        <v>110.0</v>
      </c>
      <c r="B494" s="17">
        <v>7124400.0</v>
      </c>
    </row>
    <row r="495">
      <c r="A495" s="17">
        <v>110.0</v>
      </c>
      <c r="B495" s="17">
        <v>7124500.0</v>
      </c>
    </row>
    <row r="496">
      <c r="A496" s="17">
        <v>110.0</v>
      </c>
      <c r="B496" s="17">
        <v>7124600.0</v>
      </c>
    </row>
    <row r="497">
      <c r="A497" s="17">
        <v>110.0</v>
      </c>
      <c r="B497" s="17">
        <v>7124700.0</v>
      </c>
    </row>
    <row r="498">
      <c r="A498" s="17">
        <v>110.0</v>
      </c>
      <c r="B498" s="17">
        <v>7126000.0</v>
      </c>
    </row>
    <row r="499">
      <c r="A499" s="17">
        <v>110.0</v>
      </c>
      <c r="B499" s="17">
        <v>7150000.0</v>
      </c>
    </row>
    <row r="500">
      <c r="A500" s="17">
        <v>110.0</v>
      </c>
      <c r="B500" s="17">
        <v>7160000.0</v>
      </c>
    </row>
    <row r="501">
      <c r="A501" s="17">
        <v>110.0</v>
      </c>
      <c r="B501" s="17">
        <v>7220000.0</v>
      </c>
    </row>
    <row r="502">
      <c r="A502" s="17">
        <v>110.0</v>
      </c>
      <c r="B502" s="17">
        <v>7230000.0</v>
      </c>
    </row>
    <row r="503">
      <c r="A503" s="17">
        <v>110.0</v>
      </c>
      <c r="B503" s="17">
        <v>7240000.0</v>
      </c>
    </row>
    <row r="504">
      <c r="A504" s="17">
        <v>110.0</v>
      </c>
      <c r="B504" s="17">
        <v>7260000.0</v>
      </c>
    </row>
    <row r="505">
      <c r="A505" s="17">
        <v>110.0</v>
      </c>
      <c r="B505" s="17">
        <v>7260300.0</v>
      </c>
    </row>
    <row r="506">
      <c r="A506" s="17">
        <v>110.0</v>
      </c>
      <c r="B506" s="17">
        <v>7260400.0</v>
      </c>
    </row>
    <row r="507">
      <c r="A507" s="17">
        <v>110.0</v>
      </c>
      <c r="B507" s="17">
        <v>7270100.0</v>
      </c>
    </row>
    <row r="508">
      <c r="A508" s="17">
        <v>110.0</v>
      </c>
      <c r="B508" s="17">
        <v>7280000.0</v>
      </c>
    </row>
    <row r="509">
      <c r="A509" s="17">
        <v>110.0</v>
      </c>
      <c r="B509" s="17">
        <v>7290000.0</v>
      </c>
    </row>
    <row r="510">
      <c r="A510" s="17">
        <v>110.0</v>
      </c>
      <c r="B510" s="17">
        <v>7310000.0</v>
      </c>
    </row>
    <row r="511">
      <c r="A511" s="17">
        <v>110.0</v>
      </c>
      <c r="B511" s="17">
        <v>7330000.0</v>
      </c>
    </row>
    <row r="512">
      <c r="A512" s="17">
        <v>110.0</v>
      </c>
      <c r="B512" s="17">
        <v>7330100.0</v>
      </c>
    </row>
    <row r="513">
      <c r="A513" s="17">
        <v>110.0</v>
      </c>
      <c r="B513" s="17">
        <v>7330200.0</v>
      </c>
    </row>
    <row r="514">
      <c r="A514" s="17">
        <v>110.0</v>
      </c>
      <c r="B514" s="17">
        <v>7330300.0</v>
      </c>
    </row>
    <row r="515">
      <c r="A515" s="17">
        <v>110.0</v>
      </c>
      <c r="B515" s="17">
        <v>7330400.0</v>
      </c>
    </row>
    <row r="516">
      <c r="A516" s="17">
        <v>110.0</v>
      </c>
      <c r="B516" s="17">
        <v>7330500.0</v>
      </c>
    </row>
    <row r="517">
      <c r="A517" s="17">
        <v>110.0</v>
      </c>
      <c r="B517" s="17">
        <v>7330600.0</v>
      </c>
    </row>
    <row r="518">
      <c r="A518" s="17">
        <v>110.0</v>
      </c>
      <c r="B518" s="17">
        <v>7330700.0</v>
      </c>
    </row>
    <row r="519">
      <c r="A519" s="17">
        <v>110.0</v>
      </c>
      <c r="B519" s="17">
        <v>7330800.0</v>
      </c>
    </row>
    <row r="520">
      <c r="A520" s="17">
        <v>110.0</v>
      </c>
      <c r="B520" s="17">
        <v>7330900.0</v>
      </c>
    </row>
    <row r="521">
      <c r="A521" s="17">
        <v>110.0</v>
      </c>
      <c r="B521" s="17">
        <v>7331000.0</v>
      </c>
    </row>
    <row r="522">
      <c r="A522" s="17">
        <v>110.0</v>
      </c>
      <c r="B522" s="17">
        <v>7331100.0</v>
      </c>
    </row>
    <row r="523">
      <c r="A523" s="17">
        <v>110.0</v>
      </c>
      <c r="B523" s="17">
        <v>7331200.0</v>
      </c>
    </row>
    <row r="524">
      <c r="A524" s="17">
        <v>110.0</v>
      </c>
      <c r="B524" s="17">
        <v>7331300.0</v>
      </c>
    </row>
    <row r="525">
      <c r="A525" s="17">
        <v>110.0</v>
      </c>
      <c r="B525" s="17">
        <v>7331400.0</v>
      </c>
    </row>
    <row r="526">
      <c r="A526" s="17">
        <v>110.0</v>
      </c>
      <c r="B526" s="17">
        <v>7331500.0</v>
      </c>
    </row>
    <row r="527">
      <c r="A527" s="17">
        <v>110.0</v>
      </c>
      <c r="B527" s="17">
        <v>7331700.0</v>
      </c>
    </row>
    <row r="528">
      <c r="A528" s="17">
        <v>110.0</v>
      </c>
      <c r="B528" s="17">
        <v>7331800.0</v>
      </c>
    </row>
    <row r="529">
      <c r="A529" s="17">
        <v>110.0</v>
      </c>
      <c r="B529" s="17">
        <v>7331900.0</v>
      </c>
    </row>
    <row r="530">
      <c r="A530" s="17">
        <v>110.0</v>
      </c>
      <c r="B530" s="17">
        <v>7332000.0</v>
      </c>
    </row>
    <row r="531">
      <c r="A531" s="17">
        <v>110.0</v>
      </c>
      <c r="B531" s="17">
        <v>7332100.0</v>
      </c>
    </row>
    <row r="532">
      <c r="A532" s="17">
        <v>110.0</v>
      </c>
      <c r="B532" s="17">
        <v>7332200.0</v>
      </c>
    </row>
    <row r="533">
      <c r="A533" s="17">
        <v>110.0</v>
      </c>
      <c r="B533" s="17">
        <v>7332300.0</v>
      </c>
    </row>
    <row r="534">
      <c r="A534" s="17">
        <v>110.0</v>
      </c>
      <c r="B534" s="17">
        <v>7332400.0</v>
      </c>
    </row>
    <row r="535">
      <c r="A535" s="17">
        <v>110.0</v>
      </c>
      <c r="B535" s="17">
        <v>7340000.0</v>
      </c>
    </row>
    <row r="536">
      <c r="A536" s="17">
        <v>110.0</v>
      </c>
      <c r="B536" s="17">
        <v>7340100.0</v>
      </c>
    </row>
    <row r="537">
      <c r="A537" s="17">
        <v>110.0</v>
      </c>
      <c r="B537" s="17">
        <v>7340200.0</v>
      </c>
    </row>
    <row r="538">
      <c r="A538" s="17">
        <v>110.0</v>
      </c>
      <c r="B538" s="17">
        <v>7340300.0</v>
      </c>
    </row>
    <row r="539">
      <c r="A539" s="17">
        <v>110.0</v>
      </c>
      <c r="B539" s="17">
        <v>7340400.0</v>
      </c>
    </row>
    <row r="540">
      <c r="A540" s="17">
        <v>110.0</v>
      </c>
      <c r="B540" s="17">
        <v>7340500.0</v>
      </c>
    </row>
    <row r="541">
      <c r="A541" s="17">
        <v>110.0</v>
      </c>
      <c r="B541" s="17">
        <v>7340600.0</v>
      </c>
    </row>
    <row r="542">
      <c r="A542" s="17">
        <v>110.0</v>
      </c>
      <c r="B542" s="17">
        <v>7340700.0</v>
      </c>
    </row>
    <row r="543">
      <c r="A543" s="17">
        <v>110.0</v>
      </c>
      <c r="B543" s="17">
        <v>7340800.0</v>
      </c>
    </row>
    <row r="544">
      <c r="A544" s="17">
        <v>110.0</v>
      </c>
      <c r="B544" s="17">
        <v>7340900.0</v>
      </c>
    </row>
    <row r="545">
      <c r="A545" s="17">
        <v>110.0</v>
      </c>
      <c r="B545" s="17">
        <v>7341000.0</v>
      </c>
    </row>
    <row r="546">
      <c r="A546" s="17">
        <v>110.0</v>
      </c>
      <c r="B546" s="17">
        <v>7341100.0</v>
      </c>
    </row>
    <row r="547">
      <c r="A547" s="17">
        <v>110.0</v>
      </c>
      <c r="B547" s="17">
        <v>7341200.0</v>
      </c>
    </row>
    <row r="548">
      <c r="A548" s="17">
        <v>110.0</v>
      </c>
      <c r="B548" s="17">
        <v>7341300.0</v>
      </c>
    </row>
    <row r="549">
      <c r="A549" s="17">
        <v>110.0</v>
      </c>
      <c r="B549" s="17">
        <v>7341400.0</v>
      </c>
    </row>
    <row r="550">
      <c r="A550" s="17">
        <v>110.0</v>
      </c>
      <c r="B550" s="17">
        <v>7341500.0</v>
      </c>
    </row>
    <row r="551">
      <c r="A551" s="17">
        <v>110.0</v>
      </c>
      <c r="B551" s="17">
        <v>7341700.0</v>
      </c>
    </row>
    <row r="552">
      <c r="A552" s="17">
        <v>110.0</v>
      </c>
      <c r="B552" s="17">
        <v>7341800.0</v>
      </c>
    </row>
    <row r="553">
      <c r="A553" s="17">
        <v>110.0</v>
      </c>
      <c r="B553" s="17">
        <v>7341900.0</v>
      </c>
    </row>
    <row r="554">
      <c r="A554" s="17">
        <v>110.0</v>
      </c>
      <c r="B554" s="17">
        <v>7342000.0</v>
      </c>
    </row>
    <row r="555">
      <c r="A555" s="17">
        <v>110.0</v>
      </c>
      <c r="B555" s="17">
        <v>7342100.0</v>
      </c>
    </row>
    <row r="556">
      <c r="A556" s="17">
        <v>110.0</v>
      </c>
      <c r="B556" s="17">
        <v>7342200.0</v>
      </c>
    </row>
    <row r="557">
      <c r="A557" s="17">
        <v>110.0</v>
      </c>
      <c r="B557" s="17">
        <v>7342300.0</v>
      </c>
    </row>
    <row r="558">
      <c r="A558" s="17">
        <v>110.0</v>
      </c>
      <c r="B558" s="17">
        <v>7342400.0</v>
      </c>
    </row>
    <row r="559">
      <c r="A559" s="17">
        <v>110.0</v>
      </c>
      <c r="B559" s="17">
        <v>7350000.0</v>
      </c>
    </row>
    <row r="560">
      <c r="A560" s="17">
        <v>110.0</v>
      </c>
      <c r="B560" s="17">
        <v>7350100.0</v>
      </c>
    </row>
    <row r="561">
      <c r="A561" s="17">
        <v>110.0</v>
      </c>
      <c r="B561" s="17">
        <v>7350200.0</v>
      </c>
    </row>
    <row r="562">
      <c r="A562" s="17">
        <v>110.0</v>
      </c>
      <c r="B562" s="17">
        <v>7350300.0</v>
      </c>
    </row>
    <row r="563">
      <c r="A563" s="17">
        <v>110.0</v>
      </c>
      <c r="B563" s="17">
        <v>7350400.0</v>
      </c>
    </row>
    <row r="564">
      <c r="A564" s="17">
        <v>110.0</v>
      </c>
      <c r="B564" s="17">
        <v>7350500.0</v>
      </c>
    </row>
    <row r="565">
      <c r="A565" s="17">
        <v>110.0</v>
      </c>
      <c r="B565" s="17">
        <v>7350600.0</v>
      </c>
    </row>
    <row r="566">
      <c r="A566" s="17">
        <v>110.0</v>
      </c>
      <c r="B566" s="17">
        <v>7350700.0</v>
      </c>
    </row>
    <row r="567">
      <c r="A567" s="17">
        <v>110.0</v>
      </c>
      <c r="B567" s="17">
        <v>7350800.0</v>
      </c>
    </row>
    <row r="568">
      <c r="A568" s="17">
        <v>110.0</v>
      </c>
      <c r="B568" s="17">
        <v>7350900.0</v>
      </c>
    </row>
    <row r="569">
      <c r="A569" s="17">
        <v>110.0</v>
      </c>
      <c r="B569" s="17">
        <v>7351000.0</v>
      </c>
    </row>
    <row r="570">
      <c r="A570" s="17">
        <v>110.0</v>
      </c>
      <c r="B570" s="17">
        <v>7351100.0</v>
      </c>
    </row>
    <row r="571">
      <c r="A571" s="17">
        <v>110.0</v>
      </c>
      <c r="B571" s="17">
        <v>7351200.0</v>
      </c>
    </row>
    <row r="572">
      <c r="A572" s="17">
        <v>110.0</v>
      </c>
      <c r="B572" s="17">
        <v>7351300.0</v>
      </c>
    </row>
    <row r="573">
      <c r="A573" s="17">
        <v>110.0</v>
      </c>
      <c r="B573" s="17">
        <v>7351400.0</v>
      </c>
    </row>
    <row r="574">
      <c r="A574" s="17">
        <v>110.0</v>
      </c>
      <c r="B574" s="17">
        <v>7351500.0</v>
      </c>
    </row>
    <row r="575">
      <c r="A575" s="17">
        <v>110.0</v>
      </c>
      <c r="B575" s="17">
        <v>7351700.0</v>
      </c>
    </row>
    <row r="576">
      <c r="A576" s="17">
        <v>110.0</v>
      </c>
      <c r="B576" s="17">
        <v>7351800.0</v>
      </c>
    </row>
    <row r="577">
      <c r="A577" s="17">
        <v>110.0</v>
      </c>
      <c r="B577" s="17">
        <v>7351900.0</v>
      </c>
    </row>
    <row r="578">
      <c r="A578" s="17">
        <v>110.0</v>
      </c>
      <c r="B578" s="17">
        <v>7352000.0</v>
      </c>
    </row>
    <row r="579">
      <c r="A579" s="17">
        <v>110.0</v>
      </c>
      <c r="B579" s="17">
        <v>7352100.0</v>
      </c>
    </row>
    <row r="580">
      <c r="A580" s="17">
        <v>110.0</v>
      </c>
      <c r="B580" s="17">
        <v>7352200.0</v>
      </c>
    </row>
    <row r="581">
      <c r="A581" s="17">
        <v>110.0</v>
      </c>
      <c r="B581" s="17">
        <v>7352300.0</v>
      </c>
    </row>
    <row r="582">
      <c r="A582" s="17">
        <v>110.0</v>
      </c>
      <c r="B582" s="17">
        <v>7352400.0</v>
      </c>
    </row>
    <row r="583">
      <c r="A583" s="17">
        <v>110.0</v>
      </c>
      <c r="B583" s="17">
        <v>7360600.0</v>
      </c>
    </row>
    <row r="584">
      <c r="A584" s="17">
        <v>110.0</v>
      </c>
      <c r="B584" s="17">
        <v>7360900.0</v>
      </c>
    </row>
    <row r="585">
      <c r="A585" s="17">
        <v>110.0</v>
      </c>
      <c r="B585" s="17">
        <v>7361200.0</v>
      </c>
    </row>
    <row r="586">
      <c r="A586" s="17">
        <v>110.0</v>
      </c>
      <c r="B586" s="17">
        <v>7361300.0</v>
      </c>
    </row>
    <row r="587">
      <c r="A587" s="17">
        <v>110.0</v>
      </c>
      <c r="B587" s="17">
        <v>7362100.0</v>
      </c>
    </row>
    <row r="588">
      <c r="A588" s="17">
        <v>110.0</v>
      </c>
      <c r="B588" s="17">
        <v>7370300.0</v>
      </c>
    </row>
    <row r="589">
      <c r="A589" s="17">
        <v>110.0</v>
      </c>
      <c r="B589" s="17">
        <v>7370400.0</v>
      </c>
    </row>
    <row r="590">
      <c r="A590" s="17">
        <v>110.0</v>
      </c>
      <c r="B590" s="17">
        <v>7370600.0</v>
      </c>
    </row>
    <row r="591">
      <c r="A591" s="17">
        <v>110.0</v>
      </c>
      <c r="B591" s="17">
        <v>7370900.0</v>
      </c>
    </row>
    <row r="592">
      <c r="A592" s="17">
        <v>110.0</v>
      </c>
      <c r="B592" s="17">
        <v>7371500.0</v>
      </c>
    </row>
    <row r="593">
      <c r="A593" s="17">
        <v>110.0</v>
      </c>
      <c r="B593" s="17">
        <v>7036200.0</v>
      </c>
    </row>
    <row r="594">
      <c r="A594" s="17">
        <v>110.0</v>
      </c>
      <c r="B594" s="17">
        <v>7036300.0</v>
      </c>
    </row>
    <row r="595">
      <c r="A595" s="17">
        <v>110.0</v>
      </c>
      <c r="B595" s="17">
        <v>7036400.0</v>
      </c>
    </row>
    <row r="596">
      <c r="A596" s="17">
        <v>110.0</v>
      </c>
      <c r="B596" s="17">
        <v>7036500.0</v>
      </c>
    </row>
    <row r="597">
      <c r="A597" s="17">
        <v>110.0</v>
      </c>
      <c r="B597" s="17">
        <v>7036800.0</v>
      </c>
    </row>
    <row r="598">
      <c r="A598" s="17">
        <v>110.0</v>
      </c>
      <c r="B598" s="17">
        <v>7036900.0</v>
      </c>
    </row>
    <row r="599">
      <c r="A599" s="17">
        <v>110.0</v>
      </c>
      <c r="B599" s="17">
        <v>7037000.0</v>
      </c>
    </row>
    <row r="600">
      <c r="A600" s="17">
        <v>110.0</v>
      </c>
      <c r="B600" s="17">
        <v>7037300.0</v>
      </c>
    </row>
    <row r="601">
      <c r="A601" s="17">
        <v>110.0</v>
      </c>
      <c r="B601" s="17">
        <v>6630000.0</v>
      </c>
    </row>
    <row r="602">
      <c r="A602" s="17">
        <v>110.0</v>
      </c>
      <c r="B602" s="17">
        <v>6630100.0</v>
      </c>
    </row>
    <row r="603">
      <c r="A603" s="17">
        <v>110.0</v>
      </c>
      <c r="B603" s="17">
        <v>6630200.0</v>
      </c>
    </row>
    <row r="604">
      <c r="A604" s="17">
        <v>110.0</v>
      </c>
      <c r="B604" s="17">
        <v>6630300.0</v>
      </c>
    </row>
    <row r="605">
      <c r="A605" s="17">
        <v>110.0</v>
      </c>
      <c r="B605" s="17">
        <v>6630400.0</v>
      </c>
    </row>
    <row r="606">
      <c r="A606" s="17">
        <v>110.0</v>
      </c>
      <c r="B606" s="17">
        <v>6630500.0</v>
      </c>
    </row>
    <row r="607">
      <c r="A607" s="17">
        <v>110.0</v>
      </c>
      <c r="B607" s="17">
        <v>6630600.0</v>
      </c>
    </row>
    <row r="608">
      <c r="A608" s="17">
        <v>110.0</v>
      </c>
      <c r="B608" s="17">
        <v>6630700.0</v>
      </c>
    </row>
    <row r="609">
      <c r="A609" s="17">
        <v>110.0</v>
      </c>
      <c r="B609" s="17">
        <v>6630800.0</v>
      </c>
    </row>
    <row r="610">
      <c r="A610" s="17">
        <v>110.0</v>
      </c>
      <c r="B610" s="17">
        <v>6630900.0</v>
      </c>
    </row>
    <row r="611">
      <c r="A611" s="17">
        <v>110.0</v>
      </c>
      <c r="B611" s="17">
        <v>6631000.0</v>
      </c>
    </row>
    <row r="612">
      <c r="A612" s="17">
        <v>110.0</v>
      </c>
      <c r="B612" s="17">
        <v>6631100.0</v>
      </c>
    </row>
    <row r="613">
      <c r="A613" s="17">
        <v>110.0</v>
      </c>
      <c r="B613" s="17">
        <v>6631200.0</v>
      </c>
    </row>
    <row r="614">
      <c r="A614" s="17">
        <v>110.0</v>
      </c>
      <c r="B614" s="17">
        <v>6631300.0</v>
      </c>
    </row>
    <row r="615">
      <c r="A615" s="17">
        <v>110.0</v>
      </c>
      <c r="B615" s="17">
        <v>6631400.0</v>
      </c>
    </row>
    <row r="616">
      <c r="A616" s="17">
        <v>110.0</v>
      </c>
      <c r="B616" s="17">
        <v>6631500.0</v>
      </c>
    </row>
    <row r="617">
      <c r="A617" s="17">
        <v>110.0</v>
      </c>
      <c r="B617" s="17">
        <v>6631600.0</v>
      </c>
    </row>
    <row r="618">
      <c r="A618" s="17">
        <v>110.0</v>
      </c>
      <c r="B618" s="17">
        <v>6631700.0</v>
      </c>
    </row>
    <row r="619">
      <c r="A619" s="17">
        <v>110.0</v>
      </c>
      <c r="B619" s="17">
        <v>6631800.0</v>
      </c>
    </row>
    <row r="620">
      <c r="A620" s="17">
        <v>110.0</v>
      </c>
      <c r="B620" s="17">
        <v>6631900.0</v>
      </c>
    </row>
    <row r="621">
      <c r="A621" s="17">
        <v>110.0</v>
      </c>
      <c r="B621" s="17">
        <v>6632000.0</v>
      </c>
    </row>
    <row r="622">
      <c r="A622" s="17">
        <v>110.0</v>
      </c>
      <c r="B622" s="17">
        <v>6632100.0</v>
      </c>
    </row>
    <row r="623">
      <c r="A623" s="17">
        <v>110.0</v>
      </c>
      <c r="B623" s="17">
        <v>6632200.0</v>
      </c>
    </row>
    <row r="624">
      <c r="A624" s="17">
        <v>110.0</v>
      </c>
      <c r="B624" s="17">
        <v>6632300.0</v>
      </c>
    </row>
    <row r="625">
      <c r="A625" s="17">
        <v>110.0</v>
      </c>
      <c r="B625" s="17">
        <v>6632400.0</v>
      </c>
    </row>
    <row r="626">
      <c r="A626" s="17">
        <v>110.0</v>
      </c>
      <c r="B626" s="17">
        <v>6632500.0</v>
      </c>
    </row>
    <row r="627">
      <c r="A627" s="17">
        <v>110.0</v>
      </c>
      <c r="B627" s="17">
        <v>6632600.0</v>
      </c>
    </row>
    <row r="628">
      <c r="A628" s="17">
        <v>110.0</v>
      </c>
      <c r="B628" s="17">
        <v>6632700.0</v>
      </c>
    </row>
    <row r="629">
      <c r="A629" s="17">
        <v>110.0</v>
      </c>
      <c r="B629" s="17">
        <v>6632800.0</v>
      </c>
    </row>
    <row r="630">
      <c r="A630" s="17">
        <v>110.0</v>
      </c>
      <c r="B630" s="17">
        <v>6632900.0</v>
      </c>
    </row>
    <row r="631">
      <c r="A631" s="17">
        <v>110.0</v>
      </c>
      <c r="B631" s="17">
        <v>6633000.0</v>
      </c>
    </row>
    <row r="632">
      <c r="A632" s="17">
        <v>110.0</v>
      </c>
      <c r="B632" s="17">
        <v>6633100.0</v>
      </c>
    </row>
    <row r="633">
      <c r="A633" s="17">
        <v>110.0</v>
      </c>
      <c r="B633" s="17">
        <v>6633200.0</v>
      </c>
    </row>
    <row r="634">
      <c r="A634" s="17">
        <v>110.0</v>
      </c>
      <c r="B634" s="17">
        <v>6647200.0</v>
      </c>
    </row>
    <row r="635">
      <c r="A635" s="17">
        <v>110.0</v>
      </c>
      <c r="B635" s="17">
        <v>6647300.0</v>
      </c>
    </row>
    <row r="636">
      <c r="A636" s="17">
        <v>110.0</v>
      </c>
      <c r="B636" s="17">
        <v>6647400.0</v>
      </c>
    </row>
    <row r="637">
      <c r="A637" s="17">
        <v>110.0</v>
      </c>
      <c r="B637" s="17">
        <v>6647500.0</v>
      </c>
    </row>
    <row r="638">
      <c r="A638" s="17">
        <v>110.0</v>
      </c>
      <c r="B638" s="17">
        <v>6640000.0</v>
      </c>
    </row>
    <row r="639">
      <c r="A639" s="17">
        <v>110.0</v>
      </c>
      <c r="B639" s="17">
        <v>6640100.0</v>
      </c>
    </row>
    <row r="640">
      <c r="A640" s="17">
        <v>110.0</v>
      </c>
      <c r="B640" s="17">
        <v>6641000.0</v>
      </c>
    </row>
    <row r="641">
      <c r="A641" s="17">
        <v>110.0</v>
      </c>
      <c r="B641" s="17">
        <v>6641100.0</v>
      </c>
    </row>
    <row r="642">
      <c r="A642" s="17">
        <v>110.0</v>
      </c>
      <c r="B642" s="17">
        <v>6642000.0</v>
      </c>
    </row>
    <row r="643">
      <c r="A643" s="17">
        <v>110.0</v>
      </c>
      <c r="B643" s="17">
        <v>6642100.0</v>
      </c>
    </row>
    <row r="644">
      <c r="A644" s="17">
        <v>110.0</v>
      </c>
      <c r="B644" s="17">
        <v>6643000.0</v>
      </c>
    </row>
    <row r="645">
      <c r="A645" s="17">
        <v>110.0</v>
      </c>
      <c r="B645" s="17">
        <v>6643100.0</v>
      </c>
    </row>
    <row r="646">
      <c r="A646" s="17">
        <v>110.0</v>
      </c>
      <c r="B646" s="17">
        <v>6644000.0</v>
      </c>
    </row>
    <row r="647">
      <c r="A647" s="17">
        <v>110.0</v>
      </c>
      <c r="B647" s="17">
        <v>6644100.0</v>
      </c>
    </row>
    <row r="648">
      <c r="A648" s="17">
        <v>110.0</v>
      </c>
      <c r="B648" s="17">
        <v>6645000.0</v>
      </c>
    </row>
    <row r="649">
      <c r="A649" s="17">
        <v>110.0</v>
      </c>
      <c r="B649" s="17">
        <v>6645100.0</v>
      </c>
    </row>
    <row r="650">
      <c r="A650" s="17">
        <v>110.0</v>
      </c>
      <c r="B650" s="17">
        <v>6646000.0</v>
      </c>
    </row>
    <row r="651">
      <c r="A651" s="17">
        <v>110.0</v>
      </c>
      <c r="B651" s="17">
        <v>6646100.0</v>
      </c>
    </row>
    <row r="652">
      <c r="A652" s="17">
        <v>110.0</v>
      </c>
      <c r="B652" s="17">
        <v>6647000.0</v>
      </c>
    </row>
    <row r="653">
      <c r="A653" s="17">
        <v>110.0</v>
      </c>
      <c r="B653" s="17">
        <v>6647100.0</v>
      </c>
    </row>
    <row r="654">
      <c r="A654" s="17">
        <v>200.0</v>
      </c>
      <c r="B654" s="17">
        <v>7000000.0</v>
      </c>
    </row>
    <row r="655">
      <c r="A655" s="17">
        <v>200.0</v>
      </c>
      <c r="B655" s="17">
        <v>7000001.0</v>
      </c>
    </row>
    <row r="656">
      <c r="A656" s="17">
        <v>200.0</v>
      </c>
      <c r="B656" s="17">
        <v>7000002.0</v>
      </c>
    </row>
    <row r="657">
      <c r="A657" s="17">
        <v>200.0</v>
      </c>
      <c r="B657" s="17">
        <v>7000100.0</v>
      </c>
    </row>
    <row r="658">
      <c r="A658" s="17">
        <v>200.0</v>
      </c>
      <c r="B658" s="17">
        <v>7000101.0</v>
      </c>
    </row>
    <row r="659">
      <c r="A659" s="17">
        <v>200.0</v>
      </c>
      <c r="B659" s="17">
        <v>7000102.0</v>
      </c>
    </row>
    <row r="660">
      <c r="A660" s="17">
        <v>200.0</v>
      </c>
      <c r="B660" s="17">
        <v>7000200.0</v>
      </c>
    </row>
    <row r="661">
      <c r="A661" s="17">
        <v>200.0</v>
      </c>
      <c r="B661" s="17">
        <v>7000201.0</v>
      </c>
    </row>
    <row r="662">
      <c r="A662" s="17">
        <v>200.0</v>
      </c>
      <c r="B662" s="17">
        <v>7000202.0</v>
      </c>
    </row>
    <row r="663">
      <c r="A663" s="17">
        <v>200.0</v>
      </c>
      <c r="B663" s="17">
        <v>7000300.0</v>
      </c>
    </row>
    <row r="664">
      <c r="A664" s="17">
        <v>200.0</v>
      </c>
      <c r="B664" s="17">
        <v>7000301.0</v>
      </c>
    </row>
    <row r="665">
      <c r="A665" s="17">
        <v>200.0</v>
      </c>
      <c r="B665" s="17">
        <v>7000302.0</v>
      </c>
    </row>
    <row r="666">
      <c r="A666" s="17">
        <v>200.0</v>
      </c>
      <c r="B666" s="17">
        <v>7000400.0</v>
      </c>
    </row>
    <row r="667">
      <c r="A667" s="17">
        <v>200.0</v>
      </c>
      <c r="B667" s="17">
        <v>7000401.0</v>
      </c>
    </row>
    <row r="668">
      <c r="A668" s="17">
        <v>200.0</v>
      </c>
      <c r="B668" s="17">
        <v>7000402.0</v>
      </c>
    </row>
    <row r="669">
      <c r="A669" s="17">
        <v>200.0</v>
      </c>
      <c r="B669" s="17">
        <v>7000500.0</v>
      </c>
    </row>
    <row r="670">
      <c r="A670" s="17">
        <v>200.0</v>
      </c>
      <c r="B670" s="17">
        <v>7000501.0</v>
      </c>
    </row>
    <row r="671">
      <c r="A671" s="17">
        <v>200.0</v>
      </c>
      <c r="B671" s="17">
        <v>7000502.0</v>
      </c>
    </row>
    <row r="672">
      <c r="A672" s="17">
        <v>200.0</v>
      </c>
      <c r="B672" s="17">
        <v>7000600.0</v>
      </c>
    </row>
    <row r="673">
      <c r="A673" s="17">
        <v>200.0</v>
      </c>
      <c r="B673" s="17">
        <v>7000601.0</v>
      </c>
    </row>
    <row r="674">
      <c r="A674" s="17">
        <v>200.0</v>
      </c>
      <c r="B674" s="17">
        <v>7000602.0</v>
      </c>
    </row>
    <row r="675">
      <c r="A675" s="17">
        <v>200.0</v>
      </c>
      <c r="B675" s="17">
        <v>7000700.0</v>
      </c>
    </row>
    <row r="676">
      <c r="A676" s="17">
        <v>200.0</v>
      </c>
      <c r="B676" s="17">
        <v>7000701.0</v>
      </c>
    </row>
    <row r="677">
      <c r="A677" s="17">
        <v>200.0</v>
      </c>
      <c r="B677" s="17">
        <v>7000702.0</v>
      </c>
    </row>
    <row r="678">
      <c r="A678" s="17">
        <v>200.0</v>
      </c>
      <c r="B678" s="17">
        <v>7000800.0</v>
      </c>
    </row>
    <row r="679">
      <c r="A679" s="17">
        <v>200.0</v>
      </c>
      <c r="B679" s="17">
        <v>7000801.0</v>
      </c>
    </row>
    <row r="680">
      <c r="A680" s="17">
        <v>200.0</v>
      </c>
      <c r="B680" s="17">
        <v>7000802.0</v>
      </c>
    </row>
    <row r="681">
      <c r="A681" s="17">
        <v>200.0</v>
      </c>
      <c r="B681" s="17">
        <v>7000900.0</v>
      </c>
    </row>
    <row r="682">
      <c r="A682" s="17">
        <v>200.0</v>
      </c>
      <c r="B682" s="17">
        <v>7000901.0</v>
      </c>
    </row>
    <row r="683">
      <c r="A683" s="17">
        <v>200.0</v>
      </c>
      <c r="B683" s="17">
        <v>7000902.0</v>
      </c>
    </row>
    <row r="684">
      <c r="A684" s="17">
        <v>200.0</v>
      </c>
      <c r="B684" s="17">
        <v>7001000.0</v>
      </c>
    </row>
    <row r="685">
      <c r="A685" s="17">
        <v>200.0</v>
      </c>
      <c r="B685" s="17">
        <v>7001001.0</v>
      </c>
    </row>
    <row r="686">
      <c r="A686" s="17">
        <v>200.0</v>
      </c>
      <c r="B686" s="17">
        <v>7001002.0</v>
      </c>
    </row>
    <row r="687">
      <c r="A687" s="17">
        <v>200.0</v>
      </c>
      <c r="B687" s="17">
        <v>7001400.0</v>
      </c>
    </row>
    <row r="688">
      <c r="A688" s="17">
        <v>200.0</v>
      </c>
      <c r="B688" s="17">
        <v>7001401.0</v>
      </c>
    </row>
    <row r="689">
      <c r="A689" s="17">
        <v>200.0</v>
      </c>
      <c r="B689" s="17">
        <v>7001402.0</v>
      </c>
    </row>
    <row r="690">
      <c r="A690" s="17">
        <v>200.0</v>
      </c>
      <c r="B690" s="17">
        <v>7001500.0</v>
      </c>
    </row>
    <row r="691">
      <c r="A691" s="17">
        <v>200.0</v>
      </c>
      <c r="B691" s="17">
        <v>7001501.0</v>
      </c>
    </row>
    <row r="692">
      <c r="A692" s="17">
        <v>200.0</v>
      </c>
      <c r="B692" s="17">
        <v>7001502.0</v>
      </c>
    </row>
    <row r="693">
      <c r="A693" s="17">
        <v>200.0</v>
      </c>
      <c r="B693" s="17">
        <v>7001600.0</v>
      </c>
    </row>
    <row r="694">
      <c r="A694" s="17">
        <v>200.0</v>
      </c>
      <c r="B694" s="17">
        <v>7001601.0</v>
      </c>
    </row>
    <row r="695">
      <c r="A695" s="17">
        <v>200.0</v>
      </c>
      <c r="B695" s="17">
        <v>7001602.0</v>
      </c>
    </row>
    <row r="696">
      <c r="A696" s="17">
        <v>200.0</v>
      </c>
      <c r="B696" s="17">
        <v>7001700.0</v>
      </c>
    </row>
    <row r="697">
      <c r="A697" s="17">
        <v>200.0</v>
      </c>
      <c r="B697" s="17">
        <v>7001701.0</v>
      </c>
    </row>
    <row r="698">
      <c r="A698" s="17">
        <v>200.0</v>
      </c>
      <c r="B698" s="17">
        <v>7001702.0</v>
      </c>
    </row>
    <row r="699">
      <c r="A699" s="17">
        <v>200.0</v>
      </c>
      <c r="B699" s="17">
        <v>7001800.0</v>
      </c>
    </row>
    <row r="700">
      <c r="A700" s="17">
        <v>200.0</v>
      </c>
      <c r="B700" s="17">
        <v>7001801.0</v>
      </c>
    </row>
    <row r="701">
      <c r="A701" s="17">
        <v>200.0</v>
      </c>
      <c r="B701" s="17">
        <v>7001802.0</v>
      </c>
    </row>
    <row r="702">
      <c r="A702" s="17">
        <v>200.0</v>
      </c>
      <c r="B702" s="17">
        <v>7002600.0</v>
      </c>
    </row>
    <row r="703">
      <c r="A703" s="17">
        <v>200.0</v>
      </c>
      <c r="B703" s="17">
        <v>7002700.0</v>
      </c>
    </row>
    <row r="704">
      <c r="A704" s="17">
        <v>200.0</v>
      </c>
      <c r="B704" s="17">
        <v>7002800.0</v>
      </c>
    </row>
    <row r="705">
      <c r="A705" s="17">
        <v>200.0</v>
      </c>
      <c r="B705" s="17">
        <v>7002900.0</v>
      </c>
    </row>
    <row r="706">
      <c r="A706" s="17">
        <v>200.0</v>
      </c>
      <c r="B706" s="17">
        <v>7003000.0</v>
      </c>
    </row>
    <row r="707">
      <c r="A707" s="17">
        <v>200.0</v>
      </c>
      <c r="B707" s="17">
        <v>7003100.0</v>
      </c>
    </row>
    <row r="708">
      <c r="A708" s="17">
        <v>200.0</v>
      </c>
      <c r="B708" s="17">
        <v>7003200.0</v>
      </c>
    </row>
    <row r="709">
      <c r="A709" s="17">
        <v>200.0</v>
      </c>
      <c r="B709" s="17">
        <v>7003300.0</v>
      </c>
    </row>
    <row r="710">
      <c r="A710" s="17">
        <v>200.0</v>
      </c>
      <c r="B710" s="17">
        <v>7003400.0</v>
      </c>
    </row>
    <row r="711">
      <c r="A711" s="17">
        <v>200.0</v>
      </c>
      <c r="B711" s="17">
        <v>7003500.0</v>
      </c>
    </row>
    <row r="712">
      <c r="A712" s="17">
        <v>200.0</v>
      </c>
      <c r="B712" s="17">
        <v>7003600.0</v>
      </c>
    </row>
    <row r="713">
      <c r="A713" s="17">
        <v>200.0</v>
      </c>
      <c r="B713" s="17">
        <v>7005600.0</v>
      </c>
    </row>
    <row r="714">
      <c r="A714" s="17">
        <v>200.0</v>
      </c>
      <c r="B714" s="17">
        <v>7006000.0</v>
      </c>
    </row>
    <row r="715">
      <c r="A715" s="17">
        <v>200.0</v>
      </c>
      <c r="B715" s="17">
        <v>7006100.0</v>
      </c>
    </row>
    <row r="716">
      <c r="A716" s="17">
        <v>200.0</v>
      </c>
      <c r="B716" s="17">
        <v>7010200.0</v>
      </c>
    </row>
    <row r="717">
      <c r="A717" s="17">
        <v>200.0</v>
      </c>
      <c r="B717" s="17">
        <v>7010500.0</v>
      </c>
    </row>
    <row r="718">
      <c r="A718" s="17">
        <v>200.0</v>
      </c>
      <c r="B718" s="17">
        <v>7010700.0</v>
      </c>
    </row>
    <row r="719">
      <c r="A719" s="17">
        <v>200.0</v>
      </c>
      <c r="B719" s="17">
        <v>7010900.0</v>
      </c>
    </row>
    <row r="720">
      <c r="A720" s="17">
        <v>200.0</v>
      </c>
      <c r="B720" s="17">
        <v>7011000.0</v>
      </c>
    </row>
    <row r="721">
      <c r="A721" s="17">
        <v>200.0</v>
      </c>
      <c r="B721" s="17">
        <v>7011200.0</v>
      </c>
    </row>
    <row r="722">
      <c r="A722" s="17">
        <v>200.0</v>
      </c>
      <c r="B722" s="17">
        <v>7011600.0</v>
      </c>
    </row>
    <row r="723">
      <c r="A723" s="17">
        <v>200.0</v>
      </c>
      <c r="B723" s="17">
        <v>7011700.0</v>
      </c>
    </row>
    <row r="724">
      <c r="A724" s="17">
        <v>200.0</v>
      </c>
      <c r="B724" s="17">
        <v>7012000.0</v>
      </c>
    </row>
    <row r="725">
      <c r="A725" s="17">
        <v>200.0</v>
      </c>
      <c r="B725" s="17">
        <v>7012200.0</v>
      </c>
    </row>
    <row r="726">
      <c r="A726" s="17">
        <v>200.0</v>
      </c>
      <c r="B726" s="17">
        <v>7012300.0</v>
      </c>
    </row>
    <row r="727">
      <c r="A727" s="17">
        <v>200.0</v>
      </c>
      <c r="B727" s="17">
        <v>7020000.0</v>
      </c>
    </row>
    <row r="728">
      <c r="A728" s="17">
        <v>200.0</v>
      </c>
      <c r="B728" s="17">
        <v>7030000.0</v>
      </c>
    </row>
    <row r="729">
      <c r="A729" s="17">
        <v>200.0</v>
      </c>
      <c r="B729" s="17">
        <v>7030200.0</v>
      </c>
    </row>
    <row r="730">
      <c r="A730" s="17">
        <v>200.0</v>
      </c>
      <c r="B730" s="17">
        <v>7030600.0</v>
      </c>
    </row>
    <row r="731">
      <c r="A731" s="17">
        <v>200.0</v>
      </c>
      <c r="B731" s="17">
        <v>7030700.0</v>
      </c>
    </row>
    <row r="732">
      <c r="A732" s="17">
        <v>200.0</v>
      </c>
      <c r="B732" s="17">
        <v>7030800.0</v>
      </c>
    </row>
    <row r="733">
      <c r="A733" s="17">
        <v>200.0</v>
      </c>
      <c r="B733" s="17">
        <v>7030900.0</v>
      </c>
    </row>
    <row r="734">
      <c r="A734" s="17">
        <v>200.0</v>
      </c>
      <c r="B734" s="17">
        <v>7031200.0</v>
      </c>
    </row>
    <row r="735">
      <c r="A735" s="17">
        <v>200.0</v>
      </c>
      <c r="B735" s="17">
        <v>7031300.0</v>
      </c>
    </row>
    <row r="736">
      <c r="A736" s="17">
        <v>200.0</v>
      </c>
      <c r="B736" s="17">
        <v>7031800.0</v>
      </c>
    </row>
    <row r="737">
      <c r="A737" s="17">
        <v>200.0</v>
      </c>
      <c r="B737" s="17">
        <v>7031900.0</v>
      </c>
    </row>
    <row r="738">
      <c r="A738" s="17">
        <v>200.0</v>
      </c>
      <c r="B738" s="17">
        <v>7032200.0</v>
      </c>
    </row>
    <row r="739">
      <c r="A739" s="17">
        <v>200.0</v>
      </c>
      <c r="B739" s="17">
        <v>7032400.0</v>
      </c>
    </row>
    <row r="740">
      <c r="A740" s="17">
        <v>200.0</v>
      </c>
      <c r="B740" s="17">
        <v>7032700.0</v>
      </c>
    </row>
    <row r="741">
      <c r="A741" s="17">
        <v>200.0</v>
      </c>
      <c r="B741" s="17">
        <v>7032800.0</v>
      </c>
    </row>
    <row r="742">
      <c r="A742" s="17">
        <v>200.0</v>
      </c>
      <c r="B742" s="17">
        <v>7032900.0</v>
      </c>
    </row>
    <row r="743">
      <c r="A743" s="17">
        <v>200.0</v>
      </c>
      <c r="B743" s="17">
        <v>7033200.0</v>
      </c>
    </row>
    <row r="744">
      <c r="A744" s="17">
        <v>200.0</v>
      </c>
      <c r="B744" s="17">
        <v>7033400.0</v>
      </c>
    </row>
    <row r="745">
      <c r="A745" s="17">
        <v>200.0</v>
      </c>
      <c r="B745" s="17">
        <v>7034100.0</v>
      </c>
    </row>
    <row r="746">
      <c r="A746" s="17">
        <v>200.0</v>
      </c>
      <c r="B746" s="17">
        <v>7034400.0</v>
      </c>
    </row>
    <row r="747">
      <c r="A747" s="17">
        <v>200.0</v>
      </c>
      <c r="B747" s="17">
        <v>7034500.0</v>
      </c>
    </row>
    <row r="748">
      <c r="A748" s="17">
        <v>200.0</v>
      </c>
      <c r="B748" s="17">
        <v>7034600.0</v>
      </c>
    </row>
    <row r="749">
      <c r="A749" s="17">
        <v>200.0</v>
      </c>
      <c r="B749" s="17">
        <v>7034700.0</v>
      </c>
    </row>
    <row r="750">
      <c r="A750" s="17">
        <v>200.0</v>
      </c>
      <c r="B750" s="17">
        <v>7035100.0</v>
      </c>
    </row>
    <row r="751">
      <c r="A751" s="17">
        <v>200.0</v>
      </c>
      <c r="B751" s="17">
        <v>7036100.0</v>
      </c>
    </row>
    <row r="752">
      <c r="A752" s="17">
        <v>200.0</v>
      </c>
      <c r="B752" s="17">
        <v>7040000.0</v>
      </c>
    </row>
    <row r="753">
      <c r="A753" s="17">
        <v>200.0</v>
      </c>
      <c r="B753" s="17">
        <v>7040100.0</v>
      </c>
    </row>
    <row r="754">
      <c r="A754" s="17">
        <v>200.0</v>
      </c>
      <c r="B754" s="17">
        <v>7040200.0</v>
      </c>
    </row>
    <row r="755">
      <c r="A755" s="17">
        <v>200.0</v>
      </c>
      <c r="B755" s="17">
        <v>7040300.0</v>
      </c>
    </row>
    <row r="756">
      <c r="A756" s="17">
        <v>200.0</v>
      </c>
      <c r="B756" s="17">
        <v>7040400.0</v>
      </c>
    </row>
    <row r="757">
      <c r="A757" s="17">
        <v>200.0</v>
      </c>
      <c r="B757" s="17">
        <v>7040500.0</v>
      </c>
    </row>
    <row r="758">
      <c r="A758" s="17">
        <v>200.0</v>
      </c>
      <c r="B758" s="17">
        <v>7043000.0</v>
      </c>
    </row>
    <row r="759">
      <c r="A759" s="17">
        <v>200.0</v>
      </c>
      <c r="B759" s="17">
        <v>7043100.0</v>
      </c>
    </row>
    <row r="760">
      <c r="A760" s="17">
        <v>200.0</v>
      </c>
      <c r="B760" s="17">
        <v>7043200.0</v>
      </c>
    </row>
    <row r="761">
      <c r="A761" s="17">
        <v>200.0</v>
      </c>
      <c r="B761" s="17">
        <v>7043300.0</v>
      </c>
    </row>
    <row r="762">
      <c r="A762" s="17">
        <v>200.0</v>
      </c>
      <c r="B762" s="17">
        <v>7043400.0</v>
      </c>
    </row>
    <row r="763">
      <c r="A763" s="17">
        <v>200.0</v>
      </c>
      <c r="B763" s="17">
        <v>7043500.0</v>
      </c>
    </row>
    <row r="764">
      <c r="A764" s="17">
        <v>200.0</v>
      </c>
      <c r="B764" s="17">
        <v>7043600.0</v>
      </c>
    </row>
    <row r="765">
      <c r="A765" s="17">
        <v>200.0</v>
      </c>
      <c r="B765" s="17">
        <v>7043700.0</v>
      </c>
    </row>
    <row r="766">
      <c r="A766" s="17">
        <v>200.0</v>
      </c>
      <c r="B766" s="17">
        <v>7043800.0</v>
      </c>
    </row>
    <row r="767">
      <c r="A767" s="17">
        <v>200.0</v>
      </c>
      <c r="B767" s="17">
        <v>7044000.0</v>
      </c>
    </row>
    <row r="768">
      <c r="A768" s="17">
        <v>200.0</v>
      </c>
      <c r="B768" s="17">
        <v>7044100.0</v>
      </c>
    </row>
    <row r="769">
      <c r="A769" s="17">
        <v>200.0</v>
      </c>
      <c r="B769" s="17">
        <v>7044200.0</v>
      </c>
    </row>
    <row r="770">
      <c r="A770" s="17">
        <v>200.0</v>
      </c>
      <c r="B770" s="17">
        <v>7044300.0</v>
      </c>
    </row>
    <row r="771">
      <c r="A771" s="17">
        <v>200.0</v>
      </c>
      <c r="B771" s="17">
        <v>7044400.0</v>
      </c>
    </row>
    <row r="772">
      <c r="A772" s="17">
        <v>200.0</v>
      </c>
      <c r="B772" s="17">
        <v>7044500.0</v>
      </c>
    </row>
    <row r="773">
      <c r="A773" s="17">
        <v>200.0</v>
      </c>
      <c r="B773" s="17">
        <v>7044600.0</v>
      </c>
    </row>
    <row r="774">
      <c r="A774" s="17">
        <v>200.0</v>
      </c>
      <c r="B774" s="17">
        <v>7050000.0</v>
      </c>
    </row>
    <row r="775">
      <c r="A775" s="17">
        <v>200.0</v>
      </c>
      <c r="B775" s="17">
        <v>7050100.0</v>
      </c>
    </row>
    <row r="776">
      <c r="A776" s="17">
        <v>200.0</v>
      </c>
      <c r="B776" s="17">
        <v>7060000.0</v>
      </c>
    </row>
    <row r="777">
      <c r="A777" s="17">
        <v>200.0</v>
      </c>
      <c r="B777" s="17">
        <v>7060100.0</v>
      </c>
    </row>
    <row r="778">
      <c r="A778" s="17">
        <v>200.0</v>
      </c>
      <c r="B778" s="17">
        <v>7060200.0</v>
      </c>
    </row>
    <row r="779">
      <c r="A779" s="17">
        <v>200.0</v>
      </c>
      <c r="B779" s="17">
        <v>7070000.0</v>
      </c>
    </row>
    <row r="780">
      <c r="A780" s="17">
        <v>200.0</v>
      </c>
      <c r="B780" s="17">
        <v>7080000.0</v>
      </c>
    </row>
    <row r="781">
      <c r="A781" s="17">
        <v>200.0</v>
      </c>
      <c r="B781" s="17">
        <v>7080100.0</v>
      </c>
    </row>
    <row r="782">
      <c r="A782" s="17">
        <v>200.0</v>
      </c>
      <c r="B782" s="17">
        <v>7080200.0</v>
      </c>
    </row>
    <row r="783">
      <c r="A783" s="17">
        <v>200.0</v>
      </c>
      <c r="B783" s="17">
        <v>7080300.0</v>
      </c>
    </row>
    <row r="784">
      <c r="A784" s="17">
        <v>200.0</v>
      </c>
      <c r="B784" s="17">
        <v>7080400.0</v>
      </c>
    </row>
    <row r="785">
      <c r="A785" s="17">
        <v>200.0</v>
      </c>
      <c r="B785" s="17">
        <v>7080500.0</v>
      </c>
    </row>
    <row r="786">
      <c r="A786" s="17">
        <v>200.0</v>
      </c>
      <c r="B786" s="17">
        <v>7080600.0</v>
      </c>
    </row>
    <row r="787">
      <c r="A787" s="17">
        <v>200.0</v>
      </c>
      <c r="B787" s="17">
        <v>7080700.0</v>
      </c>
    </row>
    <row r="788">
      <c r="A788" s="17">
        <v>200.0</v>
      </c>
      <c r="B788" s="17">
        <v>7080800.0</v>
      </c>
    </row>
    <row r="789">
      <c r="A789" s="17">
        <v>200.0</v>
      </c>
      <c r="B789" s="17">
        <v>7080900.0</v>
      </c>
    </row>
    <row r="790">
      <c r="A790" s="17">
        <v>200.0</v>
      </c>
      <c r="B790" s="17">
        <v>7081000.0</v>
      </c>
    </row>
    <row r="791">
      <c r="A791" s="17">
        <v>200.0</v>
      </c>
      <c r="B791" s="17">
        <v>7081100.0</v>
      </c>
    </row>
    <row r="792">
      <c r="A792" s="17">
        <v>200.0</v>
      </c>
      <c r="B792" s="17">
        <v>7081200.0</v>
      </c>
    </row>
    <row r="793">
      <c r="A793" s="17">
        <v>200.0</v>
      </c>
      <c r="B793" s="17">
        <v>7081300.0</v>
      </c>
    </row>
    <row r="794">
      <c r="A794" s="17">
        <v>200.0</v>
      </c>
      <c r="B794" s="17">
        <v>7081400.0</v>
      </c>
    </row>
    <row r="795">
      <c r="A795" s="17">
        <v>200.0</v>
      </c>
      <c r="B795" s="17">
        <v>7081500.0</v>
      </c>
    </row>
    <row r="796">
      <c r="A796" s="17">
        <v>200.0</v>
      </c>
      <c r="B796" s="17">
        <v>7081700.0</v>
      </c>
    </row>
    <row r="797">
      <c r="A797" s="17">
        <v>200.0</v>
      </c>
      <c r="B797" s="17">
        <v>7081800.0</v>
      </c>
    </row>
    <row r="798">
      <c r="A798" s="17">
        <v>200.0</v>
      </c>
      <c r="B798" s="17">
        <v>7081900.0</v>
      </c>
    </row>
    <row r="799">
      <c r="A799" s="17">
        <v>200.0</v>
      </c>
      <c r="B799" s="17">
        <v>7082000.0</v>
      </c>
    </row>
    <row r="800">
      <c r="A800" s="17">
        <v>200.0</v>
      </c>
      <c r="B800" s="17">
        <v>7082100.0</v>
      </c>
    </row>
    <row r="801">
      <c r="A801" s="17">
        <v>200.0</v>
      </c>
      <c r="B801" s="17">
        <v>7082200.0</v>
      </c>
    </row>
    <row r="802">
      <c r="A802" s="17">
        <v>200.0</v>
      </c>
      <c r="B802" s="17">
        <v>7082300.0</v>
      </c>
    </row>
    <row r="803">
      <c r="A803" s="17">
        <v>200.0</v>
      </c>
      <c r="B803" s="17">
        <v>7082400.0</v>
      </c>
    </row>
    <row r="804">
      <c r="A804" s="17">
        <v>200.0</v>
      </c>
      <c r="B804" s="17">
        <v>7082500.0</v>
      </c>
    </row>
    <row r="805">
      <c r="A805" s="17">
        <v>200.0</v>
      </c>
      <c r="B805" s="17">
        <v>7082600.0</v>
      </c>
    </row>
    <row r="806">
      <c r="A806" s="17">
        <v>200.0</v>
      </c>
      <c r="B806" s="17">
        <v>7082700.0</v>
      </c>
    </row>
    <row r="807">
      <c r="A807" s="17">
        <v>200.0</v>
      </c>
      <c r="B807" s="17">
        <v>7082800.0</v>
      </c>
    </row>
    <row r="808">
      <c r="A808" s="17">
        <v>200.0</v>
      </c>
      <c r="B808" s="17">
        <v>7082900.0</v>
      </c>
    </row>
    <row r="809">
      <c r="A809" s="17">
        <v>200.0</v>
      </c>
      <c r="B809" s="17">
        <v>7090000.0</v>
      </c>
    </row>
    <row r="810">
      <c r="A810" s="17">
        <v>200.0</v>
      </c>
      <c r="B810" s="17">
        <v>7090100.0</v>
      </c>
    </row>
    <row r="811">
      <c r="A811" s="17">
        <v>200.0</v>
      </c>
      <c r="B811" s="17">
        <v>7090300.0</v>
      </c>
    </row>
    <row r="812">
      <c r="A812" s="17">
        <v>200.0</v>
      </c>
      <c r="B812" s="17">
        <v>7100100.0</v>
      </c>
    </row>
    <row r="813">
      <c r="A813" s="17">
        <v>200.0</v>
      </c>
      <c r="B813" s="17">
        <v>7110000.0</v>
      </c>
    </row>
    <row r="814">
      <c r="A814" s="17">
        <v>200.0</v>
      </c>
      <c r="B814" s="17">
        <v>7120000.0</v>
      </c>
    </row>
    <row r="815">
      <c r="A815" s="17">
        <v>200.0</v>
      </c>
      <c r="B815" s="17">
        <v>7120100.0</v>
      </c>
    </row>
    <row r="816">
      <c r="A816" s="17">
        <v>200.0</v>
      </c>
      <c r="B816" s="17">
        <v>7120200.0</v>
      </c>
    </row>
    <row r="817">
      <c r="A817" s="17">
        <v>200.0</v>
      </c>
      <c r="B817" s="17">
        <v>7120300.0</v>
      </c>
    </row>
    <row r="818">
      <c r="A818" s="17">
        <v>200.0</v>
      </c>
      <c r="B818" s="17">
        <v>7120400.0</v>
      </c>
    </row>
    <row r="819">
      <c r="A819" s="17">
        <v>200.0</v>
      </c>
      <c r="B819" s="17">
        <v>7120500.0</v>
      </c>
    </row>
    <row r="820">
      <c r="A820" s="17">
        <v>200.0</v>
      </c>
      <c r="B820" s="17">
        <v>7120600.0</v>
      </c>
    </row>
    <row r="821">
      <c r="A821" s="17">
        <v>200.0</v>
      </c>
      <c r="B821" s="17">
        <v>7120900.0</v>
      </c>
    </row>
    <row r="822">
      <c r="A822" s="17">
        <v>200.0</v>
      </c>
      <c r="B822" s="17">
        <v>7121000.0</v>
      </c>
    </row>
    <row r="823">
      <c r="A823" s="17">
        <v>200.0</v>
      </c>
      <c r="B823" s="17">
        <v>7121100.0</v>
      </c>
    </row>
    <row r="824">
      <c r="A824" s="17">
        <v>200.0</v>
      </c>
      <c r="B824" s="17">
        <v>7121200.0</v>
      </c>
    </row>
    <row r="825">
      <c r="A825" s="17">
        <v>200.0</v>
      </c>
      <c r="B825" s="17">
        <v>7121300.0</v>
      </c>
    </row>
    <row r="826">
      <c r="A826" s="17">
        <v>200.0</v>
      </c>
      <c r="B826" s="17">
        <v>7121400.0</v>
      </c>
    </row>
    <row r="827">
      <c r="A827" s="17">
        <v>200.0</v>
      </c>
      <c r="B827" s="17">
        <v>7121500.0</v>
      </c>
    </row>
    <row r="828">
      <c r="A828" s="17">
        <v>200.0</v>
      </c>
      <c r="B828" s="17">
        <v>7121600.0</v>
      </c>
    </row>
    <row r="829">
      <c r="A829" s="17">
        <v>200.0</v>
      </c>
      <c r="B829" s="17">
        <v>7121700.0</v>
      </c>
    </row>
    <row r="830">
      <c r="A830" s="17">
        <v>200.0</v>
      </c>
      <c r="B830" s="17">
        <v>7121800.0</v>
      </c>
    </row>
    <row r="831">
      <c r="A831" s="17">
        <v>200.0</v>
      </c>
      <c r="B831" s="17">
        <v>7121900.0</v>
      </c>
    </row>
    <row r="832">
      <c r="A832" s="17">
        <v>200.0</v>
      </c>
      <c r="B832" s="17">
        <v>7122000.0</v>
      </c>
    </row>
    <row r="833">
      <c r="A833" s="17">
        <v>200.0</v>
      </c>
      <c r="B833" s="17">
        <v>7122100.0</v>
      </c>
    </row>
    <row r="834">
      <c r="A834" s="17">
        <v>200.0</v>
      </c>
      <c r="B834" s="17">
        <v>7122200.0</v>
      </c>
    </row>
    <row r="835">
      <c r="A835" s="17">
        <v>200.0</v>
      </c>
      <c r="B835" s="17">
        <v>7122300.0</v>
      </c>
    </row>
    <row r="836">
      <c r="A836" s="17">
        <v>200.0</v>
      </c>
      <c r="B836" s="17">
        <v>7122400.0</v>
      </c>
    </row>
    <row r="837">
      <c r="A837" s="17">
        <v>200.0</v>
      </c>
      <c r="B837" s="17">
        <v>7122500.0</v>
      </c>
    </row>
    <row r="838">
      <c r="A838" s="17">
        <v>200.0</v>
      </c>
      <c r="B838" s="17">
        <v>7122600.0</v>
      </c>
    </row>
    <row r="839">
      <c r="A839" s="17">
        <v>200.0</v>
      </c>
      <c r="B839" s="17">
        <v>7122700.0</v>
      </c>
    </row>
    <row r="840">
      <c r="A840" s="17">
        <v>200.0</v>
      </c>
      <c r="B840" s="17">
        <v>7122800.0</v>
      </c>
    </row>
    <row r="841">
      <c r="A841" s="17">
        <v>200.0</v>
      </c>
      <c r="B841" s="17">
        <v>7122900.0</v>
      </c>
    </row>
    <row r="842">
      <c r="A842" s="17">
        <v>200.0</v>
      </c>
      <c r="B842" s="17">
        <v>7123000.0</v>
      </c>
    </row>
    <row r="843">
      <c r="A843" s="17">
        <v>200.0</v>
      </c>
      <c r="B843" s="17">
        <v>7123100.0</v>
      </c>
    </row>
    <row r="844">
      <c r="A844" s="17">
        <v>200.0</v>
      </c>
      <c r="B844" s="17">
        <v>7123200.0</v>
      </c>
    </row>
    <row r="845">
      <c r="A845" s="17">
        <v>200.0</v>
      </c>
      <c r="B845" s="17">
        <v>7123300.0</v>
      </c>
    </row>
    <row r="846">
      <c r="A846" s="17">
        <v>200.0</v>
      </c>
      <c r="B846" s="17">
        <v>7123400.0</v>
      </c>
    </row>
    <row r="847">
      <c r="A847" s="17">
        <v>200.0</v>
      </c>
      <c r="B847" s="17">
        <v>7123500.0</v>
      </c>
    </row>
    <row r="848">
      <c r="A848" s="17">
        <v>200.0</v>
      </c>
      <c r="B848" s="17">
        <v>7123600.0</v>
      </c>
    </row>
    <row r="849">
      <c r="A849" s="17">
        <v>200.0</v>
      </c>
      <c r="B849" s="17">
        <v>7123700.0</v>
      </c>
    </row>
    <row r="850">
      <c r="A850" s="17">
        <v>200.0</v>
      </c>
      <c r="B850" s="17">
        <v>7123800.0</v>
      </c>
    </row>
    <row r="851">
      <c r="A851" s="17">
        <v>200.0</v>
      </c>
      <c r="B851" s="17">
        <v>7123900.0</v>
      </c>
    </row>
    <row r="852">
      <c r="A852" s="17">
        <v>200.0</v>
      </c>
      <c r="B852" s="17">
        <v>7124000.0</v>
      </c>
    </row>
    <row r="853">
      <c r="A853" s="17">
        <v>200.0</v>
      </c>
      <c r="B853" s="17">
        <v>7124100.0</v>
      </c>
    </row>
    <row r="854">
      <c r="A854" s="17">
        <v>200.0</v>
      </c>
      <c r="B854" s="17">
        <v>7124300.0</v>
      </c>
    </row>
    <row r="855">
      <c r="A855" s="17">
        <v>200.0</v>
      </c>
      <c r="B855" s="17">
        <v>7124400.0</v>
      </c>
    </row>
    <row r="856">
      <c r="A856" s="17">
        <v>200.0</v>
      </c>
      <c r="B856" s="17">
        <v>7124500.0</v>
      </c>
    </row>
    <row r="857">
      <c r="A857" s="17">
        <v>200.0</v>
      </c>
      <c r="B857" s="17">
        <v>7124600.0</v>
      </c>
    </row>
    <row r="858">
      <c r="A858" s="17">
        <v>200.0</v>
      </c>
      <c r="B858" s="17">
        <v>7124700.0</v>
      </c>
    </row>
    <row r="859">
      <c r="A859" s="17">
        <v>200.0</v>
      </c>
      <c r="B859" s="17">
        <v>7126000.0</v>
      </c>
    </row>
    <row r="860">
      <c r="A860" s="17">
        <v>200.0</v>
      </c>
      <c r="B860" s="17">
        <v>7150000.0</v>
      </c>
    </row>
    <row r="861">
      <c r="A861" s="17">
        <v>200.0</v>
      </c>
      <c r="B861" s="17">
        <v>7160000.0</v>
      </c>
    </row>
    <row r="862">
      <c r="A862" s="17">
        <v>200.0</v>
      </c>
      <c r="B862" s="17">
        <v>7220000.0</v>
      </c>
    </row>
    <row r="863">
      <c r="A863" s="17">
        <v>200.0</v>
      </c>
      <c r="B863" s="17">
        <v>7230000.0</v>
      </c>
    </row>
    <row r="864">
      <c r="A864" s="17">
        <v>200.0</v>
      </c>
      <c r="B864" s="17">
        <v>7240000.0</v>
      </c>
    </row>
    <row r="865">
      <c r="A865" s="17">
        <v>200.0</v>
      </c>
      <c r="B865" s="17">
        <v>7260000.0</v>
      </c>
    </row>
    <row r="866">
      <c r="A866" s="17">
        <v>200.0</v>
      </c>
      <c r="B866" s="17">
        <v>7260300.0</v>
      </c>
    </row>
    <row r="867">
      <c r="A867" s="17">
        <v>200.0</v>
      </c>
      <c r="B867" s="17">
        <v>7260400.0</v>
      </c>
    </row>
    <row r="868">
      <c r="A868" s="17">
        <v>200.0</v>
      </c>
      <c r="B868" s="17">
        <v>7270100.0</v>
      </c>
    </row>
    <row r="869">
      <c r="A869" s="17">
        <v>200.0</v>
      </c>
      <c r="B869" s="17">
        <v>7280000.0</v>
      </c>
    </row>
    <row r="870">
      <c r="A870" s="17">
        <v>200.0</v>
      </c>
      <c r="B870" s="17">
        <v>7290000.0</v>
      </c>
    </row>
    <row r="871">
      <c r="A871" s="17">
        <v>200.0</v>
      </c>
      <c r="B871" s="17">
        <v>7310000.0</v>
      </c>
    </row>
    <row r="872">
      <c r="A872" s="17">
        <v>200.0</v>
      </c>
      <c r="B872" s="17">
        <v>7330000.0</v>
      </c>
    </row>
    <row r="873">
      <c r="A873" s="17">
        <v>200.0</v>
      </c>
      <c r="B873" s="17">
        <v>7330100.0</v>
      </c>
    </row>
    <row r="874">
      <c r="A874" s="17">
        <v>200.0</v>
      </c>
      <c r="B874" s="17">
        <v>7330200.0</v>
      </c>
    </row>
    <row r="875">
      <c r="A875" s="17">
        <v>200.0</v>
      </c>
      <c r="B875" s="17">
        <v>7330300.0</v>
      </c>
    </row>
    <row r="876">
      <c r="A876" s="17">
        <v>200.0</v>
      </c>
      <c r="B876" s="17">
        <v>7330400.0</v>
      </c>
    </row>
    <row r="877">
      <c r="A877" s="17">
        <v>200.0</v>
      </c>
      <c r="B877" s="17">
        <v>7330500.0</v>
      </c>
    </row>
    <row r="878">
      <c r="A878" s="17">
        <v>200.0</v>
      </c>
      <c r="B878" s="17">
        <v>7330600.0</v>
      </c>
    </row>
    <row r="879">
      <c r="A879" s="17">
        <v>200.0</v>
      </c>
      <c r="B879" s="17">
        <v>7330700.0</v>
      </c>
    </row>
    <row r="880">
      <c r="A880" s="17">
        <v>200.0</v>
      </c>
      <c r="B880" s="17">
        <v>7330800.0</v>
      </c>
    </row>
    <row r="881">
      <c r="A881" s="17">
        <v>200.0</v>
      </c>
      <c r="B881" s="17">
        <v>7330900.0</v>
      </c>
    </row>
    <row r="882">
      <c r="A882" s="17">
        <v>200.0</v>
      </c>
      <c r="B882" s="17">
        <v>7331000.0</v>
      </c>
    </row>
    <row r="883">
      <c r="A883" s="17">
        <v>200.0</v>
      </c>
      <c r="B883" s="17">
        <v>7331100.0</v>
      </c>
    </row>
    <row r="884">
      <c r="A884" s="17">
        <v>200.0</v>
      </c>
      <c r="B884" s="17">
        <v>7331200.0</v>
      </c>
    </row>
    <row r="885">
      <c r="A885" s="17">
        <v>200.0</v>
      </c>
      <c r="B885" s="17">
        <v>7331300.0</v>
      </c>
    </row>
    <row r="886">
      <c r="A886" s="17">
        <v>200.0</v>
      </c>
      <c r="B886" s="17">
        <v>7331400.0</v>
      </c>
    </row>
    <row r="887">
      <c r="A887" s="17">
        <v>200.0</v>
      </c>
      <c r="B887" s="17">
        <v>7331500.0</v>
      </c>
    </row>
    <row r="888">
      <c r="A888" s="17">
        <v>200.0</v>
      </c>
      <c r="B888" s="17">
        <v>7331700.0</v>
      </c>
    </row>
    <row r="889">
      <c r="A889" s="17">
        <v>200.0</v>
      </c>
      <c r="B889" s="17">
        <v>7331800.0</v>
      </c>
    </row>
    <row r="890">
      <c r="A890" s="17">
        <v>200.0</v>
      </c>
      <c r="B890" s="17">
        <v>7331900.0</v>
      </c>
    </row>
    <row r="891">
      <c r="A891" s="17">
        <v>200.0</v>
      </c>
      <c r="B891" s="17">
        <v>7332000.0</v>
      </c>
    </row>
    <row r="892">
      <c r="A892" s="17">
        <v>200.0</v>
      </c>
      <c r="B892" s="17">
        <v>7332100.0</v>
      </c>
    </row>
    <row r="893">
      <c r="A893" s="17">
        <v>200.0</v>
      </c>
      <c r="B893" s="17">
        <v>7332200.0</v>
      </c>
    </row>
    <row r="894">
      <c r="A894" s="17">
        <v>200.0</v>
      </c>
      <c r="B894" s="17">
        <v>7332300.0</v>
      </c>
    </row>
    <row r="895">
      <c r="A895" s="17">
        <v>200.0</v>
      </c>
      <c r="B895" s="17">
        <v>7332400.0</v>
      </c>
    </row>
    <row r="896">
      <c r="A896" s="17">
        <v>200.0</v>
      </c>
      <c r="B896" s="17">
        <v>7340000.0</v>
      </c>
    </row>
    <row r="897">
      <c r="A897" s="17">
        <v>200.0</v>
      </c>
      <c r="B897" s="17">
        <v>7340100.0</v>
      </c>
    </row>
    <row r="898">
      <c r="A898" s="17">
        <v>200.0</v>
      </c>
      <c r="B898" s="17">
        <v>7340200.0</v>
      </c>
    </row>
    <row r="899">
      <c r="A899" s="17">
        <v>200.0</v>
      </c>
      <c r="B899" s="17">
        <v>7340300.0</v>
      </c>
    </row>
    <row r="900">
      <c r="A900" s="17">
        <v>200.0</v>
      </c>
      <c r="B900" s="17">
        <v>7340400.0</v>
      </c>
    </row>
    <row r="901">
      <c r="A901" s="17">
        <v>200.0</v>
      </c>
      <c r="B901" s="17">
        <v>7340500.0</v>
      </c>
    </row>
    <row r="902">
      <c r="A902" s="17">
        <v>200.0</v>
      </c>
      <c r="B902" s="17">
        <v>7340600.0</v>
      </c>
    </row>
    <row r="903">
      <c r="A903" s="17">
        <v>200.0</v>
      </c>
      <c r="B903" s="17">
        <v>7340700.0</v>
      </c>
    </row>
    <row r="904">
      <c r="A904" s="17">
        <v>200.0</v>
      </c>
      <c r="B904" s="17">
        <v>7340800.0</v>
      </c>
    </row>
    <row r="905">
      <c r="A905" s="17">
        <v>200.0</v>
      </c>
      <c r="B905" s="17">
        <v>7340900.0</v>
      </c>
    </row>
    <row r="906">
      <c r="A906" s="17">
        <v>200.0</v>
      </c>
      <c r="B906" s="17">
        <v>7341000.0</v>
      </c>
    </row>
    <row r="907">
      <c r="A907" s="17">
        <v>200.0</v>
      </c>
      <c r="B907" s="17">
        <v>7341100.0</v>
      </c>
    </row>
    <row r="908">
      <c r="A908" s="17">
        <v>200.0</v>
      </c>
      <c r="B908" s="17">
        <v>7341200.0</v>
      </c>
    </row>
    <row r="909">
      <c r="A909" s="17">
        <v>200.0</v>
      </c>
      <c r="B909" s="17">
        <v>7341300.0</v>
      </c>
    </row>
    <row r="910">
      <c r="A910" s="17">
        <v>200.0</v>
      </c>
      <c r="B910" s="17">
        <v>7341400.0</v>
      </c>
    </row>
    <row r="911">
      <c r="A911" s="17">
        <v>200.0</v>
      </c>
      <c r="B911" s="17">
        <v>7341500.0</v>
      </c>
    </row>
    <row r="912">
      <c r="A912" s="17">
        <v>200.0</v>
      </c>
      <c r="B912" s="17">
        <v>7341700.0</v>
      </c>
    </row>
    <row r="913">
      <c r="A913" s="17">
        <v>200.0</v>
      </c>
      <c r="B913" s="17">
        <v>7341800.0</v>
      </c>
    </row>
    <row r="914">
      <c r="A914" s="17">
        <v>200.0</v>
      </c>
      <c r="B914" s="17">
        <v>7341900.0</v>
      </c>
    </row>
    <row r="915">
      <c r="A915" s="17">
        <v>200.0</v>
      </c>
      <c r="B915" s="17">
        <v>7342000.0</v>
      </c>
    </row>
    <row r="916">
      <c r="A916" s="17">
        <v>200.0</v>
      </c>
      <c r="B916" s="17">
        <v>7342100.0</v>
      </c>
    </row>
    <row r="917">
      <c r="A917" s="17">
        <v>200.0</v>
      </c>
      <c r="B917" s="17">
        <v>7342200.0</v>
      </c>
    </row>
    <row r="918">
      <c r="A918" s="17">
        <v>200.0</v>
      </c>
      <c r="B918" s="17">
        <v>7342300.0</v>
      </c>
    </row>
    <row r="919">
      <c r="A919" s="17">
        <v>200.0</v>
      </c>
      <c r="B919" s="17">
        <v>7342400.0</v>
      </c>
    </row>
    <row r="920">
      <c r="A920" s="17">
        <v>200.0</v>
      </c>
      <c r="B920" s="17">
        <v>7350000.0</v>
      </c>
    </row>
    <row r="921">
      <c r="A921" s="17">
        <v>200.0</v>
      </c>
      <c r="B921" s="17">
        <v>7350100.0</v>
      </c>
    </row>
    <row r="922">
      <c r="A922" s="17">
        <v>200.0</v>
      </c>
      <c r="B922" s="17">
        <v>7350200.0</v>
      </c>
    </row>
    <row r="923">
      <c r="A923" s="17">
        <v>200.0</v>
      </c>
      <c r="B923" s="17">
        <v>7350300.0</v>
      </c>
    </row>
    <row r="924">
      <c r="A924" s="17">
        <v>200.0</v>
      </c>
      <c r="B924" s="17">
        <v>7350400.0</v>
      </c>
    </row>
    <row r="925">
      <c r="A925" s="17">
        <v>200.0</v>
      </c>
      <c r="B925" s="17">
        <v>7350500.0</v>
      </c>
    </row>
    <row r="926">
      <c r="A926" s="17">
        <v>200.0</v>
      </c>
      <c r="B926" s="17">
        <v>7350600.0</v>
      </c>
    </row>
    <row r="927">
      <c r="A927" s="17">
        <v>200.0</v>
      </c>
      <c r="B927" s="17">
        <v>7350700.0</v>
      </c>
    </row>
    <row r="928">
      <c r="A928" s="17">
        <v>200.0</v>
      </c>
      <c r="B928" s="17">
        <v>7350800.0</v>
      </c>
    </row>
    <row r="929">
      <c r="A929" s="17">
        <v>200.0</v>
      </c>
      <c r="B929" s="17">
        <v>7350900.0</v>
      </c>
    </row>
    <row r="930">
      <c r="A930" s="17">
        <v>200.0</v>
      </c>
      <c r="B930" s="17">
        <v>7351000.0</v>
      </c>
    </row>
    <row r="931">
      <c r="A931" s="17">
        <v>200.0</v>
      </c>
      <c r="B931" s="17">
        <v>7351100.0</v>
      </c>
    </row>
    <row r="932">
      <c r="A932" s="17">
        <v>200.0</v>
      </c>
      <c r="B932" s="17">
        <v>7351200.0</v>
      </c>
    </row>
    <row r="933">
      <c r="A933" s="17">
        <v>200.0</v>
      </c>
      <c r="B933" s="17">
        <v>7351300.0</v>
      </c>
    </row>
    <row r="934">
      <c r="A934" s="17">
        <v>200.0</v>
      </c>
      <c r="B934" s="17">
        <v>7351400.0</v>
      </c>
    </row>
    <row r="935">
      <c r="A935" s="17">
        <v>200.0</v>
      </c>
      <c r="B935" s="17">
        <v>7351500.0</v>
      </c>
    </row>
    <row r="936">
      <c r="A936" s="17">
        <v>200.0</v>
      </c>
      <c r="B936" s="17">
        <v>7351700.0</v>
      </c>
    </row>
    <row r="937">
      <c r="A937" s="17">
        <v>200.0</v>
      </c>
      <c r="B937" s="17">
        <v>7351800.0</v>
      </c>
    </row>
    <row r="938">
      <c r="A938" s="17">
        <v>200.0</v>
      </c>
      <c r="B938" s="17">
        <v>7351900.0</v>
      </c>
    </row>
    <row r="939">
      <c r="A939" s="17">
        <v>200.0</v>
      </c>
      <c r="B939" s="17">
        <v>7352000.0</v>
      </c>
    </row>
    <row r="940">
      <c r="A940" s="17">
        <v>200.0</v>
      </c>
      <c r="B940" s="17">
        <v>7352100.0</v>
      </c>
    </row>
    <row r="941">
      <c r="A941" s="17">
        <v>200.0</v>
      </c>
      <c r="B941" s="17">
        <v>7352200.0</v>
      </c>
    </row>
    <row r="942">
      <c r="A942" s="17">
        <v>200.0</v>
      </c>
      <c r="B942" s="17">
        <v>7352300.0</v>
      </c>
    </row>
    <row r="943">
      <c r="A943" s="17">
        <v>200.0</v>
      </c>
      <c r="B943" s="17">
        <v>7352400.0</v>
      </c>
    </row>
    <row r="944">
      <c r="A944" s="17">
        <v>210.0</v>
      </c>
      <c r="B944" s="17">
        <v>7000000.0</v>
      </c>
    </row>
    <row r="945">
      <c r="A945" s="17">
        <v>210.0</v>
      </c>
      <c r="B945" s="17">
        <v>7000001.0</v>
      </c>
    </row>
    <row r="946">
      <c r="A946" s="17">
        <v>210.0</v>
      </c>
      <c r="B946" s="17">
        <v>7000002.0</v>
      </c>
    </row>
    <row r="947">
      <c r="A947" s="17">
        <v>210.0</v>
      </c>
      <c r="B947" s="17">
        <v>7000100.0</v>
      </c>
    </row>
    <row r="948">
      <c r="A948" s="17">
        <v>210.0</v>
      </c>
      <c r="B948" s="17">
        <v>7000101.0</v>
      </c>
    </row>
    <row r="949">
      <c r="A949" s="17">
        <v>210.0</v>
      </c>
      <c r="B949" s="17">
        <v>7000102.0</v>
      </c>
    </row>
    <row r="950">
      <c r="A950" s="17">
        <v>210.0</v>
      </c>
      <c r="B950" s="17">
        <v>7000200.0</v>
      </c>
    </row>
    <row r="951">
      <c r="A951" s="17">
        <v>210.0</v>
      </c>
      <c r="B951" s="17">
        <v>7000201.0</v>
      </c>
    </row>
    <row r="952">
      <c r="A952" s="17">
        <v>210.0</v>
      </c>
      <c r="B952" s="17">
        <v>7000202.0</v>
      </c>
    </row>
    <row r="953">
      <c r="A953" s="17">
        <v>210.0</v>
      </c>
      <c r="B953" s="17">
        <v>7000300.0</v>
      </c>
    </row>
    <row r="954">
      <c r="A954" s="17">
        <v>210.0</v>
      </c>
      <c r="B954" s="17">
        <v>7000301.0</v>
      </c>
    </row>
    <row r="955">
      <c r="A955" s="17">
        <v>210.0</v>
      </c>
      <c r="B955" s="17">
        <v>7000302.0</v>
      </c>
    </row>
    <row r="956">
      <c r="A956" s="17">
        <v>210.0</v>
      </c>
      <c r="B956" s="17">
        <v>7000400.0</v>
      </c>
    </row>
    <row r="957">
      <c r="A957" s="17">
        <v>210.0</v>
      </c>
      <c r="B957" s="17">
        <v>7000401.0</v>
      </c>
    </row>
    <row r="958">
      <c r="A958" s="17">
        <v>210.0</v>
      </c>
      <c r="B958" s="17">
        <v>7000402.0</v>
      </c>
    </row>
    <row r="959">
      <c r="A959" s="17">
        <v>210.0</v>
      </c>
      <c r="B959" s="17">
        <v>7000500.0</v>
      </c>
    </row>
    <row r="960">
      <c r="A960" s="17">
        <v>210.0</v>
      </c>
      <c r="B960" s="17">
        <v>7000501.0</v>
      </c>
    </row>
    <row r="961">
      <c r="A961" s="17">
        <v>210.0</v>
      </c>
      <c r="B961" s="17">
        <v>7000502.0</v>
      </c>
    </row>
    <row r="962">
      <c r="A962" s="17">
        <v>210.0</v>
      </c>
      <c r="B962" s="17">
        <v>7000600.0</v>
      </c>
    </row>
    <row r="963">
      <c r="A963" s="17">
        <v>210.0</v>
      </c>
      <c r="B963" s="17">
        <v>7000601.0</v>
      </c>
    </row>
    <row r="964">
      <c r="A964" s="17">
        <v>210.0</v>
      </c>
      <c r="B964" s="17">
        <v>7000602.0</v>
      </c>
    </row>
    <row r="965">
      <c r="A965" s="17">
        <v>210.0</v>
      </c>
      <c r="B965" s="17">
        <v>7000700.0</v>
      </c>
    </row>
    <row r="966">
      <c r="A966" s="17">
        <v>210.0</v>
      </c>
      <c r="B966" s="17">
        <v>7000701.0</v>
      </c>
    </row>
    <row r="967">
      <c r="A967" s="17">
        <v>210.0</v>
      </c>
      <c r="B967" s="17">
        <v>7000702.0</v>
      </c>
    </row>
    <row r="968">
      <c r="A968" s="17">
        <v>210.0</v>
      </c>
      <c r="B968" s="17">
        <v>7000800.0</v>
      </c>
    </row>
    <row r="969">
      <c r="A969" s="17">
        <v>210.0</v>
      </c>
      <c r="B969" s="17">
        <v>7000801.0</v>
      </c>
    </row>
    <row r="970">
      <c r="A970" s="17">
        <v>210.0</v>
      </c>
      <c r="B970" s="17">
        <v>7000802.0</v>
      </c>
    </row>
    <row r="971">
      <c r="A971" s="17">
        <v>210.0</v>
      </c>
      <c r="B971" s="17">
        <v>7000900.0</v>
      </c>
    </row>
    <row r="972">
      <c r="A972" s="17">
        <v>210.0</v>
      </c>
      <c r="B972" s="17">
        <v>7000901.0</v>
      </c>
    </row>
    <row r="973">
      <c r="A973" s="17">
        <v>210.0</v>
      </c>
      <c r="B973" s="17">
        <v>7000902.0</v>
      </c>
    </row>
    <row r="974">
      <c r="A974" s="17">
        <v>210.0</v>
      </c>
      <c r="B974" s="17">
        <v>7001000.0</v>
      </c>
    </row>
    <row r="975">
      <c r="A975" s="17">
        <v>210.0</v>
      </c>
      <c r="B975" s="17">
        <v>7001001.0</v>
      </c>
    </row>
    <row r="976">
      <c r="A976" s="17">
        <v>210.0</v>
      </c>
      <c r="B976" s="17">
        <v>7001002.0</v>
      </c>
    </row>
    <row r="977">
      <c r="A977" s="17">
        <v>210.0</v>
      </c>
      <c r="B977" s="17">
        <v>7001400.0</v>
      </c>
    </row>
    <row r="978">
      <c r="A978" s="17">
        <v>210.0</v>
      </c>
      <c r="B978" s="17">
        <v>7001401.0</v>
      </c>
    </row>
    <row r="979">
      <c r="A979" s="17">
        <v>210.0</v>
      </c>
      <c r="B979" s="17">
        <v>7001402.0</v>
      </c>
    </row>
    <row r="980">
      <c r="A980" s="17">
        <v>210.0</v>
      </c>
      <c r="B980" s="17">
        <v>7001500.0</v>
      </c>
    </row>
    <row r="981">
      <c r="A981" s="17">
        <v>210.0</v>
      </c>
      <c r="B981" s="17">
        <v>7001501.0</v>
      </c>
    </row>
    <row r="982">
      <c r="A982" s="17">
        <v>210.0</v>
      </c>
      <c r="B982" s="17">
        <v>7001502.0</v>
      </c>
    </row>
    <row r="983">
      <c r="A983" s="17">
        <v>210.0</v>
      </c>
      <c r="B983" s="17">
        <v>7001600.0</v>
      </c>
    </row>
    <row r="984">
      <c r="A984" s="17">
        <v>210.0</v>
      </c>
      <c r="B984" s="17">
        <v>7001601.0</v>
      </c>
    </row>
    <row r="985">
      <c r="A985" s="17">
        <v>210.0</v>
      </c>
      <c r="B985" s="17">
        <v>7001602.0</v>
      </c>
    </row>
    <row r="986">
      <c r="A986" s="17">
        <v>210.0</v>
      </c>
      <c r="B986" s="17">
        <v>7001700.0</v>
      </c>
    </row>
    <row r="987">
      <c r="A987" s="17">
        <v>210.0</v>
      </c>
      <c r="B987" s="17">
        <v>7001701.0</v>
      </c>
    </row>
    <row r="988">
      <c r="A988" s="17">
        <v>210.0</v>
      </c>
      <c r="B988" s="17">
        <v>7001702.0</v>
      </c>
    </row>
    <row r="989">
      <c r="A989" s="17">
        <v>210.0</v>
      </c>
      <c r="B989" s="17">
        <v>7001800.0</v>
      </c>
    </row>
    <row r="990">
      <c r="A990" s="17">
        <v>210.0</v>
      </c>
      <c r="B990" s="17">
        <v>7001801.0</v>
      </c>
    </row>
    <row r="991">
      <c r="A991" s="17">
        <v>210.0</v>
      </c>
      <c r="B991" s="17">
        <v>7001802.0</v>
      </c>
    </row>
    <row r="992">
      <c r="A992" s="17">
        <v>210.0</v>
      </c>
      <c r="B992" s="17">
        <v>7002600.0</v>
      </c>
    </row>
    <row r="993">
      <c r="A993" s="17">
        <v>210.0</v>
      </c>
      <c r="B993" s="17">
        <v>7002700.0</v>
      </c>
    </row>
    <row r="994">
      <c r="A994" s="17">
        <v>210.0</v>
      </c>
      <c r="B994" s="17">
        <v>7002800.0</v>
      </c>
    </row>
    <row r="995">
      <c r="A995" s="17">
        <v>210.0</v>
      </c>
      <c r="B995" s="17">
        <v>7002900.0</v>
      </c>
    </row>
    <row r="996">
      <c r="A996" s="17">
        <v>210.0</v>
      </c>
      <c r="B996" s="17">
        <v>7003000.0</v>
      </c>
    </row>
    <row r="997">
      <c r="A997" s="17">
        <v>210.0</v>
      </c>
      <c r="B997" s="17">
        <v>7003100.0</v>
      </c>
    </row>
    <row r="998">
      <c r="A998" s="17">
        <v>210.0</v>
      </c>
      <c r="B998" s="17">
        <v>7003200.0</v>
      </c>
    </row>
    <row r="999">
      <c r="A999" s="17">
        <v>210.0</v>
      </c>
      <c r="B999" s="17">
        <v>7003300.0</v>
      </c>
    </row>
    <row r="1000">
      <c r="A1000" s="17">
        <v>210.0</v>
      </c>
      <c r="B1000" s="17">
        <v>7003400.0</v>
      </c>
    </row>
    <row r="1001">
      <c r="A1001" s="17">
        <v>210.0</v>
      </c>
      <c r="B1001" s="17">
        <v>7003500.0</v>
      </c>
    </row>
    <row r="1002">
      <c r="A1002" s="17">
        <v>210.0</v>
      </c>
      <c r="B1002" s="17">
        <v>7003600.0</v>
      </c>
    </row>
    <row r="1003">
      <c r="A1003" s="17">
        <v>210.0</v>
      </c>
      <c r="B1003" s="17">
        <v>7005600.0</v>
      </c>
    </row>
    <row r="1004">
      <c r="A1004" s="17">
        <v>210.0</v>
      </c>
      <c r="B1004" s="17">
        <v>7006000.0</v>
      </c>
    </row>
    <row r="1005">
      <c r="A1005" s="17">
        <v>210.0</v>
      </c>
      <c r="B1005" s="17">
        <v>7006100.0</v>
      </c>
    </row>
    <row r="1006">
      <c r="A1006" s="17">
        <v>210.0</v>
      </c>
      <c r="B1006" s="17">
        <v>7010200.0</v>
      </c>
    </row>
    <row r="1007">
      <c r="A1007" s="17">
        <v>210.0</v>
      </c>
      <c r="B1007" s="17">
        <v>7010500.0</v>
      </c>
    </row>
    <row r="1008">
      <c r="A1008" s="17">
        <v>210.0</v>
      </c>
      <c r="B1008" s="17">
        <v>7010700.0</v>
      </c>
    </row>
    <row r="1009">
      <c r="A1009" s="17">
        <v>210.0</v>
      </c>
      <c r="B1009" s="17">
        <v>7010900.0</v>
      </c>
    </row>
    <row r="1010">
      <c r="A1010" s="17">
        <v>210.0</v>
      </c>
      <c r="B1010" s="17">
        <v>7011000.0</v>
      </c>
    </row>
    <row r="1011">
      <c r="A1011" s="17">
        <v>210.0</v>
      </c>
      <c r="B1011" s="17">
        <v>7011200.0</v>
      </c>
    </row>
    <row r="1012">
      <c r="A1012" s="17">
        <v>210.0</v>
      </c>
      <c r="B1012" s="17">
        <v>7011600.0</v>
      </c>
    </row>
    <row r="1013">
      <c r="A1013" s="17">
        <v>210.0</v>
      </c>
      <c r="B1013" s="17">
        <v>7011700.0</v>
      </c>
    </row>
    <row r="1014">
      <c r="A1014" s="17">
        <v>210.0</v>
      </c>
      <c r="B1014" s="17">
        <v>7012000.0</v>
      </c>
    </row>
    <row r="1015">
      <c r="A1015" s="17">
        <v>210.0</v>
      </c>
      <c r="B1015" s="17">
        <v>7012200.0</v>
      </c>
    </row>
    <row r="1016">
      <c r="A1016" s="17">
        <v>210.0</v>
      </c>
      <c r="B1016" s="17">
        <v>7012300.0</v>
      </c>
    </row>
    <row r="1017">
      <c r="A1017" s="17">
        <v>210.0</v>
      </c>
      <c r="B1017" s="17">
        <v>7020000.0</v>
      </c>
    </row>
    <row r="1018">
      <c r="A1018" s="17">
        <v>210.0</v>
      </c>
      <c r="B1018" s="17">
        <v>7030000.0</v>
      </c>
    </row>
    <row r="1019">
      <c r="A1019" s="17">
        <v>210.0</v>
      </c>
      <c r="B1019" s="17">
        <v>7030200.0</v>
      </c>
    </row>
    <row r="1020">
      <c r="A1020" s="17">
        <v>210.0</v>
      </c>
      <c r="B1020" s="17">
        <v>7030600.0</v>
      </c>
    </row>
    <row r="1021">
      <c r="A1021" s="17">
        <v>210.0</v>
      </c>
      <c r="B1021" s="17">
        <v>7030700.0</v>
      </c>
    </row>
    <row r="1022">
      <c r="A1022" s="17">
        <v>210.0</v>
      </c>
      <c r="B1022" s="17">
        <v>7030800.0</v>
      </c>
    </row>
    <row r="1023">
      <c r="A1023" s="17">
        <v>210.0</v>
      </c>
      <c r="B1023" s="17">
        <v>7030900.0</v>
      </c>
    </row>
    <row r="1024">
      <c r="A1024" s="17">
        <v>210.0</v>
      </c>
      <c r="B1024" s="17">
        <v>7031200.0</v>
      </c>
    </row>
    <row r="1025">
      <c r="A1025" s="17">
        <v>210.0</v>
      </c>
      <c r="B1025" s="17">
        <v>7031300.0</v>
      </c>
    </row>
    <row r="1026">
      <c r="A1026" s="17">
        <v>210.0</v>
      </c>
      <c r="B1026" s="17">
        <v>7031800.0</v>
      </c>
    </row>
    <row r="1027">
      <c r="A1027" s="17">
        <v>210.0</v>
      </c>
      <c r="B1027" s="17">
        <v>7031900.0</v>
      </c>
    </row>
    <row r="1028">
      <c r="A1028" s="17">
        <v>210.0</v>
      </c>
      <c r="B1028" s="17">
        <v>7032200.0</v>
      </c>
    </row>
    <row r="1029">
      <c r="A1029" s="17">
        <v>210.0</v>
      </c>
      <c r="B1029" s="17">
        <v>7032400.0</v>
      </c>
    </row>
    <row r="1030">
      <c r="A1030" s="17">
        <v>210.0</v>
      </c>
      <c r="B1030" s="17">
        <v>7032700.0</v>
      </c>
    </row>
    <row r="1031">
      <c r="A1031" s="17">
        <v>210.0</v>
      </c>
      <c r="B1031" s="17">
        <v>7032800.0</v>
      </c>
    </row>
    <row r="1032">
      <c r="A1032" s="17">
        <v>210.0</v>
      </c>
      <c r="B1032" s="17">
        <v>7032900.0</v>
      </c>
    </row>
    <row r="1033">
      <c r="A1033" s="17">
        <v>210.0</v>
      </c>
      <c r="B1033" s="17">
        <v>7033200.0</v>
      </c>
    </row>
    <row r="1034">
      <c r="A1034" s="17">
        <v>210.0</v>
      </c>
      <c r="B1034" s="17">
        <v>7033400.0</v>
      </c>
    </row>
    <row r="1035">
      <c r="A1035" s="17">
        <v>210.0</v>
      </c>
      <c r="B1035" s="17">
        <v>7034100.0</v>
      </c>
    </row>
    <row r="1036">
      <c r="A1036" s="17">
        <v>210.0</v>
      </c>
      <c r="B1036" s="17">
        <v>7034400.0</v>
      </c>
    </row>
    <row r="1037">
      <c r="A1037" s="17">
        <v>210.0</v>
      </c>
      <c r="B1037" s="17">
        <v>7034500.0</v>
      </c>
    </row>
    <row r="1038">
      <c r="A1038" s="17">
        <v>210.0</v>
      </c>
      <c r="B1038" s="17">
        <v>7034600.0</v>
      </c>
    </row>
    <row r="1039">
      <c r="A1039" s="17">
        <v>210.0</v>
      </c>
      <c r="B1039" s="17">
        <v>7034700.0</v>
      </c>
    </row>
    <row r="1040">
      <c r="A1040" s="17">
        <v>210.0</v>
      </c>
      <c r="B1040" s="17">
        <v>7035100.0</v>
      </c>
    </row>
    <row r="1041">
      <c r="A1041" s="17">
        <v>210.0</v>
      </c>
      <c r="B1041" s="17">
        <v>7036100.0</v>
      </c>
    </row>
    <row r="1042">
      <c r="A1042" s="17">
        <v>210.0</v>
      </c>
      <c r="B1042" s="17">
        <v>7040000.0</v>
      </c>
    </row>
    <row r="1043">
      <c r="A1043" s="17">
        <v>210.0</v>
      </c>
      <c r="B1043" s="17">
        <v>7040100.0</v>
      </c>
    </row>
    <row r="1044">
      <c r="A1044" s="17">
        <v>210.0</v>
      </c>
      <c r="B1044" s="17">
        <v>7040200.0</v>
      </c>
    </row>
    <row r="1045">
      <c r="A1045" s="17">
        <v>210.0</v>
      </c>
      <c r="B1045" s="17">
        <v>7040300.0</v>
      </c>
    </row>
    <row r="1046">
      <c r="A1046" s="17">
        <v>210.0</v>
      </c>
      <c r="B1046" s="17">
        <v>7040400.0</v>
      </c>
    </row>
    <row r="1047">
      <c r="A1047" s="17">
        <v>210.0</v>
      </c>
      <c r="B1047" s="17">
        <v>7040500.0</v>
      </c>
    </row>
    <row r="1048">
      <c r="A1048" s="17">
        <v>210.0</v>
      </c>
      <c r="B1048" s="17">
        <v>7043000.0</v>
      </c>
    </row>
    <row r="1049">
      <c r="A1049" s="17">
        <v>210.0</v>
      </c>
      <c r="B1049" s="17">
        <v>7043100.0</v>
      </c>
    </row>
    <row r="1050">
      <c r="A1050" s="17">
        <v>210.0</v>
      </c>
      <c r="B1050" s="17">
        <v>7043200.0</v>
      </c>
    </row>
    <row r="1051">
      <c r="A1051" s="17">
        <v>210.0</v>
      </c>
      <c r="B1051" s="17">
        <v>7043300.0</v>
      </c>
    </row>
    <row r="1052">
      <c r="A1052" s="17">
        <v>210.0</v>
      </c>
      <c r="B1052" s="17">
        <v>7043400.0</v>
      </c>
    </row>
    <row r="1053">
      <c r="A1053" s="17">
        <v>210.0</v>
      </c>
      <c r="B1053" s="17">
        <v>7043500.0</v>
      </c>
    </row>
    <row r="1054">
      <c r="A1054" s="17">
        <v>210.0</v>
      </c>
      <c r="B1054" s="17">
        <v>7043600.0</v>
      </c>
    </row>
    <row r="1055">
      <c r="A1055" s="17">
        <v>210.0</v>
      </c>
      <c r="B1055" s="17">
        <v>7043700.0</v>
      </c>
    </row>
    <row r="1056">
      <c r="A1056" s="17">
        <v>210.0</v>
      </c>
      <c r="B1056" s="17">
        <v>7043800.0</v>
      </c>
    </row>
    <row r="1057">
      <c r="A1057" s="17">
        <v>210.0</v>
      </c>
      <c r="B1057" s="17">
        <v>7044000.0</v>
      </c>
    </row>
    <row r="1058">
      <c r="A1058" s="17">
        <v>210.0</v>
      </c>
      <c r="B1058" s="17">
        <v>7044100.0</v>
      </c>
    </row>
    <row r="1059">
      <c r="A1059" s="17">
        <v>210.0</v>
      </c>
      <c r="B1059" s="17">
        <v>7044200.0</v>
      </c>
    </row>
    <row r="1060">
      <c r="A1060" s="17">
        <v>210.0</v>
      </c>
      <c r="B1060" s="17">
        <v>7044300.0</v>
      </c>
    </row>
    <row r="1061">
      <c r="A1061" s="17">
        <v>210.0</v>
      </c>
      <c r="B1061" s="17">
        <v>7044400.0</v>
      </c>
    </row>
    <row r="1062">
      <c r="A1062" s="17">
        <v>210.0</v>
      </c>
      <c r="B1062" s="17">
        <v>7044500.0</v>
      </c>
    </row>
    <row r="1063">
      <c r="A1063" s="17">
        <v>210.0</v>
      </c>
      <c r="B1063" s="17">
        <v>7044600.0</v>
      </c>
    </row>
    <row r="1064">
      <c r="A1064" s="17">
        <v>210.0</v>
      </c>
      <c r="B1064" s="17">
        <v>7050000.0</v>
      </c>
    </row>
    <row r="1065">
      <c r="A1065" s="17">
        <v>210.0</v>
      </c>
      <c r="B1065" s="17">
        <v>7050100.0</v>
      </c>
    </row>
    <row r="1066">
      <c r="A1066" s="17">
        <v>210.0</v>
      </c>
      <c r="B1066" s="17">
        <v>7060000.0</v>
      </c>
    </row>
    <row r="1067">
      <c r="A1067" s="17">
        <v>210.0</v>
      </c>
      <c r="B1067" s="17">
        <v>7060100.0</v>
      </c>
    </row>
    <row r="1068">
      <c r="A1068" s="17">
        <v>210.0</v>
      </c>
      <c r="B1068" s="17">
        <v>7060200.0</v>
      </c>
    </row>
    <row r="1069">
      <c r="A1069" s="17">
        <v>210.0</v>
      </c>
      <c r="B1069" s="17">
        <v>7070000.0</v>
      </c>
    </row>
    <row r="1070">
      <c r="A1070" s="17">
        <v>210.0</v>
      </c>
      <c r="B1070" s="17">
        <v>7080000.0</v>
      </c>
    </row>
    <row r="1071">
      <c r="A1071" s="17">
        <v>210.0</v>
      </c>
      <c r="B1071" s="17">
        <v>7080100.0</v>
      </c>
    </row>
    <row r="1072">
      <c r="A1072" s="17">
        <v>210.0</v>
      </c>
      <c r="B1072" s="17">
        <v>7080200.0</v>
      </c>
    </row>
    <row r="1073">
      <c r="A1073" s="17">
        <v>210.0</v>
      </c>
      <c r="B1073" s="17">
        <v>7080300.0</v>
      </c>
    </row>
    <row r="1074">
      <c r="A1074" s="17">
        <v>210.0</v>
      </c>
      <c r="B1074" s="17">
        <v>7080400.0</v>
      </c>
    </row>
    <row r="1075">
      <c r="A1075" s="17">
        <v>210.0</v>
      </c>
      <c r="B1075" s="17">
        <v>7080500.0</v>
      </c>
    </row>
    <row r="1076">
      <c r="A1076" s="17">
        <v>210.0</v>
      </c>
      <c r="B1076" s="17">
        <v>7080600.0</v>
      </c>
    </row>
    <row r="1077">
      <c r="A1077" s="17">
        <v>210.0</v>
      </c>
      <c r="B1077" s="17">
        <v>7080700.0</v>
      </c>
    </row>
    <row r="1078">
      <c r="A1078" s="17">
        <v>210.0</v>
      </c>
      <c r="B1078" s="17">
        <v>7080800.0</v>
      </c>
    </row>
    <row r="1079">
      <c r="A1079" s="17">
        <v>210.0</v>
      </c>
      <c r="B1079" s="17">
        <v>7080900.0</v>
      </c>
    </row>
    <row r="1080">
      <c r="A1080" s="17">
        <v>210.0</v>
      </c>
      <c r="B1080" s="17">
        <v>7081000.0</v>
      </c>
    </row>
    <row r="1081">
      <c r="A1081" s="17">
        <v>210.0</v>
      </c>
      <c r="B1081" s="17">
        <v>7081100.0</v>
      </c>
    </row>
    <row r="1082">
      <c r="A1082" s="17">
        <v>210.0</v>
      </c>
      <c r="B1082" s="17">
        <v>7081200.0</v>
      </c>
    </row>
    <row r="1083">
      <c r="A1083" s="17">
        <v>210.0</v>
      </c>
      <c r="B1083" s="17">
        <v>7081300.0</v>
      </c>
    </row>
    <row r="1084">
      <c r="A1084" s="17">
        <v>210.0</v>
      </c>
      <c r="B1084" s="17">
        <v>7081400.0</v>
      </c>
    </row>
    <row r="1085">
      <c r="A1085" s="17">
        <v>210.0</v>
      </c>
      <c r="B1085" s="17">
        <v>7081500.0</v>
      </c>
    </row>
    <row r="1086">
      <c r="A1086" s="17">
        <v>210.0</v>
      </c>
      <c r="B1086" s="17">
        <v>7081700.0</v>
      </c>
    </row>
    <row r="1087">
      <c r="A1087" s="17">
        <v>210.0</v>
      </c>
      <c r="B1087" s="17">
        <v>7081800.0</v>
      </c>
    </row>
    <row r="1088">
      <c r="A1088" s="17">
        <v>210.0</v>
      </c>
      <c r="B1088" s="17">
        <v>7081900.0</v>
      </c>
    </row>
    <row r="1089">
      <c r="A1089" s="17">
        <v>210.0</v>
      </c>
      <c r="B1089" s="17">
        <v>7082000.0</v>
      </c>
    </row>
    <row r="1090">
      <c r="A1090" s="17">
        <v>210.0</v>
      </c>
      <c r="B1090" s="17">
        <v>7082100.0</v>
      </c>
    </row>
    <row r="1091">
      <c r="A1091" s="17">
        <v>210.0</v>
      </c>
      <c r="B1091" s="17">
        <v>7082200.0</v>
      </c>
    </row>
    <row r="1092">
      <c r="A1092" s="17">
        <v>210.0</v>
      </c>
      <c r="B1092" s="17">
        <v>7082300.0</v>
      </c>
    </row>
    <row r="1093">
      <c r="A1093" s="17">
        <v>210.0</v>
      </c>
      <c r="B1093" s="17">
        <v>7082400.0</v>
      </c>
    </row>
    <row r="1094">
      <c r="A1094" s="17">
        <v>210.0</v>
      </c>
      <c r="B1094" s="17">
        <v>7082500.0</v>
      </c>
    </row>
    <row r="1095">
      <c r="A1095" s="17">
        <v>210.0</v>
      </c>
      <c r="B1095" s="17">
        <v>7082600.0</v>
      </c>
    </row>
    <row r="1096">
      <c r="A1096" s="17">
        <v>210.0</v>
      </c>
      <c r="B1096" s="17">
        <v>7082700.0</v>
      </c>
    </row>
    <row r="1097">
      <c r="A1097" s="17">
        <v>210.0</v>
      </c>
      <c r="B1097" s="17">
        <v>7082800.0</v>
      </c>
    </row>
    <row r="1098">
      <c r="A1098" s="17">
        <v>210.0</v>
      </c>
      <c r="B1098" s="17">
        <v>7082900.0</v>
      </c>
    </row>
    <row r="1099">
      <c r="A1099" s="17">
        <v>210.0</v>
      </c>
      <c r="B1099" s="17">
        <v>7090000.0</v>
      </c>
    </row>
    <row r="1100">
      <c r="A1100" s="17">
        <v>210.0</v>
      </c>
      <c r="B1100" s="17">
        <v>7090100.0</v>
      </c>
    </row>
    <row r="1101">
      <c r="A1101" s="17">
        <v>210.0</v>
      </c>
      <c r="B1101" s="17">
        <v>7090300.0</v>
      </c>
    </row>
    <row r="1102">
      <c r="A1102" s="17">
        <v>210.0</v>
      </c>
      <c r="B1102" s="17">
        <v>7100100.0</v>
      </c>
    </row>
    <row r="1103">
      <c r="A1103" s="17">
        <v>210.0</v>
      </c>
      <c r="B1103" s="17">
        <v>7110000.0</v>
      </c>
    </row>
    <row r="1104">
      <c r="A1104" s="17">
        <v>210.0</v>
      </c>
      <c r="B1104" s="17">
        <v>7120000.0</v>
      </c>
    </row>
    <row r="1105">
      <c r="A1105" s="17">
        <v>210.0</v>
      </c>
      <c r="B1105" s="17">
        <v>7120100.0</v>
      </c>
    </row>
    <row r="1106">
      <c r="A1106" s="17">
        <v>210.0</v>
      </c>
      <c r="B1106" s="17">
        <v>7120200.0</v>
      </c>
    </row>
    <row r="1107">
      <c r="A1107" s="17">
        <v>210.0</v>
      </c>
      <c r="B1107" s="17">
        <v>7120300.0</v>
      </c>
    </row>
    <row r="1108">
      <c r="A1108" s="17">
        <v>210.0</v>
      </c>
      <c r="B1108" s="17">
        <v>7120400.0</v>
      </c>
    </row>
    <row r="1109">
      <c r="A1109" s="17">
        <v>210.0</v>
      </c>
      <c r="B1109" s="17">
        <v>7120500.0</v>
      </c>
    </row>
    <row r="1110">
      <c r="A1110" s="17">
        <v>210.0</v>
      </c>
      <c r="B1110" s="17">
        <v>7120600.0</v>
      </c>
    </row>
    <row r="1111">
      <c r="A1111" s="17">
        <v>210.0</v>
      </c>
      <c r="B1111" s="17">
        <v>7120900.0</v>
      </c>
    </row>
    <row r="1112">
      <c r="A1112" s="17">
        <v>210.0</v>
      </c>
      <c r="B1112" s="17">
        <v>7121000.0</v>
      </c>
    </row>
    <row r="1113">
      <c r="A1113" s="17">
        <v>210.0</v>
      </c>
      <c r="B1113" s="17">
        <v>7121100.0</v>
      </c>
    </row>
    <row r="1114">
      <c r="A1114" s="17">
        <v>210.0</v>
      </c>
      <c r="B1114" s="17">
        <v>7121200.0</v>
      </c>
    </row>
    <row r="1115">
      <c r="A1115" s="17">
        <v>210.0</v>
      </c>
      <c r="B1115" s="17">
        <v>7121300.0</v>
      </c>
    </row>
    <row r="1116">
      <c r="A1116" s="17">
        <v>210.0</v>
      </c>
      <c r="B1116" s="17">
        <v>7121400.0</v>
      </c>
    </row>
    <row r="1117">
      <c r="A1117" s="17">
        <v>210.0</v>
      </c>
      <c r="B1117" s="17">
        <v>7121500.0</v>
      </c>
    </row>
    <row r="1118">
      <c r="A1118" s="17">
        <v>210.0</v>
      </c>
      <c r="B1118" s="17">
        <v>7121600.0</v>
      </c>
    </row>
    <row r="1119">
      <c r="A1119" s="17">
        <v>210.0</v>
      </c>
      <c r="B1119" s="17">
        <v>7121700.0</v>
      </c>
    </row>
    <row r="1120">
      <c r="A1120" s="17">
        <v>210.0</v>
      </c>
      <c r="B1120" s="17">
        <v>7121800.0</v>
      </c>
    </row>
    <row r="1121">
      <c r="A1121" s="17">
        <v>210.0</v>
      </c>
      <c r="B1121" s="17">
        <v>7121900.0</v>
      </c>
    </row>
    <row r="1122">
      <c r="A1122" s="17">
        <v>210.0</v>
      </c>
      <c r="B1122" s="17">
        <v>7122000.0</v>
      </c>
    </row>
    <row r="1123">
      <c r="A1123" s="17">
        <v>210.0</v>
      </c>
      <c r="B1123" s="17">
        <v>7122100.0</v>
      </c>
    </row>
    <row r="1124">
      <c r="A1124" s="17">
        <v>210.0</v>
      </c>
      <c r="B1124" s="17">
        <v>7122200.0</v>
      </c>
    </row>
    <row r="1125">
      <c r="A1125" s="17">
        <v>210.0</v>
      </c>
      <c r="B1125" s="17">
        <v>7122300.0</v>
      </c>
    </row>
    <row r="1126">
      <c r="A1126" s="17">
        <v>210.0</v>
      </c>
      <c r="B1126" s="17">
        <v>7122400.0</v>
      </c>
    </row>
    <row r="1127">
      <c r="A1127" s="17">
        <v>210.0</v>
      </c>
      <c r="B1127" s="17">
        <v>7122500.0</v>
      </c>
    </row>
    <row r="1128">
      <c r="A1128" s="17">
        <v>210.0</v>
      </c>
      <c r="B1128" s="17">
        <v>7122600.0</v>
      </c>
    </row>
    <row r="1129">
      <c r="A1129" s="17">
        <v>210.0</v>
      </c>
      <c r="B1129" s="17">
        <v>7122700.0</v>
      </c>
    </row>
    <row r="1130">
      <c r="A1130" s="17">
        <v>210.0</v>
      </c>
      <c r="B1130" s="17">
        <v>7122800.0</v>
      </c>
    </row>
    <row r="1131">
      <c r="A1131" s="17">
        <v>210.0</v>
      </c>
      <c r="B1131" s="17">
        <v>7122900.0</v>
      </c>
    </row>
    <row r="1132">
      <c r="A1132" s="17">
        <v>210.0</v>
      </c>
      <c r="B1132" s="17">
        <v>7123000.0</v>
      </c>
    </row>
    <row r="1133">
      <c r="A1133" s="17">
        <v>210.0</v>
      </c>
      <c r="B1133" s="17">
        <v>7123100.0</v>
      </c>
    </row>
    <row r="1134">
      <c r="A1134" s="17">
        <v>210.0</v>
      </c>
      <c r="B1134" s="17">
        <v>7123200.0</v>
      </c>
    </row>
    <row r="1135">
      <c r="A1135" s="17">
        <v>210.0</v>
      </c>
      <c r="B1135" s="17">
        <v>7123300.0</v>
      </c>
    </row>
    <row r="1136">
      <c r="A1136" s="17">
        <v>210.0</v>
      </c>
      <c r="B1136" s="17">
        <v>7123400.0</v>
      </c>
    </row>
    <row r="1137">
      <c r="A1137" s="17">
        <v>210.0</v>
      </c>
      <c r="B1137" s="17">
        <v>7123500.0</v>
      </c>
    </row>
    <row r="1138">
      <c r="A1138" s="17">
        <v>210.0</v>
      </c>
      <c r="B1138" s="17">
        <v>7123600.0</v>
      </c>
    </row>
    <row r="1139">
      <c r="A1139" s="17">
        <v>210.0</v>
      </c>
      <c r="B1139" s="17">
        <v>7123700.0</v>
      </c>
    </row>
    <row r="1140">
      <c r="A1140" s="17">
        <v>210.0</v>
      </c>
      <c r="B1140" s="17">
        <v>7123800.0</v>
      </c>
    </row>
    <row r="1141">
      <c r="A1141" s="17">
        <v>210.0</v>
      </c>
      <c r="B1141" s="17">
        <v>7123900.0</v>
      </c>
    </row>
    <row r="1142">
      <c r="A1142" s="17">
        <v>210.0</v>
      </c>
      <c r="B1142" s="17">
        <v>7124000.0</v>
      </c>
    </row>
    <row r="1143">
      <c r="A1143" s="17">
        <v>210.0</v>
      </c>
      <c r="B1143" s="17">
        <v>7124100.0</v>
      </c>
    </row>
    <row r="1144">
      <c r="A1144" s="17">
        <v>210.0</v>
      </c>
      <c r="B1144" s="17">
        <v>7124300.0</v>
      </c>
    </row>
    <row r="1145">
      <c r="A1145" s="17">
        <v>210.0</v>
      </c>
      <c r="B1145" s="17">
        <v>7124400.0</v>
      </c>
    </row>
    <row r="1146">
      <c r="A1146" s="17">
        <v>210.0</v>
      </c>
      <c r="B1146" s="17">
        <v>7124500.0</v>
      </c>
    </row>
    <row r="1147">
      <c r="A1147" s="17">
        <v>210.0</v>
      </c>
      <c r="B1147" s="17">
        <v>7124600.0</v>
      </c>
    </row>
    <row r="1148">
      <c r="A1148" s="17">
        <v>210.0</v>
      </c>
      <c r="B1148" s="17">
        <v>7124700.0</v>
      </c>
    </row>
    <row r="1149">
      <c r="A1149" s="17">
        <v>210.0</v>
      </c>
      <c r="B1149" s="17">
        <v>7126000.0</v>
      </c>
    </row>
    <row r="1150">
      <c r="A1150" s="17">
        <v>210.0</v>
      </c>
      <c r="B1150" s="17">
        <v>7150000.0</v>
      </c>
    </row>
    <row r="1151">
      <c r="A1151" s="17">
        <v>210.0</v>
      </c>
      <c r="B1151" s="17">
        <v>7160000.0</v>
      </c>
    </row>
    <row r="1152">
      <c r="A1152" s="17">
        <v>210.0</v>
      </c>
      <c r="B1152" s="17">
        <v>7220000.0</v>
      </c>
    </row>
    <row r="1153">
      <c r="A1153" s="17">
        <v>210.0</v>
      </c>
      <c r="B1153" s="17">
        <v>7230000.0</v>
      </c>
    </row>
    <row r="1154">
      <c r="A1154" s="17">
        <v>210.0</v>
      </c>
      <c r="B1154" s="17">
        <v>7240000.0</v>
      </c>
    </row>
    <row r="1155">
      <c r="A1155" s="17">
        <v>210.0</v>
      </c>
      <c r="B1155" s="17">
        <v>7260000.0</v>
      </c>
    </row>
    <row r="1156">
      <c r="A1156" s="17">
        <v>210.0</v>
      </c>
      <c r="B1156" s="17">
        <v>7260300.0</v>
      </c>
    </row>
    <row r="1157">
      <c r="A1157" s="17">
        <v>210.0</v>
      </c>
      <c r="B1157" s="17">
        <v>7260400.0</v>
      </c>
    </row>
    <row r="1158">
      <c r="A1158" s="17">
        <v>210.0</v>
      </c>
      <c r="B1158" s="17">
        <v>7270100.0</v>
      </c>
    </row>
    <row r="1159">
      <c r="A1159" s="17">
        <v>210.0</v>
      </c>
      <c r="B1159" s="17">
        <v>7280000.0</v>
      </c>
    </row>
    <row r="1160">
      <c r="A1160" s="17">
        <v>210.0</v>
      </c>
      <c r="B1160" s="17">
        <v>7290000.0</v>
      </c>
    </row>
    <row r="1161">
      <c r="A1161" s="17">
        <v>210.0</v>
      </c>
      <c r="B1161" s="17">
        <v>7310000.0</v>
      </c>
    </row>
    <row r="1162">
      <c r="A1162" s="17">
        <v>210.0</v>
      </c>
      <c r="B1162" s="17">
        <v>7330000.0</v>
      </c>
    </row>
    <row r="1163">
      <c r="A1163" s="17">
        <v>210.0</v>
      </c>
      <c r="B1163" s="17">
        <v>7330100.0</v>
      </c>
    </row>
    <row r="1164">
      <c r="A1164" s="17">
        <v>210.0</v>
      </c>
      <c r="B1164" s="17">
        <v>7330200.0</v>
      </c>
    </row>
    <row r="1165">
      <c r="A1165" s="17">
        <v>210.0</v>
      </c>
      <c r="B1165" s="17">
        <v>7330300.0</v>
      </c>
    </row>
    <row r="1166">
      <c r="A1166" s="17">
        <v>210.0</v>
      </c>
      <c r="B1166" s="17">
        <v>7330400.0</v>
      </c>
    </row>
    <row r="1167">
      <c r="A1167" s="17">
        <v>210.0</v>
      </c>
      <c r="B1167" s="17">
        <v>7330500.0</v>
      </c>
    </row>
    <row r="1168">
      <c r="A1168" s="17">
        <v>210.0</v>
      </c>
      <c r="B1168" s="17">
        <v>7330600.0</v>
      </c>
    </row>
    <row r="1169">
      <c r="A1169" s="17">
        <v>210.0</v>
      </c>
      <c r="B1169" s="17">
        <v>7330700.0</v>
      </c>
    </row>
    <row r="1170">
      <c r="A1170" s="17">
        <v>210.0</v>
      </c>
      <c r="B1170" s="17">
        <v>7330800.0</v>
      </c>
    </row>
    <row r="1171">
      <c r="A1171" s="17">
        <v>210.0</v>
      </c>
      <c r="B1171" s="17">
        <v>7330900.0</v>
      </c>
    </row>
    <row r="1172">
      <c r="A1172" s="17">
        <v>210.0</v>
      </c>
      <c r="B1172" s="17">
        <v>7331000.0</v>
      </c>
    </row>
    <row r="1173">
      <c r="A1173" s="17">
        <v>210.0</v>
      </c>
      <c r="B1173" s="17">
        <v>7331100.0</v>
      </c>
    </row>
    <row r="1174">
      <c r="A1174" s="17">
        <v>210.0</v>
      </c>
      <c r="B1174" s="17">
        <v>7331200.0</v>
      </c>
    </row>
    <row r="1175">
      <c r="A1175" s="17">
        <v>210.0</v>
      </c>
      <c r="B1175" s="17">
        <v>7331300.0</v>
      </c>
    </row>
    <row r="1176">
      <c r="A1176" s="17">
        <v>210.0</v>
      </c>
      <c r="B1176" s="17">
        <v>7331400.0</v>
      </c>
    </row>
    <row r="1177">
      <c r="A1177" s="17">
        <v>210.0</v>
      </c>
      <c r="B1177" s="17">
        <v>7331500.0</v>
      </c>
    </row>
    <row r="1178">
      <c r="A1178" s="17">
        <v>210.0</v>
      </c>
      <c r="B1178" s="17">
        <v>7331700.0</v>
      </c>
    </row>
    <row r="1179">
      <c r="A1179" s="17">
        <v>210.0</v>
      </c>
      <c r="B1179" s="17">
        <v>7331800.0</v>
      </c>
    </row>
    <row r="1180">
      <c r="A1180" s="17">
        <v>210.0</v>
      </c>
      <c r="B1180" s="17">
        <v>7331900.0</v>
      </c>
    </row>
    <row r="1181">
      <c r="A1181" s="17">
        <v>210.0</v>
      </c>
      <c r="B1181" s="17">
        <v>7332000.0</v>
      </c>
    </row>
    <row r="1182">
      <c r="A1182" s="17">
        <v>210.0</v>
      </c>
      <c r="B1182" s="17">
        <v>7332100.0</v>
      </c>
    </row>
    <row r="1183">
      <c r="A1183" s="17">
        <v>210.0</v>
      </c>
      <c r="B1183" s="17">
        <v>7332200.0</v>
      </c>
    </row>
    <row r="1184">
      <c r="A1184" s="17">
        <v>210.0</v>
      </c>
      <c r="B1184" s="17">
        <v>7332300.0</v>
      </c>
    </row>
    <row r="1185">
      <c r="A1185" s="17">
        <v>210.0</v>
      </c>
      <c r="B1185" s="17">
        <v>7332400.0</v>
      </c>
    </row>
    <row r="1186">
      <c r="A1186" s="17">
        <v>210.0</v>
      </c>
      <c r="B1186" s="17">
        <v>7340000.0</v>
      </c>
    </row>
    <row r="1187">
      <c r="A1187" s="17">
        <v>210.0</v>
      </c>
      <c r="B1187" s="17">
        <v>7340100.0</v>
      </c>
    </row>
    <row r="1188">
      <c r="A1188" s="17">
        <v>210.0</v>
      </c>
      <c r="B1188" s="17">
        <v>7340200.0</v>
      </c>
    </row>
    <row r="1189">
      <c r="A1189" s="17">
        <v>210.0</v>
      </c>
      <c r="B1189" s="17">
        <v>7340300.0</v>
      </c>
    </row>
    <row r="1190">
      <c r="A1190" s="17">
        <v>210.0</v>
      </c>
      <c r="B1190" s="17">
        <v>7340400.0</v>
      </c>
    </row>
    <row r="1191">
      <c r="A1191" s="17">
        <v>210.0</v>
      </c>
      <c r="B1191" s="17">
        <v>7340500.0</v>
      </c>
    </row>
    <row r="1192">
      <c r="A1192" s="17">
        <v>210.0</v>
      </c>
      <c r="B1192" s="17">
        <v>7340600.0</v>
      </c>
    </row>
    <row r="1193">
      <c r="A1193" s="17">
        <v>210.0</v>
      </c>
      <c r="B1193" s="17">
        <v>7340700.0</v>
      </c>
    </row>
    <row r="1194">
      <c r="A1194" s="17">
        <v>210.0</v>
      </c>
      <c r="B1194" s="17">
        <v>7340800.0</v>
      </c>
    </row>
    <row r="1195">
      <c r="A1195" s="17">
        <v>210.0</v>
      </c>
      <c r="B1195" s="17">
        <v>7340900.0</v>
      </c>
    </row>
    <row r="1196">
      <c r="A1196" s="17">
        <v>210.0</v>
      </c>
      <c r="B1196" s="17">
        <v>7341000.0</v>
      </c>
    </row>
    <row r="1197">
      <c r="A1197" s="17">
        <v>210.0</v>
      </c>
      <c r="B1197" s="17">
        <v>7341100.0</v>
      </c>
    </row>
    <row r="1198">
      <c r="A1198" s="17">
        <v>210.0</v>
      </c>
      <c r="B1198" s="17">
        <v>7341200.0</v>
      </c>
    </row>
    <row r="1199">
      <c r="A1199" s="17">
        <v>210.0</v>
      </c>
      <c r="B1199" s="17">
        <v>7341300.0</v>
      </c>
    </row>
    <row r="1200">
      <c r="A1200" s="17">
        <v>210.0</v>
      </c>
      <c r="B1200" s="17">
        <v>7341400.0</v>
      </c>
    </row>
    <row r="1201">
      <c r="A1201" s="17">
        <v>210.0</v>
      </c>
      <c r="B1201" s="17">
        <v>7341500.0</v>
      </c>
    </row>
    <row r="1202">
      <c r="A1202" s="17">
        <v>210.0</v>
      </c>
      <c r="B1202" s="17">
        <v>7341700.0</v>
      </c>
    </row>
    <row r="1203">
      <c r="A1203" s="17">
        <v>210.0</v>
      </c>
      <c r="B1203" s="17">
        <v>7341800.0</v>
      </c>
    </row>
    <row r="1204">
      <c r="A1204" s="17">
        <v>210.0</v>
      </c>
      <c r="B1204" s="17">
        <v>7341900.0</v>
      </c>
    </row>
    <row r="1205">
      <c r="A1205" s="17">
        <v>210.0</v>
      </c>
      <c r="B1205" s="17">
        <v>7342000.0</v>
      </c>
    </row>
    <row r="1206">
      <c r="A1206" s="17">
        <v>210.0</v>
      </c>
      <c r="B1206" s="17">
        <v>7342100.0</v>
      </c>
    </row>
    <row r="1207">
      <c r="A1207" s="17">
        <v>210.0</v>
      </c>
      <c r="B1207" s="17">
        <v>7342200.0</v>
      </c>
    </row>
    <row r="1208">
      <c r="A1208" s="17">
        <v>210.0</v>
      </c>
      <c r="B1208" s="17">
        <v>7342300.0</v>
      </c>
    </row>
    <row r="1209">
      <c r="A1209" s="17">
        <v>210.0</v>
      </c>
      <c r="B1209" s="17">
        <v>7342400.0</v>
      </c>
    </row>
    <row r="1210">
      <c r="A1210" s="17">
        <v>210.0</v>
      </c>
      <c r="B1210" s="17">
        <v>7350000.0</v>
      </c>
    </row>
    <row r="1211">
      <c r="A1211" s="17">
        <v>210.0</v>
      </c>
      <c r="B1211" s="17">
        <v>7350100.0</v>
      </c>
    </row>
    <row r="1212">
      <c r="A1212" s="17">
        <v>210.0</v>
      </c>
      <c r="B1212" s="17">
        <v>7350200.0</v>
      </c>
    </row>
    <row r="1213">
      <c r="A1213" s="17">
        <v>210.0</v>
      </c>
      <c r="B1213" s="17">
        <v>7350300.0</v>
      </c>
    </row>
    <row r="1214">
      <c r="A1214" s="17">
        <v>210.0</v>
      </c>
      <c r="B1214" s="17">
        <v>7350400.0</v>
      </c>
    </row>
    <row r="1215">
      <c r="A1215" s="17">
        <v>210.0</v>
      </c>
      <c r="B1215" s="17">
        <v>7350500.0</v>
      </c>
    </row>
    <row r="1216">
      <c r="A1216" s="17">
        <v>210.0</v>
      </c>
      <c r="B1216" s="17">
        <v>7350600.0</v>
      </c>
    </row>
    <row r="1217">
      <c r="A1217" s="17">
        <v>210.0</v>
      </c>
      <c r="B1217" s="17">
        <v>7350700.0</v>
      </c>
    </row>
    <row r="1218">
      <c r="A1218" s="17">
        <v>210.0</v>
      </c>
      <c r="B1218" s="17">
        <v>7350800.0</v>
      </c>
    </row>
    <row r="1219">
      <c r="A1219" s="17">
        <v>210.0</v>
      </c>
      <c r="B1219" s="17">
        <v>7350900.0</v>
      </c>
    </row>
    <row r="1220">
      <c r="A1220" s="17">
        <v>210.0</v>
      </c>
      <c r="B1220" s="17">
        <v>7351000.0</v>
      </c>
    </row>
    <row r="1221">
      <c r="A1221" s="17">
        <v>210.0</v>
      </c>
      <c r="B1221" s="17">
        <v>7351100.0</v>
      </c>
    </row>
    <row r="1222">
      <c r="A1222" s="17">
        <v>210.0</v>
      </c>
      <c r="B1222" s="17">
        <v>7351200.0</v>
      </c>
    </row>
    <row r="1223">
      <c r="A1223" s="17">
        <v>210.0</v>
      </c>
      <c r="B1223" s="17">
        <v>7351300.0</v>
      </c>
    </row>
    <row r="1224">
      <c r="A1224" s="17">
        <v>210.0</v>
      </c>
      <c r="B1224" s="17">
        <v>7351400.0</v>
      </c>
    </row>
    <row r="1225">
      <c r="A1225" s="17">
        <v>210.0</v>
      </c>
      <c r="B1225" s="17">
        <v>7351500.0</v>
      </c>
    </row>
    <row r="1226">
      <c r="A1226" s="17">
        <v>210.0</v>
      </c>
      <c r="B1226" s="17">
        <v>7351700.0</v>
      </c>
    </row>
    <row r="1227">
      <c r="A1227" s="17">
        <v>210.0</v>
      </c>
      <c r="B1227" s="17">
        <v>7351800.0</v>
      </c>
    </row>
    <row r="1228">
      <c r="A1228" s="17">
        <v>210.0</v>
      </c>
      <c r="B1228" s="17">
        <v>7351900.0</v>
      </c>
    </row>
    <row r="1229">
      <c r="A1229" s="17">
        <v>210.0</v>
      </c>
      <c r="B1229" s="17">
        <v>7352000.0</v>
      </c>
    </row>
    <row r="1230">
      <c r="A1230" s="17">
        <v>210.0</v>
      </c>
      <c r="B1230" s="17">
        <v>7352100.0</v>
      </c>
    </row>
    <row r="1231">
      <c r="A1231" s="17">
        <v>210.0</v>
      </c>
      <c r="B1231" s="17">
        <v>7352200.0</v>
      </c>
    </row>
    <row r="1232">
      <c r="A1232" s="17">
        <v>210.0</v>
      </c>
      <c r="B1232" s="17">
        <v>7352300.0</v>
      </c>
    </row>
    <row r="1233">
      <c r="A1233" s="17">
        <v>210.0</v>
      </c>
      <c r="B1233" s="17">
        <v>7352400.0</v>
      </c>
    </row>
    <row r="1234">
      <c r="A1234" s="17">
        <v>210.0</v>
      </c>
      <c r="B1234" s="17">
        <v>7360600.0</v>
      </c>
    </row>
    <row r="1235">
      <c r="A1235" s="17">
        <v>210.0</v>
      </c>
      <c r="B1235" s="17">
        <v>7360900.0</v>
      </c>
    </row>
    <row r="1236">
      <c r="A1236" s="17">
        <v>210.0</v>
      </c>
      <c r="B1236" s="17">
        <v>7361200.0</v>
      </c>
    </row>
    <row r="1237">
      <c r="A1237" s="17">
        <v>210.0</v>
      </c>
      <c r="B1237" s="17">
        <v>7361300.0</v>
      </c>
    </row>
    <row r="1238">
      <c r="A1238" s="17">
        <v>210.0</v>
      </c>
      <c r="B1238" s="17">
        <v>7362100.0</v>
      </c>
    </row>
    <row r="1239">
      <c r="A1239" s="17">
        <v>210.0</v>
      </c>
      <c r="B1239" s="17">
        <v>7370300.0</v>
      </c>
    </row>
    <row r="1240">
      <c r="A1240" s="17">
        <v>210.0</v>
      </c>
      <c r="B1240" s="17">
        <v>7370400.0</v>
      </c>
    </row>
    <row r="1241">
      <c r="A1241" s="17">
        <v>210.0</v>
      </c>
      <c r="B1241" s="17">
        <v>7370600.0</v>
      </c>
    </row>
    <row r="1242">
      <c r="A1242" s="17">
        <v>210.0</v>
      </c>
      <c r="B1242" s="17">
        <v>7370900.0</v>
      </c>
    </row>
    <row r="1243">
      <c r="A1243" s="17">
        <v>210.0</v>
      </c>
      <c r="B1243" s="17">
        <v>7371500.0</v>
      </c>
    </row>
    <row r="1244">
      <c r="A1244" s="17">
        <v>210.0</v>
      </c>
      <c r="B1244" s="17">
        <v>7036200.0</v>
      </c>
    </row>
    <row r="1245">
      <c r="A1245" s="17">
        <v>210.0</v>
      </c>
      <c r="B1245" s="17">
        <v>7036300.0</v>
      </c>
    </row>
    <row r="1246">
      <c r="A1246" s="17">
        <v>210.0</v>
      </c>
      <c r="B1246" s="17">
        <v>7036400.0</v>
      </c>
    </row>
    <row r="1247">
      <c r="A1247" s="17">
        <v>210.0</v>
      </c>
      <c r="B1247" s="17">
        <v>7036500.0</v>
      </c>
    </row>
    <row r="1248">
      <c r="A1248" s="17">
        <v>210.0</v>
      </c>
      <c r="B1248" s="17">
        <v>7036800.0</v>
      </c>
    </row>
    <row r="1249">
      <c r="A1249" s="17">
        <v>210.0</v>
      </c>
      <c r="B1249" s="17">
        <v>7036900.0</v>
      </c>
    </row>
    <row r="1250">
      <c r="A1250" s="17">
        <v>210.0</v>
      </c>
      <c r="B1250" s="17">
        <v>7037000.0</v>
      </c>
    </row>
    <row r="1251">
      <c r="A1251" s="17">
        <v>210.0</v>
      </c>
      <c r="B1251" s="17">
        <v>7037300.0</v>
      </c>
    </row>
    <row r="1252">
      <c r="A1252" s="17">
        <v>210.0</v>
      </c>
      <c r="B1252" s="17">
        <v>6630000.0</v>
      </c>
    </row>
    <row r="1253">
      <c r="A1253" s="17">
        <v>210.0</v>
      </c>
      <c r="B1253" s="17">
        <v>6630100.0</v>
      </c>
    </row>
    <row r="1254">
      <c r="A1254" s="17">
        <v>210.0</v>
      </c>
      <c r="B1254" s="17">
        <v>6630200.0</v>
      </c>
    </row>
    <row r="1255">
      <c r="A1255" s="17">
        <v>210.0</v>
      </c>
      <c r="B1255" s="17">
        <v>6630300.0</v>
      </c>
    </row>
    <row r="1256">
      <c r="A1256" s="17">
        <v>210.0</v>
      </c>
      <c r="B1256" s="17">
        <v>6630400.0</v>
      </c>
    </row>
    <row r="1257">
      <c r="A1257" s="17">
        <v>210.0</v>
      </c>
      <c r="B1257" s="17">
        <v>6630500.0</v>
      </c>
    </row>
    <row r="1258">
      <c r="A1258" s="17">
        <v>210.0</v>
      </c>
      <c r="B1258" s="17">
        <v>6630600.0</v>
      </c>
    </row>
    <row r="1259">
      <c r="A1259" s="17">
        <v>210.0</v>
      </c>
      <c r="B1259" s="17">
        <v>6630700.0</v>
      </c>
    </row>
    <row r="1260">
      <c r="A1260" s="17">
        <v>210.0</v>
      </c>
      <c r="B1260" s="17">
        <v>6630800.0</v>
      </c>
    </row>
    <row r="1261">
      <c r="A1261" s="17">
        <v>210.0</v>
      </c>
      <c r="B1261" s="17">
        <v>6630900.0</v>
      </c>
    </row>
    <row r="1262">
      <c r="A1262" s="17">
        <v>210.0</v>
      </c>
      <c r="B1262" s="17">
        <v>6631000.0</v>
      </c>
    </row>
    <row r="1263">
      <c r="A1263" s="17">
        <v>210.0</v>
      </c>
      <c r="B1263" s="17">
        <v>6631100.0</v>
      </c>
    </row>
    <row r="1264">
      <c r="A1264" s="17">
        <v>210.0</v>
      </c>
      <c r="B1264" s="17">
        <v>6631200.0</v>
      </c>
    </row>
    <row r="1265">
      <c r="A1265" s="17">
        <v>210.0</v>
      </c>
      <c r="B1265" s="17">
        <v>6631300.0</v>
      </c>
    </row>
    <row r="1266">
      <c r="A1266" s="17">
        <v>210.0</v>
      </c>
      <c r="B1266" s="17">
        <v>6631400.0</v>
      </c>
    </row>
    <row r="1267">
      <c r="A1267" s="17">
        <v>210.0</v>
      </c>
      <c r="B1267" s="17">
        <v>6631500.0</v>
      </c>
    </row>
    <row r="1268">
      <c r="A1268" s="17">
        <v>210.0</v>
      </c>
      <c r="B1268" s="17">
        <v>6631600.0</v>
      </c>
    </row>
    <row r="1269">
      <c r="A1269" s="17">
        <v>210.0</v>
      </c>
      <c r="B1269" s="17">
        <v>6631700.0</v>
      </c>
    </row>
    <row r="1270">
      <c r="A1270" s="17">
        <v>210.0</v>
      </c>
      <c r="B1270" s="17">
        <v>6631800.0</v>
      </c>
    </row>
    <row r="1271">
      <c r="A1271" s="17">
        <v>210.0</v>
      </c>
      <c r="B1271" s="17">
        <v>6631900.0</v>
      </c>
    </row>
    <row r="1272">
      <c r="A1272" s="17">
        <v>210.0</v>
      </c>
      <c r="B1272" s="17">
        <v>6632000.0</v>
      </c>
    </row>
    <row r="1273">
      <c r="A1273" s="17">
        <v>210.0</v>
      </c>
      <c r="B1273" s="17">
        <v>6632100.0</v>
      </c>
    </row>
    <row r="1274">
      <c r="A1274" s="17">
        <v>210.0</v>
      </c>
      <c r="B1274" s="17">
        <v>6632200.0</v>
      </c>
    </row>
    <row r="1275">
      <c r="A1275" s="17">
        <v>210.0</v>
      </c>
      <c r="B1275" s="17">
        <v>6632300.0</v>
      </c>
    </row>
    <row r="1276">
      <c r="A1276" s="17">
        <v>210.0</v>
      </c>
      <c r="B1276" s="17">
        <v>6632400.0</v>
      </c>
    </row>
    <row r="1277">
      <c r="A1277" s="17">
        <v>210.0</v>
      </c>
      <c r="B1277" s="17">
        <v>6632500.0</v>
      </c>
    </row>
    <row r="1278">
      <c r="A1278" s="17">
        <v>210.0</v>
      </c>
      <c r="B1278" s="17">
        <v>6632600.0</v>
      </c>
    </row>
    <row r="1279">
      <c r="A1279" s="17">
        <v>210.0</v>
      </c>
      <c r="B1279" s="17">
        <v>6632700.0</v>
      </c>
    </row>
    <row r="1280">
      <c r="A1280" s="17">
        <v>210.0</v>
      </c>
      <c r="B1280" s="17">
        <v>6632800.0</v>
      </c>
    </row>
    <row r="1281">
      <c r="A1281" s="17">
        <v>210.0</v>
      </c>
      <c r="B1281" s="17">
        <v>6632900.0</v>
      </c>
    </row>
    <row r="1282">
      <c r="A1282" s="17">
        <v>210.0</v>
      </c>
      <c r="B1282" s="17">
        <v>6633000.0</v>
      </c>
    </row>
    <row r="1283">
      <c r="A1283" s="17">
        <v>210.0</v>
      </c>
      <c r="B1283" s="17">
        <v>6633100.0</v>
      </c>
    </row>
    <row r="1284">
      <c r="A1284" s="17">
        <v>210.0</v>
      </c>
      <c r="B1284" s="17">
        <v>6633200.0</v>
      </c>
    </row>
    <row r="1285">
      <c r="A1285" s="17">
        <v>210.0</v>
      </c>
      <c r="B1285" s="17">
        <v>6647200.0</v>
      </c>
    </row>
    <row r="1286">
      <c r="A1286" s="17">
        <v>210.0</v>
      </c>
      <c r="B1286" s="17">
        <v>6647300.0</v>
      </c>
    </row>
    <row r="1287">
      <c r="A1287" s="17">
        <v>210.0</v>
      </c>
      <c r="B1287" s="17">
        <v>6647400.0</v>
      </c>
    </row>
    <row r="1288">
      <c r="A1288" s="17">
        <v>210.0</v>
      </c>
      <c r="B1288" s="17">
        <v>6647500.0</v>
      </c>
    </row>
    <row r="1289">
      <c r="A1289" s="17">
        <v>210.0</v>
      </c>
      <c r="B1289" s="17">
        <v>6640000.0</v>
      </c>
    </row>
    <row r="1290">
      <c r="A1290" s="17">
        <v>210.0</v>
      </c>
      <c r="B1290" s="17">
        <v>6640100.0</v>
      </c>
    </row>
    <row r="1291">
      <c r="A1291" s="17">
        <v>210.0</v>
      </c>
      <c r="B1291" s="17">
        <v>6641000.0</v>
      </c>
    </row>
    <row r="1292">
      <c r="A1292" s="17">
        <v>210.0</v>
      </c>
      <c r="B1292" s="17">
        <v>6641100.0</v>
      </c>
    </row>
    <row r="1293">
      <c r="A1293" s="17">
        <v>210.0</v>
      </c>
      <c r="B1293" s="17">
        <v>6642000.0</v>
      </c>
    </row>
    <row r="1294">
      <c r="A1294" s="17">
        <v>210.0</v>
      </c>
      <c r="B1294" s="17">
        <v>6642100.0</v>
      </c>
    </row>
    <row r="1295">
      <c r="A1295" s="17">
        <v>210.0</v>
      </c>
      <c r="B1295" s="17">
        <v>6643000.0</v>
      </c>
    </row>
    <row r="1296">
      <c r="A1296" s="17">
        <v>210.0</v>
      </c>
      <c r="B1296" s="17">
        <v>6643100.0</v>
      </c>
    </row>
    <row r="1297">
      <c r="A1297" s="17">
        <v>210.0</v>
      </c>
      <c r="B1297" s="17">
        <v>6644000.0</v>
      </c>
    </row>
    <row r="1298">
      <c r="A1298" s="17">
        <v>210.0</v>
      </c>
      <c r="B1298" s="17">
        <v>6644100.0</v>
      </c>
    </row>
    <row r="1299">
      <c r="A1299" s="17">
        <v>210.0</v>
      </c>
      <c r="B1299" s="17">
        <v>6645000.0</v>
      </c>
    </row>
    <row r="1300">
      <c r="A1300" s="17">
        <v>210.0</v>
      </c>
      <c r="B1300" s="17">
        <v>6645100.0</v>
      </c>
    </row>
    <row r="1301">
      <c r="A1301" s="17">
        <v>210.0</v>
      </c>
      <c r="B1301" s="17">
        <v>6646000.0</v>
      </c>
    </row>
    <row r="1302">
      <c r="A1302" s="17">
        <v>210.0</v>
      </c>
      <c r="B1302" s="17">
        <v>6646100.0</v>
      </c>
    </row>
    <row r="1303">
      <c r="A1303" s="17">
        <v>210.0</v>
      </c>
      <c r="B1303" s="17">
        <v>6647000.0</v>
      </c>
    </row>
    <row r="1304">
      <c r="A1304" s="17">
        <v>210.0</v>
      </c>
      <c r="B1304" s="17">
        <v>6647100.0</v>
      </c>
    </row>
    <row r="1305">
      <c r="A1305" s="17">
        <v>300.0</v>
      </c>
      <c r="B1305" s="17">
        <v>7000000.0</v>
      </c>
    </row>
    <row r="1306">
      <c r="A1306" s="17">
        <v>300.0</v>
      </c>
      <c r="B1306" s="17">
        <v>7000001.0</v>
      </c>
    </row>
    <row r="1307">
      <c r="A1307" s="17">
        <v>300.0</v>
      </c>
      <c r="B1307" s="17">
        <v>7000002.0</v>
      </c>
    </row>
    <row r="1308">
      <c r="A1308" s="17">
        <v>300.0</v>
      </c>
      <c r="B1308" s="17">
        <v>7000100.0</v>
      </c>
    </row>
    <row r="1309">
      <c r="A1309" s="17">
        <v>300.0</v>
      </c>
      <c r="B1309" s="17">
        <v>7000101.0</v>
      </c>
    </row>
    <row r="1310">
      <c r="A1310" s="17">
        <v>300.0</v>
      </c>
      <c r="B1310" s="17">
        <v>7000102.0</v>
      </c>
    </row>
    <row r="1311">
      <c r="A1311" s="17">
        <v>300.0</v>
      </c>
      <c r="B1311" s="17">
        <v>7000200.0</v>
      </c>
    </row>
    <row r="1312">
      <c r="A1312" s="17">
        <v>300.0</v>
      </c>
      <c r="B1312" s="17">
        <v>7000201.0</v>
      </c>
    </row>
    <row r="1313">
      <c r="A1313" s="17">
        <v>300.0</v>
      </c>
      <c r="B1313" s="17">
        <v>7000202.0</v>
      </c>
    </row>
    <row r="1314">
      <c r="A1314" s="17">
        <v>300.0</v>
      </c>
      <c r="B1314" s="17">
        <v>7000300.0</v>
      </c>
    </row>
    <row r="1315">
      <c r="A1315" s="17">
        <v>300.0</v>
      </c>
      <c r="B1315" s="17">
        <v>7000301.0</v>
      </c>
    </row>
    <row r="1316">
      <c r="A1316" s="17">
        <v>300.0</v>
      </c>
      <c r="B1316" s="17">
        <v>7000302.0</v>
      </c>
    </row>
    <row r="1317">
      <c r="A1317" s="17">
        <v>300.0</v>
      </c>
      <c r="B1317" s="17">
        <v>7000400.0</v>
      </c>
    </row>
    <row r="1318">
      <c r="A1318" s="17">
        <v>300.0</v>
      </c>
      <c r="B1318" s="17">
        <v>7000401.0</v>
      </c>
    </row>
    <row r="1319">
      <c r="A1319" s="17">
        <v>300.0</v>
      </c>
      <c r="B1319" s="17">
        <v>7000402.0</v>
      </c>
    </row>
    <row r="1320">
      <c r="A1320" s="17">
        <v>300.0</v>
      </c>
      <c r="B1320" s="17">
        <v>7000500.0</v>
      </c>
    </row>
    <row r="1321">
      <c r="A1321" s="17">
        <v>300.0</v>
      </c>
      <c r="B1321" s="17">
        <v>7000501.0</v>
      </c>
    </row>
    <row r="1322">
      <c r="A1322" s="17">
        <v>300.0</v>
      </c>
      <c r="B1322" s="17">
        <v>7000502.0</v>
      </c>
    </row>
    <row r="1323">
      <c r="A1323" s="17">
        <v>300.0</v>
      </c>
      <c r="B1323" s="17">
        <v>7000600.0</v>
      </c>
    </row>
    <row r="1324">
      <c r="A1324" s="17">
        <v>300.0</v>
      </c>
      <c r="B1324" s="17">
        <v>7000601.0</v>
      </c>
    </row>
    <row r="1325">
      <c r="A1325" s="17">
        <v>300.0</v>
      </c>
      <c r="B1325" s="17">
        <v>7000602.0</v>
      </c>
    </row>
    <row r="1326">
      <c r="A1326" s="17">
        <v>300.0</v>
      </c>
      <c r="B1326" s="17">
        <v>7000700.0</v>
      </c>
    </row>
    <row r="1327">
      <c r="A1327" s="17">
        <v>300.0</v>
      </c>
      <c r="B1327" s="17">
        <v>7000701.0</v>
      </c>
    </row>
    <row r="1328">
      <c r="A1328" s="17">
        <v>300.0</v>
      </c>
      <c r="B1328" s="17">
        <v>7000702.0</v>
      </c>
    </row>
    <row r="1329">
      <c r="A1329" s="17">
        <v>300.0</v>
      </c>
      <c r="B1329" s="17">
        <v>7000800.0</v>
      </c>
    </row>
    <row r="1330">
      <c r="A1330" s="17">
        <v>300.0</v>
      </c>
      <c r="B1330" s="17">
        <v>7000801.0</v>
      </c>
    </row>
    <row r="1331">
      <c r="A1331" s="17">
        <v>300.0</v>
      </c>
      <c r="B1331" s="17">
        <v>7000802.0</v>
      </c>
    </row>
    <row r="1332">
      <c r="A1332" s="17">
        <v>300.0</v>
      </c>
      <c r="B1332" s="17">
        <v>7000900.0</v>
      </c>
    </row>
    <row r="1333">
      <c r="A1333" s="17">
        <v>300.0</v>
      </c>
      <c r="B1333" s="17">
        <v>7000901.0</v>
      </c>
    </row>
    <row r="1334">
      <c r="A1334" s="17">
        <v>300.0</v>
      </c>
      <c r="B1334" s="17">
        <v>7000902.0</v>
      </c>
    </row>
    <row r="1335">
      <c r="A1335" s="17">
        <v>300.0</v>
      </c>
      <c r="B1335" s="17">
        <v>7001000.0</v>
      </c>
    </row>
    <row r="1336">
      <c r="A1336" s="17">
        <v>300.0</v>
      </c>
      <c r="B1336" s="17">
        <v>7001001.0</v>
      </c>
    </row>
    <row r="1337">
      <c r="A1337" s="17">
        <v>300.0</v>
      </c>
      <c r="B1337" s="17">
        <v>7001002.0</v>
      </c>
    </row>
    <row r="1338">
      <c r="A1338" s="17">
        <v>300.0</v>
      </c>
      <c r="B1338" s="17">
        <v>7001400.0</v>
      </c>
    </row>
    <row r="1339">
      <c r="A1339" s="17">
        <v>300.0</v>
      </c>
      <c r="B1339" s="17">
        <v>7001401.0</v>
      </c>
    </row>
    <row r="1340">
      <c r="A1340" s="17">
        <v>300.0</v>
      </c>
      <c r="B1340" s="17">
        <v>7001402.0</v>
      </c>
    </row>
    <row r="1341">
      <c r="A1341" s="17">
        <v>300.0</v>
      </c>
      <c r="B1341" s="17">
        <v>7001500.0</v>
      </c>
    </row>
    <row r="1342">
      <c r="A1342" s="17">
        <v>300.0</v>
      </c>
      <c r="B1342" s="17">
        <v>7001501.0</v>
      </c>
    </row>
    <row r="1343">
      <c r="A1343" s="17">
        <v>300.0</v>
      </c>
      <c r="B1343" s="17">
        <v>7001502.0</v>
      </c>
    </row>
    <row r="1344">
      <c r="A1344" s="17">
        <v>300.0</v>
      </c>
      <c r="B1344" s="17">
        <v>7001600.0</v>
      </c>
    </row>
    <row r="1345">
      <c r="A1345" s="17">
        <v>300.0</v>
      </c>
      <c r="B1345" s="17">
        <v>7001601.0</v>
      </c>
    </row>
    <row r="1346">
      <c r="A1346" s="17">
        <v>300.0</v>
      </c>
      <c r="B1346" s="17">
        <v>7001602.0</v>
      </c>
    </row>
    <row r="1347">
      <c r="A1347" s="17">
        <v>300.0</v>
      </c>
      <c r="B1347" s="17">
        <v>7001700.0</v>
      </c>
    </row>
    <row r="1348">
      <c r="A1348" s="17">
        <v>300.0</v>
      </c>
      <c r="B1348" s="17">
        <v>7001701.0</v>
      </c>
    </row>
    <row r="1349">
      <c r="A1349" s="17">
        <v>300.0</v>
      </c>
      <c r="B1349" s="17">
        <v>7001702.0</v>
      </c>
    </row>
    <row r="1350">
      <c r="A1350" s="17">
        <v>300.0</v>
      </c>
      <c r="B1350" s="17">
        <v>7001800.0</v>
      </c>
    </row>
    <row r="1351">
      <c r="A1351" s="17">
        <v>300.0</v>
      </c>
      <c r="B1351" s="17">
        <v>7001801.0</v>
      </c>
    </row>
    <row r="1352">
      <c r="A1352" s="17">
        <v>300.0</v>
      </c>
      <c r="B1352" s="17">
        <v>7001802.0</v>
      </c>
    </row>
    <row r="1353">
      <c r="A1353" s="17">
        <v>300.0</v>
      </c>
      <c r="B1353" s="17">
        <v>7002600.0</v>
      </c>
    </row>
    <row r="1354">
      <c r="A1354" s="17">
        <v>300.0</v>
      </c>
      <c r="B1354" s="17">
        <v>7002700.0</v>
      </c>
    </row>
    <row r="1355">
      <c r="A1355" s="17">
        <v>300.0</v>
      </c>
      <c r="B1355" s="17">
        <v>7002800.0</v>
      </c>
    </row>
    <row r="1356">
      <c r="A1356" s="17">
        <v>300.0</v>
      </c>
      <c r="B1356" s="17">
        <v>7002900.0</v>
      </c>
    </row>
    <row r="1357">
      <c r="A1357" s="17">
        <v>300.0</v>
      </c>
      <c r="B1357" s="17">
        <v>7003000.0</v>
      </c>
    </row>
    <row r="1358">
      <c r="A1358" s="17">
        <v>300.0</v>
      </c>
      <c r="B1358" s="17">
        <v>7003100.0</v>
      </c>
    </row>
    <row r="1359">
      <c r="A1359" s="17">
        <v>300.0</v>
      </c>
      <c r="B1359" s="17">
        <v>7003200.0</v>
      </c>
    </row>
    <row r="1360">
      <c r="A1360" s="17">
        <v>300.0</v>
      </c>
      <c r="B1360" s="17">
        <v>7003300.0</v>
      </c>
    </row>
    <row r="1361">
      <c r="A1361" s="17">
        <v>300.0</v>
      </c>
      <c r="B1361" s="17">
        <v>7003400.0</v>
      </c>
    </row>
    <row r="1362">
      <c r="A1362" s="17">
        <v>300.0</v>
      </c>
      <c r="B1362" s="17">
        <v>7003500.0</v>
      </c>
    </row>
    <row r="1363">
      <c r="A1363" s="17">
        <v>300.0</v>
      </c>
      <c r="B1363" s="17">
        <v>7003600.0</v>
      </c>
    </row>
    <row r="1364">
      <c r="A1364" s="17">
        <v>300.0</v>
      </c>
      <c r="B1364" s="17">
        <v>7005600.0</v>
      </c>
    </row>
    <row r="1365">
      <c r="A1365" s="17">
        <v>300.0</v>
      </c>
      <c r="B1365" s="17">
        <v>7006000.0</v>
      </c>
    </row>
    <row r="1366">
      <c r="A1366" s="17">
        <v>300.0</v>
      </c>
      <c r="B1366" s="17">
        <v>7006100.0</v>
      </c>
    </row>
    <row r="1367">
      <c r="A1367" s="17">
        <v>300.0</v>
      </c>
      <c r="B1367" s="17">
        <v>7010200.0</v>
      </c>
    </row>
    <row r="1368">
      <c r="A1368" s="17">
        <v>300.0</v>
      </c>
      <c r="B1368" s="17">
        <v>7010500.0</v>
      </c>
    </row>
    <row r="1369">
      <c r="A1369" s="17">
        <v>300.0</v>
      </c>
      <c r="B1369" s="17">
        <v>7010700.0</v>
      </c>
    </row>
    <row r="1370">
      <c r="A1370" s="17">
        <v>300.0</v>
      </c>
      <c r="B1370" s="17">
        <v>7010900.0</v>
      </c>
    </row>
    <row r="1371">
      <c r="A1371" s="17">
        <v>300.0</v>
      </c>
      <c r="B1371" s="17">
        <v>7011000.0</v>
      </c>
    </row>
    <row r="1372">
      <c r="A1372" s="17">
        <v>300.0</v>
      </c>
      <c r="B1372" s="17">
        <v>7011200.0</v>
      </c>
    </row>
    <row r="1373">
      <c r="A1373" s="17">
        <v>300.0</v>
      </c>
      <c r="B1373" s="17">
        <v>7011600.0</v>
      </c>
    </row>
    <row r="1374">
      <c r="A1374" s="17">
        <v>300.0</v>
      </c>
      <c r="B1374" s="17">
        <v>7011700.0</v>
      </c>
    </row>
    <row r="1375">
      <c r="A1375" s="17">
        <v>300.0</v>
      </c>
      <c r="B1375" s="17">
        <v>7012000.0</v>
      </c>
    </row>
    <row r="1376">
      <c r="A1376" s="17">
        <v>300.0</v>
      </c>
      <c r="B1376" s="17">
        <v>7012200.0</v>
      </c>
    </row>
    <row r="1377">
      <c r="A1377" s="17">
        <v>300.0</v>
      </c>
      <c r="B1377" s="17">
        <v>7012300.0</v>
      </c>
    </row>
    <row r="1378">
      <c r="A1378" s="17">
        <v>300.0</v>
      </c>
      <c r="B1378" s="17">
        <v>7020000.0</v>
      </c>
    </row>
    <row r="1379">
      <c r="A1379" s="17">
        <v>300.0</v>
      </c>
      <c r="B1379" s="17">
        <v>7030000.0</v>
      </c>
    </row>
    <row r="1380">
      <c r="A1380" s="17">
        <v>300.0</v>
      </c>
      <c r="B1380" s="17">
        <v>7030200.0</v>
      </c>
    </row>
    <row r="1381">
      <c r="A1381" s="17">
        <v>300.0</v>
      </c>
      <c r="B1381" s="17">
        <v>7030600.0</v>
      </c>
    </row>
    <row r="1382">
      <c r="A1382" s="17">
        <v>300.0</v>
      </c>
      <c r="B1382" s="17">
        <v>7030700.0</v>
      </c>
    </row>
    <row r="1383">
      <c r="A1383" s="17">
        <v>300.0</v>
      </c>
      <c r="B1383" s="17">
        <v>7030800.0</v>
      </c>
    </row>
    <row r="1384">
      <c r="A1384" s="17">
        <v>300.0</v>
      </c>
      <c r="B1384" s="17">
        <v>7030900.0</v>
      </c>
    </row>
    <row r="1385">
      <c r="A1385" s="17">
        <v>300.0</v>
      </c>
      <c r="B1385" s="17">
        <v>7031200.0</v>
      </c>
    </row>
    <row r="1386">
      <c r="A1386" s="17">
        <v>300.0</v>
      </c>
      <c r="B1386" s="17">
        <v>7031300.0</v>
      </c>
    </row>
    <row r="1387">
      <c r="A1387" s="17">
        <v>300.0</v>
      </c>
      <c r="B1387" s="17">
        <v>7031800.0</v>
      </c>
    </row>
    <row r="1388">
      <c r="A1388" s="17">
        <v>300.0</v>
      </c>
      <c r="B1388" s="17">
        <v>7031900.0</v>
      </c>
    </row>
    <row r="1389">
      <c r="A1389" s="17">
        <v>300.0</v>
      </c>
      <c r="B1389" s="17">
        <v>7032200.0</v>
      </c>
    </row>
    <row r="1390">
      <c r="A1390" s="17">
        <v>300.0</v>
      </c>
      <c r="B1390" s="17">
        <v>7032400.0</v>
      </c>
    </row>
    <row r="1391">
      <c r="A1391" s="17">
        <v>300.0</v>
      </c>
      <c r="B1391" s="17">
        <v>7032700.0</v>
      </c>
    </row>
    <row r="1392">
      <c r="A1392" s="17">
        <v>300.0</v>
      </c>
      <c r="B1392" s="17">
        <v>7032800.0</v>
      </c>
    </row>
    <row r="1393">
      <c r="A1393" s="17">
        <v>300.0</v>
      </c>
      <c r="B1393" s="17">
        <v>7032900.0</v>
      </c>
    </row>
    <row r="1394">
      <c r="A1394" s="17">
        <v>300.0</v>
      </c>
      <c r="B1394" s="17">
        <v>7033200.0</v>
      </c>
    </row>
    <row r="1395">
      <c r="A1395" s="17">
        <v>300.0</v>
      </c>
      <c r="B1395" s="17">
        <v>7033400.0</v>
      </c>
    </row>
    <row r="1396">
      <c r="A1396" s="17">
        <v>300.0</v>
      </c>
      <c r="B1396" s="17">
        <v>7034100.0</v>
      </c>
    </row>
    <row r="1397">
      <c r="A1397" s="17">
        <v>300.0</v>
      </c>
      <c r="B1397" s="17">
        <v>7034400.0</v>
      </c>
    </row>
    <row r="1398">
      <c r="A1398" s="17">
        <v>300.0</v>
      </c>
      <c r="B1398" s="17">
        <v>7034500.0</v>
      </c>
    </row>
    <row r="1399">
      <c r="A1399" s="17">
        <v>300.0</v>
      </c>
      <c r="B1399" s="17">
        <v>7034600.0</v>
      </c>
    </row>
    <row r="1400">
      <c r="A1400" s="17">
        <v>300.0</v>
      </c>
      <c r="B1400" s="17">
        <v>7034700.0</v>
      </c>
    </row>
    <row r="1401">
      <c r="A1401" s="17">
        <v>300.0</v>
      </c>
      <c r="B1401" s="17">
        <v>7035100.0</v>
      </c>
    </row>
    <row r="1402">
      <c r="A1402" s="17">
        <v>300.0</v>
      </c>
      <c r="B1402" s="17">
        <v>7036100.0</v>
      </c>
    </row>
    <row r="1403">
      <c r="A1403" s="17">
        <v>300.0</v>
      </c>
      <c r="B1403" s="17">
        <v>7040000.0</v>
      </c>
    </row>
    <row r="1404">
      <c r="A1404" s="17">
        <v>300.0</v>
      </c>
      <c r="B1404" s="17">
        <v>7040100.0</v>
      </c>
    </row>
    <row r="1405">
      <c r="A1405" s="17">
        <v>300.0</v>
      </c>
      <c r="B1405" s="17">
        <v>7040200.0</v>
      </c>
    </row>
    <row r="1406">
      <c r="A1406" s="17">
        <v>300.0</v>
      </c>
      <c r="B1406" s="17">
        <v>7040300.0</v>
      </c>
    </row>
    <row r="1407">
      <c r="A1407" s="17">
        <v>300.0</v>
      </c>
      <c r="B1407" s="17">
        <v>7040400.0</v>
      </c>
    </row>
    <row r="1408">
      <c r="A1408" s="17">
        <v>300.0</v>
      </c>
      <c r="B1408" s="17">
        <v>7040500.0</v>
      </c>
    </row>
    <row r="1409">
      <c r="A1409" s="17">
        <v>300.0</v>
      </c>
      <c r="B1409" s="17">
        <v>7043000.0</v>
      </c>
    </row>
    <row r="1410">
      <c r="A1410" s="17">
        <v>300.0</v>
      </c>
      <c r="B1410" s="17">
        <v>7043100.0</v>
      </c>
    </row>
    <row r="1411">
      <c r="A1411" s="17">
        <v>300.0</v>
      </c>
      <c r="B1411" s="17">
        <v>7043200.0</v>
      </c>
    </row>
    <row r="1412">
      <c r="A1412" s="17">
        <v>300.0</v>
      </c>
      <c r="B1412" s="17">
        <v>7043300.0</v>
      </c>
    </row>
    <row r="1413">
      <c r="A1413" s="17">
        <v>300.0</v>
      </c>
      <c r="B1413" s="17">
        <v>7043400.0</v>
      </c>
    </row>
    <row r="1414">
      <c r="A1414" s="17">
        <v>300.0</v>
      </c>
      <c r="B1414" s="17">
        <v>7043500.0</v>
      </c>
    </row>
    <row r="1415">
      <c r="A1415" s="17">
        <v>300.0</v>
      </c>
      <c r="B1415" s="17">
        <v>7043600.0</v>
      </c>
    </row>
    <row r="1416">
      <c r="A1416" s="17">
        <v>300.0</v>
      </c>
      <c r="B1416" s="17">
        <v>7043700.0</v>
      </c>
    </row>
    <row r="1417">
      <c r="A1417" s="17">
        <v>300.0</v>
      </c>
      <c r="B1417" s="17">
        <v>7043800.0</v>
      </c>
    </row>
    <row r="1418">
      <c r="A1418" s="17">
        <v>300.0</v>
      </c>
      <c r="B1418" s="17">
        <v>7044000.0</v>
      </c>
    </row>
    <row r="1419">
      <c r="A1419" s="17">
        <v>300.0</v>
      </c>
      <c r="B1419" s="17">
        <v>7044100.0</v>
      </c>
    </row>
    <row r="1420">
      <c r="A1420" s="17">
        <v>300.0</v>
      </c>
      <c r="B1420" s="17">
        <v>7044200.0</v>
      </c>
    </row>
    <row r="1421">
      <c r="A1421" s="17">
        <v>300.0</v>
      </c>
      <c r="B1421" s="17">
        <v>7044300.0</v>
      </c>
    </row>
    <row r="1422">
      <c r="A1422" s="17">
        <v>300.0</v>
      </c>
      <c r="B1422" s="17">
        <v>7044400.0</v>
      </c>
    </row>
    <row r="1423">
      <c r="A1423" s="17">
        <v>300.0</v>
      </c>
      <c r="B1423" s="17">
        <v>7044500.0</v>
      </c>
    </row>
    <row r="1424">
      <c r="A1424" s="17">
        <v>300.0</v>
      </c>
      <c r="B1424" s="17">
        <v>7044600.0</v>
      </c>
    </row>
    <row r="1425">
      <c r="A1425" s="17">
        <v>300.0</v>
      </c>
      <c r="B1425" s="17">
        <v>7050000.0</v>
      </c>
    </row>
    <row r="1426">
      <c r="A1426" s="17">
        <v>300.0</v>
      </c>
      <c r="B1426" s="17">
        <v>7050100.0</v>
      </c>
    </row>
    <row r="1427">
      <c r="A1427" s="17">
        <v>300.0</v>
      </c>
      <c r="B1427" s="17">
        <v>7060000.0</v>
      </c>
    </row>
    <row r="1428">
      <c r="A1428" s="17">
        <v>300.0</v>
      </c>
      <c r="B1428" s="17">
        <v>7060100.0</v>
      </c>
    </row>
    <row r="1429">
      <c r="A1429" s="17">
        <v>300.0</v>
      </c>
      <c r="B1429" s="17">
        <v>7060200.0</v>
      </c>
    </row>
    <row r="1430">
      <c r="A1430" s="17">
        <v>300.0</v>
      </c>
      <c r="B1430" s="17">
        <v>7070000.0</v>
      </c>
    </row>
    <row r="1431">
      <c r="A1431" s="17">
        <v>300.0</v>
      </c>
      <c r="B1431" s="17">
        <v>7080000.0</v>
      </c>
    </row>
    <row r="1432">
      <c r="A1432" s="17">
        <v>300.0</v>
      </c>
      <c r="B1432" s="17">
        <v>7080100.0</v>
      </c>
    </row>
    <row r="1433">
      <c r="A1433" s="17">
        <v>300.0</v>
      </c>
      <c r="B1433" s="17">
        <v>7080200.0</v>
      </c>
    </row>
    <row r="1434">
      <c r="A1434" s="17">
        <v>300.0</v>
      </c>
      <c r="B1434" s="17">
        <v>7080300.0</v>
      </c>
    </row>
    <row r="1435">
      <c r="A1435" s="17">
        <v>300.0</v>
      </c>
      <c r="B1435" s="17">
        <v>7080400.0</v>
      </c>
    </row>
    <row r="1436">
      <c r="A1436" s="17">
        <v>300.0</v>
      </c>
      <c r="B1436" s="17">
        <v>7080500.0</v>
      </c>
    </row>
    <row r="1437">
      <c r="A1437" s="17">
        <v>300.0</v>
      </c>
      <c r="B1437" s="17">
        <v>7080600.0</v>
      </c>
    </row>
    <row r="1438">
      <c r="A1438" s="17">
        <v>300.0</v>
      </c>
      <c r="B1438" s="17">
        <v>7080700.0</v>
      </c>
    </row>
    <row r="1439">
      <c r="A1439" s="17">
        <v>300.0</v>
      </c>
      <c r="B1439" s="17">
        <v>7080800.0</v>
      </c>
    </row>
    <row r="1440">
      <c r="A1440" s="17">
        <v>300.0</v>
      </c>
      <c r="B1440" s="17">
        <v>7080900.0</v>
      </c>
    </row>
    <row r="1441">
      <c r="A1441" s="17">
        <v>300.0</v>
      </c>
      <c r="B1441" s="17">
        <v>7081000.0</v>
      </c>
    </row>
    <row r="1442">
      <c r="A1442" s="17">
        <v>300.0</v>
      </c>
      <c r="B1442" s="17">
        <v>7081100.0</v>
      </c>
    </row>
    <row r="1443">
      <c r="A1443" s="17">
        <v>300.0</v>
      </c>
      <c r="B1443" s="17">
        <v>7081200.0</v>
      </c>
    </row>
    <row r="1444">
      <c r="A1444" s="17">
        <v>300.0</v>
      </c>
      <c r="B1444" s="17">
        <v>7081300.0</v>
      </c>
    </row>
    <row r="1445">
      <c r="A1445" s="17">
        <v>300.0</v>
      </c>
      <c r="B1445" s="17">
        <v>7081400.0</v>
      </c>
    </row>
    <row r="1446">
      <c r="A1446" s="17">
        <v>300.0</v>
      </c>
      <c r="B1446" s="17">
        <v>7081500.0</v>
      </c>
    </row>
    <row r="1447">
      <c r="A1447" s="17">
        <v>300.0</v>
      </c>
      <c r="B1447" s="17">
        <v>7081700.0</v>
      </c>
    </row>
    <row r="1448">
      <c r="A1448" s="17">
        <v>300.0</v>
      </c>
      <c r="B1448" s="17">
        <v>7081800.0</v>
      </c>
    </row>
    <row r="1449">
      <c r="A1449" s="17">
        <v>300.0</v>
      </c>
      <c r="B1449" s="17">
        <v>7081900.0</v>
      </c>
    </row>
    <row r="1450">
      <c r="A1450" s="17">
        <v>300.0</v>
      </c>
      <c r="B1450" s="17">
        <v>7082000.0</v>
      </c>
    </row>
    <row r="1451">
      <c r="A1451" s="17">
        <v>300.0</v>
      </c>
      <c r="B1451" s="17">
        <v>7082100.0</v>
      </c>
    </row>
    <row r="1452">
      <c r="A1452" s="17">
        <v>300.0</v>
      </c>
      <c r="B1452" s="17">
        <v>7082200.0</v>
      </c>
    </row>
    <row r="1453">
      <c r="A1453" s="17">
        <v>300.0</v>
      </c>
      <c r="B1453" s="17">
        <v>7082300.0</v>
      </c>
    </row>
    <row r="1454">
      <c r="A1454" s="17">
        <v>300.0</v>
      </c>
      <c r="B1454" s="17">
        <v>7082400.0</v>
      </c>
    </row>
    <row r="1455">
      <c r="A1455" s="17">
        <v>300.0</v>
      </c>
      <c r="B1455" s="17">
        <v>7082500.0</v>
      </c>
    </row>
    <row r="1456">
      <c r="A1456" s="17">
        <v>300.0</v>
      </c>
      <c r="B1456" s="17">
        <v>7082600.0</v>
      </c>
    </row>
    <row r="1457">
      <c r="A1457" s="17">
        <v>300.0</v>
      </c>
      <c r="B1457" s="17">
        <v>7082700.0</v>
      </c>
    </row>
    <row r="1458">
      <c r="A1458" s="17">
        <v>300.0</v>
      </c>
      <c r="B1458" s="17">
        <v>7082800.0</v>
      </c>
    </row>
    <row r="1459">
      <c r="A1459" s="17">
        <v>300.0</v>
      </c>
      <c r="B1459" s="17">
        <v>7082900.0</v>
      </c>
    </row>
    <row r="1460">
      <c r="A1460" s="17">
        <v>300.0</v>
      </c>
      <c r="B1460" s="17">
        <v>7090000.0</v>
      </c>
    </row>
    <row r="1461">
      <c r="A1461" s="17">
        <v>300.0</v>
      </c>
      <c r="B1461" s="17">
        <v>7090100.0</v>
      </c>
    </row>
    <row r="1462">
      <c r="A1462" s="17">
        <v>300.0</v>
      </c>
      <c r="B1462" s="17">
        <v>7090300.0</v>
      </c>
    </row>
    <row r="1463">
      <c r="A1463" s="17">
        <v>300.0</v>
      </c>
      <c r="B1463" s="17">
        <v>7100100.0</v>
      </c>
    </row>
    <row r="1464">
      <c r="A1464" s="17">
        <v>300.0</v>
      </c>
      <c r="B1464" s="17">
        <v>7110000.0</v>
      </c>
    </row>
    <row r="1465">
      <c r="A1465" s="17">
        <v>300.0</v>
      </c>
      <c r="B1465" s="17">
        <v>7120000.0</v>
      </c>
    </row>
    <row r="1466">
      <c r="A1466" s="17">
        <v>300.0</v>
      </c>
      <c r="B1466" s="17">
        <v>7120100.0</v>
      </c>
    </row>
    <row r="1467">
      <c r="A1467" s="17">
        <v>300.0</v>
      </c>
      <c r="B1467" s="17">
        <v>7120200.0</v>
      </c>
    </row>
    <row r="1468">
      <c r="A1468" s="17">
        <v>300.0</v>
      </c>
      <c r="B1468" s="17">
        <v>7120300.0</v>
      </c>
    </row>
    <row r="1469">
      <c r="A1469" s="17">
        <v>300.0</v>
      </c>
      <c r="B1469" s="17">
        <v>7120400.0</v>
      </c>
    </row>
    <row r="1470">
      <c r="A1470" s="17">
        <v>300.0</v>
      </c>
      <c r="B1470" s="17">
        <v>7120500.0</v>
      </c>
    </row>
    <row r="1471">
      <c r="A1471" s="17">
        <v>300.0</v>
      </c>
      <c r="B1471" s="17">
        <v>7120600.0</v>
      </c>
    </row>
    <row r="1472">
      <c r="A1472" s="17">
        <v>300.0</v>
      </c>
      <c r="B1472" s="17">
        <v>7120900.0</v>
      </c>
    </row>
    <row r="1473">
      <c r="A1473" s="17">
        <v>300.0</v>
      </c>
      <c r="B1473" s="17">
        <v>7121000.0</v>
      </c>
    </row>
    <row r="1474">
      <c r="A1474" s="17">
        <v>300.0</v>
      </c>
      <c r="B1474" s="17">
        <v>7121100.0</v>
      </c>
    </row>
    <row r="1475">
      <c r="A1475" s="17">
        <v>300.0</v>
      </c>
      <c r="B1475" s="17">
        <v>7121200.0</v>
      </c>
    </row>
    <row r="1476">
      <c r="A1476" s="17">
        <v>300.0</v>
      </c>
      <c r="B1476" s="17">
        <v>7121300.0</v>
      </c>
    </row>
    <row r="1477">
      <c r="A1477" s="17">
        <v>300.0</v>
      </c>
      <c r="B1477" s="17">
        <v>7121400.0</v>
      </c>
    </row>
    <row r="1478">
      <c r="A1478" s="17">
        <v>300.0</v>
      </c>
      <c r="B1478" s="17">
        <v>7121500.0</v>
      </c>
    </row>
    <row r="1479">
      <c r="A1479" s="17">
        <v>300.0</v>
      </c>
      <c r="B1479" s="17">
        <v>7121600.0</v>
      </c>
    </row>
    <row r="1480">
      <c r="A1480" s="17">
        <v>300.0</v>
      </c>
      <c r="B1480" s="17">
        <v>7121700.0</v>
      </c>
    </row>
    <row r="1481">
      <c r="A1481" s="17">
        <v>300.0</v>
      </c>
      <c r="B1481" s="17">
        <v>7121800.0</v>
      </c>
    </row>
    <row r="1482">
      <c r="A1482" s="17">
        <v>300.0</v>
      </c>
      <c r="B1482" s="17">
        <v>7121900.0</v>
      </c>
    </row>
    <row r="1483">
      <c r="A1483" s="17">
        <v>300.0</v>
      </c>
      <c r="B1483" s="17">
        <v>7122000.0</v>
      </c>
    </row>
    <row r="1484">
      <c r="A1484" s="17">
        <v>300.0</v>
      </c>
      <c r="B1484" s="17">
        <v>7122100.0</v>
      </c>
    </row>
    <row r="1485">
      <c r="A1485" s="17">
        <v>300.0</v>
      </c>
      <c r="B1485" s="17">
        <v>7122200.0</v>
      </c>
    </row>
    <row r="1486">
      <c r="A1486" s="17">
        <v>300.0</v>
      </c>
      <c r="B1486" s="17">
        <v>7122300.0</v>
      </c>
    </row>
    <row r="1487">
      <c r="A1487" s="17">
        <v>300.0</v>
      </c>
      <c r="B1487" s="17">
        <v>7122400.0</v>
      </c>
    </row>
    <row r="1488">
      <c r="A1488" s="17">
        <v>300.0</v>
      </c>
      <c r="B1488" s="17">
        <v>7122500.0</v>
      </c>
    </row>
    <row r="1489">
      <c r="A1489" s="17">
        <v>300.0</v>
      </c>
      <c r="B1489" s="17">
        <v>7122600.0</v>
      </c>
    </row>
    <row r="1490">
      <c r="A1490" s="17">
        <v>300.0</v>
      </c>
      <c r="B1490" s="17">
        <v>7122700.0</v>
      </c>
    </row>
    <row r="1491">
      <c r="A1491" s="17">
        <v>300.0</v>
      </c>
      <c r="B1491" s="17">
        <v>7122800.0</v>
      </c>
    </row>
    <row r="1492">
      <c r="A1492" s="17">
        <v>300.0</v>
      </c>
      <c r="B1492" s="17">
        <v>7122900.0</v>
      </c>
    </row>
    <row r="1493">
      <c r="A1493" s="17">
        <v>300.0</v>
      </c>
      <c r="B1493" s="17">
        <v>7123000.0</v>
      </c>
    </row>
    <row r="1494">
      <c r="A1494" s="17">
        <v>300.0</v>
      </c>
      <c r="B1494" s="17">
        <v>7123100.0</v>
      </c>
    </row>
    <row r="1495">
      <c r="A1495" s="17">
        <v>300.0</v>
      </c>
      <c r="B1495" s="17">
        <v>7123200.0</v>
      </c>
    </row>
    <row r="1496">
      <c r="A1496" s="17">
        <v>300.0</v>
      </c>
      <c r="B1496" s="17">
        <v>7123300.0</v>
      </c>
    </row>
    <row r="1497">
      <c r="A1497" s="17">
        <v>300.0</v>
      </c>
      <c r="B1497" s="17">
        <v>7123400.0</v>
      </c>
    </row>
    <row r="1498">
      <c r="A1498" s="17">
        <v>300.0</v>
      </c>
      <c r="B1498" s="17">
        <v>7123500.0</v>
      </c>
    </row>
    <row r="1499">
      <c r="A1499" s="17">
        <v>300.0</v>
      </c>
      <c r="B1499" s="17">
        <v>7123600.0</v>
      </c>
    </row>
    <row r="1500">
      <c r="A1500" s="17">
        <v>300.0</v>
      </c>
      <c r="B1500" s="17">
        <v>7123700.0</v>
      </c>
    </row>
    <row r="1501">
      <c r="A1501" s="17">
        <v>300.0</v>
      </c>
      <c r="B1501" s="17">
        <v>7123800.0</v>
      </c>
    </row>
    <row r="1502">
      <c r="A1502" s="17">
        <v>300.0</v>
      </c>
      <c r="B1502" s="17">
        <v>7123900.0</v>
      </c>
    </row>
    <row r="1503">
      <c r="A1503" s="17">
        <v>300.0</v>
      </c>
      <c r="B1503" s="17">
        <v>7124000.0</v>
      </c>
    </row>
    <row r="1504">
      <c r="A1504" s="17">
        <v>300.0</v>
      </c>
      <c r="B1504" s="17">
        <v>7124100.0</v>
      </c>
    </row>
    <row r="1505">
      <c r="A1505" s="17">
        <v>300.0</v>
      </c>
      <c r="B1505" s="17">
        <v>7124300.0</v>
      </c>
    </row>
    <row r="1506">
      <c r="A1506" s="17">
        <v>300.0</v>
      </c>
      <c r="B1506" s="17">
        <v>7124400.0</v>
      </c>
    </row>
    <row r="1507">
      <c r="A1507" s="17">
        <v>300.0</v>
      </c>
      <c r="B1507" s="17">
        <v>7124500.0</v>
      </c>
    </row>
    <row r="1508">
      <c r="A1508" s="17">
        <v>300.0</v>
      </c>
      <c r="B1508" s="17">
        <v>7124600.0</v>
      </c>
    </row>
    <row r="1509">
      <c r="A1509" s="17">
        <v>300.0</v>
      </c>
      <c r="B1509" s="17">
        <v>7124700.0</v>
      </c>
    </row>
    <row r="1510">
      <c r="A1510" s="17">
        <v>300.0</v>
      </c>
      <c r="B1510" s="17">
        <v>7126000.0</v>
      </c>
    </row>
    <row r="1511">
      <c r="A1511" s="17">
        <v>300.0</v>
      </c>
      <c r="B1511" s="17">
        <v>7150000.0</v>
      </c>
    </row>
    <row r="1512">
      <c r="A1512" s="17">
        <v>300.0</v>
      </c>
      <c r="B1512" s="17">
        <v>7160000.0</v>
      </c>
    </row>
    <row r="1513">
      <c r="A1513" s="17">
        <v>300.0</v>
      </c>
      <c r="B1513" s="17">
        <v>7220000.0</v>
      </c>
    </row>
    <row r="1514">
      <c r="A1514" s="17">
        <v>300.0</v>
      </c>
      <c r="B1514" s="17">
        <v>7230000.0</v>
      </c>
    </row>
    <row r="1515">
      <c r="A1515" s="17">
        <v>300.0</v>
      </c>
      <c r="B1515" s="17">
        <v>7240000.0</v>
      </c>
    </row>
    <row r="1516">
      <c r="A1516" s="17">
        <v>300.0</v>
      </c>
      <c r="B1516" s="17">
        <v>7260000.0</v>
      </c>
    </row>
    <row r="1517">
      <c r="A1517" s="17">
        <v>300.0</v>
      </c>
      <c r="B1517" s="17">
        <v>7260300.0</v>
      </c>
    </row>
    <row r="1518">
      <c r="A1518" s="17">
        <v>300.0</v>
      </c>
      <c r="B1518" s="17">
        <v>7260400.0</v>
      </c>
    </row>
    <row r="1519">
      <c r="A1519" s="17">
        <v>300.0</v>
      </c>
      <c r="B1519" s="17">
        <v>7270100.0</v>
      </c>
    </row>
    <row r="1520">
      <c r="A1520" s="17">
        <v>300.0</v>
      </c>
      <c r="B1520" s="17">
        <v>7280000.0</v>
      </c>
    </row>
    <row r="1521">
      <c r="A1521" s="17">
        <v>300.0</v>
      </c>
      <c r="B1521" s="17">
        <v>7290000.0</v>
      </c>
    </row>
    <row r="1522">
      <c r="A1522" s="17">
        <v>300.0</v>
      </c>
      <c r="B1522" s="17">
        <v>7310000.0</v>
      </c>
    </row>
    <row r="1523">
      <c r="A1523" s="17">
        <v>300.0</v>
      </c>
      <c r="B1523" s="17">
        <v>7330000.0</v>
      </c>
    </row>
    <row r="1524">
      <c r="A1524" s="17">
        <v>300.0</v>
      </c>
      <c r="B1524" s="17">
        <v>7330100.0</v>
      </c>
    </row>
    <row r="1525">
      <c r="A1525" s="17">
        <v>300.0</v>
      </c>
      <c r="B1525" s="17">
        <v>7330200.0</v>
      </c>
    </row>
    <row r="1526">
      <c r="A1526" s="17">
        <v>300.0</v>
      </c>
      <c r="B1526" s="17">
        <v>7330300.0</v>
      </c>
    </row>
    <row r="1527">
      <c r="A1527" s="17">
        <v>300.0</v>
      </c>
      <c r="B1527" s="17">
        <v>7330400.0</v>
      </c>
    </row>
    <row r="1528">
      <c r="A1528" s="17">
        <v>300.0</v>
      </c>
      <c r="B1528" s="17">
        <v>7330500.0</v>
      </c>
    </row>
    <row r="1529">
      <c r="A1529" s="17">
        <v>300.0</v>
      </c>
      <c r="B1529" s="17">
        <v>7330600.0</v>
      </c>
    </row>
    <row r="1530">
      <c r="A1530" s="17">
        <v>300.0</v>
      </c>
      <c r="B1530" s="17">
        <v>7330700.0</v>
      </c>
    </row>
    <row r="1531">
      <c r="A1531" s="17">
        <v>300.0</v>
      </c>
      <c r="B1531" s="17">
        <v>7330800.0</v>
      </c>
    </row>
    <row r="1532">
      <c r="A1532" s="17">
        <v>300.0</v>
      </c>
      <c r="B1532" s="17">
        <v>7330900.0</v>
      </c>
    </row>
    <row r="1533">
      <c r="A1533" s="17">
        <v>300.0</v>
      </c>
      <c r="B1533" s="17">
        <v>7331000.0</v>
      </c>
    </row>
    <row r="1534">
      <c r="A1534" s="17">
        <v>300.0</v>
      </c>
      <c r="B1534" s="17">
        <v>7331100.0</v>
      </c>
    </row>
    <row r="1535">
      <c r="A1535" s="17">
        <v>300.0</v>
      </c>
      <c r="B1535" s="17">
        <v>7331200.0</v>
      </c>
    </row>
    <row r="1536">
      <c r="A1536" s="17">
        <v>300.0</v>
      </c>
      <c r="B1536" s="17">
        <v>7331300.0</v>
      </c>
    </row>
    <row r="1537">
      <c r="A1537" s="17">
        <v>300.0</v>
      </c>
      <c r="B1537" s="17">
        <v>7331400.0</v>
      </c>
    </row>
    <row r="1538">
      <c r="A1538" s="17">
        <v>300.0</v>
      </c>
      <c r="B1538" s="17">
        <v>7331500.0</v>
      </c>
    </row>
    <row r="1539">
      <c r="A1539" s="17">
        <v>300.0</v>
      </c>
      <c r="B1539" s="17">
        <v>7331700.0</v>
      </c>
    </row>
    <row r="1540">
      <c r="A1540" s="17">
        <v>300.0</v>
      </c>
      <c r="B1540" s="17">
        <v>7331800.0</v>
      </c>
    </row>
    <row r="1541">
      <c r="A1541" s="17">
        <v>300.0</v>
      </c>
      <c r="B1541" s="17">
        <v>7331900.0</v>
      </c>
    </row>
    <row r="1542">
      <c r="A1542" s="17">
        <v>300.0</v>
      </c>
      <c r="B1542" s="17">
        <v>7332000.0</v>
      </c>
    </row>
    <row r="1543">
      <c r="A1543" s="17">
        <v>300.0</v>
      </c>
      <c r="B1543" s="17">
        <v>7332100.0</v>
      </c>
    </row>
    <row r="1544">
      <c r="A1544" s="17">
        <v>300.0</v>
      </c>
      <c r="B1544" s="17">
        <v>7332200.0</v>
      </c>
    </row>
    <row r="1545">
      <c r="A1545" s="17">
        <v>300.0</v>
      </c>
      <c r="B1545" s="17">
        <v>7332300.0</v>
      </c>
    </row>
    <row r="1546">
      <c r="A1546" s="17">
        <v>300.0</v>
      </c>
      <c r="B1546" s="17">
        <v>7332400.0</v>
      </c>
    </row>
    <row r="1547">
      <c r="A1547" s="17">
        <v>300.0</v>
      </c>
      <c r="B1547" s="17">
        <v>7340000.0</v>
      </c>
    </row>
    <row r="1548">
      <c r="A1548" s="17">
        <v>300.0</v>
      </c>
      <c r="B1548" s="17">
        <v>7340100.0</v>
      </c>
    </row>
    <row r="1549">
      <c r="A1549" s="17">
        <v>300.0</v>
      </c>
      <c r="B1549" s="17">
        <v>7340200.0</v>
      </c>
    </row>
    <row r="1550">
      <c r="A1550" s="17">
        <v>300.0</v>
      </c>
      <c r="B1550" s="17">
        <v>7340300.0</v>
      </c>
    </row>
    <row r="1551">
      <c r="A1551" s="17">
        <v>300.0</v>
      </c>
      <c r="B1551" s="17">
        <v>7340400.0</v>
      </c>
    </row>
    <row r="1552">
      <c r="A1552" s="17">
        <v>300.0</v>
      </c>
      <c r="B1552" s="17">
        <v>7340500.0</v>
      </c>
    </row>
    <row r="1553">
      <c r="A1553" s="17">
        <v>300.0</v>
      </c>
      <c r="B1553" s="17">
        <v>7340600.0</v>
      </c>
    </row>
    <row r="1554">
      <c r="A1554" s="17">
        <v>300.0</v>
      </c>
      <c r="B1554" s="17">
        <v>7340700.0</v>
      </c>
    </row>
    <row r="1555">
      <c r="A1555" s="17">
        <v>300.0</v>
      </c>
      <c r="B1555" s="17">
        <v>7340800.0</v>
      </c>
    </row>
    <row r="1556">
      <c r="A1556" s="17">
        <v>300.0</v>
      </c>
      <c r="B1556" s="17">
        <v>7340900.0</v>
      </c>
    </row>
    <row r="1557">
      <c r="A1557" s="17">
        <v>300.0</v>
      </c>
      <c r="B1557" s="17">
        <v>7341000.0</v>
      </c>
    </row>
    <row r="1558">
      <c r="A1558" s="17">
        <v>300.0</v>
      </c>
      <c r="B1558" s="17">
        <v>7341100.0</v>
      </c>
    </row>
    <row r="1559">
      <c r="A1559" s="17">
        <v>300.0</v>
      </c>
      <c r="B1559" s="17">
        <v>7341200.0</v>
      </c>
    </row>
    <row r="1560">
      <c r="A1560" s="17">
        <v>300.0</v>
      </c>
      <c r="B1560" s="17">
        <v>7341300.0</v>
      </c>
    </row>
    <row r="1561">
      <c r="A1561" s="17">
        <v>300.0</v>
      </c>
      <c r="B1561" s="17">
        <v>7341400.0</v>
      </c>
    </row>
    <row r="1562">
      <c r="A1562" s="17">
        <v>300.0</v>
      </c>
      <c r="B1562" s="17">
        <v>7341500.0</v>
      </c>
    </row>
    <row r="1563">
      <c r="A1563" s="17">
        <v>300.0</v>
      </c>
      <c r="B1563" s="17">
        <v>7341700.0</v>
      </c>
    </row>
    <row r="1564">
      <c r="A1564" s="17">
        <v>300.0</v>
      </c>
      <c r="B1564" s="17">
        <v>7341800.0</v>
      </c>
    </row>
    <row r="1565">
      <c r="A1565" s="17">
        <v>300.0</v>
      </c>
      <c r="B1565" s="17">
        <v>7341900.0</v>
      </c>
    </row>
    <row r="1566">
      <c r="A1566" s="17">
        <v>300.0</v>
      </c>
      <c r="B1566" s="17">
        <v>7342000.0</v>
      </c>
    </row>
    <row r="1567">
      <c r="A1567" s="17">
        <v>300.0</v>
      </c>
      <c r="B1567" s="17">
        <v>7342100.0</v>
      </c>
    </row>
    <row r="1568">
      <c r="A1568" s="17">
        <v>300.0</v>
      </c>
      <c r="B1568" s="17">
        <v>7342200.0</v>
      </c>
    </row>
    <row r="1569">
      <c r="A1569" s="17">
        <v>300.0</v>
      </c>
      <c r="B1569" s="17">
        <v>7342300.0</v>
      </c>
    </row>
    <row r="1570">
      <c r="A1570" s="17">
        <v>300.0</v>
      </c>
      <c r="B1570" s="17">
        <v>7342400.0</v>
      </c>
    </row>
    <row r="1571">
      <c r="A1571" s="17">
        <v>300.0</v>
      </c>
      <c r="B1571" s="17">
        <v>7350000.0</v>
      </c>
    </row>
    <row r="1572">
      <c r="A1572" s="17">
        <v>300.0</v>
      </c>
      <c r="B1572" s="17">
        <v>7350100.0</v>
      </c>
    </row>
    <row r="1573">
      <c r="A1573" s="17">
        <v>300.0</v>
      </c>
      <c r="B1573" s="17">
        <v>7350200.0</v>
      </c>
    </row>
    <row r="1574">
      <c r="A1574" s="17">
        <v>300.0</v>
      </c>
      <c r="B1574" s="17">
        <v>7350300.0</v>
      </c>
    </row>
    <row r="1575">
      <c r="A1575" s="17">
        <v>300.0</v>
      </c>
      <c r="B1575" s="17">
        <v>7350400.0</v>
      </c>
    </row>
    <row r="1576">
      <c r="A1576" s="17">
        <v>300.0</v>
      </c>
      <c r="B1576" s="17">
        <v>7350500.0</v>
      </c>
    </row>
    <row r="1577">
      <c r="A1577" s="17">
        <v>300.0</v>
      </c>
      <c r="B1577" s="17">
        <v>7350600.0</v>
      </c>
    </row>
    <row r="1578">
      <c r="A1578" s="17">
        <v>300.0</v>
      </c>
      <c r="B1578" s="17">
        <v>7350700.0</v>
      </c>
    </row>
    <row r="1579">
      <c r="A1579" s="17">
        <v>300.0</v>
      </c>
      <c r="B1579" s="17">
        <v>7350800.0</v>
      </c>
    </row>
    <row r="1580">
      <c r="A1580" s="17">
        <v>300.0</v>
      </c>
      <c r="B1580" s="17">
        <v>7350900.0</v>
      </c>
    </row>
    <row r="1581">
      <c r="A1581" s="17">
        <v>300.0</v>
      </c>
      <c r="B1581" s="17">
        <v>7351000.0</v>
      </c>
    </row>
    <row r="1582">
      <c r="A1582" s="17">
        <v>300.0</v>
      </c>
      <c r="B1582" s="17">
        <v>7351100.0</v>
      </c>
    </row>
    <row r="1583">
      <c r="A1583" s="17">
        <v>300.0</v>
      </c>
      <c r="B1583" s="17">
        <v>7351200.0</v>
      </c>
    </row>
    <row r="1584">
      <c r="A1584" s="17">
        <v>300.0</v>
      </c>
      <c r="B1584" s="17">
        <v>7351300.0</v>
      </c>
    </row>
    <row r="1585">
      <c r="A1585" s="17">
        <v>300.0</v>
      </c>
      <c r="B1585" s="17">
        <v>7351400.0</v>
      </c>
    </row>
    <row r="1586">
      <c r="A1586" s="17">
        <v>300.0</v>
      </c>
      <c r="B1586" s="17">
        <v>7351500.0</v>
      </c>
    </row>
    <row r="1587">
      <c r="A1587" s="17">
        <v>300.0</v>
      </c>
      <c r="B1587" s="17">
        <v>7351700.0</v>
      </c>
    </row>
    <row r="1588">
      <c r="A1588" s="17">
        <v>300.0</v>
      </c>
      <c r="B1588" s="17">
        <v>7351800.0</v>
      </c>
    </row>
    <row r="1589">
      <c r="A1589" s="17">
        <v>300.0</v>
      </c>
      <c r="B1589" s="17">
        <v>7351900.0</v>
      </c>
    </row>
    <row r="1590">
      <c r="A1590" s="17">
        <v>300.0</v>
      </c>
      <c r="B1590" s="17">
        <v>7352000.0</v>
      </c>
    </row>
    <row r="1591">
      <c r="A1591" s="17">
        <v>300.0</v>
      </c>
      <c r="B1591" s="17">
        <v>7352100.0</v>
      </c>
    </row>
    <row r="1592">
      <c r="A1592" s="17">
        <v>300.0</v>
      </c>
      <c r="B1592" s="17">
        <v>7352200.0</v>
      </c>
    </row>
    <row r="1593">
      <c r="A1593" s="17">
        <v>300.0</v>
      </c>
      <c r="B1593" s="17">
        <v>7352300.0</v>
      </c>
    </row>
    <row r="1594">
      <c r="A1594" s="17">
        <v>300.0</v>
      </c>
      <c r="B1594" s="17">
        <v>7352400.0</v>
      </c>
    </row>
    <row r="1595">
      <c r="A1595" s="17">
        <v>310.0</v>
      </c>
      <c r="B1595" s="17">
        <v>7000000.0</v>
      </c>
    </row>
    <row r="1596">
      <c r="A1596" s="17">
        <v>310.0</v>
      </c>
      <c r="B1596" s="17">
        <v>7000001.0</v>
      </c>
    </row>
    <row r="1597">
      <c r="A1597" s="17">
        <v>310.0</v>
      </c>
      <c r="B1597" s="17">
        <v>7000002.0</v>
      </c>
    </row>
    <row r="1598">
      <c r="A1598" s="17">
        <v>310.0</v>
      </c>
      <c r="B1598" s="17">
        <v>7000100.0</v>
      </c>
    </row>
    <row r="1599">
      <c r="A1599" s="17">
        <v>310.0</v>
      </c>
      <c r="B1599" s="17">
        <v>7000101.0</v>
      </c>
    </row>
    <row r="1600">
      <c r="A1600" s="17">
        <v>310.0</v>
      </c>
      <c r="B1600" s="17">
        <v>7000102.0</v>
      </c>
    </row>
    <row r="1601">
      <c r="A1601" s="17">
        <v>310.0</v>
      </c>
      <c r="B1601" s="17">
        <v>7000200.0</v>
      </c>
    </row>
    <row r="1602">
      <c r="A1602" s="17">
        <v>310.0</v>
      </c>
      <c r="B1602" s="17">
        <v>7000201.0</v>
      </c>
    </row>
    <row r="1603">
      <c r="A1603" s="17">
        <v>310.0</v>
      </c>
      <c r="B1603" s="17">
        <v>7000202.0</v>
      </c>
    </row>
    <row r="1604">
      <c r="A1604" s="17">
        <v>310.0</v>
      </c>
      <c r="B1604" s="17">
        <v>7000300.0</v>
      </c>
    </row>
    <row r="1605">
      <c r="A1605" s="17">
        <v>310.0</v>
      </c>
      <c r="B1605" s="17">
        <v>7000301.0</v>
      </c>
    </row>
    <row r="1606">
      <c r="A1606" s="17">
        <v>310.0</v>
      </c>
      <c r="B1606" s="17">
        <v>7000302.0</v>
      </c>
    </row>
    <row r="1607">
      <c r="A1607" s="17">
        <v>310.0</v>
      </c>
      <c r="B1607" s="17">
        <v>7000400.0</v>
      </c>
    </row>
    <row r="1608">
      <c r="A1608" s="17">
        <v>310.0</v>
      </c>
      <c r="B1608" s="17">
        <v>7000401.0</v>
      </c>
    </row>
    <row r="1609">
      <c r="A1609" s="17">
        <v>310.0</v>
      </c>
      <c r="B1609" s="17">
        <v>7000402.0</v>
      </c>
    </row>
    <row r="1610">
      <c r="A1610" s="17">
        <v>310.0</v>
      </c>
      <c r="B1610" s="17">
        <v>7000500.0</v>
      </c>
    </row>
    <row r="1611">
      <c r="A1611" s="17">
        <v>310.0</v>
      </c>
      <c r="B1611" s="17">
        <v>7000501.0</v>
      </c>
    </row>
    <row r="1612">
      <c r="A1612" s="17">
        <v>310.0</v>
      </c>
      <c r="B1612" s="17">
        <v>7000502.0</v>
      </c>
    </row>
    <row r="1613">
      <c r="A1613" s="17">
        <v>310.0</v>
      </c>
      <c r="B1613" s="17">
        <v>7000600.0</v>
      </c>
    </row>
    <row r="1614">
      <c r="A1614" s="17">
        <v>310.0</v>
      </c>
      <c r="B1614" s="17">
        <v>7000601.0</v>
      </c>
    </row>
    <row r="1615">
      <c r="A1615" s="17">
        <v>310.0</v>
      </c>
      <c r="B1615" s="17">
        <v>7000602.0</v>
      </c>
    </row>
    <row r="1616">
      <c r="A1616" s="17">
        <v>310.0</v>
      </c>
      <c r="B1616" s="17">
        <v>7000700.0</v>
      </c>
    </row>
    <row r="1617">
      <c r="A1617" s="17">
        <v>310.0</v>
      </c>
      <c r="B1617" s="17">
        <v>7000701.0</v>
      </c>
    </row>
    <row r="1618">
      <c r="A1618" s="17">
        <v>310.0</v>
      </c>
      <c r="B1618" s="17">
        <v>7000702.0</v>
      </c>
    </row>
    <row r="1619">
      <c r="A1619" s="17">
        <v>310.0</v>
      </c>
      <c r="B1619" s="17">
        <v>7000800.0</v>
      </c>
    </row>
    <row r="1620">
      <c r="A1620" s="17">
        <v>310.0</v>
      </c>
      <c r="B1620" s="17">
        <v>7000801.0</v>
      </c>
    </row>
    <row r="1621">
      <c r="A1621" s="17">
        <v>310.0</v>
      </c>
      <c r="B1621" s="17">
        <v>7000802.0</v>
      </c>
    </row>
    <row r="1622">
      <c r="A1622" s="17">
        <v>310.0</v>
      </c>
      <c r="B1622" s="17">
        <v>7000900.0</v>
      </c>
    </row>
    <row r="1623">
      <c r="A1623" s="17">
        <v>310.0</v>
      </c>
      <c r="B1623" s="17">
        <v>7000901.0</v>
      </c>
    </row>
    <row r="1624">
      <c r="A1624" s="17">
        <v>310.0</v>
      </c>
      <c r="B1624" s="17">
        <v>7000902.0</v>
      </c>
    </row>
    <row r="1625">
      <c r="A1625" s="17">
        <v>310.0</v>
      </c>
      <c r="B1625" s="17">
        <v>7001000.0</v>
      </c>
    </row>
    <row r="1626">
      <c r="A1626" s="17">
        <v>310.0</v>
      </c>
      <c r="B1626" s="17">
        <v>7001001.0</v>
      </c>
    </row>
    <row r="1627">
      <c r="A1627" s="17">
        <v>310.0</v>
      </c>
      <c r="B1627" s="17">
        <v>7001002.0</v>
      </c>
    </row>
    <row r="1628">
      <c r="A1628" s="17">
        <v>310.0</v>
      </c>
      <c r="B1628" s="17">
        <v>7001400.0</v>
      </c>
    </row>
    <row r="1629">
      <c r="A1629" s="17">
        <v>310.0</v>
      </c>
      <c r="B1629" s="17">
        <v>7001401.0</v>
      </c>
    </row>
    <row r="1630">
      <c r="A1630" s="17">
        <v>310.0</v>
      </c>
      <c r="B1630" s="17">
        <v>7001402.0</v>
      </c>
    </row>
    <row r="1631">
      <c r="A1631" s="17">
        <v>310.0</v>
      </c>
      <c r="B1631" s="17">
        <v>7001500.0</v>
      </c>
    </row>
    <row r="1632">
      <c r="A1632" s="17">
        <v>310.0</v>
      </c>
      <c r="B1632" s="17">
        <v>7001501.0</v>
      </c>
    </row>
    <row r="1633">
      <c r="A1633" s="17">
        <v>310.0</v>
      </c>
      <c r="B1633" s="17">
        <v>7001502.0</v>
      </c>
    </row>
    <row r="1634">
      <c r="A1634" s="17">
        <v>310.0</v>
      </c>
      <c r="B1634" s="17">
        <v>7001600.0</v>
      </c>
    </row>
    <row r="1635">
      <c r="A1635" s="17">
        <v>310.0</v>
      </c>
      <c r="B1635" s="17">
        <v>7001601.0</v>
      </c>
    </row>
    <row r="1636">
      <c r="A1636" s="17">
        <v>310.0</v>
      </c>
      <c r="B1636" s="17">
        <v>7001602.0</v>
      </c>
    </row>
    <row r="1637">
      <c r="A1637" s="17">
        <v>310.0</v>
      </c>
      <c r="B1637" s="17">
        <v>7001700.0</v>
      </c>
    </row>
    <row r="1638">
      <c r="A1638" s="17">
        <v>310.0</v>
      </c>
      <c r="B1638" s="17">
        <v>7001701.0</v>
      </c>
    </row>
    <row r="1639">
      <c r="A1639" s="17">
        <v>310.0</v>
      </c>
      <c r="B1639" s="17">
        <v>7001702.0</v>
      </c>
    </row>
    <row r="1640">
      <c r="A1640" s="17">
        <v>310.0</v>
      </c>
      <c r="B1640" s="17">
        <v>7001800.0</v>
      </c>
    </row>
    <row r="1641">
      <c r="A1641" s="17">
        <v>310.0</v>
      </c>
      <c r="B1641" s="17">
        <v>7001801.0</v>
      </c>
    </row>
    <row r="1642">
      <c r="A1642" s="17">
        <v>310.0</v>
      </c>
      <c r="B1642" s="17">
        <v>7001802.0</v>
      </c>
    </row>
    <row r="1643">
      <c r="A1643" s="17">
        <v>310.0</v>
      </c>
      <c r="B1643" s="17">
        <v>7002600.0</v>
      </c>
    </row>
    <row r="1644">
      <c r="A1644" s="17">
        <v>310.0</v>
      </c>
      <c r="B1644" s="17">
        <v>7002700.0</v>
      </c>
    </row>
    <row r="1645">
      <c r="A1645" s="17">
        <v>310.0</v>
      </c>
      <c r="B1645" s="17">
        <v>7002800.0</v>
      </c>
    </row>
    <row r="1646">
      <c r="A1646" s="17">
        <v>310.0</v>
      </c>
      <c r="B1646" s="17">
        <v>7002900.0</v>
      </c>
    </row>
    <row r="1647">
      <c r="A1647" s="17">
        <v>310.0</v>
      </c>
      <c r="B1647" s="17">
        <v>7003000.0</v>
      </c>
    </row>
    <row r="1648">
      <c r="A1648" s="17">
        <v>310.0</v>
      </c>
      <c r="B1648" s="17">
        <v>7003100.0</v>
      </c>
    </row>
    <row r="1649">
      <c r="A1649" s="17">
        <v>310.0</v>
      </c>
      <c r="B1649" s="17">
        <v>7003200.0</v>
      </c>
    </row>
    <row r="1650">
      <c r="A1650" s="17">
        <v>310.0</v>
      </c>
      <c r="B1650" s="17">
        <v>7003300.0</v>
      </c>
    </row>
    <row r="1651">
      <c r="A1651" s="17">
        <v>310.0</v>
      </c>
      <c r="B1651" s="17">
        <v>7003400.0</v>
      </c>
    </row>
    <row r="1652">
      <c r="A1652" s="17">
        <v>310.0</v>
      </c>
      <c r="B1652" s="17">
        <v>7003500.0</v>
      </c>
    </row>
    <row r="1653">
      <c r="A1653" s="17">
        <v>310.0</v>
      </c>
      <c r="B1653" s="17">
        <v>7003600.0</v>
      </c>
    </row>
    <row r="1654">
      <c r="A1654" s="17">
        <v>310.0</v>
      </c>
      <c r="B1654" s="17">
        <v>7005600.0</v>
      </c>
    </row>
    <row r="1655">
      <c r="A1655" s="17">
        <v>310.0</v>
      </c>
      <c r="B1655" s="17">
        <v>7006000.0</v>
      </c>
    </row>
    <row r="1656">
      <c r="A1656" s="17">
        <v>310.0</v>
      </c>
      <c r="B1656" s="17">
        <v>7006100.0</v>
      </c>
    </row>
    <row r="1657">
      <c r="A1657" s="17">
        <v>310.0</v>
      </c>
      <c r="B1657" s="17">
        <v>7010200.0</v>
      </c>
    </row>
    <row r="1658">
      <c r="A1658" s="17">
        <v>310.0</v>
      </c>
      <c r="B1658" s="17">
        <v>7010500.0</v>
      </c>
    </row>
    <row r="1659">
      <c r="A1659" s="17">
        <v>310.0</v>
      </c>
      <c r="B1659" s="17">
        <v>7010700.0</v>
      </c>
    </row>
    <row r="1660">
      <c r="A1660" s="17">
        <v>310.0</v>
      </c>
      <c r="B1660" s="17">
        <v>7010900.0</v>
      </c>
    </row>
    <row r="1661">
      <c r="A1661" s="17">
        <v>310.0</v>
      </c>
      <c r="B1661" s="17">
        <v>7011000.0</v>
      </c>
    </row>
    <row r="1662">
      <c r="A1662" s="17">
        <v>310.0</v>
      </c>
      <c r="B1662" s="17">
        <v>7011200.0</v>
      </c>
    </row>
    <row r="1663">
      <c r="A1663" s="17">
        <v>310.0</v>
      </c>
      <c r="B1663" s="17">
        <v>7011600.0</v>
      </c>
    </row>
    <row r="1664">
      <c r="A1664" s="17">
        <v>310.0</v>
      </c>
      <c r="B1664" s="17">
        <v>7011700.0</v>
      </c>
    </row>
    <row r="1665">
      <c r="A1665" s="17">
        <v>310.0</v>
      </c>
      <c r="B1665" s="17">
        <v>7012000.0</v>
      </c>
    </row>
    <row r="1666">
      <c r="A1666" s="17">
        <v>310.0</v>
      </c>
      <c r="B1666" s="17">
        <v>7012200.0</v>
      </c>
    </row>
    <row r="1667">
      <c r="A1667" s="17">
        <v>310.0</v>
      </c>
      <c r="B1667" s="17">
        <v>7012300.0</v>
      </c>
    </row>
    <row r="1668">
      <c r="A1668" s="17">
        <v>310.0</v>
      </c>
      <c r="B1668" s="17">
        <v>7020000.0</v>
      </c>
    </row>
    <row r="1669">
      <c r="A1669" s="17">
        <v>310.0</v>
      </c>
      <c r="B1669" s="17">
        <v>7030000.0</v>
      </c>
    </row>
    <row r="1670">
      <c r="A1670" s="17">
        <v>310.0</v>
      </c>
      <c r="B1670" s="17">
        <v>7030200.0</v>
      </c>
    </row>
    <row r="1671">
      <c r="A1671" s="17">
        <v>310.0</v>
      </c>
      <c r="B1671" s="17">
        <v>7030600.0</v>
      </c>
    </row>
    <row r="1672">
      <c r="A1672" s="17">
        <v>310.0</v>
      </c>
      <c r="B1672" s="17">
        <v>7030700.0</v>
      </c>
    </row>
    <row r="1673">
      <c r="A1673" s="17">
        <v>310.0</v>
      </c>
      <c r="B1673" s="17">
        <v>7030800.0</v>
      </c>
    </row>
    <row r="1674">
      <c r="A1674" s="17">
        <v>310.0</v>
      </c>
      <c r="B1674" s="17">
        <v>7030900.0</v>
      </c>
    </row>
    <row r="1675">
      <c r="A1675" s="17">
        <v>310.0</v>
      </c>
      <c r="B1675" s="17">
        <v>7031200.0</v>
      </c>
    </row>
    <row r="1676">
      <c r="A1676" s="17">
        <v>310.0</v>
      </c>
      <c r="B1676" s="17">
        <v>7031300.0</v>
      </c>
    </row>
    <row r="1677">
      <c r="A1677" s="17">
        <v>310.0</v>
      </c>
      <c r="B1677" s="17">
        <v>7031800.0</v>
      </c>
    </row>
    <row r="1678">
      <c r="A1678" s="17">
        <v>310.0</v>
      </c>
      <c r="B1678" s="17">
        <v>7031900.0</v>
      </c>
    </row>
    <row r="1679">
      <c r="A1679" s="17">
        <v>310.0</v>
      </c>
      <c r="B1679" s="17">
        <v>7032200.0</v>
      </c>
    </row>
    <row r="1680">
      <c r="A1680" s="17">
        <v>310.0</v>
      </c>
      <c r="B1680" s="17">
        <v>7032400.0</v>
      </c>
    </row>
    <row r="1681">
      <c r="A1681" s="17">
        <v>310.0</v>
      </c>
      <c r="B1681" s="17">
        <v>7032700.0</v>
      </c>
    </row>
    <row r="1682">
      <c r="A1682" s="17">
        <v>310.0</v>
      </c>
      <c r="B1682" s="17">
        <v>7032800.0</v>
      </c>
    </row>
    <row r="1683">
      <c r="A1683" s="17">
        <v>310.0</v>
      </c>
      <c r="B1683" s="17">
        <v>7032900.0</v>
      </c>
    </row>
    <row r="1684">
      <c r="A1684" s="17">
        <v>310.0</v>
      </c>
      <c r="B1684" s="17">
        <v>7033200.0</v>
      </c>
    </row>
    <row r="1685">
      <c r="A1685" s="17">
        <v>310.0</v>
      </c>
      <c r="B1685" s="17">
        <v>7033400.0</v>
      </c>
    </row>
    <row r="1686">
      <c r="A1686" s="17">
        <v>310.0</v>
      </c>
      <c r="B1686" s="17">
        <v>7034100.0</v>
      </c>
    </row>
    <row r="1687">
      <c r="A1687" s="17">
        <v>310.0</v>
      </c>
      <c r="B1687" s="17">
        <v>7034400.0</v>
      </c>
    </row>
    <row r="1688">
      <c r="A1688" s="17">
        <v>310.0</v>
      </c>
      <c r="B1688" s="17">
        <v>7034500.0</v>
      </c>
    </row>
    <row r="1689">
      <c r="A1689" s="17">
        <v>310.0</v>
      </c>
      <c r="B1689" s="17">
        <v>7034600.0</v>
      </c>
    </row>
    <row r="1690">
      <c r="A1690" s="17">
        <v>310.0</v>
      </c>
      <c r="B1690" s="17">
        <v>7034700.0</v>
      </c>
    </row>
    <row r="1691">
      <c r="A1691" s="17">
        <v>310.0</v>
      </c>
      <c r="B1691" s="17">
        <v>7035100.0</v>
      </c>
    </row>
    <row r="1692">
      <c r="A1692" s="17">
        <v>310.0</v>
      </c>
      <c r="B1692" s="17">
        <v>7036100.0</v>
      </c>
    </row>
    <row r="1693">
      <c r="A1693" s="17">
        <v>310.0</v>
      </c>
      <c r="B1693" s="17">
        <v>7040000.0</v>
      </c>
    </row>
    <row r="1694">
      <c r="A1694" s="17">
        <v>310.0</v>
      </c>
      <c r="B1694" s="17">
        <v>7040100.0</v>
      </c>
    </row>
    <row r="1695">
      <c r="A1695" s="17">
        <v>310.0</v>
      </c>
      <c r="B1695" s="17">
        <v>7040200.0</v>
      </c>
    </row>
    <row r="1696">
      <c r="A1696" s="17">
        <v>310.0</v>
      </c>
      <c r="B1696" s="17">
        <v>7040300.0</v>
      </c>
    </row>
    <row r="1697">
      <c r="A1697" s="17">
        <v>310.0</v>
      </c>
      <c r="B1697" s="17">
        <v>7040400.0</v>
      </c>
    </row>
    <row r="1698">
      <c r="A1698" s="17">
        <v>310.0</v>
      </c>
      <c r="B1698" s="17">
        <v>7040500.0</v>
      </c>
    </row>
    <row r="1699">
      <c r="A1699" s="17">
        <v>310.0</v>
      </c>
      <c r="B1699" s="17">
        <v>7043000.0</v>
      </c>
    </row>
    <row r="1700">
      <c r="A1700" s="17">
        <v>310.0</v>
      </c>
      <c r="B1700" s="17">
        <v>7043100.0</v>
      </c>
    </row>
    <row r="1701">
      <c r="A1701" s="17">
        <v>310.0</v>
      </c>
      <c r="B1701" s="17">
        <v>7043200.0</v>
      </c>
    </row>
    <row r="1702">
      <c r="A1702" s="17">
        <v>310.0</v>
      </c>
      <c r="B1702" s="17">
        <v>7043300.0</v>
      </c>
    </row>
    <row r="1703">
      <c r="A1703" s="17">
        <v>310.0</v>
      </c>
      <c r="B1703" s="17">
        <v>7043400.0</v>
      </c>
    </row>
    <row r="1704">
      <c r="A1704" s="17">
        <v>310.0</v>
      </c>
      <c r="B1704" s="17">
        <v>7043500.0</v>
      </c>
    </row>
    <row r="1705">
      <c r="A1705" s="17">
        <v>310.0</v>
      </c>
      <c r="B1705" s="17">
        <v>7043600.0</v>
      </c>
    </row>
    <row r="1706">
      <c r="A1706" s="17">
        <v>310.0</v>
      </c>
      <c r="B1706" s="17">
        <v>7043700.0</v>
      </c>
    </row>
    <row r="1707">
      <c r="A1707" s="17">
        <v>310.0</v>
      </c>
      <c r="B1707" s="17">
        <v>7043800.0</v>
      </c>
    </row>
    <row r="1708">
      <c r="A1708" s="17">
        <v>310.0</v>
      </c>
      <c r="B1708" s="17">
        <v>7044000.0</v>
      </c>
    </row>
    <row r="1709">
      <c r="A1709" s="17">
        <v>310.0</v>
      </c>
      <c r="B1709" s="17">
        <v>7044100.0</v>
      </c>
    </row>
    <row r="1710">
      <c r="A1710" s="17">
        <v>310.0</v>
      </c>
      <c r="B1710" s="17">
        <v>7044200.0</v>
      </c>
    </row>
    <row r="1711">
      <c r="A1711" s="17">
        <v>310.0</v>
      </c>
      <c r="B1711" s="17">
        <v>7044300.0</v>
      </c>
    </row>
    <row r="1712">
      <c r="A1712" s="17">
        <v>310.0</v>
      </c>
      <c r="B1712" s="17">
        <v>7044400.0</v>
      </c>
    </row>
    <row r="1713">
      <c r="A1713" s="17">
        <v>310.0</v>
      </c>
      <c r="B1713" s="17">
        <v>7044500.0</v>
      </c>
    </row>
    <row r="1714">
      <c r="A1714" s="17">
        <v>310.0</v>
      </c>
      <c r="B1714" s="17">
        <v>7044600.0</v>
      </c>
    </row>
    <row r="1715">
      <c r="A1715" s="17">
        <v>310.0</v>
      </c>
      <c r="B1715" s="17">
        <v>7050000.0</v>
      </c>
    </row>
    <row r="1716">
      <c r="A1716" s="17">
        <v>310.0</v>
      </c>
      <c r="B1716" s="17">
        <v>7050100.0</v>
      </c>
    </row>
    <row r="1717">
      <c r="A1717" s="17">
        <v>310.0</v>
      </c>
      <c r="B1717" s="17">
        <v>7060000.0</v>
      </c>
    </row>
    <row r="1718">
      <c r="A1718" s="17">
        <v>310.0</v>
      </c>
      <c r="B1718" s="17">
        <v>7060100.0</v>
      </c>
    </row>
    <row r="1719">
      <c r="A1719" s="17">
        <v>310.0</v>
      </c>
      <c r="B1719" s="17">
        <v>7060200.0</v>
      </c>
    </row>
    <row r="1720">
      <c r="A1720" s="17">
        <v>310.0</v>
      </c>
      <c r="B1720" s="17">
        <v>7070000.0</v>
      </c>
    </row>
    <row r="1721">
      <c r="A1721" s="17">
        <v>310.0</v>
      </c>
      <c r="B1721" s="17">
        <v>7080000.0</v>
      </c>
    </row>
    <row r="1722">
      <c r="A1722" s="17">
        <v>310.0</v>
      </c>
      <c r="B1722" s="17">
        <v>7080100.0</v>
      </c>
    </row>
    <row r="1723">
      <c r="A1723" s="17">
        <v>310.0</v>
      </c>
      <c r="B1723" s="17">
        <v>7080200.0</v>
      </c>
    </row>
    <row r="1724">
      <c r="A1724" s="17">
        <v>310.0</v>
      </c>
      <c r="B1724" s="17">
        <v>7080300.0</v>
      </c>
    </row>
    <row r="1725">
      <c r="A1725" s="17">
        <v>310.0</v>
      </c>
      <c r="B1725" s="17">
        <v>7080400.0</v>
      </c>
    </row>
    <row r="1726">
      <c r="A1726" s="17">
        <v>310.0</v>
      </c>
      <c r="B1726" s="17">
        <v>7080500.0</v>
      </c>
    </row>
    <row r="1727">
      <c r="A1727" s="17">
        <v>310.0</v>
      </c>
      <c r="B1727" s="17">
        <v>7080600.0</v>
      </c>
    </row>
    <row r="1728">
      <c r="A1728" s="17">
        <v>310.0</v>
      </c>
      <c r="B1728" s="17">
        <v>7080700.0</v>
      </c>
    </row>
    <row r="1729">
      <c r="A1729" s="17">
        <v>310.0</v>
      </c>
      <c r="B1729" s="17">
        <v>7080800.0</v>
      </c>
    </row>
    <row r="1730">
      <c r="A1730" s="17">
        <v>310.0</v>
      </c>
      <c r="B1730" s="17">
        <v>7080900.0</v>
      </c>
    </row>
    <row r="1731">
      <c r="A1731" s="17">
        <v>310.0</v>
      </c>
      <c r="B1731" s="17">
        <v>7081000.0</v>
      </c>
    </row>
    <row r="1732">
      <c r="A1732" s="17">
        <v>310.0</v>
      </c>
      <c r="B1732" s="17">
        <v>7081100.0</v>
      </c>
    </row>
    <row r="1733">
      <c r="A1733" s="17">
        <v>310.0</v>
      </c>
      <c r="B1733" s="17">
        <v>7081200.0</v>
      </c>
    </row>
    <row r="1734">
      <c r="A1734" s="17">
        <v>310.0</v>
      </c>
      <c r="B1734" s="17">
        <v>7081300.0</v>
      </c>
    </row>
    <row r="1735">
      <c r="A1735" s="17">
        <v>310.0</v>
      </c>
      <c r="B1735" s="17">
        <v>7081400.0</v>
      </c>
    </row>
    <row r="1736">
      <c r="A1736" s="17">
        <v>310.0</v>
      </c>
      <c r="B1736" s="17">
        <v>7081500.0</v>
      </c>
    </row>
    <row r="1737">
      <c r="A1737" s="17">
        <v>310.0</v>
      </c>
      <c r="B1737" s="17">
        <v>7081700.0</v>
      </c>
    </row>
    <row r="1738">
      <c r="A1738" s="17">
        <v>310.0</v>
      </c>
      <c r="B1738" s="17">
        <v>7081800.0</v>
      </c>
    </row>
    <row r="1739">
      <c r="A1739" s="17">
        <v>310.0</v>
      </c>
      <c r="B1739" s="17">
        <v>7081900.0</v>
      </c>
    </row>
    <row r="1740">
      <c r="A1740" s="17">
        <v>310.0</v>
      </c>
      <c r="B1740" s="17">
        <v>7082000.0</v>
      </c>
    </row>
    <row r="1741">
      <c r="A1741" s="17">
        <v>310.0</v>
      </c>
      <c r="B1741" s="17">
        <v>7082100.0</v>
      </c>
    </row>
    <row r="1742">
      <c r="A1742" s="17">
        <v>310.0</v>
      </c>
      <c r="B1742" s="17">
        <v>7082200.0</v>
      </c>
    </row>
    <row r="1743">
      <c r="A1743" s="17">
        <v>310.0</v>
      </c>
      <c r="B1743" s="17">
        <v>7082300.0</v>
      </c>
    </row>
    <row r="1744">
      <c r="A1744" s="17">
        <v>310.0</v>
      </c>
      <c r="B1744" s="17">
        <v>7082400.0</v>
      </c>
    </row>
    <row r="1745">
      <c r="A1745" s="17">
        <v>310.0</v>
      </c>
      <c r="B1745" s="17">
        <v>7082500.0</v>
      </c>
    </row>
    <row r="1746">
      <c r="A1746" s="17">
        <v>310.0</v>
      </c>
      <c r="B1746" s="17">
        <v>7082600.0</v>
      </c>
    </row>
    <row r="1747">
      <c r="A1747" s="17">
        <v>310.0</v>
      </c>
      <c r="B1747" s="17">
        <v>7082700.0</v>
      </c>
    </row>
    <row r="1748">
      <c r="A1748" s="17">
        <v>310.0</v>
      </c>
      <c r="B1748" s="17">
        <v>7082800.0</v>
      </c>
    </row>
    <row r="1749">
      <c r="A1749" s="17">
        <v>310.0</v>
      </c>
      <c r="B1749" s="17">
        <v>7082900.0</v>
      </c>
    </row>
    <row r="1750">
      <c r="A1750" s="17">
        <v>310.0</v>
      </c>
      <c r="B1750" s="17">
        <v>7090000.0</v>
      </c>
    </row>
    <row r="1751">
      <c r="A1751" s="17">
        <v>310.0</v>
      </c>
      <c r="B1751" s="17">
        <v>7090100.0</v>
      </c>
    </row>
    <row r="1752">
      <c r="A1752" s="17">
        <v>310.0</v>
      </c>
      <c r="B1752" s="17">
        <v>7090300.0</v>
      </c>
    </row>
    <row r="1753">
      <c r="A1753" s="17">
        <v>310.0</v>
      </c>
      <c r="B1753" s="17">
        <v>7100100.0</v>
      </c>
    </row>
    <row r="1754">
      <c r="A1754" s="17">
        <v>310.0</v>
      </c>
      <c r="B1754" s="17">
        <v>7110000.0</v>
      </c>
    </row>
    <row r="1755">
      <c r="A1755" s="17">
        <v>310.0</v>
      </c>
      <c r="B1755" s="17">
        <v>7120000.0</v>
      </c>
    </row>
    <row r="1756">
      <c r="A1756" s="17">
        <v>310.0</v>
      </c>
      <c r="B1756" s="17">
        <v>7120100.0</v>
      </c>
    </row>
    <row r="1757">
      <c r="A1757" s="17">
        <v>310.0</v>
      </c>
      <c r="B1757" s="17">
        <v>7120200.0</v>
      </c>
    </row>
    <row r="1758">
      <c r="A1758" s="17">
        <v>310.0</v>
      </c>
      <c r="B1758" s="17">
        <v>7120300.0</v>
      </c>
    </row>
    <row r="1759">
      <c r="A1759" s="17">
        <v>310.0</v>
      </c>
      <c r="B1759" s="17">
        <v>7120400.0</v>
      </c>
    </row>
    <row r="1760">
      <c r="A1760" s="17">
        <v>310.0</v>
      </c>
      <c r="B1760" s="17">
        <v>7120500.0</v>
      </c>
    </row>
    <row r="1761">
      <c r="A1761" s="17">
        <v>310.0</v>
      </c>
      <c r="B1761" s="17">
        <v>7120600.0</v>
      </c>
    </row>
    <row r="1762">
      <c r="A1762" s="17">
        <v>310.0</v>
      </c>
      <c r="B1762" s="17">
        <v>7120900.0</v>
      </c>
    </row>
    <row r="1763">
      <c r="A1763" s="17">
        <v>310.0</v>
      </c>
      <c r="B1763" s="17">
        <v>7121000.0</v>
      </c>
    </row>
    <row r="1764">
      <c r="A1764" s="17">
        <v>310.0</v>
      </c>
      <c r="B1764" s="17">
        <v>7121100.0</v>
      </c>
    </row>
    <row r="1765">
      <c r="A1765" s="17">
        <v>310.0</v>
      </c>
      <c r="B1765" s="17">
        <v>7121200.0</v>
      </c>
    </row>
    <row r="1766">
      <c r="A1766" s="17">
        <v>310.0</v>
      </c>
      <c r="B1766" s="17">
        <v>7121300.0</v>
      </c>
    </row>
    <row r="1767">
      <c r="A1767" s="17">
        <v>310.0</v>
      </c>
      <c r="B1767" s="17">
        <v>7121400.0</v>
      </c>
    </row>
    <row r="1768">
      <c r="A1768" s="17">
        <v>310.0</v>
      </c>
      <c r="B1768" s="17">
        <v>7121500.0</v>
      </c>
    </row>
    <row r="1769">
      <c r="A1769" s="17">
        <v>310.0</v>
      </c>
      <c r="B1769" s="17">
        <v>7121600.0</v>
      </c>
    </row>
    <row r="1770">
      <c r="A1770" s="17">
        <v>310.0</v>
      </c>
      <c r="B1770" s="17">
        <v>7121700.0</v>
      </c>
    </row>
    <row r="1771">
      <c r="A1771" s="17">
        <v>310.0</v>
      </c>
      <c r="B1771" s="17">
        <v>7121800.0</v>
      </c>
    </row>
    <row r="1772">
      <c r="A1772" s="17">
        <v>310.0</v>
      </c>
      <c r="B1772" s="17">
        <v>7121900.0</v>
      </c>
    </row>
    <row r="1773">
      <c r="A1773" s="17">
        <v>310.0</v>
      </c>
      <c r="B1773" s="17">
        <v>7122000.0</v>
      </c>
    </row>
    <row r="1774">
      <c r="A1774" s="17">
        <v>310.0</v>
      </c>
      <c r="B1774" s="17">
        <v>7122100.0</v>
      </c>
    </row>
    <row r="1775">
      <c r="A1775" s="17">
        <v>310.0</v>
      </c>
      <c r="B1775" s="17">
        <v>7122200.0</v>
      </c>
    </row>
    <row r="1776">
      <c r="A1776" s="17">
        <v>310.0</v>
      </c>
      <c r="B1776" s="17">
        <v>7122300.0</v>
      </c>
    </row>
    <row r="1777">
      <c r="A1777" s="17">
        <v>310.0</v>
      </c>
      <c r="B1777" s="17">
        <v>7122400.0</v>
      </c>
    </row>
    <row r="1778">
      <c r="A1778" s="17">
        <v>310.0</v>
      </c>
      <c r="B1778" s="17">
        <v>7122500.0</v>
      </c>
    </row>
    <row r="1779">
      <c r="A1779" s="17">
        <v>310.0</v>
      </c>
      <c r="B1779" s="17">
        <v>7122600.0</v>
      </c>
    </row>
    <row r="1780">
      <c r="A1780" s="17">
        <v>310.0</v>
      </c>
      <c r="B1780" s="17">
        <v>7122700.0</v>
      </c>
    </row>
    <row r="1781">
      <c r="A1781" s="17">
        <v>310.0</v>
      </c>
      <c r="B1781" s="17">
        <v>7122800.0</v>
      </c>
    </row>
    <row r="1782">
      <c r="A1782" s="17">
        <v>310.0</v>
      </c>
      <c r="B1782" s="17">
        <v>7122900.0</v>
      </c>
    </row>
    <row r="1783">
      <c r="A1783" s="17">
        <v>310.0</v>
      </c>
      <c r="B1783" s="17">
        <v>7123000.0</v>
      </c>
    </row>
    <row r="1784">
      <c r="A1784" s="17">
        <v>310.0</v>
      </c>
      <c r="B1784" s="17">
        <v>7123100.0</v>
      </c>
    </row>
    <row r="1785">
      <c r="A1785" s="17">
        <v>310.0</v>
      </c>
      <c r="B1785" s="17">
        <v>7123200.0</v>
      </c>
    </row>
    <row r="1786">
      <c r="A1786" s="17">
        <v>310.0</v>
      </c>
      <c r="B1786" s="17">
        <v>7123300.0</v>
      </c>
    </row>
    <row r="1787">
      <c r="A1787" s="17">
        <v>310.0</v>
      </c>
      <c r="B1787" s="17">
        <v>7123400.0</v>
      </c>
    </row>
    <row r="1788">
      <c r="A1788" s="17">
        <v>310.0</v>
      </c>
      <c r="B1788" s="17">
        <v>7123500.0</v>
      </c>
    </row>
    <row r="1789">
      <c r="A1789" s="17">
        <v>310.0</v>
      </c>
      <c r="B1789" s="17">
        <v>7123600.0</v>
      </c>
    </row>
    <row r="1790">
      <c r="A1790" s="17">
        <v>310.0</v>
      </c>
      <c r="B1790" s="17">
        <v>7123700.0</v>
      </c>
    </row>
    <row r="1791">
      <c r="A1791" s="17">
        <v>310.0</v>
      </c>
      <c r="B1791" s="17">
        <v>7123800.0</v>
      </c>
    </row>
    <row r="1792">
      <c r="A1792" s="17">
        <v>310.0</v>
      </c>
      <c r="B1792" s="17">
        <v>7123900.0</v>
      </c>
    </row>
    <row r="1793">
      <c r="A1793" s="17">
        <v>310.0</v>
      </c>
      <c r="B1793" s="17">
        <v>7124000.0</v>
      </c>
    </row>
    <row r="1794">
      <c r="A1794" s="17">
        <v>310.0</v>
      </c>
      <c r="B1794" s="17">
        <v>7124100.0</v>
      </c>
    </row>
    <row r="1795">
      <c r="A1795" s="17">
        <v>310.0</v>
      </c>
      <c r="B1795" s="17">
        <v>7124300.0</v>
      </c>
    </row>
    <row r="1796">
      <c r="A1796" s="17">
        <v>310.0</v>
      </c>
      <c r="B1796" s="17">
        <v>7124400.0</v>
      </c>
    </row>
    <row r="1797">
      <c r="A1797" s="17">
        <v>310.0</v>
      </c>
      <c r="B1797" s="17">
        <v>7124500.0</v>
      </c>
    </row>
    <row r="1798">
      <c r="A1798" s="17">
        <v>310.0</v>
      </c>
      <c r="B1798" s="17">
        <v>7124600.0</v>
      </c>
    </row>
    <row r="1799">
      <c r="A1799" s="17">
        <v>310.0</v>
      </c>
      <c r="B1799" s="17">
        <v>7124700.0</v>
      </c>
    </row>
    <row r="1800">
      <c r="A1800" s="17">
        <v>310.0</v>
      </c>
      <c r="B1800" s="17">
        <v>7126000.0</v>
      </c>
    </row>
    <row r="1801">
      <c r="A1801" s="17">
        <v>310.0</v>
      </c>
      <c r="B1801" s="17">
        <v>7150000.0</v>
      </c>
    </row>
    <row r="1802">
      <c r="A1802" s="17">
        <v>310.0</v>
      </c>
      <c r="B1802" s="17">
        <v>7160000.0</v>
      </c>
    </row>
    <row r="1803">
      <c r="A1803" s="17">
        <v>310.0</v>
      </c>
      <c r="B1803" s="17">
        <v>7220000.0</v>
      </c>
    </row>
    <row r="1804">
      <c r="A1804" s="17">
        <v>310.0</v>
      </c>
      <c r="B1804" s="17">
        <v>7230000.0</v>
      </c>
    </row>
    <row r="1805">
      <c r="A1805" s="17">
        <v>310.0</v>
      </c>
      <c r="B1805" s="17">
        <v>7240000.0</v>
      </c>
    </row>
    <row r="1806">
      <c r="A1806" s="17">
        <v>310.0</v>
      </c>
      <c r="B1806" s="17">
        <v>7260000.0</v>
      </c>
    </row>
    <row r="1807">
      <c r="A1807" s="17">
        <v>310.0</v>
      </c>
      <c r="B1807" s="17">
        <v>7260300.0</v>
      </c>
    </row>
    <row r="1808">
      <c r="A1808" s="17">
        <v>310.0</v>
      </c>
      <c r="B1808" s="17">
        <v>7260400.0</v>
      </c>
    </row>
    <row r="1809">
      <c r="A1809" s="17">
        <v>310.0</v>
      </c>
      <c r="B1809" s="17">
        <v>7270100.0</v>
      </c>
    </row>
    <row r="1810">
      <c r="A1810" s="17">
        <v>310.0</v>
      </c>
      <c r="B1810" s="17">
        <v>7280000.0</v>
      </c>
    </row>
    <row r="1811">
      <c r="A1811" s="17">
        <v>310.0</v>
      </c>
      <c r="B1811" s="17">
        <v>7290000.0</v>
      </c>
    </row>
    <row r="1812">
      <c r="A1812" s="17">
        <v>310.0</v>
      </c>
      <c r="B1812" s="17">
        <v>7310000.0</v>
      </c>
    </row>
    <row r="1813">
      <c r="A1813" s="17">
        <v>310.0</v>
      </c>
      <c r="B1813" s="17">
        <v>7330000.0</v>
      </c>
    </row>
    <row r="1814">
      <c r="A1814" s="17">
        <v>310.0</v>
      </c>
      <c r="B1814" s="17">
        <v>7330100.0</v>
      </c>
    </row>
    <row r="1815">
      <c r="A1815" s="17">
        <v>310.0</v>
      </c>
      <c r="B1815" s="17">
        <v>7330200.0</v>
      </c>
    </row>
    <row r="1816">
      <c r="A1816" s="17">
        <v>310.0</v>
      </c>
      <c r="B1816" s="17">
        <v>7330300.0</v>
      </c>
    </row>
    <row r="1817">
      <c r="A1817" s="17">
        <v>310.0</v>
      </c>
      <c r="B1817" s="17">
        <v>7330400.0</v>
      </c>
    </row>
    <row r="1818">
      <c r="A1818" s="17">
        <v>310.0</v>
      </c>
      <c r="B1818" s="17">
        <v>7330500.0</v>
      </c>
    </row>
    <row r="1819">
      <c r="A1819" s="17">
        <v>310.0</v>
      </c>
      <c r="B1819" s="17">
        <v>7330600.0</v>
      </c>
    </row>
    <row r="1820">
      <c r="A1820" s="17">
        <v>310.0</v>
      </c>
      <c r="B1820" s="17">
        <v>7330700.0</v>
      </c>
    </row>
    <row r="1821">
      <c r="A1821" s="17">
        <v>310.0</v>
      </c>
      <c r="B1821" s="17">
        <v>7330800.0</v>
      </c>
    </row>
    <row r="1822">
      <c r="A1822" s="17">
        <v>310.0</v>
      </c>
      <c r="B1822" s="17">
        <v>7330900.0</v>
      </c>
    </row>
    <row r="1823">
      <c r="A1823" s="17">
        <v>310.0</v>
      </c>
      <c r="B1823" s="17">
        <v>7331000.0</v>
      </c>
    </row>
    <row r="1824">
      <c r="A1824" s="17">
        <v>310.0</v>
      </c>
      <c r="B1824" s="17">
        <v>7331100.0</v>
      </c>
    </row>
    <row r="1825">
      <c r="A1825" s="17">
        <v>310.0</v>
      </c>
      <c r="B1825" s="17">
        <v>7331200.0</v>
      </c>
    </row>
    <row r="1826">
      <c r="A1826" s="17">
        <v>310.0</v>
      </c>
      <c r="B1826" s="17">
        <v>7331300.0</v>
      </c>
    </row>
    <row r="1827">
      <c r="A1827" s="17">
        <v>310.0</v>
      </c>
      <c r="B1827" s="17">
        <v>7331400.0</v>
      </c>
    </row>
    <row r="1828">
      <c r="A1828" s="17">
        <v>310.0</v>
      </c>
      <c r="B1828" s="17">
        <v>7331500.0</v>
      </c>
    </row>
    <row r="1829">
      <c r="A1829" s="17">
        <v>310.0</v>
      </c>
      <c r="B1829" s="17">
        <v>7331700.0</v>
      </c>
    </row>
    <row r="1830">
      <c r="A1830" s="17">
        <v>310.0</v>
      </c>
      <c r="B1830" s="17">
        <v>7331800.0</v>
      </c>
    </row>
    <row r="1831">
      <c r="A1831" s="17">
        <v>310.0</v>
      </c>
      <c r="B1831" s="17">
        <v>7331900.0</v>
      </c>
    </row>
    <row r="1832">
      <c r="A1832" s="17">
        <v>310.0</v>
      </c>
      <c r="B1832" s="17">
        <v>7332000.0</v>
      </c>
    </row>
    <row r="1833">
      <c r="A1833" s="17">
        <v>310.0</v>
      </c>
      <c r="B1833" s="17">
        <v>7332100.0</v>
      </c>
    </row>
    <row r="1834">
      <c r="A1834" s="17">
        <v>310.0</v>
      </c>
      <c r="B1834" s="17">
        <v>7332200.0</v>
      </c>
    </row>
    <row r="1835">
      <c r="A1835" s="17">
        <v>310.0</v>
      </c>
      <c r="B1835" s="17">
        <v>7332300.0</v>
      </c>
    </row>
    <row r="1836">
      <c r="A1836" s="17">
        <v>310.0</v>
      </c>
      <c r="B1836" s="17">
        <v>7332400.0</v>
      </c>
    </row>
    <row r="1837">
      <c r="A1837" s="17">
        <v>310.0</v>
      </c>
      <c r="B1837" s="17">
        <v>7340000.0</v>
      </c>
    </row>
    <row r="1838">
      <c r="A1838" s="17">
        <v>310.0</v>
      </c>
      <c r="B1838" s="17">
        <v>7340100.0</v>
      </c>
    </row>
    <row r="1839">
      <c r="A1839" s="17">
        <v>310.0</v>
      </c>
      <c r="B1839" s="17">
        <v>7340200.0</v>
      </c>
    </row>
    <row r="1840">
      <c r="A1840" s="17">
        <v>310.0</v>
      </c>
      <c r="B1840" s="17">
        <v>7340300.0</v>
      </c>
    </row>
    <row r="1841">
      <c r="A1841" s="17">
        <v>310.0</v>
      </c>
      <c r="B1841" s="17">
        <v>7340400.0</v>
      </c>
    </row>
    <row r="1842">
      <c r="A1842" s="17">
        <v>310.0</v>
      </c>
      <c r="B1842" s="17">
        <v>7340500.0</v>
      </c>
    </row>
    <row r="1843">
      <c r="A1843" s="17">
        <v>310.0</v>
      </c>
      <c r="B1843" s="17">
        <v>7340600.0</v>
      </c>
    </row>
    <row r="1844">
      <c r="A1844" s="17">
        <v>310.0</v>
      </c>
      <c r="B1844" s="17">
        <v>7340700.0</v>
      </c>
    </row>
    <row r="1845">
      <c r="A1845" s="17">
        <v>310.0</v>
      </c>
      <c r="B1845" s="17">
        <v>7340800.0</v>
      </c>
    </row>
    <row r="1846">
      <c r="A1846" s="17">
        <v>310.0</v>
      </c>
      <c r="B1846" s="17">
        <v>7340900.0</v>
      </c>
    </row>
    <row r="1847">
      <c r="A1847" s="17">
        <v>310.0</v>
      </c>
      <c r="B1847" s="17">
        <v>7341000.0</v>
      </c>
    </row>
    <row r="1848">
      <c r="A1848" s="17">
        <v>310.0</v>
      </c>
      <c r="B1848" s="17">
        <v>7341100.0</v>
      </c>
    </row>
    <row r="1849">
      <c r="A1849" s="17">
        <v>310.0</v>
      </c>
      <c r="B1849" s="17">
        <v>7341200.0</v>
      </c>
    </row>
    <row r="1850">
      <c r="A1850" s="17">
        <v>310.0</v>
      </c>
      <c r="B1850" s="17">
        <v>7341300.0</v>
      </c>
    </row>
    <row r="1851">
      <c r="A1851" s="17">
        <v>310.0</v>
      </c>
      <c r="B1851" s="17">
        <v>7341400.0</v>
      </c>
    </row>
    <row r="1852">
      <c r="A1852" s="17">
        <v>310.0</v>
      </c>
      <c r="B1852" s="17">
        <v>7341500.0</v>
      </c>
    </row>
    <row r="1853">
      <c r="A1853" s="17">
        <v>310.0</v>
      </c>
      <c r="B1853" s="17">
        <v>7341700.0</v>
      </c>
    </row>
    <row r="1854">
      <c r="A1854" s="17">
        <v>310.0</v>
      </c>
      <c r="B1854" s="17">
        <v>7341800.0</v>
      </c>
    </row>
    <row r="1855">
      <c r="A1855" s="17">
        <v>310.0</v>
      </c>
      <c r="B1855" s="17">
        <v>7341900.0</v>
      </c>
    </row>
    <row r="1856">
      <c r="A1856" s="17">
        <v>310.0</v>
      </c>
      <c r="B1856" s="17">
        <v>7342000.0</v>
      </c>
    </row>
    <row r="1857">
      <c r="A1857" s="17">
        <v>310.0</v>
      </c>
      <c r="B1857" s="17">
        <v>7342100.0</v>
      </c>
    </row>
    <row r="1858">
      <c r="A1858" s="17">
        <v>310.0</v>
      </c>
      <c r="B1858" s="17">
        <v>7342200.0</v>
      </c>
    </row>
    <row r="1859">
      <c r="A1859" s="17">
        <v>310.0</v>
      </c>
      <c r="B1859" s="17">
        <v>7342300.0</v>
      </c>
    </row>
    <row r="1860">
      <c r="A1860" s="17">
        <v>310.0</v>
      </c>
      <c r="B1860" s="17">
        <v>7342400.0</v>
      </c>
    </row>
    <row r="1861">
      <c r="A1861" s="17">
        <v>310.0</v>
      </c>
      <c r="B1861" s="17">
        <v>7350000.0</v>
      </c>
    </row>
    <row r="1862">
      <c r="A1862" s="17">
        <v>310.0</v>
      </c>
      <c r="B1862" s="17">
        <v>7350100.0</v>
      </c>
    </row>
    <row r="1863">
      <c r="A1863" s="17">
        <v>310.0</v>
      </c>
      <c r="B1863" s="17">
        <v>7350200.0</v>
      </c>
    </row>
    <row r="1864">
      <c r="A1864" s="17">
        <v>310.0</v>
      </c>
      <c r="B1864" s="17">
        <v>7350300.0</v>
      </c>
    </row>
    <row r="1865">
      <c r="A1865" s="17">
        <v>310.0</v>
      </c>
      <c r="B1865" s="17">
        <v>7350400.0</v>
      </c>
    </row>
    <row r="1866">
      <c r="A1866" s="17">
        <v>310.0</v>
      </c>
      <c r="B1866" s="17">
        <v>7350500.0</v>
      </c>
    </row>
    <row r="1867">
      <c r="A1867" s="17">
        <v>310.0</v>
      </c>
      <c r="B1867" s="17">
        <v>7350600.0</v>
      </c>
    </row>
    <row r="1868">
      <c r="A1868" s="17">
        <v>310.0</v>
      </c>
      <c r="B1868" s="17">
        <v>7350700.0</v>
      </c>
    </row>
    <row r="1869">
      <c r="A1869" s="17">
        <v>310.0</v>
      </c>
      <c r="B1869" s="17">
        <v>7350800.0</v>
      </c>
    </row>
    <row r="1870">
      <c r="A1870" s="17">
        <v>310.0</v>
      </c>
      <c r="B1870" s="17">
        <v>7350900.0</v>
      </c>
    </row>
    <row r="1871">
      <c r="A1871" s="17">
        <v>310.0</v>
      </c>
      <c r="B1871" s="17">
        <v>7351000.0</v>
      </c>
    </row>
    <row r="1872">
      <c r="A1872" s="17">
        <v>310.0</v>
      </c>
      <c r="B1872" s="17">
        <v>7351100.0</v>
      </c>
    </row>
    <row r="1873">
      <c r="A1873" s="17">
        <v>310.0</v>
      </c>
      <c r="B1873" s="17">
        <v>7351200.0</v>
      </c>
    </row>
    <row r="1874">
      <c r="A1874" s="17">
        <v>310.0</v>
      </c>
      <c r="B1874" s="17">
        <v>7351300.0</v>
      </c>
    </row>
    <row r="1875">
      <c r="A1875" s="17">
        <v>310.0</v>
      </c>
      <c r="B1875" s="17">
        <v>7351400.0</v>
      </c>
    </row>
    <row r="1876">
      <c r="A1876" s="17">
        <v>310.0</v>
      </c>
      <c r="B1876" s="17">
        <v>7351500.0</v>
      </c>
    </row>
    <row r="1877">
      <c r="A1877" s="17">
        <v>310.0</v>
      </c>
      <c r="B1877" s="17">
        <v>7351700.0</v>
      </c>
    </row>
    <row r="1878">
      <c r="A1878" s="17">
        <v>310.0</v>
      </c>
      <c r="B1878" s="17">
        <v>7351800.0</v>
      </c>
    </row>
    <row r="1879">
      <c r="A1879" s="17">
        <v>310.0</v>
      </c>
      <c r="B1879" s="17">
        <v>7351900.0</v>
      </c>
    </row>
    <row r="1880">
      <c r="A1880" s="17">
        <v>310.0</v>
      </c>
      <c r="B1880" s="17">
        <v>7352000.0</v>
      </c>
    </row>
    <row r="1881">
      <c r="A1881" s="17">
        <v>310.0</v>
      </c>
      <c r="B1881" s="17">
        <v>7352100.0</v>
      </c>
    </row>
    <row r="1882">
      <c r="A1882" s="17">
        <v>310.0</v>
      </c>
      <c r="B1882" s="17">
        <v>7352200.0</v>
      </c>
    </row>
    <row r="1883">
      <c r="A1883" s="17">
        <v>310.0</v>
      </c>
      <c r="B1883" s="17">
        <v>7352300.0</v>
      </c>
    </row>
    <row r="1884">
      <c r="A1884" s="17">
        <v>310.0</v>
      </c>
      <c r="B1884" s="17">
        <v>7352400.0</v>
      </c>
    </row>
    <row r="1885">
      <c r="A1885" s="17">
        <v>310.0</v>
      </c>
      <c r="B1885" s="17">
        <v>7360600.0</v>
      </c>
    </row>
    <row r="1886">
      <c r="A1886" s="17">
        <v>310.0</v>
      </c>
      <c r="B1886" s="17">
        <v>7360900.0</v>
      </c>
    </row>
    <row r="1887">
      <c r="A1887" s="17">
        <v>310.0</v>
      </c>
      <c r="B1887" s="17">
        <v>7361200.0</v>
      </c>
    </row>
    <row r="1888">
      <c r="A1888" s="17">
        <v>310.0</v>
      </c>
      <c r="B1888" s="17">
        <v>7361300.0</v>
      </c>
    </row>
    <row r="1889">
      <c r="A1889" s="17">
        <v>310.0</v>
      </c>
      <c r="B1889" s="17">
        <v>7362100.0</v>
      </c>
    </row>
    <row r="1890">
      <c r="A1890" s="17">
        <v>310.0</v>
      </c>
      <c r="B1890" s="17">
        <v>7370300.0</v>
      </c>
    </row>
    <row r="1891">
      <c r="A1891" s="17">
        <v>310.0</v>
      </c>
      <c r="B1891" s="17">
        <v>7370400.0</v>
      </c>
    </row>
    <row r="1892">
      <c r="A1892" s="17">
        <v>310.0</v>
      </c>
      <c r="B1892" s="17">
        <v>7370600.0</v>
      </c>
    </row>
    <row r="1893">
      <c r="A1893" s="17">
        <v>310.0</v>
      </c>
      <c r="B1893" s="17">
        <v>7370900.0</v>
      </c>
    </row>
    <row r="1894">
      <c r="A1894" s="17">
        <v>310.0</v>
      </c>
      <c r="B1894" s="17">
        <v>7371500.0</v>
      </c>
    </row>
    <row r="1895">
      <c r="A1895" s="17">
        <v>310.0</v>
      </c>
      <c r="B1895" s="17">
        <v>7036200.0</v>
      </c>
    </row>
    <row r="1896">
      <c r="A1896" s="17">
        <v>310.0</v>
      </c>
      <c r="B1896" s="17">
        <v>7036300.0</v>
      </c>
    </row>
    <row r="1897">
      <c r="A1897" s="17">
        <v>310.0</v>
      </c>
      <c r="B1897" s="17">
        <v>7036400.0</v>
      </c>
    </row>
    <row r="1898">
      <c r="A1898" s="17">
        <v>310.0</v>
      </c>
      <c r="B1898" s="17">
        <v>7036500.0</v>
      </c>
    </row>
    <row r="1899">
      <c r="A1899" s="17">
        <v>310.0</v>
      </c>
      <c r="B1899" s="17">
        <v>7036800.0</v>
      </c>
    </row>
    <row r="1900">
      <c r="A1900" s="17">
        <v>310.0</v>
      </c>
      <c r="B1900" s="17">
        <v>7036900.0</v>
      </c>
    </row>
    <row r="1901">
      <c r="A1901" s="17">
        <v>310.0</v>
      </c>
      <c r="B1901" s="17">
        <v>7037000.0</v>
      </c>
    </row>
    <row r="1902">
      <c r="A1902" s="17">
        <v>310.0</v>
      </c>
      <c r="B1902" s="17">
        <v>7037300.0</v>
      </c>
    </row>
    <row r="1903">
      <c r="A1903" s="17">
        <v>310.0</v>
      </c>
      <c r="B1903" s="17">
        <v>6630000.0</v>
      </c>
    </row>
    <row r="1904">
      <c r="A1904" s="17">
        <v>310.0</v>
      </c>
      <c r="B1904" s="17">
        <v>6630100.0</v>
      </c>
    </row>
    <row r="1905">
      <c r="A1905" s="17">
        <v>310.0</v>
      </c>
      <c r="B1905" s="17">
        <v>6630200.0</v>
      </c>
    </row>
    <row r="1906">
      <c r="A1906" s="17">
        <v>310.0</v>
      </c>
      <c r="B1906" s="17">
        <v>6630300.0</v>
      </c>
    </row>
    <row r="1907">
      <c r="A1907" s="17">
        <v>310.0</v>
      </c>
      <c r="B1907" s="17">
        <v>6630400.0</v>
      </c>
    </row>
    <row r="1908">
      <c r="A1908" s="17">
        <v>310.0</v>
      </c>
      <c r="B1908" s="17">
        <v>6630500.0</v>
      </c>
    </row>
    <row r="1909">
      <c r="A1909" s="17">
        <v>310.0</v>
      </c>
      <c r="B1909" s="17">
        <v>6630600.0</v>
      </c>
    </row>
    <row r="1910">
      <c r="A1910" s="17">
        <v>310.0</v>
      </c>
      <c r="B1910" s="17">
        <v>6630700.0</v>
      </c>
    </row>
    <row r="1911">
      <c r="A1911" s="17">
        <v>310.0</v>
      </c>
      <c r="B1911" s="17">
        <v>6630800.0</v>
      </c>
    </row>
    <row r="1912">
      <c r="A1912" s="17">
        <v>310.0</v>
      </c>
      <c r="B1912" s="17">
        <v>6630900.0</v>
      </c>
    </row>
    <row r="1913">
      <c r="A1913" s="17">
        <v>310.0</v>
      </c>
      <c r="B1913" s="17">
        <v>6631000.0</v>
      </c>
    </row>
    <row r="1914">
      <c r="A1914" s="17">
        <v>310.0</v>
      </c>
      <c r="B1914" s="17">
        <v>6631100.0</v>
      </c>
    </row>
    <row r="1915">
      <c r="A1915" s="17">
        <v>310.0</v>
      </c>
      <c r="B1915" s="17">
        <v>6631200.0</v>
      </c>
    </row>
    <row r="1916">
      <c r="A1916" s="17">
        <v>310.0</v>
      </c>
      <c r="B1916" s="17">
        <v>6631300.0</v>
      </c>
    </row>
    <row r="1917">
      <c r="A1917" s="17">
        <v>310.0</v>
      </c>
      <c r="B1917" s="17">
        <v>6631400.0</v>
      </c>
    </row>
    <row r="1918">
      <c r="A1918" s="17">
        <v>310.0</v>
      </c>
      <c r="B1918" s="17">
        <v>6631500.0</v>
      </c>
    </row>
    <row r="1919">
      <c r="A1919" s="17">
        <v>310.0</v>
      </c>
      <c r="B1919" s="17">
        <v>6631600.0</v>
      </c>
    </row>
    <row r="1920">
      <c r="A1920" s="17">
        <v>310.0</v>
      </c>
      <c r="B1920" s="17">
        <v>6631700.0</v>
      </c>
    </row>
    <row r="1921">
      <c r="A1921" s="17">
        <v>310.0</v>
      </c>
      <c r="B1921" s="17">
        <v>6631800.0</v>
      </c>
    </row>
    <row r="1922">
      <c r="A1922" s="17">
        <v>310.0</v>
      </c>
      <c r="B1922" s="17">
        <v>6631900.0</v>
      </c>
    </row>
    <row r="1923">
      <c r="A1923" s="17">
        <v>310.0</v>
      </c>
      <c r="B1923" s="17">
        <v>6632000.0</v>
      </c>
    </row>
    <row r="1924">
      <c r="A1924" s="17">
        <v>310.0</v>
      </c>
      <c r="B1924" s="17">
        <v>6632100.0</v>
      </c>
    </row>
    <row r="1925">
      <c r="A1925" s="17">
        <v>310.0</v>
      </c>
      <c r="B1925" s="17">
        <v>6632200.0</v>
      </c>
    </row>
    <row r="1926">
      <c r="A1926" s="17">
        <v>310.0</v>
      </c>
      <c r="B1926" s="17">
        <v>6632300.0</v>
      </c>
    </row>
    <row r="1927">
      <c r="A1927" s="17">
        <v>310.0</v>
      </c>
      <c r="B1927" s="17">
        <v>6632400.0</v>
      </c>
    </row>
    <row r="1928">
      <c r="A1928" s="17">
        <v>310.0</v>
      </c>
      <c r="B1928" s="17">
        <v>6632500.0</v>
      </c>
    </row>
    <row r="1929">
      <c r="A1929" s="17">
        <v>310.0</v>
      </c>
      <c r="B1929" s="17">
        <v>6632600.0</v>
      </c>
    </row>
    <row r="1930">
      <c r="A1930" s="17">
        <v>310.0</v>
      </c>
      <c r="B1930" s="17">
        <v>6632700.0</v>
      </c>
    </row>
    <row r="1931">
      <c r="A1931" s="17">
        <v>310.0</v>
      </c>
      <c r="B1931" s="17">
        <v>6632800.0</v>
      </c>
    </row>
    <row r="1932">
      <c r="A1932" s="17">
        <v>310.0</v>
      </c>
      <c r="B1932" s="17">
        <v>6632900.0</v>
      </c>
    </row>
    <row r="1933">
      <c r="A1933" s="17">
        <v>310.0</v>
      </c>
      <c r="B1933" s="17">
        <v>6633000.0</v>
      </c>
    </row>
    <row r="1934">
      <c r="A1934" s="17">
        <v>310.0</v>
      </c>
      <c r="B1934" s="17">
        <v>6633100.0</v>
      </c>
    </row>
    <row r="1935">
      <c r="A1935" s="17">
        <v>310.0</v>
      </c>
      <c r="B1935" s="17">
        <v>6633200.0</v>
      </c>
    </row>
    <row r="1936">
      <c r="A1936" s="17">
        <v>310.0</v>
      </c>
      <c r="B1936" s="17">
        <v>6647200.0</v>
      </c>
    </row>
    <row r="1937">
      <c r="A1937" s="17">
        <v>310.0</v>
      </c>
      <c r="B1937" s="17">
        <v>6647300.0</v>
      </c>
    </row>
    <row r="1938">
      <c r="A1938" s="17">
        <v>310.0</v>
      </c>
      <c r="B1938" s="17">
        <v>6647400.0</v>
      </c>
    </row>
    <row r="1939">
      <c r="A1939" s="17">
        <v>310.0</v>
      </c>
      <c r="B1939" s="17">
        <v>6647500.0</v>
      </c>
    </row>
    <row r="1940">
      <c r="A1940" s="17">
        <v>310.0</v>
      </c>
      <c r="B1940" s="17">
        <v>6640000.0</v>
      </c>
    </row>
    <row r="1941">
      <c r="A1941" s="17">
        <v>310.0</v>
      </c>
      <c r="B1941" s="17">
        <v>6640100.0</v>
      </c>
    </row>
    <row r="1942">
      <c r="A1942" s="17">
        <v>310.0</v>
      </c>
      <c r="B1942" s="17">
        <v>6641000.0</v>
      </c>
    </row>
    <row r="1943">
      <c r="A1943" s="17">
        <v>310.0</v>
      </c>
      <c r="B1943" s="17">
        <v>6641100.0</v>
      </c>
    </row>
    <row r="1944">
      <c r="A1944" s="17">
        <v>310.0</v>
      </c>
      <c r="B1944" s="17">
        <v>6642000.0</v>
      </c>
    </row>
    <row r="1945">
      <c r="A1945" s="17">
        <v>310.0</v>
      </c>
      <c r="B1945" s="17">
        <v>6642100.0</v>
      </c>
    </row>
    <row r="1946">
      <c r="A1946" s="17">
        <v>310.0</v>
      </c>
      <c r="B1946" s="17">
        <v>6643000.0</v>
      </c>
    </row>
    <row r="1947">
      <c r="A1947" s="17">
        <v>310.0</v>
      </c>
      <c r="B1947" s="17">
        <v>6643100.0</v>
      </c>
    </row>
    <row r="1948">
      <c r="A1948" s="17">
        <v>310.0</v>
      </c>
      <c r="B1948" s="17">
        <v>6644000.0</v>
      </c>
    </row>
    <row r="1949">
      <c r="A1949" s="17">
        <v>310.0</v>
      </c>
      <c r="B1949" s="17">
        <v>6644100.0</v>
      </c>
    </row>
    <row r="1950">
      <c r="A1950" s="17">
        <v>310.0</v>
      </c>
      <c r="B1950" s="17">
        <v>6645000.0</v>
      </c>
    </row>
    <row r="1951">
      <c r="A1951" s="17">
        <v>310.0</v>
      </c>
      <c r="B1951" s="17">
        <v>6645100.0</v>
      </c>
    </row>
    <row r="1952">
      <c r="A1952" s="17">
        <v>310.0</v>
      </c>
      <c r="B1952" s="17">
        <v>6646000.0</v>
      </c>
    </row>
    <row r="1953">
      <c r="A1953" s="17">
        <v>310.0</v>
      </c>
      <c r="B1953" s="17">
        <v>6646100.0</v>
      </c>
    </row>
    <row r="1954">
      <c r="A1954" s="17">
        <v>310.0</v>
      </c>
      <c r="B1954" s="17">
        <v>6647000.0</v>
      </c>
    </row>
    <row r="1955">
      <c r="A1955" s="17">
        <v>310.0</v>
      </c>
      <c r="B1955" s="17">
        <v>6647100.0</v>
      </c>
    </row>
    <row r="1956">
      <c r="A1956" s="17">
        <v>1000.0</v>
      </c>
      <c r="B1956" s="17">
        <v>7010000.0</v>
      </c>
    </row>
    <row r="1957">
      <c r="A1957" s="17">
        <v>1010.0</v>
      </c>
      <c r="B1957" s="17">
        <v>7090000.0</v>
      </c>
    </row>
    <row r="1958">
      <c r="A1958" s="17">
        <v>1020.0</v>
      </c>
      <c r="B1958" s="17">
        <v>7110000.0</v>
      </c>
    </row>
    <row r="1959">
      <c r="A1959" s="17">
        <v>1030.0</v>
      </c>
      <c r="B1959" s="17">
        <v>7030000.0</v>
      </c>
    </row>
    <row r="1960">
      <c r="A1960" s="17">
        <v>1031.0</v>
      </c>
      <c r="B1960" s="17">
        <v>7030200.0</v>
      </c>
    </row>
    <row r="1961">
      <c r="A1961" s="17">
        <v>1040.0</v>
      </c>
      <c r="B1961" s="17">
        <v>7030300.0</v>
      </c>
    </row>
    <row r="1962">
      <c r="A1962" s="17">
        <v>1041.0</v>
      </c>
      <c r="B1962" s="17">
        <v>7030400.0</v>
      </c>
    </row>
    <row r="1963">
      <c r="A1963" s="17">
        <v>1050.0</v>
      </c>
      <c r="B1963" s="17">
        <v>7030600.0</v>
      </c>
    </row>
    <row r="1964">
      <c r="A1964" s="17">
        <v>1051.0</v>
      </c>
      <c r="B1964" s="17">
        <v>7030700.0</v>
      </c>
    </row>
    <row r="1965">
      <c r="A1965" s="17">
        <v>1060.0</v>
      </c>
      <c r="B1965" s="17">
        <v>7030800.0</v>
      </c>
    </row>
    <row r="1966">
      <c r="A1966" s="17">
        <v>1061.0</v>
      </c>
      <c r="B1966" s="17">
        <v>7030900.0</v>
      </c>
    </row>
    <row r="1967">
      <c r="A1967" s="17">
        <v>1062.0</v>
      </c>
      <c r="B1967" s="17">
        <v>7031000.0</v>
      </c>
    </row>
    <row r="1968">
      <c r="A1968" s="17">
        <v>1070.0</v>
      </c>
      <c r="B1968" s="17">
        <v>7060000.0</v>
      </c>
    </row>
    <row r="1969">
      <c r="A1969" s="17">
        <v>1071.0</v>
      </c>
      <c r="B1969" s="17">
        <v>7060100.0</v>
      </c>
    </row>
    <row r="1970">
      <c r="A1970" s="17">
        <v>1072.0</v>
      </c>
      <c r="B1970" s="17">
        <v>7060200.0</v>
      </c>
    </row>
    <row r="1971">
      <c r="A1971" s="17">
        <v>1080.0</v>
      </c>
      <c r="B1971" s="17">
        <v>7070000.0</v>
      </c>
    </row>
    <row r="1972">
      <c r="A1972" s="17">
        <v>1081.0</v>
      </c>
      <c r="B1972" s="17">
        <v>7040000.0</v>
      </c>
    </row>
    <row r="1973">
      <c r="A1973" s="17">
        <v>1082.0</v>
      </c>
      <c r="B1973" s="17">
        <v>7040100.0</v>
      </c>
    </row>
    <row r="1974">
      <c r="A1974" s="17">
        <v>10000.0</v>
      </c>
      <c r="B1974" s="17">
        <v>10000.0</v>
      </c>
    </row>
    <row r="1975">
      <c r="A1975" s="17">
        <v>10001.0</v>
      </c>
      <c r="B1975" s="17">
        <v>10001.0</v>
      </c>
    </row>
    <row r="1976">
      <c r="A1976" s="17">
        <v>10002.0</v>
      </c>
      <c r="B1976" s="17">
        <v>10002.0</v>
      </c>
    </row>
    <row r="1977">
      <c r="A1977" s="17">
        <v>11000.0</v>
      </c>
      <c r="B1977" s="17">
        <v>11000.0</v>
      </c>
    </row>
    <row r="1978">
      <c r="A1978" s="17">
        <v>11001.0</v>
      </c>
      <c r="B1978" s="17">
        <v>11001.0</v>
      </c>
    </row>
    <row r="1979">
      <c r="A1979" s="17">
        <v>11002.0</v>
      </c>
      <c r="B1979" s="17">
        <v>11002.0</v>
      </c>
    </row>
    <row r="1980">
      <c r="A1980" s="17">
        <v>12000.0</v>
      </c>
      <c r="B1980" s="17">
        <v>12000.0</v>
      </c>
    </row>
    <row r="1981">
      <c r="A1981" s="17">
        <v>12001.0</v>
      </c>
      <c r="B1981" s="17">
        <v>12001.0</v>
      </c>
    </row>
    <row r="1982">
      <c r="A1982" s="17">
        <v>12002.0</v>
      </c>
      <c r="B1982" s="17">
        <v>12002.0</v>
      </c>
    </row>
    <row r="1983">
      <c r="A1983" s="17">
        <v>12003.0</v>
      </c>
      <c r="B1983" s="17">
        <v>12003.0</v>
      </c>
    </row>
    <row r="1984">
      <c r="A1984" s="17">
        <v>13000.0</v>
      </c>
      <c r="B1984" s="17">
        <v>13000.0</v>
      </c>
    </row>
    <row r="1985">
      <c r="A1985" s="17">
        <v>13001.0</v>
      </c>
      <c r="B1985" s="17">
        <v>13001.0</v>
      </c>
    </row>
    <row r="1986">
      <c r="A1986" s="17">
        <v>13002.0</v>
      </c>
      <c r="B1986" s="17">
        <v>13002.0</v>
      </c>
    </row>
    <row r="1987">
      <c r="A1987" s="17">
        <v>14000.0</v>
      </c>
      <c r="B1987" s="17">
        <v>14000.0</v>
      </c>
    </row>
    <row r="1988">
      <c r="A1988" s="17">
        <v>14001.0</v>
      </c>
      <c r="B1988" s="17">
        <v>14001.0</v>
      </c>
    </row>
    <row r="1989">
      <c r="A1989" s="17">
        <v>14002.0</v>
      </c>
      <c r="B1989" s="17">
        <v>14002.0</v>
      </c>
    </row>
    <row r="1990">
      <c r="A1990" s="17">
        <v>15000.0</v>
      </c>
      <c r="B1990" s="17">
        <v>15000.0</v>
      </c>
    </row>
    <row r="1991">
      <c r="A1991" s="17">
        <v>15001.0</v>
      </c>
      <c r="B1991" s="17">
        <v>15001.0</v>
      </c>
    </row>
    <row r="1992">
      <c r="A1992" s="17">
        <v>15002.0</v>
      </c>
      <c r="B1992" s="17">
        <v>15002.0</v>
      </c>
    </row>
    <row r="1993">
      <c r="A1993" s="17">
        <v>16000.0</v>
      </c>
      <c r="B1993" s="17">
        <v>16000.0</v>
      </c>
    </row>
    <row r="1994">
      <c r="A1994" s="17">
        <v>16001.0</v>
      </c>
      <c r="B1994" s="17">
        <v>16001.0</v>
      </c>
    </row>
    <row r="1995">
      <c r="A1995" s="17">
        <v>16002.0</v>
      </c>
      <c r="B1995" s="17">
        <v>16002.0</v>
      </c>
    </row>
    <row r="1996">
      <c r="A1996" s="17">
        <v>17000.0</v>
      </c>
      <c r="B1996" s="17">
        <v>17000.0</v>
      </c>
    </row>
    <row r="1997">
      <c r="A1997" s="17">
        <v>17001.0</v>
      </c>
      <c r="B1997" s="17">
        <v>17001.0</v>
      </c>
    </row>
    <row r="1998">
      <c r="A1998" s="17">
        <v>17002.0</v>
      </c>
      <c r="B1998" s="17">
        <v>17002.0</v>
      </c>
    </row>
    <row r="1999">
      <c r="A1999" s="17">
        <v>18000.0</v>
      </c>
      <c r="B1999" s="17">
        <v>18000.0</v>
      </c>
    </row>
    <row r="2000">
      <c r="A2000" s="17">
        <v>18001.0</v>
      </c>
      <c r="B2000" s="17">
        <v>18001.0</v>
      </c>
    </row>
    <row r="2001">
      <c r="A2001" s="17">
        <v>18002.0</v>
      </c>
      <c r="B2001" s="17">
        <v>18002.0</v>
      </c>
    </row>
    <row r="2002">
      <c r="A2002" s="17">
        <v>19001.0</v>
      </c>
      <c r="B2002" s="17">
        <v>19001.0</v>
      </c>
    </row>
    <row r="2003">
      <c r="A2003" s="17">
        <v>100000.0</v>
      </c>
      <c r="B2003" s="17">
        <v>100000.0</v>
      </c>
    </row>
    <row r="2004">
      <c r="A2004" s="17">
        <v>1000000.0</v>
      </c>
      <c r="B2004" s="17">
        <v>7000000.0</v>
      </c>
    </row>
    <row r="2005">
      <c r="A2005" s="17">
        <v>1000000.0</v>
      </c>
      <c r="B2005" s="17">
        <v>7000001.0</v>
      </c>
    </row>
    <row r="2006">
      <c r="A2006" s="17">
        <v>1000000.0</v>
      </c>
      <c r="B2006" s="17">
        <v>7000002.0</v>
      </c>
    </row>
    <row r="2007">
      <c r="A2007" s="17">
        <v>1000000.0</v>
      </c>
      <c r="B2007" s="17">
        <v>7000100.0</v>
      </c>
    </row>
    <row r="2008">
      <c r="A2008" s="17">
        <v>1000000.0</v>
      </c>
      <c r="B2008" s="17">
        <v>7000101.0</v>
      </c>
    </row>
    <row r="2009">
      <c r="A2009" s="17">
        <v>1000000.0</v>
      </c>
      <c r="B2009" s="17">
        <v>7000102.0</v>
      </c>
    </row>
    <row r="2010">
      <c r="A2010" s="17">
        <v>1000000.0</v>
      </c>
      <c r="B2010" s="17">
        <v>7000200.0</v>
      </c>
    </row>
    <row r="2011">
      <c r="A2011" s="17">
        <v>1000000.0</v>
      </c>
      <c r="B2011" s="17">
        <v>7000201.0</v>
      </c>
    </row>
    <row r="2012">
      <c r="A2012" s="17">
        <v>1000000.0</v>
      </c>
      <c r="B2012" s="17">
        <v>7000202.0</v>
      </c>
    </row>
    <row r="2013">
      <c r="A2013" s="17">
        <v>1000000.0</v>
      </c>
      <c r="B2013" s="17">
        <v>7000300.0</v>
      </c>
    </row>
    <row r="2014">
      <c r="A2014" s="17">
        <v>1000000.0</v>
      </c>
      <c r="B2014" s="17">
        <v>7000301.0</v>
      </c>
    </row>
    <row r="2015">
      <c r="A2015" s="17">
        <v>1000000.0</v>
      </c>
      <c r="B2015" s="17">
        <v>7000302.0</v>
      </c>
    </row>
    <row r="2016">
      <c r="A2016" s="17">
        <v>1000000.0</v>
      </c>
      <c r="B2016" s="17">
        <v>7000400.0</v>
      </c>
    </row>
    <row r="2017">
      <c r="A2017" s="17">
        <v>1000000.0</v>
      </c>
      <c r="B2017" s="17">
        <v>7000401.0</v>
      </c>
    </row>
    <row r="2018">
      <c r="A2018" s="17">
        <v>1000000.0</v>
      </c>
      <c r="B2018" s="17">
        <v>7000402.0</v>
      </c>
    </row>
    <row r="2019">
      <c r="A2019" s="17">
        <v>1000000.0</v>
      </c>
      <c r="B2019" s="17">
        <v>7000500.0</v>
      </c>
    </row>
    <row r="2020">
      <c r="A2020" s="17">
        <v>1000000.0</v>
      </c>
      <c r="B2020" s="17">
        <v>7000501.0</v>
      </c>
    </row>
    <row r="2021">
      <c r="A2021" s="17">
        <v>1000000.0</v>
      </c>
      <c r="B2021" s="17">
        <v>7000502.0</v>
      </c>
    </row>
    <row r="2022">
      <c r="A2022" s="17">
        <v>1000000.0</v>
      </c>
      <c r="B2022" s="17">
        <v>7000600.0</v>
      </c>
    </row>
    <row r="2023">
      <c r="A2023" s="17">
        <v>1000000.0</v>
      </c>
      <c r="B2023" s="17">
        <v>7000601.0</v>
      </c>
    </row>
    <row r="2024">
      <c r="A2024" s="17">
        <v>1000000.0</v>
      </c>
      <c r="B2024" s="17">
        <v>7000602.0</v>
      </c>
    </row>
    <row r="2025">
      <c r="A2025" s="17">
        <v>1000000.0</v>
      </c>
      <c r="B2025" s="17">
        <v>7000700.0</v>
      </c>
    </row>
    <row r="2026">
      <c r="A2026" s="17">
        <v>1000000.0</v>
      </c>
      <c r="B2026" s="17">
        <v>7000701.0</v>
      </c>
    </row>
    <row r="2027">
      <c r="A2027" s="17">
        <v>1000000.0</v>
      </c>
      <c r="B2027" s="17">
        <v>7000702.0</v>
      </c>
    </row>
    <row r="2028">
      <c r="A2028" s="17">
        <v>1000000.0</v>
      </c>
      <c r="B2028" s="17">
        <v>7000800.0</v>
      </c>
    </row>
    <row r="2029">
      <c r="A2029" s="17">
        <v>1000000.0</v>
      </c>
      <c r="B2029" s="17">
        <v>7000801.0</v>
      </c>
    </row>
    <row r="2030">
      <c r="A2030" s="17">
        <v>1000000.0</v>
      </c>
      <c r="B2030" s="17">
        <v>7000802.0</v>
      </c>
    </row>
    <row r="2031">
      <c r="A2031" s="17">
        <v>1000000.0</v>
      </c>
      <c r="B2031" s="17">
        <v>7000900.0</v>
      </c>
    </row>
    <row r="2032">
      <c r="A2032" s="17">
        <v>1000000.0</v>
      </c>
      <c r="B2032" s="17">
        <v>7000901.0</v>
      </c>
    </row>
    <row r="2033">
      <c r="A2033" s="17">
        <v>1000000.0</v>
      </c>
      <c r="B2033" s="17">
        <v>7000902.0</v>
      </c>
    </row>
    <row r="2034">
      <c r="A2034" s="17">
        <v>1000000.0</v>
      </c>
      <c r="B2034" s="17">
        <v>7001000.0</v>
      </c>
    </row>
    <row r="2035">
      <c r="A2035" s="17">
        <v>1000000.0</v>
      </c>
      <c r="B2035" s="17">
        <v>7001001.0</v>
      </c>
    </row>
    <row r="2036">
      <c r="A2036" s="17">
        <v>1000000.0</v>
      </c>
      <c r="B2036" s="17">
        <v>7001002.0</v>
      </c>
    </row>
    <row r="2037">
      <c r="A2037" s="17">
        <v>1000000.0</v>
      </c>
      <c r="B2037" s="17">
        <v>7001400.0</v>
      </c>
    </row>
    <row r="2038">
      <c r="A2038" s="17">
        <v>1000000.0</v>
      </c>
      <c r="B2038" s="17">
        <v>7001401.0</v>
      </c>
    </row>
    <row r="2039">
      <c r="A2039" s="17">
        <v>1000000.0</v>
      </c>
      <c r="B2039" s="17">
        <v>7001402.0</v>
      </c>
    </row>
    <row r="2040">
      <c r="A2040" s="17">
        <v>1000000.0</v>
      </c>
      <c r="B2040" s="17">
        <v>7001500.0</v>
      </c>
    </row>
    <row r="2041">
      <c r="A2041" s="17">
        <v>1000000.0</v>
      </c>
      <c r="B2041" s="17">
        <v>7001501.0</v>
      </c>
    </row>
    <row r="2042">
      <c r="A2042" s="17">
        <v>1000000.0</v>
      </c>
      <c r="B2042" s="17">
        <v>7001502.0</v>
      </c>
    </row>
    <row r="2043">
      <c r="A2043" s="17">
        <v>1000000.0</v>
      </c>
      <c r="B2043" s="17">
        <v>7001600.0</v>
      </c>
    </row>
    <row r="2044">
      <c r="A2044" s="17">
        <v>1000000.0</v>
      </c>
      <c r="B2044" s="17">
        <v>7001601.0</v>
      </c>
    </row>
    <row r="2045">
      <c r="A2045" s="17">
        <v>1000000.0</v>
      </c>
      <c r="B2045" s="17">
        <v>7001602.0</v>
      </c>
    </row>
    <row r="2046">
      <c r="A2046" s="17">
        <v>1000000.0</v>
      </c>
      <c r="B2046" s="17">
        <v>7001700.0</v>
      </c>
    </row>
    <row r="2047">
      <c r="A2047" s="17">
        <v>1000000.0</v>
      </c>
      <c r="B2047" s="17">
        <v>7001701.0</v>
      </c>
    </row>
    <row r="2048">
      <c r="A2048" s="17">
        <v>1000000.0</v>
      </c>
      <c r="B2048" s="17">
        <v>7001702.0</v>
      </c>
    </row>
    <row r="2049">
      <c r="A2049" s="17">
        <v>1000000.0</v>
      </c>
      <c r="B2049" s="17">
        <v>7001800.0</v>
      </c>
    </row>
    <row r="2050">
      <c r="A2050" s="17">
        <v>1000000.0</v>
      </c>
      <c r="B2050" s="17">
        <v>7001801.0</v>
      </c>
    </row>
    <row r="2051">
      <c r="A2051" s="17">
        <v>1000000.0</v>
      </c>
      <c r="B2051" s="17">
        <v>7001802.0</v>
      </c>
    </row>
    <row r="2052">
      <c r="A2052" s="17">
        <v>1000000.0</v>
      </c>
      <c r="B2052" s="17">
        <v>7002600.0</v>
      </c>
    </row>
    <row r="2053">
      <c r="A2053" s="17">
        <v>1000000.0</v>
      </c>
      <c r="B2053" s="17">
        <v>7002700.0</v>
      </c>
    </row>
    <row r="2054">
      <c r="A2054" s="17">
        <v>1000000.0</v>
      </c>
      <c r="B2054" s="17">
        <v>7002800.0</v>
      </c>
    </row>
    <row r="2055">
      <c r="A2055" s="17">
        <v>1000000.0</v>
      </c>
      <c r="B2055" s="17">
        <v>7002900.0</v>
      </c>
    </row>
    <row r="2056">
      <c r="A2056" s="17">
        <v>1000000.0</v>
      </c>
      <c r="B2056" s="17">
        <v>7003000.0</v>
      </c>
    </row>
    <row r="2057">
      <c r="A2057" s="17">
        <v>1000000.0</v>
      </c>
      <c r="B2057" s="17">
        <v>7003100.0</v>
      </c>
    </row>
    <row r="2058">
      <c r="A2058" s="17">
        <v>1000000.0</v>
      </c>
      <c r="B2058" s="17">
        <v>7003200.0</v>
      </c>
    </row>
    <row r="2059">
      <c r="A2059" s="17">
        <v>1000000.0</v>
      </c>
      <c r="B2059" s="17">
        <v>7003300.0</v>
      </c>
    </row>
    <row r="2060">
      <c r="A2060" s="17">
        <v>1000000.0</v>
      </c>
      <c r="B2060" s="17">
        <v>7003400.0</v>
      </c>
    </row>
    <row r="2061">
      <c r="A2061" s="17">
        <v>1000000.0</v>
      </c>
      <c r="B2061" s="17">
        <v>7003500.0</v>
      </c>
    </row>
    <row r="2062">
      <c r="A2062" s="17">
        <v>1000000.0</v>
      </c>
      <c r="B2062" s="17">
        <v>7003600.0</v>
      </c>
    </row>
    <row r="2063">
      <c r="A2063" s="17">
        <v>1000000.0</v>
      </c>
      <c r="B2063" s="17">
        <v>7005600.0</v>
      </c>
    </row>
    <row r="2064">
      <c r="A2064" s="17">
        <v>1000000.0</v>
      </c>
      <c r="B2064" s="17">
        <v>7006000.0</v>
      </c>
    </row>
    <row r="2065">
      <c r="A2065" s="17">
        <v>1000000.0</v>
      </c>
      <c r="B2065" s="17">
        <v>7006100.0</v>
      </c>
    </row>
    <row r="2066">
      <c r="A2066" s="17">
        <v>1000000.0</v>
      </c>
      <c r="B2066" s="17">
        <v>7010200.0</v>
      </c>
    </row>
    <row r="2067">
      <c r="A2067" s="17">
        <v>1000000.0</v>
      </c>
      <c r="B2067" s="17">
        <v>7010500.0</v>
      </c>
    </row>
    <row r="2068">
      <c r="A2068" s="17">
        <v>1000000.0</v>
      </c>
      <c r="B2068" s="17">
        <v>7010700.0</v>
      </c>
    </row>
    <row r="2069">
      <c r="A2069" s="17">
        <v>1000000.0</v>
      </c>
      <c r="B2069" s="17">
        <v>7010900.0</v>
      </c>
    </row>
    <row r="2070">
      <c r="A2070" s="17">
        <v>1000000.0</v>
      </c>
      <c r="B2070" s="17">
        <v>7011000.0</v>
      </c>
    </row>
    <row r="2071">
      <c r="A2071" s="17">
        <v>1000000.0</v>
      </c>
      <c r="B2071" s="17">
        <v>7011200.0</v>
      </c>
    </row>
    <row r="2072">
      <c r="A2072" s="17">
        <v>1000000.0</v>
      </c>
      <c r="B2072" s="17">
        <v>7011600.0</v>
      </c>
    </row>
    <row r="2073">
      <c r="A2073" s="17">
        <v>1000000.0</v>
      </c>
      <c r="B2073" s="17">
        <v>7011700.0</v>
      </c>
    </row>
    <row r="2074">
      <c r="A2074" s="17">
        <v>1000000.0</v>
      </c>
      <c r="B2074" s="17">
        <v>7012000.0</v>
      </c>
    </row>
    <row r="2075">
      <c r="A2075" s="17">
        <v>1000000.0</v>
      </c>
      <c r="B2075" s="17">
        <v>7012200.0</v>
      </c>
    </row>
    <row r="2076">
      <c r="A2076" s="17">
        <v>1000000.0</v>
      </c>
      <c r="B2076" s="17">
        <v>7012300.0</v>
      </c>
    </row>
    <row r="2077">
      <c r="A2077" s="17">
        <v>1000000.0</v>
      </c>
      <c r="B2077" s="17">
        <v>7020000.0</v>
      </c>
    </row>
    <row r="2078">
      <c r="A2078" s="17">
        <v>1000000.0</v>
      </c>
      <c r="B2078" s="17">
        <v>7030000.0</v>
      </c>
    </row>
    <row r="2079">
      <c r="A2079" s="17">
        <v>1000000.0</v>
      </c>
      <c r="B2079" s="17">
        <v>7030200.0</v>
      </c>
    </row>
    <row r="2080">
      <c r="A2080" s="17">
        <v>1000000.0</v>
      </c>
      <c r="B2080" s="17">
        <v>7030600.0</v>
      </c>
    </row>
    <row r="2081">
      <c r="A2081" s="17">
        <v>1000000.0</v>
      </c>
      <c r="B2081" s="17">
        <v>7030700.0</v>
      </c>
    </row>
    <row r="2082">
      <c r="A2082" s="17">
        <v>1000000.0</v>
      </c>
      <c r="B2082" s="17">
        <v>7030800.0</v>
      </c>
    </row>
    <row r="2083">
      <c r="A2083" s="17">
        <v>1000000.0</v>
      </c>
      <c r="B2083" s="17">
        <v>7030900.0</v>
      </c>
    </row>
    <row r="2084">
      <c r="A2084" s="17">
        <v>1000000.0</v>
      </c>
      <c r="B2084" s="17">
        <v>7031200.0</v>
      </c>
    </row>
    <row r="2085">
      <c r="A2085" s="17">
        <v>1000000.0</v>
      </c>
      <c r="B2085" s="17">
        <v>7031300.0</v>
      </c>
    </row>
    <row r="2086">
      <c r="A2086" s="17">
        <v>1000000.0</v>
      </c>
      <c r="B2086" s="17">
        <v>7031800.0</v>
      </c>
    </row>
    <row r="2087">
      <c r="A2087" s="17">
        <v>1000000.0</v>
      </c>
      <c r="B2087" s="17">
        <v>7031900.0</v>
      </c>
    </row>
    <row r="2088">
      <c r="A2088" s="17">
        <v>1000000.0</v>
      </c>
      <c r="B2088" s="17">
        <v>7032200.0</v>
      </c>
    </row>
    <row r="2089">
      <c r="A2089" s="17">
        <v>1000000.0</v>
      </c>
      <c r="B2089" s="17">
        <v>7032400.0</v>
      </c>
    </row>
    <row r="2090">
      <c r="A2090" s="17">
        <v>1000000.0</v>
      </c>
      <c r="B2090" s="17">
        <v>7032700.0</v>
      </c>
    </row>
    <row r="2091">
      <c r="A2091" s="17">
        <v>1000000.0</v>
      </c>
      <c r="B2091" s="17">
        <v>7032800.0</v>
      </c>
    </row>
    <row r="2092">
      <c r="A2092" s="17">
        <v>1000000.0</v>
      </c>
      <c r="B2092" s="17">
        <v>7032900.0</v>
      </c>
    </row>
    <row r="2093">
      <c r="A2093" s="17">
        <v>1000000.0</v>
      </c>
      <c r="B2093" s="17">
        <v>7033200.0</v>
      </c>
    </row>
    <row r="2094">
      <c r="A2094" s="17">
        <v>1000000.0</v>
      </c>
      <c r="B2094" s="17">
        <v>7033400.0</v>
      </c>
    </row>
    <row r="2095">
      <c r="A2095" s="17">
        <v>1000000.0</v>
      </c>
      <c r="B2095" s="17">
        <v>7034100.0</v>
      </c>
    </row>
    <row r="2096">
      <c r="A2096" s="17">
        <v>1000000.0</v>
      </c>
      <c r="B2096" s="17">
        <v>7034400.0</v>
      </c>
    </row>
    <row r="2097">
      <c r="A2097" s="17">
        <v>1000000.0</v>
      </c>
      <c r="B2097" s="17">
        <v>7034500.0</v>
      </c>
    </row>
    <row r="2098">
      <c r="A2098" s="17">
        <v>1000000.0</v>
      </c>
      <c r="B2098" s="17">
        <v>7034600.0</v>
      </c>
    </row>
    <row r="2099">
      <c r="A2099" s="17">
        <v>1000000.0</v>
      </c>
      <c r="B2099" s="17">
        <v>7034700.0</v>
      </c>
    </row>
    <row r="2100">
      <c r="A2100" s="17">
        <v>1000000.0</v>
      </c>
      <c r="B2100" s="17">
        <v>7035100.0</v>
      </c>
    </row>
    <row r="2101">
      <c r="A2101" s="17">
        <v>1000000.0</v>
      </c>
      <c r="B2101" s="17">
        <v>7036100.0</v>
      </c>
    </row>
    <row r="2102">
      <c r="A2102" s="17">
        <v>1000000.0</v>
      </c>
      <c r="B2102" s="17">
        <v>7040000.0</v>
      </c>
    </row>
    <row r="2103">
      <c r="A2103" s="17">
        <v>1000000.0</v>
      </c>
      <c r="B2103" s="17">
        <v>7040100.0</v>
      </c>
    </row>
    <row r="2104">
      <c r="A2104" s="17">
        <v>1000000.0</v>
      </c>
      <c r="B2104" s="17">
        <v>7040200.0</v>
      </c>
    </row>
    <row r="2105">
      <c r="A2105" s="17">
        <v>1000000.0</v>
      </c>
      <c r="B2105" s="17">
        <v>7040300.0</v>
      </c>
    </row>
    <row r="2106">
      <c r="A2106" s="17">
        <v>1000000.0</v>
      </c>
      <c r="B2106" s="17">
        <v>7040400.0</v>
      </c>
    </row>
    <row r="2107">
      <c r="A2107" s="17">
        <v>1000000.0</v>
      </c>
      <c r="B2107" s="17">
        <v>7040500.0</v>
      </c>
    </row>
    <row r="2108">
      <c r="A2108" s="17">
        <v>1000000.0</v>
      </c>
      <c r="B2108" s="17">
        <v>7043000.0</v>
      </c>
    </row>
    <row r="2109">
      <c r="A2109" s="17">
        <v>1000000.0</v>
      </c>
      <c r="B2109" s="17">
        <v>7043100.0</v>
      </c>
    </row>
    <row r="2110">
      <c r="A2110" s="17">
        <v>1000000.0</v>
      </c>
      <c r="B2110" s="17">
        <v>7043200.0</v>
      </c>
    </row>
    <row r="2111">
      <c r="A2111" s="17">
        <v>1000000.0</v>
      </c>
      <c r="B2111" s="17">
        <v>7043300.0</v>
      </c>
    </row>
    <row r="2112">
      <c r="A2112" s="17">
        <v>1000000.0</v>
      </c>
      <c r="B2112" s="17">
        <v>7043400.0</v>
      </c>
    </row>
    <row r="2113">
      <c r="A2113" s="17">
        <v>1000000.0</v>
      </c>
      <c r="B2113" s="17">
        <v>7043500.0</v>
      </c>
    </row>
    <row r="2114">
      <c r="A2114" s="17">
        <v>1000000.0</v>
      </c>
      <c r="B2114" s="17">
        <v>7043600.0</v>
      </c>
    </row>
    <row r="2115">
      <c r="A2115" s="17">
        <v>1000000.0</v>
      </c>
      <c r="B2115" s="17">
        <v>7043700.0</v>
      </c>
    </row>
    <row r="2116">
      <c r="A2116" s="17">
        <v>1000000.0</v>
      </c>
      <c r="B2116" s="17">
        <v>7043800.0</v>
      </c>
    </row>
    <row r="2117">
      <c r="A2117" s="17">
        <v>1000000.0</v>
      </c>
      <c r="B2117" s="17">
        <v>7044000.0</v>
      </c>
    </row>
    <row r="2118">
      <c r="A2118" s="17">
        <v>1000000.0</v>
      </c>
      <c r="B2118" s="17">
        <v>7044100.0</v>
      </c>
    </row>
    <row r="2119">
      <c r="A2119" s="17">
        <v>1000000.0</v>
      </c>
      <c r="B2119" s="17">
        <v>7044200.0</v>
      </c>
    </row>
    <row r="2120">
      <c r="A2120" s="17">
        <v>1000000.0</v>
      </c>
      <c r="B2120" s="17">
        <v>7044300.0</v>
      </c>
    </row>
    <row r="2121">
      <c r="A2121" s="17">
        <v>1000000.0</v>
      </c>
      <c r="B2121" s="17">
        <v>7044400.0</v>
      </c>
    </row>
    <row r="2122">
      <c r="A2122" s="17">
        <v>1000000.0</v>
      </c>
      <c r="B2122" s="17">
        <v>7044500.0</v>
      </c>
    </row>
    <row r="2123">
      <c r="A2123" s="17">
        <v>1000000.0</v>
      </c>
      <c r="B2123" s="17">
        <v>7044600.0</v>
      </c>
    </row>
    <row r="2124">
      <c r="A2124" s="17">
        <v>1000000.0</v>
      </c>
      <c r="B2124" s="17">
        <v>7050000.0</v>
      </c>
    </row>
    <row r="2125">
      <c r="A2125" s="17">
        <v>1000000.0</v>
      </c>
      <c r="B2125" s="17">
        <v>7050100.0</v>
      </c>
    </row>
    <row r="2126">
      <c r="A2126" s="17">
        <v>1000000.0</v>
      </c>
      <c r="B2126" s="17">
        <v>7060000.0</v>
      </c>
    </row>
    <row r="2127">
      <c r="A2127" s="17">
        <v>1000000.0</v>
      </c>
      <c r="B2127" s="17">
        <v>7060100.0</v>
      </c>
    </row>
    <row r="2128">
      <c r="A2128" s="17">
        <v>1000000.0</v>
      </c>
      <c r="B2128" s="17">
        <v>7060200.0</v>
      </c>
    </row>
    <row r="2129">
      <c r="A2129" s="17">
        <v>1000000.0</v>
      </c>
      <c r="B2129" s="17">
        <v>7070000.0</v>
      </c>
    </row>
    <row r="2130">
      <c r="A2130" s="17">
        <v>1000000.0</v>
      </c>
      <c r="B2130" s="17">
        <v>7080000.0</v>
      </c>
    </row>
    <row r="2131">
      <c r="A2131" s="17">
        <v>1000000.0</v>
      </c>
      <c r="B2131" s="17">
        <v>7080100.0</v>
      </c>
    </row>
    <row r="2132">
      <c r="A2132" s="17">
        <v>1000000.0</v>
      </c>
      <c r="B2132" s="17">
        <v>7080200.0</v>
      </c>
    </row>
    <row r="2133">
      <c r="A2133" s="17">
        <v>1000000.0</v>
      </c>
      <c r="B2133" s="17">
        <v>7080300.0</v>
      </c>
    </row>
    <row r="2134">
      <c r="A2134" s="17">
        <v>1000000.0</v>
      </c>
      <c r="B2134" s="17">
        <v>7080400.0</v>
      </c>
    </row>
    <row r="2135">
      <c r="A2135" s="17">
        <v>1000000.0</v>
      </c>
      <c r="B2135" s="17">
        <v>7080500.0</v>
      </c>
    </row>
    <row r="2136">
      <c r="A2136" s="17">
        <v>1000000.0</v>
      </c>
      <c r="B2136" s="17">
        <v>7080600.0</v>
      </c>
    </row>
    <row r="2137">
      <c r="A2137" s="17">
        <v>1000000.0</v>
      </c>
      <c r="B2137" s="17">
        <v>7080700.0</v>
      </c>
    </row>
    <row r="2138">
      <c r="A2138" s="17">
        <v>1000000.0</v>
      </c>
      <c r="B2138" s="17">
        <v>7080800.0</v>
      </c>
    </row>
    <row r="2139">
      <c r="A2139" s="17">
        <v>1000000.0</v>
      </c>
      <c r="B2139" s="17">
        <v>7080900.0</v>
      </c>
    </row>
    <row r="2140">
      <c r="A2140" s="17">
        <v>1000000.0</v>
      </c>
      <c r="B2140" s="17">
        <v>7081000.0</v>
      </c>
    </row>
    <row r="2141">
      <c r="A2141" s="17">
        <v>1000000.0</v>
      </c>
      <c r="B2141" s="17">
        <v>7081100.0</v>
      </c>
    </row>
    <row r="2142">
      <c r="A2142" s="17">
        <v>1000000.0</v>
      </c>
      <c r="B2142" s="17">
        <v>7081200.0</v>
      </c>
    </row>
    <row r="2143">
      <c r="A2143" s="17">
        <v>1000000.0</v>
      </c>
      <c r="B2143" s="17">
        <v>7081300.0</v>
      </c>
    </row>
    <row r="2144">
      <c r="A2144" s="17">
        <v>1000000.0</v>
      </c>
      <c r="B2144" s="17">
        <v>7081400.0</v>
      </c>
    </row>
    <row r="2145">
      <c r="A2145" s="17">
        <v>1000000.0</v>
      </c>
      <c r="B2145" s="17">
        <v>7081500.0</v>
      </c>
    </row>
    <row r="2146">
      <c r="A2146" s="17">
        <v>1000000.0</v>
      </c>
      <c r="B2146" s="17">
        <v>7081700.0</v>
      </c>
    </row>
    <row r="2147">
      <c r="A2147" s="17">
        <v>1000000.0</v>
      </c>
      <c r="B2147" s="17">
        <v>7081800.0</v>
      </c>
    </row>
    <row r="2148">
      <c r="A2148" s="17">
        <v>1000000.0</v>
      </c>
      <c r="B2148" s="17">
        <v>7081900.0</v>
      </c>
    </row>
    <row r="2149">
      <c r="A2149" s="17">
        <v>1000000.0</v>
      </c>
      <c r="B2149" s="17">
        <v>7082000.0</v>
      </c>
    </row>
    <row r="2150">
      <c r="A2150" s="17">
        <v>1000000.0</v>
      </c>
      <c r="B2150" s="17">
        <v>7082100.0</v>
      </c>
    </row>
    <row r="2151">
      <c r="A2151" s="17">
        <v>1000000.0</v>
      </c>
      <c r="B2151" s="17">
        <v>7082200.0</v>
      </c>
    </row>
    <row r="2152">
      <c r="A2152" s="17">
        <v>1000000.0</v>
      </c>
      <c r="B2152" s="17">
        <v>7082300.0</v>
      </c>
    </row>
    <row r="2153">
      <c r="A2153" s="17">
        <v>1000000.0</v>
      </c>
      <c r="B2153" s="17">
        <v>7082400.0</v>
      </c>
    </row>
    <row r="2154">
      <c r="A2154" s="17">
        <v>1000000.0</v>
      </c>
      <c r="B2154" s="17">
        <v>7082500.0</v>
      </c>
    </row>
    <row r="2155">
      <c r="A2155" s="17">
        <v>1000000.0</v>
      </c>
      <c r="B2155" s="17">
        <v>7082600.0</v>
      </c>
    </row>
    <row r="2156">
      <c r="A2156" s="17">
        <v>1000000.0</v>
      </c>
      <c r="B2156" s="17">
        <v>7082700.0</v>
      </c>
    </row>
    <row r="2157">
      <c r="A2157" s="17">
        <v>1000000.0</v>
      </c>
      <c r="B2157" s="17">
        <v>7082800.0</v>
      </c>
    </row>
    <row r="2158">
      <c r="A2158" s="17">
        <v>1000000.0</v>
      </c>
      <c r="B2158" s="17">
        <v>7082900.0</v>
      </c>
    </row>
    <row r="2159">
      <c r="A2159" s="17">
        <v>1000000.0</v>
      </c>
      <c r="B2159" s="17">
        <v>7090000.0</v>
      </c>
    </row>
    <row r="2160">
      <c r="A2160" s="17">
        <v>1000000.0</v>
      </c>
      <c r="B2160" s="17">
        <v>7090100.0</v>
      </c>
    </row>
    <row r="2161">
      <c r="A2161" s="17">
        <v>1000000.0</v>
      </c>
      <c r="B2161" s="17">
        <v>7090300.0</v>
      </c>
    </row>
    <row r="2162">
      <c r="A2162" s="17">
        <v>1000000.0</v>
      </c>
      <c r="B2162" s="17">
        <v>7100100.0</v>
      </c>
    </row>
    <row r="2163">
      <c r="A2163" s="17">
        <v>1000000.0</v>
      </c>
      <c r="B2163" s="17">
        <v>7110000.0</v>
      </c>
    </row>
    <row r="2164">
      <c r="A2164" s="17">
        <v>1000000.0</v>
      </c>
      <c r="B2164" s="17">
        <v>7120000.0</v>
      </c>
    </row>
    <row r="2165">
      <c r="A2165" s="17">
        <v>1000000.0</v>
      </c>
      <c r="B2165" s="17">
        <v>7120100.0</v>
      </c>
    </row>
    <row r="2166">
      <c r="A2166" s="17">
        <v>1000000.0</v>
      </c>
      <c r="B2166" s="17">
        <v>7120200.0</v>
      </c>
    </row>
    <row r="2167">
      <c r="A2167" s="17">
        <v>1000000.0</v>
      </c>
      <c r="B2167" s="17">
        <v>7120300.0</v>
      </c>
    </row>
    <row r="2168">
      <c r="A2168" s="17">
        <v>1000000.0</v>
      </c>
      <c r="B2168" s="17">
        <v>7120400.0</v>
      </c>
    </row>
    <row r="2169">
      <c r="A2169" s="17">
        <v>1000000.0</v>
      </c>
      <c r="B2169" s="17">
        <v>7120500.0</v>
      </c>
    </row>
    <row r="2170">
      <c r="A2170" s="17">
        <v>1000000.0</v>
      </c>
      <c r="B2170" s="17">
        <v>7120600.0</v>
      </c>
    </row>
    <row r="2171">
      <c r="A2171" s="17">
        <v>1000000.0</v>
      </c>
      <c r="B2171" s="17">
        <v>7120900.0</v>
      </c>
    </row>
    <row r="2172">
      <c r="A2172" s="17">
        <v>1000000.0</v>
      </c>
      <c r="B2172" s="17">
        <v>7121000.0</v>
      </c>
    </row>
    <row r="2173">
      <c r="A2173" s="17">
        <v>1000000.0</v>
      </c>
      <c r="B2173" s="17">
        <v>7121100.0</v>
      </c>
    </row>
    <row r="2174">
      <c r="A2174" s="17">
        <v>1000000.0</v>
      </c>
      <c r="B2174" s="17">
        <v>7121200.0</v>
      </c>
    </row>
    <row r="2175">
      <c r="A2175" s="17">
        <v>1000000.0</v>
      </c>
      <c r="B2175" s="17">
        <v>7121300.0</v>
      </c>
    </row>
    <row r="2176">
      <c r="A2176" s="17">
        <v>1000000.0</v>
      </c>
      <c r="B2176" s="17">
        <v>7121400.0</v>
      </c>
    </row>
    <row r="2177">
      <c r="A2177" s="17">
        <v>1000000.0</v>
      </c>
      <c r="B2177" s="17">
        <v>7121500.0</v>
      </c>
    </row>
    <row r="2178">
      <c r="A2178" s="17">
        <v>1000000.0</v>
      </c>
      <c r="B2178" s="17">
        <v>7121600.0</v>
      </c>
    </row>
    <row r="2179">
      <c r="A2179" s="17">
        <v>1000000.0</v>
      </c>
      <c r="B2179" s="17">
        <v>7121700.0</v>
      </c>
    </row>
    <row r="2180">
      <c r="A2180" s="17">
        <v>1000000.0</v>
      </c>
      <c r="B2180" s="17">
        <v>7121800.0</v>
      </c>
    </row>
    <row r="2181">
      <c r="A2181" s="17">
        <v>1000000.0</v>
      </c>
      <c r="B2181" s="17">
        <v>7121900.0</v>
      </c>
    </row>
    <row r="2182">
      <c r="A2182" s="17">
        <v>1000000.0</v>
      </c>
      <c r="B2182" s="17">
        <v>7122000.0</v>
      </c>
    </row>
    <row r="2183">
      <c r="A2183" s="17">
        <v>1000000.0</v>
      </c>
      <c r="B2183" s="17">
        <v>7122100.0</v>
      </c>
    </row>
    <row r="2184">
      <c r="A2184" s="17">
        <v>1000000.0</v>
      </c>
      <c r="B2184" s="17">
        <v>7122200.0</v>
      </c>
    </row>
    <row r="2185">
      <c r="A2185" s="17">
        <v>1000000.0</v>
      </c>
      <c r="B2185" s="17">
        <v>7122300.0</v>
      </c>
    </row>
    <row r="2186">
      <c r="A2186" s="17">
        <v>1000000.0</v>
      </c>
      <c r="B2186" s="17">
        <v>7122400.0</v>
      </c>
    </row>
    <row r="2187">
      <c r="A2187" s="17">
        <v>1000000.0</v>
      </c>
      <c r="B2187" s="17">
        <v>7122500.0</v>
      </c>
    </row>
    <row r="2188">
      <c r="A2188" s="17">
        <v>1000000.0</v>
      </c>
      <c r="B2188" s="17">
        <v>7122600.0</v>
      </c>
    </row>
    <row r="2189">
      <c r="A2189" s="17">
        <v>1000000.0</v>
      </c>
      <c r="B2189" s="17">
        <v>7122700.0</v>
      </c>
    </row>
    <row r="2190">
      <c r="A2190" s="17">
        <v>1000000.0</v>
      </c>
      <c r="B2190" s="17">
        <v>7122800.0</v>
      </c>
    </row>
    <row r="2191">
      <c r="A2191" s="17">
        <v>1000000.0</v>
      </c>
      <c r="B2191" s="17">
        <v>7122900.0</v>
      </c>
    </row>
    <row r="2192">
      <c r="A2192" s="17">
        <v>1000000.0</v>
      </c>
      <c r="B2192" s="17">
        <v>7123000.0</v>
      </c>
    </row>
    <row r="2193">
      <c r="A2193" s="17">
        <v>1000000.0</v>
      </c>
      <c r="B2193" s="17">
        <v>7123100.0</v>
      </c>
    </row>
    <row r="2194">
      <c r="A2194" s="17">
        <v>1000000.0</v>
      </c>
      <c r="B2194" s="17">
        <v>7123200.0</v>
      </c>
    </row>
    <row r="2195">
      <c r="A2195" s="17">
        <v>1000000.0</v>
      </c>
      <c r="B2195" s="17">
        <v>7123300.0</v>
      </c>
    </row>
    <row r="2196">
      <c r="A2196" s="17">
        <v>1000000.0</v>
      </c>
      <c r="B2196" s="17">
        <v>7123400.0</v>
      </c>
    </row>
    <row r="2197">
      <c r="A2197" s="17">
        <v>1000000.0</v>
      </c>
      <c r="B2197" s="17">
        <v>7123500.0</v>
      </c>
    </row>
    <row r="2198">
      <c r="A2198" s="17">
        <v>1000000.0</v>
      </c>
      <c r="B2198" s="17">
        <v>7123600.0</v>
      </c>
    </row>
    <row r="2199">
      <c r="A2199" s="17">
        <v>1000000.0</v>
      </c>
      <c r="B2199" s="17">
        <v>7123700.0</v>
      </c>
    </row>
    <row r="2200">
      <c r="A2200" s="17">
        <v>1000000.0</v>
      </c>
      <c r="B2200" s="17">
        <v>7123800.0</v>
      </c>
    </row>
    <row r="2201">
      <c r="A2201" s="17">
        <v>1000000.0</v>
      </c>
      <c r="B2201" s="17">
        <v>7123900.0</v>
      </c>
    </row>
    <row r="2202">
      <c r="A2202" s="17">
        <v>1000000.0</v>
      </c>
      <c r="B2202" s="17">
        <v>7124000.0</v>
      </c>
    </row>
    <row r="2203">
      <c r="A2203" s="17">
        <v>1000000.0</v>
      </c>
      <c r="B2203" s="17">
        <v>7124100.0</v>
      </c>
    </row>
    <row r="2204">
      <c r="A2204" s="17">
        <v>1000000.0</v>
      </c>
      <c r="B2204" s="17">
        <v>7124300.0</v>
      </c>
    </row>
    <row r="2205">
      <c r="A2205" s="17">
        <v>1000000.0</v>
      </c>
      <c r="B2205" s="17">
        <v>7124400.0</v>
      </c>
    </row>
    <row r="2206">
      <c r="A2206" s="17">
        <v>1000000.0</v>
      </c>
      <c r="B2206" s="17">
        <v>7124500.0</v>
      </c>
    </row>
    <row r="2207">
      <c r="A2207" s="17">
        <v>1000000.0</v>
      </c>
      <c r="B2207" s="17">
        <v>7124600.0</v>
      </c>
    </row>
    <row r="2208">
      <c r="A2208" s="17">
        <v>1000000.0</v>
      </c>
      <c r="B2208" s="17">
        <v>7124700.0</v>
      </c>
    </row>
    <row r="2209">
      <c r="A2209" s="17">
        <v>1000000.0</v>
      </c>
      <c r="B2209" s="17">
        <v>7126000.0</v>
      </c>
    </row>
    <row r="2210">
      <c r="A2210" s="17">
        <v>1000000.0</v>
      </c>
      <c r="B2210" s="17">
        <v>7150000.0</v>
      </c>
    </row>
    <row r="2211">
      <c r="A2211" s="17">
        <v>1000000.0</v>
      </c>
      <c r="B2211" s="17">
        <v>7160000.0</v>
      </c>
    </row>
    <row r="2212">
      <c r="A2212" s="17">
        <v>1000000.0</v>
      </c>
      <c r="B2212" s="17">
        <v>7220000.0</v>
      </c>
    </row>
    <row r="2213">
      <c r="A2213" s="17">
        <v>1000000.0</v>
      </c>
      <c r="B2213" s="17">
        <v>7230000.0</v>
      </c>
    </row>
    <row r="2214">
      <c r="A2214" s="17">
        <v>1000000.0</v>
      </c>
      <c r="B2214" s="17">
        <v>7240000.0</v>
      </c>
    </row>
    <row r="2215">
      <c r="A2215" s="17">
        <v>1000000.0</v>
      </c>
      <c r="B2215" s="17">
        <v>7260000.0</v>
      </c>
    </row>
    <row r="2216">
      <c r="A2216" s="17">
        <v>1000000.0</v>
      </c>
      <c r="B2216" s="17">
        <v>7260300.0</v>
      </c>
    </row>
    <row r="2217">
      <c r="A2217" s="17">
        <v>1000000.0</v>
      </c>
      <c r="B2217" s="17">
        <v>7260400.0</v>
      </c>
    </row>
    <row r="2218">
      <c r="A2218" s="17">
        <v>1000000.0</v>
      </c>
      <c r="B2218" s="17">
        <v>7270100.0</v>
      </c>
    </row>
    <row r="2219">
      <c r="A2219" s="17">
        <v>1000000.0</v>
      </c>
      <c r="B2219" s="17">
        <v>7280000.0</v>
      </c>
    </row>
    <row r="2220">
      <c r="A2220" s="17">
        <v>1000000.0</v>
      </c>
      <c r="B2220" s="17">
        <v>7290000.0</v>
      </c>
    </row>
    <row r="2221">
      <c r="A2221" s="17">
        <v>1000000.0</v>
      </c>
      <c r="B2221" s="17">
        <v>7310000.0</v>
      </c>
    </row>
    <row r="2222">
      <c r="A2222" s="17">
        <v>1000000.0</v>
      </c>
      <c r="B2222" s="17">
        <v>7330000.0</v>
      </c>
    </row>
    <row r="2223">
      <c r="A2223" s="17">
        <v>1000000.0</v>
      </c>
      <c r="B2223" s="17">
        <v>7330100.0</v>
      </c>
    </row>
    <row r="2224">
      <c r="A2224" s="17">
        <v>1000000.0</v>
      </c>
      <c r="B2224" s="17">
        <v>7330200.0</v>
      </c>
    </row>
    <row r="2225">
      <c r="A2225" s="17">
        <v>1000000.0</v>
      </c>
      <c r="B2225" s="17">
        <v>7330300.0</v>
      </c>
    </row>
    <row r="2226">
      <c r="A2226" s="17">
        <v>1000000.0</v>
      </c>
      <c r="B2226" s="17">
        <v>7330400.0</v>
      </c>
    </row>
    <row r="2227">
      <c r="A2227" s="17">
        <v>1000000.0</v>
      </c>
      <c r="B2227" s="17">
        <v>7330500.0</v>
      </c>
    </row>
    <row r="2228">
      <c r="A2228" s="17">
        <v>1000000.0</v>
      </c>
      <c r="B2228" s="17">
        <v>7330600.0</v>
      </c>
    </row>
    <row r="2229">
      <c r="A2229" s="17">
        <v>1000000.0</v>
      </c>
      <c r="B2229" s="17">
        <v>7330700.0</v>
      </c>
    </row>
    <row r="2230">
      <c r="A2230" s="17">
        <v>1000000.0</v>
      </c>
      <c r="B2230" s="17">
        <v>7330800.0</v>
      </c>
    </row>
    <row r="2231">
      <c r="A2231" s="17">
        <v>1000000.0</v>
      </c>
      <c r="B2231" s="17">
        <v>7330900.0</v>
      </c>
    </row>
    <row r="2232">
      <c r="A2232" s="17">
        <v>1000000.0</v>
      </c>
      <c r="B2232" s="17">
        <v>7331000.0</v>
      </c>
    </row>
    <row r="2233">
      <c r="A2233" s="17">
        <v>1000000.0</v>
      </c>
      <c r="B2233" s="17">
        <v>7331100.0</v>
      </c>
    </row>
    <row r="2234">
      <c r="A2234" s="17">
        <v>1000000.0</v>
      </c>
      <c r="B2234" s="17">
        <v>7331200.0</v>
      </c>
    </row>
    <row r="2235">
      <c r="A2235" s="17">
        <v>1000000.0</v>
      </c>
      <c r="B2235" s="17">
        <v>7331300.0</v>
      </c>
    </row>
    <row r="2236">
      <c r="A2236" s="17">
        <v>1000000.0</v>
      </c>
      <c r="B2236" s="17">
        <v>7331400.0</v>
      </c>
    </row>
    <row r="2237">
      <c r="A2237" s="17">
        <v>1000000.0</v>
      </c>
      <c r="B2237" s="17">
        <v>7331500.0</v>
      </c>
    </row>
    <row r="2238">
      <c r="A2238" s="17">
        <v>1000000.0</v>
      </c>
      <c r="B2238" s="17">
        <v>7331700.0</v>
      </c>
    </row>
    <row r="2239">
      <c r="A2239" s="17">
        <v>1000000.0</v>
      </c>
      <c r="B2239" s="17">
        <v>7331800.0</v>
      </c>
    </row>
    <row r="2240">
      <c r="A2240" s="17">
        <v>1000000.0</v>
      </c>
      <c r="B2240" s="17">
        <v>7331900.0</v>
      </c>
    </row>
    <row r="2241">
      <c r="A2241" s="17">
        <v>1000000.0</v>
      </c>
      <c r="B2241" s="17">
        <v>7332000.0</v>
      </c>
    </row>
    <row r="2242">
      <c r="A2242" s="17">
        <v>1000000.0</v>
      </c>
      <c r="B2242" s="17">
        <v>7332100.0</v>
      </c>
    </row>
    <row r="2243">
      <c r="A2243" s="17">
        <v>1000000.0</v>
      </c>
      <c r="B2243" s="17">
        <v>7332200.0</v>
      </c>
    </row>
    <row r="2244">
      <c r="A2244" s="17">
        <v>1000000.0</v>
      </c>
      <c r="B2244" s="17">
        <v>7332300.0</v>
      </c>
    </row>
    <row r="2245">
      <c r="A2245" s="17">
        <v>1000000.0</v>
      </c>
      <c r="B2245" s="17">
        <v>7332400.0</v>
      </c>
    </row>
    <row r="2246">
      <c r="A2246" s="17">
        <v>1000000.0</v>
      </c>
      <c r="B2246" s="17">
        <v>7340000.0</v>
      </c>
    </row>
    <row r="2247">
      <c r="A2247" s="17">
        <v>1000000.0</v>
      </c>
      <c r="B2247" s="17">
        <v>7340100.0</v>
      </c>
    </row>
    <row r="2248">
      <c r="A2248" s="17">
        <v>1000000.0</v>
      </c>
      <c r="B2248" s="17">
        <v>7340200.0</v>
      </c>
    </row>
    <row r="2249">
      <c r="A2249" s="17">
        <v>1000000.0</v>
      </c>
      <c r="B2249" s="17">
        <v>7340300.0</v>
      </c>
    </row>
    <row r="2250">
      <c r="A2250" s="17">
        <v>1000000.0</v>
      </c>
      <c r="B2250" s="17">
        <v>7340400.0</v>
      </c>
    </row>
    <row r="2251">
      <c r="A2251" s="17">
        <v>1000000.0</v>
      </c>
      <c r="B2251" s="17">
        <v>7340500.0</v>
      </c>
    </row>
    <row r="2252">
      <c r="A2252" s="17">
        <v>1000000.0</v>
      </c>
      <c r="B2252" s="17">
        <v>7340600.0</v>
      </c>
    </row>
    <row r="2253">
      <c r="A2253" s="17">
        <v>1000000.0</v>
      </c>
      <c r="B2253" s="17">
        <v>7340700.0</v>
      </c>
    </row>
    <row r="2254">
      <c r="A2254" s="17">
        <v>1000000.0</v>
      </c>
      <c r="B2254" s="17">
        <v>7340800.0</v>
      </c>
    </row>
    <row r="2255">
      <c r="A2255" s="17">
        <v>1000000.0</v>
      </c>
      <c r="B2255" s="17">
        <v>7340900.0</v>
      </c>
    </row>
    <row r="2256">
      <c r="A2256" s="17">
        <v>1000000.0</v>
      </c>
      <c r="B2256" s="17">
        <v>7341000.0</v>
      </c>
    </row>
    <row r="2257">
      <c r="A2257" s="17">
        <v>1000000.0</v>
      </c>
      <c r="B2257" s="17">
        <v>7341100.0</v>
      </c>
    </row>
    <row r="2258">
      <c r="A2258" s="17">
        <v>1000000.0</v>
      </c>
      <c r="B2258" s="17">
        <v>7341200.0</v>
      </c>
    </row>
    <row r="2259">
      <c r="A2259" s="17">
        <v>1000000.0</v>
      </c>
      <c r="B2259" s="17">
        <v>7341300.0</v>
      </c>
    </row>
    <row r="2260">
      <c r="A2260" s="17">
        <v>1000000.0</v>
      </c>
      <c r="B2260" s="17">
        <v>7341400.0</v>
      </c>
    </row>
    <row r="2261">
      <c r="A2261" s="17">
        <v>1000000.0</v>
      </c>
      <c r="B2261" s="17">
        <v>7341500.0</v>
      </c>
    </row>
    <row r="2262">
      <c r="A2262" s="17">
        <v>1000000.0</v>
      </c>
      <c r="B2262" s="17">
        <v>7341700.0</v>
      </c>
    </row>
    <row r="2263">
      <c r="A2263" s="17">
        <v>1000000.0</v>
      </c>
      <c r="B2263" s="17">
        <v>7341800.0</v>
      </c>
    </row>
    <row r="2264">
      <c r="A2264" s="17">
        <v>1000000.0</v>
      </c>
      <c r="B2264" s="17">
        <v>7341900.0</v>
      </c>
    </row>
    <row r="2265">
      <c r="A2265" s="17">
        <v>1000000.0</v>
      </c>
      <c r="B2265" s="17">
        <v>7342000.0</v>
      </c>
    </row>
    <row r="2266">
      <c r="A2266" s="17">
        <v>1000000.0</v>
      </c>
      <c r="B2266" s="17">
        <v>7342100.0</v>
      </c>
    </row>
    <row r="2267">
      <c r="A2267" s="17">
        <v>1000000.0</v>
      </c>
      <c r="B2267" s="17">
        <v>7342200.0</v>
      </c>
    </row>
    <row r="2268">
      <c r="A2268" s="17">
        <v>1000000.0</v>
      </c>
      <c r="B2268" s="17">
        <v>7342300.0</v>
      </c>
    </row>
    <row r="2269">
      <c r="A2269" s="17">
        <v>1000000.0</v>
      </c>
      <c r="B2269" s="17">
        <v>7342400.0</v>
      </c>
    </row>
    <row r="2270">
      <c r="A2270" s="17">
        <v>1000000.0</v>
      </c>
      <c r="B2270" s="17">
        <v>7350000.0</v>
      </c>
    </row>
    <row r="2271">
      <c r="A2271" s="17">
        <v>1000000.0</v>
      </c>
      <c r="B2271" s="17">
        <v>7350100.0</v>
      </c>
    </row>
    <row r="2272">
      <c r="A2272" s="17">
        <v>1000000.0</v>
      </c>
      <c r="B2272" s="17">
        <v>7350200.0</v>
      </c>
    </row>
    <row r="2273">
      <c r="A2273" s="17">
        <v>1000000.0</v>
      </c>
      <c r="B2273" s="17">
        <v>7350300.0</v>
      </c>
    </row>
    <row r="2274">
      <c r="A2274" s="17">
        <v>1000000.0</v>
      </c>
      <c r="B2274" s="17">
        <v>7350400.0</v>
      </c>
    </row>
    <row r="2275">
      <c r="A2275" s="17">
        <v>1000000.0</v>
      </c>
      <c r="B2275" s="17">
        <v>7350500.0</v>
      </c>
    </row>
    <row r="2276">
      <c r="A2276" s="17">
        <v>1000000.0</v>
      </c>
      <c r="B2276" s="17">
        <v>7350600.0</v>
      </c>
    </row>
    <row r="2277">
      <c r="A2277" s="17">
        <v>1000000.0</v>
      </c>
      <c r="B2277" s="17">
        <v>7350700.0</v>
      </c>
    </row>
    <row r="2278">
      <c r="A2278" s="17">
        <v>1000000.0</v>
      </c>
      <c r="B2278" s="17">
        <v>7350800.0</v>
      </c>
    </row>
    <row r="2279">
      <c r="A2279" s="17">
        <v>1000000.0</v>
      </c>
      <c r="B2279" s="17">
        <v>7350900.0</v>
      </c>
    </row>
    <row r="2280">
      <c r="A2280" s="17">
        <v>1000000.0</v>
      </c>
      <c r="B2280" s="17">
        <v>7351000.0</v>
      </c>
    </row>
    <row r="2281">
      <c r="A2281" s="17">
        <v>1000000.0</v>
      </c>
      <c r="B2281" s="17">
        <v>7351100.0</v>
      </c>
    </row>
    <row r="2282">
      <c r="A2282" s="17">
        <v>1000000.0</v>
      </c>
      <c r="B2282" s="17">
        <v>7351200.0</v>
      </c>
    </row>
    <row r="2283">
      <c r="A2283" s="17">
        <v>1000000.0</v>
      </c>
      <c r="B2283" s="17">
        <v>7351300.0</v>
      </c>
    </row>
    <row r="2284">
      <c r="A2284" s="17">
        <v>1000000.0</v>
      </c>
      <c r="B2284" s="17">
        <v>7351400.0</v>
      </c>
    </row>
    <row r="2285">
      <c r="A2285" s="17">
        <v>1000000.0</v>
      </c>
      <c r="B2285" s="17">
        <v>7351500.0</v>
      </c>
    </row>
    <row r="2286">
      <c r="A2286" s="17">
        <v>1000000.0</v>
      </c>
      <c r="B2286" s="17">
        <v>7351700.0</v>
      </c>
    </row>
    <row r="2287">
      <c r="A2287" s="17">
        <v>1000000.0</v>
      </c>
      <c r="B2287" s="17">
        <v>7351800.0</v>
      </c>
    </row>
    <row r="2288">
      <c r="A2288" s="17">
        <v>1000000.0</v>
      </c>
      <c r="B2288" s="17">
        <v>7351900.0</v>
      </c>
    </row>
    <row r="2289">
      <c r="A2289" s="17">
        <v>1000000.0</v>
      </c>
      <c r="B2289" s="17">
        <v>7352000.0</v>
      </c>
    </row>
    <row r="2290">
      <c r="A2290" s="17">
        <v>1000000.0</v>
      </c>
      <c r="B2290" s="17">
        <v>7352100.0</v>
      </c>
    </row>
    <row r="2291">
      <c r="A2291" s="17">
        <v>1000000.0</v>
      </c>
      <c r="B2291" s="17">
        <v>7352200.0</v>
      </c>
    </row>
    <row r="2292">
      <c r="A2292" s="17">
        <v>1000000.0</v>
      </c>
      <c r="B2292" s="17">
        <v>7352300.0</v>
      </c>
    </row>
    <row r="2293">
      <c r="A2293" s="17">
        <v>1000000.0</v>
      </c>
      <c r="B2293" s="17">
        <v>7352400.0</v>
      </c>
    </row>
    <row r="2294">
      <c r="A2294" s="17">
        <v>1000000.0</v>
      </c>
      <c r="B2294" s="17">
        <v>7360600.0</v>
      </c>
    </row>
    <row r="2295">
      <c r="A2295" s="17">
        <v>1000000.0</v>
      </c>
      <c r="B2295" s="17">
        <v>7360900.0</v>
      </c>
    </row>
    <row r="2296">
      <c r="A2296" s="17">
        <v>1000000.0</v>
      </c>
      <c r="B2296" s="17">
        <v>7361200.0</v>
      </c>
    </row>
    <row r="2297">
      <c r="A2297" s="17">
        <v>1000000.0</v>
      </c>
      <c r="B2297" s="17">
        <v>7361300.0</v>
      </c>
    </row>
    <row r="2298">
      <c r="A2298" s="17">
        <v>1000000.0</v>
      </c>
      <c r="B2298" s="17">
        <v>7362100.0</v>
      </c>
    </row>
    <row r="2299">
      <c r="A2299" s="17">
        <v>1000000.0</v>
      </c>
      <c r="B2299" s="17">
        <v>7370300.0</v>
      </c>
    </row>
    <row r="2300">
      <c r="A2300" s="17">
        <v>1000000.0</v>
      </c>
      <c r="B2300" s="17">
        <v>7370400.0</v>
      </c>
    </row>
    <row r="2301">
      <c r="A2301" s="17">
        <v>1000000.0</v>
      </c>
      <c r="B2301" s="17">
        <v>7370600.0</v>
      </c>
    </row>
    <row r="2302">
      <c r="A2302" s="17">
        <v>1000000.0</v>
      </c>
      <c r="B2302" s="17">
        <v>7370900.0</v>
      </c>
    </row>
    <row r="2303">
      <c r="A2303" s="17">
        <v>1000000.0</v>
      </c>
      <c r="B2303" s="17">
        <v>7371500.0</v>
      </c>
    </row>
    <row r="2304">
      <c r="A2304" s="17">
        <v>1000000.0</v>
      </c>
      <c r="B2304" s="17">
        <v>7036200.0</v>
      </c>
    </row>
    <row r="2305">
      <c r="A2305" s="17">
        <v>1000000.0</v>
      </c>
      <c r="B2305" s="17">
        <v>7036300.0</v>
      </c>
    </row>
    <row r="2306">
      <c r="A2306" s="17">
        <v>1000000.0</v>
      </c>
      <c r="B2306" s="17">
        <v>7036400.0</v>
      </c>
    </row>
    <row r="2307">
      <c r="A2307" s="17">
        <v>1000000.0</v>
      </c>
      <c r="B2307" s="17">
        <v>7036500.0</v>
      </c>
    </row>
    <row r="2308">
      <c r="A2308" s="17">
        <v>1000000.0</v>
      </c>
      <c r="B2308" s="17">
        <v>7036800.0</v>
      </c>
    </row>
    <row r="2309">
      <c r="A2309" s="17">
        <v>1000000.0</v>
      </c>
      <c r="B2309" s="17">
        <v>7036900.0</v>
      </c>
    </row>
    <row r="2310">
      <c r="A2310" s="17">
        <v>1000000.0</v>
      </c>
      <c r="B2310" s="17">
        <v>7037000.0</v>
      </c>
    </row>
    <row r="2311">
      <c r="A2311" s="17">
        <v>1000000.0</v>
      </c>
      <c r="B2311" s="17">
        <v>7037300.0</v>
      </c>
    </row>
    <row r="2312">
      <c r="A2312" s="17">
        <v>1000000.0</v>
      </c>
      <c r="B2312" s="17">
        <v>6630000.0</v>
      </c>
    </row>
    <row r="2313">
      <c r="A2313" s="17">
        <v>1000000.0</v>
      </c>
      <c r="B2313" s="17">
        <v>6630100.0</v>
      </c>
    </row>
    <row r="2314">
      <c r="A2314" s="17">
        <v>1000000.0</v>
      </c>
      <c r="B2314" s="17">
        <v>6630200.0</v>
      </c>
    </row>
    <row r="2315">
      <c r="A2315" s="17">
        <v>1000000.0</v>
      </c>
      <c r="B2315" s="17">
        <v>6630300.0</v>
      </c>
    </row>
    <row r="2316">
      <c r="A2316" s="17">
        <v>1000000.0</v>
      </c>
      <c r="B2316" s="17">
        <v>6630400.0</v>
      </c>
    </row>
    <row r="2317">
      <c r="A2317" s="17">
        <v>1000000.0</v>
      </c>
      <c r="B2317" s="17">
        <v>6630500.0</v>
      </c>
    </row>
    <row r="2318">
      <c r="A2318" s="17">
        <v>1000000.0</v>
      </c>
      <c r="B2318" s="17">
        <v>6630600.0</v>
      </c>
    </row>
    <row r="2319">
      <c r="A2319" s="17">
        <v>1000000.0</v>
      </c>
      <c r="B2319" s="17">
        <v>6630700.0</v>
      </c>
    </row>
    <row r="2320">
      <c r="A2320" s="17">
        <v>1000000.0</v>
      </c>
      <c r="B2320" s="17">
        <v>6630800.0</v>
      </c>
    </row>
    <row r="2321">
      <c r="A2321" s="17">
        <v>1000000.0</v>
      </c>
      <c r="B2321" s="17">
        <v>6630900.0</v>
      </c>
    </row>
    <row r="2322">
      <c r="A2322" s="17">
        <v>1000000.0</v>
      </c>
      <c r="B2322" s="17">
        <v>6631000.0</v>
      </c>
    </row>
    <row r="2323">
      <c r="A2323" s="17">
        <v>1000000.0</v>
      </c>
      <c r="B2323" s="17">
        <v>6631100.0</v>
      </c>
    </row>
    <row r="2324">
      <c r="A2324" s="17">
        <v>1000000.0</v>
      </c>
      <c r="B2324" s="17">
        <v>6631200.0</v>
      </c>
    </row>
    <row r="2325">
      <c r="A2325" s="17">
        <v>1000000.0</v>
      </c>
      <c r="B2325" s="17">
        <v>6631300.0</v>
      </c>
    </row>
    <row r="2326">
      <c r="A2326" s="17">
        <v>1000000.0</v>
      </c>
      <c r="B2326" s="17">
        <v>6631400.0</v>
      </c>
    </row>
    <row r="2327">
      <c r="A2327" s="17">
        <v>1000000.0</v>
      </c>
      <c r="B2327" s="17">
        <v>6631500.0</v>
      </c>
    </row>
    <row r="2328">
      <c r="A2328" s="17">
        <v>1000000.0</v>
      </c>
      <c r="B2328" s="17">
        <v>6631600.0</v>
      </c>
    </row>
    <row r="2329">
      <c r="A2329" s="17">
        <v>1000000.0</v>
      </c>
      <c r="B2329" s="17">
        <v>6631700.0</v>
      </c>
    </row>
    <row r="2330">
      <c r="A2330" s="17">
        <v>1000000.0</v>
      </c>
      <c r="B2330" s="17">
        <v>6631800.0</v>
      </c>
    </row>
    <row r="2331">
      <c r="A2331" s="17">
        <v>1000000.0</v>
      </c>
      <c r="B2331" s="17">
        <v>6631900.0</v>
      </c>
    </row>
    <row r="2332">
      <c r="A2332" s="17">
        <v>1000000.0</v>
      </c>
      <c r="B2332" s="17">
        <v>6632000.0</v>
      </c>
    </row>
    <row r="2333">
      <c r="A2333" s="17">
        <v>1000000.0</v>
      </c>
      <c r="B2333" s="17">
        <v>6632100.0</v>
      </c>
    </row>
    <row r="2334">
      <c r="A2334" s="17">
        <v>1000000.0</v>
      </c>
      <c r="B2334" s="17">
        <v>6632200.0</v>
      </c>
    </row>
    <row r="2335">
      <c r="A2335" s="17">
        <v>1000000.0</v>
      </c>
      <c r="B2335" s="17">
        <v>6632300.0</v>
      </c>
    </row>
    <row r="2336">
      <c r="A2336" s="17">
        <v>1000000.0</v>
      </c>
      <c r="B2336" s="17">
        <v>6632400.0</v>
      </c>
    </row>
    <row r="2337">
      <c r="A2337" s="17">
        <v>1000000.0</v>
      </c>
      <c r="B2337" s="17">
        <v>6632500.0</v>
      </c>
    </row>
    <row r="2338">
      <c r="A2338" s="17">
        <v>1000000.0</v>
      </c>
      <c r="B2338" s="17">
        <v>6632600.0</v>
      </c>
    </row>
    <row r="2339">
      <c r="A2339" s="17">
        <v>1000000.0</v>
      </c>
      <c r="B2339" s="17">
        <v>6632700.0</v>
      </c>
    </row>
    <row r="2340">
      <c r="A2340" s="17">
        <v>1000000.0</v>
      </c>
      <c r="B2340" s="17">
        <v>6632800.0</v>
      </c>
    </row>
    <row r="2341">
      <c r="A2341" s="17">
        <v>1000000.0</v>
      </c>
      <c r="B2341" s="17">
        <v>6632900.0</v>
      </c>
    </row>
    <row r="2342">
      <c r="A2342" s="17">
        <v>1000000.0</v>
      </c>
      <c r="B2342" s="17">
        <v>6633000.0</v>
      </c>
    </row>
    <row r="2343">
      <c r="A2343" s="17">
        <v>1000000.0</v>
      </c>
      <c r="B2343" s="17">
        <v>6633100.0</v>
      </c>
    </row>
    <row r="2344">
      <c r="A2344" s="17">
        <v>1000000.0</v>
      </c>
      <c r="B2344" s="17">
        <v>6633200.0</v>
      </c>
    </row>
    <row r="2345">
      <c r="A2345" s="17">
        <v>1000000.0</v>
      </c>
      <c r="B2345" s="17">
        <v>6647200.0</v>
      </c>
    </row>
    <row r="2346">
      <c r="A2346" s="17">
        <v>1000000.0</v>
      </c>
      <c r="B2346" s="17">
        <v>6647300.0</v>
      </c>
    </row>
    <row r="2347">
      <c r="A2347" s="17">
        <v>1000000.0</v>
      </c>
      <c r="B2347" s="17">
        <v>6647400.0</v>
      </c>
    </row>
    <row r="2348">
      <c r="A2348" s="17">
        <v>1000000.0</v>
      </c>
      <c r="B2348" s="17">
        <v>6647500.0</v>
      </c>
    </row>
    <row r="2349">
      <c r="A2349" s="17">
        <v>1000000.0</v>
      </c>
      <c r="B2349" s="17">
        <v>6640000.0</v>
      </c>
    </row>
    <row r="2350">
      <c r="A2350" s="17">
        <v>1000000.0</v>
      </c>
      <c r="B2350" s="17">
        <v>6640100.0</v>
      </c>
    </row>
    <row r="2351">
      <c r="A2351" s="17">
        <v>1000000.0</v>
      </c>
      <c r="B2351" s="17">
        <v>6641000.0</v>
      </c>
    </row>
    <row r="2352">
      <c r="A2352" s="17">
        <v>1000000.0</v>
      </c>
      <c r="B2352" s="17">
        <v>6641100.0</v>
      </c>
    </row>
    <row r="2353">
      <c r="A2353" s="17">
        <v>1000000.0</v>
      </c>
      <c r="B2353" s="17">
        <v>6642000.0</v>
      </c>
    </row>
    <row r="2354">
      <c r="A2354" s="17">
        <v>1000000.0</v>
      </c>
      <c r="B2354" s="17">
        <v>6642100.0</v>
      </c>
    </row>
    <row r="2355">
      <c r="A2355" s="17">
        <v>1000000.0</v>
      </c>
      <c r="B2355" s="17">
        <v>6643000.0</v>
      </c>
    </row>
    <row r="2356">
      <c r="A2356" s="17">
        <v>1000000.0</v>
      </c>
      <c r="B2356" s="17">
        <v>6643100.0</v>
      </c>
    </row>
    <row r="2357">
      <c r="A2357" s="17">
        <v>1000000.0</v>
      </c>
      <c r="B2357" s="17">
        <v>6644000.0</v>
      </c>
    </row>
    <row r="2358">
      <c r="A2358" s="17">
        <v>1000000.0</v>
      </c>
      <c r="B2358" s="17">
        <v>6644100.0</v>
      </c>
    </row>
    <row r="2359">
      <c r="A2359" s="17">
        <v>1000000.0</v>
      </c>
      <c r="B2359" s="17">
        <v>6645000.0</v>
      </c>
    </row>
    <row r="2360">
      <c r="A2360" s="17">
        <v>1000000.0</v>
      </c>
      <c r="B2360" s="17">
        <v>6645100.0</v>
      </c>
    </row>
    <row r="2361">
      <c r="A2361" s="17">
        <v>1000000.0</v>
      </c>
      <c r="B2361" s="17">
        <v>6646000.0</v>
      </c>
    </row>
    <row r="2362">
      <c r="A2362" s="17">
        <v>1000000.0</v>
      </c>
      <c r="B2362" s="17">
        <v>6646100.0</v>
      </c>
    </row>
    <row r="2363">
      <c r="A2363" s="17">
        <v>1000000.0</v>
      </c>
      <c r="B2363" s="17">
        <v>6647000.0</v>
      </c>
    </row>
    <row r="2364">
      <c r="A2364" s="17">
        <v>1000000.0</v>
      </c>
      <c r="B2364" s="17">
        <v>6647100.0</v>
      </c>
    </row>
    <row r="2365">
      <c r="A2365" s="17">
        <v>1000001.0</v>
      </c>
      <c r="B2365" s="17">
        <v>7000000.0</v>
      </c>
    </row>
    <row r="2366">
      <c r="A2366" s="17">
        <v>1000001.0</v>
      </c>
      <c r="B2366" s="17">
        <v>7000001.0</v>
      </c>
    </row>
    <row r="2367">
      <c r="A2367" s="17">
        <v>1000001.0</v>
      </c>
      <c r="B2367" s="17">
        <v>7000002.0</v>
      </c>
    </row>
    <row r="2368">
      <c r="A2368" s="17">
        <v>1000001.0</v>
      </c>
      <c r="B2368" s="17">
        <v>7000100.0</v>
      </c>
    </row>
    <row r="2369">
      <c r="A2369" s="17">
        <v>1000001.0</v>
      </c>
      <c r="B2369" s="17">
        <v>7000101.0</v>
      </c>
    </row>
    <row r="2370">
      <c r="A2370" s="17">
        <v>1000001.0</v>
      </c>
      <c r="B2370" s="17">
        <v>7000102.0</v>
      </c>
    </row>
    <row r="2371">
      <c r="A2371" s="17">
        <v>1000001.0</v>
      </c>
      <c r="B2371" s="17">
        <v>7000200.0</v>
      </c>
    </row>
    <row r="2372">
      <c r="A2372" s="17">
        <v>1000001.0</v>
      </c>
      <c r="B2372" s="17">
        <v>7000201.0</v>
      </c>
    </row>
    <row r="2373">
      <c r="A2373" s="17">
        <v>1000001.0</v>
      </c>
      <c r="B2373" s="17">
        <v>7000202.0</v>
      </c>
    </row>
    <row r="2374">
      <c r="A2374" s="17">
        <v>1000001.0</v>
      </c>
      <c r="B2374" s="17">
        <v>7000300.0</v>
      </c>
    </row>
    <row r="2375">
      <c r="A2375" s="17">
        <v>1000001.0</v>
      </c>
      <c r="B2375" s="17">
        <v>7000301.0</v>
      </c>
    </row>
    <row r="2376">
      <c r="A2376" s="17">
        <v>1000001.0</v>
      </c>
      <c r="B2376" s="17">
        <v>7000302.0</v>
      </c>
    </row>
    <row r="2377">
      <c r="A2377" s="17">
        <v>1000001.0</v>
      </c>
      <c r="B2377" s="17">
        <v>7000400.0</v>
      </c>
    </row>
    <row r="2378">
      <c r="A2378" s="17">
        <v>1000001.0</v>
      </c>
      <c r="B2378" s="17">
        <v>7000401.0</v>
      </c>
    </row>
    <row r="2379">
      <c r="A2379" s="17">
        <v>1000001.0</v>
      </c>
      <c r="B2379" s="17">
        <v>7000402.0</v>
      </c>
    </row>
    <row r="2380">
      <c r="A2380" s="17">
        <v>1000001.0</v>
      </c>
      <c r="B2380" s="17">
        <v>7000500.0</v>
      </c>
    </row>
    <row r="2381">
      <c r="A2381" s="17">
        <v>1000001.0</v>
      </c>
      <c r="B2381" s="17">
        <v>7000501.0</v>
      </c>
    </row>
    <row r="2382">
      <c r="A2382" s="17">
        <v>1000001.0</v>
      </c>
      <c r="B2382" s="17">
        <v>7000502.0</v>
      </c>
    </row>
    <row r="2383">
      <c r="A2383" s="17">
        <v>1000001.0</v>
      </c>
      <c r="B2383" s="17">
        <v>7000600.0</v>
      </c>
    </row>
    <row r="2384">
      <c r="A2384" s="17">
        <v>1000001.0</v>
      </c>
      <c r="B2384" s="17">
        <v>7000601.0</v>
      </c>
    </row>
    <row r="2385">
      <c r="A2385" s="17">
        <v>1000001.0</v>
      </c>
      <c r="B2385" s="17">
        <v>7000602.0</v>
      </c>
    </row>
    <row r="2386">
      <c r="A2386" s="17">
        <v>1000001.0</v>
      </c>
      <c r="B2386" s="17">
        <v>7000700.0</v>
      </c>
    </row>
    <row r="2387">
      <c r="A2387" s="17">
        <v>1000001.0</v>
      </c>
      <c r="B2387" s="17">
        <v>7000701.0</v>
      </c>
    </row>
    <row r="2388">
      <c r="A2388" s="17">
        <v>1000001.0</v>
      </c>
      <c r="B2388" s="17">
        <v>7000702.0</v>
      </c>
    </row>
    <row r="2389">
      <c r="A2389" s="17">
        <v>1000001.0</v>
      </c>
      <c r="B2389" s="17">
        <v>7000800.0</v>
      </c>
    </row>
    <row r="2390">
      <c r="A2390" s="17">
        <v>1000001.0</v>
      </c>
      <c r="B2390" s="17">
        <v>7000801.0</v>
      </c>
    </row>
    <row r="2391">
      <c r="A2391" s="17">
        <v>1000001.0</v>
      </c>
      <c r="B2391" s="17">
        <v>7000802.0</v>
      </c>
    </row>
    <row r="2392">
      <c r="A2392" s="17">
        <v>1000001.0</v>
      </c>
      <c r="B2392" s="17">
        <v>7000900.0</v>
      </c>
    </row>
    <row r="2393">
      <c r="A2393" s="17">
        <v>1000001.0</v>
      </c>
      <c r="B2393" s="17">
        <v>7000901.0</v>
      </c>
    </row>
    <row r="2394">
      <c r="A2394" s="17">
        <v>1000001.0</v>
      </c>
      <c r="B2394" s="17">
        <v>7000902.0</v>
      </c>
    </row>
    <row r="2395">
      <c r="A2395" s="17">
        <v>1000001.0</v>
      </c>
      <c r="B2395" s="17">
        <v>7001000.0</v>
      </c>
    </row>
    <row r="2396">
      <c r="A2396" s="17">
        <v>1000001.0</v>
      </c>
      <c r="B2396" s="17">
        <v>7001001.0</v>
      </c>
    </row>
    <row r="2397">
      <c r="A2397" s="17">
        <v>1000001.0</v>
      </c>
      <c r="B2397" s="17">
        <v>7001002.0</v>
      </c>
    </row>
    <row r="2398">
      <c r="A2398" s="17">
        <v>1000001.0</v>
      </c>
      <c r="B2398" s="17">
        <v>7001400.0</v>
      </c>
    </row>
    <row r="2399">
      <c r="A2399" s="17">
        <v>1000001.0</v>
      </c>
      <c r="B2399" s="17">
        <v>7001401.0</v>
      </c>
    </row>
    <row r="2400">
      <c r="A2400" s="17">
        <v>1000001.0</v>
      </c>
      <c r="B2400" s="17">
        <v>7001402.0</v>
      </c>
    </row>
    <row r="2401">
      <c r="A2401" s="17">
        <v>1000001.0</v>
      </c>
      <c r="B2401" s="17">
        <v>7001500.0</v>
      </c>
    </row>
    <row r="2402">
      <c r="A2402" s="17">
        <v>1000001.0</v>
      </c>
      <c r="B2402" s="17">
        <v>7001501.0</v>
      </c>
    </row>
    <row r="2403">
      <c r="A2403" s="17">
        <v>1000001.0</v>
      </c>
      <c r="B2403" s="17">
        <v>7001502.0</v>
      </c>
    </row>
    <row r="2404">
      <c r="A2404" s="17">
        <v>1000001.0</v>
      </c>
      <c r="B2404" s="17">
        <v>7001600.0</v>
      </c>
    </row>
    <row r="2405">
      <c r="A2405" s="17">
        <v>1000001.0</v>
      </c>
      <c r="B2405" s="17">
        <v>7001601.0</v>
      </c>
    </row>
    <row r="2406">
      <c r="A2406" s="17">
        <v>1000001.0</v>
      </c>
      <c r="B2406" s="17">
        <v>7001602.0</v>
      </c>
    </row>
    <row r="2407">
      <c r="A2407" s="17">
        <v>1000001.0</v>
      </c>
      <c r="B2407" s="17">
        <v>7001700.0</v>
      </c>
    </row>
    <row r="2408">
      <c r="A2408" s="17">
        <v>1000001.0</v>
      </c>
      <c r="B2408" s="17">
        <v>7001701.0</v>
      </c>
    </row>
    <row r="2409">
      <c r="A2409" s="17">
        <v>1000001.0</v>
      </c>
      <c r="B2409" s="17">
        <v>7001702.0</v>
      </c>
    </row>
    <row r="2410">
      <c r="A2410" s="17">
        <v>1000001.0</v>
      </c>
      <c r="B2410" s="17">
        <v>7001800.0</v>
      </c>
    </row>
    <row r="2411">
      <c r="A2411" s="17">
        <v>1000001.0</v>
      </c>
      <c r="B2411" s="17">
        <v>7001801.0</v>
      </c>
    </row>
    <row r="2412">
      <c r="A2412" s="17">
        <v>1000001.0</v>
      </c>
      <c r="B2412" s="17">
        <v>7001802.0</v>
      </c>
    </row>
    <row r="2413">
      <c r="A2413" s="17">
        <v>1000001.0</v>
      </c>
      <c r="B2413" s="17">
        <v>7002600.0</v>
      </c>
    </row>
    <row r="2414">
      <c r="A2414" s="17">
        <v>1000001.0</v>
      </c>
      <c r="B2414" s="17">
        <v>7002700.0</v>
      </c>
    </row>
    <row r="2415">
      <c r="A2415" s="17">
        <v>1000001.0</v>
      </c>
      <c r="B2415" s="17">
        <v>7002800.0</v>
      </c>
    </row>
    <row r="2416">
      <c r="A2416" s="17">
        <v>1000001.0</v>
      </c>
      <c r="B2416" s="17">
        <v>7002900.0</v>
      </c>
    </row>
    <row r="2417">
      <c r="A2417" s="17">
        <v>1000001.0</v>
      </c>
      <c r="B2417" s="17">
        <v>7003000.0</v>
      </c>
    </row>
    <row r="2418">
      <c r="A2418" s="17">
        <v>1000001.0</v>
      </c>
      <c r="B2418" s="17">
        <v>7003100.0</v>
      </c>
    </row>
    <row r="2419">
      <c r="A2419" s="17">
        <v>1000001.0</v>
      </c>
      <c r="B2419" s="17">
        <v>7003200.0</v>
      </c>
    </row>
    <row r="2420">
      <c r="A2420" s="17">
        <v>1000001.0</v>
      </c>
      <c r="B2420" s="17">
        <v>7003300.0</v>
      </c>
    </row>
    <row r="2421">
      <c r="A2421" s="17">
        <v>1000001.0</v>
      </c>
      <c r="B2421" s="17">
        <v>7003400.0</v>
      </c>
    </row>
    <row r="2422">
      <c r="A2422" s="17">
        <v>1000001.0</v>
      </c>
      <c r="B2422" s="17">
        <v>7003500.0</v>
      </c>
    </row>
    <row r="2423">
      <c r="A2423" s="17">
        <v>1000001.0</v>
      </c>
      <c r="B2423" s="17">
        <v>7003600.0</v>
      </c>
    </row>
    <row r="2424">
      <c r="A2424" s="17">
        <v>1000001.0</v>
      </c>
      <c r="B2424" s="17">
        <v>7005600.0</v>
      </c>
    </row>
    <row r="2425">
      <c r="A2425" s="17">
        <v>1000001.0</v>
      </c>
      <c r="B2425" s="17">
        <v>7006000.0</v>
      </c>
    </row>
    <row r="2426">
      <c r="A2426" s="17">
        <v>1000001.0</v>
      </c>
      <c r="B2426" s="17">
        <v>7006100.0</v>
      </c>
    </row>
    <row r="2427">
      <c r="A2427" s="17">
        <v>1000001.0</v>
      </c>
      <c r="B2427" s="17">
        <v>7010200.0</v>
      </c>
    </row>
    <row r="2428">
      <c r="A2428" s="17">
        <v>1000001.0</v>
      </c>
      <c r="B2428" s="17">
        <v>7010500.0</v>
      </c>
    </row>
    <row r="2429">
      <c r="A2429" s="17">
        <v>1000001.0</v>
      </c>
      <c r="B2429" s="17">
        <v>7010700.0</v>
      </c>
    </row>
    <row r="2430">
      <c r="A2430" s="17">
        <v>1000001.0</v>
      </c>
      <c r="B2430" s="17">
        <v>7010900.0</v>
      </c>
    </row>
    <row r="2431">
      <c r="A2431" s="17">
        <v>1000001.0</v>
      </c>
      <c r="B2431" s="17">
        <v>7011000.0</v>
      </c>
    </row>
    <row r="2432">
      <c r="A2432" s="17">
        <v>1000001.0</v>
      </c>
      <c r="B2432" s="17">
        <v>7011200.0</v>
      </c>
    </row>
    <row r="2433">
      <c r="A2433" s="17">
        <v>1000001.0</v>
      </c>
      <c r="B2433" s="17">
        <v>7011600.0</v>
      </c>
    </row>
    <row r="2434">
      <c r="A2434" s="17">
        <v>1000001.0</v>
      </c>
      <c r="B2434" s="17">
        <v>7011700.0</v>
      </c>
    </row>
    <row r="2435">
      <c r="A2435" s="17">
        <v>1000001.0</v>
      </c>
      <c r="B2435" s="17">
        <v>7012000.0</v>
      </c>
    </row>
    <row r="2436">
      <c r="A2436" s="17">
        <v>1000001.0</v>
      </c>
      <c r="B2436" s="17">
        <v>7012200.0</v>
      </c>
    </row>
    <row r="2437">
      <c r="A2437" s="17">
        <v>1000001.0</v>
      </c>
      <c r="B2437" s="17">
        <v>7012300.0</v>
      </c>
    </row>
    <row r="2438">
      <c r="A2438" s="17">
        <v>1000001.0</v>
      </c>
      <c r="B2438" s="17">
        <v>7020000.0</v>
      </c>
    </row>
    <row r="2439">
      <c r="A2439" s="17">
        <v>1000001.0</v>
      </c>
      <c r="B2439" s="17">
        <v>7030000.0</v>
      </c>
    </row>
    <row r="2440">
      <c r="A2440" s="17">
        <v>1000001.0</v>
      </c>
      <c r="B2440" s="17">
        <v>7030200.0</v>
      </c>
    </row>
    <row r="2441">
      <c r="A2441" s="17">
        <v>1000001.0</v>
      </c>
      <c r="B2441" s="17">
        <v>7030600.0</v>
      </c>
    </row>
    <row r="2442">
      <c r="A2442" s="17">
        <v>1000001.0</v>
      </c>
      <c r="B2442" s="17">
        <v>7030700.0</v>
      </c>
    </row>
    <row r="2443">
      <c r="A2443" s="17">
        <v>1000001.0</v>
      </c>
      <c r="B2443" s="17">
        <v>7030800.0</v>
      </c>
    </row>
    <row r="2444">
      <c r="A2444" s="17">
        <v>1000001.0</v>
      </c>
      <c r="B2444" s="17">
        <v>7030900.0</v>
      </c>
    </row>
    <row r="2445">
      <c r="A2445" s="17">
        <v>1000001.0</v>
      </c>
      <c r="B2445" s="17">
        <v>7031200.0</v>
      </c>
    </row>
    <row r="2446">
      <c r="A2446" s="17">
        <v>1000001.0</v>
      </c>
      <c r="B2446" s="17">
        <v>7031300.0</v>
      </c>
    </row>
    <row r="2447">
      <c r="A2447" s="17">
        <v>1000001.0</v>
      </c>
      <c r="B2447" s="17">
        <v>7031800.0</v>
      </c>
    </row>
    <row r="2448">
      <c r="A2448" s="17">
        <v>1000001.0</v>
      </c>
      <c r="B2448" s="17">
        <v>7031900.0</v>
      </c>
    </row>
    <row r="2449">
      <c r="A2449" s="17">
        <v>1000001.0</v>
      </c>
      <c r="B2449" s="17">
        <v>7032200.0</v>
      </c>
    </row>
    <row r="2450">
      <c r="A2450" s="17">
        <v>1000001.0</v>
      </c>
      <c r="B2450" s="17">
        <v>7032400.0</v>
      </c>
    </row>
    <row r="2451">
      <c r="A2451" s="17">
        <v>1000001.0</v>
      </c>
      <c r="B2451" s="17">
        <v>7032700.0</v>
      </c>
    </row>
    <row r="2452">
      <c r="A2452" s="17">
        <v>1000001.0</v>
      </c>
      <c r="B2452" s="17">
        <v>7032800.0</v>
      </c>
    </row>
    <row r="2453">
      <c r="A2453" s="17">
        <v>1000001.0</v>
      </c>
      <c r="B2453" s="17">
        <v>7032900.0</v>
      </c>
    </row>
    <row r="2454">
      <c r="A2454" s="17">
        <v>1000001.0</v>
      </c>
      <c r="B2454" s="17">
        <v>7033200.0</v>
      </c>
    </row>
    <row r="2455">
      <c r="A2455" s="17">
        <v>1000001.0</v>
      </c>
      <c r="B2455" s="17">
        <v>7033400.0</v>
      </c>
    </row>
    <row r="2456">
      <c r="A2456" s="17">
        <v>1000001.0</v>
      </c>
      <c r="B2456" s="17">
        <v>7034100.0</v>
      </c>
    </row>
    <row r="2457">
      <c r="A2457" s="17">
        <v>1000001.0</v>
      </c>
      <c r="B2457" s="17">
        <v>7034400.0</v>
      </c>
    </row>
    <row r="2458">
      <c r="A2458" s="17">
        <v>1000001.0</v>
      </c>
      <c r="B2458" s="17">
        <v>7034500.0</v>
      </c>
    </row>
    <row r="2459">
      <c r="A2459" s="17">
        <v>1000001.0</v>
      </c>
      <c r="B2459" s="17">
        <v>7034600.0</v>
      </c>
    </row>
    <row r="2460">
      <c r="A2460" s="17">
        <v>1000001.0</v>
      </c>
      <c r="B2460" s="17">
        <v>7034700.0</v>
      </c>
    </row>
    <row r="2461">
      <c r="A2461" s="17">
        <v>1000001.0</v>
      </c>
      <c r="B2461" s="17">
        <v>7035100.0</v>
      </c>
    </row>
    <row r="2462">
      <c r="A2462" s="17">
        <v>1000001.0</v>
      </c>
      <c r="B2462" s="17">
        <v>7036100.0</v>
      </c>
    </row>
    <row r="2463">
      <c r="A2463" s="17">
        <v>1000001.0</v>
      </c>
      <c r="B2463" s="17">
        <v>7040000.0</v>
      </c>
    </row>
    <row r="2464">
      <c r="A2464" s="17">
        <v>1000001.0</v>
      </c>
      <c r="B2464" s="17">
        <v>7040100.0</v>
      </c>
    </row>
    <row r="2465">
      <c r="A2465" s="17">
        <v>1000001.0</v>
      </c>
      <c r="B2465" s="17">
        <v>7040200.0</v>
      </c>
    </row>
    <row r="2466">
      <c r="A2466" s="17">
        <v>1000001.0</v>
      </c>
      <c r="B2466" s="17">
        <v>7040300.0</v>
      </c>
    </row>
    <row r="2467">
      <c r="A2467" s="17">
        <v>1000001.0</v>
      </c>
      <c r="B2467" s="17">
        <v>7040400.0</v>
      </c>
    </row>
    <row r="2468">
      <c r="A2468" s="17">
        <v>1000001.0</v>
      </c>
      <c r="B2468" s="17">
        <v>7040500.0</v>
      </c>
    </row>
    <row r="2469">
      <c r="A2469" s="17">
        <v>1000001.0</v>
      </c>
      <c r="B2469" s="17">
        <v>7043000.0</v>
      </c>
    </row>
    <row r="2470">
      <c r="A2470" s="17">
        <v>1000001.0</v>
      </c>
      <c r="B2470" s="17">
        <v>7043100.0</v>
      </c>
    </row>
    <row r="2471">
      <c r="A2471" s="17">
        <v>1000001.0</v>
      </c>
      <c r="B2471" s="17">
        <v>7043200.0</v>
      </c>
    </row>
    <row r="2472">
      <c r="A2472" s="17">
        <v>1000001.0</v>
      </c>
      <c r="B2472" s="17">
        <v>7043300.0</v>
      </c>
    </row>
    <row r="2473">
      <c r="A2473" s="17">
        <v>1000001.0</v>
      </c>
      <c r="B2473" s="17">
        <v>7043400.0</v>
      </c>
    </row>
    <row r="2474">
      <c r="A2474" s="17">
        <v>1000001.0</v>
      </c>
      <c r="B2474" s="17">
        <v>7043500.0</v>
      </c>
    </row>
    <row r="2475">
      <c r="A2475" s="17">
        <v>1000001.0</v>
      </c>
      <c r="B2475" s="17">
        <v>7043600.0</v>
      </c>
    </row>
    <row r="2476">
      <c r="A2476" s="17">
        <v>1000001.0</v>
      </c>
      <c r="B2476" s="17">
        <v>7043700.0</v>
      </c>
    </row>
    <row r="2477">
      <c r="A2477" s="17">
        <v>1000001.0</v>
      </c>
      <c r="B2477" s="17">
        <v>7043800.0</v>
      </c>
    </row>
    <row r="2478">
      <c r="A2478" s="17">
        <v>1000001.0</v>
      </c>
      <c r="B2478" s="17">
        <v>7044000.0</v>
      </c>
    </row>
    <row r="2479">
      <c r="A2479" s="17">
        <v>1000001.0</v>
      </c>
      <c r="B2479" s="17">
        <v>7044100.0</v>
      </c>
    </row>
    <row r="2480">
      <c r="A2480" s="17">
        <v>1000001.0</v>
      </c>
      <c r="B2480" s="17">
        <v>7044200.0</v>
      </c>
    </row>
    <row r="2481">
      <c r="A2481" s="17">
        <v>1000001.0</v>
      </c>
      <c r="B2481" s="17">
        <v>7044300.0</v>
      </c>
    </row>
    <row r="2482">
      <c r="A2482" s="17">
        <v>1000001.0</v>
      </c>
      <c r="B2482" s="17">
        <v>7044400.0</v>
      </c>
    </row>
    <row r="2483">
      <c r="A2483" s="17">
        <v>1000001.0</v>
      </c>
      <c r="B2483" s="17">
        <v>7044500.0</v>
      </c>
    </row>
    <row r="2484">
      <c r="A2484" s="17">
        <v>1000001.0</v>
      </c>
      <c r="B2484" s="17">
        <v>7044600.0</v>
      </c>
    </row>
    <row r="2485">
      <c r="A2485" s="17">
        <v>1000001.0</v>
      </c>
      <c r="B2485" s="17">
        <v>7050000.0</v>
      </c>
    </row>
    <row r="2486">
      <c r="A2486" s="17">
        <v>1000001.0</v>
      </c>
      <c r="B2486" s="17">
        <v>7050100.0</v>
      </c>
    </row>
    <row r="2487">
      <c r="A2487" s="17">
        <v>1000001.0</v>
      </c>
      <c r="B2487" s="17">
        <v>7060000.0</v>
      </c>
    </row>
    <row r="2488">
      <c r="A2488" s="17">
        <v>1000001.0</v>
      </c>
      <c r="B2488" s="17">
        <v>7060100.0</v>
      </c>
    </row>
    <row r="2489">
      <c r="A2489" s="17">
        <v>1000001.0</v>
      </c>
      <c r="B2489" s="17">
        <v>7060200.0</v>
      </c>
    </row>
    <row r="2490">
      <c r="A2490" s="17">
        <v>1000001.0</v>
      </c>
      <c r="B2490" s="17">
        <v>7070000.0</v>
      </c>
    </row>
    <row r="2491">
      <c r="A2491" s="17">
        <v>1000001.0</v>
      </c>
      <c r="B2491" s="17">
        <v>7080000.0</v>
      </c>
    </row>
    <row r="2492">
      <c r="A2492" s="17">
        <v>1000001.0</v>
      </c>
      <c r="B2492" s="17">
        <v>7080100.0</v>
      </c>
    </row>
    <row r="2493">
      <c r="A2493" s="17">
        <v>1000001.0</v>
      </c>
      <c r="B2493" s="17">
        <v>7080200.0</v>
      </c>
    </row>
    <row r="2494">
      <c r="A2494" s="17">
        <v>1000001.0</v>
      </c>
      <c r="B2494" s="17">
        <v>7080300.0</v>
      </c>
    </row>
    <row r="2495">
      <c r="A2495" s="17">
        <v>1000001.0</v>
      </c>
      <c r="B2495" s="17">
        <v>7080400.0</v>
      </c>
    </row>
    <row r="2496">
      <c r="A2496" s="17">
        <v>1000001.0</v>
      </c>
      <c r="B2496" s="17">
        <v>7080500.0</v>
      </c>
    </row>
    <row r="2497">
      <c r="A2497" s="17">
        <v>1000001.0</v>
      </c>
      <c r="B2497" s="17">
        <v>7080600.0</v>
      </c>
    </row>
    <row r="2498">
      <c r="A2498" s="17">
        <v>1000001.0</v>
      </c>
      <c r="B2498" s="17">
        <v>7080700.0</v>
      </c>
    </row>
    <row r="2499">
      <c r="A2499" s="17">
        <v>1000001.0</v>
      </c>
      <c r="B2499" s="17">
        <v>7080800.0</v>
      </c>
    </row>
    <row r="2500">
      <c r="A2500" s="17">
        <v>1000001.0</v>
      </c>
      <c r="B2500" s="17">
        <v>7080900.0</v>
      </c>
    </row>
    <row r="2501">
      <c r="A2501" s="17">
        <v>1000001.0</v>
      </c>
      <c r="B2501" s="17">
        <v>7081000.0</v>
      </c>
    </row>
    <row r="2502">
      <c r="A2502" s="17">
        <v>1000001.0</v>
      </c>
      <c r="B2502" s="17">
        <v>7081100.0</v>
      </c>
    </row>
    <row r="2503">
      <c r="A2503" s="17">
        <v>1000001.0</v>
      </c>
      <c r="B2503" s="17">
        <v>7081200.0</v>
      </c>
    </row>
    <row r="2504">
      <c r="A2504" s="17">
        <v>1000001.0</v>
      </c>
      <c r="B2504" s="17">
        <v>7081300.0</v>
      </c>
    </row>
    <row r="2505">
      <c r="A2505" s="17">
        <v>1000001.0</v>
      </c>
      <c r="B2505" s="17">
        <v>7081400.0</v>
      </c>
    </row>
    <row r="2506">
      <c r="A2506" s="17">
        <v>1000001.0</v>
      </c>
      <c r="B2506" s="17">
        <v>7081500.0</v>
      </c>
    </row>
    <row r="2507">
      <c r="A2507" s="17">
        <v>1000001.0</v>
      </c>
      <c r="B2507" s="17">
        <v>7081700.0</v>
      </c>
    </row>
    <row r="2508">
      <c r="A2508" s="17">
        <v>1000001.0</v>
      </c>
      <c r="B2508" s="17">
        <v>7081800.0</v>
      </c>
    </row>
    <row r="2509">
      <c r="A2509" s="17">
        <v>1000001.0</v>
      </c>
      <c r="B2509" s="17">
        <v>7081900.0</v>
      </c>
    </row>
    <row r="2510">
      <c r="A2510" s="17">
        <v>1000001.0</v>
      </c>
      <c r="B2510" s="17">
        <v>7082000.0</v>
      </c>
    </row>
    <row r="2511">
      <c r="A2511" s="17">
        <v>1000001.0</v>
      </c>
      <c r="B2511" s="17">
        <v>7082100.0</v>
      </c>
    </row>
    <row r="2512">
      <c r="A2512" s="17">
        <v>1000001.0</v>
      </c>
      <c r="B2512" s="17">
        <v>7082200.0</v>
      </c>
    </row>
    <row r="2513">
      <c r="A2513" s="17">
        <v>1000001.0</v>
      </c>
      <c r="B2513" s="17">
        <v>7082300.0</v>
      </c>
    </row>
    <row r="2514">
      <c r="A2514" s="17">
        <v>1000001.0</v>
      </c>
      <c r="B2514" s="17">
        <v>7082400.0</v>
      </c>
    </row>
    <row r="2515">
      <c r="A2515" s="17">
        <v>1000001.0</v>
      </c>
      <c r="B2515" s="17">
        <v>7082500.0</v>
      </c>
    </row>
    <row r="2516">
      <c r="A2516" s="17">
        <v>1000001.0</v>
      </c>
      <c r="B2516" s="17">
        <v>7082600.0</v>
      </c>
    </row>
    <row r="2517">
      <c r="A2517" s="17">
        <v>1000001.0</v>
      </c>
      <c r="B2517" s="17">
        <v>7082700.0</v>
      </c>
    </row>
    <row r="2518">
      <c r="A2518" s="17">
        <v>1000001.0</v>
      </c>
      <c r="B2518" s="17">
        <v>7082800.0</v>
      </c>
    </row>
    <row r="2519">
      <c r="A2519" s="17">
        <v>1000001.0</v>
      </c>
      <c r="B2519" s="17">
        <v>7082900.0</v>
      </c>
    </row>
    <row r="2520">
      <c r="A2520" s="17">
        <v>1000001.0</v>
      </c>
      <c r="B2520" s="17">
        <v>7090000.0</v>
      </c>
    </row>
    <row r="2521">
      <c r="A2521" s="17">
        <v>1000001.0</v>
      </c>
      <c r="B2521" s="17">
        <v>7090100.0</v>
      </c>
    </row>
    <row r="2522">
      <c r="A2522" s="17">
        <v>1000001.0</v>
      </c>
      <c r="B2522" s="17">
        <v>7090300.0</v>
      </c>
    </row>
    <row r="2523">
      <c r="A2523" s="17">
        <v>1000001.0</v>
      </c>
      <c r="B2523" s="17">
        <v>7100100.0</v>
      </c>
    </row>
    <row r="2524">
      <c r="A2524" s="17">
        <v>1000001.0</v>
      </c>
      <c r="B2524" s="17">
        <v>7110000.0</v>
      </c>
    </row>
    <row r="2525">
      <c r="A2525" s="17">
        <v>1000001.0</v>
      </c>
      <c r="B2525" s="17">
        <v>7120000.0</v>
      </c>
    </row>
    <row r="2526">
      <c r="A2526" s="17">
        <v>1000001.0</v>
      </c>
      <c r="B2526" s="17">
        <v>7120100.0</v>
      </c>
    </row>
    <row r="2527">
      <c r="A2527" s="17">
        <v>1000001.0</v>
      </c>
      <c r="B2527" s="17">
        <v>7120200.0</v>
      </c>
    </row>
    <row r="2528">
      <c r="A2528" s="17">
        <v>1000001.0</v>
      </c>
      <c r="B2528" s="17">
        <v>7120300.0</v>
      </c>
    </row>
    <row r="2529">
      <c r="A2529" s="17">
        <v>1000001.0</v>
      </c>
      <c r="B2529" s="17">
        <v>7120400.0</v>
      </c>
    </row>
    <row r="2530">
      <c r="A2530" s="17">
        <v>1000001.0</v>
      </c>
      <c r="B2530" s="17">
        <v>7120500.0</v>
      </c>
    </row>
    <row r="2531">
      <c r="A2531" s="17">
        <v>1000001.0</v>
      </c>
      <c r="B2531" s="17">
        <v>7120600.0</v>
      </c>
    </row>
    <row r="2532">
      <c r="A2532" s="17">
        <v>1000001.0</v>
      </c>
      <c r="B2532" s="17">
        <v>7120900.0</v>
      </c>
    </row>
    <row r="2533">
      <c r="A2533" s="17">
        <v>1000001.0</v>
      </c>
      <c r="B2533" s="17">
        <v>7121000.0</v>
      </c>
    </row>
    <row r="2534">
      <c r="A2534" s="17">
        <v>1000001.0</v>
      </c>
      <c r="B2534" s="17">
        <v>7121100.0</v>
      </c>
    </row>
    <row r="2535">
      <c r="A2535" s="17">
        <v>1000001.0</v>
      </c>
      <c r="B2535" s="17">
        <v>7121200.0</v>
      </c>
    </row>
    <row r="2536">
      <c r="A2536" s="17">
        <v>1000001.0</v>
      </c>
      <c r="B2536" s="17">
        <v>7121300.0</v>
      </c>
    </row>
    <row r="2537">
      <c r="A2537" s="17">
        <v>1000001.0</v>
      </c>
      <c r="B2537" s="17">
        <v>7121400.0</v>
      </c>
    </row>
    <row r="2538">
      <c r="A2538" s="17">
        <v>1000001.0</v>
      </c>
      <c r="B2538" s="17">
        <v>7121500.0</v>
      </c>
    </row>
    <row r="2539">
      <c r="A2539" s="17">
        <v>1000001.0</v>
      </c>
      <c r="B2539" s="17">
        <v>7121600.0</v>
      </c>
    </row>
    <row r="2540">
      <c r="A2540" s="17">
        <v>1000001.0</v>
      </c>
      <c r="B2540" s="17">
        <v>7121700.0</v>
      </c>
    </row>
    <row r="2541">
      <c r="A2541" s="17">
        <v>1000001.0</v>
      </c>
      <c r="B2541" s="17">
        <v>7121800.0</v>
      </c>
    </row>
    <row r="2542">
      <c r="A2542" s="17">
        <v>1000001.0</v>
      </c>
      <c r="B2542" s="17">
        <v>7121900.0</v>
      </c>
    </row>
    <row r="2543">
      <c r="A2543" s="17">
        <v>1000001.0</v>
      </c>
      <c r="B2543" s="17">
        <v>7122000.0</v>
      </c>
    </row>
    <row r="2544">
      <c r="A2544" s="17">
        <v>1000001.0</v>
      </c>
      <c r="B2544" s="17">
        <v>7122100.0</v>
      </c>
    </row>
    <row r="2545">
      <c r="A2545" s="17">
        <v>1000001.0</v>
      </c>
      <c r="B2545" s="17">
        <v>7122200.0</v>
      </c>
    </row>
    <row r="2546">
      <c r="A2546" s="17">
        <v>1000001.0</v>
      </c>
      <c r="B2546" s="17">
        <v>7122300.0</v>
      </c>
    </row>
    <row r="2547">
      <c r="A2547" s="17">
        <v>1000001.0</v>
      </c>
      <c r="B2547" s="17">
        <v>7122400.0</v>
      </c>
    </row>
    <row r="2548">
      <c r="A2548" s="17">
        <v>1000001.0</v>
      </c>
      <c r="B2548" s="17">
        <v>7122500.0</v>
      </c>
    </row>
    <row r="2549">
      <c r="A2549" s="17">
        <v>1000001.0</v>
      </c>
      <c r="B2549" s="17">
        <v>7122600.0</v>
      </c>
    </row>
    <row r="2550">
      <c r="A2550" s="17">
        <v>1000001.0</v>
      </c>
      <c r="B2550" s="17">
        <v>7122700.0</v>
      </c>
    </row>
    <row r="2551">
      <c r="A2551" s="17">
        <v>1000001.0</v>
      </c>
      <c r="B2551" s="17">
        <v>7122800.0</v>
      </c>
    </row>
    <row r="2552">
      <c r="A2552" s="17">
        <v>1000001.0</v>
      </c>
      <c r="B2552" s="17">
        <v>7122900.0</v>
      </c>
    </row>
    <row r="2553">
      <c r="A2553" s="17">
        <v>1000001.0</v>
      </c>
      <c r="B2553" s="17">
        <v>7123000.0</v>
      </c>
    </row>
    <row r="2554">
      <c r="A2554" s="17">
        <v>1000001.0</v>
      </c>
      <c r="B2554" s="17">
        <v>7123100.0</v>
      </c>
    </row>
    <row r="2555">
      <c r="A2555" s="17">
        <v>1000001.0</v>
      </c>
      <c r="B2555" s="17">
        <v>7123200.0</v>
      </c>
    </row>
    <row r="2556">
      <c r="A2556" s="17">
        <v>1000001.0</v>
      </c>
      <c r="B2556" s="17">
        <v>7123300.0</v>
      </c>
    </row>
    <row r="2557">
      <c r="A2557" s="17">
        <v>1000001.0</v>
      </c>
      <c r="B2557" s="17">
        <v>7123400.0</v>
      </c>
    </row>
    <row r="2558">
      <c r="A2558" s="17">
        <v>1000001.0</v>
      </c>
      <c r="B2558" s="17">
        <v>7123500.0</v>
      </c>
    </row>
    <row r="2559">
      <c r="A2559" s="17">
        <v>1000001.0</v>
      </c>
      <c r="B2559" s="17">
        <v>7123600.0</v>
      </c>
    </row>
    <row r="2560">
      <c r="A2560" s="17">
        <v>1000001.0</v>
      </c>
      <c r="B2560" s="17">
        <v>7123700.0</v>
      </c>
    </row>
    <row r="2561">
      <c r="A2561" s="17">
        <v>1000001.0</v>
      </c>
      <c r="B2561" s="17">
        <v>7123800.0</v>
      </c>
    </row>
    <row r="2562">
      <c r="A2562" s="17">
        <v>1000001.0</v>
      </c>
      <c r="B2562" s="17">
        <v>7123900.0</v>
      </c>
    </row>
    <row r="2563">
      <c r="A2563" s="17">
        <v>1000001.0</v>
      </c>
      <c r="B2563" s="17">
        <v>7124000.0</v>
      </c>
    </row>
    <row r="2564">
      <c r="A2564" s="17">
        <v>1000001.0</v>
      </c>
      <c r="B2564" s="17">
        <v>7124100.0</v>
      </c>
    </row>
    <row r="2565">
      <c r="A2565" s="17">
        <v>1000001.0</v>
      </c>
      <c r="B2565" s="17">
        <v>7124300.0</v>
      </c>
    </row>
    <row r="2566">
      <c r="A2566" s="17">
        <v>1000001.0</v>
      </c>
      <c r="B2566" s="17">
        <v>7124400.0</v>
      </c>
    </row>
    <row r="2567">
      <c r="A2567" s="17">
        <v>1000001.0</v>
      </c>
      <c r="B2567" s="17">
        <v>7124500.0</v>
      </c>
    </row>
    <row r="2568">
      <c r="A2568" s="17">
        <v>1000001.0</v>
      </c>
      <c r="B2568" s="17">
        <v>7124600.0</v>
      </c>
    </row>
    <row r="2569">
      <c r="A2569" s="17">
        <v>1000001.0</v>
      </c>
      <c r="B2569" s="17">
        <v>7124700.0</v>
      </c>
    </row>
    <row r="2570">
      <c r="A2570" s="17">
        <v>1000001.0</v>
      </c>
      <c r="B2570" s="17">
        <v>7126000.0</v>
      </c>
    </row>
    <row r="2571">
      <c r="A2571" s="17">
        <v>1000001.0</v>
      </c>
      <c r="B2571" s="17">
        <v>7150000.0</v>
      </c>
    </row>
    <row r="2572">
      <c r="A2572" s="17">
        <v>1000001.0</v>
      </c>
      <c r="B2572" s="17">
        <v>7160000.0</v>
      </c>
    </row>
    <row r="2573">
      <c r="A2573" s="17">
        <v>1000001.0</v>
      </c>
      <c r="B2573" s="17">
        <v>7220000.0</v>
      </c>
    </row>
    <row r="2574">
      <c r="A2574" s="17">
        <v>1000001.0</v>
      </c>
      <c r="B2574" s="17">
        <v>7230000.0</v>
      </c>
    </row>
    <row r="2575">
      <c r="A2575" s="17">
        <v>1000001.0</v>
      </c>
      <c r="B2575" s="17">
        <v>7240000.0</v>
      </c>
    </row>
    <row r="2576">
      <c r="A2576" s="17">
        <v>1000001.0</v>
      </c>
      <c r="B2576" s="17">
        <v>7260000.0</v>
      </c>
    </row>
    <row r="2577">
      <c r="A2577" s="17">
        <v>1000001.0</v>
      </c>
      <c r="B2577" s="17">
        <v>7260300.0</v>
      </c>
    </row>
    <row r="2578">
      <c r="A2578" s="17">
        <v>1000001.0</v>
      </c>
      <c r="B2578" s="17">
        <v>7260400.0</v>
      </c>
    </row>
    <row r="2579">
      <c r="A2579" s="17">
        <v>1000001.0</v>
      </c>
      <c r="B2579" s="17">
        <v>7270100.0</v>
      </c>
    </row>
    <row r="2580">
      <c r="A2580" s="17">
        <v>1000001.0</v>
      </c>
      <c r="B2580" s="17">
        <v>7280000.0</v>
      </c>
    </row>
    <row r="2581">
      <c r="A2581" s="17">
        <v>1000001.0</v>
      </c>
      <c r="B2581" s="17">
        <v>7290000.0</v>
      </c>
    </row>
    <row r="2582">
      <c r="A2582" s="17">
        <v>1000001.0</v>
      </c>
      <c r="B2582" s="17">
        <v>7310000.0</v>
      </c>
    </row>
    <row r="2583">
      <c r="A2583" s="17">
        <v>1000001.0</v>
      </c>
      <c r="B2583" s="17">
        <v>7330000.0</v>
      </c>
    </row>
    <row r="2584">
      <c r="A2584" s="17">
        <v>1000001.0</v>
      </c>
      <c r="B2584" s="17">
        <v>7330100.0</v>
      </c>
    </row>
    <row r="2585">
      <c r="A2585" s="17">
        <v>1000001.0</v>
      </c>
      <c r="B2585" s="17">
        <v>7330200.0</v>
      </c>
    </row>
    <row r="2586">
      <c r="A2586" s="17">
        <v>1000001.0</v>
      </c>
      <c r="B2586" s="17">
        <v>7330300.0</v>
      </c>
    </row>
    <row r="2587">
      <c r="A2587" s="17">
        <v>1000001.0</v>
      </c>
      <c r="B2587" s="17">
        <v>7330400.0</v>
      </c>
    </row>
    <row r="2588">
      <c r="A2588" s="17">
        <v>1000001.0</v>
      </c>
      <c r="B2588" s="17">
        <v>7330500.0</v>
      </c>
    </row>
    <row r="2589">
      <c r="A2589" s="17">
        <v>1000001.0</v>
      </c>
      <c r="B2589" s="17">
        <v>7330600.0</v>
      </c>
    </row>
    <row r="2590">
      <c r="A2590" s="17">
        <v>1000001.0</v>
      </c>
      <c r="B2590" s="17">
        <v>7330700.0</v>
      </c>
    </row>
    <row r="2591">
      <c r="A2591" s="17">
        <v>1000001.0</v>
      </c>
      <c r="B2591" s="17">
        <v>7330800.0</v>
      </c>
    </row>
    <row r="2592">
      <c r="A2592" s="17">
        <v>1000001.0</v>
      </c>
      <c r="B2592" s="17">
        <v>7330900.0</v>
      </c>
    </row>
    <row r="2593">
      <c r="A2593" s="17">
        <v>1000001.0</v>
      </c>
      <c r="B2593" s="17">
        <v>7331000.0</v>
      </c>
    </row>
    <row r="2594">
      <c r="A2594" s="17">
        <v>1000001.0</v>
      </c>
      <c r="B2594" s="17">
        <v>7331100.0</v>
      </c>
    </row>
    <row r="2595">
      <c r="A2595" s="17">
        <v>1000001.0</v>
      </c>
      <c r="B2595" s="17">
        <v>7331200.0</v>
      </c>
    </row>
    <row r="2596">
      <c r="A2596" s="17">
        <v>1000001.0</v>
      </c>
      <c r="B2596" s="17">
        <v>7331300.0</v>
      </c>
    </row>
    <row r="2597">
      <c r="A2597" s="17">
        <v>1000001.0</v>
      </c>
      <c r="B2597" s="17">
        <v>7331400.0</v>
      </c>
    </row>
    <row r="2598">
      <c r="A2598" s="17">
        <v>1000001.0</v>
      </c>
      <c r="B2598" s="17">
        <v>7331500.0</v>
      </c>
    </row>
    <row r="2599">
      <c r="A2599" s="17">
        <v>1000001.0</v>
      </c>
      <c r="B2599" s="17">
        <v>7331700.0</v>
      </c>
    </row>
    <row r="2600">
      <c r="A2600" s="17">
        <v>1000001.0</v>
      </c>
      <c r="B2600" s="17">
        <v>7331800.0</v>
      </c>
    </row>
    <row r="2601">
      <c r="A2601" s="17">
        <v>1000001.0</v>
      </c>
      <c r="B2601" s="17">
        <v>7331900.0</v>
      </c>
    </row>
    <row r="2602">
      <c r="A2602" s="17">
        <v>1000001.0</v>
      </c>
      <c r="B2602" s="17">
        <v>7332000.0</v>
      </c>
    </row>
    <row r="2603">
      <c r="A2603" s="17">
        <v>1000001.0</v>
      </c>
      <c r="B2603" s="17">
        <v>7332100.0</v>
      </c>
    </row>
    <row r="2604">
      <c r="A2604" s="17">
        <v>1000001.0</v>
      </c>
      <c r="B2604" s="17">
        <v>7332200.0</v>
      </c>
    </row>
    <row r="2605">
      <c r="A2605" s="17">
        <v>1000001.0</v>
      </c>
      <c r="B2605" s="17">
        <v>7332300.0</v>
      </c>
    </row>
    <row r="2606">
      <c r="A2606" s="17">
        <v>1000001.0</v>
      </c>
      <c r="B2606" s="17">
        <v>7332400.0</v>
      </c>
    </row>
    <row r="2607">
      <c r="A2607" s="17">
        <v>1000001.0</v>
      </c>
      <c r="B2607" s="17">
        <v>7340000.0</v>
      </c>
    </row>
    <row r="2608">
      <c r="A2608" s="17">
        <v>1000001.0</v>
      </c>
      <c r="B2608" s="17">
        <v>7340100.0</v>
      </c>
    </row>
    <row r="2609">
      <c r="A2609" s="17">
        <v>1000001.0</v>
      </c>
      <c r="B2609" s="17">
        <v>7340200.0</v>
      </c>
    </row>
    <row r="2610">
      <c r="A2610" s="17">
        <v>1000001.0</v>
      </c>
      <c r="B2610" s="17">
        <v>7340300.0</v>
      </c>
    </row>
    <row r="2611">
      <c r="A2611" s="17">
        <v>1000001.0</v>
      </c>
      <c r="B2611" s="17">
        <v>7340400.0</v>
      </c>
    </row>
    <row r="2612">
      <c r="A2612" s="17">
        <v>1000001.0</v>
      </c>
      <c r="B2612" s="17">
        <v>7340500.0</v>
      </c>
    </row>
    <row r="2613">
      <c r="A2613" s="17">
        <v>1000001.0</v>
      </c>
      <c r="B2613" s="17">
        <v>7340600.0</v>
      </c>
    </row>
    <row r="2614">
      <c r="A2614" s="17">
        <v>1000001.0</v>
      </c>
      <c r="B2614" s="17">
        <v>7340700.0</v>
      </c>
    </row>
    <row r="2615">
      <c r="A2615" s="17">
        <v>1000001.0</v>
      </c>
      <c r="B2615" s="17">
        <v>7340800.0</v>
      </c>
    </row>
    <row r="2616">
      <c r="A2616" s="17">
        <v>1000001.0</v>
      </c>
      <c r="B2616" s="17">
        <v>7340900.0</v>
      </c>
    </row>
    <row r="2617">
      <c r="A2617" s="17">
        <v>1000001.0</v>
      </c>
      <c r="B2617" s="17">
        <v>7341000.0</v>
      </c>
    </row>
    <row r="2618">
      <c r="A2618" s="17">
        <v>1000001.0</v>
      </c>
      <c r="B2618" s="17">
        <v>7341100.0</v>
      </c>
    </row>
    <row r="2619">
      <c r="A2619" s="17">
        <v>1000001.0</v>
      </c>
      <c r="B2619" s="17">
        <v>7341200.0</v>
      </c>
    </row>
    <row r="2620">
      <c r="A2620" s="17">
        <v>1000001.0</v>
      </c>
      <c r="B2620" s="17">
        <v>7341300.0</v>
      </c>
    </row>
    <row r="2621">
      <c r="A2621" s="17">
        <v>1000001.0</v>
      </c>
      <c r="B2621" s="17">
        <v>7341400.0</v>
      </c>
    </row>
    <row r="2622">
      <c r="A2622" s="17">
        <v>1000001.0</v>
      </c>
      <c r="B2622" s="17">
        <v>7341500.0</v>
      </c>
    </row>
    <row r="2623">
      <c r="A2623" s="17">
        <v>1000001.0</v>
      </c>
      <c r="B2623" s="17">
        <v>7341700.0</v>
      </c>
    </row>
    <row r="2624">
      <c r="A2624" s="17">
        <v>1000001.0</v>
      </c>
      <c r="B2624" s="17">
        <v>7341800.0</v>
      </c>
    </row>
    <row r="2625">
      <c r="A2625" s="17">
        <v>1000001.0</v>
      </c>
      <c r="B2625" s="17">
        <v>7341900.0</v>
      </c>
    </row>
    <row r="2626">
      <c r="A2626" s="17">
        <v>1000001.0</v>
      </c>
      <c r="B2626" s="17">
        <v>7342000.0</v>
      </c>
    </row>
    <row r="2627">
      <c r="A2627" s="17">
        <v>1000001.0</v>
      </c>
      <c r="B2627" s="17">
        <v>7342100.0</v>
      </c>
    </row>
    <row r="2628">
      <c r="A2628" s="17">
        <v>1000001.0</v>
      </c>
      <c r="B2628" s="17">
        <v>7342200.0</v>
      </c>
    </row>
    <row r="2629">
      <c r="A2629" s="17">
        <v>1000001.0</v>
      </c>
      <c r="B2629" s="17">
        <v>7342300.0</v>
      </c>
    </row>
    <row r="2630">
      <c r="A2630" s="17">
        <v>1000001.0</v>
      </c>
      <c r="B2630" s="17">
        <v>7342400.0</v>
      </c>
    </row>
    <row r="2631">
      <c r="A2631" s="17">
        <v>1000001.0</v>
      </c>
      <c r="B2631" s="17">
        <v>7350000.0</v>
      </c>
    </row>
    <row r="2632">
      <c r="A2632" s="17">
        <v>1000001.0</v>
      </c>
      <c r="B2632" s="17">
        <v>7350100.0</v>
      </c>
    </row>
    <row r="2633">
      <c r="A2633" s="17">
        <v>1000001.0</v>
      </c>
      <c r="B2633" s="17">
        <v>7350200.0</v>
      </c>
    </row>
    <row r="2634">
      <c r="A2634" s="17">
        <v>1000001.0</v>
      </c>
      <c r="B2634" s="17">
        <v>7350300.0</v>
      </c>
    </row>
    <row r="2635">
      <c r="A2635" s="17">
        <v>1000001.0</v>
      </c>
      <c r="B2635" s="17">
        <v>7350400.0</v>
      </c>
    </row>
    <row r="2636">
      <c r="A2636" s="17">
        <v>1000001.0</v>
      </c>
      <c r="B2636" s="17">
        <v>7350500.0</v>
      </c>
    </row>
    <row r="2637">
      <c r="A2637" s="17">
        <v>1000001.0</v>
      </c>
      <c r="B2637" s="17">
        <v>7350600.0</v>
      </c>
    </row>
    <row r="2638">
      <c r="A2638" s="17">
        <v>1000001.0</v>
      </c>
      <c r="B2638" s="17">
        <v>7350700.0</v>
      </c>
    </row>
    <row r="2639">
      <c r="A2639" s="17">
        <v>1000001.0</v>
      </c>
      <c r="B2639" s="17">
        <v>7350800.0</v>
      </c>
    </row>
    <row r="2640">
      <c r="A2640" s="17">
        <v>1000001.0</v>
      </c>
      <c r="B2640" s="17">
        <v>7350900.0</v>
      </c>
    </row>
    <row r="2641">
      <c r="A2641" s="17">
        <v>1000001.0</v>
      </c>
      <c r="B2641" s="17">
        <v>7351000.0</v>
      </c>
    </row>
    <row r="2642">
      <c r="A2642" s="17">
        <v>1000001.0</v>
      </c>
      <c r="B2642" s="17">
        <v>7351100.0</v>
      </c>
    </row>
    <row r="2643">
      <c r="A2643" s="17">
        <v>1000001.0</v>
      </c>
      <c r="B2643" s="17">
        <v>7351200.0</v>
      </c>
    </row>
    <row r="2644">
      <c r="A2644" s="17">
        <v>1000001.0</v>
      </c>
      <c r="B2644" s="17">
        <v>7351300.0</v>
      </c>
    </row>
    <row r="2645">
      <c r="A2645" s="17">
        <v>1000001.0</v>
      </c>
      <c r="B2645" s="17">
        <v>7351400.0</v>
      </c>
    </row>
    <row r="2646">
      <c r="A2646" s="17">
        <v>1000001.0</v>
      </c>
      <c r="B2646" s="17">
        <v>7351500.0</v>
      </c>
    </row>
    <row r="2647">
      <c r="A2647" s="17">
        <v>1000001.0</v>
      </c>
      <c r="B2647" s="17">
        <v>7351700.0</v>
      </c>
    </row>
    <row r="2648">
      <c r="A2648" s="17">
        <v>1000001.0</v>
      </c>
      <c r="B2648" s="17">
        <v>7351800.0</v>
      </c>
    </row>
    <row r="2649">
      <c r="A2649" s="17">
        <v>1000001.0</v>
      </c>
      <c r="B2649" s="17">
        <v>7351900.0</v>
      </c>
    </row>
    <row r="2650">
      <c r="A2650" s="17">
        <v>1000001.0</v>
      </c>
      <c r="B2650" s="17">
        <v>7352000.0</v>
      </c>
    </row>
    <row r="2651">
      <c r="A2651" s="17">
        <v>1000001.0</v>
      </c>
      <c r="B2651" s="17">
        <v>7352100.0</v>
      </c>
    </row>
    <row r="2652">
      <c r="A2652" s="17">
        <v>1000001.0</v>
      </c>
      <c r="B2652" s="17">
        <v>7352200.0</v>
      </c>
    </row>
    <row r="2653">
      <c r="A2653" s="17">
        <v>1000001.0</v>
      </c>
      <c r="B2653" s="17">
        <v>7352300.0</v>
      </c>
    </row>
    <row r="2654">
      <c r="A2654" s="17">
        <v>1000001.0</v>
      </c>
      <c r="B2654" s="17">
        <v>7352400.0</v>
      </c>
    </row>
    <row r="2655">
      <c r="A2655" s="17">
        <v>1000001.0</v>
      </c>
      <c r="B2655" s="17">
        <v>7360600.0</v>
      </c>
    </row>
    <row r="2656">
      <c r="A2656" s="17">
        <v>1000001.0</v>
      </c>
      <c r="B2656" s="17">
        <v>7360900.0</v>
      </c>
    </row>
    <row r="2657">
      <c r="A2657" s="17">
        <v>1000001.0</v>
      </c>
      <c r="B2657" s="17">
        <v>7361200.0</v>
      </c>
    </row>
    <row r="2658">
      <c r="A2658" s="17">
        <v>1000001.0</v>
      </c>
      <c r="B2658" s="17">
        <v>7361300.0</v>
      </c>
    </row>
    <row r="2659">
      <c r="A2659" s="17">
        <v>1000001.0</v>
      </c>
      <c r="B2659" s="17">
        <v>7362100.0</v>
      </c>
    </row>
    <row r="2660">
      <c r="A2660" s="17">
        <v>1000001.0</v>
      </c>
      <c r="B2660" s="17">
        <v>7370300.0</v>
      </c>
    </row>
    <row r="2661">
      <c r="A2661" s="17">
        <v>1000001.0</v>
      </c>
      <c r="B2661" s="17">
        <v>7370400.0</v>
      </c>
    </row>
    <row r="2662">
      <c r="A2662" s="17">
        <v>1000001.0</v>
      </c>
      <c r="B2662" s="17">
        <v>7370600.0</v>
      </c>
    </row>
    <row r="2663">
      <c r="A2663" s="17">
        <v>1000001.0</v>
      </c>
      <c r="B2663" s="17">
        <v>7370900.0</v>
      </c>
    </row>
    <row r="2664">
      <c r="A2664" s="17">
        <v>1000001.0</v>
      </c>
      <c r="B2664" s="17">
        <v>7371500.0</v>
      </c>
    </row>
    <row r="2665">
      <c r="A2665" s="17">
        <v>1000001.0</v>
      </c>
      <c r="B2665" s="17">
        <v>7036200.0</v>
      </c>
    </row>
    <row r="2666">
      <c r="A2666" s="17">
        <v>1000001.0</v>
      </c>
      <c r="B2666" s="17">
        <v>7036300.0</v>
      </c>
    </row>
    <row r="2667">
      <c r="A2667" s="17">
        <v>1000001.0</v>
      </c>
      <c r="B2667" s="17">
        <v>7036400.0</v>
      </c>
    </row>
    <row r="2668">
      <c r="A2668" s="17">
        <v>1000001.0</v>
      </c>
      <c r="B2668" s="17">
        <v>7036500.0</v>
      </c>
    </row>
    <row r="2669">
      <c r="A2669" s="17">
        <v>1000001.0</v>
      </c>
      <c r="B2669" s="17">
        <v>7036800.0</v>
      </c>
    </row>
    <row r="2670">
      <c r="A2670" s="17">
        <v>1000001.0</v>
      </c>
      <c r="B2670" s="17">
        <v>7036900.0</v>
      </c>
    </row>
    <row r="2671">
      <c r="A2671" s="17">
        <v>1000001.0</v>
      </c>
      <c r="B2671" s="17">
        <v>7037000.0</v>
      </c>
    </row>
    <row r="2672">
      <c r="A2672" s="17">
        <v>1000001.0</v>
      </c>
      <c r="B2672" s="17">
        <v>7037300.0</v>
      </c>
    </row>
    <row r="2673">
      <c r="A2673" s="17">
        <v>1000001.0</v>
      </c>
      <c r="B2673" s="17">
        <v>6630000.0</v>
      </c>
    </row>
    <row r="2674">
      <c r="A2674" s="17">
        <v>1000001.0</v>
      </c>
      <c r="B2674" s="17">
        <v>6630100.0</v>
      </c>
    </row>
    <row r="2675">
      <c r="A2675" s="17">
        <v>1000001.0</v>
      </c>
      <c r="B2675" s="17">
        <v>6630200.0</v>
      </c>
    </row>
    <row r="2676">
      <c r="A2676" s="17">
        <v>1000001.0</v>
      </c>
      <c r="B2676" s="17">
        <v>6630300.0</v>
      </c>
    </row>
    <row r="2677">
      <c r="A2677" s="17">
        <v>1000001.0</v>
      </c>
      <c r="B2677" s="17">
        <v>6630400.0</v>
      </c>
    </row>
    <row r="2678">
      <c r="A2678" s="17">
        <v>1000001.0</v>
      </c>
      <c r="B2678" s="17">
        <v>6630500.0</v>
      </c>
    </row>
    <row r="2679">
      <c r="A2679" s="17">
        <v>1000001.0</v>
      </c>
      <c r="B2679" s="17">
        <v>6630600.0</v>
      </c>
    </row>
    <row r="2680">
      <c r="A2680" s="17">
        <v>1000001.0</v>
      </c>
      <c r="B2680" s="17">
        <v>6630700.0</v>
      </c>
    </row>
    <row r="2681">
      <c r="A2681" s="17">
        <v>1000001.0</v>
      </c>
      <c r="B2681" s="17">
        <v>6630800.0</v>
      </c>
    </row>
    <row r="2682">
      <c r="A2682" s="17">
        <v>1000001.0</v>
      </c>
      <c r="B2682" s="17">
        <v>6630900.0</v>
      </c>
    </row>
    <row r="2683">
      <c r="A2683" s="17">
        <v>1000001.0</v>
      </c>
      <c r="B2683" s="17">
        <v>6631000.0</v>
      </c>
    </row>
    <row r="2684">
      <c r="A2684" s="17">
        <v>1000001.0</v>
      </c>
      <c r="B2684" s="17">
        <v>6631100.0</v>
      </c>
    </row>
    <row r="2685">
      <c r="A2685" s="17">
        <v>1000001.0</v>
      </c>
      <c r="B2685" s="17">
        <v>6631200.0</v>
      </c>
    </row>
    <row r="2686">
      <c r="A2686" s="17">
        <v>1000001.0</v>
      </c>
      <c r="B2686" s="17">
        <v>6631300.0</v>
      </c>
    </row>
    <row r="2687">
      <c r="A2687" s="17">
        <v>1000001.0</v>
      </c>
      <c r="B2687" s="17">
        <v>6631400.0</v>
      </c>
    </row>
    <row r="2688">
      <c r="A2688" s="17">
        <v>1000001.0</v>
      </c>
      <c r="B2688" s="17">
        <v>6631500.0</v>
      </c>
    </row>
    <row r="2689">
      <c r="A2689" s="17">
        <v>1000001.0</v>
      </c>
      <c r="B2689" s="17">
        <v>6631600.0</v>
      </c>
    </row>
    <row r="2690">
      <c r="A2690" s="17">
        <v>1000001.0</v>
      </c>
      <c r="B2690" s="17">
        <v>6631700.0</v>
      </c>
    </row>
    <row r="2691">
      <c r="A2691" s="17">
        <v>1000001.0</v>
      </c>
      <c r="B2691" s="17">
        <v>6631800.0</v>
      </c>
    </row>
    <row r="2692">
      <c r="A2692" s="17">
        <v>1000001.0</v>
      </c>
      <c r="B2692" s="17">
        <v>6631900.0</v>
      </c>
    </row>
    <row r="2693">
      <c r="A2693" s="17">
        <v>1000001.0</v>
      </c>
      <c r="B2693" s="17">
        <v>6632000.0</v>
      </c>
    </row>
    <row r="2694">
      <c r="A2694" s="17">
        <v>1000001.0</v>
      </c>
      <c r="B2694" s="17">
        <v>6632100.0</v>
      </c>
    </row>
    <row r="2695">
      <c r="A2695" s="17">
        <v>1000001.0</v>
      </c>
      <c r="B2695" s="17">
        <v>6632200.0</v>
      </c>
    </row>
    <row r="2696">
      <c r="A2696" s="17">
        <v>1000001.0</v>
      </c>
      <c r="B2696" s="17">
        <v>6632300.0</v>
      </c>
    </row>
    <row r="2697">
      <c r="A2697" s="17">
        <v>1000001.0</v>
      </c>
      <c r="B2697" s="17">
        <v>6632400.0</v>
      </c>
    </row>
    <row r="2698">
      <c r="A2698" s="17">
        <v>1000001.0</v>
      </c>
      <c r="B2698" s="17">
        <v>6632500.0</v>
      </c>
    </row>
    <row r="2699">
      <c r="A2699" s="17">
        <v>1000001.0</v>
      </c>
      <c r="B2699" s="17">
        <v>6632600.0</v>
      </c>
    </row>
    <row r="2700">
      <c r="A2700" s="17">
        <v>1000001.0</v>
      </c>
      <c r="B2700" s="17">
        <v>6632700.0</v>
      </c>
    </row>
    <row r="2701">
      <c r="A2701" s="17">
        <v>1000001.0</v>
      </c>
      <c r="B2701" s="17">
        <v>6632800.0</v>
      </c>
    </row>
    <row r="2702">
      <c r="A2702" s="17">
        <v>1000001.0</v>
      </c>
      <c r="B2702" s="17">
        <v>6632900.0</v>
      </c>
    </row>
    <row r="2703">
      <c r="A2703" s="17">
        <v>1000001.0</v>
      </c>
      <c r="B2703" s="17">
        <v>6633000.0</v>
      </c>
    </row>
    <row r="2704">
      <c r="A2704" s="17">
        <v>1000001.0</v>
      </c>
      <c r="B2704" s="17">
        <v>6633100.0</v>
      </c>
    </row>
    <row r="2705">
      <c r="A2705" s="17">
        <v>1000001.0</v>
      </c>
      <c r="B2705" s="17">
        <v>6633200.0</v>
      </c>
    </row>
    <row r="2706">
      <c r="A2706" s="17">
        <v>1000001.0</v>
      </c>
      <c r="B2706" s="17">
        <v>6647200.0</v>
      </c>
    </row>
    <row r="2707">
      <c r="A2707" s="17">
        <v>1000001.0</v>
      </c>
      <c r="B2707" s="17">
        <v>6647300.0</v>
      </c>
    </row>
    <row r="2708">
      <c r="A2708" s="17">
        <v>1000001.0</v>
      </c>
      <c r="B2708" s="17">
        <v>6647400.0</v>
      </c>
    </row>
    <row r="2709">
      <c r="A2709" s="17">
        <v>1000001.0</v>
      </c>
      <c r="B2709" s="17">
        <v>6647500.0</v>
      </c>
    </row>
    <row r="2710">
      <c r="A2710" s="17">
        <v>1000001.0</v>
      </c>
      <c r="B2710" s="17">
        <v>6640000.0</v>
      </c>
    </row>
    <row r="2711">
      <c r="A2711" s="17">
        <v>1000001.0</v>
      </c>
      <c r="B2711" s="17">
        <v>6640100.0</v>
      </c>
    </row>
    <row r="2712">
      <c r="A2712" s="17">
        <v>1000001.0</v>
      </c>
      <c r="B2712" s="17">
        <v>6641000.0</v>
      </c>
    </row>
    <row r="2713">
      <c r="A2713" s="17">
        <v>1000001.0</v>
      </c>
      <c r="B2713" s="17">
        <v>6641100.0</v>
      </c>
    </row>
    <row r="2714">
      <c r="A2714" s="17">
        <v>1000001.0</v>
      </c>
      <c r="B2714" s="17">
        <v>6642000.0</v>
      </c>
    </row>
    <row r="2715">
      <c r="A2715" s="17">
        <v>1000001.0</v>
      </c>
      <c r="B2715" s="17">
        <v>6642100.0</v>
      </c>
    </row>
    <row r="2716">
      <c r="A2716" s="17">
        <v>1000001.0</v>
      </c>
      <c r="B2716" s="17">
        <v>6643000.0</v>
      </c>
    </row>
    <row r="2717">
      <c r="A2717" s="17">
        <v>1000001.0</v>
      </c>
      <c r="B2717" s="17">
        <v>6643100.0</v>
      </c>
    </row>
    <row r="2718">
      <c r="A2718" s="17">
        <v>1000001.0</v>
      </c>
      <c r="B2718" s="17">
        <v>6644000.0</v>
      </c>
    </row>
    <row r="2719">
      <c r="A2719" s="17">
        <v>1000001.0</v>
      </c>
      <c r="B2719" s="17">
        <v>6644100.0</v>
      </c>
    </row>
    <row r="2720">
      <c r="A2720" s="17">
        <v>1000001.0</v>
      </c>
      <c r="B2720" s="17">
        <v>6645000.0</v>
      </c>
    </row>
    <row r="2721">
      <c r="A2721" s="17">
        <v>1000001.0</v>
      </c>
      <c r="B2721" s="17">
        <v>6645100.0</v>
      </c>
    </row>
    <row r="2722">
      <c r="A2722" s="17">
        <v>1000001.0</v>
      </c>
      <c r="B2722" s="17">
        <v>6646000.0</v>
      </c>
    </row>
    <row r="2723">
      <c r="A2723" s="17">
        <v>1000001.0</v>
      </c>
      <c r="B2723" s="17">
        <v>6646100.0</v>
      </c>
    </row>
    <row r="2724">
      <c r="A2724" s="17">
        <v>1000001.0</v>
      </c>
      <c r="B2724" s="17">
        <v>6647000.0</v>
      </c>
    </row>
    <row r="2725">
      <c r="A2725" s="17">
        <v>1000001.0</v>
      </c>
      <c r="B2725" s="17">
        <v>6647100.0</v>
      </c>
    </row>
    <row r="2726">
      <c r="A2726" s="17">
        <v>1000002.0</v>
      </c>
      <c r="B2726" s="17">
        <v>7000000.0</v>
      </c>
    </row>
    <row r="2727">
      <c r="A2727" s="17">
        <v>1000002.0</v>
      </c>
      <c r="B2727" s="17">
        <v>7000001.0</v>
      </c>
    </row>
    <row r="2728">
      <c r="A2728" s="17">
        <v>1000002.0</v>
      </c>
      <c r="B2728" s="17">
        <v>7000002.0</v>
      </c>
    </row>
    <row r="2729">
      <c r="A2729" s="17">
        <v>1000002.0</v>
      </c>
      <c r="B2729" s="17">
        <v>7000100.0</v>
      </c>
    </row>
    <row r="2730">
      <c r="A2730" s="17">
        <v>1000002.0</v>
      </c>
      <c r="B2730" s="17">
        <v>7000101.0</v>
      </c>
    </row>
    <row r="2731">
      <c r="A2731" s="17">
        <v>1000002.0</v>
      </c>
      <c r="B2731" s="17">
        <v>7000102.0</v>
      </c>
    </row>
    <row r="2732">
      <c r="A2732" s="17">
        <v>1000002.0</v>
      </c>
      <c r="B2732" s="17">
        <v>7000200.0</v>
      </c>
    </row>
    <row r="2733">
      <c r="A2733" s="17">
        <v>1000002.0</v>
      </c>
      <c r="B2733" s="17">
        <v>7000201.0</v>
      </c>
    </row>
    <row r="2734">
      <c r="A2734" s="17">
        <v>1000002.0</v>
      </c>
      <c r="B2734" s="17">
        <v>7000202.0</v>
      </c>
    </row>
    <row r="2735">
      <c r="A2735" s="17">
        <v>1000002.0</v>
      </c>
      <c r="B2735" s="17">
        <v>7000300.0</v>
      </c>
    </row>
    <row r="2736">
      <c r="A2736" s="17">
        <v>1000002.0</v>
      </c>
      <c r="B2736" s="17">
        <v>7000301.0</v>
      </c>
    </row>
    <row r="2737">
      <c r="A2737" s="17">
        <v>1000002.0</v>
      </c>
      <c r="B2737" s="17">
        <v>7000302.0</v>
      </c>
    </row>
    <row r="2738">
      <c r="A2738" s="17">
        <v>1000002.0</v>
      </c>
      <c r="B2738" s="17">
        <v>7000400.0</v>
      </c>
    </row>
    <row r="2739">
      <c r="A2739" s="17">
        <v>1000002.0</v>
      </c>
      <c r="B2739" s="17">
        <v>7000401.0</v>
      </c>
    </row>
    <row r="2740">
      <c r="A2740" s="17">
        <v>1000002.0</v>
      </c>
      <c r="B2740" s="17">
        <v>7000402.0</v>
      </c>
    </row>
    <row r="2741">
      <c r="A2741" s="17">
        <v>1000002.0</v>
      </c>
      <c r="B2741" s="17">
        <v>7000500.0</v>
      </c>
    </row>
    <row r="2742">
      <c r="A2742" s="17">
        <v>1000002.0</v>
      </c>
      <c r="B2742" s="17">
        <v>7000501.0</v>
      </c>
    </row>
    <row r="2743">
      <c r="A2743" s="17">
        <v>1000002.0</v>
      </c>
      <c r="B2743" s="17">
        <v>7000502.0</v>
      </c>
    </row>
    <row r="2744">
      <c r="A2744" s="17">
        <v>1000002.0</v>
      </c>
      <c r="B2744" s="17">
        <v>7000600.0</v>
      </c>
    </row>
    <row r="2745">
      <c r="A2745" s="17">
        <v>1000002.0</v>
      </c>
      <c r="B2745" s="17">
        <v>7000601.0</v>
      </c>
    </row>
    <row r="2746">
      <c r="A2746" s="17">
        <v>1000002.0</v>
      </c>
      <c r="B2746" s="17">
        <v>7000602.0</v>
      </c>
    </row>
    <row r="2747">
      <c r="A2747" s="17">
        <v>1000002.0</v>
      </c>
      <c r="B2747" s="17">
        <v>7000700.0</v>
      </c>
    </row>
    <row r="2748">
      <c r="A2748" s="17">
        <v>1000002.0</v>
      </c>
      <c r="B2748" s="17">
        <v>7000701.0</v>
      </c>
    </row>
    <row r="2749">
      <c r="A2749" s="17">
        <v>1000002.0</v>
      </c>
      <c r="B2749" s="17">
        <v>7000702.0</v>
      </c>
    </row>
    <row r="2750">
      <c r="A2750" s="17">
        <v>1000002.0</v>
      </c>
      <c r="B2750" s="17">
        <v>7000800.0</v>
      </c>
    </row>
    <row r="2751">
      <c r="A2751" s="17">
        <v>1000002.0</v>
      </c>
      <c r="B2751" s="17">
        <v>7000801.0</v>
      </c>
    </row>
    <row r="2752">
      <c r="A2752" s="17">
        <v>1000002.0</v>
      </c>
      <c r="B2752" s="17">
        <v>7000802.0</v>
      </c>
    </row>
    <row r="2753">
      <c r="A2753" s="17">
        <v>1000002.0</v>
      </c>
      <c r="B2753" s="17">
        <v>7000900.0</v>
      </c>
    </row>
    <row r="2754">
      <c r="A2754" s="17">
        <v>1000002.0</v>
      </c>
      <c r="B2754" s="17">
        <v>7000901.0</v>
      </c>
    </row>
    <row r="2755">
      <c r="A2755" s="17">
        <v>1000002.0</v>
      </c>
      <c r="B2755" s="17">
        <v>7000902.0</v>
      </c>
    </row>
    <row r="2756">
      <c r="A2756" s="17">
        <v>1000002.0</v>
      </c>
      <c r="B2756" s="17">
        <v>7001000.0</v>
      </c>
    </row>
    <row r="2757">
      <c r="A2757" s="17">
        <v>1000002.0</v>
      </c>
      <c r="B2757" s="17">
        <v>7001001.0</v>
      </c>
    </row>
    <row r="2758">
      <c r="A2758" s="17">
        <v>1000002.0</v>
      </c>
      <c r="B2758" s="17">
        <v>7001002.0</v>
      </c>
    </row>
    <row r="2759">
      <c r="A2759" s="17">
        <v>1000002.0</v>
      </c>
      <c r="B2759" s="17">
        <v>7001400.0</v>
      </c>
    </row>
    <row r="2760">
      <c r="A2760" s="17">
        <v>1000002.0</v>
      </c>
      <c r="B2760" s="17">
        <v>7001401.0</v>
      </c>
    </row>
    <row r="2761">
      <c r="A2761" s="17">
        <v>1000002.0</v>
      </c>
      <c r="B2761" s="17">
        <v>7001402.0</v>
      </c>
    </row>
    <row r="2762">
      <c r="A2762" s="17">
        <v>1000002.0</v>
      </c>
      <c r="B2762" s="17">
        <v>7001500.0</v>
      </c>
    </row>
    <row r="2763">
      <c r="A2763" s="17">
        <v>1000002.0</v>
      </c>
      <c r="B2763" s="17">
        <v>7001501.0</v>
      </c>
    </row>
    <row r="2764">
      <c r="A2764" s="17">
        <v>1000002.0</v>
      </c>
      <c r="B2764" s="17">
        <v>7001502.0</v>
      </c>
    </row>
    <row r="2765">
      <c r="A2765" s="17">
        <v>1000002.0</v>
      </c>
      <c r="B2765" s="17">
        <v>7001600.0</v>
      </c>
    </row>
    <row r="2766">
      <c r="A2766" s="17">
        <v>1000002.0</v>
      </c>
      <c r="B2766" s="17">
        <v>7001601.0</v>
      </c>
    </row>
    <row r="2767">
      <c r="A2767" s="17">
        <v>1000002.0</v>
      </c>
      <c r="B2767" s="17">
        <v>7001602.0</v>
      </c>
    </row>
    <row r="2768">
      <c r="A2768" s="17">
        <v>1000002.0</v>
      </c>
      <c r="B2768" s="17">
        <v>7001700.0</v>
      </c>
    </row>
    <row r="2769">
      <c r="A2769" s="17">
        <v>1000002.0</v>
      </c>
      <c r="B2769" s="17">
        <v>7001701.0</v>
      </c>
    </row>
    <row r="2770">
      <c r="A2770" s="17">
        <v>1000002.0</v>
      </c>
      <c r="B2770" s="17">
        <v>7001702.0</v>
      </c>
    </row>
    <row r="2771">
      <c r="A2771" s="17">
        <v>1000002.0</v>
      </c>
      <c r="B2771" s="17">
        <v>7001800.0</v>
      </c>
    </row>
    <row r="2772">
      <c r="A2772" s="17">
        <v>1000002.0</v>
      </c>
      <c r="B2772" s="17">
        <v>7001801.0</v>
      </c>
    </row>
    <row r="2773">
      <c r="A2773" s="17">
        <v>1000002.0</v>
      </c>
      <c r="B2773" s="17">
        <v>7001802.0</v>
      </c>
    </row>
    <row r="2774">
      <c r="A2774" s="17">
        <v>1000002.0</v>
      </c>
      <c r="B2774" s="17">
        <v>7002600.0</v>
      </c>
    </row>
    <row r="2775">
      <c r="A2775" s="17">
        <v>1000002.0</v>
      </c>
      <c r="B2775" s="17">
        <v>7002700.0</v>
      </c>
    </row>
    <row r="2776">
      <c r="A2776" s="17">
        <v>1000002.0</v>
      </c>
      <c r="B2776" s="17">
        <v>7002800.0</v>
      </c>
    </row>
    <row r="2777">
      <c r="A2777" s="17">
        <v>1000002.0</v>
      </c>
      <c r="B2777" s="17">
        <v>7002900.0</v>
      </c>
    </row>
    <row r="2778">
      <c r="A2778" s="17">
        <v>1000002.0</v>
      </c>
      <c r="B2778" s="17">
        <v>7003000.0</v>
      </c>
    </row>
    <row r="2779">
      <c r="A2779" s="17">
        <v>1000002.0</v>
      </c>
      <c r="B2779" s="17">
        <v>7003100.0</v>
      </c>
    </row>
    <row r="2780">
      <c r="A2780" s="17">
        <v>1000002.0</v>
      </c>
      <c r="B2780" s="17">
        <v>7003200.0</v>
      </c>
    </row>
    <row r="2781">
      <c r="A2781" s="17">
        <v>1000002.0</v>
      </c>
      <c r="B2781" s="17">
        <v>7003300.0</v>
      </c>
    </row>
    <row r="2782">
      <c r="A2782" s="17">
        <v>1000002.0</v>
      </c>
      <c r="B2782" s="17">
        <v>7003400.0</v>
      </c>
    </row>
    <row r="2783">
      <c r="A2783" s="17">
        <v>1000002.0</v>
      </c>
      <c r="B2783" s="17">
        <v>7003500.0</v>
      </c>
    </row>
    <row r="2784">
      <c r="A2784" s="17">
        <v>1000002.0</v>
      </c>
      <c r="B2784" s="17">
        <v>7003600.0</v>
      </c>
    </row>
    <row r="2785">
      <c r="A2785" s="17">
        <v>1000002.0</v>
      </c>
      <c r="B2785" s="17">
        <v>7005600.0</v>
      </c>
    </row>
    <row r="2786">
      <c r="A2786" s="17">
        <v>1000002.0</v>
      </c>
      <c r="B2786" s="17">
        <v>7006000.0</v>
      </c>
    </row>
    <row r="2787">
      <c r="A2787" s="17">
        <v>1000002.0</v>
      </c>
      <c r="B2787" s="17">
        <v>7006100.0</v>
      </c>
    </row>
    <row r="2788">
      <c r="A2788" s="17">
        <v>1000002.0</v>
      </c>
      <c r="B2788" s="17">
        <v>7010200.0</v>
      </c>
    </row>
    <row r="2789">
      <c r="A2789" s="17">
        <v>1000002.0</v>
      </c>
      <c r="B2789" s="17">
        <v>7010500.0</v>
      </c>
    </row>
    <row r="2790">
      <c r="A2790" s="17">
        <v>1000002.0</v>
      </c>
      <c r="B2790" s="17">
        <v>7010700.0</v>
      </c>
    </row>
    <row r="2791">
      <c r="A2791" s="17">
        <v>1000002.0</v>
      </c>
      <c r="B2791" s="17">
        <v>7010900.0</v>
      </c>
    </row>
    <row r="2792">
      <c r="A2792" s="17">
        <v>1000002.0</v>
      </c>
      <c r="B2792" s="17">
        <v>7011000.0</v>
      </c>
    </row>
    <row r="2793">
      <c r="A2793" s="17">
        <v>1000002.0</v>
      </c>
      <c r="B2793" s="17">
        <v>7011200.0</v>
      </c>
    </row>
    <row r="2794">
      <c r="A2794" s="17">
        <v>1000002.0</v>
      </c>
      <c r="B2794" s="17">
        <v>7011600.0</v>
      </c>
    </row>
    <row r="2795">
      <c r="A2795" s="17">
        <v>1000002.0</v>
      </c>
      <c r="B2795" s="17">
        <v>7011700.0</v>
      </c>
    </row>
    <row r="2796">
      <c r="A2796" s="17">
        <v>1000002.0</v>
      </c>
      <c r="B2796" s="17">
        <v>7012000.0</v>
      </c>
    </row>
    <row r="2797">
      <c r="A2797" s="17">
        <v>1000002.0</v>
      </c>
      <c r="B2797" s="17">
        <v>7012200.0</v>
      </c>
    </row>
    <row r="2798">
      <c r="A2798" s="17">
        <v>1000002.0</v>
      </c>
      <c r="B2798" s="17">
        <v>7012300.0</v>
      </c>
    </row>
    <row r="2799">
      <c r="A2799" s="17">
        <v>1000002.0</v>
      </c>
      <c r="B2799" s="17">
        <v>7020000.0</v>
      </c>
    </row>
    <row r="2800">
      <c r="A2800" s="17">
        <v>1000002.0</v>
      </c>
      <c r="B2800" s="17">
        <v>7030000.0</v>
      </c>
    </row>
    <row r="2801">
      <c r="A2801" s="17">
        <v>1000002.0</v>
      </c>
      <c r="B2801" s="17">
        <v>7030200.0</v>
      </c>
    </row>
    <row r="2802">
      <c r="A2802" s="17">
        <v>1000002.0</v>
      </c>
      <c r="B2802" s="17">
        <v>7030600.0</v>
      </c>
    </row>
    <row r="2803">
      <c r="A2803" s="17">
        <v>1000002.0</v>
      </c>
      <c r="B2803" s="17">
        <v>7030700.0</v>
      </c>
    </row>
    <row r="2804">
      <c r="A2804" s="17">
        <v>1000002.0</v>
      </c>
      <c r="B2804" s="17">
        <v>7030800.0</v>
      </c>
    </row>
    <row r="2805">
      <c r="A2805" s="17">
        <v>1000002.0</v>
      </c>
      <c r="B2805" s="17">
        <v>7030900.0</v>
      </c>
    </row>
    <row r="2806">
      <c r="A2806" s="17">
        <v>1000002.0</v>
      </c>
      <c r="B2806" s="17">
        <v>7031200.0</v>
      </c>
    </row>
    <row r="2807">
      <c r="A2807" s="17">
        <v>1000002.0</v>
      </c>
      <c r="B2807" s="17">
        <v>7031300.0</v>
      </c>
    </row>
    <row r="2808">
      <c r="A2808" s="17">
        <v>1000002.0</v>
      </c>
      <c r="B2808" s="17">
        <v>7031800.0</v>
      </c>
    </row>
    <row r="2809">
      <c r="A2809" s="17">
        <v>1000002.0</v>
      </c>
      <c r="B2809" s="17">
        <v>7031900.0</v>
      </c>
    </row>
    <row r="2810">
      <c r="A2810" s="17">
        <v>1000002.0</v>
      </c>
      <c r="B2810" s="17">
        <v>7032200.0</v>
      </c>
    </row>
    <row r="2811">
      <c r="A2811" s="17">
        <v>1000002.0</v>
      </c>
      <c r="B2811" s="17">
        <v>7032400.0</v>
      </c>
    </row>
    <row r="2812">
      <c r="A2812" s="17">
        <v>1000002.0</v>
      </c>
      <c r="B2812" s="17">
        <v>7032700.0</v>
      </c>
    </row>
    <row r="2813">
      <c r="A2813" s="17">
        <v>1000002.0</v>
      </c>
      <c r="B2813" s="17">
        <v>7032800.0</v>
      </c>
    </row>
    <row r="2814">
      <c r="A2814" s="17">
        <v>1000002.0</v>
      </c>
      <c r="B2814" s="17">
        <v>7032900.0</v>
      </c>
    </row>
    <row r="2815">
      <c r="A2815" s="17">
        <v>1000002.0</v>
      </c>
      <c r="B2815" s="17">
        <v>7033200.0</v>
      </c>
    </row>
    <row r="2816">
      <c r="A2816" s="17">
        <v>1000002.0</v>
      </c>
      <c r="B2816" s="17">
        <v>7033400.0</v>
      </c>
    </row>
    <row r="2817">
      <c r="A2817" s="17">
        <v>1000002.0</v>
      </c>
      <c r="B2817" s="17">
        <v>7034100.0</v>
      </c>
    </row>
    <row r="2818">
      <c r="A2818" s="17">
        <v>1000002.0</v>
      </c>
      <c r="B2818" s="17">
        <v>7034400.0</v>
      </c>
    </row>
    <row r="2819">
      <c r="A2819" s="17">
        <v>1000002.0</v>
      </c>
      <c r="B2819" s="17">
        <v>7034500.0</v>
      </c>
    </row>
    <row r="2820">
      <c r="A2820" s="17">
        <v>1000002.0</v>
      </c>
      <c r="B2820" s="17">
        <v>7034600.0</v>
      </c>
    </row>
    <row r="2821">
      <c r="A2821" s="17">
        <v>1000002.0</v>
      </c>
      <c r="B2821" s="17">
        <v>7034700.0</v>
      </c>
    </row>
    <row r="2822">
      <c r="A2822" s="17">
        <v>1000002.0</v>
      </c>
      <c r="B2822" s="17">
        <v>7035100.0</v>
      </c>
    </row>
    <row r="2823">
      <c r="A2823" s="17">
        <v>1000002.0</v>
      </c>
      <c r="B2823" s="17">
        <v>7036100.0</v>
      </c>
    </row>
    <row r="2824">
      <c r="A2824" s="17">
        <v>1000002.0</v>
      </c>
      <c r="B2824" s="17">
        <v>7040000.0</v>
      </c>
    </row>
    <row r="2825">
      <c r="A2825" s="17">
        <v>1000002.0</v>
      </c>
      <c r="B2825" s="17">
        <v>7040100.0</v>
      </c>
    </row>
    <row r="2826">
      <c r="A2826" s="17">
        <v>1000002.0</v>
      </c>
      <c r="B2826" s="17">
        <v>7040200.0</v>
      </c>
    </row>
    <row r="2827">
      <c r="A2827" s="17">
        <v>1000002.0</v>
      </c>
      <c r="B2827" s="17">
        <v>7040300.0</v>
      </c>
    </row>
    <row r="2828">
      <c r="A2828" s="17">
        <v>1000002.0</v>
      </c>
      <c r="B2828" s="17">
        <v>7040400.0</v>
      </c>
    </row>
    <row r="2829">
      <c r="A2829" s="17">
        <v>1000002.0</v>
      </c>
      <c r="B2829" s="17">
        <v>7040500.0</v>
      </c>
    </row>
    <row r="2830">
      <c r="A2830" s="17">
        <v>1000002.0</v>
      </c>
      <c r="B2830" s="17">
        <v>7043000.0</v>
      </c>
    </row>
    <row r="2831">
      <c r="A2831" s="17">
        <v>1000002.0</v>
      </c>
      <c r="B2831" s="17">
        <v>7043100.0</v>
      </c>
    </row>
    <row r="2832">
      <c r="A2832" s="17">
        <v>1000002.0</v>
      </c>
      <c r="B2832" s="17">
        <v>7043200.0</v>
      </c>
    </row>
    <row r="2833">
      <c r="A2833" s="17">
        <v>1000002.0</v>
      </c>
      <c r="B2833" s="17">
        <v>7043300.0</v>
      </c>
    </row>
    <row r="2834">
      <c r="A2834" s="17">
        <v>1000002.0</v>
      </c>
      <c r="B2834" s="17">
        <v>7043400.0</v>
      </c>
    </row>
    <row r="2835">
      <c r="A2835" s="17">
        <v>1000002.0</v>
      </c>
      <c r="B2835" s="17">
        <v>7043500.0</v>
      </c>
    </row>
    <row r="2836">
      <c r="A2836" s="17">
        <v>1000002.0</v>
      </c>
      <c r="B2836" s="17">
        <v>7043600.0</v>
      </c>
    </row>
    <row r="2837">
      <c r="A2837" s="17">
        <v>1000002.0</v>
      </c>
      <c r="B2837" s="17">
        <v>7043700.0</v>
      </c>
    </row>
    <row r="2838">
      <c r="A2838" s="17">
        <v>1000002.0</v>
      </c>
      <c r="B2838" s="17">
        <v>7043800.0</v>
      </c>
    </row>
    <row r="2839">
      <c r="A2839" s="17">
        <v>1000002.0</v>
      </c>
      <c r="B2839" s="17">
        <v>7044000.0</v>
      </c>
    </row>
    <row r="2840">
      <c r="A2840" s="17">
        <v>1000002.0</v>
      </c>
      <c r="B2840" s="17">
        <v>7044100.0</v>
      </c>
    </row>
    <row r="2841">
      <c r="A2841" s="17">
        <v>1000002.0</v>
      </c>
      <c r="B2841" s="17">
        <v>7044200.0</v>
      </c>
    </row>
    <row r="2842">
      <c r="A2842" s="17">
        <v>1000002.0</v>
      </c>
      <c r="B2842" s="17">
        <v>7044300.0</v>
      </c>
    </row>
    <row r="2843">
      <c r="A2843" s="17">
        <v>1000002.0</v>
      </c>
      <c r="B2843" s="17">
        <v>7044400.0</v>
      </c>
    </row>
    <row r="2844">
      <c r="A2844" s="17">
        <v>1000002.0</v>
      </c>
      <c r="B2844" s="17">
        <v>7044500.0</v>
      </c>
    </row>
    <row r="2845">
      <c r="A2845" s="17">
        <v>1000002.0</v>
      </c>
      <c r="B2845" s="17">
        <v>7044600.0</v>
      </c>
    </row>
    <row r="2846">
      <c r="A2846" s="17">
        <v>1000002.0</v>
      </c>
      <c r="B2846" s="17">
        <v>7050000.0</v>
      </c>
    </row>
    <row r="2847">
      <c r="A2847" s="17">
        <v>1000002.0</v>
      </c>
      <c r="B2847" s="17">
        <v>7050100.0</v>
      </c>
    </row>
    <row r="2848">
      <c r="A2848" s="17">
        <v>1000002.0</v>
      </c>
      <c r="B2848" s="17">
        <v>7060000.0</v>
      </c>
    </row>
    <row r="2849">
      <c r="A2849" s="17">
        <v>1000002.0</v>
      </c>
      <c r="B2849" s="17">
        <v>7060100.0</v>
      </c>
    </row>
    <row r="2850">
      <c r="A2850" s="17">
        <v>1000002.0</v>
      </c>
      <c r="B2850" s="17">
        <v>7060200.0</v>
      </c>
    </row>
    <row r="2851">
      <c r="A2851" s="17">
        <v>1000002.0</v>
      </c>
      <c r="B2851" s="17">
        <v>7070000.0</v>
      </c>
    </row>
    <row r="2852">
      <c r="A2852" s="17">
        <v>1000002.0</v>
      </c>
      <c r="B2852" s="17">
        <v>7080000.0</v>
      </c>
    </row>
    <row r="2853">
      <c r="A2853" s="17">
        <v>1000002.0</v>
      </c>
      <c r="B2853" s="17">
        <v>7080100.0</v>
      </c>
    </row>
    <row r="2854">
      <c r="A2854" s="17">
        <v>1000002.0</v>
      </c>
      <c r="B2854" s="17">
        <v>7080200.0</v>
      </c>
    </row>
    <row r="2855">
      <c r="A2855" s="17">
        <v>1000002.0</v>
      </c>
      <c r="B2855" s="17">
        <v>7080300.0</v>
      </c>
    </row>
    <row r="2856">
      <c r="A2856" s="17">
        <v>1000002.0</v>
      </c>
      <c r="B2856" s="17">
        <v>7080400.0</v>
      </c>
    </row>
    <row r="2857">
      <c r="A2857" s="17">
        <v>1000002.0</v>
      </c>
      <c r="B2857" s="17">
        <v>7080500.0</v>
      </c>
    </row>
    <row r="2858">
      <c r="A2858" s="17">
        <v>1000002.0</v>
      </c>
      <c r="B2858" s="17">
        <v>7080600.0</v>
      </c>
    </row>
    <row r="2859">
      <c r="A2859" s="17">
        <v>1000002.0</v>
      </c>
      <c r="B2859" s="17">
        <v>7080700.0</v>
      </c>
    </row>
    <row r="2860">
      <c r="A2860" s="17">
        <v>1000002.0</v>
      </c>
      <c r="B2860" s="17">
        <v>7080800.0</v>
      </c>
    </row>
    <row r="2861">
      <c r="A2861" s="17">
        <v>1000002.0</v>
      </c>
      <c r="B2861" s="17">
        <v>7080900.0</v>
      </c>
    </row>
    <row r="2862">
      <c r="A2862" s="17">
        <v>1000002.0</v>
      </c>
      <c r="B2862" s="17">
        <v>7081000.0</v>
      </c>
    </row>
    <row r="2863">
      <c r="A2863" s="17">
        <v>1000002.0</v>
      </c>
      <c r="B2863" s="17">
        <v>7081100.0</v>
      </c>
    </row>
    <row r="2864">
      <c r="A2864" s="17">
        <v>1000002.0</v>
      </c>
      <c r="B2864" s="17">
        <v>7081200.0</v>
      </c>
    </row>
    <row r="2865">
      <c r="A2865" s="17">
        <v>1000002.0</v>
      </c>
      <c r="B2865" s="17">
        <v>7081300.0</v>
      </c>
    </row>
    <row r="2866">
      <c r="A2866" s="17">
        <v>1000002.0</v>
      </c>
      <c r="B2866" s="17">
        <v>7081400.0</v>
      </c>
    </row>
    <row r="2867">
      <c r="A2867" s="17">
        <v>1000002.0</v>
      </c>
      <c r="B2867" s="17">
        <v>7081500.0</v>
      </c>
    </row>
    <row r="2868">
      <c r="A2868" s="17">
        <v>1000002.0</v>
      </c>
      <c r="B2868" s="17">
        <v>7081700.0</v>
      </c>
    </row>
    <row r="2869">
      <c r="A2869" s="17">
        <v>1000002.0</v>
      </c>
      <c r="B2869" s="17">
        <v>7081800.0</v>
      </c>
    </row>
    <row r="2870">
      <c r="A2870" s="17">
        <v>1000002.0</v>
      </c>
      <c r="B2870" s="17">
        <v>7081900.0</v>
      </c>
    </row>
    <row r="2871">
      <c r="A2871" s="17">
        <v>1000002.0</v>
      </c>
      <c r="B2871" s="17">
        <v>7082000.0</v>
      </c>
    </row>
    <row r="2872">
      <c r="A2872" s="17">
        <v>1000002.0</v>
      </c>
      <c r="B2872" s="17">
        <v>7082100.0</v>
      </c>
    </row>
    <row r="2873">
      <c r="A2873" s="17">
        <v>1000002.0</v>
      </c>
      <c r="B2873" s="17">
        <v>7082200.0</v>
      </c>
    </row>
    <row r="2874">
      <c r="A2874" s="17">
        <v>1000002.0</v>
      </c>
      <c r="B2874" s="17">
        <v>7082300.0</v>
      </c>
    </row>
    <row r="2875">
      <c r="A2875" s="17">
        <v>1000002.0</v>
      </c>
      <c r="B2875" s="17">
        <v>7082400.0</v>
      </c>
    </row>
    <row r="2876">
      <c r="A2876" s="17">
        <v>1000002.0</v>
      </c>
      <c r="B2876" s="17">
        <v>7082500.0</v>
      </c>
    </row>
    <row r="2877">
      <c r="A2877" s="17">
        <v>1000002.0</v>
      </c>
      <c r="B2877" s="17">
        <v>7082600.0</v>
      </c>
    </row>
    <row r="2878">
      <c r="A2878" s="17">
        <v>1000002.0</v>
      </c>
      <c r="B2878" s="17">
        <v>7082700.0</v>
      </c>
    </row>
    <row r="2879">
      <c r="A2879" s="17">
        <v>1000002.0</v>
      </c>
      <c r="B2879" s="17">
        <v>7082800.0</v>
      </c>
    </row>
    <row r="2880">
      <c r="A2880" s="17">
        <v>1000002.0</v>
      </c>
      <c r="B2880" s="17">
        <v>7082900.0</v>
      </c>
    </row>
    <row r="2881">
      <c r="A2881" s="17">
        <v>1000002.0</v>
      </c>
      <c r="B2881" s="17">
        <v>7090000.0</v>
      </c>
    </row>
    <row r="2882">
      <c r="A2882" s="17">
        <v>1000002.0</v>
      </c>
      <c r="B2882" s="17">
        <v>7090100.0</v>
      </c>
    </row>
    <row r="2883">
      <c r="A2883" s="17">
        <v>1000002.0</v>
      </c>
      <c r="B2883" s="17">
        <v>7090300.0</v>
      </c>
    </row>
    <row r="2884">
      <c r="A2884" s="17">
        <v>1000002.0</v>
      </c>
      <c r="B2884" s="17">
        <v>7100100.0</v>
      </c>
    </row>
    <row r="2885">
      <c r="A2885" s="17">
        <v>1000002.0</v>
      </c>
      <c r="B2885" s="17">
        <v>7110000.0</v>
      </c>
    </row>
    <row r="2886">
      <c r="A2886" s="17">
        <v>1000002.0</v>
      </c>
      <c r="B2886" s="17">
        <v>7120000.0</v>
      </c>
    </row>
    <row r="2887">
      <c r="A2887" s="17">
        <v>1000002.0</v>
      </c>
      <c r="B2887" s="17">
        <v>7120100.0</v>
      </c>
    </row>
    <row r="2888">
      <c r="A2888" s="17">
        <v>1000002.0</v>
      </c>
      <c r="B2888" s="17">
        <v>7120200.0</v>
      </c>
    </row>
    <row r="2889">
      <c r="A2889" s="17">
        <v>1000002.0</v>
      </c>
      <c r="B2889" s="17">
        <v>7120300.0</v>
      </c>
    </row>
    <row r="2890">
      <c r="A2890" s="17">
        <v>1000002.0</v>
      </c>
      <c r="B2890" s="17">
        <v>7120400.0</v>
      </c>
    </row>
    <row r="2891">
      <c r="A2891" s="17">
        <v>1000002.0</v>
      </c>
      <c r="B2891" s="17">
        <v>7120500.0</v>
      </c>
    </row>
    <row r="2892">
      <c r="A2892" s="17">
        <v>1000002.0</v>
      </c>
      <c r="B2892" s="17">
        <v>7120600.0</v>
      </c>
    </row>
    <row r="2893">
      <c r="A2893" s="17">
        <v>1000002.0</v>
      </c>
      <c r="B2893" s="17">
        <v>7120900.0</v>
      </c>
    </row>
    <row r="2894">
      <c r="A2894" s="17">
        <v>1000002.0</v>
      </c>
      <c r="B2894" s="17">
        <v>7121000.0</v>
      </c>
    </row>
    <row r="2895">
      <c r="A2895" s="17">
        <v>1000002.0</v>
      </c>
      <c r="B2895" s="17">
        <v>7121100.0</v>
      </c>
    </row>
    <row r="2896">
      <c r="A2896" s="17">
        <v>1000002.0</v>
      </c>
      <c r="B2896" s="17">
        <v>7121200.0</v>
      </c>
    </row>
    <row r="2897">
      <c r="A2897" s="17">
        <v>1000002.0</v>
      </c>
      <c r="B2897" s="17">
        <v>7121300.0</v>
      </c>
    </row>
    <row r="2898">
      <c r="A2898" s="17">
        <v>1000002.0</v>
      </c>
      <c r="B2898" s="17">
        <v>7121400.0</v>
      </c>
    </row>
    <row r="2899">
      <c r="A2899" s="17">
        <v>1000002.0</v>
      </c>
      <c r="B2899" s="17">
        <v>7121500.0</v>
      </c>
    </row>
    <row r="2900">
      <c r="A2900" s="17">
        <v>1000002.0</v>
      </c>
      <c r="B2900" s="17">
        <v>7121600.0</v>
      </c>
    </row>
    <row r="2901">
      <c r="A2901" s="17">
        <v>1000002.0</v>
      </c>
      <c r="B2901" s="17">
        <v>7121700.0</v>
      </c>
    </row>
    <row r="2902">
      <c r="A2902" s="17">
        <v>1000002.0</v>
      </c>
      <c r="B2902" s="17">
        <v>7121800.0</v>
      </c>
    </row>
    <row r="2903">
      <c r="A2903" s="17">
        <v>1000002.0</v>
      </c>
      <c r="B2903" s="17">
        <v>7121900.0</v>
      </c>
    </row>
    <row r="2904">
      <c r="A2904" s="17">
        <v>1000002.0</v>
      </c>
      <c r="B2904" s="17">
        <v>7122000.0</v>
      </c>
    </row>
    <row r="2905">
      <c r="A2905" s="17">
        <v>1000002.0</v>
      </c>
      <c r="B2905" s="17">
        <v>7122100.0</v>
      </c>
    </row>
    <row r="2906">
      <c r="A2906" s="17">
        <v>1000002.0</v>
      </c>
      <c r="B2906" s="17">
        <v>7122200.0</v>
      </c>
    </row>
    <row r="2907">
      <c r="A2907" s="17">
        <v>1000002.0</v>
      </c>
      <c r="B2907" s="17">
        <v>7122300.0</v>
      </c>
    </row>
    <row r="2908">
      <c r="A2908" s="17">
        <v>1000002.0</v>
      </c>
      <c r="B2908" s="17">
        <v>7122400.0</v>
      </c>
    </row>
    <row r="2909">
      <c r="A2909" s="17">
        <v>1000002.0</v>
      </c>
      <c r="B2909" s="17">
        <v>7122500.0</v>
      </c>
    </row>
    <row r="2910">
      <c r="A2910" s="17">
        <v>1000002.0</v>
      </c>
      <c r="B2910" s="17">
        <v>7122600.0</v>
      </c>
    </row>
    <row r="2911">
      <c r="A2911" s="17">
        <v>1000002.0</v>
      </c>
      <c r="B2911" s="17">
        <v>7122700.0</v>
      </c>
    </row>
    <row r="2912">
      <c r="A2912" s="17">
        <v>1000002.0</v>
      </c>
      <c r="B2912" s="17">
        <v>7122800.0</v>
      </c>
    </row>
    <row r="2913">
      <c r="A2913" s="17">
        <v>1000002.0</v>
      </c>
      <c r="B2913" s="17">
        <v>7122900.0</v>
      </c>
    </row>
    <row r="2914">
      <c r="A2914" s="17">
        <v>1000002.0</v>
      </c>
      <c r="B2914" s="17">
        <v>7123000.0</v>
      </c>
    </row>
    <row r="2915">
      <c r="A2915" s="17">
        <v>1000002.0</v>
      </c>
      <c r="B2915" s="17">
        <v>7123100.0</v>
      </c>
    </row>
    <row r="2916">
      <c r="A2916" s="17">
        <v>1000002.0</v>
      </c>
      <c r="B2916" s="17">
        <v>7123200.0</v>
      </c>
    </row>
    <row r="2917">
      <c r="A2917" s="17">
        <v>1000002.0</v>
      </c>
      <c r="B2917" s="17">
        <v>7123300.0</v>
      </c>
    </row>
    <row r="2918">
      <c r="A2918" s="17">
        <v>1000002.0</v>
      </c>
      <c r="B2918" s="17">
        <v>7123400.0</v>
      </c>
    </row>
    <row r="2919">
      <c r="A2919" s="17">
        <v>1000002.0</v>
      </c>
      <c r="B2919" s="17">
        <v>7123500.0</v>
      </c>
    </row>
    <row r="2920">
      <c r="A2920" s="17">
        <v>1000002.0</v>
      </c>
      <c r="B2920" s="17">
        <v>7123600.0</v>
      </c>
    </row>
    <row r="2921">
      <c r="A2921" s="17">
        <v>1000002.0</v>
      </c>
      <c r="B2921" s="17">
        <v>7123700.0</v>
      </c>
    </row>
    <row r="2922">
      <c r="A2922" s="17">
        <v>1000002.0</v>
      </c>
      <c r="B2922" s="17">
        <v>7123800.0</v>
      </c>
    </row>
    <row r="2923">
      <c r="A2923" s="17">
        <v>1000002.0</v>
      </c>
      <c r="B2923" s="17">
        <v>7123900.0</v>
      </c>
    </row>
    <row r="2924">
      <c r="A2924" s="17">
        <v>1000002.0</v>
      </c>
      <c r="B2924" s="17">
        <v>7124000.0</v>
      </c>
    </row>
    <row r="2925">
      <c r="A2925" s="17">
        <v>1000002.0</v>
      </c>
      <c r="B2925" s="17">
        <v>7124100.0</v>
      </c>
    </row>
    <row r="2926">
      <c r="A2926" s="17">
        <v>1000002.0</v>
      </c>
      <c r="B2926" s="17">
        <v>7124300.0</v>
      </c>
    </row>
    <row r="2927">
      <c r="A2927" s="17">
        <v>1000002.0</v>
      </c>
      <c r="B2927" s="17">
        <v>7124400.0</v>
      </c>
    </row>
    <row r="2928">
      <c r="A2928" s="17">
        <v>1000002.0</v>
      </c>
      <c r="B2928" s="17">
        <v>7124500.0</v>
      </c>
    </row>
    <row r="2929">
      <c r="A2929" s="17">
        <v>1000002.0</v>
      </c>
      <c r="B2929" s="17">
        <v>7124600.0</v>
      </c>
    </row>
    <row r="2930">
      <c r="A2930" s="17">
        <v>1000002.0</v>
      </c>
      <c r="B2930" s="17">
        <v>7124700.0</v>
      </c>
    </row>
    <row r="2931">
      <c r="A2931" s="17">
        <v>1000002.0</v>
      </c>
      <c r="B2931" s="17">
        <v>7126000.0</v>
      </c>
    </row>
    <row r="2932">
      <c r="A2932" s="17">
        <v>1000002.0</v>
      </c>
      <c r="B2932" s="17">
        <v>7150000.0</v>
      </c>
    </row>
    <row r="2933">
      <c r="A2933" s="17">
        <v>1000002.0</v>
      </c>
      <c r="B2933" s="17">
        <v>7160000.0</v>
      </c>
    </row>
    <row r="2934">
      <c r="A2934" s="17">
        <v>1000002.0</v>
      </c>
      <c r="B2934" s="17">
        <v>7220000.0</v>
      </c>
    </row>
    <row r="2935">
      <c r="A2935" s="17">
        <v>1000002.0</v>
      </c>
      <c r="B2935" s="17">
        <v>7230000.0</v>
      </c>
    </row>
    <row r="2936">
      <c r="A2936" s="17">
        <v>1000002.0</v>
      </c>
      <c r="B2936" s="17">
        <v>7240000.0</v>
      </c>
    </row>
    <row r="2937">
      <c r="A2937" s="17">
        <v>1000002.0</v>
      </c>
      <c r="B2937" s="17">
        <v>7260000.0</v>
      </c>
    </row>
    <row r="2938">
      <c r="A2938" s="17">
        <v>1000002.0</v>
      </c>
      <c r="B2938" s="17">
        <v>7260300.0</v>
      </c>
    </row>
    <row r="2939">
      <c r="A2939" s="17">
        <v>1000002.0</v>
      </c>
      <c r="B2939" s="17">
        <v>7260400.0</v>
      </c>
    </row>
    <row r="2940">
      <c r="A2940" s="17">
        <v>1000002.0</v>
      </c>
      <c r="B2940" s="17">
        <v>7270100.0</v>
      </c>
    </row>
    <row r="2941">
      <c r="A2941" s="17">
        <v>1000002.0</v>
      </c>
      <c r="B2941" s="17">
        <v>7280000.0</v>
      </c>
    </row>
    <row r="2942">
      <c r="A2942" s="17">
        <v>1000002.0</v>
      </c>
      <c r="B2942" s="17">
        <v>7290000.0</v>
      </c>
    </row>
    <row r="2943">
      <c r="A2943" s="17">
        <v>1000002.0</v>
      </c>
      <c r="B2943" s="17">
        <v>7310000.0</v>
      </c>
    </row>
    <row r="2944">
      <c r="A2944" s="17">
        <v>1000002.0</v>
      </c>
      <c r="B2944" s="17">
        <v>7330000.0</v>
      </c>
    </row>
    <row r="2945">
      <c r="A2945" s="17">
        <v>1000002.0</v>
      </c>
      <c r="B2945" s="17">
        <v>7330100.0</v>
      </c>
    </row>
    <row r="2946">
      <c r="A2946" s="17">
        <v>1000002.0</v>
      </c>
      <c r="B2946" s="17">
        <v>7330200.0</v>
      </c>
    </row>
    <row r="2947">
      <c r="A2947" s="17">
        <v>1000002.0</v>
      </c>
      <c r="B2947" s="17">
        <v>7330300.0</v>
      </c>
    </row>
    <row r="2948">
      <c r="A2948" s="17">
        <v>1000002.0</v>
      </c>
      <c r="B2948" s="17">
        <v>7330400.0</v>
      </c>
    </row>
    <row r="2949">
      <c r="A2949" s="17">
        <v>1000002.0</v>
      </c>
      <c r="B2949" s="17">
        <v>7330500.0</v>
      </c>
    </row>
    <row r="2950">
      <c r="A2950" s="17">
        <v>1000002.0</v>
      </c>
      <c r="B2950" s="17">
        <v>7330600.0</v>
      </c>
    </row>
    <row r="2951">
      <c r="A2951" s="17">
        <v>1000002.0</v>
      </c>
      <c r="B2951" s="17">
        <v>7330700.0</v>
      </c>
    </row>
    <row r="2952">
      <c r="A2952" s="17">
        <v>1000002.0</v>
      </c>
      <c r="B2952" s="17">
        <v>7330800.0</v>
      </c>
    </row>
    <row r="2953">
      <c r="A2953" s="17">
        <v>1000002.0</v>
      </c>
      <c r="B2953" s="17">
        <v>7330900.0</v>
      </c>
    </row>
    <row r="2954">
      <c r="A2954" s="17">
        <v>1000002.0</v>
      </c>
      <c r="B2954" s="17">
        <v>7331000.0</v>
      </c>
    </row>
    <row r="2955">
      <c r="A2955" s="17">
        <v>1000002.0</v>
      </c>
      <c r="B2955" s="17">
        <v>7331100.0</v>
      </c>
    </row>
    <row r="2956">
      <c r="A2956" s="17">
        <v>1000002.0</v>
      </c>
      <c r="B2956" s="17">
        <v>7331200.0</v>
      </c>
    </row>
    <row r="2957">
      <c r="A2957" s="17">
        <v>1000002.0</v>
      </c>
      <c r="B2957" s="17">
        <v>7331300.0</v>
      </c>
    </row>
    <row r="2958">
      <c r="A2958" s="17">
        <v>1000002.0</v>
      </c>
      <c r="B2958" s="17">
        <v>7331400.0</v>
      </c>
    </row>
    <row r="2959">
      <c r="A2959" s="17">
        <v>1000002.0</v>
      </c>
      <c r="B2959" s="17">
        <v>7331500.0</v>
      </c>
    </row>
    <row r="2960">
      <c r="A2960" s="17">
        <v>1000002.0</v>
      </c>
      <c r="B2960" s="17">
        <v>7331700.0</v>
      </c>
    </row>
    <row r="2961">
      <c r="A2961" s="17">
        <v>1000002.0</v>
      </c>
      <c r="B2961" s="17">
        <v>7331800.0</v>
      </c>
    </row>
    <row r="2962">
      <c r="A2962" s="17">
        <v>1000002.0</v>
      </c>
      <c r="B2962" s="17">
        <v>7331900.0</v>
      </c>
    </row>
    <row r="2963">
      <c r="A2963" s="17">
        <v>1000002.0</v>
      </c>
      <c r="B2963" s="17">
        <v>7332000.0</v>
      </c>
    </row>
    <row r="2964">
      <c r="A2964" s="17">
        <v>1000002.0</v>
      </c>
      <c r="B2964" s="17">
        <v>7332100.0</v>
      </c>
    </row>
    <row r="2965">
      <c r="A2965" s="17">
        <v>1000002.0</v>
      </c>
      <c r="B2965" s="17">
        <v>7332200.0</v>
      </c>
    </row>
    <row r="2966">
      <c r="A2966" s="17">
        <v>1000002.0</v>
      </c>
      <c r="B2966" s="17">
        <v>7332300.0</v>
      </c>
    </row>
    <row r="2967">
      <c r="A2967" s="17">
        <v>1000002.0</v>
      </c>
      <c r="B2967" s="17">
        <v>7332400.0</v>
      </c>
    </row>
    <row r="2968">
      <c r="A2968" s="17">
        <v>1000002.0</v>
      </c>
      <c r="B2968" s="17">
        <v>7340000.0</v>
      </c>
    </row>
    <row r="2969">
      <c r="A2969" s="17">
        <v>1000002.0</v>
      </c>
      <c r="B2969" s="17">
        <v>7340100.0</v>
      </c>
    </row>
    <row r="2970">
      <c r="A2970" s="17">
        <v>1000002.0</v>
      </c>
      <c r="B2970" s="17">
        <v>7340200.0</v>
      </c>
    </row>
    <row r="2971">
      <c r="A2971" s="17">
        <v>1000002.0</v>
      </c>
      <c r="B2971" s="17">
        <v>7340300.0</v>
      </c>
    </row>
    <row r="2972">
      <c r="A2972" s="17">
        <v>1000002.0</v>
      </c>
      <c r="B2972" s="17">
        <v>7340400.0</v>
      </c>
    </row>
    <row r="2973">
      <c r="A2973" s="17">
        <v>1000002.0</v>
      </c>
      <c r="B2973" s="17">
        <v>7340500.0</v>
      </c>
    </row>
    <row r="2974">
      <c r="A2974" s="17">
        <v>1000002.0</v>
      </c>
      <c r="B2974" s="17">
        <v>7340600.0</v>
      </c>
    </row>
    <row r="2975">
      <c r="A2975" s="17">
        <v>1000002.0</v>
      </c>
      <c r="B2975" s="17">
        <v>7340700.0</v>
      </c>
    </row>
    <row r="2976">
      <c r="A2976" s="17">
        <v>1000002.0</v>
      </c>
      <c r="B2976" s="17">
        <v>7340800.0</v>
      </c>
    </row>
    <row r="2977">
      <c r="A2977" s="17">
        <v>1000002.0</v>
      </c>
      <c r="B2977" s="17">
        <v>7340900.0</v>
      </c>
    </row>
    <row r="2978">
      <c r="A2978" s="17">
        <v>1000002.0</v>
      </c>
      <c r="B2978" s="17">
        <v>7341000.0</v>
      </c>
    </row>
    <row r="2979">
      <c r="A2979" s="17">
        <v>1000002.0</v>
      </c>
      <c r="B2979" s="17">
        <v>7341100.0</v>
      </c>
    </row>
    <row r="2980">
      <c r="A2980" s="17">
        <v>1000002.0</v>
      </c>
      <c r="B2980" s="17">
        <v>7341200.0</v>
      </c>
    </row>
    <row r="2981">
      <c r="A2981" s="17">
        <v>1000002.0</v>
      </c>
      <c r="B2981" s="17">
        <v>7341300.0</v>
      </c>
    </row>
    <row r="2982">
      <c r="A2982" s="17">
        <v>1000002.0</v>
      </c>
      <c r="B2982" s="17">
        <v>7341400.0</v>
      </c>
    </row>
    <row r="2983">
      <c r="A2983" s="17">
        <v>1000002.0</v>
      </c>
      <c r="B2983" s="17">
        <v>7341500.0</v>
      </c>
    </row>
    <row r="2984">
      <c r="A2984" s="17">
        <v>1000002.0</v>
      </c>
      <c r="B2984" s="17">
        <v>7341700.0</v>
      </c>
    </row>
    <row r="2985">
      <c r="A2985" s="17">
        <v>1000002.0</v>
      </c>
      <c r="B2985" s="17">
        <v>7341800.0</v>
      </c>
    </row>
    <row r="2986">
      <c r="A2986" s="17">
        <v>1000002.0</v>
      </c>
      <c r="B2986" s="17">
        <v>7341900.0</v>
      </c>
    </row>
    <row r="2987">
      <c r="A2987" s="17">
        <v>1000002.0</v>
      </c>
      <c r="B2987" s="17">
        <v>7342000.0</v>
      </c>
    </row>
    <row r="2988">
      <c r="A2988" s="17">
        <v>1000002.0</v>
      </c>
      <c r="B2988" s="17">
        <v>7342100.0</v>
      </c>
    </row>
    <row r="2989">
      <c r="A2989" s="17">
        <v>1000002.0</v>
      </c>
      <c r="B2989" s="17">
        <v>7342200.0</v>
      </c>
    </row>
    <row r="2990">
      <c r="A2990" s="17">
        <v>1000002.0</v>
      </c>
      <c r="B2990" s="17">
        <v>7342300.0</v>
      </c>
    </row>
    <row r="2991">
      <c r="A2991" s="17">
        <v>1000002.0</v>
      </c>
      <c r="B2991" s="17">
        <v>7342400.0</v>
      </c>
    </row>
    <row r="2992">
      <c r="A2992" s="17">
        <v>1000002.0</v>
      </c>
      <c r="B2992" s="17">
        <v>7350000.0</v>
      </c>
    </row>
    <row r="2993">
      <c r="A2993" s="17">
        <v>1000002.0</v>
      </c>
      <c r="B2993" s="17">
        <v>7350100.0</v>
      </c>
    </row>
    <row r="2994">
      <c r="A2994" s="17">
        <v>1000002.0</v>
      </c>
      <c r="B2994" s="17">
        <v>7350200.0</v>
      </c>
    </row>
    <row r="2995">
      <c r="A2995" s="17">
        <v>1000002.0</v>
      </c>
      <c r="B2995" s="17">
        <v>7350300.0</v>
      </c>
    </row>
    <row r="2996">
      <c r="A2996" s="17">
        <v>1000002.0</v>
      </c>
      <c r="B2996" s="17">
        <v>7350400.0</v>
      </c>
    </row>
    <row r="2997">
      <c r="A2997" s="17">
        <v>1000002.0</v>
      </c>
      <c r="B2997" s="17">
        <v>7350500.0</v>
      </c>
    </row>
    <row r="2998">
      <c r="A2998" s="17">
        <v>1000002.0</v>
      </c>
      <c r="B2998" s="17">
        <v>7350600.0</v>
      </c>
    </row>
    <row r="2999">
      <c r="A2999" s="17">
        <v>1000002.0</v>
      </c>
      <c r="B2999" s="17">
        <v>7350700.0</v>
      </c>
    </row>
    <row r="3000">
      <c r="A3000" s="17">
        <v>1000002.0</v>
      </c>
      <c r="B3000" s="17">
        <v>7350800.0</v>
      </c>
    </row>
    <row r="3001">
      <c r="A3001" s="17">
        <v>1000002.0</v>
      </c>
      <c r="B3001" s="17">
        <v>7350900.0</v>
      </c>
    </row>
    <row r="3002">
      <c r="A3002" s="17">
        <v>1000002.0</v>
      </c>
      <c r="B3002" s="17">
        <v>7351000.0</v>
      </c>
    </row>
    <row r="3003">
      <c r="A3003" s="17">
        <v>1000002.0</v>
      </c>
      <c r="B3003" s="17">
        <v>7351100.0</v>
      </c>
    </row>
    <row r="3004">
      <c r="A3004" s="17">
        <v>1000002.0</v>
      </c>
      <c r="B3004" s="17">
        <v>7351200.0</v>
      </c>
    </row>
    <row r="3005">
      <c r="A3005" s="17">
        <v>1000002.0</v>
      </c>
      <c r="B3005" s="17">
        <v>7351300.0</v>
      </c>
    </row>
    <row r="3006">
      <c r="A3006" s="17">
        <v>1000002.0</v>
      </c>
      <c r="B3006" s="17">
        <v>7351400.0</v>
      </c>
    </row>
    <row r="3007">
      <c r="A3007" s="17">
        <v>1000002.0</v>
      </c>
      <c r="B3007" s="17">
        <v>7351500.0</v>
      </c>
    </row>
    <row r="3008">
      <c r="A3008" s="17">
        <v>1000002.0</v>
      </c>
      <c r="B3008" s="17">
        <v>7351700.0</v>
      </c>
    </row>
    <row r="3009">
      <c r="A3009" s="17">
        <v>1000002.0</v>
      </c>
      <c r="B3009" s="17">
        <v>7351800.0</v>
      </c>
    </row>
    <row r="3010">
      <c r="A3010" s="17">
        <v>1000002.0</v>
      </c>
      <c r="B3010" s="17">
        <v>7351900.0</v>
      </c>
    </row>
    <row r="3011">
      <c r="A3011" s="17">
        <v>1000002.0</v>
      </c>
      <c r="B3011" s="17">
        <v>7352000.0</v>
      </c>
    </row>
    <row r="3012">
      <c r="A3012" s="17">
        <v>1000002.0</v>
      </c>
      <c r="B3012" s="17">
        <v>7352100.0</v>
      </c>
    </row>
    <row r="3013">
      <c r="A3013" s="17">
        <v>1000002.0</v>
      </c>
      <c r="B3013" s="17">
        <v>7352200.0</v>
      </c>
    </row>
    <row r="3014">
      <c r="A3014" s="17">
        <v>1000002.0</v>
      </c>
      <c r="B3014" s="17">
        <v>7352300.0</v>
      </c>
    </row>
    <row r="3015">
      <c r="A3015" s="17">
        <v>1000002.0</v>
      </c>
      <c r="B3015" s="17">
        <v>7352400.0</v>
      </c>
    </row>
    <row r="3016">
      <c r="A3016" s="17">
        <v>1000002.0</v>
      </c>
      <c r="B3016" s="17">
        <v>7360600.0</v>
      </c>
    </row>
    <row r="3017">
      <c r="A3017" s="17">
        <v>1000002.0</v>
      </c>
      <c r="B3017" s="17">
        <v>7360900.0</v>
      </c>
    </row>
    <row r="3018">
      <c r="A3018" s="17">
        <v>1000002.0</v>
      </c>
      <c r="B3018" s="17">
        <v>7361200.0</v>
      </c>
    </row>
    <row r="3019">
      <c r="A3019" s="17">
        <v>1000002.0</v>
      </c>
      <c r="B3019" s="17">
        <v>7361300.0</v>
      </c>
    </row>
    <row r="3020">
      <c r="A3020" s="17">
        <v>1000002.0</v>
      </c>
      <c r="B3020" s="17">
        <v>7362100.0</v>
      </c>
    </row>
    <row r="3021">
      <c r="A3021" s="17">
        <v>1000002.0</v>
      </c>
      <c r="B3021" s="17">
        <v>7370300.0</v>
      </c>
    </row>
    <row r="3022">
      <c r="A3022" s="17">
        <v>1000002.0</v>
      </c>
      <c r="B3022" s="17">
        <v>7370400.0</v>
      </c>
    </row>
    <row r="3023">
      <c r="A3023" s="17">
        <v>1000002.0</v>
      </c>
      <c r="B3023" s="17">
        <v>7370600.0</v>
      </c>
    </row>
    <row r="3024">
      <c r="A3024" s="17">
        <v>1000002.0</v>
      </c>
      <c r="B3024" s="17">
        <v>7370900.0</v>
      </c>
    </row>
    <row r="3025">
      <c r="A3025" s="17">
        <v>1000002.0</v>
      </c>
      <c r="B3025" s="17">
        <v>7371500.0</v>
      </c>
    </row>
    <row r="3026">
      <c r="A3026" s="17">
        <v>1000002.0</v>
      </c>
      <c r="B3026" s="17">
        <v>7036200.0</v>
      </c>
    </row>
    <row r="3027">
      <c r="A3027" s="17">
        <v>1000002.0</v>
      </c>
      <c r="B3027" s="17">
        <v>7036300.0</v>
      </c>
    </row>
    <row r="3028">
      <c r="A3028" s="17">
        <v>1000002.0</v>
      </c>
      <c r="B3028" s="17">
        <v>7036400.0</v>
      </c>
    </row>
    <row r="3029">
      <c r="A3029" s="17">
        <v>1000002.0</v>
      </c>
      <c r="B3029" s="17">
        <v>7036500.0</v>
      </c>
    </row>
    <row r="3030">
      <c r="A3030" s="17">
        <v>1000002.0</v>
      </c>
      <c r="B3030" s="17">
        <v>7036800.0</v>
      </c>
    </row>
    <row r="3031">
      <c r="A3031" s="17">
        <v>1000002.0</v>
      </c>
      <c r="B3031" s="17">
        <v>7036900.0</v>
      </c>
    </row>
    <row r="3032">
      <c r="A3032" s="17">
        <v>1000002.0</v>
      </c>
      <c r="B3032" s="17">
        <v>7037000.0</v>
      </c>
    </row>
    <row r="3033">
      <c r="A3033" s="17">
        <v>1000002.0</v>
      </c>
      <c r="B3033" s="17">
        <v>7037300.0</v>
      </c>
    </row>
    <row r="3034">
      <c r="A3034" s="17">
        <v>1000002.0</v>
      </c>
      <c r="B3034" s="17">
        <v>6630000.0</v>
      </c>
    </row>
    <row r="3035">
      <c r="A3035" s="17">
        <v>1000002.0</v>
      </c>
      <c r="B3035" s="17">
        <v>6630100.0</v>
      </c>
    </row>
    <row r="3036">
      <c r="A3036" s="17">
        <v>1000002.0</v>
      </c>
      <c r="B3036" s="17">
        <v>6630200.0</v>
      </c>
    </row>
    <row r="3037">
      <c r="A3037" s="17">
        <v>1000002.0</v>
      </c>
      <c r="B3037" s="17">
        <v>6630300.0</v>
      </c>
    </row>
    <row r="3038">
      <c r="A3038" s="17">
        <v>1000002.0</v>
      </c>
      <c r="B3038" s="17">
        <v>6630400.0</v>
      </c>
    </row>
    <row r="3039">
      <c r="A3039" s="17">
        <v>1000002.0</v>
      </c>
      <c r="B3039" s="17">
        <v>6630500.0</v>
      </c>
    </row>
    <row r="3040">
      <c r="A3040" s="17">
        <v>1000002.0</v>
      </c>
      <c r="B3040" s="17">
        <v>6630600.0</v>
      </c>
    </row>
    <row r="3041">
      <c r="A3041" s="17">
        <v>1000002.0</v>
      </c>
      <c r="B3041" s="17">
        <v>6630700.0</v>
      </c>
    </row>
    <row r="3042">
      <c r="A3042" s="17">
        <v>1000002.0</v>
      </c>
      <c r="B3042" s="17">
        <v>6630800.0</v>
      </c>
    </row>
    <row r="3043">
      <c r="A3043" s="17">
        <v>1000002.0</v>
      </c>
      <c r="B3043" s="17">
        <v>6630900.0</v>
      </c>
    </row>
    <row r="3044">
      <c r="A3044" s="17">
        <v>1000002.0</v>
      </c>
      <c r="B3044" s="17">
        <v>6631000.0</v>
      </c>
    </row>
    <row r="3045">
      <c r="A3045" s="17">
        <v>1000002.0</v>
      </c>
      <c r="B3045" s="17">
        <v>6631100.0</v>
      </c>
    </row>
    <row r="3046">
      <c r="A3046" s="17">
        <v>1000002.0</v>
      </c>
      <c r="B3046" s="17">
        <v>6631200.0</v>
      </c>
    </row>
    <row r="3047">
      <c r="A3047" s="17">
        <v>1000002.0</v>
      </c>
      <c r="B3047" s="17">
        <v>6631300.0</v>
      </c>
    </row>
    <row r="3048">
      <c r="A3048" s="17">
        <v>1000002.0</v>
      </c>
      <c r="B3048" s="17">
        <v>6631400.0</v>
      </c>
    </row>
    <row r="3049">
      <c r="A3049" s="17">
        <v>1000002.0</v>
      </c>
      <c r="B3049" s="17">
        <v>6631500.0</v>
      </c>
    </row>
    <row r="3050">
      <c r="A3050" s="17">
        <v>1000002.0</v>
      </c>
      <c r="B3050" s="17">
        <v>6631600.0</v>
      </c>
    </row>
    <row r="3051">
      <c r="A3051" s="17">
        <v>1000002.0</v>
      </c>
      <c r="B3051" s="17">
        <v>6631700.0</v>
      </c>
    </row>
    <row r="3052">
      <c r="A3052" s="17">
        <v>1000002.0</v>
      </c>
      <c r="B3052" s="17">
        <v>6631800.0</v>
      </c>
    </row>
    <row r="3053">
      <c r="A3053" s="17">
        <v>1000002.0</v>
      </c>
      <c r="B3053" s="17">
        <v>6631900.0</v>
      </c>
    </row>
    <row r="3054">
      <c r="A3054" s="17">
        <v>1000002.0</v>
      </c>
      <c r="B3054" s="17">
        <v>6632000.0</v>
      </c>
    </row>
    <row r="3055">
      <c r="A3055" s="17">
        <v>1000002.0</v>
      </c>
      <c r="B3055" s="17">
        <v>6632100.0</v>
      </c>
    </row>
    <row r="3056">
      <c r="A3056" s="17">
        <v>1000002.0</v>
      </c>
      <c r="B3056" s="17">
        <v>6632200.0</v>
      </c>
    </row>
    <row r="3057">
      <c r="A3057" s="17">
        <v>1000002.0</v>
      </c>
      <c r="B3057" s="17">
        <v>6632300.0</v>
      </c>
    </row>
    <row r="3058">
      <c r="A3058" s="17">
        <v>1000002.0</v>
      </c>
      <c r="B3058" s="17">
        <v>6632400.0</v>
      </c>
    </row>
    <row r="3059">
      <c r="A3059" s="17">
        <v>1000002.0</v>
      </c>
      <c r="B3059" s="17">
        <v>6632500.0</v>
      </c>
    </row>
    <row r="3060">
      <c r="A3060" s="17">
        <v>1000002.0</v>
      </c>
      <c r="B3060" s="17">
        <v>6632600.0</v>
      </c>
    </row>
    <row r="3061">
      <c r="A3061" s="17">
        <v>1000002.0</v>
      </c>
      <c r="B3061" s="17">
        <v>6632700.0</v>
      </c>
    </row>
    <row r="3062">
      <c r="A3062" s="17">
        <v>1000002.0</v>
      </c>
      <c r="B3062" s="17">
        <v>6632800.0</v>
      </c>
    </row>
    <row r="3063">
      <c r="A3063" s="17">
        <v>1000002.0</v>
      </c>
      <c r="B3063" s="17">
        <v>6632900.0</v>
      </c>
    </row>
    <row r="3064">
      <c r="A3064" s="17">
        <v>1000002.0</v>
      </c>
      <c r="B3064" s="17">
        <v>6633000.0</v>
      </c>
    </row>
    <row r="3065">
      <c r="A3065" s="17">
        <v>1000002.0</v>
      </c>
      <c r="B3065" s="17">
        <v>6633100.0</v>
      </c>
    </row>
    <row r="3066">
      <c r="A3066" s="17">
        <v>1000002.0</v>
      </c>
      <c r="B3066" s="17">
        <v>6633200.0</v>
      </c>
    </row>
    <row r="3067">
      <c r="A3067" s="17">
        <v>1000002.0</v>
      </c>
      <c r="B3067" s="17">
        <v>6647200.0</v>
      </c>
    </row>
    <row r="3068">
      <c r="A3068" s="17">
        <v>1000002.0</v>
      </c>
      <c r="B3068" s="17">
        <v>6647300.0</v>
      </c>
    </row>
    <row r="3069">
      <c r="A3069" s="17">
        <v>1000002.0</v>
      </c>
      <c r="B3069" s="17">
        <v>6647400.0</v>
      </c>
    </row>
    <row r="3070">
      <c r="A3070" s="17">
        <v>1000002.0</v>
      </c>
      <c r="B3070" s="17">
        <v>6647500.0</v>
      </c>
    </row>
    <row r="3071">
      <c r="A3071" s="17">
        <v>1000002.0</v>
      </c>
      <c r="B3071" s="17">
        <v>6640000.0</v>
      </c>
    </row>
    <row r="3072">
      <c r="A3072" s="17">
        <v>1000002.0</v>
      </c>
      <c r="B3072" s="17">
        <v>6640100.0</v>
      </c>
    </row>
    <row r="3073">
      <c r="A3073" s="17">
        <v>1000002.0</v>
      </c>
      <c r="B3073" s="17">
        <v>6641000.0</v>
      </c>
    </row>
    <row r="3074">
      <c r="A3074" s="17">
        <v>1000002.0</v>
      </c>
      <c r="B3074" s="17">
        <v>6641100.0</v>
      </c>
    </row>
    <row r="3075">
      <c r="A3075" s="17">
        <v>1000002.0</v>
      </c>
      <c r="B3075" s="17">
        <v>6642000.0</v>
      </c>
    </row>
    <row r="3076">
      <c r="A3076" s="17">
        <v>1000002.0</v>
      </c>
      <c r="B3076" s="17">
        <v>6642100.0</v>
      </c>
    </row>
    <row r="3077">
      <c r="A3077" s="17">
        <v>1000002.0</v>
      </c>
      <c r="B3077" s="17">
        <v>6643000.0</v>
      </c>
    </row>
    <row r="3078">
      <c r="A3078" s="17">
        <v>1000002.0</v>
      </c>
      <c r="B3078" s="17">
        <v>6643100.0</v>
      </c>
    </row>
    <row r="3079">
      <c r="A3079" s="17">
        <v>1000002.0</v>
      </c>
      <c r="B3079" s="17">
        <v>6644000.0</v>
      </c>
    </row>
    <row r="3080">
      <c r="A3080" s="17">
        <v>1000002.0</v>
      </c>
      <c r="B3080" s="17">
        <v>6644100.0</v>
      </c>
    </row>
    <row r="3081">
      <c r="A3081" s="17">
        <v>1000002.0</v>
      </c>
      <c r="B3081" s="17">
        <v>6645000.0</v>
      </c>
    </row>
    <row r="3082">
      <c r="A3082" s="17">
        <v>1000002.0</v>
      </c>
      <c r="B3082" s="17">
        <v>6645100.0</v>
      </c>
    </row>
    <row r="3083">
      <c r="A3083" s="17">
        <v>1000002.0</v>
      </c>
      <c r="B3083" s="17">
        <v>6646000.0</v>
      </c>
    </row>
    <row r="3084">
      <c r="A3084" s="17">
        <v>1000002.0</v>
      </c>
      <c r="B3084" s="17">
        <v>6646100.0</v>
      </c>
    </row>
    <row r="3085">
      <c r="A3085" s="17">
        <v>1000002.0</v>
      </c>
      <c r="B3085" s="17">
        <v>6647000.0</v>
      </c>
    </row>
    <row r="3086">
      <c r="A3086" s="17">
        <v>1000002.0</v>
      </c>
      <c r="B3086" s="17">
        <v>6647100.0</v>
      </c>
    </row>
    <row r="3087">
      <c r="A3087" s="17">
        <v>1001000.0</v>
      </c>
      <c r="B3087" s="17">
        <v>7000000.0</v>
      </c>
    </row>
    <row r="3088">
      <c r="A3088" s="17">
        <v>1001000.0</v>
      </c>
      <c r="B3088" s="17">
        <v>7000001.0</v>
      </c>
    </row>
    <row r="3089">
      <c r="A3089" s="17">
        <v>1001000.0</v>
      </c>
      <c r="B3089" s="17">
        <v>7000002.0</v>
      </c>
    </row>
    <row r="3090">
      <c r="A3090" s="17">
        <v>1001000.0</v>
      </c>
      <c r="B3090" s="17">
        <v>7000100.0</v>
      </c>
    </row>
    <row r="3091">
      <c r="A3091" s="17">
        <v>1001000.0</v>
      </c>
      <c r="B3091" s="17">
        <v>7000101.0</v>
      </c>
    </row>
    <row r="3092">
      <c r="A3092" s="17">
        <v>1001000.0</v>
      </c>
      <c r="B3092" s="17">
        <v>7000102.0</v>
      </c>
    </row>
    <row r="3093">
      <c r="A3093" s="17">
        <v>1001000.0</v>
      </c>
      <c r="B3093" s="17">
        <v>7000200.0</v>
      </c>
    </row>
    <row r="3094">
      <c r="A3094" s="17">
        <v>1001000.0</v>
      </c>
      <c r="B3094" s="17">
        <v>7000201.0</v>
      </c>
    </row>
    <row r="3095">
      <c r="A3095" s="17">
        <v>1001000.0</v>
      </c>
      <c r="B3095" s="17">
        <v>7000202.0</v>
      </c>
    </row>
    <row r="3096">
      <c r="A3096" s="17">
        <v>1001000.0</v>
      </c>
      <c r="B3096" s="17">
        <v>7000300.0</v>
      </c>
    </row>
    <row r="3097">
      <c r="A3097" s="17">
        <v>1001000.0</v>
      </c>
      <c r="B3097" s="17">
        <v>7000301.0</v>
      </c>
    </row>
    <row r="3098">
      <c r="A3098" s="17">
        <v>1001000.0</v>
      </c>
      <c r="B3098" s="17">
        <v>7000302.0</v>
      </c>
    </row>
    <row r="3099">
      <c r="A3099" s="17">
        <v>1001000.0</v>
      </c>
      <c r="B3099" s="17">
        <v>7000400.0</v>
      </c>
    </row>
    <row r="3100">
      <c r="A3100" s="17">
        <v>1001000.0</v>
      </c>
      <c r="B3100" s="17">
        <v>7000401.0</v>
      </c>
    </row>
    <row r="3101">
      <c r="A3101" s="17">
        <v>1001000.0</v>
      </c>
      <c r="B3101" s="17">
        <v>7000402.0</v>
      </c>
    </row>
    <row r="3102">
      <c r="A3102" s="17">
        <v>1001000.0</v>
      </c>
      <c r="B3102" s="17">
        <v>7000500.0</v>
      </c>
    </row>
    <row r="3103">
      <c r="A3103" s="17">
        <v>1001000.0</v>
      </c>
      <c r="B3103" s="17">
        <v>7000501.0</v>
      </c>
    </row>
    <row r="3104">
      <c r="A3104" s="17">
        <v>1001000.0</v>
      </c>
      <c r="B3104" s="17">
        <v>7000502.0</v>
      </c>
    </row>
    <row r="3105">
      <c r="A3105" s="17">
        <v>1001000.0</v>
      </c>
      <c r="B3105" s="17">
        <v>7000600.0</v>
      </c>
    </row>
    <row r="3106">
      <c r="A3106" s="17">
        <v>1001000.0</v>
      </c>
      <c r="B3106" s="17">
        <v>7000601.0</v>
      </c>
    </row>
    <row r="3107">
      <c r="A3107" s="17">
        <v>1001000.0</v>
      </c>
      <c r="B3107" s="17">
        <v>7000602.0</v>
      </c>
    </row>
    <row r="3108">
      <c r="A3108" s="17">
        <v>1001000.0</v>
      </c>
      <c r="B3108" s="17">
        <v>7000700.0</v>
      </c>
    </row>
    <row r="3109">
      <c r="A3109" s="17">
        <v>1001000.0</v>
      </c>
      <c r="B3109" s="17">
        <v>7000701.0</v>
      </c>
    </row>
    <row r="3110">
      <c r="A3110" s="17">
        <v>1001000.0</v>
      </c>
      <c r="B3110" s="17">
        <v>7000702.0</v>
      </c>
    </row>
    <row r="3111">
      <c r="A3111" s="17">
        <v>1001000.0</v>
      </c>
      <c r="B3111" s="17">
        <v>7000800.0</v>
      </c>
    </row>
    <row r="3112">
      <c r="A3112" s="17">
        <v>1001000.0</v>
      </c>
      <c r="B3112" s="17">
        <v>7000801.0</v>
      </c>
    </row>
    <row r="3113">
      <c r="A3113" s="17">
        <v>1001000.0</v>
      </c>
      <c r="B3113" s="17">
        <v>7000802.0</v>
      </c>
    </row>
    <row r="3114">
      <c r="A3114" s="17">
        <v>1001000.0</v>
      </c>
      <c r="B3114" s="17">
        <v>7000900.0</v>
      </c>
    </row>
    <row r="3115">
      <c r="A3115" s="17">
        <v>1001000.0</v>
      </c>
      <c r="B3115" s="17">
        <v>7000901.0</v>
      </c>
    </row>
    <row r="3116">
      <c r="A3116" s="17">
        <v>1001000.0</v>
      </c>
      <c r="B3116" s="17">
        <v>7000902.0</v>
      </c>
    </row>
    <row r="3117">
      <c r="A3117" s="17">
        <v>1001000.0</v>
      </c>
      <c r="B3117" s="17">
        <v>7001000.0</v>
      </c>
    </row>
    <row r="3118">
      <c r="A3118" s="17">
        <v>1001000.0</v>
      </c>
      <c r="B3118" s="17">
        <v>7001001.0</v>
      </c>
    </row>
    <row r="3119">
      <c r="A3119" s="17">
        <v>1001000.0</v>
      </c>
      <c r="B3119" s="17">
        <v>7001002.0</v>
      </c>
    </row>
    <row r="3120">
      <c r="A3120" s="17">
        <v>1001000.0</v>
      </c>
      <c r="B3120" s="17">
        <v>7001400.0</v>
      </c>
    </row>
    <row r="3121">
      <c r="A3121" s="17">
        <v>1001000.0</v>
      </c>
      <c r="B3121" s="17">
        <v>7001401.0</v>
      </c>
    </row>
    <row r="3122">
      <c r="A3122" s="17">
        <v>1001000.0</v>
      </c>
      <c r="B3122" s="17">
        <v>7001402.0</v>
      </c>
    </row>
    <row r="3123">
      <c r="A3123" s="17">
        <v>1001000.0</v>
      </c>
      <c r="B3123" s="17">
        <v>7001500.0</v>
      </c>
    </row>
    <row r="3124">
      <c r="A3124" s="17">
        <v>1001000.0</v>
      </c>
      <c r="B3124" s="17">
        <v>7001501.0</v>
      </c>
    </row>
    <row r="3125">
      <c r="A3125" s="17">
        <v>1001000.0</v>
      </c>
      <c r="B3125" s="17">
        <v>7001502.0</v>
      </c>
    </row>
    <row r="3126">
      <c r="A3126" s="17">
        <v>1001000.0</v>
      </c>
      <c r="B3126" s="17">
        <v>7001600.0</v>
      </c>
    </row>
    <row r="3127">
      <c r="A3127" s="17">
        <v>1001000.0</v>
      </c>
      <c r="B3127" s="17">
        <v>7001601.0</v>
      </c>
    </row>
    <row r="3128">
      <c r="A3128" s="17">
        <v>1001000.0</v>
      </c>
      <c r="B3128" s="17">
        <v>7001602.0</v>
      </c>
    </row>
    <row r="3129">
      <c r="A3129" s="17">
        <v>1001000.0</v>
      </c>
      <c r="B3129" s="17">
        <v>7001700.0</v>
      </c>
    </row>
    <row r="3130">
      <c r="A3130" s="17">
        <v>1001000.0</v>
      </c>
      <c r="B3130" s="17">
        <v>7001701.0</v>
      </c>
    </row>
    <row r="3131">
      <c r="A3131" s="17">
        <v>1001000.0</v>
      </c>
      <c r="B3131" s="17">
        <v>7001702.0</v>
      </c>
    </row>
    <row r="3132">
      <c r="A3132" s="17">
        <v>1001000.0</v>
      </c>
      <c r="B3132" s="17">
        <v>7001800.0</v>
      </c>
    </row>
    <row r="3133">
      <c r="A3133" s="17">
        <v>1001000.0</v>
      </c>
      <c r="B3133" s="17">
        <v>7001801.0</v>
      </c>
    </row>
    <row r="3134">
      <c r="A3134" s="17">
        <v>1001000.0</v>
      </c>
      <c r="B3134" s="17">
        <v>7001802.0</v>
      </c>
    </row>
    <row r="3135">
      <c r="A3135" s="17">
        <v>1001000.0</v>
      </c>
      <c r="B3135" s="17">
        <v>7002600.0</v>
      </c>
    </row>
    <row r="3136">
      <c r="A3136" s="17">
        <v>1001000.0</v>
      </c>
      <c r="B3136" s="17">
        <v>7002700.0</v>
      </c>
    </row>
    <row r="3137">
      <c r="A3137" s="17">
        <v>1001000.0</v>
      </c>
      <c r="B3137" s="17">
        <v>7002800.0</v>
      </c>
    </row>
    <row r="3138">
      <c r="A3138" s="17">
        <v>1001000.0</v>
      </c>
      <c r="B3138" s="17">
        <v>7002900.0</v>
      </c>
    </row>
    <row r="3139">
      <c r="A3139" s="17">
        <v>1001000.0</v>
      </c>
      <c r="B3139" s="17">
        <v>7003000.0</v>
      </c>
    </row>
    <row r="3140">
      <c r="A3140" s="17">
        <v>1001000.0</v>
      </c>
      <c r="B3140" s="17">
        <v>7003100.0</v>
      </c>
    </row>
    <row r="3141">
      <c r="A3141" s="17">
        <v>1001000.0</v>
      </c>
      <c r="B3141" s="17">
        <v>7003200.0</v>
      </c>
    </row>
    <row r="3142">
      <c r="A3142" s="17">
        <v>1001000.0</v>
      </c>
      <c r="B3142" s="17">
        <v>7003300.0</v>
      </c>
    </row>
    <row r="3143">
      <c r="A3143" s="17">
        <v>1001000.0</v>
      </c>
      <c r="B3143" s="17">
        <v>7003400.0</v>
      </c>
    </row>
    <row r="3144">
      <c r="A3144" s="17">
        <v>1001000.0</v>
      </c>
      <c r="B3144" s="17">
        <v>7003500.0</v>
      </c>
    </row>
    <row r="3145">
      <c r="A3145" s="17">
        <v>1001000.0</v>
      </c>
      <c r="B3145" s="17">
        <v>7003600.0</v>
      </c>
    </row>
    <row r="3146">
      <c r="A3146" s="17">
        <v>1001000.0</v>
      </c>
      <c r="B3146" s="17">
        <v>7005600.0</v>
      </c>
    </row>
    <row r="3147">
      <c r="A3147" s="17">
        <v>1001000.0</v>
      </c>
      <c r="B3147" s="17">
        <v>7006000.0</v>
      </c>
    </row>
    <row r="3148">
      <c r="A3148" s="17">
        <v>1001000.0</v>
      </c>
      <c r="B3148" s="17">
        <v>7006100.0</v>
      </c>
    </row>
    <row r="3149">
      <c r="A3149" s="17">
        <v>1001000.0</v>
      </c>
      <c r="B3149" s="17">
        <v>7010200.0</v>
      </c>
    </row>
    <row r="3150">
      <c r="A3150" s="17">
        <v>1001000.0</v>
      </c>
      <c r="B3150" s="17">
        <v>7010500.0</v>
      </c>
    </row>
    <row r="3151">
      <c r="A3151" s="17">
        <v>1001000.0</v>
      </c>
      <c r="B3151" s="17">
        <v>7010700.0</v>
      </c>
    </row>
    <row r="3152">
      <c r="A3152" s="17">
        <v>1001000.0</v>
      </c>
      <c r="B3152" s="17">
        <v>7010900.0</v>
      </c>
    </row>
    <row r="3153">
      <c r="A3153" s="17">
        <v>1001000.0</v>
      </c>
      <c r="B3153" s="17">
        <v>7011000.0</v>
      </c>
    </row>
    <row r="3154">
      <c r="A3154" s="17">
        <v>1001000.0</v>
      </c>
      <c r="B3154" s="17">
        <v>7011200.0</v>
      </c>
    </row>
    <row r="3155">
      <c r="A3155" s="17">
        <v>1001000.0</v>
      </c>
      <c r="B3155" s="17">
        <v>7011600.0</v>
      </c>
    </row>
    <row r="3156">
      <c r="A3156" s="17">
        <v>1001000.0</v>
      </c>
      <c r="B3156" s="17">
        <v>7011700.0</v>
      </c>
    </row>
    <row r="3157">
      <c r="A3157" s="17">
        <v>1001000.0</v>
      </c>
      <c r="B3157" s="17">
        <v>7012000.0</v>
      </c>
    </row>
    <row r="3158">
      <c r="A3158" s="17">
        <v>1001000.0</v>
      </c>
      <c r="B3158" s="17">
        <v>7012200.0</v>
      </c>
    </row>
    <row r="3159">
      <c r="A3159" s="17">
        <v>1001000.0</v>
      </c>
      <c r="B3159" s="17">
        <v>7012300.0</v>
      </c>
    </row>
    <row r="3160">
      <c r="A3160" s="17">
        <v>1001000.0</v>
      </c>
      <c r="B3160" s="17">
        <v>7020000.0</v>
      </c>
    </row>
    <row r="3161">
      <c r="A3161" s="17">
        <v>1001000.0</v>
      </c>
      <c r="B3161" s="17">
        <v>7030000.0</v>
      </c>
    </row>
    <row r="3162">
      <c r="A3162" s="17">
        <v>1001000.0</v>
      </c>
      <c r="B3162" s="17">
        <v>7030200.0</v>
      </c>
    </row>
    <row r="3163">
      <c r="A3163" s="17">
        <v>1001000.0</v>
      </c>
      <c r="B3163" s="17">
        <v>7030600.0</v>
      </c>
    </row>
    <row r="3164">
      <c r="A3164" s="17">
        <v>1001000.0</v>
      </c>
      <c r="B3164" s="17">
        <v>7030700.0</v>
      </c>
    </row>
    <row r="3165">
      <c r="A3165" s="17">
        <v>1001000.0</v>
      </c>
      <c r="B3165" s="17">
        <v>7030800.0</v>
      </c>
    </row>
    <row r="3166">
      <c r="A3166" s="17">
        <v>1001000.0</v>
      </c>
      <c r="B3166" s="17">
        <v>7030900.0</v>
      </c>
    </row>
    <row r="3167">
      <c r="A3167" s="17">
        <v>1001000.0</v>
      </c>
      <c r="B3167" s="17">
        <v>7031200.0</v>
      </c>
    </row>
    <row r="3168">
      <c r="A3168" s="17">
        <v>1001000.0</v>
      </c>
      <c r="B3168" s="17">
        <v>7031300.0</v>
      </c>
    </row>
    <row r="3169">
      <c r="A3169" s="17">
        <v>1001000.0</v>
      </c>
      <c r="B3169" s="17">
        <v>7031800.0</v>
      </c>
    </row>
    <row r="3170">
      <c r="A3170" s="17">
        <v>1001000.0</v>
      </c>
      <c r="B3170" s="17">
        <v>7031900.0</v>
      </c>
    </row>
    <row r="3171">
      <c r="A3171" s="17">
        <v>1001000.0</v>
      </c>
      <c r="B3171" s="17">
        <v>7032200.0</v>
      </c>
    </row>
    <row r="3172">
      <c r="A3172" s="17">
        <v>1001000.0</v>
      </c>
      <c r="B3172" s="17">
        <v>7032400.0</v>
      </c>
    </row>
    <row r="3173">
      <c r="A3173" s="17">
        <v>1001000.0</v>
      </c>
      <c r="B3173" s="17">
        <v>7032700.0</v>
      </c>
    </row>
    <row r="3174">
      <c r="A3174" s="17">
        <v>1001000.0</v>
      </c>
      <c r="B3174" s="17">
        <v>7032800.0</v>
      </c>
    </row>
    <row r="3175">
      <c r="A3175" s="17">
        <v>1001000.0</v>
      </c>
      <c r="B3175" s="17">
        <v>7032900.0</v>
      </c>
    </row>
    <row r="3176">
      <c r="A3176" s="17">
        <v>1001000.0</v>
      </c>
      <c r="B3176" s="17">
        <v>7033200.0</v>
      </c>
    </row>
    <row r="3177">
      <c r="A3177" s="17">
        <v>1001000.0</v>
      </c>
      <c r="B3177" s="17">
        <v>7033400.0</v>
      </c>
    </row>
    <row r="3178">
      <c r="A3178" s="17">
        <v>1001000.0</v>
      </c>
      <c r="B3178" s="17">
        <v>7034100.0</v>
      </c>
    </row>
    <row r="3179">
      <c r="A3179" s="17">
        <v>1001000.0</v>
      </c>
      <c r="B3179" s="17">
        <v>7034400.0</v>
      </c>
    </row>
    <row r="3180">
      <c r="A3180" s="17">
        <v>1001000.0</v>
      </c>
      <c r="B3180" s="17">
        <v>7034500.0</v>
      </c>
    </row>
    <row r="3181">
      <c r="A3181" s="17">
        <v>1001000.0</v>
      </c>
      <c r="B3181" s="17">
        <v>7034600.0</v>
      </c>
    </row>
    <row r="3182">
      <c r="A3182" s="17">
        <v>1001000.0</v>
      </c>
      <c r="B3182" s="17">
        <v>7034700.0</v>
      </c>
    </row>
    <row r="3183">
      <c r="A3183" s="17">
        <v>1001000.0</v>
      </c>
      <c r="B3183" s="17">
        <v>7035100.0</v>
      </c>
    </row>
    <row r="3184">
      <c r="A3184" s="17">
        <v>1001000.0</v>
      </c>
      <c r="B3184" s="17">
        <v>7036100.0</v>
      </c>
    </row>
    <row r="3185">
      <c r="A3185" s="17">
        <v>1001000.0</v>
      </c>
      <c r="B3185" s="17">
        <v>7040000.0</v>
      </c>
    </row>
    <row r="3186">
      <c r="A3186" s="17">
        <v>1001000.0</v>
      </c>
      <c r="B3186" s="17">
        <v>7040100.0</v>
      </c>
    </row>
    <row r="3187">
      <c r="A3187" s="17">
        <v>1001000.0</v>
      </c>
      <c r="B3187" s="17">
        <v>7040200.0</v>
      </c>
    </row>
    <row r="3188">
      <c r="A3188" s="17">
        <v>1001000.0</v>
      </c>
      <c r="B3188" s="17">
        <v>7040300.0</v>
      </c>
    </row>
    <row r="3189">
      <c r="A3189" s="17">
        <v>1001000.0</v>
      </c>
      <c r="B3189" s="17">
        <v>7040400.0</v>
      </c>
    </row>
    <row r="3190">
      <c r="A3190" s="17">
        <v>1001000.0</v>
      </c>
      <c r="B3190" s="17">
        <v>7040500.0</v>
      </c>
    </row>
    <row r="3191">
      <c r="A3191" s="17">
        <v>1001000.0</v>
      </c>
      <c r="B3191" s="17">
        <v>7043000.0</v>
      </c>
    </row>
    <row r="3192">
      <c r="A3192" s="17">
        <v>1001000.0</v>
      </c>
      <c r="B3192" s="17">
        <v>7043100.0</v>
      </c>
    </row>
    <row r="3193">
      <c r="A3193" s="17">
        <v>1001000.0</v>
      </c>
      <c r="B3193" s="17">
        <v>7043200.0</v>
      </c>
    </row>
    <row r="3194">
      <c r="A3194" s="17">
        <v>1001000.0</v>
      </c>
      <c r="B3194" s="17">
        <v>7043300.0</v>
      </c>
    </row>
    <row r="3195">
      <c r="A3195" s="17">
        <v>1001000.0</v>
      </c>
      <c r="B3195" s="17">
        <v>7043400.0</v>
      </c>
    </row>
    <row r="3196">
      <c r="A3196" s="17">
        <v>1001000.0</v>
      </c>
      <c r="B3196" s="17">
        <v>7043500.0</v>
      </c>
    </row>
    <row r="3197">
      <c r="A3197" s="17">
        <v>1001000.0</v>
      </c>
      <c r="B3197" s="17">
        <v>7043600.0</v>
      </c>
    </row>
    <row r="3198">
      <c r="A3198" s="17">
        <v>1001000.0</v>
      </c>
      <c r="B3198" s="17">
        <v>7043700.0</v>
      </c>
    </row>
    <row r="3199">
      <c r="A3199" s="17">
        <v>1001000.0</v>
      </c>
      <c r="B3199" s="17">
        <v>7043800.0</v>
      </c>
    </row>
    <row r="3200">
      <c r="A3200" s="17">
        <v>1001000.0</v>
      </c>
      <c r="B3200" s="17">
        <v>7044000.0</v>
      </c>
    </row>
    <row r="3201">
      <c r="A3201" s="17">
        <v>1001000.0</v>
      </c>
      <c r="B3201" s="17">
        <v>7044100.0</v>
      </c>
    </row>
    <row r="3202">
      <c r="A3202" s="17">
        <v>1001000.0</v>
      </c>
      <c r="B3202" s="17">
        <v>7044200.0</v>
      </c>
    </row>
    <row r="3203">
      <c r="A3203" s="17">
        <v>1001000.0</v>
      </c>
      <c r="B3203" s="17">
        <v>7044300.0</v>
      </c>
    </row>
    <row r="3204">
      <c r="A3204" s="17">
        <v>1001000.0</v>
      </c>
      <c r="B3204" s="17">
        <v>7044400.0</v>
      </c>
    </row>
    <row r="3205">
      <c r="A3205" s="17">
        <v>1001000.0</v>
      </c>
      <c r="B3205" s="17">
        <v>7044500.0</v>
      </c>
    </row>
    <row r="3206">
      <c r="A3206" s="17">
        <v>1001000.0</v>
      </c>
      <c r="B3206" s="17">
        <v>7044600.0</v>
      </c>
    </row>
    <row r="3207">
      <c r="A3207" s="17">
        <v>1001000.0</v>
      </c>
      <c r="B3207" s="17">
        <v>7050000.0</v>
      </c>
    </row>
    <row r="3208">
      <c r="A3208" s="17">
        <v>1001000.0</v>
      </c>
      <c r="B3208" s="17">
        <v>7050100.0</v>
      </c>
    </row>
    <row r="3209">
      <c r="A3209" s="17">
        <v>1001000.0</v>
      </c>
      <c r="B3209" s="17">
        <v>7060000.0</v>
      </c>
    </row>
    <row r="3210">
      <c r="A3210" s="17">
        <v>1001000.0</v>
      </c>
      <c r="B3210" s="17">
        <v>7060100.0</v>
      </c>
    </row>
    <row r="3211">
      <c r="A3211" s="17">
        <v>1001000.0</v>
      </c>
      <c r="B3211" s="17">
        <v>7060200.0</v>
      </c>
    </row>
    <row r="3212">
      <c r="A3212" s="17">
        <v>1001000.0</v>
      </c>
      <c r="B3212" s="17">
        <v>7070000.0</v>
      </c>
    </row>
    <row r="3213">
      <c r="A3213" s="17">
        <v>1001000.0</v>
      </c>
      <c r="B3213" s="17">
        <v>7080000.0</v>
      </c>
    </row>
    <row r="3214">
      <c r="A3214" s="17">
        <v>1001000.0</v>
      </c>
      <c r="B3214" s="17">
        <v>7080100.0</v>
      </c>
    </row>
    <row r="3215">
      <c r="A3215" s="17">
        <v>1001000.0</v>
      </c>
      <c r="B3215" s="17">
        <v>7080200.0</v>
      </c>
    </row>
    <row r="3216">
      <c r="A3216" s="17">
        <v>1001000.0</v>
      </c>
      <c r="B3216" s="17">
        <v>7080300.0</v>
      </c>
    </row>
    <row r="3217">
      <c r="A3217" s="17">
        <v>1001000.0</v>
      </c>
      <c r="B3217" s="17">
        <v>7080400.0</v>
      </c>
    </row>
    <row r="3218">
      <c r="A3218" s="17">
        <v>1001000.0</v>
      </c>
      <c r="B3218" s="17">
        <v>7080500.0</v>
      </c>
    </row>
    <row r="3219">
      <c r="A3219" s="17">
        <v>1001000.0</v>
      </c>
      <c r="B3219" s="17">
        <v>7080600.0</v>
      </c>
    </row>
    <row r="3220">
      <c r="A3220" s="17">
        <v>1001000.0</v>
      </c>
      <c r="B3220" s="17">
        <v>7080700.0</v>
      </c>
    </row>
    <row r="3221">
      <c r="A3221" s="17">
        <v>1001000.0</v>
      </c>
      <c r="B3221" s="17">
        <v>7080800.0</v>
      </c>
    </row>
    <row r="3222">
      <c r="A3222" s="17">
        <v>1001000.0</v>
      </c>
      <c r="B3222" s="17">
        <v>7080900.0</v>
      </c>
    </row>
    <row r="3223">
      <c r="A3223" s="17">
        <v>1001000.0</v>
      </c>
      <c r="B3223" s="17">
        <v>7081000.0</v>
      </c>
    </row>
    <row r="3224">
      <c r="A3224" s="17">
        <v>1001000.0</v>
      </c>
      <c r="B3224" s="17">
        <v>7081100.0</v>
      </c>
    </row>
    <row r="3225">
      <c r="A3225" s="17">
        <v>1001000.0</v>
      </c>
      <c r="B3225" s="17">
        <v>7081200.0</v>
      </c>
    </row>
    <row r="3226">
      <c r="A3226" s="17">
        <v>1001000.0</v>
      </c>
      <c r="B3226" s="17">
        <v>7081300.0</v>
      </c>
    </row>
    <row r="3227">
      <c r="A3227" s="17">
        <v>1001000.0</v>
      </c>
      <c r="B3227" s="17">
        <v>7081400.0</v>
      </c>
    </row>
    <row r="3228">
      <c r="A3228" s="17">
        <v>1001000.0</v>
      </c>
      <c r="B3228" s="17">
        <v>7081500.0</v>
      </c>
    </row>
    <row r="3229">
      <c r="A3229" s="17">
        <v>1001000.0</v>
      </c>
      <c r="B3229" s="17">
        <v>7081700.0</v>
      </c>
    </row>
    <row r="3230">
      <c r="A3230" s="17">
        <v>1001000.0</v>
      </c>
      <c r="B3230" s="17">
        <v>7081800.0</v>
      </c>
    </row>
    <row r="3231">
      <c r="A3231" s="17">
        <v>1001000.0</v>
      </c>
      <c r="B3231" s="17">
        <v>7081900.0</v>
      </c>
    </row>
    <row r="3232">
      <c r="A3232" s="17">
        <v>1001000.0</v>
      </c>
      <c r="B3232" s="17">
        <v>7082000.0</v>
      </c>
    </row>
    <row r="3233">
      <c r="A3233" s="17">
        <v>1001000.0</v>
      </c>
      <c r="B3233" s="17">
        <v>7082100.0</v>
      </c>
    </row>
    <row r="3234">
      <c r="A3234" s="17">
        <v>1001000.0</v>
      </c>
      <c r="B3234" s="17">
        <v>7082200.0</v>
      </c>
    </row>
    <row r="3235">
      <c r="A3235" s="17">
        <v>1001000.0</v>
      </c>
      <c r="B3235" s="17">
        <v>7082300.0</v>
      </c>
    </row>
    <row r="3236">
      <c r="A3236" s="17">
        <v>1001000.0</v>
      </c>
      <c r="B3236" s="17">
        <v>7082400.0</v>
      </c>
    </row>
    <row r="3237">
      <c r="A3237" s="17">
        <v>1001000.0</v>
      </c>
      <c r="B3237" s="17">
        <v>7082500.0</v>
      </c>
    </row>
    <row r="3238">
      <c r="A3238" s="17">
        <v>1001000.0</v>
      </c>
      <c r="B3238" s="17">
        <v>7082600.0</v>
      </c>
    </row>
    <row r="3239">
      <c r="A3239" s="17">
        <v>1001000.0</v>
      </c>
      <c r="B3239" s="17">
        <v>7082700.0</v>
      </c>
    </row>
    <row r="3240">
      <c r="A3240" s="17">
        <v>1001000.0</v>
      </c>
      <c r="B3240" s="17">
        <v>7082800.0</v>
      </c>
    </row>
    <row r="3241">
      <c r="A3241" s="17">
        <v>1001000.0</v>
      </c>
      <c r="B3241" s="17">
        <v>7082900.0</v>
      </c>
    </row>
    <row r="3242">
      <c r="A3242" s="17">
        <v>1001000.0</v>
      </c>
      <c r="B3242" s="17">
        <v>7090000.0</v>
      </c>
    </row>
    <row r="3243">
      <c r="A3243" s="17">
        <v>1001000.0</v>
      </c>
      <c r="B3243" s="17">
        <v>7090100.0</v>
      </c>
    </row>
    <row r="3244">
      <c r="A3244" s="17">
        <v>1001000.0</v>
      </c>
      <c r="B3244" s="17">
        <v>7090300.0</v>
      </c>
    </row>
    <row r="3245">
      <c r="A3245" s="17">
        <v>1001000.0</v>
      </c>
      <c r="B3245" s="17">
        <v>7100100.0</v>
      </c>
    </row>
    <row r="3246">
      <c r="A3246" s="17">
        <v>1001000.0</v>
      </c>
      <c r="B3246" s="17">
        <v>7110000.0</v>
      </c>
    </row>
    <row r="3247">
      <c r="A3247" s="17">
        <v>1001000.0</v>
      </c>
      <c r="B3247" s="17">
        <v>7120000.0</v>
      </c>
    </row>
    <row r="3248">
      <c r="A3248" s="17">
        <v>1001000.0</v>
      </c>
      <c r="B3248" s="17">
        <v>7120100.0</v>
      </c>
    </row>
    <row r="3249">
      <c r="A3249" s="17">
        <v>1001000.0</v>
      </c>
      <c r="B3249" s="17">
        <v>7120200.0</v>
      </c>
    </row>
    <row r="3250">
      <c r="A3250" s="17">
        <v>1001000.0</v>
      </c>
      <c r="B3250" s="17">
        <v>7120300.0</v>
      </c>
    </row>
    <row r="3251">
      <c r="A3251" s="17">
        <v>1001000.0</v>
      </c>
      <c r="B3251" s="17">
        <v>7120400.0</v>
      </c>
    </row>
    <row r="3252">
      <c r="A3252" s="17">
        <v>1001000.0</v>
      </c>
      <c r="B3252" s="17">
        <v>7120500.0</v>
      </c>
    </row>
    <row r="3253">
      <c r="A3253" s="17">
        <v>1001000.0</v>
      </c>
      <c r="B3253" s="17">
        <v>7120600.0</v>
      </c>
    </row>
    <row r="3254">
      <c r="A3254" s="17">
        <v>1001000.0</v>
      </c>
      <c r="B3254" s="17">
        <v>7120900.0</v>
      </c>
    </row>
    <row r="3255">
      <c r="A3255" s="17">
        <v>1001000.0</v>
      </c>
      <c r="B3255" s="17">
        <v>7121000.0</v>
      </c>
    </row>
    <row r="3256">
      <c r="A3256" s="17">
        <v>1001000.0</v>
      </c>
      <c r="B3256" s="17">
        <v>7121100.0</v>
      </c>
    </row>
    <row r="3257">
      <c r="A3257" s="17">
        <v>1001000.0</v>
      </c>
      <c r="B3257" s="17">
        <v>7121200.0</v>
      </c>
    </row>
    <row r="3258">
      <c r="A3258" s="17">
        <v>1001000.0</v>
      </c>
      <c r="B3258" s="17">
        <v>7121300.0</v>
      </c>
    </row>
    <row r="3259">
      <c r="A3259" s="17">
        <v>1001000.0</v>
      </c>
      <c r="B3259" s="17">
        <v>7121400.0</v>
      </c>
    </row>
    <row r="3260">
      <c r="A3260" s="17">
        <v>1001000.0</v>
      </c>
      <c r="B3260" s="17">
        <v>7121500.0</v>
      </c>
    </row>
    <row r="3261">
      <c r="A3261" s="17">
        <v>1001000.0</v>
      </c>
      <c r="B3261" s="17">
        <v>7121600.0</v>
      </c>
    </row>
    <row r="3262">
      <c r="A3262" s="17">
        <v>1001000.0</v>
      </c>
      <c r="B3262" s="17">
        <v>7121700.0</v>
      </c>
    </row>
    <row r="3263">
      <c r="A3263" s="17">
        <v>1001000.0</v>
      </c>
      <c r="B3263" s="17">
        <v>7121800.0</v>
      </c>
    </row>
    <row r="3264">
      <c r="A3264" s="17">
        <v>1001000.0</v>
      </c>
      <c r="B3264" s="17">
        <v>7121900.0</v>
      </c>
    </row>
    <row r="3265">
      <c r="A3265" s="17">
        <v>1001000.0</v>
      </c>
      <c r="B3265" s="17">
        <v>7122000.0</v>
      </c>
    </row>
    <row r="3266">
      <c r="A3266" s="17">
        <v>1001000.0</v>
      </c>
      <c r="B3266" s="17">
        <v>7122100.0</v>
      </c>
    </row>
    <row r="3267">
      <c r="A3267" s="17">
        <v>1001000.0</v>
      </c>
      <c r="B3267" s="17">
        <v>7122200.0</v>
      </c>
    </row>
    <row r="3268">
      <c r="A3268" s="17">
        <v>1001000.0</v>
      </c>
      <c r="B3268" s="17">
        <v>7122300.0</v>
      </c>
    </row>
    <row r="3269">
      <c r="A3269" s="17">
        <v>1001000.0</v>
      </c>
      <c r="B3269" s="17">
        <v>7122400.0</v>
      </c>
    </row>
    <row r="3270">
      <c r="A3270" s="17">
        <v>1001000.0</v>
      </c>
      <c r="B3270" s="17">
        <v>7122500.0</v>
      </c>
    </row>
    <row r="3271">
      <c r="A3271" s="17">
        <v>1001000.0</v>
      </c>
      <c r="B3271" s="17">
        <v>7122600.0</v>
      </c>
    </row>
    <row r="3272">
      <c r="A3272" s="17">
        <v>1001000.0</v>
      </c>
      <c r="B3272" s="17">
        <v>7122700.0</v>
      </c>
    </row>
    <row r="3273">
      <c r="A3273" s="17">
        <v>1001000.0</v>
      </c>
      <c r="B3273" s="17">
        <v>7122800.0</v>
      </c>
    </row>
    <row r="3274">
      <c r="A3274" s="17">
        <v>1001000.0</v>
      </c>
      <c r="B3274" s="17">
        <v>7122900.0</v>
      </c>
    </row>
    <row r="3275">
      <c r="A3275" s="17">
        <v>1001000.0</v>
      </c>
      <c r="B3275" s="17">
        <v>7123000.0</v>
      </c>
    </row>
    <row r="3276">
      <c r="A3276" s="17">
        <v>1001000.0</v>
      </c>
      <c r="B3276" s="17">
        <v>7123100.0</v>
      </c>
    </row>
    <row r="3277">
      <c r="A3277" s="17">
        <v>1001000.0</v>
      </c>
      <c r="B3277" s="17">
        <v>7123200.0</v>
      </c>
    </row>
    <row r="3278">
      <c r="A3278" s="17">
        <v>1001000.0</v>
      </c>
      <c r="B3278" s="17">
        <v>7123300.0</v>
      </c>
    </row>
    <row r="3279">
      <c r="A3279" s="17">
        <v>1001000.0</v>
      </c>
      <c r="B3279" s="17">
        <v>7123400.0</v>
      </c>
    </row>
    <row r="3280">
      <c r="A3280" s="17">
        <v>1001000.0</v>
      </c>
      <c r="B3280" s="17">
        <v>7123500.0</v>
      </c>
    </row>
    <row r="3281">
      <c r="A3281" s="17">
        <v>1001000.0</v>
      </c>
      <c r="B3281" s="17">
        <v>7123600.0</v>
      </c>
    </row>
    <row r="3282">
      <c r="A3282" s="17">
        <v>1001000.0</v>
      </c>
      <c r="B3282" s="17">
        <v>7123700.0</v>
      </c>
    </row>
    <row r="3283">
      <c r="A3283" s="17">
        <v>1001000.0</v>
      </c>
      <c r="B3283" s="17">
        <v>7123800.0</v>
      </c>
    </row>
    <row r="3284">
      <c r="A3284" s="17">
        <v>1001000.0</v>
      </c>
      <c r="B3284" s="17">
        <v>7123900.0</v>
      </c>
    </row>
    <row r="3285">
      <c r="A3285" s="17">
        <v>1001000.0</v>
      </c>
      <c r="B3285" s="17">
        <v>7124000.0</v>
      </c>
    </row>
    <row r="3286">
      <c r="A3286" s="17">
        <v>1001000.0</v>
      </c>
      <c r="B3286" s="17">
        <v>7124100.0</v>
      </c>
    </row>
    <row r="3287">
      <c r="A3287" s="17">
        <v>1001000.0</v>
      </c>
      <c r="B3287" s="17">
        <v>7124300.0</v>
      </c>
    </row>
    <row r="3288">
      <c r="A3288" s="17">
        <v>1001000.0</v>
      </c>
      <c r="B3288" s="17">
        <v>7124400.0</v>
      </c>
    </row>
    <row r="3289">
      <c r="A3289" s="17">
        <v>1001000.0</v>
      </c>
      <c r="B3289" s="17">
        <v>7124500.0</v>
      </c>
    </row>
    <row r="3290">
      <c r="A3290" s="17">
        <v>1001000.0</v>
      </c>
      <c r="B3290" s="17">
        <v>7124600.0</v>
      </c>
    </row>
    <row r="3291">
      <c r="A3291" s="17">
        <v>1001000.0</v>
      </c>
      <c r="B3291" s="17">
        <v>7124700.0</v>
      </c>
    </row>
    <row r="3292">
      <c r="A3292" s="17">
        <v>1001000.0</v>
      </c>
      <c r="B3292" s="17">
        <v>7126000.0</v>
      </c>
    </row>
    <row r="3293">
      <c r="A3293" s="17">
        <v>1001000.0</v>
      </c>
      <c r="B3293" s="17">
        <v>7150000.0</v>
      </c>
    </row>
    <row r="3294">
      <c r="A3294" s="17">
        <v>1001000.0</v>
      </c>
      <c r="B3294" s="17">
        <v>7160000.0</v>
      </c>
    </row>
    <row r="3295">
      <c r="A3295" s="17">
        <v>1001000.0</v>
      </c>
      <c r="B3295" s="17">
        <v>7220000.0</v>
      </c>
    </row>
    <row r="3296">
      <c r="A3296" s="17">
        <v>1001000.0</v>
      </c>
      <c r="B3296" s="17">
        <v>7230000.0</v>
      </c>
    </row>
    <row r="3297">
      <c r="A3297" s="17">
        <v>1001000.0</v>
      </c>
      <c r="B3297" s="17">
        <v>7240000.0</v>
      </c>
    </row>
    <row r="3298">
      <c r="A3298" s="17">
        <v>1001000.0</v>
      </c>
      <c r="B3298" s="17">
        <v>7260000.0</v>
      </c>
    </row>
    <row r="3299">
      <c r="A3299" s="17">
        <v>1001000.0</v>
      </c>
      <c r="B3299" s="17">
        <v>7260300.0</v>
      </c>
    </row>
    <row r="3300">
      <c r="A3300" s="17">
        <v>1001000.0</v>
      </c>
      <c r="B3300" s="17">
        <v>7260400.0</v>
      </c>
    </row>
    <row r="3301">
      <c r="A3301" s="17">
        <v>1001000.0</v>
      </c>
      <c r="B3301" s="17">
        <v>7270100.0</v>
      </c>
    </row>
    <row r="3302">
      <c r="A3302" s="17">
        <v>1001000.0</v>
      </c>
      <c r="B3302" s="17">
        <v>7280000.0</v>
      </c>
    </row>
    <row r="3303">
      <c r="A3303" s="17">
        <v>1001000.0</v>
      </c>
      <c r="B3303" s="17">
        <v>7290000.0</v>
      </c>
    </row>
    <row r="3304">
      <c r="A3304" s="17">
        <v>1001000.0</v>
      </c>
      <c r="B3304" s="17">
        <v>7310000.0</v>
      </c>
    </row>
    <row r="3305">
      <c r="A3305" s="17">
        <v>1001000.0</v>
      </c>
      <c r="B3305" s="17">
        <v>7330000.0</v>
      </c>
    </row>
    <row r="3306">
      <c r="A3306" s="17">
        <v>1001000.0</v>
      </c>
      <c r="B3306" s="17">
        <v>7330100.0</v>
      </c>
    </row>
    <row r="3307">
      <c r="A3307" s="17">
        <v>1001000.0</v>
      </c>
      <c r="B3307" s="17">
        <v>7330200.0</v>
      </c>
    </row>
    <row r="3308">
      <c r="A3308" s="17">
        <v>1001000.0</v>
      </c>
      <c r="B3308" s="17">
        <v>7330300.0</v>
      </c>
    </row>
    <row r="3309">
      <c r="A3309" s="17">
        <v>1001000.0</v>
      </c>
      <c r="B3309" s="17">
        <v>7330400.0</v>
      </c>
    </row>
    <row r="3310">
      <c r="A3310" s="17">
        <v>1001000.0</v>
      </c>
      <c r="B3310" s="17">
        <v>7330500.0</v>
      </c>
    </row>
    <row r="3311">
      <c r="A3311" s="17">
        <v>1001000.0</v>
      </c>
      <c r="B3311" s="17">
        <v>7330600.0</v>
      </c>
    </row>
    <row r="3312">
      <c r="A3312" s="17">
        <v>1001000.0</v>
      </c>
      <c r="B3312" s="17">
        <v>7330700.0</v>
      </c>
    </row>
    <row r="3313">
      <c r="A3313" s="17">
        <v>1001000.0</v>
      </c>
      <c r="B3313" s="17">
        <v>7330800.0</v>
      </c>
    </row>
    <row r="3314">
      <c r="A3314" s="17">
        <v>1001000.0</v>
      </c>
      <c r="B3314" s="17">
        <v>7330900.0</v>
      </c>
    </row>
    <row r="3315">
      <c r="A3315" s="17">
        <v>1001000.0</v>
      </c>
      <c r="B3315" s="17">
        <v>7331000.0</v>
      </c>
    </row>
    <row r="3316">
      <c r="A3316" s="17">
        <v>1001000.0</v>
      </c>
      <c r="B3316" s="17">
        <v>7331100.0</v>
      </c>
    </row>
    <row r="3317">
      <c r="A3317" s="17">
        <v>1001000.0</v>
      </c>
      <c r="B3317" s="17">
        <v>7331200.0</v>
      </c>
    </row>
    <row r="3318">
      <c r="A3318" s="17">
        <v>1001000.0</v>
      </c>
      <c r="B3318" s="17">
        <v>7331300.0</v>
      </c>
    </row>
    <row r="3319">
      <c r="A3319" s="17">
        <v>1001000.0</v>
      </c>
      <c r="B3319" s="17">
        <v>7331400.0</v>
      </c>
    </row>
    <row r="3320">
      <c r="A3320" s="17">
        <v>1001000.0</v>
      </c>
      <c r="B3320" s="17">
        <v>7331500.0</v>
      </c>
    </row>
    <row r="3321">
      <c r="A3321" s="17">
        <v>1001000.0</v>
      </c>
      <c r="B3321" s="17">
        <v>7331700.0</v>
      </c>
    </row>
    <row r="3322">
      <c r="A3322" s="17">
        <v>1001000.0</v>
      </c>
      <c r="B3322" s="17">
        <v>7331800.0</v>
      </c>
    </row>
    <row r="3323">
      <c r="A3323" s="17">
        <v>1001000.0</v>
      </c>
      <c r="B3323" s="17">
        <v>7331900.0</v>
      </c>
    </row>
    <row r="3324">
      <c r="A3324" s="17">
        <v>1001000.0</v>
      </c>
      <c r="B3324" s="17">
        <v>7332000.0</v>
      </c>
    </row>
    <row r="3325">
      <c r="A3325" s="17">
        <v>1001000.0</v>
      </c>
      <c r="B3325" s="17">
        <v>7332100.0</v>
      </c>
    </row>
    <row r="3326">
      <c r="A3326" s="17">
        <v>1001000.0</v>
      </c>
      <c r="B3326" s="17">
        <v>7332200.0</v>
      </c>
    </row>
    <row r="3327">
      <c r="A3327" s="17">
        <v>1001000.0</v>
      </c>
      <c r="B3327" s="17">
        <v>7332300.0</v>
      </c>
    </row>
    <row r="3328">
      <c r="A3328" s="17">
        <v>1001000.0</v>
      </c>
      <c r="B3328" s="17">
        <v>7332400.0</v>
      </c>
    </row>
    <row r="3329">
      <c r="A3329" s="17">
        <v>1001000.0</v>
      </c>
      <c r="B3329" s="17">
        <v>7340000.0</v>
      </c>
    </row>
    <row r="3330">
      <c r="A3330" s="17">
        <v>1001000.0</v>
      </c>
      <c r="B3330" s="17">
        <v>7340100.0</v>
      </c>
    </row>
    <row r="3331">
      <c r="A3331" s="17">
        <v>1001000.0</v>
      </c>
      <c r="B3331" s="17">
        <v>7340200.0</v>
      </c>
    </row>
    <row r="3332">
      <c r="A3332" s="17">
        <v>1001000.0</v>
      </c>
      <c r="B3332" s="17">
        <v>7340300.0</v>
      </c>
    </row>
    <row r="3333">
      <c r="A3333" s="17">
        <v>1001000.0</v>
      </c>
      <c r="B3333" s="17">
        <v>7340400.0</v>
      </c>
    </row>
    <row r="3334">
      <c r="A3334" s="17">
        <v>1001000.0</v>
      </c>
      <c r="B3334" s="17">
        <v>7340500.0</v>
      </c>
    </row>
    <row r="3335">
      <c r="A3335" s="17">
        <v>1001000.0</v>
      </c>
      <c r="B3335" s="17">
        <v>7340600.0</v>
      </c>
    </row>
    <row r="3336">
      <c r="A3336" s="17">
        <v>1001000.0</v>
      </c>
      <c r="B3336" s="17">
        <v>7340700.0</v>
      </c>
    </row>
    <row r="3337">
      <c r="A3337" s="17">
        <v>1001000.0</v>
      </c>
      <c r="B3337" s="17">
        <v>7340800.0</v>
      </c>
    </row>
    <row r="3338">
      <c r="A3338" s="17">
        <v>1001000.0</v>
      </c>
      <c r="B3338" s="17">
        <v>7340900.0</v>
      </c>
    </row>
    <row r="3339">
      <c r="A3339" s="17">
        <v>1001000.0</v>
      </c>
      <c r="B3339" s="17">
        <v>7341000.0</v>
      </c>
    </row>
    <row r="3340">
      <c r="A3340" s="17">
        <v>1001000.0</v>
      </c>
      <c r="B3340" s="17">
        <v>7341100.0</v>
      </c>
    </row>
    <row r="3341">
      <c r="A3341" s="17">
        <v>1001000.0</v>
      </c>
      <c r="B3341" s="17">
        <v>7341200.0</v>
      </c>
    </row>
    <row r="3342">
      <c r="A3342" s="17">
        <v>1001000.0</v>
      </c>
      <c r="B3342" s="17">
        <v>7341300.0</v>
      </c>
    </row>
    <row r="3343">
      <c r="A3343" s="17">
        <v>1001000.0</v>
      </c>
      <c r="B3343" s="17">
        <v>7341400.0</v>
      </c>
    </row>
    <row r="3344">
      <c r="A3344" s="17">
        <v>1001000.0</v>
      </c>
      <c r="B3344" s="17">
        <v>7341500.0</v>
      </c>
    </row>
    <row r="3345">
      <c r="A3345" s="17">
        <v>1001000.0</v>
      </c>
      <c r="B3345" s="17">
        <v>7341700.0</v>
      </c>
    </row>
    <row r="3346">
      <c r="A3346" s="17">
        <v>1001000.0</v>
      </c>
      <c r="B3346" s="17">
        <v>7341800.0</v>
      </c>
    </row>
    <row r="3347">
      <c r="A3347" s="17">
        <v>1001000.0</v>
      </c>
      <c r="B3347" s="17">
        <v>7341900.0</v>
      </c>
    </row>
    <row r="3348">
      <c r="A3348" s="17">
        <v>1001000.0</v>
      </c>
      <c r="B3348" s="17">
        <v>7342000.0</v>
      </c>
    </row>
    <row r="3349">
      <c r="A3349" s="17">
        <v>1001000.0</v>
      </c>
      <c r="B3349" s="17">
        <v>7342100.0</v>
      </c>
    </row>
    <row r="3350">
      <c r="A3350" s="17">
        <v>1001000.0</v>
      </c>
      <c r="B3350" s="17">
        <v>7342200.0</v>
      </c>
    </row>
    <row r="3351">
      <c r="A3351" s="17">
        <v>1001000.0</v>
      </c>
      <c r="B3351" s="17">
        <v>7342300.0</v>
      </c>
    </row>
    <row r="3352">
      <c r="A3352" s="17">
        <v>1001000.0</v>
      </c>
      <c r="B3352" s="17">
        <v>7342400.0</v>
      </c>
    </row>
    <row r="3353">
      <c r="A3353" s="17">
        <v>1001000.0</v>
      </c>
      <c r="B3353" s="17">
        <v>7350000.0</v>
      </c>
    </row>
    <row r="3354">
      <c r="A3354" s="17">
        <v>1001000.0</v>
      </c>
      <c r="B3354" s="17">
        <v>7350100.0</v>
      </c>
    </row>
    <row r="3355">
      <c r="A3355" s="17">
        <v>1001000.0</v>
      </c>
      <c r="B3355" s="17">
        <v>7350200.0</v>
      </c>
    </row>
    <row r="3356">
      <c r="A3356" s="17">
        <v>1001000.0</v>
      </c>
      <c r="B3356" s="17">
        <v>7350300.0</v>
      </c>
    </row>
    <row r="3357">
      <c r="A3357" s="17">
        <v>1001000.0</v>
      </c>
      <c r="B3357" s="17">
        <v>7350400.0</v>
      </c>
    </row>
    <row r="3358">
      <c r="A3358" s="17">
        <v>1001000.0</v>
      </c>
      <c r="B3358" s="17">
        <v>7350500.0</v>
      </c>
    </row>
    <row r="3359">
      <c r="A3359" s="17">
        <v>1001000.0</v>
      </c>
      <c r="B3359" s="17">
        <v>7350600.0</v>
      </c>
    </row>
    <row r="3360">
      <c r="A3360" s="17">
        <v>1001000.0</v>
      </c>
      <c r="B3360" s="17">
        <v>7350700.0</v>
      </c>
    </row>
    <row r="3361">
      <c r="A3361" s="17">
        <v>1001000.0</v>
      </c>
      <c r="B3361" s="17">
        <v>7350800.0</v>
      </c>
    </row>
    <row r="3362">
      <c r="A3362" s="17">
        <v>1001000.0</v>
      </c>
      <c r="B3362" s="17">
        <v>7350900.0</v>
      </c>
    </row>
    <row r="3363">
      <c r="A3363" s="17">
        <v>1001000.0</v>
      </c>
      <c r="B3363" s="17">
        <v>7351000.0</v>
      </c>
    </row>
    <row r="3364">
      <c r="A3364" s="17">
        <v>1001000.0</v>
      </c>
      <c r="B3364" s="17">
        <v>7351100.0</v>
      </c>
    </row>
    <row r="3365">
      <c r="A3365" s="17">
        <v>1001000.0</v>
      </c>
      <c r="B3365" s="17">
        <v>7351200.0</v>
      </c>
    </row>
    <row r="3366">
      <c r="A3366" s="17">
        <v>1001000.0</v>
      </c>
      <c r="B3366" s="17">
        <v>7351300.0</v>
      </c>
    </row>
    <row r="3367">
      <c r="A3367" s="17">
        <v>1001000.0</v>
      </c>
      <c r="B3367" s="17">
        <v>7351400.0</v>
      </c>
    </row>
    <row r="3368">
      <c r="A3368" s="17">
        <v>1001000.0</v>
      </c>
      <c r="B3368" s="17">
        <v>7351500.0</v>
      </c>
    </row>
    <row r="3369">
      <c r="A3369" s="17">
        <v>1001000.0</v>
      </c>
      <c r="B3369" s="17">
        <v>7351700.0</v>
      </c>
    </row>
    <row r="3370">
      <c r="A3370" s="17">
        <v>1001000.0</v>
      </c>
      <c r="B3370" s="17">
        <v>7351800.0</v>
      </c>
    </row>
    <row r="3371">
      <c r="A3371" s="17">
        <v>1001000.0</v>
      </c>
      <c r="B3371" s="17">
        <v>7351900.0</v>
      </c>
    </row>
    <row r="3372">
      <c r="A3372" s="17">
        <v>1001000.0</v>
      </c>
      <c r="B3372" s="17">
        <v>7352000.0</v>
      </c>
    </row>
    <row r="3373">
      <c r="A3373" s="17">
        <v>1001000.0</v>
      </c>
      <c r="B3373" s="17">
        <v>7352100.0</v>
      </c>
    </row>
    <row r="3374">
      <c r="A3374" s="17">
        <v>1001000.0</v>
      </c>
      <c r="B3374" s="17">
        <v>7352200.0</v>
      </c>
    </row>
    <row r="3375">
      <c r="A3375" s="17">
        <v>1001000.0</v>
      </c>
      <c r="B3375" s="17">
        <v>7352300.0</v>
      </c>
    </row>
    <row r="3376">
      <c r="A3376" s="17">
        <v>1001000.0</v>
      </c>
      <c r="B3376" s="17">
        <v>7352400.0</v>
      </c>
    </row>
    <row r="3377">
      <c r="A3377" s="17">
        <v>1001000.0</v>
      </c>
      <c r="B3377" s="17">
        <v>7360600.0</v>
      </c>
    </row>
    <row r="3378">
      <c r="A3378" s="17">
        <v>1001000.0</v>
      </c>
      <c r="B3378" s="17">
        <v>7360900.0</v>
      </c>
    </row>
    <row r="3379">
      <c r="A3379" s="17">
        <v>1001000.0</v>
      </c>
      <c r="B3379" s="17">
        <v>7361200.0</v>
      </c>
    </row>
    <row r="3380">
      <c r="A3380" s="17">
        <v>1001000.0</v>
      </c>
      <c r="B3380" s="17">
        <v>7361300.0</v>
      </c>
    </row>
    <row r="3381">
      <c r="A3381" s="17">
        <v>1001000.0</v>
      </c>
      <c r="B3381" s="17">
        <v>7362100.0</v>
      </c>
    </row>
    <row r="3382">
      <c r="A3382" s="17">
        <v>1001000.0</v>
      </c>
      <c r="B3382" s="17">
        <v>7370300.0</v>
      </c>
    </row>
    <row r="3383">
      <c r="A3383" s="17">
        <v>1001000.0</v>
      </c>
      <c r="B3383" s="17">
        <v>7370400.0</v>
      </c>
    </row>
    <row r="3384">
      <c r="A3384" s="17">
        <v>1001000.0</v>
      </c>
      <c r="B3384" s="17">
        <v>7370600.0</v>
      </c>
    </row>
    <row r="3385">
      <c r="A3385" s="17">
        <v>1001000.0</v>
      </c>
      <c r="B3385" s="17">
        <v>7370900.0</v>
      </c>
    </row>
    <row r="3386">
      <c r="A3386" s="17">
        <v>1001000.0</v>
      </c>
      <c r="B3386" s="17">
        <v>7371500.0</v>
      </c>
    </row>
    <row r="3387">
      <c r="A3387" s="17">
        <v>1001000.0</v>
      </c>
      <c r="B3387" s="17">
        <v>7036200.0</v>
      </c>
    </row>
    <row r="3388">
      <c r="A3388" s="17">
        <v>1001000.0</v>
      </c>
      <c r="B3388" s="17">
        <v>7036300.0</v>
      </c>
    </row>
    <row r="3389">
      <c r="A3389" s="17">
        <v>1001000.0</v>
      </c>
      <c r="B3389" s="17">
        <v>7036400.0</v>
      </c>
    </row>
    <row r="3390">
      <c r="A3390" s="17">
        <v>1001000.0</v>
      </c>
      <c r="B3390" s="17">
        <v>7036500.0</v>
      </c>
    </row>
    <row r="3391">
      <c r="A3391" s="17">
        <v>1001000.0</v>
      </c>
      <c r="B3391" s="17">
        <v>7036800.0</v>
      </c>
    </row>
    <row r="3392">
      <c r="A3392" s="17">
        <v>1001000.0</v>
      </c>
      <c r="B3392" s="17">
        <v>7036900.0</v>
      </c>
    </row>
    <row r="3393">
      <c r="A3393" s="17">
        <v>1001000.0</v>
      </c>
      <c r="B3393" s="17">
        <v>7037000.0</v>
      </c>
    </row>
    <row r="3394">
      <c r="A3394" s="17">
        <v>1001000.0</v>
      </c>
      <c r="B3394" s="17">
        <v>7037300.0</v>
      </c>
    </row>
    <row r="3395">
      <c r="A3395" s="17">
        <v>1001000.0</v>
      </c>
      <c r="B3395" s="17">
        <v>6630000.0</v>
      </c>
    </row>
    <row r="3396">
      <c r="A3396" s="17">
        <v>1001000.0</v>
      </c>
      <c r="B3396" s="17">
        <v>6630100.0</v>
      </c>
    </row>
    <row r="3397">
      <c r="A3397" s="17">
        <v>1001000.0</v>
      </c>
      <c r="B3397" s="17">
        <v>6630200.0</v>
      </c>
    </row>
    <row r="3398">
      <c r="A3398" s="17">
        <v>1001000.0</v>
      </c>
      <c r="B3398" s="17">
        <v>6630300.0</v>
      </c>
    </row>
    <row r="3399">
      <c r="A3399" s="17">
        <v>1001000.0</v>
      </c>
      <c r="B3399" s="17">
        <v>6630400.0</v>
      </c>
    </row>
    <row r="3400">
      <c r="A3400" s="17">
        <v>1001000.0</v>
      </c>
      <c r="B3400" s="17">
        <v>6630500.0</v>
      </c>
    </row>
    <row r="3401">
      <c r="A3401" s="17">
        <v>1001000.0</v>
      </c>
      <c r="B3401" s="17">
        <v>6630600.0</v>
      </c>
    </row>
    <row r="3402">
      <c r="A3402" s="17">
        <v>1001000.0</v>
      </c>
      <c r="B3402" s="17">
        <v>6630700.0</v>
      </c>
    </row>
    <row r="3403">
      <c r="A3403" s="17">
        <v>1001000.0</v>
      </c>
      <c r="B3403" s="17">
        <v>6630800.0</v>
      </c>
    </row>
    <row r="3404">
      <c r="A3404" s="17">
        <v>1001000.0</v>
      </c>
      <c r="B3404" s="17">
        <v>6630900.0</v>
      </c>
    </row>
    <row r="3405">
      <c r="A3405" s="17">
        <v>1001000.0</v>
      </c>
      <c r="B3405" s="17">
        <v>6631000.0</v>
      </c>
    </row>
    <row r="3406">
      <c r="A3406" s="17">
        <v>1001000.0</v>
      </c>
      <c r="B3406" s="17">
        <v>6631100.0</v>
      </c>
    </row>
    <row r="3407">
      <c r="A3407" s="17">
        <v>1001000.0</v>
      </c>
      <c r="B3407" s="17">
        <v>6631200.0</v>
      </c>
    </row>
    <row r="3408">
      <c r="A3408" s="17">
        <v>1001000.0</v>
      </c>
      <c r="B3408" s="17">
        <v>6631300.0</v>
      </c>
    </row>
    <row r="3409">
      <c r="A3409" s="17">
        <v>1001000.0</v>
      </c>
      <c r="B3409" s="17">
        <v>6631400.0</v>
      </c>
    </row>
    <row r="3410">
      <c r="A3410" s="17">
        <v>1001000.0</v>
      </c>
      <c r="B3410" s="17">
        <v>6631500.0</v>
      </c>
    </row>
    <row r="3411">
      <c r="A3411" s="17">
        <v>1001000.0</v>
      </c>
      <c r="B3411" s="17">
        <v>6631600.0</v>
      </c>
    </row>
    <row r="3412">
      <c r="A3412" s="17">
        <v>1001000.0</v>
      </c>
      <c r="B3412" s="17">
        <v>6631700.0</v>
      </c>
    </row>
    <row r="3413">
      <c r="A3413" s="17">
        <v>1001000.0</v>
      </c>
      <c r="B3413" s="17">
        <v>6631800.0</v>
      </c>
    </row>
    <row r="3414">
      <c r="A3414" s="17">
        <v>1001000.0</v>
      </c>
      <c r="B3414" s="17">
        <v>6631900.0</v>
      </c>
    </row>
    <row r="3415">
      <c r="A3415" s="17">
        <v>1001000.0</v>
      </c>
      <c r="B3415" s="17">
        <v>6632000.0</v>
      </c>
    </row>
    <row r="3416">
      <c r="A3416" s="17">
        <v>1001000.0</v>
      </c>
      <c r="B3416" s="17">
        <v>6632100.0</v>
      </c>
    </row>
    <row r="3417">
      <c r="A3417" s="17">
        <v>1001000.0</v>
      </c>
      <c r="B3417" s="17">
        <v>6632200.0</v>
      </c>
    </row>
    <row r="3418">
      <c r="A3418" s="17">
        <v>1001000.0</v>
      </c>
      <c r="B3418" s="17">
        <v>6632300.0</v>
      </c>
    </row>
    <row r="3419">
      <c r="A3419" s="17">
        <v>1001000.0</v>
      </c>
      <c r="B3419" s="17">
        <v>6632400.0</v>
      </c>
    </row>
    <row r="3420">
      <c r="A3420" s="17">
        <v>1001000.0</v>
      </c>
      <c r="B3420" s="17">
        <v>6632500.0</v>
      </c>
    </row>
    <row r="3421">
      <c r="A3421" s="17">
        <v>1001000.0</v>
      </c>
      <c r="B3421" s="17">
        <v>6632600.0</v>
      </c>
    </row>
    <row r="3422">
      <c r="A3422" s="17">
        <v>1001000.0</v>
      </c>
      <c r="B3422" s="17">
        <v>6632700.0</v>
      </c>
    </row>
    <row r="3423">
      <c r="A3423" s="17">
        <v>1001000.0</v>
      </c>
      <c r="B3423" s="17">
        <v>6632800.0</v>
      </c>
    </row>
    <row r="3424">
      <c r="A3424" s="17">
        <v>1001000.0</v>
      </c>
      <c r="B3424" s="17">
        <v>6632900.0</v>
      </c>
    </row>
    <row r="3425">
      <c r="A3425" s="17">
        <v>1001000.0</v>
      </c>
      <c r="B3425" s="17">
        <v>6633000.0</v>
      </c>
    </row>
    <row r="3426">
      <c r="A3426" s="17">
        <v>1001000.0</v>
      </c>
      <c r="B3426" s="17">
        <v>6633100.0</v>
      </c>
    </row>
    <row r="3427">
      <c r="A3427" s="17">
        <v>1001000.0</v>
      </c>
      <c r="B3427" s="17">
        <v>6633200.0</v>
      </c>
    </row>
    <row r="3428">
      <c r="A3428" s="17">
        <v>1001000.0</v>
      </c>
      <c r="B3428" s="17">
        <v>6647200.0</v>
      </c>
    </row>
    <row r="3429">
      <c r="A3429" s="17">
        <v>1001000.0</v>
      </c>
      <c r="B3429" s="17">
        <v>6647300.0</v>
      </c>
    </row>
    <row r="3430">
      <c r="A3430" s="17">
        <v>1001000.0</v>
      </c>
      <c r="B3430" s="17">
        <v>6647400.0</v>
      </c>
    </row>
    <row r="3431">
      <c r="A3431" s="17">
        <v>1001000.0</v>
      </c>
      <c r="B3431" s="17">
        <v>6647500.0</v>
      </c>
    </row>
    <row r="3432">
      <c r="A3432" s="17">
        <v>1001000.0</v>
      </c>
      <c r="B3432" s="17">
        <v>6640000.0</v>
      </c>
    </row>
    <row r="3433">
      <c r="A3433" s="17">
        <v>1001000.0</v>
      </c>
      <c r="B3433" s="17">
        <v>6640100.0</v>
      </c>
    </row>
    <row r="3434">
      <c r="A3434" s="17">
        <v>1001000.0</v>
      </c>
      <c r="B3434" s="17">
        <v>6641000.0</v>
      </c>
    </row>
    <row r="3435">
      <c r="A3435" s="17">
        <v>1001000.0</v>
      </c>
      <c r="B3435" s="17">
        <v>6641100.0</v>
      </c>
    </row>
    <row r="3436">
      <c r="A3436" s="17">
        <v>1001000.0</v>
      </c>
      <c r="B3436" s="17">
        <v>6642000.0</v>
      </c>
    </row>
    <row r="3437">
      <c r="A3437" s="17">
        <v>1001000.0</v>
      </c>
      <c r="B3437" s="17">
        <v>6642100.0</v>
      </c>
    </row>
    <row r="3438">
      <c r="A3438" s="17">
        <v>1001000.0</v>
      </c>
      <c r="B3438" s="17">
        <v>6643000.0</v>
      </c>
    </row>
    <row r="3439">
      <c r="A3439" s="17">
        <v>1001000.0</v>
      </c>
      <c r="B3439" s="17">
        <v>6643100.0</v>
      </c>
    </row>
    <row r="3440">
      <c r="A3440" s="17">
        <v>1001000.0</v>
      </c>
      <c r="B3440" s="17">
        <v>6644000.0</v>
      </c>
    </row>
    <row r="3441">
      <c r="A3441" s="17">
        <v>1001000.0</v>
      </c>
      <c r="B3441" s="17">
        <v>6644100.0</v>
      </c>
    </row>
    <row r="3442">
      <c r="A3442" s="17">
        <v>1001000.0</v>
      </c>
      <c r="B3442" s="17">
        <v>6645000.0</v>
      </c>
    </row>
    <row r="3443">
      <c r="A3443" s="17">
        <v>1001000.0</v>
      </c>
      <c r="B3443" s="17">
        <v>6645100.0</v>
      </c>
    </row>
    <row r="3444">
      <c r="A3444" s="17">
        <v>1001000.0</v>
      </c>
      <c r="B3444" s="17">
        <v>6646000.0</v>
      </c>
    </row>
    <row r="3445">
      <c r="A3445" s="17">
        <v>1001000.0</v>
      </c>
      <c r="B3445" s="17">
        <v>6646100.0</v>
      </c>
    </row>
    <row r="3446">
      <c r="A3446" s="17">
        <v>1001000.0</v>
      </c>
      <c r="B3446" s="17">
        <v>6647000.0</v>
      </c>
    </row>
    <row r="3447">
      <c r="A3447" s="17">
        <v>1001000.0</v>
      </c>
      <c r="B3447" s="17">
        <v>6647100.0</v>
      </c>
    </row>
    <row r="3448">
      <c r="A3448" s="17">
        <v>1001001.0</v>
      </c>
      <c r="B3448" s="17">
        <v>7000000.0</v>
      </c>
    </row>
    <row r="3449">
      <c r="A3449" s="17">
        <v>1001001.0</v>
      </c>
      <c r="B3449" s="17">
        <v>7000001.0</v>
      </c>
    </row>
    <row r="3450">
      <c r="A3450" s="17">
        <v>1001001.0</v>
      </c>
      <c r="B3450" s="17">
        <v>7000002.0</v>
      </c>
    </row>
    <row r="3451">
      <c r="A3451" s="17">
        <v>1001001.0</v>
      </c>
      <c r="B3451" s="17">
        <v>7000100.0</v>
      </c>
    </row>
    <row r="3452">
      <c r="A3452" s="17">
        <v>1001001.0</v>
      </c>
      <c r="B3452" s="17">
        <v>7000101.0</v>
      </c>
    </row>
    <row r="3453">
      <c r="A3453" s="17">
        <v>1001001.0</v>
      </c>
      <c r="B3453" s="17">
        <v>7000102.0</v>
      </c>
    </row>
    <row r="3454">
      <c r="A3454" s="17">
        <v>1001001.0</v>
      </c>
      <c r="B3454" s="17">
        <v>7000200.0</v>
      </c>
    </row>
    <row r="3455">
      <c r="A3455" s="17">
        <v>1001001.0</v>
      </c>
      <c r="B3455" s="17">
        <v>7000201.0</v>
      </c>
    </row>
    <row r="3456">
      <c r="A3456" s="17">
        <v>1001001.0</v>
      </c>
      <c r="B3456" s="17">
        <v>7000202.0</v>
      </c>
    </row>
    <row r="3457">
      <c r="A3457" s="17">
        <v>1001001.0</v>
      </c>
      <c r="B3457" s="17">
        <v>7000300.0</v>
      </c>
    </row>
    <row r="3458">
      <c r="A3458" s="17">
        <v>1001001.0</v>
      </c>
      <c r="B3458" s="17">
        <v>7000301.0</v>
      </c>
    </row>
    <row r="3459">
      <c r="A3459" s="17">
        <v>1001001.0</v>
      </c>
      <c r="B3459" s="17">
        <v>7000302.0</v>
      </c>
    </row>
    <row r="3460">
      <c r="A3460" s="17">
        <v>1001001.0</v>
      </c>
      <c r="B3460" s="17">
        <v>7000400.0</v>
      </c>
    </row>
    <row r="3461">
      <c r="A3461" s="17">
        <v>1001001.0</v>
      </c>
      <c r="B3461" s="17">
        <v>7000401.0</v>
      </c>
    </row>
    <row r="3462">
      <c r="A3462" s="17">
        <v>1001001.0</v>
      </c>
      <c r="B3462" s="17">
        <v>7000402.0</v>
      </c>
    </row>
    <row r="3463">
      <c r="A3463" s="17">
        <v>1001001.0</v>
      </c>
      <c r="B3463" s="17">
        <v>7000500.0</v>
      </c>
    </row>
    <row r="3464">
      <c r="A3464" s="17">
        <v>1001001.0</v>
      </c>
      <c r="B3464" s="17">
        <v>7000501.0</v>
      </c>
    </row>
    <row r="3465">
      <c r="A3465" s="17">
        <v>1001001.0</v>
      </c>
      <c r="B3465" s="17">
        <v>7000502.0</v>
      </c>
    </row>
    <row r="3466">
      <c r="A3466" s="17">
        <v>1001001.0</v>
      </c>
      <c r="B3466" s="17">
        <v>7000600.0</v>
      </c>
    </row>
    <row r="3467">
      <c r="A3467" s="17">
        <v>1001001.0</v>
      </c>
      <c r="B3467" s="17">
        <v>7000601.0</v>
      </c>
    </row>
    <row r="3468">
      <c r="A3468" s="17">
        <v>1001001.0</v>
      </c>
      <c r="B3468" s="17">
        <v>7000602.0</v>
      </c>
    </row>
    <row r="3469">
      <c r="A3469" s="17">
        <v>1001001.0</v>
      </c>
      <c r="B3469" s="17">
        <v>7000700.0</v>
      </c>
    </row>
    <row r="3470">
      <c r="A3470" s="17">
        <v>1001001.0</v>
      </c>
      <c r="B3470" s="17">
        <v>7000701.0</v>
      </c>
    </row>
    <row r="3471">
      <c r="A3471" s="17">
        <v>1001001.0</v>
      </c>
      <c r="B3471" s="17">
        <v>7000702.0</v>
      </c>
    </row>
    <row r="3472">
      <c r="A3472" s="17">
        <v>1001001.0</v>
      </c>
      <c r="B3472" s="17">
        <v>7000800.0</v>
      </c>
    </row>
    <row r="3473">
      <c r="A3473" s="17">
        <v>1001001.0</v>
      </c>
      <c r="B3473" s="17">
        <v>7000801.0</v>
      </c>
    </row>
    <row r="3474">
      <c r="A3474" s="17">
        <v>1001001.0</v>
      </c>
      <c r="B3474" s="17">
        <v>7000802.0</v>
      </c>
    </row>
    <row r="3475">
      <c r="A3475" s="17">
        <v>1001001.0</v>
      </c>
      <c r="B3475" s="17">
        <v>7000900.0</v>
      </c>
    </row>
    <row r="3476">
      <c r="A3476" s="17">
        <v>1001001.0</v>
      </c>
      <c r="B3476" s="17">
        <v>7000901.0</v>
      </c>
    </row>
    <row r="3477">
      <c r="A3477" s="17">
        <v>1001001.0</v>
      </c>
      <c r="B3477" s="17">
        <v>7000902.0</v>
      </c>
    </row>
    <row r="3478">
      <c r="A3478" s="17">
        <v>1001001.0</v>
      </c>
      <c r="B3478" s="17">
        <v>7001000.0</v>
      </c>
    </row>
    <row r="3479">
      <c r="A3479" s="17">
        <v>1001001.0</v>
      </c>
      <c r="B3479" s="17">
        <v>7001001.0</v>
      </c>
    </row>
    <row r="3480">
      <c r="A3480" s="17">
        <v>1001001.0</v>
      </c>
      <c r="B3480" s="17">
        <v>7001002.0</v>
      </c>
    </row>
    <row r="3481">
      <c r="A3481" s="17">
        <v>1001001.0</v>
      </c>
      <c r="B3481" s="17">
        <v>7001400.0</v>
      </c>
    </row>
    <row r="3482">
      <c r="A3482" s="17">
        <v>1001001.0</v>
      </c>
      <c r="B3482" s="17">
        <v>7001401.0</v>
      </c>
    </row>
    <row r="3483">
      <c r="A3483" s="17">
        <v>1001001.0</v>
      </c>
      <c r="B3483" s="17">
        <v>7001402.0</v>
      </c>
    </row>
    <row r="3484">
      <c r="A3484" s="17">
        <v>1001001.0</v>
      </c>
      <c r="B3484" s="17">
        <v>7001500.0</v>
      </c>
    </row>
    <row r="3485">
      <c r="A3485" s="17">
        <v>1001001.0</v>
      </c>
      <c r="B3485" s="17">
        <v>7001501.0</v>
      </c>
    </row>
    <row r="3486">
      <c r="A3486" s="17">
        <v>1001001.0</v>
      </c>
      <c r="B3486" s="17">
        <v>7001502.0</v>
      </c>
    </row>
    <row r="3487">
      <c r="A3487" s="17">
        <v>1001001.0</v>
      </c>
      <c r="B3487" s="17">
        <v>7001600.0</v>
      </c>
    </row>
    <row r="3488">
      <c r="A3488" s="17">
        <v>1001001.0</v>
      </c>
      <c r="B3488" s="17">
        <v>7001601.0</v>
      </c>
    </row>
    <row r="3489">
      <c r="A3489" s="17">
        <v>1001001.0</v>
      </c>
      <c r="B3489" s="17">
        <v>7001602.0</v>
      </c>
    </row>
    <row r="3490">
      <c r="A3490" s="17">
        <v>1001001.0</v>
      </c>
      <c r="B3490" s="17">
        <v>7001700.0</v>
      </c>
    </row>
    <row r="3491">
      <c r="A3491" s="17">
        <v>1001001.0</v>
      </c>
      <c r="B3491" s="17">
        <v>7001701.0</v>
      </c>
    </row>
    <row r="3492">
      <c r="A3492" s="17">
        <v>1001001.0</v>
      </c>
      <c r="B3492" s="17">
        <v>7001702.0</v>
      </c>
    </row>
    <row r="3493">
      <c r="A3493" s="17">
        <v>1001001.0</v>
      </c>
      <c r="B3493" s="17">
        <v>7001800.0</v>
      </c>
    </row>
    <row r="3494">
      <c r="A3494" s="17">
        <v>1001001.0</v>
      </c>
      <c r="B3494" s="17">
        <v>7001801.0</v>
      </c>
    </row>
    <row r="3495">
      <c r="A3495" s="17">
        <v>1001001.0</v>
      </c>
      <c r="B3495" s="17">
        <v>7001802.0</v>
      </c>
    </row>
    <row r="3496">
      <c r="A3496" s="17">
        <v>1001001.0</v>
      </c>
      <c r="B3496" s="17">
        <v>7002600.0</v>
      </c>
    </row>
    <row r="3497">
      <c r="A3497" s="17">
        <v>1001001.0</v>
      </c>
      <c r="B3497" s="17">
        <v>7002700.0</v>
      </c>
    </row>
    <row r="3498">
      <c r="A3498" s="17">
        <v>1001001.0</v>
      </c>
      <c r="B3498" s="17">
        <v>7002800.0</v>
      </c>
    </row>
    <row r="3499">
      <c r="A3499" s="17">
        <v>1001001.0</v>
      </c>
      <c r="B3499" s="17">
        <v>7002900.0</v>
      </c>
    </row>
    <row r="3500">
      <c r="A3500" s="17">
        <v>1001001.0</v>
      </c>
      <c r="B3500" s="17">
        <v>7003000.0</v>
      </c>
    </row>
    <row r="3501">
      <c r="A3501" s="17">
        <v>1001001.0</v>
      </c>
      <c r="B3501" s="17">
        <v>7003100.0</v>
      </c>
    </row>
    <row r="3502">
      <c r="A3502" s="17">
        <v>1001001.0</v>
      </c>
      <c r="B3502" s="17">
        <v>7003200.0</v>
      </c>
    </row>
    <row r="3503">
      <c r="A3503" s="17">
        <v>1001001.0</v>
      </c>
      <c r="B3503" s="17">
        <v>7003300.0</v>
      </c>
    </row>
    <row r="3504">
      <c r="A3504" s="17">
        <v>1001001.0</v>
      </c>
      <c r="B3504" s="17">
        <v>7003400.0</v>
      </c>
    </row>
    <row r="3505">
      <c r="A3505" s="17">
        <v>1001001.0</v>
      </c>
      <c r="B3505" s="17">
        <v>7003500.0</v>
      </c>
    </row>
    <row r="3506">
      <c r="A3506" s="17">
        <v>1001001.0</v>
      </c>
      <c r="B3506" s="17">
        <v>7003600.0</v>
      </c>
    </row>
    <row r="3507">
      <c r="A3507" s="17">
        <v>1001001.0</v>
      </c>
      <c r="B3507" s="17">
        <v>7005600.0</v>
      </c>
    </row>
    <row r="3508">
      <c r="A3508" s="17">
        <v>1001001.0</v>
      </c>
      <c r="B3508" s="17">
        <v>7006000.0</v>
      </c>
    </row>
    <row r="3509">
      <c r="A3509" s="17">
        <v>1001001.0</v>
      </c>
      <c r="B3509" s="17">
        <v>7006100.0</v>
      </c>
    </row>
    <row r="3510">
      <c r="A3510" s="17">
        <v>1001001.0</v>
      </c>
      <c r="B3510" s="17">
        <v>7010200.0</v>
      </c>
    </row>
    <row r="3511">
      <c r="A3511" s="17">
        <v>1001001.0</v>
      </c>
      <c r="B3511" s="17">
        <v>7010500.0</v>
      </c>
    </row>
    <row r="3512">
      <c r="A3512" s="17">
        <v>1001001.0</v>
      </c>
      <c r="B3512" s="17">
        <v>7010700.0</v>
      </c>
    </row>
    <row r="3513">
      <c r="A3513" s="17">
        <v>1001001.0</v>
      </c>
      <c r="B3513" s="17">
        <v>7010900.0</v>
      </c>
    </row>
    <row r="3514">
      <c r="A3514" s="17">
        <v>1001001.0</v>
      </c>
      <c r="B3514" s="17">
        <v>7011000.0</v>
      </c>
    </row>
    <row r="3515">
      <c r="A3515" s="17">
        <v>1001001.0</v>
      </c>
      <c r="B3515" s="17">
        <v>7011200.0</v>
      </c>
    </row>
    <row r="3516">
      <c r="A3516" s="17">
        <v>1001001.0</v>
      </c>
      <c r="B3516" s="17">
        <v>7011600.0</v>
      </c>
    </row>
    <row r="3517">
      <c r="A3517" s="17">
        <v>1001001.0</v>
      </c>
      <c r="B3517" s="17">
        <v>7011700.0</v>
      </c>
    </row>
    <row r="3518">
      <c r="A3518" s="17">
        <v>1001001.0</v>
      </c>
      <c r="B3518" s="17">
        <v>7012000.0</v>
      </c>
    </row>
    <row r="3519">
      <c r="A3519" s="17">
        <v>1001001.0</v>
      </c>
      <c r="B3519" s="17">
        <v>7012200.0</v>
      </c>
    </row>
    <row r="3520">
      <c r="A3520" s="17">
        <v>1001001.0</v>
      </c>
      <c r="B3520" s="17">
        <v>7012300.0</v>
      </c>
    </row>
    <row r="3521">
      <c r="A3521" s="17">
        <v>1001001.0</v>
      </c>
      <c r="B3521" s="17">
        <v>7020000.0</v>
      </c>
    </row>
    <row r="3522">
      <c r="A3522" s="17">
        <v>1001001.0</v>
      </c>
      <c r="B3522" s="17">
        <v>7030000.0</v>
      </c>
    </row>
    <row r="3523">
      <c r="A3523" s="17">
        <v>1001001.0</v>
      </c>
      <c r="B3523" s="17">
        <v>7030200.0</v>
      </c>
    </row>
    <row r="3524">
      <c r="A3524" s="17">
        <v>1001001.0</v>
      </c>
      <c r="B3524" s="17">
        <v>7030600.0</v>
      </c>
    </row>
    <row r="3525">
      <c r="A3525" s="17">
        <v>1001001.0</v>
      </c>
      <c r="B3525" s="17">
        <v>7030700.0</v>
      </c>
    </row>
    <row r="3526">
      <c r="A3526" s="17">
        <v>1001001.0</v>
      </c>
      <c r="B3526" s="17">
        <v>7030800.0</v>
      </c>
    </row>
    <row r="3527">
      <c r="A3527" s="17">
        <v>1001001.0</v>
      </c>
      <c r="B3527" s="17">
        <v>7030900.0</v>
      </c>
    </row>
    <row r="3528">
      <c r="A3528" s="17">
        <v>1001001.0</v>
      </c>
      <c r="B3528" s="17">
        <v>7031200.0</v>
      </c>
    </row>
    <row r="3529">
      <c r="A3529" s="17">
        <v>1001001.0</v>
      </c>
      <c r="B3529" s="17">
        <v>7031300.0</v>
      </c>
    </row>
    <row r="3530">
      <c r="A3530" s="17">
        <v>1001001.0</v>
      </c>
      <c r="B3530" s="17">
        <v>7031800.0</v>
      </c>
    </row>
    <row r="3531">
      <c r="A3531" s="17">
        <v>1001001.0</v>
      </c>
      <c r="B3531" s="17">
        <v>7031900.0</v>
      </c>
    </row>
    <row r="3532">
      <c r="A3532" s="17">
        <v>1001001.0</v>
      </c>
      <c r="B3532" s="17">
        <v>7032200.0</v>
      </c>
    </row>
    <row r="3533">
      <c r="A3533" s="17">
        <v>1001001.0</v>
      </c>
      <c r="B3533" s="17">
        <v>7032400.0</v>
      </c>
    </row>
    <row r="3534">
      <c r="A3534" s="17">
        <v>1001001.0</v>
      </c>
      <c r="B3534" s="17">
        <v>7032700.0</v>
      </c>
    </row>
    <row r="3535">
      <c r="A3535" s="17">
        <v>1001001.0</v>
      </c>
      <c r="B3535" s="17">
        <v>7032800.0</v>
      </c>
    </row>
    <row r="3536">
      <c r="A3536" s="17">
        <v>1001001.0</v>
      </c>
      <c r="B3536" s="17">
        <v>7032900.0</v>
      </c>
    </row>
    <row r="3537">
      <c r="A3537" s="17">
        <v>1001001.0</v>
      </c>
      <c r="B3537" s="17">
        <v>7033200.0</v>
      </c>
    </row>
    <row r="3538">
      <c r="A3538" s="17">
        <v>1001001.0</v>
      </c>
      <c r="B3538" s="17">
        <v>7033400.0</v>
      </c>
    </row>
    <row r="3539">
      <c r="A3539" s="17">
        <v>1001001.0</v>
      </c>
      <c r="B3539" s="17">
        <v>7034100.0</v>
      </c>
    </row>
    <row r="3540">
      <c r="A3540" s="17">
        <v>1001001.0</v>
      </c>
      <c r="B3540" s="17">
        <v>7034400.0</v>
      </c>
    </row>
    <row r="3541">
      <c r="A3541" s="17">
        <v>1001001.0</v>
      </c>
      <c r="B3541" s="17">
        <v>7034500.0</v>
      </c>
    </row>
    <row r="3542">
      <c r="A3542" s="17">
        <v>1001001.0</v>
      </c>
      <c r="B3542" s="17">
        <v>7034600.0</v>
      </c>
    </row>
    <row r="3543">
      <c r="A3543" s="17">
        <v>1001001.0</v>
      </c>
      <c r="B3543" s="17">
        <v>7034700.0</v>
      </c>
    </row>
    <row r="3544">
      <c r="A3544" s="17">
        <v>1001001.0</v>
      </c>
      <c r="B3544" s="17">
        <v>7035100.0</v>
      </c>
    </row>
    <row r="3545">
      <c r="A3545" s="17">
        <v>1001001.0</v>
      </c>
      <c r="B3545" s="17">
        <v>7036100.0</v>
      </c>
    </row>
    <row r="3546">
      <c r="A3546" s="17">
        <v>1001001.0</v>
      </c>
      <c r="B3546" s="17">
        <v>7040000.0</v>
      </c>
    </row>
    <row r="3547">
      <c r="A3547" s="17">
        <v>1001001.0</v>
      </c>
      <c r="B3547" s="17">
        <v>7040100.0</v>
      </c>
    </row>
    <row r="3548">
      <c r="A3548" s="17">
        <v>1001001.0</v>
      </c>
      <c r="B3548" s="17">
        <v>7040200.0</v>
      </c>
    </row>
    <row r="3549">
      <c r="A3549" s="17">
        <v>1001001.0</v>
      </c>
      <c r="B3549" s="17">
        <v>7040300.0</v>
      </c>
    </row>
    <row r="3550">
      <c r="A3550" s="17">
        <v>1001001.0</v>
      </c>
      <c r="B3550" s="17">
        <v>7040400.0</v>
      </c>
    </row>
    <row r="3551">
      <c r="A3551" s="17">
        <v>1001001.0</v>
      </c>
      <c r="B3551" s="17">
        <v>7040500.0</v>
      </c>
    </row>
    <row r="3552">
      <c r="A3552" s="17">
        <v>1001001.0</v>
      </c>
      <c r="B3552" s="17">
        <v>7043000.0</v>
      </c>
    </row>
    <row r="3553">
      <c r="A3553" s="17">
        <v>1001001.0</v>
      </c>
      <c r="B3553" s="17">
        <v>7043100.0</v>
      </c>
    </row>
    <row r="3554">
      <c r="A3554" s="17">
        <v>1001001.0</v>
      </c>
      <c r="B3554" s="17">
        <v>7043200.0</v>
      </c>
    </row>
    <row r="3555">
      <c r="A3555" s="17">
        <v>1001001.0</v>
      </c>
      <c r="B3555" s="17">
        <v>7043300.0</v>
      </c>
    </row>
    <row r="3556">
      <c r="A3556" s="17">
        <v>1001001.0</v>
      </c>
      <c r="B3556" s="17">
        <v>7043400.0</v>
      </c>
    </row>
    <row r="3557">
      <c r="A3557" s="17">
        <v>1001001.0</v>
      </c>
      <c r="B3557" s="17">
        <v>7043500.0</v>
      </c>
    </row>
    <row r="3558">
      <c r="A3558" s="17">
        <v>1001001.0</v>
      </c>
      <c r="B3558" s="17">
        <v>7043600.0</v>
      </c>
    </row>
    <row r="3559">
      <c r="A3559" s="17">
        <v>1001001.0</v>
      </c>
      <c r="B3559" s="17">
        <v>7043700.0</v>
      </c>
    </row>
    <row r="3560">
      <c r="A3560" s="17">
        <v>1001001.0</v>
      </c>
      <c r="B3560" s="17">
        <v>7043800.0</v>
      </c>
    </row>
    <row r="3561">
      <c r="A3561" s="17">
        <v>1001001.0</v>
      </c>
      <c r="B3561" s="17">
        <v>7044000.0</v>
      </c>
    </row>
    <row r="3562">
      <c r="A3562" s="17">
        <v>1001001.0</v>
      </c>
      <c r="B3562" s="17">
        <v>7044100.0</v>
      </c>
    </row>
    <row r="3563">
      <c r="A3563" s="17">
        <v>1001001.0</v>
      </c>
      <c r="B3563" s="17">
        <v>7044200.0</v>
      </c>
    </row>
    <row r="3564">
      <c r="A3564" s="17">
        <v>1001001.0</v>
      </c>
      <c r="B3564" s="17">
        <v>7044300.0</v>
      </c>
    </row>
    <row r="3565">
      <c r="A3565" s="17">
        <v>1001001.0</v>
      </c>
      <c r="B3565" s="17">
        <v>7044400.0</v>
      </c>
    </row>
    <row r="3566">
      <c r="A3566" s="17">
        <v>1001001.0</v>
      </c>
      <c r="B3566" s="17">
        <v>7044500.0</v>
      </c>
    </row>
    <row r="3567">
      <c r="A3567" s="17">
        <v>1001001.0</v>
      </c>
      <c r="B3567" s="17">
        <v>7044600.0</v>
      </c>
    </row>
    <row r="3568">
      <c r="A3568" s="17">
        <v>1001001.0</v>
      </c>
      <c r="B3568" s="17">
        <v>7050000.0</v>
      </c>
    </row>
    <row r="3569">
      <c r="A3569" s="17">
        <v>1001001.0</v>
      </c>
      <c r="B3569" s="17">
        <v>7050100.0</v>
      </c>
    </row>
    <row r="3570">
      <c r="A3570" s="17">
        <v>1001001.0</v>
      </c>
      <c r="B3570" s="17">
        <v>7060000.0</v>
      </c>
    </row>
    <row r="3571">
      <c r="A3571" s="17">
        <v>1001001.0</v>
      </c>
      <c r="B3571" s="17">
        <v>7060100.0</v>
      </c>
    </row>
    <row r="3572">
      <c r="A3572" s="17">
        <v>1001001.0</v>
      </c>
      <c r="B3572" s="17">
        <v>7060200.0</v>
      </c>
    </row>
    <row r="3573">
      <c r="A3573" s="17">
        <v>1001001.0</v>
      </c>
      <c r="B3573" s="17">
        <v>7070000.0</v>
      </c>
    </row>
    <row r="3574">
      <c r="A3574" s="17">
        <v>1001001.0</v>
      </c>
      <c r="B3574" s="17">
        <v>7080000.0</v>
      </c>
    </row>
    <row r="3575">
      <c r="A3575" s="17">
        <v>1001001.0</v>
      </c>
      <c r="B3575" s="17">
        <v>7080100.0</v>
      </c>
    </row>
    <row r="3576">
      <c r="A3576" s="17">
        <v>1001001.0</v>
      </c>
      <c r="B3576" s="17">
        <v>7080200.0</v>
      </c>
    </row>
    <row r="3577">
      <c r="A3577" s="17">
        <v>1001001.0</v>
      </c>
      <c r="B3577" s="17">
        <v>7080300.0</v>
      </c>
    </row>
    <row r="3578">
      <c r="A3578" s="17">
        <v>1001001.0</v>
      </c>
      <c r="B3578" s="17">
        <v>7080400.0</v>
      </c>
    </row>
    <row r="3579">
      <c r="A3579" s="17">
        <v>1001001.0</v>
      </c>
      <c r="B3579" s="17">
        <v>7080500.0</v>
      </c>
    </row>
    <row r="3580">
      <c r="A3580" s="17">
        <v>1001001.0</v>
      </c>
      <c r="B3580" s="17">
        <v>7080600.0</v>
      </c>
    </row>
    <row r="3581">
      <c r="A3581" s="17">
        <v>1001001.0</v>
      </c>
      <c r="B3581" s="17">
        <v>7080700.0</v>
      </c>
    </row>
    <row r="3582">
      <c r="A3582" s="17">
        <v>1001001.0</v>
      </c>
      <c r="B3582" s="17">
        <v>7080800.0</v>
      </c>
    </row>
    <row r="3583">
      <c r="A3583" s="17">
        <v>1001001.0</v>
      </c>
      <c r="B3583" s="17">
        <v>7080900.0</v>
      </c>
    </row>
    <row r="3584">
      <c r="A3584" s="17">
        <v>1001001.0</v>
      </c>
      <c r="B3584" s="17">
        <v>7081000.0</v>
      </c>
    </row>
    <row r="3585">
      <c r="A3585" s="17">
        <v>1001001.0</v>
      </c>
      <c r="B3585" s="17">
        <v>7081100.0</v>
      </c>
    </row>
    <row r="3586">
      <c r="A3586" s="17">
        <v>1001001.0</v>
      </c>
      <c r="B3586" s="17">
        <v>7081200.0</v>
      </c>
    </row>
    <row r="3587">
      <c r="A3587" s="17">
        <v>1001001.0</v>
      </c>
      <c r="B3587" s="17">
        <v>7081300.0</v>
      </c>
    </row>
    <row r="3588">
      <c r="A3588" s="17">
        <v>1001001.0</v>
      </c>
      <c r="B3588" s="17">
        <v>7081400.0</v>
      </c>
    </row>
    <row r="3589">
      <c r="A3589" s="17">
        <v>1001001.0</v>
      </c>
      <c r="B3589" s="17">
        <v>7081500.0</v>
      </c>
    </row>
    <row r="3590">
      <c r="A3590" s="17">
        <v>1001001.0</v>
      </c>
      <c r="B3590" s="17">
        <v>7081700.0</v>
      </c>
    </row>
    <row r="3591">
      <c r="A3591" s="17">
        <v>1001001.0</v>
      </c>
      <c r="B3591" s="17">
        <v>7081800.0</v>
      </c>
    </row>
    <row r="3592">
      <c r="A3592" s="17">
        <v>1001001.0</v>
      </c>
      <c r="B3592" s="17">
        <v>7081900.0</v>
      </c>
    </row>
    <row r="3593">
      <c r="A3593" s="17">
        <v>1001001.0</v>
      </c>
      <c r="B3593" s="17">
        <v>7082000.0</v>
      </c>
    </row>
    <row r="3594">
      <c r="A3594" s="17">
        <v>1001001.0</v>
      </c>
      <c r="B3594" s="17">
        <v>7082100.0</v>
      </c>
    </row>
    <row r="3595">
      <c r="A3595" s="17">
        <v>1001001.0</v>
      </c>
      <c r="B3595" s="17">
        <v>7082200.0</v>
      </c>
    </row>
    <row r="3596">
      <c r="A3596" s="17">
        <v>1001001.0</v>
      </c>
      <c r="B3596" s="17">
        <v>7082300.0</v>
      </c>
    </row>
    <row r="3597">
      <c r="A3597" s="17">
        <v>1001001.0</v>
      </c>
      <c r="B3597" s="17">
        <v>7082400.0</v>
      </c>
    </row>
    <row r="3598">
      <c r="A3598" s="17">
        <v>1001001.0</v>
      </c>
      <c r="B3598" s="17">
        <v>7082500.0</v>
      </c>
    </row>
    <row r="3599">
      <c r="A3599" s="17">
        <v>1001001.0</v>
      </c>
      <c r="B3599" s="17">
        <v>7082600.0</v>
      </c>
    </row>
    <row r="3600">
      <c r="A3600" s="17">
        <v>1001001.0</v>
      </c>
      <c r="B3600" s="17">
        <v>7082700.0</v>
      </c>
    </row>
    <row r="3601">
      <c r="A3601" s="17">
        <v>1001001.0</v>
      </c>
      <c r="B3601" s="17">
        <v>7082800.0</v>
      </c>
    </row>
    <row r="3602">
      <c r="A3602" s="17">
        <v>1001001.0</v>
      </c>
      <c r="B3602" s="17">
        <v>7082900.0</v>
      </c>
    </row>
    <row r="3603">
      <c r="A3603" s="17">
        <v>1001001.0</v>
      </c>
      <c r="B3603" s="17">
        <v>7090000.0</v>
      </c>
    </row>
    <row r="3604">
      <c r="A3604" s="17">
        <v>1001001.0</v>
      </c>
      <c r="B3604" s="17">
        <v>7090100.0</v>
      </c>
    </row>
    <row r="3605">
      <c r="A3605" s="17">
        <v>1001001.0</v>
      </c>
      <c r="B3605" s="17">
        <v>7090300.0</v>
      </c>
    </row>
    <row r="3606">
      <c r="A3606" s="17">
        <v>1001001.0</v>
      </c>
      <c r="B3606" s="17">
        <v>7100100.0</v>
      </c>
    </row>
    <row r="3607">
      <c r="A3607" s="17">
        <v>1001001.0</v>
      </c>
      <c r="B3607" s="17">
        <v>7110000.0</v>
      </c>
    </row>
    <row r="3608">
      <c r="A3608" s="17">
        <v>1001001.0</v>
      </c>
      <c r="B3608" s="17">
        <v>7120000.0</v>
      </c>
    </row>
    <row r="3609">
      <c r="A3609" s="17">
        <v>1001001.0</v>
      </c>
      <c r="B3609" s="17">
        <v>7120100.0</v>
      </c>
    </row>
    <row r="3610">
      <c r="A3610" s="17">
        <v>1001001.0</v>
      </c>
      <c r="B3610" s="17">
        <v>7120200.0</v>
      </c>
    </row>
    <row r="3611">
      <c r="A3611" s="17">
        <v>1001001.0</v>
      </c>
      <c r="B3611" s="17">
        <v>7120300.0</v>
      </c>
    </row>
    <row r="3612">
      <c r="A3612" s="17">
        <v>1001001.0</v>
      </c>
      <c r="B3612" s="17">
        <v>7120400.0</v>
      </c>
    </row>
    <row r="3613">
      <c r="A3613" s="17">
        <v>1001001.0</v>
      </c>
      <c r="B3613" s="17">
        <v>7120500.0</v>
      </c>
    </row>
    <row r="3614">
      <c r="A3614" s="17">
        <v>1001001.0</v>
      </c>
      <c r="B3614" s="17">
        <v>7120600.0</v>
      </c>
    </row>
    <row r="3615">
      <c r="A3615" s="17">
        <v>1001001.0</v>
      </c>
      <c r="B3615" s="17">
        <v>7120900.0</v>
      </c>
    </row>
    <row r="3616">
      <c r="A3616" s="17">
        <v>1001001.0</v>
      </c>
      <c r="B3616" s="17">
        <v>7121000.0</v>
      </c>
    </row>
    <row r="3617">
      <c r="A3617" s="17">
        <v>1001001.0</v>
      </c>
      <c r="B3617" s="17">
        <v>7121100.0</v>
      </c>
    </row>
    <row r="3618">
      <c r="A3618" s="17">
        <v>1001001.0</v>
      </c>
      <c r="B3618" s="17">
        <v>7121200.0</v>
      </c>
    </row>
    <row r="3619">
      <c r="A3619" s="17">
        <v>1001001.0</v>
      </c>
      <c r="B3619" s="17">
        <v>7121300.0</v>
      </c>
    </row>
    <row r="3620">
      <c r="A3620" s="17">
        <v>1001001.0</v>
      </c>
      <c r="B3620" s="17">
        <v>7121400.0</v>
      </c>
    </row>
    <row r="3621">
      <c r="A3621" s="17">
        <v>1001001.0</v>
      </c>
      <c r="B3621" s="17">
        <v>7121500.0</v>
      </c>
    </row>
    <row r="3622">
      <c r="A3622" s="17">
        <v>1001001.0</v>
      </c>
      <c r="B3622" s="17">
        <v>7121600.0</v>
      </c>
    </row>
    <row r="3623">
      <c r="A3623" s="17">
        <v>1001001.0</v>
      </c>
      <c r="B3623" s="17">
        <v>7121700.0</v>
      </c>
    </row>
    <row r="3624">
      <c r="A3624" s="17">
        <v>1001001.0</v>
      </c>
      <c r="B3624" s="17">
        <v>7121800.0</v>
      </c>
    </row>
    <row r="3625">
      <c r="A3625" s="17">
        <v>1001001.0</v>
      </c>
      <c r="B3625" s="17">
        <v>7121900.0</v>
      </c>
    </row>
    <row r="3626">
      <c r="A3626" s="17">
        <v>1001001.0</v>
      </c>
      <c r="B3626" s="17">
        <v>7122000.0</v>
      </c>
    </row>
    <row r="3627">
      <c r="A3627" s="17">
        <v>1001001.0</v>
      </c>
      <c r="B3627" s="17">
        <v>7122100.0</v>
      </c>
    </row>
    <row r="3628">
      <c r="A3628" s="17">
        <v>1001001.0</v>
      </c>
      <c r="B3628" s="17">
        <v>7122200.0</v>
      </c>
    </row>
    <row r="3629">
      <c r="A3629" s="17">
        <v>1001001.0</v>
      </c>
      <c r="B3629" s="17">
        <v>7122300.0</v>
      </c>
    </row>
    <row r="3630">
      <c r="A3630" s="17">
        <v>1001001.0</v>
      </c>
      <c r="B3630" s="17">
        <v>7122400.0</v>
      </c>
    </row>
    <row r="3631">
      <c r="A3631" s="17">
        <v>1001001.0</v>
      </c>
      <c r="B3631" s="17">
        <v>7122500.0</v>
      </c>
    </row>
    <row r="3632">
      <c r="A3632" s="17">
        <v>1001001.0</v>
      </c>
      <c r="B3632" s="17">
        <v>7122600.0</v>
      </c>
    </row>
    <row r="3633">
      <c r="A3633" s="17">
        <v>1001001.0</v>
      </c>
      <c r="B3633" s="17">
        <v>7122700.0</v>
      </c>
    </row>
    <row r="3634">
      <c r="A3634" s="17">
        <v>1001001.0</v>
      </c>
      <c r="B3634" s="17">
        <v>7122800.0</v>
      </c>
    </row>
    <row r="3635">
      <c r="A3635" s="17">
        <v>1001001.0</v>
      </c>
      <c r="B3635" s="17">
        <v>7122900.0</v>
      </c>
    </row>
    <row r="3636">
      <c r="A3636" s="17">
        <v>1001001.0</v>
      </c>
      <c r="B3636" s="17">
        <v>7123000.0</v>
      </c>
    </row>
    <row r="3637">
      <c r="A3637" s="17">
        <v>1001001.0</v>
      </c>
      <c r="B3637" s="17">
        <v>7123100.0</v>
      </c>
    </row>
    <row r="3638">
      <c r="A3638" s="17">
        <v>1001001.0</v>
      </c>
      <c r="B3638" s="17">
        <v>7123200.0</v>
      </c>
    </row>
    <row r="3639">
      <c r="A3639" s="17">
        <v>1001001.0</v>
      </c>
      <c r="B3639" s="17">
        <v>7123300.0</v>
      </c>
    </row>
    <row r="3640">
      <c r="A3640" s="17">
        <v>1001001.0</v>
      </c>
      <c r="B3640" s="17">
        <v>7123400.0</v>
      </c>
    </row>
    <row r="3641">
      <c r="A3641" s="17">
        <v>1001001.0</v>
      </c>
      <c r="B3641" s="17">
        <v>7123500.0</v>
      </c>
    </row>
    <row r="3642">
      <c r="A3642" s="17">
        <v>1001001.0</v>
      </c>
      <c r="B3642" s="17">
        <v>7123600.0</v>
      </c>
    </row>
    <row r="3643">
      <c r="A3643" s="17">
        <v>1001001.0</v>
      </c>
      <c r="B3643" s="17">
        <v>7123700.0</v>
      </c>
    </row>
    <row r="3644">
      <c r="A3644" s="17">
        <v>1001001.0</v>
      </c>
      <c r="B3644" s="17">
        <v>7123800.0</v>
      </c>
    </row>
    <row r="3645">
      <c r="A3645" s="17">
        <v>1001001.0</v>
      </c>
      <c r="B3645" s="17">
        <v>7123900.0</v>
      </c>
    </row>
    <row r="3646">
      <c r="A3646" s="17">
        <v>1001001.0</v>
      </c>
      <c r="B3646" s="17">
        <v>7124000.0</v>
      </c>
    </row>
    <row r="3647">
      <c r="A3647" s="17">
        <v>1001001.0</v>
      </c>
      <c r="B3647" s="17">
        <v>7124100.0</v>
      </c>
    </row>
    <row r="3648">
      <c r="A3648" s="17">
        <v>1001001.0</v>
      </c>
      <c r="B3648" s="17">
        <v>7124300.0</v>
      </c>
    </row>
    <row r="3649">
      <c r="A3649" s="17">
        <v>1001001.0</v>
      </c>
      <c r="B3649" s="17">
        <v>7124400.0</v>
      </c>
    </row>
    <row r="3650">
      <c r="A3650" s="17">
        <v>1001001.0</v>
      </c>
      <c r="B3650" s="17">
        <v>7124500.0</v>
      </c>
    </row>
    <row r="3651">
      <c r="A3651" s="17">
        <v>1001001.0</v>
      </c>
      <c r="B3651" s="17">
        <v>7124600.0</v>
      </c>
    </row>
    <row r="3652">
      <c r="A3652" s="17">
        <v>1001001.0</v>
      </c>
      <c r="B3652" s="17">
        <v>7124700.0</v>
      </c>
    </row>
    <row r="3653">
      <c r="A3653" s="17">
        <v>1001001.0</v>
      </c>
      <c r="B3653" s="17">
        <v>7126000.0</v>
      </c>
    </row>
    <row r="3654">
      <c r="A3654" s="17">
        <v>1001001.0</v>
      </c>
      <c r="B3654" s="17">
        <v>7150000.0</v>
      </c>
    </row>
    <row r="3655">
      <c r="A3655" s="17">
        <v>1001001.0</v>
      </c>
      <c r="B3655" s="17">
        <v>7160000.0</v>
      </c>
    </row>
    <row r="3656">
      <c r="A3656" s="17">
        <v>1001001.0</v>
      </c>
      <c r="B3656" s="17">
        <v>7220000.0</v>
      </c>
    </row>
    <row r="3657">
      <c r="A3657" s="17">
        <v>1001001.0</v>
      </c>
      <c r="B3657" s="17">
        <v>7230000.0</v>
      </c>
    </row>
    <row r="3658">
      <c r="A3658" s="17">
        <v>1001001.0</v>
      </c>
      <c r="B3658" s="17">
        <v>7240000.0</v>
      </c>
    </row>
    <row r="3659">
      <c r="A3659" s="17">
        <v>1001001.0</v>
      </c>
      <c r="B3659" s="17">
        <v>7260000.0</v>
      </c>
    </row>
    <row r="3660">
      <c r="A3660" s="17">
        <v>1001001.0</v>
      </c>
      <c r="B3660" s="17">
        <v>7260300.0</v>
      </c>
    </row>
    <row r="3661">
      <c r="A3661" s="17">
        <v>1001001.0</v>
      </c>
      <c r="B3661" s="17">
        <v>7260400.0</v>
      </c>
    </row>
    <row r="3662">
      <c r="A3662" s="17">
        <v>1001001.0</v>
      </c>
      <c r="B3662" s="17">
        <v>7270100.0</v>
      </c>
    </row>
    <row r="3663">
      <c r="A3663" s="17">
        <v>1001001.0</v>
      </c>
      <c r="B3663" s="17">
        <v>7280000.0</v>
      </c>
    </row>
    <row r="3664">
      <c r="A3664" s="17">
        <v>1001001.0</v>
      </c>
      <c r="B3664" s="17">
        <v>7290000.0</v>
      </c>
    </row>
    <row r="3665">
      <c r="A3665" s="17">
        <v>1001001.0</v>
      </c>
      <c r="B3665" s="17">
        <v>7310000.0</v>
      </c>
    </row>
    <row r="3666">
      <c r="A3666" s="17">
        <v>1001001.0</v>
      </c>
      <c r="B3666" s="17">
        <v>7330000.0</v>
      </c>
    </row>
    <row r="3667">
      <c r="A3667" s="17">
        <v>1001001.0</v>
      </c>
      <c r="B3667" s="17">
        <v>7330100.0</v>
      </c>
    </row>
    <row r="3668">
      <c r="A3668" s="17">
        <v>1001001.0</v>
      </c>
      <c r="B3668" s="17">
        <v>7330200.0</v>
      </c>
    </row>
    <row r="3669">
      <c r="A3669" s="17">
        <v>1001001.0</v>
      </c>
      <c r="B3669" s="17">
        <v>7330300.0</v>
      </c>
    </row>
    <row r="3670">
      <c r="A3670" s="17">
        <v>1001001.0</v>
      </c>
      <c r="B3670" s="17">
        <v>7330400.0</v>
      </c>
    </row>
    <row r="3671">
      <c r="A3671" s="17">
        <v>1001001.0</v>
      </c>
      <c r="B3671" s="17">
        <v>7330500.0</v>
      </c>
    </row>
    <row r="3672">
      <c r="A3672" s="17">
        <v>1001001.0</v>
      </c>
      <c r="B3672" s="17">
        <v>7330600.0</v>
      </c>
    </row>
    <row r="3673">
      <c r="A3673" s="17">
        <v>1001001.0</v>
      </c>
      <c r="B3673" s="17">
        <v>7330700.0</v>
      </c>
    </row>
    <row r="3674">
      <c r="A3674" s="17">
        <v>1001001.0</v>
      </c>
      <c r="B3674" s="17">
        <v>7330800.0</v>
      </c>
    </row>
    <row r="3675">
      <c r="A3675" s="17">
        <v>1001001.0</v>
      </c>
      <c r="B3675" s="17">
        <v>7330900.0</v>
      </c>
    </row>
    <row r="3676">
      <c r="A3676" s="17">
        <v>1001001.0</v>
      </c>
      <c r="B3676" s="17">
        <v>7331000.0</v>
      </c>
    </row>
    <row r="3677">
      <c r="A3677" s="17">
        <v>1001001.0</v>
      </c>
      <c r="B3677" s="17">
        <v>7331100.0</v>
      </c>
    </row>
    <row r="3678">
      <c r="A3678" s="17">
        <v>1001001.0</v>
      </c>
      <c r="B3678" s="17">
        <v>7331200.0</v>
      </c>
    </row>
    <row r="3679">
      <c r="A3679" s="17">
        <v>1001001.0</v>
      </c>
      <c r="B3679" s="17">
        <v>7331300.0</v>
      </c>
    </row>
    <row r="3680">
      <c r="A3680" s="17">
        <v>1001001.0</v>
      </c>
      <c r="B3680" s="17">
        <v>7331400.0</v>
      </c>
    </row>
    <row r="3681">
      <c r="A3681" s="17">
        <v>1001001.0</v>
      </c>
      <c r="B3681" s="17">
        <v>7331500.0</v>
      </c>
    </row>
    <row r="3682">
      <c r="A3682" s="17">
        <v>1001001.0</v>
      </c>
      <c r="B3682" s="17">
        <v>7331700.0</v>
      </c>
    </row>
    <row r="3683">
      <c r="A3683" s="17">
        <v>1001001.0</v>
      </c>
      <c r="B3683" s="17">
        <v>7331800.0</v>
      </c>
    </row>
    <row r="3684">
      <c r="A3684" s="17">
        <v>1001001.0</v>
      </c>
      <c r="B3684" s="17">
        <v>7331900.0</v>
      </c>
    </row>
    <row r="3685">
      <c r="A3685" s="17">
        <v>1001001.0</v>
      </c>
      <c r="B3685" s="17">
        <v>7332000.0</v>
      </c>
    </row>
    <row r="3686">
      <c r="A3686" s="17">
        <v>1001001.0</v>
      </c>
      <c r="B3686" s="17">
        <v>7332100.0</v>
      </c>
    </row>
    <row r="3687">
      <c r="A3687" s="17">
        <v>1001001.0</v>
      </c>
      <c r="B3687" s="17">
        <v>7332200.0</v>
      </c>
    </row>
    <row r="3688">
      <c r="A3688" s="17">
        <v>1001001.0</v>
      </c>
      <c r="B3688" s="17">
        <v>7332300.0</v>
      </c>
    </row>
    <row r="3689">
      <c r="A3689" s="17">
        <v>1001001.0</v>
      </c>
      <c r="B3689" s="17">
        <v>7332400.0</v>
      </c>
    </row>
    <row r="3690">
      <c r="A3690" s="17">
        <v>1001001.0</v>
      </c>
      <c r="B3690" s="17">
        <v>7340000.0</v>
      </c>
    </row>
    <row r="3691">
      <c r="A3691" s="17">
        <v>1001001.0</v>
      </c>
      <c r="B3691" s="17">
        <v>7340100.0</v>
      </c>
    </row>
    <row r="3692">
      <c r="A3692" s="17">
        <v>1001001.0</v>
      </c>
      <c r="B3692" s="17">
        <v>7340200.0</v>
      </c>
    </row>
    <row r="3693">
      <c r="A3693" s="17">
        <v>1001001.0</v>
      </c>
      <c r="B3693" s="17">
        <v>7340300.0</v>
      </c>
    </row>
    <row r="3694">
      <c r="A3694" s="17">
        <v>1001001.0</v>
      </c>
      <c r="B3694" s="17">
        <v>7340400.0</v>
      </c>
    </row>
    <row r="3695">
      <c r="A3695" s="17">
        <v>1001001.0</v>
      </c>
      <c r="B3695" s="17">
        <v>7340500.0</v>
      </c>
    </row>
    <row r="3696">
      <c r="A3696" s="17">
        <v>1001001.0</v>
      </c>
      <c r="B3696" s="17">
        <v>7340600.0</v>
      </c>
    </row>
    <row r="3697">
      <c r="A3697" s="17">
        <v>1001001.0</v>
      </c>
      <c r="B3697" s="17">
        <v>7340700.0</v>
      </c>
    </row>
    <row r="3698">
      <c r="A3698" s="17">
        <v>1001001.0</v>
      </c>
      <c r="B3698" s="17">
        <v>7340800.0</v>
      </c>
    </row>
    <row r="3699">
      <c r="A3699" s="17">
        <v>1001001.0</v>
      </c>
      <c r="B3699" s="17">
        <v>7340900.0</v>
      </c>
    </row>
    <row r="3700">
      <c r="A3700" s="17">
        <v>1001001.0</v>
      </c>
      <c r="B3700" s="17">
        <v>7341000.0</v>
      </c>
    </row>
    <row r="3701">
      <c r="A3701" s="17">
        <v>1001001.0</v>
      </c>
      <c r="B3701" s="17">
        <v>7341100.0</v>
      </c>
    </row>
    <row r="3702">
      <c r="A3702" s="17">
        <v>1001001.0</v>
      </c>
      <c r="B3702" s="17">
        <v>7341200.0</v>
      </c>
    </row>
    <row r="3703">
      <c r="A3703" s="17">
        <v>1001001.0</v>
      </c>
      <c r="B3703" s="17">
        <v>7341300.0</v>
      </c>
    </row>
    <row r="3704">
      <c r="A3704" s="17">
        <v>1001001.0</v>
      </c>
      <c r="B3704" s="17">
        <v>7341400.0</v>
      </c>
    </row>
    <row r="3705">
      <c r="A3705" s="17">
        <v>1001001.0</v>
      </c>
      <c r="B3705" s="17">
        <v>7341500.0</v>
      </c>
    </row>
    <row r="3706">
      <c r="A3706" s="17">
        <v>1001001.0</v>
      </c>
      <c r="B3706" s="17">
        <v>7341700.0</v>
      </c>
    </row>
    <row r="3707">
      <c r="A3707" s="17">
        <v>1001001.0</v>
      </c>
      <c r="B3707" s="17">
        <v>7341800.0</v>
      </c>
    </row>
    <row r="3708">
      <c r="A3708" s="17">
        <v>1001001.0</v>
      </c>
      <c r="B3708" s="17">
        <v>7341900.0</v>
      </c>
    </row>
    <row r="3709">
      <c r="A3709" s="17">
        <v>1001001.0</v>
      </c>
      <c r="B3709" s="17">
        <v>7342000.0</v>
      </c>
    </row>
    <row r="3710">
      <c r="A3710" s="17">
        <v>1001001.0</v>
      </c>
      <c r="B3710" s="17">
        <v>7342100.0</v>
      </c>
    </row>
    <row r="3711">
      <c r="A3711" s="17">
        <v>1001001.0</v>
      </c>
      <c r="B3711" s="17">
        <v>7342200.0</v>
      </c>
    </row>
    <row r="3712">
      <c r="A3712" s="17">
        <v>1001001.0</v>
      </c>
      <c r="B3712" s="17">
        <v>7342300.0</v>
      </c>
    </row>
    <row r="3713">
      <c r="A3713" s="17">
        <v>1001001.0</v>
      </c>
      <c r="B3713" s="17">
        <v>7342400.0</v>
      </c>
    </row>
    <row r="3714">
      <c r="A3714" s="17">
        <v>1001001.0</v>
      </c>
      <c r="B3714" s="17">
        <v>7350000.0</v>
      </c>
    </row>
    <row r="3715">
      <c r="A3715" s="17">
        <v>1001001.0</v>
      </c>
      <c r="B3715" s="17">
        <v>7350100.0</v>
      </c>
    </row>
    <row r="3716">
      <c r="A3716" s="17">
        <v>1001001.0</v>
      </c>
      <c r="B3716" s="17">
        <v>7350200.0</v>
      </c>
    </row>
    <row r="3717">
      <c r="A3717" s="17">
        <v>1001001.0</v>
      </c>
      <c r="B3717" s="17">
        <v>7350300.0</v>
      </c>
    </row>
    <row r="3718">
      <c r="A3718" s="17">
        <v>1001001.0</v>
      </c>
      <c r="B3718" s="17">
        <v>7350400.0</v>
      </c>
    </row>
    <row r="3719">
      <c r="A3719" s="17">
        <v>1001001.0</v>
      </c>
      <c r="B3719" s="17">
        <v>7350500.0</v>
      </c>
    </row>
    <row r="3720">
      <c r="A3720" s="17">
        <v>1001001.0</v>
      </c>
      <c r="B3720" s="17">
        <v>7350600.0</v>
      </c>
    </row>
    <row r="3721">
      <c r="A3721" s="17">
        <v>1001001.0</v>
      </c>
      <c r="B3721" s="17">
        <v>7350700.0</v>
      </c>
    </row>
    <row r="3722">
      <c r="A3722" s="17">
        <v>1001001.0</v>
      </c>
      <c r="B3722" s="17">
        <v>7350800.0</v>
      </c>
    </row>
    <row r="3723">
      <c r="A3723" s="17">
        <v>1001001.0</v>
      </c>
      <c r="B3723" s="17">
        <v>7350900.0</v>
      </c>
    </row>
    <row r="3724">
      <c r="A3724" s="17">
        <v>1001001.0</v>
      </c>
      <c r="B3724" s="17">
        <v>7351000.0</v>
      </c>
    </row>
    <row r="3725">
      <c r="A3725" s="17">
        <v>1001001.0</v>
      </c>
      <c r="B3725" s="17">
        <v>7351100.0</v>
      </c>
    </row>
    <row r="3726">
      <c r="A3726" s="17">
        <v>1001001.0</v>
      </c>
      <c r="B3726" s="17">
        <v>7351200.0</v>
      </c>
    </row>
    <row r="3727">
      <c r="A3727" s="17">
        <v>1001001.0</v>
      </c>
      <c r="B3727" s="17">
        <v>7351300.0</v>
      </c>
    </row>
    <row r="3728">
      <c r="A3728" s="17">
        <v>1001001.0</v>
      </c>
      <c r="B3728" s="17">
        <v>7351400.0</v>
      </c>
    </row>
    <row r="3729">
      <c r="A3729" s="17">
        <v>1001001.0</v>
      </c>
      <c r="B3729" s="17">
        <v>7351500.0</v>
      </c>
    </row>
    <row r="3730">
      <c r="A3730" s="17">
        <v>1001001.0</v>
      </c>
      <c r="B3730" s="17">
        <v>7351700.0</v>
      </c>
    </row>
    <row r="3731">
      <c r="A3731" s="17">
        <v>1001001.0</v>
      </c>
      <c r="B3731" s="17">
        <v>7351800.0</v>
      </c>
    </row>
    <row r="3732">
      <c r="A3732" s="17">
        <v>1001001.0</v>
      </c>
      <c r="B3732" s="17">
        <v>7351900.0</v>
      </c>
    </row>
    <row r="3733">
      <c r="A3733" s="17">
        <v>1001001.0</v>
      </c>
      <c r="B3733" s="17">
        <v>7352000.0</v>
      </c>
    </row>
    <row r="3734">
      <c r="A3734" s="17">
        <v>1001001.0</v>
      </c>
      <c r="B3734" s="17">
        <v>7352100.0</v>
      </c>
    </row>
    <row r="3735">
      <c r="A3735" s="17">
        <v>1001001.0</v>
      </c>
      <c r="B3735" s="17">
        <v>7352200.0</v>
      </c>
    </row>
    <row r="3736">
      <c r="A3736" s="17">
        <v>1001001.0</v>
      </c>
      <c r="B3736" s="17">
        <v>7352300.0</v>
      </c>
    </row>
    <row r="3737">
      <c r="A3737" s="17">
        <v>1001001.0</v>
      </c>
      <c r="B3737" s="17">
        <v>7352400.0</v>
      </c>
    </row>
    <row r="3738">
      <c r="A3738" s="17">
        <v>1001001.0</v>
      </c>
      <c r="B3738" s="17">
        <v>7360600.0</v>
      </c>
    </row>
    <row r="3739">
      <c r="A3739" s="17">
        <v>1001001.0</v>
      </c>
      <c r="B3739" s="17">
        <v>7360900.0</v>
      </c>
    </row>
    <row r="3740">
      <c r="A3740" s="17">
        <v>1001001.0</v>
      </c>
      <c r="B3740" s="17">
        <v>7361200.0</v>
      </c>
    </row>
    <row r="3741">
      <c r="A3741" s="17">
        <v>1001001.0</v>
      </c>
      <c r="B3741" s="17">
        <v>7361300.0</v>
      </c>
    </row>
    <row r="3742">
      <c r="A3742" s="17">
        <v>1001001.0</v>
      </c>
      <c r="B3742" s="17">
        <v>7362100.0</v>
      </c>
    </row>
    <row r="3743">
      <c r="A3743" s="17">
        <v>1001001.0</v>
      </c>
      <c r="B3743" s="17">
        <v>7370300.0</v>
      </c>
    </row>
    <row r="3744">
      <c r="A3744" s="17">
        <v>1001001.0</v>
      </c>
      <c r="B3744" s="17">
        <v>7370400.0</v>
      </c>
    </row>
    <row r="3745">
      <c r="A3745" s="17">
        <v>1001001.0</v>
      </c>
      <c r="B3745" s="17">
        <v>7370600.0</v>
      </c>
    </row>
    <row r="3746">
      <c r="A3746" s="17">
        <v>1001001.0</v>
      </c>
      <c r="B3746" s="17">
        <v>7370900.0</v>
      </c>
    </row>
    <row r="3747">
      <c r="A3747" s="17">
        <v>1001001.0</v>
      </c>
      <c r="B3747" s="17">
        <v>7371500.0</v>
      </c>
    </row>
    <row r="3748">
      <c r="A3748" s="17">
        <v>1001001.0</v>
      </c>
      <c r="B3748" s="17">
        <v>7036200.0</v>
      </c>
    </row>
    <row r="3749">
      <c r="A3749" s="17">
        <v>1001001.0</v>
      </c>
      <c r="B3749" s="17">
        <v>7036300.0</v>
      </c>
    </row>
    <row r="3750">
      <c r="A3750" s="17">
        <v>1001001.0</v>
      </c>
      <c r="B3750" s="17">
        <v>7036400.0</v>
      </c>
    </row>
    <row r="3751">
      <c r="A3751" s="17">
        <v>1001001.0</v>
      </c>
      <c r="B3751" s="17">
        <v>7036500.0</v>
      </c>
    </row>
    <row r="3752">
      <c r="A3752" s="17">
        <v>1001001.0</v>
      </c>
      <c r="B3752" s="17">
        <v>7036800.0</v>
      </c>
    </row>
    <row r="3753">
      <c r="A3753" s="17">
        <v>1001001.0</v>
      </c>
      <c r="B3753" s="17">
        <v>7036900.0</v>
      </c>
    </row>
    <row r="3754">
      <c r="A3754" s="17">
        <v>1001001.0</v>
      </c>
      <c r="B3754" s="17">
        <v>7037000.0</v>
      </c>
    </row>
    <row r="3755">
      <c r="A3755" s="17">
        <v>1001001.0</v>
      </c>
      <c r="B3755" s="17">
        <v>7037300.0</v>
      </c>
    </row>
    <row r="3756">
      <c r="A3756" s="17">
        <v>1001001.0</v>
      </c>
      <c r="B3756" s="17">
        <v>6630000.0</v>
      </c>
    </row>
    <row r="3757">
      <c r="A3757" s="17">
        <v>1001001.0</v>
      </c>
      <c r="B3757" s="17">
        <v>6630100.0</v>
      </c>
    </row>
    <row r="3758">
      <c r="A3758" s="17">
        <v>1001001.0</v>
      </c>
      <c r="B3758" s="17">
        <v>6630200.0</v>
      </c>
    </row>
    <row r="3759">
      <c r="A3759" s="17">
        <v>1001001.0</v>
      </c>
      <c r="B3759" s="17">
        <v>6630300.0</v>
      </c>
    </row>
    <row r="3760">
      <c r="A3760" s="17">
        <v>1001001.0</v>
      </c>
      <c r="B3760" s="17">
        <v>6630400.0</v>
      </c>
    </row>
    <row r="3761">
      <c r="A3761" s="17">
        <v>1001001.0</v>
      </c>
      <c r="B3761" s="17">
        <v>6630500.0</v>
      </c>
    </row>
    <row r="3762">
      <c r="A3762" s="17">
        <v>1001001.0</v>
      </c>
      <c r="B3762" s="17">
        <v>6630600.0</v>
      </c>
    </row>
    <row r="3763">
      <c r="A3763" s="17">
        <v>1001001.0</v>
      </c>
      <c r="B3763" s="17">
        <v>6630700.0</v>
      </c>
    </row>
    <row r="3764">
      <c r="A3764" s="17">
        <v>1001001.0</v>
      </c>
      <c r="B3764" s="17">
        <v>6630800.0</v>
      </c>
    </row>
    <row r="3765">
      <c r="A3765" s="17">
        <v>1001001.0</v>
      </c>
      <c r="B3765" s="17">
        <v>6630900.0</v>
      </c>
    </row>
    <row r="3766">
      <c r="A3766" s="17">
        <v>1001001.0</v>
      </c>
      <c r="B3766" s="17">
        <v>6631000.0</v>
      </c>
    </row>
    <row r="3767">
      <c r="A3767" s="17">
        <v>1001001.0</v>
      </c>
      <c r="B3767" s="17">
        <v>6631100.0</v>
      </c>
    </row>
    <row r="3768">
      <c r="A3768" s="17">
        <v>1001001.0</v>
      </c>
      <c r="B3768" s="17">
        <v>6631200.0</v>
      </c>
    </row>
    <row r="3769">
      <c r="A3769" s="17">
        <v>1001001.0</v>
      </c>
      <c r="B3769" s="17">
        <v>6631300.0</v>
      </c>
    </row>
    <row r="3770">
      <c r="A3770" s="17">
        <v>1001001.0</v>
      </c>
      <c r="B3770" s="17">
        <v>6631400.0</v>
      </c>
    </row>
    <row r="3771">
      <c r="A3771" s="17">
        <v>1001001.0</v>
      </c>
      <c r="B3771" s="17">
        <v>6631500.0</v>
      </c>
    </row>
    <row r="3772">
      <c r="A3772" s="17">
        <v>1001001.0</v>
      </c>
      <c r="B3772" s="17">
        <v>6631600.0</v>
      </c>
    </row>
    <row r="3773">
      <c r="A3773" s="17">
        <v>1001001.0</v>
      </c>
      <c r="B3773" s="17">
        <v>6631700.0</v>
      </c>
    </row>
    <row r="3774">
      <c r="A3774" s="17">
        <v>1001001.0</v>
      </c>
      <c r="B3774" s="17">
        <v>6631800.0</v>
      </c>
    </row>
    <row r="3775">
      <c r="A3775" s="17">
        <v>1001001.0</v>
      </c>
      <c r="B3775" s="17">
        <v>6631900.0</v>
      </c>
    </row>
    <row r="3776">
      <c r="A3776" s="17">
        <v>1001001.0</v>
      </c>
      <c r="B3776" s="17">
        <v>6632000.0</v>
      </c>
    </row>
    <row r="3777">
      <c r="A3777" s="17">
        <v>1001001.0</v>
      </c>
      <c r="B3777" s="17">
        <v>6632100.0</v>
      </c>
    </row>
    <row r="3778">
      <c r="A3778" s="17">
        <v>1001001.0</v>
      </c>
      <c r="B3778" s="17">
        <v>6632200.0</v>
      </c>
    </row>
    <row r="3779">
      <c r="A3779" s="17">
        <v>1001001.0</v>
      </c>
      <c r="B3779" s="17">
        <v>6632300.0</v>
      </c>
    </row>
    <row r="3780">
      <c r="A3780" s="17">
        <v>1001001.0</v>
      </c>
      <c r="B3780" s="17">
        <v>6632400.0</v>
      </c>
    </row>
    <row r="3781">
      <c r="A3781" s="17">
        <v>1001001.0</v>
      </c>
      <c r="B3781" s="17">
        <v>6632500.0</v>
      </c>
    </row>
    <row r="3782">
      <c r="A3782" s="17">
        <v>1001001.0</v>
      </c>
      <c r="B3782" s="17">
        <v>6632600.0</v>
      </c>
    </row>
    <row r="3783">
      <c r="A3783" s="17">
        <v>1001001.0</v>
      </c>
      <c r="B3783" s="17">
        <v>6632700.0</v>
      </c>
    </row>
    <row r="3784">
      <c r="A3784" s="17">
        <v>1001001.0</v>
      </c>
      <c r="B3784" s="17">
        <v>6632800.0</v>
      </c>
    </row>
    <row r="3785">
      <c r="A3785" s="17">
        <v>1001001.0</v>
      </c>
      <c r="B3785" s="17">
        <v>6632900.0</v>
      </c>
    </row>
    <row r="3786">
      <c r="A3786" s="17">
        <v>1001001.0</v>
      </c>
      <c r="B3786" s="17">
        <v>6633000.0</v>
      </c>
    </row>
    <row r="3787">
      <c r="A3787" s="17">
        <v>1001001.0</v>
      </c>
      <c r="B3787" s="17">
        <v>6633100.0</v>
      </c>
    </row>
    <row r="3788">
      <c r="A3788" s="17">
        <v>1001001.0</v>
      </c>
      <c r="B3788" s="17">
        <v>6633200.0</v>
      </c>
    </row>
    <row r="3789">
      <c r="A3789" s="17">
        <v>1001001.0</v>
      </c>
      <c r="B3789" s="17">
        <v>6647200.0</v>
      </c>
    </row>
    <row r="3790">
      <c r="A3790" s="17">
        <v>1001001.0</v>
      </c>
      <c r="B3790" s="17">
        <v>6647300.0</v>
      </c>
    </row>
    <row r="3791">
      <c r="A3791" s="17">
        <v>1001001.0</v>
      </c>
      <c r="B3791" s="17">
        <v>6647400.0</v>
      </c>
    </row>
    <row r="3792">
      <c r="A3792" s="17">
        <v>1001001.0</v>
      </c>
      <c r="B3792" s="17">
        <v>6647500.0</v>
      </c>
    </row>
    <row r="3793">
      <c r="A3793" s="17">
        <v>1001001.0</v>
      </c>
      <c r="B3793" s="17">
        <v>6640000.0</v>
      </c>
    </row>
    <row r="3794">
      <c r="A3794" s="17">
        <v>1001001.0</v>
      </c>
      <c r="B3794" s="17">
        <v>6640100.0</v>
      </c>
    </row>
    <row r="3795">
      <c r="A3795" s="17">
        <v>1001001.0</v>
      </c>
      <c r="B3795" s="17">
        <v>6641000.0</v>
      </c>
    </row>
    <row r="3796">
      <c r="A3796" s="17">
        <v>1001001.0</v>
      </c>
      <c r="B3796" s="17">
        <v>6641100.0</v>
      </c>
    </row>
    <row r="3797">
      <c r="A3797" s="17">
        <v>1001001.0</v>
      </c>
      <c r="B3797" s="17">
        <v>6642000.0</v>
      </c>
    </row>
    <row r="3798">
      <c r="A3798" s="17">
        <v>1001001.0</v>
      </c>
      <c r="B3798" s="17">
        <v>6642100.0</v>
      </c>
    </row>
    <row r="3799">
      <c r="A3799" s="17">
        <v>1001001.0</v>
      </c>
      <c r="B3799" s="17">
        <v>6643000.0</v>
      </c>
    </row>
    <row r="3800">
      <c r="A3800" s="17">
        <v>1001001.0</v>
      </c>
      <c r="B3800" s="17">
        <v>6643100.0</v>
      </c>
    </row>
    <row r="3801">
      <c r="A3801" s="17">
        <v>1001001.0</v>
      </c>
      <c r="B3801" s="17">
        <v>6644000.0</v>
      </c>
    </row>
    <row r="3802">
      <c r="A3802" s="17">
        <v>1001001.0</v>
      </c>
      <c r="B3802" s="17">
        <v>6644100.0</v>
      </c>
    </row>
    <row r="3803">
      <c r="A3803" s="17">
        <v>1001001.0</v>
      </c>
      <c r="B3803" s="17">
        <v>6645000.0</v>
      </c>
    </row>
    <row r="3804">
      <c r="A3804" s="17">
        <v>1001001.0</v>
      </c>
      <c r="B3804" s="17">
        <v>6645100.0</v>
      </c>
    </row>
    <row r="3805">
      <c r="A3805" s="17">
        <v>1001001.0</v>
      </c>
      <c r="B3805" s="17">
        <v>6646000.0</v>
      </c>
    </row>
    <row r="3806">
      <c r="A3806" s="17">
        <v>1001001.0</v>
      </c>
      <c r="B3806" s="17">
        <v>6646100.0</v>
      </c>
    </row>
    <row r="3807">
      <c r="A3807" s="17">
        <v>1001001.0</v>
      </c>
      <c r="B3807" s="17">
        <v>6647000.0</v>
      </c>
    </row>
    <row r="3808">
      <c r="A3808" s="17">
        <v>1001001.0</v>
      </c>
      <c r="B3808" s="17">
        <v>6647100.0</v>
      </c>
    </row>
    <row r="3809">
      <c r="A3809" s="17">
        <v>1001002.0</v>
      </c>
      <c r="B3809" s="17">
        <v>7000000.0</v>
      </c>
    </row>
    <row r="3810">
      <c r="A3810" s="17">
        <v>1001002.0</v>
      </c>
      <c r="B3810" s="17">
        <v>7000001.0</v>
      </c>
    </row>
    <row r="3811">
      <c r="A3811" s="17">
        <v>1001002.0</v>
      </c>
      <c r="B3811" s="17">
        <v>7000002.0</v>
      </c>
    </row>
    <row r="3812">
      <c r="A3812" s="17">
        <v>1001002.0</v>
      </c>
      <c r="B3812" s="17">
        <v>7000100.0</v>
      </c>
    </row>
    <row r="3813">
      <c r="A3813" s="17">
        <v>1001002.0</v>
      </c>
      <c r="B3813" s="17">
        <v>7000101.0</v>
      </c>
    </row>
    <row r="3814">
      <c r="A3814" s="17">
        <v>1001002.0</v>
      </c>
      <c r="B3814" s="17">
        <v>7000102.0</v>
      </c>
    </row>
    <row r="3815">
      <c r="A3815" s="17">
        <v>1001002.0</v>
      </c>
      <c r="B3815" s="17">
        <v>7000200.0</v>
      </c>
    </row>
    <row r="3816">
      <c r="A3816" s="17">
        <v>1001002.0</v>
      </c>
      <c r="B3816" s="17">
        <v>7000201.0</v>
      </c>
    </row>
    <row r="3817">
      <c r="A3817" s="17">
        <v>1001002.0</v>
      </c>
      <c r="B3817" s="17">
        <v>7000202.0</v>
      </c>
    </row>
    <row r="3818">
      <c r="A3818" s="17">
        <v>1001002.0</v>
      </c>
      <c r="B3818" s="17">
        <v>7000300.0</v>
      </c>
    </row>
    <row r="3819">
      <c r="A3819" s="17">
        <v>1001002.0</v>
      </c>
      <c r="B3819" s="17">
        <v>7000301.0</v>
      </c>
    </row>
    <row r="3820">
      <c r="A3820" s="17">
        <v>1001002.0</v>
      </c>
      <c r="B3820" s="17">
        <v>7000302.0</v>
      </c>
    </row>
    <row r="3821">
      <c r="A3821" s="17">
        <v>1001002.0</v>
      </c>
      <c r="B3821" s="17">
        <v>7000400.0</v>
      </c>
    </row>
    <row r="3822">
      <c r="A3822" s="17">
        <v>1001002.0</v>
      </c>
      <c r="B3822" s="17">
        <v>7000401.0</v>
      </c>
    </row>
    <row r="3823">
      <c r="A3823" s="17">
        <v>1001002.0</v>
      </c>
      <c r="B3823" s="17">
        <v>7000402.0</v>
      </c>
    </row>
    <row r="3824">
      <c r="A3824" s="17">
        <v>1001002.0</v>
      </c>
      <c r="B3824" s="17">
        <v>7000500.0</v>
      </c>
    </row>
    <row r="3825">
      <c r="A3825" s="17">
        <v>1001002.0</v>
      </c>
      <c r="B3825" s="17">
        <v>7000501.0</v>
      </c>
    </row>
    <row r="3826">
      <c r="A3826" s="17">
        <v>1001002.0</v>
      </c>
      <c r="B3826" s="17">
        <v>7000502.0</v>
      </c>
    </row>
    <row r="3827">
      <c r="A3827" s="17">
        <v>1001002.0</v>
      </c>
      <c r="B3827" s="17">
        <v>7000600.0</v>
      </c>
    </row>
    <row r="3828">
      <c r="A3828" s="17">
        <v>1001002.0</v>
      </c>
      <c r="B3828" s="17">
        <v>7000601.0</v>
      </c>
    </row>
    <row r="3829">
      <c r="A3829" s="17">
        <v>1001002.0</v>
      </c>
      <c r="B3829" s="17">
        <v>7000602.0</v>
      </c>
    </row>
    <row r="3830">
      <c r="A3830" s="17">
        <v>1001002.0</v>
      </c>
      <c r="B3830" s="17">
        <v>7000700.0</v>
      </c>
    </row>
    <row r="3831">
      <c r="A3831" s="17">
        <v>1001002.0</v>
      </c>
      <c r="B3831" s="17">
        <v>7000701.0</v>
      </c>
    </row>
    <row r="3832">
      <c r="A3832" s="17">
        <v>1001002.0</v>
      </c>
      <c r="B3832" s="17">
        <v>7000702.0</v>
      </c>
    </row>
    <row r="3833">
      <c r="A3833" s="17">
        <v>1001002.0</v>
      </c>
      <c r="B3833" s="17">
        <v>7000800.0</v>
      </c>
    </row>
    <row r="3834">
      <c r="A3834" s="17">
        <v>1001002.0</v>
      </c>
      <c r="B3834" s="17">
        <v>7000801.0</v>
      </c>
    </row>
    <row r="3835">
      <c r="A3835" s="17">
        <v>1001002.0</v>
      </c>
      <c r="B3835" s="17">
        <v>7000802.0</v>
      </c>
    </row>
    <row r="3836">
      <c r="A3836" s="17">
        <v>1001002.0</v>
      </c>
      <c r="B3836" s="17">
        <v>7000900.0</v>
      </c>
    </row>
    <row r="3837">
      <c r="A3837" s="17">
        <v>1001002.0</v>
      </c>
      <c r="B3837" s="17">
        <v>7000901.0</v>
      </c>
    </row>
    <row r="3838">
      <c r="A3838" s="17">
        <v>1001002.0</v>
      </c>
      <c r="B3838" s="17">
        <v>7000902.0</v>
      </c>
    </row>
    <row r="3839">
      <c r="A3839" s="17">
        <v>1001002.0</v>
      </c>
      <c r="B3839" s="17">
        <v>7001000.0</v>
      </c>
    </row>
    <row r="3840">
      <c r="A3840" s="17">
        <v>1001002.0</v>
      </c>
      <c r="B3840" s="17">
        <v>7001001.0</v>
      </c>
    </row>
    <row r="3841">
      <c r="A3841" s="17">
        <v>1001002.0</v>
      </c>
      <c r="B3841" s="17">
        <v>7001002.0</v>
      </c>
    </row>
    <row r="3842">
      <c r="A3842" s="17">
        <v>1001002.0</v>
      </c>
      <c r="B3842" s="17">
        <v>7001400.0</v>
      </c>
    </row>
    <row r="3843">
      <c r="A3843" s="17">
        <v>1001002.0</v>
      </c>
      <c r="B3843" s="17">
        <v>7001401.0</v>
      </c>
    </row>
    <row r="3844">
      <c r="A3844" s="17">
        <v>1001002.0</v>
      </c>
      <c r="B3844" s="17">
        <v>7001402.0</v>
      </c>
    </row>
    <row r="3845">
      <c r="A3845" s="17">
        <v>1001002.0</v>
      </c>
      <c r="B3845" s="17">
        <v>7001500.0</v>
      </c>
    </row>
    <row r="3846">
      <c r="A3846" s="17">
        <v>1001002.0</v>
      </c>
      <c r="B3846" s="17">
        <v>7001501.0</v>
      </c>
    </row>
    <row r="3847">
      <c r="A3847" s="17">
        <v>1001002.0</v>
      </c>
      <c r="B3847" s="17">
        <v>7001502.0</v>
      </c>
    </row>
    <row r="3848">
      <c r="A3848" s="17">
        <v>1001002.0</v>
      </c>
      <c r="B3848" s="17">
        <v>7001600.0</v>
      </c>
    </row>
    <row r="3849">
      <c r="A3849" s="17">
        <v>1001002.0</v>
      </c>
      <c r="B3849" s="17">
        <v>7001601.0</v>
      </c>
    </row>
    <row r="3850">
      <c r="A3850" s="17">
        <v>1001002.0</v>
      </c>
      <c r="B3850" s="17">
        <v>7001602.0</v>
      </c>
    </row>
    <row r="3851">
      <c r="A3851" s="17">
        <v>1001002.0</v>
      </c>
      <c r="B3851" s="17">
        <v>7001700.0</v>
      </c>
    </row>
    <row r="3852">
      <c r="A3852" s="17">
        <v>1001002.0</v>
      </c>
      <c r="B3852" s="17">
        <v>7001701.0</v>
      </c>
    </row>
    <row r="3853">
      <c r="A3853" s="17">
        <v>1001002.0</v>
      </c>
      <c r="B3853" s="17">
        <v>7001702.0</v>
      </c>
    </row>
    <row r="3854">
      <c r="A3854" s="17">
        <v>1001002.0</v>
      </c>
      <c r="B3854" s="17">
        <v>7001800.0</v>
      </c>
    </row>
    <row r="3855">
      <c r="A3855" s="17">
        <v>1001002.0</v>
      </c>
      <c r="B3855" s="17">
        <v>7001801.0</v>
      </c>
    </row>
    <row r="3856">
      <c r="A3856" s="17">
        <v>1001002.0</v>
      </c>
      <c r="B3856" s="17">
        <v>7001802.0</v>
      </c>
    </row>
    <row r="3857">
      <c r="A3857" s="17">
        <v>1001002.0</v>
      </c>
      <c r="B3857" s="17">
        <v>7002600.0</v>
      </c>
    </row>
    <row r="3858">
      <c r="A3858" s="17">
        <v>1001002.0</v>
      </c>
      <c r="B3858" s="17">
        <v>7002700.0</v>
      </c>
    </row>
    <row r="3859">
      <c r="A3859" s="17">
        <v>1001002.0</v>
      </c>
      <c r="B3859" s="17">
        <v>7002800.0</v>
      </c>
    </row>
    <row r="3860">
      <c r="A3860" s="17">
        <v>1001002.0</v>
      </c>
      <c r="B3860" s="17">
        <v>7002900.0</v>
      </c>
    </row>
    <row r="3861">
      <c r="A3861" s="17">
        <v>1001002.0</v>
      </c>
      <c r="B3861" s="17">
        <v>7003000.0</v>
      </c>
    </row>
    <row r="3862">
      <c r="A3862" s="17">
        <v>1001002.0</v>
      </c>
      <c r="B3862" s="17">
        <v>7003100.0</v>
      </c>
    </row>
    <row r="3863">
      <c r="A3863" s="17">
        <v>1001002.0</v>
      </c>
      <c r="B3863" s="17">
        <v>7003200.0</v>
      </c>
    </row>
    <row r="3864">
      <c r="A3864" s="17">
        <v>1001002.0</v>
      </c>
      <c r="B3864" s="17">
        <v>7003300.0</v>
      </c>
    </row>
    <row r="3865">
      <c r="A3865" s="17">
        <v>1001002.0</v>
      </c>
      <c r="B3865" s="17">
        <v>7003400.0</v>
      </c>
    </row>
    <row r="3866">
      <c r="A3866" s="17">
        <v>1001002.0</v>
      </c>
      <c r="B3866" s="17">
        <v>7003500.0</v>
      </c>
    </row>
    <row r="3867">
      <c r="A3867" s="17">
        <v>1001002.0</v>
      </c>
      <c r="B3867" s="17">
        <v>7003600.0</v>
      </c>
    </row>
    <row r="3868">
      <c r="A3868" s="17">
        <v>1001002.0</v>
      </c>
      <c r="B3868" s="17">
        <v>7005600.0</v>
      </c>
    </row>
    <row r="3869">
      <c r="A3869" s="17">
        <v>1001002.0</v>
      </c>
      <c r="B3869" s="17">
        <v>7006000.0</v>
      </c>
    </row>
    <row r="3870">
      <c r="A3870" s="17">
        <v>1001002.0</v>
      </c>
      <c r="B3870" s="17">
        <v>7006100.0</v>
      </c>
    </row>
    <row r="3871">
      <c r="A3871" s="17">
        <v>1001002.0</v>
      </c>
      <c r="B3871" s="17">
        <v>7010200.0</v>
      </c>
    </row>
    <row r="3872">
      <c r="A3872" s="17">
        <v>1001002.0</v>
      </c>
      <c r="B3872" s="17">
        <v>7010500.0</v>
      </c>
    </row>
    <row r="3873">
      <c r="A3873" s="17">
        <v>1001002.0</v>
      </c>
      <c r="B3873" s="17">
        <v>7010700.0</v>
      </c>
    </row>
    <row r="3874">
      <c r="A3874" s="17">
        <v>1001002.0</v>
      </c>
      <c r="B3874" s="17">
        <v>7010900.0</v>
      </c>
    </row>
    <row r="3875">
      <c r="A3875" s="17">
        <v>1001002.0</v>
      </c>
      <c r="B3875" s="17">
        <v>7011000.0</v>
      </c>
    </row>
    <row r="3876">
      <c r="A3876" s="17">
        <v>1001002.0</v>
      </c>
      <c r="B3876" s="17">
        <v>7011200.0</v>
      </c>
    </row>
    <row r="3877">
      <c r="A3877" s="17">
        <v>1001002.0</v>
      </c>
      <c r="B3877" s="17">
        <v>7011600.0</v>
      </c>
    </row>
    <row r="3878">
      <c r="A3878" s="17">
        <v>1001002.0</v>
      </c>
      <c r="B3878" s="17">
        <v>7011700.0</v>
      </c>
    </row>
    <row r="3879">
      <c r="A3879" s="17">
        <v>1001002.0</v>
      </c>
      <c r="B3879" s="17">
        <v>7012000.0</v>
      </c>
    </row>
    <row r="3880">
      <c r="A3880" s="17">
        <v>1001002.0</v>
      </c>
      <c r="B3880" s="17">
        <v>7012200.0</v>
      </c>
    </row>
    <row r="3881">
      <c r="A3881" s="17">
        <v>1001002.0</v>
      </c>
      <c r="B3881" s="17">
        <v>7012300.0</v>
      </c>
    </row>
    <row r="3882">
      <c r="A3882" s="17">
        <v>1001002.0</v>
      </c>
      <c r="B3882" s="17">
        <v>7020000.0</v>
      </c>
    </row>
    <row r="3883">
      <c r="A3883" s="17">
        <v>1001002.0</v>
      </c>
      <c r="B3883" s="17">
        <v>7030000.0</v>
      </c>
    </row>
    <row r="3884">
      <c r="A3884" s="17">
        <v>1001002.0</v>
      </c>
      <c r="B3884" s="17">
        <v>7030200.0</v>
      </c>
    </row>
    <row r="3885">
      <c r="A3885" s="17">
        <v>1001002.0</v>
      </c>
      <c r="B3885" s="17">
        <v>7030600.0</v>
      </c>
    </row>
    <row r="3886">
      <c r="A3886" s="17">
        <v>1001002.0</v>
      </c>
      <c r="B3886" s="17">
        <v>7030700.0</v>
      </c>
    </row>
    <row r="3887">
      <c r="A3887" s="17">
        <v>1001002.0</v>
      </c>
      <c r="B3887" s="17">
        <v>7030800.0</v>
      </c>
    </row>
    <row r="3888">
      <c r="A3888" s="17">
        <v>1001002.0</v>
      </c>
      <c r="B3888" s="17">
        <v>7030900.0</v>
      </c>
    </row>
    <row r="3889">
      <c r="A3889" s="17">
        <v>1001002.0</v>
      </c>
      <c r="B3889" s="17">
        <v>7031200.0</v>
      </c>
    </row>
    <row r="3890">
      <c r="A3890" s="17">
        <v>1001002.0</v>
      </c>
      <c r="B3890" s="17">
        <v>7031300.0</v>
      </c>
    </row>
    <row r="3891">
      <c r="A3891" s="17">
        <v>1001002.0</v>
      </c>
      <c r="B3891" s="17">
        <v>7031800.0</v>
      </c>
    </row>
    <row r="3892">
      <c r="A3892" s="17">
        <v>1001002.0</v>
      </c>
      <c r="B3892" s="17">
        <v>7031900.0</v>
      </c>
    </row>
    <row r="3893">
      <c r="A3893" s="17">
        <v>1001002.0</v>
      </c>
      <c r="B3893" s="17">
        <v>7032200.0</v>
      </c>
    </row>
    <row r="3894">
      <c r="A3894" s="17">
        <v>1001002.0</v>
      </c>
      <c r="B3894" s="17">
        <v>7032400.0</v>
      </c>
    </row>
    <row r="3895">
      <c r="A3895" s="17">
        <v>1001002.0</v>
      </c>
      <c r="B3895" s="17">
        <v>7032700.0</v>
      </c>
    </row>
    <row r="3896">
      <c r="A3896" s="17">
        <v>1001002.0</v>
      </c>
      <c r="B3896" s="17">
        <v>7032800.0</v>
      </c>
    </row>
    <row r="3897">
      <c r="A3897" s="17">
        <v>1001002.0</v>
      </c>
      <c r="B3897" s="17">
        <v>7032900.0</v>
      </c>
    </row>
    <row r="3898">
      <c r="A3898" s="17">
        <v>1001002.0</v>
      </c>
      <c r="B3898" s="17">
        <v>7033200.0</v>
      </c>
    </row>
    <row r="3899">
      <c r="A3899" s="17">
        <v>1001002.0</v>
      </c>
      <c r="B3899" s="17">
        <v>7033400.0</v>
      </c>
    </row>
    <row r="3900">
      <c r="A3900" s="17">
        <v>1001002.0</v>
      </c>
      <c r="B3900" s="17">
        <v>7034100.0</v>
      </c>
    </row>
    <row r="3901">
      <c r="A3901" s="17">
        <v>1001002.0</v>
      </c>
      <c r="B3901" s="17">
        <v>7034400.0</v>
      </c>
    </row>
    <row r="3902">
      <c r="A3902" s="17">
        <v>1001002.0</v>
      </c>
      <c r="B3902" s="17">
        <v>7034500.0</v>
      </c>
    </row>
    <row r="3903">
      <c r="A3903" s="17">
        <v>1001002.0</v>
      </c>
      <c r="B3903" s="17">
        <v>7034600.0</v>
      </c>
    </row>
    <row r="3904">
      <c r="A3904" s="17">
        <v>1001002.0</v>
      </c>
      <c r="B3904" s="17">
        <v>7034700.0</v>
      </c>
    </row>
    <row r="3905">
      <c r="A3905" s="17">
        <v>1001002.0</v>
      </c>
      <c r="B3905" s="17">
        <v>7035100.0</v>
      </c>
    </row>
    <row r="3906">
      <c r="A3906" s="17">
        <v>1001002.0</v>
      </c>
      <c r="B3906" s="17">
        <v>7036100.0</v>
      </c>
    </row>
    <row r="3907">
      <c r="A3907" s="17">
        <v>1001002.0</v>
      </c>
      <c r="B3907" s="17">
        <v>7040000.0</v>
      </c>
    </row>
    <row r="3908">
      <c r="A3908" s="17">
        <v>1001002.0</v>
      </c>
      <c r="B3908" s="17">
        <v>7040100.0</v>
      </c>
    </row>
    <row r="3909">
      <c r="A3909" s="17">
        <v>1001002.0</v>
      </c>
      <c r="B3909" s="17">
        <v>7040200.0</v>
      </c>
    </row>
    <row r="3910">
      <c r="A3910" s="17">
        <v>1001002.0</v>
      </c>
      <c r="B3910" s="17">
        <v>7040300.0</v>
      </c>
    </row>
    <row r="3911">
      <c r="A3911" s="17">
        <v>1001002.0</v>
      </c>
      <c r="B3911" s="17">
        <v>7040400.0</v>
      </c>
    </row>
    <row r="3912">
      <c r="A3912" s="17">
        <v>1001002.0</v>
      </c>
      <c r="B3912" s="17">
        <v>7040500.0</v>
      </c>
    </row>
    <row r="3913">
      <c r="A3913" s="17">
        <v>1001002.0</v>
      </c>
      <c r="B3913" s="17">
        <v>7043000.0</v>
      </c>
    </row>
    <row r="3914">
      <c r="A3914" s="17">
        <v>1001002.0</v>
      </c>
      <c r="B3914" s="17">
        <v>7043100.0</v>
      </c>
    </row>
    <row r="3915">
      <c r="A3915" s="17">
        <v>1001002.0</v>
      </c>
      <c r="B3915" s="17">
        <v>7043200.0</v>
      </c>
    </row>
    <row r="3916">
      <c r="A3916" s="17">
        <v>1001002.0</v>
      </c>
      <c r="B3916" s="17">
        <v>7043300.0</v>
      </c>
    </row>
    <row r="3917">
      <c r="A3917" s="17">
        <v>1001002.0</v>
      </c>
      <c r="B3917" s="17">
        <v>7043400.0</v>
      </c>
    </row>
    <row r="3918">
      <c r="A3918" s="17">
        <v>1001002.0</v>
      </c>
      <c r="B3918" s="17">
        <v>7043500.0</v>
      </c>
    </row>
    <row r="3919">
      <c r="A3919" s="17">
        <v>1001002.0</v>
      </c>
      <c r="B3919" s="17">
        <v>7043600.0</v>
      </c>
    </row>
    <row r="3920">
      <c r="A3920" s="17">
        <v>1001002.0</v>
      </c>
      <c r="B3920" s="17">
        <v>7043700.0</v>
      </c>
    </row>
    <row r="3921">
      <c r="A3921" s="17">
        <v>1001002.0</v>
      </c>
      <c r="B3921" s="17">
        <v>7043800.0</v>
      </c>
    </row>
    <row r="3922">
      <c r="A3922" s="17">
        <v>1001002.0</v>
      </c>
      <c r="B3922" s="17">
        <v>7044000.0</v>
      </c>
    </row>
    <row r="3923">
      <c r="A3923" s="17">
        <v>1001002.0</v>
      </c>
      <c r="B3923" s="17">
        <v>7044100.0</v>
      </c>
    </row>
    <row r="3924">
      <c r="A3924" s="17">
        <v>1001002.0</v>
      </c>
      <c r="B3924" s="17">
        <v>7044200.0</v>
      </c>
    </row>
    <row r="3925">
      <c r="A3925" s="17">
        <v>1001002.0</v>
      </c>
      <c r="B3925" s="17">
        <v>7044300.0</v>
      </c>
    </row>
    <row r="3926">
      <c r="A3926" s="17">
        <v>1001002.0</v>
      </c>
      <c r="B3926" s="17">
        <v>7044400.0</v>
      </c>
    </row>
    <row r="3927">
      <c r="A3927" s="17">
        <v>1001002.0</v>
      </c>
      <c r="B3927" s="17">
        <v>7044500.0</v>
      </c>
    </row>
    <row r="3928">
      <c r="A3928" s="17">
        <v>1001002.0</v>
      </c>
      <c r="B3928" s="17">
        <v>7044600.0</v>
      </c>
    </row>
    <row r="3929">
      <c r="A3929" s="17">
        <v>1001002.0</v>
      </c>
      <c r="B3929" s="17">
        <v>7050000.0</v>
      </c>
    </row>
    <row r="3930">
      <c r="A3930" s="17">
        <v>1001002.0</v>
      </c>
      <c r="B3930" s="17">
        <v>7050100.0</v>
      </c>
    </row>
    <row r="3931">
      <c r="A3931" s="17">
        <v>1001002.0</v>
      </c>
      <c r="B3931" s="17">
        <v>7060000.0</v>
      </c>
    </row>
    <row r="3932">
      <c r="A3932" s="17">
        <v>1001002.0</v>
      </c>
      <c r="B3932" s="17">
        <v>7060100.0</v>
      </c>
    </row>
    <row r="3933">
      <c r="A3933" s="17">
        <v>1001002.0</v>
      </c>
      <c r="B3933" s="17">
        <v>7060200.0</v>
      </c>
    </row>
    <row r="3934">
      <c r="A3934" s="17">
        <v>1001002.0</v>
      </c>
      <c r="B3934" s="17">
        <v>7070000.0</v>
      </c>
    </row>
    <row r="3935">
      <c r="A3935" s="17">
        <v>1001002.0</v>
      </c>
      <c r="B3935" s="17">
        <v>7080000.0</v>
      </c>
    </row>
    <row r="3936">
      <c r="A3936" s="17">
        <v>1001002.0</v>
      </c>
      <c r="B3936" s="17">
        <v>7080100.0</v>
      </c>
    </row>
    <row r="3937">
      <c r="A3937" s="17">
        <v>1001002.0</v>
      </c>
      <c r="B3937" s="17">
        <v>7080200.0</v>
      </c>
    </row>
    <row r="3938">
      <c r="A3938" s="17">
        <v>1001002.0</v>
      </c>
      <c r="B3938" s="17">
        <v>7080300.0</v>
      </c>
    </row>
    <row r="3939">
      <c r="A3939" s="17">
        <v>1001002.0</v>
      </c>
      <c r="B3939" s="17">
        <v>7080400.0</v>
      </c>
    </row>
    <row r="3940">
      <c r="A3940" s="17">
        <v>1001002.0</v>
      </c>
      <c r="B3940" s="17">
        <v>7080500.0</v>
      </c>
    </row>
    <row r="3941">
      <c r="A3941" s="17">
        <v>1001002.0</v>
      </c>
      <c r="B3941" s="17">
        <v>7080600.0</v>
      </c>
    </row>
    <row r="3942">
      <c r="A3942" s="17">
        <v>1001002.0</v>
      </c>
      <c r="B3942" s="17">
        <v>7080700.0</v>
      </c>
    </row>
    <row r="3943">
      <c r="A3943" s="17">
        <v>1001002.0</v>
      </c>
      <c r="B3943" s="17">
        <v>7080800.0</v>
      </c>
    </row>
    <row r="3944">
      <c r="A3944" s="17">
        <v>1001002.0</v>
      </c>
      <c r="B3944" s="17">
        <v>7080900.0</v>
      </c>
    </row>
    <row r="3945">
      <c r="A3945" s="17">
        <v>1001002.0</v>
      </c>
      <c r="B3945" s="17">
        <v>7081000.0</v>
      </c>
    </row>
    <row r="3946">
      <c r="A3946" s="17">
        <v>1001002.0</v>
      </c>
      <c r="B3946" s="17">
        <v>7081100.0</v>
      </c>
    </row>
    <row r="3947">
      <c r="A3947" s="17">
        <v>1001002.0</v>
      </c>
      <c r="B3947" s="17">
        <v>7081200.0</v>
      </c>
    </row>
    <row r="3948">
      <c r="A3948" s="17">
        <v>1001002.0</v>
      </c>
      <c r="B3948" s="17">
        <v>7081300.0</v>
      </c>
    </row>
    <row r="3949">
      <c r="A3949" s="17">
        <v>1001002.0</v>
      </c>
      <c r="B3949" s="17">
        <v>7081400.0</v>
      </c>
    </row>
    <row r="3950">
      <c r="A3950" s="17">
        <v>1001002.0</v>
      </c>
      <c r="B3950" s="17">
        <v>7081500.0</v>
      </c>
    </row>
    <row r="3951">
      <c r="A3951" s="17">
        <v>1001002.0</v>
      </c>
      <c r="B3951" s="17">
        <v>7081700.0</v>
      </c>
    </row>
    <row r="3952">
      <c r="A3952" s="17">
        <v>1001002.0</v>
      </c>
      <c r="B3952" s="17">
        <v>7081800.0</v>
      </c>
    </row>
    <row r="3953">
      <c r="A3953" s="17">
        <v>1001002.0</v>
      </c>
      <c r="B3953" s="17">
        <v>7081900.0</v>
      </c>
    </row>
    <row r="3954">
      <c r="A3954" s="17">
        <v>1001002.0</v>
      </c>
      <c r="B3954" s="17">
        <v>7082000.0</v>
      </c>
    </row>
    <row r="3955">
      <c r="A3955" s="17">
        <v>1001002.0</v>
      </c>
      <c r="B3955" s="17">
        <v>7082100.0</v>
      </c>
    </row>
    <row r="3956">
      <c r="A3956" s="17">
        <v>1001002.0</v>
      </c>
      <c r="B3956" s="17">
        <v>7082200.0</v>
      </c>
    </row>
    <row r="3957">
      <c r="A3957" s="17">
        <v>1001002.0</v>
      </c>
      <c r="B3957" s="17">
        <v>7082300.0</v>
      </c>
    </row>
    <row r="3958">
      <c r="A3958" s="17">
        <v>1001002.0</v>
      </c>
      <c r="B3958" s="17">
        <v>7082400.0</v>
      </c>
    </row>
    <row r="3959">
      <c r="A3959" s="17">
        <v>1001002.0</v>
      </c>
      <c r="B3959" s="17">
        <v>7082500.0</v>
      </c>
    </row>
    <row r="3960">
      <c r="A3960" s="17">
        <v>1001002.0</v>
      </c>
      <c r="B3960" s="17">
        <v>7082600.0</v>
      </c>
    </row>
    <row r="3961">
      <c r="A3961" s="17">
        <v>1001002.0</v>
      </c>
      <c r="B3961" s="17">
        <v>7082700.0</v>
      </c>
    </row>
    <row r="3962">
      <c r="A3962" s="17">
        <v>1001002.0</v>
      </c>
      <c r="B3962" s="17">
        <v>7082800.0</v>
      </c>
    </row>
    <row r="3963">
      <c r="A3963" s="17">
        <v>1001002.0</v>
      </c>
      <c r="B3963" s="17">
        <v>7082900.0</v>
      </c>
    </row>
    <row r="3964">
      <c r="A3964" s="17">
        <v>1001002.0</v>
      </c>
      <c r="B3964" s="17">
        <v>7090000.0</v>
      </c>
    </row>
    <row r="3965">
      <c r="A3965" s="17">
        <v>1001002.0</v>
      </c>
      <c r="B3965" s="17">
        <v>7090100.0</v>
      </c>
    </row>
    <row r="3966">
      <c r="A3966" s="17">
        <v>1001002.0</v>
      </c>
      <c r="B3966" s="17">
        <v>7090300.0</v>
      </c>
    </row>
    <row r="3967">
      <c r="A3967" s="17">
        <v>1001002.0</v>
      </c>
      <c r="B3967" s="17">
        <v>7100100.0</v>
      </c>
    </row>
    <row r="3968">
      <c r="A3968" s="17">
        <v>1001002.0</v>
      </c>
      <c r="B3968" s="17">
        <v>7110000.0</v>
      </c>
    </row>
    <row r="3969">
      <c r="A3969" s="17">
        <v>1001002.0</v>
      </c>
      <c r="B3969" s="17">
        <v>7120000.0</v>
      </c>
    </row>
    <row r="3970">
      <c r="A3970" s="17">
        <v>1001002.0</v>
      </c>
      <c r="B3970" s="17">
        <v>7120100.0</v>
      </c>
    </row>
    <row r="3971">
      <c r="A3971" s="17">
        <v>1001002.0</v>
      </c>
      <c r="B3971" s="17">
        <v>7120200.0</v>
      </c>
    </row>
    <row r="3972">
      <c r="A3972" s="17">
        <v>1001002.0</v>
      </c>
      <c r="B3972" s="17">
        <v>7120300.0</v>
      </c>
    </row>
    <row r="3973">
      <c r="A3973" s="17">
        <v>1001002.0</v>
      </c>
      <c r="B3973" s="17">
        <v>7120400.0</v>
      </c>
    </row>
    <row r="3974">
      <c r="A3974" s="17">
        <v>1001002.0</v>
      </c>
      <c r="B3974" s="17">
        <v>7120500.0</v>
      </c>
    </row>
    <row r="3975">
      <c r="A3975" s="17">
        <v>1001002.0</v>
      </c>
      <c r="B3975" s="17">
        <v>7120600.0</v>
      </c>
    </row>
    <row r="3976">
      <c r="A3976" s="17">
        <v>1001002.0</v>
      </c>
      <c r="B3976" s="17">
        <v>7120900.0</v>
      </c>
    </row>
    <row r="3977">
      <c r="A3977" s="17">
        <v>1001002.0</v>
      </c>
      <c r="B3977" s="17">
        <v>7121000.0</v>
      </c>
    </row>
    <row r="3978">
      <c r="A3978" s="17">
        <v>1001002.0</v>
      </c>
      <c r="B3978" s="17">
        <v>7121100.0</v>
      </c>
    </row>
    <row r="3979">
      <c r="A3979" s="17">
        <v>1001002.0</v>
      </c>
      <c r="B3979" s="17">
        <v>7121200.0</v>
      </c>
    </row>
    <row r="3980">
      <c r="A3980" s="17">
        <v>1001002.0</v>
      </c>
      <c r="B3980" s="17">
        <v>7121300.0</v>
      </c>
    </row>
    <row r="3981">
      <c r="A3981" s="17">
        <v>1001002.0</v>
      </c>
      <c r="B3981" s="17">
        <v>7121400.0</v>
      </c>
    </row>
    <row r="3982">
      <c r="A3982" s="17">
        <v>1001002.0</v>
      </c>
      <c r="B3982" s="17">
        <v>7121500.0</v>
      </c>
    </row>
    <row r="3983">
      <c r="A3983" s="17">
        <v>1001002.0</v>
      </c>
      <c r="B3983" s="17">
        <v>7121600.0</v>
      </c>
    </row>
    <row r="3984">
      <c r="A3984" s="17">
        <v>1001002.0</v>
      </c>
      <c r="B3984" s="17">
        <v>7121700.0</v>
      </c>
    </row>
    <row r="3985">
      <c r="A3985" s="17">
        <v>1001002.0</v>
      </c>
      <c r="B3985" s="17">
        <v>7121800.0</v>
      </c>
    </row>
    <row r="3986">
      <c r="A3986" s="17">
        <v>1001002.0</v>
      </c>
      <c r="B3986" s="17">
        <v>7121900.0</v>
      </c>
    </row>
    <row r="3987">
      <c r="A3987" s="17">
        <v>1001002.0</v>
      </c>
      <c r="B3987" s="17">
        <v>7122000.0</v>
      </c>
    </row>
    <row r="3988">
      <c r="A3988" s="17">
        <v>1001002.0</v>
      </c>
      <c r="B3988" s="17">
        <v>7122100.0</v>
      </c>
    </row>
    <row r="3989">
      <c r="A3989" s="17">
        <v>1001002.0</v>
      </c>
      <c r="B3989" s="17">
        <v>7122200.0</v>
      </c>
    </row>
    <row r="3990">
      <c r="A3990" s="17">
        <v>1001002.0</v>
      </c>
      <c r="B3990" s="17">
        <v>7122300.0</v>
      </c>
    </row>
    <row r="3991">
      <c r="A3991" s="17">
        <v>1001002.0</v>
      </c>
      <c r="B3991" s="17">
        <v>7122400.0</v>
      </c>
    </row>
    <row r="3992">
      <c r="A3992" s="17">
        <v>1001002.0</v>
      </c>
      <c r="B3992" s="17">
        <v>7122500.0</v>
      </c>
    </row>
    <row r="3993">
      <c r="A3993" s="17">
        <v>1001002.0</v>
      </c>
      <c r="B3993" s="17">
        <v>7122600.0</v>
      </c>
    </row>
    <row r="3994">
      <c r="A3994" s="17">
        <v>1001002.0</v>
      </c>
      <c r="B3994" s="17">
        <v>7122700.0</v>
      </c>
    </row>
    <row r="3995">
      <c r="A3995" s="17">
        <v>1001002.0</v>
      </c>
      <c r="B3995" s="17">
        <v>7122800.0</v>
      </c>
    </row>
    <row r="3996">
      <c r="A3996" s="17">
        <v>1001002.0</v>
      </c>
      <c r="B3996" s="17">
        <v>7122900.0</v>
      </c>
    </row>
    <row r="3997">
      <c r="A3997" s="17">
        <v>1001002.0</v>
      </c>
      <c r="B3997" s="17">
        <v>7123000.0</v>
      </c>
    </row>
    <row r="3998">
      <c r="A3998" s="17">
        <v>1001002.0</v>
      </c>
      <c r="B3998" s="17">
        <v>7123100.0</v>
      </c>
    </row>
    <row r="3999">
      <c r="A3999" s="17">
        <v>1001002.0</v>
      </c>
      <c r="B3999" s="17">
        <v>7123200.0</v>
      </c>
    </row>
    <row r="4000">
      <c r="A4000" s="17">
        <v>1001002.0</v>
      </c>
      <c r="B4000" s="17">
        <v>7123300.0</v>
      </c>
    </row>
    <row r="4001">
      <c r="A4001" s="17">
        <v>1001002.0</v>
      </c>
      <c r="B4001" s="17">
        <v>7123400.0</v>
      </c>
    </row>
    <row r="4002">
      <c r="A4002" s="17">
        <v>1001002.0</v>
      </c>
      <c r="B4002" s="17">
        <v>7123500.0</v>
      </c>
    </row>
    <row r="4003">
      <c r="A4003" s="17">
        <v>1001002.0</v>
      </c>
      <c r="B4003" s="17">
        <v>7123600.0</v>
      </c>
    </row>
    <row r="4004">
      <c r="A4004" s="17">
        <v>1001002.0</v>
      </c>
      <c r="B4004" s="17">
        <v>7123700.0</v>
      </c>
    </row>
    <row r="4005">
      <c r="A4005" s="17">
        <v>1001002.0</v>
      </c>
      <c r="B4005" s="17">
        <v>7123800.0</v>
      </c>
    </row>
    <row r="4006">
      <c r="A4006" s="17">
        <v>1001002.0</v>
      </c>
      <c r="B4006" s="17">
        <v>7123900.0</v>
      </c>
    </row>
    <row r="4007">
      <c r="A4007" s="17">
        <v>1001002.0</v>
      </c>
      <c r="B4007" s="17">
        <v>7124000.0</v>
      </c>
    </row>
    <row r="4008">
      <c r="A4008" s="17">
        <v>1001002.0</v>
      </c>
      <c r="B4008" s="17">
        <v>7124100.0</v>
      </c>
    </row>
    <row r="4009">
      <c r="A4009" s="17">
        <v>1001002.0</v>
      </c>
      <c r="B4009" s="17">
        <v>7124300.0</v>
      </c>
    </row>
    <row r="4010">
      <c r="A4010" s="17">
        <v>1001002.0</v>
      </c>
      <c r="B4010" s="17">
        <v>7124400.0</v>
      </c>
    </row>
    <row r="4011">
      <c r="A4011" s="17">
        <v>1001002.0</v>
      </c>
      <c r="B4011" s="17">
        <v>7124500.0</v>
      </c>
    </row>
    <row r="4012">
      <c r="A4012" s="17">
        <v>1001002.0</v>
      </c>
      <c r="B4012" s="17">
        <v>7124600.0</v>
      </c>
    </row>
    <row r="4013">
      <c r="A4013" s="17">
        <v>1001002.0</v>
      </c>
      <c r="B4013" s="17">
        <v>7124700.0</v>
      </c>
    </row>
    <row r="4014">
      <c r="A4014" s="17">
        <v>1001002.0</v>
      </c>
      <c r="B4014" s="17">
        <v>7126000.0</v>
      </c>
    </row>
    <row r="4015">
      <c r="A4015" s="17">
        <v>1001002.0</v>
      </c>
      <c r="B4015" s="17">
        <v>7150000.0</v>
      </c>
    </row>
    <row r="4016">
      <c r="A4016" s="17">
        <v>1001002.0</v>
      </c>
      <c r="B4016" s="17">
        <v>7160000.0</v>
      </c>
    </row>
    <row r="4017">
      <c r="A4017" s="17">
        <v>1001002.0</v>
      </c>
      <c r="B4017" s="17">
        <v>7220000.0</v>
      </c>
    </row>
    <row r="4018">
      <c r="A4018" s="17">
        <v>1001002.0</v>
      </c>
      <c r="B4018" s="17">
        <v>7230000.0</v>
      </c>
    </row>
    <row r="4019">
      <c r="A4019" s="17">
        <v>1001002.0</v>
      </c>
      <c r="B4019" s="17">
        <v>7240000.0</v>
      </c>
    </row>
    <row r="4020">
      <c r="A4020" s="17">
        <v>1001002.0</v>
      </c>
      <c r="B4020" s="17">
        <v>7260000.0</v>
      </c>
    </row>
    <row r="4021">
      <c r="A4021" s="17">
        <v>1001002.0</v>
      </c>
      <c r="B4021" s="17">
        <v>7260300.0</v>
      </c>
    </row>
    <row r="4022">
      <c r="A4022" s="17">
        <v>1001002.0</v>
      </c>
      <c r="B4022" s="17">
        <v>7260400.0</v>
      </c>
    </row>
    <row r="4023">
      <c r="A4023" s="17">
        <v>1001002.0</v>
      </c>
      <c r="B4023" s="17">
        <v>7270100.0</v>
      </c>
    </row>
    <row r="4024">
      <c r="A4024" s="17">
        <v>1001002.0</v>
      </c>
      <c r="B4024" s="17">
        <v>7280000.0</v>
      </c>
    </row>
    <row r="4025">
      <c r="A4025" s="17">
        <v>1001002.0</v>
      </c>
      <c r="B4025" s="17">
        <v>7290000.0</v>
      </c>
    </row>
    <row r="4026">
      <c r="A4026" s="17">
        <v>1001002.0</v>
      </c>
      <c r="B4026" s="17">
        <v>7310000.0</v>
      </c>
    </row>
    <row r="4027">
      <c r="A4027" s="17">
        <v>1001002.0</v>
      </c>
      <c r="B4027" s="17">
        <v>7330000.0</v>
      </c>
    </row>
    <row r="4028">
      <c r="A4028" s="17">
        <v>1001002.0</v>
      </c>
      <c r="B4028" s="17">
        <v>7330100.0</v>
      </c>
    </row>
    <row r="4029">
      <c r="A4029" s="17">
        <v>1001002.0</v>
      </c>
      <c r="B4029" s="17">
        <v>7330200.0</v>
      </c>
    </row>
    <row r="4030">
      <c r="A4030" s="17">
        <v>1001002.0</v>
      </c>
      <c r="B4030" s="17">
        <v>7330300.0</v>
      </c>
    </row>
    <row r="4031">
      <c r="A4031" s="17">
        <v>1001002.0</v>
      </c>
      <c r="B4031" s="17">
        <v>7330400.0</v>
      </c>
    </row>
    <row r="4032">
      <c r="A4032" s="17">
        <v>1001002.0</v>
      </c>
      <c r="B4032" s="17">
        <v>7330500.0</v>
      </c>
    </row>
    <row r="4033">
      <c r="A4033" s="17">
        <v>1001002.0</v>
      </c>
      <c r="B4033" s="17">
        <v>7330600.0</v>
      </c>
    </row>
    <row r="4034">
      <c r="A4034" s="17">
        <v>1001002.0</v>
      </c>
      <c r="B4034" s="17">
        <v>7330700.0</v>
      </c>
    </row>
    <row r="4035">
      <c r="A4035" s="17">
        <v>1001002.0</v>
      </c>
      <c r="B4035" s="17">
        <v>7330800.0</v>
      </c>
    </row>
    <row r="4036">
      <c r="A4036" s="17">
        <v>1001002.0</v>
      </c>
      <c r="B4036" s="17">
        <v>7330900.0</v>
      </c>
    </row>
    <row r="4037">
      <c r="A4037" s="17">
        <v>1001002.0</v>
      </c>
      <c r="B4037" s="17">
        <v>7331000.0</v>
      </c>
    </row>
    <row r="4038">
      <c r="A4038" s="17">
        <v>1001002.0</v>
      </c>
      <c r="B4038" s="17">
        <v>7331100.0</v>
      </c>
    </row>
    <row r="4039">
      <c r="A4039" s="17">
        <v>1001002.0</v>
      </c>
      <c r="B4039" s="17">
        <v>7331200.0</v>
      </c>
    </row>
    <row r="4040">
      <c r="A4040" s="17">
        <v>1001002.0</v>
      </c>
      <c r="B4040" s="17">
        <v>7331300.0</v>
      </c>
    </row>
    <row r="4041">
      <c r="A4041" s="17">
        <v>1001002.0</v>
      </c>
      <c r="B4041" s="17">
        <v>7331400.0</v>
      </c>
    </row>
    <row r="4042">
      <c r="A4042" s="17">
        <v>1001002.0</v>
      </c>
      <c r="B4042" s="17">
        <v>7331500.0</v>
      </c>
    </row>
    <row r="4043">
      <c r="A4043" s="17">
        <v>1001002.0</v>
      </c>
      <c r="B4043" s="17">
        <v>7331700.0</v>
      </c>
    </row>
    <row r="4044">
      <c r="A4044" s="17">
        <v>1001002.0</v>
      </c>
      <c r="B4044" s="17">
        <v>7331800.0</v>
      </c>
    </row>
    <row r="4045">
      <c r="A4045" s="17">
        <v>1001002.0</v>
      </c>
      <c r="B4045" s="17">
        <v>7331900.0</v>
      </c>
    </row>
    <row r="4046">
      <c r="A4046" s="17">
        <v>1001002.0</v>
      </c>
      <c r="B4046" s="17">
        <v>7332000.0</v>
      </c>
    </row>
    <row r="4047">
      <c r="A4047" s="17">
        <v>1001002.0</v>
      </c>
      <c r="B4047" s="17">
        <v>7332100.0</v>
      </c>
    </row>
    <row r="4048">
      <c r="A4048" s="17">
        <v>1001002.0</v>
      </c>
      <c r="B4048" s="17">
        <v>7332200.0</v>
      </c>
    </row>
    <row r="4049">
      <c r="A4049" s="17">
        <v>1001002.0</v>
      </c>
      <c r="B4049" s="17">
        <v>7332300.0</v>
      </c>
    </row>
    <row r="4050">
      <c r="A4050" s="17">
        <v>1001002.0</v>
      </c>
      <c r="B4050" s="17">
        <v>7332400.0</v>
      </c>
    </row>
    <row r="4051">
      <c r="A4051" s="17">
        <v>1001002.0</v>
      </c>
      <c r="B4051" s="17">
        <v>7340000.0</v>
      </c>
    </row>
    <row r="4052">
      <c r="A4052" s="17">
        <v>1001002.0</v>
      </c>
      <c r="B4052" s="17">
        <v>7340100.0</v>
      </c>
    </row>
    <row r="4053">
      <c r="A4053" s="17">
        <v>1001002.0</v>
      </c>
      <c r="B4053" s="17">
        <v>7340200.0</v>
      </c>
    </row>
    <row r="4054">
      <c r="A4054" s="17">
        <v>1001002.0</v>
      </c>
      <c r="B4054" s="17">
        <v>7340300.0</v>
      </c>
    </row>
    <row r="4055">
      <c r="A4055" s="17">
        <v>1001002.0</v>
      </c>
      <c r="B4055" s="17">
        <v>7340400.0</v>
      </c>
    </row>
    <row r="4056">
      <c r="A4056" s="17">
        <v>1001002.0</v>
      </c>
      <c r="B4056" s="17">
        <v>7340500.0</v>
      </c>
    </row>
    <row r="4057">
      <c r="A4057" s="17">
        <v>1001002.0</v>
      </c>
      <c r="B4057" s="17">
        <v>7340600.0</v>
      </c>
    </row>
    <row r="4058">
      <c r="A4058" s="17">
        <v>1001002.0</v>
      </c>
      <c r="B4058" s="17">
        <v>7340700.0</v>
      </c>
    </row>
    <row r="4059">
      <c r="A4059" s="17">
        <v>1001002.0</v>
      </c>
      <c r="B4059" s="17">
        <v>7340800.0</v>
      </c>
    </row>
    <row r="4060">
      <c r="A4060" s="17">
        <v>1001002.0</v>
      </c>
      <c r="B4060" s="17">
        <v>7340900.0</v>
      </c>
    </row>
    <row r="4061">
      <c r="A4061" s="17">
        <v>1001002.0</v>
      </c>
      <c r="B4061" s="17">
        <v>7341000.0</v>
      </c>
    </row>
    <row r="4062">
      <c r="A4062" s="17">
        <v>1001002.0</v>
      </c>
      <c r="B4062" s="17">
        <v>7341100.0</v>
      </c>
    </row>
    <row r="4063">
      <c r="A4063" s="17">
        <v>1001002.0</v>
      </c>
      <c r="B4063" s="17">
        <v>7341200.0</v>
      </c>
    </row>
    <row r="4064">
      <c r="A4064" s="17">
        <v>1001002.0</v>
      </c>
      <c r="B4064" s="17">
        <v>7341300.0</v>
      </c>
    </row>
    <row r="4065">
      <c r="A4065" s="17">
        <v>1001002.0</v>
      </c>
      <c r="B4065" s="17">
        <v>7341400.0</v>
      </c>
    </row>
    <row r="4066">
      <c r="A4066" s="17">
        <v>1001002.0</v>
      </c>
      <c r="B4066" s="17">
        <v>7341500.0</v>
      </c>
    </row>
    <row r="4067">
      <c r="A4067" s="17">
        <v>1001002.0</v>
      </c>
      <c r="B4067" s="17">
        <v>7341700.0</v>
      </c>
    </row>
    <row r="4068">
      <c r="A4068" s="17">
        <v>1001002.0</v>
      </c>
      <c r="B4068" s="17">
        <v>7341800.0</v>
      </c>
    </row>
    <row r="4069">
      <c r="A4069" s="17">
        <v>1001002.0</v>
      </c>
      <c r="B4069" s="17">
        <v>7341900.0</v>
      </c>
    </row>
    <row r="4070">
      <c r="A4070" s="17">
        <v>1001002.0</v>
      </c>
      <c r="B4070" s="17">
        <v>7342000.0</v>
      </c>
    </row>
    <row r="4071">
      <c r="A4071" s="17">
        <v>1001002.0</v>
      </c>
      <c r="B4071" s="17">
        <v>7342100.0</v>
      </c>
    </row>
    <row r="4072">
      <c r="A4072" s="17">
        <v>1001002.0</v>
      </c>
      <c r="B4072" s="17">
        <v>7342200.0</v>
      </c>
    </row>
    <row r="4073">
      <c r="A4073" s="17">
        <v>1001002.0</v>
      </c>
      <c r="B4073" s="17">
        <v>7342300.0</v>
      </c>
    </row>
    <row r="4074">
      <c r="A4074" s="17">
        <v>1001002.0</v>
      </c>
      <c r="B4074" s="17">
        <v>7342400.0</v>
      </c>
    </row>
    <row r="4075">
      <c r="A4075" s="17">
        <v>1001002.0</v>
      </c>
      <c r="B4075" s="17">
        <v>7350000.0</v>
      </c>
    </row>
    <row r="4076">
      <c r="A4076" s="17">
        <v>1001002.0</v>
      </c>
      <c r="B4076" s="17">
        <v>7350100.0</v>
      </c>
    </row>
    <row r="4077">
      <c r="A4077" s="17">
        <v>1001002.0</v>
      </c>
      <c r="B4077" s="17">
        <v>7350200.0</v>
      </c>
    </row>
    <row r="4078">
      <c r="A4078" s="17">
        <v>1001002.0</v>
      </c>
      <c r="B4078" s="17">
        <v>7350300.0</v>
      </c>
    </row>
    <row r="4079">
      <c r="A4079" s="17">
        <v>1001002.0</v>
      </c>
      <c r="B4079" s="17">
        <v>7350400.0</v>
      </c>
    </row>
    <row r="4080">
      <c r="A4080" s="17">
        <v>1001002.0</v>
      </c>
      <c r="B4080" s="17">
        <v>7350500.0</v>
      </c>
    </row>
    <row r="4081">
      <c r="A4081" s="17">
        <v>1001002.0</v>
      </c>
      <c r="B4081" s="17">
        <v>7350600.0</v>
      </c>
    </row>
    <row r="4082">
      <c r="A4082" s="17">
        <v>1001002.0</v>
      </c>
      <c r="B4082" s="17">
        <v>7350700.0</v>
      </c>
    </row>
    <row r="4083">
      <c r="A4083" s="17">
        <v>1001002.0</v>
      </c>
      <c r="B4083" s="17">
        <v>7350800.0</v>
      </c>
    </row>
    <row r="4084">
      <c r="A4084" s="17">
        <v>1001002.0</v>
      </c>
      <c r="B4084" s="17">
        <v>7350900.0</v>
      </c>
    </row>
    <row r="4085">
      <c r="A4085" s="17">
        <v>1001002.0</v>
      </c>
      <c r="B4085" s="17">
        <v>7351000.0</v>
      </c>
    </row>
    <row r="4086">
      <c r="A4086" s="17">
        <v>1001002.0</v>
      </c>
      <c r="B4086" s="17">
        <v>7351100.0</v>
      </c>
    </row>
    <row r="4087">
      <c r="A4087" s="17">
        <v>1001002.0</v>
      </c>
      <c r="B4087" s="17">
        <v>7351200.0</v>
      </c>
    </row>
    <row r="4088">
      <c r="A4088" s="17">
        <v>1001002.0</v>
      </c>
      <c r="B4088" s="17">
        <v>7351300.0</v>
      </c>
    </row>
    <row r="4089">
      <c r="A4089" s="17">
        <v>1001002.0</v>
      </c>
      <c r="B4089" s="17">
        <v>7351400.0</v>
      </c>
    </row>
    <row r="4090">
      <c r="A4090" s="17">
        <v>1001002.0</v>
      </c>
      <c r="B4090" s="17">
        <v>7351500.0</v>
      </c>
    </row>
    <row r="4091">
      <c r="A4091" s="17">
        <v>1001002.0</v>
      </c>
      <c r="B4091" s="17">
        <v>7351700.0</v>
      </c>
    </row>
    <row r="4092">
      <c r="A4092" s="17">
        <v>1001002.0</v>
      </c>
      <c r="B4092" s="17">
        <v>7351800.0</v>
      </c>
    </row>
    <row r="4093">
      <c r="A4093" s="17">
        <v>1001002.0</v>
      </c>
      <c r="B4093" s="17">
        <v>7351900.0</v>
      </c>
    </row>
    <row r="4094">
      <c r="A4094" s="17">
        <v>1001002.0</v>
      </c>
      <c r="B4094" s="17">
        <v>7352000.0</v>
      </c>
    </row>
    <row r="4095">
      <c r="A4095" s="17">
        <v>1001002.0</v>
      </c>
      <c r="B4095" s="17">
        <v>7352100.0</v>
      </c>
    </row>
    <row r="4096">
      <c r="A4096" s="17">
        <v>1001002.0</v>
      </c>
      <c r="B4096" s="17">
        <v>7352200.0</v>
      </c>
    </row>
    <row r="4097">
      <c r="A4097" s="17">
        <v>1001002.0</v>
      </c>
      <c r="B4097" s="17">
        <v>7352300.0</v>
      </c>
    </row>
    <row r="4098">
      <c r="A4098" s="17">
        <v>1001002.0</v>
      </c>
      <c r="B4098" s="17">
        <v>7352400.0</v>
      </c>
    </row>
    <row r="4099">
      <c r="A4099" s="17">
        <v>1001002.0</v>
      </c>
      <c r="B4099" s="17">
        <v>7360600.0</v>
      </c>
    </row>
    <row r="4100">
      <c r="A4100" s="17">
        <v>1001002.0</v>
      </c>
      <c r="B4100" s="17">
        <v>7360900.0</v>
      </c>
    </row>
    <row r="4101">
      <c r="A4101" s="17">
        <v>1001002.0</v>
      </c>
      <c r="B4101" s="17">
        <v>7361200.0</v>
      </c>
    </row>
    <row r="4102">
      <c r="A4102" s="17">
        <v>1001002.0</v>
      </c>
      <c r="B4102" s="17">
        <v>7361300.0</v>
      </c>
    </row>
    <row r="4103">
      <c r="A4103" s="17">
        <v>1001002.0</v>
      </c>
      <c r="B4103" s="17">
        <v>7362100.0</v>
      </c>
    </row>
    <row r="4104">
      <c r="A4104" s="17">
        <v>1001002.0</v>
      </c>
      <c r="B4104" s="17">
        <v>7370300.0</v>
      </c>
    </row>
    <row r="4105">
      <c r="A4105" s="17">
        <v>1001002.0</v>
      </c>
      <c r="B4105" s="17">
        <v>7370400.0</v>
      </c>
    </row>
    <row r="4106">
      <c r="A4106" s="17">
        <v>1001002.0</v>
      </c>
      <c r="B4106" s="17">
        <v>7370600.0</v>
      </c>
    </row>
    <row r="4107">
      <c r="A4107" s="17">
        <v>1001002.0</v>
      </c>
      <c r="B4107" s="17">
        <v>7370900.0</v>
      </c>
    </row>
    <row r="4108">
      <c r="A4108" s="17">
        <v>1001002.0</v>
      </c>
      <c r="B4108" s="17">
        <v>7371500.0</v>
      </c>
    </row>
    <row r="4109">
      <c r="A4109" s="17">
        <v>1001002.0</v>
      </c>
      <c r="B4109" s="17">
        <v>7036200.0</v>
      </c>
    </row>
    <row r="4110">
      <c r="A4110" s="17">
        <v>1001002.0</v>
      </c>
      <c r="B4110" s="17">
        <v>7036300.0</v>
      </c>
    </row>
    <row r="4111">
      <c r="A4111" s="17">
        <v>1001002.0</v>
      </c>
      <c r="B4111" s="17">
        <v>7036400.0</v>
      </c>
    </row>
    <row r="4112">
      <c r="A4112" s="17">
        <v>1001002.0</v>
      </c>
      <c r="B4112" s="17">
        <v>7036500.0</v>
      </c>
    </row>
    <row r="4113">
      <c r="A4113" s="17">
        <v>1001002.0</v>
      </c>
      <c r="B4113" s="17">
        <v>7036800.0</v>
      </c>
    </row>
    <row r="4114">
      <c r="A4114" s="17">
        <v>1001002.0</v>
      </c>
      <c r="B4114" s="17">
        <v>7036900.0</v>
      </c>
    </row>
    <row r="4115">
      <c r="A4115" s="17">
        <v>1001002.0</v>
      </c>
      <c r="B4115" s="17">
        <v>7037000.0</v>
      </c>
    </row>
    <row r="4116">
      <c r="A4116" s="17">
        <v>1001002.0</v>
      </c>
      <c r="B4116" s="17">
        <v>7037300.0</v>
      </c>
    </row>
    <row r="4117">
      <c r="A4117" s="17">
        <v>1001002.0</v>
      </c>
      <c r="B4117" s="17">
        <v>6630000.0</v>
      </c>
    </row>
    <row r="4118">
      <c r="A4118" s="17">
        <v>1001002.0</v>
      </c>
      <c r="B4118" s="17">
        <v>6630100.0</v>
      </c>
    </row>
    <row r="4119">
      <c r="A4119" s="17">
        <v>1001002.0</v>
      </c>
      <c r="B4119" s="17">
        <v>6630200.0</v>
      </c>
    </row>
    <row r="4120">
      <c r="A4120" s="17">
        <v>1001002.0</v>
      </c>
      <c r="B4120" s="17">
        <v>6630300.0</v>
      </c>
    </row>
    <row r="4121">
      <c r="A4121" s="17">
        <v>1001002.0</v>
      </c>
      <c r="B4121" s="17">
        <v>6630400.0</v>
      </c>
    </row>
    <row r="4122">
      <c r="A4122" s="17">
        <v>1001002.0</v>
      </c>
      <c r="B4122" s="17">
        <v>6630500.0</v>
      </c>
    </row>
    <row r="4123">
      <c r="A4123" s="17">
        <v>1001002.0</v>
      </c>
      <c r="B4123" s="17">
        <v>6630600.0</v>
      </c>
    </row>
    <row r="4124">
      <c r="A4124" s="17">
        <v>1001002.0</v>
      </c>
      <c r="B4124" s="17">
        <v>6630700.0</v>
      </c>
    </row>
    <row r="4125">
      <c r="A4125" s="17">
        <v>1001002.0</v>
      </c>
      <c r="B4125" s="17">
        <v>6630800.0</v>
      </c>
    </row>
    <row r="4126">
      <c r="A4126" s="17">
        <v>1001002.0</v>
      </c>
      <c r="B4126" s="17">
        <v>6630900.0</v>
      </c>
    </row>
    <row r="4127">
      <c r="A4127" s="17">
        <v>1001002.0</v>
      </c>
      <c r="B4127" s="17">
        <v>6631000.0</v>
      </c>
    </row>
    <row r="4128">
      <c r="A4128" s="17">
        <v>1001002.0</v>
      </c>
      <c r="B4128" s="17">
        <v>6631100.0</v>
      </c>
    </row>
    <row r="4129">
      <c r="A4129" s="17">
        <v>1001002.0</v>
      </c>
      <c r="B4129" s="17">
        <v>6631200.0</v>
      </c>
    </row>
    <row r="4130">
      <c r="A4130" s="17">
        <v>1001002.0</v>
      </c>
      <c r="B4130" s="17">
        <v>6631300.0</v>
      </c>
    </row>
    <row r="4131">
      <c r="A4131" s="17">
        <v>1001002.0</v>
      </c>
      <c r="B4131" s="17">
        <v>6631400.0</v>
      </c>
    </row>
    <row r="4132">
      <c r="A4132" s="17">
        <v>1001002.0</v>
      </c>
      <c r="B4132" s="17">
        <v>6631500.0</v>
      </c>
    </row>
    <row r="4133">
      <c r="A4133" s="17">
        <v>1001002.0</v>
      </c>
      <c r="B4133" s="17">
        <v>6631600.0</v>
      </c>
    </row>
    <row r="4134">
      <c r="A4134" s="17">
        <v>1001002.0</v>
      </c>
      <c r="B4134" s="17">
        <v>6631700.0</v>
      </c>
    </row>
    <row r="4135">
      <c r="A4135" s="17">
        <v>1001002.0</v>
      </c>
      <c r="B4135" s="17">
        <v>6631800.0</v>
      </c>
    </row>
    <row r="4136">
      <c r="A4136" s="17">
        <v>1001002.0</v>
      </c>
      <c r="B4136" s="17">
        <v>6631900.0</v>
      </c>
    </row>
    <row r="4137">
      <c r="A4137" s="17">
        <v>1001002.0</v>
      </c>
      <c r="B4137" s="17">
        <v>6632000.0</v>
      </c>
    </row>
    <row r="4138">
      <c r="A4138" s="17">
        <v>1001002.0</v>
      </c>
      <c r="B4138" s="17">
        <v>6632100.0</v>
      </c>
    </row>
    <row r="4139">
      <c r="A4139" s="17">
        <v>1001002.0</v>
      </c>
      <c r="B4139" s="17">
        <v>6632200.0</v>
      </c>
    </row>
    <row r="4140">
      <c r="A4140" s="17">
        <v>1001002.0</v>
      </c>
      <c r="B4140" s="17">
        <v>6632300.0</v>
      </c>
    </row>
    <row r="4141">
      <c r="A4141" s="17">
        <v>1001002.0</v>
      </c>
      <c r="B4141" s="17">
        <v>6632400.0</v>
      </c>
    </row>
    <row r="4142">
      <c r="A4142" s="17">
        <v>1001002.0</v>
      </c>
      <c r="B4142" s="17">
        <v>6632500.0</v>
      </c>
    </row>
    <row r="4143">
      <c r="A4143" s="17">
        <v>1001002.0</v>
      </c>
      <c r="B4143" s="17">
        <v>6632600.0</v>
      </c>
    </row>
    <row r="4144">
      <c r="A4144" s="17">
        <v>1001002.0</v>
      </c>
      <c r="B4144" s="17">
        <v>6632700.0</v>
      </c>
    </row>
    <row r="4145">
      <c r="A4145" s="17">
        <v>1001002.0</v>
      </c>
      <c r="B4145" s="17">
        <v>6632800.0</v>
      </c>
    </row>
    <row r="4146">
      <c r="A4146" s="17">
        <v>1001002.0</v>
      </c>
      <c r="B4146" s="17">
        <v>6632900.0</v>
      </c>
    </row>
    <row r="4147">
      <c r="A4147" s="17">
        <v>1001002.0</v>
      </c>
      <c r="B4147" s="17">
        <v>6633000.0</v>
      </c>
    </row>
    <row r="4148">
      <c r="A4148" s="17">
        <v>1001002.0</v>
      </c>
      <c r="B4148" s="17">
        <v>6633100.0</v>
      </c>
    </row>
    <row r="4149">
      <c r="A4149" s="17">
        <v>1001002.0</v>
      </c>
      <c r="B4149" s="17">
        <v>6633200.0</v>
      </c>
    </row>
    <row r="4150">
      <c r="A4150" s="17">
        <v>1001002.0</v>
      </c>
      <c r="B4150" s="17">
        <v>6647200.0</v>
      </c>
    </row>
    <row r="4151">
      <c r="A4151" s="17">
        <v>1001002.0</v>
      </c>
      <c r="B4151" s="17">
        <v>6647300.0</v>
      </c>
    </row>
    <row r="4152">
      <c r="A4152" s="17">
        <v>1001002.0</v>
      </c>
      <c r="B4152" s="17">
        <v>6647400.0</v>
      </c>
    </row>
    <row r="4153">
      <c r="A4153" s="17">
        <v>1001002.0</v>
      </c>
      <c r="B4153" s="17">
        <v>6647500.0</v>
      </c>
    </row>
    <row r="4154">
      <c r="A4154" s="17">
        <v>1001002.0</v>
      </c>
      <c r="B4154" s="17">
        <v>6640000.0</v>
      </c>
    </row>
    <row r="4155">
      <c r="A4155" s="17">
        <v>1001002.0</v>
      </c>
      <c r="B4155" s="17">
        <v>6640100.0</v>
      </c>
    </row>
    <row r="4156">
      <c r="A4156" s="17">
        <v>1001002.0</v>
      </c>
      <c r="B4156" s="17">
        <v>6641000.0</v>
      </c>
    </row>
    <row r="4157">
      <c r="A4157" s="17">
        <v>1001002.0</v>
      </c>
      <c r="B4157" s="17">
        <v>6641100.0</v>
      </c>
    </row>
    <row r="4158">
      <c r="A4158" s="17">
        <v>1001002.0</v>
      </c>
      <c r="B4158" s="17">
        <v>6642000.0</v>
      </c>
    </row>
    <row r="4159">
      <c r="A4159" s="17">
        <v>1001002.0</v>
      </c>
      <c r="B4159" s="17">
        <v>6642100.0</v>
      </c>
    </row>
    <row r="4160">
      <c r="A4160" s="17">
        <v>1001002.0</v>
      </c>
      <c r="B4160" s="17">
        <v>6643000.0</v>
      </c>
    </row>
    <row r="4161">
      <c r="A4161" s="17">
        <v>1001002.0</v>
      </c>
      <c r="B4161" s="17">
        <v>6643100.0</v>
      </c>
    </row>
    <row r="4162">
      <c r="A4162" s="17">
        <v>1001002.0</v>
      </c>
      <c r="B4162" s="17">
        <v>6644000.0</v>
      </c>
    </row>
    <row r="4163">
      <c r="A4163" s="17">
        <v>1001002.0</v>
      </c>
      <c r="B4163" s="17">
        <v>6644100.0</v>
      </c>
    </row>
    <row r="4164">
      <c r="A4164" s="17">
        <v>1001002.0</v>
      </c>
      <c r="B4164" s="17">
        <v>6645000.0</v>
      </c>
    </row>
    <row r="4165">
      <c r="A4165" s="17">
        <v>1001002.0</v>
      </c>
      <c r="B4165" s="17">
        <v>6645100.0</v>
      </c>
    </row>
    <row r="4166">
      <c r="A4166" s="17">
        <v>1001002.0</v>
      </c>
      <c r="B4166" s="17">
        <v>6646000.0</v>
      </c>
    </row>
    <row r="4167">
      <c r="A4167" s="17">
        <v>1001002.0</v>
      </c>
      <c r="B4167" s="17">
        <v>6646100.0</v>
      </c>
    </row>
    <row r="4168">
      <c r="A4168" s="17">
        <v>1001002.0</v>
      </c>
      <c r="B4168" s="17">
        <v>6647000.0</v>
      </c>
    </row>
    <row r="4169">
      <c r="A4169" s="17">
        <v>1001002.0</v>
      </c>
      <c r="B4169" s="17">
        <v>6647100.0</v>
      </c>
    </row>
    <row r="4170">
      <c r="A4170" s="17">
        <v>1002000.0</v>
      </c>
      <c r="B4170" s="17">
        <v>7000000.0</v>
      </c>
    </row>
    <row r="4171">
      <c r="A4171" s="17">
        <v>1002000.0</v>
      </c>
      <c r="B4171" s="17">
        <v>7000001.0</v>
      </c>
    </row>
    <row r="4172">
      <c r="A4172" s="17">
        <v>1002000.0</v>
      </c>
      <c r="B4172" s="17">
        <v>7000002.0</v>
      </c>
    </row>
    <row r="4173">
      <c r="A4173" s="17">
        <v>1002000.0</v>
      </c>
      <c r="B4173" s="17">
        <v>7000100.0</v>
      </c>
    </row>
    <row r="4174">
      <c r="A4174" s="17">
        <v>1002000.0</v>
      </c>
      <c r="B4174" s="17">
        <v>7000101.0</v>
      </c>
    </row>
    <row r="4175">
      <c r="A4175" s="17">
        <v>1002000.0</v>
      </c>
      <c r="B4175" s="17">
        <v>7000102.0</v>
      </c>
    </row>
    <row r="4176">
      <c r="A4176" s="17">
        <v>1002000.0</v>
      </c>
      <c r="B4176" s="17">
        <v>7000200.0</v>
      </c>
    </row>
    <row r="4177">
      <c r="A4177" s="17">
        <v>1002000.0</v>
      </c>
      <c r="B4177" s="17">
        <v>7000201.0</v>
      </c>
    </row>
    <row r="4178">
      <c r="A4178" s="17">
        <v>1002000.0</v>
      </c>
      <c r="B4178" s="17">
        <v>7000202.0</v>
      </c>
    </row>
    <row r="4179">
      <c r="A4179" s="17">
        <v>1002000.0</v>
      </c>
      <c r="B4179" s="17">
        <v>7000300.0</v>
      </c>
    </row>
    <row r="4180">
      <c r="A4180" s="17">
        <v>1002000.0</v>
      </c>
      <c r="B4180" s="17">
        <v>7000301.0</v>
      </c>
    </row>
    <row r="4181">
      <c r="A4181" s="17">
        <v>1002000.0</v>
      </c>
      <c r="B4181" s="17">
        <v>7000302.0</v>
      </c>
    </row>
    <row r="4182">
      <c r="A4182" s="17">
        <v>1002000.0</v>
      </c>
      <c r="B4182" s="17">
        <v>7000400.0</v>
      </c>
    </row>
    <row r="4183">
      <c r="A4183" s="17">
        <v>1002000.0</v>
      </c>
      <c r="B4183" s="17">
        <v>7000401.0</v>
      </c>
    </row>
    <row r="4184">
      <c r="A4184" s="17">
        <v>1002000.0</v>
      </c>
      <c r="B4184" s="17">
        <v>7000402.0</v>
      </c>
    </row>
    <row r="4185">
      <c r="A4185" s="17">
        <v>1002000.0</v>
      </c>
      <c r="B4185" s="17">
        <v>7000500.0</v>
      </c>
    </row>
    <row r="4186">
      <c r="A4186" s="17">
        <v>1002000.0</v>
      </c>
      <c r="B4186" s="17">
        <v>7000501.0</v>
      </c>
    </row>
    <row r="4187">
      <c r="A4187" s="17">
        <v>1002000.0</v>
      </c>
      <c r="B4187" s="17">
        <v>7000502.0</v>
      </c>
    </row>
    <row r="4188">
      <c r="A4188" s="17">
        <v>1002000.0</v>
      </c>
      <c r="B4188" s="17">
        <v>7000600.0</v>
      </c>
    </row>
    <row r="4189">
      <c r="A4189" s="17">
        <v>1002000.0</v>
      </c>
      <c r="B4189" s="17">
        <v>7000601.0</v>
      </c>
    </row>
    <row r="4190">
      <c r="A4190" s="17">
        <v>1002000.0</v>
      </c>
      <c r="B4190" s="17">
        <v>7000602.0</v>
      </c>
    </row>
    <row r="4191">
      <c r="A4191" s="17">
        <v>1002000.0</v>
      </c>
      <c r="B4191" s="17">
        <v>7000700.0</v>
      </c>
    </row>
    <row r="4192">
      <c r="A4192" s="17">
        <v>1002000.0</v>
      </c>
      <c r="B4192" s="17">
        <v>7000701.0</v>
      </c>
    </row>
    <row r="4193">
      <c r="A4193" s="17">
        <v>1002000.0</v>
      </c>
      <c r="B4193" s="17">
        <v>7000702.0</v>
      </c>
    </row>
    <row r="4194">
      <c r="A4194" s="17">
        <v>1002000.0</v>
      </c>
      <c r="B4194" s="17">
        <v>7000800.0</v>
      </c>
    </row>
    <row r="4195">
      <c r="A4195" s="17">
        <v>1002000.0</v>
      </c>
      <c r="B4195" s="17">
        <v>7000801.0</v>
      </c>
    </row>
    <row r="4196">
      <c r="A4196" s="17">
        <v>1002000.0</v>
      </c>
      <c r="B4196" s="17">
        <v>7000802.0</v>
      </c>
    </row>
    <row r="4197">
      <c r="A4197" s="17">
        <v>1002000.0</v>
      </c>
      <c r="B4197" s="17">
        <v>7000900.0</v>
      </c>
    </row>
    <row r="4198">
      <c r="A4198" s="17">
        <v>1002000.0</v>
      </c>
      <c r="B4198" s="17">
        <v>7000901.0</v>
      </c>
    </row>
    <row r="4199">
      <c r="A4199" s="17">
        <v>1002000.0</v>
      </c>
      <c r="B4199" s="17">
        <v>7000902.0</v>
      </c>
    </row>
    <row r="4200">
      <c r="A4200" s="17">
        <v>1002000.0</v>
      </c>
      <c r="B4200" s="17">
        <v>7001000.0</v>
      </c>
    </row>
    <row r="4201">
      <c r="A4201" s="17">
        <v>1002000.0</v>
      </c>
      <c r="B4201" s="17">
        <v>7001001.0</v>
      </c>
    </row>
    <row r="4202">
      <c r="A4202" s="17">
        <v>1002000.0</v>
      </c>
      <c r="B4202" s="17">
        <v>7001002.0</v>
      </c>
    </row>
    <row r="4203">
      <c r="A4203" s="17">
        <v>1002000.0</v>
      </c>
      <c r="B4203" s="17">
        <v>7001400.0</v>
      </c>
    </row>
    <row r="4204">
      <c r="A4204" s="17">
        <v>1002000.0</v>
      </c>
      <c r="B4204" s="17">
        <v>7001401.0</v>
      </c>
    </row>
    <row r="4205">
      <c r="A4205" s="17">
        <v>1002000.0</v>
      </c>
      <c r="B4205" s="17">
        <v>7001402.0</v>
      </c>
    </row>
    <row r="4206">
      <c r="A4206" s="17">
        <v>1002000.0</v>
      </c>
      <c r="B4206" s="17">
        <v>7001500.0</v>
      </c>
    </row>
    <row r="4207">
      <c r="A4207" s="17">
        <v>1002000.0</v>
      </c>
      <c r="B4207" s="17">
        <v>7001501.0</v>
      </c>
    </row>
    <row r="4208">
      <c r="A4208" s="17">
        <v>1002000.0</v>
      </c>
      <c r="B4208" s="17">
        <v>7001502.0</v>
      </c>
    </row>
    <row r="4209">
      <c r="A4209" s="17">
        <v>1002000.0</v>
      </c>
      <c r="B4209" s="17">
        <v>7001600.0</v>
      </c>
    </row>
    <row r="4210">
      <c r="A4210" s="17">
        <v>1002000.0</v>
      </c>
      <c r="B4210" s="17">
        <v>7001601.0</v>
      </c>
    </row>
    <row r="4211">
      <c r="A4211" s="17">
        <v>1002000.0</v>
      </c>
      <c r="B4211" s="17">
        <v>7001602.0</v>
      </c>
    </row>
    <row r="4212">
      <c r="A4212" s="17">
        <v>1002000.0</v>
      </c>
      <c r="B4212" s="17">
        <v>7001700.0</v>
      </c>
    </row>
    <row r="4213">
      <c r="A4213" s="17">
        <v>1002000.0</v>
      </c>
      <c r="B4213" s="17">
        <v>7001701.0</v>
      </c>
    </row>
    <row r="4214">
      <c r="A4214" s="17">
        <v>1002000.0</v>
      </c>
      <c r="B4214" s="17">
        <v>7001702.0</v>
      </c>
    </row>
    <row r="4215">
      <c r="A4215" s="17">
        <v>1002000.0</v>
      </c>
      <c r="B4215" s="17">
        <v>7001800.0</v>
      </c>
    </row>
    <row r="4216">
      <c r="A4216" s="17">
        <v>1002000.0</v>
      </c>
      <c r="B4216" s="17">
        <v>7001801.0</v>
      </c>
    </row>
    <row r="4217">
      <c r="A4217" s="17">
        <v>1002000.0</v>
      </c>
      <c r="B4217" s="17">
        <v>7001802.0</v>
      </c>
    </row>
    <row r="4218">
      <c r="A4218" s="17">
        <v>1002000.0</v>
      </c>
      <c r="B4218" s="17">
        <v>7002600.0</v>
      </c>
    </row>
    <row r="4219">
      <c r="A4219" s="17">
        <v>1002000.0</v>
      </c>
      <c r="B4219" s="17">
        <v>7002700.0</v>
      </c>
    </row>
    <row r="4220">
      <c r="A4220" s="17">
        <v>1002000.0</v>
      </c>
      <c r="B4220" s="17">
        <v>7002800.0</v>
      </c>
    </row>
    <row r="4221">
      <c r="A4221" s="17">
        <v>1002000.0</v>
      </c>
      <c r="B4221" s="17">
        <v>7002900.0</v>
      </c>
    </row>
    <row r="4222">
      <c r="A4222" s="17">
        <v>1002000.0</v>
      </c>
      <c r="B4222" s="17">
        <v>7003000.0</v>
      </c>
    </row>
    <row r="4223">
      <c r="A4223" s="17">
        <v>1002000.0</v>
      </c>
      <c r="B4223" s="17">
        <v>7003100.0</v>
      </c>
    </row>
    <row r="4224">
      <c r="A4224" s="17">
        <v>1002000.0</v>
      </c>
      <c r="B4224" s="17">
        <v>7003200.0</v>
      </c>
    </row>
    <row r="4225">
      <c r="A4225" s="17">
        <v>1002000.0</v>
      </c>
      <c r="B4225" s="17">
        <v>7003300.0</v>
      </c>
    </row>
    <row r="4226">
      <c r="A4226" s="17">
        <v>1002000.0</v>
      </c>
      <c r="B4226" s="17">
        <v>7003400.0</v>
      </c>
    </row>
    <row r="4227">
      <c r="A4227" s="17">
        <v>1002000.0</v>
      </c>
      <c r="B4227" s="17">
        <v>7003500.0</v>
      </c>
    </row>
    <row r="4228">
      <c r="A4228" s="17">
        <v>1002000.0</v>
      </c>
      <c r="B4228" s="17">
        <v>7003600.0</v>
      </c>
    </row>
    <row r="4229">
      <c r="A4229" s="17">
        <v>1002000.0</v>
      </c>
      <c r="B4229" s="17">
        <v>7005600.0</v>
      </c>
    </row>
    <row r="4230">
      <c r="A4230" s="17">
        <v>1002000.0</v>
      </c>
      <c r="B4230" s="17">
        <v>7006000.0</v>
      </c>
    </row>
    <row r="4231">
      <c r="A4231" s="17">
        <v>1002000.0</v>
      </c>
      <c r="B4231" s="17">
        <v>7006100.0</v>
      </c>
    </row>
    <row r="4232">
      <c r="A4232" s="17">
        <v>1002000.0</v>
      </c>
      <c r="B4232" s="17">
        <v>7010200.0</v>
      </c>
    </row>
    <row r="4233">
      <c r="A4233" s="17">
        <v>1002000.0</v>
      </c>
      <c r="B4233" s="17">
        <v>7010500.0</v>
      </c>
    </row>
    <row r="4234">
      <c r="A4234" s="17">
        <v>1002000.0</v>
      </c>
      <c r="B4234" s="17">
        <v>7010700.0</v>
      </c>
    </row>
    <row r="4235">
      <c r="A4235" s="17">
        <v>1002000.0</v>
      </c>
      <c r="B4235" s="17">
        <v>7010900.0</v>
      </c>
    </row>
    <row r="4236">
      <c r="A4236" s="17">
        <v>1002000.0</v>
      </c>
      <c r="B4236" s="17">
        <v>7011000.0</v>
      </c>
    </row>
    <row r="4237">
      <c r="A4237" s="17">
        <v>1002000.0</v>
      </c>
      <c r="B4237" s="17">
        <v>7011200.0</v>
      </c>
    </row>
    <row r="4238">
      <c r="A4238" s="17">
        <v>1002000.0</v>
      </c>
      <c r="B4238" s="17">
        <v>7011600.0</v>
      </c>
    </row>
    <row r="4239">
      <c r="A4239" s="17">
        <v>1002000.0</v>
      </c>
      <c r="B4239" s="17">
        <v>7011700.0</v>
      </c>
    </row>
    <row r="4240">
      <c r="A4240" s="17">
        <v>1002000.0</v>
      </c>
      <c r="B4240" s="17">
        <v>7012000.0</v>
      </c>
    </row>
    <row r="4241">
      <c r="A4241" s="17">
        <v>1002000.0</v>
      </c>
      <c r="B4241" s="17">
        <v>7012200.0</v>
      </c>
    </row>
    <row r="4242">
      <c r="A4242" s="17">
        <v>1002000.0</v>
      </c>
      <c r="B4242" s="17">
        <v>7012300.0</v>
      </c>
    </row>
    <row r="4243">
      <c r="A4243" s="17">
        <v>1002000.0</v>
      </c>
      <c r="B4243" s="17">
        <v>7020000.0</v>
      </c>
    </row>
    <row r="4244">
      <c r="A4244" s="17">
        <v>1002000.0</v>
      </c>
      <c r="B4244" s="17">
        <v>7030000.0</v>
      </c>
    </row>
    <row r="4245">
      <c r="A4245" s="17">
        <v>1002000.0</v>
      </c>
      <c r="B4245" s="17">
        <v>7030200.0</v>
      </c>
    </row>
    <row r="4246">
      <c r="A4246" s="17">
        <v>1002000.0</v>
      </c>
      <c r="B4246" s="17">
        <v>7030600.0</v>
      </c>
    </row>
    <row r="4247">
      <c r="A4247" s="17">
        <v>1002000.0</v>
      </c>
      <c r="B4247" s="17">
        <v>7030700.0</v>
      </c>
    </row>
    <row r="4248">
      <c r="A4248" s="17">
        <v>1002000.0</v>
      </c>
      <c r="B4248" s="17">
        <v>7030800.0</v>
      </c>
    </row>
    <row r="4249">
      <c r="A4249" s="17">
        <v>1002000.0</v>
      </c>
      <c r="B4249" s="17">
        <v>7030900.0</v>
      </c>
    </row>
    <row r="4250">
      <c r="A4250" s="17">
        <v>1002000.0</v>
      </c>
      <c r="B4250" s="17">
        <v>7031200.0</v>
      </c>
    </row>
    <row r="4251">
      <c r="A4251" s="17">
        <v>1002000.0</v>
      </c>
      <c r="B4251" s="17">
        <v>7031300.0</v>
      </c>
    </row>
    <row r="4252">
      <c r="A4252" s="17">
        <v>1002000.0</v>
      </c>
      <c r="B4252" s="17">
        <v>7031800.0</v>
      </c>
    </row>
    <row r="4253">
      <c r="A4253" s="17">
        <v>1002000.0</v>
      </c>
      <c r="B4253" s="17">
        <v>7031900.0</v>
      </c>
    </row>
    <row r="4254">
      <c r="A4254" s="17">
        <v>1002000.0</v>
      </c>
      <c r="B4254" s="17">
        <v>7032200.0</v>
      </c>
    </row>
    <row r="4255">
      <c r="A4255" s="17">
        <v>1002000.0</v>
      </c>
      <c r="B4255" s="17">
        <v>7032400.0</v>
      </c>
    </row>
    <row r="4256">
      <c r="A4256" s="17">
        <v>1002000.0</v>
      </c>
      <c r="B4256" s="17">
        <v>7032700.0</v>
      </c>
    </row>
    <row r="4257">
      <c r="A4257" s="17">
        <v>1002000.0</v>
      </c>
      <c r="B4257" s="17">
        <v>7032800.0</v>
      </c>
    </row>
    <row r="4258">
      <c r="A4258" s="17">
        <v>1002000.0</v>
      </c>
      <c r="B4258" s="17">
        <v>7032900.0</v>
      </c>
    </row>
    <row r="4259">
      <c r="A4259" s="17">
        <v>1002000.0</v>
      </c>
      <c r="B4259" s="17">
        <v>7033200.0</v>
      </c>
    </row>
    <row r="4260">
      <c r="A4260" s="17">
        <v>1002000.0</v>
      </c>
      <c r="B4260" s="17">
        <v>7033400.0</v>
      </c>
    </row>
    <row r="4261">
      <c r="A4261" s="17">
        <v>1002000.0</v>
      </c>
      <c r="B4261" s="17">
        <v>7034100.0</v>
      </c>
    </row>
    <row r="4262">
      <c r="A4262" s="17">
        <v>1002000.0</v>
      </c>
      <c r="B4262" s="17">
        <v>7034400.0</v>
      </c>
    </row>
    <row r="4263">
      <c r="A4263" s="17">
        <v>1002000.0</v>
      </c>
      <c r="B4263" s="17">
        <v>7034500.0</v>
      </c>
    </row>
    <row r="4264">
      <c r="A4264" s="17">
        <v>1002000.0</v>
      </c>
      <c r="B4264" s="17">
        <v>7034600.0</v>
      </c>
    </row>
    <row r="4265">
      <c r="A4265" s="17">
        <v>1002000.0</v>
      </c>
      <c r="B4265" s="17">
        <v>7034700.0</v>
      </c>
    </row>
    <row r="4266">
      <c r="A4266" s="17">
        <v>1002000.0</v>
      </c>
      <c r="B4266" s="17">
        <v>7035100.0</v>
      </c>
    </row>
    <row r="4267">
      <c r="A4267" s="17">
        <v>1002000.0</v>
      </c>
      <c r="B4267" s="17">
        <v>7036100.0</v>
      </c>
    </row>
    <row r="4268">
      <c r="A4268" s="17">
        <v>1002000.0</v>
      </c>
      <c r="B4268" s="17">
        <v>7040000.0</v>
      </c>
    </row>
    <row r="4269">
      <c r="A4269" s="17">
        <v>1002000.0</v>
      </c>
      <c r="B4269" s="17">
        <v>7040100.0</v>
      </c>
    </row>
    <row r="4270">
      <c r="A4270" s="17">
        <v>1002000.0</v>
      </c>
      <c r="B4270" s="17">
        <v>7040200.0</v>
      </c>
    </row>
    <row r="4271">
      <c r="A4271" s="17">
        <v>1002000.0</v>
      </c>
      <c r="B4271" s="17">
        <v>7040300.0</v>
      </c>
    </row>
    <row r="4272">
      <c r="A4272" s="17">
        <v>1002000.0</v>
      </c>
      <c r="B4272" s="17">
        <v>7040400.0</v>
      </c>
    </row>
    <row r="4273">
      <c r="A4273" s="17">
        <v>1002000.0</v>
      </c>
      <c r="B4273" s="17">
        <v>7040500.0</v>
      </c>
    </row>
    <row r="4274">
      <c r="A4274" s="17">
        <v>1002000.0</v>
      </c>
      <c r="B4274" s="17">
        <v>7043000.0</v>
      </c>
    </row>
    <row r="4275">
      <c r="A4275" s="17">
        <v>1002000.0</v>
      </c>
      <c r="B4275" s="17">
        <v>7043100.0</v>
      </c>
    </row>
    <row r="4276">
      <c r="A4276" s="17">
        <v>1002000.0</v>
      </c>
      <c r="B4276" s="17">
        <v>7043200.0</v>
      </c>
    </row>
    <row r="4277">
      <c r="A4277" s="17">
        <v>1002000.0</v>
      </c>
      <c r="B4277" s="17">
        <v>7043300.0</v>
      </c>
    </row>
    <row r="4278">
      <c r="A4278" s="17">
        <v>1002000.0</v>
      </c>
      <c r="B4278" s="17">
        <v>7043400.0</v>
      </c>
    </row>
    <row r="4279">
      <c r="A4279" s="17">
        <v>1002000.0</v>
      </c>
      <c r="B4279" s="17">
        <v>7043500.0</v>
      </c>
    </row>
    <row r="4280">
      <c r="A4280" s="17">
        <v>1002000.0</v>
      </c>
      <c r="B4280" s="17">
        <v>7043600.0</v>
      </c>
    </row>
    <row r="4281">
      <c r="A4281" s="17">
        <v>1002000.0</v>
      </c>
      <c r="B4281" s="17">
        <v>7043700.0</v>
      </c>
    </row>
    <row r="4282">
      <c r="A4282" s="17">
        <v>1002000.0</v>
      </c>
      <c r="B4282" s="17">
        <v>7043800.0</v>
      </c>
    </row>
    <row r="4283">
      <c r="A4283" s="17">
        <v>1002000.0</v>
      </c>
      <c r="B4283" s="17">
        <v>7044000.0</v>
      </c>
    </row>
    <row r="4284">
      <c r="A4284" s="17">
        <v>1002000.0</v>
      </c>
      <c r="B4284" s="17">
        <v>7044100.0</v>
      </c>
    </row>
    <row r="4285">
      <c r="A4285" s="17">
        <v>1002000.0</v>
      </c>
      <c r="B4285" s="17">
        <v>7044200.0</v>
      </c>
    </row>
    <row r="4286">
      <c r="A4286" s="17">
        <v>1002000.0</v>
      </c>
      <c r="B4286" s="17">
        <v>7044300.0</v>
      </c>
    </row>
    <row r="4287">
      <c r="A4287" s="17">
        <v>1002000.0</v>
      </c>
      <c r="B4287" s="17">
        <v>7044400.0</v>
      </c>
    </row>
    <row r="4288">
      <c r="A4288" s="17">
        <v>1002000.0</v>
      </c>
      <c r="B4288" s="17">
        <v>7044500.0</v>
      </c>
    </row>
    <row r="4289">
      <c r="A4289" s="17">
        <v>1002000.0</v>
      </c>
      <c r="B4289" s="17">
        <v>7044600.0</v>
      </c>
    </row>
    <row r="4290">
      <c r="A4290" s="17">
        <v>1002000.0</v>
      </c>
      <c r="B4290" s="17">
        <v>7050000.0</v>
      </c>
    </row>
    <row r="4291">
      <c r="A4291" s="17">
        <v>1002000.0</v>
      </c>
      <c r="B4291" s="17">
        <v>7050100.0</v>
      </c>
    </row>
    <row r="4292">
      <c r="A4292" s="17">
        <v>1002000.0</v>
      </c>
      <c r="B4292" s="17">
        <v>7060000.0</v>
      </c>
    </row>
    <row r="4293">
      <c r="A4293" s="17">
        <v>1002000.0</v>
      </c>
      <c r="B4293" s="17">
        <v>7060100.0</v>
      </c>
    </row>
    <row r="4294">
      <c r="A4294" s="17">
        <v>1002000.0</v>
      </c>
      <c r="B4294" s="17">
        <v>7060200.0</v>
      </c>
    </row>
    <row r="4295">
      <c r="A4295" s="17">
        <v>1002000.0</v>
      </c>
      <c r="B4295" s="17">
        <v>7070000.0</v>
      </c>
    </row>
    <row r="4296">
      <c r="A4296" s="17">
        <v>1002000.0</v>
      </c>
      <c r="B4296" s="17">
        <v>7080000.0</v>
      </c>
    </row>
    <row r="4297">
      <c r="A4297" s="17">
        <v>1002000.0</v>
      </c>
      <c r="B4297" s="17">
        <v>7080100.0</v>
      </c>
    </row>
    <row r="4298">
      <c r="A4298" s="17">
        <v>1002000.0</v>
      </c>
      <c r="B4298" s="17">
        <v>7080200.0</v>
      </c>
    </row>
    <row r="4299">
      <c r="A4299" s="17">
        <v>1002000.0</v>
      </c>
      <c r="B4299" s="17">
        <v>7080300.0</v>
      </c>
    </row>
    <row r="4300">
      <c r="A4300" s="17">
        <v>1002000.0</v>
      </c>
      <c r="B4300" s="17">
        <v>7080400.0</v>
      </c>
    </row>
    <row r="4301">
      <c r="A4301" s="17">
        <v>1002000.0</v>
      </c>
      <c r="B4301" s="17">
        <v>7080500.0</v>
      </c>
    </row>
    <row r="4302">
      <c r="A4302" s="17">
        <v>1002000.0</v>
      </c>
      <c r="B4302" s="17">
        <v>7080600.0</v>
      </c>
    </row>
    <row r="4303">
      <c r="A4303" s="17">
        <v>1002000.0</v>
      </c>
      <c r="B4303" s="17">
        <v>7080700.0</v>
      </c>
    </row>
    <row r="4304">
      <c r="A4304" s="17">
        <v>1002000.0</v>
      </c>
      <c r="B4304" s="17">
        <v>7080800.0</v>
      </c>
    </row>
    <row r="4305">
      <c r="A4305" s="17">
        <v>1002000.0</v>
      </c>
      <c r="B4305" s="17">
        <v>7080900.0</v>
      </c>
    </row>
    <row r="4306">
      <c r="A4306" s="17">
        <v>1002000.0</v>
      </c>
      <c r="B4306" s="17">
        <v>7081000.0</v>
      </c>
    </row>
    <row r="4307">
      <c r="A4307" s="17">
        <v>1002000.0</v>
      </c>
      <c r="B4307" s="17">
        <v>7081100.0</v>
      </c>
    </row>
    <row r="4308">
      <c r="A4308" s="17">
        <v>1002000.0</v>
      </c>
      <c r="B4308" s="17">
        <v>7081200.0</v>
      </c>
    </row>
    <row r="4309">
      <c r="A4309" s="17">
        <v>1002000.0</v>
      </c>
      <c r="B4309" s="17">
        <v>7081300.0</v>
      </c>
    </row>
    <row r="4310">
      <c r="A4310" s="17">
        <v>1002000.0</v>
      </c>
      <c r="B4310" s="17">
        <v>7081400.0</v>
      </c>
    </row>
    <row r="4311">
      <c r="A4311" s="17">
        <v>1002000.0</v>
      </c>
      <c r="B4311" s="17">
        <v>7081500.0</v>
      </c>
    </row>
    <row r="4312">
      <c r="A4312" s="17">
        <v>1002000.0</v>
      </c>
      <c r="B4312" s="17">
        <v>7081700.0</v>
      </c>
    </row>
    <row r="4313">
      <c r="A4313" s="17">
        <v>1002000.0</v>
      </c>
      <c r="B4313" s="17">
        <v>7081800.0</v>
      </c>
    </row>
    <row r="4314">
      <c r="A4314" s="17">
        <v>1002000.0</v>
      </c>
      <c r="B4314" s="17">
        <v>7081900.0</v>
      </c>
    </row>
    <row r="4315">
      <c r="A4315" s="17">
        <v>1002000.0</v>
      </c>
      <c r="B4315" s="17">
        <v>7082000.0</v>
      </c>
    </row>
    <row r="4316">
      <c r="A4316" s="17">
        <v>1002000.0</v>
      </c>
      <c r="B4316" s="17">
        <v>7082100.0</v>
      </c>
    </row>
    <row r="4317">
      <c r="A4317" s="17">
        <v>1002000.0</v>
      </c>
      <c r="B4317" s="17">
        <v>7082200.0</v>
      </c>
    </row>
    <row r="4318">
      <c r="A4318" s="17">
        <v>1002000.0</v>
      </c>
      <c r="B4318" s="17">
        <v>7082300.0</v>
      </c>
    </row>
    <row r="4319">
      <c r="A4319" s="17">
        <v>1002000.0</v>
      </c>
      <c r="B4319" s="17">
        <v>7082400.0</v>
      </c>
    </row>
    <row r="4320">
      <c r="A4320" s="17">
        <v>1002000.0</v>
      </c>
      <c r="B4320" s="17">
        <v>7082500.0</v>
      </c>
    </row>
    <row r="4321">
      <c r="A4321" s="17">
        <v>1002000.0</v>
      </c>
      <c r="B4321" s="17">
        <v>7082600.0</v>
      </c>
    </row>
    <row r="4322">
      <c r="A4322" s="17">
        <v>1002000.0</v>
      </c>
      <c r="B4322" s="17">
        <v>7082700.0</v>
      </c>
    </row>
    <row r="4323">
      <c r="A4323" s="17">
        <v>1002000.0</v>
      </c>
      <c r="B4323" s="17">
        <v>7082800.0</v>
      </c>
    </row>
    <row r="4324">
      <c r="A4324" s="17">
        <v>1002000.0</v>
      </c>
      <c r="B4324" s="17">
        <v>7082900.0</v>
      </c>
    </row>
    <row r="4325">
      <c r="A4325" s="17">
        <v>1002000.0</v>
      </c>
      <c r="B4325" s="17">
        <v>7090000.0</v>
      </c>
    </row>
    <row r="4326">
      <c r="A4326" s="17">
        <v>1002000.0</v>
      </c>
      <c r="B4326" s="17">
        <v>7090100.0</v>
      </c>
    </row>
    <row r="4327">
      <c r="A4327" s="17">
        <v>1002000.0</v>
      </c>
      <c r="B4327" s="17">
        <v>7090300.0</v>
      </c>
    </row>
    <row r="4328">
      <c r="A4328" s="17">
        <v>1002000.0</v>
      </c>
      <c r="B4328" s="17">
        <v>7100100.0</v>
      </c>
    </row>
    <row r="4329">
      <c r="A4329" s="17">
        <v>1002000.0</v>
      </c>
      <c r="B4329" s="17">
        <v>7110000.0</v>
      </c>
    </row>
    <row r="4330">
      <c r="A4330" s="17">
        <v>1002000.0</v>
      </c>
      <c r="B4330" s="17">
        <v>7120000.0</v>
      </c>
    </row>
    <row r="4331">
      <c r="A4331" s="17">
        <v>1002000.0</v>
      </c>
      <c r="B4331" s="17">
        <v>7120100.0</v>
      </c>
    </row>
    <row r="4332">
      <c r="A4332" s="17">
        <v>1002000.0</v>
      </c>
      <c r="B4332" s="17">
        <v>7120200.0</v>
      </c>
    </row>
    <row r="4333">
      <c r="A4333" s="17">
        <v>1002000.0</v>
      </c>
      <c r="B4333" s="17">
        <v>7120300.0</v>
      </c>
    </row>
    <row r="4334">
      <c r="A4334" s="17">
        <v>1002000.0</v>
      </c>
      <c r="B4334" s="17">
        <v>7120400.0</v>
      </c>
    </row>
    <row r="4335">
      <c r="A4335" s="17">
        <v>1002000.0</v>
      </c>
      <c r="B4335" s="17">
        <v>7120500.0</v>
      </c>
    </row>
    <row r="4336">
      <c r="A4336" s="17">
        <v>1002000.0</v>
      </c>
      <c r="B4336" s="17">
        <v>7120600.0</v>
      </c>
    </row>
    <row r="4337">
      <c r="A4337" s="17">
        <v>1002000.0</v>
      </c>
      <c r="B4337" s="17">
        <v>7120900.0</v>
      </c>
    </row>
    <row r="4338">
      <c r="A4338" s="17">
        <v>1002000.0</v>
      </c>
      <c r="B4338" s="17">
        <v>7121000.0</v>
      </c>
    </row>
    <row r="4339">
      <c r="A4339" s="17">
        <v>1002000.0</v>
      </c>
      <c r="B4339" s="17">
        <v>7121100.0</v>
      </c>
    </row>
    <row r="4340">
      <c r="A4340" s="17">
        <v>1002000.0</v>
      </c>
      <c r="B4340" s="17">
        <v>7121200.0</v>
      </c>
    </row>
    <row r="4341">
      <c r="A4341" s="17">
        <v>1002000.0</v>
      </c>
      <c r="B4341" s="17">
        <v>7121300.0</v>
      </c>
    </row>
    <row r="4342">
      <c r="A4342" s="17">
        <v>1002000.0</v>
      </c>
      <c r="B4342" s="17">
        <v>7121400.0</v>
      </c>
    </row>
    <row r="4343">
      <c r="A4343" s="17">
        <v>1002000.0</v>
      </c>
      <c r="B4343" s="17">
        <v>7121500.0</v>
      </c>
    </row>
    <row r="4344">
      <c r="A4344" s="17">
        <v>1002000.0</v>
      </c>
      <c r="B4344" s="17">
        <v>7121600.0</v>
      </c>
    </row>
    <row r="4345">
      <c r="A4345" s="17">
        <v>1002000.0</v>
      </c>
      <c r="B4345" s="17">
        <v>7121700.0</v>
      </c>
    </row>
    <row r="4346">
      <c r="A4346" s="17">
        <v>1002000.0</v>
      </c>
      <c r="B4346" s="17">
        <v>7121800.0</v>
      </c>
    </row>
    <row r="4347">
      <c r="A4347" s="17">
        <v>1002000.0</v>
      </c>
      <c r="B4347" s="17">
        <v>7121900.0</v>
      </c>
    </row>
    <row r="4348">
      <c r="A4348" s="17">
        <v>1002000.0</v>
      </c>
      <c r="B4348" s="17">
        <v>7122000.0</v>
      </c>
    </row>
    <row r="4349">
      <c r="A4349" s="17">
        <v>1002000.0</v>
      </c>
      <c r="B4349" s="17">
        <v>7122100.0</v>
      </c>
    </row>
    <row r="4350">
      <c r="A4350" s="17">
        <v>1002000.0</v>
      </c>
      <c r="B4350" s="17">
        <v>7122200.0</v>
      </c>
    </row>
    <row r="4351">
      <c r="A4351" s="17">
        <v>1002000.0</v>
      </c>
      <c r="B4351" s="17">
        <v>7122300.0</v>
      </c>
    </row>
    <row r="4352">
      <c r="A4352" s="17">
        <v>1002000.0</v>
      </c>
      <c r="B4352" s="17">
        <v>7122400.0</v>
      </c>
    </row>
    <row r="4353">
      <c r="A4353" s="17">
        <v>1002000.0</v>
      </c>
      <c r="B4353" s="17">
        <v>7122500.0</v>
      </c>
    </row>
    <row r="4354">
      <c r="A4354" s="17">
        <v>1002000.0</v>
      </c>
      <c r="B4354" s="17">
        <v>7122600.0</v>
      </c>
    </row>
    <row r="4355">
      <c r="A4355" s="17">
        <v>1002000.0</v>
      </c>
      <c r="B4355" s="17">
        <v>7122700.0</v>
      </c>
    </row>
    <row r="4356">
      <c r="A4356" s="17">
        <v>1002000.0</v>
      </c>
      <c r="B4356" s="17">
        <v>7122800.0</v>
      </c>
    </row>
    <row r="4357">
      <c r="A4357" s="17">
        <v>1002000.0</v>
      </c>
      <c r="B4357" s="17">
        <v>7122900.0</v>
      </c>
    </row>
    <row r="4358">
      <c r="A4358" s="17">
        <v>1002000.0</v>
      </c>
      <c r="B4358" s="17">
        <v>7123000.0</v>
      </c>
    </row>
    <row r="4359">
      <c r="A4359" s="17">
        <v>1002000.0</v>
      </c>
      <c r="B4359" s="17">
        <v>7123100.0</v>
      </c>
    </row>
    <row r="4360">
      <c r="A4360" s="17">
        <v>1002000.0</v>
      </c>
      <c r="B4360" s="17">
        <v>7123200.0</v>
      </c>
    </row>
    <row r="4361">
      <c r="A4361" s="17">
        <v>1002000.0</v>
      </c>
      <c r="B4361" s="17">
        <v>7123300.0</v>
      </c>
    </row>
    <row r="4362">
      <c r="A4362" s="17">
        <v>1002000.0</v>
      </c>
      <c r="B4362" s="17">
        <v>7123400.0</v>
      </c>
    </row>
    <row r="4363">
      <c r="A4363" s="17">
        <v>1002000.0</v>
      </c>
      <c r="B4363" s="17">
        <v>7123500.0</v>
      </c>
    </row>
    <row r="4364">
      <c r="A4364" s="17">
        <v>1002000.0</v>
      </c>
      <c r="B4364" s="17">
        <v>7123600.0</v>
      </c>
    </row>
    <row r="4365">
      <c r="A4365" s="17">
        <v>1002000.0</v>
      </c>
      <c r="B4365" s="17">
        <v>7123700.0</v>
      </c>
    </row>
    <row r="4366">
      <c r="A4366" s="17">
        <v>1002000.0</v>
      </c>
      <c r="B4366" s="17">
        <v>7123800.0</v>
      </c>
    </row>
    <row r="4367">
      <c r="A4367" s="17">
        <v>1002000.0</v>
      </c>
      <c r="B4367" s="17">
        <v>7123900.0</v>
      </c>
    </row>
    <row r="4368">
      <c r="A4368" s="17">
        <v>1002000.0</v>
      </c>
      <c r="B4368" s="17">
        <v>7124000.0</v>
      </c>
    </row>
    <row r="4369">
      <c r="A4369" s="17">
        <v>1002000.0</v>
      </c>
      <c r="B4369" s="17">
        <v>7124100.0</v>
      </c>
    </row>
    <row r="4370">
      <c r="A4370" s="17">
        <v>1002000.0</v>
      </c>
      <c r="B4370" s="17">
        <v>7124300.0</v>
      </c>
    </row>
    <row r="4371">
      <c r="A4371" s="17">
        <v>1002000.0</v>
      </c>
      <c r="B4371" s="17">
        <v>7124400.0</v>
      </c>
    </row>
    <row r="4372">
      <c r="A4372" s="17">
        <v>1002000.0</v>
      </c>
      <c r="B4372" s="17">
        <v>7124500.0</v>
      </c>
    </row>
    <row r="4373">
      <c r="A4373" s="17">
        <v>1002000.0</v>
      </c>
      <c r="B4373" s="17">
        <v>7124600.0</v>
      </c>
    </row>
    <row r="4374">
      <c r="A4374" s="17">
        <v>1002000.0</v>
      </c>
      <c r="B4374" s="17">
        <v>7124700.0</v>
      </c>
    </row>
    <row r="4375">
      <c r="A4375" s="17">
        <v>1002000.0</v>
      </c>
      <c r="B4375" s="17">
        <v>7126000.0</v>
      </c>
    </row>
    <row r="4376">
      <c r="A4376" s="17">
        <v>1002000.0</v>
      </c>
      <c r="B4376" s="17">
        <v>7150000.0</v>
      </c>
    </row>
    <row r="4377">
      <c r="A4377" s="17">
        <v>1002000.0</v>
      </c>
      <c r="B4377" s="17">
        <v>7160000.0</v>
      </c>
    </row>
    <row r="4378">
      <c r="A4378" s="17">
        <v>1002000.0</v>
      </c>
      <c r="B4378" s="17">
        <v>7220000.0</v>
      </c>
    </row>
    <row r="4379">
      <c r="A4379" s="17">
        <v>1002000.0</v>
      </c>
      <c r="B4379" s="17">
        <v>7230000.0</v>
      </c>
    </row>
    <row r="4380">
      <c r="A4380" s="17">
        <v>1002000.0</v>
      </c>
      <c r="B4380" s="17">
        <v>7240000.0</v>
      </c>
    </row>
    <row r="4381">
      <c r="A4381" s="17">
        <v>1002000.0</v>
      </c>
      <c r="B4381" s="17">
        <v>7260000.0</v>
      </c>
    </row>
    <row r="4382">
      <c r="A4382" s="17">
        <v>1002000.0</v>
      </c>
      <c r="B4382" s="17">
        <v>7260300.0</v>
      </c>
    </row>
    <row r="4383">
      <c r="A4383" s="17">
        <v>1002000.0</v>
      </c>
      <c r="B4383" s="17">
        <v>7260400.0</v>
      </c>
    </row>
    <row r="4384">
      <c r="A4384" s="17">
        <v>1002000.0</v>
      </c>
      <c r="B4384" s="17">
        <v>7270100.0</v>
      </c>
    </row>
    <row r="4385">
      <c r="A4385" s="17">
        <v>1002000.0</v>
      </c>
      <c r="B4385" s="17">
        <v>7280000.0</v>
      </c>
    </row>
    <row r="4386">
      <c r="A4386" s="17">
        <v>1002000.0</v>
      </c>
      <c r="B4386" s="17">
        <v>7290000.0</v>
      </c>
    </row>
    <row r="4387">
      <c r="A4387" s="17">
        <v>1002000.0</v>
      </c>
      <c r="B4387" s="17">
        <v>7310000.0</v>
      </c>
    </row>
    <row r="4388">
      <c r="A4388" s="17">
        <v>1002000.0</v>
      </c>
      <c r="B4388" s="17">
        <v>7330000.0</v>
      </c>
    </row>
    <row r="4389">
      <c r="A4389" s="17">
        <v>1002000.0</v>
      </c>
      <c r="B4389" s="17">
        <v>7330100.0</v>
      </c>
    </row>
    <row r="4390">
      <c r="A4390" s="17">
        <v>1002000.0</v>
      </c>
      <c r="B4390" s="17">
        <v>7330200.0</v>
      </c>
    </row>
    <row r="4391">
      <c r="A4391" s="17">
        <v>1002000.0</v>
      </c>
      <c r="B4391" s="17">
        <v>7330300.0</v>
      </c>
    </row>
    <row r="4392">
      <c r="A4392" s="17">
        <v>1002000.0</v>
      </c>
      <c r="B4392" s="17">
        <v>7330400.0</v>
      </c>
    </row>
    <row r="4393">
      <c r="A4393" s="17">
        <v>1002000.0</v>
      </c>
      <c r="B4393" s="17">
        <v>7330500.0</v>
      </c>
    </row>
    <row r="4394">
      <c r="A4394" s="17">
        <v>1002000.0</v>
      </c>
      <c r="B4394" s="17">
        <v>7330600.0</v>
      </c>
    </row>
    <row r="4395">
      <c r="A4395" s="17">
        <v>1002000.0</v>
      </c>
      <c r="B4395" s="17">
        <v>7330700.0</v>
      </c>
    </row>
    <row r="4396">
      <c r="A4396" s="17">
        <v>1002000.0</v>
      </c>
      <c r="B4396" s="17">
        <v>7330800.0</v>
      </c>
    </row>
    <row r="4397">
      <c r="A4397" s="17">
        <v>1002000.0</v>
      </c>
      <c r="B4397" s="17">
        <v>7330900.0</v>
      </c>
    </row>
    <row r="4398">
      <c r="A4398" s="17">
        <v>1002000.0</v>
      </c>
      <c r="B4398" s="17">
        <v>7331000.0</v>
      </c>
    </row>
    <row r="4399">
      <c r="A4399" s="17">
        <v>1002000.0</v>
      </c>
      <c r="B4399" s="17">
        <v>7331100.0</v>
      </c>
    </row>
    <row r="4400">
      <c r="A4400" s="17">
        <v>1002000.0</v>
      </c>
      <c r="B4400" s="17">
        <v>7331200.0</v>
      </c>
    </row>
    <row r="4401">
      <c r="A4401" s="17">
        <v>1002000.0</v>
      </c>
      <c r="B4401" s="17">
        <v>7331300.0</v>
      </c>
    </row>
    <row r="4402">
      <c r="A4402" s="17">
        <v>1002000.0</v>
      </c>
      <c r="B4402" s="17">
        <v>7331400.0</v>
      </c>
    </row>
    <row r="4403">
      <c r="A4403" s="17">
        <v>1002000.0</v>
      </c>
      <c r="B4403" s="17">
        <v>7331500.0</v>
      </c>
    </row>
    <row r="4404">
      <c r="A4404" s="17">
        <v>1002000.0</v>
      </c>
      <c r="B4404" s="17">
        <v>7331700.0</v>
      </c>
    </row>
    <row r="4405">
      <c r="A4405" s="17">
        <v>1002000.0</v>
      </c>
      <c r="B4405" s="17">
        <v>7331800.0</v>
      </c>
    </row>
    <row r="4406">
      <c r="A4406" s="17">
        <v>1002000.0</v>
      </c>
      <c r="B4406" s="17">
        <v>7331900.0</v>
      </c>
    </row>
    <row r="4407">
      <c r="A4407" s="17">
        <v>1002000.0</v>
      </c>
      <c r="B4407" s="17">
        <v>7332000.0</v>
      </c>
    </row>
    <row r="4408">
      <c r="A4408" s="17">
        <v>1002000.0</v>
      </c>
      <c r="B4408" s="17">
        <v>7332100.0</v>
      </c>
    </row>
    <row r="4409">
      <c r="A4409" s="17">
        <v>1002000.0</v>
      </c>
      <c r="B4409" s="17">
        <v>7332200.0</v>
      </c>
    </row>
    <row r="4410">
      <c r="A4410" s="17">
        <v>1002000.0</v>
      </c>
      <c r="B4410" s="17">
        <v>7332300.0</v>
      </c>
    </row>
    <row r="4411">
      <c r="A4411" s="17">
        <v>1002000.0</v>
      </c>
      <c r="B4411" s="17">
        <v>7332400.0</v>
      </c>
    </row>
    <row r="4412">
      <c r="A4412" s="17">
        <v>1002000.0</v>
      </c>
      <c r="B4412" s="17">
        <v>7340000.0</v>
      </c>
    </row>
    <row r="4413">
      <c r="A4413" s="17">
        <v>1002000.0</v>
      </c>
      <c r="B4413" s="17">
        <v>7340100.0</v>
      </c>
    </row>
    <row r="4414">
      <c r="A4414" s="17">
        <v>1002000.0</v>
      </c>
      <c r="B4414" s="17">
        <v>7340200.0</v>
      </c>
    </row>
    <row r="4415">
      <c r="A4415" s="17">
        <v>1002000.0</v>
      </c>
      <c r="B4415" s="17">
        <v>7340300.0</v>
      </c>
    </row>
    <row r="4416">
      <c r="A4416" s="17">
        <v>1002000.0</v>
      </c>
      <c r="B4416" s="17">
        <v>7340400.0</v>
      </c>
    </row>
    <row r="4417">
      <c r="A4417" s="17">
        <v>1002000.0</v>
      </c>
      <c r="B4417" s="17">
        <v>7340500.0</v>
      </c>
    </row>
    <row r="4418">
      <c r="A4418" s="17">
        <v>1002000.0</v>
      </c>
      <c r="B4418" s="17">
        <v>7340600.0</v>
      </c>
    </row>
    <row r="4419">
      <c r="A4419" s="17">
        <v>1002000.0</v>
      </c>
      <c r="B4419" s="17">
        <v>7340700.0</v>
      </c>
    </row>
    <row r="4420">
      <c r="A4420" s="17">
        <v>1002000.0</v>
      </c>
      <c r="B4420" s="17">
        <v>7340800.0</v>
      </c>
    </row>
    <row r="4421">
      <c r="A4421" s="17">
        <v>1002000.0</v>
      </c>
      <c r="B4421" s="17">
        <v>7340900.0</v>
      </c>
    </row>
    <row r="4422">
      <c r="A4422" s="17">
        <v>1002000.0</v>
      </c>
      <c r="B4422" s="17">
        <v>7341000.0</v>
      </c>
    </row>
    <row r="4423">
      <c r="A4423" s="17">
        <v>1002000.0</v>
      </c>
      <c r="B4423" s="17">
        <v>7341100.0</v>
      </c>
    </row>
    <row r="4424">
      <c r="A4424" s="17">
        <v>1002000.0</v>
      </c>
      <c r="B4424" s="17">
        <v>7341200.0</v>
      </c>
    </row>
    <row r="4425">
      <c r="A4425" s="17">
        <v>1002000.0</v>
      </c>
      <c r="B4425" s="17">
        <v>7341300.0</v>
      </c>
    </row>
    <row r="4426">
      <c r="A4426" s="17">
        <v>1002000.0</v>
      </c>
      <c r="B4426" s="17">
        <v>7341400.0</v>
      </c>
    </row>
    <row r="4427">
      <c r="A4427" s="17">
        <v>1002000.0</v>
      </c>
      <c r="B4427" s="17">
        <v>7341500.0</v>
      </c>
    </row>
    <row r="4428">
      <c r="A4428" s="17">
        <v>1002000.0</v>
      </c>
      <c r="B4428" s="17">
        <v>7341700.0</v>
      </c>
    </row>
    <row r="4429">
      <c r="A4429" s="17">
        <v>1002000.0</v>
      </c>
      <c r="B4429" s="17">
        <v>7341800.0</v>
      </c>
    </row>
    <row r="4430">
      <c r="A4430" s="17">
        <v>1002000.0</v>
      </c>
      <c r="B4430" s="17">
        <v>7341900.0</v>
      </c>
    </row>
    <row r="4431">
      <c r="A4431" s="17">
        <v>1002000.0</v>
      </c>
      <c r="B4431" s="17">
        <v>7342000.0</v>
      </c>
    </row>
    <row r="4432">
      <c r="A4432" s="17">
        <v>1002000.0</v>
      </c>
      <c r="B4432" s="17">
        <v>7342100.0</v>
      </c>
    </row>
    <row r="4433">
      <c r="A4433" s="17">
        <v>1002000.0</v>
      </c>
      <c r="B4433" s="17">
        <v>7342200.0</v>
      </c>
    </row>
    <row r="4434">
      <c r="A4434" s="17">
        <v>1002000.0</v>
      </c>
      <c r="B4434" s="17">
        <v>7342300.0</v>
      </c>
    </row>
    <row r="4435">
      <c r="A4435" s="17">
        <v>1002000.0</v>
      </c>
      <c r="B4435" s="17">
        <v>7342400.0</v>
      </c>
    </row>
    <row r="4436">
      <c r="A4436" s="17">
        <v>1002000.0</v>
      </c>
      <c r="B4436" s="17">
        <v>7350000.0</v>
      </c>
    </row>
    <row r="4437">
      <c r="A4437" s="17">
        <v>1002000.0</v>
      </c>
      <c r="B4437" s="17">
        <v>7350100.0</v>
      </c>
    </row>
    <row r="4438">
      <c r="A4438" s="17">
        <v>1002000.0</v>
      </c>
      <c r="B4438" s="17">
        <v>7350200.0</v>
      </c>
    </row>
    <row r="4439">
      <c r="A4439" s="17">
        <v>1002000.0</v>
      </c>
      <c r="B4439" s="17">
        <v>7350300.0</v>
      </c>
    </row>
    <row r="4440">
      <c r="A4440" s="17">
        <v>1002000.0</v>
      </c>
      <c r="B4440" s="17">
        <v>7350400.0</v>
      </c>
    </row>
    <row r="4441">
      <c r="A4441" s="17">
        <v>1002000.0</v>
      </c>
      <c r="B4441" s="17">
        <v>7350500.0</v>
      </c>
    </row>
    <row r="4442">
      <c r="A4442" s="17">
        <v>1002000.0</v>
      </c>
      <c r="B4442" s="17">
        <v>7350600.0</v>
      </c>
    </row>
    <row r="4443">
      <c r="A4443" s="17">
        <v>1002000.0</v>
      </c>
      <c r="B4443" s="17">
        <v>7350700.0</v>
      </c>
    </row>
    <row r="4444">
      <c r="A4444" s="17">
        <v>1002000.0</v>
      </c>
      <c r="B4444" s="17">
        <v>7350800.0</v>
      </c>
    </row>
    <row r="4445">
      <c r="A4445" s="17">
        <v>1002000.0</v>
      </c>
      <c r="B4445" s="17">
        <v>7350900.0</v>
      </c>
    </row>
    <row r="4446">
      <c r="A4446" s="17">
        <v>1002000.0</v>
      </c>
      <c r="B4446" s="17">
        <v>7351000.0</v>
      </c>
    </row>
    <row r="4447">
      <c r="A4447" s="17">
        <v>1002000.0</v>
      </c>
      <c r="B4447" s="17">
        <v>7351100.0</v>
      </c>
    </row>
    <row r="4448">
      <c r="A4448" s="17">
        <v>1002000.0</v>
      </c>
      <c r="B4448" s="17">
        <v>7351200.0</v>
      </c>
    </row>
    <row r="4449">
      <c r="A4449" s="17">
        <v>1002000.0</v>
      </c>
      <c r="B4449" s="17">
        <v>7351300.0</v>
      </c>
    </row>
    <row r="4450">
      <c r="A4450" s="17">
        <v>1002000.0</v>
      </c>
      <c r="B4450" s="17">
        <v>7351400.0</v>
      </c>
    </row>
    <row r="4451">
      <c r="A4451" s="17">
        <v>1002000.0</v>
      </c>
      <c r="B4451" s="17">
        <v>7351500.0</v>
      </c>
    </row>
    <row r="4452">
      <c r="A4452" s="17">
        <v>1002000.0</v>
      </c>
      <c r="B4452" s="17">
        <v>7351700.0</v>
      </c>
    </row>
    <row r="4453">
      <c r="A4453" s="17">
        <v>1002000.0</v>
      </c>
      <c r="B4453" s="17">
        <v>7351800.0</v>
      </c>
    </row>
    <row r="4454">
      <c r="A4454" s="17">
        <v>1002000.0</v>
      </c>
      <c r="B4454" s="17">
        <v>7351900.0</v>
      </c>
    </row>
    <row r="4455">
      <c r="A4455" s="17">
        <v>1002000.0</v>
      </c>
      <c r="B4455" s="17">
        <v>7352000.0</v>
      </c>
    </row>
    <row r="4456">
      <c r="A4456" s="17">
        <v>1002000.0</v>
      </c>
      <c r="B4456" s="17">
        <v>7352100.0</v>
      </c>
    </row>
    <row r="4457">
      <c r="A4457" s="17">
        <v>1002000.0</v>
      </c>
      <c r="B4457" s="17">
        <v>7352200.0</v>
      </c>
    </row>
    <row r="4458">
      <c r="A4458" s="17">
        <v>1002000.0</v>
      </c>
      <c r="B4458" s="17">
        <v>7352300.0</v>
      </c>
    </row>
    <row r="4459">
      <c r="A4459" s="17">
        <v>1002000.0</v>
      </c>
      <c r="B4459" s="17">
        <v>7352400.0</v>
      </c>
    </row>
    <row r="4460">
      <c r="A4460" s="17">
        <v>1002000.0</v>
      </c>
      <c r="B4460" s="17">
        <v>7360600.0</v>
      </c>
    </row>
    <row r="4461">
      <c r="A4461" s="17">
        <v>1002000.0</v>
      </c>
      <c r="B4461" s="17">
        <v>7360900.0</v>
      </c>
    </row>
    <row r="4462">
      <c r="A4462" s="17">
        <v>1002000.0</v>
      </c>
      <c r="B4462" s="17">
        <v>7361200.0</v>
      </c>
    </row>
    <row r="4463">
      <c r="A4463" s="17">
        <v>1002000.0</v>
      </c>
      <c r="B4463" s="17">
        <v>7361300.0</v>
      </c>
    </row>
    <row r="4464">
      <c r="A4464" s="17">
        <v>1002000.0</v>
      </c>
      <c r="B4464" s="17">
        <v>7362100.0</v>
      </c>
    </row>
    <row r="4465">
      <c r="A4465" s="17">
        <v>1002000.0</v>
      </c>
      <c r="B4465" s="17">
        <v>7370300.0</v>
      </c>
    </row>
    <row r="4466">
      <c r="A4466" s="17">
        <v>1002000.0</v>
      </c>
      <c r="B4466" s="17">
        <v>7370400.0</v>
      </c>
    </row>
    <row r="4467">
      <c r="A4467" s="17">
        <v>1002000.0</v>
      </c>
      <c r="B4467" s="17">
        <v>7370600.0</v>
      </c>
    </row>
    <row r="4468">
      <c r="A4468" s="17">
        <v>1002000.0</v>
      </c>
      <c r="B4468" s="17">
        <v>7370900.0</v>
      </c>
    </row>
    <row r="4469">
      <c r="A4469" s="17">
        <v>1002000.0</v>
      </c>
      <c r="B4469" s="17">
        <v>7371500.0</v>
      </c>
    </row>
    <row r="4470">
      <c r="A4470" s="17">
        <v>1002000.0</v>
      </c>
      <c r="B4470" s="17">
        <v>7036200.0</v>
      </c>
    </row>
    <row r="4471">
      <c r="A4471" s="17">
        <v>1002000.0</v>
      </c>
      <c r="B4471" s="17">
        <v>7036300.0</v>
      </c>
    </row>
    <row r="4472">
      <c r="A4472" s="17">
        <v>1002000.0</v>
      </c>
      <c r="B4472" s="17">
        <v>7036400.0</v>
      </c>
    </row>
    <row r="4473">
      <c r="A4473" s="17">
        <v>1002000.0</v>
      </c>
      <c r="B4473" s="17">
        <v>7036500.0</v>
      </c>
    </row>
    <row r="4474">
      <c r="A4474" s="17">
        <v>1002000.0</v>
      </c>
      <c r="B4474" s="17">
        <v>7036800.0</v>
      </c>
    </row>
    <row r="4475">
      <c r="A4475" s="17">
        <v>1002000.0</v>
      </c>
      <c r="B4475" s="17">
        <v>7036900.0</v>
      </c>
    </row>
    <row r="4476">
      <c r="A4476" s="17">
        <v>1002000.0</v>
      </c>
      <c r="B4476" s="17">
        <v>7037000.0</v>
      </c>
    </row>
    <row r="4477">
      <c r="A4477" s="17">
        <v>1002000.0</v>
      </c>
      <c r="B4477" s="17">
        <v>7037300.0</v>
      </c>
    </row>
    <row r="4478">
      <c r="A4478" s="17">
        <v>1002000.0</v>
      </c>
      <c r="B4478" s="17">
        <v>6630000.0</v>
      </c>
    </row>
    <row r="4479">
      <c r="A4479" s="17">
        <v>1002000.0</v>
      </c>
      <c r="B4479" s="17">
        <v>6630100.0</v>
      </c>
    </row>
    <row r="4480">
      <c r="A4480" s="17">
        <v>1002000.0</v>
      </c>
      <c r="B4480" s="17">
        <v>6630200.0</v>
      </c>
    </row>
    <row r="4481">
      <c r="A4481" s="17">
        <v>1002000.0</v>
      </c>
      <c r="B4481" s="17">
        <v>6630300.0</v>
      </c>
    </row>
    <row r="4482">
      <c r="A4482" s="17">
        <v>1002000.0</v>
      </c>
      <c r="B4482" s="17">
        <v>6630400.0</v>
      </c>
    </row>
    <row r="4483">
      <c r="A4483" s="17">
        <v>1002000.0</v>
      </c>
      <c r="B4483" s="17">
        <v>6630500.0</v>
      </c>
    </row>
    <row r="4484">
      <c r="A4484" s="17">
        <v>1002000.0</v>
      </c>
      <c r="B4484" s="17">
        <v>6630600.0</v>
      </c>
    </row>
    <row r="4485">
      <c r="A4485" s="17">
        <v>1002000.0</v>
      </c>
      <c r="B4485" s="17">
        <v>6630700.0</v>
      </c>
    </row>
    <row r="4486">
      <c r="A4486" s="17">
        <v>1002000.0</v>
      </c>
      <c r="B4486" s="17">
        <v>6630800.0</v>
      </c>
    </row>
    <row r="4487">
      <c r="A4487" s="17">
        <v>1002000.0</v>
      </c>
      <c r="B4487" s="17">
        <v>6630900.0</v>
      </c>
    </row>
    <row r="4488">
      <c r="A4488" s="17">
        <v>1002000.0</v>
      </c>
      <c r="B4488" s="17">
        <v>6631000.0</v>
      </c>
    </row>
    <row r="4489">
      <c r="A4489" s="17">
        <v>1002000.0</v>
      </c>
      <c r="B4489" s="17">
        <v>6631100.0</v>
      </c>
    </row>
    <row r="4490">
      <c r="A4490" s="17">
        <v>1002000.0</v>
      </c>
      <c r="B4490" s="17">
        <v>6631200.0</v>
      </c>
    </row>
    <row r="4491">
      <c r="A4491" s="17">
        <v>1002000.0</v>
      </c>
      <c r="B4491" s="17">
        <v>6631300.0</v>
      </c>
    </row>
    <row r="4492">
      <c r="A4492" s="17">
        <v>1002000.0</v>
      </c>
      <c r="B4492" s="17">
        <v>6631400.0</v>
      </c>
    </row>
    <row r="4493">
      <c r="A4493" s="17">
        <v>1002000.0</v>
      </c>
      <c r="B4493" s="17">
        <v>6631500.0</v>
      </c>
    </row>
    <row r="4494">
      <c r="A4494" s="17">
        <v>1002000.0</v>
      </c>
      <c r="B4494" s="17">
        <v>6631600.0</v>
      </c>
    </row>
    <row r="4495">
      <c r="A4495" s="17">
        <v>1002000.0</v>
      </c>
      <c r="B4495" s="17">
        <v>6631700.0</v>
      </c>
    </row>
    <row r="4496">
      <c r="A4496" s="17">
        <v>1002000.0</v>
      </c>
      <c r="B4496" s="17">
        <v>6631800.0</v>
      </c>
    </row>
    <row r="4497">
      <c r="A4497" s="17">
        <v>1002000.0</v>
      </c>
      <c r="B4497" s="17">
        <v>6631900.0</v>
      </c>
    </row>
    <row r="4498">
      <c r="A4498" s="17">
        <v>1002000.0</v>
      </c>
      <c r="B4498" s="17">
        <v>6632000.0</v>
      </c>
    </row>
    <row r="4499">
      <c r="A4499" s="17">
        <v>1002000.0</v>
      </c>
      <c r="B4499" s="17">
        <v>6632100.0</v>
      </c>
    </row>
    <row r="4500">
      <c r="A4500" s="17">
        <v>1002000.0</v>
      </c>
      <c r="B4500" s="17">
        <v>6632200.0</v>
      </c>
    </row>
    <row r="4501">
      <c r="A4501" s="17">
        <v>1002000.0</v>
      </c>
      <c r="B4501" s="17">
        <v>6632300.0</v>
      </c>
    </row>
    <row r="4502">
      <c r="A4502" s="17">
        <v>1002000.0</v>
      </c>
      <c r="B4502" s="17">
        <v>6632400.0</v>
      </c>
    </row>
    <row r="4503">
      <c r="A4503" s="17">
        <v>1002000.0</v>
      </c>
      <c r="B4503" s="17">
        <v>6632500.0</v>
      </c>
    </row>
    <row r="4504">
      <c r="A4504" s="17">
        <v>1002000.0</v>
      </c>
      <c r="B4504" s="17">
        <v>6632600.0</v>
      </c>
    </row>
    <row r="4505">
      <c r="A4505" s="17">
        <v>1002000.0</v>
      </c>
      <c r="B4505" s="17">
        <v>6632700.0</v>
      </c>
    </row>
    <row r="4506">
      <c r="A4506" s="17">
        <v>1002000.0</v>
      </c>
      <c r="B4506" s="17">
        <v>6632800.0</v>
      </c>
    </row>
    <row r="4507">
      <c r="A4507" s="17">
        <v>1002000.0</v>
      </c>
      <c r="B4507" s="17">
        <v>6632900.0</v>
      </c>
    </row>
    <row r="4508">
      <c r="A4508" s="17">
        <v>1002000.0</v>
      </c>
      <c r="B4508" s="17">
        <v>6633000.0</v>
      </c>
    </row>
    <row r="4509">
      <c r="A4509" s="17">
        <v>1002000.0</v>
      </c>
      <c r="B4509" s="17">
        <v>6633100.0</v>
      </c>
    </row>
    <row r="4510">
      <c r="A4510" s="17">
        <v>1002000.0</v>
      </c>
      <c r="B4510" s="17">
        <v>6633200.0</v>
      </c>
    </row>
    <row r="4511">
      <c r="A4511" s="17">
        <v>1002000.0</v>
      </c>
      <c r="B4511" s="17">
        <v>6647200.0</v>
      </c>
    </row>
    <row r="4512">
      <c r="A4512" s="17">
        <v>1002000.0</v>
      </c>
      <c r="B4512" s="17">
        <v>6647300.0</v>
      </c>
    </row>
    <row r="4513">
      <c r="A4513" s="17">
        <v>1002000.0</v>
      </c>
      <c r="B4513" s="17">
        <v>6647400.0</v>
      </c>
    </row>
    <row r="4514">
      <c r="A4514" s="17">
        <v>1002000.0</v>
      </c>
      <c r="B4514" s="17">
        <v>6647500.0</v>
      </c>
    </row>
    <row r="4515">
      <c r="A4515" s="17">
        <v>1002000.0</v>
      </c>
      <c r="B4515" s="17">
        <v>6640000.0</v>
      </c>
    </row>
    <row r="4516">
      <c r="A4516" s="17">
        <v>1002000.0</v>
      </c>
      <c r="B4516" s="17">
        <v>6640100.0</v>
      </c>
    </row>
    <row r="4517">
      <c r="A4517" s="17">
        <v>1002000.0</v>
      </c>
      <c r="B4517" s="17">
        <v>6641000.0</v>
      </c>
    </row>
    <row r="4518">
      <c r="A4518" s="17">
        <v>1002000.0</v>
      </c>
      <c r="B4518" s="17">
        <v>6641100.0</v>
      </c>
    </row>
    <row r="4519">
      <c r="A4519" s="17">
        <v>1002000.0</v>
      </c>
      <c r="B4519" s="17">
        <v>6642000.0</v>
      </c>
    </row>
    <row r="4520">
      <c r="A4520" s="17">
        <v>1002000.0</v>
      </c>
      <c r="B4520" s="17">
        <v>6642100.0</v>
      </c>
    </row>
    <row r="4521">
      <c r="A4521" s="17">
        <v>1002000.0</v>
      </c>
      <c r="B4521" s="17">
        <v>6643000.0</v>
      </c>
    </row>
    <row r="4522">
      <c r="A4522" s="17">
        <v>1002000.0</v>
      </c>
      <c r="B4522" s="17">
        <v>6643100.0</v>
      </c>
    </row>
    <row r="4523">
      <c r="A4523" s="17">
        <v>1002000.0</v>
      </c>
      <c r="B4523" s="17">
        <v>6644000.0</v>
      </c>
    </row>
    <row r="4524">
      <c r="A4524" s="17">
        <v>1002000.0</v>
      </c>
      <c r="B4524" s="17">
        <v>6644100.0</v>
      </c>
    </row>
    <row r="4525">
      <c r="A4525" s="17">
        <v>1002000.0</v>
      </c>
      <c r="B4525" s="17">
        <v>6645000.0</v>
      </c>
    </row>
    <row r="4526">
      <c r="A4526" s="17">
        <v>1002000.0</v>
      </c>
      <c r="B4526" s="17">
        <v>6645100.0</v>
      </c>
    </row>
    <row r="4527">
      <c r="A4527" s="17">
        <v>1002000.0</v>
      </c>
      <c r="B4527" s="17">
        <v>6646000.0</v>
      </c>
    </row>
    <row r="4528">
      <c r="A4528" s="17">
        <v>1002000.0</v>
      </c>
      <c r="B4528" s="17">
        <v>6646100.0</v>
      </c>
    </row>
    <row r="4529">
      <c r="A4529" s="17">
        <v>1002000.0</v>
      </c>
      <c r="B4529" s="17">
        <v>6647000.0</v>
      </c>
    </row>
    <row r="4530">
      <c r="A4530" s="17">
        <v>1002000.0</v>
      </c>
      <c r="B4530" s="17">
        <v>6647100.0</v>
      </c>
    </row>
    <row r="4531">
      <c r="A4531" s="17">
        <v>1002001.0</v>
      </c>
      <c r="B4531" s="17">
        <v>7000000.0</v>
      </c>
    </row>
    <row r="4532">
      <c r="A4532" s="17">
        <v>1002001.0</v>
      </c>
      <c r="B4532" s="17">
        <v>7000001.0</v>
      </c>
    </row>
    <row r="4533">
      <c r="A4533" s="17">
        <v>1002001.0</v>
      </c>
      <c r="B4533" s="17">
        <v>7000002.0</v>
      </c>
    </row>
    <row r="4534">
      <c r="A4534" s="17">
        <v>1002001.0</v>
      </c>
      <c r="B4534" s="17">
        <v>7000100.0</v>
      </c>
    </row>
    <row r="4535">
      <c r="A4535" s="17">
        <v>1002001.0</v>
      </c>
      <c r="B4535" s="17">
        <v>7000101.0</v>
      </c>
    </row>
    <row r="4536">
      <c r="A4536" s="17">
        <v>1002001.0</v>
      </c>
      <c r="B4536" s="17">
        <v>7000102.0</v>
      </c>
    </row>
    <row r="4537">
      <c r="A4537" s="17">
        <v>1002001.0</v>
      </c>
      <c r="B4537" s="17">
        <v>7000200.0</v>
      </c>
    </row>
    <row r="4538">
      <c r="A4538" s="17">
        <v>1002001.0</v>
      </c>
      <c r="B4538" s="17">
        <v>7000201.0</v>
      </c>
    </row>
    <row r="4539">
      <c r="A4539" s="17">
        <v>1002001.0</v>
      </c>
      <c r="B4539" s="17">
        <v>7000202.0</v>
      </c>
    </row>
    <row r="4540">
      <c r="A4540" s="17">
        <v>1002001.0</v>
      </c>
      <c r="B4540" s="17">
        <v>7000300.0</v>
      </c>
    </row>
    <row r="4541">
      <c r="A4541" s="17">
        <v>1002001.0</v>
      </c>
      <c r="B4541" s="17">
        <v>7000301.0</v>
      </c>
    </row>
    <row r="4542">
      <c r="A4542" s="17">
        <v>1002001.0</v>
      </c>
      <c r="B4542" s="17">
        <v>7000302.0</v>
      </c>
    </row>
    <row r="4543">
      <c r="A4543" s="17">
        <v>1002001.0</v>
      </c>
      <c r="B4543" s="17">
        <v>7000400.0</v>
      </c>
    </row>
    <row r="4544">
      <c r="A4544" s="17">
        <v>1002001.0</v>
      </c>
      <c r="B4544" s="17">
        <v>7000401.0</v>
      </c>
    </row>
    <row r="4545">
      <c r="A4545" s="17">
        <v>1002001.0</v>
      </c>
      <c r="B4545" s="17">
        <v>7000402.0</v>
      </c>
    </row>
    <row r="4546">
      <c r="A4546" s="17">
        <v>1002001.0</v>
      </c>
      <c r="B4546" s="17">
        <v>7000500.0</v>
      </c>
    </row>
    <row r="4547">
      <c r="A4547" s="17">
        <v>1002001.0</v>
      </c>
      <c r="B4547" s="17">
        <v>7000501.0</v>
      </c>
    </row>
    <row r="4548">
      <c r="A4548" s="17">
        <v>1002001.0</v>
      </c>
      <c r="B4548" s="17">
        <v>7000502.0</v>
      </c>
    </row>
    <row r="4549">
      <c r="A4549" s="17">
        <v>1002001.0</v>
      </c>
      <c r="B4549" s="17">
        <v>7000600.0</v>
      </c>
    </row>
    <row r="4550">
      <c r="A4550" s="17">
        <v>1002001.0</v>
      </c>
      <c r="B4550" s="17">
        <v>7000601.0</v>
      </c>
    </row>
    <row r="4551">
      <c r="A4551" s="17">
        <v>1002001.0</v>
      </c>
      <c r="B4551" s="17">
        <v>7000602.0</v>
      </c>
    </row>
    <row r="4552">
      <c r="A4552" s="17">
        <v>1002001.0</v>
      </c>
      <c r="B4552" s="17">
        <v>7000700.0</v>
      </c>
    </row>
    <row r="4553">
      <c r="A4553" s="17">
        <v>1002001.0</v>
      </c>
      <c r="B4553" s="17">
        <v>7000701.0</v>
      </c>
    </row>
    <row r="4554">
      <c r="A4554" s="17">
        <v>1002001.0</v>
      </c>
      <c r="B4554" s="17">
        <v>7000702.0</v>
      </c>
    </row>
    <row r="4555">
      <c r="A4555" s="17">
        <v>1002001.0</v>
      </c>
      <c r="B4555" s="17">
        <v>7000800.0</v>
      </c>
    </row>
    <row r="4556">
      <c r="A4556" s="17">
        <v>1002001.0</v>
      </c>
      <c r="B4556" s="17">
        <v>7000801.0</v>
      </c>
    </row>
    <row r="4557">
      <c r="A4557" s="17">
        <v>1002001.0</v>
      </c>
      <c r="B4557" s="17">
        <v>7000802.0</v>
      </c>
    </row>
    <row r="4558">
      <c r="A4558" s="17">
        <v>1002001.0</v>
      </c>
      <c r="B4558" s="17">
        <v>7000900.0</v>
      </c>
    </row>
    <row r="4559">
      <c r="A4559" s="17">
        <v>1002001.0</v>
      </c>
      <c r="B4559" s="17">
        <v>7000901.0</v>
      </c>
    </row>
    <row r="4560">
      <c r="A4560" s="17">
        <v>1002001.0</v>
      </c>
      <c r="B4560" s="17">
        <v>7000902.0</v>
      </c>
    </row>
    <row r="4561">
      <c r="A4561" s="17">
        <v>1002001.0</v>
      </c>
      <c r="B4561" s="17">
        <v>7001000.0</v>
      </c>
    </row>
    <row r="4562">
      <c r="A4562" s="17">
        <v>1002001.0</v>
      </c>
      <c r="B4562" s="17">
        <v>7001001.0</v>
      </c>
    </row>
    <row r="4563">
      <c r="A4563" s="17">
        <v>1002001.0</v>
      </c>
      <c r="B4563" s="17">
        <v>7001002.0</v>
      </c>
    </row>
    <row r="4564">
      <c r="A4564" s="17">
        <v>1002001.0</v>
      </c>
      <c r="B4564" s="17">
        <v>7001400.0</v>
      </c>
    </row>
    <row r="4565">
      <c r="A4565" s="17">
        <v>1002001.0</v>
      </c>
      <c r="B4565" s="17">
        <v>7001401.0</v>
      </c>
    </row>
    <row r="4566">
      <c r="A4566" s="17">
        <v>1002001.0</v>
      </c>
      <c r="B4566" s="17">
        <v>7001402.0</v>
      </c>
    </row>
    <row r="4567">
      <c r="A4567" s="17">
        <v>1002001.0</v>
      </c>
      <c r="B4567" s="17">
        <v>7001500.0</v>
      </c>
    </row>
    <row r="4568">
      <c r="A4568" s="17">
        <v>1002001.0</v>
      </c>
      <c r="B4568" s="17">
        <v>7001501.0</v>
      </c>
    </row>
    <row r="4569">
      <c r="A4569" s="17">
        <v>1002001.0</v>
      </c>
      <c r="B4569" s="17">
        <v>7001502.0</v>
      </c>
    </row>
    <row r="4570">
      <c r="A4570" s="17">
        <v>1002001.0</v>
      </c>
      <c r="B4570" s="17">
        <v>7001600.0</v>
      </c>
    </row>
    <row r="4571">
      <c r="A4571" s="17">
        <v>1002001.0</v>
      </c>
      <c r="B4571" s="17">
        <v>7001601.0</v>
      </c>
    </row>
    <row r="4572">
      <c r="A4572" s="17">
        <v>1002001.0</v>
      </c>
      <c r="B4572" s="17">
        <v>7001602.0</v>
      </c>
    </row>
    <row r="4573">
      <c r="A4573" s="17">
        <v>1002001.0</v>
      </c>
      <c r="B4573" s="17">
        <v>7001700.0</v>
      </c>
    </row>
    <row r="4574">
      <c r="A4574" s="17">
        <v>1002001.0</v>
      </c>
      <c r="B4574" s="17">
        <v>7001701.0</v>
      </c>
    </row>
    <row r="4575">
      <c r="A4575" s="17">
        <v>1002001.0</v>
      </c>
      <c r="B4575" s="17">
        <v>7001702.0</v>
      </c>
    </row>
    <row r="4576">
      <c r="A4576" s="17">
        <v>1002001.0</v>
      </c>
      <c r="B4576" s="17">
        <v>7001800.0</v>
      </c>
    </row>
    <row r="4577">
      <c r="A4577" s="17">
        <v>1002001.0</v>
      </c>
      <c r="B4577" s="17">
        <v>7001801.0</v>
      </c>
    </row>
    <row r="4578">
      <c r="A4578" s="17">
        <v>1002001.0</v>
      </c>
      <c r="B4578" s="17">
        <v>7001802.0</v>
      </c>
    </row>
    <row r="4579">
      <c r="A4579" s="17">
        <v>1002001.0</v>
      </c>
      <c r="B4579" s="17">
        <v>7002600.0</v>
      </c>
    </row>
    <row r="4580">
      <c r="A4580" s="17">
        <v>1002001.0</v>
      </c>
      <c r="B4580" s="17">
        <v>7002700.0</v>
      </c>
    </row>
    <row r="4581">
      <c r="A4581" s="17">
        <v>1002001.0</v>
      </c>
      <c r="B4581" s="17">
        <v>7002800.0</v>
      </c>
    </row>
    <row r="4582">
      <c r="A4582" s="17">
        <v>1002001.0</v>
      </c>
      <c r="B4582" s="17">
        <v>7002900.0</v>
      </c>
    </row>
    <row r="4583">
      <c r="A4583" s="17">
        <v>1002001.0</v>
      </c>
      <c r="B4583" s="17">
        <v>7003000.0</v>
      </c>
    </row>
    <row r="4584">
      <c r="A4584" s="17">
        <v>1002001.0</v>
      </c>
      <c r="B4584" s="17">
        <v>7003100.0</v>
      </c>
    </row>
    <row r="4585">
      <c r="A4585" s="17">
        <v>1002001.0</v>
      </c>
      <c r="B4585" s="17">
        <v>7003200.0</v>
      </c>
    </row>
    <row r="4586">
      <c r="A4586" s="17">
        <v>1002001.0</v>
      </c>
      <c r="B4586" s="17">
        <v>7003300.0</v>
      </c>
    </row>
    <row r="4587">
      <c r="A4587" s="17">
        <v>1002001.0</v>
      </c>
      <c r="B4587" s="17">
        <v>7003400.0</v>
      </c>
    </row>
    <row r="4588">
      <c r="A4588" s="17">
        <v>1002001.0</v>
      </c>
      <c r="B4588" s="17">
        <v>7003500.0</v>
      </c>
    </row>
    <row r="4589">
      <c r="A4589" s="17">
        <v>1002001.0</v>
      </c>
      <c r="B4589" s="17">
        <v>7003600.0</v>
      </c>
    </row>
    <row r="4590">
      <c r="A4590" s="17">
        <v>1002001.0</v>
      </c>
      <c r="B4590" s="17">
        <v>7005600.0</v>
      </c>
    </row>
    <row r="4591">
      <c r="A4591" s="17">
        <v>1002001.0</v>
      </c>
      <c r="B4591" s="17">
        <v>7006000.0</v>
      </c>
    </row>
    <row r="4592">
      <c r="A4592" s="17">
        <v>1002001.0</v>
      </c>
      <c r="B4592" s="17">
        <v>7006100.0</v>
      </c>
    </row>
    <row r="4593">
      <c r="A4593" s="17">
        <v>1002001.0</v>
      </c>
      <c r="B4593" s="17">
        <v>7010200.0</v>
      </c>
    </row>
    <row r="4594">
      <c r="A4594" s="17">
        <v>1002001.0</v>
      </c>
      <c r="B4594" s="17">
        <v>7010500.0</v>
      </c>
    </row>
    <row r="4595">
      <c r="A4595" s="17">
        <v>1002001.0</v>
      </c>
      <c r="B4595" s="17">
        <v>7010700.0</v>
      </c>
    </row>
    <row r="4596">
      <c r="A4596" s="17">
        <v>1002001.0</v>
      </c>
      <c r="B4596" s="17">
        <v>7010900.0</v>
      </c>
    </row>
    <row r="4597">
      <c r="A4597" s="17">
        <v>1002001.0</v>
      </c>
      <c r="B4597" s="17">
        <v>7011000.0</v>
      </c>
    </row>
    <row r="4598">
      <c r="A4598" s="17">
        <v>1002001.0</v>
      </c>
      <c r="B4598" s="17">
        <v>7011200.0</v>
      </c>
    </row>
    <row r="4599">
      <c r="A4599" s="17">
        <v>1002001.0</v>
      </c>
      <c r="B4599" s="17">
        <v>7011600.0</v>
      </c>
    </row>
    <row r="4600">
      <c r="A4600" s="17">
        <v>1002001.0</v>
      </c>
      <c r="B4600" s="17">
        <v>7011700.0</v>
      </c>
    </row>
    <row r="4601">
      <c r="A4601" s="17">
        <v>1002001.0</v>
      </c>
      <c r="B4601" s="17">
        <v>7012000.0</v>
      </c>
    </row>
    <row r="4602">
      <c r="A4602" s="17">
        <v>1002001.0</v>
      </c>
      <c r="B4602" s="17">
        <v>7012200.0</v>
      </c>
    </row>
    <row r="4603">
      <c r="A4603" s="17">
        <v>1002001.0</v>
      </c>
      <c r="B4603" s="17">
        <v>7012300.0</v>
      </c>
    </row>
    <row r="4604">
      <c r="A4604" s="17">
        <v>1002001.0</v>
      </c>
      <c r="B4604" s="17">
        <v>7020000.0</v>
      </c>
    </row>
    <row r="4605">
      <c r="A4605" s="17">
        <v>1002001.0</v>
      </c>
      <c r="B4605" s="17">
        <v>7030000.0</v>
      </c>
    </row>
    <row r="4606">
      <c r="A4606" s="17">
        <v>1002001.0</v>
      </c>
      <c r="B4606" s="17">
        <v>7030200.0</v>
      </c>
    </row>
    <row r="4607">
      <c r="A4607" s="17">
        <v>1002001.0</v>
      </c>
      <c r="B4607" s="17">
        <v>7030600.0</v>
      </c>
    </row>
    <row r="4608">
      <c r="A4608" s="17">
        <v>1002001.0</v>
      </c>
      <c r="B4608" s="17">
        <v>7030700.0</v>
      </c>
    </row>
    <row r="4609">
      <c r="A4609" s="17">
        <v>1002001.0</v>
      </c>
      <c r="B4609" s="17">
        <v>7030800.0</v>
      </c>
    </row>
    <row r="4610">
      <c r="A4610" s="17">
        <v>1002001.0</v>
      </c>
      <c r="B4610" s="17">
        <v>7030900.0</v>
      </c>
    </row>
    <row r="4611">
      <c r="A4611" s="17">
        <v>1002001.0</v>
      </c>
      <c r="B4611" s="17">
        <v>7031200.0</v>
      </c>
    </row>
    <row r="4612">
      <c r="A4612" s="17">
        <v>1002001.0</v>
      </c>
      <c r="B4612" s="17">
        <v>7031300.0</v>
      </c>
    </row>
    <row r="4613">
      <c r="A4613" s="17">
        <v>1002001.0</v>
      </c>
      <c r="B4613" s="17">
        <v>7031800.0</v>
      </c>
    </row>
    <row r="4614">
      <c r="A4614" s="17">
        <v>1002001.0</v>
      </c>
      <c r="B4614" s="17">
        <v>7031900.0</v>
      </c>
    </row>
    <row r="4615">
      <c r="A4615" s="17">
        <v>1002001.0</v>
      </c>
      <c r="B4615" s="17">
        <v>7032200.0</v>
      </c>
    </row>
    <row r="4616">
      <c r="A4616" s="17">
        <v>1002001.0</v>
      </c>
      <c r="B4616" s="17">
        <v>7032400.0</v>
      </c>
    </row>
    <row r="4617">
      <c r="A4617" s="17">
        <v>1002001.0</v>
      </c>
      <c r="B4617" s="17">
        <v>7032700.0</v>
      </c>
    </row>
    <row r="4618">
      <c r="A4618" s="17">
        <v>1002001.0</v>
      </c>
      <c r="B4618" s="17">
        <v>7032800.0</v>
      </c>
    </row>
    <row r="4619">
      <c r="A4619" s="17">
        <v>1002001.0</v>
      </c>
      <c r="B4619" s="17">
        <v>7032900.0</v>
      </c>
    </row>
    <row r="4620">
      <c r="A4620" s="17">
        <v>1002001.0</v>
      </c>
      <c r="B4620" s="17">
        <v>7033200.0</v>
      </c>
    </row>
    <row r="4621">
      <c r="A4621" s="17">
        <v>1002001.0</v>
      </c>
      <c r="B4621" s="17">
        <v>7033400.0</v>
      </c>
    </row>
    <row r="4622">
      <c r="A4622" s="17">
        <v>1002001.0</v>
      </c>
      <c r="B4622" s="17">
        <v>7034100.0</v>
      </c>
    </row>
    <row r="4623">
      <c r="A4623" s="17">
        <v>1002001.0</v>
      </c>
      <c r="B4623" s="17">
        <v>7034400.0</v>
      </c>
    </row>
    <row r="4624">
      <c r="A4624" s="17">
        <v>1002001.0</v>
      </c>
      <c r="B4624" s="17">
        <v>7034500.0</v>
      </c>
    </row>
    <row r="4625">
      <c r="A4625" s="17">
        <v>1002001.0</v>
      </c>
      <c r="B4625" s="17">
        <v>7034600.0</v>
      </c>
    </row>
    <row r="4626">
      <c r="A4626" s="17">
        <v>1002001.0</v>
      </c>
      <c r="B4626" s="17">
        <v>7034700.0</v>
      </c>
    </row>
    <row r="4627">
      <c r="A4627" s="17">
        <v>1002001.0</v>
      </c>
      <c r="B4627" s="17">
        <v>7035100.0</v>
      </c>
    </row>
    <row r="4628">
      <c r="A4628" s="17">
        <v>1002001.0</v>
      </c>
      <c r="B4628" s="17">
        <v>7036100.0</v>
      </c>
    </row>
    <row r="4629">
      <c r="A4629" s="17">
        <v>1002001.0</v>
      </c>
      <c r="B4629" s="17">
        <v>7040000.0</v>
      </c>
    </row>
    <row r="4630">
      <c r="A4630" s="17">
        <v>1002001.0</v>
      </c>
      <c r="B4630" s="17">
        <v>7040100.0</v>
      </c>
    </row>
    <row r="4631">
      <c r="A4631" s="17">
        <v>1002001.0</v>
      </c>
      <c r="B4631" s="17">
        <v>7040200.0</v>
      </c>
    </row>
    <row r="4632">
      <c r="A4632" s="17">
        <v>1002001.0</v>
      </c>
      <c r="B4632" s="17">
        <v>7040300.0</v>
      </c>
    </row>
    <row r="4633">
      <c r="A4633" s="17">
        <v>1002001.0</v>
      </c>
      <c r="B4633" s="17">
        <v>7040400.0</v>
      </c>
    </row>
    <row r="4634">
      <c r="A4634" s="17">
        <v>1002001.0</v>
      </c>
      <c r="B4634" s="17">
        <v>7040500.0</v>
      </c>
    </row>
    <row r="4635">
      <c r="A4635" s="17">
        <v>1002001.0</v>
      </c>
      <c r="B4635" s="17">
        <v>7043000.0</v>
      </c>
    </row>
    <row r="4636">
      <c r="A4636" s="17">
        <v>1002001.0</v>
      </c>
      <c r="B4636" s="17">
        <v>7043100.0</v>
      </c>
    </row>
    <row r="4637">
      <c r="A4637" s="17">
        <v>1002001.0</v>
      </c>
      <c r="B4637" s="17">
        <v>7043200.0</v>
      </c>
    </row>
    <row r="4638">
      <c r="A4638" s="17">
        <v>1002001.0</v>
      </c>
      <c r="B4638" s="17">
        <v>7043300.0</v>
      </c>
    </row>
    <row r="4639">
      <c r="A4639" s="17">
        <v>1002001.0</v>
      </c>
      <c r="B4639" s="17">
        <v>7043400.0</v>
      </c>
    </row>
    <row r="4640">
      <c r="A4640" s="17">
        <v>1002001.0</v>
      </c>
      <c r="B4640" s="17">
        <v>7043500.0</v>
      </c>
    </row>
    <row r="4641">
      <c r="A4641" s="17">
        <v>1002001.0</v>
      </c>
      <c r="B4641" s="17">
        <v>7043600.0</v>
      </c>
    </row>
    <row r="4642">
      <c r="A4642" s="17">
        <v>1002001.0</v>
      </c>
      <c r="B4642" s="17">
        <v>7043700.0</v>
      </c>
    </row>
    <row r="4643">
      <c r="A4643" s="17">
        <v>1002001.0</v>
      </c>
      <c r="B4643" s="17">
        <v>7043800.0</v>
      </c>
    </row>
    <row r="4644">
      <c r="A4644" s="17">
        <v>1002001.0</v>
      </c>
      <c r="B4644" s="17">
        <v>7044000.0</v>
      </c>
    </row>
    <row r="4645">
      <c r="A4645" s="17">
        <v>1002001.0</v>
      </c>
      <c r="B4645" s="17">
        <v>7044100.0</v>
      </c>
    </row>
    <row r="4646">
      <c r="A4646" s="17">
        <v>1002001.0</v>
      </c>
      <c r="B4646" s="17">
        <v>7044200.0</v>
      </c>
    </row>
    <row r="4647">
      <c r="A4647" s="17">
        <v>1002001.0</v>
      </c>
      <c r="B4647" s="17">
        <v>7044300.0</v>
      </c>
    </row>
    <row r="4648">
      <c r="A4648" s="17">
        <v>1002001.0</v>
      </c>
      <c r="B4648" s="17">
        <v>7044400.0</v>
      </c>
    </row>
    <row r="4649">
      <c r="A4649" s="17">
        <v>1002001.0</v>
      </c>
      <c r="B4649" s="17">
        <v>7044500.0</v>
      </c>
    </row>
    <row r="4650">
      <c r="A4650" s="17">
        <v>1002001.0</v>
      </c>
      <c r="B4650" s="17">
        <v>7044600.0</v>
      </c>
    </row>
    <row r="4651">
      <c r="A4651" s="17">
        <v>1002001.0</v>
      </c>
      <c r="B4651" s="17">
        <v>7050000.0</v>
      </c>
    </row>
    <row r="4652">
      <c r="A4652" s="17">
        <v>1002001.0</v>
      </c>
      <c r="B4652" s="17">
        <v>7050100.0</v>
      </c>
    </row>
    <row r="4653">
      <c r="A4653" s="17">
        <v>1002001.0</v>
      </c>
      <c r="B4653" s="17">
        <v>7060000.0</v>
      </c>
    </row>
    <row r="4654">
      <c r="A4654" s="17">
        <v>1002001.0</v>
      </c>
      <c r="B4654" s="17">
        <v>7060100.0</v>
      </c>
    </row>
    <row r="4655">
      <c r="A4655" s="17">
        <v>1002001.0</v>
      </c>
      <c r="B4655" s="17">
        <v>7060200.0</v>
      </c>
    </row>
    <row r="4656">
      <c r="A4656" s="17">
        <v>1002001.0</v>
      </c>
      <c r="B4656" s="17">
        <v>7070000.0</v>
      </c>
    </row>
    <row r="4657">
      <c r="A4657" s="17">
        <v>1002001.0</v>
      </c>
      <c r="B4657" s="17">
        <v>7080000.0</v>
      </c>
    </row>
    <row r="4658">
      <c r="A4658" s="17">
        <v>1002001.0</v>
      </c>
      <c r="B4658" s="17">
        <v>7080100.0</v>
      </c>
    </row>
    <row r="4659">
      <c r="A4659" s="17">
        <v>1002001.0</v>
      </c>
      <c r="B4659" s="17">
        <v>7080200.0</v>
      </c>
    </row>
    <row r="4660">
      <c r="A4660" s="17">
        <v>1002001.0</v>
      </c>
      <c r="B4660" s="17">
        <v>7080300.0</v>
      </c>
    </row>
    <row r="4661">
      <c r="A4661" s="17">
        <v>1002001.0</v>
      </c>
      <c r="B4661" s="17">
        <v>7080400.0</v>
      </c>
    </row>
    <row r="4662">
      <c r="A4662" s="17">
        <v>1002001.0</v>
      </c>
      <c r="B4662" s="17">
        <v>7080500.0</v>
      </c>
    </row>
    <row r="4663">
      <c r="A4663" s="17">
        <v>1002001.0</v>
      </c>
      <c r="B4663" s="17">
        <v>7080600.0</v>
      </c>
    </row>
    <row r="4664">
      <c r="A4664" s="17">
        <v>1002001.0</v>
      </c>
      <c r="B4664" s="17">
        <v>7080700.0</v>
      </c>
    </row>
    <row r="4665">
      <c r="A4665" s="17">
        <v>1002001.0</v>
      </c>
      <c r="B4665" s="17">
        <v>7080800.0</v>
      </c>
    </row>
    <row r="4666">
      <c r="A4666" s="17">
        <v>1002001.0</v>
      </c>
      <c r="B4666" s="17">
        <v>7080900.0</v>
      </c>
    </row>
    <row r="4667">
      <c r="A4667" s="17">
        <v>1002001.0</v>
      </c>
      <c r="B4667" s="17">
        <v>7081000.0</v>
      </c>
    </row>
    <row r="4668">
      <c r="A4668" s="17">
        <v>1002001.0</v>
      </c>
      <c r="B4668" s="17">
        <v>7081100.0</v>
      </c>
    </row>
    <row r="4669">
      <c r="A4669" s="17">
        <v>1002001.0</v>
      </c>
      <c r="B4669" s="17">
        <v>7081200.0</v>
      </c>
    </row>
    <row r="4670">
      <c r="A4670" s="17">
        <v>1002001.0</v>
      </c>
      <c r="B4670" s="17">
        <v>7081300.0</v>
      </c>
    </row>
    <row r="4671">
      <c r="A4671" s="17">
        <v>1002001.0</v>
      </c>
      <c r="B4671" s="17">
        <v>7081400.0</v>
      </c>
    </row>
    <row r="4672">
      <c r="A4672" s="17">
        <v>1002001.0</v>
      </c>
      <c r="B4672" s="17">
        <v>7081500.0</v>
      </c>
    </row>
    <row r="4673">
      <c r="A4673" s="17">
        <v>1002001.0</v>
      </c>
      <c r="B4673" s="17">
        <v>7081700.0</v>
      </c>
    </row>
    <row r="4674">
      <c r="A4674" s="17">
        <v>1002001.0</v>
      </c>
      <c r="B4674" s="17">
        <v>7081800.0</v>
      </c>
    </row>
    <row r="4675">
      <c r="A4675" s="17">
        <v>1002001.0</v>
      </c>
      <c r="B4675" s="17">
        <v>7081900.0</v>
      </c>
    </row>
    <row r="4676">
      <c r="A4676" s="17">
        <v>1002001.0</v>
      </c>
      <c r="B4676" s="17">
        <v>7082000.0</v>
      </c>
    </row>
    <row r="4677">
      <c r="A4677" s="17">
        <v>1002001.0</v>
      </c>
      <c r="B4677" s="17">
        <v>7082100.0</v>
      </c>
    </row>
    <row r="4678">
      <c r="A4678" s="17">
        <v>1002001.0</v>
      </c>
      <c r="B4678" s="17">
        <v>7082200.0</v>
      </c>
    </row>
    <row r="4679">
      <c r="A4679" s="17">
        <v>1002001.0</v>
      </c>
      <c r="B4679" s="17">
        <v>7082300.0</v>
      </c>
    </row>
    <row r="4680">
      <c r="A4680" s="17">
        <v>1002001.0</v>
      </c>
      <c r="B4680" s="17">
        <v>7082400.0</v>
      </c>
    </row>
    <row r="4681">
      <c r="A4681" s="17">
        <v>1002001.0</v>
      </c>
      <c r="B4681" s="17">
        <v>7082500.0</v>
      </c>
    </row>
    <row r="4682">
      <c r="A4682" s="17">
        <v>1002001.0</v>
      </c>
      <c r="B4682" s="17">
        <v>7082600.0</v>
      </c>
    </row>
    <row r="4683">
      <c r="A4683" s="17">
        <v>1002001.0</v>
      </c>
      <c r="B4683" s="17">
        <v>7082700.0</v>
      </c>
    </row>
    <row r="4684">
      <c r="A4684" s="17">
        <v>1002001.0</v>
      </c>
      <c r="B4684" s="17">
        <v>7082800.0</v>
      </c>
    </row>
    <row r="4685">
      <c r="A4685" s="17">
        <v>1002001.0</v>
      </c>
      <c r="B4685" s="17">
        <v>7082900.0</v>
      </c>
    </row>
    <row r="4686">
      <c r="A4686" s="17">
        <v>1002001.0</v>
      </c>
      <c r="B4686" s="17">
        <v>7090000.0</v>
      </c>
    </row>
    <row r="4687">
      <c r="A4687" s="17">
        <v>1002001.0</v>
      </c>
      <c r="B4687" s="17">
        <v>7090100.0</v>
      </c>
    </row>
    <row r="4688">
      <c r="A4688" s="17">
        <v>1002001.0</v>
      </c>
      <c r="B4688" s="17">
        <v>7090300.0</v>
      </c>
    </row>
    <row r="4689">
      <c r="A4689" s="17">
        <v>1002001.0</v>
      </c>
      <c r="B4689" s="17">
        <v>7100100.0</v>
      </c>
    </row>
    <row r="4690">
      <c r="A4690" s="17">
        <v>1002001.0</v>
      </c>
      <c r="B4690" s="17">
        <v>7110000.0</v>
      </c>
    </row>
    <row r="4691">
      <c r="A4691" s="17">
        <v>1002001.0</v>
      </c>
      <c r="B4691" s="17">
        <v>7120000.0</v>
      </c>
    </row>
    <row r="4692">
      <c r="A4692" s="17">
        <v>1002001.0</v>
      </c>
      <c r="B4692" s="17">
        <v>7120100.0</v>
      </c>
    </row>
    <row r="4693">
      <c r="A4693" s="17">
        <v>1002001.0</v>
      </c>
      <c r="B4693" s="17">
        <v>7120200.0</v>
      </c>
    </row>
    <row r="4694">
      <c r="A4694" s="17">
        <v>1002001.0</v>
      </c>
      <c r="B4694" s="17">
        <v>7120300.0</v>
      </c>
    </row>
    <row r="4695">
      <c r="A4695" s="17">
        <v>1002001.0</v>
      </c>
      <c r="B4695" s="17">
        <v>7120400.0</v>
      </c>
    </row>
    <row r="4696">
      <c r="A4696" s="17">
        <v>1002001.0</v>
      </c>
      <c r="B4696" s="17">
        <v>7120500.0</v>
      </c>
    </row>
    <row r="4697">
      <c r="A4697" s="17">
        <v>1002001.0</v>
      </c>
      <c r="B4697" s="17">
        <v>7120600.0</v>
      </c>
    </row>
    <row r="4698">
      <c r="A4698" s="17">
        <v>1002001.0</v>
      </c>
      <c r="B4698" s="17">
        <v>7120900.0</v>
      </c>
    </row>
    <row r="4699">
      <c r="A4699" s="17">
        <v>1002001.0</v>
      </c>
      <c r="B4699" s="17">
        <v>7121000.0</v>
      </c>
    </row>
    <row r="4700">
      <c r="A4700" s="17">
        <v>1002001.0</v>
      </c>
      <c r="B4700" s="17">
        <v>7121100.0</v>
      </c>
    </row>
    <row r="4701">
      <c r="A4701" s="17">
        <v>1002001.0</v>
      </c>
      <c r="B4701" s="17">
        <v>7121200.0</v>
      </c>
    </row>
    <row r="4702">
      <c r="A4702" s="17">
        <v>1002001.0</v>
      </c>
      <c r="B4702" s="17">
        <v>7121300.0</v>
      </c>
    </row>
    <row r="4703">
      <c r="A4703" s="17">
        <v>1002001.0</v>
      </c>
      <c r="B4703" s="17">
        <v>7121400.0</v>
      </c>
    </row>
    <row r="4704">
      <c r="A4704" s="17">
        <v>1002001.0</v>
      </c>
      <c r="B4704" s="17">
        <v>7121500.0</v>
      </c>
    </row>
    <row r="4705">
      <c r="A4705" s="17">
        <v>1002001.0</v>
      </c>
      <c r="B4705" s="17">
        <v>7121600.0</v>
      </c>
    </row>
    <row r="4706">
      <c r="A4706" s="17">
        <v>1002001.0</v>
      </c>
      <c r="B4706" s="17">
        <v>7121700.0</v>
      </c>
    </row>
    <row r="4707">
      <c r="A4707" s="17">
        <v>1002001.0</v>
      </c>
      <c r="B4707" s="17">
        <v>7121800.0</v>
      </c>
    </row>
    <row r="4708">
      <c r="A4708" s="17">
        <v>1002001.0</v>
      </c>
      <c r="B4708" s="17">
        <v>7121900.0</v>
      </c>
    </row>
    <row r="4709">
      <c r="A4709" s="17">
        <v>1002001.0</v>
      </c>
      <c r="B4709" s="17">
        <v>7122000.0</v>
      </c>
    </row>
    <row r="4710">
      <c r="A4710" s="17">
        <v>1002001.0</v>
      </c>
      <c r="B4710" s="17">
        <v>7122100.0</v>
      </c>
    </row>
    <row r="4711">
      <c r="A4711" s="17">
        <v>1002001.0</v>
      </c>
      <c r="B4711" s="17">
        <v>7122200.0</v>
      </c>
    </row>
    <row r="4712">
      <c r="A4712" s="17">
        <v>1002001.0</v>
      </c>
      <c r="B4712" s="17">
        <v>7122300.0</v>
      </c>
    </row>
    <row r="4713">
      <c r="A4713" s="17">
        <v>1002001.0</v>
      </c>
      <c r="B4713" s="17">
        <v>7122400.0</v>
      </c>
    </row>
    <row r="4714">
      <c r="A4714" s="17">
        <v>1002001.0</v>
      </c>
      <c r="B4714" s="17">
        <v>7122500.0</v>
      </c>
    </row>
    <row r="4715">
      <c r="A4715" s="17">
        <v>1002001.0</v>
      </c>
      <c r="B4715" s="17">
        <v>7122600.0</v>
      </c>
    </row>
    <row r="4716">
      <c r="A4716" s="17">
        <v>1002001.0</v>
      </c>
      <c r="B4716" s="17">
        <v>7122700.0</v>
      </c>
    </row>
    <row r="4717">
      <c r="A4717" s="17">
        <v>1002001.0</v>
      </c>
      <c r="B4717" s="17">
        <v>7122800.0</v>
      </c>
    </row>
    <row r="4718">
      <c r="A4718" s="17">
        <v>1002001.0</v>
      </c>
      <c r="B4718" s="17">
        <v>7122900.0</v>
      </c>
    </row>
    <row r="4719">
      <c r="A4719" s="17">
        <v>1002001.0</v>
      </c>
      <c r="B4719" s="17">
        <v>7123000.0</v>
      </c>
    </row>
    <row r="4720">
      <c r="A4720" s="17">
        <v>1002001.0</v>
      </c>
      <c r="B4720" s="17">
        <v>7123100.0</v>
      </c>
    </row>
    <row r="4721">
      <c r="A4721" s="17">
        <v>1002001.0</v>
      </c>
      <c r="B4721" s="17">
        <v>7123200.0</v>
      </c>
    </row>
    <row r="4722">
      <c r="A4722" s="17">
        <v>1002001.0</v>
      </c>
      <c r="B4722" s="17">
        <v>7123300.0</v>
      </c>
    </row>
    <row r="4723">
      <c r="A4723" s="17">
        <v>1002001.0</v>
      </c>
      <c r="B4723" s="17">
        <v>7123400.0</v>
      </c>
    </row>
    <row r="4724">
      <c r="A4724" s="17">
        <v>1002001.0</v>
      </c>
      <c r="B4724" s="17">
        <v>7123500.0</v>
      </c>
    </row>
    <row r="4725">
      <c r="A4725" s="17">
        <v>1002001.0</v>
      </c>
      <c r="B4725" s="17">
        <v>7123600.0</v>
      </c>
    </row>
    <row r="4726">
      <c r="A4726" s="17">
        <v>1002001.0</v>
      </c>
      <c r="B4726" s="17">
        <v>7123700.0</v>
      </c>
    </row>
    <row r="4727">
      <c r="A4727" s="17">
        <v>1002001.0</v>
      </c>
      <c r="B4727" s="17">
        <v>7123800.0</v>
      </c>
    </row>
    <row r="4728">
      <c r="A4728" s="17">
        <v>1002001.0</v>
      </c>
      <c r="B4728" s="17">
        <v>7123900.0</v>
      </c>
    </row>
    <row r="4729">
      <c r="A4729" s="17">
        <v>1002001.0</v>
      </c>
      <c r="B4729" s="17">
        <v>7124000.0</v>
      </c>
    </row>
    <row r="4730">
      <c r="A4730" s="17">
        <v>1002001.0</v>
      </c>
      <c r="B4730" s="17">
        <v>7124100.0</v>
      </c>
    </row>
    <row r="4731">
      <c r="A4731" s="17">
        <v>1002001.0</v>
      </c>
      <c r="B4731" s="17">
        <v>7124300.0</v>
      </c>
    </row>
    <row r="4732">
      <c r="A4732" s="17">
        <v>1002001.0</v>
      </c>
      <c r="B4732" s="17">
        <v>7124400.0</v>
      </c>
    </row>
    <row r="4733">
      <c r="A4733" s="17">
        <v>1002001.0</v>
      </c>
      <c r="B4733" s="17">
        <v>7124500.0</v>
      </c>
    </row>
    <row r="4734">
      <c r="A4734" s="17">
        <v>1002001.0</v>
      </c>
      <c r="B4734" s="17">
        <v>7124600.0</v>
      </c>
    </row>
    <row r="4735">
      <c r="A4735" s="17">
        <v>1002001.0</v>
      </c>
      <c r="B4735" s="17">
        <v>7124700.0</v>
      </c>
    </row>
    <row r="4736">
      <c r="A4736" s="17">
        <v>1002001.0</v>
      </c>
      <c r="B4736" s="17">
        <v>7126000.0</v>
      </c>
    </row>
    <row r="4737">
      <c r="A4737" s="17">
        <v>1002001.0</v>
      </c>
      <c r="B4737" s="17">
        <v>7150000.0</v>
      </c>
    </row>
    <row r="4738">
      <c r="A4738" s="17">
        <v>1002001.0</v>
      </c>
      <c r="B4738" s="17">
        <v>7160000.0</v>
      </c>
    </row>
    <row r="4739">
      <c r="A4739" s="17">
        <v>1002001.0</v>
      </c>
      <c r="B4739" s="17">
        <v>7220000.0</v>
      </c>
    </row>
    <row r="4740">
      <c r="A4740" s="17">
        <v>1002001.0</v>
      </c>
      <c r="B4740" s="17">
        <v>7230000.0</v>
      </c>
    </row>
    <row r="4741">
      <c r="A4741" s="17">
        <v>1002001.0</v>
      </c>
      <c r="B4741" s="17">
        <v>7240000.0</v>
      </c>
    </row>
    <row r="4742">
      <c r="A4742" s="17">
        <v>1002001.0</v>
      </c>
      <c r="B4742" s="17">
        <v>7260000.0</v>
      </c>
    </row>
    <row r="4743">
      <c r="A4743" s="17">
        <v>1002001.0</v>
      </c>
      <c r="B4743" s="17">
        <v>7260300.0</v>
      </c>
    </row>
    <row r="4744">
      <c r="A4744" s="17">
        <v>1002001.0</v>
      </c>
      <c r="B4744" s="17">
        <v>7260400.0</v>
      </c>
    </row>
    <row r="4745">
      <c r="A4745" s="17">
        <v>1002001.0</v>
      </c>
      <c r="B4745" s="17">
        <v>7270100.0</v>
      </c>
    </row>
    <row r="4746">
      <c r="A4746" s="17">
        <v>1002001.0</v>
      </c>
      <c r="B4746" s="17">
        <v>7280000.0</v>
      </c>
    </row>
    <row r="4747">
      <c r="A4747" s="17">
        <v>1002001.0</v>
      </c>
      <c r="B4747" s="17">
        <v>7290000.0</v>
      </c>
    </row>
    <row r="4748">
      <c r="A4748" s="17">
        <v>1002001.0</v>
      </c>
      <c r="B4748" s="17">
        <v>7310000.0</v>
      </c>
    </row>
    <row r="4749">
      <c r="A4749" s="17">
        <v>1002001.0</v>
      </c>
      <c r="B4749" s="17">
        <v>7330000.0</v>
      </c>
    </row>
    <row r="4750">
      <c r="A4750" s="17">
        <v>1002001.0</v>
      </c>
      <c r="B4750" s="17">
        <v>7330100.0</v>
      </c>
    </row>
    <row r="4751">
      <c r="A4751" s="17">
        <v>1002001.0</v>
      </c>
      <c r="B4751" s="17">
        <v>7330200.0</v>
      </c>
    </row>
    <row r="4752">
      <c r="A4752" s="17">
        <v>1002001.0</v>
      </c>
      <c r="B4752" s="17">
        <v>7330300.0</v>
      </c>
    </row>
    <row r="4753">
      <c r="A4753" s="17">
        <v>1002001.0</v>
      </c>
      <c r="B4753" s="17">
        <v>7330400.0</v>
      </c>
    </row>
    <row r="4754">
      <c r="A4754" s="17">
        <v>1002001.0</v>
      </c>
      <c r="B4754" s="17">
        <v>7330500.0</v>
      </c>
    </row>
    <row r="4755">
      <c r="A4755" s="17">
        <v>1002001.0</v>
      </c>
      <c r="B4755" s="17">
        <v>7330600.0</v>
      </c>
    </row>
    <row r="4756">
      <c r="A4756" s="17">
        <v>1002001.0</v>
      </c>
      <c r="B4756" s="17">
        <v>7330700.0</v>
      </c>
    </row>
    <row r="4757">
      <c r="A4757" s="17">
        <v>1002001.0</v>
      </c>
      <c r="B4757" s="17">
        <v>7330800.0</v>
      </c>
    </row>
    <row r="4758">
      <c r="A4758" s="17">
        <v>1002001.0</v>
      </c>
      <c r="B4758" s="17">
        <v>7330900.0</v>
      </c>
    </row>
    <row r="4759">
      <c r="A4759" s="17">
        <v>1002001.0</v>
      </c>
      <c r="B4759" s="17">
        <v>7331000.0</v>
      </c>
    </row>
    <row r="4760">
      <c r="A4760" s="17">
        <v>1002001.0</v>
      </c>
      <c r="B4760" s="17">
        <v>7331100.0</v>
      </c>
    </row>
    <row r="4761">
      <c r="A4761" s="17">
        <v>1002001.0</v>
      </c>
      <c r="B4761" s="17">
        <v>7331200.0</v>
      </c>
    </row>
    <row r="4762">
      <c r="A4762" s="17">
        <v>1002001.0</v>
      </c>
      <c r="B4762" s="17">
        <v>7331300.0</v>
      </c>
    </row>
    <row r="4763">
      <c r="A4763" s="17">
        <v>1002001.0</v>
      </c>
      <c r="B4763" s="17">
        <v>7331400.0</v>
      </c>
    </row>
    <row r="4764">
      <c r="A4764" s="17">
        <v>1002001.0</v>
      </c>
      <c r="B4764" s="17">
        <v>7331500.0</v>
      </c>
    </row>
    <row r="4765">
      <c r="A4765" s="17">
        <v>1002001.0</v>
      </c>
      <c r="B4765" s="17">
        <v>7331700.0</v>
      </c>
    </row>
    <row r="4766">
      <c r="A4766" s="17">
        <v>1002001.0</v>
      </c>
      <c r="B4766" s="17">
        <v>7331800.0</v>
      </c>
    </row>
    <row r="4767">
      <c r="A4767" s="17">
        <v>1002001.0</v>
      </c>
      <c r="B4767" s="17">
        <v>7331900.0</v>
      </c>
    </row>
    <row r="4768">
      <c r="A4768" s="17">
        <v>1002001.0</v>
      </c>
      <c r="B4768" s="17">
        <v>7332000.0</v>
      </c>
    </row>
    <row r="4769">
      <c r="A4769" s="17">
        <v>1002001.0</v>
      </c>
      <c r="B4769" s="17">
        <v>7332100.0</v>
      </c>
    </row>
    <row r="4770">
      <c r="A4770" s="17">
        <v>1002001.0</v>
      </c>
      <c r="B4770" s="17">
        <v>7332200.0</v>
      </c>
    </row>
    <row r="4771">
      <c r="A4771" s="17">
        <v>1002001.0</v>
      </c>
      <c r="B4771" s="17">
        <v>7332300.0</v>
      </c>
    </row>
    <row r="4772">
      <c r="A4772" s="17">
        <v>1002001.0</v>
      </c>
      <c r="B4772" s="17">
        <v>7332400.0</v>
      </c>
    </row>
    <row r="4773">
      <c r="A4773" s="17">
        <v>1002001.0</v>
      </c>
      <c r="B4773" s="17">
        <v>7340000.0</v>
      </c>
    </row>
    <row r="4774">
      <c r="A4774" s="17">
        <v>1002001.0</v>
      </c>
      <c r="B4774" s="17">
        <v>7340100.0</v>
      </c>
    </row>
    <row r="4775">
      <c r="A4775" s="17">
        <v>1002001.0</v>
      </c>
      <c r="B4775" s="17">
        <v>7340200.0</v>
      </c>
    </row>
    <row r="4776">
      <c r="A4776" s="17">
        <v>1002001.0</v>
      </c>
      <c r="B4776" s="17">
        <v>7340300.0</v>
      </c>
    </row>
    <row r="4777">
      <c r="A4777" s="17">
        <v>1002001.0</v>
      </c>
      <c r="B4777" s="17">
        <v>7340400.0</v>
      </c>
    </row>
    <row r="4778">
      <c r="A4778" s="17">
        <v>1002001.0</v>
      </c>
      <c r="B4778" s="17">
        <v>7340500.0</v>
      </c>
    </row>
    <row r="4779">
      <c r="A4779" s="17">
        <v>1002001.0</v>
      </c>
      <c r="B4779" s="17">
        <v>7340600.0</v>
      </c>
    </row>
    <row r="4780">
      <c r="A4780" s="17">
        <v>1002001.0</v>
      </c>
      <c r="B4780" s="17">
        <v>7340700.0</v>
      </c>
    </row>
    <row r="4781">
      <c r="A4781" s="17">
        <v>1002001.0</v>
      </c>
      <c r="B4781" s="17">
        <v>7340800.0</v>
      </c>
    </row>
    <row r="4782">
      <c r="A4782" s="17">
        <v>1002001.0</v>
      </c>
      <c r="B4782" s="17">
        <v>7340900.0</v>
      </c>
    </row>
    <row r="4783">
      <c r="A4783" s="17">
        <v>1002001.0</v>
      </c>
      <c r="B4783" s="17">
        <v>7341000.0</v>
      </c>
    </row>
    <row r="4784">
      <c r="A4784" s="17">
        <v>1002001.0</v>
      </c>
      <c r="B4784" s="17">
        <v>7341100.0</v>
      </c>
    </row>
    <row r="4785">
      <c r="A4785" s="17">
        <v>1002001.0</v>
      </c>
      <c r="B4785" s="17">
        <v>7341200.0</v>
      </c>
    </row>
    <row r="4786">
      <c r="A4786" s="17">
        <v>1002001.0</v>
      </c>
      <c r="B4786" s="17">
        <v>7341300.0</v>
      </c>
    </row>
    <row r="4787">
      <c r="A4787" s="17">
        <v>1002001.0</v>
      </c>
      <c r="B4787" s="17">
        <v>7341400.0</v>
      </c>
    </row>
    <row r="4788">
      <c r="A4788" s="17">
        <v>1002001.0</v>
      </c>
      <c r="B4788" s="17">
        <v>7341500.0</v>
      </c>
    </row>
    <row r="4789">
      <c r="A4789" s="17">
        <v>1002001.0</v>
      </c>
      <c r="B4789" s="17">
        <v>7341700.0</v>
      </c>
    </row>
    <row r="4790">
      <c r="A4790" s="17">
        <v>1002001.0</v>
      </c>
      <c r="B4790" s="17">
        <v>7341800.0</v>
      </c>
    </row>
    <row r="4791">
      <c r="A4791" s="17">
        <v>1002001.0</v>
      </c>
      <c r="B4791" s="17">
        <v>7341900.0</v>
      </c>
    </row>
    <row r="4792">
      <c r="A4792" s="17">
        <v>1002001.0</v>
      </c>
      <c r="B4792" s="17">
        <v>7342000.0</v>
      </c>
    </row>
    <row r="4793">
      <c r="A4793" s="17">
        <v>1002001.0</v>
      </c>
      <c r="B4793" s="17">
        <v>7342100.0</v>
      </c>
    </row>
    <row r="4794">
      <c r="A4794" s="17">
        <v>1002001.0</v>
      </c>
      <c r="B4794" s="17">
        <v>7342200.0</v>
      </c>
    </row>
    <row r="4795">
      <c r="A4795" s="17">
        <v>1002001.0</v>
      </c>
      <c r="B4795" s="17">
        <v>7342300.0</v>
      </c>
    </row>
    <row r="4796">
      <c r="A4796" s="17">
        <v>1002001.0</v>
      </c>
      <c r="B4796" s="17">
        <v>7342400.0</v>
      </c>
    </row>
    <row r="4797">
      <c r="A4797" s="17">
        <v>1002001.0</v>
      </c>
      <c r="B4797" s="17">
        <v>7350000.0</v>
      </c>
    </row>
    <row r="4798">
      <c r="A4798" s="17">
        <v>1002001.0</v>
      </c>
      <c r="B4798" s="17">
        <v>7350100.0</v>
      </c>
    </row>
    <row r="4799">
      <c r="A4799" s="17">
        <v>1002001.0</v>
      </c>
      <c r="B4799" s="17">
        <v>7350200.0</v>
      </c>
    </row>
    <row r="4800">
      <c r="A4800" s="17">
        <v>1002001.0</v>
      </c>
      <c r="B4800" s="17">
        <v>7350300.0</v>
      </c>
    </row>
    <row r="4801">
      <c r="A4801" s="17">
        <v>1002001.0</v>
      </c>
      <c r="B4801" s="17">
        <v>7350400.0</v>
      </c>
    </row>
    <row r="4802">
      <c r="A4802" s="17">
        <v>1002001.0</v>
      </c>
      <c r="B4802" s="17">
        <v>7350500.0</v>
      </c>
    </row>
    <row r="4803">
      <c r="A4803" s="17">
        <v>1002001.0</v>
      </c>
      <c r="B4803" s="17">
        <v>7350600.0</v>
      </c>
    </row>
    <row r="4804">
      <c r="A4804" s="17">
        <v>1002001.0</v>
      </c>
      <c r="B4804" s="17">
        <v>7350700.0</v>
      </c>
    </row>
    <row r="4805">
      <c r="A4805" s="17">
        <v>1002001.0</v>
      </c>
      <c r="B4805" s="17">
        <v>7350800.0</v>
      </c>
    </row>
    <row r="4806">
      <c r="A4806" s="17">
        <v>1002001.0</v>
      </c>
      <c r="B4806" s="17">
        <v>7350900.0</v>
      </c>
    </row>
    <row r="4807">
      <c r="A4807" s="17">
        <v>1002001.0</v>
      </c>
      <c r="B4807" s="17">
        <v>7351000.0</v>
      </c>
    </row>
    <row r="4808">
      <c r="A4808" s="17">
        <v>1002001.0</v>
      </c>
      <c r="B4808" s="17">
        <v>7351100.0</v>
      </c>
    </row>
    <row r="4809">
      <c r="A4809" s="17">
        <v>1002001.0</v>
      </c>
      <c r="B4809" s="17">
        <v>7351200.0</v>
      </c>
    </row>
    <row r="4810">
      <c r="A4810" s="17">
        <v>1002001.0</v>
      </c>
      <c r="B4810" s="17">
        <v>7351300.0</v>
      </c>
    </row>
    <row r="4811">
      <c r="A4811" s="17">
        <v>1002001.0</v>
      </c>
      <c r="B4811" s="17">
        <v>7351400.0</v>
      </c>
    </row>
    <row r="4812">
      <c r="A4812" s="17">
        <v>1002001.0</v>
      </c>
      <c r="B4812" s="17">
        <v>7351500.0</v>
      </c>
    </row>
    <row r="4813">
      <c r="A4813" s="17">
        <v>1002001.0</v>
      </c>
      <c r="B4813" s="17">
        <v>7351700.0</v>
      </c>
    </row>
    <row r="4814">
      <c r="A4814" s="17">
        <v>1002001.0</v>
      </c>
      <c r="B4814" s="17">
        <v>7351800.0</v>
      </c>
    </row>
    <row r="4815">
      <c r="A4815" s="17">
        <v>1002001.0</v>
      </c>
      <c r="B4815" s="17">
        <v>7351900.0</v>
      </c>
    </row>
    <row r="4816">
      <c r="A4816" s="17">
        <v>1002001.0</v>
      </c>
      <c r="B4816" s="17">
        <v>7352000.0</v>
      </c>
    </row>
    <row r="4817">
      <c r="A4817" s="17">
        <v>1002001.0</v>
      </c>
      <c r="B4817" s="17">
        <v>7352100.0</v>
      </c>
    </row>
    <row r="4818">
      <c r="A4818" s="17">
        <v>1002001.0</v>
      </c>
      <c r="B4818" s="17">
        <v>7352200.0</v>
      </c>
    </row>
    <row r="4819">
      <c r="A4819" s="17">
        <v>1002001.0</v>
      </c>
      <c r="B4819" s="17">
        <v>7352300.0</v>
      </c>
    </row>
    <row r="4820">
      <c r="A4820" s="17">
        <v>1002001.0</v>
      </c>
      <c r="B4820" s="17">
        <v>7352400.0</v>
      </c>
    </row>
    <row r="4821">
      <c r="A4821" s="17">
        <v>1002001.0</v>
      </c>
      <c r="B4821" s="17">
        <v>7360600.0</v>
      </c>
    </row>
    <row r="4822">
      <c r="A4822" s="17">
        <v>1002001.0</v>
      </c>
      <c r="B4822" s="17">
        <v>7360900.0</v>
      </c>
    </row>
    <row r="4823">
      <c r="A4823" s="17">
        <v>1002001.0</v>
      </c>
      <c r="B4823" s="17">
        <v>7361200.0</v>
      </c>
    </row>
    <row r="4824">
      <c r="A4824" s="17">
        <v>1002001.0</v>
      </c>
      <c r="B4824" s="17">
        <v>7361300.0</v>
      </c>
    </row>
    <row r="4825">
      <c r="A4825" s="17">
        <v>1002001.0</v>
      </c>
      <c r="B4825" s="17">
        <v>7362100.0</v>
      </c>
    </row>
    <row r="4826">
      <c r="A4826" s="17">
        <v>1002001.0</v>
      </c>
      <c r="B4826" s="17">
        <v>7370300.0</v>
      </c>
    </row>
    <row r="4827">
      <c r="A4827" s="17">
        <v>1002001.0</v>
      </c>
      <c r="B4827" s="17">
        <v>7370400.0</v>
      </c>
    </row>
    <row r="4828">
      <c r="A4828" s="17">
        <v>1002001.0</v>
      </c>
      <c r="B4828" s="17">
        <v>7370600.0</v>
      </c>
    </row>
    <row r="4829">
      <c r="A4829" s="17">
        <v>1002001.0</v>
      </c>
      <c r="B4829" s="17">
        <v>7370900.0</v>
      </c>
    </row>
    <row r="4830">
      <c r="A4830" s="17">
        <v>1002001.0</v>
      </c>
      <c r="B4830" s="17">
        <v>7371500.0</v>
      </c>
    </row>
    <row r="4831">
      <c r="A4831" s="17">
        <v>1002001.0</v>
      </c>
      <c r="B4831" s="17">
        <v>7036200.0</v>
      </c>
    </row>
    <row r="4832">
      <c r="A4832" s="17">
        <v>1002001.0</v>
      </c>
      <c r="B4832" s="17">
        <v>7036300.0</v>
      </c>
    </row>
    <row r="4833">
      <c r="A4833" s="17">
        <v>1002001.0</v>
      </c>
      <c r="B4833" s="17">
        <v>7036400.0</v>
      </c>
    </row>
    <row r="4834">
      <c r="A4834" s="17">
        <v>1002001.0</v>
      </c>
      <c r="B4834" s="17">
        <v>7036500.0</v>
      </c>
    </row>
    <row r="4835">
      <c r="A4835" s="17">
        <v>1002001.0</v>
      </c>
      <c r="B4835" s="17">
        <v>7036800.0</v>
      </c>
    </row>
    <row r="4836">
      <c r="A4836" s="17">
        <v>1002001.0</v>
      </c>
      <c r="B4836" s="17">
        <v>7036900.0</v>
      </c>
    </row>
    <row r="4837">
      <c r="A4837" s="17">
        <v>1002001.0</v>
      </c>
      <c r="B4837" s="17">
        <v>7037000.0</v>
      </c>
    </row>
    <row r="4838">
      <c r="A4838" s="17">
        <v>1002001.0</v>
      </c>
      <c r="B4838" s="17">
        <v>7037300.0</v>
      </c>
    </row>
    <row r="4839">
      <c r="A4839" s="17">
        <v>1002001.0</v>
      </c>
      <c r="B4839" s="17">
        <v>6630000.0</v>
      </c>
    </row>
    <row r="4840">
      <c r="A4840" s="17">
        <v>1002001.0</v>
      </c>
      <c r="B4840" s="17">
        <v>6630100.0</v>
      </c>
    </row>
    <row r="4841">
      <c r="A4841" s="17">
        <v>1002001.0</v>
      </c>
      <c r="B4841" s="17">
        <v>6630200.0</v>
      </c>
    </row>
    <row r="4842">
      <c r="A4842" s="17">
        <v>1002001.0</v>
      </c>
      <c r="B4842" s="17">
        <v>6630300.0</v>
      </c>
    </row>
    <row r="4843">
      <c r="A4843" s="17">
        <v>1002001.0</v>
      </c>
      <c r="B4843" s="17">
        <v>6630400.0</v>
      </c>
    </row>
    <row r="4844">
      <c r="A4844" s="17">
        <v>1002001.0</v>
      </c>
      <c r="B4844" s="17">
        <v>6630500.0</v>
      </c>
    </row>
    <row r="4845">
      <c r="A4845" s="17">
        <v>1002001.0</v>
      </c>
      <c r="B4845" s="17">
        <v>6630600.0</v>
      </c>
    </row>
    <row r="4846">
      <c r="A4846" s="17">
        <v>1002001.0</v>
      </c>
      <c r="B4846" s="17">
        <v>6630700.0</v>
      </c>
    </row>
    <row r="4847">
      <c r="A4847" s="17">
        <v>1002001.0</v>
      </c>
      <c r="B4847" s="17">
        <v>6630800.0</v>
      </c>
    </row>
    <row r="4848">
      <c r="A4848" s="17">
        <v>1002001.0</v>
      </c>
      <c r="B4848" s="17">
        <v>6630900.0</v>
      </c>
    </row>
    <row r="4849">
      <c r="A4849" s="17">
        <v>1002001.0</v>
      </c>
      <c r="B4849" s="17">
        <v>6631000.0</v>
      </c>
    </row>
    <row r="4850">
      <c r="A4850" s="17">
        <v>1002001.0</v>
      </c>
      <c r="B4850" s="17">
        <v>6631100.0</v>
      </c>
    </row>
    <row r="4851">
      <c r="A4851" s="17">
        <v>1002001.0</v>
      </c>
      <c r="B4851" s="17">
        <v>6631200.0</v>
      </c>
    </row>
    <row r="4852">
      <c r="A4852" s="17">
        <v>1002001.0</v>
      </c>
      <c r="B4852" s="17">
        <v>6631300.0</v>
      </c>
    </row>
    <row r="4853">
      <c r="A4853" s="17">
        <v>1002001.0</v>
      </c>
      <c r="B4853" s="17">
        <v>6631400.0</v>
      </c>
    </row>
    <row r="4854">
      <c r="A4854" s="17">
        <v>1002001.0</v>
      </c>
      <c r="B4854" s="17">
        <v>6631500.0</v>
      </c>
    </row>
    <row r="4855">
      <c r="A4855" s="17">
        <v>1002001.0</v>
      </c>
      <c r="B4855" s="17">
        <v>6631600.0</v>
      </c>
    </row>
    <row r="4856">
      <c r="A4856" s="17">
        <v>1002001.0</v>
      </c>
      <c r="B4856" s="17">
        <v>6631700.0</v>
      </c>
    </row>
    <row r="4857">
      <c r="A4857" s="17">
        <v>1002001.0</v>
      </c>
      <c r="B4857" s="17">
        <v>6631800.0</v>
      </c>
    </row>
    <row r="4858">
      <c r="A4858" s="17">
        <v>1002001.0</v>
      </c>
      <c r="B4858" s="17">
        <v>6631900.0</v>
      </c>
    </row>
    <row r="4859">
      <c r="A4859" s="17">
        <v>1002001.0</v>
      </c>
      <c r="B4859" s="17">
        <v>6632000.0</v>
      </c>
    </row>
    <row r="4860">
      <c r="A4860" s="17">
        <v>1002001.0</v>
      </c>
      <c r="B4860" s="17">
        <v>6632100.0</v>
      </c>
    </row>
    <row r="4861">
      <c r="A4861" s="17">
        <v>1002001.0</v>
      </c>
      <c r="B4861" s="17">
        <v>6632200.0</v>
      </c>
    </row>
    <row r="4862">
      <c r="A4862" s="17">
        <v>1002001.0</v>
      </c>
      <c r="B4862" s="17">
        <v>6632300.0</v>
      </c>
    </row>
    <row r="4863">
      <c r="A4863" s="17">
        <v>1002001.0</v>
      </c>
      <c r="B4863" s="17">
        <v>6632400.0</v>
      </c>
    </row>
    <row r="4864">
      <c r="A4864" s="17">
        <v>1002001.0</v>
      </c>
      <c r="B4864" s="17">
        <v>6632500.0</v>
      </c>
    </row>
    <row r="4865">
      <c r="A4865" s="17">
        <v>1002001.0</v>
      </c>
      <c r="B4865" s="17">
        <v>6632600.0</v>
      </c>
    </row>
    <row r="4866">
      <c r="A4866" s="17">
        <v>1002001.0</v>
      </c>
      <c r="B4866" s="17">
        <v>6632700.0</v>
      </c>
    </row>
    <row r="4867">
      <c r="A4867" s="17">
        <v>1002001.0</v>
      </c>
      <c r="B4867" s="17">
        <v>6632800.0</v>
      </c>
    </row>
    <row r="4868">
      <c r="A4868" s="17">
        <v>1002001.0</v>
      </c>
      <c r="B4868" s="17">
        <v>6632900.0</v>
      </c>
    </row>
    <row r="4869">
      <c r="A4869" s="17">
        <v>1002001.0</v>
      </c>
      <c r="B4869" s="17">
        <v>6633000.0</v>
      </c>
    </row>
    <row r="4870">
      <c r="A4870" s="17">
        <v>1002001.0</v>
      </c>
      <c r="B4870" s="17">
        <v>6633100.0</v>
      </c>
    </row>
    <row r="4871">
      <c r="A4871" s="17">
        <v>1002001.0</v>
      </c>
      <c r="B4871" s="17">
        <v>6633200.0</v>
      </c>
    </row>
    <row r="4872">
      <c r="A4872" s="17">
        <v>1002001.0</v>
      </c>
      <c r="B4872" s="17">
        <v>6647200.0</v>
      </c>
    </row>
    <row r="4873">
      <c r="A4873" s="17">
        <v>1002001.0</v>
      </c>
      <c r="B4873" s="17">
        <v>6647300.0</v>
      </c>
    </row>
    <row r="4874">
      <c r="A4874" s="17">
        <v>1002001.0</v>
      </c>
      <c r="B4874" s="17">
        <v>6647400.0</v>
      </c>
    </row>
    <row r="4875">
      <c r="A4875" s="17">
        <v>1002001.0</v>
      </c>
      <c r="B4875" s="17">
        <v>6647500.0</v>
      </c>
    </row>
    <row r="4876">
      <c r="A4876" s="17">
        <v>1002001.0</v>
      </c>
      <c r="B4876" s="17">
        <v>6640000.0</v>
      </c>
    </row>
    <row r="4877">
      <c r="A4877" s="17">
        <v>1002001.0</v>
      </c>
      <c r="B4877" s="17">
        <v>6640100.0</v>
      </c>
    </row>
    <row r="4878">
      <c r="A4878" s="17">
        <v>1002001.0</v>
      </c>
      <c r="B4878" s="17">
        <v>6641000.0</v>
      </c>
    </row>
    <row r="4879">
      <c r="A4879" s="17">
        <v>1002001.0</v>
      </c>
      <c r="B4879" s="17">
        <v>6641100.0</v>
      </c>
    </row>
    <row r="4880">
      <c r="A4880" s="17">
        <v>1002001.0</v>
      </c>
      <c r="B4880" s="17">
        <v>6642000.0</v>
      </c>
    </row>
    <row r="4881">
      <c r="A4881" s="17">
        <v>1002001.0</v>
      </c>
      <c r="B4881" s="17">
        <v>6642100.0</v>
      </c>
    </row>
    <row r="4882">
      <c r="A4882" s="17">
        <v>1002001.0</v>
      </c>
      <c r="B4882" s="17">
        <v>6643000.0</v>
      </c>
    </row>
    <row r="4883">
      <c r="A4883" s="17">
        <v>1002001.0</v>
      </c>
      <c r="B4883" s="17">
        <v>6643100.0</v>
      </c>
    </row>
    <row r="4884">
      <c r="A4884" s="17">
        <v>1002001.0</v>
      </c>
      <c r="B4884" s="17">
        <v>6644000.0</v>
      </c>
    </row>
    <row r="4885">
      <c r="A4885" s="17">
        <v>1002001.0</v>
      </c>
      <c r="B4885" s="17">
        <v>6644100.0</v>
      </c>
    </row>
    <row r="4886">
      <c r="A4886" s="17">
        <v>1002001.0</v>
      </c>
      <c r="B4886" s="17">
        <v>6645000.0</v>
      </c>
    </row>
    <row r="4887">
      <c r="A4887" s="17">
        <v>1002001.0</v>
      </c>
      <c r="B4887" s="17">
        <v>6645100.0</v>
      </c>
    </row>
    <row r="4888">
      <c r="A4888" s="17">
        <v>1002001.0</v>
      </c>
      <c r="B4888" s="17">
        <v>6646000.0</v>
      </c>
    </row>
    <row r="4889">
      <c r="A4889" s="17">
        <v>1002001.0</v>
      </c>
      <c r="B4889" s="17">
        <v>6646100.0</v>
      </c>
    </row>
    <row r="4890">
      <c r="A4890" s="17">
        <v>1002001.0</v>
      </c>
      <c r="B4890" s="17">
        <v>6647000.0</v>
      </c>
    </row>
    <row r="4891">
      <c r="A4891" s="17">
        <v>1002001.0</v>
      </c>
      <c r="B4891" s="17">
        <v>6647100.0</v>
      </c>
    </row>
    <row r="4892">
      <c r="A4892" s="17">
        <v>1002002.0</v>
      </c>
      <c r="B4892" s="17">
        <v>7000000.0</v>
      </c>
    </row>
    <row r="4893">
      <c r="A4893" s="17">
        <v>1002002.0</v>
      </c>
      <c r="B4893" s="17">
        <v>7000001.0</v>
      </c>
    </row>
    <row r="4894">
      <c r="A4894" s="17">
        <v>1002002.0</v>
      </c>
      <c r="B4894" s="17">
        <v>7000002.0</v>
      </c>
    </row>
    <row r="4895">
      <c r="A4895" s="17">
        <v>1002002.0</v>
      </c>
      <c r="B4895" s="17">
        <v>7000100.0</v>
      </c>
    </row>
    <row r="4896">
      <c r="A4896" s="17">
        <v>1002002.0</v>
      </c>
      <c r="B4896" s="17">
        <v>7000101.0</v>
      </c>
    </row>
    <row r="4897">
      <c r="A4897" s="17">
        <v>1002002.0</v>
      </c>
      <c r="B4897" s="17">
        <v>7000102.0</v>
      </c>
    </row>
    <row r="4898">
      <c r="A4898" s="17">
        <v>1002002.0</v>
      </c>
      <c r="B4898" s="17">
        <v>7000200.0</v>
      </c>
    </row>
    <row r="4899">
      <c r="A4899" s="17">
        <v>1002002.0</v>
      </c>
      <c r="B4899" s="17">
        <v>7000201.0</v>
      </c>
    </row>
    <row r="4900">
      <c r="A4900" s="17">
        <v>1002002.0</v>
      </c>
      <c r="B4900" s="17">
        <v>7000202.0</v>
      </c>
    </row>
    <row r="4901">
      <c r="A4901" s="17">
        <v>1002002.0</v>
      </c>
      <c r="B4901" s="17">
        <v>7000300.0</v>
      </c>
    </row>
    <row r="4902">
      <c r="A4902" s="17">
        <v>1002002.0</v>
      </c>
      <c r="B4902" s="17">
        <v>7000301.0</v>
      </c>
    </row>
    <row r="4903">
      <c r="A4903" s="17">
        <v>1002002.0</v>
      </c>
      <c r="B4903" s="17">
        <v>7000302.0</v>
      </c>
    </row>
    <row r="4904">
      <c r="A4904" s="17">
        <v>1002002.0</v>
      </c>
      <c r="B4904" s="17">
        <v>7000400.0</v>
      </c>
    </row>
    <row r="4905">
      <c r="A4905" s="17">
        <v>1002002.0</v>
      </c>
      <c r="B4905" s="17">
        <v>7000401.0</v>
      </c>
    </row>
    <row r="4906">
      <c r="A4906" s="17">
        <v>1002002.0</v>
      </c>
      <c r="B4906" s="17">
        <v>7000402.0</v>
      </c>
    </row>
    <row r="4907">
      <c r="A4907" s="17">
        <v>1002002.0</v>
      </c>
      <c r="B4907" s="17">
        <v>7000500.0</v>
      </c>
    </row>
    <row r="4908">
      <c r="A4908" s="17">
        <v>1002002.0</v>
      </c>
      <c r="B4908" s="17">
        <v>7000501.0</v>
      </c>
    </row>
    <row r="4909">
      <c r="A4909" s="17">
        <v>1002002.0</v>
      </c>
      <c r="B4909" s="17">
        <v>7000502.0</v>
      </c>
    </row>
    <row r="4910">
      <c r="A4910" s="17">
        <v>1002002.0</v>
      </c>
      <c r="B4910" s="17">
        <v>7000600.0</v>
      </c>
    </row>
    <row r="4911">
      <c r="A4911" s="17">
        <v>1002002.0</v>
      </c>
      <c r="B4911" s="17">
        <v>7000601.0</v>
      </c>
    </row>
    <row r="4912">
      <c r="A4912" s="17">
        <v>1002002.0</v>
      </c>
      <c r="B4912" s="17">
        <v>7000602.0</v>
      </c>
    </row>
    <row r="4913">
      <c r="A4913" s="17">
        <v>1002002.0</v>
      </c>
      <c r="B4913" s="17">
        <v>7000700.0</v>
      </c>
    </row>
    <row r="4914">
      <c r="A4914" s="17">
        <v>1002002.0</v>
      </c>
      <c r="B4914" s="17">
        <v>7000701.0</v>
      </c>
    </row>
    <row r="4915">
      <c r="A4915" s="17">
        <v>1002002.0</v>
      </c>
      <c r="B4915" s="17">
        <v>7000702.0</v>
      </c>
    </row>
    <row r="4916">
      <c r="A4916" s="17">
        <v>1002002.0</v>
      </c>
      <c r="B4916" s="17">
        <v>7000800.0</v>
      </c>
    </row>
    <row r="4917">
      <c r="A4917" s="17">
        <v>1002002.0</v>
      </c>
      <c r="B4917" s="17">
        <v>7000801.0</v>
      </c>
    </row>
    <row r="4918">
      <c r="A4918" s="17">
        <v>1002002.0</v>
      </c>
      <c r="B4918" s="17">
        <v>7000802.0</v>
      </c>
    </row>
    <row r="4919">
      <c r="A4919" s="17">
        <v>1002002.0</v>
      </c>
      <c r="B4919" s="17">
        <v>7000900.0</v>
      </c>
    </row>
    <row r="4920">
      <c r="A4920" s="17">
        <v>1002002.0</v>
      </c>
      <c r="B4920" s="17">
        <v>7000901.0</v>
      </c>
    </row>
    <row r="4921">
      <c r="A4921" s="17">
        <v>1002002.0</v>
      </c>
      <c r="B4921" s="17">
        <v>7000902.0</v>
      </c>
    </row>
    <row r="4922">
      <c r="A4922" s="17">
        <v>1002002.0</v>
      </c>
      <c r="B4922" s="17">
        <v>7001000.0</v>
      </c>
    </row>
    <row r="4923">
      <c r="A4923" s="17">
        <v>1002002.0</v>
      </c>
      <c r="B4923" s="17">
        <v>7001001.0</v>
      </c>
    </row>
    <row r="4924">
      <c r="A4924" s="17">
        <v>1002002.0</v>
      </c>
      <c r="B4924" s="17">
        <v>7001002.0</v>
      </c>
    </row>
    <row r="4925">
      <c r="A4925" s="17">
        <v>1002002.0</v>
      </c>
      <c r="B4925" s="17">
        <v>7001400.0</v>
      </c>
    </row>
    <row r="4926">
      <c r="A4926" s="17">
        <v>1002002.0</v>
      </c>
      <c r="B4926" s="17">
        <v>7001401.0</v>
      </c>
    </row>
    <row r="4927">
      <c r="A4927" s="17">
        <v>1002002.0</v>
      </c>
      <c r="B4927" s="17">
        <v>7001402.0</v>
      </c>
    </row>
    <row r="4928">
      <c r="A4928" s="17">
        <v>1002002.0</v>
      </c>
      <c r="B4928" s="17">
        <v>7001500.0</v>
      </c>
    </row>
    <row r="4929">
      <c r="A4929" s="17">
        <v>1002002.0</v>
      </c>
      <c r="B4929" s="17">
        <v>7001501.0</v>
      </c>
    </row>
    <row r="4930">
      <c r="A4930" s="17">
        <v>1002002.0</v>
      </c>
      <c r="B4930" s="17">
        <v>7001502.0</v>
      </c>
    </row>
    <row r="4931">
      <c r="A4931" s="17">
        <v>1002002.0</v>
      </c>
      <c r="B4931" s="17">
        <v>7001600.0</v>
      </c>
    </row>
    <row r="4932">
      <c r="A4932" s="17">
        <v>1002002.0</v>
      </c>
      <c r="B4932" s="17">
        <v>7001601.0</v>
      </c>
    </row>
    <row r="4933">
      <c r="A4933" s="17">
        <v>1002002.0</v>
      </c>
      <c r="B4933" s="17">
        <v>7001602.0</v>
      </c>
    </row>
    <row r="4934">
      <c r="A4934" s="17">
        <v>1002002.0</v>
      </c>
      <c r="B4934" s="17">
        <v>7001700.0</v>
      </c>
    </row>
    <row r="4935">
      <c r="A4935" s="17">
        <v>1002002.0</v>
      </c>
      <c r="B4935" s="17">
        <v>7001701.0</v>
      </c>
    </row>
    <row r="4936">
      <c r="A4936" s="17">
        <v>1002002.0</v>
      </c>
      <c r="B4936" s="17">
        <v>7001702.0</v>
      </c>
    </row>
    <row r="4937">
      <c r="A4937" s="17">
        <v>1002002.0</v>
      </c>
      <c r="B4937" s="17">
        <v>7001800.0</v>
      </c>
    </row>
    <row r="4938">
      <c r="A4938" s="17">
        <v>1002002.0</v>
      </c>
      <c r="B4938" s="17">
        <v>7001801.0</v>
      </c>
    </row>
    <row r="4939">
      <c r="A4939" s="17">
        <v>1002002.0</v>
      </c>
      <c r="B4939" s="17">
        <v>7001802.0</v>
      </c>
    </row>
    <row r="4940">
      <c r="A4940" s="17">
        <v>1002002.0</v>
      </c>
      <c r="B4940" s="17">
        <v>7002600.0</v>
      </c>
    </row>
    <row r="4941">
      <c r="A4941" s="17">
        <v>1002002.0</v>
      </c>
      <c r="B4941" s="17">
        <v>7002700.0</v>
      </c>
    </row>
    <row r="4942">
      <c r="A4942" s="17">
        <v>1002002.0</v>
      </c>
      <c r="B4942" s="17">
        <v>7002800.0</v>
      </c>
    </row>
    <row r="4943">
      <c r="A4943" s="17">
        <v>1002002.0</v>
      </c>
      <c r="B4943" s="17">
        <v>7002900.0</v>
      </c>
    </row>
    <row r="4944">
      <c r="A4944" s="17">
        <v>1002002.0</v>
      </c>
      <c r="B4944" s="17">
        <v>7003000.0</v>
      </c>
    </row>
    <row r="4945">
      <c r="A4945" s="17">
        <v>1002002.0</v>
      </c>
      <c r="B4945" s="17">
        <v>7003100.0</v>
      </c>
    </row>
    <row r="4946">
      <c r="A4946" s="17">
        <v>1002002.0</v>
      </c>
      <c r="B4946" s="17">
        <v>7003200.0</v>
      </c>
    </row>
    <row r="4947">
      <c r="A4947" s="17">
        <v>1002002.0</v>
      </c>
      <c r="B4947" s="17">
        <v>7003300.0</v>
      </c>
    </row>
    <row r="4948">
      <c r="A4948" s="17">
        <v>1002002.0</v>
      </c>
      <c r="B4948" s="17">
        <v>7003400.0</v>
      </c>
    </row>
    <row r="4949">
      <c r="A4949" s="17">
        <v>1002002.0</v>
      </c>
      <c r="B4949" s="17">
        <v>7003500.0</v>
      </c>
    </row>
    <row r="4950">
      <c r="A4950" s="17">
        <v>1002002.0</v>
      </c>
      <c r="B4950" s="17">
        <v>7003600.0</v>
      </c>
    </row>
    <row r="4951">
      <c r="A4951" s="17">
        <v>1002002.0</v>
      </c>
      <c r="B4951" s="17">
        <v>7005600.0</v>
      </c>
    </row>
    <row r="4952">
      <c r="A4952" s="17">
        <v>1002002.0</v>
      </c>
      <c r="B4952" s="17">
        <v>7006000.0</v>
      </c>
    </row>
    <row r="4953">
      <c r="A4953" s="17">
        <v>1002002.0</v>
      </c>
      <c r="B4953" s="17">
        <v>7006100.0</v>
      </c>
    </row>
    <row r="4954">
      <c r="A4954" s="17">
        <v>1002002.0</v>
      </c>
      <c r="B4954" s="17">
        <v>7010200.0</v>
      </c>
    </row>
    <row r="4955">
      <c r="A4955" s="17">
        <v>1002002.0</v>
      </c>
      <c r="B4955" s="17">
        <v>7010500.0</v>
      </c>
    </row>
    <row r="4956">
      <c r="A4956" s="17">
        <v>1002002.0</v>
      </c>
      <c r="B4956" s="17">
        <v>7010700.0</v>
      </c>
    </row>
    <row r="4957">
      <c r="A4957" s="17">
        <v>1002002.0</v>
      </c>
      <c r="B4957" s="17">
        <v>7010900.0</v>
      </c>
    </row>
    <row r="4958">
      <c r="A4958" s="17">
        <v>1002002.0</v>
      </c>
      <c r="B4958" s="17">
        <v>7011000.0</v>
      </c>
    </row>
    <row r="4959">
      <c r="A4959" s="17">
        <v>1002002.0</v>
      </c>
      <c r="B4959" s="17">
        <v>7011200.0</v>
      </c>
    </row>
    <row r="4960">
      <c r="A4960" s="17">
        <v>1002002.0</v>
      </c>
      <c r="B4960" s="17">
        <v>7011600.0</v>
      </c>
    </row>
    <row r="4961">
      <c r="A4961" s="17">
        <v>1002002.0</v>
      </c>
      <c r="B4961" s="17">
        <v>7011700.0</v>
      </c>
    </row>
    <row r="4962">
      <c r="A4962" s="17">
        <v>1002002.0</v>
      </c>
      <c r="B4962" s="17">
        <v>7012000.0</v>
      </c>
    </row>
    <row r="4963">
      <c r="A4963" s="17">
        <v>1002002.0</v>
      </c>
      <c r="B4963" s="17">
        <v>7012200.0</v>
      </c>
    </row>
    <row r="4964">
      <c r="A4964" s="17">
        <v>1002002.0</v>
      </c>
      <c r="B4964" s="17">
        <v>7012300.0</v>
      </c>
    </row>
    <row r="4965">
      <c r="A4965" s="17">
        <v>1002002.0</v>
      </c>
      <c r="B4965" s="17">
        <v>7020000.0</v>
      </c>
    </row>
    <row r="4966">
      <c r="A4966" s="17">
        <v>1002002.0</v>
      </c>
      <c r="B4966" s="17">
        <v>7030000.0</v>
      </c>
    </row>
    <row r="4967">
      <c r="A4967" s="17">
        <v>1002002.0</v>
      </c>
      <c r="B4967" s="17">
        <v>7030200.0</v>
      </c>
    </row>
    <row r="4968">
      <c r="A4968" s="17">
        <v>1002002.0</v>
      </c>
      <c r="B4968" s="17">
        <v>7030600.0</v>
      </c>
    </row>
    <row r="4969">
      <c r="A4969" s="17">
        <v>1002002.0</v>
      </c>
      <c r="B4969" s="17">
        <v>7030700.0</v>
      </c>
    </row>
    <row r="4970">
      <c r="A4970" s="17">
        <v>1002002.0</v>
      </c>
      <c r="B4970" s="17">
        <v>7030800.0</v>
      </c>
    </row>
    <row r="4971">
      <c r="A4971" s="17">
        <v>1002002.0</v>
      </c>
      <c r="B4971" s="17">
        <v>7030900.0</v>
      </c>
    </row>
    <row r="4972">
      <c r="A4972" s="17">
        <v>1002002.0</v>
      </c>
      <c r="B4972" s="17">
        <v>7031200.0</v>
      </c>
    </row>
    <row r="4973">
      <c r="A4973" s="17">
        <v>1002002.0</v>
      </c>
      <c r="B4973" s="17">
        <v>7031300.0</v>
      </c>
    </row>
    <row r="4974">
      <c r="A4974" s="17">
        <v>1002002.0</v>
      </c>
      <c r="B4974" s="17">
        <v>7031800.0</v>
      </c>
    </row>
    <row r="4975">
      <c r="A4975" s="17">
        <v>1002002.0</v>
      </c>
      <c r="B4975" s="17">
        <v>7031900.0</v>
      </c>
    </row>
    <row r="4976">
      <c r="A4976" s="17">
        <v>1002002.0</v>
      </c>
      <c r="B4976" s="17">
        <v>7032200.0</v>
      </c>
    </row>
    <row r="4977">
      <c r="A4977" s="17">
        <v>1002002.0</v>
      </c>
      <c r="B4977" s="17">
        <v>7032400.0</v>
      </c>
    </row>
    <row r="4978">
      <c r="A4978" s="17">
        <v>1002002.0</v>
      </c>
      <c r="B4978" s="17">
        <v>7032700.0</v>
      </c>
    </row>
    <row r="4979">
      <c r="A4979" s="17">
        <v>1002002.0</v>
      </c>
      <c r="B4979" s="17">
        <v>7032800.0</v>
      </c>
    </row>
    <row r="4980">
      <c r="A4980" s="17">
        <v>1002002.0</v>
      </c>
      <c r="B4980" s="17">
        <v>7032900.0</v>
      </c>
    </row>
    <row r="4981">
      <c r="A4981" s="17">
        <v>1002002.0</v>
      </c>
      <c r="B4981" s="17">
        <v>7033200.0</v>
      </c>
    </row>
    <row r="4982">
      <c r="A4982" s="17">
        <v>1002002.0</v>
      </c>
      <c r="B4982" s="17">
        <v>7033400.0</v>
      </c>
    </row>
    <row r="4983">
      <c r="A4983" s="17">
        <v>1002002.0</v>
      </c>
      <c r="B4983" s="17">
        <v>7034100.0</v>
      </c>
    </row>
    <row r="4984">
      <c r="A4984" s="17">
        <v>1002002.0</v>
      </c>
      <c r="B4984" s="17">
        <v>7034400.0</v>
      </c>
    </row>
    <row r="4985">
      <c r="A4985" s="17">
        <v>1002002.0</v>
      </c>
      <c r="B4985" s="17">
        <v>7034500.0</v>
      </c>
    </row>
    <row r="4986">
      <c r="A4986" s="17">
        <v>1002002.0</v>
      </c>
      <c r="B4986" s="17">
        <v>7034600.0</v>
      </c>
    </row>
    <row r="4987">
      <c r="A4987" s="17">
        <v>1002002.0</v>
      </c>
      <c r="B4987" s="17">
        <v>7034700.0</v>
      </c>
    </row>
    <row r="4988">
      <c r="A4988" s="17">
        <v>1002002.0</v>
      </c>
      <c r="B4988" s="17">
        <v>7035100.0</v>
      </c>
    </row>
    <row r="4989">
      <c r="A4989" s="17">
        <v>1002002.0</v>
      </c>
      <c r="B4989" s="17">
        <v>7036100.0</v>
      </c>
    </row>
    <row r="4990">
      <c r="A4990" s="17">
        <v>1002002.0</v>
      </c>
      <c r="B4990" s="17">
        <v>7040000.0</v>
      </c>
    </row>
    <row r="4991">
      <c r="A4991" s="17">
        <v>1002002.0</v>
      </c>
      <c r="B4991" s="17">
        <v>7040100.0</v>
      </c>
    </row>
    <row r="4992">
      <c r="A4992" s="17">
        <v>1002002.0</v>
      </c>
      <c r="B4992" s="17">
        <v>7040200.0</v>
      </c>
    </row>
    <row r="4993">
      <c r="A4993" s="17">
        <v>1002002.0</v>
      </c>
      <c r="B4993" s="17">
        <v>7040300.0</v>
      </c>
    </row>
    <row r="4994">
      <c r="A4994" s="17">
        <v>1002002.0</v>
      </c>
      <c r="B4994" s="17">
        <v>7040400.0</v>
      </c>
    </row>
    <row r="4995">
      <c r="A4995" s="17">
        <v>1002002.0</v>
      </c>
      <c r="B4995" s="17">
        <v>7040500.0</v>
      </c>
    </row>
    <row r="4996">
      <c r="A4996" s="17">
        <v>1002002.0</v>
      </c>
      <c r="B4996" s="17">
        <v>7043000.0</v>
      </c>
    </row>
    <row r="4997">
      <c r="A4997" s="17">
        <v>1002002.0</v>
      </c>
      <c r="B4997" s="17">
        <v>7043100.0</v>
      </c>
    </row>
    <row r="4998">
      <c r="A4998" s="17">
        <v>1002002.0</v>
      </c>
      <c r="B4998" s="17">
        <v>7043200.0</v>
      </c>
    </row>
    <row r="4999">
      <c r="A4999" s="17">
        <v>1002002.0</v>
      </c>
      <c r="B4999" s="17">
        <v>7043300.0</v>
      </c>
    </row>
    <row r="5000">
      <c r="A5000" s="17">
        <v>1002002.0</v>
      </c>
      <c r="B5000" s="17">
        <v>7043400.0</v>
      </c>
    </row>
    <row r="5001">
      <c r="A5001" s="17">
        <v>1002002.0</v>
      </c>
      <c r="B5001" s="17">
        <v>7043500.0</v>
      </c>
    </row>
    <row r="5002">
      <c r="A5002" s="17">
        <v>1002002.0</v>
      </c>
      <c r="B5002" s="17">
        <v>7043600.0</v>
      </c>
    </row>
    <row r="5003">
      <c r="A5003" s="17">
        <v>1002002.0</v>
      </c>
      <c r="B5003" s="17">
        <v>7043700.0</v>
      </c>
    </row>
    <row r="5004">
      <c r="A5004" s="17">
        <v>1002002.0</v>
      </c>
      <c r="B5004" s="17">
        <v>7043800.0</v>
      </c>
    </row>
    <row r="5005">
      <c r="A5005" s="17">
        <v>1002002.0</v>
      </c>
      <c r="B5005" s="17">
        <v>7044000.0</v>
      </c>
    </row>
    <row r="5006">
      <c r="A5006" s="17">
        <v>1002002.0</v>
      </c>
      <c r="B5006" s="17">
        <v>7044100.0</v>
      </c>
    </row>
    <row r="5007">
      <c r="A5007" s="17">
        <v>1002002.0</v>
      </c>
      <c r="B5007" s="17">
        <v>7044200.0</v>
      </c>
    </row>
    <row r="5008">
      <c r="A5008" s="17">
        <v>1002002.0</v>
      </c>
      <c r="B5008" s="17">
        <v>7044300.0</v>
      </c>
    </row>
    <row r="5009">
      <c r="A5009" s="17">
        <v>1002002.0</v>
      </c>
      <c r="B5009" s="17">
        <v>7044400.0</v>
      </c>
    </row>
    <row r="5010">
      <c r="A5010" s="17">
        <v>1002002.0</v>
      </c>
      <c r="B5010" s="17">
        <v>7044500.0</v>
      </c>
    </row>
    <row r="5011">
      <c r="A5011" s="17">
        <v>1002002.0</v>
      </c>
      <c r="B5011" s="17">
        <v>7044600.0</v>
      </c>
    </row>
    <row r="5012">
      <c r="A5012" s="17">
        <v>1002002.0</v>
      </c>
      <c r="B5012" s="17">
        <v>7050000.0</v>
      </c>
    </row>
    <row r="5013">
      <c r="A5013" s="17">
        <v>1002002.0</v>
      </c>
      <c r="B5013" s="17">
        <v>7050100.0</v>
      </c>
    </row>
    <row r="5014">
      <c r="A5014" s="17">
        <v>1002002.0</v>
      </c>
      <c r="B5014" s="17">
        <v>7060000.0</v>
      </c>
    </row>
    <row r="5015">
      <c r="A5015" s="17">
        <v>1002002.0</v>
      </c>
      <c r="B5015" s="17">
        <v>7060100.0</v>
      </c>
    </row>
    <row r="5016">
      <c r="A5016" s="17">
        <v>1002002.0</v>
      </c>
      <c r="B5016" s="17">
        <v>7060200.0</v>
      </c>
    </row>
    <row r="5017">
      <c r="A5017" s="17">
        <v>1002002.0</v>
      </c>
      <c r="B5017" s="17">
        <v>7070000.0</v>
      </c>
    </row>
    <row r="5018">
      <c r="A5018" s="17">
        <v>1002002.0</v>
      </c>
      <c r="B5018" s="17">
        <v>7080000.0</v>
      </c>
    </row>
    <row r="5019">
      <c r="A5019" s="17">
        <v>1002002.0</v>
      </c>
      <c r="B5019" s="17">
        <v>7080100.0</v>
      </c>
    </row>
    <row r="5020">
      <c r="A5020" s="17">
        <v>1002002.0</v>
      </c>
      <c r="B5020" s="17">
        <v>7080200.0</v>
      </c>
    </row>
    <row r="5021">
      <c r="A5021" s="17">
        <v>1002002.0</v>
      </c>
      <c r="B5021" s="17">
        <v>7080300.0</v>
      </c>
    </row>
    <row r="5022">
      <c r="A5022" s="17">
        <v>1002002.0</v>
      </c>
      <c r="B5022" s="17">
        <v>7080400.0</v>
      </c>
    </row>
    <row r="5023">
      <c r="A5023" s="17">
        <v>1002002.0</v>
      </c>
      <c r="B5023" s="17">
        <v>7080500.0</v>
      </c>
    </row>
    <row r="5024">
      <c r="A5024" s="17">
        <v>1002002.0</v>
      </c>
      <c r="B5024" s="17">
        <v>7080600.0</v>
      </c>
    </row>
    <row r="5025">
      <c r="A5025" s="17">
        <v>1002002.0</v>
      </c>
      <c r="B5025" s="17">
        <v>7080700.0</v>
      </c>
    </row>
    <row r="5026">
      <c r="A5026" s="17">
        <v>1002002.0</v>
      </c>
      <c r="B5026" s="17">
        <v>7080800.0</v>
      </c>
    </row>
    <row r="5027">
      <c r="A5027" s="17">
        <v>1002002.0</v>
      </c>
      <c r="B5027" s="17">
        <v>7080900.0</v>
      </c>
    </row>
    <row r="5028">
      <c r="A5028" s="17">
        <v>1002002.0</v>
      </c>
      <c r="B5028" s="17">
        <v>7081000.0</v>
      </c>
    </row>
    <row r="5029">
      <c r="A5029" s="17">
        <v>1002002.0</v>
      </c>
      <c r="B5029" s="17">
        <v>7081100.0</v>
      </c>
    </row>
    <row r="5030">
      <c r="A5030" s="17">
        <v>1002002.0</v>
      </c>
      <c r="B5030" s="17">
        <v>7081200.0</v>
      </c>
    </row>
    <row r="5031">
      <c r="A5031" s="17">
        <v>1002002.0</v>
      </c>
      <c r="B5031" s="17">
        <v>7081300.0</v>
      </c>
    </row>
    <row r="5032">
      <c r="A5032" s="17">
        <v>1002002.0</v>
      </c>
      <c r="B5032" s="17">
        <v>7081400.0</v>
      </c>
    </row>
    <row r="5033">
      <c r="A5033" s="17">
        <v>1002002.0</v>
      </c>
      <c r="B5033" s="17">
        <v>7081500.0</v>
      </c>
    </row>
    <row r="5034">
      <c r="A5034" s="17">
        <v>1002002.0</v>
      </c>
      <c r="B5034" s="17">
        <v>7081700.0</v>
      </c>
    </row>
    <row r="5035">
      <c r="A5035" s="17">
        <v>1002002.0</v>
      </c>
      <c r="B5035" s="17">
        <v>7081800.0</v>
      </c>
    </row>
    <row r="5036">
      <c r="A5036" s="17">
        <v>1002002.0</v>
      </c>
      <c r="B5036" s="17">
        <v>7081900.0</v>
      </c>
    </row>
    <row r="5037">
      <c r="A5037" s="17">
        <v>1002002.0</v>
      </c>
      <c r="B5037" s="17">
        <v>7082000.0</v>
      </c>
    </row>
    <row r="5038">
      <c r="A5038" s="17">
        <v>1002002.0</v>
      </c>
      <c r="B5038" s="17">
        <v>7082100.0</v>
      </c>
    </row>
    <row r="5039">
      <c r="A5039" s="17">
        <v>1002002.0</v>
      </c>
      <c r="B5039" s="17">
        <v>7082200.0</v>
      </c>
    </row>
    <row r="5040">
      <c r="A5040" s="17">
        <v>1002002.0</v>
      </c>
      <c r="B5040" s="17">
        <v>7082300.0</v>
      </c>
    </row>
    <row r="5041">
      <c r="A5041" s="17">
        <v>1002002.0</v>
      </c>
      <c r="B5041" s="17">
        <v>7082400.0</v>
      </c>
    </row>
    <row r="5042">
      <c r="A5042" s="17">
        <v>1002002.0</v>
      </c>
      <c r="B5042" s="17">
        <v>7082500.0</v>
      </c>
    </row>
    <row r="5043">
      <c r="A5043" s="17">
        <v>1002002.0</v>
      </c>
      <c r="B5043" s="17">
        <v>7082600.0</v>
      </c>
    </row>
    <row r="5044">
      <c r="A5044" s="17">
        <v>1002002.0</v>
      </c>
      <c r="B5044" s="17">
        <v>7082700.0</v>
      </c>
    </row>
    <row r="5045">
      <c r="A5045" s="17">
        <v>1002002.0</v>
      </c>
      <c r="B5045" s="17">
        <v>7082800.0</v>
      </c>
    </row>
    <row r="5046">
      <c r="A5046" s="17">
        <v>1002002.0</v>
      </c>
      <c r="B5046" s="17">
        <v>7082900.0</v>
      </c>
    </row>
    <row r="5047">
      <c r="A5047" s="17">
        <v>1002002.0</v>
      </c>
      <c r="B5047" s="17">
        <v>7090000.0</v>
      </c>
    </row>
    <row r="5048">
      <c r="A5048" s="17">
        <v>1002002.0</v>
      </c>
      <c r="B5048" s="17">
        <v>7090100.0</v>
      </c>
    </row>
    <row r="5049">
      <c r="A5049" s="17">
        <v>1002002.0</v>
      </c>
      <c r="B5049" s="17">
        <v>7090300.0</v>
      </c>
    </row>
    <row r="5050">
      <c r="A5050" s="17">
        <v>1002002.0</v>
      </c>
      <c r="B5050" s="17">
        <v>7100100.0</v>
      </c>
    </row>
    <row r="5051">
      <c r="A5051" s="17">
        <v>1002002.0</v>
      </c>
      <c r="B5051" s="17">
        <v>7110000.0</v>
      </c>
    </row>
    <row r="5052">
      <c r="A5052" s="17">
        <v>1002002.0</v>
      </c>
      <c r="B5052" s="17">
        <v>7120000.0</v>
      </c>
    </row>
    <row r="5053">
      <c r="A5053" s="17">
        <v>1002002.0</v>
      </c>
      <c r="B5053" s="17">
        <v>7120100.0</v>
      </c>
    </row>
    <row r="5054">
      <c r="A5054" s="17">
        <v>1002002.0</v>
      </c>
      <c r="B5054" s="17">
        <v>7120200.0</v>
      </c>
    </row>
    <row r="5055">
      <c r="A5055" s="17">
        <v>1002002.0</v>
      </c>
      <c r="B5055" s="17">
        <v>7120300.0</v>
      </c>
    </row>
    <row r="5056">
      <c r="A5056" s="17">
        <v>1002002.0</v>
      </c>
      <c r="B5056" s="17">
        <v>7120400.0</v>
      </c>
    </row>
    <row r="5057">
      <c r="A5057" s="17">
        <v>1002002.0</v>
      </c>
      <c r="B5057" s="17">
        <v>7120500.0</v>
      </c>
    </row>
    <row r="5058">
      <c r="A5058" s="17">
        <v>1002002.0</v>
      </c>
      <c r="B5058" s="17">
        <v>7120600.0</v>
      </c>
    </row>
    <row r="5059">
      <c r="A5059" s="17">
        <v>1002002.0</v>
      </c>
      <c r="B5059" s="17">
        <v>7120900.0</v>
      </c>
    </row>
    <row r="5060">
      <c r="A5060" s="17">
        <v>1002002.0</v>
      </c>
      <c r="B5060" s="17">
        <v>7121000.0</v>
      </c>
    </row>
    <row r="5061">
      <c r="A5061" s="17">
        <v>1002002.0</v>
      </c>
      <c r="B5061" s="17">
        <v>7121100.0</v>
      </c>
    </row>
    <row r="5062">
      <c r="A5062" s="17">
        <v>1002002.0</v>
      </c>
      <c r="B5062" s="17">
        <v>7121200.0</v>
      </c>
    </row>
    <row r="5063">
      <c r="A5063" s="17">
        <v>1002002.0</v>
      </c>
      <c r="B5063" s="17">
        <v>7121300.0</v>
      </c>
    </row>
    <row r="5064">
      <c r="A5064" s="17">
        <v>1002002.0</v>
      </c>
      <c r="B5064" s="17">
        <v>7121400.0</v>
      </c>
    </row>
    <row r="5065">
      <c r="A5065" s="17">
        <v>1002002.0</v>
      </c>
      <c r="B5065" s="17">
        <v>7121500.0</v>
      </c>
    </row>
    <row r="5066">
      <c r="A5066" s="17">
        <v>1002002.0</v>
      </c>
      <c r="B5066" s="17">
        <v>7121600.0</v>
      </c>
    </row>
    <row r="5067">
      <c r="A5067" s="17">
        <v>1002002.0</v>
      </c>
      <c r="B5067" s="17">
        <v>7121700.0</v>
      </c>
    </row>
    <row r="5068">
      <c r="A5068" s="17">
        <v>1002002.0</v>
      </c>
      <c r="B5068" s="17">
        <v>7121800.0</v>
      </c>
    </row>
    <row r="5069">
      <c r="A5069" s="17">
        <v>1002002.0</v>
      </c>
      <c r="B5069" s="17">
        <v>7121900.0</v>
      </c>
    </row>
    <row r="5070">
      <c r="A5070" s="17">
        <v>1002002.0</v>
      </c>
      <c r="B5070" s="17">
        <v>7122000.0</v>
      </c>
    </row>
    <row r="5071">
      <c r="A5071" s="17">
        <v>1002002.0</v>
      </c>
      <c r="B5071" s="17">
        <v>7122100.0</v>
      </c>
    </row>
    <row r="5072">
      <c r="A5072" s="17">
        <v>1002002.0</v>
      </c>
      <c r="B5072" s="17">
        <v>7122200.0</v>
      </c>
    </row>
    <row r="5073">
      <c r="A5073" s="17">
        <v>1002002.0</v>
      </c>
      <c r="B5073" s="17">
        <v>7122300.0</v>
      </c>
    </row>
    <row r="5074">
      <c r="A5074" s="17">
        <v>1002002.0</v>
      </c>
      <c r="B5074" s="17">
        <v>7122400.0</v>
      </c>
    </row>
    <row r="5075">
      <c r="A5075" s="17">
        <v>1002002.0</v>
      </c>
      <c r="B5075" s="17">
        <v>7122500.0</v>
      </c>
    </row>
    <row r="5076">
      <c r="A5076" s="17">
        <v>1002002.0</v>
      </c>
      <c r="B5076" s="17">
        <v>7122600.0</v>
      </c>
    </row>
    <row r="5077">
      <c r="A5077" s="17">
        <v>1002002.0</v>
      </c>
      <c r="B5077" s="17">
        <v>7122700.0</v>
      </c>
    </row>
    <row r="5078">
      <c r="A5078" s="17">
        <v>1002002.0</v>
      </c>
      <c r="B5078" s="17">
        <v>7122800.0</v>
      </c>
    </row>
    <row r="5079">
      <c r="A5079" s="17">
        <v>1002002.0</v>
      </c>
      <c r="B5079" s="17">
        <v>7122900.0</v>
      </c>
    </row>
    <row r="5080">
      <c r="A5080" s="17">
        <v>1002002.0</v>
      </c>
      <c r="B5080" s="17">
        <v>7123000.0</v>
      </c>
    </row>
    <row r="5081">
      <c r="A5081" s="17">
        <v>1002002.0</v>
      </c>
      <c r="B5081" s="17">
        <v>7123100.0</v>
      </c>
    </row>
    <row r="5082">
      <c r="A5082" s="17">
        <v>1002002.0</v>
      </c>
      <c r="B5082" s="17">
        <v>7123200.0</v>
      </c>
    </row>
    <row r="5083">
      <c r="A5083" s="17">
        <v>1002002.0</v>
      </c>
      <c r="B5083" s="17">
        <v>7123300.0</v>
      </c>
    </row>
    <row r="5084">
      <c r="A5084" s="17">
        <v>1002002.0</v>
      </c>
      <c r="B5084" s="17">
        <v>7123400.0</v>
      </c>
    </row>
    <row r="5085">
      <c r="A5085" s="17">
        <v>1002002.0</v>
      </c>
      <c r="B5085" s="17">
        <v>7123500.0</v>
      </c>
    </row>
    <row r="5086">
      <c r="A5086" s="17">
        <v>1002002.0</v>
      </c>
      <c r="B5086" s="17">
        <v>7123600.0</v>
      </c>
    </row>
    <row r="5087">
      <c r="A5087" s="17">
        <v>1002002.0</v>
      </c>
      <c r="B5087" s="17">
        <v>7123700.0</v>
      </c>
    </row>
    <row r="5088">
      <c r="A5088" s="17">
        <v>1002002.0</v>
      </c>
      <c r="B5088" s="17">
        <v>7123800.0</v>
      </c>
    </row>
    <row r="5089">
      <c r="A5089" s="17">
        <v>1002002.0</v>
      </c>
      <c r="B5089" s="17">
        <v>7123900.0</v>
      </c>
    </row>
    <row r="5090">
      <c r="A5090" s="17">
        <v>1002002.0</v>
      </c>
      <c r="B5090" s="17">
        <v>7124000.0</v>
      </c>
    </row>
    <row r="5091">
      <c r="A5091" s="17">
        <v>1002002.0</v>
      </c>
      <c r="B5091" s="17">
        <v>7124100.0</v>
      </c>
    </row>
    <row r="5092">
      <c r="A5092" s="17">
        <v>1002002.0</v>
      </c>
      <c r="B5092" s="17">
        <v>7124300.0</v>
      </c>
    </row>
    <row r="5093">
      <c r="A5093" s="17">
        <v>1002002.0</v>
      </c>
      <c r="B5093" s="17">
        <v>7124400.0</v>
      </c>
    </row>
    <row r="5094">
      <c r="A5094" s="17">
        <v>1002002.0</v>
      </c>
      <c r="B5094" s="17">
        <v>7124500.0</v>
      </c>
    </row>
    <row r="5095">
      <c r="A5095" s="17">
        <v>1002002.0</v>
      </c>
      <c r="B5095" s="17">
        <v>7124600.0</v>
      </c>
    </row>
    <row r="5096">
      <c r="A5096" s="17">
        <v>1002002.0</v>
      </c>
      <c r="B5096" s="17">
        <v>7124700.0</v>
      </c>
    </row>
    <row r="5097">
      <c r="A5097" s="17">
        <v>1002002.0</v>
      </c>
      <c r="B5097" s="17">
        <v>7126000.0</v>
      </c>
    </row>
    <row r="5098">
      <c r="A5098" s="17">
        <v>1002002.0</v>
      </c>
      <c r="B5098" s="17">
        <v>7150000.0</v>
      </c>
    </row>
    <row r="5099">
      <c r="A5099" s="17">
        <v>1002002.0</v>
      </c>
      <c r="B5099" s="17">
        <v>7160000.0</v>
      </c>
    </row>
    <row r="5100">
      <c r="A5100" s="17">
        <v>1002002.0</v>
      </c>
      <c r="B5100" s="17">
        <v>7220000.0</v>
      </c>
    </row>
    <row r="5101">
      <c r="A5101" s="17">
        <v>1002002.0</v>
      </c>
      <c r="B5101" s="17">
        <v>7230000.0</v>
      </c>
    </row>
    <row r="5102">
      <c r="A5102" s="17">
        <v>1002002.0</v>
      </c>
      <c r="B5102" s="17">
        <v>7240000.0</v>
      </c>
    </row>
    <row r="5103">
      <c r="A5103" s="17">
        <v>1002002.0</v>
      </c>
      <c r="B5103" s="17">
        <v>7260000.0</v>
      </c>
    </row>
    <row r="5104">
      <c r="A5104" s="17">
        <v>1002002.0</v>
      </c>
      <c r="B5104" s="17">
        <v>7260300.0</v>
      </c>
    </row>
    <row r="5105">
      <c r="A5105" s="17">
        <v>1002002.0</v>
      </c>
      <c r="B5105" s="17">
        <v>7260400.0</v>
      </c>
    </row>
    <row r="5106">
      <c r="A5106" s="17">
        <v>1002002.0</v>
      </c>
      <c r="B5106" s="17">
        <v>7270100.0</v>
      </c>
    </row>
    <row r="5107">
      <c r="A5107" s="17">
        <v>1002002.0</v>
      </c>
      <c r="B5107" s="17">
        <v>7280000.0</v>
      </c>
    </row>
    <row r="5108">
      <c r="A5108" s="17">
        <v>1002002.0</v>
      </c>
      <c r="B5108" s="17">
        <v>7290000.0</v>
      </c>
    </row>
    <row r="5109">
      <c r="A5109" s="17">
        <v>1002002.0</v>
      </c>
      <c r="B5109" s="17">
        <v>7310000.0</v>
      </c>
    </row>
    <row r="5110">
      <c r="A5110" s="17">
        <v>1002002.0</v>
      </c>
      <c r="B5110" s="17">
        <v>7330000.0</v>
      </c>
    </row>
    <row r="5111">
      <c r="A5111" s="17">
        <v>1002002.0</v>
      </c>
      <c r="B5111" s="17">
        <v>7330100.0</v>
      </c>
    </row>
    <row r="5112">
      <c r="A5112" s="17">
        <v>1002002.0</v>
      </c>
      <c r="B5112" s="17">
        <v>7330200.0</v>
      </c>
    </row>
    <row r="5113">
      <c r="A5113" s="17">
        <v>1002002.0</v>
      </c>
      <c r="B5113" s="17">
        <v>7330300.0</v>
      </c>
    </row>
    <row r="5114">
      <c r="A5114" s="17">
        <v>1002002.0</v>
      </c>
      <c r="B5114" s="17">
        <v>7330400.0</v>
      </c>
    </row>
    <row r="5115">
      <c r="A5115" s="17">
        <v>1002002.0</v>
      </c>
      <c r="B5115" s="17">
        <v>7330500.0</v>
      </c>
    </row>
    <row r="5116">
      <c r="A5116" s="17">
        <v>1002002.0</v>
      </c>
      <c r="B5116" s="17">
        <v>7330600.0</v>
      </c>
    </row>
    <row r="5117">
      <c r="A5117" s="17">
        <v>1002002.0</v>
      </c>
      <c r="B5117" s="17">
        <v>7330700.0</v>
      </c>
    </row>
    <row r="5118">
      <c r="A5118" s="17">
        <v>1002002.0</v>
      </c>
      <c r="B5118" s="17">
        <v>7330800.0</v>
      </c>
    </row>
    <row r="5119">
      <c r="A5119" s="17">
        <v>1002002.0</v>
      </c>
      <c r="B5119" s="17">
        <v>7330900.0</v>
      </c>
    </row>
    <row r="5120">
      <c r="A5120" s="17">
        <v>1002002.0</v>
      </c>
      <c r="B5120" s="17">
        <v>7331000.0</v>
      </c>
    </row>
    <row r="5121">
      <c r="A5121" s="17">
        <v>1002002.0</v>
      </c>
      <c r="B5121" s="17">
        <v>7331100.0</v>
      </c>
    </row>
    <row r="5122">
      <c r="A5122" s="17">
        <v>1002002.0</v>
      </c>
      <c r="B5122" s="17">
        <v>7331200.0</v>
      </c>
    </row>
    <row r="5123">
      <c r="A5123" s="17">
        <v>1002002.0</v>
      </c>
      <c r="B5123" s="17">
        <v>7331300.0</v>
      </c>
    </row>
    <row r="5124">
      <c r="A5124" s="17">
        <v>1002002.0</v>
      </c>
      <c r="B5124" s="17">
        <v>7331400.0</v>
      </c>
    </row>
    <row r="5125">
      <c r="A5125" s="17">
        <v>1002002.0</v>
      </c>
      <c r="B5125" s="17">
        <v>7331500.0</v>
      </c>
    </row>
    <row r="5126">
      <c r="A5126" s="17">
        <v>1002002.0</v>
      </c>
      <c r="B5126" s="17">
        <v>7331700.0</v>
      </c>
    </row>
    <row r="5127">
      <c r="A5127" s="17">
        <v>1002002.0</v>
      </c>
      <c r="B5127" s="17">
        <v>7331800.0</v>
      </c>
    </row>
    <row r="5128">
      <c r="A5128" s="17">
        <v>1002002.0</v>
      </c>
      <c r="B5128" s="17">
        <v>7331900.0</v>
      </c>
    </row>
    <row r="5129">
      <c r="A5129" s="17">
        <v>1002002.0</v>
      </c>
      <c r="B5129" s="17">
        <v>7332000.0</v>
      </c>
    </row>
    <row r="5130">
      <c r="A5130" s="17">
        <v>1002002.0</v>
      </c>
      <c r="B5130" s="17">
        <v>7332100.0</v>
      </c>
    </row>
    <row r="5131">
      <c r="A5131" s="17">
        <v>1002002.0</v>
      </c>
      <c r="B5131" s="17">
        <v>7332200.0</v>
      </c>
    </row>
    <row r="5132">
      <c r="A5132" s="17">
        <v>1002002.0</v>
      </c>
      <c r="B5132" s="17">
        <v>7332300.0</v>
      </c>
    </row>
    <row r="5133">
      <c r="A5133" s="17">
        <v>1002002.0</v>
      </c>
      <c r="B5133" s="17">
        <v>7332400.0</v>
      </c>
    </row>
    <row r="5134">
      <c r="A5134" s="17">
        <v>1002002.0</v>
      </c>
      <c r="B5134" s="17">
        <v>7340000.0</v>
      </c>
    </row>
    <row r="5135">
      <c r="A5135" s="17">
        <v>1002002.0</v>
      </c>
      <c r="B5135" s="17">
        <v>7340100.0</v>
      </c>
    </row>
    <row r="5136">
      <c r="A5136" s="17">
        <v>1002002.0</v>
      </c>
      <c r="B5136" s="17">
        <v>7340200.0</v>
      </c>
    </row>
    <row r="5137">
      <c r="A5137" s="17">
        <v>1002002.0</v>
      </c>
      <c r="B5137" s="17">
        <v>7340300.0</v>
      </c>
    </row>
    <row r="5138">
      <c r="A5138" s="17">
        <v>1002002.0</v>
      </c>
      <c r="B5138" s="17">
        <v>7340400.0</v>
      </c>
    </row>
    <row r="5139">
      <c r="A5139" s="17">
        <v>1002002.0</v>
      </c>
      <c r="B5139" s="17">
        <v>7340500.0</v>
      </c>
    </row>
    <row r="5140">
      <c r="A5140" s="17">
        <v>1002002.0</v>
      </c>
      <c r="B5140" s="17">
        <v>7340600.0</v>
      </c>
    </row>
    <row r="5141">
      <c r="A5141" s="17">
        <v>1002002.0</v>
      </c>
      <c r="B5141" s="17">
        <v>7340700.0</v>
      </c>
    </row>
    <row r="5142">
      <c r="A5142" s="17">
        <v>1002002.0</v>
      </c>
      <c r="B5142" s="17">
        <v>7340800.0</v>
      </c>
    </row>
    <row r="5143">
      <c r="A5143" s="17">
        <v>1002002.0</v>
      </c>
      <c r="B5143" s="17">
        <v>7340900.0</v>
      </c>
    </row>
    <row r="5144">
      <c r="A5144" s="17">
        <v>1002002.0</v>
      </c>
      <c r="B5144" s="17">
        <v>7341000.0</v>
      </c>
    </row>
    <row r="5145">
      <c r="A5145" s="17">
        <v>1002002.0</v>
      </c>
      <c r="B5145" s="17">
        <v>7341100.0</v>
      </c>
    </row>
    <row r="5146">
      <c r="A5146" s="17">
        <v>1002002.0</v>
      </c>
      <c r="B5146" s="17">
        <v>7341200.0</v>
      </c>
    </row>
    <row r="5147">
      <c r="A5147" s="17">
        <v>1002002.0</v>
      </c>
      <c r="B5147" s="17">
        <v>7341300.0</v>
      </c>
    </row>
    <row r="5148">
      <c r="A5148" s="17">
        <v>1002002.0</v>
      </c>
      <c r="B5148" s="17">
        <v>7341400.0</v>
      </c>
    </row>
    <row r="5149">
      <c r="A5149" s="17">
        <v>1002002.0</v>
      </c>
      <c r="B5149" s="17">
        <v>7341500.0</v>
      </c>
    </row>
    <row r="5150">
      <c r="A5150" s="17">
        <v>1002002.0</v>
      </c>
      <c r="B5150" s="17">
        <v>7341700.0</v>
      </c>
    </row>
    <row r="5151">
      <c r="A5151" s="17">
        <v>1002002.0</v>
      </c>
      <c r="B5151" s="17">
        <v>7341800.0</v>
      </c>
    </row>
    <row r="5152">
      <c r="A5152" s="17">
        <v>1002002.0</v>
      </c>
      <c r="B5152" s="17">
        <v>7341900.0</v>
      </c>
    </row>
    <row r="5153">
      <c r="A5153" s="17">
        <v>1002002.0</v>
      </c>
      <c r="B5153" s="17">
        <v>7342000.0</v>
      </c>
    </row>
    <row r="5154">
      <c r="A5154" s="17">
        <v>1002002.0</v>
      </c>
      <c r="B5154" s="17">
        <v>7342100.0</v>
      </c>
    </row>
    <row r="5155">
      <c r="A5155" s="17">
        <v>1002002.0</v>
      </c>
      <c r="B5155" s="17">
        <v>7342200.0</v>
      </c>
    </row>
    <row r="5156">
      <c r="A5156" s="17">
        <v>1002002.0</v>
      </c>
      <c r="B5156" s="17">
        <v>7342300.0</v>
      </c>
    </row>
    <row r="5157">
      <c r="A5157" s="17">
        <v>1002002.0</v>
      </c>
      <c r="B5157" s="17">
        <v>7342400.0</v>
      </c>
    </row>
    <row r="5158">
      <c r="A5158" s="17">
        <v>1002002.0</v>
      </c>
      <c r="B5158" s="17">
        <v>7350000.0</v>
      </c>
    </row>
    <row r="5159">
      <c r="A5159" s="17">
        <v>1002002.0</v>
      </c>
      <c r="B5159" s="17">
        <v>7350100.0</v>
      </c>
    </row>
    <row r="5160">
      <c r="A5160" s="17">
        <v>1002002.0</v>
      </c>
      <c r="B5160" s="17">
        <v>7350200.0</v>
      </c>
    </row>
    <row r="5161">
      <c r="A5161" s="17">
        <v>1002002.0</v>
      </c>
      <c r="B5161" s="17">
        <v>7350300.0</v>
      </c>
    </row>
    <row r="5162">
      <c r="A5162" s="17">
        <v>1002002.0</v>
      </c>
      <c r="B5162" s="17">
        <v>7350400.0</v>
      </c>
    </row>
    <row r="5163">
      <c r="A5163" s="17">
        <v>1002002.0</v>
      </c>
      <c r="B5163" s="17">
        <v>7350500.0</v>
      </c>
    </row>
    <row r="5164">
      <c r="A5164" s="17">
        <v>1002002.0</v>
      </c>
      <c r="B5164" s="17">
        <v>7350600.0</v>
      </c>
    </row>
    <row r="5165">
      <c r="A5165" s="17">
        <v>1002002.0</v>
      </c>
      <c r="B5165" s="17">
        <v>7350700.0</v>
      </c>
    </row>
    <row r="5166">
      <c r="A5166" s="17">
        <v>1002002.0</v>
      </c>
      <c r="B5166" s="17">
        <v>7350800.0</v>
      </c>
    </row>
    <row r="5167">
      <c r="A5167" s="17">
        <v>1002002.0</v>
      </c>
      <c r="B5167" s="17">
        <v>7350900.0</v>
      </c>
    </row>
    <row r="5168">
      <c r="A5168" s="17">
        <v>1002002.0</v>
      </c>
      <c r="B5168" s="17">
        <v>7351000.0</v>
      </c>
    </row>
    <row r="5169">
      <c r="A5169" s="17">
        <v>1002002.0</v>
      </c>
      <c r="B5169" s="17">
        <v>7351100.0</v>
      </c>
    </row>
    <row r="5170">
      <c r="A5170" s="17">
        <v>1002002.0</v>
      </c>
      <c r="B5170" s="17">
        <v>7351200.0</v>
      </c>
    </row>
    <row r="5171">
      <c r="A5171" s="17">
        <v>1002002.0</v>
      </c>
      <c r="B5171" s="17">
        <v>7351300.0</v>
      </c>
    </row>
    <row r="5172">
      <c r="A5172" s="17">
        <v>1002002.0</v>
      </c>
      <c r="B5172" s="17">
        <v>7351400.0</v>
      </c>
    </row>
    <row r="5173">
      <c r="A5173" s="17">
        <v>1002002.0</v>
      </c>
      <c r="B5173" s="17">
        <v>7351500.0</v>
      </c>
    </row>
    <row r="5174">
      <c r="A5174" s="17">
        <v>1002002.0</v>
      </c>
      <c r="B5174" s="17">
        <v>7351700.0</v>
      </c>
    </row>
    <row r="5175">
      <c r="A5175" s="17">
        <v>1002002.0</v>
      </c>
      <c r="B5175" s="17">
        <v>7351800.0</v>
      </c>
    </row>
    <row r="5176">
      <c r="A5176" s="17">
        <v>1002002.0</v>
      </c>
      <c r="B5176" s="17">
        <v>7351900.0</v>
      </c>
    </row>
    <row r="5177">
      <c r="A5177" s="17">
        <v>1002002.0</v>
      </c>
      <c r="B5177" s="17">
        <v>7352000.0</v>
      </c>
    </row>
    <row r="5178">
      <c r="A5178" s="17">
        <v>1002002.0</v>
      </c>
      <c r="B5178" s="17">
        <v>7352100.0</v>
      </c>
    </row>
    <row r="5179">
      <c r="A5179" s="17">
        <v>1002002.0</v>
      </c>
      <c r="B5179" s="17">
        <v>7352200.0</v>
      </c>
    </row>
    <row r="5180">
      <c r="A5180" s="17">
        <v>1002002.0</v>
      </c>
      <c r="B5180" s="17">
        <v>7352300.0</v>
      </c>
    </row>
    <row r="5181">
      <c r="A5181" s="17">
        <v>1002002.0</v>
      </c>
      <c r="B5181" s="17">
        <v>7352400.0</v>
      </c>
    </row>
    <row r="5182">
      <c r="A5182" s="17">
        <v>1002002.0</v>
      </c>
      <c r="B5182" s="17">
        <v>7360600.0</v>
      </c>
    </row>
    <row r="5183">
      <c r="A5183" s="17">
        <v>1002002.0</v>
      </c>
      <c r="B5183" s="17">
        <v>7360900.0</v>
      </c>
    </row>
    <row r="5184">
      <c r="A5184" s="17">
        <v>1002002.0</v>
      </c>
      <c r="B5184" s="17">
        <v>7361200.0</v>
      </c>
    </row>
    <row r="5185">
      <c r="A5185" s="17">
        <v>1002002.0</v>
      </c>
      <c r="B5185" s="17">
        <v>7361300.0</v>
      </c>
    </row>
    <row r="5186">
      <c r="A5186" s="17">
        <v>1002002.0</v>
      </c>
      <c r="B5186" s="17">
        <v>7362100.0</v>
      </c>
    </row>
    <row r="5187">
      <c r="A5187" s="17">
        <v>1002002.0</v>
      </c>
      <c r="B5187" s="17">
        <v>7370300.0</v>
      </c>
    </row>
    <row r="5188">
      <c r="A5188" s="17">
        <v>1002002.0</v>
      </c>
      <c r="B5188" s="17">
        <v>7370400.0</v>
      </c>
    </row>
    <row r="5189">
      <c r="A5189" s="17">
        <v>1002002.0</v>
      </c>
      <c r="B5189" s="17">
        <v>7370600.0</v>
      </c>
    </row>
    <row r="5190">
      <c r="A5190" s="17">
        <v>1002002.0</v>
      </c>
      <c r="B5190" s="17">
        <v>7370900.0</v>
      </c>
    </row>
    <row r="5191">
      <c r="A5191" s="17">
        <v>1002002.0</v>
      </c>
      <c r="B5191" s="17">
        <v>7371500.0</v>
      </c>
    </row>
    <row r="5192">
      <c r="A5192" s="17">
        <v>1002002.0</v>
      </c>
      <c r="B5192" s="17">
        <v>7036200.0</v>
      </c>
    </row>
    <row r="5193">
      <c r="A5193" s="17">
        <v>1002002.0</v>
      </c>
      <c r="B5193" s="17">
        <v>7036300.0</v>
      </c>
    </row>
    <row r="5194">
      <c r="A5194" s="17">
        <v>1002002.0</v>
      </c>
      <c r="B5194" s="17">
        <v>7036400.0</v>
      </c>
    </row>
    <row r="5195">
      <c r="A5195" s="17">
        <v>1002002.0</v>
      </c>
      <c r="B5195" s="17">
        <v>7036500.0</v>
      </c>
    </row>
    <row r="5196">
      <c r="A5196" s="17">
        <v>1002002.0</v>
      </c>
      <c r="B5196" s="17">
        <v>7036800.0</v>
      </c>
    </row>
    <row r="5197">
      <c r="A5197" s="17">
        <v>1002002.0</v>
      </c>
      <c r="B5197" s="17">
        <v>7036900.0</v>
      </c>
    </row>
    <row r="5198">
      <c r="A5198" s="17">
        <v>1002002.0</v>
      </c>
      <c r="B5198" s="17">
        <v>7037000.0</v>
      </c>
    </row>
    <row r="5199">
      <c r="A5199" s="17">
        <v>1002002.0</v>
      </c>
      <c r="B5199" s="17">
        <v>7037300.0</v>
      </c>
    </row>
    <row r="5200">
      <c r="A5200" s="17">
        <v>1002002.0</v>
      </c>
      <c r="B5200" s="17">
        <v>6630000.0</v>
      </c>
    </row>
    <row r="5201">
      <c r="A5201" s="17">
        <v>1002002.0</v>
      </c>
      <c r="B5201" s="17">
        <v>6630100.0</v>
      </c>
    </row>
    <row r="5202">
      <c r="A5202" s="17">
        <v>1002002.0</v>
      </c>
      <c r="B5202" s="17">
        <v>6630200.0</v>
      </c>
    </row>
    <row r="5203">
      <c r="A5203" s="17">
        <v>1002002.0</v>
      </c>
      <c r="B5203" s="17">
        <v>6630300.0</v>
      </c>
    </row>
    <row r="5204">
      <c r="A5204" s="17">
        <v>1002002.0</v>
      </c>
      <c r="B5204" s="17">
        <v>6630400.0</v>
      </c>
    </row>
    <row r="5205">
      <c r="A5205" s="17">
        <v>1002002.0</v>
      </c>
      <c r="B5205" s="17">
        <v>6630500.0</v>
      </c>
    </row>
    <row r="5206">
      <c r="A5206" s="17">
        <v>1002002.0</v>
      </c>
      <c r="B5206" s="17">
        <v>6630600.0</v>
      </c>
    </row>
    <row r="5207">
      <c r="A5207" s="17">
        <v>1002002.0</v>
      </c>
      <c r="B5207" s="17">
        <v>6630700.0</v>
      </c>
    </row>
    <row r="5208">
      <c r="A5208" s="17">
        <v>1002002.0</v>
      </c>
      <c r="B5208" s="17">
        <v>6630800.0</v>
      </c>
    </row>
    <row r="5209">
      <c r="A5209" s="17">
        <v>1002002.0</v>
      </c>
      <c r="B5209" s="17">
        <v>6630900.0</v>
      </c>
    </row>
    <row r="5210">
      <c r="A5210" s="17">
        <v>1002002.0</v>
      </c>
      <c r="B5210" s="17">
        <v>6631000.0</v>
      </c>
    </row>
    <row r="5211">
      <c r="A5211" s="17">
        <v>1002002.0</v>
      </c>
      <c r="B5211" s="17">
        <v>6631100.0</v>
      </c>
    </row>
    <row r="5212">
      <c r="A5212" s="17">
        <v>1002002.0</v>
      </c>
      <c r="B5212" s="17">
        <v>6631200.0</v>
      </c>
    </row>
    <row r="5213">
      <c r="A5213" s="17">
        <v>1002002.0</v>
      </c>
      <c r="B5213" s="17">
        <v>6631300.0</v>
      </c>
    </row>
    <row r="5214">
      <c r="A5214" s="17">
        <v>1002002.0</v>
      </c>
      <c r="B5214" s="17">
        <v>6631400.0</v>
      </c>
    </row>
    <row r="5215">
      <c r="A5215" s="17">
        <v>1002002.0</v>
      </c>
      <c r="B5215" s="17">
        <v>6631500.0</v>
      </c>
    </row>
    <row r="5216">
      <c r="A5216" s="17">
        <v>1002002.0</v>
      </c>
      <c r="B5216" s="17">
        <v>6631600.0</v>
      </c>
    </row>
    <row r="5217">
      <c r="A5217" s="17">
        <v>1002002.0</v>
      </c>
      <c r="B5217" s="17">
        <v>6631700.0</v>
      </c>
    </row>
    <row r="5218">
      <c r="A5218" s="17">
        <v>1002002.0</v>
      </c>
      <c r="B5218" s="17">
        <v>6631800.0</v>
      </c>
    </row>
    <row r="5219">
      <c r="A5219" s="17">
        <v>1002002.0</v>
      </c>
      <c r="B5219" s="17">
        <v>6631900.0</v>
      </c>
    </row>
    <row r="5220">
      <c r="A5220" s="17">
        <v>1002002.0</v>
      </c>
      <c r="B5220" s="17">
        <v>6632000.0</v>
      </c>
    </row>
    <row r="5221">
      <c r="A5221" s="17">
        <v>1002002.0</v>
      </c>
      <c r="B5221" s="17">
        <v>6632100.0</v>
      </c>
    </row>
    <row r="5222">
      <c r="A5222" s="17">
        <v>1002002.0</v>
      </c>
      <c r="B5222" s="17">
        <v>6632200.0</v>
      </c>
    </row>
    <row r="5223">
      <c r="A5223" s="17">
        <v>1002002.0</v>
      </c>
      <c r="B5223" s="17">
        <v>6632300.0</v>
      </c>
    </row>
    <row r="5224">
      <c r="A5224" s="17">
        <v>1002002.0</v>
      </c>
      <c r="B5224" s="17">
        <v>6632400.0</v>
      </c>
    </row>
    <row r="5225">
      <c r="A5225" s="17">
        <v>1002002.0</v>
      </c>
      <c r="B5225" s="17">
        <v>6632500.0</v>
      </c>
    </row>
    <row r="5226">
      <c r="A5226" s="17">
        <v>1002002.0</v>
      </c>
      <c r="B5226" s="17">
        <v>6632600.0</v>
      </c>
    </row>
    <row r="5227">
      <c r="A5227" s="17">
        <v>1002002.0</v>
      </c>
      <c r="B5227" s="17">
        <v>6632700.0</v>
      </c>
    </row>
    <row r="5228">
      <c r="A5228" s="17">
        <v>1002002.0</v>
      </c>
      <c r="B5228" s="17">
        <v>6632800.0</v>
      </c>
    </row>
    <row r="5229">
      <c r="A5229" s="17">
        <v>1002002.0</v>
      </c>
      <c r="B5229" s="17">
        <v>6632900.0</v>
      </c>
    </row>
    <row r="5230">
      <c r="A5230" s="17">
        <v>1002002.0</v>
      </c>
      <c r="B5230" s="17">
        <v>6633000.0</v>
      </c>
    </row>
    <row r="5231">
      <c r="A5231" s="17">
        <v>1002002.0</v>
      </c>
      <c r="B5231" s="17">
        <v>6633100.0</v>
      </c>
    </row>
    <row r="5232">
      <c r="A5232" s="17">
        <v>1002002.0</v>
      </c>
      <c r="B5232" s="17">
        <v>6633200.0</v>
      </c>
    </row>
    <row r="5233">
      <c r="A5233" s="17">
        <v>1002002.0</v>
      </c>
      <c r="B5233" s="17">
        <v>6647200.0</v>
      </c>
    </row>
    <row r="5234">
      <c r="A5234" s="17">
        <v>1002002.0</v>
      </c>
      <c r="B5234" s="17">
        <v>6647300.0</v>
      </c>
    </row>
    <row r="5235">
      <c r="A5235" s="17">
        <v>1002002.0</v>
      </c>
      <c r="B5235" s="17">
        <v>6647400.0</v>
      </c>
    </row>
    <row r="5236">
      <c r="A5236" s="17">
        <v>1002002.0</v>
      </c>
      <c r="B5236" s="17">
        <v>6647500.0</v>
      </c>
    </row>
    <row r="5237">
      <c r="A5237" s="17">
        <v>1002002.0</v>
      </c>
      <c r="B5237" s="17">
        <v>6640000.0</v>
      </c>
    </row>
    <row r="5238">
      <c r="A5238" s="17">
        <v>1002002.0</v>
      </c>
      <c r="B5238" s="17">
        <v>6640100.0</v>
      </c>
    </row>
    <row r="5239">
      <c r="A5239" s="17">
        <v>1002002.0</v>
      </c>
      <c r="B5239" s="17">
        <v>6641000.0</v>
      </c>
    </row>
    <row r="5240">
      <c r="A5240" s="17">
        <v>1002002.0</v>
      </c>
      <c r="B5240" s="17">
        <v>6641100.0</v>
      </c>
    </row>
    <row r="5241">
      <c r="A5241" s="17">
        <v>1002002.0</v>
      </c>
      <c r="B5241" s="17">
        <v>6642000.0</v>
      </c>
    </row>
    <row r="5242">
      <c r="A5242" s="17">
        <v>1002002.0</v>
      </c>
      <c r="B5242" s="17">
        <v>6642100.0</v>
      </c>
    </row>
    <row r="5243">
      <c r="A5243" s="17">
        <v>1002002.0</v>
      </c>
      <c r="B5243" s="17">
        <v>6643000.0</v>
      </c>
    </row>
    <row r="5244">
      <c r="A5244" s="17">
        <v>1002002.0</v>
      </c>
      <c r="B5244" s="17">
        <v>6643100.0</v>
      </c>
    </row>
    <row r="5245">
      <c r="A5245" s="17">
        <v>1002002.0</v>
      </c>
      <c r="B5245" s="17">
        <v>6644000.0</v>
      </c>
    </row>
    <row r="5246">
      <c r="A5246" s="17">
        <v>1002002.0</v>
      </c>
      <c r="B5246" s="17">
        <v>6644100.0</v>
      </c>
    </row>
    <row r="5247">
      <c r="A5247" s="17">
        <v>1002002.0</v>
      </c>
      <c r="B5247" s="17">
        <v>6645000.0</v>
      </c>
    </row>
    <row r="5248">
      <c r="A5248" s="17">
        <v>1002002.0</v>
      </c>
      <c r="B5248" s="17">
        <v>6645100.0</v>
      </c>
    </row>
    <row r="5249">
      <c r="A5249" s="17">
        <v>1002002.0</v>
      </c>
      <c r="B5249" s="17">
        <v>6646000.0</v>
      </c>
    </row>
    <row r="5250">
      <c r="A5250" s="17">
        <v>1002002.0</v>
      </c>
      <c r="B5250" s="17">
        <v>6646100.0</v>
      </c>
    </row>
    <row r="5251">
      <c r="A5251" s="17">
        <v>1002002.0</v>
      </c>
      <c r="B5251" s="17">
        <v>6647000.0</v>
      </c>
    </row>
    <row r="5252">
      <c r="A5252" s="17">
        <v>1002002.0</v>
      </c>
      <c r="B5252" s="17">
        <v>6647100.0</v>
      </c>
    </row>
    <row r="5253">
      <c r="A5253" s="17">
        <v>1003000.0</v>
      </c>
      <c r="B5253" s="17">
        <v>7000000.0</v>
      </c>
    </row>
    <row r="5254">
      <c r="A5254" s="17">
        <v>1003000.0</v>
      </c>
      <c r="B5254" s="17">
        <v>7000001.0</v>
      </c>
    </row>
    <row r="5255">
      <c r="A5255" s="17">
        <v>1003000.0</v>
      </c>
      <c r="B5255" s="17">
        <v>7000002.0</v>
      </c>
    </row>
    <row r="5256">
      <c r="A5256" s="17">
        <v>1003000.0</v>
      </c>
      <c r="B5256" s="17">
        <v>7000100.0</v>
      </c>
    </row>
    <row r="5257">
      <c r="A5257" s="17">
        <v>1003000.0</v>
      </c>
      <c r="B5257" s="17">
        <v>7000101.0</v>
      </c>
    </row>
    <row r="5258">
      <c r="A5258" s="17">
        <v>1003000.0</v>
      </c>
      <c r="B5258" s="17">
        <v>7000102.0</v>
      </c>
    </row>
    <row r="5259">
      <c r="A5259" s="17">
        <v>1003000.0</v>
      </c>
      <c r="B5259" s="17">
        <v>7000200.0</v>
      </c>
    </row>
    <row r="5260">
      <c r="A5260" s="17">
        <v>1003000.0</v>
      </c>
      <c r="B5260" s="17">
        <v>7000201.0</v>
      </c>
    </row>
    <row r="5261">
      <c r="A5261" s="17">
        <v>1003000.0</v>
      </c>
      <c r="B5261" s="17">
        <v>7000202.0</v>
      </c>
    </row>
    <row r="5262">
      <c r="A5262" s="17">
        <v>1003000.0</v>
      </c>
      <c r="B5262" s="17">
        <v>7000300.0</v>
      </c>
    </row>
    <row r="5263">
      <c r="A5263" s="17">
        <v>1003000.0</v>
      </c>
      <c r="B5263" s="17">
        <v>7000301.0</v>
      </c>
    </row>
    <row r="5264">
      <c r="A5264" s="17">
        <v>1003000.0</v>
      </c>
      <c r="B5264" s="17">
        <v>7000302.0</v>
      </c>
    </row>
    <row r="5265">
      <c r="A5265" s="17">
        <v>1003000.0</v>
      </c>
      <c r="B5265" s="17">
        <v>7000400.0</v>
      </c>
    </row>
    <row r="5266">
      <c r="A5266" s="17">
        <v>1003000.0</v>
      </c>
      <c r="B5266" s="17">
        <v>7000401.0</v>
      </c>
    </row>
    <row r="5267">
      <c r="A5267" s="17">
        <v>1003000.0</v>
      </c>
      <c r="B5267" s="17">
        <v>7000402.0</v>
      </c>
    </row>
    <row r="5268">
      <c r="A5268" s="17">
        <v>1003000.0</v>
      </c>
      <c r="B5268" s="17">
        <v>7000500.0</v>
      </c>
    </row>
    <row r="5269">
      <c r="A5269" s="17">
        <v>1003000.0</v>
      </c>
      <c r="B5269" s="17">
        <v>7000501.0</v>
      </c>
    </row>
    <row r="5270">
      <c r="A5270" s="17">
        <v>1003000.0</v>
      </c>
      <c r="B5270" s="17">
        <v>7000502.0</v>
      </c>
    </row>
    <row r="5271">
      <c r="A5271" s="17">
        <v>1003000.0</v>
      </c>
      <c r="B5271" s="17">
        <v>7000600.0</v>
      </c>
    </row>
    <row r="5272">
      <c r="A5272" s="17">
        <v>1003000.0</v>
      </c>
      <c r="B5272" s="17">
        <v>7000601.0</v>
      </c>
    </row>
    <row r="5273">
      <c r="A5273" s="17">
        <v>1003000.0</v>
      </c>
      <c r="B5273" s="17">
        <v>7000602.0</v>
      </c>
    </row>
    <row r="5274">
      <c r="A5274" s="17">
        <v>1003000.0</v>
      </c>
      <c r="B5274" s="17">
        <v>7000700.0</v>
      </c>
    </row>
    <row r="5275">
      <c r="A5275" s="17">
        <v>1003000.0</v>
      </c>
      <c r="B5275" s="17">
        <v>7000701.0</v>
      </c>
    </row>
    <row r="5276">
      <c r="A5276" s="17">
        <v>1003000.0</v>
      </c>
      <c r="B5276" s="17">
        <v>7000702.0</v>
      </c>
    </row>
    <row r="5277">
      <c r="A5277" s="17">
        <v>1003000.0</v>
      </c>
      <c r="B5277" s="17">
        <v>7000800.0</v>
      </c>
    </row>
    <row r="5278">
      <c r="A5278" s="17">
        <v>1003000.0</v>
      </c>
      <c r="B5278" s="17">
        <v>7000801.0</v>
      </c>
    </row>
    <row r="5279">
      <c r="A5279" s="17">
        <v>1003000.0</v>
      </c>
      <c r="B5279" s="17">
        <v>7000802.0</v>
      </c>
    </row>
    <row r="5280">
      <c r="A5280" s="17">
        <v>1003000.0</v>
      </c>
      <c r="B5280" s="17">
        <v>7000900.0</v>
      </c>
    </row>
    <row r="5281">
      <c r="A5281" s="17">
        <v>1003000.0</v>
      </c>
      <c r="B5281" s="17">
        <v>7000901.0</v>
      </c>
    </row>
    <row r="5282">
      <c r="A5282" s="17">
        <v>1003000.0</v>
      </c>
      <c r="B5282" s="17">
        <v>7000902.0</v>
      </c>
    </row>
    <row r="5283">
      <c r="A5283" s="17">
        <v>1003000.0</v>
      </c>
      <c r="B5283" s="17">
        <v>7001000.0</v>
      </c>
    </row>
    <row r="5284">
      <c r="A5284" s="17">
        <v>1003000.0</v>
      </c>
      <c r="B5284" s="17">
        <v>7001001.0</v>
      </c>
    </row>
    <row r="5285">
      <c r="A5285" s="17">
        <v>1003000.0</v>
      </c>
      <c r="B5285" s="17">
        <v>7001002.0</v>
      </c>
    </row>
    <row r="5286">
      <c r="A5286" s="17">
        <v>1003000.0</v>
      </c>
      <c r="B5286" s="17">
        <v>7001400.0</v>
      </c>
    </row>
    <row r="5287">
      <c r="A5287" s="17">
        <v>1003000.0</v>
      </c>
      <c r="B5287" s="17">
        <v>7001401.0</v>
      </c>
    </row>
    <row r="5288">
      <c r="A5288" s="17">
        <v>1003000.0</v>
      </c>
      <c r="B5288" s="17">
        <v>7001402.0</v>
      </c>
    </row>
    <row r="5289">
      <c r="A5289" s="17">
        <v>1003000.0</v>
      </c>
      <c r="B5289" s="17">
        <v>7001500.0</v>
      </c>
    </row>
    <row r="5290">
      <c r="A5290" s="17">
        <v>1003000.0</v>
      </c>
      <c r="B5290" s="17">
        <v>7001501.0</v>
      </c>
    </row>
    <row r="5291">
      <c r="A5291" s="17">
        <v>1003000.0</v>
      </c>
      <c r="B5291" s="17">
        <v>7001502.0</v>
      </c>
    </row>
    <row r="5292">
      <c r="A5292" s="17">
        <v>1003000.0</v>
      </c>
      <c r="B5292" s="17">
        <v>7001600.0</v>
      </c>
    </row>
    <row r="5293">
      <c r="A5293" s="17">
        <v>1003000.0</v>
      </c>
      <c r="B5293" s="17">
        <v>7001601.0</v>
      </c>
    </row>
    <row r="5294">
      <c r="A5294" s="17">
        <v>1003000.0</v>
      </c>
      <c r="B5294" s="17">
        <v>7001602.0</v>
      </c>
    </row>
    <row r="5295">
      <c r="A5295" s="17">
        <v>1003000.0</v>
      </c>
      <c r="B5295" s="17">
        <v>7001700.0</v>
      </c>
    </row>
    <row r="5296">
      <c r="A5296" s="17">
        <v>1003000.0</v>
      </c>
      <c r="B5296" s="17">
        <v>7001701.0</v>
      </c>
    </row>
    <row r="5297">
      <c r="A5297" s="17">
        <v>1003000.0</v>
      </c>
      <c r="B5297" s="17">
        <v>7001702.0</v>
      </c>
    </row>
    <row r="5298">
      <c r="A5298" s="17">
        <v>1003000.0</v>
      </c>
      <c r="B5298" s="17">
        <v>7001800.0</v>
      </c>
    </row>
    <row r="5299">
      <c r="A5299" s="17">
        <v>1003000.0</v>
      </c>
      <c r="B5299" s="17">
        <v>7001801.0</v>
      </c>
    </row>
    <row r="5300">
      <c r="A5300" s="17">
        <v>1003000.0</v>
      </c>
      <c r="B5300" s="17">
        <v>7001802.0</v>
      </c>
    </row>
    <row r="5301">
      <c r="A5301" s="17">
        <v>1003000.0</v>
      </c>
      <c r="B5301" s="17">
        <v>7002600.0</v>
      </c>
    </row>
    <row r="5302">
      <c r="A5302" s="17">
        <v>1003000.0</v>
      </c>
      <c r="B5302" s="17">
        <v>7002700.0</v>
      </c>
    </row>
    <row r="5303">
      <c r="A5303" s="17">
        <v>1003000.0</v>
      </c>
      <c r="B5303" s="17">
        <v>7002800.0</v>
      </c>
    </row>
    <row r="5304">
      <c r="A5304" s="17">
        <v>1003000.0</v>
      </c>
      <c r="B5304" s="17">
        <v>7002900.0</v>
      </c>
    </row>
    <row r="5305">
      <c r="A5305" s="17">
        <v>1003000.0</v>
      </c>
      <c r="B5305" s="17">
        <v>7003000.0</v>
      </c>
    </row>
    <row r="5306">
      <c r="A5306" s="17">
        <v>1003000.0</v>
      </c>
      <c r="B5306" s="17">
        <v>7003100.0</v>
      </c>
    </row>
    <row r="5307">
      <c r="A5307" s="17">
        <v>1003000.0</v>
      </c>
      <c r="B5307" s="17">
        <v>7003200.0</v>
      </c>
    </row>
    <row r="5308">
      <c r="A5308" s="17">
        <v>1003000.0</v>
      </c>
      <c r="B5308" s="17">
        <v>7003300.0</v>
      </c>
    </row>
    <row r="5309">
      <c r="A5309" s="17">
        <v>1003000.0</v>
      </c>
      <c r="B5309" s="17">
        <v>7003400.0</v>
      </c>
    </row>
    <row r="5310">
      <c r="A5310" s="17">
        <v>1003000.0</v>
      </c>
      <c r="B5310" s="17">
        <v>7003500.0</v>
      </c>
    </row>
    <row r="5311">
      <c r="A5311" s="17">
        <v>1003000.0</v>
      </c>
      <c r="B5311" s="17">
        <v>7003600.0</v>
      </c>
    </row>
    <row r="5312">
      <c r="A5312" s="17">
        <v>1003000.0</v>
      </c>
      <c r="B5312" s="17">
        <v>7005600.0</v>
      </c>
    </row>
    <row r="5313">
      <c r="A5313" s="17">
        <v>1003000.0</v>
      </c>
      <c r="B5313" s="17">
        <v>7006000.0</v>
      </c>
    </row>
    <row r="5314">
      <c r="A5314" s="17">
        <v>1003000.0</v>
      </c>
      <c r="B5314" s="17">
        <v>7006100.0</v>
      </c>
    </row>
    <row r="5315">
      <c r="A5315" s="17">
        <v>1003000.0</v>
      </c>
      <c r="B5315" s="17">
        <v>7010200.0</v>
      </c>
    </row>
    <row r="5316">
      <c r="A5316" s="17">
        <v>1003000.0</v>
      </c>
      <c r="B5316" s="17">
        <v>7010500.0</v>
      </c>
    </row>
    <row r="5317">
      <c r="A5317" s="17">
        <v>1003000.0</v>
      </c>
      <c r="B5317" s="17">
        <v>7010700.0</v>
      </c>
    </row>
    <row r="5318">
      <c r="A5318" s="17">
        <v>1003000.0</v>
      </c>
      <c r="B5318" s="17">
        <v>7010900.0</v>
      </c>
    </row>
    <row r="5319">
      <c r="A5319" s="17">
        <v>1003000.0</v>
      </c>
      <c r="B5319" s="17">
        <v>7011000.0</v>
      </c>
    </row>
    <row r="5320">
      <c r="A5320" s="17">
        <v>1003000.0</v>
      </c>
      <c r="B5320" s="17">
        <v>7011200.0</v>
      </c>
    </row>
    <row r="5321">
      <c r="A5321" s="17">
        <v>1003000.0</v>
      </c>
      <c r="B5321" s="17">
        <v>7011600.0</v>
      </c>
    </row>
    <row r="5322">
      <c r="A5322" s="17">
        <v>1003000.0</v>
      </c>
      <c r="B5322" s="17">
        <v>7011700.0</v>
      </c>
    </row>
    <row r="5323">
      <c r="A5323" s="17">
        <v>1003000.0</v>
      </c>
      <c r="B5323" s="17">
        <v>7012000.0</v>
      </c>
    </row>
    <row r="5324">
      <c r="A5324" s="17">
        <v>1003000.0</v>
      </c>
      <c r="B5324" s="17">
        <v>7012200.0</v>
      </c>
    </row>
    <row r="5325">
      <c r="A5325" s="17">
        <v>1003000.0</v>
      </c>
      <c r="B5325" s="17">
        <v>7012300.0</v>
      </c>
    </row>
    <row r="5326">
      <c r="A5326" s="17">
        <v>1003000.0</v>
      </c>
      <c r="B5326" s="17">
        <v>7020000.0</v>
      </c>
    </row>
    <row r="5327">
      <c r="A5327" s="17">
        <v>1003000.0</v>
      </c>
      <c r="B5327" s="17">
        <v>7030000.0</v>
      </c>
    </row>
    <row r="5328">
      <c r="A5328" s="17">
        <v>1003000.0</v>
      </c>
      <c r="B5328" s="17">
        <v>7030200.0</v>
      </c>
    </row>
    <row r="5329">
      <c r="A5329" s="17">
        <v>1003000.0</v>
      </c>
      <c r="B5329" s="17">
        <v>7030600.0</v>
      </c>
    </row>
    <row r="5330">
      <c r="A5330" s="17">
        <v>1003000.0</v>
      </c>
      <c r="B5330" s="17">
        <v>7030700.0</v>
      </c>
    </row>
    <row r="5331">
      <c r="A5331" s="17">
        <v>1003000.0</v>
      </c>
      <c r="B5331" s="17">
        <v>7030800.0</v>
      </c>
    </row>
    <row r="5332">
      <c r="A5332" s="17">
        <v>1003000.0</v>
      </c>
      <c r="B5332" s="17">
        <v>7030900.0</v>
      </c>
    </row>
    <row r="5333">
      <c r="A5333" s="17">
        <v>1003000.0</v>
      </c>
      <c r="B5333" s="17">
        <v>7031200.0</v>
      </c>
    </row>
    <row r="5334">
      <c r="A5334" s="17">
        <v>1003000.0</v>
      </c>
      <c r="B5334" s="17">
        <v>7031300.0</v>
      </c>
    </row>
    <row r="5335">
      <c r="A5335" s="17">
        <v>1003000.0</v>
      </c>
      <c r="B5335" s="17">
        <v>7031800.0</v>
      </c>
    </row>
    <row r="5336">
      <c r="A5336" s="17">
        <v>1003000.0</v>
      </c>
      <c r="B5336" s="17">
        <v>7031900.0</v>
      </c>
    </row>
    <row r="5337">
      <c r="A5337" s="17">
        <v>1003000.0</v>
      </c>
      <c r="B5337" s="17">
        <v>7032200.0</v>
      </c>
    </row>
    <row r="5338">
      <c r="A5338" s="17">
        <v>1003000.0</v>
      </c>
      <c r="B5338" s="17">
        <v>7032400.0</v>
      </c>
    </row>
    <row r="5339">
      <c r="A5339" s="17">
        <v>1003000.0</v>
      </c>
      <c r="B5339" s="17">
        <v>7032700.0</v>
      </c>
    </row>
    <row r="5340">
      <c r="A5340" s="17">
        <v>1003000.0</v>
      </c>
      <c r="B5340" s="17">
        <v>7032800.0</v>
      </c>
    </row>
    <row r="5341">
      <c r="A5341" s="17">
        <v>1003000.0</v>
      </c>
      <c r="B5341" s="17">
        <v>7032900.0</v>
      </c>
    </row>
    <row r="5342">
      <c r="A5342" s="17">
        <v>1003000.0</v>
      </c>
      <c r="B5342" s="17">
        <v>7033200.0</v>
      </c>
    </row>
    <row r="5343">
      <c r="A5343" s="17">
        <v>1003000.0</v>
      </c>
      <c r="B5343" s="17">
        <v>7033400.0</v>
      </c>
    </row>
    <row r="5344">
      <c r="A5344" s="17">
        <v>1003000.0</v>
      </c>
      <c r="B5344" s="17">
        <v>7034100.0</v>
      </c>
    </row>
    <row r="5345">
      <c r="A5345" s="17">
        <v>1003000.0</v>
      </c>
      <c r="B5345" s="17">
        <v>7034400.0</v>
      </c>
    </row>
    <row r="5346">
      <c r="A5346" s="17">
        <v>1003000.0</v>
      </c>
      <c r="B5346" s="17">
        <v>7034500.0</v>
      </c>
    </row>
    <row r="5347">
      <c r="A5347" s="17">
        <v>1003000.0</v>
      </c>
      <c r="B5347" s="17">
        <v>7034600.0</v>
      </c>
    </row>
    <row r="5348">
      <c r="A5348" s="17">
        <v>1003000.0</v>
      </c>
      <c r="B5348" s="17">
        <v>7034700.0</v>
      </c>
    </row>
    <row r="5349">
      <c r="A5349" s="17">
        <v>1003000.0</v>
      </c>
      <c r="B5349" s="17">
        <v>7035100.0</v>
      </c>
    </row>
    <row r="5350">
      <c r="A5350" s="17">
        <v>1003000.0</v>
      </c>
      <c r="B5350" s="17">
        <v>7036100.0</v>
      </c>
    </row>
    <row r="5351">
      <c r="A5351" s="17">
        <v>1003000.0</v>
      </c>
      <c r="B5351" s="17">
        <v>7040000.0</v>
      </c>
    </row>
    <row r="5352">
      <c r="A5352" s="17">
        <v>1003000.0</v>
      </c>
      <c r="B5352" s="17">
        <v>7040100.0</v>
      </c>
    </row>
    <row r="5353">
      <c r="A5353" s="17">
        <v>1003000.0</v>
      </c>
      <c r="B5353" s="17">
        <v>7040200.0</v>
      </c>
    </row>
    <row r="5354">
      <c r="A5354" s="17">
        <v>1003000.0</v>
      </c>
      <c r="B5354" s="17">
        <v>7040300.0</v>
      </c>
    </row>
    <row r="5355">
      <c r="A5355" s="17">
        <v>1003000.0</v>
      </c>
      <c r="B5355" s="17">
        <v>7040400.0</v>
      </c>
    </row>
    <row r="5356">
      <c r="A5356" s="17">
        <v>1003000.0</v>
      </c>
      <c r="B5356" s="17">
        <v>7040500.0</v>
      </c>
    </row>
    <row r="5357">
      <c r="A5357" s="17">
        <v>1003000.0</v>
      </c>
      <c r="B5357" s="17">
        <v>7043000.0</v>
      </c>
    </row>
    <row r="5358">
      <c r="A5358" s="17">
        <v>1003000.0</v>
      </c>
      <c r="B5358" s="17">
        <v>7043100.0</v>
      </c>
    </row>
    <row r="5359">
      <c r="A5359" s="17">
        <v>1003000.0</v>
      </c>
      <c r="B5359" s="17">
        <v>7043200.0</v>
      </c>
    </row>
    <row r="5360">
      <c r="A5360" s="17">
        <v>1003000.0</v>
      </c>
      <c r="B5360" s="17">
        <v>7043300.0</v>
      </c>
    </row>
    <row r="5361">
      <c r="A5361" s="17">
        <v>1003000.0</v>
      </c>
      <c r="B5361" s="17">
        <v>7043400.0</v>
      </c>
    </row>
    <row r="5362">
      <c r="A5362" s="17">
        <v>1003000.0</v>
      </c>
      <c r="B5362" s="17">
        <v>7043500.0</v>
      </c>
    </row>
    <row r="5363">
      <c r="A5363" s="17">
        <v>1003000.0</v>
      </c>
      <c r="B5363" s="17">
        <v>7043600.0</v>
      </c>
    </row>
    <row r="5364">
      <c r="A5364" s="17">
        <v>1003000.0</v>
      </c>
      <c r="B5364" s="17">
        <v>7043700.0</v>
      </c>
    </row>
    <row r="5365">
      <c r="A5365" s="17">
        <v>1003000.0</v>
      </c>
      <c r="B5365" s="17">
        <v>7043800.0</v>
      </c>
    </row>
    <row r="5366">
      <c r="A5366" s="17">
        <v>1003000.0</v>
      </c>
      <c r="B5366" s="17">
        <v>7044000.0</v>
      </c>
    </row>
    <row r="5367">
      <c r="A5367" s="17">
        <v>1003000.0</v>
      </c>
      <c r="B5367" s="17">
        <v>7044100.0</v>
      </c>
    </row>
    <row r="5368">
      <c r="A5368" s="17">
        <v>1003000.0</v>
      </c>
      <c r="B5368" s="17">
        <v>7044200.0</v>
      </c>
    </row>
    <row r="5369">
      <c r="A5369" s="17">
        <v>1003000.0</v>
      </c>
      <c r="B5369" s="17">
        <v>7044300.0</v>
      </c>
    </row>
    <row r="5370">
      <c r="A5370" s="17">
        <v>1003000.0</v>
      </c>
      <c r="B5370" s="17">
        <v>7044400.0</v>
      </c>
    </row>
    <row r="5371">
      <c r="A5371" s="17">
        <v>1003000.0</v>
      </c>
      <c r="B5371" s="17">
        <v>7044500.0</v>
      </c>
    </row>
    <row r="5372">
      <c r="A5372" s="17">
        <v>1003000.0</v>
      </c>
      <c r="B5372" s="17">
        <v>7044600.0</v>
      </c>
    </row>
    <row r="5373">
      <c r="A5373" s="17">
        <v>1003000.0</v>
      </c>
      <c r="B5373" s="17">
        <v>7050000.0</v>
      </c>
    </row>
    <row r="5374">
      <c r="A5374" s="17">
        <v>1003000.0</v>
      </c>
      <c r="B5374" s="17">
        <v>7050100.0</v>
      </c>
    </row>
    <row r="5375">
      <c r="A5375" s="17">
        <v>1003000.0</v>
      </c>
      <c r="B5375" s="17">
        <v>7060000.0</v>
      </c>
    </row>
    <row r="5376">
      <c r="A5376" s="17">
        <v>1003000.0</v>
      </c>
      <c r="B5376" s="17">
        <v>7060100.0</v>
      </c>
    </row>
    <row r="5377">
      <c r="A5377" s="17">
        <v>1003000.0</v>
      </c>
      <c r="B5377" s="17">
        <v>7060200.0</v>
      </c>
    </row>
    <row r="5378">
      <c r="A5378" s="17">
        <v>1003000.0</v>
      </c>
      <c r="B5378" s="17">
        <v>7070000.0</v>
      </c>
    </row>
    <row r="5379">
      <c r="A5379" s="17">
        <v>1003000.0</v>
      </c>
      <c r="B5379" s="17">
        <v>7080000.0</v>
      </c>
    </row>
    <row r="5380">
      <c r="A5380" s="17">
        <v>1003000.0</v>
      </c>
      <c r="B5380" s="17">
        <v>7080100.0</v>
      </c>
    </row>
    <row r="5381">
      <c r="A5381" s="17">
        <v>1003000.0</v>
      </c>
      <c r="B5381" s="17">
        <v>7080200.0</v>
      </c>
    </row>
    <row r="5382">
      <c r="A5382" s="17">
        <v>1003000.0</v>
      </c>
      <c r="B5382" s="17">
        <v>7080300.0</v>
      </c>
    </row>
    <row r="5383">
      <c r="A5383" s="17">
        <v>1003000.0</v>
      </c>
      <c r="B5383" s="17">
        <v>7080400.0</v>
      </c>
    </row>
    <row r="5384">
      <c r="A5384" s="17">
        <v>1003000.0</v>
      </c>
      <c r="B5384" s="17">
        <v>7080500.0</v>
      </c>
    </row>
    <row r="5385">
      <c r="A5385" s="17">
        <v>1003000.0</v>
      </c>
      <c r="B5385" s="17">
        <v>7080600.0</v>
      </c>
    </row>
    <row r="5386">
      <c r="A5386" s="17">
        <v>1003000.0</v>
      </c>
      <c r="B5386" s="17">
        <v>7080700.0</v>
      </c>
    </row>
    <row r="5387">
      <c r="A5387" s="17">
        <v>1003000.0</v>
      </c>
      <c r="B5387" s="17">
        <v>7080800.0</v>
      </c>
    </row>
    <row r="5388">
      <c r="A5388" s="17">
        <v>1003000.0</v>
      </c>
      <c r="B5388" s="17">
        <v>7080900.0</v>
      </c>
    </row>
    <row r="5389">
      <c r="A5389" s="17">
        <v>1003000.0</v>
      </c>
      <c r="B5389" s="17">
        <v>7081000.0</v>
      </c>
    </row>
    <row r="5390">
      <c r="A5390" s="17">
        <v>1003000.0</v>
      </c>
      <c r="B5390" s="17">
        <v>7081100.0</v>
      </c>
    </row>
    <row r="5391">
      <c r="A5391" s="17">
        <v>1003000.0</v>
      </c>
      <c r="B5391" s="17">
        <v>7081200.0</v>
      </c>
    </row>
    <row r="5392">
      <c r="A5392" s="17">
        <v>1003000.0</v>
      </c>
      <c r="B5392" s="17">
        <v>7081300.0</v>
      </c>
    </row>
    <row r="5393">
      <c r="A5393" s="17">
        <v>1003000.0</v>
      </c>
      <c r="B5393" s="17">
        <v>7081400.0</v>
      </c>
    </row>
    <row r="5394">
      <c r="A5394" s="17">
        <v>1003000.0</v>
      </c>
      <c r="B5394" s="17">
        <v>7081500.0</v>
      </c>
    </row>
    <row r="5395">
      <c r="A5395" s="17">
        <v>1003000.0</v>
      </c>
      <c r="B5395" s="17">
        <v>7081700.0</v>
      </c>
    </row>
    <row r="5396">
      <c r="A5396" s="17">
        <v>1003000.0</v>
      </c>
      <c r="B5396" s="17">
        <v>7081800.0</v>
      </c>
    </row>
    <row r="5397">
      <c r="A5397" s="17">
        <v>1003000.0</v>
      </c>
      <c r="B5397" s="17">
        <v>7081900.0</v>
      </c>
    </row>
    <row r="5398">
      <c r="A5398" s="17">
        <v>1003000.0</v>
      </c>
      <c r="B5398" s="17">
        <v>7082000.0</v>
      </c>
    </row>
    <row r="5399">
      <c r="A5399" s="17">
        <v>1003000.0</v>
      </c>
      <c r="B5399" s="17">
        <v>7082100.0</v>
      </c>
    </row>
    <row r="5400">
      <c r="A5400" s="17">
        <v>1003000.0</v>
      </c>
      <c r="B5400" s="17">
        <v>7082200.0</v>
      </c>
    </row>
    <row r="5401">
      <c r="A5401" s="17">
        <v>1003000.0</v>
      </c>
      <c r="B5401" s="17">
        <v>7082300.0</v>
      </c>
    </row>
    <row r="5402">
      <c r="A5402" s="17">
        <v>1003000.0</v>
      </c>
      <c r="B5402" s="17">
        <v>7082400.0</v>
      </c>
    </row>
    <row r="5403">
      <c r="A5403" s="17">
        <v>1003000.0</v>
      </c>
      <c r="B5403" s="17">
        <v>7082500.0</v>
      </c>
    </row>
    <row r="5404">
      <c r="A5404" s="17">
        <v>1003000.0</v>
      </c>
      <c r="B5404" s="17">
        <v>7082600.0</v>
      </c>
    </row>
    <row r="5405">
      <c r="A5405" s="17">
        <v>1003000.0</v>
      </c>
      <c r="B5405" s="17">
        <v>7082700.0</v>
      </c>
    </row>
    <row r="5406">
      <c r="A5406" s="17">
        <v>1003000.0</v>
      </c>
      <c r="B5406" s="17">
        <v>7082800.0</v>
      </c>
    </row>
    <row r="5407">
      <c r="A5407" s="17">
        <v>1003000.0</v>
      </c>
      <c r="B5407" s="17">
        <v>7082900.0</v>
      </c>
    </row>
    <row r="5408">
      <c r="A5408" s="17">
        <v>1003000.0</v>
      </c>
      <c r="B5408" s="17">
        <v>7090000.0</v>
      </c>
    </row>
    <row r="5409">
      <c r="A5409" s="17">
        <v>1003000.0</v>
      </c>
      <c r="B5409" s="17">
        <v>7090100.0</v>
      </c>
    </row>
    <row r="5410">
      <c r="A5410" s="17">
        <v>1003000.0</v>
      </c>
      <c r="B5410" s="17">
        <v>7090300.0</v>
      </c>
    </row>
    <row r="5411">
      <c r="A5411" s="17">
        <v>1003000.0</v>
      </c>
      <c r="B5411" s="17">
        <v>7100100.0</v>
      </c>
    </row>
    <row r="5412">
      <c r="A5412" s="17">
        <v>1003000.0</v>
      </c>
      <c r="B5412" s="17">
        <v>7110000.0</v>
      </c>
    </row>
    <row r="5413">
      <c r="A5413" s="17">
        <v>1003000.0</v>
      </c>
      <c r="B5413" s="17">
        <v>7120000.0</v>
      </c>
    </row>
    <row r="5414">
      <c r="A5414" s="17">
        <v>1003000.0</v>
      </c>
      <c r="B5414" s="17">
        <v>7120100.0</v>
      </c>
    </row>
    <row r="5415">
      <c r="A5415" s="17">
        <v>1003000.0</v>
      </c>
      <c r="B5415" s="17">
        <v>7120200.0</v>
      </c>
    </row>
    <row r="5416">
      <c r="A5416" s="17">
        <v>1003000.0</v>
      </c>
      <c r="B5416" s="17">
        <v>7120300.0</v>
      </c>
    </row>
    <row r="5417">
      <c r="A5417" s="17">
        <v>1003000.0</v>
      </c>
      <c r="B5417" s="17">
        <v>7120400.0</v>
      </c>
    </row>
    <row r="5418">
      <c r="A5418" s="17">
        <v>1003000.0</v>
      </c>
      <c r="B5418" s="17">
        <v>7120500.0</v>
      </c>
    </row>
    <row r="5419">
      <c r="A5419" s="17">
        <v>1003000.0</v>
      </c>
      <c r="B5419" s="17">
        <v>7120600.0</v>
      </c>
    </row>
    <row r="5420">
      <c r="A5420" s="17">
        <v>1003000.0</v>
      </c>
      <c r="B5420" s="17">
        <v>7120900.0</v>
      </c>
    </row>
    <row r="5421">
      <c r="A5421" s="17">
        <v>1003000.0</v>
      </c>
      <c r="B5421" s="17">
        <v>7121000.0</v>
      </c>
    </row>
    <row r="5422">
      <c r="A5422" s="17">
        <v>1003000.0</v>
      </c>
      <c r="B5422" s="17">
        <v>7121100.0</v>
      </c>
    </row>
    <row r="5423">
      <c r="A5423" s="17">
        <v>1003000.0</v>
      </c>
      <c r="B5423" s="17">
        <v>7121200.0</v>
      </c>
    </row>
    <row r="5424">
      <c r="A5424" s="17">
        <v>1003000.0</v>
      </c>
      <c r="B5424" s="17">
        <v>7121300.0</v>
      </c>
    </row>
    <row r="5425">
      <c r="A5425" s="17">
        <v>1003000.0</v>
      </c>
      <c r="B5425" s="17">
        <v>7121400.0</v>
      </c>
    </row>
    <row r="5426">
      <c r="A5426" s="17">
        <v>1003000.0</v>
      </c>
      <c r="B5426" s="17">
        <v>7121500.0</v>
      </c>
    </row>
    <row r="5427">
      <c r="A5427" s="17">
        <v>1003000.0</v>
      </c>
      <c r="B5427" s="17">
        <v>7121600.0</v>
      </c>
    </row>
    <row r="5428">
      <c r="A5428" s="17">
        <v>1003000.0</v>
      </c>
      <c r="B5428" s="17">
        <v>7121700.0</v>
      </c>
    </row>
    <row r="5429">
      <c r="A5429" s="17">
        <v>1003000.0</v>
      </c>
      <c r="B5429" s="17">
        <v>7121800.0</v>
      </c>
    </row>
    <row r="5430">
      <c r="A5430" s="17">
        <v>1003000.0</v>
      </c>
      <c r="B5430" s="17">
        <v>7121900.0</v>
      </c>
    </row>
    <row r="5431">
      <c r="A5431" s="17">
        <v>1003000.0</v>
      </c>
      <c r="B5431" s="17">
        <v>7122000.0</v>
      </c>
    </row>
    <row r="5432">
      <c r="A5432" s="17">
        <v>1003000.0</v>
      </c>
      <c r="B5432" s="17">
        <v>7122100.0</v>
      </c>
    </row>
    <row r="5433">
      <c r="A5433" s="17">
        <v>1003000.0</v>
      </c>
      <c r="B5433" s="17">
        <v>7122200.0</v>
      </c>
    </row>
    <row r="5434">
      <c r="A5434" s="17">
        <v>1003000.0</v>
      </c>
      <c r="B5434" s="17">
        <v>7122300.0</v>
      </c>
    </row>
    <row r="5435">
      <c r="A5435" s="17">
        <v>1003000.0</v>
      </c>
      <c r="B5435" s="17">
        <v>7122400.0</v>
      </c>
    </row>
    <row r="5436">
      <c r="A5436" s="17">
        <v>1003000.0</v>
      </c>
      <c r="B5436" s="17">
        <v>7122500.0</v>
      </c>
    </row>
    <row r="5437">
      <c r="A5437" s="17">
        <v>1003000.0</v>
      </c>
      <c r="B5437" s="17">
        <v>7122600.0</v>
      </c>
    </row>
    <row r="5438">
      <c r="A5438" s="17">
        <v>1003000.0</v>
      </c>
      <c r="B5438" s="17">
        <v>7122700.0</v>
      </c>
    </row>
    <row r="5439">
      <c r="A5439" s="17">
        <v>1003000.0</v>
      </c>
      <c r="B5439" s="17">
        <v>7122800.0</v>
      </c>
    </row>
    <row r="5440">
      <c r="A5440" s="17">
        <v>1003000.0</v>
      </c>
      <c r="B5440" s="17">
        <v>7122900.0</v>
      </c>
    </row>
    <row r="5441">
      <c r="A5441" s="17">
        <v>1003000.0</v>
      </c>
      <c r="B5441" s="17">
        <v>7123000.0</v>
      </c>
    </row>
    <row r="5442">
      <c r="A5442" s="17">
        <v>1003000.0</v>
      </c>
      <c r="B5442" s="17">
        <v>7123100.0</v>
      </c>
    </row>
    <row r="5443">
      <c r="A5443" s="17">
        <v>1003000.0</v>
      </c>
      <c r="B5443" s="17">
        <v>7123200.0</v>
      </c>
    </row>
    <row r="5444">
      <c r="A5444" s="17">
        <v>1003000.0</v>
      </c>
      <c r="B5444" s="17">
        <v>7123300.0</v>
      </c>
    </row>
    <row r="5445">
      <c r="A5445" s="17">
        <v>1003000.0</v>
      </c>
      <c r="B5445" s="17">
        <v>7123400.0</v>
      </c>
    </row>
    <row r="5446">
      <c r="A5446" s="17">
        <v>1003000.0</v>
      </c>
      <c r="B5446" s="17">
        <v>7123500.0</v>
      </c>
    </row>
    <row r="5447">
      <c r="A5447" s="17">
        <v>1003000.0</v>
      </c>
      <c r="B5447" s="17">
        <v>7123600.0</v>
      </c>
    </row>
    <row r="5448">
      <c r="A5448" s="17">
        <v>1003000.0</v>
      </c>
      <c r="B5448" s="17">
        <v>7123700.0</v>
      </c>
    </row>
    <row r="5449">
      <c r="A5449" s="17">
        <v>1003000.0</v>
      </c>
      <c r="B5449" s="17">
        <v>7123800.0</v>
      </c>
    </row>
    <row r="5450">
      <c r="A5450" s="17">
        <v>1003000.0</v>
      </c>
      <c r="B5450" s="17">
        <v>7123900.0</v>
      </c>
    </row>
    <row r="5451">
      <c r="A5451" s="17">
        <v>1003000.0</v>
      </c>
      <c r="B5451" s="17">
        <v>7124000.0</v>
      </c>
    </row>
    <row r="5452">
      <c r="A5452" s="17">
        <v>1003000.0</v>
      </c>
      <c r="B5452" s="17">
        <v>7124100.0</v>
      </c>
    </row>
    <row r="5453">
      <c r="A5453" s="17">
        <v>1003000.0</v>
      </c>
      <c r="B5453" s="17">
        <v>7124300.0</v>
      </c>
    </row>
    <row r="5454">
      <c r="A5454" s="17">
        <v>1003000.0</v>
      </c>
      <c r="B5454" s="17">
        <v>7124400.0</v>
      </c>
    </row>
    <row r="5455">
      <c r="A5455" s="17">
        <v>1003000.0</v>
      </c>
      <c r="B5455" s="17">
        <v>7124500.0</v>
      </c>
    </row>
    <row r="5456">
      <c r="A5456" s="17">
        <v>1003000.0</v>
      </c>
      <c r="B5456" s="17">
        <v>7124600.0</v>
      </c>
    </row>
    <row r="5457">
      <c r="A5457" s="17">
        <v>1003000.0</v>
      </c>
      <c r="B5457" s="17">
        <v>7124700.0</v>
      </c>
    </row>
    <row r="5458">
      <c r="A5458" s="17">
        <v>1003000.0</v>
      </c>
      <c r="B5458" s="17">
        <v>7126000.0</v>
      </c>
    </row>
    <row r="5459">
      <c r="A5459" s="17">
        <v>1003000.0</v>
      </c>
      <c r="B5459" s="17">
        <v>7150000.0</v>
      </c>
    </row>
    <row r="5460">
      <c r="A5460" s="17">
        <v>1003000.0</v>
      </c>
      <c r="B5460" s="17">
        <v>7160000.0</v>
      </c>
    </row>
    <row r="5461">
      <c r="A5461" s="17">
        <v>1003000.0</v>
      </c>
      <c r="B5461" s="17">
        <v>7220000.0</v>
      </c>
    </row>
    <row r="5462">
      <c r="A5462" s="17">
        <v>1003000.0</v>
      </c>
      <c r="B5462" s="17">
        <v>7230000.0</v>
      </c>
    </row>
    <row r="5463">
      <c r="A5463" s="17">
        <v>1003000.0</v>
      </c>
      <c r="B5463" s="17">
        <v>7240000.0</v>
      </c>
    </row>
    <row r="5464">
      <c r="A5464" s="17">
        <v>1003000.0</v>
      </c>
      <c r="B5464" s="17">
        <v>7260000.0</v>
      </c>
    </row>
    <row r="5465">
      <c r="A5465" s="17">
        <v>1003000.0</v>
      </c>
      <c r="B5465" s="17">
        <v>7260300.0</v>
      </c>
    </row>
    <row r="5466">
      <c r="A5466" s="17">
        <v>1003000.0</v>
      </c>
      <c r="B5466" s="17">
        <v>7260400.0</v>
      </c>
    </row>
    <row r="5467">
      <c r="A5467" s="17">
        <v>1003000.0</v>
      </c>
      <c r="B5467" s="17">
        <v>7270100.0</v>
      </c>
    </row>
    <row r="5468">
      <c r="A5468" s="17">
        <v>1003000.0</v>
      </c>
      <c r="B5468" s="17">
        <v>7280000.0</v>
      </c>
    </row>
    <row r="5469">
      <c r="A5469" s="17">
        <v>1003000.0</v>
      </c>
      <c r="B5469" s="17">
        <v>7290000.0</v>
      </c>
    </row>
    <row r="5470">
      <c r="A5470" s="17">
        <v>1003000.0</v>
      </c>
      <c r="B5470" s="17">
        <v>7310000.0</v>
      </c>
    </row>
    <row r="5471">
      <c r="A5471" s="17">
        <v>1003000.0</v>
      </c>
      <c r="B5471" s="17">
        <v>7330000.0</v>
      </c>
    </row>
    <row r="5472">
      <c r="A5472" s="17">
        <v>1003000.0</v>
      </c>
      <c r="B5472" s="17">
        <v>7330100.0</v>
      </c>
    </row>
    <row r="5473">
      <c r="A5473" s="17">
        <v>1003000.0</v>
      </c>
      <c r="B5473" s="17">
        <v>7330200.0</v>
      </c>
    </row>
    <row r="5474">
      <c r="A5474" s="17">
        <v>1003000.0</v>
      </c>
      <c r="B5474" s="17">
        <v>7330300.0</v>
      </c>
    </row>
    <row r="5475">
      <c r="A5475" s="17">
        <v>1003000.0</v>
      </c>
      <c r="B5475" s="17">
        <v>7330400.0</v>
      </c>
    </row>
    <row r="5476">
      <c r="A5476" s="17">
        <v>1003000.0</v>
      </c>
      <c r="B5476" s="17">
        <v>7330500.0</v>
      </c>
    </row>
    <row r="5477">
      <c r="A5477" s="17">
        <v>1003000.0</v>
      </c>
      <c r="B5477" s="17">
        <v>7330600.0</v>
      </c>
    </row>
    <row r="5478">
      <c r="A5478" s="17">
        <v>1003000.0</v>
      </c>
      <c r="B5478" s="17">
        <v>7330700.0</v>
      </c>
    </row>
    <row r="5479">
      <c r="A5479" s="17">
        <v>1003000.0</v>
      </c>
      <c r="B5479" s="17">
        <v>7330800.0</v>
      </c>
    </row>
    <row r="5480">
      <c r="A5480" s="17">
        <v>1003000.0</v>
      </c>
      <c r="B5480" s="17">
        <v>7330900.0</v>
      </c>
    </row>
    <row r="5481">
      <c r="A5481" s="17">
        <v>1003000.0</v>
      </c>
      <c r="B5481" s="17">
        <v>7331000.0</v>
      </c>
    </row>
    <row r="5482">
      <c r="A5482" s="17">
        <v>1003000.0</v>
      </c>
      <c r="B5482" s="17">
        <v>7331100.0</v>
      </c>
    </row>
    <row r="5483">
      <c r="A5483" s="17">
        <v>1003000.0</v>
      </c>
      <c r="B5483" s="17">
        <v>7331200.0</v>
      </c>
    </row>
    <row r="5484">
      <c r="A5484" s="17">
        <v>1003000.0</v>
      </c>
      <c r="B5484" s="17">
        <v>7331300.0</v>
      </c>
    </row>
    <row r="5485">
      <c r="A5485" s="17">
        <v>1003000.0</v>
      </c>
      <c r="B5485" s="17">
        <v>7331400.0</v>
      </c>
    </row>
    <row r="5486">
      <c r="A5486" s="17">
        <v>1003000.0</v>
      </c>
      <c r="B5486" s="17">
        <v>7331500.0</v>
      </c>
    </row>
    <row r="5487">
      <c r="A5487" s="17">
        <v>1003000.0</v>
      </c>
      <c r="B5487" s="17">
        <v>7331700.0</v>
      </c>
    </row>
    <row r="5488">
      <c r="A5488" s="17">
        <v>1003000.0</v>
      </c>
      <c r="B5488" s="17">
        <v>7331800.0</v>
      </c>
    </row>
    <row r="5489">
      <c r="A5489" s="17">
        <v>1003000.0</v>
      </c>
      <c r="B5489" s="17">
        <v>7331900.0</v>
      </c>
    </row>
    <row r="5490">
      <c r="A5490" s="17">
        <v>1003000.0</v>
      </c>
      <c r="B5490" s="17">
        <v>7332000.0</v>
      </c>
    </row>
    <row r="5491">
      <c r="A5491" s="17">
        <v>1003000.0</v>
      </c>
      <c r="B5491" s="17">
        <v>7332100.0</v>
      </c>
    </row>
    <row r="5492">
      <c r="A5492" s="17">
        <v>1003000.0</v>
      </c>
      <c r="B5492" s="17">
        <v>7332200.0</v>
      </c>
    </row>
    <row r="5493">
      <c r="A5493" s="17">
        <v>1003000.0</v>
      </c>
      <c r="B5493" s="17">
        <v>7332300.0</v>
      </c>
    </row>
    <row r="5494">
      <c r="A5494" s="17">
        <v>1003000.0</v>
      </c>
      <c r="B5494" s="17">
        <v>7332400.0</v>
      </c>
    </row>
    <row r="5495">
      <c r="A5495" s="17">
        <v>1003000.0</v>
      </c>
      <c r="B5495" s="17">
        <v>7340000.0</v>
      </c>
    </row>
    <row r="5496">
      <c r="A5496" s="17">
        <v>1003000.0</v>
      </c>
      <c r="B5496" s="17">
        <v>7340100.0</v>
      </c>
    </row>
    <row r="5497">
      <c r="A5497" s="17">
        <v>1003000.0</v>
      </c>
      <c r="B5497" s="17">
        <v>7340200.0</v>
      </c>
    </row>
    <row r="5498">
      <c r="A5498" s="17">
        <v>1003000.0</v>
      </c>
      <c r="B5498" s="17">
        <v>7340300.0</v>
      </c>
    </row>
    <row r="5499">
      <c r="A5499" s="17">
        <v>1003000.0</v>
      </c>
      <c r="B5499" s="17">
        <v>7340400.0</v>
      </c>
    </row>
    <row r="5500">
      <c r="A5500" s="17">
        <v>1003000.0</v>
      </c>
      <c r="B5500" s="17">
        <v>7340500.0</v>
      </c>
    </row>
    <row r="5501">
      <c r="A5501" s="17">
        <v>1003000.0</v>
      </c>
      <c r="B5501" s="17">
        <v>7340600.0</v>
      </c>
    </row>
    <row r="5502">
      <c r="A5502" s="17">
        <v>1003000.0</v>
      </c>
      <c r="B5502" s="17">
        <v>7340700.0</v>
      </c>
    </row>
    <row r="5503">
      <c r="A5503" s="17">
        <v>1003000.0</v>
      </c>
      <c r="B5503" s="17">
        <v>7340800.0</v>
      </c>
    </row>
    <row r="5504">
      <c r="A5504" s="17">
        <v>1003000.0</v>
      </c>
      <c r="B5504" s="17">
        <v>7340900.0</v>
      </c>
    </row>
    <row r="5505">
      <c r="A5505" s="17">
        <v>1003000.0</v>
      </c>
      <c r="B5505" s="17">
        <v>7341000.0</v>
      </c>
    </row>
    <row r="5506">
      <c r="A5506" s="17">
        <v>1003000.0</v>
      </c>
      <c r="B5506" s="17">
        <v>7341100.0</v>
      </c>
    </row>
    <row r="5507">
      <c r="A5507" s="17">
        <v>1003000.0</v>
      </c>
      <c r="B5507" s="17">
        <v>7341200.0</v>
      </c>
    </row>
    <row r="5508">
      <c r="A5508" s="17">
        <v>1003000.0</v>
      </c>
      <c r="B5508" s="17">
        <v>7341300.0</v>
      </c>
    </row>
    <row r="5509">
      <c r="A5509" s="17">
        <v>1003000.0</v>
      </c>
      <c r="B5509" s="17">
        <v>7341400.0</v>
      </c>
    </row>
    <row r="5510">
      <c r="A5510" s="17">
        <v>1003000.0</v>
      </c>
      <c r="B5510" s="17">
        <v>7341500.0</v>
      </c>
    </row>
    <row r="5511">
      <c r="A5511" s="17">
        <v>1003000.0</v>
      </c>
      <c r="B5511" s="17">
        <v>7341700.0</v>
      </c>
    </row>
    <row r="5512">
      <c r="A5512" s="17">
        <v>1003000.0</v>
      </c>
      <c r="B5512" s="17">
        <v>7341800.0</v>
      </c>
    </row>
    <row r="5513">
      <c r="A5513" s="17">
        <v>1003000.0</v>
      </c>
      <c r="B5513" s="17">
        <v>7341900.0</v>
      </c>
    </row>
    <row r="5514">
      <c r="A5514" s="17">
        <v>1003000.0</v>
      </c>
      <c r="B5514" s="17">
        <v>7342000.0</v>
      </c>
    </row>
    <row r="5515">
      <c r="A5515" s="17">
        <v>1003000.0</v>
      </c>
      <c r="B5515" s="17">
        <v>7342100.0</v>
      </c>
    </row>
    <row r="5516">
      <c r="A5516" s="17">
        <v>1003000.0</v>
      </c>
      <c r="B5516" s="17">
        <v>7342200.0</v>
      </c>
    </row>
    <row r="5517">
      <c r="A5517" s="17">
        <v>1003000.0</v>
      </c>
      <c r="B5517" s="17">
        <v>7342300.0</v>
      </c>
    </row>
    <row r="5518">
      <c r="A5518" s="17">
        <v>1003000.0</v>
      </c>
      <c r="B5518" s="17">
        <v>7342400.0</v>
      </c>
    </row>
    <row r="5519">
      <c r="A5519" s="17">
        <v>1003000.0</v>
      </c>
      <c r="B5519" s="17">
        <v>7350000.0</v>
      </c>
    </row>
    <row r="5520">
      <c r="A5520" s="17">
        <v>1003000.0</v>
      </c>
      <c r="B5520" s="17">
        <v>7350100.0</v>
      </c>
    </row>
    <row r="5521">
      <c r="A5521" s="17">
        <v>1003000.0</v>
      </c>
      <c r="B5521" s="17">
        <v>7350200.0</v>
      </c>
    </row>
    <row r="5522">
      <c r="A5522" s="17">
        <v>1003000.0</v>
      </c>
      <c r="B5522" s="17">
        <v>7350300.0</v>
      </c>
    </row>
    <row r="5523">
      <c r="A5523" s="17">
        <v>1003000.0</v>
      </c>
      <c r="B5523" s="17">
        <v>7350400.0</v>
      </c>
    </row>
    <row r="5524">
      <c r="A5524" s="17">
        <v>1003000.0</v>
      </c>
      <c r="B5524" s="17">
        <v>7350500.0</v>
      </c>
    </row>
    <row r="5525">
      <c r="A5525" s="17">
        <v>1003000.0</v>
      </c>
      <c r="B5525" s="17">
        <v>7350600.0</v>
      </c>
    </row>
    <row r="5526">
      <c r="A5526" s="17">
        <v>1003000.0</v>
      </c>
      <c r="B5526" s="17">
        <v>7350700.0</v>
      </c>
    </row>
    <row r="5527">
      <c r="A5527" s="17">
        <v>1003000.0</v>
      </c>
      <c r="B5527" s="17">
        <v>7350800.0</v>
      </c>
    </row>
    <row r="5528">
      <c r="A5528" s="17">
        <v>1003000.0</v>
      </c>
      <c r="B5528" s="17">
        <v>7350900.0</v>
      </c>
    </row>
    <row r="5529">
      <c r="A5529" s="17">
        <v>1003000.0</v>
      </c>
      <c r="B5529" s="17">
        <v>7351000.0</v>
      </c>
    </row>
    <row r="5530">
      <c r="A5530" s="17">
        <v>1003000.0</v>
      </c>
      <c r="B5530" s="17">
        <v>7351100.0</v>
      </c>
    </row>
    <row r="5531">
      <c r="A5531" s="17">
        <v>1003000.0</v>
      </c>
      <c r="B5531" s="17">
        <v>7351200.0</v>
      </c>
    </row>
    <row r="5532">
      <c r="A5532" s="17">
        <v>1003000.0</v>
      </c>
      <c r="B5532" s="17">
        <v>7351300.0</v>
      </c>
    </row>
    <row r="5533">
      <c r="A5533" s="17">
        <v>1003000.0</v>
      </c>
      <c r="B5533" s="17">
        <v>7351400.0</v>
      </c>
    </row>
    <row r="5534">
      <c r="A5534" s="17">
        <v>1003000.0</v>
      </c>
      <c r="B5534" s="17">
        <v>7351500.0</v>
      </c>
    </row>
    <row r="5535">
      <c r="A5535" s="17">
        <v>1003000.0</v>
      </c>
      <c r="B5535" s="17">
        <v>7351700.0</v>
      </c>
    </row>
    <row r="5536">
      <c r="A5536" s="17">
        <v>1003000.0</v>
      </c>
      <c r="B5536" s="17">
        <v>7351800.0</v>
      </c>
    </row>
    <row r="5537">
      <c r="A5537" s="17">
        <v>1003000.0</v>
      </c>
      <c r="B5537" s="17">
        <v>7351900.0</v>
      </c>
    </row>
    <row r="5538">
      <c r="A5538" s="17">
        <v>1003000.0</v>
      </c>
      <c r="B5538" s="17">
        <v>7352000.0</v>
      </c>
    </row>
    <row r="5539">
      <c r="A5539" s="17">
        <v>1003000.0</v>
      </c>
      <c r="B5539" s="17">
        <v>7352100.0</v>
      </c>
    </row>
    <row r="5540">
      <c r="A5540" s="17">
        <v>1003000.0</v>
      </c>
      <c r="B5540" s="17">
        <v>7352200.0</v>
      </c>
    </row>
    <row r="5541">
      <c r="A5541" s="17">
        <v>1003000.0</v>
      </c>
      <c r="B5541" s="17">
        <v>7352300.0</v>
      </c>
    </row>
    <row r="5542">
      <c r="A5542" s="17">
        <v>1003000.0</v>
      </c>
      <c r="B5542" s="17">
        <v>7352400.0</v>
      </c>
    </row>
    <row r="5543">
      <c r="A5543" s="17">
        <v>1003000.0</v>
      </c>
      <c r="B5543" s="17">
        <v>7360600.0</v>
      </c>
    </row>
    <row r="5544">
      <c r="A5544" s="17">
        <v>1003000.0</v>
      </c>
      <c r="B5544" s="17">
        <v>7360900.0</v>
      </c>
    </row>
    <row r="5545">
      <c r="A5545" s="17">
        <v>1003000.0</v>
      </c>
      <c r="B5545" s="17">
        <v>7361200.0</v>
      </c>
    </row>
    <row r="5546">
      <c r="A5546" s="17">
        <v>1003000.0</v>
      </c>
      <c r="B5546" s="17">
        <v>7361300.0</v>
      </c>
    </row>
    <row r="5547">
      <c r="A5547" s="17">
        <v>1003000.0</v>
      </c>
      <c r="B5547" s="17">
        <v>7362100.0</v>
      </c>
    </row>
    <row r="5548">
      <c r="A5548" s="17">
        <v>1003000.0</v>
      </c>
      <c r="B5548" s="17">
        <v>7370300.0</v>
      </c>
    </row>
    <row r="5549">
      <c r="A5549" s="17">
        <v>1003000.0</v>
      </c>
      <c r="B5549" s="17">
        <v>7370400.0</v>
      </c>
    </row>
    <row r="5550">
      <c r="A5550" s="17">
        <v>1003000.0</v>
      </c>
      <c r="B5550" s="17">
        <v>7370600.0</v>
      </c>
    </row>
    <row r="5551">
      <c r="A5551" s="17">
        <v>1003000.0</v>
      </c>
      <c r="B5551" s="17">
        <v>7370900.0</v>
      </c>
    </row>
    <row r="5552">
      <c r="A5552" s="17">
        <v>1003000.0</v>
      </c>
      <c r="B5552" s="17">
        <v>7371500.0</v>
      </c>
    </row>
    <row r="5553">
      <c r="A5553" s="17">
        <v>1003000.0</v>
      </c>
      <c r="B5553" s="17">
        <v>7036200.0</v>
      </c>
    </row>
    <row r="5554">
      <c r="A5554" s="17">
        <v>1003000.0</v>
      </c>
      <c r="B5554" s="17">
        <v>7036300.0</v>
      </c>
    </row>
    <row r="5555">
      <c r="A5555" s="17">
        <v>1003000.0</v>
      </c>
      <c r="B5555" s="17">
        <v>7036400.0</v>
      </c>
    </row>
    <row r="5556">
      <c r="A5556" s="17">
        <v>1003000.0</v>
      </c>
      <c r="B5556" s="17">
        <v>7036500.0</v>
      </c>
    </row>
    <row r="5557">
      <c r="A5557" s="17">
        <v>1003000.0</v>
      </c>
      <c r="B5557" s="17">
        <v>7036800.0</v>
      </c>
    </row>
    <row r="5558">
      <c r="A5558" s="17">
        <v>1003000.0</v>
      </c>
      <c r="B5558" s="17">
        <v>7036900.0</v>
      </c>
    </row>
    <row r="5559">
      <c r="A5559" s="17">
        <v>1003000.0</v>
      </c>
      <c r="B5559" s="17">
        <v>7037000.0</v>
      </c>
    </row>
    <row r="5560">
      <c r="A5560" s="17">
        <v>1003000.0</v>
      </c>
      <c r="B5560" s="17">
        <v>7037300.0</v>
      </c>
    </row>
    <row r="5561">
      <c r="A5561" s="17">
        <v>1003000.0</v>
      </c>
      <c r="B5561" s="17">
        <v>6630000.0</v>
      </c>
    </row>
    <row r="5562">
      <c r="A5562" s="17">
        <v>1003000.0</v>
      </c>
      <c r="B5562" s="17">
        <v>6630100.0</v>
      </c>
    </row>
    <row r="5563">
      <c r="A5563" s="17">
        <v>1003000.0</v>
      </c>
      <c r="B5563" s="17">
        <v>6630200.0</v>
      </c>
    </row>
    <row r="5564">
      <c r="A5564" s="17">
        <v>1003000.0</v>
      </c>
      <c r="B5564" s="17">
        <v>6630300.0</v>
      </c>
    </row>
    <row r="5565">
      <c r="A5565" s="17">
        <v>1003000.0</v>
      </c>
      <c r="B5565" s="17">
        <v>6630400.0</v>
      </c>
    </row>
    <row r="5566">
      <c r="A5566" s="17">
        <v>1003000.0</v>
      </c>
      <c r="B5566" s="17">
        <v>6630500.0</v>
      </c>
    </row>
    <row r="5567">
      <c r="A5567" s="17">
        <v>1003000.0</v>
      </c>
      <c r="B5567" s="17">
        <v>6630600.0</v>
      </c>
    </row>
    <row r="5568">
      <c r="A5568" s="17">
        <v>1003000.0</v>
      </c>
      <c r="B5568" s="17">
        <v>6630700.0</v>
      </c>
    </row>
    <row r="5569">
      <c r="A5569" s="17">
        <v>1003000.0</v>
      </c>
      <c r="B5569" s="17">
        <v>6630800.0</v>
      </c>
    </row>
    <row r="5570">
      <c r="A5570" s="17">
        <v>1003000.0</v>
      </c>
      <c r="B5570" s="17">
        <v>6630900.0</v>
      </c>
    </row>
    <row r="5571">
      <c r="A5571" s="17">
        <v>1003000.0</v>
      </c>
      <c r="B5571" s="17">
        <v>6631000.0</v>
      </c>
    </row>
    <row r="5572">
      <c r="A5572" s="17">
        <v>1003000.0</v>
      </c>
      <c r="B5572" s="17">
        <v>6631100.0</v>
      </c>
    </row>
    <row r="5573">
      <c r="A5573" s="17">
        <v>1003000.0</v>
      </c>
      <c r="B5573" s="17">
        <v>6631200.0</v>
      </c>
    </row>
    <row r="5574">
      <c r="A5574" s="17">
        <v>1003000.0</v>
      </c>
      <c r="B5574" s="17">
        <v>6631300.0</v>
      </c>
    </row>
    <row r="5575">
      <c r="A5575" s="17">
        <v>1003000.0</v>
      </c>
      <c r="B5575" s="17">
        <v>6631400.0</v>
      </c>
    </row>
    <row r="5576">
      <c r="A5576" s="17">
        <v>1003000.0</v>
      </c>
      <c r="B5576" s="17">
        <v>6631500.0</v>
      </c>
    </row>
    <row r="5577">
      <c r="A5577" s="17">
        <v>1003000.0</v>
      </c>
      <c r="B5577" s="17">
        <v>6631600.0</v>
      </c>
    </row>
    <row r="5578">
      <c r="A5578" s="17">
        <v>1003000.0</v>
      </c>
      <c r="B5578" s="17">
        <v>6631700.0</v>
      </c>
    </row>
    <row r="5579">
      <c r="A5579" s="17">
        <v>1003000.0</v>
      </c>
      <c r="B5579" s="17">
        <v>6631800.0</v>
      </c>
    </row>
    <row r="5580">
      <c r="A5580" s="17">
        <v>1003000.0</v>
      </c>
      <c r="B5580" s="17">
        <v>6631900.0</v>
      </c>
    </row>
    <row r="5581">
      <c r="A5581" s="17">
        <v>1003000.0</v>
      </c>
      <c r="B5581" s="17">
        <v>6632000.0</v>
      </c>
    </row>
    <row r="5582">
      <c r="A5582" s="17">
        <v>1003000.0</v>
      </c>
      <c r="B5582" s="17">
        <v>6632100.0</v>
      </c>
    </row>
    <row r="5583">
      <c r="A5583" s="17">
        <v>1003000.0</v>
      </c>
      <c r="B5583" s="17">
        <v>6632200.0</v>
      </c>
    </row>
    <row r="5584">
      <c r="A5584" s="17">
        <v>1003000.0</v>
      </c>
      <c r="B5584" s="17">
        <v>6632300.0</v>
      </c>
    </row>
    <row r="5585">
      <c r="A5585" s="17">
        <v>1003000.0</v>
      </c>
      <c r="B5585" s="17">
        <v>6632400.0</v>
      </c>
    </row>
    <row r="5586">
      <c r="A5586" s="17">
        <v>1003000.0</v>
      </c>
      <c r="B5586" s="17">
        <v>6632500.0</v>
      </c>
    </row>
    <row r="5587">
      <c r="A5587" s="17">
        <v>1003000.0</v>
      </c>
      <c r="B5587" s="17">
        <v>6632600.0</v>
      </c>
    </row>
    <row r="5588">
      <c r="A5588" s="17">
        <v>1003000.0</v>
      </c>
      <c r="B5588" s="17">
        <v>6632700.0</v>
      </c>
    </row>
    <row r="5589">
      <c r="A5589" s="17">
        <v>1003000.0</v>
      </c>
      <c r="B5589" s="17">
        <v>6632800.0</v>
      </c>
    </row>
    <row r="5590">
      <c r="A5590" s="17">
        <v>1003000.0</v>
      </c>
      <c r="B5590" s="17">
        <v>6632900.0</v>
      </c>
    </row>
    <row r="5591">
      <c r="A5591" s="17">
        <v>1003000.0</v>
      </c>
      <c r="B5591" s="17">
        <v>6633000.0</v>
      </c>
    </row>
    <row r="5592">
      <c r="A5592" s="17">
        <v>1003000.0</v>
      </c>
      <c r="B5592" s="17">
        <v>6633100.0</v>
      </c>
    </row>
    <row r="5593">
      <c r="A5593" s="17">
        <v>1003000.0</v>
      </c>
      <c r="B5593" s="17">
        <v>6633200.0</v>
      </c>
    </row>
    <row r="5594">
      <c r="A5594" s="17">
        <v>1003000.0</v>
      </c>
      <c r="B5594" s="17">
        <v>6647200.0</v>
      </c>
    </row>
    <row r="5595">
      <c r="A5595" s="17">
        <v>1003000.0</v>
      </c>
      <c r="B5595" s="17">
        <v>6647300.0</v>
      </c>
    </row>
    <row r="5596">
      <c r="A5596" s="17">
        <v>1003000.0</v>
      </c>
      <c r="B5596" s="17">
        <v>6647400.0</v>
      </c>
    </row>
    <row r="5597">
      <c r="A5597" s="17">
        <v>1003000.0</v>
      </c>
      <c r="B5597" s="17">
        <v>6647500.0</v>
      </c>
    </row>
    <row r="5598">
      <c r="A5598" s="17">
        <v>1003000.0</v>
      </c>
      <c r="B5598" s="17">
        <v>6640000.0</v>
      </c>
    </row>
    <row r="5599">
      <c r="A5599" s="17">
        <v>1003000.0</v>
      </c>
      <c r="B5599" s="17">
        <v>6640100.0</v>
      </c>
    </row>
    <row r="5600">
      <c r="A5600" s="17">
        <v>1003000.0</v>
      </c>
      <c r="B5600" s="17">
        <v>6641000.0</v>
      </c>
    </row>
    <row r="5601">
      <c r="A5601" s="17">
        <v>1003000.0</v>
      </c>
      <c r="B5601" s="17">
        <v>6641100.0</v>
      </c>
    </row>
    <row r="5602">
      <c r="A5602" s="17">
        <v>1003000.0</v>
      </c>
      <c r="B5602" s="17">
        <v>6642000.0</v>
      </c>
    </row>
    <row r="5603">
      <c r="A5603" s="17">
        <v>1003000.0</v>
      </c>
      <c r="B5603" s="17">
        <v>6642100.0</v>
      </c>
    </row>
    <row r="5604">
      <c r="A5604" s="17">
        <v>1003000.0</v>
      </c>
      <c r="B5604" s="17">
        <v>6643000.0</v>
      </c>
    </row>
    <row r="5605">
      <c r="A5605" s="17">
        <v>1003000.0</v>
      </c>
      <c r="B5605" s="17">
        <v>6643100.0</v>
      </c>
    </row>
    <row r="5606">
      <c r="A5606" s="17">
        <v>1003000.0</v>
      </c>
      <c r="B5606" s="17">
        <v>6644000.0</v>
      </c>
    </row>
    <row r="5607">
      <c r="A5607" s="17">
        <v>1003000.0</v>
      </c>
      <c r="B5607" s="17">
        <v>6644100.0</v>
      </c>
    </row>
    <row r="5608">
      <c r="A5608" s="17">
        <v>1003000.0</v>
      </c>
      <c r="B5608" s="17">
        <v>6645000.0</v>
      </c>
    </row>
    <row r="5609">
      <c r="A5609" s="17">
        <v>1003000.0</v>
      </c>
      <c r="B5609" s="17">
        <v>6645100.0</v>
      </c>
    </row>
    <row r="5610">
      <c r="A5610" s="17">
        <v>1003000.0</v>
      </c>
      <c r="B5610" s="17">
        <v>6646000.0</v>
      </c>
    </row>
    <row r="5611">
      <c r="A5611" s="17">
        <v>1003000.0</v>
      </c>
      <c r="B5611" s="17">
        <v>6646100.0</v>
      </c>
    </row>
    <row r="5612">
      <c r="A5612" s="17">
        <v>1003000.0</v>
      </c>
      <c r="B5612" s="17">
        <v>6647000.0</v>
      </c>
    </row>
    <row r="5613">
      <c r="A5613" s="17">
        <v>1003000.0</v>
      </c>
      <c r="B5613" s="17">
        <v>6647100.0</v>
      </c>
    </row>
    <row r="5614">
      <c r="A5614" s="17">
        <v>1003001.0</v>
      </c>
      <c r="B5614" s="17">
        <v>7000000.0</v>
      </c>
    </row>
    <row r="5615">
      <c r="A5615" s="17">
        <v>1003001.0</v>
      </c>
      <c r="B5615" s="17">
        <v>7000001.0</v>
      </c>
    </row>
    <row r="5616">
      <c r="A5616" s="17">
        <v>1003001.0</v>
      </c>
      <c r="B5616" s="17">
        <v>7000002.0</v>
      </c>
    </row>
    <row r="5617">
      <c r="A5617" s="17">
        <v>1003001.0</v>
      </c>
      <c r="B5617" s="17">
        <v>7000100.0</v>
      </c>
    </row>
    <row r="5618">
      <c r="A5618" s="17">
        <v>1003001.0</v>
      </c>
      <c r="B5618" s="17">
        <v>7000101.0</v>
      </c>
    </row>
    <row r="5619">
      <c r="A5619" s="17">
        <v>1003001.0</v>
      </c>
      <c r="B5619" s="17">
        <v>7000102.0</v>
      </c>
    </row>
    <row r="5620">
      <c r="A5620" s="17">
        <v>1003001.0</v>
      </c>
      <c r="B5620" s="17">
        <v>7000200.0</v>
      </c>
    </row>
    <row r="5621">
      <c r="A5621" s="17">
        <v>1003001.0</v>
      </c>
      <c r="B5621" s="17">
        <v>7000201.0</v>
      </c>
    </row>
    <row r="5622">
      <c r="A5622" s="17">
        <v>1003001.0</v>
      </c>
      <c r="B5622" s="17">
        <v>7000202.0</v>
      </c>
    </row>
    <row r="5623">
      <c r="A5623" s="17">
        <v>1003001.0</v>
      </c>
      <c r="B5623" s="17">
        <v>7000300.0</v>
      </c>
    </row>
    <row r="5624">
      <c r="A5624" s="17">
        <v>1003001.0</v>
      </c>
      <c r="B5624" s="17">
        <v>7000301.0</v>
      </c>
    </row>
    <row r="5625">
      <c r="A5625" s="17">
        <v>1003001.0</v>
      </c>
      <c r="B5625" s="17">
        <v>7000302.0</v>
      </c>
    </row>
    <row r="5626">
      <c r="A5626" s="17">
        <v>1003001.0</v>
      </c>
      <c r="B5626" s="17">
        <v>7000400.0</v>
      </c>
    </row>
    <row r="5627">
      <c r="A5627" s="17">
        <v>1003001.0</v>
      </c>
      <c r="B5627" s="17">
        <v>7000401.0</v>
      </c>
    </row>
    <row r="5628">
      <c r="A5628" s="17">
        <v>1003001.0</v>
      </c>
      <c r="B5628" s="17">
        <v>7000402.0</v>
      </c>
    </row>
    <row r="5629">
      <c r="A5629" s="17">
        <v>1003001.0</v>
      </c>
      <c r="B5629" s="17">
        <v>7000500.0</v>
      </c>
    </row>
    <row r="5630">
      <c r="A5630" s="17">
        <v>1003001.0</v>
      </c>
      <c r="B5630" s="17">
        <v>7000501.0</v>
      </c>
    </row>
    <row r="5631">
      <c r="A5631" s="17">
        <v>1003001.0</v>
      </c>
      <c r="B5631" s="17">
        <v>7000502.0</v>
      </c>
    </row>
    <row r="5632">
      <c r="A5632" s="17">
        <v>1003001.0</v>
      </c>
      <c r="B5632" s="17">
        <v>7000600.0</v>
      </c>
    </row>
    <row r="5633">
      <c r="A5633" s="17">
        <v>1003001.0</v>
      </c>
      <c r="B5633" s="17">
        <v>7000601.0</v>
      </c>
    </row>
    <row r="5634">
      <c r="A5634" s="17">
        <v>1003001.0</v>
      </c>
      <c r="B5634" s="17">
        <v>7000602.0</v>
      </c>
    </row>
    <row r="5635">
      <c r="A5635" s="17">
        <v>1003001.0</v>
      </c>
      <c r="B5635" s="17">
        <v>7000700.0</v>
      </c>
    </row>
    <row r="5636">
      <c r="A5636" s="17">
        <v>1003001.0</v>
      </c>
      <c r="B5636" s="17">
        <v>7000701.0</v>
      </c>
    </row>
    <row r="5637">
      <c r="A5637" s="17">
        <v>1003001.0</v>
      </c>
      <c r="B5637" s="17">
        <v>7000702.0</v>
      </c>
    </row>
    <row r="5638">
      <c r="A5638" s="17">
        <v>1003001.0</v>
      </c>
      <c r="B5638" s="17">
        <v>7000800.0</v>
      </c>
    </row>
    <row r="5639">
      <c r="A5639" s="17">
        <v>1003001.0</v>
      </c>
      <c r="B5639" s="17">
        <v>7000801.0</v>
      </c>
    </row>
    <row r="5640">
      <c r="A5640" s="17">
        <v>1003001.0</v>
      </c>
      <c r="B5640" s="17">
        <v>7000802.0</v>
      </c>
    </row>
    <row r="5641">
      <c r="A5641" s="17">
        <v>1003001.0</v>
      </c>
      <c r="B5641" s="17">
        <v>7000900.0</v>
      </c>
    </row>
    <row r="5642">
      <c r="A5642" s="17">
        <v>1003001.0</v>
      </c>
      <c r="B5642" s="17">
        <v>7000901.0</v>
      </c>
    </row>
    <row r="5643">
      <c r="A5643" s="17">
        <v>1003001.0</v>
      </c>
      <c r="B5643" s="17">
        <v>7000902.0</v>
      </c>
    </row>
    <row r="5644">
      <c r="A5644" s="17">
        <v>1003001.0</v>
      </c>
      <c r="B5644" s="17">
        <v>7001000.0</v>
      </c>
    </row>
    <row r="5645">
      <c r="A5645" s="17">
        <v>1003001.0</v>
      </c>
      <c r="B5645" s="17">
        <v>7001001.0</v>
      </c>
    </row>
    <row r="5646">
      <c r="A5646" s="17">
        <v>1003001.0</v>
      </c>
      <c r="B5646" s="17">
        <v>7001002.0</v>
      </c>
    </row>
    <row r="5647">
      <c r="A5647" s="17">
        <v>1003001.0</v>
      </c>
      <c r="B5647" s="17">
        <v>7001400.0</v>
      </c>
    </row>
    <row r="5648">
      <c r="A5648" s="17">
        <v>1003001.0</v>
      </c>
      <c r="B5648" s="17">
        <v>7001401.0</v>
      </c>
    </row>
    <row r="5649">
      <c r="A5649" s="17">
        <v>1003001.0</v>
      </c>
      <c r="B5649" s="17">
        <v>7001402.0</v>
      </c>
    </row>
    <row r="5650">
      <c r="A5650" s="17">
        <v>1003001.0</v>
      </c>
      <c r="B5650" s="17">
        <v>7001500.0</v>
      </c>
    </row>
    <row r="5651">
      <c r="A5651" s="17">
        <v>1003001.0</v>
      </c>
      <c r="B5651" s="17">
        <v>7001501.0</v>
      </c>
    </row>
    <row r="5652">
      <c r="A5652" s="17">
        <v>1003001.0</v>
      </c>
      <c r="B5652" s="17">
        <v>7001502.0</v>
      </c>
    </row>
    <row r="5653">
      <c r="A5653" s="17">
        <v>1003001.0</v>
      </c>
      <c r="B5653" s="17">
        <v>7001600.0</v>
      </c>
    </row>
    <row r="5654">
      <c r="A5654" s="17">
        <v>1003001.0</v>
      </c>
      <c r="B5654" s="17">
        <v>7001601.0</v>
      </c>
    </row>
    <row r="5655">
      <c r="A5655" s="17">
        <v>1003001.0</v>
      </c>
      <c r="B5655" s="17">
        <v>7001602.0</v>
      </c>
    </row>
    <row r="5656">
      <c r="A5656" s="17">
        <v>1003001.0</v>
      </c>
      <c r="B5656" s="17">
        <v>7001700.0</v>
      </c>
    </row>
    <row r="5657">
      <c r="A5657" s="17">
        <v>1003001.0</v>
      </c>
      <c r="B5657" s="17">
        <v>7001701.0</v>
      </c>
    </row>
    <row r="5658">
      <c r="A5658" s="17">
        <v>1003001.0</v>
      </c>
      <c r="B5658" s="17">
        <v>7001702.0</v>
      </c>
    </row>
    <row r="5659">
      <c r="A5659" s="17">
        <v>1003001.0</v>
      </c>
      <c r="B5659" s="17">
        <v>7001800.0</v>
      </c>
    </row>
    <row r="5660">
      <c r="A5660" s="17">
        <v>1003001.0</v>
      </c>
      <c r="B5660" s="17">
        <v>7001801.0</v>
      </c>
    </row>
    <row r="5661">
      <c r="A5661" s="17">
        <v>1003001.0</v>
      </c>
      <c r="B5661" s="17">
        <v>7001802.0</v>
      </c>
    </row>
    <row r="5662">
      <c r="A5662" s="17">
        <v>1003001.0</v>
      </c>
      <c r="B5662" s="17">
        <v>7002600.0</v>
      </c>
    </row>
    <row r="5663">
      <c r="A5663" s="17">
        <v>1003001.0</v>
      </c>
      <c r="B5663" s="17">
        <v>7002700.0</v>
      </c>
    </row>
    <row r="5664">
      <c r="A5664" s="17">
        <v>1003001.0</v>
      </c>
      <c r="B5664" s="17">
        <v>7002800.0</v>
      </c>
    </row>
    <row r="5665">
      <c r="A5665" s="17">
        <v>1003001.0</v>
      </c>
      <c r="B5665" s="17">
        <v>7002900.0</v>
      </c>
    </row>
    <row r="5666">
      <c r="A5666" s="17">
        <v>1003001.0</v>
      </c>
      <c r="B5666" s="17">
        <v>7003000.0</v>
      </c>
    </row>
    <row r="5667">
      <c r="A5667" s="17">
        <v>1003001.0</v>
      </c>
      <c r="B5667" s="17">
        <v>7003100.0</v>
      </c>
    </row>
    <row r="5668">
      <c r="A5668" s="17">
        <v>1003001.0</v>
      </c>
      <c r="B5668" s="17">
        <v>7003200.0</v>
      </c>
    </row>
    <row r="5669">
      <c r="A5669" s="17">
        <v>1003001.0</v>
      </c>
      <c r="B5669" s="17">
        <v>7003300.0</v>
      </c>
    </row>
    <row r="5670">
      <c r="A5670" s="17">
        <v>1003001.0</v>
      </c>
      <c r="B5670" s="17">
        <v>7003400.0</v>
      </c>
    </row>
    <row r="5671">
      <c r="A5671" s="17">
        <v>1003001.0</v>
      </c>
      <c r="B5671" s="17">
        <v>7003500.0</v>
      </c>
    </row>
    <row r="5672">
      <c r="A5672" s="17">
        <v>1003001.0</v>
      </c>
      <c r="B5672" s="17">
        <v>7003600.0</v>
      </c>
    </row>
    <row r="5673">
      <c r="A5673" s="17">
        <v>1003001.0</v>
      </c>
      <c r="B5673" s="17">
        <v>7005600.0</v>
      </c>
    </row>
    <row r="5674">
      <c r="A5674" s="17">
        <v>1003001.0</v>
      </c>
      <c r="B5674" s="17">
        <v>7006000.0</v>
      </c>
    </row>
    <row r="5675">
      <c r="A5675" s="17">
        <v>1003001.0</v>
      </c>
      <c r="B5675" s="17">
        <v>7006100.0</v>
      </c>
    </row>
    <row r="5676">
      <c r="A5676" s="17">
        <v>1003001.0</v>
      </c>
      <c r="B5676" s="17">
        <v>7010200.0</v>
      </c>
    </row>
    <row r="5677">
      <c r="A5677" s="17">
        <v>1003001.0</v>
      </c>
      <c r="B5677" s="17">
        <v>7010500.0</v>
      </c>
    </row>
    <row r="5678">
      <c r="A5678" s="17">
        <v>1003001.0</v>
      </c>
      <c r="B5678" s="17">
        <v>7010700.0</v>
      </c>
    </row>
    <row r="5679">
      <c r="A5679" s="17">
        <v>1003001.0</v>
      </c>
      <c r="B5679" s="17">
        <v>7010900.0</v>
      </c>
    </row>
    <row r="5680">
      <c r="A5680" s="17">
        <v>1003001.0</v>
      </c>
      <c r="B5680" s="17">
        <v>7011000.0</v>
      </c>
    </row>
    <row r="5681">
      <c r="A5681" s="17">
        <v>1003001.0</v>
      </c>
      <c r="B5681" s="17">
        <v>7011200.0</v>
      </c>
    </row>
    <row r="5682">
      <c r="A5682" s="17">
        <v>1003001.0</v>
      </c>
      <c r="B5682" s="17">
        <v>7011600.0</v>
      </c>
    </row>
    <row r="5683">
      <c r="A5683" s="17">
        <v>1003001.0</v>
      </c>
      <c r="B5683" s="17">
        <v>7011700.0</v>
      </c>
    </row>
    <row r="5684">
      <c r="A5684" s="17">
        <v>1003001.0</v>
      </c>
      <c r="B5684" s="17">
        <v>7012000.0</v>
      </c>
    </row>
    <row r="5685">
      <c r="A5685" s="17">
        <v>1003001.0</v>
      </c>
      <c r="B5685" s="17">
        <v>7012200.0</v>
      </c>
    </row>
    <row r="5686">
      <c r="A5686" s="17">
        <v>1003001.0</v>
      </c>
      <c r="B5686" s="17">
        <v>7012300.0</v>
      </c>
    </row>
    <row r="5687">
      <c r="A5687" s="17">
        <v>1003001.0</v>
      </c>
      <c r="B5687" s="17">
        <v>7020000.0</v>
      </c>
    </row>
    <row r="5688">
      <c r="A5688" s="17">
        <v>1003001.0</v>
      </c>
      <c r="B5688" s="17">
        <v>7030000.0</v>
      </c>
    </row>
    <row r="5689">
      <c r="A5689" s="17">
        <v>1003001.0</v>
      </c>
      <c r="B5689" s="17">
        <v>7030200.0</v>
      </c>
    </row>
    <row r="5690">
      <c r="A5690" s="17">
        <v>1003001.0</v>
      </c>
      <c r="B5690" s="17">
        <v>7030600.0</v>
      </c>
    </row>
    <row r="5691">
      <c r="A5691" s="17">
        <v>1003001.0</v>
      </c>
      <c r="B5691" s="17">
        <v>7030700.0</v>
      </c>
    </row>
    <row r="5692">
      <c r="A5692" s="17">
        <v>1003001.0</v>
      </c>
      <c r="B5692" s="17">
        <v>7030800.0</v>
      </c>
    </row>
    <row r="5693">
      <c r="A5693" s="17">
        <v>1003001.0</v>
      </c>
      <c r="B5693" s="17">
        <v>7030900.0</v>
      </c>
    </row>
    <row r="5694">
      <c r="A5694" s="17">
        <v>1003001.0</v>
      </c>
      <c r="B5694" s="17">
        <v>7031200.0</v>
      </c>
    </row>
    <row r="5695">
      <c r="A5695" s="17">
        <v>1003001.0</v>
      </c>
      <c r="B5695" s="17">
        <v>7031300.0</v>
      </c>
    </row>
    <row r="5696">
      <c r="A5696" s="17">
        <v>1003001.0</v>
      </c>
      <c r="B5696" s="17">
        <v>7031800.0</v>
      </c>
    </row>
    <row r="5697">
      <c r="A5697" s="17">
        <v>1003001.0</v>
      </c>
      <c r="B5697" s="17">
        <v>7031900.0</v>
      </c>
    </row>
    <row r="5698">
      <c r="A5698" s="17">
        <v>1003001.0</v>
      </c>
      <c r="B5698" s="17">
        <v>7032200.0</v>
      </c>
    </row>
    <row r="5699">
      <c r="A5699" s="17">
        <v>1003001.0</v>
      </c>
      <c r="B5699" s="17">
        <v>7032400.0</v>
      </c>
    </row>
    <row r="5700">
      <c r="A5700" s="17">
        <v>1003001.0</v>
      </c>
      <c r="B5700" s="17">
        <v>7032700.0</v>
      </c>
    </row>
    <row r="5701">
      <c r="A5701" s="17">
        <v>1003001.0</v>
      </c>
      <c r="B5701" s="17">
        <v>7032800.0</v>
      </c>
    </row>
    <row r="5702">
      <c r="A5702" s="17">
        <v>1003001.0</v>
      </c>
      <c r="B5702" s="17">
        <v>7032900.0</v>
      </c>
    </row>
    <row r="5703">
      <c r="A5703" s="17">
        <v>1003001.0</v>
      </c>
      <c r="B5703" s="17">
        <v>7033200.0</v>
      </c>
    </row>
    <row r="5704">
      <c r="A5704" s="17">
        <v>1003001.0</v>
      </c>
      <c r="B5704" s="17">
        <v>7033400.0</v>
      </c>
    </row>
    <row r="5705">
      <c r="A5705" s="17">
        <v>1003001.0</v>
      </c>
      <c r="B5705" s="17">
        <v>7034100.0</v>
      </c>
    </row>
    <row r="5706">
      <c r="A5706" s="17">
        <v>1003001.0</v>
      </c>
      <c r="B5706" s="17">
        <v>7034400.0</v>
      </c>
    </row>
    <row r="5707">
      <c r="A5707" s="17">
        <v>1003001.0</v>
      </c>
      <c r="B5707" s="17">
        <v>7034500.0</v>
      </c>
    </row>
    <row r="5708">
      <c r="A5708" s="17">
        <v>1003001.0</v>
      </c>
      <c r="B5708" s="17">
        <v>7034600.0</v>
      </c>
    </row>
    <row r="5709">
      <c r="A5709" s="17">
        <v>1003001.0</v>
      </c>
      <c r="B5709" s="17">
        <v>7034700.0</v>
      </c>
    </row>
    <row r="5710">
      <c r="A5710" s="17">
        <v>1003001.0</v>
      </c>
      <c r="B5710" s="17">
        <v>7035100.0</v>
      </c>
    </row>
    <row r="5711">
      <c r="A5711" s="17">
        <v>1003001.0</v>
      </c>
      <c r="B5711" s="17">
        <v>7036100.0</v>
      </c>
    </row>
    <row r="5712">
      <c r="A5712" s="17">
        <v>1003001.0</v>
      </c>
      <c r="B5712" s="17">
        <v>7040000.0</v>
      </c>
    </row>
    <row r="5713">
      <c r="A5713" s="17">
        <v>1003001.0</v>
      </c>
      <c r="B5713" s="17">
        <v>7040100.0</v>
      </c>
    </row>
    <row r="5714">
      <c r="A5714" s="17">
        <v>1003001.0</v>
      </c>
      <c r="B5714" s="17">
        <v>7040200.0</v>
      </c>
    </row>
    <row r="5715">
      <c r="A5715" s="17">
        <v>1003001.0</v>
      </c>
      <c r="B5715" s="17">
        <v>7040300.0</v>
      </c>
    </row>
    <row r="5716">
      <c r="A5716" s="17">
        <v>1003001.0</v>
      </c>
      <c r="B5716" s="17">
        <v>7040400.0</v>
      </c>
    </row>
    <row r="5717">
      <c r="A5717" s="17">
        <v>1003001.0</v>
      </c>
      <c r="B5717" s="17">
        <v>7040500.0</v>
      </c>
    </row>
    <row r="5718">
      <c r="A5718" s="17">
        <v>1003001.0</v>
      </c>
      <c r="B5718" s="17">
        <v>7043000.0</v>
      </c>
    </row>
    <row r="5719">
      <c r="A5719" s="17">
        <v>1003001.0</v>
      </c>
      <c r="B5719" s="17">
        <v>7043100.0</v>
      </c>
    </row>
    <row r="5720">
      <c r="A5720" s="17">
        <v>1003001.0</v>
      </c>
      <c r="B5720" s="17">
        <v>7043200.0</v>
      </c>
    </row>
    <row r="5721">
      <c r="A5721" s="17">
        <v>1003001.0</v>
      </c>
      <c r="B5721" s="17">
        <v>7043300.0</v>
      </c>
    </row>
    <row r="5722">
      <c r="A5722" s="17">
        <v>1003001.0</v>
      </c>
      <c r="B5722" s="17">
        <v>7043400.0</v>
      </c>
    </row>
    <row r="5723">
      <c r="A5723" s="17">
        <v>1003001.0</v>
      </c>
      <c r="B5723" s="17">
        <v>7043500.0</v>
      </c>
    </row>
    <row r="5724">
      <c r="A5724" s="17">
        <v>1003001.0</v>
      </c>
      <c r="B5724" s="17">
        <v>7043600.0</v>
      </c>
    </row>
    <row r="5725">
      <c r="A5725" s="17">
        <v>1003001.0</v>
      </c>
      <c r="B5725" s="17">
        <v>7043700.0</v>
      </c>
    </row>
    <row r="5726">
      <c r="A5726" s="17">
        <v>1003001.0</v>
      </c>
      <c r="B5726" s="17">
        <v>7043800.0</v>
      </c>
    </row>
    <row r="5727">
      <c r="A5727" s="17">
        <v>1003001.0</v>
      </c>
      <c r="B5727" s="17">
        <v>7044000.0</v>
      </c>
    </row>
    <row r="5728">
      <c r="A5728" s="17">
        <v>1003001.0</v>
      </c>
      <c r="B5728" s="17">
        <v>7044100.0</v>
      </c>
    </row>
    <row r="5729">
      <c r="A5729" s="17">
        <v>1003001.0</v>
      </c>
      <c r="B5729" s="17">
        <v>7044200.0</v>
      </c>
    </row>
    <row r="5730">
      <c r="A5730" s="17">
        <v>1003001.0</v>
      </c>
      <c r="B5730" s="17">
        <v>7044300.0</v>
      </c>
    </row>
    <row r="5731">
      <c r="A5731" s="17">
        <v>1003001.0</v>
      </c>
      <c r="B5731" s="17">
        <v>7044400.0</v>
      </c>
    </row>
    <row r="5732">
      <c r="A5732" s="17">
        <v>1003001.0</v>
      </c>
      <c r="B5732" s="17">
        <v>7044500.0</v>
      </c>
    </row>
    <row r="5733">
      <c r="A5733" s="17">
        <v>1003001.0</v>
      </c>
      <c r="B5733" s="17">
        <v>7044600.0</v>
      </c>
    </row>
    <row r="5734">
      <c r="A5734" s="17">
        <v>1003001.0</v>
      </c>
      <c r="B5734" s="17">
        <v>7050000.0</v>
      </c>
    </row>
    <row r="5735">
      <c r="A5735" s="17">
        <v>1003001.0</v>
      </c>
      <c r="B5735" s="17">
        <v>7050100.0</v>
      </c>
    </row>
    <row r="5736">
      <c r="A5736" s="17">
        <v>1003001.0</v>
      </c>
      <c r="B5736" s="17">
        <v>7060000.0</v>
      </c>
    </row>
    <row r="5737">
      <c r="A5737" s="17">
        <v>1003001.0</v>
      </c>
      <c r="B5737" s="17">
        <v>7060100.0</v>
      </c>
    </row>
    <row r="5738">
      <c r="A5738" s="17">
        <v>1003001.0</v>
      </c>
      <c r="B5738" s="17">
        <v>7060200.0</v>
      </c>
    </row>
    <row r="5739">
      <c r="A5739" s="17">
        <v>1003001.0</v>
      </c>
      <c r="B5739" s="17">
        <v>7070000.0</v>
      </c>
    </row>
    <row r="5740">
      <c r="A5740" s="17">
        <v>1003001.0</v>
      </c>
      <c r="B5740" s="17">
        <v>7080000.0</v>
      </c>
    </row>
    <row r="5741">
      <c r="A5741" s="17">
        <v>1003001.0</v>
      </c>
      <c r="B5741" s="17">
        <v>7080100.0</v>
      </c>
    </row>
    <row r="5742">
      <c r="A5742" s="17">
        <v>1003001.0</v>
      </c>
      <c r="B5742" s="17">
        <v>7080200.0</v>
      </c>
    </row>
    <row r="5743">
      <c r="A5743" s="17">
        <v>1003001.0</v>
      </c>
      <c r="B5743" s="17">
        <v>7080300.0</v>
      </c>
    </row>
    <row r="5744">
      <c r="A5744" s="17">
        <v>1003001.0</v>
      </c>
      <c r="B5744" s="17">
        <v>7080400.0</v>
      </c>
    </row>
    <row r="5745">
      <c r="A5745" s="17">
        <v>1003001.0</v>
      </c>
      <c r="B5745" s="17">
        <v>7080500.0</v>
      </c>
    </row>
    <row r="5746">
      <c r="A5746" s="17">
        <v>1003001.0</v>
      </c>
      <c r="B5746" s="17">
        <v>7080600.0</v>
      </c>
    </row>
    <row r="5747">
      <c r="A5747" s="17">
        <v>1003001.0</v>
      </c>
      <c r="B5747" s="17">
        <v>7080700.0</v>
      </c>
    </row>
    <row r="5748">
      <c r="A5748" s="17">
        <v>1003001.0</v>
      </c>
      <c r="B5748" s="17">
        <v>7080800.0</v>
      </c>
    </row>
    <row r="5749">
      <c r="A5749" s="17">
        <v>1003001.0</v>
      </c>
      <c r="B5749" s="17">
        <v>7080900.0</v>
      </c>
    </row>
    <row r="5750">
      <c r="A5750" s="17">
        <v>1003001.0</v>
      </c>
      <c r="B5750" s="17">
        <v>7081000.0</v>
      </c>
    </row>
    <row r="5751">
      <c r="A5751" s="17">
        <v>1003001.0</v>
      </c>
      <c r="B5751" s="17">
        <v>7081100.0</v>
      </c>
    </row>
    <row r="5752">
      <c r="A5752" s="17">
        <v>1003001.0</v>
      </c>
      <c r="B5752" s="17">
        <v>7081200.0</v>
      </c>
    </row>
    <row r="5753">
      <c r="A5753" s="17">
        <v>1003001.0</v>
      </c>
      <c r="B5753" s="17">
        <v>7081300.0</v>
      </c>
    </row>
    <row r="5754">
      <c r="A5754" s="17">
        <v>1003001.0</v>
      </c>
      <c r="B5754" s="17">
        <v>7081400.0</v>
      </c>
    </row>
    <row r="5755">
      <c r="A5755" s="17">
        <v>1003001.0</v>
      </c>
      <c r="B5755" s="17">
        <v>7081500.0</v>
      </c>
    </row>
    <row r="5756">
      <c r="A5756" s="17">
        <v>1003001.0</v>
      </c>
      <c r="B5756" s="17">
        <v>7081700.0</v>
      </c>
    </row>
    <row r="5757">
      <c r="A5757" s="17">
        <v>1003001.0</v>
      </c>
      <c r="B5757" s="17">
        <v>7081800.0</v>
      </c>
    </row>
    <row r="5758">
      <c r="A5758" s="17">
        <v>1003001.0</v>
      </c>
      <c r="B5758" s="17">
        <v>7081900.0</v>
      </c>
    </row>
    <row r="5759">
      <c r="A5759" s="17">
        <v>1003001.0</v>
      </c>
      <c r="B5759" s="17">
        <v>7082000.0</v>
      </c>
    </row>
    <row r="5760">
      <c r="A5760" s="17">
        <v>1003001.0</v>
      </c>
      <c r="B5760" s="17">
        <v>7082100.0</v>
      </c>
    </row>
    <row r="5761">
      <c r="A5761" s="17">
        <v>1003001.0</v>
      </c>
      <c r="B5761" s="17">
        <v>7082200.0</v>
      </c>
    </row>
    <row r="5762">
      <c r="A5762" s="17">
        <v>1003001.0</v>
      </c>
      <c r="B5762" s="17">
        <v>7082300.0</v>
      </c>
    </row>
    <row r="5763">
      <c r="A5763" s="17">
        <v>1003001.0</v>
      </c>
      <c r="B5763" s="17">
        <v>7082400.0</v>
      </c>
    </row>
    <row r="5764">
      <c r="A5764" s="17">
        <v>1003001.0</v>
      </c>
      <c r="B5764" s="17">
        <v>7082500.0</v>
      </c>
    </row>
    <row r="5765">
      <c r="A5765" s="17">
        <v>1003001.0</v>
      </c>
      <c r="B5765" s="17">
        <v>7082600.0</v>
      </c>
    </row>
    <row r="5766">
      <c r="A5766" s="17">
        <v>1003001.0</v>
      </c>
      <c r="B5766" s="17">
        <v>7082700.0</v>
      </c>
    </row>
    <row r="5767">
      <c r="A5767" s="17">
        <v>1003001.0</v>
      </c>
      <c r="B5767" s="17">
        <v>7082800.0</v>
      </c>
    </row>
    <row r="5768">
      <c r="A5768" s="17">
        <v>1003001.0</v>
      </c>
      <c r="B5768" s="17">
        <v>7082900.0</v>
      </c>
    </row>
    <row r="5769">
      <c r="A5769" s="17">
        <v>1003001.0</v>
      </c>
      <c r="B5769" s="17">
        <v>7090000.0</v>
      </c>
    </row>
    <row r="5770">
      <c r="A5770" s="17">
        <v>1003001.0</v>
      </c>
      <c r="B5770" s="17">
        <v>7090100.0</v>
      </c>
    </row>
    <row r="5771">
      <c r="A5771" s="17">
        <v>1003001.0</v>
      </c>
      <c r="B5771" s="17">
        <v>7090300.0</v>
      </c>
    </row>
    <row r="5772">
      <c r="A5772" s="17">
        <v>1003001.0</v>
      </c>
      <c r="B5772" s="17">
        <v>7100100.0</v>
      </c>
    </row>
    <row r="5773">
      <c r="A5773" s="17">
        <v>1003001.0</v>
      </c>
      <c r="B5773" s="17">
        <v>7110000.0</v>
      </c>
    </row>
    <row r="5774">
      <c r="A5774" s="17">
        <v>1003001.0</v>
      </c>
      <c r="B5774" s="17">
        <v>7120000.0</v>
      </c>
    </row>
    <row r="5775">
      <c r="A5775" s="17">
        <v>1003001.0</v>
      </c>
      <c r="B5775" s="17">
        <v>7120100.0</v>
      </c>
    </row>
    <row r="5776">
      <c r="A5776" s="17">
        <v>1003001.0</v>
      </c>
      <c r="B5776" s="17">
        <v>7120200.0</v>
      </c>
    </row>
    <row r="5777">
      <c r="A5777" s="17">
        <v>1003001.0</v>
      </c>
      <c r="B5777" s="17">
        <v>7120300.0</v>
      </c>
    </row>
    <row r="5778">
      <c r="A5778" s="17">
        <v>1003001.0</v>
      </c>
      <c r="B5778" s="17">
        <v>7120400.0</v>
      </c>
    </row>
    <row r="5779">
      <c r="A5779" s="17">
        <v>1003001.0</v>
      </c>
      <c r="B5779" s="17">
        <v>7120500.0</v>
      </c>
    </row>
    <row r="5780">
      <c r="A5780" s="17">
        <v>1003001.0</v>
      </c>
      <c r="B5780" s="17">
        <v>7120600.0</v>
      </c>
    </row>
    <row r="5781">
      <c r="A5781" s="17">
        <v>1003001.0</v>
      </c>
      <c r="B5781" s="17">
        <v>7120900.0</v>
      </c>
    </row>
    <row r="5782">
      <c r="A5782" s="17">
        <v>1003001.0</v>
      </c>
      <c r="B5782" s="17">
        <v>7121000.0</v>
      </c>
    </row>
    <row r="5783">
      <c r="A5783" s="17">
        <v>1003001.0</v>
      </c>
      <c r="B5783" s="17">
        <v>7121100.0</v>
      </c>
    </row>
    <row r="5784">
      <c r="A5784" s="17">
        <v>1003001.0</v>
      </c>
      <c r="B5784" s="17">
        <v>7121200.0</v>
      </c>
    </row>
    <row r="5785">
      <c r="A5785" s="17">
        <v>1003001.0</v>
      </c>
      <c r="B5785" s="17">
        <v>7121300.0</v>
      </c>
    </row>
    <row r="5786">
      <c r="A5786" s="17">
        <v>1003001.0</v>
      </c>
      <c r="B5786" s="17">
        <v>7121400.0</v>
      </c>
    </row>
    <row r="5787">
      <c r="A5787" s="17">
        <v>1003001.0</v>
      </c>
      <c r="B5787" s="17">
        <v>7121500.0</v>
      </c>
    </row>
    <row r="5788">
      <c r="A5788" s="17">
        <v>1003001.0</v>
      </c>
      <c r="B5788" s="17">
        <v>7121600.0</v>
      </c>
    </row>
    <row r="5789">
      <c r="A5789" s="17">
        <v>1003001.0</v>
      </c>
      <c r="B5789" s="17">
        <v>7121700.0</v>
      </c>
    </row>
    <row r="5790">
      <c r="A5790" s="17">
        <v>1003001.0</v>
      </c>
      <c r="B5790" s="17">
        <v>7121800.0</v>
      </c>
    </row>
    <row r="5791">
      <c r="A5791" s="17">
        <v>1003001.0</v>
      </c>
      <c r="B5791" s="17">
        <v>7121900.0</v>
      </c>
    </row>
    <row r="5792">
      <c r="A5792" s="17">
        <v>1003001.0</v>
      </c>
      <c r="B5792" s="17">
        <v>7122000.0</v>
      </c>
    </row>
    <row r="5793">
      <c r="A5793" s="17">
        <v>1003001.0</v>
      </c>
      <c r="B5793" s="17">
        <v>7122100.0</v>
      </c>
    </row>
    <row r="5794">
      <c r="A5794" s="17">
        <v>1003001.0</v>
      </c>
      <c r="B5794" s="17">
        <v>7122200.0</v>
      </c>
    </row>
    <row r="5795">
      <c r="A5795" s="17">
        <v>1003001.0</v>
      </c>
      <c r="B5795" s="17">
        <v>7122300.0</v>
      </c>
    </row>
    <row r="5796">
      <c r="A5796" s="17">
        <v>1003001.0</v>
      </c>
      <c r="B5796" s="17">
        <v>7122400.0</v>
      </c>
    </row>
    <row r="5797">
      <c r="A5797" s="17">
        <v>1003001.0</v>
      </c>
      <c r="B5797" s="17">
        <v>7122500.0</v>
      </c>
    </row>
    <row r="5798">
      <c r="A5798" s="17">
        <v>1003001.0</v>
      </c>
      <c r="B5798" s="17">
        <v>7122600.0</v>
      </c>
    </row>
    <row r="5799">
      <c r="A5799" s="17">
        <v>1003001.0</v>
      </c>
      <c r="B5799" s="17">
        <v>7122700.0</v>
      </c>
    </row>
    <row r="5800">
      <c r="A5800" s="17">
        <v>1003001.0</v>
      </c>
      <c r="B5800" s="17">
        <v>7122800.0</v>
      </c>
    </row>
    <row r="5801">
      <c r="A5801" s="17">
        <v>1003001.0</v>
      </c>
      <c r="B5801" s="17">
        <v>7122900.0</v>
      </c>
    </row>
    <row r="5802">
      <c r="A5802" s="17">
        <v>1003001.0</v>
      </c>
      <c r="B5802" s="17">
        <v>7123000.0</v>
      </c>
    </row>
    <row r="5803">
      <c r="A5803" s="17">
        <v>1003001.0</v>
      </c>
      <c r="B5803" s="17">
        <v>7123100.0</v>
      </c>
    </row>
    <row r="5804">
      <c r="A5804" s="17">
        <v>1003001.0</v>
      </c>
      <c r="B5804" s="17">
        <v>7123200.0</v>
      </c>
    </row>
    <row r="5805">
      <c r="A5805" s="17">
        <v>1003001.0</v>
      </c>
      <c r="B5805" s="17">
        <v>7123300.0</v>
      </c>
    </row>
    <row r="5806">
      <c r="A5806" s="17">
        <v>1003001.0</v>
      </c>
      <c r="B5806" s="17">
        <v>7123400.0</v>
      </c>
    </row>
    <row r="5807">
      <c r="A5807" s="17">
        <v>1003001.0</v>
      </c>
      <c r="B5807" s="17">
        <v>7123500.0</v>
      </c>
    </row>
    <row r="5808">
      <c r="A5808" s="17">
        <v>1003001.0</v>
      </c>
      <c r="B5808" s="17">
        <v>7123600.0</v>
      </c>
    </row>
    <row r="5809">
      <c r="A5809" s="17">
        <v>1003001.0</v>
      </c>
      <c r="B5809" s="17">
        <v>7123700.0</v>
      </c>
    </row>
    <row r="5810">
      <c r="A5810" s="17">
        <v>1003001.0</v>
      </c>
      <c r="B5810" s="17">
        <v>7123800.0</v>
      </c>
    </row>
    <row r="5811">
      <c r="A5811" s="17">
        <v>1003001.0</v>
      </c>
      <c r="B5811" s="17">
        <v>7123900.0</v>
      </c>
    </row>
    <row r="5812">
      <c r="A5812" s="17">
        <v>1003001.0</v>
      </c>
      <c r="B5812" s="17">
        <v>7124000.0</v>
      </c>
    </row>
    <row r="5813">
      <c r="A5813" s="17">
        <v>1003001.0</v>
      </c>
      <c r="B5813" s="17">
        <v>7124100.0</v>
      </c>
    </row>
    <row r="5814">
      <c r="A5814" s="17">
        <v>1003001.0</v>
      </c>
      <c r="B5814" s="17">
        <v>7124300.0</v>
      </c>
    </row>
    <row r="5815">
      <c r="A5815" s="17">
        <v>1003001.0</v>
      </c>
      <c r="B5815" s="17">
        <v>7124400.0</v>
      </c>
    </row>
    <row r="5816">
      <c r="A5816" s="17">
        <v>1003001.0</v>
      </c>
      <c r="B5816" s="17">
        <v>7124500.0</v>
      </c>
    </row>
    <row r="5817">
      <c r="A5817" s="17">
        <v>1003001.0</v>
      </c>
      <c r="B5817" s="17">
        <v>7124600.0</v>
      </c>
    </row>
    <row r="5818">
      <c r="A5818" s="17">
        <v>1003001.0</v>
      </c>
      <c r="B5818" s="17">
        <v>7124700.0</v>
      </c>
    </row>
    <row r="5819">
      <c r="A5819" s="17">
        <v>1003001.0</v>
      </c>
      <c r="B5819" s="17">
        <v>7126000.0</v>
      </c>
    </row>
    <row r="5820">
      <c r="A5820" s="17">
        <v>1003001.0</v>
      </c>
      <c r="B5820" s="17">
        <v>7150000.0</v>
      </c>
    </row>
    <row r="5821">
      <c r="A5821" s="17">
        <v>1003001.0</v>
      </c>
      <c r="B5821" s="17">
        <v>7160000.0</v>
      </c>
    </row>
    <row r="5822">
      <c r="A5822" s="17">
        <v>1003001.0</v>
      </c>
      <c r="B5822" s="17">
        <v>7220000.0</v>
      </c>
    </row>
    <row r="5823">
      <c r="A5823" s="17">
        <v>1003001.0</v>
      </c>
      <c r="B5823" s="17">
        <v>7230000.0</v>
      </c>
    </row>
    <row r="5824">
      <c r="A5824" s="17">
        <v>1003001.0</v>
      </c>
      <c r="B5824" s="17">
        <v>7240000.0</v>
      </c>
    </row>
    <row r="5825">
      <c r="A5825" s="17">
        <v>1003001.0</v>
      </c>
      <c r="B5825" s="17">
        <v>7260000.0</v>
      </c>
    </row>
    <row r="5826">
      <c r="A5826" s="17">
        <v>1003001.0</v>
      </c>
      <c r="B5826" s="17">
        <v>7260300.0</v>
      </c>
    </row>
    <row r="5827">
      <c r="A5827" s="17">
        <v>1003001.0</v>
      </c>
      <c r="B5827" s="17">
        <v>7260400.0</v>
      </c>
    </row>
    <row r="5828">
      <c r="A5828" s="17">
        <v>1003001.0</v>
      </c>
      <c r="B5828" s="17">
        <v>7270100.0</v>
      </c>
    </row>
    <row r="5829">
      <c r="A5829" s="17">
        <v>1003001.0</v>
      </c>
      <c r="B5829" s="17">
        <v>7280000.0</v>
      </c>
    </row>
    <row r="5830">
      <c r="A5830" s="17">
        <v>1003001.0</v>
      </c>
      <c r="B5830" s="17">
        <v>7290000.0</v>
      </c>
    </row>
    <row r="5831">
      <c r="A5831" s="17">
        <v>1003001.0</v>
      </c>
      <c r="B5831" s="17">
        <v>7310000.0</v>
      </c>
    </row>
    <row r="5832">
      <c r="A5832" s="17">
        <v>1003001.0</v>
      </c>
      <c r="B5832" s="17">
        <v>7330000.0</v>
      </c>
    </row>
    <row r="5833">
      <c r="A5833" s="17">
        <v>1003001.0</v>
      </c>
      <c r="B5833" s="17">
        <v>7330100.0</v>
      </c>
    </row>
    <row r="5834">
      <c r="A5834" s="17">
        <v>1003001.0</v>
      </c>
      <c r="B5834" s="17">
        <v>7330200.0</v>
      </c>
    </row>
    <row r="5835">
      <c r="A5835" s="17">
        <v>1003001.0</v>
      </c>
      <c r="B5835" s="17">
        <v>7330300.0</v>
      </c>
    </row>
    <row r="5836">
      <c r="A5836" s="17">
        <v>1003001.0</v>
      </c>
      <c r="B5836" s="17">
        <v>7330400.0</v>
      </c>
    </row>
    <row r="5837">
      <c r="A5837" s="17">
        <v>1003001.0</v>
      </c>
      <c r="B5837" s="17">
        <v>7330500.0</v>
      </c>
    </row>
    <row r="5838">
      <c r="A5838" s="17">
        <v>1003001.0</v>
      </c>
      <c r="B5838" s="17">
        <v>7330600.0</v>
      </c>
    </row>
    <row r="5839">
      <c r="A5839" s="17">
        <v>1003001.0</v>
      </c>
      <c r="B5839" s="17">
        <v>7330700.0</v>
      </c>
    </row>
    <row r="5840">
      <c r="A5840" s="17">
        <v>1003001.0</v>
      </c>
      <c r="B5840" s="17">
        <v>7330800.0</v>
      </c>
    </row>
    <row r="5841">
      <c r="A5841" s="17">
        <v>1003001.0</v>
      </c>
      <c r="B5841" s="17">
        <v>7330900.0</v>
      </c>
    </row>
    <row r="5842">
      <c r="A5842" s="17">
        <v>1003001.0</v>
      </c>
      <c r="B5842" s="17">
        <v>7331000.0</v>
      </c>
    </row>
    <row r="5843">
      <c r="A5843" s="17">
        <v>1003001.0</v>
      </c>
      <c r="B5843" s="17">
        <v>7331100.0</v>
      </c>
    </row>
    <row r="5844">
      <c r="A5844" s="17">
        <v>1003001.0</v>
      </c>
      <c r="B5844" s="17">
        <v>7331200.0</v>
      </c>
    </row>
    <row r="5845">
      <c r="A5845" s="17">
        <v>1003001.0</v>
      </c>
      <c r="B5845" s="17">
        <v>7331300.0</v>
      </c>
    </row>
    <row r="5846">
      <c r="A5846" s="17">
        <v>1003001.0</v>
      </c>
      <c r="B5846" s="17">
        <v>7331400.0</v>
      </c>
    </row>
    <row r="5847">
      <c r="A5847" s="17">
        <v>1003001.0</v>
      </c>
      <c r="B5847" s="17">
        <v>7331500.0</v>
      </c>
    </row>
    <row r="5848">
      <c r="A5848" s="17">
        <v>1003001.0</v>
      </c>
      <c r="B5848" s="17">
        <v>7331700.0</v>
      </c>
    </row>
    <row r="5849">
      <c r="A5849" s="17">
        <v>1003001.0</v>
      </c>
      <c r="B5849" s="17">
        <v>7331800.0</v>
      </c>
    </row>
    <row r="5850">
      <c r="A5850" s="17">
        <v>1003001.0</v>
      </c>
      <c r="B5850" s="17">
        <v>7331900.0</v>
      </c>
    </row>
    <row r="5851">
      <c r="A5851" s="17">
        <v>1003001.0</v>
      </c>
      <c r="B5851" s="17">
        <v>7332000.0</v>
      </c>
    </row>
    <row r="5852">
      <c r="A5852" s="17">
        <v>1003001.0</v>
      </c>
      <c r="B5852" s="17">
        <v>7332100.0</v>
      </c>
    </row>
    <row r="5853">
      <c r="A5853" s="17">
        <v>1003001.0</v>
      </c>
      <c r="B5853" s="17">
        <v>7332200.0</v>
      </c>
    </row>
    <row r="5854">
      <c r="A5854" s="17">
        <v>1003001.0</v>
      </c>
      <c r="B5854" s="17">
        <v>7332300.0</v>
      </c>
    </row>
    <row r="5855">
      <c r="A5855" s="17">
        <v>1003001.0</v>
      </c>
      <c r="B5855" s="17">
        <v>7332400.0</v>
      </c>
    </row>
    <row r="5856">
      <c r="A5856" s="17">
        <v>1003001.0</v>
      </c>
      <c r="B5856" s="17">
        <v>7340000.0</v>
      </c>
    </row>
    <row r="5857">
      <c r="A5857" s="17">
        <v>1003001.0</v>
      </c>
      <c r="B5857" s="17">
        <v>7340100.0</v>
      </c>
    </row>
    <row r="5858">
      <c r="A5858" s="17">
        <v>1003001.0</v>
      </c>
      <c r="B5858" s="17">
        <v>7340200.0</v>
      </c>
    </row>
    <row r="5859">
      <c r="A5859" s="17">
        <v>1003001.0</v>
      </c>
      <c r="B5859" s="17">
        <v>7340300.0</v>
      </c>
    </row>
    <row r="5860">
      <c r="A5860" s="17">
        <v>1003001.0</v>
      </c>
      <c r="B5860" s="17">
        <v>7340400.0</v>
      </c>
    </row>
    <row r="5861">
      <c r="A5861" s="17">
        <v>1003001.0</v>
      </c>
      <c r="B5861" s="17">
        <v>7340500.0</v>
      </c>
    </row>
    <row r="5862">
      <c r="A5862" s="17">
        <v>1003001.0</v>
      </c>
      <c r="B5862" s="17">
        <v>7340600.0</v>
      </c>
    </row>
    <row r="5863">
      <c r="A5863" s="17">
        <v>1003001.0</v>
      </c>
      <c r="B5863" s="17">
        <v>7340700.0</v>
      </c>
    </row>
    <row r="5864">
      <c r="A5864" s="17">
        <v>1003001.0</v>
      </c>
      <c r="B5864" s="17">
        <v>7340800.0</v>
      </c>
    </row>
    <row r="5865">
      <c r="A5865" s="17">
        <v>1003001.0</v>
      </c>
      <c r="B5865" s="17">
        <v>7340900.0</v>
      </c>
    </row>
    <row r="5866">
      <c r="A5866" s="17">
        <v>1003001.0</v>
      </c>
      <c r="B5866" s="17">
        <v>7341000.0</v>
      </c>
    </row>
    <row r="5867">
      <c r="A5867" s="17">
        <v>1003001.0</v>
      </c>
      <c r="B5867" s="17">
        <v>7341100.0</v>
      </c>
    </row>
    <row r="5868">
      <c r="A5868" s="17">
        <v>1003001.0</v>
      </c>
      <c r="B5868" s="17">
        <v>7341200.0</v>
      </c>
    </row>
    <row r="5869">
      <c r="A5869" s="17">
        <v>1003001.0</v>
      </c>
      <c r="B5869" s="17">
        <v>7341300.0</v>
      </c>
    </row>
    <row r="5870">
      <c r="A5870" s="17">
        <v>1003001.0</v>
      </c>
      <c r="B5870" s="17">
        <v>7341400.0</v>
      </c>
    </row>
    <row r="5871">
      <c r="A5871" s="17">
        <v>1003001.0</v>
      </c>
      <c r="B5871" s="17">
        <v>7341500.0</v>
      </c>
    </row>
    <row r="5872">
      <c r="A5872" s="17">
        <v>1003001.0</v>
      </c>
      <c r="B5872" s="17">
        <v>7341700.0</v>
      </c>
    </row>
    <row r="5873">
      <c r="A5873" s="17">
        <v>1003001.0</v>
      </c>
      <c r="B5873" s="17">
        <v>7341800.0</v>
      </c>
    </row>
    <row r="5874">
      <c r="A5874" s="17">
        <v>1003001.0</v>
      </c>
      <c r="B5874" s="17">
        <v>7341900.0</v>
      </c>
    </row>
    <row r="5875">
      <c r="A5875" s="17">
        <v>1003001.0</v>
      </c>
      <c r="B5875" s="17">
        <v>7342000.0</v>
      </c>
    </row>
    <row r="5876">
      <c r="A5876" s="17">
        <v>1003001.0</v>
      </c>
      <c r="B5876" s="17">
        <v>7342100.0</v>
      </c>
    </row>
    <row r="5877">
      <c r="A5877" s="17">
        <v>1003001.0</v>
      </c>
      <c r="B5877" s="17">
        <v>7342200.0</v>
      </c>
    </row>
    <row r="5878">
      <c r="A5878" s="17">
        <v>1003001.0</v>
      </c>
      <c r="B5878" s="17">
        <v>7342300.0</v>
      </c>
    </row>
    <row r="5879">
      <c r="A5879" s="17">
        <v>1003001.0</v>
      </c>
      <c r="B5879" s="17">
        <v>7342400.0</v>
      </c>
    </row>
    <row r="5880">
      <c r="A5880" s="17">
        <v>1003001.0</v>
      </c>
      <c r="B5880" s="17">
        <v>7350000.0</v>
      </c>
    </row>
    <row r="5881">
      <c r="A5881" s="17">
        <v>1003001.0</v>
      </c>
      <c r="B5881" s="17">
        <v>7350100.0</v>
      </c>
    </row>
    <row r="5882">
      <c r="A5882" s="17">
        <v>1003001.0</v>
      </c>
      <c r="B5882" s="17">
        <v>7350200.0</v>
      </c>
    </row>
    <row r="5883">
      <c r="A5883" s="17">
        <v>1003001.0</v>
      </c>
      <c r="B5883" s="17">
        <v>7350300.0</v>
      </c>
    </row>
    <row r="5884">
      <c r="A5884" s="17">
        <v>1003001.0</v>
      </c>
      <c r="B5884" s="17">
        <v>7350400.0</v>
      </c>
    </row>
    <row r="5885">
      <c r="A5885" s="17">
        <v>1003001.0</v>
      </c>
      <c r="B5885" s="17">
        <v>7350500.0</v>
      </c>
    </row>
    <row r="5886">
      <c r="A5886" s="17">
        <v>1003001.0</v>
      </c>
      <c r="B5886" s="17">
        <v>7350600.0</v>
      </c>
    </row>
    <row r="5887">
      <c r="A5887" s="17">
        <v>1003001.0</v>
      </c>
      <c r="B5887" s="17">
        <v>7350700.0</v>
      </c>
    </row>
    <row r="5888">
      <c r="A5888" s="17">
        <v>1003001.0</v>
      </c>
      <c r="B5888" s="17">
        <v>7350800.0</v>
      </c>
    </row>
    <row r="5889">
      <c r="A5889" s="17">
        <v>1003001.0</v>
      </c>
      <c r="B5889" s="17">
        <v>7350900.0</v>
      </c>
    </row>
    <row r="5890">
      <c r="A5890" s="17">
        <v>1003001.0</v>
      </c>
      <c r="B5890" s="17">
        <v>7351000.0</v>
      </c>
    </row>
    <row r="5891">
      <c r="A5891" s="17">
        <v>1003001.0</v>
      </c>
      <c r="B5891" s="17">
        <v>7351100.0</v>
      </c>
    </row>
    <row r="5892">
      <c r="A5892" s="17">
        <v>1003001.0</v>
      </c>
      <c r="B5892" s="17">
        <v>7351200.0</v>
      </c>
    </row>
    <row r="5893">
      <c r="A5893" s="17">
        <v>1003001.0</v>
      </c>
      <c r="B5893" s="17">
        <v>7351300.0</v>
      </c>
    </row>
    <row r="5894">
      <c r="A5894" s="17">
        <v>1003001.0</v>
      </c>
      <c r="B5894" s="17">
        <v>7351400.0</v>
      </c>
    </row>
    <row r="5895">
      <c r="A5895" s="17">
        <v>1003001.0</v>
      </c>
      <c r="B5895" s="17">
        <v>7351500.0</v>
      </c>
    </row>
    <row r="5896">
      <c r="A5896" s="17">
        <v>1003001.0</v>
      </c>
      <c r="B5896" s="17">
        <v>7351700.0</v>
      </c>
    </row>
    <row r="5897">
      <c r="A5897" s="17">
        <v>1003001.0</v>
      </c>
      <c r="B5897" s="17">
        <v>7351800.0</v>
      </c>
    </row>
    <row r="5898">
      <c r="A5898" s="17">
        <v>1003001.0</v>
      </c>
      <c r="B5898" s="17">
        <v>7351900.0</v>
      </c>
    </row>
    <row r="5899">
      <c r="A5899" s="17">
        <v>1003001.0</v>
      </c>
      <c r="B5899" s="17">
        <v>7352000.0</v>
      </c>
    </row>
    <row r="5900">
      <c r="A5900" s="17">
        <v>1003001.0</v>
      </c>
      <c r="B5900" s="17">
        <v>7352100.0</v>
      </c>
    </row>
    <row r="5901">
      <c r="A5901" s="17">
        <v>1003001.0</v>
      </c>
      <c r="B5901" s="17">
        <v>7352200.0</v>
      </c>
    </row>
    <row r="5902">
      <c r="A5902" s="17">
        <v>1003001.0</v>
      </c>
      <c r="B5902" s="17">
        <v>7352300.0</v>
      </c>
    </row>
    <row r="5903">
      <c r="A5903" s="17">
        <v>1003001.0</v>
      </c>
      <c r="B5903" s="17">
        <v>7352400.0</v>
      </c>
    </row>
    <row r="5904">
      <c r="A5904" s="17">
        <v>1003001.0</v>
      </c>
      <c r="B5904" s="17">
        <v>7360600.0</v>
      </c>
    </row>
    <row r="5905">
      <c r="A5905" s="17">
        <v>1003001.0</v>
      </c>
      <c r="B5905" s="17">
        <v>7360900.0</v>
      </c>
    </row>
    <row r="5906">
      <c r="A5906" s="17">
        <v>1003001.0</v>
      </c>
      <c r="B5906" s="17">
        <v>7361200.0</v>
      </c>
    </row>
    <row r="5907">
      <c r="A5907" s="17">
        <v>1003001.0</v>
      </c>
      <c r="B5907" s="17">
        <v>7361300.0</v>
      </c>
    </row>
    <row r="5908">
      <c r="A5908" s="17">
        <v>1003001.0</v>
      </c>
      <c r="B5908" s="17">
        <v>7362100.0</v>
      </c>
    </row>
    <row r="5909">
      <c r="A5909" s="17">
        <v>1003001.0</v>
      </c>
      <c r="B5909" s="17">
        <v>7370300.0</v>
      </c>
    </row>
    <row r="5910">
      <c r="A5910" s="17">
        <v>1003001.0</v>
      </c>
      <c r="B5910" s="17">
        <v>7370400.0</v>
      </c>
    </row>
    <row r="5911">
      <c r="A5911" s="17">
        <v>1003001.0</v>
      </c>
      <c r="B5911" s="17">
        <v>7370600.0</v>
      </c>
    </row>
    <row r="5912">
      <c r="A5912" s="17">
        <v>1003001.0</v>
      </c>
      <c r="B5912" s="17">
        <v>7370900.0</v>
      </c>
    </row>
    <row r="5913">
      <c r="A5913" s="17">
        <v>1003001.0</v>
      </c>
      <c r="B5913" s="17">
        <v>7371500.0</v>
      </c>
    </row>
    <row r="5914">
      <c r="A5914" s="17">
        <v>1003001.0</v>
      </c>
      <c r="B5914" s="17">
        <v>7036200.0</v>
      </c>
    </row>
    <row r="5915">
      <c r="A5915" s="17">
        <v>1003001.0</v>
      </c>
      <c r="B5915" s="17">
        <v>7036300.0</v>
      </c>
    </row>
    <row r="5916">
      <c r="A5916" s="17">
        <v>1003001.0</v>
      </c>
      <c r="B5916" s="17">
        <v>7036400.0</v>
      </c>
    </row>
    <row r="5917">
      <c r="A5917" s="17">
        <v>1003001.0</v>
      </c>
      <c r="B5917" s="17">
        <v>7036500.0</v>
      </c>
    </row>
    <row r="5918">
      <c r="A5918" s="17">
        <v>1003001.0</v>
      </c>
      <c r="B5918" s="17">
        <v>7036800.0</v>
      </c>
    </row>
    <row r="5919">
      <c r="A5919" s="17">
        <v>1003001.0</v>
      </c>
      <c r="B5919" s="17">
        <v>7036900.0</v>
      </c>
    </row>
    <row r="5920">
      <c r="A5920" s="17">
        <v>1003001.0</v>
      </c>
      <c r="B5920" s="17">
        <v>7037000.0</v>
      </c>
    </row>
    <row r="5921">
      <c r="A5921" s="17">
        <v>1003001.0</v>
      </c>
      <c r="B5921" s="17">
        <v>7037300.0</v>
      </c>
    </row>
    <row r="5922">
      <c r="A5922" s="17">
        <v>1003001.0</v>
      </c>
      <c r="B5922" s="17">
        <v>6630000.0</v>
      </c>
    </row>
    <row r="5923">
      <c r="A5923" s="17">
        <v>1003001.0</v>
      </c>
      <c r="B5923" s="17">
        <v>6630100.0</v>
      </c>
    </row>
    <row r="5924">
      <c r="A5924" s="17">
        <v>1003001.0</v>
      </c>
      <c r="B5924" s="17">
        <v>6630200.0</v>
      </c>
    </row>
    <row r="5925">
      <c r="A5925" s="17">
        <v>1003001.0</v>
      </c>
      <c r="B5925" s="17">
        <v>6630300.0</v>
      </c>
    </row>
    <row r="5926">
      <c r="A5926" s="17">
        <v>1003001.0</v>
      </c>
      <c r="B5926" s="17">
        <v>6630400.0</v>
      </c>
    </row>
    <row r="5927">
      <c r="A5927" s="17">
        <v>1003001.0</v>
      </c>
      <c r="B5927" s="17">
        <v>6630500.0</v>
      </c>
    </row>
    <row r="5928">
      <c r="A5928" s="17">
        <v>1003001.0</v>
      </c>
      <c r="B5928" s="17">
        <v>6630600.0</v>
      </c>
    </row>
    <row r="5929">
      <c r="A5929" s="17">
        <v>1003001.0</v>
      </c>
      <c r="B5929" s="17">
        <v>6630700.0</v>
      </c>
    </row>
    <row r="5930">
      <c r="A5930" s="17">
        <v>1003001.0</v>
      </c>
      <c r="B5930" s="17">
        <v>6630800.0</v>
      </c>
    </row>
    <row r="5931">
      <c r="A5931" s="17">
        <v>1003001.0</v>
      </c>
      <c r="B5931" s="17">
        <v>6630900.0</v>
      </c>
    </row>
    <row r="5932">
      <c r="A5932" s="17">
        <v>1003001.0</v>
      </c>
      <c r="B5932" s="17">
        <v>6631000.0</v>
      </c>
    </row>
    <row r="5933">
      <c r="A5933" s="17">
        <v>1003001.0</v>
      </c>
      <c r="B5933" s="17">
        <v>6631100.0</v>
      </c>
    </row>
    <row r="5934">
      <c r="A5934" s="17">
        <v>1003001.0</v>
      </c>
      <c r="B5934" s="17">
        <v>6631200.0</v>
      </c>
    </row>
    <row r="5935">
      <c r="A5935" s="17">
        <v>1003001.0</v>
      </c>
      <c r="B5935" s="17">
        <v>6631300.0</v>
      </c>
    </row>
    <row r="5936">
      <c r="A5936" s="17">
        <v>1003001.0</v>
      </c>
      <c r="B5936" s="17">
        <v>6631400.0</v>
      </c>
    </row>
    <row r="5937">
      <c r="A5937" s="17">
        <v>1003001.0</v>
      </c>
      <c r="B5937" s="17">
        <v>6631500.0</v>
      </c>
    </row>
    <row r="5938">
      <c r="A5938" s="17">
        <v>1003001.0</v>
      </c>
      <c r="B5938" s="17">
        <v>6631600.0</v>
      </c>
    </row>
    <row r="5939">
      <c r="A5939" s="17">
        <v>1003001.0</v>
      </c>
      <c r="B5939" s="17">
        <v>6631700.0</v>
      </c>
    </row>
    <row r="5940">
      <c r="A5940" s="17">
        <v>1003001.0</v>
      </c>
      <c r="B5940" s="17">
        <v>6631800.0</v>
      </c>
    </row>
    <row r="5941">
      <c r="A5941" s="17">
        <v>1003001.0</v>
      </c>
      <c r="B5941" s="17">
        <v>6631900.0</v>
      </c>
    </row>
    <row r="5942">
      <c r="A5942" s="17">
        <v>1003001.0</v>
      </c>
      <c r="B5942" s="17">
        <v>6632000.0</v>
      </c>
    </row>
    <row r="5943">
      <c r="A5943" s="17">
        <v>1003001.0</v>
      </c>
      <c r="B5943" s="17">
        <v>6632100.0</v>
      </c>
    </row>
    <row r="5944">
      <c r="A5944" s="17">
        <v>1003001.0</v>
      </c>
      <c r="B5944" s="17">
        <v>6632200.0</v>
      </c>
    </row>
    <row r="5945">
      <c r="A5945" s="17">
        <v>1003001.0</v>
      </c>
      <c r="B5945" s="17">
        <v>6632300.0</v>
      </c>
    </row>
    <row r="5946">
      <c r="A5946" s="17">
        <v>1003001.0</v>
      </c>
      <c r="B5946" s="17">
        <v>6632400.0</v>
      </c>
    </row>
    <row r="5947">
      <c r="A5947" s="17">
        <v>1003001.0</v>
      </c>
      <c r="B5947" s="17">
        <v>6632500.0</v>
      </c>
    </row>
    <row r="5948">
      <c r="A5948" s="17">
        <v>1003001.0</v>
      </c>
      <c r="B5948" s="17">
        <v>6632600.0</v>
      </c>
    </row>
    <row r="5949">
      <c r="A5949" s="17">
        <v>1003001.0</v>
      </c>
      <c r="B5949" s="17">
        <v>6632700.0</v>
      </c>
    </row>
    <row r="5950">
      <c r="A5950" s="17">
        <v>1003001.0</v>
      </c>
      <c r="B5950" s="17">
        <v>6632800.0</v>
      </c>
    </row>
    <row r="5951">
      <c r="A5951" s="17">
        <v>1003001.0</v>
      </c>
      <c r="B5951" s="17">
        <v>6632900.0</v>
      </c>
    </row>
    <row r="5952">
      <c r="A5952" s="17">
        <v>1003001.0</v>
      </c>
      <c r="B5952" s="17">
        <v>6633000.0</v>
      </c>
    </row>
    <row r="5953">
      <c r="A5953" s="17">
        <v>1003001.0</v>
      </c>
      <c r="B5953" s="17">
        <v>6633100.0</v>
      </c>
    </row>
    <row r="5954">
      <c r="A5954" s="17">
        <v>1003001.0</v>
      </c>
      <c r="B5954" s="17">
        <v>6633200.0</v>
      </c>
    </row>
    <row r="5955">
      <c r="A5955" s="17">
        <v>1003001.0</v>
      </c>
      <c r="B5955" s="17">
        <v>6647200.0</v>
      </c>
    </row>
    <row r="5956">
      <c r="A5956" s="17">
        <v>1003001.0</v>
      </c>
      <c r="B5956" s="17">
        <v>6647300.0</v>
      </c>
    </row>
    <row r="5957">
      <c r="A5957" s="17">
        <v>1003001.0</v>
      </c>
      <c r="B5957" s="17">
        <v>6647400.0</v>
      </c>
    </row>
    <row r="5958">
      <c r="A5958" s="17">
        <v>1003001.0</v>
      </c>
      <c r="B5958" s="17">
        <v>6647500.0</v>
      </c>
    </row>
    <row r="5959">
      <c r="A5959" s="17">
        <v>1003001.0</v>
      </c>
      <c r="B5959" s="17">
        <v>6640000.0</v>
      </c>
    </row>
    <row r="5960">
      <c r="A5960" s="17">
        <v>1003001.0</v>
      </c>
      <c r="B5960" s="17">
        <v>6640100.0</v>
      </c>
    </row>
    <row r="5961">
      <c r="A5961" s="17">
        <v>1003001.0</v>
      </c>
      <c r="B5961" s="17">
        <v>6641000.0</v>
      </c>
    </row>
    <row r="5962">
      <c r="A5962" s="17">
        <v>1003001.0</v>
      </c>
      <c r="B5962" s="17">
        <v>6641100.0</v>
      </c>
    </row>
    <row r="5963">
      <c r="A5963" s="17">
        <v>1003001.0</v>
      </c>
      <c r="B5963" s="17">
        <v>6642000.0</v>
      </c>
    </row>
    <row r="5964">
      <c r="A5964" s="17">
        <v>1003001.0</v>
      </c>
      <c r="B5964" s="17">
        <v>6642100.0</v>
      </c>
    </row>
    <row r="5965">
      <c r="A5965" s="17">
        <v>1003001.0</v>
      </c>
      <c r="B5965" s="17">
        <v>6643000.0</v>
      </c>
    </row>
    <row r="5966">
      <c r="A5966" s="17">
        <v>1003001.0</v>
      </c>
      <c r="B5966" s="17">
        <v>6643100.0</v>
      </c>
    </row>
    <row r="5967">
      <c r="A5967" s="17">
        <v>1003001.0</v>
      </c>
      <c r="B5967" s="17">
        <v>6644000.0</v>
      </c>
    </row>
    <row r="5968">
      <c r="A5968" s="17">
        <v>1003001.0</v>
      </c>
      <c r="B5968" s="17">
        <v>6644100.0</v>
      </c>
    </row>
    <row r="5969">
      <c r="A5969" s="17">
        <v>1003001.0</v>
      </c>
      <c r="B5969" s="17">
        <v>6645000.0</v>
      </c>
    </row>
    <row r="5970">
      <c r="A5970" s="17">
        <v>1003001.0</v>
      </c>
      <c r="B5970" s="17">
        <v>6645100.0</v>
      </c>
    </row>
    <row r="5971">
      <c r="A5971" s="17">
        <v>1003001.0</v>
      </c>
      <c r="B5971" s="17">
        <v>6646000.0</v>
      </c>
    </row>
    <row r="5972">
      <c r="A5972" s="17">
        <v>1003001.0</v>
      </c>
      <c r="B5972" s="17">
        <v>6646100.0</v>
      </c>
    </row>
    <row r="5973">
      <c r="A5973" s="17">
        <v>1003001.0</v>
      </c>
      <c r="B5973" s="17">
        <v>6647000.0</v>
      </c>
    </row>
    <row r="5974">
      <c r="A5974" s="17">
        <v>1003001.0</v>
      </c>
      <c r="B5974" s="17">
        <v>6647100.0</v>
      </c>
    </row>
    <row r="5975">
      <c r="A5975" s="17">
        <v>1003002.0</v>
      </c>
      <c r="B5975" s="17">
        <v>7000000.0</v>
      </c>
    </row>
    <row r="5976">
      <c r="A5976" s="17">
        <v>1003002.0</v>
      </c>
      <c r="B5976" s="17">
        <v>7000001.0</v>
      </c>
    </row>
    <row r="5977">
      <c r="A5977" s="17">
        <v>1003002.0</v>
      </c>
      <c r="B5977" s="17">
        <v>7000002.0</v>
      </c>
    </row>
    <row r="5978">
      <c r="A5978" s="17">
        <v>1003002.0</v>
      </c>
      <c r="B5978" s="17">
        <v>7000100.0</v>
      </c>
    </row>
    <row r="5979">
      <c r="A5979" s="17">
        <v>1003002.0</v>
      </c>
      <c r="B5979" s="17">
        <v>7000101.0</v>
      </c>
    </row>
    <row r="5980">
      <c r="A5980" s="17">
        <v>1003002.0</v>
      </c>
      <c r="B5980" s="17">
        <v>7000102.0</v>
      </c>
    </row>
    <row r="5981">
      <c r="A5981" s="17">
        <v>1003002.0</v>
      </c>
      <c r="B5981" s="17">
        <v>7000200.0</v>
      </c>
    </row>
    <row r="5982">
      <c r="A5982" s="17">
        <v>1003002.0</v>
      </c>
      <c r="B5982" s="17">
        <v>7000201.0</v>
      </c>
    </row>
    <row r="5983">
      <c r="A5983" s="17">
        <v>1003002.0</v>
      </c>
      <c r="B5983" s="17">
        <v>7000202.0</v>
      </c>
    </row>
    <row r="5984">
      <c r="A5984" s="17">
        <v>1003002.0</v>
      </c>
      <c r="B5984" s="17">
        <v>7000300.0</v>
      </c>
    </row>
    <row r="5985">
      <c r="A5985" s="17">
        <v>1003002.0</v>
      </c>
      <c r="B5985" s="17">
        <v>7000301.0</v>
      </c>
    </row>
    <row r="5986">
      <c r="A5986" s="17">
        <v>1003002.0</v>
      </c>
      <c r="B5986" s="17">
        <v>7000302.0</v>
      </c>
    </row>
    <row r="5987">
      <c r="A5987" s="17">
        <v>1003002.0</v>
      </c>
      <c r="B5987" s="17">
        <v>7000400.0</v>
      </c>
    </row>
    <row r="5988">
      <c r="A5988" s="17">
        <v>1003002.0</v>
      </c>
      <c r="B5988" s="17">
        <v>7000401.0</v>
      </c>
    </row>
    <row r="5989">
      <c r="A5989" s="17">
        <v>1003002.0</v>
      </c>
      <c r="B5989" s="17">
        <v>7000402.0</v>
      </c>
    </row>
    <row r="5990">
      <c r="A5990" s="17">
        <v>1003002.0</v>
      </c>
      <c r="B5990" s="17">
        <v>7000500.0</v>
      </c>
    </row>
    <row r="5991">
      <c r="A5991" s="17">
        <v>1003002.0</v>
      </c>
      <c r="B5991" s="17">
        <v>7000501.0</v>
      </c>
    </row>
    <row r="5992">
      <c r="A5992" s="17">
        <v>1003002.0</v>
      </c>
      <c r="B5992" s="17">
        <v>7000502.0</v>
      </c>
    </row>
    <row r="5993">
      <c r="A5993" s="17">
        <v>1003002.0</v>
      </c>
      <c r="B5993" s="17">
        <v>7000600.0</v>
      </c>
    </row>
    <row r="5994">
      <c r="A5994" s="17">
        <v>1003002.0</v>
      </c>
      <c r="B5994" s="17">
        <v>7000601.0</v>
      </c>
    </row>
    <row r="5995">
      <c r="A5995" s="17">
        <v>1003002.0</v>
      </c>
      <c r="B5995" s="17">
        <v>7000602.0</v>
      </c>
    </row>
    <row r="5996">
      <c r="A5996" s="17">
        <v>1003002.0</v>
      </c>
      <c r="B5996" s="17">
        <v>7000700.0</v>
      </c>
    </row>
    <row r="5997">
      <c r="A5997" s="17">
        <v>1003002.0</v>
      </c>
      <c r="B5997" s="17">
        <v>7000701.0</v>
      </c>
    </row>
    <row r="5998">
      <c r="A5998" s="17">
        <v>1003002.0</v>
      </c>
      <c r="B5998" s="17">
        <v>7000702.0</v>
      </c>
    </row>
    <row r="5999">
      <c r="A5999" s="17">
        <v>1003002.0</v>
      </c>
      <c r="B5999" s="17">
        <v>7000800.0</v>
      </c>
    </row>
    <row r="6000">
      <c r="A6000" s="17">
        <v>1003002.0</v>
      </c>
      <c r="B6000" s="17">
        <v>7000801.0</v>
      </c>
    </row>
    <row r="6001">
      <c r="A6001" s="17">
        <v>1003002.0</v>
      </c>
      <c r="B6001" s="17">
        <v>7000802.0</v>
      </c>
    </row>
    <row r="6002">
      <c r="A6002" s="17">
        <v>1003002.0</v>
      </c>
      <c r="B6002" s="17">
        <v>7000900.0</v>
      </c>
    </row>
    <row r="6003">
      <c r="A6003" s="17">
        <v>1003002.0</v>
      </c>
      <c r="B6003" s="17">
        <v>7000901.0</v>
      </c>
    </row>
    <row r="6004">
      <c r="A6004" s="17">
        <v>1003002.0</v>
      </c>
      <c r="B6004" s="17">
        <v>7000902.0</v>
      </c>
    </row>
    <row r="6005">
      <c r="A6005" s="17">
        <v>1003002.0</v>
      </c>
      <c r="B6005" s="17">
        <v>7001000.0</v>
      </c>
    </row>
    <row r="6006">
      <c r="A6006" s="17">
        <v>1003002.0</v>
      </c>
      <c r="B6006" s="17">
        <v>7001001.0</v>
      </c>
    </row>
    <row r="6007">
      <c r="A6007" s="17">
        <v>1003002.0</v>
      </c>
      <c r="B6007" s="17">
        <v>7001002.0</v>
      </c>
    </row>
    <row r="6008">
      <c r="A6008" s="17">
        <v>1003002.0</v>
      </c>
      <c r="B6008" s="17">
        <v>7001400.0</v>
      </c>
    </row>
    <row r="6009">
      <c r="A6009" s="17">
        <v>1003002.0</v>
      </c>
      <c r="B6009" s="17">
        <v>7001401.0</v>
      </c>
    </row>
    <row r="6010">
      <c r="A6010" s="17">
        <v>1003002.0</v>
      </c>
      <c r="B6010" s="17">
        <v>7001402.0</v>
      </c>
    </row>
    <row r="6011">
      <c r="A6011" s="17">
        <v>1003002.0</v>
      </c>
      <c r="B6011" s="17">
        <v>7001500.0</v>
      </c>
    </row>
    <row r="6012">
      <c r="A6012" s="17">
        <v>1003002.0</v>
      </c>
      <c r="B6012" s="17">
        <v>7001501.0</v>
      </c>
    </row>
    <row r="6013">
      <c r="A6013" s="17">
        <v>1003002.0</v>
      </c>
      <c r="B6013" s="17">
        <v>7001502.0</v>
      </c>
    </row>
    <row r="6014">
      <c r="A6014" s="17">
        <v>1003002.0</v>
      </c>
      <c r="B6014" s="17">
        <v>7001600.0</v>
      </c>
    </row>
    <row r="6015">
      <c r="A6015" s="17">
        <v>1003002.0</v>
      </c>
      <c r="B6015" s="17">
        <v>7001601.0</v>
      </c>
    </row>
    <row r="6016">
      <c r="A6016" s="17">
        <v>1003002.0</v>
      </c>
      <c r="B6016" s="17">
        <v>7001602.0</v>
      </c>
    </row>
    <row r="6017">
      <c r="A6017" s="17">
        <v>1003002.0</v>
      </c>
      <c r="B6017" s="17">
        <v>7001700.0</v>
      </c>
    </row>
    <row r="6018">
      <c r="A6018" s="17">
        <v>1003002.0</v>
      </c>
      <c r="B6018" s="17">
        <v>7001701.0</v>
      </c>
    </row>
    <row r="6019">
      <c r="A6019" s="17">
        <v>1003002.0</v>
      </c>
      <c r="B6019" s="17">
        <v>7001702.0</v>
      </c>
    </row>
    <row r="6020">
      <c r="A6020" s="17">
        <v>1003002.0</v>
      </c>
      <c r="B6020" s="17">
        <v>7001800.0</v>
      </c>
    </row>
    <row r="6021">
      <c r="A6021" s="17">
        <v>1003002.0</v>
      </c>
      <c r="B6021" s="17">
        <v>7001801.0</v>
      </c>
    </row>
    <row r="6022">
      <c r="A6022" s="17">
        <v>1003002.0</v>
      </c>
      <c r="B6022" s="17">
        <v>7001802.0</v>
      </c>
    </row>
    <row r="6023">
      <c r="A6023" s="17">
        <v>1003002.0</v>
      </c>
      <c r="B6023" s="17">
        <v>7002600.0</v>
      </c>
    </row>
    <row r="6024">
      <c r="A6024" s="17">
        <v>1003002.0</v>
      </c>
      <c r="B6024" s="17">
        <v>7002700.0</v>
      </c>
    </row>
    <row r="6025">
      <c r="A6025" s="17">
        <v>1003002.0</v>
      </c>
      <c r="B6025" s="17">
        <v>7002800.0</v>
      </c>
    </row>
    <row r="6026">
      <c r="A6026" s="17">
        <v>1003002.0</v>
      </c>
      <c r="B6026" s="17">
        <v>7002900.0</v>
      </c>
    </row>
    <row r="6027">
      <c r="A6027" s="17">
        <v>1003002.0</v>
      </c>
      <c r="B6027" s="17">
        <v>7003000.0</v>
      </c>
    </row>
    <row r="6028">
      <c r="A6028" s="17">
        <v>1003002.0</v>
      </c>
      <c r="B6028" s="17">
        <v>7003100.0</v>
      </c>
    </row>
    <row r="6029">
      <c r="A6029" s="17">
        <v>1003002.0</v>
      </c>
      <c r="B6029" s="17">
        <v>7003200.0</v>
      </c>
    </row>
    <row r="6030">
      <c r="A6030" s="17">
        <v>1003002.0</v>
      </c>
      <c r="B6030" s="17">
        <v>7003300.0</v>
      </c>
    </row>
    <row r="6031">
      <c r="A6031" s="17">
        <v>1003002.0</v>
      </c>
      <c r="B6031" s="17">
        <v>7003400.0</v>
      </c>
    </row>
    <row r="6032">
      <c r="A6032" s="17">
        <v>1003002.0</v>
      </c>
      <c r="B6032" s="17">
        <v>7003500.0</v>
      </c>
    </row>
    <row r="6033">
      <c r="A6033" s="17">
        <v>1003002.0</v>
      </c>
      <c r="B6033" s="17">
        <v>7003600.0</v>
      </c>
    </row>
    <row r="6034">
      <c r="A6034" s="17">
        <v>1003002.0</v>
      </c>
      <c r="B6034" s="17">
        <v>7005600.0</v>
      </c>
    </row>
    <row r="6035">
      <c r="A6035" s="17">
        <v>1003002.0</v>
      </c>
      <c r="B6035" s="17">
        <v>7006000.0</v>
      </c>
    </row>
    <row r="6036">
      <c r="A6036" s="17">
        <v>1003002.0</v>
      </c>
      <c r="B6036" s="17">
        <v>7006100.0</v>
      </c>
    </row>
    <row r="6037">
      <c r="A6037" s="17">
        <v>1003002.0</v>
      </c>
      <c r="B6037" s="17">
        <v>7010200.0</v>
      </c>
    </row>
    <row r="6038">
      <c r="A6038" s="17">
        <v>1003002.0</v>
      </c>
      <c r="B6038" s="17">
        <v>7010500.0</v>
      </c>
    </row>
    <row r="6039">
      <c r="A6039" s="17">
        <v>1003002.0</v>
      </c>
      <c r="B6039" s="17">
        <v>7010700.0</v>
      </c>
    </row>
    <row r="6040">
      <c r="A6040" s="17">
        <v>1003002.0</v>
      </c>
      <c r="B6040" s="17">
        <v>7010900.0</v>
      </c>
    </row>
    <row r="6041">
      <c r="A6041" s="17">
        <v>1003002.0</v>
      </c>
      <c r="B6041" s="17">
        <v>7011000.0</v>
      </c>
    </row>
    <row r="6042">
      <c r="A6042" s="17">
        <v>1003002.0</v>
      </c>
      <c r="B6042" s="17">
        <v>7011200.0</v>
      </c>
    </row>
    <row r="6043">
      <c r="A6043" s="17">
        <v>1003002.0</v>
      </c>
      <c r="B6043" s="17">
        <v>7011600.0</v>
      </c>
    </row>
    <row r="6044">
      <c r="A6044" s="17">
        <v>1003002.0</v>
      </c>
      <c r="B6044" s="17">
        <v>7011700.0</v>
      </c>
    </row>
    <row r="6045">
      <c r="A6045" s="17">
        <v>1003002.0</v>
      </c>
      <c r="B6045" s="17">
        <v>7012000.0</v>
      </c>
    </row>
    <row r="6046">
      <c r="A6046" s="17">
        <v>1003002.0</v>
      </c>
      <c r="B6046" s="17">
        <v>7012200.0</v>
      </c>
    </row>
    <row r="6047">
      <c r="A6047" s="17">
        <v>1003002.0</v>
      </c>
      <c r="B6047" s="17">
        <v>7012300.0</v>
      </c>
    </row>
    <row r="6048">
      <c r="A6048" s="17">
        <v>1003002.0</v>
      </c>
      <c r="B6048" s="17">
        <v>7020000.0</v>
      </c>
    </row>
    <row r="6049">
      <c r="A6049" s="17">
        <v>1003002.0</v>
      </c>
      <c r="B6049" s="17">
        <v>7030000.0</v>
      </c>
    </row>
    <row r="6050">
      <c r="A6050" s="17">
        <v>1003002.0</v>
      </c>
      <c r="B6050" s="17">
        <v>7030200.0</v>
      </c>
    </row>
    <row r="6051">
      <c r="A6051" s="17">
        <v>1003002.0</v>
      </c>
      <c r="B6051" s="17">
        <v>7030600.0</v>
      </c>
    </row>
    <row r="6052">
      <c r="A6052" s="17">
        <v>1003002.0</v>
      </c>
      <c r="B6052" s="17">
        <v>7030700.0</v>
      </c>
    </row>
    <row r="6053">
      <c r="A6053" s="17">
        <v>1003002.0</v>
      </c>
      <c r="B6053" s="17">
        <v>7030800.0</v>
      </c>
    </row>
    <row r="6054">
      <c r="A6054" s="17">
        <v>1003002.0</v>
      </c>
      <c r="B6054" s="17">
        <v>7030900.0</v>
      </c>
    </row>
    <row r="6055">
      <c r="A6055" s="17">
        <v>1003002.0</v>
      </c>
      <c r="B6055" s="17">
        <v>7031200.0</v>
      </c>
    </row>
    <row r="6056">
      <c r="A6056" s="17">
        <v>1003002.0</v>
      </c>
      <c r="B6056" s="17">
        <v>7031300.0</v>
      </c>
    </row>
    <row r="6057">
      <c r="A6057" s="17">
        <v>1003002.0</v>
      </c>
      <c r="B6057" s="17">
        <v>7031800.0</v>
      </c>
    </row>
    <row r="6058">
      <c r="A6058" s="17">
        <v>1003002.0</v>
      </c>
      <c r="B6058" s="17">
        <v>7031900.0</v>
      </c>
    </row>
    <row r="6059">
      <c r="A6059" s="17">
        <v>1003002.0</v>
      </c>
      <c r="B6059" s="17">
        <v>7032200.0</v>
      </c>
    </row>
    <row r="6060">
      <c r="A6060" s="17">
        <v>1003002.0</v>
      </c>
      <c r="B6060" s="17">
        <v>7032400.0</v>
      </c>
    </row>
    <row r="6061">
      <c r="A6061" s="17">
        <v>1003002.0</v>
      </c>
      <c r="B6061" s="17">
        <v>7032700.0</v>
      </c>
    </row>
    <row r="6062">
      <c r="A6062" s="17">
        <v>1003002.0</v>
      </c>
      <c r="B6062" s="17">
        <v>7032800.0</v>
      </c>
    </row>
    <row r="6063">
      <c r="A6063" s="17">
        <v>1003002.0</v>
      </c>
      <c r="B6063" s="17">
        <v>7032900.0</v>
      </c>
    </row>
    <row r="6064">
      <c r="A6064" s="17">
        <v>1003002.0</v>
      </c>
      <c r="B6064" s="17">
        <v>7033200.0</v>
      </c>
    </row>
    <row r="6065">
      <c r="A6065" s="17">
        <v>1003002.0</v>
      </c>
      <c r="B6065" s="17">
        <v>7033400.0</v>
      </c>
    </row>
    <row r="6066">
      <c r="A6066" s="17">
        <v>1003002.0</v>
      </c>
      <c r="B6066" s="17">
        <v>7034100.0</v>
      </c>
    </row>
    <row r="6067">
      <c r="A6067" s="17">
        <v>1003002.0</v>
      </c>
      <c r="B6067" s="17">
        <v>7034400.0</v>
      </c>
    </row>
    <row r="6068">
      <c r="A6068" s="17">
        <v>1003002.0</v>
      </c>
      <c r="B6068" s="17">
        <v>7034500.0</v>
      </c>
    </row>
    <row r="6069">
      <c r="A6069" s="17">
        <v>1003002.0</v>
      </c>
      <c r="B6069" s="17">
        <v>7034600.0</v>
      </c>
    </row>
    <row r="6070">
      <c r="A6070" s="17">
        <v>1003002.0</v>
      </c>
      <c r="B6070" s="17">
        <v>7034700.0</v>
      </c>
    </row>
    <row r="6071">
      <c r="A6071" s="17">
        <v>1003002.0</v>
      </c>
      <c r="B6071" s="17">
        <v>7035100.0</v>
      </c>
    </row>
    <row r="6072">
      <c r="A6072" s="17">
        <v>1003002.0</v>
      </c>
      <c r="B6072" s="17">
        <v>7036100.0</v>
      </c>
    </row>
    <row r="6073">
      <c r="A6073" s="17">
        <v>1003002.0</v>
      </c>
      <c r="B6073" s="17">
        <v>7040000.0</v>
      </c>
    </row>
    <row r="6074">
      <c r="A6074" s="17">
        <v>1003002.0</v>
      </c>
      <c r="B6074" s="17">
        <v>7040100.0</v>
      </c>
    </row>
    <row r="6075">
      <c r="A6075" s="17">
        <v>1003002.0</v>
      </c>
      <c r="B6075" s="17">
        <v>7040200.0</v>
      </c>
    </row>
    <row r="6076">
      <c r="A6076" s="17">
        <v>1003002.0</v>
      </c>
      <c r="B6076" s="17">
        <v>7040300.0</v>
      </c>
    </row>
    <row r="6077">
      <c r="A6077" s="17">
        <v>1003002.0</v>
      </c>
      <c r="B6077" s="17">
        <v>7040400.0</v>
      </c>
    </row>
    <row r="6078">
      <c r="A6078" s="17">
        <v>1003002.0</v>
      </c>
      <c r="B6078" s="17">
        <v>7040500.0</v>
      </c>
    </row>
    <row r="6079">
      <c r="A6079" s="17">
        <v>1003002.0</v>
      </c>
      <c r="B6079" s="17">
        <v>7043000.0</v>
      </c>
    </row>
    <row r="6080">
      <c r="A6080" s="17">
        <v>1003002.0</v>
      </c>
      <c r="B6080" s="17">
        <v>7043100.0</v>
      </c>
    </row>
    <row r="6081">
      <c r="A6081" s="17">
        <v>1003002.0</v>
      </c>
      <c r="B6081" s="17">
        <v>7043200.0</v>
      </c>
    </row>
    <row r="6082">
      <c r="A6082" s="17">
        <v>1003002.0</v>
      </c>
      <c r="B6082" s="17">
        <v>7043300.0</v>
      </c>
    </row>
    <row r="6083">
      <c r="A6083" s="17">
        <v>1003002.0</v>
      </c>
      <c r="B6083" s="17">
        <v>7043400.0</v>
      </c>
    </row>
    <row r="6084">
      <c r="A6084" s="17">
        <v>1003002.0</v>
      </c>
      <c r="B6084" s="17">
        <v>7043500.0</v>
      </c>
    </row>
    <row r="6085">
      <c r="A6085" s="17">
        <v>1003002.0</v>
      </c>
      <c r="B6085" s="17">
        <v>7043600.0</v>
      </c>
    </row>
    <row r="6086">
      <c r="A6086" s="17">
        <v>1003002.0</v>
      </c>
      <c r="B6086" s="17">
        <v>7043700.0</v>
      </c>
    </row>
    <row r="6087">
      <c r="A6087" s="17">
        <v>1003002.0</v>
      </c>
      <c r="B6087" s="17">
        <v>7043800.0</v>
      </c>
    </row>
    <row r="6088">
      <c r="A6088" s="17">
        <v>1003002.0</v>
      </c>
      <c r="B6088" s="17">
        <v>7044000.0</v>
      </c>
    </row>
    <row r="6089">
      <c r="A6089" s="17">
        <v>1003002.0</v>
      </c>
      <c r="B6089" s="17">
        <v>7044100.0</v>
      </c>
    </row>
    <row r="6090">
      <c r="A6090" s="17">
        <v>1003002.0</v>
      </c>
      <c r="B6090" s="17">
        <v>7044200.0</v>
      </c>
    </row>
    <row r="6091">
      <c r="A6091" s="17">
        <v>1003002.0</v>
      </c>
      <c r="B6091" s="17">
        <v>7044300.0</v>
      </c>
    </row>
    <row r="6092">
      <c r="A6092" s="17">
        <v>1003002.0</v>
      </c>
      <c r="B6092" s="17">
        <v>7044400.0</v>
      </c>
    </row>
    <row r="6093">
      <c r="A6093" s="17">
        <v>1003002.0</v>
      </c>
      <c r="B6093" s="17">
        <v>7044500.0</v>
      </c>
    </row>
    <row r="6094">
      <c r="A6094" s="17">
        <v>1003002.0</v>
      </c>
      <c r="B6094" s="17">
        <v>7044600.0</v>
      </c>
    </row>
    <row r="6095">
      <c r="A6095" s="17">
        <v>1003002.0</v>
      </c>
      <c r="B6095" s="17">
        <v>7050000.0</v>
      </c>
    </row>
    <row r="6096">
      <c r="A6096" s="17">
        <v>1003002.0</v>
      </c>
      <c r="B6096" s="17">
        <v>7050100.0</v>
      </c>
    </row>
    <row r="6097">
      <c r="A6097" s="17">
        <v>1003002.0</v>
      </c>
      <c r="B6097" s="17">
        <v>7060000.0</v>
      </c>
    </row>
    <row r="6098">
      <c r="A6098" s="17">
        <v>1003002.0</v>
      </c>
      <c r="B6098" s="17">
        <v>7060100.0</v>
      </c>
    </row>
    <row r="6099">
      <c r="A6099" s="17">
        <v>1003002.0</v>
      </c>
      <c r="B6099" s="17">
        <v>7060200.0</v>
      </c>
    </row>
    <row r="6100">
      <c r="A6100" s="17">
        <v>1003002.0</v>
      </c>
      <c r="B6100" s="17">
        <v>7070000.0</v>
      </c>
    </row>
    <row r="6101">
      <c r="A6101" s="17">
        <v>1003002.0</v>
      </c>
      <c r="B6101" s="17">
        <v>7080000.0</v>
      </c>
    </row>
    <row r="6102">
      <c r="A6102" s="17">
        <v>1003002.0</v>
      </c>
      <c r="B6102" s="17">
        <v>7080100.0</v>
      </c>
    </row>
    <row r="6103">
      <c r="A6103" s="17">
        <v>1003002.0</v>
      </c>
      <c r="B6103" s="17">
        <v>7080200.0</v>
      </c>
    </row>
    <row r="6104">
      <c r="A6104" s="17">
        <v>1003002.0</v>
      </c>
      <c r="B6104" s="17">
        <v>7080300.0</v>
      </c>
    </row>
    <row r="6105">
      <c r="A6105" s="17">
        <v>1003002.0</v>
      </c>
      <c r="B6105" s="17">
        <v>7080400.0</v>
      </c>
    </row>
    <row r="6106">
      <c r="A6106" s="17">
        <v>1003002.0</v>
      </c>
      <c r="B6106" s="17">
        <v>7080500.0</v>
      </c>
    </row>
    <row r="6107">
      <c r="A6107" s="17">
        <v>1003002.0</v>
      </c>
      <c r="B6107" s="17">
        <v>7080600.0</v>
      </c>
    </row>
    <row r="6108">
      <c r="A6108" s="17">
        <v>1003002.0</v>
      </c>
      <c r="B6108" s="17">
        <v>7080700.0</v>
      </c>
    </row>
    <row r="6109">
      <c r="A6109" s="17">
        <v>1003002.0</v>
      </c>
      <c r="B6109" s="17">
        <v>7080800.0</v>
      </c>
    </row>
    <row r="6110">
      <c r="A6110" s="17">
        <v>1003002.0</v>
      </c>
      <c r="B6110" s="17">
        <v>7080900.0</v>
      </c>
    </row>
    <row r="6111">
      <c r="A6111" s="17">
        <v>1003002.0</v>
      </c>
      <c r="B6111" s="17">
        <v>7081000.0</v>
      </c>
    </row>
    <row r="6112">
      <c r="A6112" s="17">
        <v>1003002.0</v>
      </c>
      <c r="B6112" s="17">
        <v>7081100.0</v>
      </c>
    </row>
    <row r="6113">
      <c r="A6113" s="17">
        <v>1003002.0</v>
      </c>
      <c r="B6113" s="17">
        <v>7081200.0</v>
      </c>
    </row>
    <row r="6114">
      <c r="A6114" s="17">
        <v>1003002.0</v>
      </c>
      <c r="B6114" s="17">
        <v>7081300.0</v>
      </c>
    </row>
    <row r="6115">
      <c r="A6115" s="17">
        <v>1003002.0</v>
      </c>
      <c r="B6115" s="17">
        <v>7081400.0</v>
      </c>
    </row>
    <row r="6116">
      <c r="A6116" s="17">
        <v>1003002.0</v>
      </c>
      <c r="B6116" s="17">
        <v>7081500.0</v>
      </c>
    </row>
    <row r="6117">
      <c r="A6117" s="17">
        <v>1003002.0</v>
      </c>
      <c r="B6117" s="17">
        <v>7081700.0</v>
      </c>
    </row>
    <row r="6118">
      <c r="A6118" s="17">
        <v>1003002.0</v>
      </c>
      <c r="B6118" s="17">
        <v>7081800.0</v>
      </c>
    </row>
    <row r="6119">
      <c r="A6119" s="17">
        <v>1003002.0</v>
      </c>
      <c r="B6119" s="17">
        <v>7081900.0</v>
      </c>
    </row>
    <row r="6120">
      <c r="A6120" s="17">
        <v>1003002.0</v>
      </c>
      <c r="B6120" s="17">
        <v>7082000.0</v>
      </c>
    </row>
    <row r="6121">
      <c r="A6121" s="17">
        <v>1003002.0</v>
      </c>
      <c r="B6121" s="17">
        <v>7082100.0</v>
      </c>
    </row>
    <row r="6122">
      <c r="A6122" s="17">
        <v>1003002.0</v>
      </c>
      <c r="B6122" s="17">
        <v>7082200.0</v>
      </c>
    </row>
    <row r="6123">
      <c r="A6123" s="17">
        <v>1003002.0</v>
      </c>
      <c r="B6123" s="17">
        <v>7082300.0</v>
      </c>
    </row>
    <row r="6124">
      <c r="A6124" s="17">
        <v>1003002.0</v>
      </c>
      <c r="B6124" s="17">
        <v>7082400.0</v>
      </c>
    </row>
    <row r="6125">
      <c r="A6125" s="17">
        <v>1003002.0</v>
      </c>
      <c r="B6125" s="17">
        <v>7082500.0</v>
      </c>
    </row>
    <row r="6126">
      <c r="A6126" s="17">
        <v>1003002.0</v>
      </c>
      <c r="B6126" s="17">
        <v>7082600.0</v>
      </c>
    </row>
    <row r="6127">
      <c r="A6127" s="17">
        <v>1003002.0</v>
      </c>
      <c r="B6127" s="17">
        <v>7082700.0</v>
      </c>
    </row>
    <row r="6128">
      <c r="A6128" s="17">
        <v>1003002.0</v>
      </c>
      <c r="B6128" s="17">
        <v>7082800.0</v>
      </c>
    </row>
    <row r="6129">
      <c r="A6129" s="17">
        <v>1003002.0</v>
      </c>
      <c r="B6129" s="17">
        <v>7082900.0</v>
      </c>
    </row>
    <row r="6130">
      <c r="A6130" s="17">
        <v>1003002.0</v>
      </c>
      <c r="B6130" s="17">
        <v>7090000.0</v>
      </c>
    </row>
    <row r="6131">
      <c r="A6131" s="17">
        <v>1003002.0</v>
      </c>
      <c r="B6131" s="17">
        <v>7090100.0</v>
      </c>
    </row>
    <row r="6132">
      <c r="A6132" s="17">
        <v>1003002.0</v>
      </c>
      <c r="B6132" s="17">
        <v>7090300.0</v>
      </c>
    </row>
    <row r="6133">
      <c r="A6133" s="17">
        <v>1003002.0</v>
      </c>
      <c r="B6133" s="17">
        <v>7100100.0</v>
      </c>
    </row>
    <row r="6134">
      <c r="A6134" s="17">
        <v>1003002.0</v>
      </c>
      <c r="B6134" s="17">
        <v>7110000.0</v>
      </c>
    </row>
    <row r="6135">
      <c r="A6135" s="17">
        <v>1003002.0</v>
      </c>
      <c r="B6135" s="17">
        <v>7120000.0</v>
      </c>
    </row>
    <row r="6136">
      <c r="A6136" s="17">
        <v>1003002.0</v>
      </c>
      <c r="B6136" s="17">
        <v>7120100.0</v>
      </c>
    </row>
    <row r="6137">
      <c r="A6137" s="17">
        <v>1003002.0</v>
      </c>
      <c r="B6137" s="17">
        <v>7120200.0</v>
      </c>
    </row>
    <row r="6138">
      <c r="A6138" s="17">
        <v>1003002.0</v>
      </c>
      <c r="B6138" s="17">
        <v>7120300.0</v>
      </c>
    </row>
    <row r="6139">
      <c r="A6139" s="17">
        <v>1003002.0</v>
      </c>
      <c r="B6139" s="17">
        <v>7120400.0</v>
      </c>
    </row>
    <row r="6140">
      <c r="A6140" s="17">
        <v>1003002.0</v>
      </c>
      <c r="B6140" s="17">
        <v>7120500.0</v>
      </c>
    </row>
    <row r="6141">
      <c r="A6141" s="17">
        <v>1003002.0</v>
      </c>
      <c r="B6141" s="17">
        <v>7120600.0</v>
      </c>
    </row>
    <row r="6142">
      <c r="A6142" s="17">
        <v>1003002.0</v>
      </c>
      <c r="B6142" s="17">
        <v>7120900.0</v>
      </c>
    </row>
    <row r="6143">
      <c r="A6143" s="17">
        <v>1003002.0</v>
      </c>
      <c r="B6143" s="17">
        <v>7121000.0</v>
      </c>
    </row>
    <row r="6144">
      <c r="A6144" s="17">
        <v>1003002.0</v>
      </c>
      <c r="B6144" s="17">
        <v>7121100.0</v>
      </c>
    </row>
    <row r="6145">
      <c r="A6145" s="17">
        <v>1003002.0</v>
      </c>
      <c r="B6145" s="17">
        <v>7121200.0</v>
      </c>
    </row>
    <row r="6146">
      <c r="A6146" s="17">
        <v>1003002.0</v>
      </c>
      <c r="B6146" s="17">
        <v>7121300.0</v>
      </c>
    </row>
    <row r="6147">
      <c r="A6147" s="17">
        <v>1003002.0</v>
      </c>
      <c r="B6147" s="17">
        <v>7121400.0</v>
      </c>
    </row>
    <row r="6148">
      <c r="A6148" s="17">
        <v>1003002.0</v>
      </c>
      <c r="B6148" s="17">
        <v>7121500.0</v>
      </c>
    </row>
    <row r="6149">
      <c r="A6149" s="17">
        <v>1003002.0</v>
      </c>
      <c r="B6149" s="17">
        <v>7121600.0</v>
      </c>
    </row>
    <row r="6150">
      <c r="A6150" s="17">
        <v>1003002.0</v>
      </c>
      <c r="B6150" s="17">
        <v>7121700.0</v>
      </c>
    </row>
    <row r="6151">
      <c r="A6151" s="17">
        <v>1003002.0</v>
      </c>
      <c r="B6151" s="17">
        <v>7121800.0</v>
      </c>
    </row>
    <row r="6152">
      <c r="A6152" s="17">
        <v>1003002.0</v>
      </c>
      <c r="B6152" s="17">
        <v>7121900.0</v>
      </c>
    </row>
    <row r="6153">
      <c r="A6153" s="17">
        <v>1003002.0</v>
      </c>
      <c r="B6153" s="17">
        <v>7122000.0</v>
      </c>
    </row>
    <row r="6154">
      <c r="A6154" s="17">
        <v>1003002.0</v>
      </c>
      <c r="B6154" s="17">
        <v>7122100.0</v>
      </c>
    </row>
    <row r="6155">
      <c r="A6155" s="17">
        <v>1003002.0</v>
      </c>
      <c r="B6155" s="17">
        <v>7122200.0</v>
      </c>
    </row>
    <row r="6156">
      <c r="A6156" s="17">
        <v>1003002.0</v>
      </c>
      <c r="B6156" s="17">
        <v>7122300.0</v>
      </c>
    </row>
    <row r="6157">
      <c r="A6157" s="17">
        <v>1003002.0</v>
      </c>
      <c r="B6157" s="17">
        <v>7122400.0</v>
      </c>
    </row>
    <row r="6158">
      <c r="A6158" s="17">
        <v>1003002.0</v>
      </c>
      <c r="B6158" s="17">
        <v>7122500.0</v>
      </c>
    </row>
    <row r="6159">
      <c r="A6159" s="17">
        <v>1003002.0</v>
      </c>
      <c r="B6159" s="17">
        <v>7122600.0</v>
      </c>
    </row>
    <row r="6160">
      <c r="A6160" s="17">
        <v>1003002.0</v>
      </c>
      <c r="B6160" s="17">
        <v>7122700.0</v>
      </c>
    </row>
    <row r="6161">
      <c r="A6161" s="17">
        <v>1003002.0</v>
      </c>
      <c r="B6161" s="17">
        <v>7122800.0</v>
      </c>
    </row>
    <row r="6162">
      <c r="A6162" s="17">
        <v>1003002.0</v>
      </c>
      <c r="B6162" s="17">
        <v>7122900.0</v>
      </c>
    </row>
    <row r="6163">
      <c r="A6163" s="17">
        <v>1003002.0</v>
      </c>
      <c r="B6163" s="17">
        <v>7123000.0</v>
      </c>
    </row>
    <row r="6164">
      <c r="A6164" s="17">
        <v>1003002.0</v>
      </c>
      <c r="B6164" s="17">
        <v>7123100.0</v>
      </c>
    </row>
    <row r="6165">
      <c r="A6165" s="17">
        <v>1003002.0</v>
      </c>
      <c r="B6165" s="17">
        <v>7123200.0</v>
      </c>
    </row>
    <row r="6166">
      <c r="A6166" s="17">
        <v>1003002.0</v>
      </c>
      <c r="B6166" s="17">
        <v>7123300.0</v>
      </c>
    </row>
    <row r="6167">
      <c r="A6167" s="17">
        <v>1003002.0</v>
      </c>
      <c r="B6167" s="17">
        <v>7123400.0</v>
      </c>
    </row>
    <row r="6168">
      <c r="A6168" s="17">
        <v>1003002.0</v>
      </c>
      <c r="B6168" s="17">
        <v>7123500.0</v>
      </c>
    </row>
    <row r="6169">
      <c r="A6169" s="17">
        <v>1003002.0</v>
      </c>
      <c r="B6169" s="17">
        <v>7123600.0</v>
      </c>
    </row>
    <row r="6170">
      <c r="A6170" s="17">
        <v>1003002.0</v>
      </c>
      <c r="B6170" s="17">
        <v>7123700.0</v>
      </c>
    </row>
    <row r="6171">
      <c r="A6171" s="17">
        <v>1003002.0</v>
      </c>
      <c r="B6171" s="17">
        <v>7123800.0</v>
      </c>
    </row>
    <row r="6172">
      <c r="A6172" s="17">
        <v>1003002.0</v>
      </c>
      <c r="B6172" s="17">
        <v>7123900.0</v>
      </c>
    </row>
    <row r="6173">
      <c r="A6173" s="17">
        <v>1003002.0</v>
      </c>
      <c r="B6173" s="17">
        <v>7124000.0</v>
      </c>
    </row>
    <row r="6174">
      <c r="A6174" s="17">
        <v>1003002.0</v>
      </c>
      <c r="B6174" s="17">
        <v>7124100.0</v>
      </c>
    </row>
    <row r="6175">
      <c r="A6175" s="17">
        <v>1003002.0</v>
      </c>
      <c r="B6175" s="17">
        <v>7124300.0</v>
      </c>
    </row>
    <row r="6176">
      <c r="A6176" s="17">
        <v>1003002.0</v>
      </c>
      <c r="B6176" s="17">
        <v>7124400.0</v>
      </c>
    </row>
    <row r="6177">
      <c r="A6177" s="17">
        <v>1003002.0</v>
      </c>
      <c r="B6177" s="17">
        <v>7124500.0</v>
      </c>
    </row>
    <row r="6178">
      <c r="A6178" s="17">
        <v>1003002.0</v>
      </c>
      <c r="B6178" s="17">
        <v>7124600.0</v>
      </c>
    </row>
    <row r="6179">
      <c r="A6179" s="17">
        <v>1003002.0</v>
      </c>
      <c r="B6179" s="17">
        <v>7124700.0</v>
      </c>
    </row>
    <row r="6180">
      <c r="A6180" s="17">
        <v>1003002.0</v>
      </c>
      <c r="B6180" s="17">
        <v>7126000.0</v>
      </c>
    </row>
    <row r="6181">
      <c r="A6181" s="17">
        <v>1003002.0</v>
      </c>
      <c r="B6181" s="17">
        <v>7150000.0</v>
      </c>
    </row>
    <row r="6182">
      <c r="A6182" s="17">
        <v>1003002.0</v>
      </c>
      <c r="B6182" s="17">
        <v>7160000.0</v>
      </c>
    </row>
    <row r="6183">
      <c r="A6183" s="17">
        <v>1003002.0</v>
      </c>
      <c r="B6183" s="17">
        <v>7220000.0</v>
      </c>
    </row>
    <row r="6184">
      <c r="A6184" s="17">
        <v>1003002.0</v>
      </c>
      <c r="B6184" s="17">
        <v>7230000.0</v>
      </c>
    </row>
    <row r="6185">
      <c r="A6185" s="17">
        <v>1003002.0</v>
      </c>
      <c r="B6185" s="17">
        <v>7240000.0</v>
      </c>
    </row>
    <row r="6186">
      <c r="A6186" s="17">
        <v>1003002.0</v>
      </c>
      <c r="B6186" s="17">
        <v>7260000.0</v>
      </c>
    </row>
    <row r="6187">
      <c r="A6187" s="17">
        <v>1003002.0</v>
      </c>
      <c r="B6187" s="17">
        <v>7260300.0</v>
      </c>
    </row>
    <row r="6188">
      <c r="A6188" s="17">
        <v>1003002.0</v>
      </c>
      <c r="B6188" s="17">
        <v>7260400.0</v>
      </c>
    </row>
    <row r="6189">
      <c r="A6189" s="17">
        <v>1003002.0</v>
      </c>
      <c r="B6189" s="17">
        <v>7270100.0</v>
      </c>
    </row>
    <row r="6190">
      <c r="A6190" s="17">
        <v>1003002.0</v>
      </c>
      <c r="B6190" s="17">
        <v>7280000.0</v>
      </c>
    </row>
    <row r="6191">
      <c r="A6191" s="17">
        <v>1003002.0</v>
      </c>
      <c r="B6191" s="17">
        <v>7290000.0</v>
      </c>
    </row>
    <row r="6192">
      <c r="A6192" s="17">
        <v>1003002.0</v>
      </c>
      <c r="B6192" s="17">
        <v>7310000.0</v>
      </c>
    </row>
    <row r="6193">
      <c r="A6193" s="17">
        <v>1003002.0</v>
      </c>
      <c r="B6193" s="17">
        <v>7330000.0</v>
      </c>
    </row>
    <row r="6194">
      <c r="A6194" s="17">
        <v>1003002.0</v>
      </c>
      <c r="B6194" s="17">
        <v>7330100.0</v>
      </c>
    </row>
    <row r="6195">
      <c r="A6195" s="17">
        <v>1003002.0</v>
      </c>
      <c r="B6195" s="17">
        <v>7330200.0</v>
      </c>
    </row>
    <row r="6196">
      <c r="A6196" s="17">
        <v>1003002.0</v>
      </c>
      <c r="B6196" s="17">
        <v>7330300.0</v>
      </c>
    </row>
    <row r="6197">
      <c r="A6197" s="17">
        <v>1003002.0</v>
      </c>
      <c r="B6197" s="17">
        <v>7330400.0</v>
      </c>
    </row>
    <row r="6198">
      <c r="A6198" s="17">
        <v>1003002.0</v>
      </c>
      <c r="B6198" s="17">
        <v>7330500.0</v>
      </c>
    </row>
    <row r="6199">
      <c r="A6199" s="17">
        <v>1003002.0</v>
      </c>
      <c r="B6199" s="17">
        <v>7330600.0</v>
      </c>
    </row>
    <row r="6200">
      <c r="A6200" s="17">
        <v>1003002.0</v>
      </c>
      <c r="B6200" s="17">
        <v>7330700.0</v>
      </c>
    </row>
    <row r="6201">
      <c r="A6201" s="17">
        <v>1003002.0</v>
      </c>
      <c r="B6201" s="17">
        <v>7330800.0</v>
      </c>
    </row>
    <row r="6202">
      <c r="A6202" s="17">
        <v>1003002.0</v>
      </c>
      <c r="B6202" s="17">
        <v>7330900.0</v>
      </c>
    </row>
    <row r="6203">
      <c r="A6203" s="17">
        <v>1003002.0</v>
      </c>
      <c r="B6203" s="17">
        <v>7331000.0</v>
      </c>
    </row>
    <row r="6204">
      <c r="A6204" s="17">
        <v>1003002.0</v>
      </c>
      <c r="B6204" s="17">
        <v>7331100.0</v>
      </c>
    </row>
    <row r="6205">
      <c r="A6205" s="17">
        <v>1003002.0</v>
      </c>
      <c r="B6205" s="17">
        <v>7331200.0</v>
      </c>
    </row>
    <row r="6206">
      <c r="A6206" s="17">
        <v>1003002.0</v>
      </c>
      <c r="B6206" s="17">
        <v>7331300.0</v>
      </c>
    </row>
    <row r="6207">
      <c r="A6207" s="17">
        <v>1003002.0</v>
      </c>
      <c r="B6207" s="17">
        <v>7331400.0</v>
      </c>
    </row>
    <row r="6208">
      <c r="A6208" s="17">
        <v>1003002.0</v>
      </c>
      <c r="B6208" s="17">
        <v>7331500.0</v>
      </c>
    </row>
    <row r="6209">
      <c r="A6209" s="17">
        <v>1003002.0</v>
      </c>
      <c r="B6209" s="17">
        <v>7331700.0</v>
      </c>
    </row>
    <row r="6210">
      <c r="A6210" s="17">
        <v>1003002.0</v>
      </c>
      <c r="B6210" s="17">
        <v>7331800.0</v>
      </c>
    </row>
    <row r="6211">
      <c r="A6211" s="17">
        <v>1003002.0</v>
      </c>
      <c r="B6211" s="17">
        <v>7331900.0</v>
      </c>
    </row>
    <row r="6212">
      <c r="A6212" s="17">
        <v>1003002.0</v>
      </c>
      <c r="B6212" s="17">
        <v>7332000.0</v>
      </c>
    </row>
    <row r="6213">
      <c r="A6213" s="17">
        <v>1003002.0</v>
      </c>
      <c r="B6213" s="17">
        <v>7332100.0</v>
      </c>
    </row>
    <row r="6214">
      <c r="A6214" s="17">
        <v>1003002.0</v>
      </c>
      <c r="B6214" s="17">
        <v>7332200.0</v>
      </c>
    </row>
    <row r="6215">
      <c r="A6215" s="17">
        <v>1003002.0</v>
      </c>
      <c r="B6215" s="17">
        <v>7332300.0</v>
      </c>
    </row>
    <row r="6216">
      <c r="A6216" s="17">
        <v>1003002.0</v>
      </c>
      <c r="B6216" s="17">
        <v>7332400.0</v>
      </c>
    </row>
    <row r="6217">
      <c r="A6217" s="17">
        <v>1003002.0</v>
      </c>
      <c r="B6217" s="17">
        <v>7340000.0</v>
      </c>
    </row>
    <row r="6218">
      <c r="A6218" s="17">
        <v>1003002.0</v>
      </c>
      <c r="B6218" s="17">
        <v>7340100.0</v>
      </c>
    </row>
    <row r="6219">
      <c r="A6219" s="17">
        <v>1003002.0</v>
      </c>
      <c r="B6219" s="17">
        <v>7340200.0</v>
      </c>
    </row>
    <row r="6220">
      <c r="A6220" s="17">
        <v>1003002.0</v>
      </c>
      <c r="B6220" s="17">
        <v>7340300.0</v>
      </c>
    </row>
    <row r="6221">
      <c r="A6221" s="17">
        <v>1003002.0</v>
      </c>
      <c r="B6221" s="17">
        <v>7340400.0</v>
      </c>
    </row>
    <row r="6222">
      <c r="A6222" s="17">
        <v>1003002.0</v>
      </c>
      <c r="B6222" s="17">
        <v>7340500.0</v>
      </c>
    </row>
    <row r="6223">
      <c r="A6223" s="17">
        <v>1003002.0</v>
      </c>
      <c r="B6223" s="17">
        <v>7340600.0</v>
      </c>
    </row>
    <row r="6224">
      <c r="A6224" s="17">
        <v>1003002.0</v>
      </c>
      <c r="B6224" s="17">
        <v>7340700.0</v>
      </c>
    </row>
    <row r="6225">
      <c r="A6225" s="17">
        <v>1003002.0</v>
      </c>
      <c r="B6225" s="17">
        <v>7340800.0</v>
      </c>
    </row>
    <row r="6226">
      <c r="A6226" s="17">
        <v>1003002.0</v>
      </c>
      <c r="B6226" s="17">
        <v>7340900.0</v>
      </c>
    </row>
    <row r="6227">
      <c r="A6227" s="17">
        <v>1003002.0</v>
      </c>
      <c r="B6227" s="17">
        <v>7341000.0</v>
      </c>
    </row>
    <row r="6228">
      <c r="A6228" s="17">
        <v>1003002.0</v>
      </c>
      <c r="B6228" s="17">
        <v>7341100.0</v>
      </c>
    </row>
    <row r="6229">
      <c r="A6229" s="17">
        <v>1003002.0</v>
      </c>
      <c r="B6229" s="17">
        <v>7341200.0</v>
      </c>
    </row>
    <row r="6230">
      <c r="A6230" s="17">
        <v>1003002.0</v>
      </c>
      <c r="B6230" s="17">
        <v>7341300.0</v>
      </c>
    </row>
    <row r="6231">
      <c r="A6231" s="17">
        <v>1003002.0</v>
      </c>
      <c r="B6231" s="17">
        <v>7341400.0</v>
      </c>
    </row>
    <row r="6232">
      <c r="A6232" s="17">
        <v>1003002.0</v>
      </c>
      <c r="B6232" s="17">
        <v>7341500.0</v>
      </c>
    </row>
    <row r="6233">
      <c r="A6233" s="17">
        <v>1003002.0</v>
      </c>
      <c r="B6233" s="17">
        <v>7341700.0</v>
      </c>
    </row>
    <row r="6234">
      <c r="A6234" s="17">
        <v>1003002.0</v>
      </c>
      <c r="B6234" s="17">
        <v>7341800.0</v>
      </c>
    </row>
    <row r="6235">
      <c r="A6235" s="17">
        <v>1003002.0</v>
      </c>
      <c r="B6235" s="17">
        <v>7341900.0</v>
      </c>
    </row>
    <row r="6236">
      <c r="A6236" s="17">
        <v>1003002.0</v>
      </c>
      <c r="B6236" s="17">
        <v>7342000.0</v>
      </c>
    </row>
    <row r="6237">
      <c r="A6237" s="17">
        <v>1003002.0</v>
      </c>
      <c r="B6237" s="17">
        <v>7342100.0</v>
      </c>
    </row>
    <row r="6238">
      <c r="A6238" s="17">
        <v>1003002.0</v>
      </c>
      <c r="B6238" s="17">
        <v>7342200.0</v>
      </c>
    </row>
    <row r="6239">
      <c r="A6239" s="17">
        <v>1003002.0</v>
      </c>
      <c r="B6239" s="17">
        <v>7342300.0</v>
      </c>
    </row>
    <row r="6240">
      <c r="A6240" s="17">
        <v>1003002.0</v>
      </c>
      <c r="B6240" s="17">
        <v>7342400.0</v>
      </c>
    </row>
    <row r="6241">
      <c r="A6241" s="17">
        <v>1003002.0</v>
      </c>
      <c r="B6241" s="17">
        <v>7350000.0</v>
      </c>
    </row>
    <row r="6242">
      <c r="A6242" s="17">
        <v>1003002.0</v>
      </c>
      <c r="B6242" s="17">
        <v>7350100.0</v>
      </c>
    </row>
    <row r="6243">
      <c r="A6243" s="17">
        <v>1003002.0</v>
      </c>
      <c r="B6243" s="17">
        <v>7350200.0</v>
      </c>
    </row>
    <row r="6244">
      <c r="A6244" s="17">
        <v>1003002.0</v>
      </c>
      <c r="B6244" s="17">
        <v>7350300.0</v>
      </c>
    </row>
    <row r="6245">
      <c r="A6245" s="17">
        <v>1003002.0</v>
      </c>
      <c r="B6245" s="17">
        <v>7350400.0</v>
      </c>
    </row>
    <row r="6246">
      <c r="A6246" s="17">
        <v>1003002.0</v>
      </c>
      <c r="B6246" s="17">
        <v>7350500.0</v>
      </c>
    </row>
    <row r="6247">
      <c r="A6247" s="17">
        <v>1003002.0</v>
      </c>
      <c r="B6247" s="17">
        <v>7350600.0</v>
      </c>
    </row>
    <row r="6248">
      <c r="A6248" s="17">
        <v>1003002.0</v>
      </c>
      <c r="B6248" s="17">
        <v>7350700.0</v>
      </c>
    </row>
    <row r="6249">
      <c r="A6249" s="17">
        <v>1003002.0</v>
      </c>
      <c r="B6249" s="17">
        <v>7350800.0</v>
      </c>
    </row>
    <row r="6250">
      <c r="A6250" s="17">
        <v>1003002.0</v>
      </c>
      <c r="B6250" s="17">
        <v>7350900.0</v>
      </c>
    </row>
    <row r="6251">
      <c r="A6251" s="17">
        <v>1003002.0</v>
      </c>
      <c r="B6251" s="17">
        <v>7351000.0</v>
      </c>
    </row>
    <row r="6252">
      <c r="A6252" s="17">
        <v>1003002.0</v>
      </c>
      <c r="B6252" s="17">
        <v>7351100.0</v>
      </c>
    </row>
    <row r="6253">
      <c r="A6253" s="17">
        <v>1003002.0</v>
      </c>
      <c r="B6253" s="17">
        <v>7351200.0</v>
      </c>
    </row>
    <row r="6254">
      <c r="A6254" s="17">
        <v>1003002.0</v>
      </c>
      <c r="B6254" s="17">
        <v>7351300.0</v>
      </c>
    </row>
    <row r="6255">
      <c r="A6255" s="17">
        <v>1003002.0</v>
      </c>
      <c r="B6255" s="17">
        <v>7351400.0</v>
      </c>
    </row>
    <row r="6256">
      <c r="A6256" s="17">
        <v>1003002.0</v>
      </c>
      <c r="B6256" s="17">
        <v>7351500.0</v>
      </c>
    </row>
    <row r="6257">
      <c r="A6257" s="17">
        <v>1003002.0</v>
      </c>
      <c r="B6257" s="17">
        <v>7351700.0</v>
      </c>
    </row>
    <row r="6258">
      <c r="A6258" s="17">
        <v>1003002.0</v>
      </c>
      <c r="B6258" s="17">
        <v>7351800.0</v>
      </c>
    </row>
    <row r="6259">
      <c r="A6259" s="17">
        <v>1003002.0</v>
      </c>
      <c r="B6259" s="17">
        <v>7351900.0</v>
      </c>
    </row>
    <row r="6260">
      <c r="A6260" s="17">
        <v>1003002.0</v>
      </c>
      <c r="B6260" s="17">
        <v>7352000.0</v>
      </c>
    </row>
    <row r="6261">
      <c r="A6261" s="17">
        <v>1003002.0</v>
      </c>
      <c r="B6261" s="17">
        <v>7352100.0</v>
      </c>
    </row>
    <row r="6262">
      <c r="A6262" s="17">
        <v>1003002.0</v>
      </c>
      <c r="B6262" s="17">
        <v>7352200.0</v>
      </c>
    </row>
    <row r="6263">
      <c r="A6263" s="17">
        <v>1003002.0</v>
      </c>
      <c r="B6263" s="17">
        <v>7352300.0</v>
      </c>
    </row>
    <row r="6264">
      <c r="A6264" s="17">
        <v>1003002.0</v>
      </c>
      <c r="B6264" s="17">
        <v>7352400.0</v>
      </c>
    </row>
    <row r="6265">
      <c r="A6265" s="17">
        <v>1003002.0</v>
      </c>
      <c r="B6265" s="17">
        <v>7360600.0</v>
      </c>
    </row>
    <row r="6266">
      <c r="A6266" s="17">
        <v>1003002.0</v>
      </c>
      <c r="B6266" s="17">
        <v>7360900.0</v>
      </c>
    </row>
    <row r="6267">
      <c r="A6267" s="17">
        <v>1003002.0</v>
      </c>
      <c r="B6267" s="17">
        <v>7361200.0</v>
      </c>
    </row>
    <row r="6268">
      <c r="A6268" s="17">
        <v>1003002.0</v>
      </c>
      <c r="B6268" s="17">
        <v>7361300.0</v>
      </c>
    </row>
    <row r="6269">
      <c r="A6269" s="17">
        <v>1003002.0</v>
      </c>
      <c r="B6269" s="17">
        <v>7362100.0</v>
      </c>
    </row>
    <row r="6270">
      <c r="A6270" s="17">
        <v>1003002.0</v>
      </c>
      <c r="B6270" s="17">
        <v>7370300.0</v>
      </c>
    </row>
    <row r="6271">
      <c r="A6271" s="17">
        <v>1003002.0</v>
      </c>
      <c r="B6271" s="17">
        <v>7370400.0</v>
      </c>
    </row>
    <row r="6272">
      <c r="A6272" s="17">
        <v>1003002.0</v>
      </c>
      <c r="B6272" s="17">
        <v>7370600.0</v>
      </c>
    </row>
    <row r="6273">
      <c r="A6273" s="17">
        <v>1003002.0</v>
      </c>
      <c r="B6273" s="17">
        <v>7370900.0</v>
      </c>
    </row>
    <row r="6274">
      <c r="A6274" s="17">
        <v>1003002.0</v>
      </c>
      <c r="B6274" s="17">
        <v>7371500.0</v>
      </c>
    </row>
    <row r="6275">
      <c r="A6275" s="17">
        <v>1003002.0</v>
      </c>
      <c r="B6275" s="17">
        <v>7036200.0</v>
      </c>
    </row>
    <row r="6276">
      <c r="A6276" s="17">
        <v>1003002.0</v>
      </c>
      <c r="B6276" s="17">
        <v>7036300.0</v>
      </c>
    </row>
    <row r="6277">
      <c r="A6277" s="17">
        <v>1003002.0</v>
      </c>
      <c r="B6277" s="17">
        <v>7036400.0</v>
      </c>
    </row>
    <row r="6278">
      <c r="A6278" s="17">
        <v>1003002.0</v>
      </c>
      <c r="B6278" s="17">
        <v>7036500.0</v>
      </c>
    </row>
    <row r="6279">
      <c r="A6279" s="17">
        <v>1003002.0</v>
      </c>
      <c r="B6279" s="17">
        <v>7036800.0</v>
      </c>
    </row>
    <row r="6280">
      <c r="A6280" s="17">
        <v>1003002.0</v>
      </c>
      <c r="B6280" s="17">
        <v>7036900.0</v>
      </c>
    </row>
    <row r="6281">
      <c r="A6281" s="17">
        <v>1003002.0</v>
      </c>
      <c r="B6281" s="17">
        <v>7037000.0</v>
      </c>
    </row>
    <row r="6282">
      <c r="A6282" s="17">
        <v>1003002.0</v>
      </c>
      <c r="B6282" s="17">
        <v>7037300.0</v>
      </c>
    </row>
    <row r="6283">
      <c r="A6283" s="17">
        <v>1003002.0</v>
      </c>
      <c r="B6283" s="17">
        <v>6630000.0</v>
      </c>
    </row>
    <row r="6284">
      <c r="A6284" s="17">
        <v>1003002.0</v>
      </c>
      <c r="B6284" s="17">
        <v>6630100.0</v>
      </c>
    </row>
    <row r="6285">
      <c r="A6285" s="17">
        <v>1003002.0</v>
      </c>
      <c r="B6285" s="17">
        <v>6630200.0</v>
      </c>
    </row>
    <row r="6286">
      <c r="A6286" s="17">
        <v>1003002.0</v>
      </c>
      <c r="B6286" s="17">
        <v>6630300.0</v>
      </c>
    </row>
    <row r="6287">
      <c r="A6287" s="17">
        <v>1003002.0</v>
      </c>
      <c r="B6287" s="17">
        <v>6630400.0</v>
      </c>
    </row>
    <row r="6288">
      <c r="A6288" s="17">
        <v>1003002.0</v>
      </c>
      <c r="B6288" s="17">
        <v>6630500.0</v>
      </c>
    </row>
    <row r="6289">
      <c r="A6289" s="17">
        <v>1003002.0</v>
      </c>
      <c r="B6289" s="17">
        <v>6630600.0</v>
      </c>
    </row>
    <row r="6290">
      <c r="A6290" s="17">
        <v>1003002.0</v>
      </c>
      <c r="B6290" s="17">
        <v>6630700.0</v>
      </c>
    </row>
    <row r="6291">
      <c r="A6291" s="17">
        <v>1003002.0</v>
      </c>
      <c r="B6291" s="17">
        <v>6630800.0</v>
      </c>
    </row>
    <row r="6292">
      <c r="A6292" s="17">
        <v>1003002.0</v>
      </c>
      <c r="B6292" s="17">
        <v>6630900.0</v>
      </c>
    </row>
    <row r="6293">
      <c r="A6293" s="17">
        <v>1003002.0</v>
      </c>
      <c r="B6293" s="17">
        <v>6631000.0</v>
      </c>
    </row>
    <row r="6294">
      <c r="A6294" s="17">
        <v>1003002.0</v>
      </c>
      <c r="B6294" s="17">
        <v>6631100.0</v>
      </c>
    </row>
    <row r="6295">
      <c r="A6295" s="17">
        <v>1003002.0</v>
      </c>
      <c r="B6295" s="17">
        <v>6631200.0</v>
      </c>
    </row>
    <row r="6296">
      <c r="A6296" s="17">
        <v>1003002.0</v>
      </c>
      <c r="B6296" s="17">
        <v>6631300.0</v>
      </c>
    </row>
    <row r="6297">
      <c r="A6297" s="17">
        <v>1003002.0</v>
      </c>
      <c r="B6297" s="17">
        <v>6631400.0</v>
      </c>
    </row>
    <row r="6298">
      <c r="A6298" s="17">
        <v>1003002.0</v>
      </c>
      <c r="B6298" s="17">
        <v>6631500.0</v>
      </c>
    </row>
    <row r="6299">
      <c r="A6299" s="17">
        <v>1003002.0</v>
      </c>
      <c r="B6299" s="17">
        <v>6631600.0</v>
      </c>
    </row>
    <row r="6300">
      <c r="A6300" s="17">
        <v>1003002.0</v>
      </c>
      <c r="B6300" s="17">
        <v>6631700.0</v>
      </c>
    </row>
    <row r="6301">
      <c r="A6301" s="17">
        <v>1003002.0</v>
      </c>
      <c r="B6301" s="17">
        <v>6631800.0</v>
      </c>
    </row>
    <row r="6302">
      <c r="A6302" s="17">
        <v>1003002.0</v>
      </c>
      <c r="B6302" s="17">
        <v>6631900.0</v>
      </c>
    </row>
    <row r="6303">
      <c r="A6303" s="17">
        <v>1003002.0</v>
      </c>
      <c r="B6303" s="17">
        <v>6632000.0</v>
      </c>
    </row>
    <row r="6304">
      <c r="A6304" s="17">
        <v>1003002.0</v>
      </c>
      <c r="B6304" s="17">
        <v>6632100.0</v>
      </c>
    </row>
    <row r="6305">
      <c r="A6305" s="17">
        <v>1003002.0</v>
      </c>
      <c r="B6305" s="17">
        <v>6632200.0</v>
      </c>
    </row>
    <row r="6306">
      <c r="A6306" s="17">
        <v>1003002.0</v>
      </c>
      <c r="B6306" s="17">
        <v>6632300.0</v>
      </c>
    </row>
    <row r="6307">
      <c r="A6307" s="17">
        <v>1003002.0</v>
      </c>
      <c r="B6307" s="17">
        <v>6632400.0</v>
      </c>
    </row>
    <row r="6308">
      <c r="A6308" s="17">
        <v>1003002.0</v>
      </c>
      <c r="B6308" s="17">
        <v>6632500.0</v>
      </c>
    </row>
    <row r="6309">
      <c r="A6309" s="17">
        <v>1003002.0</v>
      </c>
      <c r="B6309" s="17">
        <v>6632600.0</v>
      </c>
    </row>
    <row r="6310">
      <c r="A6310" s="17">
        <v>1003002.0</v>
      </c>
      <c r="B6310" s="17">
        <v>6632700.0</v>
      </c>
    </row>
    <row r="6311">
      <c r="A6311" s="17">
        <v>1003002.0</v>
      </c>
      <c r="B6311" s="17">
        <v>6632800.0</v>
      </c>
    </row>
    <row r="6312">
      <c r="A6312" s="17">
        <v>1003002.0</v>
      </c>
      <c r="B6312" s="17">
        <v>6632900.0</v>
      </c>
    </row>
    <row r="6313">
      <c r="A6313" s="17">
        <v>1003002.0</v>
      </c>
      <c r="B6313" s="17">
        <v>6633000.0</v>
      </c>
    </row>
    <row r="6314">
      <c r="A6314" s="17">
        <v>1003002.0</v>
      </c>
      <c r="B6314" s="17">
        <v>6633100.0</v>
      </c>
    </row>
    <row r="6315">
      <c r="A6315" s="17">
        <v>1003002.0</v>
      </c>
      <c r="B6315" s="17">
        <v>6633200.0</v>
      </c>
    </row>
    <row r="6316">
      <c r="A6316" s="17">
        <v>1003002.0</v>
      </c>
      <c r="B6316" s="17">
        <v>6647200.0</v>
      </c>
    </row>
    <row r="6317">
      <c r="A6317" s="17">
        <v>1003002.0</v>
      </c>
      <c r="B6317" s="17">
        <v>6647300.0</v>
      </c>
    </row>
    <row r="6318">
      <c r="A6318" s="17">
        <v>1003002.0</v>
      </c>
      <c r="B6318" s="17">
        <v>6647400.0</v>
      </c>
    </row>
    <row r="6319">
      <c r="A6319" s="17">
        <v>1003002.0</v>
      </c>
      <c r="B6319" s="17">
        <v>6647500.0</v>
      </c>
    </row>
    <row r="6320">
      <c r="A6320" s="17">
        <v>1003002.0</v>
      </c>
      <c r="B6320" s="17">
        <v>6640000.0</v>
      </c>
    </row>
    <row r="6321">
      <c r="A6321" s="17">
        <v>1003002.0</v>
      </c>
      <c r="B6321" s="17">
        <v>6640100.0</v>
      </c>
    </row>
    <row r="6322">
      <c r="A6322" s="17">
        <v>1003002.0</v>
      </c>
      <c r="B6322" s="17">
        <v>6641000.0</v>
      </c>
    </row>
    <row r="6323">
      <c r="A6323" s="17">
        <v>1003002.0</v>
      </c>
      <c r="B6323" s="17">
        <v>6641100.0</v>
      </c>
    </row>
    <row r="6324">
      <c r="A6324" s="17">
        <v>1003002.0</v>
      </c>
      <c r="B6324" s="17">
        <v>6642000.0</v>
      </c>
    </row>
    <row r="6325">
      <c r="A6325" s="17">
        <v>1003002.0</v>
      </c>
      <c r="B6325" s="17">
        <v>6642100.0</v>
      </c>
    </row>
    <row r="6326">
      <c r="A6326" s="17">
        <v>1003002.0</v>
      </c>
      <c r="B6326" s="17">
        <v>6643000.0</v>
      </c>
    </row>
    <row r="6327">
      <c r="A6327" s="17">
        <v>1003002.0</v>
      </c>
      <c r="B6327" s="17">
        <v>6643100.0</v>
      </c>
    </row>
    <row r="6328">
      <c r="A6328" s="17">
        <v>1003002.0</v>
      </c>
      <c r="B6328" s="17">
        <v>6644000.0</v>
      </c>
    </row>
    <row r="6329">
      <c r="A6329" s="17">
        <v>1003002.0</v>
      </c>
      <c r="B6329" s="17">
        <v>6644100.0</v>
      </c>
    </row>
    <row r="6330">
      <c r="A6330" s="17">
        <v>1003002.0</v>
      </c>
      <c r="B6330" s="17">
        <v>6645000.0</v>
      </c>
    </row>
    <row r="6331">
      <c r="A6331" s="17">
        <v>1003002.0</v>
      </c>
      <c r="B6331" s="17">
        <v>6645100.0</v>
      </c>
    </row>
    <row r="6332">
      <c r="A6332" s="17">
        <v>1003002.0</v>
      </c>
      <c r="B6332" s="17">
        <v>6646000.0</v>
      </c>
    </row>
    <row r="6333">
      <c r="A6333" s="17">
        <v>1003002.0</v>
      </c>
      <c r="B6333" s="17">
        <v>6646100.0</v>
      </c>
    </row>
    <row r="6334">
      <c r="A6334" s="17">
        <v>1003002.0</v>
      </c>
      <c r="B6334" s="17">
        <v>6647000.0</v>
      </c>
    </row>
    <row r="6335">
      <c r="A6335" s="17">
        <v>1003002.0</v>
      </c>
      <c r="B6335" s="17">
        <v>6647100.0</v>
      </c>
    </row>
    <row r="6336">
      <c r="A6336" s="17">
        <v>1004000.0</v>
      </c>
      <c r="B6336" s="17">
        <v>7000000.0</v>
      </c>
    </row>
    <row r="6337">
      <c r="A6337" s="17">
        <v>1004000.0</v>
      </c>
      <c r="B6337" s="17">
        <v>7000001.0</v>
      </c>
    </row>
    <row r="6338">
      <c r="A6338" s="17">
        <v>1004000.0</v>
      </c>
      <c r="B6338" s="17">
        <v>7000002.0</v>
      </c>
    </row>
    <row r="6339">
      <c r="A6339" s="17">
        <v>1004000.0</v>
      </c>
      <c r="B6339" s="17">
        <v>7000100.0</v>
      </c>
    </row>
    <row r="6340">
      <c r="A6340" s="17">
        <v>1004000.0</v>
      </c>
      <c r="B6340" s="17">
        <v>7000101.0</v>
      </c>
    </row>
    <row r="6341">
      <c r="A6341" s="17">
        <v>1004000.0</v>
      </c>
      <c r="B6341" s="17">
        <v>7000102.0</v>
      </c>
    </row>
    <row r="6342">
      <c r="A6342" s="17">
        <v>1004000.0</v>
      </c>
      <c r="B6342" s="17">
        <v>7000200.0</v>
      </c>
    </row>
    <row r="6343">
      <c r="A6343" s="17">
        <v>1004000.0</v>
      </c>
      <c r="B6343" s="17">
        <v>7000201.0</v>
      </c>
    </row>
    <row r="6344">
      <c r="A6344" s="17">
        <v>1004000.0</v>
      </c>
      <c r="B6344" s="17">
        <v>7000202.0</v>
      </c>
    </row>
    <row r="6345">
      <c r="A6345" s="17">
        <v>1004000.0</v>
      </c>
      <c r="B6345" s="17">
        <v>7000300.0</v>
      </c>
    </row>
    <row r="6346">
      <c r="A6346" s="17">
        <v>1004000.0</v>
      </c>
      <c r="B6346" s="17">
        <v>7000301.0</v>
      </c>
    </row>
    <row r="6347">
      <c r="A6347" s="17">
        <v>1004000.0</v>
      </c>
      <c r="B6347" s="17">
        <v>7000302.0</v>
      </c>
    </row>
    <row r="6348">
      <c r="A6348" s="17">
        <v>1004000.0</v>
      </c>
      <c r="B6348" s="17">
        <v>7000400.0</v>
      </c>
    </row>
    <row r="6349">
      <c r="A6349" s="17">
        <v>1004000.0</v>
      </c>
      <c r="B6349" s="17">
        <v>7000401.0</v>
      </c>
    </row>
    <row r="6350">
      <c r="A6350" s="17">
        <v>1004000.0</v>
      </c>
      <c r="B6350" s="17">
        <v>7000402.0</v>
      </c>
    </row>
    <row r="6351">
      <c r="A6351" s="17">
        <v>1004000.0</v>
      </c>
      <c r="B6351" s="17">
        <v>7000500.0</v>
      </c>
    </row>
    <row r="6352">
      <c r="A6352" s="17">
        <v>1004000.0</v>
      </c>
      <c r="B6352" s="17">
        <v>7000501.0</v>
      </c>
    </row>
    <row r="6353">
      <c r="A6353" s="17">
        <v>1004000.0</v>
      </c>
      <c r="B6353" s="17">
        <v>7000502.0</v>
      </c>
    </row>
    <row r="6354">
      <c r="A6354" s="17">
        <v>1004000.0</v>
      </c>
      <c r="B6354" s="17">
        <v>7000600.0</v>
      </c>
    </row>
    <row r="6355">
      <c r="A6355" s="17">
        <v>1004000.0</v>
      </c>
      <c r="B6355" s="17">
        <v>7000601.0</v>
      </c>
    </row>
    <row r="6356">
      <c r="A6356" s="17">
        <v>1004000.0</v>
      </c>
      <c r="B6356" s="17">
        <v>7000602.0</v>
      </c>
    </row>
    <row r="6357">
      <c r="A6357" s="17">
        <v>1004000.0</v>
      </c>
      <c r="B6357" s="17">
        <v>7000700.0</v>
      </c>
    </row>
    <row r="6358">
      <c r="A6358" s="17">
        <v>1004000.0</v>
      </c>
      <c r="B6358" s="17">
        <v>7000701.0</v>
      </c>
    </row>
    <row r="6359">
      <c r="A6359" s="17">
        <v>1004000.0</v>
      </c>
      <c r="B6359" s="17">
        <v>7000702.0</v>
      </c>
    </row>
    <row r="6360">
      <c r="A6360" s="17">
        <v>1004000.0</v>
      </c>
      <c r="B6360" s="17">
        <v>7000800.0</v>
      </c>
    </row>
    <row r="6361">
      <c r="A6361" s="17">
        <v>1004000.0</v>
      </c>
      <c r="B6361" s="17">
        <v>7000801.0</v>
      </c>
    </row>
    <row r="6362">
      <c r="A6362" s="17">
        <v>1004000.0</v>
      </c>
      <c r="B6362" s="17">
        <v>7000802.0</v>
      </c>
    </row>
    <row r="6363">
      <c r="A6363" s="17">
        <v>1004000.0</v>
      </c>
      <c r="B6363" s="17">
        <v>7000900.0</v>
      </c>
    </row>
    <row r="6364">
      <c r="A6364" s="17">
        <v>1004000.0</v>
      </c>
      <c r="B6364" s="17">
        <v>7000901.0</v>
      </c>
    </row>
    <row r="6365">
      <c r="A6365" s="17">
        <v>1004000.0</v>
      </c>
      <c r="B6365" s="17">
        <v>7000902.0</v>
      </c>
    </row>
    <row r="6366">
      <c r="A6366" s="17">
        <v>1004000.0</v>
      </c>
      <c r="B6366" s="17">
        <v>7001000.0</v>
      </c>
    </row>
    <row r="6367">
      <c r="A6367" s="17">
        <v>1004000.0</v>
      </c>
      <c r="B6367" s="17">
        <v>7001001.0</v>
      </c>
    </row>
    <row r="6368">
      <c r="A6368" s="17">
        <v>1004000.0</v>
      </c>
      <c r="B6368" s="17">
        <v>7001002.0</v>
      </c>
    </row>
    <row r="6369">
      <c r="A6369" s="17">
        <v>1004000.0</v>
      </c>
      <c r="B6369" s="17">
        <v>7001400.0</v>
      </c>
    </row>
    <row r="6370">
      <c r="A6370" s="17">
        <v>1004000.0</v>
      </c>
      <c r="B6370" s="17">
        <v>7001401.0</v>
      </c>
    </row>
    <row r="6371">
      <c r="A6371" s="17">
        <v>1004000.0</v>
      </c>
      <c r="B6371" s="17">
        <v>7001402.0</v>
      </c>
    </row>
    <row r="6372">
      <c r="A6372" s="17">
        <v>1004000.0</v>
      </c>
      <c r="B6372" s="17">
        <v>7001500.0</v>
      </c>
    </row>
    <row r="6373">
      <c r="A6373" s="17">
        <v>1004000.0</v>
      </c>
      <c r="B6373" s="17">
        <v>7001501.0</v>
      </c>
    </row>
    <row r="6374">
      <c r="A6374" s="17">
        <v>1004000.0</v>
      </c>
      <c r="B6374" s="17">
        <v>7001502.0</v>
      </c>
    </row>
    <row r="6375">
      <c r="A6375" s="17">
        <v>1004000.0</v>
      </c>
      <c r="B6375" s="17">
        <v>7001600.0</v>
      </c>
    </row>
    <row r="6376">
      <c r="A6376" s="17">
        <v>1004000.0</v>
      </c>
      <c r="B6376" s="17">
        <v>7001601.0</v>
      </c>
    </row>
    <row r="6377">
      <c r="A6377" s="17">
        <v>1004000.0</v>
      </c>
      <c r="B6377" s="17">
        <v>7001602.0</v>
      </c>
    </row>
    <row r="6378">
      <c r="A6378" s="17">
        <v>1004000.0</v>
      </c>
      <c r="B6378" s="17">
        <v>7001700.0</v>
      </c>
    </row>
    <row r="6379">
      <c r="A6379" s="17">
        <v>1004000.0</v>
      </c>
      <c r="B6379" s="17">
        <v>7001701.0</v>
      </c>
    </row>
    <row r="6380">
      <c r="A6380" s="17">
        <v>1004000.0</v>
      </c>
      <c r="B6380" s="17">
        <v>7001702.0</v>
      </c>
    </row>
    <row r="6381">
      <c r="A6381" s="17">
        <v>1004000.0</v>
      </c>
      <c r="B6381" s="17">
        <v>7001800.0</v>
      </c>
    </row>
    <row r="6382">
      <c r="A6382" s="17">
        <v>1004000.0</v>
      </c>
      <c r="B6382" s="17">
        <v>7001801.0</v>
      </c>
    </row>
    <row r="6383">
      <c r="A6383" s="17">
        <v>1004000.0</v>
      </c>
      <c r="B6383" s="17">
        <v>7001802.0</v>
      </c>
    </row>
    <row r="6384">
      <c r="A6384" s="17">
        <v>1004000.0</v>
      </c>
      <c r="B6384" s="17">
        <v>7002600.0</v>
      </c>
    </row>
    <row r="6385">
      <c r="A6385" s="17">
        <v>1004000.0</v>
      </c>
      <c r="B6385" s="17">
        <v>7002700.0</v>
      </c>
    </row>
    <row r="6386">
      <c r="A6386" s="17">
        <v>1004000.0</v>
      </c>
      <c r="B6386" s="17">
        <v>7002800.0</v>
      </c>
    </row>
    <row r="6387">
      <c r="A6387" s="17">
        <v>1004000.0</v>
      </c>
      <c r="B6387" s="17">
        <v>7002900.0</v>
      </c>
    </row>
    <row r="6388">
      <c r="A6388" s="17">
        <v>1004000.0</v>
      </c>
      <c r="B6388" s="17">
        <v>7003000.0</v>
      </c>
    </row>
    <row r="6389">
      <c r="A6389" s="17">
        <v>1004000.0</v>
      </c>
      <c r="B6389" s="17">
        <v>7003100.0</v>
      </c>
    </row>
    <row r="6390">
      <c r="A6390" s="17">
        <v>1004000.0</v>
      </c>
      <c r="B6390" s="17">
        <v>7003200.0</v>
      </c>
    </row>
    <row r="6391">
      <c r="A6391" s="17">
        <v>1004000.0</v>
      </c>
      <c r="B6391" s="17">
        <v>7003300.0</v>
      </c>
    </row>
    <row r="6392">
      <c r="A6392" s="17">
        <v>1004000.0</v>
      </c>
      <c r="B6392" s="17">
        <v>7003400.0</v>
      </c>
    </row>
    <row r="6393">
      <c r="A6393" s="17">
        <v>1004000.0</v>
      </c>
      <c r="B6393" s="17">
        <v>7003500.0</v>
      </c>
    </row>
    <row r="6394">
      <c r="A6394" s="17">
        <v>1004000.0</v>
      </c>
      <c r="B6394" s="17">
        <v>7003600.0</v>
      </c>
    </row>
    <row r="6395">
      <c r="A6395" s="17">
        <v>1004000.0</v>
      </c>
      <c r="B6395" s="17">
        <v>7005600.0</v>
      </c>
    </row>
    <row r="6396">
      <c r="A6396" s="17">
        <v>1004000.0</v>
      </c>
      <c r="B6396" s="17">
        <v>7006000.0</v>
      </c>
    </row>
    <row r="6397">
      <c r="A6397" s="17">
        <v>1004000.0</v>
      </c>
      <c r="B6397" s="17">
        <v>7006100.0</v>
      </c>
    </row>
    <row r="6398">
      <c r="A6398" s="17">
        <v>1004000.0</v>
      </c>
      <c r="B6398" s="17">
        <v>7010200.0</v>
      </c>
    </row>
    <row r="6399">
      <c r="A6399" s="17">
        <v>1004000.0</v>
      </c>
      <c r="B6399" s="17">
        <v>7010500.0</v>
      </c>
    </row>
    <row r="6400">
      <c r="A6400" s="17">
        <v>1004000.0</v>
      </c>
      <c r="B6400" s="17">
        <v>7010700.0</v>
      </c>
    </row>
    <row r="6401">
      <c r="A6401" s="17">
        <v>1004000.0</v>
      </c>
      <c r="B6401" s="17">
        <v>7010900.0</v>
      </c>
    </row>
    <row r="6402">
      <c r="A6402" s="17">
        <v>1004000.0</v>
      </c>
      <c r="B6402" s="17">
        <v>7011000.0</v>
      </c>
    </row>
    <row r="6403">
      <c r="A6403" s="17">
        <v>1004000.0</v>
      </c>
      <c r="B6403" s="17">
        <v>7011200.0</v>
      </c>
    </row>
    <row r="6404">
      <c r="A6404" s="17">
        <v>1004000.0</v>
      </c>
      <c r="B6404" s="17">
        <v>7011600.0</v>
      </c>
    </row>
    <row r="6405">
      <c r="A6405" s="17">
        <v>1004000.0</v>
      </c>
      <c r="B6405" s="17">
        <v>7011700.0</v>
      </c>
    </row>
    <row r="6406">
      <c r="A6406" s="17">
        <v>1004000.0</v>
      </c>
      <c r="B6406" s="17">
        <v>7012000.0</v>
      </c>
    </row>
    <row r="6407">
      <c r="A6407" s="17">
        <v>1004000.0</v>
      </c>
      <c r="B6407" s="17">
        <v>7012200.0</v>
      </c>
    </row>
    <row r="6408">
      <c r="A6408" s="17">
        <v>1004000.0</v>
      </c>
      <c r="B6408" s="17">
        <v>7012300.0</v>
      </c>
    </row>
    <row r="6409">
      <c r="A6409" s="17">
        <v>1004000.0</v>
      </c>
      <c r="B6409" s="17">
        <v>7020000.0</v>
      </c>
    </row>
    <row r="6410">
      <c r="A6410" s="17">
        <v>1004000.0</v>
      </c>
      <c r="B6410" s="17">
        <v>7030000.0</v>
      </c>
    </row>
    <row r="6411">
      <c r="A6411" s="17">
        <v>1004000.0</v>
      </c>
      <c r="B6411" s="17">
        <v>7030200.0</v>
      </c>
    </row>
    <row r="6412">
      <c r="A6412" s="17">
        <v>1004000.0</v>
      </c>
      <c r="B6412" s="17">
        <v>7030600.0</v>
      </c>
    </row>
    <row r="6413">
      <c r="A6413" s="17">
        <v>1004000.0</v>
      </c>
      <c r="B6413" s="17">
        <v>7030700.0</v>
      </c>
    </row>
    <row r="6414">
      <c r="A6414" s="17">
        <v>1004000.0</v>
      </c>
      <c r="B6414" s="17">
        <v>7030800.0</v>
      </c>
    </row>
    <row r="6415">
      <c r="A6415" s="17">
        <v>1004000.0</v>
      </c>
      <c r="B6415" s="17">
        <v>7030900.0</v>
      </c>
    </row>
    <row r="6416">
      <c r="A6416" s="17">
        <v>1004000.0</v>
      </c>
      <c r="B6416" s="17">
        <v>7031200.0</v>
      </c>
    </row>
    <row r="6417">
      <c r="A6417" s="17">
        <v>1004000.0</v>
      </c>
      <c r="B6417" s="17">
        <v>7031300.0</v>
      </c>
    </row>
    <row r="6418">
      <c r="A6418" s="17">
        <v>1004000.0</v>
      </c>
      <c r="B6418" s="17">
        <v>7031800.0</v>
      </c>
    </row>
    <row r="6419">
      <c r="A6419" s="17">
        <v>1004000.0</v>
      </c>
      <c r="B6419" s="17">
        <v>7031900.0</v>
      </c>
    </row>
    <row r="6420">
      <c r="A6420" s="17">
        <v>1004000.0</v>
      </c>
      <c r="B6420" s="17">
        <v>7032200.0</v>
      </c>
    </row>
    <row r="6421">
      <c r="A6421" s="17">
        <v>1004000.0</v>
      </c>
      <c r="B6421" s="17">
        <v>7032400.0</v>
      </c>
    </row>
    <row r="6422">
      <c r="A6422" s="17">
        <v>1004000.0</v>
      </c>
      <c r="B6422" s="17">
        <v>7032700.0</v>
      </c>
    </row>
    <row r="6423">
      <c r="A6423" s="17">
        <v>1004000.0</v>
      </c>
      <c r="B6423" s="17">
        <v>7032800.0</v>
      </c>
    </row>
    <row r="6424">
      <c r="A6424" s="17">
        <v>1004000.0</v>
      </c>
      <c r="B6424" s="17">
        <v>7032900.0</v>
      </c>
    </row>
    <row r="6425">
      <c r="A6425" s="17">
        <v>1004000.0</v>
      </c>
      <c r="B6425" s="17">
        <v>7033200.0</v>
      </c>
    </row>
    <row r="6426">
      <c r="A6426" s="17">
        <v>1004000.0</v>
      </c>
      <c r="B6426" s="17">
        <v>7033400.0</v>
      </c>
    </row>
    <row r="6427">
      <c r="A6427" s="17">
        <v>1004000.0</v>
      </c>
      <c r="B6427" s="17">
        <v>7034100.0</v>
      </c>
    </row>
    <row r="6428">
      <c r="A6428" s="17">
        <v>1004000.0</v>
      </c>
      <c r="B6428" s="17">
        <v>7034400.0</v>
      </c>
    </row>
    <row r="6429">
      <c r="A6429" s="17">
        <v>1004000.0</v>
      </c>
      <c r="B6429" s="17">
        <v>7034500.0</v>
      </c>
    </row>
    <row r="6430">
      <c r="A6430" s="17">
        <v>1004000.0</v>
      </c>
      <c r="B6430" s="17">
        <v>7034600.0</v>
      </c>
    </row>
    <row r="6431">
      <c r="A6431" s="17">
        <v>1004000.0</v>
      </c>
      <c r="B6431" s="17">
        <v>7034700.0</v>
      </c>
    </row>
    <row r="6432">
      <c r="A6432" s="17">
        <v>1004000.0</v>
      </c>
      <c r="B6432" s="17">
        <v>7035100.0</v>
      </c>
    </row>
    <row r="6433">
      <c r="A6433" s="17">
        <v>1004000.0</v>
      </c>
      <c r="B6433" s="17">
        <v>7036100.0</v>
      </c>
    </row>
    <row r="6434">
      <c r="A6434" s="17">
        <v>1004000.0</v>
      </c>
      <c r="B6434" s="17">
        <v>7040000.0</v>
      </c>
    </row>
    <row r="6435">
      <c r="A6435" s="17">
        <v>1004000.0</v>
      </c>
      <c r="B6435" s="17">
        <v>7040100.0</v>
      </c>
    </row>
    <row r="6436">
      <c r="A6436" s="17">
        <v>1004000.0</v>
      </c>
      <c r="B6436" s="17">
        <v>7040200.0</v>
      </c>
    </row>
    <row r="6437">
      <c r="A6437" s="17">
        <v>1004000.0</v>
      </c>
      <c r="B6437" s="17">
        <v>7040300.0</v>
      </c>
    </row>
    <row r="6438">
      <c r="A6438" s="17">
        <v>1004000.0</v>
      </c>
      <c r="B6438" s="17">
        <v>7040400.0</v>
      </c>
    </row>
    <row r="6439">
      <c r="A6439" s="17">
        <v>1004000.0</v>
      </c>
      <c r="B6439" s="17">
        <v>7040500.0</v>
      </c>
    </row>
    <row r="6440">
      <c r="A6440" s="17">
        <v>1004000.0</v>
      </c>
      <c r="B6440" s="17">
        <v>7043000.0</v>
      </c>
    </row>
    <row r="6441">
      <c r="A6441" s="17">
        <v>1004000.0</v>
      </c>
      <c r="B6441" s="17">
        <v>7043100.0</v>
      </c>
    </row>
    <row r="6442">
      <c r="A6442" s="17">
        <v>1004000.0</v>
      </c>
      <c r="B6442" s="17">
        <v>7043200.0</v>
      </c>
    </row>
    <row r="6443">
      <c r="A6443" s="17">
        <v>1004000.0</v>
      </c>
      <c r="B6443" s="17">
        <v>7043300.0</v>
      </c>
    </row>
    <row r="6444">
      <c r="A6444" s="17">
        <v>1004000.0</v>
      </c>
      <c r="B6444" s="17">
        <v>7043400.0</v>
      </c>
    </row>
    <row r="6445">
      <c r="A6445" s="17">
        <v>1004000.0</v>
      </c>
      <c r="B6445" s="17">
        <v>7043500.0</v>
      </c>
    </row>
    <row r="6446">
      <c r="A6446" s="17">
        <v>1004000.0</v>
      </c>
      <c r="B6446" s="17">
        <v>7043600.0</v>
      </c>
    </row>
    <row r="6447">
      <c r="A6447" s="17">
        <v>1004000.0</v>
      </c>
      <c r="B6447" s="17">
        <v>7043700.0</v>
      </c>
    </row>
    <row r="6448">
      <c r="A6448" s="17">
        <v>1004000.0</v>
      </c>
      <c r="B6448" s="17">
        <v>7043800.0</v>
      </c>
    </row>
    <row r="6449">
      <c r="A6449" s="17">
        <v>1004000.0</v>
      </c>
      <c r="B6449" s="17">
        <v>7044000.0</v>
      </c>
    </row>
    <row r="6450">
      <c r="A6450" s="17">
        <v>1004000.0</v>
      </c>
      <c r="B6450" s="17">
        <v>7044100.0</v>
      </c>
    </row>
    <row r="6451">
      <c r="A6451" s="17">
        <v>1004000.0</v>
      </c>
      <c r="B6451" s="17">
        <v>7044200.0</v>
      </c>
    </row>
    <row r="6452">
      <c r="A6452" s="17">
        <v>1004000.0</v>
      </c>
      <c r="B6452" s="17">
        <v>7044300.0</v>
      </c>
    </row>
    <row r="6453">
      <c r="A6453" s="17">
        <v>1004000.0</v>
      </c>
      <c r="B6453" s="17">
        <v>7044400.0</v>
      </c>
    </row>
    <row r="6454">
      <c r="A6454" s="17">
        <v>1004000.0</v>
      </c>
      <c r="B6454" s="17">
        <v>7044500.0</v>
      </c>
    </row>
    <row r="6455">
      <c r="A6455" s="17">
        <v>1004000.0</v>
      </c>
      <c r="B6455" s="17">
        <v>7044600.0</v>
      </c>
    </row>
    <row r="6456">
      <c r="A6456" s="17">
        <v>1004000.0</v>
      </c>
      <c r="B6456" s="17">
        <v>7050000.0</v>
      </c>
    </row>
    <row r="6457">
      <c r="A6457" s="17">
        <v>1004000.0</v>
      </c>
      <c r="B6457" s="17">
        <v>7050100.0</v>
      </c>
    </row>
    <row r="6458">
      <c r="A6458" s="17">
        <v>1004000.0</v>
      </c>
      <c r="B6458" s="17">
        <v>7060000.0</v>
      </c>
    </row>
    <row r="6459">
      <c r="A6459" s="17">
        <v>1004000.0</v>
      </c>
      <c r="B6459" s="17">
        <v>7060100.0</v>
      </c>
    </row>
    <row r="6460">
      <c r="A6460" s="17">
        <v>1004000.0</v>
      </c>
      <c r="B6460" s="17">
        <v>7060200.0</v>
      </c>
    </row>
    <row r="6461">
      <c r="A6461" s="17">
        <v>1004000.0</v>
      </c>
      <c r="B6461" s="17">
        <v>7070000.0</v>
      </c>
    </row>
    <row r="6462">
      <c r="A6462" s="17">
        <v>1004000.0</v>
      </c>
      <c r="B6462" s="17">
        <v>7080000.0</v>
      </c>
    </row>
    <row r="6463">
      <c r="A6463" s="17">
        <v>1004000.0</v>
      </c>
      <c r="B6463" s="17">
        <v>7080100.0</v>
      </c>
    </row>
    <row r="6464">
      <c r="A6464" s="17">
        <v>1004000.0</v>
      </c>
      <c r="B6464" s="17">
        <v>7080200.0</v>
      </c>
    </row>
    <row r="6465">
      <c r="A6465" s="17">
        <v>1004000.0</v>
      </c>
      <c r="B6465" s="17">
        <v>7080300.0</v>
      </c>
    </row>
    <row r="6466">
      <c r="A6466" s="17">
        <v>1004000.0</v>
      </c>
      <c r="B6466" s="17">
        <v>7080400.0</v>
      </c>
    </row>
    <row r="6467">
      <c r="A6467" s="17">
        <v>1004000.0</v>
      </c>
      <c r="B6467" s="17">
        <v>7080500.0</v>
      </c>
    </row>
    <row r="6468">
      <c r="A6468" s="17">
        <v>1004000.0</v>
      </c>
      <c r="B6468" s="17">
        <v>7080600.0</v>
      </c>
    </row>
    <row r="6469">
      <c r="A6469" s="17">
        <v>1004000.0</v>
      </c>
      <c r="B6469" s="17">
        <v>7080700.0</v>
      </c>
    </row>
    <row r="6470">
      <c r="A6470" s="17">
        <v>1004000.0</v>
      </c>
      <c r="B6470" s="17">
        <v>7080800.0</v>
      </c>
    </row>
    <row r="6471">
      <c r="A6471" s="17">
        <v>1004000.0</v>
      </c>
      <c r="B6471" s="17">
        <v>7080900.0</v>
      </c>
    </row>
    <row r="6472">
      <c r="A6472" s="17">
        <v>1004000.0</v>
      </c>
      <c r="B6472" s="17">
        <v>7081000.0</v>
      </c>
    </row>
    <row r="6473">
      <c r="A6473" s="17">
        <v>1004000.0</v>
      </c>
      <c r="B6473" s="17">
        <v>7081100.0</v>
      </c>
    </row>
    <row r="6474">
      <c r="A6474" s="17">
        <v>1004000.0</v>
      </c>
      <c r="B6474" s="17">
        <v>7081200.0</v>
      </c>
    </row>
    <row r="6475">
      <c r="A6475" s="17">
        <v>1004000.0</v>
      </c>
      <c r="B6475" s="17">
        <v>7081300.0</v>
      </c>
    </row>
    <row r="6476">
      <c r="A6476" s="17">
        <v>1004000.0</v>
      </c>
      <c r="B6476" s="17">
        <v>7081400.0</v>
      </c>
    </row>
    <row r="6477">
      <c r="A6477" s="17">
        <v>1004000.0</v>
      </c>
      <c r="B6477" s="17">
        <v>7081500.0</v>
      </c>
    </row>
    <row r="6478">
      <c r="A6478" s="17">
        <v>1004000.0</v>
      </c>
      <c r="B6478" s="17">
        <v>7081700.0</v>
      </c>
    </row>
    <row r="6479">
      <c r="A6479" s="17">
        <v>1004000.0</v>
      </c>
      <c r="B6479" s="17">
        <v>7081800.0</v>
      </c>
    </row>
    <row r="6480">
      <c r="A6480" s="17">
        <v>1004000.0</v>
      </c>
      <c r="B6480" s="17">
        <v>7081900.0</v>
      </c>
    </row>
    <row r="6481">
      <c r="A6481" s="17">
        <v>1004000.0</v>
      </c>
      <c r="B6481" s="17">
        <v>7082000.0</v>
      </c>
    </row>
    <row r="6482">
      <c r="A6482" s="17">
        <v>1004000.0</v>
      </c>
      <c r="B6482" s="17">
        <v>7082100.0</v>
      </c>
    </row>
    <row r="6483">
      <c r="A6483" s="17">
        <v>1004000.0</v>
      </c>
      <c r="B6483" s="17">
        <v>7082200.0</v>
      </c>
    </row>
    <row r="6484">
      <c r="A6484" s="17">
        <v>1004000.0</v>
      </c>
      <c r="B6484" s="17">
        <v>7082300.0</v>
      </c>
    </row>
    <row r="6485">
      <c r="A6485" s="17">
        <v>1004000.0</v>
      </c>
      <c r="B6485" s="17">
        <v>7082400.0</v>
      </c>
    </row>
    <row r="6486">
      <c r="A6486" s="17">
        <v>1004000.0</v>
      </c>
      <c r="B6486" s="17">
        <v>7082500.0</v>
      </c>
    </row>
    <row r="6487">
      <c r="A6487" s="17">
        <v>1004000.0</v>
      </c>
      <c r="B6487" s="17">
        <v>7082600.0</v>
      </c>
    </row>
    <row r="6488">
      <c r="A6488" s="17">
        <v>1004000.0</v>
      </c>
      <c r="B6488" s="17">
        <v>7082700.0</v>
      </c>
    </row>
    <row r="6489">
      <c r="A6489" s="17">
        <v>1004000.0</v>
      </c>
      <c r="B6489" s="17">
        <v>7082800.0</v>
      </c>
    </row>
    <row r="6490">
      <c r="A6490" s="17">
        <v>1004000.0</v>
      </c>
      <c r="B6490" s="17">
        <v>7082900.0</v>
      </c>
    </row>
    <row r="6491">
      <c r="A6491" s="17">
        <v>1004000.0</v>
      </c>
      <c r="B6491" s="17">
        <v>7090000.0</v>
      </c>
    </row>
    <row r="6492">
      <c r="A6492" s="17">
        <v>1004000.0</v>
      </c>
      <c r="B6492" s="17">
        <v>7090100.0</v>
      </c>
    </row>
    <row r="6493">
      <c r="A6493" s="17">
        <v>1004000.0</v>
      </c>
      <c r="B6493" s="17">
        <v>7090300.0</v>
      </c>
    </row>
    <row r="6494">
      <c r="A6494" s="17">
        <v>1004000.0</v>
      </c>
      <c r="B6494" s="17">
        <v>7100100.0</v>
      </c>
    </row>
    <row r="6495">
      <c r="A6495" s="17">
        <v>1004000.0</v>
      </c>
      <c r="B6495" s="17">
        <v>7110000.0</v>
      </c>
    </row>
    <row r="6496">
      <c r="A6496" s="17">
        <v>1004000.0</v>
      </c>
      <c r="B6496" s="17">
        <v>7120000.0</v>
      </c>
    </row>
    <row r="6497">
      <c r="A6497" s="17">
        <v>1004000.0</v>
      </c>
      <c r="B6497" s="17">
        <v>7120100.0</v>
      </c>
    </row>
    <row r="6498">
      <c r="A6498" s="17">
        <v>1004000.0</v>
      </c>
      <c r="B6498" s="17">
        <v>7120200.0</v>
      </c>
    </row>
    <row r="6499">
      <c r="A6499" s="17">
        <v>1004000.0</v>
      </c>
      <c r="B6499" s="17">
        <v>7120300.0</v>
      </c>
    </row>
    <row r="6500">
      <c r="A6500" s="17">
        <v>1004000.0</v>
      </c>
      <c r="B6500" s="17">
        <v>7120400.0</v>
      </c>
    </row>
    <row r="6501">
      <c r="A6501" s="17">
        <v>1004000.0</v>
      </c>
      <c r="B6501" s="17">
        <v>7120500.0</v>
      </c>
    </row>
    <row r="6502">
      <c r="A6502" s="17">
        <v>1004000.0</v>
      </c>
      <c r="B6502" s="17">
        <v>7120600.0</v>
      </c>
    </row>
    <row r="6503">
      <c r="A6503" s="17">
        <v>1004000.0</v>
      </c>
      <c r="B6503" s="17">
        <v>7120900.0</v>
      </c>
    </row>
    <row r="6504">
      <c r="A6504" s="17">
        <v>1004000.0</v>
      </c>
      <c r="B6504" s="17">
        <v>7121000.0</v>
      </c>
    </row>
    <row r="6505">
      <c r="A6505" s="17">
        <v>1004000.0</v>
      </c>
      <c r="B6505" s="17">
        <v>7121100.0</v>
      </c>
    </row>
    <row r="6506">
      <c r="A6506" s="17">
        <v>1004000.0</v>
      </c>
      <c r="B6506" s="17">
        <v>7121200.0</v>
      </c>
    </row>
    <row r="6507">
      <c r="A6507" s="17">
        <v>1004000.0</v>
      </c>
      <c r="B6507" s="17">
        <v>7121300.0</v>
      </c>
    </row>
    <row r="6508">
      <c r="A6508" s="17">
        <v>1004000.0</v>
      </c>
      <c r="B6508" s="17">
        <v>7121400.0</v>
      </c>
    </row>
    <row r="6509">
      <c r="A6509" s="17">
        <v>1004000.0</v>
      </c>
      <c r="B6509" s="17">
        <v>7121500.0</v>
      </c>
    </row>
    <row r="6510">
      <c r="A6510" s="17">
        <v>1004000.0</v>
      </c>
      <c r="B6510" s="17">
        <v>7121600.0</v>
      </c>
    </row>
    <row r="6511">
      <c r="A6511" s="17">
        <v>1004000.0</v>
      </c>
      <c r="B6511" s="17">
        <v>7121700.0</v>
      </c>
    </row>
    <row r="6512">
      <c r="A6512" s="17">
        <v>1004000.0</v>
      </c>
      <c r="B6512" s="17">
        <v>7121800.0</v>
      </c>
    </row>
    <row r="6513">
      <c r="A6513" s="17">
        <v>1004000.0</v>
      </c>
      <c r="B6513" s="17">
        <v>7121900.0</v>
      </c>
    </row>
    <row r="6514">
      <c r="A6514" s="17">
        <v>1004000.0</v>
      </c>
      <c r="B6514" s="17">
        <v>7122000.0</v>
      </c>
    </row>
    <row r="6515">
      <c r="A6515" s="17">
        <v>1004000.0</v>
      </c>
      <c r="B6515" s="17">
        <v>7122100.0</v>
      </c>
    </row>
    <row r="6516">
      <c r="A6516" s="17">
        <v>1004000.0</v>
      </c>
      <c r="B6516" s="17">
        <v>7122200.0</v>
      </c>
    </row>
    <row r="6517">
      <c r="A6517" s="17">
        <v>1004000.0</v>
      </c>
      <c r="B6517" s="17">
        <v>7122300.0</v>
      </c>
    </row>
    <row r="6518">
      <c r="A6518" s="17">
        <v>1004000.0</v>
      </c>
      <c r="B6518" s="17">
        <v>7122400.0</v>
      </c>
    </row>
    <row r="6519">
      <c r="A6519" s="17">
        <v>1004000.0</v>
      </c>
      <c r="B6519" s="17">
        <v>7122500.0</v>
      </c>
    </row>
    <row r="6520">
      <c r="A6520" s="17">
        <v>1004000.0</v>
      </c>
      <c r="B6520" s="17">
        <v>7122600.0</v>
      </c>
    </row>
    <row r="6521">
      <c r="A6521" s="17">
        <v>1004000.0</v>
      </c>
      <c r="B6521" s="17">
        <v>7122700.0</v>
      </c>
    </row>
    <row r="6522">
      <c r="A6522" s="17">
        <v>1004000.0</v>
      </c>
      <c r="B6522" s="17">
        <v>7122800.0</v>
      </c>
    </row>
    <row r="6523">
      <c r="A6523" s="17">
        <v>1004000.0</v>
      </c>
      <c r="B6523" s="17">
        <v>7122900.0</v>
      </c>
    </row>
    <row r="6524">
      <c r="A6524" s="17">
        <v>1004000.0</v>
      </c>
      <c r="B6524" s="17">
        <v>7123000.0</v>
      </c>
    </row>
    <row r="6525">
      <c r="A6525" s="17">
        <v>1004000.0</v>
      </c>
      <c r="B6525" s="17">
        <v>7123100.0</v>
      </c>
    </row>
    <row r="6526">
      <c r="A6526" s="17">
        <v>1004000.0</v>
      </c>
      <c r="B6526" s="17">
        <v>7123200.0</v>
      </c>
    </row>
    <row r="6527">
      <c r="A6527" s="17">
        <v>1004000.0</v>
      </c>
      <c r="B6527" s="17">
        <v>7123300.0</v>
      </c>
    </row>
    <row r="6528">
      <c r="A6528" s="17">
        <v>1004000.0</v>
      </c>
      <c r="B6528" s="17">
        <v>7123400.0</v>
      </c>
    </row>
    <row r="6529">
      <c r="A6529" s="17">
        <v>1004000.0</v>
      </c>
      <c r="B6529" s="17">
        <v>7123500.0</v>
      </c>
    </row>
    <row r="6530">
      <c r="A6530" s="17">
        <v>1004000.0</v>
      </c>
      <c r="B6530" s="17">
        <v>7123600.0</v>
      </c>
    </row>
    <row r="6531">
      <c r="A6531" s="17">
        <v>1004000.0</v>
      </c>
      <c r="B6531" s="17">
        <v>7123700.0</v>
      </c>
    </row>
    <row r="6532">
      <c r="A6532" s="17">
        <v>1004000.0</v>
      </c>
      <c r="B6532" s="17">
        <v>7123800.0</v>
      </c>
    </row>
    <row r="6533">
      <c r="A6533" s="17">
        <v>1004000.0</v>
      </c>
      <c r="B6533" s="17">
        <v>7123900.0</v>
      </c>
    </row>
    <row r="6534">
      <c r="A6534" s="17">
        <v>1004000.0</v>
      </c>
      <c r="B6534" s="17">
        <v>7124000.0</v>
      </c>
    </row>
    <row r="6535">
      <c r="A6535" s="17">
        <v>1004000.0</v>
      </c>
      <c r="B6535" s="17">
        <v>7124100.0</v>
      </c>
    </row>
    <row r="6536">
      <c r="A6536" s="17">
        <v>1004000.0</v>
      </c>
      <c r="B6536" s="17">
        <v>7124300.0</v>
      </c>
    </row>
    <row r="6537">
      <c r="A6537" s="17">
        <v>1004000.0</v>
      </c>
      <c r="B6537" s="17">
        <v>7124400.0</v>
      </c>
    </row>
    <row r="6538">
      <c r="A6538" s="17">
        <v>1004000.0</v>
      </c>
      <c r="B6538" s="17">
        <v>7124500.0</v>
      </c>
    </row>
    <row r="6539">
      <c r="A6539" s="17">
        <v>1004000.0</v>
      </c>
      <c r="B6539" s="17">
        <v>7124600.0</v>
      </c>
    </row>
    <row r="6540">
      <c r="A6540" s="17">
        <v>1004000.0</v>
      </c>
      <c r="B6540" s="17">
        <v>7124700.0</v>
      </c>
    </row>
    <row r="6541">
      <c r="A6541" s="17">
        <v>1004000.0</v>
      </c>
      <c r="B6541" s="17">
        <v>7126000.0</v>
      </c>
    </row>
    <row r="6542">
      <c r="A6542" s="17">
        <v>1004000.0</v>
      </c>
      <c r="B6542" s="17">
        <v>7150000.0</v>
      </c>
    </row>
    <row r="6543">
      <c r="A6543" s="17">
        <v>1004000.0</v>
      </c>
      <c r="B6543" s="17">
        <v>7160000.0</v>
      </c>
    </row>
    <row r="6544">
      <c r="A6544" s="17">
        <v>1004000.0</v>
      </c>
      <c r="B6544" s="17">
        <v>7220000.0</v>
      </c>
    </row>
    <row r="6545">
      <c r="A6545" s="17">
        <v>1004000.0</v>
      </c>
      <c r="B6545" s="17">
        <v>7230000.0</v>
      </c>
    </row>
    <row r="6546">
      <c r="A6546" s="17">
        <v>1004000.0</v>
      </c>
      <c r="B6546" s="17">
        <v>7240000.0</v>
      </c>
    </row>
    <row r="6547">
      <c r="A6547" s="17">
        <v>1004000.0</v>
      </c>
      <c r="B6547" s="17">
        <v>7260000.0</v>
      </c>
    </row>
    <row r="6548">
      <c r="A6548" s="17">
        <v>1004000.0</v>
      </c>
      <c r="B6548" s="17">
        <v>7260300.0</v>
      </c>
    </row>
    <row r="6549">
      <c r="A6549" s="17">
        <v>1004000.0</v>
      </c>
      <c r="B6549" s="17">
        <v>7260400.0</v>
      </c>
    </row>
    <row r="6550">
      <c r="A6550" s="17">
        <v>1004000.0</v>
      </c>
      <c r="B6550" s="17">
        <v>7270100.0</v>
      </c>
    </row>
    <row r="6551">
      <c r="A6551" s="17">
        <v>1004000.0</v>
      </c>
      <c r="B6551" s="17">
        <v>7280000.0</v>
      </c>
    </row>
    <row r="6552">
      <c r="A6552" s="17">
        <v>1004000.0</v>
      </c>
      <c r="B6552" s="17">
        <v>7290000.0</v>
      </c>
    </row>
    <row r="6553">
      <c r="A6553" s="17">
        <v>1004000.0</v>
      </c>
      <c r="B6553" s="17">
        <v>7310000.0</v>
      </c>
    </row>
    <row r="6554">
      <c r="A6554" s="17">
        <v>1004000.0</v>
      </c>
      <c r="B6554" s="17">
        <v>7330000.0</v>
      </c>
    </row>
    <row r="6555">
      <c r="A6555" s="17">
        <v>1004000.0</v>
      </c>
      <c r="B6555" s="17">
        <v>7330100.0</v>
      </c>
    </row>
    <row r="6556">
      <c r="A6556" s="17">
        <v>1004000.0</v>
      </c>
      <c r="B6556" s="17">
        <v>7330200.0</v>
      </c>
    </row>
    <row r="6557">
      <c r="A6557" s="17">
        <v>1004000.0</v>
      </c>
      <c r="B6557" s="17">
        <v>7330300.0</v>
      </c>
    </row>
    <row r="6558">
      <c r="A6558" s="17">
        <v>1004000.0</v>
      </c>
      <c r="B6558" s="17">
        <v>7330400.0</v>
      </c>
    </row>
    <row r="6559">
      <c r="A6559" s="17">
        <v>1004000.0</v>
      </c>
      <c r="B6559" s="17">
        <v>7330500.0</v>
      </c>
    </row>
    <row r="6560">
      <c r="A6560" s="17">
        <v>1004000.0</v>
      </c>
      <c r="B6560" s="17">
        <v>7330600.0</v>
      </c>
    </row>
    <row r="6561">
      <c r="A6561" s="17">
        <v>1004000.0</v>
      </c>
      <c r="B6561" s="17">
        <v>7330700.0</v>
      </c>
    </row>
    <row r="6562">
      <c r="A6562" s="17">
        <v>1004000.0</v>
      </c>
      <c r="B6562" s="17">
        <v>7330800.0</v>
      </c>
    </row>
    <row r="6563">
      <c r="A6563" s="17">
        <v>1004000.0</v>
      </c>
      <c r="B6563" s="17">
        <v>7330900.0</v>
      </c>
    </row>
    <row r="6564">
      <c r="A6564" s="17">
        <v>1004000.0</v>
      </c>
      <c r="B6564" s="17">
        <v>7331000.0</v>
      </c>
    </row>
    <row r="6565">
      <c r="A6565" s="17">
        <v>1004000.0</v>
      </c>
      <c r="B6565" s="17">
        <v>7331100.0</v>
      </c>
    </row>
    <row r="6566">
      <c r="A6566" s="17">
        <v>1004000.0</v>
      </c>
      <c r="B6566" s="17">
        <v>7331200.0</v>
      </c>
    </row>
    <row r="6567">
      <c r="A6567" s="17">
        <v>1004000.0</v>
      </c>
      <c r="B6567" s="17">
        <v>7331300.0</v>
      </c>
    </row>
    <row r="6568">
      <c r="A6568" s="17">
        <v>1004000.0</v>
      </c>
      <c r="B6568" s="17">
        <v>7331400.0</v>
      </c>
    </row>
    <row r="6569">
      <c r="A6569" s="17">
        <v>1004000.0</v>
      </c>
      <c r="B6569" s="17">
        <v>7331500.0</v>
      </c>
    </row>
    <row r="6570">
      <c r="A6570" s="17">
        <v>1004000.0</v>
      </c>
      <c r="B6570" s="17">
        <v>7331700.0</v>
      </c>
    </row>
    <row r="6571">
      <c r="A6571" s="17">
        <v>1004000.0</v>
      </c>
      <c r="B6571" s="17">
        <v>7331800.0</v>
      </c>
    </row>
    <row r="6572">
      <c r="A6572" s="17">
        <v>1004000.0</v>
      </c>
      <c r="B6572" s="17">
        <v>7331900.0</v>
      </c>
    </row>
    <row r="6573">
      <c r="A6573" s="17">
        <v>1004000.0</v>
      </c>
      <c r="B6573" s="17">
        <v>7332000.0</v>
      </c>
    </row>
    <row r="6574">
      <c r="A6574" s="17">
        <v>1004000.0</v>
      </c>
      <c r="B6574" s="17">
        <v>7332100.0</v>
      </c>
    </row>
    <row r="6575">
      <c r="A6575" s="17">
        <v>1004000.0</v>
      </c>
      <c r="B6575" s="17">
        <v>7332200.0</v>
      </c>
    </row>
    <row r="6576">
      <c r="A6576" s="17">
        <v>1004000.0</v>
      </c>
      <c r="B6576" s="17">
        <v>7332300.0</v>
      </c>
    </row>
    <row r="6577">
      <c r="A6577" s="17">
        <v>1004000.0</v>
      </c>
      <c r="B6577" s="17">
        <v>7332400.0</v>
      </c>
    </row>
    <row r="6578">
      <c r="A6578" s="17">
        <v>1004000.0</v>
      </c>
      <c r="B6578" s="17">
        <v>7340000.0</v>
      </c>
    </row>
    <row r="6579">
      <c r="A6579" s="17">
        <v>1004000.0</v>
      </c>
      <c r="B6579" s="17">
        <v>7340100.0</v>
      </c>
    </row>
    <row r="6580">
      <c r="A6580" s="17">
        <v>1004000.0</v>
      </c>
      <c r="B6580" s="17">
        <v>7340200.0</v>
      </c>
    </row>
    <row r="6581">
      <c r="A6581" s="17">
        <v>1004000.0</v>
      </c>
      <c r="B6581" s="17">
        <v>7340300.0</v>
      </c>
    </row>
    <row r="6582">
      <c r="A6582" s="17">
        <v>1004000.0</v>
      </c>
      <c r="B6582" s="17">
        <v>7340400.0</v>
      </c>
    </row>
    <row r="6583">
      <c r="A6583" s="17">
        <v>1004000.0</v>
      </c>
      <c r="B6583" s="17">
        <v>7340500.0</v>
      </c>
    </row>
    <row r="6584">
      <c r="A6584" s="17">
        <v>1004000.0</v>
      </c>
      <c r="B6584" s="17">
        <v>7340600.0</v>
      </c>
    </row>
    <row r="6585">
      <c r="A6585" s="17">
        <v>1004000.0</v>
      </c>
      <c r="B6585" s="17">
        <v>7340700.0</v>
      </c>
    </row>
    <row r="6586">
      <c r="A6586" s="17">
        <v>1004000.0</v>
      </c>
      <c r="B6586" s="17">
        <v>7340800.0</v>
      </c>
    </row>
    <row r="6587">
      <c r="A6587" s="17">
        <v>1004000.0</v>
      </c>
      <c r="B6587" s="17">
        <v>7340900.0</v>
      </c>
    </row>
    <row r="6588">
      <c r="A6588" s="17">
        <v>1004000.0</v>
      </c>
      <c r="B6588" s="17">
        <v>7341000.0</v>
      </c>
    </row>
    <row r="6589">
      <c r="A6589" s="17">
        <v>1004000.0</v>
      </c>
      <c r="B6589" s="17">
        <v>7341100.0</v>
      </c>
    </row>
    <row r="6590">
      <c r="A6590" s="17">
        <v>1004000.0</v>
      </c>
      <c r="B6590" s="17">
        <v>7341200.0</v>
      </c>
    </row>
    <row r="6591">
      <c r="A6591" s="17">
        <v>1004000.0</v>
      </c>
      <c r="B6591" s="17">
        <v>7341300.0</v>
      </c>
    </row>
    <row r="6592">
      <c r="A6592" s="17">
        <v>1004000.0</v>
      </c>
      <c r="B6592" s="17">
        <v>7341400.0</v>
      </c>
    </row>
    <row r="6593">
      <c r="A6593" s="17">
        <v>1004000.0</v>
      </c>
      <c r="B6593" s="17">
        <v>7341500.0</v>
      </c>
    </row>
    <row r="6594">
      <c r="A6594" s="17">
        <v>1004000.0</v>
      </c>
      <c r="B6594" s="17">
        <v>7341700.0</v>
      </c>
    </row>
    <row r="6595">
      <c r="A6595" s="17">
        <v>1004000.0</v>
      </c>
      <c r="B6595" s="17">
        <v>7341800.0</v>
      </c>
    </row>
    <row r="6596">
      <c r="A6596" s="17">
        <v>1004000.0</v>
      </c>
      <c r="B6596" s="17">
        <v>7341900.0</v>
      </c>
    </row>
    <row r="6597">
      <c r="A6597" s="17">
        <v>1004000.0</v>
      </c>
      <c r="B6597" s="17">
        <v>7342000.0</v>
      </c>
    </row>
    <row r="6598">
      <c r="A6598" s="17">
        <v>1004000.0</v>
      </c>
      <c r="B6598" s="17">
        <v>7342100.0</v>
      </c>
    </row>
    <row r="6599">
      <c r="A6599" s="17">
        <v>1004000.0</v>
      </c>
      <c r="B6599" s="17">
        <v>7342200.0</v>
      </c>
    </row>
    <row r="6600">
      <c r="A6600" s="17">
        <v>1004000.0</v>
      </c>
      <c r="B6600" s="17">
        <v>7342300.0</v>
      </c>
    </row>
    <row r="6601">
      <c r="A6601" s="17">
        <v>1004000.0</v>
      </c>
      <c r="B6601" s="17">
        <v>7342400.0</v>
      </c>
    </row>
    <row r="6602">
      <c r="A6602" s="17">
        <v>1004000.0</v>
      </c>
      <c r="B6602" s="17">
        <v>7350000.0</v>
      </c>
    </row>
    <row r="6603">
      <c r="A6603" s="17">
        <v>1004000.0</v>
      </c>
      <c r="B6603" s="17">
        <v>7350100.0</v>
      </c>
    </row>
    <row r="6604">
      <c r="A6604" s="17">
        <v>1004000.0</v>
      </c>
      <c r="B6604" s="17">
        <v>7350200.0</v>
      </c>
    </row>
    <row r="6605">
      <c r="A6605" s="17">
        <v>1004000.0</v>
      </c>
      <c r="B6605" s="17">
        <v>7350300.0</v>
      </c>
    </row>
    <row r="6606">
      <c r="A6606" s="17">
        <v>1004000.0</v>
      </c>
      <c r="B6606" s="17">
        <v>7350400.0</v>
      </c>
    </row>
    <row r="6607">
      <c r="A6607" s="17">
        <v>1004000.0</v>
      </c>
      <c r="B6607" s="17">
        <v>7350500.0</v>
      </c>
    </row>
    <row r="6608">
      <c r="A6608" s="17">
        <v>1004000.0</v>
      </c>
      <c r="B6608" s="17">
        <v>7350600.0</v>
      </c>
    </row>
    <row r="6609">
      <c r="A6609" s="17">
        <v>1004000.0</v>
      </c>
      <c r="B6609" s="17">
        <v>7350700.0</v>
      </c>
    </row>
    <row r="6610">
      <c r="A6610" s="17">
        <v>1004000.0</v>
      </c>
      <c r="B6610" s="17">
        <v>7350800.0</v>
      </c>
    </row>
    <row r="6611">
      <c r="A6611" s="17">
        <v>1004000.0</v>
      </c>
      <c r="B6611" s="17">
        <v>7350900.0</v>
      </c>
    </row>
    <row r="6612">
      <c r="A6612" s="17">
        <v>1004000.0</v>
      </c>
      <c r="B6612" s="17">
        <v>7351000.0</v>
      </c>
    </row>
    <row r="6613">
      <c r="A6613" s="17">
        <v>1004000.0</v>
      </c>
      <c r="B6613" s="17">
        <v>7351100.0</v>
      </c>
    </row>
    <row r="6614">
      <c r="A6614" s="17">
        <v>1004000.0</v>
      </c>
      <c r="B6614" s="17">
        <v>7351200.0</v>
      </c>
    </row>
    <row r="6615">
      <c r="A6615" s="17">
        <v>1004000.0</v>
      </c>
      <c r="B6615" s="17">
        <v>7351300.0</v>
      </c>
    </row>
    <row r="6616">
      <c r="A6616" s="17">
        <v>1004000.0</v>
      </c>
      <c r="B6616" s="17">
        <v>7351400.0</v>
      </c>
    </row>
    <row r="6617">
      <c r="A6617" s="17">
        <v>1004000.0</v>
      </c>
      <c r="B6617" s="17">
        <v>7351500.0</v>
      </c>
    </row>
    <row r="6618">
      <c r="A6618" s="17">
        <v>1004000.0</v>
      </c>
      <c r="B6618" s="17">
        <v>7351700.0</v>
      </c>
    </row>
    <row r="6619">
      <c r="A6619" s="17">
        <v>1004000.0</v>
      </c>
      <c r="B6619" s="17">
        <v>7351800.0</v>
      </c>
    </row>
    <row r="6620">
      <c r="A6620" s="17">
        <v>1004000.0</v>
      </c>
      <c r="B6620" s="17">
        <v>7351900.0</v>
      </c>
    </row>
    <row r="6621">
      <c r="A6621" s="17">
        <v>1004000.0</v>
      </c>
      <c r="B6621" s="17">
        <v>7352000.0</v>
      </c>
    </row>
    <row r="6622">
      <c r="A6622" s="17">
        <v>1004000.0</v>
      </c>
      <c r="B6622" s="17">
        <v>7352100.0</v>
      </c>
    </row>
    <row r="6623">
      <c r="A6623" s="17">
        <v>1004000.0</v>
      </c>
      <c r="B6623" s="17">
        <v>7352200.0</v>
      </c>
    </row>
    <row r="6624">
      <c r="A6624" s="17">
        <v>1004000.0</v>
      </c>
      <c r="B6624" s="17">
        <v>7352300.0</v>
      </c>
    </row>
    <row r="6625">
      <c r="A6625" s="17">
        <v>1004000.0</v>
      </c>
      <c r="B6625" s="17">
        <v>7352400.0</v>
      </c>
    </row>
    <row r="6626">
      <c r="A6626" s="17">
        <v>1004000.0</v>
      </c>
      <c r="B6626" s="17">
        <v>7360600.0</v>
      </c>
    </row>
    <row r="6627">
      <c r="A6627" s="17">
        <v>1004000.0</v>
      </c>
      <c r="B6627" s="17">
        <v>7360900.0</v>
      </c>
    </row>
    <row r="6628">
      <c r="A6628" s="17">
        <v>1004000.0</v>
      </c>
      <c r="B6628" s="17">
        <v>7361200.0</v>
      </c>
    </row>
    <row r="6629">
      <c r="A6629" s="17">
        <v>1004000.0</v>
      </c>
      <c r="B6629" s="17">
        <v>7361300.0</v>
      </c>
    </row>
    <row r="6630">
      <c r="A6630" s="17">
        <v>1004000.0</v>
      </c>
      <c r="B6630" s="17">
        <v>7362100.0</v>
      </c>
    </row>
    <row r="6631">
      <c r="A6631" s="17">
        <v>1004000.0</v>
      </c>
      <c r="B6631" s="17">
        <v>7370300.0</v>
      </c>
    </row>
    <row r="6632">
      <c r="A6632" s="17">
        <v>1004000.0</v>
      </c>
      <c r="B6632" s="17">
        <v>7370400.0</v>
      </c>
    </row>
    <row r="6633">
      <c r="A6633" s="17">
        <v>1004000.0</v>
      </c>
      <c r="B6633" s="17">
        <v>7370600.0</v>
      </c>
    </row>
    <row r="6634">
      <c r="A6634" s="17">
        <v>1004000.0</v>
      </c>
      <c r="B6634" s="17">
        <v>7370900.0</v>
      </c>
    </row>
    <row r="6635">
      <c r="A6635" s="17">
        <v>1004000.0</v>
      </c>
      <c r="B6635" s="17">
        <v>7371500.0</v>
      </c>
    </row>
    <row r="6636">
      <c r="A6636" s="17">
        <v>1004000.0</v>
      </c>
      <c r="B6636" s="17">
        <v>7036200.0</v>
      </c>
    </row>
    <row r="6637">
      <c r="A6637" s="17">
        <v>1004000.0</v>
      </c>
      <c r="B6637" s="17">
        <v>7036300.0</v>
      </c>
    </row>
    <row r="6638">
      <c r="A6638" s="17">
        <v>1004000.0</v>
      </c>
      <c r="B6638" s="17">
        <v>7036400.0</v>
      </c>
    </row>
    <row r="6639">
      <c r="A6639" s="17">
        <v>1004000.0</v>
      </c>
      <c r="B6639" s="17">
        <v>7036500.0</v>
      </c>
    </row>
    <row r="6640">
      <c r="A6640" s="17">
        <v>1004000.0</v>
      </c>
      <c r="B6640" s="17">
        <v>7036800.0</v>
      </c>
    </row>
    <row r="6641">
      <c r="A6641" s="17">
        <v>1004000.0</v>
      </c>
      <c r="B6641" s="17">
        <v>7036900.0</v>
      </c>
    </row>
    <row r="6642">
      <c r="A6642" s="17">
        <v>1004000.0</v>
      </c>
      <c r="B6642" s="17">
        <v>7037000.0</v>
      </c>
    </row>
    <row r="6643">
      <c r="A6643" s="17">
        <v>1004000.0</v>
      </c>
      <c r="B6643" s="17">
        <v>7037300.0</v>
      </c>
    </row>
    <row r="6644">
      <c r="A6644" s="17">
        <v>1004000.0</v>
      </c>
      <c r="B6644" s="17">
        <v>6630000.0</v>
      </c>
    </row>
    <row r="6645">
      <c r="A6645" s="17">
        <v>1004000.0</v>
      </c>
      <c r="B6645" s="17">
        <v>6630100.0</v>
      </c>
    </row>
    <row r="6646">
      <c r="A6646" s="17">
        <v>1004000.0</v>
      </c>
      <c r="B6646" s="17">
        <v>6630200.0</v>
      </c>
    </row>
    <row r="6647">
      <c r="A6647" s="17">
        <v>1004000.0</v>
      </c>
      <c r="B6647" s="17">
        <v>6630300.0</v>
      </c>
    </row>
    <row r="6648">
      <c r="A6648" s="17">
        <v>1004000.0</v>
      </c>
      <c r="B6648" s="17">
        <v>6630400.0</v>
      </c>
    </row>
    <row r="6649">
      <c r="A6649" s="17">
        <v>1004000.0</v>
      </c>
      <c r="B6649" s="17">
        <v>6630500.0</v>
      </c>
    </row>
    <row r="6650">
      <c r="A6650" s="17">
        <v>1004000.0</v>
      </c>
      <c r="B6650" s="17">
        <v>6630600.0</v>
      </c>
    </row>
    <row r="6651">
      <c r="A6651" s="17">
        <v>1004000.0</v>
      </c>
      <c r="B6651" s="17">
        <v>6630700.0</v>
      </c>
    </row>
    <row r="6652">
      <c r="A6652" s="17">
        <v>1004000.0</v>
      </c>
      <c r="B6652" s="17">
        <v>6630800.0</v>
      </c>
    </row>
    <row r="6653">
      <c r="A6653" s="17">
        <v>1004000.0</v>
      </c>
      <c r="B6653" s="17">
        <v>6630900.0</v>
      </c>
    </row>
    <row r="6654">
      <c r="A6654" s="17">
        <v>1004000.0</v>
      </c>
      <c r="B6654" s="17">
        <v>6631000.0</v>
      </c>
    </row>
    <row r="6655">
      <c r="A6655" s="17">
        <v>1004000.0</v>
      </c>
      <c r="B6655" s="17">
        <v>6631100.0</v>
      </c>
    </row>
    <row r="6656">
      <c r="A6656" s="17">
        <v>1004000.0</v>
      </c>
      <c r="B6656" s="17">
        <v>6631200.0</v>
      </c>
    </row>
    <row r="6657">
      <c r="A6657" s="17">
        <v>1004000.0</v>
      </c>
      <c r="B6657" s="17">
        <v>6631300.0</v>
      </c>
    </row>
    <row r="6658">
      <c r="A6658" s="17">
        <v>1004000.0</v>
      </c>
      <c r="B6658" s="17">
        <v>6631400.0</v>
      </c>
    </row>
    <row r="6659">
      <c r="A6659" s="17">
        <v>1004000.0</v>
      </c>
      <c r="B6659" s="17">
        <v>6631500.0</v>
      </c>
    </row>
    <row r="6660">
      <c r="A6660" s="17">
        <v>1004000.0</v>
      </c>
      <c r="B6660" s="17">
        <v>6631600.0</v>
      </c>
    </row>
    <row r="6661">
      <c r="A6661" s="17">
        <v>1004000.0</v>
      </c>
      <c r="B6661" s="17">
        <v>6631700.0</v>
      </c>
    </row>
    <row r="6662">
      <c r="A6662" s="17">
        <v>1004000.0</v>
      </c>
      <c r="B6662" s="17">
        <v>6631800.0</v>
      </c>
    </row>
    <row r="6663">
      <c r="A6663" s="17">
        <v>1004000.0</v>
      </c>
      <c r="B6663" s="17">
        <v>6631900.0</v>
      </c>
    </row>
    <row r="6664">
      <c r="A6664" s="17">
        <v>1004000.0</v>
      </c>
      <c r="B6664" s="17">
        <v>6632000.0</v>
      </c>
    </row>
    <row r="6665">
      <c r="A6665" s="17">
        <v>1004000.0</v>
      </c>
      <c r="B6665" s="17">
        <v>6632100.0</v>
      </c>
    </row>
    <row r="6666">
      <c r="A6666" s="17">
        <v>1004000.0</v>
      </c>
      <c r="B6666" s="17">
        <v>6632200.0</v>
      </c>
    </row>
    <row r="6667">
      <c r="A6667" s="17">
        <v>1004000.0</v>
      </c>
      <c r="B6667" s="17">
        <v>6632300.0</v>
      </c>
    </row>
    <row r="6668">
      <c r="A6668" s="17">
        <v>1004000.0</v>
      </c>
      <c r="B6668" s="17">
        <v>6632400.0</v>
      </c>
    </row>
    <row r="6669">
      <c r="A6669" s="17">
        <v>1004000.0</v>
      </c>
      <c r="B6669" s="17">
        <v>6632500.0</v>
      </c>
    </row>
    <row r="6670">
      <c r="A6670" s="17">
        <v>1004000.0</v>
      </c>
      <c r="B6670" s="17">
        <v>6632600.0</v>
      </c>
    </row>
    <row r="6671">
      <c r="A6671" s="17">
        <v>1004000.0</v>
      </c>
      <c r="B6671" s="17">
        <v>6632700.0</v>
      </c>
    </row>
    <row r="6672">
      <c r="A6672" s="17">
        <v>1004000.0</v>
      </c>
      <c r="B6672" s="17">
        <v>6632800.0</v>
      </c>
    </row>
    <row r="6673">
      <c r="A6673" s="17">
        <v>1004000.0</v>
      </c>
      <c r="B6673" s="17">
        <v>6632900.0</v>
      </c>
    </row>
    <row r="6674">
      <c r="A6674" s="17">
        <v>1004000.0</v>
      </c>
      <c r="B6674" s="17">
        <v>6633000.0</v>
      </c>
    </row>
    <row r="6675">
      <c r="A6675" s="17">
        <v>1004000.0</v>
      </c>
      <c r="B6675" s="17">
        <v>6633100.0</v>
      </c>
    </row>
    <row r="6676">
      <c r="A6676" s="17">
        <v>1004000.0</v>
      </c>
      <c r="B6676" s="17">
        <v>6633200.0</v>
      </c>
    </row>
    <row r="6677">
      <c r="A6677" s="17">
        <v>1004000.0</v>
      </c>
      <c r="B6677" s="17">
        <v>6647200.0</v>
      </c>
    </row>
    <row r="6678">
      <c r="A6678" s="17">
        <v>1004000.0</v>
      </c>
      <c r="B6678" s="17">
        <v>6647300.0</v>
      </c>
    </row>
    <row r="6679">
      <c r="A6679" s="17">
        <v>1004000.0</v>
      </c>
      <c r="B6679" s="17">
        <v>6647400.0</v>
      </c>
    </row>
    <row r="6680">
      <c r="A6680" s="17">
        <v>1004000.0</v>
      </c>
      <c r="B6680" s="17">
        <v>6647500.0</v>
      </c>
    </row>
    <row r="6681">
      <c r="A6681" s="17">
        <v>1004000.0</v>
      </c>
      <c r="B6681" s="17">
        <v>6640000.0</v>
      </c>
    </row>
    <row r="6682">
      <c r="A6682" s="17">
        <v>1004000.0</v>
      </c>
      <c r="B6682" s="17">
        <v>6640100.0</v>
      </c>
    </row>
    <row r="6683">
      <c r="A6683" s="17">
        <v>1004000.0</v>
      </c>
      <c r="B6683" s="17">
        <v>6641000.0</v>
      </c>
    </row>
    <row r="6684">
      <c r="A6684" s="17">
        <v>1004000.0</v>
      </c>
      <c r="B6684" s="17">
        <v>6641100.0</v>
      </c>
    </row>
    <row r="6685">
      <c r="A6685" s="17">
        <v>1004000.0</v>
      </c>
      <c r="B6685" s="17">
        <v>6642000.0</v>
      </c>
    </row>
    <row r="6686">
      <c r="A6686" s="17">
        <v>1004000.0</v>
      </c>
      <c r="B6686" s="17">
        <v>6642100.0</v>
      </c>
    </row>
    <row r="6687">
      <c r="A6687" s="17">
        <v>1004000.0</v>
      </c>
      <c r="B6687" s="17">
        <v>6643000.0</v>
      </c>
    </row>
    <row r="6688">
      <c r="A6688" s="17">
        <v>1004000.0</v>
      </c>
      <c r="B6688" s="17">
        <v>6643100.0</v>
      </c>
    </row>
    <row r="6689">
      <c r="A6689" s="17">
        <v>1004000.0</v>
      </c>
      <c r="B6689" s="17">
        <v>6644000.0</v>
      </c>
    </row>
    <row r="6690">
      <c r="A6690" s="17">
        <v>1004000.0</v>
      </c>
      <c r="B6690" s="17">
        <v>6644100.0</v>
      </c>
    </row>
    <row r="6691">
      <c r="A6691" s="17">
        <v>1004000.0</v>
      </c>
      <c r="B6691" s="17">
        <v>6645000.0</v>
      </c>
    </row>
    <row r="6692">
      <c r="A6692" s="17">
        <v>1004000.0</v>
      </c>
      <c r="B6692" s="17">
        <v>6645100.0</v>
      </c>
    </row>
    <row r="6693">
      <c r="A6693" s="17">
        <v>1004000.0</v>
      </c>
      <c r="B6693" s="17">
        <v>6646000.0</v>
      </c>
    </row>
    <row r="6694">
      <c r="A6694" s="17">
        <v>1004000.0</v>
      </c>
      <c r="B6694" s="17">
        <v>6646100.0</v>
      </c>
    </row>
    <row r="6695">
      <c r="A6695" s="17">
        <v>1004000.0</v>
      </c>
      <c r="B6695" s="17">
        <v>6647000.0</v>
      </c>
    </row>
    <row r="6696">
      <c r="A6696" s="17">
        <v>1004000.0</v>
      </c>
      <c r="B6696" s="17">
        <v>6647100.0</v>
      </c>
    </row>
    <row r="6697">
      <c r="A6697" s="17">
        <v>1004001.0</v>
      </c>
      <c r="B6697" s="17">
        <v>7000000.0</v>
      </c>
    </row>
    <row r="6698">
      <c r="A6698" s="17">
        <v>1004001.0</v>
      </c>
      <c r="B6698" s="17">
        <v>7000001.0</v>
      </c>
    </row>
    <row r="6699">
      <c r="A6699" s="17">
        <v>1004001.0</v>
      </c>
      <c r="B6699" s="17">
        <v>7000002.0</v>
      </c>
    </row>
    <row r="6700">
      <c r="A6700" s="17">
        <v>1004001.0</v>
      </c>
      <c r="B6700" s="17">
        <v>7000100.0</v>
      </c>
    </row>
    <row r="6701">
      <c r="A6701" s="17">
        <v>1004001.0</v>
      </c>
      <c r="B6701" s="17">
        <v>7000101.0</v>
      </c>
    </row>
    <row r="6702">
      <c r="A6702" s="17">
        <v>1004001.0</v>
      </c>
      <c r="B6702" s="17">
        <v>7000102.0</v>
      </c>
    </row>
    <row r="6703">
      <c r="A6703" s="17">
        <v>1004001.0</v>
      </c>
      <c r="B6703" s="17">
        <v>7000200.0</v>
      </c>
    </row>
    <row r="6704">
      <c r="A6704" s="17">
        <v>1004001.0</v>
      </c>
      <c r="B6704" s="17">
        <v>7000201.0</v>
      </c>
    </row>
    <row r="6705">
      <c r="A6705" s="17">
        <v>1004001.0</v>
      </c>
      <c r="B6705" s="17">
        <v>7000202.0</v>
      </c>
    </row>
    <row r="6706">
      <c r="A6706" s="17">
        <v>1004001.0</v>
      </c>
      <c r="B6706" s="17">
        <v>7000300.0</v>
      </c>
    </row>
    <row r="6707">
      <c r="A6707" s="17">
        <v>1004001.0</v>
      </c>
      <c r="B6707" s="17">
        <v>7000301.0</v>
      </c>
    </row>
    <row r="6708">
      <c r="A6708" s="17">
        <v>1004001.0</v>
      </c>
      <c r="B6708" s="17">
        <v>7000302.0</v>
      </c>
    </row>
    <row r="6709">
      <c r="A6709" s="17">
        <v>1004001.0</v>
      </c>
      <c r="B6709" s="17">
        <v>7000400.0</v>
      </c>
    </row>
    <row r="6710">
      <c r="A6710" s="17">
        <v>1004001.0</v>
      </c>
      <c r="B6710" s="17">
        <v>7000401.0</v>
      </c>
    </row>
    <row r="6711">
      <c r="A6711" s="17">
        <v>1004001.0</v>
      </c>
      <c r="B6711" s="17">
        <v>7000402.0</v>
      </c>
    </row>
    <row r="6712">
      <c r="A6712" s="17">
        <v>1004001.0</v>
      </c>
      <c r="B6712" s="17">
        <v>7000500.0</v>
      </c>
    </row>
    <row r="6713">
      <c r="A6713" s="17">
        <v>1004001.0</v>
      </c>
      <c r="B6713" s="17">
        <v>7000501.0</v>
      </c>
    </row>
    <row r="6714">
      <c r="A6714" s="17">
        <v>1004001.0</v>
      </c>
      <c r="B6714" s="17">
        <v>7000502.0</v>
      </c>
    </row>
    <row r="6715">
      <c r="A6715" s="17">
        <v>1004001.0</v>
      </c>
      <c r="B6715" s="17">
        <v>7000600.0</v>
      </c>
    </row>
    <row r="6716">
      <c r="A6716" s="17">
        <v>1004001.0</v>
      </c>
      <c r="B6716" s="17">
        <v>7000601.0</v>
      </c>
    </row>
    <row r="6717">
      <c r="A6717" s="17">
        <v>1004001.0</v>
      </c>
      <c r="B6717" s="17">
        <v>7000602.0</v>
      </c>
    </row>
    <row r="6718">
      <c r="A6718" s="17">
        <v>1004001.0</v>
      </c>
      <c r="B6718" s="17">
        <v>7000700.0</v>
      </c>
    </row>
    <row r="6719">
      <c r="A6719" s="17">
        <v>1004001.0</v>
      </c>
      <c r="B6719" s="17">
        <v>7000701.0</v>
      </c>
    </row>
    <row r="6720">
      <c r="A6720" s="17">
        <v>1004001.0</v>
      </c>
      <c r="B6720" s="17">
        <v>7000702.0</v>
      </c>
    </row>
    <row r="6721">
      <c r="A6721" s="17">
        <v>1004001.0</v>
      </c>
      <c r="B6721" s="17">
        <v>7000800.0</v>
      </c>
    </row>
    <row r="6722">
      <c r="A6722" s="17">
        <v>1004001.0</v>
      </c>
      <c r="B6722" s="17">
        <v>7000801.0</v>
      </c>
    </row>
    <row r="6723">
      <c r="A6723" s="17">
        <v>1004001.0</v>
      </c>
      <c r="B6723" s="17">
        <v>7000802.0</v>
      </c>
    </row>
    <row r="6724">
      <c r="A6724" s="17">
        <v>1004001.0</v>
      </c>
      <c r="B6724" s="17">
        <v>7000900.0</v>
      </c>
    </row>
    <row r="6725">
      <c r="A6725" s="17">
        <v>1004001.0</v>
      </c>
      <c r="B6725" s="17">
        <v>7000901.0</v>
      </c>
    </row>
    <row r="6726">
      <c r="A6726" s="17">
        <v>1004001.0</v>
      </c>
      <c r="B6726" s="17">
        <v>7000902.0</v>
      </c>
    </row>
    <row r="6727">
      <c r="A6727" s="17">
        <v>1004001.0</v>
      </c>
      <c r="B6727" s="17">
        <v>7001000.0</v>
      </c>
    </row>
    <row r="6728">
      <c r="A6728" s="17">
        <v>1004001.0</v>
      </c>
      <c r="B6728" s="17">
        <v>7001001.0</v>
      </c>
    </row>
    <row r="6729">
      <c r="A6729" s="17">
        <v>1004001.0</v>
      </c>
      <c r="B6729" s="17">
        <v>7001002.0</v>
      </c>
    </row>
    <row r="6730">
      <c r="A6730" s="17">
        <v>1004001.0</v>
      </c>
      <c r="B6730" s="17">
        <v>7001400.0</v>
      </c>
    </row>
    <row r="6731">
      <c r="A6731" s="17">
        <v>1004001.0</v>
      </c>
      <c r="B6731" s="17">
        <v>7001401.0</v>
      </c>
    </row>
    <row r="6732">
      <c r="A6732" s="17">
        <v>1004001.0</v>
      </c>
      <c r="B6732" s="17">
        <v>7001402.0</v>
      </c>
    </row>
    <row r="6733">
      <c r="A6733" s="17">
        <v>1004001.0</v>
      </c>
      <c r="B6733" s="17">
        <v>7001500.0</v>
      </c>
    </row>
    <row r="6734">
      <c r="A6734" s="17">
        <v>1004001.0</v>
      </c>
      <c r="B6734" s="17">
        <v>7001501.0</v>
      </c>
    </row>
    <row r="6735">
      <c r="A6735" s="17">
        <v>1004001.0</v>
      </c>
      <c r="B6735" s="17">
        <v>7001502.0</v>
      </c>
    </row>
    <row r="6736">
      <c r="A6736" s="17">
        <v>1004001.0</v>
      </c>
      <c r="B6736" s="17">
        <v>7001600.0</v>
      </c>
    </row>
    <row r="6737">
      <c r="A6737" s="17">
        <v>1004001.0</v>
      </c>
      <c r="B6737" s="17">
        <v>7001601.0</v>
      </c>
    </row>
    <row r="6738">
      <c r="A6738" s="17">
        <v>1004001.0</v>
      </c>
      <c r="B6738" s="17">
        <v>7001602.0</v>
      </c>
    </row>
    <row r="6739">
      <c r="A6739" s="17">
        <v>1004001.0</v>
      </c>
      <c r="B6739" s="17">
        <v>7001700.0</v>
      </c>
    </row>
    <row r="6740">
      <c r="A6740" s="17">
        <v>1004001.0</v>
      </c>
      <c r="B6740" s="17">
        <v>7001701.0</v>
      </c>
    </row>
    <row r="6741">
      <c r="A6741" s="17">
        <v>1004001.0</v>
      </c>
      <c r="B6741" s="17">
        <v>7001702.0</v>
      </c>
    </row>
    <row r="6742">
      <c r="A6742" s="17">
        <v>1004001.0</v>
      </c>
      <c r="B6742" s="17">
        <v>7001800.0</v>
      </c>
    </row>
    <row r="6743">
      <c r="A6743" s="17">
        <v>1004001.0</v>
      </c>
      <c r="B6743" s="17">
        <v>7001801.0</v>
      </c>
    </row>
    <row r="6744">
      <c r="A6744" s="17">
        <v>1004001.0</v>
      </c>
      <c r="B6744" s="17">
        <v>7001802.0</v>
      </c>
    </row>
    <row r="6745">
      <c r="A6745" s="17">
        <v>1004001.0</v>
      </c>
      <c r="B6745" s="17">
        <v>7002600.0</v>
      </c>
    </row>
    <row r="6746">
      <c r="A6746" s="17">
        <v>1004001.0</v>
      </c>
      <c r="B6746" s="17">
        <v>7002700.0</v>
      </c>
    </row>
    <row r="6747">
      <c r="A6747" s="17">
        <v>1004001.0</v>
      </c>
      <c r="B6747" s="17">
        <v>7002800.0</v>
      </c>
    </row>
    <row r="6748">
      <c r="A6748" s="17">
        <v>1004001.0</v>
      </c>
      <c r="B6748" s="17">
        <v>7002900.0</v>
      </c>
    </row>
    <row r="6749">
      <c r="A6749" s="17">
        <v>1004001.0</v>
      </c>
      <c r="B6749" s="17">
        <v>7003000.0</v>
      </c>
    </row>
    <row r="6750">
      <c r="A6750" s="17">
        <v>1004001.0</v>
      </c>
      <c r="B6750" s="17">
        <v>7003100.0</v>
      </c>
    </row>
    <row r="6751">
      <c r="A6751" s="17">
        <v>1004001.0</v>
      </c>
      <c r="B6751" s="17">
        <v>7003200.0</v>
      </c>
    </row>
    <row r="6752">
      <c r="A6752" s="17">
        <v>1004001.0</v>
      </c>
      <c r="B6752" s="17">
        <v>7003300.0</v>
      </c>
    </row>
    <row r="6753">
      <c r="A6753" s="17">
        <v>1004001.0</v>
      </c>
      <c r="B6753" s="17">
        <v>7003400.0</v>
      </c>
    </row>
    <row r="6754">
      <c r="A6754" s="17">
        <v>1004001.0</v>
      </c>
      <c r="B6754" s="17">
        <v>7003500.0</v>
      </c>
    </row>
    <row r="6755">
      <c r="A6755" s="17">
        <v>1004001.0</v>
      </c>
      <c r="B6755" s="17">
        <v>7003600.0</v>
      </c>
    </row>
    <row r="6756">
      <c r="A6756" s="17">
        <v>1004001.0</v>
      </c>
      <c r="B6756" s="17">
        <v>7005600.0</v>
      </c>
    </row>
    <row r="6757">
      <c r="A6757" s="17">
        <v>1004001.0</v>
      </c>
      <c r="B6757" s="17">
        <v>7006000.0</v>
      </c>
    </row>
    <row r="6758">
      <c r="A6758" s="17">
        <v>1004001.0</v>
      </c>
      <c r="B6758" s="17">
        <v>7006100.0</v>
      </c>
    </row>
    <row r="6759">
      <c r="A6759" s="17">
        <v>1004001.0</v>
      </c>
      <c r="B6759" s="17">
        <v>7010200.0</v>
      </c>
    </row>
    <row r="6760">
      <c r="A6760" s="17">
        <v>1004001.0</v>
      </c>
      <c r="B6760" s="17">
        <v>7010500.0</v>
      </c>
    </row>
    <row r="6761">
      <c r="A6761" s="17">
        <v>1004001.0</v>
      </c>
      <c r="B6761" s="17">
        <v>7010700.0</v>
      </c>
    </row>
    <row r="6762">
      <c r="A6762" s="17">
        <v>1004001.0</v>
      </c>
      <c r="B6762" s="17">
        <v>7010900.0</v>
      </c>
    </row>
    <row r="6763">
      <c r="A6763" s="17">
        <v>1004001.0</v>
      </c>
      <c r="B6763" s="17">
        <v>7011000.0</v>
      </c>
    </row>
    <row r="6764">
      <c r="A6764" s="17">
        <v>1004001.0</v>
      </c>
      <c r="B6764" s="17">
        <v>7011200.0</v>
      </c>
    </row>
    <row r="6765">
      <c r="A6765" s="17">
        <v>1004001.0</v>
      </c>
      <c r="B6765" s="17">
        <v>7011600.0</v>
      </c>
    </row>
    <row r="6766">
      <c r="A6766" s="17">
        <v>1004001.0</v>
      </c>
      <c r="B6766" s="17">
        <v>7011700.0</v>
      </c>
    </row>
    <row r="6767">
      <c r="A6767" s="17">
        <v>1004001.0</v>
      </c>
      <c r="B6767" s="17">
        <v>7012000.0</v>
      </c>
    </row>
    <row r="6768">
      <c r="A6768" s="17">
        <v>1004001.0</v>
      </c>
      <c r="B6768" s="17">
        <v>7012200.0</v>
      </c>
    </row>
    <row r="6769">
      <c r="A6769" s="17">
        <v>1004001.0</v>
      </c>
      <c r="B6769" s="17">
        <v>7012300.0</v>
      </c>
    </row>
    <row r="6770">
      <c r="A6770" s="17">
        <v>1004001.0</v>
      </c>
      <c r="B6770" s="17">
        <v>7020000.0</v>
      </c>
    </row>
    <row r="6771">
      <c r="A6771" s="17">
        <v>1004001.0</v>
      </c>
      <c r="B6771" s="17">
        <v>7030000.0</v>
      </c>
    </row>
    <row r="6772">
      <c r="A6772" s="17">
        <v>1004001.0</v>
      </c>
      <c r="B6772" s="17">
        <v>7030200.0</v>
      </c>
    </row>
    <row r="6773">
      <c r="A6773" s="17">
        <v>1004001.0</v>
      </c>
      <c r="B6773" s="17">
        <v>7030600.0</v>
      </c>
    </row>
    <row r="6774">
      <c r="A6774" s="17">
        <v>1004001.0</v>
      </c>
      <c r="B6774" s="17">
        <v>7030700.0</v>
      </c>
    </row>
    <row r="6775">
      <c r="A6775" s="17">
        <v>1004001.0</v>
      </c>
      <c r="B6775" s="17">
        <v>7030800.0</v>
      </c>
    </row>
    <row r="6776">
      <c r="A6776" s="17">
        <v>1004001.0</v>
      </c>
      <c r="B6776" s="17">
        <v>7030900.0</v>
      </c>
    </row>
    <row r="6777">
      <c r="A6777" s="17">
        <v>1004001.0</v>
      </c>
      <c r="B6777" s="17">
        <v>7031200.0</v>
      </c>
    </row>
    <row r="6778">
      <c r="A6778" s="17">
        <v>1004001.0</v>
      </c>
      <c r="B6778" s="17">
        <v>7031300.0</v>
      </c>
    </row>
    <row r="6779">
      <c r="A6779" s="17">
        <v>1004001.0</v>
      </c>
      <c r="B6779" s="17">
        <v>7031800.0</v>
      </c>
    </row>
    <row r="6780">
      <c r="A6780" s="17">
        <v>1004001.0</v>
      </c>
      <c r="B6780" s="17">
        <v>7031900.0</v>
      </c>
    </row>
    <row r="6781">
      <c r="A6781" s="17">
        <v>1004001.0</v>
      </c>
      <c r="B6781" s="17">
        <v>7032200.0</v>
      </c>
    </row>
    <row r="6782">
      <c r="A6782" s="17">
        <v>1004001.0</v>
      </c>
      <c r="B6782" s="17">
        <v>7032400.0</v>
      </c>
    </row>
    <row r="6783">
      <c r="A6783" s="17">
        <v>1004001.0</v>
      </c>
      <c r="B6783" s="17">
        <v>7032700.0</v>
      </c>
    </row>
    <row r="6784">
      <c r="A6784" s="17">
        <v>1004001.0</v>
      </c>
      <c r="B6784" s="17">
        <v>7032800.0</v>
      </c>
    </row>
    <row r="6785">
      <c r="A6785" s="17">
        <v>1004001.0</v>
      </c>
      <c r="B6785" s="17">
        <v>7032900.0</v>
      </c>
    </row>
    <row r="6786">
      <c r="A6786" s="17">
        <v>1004001.0</v>
      </c>
      <c r="B6786" s="17">
        <v>7033200.0</v>
      </c>
    </row>
    <row r="6787">
      <c r="A6787" s="17">
        <v>1004001.0</v>
      </c>
      <c r="B6787" s="17">
        <v>7033400.0</v>
      </c>
    </row>
    <row r="6788">
      <c r="A6788" s="17">
        <v>1004001.0</v>
      </c>
      <c r="B6788" s="17">
        <v>7034100.0</v>
      </c>
    </row>
    <row r="6789">
      <c r="A6789" s="17">
        <v>1004001.0</v>
      </c>
      <c r="B6789" s="17">
        <v>7034400.0</v>
      </c>
    </row>
    <row r="6790">
      <c r="A6790" s="17">
        <v>1004001.0</v>
      </c>
      <c r="B6790" s="17">
        <v>7034500.0</v>
      </c>
    </row>
    <row r="6791">
      <c r="A6791" s="17">
        <v>1004001.0</v>
      </c>
      <c r="B6791" s="17">
        <v>7034600.0</v>
      </c>
    </row>
    <row r="6792">
      <c r="A6792" s="17">
        <v>1004001.0</v>
      </c>
      <c r="B6792" s="17">
        <v>7034700.0</v>
      </c>
    </row>
    <row r="6793">
      <c r="A6793" s="17">
        <v>1004001.0</v>
      </c>
      <c r="B6793" s="17">
        <v>7035100.0</v>
      </c>
    </row>
    <row r="6794">
      <c r="A6794" s="17">
        <v>1004001.0</v>
      </c>
      <c r="B6794" s="17">
        <v>7036100.0</v>
      </c>
    </row>
    <row r="6795">
      <c r="A6795" s="17">
        <v>1004001.0</v>
      </c>
      <c r="B6795" s="17">
        <v>7040000.0</v>
      </c>
    </row>
    <row r="6796">
      <c r="A6796" s="17">
        <v>1004001.0</v>
      </c>
      <c r="B6796" s="17">
        <v>7040100.0</v>
      </c>
    </row>
    <row r="6797">
      <c r="A6797" s="17">
        <v>1004001.0</v>
      </c>
      <c r="B6797" s="17">
        <v>7040200.0</v>
      </c>
    </row>
    <row r="6798">
      <c r="A6798" s="17">
        <v>1004001.0</v>
      </c>
      <c r="B6798" s="17">
        <v>7040300.0</v>
      </c>
    </row>
    <row r="6799">
      <c r="A6799" s="17">
        <v>1004001.0</v>
      </c>
      <c r="B6799" s="17">
        <v>7040400.0</v>
      </c>
    </row>
    <row r="6800">
      <c r="A6800" s="17">
        <v>1004001.0</v>
      </c>
      <c r="B6800" s="17">
        <v>7040500.0</v>
      </c>
    </row>
    <row r="6801">
      <c r="A6801" s="17">
        <v>1004001.0</v>
      </c>
      <c r="B6801" s="17">
        <v>7043000.0</v>
      </c>
    </row>
    <row r="6802">
      <c r="A6802" s="17">
        <v>1004001.0</v>
      </c>
      <c r="B6802" s="17">
        <v>7043100.0</v>
      </c>
    </row>
    <row r="6803">
      <c r="A6803" s="17">
        <v>1004001.0</v>
      </c>
      <c r="B6803" s="17">
        <v>7043200.0</v>
      </c>
    </row>
    <row r="6804">
      <c r="A6804" s="17">
        <v>1004001.0</v>
      </c>
      <c r="B6804" s="17">
        <v>7043300.0</v>
      </c>
    </row>
    <row r="6805">
      <c r="A6805" s="17">
        <v>1004001.0</v>
      </c>
      <c r="B6805" s="17">
        <v>7043400.0</v>
      </c>
    </row>
    <row r="6806">
      <c r="A6806" s="17">
        <v>1004001.0</v>
      </c>
      <c r="B6806" s="17">
        <v>7043500.0</v>
      </c>
    </row>
    <row r="6807">
      <c r="A6807" s="17">
        <v>1004001.0</v>
      </c>
      <c r="B6807" s="17">
        <v>7043600.0</v>
      </c>
    </row>
    <row r="6808">
      <c r="A6808" s="17">
        <v>1004001.0</v>
      </c>
      <c r="B6808" s="17">
        <v>7043700.0</v>
      </c>
    </row>
    <row r="6809">
      <c r="A6809" s="17">
        <v>1004001.0</v>
      </c>
      <c r="B6809" s="17">
        <v>7043800.0</v>
      </c>
    </row>
    <row r="6810">
      <c r="A6810" s="17">
        <v>1004001.0</v>
      </c>
      <c r="B6810" s="17">
        <v>7044000.0</v>
      </c>
    </row>
    <row r="6811">
      <c r="A6811" s="17">
        <v>1004001.0</v>
      </c>
      <c r="B6811" s="17">
        <v>7044100.0</v>
      </c>
    </row>
    <row r="6812">
      <c r="A6812" s="17">
        <v>1004001.0</v>
      </c>
      <c r="B6812" s="17">
        <v>7044200.0</v>
      </c>
    </row>
    <row r="6813">
      <c r="A6813" s="17">
        <v>1004001.0</v>
      </c>
      <c r="B6813" s="17">
        <v>7044300.0</v>
      </c>
    </row>
    <row r="6814">
      <c r="A6814" s="17">
        <v>1004001.0</v>
      </c>
      <c r="B6814" s="17">
        <v>7044400.0</v>
      </c>
    </row>
    <row r="6815">
      <c r="A6815" s="17">
        <v>1004001.0</v>
      </c>
      <c r="B6815" s="17">
        <v>7044500.0</v>
      </c>
    </row>
    <row r="6816">
      <c r="A6816" s="17">
        <v>1004001.0</v>
      </c>
      <c r="B6816" s="17">
        <v>7044600.0</v>
      </c>
    </row>
    <row r="6817">
      <c r="A6817" s="17">
        <v>1004001.0</v>
      </c>
      <c r="B6817" s="17">
        <v>7050000.0</v>
      </c>
    </row>
    <row r="6818">
      <c r="A6818" s="17">
        <v>1004001.0</v>
      </c>
      <c r="B6818" s="17">
        <v>7050100.0</v>
      </c>
    </row>
    <row r="6819">
      <c r="A6819" s="17">
        <v>1004001.0</v>
      </c>
      <c r="B6819" s="17">
        <v>7060000.0</v>
      </c>
    </row>
    <row r="6820">
      <c r="A6820" s="17">
        <v>1004001.0</v>
      </c>
      <c r="B6820" s="17">
        <v>7060100.0</v>
      </c>
    </row>
    <row r="6821">
      <c r="A6821" s="17">
        <v>1004001.0</v>
      </c>
      <c r="B6821" s="17">
        <v>7060200.0</v>
      </c>
    </row>
    <row r="6822">
      <c r="A6822" s="17">
        <v>1004001.0</v>
      </c>
      <c r="B6822" s="17">
        <v>7070000.0</v>
      </c>
    </row>
    <row r="6823">
      <c r="A6823" s="17">
        <v>1004001.0</v>
      </c>
      <c r="B6823" s="17">
        <v>7080000.0</v>
      </c>
    </row>
    <row r="6824">
      <c r="A6824" s="17">
        <v>1004001.0</v>
      </c>
      <c r="B6824" s="17">
        <v>7080100.0</v>
      </c>
    </row>
    <row r="6825">
      <c r="A6825" s="17">
        <v>1004001.0</v>
      </c>
      <c r="B6825" s="17">
        <v>7080200.0</v>
      </c>
    </row>
    <row r="6826">
      <c r="A6826" s="17">
        <v>1004001.0</v>
      </c>
      <c r="B6826" s="17">
        <v>7080300.0</v>
      </c>
    </row>
    <row r="6827">
      <c r="A6827" s="17">
        <v>1004001.0</v>
      </c>
      <c r="B6827" s="17">
        <v>7080400.0</v>
      </c>
    </row>
    <row r="6828">
      <c r="A6828" s="17">
        <v>1004001.0</v>
      </c>
      <c r="B6828" s="17">
        <v>7080500.0</v>
      </c>
    </row>
    <row r="6829">
      <c r="A6829" s="17">
        <v>1004001.0</v>
      </c>
      <c r="B6829" s="17">
        <v>7080600.0</v>
      </c>
    </row>
    <row r="6830">
      <c r="A6830" s="17">
        <v>1004001.0</v>
      </c>
      <c r="B6830" s="17">
        <v>7080700.0</v>
      </c>
    </row>
    <row r="6831">
      <c r="A6831" s="17">
        <v>1004001.0</v>
      </c>
      <c r="B6831" s="17">
        <v>7080800.0</v>
      </c>
    </row>
    <row r="6832">
      <c r="A6832" s="17">
        <v>1004001.0</v>
      </c>
      <c r="B6832" s="17">
        <v>7080900.0</v>
      </c>
    </row>
    <row r="6833">
      <c r="A6833" s="17">
        <v>1004001.0</v>
      </c>
      <c r="B6833" s="17">
        <v>7081000.0</v>
      </c>
    </row>
    <row r="6834">
      <c r="A6834" s="17">
        <v>1004001.0</v>
      </c>
      <c r="B6834" s="17">
        <v>7081100.0</v>
      </c>
    </row>
    <row r="6835">
      <c r="A6835" s="17">
        <v>1004001.0</v>
      </c>
      <c r="B6835" s="17">
        <v>7081200.0</v>
      </c>
    </row>
    <row r="6836">
      <c r="A6836" s="17">
        <v>1004001.0</v>
      </c>
      <c r="B6836" s="17">
        <v>7081300.0</v>
      </c>
    </row>
    <row r="6837">
      <c r="A6837" s="17">
        <v>1004001.0</v>
      </c>
      <c r="B6837" s="17">
        <v>7081400.0</v>
      </c>
    </row>
    <row r="6838">
      <c r="A6838" s="17">
        <v>1004001.0</v>
      </c>
      <c r="B6838" s="17">
        <v>7081500.0</v>
      </c>
    </row>
    <row r="6839">
      <c r="A6839" s="17">
        <v>1004001.0</v>
      </c>
      <c r="B6839" s="17">
        <v>7081700.0</v>
      </c>
    </row>
    <row r="6840">
      <c r="A6840" s="17">
        <v>1004001.0</v>
      </c>
      <c r="B6840" s="17">
        <v>7081800.0</v>
      </c>
    </row>
    <row r="6841">
      <c r="A6841" s="17">
        <v>1004001.0</v>
      </c>
      <c r="B6841" s="17">
        <v>7081900.0</v>
      </c>
    </row>
    <row r="6842">
      <c r="A6842" s="17">
        <v>1004001.0</v>
      </c>
      <c r="B6842" s="17">
        <v>7082000.0</v>
      </c>
    </row>
    <row r="6843">
      <c r="A6843" s="17">
        <v>1004001.0</v>
      </c>
      <c r="B6843" s="17">
        <v>7082100.0</v>
      </c>
    </row>
    <row r="6844">
      <c r="A6844" s="17">
        <v>1004001.0</v>
      </c>
      <c r="B6844" s="17">
        <v>7082200.0</v>
      </c>
    </row>
    <row r="6845">
      <c r="A6845" s="17">
        <v>1004001.0</v>
      </c>
      <c r="B6845" s="17">
        <v>7082300.0</v>
      </c>
    </row>
    <row r="6846">
      <c r="A6846" s="17">
        <v>1004001.0</v>
      </c>
      <c r="B6846" s="17">
        <v>7082400.0</v>
      </c>
    </row>
    <row r="6847">
      <c r="A6847" s="17">
        <v>1004001.0</v>
      </c>
      <c r="B6847" s="17">
        <v>7082500.0</v>
      </c>
    </row>
    <row r="6848">
      <c r="A6848" s="17">
        <v>1004001.0</v>
      </c>
      <c r="B6848" s="17">
        <v>7082600.0</v>
      </c>
    </row>
    <row r="6849">
      <c r="A6849" s="17">
        <v>1004001.0</v>
      </c>
      <c r="B6849" s="17">
        <v>7082700.0</v>
      </c>
    </row>
    <row r="6850">
      <c r="A6850" s="17">
        <v>1004001.0</v>
      </c>
      <c r="B6850" s="17">
        <v>7082800.0</v>
      </c>
    </row>
    <row r="6851">
      <c r="A6851" s="17">
        <v>1004001.0</v>
      </c>
      <c r="B6851" s="17">
        <v>7082900.0</v>
      </c>
    </row>
    <row r="6852">
      <c r="A6852" s="17">
        <v>1004001.0</v>
      </c>
      <c r="B6852" s="17">
        <v>7090000.0</v>
      </c>
    </row>
    <row r="6853">
      <c r="A6853" s="17">
        <v>1004001.0</v>
      </c>
      <c r="B6853" s="17">
        <v>7090100.0</v>
      </c>
    </row>
    <row r="6854">
      <c r="A6854" s="17">
        <v>1004001.0</v>
      </c>
      <c r="B6854" s="17">
        <v>7090300.0</v>
      </c>
    </row>
    <row r="6855">
      <c r="A6855" s="17">
        <v>1004001.0</v>
      </c>
      <c r="B6855" s="17">
        <v>7100100.0</v>
      </c>
    </row>
    <row r="6856">
      <c r="A6856" s="17">
        <v>1004001.0</v>
      </c>
      <c r="B6856" s="17">
        <v>7110000.0</v>
      </c>
    </row>
    <row r="6857">
      <c r="A6857" s="17">
        <v>1004001.0</v>
      </c>
      <c r="B6857" s="17">
        <v>7120000.0</v>
      </c>
    </row>
    <row r="6858">
      <c r="A6858" s="17">
        <v>1004001.0</v>
      </c>
      <c r="B6858" s="17">
        <v>7120100.0</v>
      </c>
    </row>
    <row r="6859">
      <c r="A6859" s="17">
        <v>1004001.0</v>
      </c>
      <c r="B6859" s="17">
        <v>7120200.0</v>
      </c>
    </row>
    <row r="6860">
      <c r="A6860" s="17">
        <v>1004001.0</v>
      </c>
      <c r="B6860" s="17">
        <v>7120300.0</v>
      </c>
    </row>
    <row r="6861">
      <c r="A6861" s="17">
        <v>1004001.0</v>
      </c>
      <c r="B6861" s="17">
        <v>7120400.0</v>
      </c>
    </row>
    <row r="6862">
      <c r="A6862" s="17">
        <v>1004001.0</v>
      </c>
      <c r="B6862" s="17">
        <v>7120500.0</v>
      </c>
    </row>
    <row r="6863">
      <c r="A6863" s="17">
        <v>1004001.0</v>
      </c>
      <c r="B6863" s="17">
        <v>7120600.0</v>
      </c>
    </row>
    <row r="6864">
      <c r="A6864" s="17">
        <v>1004001.0</v>
      </c>
      <c r="B6864" s="17">
        <v>7120900.0</v>
      </c>
    </row>
    <row r="6865">
      <c r="A6865" s="17">
        <v>1004001.0</v>
      </c>
      <c r="B6865" s="17">
        <v>7121000.0</v>
      </c>
    </row>
    <row r="6866">
      <c r="A6866" s="17">
        <v>1004001.0</v>
      </c>
      <c r="B6866" s="17">
        <v>7121100.0</v>
      </c>
    </row>
    <row r="6867">
      <c r="A6867" s="17">
        <v>1004001.0</v>
      </c>
      <c r="B6867" s="17">
        <v>7121200.0</v>
      </c>
    </row>
    <row r="6868">
      <c r="A6868" s="17">
        <v>1004001.0</v>
      </c>
      <c r="B6868" s="17">
        <v>7121300.0</v>
      </c>
    </row>
    <row r="6869">
      <c r="A6869" s="17">
        <v>1004001.0</v>
      </c>
      <c r="B6869" s="17">
        <v>7121400.0</v>
      </c>
    </row>
    <row r="6870">
      <c r="A6870" s="17">
        <v>1004001.0</v>
      </c>
      <c r="B6870" s="17">
        <v>7121500.0</v>
      </c>
    </row>
    <row r="6871">
      <c r="A6871" s="17">
        <v>1004001.0</v>
      </c>
      <c r="B6871" s="17">
        <v>7121600.0</v>
      </c>
    </row>
    <row r="6872">
      <c r="A6872" s="17">
        <v>1004001.0</v>
      </c>
      <c r="B6872" s="17">
        <v>7121700.0</v>
      </c>
    </row>
    <row r="6873">
      <c r="A6873" s="17">
        <v>1004001.0</v>
      </c>
      <c r="B6873" s="17">
        <v>7121800.0</v>
      </c>
    </row>
    <row r="6874">
      <c r="A6874" s="17">
        <v>1004001.0</v>
      </c>
      <c r="B6874" s="17">
        <v>7121900.0</v>
      </c>
    </row>
    <row r="6875">
      <c r="A6875" s="17">
        <v>1004001.0</v>
      </c>
      <c r="B6875" s="17">
        <v>7122000.0</v>
      </c>
    </row>
    <row r="6876">
      <c r="A6876" s="17">
        <v>1004001.0</v>
      </c>
      <c r="B6876" s="17">
        <v>7122100.0</v>
      </c>
    </row>
    <row r="6877">
      <c r="A6877" s="17">
        <v>1004001.0</v>
      </c>
      <c r="B6877" s="17">
        <v>7122200.0</v>
      </c>
    </row>
    <row r="6878">
      <c r="A6878" s="17">
        <v>1004001.0</v>
      </c>
      <c r="B6878" s="17">
        <v>7122300.0</v>
      </c>
    </row>
    <row r="6879">
      <c r="A6879" s="17">
        <v>1004001.0</v>
      </c>
      <c r="B6879" s="17">
        <v>7122400.0</v>
      </c>
    </row>
    <row r="6880">
      <c r="A6880" s="17">
        <v>1004001.0</v>
      </c>
      <c r="B6880" s="17">
        <v>7122500.0</v>
      </c>
    </row>
    <row r="6881">
      <c r="A6881" s="17">
        <v>1004001.0</v>
      </c>
      <c r="B6881" s="17">
        <v>7122600.0</v>
      </c>
    </row>
    <row r="6882">
      <c r="A6882" s="17">
        <v>1004001.0</v>
      </c>
      <c r="B6882" s="17">
        <v>7122700.0</v>
      </c>
    </row>
    <row r="6883">
      <c r="A6883" s="17">
        <v>1004001.0</v>
      </c>
      <c r="B6883" s="17">
        <v>7122800.0</v>
      </c>
    </row>
    <row r="6884">
      <c r="A6884" s="17">
        <v>1004001.0</v>
      </c>
      <c r="B6884" s="17">
        <v>7122900.0</v>
      </c>
    </row>
    <row r="6885">
      <c r="A6885" s="17">
        <v>1004001.0</v>
      </c>
      <c r="B6885" s="17">
        <v>7123000.0</v>
      </c>
    </row>
    <row r="6886">
      <c r="A6886" s="17">
        <v>1004001.0</v>
      </c>
      <c r="B6886" s="17">
        <v>7123100.0</v>
      </c>
    </row>
    <row r="6887">
      <c r="A6887" s="17">
        <v>1004001.0</v>
      </c>
      <c r="B6887" s="17">
        <v>7123200.0</v>
      </c>
    </row>
    <row r="6888">
      <c r="A6888" s="17">
        <v>1004001.0</v>
      </c>
      <c r="B6888" s="17">
        <v>7123300.0</v>
      </c>
    </row>
    <row r="6889">
      <c r="A6889" s="17">
        <v>1004001.0</v>
      </c>
      <c r="B6889" s="17">
        <v>7123400.0</v>
      </c>
    </row>
    <row r="6890">
      <c r="A6890" s="17">
        <v>1004001.0</v>
      </c>
      <c r="B6890" s="17">
        <v>7123500.0</v>
      </c>
    </row>
    <row r="6891">
      <c r="A6891" s="17">
        <v>1004001.0</v>
      </c>
      <c r="B6891" s="17">
        <v>7123600.0</v>
      </c>
    </row>
    <row r="6892">
      <c r="A6892" s="17">
        <v>1004001.0</v>
      </c>
      <c r="B6892" s="17">
        <v>7123700.0</v>
      </c>
    </row>
    <row r="6893">
      <c r="A6893" s="17">
        <v>1004001.0</v>
      </c>
      <c r="B6893" s="17">
        <v>7123800.0</v>
      </c>
    </row>
    <row r="6894">
      <c r="A6894" s="17">
        <v>1004001.0</v>
      </c>
      <c r="B6894" s="17">
        <v>7123900.0</v>
      </c>
    </row>
    <row r="6895">
      <c r="A6895" s="17">
        <v>1004001.0</v>
      </c>
      <c r="B6895" s="17">
        <v>7124000.0</v>
      </c>
    </row>
    <row r="6896">
      <c r="A6896" s="17">
        <v>1004001.0</v>
      </c>
      <c r="B6896" s="17">
        <v>7124100.0</v>
      </c>
    </row>
    <row r="6897">
      <c r="A6897" s="17">
        <v>1004001.0</v>
      </c>
      <c r="B6897" s="17">
        <v>7124300.0</v>
      </c>
    </row>
    <row r="6898">
      <c r="A6898" s="17">
        <v>1004001.0</v>
      </c>
      <c r="B6898" s="17">
        <v>7124400.0</v>
      </c>
    </row>
    <row r="6899">
      <c r="A6899" s="17">
        <v>1004001.0</v>
      </c>
      <c r="B6899" s="17">
        <v>7124500.0</v>
      </c>
    </row>
    <row r="6900">
      <c r="A6900" s="17">
        <v>1004001.0</v>
      </c>
      <c r="B6900" s="17">
        <v>7124600.0</v>
      </c>
    </row>
    <row r="6901">
      <c r="A6901" s="17">
        <v>1004001.0</v>
      </c>
      <c r="B6901" s="17">
        <v>7124700.0</v>
      </c>
    </row>
    <row r="6902">
      <c r="A6902" s="17">
        <v>1004001.0</v>
      </c>
      <c r="B6902" s="17">
        <v>7126000.0</v>
      </c>
    </row>
    <row r="6903">
      <c r="A6903" s="17">
        <v>1004001.0</v>
      </c>
      <c r="B6903" s="17">
        <v>7150000.0</v>
      </c>
    </row>
    <row r="6904">
      <c r="A6904" s="17">
        <v>1004001.0</v>
      </c>
      <c r="B6904" s="17">
        <v>7160000.0</v>
      </c>
    </row>
    <row r="6905">
      <c r="A6905" s="17">
        <v>1004001.0</v>
      </c>
      <c r="B6905" s="17">
        <v>7220000.0</v>
      </c>
    </row>
    <row r="6906">
      <c r="A6906" s="17">
        <v>1004001.0</v>
      </c>
      <c r="B6906" s="17">
        <v>7230000.0</v>
      </c>
    </row>
    <row r="6907">
      <c r="A6907" s="17">
        <v>1004001.0</v>
      </c>
      <c r="B6907" s="17">
        <v>7240000.0</v>
      </c>
    </row>
    <row r="6908">
      <c r="A6908" s="17">
        <v>1004001.0</v>
      </c>
      <c r="B6908" s="17">
        <v>7260000.0</v>
      </c>
    </row>
    <row r="6909">
      <c r="A6909" s="17">
        <v>1004001.0</v>
      </c>
      <c r="B6909" s="17">
        <v>7260300.0</v>
      </c>
    </row>
    <row r="6910">
      <c r="A6910" s="17">
        <v>1004001.0</v>
      </c>
      <c r="B6910" s="17">
        <v>7260400.0</v>
      </c>
    </row>
    <row r="6911">
      <c r="A6911" s="17">
        <v>1004001.0</v>
      </c>
      <c r="B6911" s="17">
        <v>7270100.0</v>
      </c>
    </row>
    <row r="6912">
      <c r="A6912" s="17">
        <v>1004001.0</v>
      </c>
      <c r="B6912" s="17">
        <v>7280000.0</v>
      </c>
    </row>
    <row r="6913">
      <c r="A6913" s="17">
        <v>1004001.0</v>
      </c>
      <c r="B6913" s="17">
        <v>7290000.0</v>
      </c>
    </row>
    <row r="6914">
      <c r="A6914" s="17">
        <v>1004001.0</v>
      </c>
      <c r="B6914" s="17">
        <v>7310000.0</v>
      </c>
    </row>
    <row r="6915">
      <c r="A6915" s="17">
        <v>1004001.0</v>
      </c>
      <c r="B6915" s="17">
        <v>7330000.0</v>
      </c>
    </row>
    <row r="6916">
      <c r="A6916" s="17">
        <v>1004001.0</v>
      </c>
      <c r="B6916" s="17">
        <v>7330100.0</v>
      </c>
    </row>
    <row r="6917">
      <c r="A6917" s="17">
        <v>1004001.0</v>
      </c>
      <c r="B6917" s="17">
        <v>7330200.0</v>
      </c>
    </row>
    <row r="6918">
      <c r="A6918" s="17">
        <v>1004001.0</v>
      </c>
      <c r="B6918" s="17">
        <v>7330300.0</v>
      </c>
    </row>
    <row r="6919">
      <c r="A6919" s="17">
        <v>1004001.0</v>
      </c>
      <c r="B6919" s="17">
        <v>7330400.0</v>
      </c>
    </row>
    <row r="6920">
      <c r="A6920" s="17">
        <v>1004001.0</v>
      </c>
      <c r="B6920" s="17">
        <v>7330500.0</v>
      </c>
    </row>
    <row r="6921">
      <c r="A6921" s="17">
        <v>1004001.0</v>
      </c>
      <c r="B6921" s="17">
        <v>7330600.0</v>
      </c>
    </row>
    <row r="6922">
      <c r="A6922" s="17">
        <v>1004001.0</v>
      </c>
      <c r="B6922" s="17">
        <v>7330700.0</v>
      </c>
    </row>
    <row r="6923">
      <c r="A6923" s="17">
        <v>1004001.0</v>
      </c>
      <c r="B6923" s="17">
        <v>7330800.0</v>
      </c>
    </row>
    <row r="6924">
      <c r="A6924" s="17">
        <v>1004001.0</v>
      </c>
      <c r="B6924" s="17">
        <v>7330900.0</v>
      </c>
    </row>
    <row r="6925">
      <c r="A6925" s="17">
        <v>1004001.0</v>
      </c>
      <c r="B6925" s="17">
        <v>7331000.0</v>
      </c>
    </row>
    <row r="6926">
      <c r="A6926" s="17">
        <v>1004001.0</v>
      </c>
      <c r="B6926" s="17">
        <v>7331100.0</v>
      </c>
    </row>
    <row r="6927">
      <c r="A6927" s="17">
        <v>1004001.0</v>
      </c>
      <c r="B6927" s="17">
        <v>7331200.0</v>
      </c>
    </row>
    <row r="6928">
      <c r="A6928" s="17">
        <v>1004001.0</v>
      </c>
      <c r="B6928" s="17">
        <v>7331300.0</v>
      </c>
    </row>
    <row r="6929">
      <c r="A6929" s="17">
        <v>1004001.0</v>
      </c>
      <c r="B6929" s="17">
        <v>7331400.0</v>
      </c>
    </row>
    <row r="6930">
      <c r="A6930" s="17">
        <v>1004001.0</v>
      </c>
      <c r="B6930" s="17">
        <v>7331500.0</v>
      </c>
    </row>
    <row r="6931">
      <c r="A6931" s="17">
        <v>1004001.0</v>
      </c>
      <c r="B6931" s="17">
        <v>7331700.0</v>
      </c>
    </row>
    <row r="6932">
      <c r="A6932" s="17">
        <v>1004001.0</v>
      </c>
      <c r="B6932" s="17">
        <v>7331800.0</v>
      </c>
    </row>
    <row r="6933">
      <c r="A6933" s="17">
        <v>1004001.0</v>
      </c>
      <c r="B6933" s="17">
        <v>7331900.0</v>
      </c>
    </row>
    <row r="6934">
      <c r="A6934" s="17">
        <v>1004001.0</v>
      </c>
      <c r="B6934" s="17">
        <v>7332000.0</v>
      </c>
    </row>
    <row r="6935">
      <c r="A6935" s="17">
        <v>1004001.0</v>
      </c>
      <c r="B6935" s="17">
        <v>7332100.0</v>
      </c>
    </row>
    <row r="6936">
      <c r="A6936" s="17">
        <v>1004001.0</v>
      </c>
      <c r="B6936" s="17">
        <v>7332200.0</v>
      </c>
    </row>
    <row r="6937">
      <c r="A6937" s="17">
        <v>1004001.0</v>
      </c>
      <c r="B6937" s="17">
        <v>7332300.0</v>
      </c>
    </row>
    <row r="6938">
      <c r="A6938" s="17">
        <v>1004001.0</v>
      </c>
      <c r="B6938" s="17">
        <v>7332400.0</v>
      </c>
    </row>
    <row r="6939">
      <c r="A6939" s="17">
        <v>1004001.0</v>
      </c>
      <c r="B6939" s="17">
        <v>7340000.0</v>
      </c>
    </row>
    <row r="6940">
      <c r="A6940" s="17">
        <v>1004001.0</v>
      </c>
      <c r="B6940" s="17">
        <v>7340100.0</v>
      </c>
    </row>
    <row r="6941">
      <c r="A6941" s="17">
        <v>1004001.0</v>
      </c>
      <c r="B6941" s="17">
        <v>7340200.0</v>
      </c>
    </row>
    <row r="6942">
      <c r="A6942" s="17">
        <v>1004001.0</v>
      </c>
      <c r="B6942" s="17">
        <v>7340300.0</v>
      </c>
    </row>
    <row r="6943">
      <c r="A6943" s="17">
        <v>1004001.0</v>
      </c>
      <c r="B6943" s="17">
        <v>7340400.0</v>
      </c>
    </row>
    <row r="6944">
      <c r="A6944" s="17">
        <v>1004001.0</v>
      </c>
      <c r="B6944" s="17">
        <v>7340500.0</v>
      </c>
    </row>
    <row r="6945">
      <c r="A6945" s="17">
        <v>1004001.0</v>
      </c>
      <c r="B6945" s="17">
        <v>7340600.0</v>
      </c>
    </row>
    <row r="6946">
      <c r="A6946" s="17">
        <v>1004001.0</v>
      </c>
      <c r="B6946" s="17">
        <v>7340700.0</v>
      </c>
    </row>
    <row r="6947">
      <c r="A6947" s="17">
        <v>1004001.0</v>
      </c>
      <c r="B6947" s="17">
        <v>7340800.0</v>
      </c>
    </row>
    <row r="6948">
      <c r="A6948" s="17">
        <v>1004001.0</v>
      </c>
      <c r="B6948" s="17">
        <v>7340900.0</v>
      </c>
    </row>
    <row r="6949">
      <c r="A6949" s="17">
        <v>1004001.0</v>
      </c>
      <c r="B6949" s="17">
        <v>7341000.0</v>
      </c>
    </row>
    <row r="6950">
      <c r="A6950" s="17">
        <v>1004001.0</v>
      </c>
      <c r="B6950" s="17">
        <v>7341100.0</v>
      </c>
    </row>
    <row r="6951">
      <c r="A6951" s="17">
        <v>1004001.0</v>
      </c>
      <c r="B6951" s="17">
        <v>7341200.0</v>
      </c>
    </row>
    <row r="6952">
      <c r="A6952" s="17">
        <v>1004001.0</v>
      </c>
      <c r="B6952" s="17">
        <v>7341300.0</v>
      </c>
    </row>
    <row r="6953">
      <c r="A6953" s="17">
        <v>1004001.0</v>
      </c>
      <c r="B6953" s="17">
        <v>7341400.0</v>
      </c>
    </row>
    <row r="6954">
      <c r="A6954" s="17">
        <v>1004001.0</v>
      </c>
      <c r="B6954" s="17">
        <v>7341500.0</v>
      </c>
    </row>
    <row r="6955">
      <c r="A6955" s="17">
        <v>1004001.0</v>
      </c>
      <c r="B6955" s="17">
        <v>7341700.0</v>
      </c>
    </row>
    <row r="6956">
      <c r="A6956" s="17">
        <v>1004001.0</v>
      </c>
      <c r="B6956" s="17">
        <v>7341800.0</v>
      </c>
    </row>
    <row r="6957">
      <c r="A6957" s="17">
        <v>1004001.0</v>
      </c>
      <c r="B6957" s="17">
        <v>7341900.0</v>
      </c>
    </row>
    <row r="6958">
      <c r="A6958" s="17">
        <v>1004001.0</v>
      </c>
      <c r="B6958" s="17">
        <v>7342000.0</v>
      </c>
    </row>
    <row r="6959">
      <c r="A6959" s="17">
        <v>1004001.0</v>
      </c>
      <c r="B6959" s="17">
        <v>7342100.0</v>
      </c>
    </row>
    <row r="6960">
      <c r="A6960" s="17">
        <v>1004001.0</v>
      </c>
      <c r="B6960" s="17">
        <v>7342200.0</v>
      </c>
    </row>
    <row r="6961">
      <c r="A6961" s="17">
        <v>1004001.0</v>
      </c>
      <c r="B6961" s="17">
        <v>7342300.0</v>
      </c>
    </row>
    <row r="6962">
      <c r="A6962" s="17">
        <v>1004001.0</v>
      </c>
      <c r="B6962" s="17">
        <v>7342400.0</v>
      </c>
    </row>
    <row r="6963">
      <c r="A6963" s="17">
        <v>1004001.0</v>
      </c>
      <c r="B6963" s="17">
        <v>7350000.0</v>
      </c>
    </row>
    <row r="6964">
      <c r="A6964" s="17">
        <v>1004001.0</v>
      </c>
      <c r="B6964" s="17">
        <v>7350100.0</v>
      </c>
    </row>
    <row r="6965">
      <c r="A6965" s="17">
        <v>1004001.0</v>
      </c>
      <c r="B6965" s="17">
        <v>7350200.0</v>
      </c>
    </row>
    <row r="6966">
      <c r="A6966" s="17">
        <v>1004001.0</v>
      </c>
      <c r="B6966" s="17">
        <v>7350300.0</v>
      </c>
    </row>
    <row r="6967">
      <c r="A6967" s="17">
        <v>1004001.0</v>
      </c>
      <c r="B6967" s="17">
        <v>7350400.0</v>
      </c>
    </row>
    <row r="6968">
      <c r="A6968" s="17">
        <v>1004001.0</v>
      </c>
      <c r="B6968" s="17">
        <v>7350500.0</v>
      </c>
    </row>
    <row r="6969">
      <c r="A6969" s="17">
        <v>1004001.0</v>
      </c>
      <c r="B6969" s="17">
        <v>7350600.0</v>
      </c>
    </row>
    <row r="6970">
      <c r="A6970" s="17">
        <v>1004001.0</v>
      </c>
      <c r="B6970" s="17">
        <v>7350700.0</v>
      </c>
    </row>
    <row r="6971">
      <c r="A6971" s="17">
        <v>1004001.0</v>
      </c>
      <c r="B6971" s="17">
        <v>7350800.0</v>
      </c>
    </row>
    <row r="6972">
      <c r="A6972" s="17">
        <v>1004001.0</v>
      </c>
      <c r="B6972" s="17">
        <v>7350900.0</v>
      </c>
    </row>
    <row r="6973">
      <c r="A6973" s="17">
        <v>1004001.0</v>
      </c>
      <c r="B6973" s="17">
        <v>7351000.0</v>
      </c>
    </row>
    <row r="6974">
      <c r="A6974" s="17">
        <v>1004001.0</v>
      </c>
      <c r="B6974" s="17">
        <v>7351100.0</v>
      </c>
    </row>
    <row r="6975">
      <c r="A6975" s="17">
        <v>1004001.0</v>
      </c>
      <c r="B6975" s="17">
        <v>7351200.0</v>
      </c>
    </row>
    <row r="6976">
      <c r="A6976" s="17">
        <v>1004001.0</v>
      </c>
      <c r="B6976" s="17">
        <v>7351300.0</v>
      </c>
    </row>
    <row r="6977">
      <c r="A6977" s="17">
        <v>1004001.0</v>
      </c>
      <c r="B6977" s="17">
        <v>7351400.0</v>
      </c>
    </row>
    <row r="6978">
      <c r="A6978" s="17">
        <v>1004001.0</v>
      </c>
      <c r="B6978" s="17">
        <v>7351500.0</v>
      </c>
    </row>
    <row r="6979">
      <c r="A6979" s="17">
        <v>1004001.0</v>
      </c>
      <c r="B6979" s="17">
        <v>7351700.0</v>
      </c>
    </row>
    <row r="6980">
      <c r="A6980" s="17">
        <v>1004001.0</v>
      </c>
      <c r="B6980" s="17">
        <v>7351800.0</v>
      </c>
    </row>
    <row r="6981">
      <c r="A6981" s="17">
        <v>1004001.0</v>
      </c>
      <c r="B6981" s="17">
        <v>7351900.0</v>
      </c>
    </row>
    <row r="6982">
      <c r="A6982" s="17">
        <v>1004001.0</v>
      </c>
      <c r="B6982" s="17">
        <v>7352000.0</v>
      </c>
    </row>
    <row r="6983">
      <c r="A6983" s="17">
        <v>1004001.0</v>
      </c>
      <c r="B6983" s="17">
        <v>7352100.0</v>
      </c>
    </row>
    <row r="6984">
      <c r="A6984" s="17">
        <v>1004001.0</v>
      </c>
      <c r="B6984" s="17">
        <v>7352200.0</v>
      </c>
    </row>
    <row r="6985">
      <c r="A6985" s="17">
        <v>1004001.0</v>
      </c>
      <c r="B6985" s="17">
        <v>7352300.0</v>
      </c>
    </row>
    <row r="6986">
      <c r="A6986" s="17">
        <v>1004001.0</v>
      </c>
      <c r="B6986" s="17">
        <v>7352400.0</v>
      </c>
    </row>
    <row r="6987">
      <c r="A6987" s="17">
        <v>1004001.0</v>
      </c>
      <c r="B6987" s="17">
        <v>7360600.0</v>
      </c>
    </row>
    <row r="6988">
      <c r="A6988" s="17">
        <v>1004001.0</v>
      </c>
      <c r="B6988" s="17">
        <v>7360900.0</v>
      </c>
    </row>
    <row r="6989">
      <c r="A6989" s="17">
        <v>1004001.0</v>
      </c>
      <c r="B6989" s="17">
        <v>7361200.0</v>
      </c>
    </row>
    <row r="6990">
      <c r="A6990" s="17">
        <v>1004001.0</v>
      </c>
      <c r="B6990" s="17">
        <v>7361300.0</v>
      </c>
    </row>
    <row r="6991">
      <c r="A6991" s="17">
        <v>1004001.0</v>
      </c>
      <c r="B6991" s="17">
        <v>7362100.0</v>
      </c>
    </row>
    <row r="6992">
      <c r="A6992" s="17">
        <v>1004001.0</v>
      </c>
      <c r="B6992" s="17">
        <v>7370300.0</v>
      </c>
    </row>
    <row r="6993">
      <c r="A6993" s="17">
        <v>1004001.0</v>
      </c>
      <c r="B6993" s="17">
        <v>7370400.0</v>
      </c>
    </row>
    <row r="6994">
      <c r="A6994" s="17">
        <v>1004001.0</v>
      </c>
      <c r="B6994" s="17">
        <v>7370600.0</v>
      </c>
    </row>
    <row r="6995">
      <c r="A6995" s="17">
        <v>1004001.0</v>
      </c>
      <c r="B6995" s="17">
        <v>7370900.0</v>
      </c>
    </row>
    <row r="6996">
      <c r="A6996" s="17">
        <v>1004001.0</v>
      </c>
      <c r="B6996" s="17">
        <v>7371500.0</v>
      </c>
    </row>
    <row r="6997">
      <c r="A6997" s="17">
        <v>1004001.0</v>
      </c>
      <c r="B6997" s="17">
        <v>7036200.0</v>
      </c>
    </row>
    <row r="6998">
      <c r="A6998" s="17">
        <v>1004001.0</v>
      </c>
      <c r="B6998" s="17">
        <v>7036300.0</v>
      </c>
    </row>
    <row r="6999">
      <c r="A6999" s="17">
        <v>1004001.0</v>
      </c>
      <c r="B6999" s="17">
        <v>7036400.0</v>
      </c>
    </row>
    <row r="7000">
      <c r="A7000" s="17">
        <v>1004001.0</v>
      </c>
      <c r="B7000" s="17">
        <v>7036500.0</v>
      </c>
    </row>
    <row r="7001">
      <c r="A7001" s="17">
        <v>1004001.0</v>
      </c>
      <c r="B7001" s="17">
        <v>7036800.0</v>
      </c>
    </row>
    <row r="7002">
      <c r="A7002" s="17">
        <v>1004001.0</v>
      </c>
      <c r="B7002" s="17">
        <v>7036900.0</v>
      </c>
    </row>
    <row r="7003">
      <c r="A7003" s="17">
        <v>1004001.0</v>
      </c>
      <c r="B7003" s="17">
        <v>7037000.0</v>
      </c>
    </row>
    <row r="7004">
      <c r="A7004" s="17">
        <v>1004001.0</v>
      </c>
      <c r="B7004" s="17">
        <v>7037300.0</v>
      </c>
    </row>
    <row r="7005">
      <c r="A7005" s="17">
        <v>1004001.0</v>
      </c>
      <c r="B7005" s="17">
        <v>6630000.0</v>
      </c>
    </row>
    <row r="7006">
      <c r="A7006" s="17">
        <v>1004001.0</v>
      </c>
      <c r="B7006" s="17">
        <v>6630100.0</v>
      </c>
    </row>
    <row r="7007">
      <c r="A7007" s="17">
        <v>1004001.0</v>
      </c>
      <c r="B7007" s="17">
        <v>6630200.0</v>
      </c>
    </row>
    <row r="7008">
      <c r="A7008" s="17">
        <v>1004001.0</v>
      </c>
      <c r="B7008" s="17">
        <v>6630300.0</v>
      </c>
    </row>
    <row r="7009">
      <c r="A7009" s="17">
        <v>1004001.0</v>
      </c>
      <c r="B7009" s="17">
        <v>6630400.0</v>
      </c>
    </row>
    <row r="7010">
      <c r="A7010" s="17">
        <v>1004001.0</v>
      </c>
      <c r="B7010" s="17">
        <v>6630500.0</v>
      </c>
    </row>
    <row r="7011">
      <c r="A7011" s="17">
        <v>1004001.0</v>
      </c>
      <c r="B7011" s="17">
        <v>6630600.0</v>
      </c>
    </row>
    <row r="7012">
      <c r="A7012" s="17">
        <v>1004001.0</v>
      </c>
      <c r="B7012" s="17">
        <v>6630700.0</v>
      </c>
    </row>
    <row r="7013">
      <c r="A7013" s="17">
        <v>1004001.0</v>
      </c>
      <c r="B7013" s="17">
        <v>6630800.0</v>
      </c>
    </row>
    <row r="7014">
      <c r="A7014" s="17">
        <v>1004001.0</v>
      </c>
      <c r="B7014" s="17">
        <v>6630900.0</v>
      </c>
    </row>
    <row r="7015">
      <c r="A7015" s="17">
        <v>1004001.0</v>
      </c>
      <c r="B7015" s="17">
        <v>6631000.0</v>
      </c>
    </row>
    <row r="7016">
      <c r="A7016" s="17">
        <v>1004001.0</v>
      </c>
      <c r="B7016" s="17">
        <v>6631100.0</v>
      </c>
    </row>
    <row r="7017">
      <c r="A7017" s="17">
        <v>1004001.0</v>
      </c>
      <c r="B7017" s="17">
        <v>6631200.0</v>
      </c>
    </row>
    <row r="7018">
      <c r="A7018" s="17">
        <v>1004001.0</v>
      </c>
      <c r="B7018" s="17">
        <v>6631300.0</v>
      </c>
    </row>
    <row r="7019">
      <c r="A7019" s="17">
        <v>1004001.0</v>
      </c>
      <c r="B7019" s="17">
        <v>6631400.0</v>
      </c>
    </row>
    <row r="7020">
      <c r="A7020" s="17">
        <v>1004001.0</v>
      </c>
      <c r="B7020" s="17">
        <v>6631500.0</v>
      </c>
    </row>
    <row r="7021">
      <c r="A7021" s="17">
        <v>1004001.0</v>
      </c>
      <c r="B7021" s="17">
        <v>6631600.0</v>
      </c>
    </row>
    <row r="7022">
      <c r="A7022" s="17">
        <v>1004001.0</v>
      </c>
      <c r="B7022" s="17">
        <v>6631700.0</v>
      </c>
    </row>
    <row r="7023">
      <c r="A7023" s="17">
        <v>1004001.0</v>
      </c>
      <c r="B7023" s="17">
        <v>6631800.0</v>
      </c>
    </row>
    <row r="7024">
      <c r="A7024" s="17">
        <v>1004001.0</v>
      </c>
      <c r="B7024" s="17">
        <v>6631900.0</v>
      </c>
    </row>
    <row r="7025">
      <c r="A7025" s="17">
        <v>1004001.0</v>
      </c>
      <c r="B7025" s="17">
        <v>6632000.0</v>
      </c>
    </row>
    <row r="7026">
      <c r="A7026" s="17">
        <v>1004001.0</v>
      </c>
      <c r="B7026" s="17">
        <v>6632100.0</v>
      </c>
    </row>
    <row r="7027">
      <c r="A7027" s="17">
        <v>1004001.0</v>
      </c>
      <c r="B7027" s="17">
        <v>6632200.0</v>
      </c>
    </row>
    <row r="7028">
      <c r="A7028" s="17">
        <v>1004001.0</v>
      </c>
      <c r="B7028" s="17">
        <v>6632300.0</v>
      </c>
    </row>
    <row r="7029">
      <c r="A7029" s="17">
        <v>1004001.0</v>
      </c>
      <c r="B7029" s="17">
        <v>6632400.0</v>
      </c>
    </row>
    <row r="7030">
      <c r="A7030" s="17">
        <v>1004001.0</v>
      </c>
      <c r="B7030" s="17">
        <v>6632500.0</v>
      </c>
    </row>
    <row r="7031">
      <c r="A7031" s="17">
        <v>1004001.0</v>
      </c>
      <c r="B7031" s="17">
        <v>6632600.0</v>
      </c>
    </row>
    <row r="7032">
      <c r="A7032" s="17">
        <v>1004001.0</v>
      </c>
      <c r="B7032" s="17">
        <v>6632700.0</v>
      </c>
    </row>
    <row r="7033">
      <c r="A7033" s="17">
        <v>1004001.0</v>
      </c>
      <c r="B7033" s="17">
        <v>6632800.0</v>
      </c>
    </row>
    <row r="7034">
      <c r="A7034" s="17">
        <v>1004001.0</v>
      </c>
      <c r="B7034" s="17">
        <v>6632900.0</v>
      </c>
    </row>
    <row r="7035">
      <c r="A7035" s="17">
        <v>1004001.0</v>
      </c>
      <c r="B7035" s="17">
        <v>6633000.0</v>
      </c>
    </row>
    <row r="7036">
      <c r="A7036" s="17">
        <v>1004001.0</v>
      </c>
      <c r="B7036" s="17">
        <v>6633100.0</v>
      </c>
    </row>
    <row r="7037">
      <c r="A7037" s="17">
        <v>1004001.0</v>
      </c>
      <c r="B7037" s="17">
        <v>6633200.0</v>
      </c>
    </row>
    <row r="7038">
      <c r="A7038" s="17">
        <v>1004001.0</v>
      </c>
      <c r="B7038" s="17">
        <v>6647200.0</v>
      </c>
    </row>
    <row r="7039">
      <c r="A7039" s="17">
        <v>1004001.0</v>
      </c>
      <c r="B7039" s="17">
        <v>6647300.0</v>
      </c>
    </row>
    <row r="7040">
      <c r="A7040" s="17">
        <v>1004001.0</v>
      </c>
      <c r="B7040" s="17">
        <v>6647400.0</v>
      </c>
    </row>
    <row r="7041">
      <c r="A7041" s="17">
        <v>1004001.0</v>
      </c>
      <c r="B7041" s="17">
        <v>6647500.0</v>
      </c>
    </row>
    <row r="7042">
      <c r="A7042" s="17">
        <v>1004001.0</v>
      </c>
      <c r="B7042" s="17">
        <v>6640000.0</v>
      </c>
    </row>
    <row r="7043">
      <c r="A7043" s="17">
        <v>1004001.0</v>
      </c>
      <c r="B7043" s="17">
        <v>6640100.0</v>
      </c>
    </row>
    <row r="7044">
      <c r="A7044" s="17">
        <v>1004001.0</v>
      </c>
      <c r="B7044" s="17">
        <v>6641000.0</v>
      </c>
    </row>
    <row r="7045">
      <c r="A7045" s="17">
        <v>1004001.0</v>
      </c>
      <c r="B7045" s="17">
        <v>6641100.0</v>
      </c>
    </row>
    <row r="7046">
      <c r="A7046" s="17">
        <v>1004001.0</v>
      </c>
      <c r="B7046" s="17">
        <v>6642000.0</v>
      </c>
    </row>
    <row r="7047">
      <c r="A7047" s="17">
        <v>1004001.0</v>
      </c>
      <c r="B7047" s="17">
        <v>6642100.0</v>
      </c>
    </row>
    <row r="7048">
      <c r="A7048" s="17">
        <v>1004001.0</v>
      </c>
      <c r="B7048" s="17">
        <v>6643000.0</v>
      </c>
    </row>
    <row r="7049">
      <c r="A7049" s="17">
        <v>1004001.0</v>
      </c>
      <c r="B7049" s="17">
        <v>6643100.0</v>
      </c>
    </row>
    <row r="7050">
      <c r="A7050" s="17">
        <v>1004001.0</v>
      </c>
      <c r="B7050" s="17">
        <v>6644000.0</v>
      </c>
    </row>
    <row r="7051">
      <c r="A7051" s="17">
        <v>1004001.0</v>
      </c>
      <c r="B7051" s="17">
        <v>6644100.0</v>
      </c>
    </row>
    <row r="7052">
      <c r="A7052" s="17">
        <v>1004001.0</v>
      </c>
      <c r="B7052" s="17">
        <v>6645000.0</v>
      </c>
    </row>
    <row r="7053">
      <c r="A7053" s="17">
        <v>1004001.0</v>
      </c>
      <c r="B7053" s="17">
        <v>6645100.0</v>
      </c>
    </row>
    <row r="7054">
      <c r="A7054" s="17">
        <v>1004001.0</v>
      </c>
      <c r="B7054" s="17">
        <v>6646000.0</v>
      </c>
    </row>
    <row r="7055">
      <c r="A7055" s="17">
        <v>1004001.0</v>
      </c>
      <c r="B7055" s="17">
        <v>6646100.0</v>
      </c>
    </row>
    <row r="7056">
      <c r="A7056" s="17">
        <v>1004001.0</v>
      </c>
      <c r="B7056" s="17">
        <v>6647000.0</v>
      </c>
    </row>
    <row r="7057">
      <c r="A7057" s="17">
        <v>1004001.0</v>
      </c>
      <c r="B7057" s="17">
        <v>6647100.0</v>
      </c>
    </row>
    <row r="7058">
      <c r="A7058" s="17">
        <v>1004002.0</v>
      </c>
      <c r="B7058" s="17">
        <v>7000000.0</v>
      </c>
    </row>
    <row r="7059">
      <c r="A7059" s="17">
        <v>1004002.0</v>
      </c>
      <c r="B7059" s="17">
        <v>7000001.0</v>
      </c>
    </row>
    <row r="7060">
      <c r="A7060" s="17">
        <v>1004002.0</v>
      </c>
      <c r="B7060" s="17">
        <v>7000002.0</v>
      </c>
    </row>
    <row r="7061">
      <c r="A7061" s="17">
        <v>1004002.0</v>
      </c>
      <c r="B7061" s="17">
        <v>7000100.0</v>
      </c>
    </row>
    <row r="7062">
      <c r="A7062" s="17">
        <v>1004002.0</v>
      </c>
      <c r="B7062" s="17">
        <v>7000101.0</v>
      </c>
    </row>
    <row r="7063">
      <c r="A7063" s="17">
        <v>1004002.0</v>
      </c>
      <c r="B7063" s="17">
        <v>7000102.0</v>
      </c>
    </row>
    <row r="7064">
      <c r="A7064" s="17">
        <v>1004002.0</v>
      </c>
      <c r="B7064" s="17">
        <v>7000200.0</v>
      </c>
    </row>
    <row r="7065">
      <c r="A7065" s="17">
        <v>1004002.0</v>
      </c>
      <c r="B7065" s="17">
        <v>7000201.0</v>
      </c>
    </row>
    <row r="7066">
      <c r="A7066" s="17">
        <v>1004002.0</v>
      </c>
      <c r="B7066" s="17">
        <v>7000202.0</v>
      </c>
    </row>
    <row r="7067">
      <c r="A7067" s="17">
        <v>1004002.0</v>
      </c>
      <c r="B7067" s="17">
        <v>7000300.0</v>
      </c>
    </row>
    <row r="7068">
      <c r="A7068" s="17">
        <v>1004002.0</v>
      </c>
      <c r="B7068" s="17">
        <v>7000301.0</v>
      </c>
    </row>
    <row r="7069">
      <c r="A7069" s="17">
        <v>1004002.0</v>
      </c>
      <c r="B7069" s="17">
        <v>7000302.0</v>
      </c>
    </row>
    <row r="7070">
      <c r="A7070" s="17">
        <v>1004002.0</v>
      </c>
      <c r="B7070" s="17">
        <v>7000400.0</v>
      </c>
    </row>
    <row r="7071">
      <c r="A7071" s="17">
        <v>1004002.0</v>
      </c>
      <c r="B7071" s="17">
        <v>7000401.0</v>
      </c>
    </row>
    <row r="7072">
      <c r="A7072" s="17">
        <v>1004002.0</v>
      </c>
      <c r="B7072" s="17">
        <v>7000402.0</v>
      </c>
    </row>
    <row r="7073">
      <c r="A7073" s="17">
        <v>1004002.0</v>
      </c>
      <c r="B7073" s="17">
        <v>7000500.0</v>
      </c>
    </row>
    <row r="7074">
      <c r="A7074" s="17">
        <v>1004002.0</v>
      </c>
      <c r="B7074" s="17">
        <v>7000501.0</v>
      </c>
    </row>
    <row r="7075">
      <c r="A7075" s="17">
        <v>1004002.0</v>
      </c>
      <c r="B7075" s="17">
        <v>7000502.0</v>
      </c>
    </row>
    <row r="7076">
      <c r="A7076" s="17">
        <v>1004002.0</v>
      </c>
      <c r="B7076" s="17">
        <v>7000600.0</v>
      </c>
    </row>
    <row r="7077">
      <c r="A7077" s="17">
        <v>1004002.0</v>
      </c>
      <c r="B7077" s="17">
        <v>7000601.0</v>
      </c>
    </row>
    <row r="7078">
      <c r="A7078" s="17">
        <v>1004002.0</v>
      </c>
      <c r="B7078" s="17">
        <v>7000602.0</v>
      </c>
    </row>
    <row r="7079">
      <c r="A7079" s="17">
        <v>1004002.0</v>
      </c>
      <c r="B7079" s="17">
        <v>7000700.0</v>
      </c>
    </row>
    <row r="7080">
      <c r="A7080" s="17">
        <v>1004002.0</v>
      </c>
      <c r="B7080" s="17">
        <v>7000701.0</v>
      </c>
    </row>
    <row r="7081">
      <c r="A7081" s="17">
        <v>1004002.0</v>
      </c>
      <c r="B7081" s="17">
        <v>7000702.0</v>
      </c>
    </row>
    <row r="7082">
      <c r="A7082" s="17">
        <v>1004002.0</v>
      </c>
      <c r="B7082" s="17">
        <v>7000800.0</v>
      </c>
    </row>
    <row r="7083">
      <c r="A7083" s="17">
        <v>1004002.0</v>
      </c>
      <c r="B7083" s="17">
        <v>7000801.0</v>
      </c>
    </row>
    <row r="7084">
      <c r="A7084" s="17">
        <v>1004002.0</v>
      </c>
      <c r="B7084" s="17">
        <v>7000802.0</v>
      </c>
    </row>
    <row r="7085">
      <c r="A7085" s="17">
        <v>1004002.0</v>
      </c>
      <c r="B7085" s="17">
        <v>7000900.0</v>
      </c>
    </row>
    <row r="7086">
      <c r="A7086" s="17">
        <v>1004002.0</v>
      </c>
      <c r="B7086" s="17">
        <v>7000901.0</v>
      </c>
    </row>
    <row r="7087">
      <c r="A7087" s="17">
        <v>1004002.0</v>
      </c>
      <c r="B7087" s="17">
        <v>7000902.0</v>
      </c>
    </row>
    <row r="7088">
      <c r="A7088" s="17">
        <v>1004002.0</v>
      </c>
      <c r="B7088" s="17">
        <v>7001000.0</v>
      </c>
    </row>
    <row r="7089">
      <c r="A7089" s="17">
        <v>1004002.0</v>
      </c>
      <c r="B7089" s="17">
        <v>7001001.0</v>
      </c>
    </row>
    <row r="7090">
      <c r="A7090" s="17">
        <v>1004002.0</v>
      </c>
      <c r="B7090" s="17">
        <v>7001002.0</v>
      </c>
    </row>
    <row r="7091">
      <c r="A7091" s="17">
        <v>1004002.0</v>
      </c>
      <c r="B7091" s="17">
        <v>7001400.0</v>
      </c>
    </row>
    <row r="7092">
      <c r="A7092" s="17">
        <v>1004002.0</v>
      </c>
      <c r="B7092" s="17">
        <v>7001401.0</v>
      </c>
    </row>
    <row r="7093">
      <c r="A7093" s="17">
        <v>1004002.0</v>
      </c>
      <c r="B7093" s="17">
        <v>7001402.0</v>
      </c>
    </row>
    <row r="7094">
      <c r="A7094" s="17">
        <v>1004002.0</v>
      </c>
      <c r="B7094" s="17">
        <v>7001500.0</v>
      </c>
    </row>
    <row r="7095">
      <c r="A7095" s="17">
        <v>1004002.0</v>
      </c>
      <c r="B7095" s="17">
        <v>7001501.0</v>
      </c>
    </row>
    <row r="7096">
      <c r="A7096" s="17">
        <v>1004002.0</v>
      </c>
      <c r="B7096" s="17">
        <v>7001502.0</v>
      </c>
    </row>
    <row r="7097">
      <c r="A7097" s="17">
        <v>1004002.0</v>
      </c>
      <c r="B7097" s="17">
        <v>7001600.0</v>
      </c>
    </row>
    <row r="7098">
      <c r="A7098" s="17">
        <v>1004002.0</v>
      </c>
      <c r="B7098" s="17">
        <v>7001601.0</v>
      </c>
    </row>
    <row r="7099">
      <c r="A7099" s="17">
        <v>1004002.0</v>
      </c>
      <c r="B7099" s="17">
        <v>7001602.0</v>
      </c>
    </row>
    <row r="7100">
      <c r="A7100" s="17">
        <v>1004002.0</v>
      </c>
      <c r="B7100" s="17">
        <v>7001700.0</v>
      </c>
    </row>
    <row r="7101">
      <c r="A7101" s="17">
        <v>1004002.0</v>
      </c>
      <c r="B7101" s="17">
        <v>7001701.0</v>
      </c>
    </row>
    <row r="7102">
      <c r="A7102" s="17">
        <v>1004002.0</v>
      </c>
      <c r="B7102" s="17">
        <v>7001702.0</v>
      </c>
    </row>
    <row r="7103">
      <c r="A7103" s="17">
        <v>1004002.0</v>
      </c>
      <c r="B7103" s="17">
        <v>7001800.0</v>
      </c>
    </row>
    <row r="7104">
      <c r="A7104" s="17">
        <v>1004002.0</v>
      </c>
      <c r="B7104" s="17">
        <v>7001801.0</v>
      </c>
    </row>
    <row r="7105">
      <c r="A7105" s="17">
        <v>1004002.0</v>
      </c>
      <c r="B7105" s="17">
        <v>7001802.0</v>
      </c>
    </row>
    <row r="7106">
      <c r="A7106" s="17">
        <v>1004002.0</v>
      </c>
      <c r="B7106" s="17">
        <v>7002600.0</v>
      </c>
    </row>
    <row r="7107">
      <c r="A7107" s="17">
        <v>1004002.0</v>
      </c>
      <c r="B7107" s="17">
        <v>7002700.0</v>
      </c>
    </row>
    <row r="7108">
      <c r="A7108" s="17">
        <v>1004002.0</v>
      </c>
      <c r="B7108" s="17">
        <v>7002800.0</v>
      </c>
    </row>
    <row r="7109">
      <c r="A7109" s="17">
        <v>1004002.0</v>
      </c>
      <c r="B7109" s="17">
        <v>7002900.0</v>
      </c>
    </row>
    <row r="7110">
      <c r="A7110" s="17">
        <v>1004002.0</v>
      </c>
      <c r="B7110" s="17">
        <v>7003000.0</v>
      </c>
    </row>
    <row r="7111">
      <c r="A7111" s="17">
        <v>1004002.0</v>
      </c>
      <c r="B7111" s="17">
        <v>7003100.0</v>
      </c>
    </row>
    <row r="7112">
      <c r="A7112" s="17">
        <v>1004002.0</v>
      </c>
      <c r="B7112" s="17">
        <v>7003200.0</v>
      </c>
    </row>
    <row r="7113">
      <c r="A7113" s="17">
        <v>1004002.0</v>
      </c>
      <c r="B7113" s="17">
        <v>7003300.0</v>
      </c>
    </row>
    <row r="7114">
      <c r="A7114" s="17">
        <v>1004002.0</v>
      </c>
      <c r="B7114" s="17">
        <v>7003400.0</v>
      </c>
    </row>
    <row r="7115">
      <c r="A7115" s="17">
        <v>1004002.0</v>
      </c>
      <c r="B7115" s="17">
        <v>7003500.0</v>
      </c>
    </row>
    <row r="7116">
      <c r="A7116" s="17">
        <v>1004002.0</v>
      </c>
      <c r="B7116" s="17">
        <v>7003600.0</v>
      </c>
    </row>
    <row r="7117">
      <c r="A7117" s="17">
        <v>1004002.0</v>
      </c>
      <c r="B7117" s="17">
        <v>7005600.0</v>
      </c>
    </row>
    <row r="7118">
      <c r="A7118" s="17">
        <v>1004002.0</v>
      </c>
      <c r="B7118" s="17">
        <v>7006000.0</v>
      </c>
    </row>
    <row r="7119">
      <c r="A7119" s="17">
        <v>1004002.0</v>
      </c>
      <c r="B7119" s="17">
        <v>7006100.0</v>
      </c>
    </row>
    <row r="7120">
      <c r="A7120" s="17">
        <v>1004002.0</v>
      </c>
      <c r="B7120" s="17">
        <v>7010200.0</v>
      </c>
    </row>
    <row r="7121">
      <c r="A7121" s="17">
        <v>1004002.0</v>
      </c>
      <c r="B7121" s="17">
        <v>7010500.0</v>
      </c>
    </row>
    <row r="7122">
      <c r="A7122" s="17">
        <v>1004002.0</v>
      </c>
      <c r="B7122" s="17">
        <v>7010700.0</v>
      </c>
    </row>
    <row r="7123">
      <c r="A7123" s="17">
        <v>1004002.0</v>
      </c>
      <c r="B7123" s="17">
        <v>7010900.0</v>
      </c>
    </row>
    <row r="7124">
      <c r="A7124" s="17">
        <v>1004002.0</v>
      </c>
      <c r="B7124" s="17">
        <v>7011000.0</v>
      </c>
    </row>
    <row r="7125">
      <c r="A7125" s="17">
        <v>1004002.0</v>
      </c>
      <c r="B7125" s="17">
        <v>7011200.0</v>
      </c>
    </row>
    <row r="7126">
      <c r="A7126" s="17">
        <v>1004002.0</v>
      </c>
      <c r="B7126" s="17">
        <v>7011600.0</v>
      </c>
    </row>
    <row r="7127">
      <c r="A7127" s="17">
        <v>1004002.0</v>
      </c>
      <c r="B7127" s="17">
        <v>7011700.0</v>
      </c>
    </row>
    <row r="7128">
      <c r="A7128" s="17">
        <v>1004002.0</v>
      </c>
      <c r="B7128" s="17">
        <v>7012000.0</v>
      </c>
    </row>
    <row r="7129">
      <c r="A7129" s="17">
        <v>1004002.0</v>
      </c>
      <c r="B7129" s="17">
        <v>7012200.0</v>
      </c>
    </row>
    <row r="7130">
      <c r="A7130" s="17">
        <v>1004002.0</v>
      </c>
      <c r="B7130" s="17">
        <v>7012300.0</v>
      </c>
    </row>
    <row r="7131">
      <c r="A7131" s="17">
        <v>1004002.0</v>
      </c>
      <c r="B7131" s="17">
        <v>7020000.0</v>
      </c>
    </row>
    <row r="7132">
      <c r="A7132" s="17">
        <v>1004002.0</v>
      </c>
      <c r="B7132" s="17">
        <v>7030000.0</v>
      </c>
    </row>
    <row r="7133">
      <c r="A7133" s="17">
        <v>1004002.0</v>
      </c>
      <c r="B7133" s="17">
        <v>7030200.0</v>
      </c>
    </row>
    <row r="7134">
      <c r="A7134" s="17">
        <v>1004002.0</v>
      </c>
      <c r="B7134" s="17">
        <v>7030600.0</v>
      </c>
    </row>
    <row r="7135">
      <c r="A7135" s="17">
        <v>1004002.0</v>
      </c>
      <c r="B7135" s="17">
        <v>7030700.0</v>
      </c>
    </row>
    <row r="7136">
      <c r="A7136" s="17">
        <v>1004002.0</v>
      </c>
      <c r="B7136" s="17">
        <v>7030800.0</v>
      </c>
    </row>
    <row r="7137">
      <c r="A7137" s="17">
        <v>1004002.0</v>
      </c>
      <c r="B7137" s="17">
        <v>7030900.0</v>
      </c>
    </row>
    <row r="7138">
      <c r="A7138" s="17">
        <v>1004002.0</v>
      </c>
      <c r="B7138" s="17">
        <v>7031200.0</v>
      </c>
    </row>
    <row r="7139">
      <c r="A7139" s="17">
        <v>1004002.0</v>
      </c>
      <c r="B7139" s="17">
        <v>7031300.0</v>
      </c>
    </row>
    <row r="7140">
      <c r="A7140" s="17">
        <v>1004002.0</v>
      </c>
      <c r="B7140" s="17">
        <v>7031800.0</v>
      </c>
    </row>
    <row r="7141">
      <c r="A7141" s="17">
        <v>1004002.0</v>
      </c>
      <c r="B7141" s="17">
        <v>7031900.0</v>
      </c>
    </row>
    <row r="7142">
      <c r="A7142" s="17">
        <v>1004002.0</v>
      </c>
      <c r="B7142" s="17">
        <v>7032200.0</v>
      </c>
    </row>
    <row r="7143">
      <c r="A7143" s="17">
        <v>1004002.0</v>
      </c>
      <c r="B7143" s="17">
        <v>7032400.0</v>
      </c>
    </row>
    <row r="7144">
      <c r="A7144" s="17">
        <v>1004002.0</v>
      </c>
      <c r="B7144" s="17">
        <v>7032700.0</v>
      </c>
    </row>
    <row r="7145">
      <c r="A7145" s="17">
        <v>1004002.0</v>
      </c>
      <c r="B7145" s="17">
        <v>7032800.0</v>
      </c>
    </row>
    <row r="7146">
      <c r="A7146" s="17">
        <v>1004002.0</v>
      </c>
      <c r="B7146" s="17">
        <v>7032900.0</v>
      </c>
    </row>
    <row r="7147">
      <c r="A7147" s="17">
        <v>1004002.0</v>
      </c>
      <c r="B7147" s="17">
        <v>7033200.0</v>
      </c>
    </row>
    <row r="7148">
      <c r="A7148" s="17">
        <v>1004002.0</v>
      </c>
      <c r="B7148" s="17">
        <v>7033400.0</v>
      </c>
    </row>
    <row r="7149">
      <c r="A7149" s="17">
        <v>1004002.0</v>
      </c>
      <c r="B7149" s="17">
        <v>7034100.0</v>
      </c>
    </row>
    <row r="7150">
      <c r="A7150" s="17">
        <v>1004002.0</v>
      </c>
      <c r="B7150" s="17">
        <v>7034400.0</v>
      </c>
    </row>
    <row r="7151">
      <c r="A7151" s="17">
        <v>1004002.0</v>
      </c>
      <c r="B7151" s="17">
        <v>7034500.0</v>
      </c>
    </row>
    <row r="7152">
      <c r="A7152" s="17">
        <v>1004002.0</v>
      </c>
      <c r="B7152" s="17">
        <v>7034600.0</v>
      </c>
    </row>
    <row r="7153">
      <c r="A7153" s="17">
        <v>1004002.0</v>
      </c>
      <c r="B7153" s="17">
        <v>7034700.0</v>
      </c>
    </row>
    <row r="7154">
      <c r="A7154" s="17">
        <v>1004002.0</v>
      </c>
      <c r="B7154" s="17">
        <v>7035100.0</v>
      </c>
    </row>
    <row r="7155">
      <c r="A7155" s="17">
        <v>1004002.0</v>
      </c>
      <c r="B7155" s="17">
        <v>7036100.0</v>
      </c>
    </row>
    <row r="7156">
      <c r="A7156" s="17">
        <v>1004002.0</v>
      </c>
      <c r="B7156" s="17">
        <v>7040000.0</v>
      </c>
    </row>
    <row r="7157">
      <c r="A7157" s="17">
        <v>1004002.0</v>
      </c>
      <c r="B7157" s="17">
        <v>7040100.0</v>
      </c>
    </row>
    <row r="7158">
      <c r="A7158" s="17">
        <v>1004002.0</v>
      </c>
      <c r="B7158" s="17">
        <v>7040200.0</v>
      </c>
    </row>
    <row r="7159">
      <c r="A7159" s="17">
        <v>1004002.0</v>
      </c>
      <c r="B7159" s="17">
        <v>7040300.0</v>
      </c>
    </row>
    <row r="7160">
      <c r="A7160" s="17">
        <v>1004002.0</v>
      </c>
      <c r="B7160" s="17">
        <v>7040400.0</v>
      </c>
    </row>
    <row r="7161">
      <c r="A7161" s="17">
        <v>1004002.0</v>
      </c>
      <c r="B7161" s="17">
        <v>7040500.0</v>
      </c>
    </row>
    <row r="7162">
      <c r="A7162" s="17">
        <v>1004002.0</v>
      </c>
      <c r="B7162" s="17">
        <v>7043000.0</v>
      </c>
    </row>
    <row r="7163">
      <c r="A7163" s="17">
        <v>1004002.0</v>
      </c>
      <c r="B7163" s="17">
        <v>7043100.0</v>
      </c>
    </row>
    <row r="7164">
      <c r="A7164" s="17">
        <v>1004002.0</v>
      </c>
      <c r="B7164" s="17">
        <v>7043200.0</v>
      </c>
    </row>
    <row r="7165">
      <c r="A7165" s="17">
        <v>1004002.0</v>
      </c>
      <c r="B7165" s="17">
        <v>7043300.0</v>
      </c>
    </row>
    <row r="7166">
      <c r="A7166" s="17">
        <v>1004002.0</v>
      </c>
      <c r="B7166" s="17">
        <v>7043400.0</v>
      </c>
    </row>
    <row r="7167">
      <c r="A7167" s="17">
        <v>1004002.0</v>
      </c>
      <c r="B7167" s="17">
        <v>7043500.0</v>
      </c>
    </row>
    <row r="7168">
      <c r="A7168" s="17">
        <v>1004002.0</v>
      </c>
      <c r="B7168" s="17">
        <v>7043600.0</v>
      </c>
    </row>
    <row r="7169">
      <c r="A7169" s="17">
        <v>1004002.0</v>
      </c>
      <c r="B7169" s="17">
        <v>7043700.0</v>
      </c>
    </row>
    <row r="7170">
      <c r="A7170" s="17">
        <v>1004002.0</v>
      </c>
      <c r="B7170" s="17">
        <v>7043800.0</v>
      </c>
    </row>
    <row r="7171">
      <c r="A7171" s="17">
        <v>1004002.0</v>
      </c>
      <c r="B7171" s="17">
        <v>7044000.0</v>
      </c>
    </row>
    <row r="7172">
      <c r="A7172" s="17">
        <v>1004002.0</v>
      </c>
      <c r="B7172" s="17">
        <v>7044100.0</v>
      </c>
    </row>
    <row r="7173">
      <c r="A7173" s="17">
        <v>1004002.0</v>
      </c>
      <c r="B7173" s="17">
        <v>7044200.0</v>
      </c>
    </row>
    <row r="7174">
      <c r="A7174" s="17">
        <v>1004002.0</v>
      </c>
      <c r="B7174" s="17">
        <v>7044300.0</v>
      </c>
    </row>
    <row r="7175">
      <c r="A7175" s="17">
        <v>1004002.0</v>
      </c>
      <c r="B7175" s="17">
        <v>7044400.0</v>
      </c>
    </row>
    <row r="7176">
      <c r="A7176" s="17">
        <v>1004002.0</v>
      </c>
      <c r="B7176" s="17">
        <v>7044500.0</v>
      </c>
    </row>
    <row r="7177">
      <c r="A7177" s="17">
        <v>1004002.0</v>
      </c>
      <c r="B7177" s="17">
        <v>7044600.0</v>
      </c>
    </row>
    <row r="7178">
      <c r="A7178" s="17">
        <v>1004002.0</v>
      </c>
      <c r="B7178" s="17">
        <v>7050000.0</v>
      </c>
    </row>
    <row r="7179">
      <c r="A7179" s="17">
        <v>1004002.0</v>
      </c>
      <c r="B7179" s="17">
        <v>7050100.0</v>
      </c>
    </row>
    <row r="7180">
      <c r="A7180" s="17">
        <v>1004002.0</v>
      </c>
      <c r="B7180" s="17">
        <v>7060000.0</v>
      </c>
    </row>
    <row r="7181">
      <c r="A7181" s="17">
        <v>1004002.0</v>
      </c>
      <c r="B7181" s="17">
        <v>7060100.0</v>
      </c>
    </row>
    <row r="7182">
      <c r="A7182" s="17">
        <v>1004002.0</v>
      </c>
      <c r="B7182" s="17">
        <v>7060200.0</v>
      </c>
    </row>
    <row r="7183">
      <c r="A7183" s="17">
        <v>1004002.0</v>
      </c>
      <c r="B7183" s="17">
        <v>7070000.0</v>
      </c>
    </row>
    <row r="7184">
      <c r="A7184" s="17">
        <v>1004002.0</v>
      </c>
      <c r="B7184" s="17">
        <v>7080000.0</v>
      </c>
    </row>
    <row r="7185">
      <c r="A7185" s="17">
        <v>1004002.0</v>
      </c>
      <c r="B7185" s="17">
        <v>7080100.0</v>
      </c>
    </row>
    <row r="7186">
      <c r="A7186" s="17">
        <v>1004002.0</v>
      </c>
      <c r="B7186" s="17">
        <v>7080200.0</v>
      </c>
    </row>
    <row r="7187">
      <c r="A7187" s="17">
        <v>1004002.0</v>
      </c>
      <c r="B7187" s="17">
        <v>7080300.0</v>
      </c>
    </row>
    <row r="7188">
      <c r="A7188" s="17">
        <v>1004002.0</v>
      </c>
      <c r="B7188" s="17">
        <v>7080400.0</v>
      </c>
    </row>
    <row r="7189">
      <c r="A7189" s="17">
        <v>1004002.0</v>
      </c>
      <c r="B7189" s="17">
        <v>7080500.0</v>
      </c>
    </row>
    <row r="7190">
      <c r="A7190" s="17">
        <v>1004002.0</v>
      </c>
      <c r="B7190" s="17">
        <v>7080600.0</v>
      </c>
    </row>
    <row r="7191">
      <c r="A7191" s="17">
        <v>1004002.0</v>
      </c>
      <c r="B7191" s="17">
        <v>7080700.0</v>
      </c>
    </row>
    <row r="7192">
      <c r="A7192" s="17">
        <v>1004002.0</v>
      </c>
      <c r="B7192" s="17">
        <v>7080800.0</v>
      </c>
    </row>
    <row r="7193">
      <c r="A7193" s="17">
        <v>1004002.0</v>
      </c>
      <c r="B7193" s="17">
        <v>7080900.0</v>
      </c>
    </row>
    <row r="7194">
      <c r="A7194" s="17">
        <v>1004002.0</v>
      </c>
      <c r="B7194" s="17">
        <v>7081000.0</v>
      </c>
    </row>
    <row r="7195">
      <c r="A7195" s="17">
        <v>1004002.0</v>
      </c>
      <c r="B7195" s="17">
        <v>7081100.0</v>
      </c>
    </row>
    <row r="7196">
      <c r="A7196" s="17">
        <v>1004002.0</v>
      </c>
      <c r="B7196" s="17">
        <v>7081200.0</v>
      </c>
    </row>
    <row r="7197">
      <c r="A7197" s="17">
        <v>1004002.0</v>
      </c>
      <c r="B7197" s="17">
        <v>7081300.0</v>
      </c>
    </row>
    <row r="7198">
      <c r="A7198" s="17">
        <v>1004002.0</v>
      </c>
      <c r="B7198" s="17">
        <v>7081400.0</v>
      </c>
    </row>
    <row r="7199">
      <c r="A7199" s="17">
        <v>1004002.0</v>
      </c>
      <c r="B7199" s="17">
        <v>7081500.0</v>
      </c>
    </row>
    <row r="7200">
      <c r="A7200" s="17">
        <v>1004002.0</v>
      </c>
      <c r="B7200" s="17">
        <v>7081700.0</v>
      </c>
    </row>
    <row r="7201">
      <c r="A7201" s="17">
        <v>1004002.0</v>
      </c>
      <c r="B7201" s="17">
        <v>7081800.0</v>
      </c>
    </row>
    <row r="7202">
      <c r="A7202" s="17">
        <v>1004002.0</v>
      </c>
      <c r="B7202" s="17">
        <v>7081900.0</v>
      </c>
    </row>
    <row r="7203">
      <c r="A7203" s="17">
        <v>1004002.0</v>
      </c>
      <c r="B7203" s="17">
        <v>7082000.0</v>
      </c>
    </row>
    <row r="7204">
      <c r="A7204" s="17">
        <v>1004002.0</v>
      </c>
      <c r="B7204" s="17">
        <v>7082100.0</v>
      </c>
    </row>
    <row r="7205">
      <c r="A7205" s="17">
        <v>1004002.0</v>
      </c>
      <c r="B7205" s="17">
        <v>7082200.0</v>
      </c>
    </row>
    <row r="7206">
      <c r="A7206" s="17">
        <v>1004002.0</v>
      </c>
      <c r="B7206" s="17">
        <v>7082300.0</v>
      </c>
    </row>
    <row r="7207">
      <c r="A7207" s="17">
        <v>1004002.0</v>
      </c>
      <c r="B7207" s="17">
        <v>7082400.0</v>
      </c>
    </row>
    <row r="7208">
      <c r="A7208" s="17">
        <v>1004002.0</v>
      </c>
      <c r="B7208" s="17">
        <v>7082500.0</v>
      </c>
    </row>
    <row r="7209">
      <c r="A7209" s="17">
        <v>1004002.0</v>
      </c>
      <c r="B7209" s="17">
        <v>7082600.0</v>
      </c>
    </row>
    <row r="7210">
      <c r="A7210" s="17">
        <v>1004002.0</v>
      </c>
      <c r="B7210" s="17">
        <v>7082700.0</v>
      </c>
    </row>
    <row r="7211">
      <c r="A7211" s="17">
        <v>1004002.0</v>
      </c>
      <c r="B7211" s="17">
        <v>7082800.0</v>
      </c>
    </row>
    <row r="7212">
      <c r="A7212" s="17">
        <v>1004002.0</v>
      </c>
      <c r="B7212" s="17">
        <v>7082900.0</v>
      </c>
    </row>
    <row r="7213">
      <c r="A7213" s="17">
        <v>1004002.0</v>
      </c>
      <c r="B7213" s="17">
        <v>7090000.0</v>
      </c>
    </row>
    <row r="7214">
      <c r="A7214" s="17">
        <v>1004002.0</v>
      </c>
      <c r="B7214" s="17">
        <v>7090100.0</v>
      </c>
    </row>
    <row r="7215">
      <c r="A7215" s="17">
        <v>1004002.0</v>
      </c>
      <c r="B7215" s="17">
        <v>7090300.0</v>
      </c>
    </row>
    <row r="7216">
      <c r="A7216" s="17">
        <v>1004002.0</v>
      </c>
      <c r="B7216" s="17">
        <v>7100100.0</v>
      </c>
    </row>
    <row r="7217">
      <c r="A7217" s="17">
        <v>1004002.0</v>
      </c>
      <c r="B7217" s="17">
        <v>7110000.0</v>
      </c>
    </row>
    <row r="7218">
      <c r="A7218" s="17">
        <v>1004002.0</v>
      </c>
      <c r="B7218" s="17">
        <v>7120000.0</v>
      </c>
    </row>
    <row r="7219">
      <c r="A7219" s="17">
        <v>1004002.0</v>
      </c>
      <c r="B7219" s="17">
        <v>7120100.0</v>
      </c>
    </row>
    <row r="7220">
      <c r="A7220" s="17">
        <v>1004002.0</v>
      </c>
      <c r="B7220" s="17">
        <v>7120200.0</v>
      </c>
    </row>
    <row r="7221">
      <c r="A7221" s="17">
        <v>1004002.0</v>
      </c>
      <c r="B7221" s="17">
        <v>7120300.0</v>
      </c>
    </row>
    <row r="7222">
      <c r="A7222" s="17">
        <v>1004002.0</v>
      </c>
      <c r="B7222" s="17">
        <v>7120400.0</v>
      </c>
    </row>
    <row r="7223">
      <c r="A7223" s="17">
        <v>1004002.0</v>
      </c>
      <c r="B7223" s="17">
        <v>7120500.0</v>
      </c>
    </row>
    <row r="7224">
      <c r="A7224" s="17">
        <v>1004002.0</v>
      </c>
      <c r="B7224" s="17">
        <v>7120600.0</v>
      </c>
    </row>
    <row r="7225">
      <c r="A7225" s="17">
        <v>1004002.0</v>
      </c>
      <c r="B7225" s="17">
        <v>7120900.0</v>
      </c>
    </row>
    <row r="7226">
      <c r="A7226" s="17">
        <v>1004002.0</v>
      </c>
      <c r="B7226" s="17">
        <v>7121000.0</v>
      </c>
    </row>
    <row r="7227">
      <c r="A7227" s="17">
        <v>1004002.0</v>
      </c>
      <c r="B7227" s="17">
        <v>7121100.0</v>
      </c>
    </row>
    <row r="7228">
      <c r="A7228" s="17">
        <v>1004002.0</v>
      </c>
      <c r="B7228" s="17">
        <v>7121200.0</v>
      </c>
    </row>
    <row r="7229">
      <c r="A7229" s="17">
        <v>1004002.0</v>
      </c>
      <c r="B7229" s="17">
        <v>7121300.0</v>
      </c>
    </row>
    <row r="7230">
      <c r="A7230" s="17">
        <v>1004002.0</v>
      </c>
      <c r="B7230" s="17">
        <v>7121400.0</v>
      </c>
    </row>
    <row r="7231">
      <c r="A7231" s="17">
        <v>1004002.0</v>
      </c>
      <c r="B7231" s="17">
        <v>7121500.0</v>
      </c>
    </row>
    <row r="7232">
      <c r="A7232" s="17">
        <v>1004002.0</v>
      </c>
      <c r="B7232" s="17">
        <v>7121600.0</v>
      </c>
    </row>
    <row r="7233">
      <c r="A7233" s="17">
        <v>1004002.0</v>
      </c>
      <c r="B7233" s="17">
        <v>7121700.0</v>
      </c>
    </row>
    <row r="7234">
      <c r="A7234" s="17">
        <v>1004002.0</v>
      </c>
      <c r="B7234" s="17">
        <v>7121800.0</v>
      </c>
    </row>
    <row r="7235">
      <c r="A7235" s="17">
        <v>1004002.0</v>
      </c>
      <c r="B7235" s="17">
        <v>7121900.0</v>
      </c>
    </row>
    <row r="7236">
      <c r="A7236" s="17">
        <v>1004002.0</v>
      </c>
      <c r="B7236" s="17">
        <v>7122000.0</v>
      </c>
    </row>
    <row r="7237">
      <c r="A7237" s="17">
        <v>1004002.0</v>
      </c>
      <c r="B7237" s="17">
        <v>7122100.0</v>
      </c>
    </row>
    <row r="7238">
      <c r="A7238" s="17">
        <v>1004002.0</v>
      </c>
      <c r="B7238" s="17">
        <v>7122200.0</v>
      </c>
    </row>
    <row r="7239">
      <c r="A7239" s="17">
        <v>1004002.0</v>
      </c>
      <c r="B7239" s="17">
        <v>7122300.0</v>
      </c>
    </row>
    <row r="7240">
      <c r="A7240" s="17">
        <v>1004002.0</v>
      </c>
      <c r="B7240" s="17">
        <v>7122400.0</v>
      </c>
    </row>
    <row r="7241">
      <c r="A7241" s="17">
        <v>1004002.0</v>
      </c>
      <c r="B7241" s="17">
        <v>7122500.0</v>
      </c>
    </row>
    <row r="7242">
      <c r="A7242" s="17">
        <v>1004002.0</v>
      </c>
      <c r="B7242" s="17">
        <v>7122600.0</v>
      </c>
    </row>
    <row r="7243">
      <c r="A7243" s="17">
        <v>1004002.0</v>
      </c>
      <c r="B7243" s="17">
        <v>7122700.0</v>
      </c>
    </row>
    <row r="7244">
      <c r="A7244" s="17">
        <v>1004002.0</v>
      </c>
      <c r="B7244" s="17">
        <v>7122800.0</v>
      </c>
    </row>
    <row r="7245">
      <c r="A7245" s="17">
        <v>1004002.0</v>
      </c>
      <c r="B7245" s="17">
        <v>7122900.0</v>
      </c>
    </row>
    <row r="7246">
      <c r="A7246" s="17">
        <v>1004002.0</v>
      </c>
      <c r="B7246" s="17">
        <v>7123000.0</v>
      </c>
    </row>
    <row r="7247">
      <c r="A7247" s="17">
        <v>1004002.0</v>
      </c>
      <c r="B7247" s="17">
        <v>7123100.0</v>
      </c>
    </row>
    <row r="7248">
      <c r="A7248" s="17">
        <v>1004002.0</v>
      </c>
      <c r="B7248" s="17">
        <v>7123200.0</v>
      </c>
    </row>
    <row r="7249">
      <c r="A7249" s="17">
        <v>1004002.0</v>
      </c>
      <c r="B7249" s="17">
        <v>7123300.0</v>
      </c>
    </row>
    <row r="7250">
      <c r="A7250" s="17">
        <v>1004002.0</v>
      </c>
      <c r="B7250" s="17">
        <v>7123400.0</v>
      </c>
    </row>
    <row r="7251">
      <c r="A7251" s="17">
        <v>1004002.0</v>
      </c>
      <c r="B7251" s="17">
        <v>7123500.0</v>
      </c>
    </row>
    <row r="7252">
      <c r="A7252" s="17">
        <v>1004002.0</v>
      </c>
      <c r="B7252" s="17">
        <v>7123600.0</v>
      </c>
    </row>
    <row r="7253">
      <c r="A7253" s="17">
        <v>1004002.0</v>
      </c>
      <c r="B7253" s="17">
        <v>7123700.0</v>
      </c>
    </row>
    <row r="7254">
      <c r="A7254" s="17">
        <v>1004002.0</v>
      </c>
      <c r="B7254" s="17">
        <v>7123800.0</v>
      </c>
    </row>
    <row r="7255">
      <c r="A7255" s="17">
        <v>1004002.0</v>
      </c>
      <c r="B7255" s="17">
        <v>7123900.0</v>
      </c>
    </row>
    <row r="7256">
      <c r="A7256" s="17">
        <v>1004002.0</v>
      </c>
      <c r="B7256" s="17">
        <v>7124000.0</v>
      </c>
    </row>
    <row r="7257">
      <c r="A7257" s="17">
        <v>1004002.0</v>
      </c>
      <c r="B7257" s="17">
        <v>7124100.0</v>
      </c>
    </row>
    <row r="7258">
      <c r="A7258" s="17">
        <v>1004002.0</v>
      </c>
      <c r="B7258" s="17">
        <v>7124300.0</v>
      </c>
    </row>
    <row r="7259">
      <c r="A7259" s="17">
        <v>1004002.0</v>
      </c>
      <c r="B7259" s="17">
        <v>7124400.0</v>
      </c>
    </row>
    <row r="7260">
      <c r="A7260" s="17">
        <v>1004002.0</v>
      </c>
      <c r="B7260" s="17">
        <v>7124500.0</v>
      </c>
    </row>
    <row r="7261">
      <c r="A7261" s="17">
        <v>1004002.0</v>
      </c>
      <c r="B7261" s="17">
        <v>7124600.0</v>
      </c>
    </row>
    <row r="7262">
      <c r="A7262" s="17">
        <v>1004002.0</v>
      </c>
      <c r="B7262" s="17">
        <v>7124700.0</v>
      </c>
    </row>
    <row r="7263">
      <c r="A7263" s="17">
        <v>1004002.0</v>
      </c>
      <c r="B7263" s="17">
        <v>7126000.0</v>
      </c>
    </row>
    <row r="7264">
      <c r="A7264" s="17">
        <v>1004002.0</v>
      </c>
      <c r="B7264" s="17">
        <v>7150000.0</v>
      </c>
    </row>
    <row r="7265">
      <c r="A7265" s="17">
        <v>1004002.0</v>
      </c>
      <c r="B7265" s="17">
        <v>7160000.0</v>
      </c>
    </row>
    <row r="7266">
      <c r="A7266" s="17">
        <v>1004002.0</v>
      </c>
      <c r="B7266" s="17">
        <v>7220000.0</v>
      </c>
    </row>
    <row r="7267">
      <c r="A7267" s="17">
        <v>1004002.0</v>
      </c>
      <c r="B7267" s="17">
        <v>7230000.0</v>
      </c>
    </row>
    <row r="7268">
      <c r="A7268" s="17">
        <v>1004002.0</v>
      </c>
      <c r="B7268" s="17">
        <v>7240000.0</v>
      </c>
    </row>
    <row r="7269">
      <c r="A7269" s="17">
        <v>1004002.0</v>
      </c>
      <c r="B7269" s="17">
        <v>7260000.0</v>
      </c>
    </row>
    <row r="7270">
      <c r="A7270" s="17">
        <v>1004002.0</v>
      </c>
      <c r="B7270" s="17">
        <v>7260300.0</v>
      </c>
    </row>
    <row r="7271">
      <c r="A7271" s="17">
        <v>1004002.0</v>
      </c>
      <c r="B7271" s="17">
        <v>7260400.0</v>
      </c>
    </row>
    <row r="7272">
      <c r="A7272" s="17">
        <v>1004002.0</v>
      </c>
      <c r="B7272" s="17">
        <v>7270100.0</v>
      </c>
    </row>
    <row r="7273">
      <c r="A7273" s="17">
        <v>1004002.0</v>
      </c>
      <c r="B7273" s="17">
        <v>7280000.0</v>
      </c>
    </row>
    <row r="7274">
      <c r="A7274" s="17">
        <v>1004002.0</v>
      </c>
      <c r="B7274" s="17">
        <v>7290000.0</v>
      </c>
    </row>
    <row r="7275">
      <c r="A7275" s="17">
        <v>1004002.0</v>
      </c>
      <c r="B7275" s="17">
        <v>7310000.0</v>
      </c>
    </row>
    <row r="7276">
      <c r="A7276" s="17">
        <v>1004002.0</v>
      </c>
      <c r="B7276" s="17">
        <v>7330000.0</v>
      </c>
    </row>
    <row r="7277">
      <c r="A7277" s="17">
        <v>1004002.0</v>
      </c>
      <c r="B7277" s="17">
        <v>7330100.0</v>
      </c>
    </row>
    <row r="7278">
      <c r="A7278" s="17">
        <v>1004002.0</v>
      </c>
      <c r="B7278" s="17">
        <v>7330200.0</v>
      </c>
    </row>
    <row r="7279">
      <c r="A7279" s="17">
        <v>1004002.0</v>
      </c>
      <c r="B7279" s="17">
        <v>7330300.0</v>
      </c>
    </row>
    <row r="7280">
      <c r="A7280" s="17">
        <v>1004002.0</v>
      </c>
      <c r="B7280" s="17">
        <v>7330400.0</v>
      </c>
    </row>
    <row r="7281">
      <c r="A7281" s="17">
        <v>1004002.0</v>
      </c>
      <c r="B7281" s="17">
        <v>7330500.0</v>
      </c>
    </row>
    <row r="7282">
      <c r="A7282" s="17">
        <v>1004002.0</v>
      </c>
      <c r="B7282" s="17">
        <v>7330600.0</v>
      </c>
    </row>
    <row r="7283">
      <c r="A7283" s="17">
        <v>1004002.0</v>
      </c>
      <c r="B7283" s="17">
        <v>7330700.0</v>
      </c>
    </row>
    <row r="7284">
      <c r="A7284" s="17">
        <v>1004002.0</v>
      </c>
      <c r="B7284" s="17">
        <v>7330800.0</v>
      </c>
    </row>
    <row r="7285">
      <c r="A7285" s="17">
        <v>1004002.0</v>
      </c>
      <c r="B7285" s="17">
        <v>7330900.0</v>
      </c>
    </row>
    <row r="7286">
      <c r="A7286" s="17">
        <v>1004002.0</v>
      </c>
      <c r="B7286" s="17">
        <v>7331000.0</v>
      </c>
    </row>
    <row r="7287">
      <c r="A7287" s="17">
        <v>1004002.0</v>
      </c>
      <c r="B7287" s="17">
        <v>7331100.0</v>
      </c>
    </row>
    <row r="7288">
      <c r="A7288" s="17">
        <v>1004002.0</v>
      </c>
      <c r="B7288" s="17">
        <v>7331200.0</v>
      </c>
    </row>
    <row r="7289">
      <c r="A7289" s="17">
        <v>1004002.0</v>
      </c>
      <c r="B7289" s="17">
        <v>7331300.0</v>
      </c>
    </row>
    <row r="7290">
      <c r="A7290" s="17">
        <v>1004002.0</v>
      </c>
      <c r="B7290" s="17">
        <v>7331400.0</v>
      </c>
    </row>
    <row r="7291">
      <c r="A7291" s="17">
        <v>1004002.0</v>
      </c>
      <c r="B7291" s="17">
        <v>7331500.0</v>
      </c>
    </row>
    <row r="7292">
      <c r="A7292" s="17">
        <v>1004002.0</v>
      </c>
      <c r="B7292" s="17">
        <v>7331700.0</v>
      </c>
    </row>
    <row r="7293">
      <c r="A7293" s="17">
        <v>1004002.0</v>
      </c>
      <c r="B7293" s="17">
        <v>7331800.0</v>
      </c>
    </row>
    <row r="7294">
      <c r="A7294" s="17">
        <v>1004002.0</v>
      </c>
      <c r="B7294" s="17">
        <v>7331900.0</v>
      </c>
    </row>
    <row r="7295">
      <c r="A7295" s="17">
        <v>1004002.0</v>
      </c>
      <c r="B7295" s="17">
        <v>7332000.0</v>
      </c>
    </row>
    <row r="7296">
      <c r="A7296" s="17">
        <v>1004002.0</v>
      </c>
      <c r="B7296" s="17">
        <v>7332100.0</v>
      </c>
    </row>
    <row r="7297">
      <c r="A7297" s="17">
        <v>1004002.0</v>
      </c>
      <c r="B7297" s="17">
        <v>7332200.0</v>
      </c>
    </row>
    <row r="7298">
      <c r="A7298" s="17">
        <v>1004002.0</v>
      </c>
      <c r="B7298" s="17">
        <v>7332300.0</v>
      </c>
    </row>
    <row r="7299">
      <c r="A7299" s="17">
        <v>1004002.0</v>
      </c>
      <c r="B7299" s="17">
        <v>7332400.0</v>
      </c>
    </row>
    <row r="7300">
      <c r="A7300" s="17">
        <v>1004002.0</v>
      </c>
      <c r="B7300" s="17">
        <v>7340000.0</v>
      </c>
    </row>
    <row r="7301">
      <c r="A7301" s="17">
        <v>1004002.0</v>
      </c>
      <c r="B7301" s="17">
        <v>7340100.0</v>
      </c>
    </row>
    <row r="7302">
      <c r="A7302" s="17">
        <v>1004002.0</v>
      </c>
      <c r="B7302" s="17">
        <v>7340200.0</v>
      </c>
    </row>
    <row r="7303">
      <c r="A7303" s="17">
        <v>1004002.0</v>
      </c>
      <c r="B7303" s="17">
        <v>7340300.0</v>
      </c>
    </row>
    <row r="7304">
      <c r="A7304" s="17">
        <v>1004002.0</v>
      </c>
      <c r="B7304" s="17">
        <v>7340400.0</v>
      </c>
    </row>
    <row r="7305">
      <c r="A7305" s="17">
        <v>1004002.0</v>
      </c>
      <c r="B7305" s="17">
        <v>7340500.0</v>
      </c>
    </row>
    <row r="7306">
      <c r="A7306" s="17">
        <v>1004002.0</v>
      </c>
      <c r="B7306" s="17">
        <v>7340600.0</v>
      </c>
    </row>
    <row r="7307">
      <c r="A7307" s="17">
        <v>1004002.0</v>
      </c>
      <c r="B7307" s="17">
        <v>7340700.0</v>
      </c>
    </row>
    <row r="7308">
      <c r="A7308" s="17">
        <v>1004002.0</v>
      </c>
      <c r="B7308" s="17">
        <v>7340800.0</v>
      </c>
    </row>
    <row r="7309">
      <c r="A7309" s="17">
        <v>1004002.0</v>
      </c>
      <c r="B7309" s="17">
        <v>7340900.0</v>
      </c>
    </row>
    <row r="7310">
      <c r="A7310" s="17">
        <v>1004002.0</v>
      </c>
      <c r="B7310" s="17">
        <v>7341000.0</v>
      </c>
    </row>
    <row r="7311">
      <c r="A7311" s="17">
        <v>1004002.0</v>
      </c>
      <c r="B7311" s="17">
        <v>7341100.0</v>
      </c>
    </row>
    <row r="7312">
      <c r="A7312" s="17">
        <v>1004002.0</v>
      </c>
      <c r="B7312" s="17">
        <v>7341200.0</v>
      </c>
    </row>
    <row r="7313">
      <c r="A7313" s="17">
        <v>1004002.0</v>
      </c>
      <c r="B7313" s="17">
        <v>7341300.0</v>
      </c>
    </row>
    <row r="7314">
      <c r="A7314" s="17">
        <v>1004002.0</v>
      </c>
      <c r="B7314" s="17">
        <v>7341400.0</v>
      </c>
    </row>
    <row r="7315">
      <c r="A7315" s="17">
        <v>1004002.0</v>
      </c>
      <c r="B7315" s="17">
        <v>7341500.0</v>
      </c>
    </row>
    <row r="7316">
      <c r="A7316" s="17">
        <v>1004002.0</v>
      </c>
      <c r="B7316" s="17">
        <v>7341700.0</v>
      </c>
    </row>
    <row r="7317">
      <c r="A7317" s="17">
        <v>1004002.0</v>
      </c>
      <c r="B7317" s="17">
        <v>7341800.0</v>
      </c>
    </row>
    <row r="7318">
      <c r="A7318" s="17">
        <v>1004002.0</v>
      </c>
      <c r="B7318" s="17">
        <v>7341900.0</v>
      </c>
    </row>
    <row r="7319">
      <c r="A7319" s="17">
        <v>1004002.0</v>
      </c>
      <c r="B7319" s="17">
        <v>7342000.0</v>
      </c>
    </row>
    <row r="7320">
      <c r="A7320" s="17">
        <v>1004002.0</v>
      </c>
      <c r="B7320" s="17">
        <v>7342100.0</v>
      </c>
    </row>
    <row r="7321">
      <c r="A7321" s="17">
        <v>1004002.0</v>
      </c>
      <c r="B7321" s="17">
        <v>7342200.0</v>
      </c>
    </row>
    <row r="7322">
      <c r="A7322" s="17">
        <v>1004002.0</v>
      </c>
      <c r="B7322" s="17">
        <v>7342300.0</v>
      </c>
    </row>
    <row r="7323">
      <c r="A7323" s="17">
        <v>1004002.0</v>
      </c>
      <c r="B7323" s="17">
        <v>7342400.0</v>
      </c>
    </row>
    <row r="7324">
      <c r="A7324" s="17">
        <v>1004002.0</v>
      </c>
      <c r="B7324" s="17">
        <v>7350000.0</v>
      </c>
    </row>
    <row r="7325">
      <c r="A7325" s="17">
        <v>1004002.0</v>
      </c>
      <c r="B7325" s="17">
        <v>7350100.0</v>
      </c>
    </row>
    <row r="7326">
      <c r="A7326" s="17">
        <v>1004002.0</v>
      </c>
      <c r="B7326" s="17">
        <v>7350200.0</v>
      </c>
    </row>
    <row r="7327">
      <c r="A7327" s="17">
        <v>1004002.0</v>
      </c>
      <c r="B7327" s="17">
        <v>7350300.0</v>
      </c>
    </row>
    <row r="7328">
      <c r="A7328" s="17">
        <v>1004002.0</v>
      </c>
      <c r="B7328" s="17">
        <v>7350400.0</v>
      </c>
    </row>
    <row r="7329">
      <c r="A7329" s="17">
        <v>1004002.0</v>
      </c>
      <c r="B7329" s="17">
        <v>7350500.0</v>
      </c>
    </row>
    <row r="7330">
      <c r="A7330" s="17">
        <v>1004002.0</v>
      </c>
      <c r="B7330" s="17">
        <v>7350600.0</v>
      </c>
    </row>
    <row r="7331">
      <c r="A7331" s="17">
        <v>1004002.0</v>
      </c>
      <c r="B7331" s="17">
        <v>7350700.0</v>
      </c>
    </row>
    <row r="7332">
      <c r="A7332" s="17">
        <v>1004002.0</v>
      </c>
      <c r="B7332" s="17">
        <v>7350800.0</v>
      </c>
    </row>
    <row r="7333">
      <c r="A7333" s="17">
        <v>1004002.0</v>
      </c>
      <c r="B7333" s="17">
        <v>7350900.0</v>
      </c>
    </row>
    <row r="7334">
      <c r="A7334" s="17">
        <v>1004002.0</v>
      </c>
      <c r="B7334" s="17">
        <v>7351000.0</v>
      </c>
    </row>
    <row r="7335">
      <c r="A7335" s="17">
        <v>1004002.0</v>
      </c>
      <c r="B7335" s="17">
        <v>7351100.0</v>
      </c>
    </row>
    <row r="7336">
      <c r="A7336" s="17">
        <v>1004002.0</v>
      </c>
      <c r="B7336" s="17">
        <v>7351200.0</v>
      </c>
    </row>
    <row r="7337">
      <c r="A7337" s="17">
        <v>1004002.0</v>
      </c>
      <c r="B7337" s="17">
        <v>7351300.0</v>
      </c>
    </row>
    <row r="7338">
      <c r="A7338" s="17">
        <v>1004002.0</v>
      </c>
      <c r="B7338" s="17">
        <v>7351400.0</v>
      </c>
    </row>
    <row r="7339">
      <c r="A7339" s="17">
        <v>1004002.0</v>
      </c>
      <c r="B7339" s="17">
        <v>7351500.0</v>
      </c>
    </row>
    <row r="7340">
      <c r="A7340" s="17">
        <v>1004002.0</v>
      </c>
      <c r="B7340" s="17">
        <v>7351700.0</v>
      </c>
    </row>
    <row r="7341">
      <c r="A7341" s="17">
        <v>1004002.0</v>
      </c>
      <c r="B7341" s="17">
        <v>7351800.0</v>
      </c>
    </row>
    <row r="7342">
      <c r="A7342" s="17">
        <v>1004002.0</v>
      </c>
      <c r="B7342" s="17">
        <v>7351900.0</v>
      </c>
    </row>
    <row r="7343">
      <c r="A7343" s="17">
        <v>1004002.0</v>
      </c>
      <c r="B7343" s="17">
        <v>7352000.0</v>
      </c>
    </row>
    <row r="7344">
      <c r="A7344" s="17">
        <v>1004002.0</v>
      </c>
      <c r="B7344" s="17">
        <v>7352100.0</v>
      </c>
    </row>
    <row r="7345">
      <c r="A7345" s="17">
        <v>1004002.0</v>
      </c>
      <c r="B7345" s="17">
        <v>7352200.0</v>
      </c>
    </row>
    <row r="7346">
      <c r="A7346" s="17">
        <v>1004002.0</v>
      </c>
      <c r="B7346" s="17">
        <v>7352300.0</v>
      </c>
    </row>
    <row r="7347">
      <c r="A7347" s="17">
        <v>1004002.0</v>
      </c>
      <c r="B7347" s="17">
        <v>7352400.0</v>
      </c>
    </row>
    <row r="7348">
      <c r="A7348" s="17">
        <v>1004002.0</v>
      </c>
      <c r="B7348" s="17">
        <v>7360600.0</v>
      </c>
    </row>
    <row r="7349">
      <c r="A7349" s="17">
        <v>1004002.0</v>
      </c>
      <c r="B7349" s="17">
        <v>7360900.0</v>
      </c>
    </row>
    <row r="7350">
      <c r="A7350" s="17">
        <v>1004002.0</v>
      </c>
      <c r="B7350" s="17">
        <v>7361200.0</v>
      </c>
    </row>
    <row r="7351">
      <c r="A7351" s="17">
        <v>1004002.0</v>
      </c>
      <c r="B7351" s="17">
        <v>7361300.0</v>
      </c>
    </row>
    <row r="7352">
      <c r="A7352" s="17">
        <v>1004002.0</v>
      </c>
      <c r="B7352" s="17">
        <v>7362100.0</v>
      </c>
    </row>
    <row r="7353">
      <c r="A7353" s="17">
        <v>1004002.0</v>
      </c>
      <c r="B7353" s="17">
        <v>7370300.0</v>
      </c>
    </row>
    <row r="7354">
      <c r="A7354" s="17">
        <v>1004002.0</v>
      </c>
      <c r="B7354" s="17">
        <v>7370400.0</v>
      </c>
    </row>
    <row r="7355">
      <c r="A7355" s="17">
        <v>1004002.0</v>
      </c>
      <c r="B7355" s="17">
        <v>7370600.0</v>
      </c>
    </row>
    <row r="7356">
      <c r="A7356" s="17">
        <v>1004002.0</v>
      </c>
      <c r="B7356" s="17">
        <v>7370900.0</v>
      </c>
    </row>
    <row r="7357">
      <c r="A7357" s="17">
        <v>1004002.0</v>
      </c>
      <c r="B7357" s="17">
        <v>7371500.0</v>
      </c>
    </row>
    <row r="7358">
      <c r="A7358" s="17">
        <v>1004002.0</v>
      </c>
      <c r="B7358" s="17">
        <v>7036200.0</v>
      </c>
    </row>
    <row r="7359">
      <c r="A7359" s="17">
        <v>1004002.0</v>
      </c>
      <c r="B7359" s="17">
        <v>7036300.0</v>
      </c>
    </row>
    <row r="7360">
      <c r="A7360" s="17">
        <v>1004002.0</v>
      </c>
      <c r="B7360" s="17">
        <v>7036400.0</v>
      </c>
    </row>
    <row r="7361">
      <c r="A7361" s="17">
        <v>1004002.0</v>
      </c>
      <c r="B7361" s="17">
        <v>7036500.0</v>
      </c>
    </row>
    <row r="7362">
      <c r="A7362" s="17">
        <v>1004002.0</v>
      </c>
      <c r="B7362" s="17">
        <v>7036800.0</v>
      </c>
    </row>
    <row r="7363">
      <c r="A7363" s="17">
        <v>1004002.0</v>
      </c>
      <c r="B7363" s="17">
        <v>7036900.0</v>
      </c>
    </row>
    <row r="7364">
      <c r="A7364" s="17">
        <v>1004002.0</v>
      </c>
      <c r="B7364" s="17">
        <v>7037000.0</v>
      </c>
    </row>
    <row r="7365">
      <c r="A7365" s="17">
        <v>1004002.0</v>
      </c>
      <c r="B7365" s="17">
        <v>7037300.0</v>
      </c>
    </row>
    <row r="7366">
      <c r="A7366" s="17">
        <v>1004002.0</v>
      </c>
      <c r="B7366" s="17">
        <v>6630000.0</v>
      </c>
    </row>
    <row r="7367">
      <c r="A7367" s="17">
        <v>1004002.0</v>
      </c>
      <c r="B7367" s="17">
        <v>6630100.0</v>
      </c>
    </row>
    <row r="7368">
      <c r="A7368" s="17">
        <v>1004002.0</v>
      </c>
      <c r="B7368" s="17">
        <v>6630200.0</v>
      </c>
    </row>
    <row r="7369">
      <c r="A7369" s="17">
        <v>1004002.0</v>
      </c>
      <c r="B7369" s="17">
        <v>6630300.0</v>
      </c>
    </row>
    <row r="7370">
      <c r="A7370" s="17">
        <v>1004002.0</v>
      </c>
      <c r="B7370" s="17">
        <v>6630400.0</v>
      </c>
    </row>
    <row r="7371">
      <c r="A7371" s="17">
        <v>1004002.0</v>
      </c>
      <c r="B7371" s="17">
        <v>6630500.0</v>
      </c>
    </row>
    <row r="7372">
      <c r="A7372" s="17">
        <v>1004002.0</v>
      </c>
      <c r="B7372" s="17">
        <v>6630600.0</v>
      </c>
    </row>
    <row r="7373">
      <c r="A7373" s="17">
        <v>1004002.0</v>
      </c>
      <c r="B7373" s="17">
        <v>6630700.0</v>
      </c>
    </row>
    <row r="7374">
      <c r="A7374" s="17">
        <v>1004002.0</v>
      </c>
      <c r="B7374" s="17">
        <v>6630800.0</v>
      </c>
    </row>
    <row r="7375">
      <c r="A7375" s="17">
        <v>1004002.0</v>
      </c>
      <c r="B7375" s="17">
        <v>6630900.0</v>
      </c>
    </row>
    <row r="7376">
      <c r="A7376" s="17">
        <v>1004002.0</v>
      </c>
      <c r="B7376" s="17">
        <v>6631000.0</v>
      </c>
    </row>
    <row r="7377">
      <c r="A7377" s="17">
        <v>1004002.0</v>
      </c>
      <c r="B7377" s="17">
        <v>6631100.0</v>
      </c>
    </row>
    <row r="7378">
      <c r="A7378" s="17">
        <v>1004002.0</v>
      </c>
      <c r="B7378" s="17">
        <v>6631200.0</v>
      </c>
    </row>
    <row r="7379">
      <c r="A7379" s="17">
        <v>1004002.0</v>
      </c>
      <c r="B7379" s="17">
        <v>6631300.0</v>
      </c>
    </row>
    <row r="7380">
      <c r="A7380" s="17">
        <v>1004002.0</v>
      </c>
      <c r="B7380" s="17">
        <v>6631400.0</v>
      </c>
    </row>
    <row r="7381">
      <c r="A7381" s="17">
        <v>1004002.0</v>
      </c>
      <c r="B7381" s="17">
        <v>6631500.0</v>
      </c>
    </row>
    <row r="7382">
      <c r="A7382" s="17">
        <v>1004002.0</v>
      </c>
      <c r="B7382" s="17">
        <v>6631600.0</v>
      </c>
    </row>
    <row r="7383">
      <c r="A7383" s="17">
        <v>1004002.0</v>
      </c>
      <c r="B7383" s="17">
        <v>6631700.0</v>
      </c>
    </row>
    <row r="7384">
      <c r="A7384" s="17">
        <v>1004002.0</v>
      </c>
      <c r="B7384" s="17">
        <v>6631800.0</v>
      </c>
    </row>
    <row r="7385">
      <c r="A7385" s="17">
        <v>1004002.0</v>
      </c>
      <c r="B7385" s="17">
        <v>6631900.0</v>
      </c>
    </row>
    <row r="7386">
      <c r="A7386" s="17">
        <v>1004002.0</v>
      </c>
      <c r="B7386" s="17">
        <v>6632000.0</v>
      </c>
    </row>
    <row r="7387">
      <c r="A7387" s="17">
        <v>1004002.0</v>
      </c>
      <c r="B7387" s="17">
        <v>6632100.0</v>
      </c>
    </row>
    <row r="7388">
      <c r="A7388" s="17">
        <v>1004002.0</v>
      </c>
      <c r="B7388" s="17">
        <v>6632200.0</v>
      </c>
    </row>
    <row r="7389">
      <c r="A7389" s="17">
        <v>1004002.0</v>
      </c>
      <c r="B7389" s="17">
        <v>6632300.0</v>
      </c>
    </row>
    <row r="7390">
      <c r="A7390" s="17">
        <v>1004002.0</v>
      </c>
      <c r="B7390" s="17">
        <v>6632400.0</v>
      </c>
    </row>
    <row r="7391">
      <c r="A7391" s="17">
        <v>1004002.0</v>
      </c>
      <c r="B7391" s="17">
        <v>6632500.0</v>
      </c>
    </row>
    <row r="7392">
      <c r="A7392" s="17">
        <v>1004002.0</v>
      </c>
      <c r="B7392" s="17">
        <v>6632600.0</v>
      </c>
    </row>
    <row r="7393">
      <c r="A7393" s="17">
        <v>1004002.0</v>
      </c>
      <c r="B7393" s="17">
        <v>6632700.0</v>
      </c>
    </row>
    <row r="7394">
      <c r="A7394" s="17">
        <v>1004002.0</v>
      </c>
      <c r="B7394" s="17">
        <v>6632800.0</v>
      </c>
    </row>
    <row r="7395">
      <c r="A7395" s="17">
        <v>1004002.0</v>
      </c>
      <c r="B7395" s="17">
        <v>6632900.0</v>
      </c>
    </row>
    <row r="7396">
      <c r="A7396" s="17">
        <v>1004002.0</v>
      </c>
      <c r="B7396" s="17">
        <v>6633000.0</v>
      </c>
    </row>
    <row r="7397">
      <c r="A7397" s="17">
        <v>1004002.0</v>
      </c>
      <c r="B7397" s="17">
        <v>6633100.0</v>
      </c>
    </row>
    <row r="7398">
      <c r="A7398" s="17">
        <v>1004002.0</v>
      </c>
      <c r="B7398" s="17">
        <v>6633200.0</v>
      </c>
    </row>
    <row r="7399">
      <c r="A7399" s="17">
        <v>1004002.0</v>
      </c>
      <c r="B7399" s="17">
        <v>6647200.0</v>
      </c>
    </row>
    <row r="7400">
      <c r="A7400" s="17">
        <v>1004002.0</v>
      </c>
      <c r="B7400" s="17">
        <v>6647300.0</v>
      </c>
    </row>
    <row r="7401">
      <c r="A7401" s="17">
        <v>1004002.0</v>
      </c>
      <c r="B7401" s="17">
        <v>6647400.0</v>
      </c>
    </row>
    <row r="7402">
      <c r="A7402" s="17">
        <v>1004002.0</v>
      </c>
      <c r="B7402" s="17">
        <v>6647500.0</v>
      </c>
    </row>
    <row r="7403">
      <c r="A7403" s="17">
        <v>1004002.0</v>
      </c>
      <c r="B7403" s="17">
        <v>6640000.0</v>
      </c>
    </row>
    <row r="7404">
      <c r="A7404" s="17">
        <v>1004002.0</v>
      </c>
      <c r="B7404" s="17">
        <v>6640100.0</v>
      </c>
    </row>
    <row r="7405">
      <c r="A7405" s="17">
        <v>1004002.0</v>
      </c>
      <c r="B7405" s="17">
        <v>6641000.0</v>
      </c>
    </row>
    <row r="7406">
      <c r="A7406" s="17">
        <v>1004002.0</v>
      </c>
      <c r="B7406" s="17">
        <v>6641100.0</v>
      </c>
    </row>
    <row r="7407">
      <c r="A7407" s="17">
        <v>1004002.0</v>
      </c>
      <c r="B7407" s="17">
        <v>6642000.0</v>
      </c>
    </row>
    <row r="7408">
      <c r="A7408" s="17">
        <v>1004002.0</v>
      </c>
      <c r="B7408" s="17">
        <v>6642100.0</v>
      </c>
    </row>
    <row r="7409">
      <c r="A7409" s="17">
        <v>1004002.0</v>
      </c>
      <c r="B7409" s="17">
        <v>6643000.0</v>
      </c>
    </row>
    <row r="7410">
      <c r="A7410" s="17">
        <v>1004002.0</v>
      </c>
      <c r="B7410" s="17">
        <v>6643100.0</v>
      </c>
    </row>
    <row r="7411">
      <c r="A7411" s="17">
        <v>1004002.0</v>
      </c>
      <c r="B7411" s="17">
        <v>6644000.0</v>
      </c>
    </row>
    <row r="7412">
      <c r="A7412" s="17">
        <v>1004002.0</v>
      </c>
      <c r="B7412" s="17">
        <v>6644100.0</v>
      </c>
    </row>
    <row r="7413">
      <c r="A7413" s="17">
        <v>1004002.0</v>
      </c>
      <c r="B7413" s="17">
        <v>6645000.0</v>
      </c>
    </row>
    <row r="7414">
      <c r="A7414" s="17">
        <v>1004002.0</v>
      </c>
      <c r="B7414" s="17">
        <v>6645100.0</v>
      </c>
    </row>
    <row r="7415">
      <c r="A7415" s="17">
        <v>1004002.0</v>
      </c>
      <c r="B7415" s="17">
        <v>6646000.0</v>
      </c>
    </row>
    <row r="7416">
      <c r="A7416" s="17">
        <v>1004002.0</v>
      </c>
      <c r="B7416" s="17">
        <v>6646100.0</v>
      </c>
    </row>
    <row r="7417">
      <c r="A7417" s="17">
        <v>1004002.0</v>
      </c>
      <c r="B7417" s="17">
        <v>6647000.0</v>
      </c>
    </row>
    <row r="7418">
      <c r="A7418" s="17">
        <v>1004002.0</v>
      </c>
      <c r="B7418" s="17">
        <v>6647100.0</v>
      </c>
    </row>
    <row r="7419">
      <c r="A7419" s="17">
        <v>1005000.0</v>
      </c>
      <c r="B7419" s="17">
        <v>7000000.0</v>
      </c>
    </row>
    <row r="7420">
      <c r="A7420" s="17">
        <v>1005000.0</v>
      </c>
      <c r="B7420" s="17">
        <v>7000001.0</v>
      </c>
    </row>
    <row r="7421">
      <c r="A7421" s="17">
        <v>1005000.0</v>
      </c>
      <c r="B7421" s="17">
        <v>7000002.0</v>
      </c>
    </row>
    <row r="7422">
      <c r="A7422" s="17">
        <v>1005000.0</v>
      </c>
      <c r="B7422" s="17">
        <v>7000100.0</v>
      </c>
    </row>
    <row r="7423">
      <c r="A7423" s="17">
        <v>1005000.0</v>
      </c>
      <c r="B7423" s="17">
        <v>7000101.0</v>
      </c>
    </row>
    <row r="7424">
      <c r="A7424" s="17">
        <v>1005000.0</v>
      </c>
      <c r="B7424" s="17">
        <v>7000102.0</v>
      </c>
    </row>
    <row r="7425">
      <c r="A7425" s="17">
        <v>1005000.0</v>
      </c>
      <c r="B7425" s="17">
        <v>7000200.0</v>
      </c>
    </row>
    <row r="7426">
      <c r="A7426" s="17">
        <v>1005000.0</v>
      </c>
      <c r="B7426" s="17">
        <v>7000201.0</v>
      </c>
    </row>
    <row r="7427">
      <c r="A7427" s="17">
        <v>1005000.0</v>
      </c>
      <c r="B7427" s="17">
        <v>7000202.0</v>
      </c>
    </row>
    <row r="7428">
      <c r="A7428" s="17">
        <v>1005000.0</v>
      </c>
      <c r="B7428" s="17">
        <v>7000300.0</v>
      </c>
    </row>
    <row r="7429">
      <c r="A7429" s="17">
        <v>1005000.0</v>
      </c>
      <c r="B7429" s="17">
        <v>7000301.0</v>
      </c>
    </row>
    <row r="7430">
      <c r="A7430" s="17">
        <v>1005000.0</v>
      </c>
      <c r="B7430" s="17">
        <v>7000302.0</v>
      </c>
    </row>
    <row r="7431">
      <c r="A7431" s="17">
        <v>1005000.0</v>
      </c>
      <c r="B7431" s="17">
        <v>7000400.0</v>
      </c>
    </row>
    <row r="7432">
      <c r="A7432" s="17">
        <v>1005000.0</v>
      </c>
      <c r="B7432" s="17">
        <v>7000401.0</v>
      </c>
    </row>
    <row r="7433">
      <c r="A7433" s="17">
        <v>1005000.0</v>
      </c>
      <c r="B7433" s="17">
        <v>7000402.0</v>
      </c>
    </row>
    <row r="7434">
      <c r="A7434" s="17">
        <v>1005000.0</v>
      </c>
      <c r="B7434" s="17">
        <v>7000500.0</v>
      </c>
    </row>
    <row r="7435">
      <c r="A7435" s="17">
        <v>1005000.0</v>
      </c>
      <c r="B7435" s="17">
        <v>7000501.0</v>
      </c>
    </row>
    <row r="7436">
      <c r="A7436" s="17">
        <v>1005000.0</v>
      </c>
      <c r="B7436" s="17">
        <v>7000502.0</v>
      </c>
    </row>
    <row r="7437">
      <c r="A7437" s="17">
        <v>1005000.0</v>
      </c>
      <c r="B7437" s="17">
        <v>7000600.0</v>
      </c>
    </row>
    <row r="7438">
      <c r="A7438" s="17">
        <v>1005000.0</v>
      </c>
      <c r="B7438" s="17">
        <v>7000601.0</v>
      </c>
    </row>
    <row r="7439">
      <c r="A7439" s="17">
        <v>1005000.0</v>
      </c>
      <c r="B7439" s="17">
        <v>7000602.0</v>
      </c>
    </row>
    <row r="7440">
      <c r="A7440" s="17">
        <v>1005000.0</v>
      </c>
      <c r="B7440" s="17">
        <v>7000700.0</v>
      </c>
    </row>
    <row r="7441">
      <c r="A7441" s="17">
        <v>1005000.0</v>
      </c>
      <c r="B7441" s="17">
        <v>7000701.0</v>
      </c>
    </row>
    <row r="7442">
      <c r="A7442" s="17">
        <v>1005000.0</v>
      </c>
      <c r="B7442" s="17">
        <v>7000702.0</v>
      </c>
    </row>
    <row r="7443">
      <c r="A7443" s="17">
        <v>1005000.0</v>
      </c>
      <c r="B7443" s="17">
        <v>7000800.0</v>
      </c>
    </row>
    <row r="7444">
      <c r="A7444" s="17">
        <v>1005000.0</v>
      </c>
      <c r="B7444" s="17">
        <v>7000801.0</v>
      </c>
    </row>
    <row r="7445">
      <c r="A7445" s="17">
        <v>1005000.0</v>
      </c>
      <c r="B7445" s="17">
        <v>7000802.0</v>
      </c>
    </row>
    <row r="7446">
      <c r="A7446" s="17">
        <v>1005000.0</v>
      </c>
      <c r="B7446" s="17">
        <v>7000900.0</v>
      </c>
    </row>
    <row r="7447">
      <c r="A7447" s="17">
        <v>1005000.0</v>
      </c>
      <c r="B7447" s="17">
        <v>7000901.0</v>
      </c>
    </row>
    <row r="7448">
      <c r="A7448" s="17">
        <v>1005000.0</v>
      </c>
      <c r="B7448" s="17">
        <v>7000902.0</v>
      </c>
    </row>
    <row r="7449">
      <c r="A7449" s="17">
        <v>1005000.0</v>
      </c>
      <c r="B7449" s="17">
        <v>7001000.0</v>
      </c>
    </row>
    <row r="7450">
      <c r="A7450" s="17">
        <v>1005000.0</v>
      </c>
      <c r="B7450" s="17">
        <v>7001001.0</v>
      </c>
    </row>
    <row r="7451">
      <c r="A7451" s="17">
        <v>1005000.0</v>
      </c>
      <c r="B7451" s="17">
        <v>7001002.0</v>
      </c>
    </row>
    <row r="7452">
      <c r="A7452" s="17">
        <v>1005000.0</v>
      </c>
      <c r="B7452" s="17">
        <v>7001400.0</v>
      </c>
    </row>
    <row r="7453">
      <c r="A7453" s="17">
        <v>1005000.0</v>
      </c>
      <c r="B7453" s="17">
        <v>7001401.0</v>
      </c>
    </row>
    <row r="7454">
      <c r="A7454" s="17">
        <v>1005000.0</v>
      </c>
      <c r="B7454" s="17">
        <v>7001402.0</v>
      </c>
    </row>
    <row r="7455">
      <c r="A7455" s="17">
        <v>1005000.0</v>
      </c>
      <c r="B7455" s="17">
        <v>7001500.0</v>
      </c>
    </row>
    <row r="7456">
      <c r="A7456" s="17">
        <v>1005000.0</v>
      </c>
      <c r="B7456" s="17">
        <v>7001501.0</v>
      </c>
    </row>
    <row r="7457">
      <c r="A7457" s="17">
        <v>1005000.0</v>
      </c>
      <c r="B7457" s="17">
        <v>7001502.0</v>
      </c>
    </row>
    <row r="7458">
      <c r="A7458" s="17">
        <v>1005000.0</v>
      </c>
      <c r="B7458" s="17">
        <v>7001600.0</v>
      </c>
    </row>
    <row r="7459">
      <c r="A7459" s="17">
        <v>1005000.0</v>
      </c>
      <c r="B7459" s="17">
        <v>7001601.0</v>
      </c>
    </row>
    <row r="7460">
      <c r="A7460" s="17">
        <v>1005000.0</v>
      </c>
      <c r="B7460" s="17">
        <v>7001602.0</v>
      </c>
    </row>
    <row r="7461">
      <c r="A7461" s="17">
        <v>1005000.0</v>
      </c>
      <c r="B7461" s="17">
        <v>7001700.0</v>
      </c>
    </row>
    <row r="7462">
      <c r="A7462" s="17">
        <v>1005000.0</v>
      </c>
      <c r="B7462" s="17">
        <v>7001701.0</v>
      </c>
    </row>
    <row r="7463">
      <c r="A7463" s="17">
        <v>1005000.0</v>
      </c>
      <c r="B7463" s="17">
        <v>7001702.0</v>
      </c>
    </row>
    <row r="7464">
      <c r="A7464" s="17">
        <v>1005000.0</v>
      </c>
      <c r="B7464" s="17">
        <v>7001800.0</v>
      </c>
    </row>
    <row r="7465">
      <c r="A7465" s="17">
        <v>1005000.0</v>
      </c>
      <c r="B7465" s="17">
        <v>7001801.0</v>
      </c>
    </row>
    <row r="7466">
      <c r="A7466" s="17">
        <v>1005000.0</v>
      </c>
      <c r="B7466" s="17">
        <v>7001802.0</v>
      </c>
    </row>
    <row r="7467">
      <c r="A7467" s="17">
        <v>1005000.0</v>
      </c>
      <c r="B7467" s="17">
        <v>7002600.0</v>
      </c>
    </row>
    <row r="7468">
      <c r="A7468" s="17">
        <v>1005000.0</v>
      </c>
      <c r="B7468" s="17">
        <v>7002700.0</v>
      </c>
    </row>
    <row r="7469">
      <c r="A7469" s="17">
        <v>1005000.0</v>
      </c>
      <c r="B7469" s="17">
        <v>7002800.0</v>
      </c>
    </row>
    <row r="7470">
      <c r="A7470" s="17">
        <v>1005000.0</v>
      </c>
      <c r="B7470" s="17">
        <v>7002900.0</v>
      </c>
    </row>
    <row r="7471">
      <c r="A7471" s="17">
        <v>1005000.0</v>
      </c>
      <c r="B7471" s="17">
        <v>7003000.0</v>
      </c>
    </row>
    <row r="7472">
      <c r="A7472" s="17">
        <v>1005000.0</v>
      </c>
      <c r="B7472" s="17">
        <v>7003100.0</v>
      </c>
    </row>
    <row r="7473">
      <c r="A7473" s="17">
        <v>1005000.0</v>
      </c>
      <c r="B7473" s="17">
        <v>7003200.0</v>
      </c>
    </row>
    <row r="7474">
      <c r="A7474" s="17">
        <v>1005000.0</v>
      </c>
      <c r="B7474" s="17">
        <v>7003300.0</v>
      </c>
    </row>
    <row r="7475">
      <c r="A7475" s="17">
        <v>1005000.0</v>
      </c>
      <c r="B7475" s="17">
        <v>7003400.0</v>
      </c>
    </row>
    <row r="7476">
      <c r="A7476" s="17">
        <v>1005000.0</v>
      </c>
      <c r="B7476" s="17">
        <v>7003500.0</v>
      </c>
    </row>
    <row r="7477">
      <c r="A7477" s="17">
        <v>1005000.0</v>
      </c>
      <c r="B7477" s="17">
        <v>7003600.0</v>
      </c>
    </row>
    <row r="7478">
      <c r="A7478" s="17">
        <v>1005000.0</v>
      </c>
      <c r="B7478" s="17">
        <v>7005600.0</v>
      </c>
    </row>
    <row r="7479">
      <c r="A7479" s="17">
        <v>1005000.0</v>
      </c>
      <c r="B7479" s="17">
        <v>7006000.0</v>
      </c>
    </row>
    <row r="7480">
      <c r="A7480" s="17">
        <v>1005000.0</v>
      </c>
      <c r="B7480" s="17">
        <v>7006100.0</v>
      </c>
    </row>
    <row r="7481">
      <c r="A7481" s="17">
        <v>1005000.0</v>
      </c>
      <c r="B7481" s="17">
        <v>7010200.0</v>
      </c>
    </row>
    <row r="7482">
      <c r="A7482" s="17">
        <v>1005000.0</v>
      </c>
      <c r="B7482" s="17">
        <v>7010500.0</v>
      </c>
    </row>
    <row r="7483">
      <c r="A7483" s="17">
        <v>1005000.0</v>
      </c>
      <c r="B7483" s="17">
        <v>7010700.0</v>
      </c>
    </row>
    <row r="7484">
      <c r="A7484" s="17">
        <v>1005000.0</v>
      </c>
      <c r="B7484" s="17">
        <v>7010900.0</v>
      </c>
    </row>
    <row r="7485">
      <c r="A7485" s="17">
        <v>1005000.0</v>
      </c>
      <c r="B7485" s="17">
        <v>7011000.0</v>
      </c>
    </row>
    <row r="7486">
      <c r="A7486" s="17">
        <v>1005000.0</v>
      </c>
      <c r="B7486" s="17">
        <v>7011200.0</v>
      </c>
    </row>
    <row r="7487">
      <c r="A7487" s="17">
        <v>1005000.0</v>
      </c>
      <c r="B7487" s="17">
        <v>7011600.0</v>
      </c>
    </row>
    <row r="7488">
      <c r="A7488" s="17">
        <v>1005000.0</v>
      </c>
      <c r="B7488" s="17">
        <v>7011700.0</v>
      </c>
    </row>
    <row r="7489">
      <c r="A7489" s="17">
        <v>1005000.0</v>
      </c>
      <c r="B7489" s="17">
        <v>7012000.0</v>
      </c>
    </row>
    <row r="7490">
      <c r="A7490" s="17">
        <v>1005000.0</v>
      </c>
      <c r="B7490" s="17">
        <v>7012200.0</v>
      </c>
    </row>
    <row r="7491">
      <c r="A7491" s="17">
        <v>1005000.0</v>
      </c>
      <c r="B7491" s="17">
        <v>7012300.0</v>
      </c>
    </row>
    <row r="7492">
      <c r="A7492" s="17">
        <v>1005000.0</v>
      </c>
      <c r="B7492" s="17">
        <v>7020000.0</v>
      </c>
    </row>
    <row r="7493">
      <c r="A7493" s="17">
        <v>1005000.0</v>
      </c>
      <c r="B7493" s="17">
        <v>7030000.0</v>
      </c>
    </row>
    <row r="7494">
      <c r="A7494" s="17">
        <v>1005000.0</v>
      </c>
      <c r="B7494" s="17">
        <v>7030200.0</v>
      </c>
    </row>
    <row r="7495">
      <c r="A7495" s="17">
        <v>1005000.0</v>
      </c>
      <c r="B7495" s="17">
        <v>7030600.0</v>
      </c>
    </row>
    <row r="7496">
      <c r="A7496" s="17">
        <v>1005000.0</v>
      </c>
      <c r="B7496" s="17">
        <v>7030700.0</v>
      </c>
    </row>
    <row r="7497">
      <c r="A7497" s="17">
        <v>1005000.0</v>
      </c>
      <c r="B7497" s="17">
        <v>7030800.0</v>
      </c>
    </row>
    <row r="7498">
      <c r="A7498" s="17">
        <v>1005000.0</v>
      </c>
      <c r="B7498" s="17">
        <v>7030900.0</v>
      </c>
    </row>
    <row r="7499">
      <c r="A7499" s="17">
        <v>1005000.0</v>
      </c>
      <c r="B7499" s="17">
        <v>7031200.0</v>
      </c>
    </row>
    <row r="7500">
      <c r="A7500" s="17">
        <v>1005000.0</v>
      </c>
      <c r="B7500" s="17">
        <v>7031300.0</v>
      </c>
    </row>
    <row r="7501">
      <c r="A7501" s="17">
        <v>1005000.0</v>
      </c>
      <c r="B7501" s="17">
        <v>7031800.0</v>
      </c>
    </row>
    <row r="7502">
      <c r="A7502" s="17">
        <v>1005000.0</v>
      </c>
      <c r="B7502" s="17">
        <v>7031900.0</v>
      </c>
    </row>
    <row r="7503">
      <c r="A7503" s="17">
        <v>1005000.0</v>
      </c>
      <c r="B7503" s="17">
        <v>7032200.0</v>
      </c>
    </row>
    <row r="7504">
      <c r="A7504" s="17">
        <v>1005000.0</v>
      </c>
      <c r="B7504" s="17">
        <v>7032400.0</v>
      </c>
    </row>
    <row r="7505">
      <c r="A7505" s="17">
        <v>1005000.0</v>
      </c>
      <c r="B7505" s="17">
        <v>7032700.0</v>
      </c>
    </row>
    <row r="7506">
      <c r="A7506" s="17">
        <v>1005000.0</v>
      </c>
      <c r="B7506" s="17">
        <v>7032800.0</v>
      </c>
    </row>
    <row r="7507">
      <c r="A7507" s="17">
        <v>1005000.0</v>
      </c>
      <c r="B7507" s="17">
        <v>7032900.0</v>
      </c>
    </row>
    <row r="7508">
      <c r="A7508" s="17">
        <v>1005000.0</v>
      </c>
      <c r="B7508" s="17">
        <v>7033200.0</v>
      </c>
    </row>
    <row r="7509">
      <c r="A7509" s="17">
        <v>1005000.0</v>
      </c>
      <c r="B7509" s="17">
        <v>7033400.0</v>
      </c>
    </row>
    <row r="7510">
      <c r="A7510" s="17">
        <v>1005000.0</v>
      </c>
      <c r="B7510" s="17">
        <v>7034100.0</v>
      </c>
    </row>
    <row r="7511">
      <c r="A7511" s="17">
        <v>1005000.0</v>
      </c>
      <c r="B7511" s="17">
        <v>7034400.0</v>
      </c>
    </row>
    <row r="7512">
      <c r="A7512" s="17">
        <v>1005000.0</v>
      </c>
      <c r="B7512" s="17">
        <v>7034500.0</v>
      </c>
    </row>
    <row r="7513">
      <c r="A7513" s="17">
        <v>1005000.0</v>
      </c>
      <c r="B7513" s="17">
        <v>7034600.0</v>
      </c>
    </row>
    <row r="7514">
      <c r="A7514" s="17">
        <v>1005000.0</v>
      </c>
      <c r="B7514" s="17">
        <v>7034700.0</v>
      </c>
    </row>
    <row r="7515">
      <c r="A7515" s="17">
        <v>1005000.0</v>
      </c>
      <c r="B7515" s="17">
        <v>7035100.0</v>
      </c>
    </row>
    <row r="7516">
      <c r="A7516" s="17">
        <v>1005000.0</v>
      </c>
      <c r="B7516" s="17">
        <v>7036100.0</v>
      </c>
    </row>
    <row r="7517">
      <c r="A7517" s="17">
        <v>1005000.0</v>
      </c>
      <c r="B7517" s="17">
        <v>7040000.0</v>
      </c>
    </row>
    <row r="7518">
      <c r="A7518" s="17">
        <v>1005000.0</v>
      </c>
      <c r="B7518" s="17">
        <v>7040100.0</v>
      </c>
    </row>
    <row r="7519">
      <c r="A7519" s="17">
        <v>1005000.0</v>
      </c>
      <c r="B7519" s="17">
        <v>7040200.0</v>
      </c>
    </row>
    <row r="7520">
      <c r="A7520" s="17">
        <v>1005000.0</v>
      </c>
      <c r="B7520" s="17">
        <v>7040300.0</v>
      </c>
    </row>
    <row r="7521">
      <c r="A7521" s="17">
        <v>1005000.0</v>
      </c>
      <c r="B7521" s="17">
        <v>7040400.0</v>
      </c>
    </row>
    <row r="7522">
      <c r="A7522" s="17">
        <v>1005000.0</v>
      </c>
      <c r="B7522" s="17">
        <v>7040500.0</v>
      </c>
    </row>
    <row r="7523">
      <c r="A7523" s="17">
        <v>1005000.0</v>
      </c>
      <c r="B7523" s="17">
        <v>7043000.0</v>
      </c>
    </row>
    <row r="7524">
      <c r="A7524" s="17">
        <v>1005000.0</v>
      </c>
      <c r="B7524" s="17">
        <v>7043100.0</v>
      </c>
    </row>
    <row r="7525">
      <c r="A7525" s="17">
        <v>1005000.0</v>
      </c>
      <c r="B7525" s="17">
        <v>7043200.0</v>
      </c>
    </row>
    <row r="7526">
      <c r="A7526" s="17">
        <v>1005000.0</v>
      </c>
      <c r="B7526" s="17">
        <v>7043300.0</v>
      </c>
    </row>
    <row r="7527">
      <c r="A7527" s="17">
        <v>1005000.0</v>
      </c>
      <c r="B7527" s="17">
        <v>7043400.0</v>
      </c>
    </row>
    <row r="7528">
      <c r="A7528" s="17">
        <v>1005000.0</v>
      </c>
      <c r="B7528" s="17">
        <v>7043500.0</v>
      </c>
    </row>
    <row r="7529">
      <c r="A7529" s="17">
        <v>1005000.0</v>
      </c>
      <c r="B7529" s="17">
        <v>7043600.0</v>
      </c>
    </row>
    <row r="7530">
      <c r="A7530" s="17">
        <v>1005000.0</v>
      </c>
      <c r="B7530" s="17">
        <v>7043700.0</v>
      </c>
    </row>
    <row r="7531">
      <c r="A7531" s="17">
        <v>1005000.0</v>
      </c>
      <c r="B7531" s="17">
        <v>7043800.0</v>
      </c>
    </row>
    <row r="7532">
      <c r="A7532" s="17">
        <v>1005000.0</v>
      </c>
      <c r="B7532" s="17">
        <v>7044000.0</v>
      </c>
    </row>
    <row r="7533">
      <c r="A7533" s="17">
        <v>1005000.0</v>
      </c>
      <c r="B7533" s="17">
        <v>7044100.0</v>
      </c>
    </row>
    <row r="7534">
      <c r="A7534" s="17">
        <v>1005000.0</v>
      </c>
      <c r="B7534" s="17">
        <v>7044200.0</v>
      </c>
    </row>
    <row r="7535">
      <c r="A7535" s="17">
        <v>1005000.0</v>
      </c>
      <c r="B7535" s="17">
        <v>7044300.0</v>
      </c>
    </row>
    <row r="7536">
      <c r="A7536" s="17">
        <v>1005000.0</v>
      </c>
      <c r="B7536" s="17">
        <v>7044400.0</v>
      </c>
    </row>
    <row r="7537">
      <c r="A7537" s="17">
        <v>1005000.0</v>
      </c>
      <c r="B7537" s="17">
        <v>7044500.0</v>
      </c>
    </row>
    <row r="7538">
      <c r="A7538" s="17">
        <v>1005000.0</v>
      </c>
      <c r="B7538" s="17">
        <v>7044600.0</v>
      </c>
    </row>
    <row r="7539">
      <c r="A7539" s="17">
        <v>1005000.0</v>
      </c>
      <c r="B7539" s="17">
        <v>7050000.0</v>
      </c>
    </row>
    <row r="7540">
      <c r="A7540" s="17">
        <v>1005000.0</v>
      </c>
      <c r="B7540" s="17">
        <v>7050100.0</v>
      </c>
    </row>
    <row r="7541">
      <c r="A7541" s="17">
        <v>1005000.0</v>
      </c>
      <c r="B7541" s="17">
        <v>7060000.0</v>
      </c>
    </row>
    <row r="7542">
      <c r="A7542" s="17">
        <v>1005000.0</v>
      </c>
      <c r="B7542" s="17">
        <v>7060100.0</v>
      </c>
    </row>
    <row r="7543">
      <c r="A7543" s="17">
        <v>1005000.0</v>
      </c>
      <c r="B7543" s="17">
        <v>7060200.0</v>
      </c>
    </row>
    <row r="7544">
      <c r="A7544" s="17">
        <v>1005000.0</v>
      </c>
      <c r="B7544" s="17">
        <v>7070000.0</v>
      </c>
    </row>
    <row r="7545">
      <c r="A7545" s="17">
        <v>1005000.0</v>
      </c>
      <c r="B7545" s="17">
        <v>7080000.0</v>
      </c>
    </row>
    <row r="7546">
      <c r="A7546" s="17">
        <v>1005000.0</v>
      </c>
      <c r="B7546" s="17">
        <v>7080100.0</v>
      </c>
    </row>
    <row r="7547">
      <c r="A7547" s="17">
        <v>1005000.0</v>
      </c>
      <c r="B7547" s="17">
        <v>7080200.0</v>
      </c>
    </row>
    <row r="7548">
      <c r="A7548" s="17">
        <v>1005000.0</v>
      </c>
      <c r="B7548" s="17">
        <v>7080300.0</v>
      </c>
    </row>
    <row r="7549">
      <c r="A7549" s="17">
        <v>1005000.0</v>
      </c>
      <c r="B7549" s="17">
        <v>7080400.0</v>
      </c>
    </row>
    <row r="7550">
      <c r="A7550" s="17">
        <v>1005000.0</v>
      </c>
      <c r="B7550" s="17">
        <v>7080500.0</v>
      </c>
    </row>
    <row r="7551">
      <c r="A7551" s="17">
        <v>1005000.0</v>
      </c>
      <c r="B7551" s="17">
        <v>7080600.0</v>
      </c>
    </row>
    <row r="7552">
      <c r="A7552" s="17">
        <v>1005000.0</v>
      </c>
      <c r="B7552" s="17">
        <v>7080700.0</v>
      </c>
    </row>
    <row r="7553">
      <c r="A7553" s="17">
        <v>1005000.0</v>
      </c>
      <c r="B7553" s="17">
        <v>7080800.0</v>
      </c>
    </row>
    <row r="7554">
      <c r="A7554" s="17">
        <v>1005000.0</v>
      </c>
      <c r="B7554" s="17">
        <v>7080900.0</v>
      </c>
    </row>
    <row r="7555">
      <c r="A7555" s="17">
        <v>1005000.0</v>
      </c>
      <c r="B7555" s="17">
        <v>7081000.0</v>
      </c>
    </row>
    <row r="7556">
      <c r="A7556" s="17">
        <v>1005000.0</v>
      </c>
      <c r="B7556" s="17">
        <v>7081100.0</v>
      </c>
    </row>
    <row r="7557">
      <c r="A7557" s="17">
        <v>1005000.0</v>
      </c>
      <c r="B7557" s="17">
        <v>7081200.0</v>
      </c>
    </row>
    <row r="7558">
      <c r="A7558" s="17">
        <v>1005000.0</v>
      </c>
      <c r="B7558" s="17">
        <v>7081300.0</v>
      </c>
    </row>
    <row r="7559">
      <c r="A7559" s="17">
        <v>1005000.0</v>
      </c>
      <c r="B7559" s="17">
        <v>7081400.0</v>
      </c>
    </row>
    <row r="7560">
      <c r="A7560" s="17">
        <v>1005000.0</v>
      </c>
      <c r="B7560" s="17">
        <v>7081500.0</v>
      </c>
    </row>
    <row r="7561">
      <c r="A7561" s="17">
        <v>1005000.0</v>
      </c>
      <c r="B7561" s="17">
        <v>7081700.0</v>
      </c>
    </row>
    <row r="7562">
      <c r="A7562" s="17">
        <v>1005000.0</v>
      </c>
      <c r="B7562" s="17">
        <v>7081800.0</v>
      </c>
    </row>
    <row r="7563">
      <c r="A7563" s="17">
        <v>1005000.0</v>
      </c>
      <c r="B7563" s="17">
        <v>7081900.0</v>
      </c>
    </row>
    <row r="7564">
      <c r="A7564" s="17">
        <v>1005000.0</v>
      </c>
      <c r="B7564" s="17">
        <v>7082000.0</v>
      </c>
    </row>
    <row r="7565">
      <c r="A7565" s="17">
        <v>1005000.0</v>
      </c>
      <c r="B7565" s="17">
        <v>7082100.0</v>
      </c>
    </row>
    <row r="7566">
      <c r="A7566" s="17">
        <v>1005000.0</v>
      </c>
      <c r="B7566" s="17">
        <v>7082200.0</v>
      </c>
    </row>
    <row r="7567">
      <c r="A7567" s="17">
        <v>1005000.0</v>
      </c>
      <c r="B7567" s="17">
        <v>7082300.0</v>
      </c>
    </row>
    <row r="7568">
      <c r="A7568" s="17">
        <v>1005000.0</v>
      </c>
      <c r="B7568" s="17">
        <v>7082400.0</v>
      </c>
    </row>
    <row r="7569">
      <c r="A7569" s="17">
        <v>1005000.0</v>
      </c>
      <c r="B7569" s="17">
        <v>7082500.0</v>
      </c>
    </row>
    <row r="7570">
      <c r="A7570" s="17">
        <v>1005000.0</v>
      </c>
      <c r="B7570" s="17">
        <v>7082600.0</v>
      </c>
    </row>
    <row r="7571">
      <c r="A7571" s="17">
        <v>1005000.0</v>
      </c>
      <c r="B7571" s="17">
        <v>7082700.0</v>
      </c>
    </row>
    <row r="7572">
      <c r="A7572" s="17">
        <v>1005000.0</v>
      </c>
      <c r="B7572" s="17">
        <v>7082800.0</v>
      </c>
    </row>
    <row r="7573">
      <c r="A7573" s="17">
        <v>1005000.0</v>
      </c>
      <c r="B7573" s="17">
        <v>7082900.0</v>
      </c>
    </row>
    <row r="7574">
      <c r="A7574" s="17">
        <v>1005000.0</v>
      </c>
      <c r="B7574" s="17">
        <v>7090000.0</v>
      </c>
    </row>
    <row r="7575">
      <c r="A7575" s="17">
        <v>1005000.0</v>
      </c>
      <c r="B7575" s="17">
        <v>7090100.0</v>
      </c>
    </row>
    <row r="7576">
      <c r="A7576" s="17">
        <v>1005000.0</v>
      </c>
      <c r="B7576" s="17">
        <v>7090300.0</v>
      </c>
    </row>
    <row r="7577">
      <c r="A7577" s="17">
        <v>1005000.0</v>
      </c>
      <c r="B7577" s="17">
        <v>7100100.0</v>
      </c>
    </row>
    <row r="7578">
      <c r="A7578" s="17">
        <v>1005000.0</v>
      </c>
      <c r="B7578" s="17">
        <v>7110000.0</v>
      </c>
    </row>
    <row r="7579">
      <c r="A7579" s="17">
        <v>1005000.0</v>
      </c>
      <c r="B7579" s="17">
        <v>7120000.0</v>
      </c>
    </row>
    <row r="7580">
      <c r="A7580" s="17">
        <v>1005000.0</v>
      </c>
      <c r="B7580" s="17">
        <v>7120100.0</v>
      </c>
    </row>
    <row r="7581">
      <c r="A7581" s="17">
        <v>1005000.0</v>
      </c>
      <c r="B7581" s="17">
        <v>7120200.0</v>
      </c>
    </row>
    <row r="7582">
      <c r="A7582" s="17">
        <v>1005000.0</v>
      </c>
      <c r="B7582" s="17">
        <v>7120300.0</v>
      </c>
    </row>
    <row r="7583">
      <c r="A7583" s="17">
        <v>1005000.0</v>
      </c>
      <c r="B7583" s="17">
        <v>7120400.0</v>
      </c>
    </row>
    <row r="7584">
      <c r="A7584" s="17">
        <v>1005000.0</v>
      </c>
      <c r="B7584" s="17">
        <v>7120500.0</v>
      </c>
    </row>
    <row r="7585">
      <c r="A7585" s="17">
        <v>1005000.0</v>
      </c>
      <c r="B7585" s="17">
        <v>7120600.0</v>
      </c>
    </row>
    <row r="7586">
      <c r="A7586" s="17">
        <v>1005000.0</v>
      </c>
      <c r="B7586" s="17">
        <v>7120900.0</v>
      </c>
    </row>
    <row r="7587">
      <c r="A7587" s="17">
        <v>1005000.0</v>
      </c>
      <c r="B7587" s="17">
        <v>7121000.0</v>
      </c>
    </row>
    <row r="7588">
      <c r="A7588" s="17">
        <v>1005000.0</v>
      </c>
      <c r="B7588" s="17">
        <v>7121100.0</v>
      </c>
    </row>
    <row r="7589">
      <c r="A7589" s="17">
        <v>1005000.0</v>
      </c>
      <c r="B7589" s="17">
        <v>7121200.0</v>
      </c>
    </row>
    <row r="7590">
      <c r="A7590" s="17">
        <v>1005000.0</v>
      </c>
      <c r="B7590" s="17">
        <v>7121300.0</v>
      </c>
    </row>
    <row r="7591">
      <c r="A7591" s="17">
        <v>1005000.0</v>
      </c>
      <c r="B7591" s="17">
        <v>7121400.0</v>
      </c>
    </row>
    <row r="7592">
      <c r="A7592" s="17">
        <v>1005000.0</v>
      </c>
      <c r="B7592" s="17">
        <v>7121500.0</v>
      </c>
    </row>
    <row r="7593">
      <c r="A7593" s="17">
        <v>1005000.0</v>
      </c>
      <c r="B7593" s="17">
        <v>7121600.0</v>
      </c>
    </row>
    <row r="7594">
      <c r="A7594" s="17">
        <v>1005000.0</v>
      </c>
      <c r="B7594" s="17">
        <v>7121700.0</v>
      </c>
    </row>
    <row r="7595">
      <c r="A7595" s="17">
        <v>1005000.0</v>
      </c>
      <c r="B7595" s="17">
        <v>7121800.0</v>
      </c>
    </row>
    <row r="7596">
      <c r="A7596" s="17">
        <v>1005000.0</v>
      </c>
      <c r="B7596" s="17">
        <v>7121900.0</v>
      </c>
    </row>
    <row r="7597">
      <c r="A7597" s="17">
        <v>1005000.0</v>
      </c>
      <c r="B7597" s="17">
        <v>7122000.0</v>
      </c>
    </row>
    <row r="7598">
      <c r="A7598" s="17">
        <v>1005000.0</v>
      </c>
      <c r="B7598" s="17">
        <v>7122100.0</v>
      </c>
    </row>
    <row r="7599">
      <c r="A7599" s="17">
        <v>1005000.0</v>
      </c>
      <c r="B7599" s="17">
        <v>7122200.0</v>
      </c>
    </row>
    <row r="7600">
      <c r="A7600" s="17">
        <v>1005000.0</v>
      </c>
      <c r="B7600" s="17">
        <v>7122300.0</v>
      </c>
    </row>
    <row r="7601">
      <c r="A7601" s="17">
        <v>1005000.0</v>
      </c>
      <c r="B7601" s="17">
        <v>7122400.0</v>
      </c>
    </row>
    <row r="7602">
      <c r="A7602" s="17">
        <v>1005000.0</v>
      </c>
      <c r="B7602" s="17">
        <v>7122500.0</v>
      </c>
    </row>
    <row r="7603">
      <c r="A7603" s="17">
        <v>1005000.0</v>
      </c>
      <c r="B7603" s="17">
        <v>7122600.0</v>
      </c>
    </row>
    <row r="7604">
      <c r="A7604" s="17">
        <v>1005000.0</v>
      </c>
      <c r="B7604" s="17">
        <v>7122700.0</v>
      </c>
    </row>
    <row r="7605">
      <c r="A7605" s="17">
        <v>1005000.0</v>
      </c>
      <c r="B7605" s="17">
        <v>7122800.0</v>
      </c>
    </row>
    <row r="7606">
      <c r="A7606" s="17">
        <v>1005000.0</v>
      </c>
      <c r="B7606" s="17">
        <v>7122900.0</v>
      </c>
    </row>
    <row r="7607">
      <c r="A7607" s="17">
        <v>1005000.0</v>
      </c>
      <c r="B7607" s="17">
        <v>7123000.0</v>
      </c>
    </row>
    <row r="7608">
      <c r="A7608" s="17">
        <v>1005000.0</v>
      </c>
      <c r="B7608" s="17">
        <v>7123100.0</v>
      </c>
    </row>
    <row r="7609">
      <c r="A7609" s="17">
        <v>1005000.0</v>
      </c>
      <c r="B7609" s="17">
        <v>7123200.0</v>
      </c>
    </row>
    <row r="7610">
      <c r="A7610" s="17">
        <v>1005000.0</v>
      </c>
      <c r="B7610" s="17">
        <v>7123300.0</v>
      </c>
    </row>
    <row r="7611">
      <c r="A7611" s="17">
        <v>1005000.0</v>
      </c>
      <c r="B7611" s="17">
        <v>7123400.0</v>
      </c>
    </row>
    <row r="7612">
      <c r="A7612" s="17">
        <v>1005000.0</v>
      </c>
      <c r="B7612" s="17">
        <v>7123500.0</v>
      </c>
    </row>
    <row r="7613">
      <c r="A7613" s="17">
        <v>1005000.0</v>
      </c>
      <c r="B7613" s="17">
        <v>7123600.0</v>
      </c>
    </row>
    <row r="7614">
      <c r="A7614" s="17">
        <v>1005000.0</v>
      </c>
      <c r="B7614" s="17">
        <v>7123700.0</v>
      </c>
    </row>
    <row r="7615">
      <c r="A7615" s="17">
        <v>1005000.0</v>
      </c>
      <c r="B7615" s="17">
        <v>7123800.0</v>
      </c>
    </row>
    <row r="7616">
      <c r="A7616" s="17">
        <v>1005000.0</v>
      </c>
      <c r="B7616" s="17">
        <v>7123900.0</v>
      </c>
    </row>
    <row r="7617">
      <c r="A7617" s="17">
        <v>1005000.0</v>
      </c>
      <c r="B7617" s="17">
        <v>7124000.0</v>
      </c>
    </row>
    <row r="7618">
      <c r="A7618" s="17">
        <v>1005000.0</v>
      </c>
      <c r="B7618" s="17">
        <v>7124100.0</v>
      </c>
    </row>
    <row r="7619">
      <c r="A7619" s="17">
        <v>1005000.0</v>
      </c>
      <c r="B7619" s="17">
        <v>7124300.0</v>
      </c>
    </row>
    <row r="7620">
      <c r="A7620" s="17">
        <v>1005000.0</v>
      </c>
      <c r="B7620" s="17">
        <v>7124400.0</v>
      </c>
    </row>
    <row r="7621">
      <c r="A7621" s="17">
        <v>1005000.0</v>
      </c>
      <c r="B7621" s="17">
        <v>7124500.0</v>
      </c>
    </row>
    <row r="7622">
      <c r="A7622" s="17">
        <v>1005000.0</v>
      </c>
      <c r="B7622" s="17">
        <v>7124600.0</v>
      </c>
    </row>
    <row r="7623">
      <c r="A7623" s="17">
        <v>1005000.0</v>
      </c>
      <c r="B7623" s="17">
        <v>7124700.0</v>
      </c>
    </row>
    <row r="7624">
      <c r="A7624" s="17">
        <v>1005000.0</v>
      </c>
      <c r="B7624" s="17">
        <v>7126000.0</v>
      </c>
    </row>
    <row r="7625">
      <c r="A7625" s="17">
        <v>1005000.0</v>
      </c>
      <c r="B7625" s="17">
        <v>7150000.0</v>
      </c>
    </row>
    <row r="7626">
      <c r="A7626" s="17">
        <v>1005000.0</v>
      </c>
      <c r="B7626" s="17">
        <v>7160000.0</v>
      </c>
    </row>
    <row r="7627">
      <c r="A7627" s="17">
        <v>1005000.0</v>
      </c>
      <c r="B7627" s="17">
        <v>7220000.0</v>
      </c>
    </row>
    <row r="7628">
      <c r="A7628" s="17">
        <v>1005000.0</v>
      </c>
      <c r="B7628" s="17">
        <v>7230000.0</v>
      </c>
    </row>
    <row r="7629">
      <c r="A7629" s="17">
        <v>1005000.0</v>
      </c>
      <c r="B7629" s="17">
        <v>7240000.0</v>
      </c>
    </row>
    <row r="7630">
      <c r="A7630" s="17">
        <v>1005000.0</v>
      </c>
      <c r="B7630" s="17">
        <v>7260000.0</v>
      </c>
    </row>
    <row r="7631">
      <c r="A7631" s="17">
        <v>1005000.0</v>
      </c>
      <c r="B7631" s="17">
        <v>7260300.0</v>
      </c>
    </row>
    <row r="7632">
      <c r="A7632" s="17">
        <v>1005000.0</v>
      </c>
      <c r="B7632" s="17">
        <v>7260400.0</v>
      </c>
    </row>
    <row r="7633">
      <c r="A7633" s="17">
        <v>1005000.0</v>
      </c>
      <c r="B7633" s="17">
        <v>7270100.0</v>
      </c>
    </row>
    <row r="7634">
      <c r="A7634" s="17">
        <v>1005000.0</v>
      </c>
      <c r="B7634" s="17">
        <v>7280000.0</v>
      </c>
    </row>
    <row r="7635">
      <c r="A7635" s="17">
        <v>1005000.0</v>
      </c>
      <c r="B7635" s="17">
        <v>7290000.0</v>
      </c>
    </row>
    <row r="7636">
      <c r="A7636" s="17">
        <v>1005000.0</v>
      </c>
      <c r="B7636" s="17">
        <v>7310000.0</v>
      </c>
    </row>
    <row r="7637">
      <c r="A7637" s="17">
        <v>1005000.0</v>
      </c>
      <c r="B7637" s="17">
        <v>7330000.0</v>
      </c>
    </row>
    <row r="7638">
      <c r="A7638" s="17">
        <v>1005000.0</v>
      </c>
      <c r="B7638" s="17">
        <v>7330100.0</v>
      </c>
    </row>
    <row r="7639">
      <c r="A7639" s="17">
        <v>1005000.0</v>
      </c>
      <c r="B7639" s="17">
        <v>7330200.0</v>
      </c>
    </row>
    <row r="7640">
      <c r="A7640" s="17">
        <v>1005000.0</v>
      </c>
      <c r="B7640" s="17">
        <v>7330300.0</v>
      </c>
    </row>
    <row r="7641">
      <c r="A7641" s="17">
        <v>1005000.0</v>
      </c>
      <c r="B7641" s="17">
        <v>7330400.0</v>
      </c>
    </row>
    <row r="7642">
      <c r="A7642" s="17">
        <v>1005000.0</v>
      </c>
      <c r="B7642" s="17">
        <v>7330500.0</v>
      </c>
    </row>
    <row r="7643">
      <c r="A7643" s="17">
        <v>1005000.0</v>
      </c>
      <c r="B7643" s="17">
        <v>7330600.0</v>
      </c>
    </row>
    <row r="7644">
      <c r="A7644" s="17">
        <v>1005000.0</v>
      </c>
      <c r="B7644" s="17">
        <v>7330700.0</v>
      </c>
    </row>
    <row r="7645">
      <c r="A7645" s="17">
        <v>1005000.0</v>
      </c>
      <c r="B7645" s="17">
        <v>7330800.0</v>
      </c>
    </row>
    <row r="7646">
      <c r="A7646" s="17">
        <v>1005000.0</v>
      </c>
      <c r="B7646" s="17">
        <v>7330900.0</v>
      </c>
    </row>
    <row r="7647">
      <c r="A7647" s="17">
        <v>1005000.0</v>
      </c>
      <c r="B7647" s="17">
        <v>7331000.0</v>
      </c>
    </row>
    <row r="7648">
      <c r="A7648" s="17">
        <v>1005000.0</v>
      </c>
      <c r="B7648" s="17">
        <v>7331100.0</v>
      </c>
    </row>
    <row r="7649">
      <c r="A7649" s="17">
        <v>1005000.0</v>
      </c>
      <c r="B7649" s="17">
        <v>7331200.0</v>
      </c>
    </row>
    <row r="7650">
      <c r="A7650" s="17">
        <v>1005000.0</v>
      </c>
      <c r="B7650" s="17">
        <v>7331300.0</v>
      </c>
    </row>
    <row r="7651">
      <c r="A7651" s="17">
        <v>1005000.0</v>
      </c>
      <c r="B7651" s="17">
        <v>7331400.0</v>
      </c>
    </row>
    <row r="7652">
      <c r="A7652" s="17">
        <v>1005000.0</v>
      </c>
      <c r="B7652" s="17">
        <v>7331500.0</v>
      </c>
    </row>
    <row r="7653">
      <c r="A7653" s="17">
        <v>1005000.0</v>
      </c>
      <c r="B7653" s="17">
        <v>7331700.0</v>
      </c>
    </row>
    <row r="7654">
      <c r="A7654" s="17">
        <v>1005000.0</v>
      </c>
      <c r="B7654" s="17">
        <v>7331800.0</v>
      </c>
    </row>
    <row r="7655">
      <c r="A7655" s="17">
        <v>1005000.0</v>
      </c>
      <c r="B7655" s="17">
        <v>7331900.0</v>
      </c>
    </row>
    <row r="7656">
      <c r="A7656" s="17">
        <v>1005000.0</v>
      </c>
      <c r="B7656" s="17">
        <v>7332000.0</v>
      </c>
    </row>
    <row r="7657">
      <c r="A7657" s="17">
        <v>1005000.0</v>
      </c>
      <c r="B7657" s="17">
        <v>7332100.0</v>
      </c>
    </row>
    <row r="7658">
      <c r="A7658" s="17">
        <v>1005000.0</v>
      </c>
      <c r="B7658" s="17">
        <v>7332200.0</v>
      </c>
    </row>
    <row r="7659">
      <c r="A7659" s="17">
        <v>1005000.0</v>
      </c>
      <c r="B7659" s="17">
        <v>7332300.0</v>
      </c>
    </row>
    <row r="7660">
      <c r="A7660" s="17">
        <v>1005000.0</v>
      </c>
      <c r="B7660" s="17">
        <v>7332400.0</v>
      </c>
    </row>
    <row r="7661">
      <c r="A7661" s="17">
        <v>1005000.0</v>
      </c>
      <c r="B7661" s="17">
        <v>7340000.0</v>
      </c>
    </row>
    <row r="7662">
      <c r="A7662" s="17">
        <v>1005000.0</v>
      </c>
      <c r="B7662" s="17">
        <v>7340100.0</v>
      </c>
    </row>
    <row r="7663">
      <c r="A7663" s="17">
        <v>1005000.0</v>
      </c>
      <c r="B7663" s="17">
        <v>7340200.0</v>
      </c>
    </row>
    <row r="7664">
      <c r="A7664" s="17">
        <v>1005000.0</v>
      </c>
      <c r="B7664" s="17">
        <v>7340300.0</v>
      </c>
    </row>
    <row r="7665">
      <c r="A7665" s="17">
        <v>1005000.0</v>
      </c>
      <c r="B7665" s="17">
        <v>7340400.0</v>
      </c>
    </row>
    <row r="7666">
      <c r="A7666" s="17">
        <v>1005000.0</v>
      </c>
      <c r="B7666" s="17">
        <v>7340500.0</v>
      </c>
    </row>
    <row r="7667">
      <c r="A7667" s="17">
        <v>1005000.0</v>
      </c>
      <c r="B7667" s="17">
        <v>7340600.0</v>
      </c>
    </row>
    <row r="7668">
      <c r="A7668" s="17">
        <v>1005000.0</v>
      </c>
      <c r="B7668" s="17">
        <v>7340700.0</v>
      </c>
    </row>
    <row r="7669">
      <c r="A7669" s="17">
        <v>1005000.0</v>
      </c>
      <c r="B7669" s="17">
        <v>7340800.0</v>
      </c>
    </row>
    <row r="7670">
      <c r="A7670" s="17">
        <v>1005000.0</v>
      </c>
      <c r="B7670" s="17">
        <v>7340900.0</v>
      </c>
    </row>
    <row r="7671">
      <c r="A7671" s="17">
        <v>1005000.0</v>
      </c>
      <c r="B7671" s="17">
        <v>7341000.0</v>
      </c>
    </row>
    <row r="7672">
      <c r="A7672" s="17">
        <v>1005000.0</v>
      </c>
      <c r="B7672" s="17">
        <v>7341100.0</v>
      </c>
    </row>
    <row r="7673">
      <c r="A7673" s="17">
        <v>1005000.0</v>
      </c>
      <c r="B7673" s="17">
        <v>7341200.0</v>
      </c>
    </row>
    <row r="7674">
      <c r="A7674" s="17">
        <v>1005000.0</v>
      </c>
      <c r="B7674" s="17">
        <v>7341300.0</v>
      </c>
    </row>
    <row r="7675">
      <c r="A7675" s="17">
        <v>1005000.0</v>
      </c>
      <c r="B7675" s="17">
        <v>7341400.0</v>
      </c>
    </row>
    <row r="7676">
      <c r="A7676" s="17">
        <v>1005000.0</v>
      </c>
      <c r="B7676" s="17">
        <v>7341500.0</v>
      </c>
    </row>
    <row r="7677">
      <c r="A7677" s="17">
        <v>1005000.0</v>
      </c>
      <c r="B7677" s="17">
        <v>7341700.0</v>
      </c>
    </row>
    <row r="7678">
      <c r="A7678" s="17">
        <v>1005000.0</v>
      </c>
      <c r="B7678" s="17">
        <v>7341800.0</v>
      </c>
    </row>
    <row r="7679">
      <c r="A7679" s="17">
        <v>1005000.0</v>
      </c>
      <c r="B7679" s="17">
        <v>7341900.0</v>
      </c>
    </row>
    <row r="7680">
      <c r="A7680" s="17">
        <v>1005000.0</v>
      </c>
      <c r="B7680" s="17">
        <v>7342000.0</v>
      </c>
    </row>
    <row r="7681">
      <c r="A7681" s="17">
        <v>1005000.0</v>
      </c>
      <c r="B7681" s="17">
        <v>7342100.0</v>
      </c>
    </row>
    <row r="7682">
      <c r="A7682" s="17">
        <v>1005000.0</v>
      </c>
      <c r="B7682" s="17">
        <v>7342200.0</v>
      </c>
    </row>
    <row r="7683">
      <c r="A7683" s="17">
        <v>1005000.0</v>
      </c>
      <c r="B7683" s="17">
        <v>7342300.0</v>
      </c>
    </row>
    <row r="7684">
      <c r="A7684" s="17">
        <v>1005000.0</v>
      </c>
      <c r="B7684" s="17">
        <v>7342400.0</v>
      </c>
    </row>
    <row r="7685">
      <c r="A7685" s="17">
        <v>1005000.0</v>
      </c>
      <c r="B7685" s="17">
        <v>7350000.0</v>
      </c>
    </row>
    <row r="7686">
      <c r="A7686" s="17">
        <v>1005000.0</v>
      </c>
      <c r="B7686" s="17">
        <v>7350100.0</v>
      </c>
    </row>
    <row r="7687">
      <c r="A7687" s="17">
        <v>1005000.0</v>
      </c>
      <c r="B7687" s="17">
        <v>7350200.0</v>
      </c>
    </row>
    <row r="7688">
      <c r="A7688" s="17">
        <v>1005000.0</v>
      </c>
      <c r="B7688" s="17">
        <v>7350300.0</v>
      </c>
    </row>
    <row r="7689">
      <c r="A7689" s="17">
        <v>1005000.0</v>
      </c>
      <c r="B7689" s="17">
        <v>7350400.0</v>
      </c>
    </row>
    <row r="7690">
      <c r="A7690" s="17">
        <v>1005000.0</v>
      </c>
      <c r="B7690" s="17">
        <v>7350500.0</v>
      </c>
    </row>
    <row r="7691">
      <c r="A7691" s="17">
        <v>1005000.0</v>
      </c>
      <c r="B7691" s="17">
        <v>7350600.0</v>
      </c>
    </row>
    <row r="7692">
      <c r="A7692" s="17">
        <v>1005000.0</v>
      </c>
      <c r="B7692" s="17">
        <v>7350700.0</v>
      </c>
    </row>
    <row r="7693">
      <c r="A7693" s="17">
        <v>1005000.0</v>
      </c>
      <c r="B7693" s="17">
        <v>7350800.0</v>
      </c>
    </row>
    <row r="7694">
      <c r="A7694" s="17">
        <v>1005000.0</v>
      </c>
      <c r="B7694" s="17">
        <v>7350900.0</v>
      </c>
    </row>
    <row r="7695">
      <c r="A7695" s="17">
        <v>1005000.0</v>
      </c>
      <c r="B7695" s="17">
        <v>7351000.0</v>
      </c>
    </row>
    <row r="7696">
      <c r="A7696" s="17">
        <v>1005000.0</v>
      </c>
      <c r="B7696" s="17">
        <v>7351100.0</v>
      </c>
    </row>
    <row r="7697">
      <c r="A7697" s="17">
        <v>1005000.0</v>
      </c>
      <c r="B7697" s="17">
        <v>7351200.0</v>
      </c>
    </row>
    <row r="7698">
      <c r="A7698" s="17">
        <v>1005000.0</v>
      </c>
      <c r="B7698" s="17">
        <v>7351300.0</v>
      </c>
    </row>
    <row r="7699">
      <c r="A7699" s="17">
        <v>1005000.0</v>
      </c>
      <c r="B7699" s="17">
        <v>7351400.0</v>
      </c>
    </row>
    <row r="7700">
      <c r="A7700" s="17">
        <v>1005000.0</v>
      </c>
      <c r="B7700" s="17">
        <v>7351500.0</v>
      </c>
    </row>
    <row r="7701">
      <c r="A7701" s="17">
        <v>1005000.0</v>
      </c>
      <c r="B7701" s="17">
        <v>7351700.0</v>
      </c>
    </row>
    <row r="7702">
      <c r="A7702" s="17">
        <v>1005000.0</v>
      </c>
      <c r="B7702" s="17">
        <v>7351800.0</v>
      </c>
    </row>
    <row r="7703">
      <c r="A7703" s="17">
        <v>1005000.0</v>
      </c>
      <c r="B7703" s="17">
        <v>7351900.0</v>
      </c>
    </row>
    <row r="7704">
      <c r="A7704" s="17">
        <v>1005000.0</v>
      </c>
      <c r="B7704" s="17">
        <v>7352000.0</v>
      </c>
    </row>
    <row r="7705">
      <c r="A7705" s="17">
        <v>1005000.0</v>
      </c>
      <c r="B7705" s="17">
        <v>7352100.0</v>
      </c>
    </row>
    <row r="7706">
      <c r="A7706" s="17">
        <v>1005000.0</v>
      </c>
      <c r="B7706" s="17">
        <v>7352200.0</v>
      </c>
    </row>
    <row r="7707">
      <c r="A7707" s="17">
        <v>1005000.0</v>
      </c>
      <c r="B7707" s="17">
        <v>7352300.0</v>
      </c>
    </row>
    <row r="7708">
      <c r="A7708" s="17">
        <v>1005000.0</v>
      </c>
      <c r="B7708" s="17">
        <v>7352400.0</v>
      </c>
    </row>
    <row r="7709">
      <c r="A7709" s="17">
        <v>1005000.0</v>
      </c>
      <c r="B7709" s="17">
        <v>7360600.0</v>
      </c>
    </row>
    <row r="7710">
      <c r="A7710" s="17">
        <v>1005000.0</v>
      </c>
      <c r="B7710" s="17">
        <v>7360900.0</v>
      </c>
    </row>
    <row r="7711">
      <c r="A7711" s="17">
        <v>1005000.0</v>
      </c>
      <c r="B7711" s="17">
        <v>7361200.0</v>
      </c>
    </row>
    <row r="7712">
      <c r="A7712" s="17">
        <v>1005000.0</v>
      </c>
      <c r="B7712" s="17">
        <v>7361300.0</v>
      </c>
    </row>
    <row r="7713">
      <c r="A7713" s="17">
        <v>1005000.0</v>
      </c>
      <c r="B7713" s="17">
        <v>7362100.0</v>
      </c>
    </row>
    <row r="7714">
      <c r="A7714" s="17">
        <v>1005000.0</v>
      </c>
      <c r="B7714" s="17">
        <v>7370300.0</v>
      </c>
    </row>
    <row r="7715">
      <c r="A7715" s="17">
        <v>1005000.0</v>
      </c>
      <c r="B7715" s="17">
        <v>7370400.0</v>
      </c>
    </row>
    <row r="7716">
      <c r="A7716" s="17">
        <v>1005000.0</v>
      </c>
      <c r="B7716" s="17">
        <v>7370600.0</v>
      </c>
    </row>
    <row r="7717">
      <c r="A7717" s="17">
        <v>1005000.0</v>
      </c>
      <c r="B7717" s="17">
        <v>7370900.0</v>
      </c>
    </row>
    <row r="7718">
      <c r="A7718" s="17">
        <v>1005000.0</v>
      </c>
      <c r="B7718" s="17">
        <v>7371500.0</v>
      </c>
    </row>
    <row r="7719">
      <c r="A7719" s="17">
        <v>1005000.0</v>
      </c>
      <c r="B7719" s="17">
        <v>7036200.0</v>
      </c>
    </row>
    <row r="7720">
      <c r="A7720" s="17">
        <v>1005000.0</v>
      </c>
      <c r="B7720" s="17">
        <v>7036300.0</v>
      </c>
    </row>
    <row r="7721">
      <c r="A7721" s="17">
        <v>1005000.0</v>
      </c>
      <c r="B7721" s="17">
        <v>7036400.0</v>
      </c>
    </row>
    <row r="7722">
      <c r="A7722" s="17">
        <v>1005000.0</v>
      </c>
      <c r="B7722" s="17">
        <v>7036500.0</v>
      </c>
    </row>
    <row r="7723">
      <c r="A7723" s="17">
        <v>1005000.0</v>
      </c>
      <c r="B7723" s="17">
        <v>7036800.0</v>
      </c>
    </row>
    <row r="7724">
      <c r="A7724" s="17">
        <v>1005000.0</v>
      </c>
      <c r="B7724" s="17">
        <v>7036900.0</v>
      </c>
    </row>
    <row r="7725">
      <c r="A7725" s="17">
        <v>1005000.0</v>
      </c>
      <c r="B7725" s="17">
        <v>7037000.0</v>
      </c>
    </row>
    <row r="7726">
      <c r="A7726" s="17">
        <v>1005000.0</v>
      </c>
      <c r="B7726" s="17">
        <v>7037300.0</v>
      </c>
    </row>
    <row r="7727">
      <c r="A7727" s="17">
        <v>1005000.0</v>
      </c>
      <c r="B7727" s="17">
        <v>6630000.0</v>
      </c>
    </row>
    <row r="7728">
      <c r="A7728" s="17">
        <v>1005000.0</v>
      </c>
      <c r="B7728" s="17">
        <v>6630100.0</v>
      </c>
    </row>
    <row r="7729">
      <c r="A7729" s="17">
        <v>1005000.0</v>
      </c>
      <c r="B7729" s="17">
        <v>6630200.0</v>
      </c>
    </row>
    <row r="7730">
      <c r="A7730" s="17">
        <v>1005000.0</v>
      </c>
      <c r="B7730" s="17">
        <v>6630300.0</v>
      </c>
    </row>
    <row r="7731">
      <c r="A7731" s="17">
        <v>1005000.0</v>
      </c>
      <c r="B7731" s="17">
        <v>6630400.0</v>
      </c>
    </row>
    <row r="7732">
      <c r="A7732" s="17">
        <v>1005000.0</v>
      </c>
      <c r="B7732" s="17">
        <v>6630500.0</v>
      </c>
    </row>
    <row r="7733">
      <c r="A7733" s="17">
        <v>1005000.0</v>
      </c>
      <c r="B7733" s="17">
        <v>6630600.0</v>
      </c>
    </row>
    <row r="7734">
      <c r="A7734" s="17">
        <v>1005000.0</v>
      </c>
      <c r="B7734" s="17">
        <v>6630700.0</v>
      </c>
    </row>
    <row r="7735">
      <c r="A7735" s="17">
        <v>1005000.0</v>
      </c>
      <c r="B7735" s="17">
        <v>6630800.0</v>
      </c>
    </row>
    <row r="7736">
      <c r="A7736" s="17">
        <v>1005000.0</v>
      </c>
      <c r="B7736" s="17">
        <v>6630900.0</v>
      </c>
    </row>
    <row r="7737">
      <c r="A7737" s="17">
        <v>1005000.0</v>
      </c>
      <c r="B7737" s="17">
        <v>6631000.0</v>
      </c>
    </row>
    <row r="7738">
      <c r="A7738" s="17">
        <v>1005000.0</v>
      </c>
      <c r="B7738" s="17">
        <v>6631100.0</v>
      </c>
    </row>
    <row r="7739">
      <c r="A7739" s="17">
        <v>1005000.0</v>
      </c>
      <c r="B7739" s="17">
        <v>6631200.0</v>
      </c>
    </row>
    <row r="7740">
      <c r="A7740" s="17">
        <v>1005000.0</v>
      </c>
      <c r="B7740" s="17">
        <v>6631300.0</v>
      </c>
    </row>
    <row r="7741">
      <c r="A7741" s="17">
        <v>1005000.0</v>
      </c>
      <c r="B7741" s="17">
        <v>6631400.0</v>
      </c>
    </row>
    <row r="7742">
      <c r="A7742" s="17">
        <v>1005000.0</v>
      </c>
      <c r="B7742" s="17">
        <v>6631500.0</v>
      </c>
    </row>
    <row r="7743">
      <c r="A7743" s="17">
        <v>1005000.0</v>
      </c>
      <c r="B7743" s="17">
        <v>6631600.0</v>
      </c>
    </row>
    <row r="7744">
      <c r="A7744" s="17">
        <v>1005000.0</v>
      </c>
      <c r="B7744" s="17">
        <v>6631700.0</v>
      </c>
    </row>
    <row r="7745">
      <c r="A7745" s="17">
        <v>1005000.0</v>
      </c>
      <c r="B7745" s="17">
        <v>6631800.0</v>
      </c>
    </row>
    <row r="7746">
      <c r="A7746" s="17">
        <v>1005000.0</v>
      </c>
      <c r="B7746" s="17">
        <v>6631900.0</v>
      </c>
    </row>
    <row r="7747">
      <c r="A7747" s="17">
        <v>1005000.0</v>
      </c>
      <c r="B7747" s="17">
        <v>6632000.0</v>
      </c>
    </row>
    <row r="7748">
      <c r="A7748" s="17">
        <v>1005000.0</v>
      </c>
      <c r="B7748" s="17">
        <v>6632100.0</v>
      </c>
    </row>
    <row r="7749">
      <c r="A7749" s="17">
        <v>1005000.0</v>
      </c>
      <c r="B7749" s="17">
        <v>6632200.0</v>
      </c>
    </row>
    <row r="7750">
      <c r="A7750" s="17">
        <v>1005000.0</v>
      </c>
      <c r="B7750" s="17">
        <v>6632300.0</v>
      </c>
    </row>
    <row r="7751">
      <c r="A7751" s="17">
        <v>1005000.0</v>
      </c>
      <c r="B7751" s="17">
        <v>6632400.0</v>
      </c>
    </row>
    <row r="7752">
      <c r="A7752" s="17">
        <v>1005000.0</v>
      </c>
      <c r="B7752" s="17">
        <v>6632500.0</v>
      </c>
    </row>
    <row r="7753">
      <c r="A7753" s="17">
        <v>1005000.0</v>
      </c>
      <c r="B7753" s="17">
        <v>6632600.0</v>
      </c>
    </row>
    <row r="7754">
      <c r="A7754" s="17">
        <v>1005000.0</v>
      </c>
      <c r="B7754" s="17">
        <v>6632700.0</v>
      </c>
    </row>
    <row r="7755">
      <c r="A7755" s="17">
        <v>1005000.0</v>
      </c>
      <c r="B7755" s="17">
        <v>6632800.0</v>
      </c>
    </row>
    <row r="7756">
      <c r="A7756" s="17">
        <v>1005000.0</v>
      </c>
      <c r="B7756" s="17">
        <v>6632900.0</v>
      </c>
    </row>
    <row r="7757">
      <c r="A7757" s="17">
        <v>1005000.0</v>
      </c>
      <c r="B7757" s="17">
        <v>6633000.0</v>
      </c>
    </row>
    <row r="7758">
      <c r="A7758" s="17">
        <v>1005000.0</v>
      </c>
      <c r="B7758" s="17">
        <v>6633100.0</v>
      </c>
    </row>
    <row r="7759">
      <c r="A7759" s="17">
        <v>1005000.0</v>
      </c>
      <c r="B7759" s="17">
        <v>6633200.0</v>
      </c>
    </row>
    <row r="7760">
      <c r="A7760" s="17">
        <v>1005000.0</v>
      </c>
      <c r="B7760" s="17">
        <v>6647200.0</v>
      </c>
    </row>
    <row r="7761">
      <c r="A7761" s="17">
        <v>1005000.0</v>
      </c>
      <c r="B7761" s="17">
        <v>6647300.0</v>
      </c>
    </row>
    <row r="7762">
      <c r="A7762" s="17">
        <v>1005000.0</v>
      </c>
      <c r="B7762" s="17">
        <v>6647400.0</v>
      </c>
    </row>
    <row r="7763">
      <c r="A7763" s="17">
        <v>1005000.0</v>
      </c>
      <c r="B7763" s="17">
        <v>6647500.0</v>
      </c>
    </row>
    <row r="7764">
      <c r="A7764" s="17">
        <v>1005000.0</v>
      </c>
      <c r="B7764" s="17">
        <v>6640000.0</v>
      </c>
    </row>
    <row r="7765">
      <c r="A7765" s="17">
        <v>1005000.0</v>
      </c>
      <c r="B7765" s="17">
        <v>6640100.0</v>
      </c>
    </row>
    <row r="7766">
      <c r="A7766" s="17">
        <v>1005000.0</v>
      </c>
      <c r="B7766" s="17">
        <v>6641000.0</v>
      </c>
    </row>
    <row r="7767">
      <c r="A7767" s="17">
        <v>1005000.0</v>
      </c>
      <c r="B7767" s="17">
        <v>6641100.0</v>
      </c>
    </row>
    <row r="7768">
      <c r="A7768" s="17">
        <v>1005000.0</v>
      </c>
      <c r="B7768" s="17">
        <v>6642000.0</v>
      </c>
    </row>
    <row r="7769">
      <c r="A7769" s="17">
        <v>1005000.0</v>
      </c>
      <c r="B7769" s="17">
        <v>6642100.0</v>
      </c>
    </row>
    <row r="7770">
      <c r="A7770" s="17">
        <v>1005000.0</v>
      </c>
      <c r="B7770" s="17">
        <v>6643000.0</v>
      </c>
    </row>
    <row r="7771">
      <c r="A7771" s="17">
        <v>1005000.0</v>
      </c>
      <c r="B7771" s="17">
        <v>6643100.0</v>
      </c>
    </row>
    <row r="7772">
      <c r="A7772" s="17">
        <v>1005000.0</v>
      </c>
      <c r="B7772" s="17">
        <v>6644000.0</v>
      </c>
    </row>
    <row r="7773">
      <c r="A7773" s="17">
        <v>1005000.0</v>
      </c>
      <c r="B7773" s="17">
        <v>6644100.0</v>
      </c>
    </row>
    <row r="7774">
      <c r="A7774" s="17">
        <v>1005000.0</v>
      </c>
      <c r="B7774" s="17">
        <v>6645000.0</v>
      </c>
    </row>
    <row r="7775">
      <c r="A7775" s="17">
        <v>1005000.0</v>
      </c>
      <c r="B7775" s="17">
        <v>6645100.0</v>
      </c>
    </row>
    <row r="7776">
      <c r="A7776" s="17">
        <v>1005000.0</v>
      </c>
      <c r="B7776" s="17">
        <v>6646000.0</v>
      </c>
    </row>
    <row r="7777">
      <c r="A7777" s="17">
        <v>1005000.0</v>
      </c>
      <c r="B7777" s="17">
        <v>6646100.0</v>
      </c>
    </row>
    <row r="7778">
      <c r="A7778" s="17">
        <v>1005000.0</v>
      </c>
      <c r="B7778" s="17">
        <v>6647000.0</v>
      </c>
    </row>
    <row r="7779">
      <c r="A7779" s="17">
        <v>1005000.0</v>
      </c>
      <c r="B7779" s="17">
        <v>6647100.0</v>
      </c>
    </row>
    <row r="7780">
      <c r="A7780" s="17">
        <v>1005001.0</v>
      </c>
      <c r="B7780" s="17">
        <v>7000000.0</v>
      </c>
    </row>
    <row r="7781">
      <c r="A7781" s="17">
        <v>1005001.0</v>
      </c>
      <c r="B7781" s="17">
        <v>7000001.0</v>
      </c>
    </row>
    <row r="7782">
      <c r="A7782" s="17">
        <v>1005001.0</v>
      </c>
      <c r="B7782" s="17">
        <v>7000002.0</v>
      </c>
    </row>
    <row r="7783">
      <c r="A7783" s="17">
        <v>1005001.0</v>
      </c>
      <c r="B7783" s="17">
        <v>7000100.0</v>
      </c>
    </row>
    <row r="7784">
      <c r="A7784" s="17">
        <v>1005001.0</v>
      </c>
      <c r="B7784" s="17">
        <v>7000101.0</v>
      </c>
    </row>
    <row r="7785">
      <c r="A7785" s="17">
        <v>1005001.0</v>
      </c>
      <c r="B7785" s="17">
        <v>7000102.0</v>
      </c>
    </row>
    <row r="7786">
      <c r="A7786" s="17">
        <v>1005001.0</v>
      </c>
      <c r="B7786" s="17">
        <v>7000200.0</v>
      </c>
    </row>
    <row r="7787">
      <c r="A7787" s="17">
        <v>1005001.0</v>
      </c>
      <c r="B7787" s="17">
        <v>7000201.0</v>
      </c>
    </row>
    <row r="7788">
      <c r="A7788" s="17">
        <v>1005001.0</v>
      </c>
      <c r="B7788" s="17">
        <v>7000202.0</v>
      </c>
    </row>
    <row r="7789">
      <c r="A7789" s="17">
        <v>1005001.0</v>
      </c>
      <c r="B7789" s="17">
        <v>7000300.0</v>
      </c>
    </row>
    <row r="7790">
      <c r="A7790" s="17">
        <v>1005001.0</v>
      </c>
      <c r="B7790" s="17">
        <v>7000301.0</v>
      </c>
    </row>
    <row r="7791">
      <c r="A7791" s="17">
        <v>1005001.0</v>
      </c>
      <c r="B7791" s="17">
        <v>7000302.0</v>
      </c>
    </row>
    <row r="7792">
      <c r="A7792" s="17">
        <v>1005001.0</v>
      </c>
      <c r="B7792" s="17">
        <v>7000400.0</v>
      </c>
    </row>
    <row r="7793">
      <c r="A7793" s="17">
        <v>1005001.0</v>
      </c>
      <c r="B7793" s="17">
        <v>7000401.0</v>
      </c>
    </row>
    <row r="7794">
      <c r="A7794" s="17">
        <v>1005001.0</v>
      </c>
      <c r="B7794" s="17">
        <v>7000402.0</v>
      </c>
    </row>
    <row r="7795">
      <c r="A7795" s="17">
        <v>1005001.0</v>
      </c>
      <c r="B7795" s="17">
        <v>7000500.0</v>
      </c>
    </row>
    <row r="7796">
      <c r="A7796" s="17">
        <v>1005001.0</v>
      </c>
      <c r="B7796" s="17">
        <v>7000501.0</v>
      </c>
    </row>
    <row r="7797">
      <c r="A7797" s="17">
        <v>1005001.0</v>
      </c>
      <c r="B7797" s="17">
        <v>7000502.0</v>
      </c>
    </row>
    <row r="7798">
      <c r="A7798" s="17">
        <v>1005001.0</v>
      </c>
      <c r="B7798" s="17">
        <v>7000600.0</v>
      </c>
    </row>
    <row r="7799">
      <c r="A7799" s="17">
        <v>1005001.0</v>
      </c>
      <c r="B7799" s="17">
        <v>7000601.0</v>
      </c>
    </row>
    <row r="7800">
      <c r="A7800" s="17">
        <v>1005001.0</v>
      </c>
      <c r="B7800" s="17">
        <v>7000602.0</v>
      </c>
    </row>
    <row r="7801">
      <c r="A7801" s="17">
        <v>1005001.0</v>
      </c>
      <c r="B7801" s="17">
        <v>7000700.0</v>
      </c>
    </row>
    <row r="7802">
      <c r="A7802" s="17">
        <v>1005001.0</v>
      </c>
      <c r="B7802" s="17">
        <v>7000701.0</v>
      </c>
    </row>
    <row r="7803">
      <c r="A7803" s="17">
        <v>1005001.0</v>
      </c>
      <c r="B7803" s="17">
        <v>7000702.0</v>
      </c>
    </row>
    <row r="7804">
      <c r="A7804" s="17">
        <v>1005001.0</v>
      </c>
      <c r="B7804" s="17">
        <v>7000800.0</v>
      </c>
    </row>
    <row r="7805">
      <c r="A7805" s="17">
        <v>1005001.0</v>
      </c>
      <c r="B7805" s="17">
        <v>7000801.0</v>
      </c>
    </row>
    <row r="7806">
      <c r="A7806" s="17">
        <v>1005001.0</v>
      </c>
      <c r="B7806" s="17">
        <v>7000802.0</v>
      </c>
    </row>
    <row r="7807">
      <c r="A7807" s="17">
        <v>1005001.0</v>
      </c>
      <c r="B7807" s="17">
        <v>7000900.0</v>
      </c>
    </row>
    <row r="7808">
      <c r="A7808" s="17">
        <v>1005001.0</v>
      </c>
      <c r="B7808" s="17">
        <v>7000901.0</v>
      </c>
    </row>
    <row r="7809">
      <c r="A7809" s="17">
        <v>1005001.0</v>
      </c>
      <c r="B7809" s="17">
        <v>7000902.0</v>
      </c>
    </row>
    <row r="7810">
      <c r="A7810" s="17">
        <v>1005001.0</v>
      </c>
      <c r="B7810" s="17">
        <v>7001000.0</v>
      </c>
    </row>
    <row r="7811">
      <c r="A7811" s="17">
        <v>1005001.0</v>
      </c>
      <c r="B7811" s="17">
        <v>7001001.0</v>
      </c>
    </row>
    <row r="7812">
      <c r="A7812" s="17">
        <v>1005001.0</v>
      </c>
      <c r="B7812" s="17">
        <v>7001002.0</v>
      </c>
    </row>
    <row r="7813">
      <c r="A7813" s="17">
        <v>1005001.0</v>
      </c>
      <c r="B7813" s="17">
        <v>7001400.0</v>
      </c>
    </row>
    <row r="7814">
      <c r="A7814" s="17">
        <v>1005001.0</v>
      </c>
      <c r="B7814" s="17">
        <v>7001401.0</v>
      </c>
    </row>
    <row r="7815">
      <c r="A7815" s="17">
        <v>1005001.0</v>
      </c>
      <c r="B7815" s="17">
        <v>7001402.0</v>
      </c>
    </row>
    <row r="7816">
      <c r="A7816" s="17">
        <v>1005001.0</v>
      </c>
      <c r="B7816" s="17">
        <v>7001500.0</v>
      </c>
    </row>
    <row r="7817">
      <c r="A7817" s="17">
        <v>1005001.0</v>
      </c>
      <c r="B7817" s="17">
        <v>7001501.0</v>
      </c>
    </row>
    <row r="7818">
      <c r="A7818" s="17">
        <v>1005001.0</v>
      </c>
      <c r="B7818" s="17">
        <v>7001502.0</v>
      </c>
    </row>
    <row r="7819">
      <c r="A7819" s="17">
        <v>1005001.0</v>
      </c>
      <c r="B7819" s="17">
        <v>7001600.0</v>
      </c>
    </row>
    <row r="7820">
      <c r="A7820" s="17">
        <v>1005001.0</v>
      </c>
      <c r="B7820" s="17">
        <v>7001601.0</v>
      </c>
    </row>
    <row r="7821">
      <c r="A7821" s="17">
        <v>1005001.0</v>
      </c>
      <c r="B7821" s="17">
        <v>7001602.0</v>
      </c>
    </row>
    <row r="7822">
      <c r="A7822" s="17">
        <v>1005001.0</v>
      </c>
      <c r="B7822" s="17">
        <v>7001700.0</v>
      </c>
    </row>
    <row r="7823">
      <c r="A7823" s="17">
        <v>1005001.0</v>
      </c>
      <c r="B7823" s="17">
        <v>7001701.0</v>
      </c>
    </row>
    <row r="7824">
      <c r="A7824" s="17">
        <v>1005001.0</v>
      </c>
      <c r="B7824" s="17">
        <v>7001702.0</v>
      </c>
    </row>
    <row r="7825">
      <c r="A7825" s="17">
        <v>1005001.0</v>
      </c>
      <c r="B7825" s="17">
        <v>7001800.0</v>
      </c>
    </row>
    <row r="7826">
      <c r="A7826" s="17">
        <v>1005001.0</v>
      </c>
      <c r="B7826" s="17">
        <v>7001801.0</v>
      </c>
    </row>
    <row r="7827">
      <c r="A7827" s="17">
        <v>1005001.0</v>
      </c>
      <c r="B7827" s="17">
        <v>7001802.0</v>
      </c>
    </row>
    <row r="7828">
      <c r="A7828" s="17">
        <v>1005001.0</v>
      </c>
      <c r="B7828" s="17">
        <v>7002600.0</v>
      </c>
    </row>
    <row r="7829">
      <c r="A7829" s="17">
        <v>1005001.0</v>
      </c>
      <c r="B7829" s="17">
        <v>7002700.0</v>
      </c>
    </row>
    <row r="7830">
      <c r="A7830" s="17">
        <v>1005001.0</v>
      </c>
      <c r="B7830" s="17">
        <v>7002800.0</v>
      </c>
    </row>
    <row r="7831">
      <c r="A7831" s="17">
        <v>1005001.0</v>
      </c>
      <c r="B7831" s="17">
        <v>7002900.0</v>
      </c>
    </row>
    <row r="7832">
      <c r="A7832" s="17">
        <v>1005001.0</v>
      </c>
      <c r="B7832" s="17">
        <v>7003000.0</v>
      </c>
    </row>
    <row r="7833">
      <c r="A7833" s="17">
        <v>1005001.0</v>
      </c>
      <c r="B7833" s="17">
        <v>7003100.0</v>
      </c>
    </row>
    <row r="7834">
      <c r="A7834" s="17">
        <v>1005001.0</v>
      </c>
      <c r="B7834" s="17">
        <v>7003200.0</v>
      </c>
    </row>
    <row r="7835">
      <c r="A7835" s="17">
        <v>1005001.0</v>
      </c>
      <c r="B7835" s="17">
        <v>7003300.0</v>
      </c>
    </row>
    <row r="7836">
      <c r="A7836" s="17">
        <v>1005001.0</v>
      </c>
      <c r="B7836" s="17">
        <v>7003400.0</v>
      </c>
    </row>
    <row r="7837">
      <c r="A7837" s="17">
        <v>1005001.0</v>
      </c>
      <c r="B7837" s="17">
        <v>7003500.0</v>
      </c>
    </row>
    <row r="7838">
      <c r="A7838" s="17">
        <v>1005001.0</v>
      </c>
      <c r="B7838" s="17">
        <v>7003600.0</v>
      </c>
    </row>
    <row r="7839">
      <c r="A7839" s="17">
        <v>1005001.0</v>
      </c>
      <c r="B7839" s="17">
        <v>7005600.0</v>
      </c>
    </row>
    <row r="7840">
      <c r="A7840" s="17">
        <v>1005001.0</v>
      </c>
      <c r="B7840" s="17">
        <v>7006000.0</v>
      </c>
    </row>
    <row r="7841">
      <c r="A7841" s="17">
        <v>1005001.0</v>
      </c>
      <c r="B7841" s="17">
        <v>7006100.0</v>
      </c>
    </row>
    <row r="7842">
      <c r="A7842" s="17">
        <v>1005001.0</v>
      </c>
      <c r="B7842" s="17">
        <v>7010200.0</v>
      </c>
    </row>
    <row r="7843">
      <c r="A7843" s="17">
        <v>1005001.0</v>
      </c>
      <c r="B7843" s="17">
        <v>7010500.0</v>
      </c>
    </row>
    <row r="7844">
      <c r="A7844" s="17">
        <v>1005001.0</v>
      </c>
      <c r="B7844" s="17">
        <v>7010700.0</v>
      </c>
    </row>
    <row r="7845">
      <c r="A7845" s="17">
        <v>1005001.0</v>
      </c>
      <c r="B7845" s="17">
        <v>7010900.0</v>
      </c>
    </row>
    <row r="7846">
      <c r="A7846" s="17">
        <v>1005001.0</v>
      </c>
      <c r="B7846" s="17">
        <v>7011000.0</v>
      </c>
    </row>
    <row r="7847">
      <c r="A7847" s="17">
        <v>1005001.0</v>
      </c>
      <c r="B7847" s="17">
        <v>7011200.0</v>
      </c>
    </row>
    <row r="7848">
      <c r="A7848" s="17">
        <v>1005001.0</v>
      </c>
      <c r="B7848" s="17">
        <v>7011600.0</v>
      </c>
    </row>
    <row r="7849">
      <c r="A7849" s="17">
        <v>1005001.0</v>
      </c>
      <c r="B7849" s="17">
        <v>7011700.0</v>
      </c>
    </row>
    <row r="7850">
      <c r="A7850" s="17">
        <v>1005001.0</v>
      </c>
      <c r="B7850" s="17">
        <v>7012000.0</v>
      </c>
    </row>
    <row r="7851">
      <c r="A7851" s="17">
        <v>1005001.0</v>
      </c>
      <c r="B7851" s="17">
        <v>7012200.0</v>
      </c>
    </row>
    <row r="7852">
      <c r="A7852" s="17">
        <v>1005001.0</v>
      </c>
      <c r="B7852" s="17">
        <v>7012300.0</v>
      </c>
    </row>
    <row r="7853">
      <c r="A7853" s="17">
        <v>1005001.0</v>
      </c>
      <c r="B7853" s="17">
        <v>7020000.0</v>
      </c>
    </row>
    <row r="7854">
      <c r="A7854" s="17">
        <v>1005001.0</v>
      </c>
      <c r="B7854" s="17">
        <v>7030000.0</v>
      </c>
    </row>
    <row r="7855">
      <c r="A7855" s="17">
        <v>1005001.0</v>
      </c>
      <c r="B7855" s="17">
        <v>7030200.0</v>
      </c>
    </row>
    <row r="7856">
      <c r="A7856" s="17">
        <v>1005001.0</v>
      </c>
      <c r="B7856" s="17">
        <v>7030600.0</v>
      </c>
    </row>
    <row r="7857">
      <c r="A7857" s="17">
        <v>1005001.0</v>
      </c>
      <c r="B7857" s="17">
        <v>7030700.0</v>
      </c>
    </row>
    <row r="7858">
      <c r="A7858" s="17">
        <v>1005001.0</v>
      </c>
      <c r="B7858" s="17">
        <v>7030800.0</v>
      </c>
    </row>
    <row r="7859">
      <c r="A7859" s="17">
        <v>1005001.0</v>
      </c>
      <c r="B7859" s="17">
        <v>7030900.0</v>
      </c>
    </row>
    <row r="7860">
      <c r="A7860" s="17">
        <v>1005001.0</v>
      </c>
      <c r="B7860" s="17">
        <v>7031200.0</v>
      </c>
    </row>
    <row r="7861">
      <c r="A7861" s="17">
        <v>1005001.0</v>
      </c>
      <c r="B7861" s="17">
        <v>7031300.0</v>
      </c>
    </row>
    <row r="7862">
      <c r="A7862" s="17">
        <v>1005001.0</v>
      </c>
      <c r="B7862" s="17">
        <v>7031800.0</v>
      </c>
    </row>
    <row r="7863">
      <c r="A7863" s="17">
        <v>1005001.0</v>
      </c>
      <c r="B7863" s="17">
        <v>7031900.0</v>
      </c>
    </row>
    <row r="7864">
      <c r="A7864" s="17">
        <v>1005001.0</v>
      </c>
      <c r="B7864" s="17">
        <v>7032200.0</v>
      </c>
    </row>
    <row r="7865">
      <c r="A7865" s="17">
        <v>1005001.0</v>
      </c>
      <c r="B7865" s="17">
        <v>7032400.0</v>
      </c>
    </row>
    <row r="7866">
      <c r="A7866" s="17">
        <v>1005001.0</v>
      </c>
      <c r="B7866" s="17">
        <v>7032700.0</v>
      </c>
    </row>
    <row r="7867">
      <c r="A7867" s="17">
        <v>1005001.0</v>
      </c>
      <c r="B7867" s="17">
        <v>7032800.0</v>
      </c>
    </row>
    <row r="7868">
      <c r="A7868" s="17">
        <v>1005001.0</v>
      </c>
      <c r="B7868" s="17">
        <v>7032900.0</v>
      </c>
    </row>
    <row r="7869">
      <c r="A7869" s="17">
        <v>1005001.0</v>
      </c>
      <c r="B7869" s="17">
        <v>7033200.0</v>
      </c>
    </row>
    <row r="7870">
      <c r="A7870" s="17">
        <v>1005001.0</v>
      </c>
      <c r="B7870" s="17">
        <v>7033400.0</v>
      </c>
    </row>
    <row r="7871">
      <c r="A7871" s="17">
        <v>1005001.0</v>
      </c>
      <c r="B7871" s="17">
        <v>7034100.0</v>
      </c>
    </row>
    <row r="7872">
      <c r="A7872" s="17">
        <v>1005001.0</v>
      </c>
      <c r="B7872" s="17">
        <v>7034400.0</v>
      </c>
    </row>
    <row r="7873">
      <c r="A7873" s="17">
        <v>1005001.0</v>
      </c>
      <c r="B7873" s="17">
        <v>7034500.0</v>
      </c>
    </row>
    <row r="7874">
      <c r="A7874" s="17">
        <v>1005001.0</v>
      </c>
      <c r="B7874" s="17">
        <v>7034600.0</v>
      </c>
    </row>
    <row r="7875">
      <c r="A7875" s="17">
        <v>1005001.0</v>
      </c>
      <c r="B7875" s="17">
        <v>7034700.0</v>
      </c>
    </row>
    <row r="7876">
      <c r="A7876" s="17">
        <v>1005001.0</v>
      </c>
      <c r="B7876" s="17">
        <v>7035100.0</v>
      </c>
    </row>
    <row r="7877">
      <c r="A7877" s="17">
        <v>1005001.0</v>
      </c>
      <c r="B7877" s="17">
        <v>7036100.0</v>
      </c>
    </row>
    <row r="7878">
      <c r="A7878" s="17">
        <v>1005001.0</v>
      </c>
      <c r="B7878" s="17">
        <v>7040000.0</v>
      </c>
    </row>
    <row r="7879">
      <c r="A7879" s="17">
        <v>1005001.0</v>
      </c>
      <c r="B7879" s="17">
        <v>7040100.0</v>
      </c>
    </row>
    <row r="7880">
      <c r="A7880" s="17">
        <v>1005001.0</v>
      </c>
      <c r="B7880" s="17">
        <v>7040200.0</v>
      </c>
    </row>
    <row r="7881">
      <c r="A7881" s="17">
        <v>1005001.0</v>
      </c>
      <c r="B7881" s="17">
        <v>7040300.0</v>
      </c>
    </row>
    <row r="7882">
      <c r="A7882" s="17">
        <v>1005001.0</v>
      </c>
      <c r="B7882" s="17">
        <v>7040400.0</v>
      </c>
    </row>
    <row r="7883">
      <c r="A7883" s="17">
        <v>1005001.0</v>
      </c>
      <c r="B7883" s="17">
        <v>7040500.0</v>
      </c>
    </row>
    <row r="7884">
      <c r="A7884" s="17">
        <v>1005001.0</v>
      </c>
      <c r="B7884" s="17">
        <v>7043000.0</v>
      </c>
    </row>
    <row r="7885">
      <c r="A7885" s="17">
        <v>1005001.0</v>
      </c>
      <c r="B7885" s="17">
        <v>7043100.0</v>
      </c>
    </row>
    <row r="7886">
      <c r="A7886" s="17">
        <v>1005001.0</v>
      </c>
      <c r="B7886" s="17">
        <v>7043200.0</v>
      </c>
    </row>
    <row r="7887">
      <c r="A7887" s="17">
        <v>1005001.0</v>
      </c>
      <c r="B7887" s="17">
        <v>7043300.0</v>
      </c>
    </row>
    <row r="7888">
      <c r="A7888" s="17">
        <v>1005001.0</v>
      </c>
      <c r="B7888" s="17">
        <v>7043400.0</v>
      </c>
    </row>
    <row r="7889">
      <c r="A7889" s="17">
        <v>1005001.0</v>
      </c>
      <c r="B7889" s="17">
        <v>7043500.0</v>
      </c>
    </row>
    <row r="7890">
      <c r="A7890" s="17">
        <v>1005001.0</v>
      </c>
      <c r="B7890" s="17">
        <v>7043600.0</v>
      </c>
    </row>
    <row r="7891">
      <c r="A7891" s="17">
        <v>1005001.0</v>
      </c>
      <c r="B7891" s="17">
        <v>7043700.0</v>
      </c>
    </row>
    <row r="7892">
      <c r="A7892" s="17">
        <v>1005001.0</v>
      </c>
      <c r="B7892" s="17">
        <v>7043800.0</v>
      </c>
    </row>
    <row r="7893">
      <c r="A7893" s="17">
        <v>1005001.0</v>
      </c>
      <c r="B7893" s="17">
        <v>7044000.0</v>
      </c>
    </row>
    <row r="7894">
      <c r="A7894" s="17">
        <v>1005001.0</v>
      </c>
      <c r="B7894" s="17">
        <v>7044100.0</v>
      </c>
    </row>
    <row r="7895">
      <c r="A7895" s="17">
        <v>1005001.0</v>
      </c>
      <c r="B7895" s="17">
        <v>7044200.0</v>
      </c>
    </row>
    <row r="7896">
      <c r="A7896" s="17">
        <v>1005001.0</v>
      </c>
      <c r="B7896" s="17">
        <v>7044300.0</v>
      </c>
    </row>
    <row r="7897">
      <c r="A7897" s="17">
        <v>1005001.0</v>
      </c>
      <c r="B7897" s="17">
        <v>7044400.0</v>
      </c>
    </row>
    <row r="7898">
      <c r="A7898" s="17">
        <v>1005001.0</v>
      </c>
      <c r="B7898" s="17">
        <v>7044500.0</v>
      </c>
    </row>
    <row r="7899">
      <c r="A7899" s="17">
        <v>1005001.0</v>
      </c>
      <c r="B7899" s="17">
        <v>7044600.0</v>
      </c>
    </row>
    <row r="7900">
      <c r="A7900" s="17">
        <v>1005001.0</v>
      </c>
      <c r="B7900" s="17">
        <v>7050000.0</v>
      </c>
    </row>
    <row r="7901">
      <c r="A7901" s="17">
        <v>1005001.0</v>
      </c>
      <c r="B7901" s="17">
        <v>7050100.0</v>
      </c>
    </row>
    <row r="7902">
      <c r="A7902" s="17">
        <v>1005001.0</v>
      </c>
      <c r="B7902" s="17">
        <v>7060000.0</v>
      </c>
    </row>
    <row r="7903">
      <c r="A7903" s="17">
        <v>1005001.0</v>
      </c>
      <c r="B7903" s="17">
        <v>7060100.0</v>
      </c>
    </row>
    <row r="7904">
      <c r="A7904" s="17">
        <v>1005001.0</v>
      </c>
      <c r="B7904" s="17">
        <v>7060200.0</v>
      </c>
    </row>
    <row r="7905">
      <c r="A7905" s="17">
        <v>1005001.0</v>
      </c>
      <c r="B7905" s="17">
        <v>7070000.0</v>
      </c>
    </row>
    <row r="7906">
      <c r="A7906" s="17">
        <v>1005001.0</v>
      </c>
      <c r="B7906" s="17">
        <v>7080000.0</v>
      </c>
    </row>
    <row r="7907">
      <c r="A7907" s="17">
        <v>1005001.0</v>
      </c>
      <c r="B7907" s="17">
        <v>7080100.0</v>
      </c>
    </row>
    <row r="7908">
      <c r="A7908" s="17">
        <v>1005001.0</v>
      </c>
      <c r="B7908" s="17">
        <v>7080200.0</v>
      </c>
    </row>
    <row r="7909">
      <c r="A7909" s="17">
        <v>1005001.0</v>
      </c>
      <c r="B7909" s="17">
        <v>7080300.0</v>
      </c>
    </row>
    <row r="7910">
      <c r="A7910" s="17">
        <v>1005001.0</v>
      </c>
      <c r="B7910" s="17">
        <v>7080400.0</v>
      </c>
    </row>
    <row r="7911">
      <c r="A7911" s="17">
        <v>1005001.0</v>
      </c>
      <c r="B7911" s="17">
        <v>7080500.0</v>
      </c>
    </row>
    <row r="7912">
      <c r="A7912" s="17">
        <v>1005001.0</v>
      </c>
      <c r="B7912" s="17">
        <v>7080600.0</v>
      </c>
    </row>
    <row r="7913">
      <c r="A7913" s="17">
        <v>1005001.0</v>
      </c>
      <c r="B7913" s="17">
        <v>7080700.0</v>
      </c>
    </row>
    <row r="7914">
      <c r="A7914" s="17">
        <v>1005001.0</v>
      </c>
      <c r="B7914" s="17">
        <v>7080800.0</v>
      </c>
    </row>
    <row r="7915">
      <c r="A7915" s="17">
        <v>1005001.0</v>
      </c>
      <c r="B7915" s="17">
        <v>7080900.0</v>
      </c>
    </row>
    <row r="7916">
      <c r="A7916" s="17">
        <v>1005001.0</v>
      </c>
      <c r="B7916" s="17">
        <v>7081000.0</v>
      </c>
    </row>
    <row r="7917">
      <c r="A7917" s="17">
        <v>1005001.0</v>
      </c>
      <c r="B7917" s="17">
        <v>7081100.0</v>
      </c>
    </row>
    <row r="7918">
      <c r="A7918" s="17">
        <v>1005001.0</v>
      </c>
      <c r="B7918" s="17">
        <v>7081200.0</v>
      </c>
    </row>
    <row r="7919">
      <c r="A7919" s="17">
        <v>1005001.0</v>
      </c>
      <c r="B7919" s="17">
        <v>7081300.0</v>
      </c>
    </row>
    <row r="7920">
      <c r="A7920" s="17">
        <v>1005001.0</v>
      </c>
      <c r="B7920" s="17">
        <v>7081400.0</v>
      </c>
    </row>
    <row r="7921">
      <c r="A7921" s="17">
        <v>1005001.0</v>
      </c>
      <c r="B7921" s="17">
        <v>7081500.0</v>
      </c>
    </row>
    <row r="7922">
      <c r="A7922" s="17">
        <v>1005001.0</v>
      </c>
      <c r="B7922" s="17">
        <v>7081700.0</v>
      </c>
    </row>
    <row r="7923">
      <c r="A7923" s="17">
        <v>1005001.0</v>
      </c>
      <c r="B7923" s="17">
        <v>7081800.0</v>
      </c>
    </row>
    <row r="7924">
      <c r="A7924" s="17">
        <v>1005001.0</v>
      </c>
      <c r="B7924" s="17">
        <v>7081900.0</v>
      </c>
    </row>
    <row r="7925">
      <c r="A7925" s="17">
        <v>1005001.0</v>
      </c>
      <c r="B7925" s="17">
        <v>7082000.0</v>
      </c>
    </row>
    <row r="7926">
      <c r="A7926" s="17">
        <v>1005001.0</v>
      </c>
      <c r="B7926" s="17">
        <v>7082100.0</v>
      </c>
    </row>
    <row r="7927">
      <c r="A7927" s="17">
        <v>1005001.0</v>
      </c>
      <c r="B7927" s="17">
        <v>7082200.0</v>
      </c>
    </row>
    <row r="7928">
      <c r="A7928" s="17">
        <v>1005001.0</v>
      </c>
      <c r="B7928" s="17">
        <v>7082300.0</v>
      </c>
    </row>
    <row r="7929">
      <c r="A7929" s="17">
        <v>1005001.0</v>
      </c>
      <c r="B7929" s="17">
        <v>7082400.0</v>
      </c>
    </row>
    <row r="7930">
      <c r="A7930" s="17">
        <v>1005001.0</v>
      </c>
      <c r="B7930" s="17">
        <v>7082500.0</v>
      </c>
    </row>
    <row r="7931">
      <c r="A7931" s="17">
        <v>1005001.0</v>
      </c>
      <c r="B7931" s="17">
        <v>7082600.0</v>
      </c>
    </row>
    <row r="7932">
      <c r="A7932" s="17">
        <v>1005001.0</v>
      </c>
      <c r="B7932" s="17">
        <v>7082700.0</v>
      </c>
    </row>
    <row r="7933">
      <c r="A7933" s="17">
        <v>1005001.0</v>
      </c>
      <c r="B7933" s="17">
        <v>7082800.0</v>
      </c>
    </row>
    <row r="7934">
      <c r="A7934" s="17">
        <v>1005001.0</v>
      </c>
      <c r="B7934" s="17">
        <v>7082900.0</v>
      </c>
    </row>
    <row r="7935">
      <c r="A7935" s="17">
        <v>1005001.0</v>
      </c>
      <c r="B7935" s="17">
        <v>7090000.0</v>
      </c>
    </row>
    <row r="7936">
      <c r="A7936" s="17">
        <v>1005001.0</v>
      </c>
      <c r="B7936" s="17">
        <v>7090100.0</v>
      </c>
    </row>
    <row r="7937">
      <c r="A7937" s="17">
        <v>1005001.0</v>
      </c>
      <c r="B7937" s="17">
        <v>7090300.0</v>
      </c>
    </row>
    <row r="7938">
      <c r="A7938" s="17">
        <v>1005001.0</v>
      </c>
      <c r="B7938" s="17">
        <v>7100100.0</v>
      </c>
    </row>
    <row r="7939">
      <c r="A7939" s="17">
        <v>1005001.0</v>
      </c>
      <c r="B7939" s="17">
        <v>7110000.0</v>
      </c>
    </row>
    <row r="7940">
      <c r="A7940" s="17">
        <v>1005001.0</v>
      </c>
      <c r="B7940" s="17">
        <v>7120000.0</v>
      </c>
    </row>
    <row r="7941">
      <c r="A7941" s="17">
        <v>1005001.0</v>
      </c>
      <c r="B7941" s="17">
        <v>7120100.0</v>
      </c>
    </row>
    <row r="7942">
      <c r="A7942" s="17">
        <v>1005001.0</v>
      </c>
      <c r="B7942" s="17">
        <v>7120200.0</v>
      </c>
    </row>
    <row r="7943">
      <c r="A7943" s="17">
        <v>1005001.0</v>
      </c>
      <c r="B7943" s="17">
        <v>7120300.0</v>
      </c>
    </row>
    <row r="7944">
      <c r="A7944" s="17">
        <v>1005001.0</v>
      </c>
      <c r="B7944" s="17">
        <v>7120400.0</v>
      </c>
    </row>
    <row r="7945">
      <c r="A7945" s="17">
        <v>1005001.0</v>
      </c>
      <c r="B7945" s="17">
        <v>7120500.0</v>
      </c>
    </row>
    <row r="7946">
      <c r="A7946" s="17">
        <v>1005001.0</v>
      </c>
      <c r="B7946" s="17">
        <v>7120600.0</v>
      </c>
    </row>
    <row r="7947">
      <c r="A7947" s="17">
        <v>1005001.0</v>
      </c>
      <c r="B7947" s="17">
        <v>7120900.0</v>
      </c>
    </row>
    <row r="7948">
      <c r="A7948" s="17">
        <v>1005001.0</v>
      </c>
      <c r="B7948" s="17">
        <v>7121000.0</v>
      </c>
    </row>
    <row r="7949">
      <c r="A7949" s="17">
        <v>1005001.0</v>
      </c>
      <c r="B7949" s="17">
        <v>7121100.0</v>
      </c>
    </row>
    <row r="7950">
      <c r="A7950" s="17">
        <v>1005001.0</v>
      </c>
      <c r="B7950" s="17">
        <v>7121200.0</v>
      </c>
    </row>
    <row r="7951">
      <c r="A7951" s="17">
        <v>1005001.0</v>
      </c>
      <c r="B7951" s="17">
        <v>7121300.0</v>
      </c>
    </row>
    <row r="7952">
      <c r="A7952" s="17">
        <v>1005001.0</v>
      </c>
      <c r="B7952" s="17">
        <v>7121400.0</v>
      </c>
    </row>
    <row r="7953">
      <c r="A7953" s="17">
        <v>1005001.0</v>
      </c>
      <c r="B7953" s="17">
        <v>7121500.0</v>
      </c>
    </row>
    <row r="7954">
      <c r="A7954" s="17">
        <v>1005001.0</v>
      </c>
      <c r="B7954" s="17">
        <v>7121600.0</v>
      </c>
    </row>
    <row r="7955">
      <c r="A7955" s="17">
        <v>1005001.0</v>
      </c>
      <c r="B7955" s="17">
        <v>7121700.0</v>
      </c>
    </row>
    <row r="7956">
      <c r="A7956" s="17">
        <v>1005001.0</v>
      </c>
      <c r="B7956" s="17">
        <v>7121800.0</v>
      </c>
    </row>
    <row r="7957">
      <c r="A7957" s="17">
        <v>1005001.0</v>
      </c>
      <c r="B7957" s="17">
        <v>7121900.0</v>
      </c>
    </row>
    <row r="7958">
      <c r="A7958" s="17">
        <v>1005001.0</v>
      </c>
      <c r="B7958" s="17">
        <v>7122000.0</v>
      </c>
    </row>
    <row r="7959">
      <c r="A7959" s="17">
        <v>1005001.0</v>
      </c>
      <c r="B7959" s="17">
        <v>7122100.0</v>
      </c>
    </row>
    <row r="7960">
      <c r="A7960" s="17">
        <v>1005001.0</v>
      </c>
      <c r="B7960" s="17">
        <v>7122200.0</v>
      </c>
    </row>
    <row r="7961">
      <c r="A7961" s="17">
        <v>1005001.0</v>
      </c>
      <c r="B7961" s="17">
        <v>7122300.0</v>
      </c>
    </row>
    <row r="7962">
      <c r="A7962" s="17">
        <v>1005001.0</v>
      </c>
      <c r="B7962" s="17">
        <v>7122400.0</v>
      </c>
    </row>
    <row r="7963">
      <c r="A7963" s="17">
        <v>1005001.0</v>
      </c>
      <c r="B7963" s="17">
        <v>7122500.0</v>
      </c>
    </row>
    <row r="7964">
      <c r="A7964" s="17">
        <v>1005001.0</v>
      </c>
      <c r="B7964" s="17">
        <v>7122600.0</v>
      </c>
    </row>
    <row r="7965">
      <c r="A7965" s="17">
        <v>1005001.0</v>
      </c>
      <c r="B7965" s="17">
        <v>7122700.0</v>
      </c>
    </row>
    <row r="7966">
      <c r="A7966" s="17">
        <v>1005001.0</v>
      </c>
      <c r="B7966" s="17">
        <v>7122800.0</v>
      </c>
    </row>
    <row r="7967">
      <c r="A7967" s="17">
        <v>1005001.0</v>
      </c>
      <c r="B7967" s="17">
        <v>7122900.0</v>
      </c>
    </row>
    <row r="7968">
      <c r="A7968" s="17">
        <v>1005001.0</v>
      </c>
      <c r="B7968" s="17">
        <v>7123000.0</v>
      </c>
    </row>
    <row r="7969">
      <c r="A7969" s="17">
        <v>1005001.0</v>
      </c>
      <c r="B7969" s="17">
        <v>7123100.0</v>
      </c>
    </row>
    <row r="7970">
      <c r="A7970" s="17">
        <v>1005001.0</v>
      </c>
      <c r="B7970" s="17">
        <v>7123200.0</v>
      </c>
    </row>
    <row r="7971">
      <c r="A7971" s="17">
        <v>1005001.0</v>
      </c>
      <c r="B7971" s="17">
        <v>7123300.0</v>
      </c>
    </row>
    <row r="7972">
      <c r="A7972" s="17">
        <v>1005001.0</v>
      </c>
      <c r="B7972" s="17">
        <v>7123400.0</v>
      </c>
    </row>
    <row r="7973">
      <c r="A7973" s="17">
        <v>1005001.0</v>
      </c>
      <c r="B7973" s="17">
        <v>7123500.0</v>
      </c>
    </row>
    <row r="7974">
      <c r="A7974" s="17">
        <v>1005001.0</v>
      </c>
      <c r="B7974" s="17">
        <v>7123600.0</v>
      </c>
    </row>
    <row r="7975">
      <c r="A7975" s="17">
        <v>1005001.0</v>
      </c>
      <c r="B7975" s="17">
        <v>7123700.0</v>
      </c>
    </row>
    <row r="7976">
      <c r="A7976" s="17">
        <v>1005001.0</v>
      </c>
      <c r="B7976" s="17">
        <v>7123800.0</v>
      </c>
    </row>
    <row r="7977">
      <c r="A7977" s="17">
        <v>1005001.0</v>
      </c>
      <c r="B7977" s="17">
        <v>7123900.0</v>
      </c>
    </row>
    <row r="7978">
      <c r="A7978" s="17">
        <v>1005001.0</v>
      </c>
      <c r="B7978" s="17">
        <v>7124000.0</v>
      </c>
    </row>
    <row r="7979">
      <c r="A7979" s="17">
        <v>1005001.0</v>
      </c>
      <c r="B7979" s="17">
        <v>7124100.0</v>
      </c>
    </row>
    <row r="7980">
      <c r="A7980" s="17">
        <v>1005001.0</v>
      </c>
      <c r="B7980" s="17">
        <v>7124300.0</v>
      </c>
    </row>
    <row r="7981">
      <c r="A7981" s="17">
        <v>1005001.0</v>
      </c>
      <c r="B7981" s="17">
        <v>7124400.0</v>
      </c>
    </row>
    <row r="7982">
      <c r="A7982" s="17">
        <v>1005001.0</v>
      </c>
      <c r="B7982" s="17">
        <v>7124500.0</v>
      </c>
    </row>
    <row r="7983">
      <c r="A7983" s="17">
        <v>1005001.0</v>
      </c>
      <c r="B7983" s="17">
        <v>7124600.0</v>
      </c>
    </row>
    <row r="7984">
      <c r="A7984" s="17">
        <v>1005001.0</v>
      </c>
      <c r="B7984" s="17">
        <v>7124700.0</v>
      </c>
    </row>
    <row r="7985">
      <c r="A7985" s="17">
        <v>1005001.0</v>
      </c>
      <c r="B7985" s="17">
        <v>7126000.0</v>
      </c>
    </row>
    <row r="7986">
      <c r="A7986" s="17">
        <v>1005001.0</v>
      </c>
      <c r="B7986" s="17">
        <v>7150000.0</v>
      </c>
    </row>
    <row r="7987">
      <c r="A7987" s="17">
        <v>1005001.0</v>
      </c>
      <c r="B7987" s="17">
        <v>7160000.0</v>
      </c>
    </row>
    <row r="7988">
      <c r="A7988" s="17">
        <v>1005001.0</v>
      </c>
      <c r="B7988" s="17">
        <v>7220000.0</v>
      </c>
    </row>
    <row r="7989">
      <c r="A7989" s="17">
        <v>1005001.0</v>
      </c>
      <c r="B7989" s="17">
        <v>7230000.0</v>
      </c>
    </row>
    <row r="7990">
      <c r="A7990" s="17">
        <v>1005001.0</v>
      </c>
      <c r="B7990" s="17">
        <v>7240000.0</v>
      </c>
    </row>
    <row r="7991">
      <c r="A7991" s="17">
        <v>1005001.0</v>
      </c>
      <c r="B7991" s="17">
        <v>7260000.0</v>
      </c>
    </row>
    <row r="7992">
      <c r="A7992" s="17">
        <v>1005001.0</v>
      </c>
      <c r="B7992" s="17">
        <v>7260300.0</v>
      </c>
    </row>
    <row r="7993">
      <c r="A7993" s="17">
        <v>1005001.0</v>
      </c>
      <c r="B7993" s="17">
        <v>7260400.0</v>
      </c>
    </row>
    <row r="7994">
      <c r="A7994" s="17">
        <v>1005001.0</v>
      </c>
      <c r="B7994" s="17">
        <v>7270100.0</v>
      </c>
    </row>
    <row r="7995">
      <c r="A7995" s="17">
        <v>1005001.0</v>
      </c>
      <c r="B7995" s="17">
        <v>7280000.0</v>
      </c>
    </row>
    <row r="7996">
      <c r="A7996" s="17">
        <v>1005001.0</v>
      </c>
      <c r="B7996" s="17">
        <v>7290000.0</v>
      </c>
    </row>
    <row r="7997">
      <c r="A7997" s="17">
        <v>1005001.0</v>
      </c>
      <c r="B7997" s="17">
        <v>7310000.0</v>
      </c>
    </row>
    <row r="7998">
      <c r="A7998" s="17">
        <v>1005001.0</v>
      </c>
      <c r="B7998" s="17">
        <v>7330000.0</v>
      </c>
    </row>
    <row r="7999">
      <c r="A7999" s="17">
        <v>1005001.0</v>
      </c>
      <c r="B7999" s="17">
        <v>7330100.0</v>
      </c>
    </row>
    <row r="8000">
      <c r="A8000" s="17">
        <v>1005001.0</v>
      </c>
      <c r="B8000" s="17">
        <v>7330200.0</v>
      </c>
    </row>
    <row r="8001">
      <c r="A8001" s="17">
        <v>1005001.0</v>
      </c>
      <c r="B8001" s="17">
        <v>7330300.0</v>
      </c>
    </row>
    <row r="8002">
      <c r="A8002" s="17">
        <v>1005001.0</v>
      </c>
      <c r="B8002" s="17">
        <v>7330400.0</v>
      </c>
    </row>
    <row r="8003">
      <c r="A8003" s="17">
        <v>1005001.0</v>
      </c>
      <c r="B8003" s="17">
        <v>7330500.0</v>
      </c>
    </row>
    <row r="8004">
      <c r="A8004" s="17">
        <v>1005001.0</v>
      </c>
      <c r="B8004" s="17">
        <v>7330600.0</v>
      </c>
    </row>
    <row r="8005">
      <c r="A8005" s="17">
        <v>1005001.0</v>
      </c>
      <c r="B8005" s="17">
        <v>7330700.0</v>
      </c>
    </row>
    <row r="8006">
      <c r="A8006" s="17">
        <v>1005001.0</v>
      </c>
      <c r="B8006" s="17">
        <v>7330800.0</v>
      </c>
    </row>
    <row r="8007">
      <c r="A8007" s="17">
        <v>1005001.0</v>
      </c>
      <c r="B8007" s="17">
        <v>7330900.0</v>
      </c>
    </row>
    <row r="8008">
      <c r="A8008" s="17">
        <v>1005001.0</v>
      </c>
      <c r="B8008" s="17">
        <v>7331000.0</v>
      </c>
    </row>
    <row r="8009">
      <c r="A8009" s="17">
        <v>1005001.0</v>
      </c>
      <c r="B8009" s="17">
        <v>7331100.0</v>
      </c>
    </row>
    <row r="8010">
      <c r="A8010" s="17">
        <v>1005001.0</v>
      </c>
      <c r="B8010" s="17">
        <v>7331200.0</v>
      </c>
    </row>
    <row r="8011">
      <c r="A8011" s="17">
        <v>1005001.0</v>
      </c>
      <c r="B8011" s="17">
        <v>7331300.0</v>
      </c>
    </row>
    <row r="8012">
      <c r="A8012" s="17">
        <v>1005001.0</v>
      </c>
      <c r="B8012" s="17">
        <v>7331400.0</v>
      </c>
    </row>
    <row r="8013">
      <c r="A8013" s="17">
        <v>1005001.0</v>
      </c>
      <c r="B8013" s="17">
        <v>7331500.0</v>
      </c>
    </row>
    <row r="8014">
      <c r="A8014" s="17">
        <v>1005001.0</v>
      </c>
      <c r="B8014" s="17">
        <v>7331700.0</v>
      </c>
    </row>
    <row r="8015">
      <c r="A8015" s="17">
        <v>1005001.0</v>
      </c>
      <c r="B8015" s="17">
        <v>7331800.0</v>
      </c>
    </row>
    <row r="8016">
      <c r="A8016" s="17">
        <v>1005001.0</v>
      </c>
      <c r="B8016" s="17">
        <v>7331900.0</v>
      </c>
    </row>
    <row r="8017">
      <c r="A8017" s="17">
        <v>1005001.0</v>
      </c>
      <c r="B8017" s="17">
        <v>7332000.0</v>
      </c>
    </row>
    <row r="8018">
      <c r="A8018" s="17">
        <v>1005001.0</v>
      </c>
      <c r="B8018" s="17">
        <v>7332100.0</v>
      </c>
    </row>
    <row r="8019">
      <c r="A8019" s="17">
        <v>1005001.0</v>
      </c>
      <c r="B8019" s="17">
        <v>7332200.0</v>
      </c>
    </row>
    <row r="8020">
      <c r="A8020" s="17">
        <v>1005001.0</v>
      </c>
      <c r="B8020" s="17">
        <v>7332300.0</v>
      </c>
    </row>
    <row r="8021">
      <c r="A8021" s="17">
        <v>1005001.0</v>
      </c>
      <c r="B8021" s="17">
        <v>7332400.0</v>
      </c>
    </row>
    <row r="8022">
      <c r="A8022" s="17">
        <v>1005001.0</v>
      </c>
      <c r="B8022" s="17">
        <v>7340000.0</v>
      </c>
    </row>
    <row r="8023">
      <c r="A8023" s="17">
        <v>1005001.0</v>
      </c>
      <c r="B8023" s="17">
        <v>7340100.0</v>
      </c>
    </row>
    <row r="8024">
      <c r="A8024" s="17">
        <v>1005001.0</v>
      </c>
      <c r="B8024" s="17">
        <v>7340200.0</v>
      </c>
    </row>
    <row r="8025">
      <c r="A8025" s="17">
        <v>1005001.0</v>
      </c>
      <c r="B8025" s="17">
        <v>7340300.0</v>
      </c>
    </row>
    <row r="8026">
      <c r="A8026" s="17">
        <v>1005001.0</v>
      </c>
      <c r="B8026" s="17">
        <v>7340400.0</v>
      </c>
    </row>
    <row r="8027">
      <c r="A8027" s="17">
        <v>1005001.0</v>
      </c>
      <c r="B8027" s="17">
        <v>7340500.0</v>
      </c>
    </row>
    <row r="8028">
      <c r="A8028" s="17">
        <v>1005001.0</v>
      </c>
      <c r="B8028" s="17">
        <v>7340600.0</v>
      </c>
    </row>
    <row r="8029">
      <c r="A8029" s="17">
        <v>1005001.0</v>
      </c>
      <c r="B8029" s="17">
        <v>7340700.0</v>
      </c>
    </row>
    <row r="8030">
      <c r="A8030" s="17">
        <v>1005001.0</v>
      </c>
      <c r="B8030" s="17">
        <v>7340800.0</v>
      </c>
    </row>
    <row r="8031">
      <c r="A8031" s="17">
        <v>1005001.0</v>
      </c>
      <c r="B8031" s="17">
        <v>7340900.0</v>
      </c>
    </row>
    <row r="8032">
      <c r="A8032" s="17">
        <v>1005001.0</v>
      </c>
      <c r="B8032" s="17">
        <v>7341000.0</v>
      </c>
    </row>
    <row r="8033">
      <c r="A8033" s="17">
        <v>1005001.0</v>
      </c>
      <c r="B8033" s="17">
        <v>7341100.0</v>
      </c>
    </row>
    <row r="8034">
      <c r="A8034" s="17">
        <v>1005001.0</v>
      </c>
      <c r="B8034" s="17">
        <v>7341200.0</v>
      </c>
    </row>
    <row r="8035">
      <c r="A8035" s="17">
        <v>1005001.0</v>
      </c>
      <c r="B8035" s="17">
        <v>7341300.0</v>
      </c>
    </row>
    <row r="8036">
      <c r="A8036" s="17">
        <v>1005001.0</v>
      </c>
      <c r="B8036" s="17">
        <v>7341400.0</v>
      </c>
    </row>
    <row r="8037">
      <c r="A8037" s="17">
        <v>1005001.0</v>
      </c>
      <c r="B8037" s="17">
        <v>7341500.0</v>
      </c>
    </row>
    <row r="8038">
      <c r="A8038" s="17">
        <v>1005001.0</v>
      </c>
      <c r="B8038" s="17">
        <v>7341700.0</v>
      </c>
    </row>
    <row r="8039">
      <c r="A8039" s="17">
        <v>1005001.0</v>
      </c>
      <c r="B8039" s="17">
        <v>7341800.0</v>
      </c>
    </row>
    <row r="8040">
      <c r="A8040" s="17">
        <v>1005001.0</v>
      </c>
      <c r="B8040" s="17">
        <v>7341900.0</v>
      </c>
    </row>
    <row r="8041">
      <c r="A8041" s="17">
        <v>1005001.0</v>
      </c>
      <c r="B8041" s="17">
        <v>7342000.0</v>
      </c>
    </row>
    <row r="8042">
      <c r="A8042" s="17">
        <v>1005001.0</v>
      </c>
      <c r="B8042" s="17">
        <v>7342100.0</v>
      </c>
    </row>
    <row r="8043">
      <c r="A8043" s="17">
        <v>1005001.0</v>
      </c>
      <c r="B8043" s="17">
        <v>7342200.0</v>
      </c>
    </row>
    <row r="8044">
      <c r="A8044" s="17">
        <v>1005001.0</v>
      </c>
      <c r="B8044" s="17">
        <v>7342300.0</v>
      </c>
    </row>
    <row r="8045">
      <c r="A8045" s="17">
        <v>1005001.0</v>
      </c>
      <c r="B8045" s="17">
        <v>7342400.0</v>
      </c>
    </row>
    <row r="8046">
      <c r="A8046" s="17">
        <v>1005001.0</v>
      </c>
      <c r="B8046" s="17">
        <v>7350000.0</v>
      </c>
    </row>
    <row r="8047">
      <c r="A8047" s="17">
        <v>1005001.0</v>
      </c>
      <c r="B8047" s="17">
        <v>7350100.0</v>
      </c>
    </row>
    <row r="8048">
      <c r="A8048" s="17">
        <v>1005001.0</v>
      </c>
      <c r="B8048" s="17">
        <v>7350200.0</v>
      </c>
    </row>
    <row r="8049">
      <c r="A8049" s="17">
        <v>1005001.0</v>
      </c>
      <c r="B8049" s="17">
        <v>7350300.0</v>
      </c>
    </row>
    <row r="8050">
      <c r="A8050" s="17">
        <v>1005001.0</v>
      </c>
      <c r="B8050" s="17">
        <v>7350400.0</v>
      </c>
    </row>
    <row r="8051">
      <c r="A8051" s="17">
        <v>1005001.0</v>
      </c>
      <c r="B8051" s="17">
        <v>7350500.0</v>
      </c>
    </row>
    <row r="8052">
      <c r="A8052" s="17">
        <v>1005001.0</v>
      </c>
      <c r="B8052" s="17">
        <v>7350600.0</v>
      </c>
    </row>
    <row r="8053">
      <c r="A8053" s="17">
        <v>1005001.0</v>
      </c>
      <c r="B8053" s="17">
        <v>7350700.0</v>
      </c>
    </row>
    <row r="8054">
      <c r="A8054" s="17">
        <v>1005001.0</v>
      </c>
      <c r="B8054" s="17">
        <v>7350800.0</v>
      </c>
    </row>
    <row r="8055">
      <c r="A8055" s="17">
        <v>1005001.0</v>
      </c>
      <c r="B8055" s="17">
        <v>7350900.0</v>
      </c>
    </row>
    <row r="8056">
      <c r="A8056" s="17">
        <v>1005001.0</v>
      </c>
      <c r="B8056" s="17">
        <v>7351000.0</v>
      </c>
    </row>
    <row r="8057">
      <c r="A8057" s="17">
        <v>1005001.0</v>
      </c>
      <c r="B8057" s="17">
        <v>7351100.0</v>
      </c>
    </row>
    <row r="8058">
      <c r="A8058" s="17">
        <v>1005001.0</v>
      </c>
      <c r="B8058" s="17">
        <v>7351200.0</v>
      </c>
    </row>
    <row r="8059">
      <c r="A8059" s="17">
        <v>1005001.0</v>
      </c>
      <c r="B8059" s="17">
        <v>7351300.0</v>
      </c>
    </row>
    <row r="8060">
      <c r="A8060" s="17">
        <v>1005001.0</v>
      </c>
      <c r="B8060" s="17">
        <v>7351400.0</v>
      </c>
    </row>
    <row r="8061">
      <c r="A8061" s="17">
        <v>1005001.0</v>
      </c>
      <c r="B8061" s="17">
        <v>7351500.0</v>
      </c>
    </row>
    <row r="8062">
      <c r="A8062" s="17">
        <v>1005001.0</v>
      </c>
      <c r="B8062" s="17">
        <v>7351700.0</v>
      </c>
    </row>
    <row r="8063">
      <c r="A8063" s="17">
        <v>1005001.0</v>
      </c>
      <c r="B8063" s="17">
        <v>7351800.0</v>
      </c>
    </row>
    <row r="8064">
      <c r="A8064" s="17">
        <v>1005001.0</v>
      </c>
      <c r="B8064" s="17">
        <v>7351900.0</v>
      </c>
    </row>
    <row r="8065">
      <c r="A8065" s="17">
        <v>1005001.0</v>
      </c>
      <c r="B8065" s="17">
        <v>7352000.0</v>
      </c>
    </row>
    <row r="8066">
      <c r="A8066" s="17">
        <v>1005001.0</v>
      </c>
      <c r="B8066" s="17">
        <v>7352100.0</v>
      </c>
    </row>
    <row r="8067">
      <c r="A8067" s="17">
        <v>1005001.0</v>
      </c>
      <c r="B8067" s="17">
        <v>7352200.0</v>
      </c>
    </row>
    <row r="8068">
      <c r="A8068" s="17">
        <v>1005001.0</v>
      </c>
      <c r="B8068" s="17">
        <v>7352300.0</v>
      </c>
    </row>
    <row r="8069">
      <c r="A8069" s="17">
        <v>1005001.0</v>
      </c>
      <c r="B8069" s="17">
        <v>7352400.0</v>
      </c>
    </row>
    <row r="8070">
      <c r="A8070" s="17">
        <v>1005001.0</v>
      </c>
      <c r="B8070" s="17">
        <v>7360600.0</v>
      </c>
    </row>
    <row r="8071">
      <c r="A8071" s="17">
        <v>1005001.0</v>
      </c>
      <c r="B8071" s="17">
        <v>7360900.0</v>
      </c>
    </row>
    <row r="8072">
      <c r="A8072" s="17">
        <v>1005001.0</v>
      </c>
      <c r="B8072" s="17">
        <v>7361200.0</v>
      </c>
    </row>
    <row r="8073">
      <c r="A8073" s="17">
        <v>1005001.0</v>
      </c>
      <c r="B8073" s="17">
        <v>7361300.0</v>
      </c>
    </row>
    <row r="8074">
      <c r="A8074" s="17">
        <v>1005001.0</v>
      </c>
      <c r="B8074" s="17">
        <v>7362100.0</v>
      </c>
    </row>
    <row r="8075">
      <c r="A8075" s="17">
        <v>1005001.0</v>
      </c>
      <c r="B8075" s="17">
        <v>7370300.0</v>
      </c>
    </row>
    <row r="8076">
      <c r="A8076" s="17">
        <v>1005001.0</v>
      </c>
      <c r="B8076" s="17">
        <v>7370400.0</v>
      </c>
    </row>
    <row r="8077">
      <c r="A8077" s="17">
        <v>1005001.0</v>
      </c>
      <c r="B8077" s="17">
        <v>7370600.0</v>
      </c>
    </row>
    <row r="8078">
      <c r="A8078" s="17">
        <v>1005001.0</v>
      </c>
      <c r="B8078" s="17">
        <v>7370900.0</v>
      </c>
    </row>
    <row r="8079">
      <c r="A8079" s="17">
        <v>1005001.0</v>
      </c>
      <c r="B8079" s="17">
        <v>7371500.0</v>
      </c>
    </row>
    <row r="8080">
      <c r="A8080" s="17">
        <v>1005001.0</v>
      </c>
      <c r="B8080" s="17">
        <v>7036200.0</v>
      </c>
    </row>
    <row r="8081">
      <c r="A8081" s="17">
        <v>1005001.0</v>
      </c>
      <c r="B8081" s="17">
        <v>7036300.0</v>
      </c>
    </row>
    <row r="8082">
      <c r="A8082" s="17">
        <v>1005001.0</v>
      </c>
      <c r="B8082" s="17">
        <v>7036400.0</v>
      </c>
    </row>
    <row r="8083">
      <c r="A8083" s="17">
        <v>1005001.0</v>
      </c>
      <c r="B8083" s="17">
        <v>7036500.0</v>
      </c>
    </row>
    <row r="8084">
      <c r="A8084" s="17">
        <v>1005001.0</v>
      </c>
      <c r="B8084" s="17">
        <v>7036800.0</v>
      </c>
    </row>
    <row r="8085">
      <c r="A8085" s="17">
        <v>1005001.0</v>
      </c>
      <c r="B8085" s="17">
        <v>7036900.0</v>
      </c>
    </row>
    <row r="8086">
      <c r="A8086" s="17">
        <v>1005001.0</v>
      </c>
      <c r="B8086" s="17">
        <v>7037000.0</v>
      </c>
    </row>
    <row r="8087">
      <c r="A8087" s="17">
        <v>1005001.0</v>
      </c>
      <c r="B8087" s="17">
        <v>7037300.0</v>
      </c>
    </row>
    <row r="8088">
      <c r="A8088" s="17">
        <v>1005001.0</v>
      </c>
      <c r="B8088" s="17">
        <v>6630000.0</v>
      </c>
    </row>
    <row r="8089">
      <c r="A8089" s="17">
        <v>1005001.0</v>
      </c>
      <c r="B8089" s="17">
        <v>6630100.0</v>
      </c>
    </row>
    <row r="8090">
      <c r="A8090" s="17">
        <v>1005001.0</v>
      </c>
      <c r="B8090" s="17">
        <v>6630200.0</v>
      </c>
    </row>
    <row r="8091">
      <c r="A8091" s="17">
        <v>1005001.0</v>
      </c>
      <c r="B8091" s="17">
        <v>6630300.0</v>
      </c>
    </row>
    <row r="8092">
      <c r="A8092" s="17">
        <v>1005001.0</v>
      </c>
      <c r="B8092" s="17">
        <v>6630400.0</v>
      </c>
    </row>
    <row r="8093">
      <c r="A8093" s="17">
        <v>1005001.0</v>
      </c>
      <c r="B8093" s="17">
        <v>6630500.0</v>
      </c>
    </row>
    <row r="8094">
      <c r="A8094" s="17">
        <v>1005001.0</v>
      </c>
      <c r="B8094" s="17">
        <v>6630600.0</v>
      </c>
    </row>
    <row r="8095">
      <c r="A8095" s="17">
        <v>1005001.0</v>
      </c>
      <c r="B8095" s="17">
        <v>6630700.0</v>
      </c>
    </row>
    <row r="8096">
      <c r="A8096" s="17">
        <v>1005001.0</v>
      </c>
      <c r="B8096" s="17">
        <v>6630800.0</v>
      </c>
    </row>
    <row r="8097">
      <c r="A8097" s="17">
        <v>1005001.0</v>
      </c>
      <c r="B8097" s="17">
        <v>6630900.0</v>
      </c>
    </row>
    <row r="8098">
      <c r="A8098" s="17">
        <v>1005001.0</v>
      </c>
      <c r="B8098" s="17">
        <v>6631000.0</v>
      </c>
    </row>
    <row r="8099">
      <c r="A8099" s="17">
        <v>1005001.0</v>
      </c>
      <c r="B8099" s="17">
        <v>6631100.0</v>
      </c>
    </row>
    <row r="8100">
      <c r="A8100" s="17">
        <v>1005001.0</v>
      </c>
      <c r="B8100" s="17">
        <v>6631200.0</v>
      </c>
    </row>
    <row r="8101">
      <c r="A8101" s="17">
        <v>1005001.0</v>
      </c>
      <c r="B8101" s="17">
        <v>6631300.0</v>
      </c>
    </row>
    <row r="8102">
      <c r="A8102" s="17">
        <v>1005001.0</v>
      </c>
      <c r="B8102" s="17">
        <v>6631400.0</v>
      </c>
    </row>
    <row r="8103">
      <c r="A8103" s="17">
        <v>1005001.0</v>
      </c>
      <c r="B8103" s="17">
        <v>6631500.0</v>
      </c>
    </row>
    <row r="8104">
      <c r="A8104" s="17">
        <v>1005001.0</v>
      </c>
      <c r="B8104" s="17">
        <v>6631600.0</v>
      </c>
    </row>
    <row r="8105">
      <c r="A8105" s="17">
        <v>1005001.0</v>
      </c>
      <c r="B8105" s="17">
        <v>6631700.0</v>
      </c>
    </row>
    <row r="8106">
      <c r="A8106" s="17">
        <v>1005001.0</v>
      </c>
      <c r="B8106" s="17">
        <v>6631800.0</v>
      </c>
    </row>
    <row r="8107">
      <c r="A8107" s="17">
        <v>1005001.0</v>
      </c>
      <c r="B8107" s="17">
        <v>6631900.0</v>
      </c>
    </row>
    <row r="8108">
      <c r="A8108" s="17">
        <v>1005001.0</v>
      </c>
      <c r="B8108" s="17">
        <v>6632000.0</v>
      </c>
    </row>
    <row r="8109">
      <c r="A8109" s="17">
        <v>1005001.0</v>
      </c>
      <c r="B8109" s="17">
        <v>6632100.0</v>
      </c>
    </row>
    <row r="8110">
      <c r="A8110" s="17">
        <v>1005001.0</v>
      </c>
      <c r="B8110" s="17">
        <v>6632200.0</v>
      </c>
    </row>
    <row r="8111">
      <c r="A8111" s="17">
        <v>1005001.0</v>
      </c>
      <c r="B8111" s="17">
        <v>6632300.0</v>
      </c>
    </row>
    <row r="8112">
      <c r="A8112" s="17">
        <v>1005001.0</v>
      </c>
      <c r="B8112" s="17">
        <v>6632400.0</v>
      </c>
    </row>
    <row r="8113">
      <c r="A8113" s="17">
        <v>1005001.0</v>
      </c>
      <c r="B8113" s="17">
        <v>6632500.0</v>
      </c>
    </row>
    <row r="8114">
      <c r="A8114" s="17">
        <v>1005001.0</v>
      </c>
      <c r="B8114" s="17">
        <v>6632600.0</v>
      </c>
    </row>
    <row r="8115">
      <c r="A8115" s="17">
        <v>1005001.0</v>
      </c>
      <c r="B8115" s="17">
        <v>6632700.0</v>
      </c>
    </row>
    <row r="8116">
      <c r="A8116" s="17">
        <v>1005001.0</v>
      </c>
      <c r="B8116" s="17">
        <v>6632800.0</v>
      </c>
    </row>
    <row r="8117">
      <c r="A8117" s="17">
        <v>1005001.0</v>
      </c>
      <c r="B8117" s="17">
        <v>6632900.0</v>
      </c>
    </row>
    <row r="8118">
      <c r="A8118" s="17">
        <v>1005001.0</v>
      </c>
      <c r="B8118" s="17">
        <v>6633000.0</v>
      </c>
    </row>
    <row r="8119">
      <c r="A8119" s="17">
        <v>1005001.0</v>
      </c>
      <c r="B8119" s="17">
        <v>6633100.0</v>
      </c>
    </row>
    <row r="8120">
      <c r="A8120" s="17">
        <v>1005001.0</v>
      </c>
      <c r="B8120" s="17">
        <v>6633200.0</v>
      </c>
    </row>
    <row r="8121">
      <c r="A8121" s="17">
        <v>1005001.0</v>
      </c>
      <c r="B8121" s="17">
        <v>6647200.0</v>
      </c>
    </row>
    <row r="8122">
      <c r="A8122" s="17">
        <v>1005001.0</v>
      </c>
      <c r="B8122" s="17">
        <v>6647300.0</v>
      </c>
    </row>
    <row r="8123">
      <c r="A8123" s="17">
        <v>1005001.0</v>
      </c>
      <c r="B8123" s="17">
        <v>6647400.0</v>
      </c>
    </row>
    <row r="8124">
      <c r="A8124" s="17">
        <v>1005001.0</v>
      </c>
      <c r="B8124" s="17">
        <v>6647500.0</v>
      </c>
    </row>
    <row r="8125">
      <c r="A8125" s="17">
        <v>1005001.0</v>
      </c>
      <c r="B8125" s="17">
        <v>6640000.0</v>
      </c>
    </row>
    <row r="8126">
      <c r="A8126" s="17">
        <v>1005001.0</v>
      </c>
      <c r="B8126" s="17">
        <v>6640100.0</v>
      </c>
    </row>
    <row r="8127">
      <c r="A8127" s="17">
        <v>1005001.0</v>
      </c>
      <c r="B8127" s="17">
        <v>6641000.0</v>
      </c>
    </row>
    <row r="8128">
      <c r="A8128" s="17">
        <v>1005001.0</v>
      </c>
      <c r="B8128" s="17">
        <v>6641100.0</v>
      </c>
    </row>
    <row r="8129">
      <c r="A8129" s="17">
        <v>1005001.0</v>
      </c>
      <c r="B8129" s="17">
        <v>6642000.0</v>
      </c>
    </row>
    <row r="8130">
      <c r="A8130" s="17">
        <v>1005001.0</v>
      </c>
      <c r="B8130" s="17">
        <v>6642100.0</v>
      </c>
    </row>
    <row r="8131">
      <c r="A8131" s="17">
        <v>1005001.0</v>
      </c>
      <c r="B8131" s="17">
        <v>6643000.0</v>
      </c>
    </row>
    <row r="8132">
      <c r="A8132" s="17">
        <v>1005001.0</v>
      </c>
      <c r="B8132" s="17">
        <v>6643100.0</v>
      </c>
    </row>
    <row r="8133">
      <c r="A8133" s="17">
        <v>1005001.0</v>
      </c>
      <c r="B8133" s="17">
        <v>6644000.0</v>
      </c>
    </row>
    <row r="8134">
      <c r="A8134" s="17">
        <v>1005001.0</v>
      </c>
      <c r="B8134" s="17">
        <v>6644100.0</v>
      </c>
    </row>
    <row r="8135">
      <c r="A8135" s="17">
        <v>1005001.0</v>
      </c>
      <c r="B8135" s="17">
        <v>6645000.0</v>
      </c>
    </row>
    <row r="8136">
      <c r="A8136" s="17">
        <v>1005001.0</v>
      </c>
      <c r="B8136" s="17">
        <v>6645100.0</v>
      </c>
    </row>
    <row r="8137">
      <c r="A8137" s="17">
        <v>1005001.0</v>
      </c>
      <c r="B8137" s="17">
        <v>6646000.0</v>
      </c>
    </row>
    <row r="8138">
      <c r="A8138" s="17">
        <v>1005001.0</v>
      </c>
      <c r="B8138" s="17">
        <v>6646100.0</v>
      </c>
    </row>
    <row r="8139">
      <c r="A8139" s="17">
        <v>1005001.0</v>
      </c>
      <c r="B8139" s="17">
        <v>6647000.0</v>
      </c>
    </row>
    <row r="8140">
      <c r="A8140" s="17">
        <v>1005001.0</v>
      </c>
      <c r="B8140" s="17">
        <v>6647100.0</v>
      </c>
    </row>
    <row r="8141">
      <c r="A8141" s="17">
        <v>1005002.0</v>
      </c>
      <c r="B8141" s="17">
        <v>7000000.0</v>
      </c>
    </row>
    <row r="8142">
      <c r="A8142" s="17">
        <v>1005002.0</v>
      </c>
      <c r="B8142" s="17">
        <v>7000001.0</v>
      </c>
    </row>
    <row r="8143">
      <c r="A8143" s="17">
        <v>1005002.0</v>
      </c>
      <c r="B8143" s="17">
        <v>7000002.0</v>
      </c>
    </row>
    <row r="8144">
      <c r="A8144" s="17">
        <v>1005002.0</v>
      </c>
      <c r="B8144" s="17">
        <v>7000100.0</v>
      </c>
    </row>
    <row r="8145">
      <c r="A8145" s="17">
        <v>1005002.0</v>
      </c>
      <c r="B8145" s="17">
        <v>7000101.0</v>
      </c>
    </row>
    <row r="8146">
      <c r="A8146" s="17">
        <v>1005002.0</v>
      </c>
      <c r="B8146" s="17">
        <v>7000102.0</v>
      </c>
    </row>
    <row r="8147">
      <c r="A8147" s="17">
        <v>1005002.0</v>
      </c>
      <c r="B8147" s="17">
        <v>7000200.0</v>
      </c>
    </row>
    <row r="8148">
      <c r="A8148" s="17">
        <v>1005002.0</v>
      </c>
      <c r="B8148" s="17">
        <v>7000201.0</v>
      </c>
    </row>
    <row r="8149">
      <c r="A8149" s="17">
        <v>1005002.0</v>
      </c>
      <c r="B8149" s="17">
        <v>7000202.0</v>
      </c>
    </row>
    <row r="8150">
      <c r="A8150" s="17">
        <v>1005002.0</v>
      </c>
      <c r="B8150" s="17">
        <v>7000300.0</v>
      </c>
    </row>
    <row r="8151">
      <c r="A8151" s="17">
        <v>1005002.0</v>
      </c>
      <c r="B8151" s="17">
        <v>7000301.0</v>
      </c>
    </row>
    <row r="8152">
      <c r="A8152" s="17">
        <v>1005002.0</v>
      </c>
      <c r="B8152" s="17">
        <v>7000302.0</v>
      </c>
    </row>
    <row r="8153">
      <c r="A8153" s="17">
        <v>1005002.0</v>
      </c>
      <c r="B8153" s="17">
        <v>7000400.0</v>
      </c>
    </row>
    <row r="8154">
      <c r="A8154" s="17">
        <v>1005002.0</v>
      </c>
      <c r="B8154" s="17">
        <v>7000401.0</v>
      </c>
    </row>
    <row r="8155">
      <c r="A8155" s="17">
        <v>1005002.0</v>
      </c>
      <c r="B8155" s="17">
        <v>7000402.0</v>
      </c>
    </row>
    <row r="8156">
      <c r="A8156" s="17">
        <v>1005002.0</v>
      </c>
      <c r="B8156" s="17">
        <v>7000500.0</v>
      </c>
    </row>
    <row r="8157">
      <c r="A8157" s="17">
        <v>1005002.0</v>
      </c>
      <c r="B8157" s="17">
        <v>7000501.0</v>
      </c>
    </row>
    <row r="8158">
      <c r="A8158" s="17">
        <v>1005002.0</v>
      </c>
      <c r="B8158" s="17">
        <v>7000502.0</v>
      </c>
    </row>
    <row r="8159">
      <c r="A8159" s="17">
        <v>1005002.0</v>
      </c>
      <c r="B8159" s="17">
        <v>7000600.0</v>
      </c>
    </row>
    <row r="8160">
      <c r="A8160" s="17">
        <v>1005002.0</v>
      </c>
      <c r="B8160" s="17">
        <v>7000601.0</v>
      </c>
    </row>
    <row r="8161">
      <c r="A8161" s="17">
        <v>1005002.0</v>
      </c>
      <c r="B8161" s="17">
        <v>7000602.0</v>
      </c>
    </row>
    <row r="8162">
      <c r="A8162" s="17">
        <v>1005002.0</v>
      </c>
      <c r="B8162" s="17">
        <v>7000700.0</v>
      </c>
    </row>
    <row r="8163">
      <c r="A8163" s="17">
        <v>1005002.0</v>
      </c>
      <c r="B8163" s="17">
        <v>7000701.0</v>
      </c>
    </row>
    <row r="8164">
      <c r="A8164" s="17">
        <v>1005002.0</v>
      </c>
      <c r="B8164" s="17">
        <v>7000702.0</v>
      </c>
    </row>
    <row r="8165">
      <c r="A8165" s="17">
        <v>1005002.0</v>
      </c>
      <c r="B8165" s="17">
        <v>7000800.0</v>
      </c>
    </row>
    <row r="8166">
      <c r="A8166" s="17">
        <v>1005002.0</v>
      </c>
      <c r="B8166" s="17">
        <v>7000801.0</v>
      </c>
    </row>
    <row r="8167">
      <c r="A8167" s="17">
        <v>1005002.0</v>
      </c>
      <c r="B8167" s="17">
        <v>7000802.0</v>
      </c>
    </row>
    <row r="8168">
      <c r="A8168" s="17">
        <v>1005002.0</v>
      </c>
      <c r="B8168" s="17">
        <v>7000900.0</v>
      </c>
    </row>
    <row r="8169">
      <c r="A8169" s="17">
        <v>1005002.0</v>
      </c>
      <c r="B8169" s="17">
        <v>7000901.0</v>
      </c>
    </row>
    <row r="8170">
      <c r="A8170" s="17">
        <v>1005002.0</v>
      </c>
      <c r="B8170" s="17">
        <v>7000902.0</v>
      </c>
    </row>
    <row r="8171">
      <c r="A8171" s="17">
        <v>1005002.0</v>
      </c>
      <c r="B8171" s="17">
        <v>7001000.0</v>
      </c>
    </row>
    <row r="8172">
      <c r="A8172" s="17">
        <v>1005002.0</v>
      </c>
      <c r="B8172" s="17">
        <v>7001001.0</v>
      </c>
    </row>
    <row r="8173">
      <c r="A8173" s="17">
        <v>1005002.0</v>
      </c>
      <c r="B8173" s="17">
        <v>7001002.0</v>
      </c>
    </row>
    <row r="8174">
      <c r="A8174" s="17">
        <v>1005002.0</v>
      </c>
      <c r="B8174" s="17">
        <v>7001400.0</v>
      </c>
    </row>
    <row r="8175">
      <c r="A8175" s="17">
        <v>1005002.0</v>
      </c>
      <c r="B8175" s="17">
        <v>7001401.0</v>
      </c>
    </row>
    <row r="8176">
      <c r="A8176" s="17">
        <v>1005002.0</v>
      </c>
      <c r="B8176" s="17">
        <v>7001402.0</v>
      </c>
    </row>
    <row r="8177">
      <c r="A8177" s="17">
        <v>1005002.0</v>
      </c>
      <c r="B8177" s="17">
        <v>7001500.0</v>
      </c>
    </row>
    <row r="8178">
      <c r="A8178" s="17">
        <v>1005002.0</v>
      </c>
      <c r="B8178" s="17">
        <v>7001501.0</v>
      </c>
    </row>
    <row r="8179">
      <c r="A8179" s="17">
        <v>1005002.0</v>
      </c>
      <c r="B8179" s="17">
        <v>7001502.0</v>
      </c>
    </row>
    <row r="8180">
      <c r="A8180" s="17">
        <v>1005002.0</v>
      </c>
      <c r="B8180" s="17">
        <v>7001600.0</v>
      </c>
    </row>
    <row r="8181">
      <c r="A8181" s="17">
        <v>1005002.0</v>
      </c>
      <c r="B8181" s="17">
        <v>7001601.0</v>
      </c>
    </row>
    <row r="8182">
      <c r="A8182" s="17">
        <v>1005002.0</v>
      </c>
      <c r="B8182" s="17">
        <v>7001602.0</v>
      </c>
    </row>
    <row r="8183">
      <c r="A8183" s="17">
        <v>1005002.0</v>
      </c>
      <c r="B8183" s="17">
        <v>7001700.0</v>
      </c>
    </row>
    <row r="8184">
      <c r="A8184" s="17">
        <v>1005002.0</v>
      </c>
      <c r="B8184" s="17">
        <v>7001701.0</v>
      </c>
    </row>
    <row r="8185">
      <c r="A8185" s="17">
        <v>1005002.0</v>
      </c>
      <c r="B8185" s="17">
        <v>7001702.0</v>
      </c>
    </row>
    <row r="8186">
      <c r="A8186" s="17">
        <v>1005002.0</v>
      </c>
      <c r="B8186" s="17">
        <v>7001800.0</v>
      </c>
    </row>
    <row r="8187">
      <c r="A8187" s="17">
        <v>1005002.0</v>
      </c>
      <c r="B8187" s="17">
        <v>7001801.0</v>
      </c>
    </row>
    <row r="8188">
      <c r="A8188" s="17">
        <v>1005002.0</v>
      </c>
      <c r="B8188" s="17">
        <v>7001802.0</v>
      </c>
    </row>
    <row r="8189">
      <c r="A8189" s="17">
        <v>1005002.0</v>
      </c>
      <c r="B8189" s="17">
        <v>7002600.0</v>
      </c>
    </row>
    <row r="8190">
      <c r="A8190" s="17">
        <v>1005002.0</v>
      </c>
      <c r="B8190" s="17">
        <v>7002700.0</v>
      </c>
    </row>
    <row r="8191">
      <c r="A8191" s="17">
        <v>1005002.0</v>
      </c>
      <c r="B8191" s="17">
        <v>7002800.0</v>
      </c>
    </row>
    <row r="8192">
      <c r="A8192" s="17">
        <v>1005002.0</v>
      </c>
      <c r="B8192" s="17">
        <v>7002900.0</v>
      </c>
    </row>
    <row r="8193">
      <c r="A8193" s="17">
        <v>1005002.0</v>
      </c>
      <c r="B8193" s="17">
        <v>7003000.0</v>
      </c>
    </row>
    <row r="8194">
      <c r="A8194" s="17">
        <v>1005002.0</v>
      </c>
      <c r="B8194" s="17">
        <v>7003100.0</v>
      </c>
    </row>
    <row r="8195">
      <c r="A8195" s="17">
        <v>1005002.0</v>
      </c>
      <c r="B8195" s="17">
        <v>7003200.0</v>
      </c>
    </row>
    <row r="8196">
      <c r="A8196" s="17">
        <v>1005002.0</v>
      </c>
      <c r="B8196" s="17">
        <v>7003300.0</v>
      </c>
    </row>
    <row r="8197">
      <c r="A8197" s="17">
        <v>1005002.0</v>
      </c>
      <c r="B8197" s="17">
        <v>7003400.0</v>
      </c>
    </row>
    <row r="8198">
      <c r="A8198" s="17">
        <v>1005002.0</v>
      </c>
      <c r="B8198" s="17">
        <v>7003500.0</v>
      </c>
    </row>
    <row r="8199">
      <c r="A8199" s="17">
        <v>1005002.0</v>
      </c>
      <c r="B8199" s="17">
        <v>7003600.0</v>
      </c>
    </row>
    <row r="8200">
      <c r="A8200" s="17">
        <v>1005002.0</v>
      </c>
      <c r="B8200" s="17">
        <v>7005600.0</v>
      </c>
    </row>
    <row r="8201">
      <c r="A8201" s="17">
        <v>1005002.0</v>
      </c>
      <c r="B8201" s="17">
        <v>7006000.0</v>
      </c>
    </row>
    <row r="8202">
      <c r="A8202" s="17">
        <v>1005002.0</v>
      </c>
      <c r="B8202" s="17">
        <v>7006100.0</v>
      </c>
    </row>
    <row r="8203">
      <c r="A8203" s="17">
        <v>1005002.0</v>
      </c>
      <c r="B8203" s="17">
        <v>7010200.0</v>
      </c>
    </row>
    <row r="8204">
      <c r="A8204" s="17">
        <v>1005002.0</v>
      </c>
      <c r="B8204" s="17">
        <v>7010500.0</v>
      </c>
    </row>
    <row r="8205">
      <c r="A8205" s="17">
        <v>1005002.0</v>
      </c>
      <c r="B8205" s="17">
        <v>7010700.0</v>
      </c>
    </row>
    <row r="8206">
      <c r="A8206" s="17">
        <v>1005002.0</v>
      </c>
      <c r="B8206" s="17">
        <v>7010900.0</v>
      </c>
    </row>
    <row r="8207">
      <c r="A8207" s="17">
        <v>1005002.0</v>
      </c>
      <c r="B8207" s="17">
        <v>7011000.0</v>
      </c>
    </row>
    <row r="8208">
      <c r="A8208" s="17">
        <v>1005002.0</v>
      </c>
      <c r="B8208" s="17">
        <v>7011200.0</v>
      </c>
    </row>
    <row r="8209">
      <c r="A8209" s="17">
        <v>1005002.0</v>
      </c>
      <c r="B8209" s="17">
        <v>7011600.0</v>
      </c>
    </row>
    <row r="8210">
      <c r="A8210" s="17">
        <v>1005002.0</v>
      </c>
      <c r="B8210" s="17">
        <v>7011700.0</v>
      </c>
    </row>
    <row r="8211">
      <c r="A8211" s="17">
        <v>1005002.0</v>
      </c>
      <c r="B8211" s="17">
        <v>7012000.0</v>
      </c>
    </row>
    <row r="8212">
      <c r="A8212" s="17">
        <v>1005002.0</v>
      </c>
      <c r="B8212" s="17">
        <v>7012200.0</v>
      </c>
    </row>
    <row r="8213">
      <c r="A8213" s="17">
        <v>1005002.0</v>
      </c>
      <c r="B8213" s="17">
        <v>7012300.0</v>
      </c>
    </row>
    <row r="8214">
      <c r="A8214" s="17">
        <v>1005002.0</v>
      </c>
      <c r="B8214" s="17">
        <v>7020000.0</v>
      </c>
    </row>
    <row r="8215">
      <c r="A8215" s="17">
        <v>1005002.0</v>
      </c>
      <c r="B8215" s="17">
        <v>7030000.0</v>
      </c>
    </row>
    <row r="8216">
      <c r="A8216" s="17">
        <v>1005002.0</v>
      </c>
      <c r="B8216" s="17">
        <v>7030200.0</v>
      </c>
    </row>
    <row r="8217">
      <c r="A8217" s="17">
        <v>1005002.0</v>
      </c>
      <c r="B8217" s="17">
        <v>7030600.0</v>
      </c>
    </row>
    <row r="8218">
      <c r="A8218" s="17">
        <v>1005002.0</v>
      </c>
      <c r="B8218" s="17">
        <v>7030700.0</v>
      </c>
    </row>
    <row r="8219">
      <c r="A8219" s="17">
        <v>1005002.0</v>
      </c>
      <c r="B8219" s="17">
        <v>7030800.0</v>
      </c>
    </row>
    <row r="8220">
      <c r="A8220" s="17">
        <v>1005002.0</v>
      </c>
      <c r="B8220" s="17">
        <v>7030900.0</v>
      </c>
    </row>
    <row r="8221">
      <c r="A8221" s="17">
        <v>1005002.0</v>
      </c>
      <c r="B8221" s="17">
        <v>7031200.0</v>
      </c>
    </row>
    <row r="8222">
      <c r="A8222" s="17">
        <v>1005002.0</v>
      </c>
      <c r="B8222" s="17">
        <v>7031300.0</v>
      </c>
    </row>
    <row r="8223">
      <c r="A8223" s="17">
        <v>1005002.0</v>
      </c>
      <c r="B8223" s="17">
        <v>7031800.0</v>
      </c>
    </row>
    <row r="8224">
      <c r="A8224" s="17">
        <v>1005002.0</v>
      </c>
      <c r="B8224" s="17">
        <v>7031900.0</v>
      </c>
    </row>
    <row r="8225">
      <c r="A8225" s="17">
        <v>1005002.0</v>
      </c>
      <c r="B8225" s="17">
        <v>7032200.0</v>
      </c>
    </row>
    <row r="8226">
      <c r="A8226" s="17">
        <v>1005002.0</v>
      </c>
      <c r="B8226" s="17">
        <v>7032400.0</v>
      </c>
    </row>
    <row r="8227">
      <c r="A8227" s="17">
        <v>1005002.0</v>
      </c>
      <c r="B8227" s="17">
        <v>7032700.0</v>
      </c>
    </row>
    <row r="8228">
      <c r="A8228" s="17">
        <v>1005002.0</v>
      </c>
      <c r="B8228" s="17">
        <v>7032800.0</v>
      </c>
    </row>
    <row r="8229">
      <c r="A8229" s="17">
        <v>1005002.0</v>
      </c>
      <c r="B8229" s="17">
        <v>7032900.0</v>
      </c>
    </row>
    <row r="8230">
      <c r="A8230" s="17">
        <v>1005002.0</v>
      </c>
      <c r="B8230" s="17">
        <v>7033200.0</v>
      </c>
    </row>
    <row r="8231">
      <c r="A8231" s="17">
        <v>1005002.0</v>
      </c>
      <c r="B8231" s="17">
        <v>7033400.0</v>
      </c>
    </row>
    <row r="8232">
      <c r="A8232" s="17">
        <v>1005002.0</v>
      </c>
      <c r="B8232" s="17">
        <v>7034100.0</v>
      </c>
    </row>
    <row r="8233">
      <c r="A8233" s="17">
        <v>1005002.0</v>
      </c>
      <c r="B8233" s="17">
        <v>7034400.0</v>
      </c>
    </row>
    <row r="8234">
      <c r="A8234" s="17">
        <v>1005002.0</v>
      </c>
      <c r="B8234" s="17">
        <v>7034500.0</v>
      </c>
    </row>
    <row r="8235">
      <c r="A8235" s="17">
        <v>1005002.0</v>
      </c>
      <c r="B8235" s="17">
        <v>7034600.0</v>
      </c>
    </row>
    <row r="8236">
      <c r="A8236" s="17">
        <v>1005002.0</v>
      </c>
      <c r="B8236" s="17">
        <v>7034700.0</v>
      </c>
    </row>
    <row r="8237">
      <c r="A8237" s="17">
        <v>1005002.0</v>
      </c>
      <c r="B8237" s="17">
        <v>7035100.0</v>
      </c>
    </row>
    <row r="8238">
      <c r="A8238" s="17">
        <v>1005002.0</v>
      </c>
      <c r="B8238" s="17">
        <v>7036100.0</v>
      </c>
    </row>
    <row r="8239">
      <c r="A8239" s="17">
        <v>1005002.0</v>
      </c>
      <c r="B8239" s="17">
        <v>7040000.0</v>
      </c>
    </row>
    <row r="8240">
      <c r="A8240" s="17">
        <v>1005002.0</v>
      </c>
      <c r="B8240" s="17">
        <v>7040100.0</v>
      </c>
    </row>
    <row r="8241">
      <c r="A8241" s="17">
        <v>1005002.0</v>
      </c>
      <c r="B8241" s="17">
        <v>7040200.0</v>
      </c>
    </row>
    <row r="8242">
      <c r="A8242" s="17">
        <v>1005002.0</v>
      </c>
      <c r="B8242" s="17">
        <v>7040300.0</v>
      </c>
    </row>
    <row r="8243">
      <c r="A8243" s="17">
        <v>1005002.0</v>
      </c>
      <c r="B8243" s="17">
        <v>7040400.0</v>
      </c>
    </row>
    <row r="8244">
      <c r="A8244" s="17">
        <v>1005002.0</v>
      </c>
      <c r="B8244" s="17">
        <v>7040500.0</v>
      </c>
    </row>
    <row r="8245">
      <c r="A8245" s="17">
        <v>1005002.0</v>
      </c>
      <c r="B8245" s="17">
        <v>7043000.0</v>
      </c>
    </row>
    <row r="8246">
      <c r="A8246" s="17">
        <v>1005002.0</v>
      </c>
      <c r="B8246" s="17">
        <v>7043100.0</v>
      </c>
    </row>
    <row r="8247">
      <c r="A8247" s="17">
        <v>1005002.0</v>
      </c>
      <c r="B8247" s="17">
        <v>7043200.0</v>
      </c>
    </row>
    <row r="8248">
      <c r="A8248" s="17">
        <v>1005002.0</v>
      </c>
      <c r="B8248" s="17">
        <v>7043300.0</v>
      </c>
    </row>
    <row r="8249">
      <c r="A8249" s="17">
        <v>1005002.0</v>
      </c>
      <c r="B8249" s="17">
        <v>7043400.0</v>
      </c>
    </row>
    <row r="8250">
      <c r="A8250" s="17">
        <v>1005002.0</v>
      </c>
      <c r="B8250" s="17">
        <v>7043500.0</v>
      </c>
    </row>
    <row r="8251">
      <c r="A8251" s="17">
        <v>1005002.0</v>
      </c>
      <c r="B8251" s="17">
        <v>7043600.0</v>
      </c>
    </row>
    <row r="8252">
      <c r="A8252" s="17">
        <v>1005002.0</v>
      </c>
      <c r="B8252" s="17">
        <v>7043700.0</v>
      </c>
    </row>
    <row r="8253">
      <c r="A8253" s="17">
        <v>1005002.0</v>
      </c>
      <c r="B8253" s="17">
        <v>7043800.0</v>
      </c>
    </row>
    <row r="8254">
      <c r="A8254" s="17">
        <v>1005002.0</v>
      </c>
      <c r="B8254" s="17">
        <v>7044000.0</v>
      </c>
    </row>
    <row r="8255">
      <c r="A8255" s="17">
        <v>1005002.0</v>
      </c>
      <c r="B8255" s="17">
        <v>7044100.0</v>
      </c>
    </row>
    <row r="8256">
      <c r="A8256" s="17">
        <v>1005002.0</v>
      </c>
      <c r="B8256" s="17">
        <v>7044200.0</v>
      </c>
    </row>
    <row r="8257">
      <c r="A8257" s="17">
        <v>1005002.0</v>
      </c>
      <c r="B8257" s="17">
        <v>7044300.0</v>
      </c>
    </row>
    <row r="8258">
      <c r="A8258" s="17">
        <v>1005002.0</v>
      </c>
      <c r="B8258" s="17">
        <v>7044400.0</v>
      </c>
    </row>
    <row r="8259">
      <c r="A8259" s="17">
        <v>1005002.0</v>
      </c>
      <c r="B8259" s="17">
        <v>7044500.0</v>
      </c>
    </row>
    <row r="8260">
      <c r="A8260" s="17">
        <v>1005002.0</v>
      </c>
      <c r="B8260" s="17">
        <v>7044600.0</v>
      </c>
    </row>
    <row r="8261">
      <c r="A8261" s="17">
        <v>1005002.0</v>
      </c>
      <c r="B8261" s="17">
        <v>7050000.0</v>
      </c>
    </row>
    <row r="8262">
      <c r="A8262" s="17">
        <v>1005002.0</v>
      </c>
      <c r="B8262" s="17">
        <v>7050100.0</v>
      </c>
    </row>
    <row r="8263">
      <c r="A8263" s="17">
        <v>1005002.0</v>
      </c>
      <c r="B8263" s="17">
        <v>7060000.0</v>
      </c>
    </row>
    <row r="8264">
      <c r="A8264" s="17">
        <v>1005002.0</v>
      </c>
      <c r="B8264" s="17">
        <v>7060100.0</v>
      </c>
    </row>
    <row r="8265">
      <c r="A8265" s="17">
        <v>1005002.0</v>
      </c>
      <c r="B8265" s="17">
        <v>7060200.0</v>
      </c>
    </row>
    <row r="8266">
      <c r="A8266" s="17">
        <v>1005002.0</v>
      </c>
      <c r="B8266" s="17">
        <v>7070000.0</v>
      </c>
    </row>
    <row r="8267">
      <c r="A8267" s="17">
        <v>1005002.0</v>
      </c>
      <c r="B8267" s="17">
        <v>7080000.0</v>
      </c>
    </row>
    <row r="8268">
      <c r="A8268" s="17">
        <v>1005002.0</v>
      </c>
      <c r="B8268" s="17">
        <v>7080100.0</v>
      </c>
    </row>
    <row r="8269">
      <c r="A8269" s="17">
        <v>1005002.0</v>
      </c>
      <c r="B8269" s="17">
        <v>7080200.0</v>
      </c>
    </row>
    <row r="8270">
      <c r="A8270" s="17">
        <v>1005002.0</v>
      </c>
      <c r="B8270" s="17">
        <v>7080300.0</v>
      </c>
    </row>
    <row r="8271">
      <c r="A8271" s="17">
        <v>1005002.0</v>
      </c>
      <c r="B8271" s="17">
        <v>7080400.0</v>
      </c>
    </row>
    <row r="8272">
      <c r="A8272" s="17">
        <v>1005002.0</v>
      </c>
      <c r="B8272" s="17">
        <v>7080500.0</v>
      </c>
    </row>
    <row r="8273">
      <c r="A8273" s="17">
        <v>1005002.0</v>
      </c>
      <c r="B8273" s="17">
        <v>7080600.0</v>
      </c>
    </row>
    <row r="8274">
      <c r="A8274" s="17">
        <v>1005002.0</v>
      </c>
      <c r="B8274" s="17">
        <v>7080700.0</v>
      </c>
    </row>
    <row r="8275">
      <c r="A8275" s="17">
        <v>1005002.0</v>
      </c>
      <c r="B8275" s="17">
        <v>7080800.0</v>
      </c>
    </row>
    <row r="8276">
      <c r="A8276" s="17">
        <v>1005002.0</v>
      </c>
      <c r="B8276" s="17">
        <v>7080900.0</v>
      </c>
    </row>
    <row r="8277">
      <c r="A8277" s="17">
        <v>1005002.0</v>
      </c>
      <c r="B8277" s="17">
        <v>7081000.0</v>
      </c>
    </row>
    <row r="8278">
      <c r="A8278" s="17">
        <v>1005002.0</v>
      </c>
      <c r="B8278" s="17">
        <v>7081100.0</v>
      </c>
    </row>
    <row r="8279">
      <c r="A8279" s="17">
        <v>1005002.0</v>
      </c>
      <c r="B8279" s="17">
        <v>7081200.0</v>
      </c>
    </row>
    <row r="8280">
      <c r="A8280" s="17">
        <v>1005002.0</v>
      </c>
      <c r="B8280" s="17">
        <v>7081300.0</v>
      </c>
    </row>
    <row r="8281">
      <c r="A8281" s="17">
        <v>1005002.0</v>
      </c>
      <c r="B8281" s="17">
        <v>7081400.0</v>
      </c>
    </row>
    <row r="8282">
      <c r="A8282" s="17">
        <v>1005002.0</v>
      </c>
      <c r="B8282" s="17">
        <v>7081500.0</v>
      </c>
    </row>
    <row r="8283">
      <c r="A8283" s="17">
        <v>1005002.0</v>
      </c>
      <c r="B8283" s="17">
        <v>7081700.0</v>
      </c>
    </row>
    <row r="8284">
      <c r="A8284" s="17">
        <v>1005002.0</v>
      </c>
      <c r="B8284" s="17">
        <v>7081800.0</v>
      </c>
    </row>
    <row r="8285">
      <c r="A8285" s="17">
        <v>1005002.0</v>
      </c>
      <c r="B8285" s="17">
        <v>7081900.0</v>
      </c>
    </row>
    <row r="8286">
      <c r="A8286" s="17">
        <v>1005002.0</v>
      </c>
      <c r="B8286" s="17">
        <v>7082000.0</v>
      </c>
    </row>
    <row r="8287">
      <c r="A8287" s="17">
        <v>1005002.0</v>
      </c>
      <c r="B8287" s="17">
        <v>7082100.0</v>
      </c>
    </row>
    <row r="8288">
      <c r="A8288" s="17">
        <v>1005002.0</v>
      </c>
      <c r="B8288" s="17">
        <v>7082200.0</v>
      </c>
    </row>
    <row r="8289">
      <c r="A8289" s="17">
        <v>1005002.0</v>
      </c>
      <c r="B8289" s="17">
        <v>7082300.0</v>
      </c>
    </row>
    <row r="8290">
      <c r="A8290" s="17">
        <v>1005002.0</v>
      </c>
      <c r="B8290" s="17">
        <v>7082400.0</v>
      </c>
    </row>
    <row r="8291">
      <c r="A8291" s="17">
        <v>1005002.0</v>
      </c>
      <c r="B8291" s="17">
        <v>7082500.0</v>
      </c>
    </row>
    <row r="8292">
      <c r="A8292" s="17">
        <v>1005002.0</v>
      </c>
      <c r="B8292" s="17">
        <v>7082600.0</v>
      </c>
    </row>
    <row r="8293">
      <c r="A8293" s="17">
        <v>1005002.0</v>
      </c>
      <c r="B8293" s="17">
        <v>7082700.0</v>
      </c>
    </row>
    <row r="8294">
      <c r="A8294" s="17">
        <v>1005002.0</v>
      </c>
      <c r="B8294" s="17">
        <v>7082800.0</v>
      </c>
    </row>
    <row r="8295">
      <c r="A8295" s="17">
        <v>1005002.0</v>
      </c>
      <c r="B8295" s="17">
        <v>7082900.0</v>
      </c>
    </row>
    <row r="8296">
      <c r="A8296" s="17">
        <v>1005002.0</v>
      </c>
      <c r="B8296" s="17">
        <v>7090000.0</v>
      </c>
    </row>
    <row r="8297">
      <c r="A8297" s="17">
        <v>1005002.0</v>
      </c>
      <c r="B8297" s="17">
        <v>7090100.0</v>
      </c>
    </row>
    <row r="8298">
      <c r="A8298" s="17">
        <v>1005002.0</v>
      </c>
      <c r="B8298" s="17">
        <v>7090300.0</v>
      </c>
    </row>
    <row r="8299">
      <c r="A8299" s="17">
        <v>1005002.0</v>
      </c>
      <c r="B8299" s="17">
        <v>7100100.0</v>
      </c>
    </row>
    <row r="8300">
      <c r="A8300" s="17">
        <v>1005002.0</v>
      </c>
      <c r="B8300" s="17">
        <v>7110000.0</v>
      </c>
    </row>
    <row r="8301">
      <c r="A8301" s="17">
        <v>1005002.0</v>
      </c>
      <c r="B8301" s="17">
        <v>7120000.0</v>
      </c>
    </row>
    <row r="8302">
      <c r="A8302" s="17">
        <v>1005002.0</v>
      </c>
      <c r="B8302" s="17">
        <v>7120100.0</v>
      </c>
    </row>
    <row r="8303">
      <c r="A8303" s="17">
        <v>1005002.0</v>
      </c>
      <c r="B8303" s="17">
        <v>7120200.0</v>
      </c>
    </row>
    <row r="8304">
      <c r="A8304" s="17">
        <v>1005002.0</v>
      </c>
      <c r="B8304" s="17">
        <v>7120300.0</v>
      </c>
    </row>
    <row r="8305">
      <c r="A8305" s="17">
        <v>1005002.0</v>
      </c>
      <c r="B8305" s="17">
        <v>7120400.0</v>
      </c>
    </row>
    <row r="8306">
      <c r="A8306" s="17">
        <v>1005002.0</v>
      </c>
      <c r="B8306" s="17">
        <v>7120500.0</v>
      </c>
    </row>
    <row r="8307">
      <c r="A8307" s="17">
        <v>1005002.0</v>
      </c>
      <c r="B8307" s="17">
        <v>7120600.0</v>
      </c>
    </row>
    <row r="8308">
      <c r="A8308" s="17">
        <v>1005002.0</v>
      </c>
      <c r="B8308" s="17">
        <v>7120900.0</v>
      </c>
    </row>
    <row r="8309">
      <c r="A8309" s="17">
        <v>1005002.0</v>
      </c>
      <c r="B8309" s="17">
        <v>7121000.0</v>
      </c>
    </row>
    <row r="8310">
      <c r="A8310" s="17">
        <v>1005002.0</v>
      </c>
      <c r="B8310" s="17">
        <v>7121100.0</v>
      </c>
    </row>
    <row r="8311">
      <c r="A8311" s="17">
        <v>1005002.0</v>
      </c>
      <c r="B8311" s="17">
        <v>7121200.0</v>
      </c>
    </row>
    <row r="8312">
      <c r="A8312" s="17">
        <v>1005002.0</v>
      </c>
      <c r="B8312" s="17">
        <v>7121300.0</v>
      </c>
    </row>
    <row r="8313">
      <c r="A8313" s="17">
        <v>1005002.0</v>
      </c>
      <c r="B8313" s="17">
        <v>7121400.0</v>
      </c>
    </row>
    <row r="8314">
      <c r="A8314" s="17">
        <v>1005002.0</v>
      </c>
      <c r="B8314" s="17">
        <v>7121500.0</v>
      </c>
    </row>
    <row r="8315">
      <c r="A8315" s="17">
        <v>1005002.0</v>
      </c>
      <c r="B8315" s="17">
        <v>7121600.0</v>
      </c>
    </row>
    <row r="8316">
      <c r="A8316" s="17">
        <v>1005002.0</v>
      </c>
      <c r="B8316" s="17">
        <v>7121700.0</v>
      </c>
    </row>
    <row r="8317">
      <c r="A8317" s="17">
        <v>1005002.0</v>
      </c>
      <c r="B8317" s="17">
        <v>7121800.0</v>
      </c>
    </row>
    <row r="8318">
      <c r="A8318" s="17">
        <v>1005002.0</v>
      </c>
      <c r="B8318" s="17">
        <v>7121900.0</v>
      </c>
    </row>
    <row r="8319">
      <c r="A8319" s="17">
        <v>1005002.0</v>
      </c>
      <c r="B8319" s="17">
        <v>7122000.0</v>
      </c>
    </row>
    <row r="8320">
      <c r="A8320" s="17">
        <v>1005002.0</v>
      </c>
      <c r="B8320" s="17">
        <v>7122100.0</v>
      </c>
    </row>
    <row r="8321">
      <c r="A8321" s="17">
        <v>1005002.0</v>
      </c>
      <c r="B8321" s="17">
        <v>7122200.0</v>
      </c>
    </row>
    <row r="8322">
      <c r="A8322" s="17">
        <v>1005002.0</v>
      </c>
      <c r="B8322" s="17">
        <v>7122300.0</v>
      </c>
    </row>
    <row r="8323">
      <c r="A8323" s="17">
        <v>1005002.0</v>
      </c>
      <c r="B8323" s="17">
        <v>7122400.0</v>
      </c>
    </row>
    <row r="8324">
      <c r="A8324" s="17">
        <v>1005002.0</v>
      </c>
      <c r="B8324" s="17">
        <v>7122500.0</v>
      </c>
    </row>
    <row r="8325">
      <c r="A8325" s="17">
        <v>1005002.0</v>
      </c>
      <c r="B8325" s="17">
        <v>7122600.0</v>
      </c>
    </row>
    <row r="8326">
      <c r="A8326" s="17">
        <v>1005002.0</v>
      </c>
      <c r="B8326" s="17">
        <v>7122700.0</v>
      </c>
    </row>
    <row r="8327">
      <c r="A8327" s="17">
        <v>1005002.0</v>
      </c>
      <c r="B8327" s="17">
        <v>7122800.0</v>
      </c>
    </row>
    <row r="8328">
      <c r="A8328" s="17">
        <v>1005002.0</v>
      </c>
      <c r="B8328" s="17">
        <v>7122900.0</v>
      </c>
    </row>
    <row r="8329">
      <c r="A8329" s="17">
        <v>1005002.0</v>
      </c>
      <c r="B8329" s="17">
        <v>7123000.0</v>
      </c>
    </row>
    <row r="8330">
      <c r="A8330" s="17">
        <v>1005002.0</v>
      </c>
      <c r="B8330" s="17">
        <v>7123100.0</v>
      </c>
    </row>
    <row r="8331">
      <c r="A8331" s="17">
        <v>1005002.0</v>
      </c>
      <c r="B8331" s="17">
        <v>7123200.0</v>
      </c>
    </row>
    <row r="8332">
      <c r="A8332" s="17">
        <v>1005002.0</v>
      </c>
      <c r="B8332" s="17">
        <v>7123300.0</v>
      </c>
    </row>
    <row r="8333">
      <c r="A8333" s="17">
        <v>1005002.0</v>
      </c>
      <c r="B8333" s="17">
        <v>7123400.0</v>
      </c>
    </row>
    <row r="8334">
      <c r="A8334" s="17">
        <v>1005002.0</v>
      </c>
      <c r="B8334" s="17">
        <v>7123500.0</v>
      </c>
    </row>
    <row r="8335">
      <c r="A8335" s="17">
        <v>1005002.0</v>
      </c>
      <c r="B8335" s="17">
        <v>7123600.0</v>
      </c>
    </row>
    <row r="8336">
      <c r="A8336" s="17">
        <v>1005002.0</v>
      </c>
      <c r="B8336" s="17">
        <v>7123700.0</v>
      </c>
    </row>
    <row r="8337">
      <c r="A8337" s="17">
        <v>1005002.0</v>
      </c>
      <c r="B8337" s="17">
        <v>7123800.0</v>
      </c>
    </row>
    <row r="8338">
      <c r="A8338" s="17">
        <v>1005002.0</v>
      </c>
      <c r="B8338" s="17">
        <v>7123900.0</v>
      </c>
    </row>
    <row r="8339">
      <c r="A8339" s="17">
        <v>1005002.0</v>
      </c>
      <c r="B8339" s="17">
        <v>7124000.0</v>
      </c>
    </row>
    <row r="8340">
      <c r="A8340" s="17">
        <v>1005002.0</v>
      </c>
      <c r="B8340" s="17">
        <v>7124100.0</v>
      </c>
    </row>
    <row r="8341">
      <c r="A8341" s="17">
        <v>1005002.0</v>
      </c>
      <c r="B8341" s="17">
        <v>7124300.0</v>
      </c>
    </row>
    <row r="8342">
      <c r="A8342" s="17">
        <v>1005002.0</v>
      </c>
      <c r="B8342" s="17">
        <v>7124400.0</v>
      </c>
    </row>
    <row r="8343">
      <c r="A8343" s="17">
        <v>1005002.0</v>
      </c>
      <c r="B8343" s="17">
        <v>7124500.0</v>
      </c>
    </row>
    <row r="8344">
      <c r="A8344" s="17">
        <v>1005002.0</v>
      </c>
      <c r="B8344" s="17">
        <v>7124600.0</v>
      </c>
    </row>
    <row r="8345">
      <c r="A8345" s="17">
        <v>1005002.0</v>
      </c>
      <c r="B8345" s="17">
        <v>7124700.0</v>
      </c>
    </row>
    <row r="8346">
      <c r="A8346" s="17">
        <v>1005002.0</v>
      </c>
      <c r="B8346" s="17">
        <v>7126000.0</v>
      </c>
    </row>
    <row r="8347">
      <c r="A8347" s="17">
        <v>1005002.0</v>
      </c>
      <c r="B8347" s="17">
        <v>7150000.0</v>
      </c>
    </row>
    <row r="8348">
      <c r="A8348" s="17">
        <v>1005002.0</v>
      </c>
      <c r="B8348" s="17">
        <v>7160000.0</v>
      </c>
    </row>
    <row r="8349">
      <c r="A8349" s="17">
        <v>1005002.0</v>
      </c>
      <c r="B8349" s="17">
        <v>7220000.0</v>
      </c>
    </row>
    <row r="8350">
      <c r="A8350" s="17">
        <v>1005002.0</v>
      </c>
      <c r="B8350" s="17">
        <v>7230000.0</v>
      </c>
    </row>
    <row r="8351">
      <c r="A8351" s="17">
        <v>1005002.0</v>
      </c>
      <c r="B8351" s="17">
        <v>7240000.0</v>
      </c>
    </row>
    <row r="8352">
      <c r="A8352" s="17">
        <v>1005002.0</v>
      </c>
      <c r="B8352" s="17">
        <v>7260000.0</v>
      </c>
    </row>
    <row r="8353">
      <c r="A8353" s="17">
        <v>1005002.0</v>
      </c>
      <c r="B8353" s="17">
        <v>7260300.0</v>
      </c>
    </row>
    <row r="8354">
      <c r="A8354" s="17">
        <v>1005002.0</v>
      </c>
      <c r="B8354" s="17">
        <v>7260400.0</v>
      </c>
    </row>
    <row r="8355">
      <c r="A8355" s="17">
        <v>1005002.0</v>
      </c>
      <c r="B8355" s="17">
        <v>7270100.0</v>
      </c>
    </row>
    <row r="8356">
      <c r="A8356" s="17">
        <v>1005002.0</v>
      </c>
      <c r="B8356" s="17">
        <v>7280000.0</v>
      </c>
    </row>
    <row r="8357">
      <c r="A8357" s="17">
        <v>1005002.0</v>
      </c>
      <c r="B8357" s="17">
        <v>7290000.0</v>
      </c>
    </row>
    <row r="8358">
      <c r="A8358" s="17">
        <v>1005002.0</v>
      </c>
      <c r="B8358" s="17">
        <v>7310000.0</v>
      </c>
    </row>
    <row r="8359">
      <c r="A8359" s="17">
        <v>1005002.0</v>
      </c>
      <c r="B8359" s="17">
        <v>7330000.0</v>
      </c>
    </row>
    <row r="8360">
      <c r="A8360" s="17">
        <v>1005002.0</v>
      </c>
      <c r="B8360" s="17">
        <v>7330100.0</v>
      </c>
    </row>
    <row r="8361">
      <c r="A8361" s="17">
        <v>1005002.0</v>
      </c>
      <c r="B8361" s="17">
        <v>7330200.0</v>
      </c>
    </row>
    <row r="8362">
      <c r="A8362" s="17">
        <v>1005002.0</v>
      </c>
      <c r="B8362" s="17">
        <v>7330300.0</v>
      </c>
    </row>
    <row r="8363">
      <c r="A8363" s="17">
        <v>1005002.0</v>
      </c>
      <c r="B8363" s="17">
        <v>7330400.0</v>
      </c>
    </row>
    <row r="8364">
      <c r="A8364" s="17">
        <v>1005002.0</v>
      </c>
      <c r="B8364" s="17">
        <v>7330500.0</v>
      </c>
    </row>
    <row r="8365">
      <c r="A8365" s="17">
        <v>1005002.0</v>
      </c>
      <c r="B8365" s="17">
        <v>7330600.0</v>
      </c>
    </row>
    <row r="8366">
      <c r="A8366" s="17">
        <v>1005002.0</v>
      </c>
      <c r="B8366" s="17">
        <v>7330700.0</v>
      </c>
    </row>
    <row r="8367">
      <c r="A8367" s="17">
        <v>1005002.0</v>
      </c>
      <c r="B8367" s="17">
        <v>7330800.0</v>
      </c>
    </row>
    <row r="8368">
      <c r="A8368" s="17">
        <v>1005002.0</v>
      </c>
      <c r="B8368" s="17">
        <v>7330900.0</v>
      </c>
    </row>
    <row r="8369">
      <c r="A8369" s="17">
        <v>1005002.0</v>
      </c>
      <c r="B8369" s="17">
        <v>7331000.0</v>
      </c>
    </row>
    <row r="8370">
      <c r="A8370" s="17">
        <v>1005002.0</v>
      </c>
      <c r="B8370" s="17">
        <v>7331100.0</v>
      </c>
    </row>
    <row r="8371">
      <c r="A8371" s="17">
        <v>1005002.0</v>
      </c>
      <c r="B8371" s="17">
        <v>7331200.0</v>
      </c>
    </row>
    <row r="8372">
      <c r="A8372" s="17">
        <v>1005002.0</v>
      </c>
      <c r="B8372" s="17">
        <v>7331300.0</v>
      </c>
    </row>
    <row r="8373">
      <c r="A8373" s="17">
        <v>1005002.0</v>
      </c>
      <c r="B8373" s="17">
        <v>7331400.0</v>
      </c>
    </row>
    <row r="8374">
      <c r="A8374" s="17">
        <v>1005002.0</v>
      </c>
      <c r="B8374" s="17">
        <v>7331500.0</v>
      </c>
    </row>
    <row r="8375">
      <c r="A8375" s="17">
        <v>1005002.0</v>
      </c>
      <c r="B8375" s="17">
        <v>7331700.0</v>
      </c>
    </row>
    <row r="8376">
      <c r="A8376" s="17">
        <v>1005002.0</v>
      </c>
      <c r="B8376" s="17">
        <v>7331800.0</v>
      </c>
    </row>
    <row r="8377">
      <c r="A8377" s="17">
        <v>1005002.0</v>
      </c>
      <c r="B8377" s="17">
        <v>7331900.0</v>
      </c>
    </row>
    <row r="8378">
      <c r="A8378" s="17">
        <v>1005002.0</v>
      </c>
      <c r="B8378" s="17">
        <v>7332000.0</v>
      </c>
    </row>
    <row r="8379">
      <c r="A8379" s="17">
        <v>1005002.0</v>
      </c>
      <c r="B8379" s="17">
        <v>7332100.0</v>
      </c>
    </row>
    <row r="8380">
      <c r="A8380" s="17">
        <v>1005002.0</v>
      </c>
      <c r="B8380" s="17">
        <v>7332200.0</v>
      </c>
    </row>
    <row r="8381">
      <c r="A8381" s="17">
        <v>1005002.0</v>
      </c>
      <c r="B8381" s="17">
        <v>7332300.0</v>
      </c>
    </row>
    <row r="8382">
      <c r="A8382" s="17">
        <v>1005002.0</v>
      </c>
      <c r="B8382" s="17">
        <v>7332400.0</v>
      </c>
    </row>
    <row r="8383">
      <c r="A8383" s="17">
        <v>1005002.0</v>
      </c>
      <c r="B8383" s="17">
        <v>7340000.0</v>
      </c>
    </row>
    <row r="8384">
      <c r="A8384" s="17">
        <v>1005002.0</v>
      </c>
      <c r="B8384" s="17">
        <v>7340100.0</v>
      </c>
    </row>
    <row r="8385">
      <c r="A8385" s="17">
        <v>1005002.0</v>
      </c>
      <c r="B8385" s="17">
        <v>7340200.0</v>
      </c>
    </row>
    <row r="8386">
      <c r="A8386" s="17">
        <v>1005002.0</v>
      </c>
      <c r="B8386" s="17">
        <v>7340300.0</v>
      </c>
    </row>
    <row r="8387">
      <c r="A8387" s="17">
        <v>1005002.0</v>
      </c>
      <c r="B8387" s="17">
        <v>7340400.0</v>
      </c>
    </row>
    <row r="8388">
      <c r="A8388" s="17">
        <v>1005002.0</v>
      </c>
      <c r="B8388" s="17">
        <v>7340500.0</v>
      </c>
    </row>
    <row r="8389">
      <c r="A8389" s="17">
        <v>1005002.0</v>
      </c>
      <c r="B8389" s="17">
        <v>7340600.0</v>
      </c>
    </row>
    <row r="8390">
      <c r="A8390" s="17">
        <v>1005002.0</v>
      </c>
      <c r="B8390" s="17">
        <v>7340700.0</v>
      </c>
    </row>
    <row r="8391">
      <c r="A8391" s="17">
        <v>1005002.0</v>
      </c>
      <c r="B8391" s="17">
        <v>7340800.0</v>
      </c>
    </row>
    <row r="8392">
      <c r="A8392" s="17">
        <v>1005002.0</v>
      </c>
      <c r="B8392" s="17">
        <v>7340900.0</v>
      </c>
    </row>
    <row r="8393">
      <c r="A8393" s="17">
        <v>1005002.0</v>
      </c>
      <c r="B8393" s="17">
        <v>7341000.0</v>
      </c>
    </row>
    <row r="8394">
      <c r="A8394" s="17">
        <v>1005002.0</v>
      </c>
      <c r="B8394" s="17">
        <v>7341100.0</v>
      </c>
    </row>
    <row r="8395">
      <c r="A8395" s="17">
        <v>1005002.0</v>
      </c>
      <c r="B8395" s="17">
        <v>7341200.0</v>
      </c>
    </row>
    <row r="8396">
      <c r="A8396" s="17">
        <v>1005002.0</v>
      </c>
      <c r="B8396" s="17">
        <v>7341300.0</v>
      </c>
    </row>
    <row r="8397">
      <c r="A8397" s="17">
        <v>1005002.0</v>
      </c>
      <c r="B8397" s="17">
        <v>7341400.0</v>
      </c>
    </row>
    <row r="8398">
      <c r="A8398" s="17">
        <v>1005002.0</v>
      </c>
      <c r="B8398" s="17">
        <v>7341500.0</v>
      </c>
    </row>
    <row r="8399">
      <c r="A8399" s="17">
        <v>1005002.0</v>
      </c>
      <c r="B8399" s="17">
        <v>7341700.0</v>
      </c>
    </row>
    <row r="8400">
      <c r="A8400" s="17">
        <v>1005002.0</v>
      </c>
      <c r="B8400" s="17">
        <v>7341800.0</v>
      </c>
    </row>
    <row r="8401">
      <c r="A8401" s="17">
        <v>1005002.0</v>
      </c>
      <c r="B8401" s="17">
        <v>7341900.0</v>
      </c>
    </row>
    <row r="8402">
      <c r="A8402" s="17">
        <v>1005002.0</v>
      </c>
      <c r="B8402" s="17">
        <v>7342000.0</v>
      </c>
    </row>
    <row r="8403">
      <c r="A8403" s="17">
        <v>1005002.0</v>
      </c>
      <c r="B8403" s="17">
        <v>7342100.0</v>
      </c>
    </row>
    <row r="8404">
      <c r="A8404" s="17">
        <v>1005002.0</v>
      </c>
      <c r="B8404" s="17">
        <v>7342200.0</v>
      </c>
    </row>
    <row r="8405">
      <c r="A8405" s="17">
        <v>1005002.0</v>
      </c>
      <c r="B8405" s="17">
        <v>7342300.0</v>
      </c>
    </row>
    <row r="8406">
      <c r="A8406" s="17">
        <v>1005002.0</v>
      </c>
      <c r="B8406" s="17">
        <v>7342400.0</v>
      </c>
    </row>
    <row r="8407">
      <c r="A8407" s="17">
        <v>1005002.0</v>
      </c>
      <c r="B8407" s="17">
        <v>7350000.0</v>
      </c>
    </row>
    <row r="8408">
      <c r="A8408" s="17">
        <v>1005002.0</v>
      </c>
      <c r="B8408" s="17">
        <v>7350100.0</v>
      </c>
    </row>
    <row r="8409">
      <c r="A8409" s="17">
        <v>1005002.0</v>
      </c>
      <c r="B8409" s="17">
        <v>7350200.0</v>
      </c>
    </row>
    <row r="8410">
      <c r="A8410" s="17">
        <v>1005002.0</v>
      </c>
      <c r="B8410" s="17">
        <v>7350300.0</v>
      </c>
    </row>
    <row r="8411">
      <c r="A8411" s="17">
        <v>1005002.0</v>
      </c>
      <c r="B8411" s="17">
        <v>7350400.0</v>
      </c>
    </row>
    <row r="8412">
      <c r="A8412" s="17">
        <v>1005002.0</v>
      </c>
      <c r="B8412" s="17">
        <v>7350500.0</v>
      </c>
    </row>
    <row r="8413">
      <c r="A8413" s="17">
        <v>1005002.0</v>
      </c>
      <c r="B8413" s="17">
        <v>7350600.0</v>
      </c>
    </row>
    <row r="8414">
      <c r="A8414" s="17">
        <v>1005002.0</v>
      </c>
      <c r="B8414" s="17">
        <v>7350700.0</v>
      </c>
    </row>
    <row r="8415">
      <c r="A8415" s="17">
        <v>1005002.0</v>
      </c>
      <c r="B8415" s="17">
        <v>7350800.0</v>
      </c>
    </row>
    <row r="8416">
      <c r="A8416" s="17">
        <v>1005002.0</v>
      </c>
      <c r="B8416" s="17">
        <v>7350900.0</v>
      </c>
    </row>
    <row r="8417">
      <c r="A8417" s="17">
        <v>1005002.0</v>
      </c>
      <c r="B8417" s="17">
        <v>7351000.0</v>
      </c>
    </row>
    <row r="8418">
      <c r="A8418" s="17">
        <v>1005002.0</v>
      </c>
      <c r="B8418" s="17">
        <v>7351100.0</v>
      </c>
    </row>
    <row r="8419">
      <c r="A8419" s="17">
        <v>1005002.0</v>
      </c>
      <c r="B8419" s="17">
        <v>7351200.0</v>
      </c>
    </row>
    <row r="8420">
      <c r="A8420" s="17">
        <v>1005002.0</v>
      </c>
      <c r="B8420" s="17">
        <v>7351300.0</v>
      </c>
    </row>
    <row r="8421">
      <c r="A8421" s="17">
        <v>1005002.0</v>
      </c>
      <c r="B8421" s="17">
        <v>7351400.0</v>
      </c>
    </row>
    <row r="8422">
      <c r="A8422" s="17">
        <v>1005002.0</v>
      </c>
      <c r="B8422" s="17">
        <v>7351500.0</v>
      </c>
    </row>
    <row r="8423">
      <c r="A8423" s="17">
        <v>1005002.0</v>
      </c>
      <c r="B8423" s="17">
        <v>7351700.0</v>
      </c>
    </row>
    <row r="8424">
      <c r="A8424" s="17">
        <v>1005002.0</v>
      </c>
      <c r="B8424" s="17">
        <v>7351800.0</v>
      </c>
    </row>
    <row r="8425">
      <c r="A8425" s="17">
        <v>1005002.0</v>
      </c>
      <c r="B8425" s="17">
        <v>7351900.0</v>
      </c>
    </row>
    <row r="8426">
      <c r="A8426" s="17">
        <v>1005002.0</v>
      </c>
      <c r="B8426" s="17">
        <v>7352000.0</v>
      </c>
    </row>
    <row r="8427">
      <c r="A8427" s="17">
        <v>1005002.0</v>
      </c>
      <c r="B8427" s="17">
        <v>7352100.0</v>
      </c>
    </row>
    <row r="8428">
      <c r="A8428" s="17">
        <v>1005002.0</v>
      </c>
      <c r="B8428" s="17">
        <v>7352200.0</v>
      </c>
    </row>
    <row r="8429">
      <c r="A8429" s="17">
        <v>1005002.0</v>
      </c>
      <c r="B8429" s="17">
        <v>7352300.0</v>
      </c>
    </row>
    <row r="8430">
      <c r="A8430" s="17">
        <v>1005002.0</v>
      </c>
      <c r="B8430" s="17">
        <v>7352400.0</v>
      </c>
    </row>
    <row r="8431">
      <c r="A8431" s="17">
        <v>1005002.0</v>
      </c>
      <c r="B8431" s="17">
        <v>7360600.0</v>
      </c>
    </row>
    <row r="8432">
      <c r="A8432" s="17">
        <v>1005002.0</v>
      </c>
      <c r="B8432" s="17">
        <v>7360900.0</v>
      </c>
    </row>
    <row r="8433">
      <c r="A8433" s="17">
        <v>1005002.0</v>
      </c>
      <c r="B8433" s="17">
        <v>7361200.0</v>
      </c>
    </row>
    <row r="8434">
      <c r="A8434" s="17">
        <v>1005002.0</v>
      </c>
      <c r="B8434" s="17">
        <v>7361300.0</v>
      </c>
    </row>
    <row r="8435">
      <c r="A8435" s="17">
        <v>1005002.0</v>
      </c>
      <c r="B8435" s="17">
        <v>7362100.0</v>
      </c>
    </row>
    <row r="8436">
      <c r="A8436" s="17">
        <v>1005002.0</v>
      </c>
      <c r="B8436" s="17">
        <v>7370300.0</v>
      </c>
    </row>
    <row r="8437">
      <c r="A8437" s="17">
        <v>1005002.0</v>
      </c>
      <c r="B8437" s="17">
        <v>7370400.0</v>
      </c>
    </row>
    <row r="8438">
      <c r="A8438" s="17">
        <v>1005002.0</v>
      </c>
      <c r="B8438" s="17">
        <v>7370600.0</v>
      </c>
    </row>
    <row r="8439">
      <c r="A8439" s="17">
        <v>1005002.0</v>
      </c>
      <c r="B8439" s="17">
        <v>7370900.0</v>
      </c>
    </row>
    <row r="8440">
      <c r="A8440" s="17">
        <v>1005002.0</v>
      </c>
      <c r="B8440" s="17">
        <v>7371500.0</v>
      </c>
    </row>
    <row r="8441">
      <c r="A8441" s="17">
        <v>1005002.0</v>
      </c>
      <c r="B8441" s="17">
        <v>7036200.0</v>
      </c>
    </row>
    <row r="8442">
      <c r="A8442" s="17">
        <v>1005002.0</v>
      </c>
      <c r="B8442" s="17">
        <v>7036300.0</v>
      </c>
    </row>
    <row r="8443">
      <c r="A8443" s="17">
        <v>1005002.0</v>
      </c>
      <c r="B8443" s="17">
        <v>7036400.0</v>
      </c>
    </row>
    <row r="8444">
      <c r="A8444" s="17">
        <v>1005002.0</v>
      </c>
      <c r="B8444" s="17">
        <v>7036500.0</v>
      </c>
    </row>
    <row r="8445">
      <c r="A8445" s="17">
        <v>1005002.0</v>
      </c>
      <c r="B8445" s="17">
        <v>7036800.0</v>
      </c>
    </row>
    <row r="8446">
      <c r="A8446" s="17">
        <v>1005002.0</v>
      </c>
      <c r="B8446" s="17">
        <v>7036900.0</v>
      </c>
    </row>
    <row r="8447">
      <c r="A8447" s="17">
        <v>1005002.0</v>
      </c>
      <c r="B8447" s="17">
        <v>7037000.0</v>
      </c>
    </row>
    <row r="8448">
      <c r="A8448" s="17">
        <v>1005002.0</v>
      </c>
      <c r="B8448" s="17">
        <v>7037300.0</v>
      </c>
    </row>
    <row r="8449">
      <c r="A8449" s="17">
        <v>1005002.0</v>
      </c>
      <c r="B8449" s="17">
        <v>6630000.0</v>
      </c>
    </row>
    <row r="8450">
      <c r="A8450" s="17">
        <v>1005002.0</v>
      </c>
      <c r="B8450" s="17">
        <v>6630100.0</v>
      </c>
    </row>
    <row r="8451">
      <c r="A8451" s="17">
        <v>1005002.0</v>
      </c>
      <c r="B8451" s="17">
        <v>6630200.0</v>
      </c>
    </row>
    <row r="8452">
      <c r="A8452" s="17">
        <v>1005002.0</v>
      </c>
      <c r="B8452" s="17">
        <v>6630300.0</v>
      </c>
    </row>
    <row r="8453">
      <c r="A8453" s="17">
        <v>1005002.0</v>
      </c>
      <c r="B8453" s="17">
        <v>6630400.0</v>
      </c>
    </row>
    <row r="8454">
      <c r="A8454" s="17">
        <v>1005002.0</v>
      </c>
      <c r="B8454" s="17">
        <v>6630500.0</v>
      </c>
    </row>
    <row r="8455">
      <c r="A8455" s="17">
        <v>1005002.0</v>
      </c>
      <c r="B8455" s="17">
        <v>6630600.0</v>
      </c>
    </row>
    <row r="8456">
      <c r="A8456" s="17">
        <v>1005002.0</v>
      </c>
      <c r="B8456" s="17">
        <v>6630700.0</v>
      </c>
    </row>
    <row r="8457">
      <c r="A8457" s="17">
        <v>1005002.0</v>
      </c>
      <c r="B8457" s="17">
        <v>6630800.0</v>
      </c>
    </row>
    <row r="8458">
      <c r="A8458" s="17">
        <v>1005002.0</v>
      </c>
      <c r="B8458" s="17">
        <v>6630900.0</v>
      </c>
    </row>
    <row r="8459">
      <c r="A8459" s="17">
        <v>1005002.0</v>
      </c>
      <c r="B8459" s="17">
        <v>6631000.0</v>
      </c>
    </row>
    <row r="8460">
      <c r="A8460" s="17">
        <v>1005002.0</v>
      </c>
      <c r="B8460" s="17">
        <v>6631100.0</v>
      </c>
    </row>
    <row r="8461">
      <c r="A8461" s="17">
        <v>1005002.0</v>
      </c>
      <c r="B8461" s="17">
        <v>6631200.0</v>
      </c>
    </row>
    <row r="8462">
      <c r="A8462" s="17">
        <v>1005002.0</v>
      </c>
      <c r="B8462" s="17">
        <v>6631300.0</v>
      </c>
    </row>
    <row r="8463">
      <c r="A8463" s="17">
        <v>1005002.0</v>
      </c>
      <c r="B8463" s="17">
        <v>6631400.0</v>
      </c>
    </row>
    <row r="8464">
      <c r="A8464" s="17">
        <v>1005002.0</v>
      </c>
      <c r="B8464" s="17">
        <v>6631500.0</v>
      </c>
    </row>
    <row r="8465">
      <c r="A8465" s="17">
        <v>1005002.0</v>
      </c>
      <c r="B8465" s="17">
        <v>6631600.0</v>
      </c>
    </row>
    <row r="8466">
      <c r="A8466" s="17">
        <v>1005002.0</v>
      </c>
      <c r="B8466" s="17">
        <v>6631700.0</v>
      </c>
    </row>
    <row r="8467">
      <c r="A8467" s="17">
        <v>1005002.0</v>
      </c>
      <c r="B8467" s="17">
        <v>6631800.0</v>
      </c>
    </row>
    <row r="8468">
      <c r="A8468" s="17">
        <v>1005002.0</v>
      </c>
      <c r="B8468" s="17">
        <v>6631900.0</v>
      </c>
    </row>
    <row r="8469">
      <c r="A8469" s="17">
        <v>1005002.0</v>
      </c>
      <c r="B8469" s="17">
        <v>6632000.0</v>
      </c>
    </row>
    <row r="8470">
      <c r="A8470" s="17">
        <v>1005002.0</v>
      </c>
      <c r="B8470" s="17">
        <v>6632100.0</v>
      </c>
    </row>
    <row r="8471">
      <c r="A8471" s="17">
        <v>1005002.0</v>
      </c>
      <c r="B8471" s="17">
        <v>6632200.0</v>
      </c>
    </row>
    <row r="8472">
      <c r="A8472" s="17">
        <v>1005002.0</v>
      </c>
      <c r="B8472" s="17">
        <v>6632300.0</v>
      </c>
    </row>
    <row r="8473">
      <c r="A8473" s="17">
        <v>1005002.0</v>
      </c>
      <c r="B8473" s="17">
        <v>6632400.0</v>
      </c>
    </row>
    <row r="8474">
      <c r="A8474" s="17">
        <v>1005002.0</v>
      </c>
      <c r="B8474" s="17">
        <v>6632500.0</v>
      </c>
    </row>
    <row r="8475">
      <c r="A8475" s="17">
        <v>1005002.0</v>
      </c>
      <c r="B8475" s="17">
        <v>6632600.0</v>
      </c>
    </row>
    <row r="8476">
      <c r="A8476" s="17">
        <v>1005002.0</v>
      </c>
      <c r="B8476" s="17">
        <v>6632700.0</v>
      </c>
    </row>
    <row r="8477">
      <c r="A8477" s="17">
        <v>1005002.0</v>
      </c>
      <c r="B8477" s="17">
        <v>6632800.0</v>
      </c>
    </row>
    <row r="8478">
      <c r="A8478" s="17">
        <v>1005002.0</v>
      </c>
      <c r="B8478" s="17">
        <v>6632900.0</v>
      </c>
    </row>
    <row r="8479">
      <c r="A8479" s="17">
        <v>1005002.0</v>
      </c>
      <c r="B8479" s="17">
        <v>6633000.0</v>
      </c>
    </row>
    <row r="8480">
      <c r="A8480" s="17">
        <v>1005002.0</v>
      </c>
      <c r="B8480" s="17">
        <v>6633100.0</v>
      </c>
    </row>
    <row r="8481">
      <c r="A8481" s="17">
        <v>1005002.0</v>
      </c>
      <c r="B8481" s="17">
        <v>6633200.0</v>
      </c>
    </row>
    <row r="8482">
      <c r="A8482" s="17">
        <v>1005002.0</v>
      </c>
      <c r="B8482" s="17">
        <v>6647200.0</v>
      </c>
    </row>
    <row r="8483">
      <c r="A8483" s="17">
        <v>1005002.0</v>
      </c>
      <c r="B8483" s="17">
        <v>6647300.0</v>
      </c>
    </row>
    <row r="8484">
      <c r="A8484" s="17">
        <v>1005002.0</v>
      </c>
      <c r="B8484" s="17">
        <v>6647400.0</v>
      </c>
    </row>
    <row r="8485">
      <c r="A8485" s="17">
        <v>1005002.0</v>
      </c>
      <c r="B8485" s="17">
        <v>6647500.0</v>
      </c>
    </row>
    <row r="8486">
      <c r="A8486" s="17">
        <v>1005002.0</v>
      </c>
      <c r="B8486" s="17">
        <v>6640000.0</v>
      </c>
    </row>
    <row r="8487">
      <c r="A8487" s="17">
        <v>1005002.0</v>
      </c>
      <c r="B8487" s="17">
        <v>6640100.0</v>
      </c>
    </row>
    <row r="8488">
      <c r="A8488" s="17">
        <v>1005002.0</v>
      </c>
      <c r="B8488" s="17">
        <v>6641000.0</v>
      </c>
    </row>
    <row r="8489">
      <c r="A8489" s="17">
        <v>1005002.0</v>
      </c>
      <c r="B8489" s="17">
        <v>6641100.0</v>
      </c>
    </row>
    <row r="8490">
      <c r="A8490" s="17">
        <v>1005002.0</v>
      </c>
      <c r="B8490" s="17">
        <v>6642000.0</v>
      </c>
    </row>
    <row r="8491">
      <c r="A8491" s="17">
        <v>1005002.0</v>
      </c>
      <c r="B8491" s="17">
        <v>6642100.0</v>
      </c>
    </row>
    <row r="8492">
      <c r="A8492" s="17">
        <v>1005002.0</v>
      </c>
      <c r="B8492" s="17">
        <v>6643000.0</v>
      </c>
    </row>
    <row r="8493">
      <c r="A8493" s="17">
        <v>1005002.0</v>
      </c>
      <c r="B8493" s="17">
        <v>6643100.0</v>
      </c>
    </row>
    <row r="8494">
      <c r="A8494" s="17">
        <v>1005002.0</v>
      </c>
      <c r="B8494" s="17">
        <v>6644000.0</v>
      </c>
    </row>
    <row r="8495">
      <c r="A8495" s="17">
        <v>1005002.0</v>
      </c>
      <c r="B8495" s="17">
        <v>6644100.0</v>
      </c>
    </row>
    <row r="8496">
      <c r="A8496" s="17">
        <v>1005002.0</v>
      </c>
      <c r="B8496" s="17">
        <v>6645000.0</v>
      </c>
    </row>
    <row r="8497">
      <c r="A8497" s="17">
        <v>1005002.0</v>
      </c>
      <c r="B8497" s="17">
        <v>6645100.0</v>
      </c>
    </row>
    <row r="8498">
      <c r="A8498" s="17">
        <v>1005002.0</v>
      </c>
      <c r="B8498" s="17">
        <v>6646000.0</v>
      </c>
    </row>
    <row r="8499">
      <c r="A8499" s="17">
        <v>1005002.0</v>
      </c>
      <c r="B8499" s="17">
        <v>6646100.0</v>
      </c>
    </row>
    <row r="8500">
      <c r="A8500" s="17">
        <v>1005002.0</v>
      </c>
      <c r="B8500" s="17">
        <v>6647000.0</v>
      </c>
    </row>
    <row r="8501">
      <c r="A8501" s="17">
        <v>1005002.0</v>
      </c>
      <c r="B8501" s="17">
        <v>6647100.0</v>
      </c>
    </row>
    <row r="8502">
      <c r="A8502" s="17">
        <v>1006000.0</v>
      </c>
      <c r="B8502" s="17">
        <v>7000000.0</v>
      </c>
    </row>
    <row r="8503">
      <c r="A8503" s="17">
        <v>1006000.0</v>
      </c>
      <c r="B8503" s="17">
        <v>7000001.0</v>
      </c>
    </row>
    <row r="8504">
      <c r="A8504" s="17">
        <v>1006000.0</v>
      </c>
      <c r="B8504" s="17">
        <v>7000002.0</v>
      </c>
    </row>
    <row r="8505">
      <c r="A8505" s="17">
        <v>1006000.0</v>
      </c>
      <c r="B8505" s="17">
        <v>7000100.0</v>
      </c>
    </row>
    <row r="8506">
      <c r="A8506" s="17">
        <v>1006000.0</v>
      </c>
      <c r="B8506" s="17">
        <v>7000101.0</v>
      </c>
    </row>
    <row r="8507">
      <c r="A8507" s="17">
        <v>1006000.0</v>
      </c>
      <c r="B8507" s="17">
        <v>7000102.0</v>
      </c>
    </row>
    <row r="8508">
      <c r="A8508" s="17">
        <v>1006000.0</v>
      </c>
      <c r="B8508" s="17">
        <v>7000200.0</v>
      </c>
    </row>
    <row r="8509">
      <c r="A8509" s="17">
        <v>1006000.0</v>
      </c>
      <c r="B8509" s="17">
        <v>7000201.0</v>
      </c>
    </row>
    <row r="8510">
      <c r="A8510" s="17">
        <v>1006000.0</v>
      </c>
      <c r="B8510" s="17">
        <v>7000202.0</v>
      </c>
    </row>
    <row r="8511">
      <c r="A8511" s="17">
        <v>1006000.0</v>
      </c>
      <c r="B8511" s="17">
        <v>7000300.0</v>
      </c>
    </row>
    <row r="8512">
      <c r="A8512" s="17">
        <v>1006000.0</v>
      </c>
      <c r="B8512" s="17">
        <v>7000301.0</v>
      </c>
    </row>
    <row r="8513">
      <c r="A8513" s="17">
        <v>1006000.0</v>
      </c>
      <c r="B8513" s="17">
        <v>7000302.0</v>
      </c>
    </row>
    <row r="8514">
      <c r="A8514" s="17">
        <v>1006000.0</v>
      </c>
      <c r="B8514" s="17">
        <v>7000400.0</v>
      </c>
    </row>
    <row r="8515">
      <c r="A8515" s="17">
        <v>1006000.0</v>
      </c>
      <c r="B8515" s="17">
        <v>7000401.0</v>
      </c>
    </row>
    <row r="8516">
      <c r="A8516" s="17">
        <v>1006000.0</v>
      </c>
      <c r="B8516" s="17">
        <v>7000402.0</v>
      </c>
    </row>
    <row r="8517">
      <c r="A8517" s="17">
        <v>1006000.0</v>
      </c>
      <c r="B8517" s="17">
        <v>7000500.0</v>
      </c>
    </row>
    <row r="8518">
      <c r="A8518" s="17">
        <v>1006000.0</v>
      </c>
      <c r="B8518" s="17">
        <v>7000501.0</v>
      </c>
    </row>
    <row r="8519">
      <c r="A8519" s="17">
        <v>1006000.0</v>
      </c>
      <c r="B8519" s="17">
        <v>7000502.0</v>
      </c>
    </row>
    <row r="8520">
      <c r="A8520" s="17">
        <v>1006000.0</v>
      </c>
      <c r="B8520" s="17">
        <v>7000600.0</v>
      </c>
    </row>
    <row r="8521">
      <c r="A8521" s="17">
        <v>1006000.0</v>
      </c>
      <c r="B8521" s="17">
        <v>7000601.0</v>
      </c>
    </row>
    <row r="8522">
      <c r="A8522" s="17">
        <v>1006000.0</v>
      </c>
      <c r="B8522" s="17">
        <v>7000602.0</v>
      </c>
    </row>
    <row r="8523">
      <c r="A8523" s="17">
        <v>1006000.0</v>
      </c>
      <c r="B8523" s="17">
        <v>7000700.0</v>
      </c>
    </row>
    <row r="8524">
      <c r="A8524" s="17">
        <v>1006000.0</v>
      </c>
      <c r="B8524" s="17">
        <v>7000701.0</v>
      </c>
    </row>
    <row r="8525">
      <c r="A8525" s="17">
        <v>1006000.0</v>
      </c>
      <c r="B8525" s="17">
        <v>7000702.0</v>
      </c>
    </row>
    <row r="8526">
      <c r="A8526" s="17">
        <v>1006000.0</v>
      </c>
      <c r="B8526" s="17">
        <v>7000800.0</v>
      </c>
    </row>
    <row r="8527">
      <c r="A8527" s="17">
        <v>1006000.0</v>
      </c>
      <c r="B8527" s="17">
        <v>7000801.0</v>
      </c>
    </row>
    <row r="8528">
      <c r="A8528" s="17">
        <v>1006000.0</v>
      </c>
      <c r="B8528" s="17">
        <v>7000802.0</v>
      </c>
    </row>
    <row r="8529">
      <c r="A8529" s="17">
        <v>1006000.0</v>
      </c>
      <c r="B8529" s="17">
        <v>7000900.0</v>
      </c>
    </row>
    <row r="8530">
      <c r="A8530" s="17">
        <v>1006000.0</v>
      </c>
      <c r="B8530" s="17">
        <v>7000901.0</v>
      </c>
    </row>
    <row r="8531">
      <c r="A8531" s="17">
        <v>1006000.0</v>
      </c>
      <c r="B8531" s="17">
        <v>7000902.0</v>
      </c>
    </row>
    <row r="8532">
      <c r="A8532" s="17">
        <v>1006000.0</v>
      </c>
      <c r="B8532" s="17">
        <v>7001000.0</v>
      </c>
    </row>
    <row r="8533">
      <c r="A8533" s="17">
        <v>1006000.0</v>
      </c>
      <c r="B8533" s="17">
        <v>7001001.0</v>
      </c>
    </row>
    <row r="8534">
      <c r="A8534" s="17">
        <v>1006000.0</v>
      </c>
      <c r="B8534" s="17">
        <v>7001002.0</v>
      </c>
    </row>
    <row r="8535">
      <c r="A8535" s="17">
        <v>1006000.0</v>
      </c>
      <c r="B8535" s="17">
        <v>7001400.0</v>
      </c>
    </row>
    <row r="8536">
      <c r="A8536" s="17">
        <v>1006000.0</v>
      </c>
      <c r="B8536" s="17">
        <v>7001401.0</v>
      </c>
    </row>
    <row r="8537">
      <c r="A8537" s="17">
        <v>1006000.0</v>
      </c>
      <c r="B8537" s="17">
        <v>7001402.0</v>
      </c>
    </row>
    <row r="8538">
      <c r="A8538" s="17">
        <v>1006000.0</v>
      </c>
      <c r="B8538" s="17">
        <v>7001500.0</v>
      </c>
    </row>
    <row r="8539">
      <c r="A8539" s="17">
        <v>1006000.0</v>
      </c>
      <c r="B8539" s="17">
        <v>7001501.0</v>
      </c>
    </row>
    <row r="8540">
      <c r="A8540" s="17">
        <v>1006000.0</v>
      </c>
      <c r="B8540" s="17">
        <v>7001502.0</v>
      </c>
    </row>
    <row r="8541">
      <c r="A8541" s="17">
        <v>1006000.0</v>
      </c>
      <c r="B8541" s="17">
        <v>7001600.0</v>
      </c>
    </row>
    <row r="8542">
      <c r="A8542" s="17">
        <v>1006000.0</v>
      </c>
      <c r="B8542" s="17">
        <v>7001601.0</v>
      </c>
    </row>
    <row r="8543">
      <c r="A8543" s="17">
        <v>1006000.0</v>
      </c>
      <c r="B8543" s="17">
        <v>7001602.0</v>
      </c>
    </row>
    <row r="8544">
      <c r="A8544" s="17">
        <v>1006000.0</v>
      </c>
      <c r="B8544" s="17">
        <v>7001700.0</v>
      </c>
    </row>
    <row r="8545">
      <c r="A8545" s="17">
        <v>1006000.0</v>
      </c>
      <c r="B8545" s="17">
        <v>7001701.0</v>
      </c>
    </row>
    <row r="8546">
      <c r="A8546" s="17">
        <v>1006000.0</v>
      </c>
      <c r="B8546" s="17">
        <v>7001702.0</v>
      </c>
    </row>
    <row r="8547">
      <c r="A8547" s="17">
        <v>1006000.0</v>
      </c>
      <c r="B8547" s="17">
        <v>7001800.0</v>
      </c>
    </row>
    <row r="8548">
      <c r="A8548" s="17">
        <v>1006000.0</v>
      </c>
      <c r="B8548" s="17">
        <v>7001801.0</v>
      </c>
    </row>
    <row r="8549">
      <c r="A8549" s="17">
        <v>1006000.0</v>
      </c>
      <c r="B8549" s="17">
        <v>7001802.0</v>
      </c>
    </row>
    <row r="8550">
      <c r="A8550" s="17">
        <v>1006000.0</v>
      </c>
      <c r="B8550" s="17">
        <v>7002600.0</v>
      </c>
    </row>
    <row r="8551">
      <c r="A8551" s="17">
        <v>1006000.0</v>
      </c>
      <c r="B8551" s="17">
        <v>7002700.0</v>
      </c>
    </row>
    <row r="8552">
      <c r="A8552" s="17">
        <v>1006000.0</v>
      </c>
      <c r="B8552" s="17">
        <v>7002800.0</v>
      </c>
    </row>
    <row r="8553">
      <c r="A8553" s="17">
        <v>1006000.0</v>
      </c>
      <c r="B8553" s="17">
        <v>7002900.0</v>
      </c>
    </row>
    <row r="8554">
      <c r="A8554" s="17">
        <v>1006000.0</v>
      </c>
      <c r="B8554" s="17">
        <v>7003000.0</v>
      </c>
    </row>
    <row r="8555">
      <c r="A8555" s="17">
        <v>1006000.0</v>
      </c>
      <c r="B8555" s="17">
        <v>7003100.0</v>
      </c>
    </row>
    <row r="8556">
      <c r="A8556" s="17">
        <v>1006000.0</v>
      </c>
      <c r="B8556" s="17">
        <v>7003200.0</v>
      </c>
    </row>
    <row r="8557">
      <c r="A8557" s="17">
        <v>1006000.0</v>
      </c>
      <c r="B8557" s="17">
        <v>7003300.0</v>
      </c>
    </row>
    <row r="8558">
      <c r="A8558" s="17">
        <v>1006000.0</v>
      </c>
      <c r="B8558" s="17">
        <v>7003400.0</v>
      </c>
    </row>
    <row r="8559">
      <c r="A8559" s="17">
        <v>1006000.0</v>
      </c>
      <c r="B8559" s="17">
        <v>7003500.0</v>
      </c>
    </row>
    <row r="8560">
      <c r="A8560" s="17">
        <v>1006000.0</v>
      </c>
      <c r="B8560" s="17">
        <v>7003600.0</v>
      </c>
    </row>
    <row r="8561">
      <c r="A8561" s="17">
        <v>1006000.0</v>
      </c>
      <c r="B8561" s="17">
        <v>7005600.0</v>
      </c>
    </row>
    <row r="8562">
      <c r="A8562" s="17">
        <v>1006000.0</v>
      </c>
      <c r="B8562" s="17">
        <v>7006000.0</v>
      </c>
    </row>
    <row r="8563">
      <c r="A8563" s="17">
        <v>1006000.0</v>
      </c>
      <c r="B8563" s="17">
        <v>7006100.0</v>
      </c>
    </row>
    <row r="8564">
      <c r="A8564" s="17">
        <v>1006000.0</v>
      </c>
      <c r="B8564" s="17">
        <v>7010200.0</v>
      </c>
    </row>
    <row r="8565">
      <c r="A8565" s="17">
        <v>1006000.0</v>
      </c>
      <c r="B8565" s="17">
        <v>7010500.0</v>
      </c>
    </row>
    <row r="8566">
      <c r="A8566" s="17">
        <v>1006000.0</v>
      </c>
      <c r="B8566" s="17">
        <v>7010700.0</v>
      </c>
    </row>
    <row r="8567">
      <c r="A8567" s="17">
        <v>1006000.0</v>
      </c>
      <c r="B8567" s="17">
        <v>7010900.0</v>
      </c>
    </row>
    <row r="8568">
      <c r="A8568" s="17">
        <v>1006000.0</v>
      </c>
      <c r="B8568" s="17">
        <v>7011000.0</v>
      </c>
    </row>
    <row r="8569">
      <c r="A8569" s="17">
        <v>1006000.0</v>
      </c>
      <c r="B8569" s="17">
        <v>7011200.0</v>
      </c>
    </row>
    <row r="8570">
      <c r="A8570" s="17">
        <v>1006000.0</v>
      </c>
      <c r="B8570" s="17">
        <v>7011600.0</v>
      </c>
    </row>
    <row r="8571">
      <c r="A8571" s="17">
        <v>1006000.0</v>
      </c>
      <c r="B8571" s="17">
        <v>7011700.0</v>
      </c>
    </row>
    <row r="8572">
      <c r="A8572" s="17">
        <v>1006000.0</v>
      </c>
      <c r="B8572" s="17">
        <v>7012000.0</v>
      </c>
    </row>
    <row r="8573">
      <c r="A8573" s="17">
        <v>1006000.0</v>
      </c>
      <c r="B8573" s="17">
        <v>7012200.0</v>
      </c>
    </row>
    <row r="8574">
      <c r="A8574" s="17">
        <v>1006000.0</v>
      </c>
      <c r="B8574" s="17">
        <v>7012300.0</v>
      </c>
    </row>
    <row r="8575">
      <c r="A8575" s="17">
        <v>1006000.0</v>
      </c>
      <c r="B8575" s="17">
        <v>7020000.0</v>
      </c>
    </row>
    <row r="8576">
      <c r="A8576" s="17">
        <v>1006000.0</v>
      </c>
      <c r="B8576" s="17">
        <v>7030000.0</v>
      </c>
    </row>
    <row r="8577">
      <c r="A8577" s="17">
        <v>1006000.0</v>
      </c>
      <c r="B8577" s="17">
        <v>7030200.0</v>
      </c>
    </row>
    <row r="8578">
      <c r="A8578" s="17">
        <v>1006000.0</v>
      </c>
      <c r="B8578" s="17">
        <v>7030600.0</v>
      </c>
    </row>
    <row r="8579">
      <c r="A8579" s="17">
        <v>1006000.0</v>
      </c>
      <c r="B8579" s="17">
        <v>7030700.0</v>
      </c>
    </row>
    <row r="8580">
      <c r="A8580" s="17">
        <v>1006000.0</v>
      </c>
      <c r="B8580" s="17">
        <v>7030800.0</v>
      </c>
    </row>
    <row r="8581">
      <c r="A8581" s="17">
        <v>1006000.0</v>
      </c>
      <c r="B8581" s="17">
        <v>7030900.0</v>
      </c>
    </row>
    <row r="8582">
      <c r="A8582" s="17">
        <v>1006000.0</v>
      </c>
      <c r="B8582" s="17">
        <v>7031200.0</v>
      </c>
    </row>
    <row r="8583">
      <c r="A8583" s="17">
        <v>1006000.0</v>
      </c>
      <c r="B8583" s="17">
        <v>7031300.0</v>
      </c>
    </row>
    <row r="8584">
      <c r="A8584" s="17">
        <v>1006000.0</v>
      </c>
      <c r="B8584" s="17">
        <v>7031800.0</v>
      </c>
    </row>
    <row r="8585">
      <c r="A8585" s="17">
        <v>1006000.0</v>
      </c>
      <c r="B8585" s="17">
        <v>7031900.0</v>
      </c>
    </row>
    <row r="8586">
      <c r="A8586" s="17">
        <v>1006000.0</v>
      </c>
      <c r="B8586" s="17">
        <v>7032200.0</v>
      </c>
    </row>
    <row r="8587">
      <c r="A8587" s="17">
        <v>1006000.0</v>
      </c>
      <c r="B8587" s="17">
        <v>7032400.0</v>
      </c>
    </row>
    <row r="8588">
      <c r="A8588" s="17">
        <v>1006000.0</v>
      </c>
      <c r="B8588" s="17">
        <v>7032700.0</v>
      </c>
    </row>
    <row r="8589">
      <c r="A8589" s="17">
        <v>1006000.0</v>
      </c>
      <c r="B8589" s="17">
        <v>7032800.0</v>
      </c>
    </row>
    <row r="8590">
      <c r="A8590" s="17">
        <v>1006000.0</v>
      </c>
      <c r="B8590" s="17">
        <v>7032900.0</v>
      </c>
    </row>
    <row r="8591">
      <c r="A8591" s="17">
        <v>1006000.0</v>
      </c>
      <c r="B8591" s="17">
        <v>7033200.0</v>
      </c>
    </row>
    <row r="8592">
      <c r="A8592" s="17">
        <v>1006000.0</v>
      </c>
      <c r="B8592" s="17">
        <v>7033400.0</v>
      </c>
    </row>
    <row r="8593">
      <c r="A8593" s="17">
        <v>1006000.0</v>
      </c>
      <c r="B8593" s="17">
        <v>7034100.0</v>
      </c>
    </row>
    <row r="8594">
      <c r="A8594" s="17">
        <v>1006000.0</v>
      </c>
      <c r="B8594" s="17">
        <v>7034400.0</v>
      </c>
    </row>
    <row r="8595">
      <c r="A8595" s="17">
        <v>1006000.0</v>
      </c>
      <c r="B8595" s="17">
        <v>7034500.0</v>
      </c>
    </row>
    <row r="8596">
      <c r="A8596" s="17">
        <v>1006000.0</v>
      </c>
      <c r="B8596" s="17">
        <v>7034600.0</v>
      </c>
    </row>
    <row r="8597">
      <c r="A8597" s="17">
        <v>1006000.0</v>
      </c>
      <c r="B8597" s="17">
        <v>7034700.0</v>
      </c>
    </row>
    <row r="8598">
      <c r="A8598" s="17">
        <v>1006000.0</v>
      </c>
      <c r="B8598" s="17">
        <v>7035100.0</v>
      </c>
    </row>
    <row r="8599">
      <c r="A8599" s="17">
        <v>1006000.0</v>
      </c>
      <c r="B8599" s="17">
        <v>7036100.0</v>
      </c>
    </row>
    <row r="8600">
      <c r="A8600" s="17">
        <v>1006000.0</v>
      </c>
      <c r="B8600" s="17">
        <v>7040000.0</v>
      </c>
    </row>
    <row r="8601">
      <c r="A8601" s="17">
        <v>1006000.0</v>
      </c>
      <c r="B8601" s="17">
        <v>7040100.0</v>
      </c>
    </row>
    <row r="8602">
      <c r="A8602" s="17">
        <v>1006000.0</v>
      </c>
      <c r="B8602" s="17">
        <v>7040200.0</v>
      </c>
    </row>
    <row r="8603">
      <c r="A8603" s="17">
        <v>1006000.0</v>
      </c>
      <c r="B8603" s="17">
        <v>7040300.0</v>
      </c>
    </row>
    <row r="8604">
      <c r="A8604" s="17">
        <v>1006000.0</v>
      </c>
      <c r="B8604" s="17">
        <v>7040400.0</v>
      </c>
    </row>
    <row r="8605">
      <c r="A8605" s="17">
        <v>1006000.0</v>
      </c>
      <c r="B8605" s="17">
        <v>7040500.0</v>
      </c>
    </row>
    <row r="8606">
      <c r="A8606" s="17">
        <v>1006000.0</v>
      </c>
      <c r="B8606" s="17">
        <v>7043000.0</v>
      </c>
    </row>
    <row r="8607">
      <c r="A8607" s="17">
        <v>1006000.0</v>
      </c>
      <c r="B8607" s="17">
        <v>7043100.0</v>
      </c>
    </row>
    <row r="8608">
      <c r="A8608" s="17">
        <v>1006000.0</v>
      </c>
      <c r="B8608" s="17">
        <v>7043200.0</v>
      </c>
    </row>
    <row r="8609">
      <c r="A8609" s="17">
        <v>1006000.0</v>
      </c>
      <c r="B8609" s="17">
        <v>7043300.0</v>
      </c>
    </row>
    <row r="8610">
      <c r="A8610" s="17">
        <v>1006000.0</v>
      </c>
      <c r="B8610" s="17">
        <v>7043400.0</v>
      </c>
    </row>
    <row r="8611">
      <c r="A8611" s="17">
        <v>1006000.0</v>
      </c>
      <c r="B8611" s="17">
        <v>7043500.0</v>
      </c>
    </row>
    <row r="8612">
      <c r="A8612" s="17">
        <v>1006000.0</v>
      </c>
      <c r="B8612" s="17">
        <v>7043600.0</v>
      </c>
    </row>
    <row r="8613">
      <c r="A8613" s="17">
        <v>1006000.0</v>
      </c>
      <c r="B8613" s="17">
        <v>7043700.0</v>
      </c>
    </row>
    <row r="8614">
      <c r="A8614" s="17">
        <v>1006000.0</v>
      </c>
      <c r="B8614" s="17">
        <v>7043800.0</v>
      </c>
    </row>
    <row r="8615">
      <c r="A8615" s="17">
        <v>1006000.0</v>
      </c>
      <c r="B8615" s="17">
        <v>7044000.0</v>
      </c>
    </row>
    <row r="8616">
      <c r="A8616" s="17">
        <v>1006000.0</v>
      </c>
      <c r="B8616" s="17">
        <v>7044100.0</v>
      </c>
    </row>
    <row r="8617">
      <c r="A8617" s="17">
        <v>1006000.0</v>
      </c>
      <c r="B8617" s="17">
        <v>7044200.0</v>
      </c>
    </row>
    <row r="8618">
      <c r="A8618" s="17">
        <v>1006000.0</v>
      </c>
      <c r="B8618" s="17">
        <v>7044300.0</v>
      </c>
    </row>
    <row r="8619">
      <c r="A8619" s="17">
        <v>1006000.0</v>
      </c>
      <c r="B8619" s="17">
        <v>7044400.0</v>
      </c>
    </row>
    <row r="8620">
      <c r="A8620" s="17">
        <v>1006000.0</v>
      </c>
      <c r="B8620" s="17">
        <v>7044500.0</v>
      </c>
    </row>
    <row r="8621">
      <c r="A8621" s="17">
        <v>1006000.0</v>
      </c>
      <c r="B8621" s="17">
        <v>7044600.0</v>
      </c>
    </row>
    <row r="8622">
      <c r="A8622" s="17">
        <v>1006000.0</v>
      </c>
      <c r="B8622" s="17">
        <v>7050000.0</v>
      </c>
    </row>
    <row r="8623">
      <c r="A8623" s="17">
        <v>1006000.0</v>
      </c>
      <c r="B8623" s="17">
        <v>7050100.0</v>
      </c>
    </row>
    <row r="8624">
      <c r="A8624" s="17">
        <v>1006000.0</v>
      </c>
      <c r="B8624" s="17">
        <v>7060000.0</v>
      </c>
    </row>
    <row r="8625">
      <c r="A8625" s="17">
        <v>1006000.0</v>
      </c>
      <c r="B8625" s="17">
        <v>7060100.0</v>
      </c>
    </row>
    <row r="8626">
      <c r="A8626" s="17">
        <v>1006000.0</v>
      </c>
      <c r="B8626" s="17">
        <v>7060200.0</v>
      </c>
    </row>
    <row r="8627">
      <c r="A8627" s="17">
        <v>1006000.0</v>
      </c>
      <c r="B8627" s="17">
        <v>7070000.0</v>
      </c>
    </row>
    <row r="8628">
      <c r="A8628" s="17">
        <v>1006000.0</v>
      </c>
      <c r="B8628" s="17">
        <v>7080000.0</v>
      </c>
    </row>
    <row r="8629">
      <c r="A8629" s="17">
        <v>1006000.0</v>
      </c>
      <c r="B8629" s="17">
        <v>7080100.0</v>
      </c>
    </row>
    <row r="8630">
      <c r="A8630" s="17">
        <v>1006000.0</v>
      </c>
      <c r="B8630" s="17">
        <v>7080200.0</v>
      </c>
    </row>
    <row r="8631">
      <c r="A8631" s="17">
        <v>1006000.0</v>
      </c>
      <c r="B8631" s="17">
        <v>7080300.0</v>
      </c>
    </row>
    <row r="8632">
      <c r="A8632" s="17">
        <v>1006000.0</v>
      </c>
      <c r="B8632" s="17">
        <v>7080400.0</v>
      </c>
    </row>
    <row r="8633">
      <c r="A8633" s="17">
        <v>1006000.0</v>
      </c>
      <c r="B8633" s="17">
        <v>7080500.0</v>
      </c>
    </row>
    <row r="8634">
      <c r="A8634" s="17">
        <v>1006000.0</v>
      </c>
      <c r="B8634" s="17">
        <v>7080600.0</v>
      </c>
    </row>
    <row r="8635">
      <c r="A8635" s="17">
        <v>1006000.0</v>
      </c>
      <c r="B8635" s="17">
        <v>7080700.0</v>
      </c>
    </row>
    <row r="8636">
      <c r="A8636" s="17">
        <v>1006000.0</v>
      </c>
      <c r="B8636" s="17">
        <v>7080800.0</v>
      </c>
    </row>
    <row r="8637">
      <c r="A8637" s="17">
        <v>1006000.0</v>
      </c>
      <c r="B8637" s="17">
        <v>7080900.0</v>
      </c>
    </row>
    <row r="8638">
      <c r="A8638" s="17">
        <v>1006000.0</v>
      </c>
      <c r="B8638" s="17">
        <v>7081000.0</v>
      </c>
    </row>
    <row r="8639">
      <c r="A8639" s="17">
        <v>1006000.0</v>
      </c>
      <c r="B8639" s="17">
        <v>7081100.0</v>
      </c>
    </row>
    <row r="8640">
      <c r="A8640" s="17">
        <v>1006000.0</v>
      </c>
      <c r="B8640" s="17">
        <v>7081200.0</v>
      </c>
    </row>
    <row r="8641">
      <c r="A8641" s="17">
        <v>1006000.0</v>
      </c>
      <c r="B8641" s="17">
        <v>7081300.0</v>
      </c>
    </row>
    <row r="8642">
      <c r="A8642" s="17">
        <v>1006000.0</v>
      </c>
      <c r="B8642" s="17">
        <v>7081400.0</v>
      </c>
    </row>
    <row r="8643">
      <c r="A8643" s="17">
        <v>1006000.0</v>
      </c>
      <c r="B8643" s="17">
        <v>7081500.0</v>
      </c>
    </row>
    <row r="8644">
      <c r="A8644" s="17">
        <v>1006000.0</v>
      </c>
      <c r="B8644" s="17">
        <v>7081700.0</v>
      </c>
    </row>
    <row r="8645">
      <c r="A8645" s="17">
        <v>1006000.0</v>
      </c>
      <c r="B8645" s="17">
        <v>7081800.0</v>
      </c>
    </row>
    <row r="8646">
      <c r="A8646" s="17">
        <v>1006000.0</v>
      </c>
      <c r="B8646" s="17">
        <v>7081900.0</v>
      </c>
    </row>
    <row r="8647">
      <c r="A8647" s="17">
        <v>1006000.0</v>
      </c>
      <c r="B8647" s="17">
        <v>7082000.0</v>
      </c>
    </row>
    <row r="8648">
      <c r="A8648" s="17">
        <v>1006000.0</v>
      </c>
      <c r="B8648" s="17">
        <v>7082100.0</v>
      </c>
    </row>
    <row r="8649">
      <c r="A8649" s="17">
        <v>1006000.0</v>
      </c>
      <c r="B8649" s="17">
        <v>7082200.0</v>
      </c>
    </row>
    <row r="8650">
      <c r="A8650" s="17">
        <v>1006000.0</v>
      </c>
      <c r="B8650" s="17">
        <v>7082300.0</v>
      </c>
    </row>
    <row r="8651">
      <c r="A8651" s="17">
        <v>1006000.0</v>
      </c>
      <c r="B8651" s="17">
        <v>7082400.0</v>
      </c>
    </row>
    <row r="8652">
      <c r="A8652" s="17">
        <v>1006000.0</v>
      </c>
      <c r="B8652" s="17">
        <v>7082500.0</v>
      </c>
    </row>
    <row r="8653">
      <c r="A8653" s="17">
        <v>1006000.0</v>
      </c>
      <c r="B8653" s="17">
        <v>7082600.0</v>
      </c>
    </row>
    <row r="8654">
      <c r="A8654" s="17">
        <v>1006000.0</v>
      </c>
      <c r="B8654" s="17">
        <v>7082700.0</v>
      </c>
    </row>
    <row r="8655">
      <c r="A8655" s="17">
        <v>1006000.0</v>
      </c>
      <c r="B8655" s="17">
        <v>7082800.0</v>
      </c>
    </row>
    <row r="8656">
      <c r="A8656" s="17">
        <v>1006000.0</v>
      </c>
      <c r="B8656" s="17">
        <v>7082900.0</v>
      </c>
    </row>
    <row r="8657">
      <c r="A8657" s="17">
        <v>1006000.0</v>
      </c>
      <c r="B8657" s="17">
        <v>7090000.0</v>
      </c>
    </row>
    <row r="8658">
      <c r="A8658" s="17">
        <v>1006000.0</v>
      </c>
      <c r="B8658" s="17">
        <v>7090100.0</v>
      </c>
    </row>
    <row r="8659">
      <c r="A8659" s="17">
        <v>1006000.0</v>
      </c>
      <c r="B8659" s="17">
        <v>7090300.0</v>
      </c>
    </row>
    <row r="8660">
      <c r="A8660" s="17">
        <v>1006000.0</v>
      </c>
      <c r="B8660" s="17">
        <v>7100100.0</v>
      </c>
    </row>
    <row r="8661">
      <c r="A8661" s="17">
        <v>1006000.0</v>
      </c>
      <c r="B8661" s="17">
        <v>7110000.0</v>
      </c>
    </row>
    <row r="8662">
      <c r="A8662" s="17">
        <v>1006000.0</v>
      </c>
      <c r="B8662" s="17">
        <v>7120000.0</v>
      </c>
    </row>
    <row r="8663">
      <c r="A8663" s="17">
        <v>1006000.0</v>
      </c>
      <c r="B8663" s="17">
        <v>7120100.0</v>
      </c>
    </row>
    <row r="8664">
      <c r="A8664" s="17">
        <v>1006000.0</v>
      </c>
      <c r="B8664" s="17">
        <v>7120200.0</v>
      </c>
    </row>
    <row r="8665">
      <c r="A8665" s="17">
        <v>1006000.0</v>
      </c>
      <c r="B8665" s="17">
        <v>7120300.0</v>
      </c>
    </row>
    <row r="8666">
      <c r="A8666" s="17">
        <v>1006000.0</v>
      </c>
      <c r="B8666" s="17">
        <v>7120400.0</v>
      </c>
    </row>
    <row r="8667">
      <c r="A8667" s="17">
        <v>1006000.0</v>
      </c>
      <c r="B8667" s="17">
        <v>7120500.0</v>
      </c>
    </row>
    <row r="8668">
      <c r="A8668" s="17">
        <v>1006000.0</v>
      </c>
      <c r="B8668" s="17">
        <v>7120600.0</v>
      </c>
    </row>
    <row r="8669">
      <c r="A8669" s="17">
        <v>1006000.0</v>
      </c>
      <c r="B8669" s="17">
        <v>7120900.0</v>
      </c>
    </row>
    <row r="8670">
      <c r="A8670" s="17">
        <v>1006000.0</v>
      </c>
      <c r="B8670" s="17">
        <v>7121000.0</v>
      </c>
    </row>
    <row r="8671">
      <c r="A8671" s="17">
        <v>1006000.0</v>
      </c>
      <c r="B8671" s="17">
        <v>7121100.0</v>
      </c>
    </row>
    <row r="8672">
      <c r="A8672" s="17">
        <v>1006000.0</v>
      </c>
      <c r="B8672" s="17">
        <v>7121200.0</v>
      </c>
    </row>
    <row r="8673">
      <c r="A8673" s="17">
        <v>1006000.0</v>
      </c>
      <c r="B8673" s="17">
        <v>7121300.0</v>
      </c>
    </row>
    <row r="8674">
      <c r="A8674" s="17">
        <v>1006000.0</v>
      </c>
      <c r="B8674" s="17">
        <v>7121400.0</v>
      </c>
    </row>
    <row r="8675">
      <c r="A8675" s="17">
        <v>1006000.0</v>
      </c>
      <c r="B8675" s="17">
        <v>7121500.0</v>
      </c>
    </row>
    <row r="8676">
      <c r="A8676" s="17">
        <v>1006000.0</v>
      </c>
      <c r="B8676" s="17">
        <v>7121600.0</v>
      </c>
    </row>
    <row r="8677">
      <c r="A8677" s="17">
        <v>1006000.0</v>
      </c>
      <c r="B8677" s="17">
        <v>7121700.0</v>
      </c>
    </row>
    <row r="8678">
      <c r="A8678" s="17">
        <v>1006000.0</v>
      </c>
      <c r="B8678" s="17">
        <v>7121800.0</v>
      </c>
    </row>
    <row r="8679">
      <c r="A8679" s="17">
        <v>1006000.0</v>
      </c>
      <c r="B8679" s="17">
        <v>7121900.0</v>
      </c>
    </row>
    <row r="8680">
      <c r="A8680" s="17">
        <v>1006000.0</v>
      </c>
      <c r="B8680" s="17">
        <v>7122000.0</v>
      </c>
    </row>
    <row r="8681">
      <c r="A8681" s="17">
        <v>1006000.0</v>
      </c>
      <c r="B8681" s="17">
        <v>7122100.0</v>
      </c>
    </row>
    <row r="8682">
      <c r="A8682" s="17">
        <v>1006000.0</v>
      </c>
      <c r="B8682" s="17">
        <v>7122200.0</v>
      </c>
    </row>
    <row r="8683">
      <c r="A8683" s="17">
        <v>1006000.0</v>
      </c>
      <c r="B8683" s="17">
        <v>7122300.0</v>
      </c>
    </row>
    <row r="8684">
      <c r="A8684" s="17">
        <v>1006000.0</v>
      </c>
      <c r="B8684" s="17">
        <v>7122400.0</v>
      </c>
    </row>
    <row r="8685">
      <c r="A8685" s="17">
        <v>1006000.0</v>
      </c>
      <c r="B8685" s="17">
        <v>7122500.0</v>
      </c>
    </row>
    <row r="8686">
      <c r="A8686" s="17">
        <v>1006000.0</v>
      </c>
      <c r="B8686" s="17">
        <v>7122600.0</v>
      </c>
    </row>
    <row r="8687">
      <c r="A8687" s="17">
        <v>1006000.0</v>
      </c>
      <c r="B8687" s="17">
        <v>7122700.0</v>
      </c>
    </row>
    <row r="8688">
      <c r="A8688" s="17">
        <v>1006000.0</v>
      </c>
      <c r="B8688" s="17">
        <v>7122800.0</v>
      </c>
    </row>
    <row r="8689">
      <c r="A8689" s="17">
        <v>1006000.0</v>
      </c>
      <c r="B8689" s="17">
        <v>7122900.0</v>
      </c>
    </row>
    <row r="8690">
      <c r="A8690" s="17">
        <v>1006000.0</v>
      </c>
      <c r="B8690" s="17">
        <v>7123000.0</v>
      </c>
    </row>
    <row r="8691">
      <c r="A8691" s="17">
        <v>1006000.0</v>
      </c>
      <c r="B8691" s="17">
        <v>7123100.0</v>
      </c>
    </row>
    <row r="8692">
      <c r="A8692" s="17">
        <v>1006000.0</v>
      </c>
      <c r="B8692" s="17">
        <v>7123200.0</v>
      </c>
    </row>
    <row r="8693">
      <c r="A8693" s="17">
        <v>1006000.0</v>
      </c>
      <c r="B8693" s="17">
        <v>7123300.0</v>
      </c>
    </row>
    <row r="8694">
      <c r="A8694" s="17">
        <v>1006000.0</v>
      </c>
      <c r="B8694" s="17">
        <v>7123400.0</v>
      </c>
    </row>
    <row r="8695">
      <c r="A8695" s="17">
        <v>1006000.0</v>
      </c>
      <c r="B8695" s="17">
        <v>7123500.0</v>
      </c>
    </row>
    <row r="8696">
      <c r="A8696" s="17">
        <v>1006000.0</v>
      </c>
      <c r="B8696" s="17">
        <v>7123600.0</v>
      </c>
    </row>
    <row r="8697">
      <c r="A8697" s="17">
        <v>1006000.0</v>
      </c>
      <c r="B8697" s="17">
        <v>7123700.0</v>
      </c>
    </row>
    <row r="8698">
      <c r="A8698" s="17">
        <v>1006000.0</v>
      </c>
      <c r="B8698" s="17">
        <v>7123800.0</v>
      </c>
    </row>
    <row r="8699">
      <c r="A8699" s="17">
        <v>1006000.0</v>
      </c>
      <c r="B8699" s="17">
        <v>7123900.0</v>
      </c>
    </row>
    <row r="8700">
      <c r="A8700" s="17">
        <v>1006000.0</v>
      </c>
      <c r="B8700" s="17">
        <v>7124000.0</v>
      </c>
    </row>
    <row r="8701">
      <c r="A8701" s="17">
        <v>1006000.0</v>
      </c>
      <c r="B8701" s="17">
        <v>7124100.0</v>
      </c>
    </row>
    <row r="8702">
      <c r="A8702" s="17">
        <v>1006000.0</v>
      </c>
      <c r="B8702" s="17">
        <v>7124300.0</v>
      </c>
    </row>
    <row r="8703">
      <c r="A8703" s="17">
        <v>1006000.0</v>
      </c>
      <c r="B8703" s="17">
        <v>7124400.0</v>
      </c>
    </row>
    <row r="8704">
      <c r="A8704" s="17">
        <v>1006000.0</v>
      </c>
      <c r="B8704" s="17">
        <v>7124500.0</v>
      </c>
    </row>
    <row r="8705">
      <c r="A8705" s="17">
        <v>1006000.0</v>
      </c>
      <c r="B8705" s="17">
        <v>7124600.0</v>
      </c>
    </row>
    <row r="8706">
      <c r="A8706" s="17">
        <v>1006000.0</v>
      </c>
      <c r="B8706" s="17">
        <v>7124700.0</v>
      </c>
    </row>
    <row r="8707">
      <c r="A8707" s="17">
        <v>1006000.0</v>
      </c>
      <c r="B8707" s="17">
        <v>7126000.0</v>
      </c>
    </row>
    <row r="8708">
      <c r="A8708" s="17">
        <v>1006000.0</v>
      </c>
      <c r="B8708" s="17">
        <v>7150000.0</v>
      </c>
    </row>
    <row r="8709">
      <c r="A8709" s="17">
        <v>1006000.0</v>
      </c>
      <c r="B8709" s="17">
        <v>7160000.0</v>
      </c>
    </row>
    <row r="8710">
      <c r="A8710" s="17">
        <v>1006000.0</v>
      </c>
      <c r="B8710" s="17">
        <v>7220000.0</v>
      </c>
    </row>
    <row r="8711">
      <c r="A8711" s="17">
        <v>1006000.0</v>
      </c>
      <c r="B8711" s="17">
        <v>7230000.0</v>
      </c>
    </row>
    <row r="8712">
      <c r="A8712" s="17">
        <v>1006000.0</v>
      </c>
      <c r="B8712" s="17">
        <v>7240000.0</v>
      </c>
    </row>
    <row r="8713">
      <c r="A8713" s="17">
        <v>1006000.0</v>
      </c>
      <c r="B8713" s="17">
        <v>7260000.0</v>
      </c>
    </row>
    <row r="8714">
      <c r="A8714" s="17">
        <v>1006000.0</v>
      </c>
      <c r="B8714" s="17">
        <v>7260300.0</v>
      </c>
    </row>
    <row r="8715">
      <c r="A8715" s="17">
        <v>1006000.0</v>
      </c>
      <c r="B8715" s="17">
        <v>7260400.0</v>
      </c>
    </row>
    <row r="8716">
      <c r="A8716" s="17">
        <v>1006000.0</v>
      </c>
      <c r="B8716" s="17">
        <v>7270100.0</v>
      </c>
    </row>
    <row r="8717">
      <c r="A8717" s="17">
        <v>1006000.0</v>
      </c>
      <c r="B8717" s="17">
        <v>7280000.0</v>
      </c>
    </row>
    <row r="8718">
      <c r="A8718" s="17">
        <v>1006000.0</v>
      </c>
      <c r="B8718" s="17">
        <v>7290000.0</v>
      </c>
    </row>
    <row r="8719">
      <c r="A8719" s="17">
        <v>1006000.0</v>
      </c>
      <c r="B8719" s="17">
        <v>7310000.0</v>
      </c>
    </row>
    <row r="8720">
      <c r="A8720" s="17">
        <v>1006000.0</v>
      </c>
      <c r="B8720" s="17">
        <v>7330000.0</v>
      </c>
    </row>
    <row r="8721">
      <c r="A8721" s="17">
        <v>1006000.0</v>
      </c>
      <c r="B8721" s="17">
        <v>7330100.0</v>
      </c>
    </row>
    <row r="8722">
      <c r="A8722" s="17">
        <v>1006000.0</v>
      </c>
      <c r="B8722" s="17">
        <v>7330200.0</v>
      </c>
    </row>
    <row r="8723">
      <c r="A8723" s="17">
        <v>1006000.0</v>
      </c>
      <c r="B8723" s="17">
        <v>7330300.0</v>
      </c>
    </row>
    <row r="8724">
      <c r="A8724" s="17">
        <v>1006000.0</v>
      </c>
      <c r="B8724" s="17">
        <v>7330400.0</v>
      </c>
    </row>
    <row r="8725">
      <c r="A8725" s="17">
        <v>1006000.0</v>
      </c>
      <c r="B8725" s="17">
        <v>7330500.0</v>
      </c>
    </row>
    <row r="8726">
      <c r="A8726" s="17">
        <v>1006000.0</v>
      </c>
      <c r="B8726" s="17">
        <v>7330600.0</v>
      </c>
    </row>
    <row r="8727">
      <c r="A8727" s="17">
        <v>1006000.0</v>
      </c>
      <c r="B8727" s="17">
        <v>7330700.0</v>
      </c>
    </row>
    <row r="8728">
      <c r="A8728" s="17">
        <v>1006000.0</v>
      </c>
      <c r="B8728" s="17">
        <v>7330800.0</v>
      </c>
    </row>
    <row r="8729">
      <c r="A8729" s="17">
        <v>1006000.0</v>
      </c>
      <c r="B8729" s="17">
        <v>7330900.0</v>
      </c>
    </row>
    <row r="8730">
      <c r="A8730" s="17">
        <v>1006000.0</v>
      </c>
      <c r="B8730" s="17">
        <v>7331000.0</v>
      </c>
    </row>
    <row r="8731">
      <c r="A8731" s="17">
        <v>1006000.0</v>
      </c>
      <c r="B8731" s="17">
        <v>7331100.0</v>
      </c>
    </row>
    <row r="8732">
      <c r="A8732" s="17">
        <v>1006000.0</v>
      </c>
      <c r="B8732" s="17">
        <v>7331200.0</v>
      </c>
    </row>
    <row r="8733">
      <c r="A8733" s="17">
        <v>1006000.0</v>
      </c>
      <c r="B8733" s="17">
        <v>7331300.0</v>
      </c>
    </row>
    <row r="8734">
      <c r="A8734" s="17">
        <v>1006000.0</v>
      </c>
      <c r="B8734" s="17">
        <v>7331400.0</v>
      </c>
    </row>
    <row r="8735">
      <c r="A8735" s="17">
        <v>1006000.0</v>
      </c>
      <c r="B8735" s="17">
        <v>7331500.0</v>
      </c>
    </row>
    <row r="8736">
      <c r="A8736" s="17">
        <v>1006000.0</v>
      </c>
      <c r="B8736" s="17">
        <v>7331700.0</v>
      </c>
    </row>
    <row r="8737">
      <c r="A8737" s="17">
        <v>1006000.0</v>
      </c>
      <c r="B8737" s="17">
        <v>7331800.0</v>
      </c>
    </row>
    <row r="8738">
      <c r="A8738" s="17">
        <v>1006000.0</v>
      </c>
      <c r="B8738" s="17">
        <v>7331900.0</v>
      </c>
    </row>
    <row r="8739">
      <c r="A8739" s="17">
        <v>1006000.0</v>
      </c>
      <c r="B8739" s="17">
        <v>7332000.0</v>
      </c>
    </row>
    <row r="8740">
      <c r="A8740" s="17">
        <v>1006000.0</v>
      </c>
      <c r="B8740" s="17">
        <v>7332100.0</v>
      </c>
    </row>
    <row r="8741">
      <c r="A8741" s="17">
        <v>1006000.0</v>
      </c>
      <c r="B8741" s="17">
        <v>7332200.0</v>
      </c>
    </row>
    <row r="8742">
      <c r="A8742" s="17">
        <v>1006000.0</v>
      </c>
      <c r="B8742" s="17">
        <v>7332300.0</v>
      </c>
    </row>
    <row r="8743">
      <c r="A8743" s="17">
        <v>1006000.0</v>
      </c>
      <c r="B8743" s="17">
        <v>7332400.0</v>
      </c>
    </row>
    <row r="8744">
      <c r="A8744" s="17">
        <v>1006000.0</v>
      </c>
      <c r="B8744" s="17">
        <v>7340000.0</v>
      </c>
    </row>
    <row r="8745">
      <c r="A8745" s="17">
        <v>1006000.0</v>
      </c>
      <c r="B8745" s="17">
        <v>7340100.0</v>
      </c>
    </row>
    <row r="8746">
      <c r="A8746" s="17">
        <v>1006000.0</v>
      </c>
      <c r="B8746" s="17">
        <v>7340200.0</v>
      </c>
    </row>
    <row r="8747">
      <c r="A8747" s="17">
        <v>1006000.0</v>
      </c>
      <c r="B8747" s="17">
        <v>7340300.0</v>
      </c>
    </row>
    <row r="8748">
      <c r="A8748" s="17">
        <v>1006000.0</v>
      </c>
      <c r="B8748" s="17">
        <v>7340400.0</v>
      </c>
    </row>
    <row r="8749">
      <c r="A8749" s="17">
        <v>1006000.0</v>
      </c>
      <c r="B8749" s="17">
        <v>7340500.0</v>
      </c>
    </row>
    <row r="8750">
      <c r="A8750" s="17">
        <v>1006000.0</v>
      </c>
      <c r="B8750" s="17">
        <v>7340600.0</v>
      </c>
    </row>
    <row r="8751">
      <c r="A8751" s="17">
        <v>1006000.0</v>
      </c>
      <c r="B8751" s="17">
        <v>7340700.0</v>
      </c>
    </row>
    <row r="8752">
      <c r="A8752" s="17">
        <v>1006000.0</v>
      </c>
      <c r="B8752" s="17">
        <v>7340800.0</v>
      </c>
    </row>
    <row r="8753">
      <c r="A8753" s="17">
        <v>1006000.0</v>
      </c>
      <c r="B8753" s="17">
        <v>7340900.0</v>
      </c>
    </row>
    <row r="8754">
      <c r="A8754" s="17">
        <v>1006000.0</v>
      </c>
      <c r="B8754" s="17">
        <v>7341000.0</v>
      </c>
    </row>
    <row r="8755">
      <c r="A8755" s="17">
        <v>1006000.0</v>
      </c>
      <c r="B8755" s="17">
        <v>7341100.0</v>
      </c>
    </row>
    <row r="8756">
      <c r="A8756" s="17">
        <v>1006000.0</v>
      </c>
      <c r="B8756" s="17">
        <v>7341200.0</v>
      </c>
    </row>
    <row r="8757">
      <c r="A8757" s="17">
        <v>1006000.0</v>
      </c>
      <c r="B8757" s="17">
        <v>7341300.0</v>
      </c>
    </row>
    <row r="8758">
      <c r="A8758" s="17">
        <v>1006000.0</v>
      </c>
      <c r="B8758" s="17">
        <v>7341400.0</v>
      </c>
    </row>
    <row r="8759">
      <c r="A8759" s="17">
        <v>1006000.0</v>
      </c>
      <c r="B8759" s="17">
        <v>7341500.0</v>
      </c>
    </row>
    <row r="8760">
      <c r="A8760" s="17">
        <v>1006000.0</v>
      </c>
      <c r="B8760" s="17">
        <v>7341700.0</v>
      </c>
    </row>
    <row r="8761">
      <c r="A8761" s="17">
        <v>1006000.0</v>
      </c>
      <c r="B8761" s="17">
        <v>7341800.0</v>
      </c>
    </row>
    <row r="8762">
      <c r="A8762" s="17">
        <v>1006000.0</v>
      </c>
      <c r="B8762" s="17">
        <v>7341900.0</v>
      </c>
    </row>
    <row r="8763">
      <c r="A8763" s="17">
        <v>1006000.0</v>
      </c>
      <c r="B8763" s="17">
        <v>7342000.0</v>
      </c>
    </row>
    <row r="8764">
      <c r="A8764" s="17">
        <v>1006000.0</v>
      </c>
      <c r="B8764" s="17">
        <v>7342100.0</v>
      </c>
    </row>
    <row r="8765">
      <c r="A8765" s="17">
        <v>1006000.0</v>
      </c>
      <c r="B8765" s="17">
        <v>7342200.0</v>
      </c>
    </row>
    <row r="8766">
      <c r="A8766" s="17">
        <v>1006000.0</v>
      </c>
      <c r="B8766" s="17">
        <v>7342300.0</v>
      </c>
    </row>
    <row r="8767">
      <c r="A8767" s="17">
        <v>1006000.0</v>
      </c>
      <c r="B8767" s="17">
        <v>7342400.0</v>
      </c>
    </row>
    <row r="8768">
      <c r="A8768" s="17">
        <v>1006000.0</v>
      </c>
      <c r="B8768" s="17">
        <v>7350000.0</v>
      </c>
    </row>
    <row r="8769">
      <c r="A8769" s="17">
        <v>1006000.0</v>
      </c>
      <c r="B8769" s="17">
        <v>7350100.0</v>
      </c>
    </row>
    <row r="8770">
      <c r="A8770" s="17">
        <v>1006000.0</v>
      </c>
      <c r="B8770" s="17">
        <v>7350200.0</v>
      </c>
    </row>
    <row r="8771">
      <c r="A8771" s="17">
        <v>1006000.0</v>
      </c>
      <c r="B8771" s="17">
        <v>7350300.0</v>
      </c>
    </row>
    <row r="8772">
      <c r="A8772" s="17">
        <v>1006000.0</v>
      </c>
      <c r="B8772" s="17">
        <v>7350400.0</v>
      </c>
    </row>
    <row r="8773">
      <c r="A8773" s="17">
        <v>1006000.0</v>
      </c>
      <c r="B8773" s="17">
        <v>7350500.0</v>
      </c>
    </row>
    <row r="8774">
      <c r="A8774" s="17">
        <v>1006000.0</v>
      </c>
      <c r="B8774" s="17">
        <v>7350600.0</v>
      </c>
    </row>
    <row r="8775">
      <c r="A8775" s="17">
        <v>1006000.0</v>
      </c>
      <c r="B8775" s="17">
        <v>7350700.0</v>
      </c>
    </row>
    <row r="8776">
      <c r="A8776" s="17">
        <v>1006000.0</v>
      </c>
      <c r="B8776" s="17">
        <v>7350800.0</v>
      </c>
    </row>
    <row r="8777">
      <c r="A8777" s="17">
        <v>1006000.0</v>
      </c>
      <c r="B8777" s="17">
        <v>7350900.0</v>
      </c>
    </row>
    <row r="8778">
      <c r="A8778" s="17">
        <v>1006000.0</v>
      </c>
      <c r="B8778" s="17">
        <v>7351000.0</v>
      </c>
    </row>
    <row r="8779">
      <c r="A8779" s="17">
        <v>1006000.0</v>
      </c>
      <c r="B8779" s="17">
        <v>7351100.0</v>
      </c>
    </row>
    <row r="8780">
      <c r="A8780" s="17">
        <v>1006000.0</v>
      </c>
      <c r="B8780" s="17">
        <v>7351200.0</v>
      </c>
    </row>
    <row r="8781">
      <c r="A8781" s="17">
        <v>1006000.0</v>
      </c>
      <c r="B8781" s="17">
        <v>7351300.0</v>
      </c>
    </row>
    <row r="8782">
      <c r="A8782" s="17">
        <v>1006000.0</v>
      </c>
      <c r="B8782" s="17">
        <v>7351400.0</v>
      </c>
    </row>
    <row r="8783">
      <c r="A8783" s="17">
        <v>1006000.0</v>
      </c>
      <c r="B8783" s="17">
        <v>7351500.0</v>
      </c>
    </row>
    <row r="8784">
      <c r="A8784" s="17">
        <v>1006000.0</v>
      </c>
      <c r="B8784" s="17">
        <v>7351700.0</v>
      </c>
    </row>
    <row r="8785">
      <c r="A8785" s="17">
        <v>1006000.0</v>
      </c>
      <c r="B8785" s="17">
        <v>7351800.0</v>
      </c>
    </row>
    <row r="8786">
      <c r="A8786" s="17">
        <v>1006000.0</v>
      </c>
      <c r="B8786" s="17">
        <v>7351900.0</v>
      </c>
    </row>
    <row r="8787">
      <c r="A8787" s="17">
        <v>1006000.0</v>
      </c>
      <c r="B8787" s="17">
        <v>7352000.0</v>
      </c>
    </row>
    <row r="8788">
      <c r="A8788" s="17">
        <v>1006000.0</v>
      </c>
      <c r="B8788" s="17">
        <v>7352100.0</v>
      </c>
    </row>
    <row r="8789">
      <c r="A8789" s="17">
        <v>1006000.0</v>
      </c>
      <c r="B8789" s="17">
        <v>7352200.0</v>
      </c>
    </row>
    <row r="8790">
      <c r="A8790" s="17">
        <v>1006000.0</v>
      </c>
      <c r="B8790" s="17">
        <v>7352300.0</v>
      </c>
    </row>
    <row r="8791">
      <c r="A8791" s="17">
        <v>1006000.0</v>
      </c>
      <c r="B8791" s="17">
        <v>7352400.0</v>
      </c>
    </row>
    <row r="8792">
      <c r="A8792" s="17">
        <v>1006000.0</v>
      </c>
      <c r="B8792" s="17">
        <v>7360600.0</v>
      </c>
    </row>
    <row r="8793">
      <c r="A8793" s="17">
        <v>1006000.0</v>
      </c>
      <c r="B8793" s="17">
        <v>7360900.0</v>
      </c>
    </row>
    <row r="8794">
      <c r="A8794" s="17">
        <v>1006000.0</v>
      </c>
      <c r="B8794" s="17">
        <v>7361200.0</v>
      </c>
    </row>
    <row r="8795">
      <c r="A8795" s="17">
        <v>1006000.0</v>
      </c>
      <c r="B8795" s="17">
        <v>7361300.0</v>
      </c>
    </row>
    <row r="8796">
      <c r="A8796" s="17">
        <v>1006000.0</v>
      </c>
      <c r="B8796" s="17">
        <v>7362100.0</v>
      </c>
    </row>
    <row r="8797">
      <c r="A8797" s="17">
        <v>1006000.0</v>
      </c>
      <c r="B8797" s="17">
        <v>7370300.0</v>
      </c>
    </row>
    <row r="8798">
      <c r="A8798" s="17">
        <v>1006000.0</v>
      </c>
      <c r="B8798" s="17">
        <v>7370400.0</v>
      </c>
    </row>
    <row r="8799">
      <c r="A8799" s="17">
        <v>1006000.0</v>
      </c>
      <c r="B8799" s="17">
        <v>7370600.0</v>
      </c>
    </row>
    <row r="8800">
      <c r="A8800" s="17">
        <v>1006000.0</v>
      </c>
      <c r="B8800" s="17">
        <v>7370900.0</v>
      </c>
    </row>
    <row r="8801">
      <c r="A8801" s="17">
        <v>1006000.0</v>
      </c>
      <c r="B8801" s="17">
        <v>7371500.0</v>
      </c>
    </row>
    <row r="8802">
      <c r="A8802" s="17">
        <v>1006000.0</v>
      </c>
      <c r="B8802" s="17">
        <v>7036200.0</v>
      </c>
    </row>
    <row r="8803">
      <c r="A8803" s="17">
        <v>1006000.0</v>
      </c>
      <c r="B8803" s="17">
        <v>7036300.0</v>
      </c>
    </row>
    <row r="8804">
      <c r="A8804" s="17">
        <v>1006000.0</v>
      </c>
      <c r="B8804" s="17">
        <v>7036400.0</v>
      </c>
    </row>
    <row r="8805">
      <c r="A8805" s="17">
        <v>1006000.0</v>
      </c>
      <c r="B8805" s="17">
        <v>7036500.0</v>
      </c>
    </row>
    <row r="8806">
      <c r="A8806" s="17">
        <v>1006000.0</v>
      </c>
      <c r="B8806" s="17">
        <v>7036800.0</v>
      </c>
    </row>
    <row r="8807">
      <c r="A8807" s="17">
        <v>1006000.0</v>
      </c>
      <c r="B8807" s="17">
        <v>7036900.0</v>
      </c>
    </row>
    <row r="8808">
      <c r="A8808" s="17">
        <v>1006000.0</v>
      </c>
      <c r="B8808" s="17">
        <v>7037000.0</v>
      </c>
    </row>
    <row r="8809">
      <c r="A8809" s="17">
        <v>1006000.0</v>
      </c>
      <c r="B8809" s="17">
        <v>7037300.0</v>
      </c>
    </row>
    <row r="8810">
      <c r="A8810" s="17">
        <v>1006000.0</v>
      </c>
      <c r="B8810" s="17">
        <v>6630000.0</v>
      </c>
    </row>
    <row r="8811">
      <c r="A8811" s="17">
        <v>1006000.0</v>
      </c>
      <c r="B8811" s="17">
        <v>6630100.0</v>
      </c>
    </row>
    <row r="8812">
      <c r="A8812" s="17">
        <v>1006000.0</v>
      </c>
      <c r="B8812" s="17">
        <v>6630200.0</v>
      </c>
    </row>
    <row r="8813">
      <c r="A8813" s="17">
        <v>1006000.0</v>
      </c>
      <c r="B8813" s="17">
        <v>6630300.0</v>
      </c>
    </row>
    <row r="8814">
      <c r="A8814" s="17">
        <v>1006000.0</v>
      </c>
      <c r="B8814" s="17">
        <v>6630400.0</v>
      </c>
    </row>
    <row r="8815">
      <c r="A8815" s="17">
        <v>1006000.0</v>
      </c>
      <c r="B8815" s="17">
        <v>6630500.0</v>
      </c>
    </row>
    <row r="8816">
      <c r="A8816" s="17">
        <v>1006000.0</v>
      </c>
      <c r="B8816" s="17">
        <v>6630600.0</v>
      </c>
    </row>
    <row r="8817">
      <c r="A8817" s="17">
        <v>1006000.0</v>
      </c>
      <c r="B8817" s="17">
        <v>6630700.0</v>
      </c>
    </row>
    <row r="8818">
      <c r="A8818" s="17">
        <v>1006000.0</v>
      </c>
      <c r="B8818" s="17">
        <v>6630800.0</v>
      </c>
    </row>
    <row r="8819">
      <c r="A8819" s="17">
        <v>1006000.0</v>
      </c>
      <c r="B8819" s="17">
        <v>6630900.0</v>
      </c>
    </row>
    <row r="8820">
      <c r="A8820" s="17">
        <v>1006000.0</v>
      </c>
      <c r="B8820" s="17">
        <v>6631000.0</v>
      </c>
    </row>
    <row r="8821">
      <c r="A8821" s="17">
        <v>1006000.0</v>
      </c>
      <c r="B8821" s="17">
        <v>6631100.0</v>
      </c>
    </row>
    <row r="8822">
      <c r="A8822" s="17">
        <v>1006000.0</v>
      </c>
      <c r="B8822" s="17">
        <v>6631200.0</v>
      </c>
    </row>
    <row r="8823">
      <c r="A8823" s="17">
        <v>1006000.0</v>
      </c>
      <c r="B8823" s="17">
        <v>6631300.0</v>
      </c>
    </row>
    <row r="8824">
      <c r="A8824" s="17">
        <v>1006000.0</v>
      </c>
      <c r="B8824" s="17">
        <v>6631400.0</v>
      </c>
    </row>
    <row r="8825">
      <c r="A8825" s="17">
        <v>1006000.0</v>
      </c>
      <c r="B8825" s="17">
        <v>6631500.0</v>
      </c>
    </row>
    <row r="8826">
      <c r="A8826" s="17">
        <v>1006000.0</v>
      </c>
      <c r="B8826" s="17">
        <v>6631600.0</v>
      </c>
    </row>
    <row r="8827">
      <c r="A8827" s="17">
        <v>1006000.0</v>
      </c>
      <c r="B8827" s="17">
        <v>6631700.0</v>
      </c>
    </row>
    <row r="8828">
      <c r="A8828" s="17">
        <v>1006000.0</v>
      </c>
      <c r="B8828" s="17">
        <v>6631800.0</v>
      </c>
    </row>
    <row r="8829">
      <c r="A8829" s="17">
        <v>1006000.0</v>
      </c>
      <c r="B8829" s="17">
        <v>6631900.0</v>
      </c>
    </row>
    <row r="8830">
      <c r="A8830" s="17">
        <v>1006000.0</v>
      </c>
      <c r="B8830" s="17">
        <v>6632000.0</v>
      </c>
    </row>
    <row r="8831">
      <c r="A8831" s="17">
        <v>1006000.0</v>
      </c>
      <c r="B8831" s="17">
        <v>6632100.0</v>
      </c>
    </row>
    <row r="8832">
      <c r="A8832" s="17">
        <v>1006000.0</v>
      </c>
      <c r="B8832" s="17">
        <v>6632200.0</v>
      </c>
    </row>
    <row r="8833">
      <c r="A8833" s="17">
        <v>1006000.0</v>
      </c>
      <c r="B8833" s="17">
        <v>6632300.0</v>
      </c>
    </row>
    <row r="8834">
      <c r="A8834" s="17">
        <v>1006000.0</v>
      </c>
      <c r="B8834" s="17">
        <v>6632400.0</v>
      </c>
    </row>
    <row r="8835">
      <c r="A8835" s="17">
        <v>1006000.0</v>
      </c>
      <c r="B8835" s="17">
        <v>6632500.0</v>
      </c>
    </row>
    <row r="8836">
      <c r="A8836" s="17">
        <v>1006000.0</v>
      </c>
      <c r="B8836" s="17">
        <v>6632600.0</v>
      </c>
    </row>
    <row r="8837">
      <c r="A8837" s="17">
        <v>1006000.0</v>
      </c>
      <c r="B8837" s="17">
        <v>6632700.0</v>
      </c>
    </row>
    <row r="8838">
      <c r="A8838" s="17">
        <v>1006000.0</v>
      </c>
      <c r="B8838" s="17">
        <v>6632800.0</v>
      </c>
    </row>
    <row r="8839">
      <c r="A8839" s="17">
        <v>1006000.0</v>
      </c>
      <c r="B8839" s="17">
        <v>6632900.0</v>
      </c>
    </row>
    <row r="8840">
      <c r="A8840" s="17">
        <v>1006000.0</v>
      </c>
      <c r="B8840" s="17">
        <v>6633000.0</v>
      </c>
    </row>
    <row r="8841">
      <c r="A8841" s="17">
        <v>1006000.0</v>
      </c>
      <c r="B8841" s="17">
        <v>6633100.0</v>
      </c>
    </row>
    <row r="8842">
      <c r="A8842" s="17">
        <v>1006000.0</v>
      </c>
      <c r="B8842" s="17">
        <v>6633200.0</v>
      </c>
    </row>
    <row r="8843">
      <c r="A8843" s="17">
        <v>1006000.0</v>
      </c>
      <c r="B8843" s="17">
        <v>6647200.0</v>
      </c>
    </row>
    <row r="8844">
      <c r="A8844" s="17">
        <v>1006000.0</v>
      </c>
      <c r="B8844" s="17">
        <v>6647300.0</v>
      </c>
    </row>
    <row r="8845">
      <c r="A8845" s="17">
        <v>1006000.0</v>
      </c>
      <c r="B8845" s="17">
        <v>6647400.0</v>
      </c>
    </row>
    <row r="8846">
      <c r="A8846" s="17">
        <v>1006000.0</v>
      </c>
      <c r="B8846" s="17">
        <v>6647500.0</v>
      </c>
    </row>
    <row r="8847">
      <c r="A8847" s="17">
        <v>1006000.0</v>
      </c>
      <c r="B8847" s="17">
        <v>6640000.0</v>
      </c>
    </row>
    <row r="8848">
      <c r="A8848" s="17">
        <v>1006000.0</v>
      </c>
      <c r="B8848" s="17">
        <v>6640100.0</v>
      </c>
    </row>
    <row r="8849">
      <c r="A8849" s="17">
        <v>1006000.0</v>
      </c>
      <c r="B8849" s="17">
        <v>6641000.0</v>
      </c>
    </row>
    <row r="8850">
      <c r="A8850" s="17">
        <v>1006000.0</v>
      </c>
      <c r="B8850" s="17">
        <v>6641100.0</v>
      </c>
    </row>
    <row r="8851">
      <c r="A8851" s="17">
        <v>1006000.0</v>
      </c>
      <c r="B8851" s="17">
        <v>6642000.0</v>
      </c>
    </row>
    <row r="8852">
      <c r="A8852" s="17">
        <v>1006000.0</v>
      </c>
      <c r="B8852" s="17">
        <v>6642100.0</v>
      </c>
    </row>
    <row r="8853">
      <c r="A8853" s="17">
        <v>1006000.0</v>
      </c>
      <c r="B8853" s="17">
        <v>6643000.0</v>
      </c>
    </row>
    <row r="8854">
      <c r="A8854" s="17">
        <v>1006000.0</v>
      </c>
      <c r="B8854" s="17">
        <v>6643100.0</v>
      </c>
    </row>
    <row r="8855">
      <c r="A8855" s="17">
        <v>1006000.0</v>
      </c>
      <c r="B8855" s="17">
        <v>6644000.0</v>
      </c>
    </row>
    <row r="8856">
      <c r="A8856" s="17">
        <v>1006000.0</v>
      </c>
      <c r="B8856" s="17">
        <v>6644100.0</v>
      </c>
    </row>
    <row r="8857">
      <c r="A8857" s="17">
        <v>1006000.0</v>
      </c>
      <c r="B8857" s="17">
        <v>6645000.0</v>
      </c>
    </row>
    <row r="8858">
      <c r="A8858" s="17">
        <v>1006000.0</v>
      </c>
      <c r="B8858" s="17">
        <v>6645100.0</v>
      </c>
    </row>
    <row r="8859">
      <c r="A8859" s="17">
        <v>1006000.0</v>
      </c>
      <c r="B8859" s="17">
        <v>6646000.0</v>
      </c>
    </row>
    <row r="8860">
      <c r="A8860" s="17">
        <v>1006000.0</v>
      </c>
      <c r="B8860" s="17">
        <v>6646100.0</v>
      </c>
    </row>
    <row r="8861">
      <c r="A8861" s="17">
        <v>1006000.0</v>
      </c>
      <c r="B8861" s="17">
        <v>6647000.0</v>
      </c>
    </row>
    <row r="8862">
      <c r="A8862" s="17">
        <v>1006000.0</v>
      </c>
      <c r="B8862" s="17">
        <v>6647100.0</v>
      </c>
    </row>
    <row r="8863">
      <c r="A8863" s="17">
        <v>1006001.0</v>
      </c>
      <c r="B8863" s="17">
        <v>7000000.0</v>
      </c>
    </row>
    <row r="8864">
      <c r="A8864" s="17">
        <v>1006001.0</v>
      </c>
      <c r="B8864" s="17">
        <v>7000001.0</v>
      </c>
    </row>
    <row r="8865">
      <c r="A8865" s="17">
        <v>1006001.0</v>
      </c>
      <c r="B8865" s="17">
        <v>7000002.0</v>
      </c>
    </row>
    <row r="8866">
      <c r="A8866" s="17">
        <v>1006001.0</v>
      </c>
      <c r="B8866" s="17">
        <v>7000100.0</v>
      </c>
    </row>
    <row r="8867">
      <c r="A8867" s="17">
        <v>1006001.0</v>
      </c>
      <c r="B8867" s="17">
        <v>7000101.0</v>
      </c>
    </row>
    <row r="8868">
      <c r="A8868" s="17">
        <v>1006001.0</v>
      </c>
      <c r="B8868" s="17">
        <v>7000102.0</v>
      </c>
    </row>
    <row r="8869">
      <c r="A8869" s="17">
        <v>1006001.0</v>
      </c>
      <c r="B8869" s="17">
        <v>7000200.0</v>
      </c>
    </row>
    <row r="8870">
      <c r="A8870" s="17">
        <v>1006001.0</v>
      </c>
      <c r="B8870" s="17">
        <v>7000201.0</v>
      </c>
    </row>
    <row r="8871">
      <c r="A8871" s="17">
        <v>1006001.0</v>
      </c>
      <c r="B8871" s="17">
        <v>7000202.0</v>
      </c>
    </row>
    <row r="8872">
      <c r="A8872" s="17">
        <v>1006001.0</v>
      </c>
      <c r="B8872" s="17">
        <v>7000300.0</v>
      </c>
    </row>
    <row r="8873">
      <c r="A8873" s="17">
        <v>1006001.0</v>
      </c>
      <c r="B8873" s="17">
        <v>7000301.0</v>
      </c>
    </row>
    <row r="8874">
      <c r="A8874" s="17">
        <v>1006001.0</v>
      </c>
      <c r="B8874" s="17">
        <v>7000302.0</v>
      </c>
    </row>
    <row r="8875">
      <c r="A8875" s="17">
        <v>1006001.0</v>
      </c>
      <c r="B8875" s="17">
        <v>7000400.0</v>
      </c>
    </row>
    <row r="8876">
      <c r="A8876" s="17">
        <v>1006001.0</v>
      </c>
      <c r="B8876" s="17">
        <v>7000401.0</v>
      </c>
    </row>
    <row r="8877">
      <c r="A8877" s="17">
        <v>1006001.0</v>
      </c>
      <c r="B8877" s="17">
        <v>7000402.0</v>
      </c>
    </row>
    <row r="8878">
      <c r="A8878" s="17">
        <v>1006001.0</v>
      </c>
      <c r="B8878" s="17">
        <v>7000500.0</v>
      </c>
    </row>
    <row r="8879">
      <c r="A8879" s="17">
        <v>1006001.0</v>
      </c>
      <c r="B8879" s="17">
        <v>7000501.0</v>
      </c>
    </row>
    <row r="8880">
      <c r="A8880" s="17">
        <v>1006001.0</v>
      </c>
      <c r="B8880" s="17">
        <v>7000502.0</v>
      </c>
    </row>
    <row r="8881">
      <c r="A8881" s="17">
        <v>1006001.0</v>
      </c>
      <c r="B8881" s="17">
        <v>7000600.0</v>
      </c>
    </row>
    <row r="8882">
      <c r="A8882" s="17">
        <v>1006001.0</v>
      </c>
      <c r="B8882" s="17">
        <v>7000601.0</v>
      </c>
    </row>
    <row r="8883">
      <c r="A8883" s="17">
        <v>1006001.0</v>
      </c>
      <c r="B8883" s="17">
        <v>7000602.0</v>
      </c>
    </row>
    <row r="8884">
      <c r="A8884" s="17">
        <v>1006001.0</v>
      </c>
      <c r="B8884" s="17">
        <v>7000700.0</v>
      </c>
    </row>
    <row r="8885">
      <c r="A8885" s="17">
        <v>1006001.0</v>
      </c>
      <c r="B8885" s="17">
        <v>7000701.0</v>
      </c>
    </row>
    <row r="8886">
      <c r="A8886" s="17">
        <v>1006001.0</v>
      </c>
      <c r="B8886" s="17">
        <v>7000702.0</v>
      </c>
    </row>
    <row r="8887">
      <c r="A8887" s="17">
        <v>1006001.0</v>
      </c>
      <c r="B8887" s="17">
        <v>7000800.0</v>
      </c>
    </row>
    <row r="8888">
      <c r="A8888" s="17">
        <v>1006001.0</v>
      </c>
      <c r="B8888" s="17">
        <v>7000801.0</v>
      </c>
    </row>
    <row r="8889">
      <c r="A8889" s="17">
        <v>1006001.0</v>
      </c>
      <c r="B8889" s="17">
        <v>7000802.0</v>
      </c>
    </row>
    <row r="8890">
      <c r="A8890" s="17">
        <v>1006001.0</v>
      </c>
      <c r="B8890" s="17">
        <v>7000900.0</v>
      </c>
    </row>
    <row r="8891">
      <c r="A8891" s="17">
        <v>1006001.0</v>
      </c>
      <c r="B8891" s="17">
        <v>7000901.0</v>
      </c>
    </row>
    <row r="8892">
      <c r="A8892" s="17">
        <v>1006001.0</v>
      </c>
      <c r="B8892" s="17">
        <v>7000902.0</v>
      </c>
    </row>
    <row r="8893">
      <c r="A8893" s="17">
        <v>1006001.0</v>
      </c>
      <c r="B8893" s="17">
        <v>7001000.0</v>
      </c>
    </row>
    <row r="8894">
      <c r="A8894" s="17">
        <v>1006001.0</v>
      </c>
      <c r="B8894" s="17">
        <v>7001001.0</v>
      </c>
    </row>
    <row r="8895">
      <c r="A8895" s="17">
        <v>1006001.0</v>
      </c>
      <c r="B8895" s="17">
        <v>7001002.0</v>
      </c>
    </row>
    <row r="8896">
      <c r="A8896" s="17">
        <v>1006001.0</v>
      </c>
      <c r="B8896" s="17">
        <v>7001400.0</v>
      </c>
    </row>
    <row r="8897">
      <c r="A8897" s="17">
        <v>1006001.0</v>
      </c>
      <c r="B8897" s="17">
        <v>7001401.0</v>
      </c>
    </row>
    <row r="8898">
      <c r="A8898" s="17">
        <v>1006001.0</v>
      </c>
      <c r="B8898" s="17">
        <v>7001402.0</v>
      </c>
    </row>
    <row r="8899">
      <c r="A8899" s="17">
        <v>1006001.0</v>
      </c>
      <c r="B8899" s="17">
        <v>7001500.0</v>
      </c>
    </row>
    <row r="8900">
      <c r="A8900" s="17">
        <v>1006001.0</v>
      </c>
      <c r="B8900" s="17">
        <v>7001501.0</v>
      </c>
    </row>
    <row r="8901">
      <c r="A8901" s="17">
        <v>1006001.0</v>
      </c>
      <c r="B8901" s="17">
        <v>7001502.0</v>
      </c>
    </row>
    <row r="8902">
      <c r="A8902" s="17">
        <v>1006001.0</v>
      </c>
      <c r="B8902" s="17">
        <v>7001600.0</v>
      </c>
    </row>
    <row r="8903">
      <c r="A8903" s="17">
        <v>1006001.0</v>
      </c>
      <c r="B8903" s="17">
        <v>7001601.0</v>
      </c>
    </row>
    <row r="8904">
      <c r="A8904" s="17">
        <v>1006001.0</v>
      </c>
      <c r="B8904" s="17">
        <v>7001602.0</v>
      </c>
    </row>
    <row r="8905">
      <c r="A8905" s="17">
        <v>1006001.0</v>
      </c>
      <c r="B8905" s="17">
        <v>7001700.0</v>
      </c>
    </row>
    <row r="8906">
      <c r="A8906" s="17">
        <v>1006001.0</v>
      </c>
      <c r="B8906" s="17">
        <v>7001701.0</v>
      </c>
    </row>
    <row r="8907">
      <c r="A8907" s="17">
        <v>1006001.0</v>
      </c>
      <c r="B8907" s="17">
        <v>7001702.0</v>
      </c>
    </row>
    <row r="8908">
      <c r="A8908" s="17">
        <v>1006001.0</v>
      </c>
      <c r="B8908" s="17">
        <v>7001800.0</v>
      </c>
    </row>
    <row r="8909">
      <c r="A8909" s="17">
        <v>1006001.0</v>
      </c>
      <c r="B8909" s="17">
        <v>7001801.0</v>
      </c>
    </row>
    <row r="8910">
      <c r="A8910" s="17">
        <v>1006001.0</v>
      </c>
      <c r="B8910" s="17">
        <v>7001802.0</v>
      </c>
    </row>
    <row r="8911">
      <c r="A8911" s="17">
        <v>1006001.0</v>
      </c>
      <c r="B8911" s="17">
        <v>7002600.0</v>
      </c>
    </row>
    <row r="8912">
      <c r="A8912" s="17">
        <v>1006001.0</v>
      </c>
      <c r="B8912" s="17">
        <v>7002700.0</v>
      </c>
    </row>
    <row r="8913">
      <c r="A8913" s="17">
        <v>1006001.0</v>
      </c>
      <c r="B8913" s="17">
        <v>7002800.0</v>
      </c>
    </row>
    <row r="8914">
      <c r="A8914" s="17">
        <v>1006001.0</v>
      </c>
      <c r="B8914" s="17">
        <v>7002900.0</v>
      </c>
    </row>
    <row r="8915">
      <c r="A8915" s="17">
        <v>1006001.0</v>
      </c>
      <c r="B8915" s="17">
        <v>7003000.0</v>
      </c>
    </row>
    <row r="8916">
      <c r="A8916" s="17">
        <v>1006001.0</v>
      </c>
      <c r="B8916" s="17">
        <v>7003100.0</v>
      </c>
    </row>
    <row r="8917">
      <c r="A8917" s="17">
        <v>1006001.0</v>
      </c>
      <c r="B8917" s="17">
        <v>7003200.0</v>
      </c>
    </row>
    <row r="8918">
      <c r="A8918" s="17">
        <v>1006001.0</v>
      </c>
      <c r="B8918" s="17">
        <v>7003300.0</v>
      </c>
    </row>
    <row r="8919">
      <c r="A8919" s="17">
        <v>1006001.0</v>
      </c>
      <c r="B8919" s="17">
        <v>7003400.0</v>
      </c>
    </row>
    <row r="8920">
      <c r="A8920" s="17">
        <v>1006001.0</v>
      </c>
      <c r="B8920" s="17">
        <v>7003500.0</v>
      </c>
    </row>
    <row r="8921">
      <c r="A8921" s="17">
        <v>1006001.0</v>
      </c>
      <c r="B8921" s="17">
        <v>7003600.0</v>
      </c>
    </row>
    <row r="8922">
      <c r="A8922" s="17">
        <v>1006001.0</v>
      </c>
      <c r="B8922" s="17">
        <v>7005600.0</v>
      </c>
    </row>
    <row r="8923">
      <c r="A8923" s="17">
        <v>1006001.0</v>
      </c>
      <c r="B8923" s="17">
        <v>7006000.0</v>
      </c>
    </row>
    <row r="8924">
      <c r="A8924" s="17">
        <v>1006001.0</v>
      </c>
      <c r="B8924" s="17">
        <v>7006100.0</v>
      </c>
    </row>
    <row r="8925">
      <c r="A8925" s="17">
        <v>1006001.0</v>
      </c>
      <c r="B8925" s="17">
        <v>7010200.0</v>
      </c>
    </row>
    <row r="8926">
      <c r="A8926" s="17">
        <v>1006001.0</v>
      </c>
      <c r="B8926" s="17">
        <v>7010500.0</v>
      </c>
    </row>
    <row r="8927">
      <c r="A8927" s="17">
        <v>1006001.0</v>
      </c>
      <c r="B8927" s="17">
        <v>7010700.0</v>
      </c>
    </row>
    <row r="8928">
      <c r="A8928" s="17">
        <v>1006001.0</v>
      </c>
      <c r="B8928" s="17">
        <v>7010900.0</v>
      </c>
    </row>
    <row r="8929">
      <c r="A8929" s="17">
        <v>1006001.0</v>
      </c>
      <c r="B8929" s="17">
        <v>7011000.0</v>
      </c>
    </row>
    <row r="8930">
      <c r="A8930" s="17">
        <v>1006001.0</v>
      </c>
      <c r="B8930" s="17">
        <v>7011200.0</v>
      </c>
    </row>
    <row r="8931">
      <c r="A8931" s="17">
        <v>1006001.0</v>
      </c>
      <c r="B8931" s="17">
        <v>7011600.0</v>
      </c>
    </row>
    <row r="8932">
      <c r="A8932" s="17">
        <v>1006001.0</v>
      </c>
      <c r="B8932" s="17">
        <v>7011700.0</v>
      </c>
    </row>
    <row r="8933">
      <c r="A8933" s="17">
        <v>1006001.0</v>
      </c>
      <c r="B8933" s="17">
        <v>7012000.0</v>
      </c>
    </row>
    <row r="8934">
      <c r="A8934" s="17">
        <v>1006001.0</v>
      </c>
      <c r="B8934" s="17">
        <v>7012200.0</v>
      </c>
    </row>
    <row r="8935">
      <c r="A8935" s="17">
        <v>1006001.0</v>
      </c>
      <c r="B8935" s="17">
        <v>7012300.0</v>
      </c>
    </row>
    <row r="8936">
      <c r="A8936" s="17">
        <v>1006001.0</v>
      </c>
      <c r="B8936" s="17">
        <v>7020000.0</v>
      </c>
    </row>
    <row r="8937">
      <c r="A8937" s="17">
        <v>1006001.0</v>
      </c>
      <c r="B8937" s="17">
        <v>7030000.0</v>
      </c>
    </row>
    <row r="8938">
      <c r="A8938" s="17">
        <v>1006001.0</v>
      </c>
      <c r="B8938" s="17">
        <v>7030200.0</v>
      </c>
    </row>
    <row r="8939">
      <c r="A8939" s="17">
        <v>1006001.0</v>
      </c>
      <c r="B8939" s="17">
        <v>7030600.0</v>
      </c>
    </row>
    <row r="8940">
      <c r="A8940" s="17">
        <v>1006001.0</v>
      </c>
      <c r="B8940" s="17">
        <v>7030700.0</v>
      </c>
    </row>
    <row r="8941">
      <c r="A8941" s="17">
        <v>1006001.0</v>
      </c>
      <c r="B8941" s="17">
        <v>7030800.0</v>
      </c>
    </row>
    <row r="8942">
      <c r="A8942" s="17">
        <v>1006001.0</v>
      </c>
      <c r="B8942" s="17">
        <v>7030900.0</v>
      </c>
    </row>
    <row r="8943">
      <c r="A8943" s="17">
        <v>1006001.0</v>
      </c>
      <c r="B8943" s="17">
        <v>7031200.0</v>
      </c>
    </row>
    <row r="8944">
      <c r="A8944" s="17">
        <v>1006001.0</v>
      </c>
      <c r="B8944" s="17">
        <v>7031300.0</v>
      </c>
    </row>
    <row r="8945">
      <c r="A8945" s="17">
        <v>1006001.0</v>
      </c>
      <c r="B8945" s="17">
        <v>7031800.0</v>
      </c>
    </row>
    <row r="8946">
      <c r="A8946" s="17">
        <v>1006001.0</v>
      </c>
      <c r="B8946" s="17">
        <v>7031900.0</v>
      </c>
    </row>
    <row r="8947">
      <c r="A8947" s="17">
        <v>1006001.0</v>
      </c>
      <c r="B8947" s="17">
        <v>7032200.0</v>
      </c>
    </row>
    <row r="8948">
      <c r="A8948" s="17">
        <v>1006001.0</v>
      </c>
      <c r="B8948" s="17">
        <v>7032400.0</v>
      </c>
    </row>
    <row r="8949">
      <c r="A8949" s="17">
        <v>1006001.0</v>
      </c>
      <c r="B8949" s="17">
        <v>7032700.0</v>
      </c>
    </row>
    <row r="8950">
      <c r="A8950" s="17">
        <v>1006001.0</v>
      </c>
      <c r="B8950" s="17">
        <v>7032800.0</v>
      </c>
    </row>
    <row r="8951">
      <c r="A8951" s="17">
        <v>1006001.0</v>
      </c>
      <c r="B8951" s="17">
        <v>7032900.0</v>
      </c>
    </row>
    <row r="8952">
      <c r="A8952" s="17">
        <v>1006001.0</v>
      </c>
      <c r="B8952" s="17">
        <v>7033200.0</v>
      </c>
    </row>
    <row r="8953">
      <c r="A8953" s="17">
        <v>1006001.0</v>
      </c>
      <c r="B8953" s="17">
        <v>7033400.0</v>
      </c>
    </row>
    <row r="8954">
      <c r="A8954" s="17">
        <v>1006001.0</v>
      </c>
      <c r="B8954" s="17">
        <v>7034100.0</v>
      </c>
    </row>
    <row r="8955">
      <c r="A8955" s="17">
        <v>1006001.0</v>
      </c>
      <c r="B8955" s="17">
        <v>7034400.0</v>
      </c>
    </row>
    <row r="8956">
      <c r="A8956" s="17">
        <v>1006001.0</v>
      </c>
      <c r="B8956" s="17">
        <v>7034500.0</v>
      </c>
    </row>
    <row r="8957">
      <c r="A8957" s="17">
        <v>1006001.0</v>
      </c>
      <c r="B8957" s="17">
        <v>7034600.0</v>
      </c>
    </row>
    <row r="8958">
      <c r="A8958" s="17">
        <v>1006001.0</v>
      </c>
      <c r="B8958" s="17">
        <v>7034700.0</v>
      </c>
    </row>
    <row r="8959">
      <c r="A8959" s="17">
        <v>1006001.0</v>
      </c>
      <c r="B8959" s="17">
        <v>7035100.0</v>
      </c>
    </row>
    <row r="8960">
      <c r="A8960" s="17">
        <v>1006001.0</v>
      </c>
      <c r="B8960" s="17">
        <v>7036100.0</v>
      </c>
    </row>
    <row r="8961">
      <c r="A8961" s="17">
        <v>1006001.0</v>
      </c>
      <c r="B8961" s="17">
        <v>7040000.0</v>
      </c>
    </row>
    <row r="8962">
      <c r="A8962" s="17">
        <v>1006001.0</v>
      </c>
      <c r="B8962" s="17">
        <v>7040100.0</v>
      </c>
    </row>
    <row r="8963">
      <c r="A8963" s="17">
        <v>1006001.0</v>
      </c>
      <c r="B8963" s="17">
        <v>7040200.0</v>
      </c>
    </row>
    <row r="8964">
      <c r="A8964" s="17">
        <v>1006001.0</v>
      </c>
      <c r="B8964" s="17">
        <v>7040300.0</v>
      </c>
    </row>
    <row r="8965">
      <c r="A8965" s="17">
        <v>1006001.0</v>
      </c>
      <c r="B8965" s="17">
        <v>7040400.0</v>
      </c>
    </row>
    <row r="8966">
      <c r="A8966" s="17">
        <v>1006001.0</v>
      </c>
      <c r="B8966" s="17">
        <v>7040500.0</v>
      </c>
    </row>
    <row r="8967">
      <c r="A8967" s="17">
        <v>1006001.0</v>
      </c>
      <c r="B8967" s="17">
        <v>7043000.0</v>
      </c>
    </row>
    <row r="8968">
      <c r="A8968" s="17">
        <v>1006001.0</v>
      </c>
      <c r="B8968" s="17">
        <v>7043100.0</v>
      </c>
    </row>
    <row r="8969">
      <c r="A8969" s="17">
        <v>1006001.0</v>
      </c>
      <c r="B8969" s="17">
        <v>7043200.0</v>
      </c>
    </row>
    <row r="8970">
      <c r="A8970" s="17">
        <v>1006001.0</v>
      </c>
      <c r="B8970" s="17">
        <v>7043300.0</v>
      </c>
    </row>
    <row r="8971">
      <c r="A8971" s="17">
        <v>1006001.0</v>
      </c>
      <c r="B8971" s="17">
        <v>7043400.0</v>
      </c>
    </row>
    <row r="8972">
      <c r="A8972" s="17">
        <v>1006001.0</v>
      </c>
      <c r="B8972" s="17">
        <v>7043500.0</v>
      </c>
    </row>
    <row r="8973">
      <c r="A8973" s="17">
        <v>1006001.0</v>
      </c>
      <c r="B8973" s="17">
        <v>7043600.0</v>
      </c>
    </row>
    <row r="8974">
      <c r="A8974" s="17">
        <v>1006001.0</v>
      </c>
      <c r="B8974" s="17">
        <v>7043700.0</v>
      </c>
    </row>
    <row r="8975">
      <c r="A8975" s="17">
        <v>1006001.0</v>
      </c>
      <c r="B8975" s="17">
        <v>7043800.0</v>
      </c>
    </row>
    <row r="8976">
      <c r="A8976" s="17">
        <v>1006001.0</v>
      </c>
      <c r="B8976" s="17">
        <v>7044000.0</v>
      </c>
    </row>
    <row r="8977">
      <c r="A8977" s="17">
        <v>1006001.0</v>
      </c>
      <c r="B8977" s="17">
        <v>7044100.0</v>
      </c>
    </row>
    <row r="8978">
      <c r="A8978" s="17">
        <v>1006001.0</v>
      </c>
      <c r="B8978" s="17">
        <v>7044200.0</v>
      </c>
    </row>
    <row r="8979">
      <c r="A8979" s="17">
        <v>1006001.0</v>
      </c>
      <c r="B8979" s="17">
        <v>7044300.0</v>
      </c>
    </row>
    <row r="8980">
      <c r="A8980" s="17">
        <v>1006001.0</v>
      </c>
      <c r="B8980" s="17">
        <v>7044400.0</v>
      </c>
    </row>
    <row r="8981">
      <c r="A8981" s="17">
        <v>1006001.0</v>
      </c>
      <c r="B8981" s="17">
        <v>7044500.0</v>
      </c>
    </row>
    <row r="8982">
      <c r="A8982" s="17">
        <v>1006001.0</v>
      </c>
      <c r="B8982" s="17">
        <v>7044600.0</v>
      </c>
    </row>
    <row r="8983">
      <c r="A8983" s="17">
        <v>1006001.0</v>
      </c>
      <c r="B8983" s="17">
        <v>7050000.0</v>
      </c>
    </row>
    <row r="8984">
      <c r="A8984" s="17">
        <v>1006001.0</v>
      </c>
      <c r="B8984" s="17">
        <v>7050100.0</v>
      </c>
    </row>
    <row r="8985">
      <c r="A8985" s="17">
        <v>1006001.0</v>
      </c>
      <c r="B8985" s="17">
        <v>7060000.0</v>
      </c>
    </row>
    <row r="8986">
      <c r="A8986" s="17">
        <v>1006001.0</v>
      </c>
      <c r="B8986" s="17">
        <v>7060100.0</v>
      </c>
    </row>
    <row r="8987">
      <c r="A8987" s="17">
        <v>1006001.0</v>
      </c>
      <c r="B8987" s="17">
        <v>7060200.0</v>
      </c>
    </row>
    <row r="8988">
      <c r="A8988" s="17">
        <v>1006001.0</v>
      </c>
      <c r="B8988" s="17">
        <v>7070000.0</v>
      </c>
    </row>
    <row r="8989">
      <c r="A8989" s="17">
        <v>1006001.0</v>
      </c>
      <c r="B8989" s="17">
        <v>7080000.0</v>
      </c>
    </row>
    <row r="8990">
      <c r="A8990" s="17">
        <v>1006001.0</v>
      </c>
      <c r="B8990" s="17">
        <v>7080100.0</v>
      </c>
    </row>
    <row r="8991">
      <c r="A8991" s="17">
        <v>1006001.0</v>
      </c>
      <c r="B8991" s="17">
        <v>7080200.0</v>
      </c>
    </row>
    <row r="8992">
      <c r="A8992" s="17">
        <v>1006001.0</v>
      </c>
      <c r="B8992" s="17">
        <v>7080300.0</v>
      </c>
    </row>
    <row r="8993">
      <c r="A8993" s="17">
        <v>1006001.0</v>
      </c>
      <c r="B8993" s="17">
        <v>7080400.0</v>
      </c>
    </row>
    <row r="8994">
      <c r="A8994" s="17">
        <v>1006001.0</v>
      </c>
      <c r="B8994" s="17">
        <v>7080500.0</v>
      </c>
    </row>
    <row r="8995">
      <c r="A8995" s="17">
        <v>1006001.0</v>
      </c>
      <c r="B8995" s="17">
        <v>7080600.0</v>
      </c>
    </row>
    <row r="8996">
      <c r="A8996" s="17">
        <v>1006001.0</v>
      </c>
      <c r="B8996" s="17">
        <v>7080700.0</v>
      </c>
    </row>
    <row r="8997">
      <c r="A8997" s="17">
        <v>1006001.0</v>
      </c>
      <c r="B8997" s="17">
        <v>7080800.0</v>
      </c>
    </row>
    <row r="8998">
      <c r="A8998" s="17">
        <v>1006001.0</v>
      </c>
      <c r="B8998" s="17">
        <v>7080900.0</v>
      </c>
    </row>
    <row r="8999">
      <c r="A8999" s="17">
        <v>1006001.0</v>
      </c>
      <c r="B8999" s="17">
        <v>7081000.0</v>
      </c>
    </row>
    <row r="9000">
      <c r="A9000" s="17">
        <v>1006001.0</v>
      </c>
      <c r="B9000" s="17">
        <v>7081100.0</v>
      </c>
    </row>
    <row r="9001">
      <c r="A9001" s="17">
        <v>1006001.0</v>
      </c>
      <c r="B9001" s="17">
        <v>7081200.0</v>
      </c>
    </row>
    <row r="9002">
      <c r="A9002" s="17">
        <v>1006001.0</v>
      </c>
      <c r="B9002" s="17">
        <v>7081300.0</v>
      </c>
    </row>
    <row r="9003">
      <c r="A9003" s="17">
        <v>1006001.0</v>
      </c>
      <c r="B9003" s="17">
        <v>7081400.0</v>
      </c>
    </row>
    <row r="9004">
      <c r="A9004" s="17">
        <v>1006001.0</v>
      </c>
      <c r="B9004" s="17">
        <v>7081500.0</v>
      </c>
    </row>
    <row r="9005">
      <c r="A9005" s="17">
        <v>1006001.0</v>
      </c>
      <c r="B9005" s="17">
        <v>7081700.0</v>
      </c>
    </row>
    <row r="9006">
      <c r="A9006" s="17">
        <v>1006001.0</v>
      </c>
      <c r="B9006" s="17">
        <v>7081800.0</v>
      </c>
    </row>
    <row r="9007">
      <c r="A9007" s="17">
        <v>1006001.0</v>
      </c>
      <c r="B9007" s="17">
        <v>7081900.0</v>
      </c>
    </row>
    <row r="9008">
      <c r="A9008" s="17">
        <v>1006001.0</v>
      </c>
      <c r="B9008" s="17">
        <v>7082000.0</v>
      </c>
    </row>
    <row r="9009">
      <c r="A9009" s="17">
        <v>1006001.0</v>
      </c>
      <c r="B9009" s="17">
        <v>7082100.0</v>
      </c>
    </row>
    <row r="9010">
      <c r="A9010" s="17">
        <v>1006001.0</v>
      </c>
      <c r="B9010" s="17">
        <v>7082200.0</v>
      </c>
    </row>
    <row r="9011">
      <c r="A9011" s="17">
        <v>1006001.0</v>
      </c>
      <c r="B9011" s="17">
        <v>7082300.0</v>
      </c>
    </row>
    <row r="9012">
      <c r="A9012" s="17">
        <v>1006001.0</v>
      </c>
      <c r="B9012" s="17">
        <v>7082400.0</v>
      </c>
    </row>
    <row r="9013">
      <c r="A9013" s="17">
        <v>1006001.0</v>
      </c>
      <c r="B9013" s="17">
        <v>7082500.0</v>
      </c>
    </row>
    <row r="9014">
      <c r="A9014" s="17">
        <v>1006001.0</v>
      </c>
      <c r="B9014" s="17">
        <v>7082600.0</v>
      </c>
    </row>
    <row r="9015">
      <c r="A9015" s="17">
        <v>1006001.0</v>
      </c>
      <c r="B9015" s="17">
        <v>7082700.0</v>
      </c>
    </row>
    <row r="9016">
      <c r="A9016" s="17">
        <v>1006001.0</v>
      </c>
      <c r="B9016" s="17">
        <v>7082800.0</v>
      </c>
    </row>
    <row r="9017">
      <c r="A9017" s="17">
        <v>1006001.0</v>
      </c>
      <c r="B9017" s="17">
        <v>7082900.0</v>
      </c>
    </row>
    <row r="9018">
      <c r="A9018" s="17">
        <v>1006001.0</v>
      </c>
      <c r="B9018" s="17">
        <v>7090000.0</v>
      </c>
    </row>
    <row r="9019">
      <c r="A9019" s="17">
        <v>1006001.0</v>
      </c>
      <c r="B9019" s="17">
        <v>7090100.0</v>
      </c>
    </row>
    <row r="9020">
      <c r="A9020" s="17">
        <v>1006001.0</v>
      </c>
      <c r="B9020" s="17">
        <v>7090300.0</v>
      </c>
    </row>
    <row r="9021">
      <c r="A9021" s="17">
        <v>1006001.0</v>
      </c>
      <c r="B9021" s="17">
        <v>7100100.0</v>
      </c>
    </row>
    <row r="9022">
      <c r="A9022" s="17">
        <v>1006001.0</v>
      </c>
      <c r="B9022" s="17">
        <v>7110000.0</v>
      </c>
    </row>
    <row r="9023">
      <c r="A9023" s="17">
        <v>1006001.0</v>
      </c>
      <c r="B9023" s="17">
        <v>7120000.0</v>
      </c>
    </row>
    <row r="9024">
      <c r="A9024" s="17">
        <v>1006001.0</v>
      </c>
      <c r="B9024" s="17">
        <v>7120100.0</v>
      </c>
    </row>
    <row r="9025">
      <c r="A9025" s="17">
        <v>1006001.0</v>
      </c>
      <c r="B9025" s="17">
        <v>7120200.0</v>
      </c>
    </row>
    <row r="9026">
      <c r="A9026" s="17">
        <v>1006001.0</v>
      </c>
      <c r="B9026" s="17">
        <v>7120300.0</v>
      </c>
    </row>
    <row r="9027">
      <c r="A9027" s="17">
        <v>1006001.0</v>
      </c>
      <c r="B9027" s="17">
        <v>7120400.0</v>
      </c>
    </row>
    <row r="9028">
      <c r="A9028" s="17">
        <v>1006001.0</v>
      </c>
      <c r="B9028" s="17">
        <v>7120500.0</v>
      </c>
    </row>
    <row r="9029">
      <c r="A9029" s="17">
        <v>1006001.0</v>
      </c>
      <c r="B9029" s="17">
        <v>7120600.0</v>
      </c>
    </row>
    <row r="9030">
      <c r="A9030" s="17">
        <v>1006001.0</v>
      </c>
      <c r="B9030" s="17">
        <v>7120900.0</v>
      </c>
    </row>
    <row r="9031">
      <c r="A9031" s="17">
        <v>1006001.0</v>
      </c>
      <c r="B9031" s="17">
        <v>7121000.0</v>
      </c>
    </row>
    <row r="9032">
      <c r="A9032" s="17">
        <v>1006001.0</v>
      </c>
      <c r="B9032" s="17">
        <v>7121100.0</v>
      </c>
    </row>
    <row r="9033">
      <c r="A9033" s="17">
        <v>1006001.0</v>
      </c>
      <c r="B9033" s="17">
        <v>7121200.0</v>
      </c>
    </row>
    <row r="9034">
      <c r="A9034" s="17">
        <v>1006001.0</v>
      </c>
      <c r="B9034" s="17">
        <v>7121300.0</v>
      </c>
    </row>
    <row r="9035">
      <c r="A9035" s="17">
        <v>1006001.0</v>
      </c>
      <c r="B9035" s="17">
        <v>7121400.0</v>
      </c>
    </row>
    <row r="9036">
      <c r="A9036" s="17">
        <v>1006001.0</v>
      </c>
      <c r="B9036" s="17">
        <v>7121500.0</v>
      </c>
    </row>
    <row r="9037">
      <c r="A9037" s="17">
        <v>1006001.0</v>
      </c>
      <c r="B9037" s="17">
        <v>7121600.0</v>
      </c>
    </row>
    <row r="9038">
      <c r="A9038" s="17">
        <v>1006001.0</v>
      </c>
      <c r="B9038" s="17">
        <v>7121700.0</v>
      </c>
    </row>
    <row r="9039">
      <c r="A9039" s="17">
        <v>1006001.0</v>
      </c>
      <c r="B9039" s="17">
        <v>7121800.0</v>
      </c>
    </row>
    <row r="9040">
      <c r="A9040" s="17">
        <v>1006001.0</v>
      </c>
      <c r="B9040" s="17">
        <v>7121900.0</v>
      </c>
    </row>
    <row r="9041">
      <c r="A9041" s="17">
        <v>1006001.0</v>
      </c>
      <c r="B9041" s="17">
        <v>7122000.0</v>
      </c>
    </row>
    <row r="9042">
      <c r="A9042" s="17">
        <v>1006001.0</v>
      </c>
      <c r="B9042" s="17">
        <v>7122100.0</v>
      </c>
    </row>
    <row r="9043">
      <c r="A9043" s="17">
        <v>1006001.0</v>
      </c>
      <c r="B9043" s="17">
        <v>7122200.0</v>
      </c>
    </row>
    <row r="9044">
      <c r="A9044" s="17">
        <v>1006001.0</v>
      </c>
      <c r="B9044" s="17">
        <v>7122300.0</v>
      </c>
    </row>
    <row r="9045">
      <c r="A9045" s="17">
        <v>1006001.0</v>
      </c>
      <c r="B9045" s="17">
        <v>7122400.0</v>
      </c>
    </row>
    <row r="9046">
      <c r="A9046" s="17">
        <v>1006001.0</v>
      </c>
      <c r="B9046" s="17">
        <v>7122500.0</v>
      </c>
    </row>
    <row r="9047">
      <c r="A9047" s="17">
        <v>1006001.0</v>
      </c>
      <c r="B9047" s="17">
        <v>7122600.0</v>
      </c>
    </row>
    <row r="9048">
      <c r="A9048" s="17">
        <v>1006001.0</v>
      </c>
      <c r="B9048" s="17">
        <v>7122700.0</v>
      </c>
    </row>
    <row r="9049">
      <c r="A9049" s="17">
        <v>1006001.0</v>
      </c>
      <c r="B9049" s="17">
        <v>7122800.0</v>
      </c>
    </row>
    <row r="9050">
      <c r="A9050" s="17">
        <v>1006001.0</v>
      </c>
      <c r="B9050" s="17">
        <v>7122900.0</v>
      </c>
    </row>
    <row r="9051">
      <c r="A9051" s="17">
        <v>1006001.0</v>
      </c>
      <c r="B9051" s="17">
        <v>7123000.0</v>
      </c>
    </row>
    <row r="9052">
      <c r="A9052" s="17">
        <v>1006001.0</v>
      </c>
      <c r="B9052" s="17">
        <v>7123100.0</v>
      </c>
    </row>
    <row r="9053">
      <c r="A9053" s="17">
        <v>1006001.0</v>
      </c>
      <c r="B9053" s="17">
        <v>7123200.0</v>
      </c>
    </row>
    <row r="9054">
      <c r="A9054" s="17">
        <v>1006001.0</v>
      </c>
      <c r="B9054" s="17">
        <v>7123300.0</v>
      </c>
    </row>
    <row r="9055">
      <c r="A9055" s="17">
        <v>1006001.0</v>
      </c>
      <c r="B9055" s="17">
        <v>7123400.0</v>
      </c>
    </row>
    <row r="9056">
      <c r="A9056" s="17">
        <v>1006001.0</v>
      </c>
      <c r="B9056" s="17">
        <v>7123500.0</v>
      </c>
    </row>
    <row r="9057">
      <c r="A9057" s="17">
        <v>1006001.0</v>
      </c>
      <c r="B9057" s="17">
        <v>7123600.0</v>
      </c>
    </row>
    <row r="9058">
      <c r="A9058" s="17">
        <v>1006001.0</v>
      </c>
      <c r="B9058" s="17">
        <v>7123700.0</v>
      </c>
    </row>
    <row r="9059">
      <c r="A9059" s="17">
        <v>1006001.0</v>
      </c>
      <c r="B9059" s="17">
        <v>7123800.0</v>
      </c>
    </row>
    <row r="9060">
      <c r="A9060" s="17">
        <v>1006001.0</v>
      </c>
      <c r="B9060" s="17">
        <v>7123900.0</v>
      </c>
    </row>
    <row r="9061">
      <c r="A9061" s="17">
        <v>1006001.0</v>
      </c>
      <c r="B9061" s="17">
        <v>7124000.0</v>
      </c>
    </row>
    <row r="9062">
      <c r="A9062" s="17">
        <v>1006001.0</v>
      </c>
      <c r="B9062" s="17">
        <v>7124100.0</v>
      </c>
    </row>
    <row r="9063">
      <c r="A9063" s="17">
        <v>1006001.0</v>
      </c>
      <c r="B9063" s="17">
        <v>7124300.0</v>
      </c>
    </row>
    <row r="9064">
      <c r="A9064" s="17">
        <v>1006001.0</v>
      </c>
      <c r="B9064" s="17">
        <v>7124400.0</v>
      </c>
    </row>
    <row r="9065">
      <c r="A9065" s="17">
        <v>1006001.0</v>
      </c>
      <c r="B9065" s="17">
        <v>7124500.0</v>
      </c>
    </row>
    <row r="9066">
      <c r="A9066" s="17">
        <v>1006001.0</v>
      </c>
      <c r="B9066" s="17">
        <v>7124600.0</v>
      </c>
    </row>
    <row r="9067">
      <c r="A9067" s="17">
        <v>1006001.0</v>
      </c>
      <c r="B9067" s="17">
        <v>7124700.0</v>
      </c>
    </row>
    <row r="9068">
      <c r="A9068" s="17">
        <v>1006001.0</v>
      </c>
      <c r="B9068" s="17">
        <v>7126000.0</v>
      </c>
    </row>
    <row r="9069">
      <c r="A9069" s="17">
        <v>1006001.0</v>
      </c>
      <c r="B9069" s="17">
        <v>7150000.0</v>
      </c>
    </row>
    <row r="9070">
      <c r="A9070" s="17">
        <v>1006001.0</v>
      </c>
      <c r="B9070" s="17">
        <v>7160000.0</v>
      </c>
    </row>
    <row r="9071">
      <c r="A9071" s="17">
        <v>1006001.0</v>
      </c>
      <c r="B9071" s="17">
        <v>7220000.0</v>
      </c>
    </row>
    <row r="9072">
      <c r="A9072" s="17">
        <v>1006001.0</v>
      </c>
      <c r="B9072" s="17">
        <v>7230000.0</v>
      </c>
    </row>
    <row r="9073">
      <c r="A9073" s="17">
        <v>1006001.0</v>
      </c>
      <c r="B9073" s="17">
        <v>7240000.0</v>
      </c>
    </row>
    <row r="9074">
      <c r="A9074" s="17">
        <v>1006001.0</v>
      </c>
      <c r="B9074" s="17">
        <v>7260000.0</v>
      </c>
    </row>
    <row r="9075">
      <c r="A9075" s="17">
        <v>1006001.0</v>
      </c>
      <c r="B9075" s="17">
        <v>7260300.0</v>
      </c>
    </row>
    <row r="9076">
      <c r="A9076" s="17">
        <v>1006001.0</v>
      </c>
      <c r="B9076" s="17">
        <v>7260400.0</v>
      </c>
    </row>
    <row r="9077">
      <c r="A9077" s="17">
        <v>1006001.0</v>
      </c>
      <c r="B9077" s="17">
        <v>7270100.0</v>
      </c>
    </row>
    <row r="9078">
      <c r="A9078" s="17">
        <v>1006001.0</v>
      </c>
      <c r="B9078" s="17">
        <v>7280000.0</v>
      </c>
    </row>
    <row r="9079">
      <c r="A9079" s="17">
        <v>1006001.0</v>
      </c>
      <c r="B9079" s="17">
        <v>7290000.0</v>
      </c>
    </row>
    <row r="9080">
      <c r="A9080" s="17">
        <v>1006001.0</v>
      </c>
      <c r="B9080" s="17">
        <v>7310000.0</v>
      </c>
    </row>
    <row r="9081">
      <c r="A9081" s="17">
        <v>1006001.0</v>
      </c>
      <c r="B9081" s="17">
        <v>7330000.0</v>
      </c>
    </row>
    <row r="9082">
      <c r="A9082" s="17">
        <v>1006001.0</v>
      </c>
      <c r="B9082" s="17">
        <v>7330100.0</v>
      </c>
    </row>
    <row r="9083">
      <c r="A9083" s="17">
        <v>1006001.0</v>
      </c>
      <c r="B9083" s="17">
        <v>7330200.0</v>
      </c>
    </row>
    <row r="9084">
      <c r="A9084" s="17">
        <v>1006001.0</v>
      </c>
      <c r="B9084" s="17">
        <v>7330300.0</v>
      </c>
    </row>
    <row r="9085">
      <c r="A9085" s="17">
        <v>1006001.0</v>
      </c>
      <c r="B9085" s="17">
        <v>7330400.0</v>
      </c>
    </row>
    <row r="9086">
      <c r="A9086" s="17">
        <v>1006001.0</v>
      </c>
      <c r="B9086" s="17">
        <v>7330500.0</v>
      </c>
    </row>
    <row r="9087">
      <c r="A9087" s="17">
        <v>1006001.0</v>
      </c>
      <c r="B9087" s="17">
        <v>7330600.0</v>
      </c>
    </row>
    <row r="9088">
      <c r="A9088" s="17">
        <v>1006001.0</v>
      </c>
      <c r="B9088" s="17">
        <v>7330700.0</v>
      </c>
    </row>
    <row r="9089">
      <c r="A9089" s="17">
        <v>1006001.0</v>
      </c>
      <c r="B9089" s="17">
        <v>7330800.0</v>
      </c>
    </row>
    <row r="9090">
      <c r="A9090" s="17">
        <v>1006001.0</v>
      </c>
      <c r="B9090" s="17">
        <v>7330900.0</v>
      </c>
    </row>
    <row r="9091">
      <c r="A9091" s="17">
        <v>1006001.0</v>
      </c>
      <c r="B9091" s="17">
        <v>7331000.0</v>
      </c>
    </row>
    <row r="9092">
      <c r="A9092" s="17">
        <v>1006001.0</v>
      </c>
      <c r="B9092" s="17">
        <v>7331100.0</v>
      </c>
    </row>
    <row r="9093">
      <c r="A9093" s="17">
        <v>1006001.0</v>
      </c>
      <c r="B9093" s="17">
        <v>7331200.0</v>
      </c>
    </row>
    <row r="9094">
      <c r="A9094" s="17">
        <v>1006001.0</v>
      </c>
      <c r="B9094" s="17">
        <v>7331300.0</v>
      </c>
    </row>
    <row r="9095">
      <c r="A9095" s="17">
        <v>1006001.0</v>
      </c>
      <c r="B9095" s="17">
        <v>7331400.0</v>
      </c>
    </row>
    <row r="9096">
      <c r="A9096" s="17">
        <v>1006001.0</v>
      </c>
      <c r="B9096" s="17">
        <v>7331500.0</v>
      </c>
    </row>
    <row r="9097">
      <c r="A9097" s="17">
        <v>1006001.0</v>
      </c>
      <c r="B9097" s="17">
        <v>7331700.0</v>
      </c>
    </row>
    <row r="9098">
      <c r="A9098" s="17">
        <v>1006001.0</v>
      </c>
      <c r="B9098" s="17">
        <v>7331800.0</v>
      </c>
    </row>
    <row r="9099">
      <c r="A9099" s="17">
        <v>1006001.0</v>
      </c>
      <c r="B9099" s="17">
        <v>7331900.0</v>
      </c>
    </row>
    <row r="9100">
      <c r="A9100" s="17">
        <v>1006001.0</v>
      </c>
      <c r="B9100" s="17">
        <v>7332000.0</v>
      </c>
    </row>
    <row r="9101">
      <c r="A9101" s="17">
        <v>1006001.0</v>
      </c>
      <c r="B9101" s="17">
        <v>7332100.0</v>
      </c>
    </row>
    <row r="9102">
      <c r="A9102" s="17">
        <v>1006001.0</v>
      </c>
      <c r="B9102" s="17">
        <v>7332200.0</v>
      </c>
    </row>
    <row r="9103">
      <c r="A9103" s="17">
        <v>1006001.0</v>
      </c>
      <c r="B9103" s="17">
        <v>7332300.0</v>
      </c>
    </row>
    <row r="9104">
      <c r="A9104" s="17">
        <v>1006001.0</v>
      </c>
      <c r="B9104" s="17">
        <v>7332400.0</v>
      </c>
    </row>
    <row r="9105">
      <c r="A9105" s="17">
        <v>1006001.0</v>
      </c>
      <c r="B9105" s="17">
        <v>7340000.0</v>
      </c>
    </row>
    <row r="9106">
      <c r="A9106" s="17">
        <v>1006001.0</v>
      </c>
      <c r="B9106" s="17">
        <v>7340100.0</v>
      </c>
    </row>
    <row r="9107">
      <c r="A9107" s="17">
        <v>1006001.0</v>
      </c>
      <c r="B9107" s="17">
        <v>7340200.0</v>
      </c>
    </row>
    <row r="9108">
      <c r="A9108" s="17">
        <v>1006001.0</v>
      </c>
      <c r="B9108" s="17">
        <v>7340300.0</v>
      </c>
    </row>
    <row r="9109">
      <c r="A9109" s="17">
        <v>1006001.0</v>
      </c>
      <c r="B9109" s="17">
        <v>7340400.0</v>
      </c>
    </row>
    <row r="9110">
      <c r="A9110" s="17">
        <v>1006001.0</v>
      </c>
      <c r="B9110" s="17">
        <v>7340500.0</v>
      </c>
    </row>
    <row r="9111">
      <c r="A9111" s="17">
        <v>1006001.0</v>
      </c>
      <c r="B9111" s="17">
        <v>7340600.0</v>
      </c>
    </row>
    <row r="9112">
      <c r="A9112" s="17">
        <v>1006001.0</v>
      </c>
      <c r="B9112" s="17">
        <v>7340700.0</v>
      </c>
    </row>
    <row r="9113">
      <c r="A9113" s="17">
        <v>1006001.0</v>
      </c>
      <c r="B9113" s="17">
        <v>7340800.0</v>
      </c>
    </row>
    <row r="9114">
      <c r="A9114" s="17">
        <v>1006001.0</v>
      </c>
      <c r="B9114" s="17">
        <v>7340900.0</v>
      </c>
    </row>
    <row r="9115">
      <c r="A9115" s="17">
        <v>1006001.0</v>
      </c>
      <c r="B9115" s="17">
        <v>7341000.0</v>
      </c>
    </row>
    <row r="9116">
      <c r="A9116" s="17">
        <v>1006001.0</v>
      </c>
      <c r="B9116" s="17">
        <v>7341100.0</v>
      </c>
    </row>
    <row r="9117">
      <c r="A9117" s="17">
        <v>1006001.0</v>
      </c>
      <c r="B9117" s="17">
        <v>7341200.0</v>
      </c>
    </row>
    <row r="9118">
      <c r="A9118" s="17">
        <v>1006001.0</v>
      </c>
      <c r="B9118" s="17">
        <v>7341300.0</v>
      </c>
    </row>
    <row r="9119">
      <c r="A9119" s="17">
        <v>1006001.0</v>
      </c>
      <c r="B9119" s="17">
        <v>7341400.0</v>
      </c>
    </row>
    <row r="9120">
      <c r="A9120" s="17">
        <v>1006001.0</v>
      </c>
      <c r="B9120" s="17">
        <v>7341500.0</v>
      </c>
    </row>
    <row r="9121">
      <c r="A9121" s="17">
        <v>1006001.0</v>
      </c>
      <c r="B9121" s="17">
        <v>7341700.0</v>
      </c>
    </row>
    <row r="9122">
      <c r="A9122" s="17">
        <v>1006001.0</v>
      </c>
      <c r="B9122" s="17">
        <v>7341800.0</v>
      </c>
    </row>
    <row r="9123">
      <c r="A9123" s="17">
        <v>1006001.0</v>
      </c>
      <c r="B9123" s="17">
        <v>7341900.0</v>
      </c>
    </row>
    <row r="9124">
      <c r="A9124" s="17">
        <v>1006001.0</v>
      </c>
      <c r="B9124" s="17">
        <v>7342000.0</v>
      </c>
    </row>
    <row r="9125">
      <c r="A9125" s="17">
        <v>1006001.0</v>
      </c>
      <c r="B9125" s="17">
        <v>7342100.0</v>
      </c>
    </row>
    <row r="9126">
      <c r="A9126" s="17">
        <v>1006001.0</v>
      </c>
      <c r="B9126" s="17">
        <v>7342200.0</v>
      </c>
    </row>
    <row r="9127">
      <c r="A9127" s="17">
        <v>1006001.0</v>
      </c>
      <c r="B9127" s="17">
        <v>7342300.0</v>
      </c>
    </row>
    <row r="9128">
      <c r="A9128" s="17">
        <v>1006001.0</v>
      </c>
      <c r="B9128" s="17">
        <v>7342400.0</v>
      </c>
    </row>
    <row r="9129">
      <c r="A9129" s="17">
        <v>1006001.0</v>
      </c>
      <c r="B9129" s="17">
        <v>7350000.0</v>
      </c>
    </row>
    <row r="9130">
      <c r="A9130" s="17">
        <v>1006001.0</v>
      </c>
      <c r="B9130" s="17">
        <v>7350100.0</v>
      </c>
    </row>
    <row r="9131">
      <c r="A9131" s="17">
        <v>1006001.0</v>
      </c>
      <c r="B9131" s="17">
        <v>7350200.0</v>
      </c>
    </row>
    <row r="9132">
      <c r="A9132" s="17">
        <v>1006001.0</v>
      </c>
      <c r="B9132" s="17">
        <v>7350300.0</v>
      </c>
    </row>
    <row r="9133">
      <c r="A9133" s="17">
        <v>1006001.0</v>
      </c>
      <c r="B9133" s="17">
        <v>7350400.0</v>
      </c>
    </row>
    <row r="9134">
      <c r="A9134" s="17">
        <v>1006001.0</v>
      </c>
      <c r="B9134" s="17">
        <v>7350500.0</v>
      </c>
    </row>
    <row r="9135">
      <c r="A9135" s="17">
        <v>1006001.0</v>
      </c>
      <c r="B9135" s="17">
        <v>7350600.0</v>
      </c>
    </row>
    <row r="9136">
      <c r="A9136" s="17">
        <v>1006001.0</v>
      </c>
      <c r="B9136" s="17">
        <v>7350700.0</v>
      </c>
    </row>
    <row r="9137">
      <c r="A9137" s="17">
        <v>1006001.0</v>
      </c>
      <c r="B9137" s="17">
        <v>7350800.0</v>
      </c>
    </row>
    <row r="9138">
      <c r="A9138" s="17">
        <v>1006001.0</v>
      </c>
      <c r="B9138" s="17">
        <v>7350900.0</v>
      </c>
    </row>
    <row r="9139">
      <c r="A9139" s="17">
        <v>1006001.0</v>
      </c>
      <c r="B9139" s="17">
        <v>7351000.0</v>
      </c>
    </row>
    <row r="9140">
      <c r="A9140" s="17">
        <v>1006001.0</v>
      </c>
      <c r="B9140" s="17">
        <v>7351100.0</v>
      </c>
    </row>
    <row r="9141">
      <c r="A9141" s="17">
        <v>1006001.0</v>
      </c>
      <c r="B9141" s="17">
        <v>7351200.0</v>
      </c>
    </row>
    <row r="9142">
      <c r="A9142" s="17">
        <v>1006001.0</v>
      </c>
      <c r="B9142" s="17">
        <v>7351300.0</v>
      </c>
    </row>
    <row r="9143">
      <c r="A9143" s="17">
        <v>1006001.0</v>
      </c>
      <c r="B9143" s="17">
        <v>7351400.0</v>
      </c>
    </row>
    <row r="9144">
      <c r="A9144" s="17">
        <v>1006001.0</v>
      </c>
      <c r="B9144" s="17">
        <v>7351500.0</v>
      </c>
    </row>
    <row r="9145">
      <c r="A9145" s="17">
        <v>1006001.0</v>
      </c>
      <c r="B9145" s="17">
        <v>7351700.0</v>
      </c>
    </row>
    <row r="9146">
      <c r="A9146" s="17">
        <v>1006001.0</v>
      </c>
      <c r="B9146" s="17">
        <v>7351800.0</v>
      </c>
    </row>
    <row r="9147">
      <c r="A9147" s="17">
        <v>1006001.0</v>
      </c>
      <c r="B9147" s="17">
        <v>7351900.0</v>
      </c>
    </row>
    <row r="9148">
      <c r="A9148" s="17">
        <v>1006001.0</v>
      </c>
      <c r="B9148" s="17">
        <v>7352000.0</v>
      </c>
    </row>
    <row r="9149">
      <c r="A9149" s="17">
        <v>1006001.0</v>
      </c>
      <c r="B9149" s="17">
        <v>7352100.0</v>
      </c>
    </row>
    <row r="9150">
      <c r="A9150" s="17">
        <v>1006001.0</v>
      </c>
      <c r="B9150" s="17">
        <v>7352200.0</v>
      </c>
    </row>
    <row r="9151">
      <c r="A9151" s="17">
        <v>1006001.0</v>
      </c>
      <c r="B9151" s="17">
        <v>7352300.0</v>
      </c>
    </row>
    <row r="9152">
      <c r="A9152" s="17">
        <v>1006001.0</v>
      </c>
      <c r="B9152" s="17">
        <v>7352400.0</v>
      </c>
    </row>
    <row r="9153">
      <c r="A9153" s="17">
        <v>1006001.0</v>
      </c>
      <c r="B9153" s="17">
        <v>7360600.0</v>
      </c>
    </row>
    <row r="9154">
      <c r="A9154" s="17">
        <v>1006001.0</v>
      </c>
      <c r="B9154" s="17">
        <v>7360900.0</v>
      </c>
    </row>
    <row r="9155">
      <c r="A9155" s="17">
        <v>1006001.0</v>
      </c>
      <c r="B9155" s="17">
        <v>7361200.0</v>
      </c>
    </row>
    <row r="9156">
      <c r="A9156" s="17">
        <v>1006001.0</v>
      </c>
      <c r="B9156" s="17">
        <v>7361300.0</v>
      </c>
    </row>
    <row r="9157">
      <c r="A9157" s="17">
        <v>1006001.0</v>
      </c>
      <c r="B9157" s="17">
        <v>7362100.0</v>
      </c>
    </row>
    <row r="9158">
      <c r="A9158" s="17">
        <v>1006001.0</v>
      </c>
      <c r="B9158" s="17">
        <v>7370300.0</v>
      </c>
    </row>
    <row r="9159">
      <c r="A9159" s="17">
        <v>1006001.0</v>
      </c>
      <c r="B9159" s="17">
        <v>7370400.0</v>
      </c>
    </row>
    <row r="9160">
      <c r="A9160" s="17">
        <v>1006001.0</v>
      </c>
      <c r="B9160" s="17">
        <v>7370600.0</v>
      </c>
    </row>
    <row r="9161">
      <c r="A9161" s="17">
        <v>1006001.0</v>
      </c>
      <c r="B9161" s="17">
        <v>7370900.0</v>
      </c>
    </row>
    <row r="9162">
      <c r="A9162" s="17">
        <v>1006001.0</v>
      </c>
      <c r="B9162" s="17">
        <v>7371500.0</v>
      </c>
    </row>
    <row r="9163">
      <c r="A9163" s="17">
        <v>1006001.0</v>
      </c>
      <c r="B9163" s="17">
        <v>7036200.0</v>
      </c>
    </row>
    <row r="9164">
      <c r="A9164" s="17">
        <v>1006001.0</v>
      </c>
      <c r="B9164" s="17">
        <v>7036300.0</v>
      </c>
    </row>
    <row r="9165">
      <c r="A9165" s="17">
        <v>1006001.0</v>
      </c>
      <c r="B9165" s="17">
        <v>7036400.0</v>
      </c>
    </row>
    <row r="9166">
      <c r="A9166" s="17">
        <v>1006001.0</v>
      </c>
      <c r="B9166" s="17">
        <v>7036500.0</v>
      </c>
    </row>
    <row r="9167">
      <c r="A9167" s="17">
        <v>1006001.0</v>
      </c>
      <c r="B9167" s="17">
        <v>7036800.0</v>
      </c>
    </row>
    <row r="9168">
      <c r="A9168" s="17">
        <v>1006001.0</v>
      </c>
      <c r="B9168" s="17">
        <v>7036900.0</v>
      </c>
    </row>
    <row r="9169">
      <c r="A9169" s="17">
        <v>1006001.0</v>
      </c>
      <c r="B9169" s="17">
        <v>7037000.0</v>
      </c>
    </row>
    <row r="9170">
      <c r="A9170" s="17">
        <v>1006001.0</v>
      </c>
      <c r="B9170" s="17">
        <v>7037300.0</v>
      </c>
    </row>
    <row r="9171">
      <c r="A9171" s="17">
        <v>1006001.0</v>
      </c>
      <c r="B9171" s="17">
        <v>6630000.0</v>
      </c>
    </row>
    <row r="9172">
      <c r="A9172" s="17">
        <v>1006001.0</v>
      </c>
      <c r="B9172" s="17">
        <v>6630100.0</v>
      </c>
    </row>
    <row r="9173">
      <c r="A9173" s="17">
        <v>1006001.0</v>
      </c>
      <c r="B9173" s="17">
        <v>6630200.0</v>
      </c>
    </row>
    <row r="9174">
      <c r="A9174" s="17">
        <v>1006001.0</v>
      </c>
      <c r="B9174" s="17">
        <v>6630300.0</v>
      </c>
    </row>
    <row r="9175">
      <c r="A9175" s="17">
        <v>1006001.0</v>
      </c>
      <c r="B9175" s="17">
        <v>6630400.0</v>
      </c>
    </row>
    <row r="9176">
      <c r="A9176" s="17">
        <v>1006001.0</v>
      </c>
      <c r="B9176" s="17">
        <v>6630500.0</v>
      </c>
    </row>
    <row r="9177">
      <c r="A9177" s="17">
        <v>1006001.0</v>
      </c>
      <c r="B9177" s="17">
        <v>6630600.0</v>
      </c>
    </row>
    <row r="9178">
      <c r="A9178" s="17">
        <v>1006001.0</v>
      </c>
      <c r="B9178" s="17">
        <v>6630700.0</v>
      </c>
    </row>
    <row r="9179">
      <c r="A9179" s="17">
        <v>1006001.0</v>
      </c>
      <c r="B9179" s="17">
        <v>6630800.0</v>
      </c>
    </row>
    <row r="9180">
      <c r="A9180" s="17">
        <v>1006001.0</v>
      </c>
      <c r="B9180" s="17">
        <v>6630900.0</v>
      </c>
    </row>
    <row r="9181">
      <c r="A9181" s="17">
        <v>1006001.0</v>
      </c>
      <c r="B9181" s="17">
        <v>6631000.0</v>
      </c>
    </row>
    <row r="9182">
      <c r="A9182" s="17">
        <v>1006001.0</v>
      </c>
      <c r="B9182" s="17">
        <v>6631100.0</v>
      </c>
    </row>
    <row r="9183">
      <c r="A9183" s="17">
        <v>1006001.0</v>
      </c>
      <c r="B9183" s="17">
        <v>6631200.0</v>
      </c>
    </row>
    <row r="9184">
      <c r="A9184" s="17">
        <v>1006001.0</v>
      </c>
      <c r="B9184" s="17">
        <v>6631300.0</v>
      </c>
    </row>
    <row r="9185">
      <c r="A9185" s="17">
        <v>1006001.0</v>
      </c>
      <c r="B9185" s="17">
        <v>6631400.0</v>
      </c>
    </row>
    <row r="9186">
      <c r="A9186" s="17">
        <v>1006001.0</v>
      </c>
      <c r="B9186" s="17">
        <v>6631500.0</v>
      </c>
    </row>
    <row r="9187">
      <c r="A9187" s="17">
        <v>1006001.0</v>
      </c>
      <c r="B9187" s="17">
        <v>6631600.0</v>
      </c>
    </row>
    <row r="9188">
      <c r="A9188" s="17">
        <v>1006001.0</v>
      </c>
      <c r="B9188" s="17">
        <v>6631700.0</v>
      </c>
    </row>
    <row r="9189">
      <c r="A9189" s="17">
        <v>1006001.0</v>
      </c>
      <c r="B9189" s="17">
        <v>6631800.0</v>
      </c>
    </row>
    <row r="9190">
      <c r="A9190" s="17">
        <v>1006001.0</v>
      </c>
      <c r="B9190" s="17">
        <v>6631900.0</v>
      </c>
    </row>
    <row r="9191">
      <c r="A9191" s="17">
        <v>1006001.0</v>
      </c>
      <c r="B9191" s="17">
        <v>6632000.0</v>
      </c>
    </row>
    <row r="9192">
      <c r="A9192" s="17">
        <v>1006001.0</v>
      </c>
      <c r="B9192" s="17">
        <v>6632100.0</v>
      </c>
    </row>
    <row r="9193">
      <c r="A9193" s="17">
        <v>1006001.0</v>
      </c>
      <c r="B9193" s="17">
        <v>6632200.0</v>
      </c>
    </row>
    <row r="9194">
      <c r="A9194" s="17">
        <v>1006001.0</v>
      </c>
      <c r="B9194" s="17">
        <v>6632300.0</v>
      </c>
    </row>
    <row r="9195">
      <c r="A9195" s="17">
        <v>1006001.0</v>
      </c>
      <c r="B9195" s="17">
        <v>6632400.0</v>
      </c>
    </row>
    <row r="9196">
      <c r="A9196" s="17">
        <v>1006001.0</v>
      </c>
      <c r="B9196" s="17">
        <v>6632500.0</v>
      </c>
    </row>
    <row r="9197">
      <c r="A9197" s="17">
        <v>1006001.0</v>
      </c>
      <c r="B9197" s="17">
        <v>6632600.0</v>
      </c>
    </row>
    <row r="9198">
      <c r="A9198" s="17">
        <v>1006001.0</v>
      </c>
      <c r="B9198" s="17">
        <v>6632700.0</v>
      </c>
    </row>
    <row r="9199">
      <c r="A9199" s="17">
        <v>1006001.0</v>
      </c>
      <c r="B9199" s="17">
        <v>6632800.0</v>
      </c>
    </row>
    <row r="9200">
      <c r="A9200" s="17">
        <v>1006001.0</v>
      </c>
      <c r="B9200" s="17">
        <v>6632900.0</v>
      </c>
    </row>
    <row r="9201">
      <c r="A9201" s="17">
        <v>1006001.0</v>
      </c>
      <c r="B9201" s="17">
        <v>6633000.0</v>
      </c>
    </row>
    <row r="9202">
      <c r="A9202" s="17">
        <v>1006001.0</v>
      </c>
      <c r="B9202" s="17">
        <v>6633100.0</v>
      </c>
    </row>
    <row r="9203">
      <c r="A9203" s="17">
        <v>1006001.0</v>
      </c>
      <c r="B9203" s="17">
        <v>6633200.0</v>
      </c>
    </row>
    <row r="9204">
      <c r="A9204" s="17">
        <v>1006001.0</v>
      </c>
      <c r="B9204" s="17">
        <v>6647200.0</v>
      </c>
    </row>
    <row r="9205">
      <c r="A9205" s="17">
        <v>1006001.0</v>
      </c>
      <c r="B9205" s="17">
        <v>6647300.0</v>
      </c>
    </row>
    <row r="9206">
      <c r="A9206" s="17">
        <v>1006001.0</v>
      </c>
      <c r="B9206" s="17">
        <v>6647400.0</v>
      </c>
    </row>
    <row r="9207">
      <c r="A9207" s="17">
        <v>1006001.0</v>
      </c>
      <c r="B9207" s="17">
        <v>6647500.0</v>
      </c>
    </row>
    <row r="9208">
      <c r="A9208" s="17">
        <v>1006001.0</v>
      </c>
      <c r="B9208" s="17">
        <v>6640000.0</v>
      </c>
    </row>
    <row r="9209">
      <c r="A9209" s="17">
        <v>1006001.0</v>
      </c>
      <c r="B9209" s="17">
        <v>6640100.0</v>
      </c>
    </row>
    <row r="9210">
      <c r="A9210" s="17">
        <v>1006001.0</v>
      </c>
      <c r="B9210" s="17">
        <v>6641000.0</v>
      </c>
    </row>
    <row r="9211">
      <c r="A9211" s="17">
        <v>1006001.0</v>
      </c>
      <c r="B9211" s="17">
        <v>6641100.0</v>
      </c>
    </row>
    <row r="9212">
      <c r="A9212" s="17">
        <v>1006001.0</v>
      </c>
      <c r="B9212" s="17">
        <v>6642000.0</v>
      </c>
    </row>
    <row r="9213">
      <c r="A9213" s="17">
        <v>1006001.0</v>
      </c>
      <c r="B9213" s="17">
        <v>6642100.0</v>
      </c>
    </row>
    <row r="9214">
      <c r="A9214" s="17">
        <v>1006001.0</v>
      </c>
      <c r="B9214" s="17">
        <v>6643000.0</v>
      </c>
    </row>
    <row r="9215">
      <c r="A9215" s="17">
        <v>1006001.0</v>
      </c>
      <c r="B9215" s="17">
        <v>6643100.0</v>
      </c>
    </row>
    <row r="9216">
      <c r="A9216" s="17">
        <v>1006001.0</v>
      </c>
      <c r="B9216" s="17">
        <v>6644000.0</v>
      </c>
    </row>
    <row r="9217">
      <c r="A9217" s="17">
        <v>1006001.0</v>
      </c>
      <c r="B9217" s="17">
        <v>6644100.0</v>
      </c>
    </row>
    <row r="9218">
      <c r="A9218" s="17">
        <v>1006001.0</v>
      </c>
      <c r="B9218" s="17">
        <v>6645000.0</v>
      </c>
    </row>
    <row r="9219">
      <c r="A9219" s="17">
        <v>1006001.0</v>
      </c>
      <c r="B9219" s="17">
        <v>6645100.0</v>
      </c>
    </row>
    <row r="9220">
      <c r="A9220" s="17">
        <v>1006001.0</v>
      </c>
      <c r="B9220" s="17">
        <v>6646000.0</v>
      </c>
    </row>
    <row r="9221">
      <c r="A9221" s="17">
        <v>1006001.0</v>
      </c>
      <c r="B9221" s="17">
        <v>6646100.0</v>
      </c>
    </row>
    <row r="9222">
      <c r="A9222" s="17">
        <v>1006001.0</v>
      </c>
      <c r="B9222" s="17">
        <v>6647000.0</v>
      </c>
    </row>
    <row r="9223">
      <c r="A9223" s="17">
        <v>1006001.0</v>
      </c>
      <c r="B9223" s="17">
        <v>6647100.0</v>
      </c>
    </row>
    <row r="9224">
      <c r="A9224" s="17">
        <v>1006002.0</v>
      </c>
      <c r="B9224" s="17">
        <v>7000000.0</v>
      </c>
    </row>
    <row r="9225">
      <c r="A9225" s="17">
        <v>1006002.0</v>
      </c>
      <c r="B9225" s="17">
        <v>7000001.0</v>
      </c>
    </row>
    <row r="9226">
      <c r="A9226" s="17">
        <v>1006002.0</v>
      </c>
      <c r="B9226" s="17">
        <v>7000002.0</v>
      </c>
    </row>
    <row r="9227">
      <c r="A9227" s="17">
        <v>1006002.0</v>
      </c>
      <c r="B9227" s="17">
        <v>7000100.0</v>
      </c>
    </row>
    <row r="9228">
      <c r="A9228" s="17">
        <v>1006002.0</v>
      </c>
      <c r="B9228" s="17">
        <v>7000101.0</v>
      </c>
    </row>
    <row r="9229">
      <c r="A9229" s="17">
        <v>1006002.0</v>
      </c>
      <c r="B9229" s="17">
        <v>7000102.0</v>
      </c>
    </row>
    <row r="9230">
      <c r="A9230" s="17">
        <v>1006002.0</v>
      </c>
      <c r="B9230" s="17">
        <v>7000200.0</v>
      </c>
    </row>
    <row r="9231">
      <c r="A9231" s="17">
        <v>1006002.0</v>
      </c>
      <c r="B9231" s="17">
        <v>7000201.0</v>
      </c>
    </row>
    <row r="9232">
      <c r="A9232" s="17">
        <v>1006002.0</v>
      </c>
      <c r="B9232" s="17">
        <v>7000202.0</v>
      </c>
    </row>
    <row r="9233">
      <c r="A9233" s="17">
        <v>1006002.0</v>
      </c>
      <c r="B9233" s="17">
        <v>7000300.0</v>
      </c>
    </row>
    <row r="9234">
      <c r="A9234" s="17">
        <v>1006002.0</v>
      </c>
      <c r="B9234" s="17">
        <v>7000301.0</v>
      </c>
    </row>
    <row r="9235">
      <c r="A9235" s="17">
        <v>1006002.0</v>
      </c>
      <c r="B9235" s="17">
        <v>7000302.0</v>
      </c>
    </row>
    <row r="9236">
      <c r="A9236" s="17">
        <v>1006002.0</v>
      </c>
      <c r="B9236" s="17">
        <v>7000400.0</v>
      </c>
    </row>
    <row r="9237">
      <c r="A9237" s="17">
        <v>1006002.0</v>
      </c>
      <c r="B9237" s="17">
        <v>7000401.0</v>
      </c>
    </row>
    <row r="9238">
      <c r="A9238" s="17">
        <v>1006002.0</v>
      </c>
      <c r="B9238" s="17">
        <v>7000402.0</v>
      </c>
    </row>
    <row r="9239">
      <c r="A9239" s="17">
        <v>1006002.0</v>
      </c>
      <c r="B9239" s="17">
        <v>7000500.0</v>
      </c>
    </row>
    <row r="9240">
      <c r="A9240" s="17">
        <v>1006002.0</v>
      </c>
      <c r="B9240" s="17">
        <v>7000501.0</v>
      </c>
    </row>
    <row r="9241">
      <c r="A9241" s="17">
        <v>1006002.0</v>
      </c>
      <c r="B9241" s="17">
        <v>7000502.0</v>
      </c>
    </row>
    <row r="9242">
      <c r="A9242" s="17">
        <v>1006002.0</v>
      </c>
      <c r="B9242" s="17">
        <v>7000600.0</v>
      </c>
    </row>
    <row r="9243">
      <c r="A9243" s="17">
        <v>1006002.0</v>
      </c>
      <c r="B9243" s="17">
        <v>7000601.0</v>
      </c>
    </row>
    <row r="9244">
      <c r="A9244" s="17">
        <v>1006002.0</v>
      </c>
      <c r="B9244" s="17">
        <v>7000602.0</v>
      </c>
    </row>
    <row r="9245">
      <c r="A9245" s="17">
        <v>1006002.0</v>
      </c>
      <c r="B9245" s="17">
        <v>7000700.0</v>
      </c>
    </row>
    <row r="9246">
      <c r="A9246" s="17">
        <v>1006002.0</v>
      </c>
      <c r="B9246" s="17">
        <v>7000701.0</v>
      </c>
    </row>
    <row r="9247">
      <c r="A9247" s="17">
        <v>1006002.0</v>
      </c>
      <c r="B9247" s="17">
        <v>7000702.0</v>
      </c>
    </row>
    <row r="9248">
      <c r="A9248" s="17">
        <v>1006002.0</v>
      </c>
      <c r="B9248" s="17">
        <v>7000800.0</v>
      </c>
    </row>
    <row r="9249">
      <c r="A9249" s="17">
        <v>1006002.0</v>
      </c>
      <c r="B9249" s="17">
        <v>7000801.0</v>
      </c>
    </row>
    <row r="9250">
      <c r="A9250" s="17">
        <v>1006002.0</v>
      </c>
      <c r="B9250" s="17">
        <v>7000802.0</v>
      </c>
    </row>
    <row r="9251">
      <c r="A9251" s="17">
        <v>1006002.0</v>
      </c>
      <c r="B9251" s="17">
        <v>7000900.0</v>
      </c>
    </row>
    <row r="9252">
      <c r="A9252" s="17">
        <v>1006002.0</v>
      </c>
      <c r="B9252" s="17">
        <v>7000901.0</v>
      </c>
    </row>
    <row r="9253">
      <c r="A9253" s="17">
        <v>1006002.0</v>
      </c>
      <c r="B9253" s="17">
        <v>7000902.0</v>
      </c>
    </row>
    <row r="9254">
      <c r="A9254" s="17">
        <v>1006002.0</v>
      </c>
      <c r="B9254" s="17">
        <v>7001000.0</v>
      </c>
    </row>
    <row r="9255">
      <c r="A9255" s="17">
        <v>1006002.0</v>
      </c>
      <c r="B9255" s="17">
        <v>7001001.0</v>
      </c>
    </row>
    <row r="9256">
      <c r="A9256" s="17">
        <v>1006002.0</v>
      </c>
      <c r="B9256" s="17">
        <v>7001002.0</v>
      </c>
    </row>
    <row r="9257">
      <c r="A9257" s="17">
        <v>1006002.0</v>
      </c>
      <c r="B9257" s="17">
        <v>7001400.0</v>
      </c>
    </row>
    <row r="9258">
      <c r="A9258" s="17">
        <v>1006002.0</v>
      </c>
      <c r="B9258" s="17">
        <v>7001401.0</v>
      </c>
    </row>
    <row r="9259">
      <c r="A9259" s="17">
        <v>1006002.0</v>
      </c>
      <c r="B9259" s="17">
        <v>7001402.0</v>
      </c>
    </row>
    <row r="9260">
      <c r="A9260" s="17">
        <v>1006002.0</v>
      </c>
      <c r="B9260" s="17">
        <v>7001500.0</v>
      </c>
    </row>
    <row r="9261">
      <c r="A9261" s="17">
        <v>1006002.0</v>
      </c>
      <c r="B9261" s="17">
        <v>7001501.0</v>
      </c>
    </row>
    <row r="9262">
      <c r="A9262" s="17">
        <v>1006002.0</v>
      </c>
      <c r="B9262" s="17">
        <v>7001502.0</v>
      </c>
    </row>
    <row r="9263">
      <c r="A9263" s="17">
        <v>1006002.0</v>
      </c>
      <c r="B9263" s="17">
        <v>7001600.0</v>
      </c>
    </row>
    <row r="9264">
      <c r="A9264" s="17">
        <v>1006002.0</v>
      </c>
      <c r="B9264" s="17">
        <v>7001601.0</v>
      </c>
    </row>
    <row r="9265">
      <c r="A9265" s="17">
        <v>1006002.0</v>
      </c>
      <c r="B9265" s="17">
        <v>7001602.0</v>
      </c>
    </row>
    <row r="9266">
      <c r="A9266" s="17">
        <v>1006002.0</v>
      </c>
      <c r="B9266" s="17">
        <v>7001700.0</v>
      </c>
    </row>
    <row r="9267">
      <c r="A9267" s="17">
        <v>1006002.0</v>
      </c>
      <c r="B9267" s="17">
        <v>7001701.0</v>
      </c>
    </row>
    <row r="9268">
      <c r="A9268" s="17">
        <v>1006002.0</v>
      </c>
      <c r="B9268" s="17">
        <v>7001702.0</v>
      </c>
    </row>
    <row r="9269">
      <c r="A9269" s="17">
        <v>1006002.0</v>
      </c>
      <c r="B9269" s="17">
        <v>7001800.0</v>
      </c>
    </row>
    <row r="9270">
      <c r="A9270" s="17">
        <v>1006002.0</v>
      </c>
      <c r="B9270" s="17">
        <v>7001801.0</v>
      </c>
    </row>
    <row r="9271">
      <c r="A9271" s="17">
        <v>1006002.0</v>
      </c>
      <c r="B9271" s="17">
        <v>7001802.0</v>
      </c>
    </row>
    <row r="9272">
      <c r="A9272" s="17">
        <v>1006002.0</v>
      </c>
      <c r="B9272" s="17">
        <v>7002600.0</v>
      </c>
    </row>
    <row r="9273">
      <c r="A9273" s="17">
        <v>1006002.0</v>
      </c>
      <c r="B9273" s="17">
        <v>7002700.0</v>
      </c>
    </row>
    <row r="9274">
      <c r="A9274" s="17">
        <v>1006002.0</v>
      </c>
      <c r="B9274" s="17">
        <v>7002800.0</v>
      </c>
    </row>
    <row r="9275">
      <c r="A9275" s="17">
        <v>1006002.0</v>
      </c>
      <c r="B9275" s="17">
        <v>7002900.0</v>
      </c>
    </row>
    <row r="9276">
      <c r="A9276" s="17">
        <v>1006002.0</v>
      </c>
      <c r="B9276" s="17">
        <v>7003000.0</v>
      </c>
    </row>
    <row r="9277">
      <c r="A9277" s="17">
        <v>1006002.0</v>
      </c>
      <c r="B9277" s="17">
        <v>7003100.0</v>
      </c>
    </row>
    <row r="9278">
      <c r="A9278" s="17">
        <v>1006002.0</v>
      </c>
      <c r="B9278" s="17">
        <v>7003200.0</v>
      </c>
    </row>
    <row r="9279">
      <c r="A9279" s="17">
        <v>1006002.0</v>
      </c>
      <c r="B9279" s="17">
        <v>7003300.0</v>
      </c>
    </row>
    <row r="9280">
      <c r="A9280" s="17">
        <v>1006002.0</v>
      </c>
      <c r="B9280" s="17">
        <v>7003400.0</v>
      </c>
    </row>
    <row r="9281">
      <c r="A9281" s="17">
        <v>1006002.0</v>
      </c>
      <c r="B9281" s="17">
        <v>7003500.0</v>
      </c>
    </row>
    <row r="9282">
      <c r="A9282" s="17">
        <v>1006002.0</v>
      </c>
      <c r="B9282" s="17">
        <v>7003600.0</v>
      </c>
    </row>
    <row r="9283">
      <c r="A9283" s="17">
        <v>1006002.0</v>
      </c>
      <c r="B9283" s="17">
        <v>7005600.0</v>
      </c>
    </row>
    <row r="9284">
      <c r="A9284" s="17">
        <v>1006002.0</v>
      </c>
      <c r="B9284" s="17">
        <v>7006000.0</v>
      </c>
    </row>
    <row r="9285">
      <c r="A9285" s="17">
        <v>1006002.0</v>
      </c>
      <c r="B9285" s="17">
        <v>7006100.0</v>
      </c>
    </row>
    <row r="9286">
      <c r="A9286" s="17">
        <v>1006002.0</v>
      </c>
      <c r="B9286" s="17">
        <v>7010200.0</v>
      </c>
    </row>
    <row r="9287">
      <c r="A9287" s="17">
        <v>1006002.0</v>
      </c>
      <c r="B9287" s="17">
        <v>7010500.0</v>
      </c>
    </row>
    <row r="9288">
      <c r="A9288" s="17">
        <v>1006002.0</v>
      </c>
      <c r="B9288" s="17">
        <v>7010700.0</v>
      </c>
    </row>
    <row r="9289">
      <c r="A9289" s="17">
        <v>1006002.0</v>
      </c>
      <c r="B9289" s="17">
        <v>7010900.0</v>
      </c>
    </row>
    <row r="9290">
      <c r="A9290" s="17">
        <v>1006002.0</v>
      </c>
      <c r="B9290" s="17">
        <v>7011000.0</v>
      </c>
    </row>
    <row r="9291">
      <c r="A9291" s="17">
        <v>1006002.0</v>
      </c>
      <c r="B9291" s="17">
        <v>7011200.0</v>
      </c>
    </row>
    <row r="9292">
      <c r="A9292" s="17">
        <v>1006002.0</v>
      </c>
      <c r="B9292" s="17">
        <v>7011600.0</v>
      </c>
    </row>
    <row r="9293">
      <c r="A9293" s="17">
        <v>1006002.0</v>
      </c>
      <c r="B9293" s="17">
        <v>7011700.0</v>
      </c>
    </row>
    <row r="9294">
      <c r="A9294" s="17">
        <v>1006002.0</v>
      </c>
      <c r="B9294" s="17">
        <v>7012000.0</v>
      </c>
    </row>
    <row r="9295">
      <c r="A9295" s="17">
        <v>1006002.0</v>
      </c>
      <c r="B9295" s="17">
        <v>7012200.0</v>
      </c>
    </row>
    <row r="9296">
      <c r="A9296" s="17">
        <v>1006002.0</v>
      </c>
      <c r="B9296" s="17">
        <v>7012300.0</v>
      </c>
    </row>
    <row r="9297">
      <c r="A9297" s="17">
        <v>1006002.0</v>
      </c>
      <c r="B9297" s="17">
        <v>7020000.0</v>
      </c>
    </row>
    <row r="9298">
      <c r="A9298" s="17">
        <v>1006002.0</v>
      </c>
      <c r="B9298" s="17">
        <v>7030000.0</v>
      </c>
    </row>
    <row r="9299">
      <c r="A9299" s="17">
        <v>1006002.0</v>
      </c>
      <c r="B9299" s="17">
        <v>7030200.0</v>
      </c>
    </row>
    <row r="9300">
      <c r="A9300" s="17">
        <v>1006002.0</v>
      </c>
      <c r="B9300" s="17">
        <v>7030600.0</v>
      </c>
    </row>
    <row r="9301">
      <c r="A9301" s="17">
        <v>1006002.0</v>
      </c>
      <c r="B9301" s="17">
        <v>7030700.0</v>
      </c>
    </row>
    <row r="9302">
      <c r="A9302" s="17">
        <v>1006002.0</v>
      </c>
      <c r="B9302" s="17">
        <v>7030800.0</v>
      </c>
    </row>
    <row r="9303">
      <c r="A9303" s="17">
        <v>1006002.0</v>
      </c>
      <c r="B9303" s="17">
        <v>7030900.0</v>
      </c>
    </row>
    <row r="9304">
      <c r="A9304" s="17">
        <v>1006002.0</v>
      </c>
      <c r="B9304" s="17">
        <v>7031200.0</v>
      </c>
    </row>
    <row r="9305">
      <c r="A9305" s="17">
        <v>1006002.0</v>
      </c>
      <c r="B9305" s="17">
        <v>7031300.0</v>
      </c>
    </row>
    <row r="9306">
      <c r="A9306" s="17">
        <v>1006002.0</v>
      </c>
      <c r="B9306" s="17">
        <v>7031800.0</v>
      </c>
    </row>
    <row r="9307">
      <c r="A9307" s="17">
        <v>1006002.0</v>
      </c>
      <c r="B9307" s="17">
        <v>7031900.0</v>
      </c>
    </row>
    <row r="9308">
      <c r="A9308" s="17">
        <v>1006002.0</v>
      </c>
      <c r="B9308" s="17">
        <v>7032200.0</v>
      </c>
    </row>
    <row r="9309">
      <c r="A9309" s="17">
        <v>1006002.0</v>
      </c>
      <c r="B9309" s="17">
        <v>7032400.0</v>
      </c>
    </row>
    <row r="9310">
      <c r="A9310" s="17">
        <v>1006002.0</v>
      </c>
      <c r="B9310" s="17">
        <v>7032700.0</v>
      </c>
    </row>
    <row r="9311">
      <c r="A9311" s="17">
        <v>1006002.0</v>
      </c>
      <c r="B9311" s="17">
        <v>7032800.0</v>
      </c>
    </row>
    <row r="9312">
      <c r="A9312" s="17">
        <v>1006002.0</v>
      </c>
      <c r="B9312" s="17">
        <v>7032900.0</v>
      </c>
    </row>
    <row r="9313">
      <c r="A9313" s="17">
        <v>1006002.0</v>
      </c>
      <c r="B9313" s="17">
        <v>7033200.0</v>
      </c>
    </row>
    <row r="9314">
      <c r="A9314" s="17">
        <v>1006002.0</v>
      </c>
      <c r="B9314" s="17">
        <v>7033400.0</v>
      </c>
    </row>
    <row r="9315">
      <c r="A9315" s="17">
        <v>1006002.0</v>
      </c>
      <c r="B9315" s="17">
        <v>7034100.0</v>
      </c>
    </row>
    <row r="9316">
      <c r="A9316" s="17">
        <v>1006002.0</v>
      </c>
      <c r="B9316" s="17">
        <v>7034400.0</v>
      </c>
    </row>
    <row r="9317">
      <c r="A9317" s="17">
        <v>1006002.0</v>
      </c>
      <c r="B9317" s="17">
        <v>7034500.0</v>
      </c>
    </row>
    <row r="9318">
      <c r="A9318" s="17">
        <v>1006002.0</v>
      </c>
      <c r="B9318" s="17">
        <v>7034600.0</v>
      </c>
    </row>
    <row r="9319">
      <c r="A9319" s="17">
        <v>1006002.0</v>
      </c>
      <c r="B9319" s="17">
        <v>7034700.0</v>
      </c>
    </row>
    <row r="9320">
      <c r="A9320" s="17">
        <v>1006002.0</v>
      </c>
      <c r="B9320" s="17">
        <v>7035100.0</v>
      </c>
    </row>
    <row r="9321">
      <c r="A9321" s="17">
        <v>1006002.0</v>
      </c>
      <c r="B9321" s="17">
        <v>7036100.0</v>
      </c>
    </row>
    <row r="9322">
      <c r="A9322" s="17">
        <v>1006002.0</v>
      </c>
      <c r="B9322" s="17">
        <v>7040000.0</v>
      </c>
    </row>
    <row r="9323">
      <c r="A9323" s="17">
        <v>1006002.0</v>
      </c>
      <c r="B9323" s="17">
        <v>7040100.0</v>
      </c>
    </row>
    <row r="9324">
      <c r="A9324" s="17">
        <v>1006002.0</v>
      </c>
      <c r="B9324" s="17">
        <v>7040200.0</v>
      </c>
    </row>
    <row r="9325">
      <c r="A9325" s="17">
        <v>1006002.0</v>
      </c>
      <c r="B9325" s="17">
        <v>7040300.0</v>
      </c>
    </row>
    <row r="9326">
      <c r="A9326" s="17">
        <v>1006002.0</v>
      </c>
      <c r="B9326" s="17">
        <v>7040400.0</v>
      </c>
    </row>
    <row r="9327">
      <c r="A9327" s="17">
        <v>1006002.0</v>
      </c>
      <c r="B9327" s="17">
        <v>7040500.0</v>
      </c>
    </row>
    <row r="9328">
      <c r="A9328" s="17">
        <v>1006002.0</v>
      </c>
      <c r="B9328" s="17">
        <v>7043000.0</v>
      </c>
    </row>
    <row r="9329">
      <c r="A9329" s="17">
        <v>1006002.0</v>
      </c>
      <c r="B9329" s="17">
        <v>7043100.0</v>
      </c>
    </row>
    <row r="9330">
      <c r="A9330" s="17">
        <v>1006002.0</v>
      </c>
      <c r="B9330" s="17">
        <v>7043200.0</v>
      </c>
    </row>
    <row r="9331">
      <c r="A9331" s="17">
        <v>1006002.0</v>
      </c>
      <c r="B9331" s="17">
        <v>7043300.0</v>
      </c>
    </row>
    <row r="9332">
      <c r="A9332" s="17">
        <v>1006002.0</v>
      </c>
      <c r="B9332" s="17">
        <v>7043400.0</v>
      </c>
    </row>
    <row r="9333">
      <c r="A9333" s="17">
        <v>1006002.0</v>
      </c>
      <c r="B9333" s="17">
        <v>7043500.0</v>
      </c>
    </row>
    <row r="9334">
      <c r="A9334" s="17">
        <v>1006002.0</v>
      </c>
      <c r="B9334" s="17">
        <v>7043600.0</v>
      </c>
    </row>
    <row r="9335">
      <c r="A9335" s="17">
        <v>1006002.0</v>
      </c>
      <c r="B9335" s="17">
        <v>7043700.0</v>
      </c>
    </row>
    <row r="9336">
      <c r="A9336" s="17">
        <v>1006002.0</v>
      </c>
      <c r="B9336" s="17">
        <v>7043800.0</v>
      </c>
    </row>
    <row r="9337">
      <c r="A9337" s="17">
        <v>1006002.0</v>
      </c>
      <c r="B9337" s="17">
        <v>7044000.0</v>
      </c>
    </row>
    <row r="9338">
      <c r="A9338" s="17">
        <v>1006002.0</v>
      </c>
      <c r="B9338" s="17">
        <v>7044100.0</v>
      </c>
    </row>
    <row r="9339">
      <c r="A9339" s="17">
        <v>1006002.0</v>
      </c>
      <c r="B9339" s="17">
        <v>7044200.0</v>
      </c>
    </row>
    <row r="9340">
      <c r="A9340" s="17">
        <v>1006002.0</v>
      </c>
      <c r="B9340" s="17">
        <v>7044300.0</v>
      </c>
    </row>
    <row r="9341">
      <c r="A9341" s="17">
        <v>1006002.0</v>
      </c>
      <c r="B9341" s="17">
        <v>7044400.0</v>
      </c>
    </row>
    <row r="9342">
      <c r="A9342" s="17">
        <v>1006002.0</v>
      </c>
      <c r="B9342" s="17">
        <v>7044500.0</v>
      </c>
    </row>
    <row r="9343">
      <c r="A9343" s="17">
        <v>1006002.0</v>
      </c>
      <c r="B9343" s="17">
        <v>7044600.0</v>
      </c>
    </row>
    <row r="9344">
      <c r="A9344" s="17">
        <v>1006002.0</v>
      </c>
      <c r="B9344" s="17">
        <v>7050000.0</v>
      </c>
    </row>
    <row r="9345">
      <c r="A9345" s="17">
        <v>1006002.0</v>
      </c>
      <c r="B9345" s="17">
        <v>7050100.0</v>
      </c>
    </row>
    <row r="9346">
      <c r="A9346" s="17">
        <v>1006002.0</v>
      </c>
      <c r="B9346" s="17">
        <v>7060000.0</v>
      </c>
    </row>
    <row r="9347">
      <c r="A9347" s="17">
        <v>1006002.0</v>
      </c>
      <c r="B9347" s="17">
        <v>7060100.0</v>
      </c>
    </row>
    <row r="9348">
      <c r="A9348" s="17">
        <v>1006002.0</v>
      </c>
      <c r="B9348" s="17">
        <v>7060200.0</v>
      </c>
    </row>
    <row r="9349">
      <c r="A9349" s="17">
        <v>1006002.0</v>
      </c>
      <c r="B9349" s="17">
        <v>7070000.0</v>
      </c>
    </row>
    <row r="9350">
      <c r="A9350" s="17">
        <v>1006002.0</v>
      </c>
      <c r="B9350" s="17">
        <v>7080000.0</v>
      </c>
    </row>
    <row r="9351">
      <c r="A9351" s="17">
        <v>1006002.0</v>
      </c>
      <c r="B9351" s="17">
        <v>7080100.0</v>
      </c>
    </row>
    <row r="9352">
      <c r="A9352" s="17">
        <v>1006002.0</v>
      </c>
      <c r="B9352" s="17">
        <v>7080200.0</v>
      </c>
    </row>
    <row r="9353">
      <c r="A9353" s="17">
        <v>1006002.0</v>
      </c>
      <c r="B9353" s="17">
        <v>7080300.0</v>
      </c>
    </row>
    <row r="9354">
      <c r="A9354" s="17">
        <v>1006002.0</v>
      </c>
      <c r="B9354" s="17">
        <v>7080400.0</v>
      </c>
    </row>
    <row r="9355">
      <c r="A9355" s="17">
        <v>1006002.0</v>
      </c>
      <c r="B9355" s="17">
        <v>7080500.0</v>
      </c>
    </row>
    <row r="9356">
      <c r="A9356" s="17">
        <v>1006002.0</v>
      </c>
      <c r="B9356" s="17">
        <v>7080600.0</v>
      </c>
    </row>
    <row r="9357">
      <c r="A9357" s="17">
        <v>1006002.0</v>
      </c>
      <c r="B9357" s="17">
        <v>7080700.0</v>
      </c>
    </row>
    <row r="9358">
      <c r="A9358" s="17">
        <v>1006002.0</v>
      </c>
      <c r="B9358" s="17">
        <v>7080800.0</v>
      </c>
    </row>
    <row r="9359">
      <c r="A9359" s="17">
        <v>1006002.0</v>
      </c>
      <c r="B9359" s="17">
        <v>7080900.0</v>
      </c>
    </row>
    <row r="9360">
      <c r="A9360" s="17">
        <v>1006002.0</v>
      </c>
      <c r="B9360" s="17">
        <v>7081000.0</v>
      </c>
    </row>
    <row r="9361">
      <c r="A9361" s="17">
        <v>1006002.0</v>
      </c>
      <c r="B9361" s="17">
        <v>7081100.0</v>
      </c>
    </row>
    <row r="9362">
      <c r="A9362" s="17">
        <v>1006002.0</v>
      </c>
      <c r="B9362" s="17">
        <v>7081200.0</v>
      </c>
    </row>
    <row r="9363">
      <c r="A9363" s="17">
        <v>1006002.0</v>
      </c>
      <c r="B9363" s="17">
        <v>7081300.0</v>
      </c>
    </row>
    <row r="9364">
      <c r="A9364" s="17">
        <v>1006002.0</v>
      </c>
      <c r="B9364" s="17">
        <v>7081400.0</v>
      </c>
    </row>
    <row r="9365">
      <c r="A9365" s="17">
        <v>1006002.0</v>
      </c>
      <c r="B9365" s="17">
        <v>7081500.0</v>
      </c>
    </row>
    <row r="9366">
      <c r="A9366" s="17">
        <v>1006002.0</v>
      </c>
      <c r="B9366" s="17">
        <v>7081700.0</v>
      </c>
    </row>
    <row r="9367">
      <c r="A9367" s="17">
        <v>1006002.0</v>
      </c>
      <c r="B9367" s="17">
        <v>7081800.0</v>
      </c>
    </row>
    <row r="9368">
      <c r="A9368" s="17">
        <v>1006002.0</v>
      </c>
      <c r="B9368" s="17">
        <v>7081900.0</v>
      </c>
    </row>
    <row r="9369">
      <c r="A9369" s="17">
        <v>1006002.0</v>
      </c>
      <c r="B9369" s="17">
        <v>7082000.0</v>
      </c>
    </row>
    <row r="9370">
      <c r="A9370" s="17">
        <v>1006002.0</v>
      </c>
      <c r="B9370" s="17">
        <v>7082100.0</v>
      </c>
    </row>
    <row r="9371">
      <c r="A9371" s="17">
        <v>1006002.0</v>
      </c>
      <c r="B9371" s="17">
        <v>7082200.0</v>
      </c>
    </row>
    <row r="9372">
      <c r="A9372" s="17">
        <v>1006002.0</v>
      </c>
      <c r="B9372" s="17">
        <v>7082300.0</v>
      </c>
    </row>
    <row r="9373">
      <c r="A9373" s="17">
        <v>1006002.0</v>
      </c>
      <c r="B9373" s="17">
        <v>7082400.0</v>
      </c>
    </row>
    <row r="9374">
      <c r="A9374" s="17">
        <v>1006002.0</v>
      </c>
      <c r="B9374" s="17">
        <v>7082500.0</v>
      </c>
    </row>
    <row r="9375">
      <c r="A9375" s="17">
        <v>1006002.0</v>
      </c>
      <c r="B9375" s="17">
        <v>7082600.0</v>
      </c>
    </row>
    <row r="9376">
      <c r="A9376" s="17">
        <v>1006002.0</v>
      </c>
      <c r="B9376" s="17">
        <v>7082700.0</v>
      </c>
    </row>
    <row r="9377">
      <c r="A9377" s="17">
        <v>1006002.0</v>
      </c>
      <c r="B9377" s="17">
        <v>7082800.0</v>
      </c>
    </row>
    <row r="9378">
      <c r="A9378" s="17">
        <v>1006002.0</v>
      </c>
      <c r="B9378" s="17">
        <v>7082900.0</v>
      </c>
    </row>
    <row r="9379">
      <c r="A9379" s="17">
        <v>1006002.0</v>
      </c>
      <c r="B9379" s="17">
        <v>7090000.0</v>
      </c>
    </row>
    <row r="9380">
      <c r="A9380" s="17">
        <v>1006002.0</v>
      </c>
      <c r="B9380" s="17">
        <v>7090100.0</v>
      </c>
    </row>
    <row r="9381">
      <c r="A9381" s="17">
        <v>1006002.0</v>
      </c>
      <c r="B9381" s="17">
        <v>7090300.0</v>
      </c>
    </row>
    <row r="9382">
      <c r="A9382" s="17">
        <v>1006002.0</v>
      </c>
      <c r="B9382" s="17">
        <v>7100100.0</v>
      </c>
    </row>
    <row r="9383">
      <c r="A9383" s="17">
        <v>1006002.0</v>
      </c>
      <c r="B9383" s="17">
        <v>7110000.0</v>
      </c>
    </row>
    <row r="9384">
      <c r="A9384" s="17">
        <v>1006002.0</v>
      </c>
      <c r="B9384" s="17">
        <v>7120000.0</v>
      </c>
    </row>
    <row r="9385">
      <c r="A9385" s="17">
        <v>1006002.0</v>
      </c>
      <c r="B9385" s="17">
        <v>7120100.0</v>
      </c>
    </row>
    <row r="9386">
      <c r="A9386" s="17">
        <v>1006002.0</v>
      </c>
      <c r="B9386" s="17">
        <v>7120200.0</v>
      </c>
    </row>
    <row r="9387">
      <c r="A9387" s="17">
        <v>1006002.0</v>
      </c>
      <c r="B9387" s="17">
        <v>7120300.0</v>
      </c>
    </row>
    <row r="9388">
      <c r="A9388" s="17">
        <v>1006002.0</v>
      </c>
      <c r="B9388" s="17">
        <v>7120400.0</v>
      </c>
    </row>
    <row r="9389">
      <c r="A9389" s="17">
        <v>1006002.0</v>
      </c>
      <c r="B9389" s="17">
        <v>7120500.0</v>
      </c>
    </row>
    <row r="9390">
      <c r="A9390" s="17">
        <v>1006002.0</v>
      </c>
      <c r="B9390" s="17">
        <v>7120600.0</v>
      </c>
    </row>
    <row r="9391">
      <c r="A9391" s="17">
        <v>1006002.0</v>
      </c>
      <c r="B9391" s="17">
        <v>7120900.0</v>
      </c>
    </row>
    <row r="9392">
      <c r="A9392" s="17">
        <v>1006002.0</v>
      </c>
      <c r="B9392" s="17">
        <v>7121000.0</v>
      </c>
    </row>
    <row r="9393">
      <c r="A9393" s="17">
        <v>1006002.0</v>
      </c>
      <c r="B9393" s="17">
        <v>7121100.0</v>
      </c>
    </row>
    <row r="9394">
      <c r="A9394" s="17">
        <v>1006002.0</v>
      </c>
      <c r="B9394" s="17">
        <v>7121200.0</v>
      </c>
    </row>
    <row r="9395">
      <c r="A9395" s="17">
        <v>1006002.0</v>
      </c>
      <c r="B9395" s="17">
        <v>7121300.0</v>
      </c>
    </row>
    <row r="9396">
      <c r="A9396" s="17">
        <v>1006002.0</v>
      </c>
      <c r="B9396" s="17">
        <v>7121400.0</v>
      </c>
    </row>
    <row r="9397">
      <c r="A9397" s="17">
        <v>1006002.0</v>
      </c>
      <c r="B9397" s="17">
        <v>7121500.0</v>
      </c>
    </row>
    <row r="9398">
      <c r="A9398" s="17">
        <v>1006002.0</v>
      </c>
      <c r="B9398" s="17">
        <v>7121600.0</v>
      </c>
    </row>
    <row r="9399">
      <c r="A9399" s="17">
        <v>1006002.0</v>
      </c>
      <c r="B9399" s="17">
        <v>7121700.0</v>
      </c>
    </row>
    <row r="9400">
      <c r="A9400" s="17">
        <v>1006002.0</v>
      </c>
      <c r="B9400" s="17">
        <v>7121800.0</v>
      </c>
    </row>
    <row r="9401">
      <c r="A9401" s="17">
        <v>1006002.0</v>
      </c>
      <c r="B9401" s="17">
        <v>7121900.0</v>
      </c>
    </row>
    <row r="9402">
      <c r="A9402" s="17">
        <v>1006002.0</v>
      </c>
      <c r="B9402" s="17">
        <v>7122000.0</v>
      </c>
    </row>
    <row r="9403">
      <c r="A9403" s="17">
        <v>1006002.0</v>
      </c>
      <c r="B9403" s="17">
        <v>7122100.0</v>
      </c>
    </row>
    <row r="9404">
      <c r="A9404" s="17">
        <v>1006002.0</v>
      </c>
      <c r="B9404" s="17">
        <v>7122200.0</v>
      </c>
    </row>
    <row r="9405">
      <c r="A9405" s="17">
        <v>1006002.0</v>
      </c>
      <c r="B9405" s="17">
        <v>7122300.0</v>
      </c>
    </row>
    <row r="9406">
      <c r="A9406" s="17">
        <v>1006002.0</v>
      </c>
      <c r="B9406" s="17">
        <v>7122400.0</v>
      </c>
    </row>
    <row r="9407">
      <c r="A9407" s="17">
        <v>1006002.0</v>
      </c>
      <c r="B9407" s="17">
        <v>7122500.0</v>
      </c>
    </row>
    <row r="9408">
      <c r="A9408" s="17">
        <v>1006002.0</v>
      </c>
      <c r="B9408" s="17">
        <v>7122600.0</v>
      </c>
    </row>
    <row r="9409">
      <c r="A9409" s="17">
        <v>1006002.0</v>
      </c>
      <c r="B9409" s="17">
        <v>7122700.0</v>
      </c>
    </row>
    <row r="9410">
      <c r="A9410" s="17">
        <v>1006002.0</v>
      </c>
      <c r="B9410" s="17">
        <v>7122800.0</v>
      </c>
    </row>
    <row r="9411">
      <c r="A9411" s="17">
        <v>1006002.0</v>
      </c>
      <c r="B9411" s="17">
        <v>7122900.0</v>
      </c>
    </row>
    <row r="9412">
      <c r="A9412" s="17">
        <v>1006002.0</v>
      </c>
      <c r="B9412" s="17">
        <v>7123000.0</v>
      </c>
    </row>
    <row r="9413">
      <c r="A9413" s="17">
        <v>1006002.0</v>
      </c>
      <c r="B9413" s="17">
        <v>7123100.0</v>
      </c>
    </row>
    <row r="9414">
      <c r="A9414" s="17">
        <v>1006002.0</v>
      </c>
      <c r="B9414" s="17">
        <v>7123200.0</v>
      </c>
    </row>
    <row r="9415">
      <c r="A9415" s="17">
        <v>1006002.0</v>
      </c>
      <c r="B9415" s="17">
        <v>7123300.0</v>
      </c>
    </row>
    <row r="9416">
      <c r="A9416" s="17">
        <v>1006002.0</v>
      </c>
      <c r="B9416" s="17">
        <v>7123400.0</v>
      </c>
    </row>
    <row r="9417">
      <c r="A9417" s="17">
        <v>1006002.0</v>
      </c>
      <c r="B9417" s="17">
        <v>7123500.0</v>
      </c>
    </row>
    <row r="9418">
      <c r="A9418" s="17">
        <v>1006002.0</v>
      </c>
      <c r="B9418" s="17">
        <v>7123600.0</v>
      </c>
    </row>
    <row r="9419">
      <c r="A9419" s="17">
        <v>1006002.0</v>
      </c>
      <c r="B9419" s="17">
        <v>7123700.0</v>
      </c>
    </row>
    <row r="9420">
      <c r="A9420" s="17">
        <v>1006002.0</v>
      </c>
      <c r="B9420" s="17">
        <v>7123800.0</v>
      </c>
    </row>
    <row r="9421">
      <c r="A9421" s="17">
        <v>1006002.0</v>
      </c>
      <c r="B9421" s="17">
        <v>7123900.0</v>
      </c>
    </row>
    <row r="9422">
      <c r="A9422" s="17">
        <v>1006002.0</v>
      </c>
      <c r="B9422" s="17">
        <v>7124000.0</v>
      </c>
    </row>
    <row r="9423">
      <c r="A9423" s="17">
        <v>1006002.0</v>
      </c>
      <c r="B9423" s="17">
        <v>7124100.0</v>
      </c>
    </row>
    <row r="9424">
      <c r="A9424" s="17">
        <v>1006002.0</v>
      </c>
      <c r="B9424" s="17">
        <v>7124300.0</v>
      </c>
    </row>
    <row r="9425">
      <c r="A9425" s="17">
        <v>1006002.0</v>
      </c>
      <c r="B9425" s="17">
        <v>7124400.0</v>
      </c>
    </row>
    <row r="9426">
      <c r="A9426" s="17">
        <v>1006002.0</v>
      </c>
      <c r="B9426" s="17">
        <v>7124500.0</v>
      </c>
    </row>
    <row r="9427">
      <c r="A9427" s="17">
        <v>1006002.0</v>
      </c>
      <c r="B9427" s="17">
        <v>7124600.0</v>
      </c>
    </row>
    <row r="9428">
      <c r="A9428" s="17">
        <v>1006002.0</v>
      </c>
      <c r="B9428" s="17">
        <v>7124700.0</v>
      </c>
    </row>
    <row r="9429">
      <c r="A9429" s="17">
        <v>1006002.0</v>
      </c>
      <c r="B9429" s="17">
        <v>7126000.0</v>
      </c>
    </row>
    <row r="9430">
      <c r="A9430" s="17">
        <v>1006002.0</v>
      </c>
      <c r="B9430" s="17">
        <v>7150000.0</v>
      </c>
    </row>
    <row r="9431">
      <c r="A9431" s="17">
        <v>1006002.0</v>
      </c>
      <c r="B9431" s="17">
        <v>7160000.0</v>
      </c>
    </row>
    <row r="9432">
      <c r="A9432" s="17">
        <v>1006002.0</v>
      </c>
      <c r="B9432" s="17">
        <v>7220000.0</v>
      </c>
    </row>
    <row r="9433">
      <c r="A9433" s="17">
        <v>1006002.0</v>
      </c>
      <c r="B9433" s="17">
        <v>7230000.0</v>
      </c>
    </row>
    <row r="9434">
      <c r="A9434" s="17">
        <v>1006002.0</v>
      </c>
      <c r="B9434" s="17">
        <v>7240000.0</v>
      </c>
    </row>
    <row r="9435">
      <c r="A9435" s="17">
        <v>1006002.0</v>
      </c>
      <c r="B9435" s="17">
        <v>7260000.0</v>
      </c>
    </row>
    <row r="9436">
      <c r="A9436" s="17">
        <v>1006002.0</v>
      </c>
      <c r="B9436" s="17">
        <v>7260300.0</v>
      </c>
    </row>
    <row r="9437">
      <c r="A9437" s="17">
        <v>1006002.0</v>
      </c>
      <c r="B9437" s="17">
        <v>7260400.0</v>
      </c>
    </row>
    <row r="9438">
      <c r="A9438" s="17">
        <v>1006002.0</v>
      </c>
      <c r="B9438" s="17">
        <v>7270100.0</v>
      </c>
    </row>
    <row r="9439">
      <c r="A9439" s="17">
        <v>1006002.0</v>
      </c>
      <c r="B9439" s="17">
        <v>7280000.0</v>
      </c>
    </row>
    <row r="9440">
      <c r="A9440" s="17">
        <v>1006002.0</v>
      </c>
      <c r="B9440" s="17">
        <v>7290000.0</v>
      </c>
    </row>
    <row r="9441">
      <c r="A9441" s="17">
        <v>1006002.0</v>
      </c>
      <c r="B9441" s="17">
        <v>7310000.0</v>
      </c>
    </row>
    <row r="9442">
      <c r="A9442" s="17">
        <v>1006002.0</v>
      </c>
      <c r="B9442" s="17">
        <v>7330000.0</v>
      </c>
    </row>
    <row r="9443">
      <c r="A9443" s="17">
        <v>1006002.0</v>
      </c>
      <c r="B9443" s="17">
        <v>7330100.0</v>
      </c>
    </row>
    <row r="9444">
      <c r="A9444" s="17">
        <v>1006002.0</v>
      </c>
      <c r="B9444" s="17">
        <v>7330200.0</v>
      </c>
    </row>
    <row r="9445">
      <c r="A9445" s="17">
        <v>1006002.0</v>
      </c>
      <c r="B9445" s="17">
        <v>7330300.0</v>
      </c>
    </row>
    <row r="9446">
      <c r="A9446" s="17">
        <v>1006002.0</v>
      </c>
      <c r="B9446" s="17">
        <v>7330400.0</v>
      </c>
    </row>
    <row r="9447">
      <c r="A9447" s="17">
        <v>1006002.0</v>
      </c>
      <c r="B9447" s="17">
        <v>7330500.0</v>
      </c>
    </row>
    <row r="9448">
      <c r="A9448" s="17">
        <v>1006002.0</v>
      </c>
      <c r="B9448" s="17">
        <v>7330600.0</v>
      </c>
    </row>
    <row r="9449">
      <c r="A9449" s="17">
        <v>1006002.0</v>
      </c>
      <c r="B9449" s="17">
        <v>7330700.0</v>
      </c>
    </row>
    <row r="9450">
      <c r="A9450" s="17">
        <v>1006002.0</v>
      </c>
      <c r="B9450" s="17">
        <v>7330800.0</v>
      </c>
    </row>
    <row r="9451">
      <c r="A9451" s="17">
        <v>1006002.0</v>
      </c>
      <c r="B9451" s="17">
        <v>7330900.0</v>
      </c>
    </row>
    <row r="9452">
      <c r="A9452" s="17">
        <v>1006002.0</v>
      </c>
      <c r="B9452" s="17">
        <v>7331000.0</v>
      </c>
    </row>
    <row r="9453">
      <c r="A9453" s="17">
        <v>1006002.0</v>
      </c>
      <c r="B9453" s="17">
        <v>7331100.0</v>
      </c>
    </row>
    <row r="9454">
      <c r="A9454" s="17">
        <v>1006002.0</v>
      </c>
      <c r="B9454" s="17">
        <v>7331200.0</v>
      </c>
    </row>
    <row r="9455">
      <c r="A9455" s="17">
        <v>1006002.0</v>
      </c>
      <c r="B9455" s="17">
        <v>7331300.0</v>
      </c>
    </row>
    <row r="9456">
      <c r="A9456" s="17">
        <v>1006002.0</v>
      </c>
      <c r="B9456" s="17">
        <v>7331400.0</v>
      </c>
    </row>
    <row r="9457">
      <c r="A9457" s="17">
        <v>1006002.0</v>
      </c>
      <c r="B9457" s="17">
        <v>7331500.0</v>
      </c>
    </row>
    <row r="9458">
      <c r="A9458" s="17">
        <v>1006002.0</v>
      </c>
      <c r="B9458" s="17">
        <v>7331700.0</v>
      </c>
    </row>
    <row r="9459">
      <c r="A9459" s="17">
        <v>1006002.0</v>
      </c>
      <c r="B9459" s="17">
        <v>7331800.0</v>
      </c>
    </row>
    <row r="9460">
      <c r="A9460" s="17">
        <v>1006002.0</v>
      </c>
      <c r="B9460" s="17">
        <v>7331900.0</v>
      </c>
    </row>
    <row r="9461">
      <c r="A9461" s="17">
        <v>1006002.0</v>
      </c>
      <c r="B9461" s="17">
        <v>7332000.0</v>
      </c>
    </row>
    <row r="9462">
      <c r="A9462" s="17">
        <v>1006002.0</v>
      </c>
      <c r="B9462" s="17">
        <v>7332100.0</v>
      </c>
    </row>
    <row r="9463">
      <c r="A9463" s="17">
        <v>1006002.0</v>
      </c>
      <c r="B9463" s="17">
        <v>7332200.0</v>
      </c>
    </row>
    <row r="9464">
      <c r="A9464" s="17">
        <v>1006002.0</v>
      </c>
      <c r="B9464" s="17">
        <v>7332300.0</v>
      </c>
    </row>
    <row r="9465">
      <c r="A9465" s="17">
        <v>1006002.0</v>
      </c>
      <c r="B9465" s="17">
        <v>7332400.0</v>
      </c>
    </row>
    <row r="9466">
      <c r="A9466" s="17">
        <v>1006002.0</v>
      </c>
      <c r="B9466" s="17">
        <v>7340000.0</v>
      </c>
    </row>
    <row r="9467">
      <c r="A9467" s="17">
        <v>1006002.0</v>
      </c>
      <c r="B9467" s="17">
        <v>7340100.0</v>
      </c>
    </row>
    <row r="9468">
      <c r="A9468" s="17">
        <v>1006002.0</v>
      </c>
      <c r="B9468" s="17">
        <v>7340200.0</v>
      </c>
    </row>
    <row r="9469">
      <c r="A9469" s="17">
        <v>1006002.0</v>
      </c>
      <c r="B9469" s="17">
        <v>7340300.0</v>
      </c>
    </row>
    <row r="9470">
      <c r="A9470" s="17">
        <v>1006002.0</v>
      </c>
      <c r="B9470" s="17">
        <v>7340400.0</v>
      </c>
    </row>
    <row r="9471">
      <c r="A9471" s="17">
        <v>1006002.0</v>
      </c>
      <c r="B9471" s="17">
        <v>7340500.0</v>
      </c>
    </row>
    <row r="9472">
      <c r="A9472" s="17">
        <v>1006002.0</v>
      </c>
      <c r="B9472" s="17">
        <v>7340600.0</v>
      </c>
    </row>
    <row r="9473">
      <c r="A9473" s="17">
        <v>1006002.0</v>
      </c>
      <c r="B9473" s="17">
        <v>7340700.0</v>
      </c>
    </row>
    <row r="9474">
      <c r="A9474" s="17">
        <v>1006002.0</v>
      </c>
      <c r="B9474" s="17">
        <v>7340800.0</v>
      </c>
    </row>
    <row r="9475">
      <c r="A9475" s="17">
        <v>1006002.0</v>
      </c>
      <c r="B9475" s="17">
        <v>7340900.0</v>
      </c>
    </row>
    <row r="9476">
      <c r="A9476" s="17">
        <v>1006002.0</v>
      </c>
      <c r="B9476" s="17">
        <v>7341000.0</v>
      </c>
    </row>
    <row r="9477">
      <c r="A9477" s="17">
        <v>1006002.0</v>
      </c>
      <c r="B9477" s="17">
        <v>7341100.0</v>
      </c>
    </row>
    <row r="9478">
      <c r="A9478" s="17">
        <v>1006002.0</v>
      </c>
      <c r="B9478" s="17">
        <v>7341200.0</v>
      </c>
    </row>
    <row r="9479">
      <c r="A9479" s="17">
        <v>1006002.0</v>
      </c>
      <c r="B9479" s="17">
        <v>7341300.0</v>
      </c>
    </row>
    <row r="9480">
      <c r="A9480" s="17">
        <v>1006002.0</v>
      </c>
      <c r="B9480" s="17">
        <v>7341400.0</v>
      </c>
    </row>
    <row r="9481">
      <c r="A9481" s="17">
        <v>1006002.0</v>
      </c>
      <c r="B9481" s="17">
        <v>7341500.0</v>
      </c>
    </row>
    <row r="9482">
      <c r="A9482" s="17">
        <v>1006002.0</v>
      </c>
      <c r="B9482" s="17">
        <v>7341700.0</v>
      </c>
    </row>
    <row r="9483">
      <c r="A9483" s="17">
        <v>1006002.0</v>
      </c>
      <c r="B9483" s="17">
        <v>7341800.0</v>
      </c>
    </row>
    <row r="9484">
      <c r="A9484" s="17">
        <v>1006002.0</v>
      </c>
      <c r="B9484" s="17">
        <v>7341900.0</v>
      </c>
    </row>
    <row r="9485">
      <c r="A9485" s="17">
        <v>1006002.0</v>
      </c>
      <c r="B9485" s="17">
        <v>7342000.0</v>
      </c>
    </row>
    <row r="9486">
      <c r="A9486" s="17">
        <v>1006002.0</v>
      </c>
      <c r="B9486" s="17">
        <v>7342100.0</v>
      </c>
    </row>
    <row r="9487">
      <c r="A9487" s="17">
        <v>1006002.0</v>
      </c>
      <c r="B9487" s="17">
        <v>7342200.0</v>
      </c>
    </row>
    <row r="9488">
      <c r="A9488" s="17">
        <v>1006002.0</v>
      </c>
      <c r="B9488" s="17">
        <v>7342300.0</v>
      </c>
    </row>
    <row r="9489">
      <c r="A9489" s="17">
        <v>1006002.0</v>
      </c>
      <c r="B9489" s="17">
        <v>7342400.0</v>
      </c>
    </row>
    <row r="9490">
      <c r="A9490" s="17">
        <v>1006002.0</v>
      </c>
      <c r="B9490" s="17">
        <v>7350000.0</v>
      </c>
    </row>
    <row r="9491">
      <c r="A9491" s="17">
        <v>1006002.0</v>
      </c>
      <c r="B9491" s="17">
        <v>7350100.0</v>
      </c>
    </row>
    <row r="9492">
      <c r="A9492" s="17">
        <v>1006002.0</v>
      </c>
      <c r="B9492" s="17">
        <v>7350200.0</v>
      </c>
    </row>
    <row r="9493">
      <c r="A9493" s="17">
        <v>1006002.0</v>
      </c>
      <c r="B9493" s="17">
        <v>7350300.0</v>
      </c>
    </row>
    <row r="9494">
      <c r="A9494" s="17">
        <v>1006002.0</v>
      </c>
      <c r="B9494" s="17">
        <v>7350400.0</v>
      </c>
    </row>
    <row r="9495">
      <c r="A9495" s="17">
        <v>1006002.0</v>
      </c>
      <c r="B9495" s="17">
        <v>7350500.0</v>
      </c>
    </row>
    <row r="9496">
      <c r="A9496" s="17">
        <v>1006002.0</v>
      </c>
      <c r="B9496" s="17">
        <v>7350600.0</v>
      </c>
    </row>
    <row r="9497">
      <c r="A9497" s="17">
        <v>1006002.0</v>
      </c>
      <c r="B9497" s="17">
        <v>7350700.0</v>
      </c>
    </row>
    <row r="9498">
      <c r="A9498" s="17">
        <v>1006002.0</v>
      </c>
      <c r="B9498" s="17">
        <v>7350800.0</v>
      </c>
    </row>
    <row r="9499">
      <c r="A9499" s="17">
        <v>1006002.0</v>
      </c>
      <c r="B9499" s="17">
        <v>7350900.0</v>
      </c>
    </row>
    <row r="9500">
      <c r="A9500" s="17">
        <v>1006002.0</v>
      </c>
      <c r="B9500" s="17">
        <v>7351000.0</v>
      </c>
    </row>
    <row r="9501">
      <c r="A9501" s="17">
        <v>1006002.0</v>
      </c>
      <c r="B9501" s="17">
        <v>7351100.0</v>
      </c>
    </row>
    <row r="9502">
      <c r="A9502" s="17">
        <v>1006002.0</v>
      </c>
      <c r="B9502" s="17">
        <v>7351200.0</v>
      </c>
    </row>
    <row r="9503">
      <c r="A9503" s="17">
        <v>1006002.0</v>
      </c>
      <c r="B9503" s="17">
        <v>7351300.0</v>
      </c>
    </row>
    <row r="9504">
      <c r="A9504" s="17">
        <v>1006002.0</v>
      </c>
      <c r="B9504" s="17">
        <v>7351400.0</v>
      </c>
    </row>
    <row r="9505">
      <c r="A9505" s="17">
        <v>1006002.0</v>
      </c>
      <c r="B9505" s="17">
        <v>7351500.0</v>
      </c>
    </row>
    <row r="9506">
      <c r="A9506" s="17">
        <v>1006002.0</v>
      </c>
      <c r="B9506" s="17">
        <v>7351700.0</v>
      </c>
    </row>
    <row r="9507">
      <c r="A9507" s="17">
        <v>1006002.0</v>
      </c>
      <c r="B9507" s="17">
        <v>7351800.0</v>
      </c>
    </row>
    <row r="9508">
      <c r="A9508" s="17">
        <v>1006002.0</v>
      </c>
      <c r="B9508" s="17">
        <v>7351900.0</v>
      </c>
    </row>
    <row r="9509">
      <c r="A9509" s="17">
        <v>1006002.0</v>
      </c>
      <c r="B9509" s="17">
        <v>7352000.0</v>
      </c>
    </row>
    <row r="9510">
      <c r="A9510" s="17">
        <v>1006002.0</v>
      </c>
      <c r="B9510" s="17">
        <v>7352100.0</v>
      </c>
    </row>
    <row r="9511">
      <c r="A9511" s="17">
        <v>1006002.0</v>
      </c>
      <c r="B9511" s="17">
        <v>7352200.0</v>
      </c>
    </row>
    <row r="9512">
      <c r="A9512" s="17">
        <v>1006002.0</v>
      </c>
      <c r="B9512" s="17">
        <v>7352300.0</v>
      </c>
    </row>
    <row r="9513">
      <c r="A9513" s="17">
        <v>1006002.0</v>
      </c>
      <c r="B9513" s="17">
        <v>7352400.0</v>
      </c>
    </row>
    <row r="9514">
      <c r="A9514" s="17">
        <v>1006002.0</v>
      </c>
      <c r="B9514" s="17">
        <v>7360600.0</v>
      </c>
    </row>
    <row r="9515">
      <c r="A9515" s="17">
        <v>1006002.0</v>
      </c>
      <c r="B9515" s="17">
        <v>7360900.0</v>
      </c>
    </row>
    <row r="9516">
      <c r="A9516" s="17">
        <v>1006002.0</v>
      </c>
      <c r="B9516" s="17">
        <v>7361200.0</v>
      </c>
    </row>
    <row r="9517">
      <c r="A9517" s="17">
        <v>1006002.0</v>
      </c>
      <c r="B9517" s="17">
        <v>7361300.0</v>
      </c>
    </row>
    <row r="9518">
      <c r="A9518" s="17">
        <v>1006002.0</v>
      </c>
      <c r="B9518" s="17">
        <v>7362100.0</v>
      </c>
    </row>
    <row r="9519">
      <c r="A9519" s="17">
        <v>1006002.0</v>
      </c>
      <c r="B9519" s="17">
        <v>7370300.0</v>
      </c>
    </row>
    <row r="9520">
      <c r="A9520" s="17">
        <v>1006002.0</v>
      </c>
      <c r="B9520" s="17">
        <v>7370400.0</v>
      </c>
    </row>
    <row r="9521">
      <c r="A9521" s="17">
        <v>1006002.0</v>
      </c>
      <c r="B9521" s="17">
        <v>7370600.0</v>
      </c>
    </row>
    <row r="9522">
      <c r="A9522" s="17">
        <v>1006002.0</v>
      </c>
      <c r="B9522" s="17">
        <v>7370900.0</v>
      </c>
    </row>
    <row r="9523">
      <c r="A9523" s="17">
        <v>1006002.0</v>
      </c>
      <c r="B9523" s="17">
        <v>7371500.0</v>
      </c>
    </row>
    <row r="9524">
      <c r="A9524" s="17">
        <v>1006002.0</v>
      </c>
      <c r="B9524" s="17">
        <v>7036200.0</v>
      </c>
    </row>
    <row r="9525">
      <c r="A9525" s="17">
        <v>1006002.0</v>
      </c>
      <c r="B9525" s="17">
        <v>7036300.0</v>
      </c>
    </row>
    <row r="9526">
      <c r="A9526" s="17">
        <v>1006002.0</v>
      </c>
      <c r="B9526" s="17">
        <v>7036400.0</v>
      </c>
    </row>
    <row r="9527">
      <c r="A9527" s="17">
        <v>1006002.0</v>
      </c>
      <c r="B9527" s="17">
        <v>7036500.0</v>
      </c>
    </row>
    <row r="9528">
      <c r="A9528" s="17">
        <v>1006002.0</v>
      </c>
      <c r="B9528" s="17">
        <v>7036800.0</v>
      </c>
    </row>
    <row r="9529">
      <c r="A9529" s="17">
        <v>1006002.0</v>
      </c>
      <c r="B9529" s="17">
        <v>7036900.0</v>
      </c>
    </row>
    <row r="9530">
      <c r="A9530" s="17">
        <v>1006002.0</v>
      </c>
      <c r="B9530" s="17">
        <v>7037000.0</v>
      </c>
    </row>
    <row r="9531">
      <c r="A9531" s="17">
        <v>1006002.0</v>
      </c>
      <c r="B9531" s="17">
        <v>7037300.0</v>
      </c>
    </row>
    <row r="9532">
      <c r="A9532" s="17">
        <v>1006002.0</v>
      </c>
      <c r="B9532" s="17">
        <v>6630000.0</v>
      </c>
    </row>
    <row r="9533">
      <c r="A9533" s="17">
        <v>1006002.0</v>
      </c>
      <c r="B9533" s="17">
        <v>6630100.0</v>
      </c>
    </row>
    <row r="9534">
      <c r="A9534" s="17">
        <v>1006002.0</v>
      </c>
      <c r="B9534" s="17">
        <v>6630200.0</v>
      </c>
    </row>
    <row r="9535">
      <c r="A9535" s="17">
        <v>1006002.0</v>
      </c>
      <c r="B9535" s="17">
        <v>6630300.0</v>
      </c>
    </row>
    <row r="9536">
      <c r="A9536" s="17">
        <v>1006002.0</v>
      </c>
      <c r="B9536" s="17">
        <v>6630400.0</v>
      </c>
    </row>
    <row r="9537">
      <c r="A9537" s="17">
        <v>1006002.0</v>
      </c>
      <c r="B9537" s="17">
        <v>6630500.0</v>
      </c>
    </row>
    <row r="9538">
      <c r="A9538" s="17">
        <v>1006002.0</v>
      </c>
      <c r="B9538" s="17">
        <v>6630600.0</v>
      </c>
    </row>
    <row r="9539">
      <c r="A9539" s="17">
        <v>1006002.0</v>
      </c>
      <c r="B9539" s="17">
        <v>6630700.0</v>
      </c>
    </row>
    <row r="9540">
      <c r="A9540" s="17">
        <v>1006002.0</v>
      </c>
      <c r="B9540" s="17">
        <v>6630800.0</v>
      </c>
    </row>
    <row r="9541">
      <c r="A9541" s="17">
        <v>1006002.0</v>
      </c>
      <c r="B9541" s="17">
        <v>6630900.0</v>
      </c>
    </row>
    <row r="9542">
      <c r="A9542" s="17">
        <v>1006002.0</v>
      </c>
      <c r="B9542" s="17">
        <v>6631000.0</v>
      </c>
    </row>
    <row r="9543">
      <c r="A9543" s="17">
        <v>1006002.0</v>
      </c>
      <c r="B9543" s="17">
        <v>6631100.0</v>
      </c>
    </row>
    <row r="9544">
      <c r="A9544" s="17">
        <v>1006002.0</v>
      </c>
      <c r="B9544" s="17">
        <v>6631200.0</v>
      </c>
    </row>
    <row r="9545">
      <c r="A9545" s="17">
        <v>1006002.0</v>
      </c>
      <c r="B9545" s="17">
        <v>6631300.0</v>
      </c>
    </row>
    <row r="9546">
      <c r="A9546" s="17">
        <v>1006002.0</v>
      </c>
      <c r="B9546" s="17">
        <v>6631400.0</v>
      </c>
    </row>
    <row r="9547">
      <c r="A9547" s="17">
        <v>1006002.0</v>
      </c>
      <c r="B9547" s="17">
        <v>6631500.0</v>
      </c>
    </row>
    <row r="9548">
      <c r="A9548" s="17">
        <v>1006002.0</v>
      </c>
      <c r="B9548" s="17">
        <v>6631600.0</v>
      </c>
    </row>
    <row r="9549">
      <c r="A9549" s="17">
        <v>1006002.0</v>
      </c>
      <c r="B9549" s="17">
        <v>6631700.0</v>
      </c>
    </row>
    <row r="9550">
      <c r="A9550" s="17">
        <v>1006002.0</v>
      </c>
      <c r="B9550" s="17">
        <v>6631800.0</v>
      </c>
    </row>
    <row r="9551">
      <c r="A9551" s="17">
        <v>1006002.0</v>
      </c>
      <c r="B9551" s="17">
        <v>6631900.0</v>
      </c>
    </row>
    <row r="9552">
      <c r="A9552" s="17">
        <v>1006002.0</v>
      </c>
      <c r="B9552" s="17">
        <v>6632000.0</v>
      </c>
    </row>
    <row r="9553">
      <c r="A9553" s="17">
        <v>1006002.0</v>
      </c>
      <c r="B9553" s="17">
        <v>6632100.0</v>
      </c>
    </row>
    <row r="9554">
      <c r="A9554" s="17">
        <v>1006002.0</v>
      </c>
      <c r="B9554" s="17">
        <v>6632200.0</v>
      </c>
    </row>
    <row r="9555">
      <c r="A9555" s="17">
        <v>1006002.0</v>
      </c>
      <c r="B9555" s="17">
        <v>6632300.0</v>
      </c>
    </row>
    <row r="9556">
      <c r="A9556" s="17">
        <v>1006002.0</v>
      </c>
      <c r="B9556" s="17">
        <v>6632400.0</v>
      </c>
    </row>
    <row r="9557">
      <c r="A9557" s="17">
        <v>1006002.0</v>
      </c>
      <c r="B9557" s="17">
        <v>6632500.0</v>
      </c>
    </row>
    <row r="9558">
      <c r="A9558" s="17">
        <v>1006002.0</v>
      </c>
      <c r="B9558" s="17">
        <v>6632600.0</v>
      </c>
    </row>
    <row r="9559">
      <c r="A9559" s="17">
        <v>1006002.0</v>
      </c>
      <c r="B9559" s="17">
        <v>6632700.0</v>
      </c>
    </row>
    <row r="9560">
      <c r="A9560" s="17">
        <v>1006002.0</v>
      </c>
      <c r="B9560" s="17">
        <v>6632800.0</v>
      </c>
    </row>
    <row r="9561">
      <c r="A9561" s="17">
        <v>1006002.0</v>
      </c>
      <c r="B9561" s="17">
        <v>6632900.0</v>
      </c>
    </row>
    <row r="9562">
      <c r="A9562" s="17">
        <v>1006002.0</v>
      </c>
      <c r="B9562" s="17">
        <v>6633000.0</v>
      </c>
    </row>
    <row r="9563">
      <c r="A9563" s="17">
        <v>1006002.0</v>
      </c>
      <c r="B9563" s="17">
        <v>6633100.0</v>
      </c>
    </row>
    <row r="9564">
      <c r="A9564" s="17">
        <v>1006002.0</v>
      </c>
      <c r="B9564" s="17">
        <v>6633200.0</v>
      </c>
    </row>
    <row r="9565">
      <c r="A9565" s="17">
        <v>1006002.0</v>
      </c>
      <c r="B9565" s="17">
        <v>6647200.0</v>
      </c>
    </row>
    <row r="9566">
      <c r="A9566" s="17">
        <v>1006002.0</v>
      </c>
      <c r="B9566" s="17">
        <v>6647300.0</v>
      </c>
    </row>
    <row r="9567">
      <c r="A9567" s="17">
        <v>1006002.0</v>
      </c>
      <c r="B9567" s="17">
        <v>6647400.0</v>
      </c>
    </row>
    <row r="9568">
      <c r="A9568" s="17">
        <v>1006002.0</v>
      </c>
      <c r="B9568" s="17">
        <v>6647500.0</v>
      </c>
    </row>
    <row r="9569">
      <c r="A9569" s="17">
        <v>1006002.0</v>
      </c>
      <c r="B9569" s="17">
        <v>6640000.0</v>
      </c>
    </row>
    <row r="9570">
      <c r="A9570" s="17">
        <v>1006002.0</v>
      </c>
      <c r="B9570" s="17">
        <v>6640100.0</v>
      </c>
    </row>
    <row r="9571">
      <c r="A9571" s="17">
        <v>1006002.0</v>
      </c>
      <c r="B9571" s="17">
        <v>6641000.0</v>
      </c>
    </row>
    <row r="9572">
      <c r="A9572" s="17">
        <v>1006002.0</v>
      </c>
      <c r="B9572" s="17">
        <v>6641100.0</v>
      </c>
    </row>
    <row r="9573">
      <c r="A9573" s="17">
        <v>1006002.0</v>
      </c>
      <c r="B9573" s="17">
        <v>6642000.0</v>
      </c>
    </row>
    <row r="9574">
      <c r="A9574" s="17">
        <v>1006002.0</v>
      </c>
      <c r="B9574" s="17">
        <v>6642100.0</v>
      </c>
    </row>
    <row r="9575">
      <c r="A9575" s="17">
        <v>1006002.0</v>
      </c>
      <c r="B9575" s="17">
        <v>6643000.0</v>
      </c>
    </row>
    <row r="9576">
      <c r="A9576" s="17">
        <v>1006002.0</v>
      </c>
      <c r="B9576" s="17">
        <v>6643100.0</v>
      </c>
    </row>
    <row r="9577">
      <c r="A9577" s="17">
        <v>1006002.0</v>
      </c>
      <c r="B9577" s="17">
        <v>6644000.0</v>
      </c>
    </row>
    <row r="9578">
      <c r="A9578" s="17">
        <v>1006002.0</v>
      </c>
      <c r="B9578" s="17">
        <v>6644100.0</v>
      </c>
    </row>
    <row r="9579">
      <c r="A9579" s="17">
        <v>1006002.0</v>
      </c>
      <c r="B9579" s="17">
        <v>6645000.0</v>
      </c>
    </row>
    <row r="9580">
      <c r="A9580" s="17">
        <v>1006002.0</v>
      </c>
      <c r="B9580" s="17">
        <v>6645100.0</v>
      </c>
    </row>
    <row r="9581">
      <c r="A9581" s="17">
        <v>1006002.0</v>
      </c>
      <c r="B9581" s="17">
        <v>6646000.0</v>
      </c>
    </row>
    <row r="9582">
      <c r="A9582" s="17">
        <v>1006002.0</v>
      </c>
      <c r="B9582" s="17">
        <v>6646100.0</v>
      </c>
    </row>
    <row r="9583">
      <c r="A9583" s="17">
        <v>1006002.0</v>
      </c>
      <c r="B9583" s="17">
        <v>6647000.0</v>
      </c>
    </row>
    <row r="9584">
      <c r="A9584" s="17">
        <v>1006002.0</v>
      </c>
      <c r="B9584" s="17">
        <v>6647100.0</v>
      </c>
    </row>
    <row r="9585">
      <c r="A9585" s="17">
        <v>1007000.0</v>
      </c>
      <c r="B9585" s="17">
        <v>7000000.0</v>
      </c>
    </row>
    <row r="9586">
      <c r="A9586" s="17">
        <v>1007000.0</v>
      </c>
      <c r="B9586" s="17">
        <v>7000001.0</v>
      </c>
    </row>
    <row r="9587">
      <c r="A9587" s="17">
        <v>1007000.0</v>
      </c>
      <c r="B9587" s="17">
        <v>7000002.0</v>
      </c>
    </row>
    <row r="9588">
      <c r="A9588" s="17">
        <v>1007000.0</v>
      </c>
      <c r="B9588" s="17">
        <v>7000100.0</v>
      </c>
    </row>
    <row r="9589">
      <c r="A9589" s="17">
        <v>1007000.0</v>
      </c>
      <c r="B9589" s="17">
        <v>7000101.0</v>
      </c>
    </row>
    <row r="9590">
      <c r="A9590" s="17">
        <v>1007000.0</v>
      </c>
      <c r="B9590" s="17">
        <v>7000102.0</v>
      </c>
    </row>
    <row r="9591">
      <c r="A9591" s="17">
        <v>1007000.0</v>
      </c>
      <c r="B9591" s="17">
        <v>7000200.0</v>
      </c>
    </row>
    <row r="9592">
      <c r="A9592" s="17">
        <v>1007000.0</v>
      </c>
      <c r="B9592" s="17">
        <v>7000201.0</v>
      </c>
    </row>
    <row r="9593">
      <c r="A9593" s="17">
        <v>1007000.0</v>
      </c>
      <c r="B9593" s="17">
        <v>7000202.0</v>
      </c>
    </row>
    <row r="9594">
      <c r="A9594" s="17">
        <v>1007000.0</v>
      </c>
      <c r="B9594" s="17">
        <v>7000300.0</v>
      </c>
    </row>
    <row r="9595">
      <c r="A9595" s="17">
        <v>1007000.0</v>
      </c>
      <c r="B9595" s="17">
        <v>7000301.0</v>
      </c>
    </row>
    <row r="9596">
      <c r="A9596" s="17">
        <v>1007000.0</v>
      </c>
      <c r="B9596" s="17">
        <v>7000302.0</v>
      </c>
    </row>
    <row r="9597">
      <c r="A9597" s="17">
        <v>1007000.0</v>
      </c>
      <c r="B9597" s="17">
        <v>7000400.0</v>
      </c>
    </row>
    <row r="9598">
      <c r="A9598" s="17">
        <v>1007000.0</v>
      </c>
      <c r="B9598" s="17">
        <v>7000401.0</v>
      </c>
    </row>
    <row r="9599">
      <c r="A9599" s="17">
        <v>1007000.0</v>
      </c>
      <c r="B9599" s="17">
        <v>7000402.0</v>
      </c>
    </row>
    <row r="9600">
      <c r="A9600" s="17">
        <v>1007000.0</v>
      </c>
      <c r="B9600" s="17">
        <v>7000500.0</v>
      </c>
    </row>
    <row r="9601">
      <c r="A9601" s="17">
        <v>1007000.0</v>
      </c>
      <c r="B9601" s="17">
        <v>7000501.0</v>
      </c>
    </row>
    <row r="9602">
      <c r="A9602" s="17">
        <v>1007000.0</v>
      </c>
      <c r="B9602" s="17">
        <v>7000502.0</v>
      </c>
    </row>
    <row r="9603">
      <c r="A9603" s="17">
        <v>1007000.0</v>
      </c>
      <c r="B9603" s="17">
        <v>7000600.0</v>
      </c>
    </row>
    <row r="9604">
      <c r="A9604" s="17">
        <v>1007000.0</v>
      </c>
      <c r="B9604" s="17">
        <v>7000601.0</v>
      </c>
    </row>
    <row r="9605">
      <c r="A9605" s="17">
        <v>1007000.0</v>
      </c>
      <c r="B9605" s="17">
        <v>7000602.0</v>
      </c>
    </row>
    <row r="9606">
      <c r="A9606" s="17">
        <v>1007000.0</v>
      </c>
      <c r="B9606" s="17">
        <v>7000700.0</v>
      </c>
    </row>
    <row r="9607">
      <c r="A9607" s="17">
        <v>1007000.0</v>
      </c>
      <c r="B9607" s="17">
        <v>7000701.0</v>
      </c>
    </row>
    <row r="9608">
      <c r="A9608" s="17">
        <v>1007000.0</v>
      </c>
      <c r="B9608" s="17">
        <v>7000702.0</v>
      </c>
    </row>
    <row r="9609">
      <c r="A9609" s="17">
        <v>1007000.0</v>
      </c>
      <c r="B9609" s="17">
        <v>7000800.0</v>
      </c>
    </row>
    <row r="9610">
      <c r="A9610" s="17">
        <v>1007000.0</v>
      </c>
      <c r="B9610" s="17">
        <v>7000801.0</v>
      </c>
    </row>
    <row r="9611">
      <c r="A9611" s="17">
        <v>1007000.0</v>
      </c>
      <c r="B9611" s="17">
        <v>7000802.0</v>
      </c>
    </row>
    <row r="9612">
      <c r="A9612" s="17">
        <v>1007000.0</v>
      </c>
      <c r="B9612" s="17">
        <v>7000900.0</v>
      </c>
    </row>
    <row r="9613">
      <c r="A9613" s="17">
        <v>1007000.0</v>
      </c>
      <c r="B9613" s="17">
        <v>7000901.0</v>
      </c>
    </row>
    <row r="9614">
      <c r="A9614" s="17">
        <v>1007000.0</v>
      </c>
      <c r="B9614" s="17">
        <v>7000902.0</v>
      </c>
    </row>
    <row r="9615">
      <c r="A9615" s="17">
        <v>1007000.0</v>
      </c>
      <c r="B9615" s="17">
        <v>7001000.0</v>
      </c>
    </row>
    <row r="9616">
      <c r="A9616" s="17">
        <v>1007000.0</v>
      </c>
      <c r="B9616" s="17">
        <v>7001001.0</v>
      </c>
    </row>
    <row r="9617">
      <c r="A9617" s="17">
        <v>1007000.0</v>
      </c>
      <c r="B9617" s="17">
        <v>7001002.0</v>
      </c>
    </row>
    <row r="9618">
      <c r="A9618" s="17">
        <v>1007000.0</v>
      </c>
      <c r="B9618" s="17">
        <v>7001400.0</v>
      </c>
    </row>
    <row r="9619">
      <c r="A9619" s="17">
        <v>1007000.0</v>
      </c>
      <c r="B9619" s="17">
        <v>7001401.0</v>
      </c>
    </row>
    <row r="9620">
      <c r="A9620" s="17">
        <v>1007000.0</v>
      </c>
      <c r="B9620" s="17">
        <v>7001402.0</v>
      </c>
    </row>
    <row r="9621">
      <c r="A9621" s="17">
        <v>1007000.0</v>
      </c>
      <c r="B9621" s="17">
        <v>7001500.0</v>
      </c>
    </row>
    <row r="9622">
      <c r="A9622" s="17">
        <v>1007000.0</v>
      </c>
      <c r="B9622" s="17">
        <v>7001501.0</v>
      </c>
    </row>
    <row r="9623">
      <c r="A9623" s="17">
        <v>1007000.0</v>
      </c>
      <c r="B9623" s="17">
        <v>7001502.0</v>
      </c>
    </row>
    <row r="9624">
      <c r="A9624" s="17">
        <v>1007000.0</v>
      </c>
      <c r="B9624" s="17">
        <v>7001600.0</v>
      </c>
    </row>
    <row r="9625">
      <c r="A9625" s="17">
        <v>1007000.0</v>
      </c>
      <c r="B9625" s="17">
        <v>7001601.0</v>
      </c>
    </row>
    <row r="9626">
      <c r="A9626" s="17">
        <v>1007000.0</v>
      </c>
      <c r="B9626" s="17">
        <v>7001602.0</v>
      </c>
    </row>
    <row r="9627">
      <c r="A9627" s="17">
        <v>1007000.0</v>
      </c>
      <c r="B9627" s="17">
        <v>7001700.0</v>
      </c>
    </row>
    <row r="9628">
      <c r="A9628" s="17">
        <v>1007000.0</v>
      </c>
      <c r="B9628" s="17">
        <v>7001701.0</v>
      </c>
    </row>
    <row r="9629">
      <c r="A9629" s="17">
        <v>1007000.0</v>
      </c>
      <c r="B9629" s="17">
        <v>7001702.0</v>
      </c>
    </row>
    <row r="9630">
      <c r="A9630" s="17">
        <v>1007000.0</v>
      </c>
      <c r="B9630" s="17">
        <v>7001800.0</v>
      </c>
    </row>
    <row r="9631">
      <c r="A9631" s="17">
        <v>1007000.0</v>
      </c>
      <c r="B9631" s="17">
        <v>7001801.0</v>
      </c>
    </row>
    <row r="9632">
      <c r="A9632" s="17">
        <v>1007000.0</v>
      </c>
      <c r="B9632" s="17">
        <v>7001802.0</v>
      </c>
    </row>
    <row r="9633">
      <c r="A9633" s="17">
        <v>1007000.0</v>
      </c>
      <c r="B9633" s="17">
        <v>7002600.0</v>
      </c>
    </row>
    <row r="9634">
      <c r="A9634" s="17">
        <v>1007000.0</v>
      </c>
      <c r="B9634" s="17">
        <v>7002700.0</v>
      </c>
    </row>
    <row r="9635">
      <c r="A9635" s="17">
        <v>1007000.0</v>
      </c>
      <c r="B9635" s="17">
        <v>7002800.0</v>
      </c>
    </row>
    <row r="9636">
      <c r="A9636" s="17">
        <v>1007000.0</v>
      </c>
      <c r="B9636" s="17">
        <v>7002900.0</v>
      </c>
    </row>
    <row r="9637">
      <c r="A9637" s="17">
        <v>1007000.0</v>
      </c>
      <c r="B9637" s="17">
        <v>7003000.0</v>
      </c>
    </row>
    <row r="9638">
      <c r="A9638" s="17">
        <v>1007000.0</v>
      </c>
      <c r="B9638" s="17">
        <v>7003100.0</v>
      </c>
    </row>
    <row r="9639">
      <c r="A9639" s="17">
        <v>1007000.0</v>
      </c>
      <c r="B9639" s="17">
        <v>7003200.0</v>
      </c>
    </row>
    <row r="9640">
      <c r="A9640" s="17">
        <v>1007000.0</v>
      </c>
      <c r="B9640" s="17">
        <v>7003300.0</v>
      </c>
    </row>
    <row r="9641">
      <c r="A9641" s="17">
        <v>1007000.0</v>
      </c>
      <c r="B9641" s="17">
        <v>7003400.0</v>
      </c>
    </row>
    <row r="9642">
      <c r="A9642" s="17">
        <v>1007000.0</v>
      </c>
      <c r="B9642" s="17">
        <v>7003500.0</v>
      </c>
    </row>
    <row r="9643">
      <c r="A9643" s="17">
        <v>1007000.0</v>
      </c>
      <c r="B9643" s="17">
        <v>7003600.0</v>
      </c>
    </row>
    <row r="9644">
      <c r="A9644" s="17">
        <v>1007000.0</v>
      </c>
      <c r="B9644" s="17">
        <v>7005600.0</v>
      </c>
    </row>
    <row r="9645">
      <c r="A9645" s="17">
        <v>1007000.0</v>
      </c>
      <c r="B9645" s="17">
        <v>7006000.0</v>
      </c>
    </row>
    <row r="9646">
      <c r="A9646" s="17">
        <v>1007000.0</v>
      </c>
      <c r="B9646" s="17">
        <v>7006100.0</v>
      </c>
    </row>
    <row r="9647">
      <c r="A9647" s="17">
        <v>1007000.0</v>
      </c>
      <c r="B9647" s="17">
        <v>7010200.0</v>
      </c>
    </row>
    <row r="9648">
      <c r="A9648" s="17">
        <v>1007000.0</v>
      </c>
      <c r="B9648" s="17">
        <v>7010500.0</v>
      </c>
    </row>
    <row r="9649">
      <c r="A9649" s="17">
        <v>1007000.0</v>
      </c>
      <c r="B9649" s="17">
        <v>7010700.0</v>
      </c>
    </row>
    <row r="9650">
      <c r="A9650" s="17">
        <v>1007000.0</v>
      </c>
      <c r="B9650" s="17">
        <v>7010900.0</v>
      </c>
    </row>
    <row r="9651">
      <c r="A9651" s="17">
        <v>1007000.0</v>
      </c>
      <c r="B9651" s="17">
        <v>7011000.0</v>
      </c>
    </row>
    <row r="9652">
      <c r="A9652" s="17">
        <v>1007000.0</v>
      </c>
      <c r="B9652" s="17">
        <v>7011200.0</v>
      </c>
    </row>
    <row r="9653">
      <c r="A9653" s="17">
        <v>1007000.0</v>
      </c>
      <c r="B9653" s="17">
        <v>7011600.0</v>
      </c>
    </row>
    <row r="9654">
      <c r="A9654" s="17">
        <v>1007000.0</v>
      </c>
      <c r="B9654" s="17">
        <v>7011700.0</v>
      </c>
    </row>
    <row r="9655">
      <c r="A9655" s="17">
        <v>1007000.0</v>
      </c>
      <c r="B9655" s="17">
        <v>7012000.0</v>
      </c>
    </row>
    <row r="9656">
      <c r="A9656" s="17">
        <v>1007000.0</v>
      </c>
      <c r="B9656" s="17">
        <v>7012200.0</v>
      </c>
    </row>
    <row r="9657">
      <c r="A9657" s="17">
        <v>1007000.0</v>
      </c>
      <c r="B9657" s="17">
        <v>7012300.0</v>
      </c>
    </row>
    <row r="9658">
      <c r="A9658" s="17">
        <v>1007000.0</v>
      </c>
      <c r="B9658" s="17">
        <v>7020000.0</v>
      </c>
    </row>
    <row r="9659">
      <c r="A9659" s="17">
        <v>1007000.0</v>
      </c>
      <c r="B9659" s="17">
        <v>7030000.0</v>
      </c>
    </row>
    <row r="9660">
      <c r="A9660" s="17">
        <v>1007000.0</v>
      </c>
      <c r="B9660" s="17">
        <v>7030200.0</v>
      </c>
    </row>
    <row r="9661">
      <c r="A9661" s="17">
        <v>1007000.0</v>
      </c>
      <c r="B9661" s="17">
        <v>7030600.0</v>
      </c>
    </row>
    <row r="9662">
      <c r="A9662" s="17">
        <v>1007000.0</v>
      </c>
      <c r="B9662" s="17">
        <v>7030700.0</v>
      </c>
    </row>
    <row r="9663">
      <c r="A9663" s="17">
        <v>1007000.0</v>
      </c>
      <c r="B9663" s="17">
        <v>7030800.0</v>
      </c>
    </row>
    <row r="9664">
      <c r="A9664" s="17">
        <v>1007000.0</v>
      </c>
      <c r="B9664" s="17">
        <v>7030900.0</v>
      </c>
    </row>
    <row r="9665">
      <c r="A9665" s="17">
        <v>1007000.0</v>
      </c>
      <c r="B9665" s="17">
        <v>7031200.0</v>
      </c>
    </row>
    <row r="9666">
      <c r="A9666" s="17">
        <v>1007000.0</v>
      </c>
      <c r="B9666" s="17">
        <v>7031300.0</v>
      </c>
    </row>
    <row r="9667">
      <c r="A9667" s="17">
        <v>1007000.0</v>
      </c>
      <c r="B9667" s="17">
        <v>7031800.0</v>
      </c>
    </row>
    <row r="9668">
      <c r="A9668" s="17">
        <v>1007000.0</v>
      </c>
      <c r="B9668" s="17">
        <v>7031900.0</v>
      </c>
    </row>
    <row r="9669">
      <c r="A9669" s="17">
        <v>1007000.0</v>
      </c>
      <c r="B9669" s="17">
        <v>7032200.0</v>
      </c>
    </row>
    <row r="9670">
      <c r="A9670" s="17">
        <v>1007000.0</v>
      </c>
      <c r="B9670" s="17">
        <v>7032400.0</v>
      </c>
    </row>
    <row r="9671">
      <c r="A9671" s="17">
        <v>1007000.0</v>
      </c>
      <c r="B9671" s="17">
        <v>7032700.0</v>
      </c>
    </row>
    <row r="9672">
      <c r="A9672" s="17">
        <v>1007000.0</v>
      </c>
      <c r="B9672" s="17">
        <v>7032800.0</v>
      </c>
    </row>
    <row r="9673">
      <c r="A9673" s="17">
        <v>1007000.0</v>
      </c>
      <c r="B9673" s="17">
        <v>7032900.0</v>
      </c>
    </row>
    <row r="9674">
      <c r="A9674" s="17">
        <v>1007000.0</v>
      </c>
      <c r="B9674" s="17">
        <v>7033200.0</v>
      </c>
    </row>
    <row r="9675">
      <c r="A9675" s="17">
        <v>1007000.0</v>
      </c>
      <c r="B9675" s="17">
        <v>7033400.0</v>
      </c>
    </row>
    <row r="9676">
      <c r="A9676" s="17">
        <v>1007000.0</v>
      </c>
      <c r="B9676" s="17">
        <v>7034100.0</v>
      </c>
    </row>
    <row r="9677">
      <c r="A9677" s="17">
        <v>1007000.0</v>
      </c>
      <c r="B9677" s="17">
        <v>7034400.0</v>
      </c>
    </row>
    <row r="9678">
      <c r="A9678" s="17">
        <v>1007000.0</v>
      </c>
      <c r="B9678" s="17">
        <v>7034500.0</v>
      </c>
    </row>
    <row r="9679">
      <c r="A9679" s="17">
        <v>1007000.0</v>
      </c>
      <c r="B9679" s="17">
        <v>7034600.0</v>
      </c>
    </row>
    <row r="9680">
      <c r="A9680" s="17">
        <v>1007000.0</v>
      </c>
      <c r="B9680" s="17">
        <v>7034700.0</v>
      </c>
    </row>
    <row r="9681">
      <c r="A9681" s="17">
        <v>1007000.0</v>
      </c>
      <c r="B9681" s="17">
        <v>7035100.0</v>
      </c>
    </row>
    <row r="9682">
      <c r="A9682" s="17">
        <v>1007000.0</v>
      </c>
      <c r="B9682" s="17">
        <v>7036100.0</v>
      </c>
    </row>
    <row r="9683">
      <c r="A9683" s="17">
        <v>1007000.0</v>
      </c>
      <c r="B9683" s="17">
        <v>7040000.0</v>
      </c>
    </row>
    <row r="9684">
      <c r="A9684" s="17">
        <v>1007000.0</v>
      </c>
      <c r="B9684" s="17">
        <v>7040100.0</v>
      </c>
    </row>
    <row r="9685">
      <c r="A9685" s="17">
        <v>1007000.0</v>
      </c>
      <c r="B9685" s="17">
        <v>7040200.0</v>
      </c>
    </row>
    <row r="9686">
      <c r="A9686" s="17">
        <v>1007000.0</v>
      </c>
      <c r="B9686" s="17">
        <v>7040300.0</v>
      </c>
    </row>
    <row r="9687">
      <c r="A9687" s="17">
        <v>1007000.0</v>
      </c>
      <c r="B9687" s="17">
        <v>7040400.0</v>
      </c>
    </row>
    <row r="9688">
      <c r="A9688" s="17">
        <v>1007000.0</v>
      </c>
      <c r="B9688" s="17">
        <v>7040500.0</v>
      </c>
    </row>
    <row r="9689">
      <c r="A9689" s="17">
        <v>1007000.0</v>
      </c>
      <c r="B9689" s="17">
        <v>7043000.0</v>
      </c>
    </row>
    <row r="9690">
      <c r="A9690" s="17">
        <v>1007000.0</v>
      </c>
      <c r="B9690" s="17">
        <v>7043100.0</v>
      </c>
    </row>
    <row r="9691">
      <c r="A9691" s="17">
        <v>1007000.0</v>
      </c>
      <c r="B9691" s="17">
        <v>7043200.0</v>
      </c>
    </row>
    <row r="9692">
      <c r="A9692" s="17">
        <v>1007000.0</v>
      </c>
      <c r="B9692" s="17">
        <v>7043300.0</v>
      </c>
    </row>
    <row r="9693">
      <c r="A9693" s="17">
        <v>1007000.0</v>
      </c>
      <c r="B9693" s="17">
        <v>7043400.0</v>
      </c>
    </row>
    <row r="9694">
      <c r="A9694" s="17">
        <v>1007000.0</v>
      </c>
      <c r="B9694" s="17">
        <v>7043500.0</v>
      </c>
    </row>
    <row r="9695">
      <c r="A9695" s="17">
        <v>1007000.0</v>
      </c>
      <c r="B9695" s="17">
        <v>7043600.0</v>
      </c>
    </row>
    <row r="9696">
      <c r="A9696" s="17">
        <v>1007000.0</v>
      </c>
      <c r="B9696" s="17">
        <v>7043700.0</v>
      </c>
    </row>
    <row r="9697">
      <c r="A9697" s="17">
        <v>1007000.0</v>
      </c>
      <c r="B9697" s="17">
        <v>7043800.0</v>
      </c>
    </row>
    <row r="9698">
      <c r="A9698" s="17">
        <v>1007000.0</v>
      </c>
      <c r="B9698" s="17">
        <v>7044000.0</v>
      </c>
    </row>
    <row r="9699">
      <c r="A9699" s="17">
        <v>1007000.0</v>
      </c>
      <c r="B9699" s="17">
        <v>7044100.0</v>
      </c>
    </row>
    <row r="9700">
      <c r="A9700" s="17">
        <v>1007000.0</v>
      </c>
      <c r="B9700" s="17">
        <v>7044200.0</v>
      </c>
    </row>
    <row r="9701">
      <c r="A9701" s="17">
        <v>1007000.0</v>
      </c>
      <c r="B9701" s="17">
        <v>7044300.0</v>
      </c>
    </row>
    <row r="9702">
      <c r="A9702" s="17">
        <v>1007000.0</v>
      </c>
      <c r="B9702" s="17">
        <v>7044400.0</v>
      </c>
    </row>
    <row r="9703">
      <c r="A9703" s="17">
        <v>1007000.0</v>
      </c>
      <c r="B9703" s="17">
        <v>7044500.0</v>
      </c>
    </row>
    <row r="9704">
      <c r="A9704" s="17">
        <v>1007000.0</v>
      </c>
      <c r="B9704" s="17">
        <v>7044600.0</v>
      </c>
    </row>
    <row r="9705">
      <c r="A9705" s="17">
        <v>1007000.0</v>
      </c>
      <c r="B9705" s="17">
        <v>7050000.0</v>
      </c>
    </row>
    <row r="9706">
      <c r="A9706" s="17">
        <v>1007000.0</v>
      </c>
      <c r="B9706" s="17">
        <v>7050100.0</v>
      </c>
    </row>
    <row r="9707">
      <c r="A9707" s="17">
        <v>1007000.0</v>
      </c>
      <c r="B9707" s="17">
        <v>7060000.0</v>
      </c>
    </row>
    <row r="9708">
      <c r="A9708" s="17">
        <v>1007000.0</v>
      </c>
      <c r="B9708" s="17">
        <v>7060100.0</v>
      </c>
    </row>
    <row r="9709">
      <c r="A9709" s="17">
        <v>1007000.0</v>
      </c>
      <c r="B9709" s="17">
        <v>7060200.0</v>
      </c>
    </row>
    <row r="9710">
      <c r="A9710" s="17">
        <v>1007000.0</v>
      </c>
      <c r="B9710" s="17">
        <v>7070000.0</v>
      </c>
    </row>
    <row r="9711">
      <c r="A9711" s="17">
        <v>1007000.0</v>
      </c>
      <c r="B9711" s="17">
        <v>7080000.0</v>
      </c>
    </row>
    <row r="9712">
      <c r="A9712" s="17">
        <v>1007000.0</v>
      </c>
      <c r="B9712" s="17">
        <v>7080100.0</v>
      </c>
    </row>
    <row r="9713">
      <c r="A9713" s="17">
        <v>1007000.0</v>
      </c>
      <c r="B9713" s="17">
        <v>7080200.0</v>
      </c>
    </row>
    <row r="9714">
      <c r="A9714" s="17">
        <v>1007000.0</v>
      </c>
      <c r="B9714" s="17">
        <v>7080300.0</v>
      </c>
    </row>
    <row r="9715">
      <c r="A9715" s="17">
        <v>1007000.0</v>
      </c>
      <c r="B9715" s="17">
        <v>7080400.0</v>
      </c>
    </row>
    <row r="9716">
      <c r="A9716" s="17">
        <v>1007000.0</v>
      </c>
      <c r="B9716" s="17">
        <v>7080500.0</v>
      </c>
    </row>
    <row r="9717">
      <c r="A9717" s="17">
        <v>1007000.0</v>
      </c>
      <c r="B9717" s="17">
        <v>7080600.0</v>
      </c>
    </row>
    <row r="9718">
      <c r="A9718" s="17">
        <v>1007000.0</v>
      </c>
      <c r="B9718" s="17">
        <v>7080700.0</v>
      </c>
    </row>
    <row r="9719">
      <c r="A9719" s="17">
        <v>1007000.0</v>
      </c>
      <c r="B9719" s="17">
        <v>7080800.0</v>
      </c>
    </row>
    <row r="9720">
      <c r="A9720" s="17">
        <v>1007000.0</v>
      </c>
      <c r="B9720" s="17">
        <v>7080900.0</v>
      </c>
    </row>
    <row r="9721">
      <c r="A9721" s="17">
        <v>1007000.0</v>
      </c>
      <c r="B9721" s="17">
        <v>7081000.0</v>
      </c>
    </row>
    <row r="9722">
      <c r="A9722" s="17">
        <v>1007000.0</v>
      </c>
      <c r="B9722" s="17">
        <v>7081100.0</v>
      </c>
    </row>
    <row r="9723">
      <c r="A9723" s="17">
        <v>1007000.0</v>
      </c>
      <c r="B9723" s="17">
        <v>7081200.0</v>
      </c>
    </row>
    <row r="9724">
      <c r="A9724" s="17">
        <v>1007000.0</v>
      </c>
      <c r="B9724" s="17">
        <v>7081300.0</v>
      </c>
    </row>
    <row r="9725">
      <c r="A9725" s="17">
        <v>1007000.0</v>
      </c>
      <c r="B9725" s="17">
        <v>7081400.0</v>
      </c>
    </row>
    <row r="9726">
      <c r="A9726" s="17">
        <v>1007000.0</v>
      </c>
      <c r="B9726" s="17">
        <v>7081500.0</v>
      </c>
    </row>
    <row r="9727">
      <c r="A9727" s="17">
        <v>1007000.0</v>
      </c>
      <c r="B9727" s="17">
        <v>7081700.0</v>
      </c>
    </row>
    <row r="9728">
      <c r="A9728" s="17">
        <v>1007000.0</v>
      </c>
      <c r="B9728" s="17">
        <v>7081800.0</v>
      </c>
    </row>
    <row r="9729">
      <c r="A9729" s="17">
        <v>1007000.0</v>
      </c>
      <c r="B9729" s="17">
        <v>7081900.0</v>
      </c>
    </row>
    <row r="9730">
      <c r="A9730" s="17">
        <v>1007000.0</v>
      </c>
      <c r="B9730" s="17">
        <v>7082000.0</v>
      </c>
    </row>
    <row r="9731">
      <c r="A9731" s="17">
        <v>1007000.0</v>
      </c>
      <c r="B9731" s="17">
        <v>7082100.0</v>
      </c>
    </row>
    <row r="9732">
      <c r="A9732" s="17">
        <v>1007000.0</v>
      </c>
      <c r="B9732" s="17">
        <v>7082200.0</v>
      </c>
    </row>
    <row r="9733">
      <c r="A9733" s="17">
        <v>1007000.0</v>
      </c>
      <c r="B9733" s="17">
        <v>7082300.0</v>
      </c>
    </row>
    <row r="9734">
      <c r="A9734" s="17">
        <v>1007000.0</v>
      </c>
      <c r="B9734" s="17">
        <v>7082400.0</v>
      </c>
    </row>
    <row r="9735">
      <c r="A9735" s="17">
        <v>1007000.0</v>
      </c>
      <c r="B9735" s="17">
        <v>7082500.0</v>
      </c>
    </row>
    <row r="9736">
      <c r="A9736" s="17">
        <v>1007000.0</v>
      </c>
      <c r="B9736" s="17">
        <v>7082600.0</v>
      </c>
    </row>
    <row r="9737">
      <c r="A9737" s="17">
        <v>1007000.0</v>
      </c>
      <c r="B9737" s="17">
        <v>7082700.0</v>
      </c>
    </row>
    <row r="9738">
      <c r="A9738" s="17">
        <v>1007000.0</v>
      </c>
      <c r="B9738" s="17">
        <v>7082800.0</v>
      </c>
    </row>
    <row r="9739">
      <c r="A9739" s="17">
        <v>1007000.0</v>
      </c>
      <c r="B9739" s="17">
        <v>7082900.0</v>
      </c>
    </row>
    <row r="9740">
      <c r="A9740" s="17">
        <v>1007000.0</v>
      </c>
      <c r="B9740" s="17">
        <v>7090000.0</v>
      </c>
    </row>
    <row r="9741">
      <c r="A9741" s="17">
        <v>1007000.0</v>
      </c>
      <c r="B9741" s="17">
        <v>7090100.0</v>
      </c>
    </row>
    <row r="9742">
      <c r="A9742" s="17">
        <v>1007000.0</v>
      </c>
      <c r="B9742" s="17">
        <v>7090300.0</v>
      </c>
    </row>
    <row r="9743">
      <c r="A9743" s="17">
        <v>1007000.0</v>
      </c>
      <c r="B9743" s="17">
        <v>7100100.0</v>
      </c>
    </row>
    <row r="9744">
      <c r="A9744" s="17">
        <v>1007000.0</v>
      </c>
      <c r="B9744" s="17">
        <v>7110000.0</v>
      </c>
    </row>
    <row r="9745">
      <c r="A9745" s="17">
        <v>1007000.0</v>
      </c>
      <c r="B9745" s="17">
        <v>7120000.0</v>
      </c>
    </row>
    <row r="9746">
      <c r="A9746" s="17">
        <v>1007000.0</v>
      </c>
      <c r="B9746" s="17">
        <v>7120100.0</v>
      </c>
    </row>
    <row r="9747">
      <c r="A9747" s="17">
        <v>1007000.0</v>
      </c>
      <c r="B9747" s="17">
        <v>7120200.0</v>
      </c>
    </row>
    <row r="9748">
      <c r="A9748" s="17">
        <v>1007000.0</v>
      </c>
      <c r="B9748" s="17">
        <v>7120300.0</v>
      </c>
    </row>
    <row r="9749">
      <c r="A9749" s="17">
        <v>1007000.0</v>
      </c>
      <c r="B9749" s="17">
        <v>7120400.0</v>
      </c>
    </row>
    <row r="9750">
      <c r="A9750" s="17">
        <v>1007000.0</v>
      </c>
      <c r="B9750" s="17">
        <v>7120500.0</v>
      </c>
    </row>
    <row r="9751">
      <c r="A9751" s="17">
        <v>1007000.0</v>
      </c>
      <c r="B9751" s="17">
        <v>7120600.0</v>
      </c>
    </row>
    <row r="9752">
      <c r="A9752" s="17">
        <v>1007000.0</v>
      </c>
      <c r="B9752" s="17">
        <v>7120900.0</v>
      </c>
    </row>
    <row r="9753">
      <c r="A9753" s="17">
        <v>1007000.0</v>
      </c>
      <c r="B9753" s="17">
        <v>7121000.0</v>
      </c>
    </row>
    <row r="9754">
      <c r="A9754" s="17">
        <v>1007000.0</v>
      </c>
      <c r="B9754" s="17">
        <v>7121100.0</v>
      </c>
    </row>
    <row r="9755">
      <c r="A9755" s="17">
        <v>1007000.0</v>
      </c>
      <c r="B9755" s="17">
        <v>7121200.0</v>
      </c>
    </row>
    <row r="9756">
      <c r="A9756" s="17">
        <v>1007000.0</v>
      </c>
      <c r="B9756" s="17">
        <v>7121300.0</v>
      </c>
    </row>
    <row r="9757">
      <c r="A9757" s="17">
        <v>1007000.0</v>
      </c>
      <c r="B9757" s="17">
        <v>7121400.0</v>
      </c>
    </row>
    <row r="9758">
      <c r="A9758" s="17">
        <v>1007000.0</v>
      </c>
      <c r="B9758" s="17">
        <v>7121500.0</v>
      </c>
    </row>
    <row r="9759">
      <c r="A9759" s="17">
        <v>1007000.0</v>
      </c>
      <c r="B9759" s="17">
        <v>7121600.0</v>
      </c>
    </row>
    <row r="9760">
      <c r="A9760" s="17">
        <v>1007000.0</v>
      </c>
      <c r="B9760" s="17">
        <v>7121700.0</v>
      </c>
    </row>
    <row r="9761">
      <c r="A9761" s="17">
        <v>1007000.0</v>
      </c>
      <c r="B9761" s="17">
        <v>7121800.0</v>
      </c>
    </row>
    <row r="9762">
      <c r="A9762" s="17">
        <v>1007000.0</v>
      </c>
      <c r="B9762" s="17">
        <v>7121900.0</v>
      </c>
    </row>
    <row r="9763">
      <c r="A9763" s="17">
        <v>1007000.0</v>
      </c>
      <c r="B9763" s="17">
        <v>7122000.0</v>
      </c>
    </row>
    <row r="9764">
      <c r="A9764" s="17">
        <v>1007000.0</v>
      </c>
      <c r="B9764" s="17">
        <v>7122100.0</v>
      </c>
    </row>
    <row r="9765">
      <c r="A9765" s="17">
        <v>1007000.0</v>
      </c>
      <c r="B9765" s="17">
        <v>7122200.0</v>
      </c>
    </row>
    <row r="9766">
      <c r="A9766" s="17">
        <v>1007000.0</v>
      </c>
      <c r="B9766" s="17">
        <v>7122300.0</v>
      </c>
    </row>
    <row r="9767">
      <c r="A9767" s="17">
        <v>1007000.0</v>
      </c>
      <c r="B9767" s="17">
        <v>7122400.0</v>
      </c>
    </row>
    <row r="9768">
      <c r="A9768" s="17">
        <v>1007000.0</v>
      </c>
      <c r="B9768" s="17">
        <v>7122500.0</v>
      </c>
    </row>
    <row r="9769">
      <c r="A9769" s="17">
        <v>1007000.0</v>
      </c>
      <c r="B9769" s="17">
        <v>7122600.0</v>
      </c>
    </row>
    <row r="9770">
      <c r="A9770" s="17">
        <v>1007000.0</v>
      </c>
      <c r="B9770" s="17">
        <v>7122700.0</v>
      </c>
    </row>
    <row r="9771">
      <c r="A9771" s="17">
        <v>1007000.0</v>
      </c>
      <c r="B9771" s="17">
        <v>7122800.0</v>
      </c>
    </row>
    <row r="9772">
      <c r="A9772" s="17">
        <v>1007000.0</v>
      </c>
      <c r="B9772" s="17">
        <v>7122900.0</v>
      </c>
    </row>
    <row r="9773">
      <c r="A9773" s="17">
        <v>1007000.0</v>
      </c>
      <c r="B9773" s="17">
        <v>7123000.0</v>
      </c>
    </row>
    <row r="9774">
      <c r="A9774" s="17">
        <v>1007000.0</v>
      </c>
      <c r="B9774" s="17">
        <v>7123100.0</v>
      </c>
    </row>
    <row r="9775">
      <c r="A9775" s="17">
        <v>1007000.0</v>
      </c>
      <c r="B9775" s="17">
        <v>7123200.0</v>
      </c>
    </row>
    <row r="9776">
      <c r="A9776" s="17">
        <v>1007000.0</v>
      </c>
      <c r="B9776" s="17">
        <v>7123300.0</v>
      </c>
    </row>
    <row r="9777">
      <c r="A9777" s="17">
        <v>1007000.0</v>
      </c>
      <c r="B9777" s="17">
        <v>7123400.0</v>
      </c>
    </row>
    <row r="9778">
      <c r="A9778" s="17">
        <v>1007000.0</v>
      </c>
      <c r="B9778" s="17">
        <v>7123500.0</v>
      </c>
    </row>
    <row r="9779">
      <c r="A9779" s="17">
        <v>1007000.0</v>
      </c>
      <c r="B9779" s="17">
        <v>7123600.0</v>
      </c>
    </row>
    <row r="9780">
      <c r="A9780" s="17">
        <v>1007000.0</v>
      </c>
      <c r="B9780" s="17">
        <v>7123700.0</v>
      </c>
    </row>
    <row r="9781">
      <c r="A9781" s="17">
        <v>1007000.0</v>
      </c>
      <c r="B9781" s="17">
        <v>7123800.0</v>
      </c>
    </row>
    <row r="9782">
      <c r="A9782" s="17">
        <v>1007000.0</v>
      </c>
      <c r="B9782" s="17">
        <v>7123900.0</v>
      </c>
    </row>
    <row r="9783">
      <c r="A9783" s="17">
        <v>1007000.0</v>
      </c>
      <c r="B9783" s="17">
        <v>7124000.0</v>
      </c>
    </row>
    <row r="9784">
      <c r="A9784" s="17">
        <v>1007000.0</v>
      </c>
      <c r="B9784" s="17">
        <v>7124100.0</v>
      </c>
    </row>
    <row r="9785">
      <c r="A9785" s="17">
        <v>1007000.0</v>
      </c>
      <c r="B9785" s="17">
        <v>7124300.0</v>
      </c>
    </row>
    <row r="9786">
      <c r="A9786" s="17">
        <v>1007000.0</v>
      </c>
      <c r="B9786" s="17">
        <v>7124400.0</v>
      </c>
    </row>
    <row r="9787">
      <c r="A9787" s="17">
        <v>1007000.0</v>
      </c>
      <c r="B9787" s="17">
        <v>7124500.0</v>
      </c>
    </row>
    <row r="9788">
      <c r="A9788" s="17">
        <v>1007000.0</v>
      </c>
      <c r="B9788" s="17">
        <v>7124600.0</v>
      </c>
    </row>
    <row r="9789">
      <c r="A9789" s="17">
        <v>1007000.0</v>
      </c>
      <c r="B9789" s="17">
        <v>7124700.0</v>
      </c>
    </row>
    <row r="9790">
      <c r="A9790" s="17">
        <v>1007000.0</v>
      </c>
      <c r="B9790" s="17">
        <v>7126000.0</v>
      </c>
    </row>
    <row r="9791">
      <c r="A9791" s="17">
        <v>1007000.0</v>
      </c>
      <c r="B9791" s="17">
        <v>7150000.0</v>
      </c>
    </row>
    <row r="9792">
      <c r="A9792" s="17">
        <v>1007000.0</v>
      </c>
      <c r="B9792" s="17">
        <v>7160000.0</v>
      </c>
    </row>
    <row r="9793">
      <c r="A9793" s="17">
        <v>1007000.0</v>
      </c>
      <c r="B9793" s="17">
        <v>7220000.0</v>
      </c>
    </row>
    <row r="9794">
      <c r="A9794" s="17">
        <v>1007000.0</v>
      </c>
      <c r="B9794" s="17">
        <v>7230000.0</v>
      </c>
    </row>
    <row r="9795">
      <c r="A9795" s="17">
        <v>1007000.0</v>
      </c>
      <c r="B9795" s="17">
        <v>7240000.0</v>
      </c>
    </row>
    <row r="9796">
      <c r="A9796" s="17">
        <v>1007000.0</v>
      </c>
      <c r="B9796" s="17">
        <v>7260000.0</v>
      </c>
    </row>
    <row r="9797">
      <c r="A9797" s="17">
        <v>1007000.0</v>
      </c>
      <c r="B9797" s="17">
        <v>7260300.0</v>
      </c>
    </row>
    <row r="9798">
      <c r="A9798" s="17">
        <v>1007000.0</v>
      </c>
      <c r="B9798" s="17">
        <v>7260400.0</v>
      </c>
    </row>
    <row r="9799">
      <c r="A9799" s="17">
        <v>1007000.0</v>
      </c>
      <c r="B9799" s="17">
        <v>7270100.0</v>
      </c>
    </row>
    <row r="9800">
      <c r="A9800" s="17">
        <v>1007000.0</v>
      </c>
      <c r="B9800" s="17">
        <v>7280000.0</v>
      </c>
    </row>
    <row r="9801">
      <c r="A9801" s="17">
        <v>1007000.0</v>
      </c>
      <c r="B9801" s="17">
        <v>7290000.0</v>
      </c>
    </row>
    <row r="9802">
      <c r="A9802" s="17">
        <v>1007000.0</v>
      </c>
      <c r="B9802" s="17">
        <v>7310000.0</v>
      </c>
    </row>
    <row r="9803">
      <c r="A9803" s="17">
        <v>1007000.0</v>
      </c>
      <c r="B9803" s="17">
        <v>7330000.0</v>
      </c>
    </row>
    <row r="9804">
      <c r="A9804" s="17">
        <v>1007000.0</v>
      </c>
      <c r="B9804" s="17">
        <v>7330100.0</v>
      </c>
    </row>
    <row r="9805">
      <c r="A9805" s="17">
        <v>1007000.0</v>
      </c>
      <c r="B9805" s="17">
        <v>7330200.0</v>
      </c>
    </row>
    <row r="9806">
      <c r="A9806" s="17">
        <v>1007000.0</v>
      </c>
      <c r="B9806" s="17">
        <v>7330300.0</v>
      </c>
    </row>
    <row r="9807">
      <c r="A9807" s="17">
        <v>1007000.0</v>
      </c>
      <c r="B9807" s="17">
        <v>7330400.0</v>
      </c>
    </row>
    <row r="9808">
      <c r="A9808" s="17">
        <v>1007000.0</v>
      </c>
      <c r="B9808" s="17">
        <v>7330500.0</v>
      </c>
    </row>
    <row r="9809">
      <c r="A9809" s="17">
        <v>1007000.0</v>
      </c>
      <c r="B9809" s="17">
        <v>7330600.0</v>
      </c>
    </row>
    <row r="9810">
      <c r="A9810" s="17">
        <v>1007000.0</v>
      </c>
      <c r="B9810" s="17">
        <v>7330700.0</v>
      </c>
    </row>
    <row r="9811">
      <c r="A9811" s="17">
        <v>1007000.0</v>
      </c>
      <c r="B9811" s="17">
        <v>7330800.0</v>
      </c>
    </row>
    <row r="9812">
      <c r="A9812" s="17">
        <v>1007000.0</v>
      </c>
      <c r="B9812" s="17">
        <v>7330900.0</v>
      </c>
    </row>
    <row r="9813">
      <c r="A9813" s="17">
        <v>1007000.0</v>
      </c>
      <c r="B9813" s="17">
        <v>7331000.0</v>
      </c>
    </row>
    <row r="9814">
      <c r="A9814" s="17">
        <v>1007000.0</v>
      </c>
      <c r="B9814" s="17">
        <v>7331100.0</v>
      </c>
    </row>
    <row r="9815">
      <c r="A9815" s="17">
        <v>1007000.0</v>
      </c>
      <c r="B9815" s="17">
        <v>7331200.0</v>
      </c>
    </row>
    <row r="9816">
      <c r="A9816" s="17">
        <v>1007000.0</v>
      </c>
      <c r="B9816" s="17">
        <v>7331300.0</v>
      </c>
    </row>
    <row r="9817">
      <c r="A9817" s="17">
        <v>1007000.0</v>
      </c>
      <c r="B9817" s="17">
        <v>7331400.0</v>
      </c>
    </row>
    <row r="9818">
      <c r="A9818" s="17">
        <v>1007000.0</v>
      </c>
      <c r="B9818" s="17">
        <v>7331500.0</v>
      </c>
    </row>
    <row r="9819">
      <c r="A9819" s="17">
        <v>1007000.0</v>
      </c>
      <c r="B9819" s="17">
        <v>7331700.0</v>
      </c>
    </row>
    <row r="9820">
      <c r="A9820" s="17">
        <v>1007000.0</v>
      </c>
      <c r="B9820" s="17">
        <v>7331800.0</v>
      </c>
    </row>
    <row r="9821">
      <c r="A9821" s="17">
        <v>1007000.0</v>
      </c>
      <c r="B9821" s="17">
        <v>7331900.0</v>
      </c>
    </row>
    <row r="9822">
      <c r="A9822" s="17">
        <v>1007000.0</v>
      </c>
      <c r="B9822" s="17">
        <v>7332000.0</v>
      </c>
    </row>
    <row r="9823">
      <c r="A9823" s="17">
        <v>1007000.0</v>
      </c>
      <c r="B9823" s="17">
        <v>7332100.0</v>
      </c>
    </row>
    <row r="9824">
      <c r="A9824" s="17">
        <v>1007000.0</v>
      </c>
      <c r="B9824" s="17">
        <v>7332200.0</v>
      </c>
    </row>
    <row r="9825">
      <c r="A9825" s="17">
        <v>1007000.0</v>
      </c>
      <c r="B9825" s="17">
        <v>7332300.0</v>
      </c>
    </row>
    <row r="9826">
      <c r="A9826" s="17">
        <v>1007000.0</v>
      </c>
      <c r="B9826" s="17">
        <v>7332400.0</v>
      </c>
    </row>
    <row r="9827">
      <c r="A9827" s="17">
        <v>1007000.0</v>
      </c>
      <c r="B9827" s="17">
        <v>7340000.0</v>
      </c>
    </row>
    <row r="9828">
      <c r="A9828" s="17">
        <v>1007000.0</v>
      </c>
      <c r="B9828" s="17">
        <v>7340100.0</v>
      </c>
    </row>
    <row r="9829">
      <c r="A9829" s="17">
        <v>1007000.0</v>
      </c>
      <c r="B9829" s="17">
        <v>7340200.0</v>
      </c>
    </row>
    <row r="9830">
      <c r="A9830" s="17">
        <v>1007000.0</v>
      </c>
      <c r="B9830" s="17">
        <v>7340300.0</v>
      </c>
    </row>
    <row r="9831">
      <c r="A9831" s="17">
        <v>1007000.0</v>
      </c>
      <c r="B9831" s="17">
        <v>7340400.0</v>
      </c>
    </row>
    <row r="9832">
      <c r="A9832" s="17">
        <v>1007000.0</v>
      </c>
      <c r="B9832" s="17">
        <v>7340500.0</v>
      </c>
    </row>
    <row r="9833">
      <c r="A9833" s="17">
        <v>1007000.0</v>
      </c>
      <c r="B9833" s="17">
        <v>7340600.0</v>
      </c>
    </row>
    <row r="9834">
      <c r="A9834" s="17">
        <v>1007000.0</v>
      </c>
      <c r="B9834" s="17">
        <v>7340700.0</v>
      </c>
    </row>
    <row r="9835">
      <c r="A9835" s="17">
        <v>1007000.0</v>
      </c>
      <c r="B9835" s="17">
        <v>7340800.0</v>
      </c>
    </row>
    <row r="9836">
      <c r="A9836" s="17">
        <v>1007000.0</v>
      </c>
      <c r="B9836" s="17">
        <v>7340900.0</v>
      </c>
    </row>
    <row r="9837">
      <c r="A9837" s="17">
        <v>1007000.0</v>
      </c>
      <c r="B9837" s="17">
        <v>7341000.0</v>
      </c>
    </row>
    <row r="9838">
      <c r="A9838" s="17">
        <v>1007000.0</v>
      </c>
      <c r="B9838" s="17">
        <v>7341100.0</v>
      </c>
    </row>
    <row r="9839">
      <c r="A9839" s="17">
        <v>1007000.0</v>
      </c>
      <c r="B9839" s="17">
        <v>7341200.0</v>
      </c>
    </row>
    <row r="9840">
      <c r="A9840" s="17">
        <v>1007000.0</v>
      </c>
      <c r="B9840" s="17">
        <v>7341300.0</v>
      </c>
    </row>
    <row r="9841">
      <c r="A9841" s="17">
        <v>1007000.0</v>
      </c>
      <c r="B9841" s="17">
        <v>7341400.0</v>
      </c>
    </row>
    <row r="9842">
      <c r="A9842" s="17">
        <v>1007000.0</v>
      </c>
      <c r="B9842" s="17">
        <v>7341500.0</v>
      </c>
    </row>
    <row r="9843">
      <c r="A9843" s="17">
        <v>1007000.0</v>
      </c>
      <c r="B9843" s="17">
        <v>7341700.0</v>
      </c>
    </row>
    <row r="9844">
      <c r="A9844" s="17">
        <v>1007000.0</v>
      </c>
      <c r="B9844" s="17">
        <v>7341800.0</v>
      </c>
    </row>
    <row r="9845">
      <c r="A9845" s="17">
        <v>1007000.0</v>
      </c>
      <c r="B9845" s="17">
        <v>7341900.0</v>
      </c>
    </row>
    <row r="9846">
      <c r="A9846" s="17">
        <v>1007000.0</v>
      </c>
      <c r="B9846" s="17">
        <v>7342000.0</v>
      </c>
    </row>
    <row r="9847">
      <c r="A9847" s="17">
        <v>1007000.0</v>
      </c>
      <c r="B9847" s="17">
        <v>7342100.0</v>
      </c>
    </row>
    <row r="9848">
      <c r="A9848" s="17">
        <v>1007000.0</v>
      </c>
      <c r="B9848" s="17">
        <v>7342200.0</v>
      </c>
    </row>
    <row r="9849">
      <c r="A9849" s="17">
        <v>1007000.0</v>
      </c>
      <c r="B9849" s="17">
        <v>7342300.0</v>
      </c>
    </row>
    <row r="9850">
      <c r="A9850" s="17">
        <v>1007000.0</v>
      </c>
      <c r="B9850" s="17">
        <v>7342400.0</v>
      </c>
    </row>
    <row r="9851">
      <c r="A9851" s="17">
        <v>1007000.0</v>
      </c>
      <c r="B9851" s="17">
        <v>7350000.0</v>
      </c>
    </row>
    <row r="9852">
      <c r="A9852" s="17">
        <v>1007000.0</v>
      </c>
      <c r="B9852" s="17">
        <v>7350100.0</v>
      </c>
    </row>
    <row r="9853">
      <c r="A9853" s="17">
        <v>1007000.0</v>
      </c>
      <c r="B9853" s="17">
        <v>7350200.0</v>
      </c>
    </row>
    <row r="9854">
      <c r="A9854" s="17">
        <v>1007000.0</v>
      </c>
      <c r="B9854" s="17">
        <v>7350300.0</v>
      </c>
    </row>
    <row r="9855">
      <c r="A9855" s="17">
        <v>1007000.0</v>
      </c>
      <c r="B9855" s="17">
        <v>7350400.0</v>
      </c>
    </row>
    <row r="9856">
      <c r="A9856" s="17">
        <v>1007000.0</v>
      </c>
      <c r="B9856" s="17">
        <v>7350500.0</v>
      </c>
    </row>
    <row r="9857">
      <c r="A9857" s="17">
        <v>1007000.0</v>
      </c>
      <c r="B9857" s="17">
        <v>7350600.0</v>
      </c>
    </row>
    <row r="9858">
      <c r="A9858" s="17">
        <v>1007000.0</v>
      </c>
      <c r="B9858" s="17">
        <v>7350700.0</v>
      </c>
    </row>
    <row r="9859">
      <c r="A9859" s="17">
        <v>1007000.0</v>
      </c>
      <c r="B9859" s="17">
        <v>7350800.0</v>
      </c>
    </row>
    <row r="9860">
      <c r="A9860" s="17">
        <v>1007000.0</v>
      </c>
      <c r="B9860" s="17">
        <v>7350900.0</v>
      </c>
    </row>
    <row r="9861">
      <c r="A9861" s="17">
        <v>1007000.0</v>
      </c>
      <c r="B9861" s="17">
        <v>7351000.0</v>
      </c>
    </row>
    <row r="9862">
      <c r="A9862" s="17">
        <v>1007000.0</v>
      </c>
      <c r="B9862" s="17">
        <v>7351100.0</v>
      </c>
    </row>
    <row r="9863">
      <c r="A9863" s="17">
        <v>1007000.0</v>
      </c>
      <c r="B9863" s="17">
        <v>7351200.0</v>
      </c>
    </row>
    <row r="9864">
      <c r="A9864" s="17">
        <v>1007000.0</v>
      </c>
      <c r="B9864" s="17">
        <v>7351300.0</v>
      </c>
    </row>
    <row r="9865">
      <c r="A9865" s="17">
        <v>1007000.0</v>
      </c>
      <c r="B9865" s="17">
        <v>7351400.0</v>
      </c>
    </row>
    <row r="9866">
      <c r="A9866" s="17">
        <v>1007000.0</v>
      </c>
      <c r="B9866" s="17">
        <v>7351500.0</v>
      </c>
    </row>
    <row r="9867">
      <c r="A9867" s="17">
        <v>1007000.0</v>
      </c>
      <c r="B9867" s="17">
        <v>7351700.0</v>
      </c>
    </row>
    <row r="9868">
      <c r="A9868" s="17">
        <v>1007000.0</v>
      </c>
      <c r="B9868" s="17">
        <v>7351800.0</v>
      </c>
    </row>
    <row r="9869">
      <c r="A9869" s="17">
        <v>1007000.0</v>
      </c>
      <c r="B9869" s="17">
        <v>7351900.0</v>
      </c>
    </row>
    <row r="9870">
      <c r="A9870" s="17">
        <v>1007000.0</v>
      </c>
      <c r="B9870" s="17">
        <v>7352000.0</v>
      </c>
    </row>
    <row r="9871">
      <c r="A9871" s="17">
        <v>1007000.0</v>
      </c>
      <c r="B9871" s="17">
        <v>7352100.0</v>
      </c>
    </row>
    <row r="9872">
      <c r="A9872" s="17">
        <v>1007000.0</v>
      </c>
      <c r="B9872" s="17">
        <v>7352200.0</v>
      </c>
    </row>
    <row r="9873">
      <c r="A9873" s="17">
        <v>1007000.0</v>
      </c>
      <c r="B9873" s="17">
        <v>7352300.0</v>
      </c>
    </row>
    <row r="9874">
      <c r="A9874" s="17">
        <v>1007000.0</v>
      </c>
      <c r="B9874" s="17">
        <v>7352400.0</v>
      </c>
    </row>
    <row r="9875">
      <c r="A9875" s="17">
        <v>1007000.0</v>
      </c>
      <c r="B9875" s="17">
        <v>7360600.0</v>
      </c>
    </row>
    <row r="9876">
      <c r="A9876" s="17">
        <v>1007000.0</v>
      </c>
      <c r="B9876" s="17">
        <v>7360900.0</v>
      </c>
    </row>
    <row r="9877">
      <c r="A9877" s="17">
        <v>1007000.0</v>
      </c>
      <c r="B9877" s="17">
        <v>7361200.0</v>
      </c>
    </row>
    <row r="9878">
      <c r="A9878" s="17">
        <v>1007000.0</v>
      </c>
      <c r="B9878" s="17">
        <v>7361300.0</v>
      </c>
    </row>
    <row r="9879">
      <c r="A9879" s="17">
        <v>1007000.0</v>
      </c>
      <c r="B9879" s="17">
        <v>7362100.0</v>
      </c>
    </row>
    <row r="9880">
      <c r="A9880" s="17">
        <v>1007000.0</v>
      </c>
      <c r="B9880" s="17">
        <v>7370300.0</v>
      </c>
    </row>
    <row r="9881">
      <c r="A9881" s="17">
        <v>1007000.0</v>
      </c>
      <c r="B9881" s="17">
        <v>7370400.0</v>
      </c>
    </row>
    <row r="9882">
      <c r="A9882" s="17">
        <v>1007000.0</v>
      </c>
      <c r="B9882" s="17">
        <v>7370600.0</v>
      </c>
    </row>
    <row r="9883">
      <c r="A9883" s="17">
        <v>1007000.0</v>
      </c>
      <c r="B9883" s="17">
        <v>7370900.0</v>
      </c>
    </row>
    <row r="9884">
      <c r="A9884" s="17">
        <v>1007000.0</v>
      </c>
      <c r="B9884" s="17">
        <v>7371500.0</v>
      </c>
    </row>
    <row r="9885">
      <c r="A9885" s="17">
        <v>1007000.0</v>
      </c>
      <c r="B9885" s="17">
        <v>7036200.0</v>
      </c>
    </row>
    <row r="9886">
      <c r="A9886" s="17">
        <v>1007000.0</v>
      </c>
      <c r="B9886" s="17">
        <v>7036300.0</v>
      </c>
    </row>
    <row r="9887">
      <c r="A9887" s="17">
        <v>1007000.0</v>
      </c>
      <c r="B9887" s="17">
        <v>7036400.0</v>
      </c>
    </row>
    <row r="9888">
      <c r="A9888" s="17">
        <v>1007000.0</v>
      </c>
      <c r="B9888" s="17">
        <v>7036500.0</v>
      </c>
    </row>
    <row r="9889">
      <c r="A9889" s="17">
        <v>1007000.0</v>
      </c>
      <c r="B9889" s="17">
        <v>7036800.0</v>
      </c>
    </row>
    <row r="9890">
      <c r="A9890" s="17">
        <v>1007000.0</v>
      </c>
      <c r="B9890" s="17">
        <v>7036900.0</v>
      </c>
    </row>
    <row r="9891">
      <c r="A9891" s="17">
        <v>1007000.0</v>
      </c>
      <c r="B9891" s="17">
        <v>7037000.0</v>
      </c>
    </row>
    <row r="9892">
      <c r="A9892" s="17">
        <v>1007000.0</v>
      </c>
      <c r="B9892" s="17">
        <v>7037300.0</v>
      </c>
    </row>
    <row r="9893">
      <c r="A9893" s="17">
        <v>1007000.0</v>
      </c>
      <c r="B9893" s="17">
        <v>6630000.0</v>
      </c>
    </row>
    <row r="9894">
      <c r="A9894" s="17">
        <v>1007000.0</v>
      </c>
      <c r="B9894" s="17">
        <v>6630100.0</v>
      </c>
    </row>
    <row r="9895">
      <c r="A9895" s="17">
        <v>1007000.0</v>
      </c>
      <c r="B9895" s="17">
        <v>6630200.0</v>
      </c>
    </row>
    <row r="9896">
      <c r="A9896" s="17">
        <v>1007000.0</v>
      </c>
      <c r="B9896" s="17">
        <v>6630300.0</v>
      </c>
    </row>
    <row r="9897">
      <c r="A9897" s="17">
        <v>1007000.0</v>
      </c>
      <c r="B9897" s="17">
        <v>6630400.0</v>
      </c>
    </row>
    <row r="9898">
      <c r="A9898" s="17">
        <v>1007000.0</v>
      </c>
      <c r="B9898" s="17">
        <v>6630500.0</v>
      </c>
    </row>
    <row r="9899">
      <c r="A9899" s="17">
        <v>1007000.0</v>
      </c>
      <c r="B9899" s="17">
        <v>6630600.0</v>
      </c>
    </row>
    <row r="9900">
      <c r="A9900" s="17">
        <v>1007000.0</v>
      </c>
      <c r="B9900" s="17">
        <v>6630700.0</v>
      </c>
    </row>
    <row r="9901">
      <c r="A9901" s="17">
        <v>1007000.0</v>
      </c>
      <c r="B9901" s="17">
        <v>6630800.0</v>
      </c>
    </row>
    <row r="9902">
      <c r="A9902" s="17">
        <v>1007000.0</v>
      </c>
      <c r="B9902" s="17">
        <v>6630900.0</v>
      </c>
    </row>
    <row r="9903">
      <c r="A9903" s="17">
        <v>1007000.0</v>
      </c>
      <c r="B9903" s="17">
        <v>6631000.0</v>
      </c>
    </row>
    <row r="9904">
      <c r="A9904" s="17">
        <v>1007000.0</v>
      </c>
      <c r="B9904" s="17">
        <v>6631100.0</v>
      </c>
    </row>
    <row r="9905">
      <c r="A9905" s="17">
        <v>1007000.0</v>
      </c>
      <c r="B9905" s="17">
        <v>6631200.0</v>
      </c>
    </row>
    <row r="9906">
      <c r="A9906" s="17">
        <v>1007000.0</v>
      </c>
      <c r="B9906" s="17">
        <v>6631300.0</v>
      </c>
    </row>
    <row r="9907">
      <c r="A9907" s="17">
        <v>1007000.0</v>
      </c>
      <c r="B9907" s="17">
        <v>6631400.0</v>
      </c>
    </row>
    <row r="9908">
      <c r="A9908" s="17">
        <v>1007000.0</v>
      </c>
      <c r="B9908" s="17">
        <v>6631500.0</v>
      </c>
    </row>
    <row r="9909">
      <c r="A9909" s="17">
        <v>1007000.0</v>
      </c>
      <c r="B9909" s="17">
        <v>6631600.0</v>
      </c>
    </row>
    <row r="9910">
      <c r="A9910" s="17">
        <v>1007000.0</v>
      </c>
      <c r="B9910" s="17">
        <v>6631700.0</v>
      </c>
    </row>
    <row r="9911">
      <c r="A9911" s="17">
        <v>1007000.0</v>
      </c>
      <c r="B9911" s="17">
        <v>6631800.0</v>
      </c>
    </row>
    <row r="9912">
      <c r="A9912" s="17">
        <v>1007000.0</v>
      </c>
      <c r="B9912" s="17">
        <v>6631900.0</v>
      </c>
    </row>
    <row r="9913">
      <c r="A9913" s="17">
        <v>1007000.0</v>
      </c>
      <c r="B9913" s="17">
        <v>6632000.0</v>
      </c>
    </row>
    <row r="9914">
      <c r="A9914" s="17">
        <v>1007000.0</v>
      </c>
      <c r="B9914" s="17">
        <v>6632100.0</v>
      </c>
    </row>
    <row r="9915">
      <c r="A9915" s="17">
        <v>1007000.0</v>
      </c>
      <c r="B9915" s="17">
        <v>6632200.0</v>
      </c>
    </row>
    <row r="9916">
      <c r="A9916" s="17">
        <v>1007000.0</v>
      </c>
      <c r="B9916" s="17">
        <v>6632300.0</v>
      </c>
    </row>
    <row r="9917">
      <c r="A9917" s="17">
        <v>1007000.0</v>
      </c>
      <c r="B9917" s="17">
        <v>6632400.0</v>
      </c>
    </row>
    <row r="9918">
      <c r="A9918" s="17">
        <v>1007000.0</v>
      </c>
      <c r="B9918" s="17">
        <v>6632500.0</v>
      </c>
    </row>
    <row r="9919">
      <c r="A9919" s="17">
        <v>1007000.0</v>
      </c>
      <c r="B9919" s="17">
        <v>6632600.0</v>
      </c>
    </row>
    <row r="9920">
      <c r="A9920" s="17">
        <v>1007000.0</v>
      </c>
      <c r="B9920" s="17">
        <v>6632700.0</v>
      </c>
    </row>
    <row r="9921">
      <c r="A9921" s="17">
        <v>1007000.0</v>
      </c>
      <c r="B9921" s="17">
        <v>6632800.0</v>
      </c>
    </row>
    <row r="9922">
      <c r="A9922" s="17">
        <v>1007000.0</v>
      </c>
      <c r="B9922" s="17">
        <v>6632900.0</v>
      </c>
    </row>
    <row r="9923">
      <c r="A9923" s="17">
        <v>1007000.0</v>
      </c>
      <c r="B9923" s="17">
        <v>6633000.0</v>
      </c>
    </row>
    <row r="9924">
      <c r="A9924" s="17">
        <v>1007000.0</v>
      </c>
      <c r="B9924" s="17">
        <v>6633100.0</v>
      </c>
    </row>
    <row r="9925">
      <c r="A9925" s="17">
        <v>1007000.0</v>
      </c>
      <c r="B9925" s="17">
        <v>6633200.0</v>
      </c>
    </row>
    <row r="9926">
      <c r="A9926" s="17">
        <v>1007000.0</v>
      </c>
      <c r="B9926" s="17">
        <v>6647200.0</v>
      </c>
    </row>
    <row r="9927">
      <c r="A9927" s="17">
        <v>1007000.0</v>
      </c>
      <c r="B9927" s="17">
        <v>6647300.0</v>
      </c>
    </row>
    <row r="9928">
      <c r="A9928" s="17">
        <v>1007000.0</v>
      </c>
      <c r="B9928" s="17">
        <v>6647400.0</v>
      </c>
    </row>
    <row r="9929">
      <c r="A9929" s="17">
        <v>1007000.0</v>
      </c>
      <c r="B9929" s="17">
        <v>6647500.0</v>
      </c>
    </row>
    <row r="9930">
      <c r="A9930" s="17">
        <v>1007000.0</v>
      </c>
      <c r="B9930" s="17">
        <v>6640000.0</v>
      </c>
    </row>
    <row r="9931">
      <c r="A9931" s="17">
        <v>1007000.0</v>
      </c>
      <c r="B9931" s="17">
        <v>6640100.0</v>
      </c>
    </row>
    <row r="9932">
      <c r="A9932" s="17">
        <v>1007000.0</v>
      </c>
      <c r="B9932" s="17">
        <v>6641000.0</v>
      </c>
    </row>
    <row r="9933">
      <c r="A9933" s="17">
        <v>1007000.0</v>
      </c>
      <c r="B9933" s="17">
        <v>6641100.0</v>
      </c>
    </row>
    <row r="9934">
      <c r="A9934" s="17">
        <v>1007000.0</v>
      </c>
      <c r="B9934" s="17">
        <v>6642000.0</v>
      </c>
    </row>
    <row r="9935">
      <c r="A9935" s="17">
        <v>1007000.0</v>
      </c>
      <c r="B9935" s="17">
        <v>6642100.0</v>
      </c>
    </row>
    <row r="9936">
      <c r="A9936" s="17">
        <v>1007000.0</v>
      </c>
      <c r="B9936" s="17">
        <v>6643000.0</v>
      </c>
    </row>
    <row r="9937">
      <c r="A9937" s="17">
        <v>1007000.0</v>
      </c>
      <c r="B9937" s="17">
        <v>6643100.0</v>
      </c>
    </row>
    <row r="9938">
      <c r="A9938" s="17">
        <v>1007000.0</v>
      </c>
      <c r="B9938" s="17">
        <v>6644000.0</v>
      </c>
    </row>
    <row r="9939">
      <c r="A9939" s="17">
        <v>1007000.0</v>
      </c>
      <c r="B9939" s="17">
        <v>6644100.0</v>
      </c>
    </row>
    <row r="9940">
      <c r="A9940" s="17">
        <v>1007000.0</v>
      </c>
      <c r="B9940" s="17">
        <v>6645000.0</v>
      </c>
    </row>
    <row r="9941">
      <c r="A9941" s="17">
        <v>1007000.0</v>
      </c>
      <c r="B9941" s="17">
        <v>6645100.0</v>
      </c>
    </row>
    <row r="9942">
      <c r="A9942" s="17">
        <v>1007000.0</v>
      </c>
      <c r="B9942" s="17">
        <v>6646000.0</v>
      </c>
    </row>
    <row r="9943">
      <c r="A9943" s="17">
        <v>1007000.0</v>
      </c>
      <c r="B9943" s="17">
        <v>6646100.0</v>
      </c>
    </row>
    <row r="9944">
      <c r="A9944" s="17">
        <v>1007000.0</v>
      </c>
      <c r="B9944" s="17">
        <v>6647000.0</v>
      </c>
    </row>
    <row r="9945">
      <c r="A9945" s="17">
        <v>1007000.0</v>
      </c>
      <c r="B9945" s="17">
        <v>6647100.0</v>
      </c>
    </row>
    <row r="9946">
      <c r="A9946" s="17">
        <v>1007001.0</v>
      </c>
      <c r="B9946" s="17">
        <v>7000000.0</v>
      </c>
    </row>
    <row r="9947">
      <c r="A9947" s="17">
        <v>1007001.0</v>
      </c>
      <c r="B9947" s="17">
        <v>7000001.0</v>
      </c>
    </row>
    <row r="9948">
      <c r="A9948" s="17">
        <v>1007001.0</v>
      </c>
      <c r="B9948" s="17">
        <v>7000002.0</v>
      </c>
    </row>
    <row r="9949">
      <c r="A9949" s="17">
        <v>1007001.0</v>
      </c>
      <c r="B9949" s="17">
        <v>7000100.0</v>
      </c>
    </row>
    <row r="9950">
      <c r="A9950" s="17">
        <v>1007001.0</v>
      </c>
      <c r="B9950" s="17">
        <v>7000101.0</v>
      </c>
    </row>
    <row r="9951">
      <c r="A9951" s="17">
        <v>1007001.0</v>
      </c>
      <c r="B9951" s="17">
        <v>7000102.0</v>
      </c>
    </row>
    <row r="9952">
      <c r="A9952" s="17">
        <v>1007001.0</v>
      </c>
      <c r="B9952" s="17">
        <v>7000200.0</v>
      </c>
    </row>
    <row r="9953">
      <c r="A9953" s="17">
        <v>1007001.0</v>
      </c>
      <c r="B9953" s="17">
        <v>7000201.0</v>
      </c>
    </row>
    <row r="9954">
      <c r="A9954" s="17">
        <v>1007001.0</v>
      </c>
      <c r="B9954" s="17">
        <v>7000202.0</v>
      </c>
    </row>
    <row r="9955">
      <c r="A9955" s="17">
        <v>1007001.0</v>
      </c>
      <c r="B9955" s="17">
        <v>7000300.0</v>
      </c>
    </row>
    <row r="9956">
      <c r="A9956" s="17">
        <v>1007001.0</v>
      </c>
      <c r="B9956" s="17">
        <v>7000301.0</v>
      </c>
    </row>
    <row r="9957">
      <c r="A9957" s="17">
        <v>1007001.0</v>
      </c>
      <c r="B9957" s="17">
        <v>7000302.0</v>
      </c>
    </row>
    <row r="9958">
      <c r="A9958" s="17">
        <v>1007001.0</v>
      </c>
      <c r="B9958" s="17">
        <v>7000400.0</v>
      </c>
    </row>
    <row r="9959">
      <c r="A9959" s="17">
        <v>1007001.0</v>
      </c>
      <c r="B9959" s="17">
        <v>7000401.0</v>
      </c>
    </row>
    <row r="9960">
      <c r="A9960" s="17">
        <v>1007001.0</v>
      </c>
      <c r="B9960" s="17">
        <v>7000402.0</v>
      </c>
    </row>
    <row r="9961">
      <c r="A9961" s="17">
        <v>1007001.0</v>
      </c>
      <c r="B9961" s="17">
        <v>7000500.0</v>
      </c>
    </row>
    <row r="9962">
      <c r="A9962" s="17">
        <v>1007001.0</v>
      </c>
      <c r="B9962" s="17">
        <v>7000501.0</v>
      </c>
    </row>
    <row r="9963">
      <c r="A9963" s="17">
        <v>1007001.0</v>
      </c>
      <c r="B9963" s="17">
        <v>7000502.0</v>
      </c>
    </row>
    <row r="9964">
      <c r="A9964" s="17">
        <v>1007001.0</v>
      </c>
      <c r="B9964" s="17">
        <v>7000600.0</v>
      </c>
    </row>
    <row r="9965">
      <c r="A9965" s="17">
        <v>1007001.0</v>
      </c>
      <c r="B9965" s="17">
        <v>7000601.0</v>
      </c>
    </row>
    <row r="9966">
      <c r="A9966" s="17">
        <v>1007001.0</v>
      </c>
      <c r="B9966" s="17">
        <v>7000602.0</v>
      </c>
    </row>
    <row r="9967">
      <c r="A9967" s="17">
        <v>1007001.0</v>
      </c>
      <c r="B9967" s="17">
        <v>7000700.0</v>
      </c>
    </row>
    <row r="9968">
      <c r="A9968" s="17">
        <v>1007001.0</v>
      </c>
      <c r="B9968" s="17">
        <v>7000701.0</v>
      </c>
    </row>
    <row r="9969">
      <c r="A9969" s="17">
        <v>1007001.0</v>
      </c>
      <c r="B9969" s="17">
        <v>7000702.0</v>
      </c>
    </row>
    <row r="9970">
      <c r="A9970" s="17">
        <v>1007001.0</v>
      </c>
      <c r="B9970" s="17">
        <v>7000800.0</v>
      </c>
    </row>
    <row r="9971">
      <c r="A9971" s="17">
        <v>1007001.0</v>
      </c>
      <c r="B9971" s="17">
        <v>7000801.0</v>
      </c>
    </row>
    <row r="9972">
      <c r="A9972" s="17">
        <v>1007001.0</v>
      </c>
      <c r="B9972" s="17">
        <v>7000802.0</v>
      </c>
    </row>
    <row r="9973">
      <c r="A9973" s="17">
        <v>1007001.0</v>
      </c>
      <c r="B9973" s="17">
        <v>7000900.0</v>
      </c>
    </row>
    <row r="9974">
      <c r="A9974" s="17">
        <v>1007001.0</v>
      </c>
      <c r="B9974" s="17">
        <v>7000901.0</v>
      </c>
    </row>
    <row r="9975">
      <c r="A9975" s="17">
        <v>1007001.0</v>
      </c>
      <c r="B9975" s="17">
        <v>7000902.0</v>
      </c>
    </row>
    <row r="9976">
      <c r="A9976" s="17">
        <v>1007001.0</v>
      </c>
      <c r="B9976" s="17">
        <v>7001000.0</v>
      </c>
    </row>
    <row r="9977">
      <c r="A9977" s="17">
        <v>1007001.0</v>
      </c>
      <c r="B9977" s="17">
        <v>7001001.0</v>
      </c>
    </row>
    <row r="9978">
      <c r="A9978" s="17">
        <v>1007001.0</v>
      </c>
      <c r="B9978" s="17">
        <v>7001002.0</v>
      </c>
    </row>
    <row r="9979">
      <c r="A9979" s="17">
        <v>1007001.0</v>
      </c>
      <c r="B9979" s="17">
        <v>7001400.0</v>
      </c>
    </row>
    <row r="9980">
      <c r="A9980" s="17">
        <v>1007001.0</v>
      </c>
      <c r="B9980" s="17">
        <v>7001401.0</v>
      </c>
    </row>
    <row r="9981">
      <c r="A9981" s="17">
        <v>1007001.0</v>
      </c>
      <c r="B9981" s="17">
        <v>7001402.0</v>
      </c>
    </row>
    <row r="9982">
      <c r="A9982" s="17">
        <v>1007001.0</v>
      </c>
      <c r="B9982" s="17">
        <v>7001500.0</v>
      </c>
    </row>
    <row r="9983">
      <c r="A9983" s="17">
        <v>1007001.0</v>
      </c>
      <c r="B9983" s="17">
        <v>7001501.0</v>
      </c>
    </row>
    <row r="9984">
      <c r="A9984" s="17">
        <v>1007001.0</v>
      </c>
      <c r="B9984" s="17">
        <v>7001502.0</v>
      </c>
    </row>
    <row r="9985">
      <c r="A9985" s="17">
        <v>1007001.0</v>
      </c>
      <c r="B9985" s="17">
        <v>7001600.0</v>
      </c>
    </row>
    <row r="9986">
      <c r="A9986" s="17">
        <v>1007001.0</v>
      </c>
      <c r="B9986" s="17">
        <v>7001601.0</v>
      </c>
    </row>
    <row r="9987">
      <c r="A9987" s="17">
        <v>1007001.0</v>
      </c>
      <c r="B9987" s="17">
        <v>7001602.0</v>
      </c>
    </row>
    <row r="9988">
      <c r="A9988" s="17">
        <v>1007001.0</v>
      </c>
      <c r="B9988" s="17">
        <v>7001700.0</v>
      </c>
    </row>
    <row r="9989">
      <c r="A9989" s="17">
        <v>1007001.0</v>
      </c>
      <c r="B9989" s="17">
        <v>7001701.0</v>
      </c>
    </row>
    <row r="9990">
      <c r="A9990" s="17">
        <v>1007001.0</v>
      </c>
      <c r="B9990" s="17">
        <v>7001702.0</v>
      </c>
    </row>
    <row r="9991">
      <c r="A9991" s="17">
        <v>1007001.0</v>
      </c>
      <c r="B9991" s="17">
        <v>7001800.0</v>
      </c>
    </row>
    <row r="9992">
      <c r="A9992" s="17">
        <v>1007001.0</v>
      </c>
      <c r="B9992" s="17">
        <v>7001801.0</v>
      </c>
    </row>
    <row r="9993">
      <c r="A9993" s="17">
        <v>1007001.0</v>
      </c>
      <c r="B9993" s="17">
        <v>7001802.0</v>
      </c>
    </row>
    <row r="9994">
      <c r="A9994" s="17">
        <v>1007001.0</v>
      </c>
      <c r="B9994" s="17">
        <v>7002600.0</v>
      </c>
    </row>
    <row r="9995">
      <c r="A9995" s="17">
        <v>1007001.0</v>
      </c>
      <c r="B9995" s="17">
        <v>7002700.0</v>
      </c>
    </row>
    <row r="9996">
      <c r="A9996" s="17">
        <v>1007001.0</v>
      </c>
      <c r="B9996" s="17">
        <v>7002800.0</v>
      </c>
    </row>
    <row r="9997">
      <c r="A9997" s="17">
        <v>1007001.0</v>
      </c>
      <c r="B9997" s="17">
        <v>7002900.0</v>
      </c>
    </row>
    <row r="9998">
      <c r="A9998" s="17">
        <v>1007001.0</v>
      </c>
      <c r="B9998" s="17">
        <v>7003000.0</v>
      </c>
    </row>
    <row r="9999">
      <c r="A9999" s="17">
        <v>1007001.0</v>
      </c>
      <c r="B9999" s="17">
        <v>7003100.0</v>
      </c>
    </row>
    <row r="10000">
      <c r="A10000" s="17">
        <v>1007001.0</v>
      </c>
      <c r="B10000" s="17">
        <v>7003200.0</v>
      </c>
    </row>
    <row r="10001">
      <c r="A10001" s="17">
        <v>1007001.0</v>
      </c>
      <c r="B10001" s="17">
        <v>7003300.0</v>
      </c>
    </row>
    <row r="10002">
      <c r="A10002" s="17">
        <v>1007001.0</v>
      </c>
      <c r="B10002" s="17">
        <v>7003400.0</v>
      </c>
    </row>
    <row r="10003">
      <c r="A10003" s="17">
        <v>1007001.0</v>
      </c>
      <c r="B10003" s="17">
        <v>7003500.0</v>
      </c>
    </row>
    <row r="10004">
      <c r="A10004" s="17">
        <v>1007001.0</v>
      </c>
      <c r="B10004" s="17">
        <v>7003600.0</v>
      </c>
    </row>
    <row r="10005">
      <c r="A10005" s="17">
        <v>1007001.0</v>
      </c>
      <c r="B10005" s="17">
        <v>7005600.0</v>
      </c>
    </row>
    <row r="10006">
      <c r="A10006" s="17">
        <v>1007001.0</v>
      </c>
      <c r="B10006" s="17">
        <v>7006000.0</v>
      </c>
    </row>
    <row r="10007">
      <c r="A10007" s="17">
        <v>1007001.0</v>
      </c>
      <c r="B10007" s="17">
        <v>7006100.0</v>
      </c>
    </row>
    <row r="10008">
      <c r="A10008" s="17">
        <v>1007001.0</v>
      </c>
      <c r="B10008" s="17">
        <v>7010200.0</v>
      </c>
    </row>
    <row r="10009">
      <c r="A10009" s="17">
        <v>1007001.0</v>
      </c>
      <c r="B10009" s="17">
        <v>7010500.0</v>
      </c>
    </row>
    <row r="10010">
      <c r="A10010" s="17">
        <v>1007001.0</v>
      </c>
      <c r="B10010" s="17">
        <v>7010700.0</v>
      </c>
    </row>
    <row r="10011">
      <c r="A10011" s="17">
        <v>1007001.0</v>
      </c>
      <c r="B10011" s="17">
        <v>7010900.0</v>
      </c>
    </row>
    <row r="10012">
      <c r="A10012" s="17">
        <v>1007001.0</v>
      </c>
      <c r="B10012" s="17">
        <v>7011000.0</v>
      </c>
    </row>
    <row r="10013">
      <c r="A10013" s="17">
        <v>1007001.0</v>
      </c>
      <c r="B10013" s="17">
        <v>7011200.0</v>
      </c>
    </row>
    <row r="10014">
      <c r="A10014" s="17">
        <v>1007001.0</v>
      </c>
      <c r="B10014" s="17">
        <v>7011600.0</v>
      </c>
    </row>
    <row r="10015">
      <c r="A10015" s="17">
        <v>1007001.0</v>
      </c>
      <c r="B10015" s="17">
        <v>7011700.0</v>
      </c>
    </row>
    <row r="10016">
      <c r="A10016" s="17">
        <v>1007001.0</v>
      </c>
      <c r="B10016" s="17">
        <v>7012000.0</v>
      </c>
    </row>
    <row r="10017">
      <c r="A10017" s="17">
        <v>1007001.0</v>
      </c>
      <c r="B10017" s="17">
        <v>7012200.0</v>
      </c>
    </row>
    <row r="10018">
      <c r="A10018" s="17">
        <v>1007001.0</v>
      </c>
      <c r="B10018" s="17">
        <v>7012300.0</v>
      </c>
    </row>
    <row r="10019">
      <c r="A10019" s="17">
        <v>1007001.0</v>
      </c>
      <c r="B10019" s="17">
        <v>7020000.0</v>
      </c>
    </row>
    <row r="10020">
      <c r="A10020" s="17">
        <v>1007001.0</v>
      </c>
      <c r="B10020" s="17">
        <v>7030000.0</v>
      </c>
    </row>
    <row r="10021">
      <c r="A10021" s="17">
        <v>1007001.0</v>
      </c>
      <c r="B10021" s="17">
        <v>7030200.0</v>
      </c>
    </row>
    <row r="10022">
      <c r="A10022" s="17">
        <v>1007001.0</v>
      </c>
      <c r="B10022" s="17">
        <v>7030600.0</v>
      </c>
    </row>
    <row r="10023">
      <c r="A10023" s="17">
        <v>1007001.0</v>
      </c>
      <c r="B10023" s="17">
        <v>7030700.0</v>
      </c>
    </row>
    <row r="10024">
      <c r="A10024" s="17">
        <v>1007001.0</v>
      </c>
      <c r="B10024" s="17">
        <v>7030800.0</v>
      </c>
    </row>
    <row r="10025">
      <c r="A10025" s="17">
        <v>1007001.0</v>
      </c>
      <c r="B10025" s="17">
        <v>7030900.0</v>
      </c>
    </row>
    <row r="10026">
      <c r="A10026" s="17">
        <v>1007001.0</v>
      </c>
      <c r="B10026" s="17">
        <v>7031200.0</v>
      </c>
    </row>
    <row r="10027">
      <c r="A10027" s="17">
        <v>1007001.0</v>
      </c>
      <c r="B10027" s="17">
        <v>7031300.0</v>
      </c>
    </row>
    <row r="10028">
      <c r="A10028" s="17">
        <v>1007001.0</v>
      </c>
      <c r="B10028" s="17">
        <v>7031800.0</v>
      </c>
    </row>
    <row r="10029">
      <c r="A10029" s="17">
        <v>1007001.0</v>
      </c>
      <c r="B10029" s="17">
        <v>7031900.0</v>
      </c>
    </row>
    <row r="10030">
      <c r="A10030" s="17">
        <v>1007001.0</v>
      </c>
      <c r="B10030" s="17">
        <v>7032200.0</v>
      </c>
    </row>
    <row r="10031">
      <c r="A10031" s="17">
        <v>1007001.0</v>
      </c>
      <c r="B10031" s="17">
        <v>7032400.0</v>
      </c>
    </row>
    <row r="10032">
      <c r="A10032" s="17">
        <v>1007001.0</v>
      </c>
      <c r="B10032" s="17">
        <v>7032700.0</v>
      </c>
    </row>
    <row r="10033">
      <c r="A10033" s="17">
        <v>1007001.0</v>
      </c>
      <c r="B10033" s="17">
        <v>7032800.0</v>
      </c>
    </row>
    <row r="10034">
      <c r="A10034" s="17">
        <v>1007001.0</v>
      </c>
      <c r="B10034" s="17">
        <v>7032900.0</v>
      </c>
    </row>
    <row r="10035">
      <c r="A10035" s="17">
        <v>1007001.0</v>
      </c>
      <c r="B10035" s="17">
        <v>7033200.0</v>
      </c>
    </row>
    <row r="10036">
      <c r="A10036" s="17">
        <v>1007001.0</v>
      </c>
      <c r="B10036" s="17">
        <v>7033400.0</v>
      </c>
    </row>
    <row r="10037">
      <c r="A10037" s="17">
        <v>1007001.0</v>
      </c>
      <c r="B10037" s="17">
        <v>7034100.0</v>
      </c>
    </row>
    <row r="10038">
      <c r="A10038" s="17">
        <v>1007001.0</v>
      </c>
      <c r="B10038" s="17">
        <v>7034400.0</v>
      </c>
    </row>
    <row r="10039">
      <c r="A10039" s="17">
        <v>1007001.0</v>
      </c>
      <c r="B10039" s="17">
        <v>7034500.0</v>
      </c>
    </row>
    <row r="10040">
      <c r="A10040" s="17">
        <v>1007001.0</v>
      </c>
      <c r="B10040" s="17">
        <v>7034600.0</v>
      </c>
    </row>
    <row r="10041">
      <c r="A10041" s="17">
        <v>1007001.0</v>
      </c>
      <c r="B10041" s="17">
        <v>7034700.0</v>
      </c>
    </row>
    <row r="10042">
      <c r="A10042" s="17">
        <v>1007001.0</v>
      </c>
      <c r="B10042" s="17">
        <v>7035100.0</v>
      </c>
    </row>
    <row r="10043">
      <c r="A10043" s="17">
        <v>1007001.0</v>
      </c>
      <c r="B10043" s="17">
        <v>7036100.0</v>
      </c>
    </row>
    <row r="10044">
      <c r="A10044" s="17">
        <v>1007001.0</v>
      </c>
      <c r="B10044" s="17">
        <v>7040000.0</v>
      </c>
    </row>
    <row r="10045">
      <c r="A10045" s="17">
        <v>1007001.0</v>
      </c>
      <c r="B10045" s="17">
        <v>7040100.0</v>
      </c>
    </row>
    <row r="10046">
      <c r="A10046" s="17">
        <v>1007001.0</v>
      </c>
      <c r="B10046" s="17">
        <v>7040200.0</v>
      </c>
    </row>
    <row r="10047">
      <c r="A10047" s="17">
        <v>1007001.0</v>
      </c>
      <c r="B10047" s="17">
        <v>7040300.0</v>
      </c>
    </row>
    <row r="10048">
      <c r="A10048" s="17">
        <v>1007001.0</v>
      </c>
      <c r="B10048" s="17">
        <v>7040400.0</v>
      </c>
    </row>
    <row r="10049">
      <c r="A10049" s="17">
        <v>1007001.0</v>
      </c>
      <c r="B10049" s="17">
        <v>7040500.0</v>
      </c>
    </row>
    <row r="10050">
      <c r="A10050" s="17">
        <v>1007001.0</v>
      </c>
      <c r="B10050" s="17">
        <v>7043000.0</v>
      </c>
    </row>
    <row r="10051">
      <c r="A10051" s="17">
        <v>1007001.0</v>
      </c>
      <c r="B10051" s="17">
        <v>7043100.0</v>
      </c>
    </row>
    <row r="10052">
      <c r="A10052" s="17">
        <v>1007001.0</v>
      </c>
      <c r="B10052" s="17">
        <v>7043200.0</v>
      </c>
    </row>
    <row r="10053">
      <c r="A10053" s="17">
        <v>1007001.0</v>
      </c>
      <c r="B10053" s="17">
        <v>7043300.0</v>
      </c>
    </row>
    <row r="10054">
      <c r="A10054" s="17">
        <v>1007001.0</v>
      </c>
      <c r="B10054" s="17">
        <v>7043400.0</v>
      </c>
    </row>
    <row r="10055">
      <c r="A10055" s="17">
        <v>1007001.0</v>
      </c>
      <c r="B10055" s="17">
        <v>7043500.0</v>
      </c>
    </row>
    <row r="10056">
      <c r="A10056" s="17">
        <v>1007001.0</v>
      </c>
      <c r="B10056" s="17">
        <v>7043600.0</v>
      </c>
    </row>
    <row r="10057">
      <c r="A10057" s="17">
        <v>1007001.0</v>
      </c>
      <c r="B10057" s="17">
        <v>7043700.0</v>
      </c>
    </row>
    <row r="10058">
      <c r="A10058" s="17">
        <v>1007001.0</v>
      </c>
      <c r="B10058" s="17">
        <v>7043800.0</v>
      </c>
    </row>
    <row r="10059">
      <c r="A10059" s="17">
        <v>1007001.0</v>
      </c>
      <c r="B10059" s="17">
        <v>7044000.0</v>
      </c>
    </row>
    <row r="10060">
      <c r="A10060" s="17">
        <v>1007001.0</v>
      </c>
      <c r="B10060" s="17">
        <v>7044100.0</v>
      </c>
    </row>
    <row r="10061">
      <c r="A10061" s="17">
        <v>1007001.0</v>
      </c>
      <c r="B10061" s="17">
        <v>7044200.0</v>
      </c>
    </row>
    <row r="10062">
      <c r="A10062" s="17">
        <v>1007001.0</v>
      </c>
      <c r="B10062" s="17">
        <v>7044300.0</v>
      </c>
    </row>
    <row r="10063">
      <c r="A10063" s="17">
        <v>1007001.0</v>
      </c>
      <c r="B10063" s="17">
        <v>7044400.0</v>
      </c>
    </row>
    <row r="10064">
      <c r="A10064" s="17">
        <v>1007001.0</v>
      </c>
      <c r="B10064" s="17">
        <v>7044500.0</v>
      </c>
    </row>
    <row r="10065">
      <c r="A10065" s="17">
        <v>1007001.0</v>
      </c>
      <c r="B10065" s="17">
        <v>7044600.0</v>
      </c>
    </row>
    <row r="10066">
      <c r="A10066" s="17">
        <v>1007001.0</v>
      </c>
      <c r="B10066" s="17">
        <v>7050000.0</v>
      </c>
    </row>
    <row r="10067">
      <c r="A10067" s="17">
        <v>1007001.0</v>
      </c>
      <c r="B10067" s="17">
        <v>7050100.0</v>
      </c>
    </row>
    <row r="10068">
      <c r="A10068" s="17">
        <v>1007001.0</v>
      </c>
      <c r="B10068" s="17">
        <v>7060000.0</v>
      </c>
    </row>
    <row r="10069">
      <c r="A10069" s="17">
        <v>1007001.0</v>
      </c>
      <c r="B10069" s="17">
        <v>7060100.0</v>
      </c>
    </row>
    <row r="10070">
      <c r="A10070" s="17">
        <v>1007001.0</v>
      </c>
      <c r="B10070" s="17">
        <v>7060200.0</v>
      </c>
    </row>
    <row r="10071">
      <c r="A10071" s="17">
        <v>1007001.0</v>
      </c>
      <c r="B10071" s="17">
        <v>7070000.0</v>
      </c>
    </row>
    <row r="10072">
      <c r="A10072" s="17">
        <v>1007001.0</v>
      </c>
      <c r="B10072" s="17">
        <v>7080000.0</v>
      </c>
    </row>
    <row r="10073">
      <c r="A10073" s="17">
        <v>1007001.0</v>
      </c>
      <c r="B10073" s="17">
        <v>7080100.0</v>
      </c>
    </row>
    <row r="10074">
      <c r="A10074" s="17">
        <v>1007001.0</v>
      </c>
      <c r="B10074" s="17">
        <v>7080200.0</v>
      </c>
    </row>
    <row r="10075">
      <c r="A10075" s="17">
        <v>1007001.0</v>
      </c>
      <c r="B10075" s="17">
        <v>7080300.0</v>
      </c>
    </row>
    <row r="10076">
      <c r="A10076" s="17">
        <v>1007001.0</v>
      </c>
      <c r="B10076" s="17">
        <v>7080400.0</v>
      </c>
    </row>
    <row r="10077">
      <c r="A10077" s="17">
        <v>1007001.0</v>
      </c>
      <c r="B10077" s="17">
        <v>7080500.0</v>
      </c>
    </row>
    <row r="10078">
      <c r="A10078" s="17">
        <v>1007001.0</v>
      </c>
      <c r="B10078" s="17">
        <v>7080600.0</v>
      </c>
    </row>
    <row r="10079">
      <c r="A10079" s="17">
        <v>1007001.0</v>
      </c>
      <c r="B10079" s="17">
        <v>7080700.0</v>
      </c>
    </row>
    <row r="10080">
      <c r="A10080" s="17">
        <v>1007001.0</v>
      </c>
      <c r="B10080" s="17">
        <v>7080800.0</v>
      </c>
    </row>
    <row r="10081">
      <c r="A10081" s="17">
        <v>1007001.0</v>
      </c>
      <c r="B10081" s="17">
        <v>7080900.0</v>
      </c>
    </row>
    <row r="10082">
      <c r="A10082" s="17">
        <v>1007001.0</v>
      </c>
      <c r="B10082" s="17">
        <v>7081000.0</v>
      </c>
    </row>
    <row r="10083">
      <c r="A10083" s="17">
        <v>1007001.0</v>
      </c>
      <c r="B10083" s="17">
        <v>7081100.0</v>
      </c>
    </row>
    <row r="10084">
      <c r="A10084" s="17">
        <v>1007001.0</v>
      </c>
      <c r="B10084" s="17">
        <v>7081200.0</v>
      </c>
    </row>
    <row r="10085">
      <c r="A10085" s="17">
        <v>1007001.0</v>
      </c>
      <c r="B10085" s="17">
        <v>7081300.0</v>
      </c>
    </row>
    <row r="10086">
      <c r="A10086" s="17">
        <v>1007001.0</v>
      </c>
      <c r="B10086" s="17">
        <v>7081400.0</v>
      </c>
    </row>
    <row r="10087">
      <c r="A10087" s="17">
        <v>1007001.0</v>
      </c>
      <c r="B10087" s="17">
        <v>7081500.0</v>
      </c>
    </row>
    <row r="10088">
      <c r="A10088" s="17">
        <v>1007001.0</v>
      </c>
      <c r="B10088" s="17">
        <v>7081700.0</v>
      </c>
    </row>
    <row r="10089">
      <c r="A10089" s="17">
        <v>1007001.0</v>
      </c>
      <c r="B10089" s="17">
        <v>7081800.0</v>
      </c>
    </row>
    <row r="10090">
      <c r="A10090" s="17">
        <v>1007001.0</v>
      </c>
      <c r="B10090" s="17">
        <v>7081900.0</v>
      </c>
    </row>
    <row r="10091">
      <c r="A10091" s="17">
        <v>1007001.0</v>
      </c>
      <c r="B10091" s="17">
        <v>7082000.0</v>
      </c>
    </row>
    <row r="10092">
      <c r="A10092" s="17">
        <v>1007001.0</v>
      </c>
      <c r="B10092" s="17">
        <v>7082100.0</v>
      </c>
    </row>
    <row r="10093">
      <c r="A10093" s="17">
        <v>1007001.0</v>
      </c>
      <c r="B10093" s="17">
        <v>7082200.0</v>
      </c>
    </row>
    <row r="10094">
      <c r="A10094" s="17">
        <v>1007001.0</v>
      </c>
      <c r="B10094" s="17">
        <v>7082300.0</v>
      </c>
    </row>
    <row r="10095">
      <c r="A10095" s="17">
        <v>1007001.0</v>
      </c>
      <c r="B10095" s="17">
        <v>7082400.0</v>
      </c>
    </row>
    <row r="10096">
      <c r="A10096" s="17">
        <v>1007001.0</v>
      </c>
      <c r="B10096" s="17">
        <v>7082500.0</v>
      </c>
    </row>
    <row r="10097">
      <c r="A10097" s="17">
        <v>1007001.0</v>
      </c>
      <c r="B10097" s="17">
        <v>7082600.0</v>
      </c>
    </row>
    <row r="10098">
      <c r="A10098" s="17">
        <v>1007001.0</v>
      </c>
      <c r="B10098" s="17">
        <v>7082700.0</v>
      </c>
    </row>
    <row r="10099">
      <c r="A10099" s="17">
        <v>1007001.0</v>
      </c>
      <c r="B10099" s="17">
        <v>7082800.0</v>
      </c>
    </row>
    <row r="10100">
      <c r="A10100" s="17">
        <v>1007001.0</v>
      </c>
      <c r="B10100" s="17">
        <v>7082900.0</v>
      </c>
    </row>
    <row r="10101">
      <c r="A10101" s="17">
        <v>1007001.0</v>
      </c>
      <c r="B10101" s="17">
        <v>7090000.0</v>
      </c>
    </row>
    <row r="10102">
      <c r="A10102" s="17">
        <v>1007001.0</v>
      </c>
      <c r="B10102" s="17">
        <v>7090100.0</v>
      </c>
    </row>
    <row r="10103">
      <c r="A10103" s="17">
        <v>1007001.0</v>
      </c>
      <c r="B10103" s="17">
        <v>7090300.0</v>
      </c>
    </row>
    <row r="10104">
      <c r="A10104" s="17">
        <v>1007001.0</v>
      </c>
      <c r="B10104" s="17">
        <v>7100100.0</v>
      </c>
    </row>
    <row r="10105">
      <c r="A10105" s="17">
        <v>1007001.0</v>
      </c>
      <c r="B10105" s="17">
        <v>7110000.0</v>
      </c>
    </row>
    <row r="10106">
      <c r="A10106" s="17">
        <v>1007001.0</v>
      </c>
      <c r="B10106" s="17">
        <v>7120000.0</v>
      </c>
    </row>
    <row r="10107">
      <c r="A10107" s="17">
        <v>1007001.0</v>
      </c>
      <c r="B10107" s="17">
        <v>7120100.0</v>
      </c>
    </row>
    <row r="10108">
      <c r="A10108" s="17">
        <v>1007001.0</v>
      </c>
      <c r="B10108" s="17">
        <v>7120200.0</v>
      </c>
    </row>
    <row r="10109">
      <c r="A10109" s="17">
        <v>1007001.0</v>
      </c>
      <c r="B10109" s="17">
        <v>7120300.0</v>
      </c>
    </row>
    <row r="10110">
      <c r="A10110" s="17">
        <v>1007001.0</v>
      </c>
      <c r="B10110" s="17">
        <v>7120400.0</v>
      </c>
    </row>
    <row r="10111">
      <c r="A10111" s="17">
        <v>1007001.0</v>
      </c>
      <c r="B10111" s="17">
        <v>7120500.0</v>
      </c>
    </row>
    <row r="10112">
      <c r="A10112" s="17">
        <v>1007001.0</v>
      </c>
      <c r="B10112" s="17">
        <v>7120600.0</v>
      </c>
    </row>
    <row r="10113">
      <c r="A10113" s="17">
        <v>1007001.0</v>
      </c>
      <c r="B10113" s="17">
        <v>7120900.0</v>
      </c>
    </row>
    <row r="10114">
      <c r="A10114" s="17">
        <v>1007001.0</v>
      </c>
      <c r="B10114" s="17">
        <v>7121000.0</v>
      </c>
    </row>
    <row r="10115">
      <c r="A10115" s="17">
        <v>1007001.0</v>
      </c>
      <c r="B10115" s="17">
        <v>7121100.0</v>
      </c>
    </row>
    <row r="10116">
      <c r="A10116" s="17">
        <v>1007001.0</v>
      </c>
      <c r="B10116" s="17">
        <v>7121200.0</v>
      </c>
    </row>
    <row r="10117">
      <c r="A10117" s="17">
        <v>1007001.0</v>
      </c>
      <c r="B10117" s="17">
        <v>7121300.0</v>
      </c>
    </row>
    <row r="10118">
      <c r="A10118" s="17">
        <v>1007001.0</v>
      </c>
      <c r="B10118" s="17">
        <v>7121400.0</v>
      </c>
    </row>
    <row r="10119">
      <c r="A10119" s="17">
        <v>1007001.0</v>
      </c>
      <c r="B10119" s="17">
        <v>7121500.0</v>
      </c>
    </row>
    <row r="10120">
      <c r="A10120" s="17">
        <v>1007001.0</v>
      </c>
      <c r="B10120" s="17">
        <v>7121600.0</v>
      </c>
    </row>
    <row r="10121">
      <c r="A10121" s="17">
        <v>1007001.0</v>
      </c>
      <c r="B10121" s="17">
        <v>7121700.0</v>
      </c>
    </row>
    <row r="10122">
      <c r="A10122" s="17">
        <v>1007001.0</v>
      </c>
      <c r="B10122" s="17">
        <v>7121800.0</v>
      </c>
    </row>
    <row r="10123">
      <c r="A10123" s="17">
        <v>1007001.0</v>
      </c>
      <c r="B10123" s="17">
        <v>7121900.0</v>
      </c>
    </row>
    <row r="10124">
      <c r="A10124" s="17">
        <v>1007001.0</v>
      </c>
      <c r="B10124" s="17">
        <v>7122000.0</v>
      </c>
    </row>
    <row r="10125">
      <c r="A10125" s="17">
        <v>1007001.0</v>
      </c>
      <c r="B10125" s="17">
        <v>7122100.0</v>
      </c>
    </row>
    <row r="10126">
      <c r="A10126" s="17">
        <v>1007001.0</v>
      </c>
      <c r="B10126" s="17">
        <v>7122200.0</v>
      </c>
    </row>
    <row r="10127">
      <c r="A10127" s="17">
        <v>1007001.0</v>
      </c>
      <c r="B10127" s="17">
        <v>7122300.0</v>
      </c>
    </row>
    <row r="10128">
      <c r="A10128" s="17">
        <v>1007001.0</v>
      </c>
      <c r="B10128" s="17">
        <v>7122400.0</v>
      </c>
    </row>
    <row r="10129">
      <c r="A10129" s="17">
        <v>1007001.0</v>
      </c>
      <c r="B10129" s="17">
        <v>7122500.0</v>
      </c>
    </row>
    <row r="10130">
      <c r="A10130" s="17">
        <v>1007001.0</v>
      </c>
      <c r="B10130" s="17">
        <v>7122600.0</v>
      </c>
    </row>
    <row r="10131">
      <c r="A10131" s="17">
        <v>1007001.0</v>
      </c>
      <c r="B10131" s="17">
        <v>7122700.0</v>
      </c>
    </row>
    <row r="10132">
      <c r="A10132" s="17">
        <v>1007001.0</v>
      </c>
      <c r="B10132" s="17">
        <v>7122800.0</v>
      </c>
    </row>
    <row r="10133">
      <c r="A10133" s="17">
        <v>1007001.0</v>
      </c>
      <c r="B10133" s="17">
        <v>7122900.0</v>
      </c>
    </row>
    <row r="10134">
      <c r="A10134" s="17">
        <v>1007001.0</v>
      </c>
      <c r="B10134" s="17">
        <v>7123000.0</v>
      </c>
    </row>
    <row r="10135">
      <c r="A10135" s="17">
        <v>1007001.0</v>
      </c>
      <c r="B10135" s="17">
        <v>7123100.0</v>
      </c>
    </row>
    <row r="10136">
      <c r="A10136" s="17">
        <v>1007001.0</v>
      </c>
      <c r="B10136" s="17">
        <v>7123200.0</v>
      </c>
    </row>
    <row r="10137">
      <c r="A10137" s="17">
        <v>1007001.0</v>
      </c>
      <c r="B10137" s="17">
        <v>7123300.0</v>
      </c>
    </row>
    <row r="10138">
      <c r="A10138" s="17">
        <v>1007001.0</v>
      </c>
      <c r="B10138" s="17">
        <v>7123400.0</v>
      </c>
    </row>
    <row r="10139">
      <c r="A10139" s="17">
        <v>1007001.0</v>
      </c>
      <c r="B10139" s="17">
        <v>7123500.0</v>
      </c>
    </row>
    <row r="10140">
      <c r="A10140" s="17">
        <v>1007001.0</v>
      </c>
      <c r="B10140" s="17">
        <v>7123600.0</v>
      </c>
    </row>
    <row r="10141">
      <c r="A10141" s="17">
        <v>1007001.0</v>
      </c>
      <c r="B10141" s="17">
        <v>7123700.0</v>
      </c>
    </row>
    <row r="10142">
      <c r="A10142" s="17">
        <v>1007001.0</v>
      </c>
      <c r="B10142" s="17">
        <v>7123800.0</v>
      </c>
    </row>
    <row r="10143">
      <c r="A10143" s="17">
        <v>1007001.0</v>
      </c>
      <c r="B10143" s="17">
        <v>7123900.0</v>
      </c>
    </row>
    <row r="10144">
      <c r="A10144" s="17">
        <v>1007001.0</v>
      </c>
      <c r="B10144" s="17">
        <v>7124000.0</v>
      </c>
    </row>
    <row r="10145">
      <c r="A10145" s="17">
        <v>1007001.0</v>
      </c>
      <c r="B10145" s="17">
        <v>7124100.0</v>
      </c>
    </row>
    <row r="10146">
      <c r="A10146" s="17">
        <v>1007001.0</v>
      </c>
      <c r="B10146" s="17">
        <v>7124300.0</v>
      </c>
    </row>
    <row r="10147">
      <c r="A10147" s="17">
        <v>1007001.0</v>
      </c>
      <c r="B10147" s="17">
        <v>7124400.0</v>
      </c>
    </row>
    <row r="10148">
      <c r="A10148" s="17">
        <v>1007001.0</v>
      </c>
      <c r="B10148" s="17">
        <v>7124500.0</v>
      </c>
    </row>
    <row r="10149">
      <c r="A10149" s="17">
        <v>1007001.0</v>
      </c>
      <c r="B10149" s="17">
        <v>7124600.0</v>
      </c>
    </row>
    <row r="10150">
      <c r="A10150" s="17">
        <v>1007001.0</v>
      </c>
      <c r="B10150" s="17">
        <v>7124700.0</v>
      </c>
    </row>
    <row r="10151">
      <c r="A10151" s="17">
        <v>1007001.0</v>
      </c>
      <c r="B10151" s="17">
        <v>7126000.0</v>
      </c>
    </row>
    <row r="10152">
      <c r="A10152" s="17">
        <v>1007001.0</v>
      </c>
      <c r="B10152" s="17">
        <v>7150000.0</v>
      </c>
    </row>
    <row r="10153">
      <c r="A10153" s="17">
        <v>1007001.0</v>
      </c>
      <c r="B10153" s="17">
        <v>7160000.0</v>
      </c>
    </row>
    <row r="10154">
      <c r="A10154" s="17">
        <v>1007001.0</v>
      </c>
      <c r="B10154" s="17">
        <v>7220000.0</v>
      </c>
    </row>
    <row r="10155">
      <c r="A10155" s="17">
        <v>1007001.0</v>
      </c>
      <c r="B10155" s="17">
        <v>7230000.0</v>
      </c>
    </row>
    <row r="10156">
      <c r="A10156" s="17">
        <v>1007001.0</v>
      </c>
      <c r="B10156" s="17">
        <v>7240000.0</v>
      </c>
    </row>
    <row r="10157">
      <c r="A10157" s="17">
        <v>1007001.0</v>
      </c>
      <c r="B10157" s="17">
        <v>7260000.0</v>
      </c>
    </row>
    <row r="10158">
      <c r="A10158" s="17">
        <v>1007001.0</v>
      </c>
      <c r="B10158" s="17">
        <v>7260300.0</v>
      </c>
    </row>
    <row r="10159">
      <c r="A10159" s="17">
        <v>1007001.0</v>
      </c>
      <c r="B10159" s="17">
        <v>7260400.0</v>
      </c>
    </row>
    <row r="10160">
      <c r="A10160" s="17">
        <v>1007001.0</v>
      </c>
      <c r="B10160" s="17">
        <v>7270100.0</v>
      </c>
    </row>
    <row r="10161">
      <c r="A10161" s="17">
        <v>1007001.0</v>
      </c>
      <c r="B10161" s="17">
        <v>7280000.0</v>
      </c>
    </row>
    <row r="10162">
      <c r="A10162" s="17">
        <v>1007001.0</v>
      </c>
      <c r="B10162" s="17">
        <v>7290000.0</v>
      </c>
    </row>
    <row r="10163">
      <c r="A10163" s="17">
        <v>1007001.0</v>
      </c>
      <c r="B10163" s="17">
        <v>7310000.0</v>
      </c>
    </row>
    <row r="10164">
      <c r="A10164" s="17">
        <v>1007001.0</v>
      </c>
      <c r="B10164" s="17">
        <v>7330000.0</v>
      </c>
    </row>
    <row r="10165">
      <c r="A10165" s="17">
        <v>1007001.0</v>
      </c>
      <c r="B10165" s="17">
        <v>7330100.0</v>
      </c>
    </row>
    <row r="10166">
      <c r="A10166" s="17">
        <v>1007001.0</v>
      </c>
      <c r="B10166" s="17">
        <v>7330200.0</v>
      </c>
    </row>
    <row r="10167">
      <c r="A10167" s="17">
        <v>1007001.0</v>
      </c>
      <c r="B10167" s="17">
        <v>7330300.0</v>
      </c>
    </row>
    <row r="10168">
      <c r="A10168" s="17">
        <v>1007001.0</v>
      </c>
      <c r="B10168" s="17">
        <v>7330400.0</v>
      </c>
    </row>
    <row r="10169">
      <c r="A10169" s="17">
        <v>1007001.0</v>
      </c>
      <c r="B10169" s="17">
        <v>7330500.0</v>
      </c>
    </row>
    <row r="10170">
      <c r="A10170" s="17">
        <v>1007001.0</v>
      </c>
      <c r="B10170" s="17">
        <v>7330600.0</v>
      </c>
    </row>
    <row r="10171">
      <c r="A10171" s="17">
        <v>1007001.0</v>
      </c>
      <c r="B10171" s="17">
        <v>7330700.0</v>
      </c>
    </row>
    <row r="10172">
      <c r="A10172" s="17">
        <v>1007001.0</v>
      </c>
      <c r="B10172" s="17">
        <v>7330800.0</v>
      </c>
    </row>
    <row r="10173">
      <c r="A10173" s="17">
        <v>1007001.0</v>
      </c>
      <c r="B10173" s="17">
        <v>7330900.0</v>
      </c>
    </row>
    <row r="10174">
      <c r="A10174" s="17">
        <v>1007001.0</v>
      </c>
      <c r="B10174" s="17">
        <v>7331000.0</v>
      </c>
    </row>
    <row r="10175">
      <c r="A10175" s="17">
        <v>1007001.0</v>
      </c>
      <c r="B10175" s="17">
        <v>7331100.0</v>
      </c>
    </row>
    <row r="10176">
      <c r="A10176" s="17">
        <v>1007001.0</v>
      </c>
      <c r="B10176" s="17">
        <v>7331200.0</v>
      </c>
    </row>
    <row r="10177">
      <c r="A10177" s="17">
        <v>1007001.0</v>
      </c>
      <c r="B10177" s="17">
        <v>7331300.0</v>
      </c>
    </row>
    <row r="10178">
      <c r="A10178" s="17">
        <v>1007001.0</v>
      </c>
      <c r="B10178" s="17">
        <v>7331400.0</v>
      </c>
    </row>
    <row r="10179">
      <c r="A10179" s="17">
        <v>1007001.0</v>
      </c>
      <c r="B10179" s="17">
        <v>7331500.0</v>
      </c>
    </row>
    <row r="10180">
      <c r="A10180" s="17">
        <v>1007001.0</v>
      </c>
      <c r="B10180" s="17">
        <v>7331700.0</v>
      </c>
    </row>
    <row r="10181">
      <c r="A10181" s="17">
        <v>1007001.0</v>
      </c>
      <c r="B10181" s="17">
        <v>7331800.0</v>
      </c>
    </row>
    <row r="10182">
      <c r="A10182" s="17">
        <v>1007001.0</v>
      </c>
      <c r="B10182" s="17">
        <v>7331900.0</v>
      </c>
    </row>
    <row r="10183">
      <c r="A10183" s="17">
        <v>1007001.0</v>
      </c>
      <c r="B10183" s="17">
        <v>7332000.0</v>
      </c>
    </row>
    <row r="10184">
      <c r="A10184" s="17">
        <v>1007001.0</v>
      </c>
      <c r="B10184" s="17">
        <v>7332100.0</v>
      </c>
    </row>
    <row r="10185">
      <c r="A10185" s="17">
        <v>1007001.0</v>
      </c>
      <c r="B10185" s="17">
        <v>7332200.0</v>
      </c>
    </row>
    <row r="10186">
      <c r="A10186" s="17">
        <v>1007001.0</v>
      </c>
      <c r="B10186" s="17">
        <v>7332300.0</v>
      </c>
    </row>
    <row r="10187">
      <c r="A10187" s="17">
        <v>1007001.0</v>
      </c>
      <c r="B10187" s="17">
        <v>7332400.0</v>
      </c>
    </row>
    <row r="10188">
      <c r="A10188" s="17">
        <v>1007001.0</v>
      </c>
      <c r="B10188" s="17">
        <v>7340000.0</v>
      </c>
    </row>
    <row r="10189">
      <c r="A10189" s="17">
        <v>1007001.0</v>
      </c>
      <c r="B10189" s="17">
        <v>7340100.0</v>
      </c>
    </row>
    <row r="10190">
      <c r="A10190" s="17">
        <v>1007001.0</v>
      </c>
      <c r="B10190" s="17">
        <v>7340200.0</v>
      </c>
    </row>
    <row r="10191">
      <c r="A10191" s="17">
        <v>1007001.0</v>
      </c>
      <c r="B10191" s="17">
        <v>7340300.0</v>
      </c>
    </row>
    <row r="10192">
      <c r="A10192" s="17">
        <v>1007001.0</v>
      </c>
      <c r="B10192" s="17">
        <v>7340400.0</v>
      </c>
    </row>
    <row r="10193">
      <c r="A10193" s="17">
        <v>1007001.0</v>
      </c>
      <c r="B10193" s="17">
        <v>7340500.0</v>
      </c>
    </row>
    <row r="10194">
      <c r="A10194" s="17">
        <v>1007001.0</v>
      </c>
      <c r="B10194" s="17">
        <v>7340600.0</v>
      </c>
    </row>
    <row r="10195">
      <c r="A10195" s="17">
        <v>1007001.0</v>
      </c>
      <c r="B10195" s="17">
        <v>7340700.0</v>
      </c>
    </row>
    <row r="10196">
      <c r="A10196" s="17">
        <v>1007001.0</v>
      </c>
      <c r="B10196" s="17">
        <v>7340800.0</v>
      </c>
    </row>
    <row r="10197">
      <c r="A10197" s="17">
        <v>1007001.0</v>
      </c>
      <c r="B10197" s="17">
        <v>7340900.0</v>
      </c>
    </row>
    <row r="10198">
      <c r="A10198" s="17">
        <v>1007001.0</v>
      </c>
      <c r="B10198" s="17">
        <v>7341000.0</v>
      </c>
    </row>
    <row r="10199">
      <c r="A10199" s="17">
        <v>1007001.0</v>
      </c>
      <c r="B10199" s="17">
        <v>7341100.0</v>
      </c>
    </row>
    <row r="10200">
      <c r="A10200" s="17">
        <v>1007001.0</v>
      </c>
      <c r="B10200" s="17">
        <v>7341200.0</v>
      </c>
    </row>
    <row r="10201">
      <c r="A10201" s="17">
        <v>1007001.0</v>
      </c>
      <c r="B10201" s="17">
        <v>7341300.0</v>
      </c>
    </row>
    <row r="10202">
      <c r="A10202" s="17">
        <v>1007001.0</v>
      </c>
      <c r="B10202" s="17">
        <v>7341400.0</v>
      </c>
    </row>
    <row r="10203">
      <c r="A10203" s="17">
        <v>1007001.0</v>
      </c>
      <c r="B10203" s="17">
        <v>7341500.0</v>
      </c>
    </row>
    <row r="10204">
      <c r="A10204" s="17">
        <v>1007001.0</v>
      </c>
      <c r="B10204" s="17">
        <v>7341700.0</v>
      </c>
    </row>
    <row r="10205">
      <c r="A10205" s="17">
        <v>1007001.0</v>
      </c>
      <c r="B10205" s="17">
        <v>7341800.0</v>
      </c>
    </row>
    <row r="10206">
      <c r="A10206" s="17">
        <v>1007001.0</v>
      </c>
      <c r="B10206" s="17">
        <v>7341900.0</v>
      </c>
    </row>
    <row r="10207">
      <c r="A10207" s="17">
        <v>1007001.0</v>
      </c>
      <c r="B10207" s="17">
        <v>7342000.0</v>
      </c>
    </row>
    <row r="10208">
      <c r="A10208" s="17">
        <v>1007001.0</v>
      </c>
      <c r="B10208" s="17">
        <v>7342100.0</v>
      </c>
    </row>
    <row r="10209">
      <c r="A10209" s="17">
        <v>1007001.0</v>
      </c>
      <c r="B10209" s="17">
        <v>7342200.0</v>
      </c>
    </row>
    <row r="10210">
      <c r="A10210" s="17">
        <v>1007001.0</v>
      </c>
      <c r="B10210" s="17">
        <v>7342300.0</v>
      </c>
    </row>
    <row r="10211">
      <c r="A10211" s="17">
        <v>1007001.0</v>
      </c>
      <c r="B10211" s="17">
        <v>7342400.0</v>
      </c>
    </row>
    <row r="10212">
      <c r="A10212" s="17">
        <v>1007001.0</v>
      </c>
      <c r="B10212" s="17">
        <v>7350000.0</v>
      </c>
    </row>
    <row r="10213">
      <c r="A10213" s="17">
        <v>1007001.0</v>
      </c>
      <c r="B10213" s="17">
        <v>7350100.0</v>
      </c>
    </row>
    <row r="10214">
      <c r="A10214" s="17">
        <v>1007001.0</v>
      </c>
      <c r="B10214" s="17">
        <v>7350200.0</v>
      </c>
    </row>
    <row r="10215">
      <c r="A10215" s="17">
        <v>1007001.0</v>
      </c>
      <c r="B10215" s="17">
        <v>7350300.0</v>
      </c>
    </row>
    <row r="10216">
      <c r="A10216" s="17">
        <v>1007001.0</v>
      </c>
      <c r="B10216" s="17">
        <v>7350400.0</v>
      </c>
    </row>
    <row r="10217">
      <c r="A10217" s="17">
        <v>1007001.0</v>
      </c>
      <c r="B10217" s="17">
        <v>7350500.0</v>
      </c>
    </row>
    <row r="10218">
      <c r="A10218" s="17">
        <v>1007001.0</v>
      </c>
      <c r="B10218" s="17">
        <v>7350600.0</v>
      </c>
    </row>
    <row r="10219">
      <c r="A10219" s="17">
        <v>1007001.0</v>
      </c>
      <c r="B10219" s="17">
        <v>7350700.0</v>
      </c>
    </row>
    <row r="10220">
      <c r="A10220" s="17">
        <v>1007001.0</v>
      </c>
      <c r="B10220" s="17">
        <v>7350800.0</v>
      </c>
    </row>
    <row r="10221">
      <c r="A10221" s="17">
        <v>1007001.0</v>
      </c>
      <c r="B10221" s="17">
        <v>7350900.0</v>
      </c>
    </row>
    <row r="10222">
      <c r="A10222" s="17">
        <v>1007001.0</v>
      </c>
      <c r="B10222" s="17">
        <v>7351000.0</v>
      </c>
    </row>
    <row r="10223">
      <c r="A10223" s="17">
        <v>1007001.0</v>
      </c>
      <c r="B10223" s="17">
        <v>7351100.0</v>
      </c>
    </row>
    <row r="10224">
      <c r="A10224" s="17">
        <v>1007001.0</v>
      </c>
      <c r="B10224" s="17">
        <v>7351200.0</v>
      </c>
    </row>
    <row r="10225">
      <c r="A10225" s="17">
        <v>1007001.0</v>
      </c>
      <c r="B10225" s="17">
        <v>7351300.0</v>
      </c>
    </row>
    <row r="10226">
      <c r="A10226" s="17">
        <v>1007001.0</v>
      </c>
      <c r="B10226" s="17">
        <v>7351400.0</v>
      </c>
    </row>
    <row r="10227">
      <c r="A10227" s="17">
        <v>1007001.0</v>
      </c>
      <c r="B10227" s="17">
        <v>7351500.0</v>
      </c>
    </row>
    <row r="10228">
      <c r="A10228" s="17">
        <v>1007001.0</v>
      </c>
      <c r="B10228" s="17">
        <v>7351700.0</v>
      </c>
    </row>
    <row r="10229">
      <c r="A10229" s="17">
        <v>1007001.0</v>
      </c>
      <c r="B10229" s="17">
        <v>7351800.0</v>
      </c>
    </row>
    <row r="10230">
      <c r="A10230" s="17">
        <v>1007001.0</v>
      </c>
      <c r="B10230" s="17">
        <v>7351900.0</v>
      </c>
    </row>
    <row r="10231">
      <c r="A10231" s="17">
        <v>1007001.0</v>
      </c>
      <c r="B10231" s="17">
        <v>7352000.0</v>
      </c>
    </row>
    <row r="10232">
      <c r="A10232" s="17">
        <v>1007001.0</v>
      </c>
      <c r="B10232" s="17">
        <v>7352100.0</v>
      </c>
    </row>
    <row r="10233">
      <c r="A10233" s="17">
        <v>1007001.0</v>
      </c>
      <c r="B10233" s="17">
        <v>7352200.0</v>
      </c>
    </row>
    <row r="10234">
      <c r="A10234" s="17">
        <v>1007001.0</v>
      </c>
      <c r="B10234" s="17">
        <v>7352300.0</v>
      </c>
    </row>
    <row r="10235">
      <c r="A10235" s="17">
        <v>1007001.0</v>
      </c>
      <c r="B10235" s="17">
        <v>7352400.0</v>
      </c>
    </row>
    <row r="10236">
      <c r="A10236" s="17">
        <v>1007001.0</v>
      </c>
      <c r="B10236" s="17">
        <v>7360600.0</v>
      </c>
    </row>
    <row r="10237">
      <c r="A10237" s="17">
        <v>1007001.0</v>
      </c>
      <c r="B10237" s="17">
        <v>7360900.0</v>
      </c>
    </row>
    <row r="10238">
      <c r="A10238" s="17">
        <v>1007001.0</v>
      </c>
      <c r="B10238" s="17">
        <v>7361200.0</v>
      </c>
    </row>
    <row r="10239">
      <c r="A10239" s="17">
        <v>1007001.0</v>
      </c>
      <c r="B10239" s="17">
        <v>7361300.0</v>
      </c>
    </row>
    <row r="10240">
      <c r="A10240" s="17">
        <v>1007001.0</v>
      </c>
      <c r="B10240" s="17">
        <v>7362100.0</v>
      </c>
    </row>
    <row r="10241">
      <c r="A10241" s="17">
        <v>1007001.0</v>
      </c>
      <c r="B10241" s="17">
        <v>7370300.0</v>
      </c>
    </row>
    <row r="10242">
      <c r="A10242" s="17">
        <v>1007001.0</v>
      </c>
      <c r="B10242" s="17">
        <v>7370400.0</v>
      </c>
    </row>
    <row r="10243">
      <c r="A10243" s="17">
        <v>1007001.0</v>
      </c>
      <c r="B10243" s="17">
        <v>7370600.0</v>
      </c>
    </row>
    <row r="10244">
      <c r="A10244" s="17">
        <v>1007001.0</v>
      </c>
      <c r="B10244" s="17">
        <v>7370900.0</v>
      </c>
    </row>
    <row r="10245">
      <c r="A10245" s="17">
        <v>1007001.0</v>
      </c>
      <c r="B10245" s="17">
        <v>7371500.0</v>
      </c>
    </row>
    <row r="10246">
      <c r="A10246" s="17">
        <v>1007001.0</v>
      </c>
      <c r="B10246" s="17">
        <v>7036200.0</v>
      </c>
    </row>
    <row r="10247">
      <c r="A10247" s="17">
        <v>1007001.0</v>
      </c>
      <c r="B10247" s="17">
        <v>7036300.0</v>
      </c>
    </row>
    <row r="10248">
      <c r="A10248" s="17">
        <v>1007001.0</v>
      </c>
      <c r="B10248" s="17">
        <v>7036400.0</v>
      </c>
    </row>
    <row r="10249">
      <c r="A10249" s="17">
        <v>1007001.0</v>
      </c>
      <c r="B10249" s="17">
        <v>7036500.0</v>
      </c>
    </row>
    <row r="10250">
      <c r="A10250" s="17">
        <v>1007001.0</v>
      </c>
      <c r="B10250" s="17">
        <v>7036800.0</v>
      </c>
    </row>
    <row r="10251">
      <c r="A10251" s="17">
        <v>1007001.0</v>
      </c>
      <c r="B10251" s="17">
        <v>7036900.0</v>
      </c>
    </row>
    <row r="10252">
      <c r="A10252" s="17">
        <v>1007001.0</v>
      </c>
      <c r="B10252" s="17">
        <v>7037000.0</v>
      </c>
    </row>
    <row r="10253">
      <c r="A10253" s="17">
        <v>1007001.0</v>
      </c>
      <c r="B10253" s="17">
        <v>7037300.0</v>
      </c>
    </row>
    <row r="10254">
      <c r="A10254" s="17">
        <v>1007001.0</v>
      </c>
      <c r="B10254" s="17">
        <v>6630000.0</v>
      </c>
    </row>
    <row r="10255">
      <c r="A10255" s="17">
        <v>1007001.0</v>
      </c>
      <c r="B10255" s="17">
        <v>6630100.0</v>
      </c>
    </row>
    <row r="10256">
      <c r="A10256" s="17">
        <v>1007001.0</v>
      </c>
      <c r="B10256" s="17">
        <v>6630200.0</v>
      </c>
    </row>
    <row r="10257">
      <c r="A10257" s="17">
        <v>1007001.0</v>
      </c>
      <c r="B10257" s="17">
        <v>6630300.0</v>
      </c>
    </row>
    <row r="10258">
      <c r="A10258" s="17">
        <v>1007001.0</v>
      </c>
      <c r="B10258" s="17">
        <v>6630400.0</v>
      </c>
    </row>
    <row r="10259">
      <c r="A10259" s="17">
        <v>1007001.0</v>
      </c>
      <c r="B10259" s="17">
        <v>6630500.0</v>
      </c>
    </row>
    <row r="10260">
      <c r="A10260" s="17">
        <v>1007001.0</v>
      </c>
      <c r="B10260" s="17">
        <v>6630600.0</v>
      </c>
    </row>
    <row r="10261">
      <c r="A10261" s="17">
        <v>1007001.0</v>
      </c>
      <c r="B10261" s="17">
        <v>6630700.0</v>
      </c>
    </row>
    <row r="10262">
      <c r="A10262" s="17">
        <v>1007001.0</v>
      </c>
      <c r="B10262" s="17">
        <v>6630800.0</v>
      </c>
    </row>
    <row r="10263">
      <c r="A10263" s="17">
        <v>1007001.0</v>
      </c>
      <c r="B10263" s="17">
        <v>6630900.0</v>
      </c>
    </row>
    <row r="10264">
      <c r="A10264" s="17">
        <v>1007001.0</v>
      </c>
      <c r="B10264" s="17">
        <v>6631000.0</v>
      </c>
    </row>
    <row r="10265">
      <c r="A10265" s="17">
        <v>1007001.0</v>
      </c>
      <c r="B10265" s="17">
        <v>6631100.0</v>
      </c>
    </row>
    <row r="10266">
      <c r="A10266" s="17">
        <v>1007001.0</v>
      </c>
      <c r="B10266" s="17">
        <v>6631200.0</v>
      </c>
    </row>
    <row r="10267">
      <c r="A10267" s="17">
        <v>1007001.0</v>
      </c>
      <c r="B10267" s="17">
        <v>6631300.0</v>
      </c>
    </row>
    <row r="10268">
      <c r="A10268" s="17">
        <v>1007001.0</v>
      </c>
      <c r="B10268" s="17">
        <v>6631400.0</v>
      </c>
    </row>
    <row r="10269">
      <c r="A10269" s="17">
        <v>1007001.0</v>
      </c>
      <c r="B10269" s="17">
        <v>6631500.0</v>
      </c>
    </row>
    <row r="10270">
      <c r="A10270" s="17">
        <v>1007001.0</v>
      </c>
      <c r="B10270" s="17">
        <v>6631600.0</v>
      </c>
    </row>
    <row r="10271">
      <c r="A10271" s="17">
        <v>1007001.0</v>
      </c>
      <c r="B10271" s="17">
        <v>6631700.0</v>
      </c>
    </row>
    <row r="10272">
      <c r="A10272" s="17">
        <v>1007001.0</v>
      </c>
      <c r="B10272" s="17">
        <v>6631800.0</v>
      </c>
    </row>
    <row r="10273">
      <c r="A10273" s="17">
        <v>1007001.0</v>
      </c>
      <c r="B10273" s="17">
        <v>6631900.0</v>
      </c>
    </row>
    <row r="10274">
      <c r="A10274" s="17">
        <v>1007001.0</v>
      </c>
      <c r="B10274" s="17">
        <v>6632000.0</v>
      </c>
    </row>
    <row r="10275">
      <c r="A10275" s="17">
        <v>1007001.0</v>
      </c>
      <c r="B10275" s="17">
        <v>6632100.0</v>
      </c>
    </row>
    <row r="10276">
      <c r="A10276" s="17">
        <v>1007001.0</v>
      </c>
      <c r="B10276" s="17">
        <v>6632200.0</v>
      </c>
    </row>
    <row r="10277">
      <c r="A10277" s="17">
        <v>1007001.0</v>
      </c>
      <c r="B10277" s="17">
        <v>6632300.0</v>
      </c>
    </row>
    <row r="10278">
      <c r="A10278" s="17">
        <v>1007001.0</v>
      </c>
      <c r="B10278" s="17">
        <v>6632400.0</v>
      </c>
    </row>
    <row r="10279">
      <c r="A10279" s="17">
        <v>1007001.0</v>
      </c>
      <c r="B10279" s="17">
        <v>6632500.0</v>
      </c>
    </row>
    <row r="10280">
      <c r="A10280" s="17">
        <v>1007001.0</v>
      </c>
      <c r="B10280" s="17">
        <v>6632600.0</v>
      </c>
    </row>
    <row r="10281">
      <c r="A10281" s="17">
        <v>1007001.0</v>
      </c>
      <c r="B10281" s="17">
        <v>6632700.0</v>
      </c>
    </row>
    <row r="10282">
      <c r="A10282" s="17">
        <v>1007001.0</v>
      </c>
      <c r="B10282" s="17">
        <v>6632800.0</v>
      </c>
    </row>
    <row r="10283">
      <c r="A10283" s="17">
        <v>1007001.0</v>
      </c>
      <c r="B10283" s="17">
        <v>6632900.0</v>
      </c>
    </row>
    <row r="10284">
      <c r="A10284" s="17">
        <v>1007001.0</v>
      </c>
      <c r="B10284" s="17">
        <v>6633000.0</v>
      </c>
    </row>
    <row r="10285">
      <c r="A10285" s="17">
        <v>1007001.0</v>
      </c>
      <c r="B10285" s="17">
        <v>6633100.0</v>
      </c>
    </row>
    <row r="10286">
      <c r="A10286" s="17">
        <v>1007001.0</v>
      </c>
      <c r="B10286" s="17">
        <v>6633200.0</v>
      </c>
    </row>
    <row r="10287">
      <c r="A10287" s="17">
        <v>1007001.0</v>
      </c>
      <c r="B10287" s="17">
        <v>6647200.0</v>
      </c>
    </row>
    <row r="10288">
      <c r="A10288" s="17">
        <v>1007001.0</v>
      </c>
      <c r="B10288" s="17">
        <v>6647300.0</v>
      </c>
    </row>
    <row r="10289">
      <c r="A10289" s="17">
        <v>1007001.0</v>
      </c>
      <c r="B10289" s="17">
        <v>6647400.0</v>
      </c>
    </row>
    <row r="10290">
      <c r="A10290" s="17">
        <v>1007001.0</v>
      </c>
      <c r="B10290" s="17">
        <v>6647500.0</v>
      </c>
    </row>
    <row r="10291">
      <c r="A10291" s="17">
        <v>1007001.0</v>
      </c>
      <c r="B10291" s="17">
        <v>6640000.0</v>
      </c>
    </row>
    <row r="10292">
      <c r="A10292" s="17">
        <v>1007001.0</v>
      </c>
      <c r="B10292" s="17">
        <v>6640100.0</v>
      </c>
    </row>
    <row r="10293">
      <c r="A10293" s="17">
        <v>1007001.0</v>
      </c>
      <c r="B10293" s="17">
        <v>6641000.0</v>
      </c>
    </row>
    <row r="10294">
      <c r="A10294" s="17">
        <v>1007001.0</v>
      </c>
      <c r="B10294" s="17">
        <v>6641100.0</v>
      </c>
    </row>
    <row r="10295">
      <c r="A10295" s="17">
        <v>1007001.0</v>
      </c>
      <c r="B10295" s="17">
        <v>6642000.0</v>
      </c>
    </row>
    <row r="10296">
      <c r="A10296" s="17">
        <v>1007001.0</v>
      </c>
      <c r="B10296" s="17">
        <v>6642100.0</v>
      </c>
    </row>
    <row r="10297">
      <c r="A10297" s="17">
        <v>1007001.0</v>
      </c>
      <c r="B10297" s="17">
        <v>6643000.0</v>
      </c>
    </row>
    <row r="10298">
      <c r="A10298" s="17">
        <v>1007001.0</v>
      </c>
      <c r="B10298" s="17">
        <v>6643100.0</v>
      </c>
    </row>
    <row r="10299">
      <c r="A10299" s="17">
        <v>1007001.0</v>
      </c>
      <c r="B10299" s="17">
        <v>6644000.0</v>
      </c>
    </row>
    <row r="10300">
      <c r="A10300" s="17">
        <v>1007001.0</v>
      </c>
      <c r="B10300" s="17">
        <v>6644100.0</v>
      </c>
    </row>
    <row r="10301">
      <c r="A10301" s="17">
        <v>1007001.0</v>
      </c>
      <c r="B10301" s="17">
        <v>6645000.0</v>
      </c>
    </row>
    <row r="10302">
      <c r="A10302" s="17">
        <v>1007001.0</v>
      </c>
      <c r="B10302" s="17">
        <v>6645100.0</v>
      </c>
    </row>
    <row r="10303">
      <c r="A10303" s="17">
        <v>1007001.0</v>
      </c>
      <c r="B10303" s="17">
        <v>6646000.0</v>
      </c>
    </row>
    <row r="10304">
      <c r="A10304" s="17">
        <v>1007001.0</v>
      </c>
      <c r="B10304" s="17">
        <v>6646100.0</v>
      </c>
    </row>
    <row r="10305">
      <c r="A10305" s="17">
        <v>1007001.0</v>
      </c>
      <c r="B10305" s="17">
        <v>6647000.0</v>
      </c>
    </row>
    <row r="10306">
      <c r="A10306" s="17">
        <v>1007001.0</v>
      </c>
      <c r="B10306" s="17">
        <v>6647100.0</v>
      </c>
    </row>
    <row r="10307">
      <c r="A10307" s="17">
        <v>1007002.0</v>
      </c>
      <c r="B10307" s="17">
        <v>7000000.0</v>
      </c>
    </row>
    <row r="10308">
      <c r="A10308" s="17">
        <v>1007002.0</v>
      </c>
      <c r="B10308" s="17">
        <v>7000001.0</v>
      </c>
    </row>
    <row r="10309">
      <c r="A10309" s="17">
        <v>1007002.0</v>
      </c>
      <c r="B10309" s="17">
        <v>7000002.0</v>
      </c>
    </row>
    <row r="10310">
      <c r="A10310" s="17">
        <v>1007002.0</v>
      </c>
      <c r="B10310" s="17">
        <v>7000100.0</v>
      </c>
    </row>
    <row r="10311">
      <c r="A10311" s="17">
        <v>1007002.0</v>
      </c>
      <c r="B10311" s="17">
        <v>7000101.0</v>
      </c>
    </row>
    <row r="10312">
      <c r="A10312" s="17">
        <v>1007002.0</v>
      </c>
      <c r="B10312" s="17">
        <v>7000102.0</v>
      </c>
    </row>
    <row r="10313">
      <c r="A10313" s="17">
        <v>1007002.0</v>
      </c>
      <c r="B10313" s="17">
        <v>7000200.0</v>
      </c>
    </row>
    <row r="10314">
      <c r="A10314" s="17">
        <v>1007002.0</v>
      </c>
      <c r="B10314" s="17">
        <v>7000201.0</v>
      </c>
    </row>
    <row r="10315">
      <c r="A10315" s="17">
        <v>1007002.0</v>
      </c>
      <c r="B10315" s="17">
        <v>7000202.0</v>
      </c>
    </row>
    <row r="10316">
      <c r="A10316" s="17">
        <v>1007002.0</v>
      </c>
      <c r="B10316" s="17">
        <v>7000300.0</v>
      </c>
    </row>
    <row r="10317">
      <c r="A10317" s="17">
        <v>1007002.0</v>
      </c>
      <c r="B10317" s="17">
        <v>7000301.0</v>
      </c>
    </row>
    <row r="10318">
      <c r="A10318" s="17">
        <v>1007002.0</v>
      </c>
      <c r="B10318" s="17">
        <v>7000302.0</v>
      </c>
    </row>
    <row r="10319">
      <c r="A10319" s="17">
        <v>1007002.0</v>
      </c>
      <c r="B10319" s="17">
        <v>7000400.0</v>
      </c>
    </row>
    <row r="10320">
      <c r="A10320" s="17">
        <v>1007002.0</v>
      </c>
      <c r="B10320" s="17">
        <v>7000401.0</v>
      </c>
    </row>
    <row r="10321">
      <c r="A10321" s="17">
        <v>1007002.0</v>
      </c>
      <c r="B10321" s="17">
        <v>7000402.0</v>
      </c>
    </row>
    <row r="10322">
      <c r="A10322" s="17">
        <v>1007002.0</v>
      </c>
      <c r="B10322" s="17">
        <v>7000500.0</v>
      </c>
    </row>
    <row r="10323">
      <c r="A10323" s="17">
        <v>1007002.0</v>
      </c>
      <c r="B10323" s="17">
        <v>7000501.0</v>
      </c>
    </row>
    <row r="10324">
      <c r="A10324" s="17">
        <v>1007002.0</v>
      </c>
      <c r="B10324" s="17">
        <v>7000502.0</v>
      </c>
    </row>
    <row r="10325">
      <c r="A10325" s="17">
        <v>1007002.0</v>
      </c>
      <c r="B10325" s="17">
        <v>7000600.0</v>
      </c>
    </row>
    <row r="10326">
      <c r="A10326" s="17">
        <v>1007002.0</v>
      </c>
      <c r="B10326" s="17">
        <v>7000601.0</v>
      </c>
    </row>
    <row r="10327">
      <c r="A10327" s="17">
        <v>1007002.0</v>
      </c>
      <c r="B10327" s="17">
        <v>7000602.0</v>
      </c>
    </row>
    <row r="10328">
      <c r="A10328" s="17">
        <v>1007002.0</v>
      </c>
      <c r="B10328" s="17">
        <v>7000700.0</v>
      </c>
    </row>
    <row r="10329">
      <c r="A10329" s="17">
        <v>1007002.0</v>
      </c>
      <c r="B10329" s="17">
        <v>7000701.0</v>
      </c>
    </row>
    <row r="10330">
      <c r="A10330" s="17">
        <v>1007002.0</v>
      </c>
      <c r="B10330" s="17">
        <v>7000702.0</v>
      </c>
    </row>
    <row r="10331">
      <c r="A10331" s="17">
        <v>1007002.0</v>
      </c>
      <c r="B10331" s="17">
        <v>7000800.0</v>
      </c>
    </row>
    <row r="10332">
      <c r="A10332" s="17">
        <v>1007002.0</v>
      </c>
      <c r="B10332" s="17">
        <v>7000801.0</v>
      </c>
    </row>
    <row r="10333">
      <c r="A10333" s="17">
        <v>1007002.0</v>
      </c>
      <c r="B10333" s="17">
        <v>7000802.0</v>
      </c>
    </row>
    <row r="10334">
      <c r="A10334" s="17">
        <v>1007002.0</v>
      </c>
      <c r="B10334" s="17">
        <v>7000900.0</v>
      </c>
    </row>
    <row r="10335">
      <c r="A10335" s="17">
        <v>1007002.0</v>
      </c>
      <c r="B10335" s="17">
        <v>7000901.0</v>
      </c>
    </row>
    <row r="10336">
      <c r="A10336" s="17">
        <v>1007002.0</v>
      </c>
      <c r="B10336" s="17">
        <v>7000902.0</v>
      </c>
    </row>
    <row r="10337">
      <c r="A10337" s="17">
        <v>1007002.0</v>
      </c>
      <c r="B10337" s="17">
        <v>7001000.0</v>
      </c>
    </row>
    <row r="10338">
      <c r="A10338" s="17">
        <v>1007002.0</v>
      </c>
      <c r="B10338" s="17">
        <v>7001001.0</v>
      </c>
    </row>
    <row r="10339">
      <c r="A10339" s="17">
        <v>1007002.0</v>
      </c>
      <c r="B10339" s="17">
        <v>7001002.0</v>
      </c>
    </row>
    <row r="10340">
      <c r="A10340" s="17">
        <v>1007002.0</v>
      </c>
      <c r="B10340" s="17">
        <v>7001400.0</v>
      </c>
    </row>
    <row r="10341">
      <c r="A10341" s="17">
        <v>1007002.0</v>
      </c>
      <c r="B10341" s="17">
        <v>7001401.0</v>
      </c>
    </row>
    <row r="10342">
      <c r="A10342" s="17">
        <v>1007002.0</v>
      </c>
      <c r="B10342" s="17">
        <v>7001402.0</v>
      </c>
    </row>
    <row r="10343">
      <c r="A10343" s="17">
        <v>1007002.0</v>
      </c>
      <c r="B10343" s="17">
        <v>7001500.0</v>
      </c>
    </row>
    <row r="10344">
      <c r="A10344" s="17">
        <v>1007002.0</v>
      </c>
      <c r="B10344" s="17">
        <v>7001501.0</v>
      </c>
    </row>
    <row r="10345">
      <c r="A10345" s="17">
        <v>1007002.0</v>
      </c>
      <c r="B10345" s="17">
        <v>7001502.0</v>
      </c>
    </row>
    <row r="10346">
      <c r="A10346" s="17">
        <v>1007002.0</v>
      </c>
      <c r="B10346" s="17">
        <v>7001600.0</v>
      </c>
    </row>
    <row r="10347">
      <c r="A10347" s="17">
        <v>1007002.0</v>
      </c>
      <c r="B10347" s="17">
        <v>7001601.0</v>
      </c>
    </row>
    <row r="10348">
      <c r="A10348" s="17">
        <v>1007002.0</v>
      </c>
      <c r="B10348" s="17">
        <v>7001602.0</v>
      </c>
    </row>
    <row r="10349">
      <c r="A10349" s="17">
        <v>1007002.0</v>
      </c>
      <c r="B10349" s="17">
        <v>7001700.0</v>
      </c>
    </row>
    <row r="10350">
      <c r="A10350" s="17">
        <v>1007002.0</v>
      </c>
      <c r="B10350" s="17">
        <v>7001701.0</v>
      </c>
    </row>
    <row r="10351">
      <c r="A10351" s="17">
        <v>1007002.0</v>
      </c>
      <c r="B10351" s="17">
        <v>7001702.0</v>
      </c>
    </row>
    <row r="10352">
      <c r="A10352" s="17">
        <v>1007002.0</v>
      </c>
      <c r="B10352" s="17">
        <v>7001800.0</v>
      </c>
    </row>
    <row r="10353">
      <c r="A10353" s="17">
        <v>1007002.0</v>
      </c>
      <c r="B10353" s="17">
        <v>7001801.0</v>
      </c>
    </row>
    <row r="10354">
      <c r="A10354" s="17">
        <v>1007002.0</v>
      </c>
      <c r="B10354" s="17">
        <v>7001802.0</v>
      </c>
    </row>
    <row r="10355">
      <c r="A10355" s="17">
        <v>1007002.0</v>
      </c>
      <c r="B10355" s="17">
        <v>7002600.0</v>
      </c>
    </row>
    <row r="10356">
      <c r="A10356" s="17">
        <v>1007002.0</v>
      </c>
      <c r="B10356" s="17">
        <v>7002700.0</v>
      </c>
    </row>
    <row r="10357">
      <c r="A10357" s="17">
        <v>1007002.0</v>
      </c>
      <c r="B10357" s="17">
        <v>7002800.0</v>
      </c>
    </row>
    <row r="10358">
      <c r="A10358" s="17">
        <v>1007002.0</v>
      </c>
      <c r="B10358" s="17">
        <v>7002900.0</v>
      </c>
    </row>
    <row r="10359">
      <c r="A10359" s="17">
        <v>1007002.0</v>
      </c>
      <c r="B10359" s="17">
        <v>7003000.0</v>
      </c>
    </row>
    <row r="10360">
      <c r="A10360" s="17">
        <v>1007002.0</v>
      </c>
      <c r="B10360" s="17">
        <v>7003100.0</v>
      </c>
    </row>
    <row r="10361">
      <c r="A10361" s="17">
        <v>1007002.0</v>
      </c>
      <c r="B10361" s="17">
        <v>7003200.0</v>
      </c>
    </row>
    <row r="10362">
      <c r="A10362" s="17">
        <v>1007002.0</v>
      </c>
      <c r="B10362" s="17">
        <v>7003300.0</v>
      </c>
    </row>
    <row r="10363">
      <c r="A10363" s="17">
        <v>1007002.0</v>
      </c>
      <c r="B10363" s="17">
        <v>7003400.0</v>
      </c>
    </row>
    <row r="10364">
      <c r="A10364" s="17">
        <v>1007002.0</v>
      </c>
      <c r="B10364" s="17">
        <v>7003500.0</v>
      </c>
    </row>
    <row r="10365">
      <c r="A10365" s="17">
        <v>1007002.0</v>
      </c>
      <c r="B10365" s="17">
        <v>7003600.0</v>
      </c>
    </row>
    <row r="10366">
      <c r="A10366" s="17">
        <v>1007002.0</v>
      </c>
      <c r="B10366" s="17">
        <v>7005600.0</v>
      </c>
    </row>
    <row r="10367">
      <c r="A10367" s="17">
        <v>1007002.0</v>
      </c>
      <c r="B10367" s="17">
        <v>7006000.0</v>
      </c>
    </row>
    <row r="10368">
      <c r="A10368" s="17">
        <v>1007002.0</v>
      </c>
      <c r="B10368" s="17">
        <v>7006100.0</v>
      </c>
    </row>
    <row r="10369">
      <c r="A10369" s="17">
        <v>1007002.0</v>
      </c>
      <c r="B10369" s="17">
        <v>7010200.0</v>
      </c>
    </row>
    <row r="10370">
      <c r="A10370" s="17">
        <v>1007002.0</v>
      </c>
      <c r="B10370" s="17">
        <v>7010500.0</v>
      </c>
    </row>
    <row r="10371">
      <c r="A10371" s="17">
        <v>1007002.0</v>
      </c>
      <c r="B10371" s="17">
        <v>7010700.0</v>
      </c>
    </row>
    <row r="10372">
      <c r="A10372" s="17">
        <v>1007002.0</v>
      </c>
      <c r="B10372" s="17">
        <v>7010900.0</v>
      </c>
    </row>
    <row r="10373">
      <c r="A10373" s="17">
        <v>1007002.0</v>
      </c>
      <c r="B10373" s="17">
        <v>7011000.0</v>
      </c>
    </row>
    <row r="10374">
      <c r="A10374" s="17">
        <v>1007002.0</v>
      </c>
      <c r="B10374" s="17">
        <v>7011200.0</v>
      </c>
    </row>
    <row r="10375">
      <c r="A10375" s="17">
        <v>1007002.0</v>
      </c>
      <c r="B10375" s="17">
        <v>7011600.0</v>
      </c>
    </row>
    <row r="10376">
      <c r="A10376" s="17">
        <v>1007002.0</v>
      </c>
      <c r="B10376" s="17">
        <v>7011700.0</v>
      </c>
    </row>
    <row r="10377">
      <c r="A10377" s="17">
        <v>1007002.0</v>
      </c>
      <c r="B10377" s="17">
        <v>7012000.0</v>
      </c>
    </row>
    <row r="10378">
      <c r="A10378" s="17">
        <v>1007002.0</v>
      </c>
      <c r="B10378" s="17">
        <v>7012200.0</v>
      </c>
    </row>
    <row r="10379">
      <c r="A10379" s="17">
        <v>1007002.0</v>
      </c>
      <c r="B10379" s="17">
        <v>7012300.0</v>
      </c>
    </row>
    <row r="10380">
      <c r="A10380" s="17">
        <v>1007002.0</v>
      </c>
      <c r="B10380" s="17">
        <v>7020000.0</v>
      </c>
    </row>
    <row r="10381">
      <c r="A10381" s="17">
        <v>1007002.0</v>
      </c>
      <c r="B10381" s="17">
        <v>7030000.0</v>
      </c>
    </row>
    <row r="10382">
      <c r="A10382" s="17">
        <v>1007002.0</v>
      </c>
      <c r="B10382" s="17">
        <v>7030200.0</v>
      </c>
    </row>
    <row r="10383">
      <c r="A10383" s="17">
        <v>1007002.0</v>
      </c>
      <c r="B10383" s="17">
        <v>7030600.0</v>
      </c>
    </row>
    <row r="10384">
      <c r="A10384" s="17">
        <v>1007002.0</v>
      </c>
      <c r="B10384" s="17">
        <v>7030700.0</v>
      </c>
    </row>
    <row r="10385">
      <c r="A10385" s="17">
        <v>1007002.0</v>
      </c>
      <c r="B10385" s="17">
        <v>7030800.0</v>
      </c>
    </row>
    <row r="10386">
      <c r="A10386" s="17">
        <v>1007002.0</v>
      </c>
      <c r="B10386" s="17">
        <v>7030900.0</v>
      </c>
    </row>
    <row r="10387">
      <c r="A10387" s="17">
        <v>1007002.0</v>
      </c>
      <c r="B10387" s="17">
        <v>7031200.0</v>
      </c>
    </row>
    <row r="10388">
      <c r="A10388" s="17">
        <v>1007002.0</v>
      </c>
      <c r="B10388" s="17">
        <v>7031300.0</v>
      </c>
    </row>
    <row r="10389">
      <c r="A10389" s="17">
        <v>1007002.0</v>
      </c>
      <c r="B10389" s="17">
        <v>7031800.0</v>
      </c>
    </row>
    <row r="10390">
      <c r="A10390" s="17">
        <v>1007002.0</v>
      </c>
      <c r="B10390" s="17">
        <v>7031900.0</v>
      </c>
    </row>
    <row r="10391">
      <c r="A10391" s="17">
        <v>1007002.0</v>
      </c>
      <c r="B10391" s="17">
        <v>7032200.0</v>
      </c>
    </row>
    <row r="10392">
      <c r="A10392" s="17">
        <v>1007002.0</v>
      </c>
      <c r="B10392" s="17">
        <v>7032400.0</v>
      </c>
    </row>
    <row r="10393">
      <c r="A10393" s="17">
        <v>1007002.0</v>
      </c>
      <c r="B10393" s="17">
        <v>7032700.0</v>
      </c>
    </row>
    <row r="10394">
      <c r="A10394" s="17">
        <v>1007002.0</v>
      </c>
      <c r="B10394" s="17">
        <v>7032800.0</v>
      </c>
    </row>
    <row r="10395">
      <c r="A10395" s="17">
        <v>1007002.0</v>
      </c>
      <c r="B10395" s="17">
        <v>7032900.0</v>
      </c>
    </row>
    <row r="10396">
      <c r="A10396" s="17">
        <v>1007002.0</v>
      </c>
      <c r="B10396" s="17">
        <v>7033200.0</v>
      </c>
    </row>
    <row r="10397">
      <c r="A10397" s="17">
        <v>1007002.0</v>
      </c>
      <c r="B10397" s="17">
        <v>7033400.0</v>
      </c>
    </row>
    <row r="10398">
      <c r="A10398" s="17">
        <v>1007002.0</v>
      </c>
      <c r="B10398" s="17">
        <v>7034100.0</v>
      </c>
    </row>
    <row r="10399">
      <c r="A10399" s="17">
        <v>1007002.0</v>
      </c>
      <c r="B10399" s="17">
        <v>7034400.0</v>
      </c>
    </row>
    <row r="10400">
      <c r="A10400" s="17">
        <v>1007002.0</v>
      </c>
      <c r="B10400" s="17">
        <v>7034500.0</v>
      </c>
    </row>
    <row r="10401">
      <c r="A10401" s="17">
        <v>1007002.0</v>
      </c>
      <c r="B10401" s="17">
        <v>7034600.0</v>
      </c>
    </row>
    <row r="10402">
      <c r="A10402" s="17">
        <v>1007002.0</v>
      </c>
      <c r="B10402" s="17">
        <v>7034700.0</v>
      </c>
    </row>
    <row r="10403">
      <c r="A10403" s="17">
        <v>1007002.0</v>
      </c>
      <c r="B10403" s="17">
        <v>7035100.0</v>
      </c>
    </row>
    <row r="10404">
      <c r="A10404" s="17">
        <v>1007002.0</v>
      </c>
      <c r="B10404" s="17">
        <v>7036100.0</v>
      </c>
    </row>
    <row r="10405">
      <c r="A10405" s="17">
        <v>1007002.0</v>
      </c>
      <c r="B10405" s="17">
        <v>7040000.0</v>
      </c>
    </row>
    <row r="10406">
      <c r="A10406" s="17">
        <v>1007002.0</v>
      </c>
      <c r="B10406" s="17">
        <v>7040100.0</v>
      </c>
    </row>
    <row r="10407">
      <c r="A10407" s="17">
        <v>1007002.0</v>
      </c>
      <c r="B10407" s="17">
        <v>7040200.0</v>
      </c>
    </row>
    <row r="10408">
      <c r="A10408" s="17">
        <v>1007002.0</v>
      </c>
      <c r="B10408" s="17">
        <v>7040300.0</v>
      </c>
    </row>
    <row r="10409">
      <c r="A10409" s="17">
        <v>1007002.0</v>
      </c>
      <c r="B10409" s="17">
        <v>7040400.0</v>
      </c>
    </row>
    <row r="10410">
      <c r="A10410" s="17">
        <v>1007002.0</v>
      </c>
      <c r="B10410" s="17">
        <v>7040500.0</v>
      </c>
    </row>
    <row r="10411">
      <c r="A10411" s="17">
        <v>1007002.0</v>
      </c>
      <c r="B10411" s="17">
        <v>7043000.0</v>
      </c>
    </row>
    <row r="10412">
      <c r="A10412" s="17">
        <v>1007002.0</v>
      </c>
      <c r="B10412" s="17">
        <v>7043100.0</v>
      </c>
    </row>
    <row r="10413">
      <c r="A10413" s="17">
        <v>1007002.0</v>
      </c>
      <c r="B10413" s="17">
        <v>7043200.0</v>
      </c>
    </row>
    <row r="10414">
      <c r="A10414" s="17">
        <v>1007002.0</v>
      </c>
      <c r="B10414" s="17">
        <v>7043300.0</v>
      </c>
    </row>
    <row r="10415">
      <c r="A10415" s="17">
        <v>1007002.0</v>
      </c>
      <c r="B10415" s="17">
        <v>7043400.0</v>
      </c>
    </row>
    <row r="10416">
      <c r="A10416" s="17">
        <v>1007002.0</v>
      </c>
      <c r="B10416" s="17">
        <v>7043500.0</v>
      </c>
    </row>
    <row r="10417">
      <c r="A10417" s="17">
        <v>1007002.0</v>
      </c>
      <c r="B10417" s="17">
        <v>7043600.0</v>
      </c>
    </row>
    <row r="10418">
      <c r="A10418" s="17">
        <v>1007002.0</v>
      </c>
      <c r="B10418" s="17">
        <v>7043700.0</v>
      </c>
    </row>
    <row r="10419">
      <c r="A10419" s="17">
        <v>1007002.0</v>
      </c>
      <c r="B10419" s="17">
        <v>7043800.0</v>
      </c>
    </row>
    <row r="10420">
      <c r="A10420" s="17">
        <v>1007002.0</v>
      </c>
      <c r="B10420" s="17">
        <v>7044000.0</v>
      </c>
    </row>
    <row r="10421">
      <c r="A10421" s="17">
        <v>1007002.0</v>
      </c>
      <c r="B10421" s="17">
        <v>7044100.0</v>
      </c>
    </row>
    <row r="10422">
      <c r="A10422" s="17">
        <v>1007002.0</v>
      </c>
      <c r="B10422" s="17">
        <v>7044200.0</v>
      </c>
    </row>
    <row r="10423">
      <c r="A10423" s="17">
        <v>1007002.0</v>
      </c>
      <c r="B10423" s="17">
        <v>7044300.0</v>
      </c>
    </row>
    <row r="10424">
      <c r="A10424" s="17">
        <v>1007002.0</v>
      </c>
      <c r="B10424" s="17">
        <v>7044400.0</v>
      </c>
    </row>
    <row r="10425">
      <c r="A10425" s="17">
        <v>1007002.0</v>
      </c>
      <c r="B10425" s="17">
        <v>7044500.0</v>
      </c>
    </row>
    <row r="10426">
      <c r="A10426" s="17">
        <v>1007002.0</v>
      </c>
      <c r="B10426" s="17">
        <v>7044600.0</v>
      </c>
    </row>
    <row r="10427">
      <c r="A10427" s="17">
        <v>1007002.0</v>
      </c>
      <c r="B10427" s="17">
        <v>7050000.0</v>
      </c>
    </row>
    <row r="10428">
      <c r="A10428" s="17">
        <v>1007002.0</v>
      </c>
      <c r="B10428" s="17">
        <v>7050100.0</v>
      </c>
    </row>
    <row r="10429">
      <c r="A10429" s="17">
        <v>1007002.0</v>
      </c>
      <c r="B10429" s="17">
        <v>7060000.0</v>
      </c>
    </row>
    <row r="10430">
      <c r="A10430" s="17">
        <v>1007002.0</v>
      </c>
      <c r="B10430" s="17">
        <v>7060100.0</v>
      </c>
    </row>
    <row r="10431">
      <c r="A10431" s="17">
        <v>1007002.0</v>
      </c>
      <c r="B10431" s="17">
        <v>7060200.0</v>
      </c>
    </row>
    <row r="10432">
      <c r="A10432" s="17">
        <v>1007002.0</v>
      </c>
      <c r="B10432" s="17">
        <v>7070000.0</v>
      </c>
    </row>
    <row r="10433">
      <c r="A10433" s="17">
        <v>1007002.0</v>
      </c>
      <c r="B10433" s="17">
        <v>7080000.0</v>
      </c>
    </row>
    <row r="10434">
      <c r="A10434" s="17">
        <v>1007002.0</v>
      </c>
      <c r="B10434" s="17">
        <v>7080100.0</v>
      </c>
    </row>
    <row r="10435">
      <c r="A10435" s="17">
        <v>1007002.0</v>
      </c>
      <c r="B10435" s="17">
        <v>7080200.0</v>
      </c>
    </row>
    <row r="10436">
      <c r="A10436" s="17">
        <v>1007002.0</v>
      </c>
      <c r="B10436" s="17">
        <v>7080300.0</v>
      </c>
    </row>
    <row r="10437">
      <c r="A10437" s="17">
        <v>1007002.0</v>
      </c>
      <c r="B10437" s="17">
        <v>7080400.0</v>
      </c>
    </row>
    <row r="10438">
      <c r="A10438" s="17">
        <v>1007002.0</v>
      </c>
      <c r="B10438" s="17">
        <v>7080500.0</v>
      </c>
    </row>
    <row r="10439">
      <c r="A10439" s="17">
        <v>1007002.0</v>
      </c>
      <c r="B10439" s="17">
        <v>7080600.0</v>
      </c>
    </row>
    <row r="10440">
      <c r="A10440" s="17">
        <v>1007002.0</v>
      </c>
      <c r="B10440" s="17">
        <v>7080700.0</v>
      </c>
    </row>
    <row r="10441">
      <c r="A10441" s="17">
        <v>1007002.0</v>
      </c>
      <c r="B10441" s="17">
        <v>7080800.0</v>
      </c>
    </row>
    <row r="10442">
      <c r="A10442" s="17">
        <v>1007002.0</v>
      </c>
      <c r="B10442" s="17">
        <v>7080900.0</v>
      </c>
    </row>
    <row r="10443">
      <c r="A10443" s="17">
        <v>1007002.0</v>
      </c>
      <c r="B10443" s="17">
        <v>7081000.0</v>
      </c>
    </row>
    <row r="10444">
      <c r="A10444" s="17">
        <v>1007002.0</v>
      </c>
      <c r="B10444" s="17">
        <v>7081100.0</v>
      </c>
    </row>
    <row r="10445">
      <c r="A10445" s="17">
        <v>1007002.0</v>
      </c>
      <c r="B10445" s="17">
        <v>7081200.0</v>
      </c>
    </row>
    <row r="10446">
      <c r="A10446" s="17">
        <v>1007002.0</v>
      </c>
      <c r="B10446" s="17">
        <v>7081300.0</v>
      </c>
    </row>
    <row r="10447">
      <c r="A10447" s="17">
        <v>1007002.0</v>
      </c>
      <c r="B10447" s="17">
        <v>7081400.0</v>
      </c>
    </row>
    <row r="10448">
      <c r="A10448" s="17">
        <v>1007002.0</v>
      </c>
      <c r="B10448" s="17">
        <v>7081500.0</v>
      </c>
    </row>
    <row r="10449">
      <c r="A10449" s="17">
        <v>1007002.0</v>
      </c>
      <c r="B10449" s="17">
        <v>7081700.0</v>
      </c>
    </row>
    <row r="10450">
      <c r="A10450" s="17">
        <v>1007002.0</v>
      </c>
      <c r="B10450" s="17">
        <v>7081800.0</v>
      </c>
    </row>
    <row r="10451">
      <c r="A10451" s="17">
        <v>1007002.0</v>
      </c>
      <c r="B10451" s="17">
        <v>7081900.0</v>
      </c>
    </row>
    <row r="10452">
      <c r="A10452" s="17">
        <v>1007002.0</v>
      </c>
      <c r="B10452" s="17">
        <v>7082000.0</v>
      </c>
    </row>
    <row r="10453">
      <c r="A10453" s="17">
        <v>1007002.0</v>
      </c>
      <c r="B10453" s="17">
        <v>7082100.0</v>
      </c>
    </row>
    <row r="10454">
      <c r="A10454" s="17">
        <v>1007002.0</v>
      </c>
      <c r="B10454" s="17">
        <v>7082200.0</v>
      </c>
    </row>
    <row r="10455">
      <c r="A10455" s="17">
        <v>1007002.0</v>
      </c>
      <c r="B10455" s="17">
        <v>7082300.0</v>
      </c>
    </row>
    <row r="10456">
      <c r="A10456" s="17">
        <v>1007002.0</v>
      </c>
      <c r="B10456" s="17">
        <v>7082400.0</v>
      </c>
    </row>
    <row r="10457">
      <c r="A10457" s="17">
        <v>1007002.0</v>
      </c>
      <c r="B10457" s="17">
        <v>7082500.0</v>
      </c>
    </row>
    <row r="10458">
      <c r="A10458" s="17">
        <v>1007002.0</v>
      </c>
      <c r="B10458" s="17">
        <v>7082600.0</v>
      </c>
    </row>
    <row r="10459">
      <c r="A10459" s="17">
        <v>1007002.0</v>
      </c>
      <c r="B10459" s="17">
        <v>7082700.0</v>
      </c>
    </row>
    <row r="10460">
      <c r="A10460" s="17">
        <v>1007002.0</v>
      </c>
      <c r="B10460" s="17">
        <v>7082800.0</v>
      </c>
    </row>
    <row r="10461">
      <c r="A10461" s="17">
        <v>1007002.0</v>
      </c>
      <c r="B10461" s="17">
        <v>7082900.0</v>
      </c>
    </row>
    <row r="10462">
      <c r="A10462" s="17">
        <v>1007002.0</v>
      </c>
      <c r="B10462" s="17">
        <v>7090000.0</v>
      </c>
    </row>
    <row r="10463">
      <c r="A10463" s="17">
        <v>1007002.0</v>
      </c>
      <c r="B10463" s="17">
        <v>7090100.0</v>
      </c>
    </row>
    <row r="10464">
      <c r="A10464" s="17">
        <v>1007002.0</v>
      </c>
      <c r="B10464" s="17">
        <v>7090300.0</v>
      </c>
    </row>
    <row r="10465">
      <c r="A10465" s="17">
        <v>1007002.0</v>
      </c>
      <c r="B10465" s="17">
        <v>7100100.0</v>
      </c>
    </row>
    <row r="10466">
      <c r="A10466" s="17">
        <v>1007002.0</v>
      </c>
      <c r="B10466" s="17">
        <v>7110000.0</v>
      </c>
    </row>
    <row r="10467">
      <c r="A10467" s="17">
        <v>1007002.0</v>
      </c>
      <c r="B10467" s="17">
        <v>7120000.0</v>
      </c>
    </row>
    <row r="10468">
      <c r="A10468" s="17">
        <v>1007002.0</v>
      </c>
      <c r="B10468" s="17">
        <v>7120100.0</v>
      </c>
    </row>
    <row r="10469">
      <c r="A10469" s="17">
        <v>1007002.0</v>
      </c>
      <c r="B10469" s="17">
        <v>7120200.0</v>
      </c>
    </row>
    <row r="10470">
      <c r="A10470" s="17">
        <v>1007002.0</v>
      </c>
      <c r="B10470" s="17">
        <v>7120300.0</v>
      </c>
    </row>
    <row r="10471">
      <c r="A10471" s="17">
        <v>1007002.0</v>
      </c>
      <c r="B10471" s="17">
        <v>7120400.0</v>
      </c>
    </row>
    <row r="10472">
      <c r="A10472" s="17">
        <v>1007002.0</v>
      </c>
      <c r="B10472" s="17">
        <v>7120500.0</v>
      </c>
    </row>
    <row r="10473">
      <c r="A10473" s="17">
        <v>1007002.0</v>
      </c>
      <c r="B10473" s="17">
        <v>7120600.0</v>
      </c>
    </row>
    <row r="10474">
      <c r="A10474" s="17">
        <v>1007002.0</v>
      </c>
      <c r="B10474" s="17">
        <v>7120900.0</v>
      </c>
    </row>
    <row r="10475">
      <c r="A10475" s="17">
        <v>1007002.0</v>
      </c>
      <c r="B10475" s="17">
        <v>7121000.0</v>
      </c>
    </row>
    <row r="10476">
      <c r="A10476" s="17">
        <v>1007002.0</v>
      </c>
      <c r="B10476" s="17">
        <v>7121100.0</v>
      </c>
    </row>
    <row r="10477">
      <c r="A10477" s="17">
        <v>1007002.0</v>
      </c>
      <c r="B10477" s="17">
        <v>7121200.0</v>
      </c>
    </row>
    <row r="10478">
      <c r="A10478" s="17">
        <v>1007002.0</v>
      </c>
      <c r="B10478" s="17">
        <v>7121300.0</v>
      </c>
    </row>
    <row r="10479">
      <c r="A10479" s="17">
        <v>1007002.0</v>
      </c>
      <c r="B10479" s="17">
        <v>7121400.0</v>
      </c>
    </row>
    <row r="10480">
      <c r="A10480" s="17">
        <v>1007002.0</v>
      </c>
      <c r="B10480" s="17">
        <v>7121500.0</v>
      </c>
    </row>
    <row r="10481">
      <c r="A10481" s="17">
        <v>1007002.0</v>
      </c>
      <c r="B10481" s="17">
        <v>7121600.0</v>
      </c>
    </row>
    <row r="10482">
      <c r="A10482" s="17">
        <v>1007002.0</v>
      </c>
      <c r="B10482" s="17">
        <v>7121700.0</v>
      </c>
    </row>
    <row r="10483">
      <c r="A10483" s="17">
        <v>1007002.0</v>
      </c>
      <c r="B10483" s="17">
        <v>7121800.0</v>
      </c>
    </row>
    <row r="10484">
      <c r="A10484" s="17">
        <v>1007002.0</v>
      </c>
      <c r="B10484" s="17">
        <v>7121900.0</v>
      </c>
    </row>
    <row r="10485">
      <c r="A10485" s="17">
        <v>1007002.0</v>
      </c>
      <c r="B10485" s="17">
        <v>7122000.0</v>
      </c>
    </row>
    <row r="10486">
      <c r="A10486" s="17">
        <v>1007002.0</v>
      </c>
      <c r="B10486" s="17">
        <v>7122100.0</v>
      </c>
    </row>
    <row r="10487">
      <c r="A10487" s="17">
        <v>1007002.0</v>
      </c>
      <c r="B10487" s="17">
        <v>7122200.0</v>
      </c>
    </row>
    <row r="10488">
      <c r="A10488" s="17">
        <v>1007002.0</v>
      </c>
      <c r="B10488" s="17">
        <v>7122300.0</v>
      </c>
    </row>
    <row r="10489">
      <c r="A10489" s="17">
        <v>1007002.0</v>
      </c>
      <c r="B10489" s="17">
        <v>7122400.0</v>
      </c>
    </row>
    <row r="10490">
      <c r="A10490" s="17">
        <v>1007002.0</v>
      </c>
      <c r="B10490" s="17">
        <v>7122500.0</v>
      </c>
    </row>
    <row r="10491">
      <c r="A10491" s="17">
        <v>1007002.0</v>
      </c>
      <c r="B10491" s="17">
        <v>7122600.0</v>
      </c>
    </row>
    <row r="10492">
      <c r="A10492" s="17">
        <v>1007002.0</v>
      </c>
      <c r="B10492" s="17">
        <v>7122700.0</v>
      </c>
    </row>
    <row r="10493">
      <c r="A10493" s="17">
        <v>1007002.0</v>
      </c>
      <c r="B10493" s="17">
        <v>7122800.0</v>
      </c>
    </row>
    <row r="10494">
      <c r="A10494" s="17">
        <v>1007002.0</v>
      </c>
      <c r="B10494" s="17">
        <v>7122900.0</v>
      </c>
    </row>
    <row r="10495">
      <c r="A10495" s="17">
        <v>1007002.0</v>
      </c>
      <c r="B10495" s="17">
        <v>7123000.0</v>
      </c>
    </row>
    <row r="10496">
      <c r="A10496" s="17">
        <v>1007002.0</v>
      </c>
      <c r="B10496" s="17">
        <v>7123100.0</v>
      </c>
    </row>
    <row r="10497">
      <c r="A10497" s="17">
        <v>1007002.0</v>
      </c>
      <c r="B10497" s="17">
        <v>7123200.0</v>
      </c>
    </row>
    <row r="10498">
      <c r="A10498" s="17">
        <v>1007002.0</v>
      </c>
      <c r="B10498" s="17">
        <v>7123300.0</v>
      </c>
    </row>
    <row r="10499">
      <c r="A10499" s="17">
        <v>1007002.0</v>
      </c>
      <c r="B10499" s="17">
        <v>7123400.0</v>
      </c>
    </row>
    <row r="10500">
      <c r="A10500" s="17">
        <v>1007002.0</v>
      </c>
      <c r="B10500" s="17">
        <v>7123500.0</v>
      </c>
    </row>
    <row r="10501">
      <c r="A10501" s="17">
        <v>1007002.0</v>
      </c>
      <c r="B10501" s="17">
        <v>7123600.0</v>
      </c>
    </row>
    <row r="10502">
      <c r="A10502" s="17">
        <v>1007002.0</v>
      </c>
      <c r="B10502" s="17">
        <v>7123700.0</v>
      </c>
    </row>
    <row r="10503">
      <c r="A10503" s="17">
        <v>1007002.0</v>
      </c>
      <c r="B10503" s="17">
        <v>7123800.0</v>
      </c>
    </row>
    <row r="10504">
      <c r="A10504" s="17">
        <v>1007002.0</v>
      </c>
      <c r="B10504" s="17">
        <v>7123900.0</v>
      </c>
    </row>
    <row r="10505">
      <c r="A10505" s="17">
        <v>1007002.0</v>
      </c>
      <c r="B10505" s="17">
        <v>7124000.0</v>
      </c>
    </row>
    <row r="10506">
      <c r="A10506" s="17">
        <v>1007002.0</v>
      </c>
      <c r="B10506" s="17">
        <v>7124100.0</v>
      </c>
    </row>
    <row r="10507">
      <c r="A10507" s="17">
        <v>1007002.0</v>
      </c>
      <c r="B10507" s="17">
        <v>7124300.0</v>
      </c>
    </row>
    <row r="10508">
      <c r="A10508" s="17">
        <v>1007002.0</v>
      </c>
      <c r="B10508" s="17">
        <v>7124400.0</v>
      </c>
    </row>
    <row r="10509">
      <c r="A10509" s="17">
        <v>1007002.0</v>
      </c>
      <c r="B10509" s="17">
        <v>7124500.0</v>
      </c>
    </row>
    <row r="10510">
      <c r="A10510" s="17">
        <v>1007002.0</v>
      </c>
      <c r="B10510" s="17">
        <v>7124600.0</v>
      </c>
    </row>
    <row r="10511">
      <c r="A10511" s="17">
        <v>1007002.0</v>
      </c>
      <c r="B10511" s="17">
        <v>7124700.0</v>
      </c>
    </row>
    <row r="10512">
      <c r="A10512" s="17">
        <v>1007002.0</v>
      </c>
      <c r="B10512" s="17">
        <v>7126000.0</v>
      </c>
    </row>
    <row r="10513">
      <c r="A10513" s="17">
        <v>1007002.0</v>
      </c>
      <c r="B10513" s="17">
        <v>7150000.0</v>
      </c>
    </row>
    <row r="10514">
      <c r="A10514" s="17">
        <v>1007002.0</v>
      </c>
      <c r="B10514" s="17">
        <v>7160000.0</v>
      </c>
    </row>
    <row r="10515">
      <c r="A10515" s="17">
        <v>1007002.0</v>
      </c>
      <c r="B10515" s="17">
        <v>7220000.0</v>
      </c>
    </row>
    <row r="10516">
      <c r="A10516" s="17">
        <v>1007002.0</v>
      </c>
      <c r="B10516" s="17">
        <v>7230000.0</v>
      </c>
    </row>
    <row r="10517">
      <c r="A10517" s="17">
        <v>1007002.0</v>
      </c>
      <c r="B10517" s="17">
        <v>7240000.0</v>
      </c>
    </row>
    <row r="10518">
      <c r="A10518" s="17">
        <v>1007002.0</v>
      </c>
      <c r="B10518" s="17">
        <v>7260000.0</v>
      </c>
    </row>
    <row r="10519">
      <c r="A10519" s="17">
        <v>1007002.0</v>
      </c>
      <c r="B10519" s="17">
        <v>7260300.0</v>
      </c>
    </row>
    <row r="10520">
      <c r="A10520" s="17">
        <v>1007002.0</v>
      </c>
      <c r="B10520" s="17">
        <v>7260400.0</v>
      </c>
    </row>
    <row r="10521">
      <c r="A10521" s="17">
        <v>1007002.0</v>
      </c>
      <c r="B10521" s="17">
        <v>7270100.0</v>
      </c>
    </row>
    <row r="10522">
      <c r="A10522" s="17">
        <v>1007002.0</v>
      </c>
      <c r="B10522" s="17">
        <v>7280000.0</v>
      </c>
    </row>
    <row r="10523">
      <c r="A10523" s="17">
        <v>1007002.0</v>
      </c>
      <c r="B10523" s="17">
        <v>7290000.0</v>
      </c>
    </row>
    <row r="10524">
      <c r="A10524" s="17">
        <v>1007002.0</v>
      </c>
      <c r="B10524" s="17">
        <v>7310000.0</v>
      </c>
    </row>
    <row r="10525">
      <c r="A10525" s="17">
        <v>1007002.0</v>
      </c>
      <c r="B10525" s="17">
        <v>7330000.0</v>
      </c>
    </row>
    <row r="10526">
      <c r="A10526" s="17">
        <v>1007002.0</v>
      </c>
      <c r="B10526" s="17">
        <v>7330100.0</v>
      </c>
    </row>
    <row r="10527">
      <c r="A10527" s="17">
        <v>1007002.0</v>
      </c>
      <c r="B10527" s="17">
        <v>7330200.0</v>
      </c>
    </row>
    <row r="10528">
      <c r="A10528" s="17">
        <v>1007002.0</v>
      </c>
      <c r="B10528" s="17">
        <v>7330300.0</v>
      </c>
    </row>
    <row r="10529">
      <c r="A10529" s="17">
        <v>1007002.0</v>
      </c>
      <c r="B10529" s="17">
        <v>7330400.0</v>
      </c>
    </row>
    <row r="10530">
      <c r="A10530" s="17">
        <v>1007002.0</v>
      </c>
      <c r="B10530" s="17">
        <v>7330500.0</v>
      </c>
    </row>
    <row r="10531">
      <c r="A10531" s="17">
        <v>1007002.0</v>
      </c>
      <c r="B10531" s="17">
        <v>7330600.0</v>
      </c>
    </row>
    <row r="10532">
      <c r="A10532" s="17">
        <v>1007002.0</v>
      </c>
      <c r="B10532" s="17">
        <v>7330700.0</v>
      </c>
    </row>
    <row r="10533">
      <c r="A10533" s="17">
        <v>1007002.0</v>
      </c>
      <c r="B10533" s="17">
        <v>7330800.0</v>
      </c>
    </row>
    <row r="10534">
      <c r="A10534" s="17">
        <v>1007002.0</v>
      </c>
      <c r="B10534" s="17">
        <v>7330900.0</v>
      </c>
    </row>
    <row r="10535">
      <c r="A10535" s="17">
        <v>1007002.0</v>
      </c>
      <c r="B10535" s="17">
        <v>7331000.0</v>
      </c>
    </row>
    <row r="10536">
      <c r="A10536" s="17">
        <v>1007002.0</v>
      </c>
      <c r="B10536" s="17">
        <v>7331100.0</v>
      </c>
    </row>
    <row r="10537">
      <c r="A10537" s="17">
        <v>1007002.0</v>
      </c>
      <c r="B10537" s="17">
        <v>7331200.0</v>
      </c>
    </row>
    <row r="10538">
      <c r="A10538" s="17">
        <v>1007002.0</v>
      </c>
      <c r="B10538" s="17">
        <v>7331300.0</v>
      </c>
    </row>
    <row r="10539">
      <c r="A10539" s="17">
        <v>1007002.0</v>
      </c>
      <c r="B10539" s="17">
        <v>7331400.0</v>
      </c>
    </row>
    <row r="10540">
      <c r="A10540" s="17">
        <v>1007002.0</v>
      </c>
      <c r="B10540" s="17">
        <v>7331500.0</v>
      </c>
    </row>
    <row r="10541">
      <c r="A10541" s="17">
        <v>1007002.0</v>
      </c>
      <c r="B10541" s="17">
        <v>7331700.0</v>
      </c>
    </row>
    <row r="10542">
      <c r="A10542" s="17">
        <v>1007002.0</v>
      </c>
      <c r="B10542" s="17">
        <v>7331800.0</v>
      </c>
    </row>
    <row r="10543">
      <c r="A10543" s="17">
        <v>1007002.0</v>
      </c>
      <c r="B10543" s="17">
        <v>7331900.0</v>
      </c>
    </row>
    <row r="10544">
      <c r="A10544" s="17">
        <v>1007002.0</v>
      </c>
      <c r="B10544" s="17">
        <v>7332000.0</v>
      </c>
    </row>
    <row r="10545">
      <c r="A10545" s="17">
        <v>1007002.0</v>
      </c>
      <c r="B10545" s="17">
        <v>7332100.0</v>
      </c>
    </row>
    <row r="10546">
      <c r="A10546" s="17">
        <v>1007002.0</v>
      </c>
      <c r="B10546" s="17">
        <v>7332200.0</v>
      </c>
    </row>
    <row r="10547">
      <c r="A10547" s="17">
        <v>1007002.0</v>
      </c>
      <c r="B10547" s="17">
        <v>7332300.0</v>
      </c>
    </row>
    <row r="10548">
      <c r="A10548" s="17">
        <v>1007002.0</v>
      </c>
      <c r="B10548" s="17">
        <v>7332400.0</v>
      </c>
    </row>
    <row r="10549">
      <c r="A10549" s="17">
        <v>1007002.0</v>
      </c>
      <c r="B10549" s="17">
        <v>7340000.0</v>
      </c>
    </row>
    <row r="10550">
      <c r="A10550" s="17">
        <v>1007002.0</v>
      </c>
      <c r="B10550" s="17">
        <v>7340100.0</v>
      </c>
    </row>
    <row r="10551">
      <c r="A10551" s="17">
        <v>1007002.0</v>
      </c>
      <c r="B10551" s="17">
        <v>7340200.0</v>
      </c>
    </row>
    <row r="10552">
      <c r="A10552" s="17">
        <v>1007002.0</v>
      </c>
      <c r="B10552" s="17">
        <v>7340300.0</v>
      </c>
    </row>
    <row r="10553">
      <c r="A10553" s="17">
        <v>1007002.0</v>
      </c>
      <c r="B10553" s="17">
        <v>7340400.0</v>
      </c>
    </row>
    <row r="10554">
      <c r="A10554" s="17">
        <v>1007002.0</v>
      </c>
      <c r="B10554" s="17">
        <v>7340500.0</v>
      </c>
    </row>
    <row r="10555">
      <c r="A10555" s="17">
        <v>1007002.0</v>
      </c>
      <c r="B10555" s="17">
        <v>7340600.0</v>
      </c>
    </row>
    <row r="10556">
      <c r="A10556" s="17">
        <v>1007002.0</v>
      </c>
      <c r="B10556" s="17">
        <v>7340700.0</v>
      </c>
    </row>
    <row r="10557">
      <c r="A10557" s="17">
        <v>1007002.0</v>
      </c>
      <c r="B10557" s="17">
        <v>7340800.0</v>
      </c>
    </row>
    <row r="10558">
      <c r="A10558" s="17">
        <v>1007002.0</v>
      </c>
      <c r="B10558" s="17">
        <v>7340900.0</v>
      </c>
    </row>
    <row r="10559">
      <c r="A10559" s="17">
        <v>1007002.0</v>
      </c>
      <c r="B10559" s="17">
        <v>7341000.0</v>
      </c>
    </row>
    <row r="10560">
      <c r="A10560" s="17">
        <v>1007002.0</v>
      </c>
      <c r="B10560" s="17">
        <v>7341100.0</v>
      </c>
    </row>
    <row r="10561">
      <c r="A10561" s="17">
        <v>1007002.0</v>
      </c>
      <c r="B10561" s="17">
        <v>7341200.0</v>
      </c>
    </row>
    <row r="10562">
      <c r="A10562" s="17">
        <v>1007002.0</v>
      </c>
      <c r="B10562" s="17">
        <v>7341300.0</v>
      </c>
    </row>
    <row r="10563">
      <c r="A10563" s="17">
        <v>1007002.0</v>
      </c>
      <c r="B10563" s="17">
        <v>7341400.0</v>
      </c>
    </row>
    <row r="10564">
      <c r="A10564" s="17">
        <v>1007002.0</v>
      </c>
      <c r="B10564" s="17">
        <v>7341500.0</v>
      </c>
    </row>
    <row r="10565">
      <c r="A10565" s="17">
        <v>1007002.0</v>
      </c>
      <c r="B10565" s="17">
        <v>7341700.0</v>
      </c>
    </row>
    <row r="10566">
      <c r="A10566" s="17">
        <v>1007002.0</v>
      </c>
      <c r="B10566" s="17">
        <v>7341800.0</v>
      </c>
    </row>
    <row r="10567">
      <c r="A10567" s="17">
        <v>1007002.0</v>
      </c>
      <c r="B10567" s="17">
        <v>7341900.0</v>
      </c>
    </row>
    <row r="10568">
      <c r="A10568" s="17">
        <v>1007002.0</v>
      </c>
      <c r="B10568" s="17">
        <v>7342000.0</v>
      </c>
    </row>
    <row r="10569">
      <c r="A10569" s="17">
        <v>1007002.0</v>
      </c>
      <c r="B10569" s="17">
        <v>7342100.0</v>
      </c>
    </row>
    <row r="10570">
      <c r="A10570" s="17">
        <v>1007002.0</v>
      </c>
      <c r="B10570" s="17">
        <v>7342200.0</v>
      </c>
    </row>
    <row r="10571">
      <c r="A10571" s="17">
        <v>1007002.0</v>
      </c>
      <c r="B10571" s="17">
        <v>7342300.0</v>
      </c>
    </row>
    <row r="10572">
      <c r="A10572" s="17">
        <v>1007002.0</v>
      </c>
      <c r="B10572" s="17">
        <v>7342400.0</v>
      </c>
    </row>
    <row r="10573">
      <c r="A10573" s="17">
        <v>1007002.0</v>
      </c>
      <c r="B10573" s="17">
        <v>7350000.0</v>
      </c>
    </row>
    <row r="10574">
      <c r="A10574" s="17">
        <v>1007002.0</v>
      </c>
      <c r="B10574" s="17">
        <v>7350100.0</v>
      </c>
    </row>
    <row r="10575">
      <c r="A10575" s="17">
        <v>1007002.0</v>
      </c>
      <c r="B10575" s="17">
        <v>7350200.0</v>
      </c>
    </row>
    <row r="10576">
      <c r="A10576" s="17">
        <v>1007002.0</v>
      </c>
      <c r="B10576" s="17">
        <v>7350300.0</v>
      </c>
    </row>
    <row r="10577">
      <c r="A10577" s="17">
        <v>1007002.0</v>
      </c>
      <c r="B10577" s="17">
        <v>7350400.0</v>
      </c>
    </row>
    <row r="10578">
      <c r="A10578" s="17">
        <v>1007002.0</v>
      </c>
      <c r="B10578" s="17">
        <v>7350500.0</v>
      </c>
    </row>
    <row r="10579">
      <c r="A10579" s="17">
        <v>1007002.0</v>
      </c>
      <c r="B10579" s="17">
        <v>7350600.0</v>
      </c>
    </row>
    <row r="10580">
      <c r="A10580" s="17">
        <v>1007002.0</v>
      </c>
      <c r="B10580" s="17">
        <v>7350700.0</v>
      </c>
    </row>
    <row r="10581">
      <c r="A10581" s="17">
        <v>1007002.0</v>
      </c>
      <c r="B10581" s="17">
        <v>7350800.0</v>
      </c>
    </row>
    <row r="10582">
      <c r="A10582" s="17">
        <v>1007002.0</v>
      </c>
      <c r="B10582" s="17">
        <v>7350900.0</v>
      </c>
    </row>
    <row r="10583">
      <c r="A10583" s="17">
        <v>1007002.0</v>
      </c>
      <c r="B10583" s="17">
        <v>7351000.0</v>
      </c>
    </row>
    <row r="10584">
      <c r="A10584" s="17">
        <v>1007002.0</v>
      </c>
      <c r="B10584" s="17">
        <v>7351100.0</v>
      </c>
    </row>
    <row r="10585">
      <c r="A10585" s="17">
        <v>1007002.0</v>
      </c>
      <c r="B10585" s="17">
        <v>7351200.0</v>
      </c>
    </row>
    <row r="10586">
      <c r="A10586" s="17">
        <v>1007002.0</v>
      </c>
      <c r="B10586" s="17">
        <v>7351300.0</v>
      </c>
    </row>
    <row r="10587">
      <c r="A10587" s="17">
        <v>1007002.0</v>
      </c>
      <c r="B10587" s="17">
        <v>7351400.0</v>
      </c>
    </row>
    <row r="10588">
      <c r="A10588" s="17">
        <v>1007002.0</v>
      </c>
      <c r="B10588" s="17">
        <v>7351500.0</v>
      </c>
    </row>
    <row r="10589">
      <c r="A10589" s="17">
        <v>1007002.0</v>
      </c>
      <c r="B10589" s="17">
        <v>7351700.0</v>
      </c>
    </row>
    <row r="10590">
      <c r="A10590" s="17">
        <v>1007002.0</v>
      </c>
      <c r="B10590" s="17">
        <v>7351800.0</v>
      </c>
    </row>
    <row r="10591">
      <c r="A10591" s="17">
        <v>1007002.0</v>
      </c>
      <c r="B10591" s="17">
        <v>7351900.0</v>
      </c>
    </row>
    <row r="10592">
      <c r="A10592" s="17">
        <v>1007002.0</v>
      </c>
      <c r="B10592" s="17">
        <v>7352000.0</v>
      </c>
    </row>
    <row r="10593">
      <c r="A10593" s="17">
        <v>1007002.0</v>
      </c>
      <c r="B10593" s="17">
        <v>7352100.0</v>
      </c>
    </row>
    <row r="10594">
      <c r="A10594" s="17">
        <v>1007002.0</v>
      </c>
      <c r="B10594" s="17">
        <v>7352200.0</v>
      </c>
    </row>
    <row r="10595">
      <c r="A10595" s="17">
        <v>1007002.0</v>
      </c>
      <c r="B10595" s="17">
        <v>7352300.0</v>
      </c>
    </row>
    <row r="10596">
      <c r="A10596" s="17">
        <v>1007002.0</v>
      </c>
      <c r="B10596" s="17">
        <v>7352400.0</v>
      </c>
    </row>
    <row r="10597">
      <c r="A10597" s="17">
        <v>1007002.0</v>
      </c>
      <c r="B10597" s="17">
        <v>7360600.0</v>
      </c>
    </row>
    <row r="10598">
      <c r="A10598" s="17">
        <v>1007002.0</v>
      </c>
      <c r="B10598" s="17">
        <v>7360900.0</v>
      </c>
    </row>
    <row r="10599">
      <c r="A10599" s="17">
        <v>1007002.0</v>
      </c>
      <c r="B10599" s="17">
        <v>7361200.0</v>
      </c>
    </row>
    <row r="10600">
      <c r="A10600" s="17">
        <v>1007002.0</v>
      </c>
      <c r="B10600" s="17">
        <v>7361300.0</v>
      </c>
    </row>
    <row r="10601">
      <c r="A10601" s="17">
        <v>1007002.0</v>
      </c>
      <c r="B10601" s="17">
        <v>7362100.0</v>
      </c>
    </row>
    <row r="10602">
      <c r="A10602" s="17">
        <v>1007002.0</v>
      </c>
      <c r="B10602" s="17">
        <v>7370300.0</v>
      </c>
    </row>
    <row r="10603">
      <c r="A10603" s="17">
        <v>1007002.0</v>
      </c>
      <c r="B10603" s="17">
        <v>7370400.0</v>
      </c>
    </row>
    <row r="10604">
      <c r="A10604" s="17">
        <v>1007002.0</v>
      </c>
      <c r="B10604" s="17">
        <v>7370600.0</v>
      </c>
    </row>
    <row r="10605">
      <c r="A10605" s="17">
        <v>1007002.0</v>
      </c>
      <c r="B10605" s="17">
        <v>7370900.0</v>
      </c>
    </row>
    <row r="10606">
      <c r="A10606" s="17">
        <v>1007002.0</v>
      </c>
      <c r="B10606" s="17">
        <v>7371500.0</v>
      </c>
    </row>
    <row r="10607">
      <c r="A10607" s="17">
        <v>1007002.0</v>
      </c>
      <c r="B10607" s="17">
        <v>7036200.0</v>
      </c>
    </row>
    <row r="10608">
      <c r="A10608" s="17">
        <v>1007002.0</v>
      </c>
      <c r="B10608" s="17">
        <v>7036300.0</v>
      </c>
    </row>
    <row r="10609">
      <c r="A10609" s="17">
        <v>1007002.0</v>
      </c>
      <c r="B10609" s="17">
        <v>7036400.0</v>
      </c>
    </row>
    <row r="10610">
      <c r="A10610" s="17">
        <v>1007002.0</v>
      </c>
      <c r="B10610" s="17">
        <v>7036500.0</v>
      </c>
    </row>
    <row r="10611">
      <c r="A10611" s="17">
        <v>1007002.0</v>
      </c>
      <c r="B10611" s="17">
        <v>7036800.0</v>
      </c>
    </row>
    <row r="10612">
      <c r="A10612" s="17">
        <v>1007002.0</v>
      </c>
      <c r="B10612" s="17">
        <v>7036900.0</v>
      </c>
    </row>
    <row r="10613">
      <c r="A10613" s="17">
        <v>1007002.0</v>
      </c>
      <c r="B10613" s="17">
        <v>7037000.0</v>
      </c>
    </row>
    <row r="10614">
      <c r="A10614" s="17">
        <v>1007002.0</v>
      </c>
      <c r="B10614" s="17">
        <v>7037300.0</v>
      </c>
    </row>
    <row r="10615">
      <c r="A10615" s="17">
        <v>1007002.0</v>
      </c>
      <c r="B10615" s="17">
        <v>6630000.0</v>
      </c>
    </row>
    <row r="10616">
      <c r="A10616" s="17">
        <v>1007002.0</v>
      </c>
      <c r="B10616" s="17">
        <v>6630100.0</v>
      </c>
    </row>
    <row r="10617">
      <c r="A10617" s="17">
        <v>1007002.0</v>
      </c>
      <c r="B10617" s="17">
        <v>6630200.0</v>
      </c>
    </row>
    <row r="10618">
      <c r="A10618" s="17">
        <v>1007002.0</v>
      </c>
      <c r="B10618" s="17">
        <v>6630300.0</v>
      </c>
    </row>
    <row r="10619">
      <c r="A10619" s="17">
        <v>1007002.0</v>
      </c>
      <c r="B10619" s="17">
        <v>6630400.0</v>
      </c>
    </row>
    <row r="10620">
      <c r="A10620" s="17">
        <v>1007002.0</v>
      </c>
      <c r="B10620" s="17">
        <v>6630500.0</v>
      </c>
    </row>
    <row r="10621">
      <c r="A10621" s="17">
        <v>1007002.0</v>
      </c>
      <c r="B10621" s="17">
        <v>6630600.0</v>
      </c>
    </row>
    <row r="10622">
      <c r="A10622" s="17">
        <v>1007002.0</v>
      </c>
      <c r="B10622" s="17">
        <v>6630700.0</v>
      </c>
    </row>
    <row r="10623">
      <c r="A10623" s="17">
        <v>1007002.0</v>
      </c>
      <c r="B10623" s="17">
        <v>6630800.0</v>
      </c>
    </row>
    <row r="10624">
      <c r="A10624" s="17">
        <v>1007002.0</v>
      </c>
      <c r="B10624" s="17">
        <v>6630900.0</v>
      </c>
    </row>
    <row r="10625">
      <c r="A10625" s="17">
        <v>1007002.0</v>
      </c>
      <c r="B10625" s="17">
        <v>6631000.0</v>
      </c>
    </row>
    <row r="10626">
      <c r="A10626" s="17">
        <v>1007002.0</v>
      </c>
      <c r="B10626" s="17">
        <v>6631100.0</v>
      </c>
    </row>
    <row r="10627">
      <c r="A10627" s="17">
        <v>1007002.0</v>
      </c>
      <c r="B10627" s="17">
        <v>6631200.0</v>
      </c>
    </row>
    <row r="10628">
      <c r="A10628" s="17">
        <v>1007002.0</v>
      </c>
      <c r="B10628" s="17">
        <v>6631300.0</v>
      </c>
    </row>
    <row r="10629">
      <c r="A10629" s="17">
        <v>1007002.0</v>
      </c>
      <c r="B10629" s="17">
        <v>6631400.0</v>
      </c>
    </row>
    <row r="10630">
      <c r="A10630" s="17">
        <v>1007002.0</v>
      </c>
      <c r="B10630" s="17">
        <v>6631500.0</v>
      </c>
    </row>
    <row r="10631">
      <c r="A10631" s="17">
        <v>1007002.0</v>
      </c>
      <c r="B10631" s="17">
        <v>6631600.0</v>
      </c>
    </row>
    <row r="10632">
      <c r="A10632" s="17">
        <v>1007002.0</v>
      </c>
      <c r="B10632" s="17">
        <v>6631700.0</v>
      </c>
    </row>
    <row r="10633">
      <c r="A10633" s="17">
        <v>1007002.0</v>
      </c>
      <c r="B10633" s="17">
        <v>6631800.0</v>
      </c>
    </row>
    <row r="10634">
      <c r="A10634" s="17">
        <v>1007002.0</v>
      </c>
      <c r="B10634" s="17">
        <v>6631900.0</v>
      </c>
    </row>
    <row r="10635">
      <c r="A10635" s="17">
        <v>1007002.0</v>
      </c>
      <c r="B10635" s="17">
        <v>6632000.0</v>
      </c>
    </row>
    <row r="10636">
      <c r="A10636" s="17">
        <v>1007002.0</v>
      </c>
      <c r="B10636" s="17">
        <v>6632100.0</v>
      </c>
    </row>
    <row r="10637">
      <c r="A10637" s="17">
        <v>1007002.0</v>
      </c>
      <c r="B10637" s="17">
        <v>6632200.0</v>
      </c>
    </row>
    <row r="10638">
      <c r="A10638" s="17">
        <v>1007002.0</v>
      </c>
      <c r="B10638" s="17">
        <v>6632300.0</v>
      </c>
    </row>
    <row r="10639">
      <c r="A10639" s="17">
        <v>1007002.0</v>
      </c>
      <c r="B10639" s="17">
        <v>6632400.0</v>
      </c>
    </row>
    <row r="10640">
      <c r="A10640" s="17">
        <v>1007002.0</v>
      </c>
      <c r="B10640" s="17">
        <v>6632500.0</v>
      </c>
    </row>
    <row r="10641">
      <c r="A10641" s="17">
        <v>1007002.0</v>
      </c>
      <c r="B10641" s="17">
        <v>6632600.0</v>
      </c>
    </row>
    <row r="10642">
      <c r="A10642" s="17">
        <v>1007002.0</v>
      </c>
      <c r="B10642" s="17">
        <v>6632700.0</v>
      </c>
    </row>
    <row r="10643">
      <c r="A10643" s="17">
        <v>1007002.0</v>
      </c>
      <c r="B10643" s="17">
        <v>6632800.0</v>
      </c>
    </row>
    <row r="10644">
      <c r="A10644" s="17">
        <v>1007002.0</v>
      </c>
      <c r="B10644" s="17">
        <v>6632900.0</v>
      </c>
    </row>
    <row r="10645">
      <c r="A10645" s="17">
        <v>1007002.0</v>
      </c>
      <c r="B10645" s="17">
        <v>6633000.0</v>
      </c>
    </row>
    <row r="10646">
      <c r="A10646" s="17">
        <v>1007002.0</v>
      </c>
      <c r="B10646" s="17">
        <v>6633100.0</v>
      </c>
    </row>
    <row r="10647">
      <c r="A10647" s="17">
        <v>1007002.0</v>
      </c>
      <c r="B10647" s="17">
        <v>6633200.0</v>
      </c>
    </row>
    <row r="10648">
      <c r="A10648" s="17">
        <v>1007002.0</v>
      </c>
      <c r="B10648" s="17">
        <v>6647200.0</v>
      </c>
    </row>
    <row r="10649">
      <c r="A10649" s="17">
        <v>1007002.0</v>
      </c>
      <c r="B10649" s="17">
        <v>6647300.0</v>
      </c>
    </row>
    <row r="10650">
      <c r="A10650" s="17">
        <v>1007002.0</v>
      </c>
      <c r="B10650" s="17">
        <v>6647400.0</v>
      </c>
    </row>
    <row r="10651">
      <c r="A10651" s="17">
        <v>1007002.0</v>
      </c>
      <c r="B10651" s="17">
        <v>6647500.0</v>
      </c>
    </row>
    <row r="10652">
      <c r="A10652" s="17">
        <v>1007002.0</v>
      </c>
      <c r="B10652" s="17">
        <v>6640000.0</v>
      </c>
    </row>
    <row r="10653">
      <c r="A10653" s="17">
        <v>1007002.0</v>
      </c>
      <c r="B10653" s="17">
        <v>6640100.0</v>
      </c>
    </row>
    <row r="10654">
      <c r="A10654" s="17">
        <v>1007002.0</v>
      </c>
      <c r="B10654" s="17">
        <v>6641000.0</v>
      </c>
    </row>
    <row r="10655">
      <c r="A10655" s="17">
        <v>1007002.0</v>
      </c>
      <c r="B10655" s="17">
        <v>6641100.0</v>
      </c>
    </row>
    <row r="10656">
      <c r="A10656" s="17">
        <v>1007002.0</v>
      </c>
      <c r="B10656" s="17">
        <v>6642000.0</v>
      </c>
    </row>
    <row r="10657">
      <c r="A10657" s="17">
        <v>1007002.0</v>
      </c>
      <c r="B10657" s="17">
        <v>6642100.0</v>
      </c>
    </row>
    <row r="10658">
      <c r="A10658" s="17">
        <v>1007002.0</v>
      </c>
      <c r="B10658" s="17">
        <v>6643000.0</v>
      </c>
    </row>
    <row r="10659">
      <c r="A10659" s="17">
        <v>1007002.0</v>
      </c>
      <c r="B10659" s="17">
        <v>6643100.0</v>
      </c>
    </row>
    <row r="10660">
      <c r="A10660" s="17">
        <v>1007002.0</v>
      </c>
      <c r="B10660" s="17">
        <v>6644000.0</v>
      </c>
    </row>
    <row r="10661">
      <c r="A10661" s="17">
        <v>1007002.0</v>
      </c>
      <c r="B10661" s="17">
        <v>6644100.0</v>
      </c>
    </row>
    <row r="10662">
      <c r="A10662" s="17">
        <v>1007002.0</v>
      </c>
      <c r="B10662" s="17">
        <v>6645000.0</v>
      </c>
    </row>
    <row r="10663">
      <c r="A10663" s="17">
        <v>1007002.0</v>
      </c>
      <c r="B10663" s="17">
        <v>6645100.0</v>
      </c>
    </row>
    <row r="10664">
      <c r="A10664" s="17">
        <v>1007002.0</v>
      </c>
      <c r="B10664" s="17">
        <v>6646000.0</v>
      </c>
    </row>
    <row r="10665">
      <c r="A10665" s="17">
        <v>1007002.0</v>
      </c>
      <c r="B10665" s="17">
        <v>6646100.0</v>
      </c>
    </row>
    <row r="10666">
      <c r="A10666" s="17">
        <v>1007002.0</v>
      </c>
      <c r="B10666" s="17">
        <v>6647000.0</v>
      </c>
    </row>
    <row r="10667">
      <c r="A10667" s="17">
        <v>1007002.0</v>
      </c>
      <c r="B10667" s="17">
        <v>6647100.0</v>
      </c>
    </row>
    <row r="10668">
      <c r="A10668" s="17">
        <v>1008000.0</v>
      </c>
      <c r="B10668" s="17">
        <v>7000000.0</v>
      </c>
    </row>
    <row r="10669">
      <c r="A10669" s="17">
        <v>1008000.0</v>
      </c>
      <c r="B10669" s="17">
        <v>7000001.0</v>
      </c>
    </row>
    <row r="10670">
      <c r="A10670" s="17">
        <v>1008000.0</v>
      </c>
      <c r="B10670" s="17">
        <v>7000002.0</v>
      </c>
    </row>
    <row r="10671">
      <c r="A10671" s="17">
        <v>1008000.0</v>
      </c>
      <c r="B10671" s="17">
        <v>7000100.0</v>
      </c>
    </row>
    <row r="10672">
      <c r="A10672" s="17">
        <v>1008000.0</v>
      </c>
      <c r="B10672" s="17">
        <v>7000101.0</v>
      </c>
    </row>
    <row r="10673">
      <c r="A10673" s="17">
        <v>1008000.0</v>
      </c>
      <c r="B10673" s="17">
        <v>7000102.0</v>
      </c>
    </row>
    <row r="10674">
      <c r="A10674" s="17">
        <v>1008000.0</v>
      </c>
      <c r="B10674" s="17">
        <v>7000200.0</v>
      </c>
    </row>
    <row r="10675">
      <c r="A10675" s="17">
        <v>1008000.0</v>
      </c>
      <c r="B10675" s="17">
        <v>7000201.0</v>
      </c>
    </row>
    <row r="10676">
      <c r="A10676" s="17">
        <v>1008000.0</v>
      </c>
      <c r="B10676" s="17">
        <v>7000202.0</v>
      </c>
    </row>
    <row r="10677">
      <c r="A10677" s="17">
        <v>1008000.0</v>
      </c>
      <c r="B10677" s="17">
        <v>7000300.0</v>
      </c>
    </row>
    <row r="10678">
      <c r="A10678" s="17">
        <v>1008000.0</v>
      </c>
      <c r="B10678" s="17">
        <v>7000301.0</v>
      </c>
    </row>
    <row r="10679">
      <c r="A10679" s="17">
        <v>1008000.0</v>
      </c>
      <c r="B10679" s="17">
        <v>7000302.0</v>
      </c>
    </row>
    <row r="10680">
      <c r="A10680" s="17">
        <v>1008000.0</v>
      </c>
      <c r="B10680" s="17">
        <v>7000400.0</v>
      </c>
    </row>
    <row r="10681">
      <c r="A10681" s="17">
        <v>1008000.0</v>
      </c>
      <c r="B10681" s="17">
        <v>7000401.0</v>
      </c>
    </row>
    <row r="10682">
      <c r="A10682" s="17">
        <v>1008000.0</v>
      </c>
      <c r="B10682" s="17">
        <v>7000402.0</v>
      </c>
    </row>
    <row r="10683">
      <c r="A10683" s="17">
        <v>1008000.0</v>
      </c>
      <c r="B10683" s="17">
        <v>7000500.0</v>
      </c>
    </row>
    <row r="10684">
      <c r="A10684" s="17">
        <v>1008000.0</v>
      </c>
      <c r="B10684" s="17">
        <v>7000501.0</v>
      </c>
    </row>
    <row r="10685">
      <c r="A10685" s="17">
        <v>1008000.0</v>
      </c>
      <c r="B10685" s="17">
        <v>7000502.0</v>
      </c>
    </row>
    <row r="10686">
      <c r="A10686" s="17">
        <v>1008000.0</v>
      </c>
      <c r="B10686" s="17">
        <v>7000600.0</v>
      </c>
    </row>
    <row r="10687">
      <c r="A10687" s="17">
        <v>1008000.0</v>
      </c>
      <c r="B10687" s="17">
        <v>7000601.0</v>
      </c>
    </row>
    <row r="10688">
      <c r="A10688" s="17">
        <v>1008000.0</v>
      </c>
      <c r="B10688" s="17">
        <v>7000602.0</v>
      </c>
    </row>
    <row r="10689">
      <c r="A10689" s="17">
        <v>1008000.0</v>
      </c>
      <c r="B10689" s="17">
        <v>7000700.0</v>
      </c>
    </row>
    <row r="10690">
      <c r="A10690" s="17">
        <v>1008000.0</v>
      </c>
      <c r="B10690" s="17">
        <v>7000701.0</v>
      </c>
    </row>
    <row r="10691">
      <c r="A10691" s="17">
        <v>1008000.0</v>
      </c>
      <c r="B10691" s="17">
        <v>7000702.0</v>
      </c>
    </row>
    <row r="10692">
      <c r="A10692" s="17">
        <v>1008000.0</v>
      </c>
      <c r="B10692" s="17">
        <v>7000800.0</v>
      </c>
    </row>
    <row r="10693">
      <c r="A10693" s="17">
        <v>1008000.0</v>
      </c>
      <c r="B10693" s="17">
        <v>7000801.0</v>
      </c>
    </row>
    <row r="10694">
      <c r="A10694" s="17">
        <v>1008000.0</v>
      </c>
      <c r="B10694" s="17">
        <v>7000802.0</v>
      </c>
    </row>
    <row r="10695">
      <c r="A10695" s="17">
        <v>1008000.0</v>
      </c>
      <c r="B10695" s="17">
        <v>7000900.0</v>
      </c>
    </row>
    <row r="10696">
      <c r="A10696" s="17">
        <v>1008000.0</v>
      </c>
      <c r="B10696" s="17">
        <v>7000901.0</v>
      </c>
    </row>
    <row r="10697">
      <c r="A10697" s="17">
        <v>1008000.0</v>
      </c>
      <c r="B10697" s="17">
        <v>7000902.0</v>
      </c>
    </row>
    <row r="10698">
      <c r="A10698" s="17">
        <v>1008000.0</v>
      </c>
      <c r="B10698" s="17">
        <v>7001000.0</v>
      </c>
    </row>
    <row r="10699">
      <c r="A10699" s="17">
        <v>1008000.0</v>
      </c>
      <c r="B10699" s="17">
        <v>7001001.0</v>
      </c>
    </row>
    <row r="10700">
      <c r="A10700" s="17">
        <v>1008000.0</v>
      </c>
      <c r="B10700" s="17">
        <v>7001002.0</v>
      </c>
    </row>
    <row r="10701">
      <c r="A10701" s="17">
        <v>1008000.0</v>
      </c>
      <c r="B10701" s="17">
        <v>7001400.0</v>
      </c>
    </row>
    <row r="10702">
      <c r="A10702" s="17">
        <v>1008000.0</v>
      </c>
      <c r="B10702" s="17">
        <v>7001401.0</v>
      </c>
    </row>
    <row r="10703">
      <c r="A10703" s="17">
        <v>1008000.0</v>
      </c>
      <c r="B10703" s="17">
        <v>7001402.0</v>
      </c>
    </row>
    <row r="10704">
      <c r="A10704" s="17">
        <v>1008000.0</v>
      </c>
      <c r="B10704" s="17">
        <v>7001500.0</v>
      </c>
    </row>
    <row r="10705">
      <c r="A10705" s="17">
        <v>1008000.0</v>
      </c>
      <c r="B10705" s="17">
        <v>7001501.0</v>
      </c>
    </row>
    <row r="10706">
      <c r="A10706" s="17">
        <v>1008000.0</v>
      </c>
      <c r="B10706" s="17">
        <v>7001502.0</v>
      </c>
    </row>
    <row r="10707">
      <c r="A10707" s="17">
        <v>1008000.0</v>
      </c>
      <c r="B10707" s="17">
        <v>7001600.0</v>
      </c>
    </row>
    <row r="10708">
      <c r="A10708" s="17">
        <v>1008000.0</v>
      </c>
      <c r="B10708" s="17">
        <v>7001601.0</v>
      </c>
    </row>
    <row r="10709">
      <c r="A10709" s="17">
        <v>1008000.0</v>
      </c>
      <c r="B10709" s="17">
        <v>7001602.0</v>
      </c>
    </row>
    <row r="10710">
      <c r="A10710" s="17">
        <v>1008000.0</v>
      </c>
      <c r="B10710" s="17">
        <v>7001700.0</v>
      </c>
    </row>
    <row r="10711">
      <c r="A10711" s="17">
        <v>1008000.0</v>
      </c>
      <c r="B10711" s="17">
        <v>7001701.0</v>
      </c>
    </row>
    <row r="10712">
      <c r="A10712" s="17">
        <v>1008000.0</v>
      </c>
      <c r="B10712" s="17">
        <v>7001702.0</v>
      </c>
    </row>
    <row r="10713">
      <c r="A10713" s="17">
        <v>1008000.0</v>
      </c>
      <c r="B10713" s="17">
        <v>7001800.0</v>
      </c>
    </row>
    <row r="10714">
      <c r="A10714" s="17">
        <v>1008000.0</v>
      </c>
      <c r="B10714" s="17">
        <v>7001801.0</v>
      </c>
    </row>
    <row r="10715">
      <c r="A10715" s="17">
        <v>1008000.0</v>
      </c>
      <c r="B10715" s="17">
        <v>7001802.0</v>
      </c>
    </row>
    <row r="10716">
      <c r="A10716" s="17">
        <v>1008000.0</v>
      </c>
      <c r="B10716" s="17">
        <v>7002600.0</v>
      </c>
    </row>
    <row r="10717">
      <c r="A10717" s="17">
        <v>1008000.0</v>
      </c>
      <c r="B10717" s="17">
        <v>7002700.0</v>
      </c>
    </row>
    <row r="10718">
      <c r="A10718" s="17">
        <v>1008000.0</v>
      </c>
      <c r="B10718" s="17">
        <v>7002800.0</v>
      </c>
    </row>
    <row r="10719">
      <c r="A10719" s="17">
        <v>1008000.0</v>
      </c>
      <c r="B10719" s="17">
        <v>7002900.0</v>
      </c>
    </row>
    <row r="10720">
      <c r="A10720" s="17">
        <v>1008000.0</v>
      </c>
      <c r="B10720" s="17">
        <v>7003000.0</v>
      </c>
    </row>
    <row r="10721">
      <c r="A10721" s="17">
        <v>1008000.0</v>
      </c>
      <c r="B10721" s="17">
        <v>7003100.0</v>
      </c>
    </row>
    <row r="10722">
      <c r="A10722" s="17">
        <v>1008000.0</v>
      </c>
      <c r="B10722" s="17">
        <v>7003200.0</v>
      </c>
    </row>
    <row r="10723">
      <c r="A10723" s="17">
        <v>1008000.0</v>
      </c>
      <c r="B10723" s="17">
        <v>7003300.0</v>
      </c>
    </row>
    <row r="10724">
      <c r="A10724" s="17">
        <v>1008000.0</v>
      </c>
      <c r="B10724" s="17">
        <v>7003400.0</v>
      </c>
    </row>
    <row r="10725">
      <c r="A10725" s="17">
        <v>1008000.0</v>
      </c>
      <c r="B10725" s="17">
        <v>7003500.0</v>
      </c>
    </row>
    <row r="10726">
      <c r="A10726" s="17">
        <v>1008000.0</v>
      </c>
      <c r="B10726" s="17">
        <v>7003600.0</v>
      </c>
    </row>
    <row r="10727">
      <c r="A10727" s="17">
        <v>1008000.0</v>
      </c>
      <c r="B10727" s="17">
        <v>7005600.0</v>
      </c>
    </row>
    <row r="10728">
      <c r="A10728" s="17">
        <v>1008000.0</v>
      </c>
      <c r="B10728" s="17">
        <v>7006000.0</v>
      </c>
    </row>
    <row r="10729">
      <c r="A10729" s="17">
        <v>1008000.0</v>
      </c>
      <c r="B10729" s="17">
        <v>7006100.0</v>
      </c>
    </row>
    <row r="10730">
      <c r="A10730" s="17">
        <v>1008000.0</v>
      </c>
      <c r="B10730" s="17">
        <v>7010200.0</v>
      </c>
    </row>
    <row r="10731">
      <c r="A10731" s="17">
        <v>1008000.0</v>
      </c>
      <c r="B10731" s="17">
        <v>7010500.0</v>
      </c>
    </row>
    <row r="10732">
      <c r="A10732" s="17">
        <v>1008000.0</v>
      </c>
      <c r="B10732" s="17">
        <v>7010700.0</v>
      </c>
    </row>
    <row r="10733">
      <c r="A10733" s="17">
        <v>1008000.0</v>
      </c>
      <c r="B10733" s="17">
        <v>7010900.0</v>
      </c>
    </row>
    <row r="10734">
      <c r="A10734" s="17">
        <v>1008000.0</v>
      </c>
      <c r="B10734" s="17">
        <v>7011000.0</v>
      </c>
    </row>
    <row r="10735">
      <c r="A10735" s="17">
        <v>1008000.0</v>
      </c>
      <c r="B10735" s="17">
        <v>7011200.0</v>
      </c>
    </row>
    <row r="10736">
      <c r="A10736" s="17">
        <v>1008000.0</v>
      </c>
      <c r="B10736" s="17">
        <v>7011600.0</v>
      </c>
    </row>
    <row r="10737">
      <c r="A10737" s="17">
        <v>1008000.0</v>
      </c>
      <c r="B10737" s="17">
        <v>7011700.0</v>
      </c>
    </row>
    <row r="10738">
      <c r="A10738" s="17">
        <v>1008000.0</v>
      </c>
      <c r="B10738" s="17">
        <v>7012000.0</v>
      </c>
    </row>
    <row r="10739">
      <c r="A10739" s="17">
        <v>1008000.0</v>
      </c>
      <c r="B10739" s="17">
        <v>7012200.0</v>
      </c>
    </row>
    <row r="10740">
      <c r="A10740" s="17">
        <v>1008000.0</v>
      </c>
      <c r="B10740" s="17">
        <v>7012300.0</v>
      </c>
    </row>
    <row r="10741">
      <c r="A10741" s="17">
        <v>1008000.0</v>
      </c>
      <c r="B10741" s="17">
        <v>7020000.0</v>
      </c>
    </row>
    <row r="10742">
      <c r="A10742" s="17">
        <v>1008000.0</v>
      </c>
      <c r="B10742" s="17">
        <v>7030000.0</v>
      </c>
    </row>
    <row r="10743">
      <c r="A10743" s="17">
        <v>1008000.0</v>
      </c>
      <c r="B10743" s="17">
        <v>7030200.0</v>
      </c>
    </row>
    <row r="10744">
      <c r="A10744" s="17">
        <v>1008000.0</v>
      </c>
      <c r="B10744" s="17">
        <v>7030600.0</v>
      </c>
    </row>
    <row r="10745">
      <c r="A10745" s="17">
        <v>1008000.0</v>
      </c>
      <c r="B10745" s="17">
        <v>7030700.0</v>
      </c>
    </row>
    <row r="10746">
      <c r="A10746" s="17">
        <v>1008000.0</v>
      </c>
      <c r="B10746" s="17">
        <v>7030800.0</v>
      </c>
    </row>
    <row r="10747">
      <c r="A10747" s="17">
        <v>1008000.0</v>
      </c>
      <c r="B10747" s="17">
        <v>7030900.0</v>
      </c>
    </row>
    <row r="10748">
      <c r="A10748" s="17">
        <v>1008000.0</v>
      </c>
      <c r="B10748" s="17">
        <v>7031200.0</v>
      </c>
    </row>
    <row r="10749">
      <c r="A10749" s="17">
        <v>1008000.0</v>
      </c>
      <c r="B10749" s="17">
        <v>7031300.0</v>
      </c>
    </row>
    <row r="10750">
      <c r="A10750" s="17">
        <v>1008000.0</v>
      </c>
      <c r="B10750" s="17">
        <v>7031800.0</v>
      </c>
    </row>
    <row r="10751">
      <c r="A10751" s="17">
        <v>1008000.0</v>
      </c>
      <c r="B10751" s="17">
        <v>7031900.0</v>
      </c>
    </row>
    <row r="10752">
      <c r="A10752" s="17">
        <v>1008000.0</v>
      </c>
      <c r="B10752" s="17">
        <v>7032200.0</v>
      </c>
    </row>
    <row r="10753">
      <c r="A10753" s="17">
        <v>1008000.0</v>
      </c>
      <c r="B10753" s="17">
        <v>7032400.0</v>
      </c>
    </row>
    <row r="10754">
      <c r="A10754" s="17">
        <v>1008000.0</v>
      </c>
      <c r="B10754" s="17">
        <v>7032700.0</v>
      </c>
    </row>
    <row r="10755">
      <c r="A10755" s="17">
        <v>1008000.0</v>
      </c>
      <c r="B10755" s="17">
        <v>7032800.0</v>
      </c>
    </row>
    <row r="10756">
      <c r="A10756" s="17">
        <v>1008000.0</v>
      </c>
      <c r="B10756" s="17">
        <v>7032900.0</v>
      </c>
    </row>
    <row r="10757">
      <c r="A10757" s="17">
        <v>1008000.0</v>
      </c>
      <c r="B10757" s="17">
        <v>7033200.0</v>
      </c>
    </row>
    <row r="10758">
      <c r="A10758" s="17">
        <v>1008000.0</v>
      </c>
      <c r="B10758" s="17">
        <v>7033400.0</v>
      </c>
    </row>
    <row r="10759">
      <c r="A10759" s="17">
        <v>1008000.0</v>
      </c>
      <c r="B10759" s="17">
        <v>7034100.0</v>
      </c>
    </row>
    <row r="10760">
      <c r="A10760" s="17">
        <v>1008000.0</v>
      </c>
      <c r="B10760" s="17">
        <v>7034400.0</v>
      </c>
    </row>
    <row r="10761">
      <c r="A10761" s="17">
        <v>1008000.0</v>
      </c>
      <c r="B10761" s="17">
        <v>7034500.0</v>
      </c>
    </row>
    <row r="10762">
      <c r="A10762" s="17">
        <v>1008000.0</v>
      </c>
      <c r="B10762" s="17">
        <v>7034600.0</v>
      </c>
    </row>
    <row r="10763">
      <c r="A10763" s="17">
        <v>1008000.0</v>
      </c>
      <c r="B10763" s="17">
        <v>7034700.0</v>
      </c>
    </row>
    <row r="10764">
      <c r="A10764" s="17">
        <v>1008000.0</v>
      </c>
      <c r="B10764" s="17">
        <v>7035100.0</v>
      </c>
    </row>
    <row r="10765">
      <c r="A10765" s="17">
        <v>1008000.0</v>
      </c>
      <c r="B10765" s="17">
        <v>7036100.0</v>
      </c>
    </row>
    <row r="10766">
      <c r="A10766" s="17">
        <v>1008000.0</v>
      </c>
      <c r="B10766" s="17">
        <v>7040000.0</v>
      </c>
    </row>
    <row r="10767">
      <c r="A10767" s="17">
        <v>1008000.0</v>
      </c>
      <c r="B10767" s="17">
        <v>7040100.0</v>
      </c>
    </row>
    <row r="10768">
      <c r="A10768" s="17">
        <v>1008000.0</v>
      </c>
      <c r="B10768" s="17">
        <v>7040200.0</v>
      </c>
    </row>
    <row r="10769">
      <c r="A10769" s="17">
        <v>1008000.0</v>
      </c>
      <c r="B10769" s="17">
        <v>7040300.0</v>
      </c>
    </row>
    <row r="10770">
      <c r="A10770" s="17">
        <v>1008000.0</v>
      </c>
      <c r="B10770" s="17">
        <v>7040400.0</v>
      </c>
    </row>
    <row r="10771">
      <c r="A10771" s="17">
        <v>1008000.0</v>
      </c>
      <c r="B10771" s="17">
        <v>7040500.0</v>
      </c>
    </row>
    <row r="10772">
      <c r="A10772" s="17">
        <v>1008000.0</v>
      </c>
      <c r="B10772" s="17">
        <v>7043000.0</v>
      </c>
    </row>
    <row r="10773">
      <c r="A10773" s="17">
        <v>1008000.0</v>
      </c>
      <c r="B10773" s="17">
        <v>7043100.0</v>
      </c>
    </row>
    <row r="10774">
      <c r="A10774" s="17">
        <v>1008000.0</v>
      </c>
      <c r="B10774" s="17">
        <v>7043200.0</v>
      </c>
    </row>
    <row r="10775">
      <c r="A10775" s="17">
        <v>1008000.0</v>
      </c>
      <c r="B10775" s="17">
        <v>7043300.0</v>
      </c>
    </row>
    <row r="10776">
      <c r="A10776" s="17">
        <v>1008000.0</v>
      </c>
      <c r="B10776" s="17">
        <v>7043400.0</v>
      </c>
    </row>
    <row r="10777">
      <c r="A10777" s="17">
        <v>1008000.0</v>
      </c>
      <c r="B10777" s="17">
        <v>7043500.0</v>
      </c>
    </row>
    <row r="10778">
      <c r="A10778" s="17">
        <v>1008000.0</v>
      </c>
      <c r="B10778" s="17">
        <v>7043600.0</v>
      </c>
    </row>
    <row r="10779">
      <c r="A10779" s="17">
        <v>1008000.0</v>
      </c>
      <c r="B10779" s="17">
        <v>7043700.0</v>
      </c>
    </row>
    <row r="10780">
      <c r="A10780" s="17">
        <v>1008000.0</v>
      </c>
      <c r="B10780" s="17">
        <v>7043800.0</v>
      </c>
    </row>
    <row r="10781">
      <c r="A10781" s="17">
        <v>1008000.0</v>
      </c>
      <c r="B10781" s="17">
        <v>7044000.0</v>
      </c>
    </row>
    <row r="10782">
      <c r="A10782" s="17">
        <v>1008000.0</v>
      </c>
      <c r="B10782" s="17">
        <v>7044100.0</v>
      </c>
    </row>
    <row r="10783">
      <c r="A10783" s="17">
        <v>1008000.0</v>
      </c>
      <c r="B10783" s="17">
        <v>7044200.0</v>
      </c>
    </row>
    <row r="10784">
      <c r="A10784" s="17">
        <v>1008000.0</v>
      </c>
      <c r="B10784" s="17">
        <v>7044300.0</v>
      </c>
    </row>
    <row r="10785">
      <c r="A10785" s="17">
        <v>1008000.0</v>
      </c>
      <c r="B10785" s="17">
        <v>7044400.0</v>
      </c>
    </row>
    <row r="10786">
      <c r="A10786" s="17">
        <v>1008000.0</v>
      </c>
      <c r="B10786" s="17">
        <v>7044500.0</v>
      </c>
    </row>
    <row r="10787">
      <c r="A10787" s="17">
        <v>1008000.0</v>
      </c>
      <c r="B10787" s="17">
        <v>7044600.0</v>
      </c>
    </row>
    <row r="10788">
      <c r="A10788" s="17">
        <v>1008000.0</v>
      </c>
      <c r="B10788" s="17">
        <v>7050000.0</v>
      </c>
    </row>
    <row r="10789">
      <c r="A10789" s="17">
        <v>1008000.0</v>
      </c>
      <c r="B10789" s="17">
        <v>7050100.0</v>
      </c>
    </row>
    <row r="10790">
      <c r="A10790" s="17">
        <v>1008000.0</v>
      </c>
      <c r="B10790" s="17">
        <v>7060000.0</v>
      </c>
    </row>
    <row r="10791">
      <c r="A10791" s="17">
        <v>1008000.0</v>
      </c>
      <c r="B10791" s="17">
        <v>7060100.0</v>
      </c>
    </row>
    <row r="10792">
      <c r="A10792" s="17">
        <v>1008000.0</v>
      </c>
      <c r="B10792" s="17">
        <v>7060200.0</v>
      </c>
    </row>
    <row r="10793">
      <c r="A10793" s="17">
        <v>1008000.0</v>
      </c>
      <c r="B10793" s="17">
        <v>7070000.0</v>
      </c>
    </row>
    <row r="10794">
      <c r="A10794" s="17">
        <v>1008000.0</v>
      </c>
      <c r="B10794" s="17">
        <v>7080000.0</v>
      </c>
    </row>
    <row r="10795">
      <c r="A10795" s="17">
        <v>1008000.0</v>
      </c>
      <c r="B10795" s="17">
        <v>7080100.0</v>
      </c>
    </row>
    <row r="10796">
      <c r="A10796" s="17">
        <v>1008000.0</v>
      </c>
      <c r="B10796" s="17">
        <v>7080200.0</v>
      </c>
    </row>
    <row r="10797">
      <c r="A10797" s="17">
        <v>1008000.0</v>
      </c>
      <c r="B10797" s="17">
        <v>7080300.0</v>
      </c>
    </row>
    <row r="10798">
      <c r="A10798" s="17">
        <v>1008000.0</v>
      </c>
      <c r="B10798" s="17">
        <v>7080400.0</v>
      </c>
    </row>
    <row r="10799">
      <c r="A10799" s="17">
        <v>1008000.0</v>
      </c>
      <c r="B10799" s="17">
        <v>7080500.0</v>
      </c>
    </row>
    <row r="10800">
      <c r="A10800" s="17">
        <v>1008000.0</v>
      </c>
      <c r="B10800" s="17">
        <v>7080600.0</v>
      </c>
    </row>
    <row r="10801">
      <c r="A10801" s="17">
        <v>1008000.0</v>
      </c>
      <c r="B10801" s="17">
        <v>7080700.0</v>
      </c>
    </row>
    <row r="10802">
      <c r="A10802" s="17">
        <v>1008000.0</v>
      </c>
      <c r="B10802" s="17">
        <v>7080800.0</v>
      </c>
    </row>
    <row r="10803">
      <c r="A10803" s="17">
        <v>1008000.0</v>
      </c>
      <c r="B10803" s="17">
        <v>7080900.0</v>
      </c>
    </row>
    <row r="10804">
      <c r="A10804" s="17">
        <v>1008000.0</v>
      </c>
      <c r="B10804" s="17">
        <v>7081000.0</v>
      </c>
    </row>
    <row r="10805">
      <c r="A10805" s="17">
        <v>1008000.0</v>
      </c>
      <c r="B10805" s="17">
        <v>7081100.0</v>
      </c>
    </row>
    <row r="10806">
      <c r="A10806" s="17">
        <v>1008000.0</v>
      </c>
      <c r="B10806" s="17">
        <v>7081200.0</v>
      </c>
    </row>
    <row r="10807">
      <c r="A10807" s="17">
        <v>1008000.0</v>
      </c>
      <c r="B10807" s="17">
        <v>7081300.0</v>
      </c>
    </row>
    <row r="10808">
      <c r="A10808" s="17">
        <v>1008000.0</v>
      </c>
      <c r="B10808" s="17">
        <v>7081400.0</v>
      </c>
    </row>
    <row r="10809">
      <c r="A10809" s="17">
        <v>1008000.0</v>
      </c>
      <c r="B10809" s="17">
        <v>7081500.0</v>
      </c>
    </row>
    <row r="10810">
      <c r="A10810" s="17">
        <v>1008000.0</v>
      </c>
      <c r="B10810" s="17">
        <v>7081700.0</v>
      </c>
    </row>
    <row r="10811">
      <c r="A10811" s="17">
        <v>1008000.0</v>
      </c>
      <c r="B10811" s="17">
        <v>7081800.0</v>
      </c>
    </row>
    <row r="10812">
      <c r="A10812" s="17">
        <v>1008000.0</v>
      </c>
      <c r="B10812" s="17">
        <v>7081900.0</v>
      </c>
    </row>
    <row r="10813">
      <c r="A10813" s="17">
        <v>1008000.0</v>
      </c>
      <c r="B10813" s="17">
        <v>7082000.0</v>
      </c>
    </row>
    <row r="10814">
      <c r="A10814" s="17">
        <v>1008000.0</v>
      </c>
      <c r="B10814" s="17">
        <v>7082100.0</v>
      </c>
    </row>
    <row r="10815">
      <c r="A10815" s="17">
        <v>1008000.0</v>
      </c>
      <c r="B10815" s="17">
        <v>7082200.0</v>
      </c>
    </row>
    <row r="10816">
      <c r="A10816" s="17">
        <v>1008000.0</v>
      </c>
      <c r="B10816" s="17">
        <v>7082300.0</v>
      </c>
    </row>
    <row r="10817">
      <c r="A10817" s="17">
        <v>1008000.0</v>
      </c>
      <c r="B10817" s="17">
        <v>7082400.0</v>
      </c>
    </row>
    <row r="10818">
      <c r="A10818" s="17">
        <v>1008000.0</v>
      </c>
      <c r="B10818" s="17">
        <v>7082500.0</v>
      </c>
    </row>
    <row r="10819">
      <c r="A10819" s="17">
        <v>1008000.0</v>
      </c>
      <c r="B10819" s="17">
        <v>7082600.0</v>
      </c>
    </row>
    <row r="10820">
      <c r="A10820" s="17">
        <v>1008000.0</v>
      </c>
      <c r="B10820" s="17">
        <v>7082700.0</v>
      </c>
    </row>
    <row r="10821">
      <c r="A10821" s="17">
        <v>1008000.0</v>
      </c>
      <c r="B10821" s="17">
        <v>7082800.0</v>
      </c>
    </row>
    <row r="10822">
      <c r="A10822" s="17">
        <v>1008000.0</v>
      </c>
      <c r="B10822" s="17">
        <v>7082900.0</v>
      </c>
    </row>
    <row r="10823">
      <c r="A10823" s="17">
        <v>1008000.0</v>
      </c>
      <c r="B10823" s="17">
        <v>7090000.0</v>
      </c>
    </row>
    <row r="10824">
      <c r="A10824" s="17">
        <v>1008000.0</v>
      </c>
      <c r="B10824" s="17">
        <v>7090100.0</v>
      </c>
    </row>
    <row r="10825">
      <c r="A10825" s="17">
        <v>1008000.0</v>
      </c>
      <c r="B10825" s="17">
        <v>7090300.0</v>
      </c>
    </row>
    <row r="10826">
      <c r="A10826" s="17">
        <v>1008000.0</v>
      </c>
      <c r="B10826" s="17">
        <v>7100100.0</v>
      </c>
    </row>
    <row r="10827">
      <c r="A10827" s="17">
        <v>1008000.0</v>
      </c>
      <c r="B10827" s="17">
        <v>7110000.0</v>
      </c>
    </row>
    <row r="10828">
      <c r="A10828" s="17">
        <v>1008000.0</v>
      </c>
      <c r="B10828" s="17">
        <v>7120000.0</v>
      </c>
    </row>
    <row r="10829">
      <c r="A10829" s="17">
        <v>1008000.0</v>
      </c>
      <c r="B10829" s="17">
        <v>7120100.0</v>
      </c>
    </row>
    <row r="10830">
      <c r="A10830" s="17">
        <v>1008000.0</v>
      </c>
      <c r="B10830" s="17">
        <v>7120200.0</v>
      </c>
    </row>
    <row r="10831">
      <c r="A10831" s="17">
        <v>1008000.0</v>
      </c>
      <c r="B10831" s="17">
        <v>7120300.0</v>
      </c>
    </row>
    <row r="10832">
      <c r="A10832" s="17">
        <v>1008000.0</v>
      </c>
      <c r="B10832" s="17">
        <v>7120400.0</v>
      </c>
    </row>
    <row r="10833">
      <c r="A10833" s="17">
        <v>1008000.0</v>
      </c>
      <c r="B10833" s="17">
        <v>7120500.0</v>
      </c>
    </row>
    <row r="10834">
      <c r="A10834" s="17">
        <v>1008000.0</v>
      </c>
      <c r="B10834" s="17">
        <v>7120600.0</v>
      </c>
    </row>
    <row r="10835">
      <c r="A10835" s="17">
        <v>1008000.0</v>
      </c>
      <c r="B10835" s="17">
        <v>7120900.0</v>
      </c>
    </row>
    <row r="10836">
      <c r="A10836" s="17">
        <v>1008000.0</v>
      </c>
      <c r="B10836" s="17">
        <v>7121000.0</v>
      </c>
    </row>
    <row r="10837">
      <c r="A10837" s="17">
        <v>1008000.0</v>
      </c>
      <c r="B10837" s="17">
        <v>7121100.0</v>
      </c>
    </row>
    <row r="10838">
      <c r="A10838" s="17">
        <v>1008000.0</v>
      </c>
      <c r="B10838" s="17">
        <v>7121200.0</v>
      </c>
    </row>
    <row r="10839">
      <c r="A10839" s="17">
        <v>1008000.0</v>
      </c>
      <c r="B10839" s="17">
        <v>7121300.0</v>
      </c>
    </row>
    <row r="10840">
      <c r="A10840" s="17">
        <v>1008000.0</v>
      </c>
      <c r="B10840" s="17">
        <v>7121400.0</v>
      </c>
    </row>
    <row r="10841">
      <c r="A10841" s="17">
        <v>1008000.0</v>
      </c>
      <c r="B10841" s="17">
        <v>7121500.0</v>
      </c>
    </row>
    <row r="10842">
      <c r="A10842" s="17">
        <v>1008000.0</v>
      </c>
      <c r="B10842" s="17">
        <v>7121600.0</v>
      </c>
    </row>
    <row r="10843">
      <c r="A10843" s="17">
        <v>1008000.0</v>
      </c>
      <c r="B10843" s="17">
        <v>7121700.0</v>
      </c>
    </row>
    <row r="10844">
      <c r="A10844" s="17">
        <v>1008000.0</v>
      </c>
      <c r="B10844" s="17">
        <v>7121800.0</v>
      </c>
    </row>
    <row r="10845">
      <c r="A10845" s="17">
        <v>1008000.0</v>
      </c>
      <c r="B10845" s="17">
        <v>7121900.0</v>
      </c>
    </row>
    <row r="10846">
      <c r="A10846" s="17">
        <v>1008000.0</v>
      </c>
      <c r="B10846" s="17">
        <v>7122000.0</v>
      </c>
    </row>
    <row r="10847">
      <c r="A10847" s="17">
        <v>1008000.0</v>
      </c>
      <c r="B10847" s="17">
        <v>7122100.0</v>
      </c>
    </row>
    <row r="10848">
      <c r="A10848" s="17">
        <v>1008000.0</v>
      </c>
      <c r="B10848" s="17">
        <v>7122200.0</v>
      </c>
    </row>
    <row r="10849">
      <c r="A10849" s="17">
        <v>1008000.0</v>
      </c>
      <c r="B10849" s="17">
        <v>7122300.0</v>
      </c>
    </row>
    <row r="10850">
      <c r="A10850" s="17">
        <v>1008000.0</v>
      </c>
      <c r="B10850" s="17">
        <v>7122400.0</v>
      </c>
    </row>
    <row r="10851">
      <c r="A10851" s="17">
        <v>1008000.0</v>
      </c>
      <c r="B10851" s="17">
        <v>7122500.0</v>
      </c>
    </row>
    <row r="10852">
      <c r="A10852" s="17">
        <v>1008000.0</v>
      </c>
      <c r="B10852" s="17">
        <v>7122600.0</v>
      </c>
    </row>
    <row r="10853">
      <c r="A10853" s="17">
        <v>1008000.0</v>
      </c>
      <c r="B10853" s="17">
        <v>7122700.0</v>
      </c>
    </row>
    <row r="10854">
      <c r="A10854" s="17">
        <v>1008000.0</v>
      </c>
      <c r="B10854" s="17">
        <v>7122800.0</v>
      </c>
    </row>
    <row r="10855">
      <c r="A10855" s="17">
        <v>1008000.0</v>
      </c>
      <c r="B10855" s="17">
        <v>7122900.0</v>
      </c>
    </row>
    <row r="10856">
      <c r="A10856" s="17">
        <v>1008000.0</v>
      </c>
      <c r="B10856" s="17">
        <v>7123000.0</v>
      </c>
    </row>
    <row r="10857">
      <c r="A10857" s="17">
        <v>1008000.0</v>
      </c>
      <c r="B10857" s="17">
        <v>7123100.0</v>
      </c>
    </row>
    <row r="10858">
      <c r="A10858" s="17">
        <v>1008000.0</v>
      </c>
      <c r="B10858" s="17">
        <v>7123200.0</v>
      </c>
    </row>
    <row r="10859">
      <c r="A10859" s="17">
        <v>1008000.0</v>
      </c>
      <c r="B10859" s="17">
        <v>7123300.0</v>
      </c>
    </row>
    <row r="10860">
      <c r="A10860" s="17">
        <v>1008000.0</v>
      </c>
      <c r="B10860" s="17">
        <v>7123400.0</v>
      </c>
    </row>
    <row r="10861">
      <c r="A10861" s="17">
        <v>1008000.0</v>
      </c>
      <c r="B10861" s="17">
        <v>7123500.0</v>
      </c>
    </row>
    <row r="10862">
      <c r="A10862" s="17">
        <v>1008000.0</v>
      </c>
      <c r="B10862" s="17">
        <v>7123600.0</v>
      </c>
    </row>
    <row r="10863">
      <c r="A10863" s="17">
        <v>1008000.0</v>
      </c>
      <c r="B10863" s="17">
        <v>7123700.0</v>
      </c>
    </row>
    <row r="10864">
      <c r="A10864" s="17">
        <v>1008000.0</v>
      </c>
      <c r="B10864" s="17">
        <v>7123800.0</v>
      </c>
    </row>
    <row r="10865">
      <c r="A10865" s="17">
        <v>1008000.0</v>
      </c>
      <c r="B10865" s="17">
        <v>7123900.0</v>
      </c>
    </row>
    <row r="10866">
      <c r="A10866" s="17">
        <v>1008000.0</v>
      </c>
      <c r="B10866" s="17">
        <v>7124000.0</v>
      </c>
    </row>
    <row r="10867">
      <c r="A10867" s="17">
        <v>1008000.0</v>
      </c>
      <c r="B10867" s="17">
        <v>7124100.0</v>
      </c>
    </row>
    <row r="10868">
      <c r="A10868" s="17">
        <v>1008000.0</v>
      </c>
      <c r="B10868" s="17">
        <v>7124300.0</v>
      </c>
    </row>
    <row r="10869">
      <c r="A10869" s="17">
        <v>1008000.0</v>
      </c>
      <c r="B10869" s="17">
        <v>7124400.0</v>
      </c>
    </row>
    <row r="10870">
      <c r="A10870" s="17">
        <v>1008000.0</v>
      </c>
      <c r="B10870" s="17">
        <v>7124500.0</v>
      </c>
    </row>
    <row r="10871">
      <c r="A10871" s="17">
        <v>1008000.0</v>
      </c>
      <c r="B10871" s="17">
        <v>7124600.0</v>
      </c>
    </row>
    <row r="10872">
      <c r="A10872" s="17">
        <v>1008000.0</v>
      </c>
      <c r="B10872" s="17">
        <v>7124700.0</v>
      </c>
    </row>
    <row r="10873">
      <c r="A10873" s="17">
        <v>1008000.0</v>
      </c>
      <c r="B10873" s="17">
        <v>7126000.0</v>
      </c>
    </row>
    <row r="10874">
      <c r="A10874" s="17">
        <v>1008000.0</v>
      </c>
      <c r="B10874" s="17">
        <v>7150000.0</v>
      </c>
    </row>
    <row r="10875">
      <c r="A10875" s="17">
        <v>1008000.0</v>
      </c>
      <c r="B10875" s="17">
        <v>7160000.0</v>
      </c>
    </row>
    <row r="10876">
      <c r="A10876" s="17">
        <v>1008000.0</v>
      </c>
      <c r="B10876" s="17">
        <v>7220000.0</v>
      </c>
    </row>
    <row r="10877">
      <c r="A10877" s="17">
        <v>1008000.0</v>
      </c>
      <c r="B10877" s="17">
        <v>7230000.0</v>
      </c>
    </row>
    <row r="10878">
      <c r="A10878" s="17">
        <v>1008000.0</v>
      </c>
      <c r="B10878" s="17">
        <v>7240000.0</v>
      </c>
    </row>
    <row r="10879">
      <c r="A10879" s="17">
        <v>1008000.0</v>
      </c>
      <c r="B10879" s="17">
        <v>7260000.0</v>
      </c>
    </row>
    <row r="10880">
      <c r="A10880" s="17">
        <v>1008000.0</v>
      </c>
      <c r="B10880" s="17">
        <v>7260300.0</v>
      </c>
    </row>
    <row r="10881">
      <c r="A10881" s="17">
        <v>1008000.0</v>
      </c>
      <c r="B10881" s="17">
        <v>7260400.0</v>
      </c>
    </row>
    <row r="10882">
      <c r="A10882" s="17">
        <v>1008000.0</v>
      </c>
      <c r="B10882" s="17">
        <v>7270100.0</v>
      </c>
    </row>
    <row r="10883">
      <c r="A10883" s="17">
        <v>1008000.0</v>
      </c>
      <c r="B10883" s="17">
        <v>7280000.0</v>
      </c>
    </row>
    <row r="10884">
      <c r="A10884" s="17">
        <v>1008000.0</v>
      </c>
      <c r="B10884" s="17">
        <v>7290000.0</v>
      </c>
    </row>
    <row r="10885">
      <c r="A10885" s="17">
        <v>1008000.0</v>
      </c>
      <c r="B10885" s="17">
        <v>7310000.0</v>
      </c>
    </row>
    <row r="10886">
      <c r="A10886" s="17">
        <v>1008000.0</v>
      </c>
      <c r="B10886" s="17">
        <v>7330000.0</v>
      </c>
    </row>
    <row r="10887">
      <c r="A10887" s="17">
        <v>1008000.0</v>
      </c>
      <c r="B10887" s="17">
        <v>7330100.0</v>
      </c>
    </row>
    <row r="10888">
      <c r="A10888" s="17">
        <v>1008000.0</v>
      </c>
      <c r="B10888" s="17">
        <v>7330200.0</v>
      </c>
    </row>
    <row r="10889">
      <c r="A10889" s="17">
        <v>1008000.0</v>
      </c>
      <c r="B10889" s="17">
        <v>7330300.0</v>
      </c>
    </row>
    <row r="10890">
      <c r="A10890" s="17">
        <v>1008000.0</v>
      </c>
      <c r="B10890" s="17">
        <v>7330400.0</v>
      </c>
    </row>
    <row r="10891">
      <c r="A10891" s="17">
        <v>1008000.0</v>
      </c>
      <c r="B10891" s="17">
        <v>7330500.0</v>
      </c>
    </row>
    <row r="10892">
      <c r="A10892" s="17">
        <v>1008000.0</v>
      </c>
      <c r="B10892" s="17">
        <v>7330600.0</v>
      </c>
    </row>
    <row r="10893">
      <c r="A10893" s="17">
        <v>1008000.0</v>
      </c>
      <c r="B10893" s="17">
        <v>7330700.0</v>
      </c>
    </row>
    <row r="10894">
      <c r="A10894" s="17">
        <v>1008000.0</v>
      </c>
      <c r="B10894" s="17">
        <v>7330800.0</v>
      </c>
    </row>
    <row r="10895">
      <c r="A10895" s="17">
        <v>1008000.0</v>
      </c>
      <c r="B10895" s="17">
        <v>7330900.0</v>
      </c>
    </row>
    <row r="10896">
      <c r="A10896" s="17">
        <v>1008000.0</v>
      </c>
      <c r="B10896" s="17">
        <v>7331000.0</v>
      </c>
    </row>
    <row r="10897">
      <c r="A10897" s="17">
        <v>1008000.0</v>
      </c>
      <c r="B10897" s="17">
        <v>7331100.0</v>
      </c>
    </row>
    <row r="10898">
      <c r="A10898" s="17">
        <v>1008000.0</v>
      </c>
      <c r="B10898" s="17">
        <v>7331200.0</v>
      </c>
    </row>
    <row r="10899">
      <c r="A10899" s="17">
        <v>1008000.0</v>
      </c>
      <c r="B10899" s="17">
        <v>7331300.0</v>
      </c>
    </row>
    <row r="10900">
      <c r="A10900" s="17">
        <v>1008000.0</v>
      </c>
      <c r="B10900" s="17">
        <v>7331400.0</v>
      </c>
    </row>
    <row r="10901">
      <c r="A10901" s="17">
        <v>1008000.0</v>
      </c>
      <c r="B10901" s="17">
        <v>7331500.0</v>
      </c>
    </row>
    <row r="10902">
      <c r="A10902" s="17">
        <v>1008000.0</v>
      </c>
      <c r="B10902" s="17">
        <v>7331700.0</v>
      </c>
    </row>
    <row r="10903">
      <c r="A10903" s="17">
        <v>1008000.0</v>
      </c>
      <c r="B10903" s="17">
        <v>7331800.0</v>
      </c>
    </row>
    <row r="10904">
      <c r="A10904" s="17">
        <v>1008000.0</v>
      </c>
      <c r="B10904" s="17">
        <v>7331900.0</v>
      </c>
    </row>
    <row r="10905">
      <c r="A10905" s="17">
        <v>1008000.0</v>
      </c>
      <c r="B10905" s="17">
        <v>7332000.0</v>
      </c>
    </row>
    <row r="10906">
      <c r="A10906" s="17">
        <v>1008000.0</v>
      </c>
      <c r="B10906" s="17">
        <v>7332100.0</v>
      </c>
    </row>
    <row r="10907">
      <c r="A10907" s="17">
        <v>1008000.0</v>
      </c>
      <c r="B10907" s="17">
        <v>7332200.0</v>
      </c>
    </row>
    <row r="10908">
      <c r="A10908" s="17">
        <v>1008000.0</v>
      </c>
      <c r="B10908" s="17">
        <v>7332300.0</v>
      </c>
    </row>
    <row r="10909">
      <c r="A10909" s="17">
        <v>1008000.0</v>
      </c>
      <c r="B10909" s="17">
        <v>7332400.0</v>
      </c>
    </row>
    <row r="10910">
      <c r="A10910" s="17">
        <v>1008000.0</v>
      </c>
      <c r="B10910" s="17">
        <v>7340000.0</v>
      </c>
    </row>
    <row r="10911">
      <c r="A10911" s="17">
        <v>1008000.0</v>
      </c>
      <c r="B10911" s="17">
        <v>7340100.0</v>
      </c>
    </row>
    <row r="10912">
      <c r="A10912" s="17">
        <v>1008000.0</v>
      </c>
      <c r="B10912" s="17">
        <v>7340200.0</v>
      </c>
    </row>
    <row r="10913">
      <c r="A10913" s="17">
        <v>1008000.0</v>
      </c>
      <c r="B10913" s="17">
        <v>7340300.0</v>
      </c>
    </row>
    <row r="10914">
      <c r="A10914" s="17">
        <v>1008000.0</v>
      </c>
      <c r="B10914" s="17">
        <v>7340400.0</v>
      </c>
    </row>
    <row r="10915">
      <c r="A10915" s="17">
        <v>1008000.0</v>
      </c>
      <c r="B10915" s="17">
        <v>7340500.0</v>
      </c>
    </row>
    <row r="10916">
      <c r="A10916" s="17">
        <v>1008000.0</v>
      </c>
      <c r="B10916" s="17">
        <v>7340600.0</v>
      </c>
    </row>
    <row r="10917">
      <c r="A10917" s="17">
        <v>1008000.0</v>
      </c>
      <c r="B10917" s="17">
        <v>7340700.0</v>
      </c>
    </row>
    <row r="10918">
      <c r="A10918" s="17">
        <v>1008000.0</v>
      </c>
      <c r="B10918" s="17">
        <v>7340800.0</v>
      </c>
    </row>
    <row r="10919">
      <c r="A10919" s="17">
        <v>1008000.0</v>
      </c>
      <c r="B10919" s="17">
        <v>7340900.0</v>
      </c>
    </row>
    <row r="10920">
      <c r="A10920" s="17">
        <v>1008000.0</v>
      </c>
      <c r="B10920" s="17">
        <v>7341000.0</v>
      </c>
    </row>
    <row r="10921">
      <c r="A10921" s="17">
        <v>1008000.0</v>
      </c>
      <c r="B10921" s="17">
        <v>7341100.0</v>
      </c>
    </row>
    <row r="10922">
      <c r="A10922" s="17">
        <v>1008000.0</v>
      </c>
      <c r="B10922" s="17">
        <v>7341200.0</v>
      </c>
    </row>
    <row r="10923">
      <c r="A10923" s="17">
        <v>1008000.0</v>
      </c>
      <c r="B10923" s="17">
        <v>7341300.0</v>
      </c>
    </row>
    <row r="10924">
      <c r="A10924" s="17">
        <v>1008000.0</v>
      </c>
      <c r="B10924" s="17">
        <v>7341400.0</v>
      </c>
    </row>
    <row r="10925">
      <c r="A10925" s="17">
        <v>1008000.0</v>
      </c>
      <c r="B10925" s="17">
        <v>7341500.0</v>
      </c>
    </row>
    <row r="10926">
      <c r="A10926" s="17">
        <v>1008000.0</v>
      </c>
      <c r="B10926" s="17">
        <v>7341700.0</v>
      </c>
    </row>
    <row r="10927">
      <c r="A10927" s="17">
        <v>1008000.0</v>
      </c>
      <c r="B10927" s="17">
        <v>7341800.0</v>
      </c>
    </row>
    <row r="10928">
      <c r="A10928" s="17">
        <v>1008000.0</v>
      </c>
      <c r="B10928" s="17">
        <v>7341900.0</v>
      </c>
    </row>
    <row r="10929">
      <c r="A10929" s="17">
        <v>1008000.0</v>
      </c>
      <c r="B10929" s="17">
        <v>7342000.0</v>
      </c>
    </row>
    <row r="10930">
      <c r="A10930" s="17">
        <v>1008000.0</v>
      </c>
      <c r="B10930" s="17">
        <v>7342100.0</v>
      </c>
    </row>
    <row r="10931">
      <c r="A10931" s="17">
        <v>1008000.0</v>
      </c>
      <c r="B10931" s="17">
        <v>7342200.0</v>
      </c>
    </row>
    <row r="10932">
      <c r="A10932" s="17">
        <v>1008000.0</v>
      </c>
      <c r="B10932" s="17">
        <v>7342300.0</v>
      </c>
    </row>
    <row r="10933">
      <c r="A10933" s="17">
        <v>1008000.0</v>
      </c>
      <c r="B10933" s="17">
        <v>7342400.0</v>
      </c>
    </row>
    <row r="10934">
      <c r="A10934" s="17">
        <v>1008000.0</v>
      </c>
      <c r="B10934" s="17">
        <v>7350000.0</v>
      </c>
    </row>
    <row r="10935">
      <c r="A10935" s="17">
        <v>1008000.0</v>
      </c>
      <c r="B10935" s="17">
        <v>7350100.0</v>
      </c>
    </row>
    <row r="10936">
      <c r="A10936" s="17">
        <v>1008000.0</v>
      </c>
      <c r="B10936" s="17">
        <v>7350200.0</v>
      </c>
    </row>
    <row r="10937">
      <c r="A10937" s="17">
        <v>1008000.0</v>
      </c>
      <c r="B10937" s="17">
        <v>7350300.0</v>
      </c>
    </row>
    <row r="10938">
      <c r="A10938" s="17">
        <v>1008000.0</v>
      </c>
      <c r="B10938" s="17">
        <v>7350400.0</v>
      </c>
    </row>
    <row r="10939">
      <c r="A10939" s="17">
        <v>1008000.0</v>
      </c>
      <c r="B10939" s="17">
        <v>7350500.0</v>
      </c>
    </row>
    <row r="10940">
      <c r="A10940" s="17">
        <v>1008000.0</v>
      </c>
      <c r="B10940" s="17">
        <v>7350600.0</v>
      </c>
    </row>
    <row r="10941">
      <c r="A10941" s="17">
        <v>1008000.0</v>
      </c>
      <c r="B10941" s="17">
        <v>7350700.0</v>
      </c>
    </row>
    <row r="10942">
      <c r="A10942" s="17">
        <v>1008000.0</v>
      </c>
      <c r="B10942" s="17">
        <v>7350800.0</v>
      </c>
    </row>
    <row r="10943">
      <c r="A10943" s="17">
        <v>1008000.0</v>
      </c>
      <c r="B10943" s="17">
        <v>7350900.0</v>
      </c>
    </row>
    <row r="10944">
      <c r="A10944" s="17">
        <v>1008000.0</v>
      </c>
      <c r="B10944" s="17">
        <v>7351000.0</v>
      </c>
    </row>
    <row r="10945">
      <c r="A10945" s="17">
        <v>1008000.0</v>
      </c>
      <c r="B10945" s="17">
        <v>7351100.0</v>
      </c>
    </row>
    <row r="10946">
      <c r="A10946" s="17">
        <v>1008000.0</v>
      </c>
      <c r="B10946" s="17">
        <v>7351200.0</v>
      </c>
    </row>
    <row r="10947">
      <c r="A10947" s="17">
        <v>1008000.0</v>
      </c>
      <c r="B10947" s="17">
        <v>7351300.0</v>
      </c>
    </row>
    <row r="10948">
      <c r="A10948" s="17">
        <v>1008000.0</v>
      </c>
      <c r="B10948" s="17">
        <v>7351400.0</v>
      </c>
    </row>
    <row r="10949">
      <c r="A10949" s="17">
        <v>1008000.0</v>
      </c>
      <c r="B10949" s="17">
        <v>7351500.0</v>
      </c>
    </row>
    <row r="10950">
      <c r="A10950" s="17">
        <v>1008000.0</v>
      </c>
      <c r="B10950" s="17">
        <v>7351700.0</v>
      </c>
    </row>
    <row r="10951">
      <c r="A10951" s="17">
        <v>1008000.0</v>
      </c>
      <c r="B10951" s="17">
        <v>7351800.0</v>
      </c>
    </row>
    <row r="10952">
      <c r="A10952" s="17">
        <v>1008000.0</v>
      </c>
      <c r="B10952" s="17">
        <v>7351900.0</v>
      </c>
    </row>
    <row r="10953">
      <c r="A10953" s="17">
        <v>1008000.0</v>
      </c>
      <c r="B10953" s="17">
        <v>7352000.0</v>
      </c>
    </row>
    <row r="10954">
      <c r="A10954" s="17">
        <v>1008000.0</v>
      </c>
      <c r="B10954" s="17">
        <v>7352100.0</v>
      </c>
    </row>
    <row r="10955">
      <c r="A10955" s="17">
        <v>1008000.0</v>
      </c>
      <c r="B10955" s="17">
        <v>7352200.0</v>
      </c>
    </row>
    <row r="10956">
      <c r="A10956" s="17">
        <v>1008000.0</v>
      </c>
      <c r="B10956" s="17">
        <v>7352300.0</v>
      </c>
    </row>
    <row r="10957">
      <c r="A10957" s="17">
        <v>1008000.0</v>
      </c>
      <c r="B10957" s="17">
        <v>7352400.0</v>
      </c>
    </row>
    <row r="10958">
      <c r="A10958" s="17">
        <v>1008000.0</v>
      </c>
      <c r="B10958" s="17">
        <v>7360600.0</v>
      </c>
    </row>
    <row r="10959">
      <c r="A10959" s="17">
        <v>1008000.0</v>
      </c>
      <c r="B10959" s="17">
        <v>7360900.0</v>
      </c>
    </row>
    <row r="10960">
      <c r="A10960" s="17">
        <v>1008000.0</v>
      </c>
      <c r="B10960" s="17">
        <v>7361200.0</v>
      </c>
    </row>
    <row r="10961">
      <c r="A10961" s="17">
        <v>1008000.0</v>
      </c>
      <c r="B10961" s="17">
        <v>7361300.0</v>
      </c>
    </row>
    <row r="10962">
      <c r="A10962" s="17">
        <v>1008000.0</v>
      </c>
      <c r="B10962" s="17">
        <v>7362100.0</v>
      </c>
    </row>
    <row r="10963">
      <c r="A10963" s="17">
        <v>1008000.0</v>
      </c>
      <c r="B10963" s="17">
        <v>7370300.0</v>
      </c>
    </row>
    <row r="10964">
      <c r="A10964" s="17">
        <v>1008000.0</v>
      </c>
      <c r="B10964" s="17">
        <v>7370400.0</v>
      </c>
    </row>
    <row r="10965">
      <c r="A10965" s="17">
        <v>1008000.0</v>
      </c>
      <c r="B10965" s="17">
        <v>7370600.0</v>
      </c>
    </row>
    <row r="10966">
      <c r="A10966" s="17">
        <v>1008000.0</v>
      </c>
      <c r="B10966" s="17">
        <v>7370900.0</v>
      </c>
    </row>
    <row r="10967">
      <c r="A10967" s="17">
        <v>1008000.0</v>
      </c>
      <c r="B10967" s="17">
        <v>7371500.0</v>
      </c>
    </row>
    <row r="10968">
      <c r="A10968" s="17">
        <v>1008000.0</v>
      </c>
      <c r="B10968" s="17">
        <v>7036200.0</v>
      </c>
    </row>
    <row r="10969">
      <c r="A10969" s="17">
        <v>1008000.0</v>
      </c>
      <c r="B10969" s="17">
        <v>7036300.0</v>
      </c>
    </row>
    <row r="10970">
      <c r="A10970" s="17">
        <v>1008000.0</v>
      </c>
      <c r="B10970" s="17">
        <v>7036400.0</v>
      </c>
    </row>
    <row r="10971">
      <c r="A10971" s="17">
        <v>1008000.0</v>
      </c>
      <c r="B10971" s="17">
        <v>7036500.0</v>
      </c>
    </row>
    <row r="10972">
      <c r="A10972" s="17">
        <v>1008000.0</v>
      </c>
      <c r="B10972" s="17">
        <v>7036800.0</v>
      </c>
    </row>
    <row r="10973">
      <c r="A10973" s="17">
        <v>1008000.0</v>
      </c>
      <c r="B10973" s="17">
        <v>7036900.0</v>
      </c>
    </row>
    <row r="10974">
      <c r="A10974" s="17">
        <v>1008000.0</v>
      </c>
      <c r="B10974" s="17">
        <v>7037000.0</v>
      </c>
    </row>
    <row r="10975">
      <c r="A10975" s="17">
        <v>1008000.0</v>
      </c>
      <c r="B10975" s="17">
        <v>7037300.0</v>
      </c>
    </row>
    <row r="10976">
      <c r="A10976" s="17">
        <v>1008000.0</v>
      </c>
      <c r="B10976" s="17">
        <v>6630000.0</v>
      </c>
    </row>
    <row r="10977">
      <c r="A10977" s="17">
        <v>1008000.0</v>
      </c>
      <c r="B10977" s="17">
        <v>6630100.0</v>
      </c>
    </row>
    <row r="10978">
      <c r="A10978" s="17">
        <v>1008000.0</v>
      </c>
      <c r="B10978" s="17">
        <v>6630200.0</v>
      </c>
    </row>
    <row r="10979">
      <c r="A10979" s="17">
        <v>1008000.0</v>
      </c>
      <c r="B10979" s="17">
        <v>6630300.0</v>
      </c>
    </row>
    <row r="10980">
      <c r="A10980" s="17">
        <v>1008000.0</v>
      </c>
      <c r="B10980" s="17">
        <v>6630400.0</v>
      </c>
    </row>
    <row r="10981">
      <c r="A10981" s="17">
        <v>1008000.0</v>
      </c>
      <c r="B10981" s="17">
        <v>6630500.0</v>
      </c>
    </row>
    <row r="10982">
      <c r="A10982" s="17">
        <v>1008000.0</v>
      </c>
      <c r="B10982" s="17">
        <v>6630600.0</v>
      </c>
    </row>
    <row r="10983">
      <c r="A10983" s="17">
        <v>1008000.0</v>
      </c>
      <c r="B10983" s="17">
        <v>6630700.0</v>
      </c>
    </row>
    <row r="10984">
      <c r="A10984" s="17">
        <v>1008000.0</v>
      </c>
      <c r="B10984" s="17">
        <v>6630800.0</v>
      </c>
    </row>
    <row r="10985">
      <c r="A10985" s="17">
        <v>1008000.0</v>
      </c>
      <c r="B10985" s="17">
        <v>6630900.0</v>
      </c>
    </row>
    <row r="10986">
      <c r="A10986" s="17">
        <v>1008000.0</v>
      </c>
      <c r="B10986" s="17">
        <v>6631000.0</v>
      </c>
    </row>
    <row r="10987">
      <c r="A10987" s="17">
        <v>1008000.0</v>
      </c>
      <c r="B10987" s="17">
        <v>6631100.0</v>
      </c>
    </row>
    <row r="10988">
      <c r="A10988" s="17">
        <v>1008000.0</v>
      </c>
      <c r="B10988" s="17">
        <v>6631200.0</v>
      </c>
    </row>
    <row r="10989">
      <c r="A10989" s="17">
        <v>1008000.0</v>
      </c>
      <c r="B10989" s="17">
        <v>6631300.0</v>
      </c>
    </row>
    <row r="10990">
      <c r="A10990" s="17">
        <v>1008000.0</v>
      </c>
      <c r="B10990" s="17">
        <v>6631400.0</v>
      </c>
    </row>
    <row r="10991">
      <c r="A10991" s="17">
        <v>1008000.0</v>
      </c>
      <c r="B10991" s="17">
        <v>6631500.0</v>
      </c>
    </row>
    <row r="10992">
      <c r="A10992" s="17">
        <v>1008000.0</v>
      </c>
      <c r="B10992" s="17">
        <v>6631600.0</v>
      </c>
    </row>
    <row r="10993">
      <c r="A10993" s="17">
        <v>1008000.0</v>
      </c>
      <c r="B10993" s="17">
        <v>6631700.0</v>
      </c>
    </row>
    <row r="10994">
      <c r="A10994" s="17">
        <v>1008000.0</v>
      </c>
      <c r="B10994" s="17">
        <v>6631800.0</v>
      </c>
    </row>
    <row r="10995">
      <c r="A10995" s="17">
        <v>1008000.0</v>
      </c>
      <c r="B10995" s="17">
        <v>6631900.0</v>
      </c>
    </row>
    <row r="10996">
      <c r="A10996" s="17">
        <v>1008000.0</v>
      </c>
      <c r="B10996" s="17">
        <v>6632000.0</v>
      </c>
    </row>
    <row r="10997">
      <c r="A10997" s="17">
        <v>1008000.0</v>
      </c>
      <c r="B10997" s="17">
        <v>6632100.0</v>
      </c>
    </row>
    <row r="10998">
      <c r="A10998" s="17">
        <v>1008000.0</v>
      </c>
      <c r="B10998" s="17">
        <v>6632200.0</v>
      </c>
    </row>
    <row r="10999">
      <c r="A10999" s="17">
        <v>1008000.0</v>
      </c>
      <c r="B10999" s="17">
        <v>6632300.0</v>
      </c>
    </row>
    <row r="11000">
      <c r="A11000" s="17">
        <v>1008000.0</v>
      </c>
      <c r="B11000" s="17">
        <v>6632400.0</v>
      </c>
    </row>
    <row r="11001">
      <c r="A11001" s="17">
        <v>1008000.0</v>
      </c>
      <c r="B11001" s="17">
        <v>6632500.0</v>
      </c>
    </row>
    <row r="11002">
      <c r="A11002" s="17">
        <v>1008000.0</v>
      </c>
      <c r="B11002" s="17">
        <v>6632600.0</v>
      </c>
    </row>
    <row r="11003">
      <c r="A11003" s="17">
        <v>1008000.0</v>
      </c>
      <c r="B11003" s="17">
        <v>6632700.0</v>
      </c>
    </row>
    <row r="11004">
      <c r="A11004" s="17">
        <v>1008000.0</v>
      </c>
      <c r="B11004" s="17">
        <v>6632800.0</v>
      </c>
    </row>
    <row r="11005">
      <c r="A11005" s="17">
        <v>1008000.0</v>
      </c>
      <c r="B11005" s="17">
        <v>6632900.0</v>
      </c>
    </row>
    <row r="11006">
      <c r="A11006" s="17">
        <v>1008000.0</v>
      </c>
      <c r="B11006" s="17">
        <v>6633000.0</v>
      </c>
    </row>
    <row r="11007">
      <c r="A11007" s="17">
        <v>1008000.0</v>
      </c>
      <c r="B11007" s="17">
        <v>6633100.0</v>
      </c>
    </row>
    <row r="11008">
      <c r="A11008" s="17">
        <v>1008000.0</v>
      </c>
      <c r="B11008" s="17">
        <v>6633200.0</v>
      </c>
    </row>
    <row r="11009">
      <c r="A11009" s="17">
        <v>1008000.0</v>
      </c>
      <c r="B11009" s="17">
        <v>6647200.0</v>
      </c>
    </row>
    <row r="11010">
      <c r="A11010" s="17">
        <v>1008000.0</v>
      </c>
      <c r="B11010" s="17">
        <v>6647300.0</v>
      </c>
    </row>
    <row r="11011">
      <c r="A11011" s="17">
        <v>1008000.0</v>
      </c>
      <c r="B11011" s="17">
        <v>6647400.0</v>
      </c>
    </row>
    <row r="11012">
      <c r="A11012" s="17">
        <v>1008000.0</v>
      </c>
      <c r="B11012" s="17">
        <v>6647500.0</v>
      </c>
    </row>
    <row r="11013">
      <c r="A11013" s="17">
        <v>1008000.0</v>
      </c>
      <c r="B11013" s="17">
        <v>6640000.0</v>
      </c>
    </row>
    <row r="11014">
      <c r="A11014" s="17">
        <v>1008000.0</v>
      </c>
      <c r="B11014" s="17">
        <v>6640100.0</v>
      </c>
    </row>
    <row r="11015">
      <c r="A11015" s="17">
        <v>1008000.0</v>
      </c>
      <c r="B11015" s="17">
        <v>6641000.0</v>
      </c>
    </row>
    <row r="11016">
      <c r="A11016" s="17">
        <v>1008000.0</v>
      </c>
      <c r="B11016" s="17">
        <v>6641100.0</v>
      </c>
    </row>
    <row r="11017">
      <c r="A11017" s="17">
        <v>1008000.0</v>
      </c>
      <c r="B11017" s="17">
        <v>6642000.0</v>
      </c>
    </row>
    <row r="11018">
      <c r="A11018" s="17">
        <v>1008000.0</v>
      </c>
      <c r="B11018" s="17">
        <v>6642100.0</v>
      </c>
    </row>
    <row r="11019">
      <c r="A11019" s="17">
        <v>1008000.0</v>
      </c>
      <c r="B11019" s="17">
        <v>6643000.0</v>
      </c>
    </row>
    <row r="11020">
      <c r="A11020" s="17">
        <v>1008000.0</v>
      </c>
      <c r="B11020" s="17">
        <v>6643100.0</v>
      </c>
    </row>
    <row r="11021">
      <c r="A11021" s="17">
        <v>1008000.0</v>
      </c>
      <c r="B11021" s="17">
        <v>6644000.0</v>
      </c>
    </row>
    <row r="11022">
      <c r="A11022" s="17">
        <v>1008000.0</v>
      </c>
      <c r="B11022" s="17">
        <v>6644100.0</v>
      </c>
    </row>
    <row r="11023">
      <c r="A11023" s="17">
        <v>1008000.0</v>
      </c>
      <c r="B11023" s="17">
        <v>6645000.0</v>
      </c>
    </row>
    <row r="11024">
      <c r="A11024" s="17">
        <v>1008000.0</v>
      </c>
      <c r="B11024" s="17">
        <v>6645100.0</v>
      </c>
    </row>
    <row r="11025">
      <c r="A11025" s="17">
        <v>1008000.0</v>
      </c>
      <c r="B11025" s="17">
        <v>6646000.0</v>
      </c>
    </row>
    <row r="11026">
      <c r="A11026" s="17">
        <v>1008000.0</v>
      </c>
      <c r="B11026" s="17">
        <v>6646100.0</v>
      </c>
    </row>
    <row r="11027">
      <c r="A11027" s="17">
        <v>1008000.0</v>
      </c>
      <c r="B11027" s="17">
        <v>6647000.0</v>
      </c>
    </row>
    <row r="11028">
      <c r="A11028" s="17">
        <v>1008000.0</v>
      </c>
      <c r="B11028" s="17">
        <v>6647100.0</v>
      </c>
    </row>
    <row r="11029">
      <c r="A11029" s="17">
        <v>1008001.0</v>
      </c>
      <c r="B11029" s="17">
        <v>7000000.0</v>
      </c>
    </row>
    <row r="11030">
      <c r="A11030" s="17">
        <v>1008001.0</v>
      </c>
      <c r="B11030" s="17">
        <v>7000001.0</v>
      </c>
    </row>
    <row r="11031">
      <c r="A11031" s="17">
        <v>1008001.0</v>
      </c>
      <c r="B11031" s="17">
        <v>7000002.0</v>
      </c>
    </row>
    <row r="11032">
      <c r="A11032" s="17">
        <v>1008001.0</v>
      </c>
      <c r="B11032" s="17">
        <v>7000100.0</v>
      </c>
    </row>
    <row r="11033">
      <c r="A11033" s="17">
        <v>1008001.0</v>
      </c>
      <c r="B11033" s="17">
        <v>7000101.0</v>
      </c>
    </row>
    <row r="11034">
      <c r="A11034" s="17">
        <v>1008001.0</v>
      </c>
      <c r="B11034" s="17">
        <v>7000102.0</v>
      </c>
    </row>
    <row r="11035">
      <c r="A11035" s="17">
        <v>1008001.0</v>
      </c>
      <c r="B11035" s="17">
        <v>7000200.0</v>
      </c>
    </row>
    <row r="11036">
      <c r="A11036" s="17">
        <v>1008001.0</v>
      </c>
      <c r="B11036" s="17">
        <v>7000201.0</v>
      </c>
    </row>
    <row r="11037">
      <c r="A11037" s="17">
        <v>1008001.0</v>
      </c>
      <c r="B11037" s="17">
        <v>7000202.0</v>
      </c>
    </row>
    <row r="11038">
      <c r="A11038" s="17">
        <v>1008001.0</v>
      </c>
      <c r="B11038" s="17">
        <v>7000300.0</v>
      </c>
    </row>
    <row r="11039">
      <c r="A11039" s="17">
        <v>1008001.0</v>
      </c>
      <c r="B11039" s="17">
        <v>7000301.0</v>
      </c>
    </row>
    <row r="11040">
      <c r="A11040" s="17">
        <v>1008001.0</v>
      </c>
      <c r="B11040" s="17">
        <v>7000302.0</v>
      </c>
    </row>
    <row r="11041">
      <c r="A11041" s="17">
        <v>1008001.0</v>
      </c>
      <c r="B11041" s="17">
        <v>7000400.0</v>
      </c>
    </row>
    <row r="11042">
      <c r="A11042" s="17">
        <v>1008001.0</v>
      </c>
      <c r="B11042" s="17">
        <v>7000401.0</v>
      </c>
    </row>
    <row r="11043">
      <c r="A11043" s="17">
        <v>1008001.0</v>
      </c>
      <c r="B11043" s="17">
        <v>7000402.0</v>
      </c>
    </row>
    <row r="11044">
      <c r="A11044" s="17">
        <v>1008001.0</v>
      </c>
      <c r="B11044" s="17">
        <v>7000500.0</v>
      </c>
    </row>
    <row r="11045">
      <c r="A11045" s="17">
        <v>1008001.0</v>
      </c>
      <c r="B11045" s="17">
        <v>7000501.0</v>
      </c>
    </row>
    <row r="11046">
      <c r="A11046" s="17">
        <v>1008001.0</v>
      </c>
      <c r="B11046" s="17">
        <v>7000502.0</v>
      </c>
    </row>
    <row r="11047">
      <c r="A11047" s="17">
        <v>1008001.0</v>
      </c>
      <c r="B11047" s="17">
        <v>7000600.0</v>
      </c>
    </row>
    <row r="11048">
      <c r="A11048" s="17">
        <v>1008001.0</v>
      </c>
      <c r="B11048" s="17">
        <v>7000601.0</v>
      </c>
    </row>
    <row r="11049">
      <c r="A11049" s="17">
        <v>1008001.0</v>
      </c>
      <c r="B11049" s="17">
        <v>7000602.0</v>
      </c>
    </row>
    <row r="11050">
      <c r="A11050" s="17">
        <v>1008001.0</v>
      </c>
      <c r="B11050" s="17">
        <v>7000700.0</v>
      </c>
    </row>
    <row r="11051">
      <c r="A11051" s="17">
        <v>1008001.0</v>
      </c>
      <c r="B11051" s="17">
        <v>7000701.0</v>
      </c>
    </row>
    <row r="11052">
      <c r="A11052" s="17">
        <v>1008001.0</v>
      </c>
      <c r="B11052" s="17">
        <v>7000702.0</v>
      </c>
    </row>
    <row r="11053">
      <c r="A11053" s="17">
        <v>1008001.0</v>
      </c>
      <c r="B11053" s="17">
        <v>7000800.0</v>
      </c>
    </row>
    <row r="11054">
      <c r="A11054" s="17">
        <v>1008001.0</v>
      </c>
      <c r="B11054" s="17">
        <v>7000801.0</v>
      </c>
    </row>
    <row r="11055">
      <c r="A11055" s="17">
        <v>1008001.0</v>
      </c>
      <c r="B11055" s="17">
        <v>7000802.0</v>
      </c>
    </row>
    <row r="11056">
      <c r="A11056" s="17">
        <v>1008001.0</v>
      </c>
      <c r="B11056" s="17">
        <v>7000900.0</v>
      </c>
    </row>
    <row r="11057">
      <c r="A11057" s="17">
        <v>1008001.0</v>
      </c>
      <c r="B11057" s="17">
        <v>7000901.0</v>
      </c>
    </row>
    <row r="11058">
      <c r="A11058" s="17">
        <v>1008001.0</v>
      </c>
      <c r="B11058" s="17">
        <v>7000902.0</v>
      </c>
    </row>
    <row r="11059">
      <c r="A11059" s="17">
        <v>1008001.0</v>
      </c>
      <c r="B11059" s="17">
        <v>7001000.0</v>
      </c>
    </row>
    <row r="11060">
      <c r="A11060" s="17">
        <v>1008001.0</v>
      </c>
      <c r="B11060" s="17">
        <v>7001001.0</v>
      </c>
    </row>
    <row r="11061">
      <c r="A11061" s="17">
        <v>1008001.0</v>
      </c>
      <c r="B11061" s="17">
        <v>7001002.0</v>
      </c>
    </row>
    <row r="11062">
      <c r="A11062" s="17">
        <v>1008001.0</v>
      </c>
      <c r="B11062" s="17">
        <v>7001400.0</v>
      </c>
    </row>
    <row r="11063">
      <c r="A11063" s="17">
        <v>1008001.0</v>
      </c>
      <c r="B11063" s="17">
        <v>7001401.0</v>
      </c>
    </row>
    <row r="11064">
      <c r="A11064" s="17">
        <v>1008001.0</v>
      </c>
      <c r="B11064" s="17">
        <v>7001402.0</v>
      </c>
    </row>
    <row r="11065">
      <c r="A11065" s="17">
        <v>1008001.0</v>
      </c>
      <c r="B11065" s="17">
        <v>7001500.0</v>
      </c>
    </row>
    <row r="11066">
      <c r="A11066" s="17">
        <v>1008001.0</v>
      </c>
      <c r="B11066" s="17">
        <v>7001501.0</v>
      </c>
    </row>
    <row r="11067">
      <c r="A11067" s="17">
        <v>1008001.0</v>
      </c>
      <c r="B11067" s="17">
        <v>7001502.0</v>
      </c>
    </row>
    <row r="11068">
      <c r="A11068" s="17">
        <v>1008001.0</v>
      </c>
      <c r="B11068" s="17">
        <v>7001600.0</v>
      </c>
    </row>
    <row r="11069">
      <c r="A11069" s="17">
        <v>1008001.0</v>
      </c>
      <c r="B11069" s="17">
        <v>7001601.0</v>
      </c>
    </row>
    <row r="11070">
      <c r="A11070" s="17">
        <v>1008001.0</v>
      </c>
      <c r="B11070" s="17">
        <v>7001602.0</v>
      </c>
    </row>
    <row r="11071">
      <c r="A11071" s="17">
        <v>1008001.0</v>
      </c>
      <c r="B11071" s="17">
        <v>7001700.0</v>
      </c>
    </row>
    <row r="11072">
      <c r="A11072" s="17">
        <v>1008001.0</v>
      </c>
      <c r="B11072" s="17">
        <v>7001701.0</v>
      </c>
    </row>
    <row r="11073">
      <c r="A11073" s="17">
        <v>1008001.0</v>
      </c>
      <c r="B11073" s="17">
        <v>7001702.0</v>
      </c>
    </row>
    <row r="11074">
      <c r="A11074" s="17">
        <v>1008001.0</v>
      </c>
      <c r="B11074" s="17">
        <v>7001800.0</v>
      </c>
    </row>
    <row r="11075">
      <c r="A11075" s="17">
        <v>1008001.0</v>
      </c>
      <c r="B11075" s="17">
        <v>7001801.0</v>
      </c>
    </row>
    <row r="11076">
      <c r="A11076" s="17">
        <v>1008001.0</v>
      </c>
      <c r="B11076" s="17">
        <v>7001802.0</v>
      </c>
    </row>
    <row r="11077">
      <c r="A11077" s="17">
        <v>1008001.0</v>
      </c>
      <c r="B11077" s="17">
        <v>7002600.0</v>
      </c>
    </row>
    <row r="11078">
      <c r="A11078" s="17">
        <v>1008001.0</v>
      </c>
      <c r="B11078" s="17">
        <v>7002700.0</v>
      </c>
    </row>
    <row r="11079">
      <c r="A11079" s="17">
        <v>1008001.0</v>
      </c>
      <c r="B11079" s="17">
        <v>7002800.0</v>
      </c>
    </row>
    <row r="11080">
      <c r="A11080" s="17">
        <v>1008001.0</v>
      </c>
      <c r="B11080" s="17">
        <v>7002900.0</v>
      </c>
    </row>
    <row r="11081">
      <c r="A11081" s="17">
        <v>1008001.0</v>
      </c>
      <c r="B11081" s="17">
        <v>7003000.0</v>
      </c>
    </row>
    <row r="11082">
      <c r="A11082" s="17">
        <v>1008001.0</v>
      </c>
      <c r="B11082" s="17">
        <v>7003100.0</v>
      </c>
    </row>
    <row r="11083">
      <c r="A11083" s="17">
        <v>1008001.0</v>
      </c>
      <c r="B11083" s="17">
        <v>7003200.0</v>
      </c>
    </row>
    <row r="11084">
      <c r="A11084" s="17">
        <v>1008001.0</v>
      </c>
      <c r="B11084" s="17">
        <v>7003300.0</v>
      </c>
    </row>
    <row r="11085">
      <c r="A11085" s="17">
        <v>1008001.0</v>
      </c>
      <c r="B11085" s="17">
        <v>7003400.0</v>
      </c>
    </row>
    <row r="11086">
      <c r="A11086" s="17">
        <v>1008001.0</v>
      </c>
      <c r="B11086" s="17">
        <v>7003500.0</v>
      </c>
    </row>
    <row r="11087">
      <c r="A11087" s="17">
        <v>1008001.0</v>
      </c>
      <c r="B11087" s="17">
        <v>7003600.0</v>
      </c>
    </row>
    <row r="11088">
      <c r="A11088" s="17">
        <v>1008001.0</v>
      </c>
      <c r="B11088" s="17">
        <v>7005600.0</v>
      </c>
    </row>
    <row r="11089">
      <c r="A11089" s="17">
        <v>1008001.0</v>
      </c>
      <c r="B11089" s="17">
        <v>7006000.0</v>
      </c>
    </row>
    <row r="11090">
      <c r="A11090" s="17">
        <v>1008001.0</v>
      </c>
      <c r="B11090" s="17">
        <v>7006100.0</v>
      </c>
    </row>
    <row r="11091">
      <c r="A11091" s="17">
        <v>1008001.0</v>
      </c>
      <c r="B11091" s="17">
        <v>7010200.0</v>
      </c>
    </row>
    <row r="11092">
      <c r="A11092" s="17">
        <v>1008001.0</v>
      </c>
      <c r="B11092" s="17">
        <v>7010500.0</v>
      </c>
    </row>
    <row r="11093">
      <c r="A11093" s="17">
        <v>1008001.0</v>
      </c>
      <c r="B11093" s="17">
        <v>7010700.0</v>
      </c>
    </row>
    <row r="11094">
      <c r="A11094" s="17">
        <v>1008001.0</v>
      </c>
      <c r="B11094" s="17">
        <v>7010900.0</v>
      </c>
    </row>
    <row r="11095">
      <c r="A11095" s="17">
        <v>1008001.0</v>
      </c>
      <c r="B11095" s="17">
        <v>7011000.0</v>
      </c>
    </row>
    <row r="11096">
      <c r="A11096" s="17">
        <v>1008001.0</v>
      </c>
      <c r="B11096" s="17">
        <v>7011200.0</v>
      </c>
    </row>
    <row r="11097">
      <c r="A11097" s="17">
        <v>1008001.0</v>
      </c>
      <c r="B11097" s="17">
        <v>7011600.0</v>
      </c>
    </row>
    <row r="11098">
      <c r="A11098" s="17">
        <v>1008001.0</v>
      </c>
      <c r="B11098" s="17">
        <v>7011700.0</v>
      </c>
    </row>
    <row r="11099">
      <c r="A11099" s="17">
        <v>1008001.0</v>
      </c>
      <c r="B11099" s="17">
        <v>7012000.0</v>
      </c>
    </row>
    <row r="11100">
      <c r="A11100" s="17">
        <v>1008001.0</v>
      </c>
      <c r="B11100" s="17">
        <v>7012200.0</v>
      </c>
    </row>
    <row r="11101">
      <c r="A11101" s="17">
        <v>1008001.0</v>
      </c>
      <c r="B11101" s="17">
        <v>7012300.0</v>
      </c>
    </row>
    <row r="11102">
      <c r="A11102" s="17">
        <v>1008001.0</v>
      </c>
      <c r="B11102" s="17">
        <v>7020000.0</v>
      </c>
    </row>
    <row r="11103">
      <c r="A11103" s="17">
        <v>1008001.0</v>
      </c>
      <c r="B11103" s="17">
        <v>7030000.0</v>
      </c>
    </row>
    <row r="11104">
      <c r="A11104" s="17">
        <v>1008001.0</v>
      </c>
      <c r="B11104" s="17">
        <v>7030200.0</v>
      </c>
    </row>
    <row r="11105">
      <c r="A11105" s="17">
        <v>1008001.0</v>
      </c>
      <c r="B11105" s="17">
        <v>7030600.0</v>
      </c>
    </row>
    <row r="11106">
      <c r="A11106" s="17">
        <v>1008001.0</v>
      </c>
      <c r="B11106" s="17">
        <v>7030700.0</v>
      </c>
    </row>
    <row r="11107">
      <c r="A11107" s="17">
        <v>1008001.0</v>
      </c>
      <c r="B11107" s="17">
        <v>7030800.0</v>
      </c>
    </row>
    <row r="11108">
      <c r="A11108" s="17">
        <v>1008001.0</v>
      </c>
      <c r="B11108" s="17">
        <v>7030900.0</v>
      </c>
    </row>
    <row r="11109">
      <c r="A11109" s="17">
        <v>1008001.0</v>
      </c>
      <c r="B11109" s="17">
        <v>7031200.0</v>
      </c>
    </row>
    <row r="11110">
      <c r="A11110" s="17">
        <v>1008001.0</v>
      </c>
      <c r="B11110" s="17">
        <v>7031300.0</v>
      </c>
    </row>
    <row r="11111">
      <c r="A11111" s="17">
        <v>1008001.0</v>
      </c>
      <c r="B11111" s="17">
        <v>7031800.0</v>
      </c>
    </row>
    <row r="11112">
      <c r="A11112" s="17">
        <v>1008001.0</v>
      </c>
      <c r="B11112" s="17">
        <v>7031900.0</v>
      </c>
    </row>
    <row r="11113">
      <c r="A11113" s="17">
        <v>1008001.0</v>
      </c>
      <c r="B11113" s="17">
        <v>7032200.0</v>
      </c>
    </row>
    <row r="11114">
      <c r="A11114" s="17">
        <v>1008001.0</v>
      </c>
      <c r="B11114" s="17">
        <v>7032400.0</v>
      </c>
    </row>
    <row r="11115">
      <c r="A11115" s="17">
        <v>1008001.0</v>
      </c>
      <c r="B11115" s="17">
        <v>7032700.0</v>
      </c>
    </row>
    <row r="11116">
      <c r="A11116" s="17">
        <v>1008001.0</v>
      </c>
      <c r="B11116" s="17">
        <v>7032800.0</v>
      </c>
    </row>
    <row r="11117">
      <c r="A11117" s="17">
        <v>1008001.0</v>
      </c>
      <c r="B11117" s="17">
        <v>7032900.0</v>
      </c>
    </row>
    <row r="11118">
      <c r="A11118" s="17">
        <v>1008001.0</v>
      </c>
      <c r="B11118" s="17">
        <v>7033200.0</v>
      </c>
    </row>
    <row r="11119">
      <c r="A11119" s="17">
        <v>1008001.0</v>
      </c>
      <c r="B11119" s="17">
        <v>7033400.0</v>
      </c>
    </row>
    <row r="11120">
      <c r="A11120" s="17">
        <v>1008001.0</v>
      </c>
      <c r="B11120" s="17">
        <v>7034100.0</v>
      </c>
    </row>
    <row r="11121">
      <c r="A11121" s="17">
        <v>1008001.0</v>
      </c>
      <c r="B11121" s="17">
        <v>7034400.0</v>
      </c>
    </row>
    <row r="11122">
      <c r="A11122" s="17">
        <v>1008001.0</v>
      </c>
      <c r="B11122" s="17">
        <v>7034500.0</v>
      </c>
    </row>
    <row r="11123">
      <c r="A11123" s="17">
        <v>1008001.0</v>
      </c>
      <c r="B11123" s="17">
        <v>7034600.0</v>
      </c>
    </row>
    <row r="11124">
      <c r="A11124" s="17">
        <v>1008001.0</v>
      </c>
      <c r="B11124" s="17">
        <v>7034700.0</v>
      </c>
    </row>
    <row r="11125">
      <c r="A11125" s="17">
        <v>1008001.0</v>
      </c>
      <c r="B11125" s="17">
        <v>7035100.0</v>
      </c>
    </row>
    <row r="11126">
      <c r="A11126" s="17">
        <v>1008001.0</v>
      </c>
      <c r="B11126" s="17">
        <v>7036100.0</v>
      </c>
    </row>
    <row r="11127">
      <c r="A11127" s="17">
        <v>1008001.0</v>
      </c>
      <c r="B11127" s="17">
        <v>7040000.0</v>
      </c>
    </row>
    <row r="11128">
      <c r="A11128" s="17">
        <v>1008001.0</v>
      </c>
      <c r="B11128" s="17">
        <v>7040100.0</v>
      </c>
    </row>
    <row r="11129">
      <c r="A11129" s="17">
        <v>1008001.0</v>
      </c>
      <c r="B11129" s="17">
        <v>7040200.0</v>
      </c>
    </row>
    <row r="11130">
      <c r="A11130" s="17">
        <v>1008001.0</v>
      </c>
      <c r="B11130" s="17">
        <v>7040300.0</v>
      </c>
    </row>
    <row r="11131">
      <c r="A11131" s="17">
        <v>1008001.0</v>
      </c>
      <c r="B11131" s="17">
        <v>7040400.0</v>
      </c>
    </row>
    <row r="11132">
      <c r="A11132" s="17">
        <v>1008001.0</v>
      </c>
      <c r="B11132" s="17">
        <v>7040500.0</v>
      </c>
    </row>
    <row r="11133">
      <c r="A11133" s="17">
        <v>1008001.0</v>
      </c>
      <c r="B11133" s="17">
        <v>7043000.0</v>
      </c>
    </row>
    <row r="11134">
      <c r="A11134" s="17">
        <v>1008001.0</v>
      </c>
      <c r="B11134" s="17">
        <v>7043100.0</v>
      </c>
    </row>
    <row r="11135">
      <c r="A11135" s="17">
        <v>1008001.0</v>
      </c>
      <c r="B11135" s="17">
        <v>7043200.0</v>
      </c>
    </row>
    <row r="11136">
      <c r="A11136" s="17">
        <v>1008001.0</v>
      </c>
      <c r="B11136" s="17">
        <v>7043300.0</v>
      </c>
    </row>
    <row r="11137">
      <c r="A11137" s="17">
        <v>1008001.0</v>
      </c>
      <c r="B11137" s="17">
        <v>7043400.0</v>
      </c>
    </row>
    <row r="11138">
      <c r="A11138" s="17">
        <v>1008001.0</v>
      </c>
      <c r="B11138" s="17">
        <v>7043500.0</v>
      </c>
    </row>
    <row r="11139">
      <c r="A11139" s="17">
        <v>1008001.0</v>
      </c>
      <c r="B11139" s="17">
        <v>7043600.0</v>
      </c>
    </row>
    <row r="11140">
      <c r="A11140" s="17">
        <v>1008001.0</v>
      </c>
      <c r="B11140" s="17">
        <v>7043700.0</v>
      </c>
    </row>
    <row r="11141">
      <c r="A11141" s="17">
        <v>1008001.0</v>
      </c>
      <c r="B11141" s="17">
        <v>7043800.0</v>
      </c>
    </row>
    <row r="11142">
      <c r="A11142" s="17">
        <v>1008001.0</v>
      </c>
      <c r="B11142" s="17">
        <v>7044000.0</v>
      </c>
    </row>
    <row r="11143">
      <c r="A11143" s="17">
        <v>1008001.0</v>
      </c>
      <c r="B11143" s="17">
        <v>7044100.0</v>
      </c>
    </row>
    <row r="11144">
      <c r="A11144" s="17">
        <v>1008001.0</v>
      </c>
      <c r="B11144" s="17">
        <v>7044200.0</v>
      </c>
    </row>
    <row r="11145">
      <c r="A11145" s="17">
        <v>1008001.0</v>
      </c>
      <c r="B11145" s="17">
        <v>7044300.0</v>
      </c>
    </row>
    <row r="11146">
      <c r="A11146" s="17">
        <v>1008001.0</v>
      </c>
      <c r="B11146" s="17">
        <v>7044400.0</v>
      </c>
    </row>
    <row r="11147">
      <c r="A11147" s="17">
        <v>1008001.0</v>
      </c>
      <c r="B11147" s="17">
        <v>7044500.0</v>
      </c>
    </row>
    <row r="11148">
      <c r="A11148" s="17">
        <v>1008001.0</v>
      </c>
      <c r="B11148" s="17">
        <v>7044600.0</v>
      </c>
    </row>
    <row r="11149">
      <c r="A11149" s="17">
        <v>1008001.0</v>
      </c>
      <c r="B11149" s="17">
        <v>7050000.0</v>
      </c>
    </row>
    <row r="11150">
      <c r="A11150" s="17">
        <v>1008001.0</v>
      </c>
      <c r="B11150" s="17">
        <v>7050100.0</v>
      </c>
    </row>
    <row r="11151">
      <c r="A11151" s="17">
        <v>1008001.0</v>
      </c>
      <c r="B11151" s="17">
        <v>7060000.0</v>
      </c>
    </row>
    <row r="11152">
      <c r="A11152" s="17">
        <v>1008001.0</v>
      </c>
      <c r="B11152" s="17">
        <v>7060100.0</v>
      </c>
    </row>
    <row r="11153">
      <c r="A11153" s="17">
        <v>1008001.0</v>
      </c>
      <c r="B11153" s="17">
        <v>7060200.0</v>
      </c>
    </row>
    <row r="11154">
      <c r="A11154" s="17">
        <v>1008001.0</v>
      </c>
      <c r="B11154" s="17">
        <v>7070000.0</v>
      </c>
    </row>
    <row r="11155">
      <c r="A11155" s="17">
        <v>1008001.0</v>
      </c>
      <c r="B11155" s="17">
        <v>7080000.0</v>
      </c>
    </row>
    <row r="11156">
      <c r="A11156" s="17">
        <v>1008001.0</v>
      </c>
      <c r="B11156" s="17">
        <v>7080100.0</v>
      </c>
    </row>
    <row r="11157">
      <c r="A11157" s="17">
        <v>1008001.0</v>
      </c>
      <c r="B11157" s="17">
        <v>7080200.0</v>
      </c>
    </row>
    <row r="11158">
      <c r="A11158" s="17">
        <v>1008001.0</v>
      </c>
      <c r="B11158" s="17">
        <v>7080300.0</v>
      </c>
    </row>
    <row r="11159">
      <c r="A11159" s="17">
        <v>1008001.0</v>
      </c>
      <c r="B11159" s="17">
        <v>7080400.0</v>
      </c>
    </row>
    <row r="11160">
      <c r="A11160" s="17">
        <v>1008001.0</v>
      </c>
      <c r="B11160" s="17">
        <v>7080500.0</v>
      </c>
    </row>
    <row r="11161">
      <c r="A11161" s="17">
        <v>1008001.0</v>
      </c>
      <c r="B11161" s="17">
        <v>7080600.0</v>
      </c>
    </row>
    <row r="11162">
      <c r="A11162" s="17">
        <v>1008001.0</v>
      </c>
      <c r="B11162" s="17">
        <v>7080700.0</v>
      </c>
    </row>
    <row r="11163">
      <c r="A11163" s="17">
        <v>1008001.0</v>
      </c>
      <c r="B11163" s="17">
        <v>7080800.0</v>
      </c>
    </row>
    <row r="11164">
      <c r="A11164" s="17">
        <v>1008001.0</v>
      </c>
      <c r="B11164" s="17">
        <v>7080900.0</v>
      </c>
    </row>
    <row r="11165">
      <c r="A11165" s="17">
        <v>1008001.0</v>
      </c>
      <c r="B11165" s="17">
        <v>7081000.0</v>
      </c>
    </row>
    <row r="11166">
      <c r="A11166" s="17">
        <v>1008001.0</v>
      </c>
      <c r="B11166" s="17">
        <v>7081100.0</v>
      </c>
    </row>
    <row r="11167">
      <c r="A11167" s="17">
        <v>1008001.0</v>
      </c>
      <c r="B11167" s="17">
        <v>7081200.0</v>
      </c>
    </row>
    <row r="11168">
      <c r="A11168" s="17">
        <v>1008001.0</v>
      </c>
      <c r="B11168" s="17">
        <v>7081300.0</v>
      </c>
    </row>
    <row r="11169">
      <c r="A11169" s="17">
        <v>1008001.0</v>
      </c>
      <c r="B11169" s="17">
        <v>7081400.0</v>
      </c>
    </row>
    <row r="11170">
      <c r="A11170" s="17">
        <v>1008001.0</v>
      </c>
      <c r="B11170" s="17">
        <v>7081500.0</v>
      </c>
    </row>
    <row r="11171">
      <c r="A11171" s="17">
        <v>1008001.0</v>
      </c>
      <c r="B11171" s="17">
        <v>7081700.0</v>
      </c>
    </row>
    <row r="11172">
      <c r="A11172" s="17">
        <v>1008001.0</v>
      </c>
      <c r="B11172" s="17">
        <v>7081800.0</v>
      </c>
    </row>
    <row r="11173">
      <c r="A11173" s="17">
        <v>1008001.0</v>
      </c>
      <c r="B11173" s="17">
        <v>7081900.0</v>
      </c>
    </row>
    <row r="11174">
      <c r="A11174" s="17">
        <v>1008001.0</v>
      </c>
      <c r="B11174" s="17">
        <v>7082000.0</v>
      </c>
    </row>
    <row r="11175">
      <c r="A11175" s="17">
        <v>1008001.0</v>
      </c>
      <c r="B11175" s="17">
        <v>7082100.0</v>
      </c>
    </row>
    <row r="11176">
      <c r="A11176" s="17">
        <v>1008001.0</v>
      </c>
      <c r="B11176" s="17">
        <v>7082200.0</v>
      </c>
    </row>
    <row r="11177">
      <c r="A11177" s="17">
        <v>1008001.0</v>
      </c>
      <c r="B11177" s="17">
        <v>7082300.0</v>
      </c>
    </row>
    <row r="11178">
      <c r="A11178" s="17">
        <v>1008001.0</v>
      </c>
      <c r="B11178" s="17">
        <v>7082400.0</v>
      </c>
    </row>
    <row r="11179">
      <c r="A11179" s="17">
        <v>1008001.0</v>
      </c>
      <c r="B11179" s="17">
        <v>7082500.0</v>
      </c>
    </row>
    <row r="11180">
      <c r="A11180" s="17">
        <v>1008001.0</v>
      </c>
      <c r="B11180" s="17">
        <v>7082600.0</v>
      </c>
    </row>
    <row r="11181">
      <c r="A11181" s="17">
        <v>1008001.0</v>
      </c>
      <c r="B11181" s="17">
        <v>7082700.0</v>
      </c>
    </row>
    <row r="11182">
      <c r="A11182" s="17">
        <v>1008001.0</v>
      </c>
      <c r="B11182" s="17">
        <v>7082800.0</v>
      </c>
    </row>
    <row r="11183">
      <c r="A11183" s="17">
        <v>1008001.0</v>
      </c>
      <c r="B11183" s="17">
        <v>7082900.0</v>
      </c>
    </row>
    <row r="11184">
      <c r="A11184" s="17">
        <v>1008001.0</v>
      </c>
      <c r="B11184" s="17">
        <v>7090000.0</v>
      </c>
    </row>
    <row r="11185">
      <c r="A11185" s="17">
        <v>1008001.0</v>
      </c>
      <c r="B11185" s="17">
        <v>7090100.0</v>
      </c>
    </row>
    <row r="11186">
      <c r="A11186" s="17">
        <v>1008001.0</v>
      </c>
      <c r="B11186" s="17">
        <v>7090300.0</v>
      </c>
    </row>
    <row r="11187">
      <c r="A11187" s="17">
        <v>1008001.0</v>
      </c>
      <c r="B11187" s="17">
        <v>7100100.0</v>
      </c>
    </row>
    <row r="11188">
      <c r="A11188" s="17">
        <v>1008001.0</v>
      </c>
      <c r="B11188" s="17">
        <v>7110000.0</v>
      </c>
    </row>
    <row r="11189">
      <c r="A11189" s="17">
        <v>1008001.0</v>
      </c>
      <c r="B11189" s="17">
        <v>7120000.0</v>
      </c>
    </row>
    <row r="11190">
      <c r="A11190" s="17">
        <v>1008001.0</v>
      </c>
      <c r="B11190" s="17">
        <v>7120100.0</v>
      </c>
    </row>
    <row r="11191">
      <c r="A11191" s="17">
        <v>1008001.0</v>
      </c>
      <c r="B11191" s="17">
        <v>7120200.0</v>
      </c>
    </row>
    <row r="11192">
      <c r="A11192" s="17">
        <v>1008001.0</v>
      </c>
      <c r="B11192" s="17">
        <v>7120300.0</v>
      </c>
    </row>
    <row r="11193">
      <c r="A11193" s="17">
        <v>1008001.0</v>
      </c>
      <c r="B11193" s="17">
        <v>7120400.0</v>
      </c>
    </row>
    <row r="11194">
      <c r="A11194" s="17">
        <v>1008001.0</v>
      </c>
      <c r="B11194" s="17">
        <v>7120500.0</v>
      </c>
    </row>
    <row r="11195">
      <c r="A11195" s="17">
        <v>1008001.0</v>
      </c>
      <c r="B11195" s="17">
        <v>7120600.0</v>
      </c>
    </row>
    <row r="11196">
      <c r="A11196" s="17">
        <v>1008001.0</v>
      </c>
      <c r="B11196" s="17">
        <v>7120900.0</v>
      </c>
    </row>
    <row r="11197">
      <c r="A11197" s="17">
        <v>1008001.0</v>
      </c>
      <c r="B11197" s="17">
        <v>7121000.0</v>
      </c>
    </row>
    <row r="11198">
      <c r="A11198" s="17">
        <v>1008001.0</v>
      </c>
      <c r="B11198" s="17">
        <v>7121100.0</v>
      </c>
    </row>
    <row r="11199">
      <c r="A11199" s="17">
        <v>1008001.0</v>
      </c>
      <c r="B11199" s="17">
        <v>7121200.0</v>
      </c>
    </row>
    <row r="11200">
      <c r="A11200" s="17">
        <v>1008001.0</v>
      </c>
      <c r="B11200" s="17">
        <v>7121300.0</v>
      </c>
    </row>
    <row r="11201">
      <c r="A11201" s="17">
        <v>1008001.0</v>
      </c>
      <c r="B11201" s="17">
        <v>7121400.0</v>
      </c>
    </row>
    <row r="11202">
      <c r="A11202" s="17">
        <v>1008001.0</v>
      </c>
      <c r="B11202" s="17">
        <v>7121500.0</v>
      </c>
    </row>
    <row r="11203">
      <c r="A11203" s="17">
        <v>1008001.0</v>
      </c>
      <c r="B11203" s="17">
        <v>7121600.0</v>
      </c>
    </row>
    <row r="11204">
      <c r="A11204" s="17">
        <v>1008001.0</v>
      </c>
      <c r="B11204" s="17">
        <v>7121700.0</v>
      </c>
    </row>
    <row r="11205">
      <c r="A11205" s="17">
        <v>1008001.0</v>
      </c>
      <c r="B11205" s="17">
        <v>7121800.0</v>
      </c>
    </row>
    <row r="11206">
      <c r="A11206" s="17">
        <v>1008001.0</v>
      </c>
      <c r="B11206" s="17">
        <v>7121900.0</v>
      </c>
    </row>
    <row r="11207">
      <c r="A11207" s="17">
        <v>1008001.0</v>
      </c>
      <c r="B11207" s="17">
        <v>7122000.0</v>
      </c>
    </row>
    <row r="11208">
      <c r="A11208" s="17">
        <v>1008001.0</v>
      </c>
      <c r="B11208" s="17">
        <v>7122100.0</v>
      </c>
    </row>
    <row r="11209">
      <c r="A11209" s="17">
        <v>1008001.0</v>
      </c>
      <c r="B11209" s="17">
        <v>7122200.0</v>
      </c>
    </row>
    <row r="11210">
      <c r="A11210" s="17">
        <v>1008001.0</v>
      </c>
      <c r="B11210" s="17">
        <v>7122300.0</v>
      </c>
    </row>
    <row r="11211">
      <c r="A11211" s="17">
        <v>1008001.0</v>
      </c>
      <c r="B11211" s="17">
        <v>7122400.0</v>
      </c>
    </row>
    <row r="11212">
      <c r="A11212" s="17">
        <v>1008001.0</v>
      </c>
      <c r="B11212" s="17">
        <v>7122500.0</v>
      </c>
    </row>
    <row r="11213">
      <c r="A11213" s="17">
        <v>1008001.0</v>
      </c>
      <c r="B11213" s="17">
        <v>7122600.0</v>
      </c>
    </row>
    <row r="11214">
      <c r="A11214" s="17">
        <v>1008001.0</v>
      </c>
      <c r="B11214" s="17">
        <v>7122700.0</v>
      </c>
    </row>
    <row r="11215">
      <c r="A11215" s="17">
        <v>1008001.0</v>
      </c>
      <c r="B11215" s="17">
        <v>7122800.0</v>
      </c>
    </row>
    <row r="11216">
      <c r="A11216" s="17">
        <v>1008001.0</v>
      </c>
      <c r="B11216" s="17">
        <v>7122900.0</v>
      </c>
    </row>
    <row r="11217">
      <c r="A11217" s="17">
        <v>1008001.0</v>
      </c>
      <c r="B11217" s="17">
        <v>7123000.0</v>
      </c>
    </row>
    <row r="11218">
      <c r="A11218" s="17">
        <v>1008001.0</v>
      </c>
      <c r="B11218" s="17">
        <v>7123100.0</v>
      </c>
    </row>
    <row r="11219">
      <c r="A11219" s="17">
        <v>1008001.0</v>
      </c>
      <c r="B11219" s="17">
        <v>7123200.0</v>
      </c>
    </row>
    <row r="11220">
      <c r="A11220" s="17">
        <v>1008001.0</v>
      </c>
      <c r="B11220" s="17">
        <v>7123300.0</v>
      </c>
    </row>
    <row r="11221">
      <c r="A11221" s="17">
        <v>1008001.0</v>
      </c>
      <c r="B11221" s="17">
        <v>7123400.0</v>
      </c>
    </row>
    <row r="11222">
      <c r="A11222" s="17">
        <v>1008001.0</v>
      </c>
      <c r="B11222" s="17">
        <v>7123500.0</v>
      </c>
    </row>
    <row r="11223">
      <c r="A11223" s="17">
        <v>1008001.0</v>
      </c>
      <c r="B11223" s="17">
        <v>7123600.0</v>
      </c>
    </row>
    <row r="11224">
      <c r="A11224" s="17">
        <v>1008001.0</v>
      </c>
      <c r="B11224" s="17">
        <v>7123700.0</v>
      </c>
    </row>
    <row r="11225">
      <c r="A11225" s="17">
        <v>1008001.0</v>
      </c>
      <c r="B11225" s="17">
        <v>7123800.0</v>
      </c>
    </row>
    <row r="11226">
      <c r="A11226" s="17">
        <v>1008001.0</v>
      </c>
      <c r="B11226" s="17">
        <v>7123900.0</v>
      </c>
    </row>
    <row r="11227">
      <c r="A11227" s="17">
        <v>1008001.0</v>
      </c>
      <c r="B11227" s="17">
        <v>7124000.0</v>
      </c>
    </row>
    <row r="11228">
      <c r="A11228" s="17">
        <v>1008001.0</v>
      </c>
      <c r="B11228" s="17">
        <v>7124100.0</v>
      </c>
    </row>
    <row r="11229">
      <c r="A11229" s="17">
        <v>1008001.0</v>
      </c>
      <c r="B11229" s="17">
        <v>7124300.0</v>
      </c>
    </row>
    <row r="11230">
      <c r="A11230" s="17">
        <v>1008001.0</v>
      </c>
      <c r="B11230" s="17">
        <v>7124400.0</v>
      </c>
    </row>
    <row r="11231">
      <c r="A11231" s="17">
        <v>1008001.0</v>
      </c>
      <c r="B11231" s="17">
        <v>7124500.0</v>
      </c>
    </row>
    <row r="11232">
      <c r="A11232" s="17">
        <v>1008001.0</v>
      </c>
      <c r="B11232" s="17">
        <v>7124600.0</v>
      </c>
    </row>
    <row r="11233">
      <c r="A11233" s="17">
        <v>1008001.0</v>
      </c>
      <c r="B11233" s="17">
        <v>7124700.0</v>
      </c>
    </row>
    <row r="11234">
      <c r="A11234" s="17">
        <v>1008001.0</v>
      </c>
      <c r="B11234" s="17">
        <v>7126000.0</v>
      </c>
    </row>
    <row r="11235">
      <c r="A11235" s="17">
        <v>1008001.0</v>
      </c>
      <c r="B11235" s="17">
        <v>7150000.0</v>
      </c>
    </row>
    <row r="11236">
      <c r="A11236" s="17">
        <v>1008001.0</v>
      </c>
      <c r="B11236" s="17">
        <v>7160000.0</v>
      </c>
    </row>
    <row r="11237">
      <c r="A11237" s="17">
        <v>1008001.0</v>
      </c>
      <c r="B11237" s="17">
        <v>7220000.0</v>
      </c>
    </row>
    <row r="11238">
      <c r="A11238" s="17">
        <v>1008001.0</v>
      </c>
      <c r="B11238" s="17">
        <v>7230000.0</v>
      </c>
    </row>
    <row r="11239">
      <c r="A11239" s="17">
        <v>1008001.0</v>
      </c>
      <c r="B11239" s="17">
        <v>7240000.0</v>
      </c>
    </row>
    <row r="11240">
      <c r="A11240" s="17">
        <v>1008001.0</v>
      </c>
      <c r="B11240" s="17">
        <v>7260000.0</v>
      </c>
    </row>
    <row r="11241">
      <c r="A11241" s="17">
        <v>1008001.0</v>
      </c>
      <c r="B11241" s="17">
        <v>7260300.0</v>
      </c>
    </row>
    <row r="11242">
      <c r="A11242" s="17">
        <v>1008001.0</v>
      </c>
      <c r="B11242" s="17">
        <v>7260400.0</v>
      </c>
    </row>
    <row r="11243">
      <c r="A11243" s="17">
        <v>1008001.0</v>
      </c>
      <c r="B11243" s="17">
        <v>7270100.0</v>
      </c>
    </row>
    <row r="11244">
      <c r="A11244" s="17">
        <v>1008001.0</v>
      </c>
      <c r="B11244" s="17">
        <v>7280000.0</v>
      </c>
    </row>
    <row r="11245">
      <c r="A11245" s="17">
        <v>1008001.0</v>
      </c>
      <c r="B11245" s="17">
        <v>7290000.0</v>
      </c>
    </row>
    <row r="11246">
      <c r="A11246" s="17">
        <v>1008001.0</v>
      </c>
      <c r="B11246" s="17">
        <v>7310000.0</v>
      </c>
    </row>
    <row r="11247">
      <c r="A11247" s="17">
        <v>1008001.0</v>
      </c>
      <c r="B11247" s="17">
        <v>7330000.0</v>
      </c>
    </row>
    <row r="11248">
      <c r="A11248" s="17">
        <v>1008001.0</v>
      </c>
      <c r="B11248" s="17">
        <v>7330100.0</v>
      </c>
    </row>
    <row r="11249">
      <c r="A11249" s="17">
        <v>1008001.0</v>
      </c>
      <c r="B11249" s="17">
        <v>7330200.0</v>
      </c>
    </row>
    <row r="11250">
      <c r="A11250" s="17">
        <v>1008001.0</v>
      </c>
      <c r="B11250" s="17">
        <v>7330300.0</v>
      </c>
    </row>
    <row r="11251">
      <c r="A11251" s="17">
        <v>1008001.0</v>
      </c>
      <c r="B11251" s="17">
        <v>7330400.0</v>
      </c>
    </row>
    <row r="11252">
      <c r="A11252" s="17">
        <v>1008001.0</v>
      </c>
      <c r="B11252" s="17">
        <v>7330500.0</v>
      </c>
    </row>
    <row r="11253">
      <c r="A11253" s="17">
        <v>1008001.0</v>
      </c>
      <c r="B11253" s="17">
        <v>7330600.0</v>
      </c>
    </row>
    <row r="11254">
      <c r="A11254" s="17">
        <v>1008001.0</v>
      </c>
      <c r="B11254" s="17">
        <v>7330700.0</v>
      </c>
    </row>
    <row r="11255">
      <c r="A11255" s="17">
        <v>1008001.0</v>
      </c>
      <c r="B11255" s="17">
        <v>7330800.0</v>
      </c>
    </row>
    <row r="11256">
      <c r="A11256" s="17">
        <v>1008001.0</v>
      </c>
      <c r="B11256" s="17">
        <v>7330900.0</v>
      </c>
    </row>
    <row r="11257">
      <c r="A11257" s="17">
        <v>1008001.0</v>
      </c>
      <c r="B11257" s="17">
        <v>7331000.0</v>
      </c>
    </row>
    <row r="11258">
      <c r="A11258" s="17">
        <v>1008001.0</v>
      </c>
      <c r="B11258" s="17">
        <v>7331100.0</v>
      </c>
    </row>
    <row r="11259">
      <c r="A11259" s="17">
        <v>1008001.0</v>
      </c>
      <c r="B11259" s="17">
        <v>7331200.0</v>
      </c>
    </row>
    <row r="11260">
      <c r="A11260" s="17">
        <v>1008001.0</v>
      </c>
      <c r="B11260" s="17">
        <v>7331300.0</v>
      </c>
    </row>
    <row r="11261">
      <c r="A11261" s="17">
        <v>1008001.0</v>
      </c>
      <c r="B11261" s="17">
        <v>7331400.0</v>
      </c>
    </row>
    <row r="11262">
      <c r="A11262" s="17">
        <v>1008001.0</v>
      </c>
      <c r="B11262" s="17">
        <v>7331500.0</v>
      </c>
    </row>
    <row r="11263">
      <c r="A11263" s="17">
        <v>1008001.0</v>
      </c>
      <c r="B11263" s="17">
        <v>7331700.0</v>
      </c>
    </row>
    <row r="11264">
      <c r="A11264" s="17">
        <v>1008001.0</v>
      </c>
      <c r="B11264" s="17">
        <v>7331800.0</v>
      </c>
    </row>
    <row r="11265">
      <c r="A11265" s="17">
        <v>1008001.0</v>
      </c>
      <c r="B11265" s="17">
        <v>7331900.0</v>
      </c>
    </row>
    <row r="11266">
      <c r="A11266" s="17">
        <v>1008001.0</v>
      </c>
      <c r="B11266" s="17">
        <v>7332000.0</v>
      </c>
    </row>
    <row r="11267">
      <c r="A11267" s="17">
        <v>1008001.0</v>
      </c>
      <c r="B11267" s="17">
        <v>7332100.0</v>
      </c>
    </row>
    <row r="11268">
      <c r="A11268" s="17">
        <v>1008001.0</v>
      </c>
      <c r="B11268" s="17">
        <v>7332200.0</v>
      </c>
    </row>
    <row r="11269">
      <c r="A11269" s="17">
        <v>1008001.0</v>
      </c>
      <c r="B11269" s="17">
        <v>7332300.0</v>
      </c>
    </row>
    <row r="11270">
      <c r="A11270" s="17">
        <v>1008001.0</v>
      </c>
      <c r="B11270" s="17">
        <v>7332400.0</v>
      </c>
    </row>
    <row r="11271">
      <c r="A11271" s="17">
        <v>1008001.0</v>
      </c>
      <c r="B11271" s="17">
        <v>7340000.0</v>
      </c>
    </row>
    <row r="11272">
      <c r="A11272" s="17">
        <v>1008001.0</v>
      </c>
      <c r="B11272" s="17">
        <v>7340100.0</v>
      </c>
    </row>
    <row r="11273">
      <c r="A11273" s="17">
        <v>1008001.0</v>
      </c>
      <c r="B11273" s="17">
        <v>7340200.0</v>
      </c>
    </row>
    <row r="11274">
      <c r="A11274" s="17">
        <v>1008001.0</v>
      </c>
      <c r="B11274" s="17">
        <v>7340300.0</v>
      </c>
    </row>
    <row r="11275">
      <c r="A11275" s="17">
        <v>1008001.0</v>
      </c>
      <c r="B11275" s="17">
        <v>7340400.0</v>
      </c>
    </row>
    <row r="11276">
      <c r="A11276" s="17">
        <v>1008001.0</v>
      </c>
      <c r="B11276" s="17">
        <v>7340500.0</v>
      </c>
    </row>
    <row r="11277">
      <c r="A11277" s="17">
        <v>1008001.0</v>
      </c>
      <c r="B11277" s="17">
        <v>7340600.0</v>
      </c>
    </row>
    <row r="11278">
      <c r="A11278" s="17">
        <v>1008001.0</v>
      </c>
      <c r="B11278" s="17">
        <v>7340700.0</v>
      </c>
    </row>
    <row r="11279">
      <c r="A11279" s="17">
        <v>1008001.0</v>
      </c>
      <c r="B11279" s="17">
        <v>7340800.0</v>
      </c>
    </row>
    <row r="11280">
      <c r="A11280" s="17">
        <v>1008001.0</v>
      </c>
      <c r="B11280" s="17">
        <v>7340900.0</v>
      </c>
    </row>
    <row r="11281">
      <c r="A11281" s="17">
        <v>1008001.0</v>
      </c>
      <c r="B11281" s="17">
        <v>7341000.0</v>
      </c>
    </row>
    <row r="11282">
      <c r="A11282" s="17">
        <v>1008001.0</v>
      </c>
      <c r="B11282" s="17">
        <v>7341100.0</v>
      </c>
    </row>
    <row r="11283">
      <c r="A11283" s="17">
        <v>1008001.0</v>
      </c>
      <c r="B11283" s="17">
        <v>7341200.0</v>
      </c>
    </row>
    <row r="11284">
      <c r="A11284" s="17">
        <v>1008001.0</v>
      </c>
      <c r="B11284" s="17">
        <v>7341300.0</v>
      </c>
    </row>
    <row r="11285">
      <c r="A11285" s="17">
        <v>1008001.0</v>
      </c>
      <c r="B11285" s="17">
        <v>7341400.0</v>
      </c>
    </row>
    <row r="11286">
      <c r="A11286" s="17">
        <v>1008001.0</v>
      </c>
      <c r="B11286" s="17">
        <v>7341500.0</v>
      </c>
    </row>
    <row r="11287">
      <c r="A11287" s="17">
        <v>1008001.0</v>
      </c>
      <c r="B11287" s="17">
        <v>7341700.0</v>
      </c>
    </row>
    <row r="11288">
      <c r="A11288" s="17">
        <v>1008001.0</v>
      </c>
      <c r="B11288" s="17">
        <v>7341800.0</v>
      </c>
    </row>
    <row r="11289">
      <c r="A11289" s="17">
        <v>1008001.0</v>
      </c>
      <c r="B11289" s="17">
        <v>7341900.0</v>
      </c>
    </row>
    <row r="11290">
      <c r="A11290" s="17">
        <v>1008001.0</v>
      </c>
      <c r="B11290" s="17">
        <v>7342000.0</v>
      </c>
    </row>
    <row r="11291">
      <c r="A11291" s="17">
        <v>1008001.0</v>
      </c>
      <c r="B11291" s="17">
        <v>7342100.0</v>
      </c>
    </row>
    <row r="11292">
      <c r="A11292" s="17">
        <v>1008001.0</v>
      </c>
      <c r="B11292" s="17">
        <v>7342200.0</v>
      </c>
    </row>
    <row r="11293">
      <c r="A11293" s="17">
        <v>1008001.0</v>
      </c>
      <c r="B11293" s="17">
        <v>7342300.0</v>
      </c>
    </row>
    <row r="11294">
      <c r="A11294" s="17">
        <v>1008001.0</v>
      </c>
      <c r="B11294" s="17">
        <v>7342400.0</v>
      </c>
    </row>
    <row r="11295">
      <c r="A11295" s="17">
        <v>1008001.0</v>
      </c>
      <c r="B11295" s="17">
        <v>7350000.0</v>
      </c>
    </row>
    <row r="11296">
      <c r="A11296" s="17">
        <v>1008001.0</v>
      </c>
      <c r="B11296" s="17">
        <v>7350100.0</v>
      </c>
    </row>
    <row r="11297">
      <c r="A11297" s="17">
        <v>1008001.0</v>
      </c>
      <c r="B11297" s="17">
        <v>7350200.0</v>
      </c>
    </row>
    <row r="11298">
      <c r="A11298" s="17">
        <v>1008001.0</v>
      </c>
      <c r="B11298" s="17">
        <v>7350300.0</v>
      </c>
    </row>
    <row r="11299">
      <c r="A11299" s="17">
        <v>1008001.0</v>
      </c>
      <c r="B11299" s="17">
        <v>7350400.0</v>
      </c>
    </row>
    <row r="11300">
      <c r="A11300" s="17">
        <v>1008001.0</v>
      </c>
      <c r="B11300" s="17">
        <v>7350500.0</v>
      </c>
    </row>
    <row r="11301">
      <c r="A11301" s="17">
        <v>1008001.0</v>
      </c>
      <c r="B11301" s="17">
        <v>7350600.0</v>
      </c>
    </row>
    <row r="11302">
      <c r="A11302" s="17">
        <v>1008001.0</v>
      </c>
      <c r="B11302" s="17">
        <v>7350700.0</v>
      </c>
    </row>
    <row r="11303">
      <c r="A11303" s="17">
        <v>1008001.0</v>
      </c>
      <c r="B11303" s="17">
        <v>7350800.0</v>
      </c>
    </row>
    <row r="11304">
      <c r="A11304" s="17">
        <v>1008001.0</v>
      </c>
      <c r="B11304" s="17">
        <v>7350900.0</v>
      </c>
    </row>
    <row r="11305">
      <c r="A11305" s="17">
        <v>1008001.0</v>
      </c>
      <c r="B11305" s="17">
        <v>7351000.0</v>
      </c>
    </row>
    <row r="11306">
      <c r="A11306" s="17">
        <v>1008001.0</v>
      </c>
      <c r="B11306" s="17">
        <v>7351100.0</v>
      </c>
    </row>
    <row r="11307">
      <c r="A11307" s="17">
        <v>1008001.0</v>
      </c>
      <c r="B11307" s="17">
        <v>7351200.0</v>
      </c>
    </row>
    <row r="11308">
      <c r="A11308" s="17">
        <v>1008001.0</v>
      </c>
      <c r="B11308" s="17">
        <v>7351300.0</v>
      </c>
    </row>
    <row r="11309">
      <c r="A11309" s="17">
        <v>1008001.0</v>
      </c>
      <c r="B11309" s="17">
        <v>7351400.0</v>
      </c>
    </row>
    <row r="11310">
      <c r="A11310" s="17">
        <v>1008001.0</v>
      </c>
      <c r="B11310" s="17">
        <v>7351500.0</v>
      </c>
    </row>
    <row r="11311">
      <c r="A11311" s="17">
        <v>1008001.0</v>
      </c>
      <c r="B11311" s="17">
        <v>7351700.0</v>
      </c>
    </row>
    <row r="11312">
      <c r="A11312" s="17">
        <v>1008001.0</v>
      </c>
      <c r="B11312" s="17">
        <v>7351800.0</v>
      </c>
    </row>
    <row r="11313">
      <c r="A11313" s="17">
        <v>1008001.0</v>
      </c>
      <c r="B11313" s="17">
        <v>7351900.0</v>
      </c>
    </row>
    <row r="11314">
      <c r="A11314" s="17">
        <v>1008001.0</v>
      </c>
      <c r="B11314" s="17">
        <v>7352000.0</v>
      </c>
    </row>
    <row r="11315">
      <c r="A11315" s="17">
        <v>1008001.0</v>
      </c>
      <c r="B11315" s="17">
        <v>7352100.0</v>
      </c>
    </row>
    <row r="11316">
      <c r="A11316" s="17">
        <v>1008001.0</v>
      </c>
      <c r="B11316" s="17">
        <v>7352200.0</v>
      </c>
    </row>
    <row r="11317">
      <c r="A11317" s="17">
        <v>1008001.0</v>
      </c>
      <c r="B11317" s="17">
        <v>7352300.0</v>
      </c>
    </row>
    <row r="11318">
      <c r="A11318" s="17">
        <v>1008001.0</v>
      </c>
      <c r="B11318" s="17">
        <v>7352400.0</v>
      </c>
    </row>
    <row r="11319">
      <c r="A11319" s="17">
        <v>1008001.0</v>
      </c>
      <c r="B11319" s="17">
        <v>7360600.0</v>
      </c>
    </row>
    <row r="11320">
      <c r="A11320" s="17">
        <v>1008001.0</v>
      </c>
      <c r="B11320" s="17">
        <v>7360900.0</v>
      </c>
    </row>
    <row r="11321">
      <c r="A11321" s="17">
        <v>1008001.0</v>
      </c>
      <c r="B11321" s="17">
        <v>7361200.0</v>
      </c>
    </row>
    <row r="11322">
      <c r="A11322" s="17">
        <v>1008001.0</v>
      </c>
      <c r="B11322" s="17">
        <v>7361300.0</v>
      </c>
    </row>
    <row r="11323">
      <c r="A11323" s="17">
        <v>1008001.0</v>
      </c>
      <c r="B11323" s="17">
        <v>7362100.0</v>
      </c>
    </row>
    <row r="11324">
      <c r="A11324" s="17">
        <v>1008001.0</v>
      </c>
      <c r="B11324" s="17">
        <v>7370300.0</v>
      </c>
    </row>
    <row r="11325">
      <c r="A11325" s="17">
        <v>1008001.0</v>
      </c>
      <c r="B11325" s="17">
        <v>7370400.0</v>
      </c>
    </row>
    <row r="11326">
      <c r="A11326" s="17">
        <v>1008001.0</v>
      </c>
      <c r="B11326" s="17">
        <v>7370600.0</v>
      </c>
    </row>
    <row r="11327">
      <c r="A11327" s="17">
        <v>1008001.0</v>
      </c>
      <c r="B11327" s="17">
        <v>7370900.0</v>
      </c>
    </row>
    <row r="11328">
      <c r="A11328" s="17">
        <v>1008001.0</v>
      </c>
      <c r="B11328" s="17">
        <v>7371500.0</v>
      </c>
    </row>
    <row r="11329">
      <c r="A11329" s="17">
        <v>1008001.0</v>
      </c>
      <c r="B11329" s="17">
        <v>7036200.0</v>
      </c>
    </row>
    <row r="11330">
      <c r="A11330" s="17">
        <v>1008001.0</v>
      </c>
      <c r="B11330" s="17">
        <v>7036300.0</v>
      </c>
    </row>
    <row r="11331">
      <c r="A11331" s="17">
        <v>1008001.0</v>
      </c>
      <c r="B11331" s="17">
        <v>7036400.0</v>
      </c>
    </row>
    <row r="11332">
      <c r="A11332" s="17">
        <v>1008001.0</v>
      </c>
      <c r="B11332" s="17">
        <v>7036500.0</v>
      </c>
    </row>
    <row r="11333">
      <c r="A11333" s="17">
        <v>1008001.0</v>
      </c>
      <c r="B11333" s="17">
        <v>7036800.0</v>
      </c>
    </row>
    <row r="11334">
      <c r="A11334" s="17">
        <v>1008001.0</v>
      </c>
      <c r="B11334" s="17">
        <v>7036900.0</v>
      </c>
    </row>
    <row r="11335">
      <c r="A11335" s="17">
        <v>1008001.0</v>
      </c>
      <c r="B11335" s="17">
        <v>7037000.0</v>
      </c>
    </row>
    <row r="11336">
      <c r="A11336" s="17">
        <v>1008001.0</v>
      </c>
      <c r="B11336" s="17">
        <v>7037300.0</v>
      </c>
    </row>
    <row r="11337">
      <c r="A11337" s="17">
        <v>1008001.0</v>
      </c>
      <c r="B11337" s="17">
        <v>6630000.0</v>
      </c>
    </row>
    <row r="11338">
      <c r="A11338" s="17">
        <v>1008001.0</v>
      </c>
      <c r="B11338" s="17">
        <v>6630100.0</v>
      </c>
    </row>
    <row r="11339">
      <c r="A11339" s="17">
        <v>1008001.0</v>
      </c>
      <c r="B11339" s="17">
        <v>6630200.0</v>
      </c>
    </row>
    <row r="11340">
      <c r="A11340" s="17">
        <v>1008001.0</v>
      </c>
      <c r="B11340" s="17">
        <v>6630300.0</v>
      </c>
    </row>
    <row r="11341">
      <c r="A11341" s="17">
        <v>1008001.0</v>
      </c>
      <c r="B11341" s="17">
        <v>6630400.0</v>
      </c>
    </row>
    <row r="11342">
      <c r="A11342" s="17">
        <v>1008001.0</v>
      </c>
      <c r="B11342" s="17">
        <v>6630500.0</v>
      </c>
    </row>
    <row r="11343">
      <c r="A11343" s="17">
        <v>1008001.0</v>
      </c>
      <c r="B11343" s="17">
        <v>6630600.0</v>
      </c>
    </row>
    <row r="11344">
      <c r="A11344" s="17">
        <v>1008001.0</v>
      </c>
      <c r="B11344" s="17">
        <v>6630700.0</v>
      </c>
    </row>
    <row r="11345">
      <c r="A11345" s="17">
        <v>1008001.0</v>
      </c>
      <c r="B11345" s="17">
        <v>6630800.0</v>
      </c>
    </row>
    <row r="11346">
      <c r="A11346" s="17">
        <v>1008001.0</v>
      </c>
      <c r="B11346" s="17">
        <v>6630900.0</v>
      </c>
    </row>
    <row r="11347">
      <c r="A11347" s="17">
        <v>1008001.0</v>
      </c>
      <c r="B11347" s="17">
        <v>6631000.0</v>
      </c>
    </row>
    <row r="11348">
      <c r="A11348" s="17">
        <v>1008001.0</v>
      </c>
      <c r="B11348" s="17">
        <v>6631100.0</v>
      </c>
    </row>
    <row r="11349">
      <c r="A11349" s="17">
        <v>1008001.0</v>
      </c>
      <c r="B11349" s="17">
        <v>6631200.0</v>
      </c>
    </row>
    <row r="11350">
      <c r="A11350" s="17">
        <v>1008001.0</v>
      </c>
      <c r="B11350" s="17">
        <v>6631300.0</v>
      </c>
    </row>
    <row r="11351">
      <c r="A11351" s="17">
        <v>1008001.0</v>
      </c>
      <c r="B11351" s="17">
        <v>6631400.0</v>
      </c>
    </row>
    <row r="11352">
      <c r="A11352" s="17">
        <v>1008001.0</v>
      </c>
      <c r="B11352" s="17">
        <v>6631500.0</v>
      </c>
    </row>
    <row r="11353">
      <c r="A11353" s="17">
        <v>1008001.0</v>
      </c>
      <c r="B11353" s="17">
        <v>6631600.0</v>
      </c>
    </row>
    <row r="11354">
      <c r="A11354" s="17">
        <v>1008001.0</v>
      </c>
      <c r="B11354" s="17">
        <v>6631700.0</v>
      </c>
    </row>
    <row r="11355">
      <c r="A11355" s="17">
        <v>1008001.0</v>
      </c>
      <c r="B11355" s="17">
        <v>6631800.0</v>
      </c>
    </row>
    <row r="11356">
      <c r="A11356" s="17">
        <v>1008001.0</v>
      </c>
      <c r="B11356" s="17">
        <v>6631900.0</v>
      </c>
    </row>
    <row r="11357">
      <c r="A11357" s="17">
        <v>1008001.0</v>
      </c>
      <c r="B11357" s="17">
        <v>6632000.0</v>
      </c>
    </row>
    <row r="11358">
      <c r="A11358" s="17">
        <v>1008001.0</v>
      </c>
      <c r="B11358" s="17">
        <v>6632100.0</v>
      </c>
    </row>
    <row r="11359">
      <c r="A11359" s="17">
        <v>1008001.0</v>
      </c>
      <c r="B11359" s="17">
        <v>6632200.0</v>
      </c>
    </row>
    <row r="11360">
      <c r="A11360" s="17">
        <v>1008001.0</v>
      </c>
      <c r="B11360" s="17">
        <v>6632300.0</v>
      </c>
    </row>
    <row r="11361">
      <c r="A11361" s="17">
        <v>1008001.0</v>
      </c>
      <c r="B11361" s="17">
        <v>6632400.0</v>
      </c>
    </row>
    <row r="11362">
      <c r="A11362" s="17">
        <v>1008001.0</v>
      </c>
      <c r="B11362" s="17">
        <v>6632500.0</v>
      </c>
    </row>
    <row r="11363">
      <c r="A11363" s="17">
        <v>1008001.0</v>
      </c>
      <c r="B11363" s="17">
        <v>6632600.0</v>
      </c>
    </row>
    <row r="11364">
      <c r="A11364" s="17">
        <v>1008001.0</v>
      </c>
      <c r="B11364" s="17">
        <v>6632700.0</v>
      </c>
    </row>
    <row r="11365">
      <c r="A11365" s="17">
        <v>1008001.0</v>
      </c>
      <c r="B11365" s="17">
        <v>6632800.0</v>
      </c>
    </row>
    <row r="11366">
      <c r="A11366" s="17">
        <v>1008001.0</v>
      </c>
      <c r="B11366" s="17">
        <v>6632900.0</v>
      </c>
    </row>
    <row r="11367">
      <c r="A11367" s="17">
        <v>1008001.0</v>
      </c>
      <c r="B11367" s="17">
        <v>6633000.0</v>
      </c>
    </row>
    <row r="11368">
      <c r="A11368" s="17">
        <v>1008001.0</v>
      </c>
      <c r="B11368" s="17">
        <v>6633100.0</v>
      </c>
    </row>
    <row r="11369">
      <c r="A11369" s="17">
        <v>1008001.0</v>
      </c>
      <c r="B11369" s="17">
        <v>6633200.0</v>
      </c>
    </row>
    <row r="11370">
      <c r="A11370" s="17">
        <v>1008001.0</v>
      </c>
      <c r="B11370" s="17">
        <v>6647200.0</v>
      </c>
    </row>
    <row r="11371">
      <c r="A11371" s="17">
        <v>1008001.0</v>
      </c>
      <c r="B11371" s="17">
        <v>6647300.0</v>
      </c>
    </row>
    <row r="11372">
      <c r="A11372" s="17">
        <v>1008001.0</v>
      </c>
      <c r="B11372" s="17">
        <v>6647400.0</v>
      </c>
    </row>
    <row r="11373">
      <c r="A11373" s="17">
        <v>1008001.0</v>
      </c>
      <c r="B11373" s="17">
        <v>6647500.0</v>
      </c>
    </row>
    <row r="11374">
      <c r="A11374" s="17">
        <v>1008001.0</v>
      </c>
      <c r="B11374" s="17">
        <v>6640000.0</v>
      </c>
    </row>
    <row r="11375">
      <c r="A11375" s="17">
        <v>1008001.0</v>
      </c>
      <c r="B11375" s="17">
        <v>6640100.0</v>
      </c>
    </row>
    <row r="11376">
      <c r="A11376" s="17">
        <v>1008001.0</v>
      </c>
      <c r="B11376" s="17">
        <v>6641000.0</v>
      </c>
    </row>
    <row r="11377">
      <c r="A11377" s="17">
        <v>1008001.0</v>
      </c>
      <c r="B11377" s="17">
        <v>6641100.0</v>
      </c>
    </row>
    <row r="11378">
      <c r="A11378" s="17">
        <v>1008001.0</v>
      </c>
      <c r="B11378" s="17">
        <v>6642000.0</v>
      </c>
    </row>
    <row r="11379">
      <c r="A11379" s="17">
        <v>1008001.0</v>
      </c>
      <c r="B11379" s="17">
        <v>6642100.0</v>
      </c>
    </row>
    <row r="11380">
      <c r="A11380" s="17">
        <v>1008001.0</v>
      </c>
      <c r="B11380" s="17">
        <v>6643000.0</v>
      </c>
    </row>
    <row r="11381">
      <c r="A11381" s="17">
        <v>1008001.0</v>
      </c>
      <c r="B11381" s="17">
        <v>6643100.0</v>
      </c>
    </row>
    <row r="11382">
      <c r="A11382" s="17">
        <v>1008001.0</v>
      </c>
      <c r="B11382" s="17">
        <v>6644000.0</v>
      </c>
    </row>
    <row r="11383">
      <c r="A11383" s="17">
        <v>1008001.0</v>
      </c>
      <c r="B11383" s="17">
        <v>6644100.0</v>
      </c>
    </row>
    <row r="11384">
      <c r="A11384" s="17">
        <v>1008001.0</v>
      </c>
      <c r="B11384" s="17">
        <v>6645000.0</v>
      </c>
    </row>
    <row r="11385">
      <c r="A11385" s="17">
        <v>1008001.0</v>
      </c>
      <c r="B11385" s="17">
        <v>6645100.0</v>
      </c>
    </row>
    <row r="11386">
      <c r="A11386" s="17">
        <v>1008001.0</v>
      </c>
      <c r="B11386" s="17">
        <v>6646000.0</v>
      </c>
    </row>
    <row r="11387">
      <c r="A11387" s="17">
        <v>1008001.0</v>
      </c>
      <c r="B11387" s="17">
        <v>6646100.0</v>
      </c>
    </row>
    <row r="11388">
      <c r="A11388" s="17">
        <v>1008001.0</v>
      </c>
      <c r="B11388" s="17">
        <v>6647000.0</v>
      </c>
    </row>
    <row r="11389">
      <c r="A11389" s="17">
        <v>1008001.0</v>
      </c>
      <c r="B11389" s="17">
        <v>6647100.0</v>
      </c>
    </row>
    <row r="11390">
      <c r="A11390" s="17">
        <v>1008002.0</v>
      </c>
      <c r="B11390" s="17">
        <v>7000000.0</v>
      </c>
    </row>
    <row r="11391">
      <c r="A11391" s="17">
        <v>1008002.0</v>
      </c>
      <c r="B11391" s="17">
        <v>7000001.0</v>
      </c>
    </row>
    <row r="11392">
      <c r="A11392" s="17">
        <v>1008002.0</v>
      </c>
      <c r="B11392" s="17">
        <v>7000002.0</v>
      </c>
    </row>
    <row r="11393">
      <c r="A11393" s="17">
        <v>1008002.0</v>
      </c>
      <c r="B11393" s="17">
        <v>7000100.0</v>
      </c>
    </row>
    <row r="11394">
      <c r="A11394" s="17">
        <v>1008002.0</v>
      </c>
      <c r="B11394" s="17">
        <v>7000101.0</v>
      </c>
    </row>
    <row r="11395">
      <c r="A11395" s="17">
        <v>1008002.0</v>
      </c>
      <c r="B11395" s="17">
        <v>7000102.0</v>
      </c>
    </row>
    <row r="11396">
      <c r="A11396" s="17">
        <v>1008002.0</v>
      </c>
      <c r="B11396" s="17">
        <v>7000200.0</v>
      </c>
    </row>
    <row r="11397">
      <c r="A11397" s="17">
        <v>1008002.0</v>
      </c>
      <c r="B11397" s="17">
        <v>7000201.0</v>
      </c>
    </row>
    <row r="11398">
      <c r="A11398" s="17">
        <v>1008002.0</v>
      </c>
      <c r="B11398" s="17">
        <v>7000202.0</v>
      </c>
    </row>
    <row r="11399">
      <c r="A11399" s="17">
        <v>1008002.0</v>
      </c>
      <c r="B11399" s="17">
        <v>7000300.0</v>
      </c>
    </row>
    <row r="11400">
      <c r="A11400" s="17">
        <v>1008002.0</v>
      </c>
      <c r="B11400" s="17">
        <v>7000301.0</v>
      </c>
    </row>
    <row r="11401">
      <c r="A11401" s="17">
        <v>1008002.0</v>
      </c>
      <c r="B11401" s="17">
        <v>7000302.0</v>
      </c>
    </row>
    <row r="11402">
      <c r="A11402" s="17">
        <v>1008002.0</v>
      </c>
      <c r="B11402" s="17">
        <v>7000400.0</v>
      </c>
    </row>
    <row r="11403">
      <c r="A11403" s="17">
        <v>1008002.0</v>
      </c>
      <c r="B11403" s="17">
        <v>7000401.0</v>
      </c>
    </row>
    <row r="11404">
      <c r="A11404" s="17">
        <v>1008002.0</v>
      </c>
      <c r="B11404" s="17">
        <v>7000402.0</v>
      </c>
    </row>
    <row r="11405">
      <c r="A11405" s="17">
        <v>1008002.0</v>
      </c>
      <c r="B11405" s="17">
        <v>7000500.0</v>
      </c>
    </row>
    <row r="11406">
      <c r="A11406" s="17">
        <v>1008002.0</v>
      </c>
      <c r="B11406" s="17">
        <v>7000501.0</v>
      </c>
    </row>
    <row r="11407">
      <c r="A11407" s="17">
        <v>1008002.0</v>
      </c>
      <c r="B11407" s="17">
        <v>7000502.0</v>
      </c>
    </row>
    <row r="11408">
      <c r="A11408" s="17">
        <v>1008002.0</v>
      </c>
      <c r="B11408" s="17">
        <v>7000600.0</v>
      </c>
    </row>
    <row r="11409">
      <c r="A11409" s="17">
        <v>1008002.0</v>
      </c>
      <c r="B11409" s="17">
        <v>7000601.0</v>
      </c>
    </row>
    <row r="11410">
      <c r="A11410" s="17">
        <v>1008002.0</v>
      </c>
      <c r="B11410" s="17">
        <v>7000602.0</v>
      </c>
    </row>
    <row r="11411">
      <c r="A11411" s="17">
        <v>1008002.0</v>
      </c>
      <c r="B11411" s="17">
        <v>7000700.0</v>
      </c>
    </row>
    <row r="11412">
      <c r="A11412" s="17">
        <v>1008002.0</v>
      </c>
      <c r="B11412" s="17">
        <v>7000701.0</v>
      </c>
    </row>
    <row r="11413">
      <c r="A11413" s="17">
        <v>1008002.0</v>
      </c>
      <c r="B11413" s="17">
        <v>7000702.0</v>
      </c>
    </row>
    <row r="11414">
      <c r="A11414" s="17">
        <v>1008002.0</v>
      </c>
      <c r="B11414" s="17">
        <v>7000800.0</v>
      </c>
    </row>
    <row r="11415">
      <c r="A11415" s="17">
        <v>1008002.0</v>
      </c>
      <c r="B11415" s="17">
        <v>7000801.0</v>
      </c>
    </row>
    <row r="11416">
      <c r="A11416" s="17">
        <v>1008002.0</v>
      </c>
      <c r="B11416" s="17">
        <v>7000802.0</v>
      </c>
    </row>
    <row r="11417">
      <c r="A11417" s="17">
        <v>1008002.0</v>
      </c>
      <c r="B11417" s="17">
        <v>7000900.0</v>
      </c>
    </row>
    <row r="11418">
      <c r="A11418" s="17">
        <v>1008002.0</v>
      </c>
      <c r="B11418" s="17">
        <v>7000901.0</v>
      </c>
    </row>
    <row r="11419">
      <c r="A11419" s="17">
        <v>1008002.0</v>
      </c>
      <c r="B11419" s="17">
        <v>7000902.0</v>
      </c>
    </row>
    <row r="11420">
      <c r="A11420" s="17">
        <v>1008002.0</v>
      </c>
      <c r="B11420" s="17">
        <v>7001000.0</v>
      </c>
    </row>
    <row r="11421">
      <c r="A11421" s="17">
        <v>1008002.0</v>
      </c>
      <c r="B11421" s="17">
        <v>7001001.0</v>
      </c>
    </row>
    <row r="11422">
      <c r="A11422" s="17">
        <v>1008002.0</v>
      </c>
      <c r="B11422" s="17">
        <v>7001002.0</v>
      </c>
    </row>
    <row r="11423">
      <c r="A11423" s="17">
        <v>1008002.0</v>
      </c>
      <c r="B11423" s="17">
        <v>7001400.0</v>
      </c>
    </row>
    <row r="11424">
      <c r="A11424" s="17">
        <v>1008002.0</v>
      </c>
      <c r="B11424" s="17">
        <v>7001401.0</v>
      </c>
    </row>
    <row r="11425">
      <c r="A11425" s="17">
        <v>1008002.0</v>
      </c>
      <c r="B11425" s="17">
        <v>7001402.0</v>
      </c>
    </row>
    <row r="11426">
      <c r="A11426" s="17">
        <v>1008002.0</v>
      </c>
      <c r="B11426" s="17">
        <v>7001500.0</v>
      </c>
    </row>
    <row r="11427">
      <c r="A11427" s="17">
        <v>1008002.0</v>
      </c>
      <c r="B11427" s="17">
        <v>7001501.0</v>
      </c>
    </row>
    <row r="11428">
      <c r="A11428" s="17">
        <v>1008002.0</v>
      </c>
      <c r="B11428" s="17">
        <v>7001502.0</v>
      </c>
    </row>
    <row r="11429">
      <c r="A11429" s="17">
        <v>1008002.0</v>
      </c>
      <c r="B11429" s="17">
        <v>7001600.0</v>
      </c>
    </row>
    <row r="11430">
      <c r="A11430" s="17">
        <v>1008002.0</v>
      </c>
      <c r="B11430" s="17">
        <v>7001601.0</v>
      </c>
    </row>
    <row r="11431">
      <c r="A11431" s="17">
        <v>1008002.0</v>
      </c>
      <c r="B11431" s="17">
        <v>7001602.0</v>
      </c>
    </row>
    <row r="11432">
      <c r="A11432" s="17">
        <v>1008002.0</v>
      </c>
      <c r="B11432" s="17">
        <v>7001700.0</v>
      </c>
    </row>
    <row r="11433">
      <c r="A11433" s="17">
        <v>1008002.0</v>
      </c>
      <c r="B11433" s="17">
        <v>7001701.0</v>
      </c>
    </row>
    <row r="11434">
      <c r="A11434" s="17">
        <v>1008002.0</v>
      </c>
      <c r="B11434" s="17">
        <v>7001702.0</v>
      </c>
    </row>
    <row r="11435">
      <c r="A11435" s="17">
        <v>1008002.0</v>
      </c>
      <c r="B11435" s="17">
        <v>7001800.0</v>
      </c>
    </row>
    <row r="11436">
      <c r="A11436" s="17">
        <v>1008002.0</v>
      </c>
      <c r="B11436" s="17">
        <v>7001801.0</v>
      </c>
    </row>
    <row r="11437">
      <c r="A11437" s="17">
        <v>1008002.0</v>
      </c>
      <c r="B11437" s="17">
        <v>7001802.0</v>
      </c>
    </row>
    <row r="11438">
      <c r="A11438" s="17">
        <v>1008002.0</v>
      </c>
      <c r="B11438" s="17">
        <v>7002600.0</v>
      </c>
    </row>
    <row r="11439">
      <c r="A11439" s="17">
        <v>1008002.0</v>
      </c>
      <c r="B11439" s="17">
        <v>7002700.0</v>
      </c>
    </row>
    <row r="11440">
      <c r="A11440" s="17">
        <v>1008002.0</v>
      </c>
      <c r="B11440" s="17">
        <v>7002800.0</v>
      </c>
    </row>
    <row r="11441">
      <c r="A11441" s="17">
        <v>1008002.0</v>
      </c>
      <c r="B11441" s="17">
        <v>7002900.0</v>
      </c>
    </row>
    <row r="11442">
      <c r="A11442" s="17">
        <v>1008002.0</v>
      </c>
      <c r="B11442" s="17">
        <v>7003000.0</v>
      </c>
    </row>
    <row r="11443">
      <c r="A11443" s="17">
        <v>1008002.0</v>
      </c>
      <c r="B11443" s="17">
        <v>7003100.0</v>
      </c>
    </row>
    <row r="11444">
      <c r="A11444" s="17">
        <v>1008002.0</v>
      </c>
      <c r="B11444" s="17">
        <v>7003200.0</v>
      </c>
    </row>
    <row r="11445">
      <c r="A11445" s="17">
        <v>1008002.0</v>
      </c>
      <c r="B11445" s="17">
        <v>7003300.0</v>
      </c>
    </row>
    <row r="11446">
      <c r="A11446" s="17">
        <v>1008002.0</v>
      </c>
      <c r="B11446" s="17">
        <v>7003400.0</v>
      </c>
    </row>
    <row r="11447">
      <c r="A11447" s="17">
        <v>1008002.0</v>
      </c>
      <c r="B11447" s="17">
        <v>7003500.0</v>
      </c>
    </row>
    <row r="11448">
      <c r="A11448" s="17">
        <v>1008002.0</v>
      </c>
      <c r="B11448" s="17">
        <v>7003600.0</v>
      </c>
    </row>
    <row r="11449">
      <c r="A11449" s="17">
        <v>1008002.0</v>
      </c>
      <c r="B11449" s="17">
        <v>7005600.0</v>
      </c>
    </row>
    <row r="11450">
      <c r="A11450" s="17">
        <v>1008002.0</v>
      </c>
      <c r="B11450" s="17">
        <v>7006000.0</v>
      </c>
    </row>
    <row r="11451">
      <c r="A11451" s="17">
        <v>1008002.0</v>
      </c>
      <c r="B11451" s="17">
        <v>7006100.0</v>
      </c>
    </row>
    <row r="11452">
      <c r="A11452" s="17">
        <v>1008002.0</v>
      </c>
      <c r="B11452" s="17">
        <v>7010200.0</v>
      </c>
    </row>
    <row r="11453">
      <c r="A11453" s="17">
        <v>1008002.0</v>
      </c>
      <c r="B11453" s="17">
        <v>7010500.0</v>
      </c>
    </row>
    <row r="11454">
      <c r="A11454" s="17">
        <v>1008002.0</v>
      </c>
      <c r="B11454" s="17">
        <v>7010700.0</v>
      </c>
    </row>
    <row r="11455">
      <c r="A11455" s="17">
        <v>1008002.0</v>
      </c>
      <c r="B11455" s="17">
        <v>7010900.0</v>
      </c>
    </row>
    <row r="11456">
      <c r="A11456" s="17">
        <v>1008002.0</v>
      </c>
      <c r="B11456" s="17">
        <v>7011000.0</v>
      </c>
    </row>
    <row r="11457">
      <c r="A11457" s="17">
        <v>1008002.0</v>
      </c>
      <c r="B11457" s="17">
        <v>7011200.0</v>
      </c>
    </row>
    <row r="11458">
      <c r="A11458" s="17">
        <v>1008002.0</v>
      </c>
      <c r="B11458" s="17">
        <v>7011600.0</v>
      </c>
    </row>
    <row r="11459">
      <c r="A11459" s="17">
        <v>1008002.0</v>
      </c>
      <c r="B11459" s="17">
        <v>7011700.0</v>
      </c>
    </row>
    <row r="11460">
      <c r="A11460" s="17">
        <v>1008002.0</v>
      </c>
      <c r="B11460" s="17">
        <v>7012000.0</v>
      </c>
    </row>
    <row r="11461">
      <c r="A11461" s="17">
        <v>1008002.0</v>
      </c>
      <c r="B11461" s="17">
        <v>7012200.0</v>
      </c>
    </row>
    <row r="11462">
      <c r="A11462" s="17">
        <v>1008002.0</v>
      </c>
      <c r="B11462" s="17">
        <v>7012300.0</v>
      </c>
    </row>
    <row r="11463">
      <c r="A11463" s="17">
        <v>1008002.0</v>
      </c>
      <c r="B11463" s="17">
        <v>7020000.0</v>
      </c>
    </row>
    <row r="11464">
      <c r="A11464" s="17">
        <v>1008002.0</v>
      </c>
      <c r="B11464" s="17">
        <v>7030000.0</v>
      </c>
    </row>
    <row r="11465">
      <c r="A11465" s="17">
        <v>1008002.0</v>
      </c>
      <c r="B11465" s="17">
        <v>7030200.0</v>
      </c>
    </row>
    <row r="11466">
      <c r="A11466" s="17">
        <v>1008002.0</v>
      </c>
      <c r="B11466" s="17">
        <v>7030600.0</v>
      </c>
    </row>
    <row r="11467">
      <c r="A11467" s="17">
        <v>1008002.0</v>
      </c>
      <c r="B11467" s="17">
        <v>7030700.0</v>
      </c>
    </row>
    <row r="11468">
      <c r="A11468" s="17">
        <v>1008002.0</v>
      </c>
      <c r="B11468" s="17">
        <v>7030800.0</v>
      </c>
    </row>
    <row r="11469">
      <c r="A11469" s="17">
        <v>1008002.0</v>
      </c>
      <c r="B11469" s="17">
        <v>7030900.0</v>
      </c>
    </row>
    <row r="11470">
      <c r="A11470" s="17">
        <v>1008002.0</v>
      </c>
      <c r="B11470" s="17">
        <v>7031200.0</v>
      </c>
    </row>
    <row r="11471">
      <c r="A11471" s="17">
        <v>1008002.0</v>
      </c>
      <c r="B11471" s="17">
        <v>7031300.0</v>
      </c>
    </row>
    <row r="11472">
      <c r="A11472" s="17">
        <v>1008002.0</v>
      </c>
      <c r="B11472" s="17">
        <v>7031800.0</v>
      </c>
    </row>
    <row r="11473">
      <c r="A11473" s="17">
        <v>1008002.0</v>
      </c>
      <c r="B11473" s="17">
        <v>7031900.0</v>
      </c>
    </row>
    <row r="11474">
      <c r="A11474" s="17">
        <v>1008002.0</v>
      </c>
      <c r="B11474" s="17">
        <v>7032200.0</v>
      </c>
    </row>
    <row r="11475">
      <c r="A11475" s="17">
        <v>1008002.0</v>
      </c>
      <c r="B11475" s="17">
        <v>7032400.0</v>
      </c>
    </row>
    <row r="11476">
      <c r="A11476" s="17">
        <v>1008002.0</v>
      </c>
      <c r="B11476" s="17">
        <v>7032700.0</v>
      </c>
    </row>
    <row r="11477">
      <c r="A11477" s="17">
        <v>1008002.0</v>
      </c>
      <c r="B11477" s="17">
        <v>7032800.0</v>
      </c>
    </row>
    <row r="11478">
      <c r="A11478" s="17">
        <v>1008002.0</v>
      </c>
      <c r="B11478" s="17">
        <v>7032900.0</v>
      </c>
    </row>
    <row r="11479">
      <c r="A11479" s="17">
        <v>1008002.0</v>
      </c>
      <c r="B11479" s="17">
        <v>7033200.0</v>
      </c>
    </row>
    <row r="11480">
      <c r="A11480" s="17">
        <v>1008002.0</v>
      </c>
      <c r="B11480" s="17">
        <v>7033400.0</v>
      </c>
    </row>
    <row r="11481">
      <c r="A11481" s="17">
        <v>1008002.0</v>
      </c>
      <c r="B11481" s="17">
        <v>7034100.0</v>
      </c>
    </row>
    <row r="11482">
      <c r="A11482" s="17">
        <v>1008002.0</v>
      </c>
      <c r="B11482" s="17">
        <v>7034400.0</v>
      </c>
    </row>
    <row r="11483">
      <c r="A11483" s="17">
        <v>1008002.0</v>
      </c>
      <c r="B11483" s="17">
        <v>7034500.0</v>
      </c>
    </row>
    <row r="11484">
      <c r="A11484" s="17">
        <v>1008002.0</v>
      </c>
      <c r="B11484" s="17">
        <v>7034600.0</v>
      </c>
    </row>
    <row r="11485">
      <c r="A11485" s="17">
        <v>1008002.0</v>
      </c>
      <c r="B11485" s="17">
        <v>7034700.0</v>
      </c>
    </row>
    <row r="11486">
      <c r="A11486" s="17">
        <v>1008002.0</v>
      </c>
      <c r="B11486" s="17">
        <v>7035100.0</v>
      </c>
    </row>
    <row r="11487">
      <c r="A11487" s="17">
        <v>1008002.0</v>
      </c>
      <c r="B11487" s="17">
        <v>7036100.0</v>
      </c>
    </row>
    <row r="11488">
      <c r="A11488" s="17">
        <v>1008002.0</v>
      </c>
      <c r="B11488" s="17">
        <v>7040000.0</v>
      </c>
    </row>
    <row r="11489">
      <c r="A11489" s="17">
        <v>1008002.0</v>
      </c>
      <c r="B11489" s="17">
        <v>7040100.0</v>
      </c>
    </row>
    <row r="11490">
      <c r="A11490" s="17">
        <v>1008002.0</v>
      </c>
      <c r="B11490" s="17">
        <v>7040200.0</v>
      </c>
    </row>
    <row r="11491">
      <c r="A11491" s="17">
        <v>1008002.0</v>
      </c>
      <c r="B11491" s="17">
        <v>7040300.0</v>
      </c>
    </row>
    <row r="11492">
      <c r="A11492" s="17">
        <v>1008002.0</v>
      </c>
      <c r="B11492" s="17">
        <v>7040400.0</v>
      </c>
    </row>
    <row r="11493">
      <c r="A11493" s="17">
        <v>1008002.0</v>
      </c>
      <c r="B11493" s="17">
        <v>7040500.0</v>
      </c>
    </row>
    <row r="11494">
      <c r="A11494" s="17">
        <v>1008002.0</v>
      </c>
      <c r="B11494" s="17">
        <v>7043000.0</v>
      </c>
    </row>
    <row r="11495">
      <c r="A11495" s="17">
        <v>1008002.0</v>
      </c>
      <c r="B11495" s="17">
        <v>7043100.0</v>
      </c>
    </row>
    <row r="11496">
      <c r="A11496" s="17">
        <v>1008002.0</v>
      </c>
      <c r="B11496" s="17">
        <v>7043200.0</v>
      </c>
    </row>
    <row r="11497">
      <c r="A11497" s="17">
        <v>1008002.0</v>
      </c>
      <c r="B11497" s="17">
        <v>7043300.0</v>
      </c>
    </row>
    <row r="11498">
      <c r="A11498" s="17">
        <v>1008002.0</v>
      </c>
      <c r="B11498" s="17">
        <v>7043400.0</v>
      </c>
    </row>
    <row r="11499">
      <c r="A11499" s="17">
        <v>1008002.0</v>
      </c>
      <c r="B11499" s="17">
        <v>7043500.0</v>
      </c>
    </row>
    <row r="11500">
      <c r="A11500" s="17">
        <v>1008002.0</v>
      </c>
      <c r="B11500" s="17">
        <v>7043600.0</v>
      </c>
    </row>
    <row r="11501">
      <c r="A11501" s="17">
        <v>1008002.0</v>
      </c>
      <c r="B11501" s="17">
        <v>7043700.0</v>
      </c>
    </row>
    <row r="11502">
      <c r="A11502" s="17">
        <v>1008002.0</v>
      </c>
      <c r="B11502" s="17">
        <v>7043800.0</v>
      </c>
    </row>
    <row r="11503">
      <c r="A11503" s="17">
        <v>1008002.0</v>
      </c>
      <c r="B11503" s="17">
        <v>7044000.0</v>
      </c>
    </row>
    <row r="11504">
      <c r="A11504" s="17">
        <v>1008002.0</v>
      </c>
      <c r="B11504" s="17">
        <v>7044100.0</v>
      </c>
    </row>
    <row r="11505">
      <c r="A11505" s="17">
        <v>1008002.0</v>
      </c>
      <c r="B11505" s="17">
        <v>7044200.0</v>
      </c>
    </row>
    <row r="11506">
      <c r="A11506" s="17">
        <v>1008002.0</v>
      </c>
      <c r="B11506" s="17">
        <v>7044300.0</v>
      </c>
    </row>
    <row r="11507">
      <c r="A11507" s="17">
        <v>1008002.0</v>
      </c>
      <c r="B11507" s="17">
        <v>7044400.0</v>
      </c>
    </row>
    <row r="11508">
      <c r="A11508" s="17">
        <v>1008002.0</v>
      </c>
      <c r="B11508" s="17">
        <v>7044500.0</v>
      </c>
    </row>
    <row r="11509">
      <c r="A11509" s="17">
        <v>1008002.0</v>
      </c>
      <c r="B11509" s="17">
        <v>7044600.0</v>
      </c>
    </row>
    <row r="11510">
      <c r="A11510" s="17">
        <v>1008002.0</v>
      </c>
      <c r="B11510" s="17">
        <v>7050000.0</v>
      </c>
    </row>
    <row r="11511">
      <c r="A11511" s="17">
        <v>1008002.0</v>
      </c>
      <c r="B11511" s="17">
        <v>7050100.0</v>
      </c>
    </row>
    <row r="11512">
      <c r="A11512" s="17">
        <v>1008002.0</v>
      </c>
      <c r="B11512" s="17">
        <v>7060000.0</v>
      </c>
    </row>
    <row r="11513">
      <c r="A11513" s="17">
        <v>1008002.0</v>
      </c>
      <c r="B11513" s="17">
        <v>7060100.0</v>
      </c>
    </row>
    <row r="11514">
      <c r="A11514" s="17">
        <v>1008002.0</v>
      </c>
      <c r="B11514" s="17">
        <v>7060200.0</v>
      </c>
    </row>
    <row r="11515">
      <c r="A11515" s="17">
        <v>1008002.0</v>
      </c>
      <c r="B11515" s="17">
        <v>7070000.0</v>
      </c>
    </row>
    <row r="11516">
      <c r="A11516" s="17">
        <v>1008002.0</v>
      </c>
      <c r="B11516" s="17">
        <v>7080000.0</v>
      </c>
    </row>
    <row r="11517">
      <c r="A11517" s="17">
        <v>1008002.0</v>
      </c>
      <c r="B11517" s="17">
        <v>7080100.0</v>
      </c>
    </row>
    <row r="11518">
      <c r="A11518" s="17">
        <v>1008002.0</v>
      </c>
      <c r="B11518" s="17">
        <v>7080200.0</v>
      </c>
    </row>
    <row r="11519">
      <c r="A11519" s="17">
        <v>1008002.0</v>
      </c>
      <c r="B11519" s="17">
        <v>7080300.0</v>
      </c>
    </row>
    <row r="11520">
      <c r="A11520" s="17">
        <v>1008002.0</v>
      </c>
      <c r="B11520" s="17">
        <v>7080400.0</v>
      </c>
    </row>
    <row r="11521">
      <c r="A11521" s="17">
        <v>1008002.0</v>
      </c>
      <c r="B11521" s="17">
        <v>7080500.0</v>
      </c>
    </row>
    <row r="11522">
      <c r="A11522" s="17">
        <v>1008002.0</v>
      </c>
      <c r="B11522" s="17">
        <v>7080600.0</v>
      </c>
    </row>
    <row r="11523">
      <c r="A11523" s="17">
        <v>1008002.0</v>
      </c>
      <c r="B11523" s="17">
        <v>7080700.0</v>
      </c>
    </row>
    <row r="11524">
      <c r="A11524" s="17">
        <v>1008002.0</v>
      </c>
      <c r="B11524" s="17">
        <v>7080800.0</v>
      </c>
    </row>
    <row r="11525">
      <c r="A11525" s="17">
        <v>1008002.0</v>
      </c>
      <c r="B11525" s="17">
        <v>7080900.0</v>
      </c>
    </row>
    <row r="11526">
      <c r="A11526" s="17">
        <v>1008002.0</v>
      </c>
      <c r="B11526" s="17">
        <v>7081000.0</v>
      </c>
    </row>
    <row r="11527">
      <c r="A11527" s="17">
        <v>1008002.0</v>
      </c>
      <c r="B11527" s="17">
        <v>7081100.0</v>
      </c>
    </row>
    <row r="11528">
      <c r="A11528" s="17">
        <v>1008002.0</v>
      </c>
      <c r="B11528" s="17">
        <v>7081200.0</v>
      </c>
    </row>
    <row r="11529">
      <c r="A11529" s="17">
        <v>1008002.0</v>
      </c>
      <c r="B11529" s="17">
        <v>7081300.0</v>
      </c>
    </row>
    <row r="11530">
      <c r="A11530" s="17">
        <v>1008002.0</v>
      </c>
      <c r="B11530" s="17">
        <v>7081400.0</v>
      </c>
    </row>
    <row r="11531">
      <c r="A11531" s="17">
        <v>1008002.0</v>
      </c>
      <c r="B11531" s="17">
        <v>7081500.0</v>
      </c>
    </row>
    <row r="11532">
      <c r="A11532" s="17">
        <v>1008002.0</v>
      </c>
      <c r="B11532" s="17">
        <v>7081700.0</v>
      </c>
    </row>
    <row r="11533">
      <c r="A11533" s="17">
        <v>1008002.0</v>
      </c>
      <c r="B11533" s="17">
        <v>7081800.0</v>
      </c>
    </row>
    <row r="11534">
      <c r="A11534" s="17">
        <v>1008002.0</v>
      </c>
      <c r="B11534" s="17">
        <v>7081900.0</v>
      </c>
    </row>
    <row r="11535">
      <c r="A11535" s="17">
        <v>1008002.0</v>
      </c>
      <c r="B11535" s="17">
        <v>7082000.0</v>
      </c>
    </row>
    <row r="11536">
      <c r="A11536" s="17">
        <v>1008002.0</v>
      </c>
      <c r="B11536" s="17">
        <v>7082100.0</v>
      </c>
    </row>
    <row r="11537">
      <c r="A11537" s="17">
        <v>1008002.0</v>
      </c>
      <c r="B11537" s="17">
        <v>7082200.0</v>
      </c>
    </row>
    <row r="11538">
      <c r="A11538" s="17">
        <v>1008002.0</v>
      </c>
      <c r="B11538" s="17">
        <v>7082300.0</v>
      </c>
    </row>
    <row r="11539">
      <c r="A11539" s="17">
        <v>1008002.0</v>
      </c>
      <c r="B11539" s="17">
        <v>7082400.0</v>
      </c>
    </row>
    <row r="11540">
      <c r="A11540" s="17">
        <v>1008002.0</v>
      </c>
      <c r="B11540" s="17">
        <v>7082500.0</v>
      </c>
    </row>
    <row r="11541">
      <c r="A11541" s="17">
        <v>1008002.0</v>
      </c>
      <c r="B11541" s="17">
        <v>7082600.0</v>
      </c>
    </row>
    <row r="11542">
      <c r="A11542" s="17">
        <v>1008002.0</v>
      </c>
      <c r="B11542" s="17">
        <v>7082700.0</v>
      </c>
    </row>
    <row r="11543">
      <c r="A11543" s="17">
        <v>1008002.0</v>
      </c>
      <c r="B11543" s="17">
        <v>7082800.0</v>
      </c>
    </row>
    <row r="11544">
      <c r="A11544" s="17">
        <v>1008002.0</v>
      </c>
      <c r="B11544" s="17">
        <v>7082900.0</v>
      </c>
    </row>
    <row r="11545">
      <c r="A11545" s="17">
        <v>1008002.0</v>
      </c>
      <c r="B11545" s="17">
        <v>7090000.0</v>
      </c>
    </row>
    <row r="11546">
      <c r="A11546" s="17">
        <v>1008002.0</v>
      </c>
      <c r="B11546" s="17">
        <v>7090100.0</v>
      </c>
    </row>
    <row r="11547">
      <c r="A11547" s="17">
        <v>1008002.0</v>
      </c>
      <c r="B11547" s="17">
        <v>7090300.0</v>
      </c>
    </row>
    <row r="11548">
      <c r="A11548" s="17">
        <v>1008002.0</v>
      </c>
      <c r="B11548" s="17">
        <v>7100100.0</v>
      </c>
    </row>
    <row r="11549">
      <c r="A11549" s="17">
        <v>1008002.0</v>
      </c>
      <c r="B11549" s="17">
        <v>7110000.0</v>
      </c>
    </row>
    <row r="11550">
      <c r="A11550" s="17">
        <v>1008002.0</v>
      </c>
      <c r="B11550" s="17">
        <v>7120000.0</v>
      </c>
    </row>
    <row r="11551">
      <c r="A11551" s="17">
        <v>1008002.0</v>
      </c>
      <c r="B11551" s="17">
        <v>7120100.0</v>
      </c>
    </row>
    <row r="11552">
      <c r="A11552" s="17">
        <v>1008002.0</v>
      </c>
      <c r="B11552" s="17">
        <v>7120200.0</v>
      </c>
    </row>
    <row r="11553">
      <c r="A11553" s="17">
        <v>1008002.0</v>
      </c>
      <c r="B11553" s="17">
        <v>7120300.0</v>
      </c>
    </row>
    <row r="11554">
      <c r="A11554" s="17">
        <v>1008002.0</v>
      </c>
      <c r="B11554" s="17">
        <v>7120400.0</v>
      </c>
    </row>
    <row r="11555">
      <c r="A11555" s="17">
        <v>1008002.0</v>
      </c>
      <c r="B11555" s="17">
        <v>7120500.0</v>
      </c>
    </row>
    <row r="11556">
      <c r="A11556" s="17">
        <v>1008002.0</v>
      </c>
      <c r="B11556" s="17">
        <v>7120600.0</v>
      </c>
    </row>
    <row r="11557">
      <c r="A11557" s="17">
        <v>1008002.0</v>
      </c>
      <c r="B11557" s="17">
        <v>7120900.0</v>
      </c>
    </row>
    <row r="11558">
      <c r="A11558" s="17">
        <v>1008002.0</v>
      </c>
      <c r="B11558" s="17">
        <v>7121000.0</v>
      </c>
    </row>
    <row r="11559">
      <c r="A11559" s="17">
        <v>1008002.0</v>
      </c>
      <c r="B11559" s="17">
        <v>7121100.0</v>
      </c>
    </row>
    <row r="11560">
      <c r="A11560" s="17">
        <v>1008002.0</v>
      </c>
      <c r="B11560" s="17">
        <v>7121200.0</v>
      </c>
    </row>
    <row r="11561">
      <c r="A11561" s="17">
        <v>1008002.0</v>
      </c>
      <c r="B11561" s="17">
        <v>7121300.0</v>
      </c>
    </row>
    <row r="11562">
      <c r="A11562" s="17">
        <v>1008002.0</v>
      </c>
      <c r="B11562" s="17">
        <v>7121400.0</v>
      </c>
    </row>
    <row r="11563">
      <c r="A11563" s="17">
        <v>1008002.0</v>
      </c>
      <c r="B11563" s="17">
        <v>7121500.0</v>
      </c>
    </row>
    <row r="11564">
      <c r="A11564" s="17">
        <v>1008002.0</v>
      </c>
      <c r="B11564" s="17">
        <v>7121600.0</v>
      </c>
    </row>
    <row r="11565">
      <c r="A11565" s="17">
        <v>1008002.0</v>
      </c>
      <c r="B11565" s="17">
        <v>7121700.0</v>
      </c>
    </row>
    <row r="11566">
      <c r="A11566" s="17">
        <v>1008002.0</v>
      </c>
      <c r="B11566" s="17">
        <v>7121800.0</v>
      </c>
    </row>
    <row r="11567">
      <c r="A11567" s="17">
        <v>1008002.0</v>
      </c>
      <c r="B11567" s="17">
        <v>7121900.0</v>
      </c>
    </row>
    <row r="11568">
      <c r="A11568" s="17">
        <v>1008002.0</v>
      </c>
      <c r="B11568" s="17">
        <v>7122000.0</v>
      </c>
    </row>
    <row r="11569">
      <c r="A11569" s="17">
        <v>1008002.0</v>
      </c>
      <c r="B11569" s="17">
        <v>7122100.0</v>
      </c>
    </row>
    <row r="11570">
      <c r="A11570" s="17">
        <v>1008002.0</v>
      </c>
      <c r="B11570" s="17">
        <v>7122200.0</v>
      </c>
    </row>
    <row r="11571">
      <c r="A11571" s="17">
        <v>1008002.0</v>
      </c>
      <c r="B11571" s="17">
        <v>7122300.0</v>
      </c>
    </row>
    <row r="11572">
      <c r="A11572" s="17">
        <v>1008002.0</v>
      </c>
      <c r="B11572" s="17">
        <v>7122400.0</v>
      </c>
    </row>
    <row r="11573">
      <c r="A11573" s="17">
        <v>1008002.0</v>
      </c>
      <c r="B11573" s="17">
        <v>7122500.0</v>
      </c>
    </row>
    <row r="11574">
      <c r="A11574" s="17">
        <v>1008002.0</v>
      </c>
      <c r="B11574" s="17">
        <v>7122600.0</v>
      </c>
    </row>
    <row r="11575">
      <c r="A11575" s="17">
        <v>1008002.0</v>
      </c>
      <c r="B11575" s="17">
        <v>7122700.0</v>
      </c>
    </row>
    <row r="11576">
      <c r="A11576" s="17">
        <v>1008002.0</v>
      </c>
      <c r="B11576" s="17">
        <v>7122800.0</v>
      </c>
    </row>
    <row r="11577">
      <c r="A11577" s="17">
        <v>1008002.0</v>
      </c>
      <c r="B11577" s="17">
        <v>7122900.0</v>
      </c>
    </row>
    <row r="11578">
      <c r="A11578" s="17">
        <v>1008002.0</v>
      </c>
      <c r="B11578" s="17">
        <v>7123000.0</v>
      </c>
    </row>
    <row r="11579">
      <c r="A11579" s="17">
        <v>1008002.0</v>
      </c>
      <c r="B11579" s="17">
        <v>7123100.0</v>
      </c>
    </row>
    <row r="11580">
      <c r="A11580" s="17">
        <v>1008002.0</v>
      </c>
      <c r="B11580" s="17">
        <v>7123200.0</v>
      </c>
    </row>
    <row r="11581">
      <c r="A11581" s="17">
        <v>1008002.0</v>
      </c>
      <c r="B11581" s="17">
        <v>7123300.0</v>
      </c>
    </row>
    <row r="11582">
      <c r="A11582" s="17">
        <v>1008002.0</v>
      </c>
      <c r="B11582" s="17">
        <v>7123400.0</v>
      </c>
    </row>
    <row r="11583">
      <c r="A11583" s="17">
        <v>1008002.0</v>
      </c>
      <c r="B11583" s="17">
        <v>7123500.0</v>
      </c>
    </row>
    <row r="11584">
      <c r="A11584" s="17">
        <v>1008002.0</v>
      </c>
      <c r="B11584" s="17">
        <v>7123600.0</v>
      </c>
    </row>
    <row r="11585">
      <c r="A11585" s="17">
        <v>1008002.0</v>
      </c>
      <c r="B11585" s="17">
        <v>7123700.0</v>
      </c>
    </row>
    <row r="11586">
      <c r="A11586" s="17">
        <v>1008002.0</v>
      </c>
      <c r="B11586" s="17">
        <v>7123800.0</v>
      </c>
    </row>
    <row r="11587">
      <c r="A11587" s="17">
        <v>1008002.0</v>
      </c>
      <c r="B11587" s="17">
        <v>7123900.0</v>
      </c>
    </row>
    <row r="11588">
      <c r="A11588" s="17">
        <v>1008002.0</v>
      </c>
      <c r="B11588" s="17">
        <v>7124000.0</v>
      </c>
    </row>
    <row r="11589">
      <c r="A11589" s="17">
        <v>1008002.0</v>
      </c>
      <c r="B11589" s="17">
        <v>7124100.0</v>
      </c>
    </row>
    <row r="11590">
      <c r="A11590" s="17">
        <v>1008002.0</v>
      </c>
      <c r="B11590" s="17">
        <v>7124300.0</v>
      </c>
    </row>
    <row r="11591">
      <c r="A11591" s="17">
        <v>1008002.0</v>
      </c>
      <c r="B11591" s="17">
        <v>7124400.0</v>
      </c>
    </row>
    <row r="11592">
      <c r="A11592" s="17">
        <v>1008002.0</v>
      </c>
      <c r="B11592" s="17">
        <v>7124500.0</v>
      </c>
    </row>
    <row r="11593">
      <c r="A11593" s="17">
        <v>1008002.0</v>
      </c>
      <c r="B11593" s="17">
        <v>7124600.0</v>
      </c>
    </row>
    <row r="11594">
      <c r="A11594" s="17">
        <v>1008002.0</v>
      </c>
      <c r="B11594" s="17">
        <v>7124700.0</v>
      </c>
    </row>
    <row r="11595">
      <c r="A11595" s="17">
        <v>1008002.0</v>
      </c>
      <c r="B11595" s="17">
        <v>7126000.0</v>
      </c>
    </row>
    <row r="11596">
      <c r="A11596" s="17">
        <v>1008002.0</v>
      </c>
      <c r="B11596" s="17">
        <v>7150000.0</v>
      </c>
    </row>
    <row r="11597">
      <c r="A11597" s="17">
        <v>1008002.0</v>
      </c>
      <c r="B11597" s="17">
        <v>7160000.0</v>
      </c>
    </row>
    <row r="11598">
      <c r="A11598" s="17">
        <v>1008002.0</v>
      </c>
      <c r="B11598" s="17">
        <v>7220000.0</v>
      </c>
    </row>
    <row r="11599">
      <c r="A11599" s="17">
        <v>1008002.0</v>
      </c>
      <c r="B11599" s="17">
        <v>7230000.0</v>
      </c>
    </row>
    <row r="11600">
      <c r="A11600" s="17">
        <v>1008002.0</v>
      </c>
      <c r="B11600" s="17">
        <v>7240000.0</v>
      </c>
    </row>
    <row r="11601">
      <c r="A11601" s="17">
        <v>1008002.0</v>
      </c>
      <c r="B11601" s="17">
        <v>7260000.0</v>
      </c>
    </row>
    <row r="11602">
      <c r="A11602" s="17">
        <v>1008002.0</v>
      </c>
      <c r="B11602" s="17">
        <v>7260300.0</v>
      </c>
    </row>
    <row r="11603">
      <c r="A11603" s="17">
        <v>1008002.0</v>
      </c>
      <c r="B11603" s="17">
        <v>7260400.0</v>
      </c>
    </row>
    <row r="11604">
      <c r="A11604" s="17">
        <v>1008002.0</v>
      </c>
      <c r="B11604" s="17">
        <v>7270100.0</v>
      </c>
    </row>
    <row r="11605">
      <c r="A11605" s="17">
        <v>1008002.0</v>
      </c>
      <c r="B11605" s="17">
        <v>7280000.0</v>
      </c>
    </row>
    <row r="11606">
      <c r="A11606" s="17">
        <v>1008002.0</v>
      </c>
      <c r="B11606" s="17">
        <v>7290000.0</v>
      </c>
    </row>
    <row r="11607">
      <c r="A11607" s="17">
        <v>1008002.0</v>
      </c>
      <c r="B11607" s="17">
        <v>7310000.0</v>
      </c>
    </row>
    <row r="11608">
      <c r="A11608" s="17">
        <v>1008002.0</v>
      </c>
      <c r="B11608" s="17">
        <v>7330000.0</v>
      </c>
    </row>
    <row r="11609">
      <c r="A11609" s="17">
        <v>1008002.0</v>
      </c>
      <c r="B11609" s="17">
        <v>7330100.0</v>
      </c>
    </row>
    <row r="11610">
      <c r="A11610" s="17">
        <v>1008002.0</v>
      </c>
      <c r="B11610" s="17">
        <v>7330200.0</v>
      </c>
    </row>
    <row r="11611">
      <c r="A11611" s="17">
        <v>1008002.0</v>
      </c>
      <c r="B11611" s="17">
        <v>7330300.0</v>
      </c>
    </row>
    <row r="11612">
      <c r="A11612" s="17">
        <v>1008002.0</v>
      </c>
      <c r="B11612" s="17">
        <v>7330400.0</v>
      </c>
    </row>
    <row r="11613">
      <c r="A11613" s="17">
        <v>1008002.0</v>
      </c>
      <c r="B11613" s="17">
        <v>7330500.0</v>
      </c>
    </row>
    <row r="11614">
      <c r="A11614" s="17">
        <v>1008002.0</v>
      </c>
      <c r="B11614" s="17">
        <v>7330600.0</v>
      </c>
    </row>
    <row r="11615">
      <c r="A11615" s="17">
        <v>1008002.0</v>
      </c>
      <c r="B11615" s="17">
        <v>7330700.0</v>
      </c>
    </row>
    <row r="11616">
      <c r="A11616" s="17">
        <v>1008002.0</v>
      </c>
      <c r="B11616" s="17">
        <v>7330800.0</v>
      </c>
    </row>
    <row r="11617">
      <c r="A11617" s="17">
        <v>1008002.0</v>
      </c>
      <c r="B11617" s="17">
        <v>7330900.0</v>
      </c>
    </row>
    <row r="11618">
      <c r="A11618" s="17">
        <v>1008002.0</v>
      </c>
      <c r="B11618" s="17">
        <v>7331000.0</v>
      </c>
    </row>
    <row r="11619">
      <c r="A11619" s="17">
        <v>1008002.0</v>
      </c>
      <c r="B11619" s="17">
        <v>7331100.0</v>
      </c>
    </row>
    <row r="11620">
      <c r="A11620" s="17">
        <v>1008002.0</v>
      </c>
      <c r="B11620" s="17">
        <v>7331200.0</v>
      </c>
    </row>
    <row r="11621">
      <c r="A11621" s="17">
        <v>1008002.0</v>
      </c>
      <c r="B11621" s="17">
        <v>7331300.0</v>
      </c>
    </row>
    <row r="11622">
      <c r="A11622" s="17">
        <v>1008002.0</v>
      </c>
      <c r="B11622" s="17">
        <v>7331400.0</v>
      </c>
    </row>
    <row r="11623">
      <c r="A11623" s="17">
        <v>1008002.0</v>
      </c>
      <c r="B11623" s="17">
        <v>7331500.0</v>
      </c>
    </row>
    <row r="11624">
      <c r="A11624" s="17">
        <v>1008002.0</v>
      </c>
      <c r="B11624" s="17">
        <v>7331700.0</v>
      </c>
    </row>
    <row r="11625">
      <c r="A11625" s="17">
        <v>1008002.0</v>
      </c>
      <c r="B11625" s="17">
        <v>7331800.0</v>
      </c>
    </row>
    <row r="11626">
      <c r="A11626" s="17">
        <v>1008002.0</v>
      </c>
      <c r="B11626" s="17">
        <v>7331900.0</v>
      </c>
    </row>
    <row r="11627">
      <c r="A11627" s="17">
        <v>1008002.0</v>
      </c>
      <c r="B11627" s="17">
        <v>7332000.0</v>
      </c>
    </row>
    <row r="11628">
      <c r="A11628" s="17">
        <v>1008002.0</v>
      </c>
      <c r="B11628" s="17">
        <v>7332100.0</v>
      </c>
    </row>
    <row r="11629">
      <c r="A11629" s="17">
        <v>1008002.0</v>
      </c>
      <c r="B11629" s="17">
        <v>7332200.0</v>
      </c>
    </row>
    <row r="11630">
      <c r="A11630" s="17">
        <v>1008002.0</v>
      </c>
      <c r="B11630" s="17">
        <v>7332300.0</v>
      </c>
    </row>
    <row r="11631">
      <c r="A11631" s="17">
        <v>1008002.0</v>
      </c>
      <c r="B11631" s="17">
        <v>7332400.0</v>
      </c>
    </row>
    <row r="11632">
      <c r="A11632" s="17">
        <v>1008002.0</v>
      </c>
      <c r="B11632" s="17">
        <v>7340000.0</v>
      </c>
    </row>
    <row r="11633">
      <c r="A11633" s="17">
        <v>1008002.0</v>
      </c>
      <c r="B11633" s="17">
        <v>7340100.0</v>
      </c>
    </row>
    <row r="11634">
      <c r="A11634" s="17">
        <v>1008002.0</v>
      </c>
      <c r="B11634" s="17">
        <v>7340200.0</v>
      </c>
    </row>
    <row r="11635">
      <c r="A11635" s="17">
        <v>1008002.0</v>
      </c>
      <c r="B11635" s="17">
        <v>7340300.0</v>
      </c>
    </row>
    <row r="11636">
      <c r="A11636" s="17">
        <v>1008002.0</v>
      </c>
      <c r="B11636" s="17">
        <v>7340400.0</v>
      </c>
    </row>
    <row r="11637">
      <c r="A11637" s="17">
        <v>1008002.0</v>
      </c>
      <c r="B11637" s="17">
        <v>7340500.0</v>
      </c>
    </row>
    <row r="11638">
      <c r="A11638" s="17">
        <v>1008002.0</v>
      </c>
      <c r="B11638" s="17">
        <v>7340600.0</v>
      </c>
    </row>
    <row r="11639">
      <c r="A11639" s="17">
        <v>1008002.0</v>
      </c>
      <c r="B11639" s="17">
        <v>7340700.0</v>
      </c>
    </row>
    <row r="11640">
      <c r="A11640" s="17">
        <v>1008002.0</v>
      </c>
      <c r="B11640" s="17">
        <v>7340800.0</v>
      </c>
    </row>
    <row r="11641">
      <c r="A11641" s="17">
        <v>1008002.0</v>
      </c>
      <c r="B11641" s="17">
        <v>7340900.0</v>
      </c>
    </row>
    <row r="11642">
      <c r="A11642" s="17">
        <v>1008002.0</v>
      </c>
      <c r="B11642" s="17">
        <v>7341000.0</v>
      </c>
    </row>
    <row r="11643">
      <c r="A11643" s="17">
        <v>1008002.0</v>
      </c>
      <c r="B11643" s="17">
        <v>7341100.0</v>
      </c>
    </row>
    <row r="11644">
      <c r="A11644" s="17">
        <v>1008002.0</v>
      </c>
      <c r="B11644" s="17">
        <v>7341200.0</v>
      </c>
    </row>
    <row r="11645">
      <c r="A11645" s="17">
        <v>1008002.0</v>
      </c>
      <c r="B11645" s="17">
        <v>7341300.0</v>
      </c>
    </row>
    <row r="11646">
      <c r="A11646" s="17">
        <v>1008002.0</v>
      </c>
      <c r="B11646" s="17">
        <v>7341400.0</v>
      </c>
    </row>
    <row r="11647">
      <c r="A11647" s="17">
        <v>1008002.0</v>
      </c>
      <c r="B11647" s="17">
        <v>7341500.0</v>
      </c>
    </row>
    <row r="11648">
      <c r="A11648" s="17">
        <v>1008002.0</v>
      </c>
      <c r="B11648" s="17">
        <v>7341700.0</v>
      </c>
    </row>
    <row r="11649">
      <c r="A11649" s="17">
        <v>1008002.0</v>
      </c>
      <c r="B11649" s="17">
        <v>7341800.0</v>
      </c>
    </row>
    <row r="11650">
      <c r="A11650" s="17">
        <v>1008002.0</v>
      </c>
      <c r="B11650" s="17">
        <v>7341900.0</v>
      </c>
    </row>
    <row r="11651">
      <c r="A11651" s="17">
        <v>1008002.0</v>
      </c>
      <c r="B11651" s="17">
        <v>7342000.0</v>
      </c>
    </row>
    <row r="11652">
      <c r="A11652" s="17">
        <v>1008002.0</v>
      </c>
      <c r="B11652" s="17">
        <v>7342100.0</v>
      </c>
    </row>
    <row r="11653">
      <c r="A11653" s="17">
        <v>1008002.0</v>
      </c>
      <c r="B11653" s="17">
        <v>7342200.0</v>
      </c>
    </row>
    <row r="11654">
      <c r="A11654" s="17">
        <v>1008002.0</v>
      </c>
      <c r="B11654" s="17">
        <v>7342300.0</v>
      </c>
    </row>
    <row r="11655">
      <c r="A11655" s="17">
        <v>1008002.0</v>
      </c>
      <c r="B11655" s="17">
        <v>7342400.0</v>
      </c>
    </row>
    <row r="11656">
      <c r="A11656" s="17">
        <v>1008002.0</v>
      </c>
      <c r="B11656" s="17">
        <v>7350000.0</v>
      </c>
    </row>
    <row r="11657">
      <c r="A11657" s="17">
        <v>1008002.0</v>
      </c>
      <c r="B11657" s="17">
        <v>7350100.0</v>
      </c>
    </row>
    <row r="11658">
      <c r="A11658" s="17">
        <v>1008002.0</v>
      </c>
      <c r="B11658" s="17">
        <v>7350200.0</v>
      </c>
    </row>
    <row r="11659">
      <c r="A11659" s="17">
        <v>1008002.0</v>
      </c>
      <c r="B11659" s="17">
        <v>7350300.0</v>
      </c>
    </row>
    <row r="11660">
      <c r="A11660" s="17">
        <v>1008002.0</v>
      </c>
      <c r="B11660" s="17">
        <v>7350400.0</v>
      </c>
    </row>
    <row r="11661">
      <c r="A11661" s="17">
        <v>1008002.0</v>
      </c>
      <c r="B11661" s="17">
        <v>7350500.0</v>
      </c>
    </row>
    <row r="11662">
      <c r="A11662" s="17">
        <v>1008002.0</v>
      </c>
      <c r="B11662" s="17">
        <v>7350600.0</v>
      </c>
    </row>
    <row r="11663">
      <c r="A11663" s="17">
        <v>1008002.0</v>
      </c>
      <c r="B11663" s="17">
        <v>7350700.0</v>
      </c>
    </row>
    <row r="11664">
      <c r="A11664" s="17">
        <v>1008002.0</v>
      </c>
      <c r="B11664" s="17">
        <v>7350800.0</v>
      </c>
    </row>
    <row r="11665">
      <c r="A11665" s="17">
        <v>1008002.0</v>
      </c>
      <c r="B11665" s="17">
        <v>7350900.0</v>
      </c>
    </row>
    <row r="11666">
      <c r="A11666" s="17">
        <v>1008002.0</v>
      </c>
      <c r="B11666" s="17">
        <v>7351000.0</v>
      </c>
    </row>
    <row r="11667">
      <c r="A11667" s="17">
        <v>1008002.0</v>
      </c>
      <c r="B11667" s="17">
        <v>7351100.0</v>
      </c>
    </row>
    <row r="11668">
      <c r="A11668" s="17">
        <v>1008002.0</v>
      </c>
      <c r="B11668" s="17">
        <v>7351200.0</v>
      </c>
    </row>
    <row r="11669">
      <c r="A11669" s="17">
        <v>1008002.0</v>
      </c>
      <c r="B11669" s="17">
        <v>7351300.0</v>
      </c>
    </row>
    <row r="11670">
      <c r="A11670" s="17">
        <v>1008002.0</v>
      </c>
      <c r="B11670" s="17">
        <v>7351400.0</v>
      </c>
    </row>
    <row r="11671">
      <c r="A11671" s="17">
        <v>1008002.0</v>
      </c>
      <c r="B11671" s="17">
        <v>7351500.0</v>
      </c>
    </row>
    <row r="11672">
      <c r="A11672" s="17">
        <v>1008002.0</v>
      </c>
      <c r="B11672" s="17">
        <v>7351700.0</v>
      </c>
    </row>
    <row r="11673">
      <c r="A11673" s="17">
        <v>1008002.0</v>
      </c>
      <c r="B11673" s="17">
        <v>7351800.0</v>
      </c>
    </row>
    <row r="11674">
      <c r="A11674" s="17">
        <v>1008002.0</v>
      </c>
      <c r="B11674" s="17">
        <v>7351900.0</v>
      </c>
    </row>
    <row r="11675">
      <c r="A11675" s="17">
        <v>1008002.0</v>
      </c>
      <c r="B11675" s="17">
        <v>7352000.0</v>
      </c>
    </row>
    <row r="11676">
      <c r="A11676" s="17">
        <v>1008002.0</v>
      </c>
      <c r="B11676" s="17">
        <v>7352100.0</v>
      </c>
    </row>
    <row r="11677">
      <c r="A11677" s="17">
        <v>1008002.0</v>
      </c>
      <c r="B11677" s="17">
        <v>7352200.0</v>
      </c>
    </row>
    <row r="11678">
      <c r="A11678" s="17">
        <v>1008002.0</v>
      </c>
      <c r="B11678" s="17">
        <v>7352300.0</v>
      </c>
    </row>
    <row r="11679">
      <c r="A11679" s="17">
        <v>1008002.0</v>
      </c>
      <c r="B11679" s="17">
        <v>7352400.0</v>
      </c>
    </row>
    <row r="11680">
      <c r="A11680" s="17">
        <v>1008002.0</v>
      </c>
      <c r="B11680" s="17">
        <v>7360600.0</v>
      </c>
    </row>
    <row r="11681">
      <c r="A11681" s="17">
        <v>1008002.0</v>
      </c>
      <c r="B11681" s="17">
        <v>7360900.0</v>
      </c>
    </row>
    <row r="11682">
      <c r="A11682" s="17">
        <v>1008002.0</v>
      </c>
      <c r="B11682" s="17">
        <v>7361200.0</v>
      </c>
    </row>
    <row r="11683">
      <c r="A11683" s="17">
        <v>1008002.0</v>
      </c>
      <c r="B11683" s="17">
        <v>7361300.0</v>
      </c>
    </row>
    <row r="11684">
      <c r="A11684" s="17">
        <v>1008002.0</v>
      </c>
      <c r="B11684" s="17">
        <v>7362100.0</v>
      </c>
    </row>
    <row r="11685">
      <c r="A11685" s="17">
        <v>1008002.0</v>
      </c>
      <c r="B11685" s="17">
        <v>7370300.0</v>
      </c>
    </row>
    <row r="11686">
      <c r="A11686" s="17">
        <v>1008002.0</v>
      </c>
      <c r="B11686" s="17">
        <v>7370400.0</v>
      </c>
    </row>
    <row r="11687">
      <c r="A11687" s="17">
        <v>1008002.0</v>
      </c>
      <c r="B11687" s="17">
        <v>7370600.0</v>
      </c>
    </row>
    <row r="11688">
      <c r="A11688" s="17">
        <v>1008002.0</v>
      </c>
      <c r="B11688" s="17">
        <v>7370900.0</v>
      </c>
    </row>
    <row r="11689">
      <c r="A11689" s="17">
        <v>1008002.0</v>
      </c>
      <c r="B11689" s="17">
        <v>7371500.0</v>
      </c>
    </row>
    <row r="11690">
      <c r="A11690" s="17">
        <v>1008002.0</v>
      </c>
      <c r="B11690" s="17">
        <v>7036200.0</v>
      </c>
    </row>
    <row r="11691">
      <c r="A11691" s="17">
        <v>1008002.0</v>
      </c>
      <c r="B11691" s="17">
        <v>7036300.0</v>
      </c>
    </row>
    <row r="11692">
      <c r="A11692" s="17">
        <v>1008002.0</v>
      </c>
      <c r="B11692" s="17">
        <v>7036400.0</v>
      </c>
    </row>
    <row r="11693">
      <c r="A11693" s="17">
        <v>1008002.0</v>
      </c>
      <c r="B11693" s="17">
        <v>7036500.0</v>
      </c>
    </row>
    <row r="11694">
      <c r="A11694" s="17">
        <v>1008002.0</v>
      </c>
      <c r="B11694" s="17">
        <v>7036800.0</v>
      </c>
    </row>
    <row r="11695">
      <c r="A11695" s="17">
        <v>1008002.0</v>
      </c>
      <c r="B11695" s="17">
        <v>7036900.0</v>
      </c>
    </row>
    <row r="11696">
      <c r="A11696" s="17">
        <v>1008002.0</v>
      </c>
      <c r="B11696" s="17">
        <v>7037000.0</v>
      </c>
    </row>
    <row r="11697">
      <c r="A11697" s="17">
        <v>1008002.0</v>
      </c>
      <c r="B11697" s="17">
        <v>7037300.0</v>
      </c>
    </row>
    <row r="11698">
      <c r="A11698" s="17">
        <v>1008002.0</v>
      </c>
      <c r="B11698" s="17">
        <v>6630000.0</v>
      </c>
    </row>
    <row r="11699">
      <c r="A11699" s="17">
        <v>1008002.0</v>
      </c>
      <c r="B11699" s="17">
        <v>6630100.0</v>
      </c>
    </row>
    <row r="11700">
      <c r="A11700" s="17">
        <v>1008002.0</v>
      </c>
      <c r="B11700" s="17">
        <v>6630200.0</v>
      </c>
    </row>
    <row r="11701">
      <c r="A11701" s="17">
        <v>1008002.0</v>
      </c>
      <c r="B11701" s="17">
        <v>6630300.0</v>
      </c>
    </row>
    <row r="11702">
      <c r="A11702" s="17">
        <v>1008002.0</v>
      </c>
      <c r="B11702" s="17">
        <v>6630400.0</v>
      </c>
    </row>
    <row r="11703">
      <c r="A11703" s="17">
        <v>1008002.0</v>
      </c>
      <c r="B11703" s="17">
        <v>6630500.0</v>
      </c>
    </row>
    <row r="11704">
      <c r="A11704" s="17">
        <v>1008002.0</v>
      </c>
      <c r="B11704" s="17">
        <v>6630600.0</v>
      </c>
    </row>
    <row r="11705">
      <c r="A11705" s="17">
        <v>1008002.0</v>
      </c>
      <c r="B11705" s="17">
        <v>6630700.0</v>
      </c>
    </row>
    <row r="11706">
      <c r="A11706" s="17">
        <v>1008002.0</v>
      </c>
      <c r="B11706" s="17">
        <v>6630800.0</v>
      </c>
    </row>
    <row r="11707">
      <c r="A11707" s="17">
        <v>1008002.0</v>
      </c>
      <c r="B11707" s="17">
        <v>6630900.0</v>
      </c>
    </row>
    <row r="11708">
      <c r="A11708" s="17">
        <v>1008002.0</v>
      </c>
      <c r="B11708" s="17">
        <v>6631000.0</v>
      </c>
    </row>
    <row r="11709">
      <c r="A11709" s="17">
        <v>1008002.0</v>
      </c>
      <c r="B11709" s="17">
        <v>6631100.0</v>
      </c>
    </row>
    <row r="11710">
      <c r="A11710" s="17">
        <v>1008002.0</v>
      </c>
      <c r="B11710" s="17">
        <v>6631200.0</v>
      </c>
    </row>
    <row r="11711">
      <c r="A11711" s="17">
        <v>1008002.0</v>
      </c>
      <c r="B11711" s="17">
        <v>6631300.0</v>
      </c>
    </row>
    <row r="11712">
      <c r="A11712" s="17">
        <v>1008002.0</v>
      </c>
      <c r="B11712" s="17">
        <v>6631400.0</v>
      </c>
    </row>
    <row r="11713">
      <c r="A11713" s="17">
        <v>1008002.0</v>
      </c>
      <c r="B11713" s="17">
        <v>6631500.0</v>
      </c>
    </row>
    <row r="11714">
      <c r="A11714" s="17">
        <v>1008002.0</v>
      </c>
      <c r="B11714" s="17">
        <v>6631600.0</v>
      </c>
    </row>
    <row r="11715">
      <c r="A11715" s="17">
        <v>1008002.0</v>
      </c>
      <c r="B11715" s="17">
        <v>6631700.0</v>
      </c>
    </row>
    <row r="11716">
      <c r="A11716" s="17">
        <v>1008002.0</v>
      </c>
      <c r="B11716" s="17">
        <v>6631800.0</v>
      </c>
    </row>
    <row r="11717">
      <c r="A11717" s="17">
        <v>1008002.0</v>
      </c>
      <c r="B11717" s="17">
        <v>6631900.0</v>
      </c>
    </row>
    <row r="11718">
      <c r="A11718" s="17">
        <v>1008002.0</v>
      </c>
      <c r="B11718" s="17">
        <v>6632000.0</v>
      </c>
    </row>
    <row r="11719">
      <c r="A11719" s="17">
        <v>1008002.0</v>
      </c>
      <c r="B11719" s="17">
        <v>6632100.0</v>
      </c>
    </row>
    <row r="11720">
      <c r="A11720" s="17">
        <v>1008002.0</v>
      </c>
      <c r="B11720" s="17">
        <v>6632200.0</v>
      </c>
    </row>
    <row r="11721">
      <c r="A11721" s="17">
        <v>1008002.0</v>
      </c>
      <c r="B11721" s="17">
        <v>6632300.0</v>
      </c>
    </row>
    <row r="11722">
      <c r="A11722" s="17">
        <v>1008002.0</v>
      </c>
      <c r="B11722" s="17">
        <v>6632400.0</v>
      </c>
    </row>
    <row r="11723">
      <c r="A11723" s="17">
        <v>1008002.0</v>
      </c>
      <c r="B11723" s="17">
        <v>6632500.0</v>
      </c>
    </row>
    <row r="11724">
      <c r="A11724" s="17">
        <v>1008002.0</v>
      </c>
      <c r="B11724" s="17">
        <v>6632600.0</v>
      </c>
    </row>
    <row r="11725">
      <c r="A11725" s="17">
        <v>1008002.0</v>
      </c>
      <c r="B11725" s="17">
        <v>6632700.0</v>
      </c>
    </row>
    <row r="11726">
      <c r="A11726" s="17">
        <v>1008002.0</v>
      </c>
      <c r="B11726" s="17">
        <v>6632800.0</v>
      </c>
    </row>
    <row r="11727">
      <c r="A11727" s="17">
        <v>1008002.0</v>
      </c>
      <c r="B11727" s="17">
        <v>6632900.0</v>
      </c>
    </row>
    <row r="11728">
      <c r="A11728" s="17">
        <v>1008002.0</v>
      </c>
      <c r="B11728" s="17">
        <v>6633000.0</v>
      </c>
    </row>
    <row r="11729">
      <c r="A11729" s="17">
        <v>1008002.0</v>
      </c>
      <c r="B11729" s="17">
        <v>6633100.0</v>
      </c>
    </row>
    <row r="11730">
      <c r="A11730" s="17">
        <v>1008002.0</v>
      </c>
      <c r="B11730" s="17">
        <v>6633200.0</v>
      </c>
    </row>
    <row r="11731">
      <c r="A11731" s="17">
        <v>1008002.0</v>
      </c>
      <c r="B11731" s="17">
        <v>6647200.0</v>
      </c>
    </row>
    <row r="11732">
      <c r="A11732" s="17">
        <v>1008002.0</v>
      </c>
      <c r="B11732" s="17">
        <v>6647300.0</v>
      </c>
    </row>
    <row r="11733">
      <c r="A11733" s="17">
        <v>1008002.0</v>
      </c>
      <c r="B11733" s="17">
        <v>6647400.0</v>
      </c>
    </row>
    <row r="11734">
      <c r="A11734" s="17">
        <v>1008002.0</v>
      </c>
      <c r="B11734" s="17">
        <v>6647500.0</v>
      </c>
    </row>
    <row r="11735">
      <c r="A11735" s="17">
        <v>1008002.0</v>
      </c>
      <c r="B11735" s="17">
        <v>6640000.0</v>
      </c>
    </row>
    <row r="11736">
      <c r="A11736" s="17">
        <v>1008002.0</v>
      </c>
      <c r="B11736" s="17">
        <v>6640100.0</v>
      </c>
    </row>
    <row r="11737">
      <c r="A11737" s="17">
        <v>1008002.0</v>
      </c>
      <c r="B11737" s="17">
        <v>6641000.0</v>
      </c>
    </row>
    <row r="11738">
      <c r="A11738" s="17">
        <v>1008002.0</v>
      </c>
      <c r="B11738" s="17">
        <v>6641100.0</v>
      </c>
    </row>
    <row r="11739">
      <c r="A11739" s="17">
        <v>1008002.0</v>
      </c>
      <c r="B11739" s="17">
        <v>6642000.0</v>
      </c>
    </row>
    <row r="11740">
      <c r="A11740" s="17">
        <v>1008002.0</v>
      </c>
      <c r="B11740" s="17">
        <v>6642100.0</v>
      </c>
    </row>
    <row r="11741">
      <c r="A11741" s="17">
        <v>1008002.0</v>
      </c>
      <c r="B11741" s="17">
        <v>6643000.0</v>
      </c>
    </row>
    <row r="11742">
      <c r="A11742" s="17">
        <v>1008002.0</v>
      </c>
      <c r="B11742" s="17">
        <v>6643100.0</v>
      </c>
    </row>
    <row r="11743">
      <c r="A11743" s="17">
        <v>1008002.0</v>
      </c>
      <c r="B11743" s="17">
        <v>6644000.0</v>
      </c>
    </row>
    <row r="11744">
      <c r="A11744" s="17">
        <v>1008002.0</v>
      </c>
      <c r="B11744" s="17">
        <v>6644100.0</v>
      </c>
    </row>
    <row r="11745">
      <c r="A11745" s="17">
        <v>1008002.0</v>
      </c>
      <c r="B11745" s="17">
        <v>6645000.0</v>
      </c>
    </row>
    <row r="11746">
      <c r="A11746" s="17">
        <v>1008002.0</v>
      </c>
      <c r="B11746" s="17">
        <v>6645100.0</v>
      </c>
    </row>
    <row r="11747">
      <c r="A11747" s="17">
        <v>1008002.0</v>
      </c>
      <c r="B11747" s="17">
        <v>6646000.0</v>
      </c>
    </row>
    <row r="11748">
      <c r="A11748" s="17">
        <v>1008002.0</v>
      </c>
      <c r="B11748" s="17">
        <v>6646100.0</v>
      </c>
    </row>
    <row r="11749">
      <c r="A11749" s="17">
        <v>1008002.0</v>
      </c>
      <c r="B11749" s="17">
        <v>6647000.0</v>
      </c>
    </row>
    <row r="11750">
      <c r="A11750" s="17">
        <v>1008002.0</v>
      </c>
      <c r="B11750" s="17">
        <v>6647100.0</v>
      </c>
    </row>
    <row r="11751">
      <c r="A11751" s="17">
        <v>1009000.0</v>
      </c>
      <c r="B11751" s="17">
        <v>7000000.0</v>
      </c>
    </row>
    <row r="11752">
      <c r="A11752" s="17">
        <v>1009000.0</v>
      </c>
      <c r="B11752" s="17">
        <v>7000001.0</v>
      </c>
    </row>
    <row r="11753">
      <c r="A11753" s="17">
        <v>1009000.0</v>
      </c>
      <c r="B11753" s="17">
        <v>7000002.0</v>
      </c>
    </row>
    <row r="11754">
      <c r="A11754" s="17">
        <v>1009000.0</v>
      </c>
      <c r="B11754" s="17">
        <v>7000100.0</v>
      </c>
    </row>
    <row r="11755">
      <c r="A11755" s="17">
        <v>1009000.0</v>
      </c>
      <c r="B11755" s="17">
        <v>7000101.0</v>
      </c>
    </row>
    <row r="11756">
      <c r="A11756" s="17">
        <v>1009000.0</v>
      </c>
      <c r="B11756" s="17">
        <v>7000102.0</v>
      </c>
    </row>
    <row r="11757">
      <c r="A11757" s="17">
        <v>1009000.0</v>
      </c>
      <c r="B11757" s="17">
        <v>7000200.0</v>
      </c>
    </row>
    <row r="11758">
      <c r="A11758" s="17">
        <v>1009000.0</v>
      </c>
      <c r="B11758" s="17">
        <v>7000201.0</v>
      </c>
    </row>
    <row r="11759">
      <c r="A11759" s="17">
        <v>1009000.0</v>
      </c>
      <c r="B11759" s="17">
        <v>7000202.0</v>
      </c>
    </row>
    <row r="11760">
      <c r="A11760" s="17">
        <v>1009000.0</v>
      </c>
      <c r="B11760" s="17">
        <v>7000300.0</v>
      </c>
    </row>
    <row r="11761">
      <c r="A11761" s="17">
        <v>1009000.0</v>
      </c>
      <c r="B11761" s="17">
        <v>7000301.0</v>
      </c>
    </row>
    <row r="11762">
      <c r="A11762" s="17">
        <v>1009000.0</v>
      </c>
      <c r="B11762" s="17">
        <v>7000302.0</v>
      </c>
    </row>
    <row r="11763">
      <c r="A11763" s="17">
        <v>1009000.0</v>
      </c>
      <c r="B11763" s="17">
        <v>7000400.0</v>
      </c>
    </row>
    <row r="11764">
      <c r="A11764" s="17">
        <v>1009000.0</v>
      </c>
      <c r="B11764" s="17">
        <v>7000401.0</v>
      </c>
    </row>
    <row r="11765">
      <c r="A11765" s="17">
        <v>1009000.0</v>
      </c>
      <c r="B11765" s="17">
        <v>7000402.0</v>
      </c>
    </row>
    <row r="11766">
      <c r="A11766" s="17">
        <v>1009000.0</v>
      </c>
      <c r="B11766" s="17">
        <v>7000500.0</v>
      </c>
    </row>
    <row r="11767">
      <c r="A11767" s="17">
        <v>1009000.0</v>
      </c>
      <c r="B11767" s="17">
        <v>7000501.0</v>
      </c>
    </row>
    <row r="11768">
      <c r="A11768" s="17">
        <v>1009000.0</v>
      </c>
      <c r="B11768" s="17">
        <v>7000502.0</v>
      </c>
    </row>
    <row r="11769">
      <c r="A11769" s="17">
        <v>1009000.0</v>
      </c>
      <c r="B11769" s="17">
        <v>7000600.0</v>
      </c>
    </row>
    <row r="11770">
      <c r="A11770" s="17">
        <v>1009000.0</v>
      </c>
      <c r="B11770" s="17">
        <v>7000601.0</v>
      </c>
    </row>
    <row r="11771">
      <c r="A11771" s="17">
        <v>1009000.0</v>
      </c>
      <c r="B11771" s="17">
        <v>7000602.0</v>
      </c>
    </row>
    <row r="11772">
      <c r="A11772" s="17">
        <v>1009000.0</v>
      </c>
      <c r="B11772" s="17">
        <v>7000700.0</v>
      </c>
    </row>
    <row r="11773">
      <c r="A11773" s="17">
        <v>1009000.0</v>
      </c>
      <c r="B11773" s="17">
        <v>7000701.0</v>
      </c>
    </row>
    <row r="11774">
      <c r="A11774" s="17">
        <v>1009000.0</v>
      </c>
      <c r="B11774" s="17">
        <v>7000702.0</v>
      </c>
    </row>
    <row r="11775">
      <c r="A11775" s="17">
        <v>1009000.0</v>
      </c>
      <c r="B11775" s="17">
        <v>7000800.0</v>
      </c>
    </row>
    <row r="11776">
      <c r="A11776" s="17">
        <v>1009000.0</v>
      </c>
      <c r="B11776" s="17">
        <v>7000801.0</v>
      </c>
    </row>
    <row r="11777">
      <c r="A11777" s="17">
        <v>1009000.0</v>
      </c>
      <c r="B11777" s="17">
        <v>7000802.0</v>
      </c>
    </row>
    <row r="11778">
      <c r="A11778" s="17">
        <v>1009000.0</v>
      </c>
      <c r="B11778" s="17">
        <v>7000900.0</v>
      </c>
    </row>
    <row r="11779">
      <c r="A11779" s="17">
        <v>1009000.0</v>
      </c>
      <c r="B11779" s="17">
        <v>7000901.0</v>
      </c>
    </row>
    <row r="11780">
      <c r="A11780" s="17">
        <v>1009000.0</v>
      </c>
      <c r="B11780" s="17">
        <v>7000902.0</v>
      </c>
    </row>
    <row r="11781">
      <c r="A11781" s="17">
        <v>1009000.0</v>
      </c>
      <c r="B11781" s="17">
        <v>7001000.0</v>
      </c>
    </row>
    <row r="11782">
      <c r="A11782" s="17">
        <v>1009000.0</v>
      </c>
      <c r="B11782" s="17">
        <v>7001001.0</v>
      </c>
    </row>
    <row r="11783">
      <c r="A11783" s="17">
        <v>1009000.0</v>
      </c>
      <c r="B11783" s="17">
        <v>7001002.0</v>
      </c>
    </row>
    <row r="11784">
      <c r="A11784" s="17">
        <v>1009000.0</v>
      </c>
      <c r="B11784" s="17">
        <v>7001400.0</v>
      </c>
    </row>
    <row r="11785">
      <c r="A11785" s="17">
        <v>1009000.0</v>
      </c>
      <c r="B11785" s="17">
        <v>7001401.0</v>
      </c>
    </row>
    <row r="11786">
      <c r="A11786" s="17">
        <v>1009000.0</v>
      </c>
      <c r="B11786" s="17">
        <v>7001402.0</v>
      </c>
    </row>
    <row r="11787">
      <c r="A11787" s="17">
        <v>1009000.0</v>
      </c>
      <c r="B11787" s="17">
        <v>7001500.0</v>
      </c>
    </row>
    <row r="11788">
      <c r="A11788" s="17">
        <v>1009000.0</v>
      </c>
      <c r="B11788" s="17">
        <v>7001501.0</v>
      </c>
    </row>
    <row r="11789">
      <c r="A11789" s="17">
        <v>1009000.0</v>
      </c>
      <c r="B11789" s="17">
        <v>7001502.0</v>
      </c>
    </row>
    <row r="11790">
      <c r="A11790" s="17">
        <v>1009000.0</v>
      </c>
      <c r="B11790" s="17">
        <v>7001600.0</v>
      </c>
    </row>
    <row r="11791">
      <c r="A11791" s="17">
        <v>1009000.0</v>
      </c>
      <c r="B11791" s="17">
        <v>7001601.0</v>
      </c>
    </row>
    <row r="11792">
      <c r="A11792" s="17">
        <v>1009000.0</v>
      </c>
      <c r="B11792" s="17">
        <v>7001602.0</v>
      </c>
    </row>
    <row r="11793">
      <c r="A11793" s="17">
        <v>1009000.0</v>
      </c>
      <c r="B11793" s="17">
        <v>7001700.0</v>
      </c>
    </row>
    <row r="11794">
      <c r="A11794" s="17">
        <v>1009000.0</v>
      </c>
      <c r="B11794" s="17">
        <v>7001701.0</v>
      </c>
    </row>
    <row r="11795">
      <c r="A11795" s="17">
        <v>1009000.0</v>
      </c>
      <c r="B11795" s="17">
        <v>7001702.0</v>
      </c>
    </row>
    <row r="11796">
      <c r="A11796" s="17">
        <v>1009000.0</v>
      </c>
      <c r="B11796" s="17">
        <v>7001800.0</v>
      </c>
    </row>
    <row r="11797">
      <c r="A11797" s="17">
        <v>1009000.0</v>
      </c>
      <c r="B11797" s="17">
        <v>7001801.0</v>
      </c>
    </row>
    <row r="11798">
      <c r="A11798" s="17">
        <v>1009000.0</v>
      </c>
      <c r="B11798" s="17">
        <v>7001802.0</v>
      </c>
    </row>
    <row r="11799">
      <c r="A11799" s="17">
        <v>1009000.0</v>
      </c>
      <c r="B11799" s="17">
        <v>7002600.0</v>
      </c>
    </row>
    <row r="11800">
      <c r="A11800" s="17">
        <v>1009000.0</v>
      </c>
      <c r="B11800" s="17">
        <v>7002700.0</v>
      </c>
    </row>
    <row r="11801">
      <c r="A11801" s="17">
        <v>1009000.0</v>
      </c>
      <c r="B11801" s="17">
        <v>7002800.0</v>
      </c>
    </row>
    <row r="11802">
      <c r="A11802" s="17">
        <v>1009000.0</v>
      </c>
      <c r="B11802" s="17">
        <v>7002900.0</v>
      </c>
    </row>
    <row r="11803">
      <c r="A11803" s="17">
        <v>1009000.0</v>
      </c>
      <c r="B11803" s="17">
        <v>7003000.0</v>
      </c>
    </row>
    <row r="11804">
      <c r="A11804" s="17">
        <v>1009000.0</v>
      </c>
      <c r="B11804" s="17">
        <v>7003100.0</v>
      </c>
    </row>
    <row r="11805">
      <c r="A11805" s="17">
        <v>1009000.0</v>
      </c>
      <c r="B11805" s="17">
        <v>7003200.0</v>
      </c>
    </row>
    <row r="11806">
      <c r="A11806" s="17">
        <v>1009000.0</v>
      </c>
      <c r="B11806" s="17">
        <v>7003300.0</v>
      </c>
    </row>
    <row r="11807">
      <c r="A11807" s="17">
        <v>1009000.0</v>
      </c>
      <c r="B11807" s="17">
        <v>7003400.0</v>
      </c>
    </row>
    <row r="11808">
      <c r="A11808" s="17">
        <v>1009000.0</v>
      </c>
      <c r="B11808" s="17">
        <v>7003500.0</v>
      </c>
    </row>
    <row r="11809">
      <c r="A11809" s="17">
        <v>1009000.0</v>
      </c>
      <c r="B11809" s="17">
        <v>7003600.0</v>
      </c>
    </row>
    <row r="11810">
      <c r="A11810" s="17">
        <v>1009000.0</v>
      </c>
      <c r="B11810" s="17">
        <v>7005600.0</v>
      </c>
    </row>
    <row r="11811">
      <c r="A11811" s="17">
        <v>1009000.0</v>
      </c>
      <c r="B11811" s="17">
        <v>7006000.0</v>
      </c>
    </row>
    <row r="11812">
      <c r="A11812" s="17">
        <v>1009000.0</v>
      </c>
      <c r="B11812" s="17">
        <v>7006100.0</v>
      </c>
    </row>
    <row r="11813">
      <c r="A11813" s="17">
        <v>1009000.0</v>
      </c>
      <c r="B11813" s="17">
        <v>7010200.0</v>
      </c>
    </row>
    <row r="11814">
      <c r="A11814" s="17">
        <v>1009000.0</v>
      </c>
      <c r="B11814" s="17">
        <v>7010500.0</v>
      </c>
    </row>
    <row r="11815">
      <c r="A11815" s="17">
        <v>1009000.0</v>
      </c>
      <c r="B11815" s="17">
        <v>7010700.0</v>
      </c>
    </row>
    <row r="11816">
      <c r="A11816" s="17">
        <v>1009000.0</v>
      </c>
      <c r="B11816" s="17">
        <v>7010900.0</v>
      </c>
    </row>
    <row r="11817">
      <c r="A11817" s="17">
        <v>1009000.0</v>
      </c>
      <c r="B11817" s="17">
        <v>7011000.0</v>
      </c>
    </row>
    <row r="11818">
      <c r="A11818" s="17">
        <v>1009000.0</v>
      </c>
      <c r="B11818" s="17">
        <v>7011200.0</v>
      </c>
    </row>
    <row r="11819">
      <c r="A11819" s="17">
        <v>1009000.0</v>
      </c>
      <c r="B11819" s="17">
        <v>7011600.0</v>
      </c>
    </row>
    <row r="11820">
      <c r="A11820" s="17">
        <v>1009000.0</v>
      </c>
      <c r="B11820" s="17">
        <v>7011700.0</v>
      </c>
    </row>
    <row r="11821">
      <c r="A11821" s="17">
        <v>1009000.0</v>
      </c>
      <c r="B11821" s="17">
        <v>7012000.0</v>
      </c>
    </row>
    <row r="11822">
      <c r="A11822" s="17">
        <v>1009000.0</v>
      </c>
      <c r="B11822" s="17">
        <v>7012200.0</v>
      </c>
    </row>
    <row r="11823">
      <c r="A11823" s="17">
        <v>1009000.0</v>
      </c>
      <c r="B11823" s="17">
        <v>7012300.0</v>
      </c>
    </row>
    <row r="11824">
      <c r="A11824" s="17">
        <v>1009000.0</v>
      </c>
      <c r="B11824" s="17">
        <v>7020000.0</v>
      </c>
    </row>
    <row r="11825">
      <c r="A11825" s="17">
        <v>1009000.0</v>
      </c>
      <c r="B11825" s="17">
        <v>7030000.0</v>
      </c>
    </row>
    <row r="11826">
      <c r="A11826" s="17">
        <v>1009000.0</v>
      </c>
      <c r="B11826" s="17">
        <v>7030200.0</v>
      </c>
    </row>
    <row r="11827">
      <c r="A11827" s="17">
        <v>1009000.0</v>
      </c>
      <c r="B11827" s="17">
        <v>7030600.0</v>
      </c>
    </row>
    <row r="11828">
      <c r="A11828" s="17">
        <v>1009000.0</v>
      </c>
      <c r="B11828" s="17">
        <v>7030700.0</v>
      </c>
    </row>
    <row r="11829">
      <c r="A11829" s="17">
        <v>1009000.0</v>
      </c>
      <c r="B11829" s="17">
        <v>7030800.0</v>
      </c>
    </row>
    <row r="11830">
      <c r="A11830" s="17">
        <v>1009000.0</v>
      </c>
      <c r="B11830" s="17">
        <v>7030900.0</v>
      </c>
    </row>
    <row r="11831">
      <c r="A11831" s="17">
        <v>1009000.0</v>
      </c>
      <c r="B11831" s="17">
        <v>7031200.0</v>
      </c>
    </row>
    <row r="11832">
      <c r="A11832" s="17">
        <v>1009000.0</v>
      </c>
      <c r="B11832" s="17">
        <v>7031300.0</v>
      </c>
    </row>
    <row r="11833">
      <c r="A11833" s="17">
        <v>1009000.0</v>
      </c>
      <c r="B11833" s="17">
        <v>7031800.0</v>
      </c>
    </row>
    <row r="11834">
      <c r="A11834" s="17">
        <v>1009000.0</v>
      </c>
      <c r="B11834" s="17">
        <v>7031900.0</v>
      </c>
    </row>
    <row r="11835">
      <c r="A11835" s="17">
        <v>1009000.0</v>
      </c>
      <c r="B11835" s="17">
        <v>7032200.0</v>
      </c>
    </row>
    <row r="11836">
      <c r="A11836" s="17">
        <v>1009000.0</v>
      </c>
      <c r="B11836" s="17">
        <v>7032400.0</v>
      </c>
    </row>
    <row r="11837">
      <c r="A11837" s="17">
        <v>1009000.0</v>
      </c>
      <c r="B11837" s="17">
        <v>7032700.0</v>
      </c>
    </row>
    <row r="11838">
      <c r="A11838" s="17">
        <v>1009000.0</v>
      </c>
      <c r="B11838" s="17">
        <v>7032800.0</v>
      </c>
    </row>
    <row r="11839">
      <c r="A11839" s="17">
        <v>1009000.0</v>
      </c>
      <c r="B11839" s="17">
        <v>7032900.0</v>
      </c>
    </row>
    <row r="11840">
      <c r="A11840" s="17">
        <v>1009000.0</v>
      </c>
      <c r="B11840" s="17">
        <v>7033200.0</v>
      </c>
    </row>
    <row r="11841">
      <c r="A11841" s="17">
        <v>1009000.0</v>
      </c>
      <c r="B11841" s="17">
        <v>7033400.0</v>
      </c>
    </row>
    <row r="11842">
      <c r="A11842" s="17">
        <v>1009000.0</v>
      </c>
      <c r="B11842" s="17">
        <v>7034100.0</v>
      </c>
    </row>
    <row r="11843">
      <c r="A11843" s="17">
        <v>1009000.0</v>
      </c>
      <c r="B11843" s="17">
        <v>7034400.0</v>
      </c>
    </row>
    <row r="11844">
      <c r="A11844" s="17">
        <v>1009000.0</v>
      </c>
      <c r="B11844" s="17">
        <v>7034500.0</v>
      </c>
    </row>
    <row r="11845">
      <c r="A11845" s="17">
        <v>1009000.0</v>
      </c>
      <c r="B11845" s="17">
        <v>7034600.0</v>
      </c>
    </row>
    <row r="11846">
      <c r="A11846" s="17">
        <v>1009000.0</v>
      </c>
      <c r="B11846" s="17">
        <v>7034700.0</v>
      </c>
    </row>
    <row r="11847">
      <c r="A11847" s="17">
        <v>1009000.0</v>
      </c>
      <c r="B11847" s="17">
        <v>7035100.0</v>
      </c>
    </row>
    <row r="11848">
      <c r="A11848" s="17">
        <v>1009000.0</v>
      </c>
      <c r="B11848" s="17">
        <v>7036100.0</v>
      </c>
    </row>
    <row r="11849">
      <c r="A11849" s="17">
        <v>1009000.0</v>
      </c>
      <c r="B11849" s="17">
        <v>7040000.0</v>
      </c>
    </row>
    <row r="11850">
      <c r="A11850" s="17">
        <v>1009000.0</v>
      </c>
      <c r="B11850" s="17">
        <v>7040100.0</v>
      </c>
    </row>
    <row r="11851">
      <c r="A11851" s="17">
        <v>1009000.0</v>
      </c>
      <c r="B11851" s="17">
        <v>7040200.0</v>
      </c>
    </row>
    <row r="11852">
      <c r="A11852" s="17">
        <v>1009000.0</v>
      </c>
      <c r="B11852" s="17">
        <v>7040300.0</v>
      </c>
    </row>
    <row r="11853">
      <c r="A11853" s="17">
        <v>1009000.0</v>
      </c>
      <c r="B11853" s="17">
        <v>7040400.0</v>
      </c>
    </row>
    <row r="11854">
      <c r="A11854" s="17">
        <v>1009000.0</v>
      </c>
      <c r="B11854" s="17">
        <v>7040500.0</v>
      </c>
    </row>
    <row r="11855">
      <c r="A11855" s="17">
        <v>1009000.0</v>
      </c>
      <c r="B11855" s="17">
        <v>7043000.0</v>
      </c>
    </row>
    <row r="11856">
      <c r="A11856" s="17">
        <v>1009000.0</v>
      </c>
      <c r="B11856" s="17">
        <v>7043100.0</v>
      </c>
    </row>
    <row r="11857">
      <c r="A11857" s="17">
        <v>1009000.0</v>
      </c>
      <c r="B11857" s="17">
        <v>7043200.0</v>
      </c>
    </row>
    <row r="11858">
      <c r="A11858" s="17">
        <v>1009000.0</v>
      </c>
      <c r="B11858" s="17">
        <v>7043300.0</v>
      </c>
    </row>
    <row r="11859">
      <c r="A11859" s="17">
        <v>1009000.0</v>
      </c>
      <c r="B11859" s="17">
        <v>7043400.0</v>
      </c>
    </row>
    <row r="11860">
      <c r="A11860" s="17">
        <v>1009000.0</v>
      </c>
      <c r="B11860" s="17">
        <v>7043500.0</v>
      </c>
    </row>
    <row r="11861">
      <c r="A11861" s="17">
        <v>1009000.0</v>
      </c>
      <c r="B11861" s="17">
        <v>7043600.0</v>
      </c>
    </row>
    <row r="11862">
      <c r="A11862" s="17">
        <v>1009000.0</v>
      </c>
      <c r="B11862" s="17">
        <v>7043700.0</v>
      </c>
    </row>
    <row r="11863">
      <c r="A11863" s="17">
        <v>1009000.0</v>
      </c>
      <c r="B11863" s="17">
        <v>7043800.0</v>
      </c>
    </row>
    <row r="11864">
      <c r="A11864" s="17">
        <v>1009000.0</v>
      </c>
      <c r="B11864" s="17">
        <v>7044000.0</v>
      </c>
    </row>
    <row r="11865">
      <c r="A11865" s="17">
        <v>1009000.0</v>
      </c>
      <c r="B11865" s="17">
        <v>7044100.0</v>
      </c>
    </row>
    <row r="11866">
      <c r="A11866" s="17">
        <v>1009000.0</v>
      </c>
      <c r="B11866" s="17">
        <v>7044200.0</v>
      </c>
    </row>
    <row r="11867">
      <c r="A11867" s="17">
        <v>1009000.0</v>
      </c>
      <c r="B11867" s="17">
        <v>7044300.0</v>
      </c>
    </row>
    <row r="11868">
      <c r="A11868" s="17">
        <v>1009000.0</v>
      </c>
      <c r="B11868" s="17">
        <v>7044400.0</v>
      </c>
    </row>
    <row r="11869">
      <c r="A11869" s="17">
        <v>1009000.0</v>
      </c>
      <c r="B11869" s="17">
        <v>7044500.0</v>
      </c>
    </row>
    <row r="11870">
      <c r="A11870" s="17">
        <v>1009000.0</v>
      </c>
      <c r="B11870" s="17">
        <v>7044600.0</v>
      </c>
    </row>
    <row r="11871">
      <c r="A11871" s="17">
        <v>1009000.0</v>
      </c>
      <c r="B11871" s="17">
        <v>7050000.0</v>
      </c>
    </row>
    <row r="11872">
      <c r="A11872" s="17">
        <v>1009000.0</v>
      </c>
      <c r="B11872" s="17">
        <v>7050100.0</v>
      </c>
    </row>
    <row r="11873">
      <c r="A11873" s="17">
        <v>1009000.0</v>
      </c>
      <c r="B11873" s="17">
        <v>7060000.0</v>
      </c>
    </row>
    <row r="11874">
      <c r="A11874" s="17">
        <v>1009000.0</v>
      </c>
      <c r="B11874" s="17">
        <v>7060100.0</v>
      </c>
    </row>
    <row r="11875">
      <c r="A11875" s="17">
        <v>1009000.0</v>
      </c>
      <c r="B11875" s="17">
        <v>7060200.0</v>
      </c>
    </row>
    <row r="11876">
      <c r="A11876" s="17">
        <v>1009000.0</v>
      </c>
      <c r="B11876" s="17">
        <v>7070000.0</v>
      </c>
    </row>
    <row r="11877">
      <c r="A11877" s="17">
        <v>1009000.0</v>
      </c>
      <c r="B11877" s="17">
        <v>7080000.0</v>
      </c>
    </row>
    <row r="11878">
      <c r="A11878" s="17">
        <v>1009000.0</v>
      </c>
      <c r="B11878" s="17">
        <v>7080100.0</v>
      </c>
    </row>
    <row r="11879">
      <c r="A11879" s="17">
        <v>1009000.0</v>
      </c>
      <c r="B11879" s="17">
        <v>7080200.0</v>
      </c>
    </row>
    <row r="11880">
      <c r="A11880" s="17">
        <v>1009000.0</v>
      </c>
      <c r="B11880" s="17">
        <v>7080300.0</v>
      </c>
    </row>
    <row r="11881">
      <c r="A11881" s="17">
        <v>1009000.0</v>
      </c>
      <c r="B11881" s="17">
        <v>7080400.0</v>
      </c>
    </row>
    <row r="11882">
      <c r="A11882" s="17">
        <v>1009000.0</v>
      </c>
      <c r="B11882" s="17">
        <v>7080500.0</v>
      </c>
    </row>
    <row r="11883">
      <c r="A11883" s="17">
        <v>1009000.0</v>
      </c>
      <c r="B11883" s="17">
        <v>7080600.0</v>
      </c>
    </row>
    <row r="11884">
      <c r="A11884" s="17">
        <v>1009000.0</v>
      </c>
      <c r="B11884" s="17">
        <v>7080700.0</v>
      </c>
    </row>
    <row r="11885">
      <c r="A11885" s="17">
        <v>1009000.0</v>
      </c>
      <c r="B11885" s="17">
        <v>7080800.0</v>
      </c>
    </row>
    <row r="11886">
      <c r="A11886" s="17">
        <v>1009000.0</v>
      </c>
      <c r="B11886" s="17">
        <v>7080900.0</v>
      </c>
    </row>
    <row r="11887">
      <c r="A11887" s="17">
        <v>1009000.0</v>
      </c>
      <c r="B11887" s="17">
        <v>7081000.0</v>
      </c>
    </row>
    <row r="11888">
      <c r="A11888" s="17">
        <v>1009000.0</v>
      </c>
      <c r="B11888" s="17">
        <v>7081100.0</v>
      </c>
    </row>
    <row r="11889">
      <c r="A11889" s="17">
        <v>1009000.0</v>
      </c>
      <c r="B11889" s="17">
        <v>7081200.0</v>
      </c>
    </row>
    <row r="11890">
      <c r="A11890" s="17">
        <v>1009000.0</v>
      </c>
      <c r="B11890" s="17">
        <v>7081300.0</v>
      </c>
    </row>
    <row r="11891">
      <c r="A11891" s="17">
        <v>1009000.0</v>
      </c>
      <c r="B11891" s="17">
        <v>7081400.0</v>
      </c>
    </row>
    <row r="11892">
      <c r="A11892" s="17">
        <v>1009000.0</v>
      </c>
      <c r="B11892" s="17">
        <v>7081500.0</v>
      </c>
    </row>
    <row r="11893">
      <c r="A11893" s="17">
        <v>1009000.0</v>
      </c>
      <c r="B11893" s="17">
        <v>7081700.0</v>
      </c>
    </row>
    <row r="11894">
      <c r="A11894" s="17">
        <v>1009000.0</v>
      </c>
      <c r="B11894" s="17">
        <v>7081800.0</v>
      </c>
    </row>
    <row r="11895">
      <c r="A11895" s="17">
        <v>1009000.0</v>
      </c>
      <c r="B11895" s="17">
        <v>7081900.0</v>
      </c>
    </row>
    <row r="11896">
      <c r="A11896" s="17">
        <v>1009000.0</v>
      </c>
      <c r="B11896" s="17">
        <v>7082000.0</v>
      </c>
    </row>
    <row r="11897">
      <c r="A11897" s="17">
        <v>1009000.0</v>
      </c>
      <c r="B11897" s="17">
        <v>7082100.0</v>
      </c>
    </row>
    <row r="11898">
      <c r="A11898" s="17">
        <v>1009000.0</v>
      </c>
      <c r="B11898" s="17">
        <v>7082200.0</v>
      </c>
    </row>
    <row r="11899">
      <c r="A11899" s="17">
        <v>1009000.0</v>
      </c>
      <c r="B11899" s="17">
        <v>7082300.0</v>
      </c>
    </row>
    <row r="11900">
      <c r="A11900" s="17">
        <v>1009000.0</v>
      </c>
      <c r="B11900" s="17">
        <v>7082400.0</v>
      </c>
    </row>
    <row r="11901">
      <c r="A11901" s="17">
        <v>1009000.0</v>
      </c>
      <c r="B11901" s="17">
        <v>7082500.0</v>
      </c>
    </row>
    <row r="11902">
      <c r="A11902" s="17">
        <v>1009000.0</v>
      </c>
      <c r="B11902" s="17">
        <v>7082600.0</v>
      </c>
    </row>
    <row r="11903">
      <c r="A11903" s="17">
        <v>1009000.0</v>
      </c>
      <c r="B11903" s="17">
        <v>7082700.0</v>
      </c>
    </row>
    <row r="11904">
      <c r="A11904" s="17">
        <v>1009000.0</v>
      </c>
      <c r="B11904" s="17">
        <v>7082800.0</v>
      </c>
    </row>
    <row r="11905">
      <c r="A11905" s="17">
        <v>1009000.0</v>
      </c>
      <c r="B11905" s="17">
        <v>7082900.0</v>
      </c>
    </row>
    <row r="11906">
      <c r="A11906" s="17">
        <v>1009000.0</v>
      </c>
      <c r="B11906" s="17">
        <v>7090000.0</v>
      </c>
    </row>
    <row r="11907">
      <c r="A11907" s="17">
        <v>1009000.0</v>
      </c>
      <c r="B11907" s="17">
        <v>7090100.0</v>
      </c>
    </row>
    <row r="11908">
      <c r="A11908" s="17">
        <v>1009000.0</v>
      </c>
      <c r="B11908" s="17">
        <v>7090300.0</v>
      </c>
    </row>
    <row r="11909">
      <c r="A11909" s="17">
        <v>1009000.0</v>
      </c>
      <c r="B11909" s="17">
        <v>7100100.0</v>
      </c>
    </row>
    <row r="11910">
      <c r="A11910" s="17">
        <v>1009000.0</v>
      </c>
      <c r="B11910" s="17">
        <v>7110000.0</v>
      </c>
    </row>
    <row r="11911">
      <c r="A11911" s="17">
        <v>1009000.0</v>
      </c>
      <c r="B11911" s="17">
        <v>7120000.0</v>
      </c>
    </row>
    <row r="11912">
      <c r="A11912" s="17">
        <v>1009000.0</v>
      </c>
      <c r="B11912" s="17">
        <v>7120100.0</v>
      </c>
    </row>
    <row r="11913">
      <c r="A11913" s="17">
        <v>1009000.0</v>
      </c>
      <c r="B11913" s="17">
        <v>7120200.0</v>
      </c>
    </row>
    <row r="11914">
      <c r="A11914" s="17">
        <v>1009000.0</v>
      </c>
      <c r="B11914" s="17">
        <v>7120300.0</v>
      </c>
    </row>
    <row r="11915">
      <c r="A11915" s="17">
        <v>1009000.0</v>
      </c>
      <c r="B11915" s="17">
        <v>7120400.0</v>
      </c>
    </row>
    <row r="11916">
      <c r="A11916" s="17">
        <v>1009000.0</v>
      </c>
      <c r="B11916" s="17">
        <v>7120500.0</v>
      </c>
    </row>
    <row r="11917">
      <c r="A11917" s="17">
        <v>1009000.0</v>
      </c>
      <c r="B11917" s="17">
        <v>7120600.0</v>
      </c>
    </row>
    <row r="11918">
      <c r="A11918" s="17">
        <v>1009000.0</v>
      </c>
      <c r="B11918" s="17">
        <v>7120900.0</v>
      </c>
    </row>
    <row r="11919">
      <c r="A11919" s="17">
        <v>1009000.0</v>
      </c>
      <c r="B11919" s="17">
        <v>7121000.0</v>
      </c>
    </row>
    <row r="11920">
      <c r="A11920" s="17">
        <v>1009000.0</v>
      </c>
      <c r="B11920" s="17">
        <v>7121100.0</v>
      </c>
    </row>
    <row r="11921">
      <c r="A11921" s="17">
        <v>1009000.0</v>
      </c>
      <c r="B11921" s="17">
        <v>7121200.0</v>
      </c>
    </row>
    <row r="11922">
      <c r="A11922" s="17">
        <v>1009000.0</v>
      </c>
      <c r="B11922" s="17">
        <v>7121300.0</v>
      </c>
    </row>
    <row r="11923">
      <c r="A11923" s="17">
        <v>1009000.0</v>
      </c>
      <c r="B11923" s="17">
        <v>7121400.0</v>
      </c>
    </row>
    <row r="11924">
      <c r="A11924" s="17">
        <v>1009000.0</v>
      </c>
      <c r="B11924" s="17">
        <v>7121500.0</v>
      </c>
    </row>
    <row r="11925">
      <c r="A11925" s="17">
        <v>1009000.0</v>
      </c>
      <c r="B11925" s="17">
        <v>7121600.0</v>
      </c>
    </row>
    <row r="11926">
      <c r="A11926" s="17">
        <v>1009000.0</v>
      </c>
      <c r="B11926" s="17">
        <v>7121700.0</v>
      </c>
    </row>
    <row r="11927">
      <c r="A11927" s="17">
        <v>1009000.0</v>
      </c>
      <c r="B11927" s="17">
        <v>7121800.0</v>
      </c>
    </row>
    <row r="11928">
      <c r="A11928" s="17">
        <v>1009000.0</v>
      </c>
      <c r="B11928" s="17">
        <v>7121900.0</v>
      </c>
    </row>
    <row r="11929">
      <c r="A11929" s="17">
        <v>1009000.0</v>
      </c>
      <c r="B11929" s="17">
        <v>7122000.0</v>
      </c>
    </row>
    <row r="11930">
      <c r="A11930" s="17">
        <v>1009000.0</v>
      </c>
      <c r="B11930" s="17">
        <v>7122100.0</v>
      </c>
    </row>
    <row r="11931">
      <c r="A11931" s="17">
        <v>1009000.0</v>
      </c>
      <c r="B11931" s="17">
        <v>7122200.0</v>
      </c>
    </row>
    <row r="11932">
      <c r="A11932" s="17">
        <v>1009000.0</v>
      </c>
      <c r="B11932" s="17">
        <v>7122300.0</v>
      </c>
    </row>
    <row r="11933">
      <c r="A11933" s="17">
        <v>1009000.0</v>
      </c>
      <c r="B11933" s="17">
        <v>7122400.0</v>
      </c>
    </row>
    <row r="11934">
      <c r="A11934" s="17">
        <v>1009000.0</v>
      </c>
      <c r="B11934" s="17">
        <v>7122500.0</v>
      </c>
    </row>
    <row r="11935">
      <c r="A11935" s="17">
        <v>1009000.0</v>
      </c>
      <c r="B11935" s="17">
        <v>7122600.0</v>
      </c>
    </row>
    <row r="11936">
      <c r="A11936" s="17">
        <v>1009000.0</v>
      </c>
      <c r="B11936" s="17">
        <v>7122700.0</v>
      </c>
    </row>
    <row r="11937">
      <c r="A11937" s="17">
        <v>1009000.0</v>
      </c>
      <c r="B11937" s="17">
        <v>7122800.0</v>
      </c>
    </row>
    <row r="11938">
      <c r="A11938" s="17">
        <v>1009000.0</v>
      </c>
      <c r="B11938" s="17">
        <v>7122900.0</v>
      </c>
    </row>
    <row r="11939">
      <c r="A11939" s="17">
        <v>1009000.0</v>
      </c>
      <c r="B11939" s="17">
        <v>7123000.0</v>
      </c>
    </row>
    <row r="11940">
      <c r="A11940" s="17">
        <v>1009000.0</v>
      </c>
      <c r="B11940" s="17">
        <v>7123100.0</v>
      </c>
    </row>
    <row r="11941">
      <c r="A11941" s="17">
        <v>1009000.0</v>
      </c>
      <c r="B11941" s="17">
        <v>7123200.0</v>
      </c>
    </row>
    <row r="11942">
      <c r="A11942" s="17">
        <v>1009000.0</v>
      </c>
      <c r="B11942" s="17">
        <v>7123300.0</v>
      </c>
    </row>
    <row r="11943">
      <c r="A11943" s="17">
        <v>1009000.0</v>
      </c>
      <c r="B11943" s="17">
        <v>7123400.0</v>
      </c>
    </row>
    <row r="11944">
      <c r="A11944" s="17">
        <v>1009000.0</v>
      </c>
      <c r="B11944" s="17">
        <v>7123500.0</v>
      </c>
    </row>
    <row r="11945">
      <c r="A11945" s="17">
        <v>1009000.0</v>
      </c>
      <c r="B11945" s="17">
        <v>7123600.0</v>
      </c>
    </row>
    <row r="11946">
      <c r="A11946" s="17">
        <v>1009000.0</v>
      </c>
      <c r="B11946" s="17">
        <v>7123700.0</v>
      </c>
    </row>
    <row r="11947">
      <c r="A11947" s="17">
        <v>1009000.0</v>
      </c>
      <c r="B11947" s="17">
        <v>7123800.0</v>
      </c>
    </row>
    <row r="11948">
      <c r="A11948" s="17">
        <v>1009000.0</v>
      </c>
      <c r="B11948" s="17">
        <v>7123900.0</v>
      </c>
    </row>
    <row r="11949">
      <c r="A11949" s="17">
        <v>1009000.0</v>
      </c>
      <c r="B11949" s="17">
        <v>7124000.0</v>
      </c>
    </row>
    <row r="11950">
      <c r="A11950" s="17">
        <v>1009000.0</v>
      </c>
      <c r="B11950" s="17">
        <v>7124100.0</v>
      </c>
    </row>
    <row r="11951">
      <c r="A11951" s="17">
        <v>1009000.0</v>
      </c>
      <c r="B11951" s="17">
        <v>7124300.0</v>
      </c>
    </row>
    <row r="11952">
      <c r="A11952" s="17">
        <v>1009000.0</v>
      </c>
      <c r="B11952" s="17">
        <v>7124400.0</v>
      </c>
    </row>
    <row r="11953">
      <c r="A11953" s="17">
        <v>1009000.0</v>
      </c>
      <c r="B11953" s="17">
        <v>7124500.0</v>
      </c>
    </row>
    <row r="11954">
      <c r="A11954" s="17">
        <v>1009000.0</v>
      </c>
      <c r="B11954" s="17">
        <v>7124600.0</v>
      </c>
    </row>
    <row r="11955">
      <c r="A11955" s="17">
        <v>1009000.0</v>
      </c>
      <c r="B11955" s="17">
        <v>7124700.0</v>
      </c>
    </row>
    <row r="11956">
      <c r="A11956" s="17">
        <v>1009000.0</v>
      </c>
      <c r="B11956" s="17">
        <v>7126000.0</v>
      </c>
    </row>
    <row r="11957">
      <c r="A11957" s="17">
        <v>1009000.0</v>
      </c>
      <c r="B11957" s="17">
        <v>7150000.0</v>
      </c>
    </row>
    <row r="11958">
      <c r="A11958" s="17">
        <v>1009000.0</v>
      </c>
      <c r="B11958" s="17">
        <v>7160000.0</v>
      </c>
    </row>
    <row r="11959">
      <c r="A11959" s="17">
        <v>1009000.0</v>
      </c>
      <c r="B11959" s="17">
        <v>7220000.0</v>
      </c>
    </row>
    <row r="11960">
      <c r="A11960" s="17">
        <v>1009000.0</v>
      </c>
      <c r="B11960" s="17">
        <v>7230000.0</v>
      </c>
    </row>
    <row r="11961">
      <c r="A11961" s="17">
        <v>1009000.0</v>
      </c>
      <c r="B11961" s="17">
        <v>7240000.0</v>
      </c>
    </row>
    <row r="11962">
      <c r="A11962" s="17">
        <v>1009000.0</v>
      </c>
      <c r="B11962" s="17">
        <v>7260000.0</v>
      </c>
    </row>
    <row r="11963">
      <c r="A11963" s="17">
        <v>1009000.0</v>
      </c>
      <c r="B11963" s="17">
        <v>7260300.0</v>
      </c>
    </row>
    <row r="11964">
      <c r="A11964" s="17">
        <v>1009000.0</v>
      </c>
      <c r="B11964" s="17">
        <v>7260400.0</v>
      </c>
    </row>
    <row r="11965">
      <c r="A11965" s="17">
        <v>1009000.0</v>
      </c>
      <c r="B11965" s="17">
        <v>7270100.0</v>
      </c>
    </row>
    <row r="11966">
      <c r="A11966" s="17">
        <v>1009000.0</v>
      </c>
      <c r="B11966" s="17">
        <v>7280000.0</v>
      </c>
    </row>
    <row r="11967">
      <c r="A11967" s="17">
        <v>1009000.0</v>
      </c>
      <c r="B11967" s="17">
        <v>7290000.0</v>
      </c>
    </row>
    <row r="11968">
      <c r="A11968" s="17">
        <v>1009000.0</v>
      </c>
      <c r="B11968" s="17">
        <v>7310000.0</v>
      </c>
    </row>
    <row r="11969">
      <c r="A11969" s="17">
        <v>1009000.0</v>
      </c>
      <c r="B11969" s="17">
        <v>7330000.0</v>
      </c>
    </row>
    <row r="11970">
      <c r="A11970" s="17">
        <v>1009000.0</v>
      </c>
      <c r="B11970" s="17">
        <v>7330100.0</v>
      </c>
    </row>
    <row r="11971">
      <c r="A11971" s="17">
        <v>1009000.0</v>
      </c>
      <c r="B11971" s="17">
        <v>7330200.0</v>
      </c>
    </row>
    <row r="11972">
      <c r="A11972" s="17">
        <v>1009000.0</v>
      </c>
      <c r="B11972" s="17">
        <v>7330300.0</v>
      </c>
    </row>
    <row r="11973">
      <c r="A11973" s="17">
        <v>1009000.0</v>
      </c>
      <c r="B11973" s="17">
        <v>7330400.0</v>
      </c>
    </row>
    <row r="11974">
      <c r="A11974" s="17">
        <v>1009000.0</v>
      </c>
      <c r="B11974" s="17">
        <v>7330500.0</v>
      </c>
    </row>
    <row r="11975">
      <c r="A11975" s="17">
        <v>1009000.0</v>
      </c>
      <c r="B11975" s="17">
        <v>7330600.0</v>
      </c>
    </row>
    <row r="11976">
      <c r="A11976" s="17">
        <v>1009000.0</v>
      </c>
      <c r="B11976" s="17">
        <v>7330700.0</v>
      </c>
    </row>
    <row r="11977">
      <c r="A11977" s="17">
        <v>1009000.0</v>
      </c>
      <c r="B11977" s="17">
        <v>7330800.0</v>
      </c>
    </row>
    <row r="11978">
      <c r="A11978" s="17">
        <v>1009000.0</v>
      </c>
      <c r="B11978" s="17">
        <v>7330900.0</v>
      </c>
    </row>
    <row r="11979">
      <c r="A11979" s="17">
        <v>1009000.0</v>
      </c>
      <c r="B11979" s="17">
        <v>7331000.0</v>
      </c>
    </row>
    <row r="11980">
      <c r="A11980" s="17">
        <v>1009000.0</v>
      </c>
      <c r="B11980" s="17">
        <v>7331100.0</v>
      </c>
    </row>
    <row r="11981">
      <c r="A11981" s="17">
        <v>1009000.0</v>
      </c>
      <c r="B11981" s="17">
        <v>7331200.0</v>
      </c>
    </row>
    <row r="11982">
      <c r="A11982" s="17">
        <v>1009000.0</v>
      </c>
      <c r="B11982" s="17">
        <v>7331300.0</v>
      </c>
    </row>
    <row r="11983">
      <c r="A11983" s="17">
        <v>1009000.0</v>
      </c>
      <c r="B11983" s="17">
        <v>7331400.0</v>
      </c>
    </row>
    <row r="11984">
      <c r="A11984" s="17">
        <v>1009000.0</v>
      </c>
      <c r="B11984" s="17">
        <v>7331500.0</v>
      </c>
    </row>
    <row r="11985">
      <c r="A11985" s="17">
        <v>1009000.0</v>
      </c>
      <c r="B11985" s="17">
        <v>7331700.0</v>
      </c>
    </row>
    <row r="11986">
      <c r="A11986" s="17">
        <v>1009000.0</v>
      </c>
      <c r="B11986" s="17">
        <v>7331800.0</v>
      </c>
    </row>
    <row r="11987">
      <c r="A11987" s="17">
        <v>1009000.0</v>
      </c>
      <c r="B11987" s="17">
        <v>7331900.0</v>
      </c>
    </row>
    <row r="11988">
      <c r="A11988" s="17">
        <v>1009000.0</v>
      </c>
      <c r="B11988" s="17">
        <v>7332000.0</v>
      </c>
    </row>
    <row r="11989">
      <c r="A11989" s="17">
        <v>1009000.0</v>
      </c>
      <c r="B11989" s="17">
        <v>7332100.0</v>
      </c>
    </row>
    <row r="11990">
      <c r="A11990" s="17">
        <v>1009000.0</v>
      </c>
      <c r="B11990" s="17">
        <v>7332200.0</v>
      </c>
    </row>
    <row r="11991">
      <c r="A11991" s="17">
        <v>1009000.0</v>
      </c>
      <c r="B11991" s="17">
        <v>7332300.0</v>
      </c>
    </row>
    <row r="11992">
      <c r="A11992" s="17">
        <v>1009000.0</v>
      </c>
      <c r="B11992" s="17">
        <v>7332400.0</v>
      </c>
    </row>
    <row r="11993">
      <c r="A11993" s="17">
        <v>1009000.0</v>
      </c>
      <c r="B11993" s="17">
        <v>7340000.0</v>
      </c>
    </row>
    <row r="11994">
      <c r="A11994" s="17">
        <v>1009000.0</v>
      </c>
      <c r="B11994" s="17">
        <v>7340100.0</v>
      </c>
    </row>
    <row r="11995">
      <c r="A11995" s="17">
        <v>1009000.0</v>
      </c>
      <c r="B11995" s="17">
        <v>7340200.0</v>
      </c>
    </row>
    <row r="11996">
      <c r="A11996" s="17">
        <v>1009000.0</v>
      </c>
      <c r="B11996" s="17">
        <v>7340300.0</v>
      </c>
    </row>
    <row r="11997">
      <c r="A11997" s="17">
        <v>1009000.0</v>
      </c>
      <c r="B11997" s="17">
        <v>7340400.0</v>
      </c>
    </row>
    <row r="11998">
      <c r="A11998" s="17">
        <v>1009000.0</v>
      </c>
      <c r="B11998" s="17">
        <v>7340500.0</v>
      </c>
    </row>
    <row r="11999">
      <c r="A11999" s="17">
        <v>1009000.0</v>
      </c>
      <c r="B11999" s="17">
        <v>7340600.0</v>
      </c>
    </row>
    <row r="12000">
      <c r="A12000" s="17">
        <v>1009000.0</v>
      </c>
      <c r="B12000" s="17">
        <v>7340700.0</v>
      </c>
    </row>
    <row r="12001">
      <c r="A12001" s="17">
        <v>1009000.0</v>
      </c>
      <c r="B12001" s="17">
        <v>7340800.0</v>
      </c>
    </row>
    <row r="12002">
      <c r="A12002" s="17">
        <v>1009000.0</v>
      </c>
      <c r="B12002" s="17">
        <v>7340900.0</v>
      </c>
    </row>
    <row r="12003">
      <c r="A12003" s="17">
        <v>1009000.0</v>
      </c>
      <c r="B12003" s="17">
        <v>7341000.0</v>
      </c>
    </row>
    <row r="12004">
      <c r="A12004" s="17">
        <v>1009000.0</v>
      </c>
      <c r="B12004" s="17">
        <v>7341100.0</v>
      </c>
    </row>
    <row r="12005">
      <c r="A12005" s="17">
        <v>1009000.0</v>
      </c>
      <c r="B12005" s="17">
        <v>7341200.0</v>
      </c>
    </row>
    <row r="12006">
      <c r="A12006" s="17">
        <v>1009000.0</v>
      </c>
      <c r="B12006" s="17">
        <v>7341300.0</v>
      </c>
    </row>
    <row r="12007">
      <c r="A12007" s="17">
        <v>1009000.0</v>
      </c>
      <c r="B12007" s="17">
        <v>7341400.0</v>
      </c>
    </row>
    <row r="12008">
      <c r="A12008" s="17">
        <v>1009000.0</v>
      </c>
      <c r="B12008" s="17">
        <v>7341500.0</v>
      </c>
    </row>
    <row r="12009">
      <c r="A12009" s="17">
        <v>1009000.0</v>
      </c>
      <c r="B12009" s="17">
        <v>7341700.0</v>
      </c>
    </row>
    <row r="12010">
      <c r="A12010" s="17">
        <v>1009000.0</v>
      </c>
      <c r="B12010" s="17">
        <v>7341800.0</v>
      </c>
    </row>
    <row r="12011">
      <c r="A12011" s="17">
        <v>1009000.0</v>
      </c>
      <c r="B12011" s="17">
        <v>7341900.0</v>
      </c>
    </row>
    <row r="12012">
      <c r="A12012" s="17">
        <v>1009000.0</v>
      </c>
      <c r="B12012" s="17">
        <v>7342000.0</v>
      </c>
    </row>
    <row r="12013">
      <c r="A12013" s="17">
        <v>1009000.0</v>
      </c>
      <c r="B12013" s="17">
        <v>7342100.0</v>
      </c>
    </row>
    <row r="12014">
      <c r="A12014" s="17">
        <v>1009000.0</v>
      </c>
      <c r="B12014" s="17">
        <v>7342200.0</v>
      </c>
    </row>
    <row r="12015">
      <c r="A12015" s="17">
        <v>1009000.0</v>
      </c>
      <c r="B12015" s="17">
        <v>7342300.0</v>
      </c>
    </row>
    <row r="12016">
      <c r="A12016" s="17">
        <v>1009000.0</v>
      </c>
      <c r="B12016" s="17">
        <v>7342400.0</v>
      </c>
    </row>
    <row r="12017">
      <c r="A12017" s="17">
        <v>1009000.0</v>
      </c>
      <c r="B12017" s="17">
        <v>7350000.0</v>
      </c>
    </row>
    <row r="12018">
      <c r="A12018" s="17">
        <v>1009000.0</v>
      </c>
      <c r="B12018" s="17">
        <v>7350100.0</v>
      </c>
    </row>
    <row r="12019">
      <c r="A12019" s="17">
        <v>1009000.0</v>
      </c>
      <c r="B12019" s="17">
        <v>7350200.0</v>
      </c>
    </row>
    <row r="12020">
      <c r="A12020" s="17">
        <v>1009000.0</v>
      </c>
      <c r="B12020" s="17">
        <v>7350300.0</v>
      </c>
    </row>
    <row r="12021">
      <c r="A12021" s="17">
        <v>1009000.0</v>
      </c>
      <c r="B12021" s="17">
        <v>7350400.0</v>
      </c>
    </row>
    <row r="12022">
      <c r="A12022" s="17">
        <v>1009000.0</v>
      </c>
      <c r="B12022" s="17">
        <v>7350500.0</v>
      </c>
    </row>
    <row r="12023">
      <c r="A12023" s="17">
        <v>1009000.0</v>
      </c>
      <c r="B12023" s="17">
        <v>7350600.0</v>
      </c>
    </row>
    <row r="12024">
      <c r="A12024" s="17">
        <v>1009000.0</v>
      </c>
      <c r="B12024" s="17">
        <v>7350700.0</v>
      </c>
    </row>
    <row r="12025">
      <c r="A12025" s="17">
        <v>1009000.0</v>
      </c>
      <c r="B12025" s="17">
        <v>7350800.0</v>
      </c>
    </row>
    <row r="12026">
      <c r="A12026" s="17">
        <v>1009000.0</v>
      </c>
      <c r="B12026" s="17">
        <v>7350900.0</v>
      </c>
    </row>
    <row r="12027">
      <c r="A12027" s="17">
        <v>1009000.0</v>
      </c>
      <c r="B12027" s="17">
        <v>7351000.0</v>
      </c>
    </row>
    <row r="12028">
      <c r="A12028" s="17">
        <v>1009000.0</v>
      </c>
      <c r="B12028" s="17">
        <v>7351100.0</v>
      </c>
    </row>
    <row r="12029">
      <c r="A12029" s="17">
        <v>1009000.0</v>
      </c>
      <c r="B12029" s="17">
        <v>7351200.0</v>
      </c>
    </row>
    <row r="12030">
      <c r="A12030" s="17">
        <v>1009000.0</v>
      </c>
      <c r="B12030" s="17">
        <v>7351300.0</v>
      </c>
    </row>
    <row r="12031">
      <c r="A12031" s="17">
        <v>1009000.0</v>
      </c>
      <c r="B12031" s="17">
        <v>7351400.0</v>
      </c>
    </row>
    <row r="12032">
      <c r="A12032" s="17">
        <v>1009000.0</v>
      </c>
      <c r="B12032" s="17">
        <v>7351500.0</v>
      </c>
    </row>
    <row r="12033">
      <c r="A12033" s="17">
        <v>1009000.0</v>
      </c>
      <c r="B12033" s="17">
        <v>7351700.0</v>
      </c>
    </row>
    <row r="12034">
      <c r="A12034" s="17">
        <v>1009000.0</v>
      </c>
      <c r="B12034" s="17">
        <v>7351800.0</v>
      </c>
    </row>
    <row r="12035">
      <c r="A12035" s="17">
        <v>1009000.0</v>
      </c>
      <c r="B12035" s="17">
        <v>7351900.0</v>
      </c>
    </row>
    <row r="12036">
      <c r="A12036" s="17">
        <v>1009000.0</v>
      </c>
      <c r="B12036" s="17">
        <v>7352000.0</v>
      </c>
    </row>
    <row r="12037">
      <c r="A12037" s="17">
        <v>1009000.0</v>
      </c>
      <c r="B12037" s="17">
        <v>7352100.0</v>
      </c>
    </row>
    <row r="12038">
      <c r="A12038" s="17">
        <v>1009000.0</v>
      </c>
      <c r="B12038" s="17">
        <v>7352200.0</v>
      </c>
    </row>
    <row r="12039">
      <c r="A12039" s="17">
        <v>1009000.0</v>
      </c>
      <c r="B12039" s="17">
        <v>7352300.0</v>
      </c>
    </row>
    <row r="12040">
      <c r="A12040" s="17">
        <v>1009000.0</v>
      </c>
      <c r="B12040" s="17">
        <v>7352400.0</v>
      </c>
    </row>
    <row r="12041">
      <c r="A12041" s="17">
        <v>1009000.0</v>
      </c>
      <c r="B12041" s="17">
        <v>7360600.0</v>
      </c>
    </row>
    <row r="12042">
      <c r="A12042" s="17">
        <v>1009000.0</v>
      </c>
      <c r="B12042" s="17">
        <v>7360900.0</v>
      </c>
    </row>
    <row r="12043">
      <c r="A12043" s="17">
        <v>1009000.0</v>
      </c>
      <c r="B12043" s="17">
        <v>7361200.0</v>
      </c>
    </row>
    <row r="12044">
      <c r="A12044" s="17">
        <v>1009000.0</v>
      </c>
      <c r="B12044" s="17">
        <v>7361300.0</v>
      </c>
    </row>
    <row r="12045">
      <c r="A12045" s="17">
        <v>1009000.0</v>
      </c>
      <c r="B12045" s="17">
        <v>7362100.0</v>
      </c>
    </row>
    <row r="12046">
      <c r="A12046" s="17">
        <v>1009000.0</v>
      </c>
      <c r="B12046" s="17">
        <v>7370300.0</v>
      </c>
    </row>
    <row r="12047">
      <c r="A12047" s="17">
        <v>1009000.0</v>
      </c>
      <c r="B12047" s="17">
        <v>7370400.0</v>
      </c>
    </row>
    <row r="12048">
      <c r="A12048" s="17">
        <v>1009000.0</v>
      </c>
      <c r="B12048" s="17">
        <v>7370600.0</v>
      </c>
    </row>
    <row r="12049">
      <c r="A12049" s="17">
        <v>1009000.0</v>
      </c>
      <c r="B12049" s="17">
        <v>7370900.0</v>
      </c>
    </row>
    <row r="12050">
      <c r="A12050" s="17">
        <v>1009000.0</v>
      </c>
      <c r="B12050" s="17">
        <v>7371500.0</v>
      </c>
    </row>
    <row r="12051">
      <c r="A12051" s="17">
        <v>1009000.0</v>
      </c>
      <c r="B12051" s="17">
        <v>7036200.0</v>
      </c>
    </row>
    <row r="12052">
      <c r="A12052" s="17">
        <v>1009000.0</v>
      </c>
      <c r="B12052" s="17">
        <v>7036300.0</v>
      </c>
    </row>
    <row r="12053">
      <c r="A12053" s="17">
        <v>1009000.0</v>
      </c>
      <c r="B12053" s="17">
        <v>7036400.0</v>
      </c>
    </row>
    <row r="12054">
      <c r="A12054" s="17">
        <v>1009000.0</v>
      </c>
      <c r="B12054" s="17">
        <v>7036500.0</v>
      </c>
    </row>
    <row r="12055">
      <c r="A12055" s="17">
        <v>1009000.0</v>
      </c>
      <c r="B12055" s="17">
        <v>7036800.0</v>
      </c>
    </row>
    <row r="12056">
      <c r="A12056" s="17">
        <v>1009000.0</v>
      </c>
      <c r="B12056" s="17">
        <v>7036900.0</v>
      </c>
    </row>
    <row r="12057">
      <c r="A12057" s="17">
        <v>1009000.0</v>
      </c>
      <c r="B12057" s="17">
        <v>7037000.0</v>
      </c>
    </row>
    <row r="12058">
      <c r="A12058" s="17">
        <v>1009000.0</v>
      </c>
      <c r="B12058" s="17">
        <v>7037300.0</v>
      </c>
    </row>
    <row r="12059">
      <c r="A12059" s="17">
        <v>1009000.0</v>
      </c>
      <c r="B12059" s="17">
        <v>6630000.0</v>
      </c>
    </row>
    <row r="12060">
      <c r="A12060" s="17">
        <v>1009000.0</v>
      </c>
      <c r="B12060" s="17">
        <v>6630100.0</v>
      </c>
    </row>
    <row r="12061">
      <c r="A12061" s="17">
        <v>1009000.0</v>
      </c>
      <c r="B12061" s="17">
        <v>6630200.0</v>
      </c>
    </row>
    <row r="12062">
      <c r="A12062" s="17">
        <v>1009000.0</v>
      </c>
      <c r="B12062" s="17">
        <v>6630300.0</v>
      </c>
    </row>
    <row r="12063">
      <c r="A12063" s="17">
        <v>1009000.0</v>
      </c>
      <c r="B12063" s="17">
        <v>6630400.0</v>
      </c>
    </row>
    <row r="12064">
      <c r="A12064" s="17">
        <v>1009000.0</v>
      </c>
      <c r="B12064" s="17">
        <v>6630500.0</v>
      </c>
    </row>
    <row r="12065">
      <c r="A12065" s="17">
        <v>1009000.0</v>
      </c>
      <c r="B12065" s="17">
        <v>6630600.0</v>
      </c>
    </row>
    <row r="12066">
      <c r="A12066" s="17">
        <v>1009000.0</v>
      </c>
      <c r="B12066" s="17">
        <v>6630700.0</v>
      </c>
    </row>
    <row r="12067">
      <c r="A12067" s="17">
        <v>1009000.0</v>
      </c>
      <c r="B12067" s="17">
        <v>6630800.0</v>
      </c>
    </row>
    <row r="12068">
      <c r="A12068" s="17">
        <v>1009000.0</v>
      </c>
      <c r="B12068" s="17">
        <v>6630900.0</v>
      </c>
    </row>
    <row r="12069">
      <c r="A12069" s="17">
        <v>1009000.0</v>
      </c>
      <c r="B12069" s="17">
        <v>6631000.0</v>
      </c>
    </row>
    <row r="12070">
      <c r="A12070" s="17">
        <v>1009000.0</v>
      </c>
      <c r="B12070" s="17">
        <v>6631100.0</v>
      </c>
    </row>
    <row r="12071">
      <c r="A12071" s="17">
        <v>1009000.0</v>
      </c>
      <c r="B12071" s="17">
        <v>6631200.0</v>
      </c>
    </row>
    <row r="12072">
      <c r="A12072" s="17">
        <v>1009000.0</v>
      </c>
      <c r="B12072" s="17">
        <v>6631300.0</v>
      </c>
    </row>
    <row r="12073">
      <c r="A12073" s="17">
        <v>1009000.0</v>
      </c>
      <c r="B12073" s="17">
        <v>6631400.0</v>
      </c>
    </row>
    <row r="12074">
      <c r="A12074" s="17">
        <v>1009000.0</v>
      </c>
      <c r="B12074" s="17">
        <v>6631500.0</v>
      </c>
    </row>
    <row r="12075">
      <c r="A12075" s="17">
        <v>1009000.0</v>
      </c>
      <c r="B12075" s="17">
        <v>6631600.0</v>
      </c>
    </row>
    <row r="12076">
      <c r="A12076" s="17">
        <v>1009000.0</v>
      </c>
      <c r="B12076" s="17">
        <v>6631700.0</v>
      </c>
    </row>
    <row r="12077">
      <c r="A12077" s="17">
        <v>1009000.0</v>
      </c>
      <c r="B12077" s="17">
        <v>6631800.0</v>
      </c>
    </row>
    <row r="12078">
      <c r="A12078" s="17">
        <v>1009000.0</v>
      </c>
      <c r="B12078" s="17">
        <v>6631900.0</v>
      </c>
    </row>
    <row r="12079">
      <c r="A12079" s="17">
        <v>1009000.0</v>
      </c>
      <c r="B12079" s="17">
        <v>6632000.0</v>
      </c>
    </row>
    <row r="12080">
      <c r="A12080" s="17">
        <v>1009000.0</v>
      </c>
      <c r="B12080" s="17">
        <v>6632100.0</v>
      </c>
    </row>
    <row r="12081">
      <c r="A12081" s="17">
        <v>1009000.0</v>
      </c>
      <c r="B12081" s="17">
        <v>6632200.0</v>
      </c>
    </row>
    <row r="12082">
      <c r="A12082" s="17">
        <v>1009000.0</v>
      </c>
      <c r="B12082" s="17">
        <v>6632300.0</v>
      </c>
    </row>
    <row r="12083">
      <c r="A12083" s="17">
        <v>1009000.0</v>
      </c>
      <c r="B12083" s="17">
        <v>6632400.0</v>
      </c>
    </row>
    <row r="12084">
      <c r="A12084" s="17">
        <v>1009000.0</v>
      </c>
      <c r="B12084" s="17">
        <v>6632500.0</v>
      </c>
    </row>
    <row r="12085">
      <c r="A12085" s="17">
        <v>1009000.0</v>
      </c>
      <c r="B12085" s="17">
        <v>6632600.0</v>
      </c>
    </row>
    <row r="12086">
      <c r="A12086" s="17">
        <v>1009000.0</v>
      </c>
      <c r="B12086" s="17">
        <v>6632700.0</v>
      </c>
    </row>
    <row r="12087">
      <c r="A12087" s="17">
        <v>1009000.0</v>
      </c>
      <c r="B12087" s="17">
        <v>6632800.0</v>
      </c>
    </row>
    <row r="12088">
      <c r="A12088" s="17">
        <v>1009000.0</v>
      </c>
      <c r="B12088" s="17">
        <v>6632900.0</v>
      </c>
    </row>
    <row r="12089">
      <c r="A12089" s="17">
        <v>1009000.0</v>
      </c>
      <c r="B12089" s="17">
        <v>6633000.0</v>
      </c>
    </row>
    <row r="12090">
      <c r="A12090" s="17">
        <v>1009000.0</v>
      </c>
      <c r="B12090" s="17">
        <v>6633100.0</v>
      </c>
    </row>
    <row r="12091">
      <c r="A12091" s="17">
        <v>1009000.0</v>
      </c>
      <c r="B12091" s="17">
        <v>6633200.0</v>
      </c>
    </row>
    <row r="12092">
      <c r="A12092" s="17">
        <v>1009000.0</v>
      </c>
      <c r="B12092" s="17">
        <v>6647200.0</v>
      </c>
    </row>
    <row r="12093">
      <c r="A12093" s="17">
        <v>1009000.0</v>
      </c>
      <c r="B12093" s="17">
        <v>6647300.0</v>
      </c>
    </row>
    <row r="12094">
      <c r="A12094" s="17">
        <v>1009000.0</v>
      </c>
      <c r="B12094" s="17">
        <v>6647400.0</v>
      </c>
    </row>
    <row r="12095">
      <c r="A12095" s="17">
        <v>1009000.0</v>
      </c>
      <c r="B12095" s="17">
        <v>6647500.0</v>
      </c>
    </row>
    <row r="12096">
      <c r="A12096" s="17">
        <v>1009000.0</v>
      </c>
      <c r="B12096" s="17">
        <v>6640000.0</v>
      </c>
    </row>
    <row r="12097">
      <c r="A12097" s="17">
        <v>1009000.0</v>
      </c>
      <c r="B12097" s="17">
        <v>6640100.0</v>
      </c>
    </row>
    <row r="12098">
      <c r="A12098" s="17">
        <v>1009000.0</v>
      </c>
      <c r="B12098" s="17">
        <v>6641000.0</v>
      </c>
    </row>
    <row r="12099">
      <c r="A12099" s="17">
        <v>1009000.0</v>
      </c>
      <c r="B12099" s="17">
        <v>6641100.0</v>
      </c>
    </row>
    <row r="12100">
      <c r="A12100" s="17">
        <v>1009000.0</v>
      </c>
      <c r="B12100" s="17">
        <v>6642000.0</v>
      </c>
    </row>
    <row r="12101">
      <c r="A12101" s="17">
        <v>1009000.0</v>
      </c>
      <c r="B12101" s="17">
        <v>6642100.0</v>
      </c>
    </row>
    <row r="12102">
      <c r="A12102" s="17">
        <v>1009000.0</v>
      </c>
      <c r="B12102" s="17">
        <v>6643000.0</v>
      </c>
    </row>
    <row r="12103">
      <c r="A12103" s="17">
        <v>1009000.0</v>
      </c>
      <c r="B12103" s="17">
        <v>6643100.0</v>
      </c>
    </row>
    <row r="12104">
      <c r="A12104" s="17">
        <v>1009000.0</v>
      </c>
      <c r="B12104" s="17">
        <v>6644000.0</v>
      </c>
    </row>
    <row r="12105">
      <c r="A12105" s="17">
        <v>1009000.0</v>
      </c>
      <c r="B12105" s="17">
        <v>6644100.0</v>
      </c>
    </row>
    <row r="12106">
      <c r="A12106" s="17">
        <v>1009000.0</v>
      </c>
      <c r="B12106" s="17">
        <v>6645000.0</v>
      </c>
    </row>
    <row r="12107">
      <c r="A12107" s="17">
        <v>1009000.0</v>
      </c>
      <c r="B12107" s="17">
        <v>6645100.0</v>
      </c>
    </row>
    <row r="12108">
      <c r="A12108" s="17">
        <v>1009000.0</v>
      </c>
      <c r="B12108" s="17">
        <v>6646000.0</v>
      </c>
    </row>
    <row r="12109">
      <c r="A12109" s="17">
        <v>1009000.0</v>
      </c>
      <c r="B12109" s="17">
        <v>6646100.0</v>
      </c>
    </row>
    <row r="12110">
      <c r="A12110" s="17">
        <v>1009000.0</v>
      </c>
      <c r="B12110" s="17">
        <v>6647000.0</v>
      </c>
    </row>
    <row r="12111">
      <c r="A12111" s="17">
        <v>1009000.0</v>
      </c>
      <c r="B12111" s="17">
        <v>6647100.0</v>
      </c>
    </row>
    <row r="12112">
      <c r="A12112" s="17">
        <v>1009001.0</v>
      </c>
      <c r="B12112" s="17">
        <v>7000000.0</v>
      </c>
    </row>
    <row r="12113">
      <c r="A12113" s="17">
        <v>1009001.0</v>
      </c>
      <c r="B12113" s="17">
        <v>7000001.0</v>
      </c>
    </row>
    <row r="12114">
      <c r="A12114" s="17">
        <v>1009001.0</v>
      </c>
      <c r="B12114" s="17">
        <v>7000002.0</v>
      </c>
    </row>
    <row r="12115">
      <c r="A12115" s="17">
        <v>1009001.0</v>
      </c>
      <c r="B12115" s="17">
        <v>7000100.0</v>
      </c>
    </row>
    <row r="12116">
      <c r="A12116" s="17">
        <v>1009001.0</v>
      </c>
      <c r="B12116" s="17">
        <v>7000101.0</v>
      </c>
    </row>
    <row r="12117">
      <c r="A12117" s="17">
        <v>1009001.0</v>
      </c>
      <c r="B12117" s="17">
        <v>7000102.0</v>
      </c>
    </row>
    <row r="12118">
      <c r="A12118" s="17">
        <v>1009001.0</v>
      </c>
      <c r="B12118" s="17">
        <v>7000200.0</v>
      </c>
    </row>
    <row r="12119">
      <c r="A12119" s="17">
        <v>1009001.0</v>
      </c>
      <c r="B12119" s="17">
        <v>7000201.0</v>
      </c>
    </row>
    <row r="12120">
      <c r="A12120" s="17">
        <v>1009001.0</v>
      </c>
      <c r="B12120" s="17">
        <v>7000202.0</v>
      </c>
    </row>
    <row r="12121">
      <c r="A12121" s="17">
        <v>1009001.0</v>
      </c>
      <c r="B12121" s="17">
        <v>7000300.0</v>
      </c>
    </row>
    <row r="12122">
      <c r="A12122" s="17">
        <v>1009001.0</v>
      </c>
      <c r="B12122" s="17">
        <v>7000301.0</v>
      </c>
    </row>
    <row r="12123">
      <c r="A12123" s="17">
        <v>1009001.0</v>
      </c>
      <c r="B12123" s="17">
        <v>7000302.0</v>
      </c>
    </row>
    <row r="12124">
      <c r="A12124" s="17">
        <v>1009001.0</v>
      </c>
      <c r="B12124" s="17">
        <v>7000400.0</v>
      </c>
    </row>
    <row r="12125">
      <c r="A12125" s="17">
        <v>1009001.0</v>
      </c>
      <c r="B12125" s="17">
        <v>7000401.0</v>
      </c>
    </row>
    <row r="12126">
      <c r="A12126" s="17">
        <v>1009001.0</v>
      </c>
      <c r="B12126" s="17">
        <v>7000402.0</v>
      </c>
    </row>
    <row r="12127">
      <c r="A12127" s="17">
        <v>1009001.0</v>
      </c>
      <c r="B12127" s="17">
        <v>7000500.0</v>
      </c>
    </row>
    <row r="12128">
      <c r="A12128" s="17">
        <v>1009001.0</v>
      </c>
      <c r="B12128" s="17">
        <v>7000501.0</v>
      </c>
    </row>
    <row r="12129">
      <c r="A12129" s="17">
        <v>1009001.0</v>
      </c>
      <c r="B12129" s="17">
        <v>7000502.0</v>
      </c>
    </row>
    <row r="12130">
      <c r="A12130" s="17">
        <v>1009001.0</v>
      </c>
      <c r="B12130" s="17">
        <v>7000600.0</v>
      </c>
    </row>
    <row r="12131">
      <c r="A12131" s="17">
        <v>1009001.0</v>
      </c>
      <c r="B12131" s="17">
        <v>7000601.0</v>
      </c>
    </row>
    <row r="12132">
      <c r="A12132" s="17">
        <v>1009001.0</v>
      </c>
      <c r="B12132" s="17">
        <v>7000602.0</v>
      </c>
    </row>
    <row r="12133">
      <c r="A12133" s="17">
        <v>1009001.0</v>
      </c>
      <c r="B12133" s="17">
        <v>7000700.0</v>
      </c>
    </row>
    <row r="12134">
      <c r="A12134" s="17">
        <v>1009001.0</v>
      </c>
      <c r="B12134" s="17">
        <v>7000701.0</v>
      </c>
    </row>
    <row r="12135">
      <c r="A12135" s="17">
        <v>1009001.0</v>
      </c>
      <c r="B12135" s="17">
        <v>7000702.0</v>
      </c>
    </row>
    <row r="12136">
      <c r="A12136" s="17">
        <v>1009001.0</v>
      </c>
      <c r="B12136" s="17">
        <v>7000800.0</v>
      </c>
    </row>
    <row r="12137">
      <c r="A12137" s="17">
        <v>1009001.0</v>
      </c>
      <c r="B12137" s="17">
        <v>7000801.0</v>
      </c>
    </row>
    <row r="12138">
      <c r="A12138" s="17">
        <v>1009001.0</v>
      </c>
      <c r="B12138" s="17">
        <v>7000802.0</v>
      </c>
    </row>
    <row r="12139">
      <c r="A12139" s="17">
        <v>1009001.0</v>
      </c>
      <c r="B12139" s="17">
        <v>7000900.0</v>
      </c>
    </row>
    <row r="12140">
      <c r="A12140" s="17">
        <v>1009001.0</v>
      </c>
      <c r="B12140" s="17">
        <v>7000901.0</v>
      </c>
    </row>
    <row r="12141">
      <c r="A12141" s="17">
        <v>1009001.0</v>
      </c>
      <c r="B12141" s="17">
        <v>7000902.0</v>
      </c>
    </row>
    <row r="12142">
      <c r="A12142" s="17">
        <v>1009001.0</v>
      </c>
      <c r="B12142" s="17">
        <v>7001000.0</v>
      </c>
    </row>
    <row r="12143">
      <c r="A12143" s="17">
        <v>1009001.0</v>
      </c>
      <c r="B12143" s="17">
        <v>7001001.0</v>
      </c>
    </row>
    <row r="12144">
      <c r="A12144" s="17">
        <v>1009001.0</v>
      </c>
      <c r="B12144" s="17">
        <v>7001002.0</v>
      </c>
    </row>
    <row r="12145">
      <c r="A12145" s="17">
        <v>1009001.0</v>
      </c>
      <c r="B12145" s="17">
        <v>7001400.0</v>
      </c>
    </row>
    <row r="12146">
      <c r="A12146" s="17">
        <v>1009001.0</v>
      </c>
      <c r="B12146" s="17">
        <v>7001401.0</v>
      </c>
    </row>
    <row r="12147">
      <c r="A12147" s="17">
        <v>1009001.0</v>
      </c>
      <c r="B12147" s="17">
        <v>7001402.0</v>
      </c>
    </row>
    <row r="12148">
      <c r="A12148" s="17">
        <v>1009001.0</v>
      </c>
      <c r="B12148" s="17">
        <v>7001500.0</v>
      </c>
    </row>
    <row r="12149">
      <c r="A12149" s="17">
        <v>1009001.0</v>
      </c>
      <c r="B12149" s="17">
        <v>7001501.0</v>
      </c>
    </row>
    <row r="12150">
      <c r="A12150" s="17">
        <v>1009001.0</v>
      </c>
      <c r="B12150" s="17">
        <v>7001502.0</v>
      </c>
    </row>
    <row r="12151">
      <c r="A12151" s="17">
        <v>1009001.0</v>
      </c>
      <c r="B12151" s="17">
        <v>7001600.0</v>
      </c>
    </row>
    <row r="12152">
      <c r="A12152" s="17">
        <v>1009001.0</v>
      </c>
      <c r="B12152" s="17">
        <v>7001601.0</v>
      </c>
    </row>
    <row r="12153">
      <c r="A12153" s="17">
        <v>1009001.0</v>
      </c>
      <c r="B12153" s="17">
        <v>7001602.0</v>
      </c>
    </row>
    <row r="12154">
      <c r="A12154" s="17">
        <v>1009001.0</v>
      </c>
      <c r="B12154" s="17">
        <v>7001700.0</v>
      </c>
    </row>
    <row r="12155">
      <c r="A12155" s="17">
        <v>1009001.0</v>
      </c>
      <c r="B12155" s="17">
        <v>7001701.0</v>
      </c>
    </row>
    <row r="12156">
      <c r="A12156" s="17">
        <v>1009001.0</v>
      </c>
      <c r="B12156" s="17">
        <v>7001702.0</v>
      </c>
    </row>
    <row r="12157">
      <c r="A12157" s="17">
        <v>1009001.0</v>
      </c>
      <c r="B12157" s="17">
        <v>7001800.0</v>
      </c>
    </row>
    <row r="12158">
      <c r="A12158" s="17">
        <v>1009001.0</v>
      </c>
      <c r="B12158" s="17">
        <v>7001801.0</v>
      </c>
    </row>
    <row r="12159">
      <c r="A12159" s="17">
        <v>1009001.0</v>
      </c>
      <c r="B12159" s="17">
        <v>7001802.0</v>
      </c>
    </row>
    <row r="12160">
      <c r="A12160" s="17">
        <v>1009001.0</v>
      </c>
      <c r="B12160" s="17">
        <v>7002600.0</v>
      </c>
    </row>
    <row r="12161">
      <c r="A12161" s="17">
        <v>1009001.0</v>
      </c>
      <c r="B12161" s="17">
        <v>7002700.0</v>
      </c>
    </row>
    <row r="12162">
      <c r="A12162" s="17">
        <v>1009001.0</v>
      </c>
      <c r="B12162" s="17">
        <v>7002800.0</v>
      </c>
    </row>
    <row r="12163">
      <c r="A12163" s="17">
        <v>1009001.0</v>
      </c>
      <c r="B12163" s="17">
        <v>7002900.0</v>
      </c>
    </row>
    <row r="12164">
      <c r="A12164" s="17">
        <v>1009001.0</v>
      </c>
      <c r="B12164" s="17">
        <v>7003000.0</v>
      </c>
    </row>
    <row r="12165">
      <c r="A12165" s="17">
        <v>1009001.0</v>
      </c>
      <c r="B12165" s="17">
        <v>7003100.0</v>
      </c>
    </row>
    <row r="12166">
      <c r="A12166" s="17">
        <v>1009001.0</v>
      </c>
      <c r="B12166" s="17">
        <v>7003200.0</v>
      </c>
    </row>
    <row r="12167">
      <c r="A12167" s="17">
        <v>1009001.0</v>
      </c>
      <c r="B12167" s="17">
        <v>7003300.0</v>
      </c>
    </row>
    <row r="12168">
      <c r="A12168" s="17">
        <v>1009001.0</v>
      </c>
      <c r="B12168" s="17">
        <v>7003400.0</v>
      </c>
    </row>
    <row r="12169">
      <c r="A12169" s="17">
        <v>1009001.0</v>
      </c>
      <c r="B12169" s="17">
        <v>7003500.0</v>
      </c>
    </row>
    <row r="12170">
      <c r="A12170" s="17">
        <v>1009001.0</v>
      </c>
      <c r="B12170" s="17">
        <v>7003600.0</v>
      </c>
    </row>
    <row r="12171">
      <c r="A12171" s="17">
        <v>1009001.0</v>
      </c>
      <c r="B12171" s="17">
        <v>7005600.0</v>
      </c>
    </row>
    <row r="12172">
      <c r="A12172" s="17">
        <v>1009001.0</v>
      </c>
      <c r="B12172" s="17">
        <v>7006000.0</v>
      </c>
    </row>
    <row r="12173">
      <c r="A12173" s="17">
        <v>1009001.0</v>
      </c>
      <c r="B12173" s="17">
        <v>7006100.0</v>
      </c>
    </row>
    <row r="12174">
      <c r="A12174" s="17">
        <v>1009001.0</v>
      </c>
      <c r="B12174" s="17">
        <v>7010200.0</v>
      </c>
    </row>
    <row r="12175">
      <c r="A12175" s="17">
        <v>1009001.0</v>
      </c>
      <c r="B12175" s="17">
        <v>7010500.0</v>
      </c>
    </row>
    <row r="12176">
      <c r="A12176" s="17">
        <v>1009001.0</v>
      </c>
      <c r="B12176" s="17">
        <v>7010700.0</v>
      </c>
    </row>
    <row r="12177">
      <c r="A12177" s="17">
        <v>1009001.0</v>
      </c>
      <c r="B12177" s="17">
        <v>7010900.0</v>
      </c>
    </row>
    <row r="12178">
      <c r="A12178" s="17">
        <v>1009001.0</v>
      </c>
      <c r="B12178" s="17">
        <v>7011000.0</v>
      </c>
    </row>
    <row r="12179">
      <c r="A12179" s="17">
        <v>1009001.0</v>
      </c>
      <c r="B12179" s="17">
        <v>7011200.0</v>
      </c>
    </row>
    <row r="12180">
      <c r="A12180" s="17">
        <v>1009001.0</v>
      </c>
      <c r="B12180" s="17">
        <v>7011600.0</v>
      </c>
    </row>
    <row r="12181">
      <c r="A12181" s="17">
        <v>1009001.0</v>
      </c>
      <c r="B12181" s="17">
        <v>7011700.0</v>
      </c>
    </row>
    <row r="12182">
      <c r="A12182" s="17">
        <v>1009001.0</v>
      </c>
      <c r="B12182" s="17">
        <v>7012000.0</v>
      </c>
    </row>
    <row r="12183">
      <c r="A12183" s="17">
        <v>1009001.0</v>
      </c>
      <c r="B12183" s="17">
        <v>7012200.0</v>
      </c>
    </row>
    <row r="12184">
      <c r="A12184" s="17">
        <v>1009001.0</v>
      </c>
      <c r="B12184" s="17">
        <v>7012300.0</v>
      </c>
    </row>
    <row r="12185">
      <c r="A12185" s="17">
        <v>1009001.0</v>
      </c>
      <c r="B12185" s="17">
        <v>7020000.0</v>
      </c>
    </row>
    <row r="12186">
      <c r="A12186" s="17">
        <v>1009001.0</v>
      </c>
      <c r="B12186" s="17">
        <v>7030000.0</v>
      </c>
    </row>
    <row r="12187">
      <c r="A12187" s="17">
        <v>1009001.0</v>
      </c>
      <c r="B12187" s="17">
        <v>7030200.0</v>
      </c>
    </row>
    <row r="12188">
      <c r="A12188" s="17">
        <v>1009001.0</v>
      </c>
      <c r="B12188" s="17">
        <v>7030600.0</v>
      </c>
    </row>
    <row r="12189">
      <c r="A12189" s="17">
        <v>1009001.0</v>
      </c>
      <c r="B12189" s="17">
        <v>7030700.0</v>
      </c>
    </row>
    <row r="12190">
      <c r="A12190" s="17">
        <v>1009001.0</v>
      </c>
      <c r="B12190" s="17">
        <v>7030800.0</v>
      </c>
    </row>
    <row r="12191">
      <c r="A12191" s="17">
        <v>1009001.0</v>
      </c>
      <c r="B12191" s="17">
        <v>7030900.0</v>
      </c>
    </row>
    <row r="12192">
      <c r="A12192" s="17">
        <v>1009001.0</v>
      </c>
      <c r="B12192" s="17">
        <v>7031200.0</v>
      </c>
    </row>
    <row r="12193">
      <c r="A12193" s="17">
        <v>1009001.0</v>
      </c>
      <c r="B12193" s="17">
        <v>7031300.0</v>
      </c>
    </row>
    <row r="12194">
      <c r="A12194" s="17">
        <v>1009001.0</v>
      </c>
      <c r="B12194" s="17">
        <v>7031800.0</v>
      </c>
    </row>
    <row r="12195">
      <c r="A12195" s="17">
        <v>1009001.0</v>
      </c>
      <c r="B12195" s="17">
        <v>7031900.0</v>
      </c>
    </row>
    <row r="12196">
      <c r="A12196" s="17">
        <v>1009001.0</v>
      </c>
      <c r="B12196" s="17">
        <v>7032200.0</v>
      </c>
    </row>
    <row r="12197">
      <c r="A12197" s="17">
        <v>1009001.0</v>
      </c>
      <c r="B12197" s="17">
        <v>7032400.0</v>
      </c>
    </row>
    <row r="12198">
      <c r="A12198" s="17">
        <v>1009001.0</v>
      </c>
      <c r="B12198" s="17">
        <v>7032700.0</v>
      </c>
    </row>
    <row r="12199">
      <c r="A12199" s="17">
        <v>1009001.0</v>
      </c>
      <c r="B12199" s="17">
        <v>7032800.0</v>
      </c>
    </row>
    <row r="12200">
      <c r="A12200" s="17">
        <v>1009001.0</v>
      </c>
      <c r="B12200" s="17">
        <v>7032900.0</v>
      </c>
    </row>
    <row r="12201">
      <c r="A12201" s="17">
        <v>1009001.0</v>
      </c>
      <c r="B12201" s="17">
        <v>7033200.0</v>
      </c>
    </row>
    <row r="12202">
      <c r="A12202" s="17">
        <v>1009001.0</v>
      </c>
      <c r="B12202" s="17">
        <v>7033400.0</v>
      </c>
    </row>
    <row r="12203">
      <c r="A12203" s="17">
        <v>1009001.0</v>
      </c>
      <c r="B12203" s="17">
        <v>7034100.0</v>
      </c>
    </row>
    <row r="12204">
      <c r="A12204" s="17">
        <v>1009001.0</v>
      </c>
      <c r="B12204" s="17">
        <v>7034400.0</v>
      </c>
    </row>
    <row r="12205">
      <c r="A12205" s="17">
        <v>1009001.0</v>
      </c>
      <c r="B12205" s="17">
        <v>7034500.0</v>
      </c>
    </row>
    <row r="12206">
      <c r="A12206" s="17">
        <v>1009001.0</v>
      </c>
      <c r="B12206" s="17">
        <v>7034600.0</v>
      </c>
    </row>
    <row r="12207">
      <c r="A12207" s="17">
        <v>1009001.0</v>
      </c>
      <c r="B12207" s="17">
        <v>7034700.0</v>
      </c>
    </row>
    <row r="12208">
      <c r="A12208" s="17">
        <v>1009001.0</v>
      </c>
      <c r="B12208" s="17">
        <v>7035100.0</v>
      </c>
    </row>
    <row r="12209">
      <c r="A12209" s="17">
        <v>1009001.0</v>
      </c>
      <c r="B12209" s="17">
        <v>7036100.0</v>
      </c>
    </row>
    <row r="12210">
      <c r="A12210" s="17">
        <v>1009001.0</v>
      </c>
      <c r="B12210" s="17">
        <v>7040000.0</v>
      </c>
    </row>
    <row r="12211">
      <c r="A12211" s="17">
        <v>1009001.0</v>
      </c>
      <c r="B12211" s="17">
        <v>7040100.0</v>
      </c>
    </row>
    <row r="12212">
      <c r="A12212" s="17">
        <v>1009001.0</v>
      </c>
      <c r="B12212" s="17">
        <v>7040200.0</v>
      </c>
    </row>
    <row r="12213">
      <c r="A12213" s="17">
        <v>1009001.0</v>
      </c>
      <c r="B12213" s="17">
        <v>7040300.0</v>
      </c>
    </row>
    <row r="12214">
      <c r="A12214" s="17">
        <v>1009001.0</v>
      </c>
      <c r="B12214" s="17">
        <v>7040400.0</v>
      </c>
    </row>
    <row r="12215">
      <c r="A12215" s="17">
        <v>1009001.0</v>
      </c>
      <c r="B12215" s="17">
        <v>7040500.0</v>
      </c>
    </row>
    <row r="12216">
      <c r="A12216" s="17">
        <v>1009001.0</v>
      </c>
      <c r="B12216" s="17">
        <v>7043000.0</v>
      </c>
    </row>
    <row r="12217">
      <c r="A12217" s="17">
        <v>1009001.0</v>
      </c>
      <c r="B12217" s="17">
        <v>7043100.0</v>
      </c>
    </row>
    <row r="12218">
      <c r="A12218" s="17">
        <v>1009001.0</v>
      </c>
      <c r="B12218" s="17">
        <v>7043200.0</v>
      </c>
    </row>
    <row r="12219">
      <c r="A12219" s="17">
        <v>1009001.0</v>
      </c>
      <c r="B12219" s="17">
        <v>7043300.0</v>
      </c>
    </row>
    <row r="12220">
      <c r="A12220" s="17">
        <v>1009001.0</v>
      </c>
      <c r="B12220" s="17">
        <v>7043400.0</v>
      </c>
    </row>
    <row r="12221">
      <c r="A12221" s="17">
        <v>1009001.0</v>
      </c>
      <c r="B12221" s="17">
        <v>7043500.0</v>
      </c>
    </row>
    <row r="12222">
      <c r="A12222" s="17">
        <v>1009001.0</v>
      </c>
      <c r="B12222" s="17">
        <v>7043600.0</v>
      </c>
    </row>
    <row r="12223">
      <c r="A12223" s="17">
        <v>1009001.0</v>
      </c>
      <c r="B12223" s="17">
        <v>7043700.0</v>
      </c>
    </row>
    <row r="12224">
      <c r="A12224" s="17">
        <v>1009001.0</v>
      </c>
      <c r="B12224" s="17">
        <v>7043800.0</v>
      </c>
    </row>
    <row r="12225">
      <c r="A12225" s="17">
        <v>1009001.0</v>
      </c>
      <c r="B12225" s="17">
        <v>7044000.0</v>
      </c>
    </row>
    <row r="12226">
      <c r="A12226" s="17">
        <v>1009001.0</v>
      </c>
      <c r="B12226" s="17">
        <v>7044100.0</v>
      </c>
    </row>
    <row r="12227">
      <c r="A12227" s="17">
        <v>1009001.0</v>
      </c>
      <c r="B12227" s="17">
        <v>7044200.0</v>
      </c>
    </row>
    <row r="12228">
      <c r="A12228" s="17">
        <v>1009001.0</v>
      </c>
      <c r="B12228" s="17">
        <v>7044300.0</v>
      </c>
    </row>
    <row r="12229">
      <c r="A12229" s="17">
        <v>1009001.0</v>
      </c>
      <c r="B12229" s="17">
        <v>7044400.0</v>
      </c>
    </row>
    <row r="12230">
      <c r="A12230" s="17">
        <v>1009001.0</v>
      </c>
      <c r="B12230" s="17">
        <v>7044500.0</v>
      </c>
    </row>
    <row r="12231">
      <c r="A12231" s="17">
        <v>1009001.0</v>
      </c>
      <c r="B12231" s="17">
        <v>7044600.0</v>
      </c>
    </row>
    <row r="12232">
      <c r="A12232" s="17">
        <v>1009001.0</v>
      </c>
      <c r="B12232" s="17">
        <v>7050000.0</v>
      </c>
    </row>
    <row r="12233">
      <c r="A12233" s="17">
        <v>1009001.0</v>
      </c>
      <c r="B12233" s="17">
        <v>7050100.0</v>
      </c>
    </row>
    <row r="12234">
      <c r="A12234" s="17">
        <v>1009001.0</v>
      </c>
      <c r="B12234" s="17">
        <v>7060000.0</v>
      </c>
    </row>
    <row r="12235">
      <c r="A12235" s="17">
        <v>1009001.0</v>
      </c>
      <c r="B12235" s="17">
        <v>7060100.0</v>
      </c>
    </row>
    <row r="12236">
      <c r="A12236" s="17">
        <v>1009001.0</v>
      </c>
      <c r="B12236" s="17">
        <v>7060200.0</v>
      </c>
    </row>
    <row r="12237">
      <c r="A12237" s="17">
        <v>1009001.0</v>
      </c>
      <c r="B12237" s="17">
        <v>7070000.0</v>
      </c>
    </row>
    <row r="12238">
      <c r="A12238" s="17">
        <v>1009001.0</v>
      </c>
      <c r="B12238" s="17">
        <v>7080000.0</v>
      </c>
    </row>
    <row r="12239">
      <c r="A12239" s="17">
        <v>1009001.0</v>
      </c>
      <c r="B12239" s="17">
        <v>7080100.0</v>
      </c>
    </row>
    <row r="12240">
      <c r="A12240" s="17">
        <v>1009001.0</v>
      </c>
      <c r="B12240" s="17">
        <v>7080200.0</v>
      </c>
    </row>
    <row r="12241">
      <c r="A12241" s="17">
        <v>1009001.0</v>
      </c>
      <c r="B12241" s="17">
        <v>7080300.0</v>
      </c>
    </row>
    <row r="12242">
      <c r="A12242" s="17">
        <v>1009001.0</v>
      </c>
      <c r="B12242" s="17">
        <v>7080400.0</v>
      </c>
    </row>
    <row r="12243">
      <c r="A12243" s="17">
        <v>1009001.0</v>
      </c>
      <c r="B12243" s="17">
        <v>7080500.0</v>
      </c>
    </row>
    <row r="12244">
      <c r="A12244" s="17">
        <v>1009001.0</v>
      </c>
      <c r="B12244" s="17">
        <v>7080600.0</v>
      </c>
    </row>
    <row r="12245">
      <c r="A12245" s="17">
        <v>1009001.0</v>
      </c>
      <c r="B12245" s="17">
        <v>7080700.0</v>
      </c>
    </row>
    <row r="12246">
      <c r="A12246" s="17">
        <v>1009001.0</v>
      </c>
      <c r="B12246" s="17">
        <v>7080800.0</v>
      </c>
    </row>
    <row r="12247">
      <c r="A12247" s="17">
        <v>1009001.0</v>
      </c>
      <c r="B12247" s="17">
        <v>7080900.0</v>
      </c>
    </row>
    <row r="12248">
      <c r="A12248" s="17">
        <v>1009001.0</v>
      </c>
      <c r="B12248" s="17">
        <v>7081000.0</v>
      </c>
    </row>
    <row r="12249">
      <c r="A12249" s="17">
        <v>1009001.0</v>
      </c>
      <c r="B12249" s="17">
        <v>7081100.0</v>
      </c>
    </row>
    <row r="12250">
      <c r="A12250" s="17">
        <v>1009001.0</v>
      </c>
      <c r="B12250" s="17">
        <v>7081200.0</v>
      </c>
    </row>
    <row r="12251">
      <c r="A12251" s="17">
        <v>1009001.0</v>
      </c>
      <c r="B12251" s="17">
        <v>7081300.0</v>
      </c>
    </row>
    <row r="12252">
      <c r="A12252" s="17">
        <v>1009001.0</v>
      </c>
      <c r="B12252" s="17">
        <v>7081400.0</v>
      </c>
    </row>
    <row r="12253">
      <c r="A12253" s="17">
        <v>1009001.0</v>
      </c>
      <c r="B12253" s="17">
        <v>7081500.0</v>
      </c>
    </row>
    <row r="12254">
      <c r="A12254" s="17">
        <v>1009001.0</v>
      </c>
      <c r="B12254" s="17">
        <v>7081700.0</v>
      </c>
    </row>
    <row r="12255">
      <c r="A12255" s="17">
        <v>1009001.0</v>
      </c>
      <c r="B12255" s="17">
        <v>7081800.0</v>
      </c>
    </row>
    <row r="12256">
      <c r="A12256" s="17">
        <v>1009001.0</v>
      </c>
      <c r="B12256" s="17">
        <v>7081900.0</v>
      </c>
    </row>
    <row r="12257">
      <c r="A12257" s="17">
        <v>1009001.0</v>
      </c>
      <c r="B12257" s="17">
        <v>7082000.0</v>
      </c>
    </row>
    <row r="12258">
      <c r="A12258" s="17">
        <v>1009001.0</v>
      </c>
      <c r="B12258" s="17">
        <v>7082100.0</v>
      </c>
    </row>
    <row r="12259">
      <c r="A12259" s="17">
        <v>1009001.0</v>
      </c>
      <c r="B12259" s="17">
        <v>7082200.0</v>
      </c>
    </row>
    <row r="12260">
      <c r="A12260" s="17">
        <v>1009001.0</v>
      </c>
      <c r="B12260" s="17">
        <v>7082300.0</v>
      </c>
    </row>
    <row r="12261">
      <c r="A12261" s="17">
        <v>1009001.0</v>
      </c>
      <c r="B12261" s="17">
        <v>7082400.0</v>
      </c>
    </row>
    <row r="12262">
      <c r="A12262" s="17">
        <v>1009001.0</v>
      </c>
      <c r="B12262" s="17">
        <v>7082500.0</v>
      </c>
    </row>
    <row r="12263">
      <c r="A12263" s="17">
        <v>1009001.0</v>
      </c>
      <c r="B12263" s="17">
        <v>7082600.0</v>
      </c>
    </row>
    <row r="12264">
      <c r="A12264" s="17">
        <v>1009001.0</v>
      </c>
      <c r="B12264" s="17">
        <v>7082700.0</v>
      </c>
    </row>
    <row r="12265">
      <c r="A12265" s="17">
        <v>1009001.0</v>
      </c>
      <c r="B12265" s="17">
        <v>7082800.0</v>
      </c>
    </row>
    <row r="12266">
      <c r="A12266" s="17">
        <v>1009001.0</v>
      </c>
      <c r="B12266" s="17">
        <v>7082900.0</v>
      </c>
    </row>
    <row r="12267">
      <c r="A12267" s="17">
        <v>1009001.0</v>
      </c>
      <c r="B12267" s="17">
        <v>7090000.0</v>
      </c>
    </row>
    <row r="12268">
      <c r="A12268" s="17">
        <v>1009001.0</v>
      </c>
      <c r="B12268" s="17">
        <v>7090100.0</v>
      </c>
    </row>
    <row r="12269">
      <c r="A12269" s="17">
        <v>1009001.0</v>
      </c>
      <c r="B12269" s="17">
        <v>7090300.0</v>
      </c>
    </row>
    <row r="12270">
      <c r="A12270" s="17">
        <v>1009001.0</v>
      </c>
      <c r="B12270" s="17">
        <v>7100100.0</v>
      </c>
    </row>
    <row r="12271">
      <c r="A12271" s="17">
        <v>1009001.0</v>
      </c>
      <c r="B12271" s="17">
        <v>7110000.0</v>
      </c>
    </row>
    <row r="12272">
      <c r="A12272" s="17">
        <v>1009001.0</v>
      </c>
      <c r="B12272" s="17">
        <v>7120000.0</v>
      </c>
    </row>
    <row r="12273">
      <c r="A12273" s="17">
        <v>1009001.0</v>
      </c>
      <c r="B12273" s="17">
        <v>7120100.0</v>
      </c>
    </row>
    <row r="12274">
      <c r="A12274" s="17">
        <v>1009001.0</v>
      </c>
      <c r="B12274" s="17">
        <v>7120200.0</v>
      </c>
    </row>
    <row r="12275">
      <c r="A12275" s="17">
        <v>1009001.0</v>
      </c>
      <c r="B12275" s="17">
        <v>7120300.0</v>
      </c>
    </row>
    <row r="12276">
      <c r="A12276" s="17">
        <v>1009001.0</v>
      </c>
      <c r="B12276" s="17">
        <v>7120400.0</v>
      </c>
    </row>
    <row r="12277">
      <c r="A12277" s="17">
        <v>1009001.0</v>
      </c>
      <c r="B12277" s="17">
        <v>7120500.0</v>
      </c>
    </row>
    <row r="12278">
      <c r="A12278" s="17">
        <v>1009001.0</v>
      </c>
      <c r="B12278" s="17">
        <v>7120600.0</v>
      </c>
    </row>
    <row r="12279">
      <c r="A12279" s="17">
        <v>1009001.0</v>
      </c>
      <c r="B12279" s="17">
        <v>7120900.0</v>
      </c>
    </row>
    <row r="12280">
      <c r="A12280" s="17">
        <v>1009001.0</v>
      </c>
      <c r="B12280" s="17">
        <v>7121000.0</v>
      </c>
    </row>
    <row r="12281">
      <c r="A12281" s="17">
        <v>1009001.0</v>
      </c>
      <c r="B12281" s="17">
        <v>7121100.0</v>
      </c>
    </row>
    <row r="12282">
      <c r="A12282" s="17">
        <v>1009001.0</v>
      </c>
      <c r="B12282" s="17">
        <v>7121200.0</v>
      </c>
    </row>
    <row r="12283">
      <c r="A12283" s="17">
        <v>1009001.0</v>
      </c>
      <c r="B12283" s="17">
        <v>7121300.0</v>
      </c>
    </row>
    <row r="12284">
      <c r="A12284" s="17">
        <v>1009001.0</v>
      </c>
      <c r="B12284" s="17">
        <v>7121400.0</v>
      </c>
    </row>
    <row r="12285">
      <c r="A12285" s="17">
        <v>1009001.0</v>
      </c>
      <c r="B12285" s="17">
        <v>7121500.0</v>
      </c>
    </row>
    <row r="12286">
      <c r="A12286" s="17">
        <v>1009001.0</v>
      </c>
      <c r="B12286" s="17">
        <v>7121600.0</v>
      </c>
    </row>
    <row r="12287">
      <c r="A12287" s="17">
        <v>1009001.0</v>
      </c>
      <c r="B12287" s="17">
        <v>7121700.0</v>
      </c>
    </row>
    <row r="12288">
      <c r="A12288" s="17">
        <v>1009001.0</v>
      </c>
      <c r="B12288" s="17">
        <v>7121800.0</v>
      </c>
    </row>
    <row r="12289">
      <c r="A12289" s="17">
        <v>1009001.0</v>
      </c>
      <c r="B12289" s="17">
        <v>7121900.0</v>
      </c>
    </row>
    <row r="12290">
      <c r="A12290" s="17">
        <v>1009001.0</v>
      </c>
      <c r="B12290" s="17">
        <v>7122000.0</v>
      </c>
    </row>
    <row r="12291">
      <c r="A12291" s="17">
        <v>1009001.0</v>
      </c>
      <c r="B12291" s="17">
        <v>7122100.0</v>
      </c>
    </row>
    <row r="12292">
      <c r="A12292" s="17">
        <v>1009001.0</v>
      </c>
      <c r="B12292" s="17">
        <v>7122200.0</v>
      </c>
    </row>
    <row r="12293">
      <c r="A12293" s="17">
        <v>1009001.0</v>
      </c>
      <c r="B12293" s="17">
        <v>7122300.0</v>
      </c>
    </row>
    <row r="12294">
      <c r="A12294" s="17">
        <v>1009001.0</v>
      </c>
      <c r="B12294" s="17">
        <v>7122400.0</v>
      </c>
    </row>
    <row r="12295">
      <c r="A12295" s="17">
        <v>1009001.0</v>
      </c>
      <c r="B12295" s="17">
        <v>7122500.0</v>
      </c>
    </row>
    <row r="12296">
      <c r="A12296" s="17">
        <v>1009001.0</v>
      </c>
      <c r="B12296" s="17">
        <v>7122600.0</v>
      </c>
    </row>
    <row r="12297">
      <c r="A12297" s="17">
        <v>1009001.0</v>
      </c>
      <c r="B12297" s="17">
        <v>7122700.0</v>
      </c>
    </row>
    <row r="12298">
      <c r="A12298" s="17">
        <v>1009001.0</v>
      </c>
      <c r="B12298" s="17">
        <v>7122800.0</v>
      </c>
    </row>
    <row r="12299">
      <c r="A12299" s="17">
        <v>1009001.0</v>
      </c>
      <c r="B12299" s="17">
        <v>7122900.0</v>
      </c>
    </row>
    <row r="12300">
      <c r="A12300" s="17">
        <v>1009001.0</v>
      </c>
      <c r="B12300" s="17">
        <v>7123000.0</v>
      </c>
    </row>
    <row r="12301">
      <c r="A12301" s="17">
        <v>1009001.0</v>
      </c>
      <c r="B12301" s="17">
        <v>7123100.0</v>
      </c>
    </row>
    <row r="12302">
      <c r="A12302" s="17">
        <v>1009001.0</v>
      </c>
      <c r="B12302" s="17">
        <v>7123200.0</v>
      </c>
    </row>
    <row r="12303">
      <c r="A12303" s="17">
        <v>1009001.0</v>
      </c>
      <c r="B12303" s="17">
        <v>7123300.0</v>
      </c>
    </row>
    <row r="12304">
      <c r="A12304" s="17">
        <v>1009001.0</v>
      </c>
      <c r="B12304" s="17">
        <v>7123400.0</v>
      </c>
    </row>
    <row r="12305">
      <c r="A12305" s="17">
        <v>1009001.0</v>
      </c>
      <c r="B12305" s="17">
        <v>7123500.0</v>
      </c>
    </row>
    <row r="12306">
      <c r="A12306" s="17">
        <v>1009001.0</v>
      </c>
      <c r="B12306" s="17">
        <v>7123600.0</v>
      </c>
    </row>
    <row r="12307">
      <c r="A12307" s="17">
        <v>1009001.0</v>
      </c>
      <c r="B12307" s="17">
        <v>7123700.0</v>
      </c>
    </row>
    <row r="12308">
      <c r="A12308" s="17">
        <v>1009001.0</v>
      </c>
      <c r="B12308" s="17">
        <v>7123800.0</v>
      </c>
    </row>
    <row r="12309">
      <c r="A12309" s="17">
        <v>1009001.0</v>
      </c>
      <c r="B12309" s="17">
        <v>7123900.0</v>
      </c>
    </row>
    <row r="12310">
      <c r="A12310" s="17">
        <v>1009001.0</v>
      </c>
      <c r="B12310" s="17">
        <v>7124000.0</v>
      </c>
    </row>
    <row r="12311">
      <c r="A12311" s="17">
        <v>1009001.0</v>
      </c>
      <c r="B12311" s="17">
        <v>7124100.0</v>
      </c>
    </row>
    <row r="12312">
      <c r="A12312" s="17">
        <v>1009001.0</v>
      </c>
      <c r="B12312" s="17">
        <v>7124300.0</v>
      </c>
    </row>
    <row r="12313">
      <c r="A12313" s="17">
        <v>1009001.0</v>
      </c>
      <c r="B12313" s="17">
        <v>7124400.0</v>
      </c>
    </row>
    <row r="12314">
      <c r="A12314" s="17">
        <v>1009001.0</v>
      </c>
      <c r="B12314" s="17">
        <v>7124500.0</v>
      </c>
    </row>
    <row r="12315">
      <c r="A12315" s="17">
        <v>1009001.0</v>
      </c>
      <c r="B12315" s="17">
        <v>7124600.0</v>
      </c>
    </row>
    <row r="12316">
      <c r="A12316" s="17">
        <v>1009001.0</v>
      </c>
      <c r="B12316" s="17">
        <v>7124700.0</v>
      </c>
    </row>
    <row r="12317">
      <c r="A12317" s="17">
        <v>1009001.0</v>
      </c>
      <c r="B12317" s="17">
        <v>7126000.0</v>
      </c>
    </row>
    <row r="12318">
      <c r="A12318" s="17">
        <v>1009001.0</v>
      </c>
      <c r="B12318" s="17">
        <v>7150000.0</v>
      </c>
    </row>
    <row r="12319">
      <c r="A12319" s="17">
        <v>1009001.0</v>
      </c>
      <c r="B12319" s="17">
        <v>7160000.0</v>
      </c>
    </row>
    <row r="12320">
      <c r="A12320" s="17">
        <v>1009001.0</v>
      </c>
      <c r="B12320" s="17">
        <v>7220000.0</v>
      </c>
    </row>
    <row r="12321">
      <c r="A12321" s="17">
        <v>1009001.0</v>
      </c>
      <c r="B12321" s="17">
        <v>7230000.0</v>
      </c>
    </row>
    <row r="12322">
      <c r="A12322" s="17">
        <v>1009001.0</v>
      </c>
      <c r="B12322" s="17">
        <v>7240000.0</v>
      </c>
    </row>
    <row r="12323">
      <c r="A12323" s="17">
        <v>1009001.0</v>
      </c>
      <c r="B12323" s="17">
        <v>7260000.0</v>
      </c>
    </row>
    <row r="12324">
      <c r="A12324" s="17">
        <v>1009001.0</v>
      </c>
      <c r="B12324" s="17">
        <v>7260300.0</v>
      </c>
    </row>
    <row r="12325">
      <c r="A12325" s="17">
        <v>1009001.0</v>
      </c>
      <c r="B12325" s="17">
        <v>7260400.0</v>
      </c>
    </row>
    <row r="12326">
      <c r="A12326" s="17">
        <v>1009001.0</v>
      </c>
      <c r="B12326" s="17">
        <v>7270100.0</v>
      </c>
    </row>
    <row r="12327">
      <c r="A12327" s="17">
        <v>1009001.0</v>
      </c>
      <c r="B12327" s="17">
        <v>7280000.0</v>
      </c>
    </row>
    <row r="12328">
      <c r="A12328" s="17">
        <v>1009001.0</v>
      </c>
      <c r="B12328" s="17">
        <v>7290000.0</v>
      </c>
    </row>
    <row r="12329">
      <c r="A12329" s="17">
        <v>1009001.0</v>
      </c>
      <c r="B12329" s="17">
        <v>7310000.0</v>
      </c>
    </row>
    <row r="12330">
      <c r="A12330" s="17">
        <v>1009001.0</v>
      </c>
      <c r="B12330" s="17">
        <v>7330000.0</v>
      </c>
    </row>
    <row r="12331">
      <c r="A12331" s="17">
        <v>1009001.0</v>
      </c>
      <c r="B12331" s="17">
        <v>7330100.0</v>
      </c>
    </row>
    <row r="12332">
      <c r="A12332" s="17">
        <v>1009001.0</v>
      </c>
      <c r="B12332" s="17">
        <v>7330200.0</v>
      </c>
    </row>
    <row r="12333">
      <c r="A12333" s="17">
        <v>1009001.0</v>
      </c>
      <c r="B12333" s="17">
        <v>7330300.0</v>
      </c>
    </row>
    <row r="12334">
      <c r="A12334" s="17">
        <v>1009001.0</v>
      </c>
      <c r="B12334" s="17">
        <v>7330400.0</v>
      </c>
    </row>
    <row r="12335">
      <c r="A12335" s="17">
        <v>1009001.0</v>
      </c>
      <c r="B12335" s="17">
        <v>7330500.0</v>
      </c>
    </row>
    <row r="12336">
      <c r="A12336" s="17">
        <v>1009001.0</v>
      </c>
      <c r="B12336" s="17">
        <v>7330600.0</v>
      </c>
    </row>
    <row r="12337">
      <c r="A12337" s="17">
        <v>1009001.0</v>
      </c>
      <c r="B12337" s="17">
        <v>7330700.0</v>
      </c>
    </row>
    <row r="12338">
      <c r="A12338" s="17">
        <v>1009001.0</v>
      </c>
      <c r="B12338" s="17">
        <v>7330800.0</v>
      </c>
    </row>
    <row r="12339">
      <c r="A12339" s="17">
        <v>1009001.0</v>
      </c>
      <c r="B12339" s="17">
        <v>7330900.0</v>
      </c>
    </row>
    <row r="12340">
      <c r="A12340" s="17">
        <v>1009001.0</v>
      </c>
      <c r="B12340" s="17">
        <v>7331000.0</v>
      </c>
    </row>
    <row r="12341">
      <c r="A12341" s="17">
        <v>1009001.0</v>
      </c>
      <c r="B12341" s="17">
        <v>7331100.0</v>
      </c>
    </row>
    <row r="12342">
      <c r="A12342" s="17">
        <v>1009001.0</v>
      </c>
      <c r="B12342" s="17">
        <v>7331200.0</v>
      </c>
    </row>
    <row r="12343">
      <c r="A12343" s="17">
        <v>1009001.0</v>
      </c>
      <c r="B12343" s="17">
        <v>7331300.0</v>
      </c>
    </row>
    <row r="12344">
      <c r="A12344" s="17">
        <v>1009001.0</v>
      </c>
      <c r="B12344" s="17">
        <v>7331400.0</v>
      </c>
    </row>
    <row r="12345">
      <c r="A12345" s="17">
        <v>1009001.0</v>
      </c>
      <c r="B12345" s="17">
        <v>7331500.0</v>
      </c>
    </row>
    <row r="12346">
      <c r="A12346" s="17">
        <v>1009001.0</v>
      </c>
      <c r="B12346" s="17">
        <v>7331700.0</v>
      </c>
    </row>
    <row r="12347">
      <c r="A12347" s="17">
        <v>1009001.0</v>
      </c>
      <c r="B12347" s="17">
        <v>7331800.0</v>
      </c>
    </row>
    <row r="12348">
      <c r="A12348" s="17">
        <v>1009001.0</v>
      </c>
      <c r="B12348" s="17">
        <v>7331900.0</v>
      </c>
    </row>
    <row r="12349">
      <c r="A12349" s="17">
        <v>1009001.0</v>
      </c>
      <c r="B12349" s="17">
        <v>7332000.0</v>
      </c>
    </row>
    <row r="12350">
      <c r="A12350" s="17">
        <v>1009001.0</v>
      </c>
      <c r="B12350" s="17">
        <v>7332100.0</v>
      </c>
    </row>
    <row r="12351">
      <c r="A12351" s="17">
        <v>1009001.0</v>
      </c>
      <c r="B12351" s="17">
        <v>7332200.0</v>
      </c>
    </row>
    <row r="12352">
      <c r="A12352" s="17">
        <v>1009001.0</v>
      </c>
      <c r="B12352" s="17">
        <v>7332300.0</v>
      </c>
    </row>
    <row r="12353">
      <c r="A12353" s="17">
        <v>1009001.0</v>
      </c>
      <c r="B12353" s="17">
        <v>7332400.0</v>
      </c>
    </row>
    <row r="12354">
      <c r="A12354" s="17">
        <v>1009001.0</v>
      </c>
      <c r="B12354" s="17">
        <v>7340000.0</v>
      </c>
    </row>
    <row r="12355">
      <c r="A12355" s="17">
        <v>1009001.0</v>
      </c>
      <c r="B12355" s="17">
        <v>7340100.0</v>
      </c>
    </row>
    <row r="12356">
      <c r="A12356" s="17">
        <v>1009001.0</v>
      </c>
      <c r="B12356" s="17">
        <v>7340200.0</v>
      </c>
    </row>
    <row r="12357">
      <c r="A12357" s="17">
        <v>1009001.0</v>
      </c>
      <c r="B12357" s="17">
        <v>7340300.0</v>
      </c>
    </row>
    <row r="12358">
      <c r="A12358" s="17">
        <v>1009001.0</v>
      </c>
      <c r="B12358" s="17">
        <v>7340400.0</v>
      </c>
    </row>
    <row r="12359">
      <c r="A12359" s="17">
        <v>1009001.0</v>
      </c>
      <c r="B12359" s="17">
        <v>7340500.0</v>
      </c>
    </row>
    <row r="12360">
      <c r="A12360" s="17">
        <v>1009001.0</v>
      </c>
      <c r="B12360" s="17">
        <v>7340600.0</v>
      </c>
    </row>
    <row r="12361">
      <c r="A12361" s="17">
        <v>1009001.0</v>
      </c>
      <c r="B12361" s="17">
        <v>7340700.0</v>
      </c>
    </row>
    <row r="12362">
      <c r="A12362" s="17">
        <v>1009001.0</v>
      </c>
      <c r="B12362" s="17">
        <v>7340800.0</v>
      </c>
    </row>
    <row r="12363">
      <c r="A12363" s="17">
        <v>1009001.0</v>
      </c>
      <c r="B12363" s="17">
        <v>7340900.0</v>
      </c>
    </row>
    <row r="12364">
      <c r="A12364" s="17">
        <v>1009001.0</v>
      </c>
      <c r="B12364" s="17">
        <v>7341000.0</v>
      </c>
    </row>
    <row r="12365">
      <c r="A12365" s="17">
        <v>1009001.0</v>
      </c>
      <c r="B12365" s="17">
        <v>7341100.0</v>
      </c>
    </row>
    <row r="12366">
      <c r="A12366" s="17">
        <v>1009001.0</v>
      </c>
      <c r="B12366" s="17">
        <v>7341200.0</v>
      </c>
    </row>
    <row r="12367">
      <c r="A12367" s="17">
        <v>1009001.0</v>
      </c>
      <c r="B12367" s="17">
        <v>7341300.0</v>
      </c>
    </row>
    <row r="12368">
      <c r="A12368" s="17">
        <v>1009001.0</v>
      </c>
      <c r="B12368" s="17">
        <v>7341400.0</v>
      </c>
    </row>
    <row r="12369">
      <c r="A12369" s="17">
        <v>1009001.0</v>
      </c>
      <c r="B12369" s="17">
        <v>7341500.0</v>
      </c>
    </row>
    <row r="12370">
      <c r="A12370" s="17">
        <v>1009001.0</v>
      </c>
      <c r="B12370" s="17">
        <v>7341700.0</v>
      </c>
    </row>
    <row r="12371">
      <c r="A12371" s="17">
        <v>1009001.0</v>
      </c>
      <c r="B12371" s="17">
        <v>7341800.0</v>
      </c>
    </row>
    <row r="12372">
      <c r="A12372" s="17">
        <v>1009001.0</v>
      </c>
      <c r="B12372" s="17">
        <v>7341900.0</v>
      </c>
    </row>
    <row r="12373">
      <c r="A12373" s="17">
        <v>1009001.0</v>
      </c>
      <c r="B12373" s="17">
        <v>7342000.0</v>
      </c>
    </row>
    <row r="12374">
      <c r="A12374" s="17">
        <v>1009001.0</v>
      </c>
      <c r="B12374" s="17">
        <v>7342100.0</v>
      </c>
    </row>
    <row r="12375">
      <c r="A12375" s="17">
        <v>1009001.0</v>
      </c>
      <c r="B12375" s="17">
        <v>7342200.0</v>
      </c>
    </row>
    <row r="12376">
      <c r="A12376" s="17">
        <v>1009001.0</v>
      </c>
      <c r="B12376" s="17">
        <v>7342300.0</v>
      </c>
    </row>
    <row r="12377">
      <c r="A12377" s="17">
        <v>1009001.0</v>
      </c>
      <c r="B12377" s="17">
        <v>7342400.0</v>
      </c>
    </row>
    <row r="12378">
      <c r="A12378" s="17">
        <v>1009001.0</v>
      </c>
      <c r="B12378" s="17">
        <v>7350000.0</v>
      </c>
    </row>
    <row r="12379">
      <c r="A12379" s="17">
        <v>1009001.0</v>
      </c>
      <c r="B12379" s="17">
        <v>7350100.0</v>
      </c>
    </row>
    <row r="12380">
      <c r="A12380" s="17">
        <v>1009001.0</v>
      </c>
      <c r="B12380" s="17">
        <v>7350200.0</v>
      </c>
    </row>
    <row r="12381">
      <c r="A12381" s="17">
        <v>1009001.0</v>
      </c>
      <c r="B12381" s="17">
        <v>7350300.0</v>
      </c>
    </row>
    <row r="12382">
      <c r="A12382" s="17">
        <v>1009001.0</v>
      </c>
      <c r="B12382" s="17">
        <v>7350400.0</v>
      </c>
    </row>
    <row r="12383">
      <c r="A12383" s="17">
        <v>1009001.0</v>
      </c>
      <c r="B12383" s="17">
        <v>7350500.0</v>
      </c>
    </row>
    <row r="12384">
      <c r="A12384" s="17">
        <v>1009001.0</v>
      </c>
      <c r="B12384" s="17">
        <v>7350600.0</v>
      </c>
    </row>
    <row r="12385">
      <c r="A12385" s="17">
        <v>1009001.0</v>
      </c>
      <c r="B12385" s="17">
        <v>7350700.0</v>
      </c>
    </row>
    <row r="12386">
      <c r="A12386" s="17">
        <v>1009001.0</v>
      </c>
      <c r="B12386" s="17">
        <v>7350800.0</v>
      </c>
    </row>
    <row r="12387">
      <c r="A12387" s="17">
        <v>1009001.0</v>
      </c>
      <c r="B12387" s="17">
        <v>7350900.0</v>
      </c>
    </row>
    <row r="12388">
      <c r="A12388" s="17">
        <v>1009001.0</v>
      </c>
      <c r="B12388" s="17">
        <v>7351000.0</v>
      </c>
    </row>
    <row r="12389">
      <c r="A12389" s="17">
        <v>1009001.0</v>
      </c>
      <c r="B12389" s="17">
        <v>7351100.0</v>
      </c>
    </row>
    <row r="12390">
      <c r="A12390" s="17">
        <v>1009001.0</v>
      </c>
      <c r="B12390" s="17">
        <v>7351200.0</v>
      </c>
    </row>
    <row r="12391">
      <c r="A12391" s="17">
        <v>1009001.0</v>
      </c>
      <c r="B12391" s="17">
        <v>7351300.0</v>
      </c>
    </row>
    <row r="12392">
      <c r="A12392" s="17">
        <v>1009001.0</v>
      </c>
      <c r="B12392" s="17">
        <v>7351400.0</v>
      </c>
    </row>
    <row r="12393">
      <c r="A12393" s="17">
        <v>1009001.0</v>
      </c>
      <c r="B12393" s="17">
        <v>7351500.0</v>
      </c>
    </row>
    <row r="12394">
      <c r="A12394" s="17">
        <v>1009001.0</v>
      </c>
      <c r="B12394" s="17">
        <v>7351700.0</v>
      </c>
    </row>
    <row r="12395">
      <c r="A12395" s="17">
        <v>1009001.0</v>
      </c>
      <c r="B12395" s="17">
        <v>7351800.0</v>
      </c>
    </row>
    <row r="12396">
      <c r="A12396" s="17">
        <v>1009001.0</v>
      </c>
      <c r="B12396" s="17">
        <v>7351900.0</v>
      </c>
    </row>
    <row r="12397">
      <c r="A12397" s="17">
        <v>1009001.0</v>
      </c>
      <c r="B12397" s="17">
        <v>7352000.0</v>
      </c>
    </row>
    <row r="12398">
      <c r="A12398" s="17">
        <v>1009001.0</v>
      </c>
      <c r="B12398" s="17">
        <v>7352100.0</v>
      </c>
    </row>
    <row r="12399">
      <c r="A12399" s="17">
        <v>1009001.0</v>
      </c>
      <c r="B12399" s="17">
        <v>7352200.0</v>
      </c>
    </row>
    <row r="12400">
      <c r="A12400" s="17">
        <v>1009001.0</v>
      </c>
      <c r="B12400" s="17">
        <v>7352300.0</v>
      </c>
    </row>
    <row r="12401">
      <c r="A12401" s="17">
        <v>1009001.0</v>
      </c>
      <c r="B12401" s="17">
        <v>7352400.0</v>
      </c>
    </row>
    <row r="12402">
      <c r="A12402" s="17">
        <v>1009001.0</v>
      </c>
      <c r="B12402" s="17">
        <v>7360600.0</v>
      </c>
    </row>
    <row r="12403">
      <c r="A12403" s="17">
        <v>1009001.0</v>
      </c>
      <c r="B12403" s="17">
        <v>7360900.0</v>
      </c>
    </row>
    <row r="12404">
      <c r="A12404" s="17">
        <v>1009001.0</v>
      </c>
      <c r="B12404" s="17">
        <v>7361200.0</v>
      </c>
    </row>
    <row r="12405">
      <c r="A12405" s="17">
        <v>1009001.0</v>
      </c>
      <c r="B12405" s="17">
        <v>7361300.0</v>
      </c>
    </row>
    <row r="12406">
      <c r="A12406" s="17">
        <v>1009001.0</v>
      </c>
      <c r="B12406" s="17">
        <v>7362100.0</v>
      </c>
    </row>
    <row r="12407">
      <c r="A12407" s="17">
        <v>1009001.0</v>
      </c>
      <c r="B12407" s="17">
        <v>7370300.0</v>
      </c>
    </row>
    <row r="12408">
      <c r="A12408" s="17">
        <v>1009001.0</v>
      </c>
      <c r="B12408" s="17">
        <v>7370400.0</v>
      </c>
    </row>
    <row r="12409">
      <c r="A12409" s="17">
        <v>1009001.0</v>
      </c>
      <c r="B12409" s="17">
        <v>7370600.0</v>
      </c>
    </row>
    <row r="12410">
      <c r="A12410" s="17">
        <v>1009001.0</v>
      </c>
      <c r="B12410" s="17">
        <v>7370900.0</v>
      </c>
    </row>
    <row r="12411">
      <c r="A12411" s="17">
        <v>1009001.0</v>
      </c>
      <c r="B12411" s="17">
        <v>7371500.0</v>
      </c>
    </row>
    <row r="12412">
      <c r="A12412" s="17">
        <v>1009001.0</v>
      </c>
      <c r="B12412" s="17">
        <v>7036200.0</v>
      </c>
    </row>
    <row r="12413">
      <c r="A12413" s="17">
        <v>1009001.0</v>
      </c>
      <c r="B12413" s="17">
        <v>7036300.0</v>
      </c>
    </row>
    <row r="12414">
      <c r="A12414" s="17">
        <v>1009001.0</v>
      </c>
      <c r="B12414" s="17">
        <v>7036400.0</v>
      </c>
    </row>
    <row r="12415">
      <c r="A12415" s="17">
        <v>1009001.0</v>
      </c>
      <c r="B12415" s="17">
        <v>7036500.0</v>
      </c>
    </row>
    <row r="12416">
      <c r="A12416" s="17">
        <v>1009001.0</v>
      </c>
      <c r="B12416" s="17">
        <v>7036800.0</v>
      </c>
    </row>
    <row r="12417">
      <c r="A12417" s="17">
        <v>1009001.0</v>
      </c>
      <c r="B12417" s="17">
        <v>7036900.0</v>
      </c>
    </row>
    <row r="12418">
      <c r="A12418" s="17">
        <v>1009001.0</v>
      </c>
      <c r="B12418" s="17">
        <v>7037000.0</v>
      </c>
    </row>
    <row r="12419">
      <c r="A12419" s="17">
        <v>1009001.0</v>
      </c>
      <c r="B12419" s="17">
        <v>7037300.0</v>
      </c>
    </row>
    <row r="12420">
      <c r="A12420" s="17">
        <v>1009001.0</v>
      </c>
      <c r="B12420" s="17">
        <v>6630000.0</v>
      </c>
    </row>
    <row r="12421">
      <c r="A12421" s="17">
        <v>1009001.0</v>
      </c>
      <c r="B12421" s="17">
        <v>6630100.0</v>
      </c>
    </row>
    <row r="12422">
      <c r="A12422" s="17">
        <v>1009001.0</v>
      </c>
      <c r="B12422" s="17">
        <v>6630200.0</v>
      </c>
    </row>
    <row r="12423">
      <c r="A12423" s="17">
        <v>1009001.0</v>
      </c>
      <c r="B12423" s="17">
        <v>6630300.0</v>
      </c>
    </row>
    <row r="12424">
      <c r="A12424" s="17">
        <v>1009001.0</v>
      </c>
      <c r="B12424" s="17">
        <v>6630400.0</v>
      </c>
    </row>
    <row r="12425">
      <c r="A12425" s="17">
        <v>1009001.0</v>
      </c>
      <c r="B12425" s="17">
        <v>6630500.0</v>
      </c>
    </row>
    <row r="12426">
      <c r="A12426" s="17">
        <v>1009001.0</v>
      </c>
      <c r="B12426" s="17">
        <v>6630600.0</v>
      </c>
    </row>
    <row r="12427">
      <c r="A12427" s="17">
        <v>1009001.0</v>
      </c>
      <c r="B12427" s="17">
        <v>6630700.0</v>
      </c>
    </row>
    <row r="12428">
      <c r="A12428" s="17">
        <v>1009001.0</v>
      </c>
      <c r="B12428" s="17">
        <v>6630800.0</v>
      </c>
    </row>
    <row r="12429">
      <c r="A12429" s="17">
        <v>1009001.0</v>
      </c>
      <c r="B12429" s="17">
        <v>6630900.0</v>
      </c>
    </row>
    <row r="12430">
      <c r="A12430" s="17">
        <v>1009001.0</v>
      </c>
      <c r="B12430" s="17">
        <v>6631000.0</v>
      </c>
    </row>
    <row r="12431">
      <c r="A12431" s="17">
        <v>1009001.0</v>
      </c>
      <c r="B12431" s="17">
        <v>6631100.0</v>
      </c>
    </row>
    <row r="12432">
      <c r="A12432" s="17">
        <v>1009001.0</v>
      </c>
      <c r="B12432" s="17">
        <v>6631200.0</v>
      </c>
    </row>
    <row r="12433">
      <c r="A12433" s="17">
        <v>1009001.0</v>
      </c>
      <c r="B12433" s="17">
        <v>6631300.0</v>
      </c>
    </row>
    <row r="12434">
      <c r="A12434" s="17">
        <v>1009001.0</v>
      </c>
      <c r="B12434" s="17">
        <v>6631400.0</v>
      </c>
    </row>
    <row r="12435">
      <c r="A12435" s="17">
        <v>1009001.0</v>
      </c>
      <c r="B12435" s="17">
        <v>6631500.0</v>
      </c>
    </row>
    <row r="12436">
      <c r="A12436" s="17">
        <v>1009001.0</v>
      </c>
      <c r="B12436" s="17">
        <v>6631600.0</v>
      </c>
    </row>
    <row r="12437">
      <c r="A12437" s="17">
        <v>1009001.0</v>
      </c>
      <c r="B12437" s="17">
        <v>6631700.0</v>
      </c>
    </row>
    <row r="12438">
      <c r="A12438" s="17">
        <v>1009001.0</v>
      </c>
      <c r="B12438" s="17">
        <v>6631800.0</v>
      </c>
    </row>
    <row r="12439">
      <c r="A12439" s="17">
        <v>1009001.0</v>
      </c>
      <c r="B12439" s="17">
        <v>6631900.0</v>
      </c>
    </row>
    <row r="12440">
      <c r="A12440" s="17">
        <v>1009001.0</v>
      </c>
      <c r="B12440" s="17">
        <v>6632000.0</v>
      </c>
    </row>
    <row r="12441">
      <c r="A12441" s="17">
        <v>1009001.0</v>
      </c>
      <c r="B12441" s="17">
        <v>6632100.0</v>
      </c>
    </row>
    <row r="12442">
      <c r="A12442" s="17">
        <v>1009001.0</v>
      </c>
      <c r="B12442" s="17">
        <v>6632200.0</v>
      </c>
    </row>
    <row r="12443">
      <c r="A12443" s="17">
        <v>1009001.0</v>
      </c>
      <c r="B12443" s="17">
        <v>6632300.0</v>
      </c>
    </row>
    <row r="12444">
      <c r="A12444" s="17">
        <v>1009001.0</v>
      </c>
      <c r="B12444" s="17">
        <v>6632400.0</v>
      </c>
    </row>
    <row r="12445">
      <c r="A12445" s="17">
        <v>1009001.0</v>
      </c>
      <c r="B12445" s="17">
        <v>6632500.0</v>
      </c>
    </row>
    <row r="12446">
      <c r="A12446" s="17">
        <v>1009001.0</v>
      </c>
      <c r="B12446" s="17">
        <v>6632600.0</v>
      </c>
    </row>
    <row r="12447">
      <c r="A12447" s="17">
        <v>1009001.0</v>
      </c>
      <c r="B12447" s="17">
        <v>6632700.0</v>
      </c>
    </row>
    <row r="12448">
      <c r="A12448" s="17">
        <v>1009001.0</v>
      </c>
      <c r="B12448" s="17">
        <v>6632800.0</v>
      </c>
    </row>
    <row r="12449">
      <c r="A12449" s="17">
        <v>1009001.0</v>
      </c>
      <c r="B12449" s="17">
        <v>6632900.0</v>
      </c>
    </row>
    <row r="12450">
      <c r="A12450" s="17">
        <v>1009001.0</v>
      </c>
      <c r="B12450" s="17">
        <v>6633000.0</v>
      </c>
    </row>
    <row r="12451">
      <c r="A12451" s="17">
        <v>1009001.0</v>
      </c>
      <c r="B12451" s="17">
        <v>6633100.0</v>
      </c>
    </row>
    <row r="12452">
      <c r="A12452" s="17">
        <v>1009001.0</v>
      </c>
      <c r="B12452" s="17">
        <v>6633200.0</v>
      </c>
    </row>
    <row r="12453">
      <c r="A12453" s="17">
        <v>1009001.0</v>
      </c>
      <c r="B12453" s="17">
        <v>6647200.0</v>
      </c>
    </row>
    <row r="12454">
      <c r="A12454" s="17">
        <v>1009001.0</v>
      </c>
      <c r="B12454" s="17">
        <v>6647300.0</v>
      </c>
    </row>
    <row r="12455">
      <c r="A12455" s="17">
        <v>1009001.0</v>
      </c>
      <c r="B12455" s="17">
        <v>6647400.0</v>
      </c>
    </row>
    <row r="12456">
      <c r="A12456" s="17">
        <v>1009001.0</v>
      </c>
      <c r="B12456" s="17">
        <v>6647500.0</v>
      </c>
    </row>
    <row r="12457">
      <c r="A12457" s="17">
        <v>1009001.0</v>
      </c>
      <c r="B12457" s="17">
        <v>6640000.0</v>
      </c>
    </row>
    <row r="12458">
      <c r="A12458" s="17">
        <v>1009001.0</v>
      </c>
      <c r="B12458" s="17">
        <v>6640100.0</v>
      </c>
    </row>
    <row r="12459">
      <c r="A12459" s="17">
        <v>1009001.0</v>
      </c>
      <c r="B12459" s="17">
        <v>6641000.0</v>
      </c>
    </row>
    <row r="12460">
      <c r="A12460" s="17">
        <v>1009001.0</v>
      </c>
      <c r="B12460" s="17">
        <v>6641100.0</v>
      </c>
    </row>
    <row r="12461">
      <c r="A12461" s="17">
        <v>1009001.0</v>
      </c>
      <c r="B12461" s="17">
        <v>6642000.0</v>
      </c>
    </row>
    <row r="12462">
      <c r="A12462" s="17">
        <v>1009001.0</v>
      </c>
      <c r="B12462" s="17">
        <v>6642100.0</v>
      </c>
    </row>
    <row r="12463">
      <c r="A12463" s="17">
        <v>1009001.0</v>
      </c>
      <c r="B12463" s="17">
        <v>6643000.0</v>
      </c>
    </row>
    <row r="12464">
      <c r="A12464" s="17">
        <v>1009001.0</v>
      </c>
      <c r="B12464" s="17">
        <v>6643100.0</v>
      </c>
    </row>
    <row r="12465">
      <c r="A12465" s="17">
        <v>1009001.0</v>
      </c>
      <c r="B12465" s="17">
        <v>6644000.0</v>
      </c>
    </row>
    <row r="12466">
      <c r="A12466" s="17">
        <v>1009001.0</v>
      </c>
      <c r="B12466" s="17">
        <v>6644100.0</v>
      </c>
    </row>
    <row r="12467">
      <c r="A12467" s="17">
        <v>1009001.0</v>
      </c>
      <c r="B12467" s="17">
        <v>6645000.0</v>
      </c>
    </row>
    <row r="12468">
      <c r="A12468" s="17">
        <v>1009001.0</v>
      </c>
      <c r="B12468" s="17">
        <v>6645100.0</v>
      </c>
    </row>
    <row r="12469">
      <c r="A12469" s="17">
        <v>1009001.0</v>
      </c>
      <c r="B12469" s="17">
        <v>6646000.0</v>
      </c>
    </row>
    <row r="12470">
      <c r="A12470" s="17">
        <v>1009001.0</v>
      </c>
      <c r="B12470" s="17">
        <v>6646100.0</v>
      </c>
    </row>
    <row r="12471">
      <c r="A12471" s="17">
        <v>1009001.0</v>
      </c>
      <c r="B12471" s="17">
        <v>6647000.0</v>
      </c>
    </row>
    <row r="12472">
      <c r="A12472" s="17">
        <v>1009001.0</v>
      </c>
      <c r="B12472" s="17">
        <v>6647100.0</v>
      </c>
    </row>
    <row r="12473">
      <c r="A12473" s="17">
        <v>1009002.0</v>
      </c>
      <c r="B12473" s="17">
        <v>7000000.0</v>
      </c>
    </row>
    <row r="12474">
      <c r="A12474" s="17">
        <v>1009002.0</v>
      </c>
      <c r="B12474" s="17">
        <v>7000001.0</v>
      </c>
    </row>
    <row r="12475">
      <c r="A12475" s="17">
        <v>1009002.0</v>
      </c>
      <c r="B12475" s="17">
        <v>7000002.0</v>
      </c>
    </row>
    <row r="12476">
      <c r="A12476" s="17">
        <v>1009002.0</v>
      </c>
      <c r="B12476" s="17">
        <v>7000100.0</v>
      </c>
    </row>
    <row r="12477">
      <c r="A12477" s="17">
        <v>1009002.0</v>
      </c>
      <c r="B12477" s="17">
        <v>7000101.0</v>
      </c>
    </row>
    <row r="12478">
      <c r="A12478" s="17">
        <v>1009002.0</v>
      </c>
      <c r="B12478" s="17">
        <v>7000102.0</v>
      </c>
    </row>
    <row r="12479">
      <c r="A12479" s="17">
        <v>1009002.0</v>
      </c>
      <c r="B12479" s="17">
        <v>7000200.0</v>
      </c>
    </row>
    <row r="12480">
      <c r="A12480" s="17">
        <v>1009002.0</v>
      </c>
      <c r="B12480" s="17">
        <v>7000201.0</v>
      </c>
    </row>
    <row r="12481">
      <c r="A12481" s="17">
        <v>1009002.0</v>
      </c>
      <c r="B12481" s="17">
        <v>7000202.0</v>
      </c>
    </row>
    <row r="12482">
      <c r="A12482" s="17">
        <v>1009002.0</v>
      </c>
      <c r="B12482" s="17">
        <v>7000300.0</v>
      </c>
    </row>
    <row r="12483">
      <c r="A12483" s="17">
        <v>1009002.0</v>
      </c>
      <c r="B12483" s="17">
        <v>7000301.0</v>
      </c>
    </row>
    <row r="12484">
      <c r="A12484" s="17">
        <v>1009002.0</v>
      </c>
      <c r="B12484" s="17">
        <v>7000302.0</v>
      </c>
    </row>
    <row r="12485">
      <c r="A12485" s="17">
        <v>1009002.0</v>
      </c>
      <c r="B12485" s="17">
        <v>7000400.0</v>
      </c>
    </row>
    <row r="12486">
      <c r="A12486" s="17">
        <v>1009002.0</v>
      </c>
      <c r="B12486" s="17">
        <v>7000401.0</v>
      </c>
    </row>
    <row r="12487">
      <c r="A12487" s="17">
        <v>1009002.0</v>
      </c>
      <c r="B12487" s="17">
        <v>7000402.0</v>
      </c>
    </row>
    <row r="12488">
      <c r="A12488" s="17">
        <v>1009002.0</v>
      </c>
      <c r="B12488" s="17">
        <v>7000500.0</v>
      </c>
    </row>
    <row r="12489">
      <c r="A12489" s="17">
        <v>1009002.0</v>
      </c>
      <c r="B12489" s="17">
        <v>7000501.0</v>
      </c>
    </row>
    <row r="12490">
      <c r="A12490" s="17">
        <v>1009002.0</v>
      </c>
      <c r="B12490" s="17">
        <v>7000502.0</v>
      </c>
    </row>
    <row r="12491">
      <c r="A12491" s="17">
        <v>1009002.0</v>
      </c>
      <c r="B12491" s="17">
        <v>7000600.0</v>
      </c>
    </row>
    <row r="12492">
      <c r="A12492" s="17">
        <v>1009002.0</v>
      </c>
      <c r="B12492" s="17">
        <v>7000601.0</v>
      </c>
    </row>
    <row r="12493">
      <c r="A12493" s="17">
        <v>1009002.0</v>
      </c>
      <c r="B12493" s="17">
        <v>7000602.0</v>
      </c>
    </row>
    <row r="12494">
      <c r="A12494" s="17">
        <v>1009002.0</v>
      </c>
      <c r="B12494" s="17">
        <v>7000700.0</v>
      </c>
    </row>
    <row r="12495">
      <c r="A12495" s="17">
        <v>1009002.0</v>
      </c>
      <c r="B12495" s="17">
        <v>7000701.0</v>
      </c>
    </row>
    <row r="12496">
      <c r="A12496" s="17">
        <v>1009002.0</v>
      </c>
      <c r="B12496" s="17">
        <v>7000702.0</v>
      </c>
    </row>
    <row r="12497">
      <c r="A12497" s="17">
        <v>1009002.0</v>
      </c>
      <c r="B12497" s="17">
        <v>7000800.0</v>
      </c>
    </row>
    <row r="12498">
      <c r="A12498" s="17">
        <v>1009002.0</v>
      </c>
      <c r="B12498" s="17">
        <v>7000801.0</v>
      </c>
    </row>
    <row r="12499">
      <c r="A12499" s="17">
        <v>1009002.0</v>
      </c>
      <c r="B12499" s="17">
        <v>7000802.0</v>
      </c>
    </row>
    <row r="12500">
      <c r="A12500" s="17">
        <v>1009002.0</v>
      </c>
      <c r="B12500" s="17">
        <v>7000900.0</v>
      </c>
    </row>
    <row r="12501">
      <c r="A12501" s="17">
        <v>1009002.0</v>
      </c>
      <c r="B12501" s="17">
        <v>7000901.0</v>
      </c>
    </row>
    <row r="12502">
      <c r="A12502" s="17">
        <v>1009002.0</v>
      </c>
      <c r="B12502" s="17">
        <v>7000902.0</v>
      </c>
    </row>
    <row r="12503">
      <c r="A12503" s="17">
        <v>1009002.0</v>
      </c>
      <c r="B12503" s="17">
        <v>7001000.0</v>
      </c>
    </row>
    <row r="12504">
      <c r="A12504" s="17">
        <v>1009002.0</v>
      </c>
      <c r="B12504" s="17">
        <v>7001001.0</v>
      </c>
    </row>
    <row r="12505">
      <c r="A12505" s="17">
        <v>1009002.0</v>
      </c>
      <c r="B12505" s="17">
        <v>7001002.0</v>
      </c>
    </row>
    <row r="12506">
      <c r="A12506" s="17">
        <v>1009002.0</v>
      </c>
      <c r="B12506" s="17">
        <v>7001400.0</v>
      </c>
    </row>
    <row r="12507">
      <c r="A12507" s="17">
        <v>1009002.0</v>
      </c>
      <c r="B12507" s="17">
        <v>7001401.0</v>
      </c>
    </row>
    <row r="12508">
      <c r="A12508" s="17">
        <v>1009002.0</v>
      </c>
      <c r="B12508" s="17">
        <v>7001402.0</v>
      </c>
    </row>
    <row r="12509">
      <c r="A12509" s="17">
        <v>1009002.0</v>
      </c>
      <c r="B12509" s="17">
        <v>7001500.0</v>
      </c>
    </row>
    <row r="12510">
      <c r="A12510" s="17">
        <v>1009002.0</v>
      </c>
      <c r="B12510" s="17">
        <v>7001501.0</v>
      </c>
    </row>
    <row r="12511">
      <c r="A12511" s="17">
        <v>1009002.0</v>
      </c>
      <c r="B12511" s="17">
        <v>7001502.0</v>
      </c>
    </row>
    <row r="12512">
      <c r="A12512" s="17">
        <v>1009002.0</v>
      </c>
      <c r="B12512" s="17">
        <v>7001600.0</v>
      </c>
    </row>
    <row r="12513">
      <c r="A12513" s="17">
        <v>1009002.0</v>
      </c>
      <c r="B12513" s="17">
        <v>7001601.0</v>
      </c>
    </row>
    <row r="12514">
      <c r="A12514" s="17">
        <v>1009002.0</v>
      </c>
      <c r="B12514" s="17">
        <v>7001602.0</v>
      </c>
    </row>
    <row r="12515">
      <c r="A12515" s="17">
        <v>1009002.0</v>
      </c>
      <c r="B12515" s="17">
        <v>7001700.0</v>
      </c>
    </row>
    <row r="12516">
      <c r="A12516" s="17">
        <v>1009002.0</v>
      </c>
      <c r="B12516" s="17">
        <v>7001701.0</v>
      </c>
    </row>
    <row r="12517">
      <c r="A12517" s="17">
        <v>1009002.0</v>
      </c>
      <c r="B12517" s="17">
        <v>7001702.0</v>
      </c>
    </row>
    <row r="12518">
      <c r="A12518" s="17">
        <v>1009002.0</v>
      </c>
      <c r="B12518" s="17">
        <v>7001800.0</v>
      </c>
    </row>
    <row r="12519">
      <c r="A12519" s="17">
        <v>1009002.0</v>
      </c>
      <c r="B12519" s="17">
        <v>7001801.0</v>
      </c>
    </row>
    <row r="12520">
      <c r="A12520" s="17">
        <v>1009002.0</v>
      </c>
      <c r="B12520" s="17">
        <v>7001802.0</v>
      </c>
    </row>
    <row r="12521">
      <c r="A12521" s="17">
        <v>1009002.0</v>
      </c>
      <c r="B12521" s="17">
        <v>7002600.0</v>
      </c>
    </row>
    <row r="12522">
      <c r="A12522" s="17">
        <v>1009002.0</v>
      </c>
      <c r="B12522" s="17">
        <v>7002700.0</v>
      </c>
    </row>
    <row r="12523">
      <c r="A12523" s="17">
        <v>1009002.0</v>
      </c>
      <c r="B12523" s="17">
        <v>7002800.0</v>
      </c>
    </row>
    <row r="12524">
      <c r="A12524" s="17">
        <v>1009002.0</v>
      </c>
      <c r="B12524" s="17">
        <v>7002900.0</v>
      </c>
    </row>
    <row r="12525">
      <c r="A12525" s="17">
        <v>1009002.0</v>
      </c>
      <c r="B12525" s="17">
        <v>7003000.0</v>
      </c>
    </row>
    <row r="12526">
      <c r="A12526" s="17">
        <v>1009002.0</v>
      </c>
      <c r="B12526" s="17">
        <v>7003100.0</v>
      </c>
    </row>
    <row r="12527">
      <c r="A12527" s="17">
        <v>1009002.0</v>
      </c>
      <c r="B12527" s="17">
        <v>7003200.0</v>
      </c>
    </row>
    <row r="12528">
      <c r="A12528" s="17">
        <v>1009002.0</v>
      </c>
      <c r="B12528" s="17">
        <v>7003300.0</v>
      </c>
    </row>
    <row r="12529">
      <c r="A12529" s="17">
        <v>1009002.0</v>
      </c>
      <c r="B12529" s="17">
        <v>7003400.0</v>
      </c>
    </row>
    <row r="12530">
      <c r="A12530" s="17">
        <v>1009002.0</v>
      </c>
      <c r="B12530" s="17">
        <v>7003500.0</v>
      </c>
    </row>
    <row r="12531">
      <c r="A12531" s="17">
        <v>1009002.0</v>
      </c>
      <c r="B12531" s="17">
        <v>7003600.0</v>
      </c>
    </row>
    <row r="12532">
      <c r="A12532" s="17">
        <v>1009002.0</v>
      </c>
      <c r="B12532" s="17">
        <v>7005600.0</v>
      </c>
    </row>
    <row r="12533">
      <c r="A12533" s="17">
        <v>1009002.0</v>
      </c>
      <c r="B12533" s="17">
        <v>7006000.0</v>
      </c>
    </row>
    <row r="12534">
      <c r="A12534" s="17">
        <v>1009002.0</v>
      </c>
      <c r="B12534" s="17">
        <v>7006100.0</v>
      </c>
    </row>
    <row r="12535">
      <c r="A12535" s="17">
        <v>1009002.0</v>
      </c>
      <c r="B12535" s="17">
        <v>7010200.0</v>
      </c>
    </row>
    <row r="12536">
      <c r="A12536" s="17">
        <v>1009002.0</v>
      </c>
      <c r="B12536" s="17">
        <v>7010500.0</v>
      </c>
    </row>
    <row r="12537">
      <c r="A12537" s="17">
        <v>1009002.0</v>
      </c>
      <c r="B12537" s="17">
        <v>7010700.0</v>
      </c>
    </row>
    <row r="12538">
      <c r="A12538" s="17">
        <v>1009002.0</v>
      </c>
      <c r="B12538" s="17">
        <v>7010900.0</v>
      </c>
    </row>
    <row r="12539">
      <c r="A12539" s="17">
        <v>1009002.0</v>
      </c>
      <c r="B12539" s="17">
        <v>7011000.0</v>
      </c>
    </row>
    <row r="12540">
      <c r="A12540" s="17">
        <v>1009002.0</v>
      </c>
      <c r="B12540" s="17">
        <v>7011200.0</v>
      </c>
    </row>
    <row r="12541">
      <c r="A12541" s="17">
        <v>1009002.0</v>
      </c>
      <c r="B12541" s="17">
        <v>7011600.0</v>
      </c>
    </row>
    <row r="12542">
      <c r="A12542" s="17">
        <v>1009002.0</v>
      </c>
      <c r="B12542" s="17">
        <v>7011700.0</v>
      </c>
    </row>
    <row r="12543">
      <c r="A12543" s="17">
        <v>1009002.0</v>
      </c>
      <c r="B12543" s="17">
        <v>7012000.0</v>
      </c>
    </row>
    <row r="12544">
      <c r="A12544" s="17">
        <v>1009002.0</v>
      </c>
      <c r="B12544" s="17">
        <v>7012200.0</v>
      </c>
    </row>
    <row r="12545">
      <c r="A12545" s="17">
        <v>1009002.0</v>
      </c>
      <c r="B12545" s="17">
        <v>7012300.0</v>
      </c>
    </row>
    <row r="12546">
      <c r="A12546" s="17">
        <v>1009002.0</v>
      </c>
      <c r="B12546" s="17">
        <v>7020000.0</v>
      </c>
    </row>
    <row r="12547">
      <c r="A12547" s="17">
        <v>1009002.0</v>
      </c>
      <c r="B12547" s="17">
        <v>7030000.0</v>
      </c>
    </row>
    <row r="12548">
      <c r="A12548" s="17">
        <v>1009002.0</v>
      </c>
      <c r="B12548" s="17">
        <v>7030200.0</v>
      </c>
    </row>
    <row r="12549">
      <c r="A12549" s="17">
        <v>1009002.0</v>
      </c>
      <c r="B12549" s="17">
        <v>7030600.0</v>
      </c>
    </row>
    <row r="12550">
      <c r="A12550" s="17">
        <v>1009002.0</v>
      </c>
      <c r="B12550" s="17">
        <v>7030700.0</v>
      </c>
    </row>
    <row r="12551">
      <c r="A12551" s="17">
        <v>1009002.0</v>
      </c>
      <c r="B12551" s="17">
        <v>7030800.0</v>
      </c>
    </row>
    <row r="12552">
      <c r="A12552" s="17">
        <v>1009002.0</v>
      </c>
      <c r="B12552" s="17">
        <v>7030900.0</v>
      </c>
    </row>
    <row r="12553">
      <c r="A12553" s="17">
        <v>1009002.0</v>
      </c>
      <c r="B12553" s="17">
        <v>7031200.0</v>
      </c>
    </row>
    <row r="12554">
      <c r="A12554" s="17">
        <v>1009002.0</v>
      </c>
      <c r="B12554" s="17">
        <v>7031300.0</v>
      </c>
    </row>
    <row r="12555">
      <c r="A12555" s="17">
        <v>1009002.0</v>
      </c>
      <c r="B12555" s="17">
        <v>7031800.0</v>
      </c>
    </row>
    <row r="12556">
      <c r="A12556" s="17">
        <v>1009002.0</v>
      </c>
      <c r="B12556" s="17">
        <v>7031900.0</v>
      </c>
    </row>
    <row r="12557">
      <c r="A12557" s="17">
        <v>1009002.0</v>
      </c>
      <c r="B12557" s="17">
        <v>7032200.0</v>
      </c>
    </row>
    <row r="12558">
      <c r="A12558" s="17">
        <v>1009002.0</v>
      </c>
      <c r="B12558" s="17">
        <v>7032400.0</v>
      </c>
    </row>
    <row r="12559">
      <c r="A12559" s="17">
        <v>1009002.0</v>
      </c>
      <c r="B12559" s="17">
        <v>7032700.0</v>
      </c>
    </row>
    <row r="12560">
      <c r="A12560" s="17">
        <v>1009002.0</v>
      </c>
      <c r="B12560" s="17">
        <v>7032800.0</v>
      </c>
    </row>
    <row r="12561">
      <c r="A12561" s="17">
        <v>1009002.0</v>
      </c>
      <c r="B12561" s="17">
        <v>7032900.0</v>
      </c>
    </row>
    <row r="12562">
      <c r="A12562" s="17">
        <v>1009002.0</v>
      </c>
      <c r="B12562" s="17">
        <v>7033200.0</v>
      </c>
    </row>
    <row r="12563">
      <c r="A12563" s="17">
        <v>1009002.0</v>
      </c>
      <c r="B12563" s="17">
        <v>7033400.0</v>
      </c>
    </row>
    <row r="12564">
      <c r="A12564" s="17">
        <v>1009002.0</v>
      </c>
      <c r="B12564" s="17">
        <v>7034100.0</v>
      </c>
    </row>
    <row r="12565">
      <c r="A12565" s="17">
        <v>1009002.0</v>
      </c>
      <c r="B12565" s="17">
        <v>7034400.0</v>
      </c>
    </row>
    <row r="12566">
      <c r="A12566" s="17">
        <v>1009002.0</v>
      </c>
      <c r="B12566" s="17">
        <v>7034500.0</v>
      </c>
    </row>
    <row r="12567">
      <c r="A12567" s="17">
        <v>1009002.0</v>
      </c>
      <c r="B12567" s="17">
        <v>7034600.0</v>
      </c>
    </row>
    <row r="12568">
      <c r="A12568" s="17">
        <v>1009002.0</v>
      </c>
      <c r="B12568" s="17">
        <v>7034700.0</v>
      </c>
    </row>
    <row r="12569">
      <c r="A12569" s="17">
        <v>1009002.0</v>
      </c>
      <c r="B12569" s="17">
        <v>7035100.0</v>
      </c>
    </row>
    <row r="12570">
      <c r="A12570" s="17">
        <v>1009002.0</v>
      </c>
      <c r="B12570" s="17">
        <v>7036100.0</v>
      </c>
    </row>
    <row r="12571">
      <c r="A12571" s="17">
        <v>1009002.0</v>
      </c>
      <c r="B12571" s="17">
        <v>7040000.0</v>
      </c>
    </row>
    <row r="12572">
      <c r="A12572" s="17">
        <v>1009002.0</v>
      </c>
      <c r="B12572" s="17">
        <v>7040100.0</v>
      </c>
    </row>
    <row r="12573">
      <c r="A12573" s="17">
        <v>1009002.0</v>
      </c>
      <c r="B12573" s="17">
        <v>7040200.0</v>
      </c>
    </row>
    <row r="12574">
      <c r="A12574" s="17">
        <v>1009002.0</v>
      </c>
      <c r="B12574" s="17">
        <v>7040300.0</v>
      </c>
    </row>
    <row r="12575">
      <c r="A12575" s="17">
        <v>1009002.0</v>
      </c>
      <c r="B12575" s="17">
        <v>7040400.0</v>
      </c>
    </row>
    <row r="12576">
      <c r="A12576" s="17">
        <v>1009002.0</v>
      </c>
      <c r="B12576" s="17">
        <v>7040500.0</v>
      </c>
    </row>
    <row r="12577">
      <c r="A12577" s="17">
        <v>1009002.0</v>
      </c>
      <c r="B12577" s="17">
        <v>7043000.0</v>
      </c>
    </row>
    <row r="12578">
      <c r="A12578" s="17">
        <v>1009002.0</v>
      </c>
      <c r="B12578" s="17">
        <v>7043100.0</v>
      </c>
    </row>
    <row r="12579">
      <c r="A12579" s="17">
        <v>1009002.0</v>
      </c>
      <c r="B12579" s="17">
        <v>7043200.0</v>
      </c>
    </row>
    <row r="12580">
      <c r="A12580" s="17">
        <v>1009002.0</v>
      </c>
      <c r="B12580" s="17">
        <v>7043300.0</v>
      </c>
    </row>
    <row r="12581">
      <c r="A12581" s="17">
        <v>1009002.0</v>
      </c>
      <c r="B12581" s="17">
        <v>7043400.0</v>
      </c>
    </row>
    <row r="12582">
      <c r="A12582" s="17">
        <v>1009002.0</v>
      </c>
      <c r="B12582" s="17">
        <v>7043500.0</v>
      </c>
    </row>
    <row r="12583">
      <c r="A12583" s="17">
        <v>1009002.0</v>
      </c>
      <c r="B12583" s="17">
        <v>7043600.0</v>
      </c>
    </row>
    <row r="12584">
      <c r="A12584" s="17">
        <v>1009002.0</v>
      </c>
      <c r="B12584" s="17">
        <v>7043700.0</v>
      </c>
    </row>
    <row r="12585">
      <c r="A12585" s="17">
        <v>1009002.0</v>
      </c>
      <c r="B12585" s="17">
        <v>7043800.0</v>
      </c>
    </row>
    <row r="12586">
      <c r="A12586" s="17">
        <v>1009002.0</v>
      </c>
      <c r="B12586" s="17">
        <v>7044000.0</v>
      </c>
    </row>
    <row r="12587">
      <c r="A12587" s="17">
        <v>1009002.0</v>
      </c>
      <c r="B12587" s="17">
        <v>7044100.0</v>
      </c>
    </row>
    <row r="12588">
      <c r="A12588" s="17">
        <v>1009002.0</v>
      </c>
      <c r="B12588" s="17">
        <v>7044200.0</v>
      </c>
    </row>
    <row r="12589">
      <c r="A12589" s="17">
        <v>1009002.0</v>
      </c>
      <c r="B12589" s="17">
        <v>7044300.0</v>
      </c>
    </row>
    <row r="12590">
      <c r="A12590" s="17">
        <v>1009002.0</v>
      </c>
      <c r="B12590" s="17">
        <v>7044400.0</v>
      </c>
    </row>
    <row r="12591">
      <c r="A12591" s="17">
        <v>1009002.0</v>
      </c>
      <c r="B12591" s="17">
        <v>7044500.0</v>
      </c>
    </row>
    <row r="12592">
      <c r="A12592" s="17">
        <v>1009002.0</v>
      </c>
      <c r="B12592" s="17">
        <v>7044600.0</v>
      </c>
    </row>
    <row r="12593">
      <c r="A12593" s="17">
        <v>1009002.0</v>
      </c>
      <c r="B12593" s="17">
        <v>7050000.0</v>
      </c>
    </row>
    <row r="12594">
      <c r="A12594" s="17">
        <v>1009002.0</v>
      </c>
      <c r="B12594" s="17">
        <v>7050100.0</v>
      </c>
    </row>
    <row r="12595">
      <c r="A12595" s="17">
        <v>1009002.0</v>
      </c>
      <c r="B12595" s="17">
        <v>7060000.0</v>
      </c>
    </row>
    <row r="12596">
      <c r="A12596" s="17">
        <v>1009002.0</v>
      </c>
      <c r="B12596" s="17">
        <v>7060100.0</v>
      </c>
    </row>
    <row r="12597">
      <c r="A12597" s="17">
        <v>1009002.0</v>
      </c>
      <c r="B12597" s="17">
        <v>7060200.0</v>
      </c>
    </row>
    <row r="12598">
      <c r="A12598" s="17">
        <v>1009002.0</v>
      </c>
      <c r="B12598" s="17">
        <v>7070000.0</v>
      </c>
    </row>
    <row r="12599">
      <c r="A12599" s="17">
        <v>1009002.0</v>
      </c>
      <c r="B12599" s="17">
        <v>7080000.0</v>
      </c>
    </row>
    <row r="12600">
      <c r="A12600" s="17">
        <v>1009002.0</v>
      </c>
      <c r="B12600" s="17">
        <v>7080100.0</v>
      </c>
    </row>
    <row r="12601">
      <c r="A12601" s="17">
        <v>1009002.0</v>
      </c>
      <c r="B12601" s="17">
        <v>7080200.0</v>
      </c>
    </row>
    <row r="12602">
      <c r="A12602" s="17">
        <v>1009002.0</v>
      </c>
      <c r="B12602" s="17">
        <v>7080300.0</v>
      </c>
    </row>
    <row r="12603">
      <c r="A12603" s="17">
        <v>1009002.0</v>
      </c>
      <c r="B12603" s="17">
        <v>7080400.0</v>
      </c>
    </row>
    <row r="12604">
      <c r="A12604" s="17">
        <v>1009002.0</v>
      </c>
      <c r="B12604" s="17">
        <v>7080500.0</v>
      </c>
    </row>
    <row r="12605">
      <c r="A12605" s="17">
        <v>1009002.0</v>
      </c>
      <c r="B12605" s="17">
        <v>7080600.0</v>
      </c>
    </row>
    <row r="12606">
      <c r="A12606" s="17">
        <v>1009002.0</v>
      </c>
      <c r="B12606" s="17">
        <v>7080700.0</v>
      </c>
    </row>
    <row r="12607">
      <c r="A12607" s="17">
        <v>1009002.0</v>
      </c>
      <c r="B12607" s="17">
        <v>7080800.0</v>
      </c>
    </row>
    <row r="12608">
      <c r="A12608" s="17">
        <v>1009002.0</v>
      </c>
      <c r="B12608" s="17">
        <v>7080900.0</v>
      </c>
    </row>
    <row r="12609">
      <c r="A12609" s="17">
        <v>1009002.0</v>
      </c>
      <c r="B12609" s="17">
        <v>7081000.0</v>
      </c>
    </row>
    <row r="12610">
      <c r="A12610" s="17">
        <v>1009002.0</v>
      </c>
      <c r="B12610" s="17">
        <v>7081100.0</v>
      </c>
    </row>
    <row r="12611">
      <c r="A12611" s="17">
        <v>1009002.0</v>
      </c>
      <c r="B12611" s="17">
        <v>7081200.0</v>
      </c>
    </row>
    <row r="12612">
      <c r="A12612" s="17">
        <v>1009002.0</v>
      </c>
      <c r="B12612" s="17">
        <v>7081300.0</v>
      </c>
    </row>
    <row r="12613">
      <c r="A12613" s="17">
        <v>1009002.0</v>
      </c>
      <c r="B12613" s="17">
        <v>7081400.0</v>
      </c>
    </row>
    <row r="12614">
      <c r="A12614" s="17">
        <v>1009002.0</v>
      </c>
      <c r="B12614" s="17">
        <v>7081500.0</v>
      </c>
    </row>
    <row r="12615">
      <c r="A12615" s="17">
        <v>1009002.0</v>
      </c>
      <c r="B12615" s="17">
        <v>7081700.0</v>
      </c>
    </row>
    <row r="12616">
      <c r="A12616" s="17">
        <v>1009002.0</v>
      </c>
      <c r="B12616" s="17">
        <v>7081800.0</v>
      </c>
    </row>
    <row r="12617">
      <c r="A12617" s="17">
        <v>1009002.0</v>
      </c>
      <c r="B12617" s="17">
        <v>7081900.0</v>
      </c>
    </row>
    <row r="12618">
      <c r="A12618" s="17">
        <v>1009002.0</v>
      </c>
      <c r="B12618" s="17">
        <v>7082000.0</v>
      </c>
    </row>
    <row r="12619">
      <c r="A12619" s="17">
        <v>1009002.0</v>
      </c>
      <c r="B12619" s="17">
        <v>7082100.0</v>
      </c>
    </row>
    <row r="12620">
      <c r="A12620" s="17">
        <v>1009002.0</v>
      </c>
      <c r="B12620" s="17">
        <v>7082200.0</v>
      </c>
    </row>
    <row r="12621">
      <c r="A12621" s="17">
        <v>1009002.0</v>
      </c>
      <c r="B12621" s="17">
        <v>7082300.0</v>
      </c>
    </row>
    <row r="12622">
      <c r="A12622" s="17">
        <v>1009002.0</v>
      </c>
      <c r="B12622" s="17">
        <v>7082400.0</v>
      </c>
    </row>
    <row r="12623">
      <c r="A12623" s="17">
        <v>1009002.0</v>
      </c>
      <c r="B12623" s="17">
        <v>7082500.0</v>
      </c>
    </row>
    <row r="12624">
      <c r="A12624" s="17">
        <v>1009002.0</v>
      </c>
      <c r="B12624" s="17">
        <v>7082600.0</v>
      </c>
    </row>
    <row r="12625">
      <c r="A12625" s="17">
        <v>1009002.0</v>
      </c>
      <c r="B12625" s="17">
        <v>7082700.0</v>
      </c>
    </row>
    <row r="12626">
      <c r="A12626" s="17">
        <v>1009002.0</v>
      </c>
      <c r="B12626" s="17">
        <v>7082800.0</v>
      </c>
    </row>
    <row r="12627">
      <c r="A12627" s="17">
        <v>1009002.0</v>
      </c>
      <c r="B12627" s="17">
        <v>7082900.0</v>
      </c>
    </row>
    <row r="12628">
      <c r="A12628" s="17">
        <v>1009002.0</v>
      </c>
      <c r="B12628" s="17">
        <v>7090000.0</v>
      </c>
    </row>
    <row r="12629">
      <c r="A12629" s="17">
        <v>1009002.0</v>
      </c>
      <c r="B12629" s="17">
        <v>7090100.0</v>
      </c>
    </row>
    <row r="12630">
      <c r="A12630" s="17">
        <v>1009002.0</v>
      </c>
      <c r="B12630" s="17">
        <v>7090300.0</v>
      </c>
    </row>
    <row r="12631">
      <c r="A12631" s="17">
        <v>1009002.0</v>
      </c>
      <c r="B12631" s="17">
        <v>7100100.0</v>
      </c>
    </row>
    <row r="12632">
      <c r="A12632" s="17">
        <v>1009002.0</v>
      </c>
      <c r="B12632" s="17">
        <v>7110000.0</v>
      </c>
    </row>
    <row r="12633">
      <c r="A12633" s="17">
        <v>1009002.0</v>
      </c>
      <c r="B12633" s="17">
        <v>7120000.0</v>
      </c>
    </row>
    <row r="12634">
      <c r="A12634" s="17">
        <v>1009002.0</v>
      </c>
      <c r="B12634" s="17">
        <v>7120100.0</v>
      </c>
    </row>
    <row r="12635">
      <c r="A12635" s="17">
        <v>1009002.0</v>
      </c>
      <c r="B12635" s="17">
        <v>7120200.0</v>
      </c>
    </row>
    <row r="12636">
      <c r="A12636" s="17">
        <v>1009002.0</v>
      </c>
      <c r="B12636" s="17">
        <v>7120300.0</v>
      </c>
    </row>
    <row r="12637">
      <c r="A12637" s="17">
        <v>1009002.0</v>
      </c>
      <c r="B12637" s="17">
        <v>7120400.0</v>
      </c>
    </row>
    <row r="12638">
      <c r="A12638" s="17">
        <v>1009002.0</v>
      </c>
      <c r="B12638" s="17">
        <v>7120500.0</v>
      </c>
    </row>
    <row r="12639">
      <c r="A12639" s="17">
        <v>1009002.0</v>
      </c>
      <c r="B12639" s="17">
        <v>7120600.0</v>
      </c>
    </row>
    <row r="12640">
      <c r="A12640" s="17">
        <v>1009002.0</v>
      </c>
      <c r="B12640" s="17">
        <v>7120900.0</v>
      </c>
    </row>
    <row r="12641">
      <c r="A12641" s="17">
        <v>1009002.0</v>
      </c>
      <c r="B12641" s="17">
        <v>7121000.0</v>
      </c>
    </row>
    <row r="12642">
      <c r="A12642" s="17">
        <v>1009002.0</v>
      </c>
      <c r="B12642" s="17">
        <v>7121100.0</v>
      </c>
    </row>
    <row r="12643">
      <c r="A12643" s="17">
        <v>1009002.0</v>
      </c>
      <c r="B12643" s="17">
        <v>7121200.0</v>
      </c>
    </row>
    <row r="12644">
      <c r="A12644" s="17">
        <v>1009002.0</v>
      </c>
      <c r="B12644" s="17">
        <v>7121300.0</v>
      </c>
    </row>
    <row r="12645">
      <c r="A12645" s="17">
        <v>1009002.0</v>
      </c>
      <c r="B12645" s="17">
        <v>7121400.0</v>
      </c>
    </row>
    <row r="12646">
      <c r="A12646" s="17">
        <v>1009002.0</v>
      </c>
      <c r="B12646" s="17">
        <v>7121500.0</v>
      </c>
    </row>
    <row r="12647">
      <c r="A12647" s="17">
        <v>1009002.0</v>
      </c>
      <c r="B12647" s="17">
        <v>7121600.0</v>
      </c>
    </row>
    <row r="12648">
      <c r="A12648" s="17">
        <v>1009002.0</v>
      </c>
      <c r="B12648" s="17">
        <v>7121700.0</v>
      </c>
    </row>
    <row r="12649">
      <c r="A12649" s="17">
        <v>1009002.0</v>
      </c>
      <c r="B12649" s="17">
        <v>7121800.0</v>
      </c>
    </row>
    <row r="12650">
      <c r="A12650" s="17">
        <v>1009002.0</v>
      </c>
      <c r="B12650" s="17">
        <v>7121900.0</v>
      </c>
    </row>
    <row r="12651">
      <c r="A12651" s="17">
        <v>1009002.0</v>
      </c>
      <c r="B12651" s="17">
        <v>7122000.0</v>
      </c>
    </row>
    <row r="12652">
      <c r="A12652" s="17">
        <v>1009002.0</v>
      </c>
      <c r="B12652" s="17">
        <v>7122100.0</v>
      </c>
    </row>
    <row r="12653">
      <c r="A12653" s="17">
        <v>1009002.0</v>
      </c>
      <c r="B12653" s="17">
        <v>7122200.0</v>
      </c>
    </row>
    <row r="12654">
      <c r="A12654" s="17">
        <v>1009002.0</v>
      </c>
      <c r="B12654" s="17">
        <v>7122300.0</v>
      </c>
    </row>
    <row r="12655">
      <c r="A12655" s="17">
        <v>1009002.0</v>
      </c>
      <c r="B12655" s="17">
        <v>7122400.0</v>
      </c>
    </row>
    <row r="12656">
      <c r="A12656" s="17">
        <v>1009002.0</v>
      </c>
      <c r="B12656" s="17">
        <v>7122500.0</v>
      </c>
    </row>
    <row r="12657">
      <c r="A12657" s="17">
        <v>1009002.0</v>
      </c>
      <c r="B12657" s="17">
        <v>7122600.0</v>
      </c>
    </row>
    <row r="12658">
      <c r="A12658" s="17">
        <v>1009002.0</v>
      </c>
      <c r="B12658" s="17">
        <v>7122700.0</v>
      </c>
    </row>
    <row r="12659">
      <c r="A12659" s="17">
        <v>1009002.0</v>
      </c>
      <c r="B12659" s="17">
        <v>7122800.0</v>
      </c>
    </row>
    <row r="12660">
      <c r="A12660" s="17">
        <v>1009002.0</v>
      </c>
      <c r="B12660" s="17">
        <v>7122900.0</v>
      </c>
    </row>
    <row r="12661">
      <c r="A12661" s="17">
        <v>1009002.0</v>
      </c>
      <c r="B12661" s="17">
        <v>7123000.0</v>
      </c>
    </row>
    <row r="12662">
      <c r="A12662" s="17">
        <v>1009002.0</v>
      </c>
      <c r="B12662" s="17">
        <v>7123100.0</v>
      </c>
    </row>
    <row r="12663">
      <c r="A12663" s="17">
        <v>1009002.0</v>
      </c>
      <c r="B12663" s="17">
        <v>7123200.0</v>
      </c>
    </row>
    <row r="12664">
      <c r="A12664" s="17">
        <v>1009002.0</v>
      </c>
      <c r="B12664" s="17">
        <v>7123300.0</v>
      </c>
    </row>
    <row r="12665">
      <c r="A12665" s="17">
        <v>1009002.0</v>
      </c>
      <c r="B12665" s="17">
        <v>7123400.0</v>
      </c>
    </row>
    <row r="12666">
      <c r="A12666" s="17">
        <v>1009002.0</v>
      </c>
      <c r="B12666" s="17">
        <v>7123500.0</v>
      </c>
    </row>
    <row r="12667">
      <c r="A12667" s="17">
        <v>1009002.0</v>
      </c>
      <c r="B12667" s="17">
        <v>7123600.0</v>
      </c>
    </row>
    <row r="12668">
      <c r="A12668" s="17">
        <v>1009002.0</v>
      </c>
      <c r="B12668" s="17">
        <v>7123700.0</v>
      </c>
    </row>
    <row r="12669">
      <c r="A12669" s="17">
        <v>1009002.0</v>
      </c>
      <c r="B12669" s="17">
        <v>7123800.0</v>
      </c>
    </row>
    <row r="12670">
      <c r="A12670" s="17">
        <v>1009002.0</v>
      </c>
      <c r="B12670" s="17">
        <v>7123900.0</v>
      </c>
    </row>
    <row r="12671">
      <c r="A12671" s="17">
        <v>1009002.0</v>
      </c>
      <c r="B12671" s="17">
        <v>7124000.0</v>
      </c>
    </row>
    <row r="12672">
      <c r="A12672" s="17">
        <v>1009002.0</v>
      </c>
      <c r="B12672" s="17">
        <v>7124100.0</v>
      </c>
    </row>
    <row r="12673">
      <c r="A12673" s="17">
        <v>1009002.0</v>
      </c>
      <c r="B12673" s="17">
        <v>7124300.0</v>
      </c>
    </row>
    <row r="12674">
      <c r="A12674" s="17">
        <v>1009002.0</v>
      </c>
      <c r="B12674" s="17">
        <v>7124400.0</v>
      </c>
    </row>
    <row r="12675">
      <c r="A12675" s="17">
        <v>1009002.0</v>
      </c>
      <c r="B12675" s="17">
        <v>7124500.0</v>
      </c>
    </row>
    <row r="12676">
      <c r="A12676" s="17">
        <v>1009002.0</v>
      </c>
      <c r="B12676" s="17">
        <v>7124600.0</v>
      </c>
    </row>
    <row r="12677">
      <c r="A12677" s="17">
        <v>1009002.0</v>
      </c>
      <c r="B12677" s="17">
        <v>7124700.0</v>
      </c>
    </row>
    <row r="12678">
      <c r="A12678" s="17">
        <v>1009002.0</v>
      </c>
      <c r="B12678" s="17">
        <v>7126000.0</v>
      </c>
    </row>
    <row r="12679">
      <c r="A12679" s="17">
        <v>1009002.0</v>
      </c>
      <c r="B12679" s="17">
        <v>7150000.0</v>
      </c>
    </row>
    <row r="12680">
      <c r="A12680" s="17">
        <v>1009002.0</v>
      </c>
      <c r="B12680" s="17">
        <v>7160000.0</v>
      </c>
    </row>
    <row r="12681">
      <c r="A12681" s="17">
        <v>1009002.0</v>
      </c>
      <c r="B12681" s="17">
        <v>7220000.0</v>
      </c>
    </row>
    <row r="12682">
      <c r="A12682" s="17">
        <v>1009002.0</v>
      </c>
      <c r="B12682" s="17">
        <v>7230000.0</v>
      </c>
    </row>
    <row r="12683">
      <c r="A12683" s="17">
        <v>1009002.0</v>
      </c>
      <c r="B12683" s="17">
        <v>7240000.0</v>
      </c>
    </row>
    <row r="12684">
      <c r="A12684" s="17">
        <v>1009002.0</v>
      </c>
      <c r="B12684" s="17">
        <v>7260000.0</v>
      </c>
    </row>
    <row r="12685">
      <c r="A12685" s="17">
        <v>1009002.0</v>
      </c>
      <c r="B12685" s="17">
        <v>7260300.0</v>
      </c>
    </row>
    <row r="12686">
      <c r="A12686" s="17">
        <v>1009002.0</v>
      </c>
      <c r="B12686" s="17">
        <v>7260400.0</v>
      </c>
    </row>
    <row r="12687">
      <c r="A12687" s="17">
        <v>1009002.0</v>
      </c>
      <c r="B12687" s="17">
        <v>7270100.0</v>
      </c>
    </row>
    <row r="12688">
      <c r="A12688" s="17">
        <v>1009002.0</v>
      </c>
      <c r="B12688" s="17">
        <v>7280000.0</v>
      </c>
    </row>
    <row r="12689">
      <c r="A12689" s="17">
        <v>1009002.0</v>
      </c>
      <c r="B12689" s="17">
        <v>7290000.0</v>
      </c>
    </row>
    <row r="12690">
      <c r="A12690" s="17">
        <v>1009002.0</v>
      </c>
      <c r="B12690" s="17">
        <v>7310000.0</v>
      </c>
    </row>
    <row r="12691">
      <c r="A12691" s="17">
        <v>1009002.0</v>
      </c>
      <c r="B12691" s="17">
        <v>7330000.0</v>
      </c>
    </row>
    <row r="12692">
      <c r="A12692" s="17">
        <v>1009002.0</v>
      </c>
      <c r="B12692" s="17">
        <v>7330100.0</v>
      </c>
    </row>
    <row r="12693">
      <c r="A12693" s="17">
        <v>1009002.0</v>
      </c>
      <c r="B12693" s="17">
        <v>7330200.0</v>
      </c>
    </row>
    <row r="12694">
      <c r="A12694" s="17">
        <v>1009002.0</v>
      </c>
      <c r="B12694" s="17">
        <v>7330300.0</v>
      </c>
    </row>
    <row r="12695">
      <c r="A12695" s="17">
        <v>1009002.0</v>
      </c>
      <c r="B12695" s="17">
        <v>7330400.0</v>
      </c>
    </row>
    <row r="12696">
      <c r="A12696" s="17">
        <v>1009002.0</v>
      </c>
      <c r="B12696" s="17">
        <v>7330500.0</v>
      </c>
    </row>
    <row r="12697">
      <c r="A12697" s="17">
        <v>1009002.0</v>
      </c>
      <c r="B12697" s="17">
        <v>7330600.0</v>
      </c>
    </row>
    <row r="12698">
      <c r="A12698" s="17">
        <v>1009002.0</v>
      </c>
      <c r="B12698" s="17">
        <v>7330700.0</v>
      </c>
    </row>
    <row r="12699">
      <c r="A12699" s="17">
        <v>1009002.0</v>
      </c>
      <c r="B12699" s="17">
        <v>7330800.0</v>
      </c>
    </row>
    <row r="12700">
      <c r="A12700" s="17">
        <v>1009002.0</v>
      </c>
      <c r="B12700" s="17">
        <v>7330900.0</v>
      </c>
    </row>
    <row r="12701">
      <c r="A12701" s="17">
        <v>1009002.0</v>
      </c>
      <c r="B12701" s="17">
        <v>7331000.0</v>
      </c>
    </row>
    <row r="12702">
      <c r="A12702" s="17">
        <v>1009002.0</v>
      </c>
      <c r="B12702" s="17">
        <v>7331100.0</v>
      </c>
    </row>
    <row r="12703">
      <c r="A12703" s="17">
        <v>1009002.0</v>
      </c>
      <c r="B12703" s="17">
        <v>7331200.0</v>
      </c>
    </row>
    <row r="12704">
      <c r="A12704" s="17">
        <v>1009002.0</v>
      </c>
      <c r="B12704" s="17">
        <v>7331300.0</v>
      </c>
    </row>
    <row r="12705">
      <c r="A12705" s="17">
        <v>1009002.0</v>
      </c>
      <c r="B12705" s="17">
        <v>7331400.0</v>
      </c>
    </row>
    <row r="12706">
      <c r="A12706" s="17">
        <v>1009002.0</v>
      </c>
      <c r="B12706" s="17">
        <v>7331500.0</v>
      </c>
    </row>
    <row r="12707">
      <c r="A12707" s="17">
        <v>1009002.0</v>
      </c>
      <c r="B12707" s="17">
        <v>7331700.0</v>
      </c>
    </row>
    <row r="12708">
      <c r="A12708" s="17">
        <v>1009002.0</v>
      </c>
      <c r="B12708" s="17">
        <v>7331800.0</v>
      </c>
    </row>
    <row r="12709">
      <c r="A12709" s="17">
        <v>1009002.0</v>
      </c>
      <c r="B12709" s="17">
        <v>7331900.0</v>
      </c>
    </row>
    <row r="12710">
      <c r="A12710" s="17">
        <v>1009002.0</v>
      </c>
      <c r="B12710" s="17">
        <v>7332000.0</v>
      </c>
    </row>
    <row r="12711">
      <c r="A12711" s="17">
        <v>1009002.0</v>
      </c>
      <c r="B12711" s="17">
        <v>7332100.0</v>
      </c>
    </row>
    <row r="12712">
      <c r="A12712" s="17">
        <v>1009002.0</v>
      </c>
      <c r="B12712" s="17">
        <v>7332200.0</v>
      </c>
    </row>
    <row r="12713">
      <c r="A12713" s="17">
        <v>1009002.0</v>
      </c>
      <c r="B12713" s="17">
        <v>7332300.0</v>
      </c>
    </row>
    <row r="12714">
      <c r="A12714" s="17">
        <v>1009002.0</v>
      </c>
      <c r="B12714" s="17">
        <v>7332400.0</v>
      </c>
    </row>
    <row r="12715">
      <c r="A12715" s="17">
        <v>1009002.0</v>
      </c>
      <c r="B12715" s="17">
        <v>7340000.0</v>
      </c>
    </row>
    <row r="12716">
      <c r="A12716" s="17">
        <v>1009002.0</v>
      </c>
      <c r="B12716" s="17">
        <v>7340100.0</v>
      </c>
    </row>
    <row r="12717">
      <c r="A12717" s="17">
        <v>1009002.0</v>
      </c>
      <c r="B12717" s="17">
        <v>7340200.0</v>
      </c>
    </row>
    <row r="12718">
      <c r="A12718" s="17">
        <v>1009002.0</v>
      </c>
      <c r="B12718" s="17">
        <v>7340300.0</v>
      </c>
    </row>
    <row r="12719">
      <c r="A12719" s="17">
        <v>1009002.0</v>
      </c>
      <c r="B12719" s="17">
        <v>7340400.0</v>
      </c>
    </row>
    <row r="12720">
      <c r="A12720" s="17">
        <v>1009002.0</v>
      </c>
      <c r="B12720" s="17">
        <v>7340500.0</v>
      </c>
    </row>
    <row r="12721">
      <c r="A12721" s="17">
        <v>1009002.0</v>
      </c>
      <c r="B12721" s="17">
        <v>7340600.0</v>
      </c>
    </row>
    <row r="12722">
      <c r="A12722" s="17">
        <v>1009002.0</v>
      </c>
      <c r="B12722" s="17">
        <v>7340700.0</v>
      </c>
    </row>
    <row r="12723">
      <c r="A12723" s="17">
        <v>1009002.0</v>
      </c>
      <c r="B12723" s="17">
        <v>7340800.0</v>
      </c>
    </row>
    <row r="12724">
      <c r="A12724" s="17">
        <v>1009002.0</v>
      </c>
      <c r="B12724" s="17">
        <v>7340900.0</v>
      </c>
    </row>
    <row r="12725">
      <c r="A12725" s="17">
        <v>1009002.0</v>
      </c>
      <c r="B12725" s="17">
        <v>7341000.0</v>
      </c>
    </row>
    <row r="12726">
      <c r="A12726" s="17">
        <v>1009002.0</v>
      </c>
      <c r="B12726" s="17">
        <v>7341100.0</v>
      </c>
    </row>
    <row r="12727">
      <c r="A12727" s="17">
        <v>1009002.0</v>
      </c>
      <c r="B12727" s="17">
        <v>7341200.0</v>
      </c>
    </row>
    <row r="12728">
      <c r="A12728" s="17">
        <v>1009002.0</v>
      </c>
      <c r="B12728" s="17">
        <v>7341300.0</v>
      </c>
    </row>
    <row r="12729">
      <c r="A12729" s="17">
        <v>1009002.0</v>
      </c>
      <c r="B12729" s="17">
        <v>7341400.0</v>
      </c>
    </row>
    <row r="12730">
      <c r="A12730" s="17">
        <v>1009002.0</v>
      </c>
      <c r="B12730" s="17">
        <v>7341500.0</v>
      </c>
    </row>
    <row r="12731">
      <c r="A12731" s="17">
        <v>1009002.0</v>
      </c>
      <c r="B12731" s="17">
        <v>7341700.0</v>
      </c>
    </row>
    <row r="12732">
      <c r="A12732" s="17">
        <v>1009002.0</v>
      </c>
      <c r="B12732" s="17">
        <v>7341800.0</v>
      </c>
    </row>
    <row r="12733">
      <c r="A12733" s="17">
        <v>1009002.0</v>
      </c>
      <c r="B12733" s="17">
        <v>7341900.0</v>
      </c>
    </row>
    <row r="12734">
      <c r="A12734" s="17">
        <v>1009002.0</v>
      </c>
      <c r="B12734" s="17">
        <v>7342000.0</v>
      </c>
    </row>
    <row r="12735">
      <c r="A12735" s="17">
        <v>1009002.0</v>
      </c>
      <c r="B12735" s="17">
        <v>7342100.0</v>
      </c>
    </row>
    <row r="12736">
      <c r="A12736" s="17">
        <v>1009002.0</v>
      </c>
      <c r="B12736" s="17">
        <v>7342200.0</v>
      </c>
    </row>
    <row r="12737">
      <c r="A12737" s="17">
        <v>1009002.0</v>
      </c>
      <c r="B12737" s="17">
        <v>7342300.0</v>
      </c>
    </row>
    <row r="12738">
      <c r="A12738" s="17">
        <v>1009002.0</v>
      </c>
      <c r="B12738" s="17">
        <v>7342400.0</v>
      </c>
    </row>
    <row r="12739">
      <c r="A12739" s="17">
        <v>1009002.0</v>
      </c>
      <c r="B12739" s="17">
        <v>7350000.0</v>
      </c>
    </row>
    <row r="12740">
      <c r="A12740" s="17">
        <v>1009002.0</v>
      </c>
      <c r="B12740" s="17">
        <v>7350100.0</v>
      </c>
    </row>
    <row r="12741">
      <c r="A12741" s="17">
        <v>1009002.0</v>
      </c>
      <c r="B12741" s="17">
        <v>7350200.0</v>
      </c>
    </row>
    <row r="12742">
      <c r="A12742" s="17">
        <v>1009002.0</v>
      </c>
      <c r="B12742" s="17">
        <v>7350300.0</v>
      </c>
    </row>
    <row r="12743">
      <c r="A12743" s="17">
        <v>1009002.0</v>
      </c>
      <c r="B12743" s="17">
        <v>7350400.0</v>
      </c>
    </row>
    <row r="12744">
      <c r="A12744" s="17">
        <v>1009002.0</v>
      </c>
      <c r="B12744" s="17">
        <v>7350500.0</v>
      </c>
    </row>
    <row r="12745">
      <c r="A12745" s="17">
        <v>1009002.0</v>
      </c>
      <c r="B12745" s="17">
        <v>7350600.0</v>
      </c>
    </row>
    <row r="12746">
      <c r="A12746" s="17">
        <v>1009002.0</v>
      </c>
      <c r="B12746" s="17">
        <v>7350700.0</v>
      </c>
    </row>
    <row r="12747">
      <c r="A12747" s="17">
        <v>1009002.0</v>
      </c>
      <c r="B12747" s="17">
        <v>7350800.0</v>
      </c>
    </row>
    <row r="12748">
      <c r="A12748" s="17">
        <v>1009002.0</v>
      </c>
      <c r="B12748" s="17">
        <v>7350900.0</v>
      </c>
    </row>
    <row r="12749">
      <c r="A12749" s="17">
        <v>1009002.0</v>
      </c>
      <c r="B12749" s="17">
        <v>7351000.0</v>
      </c>
    </row>
    <row r="12750">
      <c r="A12750" s="17">
        <v>1009002.0</v>
      </c>
      <c r="B12750" s="17">
        <v>7351100.0</v>
      </c>
    </row>
    <row r="12751">
      <c r="A12751" s="17">
        <v>1009002.0</v>
      </c>
      <c r="B12751" s="17">
        <v>7351200.0</v>
      </c>
    </row>
    <row r="12752">
      <c r="A12752" s="17">
        <v>1009002.0</v>
      </c>
      <c r="B12752" s="17">
        <v>7351300.0</v>
      </c>
    </row>
    <row r="12753">
      <c r="A12753" s="17">
        <v>1009002.0</v>
      </c>
      <c r="B12753" s="17">
        <v>7351400.0</v>
      </c>
    </row>
    <row r="12754">
      <c r="A12754" s="17">
        <v>1009002.0</v>
      </c>
      <c r="B12754" s="17">
        <v>7351500.0</v>
      </c>
    </row>
    <row r="12755">
      <c r="A12755" s="17">
        <v>1009002.0</v>
      </c>
      <c r="B12755" s="17">
        <v>7351700.0</v>
      </c>
    </row>
    <row r="12756">
      <c r="A12756" s="17">
        <v>1009002.0</v>
      </c>
      <c r="B12756" s="17">
        <v>7351800.0</v>
      </c>
    </row>
    <row r="12757">
      <c r="A12757" s="17">
        <v>1009002.0</v>
      </c>
      <c r="B12757" s="17">
        <v>7351900.0</v>
      </c>
    </row>
    <row r="12758">
      <c r="A12758" s="17">
        <v>1009002.0</v>
      </c>
      <c r="B12758" s="17">
        <v>7352000.0</v>
      </c>
    </row>
    <row r="12759">
      <c r="A12759" s="17">
        <v>1009002.0</v>
      </c>
      <c r="B12759" s="17">
        <v>7352100.0</v>
      </c>
    </row>
    <row r="12760">
      <c r="A12760" s="17">
        <v>1009002.0</v>
      </c>
      <c r="B12760" s="17">
        <v>7352200.0</v>
      </c>
    </row>
    <row r="12761">
      <c r="A12761" s="17">
        <v>1009002.0</v>
      </c>
      <c r="B12761" s="17">
        <v>7352300.0</v>
      </c>
    </row>
    <row r="12762">
      <c r="A12762" s="17">
        <v>1009002.0</v>
      </c>
      <c r="B12762" s="17">
        <v>7352400.0</v>
      </c>
    </row>
    <row r="12763">
      <c r="A12763" s="17">
        <v>1009002.0</v>
      </c>
      <c r="B12763" s="17">
        <v>7360600.0</v>
      </c>
    </row>
    <row r="12764">
      <c r="A12764" s="17">
        <v>1009002.0</v>
      </c>
      <c r="B12764" s="17">
        <v>7360900.0</v>
      </c>
    </row>
    <row r="12765">
      <c r="A12765" s="17">
        <v>1009002.0</v>
      </c>
      <c r="B12765" s="17">
        <v>7361200.0</v>
      </c>
    </row>
    <row r="12766">
      <c r="A12766" s="17">
        <v>1009002.0</v>
      </c>
      <c r="B12766" s="17">
        <v>7361300.0</v>
      </c>
    </row>
    <row r="12767">
      <c r="A12767" s="17">
        <v>1009002.0</v>
      </c>
      <c r="B12767" s="17">
        <v>7362100.0</v>
      </c>
    </row>
    <row r="12768">
      <c r="A12768" s="17">
        <v>1009002.0</v>
      </c>
      <c r="B12768" s="17">
        <v>7370300.0</v>
      </c>
    </row>
    <row r="12769">
      <c r="A12769" s="17">
        <v>1009002.0</v>
      </c>
      <c r="B12769" s="17">
        <v>7370400.0</v>
      </c>
    </row>
    <row r="12770">
      <c r="A12770" s="17">
        <v>1009002.0</v>
      </c>
      <c r="B12770" s="17">
        <v>7370600.0</v>
      </c>
    </row>
    <row r="12771">
      <c r="A12771" s="17">
        <v>1009002.0</v>
      </c>
      <c r="B12771" s="17">
        <v>7370900.0</v>
      </c>
    </row>
    <row r="12772">
      <c r="A12772" s="17">
        <v>1009002.0</v>
      </c>
      <c r="B12772" s="17">
        <v>7371500.0</v>
      </c>
    </row>
    <row r="12773">
      <c r="A12773" s="17">
        <v>1009002.0</v>
      </c>
      <c r="B12773" s="17">
        <v>7036200.0</v>
      </c>
    </row>
    <row r="12774">
      <c r="A12774" s="17">
        <v>1009002.0</v>
      </c>
      <c r="B12774" s="17">
        <v>7036300.0</v>
      </c>
    </row>
    <row r="12775">
      <c r="A12775" s="17">
        <v>1009002.0</v>
      </c>
      <c r="B12775" s="17">
        <v>7036400.0</v>
      </c>
    </row>
    <row r="12776">
      <c r="A12776" s="17">
        <v>1009002.0</v>
      </c>
      <c r="B12776" s="17">
        <v>7036500.0</v>
      </c>
    </row>
    <row r="12777">
      <c r="A12777" s="17">
        <v>1009002.0</v>
      </c>
      <c r="B12777" s="17">
        <v>7036800.0</v>
      </c>
    </row>
    <row r="12778">
      <c r="A12778" s="17">
        <v>1009002.0</v>
      </c>
      <c r="B12778" s="17">
        <v>7036900.0</v>
      </c>
    </row>
    <row r="12779">
      <c r="A12779" s="17">
        <v>1009002.0</v>
      </c>
      <c r="B12779" s="17">
        <v>7037000.0</v>
      </c>
    </row>
    <row r="12780">
      <c r="A12780" s="17">
        <v>1009002.0</v>
      </c>
      <c r="B12780" s="17">
        <v>7037300.0</v>
      </c>
    </row>
    <row r="12781">
      <c r="A12781" s="17">
        <v>1009002.0</v>
      </c>
      <c r="B12781" s="17">
        <v>6630000.0</v>
      </c>
    </row>
    <row r="12782">
      <c r="A12782" s="17">
        <v>1009002.0</v>
      </c>
      <c r="B12782" s="17">
        <v>6630100.0</v>
      </c>
    </row>
    <row r="12783">
      <c r="A12783" s="17">
        <v>1009002.0</v>
      </c>
      <c r="B12783" s="17">
        <v>6630200.0</v>
      </c>
    </row>
    <row r="12784">
      <c r="A12784" s="17">
        <v>1009002.0</v>
      </c>
      <c r="B12784" s="17">
        <v>6630300.0</v>
      </c>
    </row>
    <row r="12785">
      <c r="A12785" s="17">
        <v>1009002.0</v>
      </c>
      <c r="B12785" s="17">
        <v>6630400.0</v>
      </c>
    </row>
    <row r="12786">
      <c r="A12786" s="17">
        <v>1009002.0</v>
      </c>
      <c r="B12786" s="17">
        <v>6630500.0</v>
      </c>
    </row>
    <row r="12787">
      <c r="A12787" s="17">
        <v>1009002.0</v>
      </c>
      <c r="B12787" s="17">
        <v>6630600.0</v>
      </c>
    </row>
    <row r="12788">
      <c r="A12788" s="17">
        <v>1009002.0</v>
      </c>
      <c r="B12788" s="17">
        <v>6630700.0</v>
      </c>
    </row>
    <row r="12789">
      <c r="A12789" s="17">
        <v>1009002.0</v>
      </c>
      <c r="B12789" s="17">
        <v>6630800.0</v>
      </c>
    </row>
    <row r="12790">
      <c r="A12790" s="17">
        <v>1009002.0</v>
      </c>
      <c r="B12790" s="17">
        <v>6630900.0</v>
      </c>
    </row>
    <row r="12791">
      <c r="A12791" s="17">
        <v>1009002.0</v>
      </c>
      <c r="B12791" s="17">
        <v>6631000.0</v>
      </c>
    </row>
    <row r="12792">
      <c r="A12792" s="17">
        <v>1009002.0</v>
      </c>
      <c r="B12792" s="17">
        <v>6631100.0</v>
      </c>
    </row>
    <row r="12793">
      <c r="A12793" s="17">
        <v>1009002.0</v>
      </c>
      <c r="B12793" s="17">
        <v>6631200.0</v>
      </c>
    </row>
    <row r="12794">
      <c r="A12794" s="17">
        <v>1009002.0</v>
      </c>
      <c r="B12794" s="17">
        <v>6631300.0</v>
      </c>
    </row>
    <row r="12795">
      <c r="A12795" s="17">
        <v>1009002.0</v>
      </c>
      <c r="B12795" s="17">
        <v>6631400.0</v>
      </c>
    </row>
    <row r="12796">
      <c r="A12796" s="17">
        <v>1009002.0</v>
      </c>
      <c r="B12796" s="17">
        <v>6631500.0</v>
      </c>
    </row>
    <row r="12797">
      <c r="A12797" s="17">
        <v>1009002.0</v>
      </c>
      <c r="B12797" s="17">
        <v>6631600.0</v>
      </c>
    </row>
    <row r="12798">
      <c r="A12798" s="17">
        <v>1009002.0</v>
      </c>
      <c r="B12798" s="17">
        <v>6631700.0</v>
      </c>
    </row>
    <row r="12799">
      <c r="A12799" s="17">
        <v>1009002.0</v>
      </c>
      <c r="B12799" s="17">
        <v>6631800.0</v>
      </c>
    </row>
    <row r="12800">
      <c r="A12800" s="17">
        <v>1009002.0</v>
      </c>
      <c r="B12800" s="17">
        <v>6631900.0</v>
      </c>
    </row>
    <row r="12801">
      <c r="A12801" s="17">
        <v>1009002.0</v>
      </c>
      <c r="B12801" s="17">
        <v>6632000.0</v>
      </c>
    </row>
    <row r="12802">
      <c r="A12802" s="17">
        <v>1009002.0</v>
      </c>
      <c r="B12802" s="17">
        <v>6632100.0</v>
      </c>
    </row>
    <row r="12803">
      <c r="A12803" s="17">
        <v>1009002.0</v>
      </c>
      <c r="B12803" s="17">
        <v>6632200.0</v>
      </c>
    </row>
    <row r="12804">
      <c r="A12804" s="17">
        <v>1009002.0</v>
      </c>
      <c r="B12804" s="17">
        <v>6632300.0</v>
      </c>
    </row>
    <row r="12805">
      <c r="A12805" s="17">
        <v>1009002.0</v>
      </c>
      <c r="B12805" s="17">
        <v>6632400.0</v>
      </c>
    </row>
    <row r="12806">
      <c r="A12806" s="17">
        <v>1009002.0</v>
      </c>
      <c r="B12806" s="17">
        <v>6632500.0</v>
      </c>
    </row>
    <row r="12807">
      <c r="A12807" s="17">
        <v>1009002.0</v>
      </c>
      <c r="B12807" s="17">
        <v>6632600.0</v>
      </c>
    </row>
    <row r="12808">
      <c r="A12808" s="17">
        <v>1009002.0</v>
      </c>
      <c r="B12808" s="17">
        <v>6632700.0</v>
      </c>
    </row>
    <row r="12809">
      <c r="A12809" s="17">
        <v>1009002.0</v>
      </c>
      <c r="B12809" s="17">
        <v>6632800.0</v>
      </c>
    </row>
    <row r="12810">
      <c r="A12810" s="17">
        <v>1009002.0</v>
      </c>
      <c r="B12810" s="17">
        <v>6632900.0</v>
      </c>
    </row>
    <row r="12811">
      <c r="A12811" s="17">
        <v>1009002.0</v>
      </c>
      <c r="B12811" s="17">
        <v>6633000.0</v>
      </c>
    </row>
    <row r="12812">
      <c r="A12812" s="17">
        <v>1009002.0</v>
      </c>
      <c r="B12812" s="17">
        <v>6633100.0</v>
      </c>
    </row>
    <row r="12813">
      <c r="A12813" s="17">
        <v>1009002.0</v>
      </c>
      <c r="B12813" s="17">
        <v>6633200.0</v>
      </c>
    </row>
    <row r="12814">
      <c r="A12814" s="17">
        <v>1009002.0</v>
      </c>
      <c r="B12814" s="17">
        <v>6647200.0</v>
      </c>
    </row>
    <row r="12815">
      <c r="A12815" s="17">
        <v>1009002.0</v>
      </c>
      <c r="B12815" s="17">
        <v>6647300.0</v>
      </c>
    </row>
    <row r="12816">
      <c r="A12816" s="17">
        <v>1009002.0</v>
      </c>
      <c r="B12816" s="17">
        <v>6647400.0</v>
      </c>
    </row>
    <row r="12817">
      <c r="A12817" s="17">
        <v>1009002.0</v>
      </c>
      <c r="B12817" s="17">
        <v>6647500.0</v>
      </c>
    </row>
    <row r="12818">
      <c r="A12818" s="17">
        <v>1009002.0</v>
      </c>
      <c r="B12818" s="17">
        <v>6640000.0</v>
      </c>
    </row>
    <row r="12819">
      <c r="A12819" s="17">
        <v>1009002.0</v>
      </c>
      <c r="B12819" s="17">
        <v>6640100.0</v>
      </c>
    </row>
    <row r="12820">
      <c r="A12820" s="17">
        <v>1009002.0</v>
      </c>
      <c r="B12820" s="17">
        <v>6641000.0</v>
      </c>
    </row>
    <row r="12821">
      <c r="A12821" s="17">
        <v>1009002.0</v>
      </c>
      <c r="B12821" s="17">
        <v>6641100.0</v>
      </c>
    </row>
    <row r="12822">
      <c r="A12822" s="17">
        <v>1009002.0</v>
      </c>
      <c r="B12822" s="17">
        <v>6642000.0</v>
      </c>
    </row>
    <row r="12823">
      <c r="A12823" s="17">
        <v>1009002.0</v>
      </c>
      <c r="B12823" s="17">
        <v>6642100.0</v>
      </c>
    </row>
    <row r="12824">
      <c r="A12824" s="17">
        <v>1009002.0</v>
      </c>
      <c r="B12824" s="17">
        <v>6643000.0</v>
      </c>
    </row>
    <row r="12825">
      <c r="A12825" s="17">
        <v>1009002.0</v>
      </c>
      <c r="B12825" s="17">
        <v>6643100.0</v>
      </c>
    </row>
    <row r="12826">
      <c r="A12826" s="17">
        <v>1009002.0</v>
      </c>
      <c r="B12826" s="17">
        <v>6644000.0</v>
      </c>
    </row>
    <row r="12827">
      <c r="A12827" s="17">
        <v>1009002.0</v>
      </c>
      <c r="B12827" s="17">
        <v>6644100.0</v>
      </c>
    </row>
    <row r="12828">
      <c r="A12828" s="17">
        <v>1009002.0</v>
      </c>
      <c r="B12828" s="17">
        <v>6645000.0</v>
      </c>
    </row>
    <row r="12829">
      <c r="A12829" s="17">
        <v>1009002.0</v>
      </c>
      <c r="B12829" s="17">
        <v>6645100.0</v>
      </c>
    </row>
    <row r="12830">
      <c r="A12830" s="17">
        <v>1009002.0</v>
      </c>
      <c r="B12830" s="17">
        <v>6646000.0</v>
      </c>
    </row>
    <row r="12831">
      <c r="A12831" s="17">
        <v>1009002.0</v>
      </c>
      <c r="B12831" s="17">
        <v>6646100.0</v>
      </c>
    </row>
    <row r="12832">
      <c r="A12832" s="17">
        <v>1009002.0</v>
      </c>
      <c r="B12832" s="17">
        <v>6647000.0</v>
      </c>
    </row>
    <row r="12833">
      <c r="A12833" s="17">
        <v>1009002.0</v>
      </c>
      <c r="B12833" s="17">
        <v>6647100.0</v>
      </c>
    </row>
    <row r="12834">
      <c r="A12834" s="17">
        <v>2000000.0</v>
      </c>
      <c r="B12834" s="17">
        <v>7000000.0</v>
      </c>
    </row>
    <row r="12835">
      <c r="A12835" s="17">
        <v>2000000.0</v>
      </c>
      <c r="B12835" s="17">
        <v>7000001.0</v>
      </c>
    </row>
    <row r="12836">
      <c r="A12836" s="17">
        <v>2000000.0</v>
      </c>
      <c r="B12836" s="17">
        <v>7000002.0</v>
      </c>
    </row>
    <row r="12837">
      <c r="A12837" s="17">
        <v>2000000.0</v>
      </c>
      <c r="B12837" s="17">
        <v>7000100.0</v>
      </c>
    </row>
    <row r="12838">
      <c r="A12838" s="17">
        <v>2000000.0</v>
      </c>
      <c r="B12838" s="17">
        <v>7000101.0</v>
      </c>
    </row>
    <row r="12839">
      <c r="A12839" s="17">
        <v>2000000.0</v>
      </c>
      <c r="B12839" s="17">
        <v>7000102.0</v>
      </c>
    </row>
    <row r="12840">
      <c r="A12840" s="17">
        <v>2000000.0</v>
      </c>
      <c r="B12840" s="17">
        <v>7000200.0</v>
      </c>
    </row>
    <row r="12841">
      <c r="A12841" s="17">
        <v>2000000.0</v>
      </c>
      <c r="B12841" s="17">
        <v>7000201.0</v>
      </c>
    </row>
    <row r="12842">
      <c r="A12842" s="17">
        <v>2000000.0</v>
      </c>
      <c r="B12842" s="17">
        <v>7000202.0</v>
      </c>
    </row>
    <row r="12843">
      <c r="A12843" s="17">
        <v>2000000.0</v>
      </c>
      <c r="B12843" s="17">
        <v>7000300.0</v>
      </c>
    </row>
    <row r="12844">
      <c r="A12844" s="17">
        <v>2000000.0</v>
      </c>
      <c r="B12844" s="17">
        <v>7000301.0</v>
      </c>
    </row>
    <row r="12845">
      <c r="A12845" s="17">
        <v>2000000.0</v>
      </c>
      <c r="B12845" s="17">
        <v>7000302.0</v>
      </c>
    </row>
    <row r="12846">
      <c r="A12846" s="17">
        <v>2000000.0</v>
      </c>
      <c r="B12846" s="17">
        <v>7000400.0</v>
      </c>
    </row>
    <row r="12847">
      <c r="A12847" s="17">
        <v>2000000.0</v>
      </c>
      <c r="B12847" s="17">
        <v>7000401.0</v>
      </c>
    </row>
    <row r="12848">
      <c r="A12848" s="17">
        <v>2000000.0</v>
      </c>
      <c r="B12848" s="17">
        <v>7000402.0</v>
      </c>
    </row>
    <row r="12849">
      <c r="A12849" s="17">
        <v>2000000.0</v>
      </c>
      <c r="B12849" s="17">
        <v>7000500.0</v>
      </c>
    </row>
    <row r="12850">
      <c r="A12850" s="17">
        <v>2000000.0</v>
      </c>
      <c r="B12850" s="17">
        <v>7000501.0</v>
      </c>
    </row>
    <row r="12851">
      <c r="A12851" s="17">
        <v>2000000.0</v>
      </c>
      <c r="B12851" s="17">
        <v>7000502.0</v>
      </c>
    </row>
    <row r="12852">
      <c r="A12852" s="17">
        <v>2000000.0</v>
      </c>
      <c r="B12852" s="17">
        <v>7000600.0</v>
      </c>
    </row>
    <row r="12853">
      <c r="A12853" s="17">
        <v>2000000.0</v>
      </c>
      <c r="B12853" s="17">
        <v>7000601.0</v>
      </c>
    </row>
    <row r="12854">
      <c r="A12854" s="17">
        <v>2000000.0</v>
      </c>
      <c r="B12854" s="17">
        <v>7000602.0</v>
      </c>
    </row>
    <row r="12855">
      <c r="A12855" s="17">
        <v>2000000.0</v>
      </c>
      <c r="B12855" s="17">
        <v>7000700.0</v>
      </c>
    </row>
    <row r="12856">
      <c r="A12856" s="17">
        <v>2000000.0</v>
      </c>
      <c r="B12856" s="17">
        <v>7000701.0</v>
      </c>
    </row>
    <row r="12857">
      <c r="A12857" s="17">
        <v>2000000.0</v>
      </c>
      <c r="B12857" s="17">
        <v>7000702.0</v>
      </c>
    </row>
    <row r="12858">
      <c r="A12858" s="17">
        <v>2000000.0</v>
      </c>
      <c r="B12858" s="17">
        <v>7000800.0</v>
      </c>
    </row>
    <row r="12859">
      <c r="A12859" s="17">
        <v>2000000.0</v>
      </c>
      <c r="B12859" s="17">
        <v>7000801.0</v>
      </c>
    </row>
    <row r="12860">
      <c r="A12860" s="17">
        <v>2000000.0</v>
      </c>
      <c r="B12860" s="17">
        <v>7000802.0</v>
      </c>
    </row>
    <row r="12861">
      <c r="A12861" s="17">
        <v>2000000.0</v>
      </c>
      <c r="B12861" s="17">
        <v>7000900.0</v>
      </c>
    </row>
    <row r="12862">
      <c r="A12862" s="17">
        <v>2000000.0</v>
      </c>
      <c r="B12862" s="17">
        <v>7000901.0</v>
      </c>
    </row>
    <row r="12863">
      <c r="A12863" s="17">
        <v>2000000.0</v>
      </c>
      <c r="B12863" s="17">
        <v>7000902.0</v>
      </c>
    </row>
    <row r="12864">
      <c r="A12864" s="17">
        <v>2000000.0</v>
      </c>
      <c r="B12864" s="17">
        <v>7001000.0</v>
      </c>
    </row>
    <row r="12865">
      <c r="A12865" s="17">
        <v>2000000.0</v>
      </c>
      <c r="B12865" s="17">
        <v>7001001.0</v>
      </c>
    </row>
    <row r="12866">
      <c r="A12866" s="17">
        <v>2000000.0</v>
      </c>
      <c r="B12866" s="17">
        <v>7001002.0</v>
      </c>
    </row>
    <row r="12867">
      <c r="A12867" s="17">
        <v>2000000.0</v>
      </c>
      <c r="B12867" s="17">
        <v>7001400.0</v>
      </c>
    </row>
    <row r="12868">
      <c r="A12868" s="17">
        <v>2000000.0</v>
      </c>
      <c r="B12868" s="17">
        <v>7001401.0</v>
      </c>
    </row>
    <row r="12869">
      <c r="A12869" s="17">
        <v>2000000.0</v>
      </c>
      <c r="B12869" s="17">
        <v>7001402.0</v>
      </c>
    </row>
    <row r="12870">
      <c r="A12870" s="17">
        <v>2000000.0</v>
      </c>
      <c r="B12870" s="17">
        <v>7001500.0</v>
      </c>
    </row>
    <row r="12871">
      <c r="A12871" s="17">
        <v>2000000.0</v>
      </c>
      <c r="B12871" s="17">
        <v>7001501.0</v>
      </c>
    </row>
    <row r="12872">
      <c r="A12872" s="17">
        <v>2000000.0</v>
      </c>
      <c r="B12872" s="17">
        <v>7001502.0</v>
      </c>
    </row>
    <row r="12873">
      <c r="A12873" s="17">
        <v>2000000.0</v>
      </c>
      <c r="B12873" s="17">
        <v>7001600.0</v>
      </c>
    </row>
    <row r="12874">
      <c r="A12874" s="17">
        <v>2000000.0</v>
      </c>
      <c r="B12874" s="17">
        <v>7001601.0</v>
      </c>
    </row>
    <row r="12875">
      <c r="A12875" s="17">
        <v>2000000.0</v>
      </c>
      <c r="B12875" s="17">
        <v>7001602.0</v>
      </c>
    </row>
    <row r="12876">
      <c r="A12876" s="17">
        <v>2000000.0</v>
      </c>
      <c r="B12876" s="17">
        <v>7001700.0</v>
      </c>
    </row>
    <row r="12877">
      <c r="A12877" s="17">
        <v>2000000.0</v>
      </c>
      <c r="B12877" s="17">
        <v>7001701.0</v>
      </c>
    </row>
    <row r="12878">
      <c r="A12878" s="17">
        <v>2000000.0</v>
      </c>
      <c r="B12878" s="17">
        <v>7001702.0</v>
      </c>
    </row>
    <row r="12879">
      <c r="A12879" s="17">
        <v>2000000.0</v>
      </c>
      <c r="B12879" s="17">
        <v>7001800.0</v>
      </c>
    </row>
    <row r="12880">
      <c r="A12880" s="17">
        <v>2000000.0</v>
      </c>
      <c r="B12880" s="17">
        <v>7001801.0</v>
      </c>
    </row>
    <row r="12881">
      <c r="A12881" s="17">
        <v>2000000.0</v>
      </c>
      <c r="B12881" s="17">
        <v>7001802.0</v>
      </c>
    </row>
    <row r="12882">
      <c r="A12882" s="17">
        <v>2000000.0</v>
      </c>
      <c r="B12882" s="17">
        <v>7002600.0</v>
      </c>
    </row>
    <row r="12883">
      <c r="A12883" s="17">
        <v>2000000.0</v>
      </c>
      <c r="B12883" s="17">
        <v>7002700.0</v>
      </c>
    </row>
    <row r="12884">
      <c r="A12884" s="17">
        <v>2000000.0</v>
      </c>
      <c r="B12884" s="17">
        <v>7002800.0</v>
      </c>
    </row>
    <row r="12885">
      <c r="A12885" s="17">
        <v>2000000.0</v>
      </c>
      <c r="B12885" s="17">
        <v>7002900.0</v>
      </c>
    </row>
    <row r="12886">
      <c r="A12886" s="17">
        <v>2000000.0</v>
      </c>
      <c r="B12886" s="17">
        <v>7003000.0</v>
      </c>
    </row>
    <row r="12887">
      <c r="A12887" s="17">
        <v>2000000.0</v>
      </c>
      <c r="B12887" s="17">
        <v>7003100.0</v>
      </c>
    </row>
    <row r="12888">
      <c r="A12888" s="17">
        <v>2000000.0</v>
      </c>
      <c r="B12888" s="17">
        <v>7003200.0</v>
      </c>
    </row>
    <row r="12889">
      <c r="A12889" s="17">
        <v>2000000.0</v>
      </c>
      <c r="B12889" s="17">
        <v>7003300.0</v>
      </c>
    </row>
    <row r="12890">
      <c r="A12890" s="17">
        <v>2000000.0</v>
      </c>
      <c r="B12890" s="17">
        <v>7003400.0</v>
      </c>
    </row>
    <row r="12891">
      <c r="A12891" s="17">
        <v>2000000.0</v>
      </c>
      <c r="B12891" s="17">
        <v>7003500.0</v>
      </c>
    </row>
    <row r="12892">
      <c r="A12892" s="17">
        <v>2000000.0</v>
      </c>
      <c r="B12892" s="17">
        <v>7003600.0</v>
      </c>
    </row>
    <row r="12893">
      <c r="A12893" s="17">
        <v>2000000.0</v>
      </c>
      <c r="B12893" s="17">
        <v>7005600.0</v>
      </c>
    </row>
    <row r="12894">
      <c r="A12894" s="17">
        <v>2000000.0</v>
      </c>
      <c r="B12894" s="17">
        <v>7006000.0</v>
      </c>
    </row>
    <row r="12895">
      <c r="A12895" s="17">
        <v>2000000.0</v>
      </c>
      <c r="B12895" s="17">
        <v>7006100.0</v>
      </c>
    </row>
    <row r="12896">
      <c r="A12896" s="17">
        <v>2000000.0</v>
      </c>
      <c r="B12896" s="17">
        <v>7010200.0</v>
      </c>
    </row>
    <row r="12897">
      <c r="A12897" s="17">
        <v>2000000.0</v>
      </c>
      <c r="B12897" s="17">
        <v>7010500.0</v>
      </c>
    </row>
    <row r="12898">
      <c r="A12898" s="17">
        <v>2000000.0</v>
      </c>
      <c r="B12898" s="17">
        <v>7010700.0</v>
      </c>
    </row>
    <row r="12899">
      <c r="A12899" s="17">
        <v>2000000.0</v>
      </c>
      <c r="B12899" s="17">
        <v>7010900.0</v>
      </c>
    </row>
    <row r="12900">
      <c r="A12900" s="17">
        <v>2000000.0</v>
      </c>
      <c r="B12900" s="17">
        <v>7011000.0</v>
      </c>
    </row>
    <row r="12901">
      <c r="A12901" s="17">
        <v>2000000.0</v>
      </c>
      <c r="B12901" s="17">
        <v>7011200.0</v>
      </c>
    </row>
    <row r="12902">
      <c r="A12902" s="17">
        <v>2000000.0</v>
      </c>
      <c r="B12902" s="17">
        <v>7011600.0</v>
      </c>
    </row>
    <row r="12903">
      <c r="A12903" s="17">
        <v>2000000.0</v>
      </c>
      <c r="B12903" s="17">
        <v>7011700.0</v>
      </c>
    </row>
    <row r="12904">
      <c r="A12904" s="17">
        <v>2000000.0</v>
      </c>
      <c r="B12904" s="17">
        <v>7012000.0</v>
      </c>
    </row>
    <row r="12905">
      <c r="A12905" s="17">
        <v>2000000.0</v>
      </c>
      <c r="B12905" s="17">
        <v>7012200.0</v>
      </c>
    </row>
    <row r="12906">
      <c r="A12906" s="17">
        <v>2000000.0</v>
      </c>
      <c r="B12906" s="17">
        <v>7012300.0</v>
      </c>
    </row>
    <row r="12907">
      <c r="A12907" s="17">
        <v>2000000.0</v>
      </c>
      <c r="B12907" s="17">
        <v>7020000.0</v>
      </c>
    </row>
    <row r="12908">
      <c r="A12908" s="17">
        <v>2000000.0</v>
      </c>
      <c r="B12908" s="17">
        <v>7030000.0</v>
      </c>
    </row>
    <row r="12909">
      <c r="A12909" s="17">
        <v>2000000.0</v>
      </c>
      <c r="B12909" s="17">
        <v>7030200.0</v>
      </c>
    </row>
    <row r="12910">
      <c r="A12910" s="17">
        <v>2000000.0</v>
      </c>
      <c r="B12910" s="17">
        <v>7030600.0</v>
      </c>
    </row>
    <row r="12911">
      <c r="A12911" s="17">
        <v>2000000.0</v>
      </c>
      <c r="B12911" s="17">
        <v>7030700.0</v>
      </c>
    </row>
    <row r="12912">
      <c r="A12912" s="17">
        <v>2000000.0</v>
      </c>
      <c r="B12912" s="17">
        <v>7030800.0</v>
      </c>
    </row>
    <row r="12913">
      <c r="A12913" s="17">
        <v>2000000.0</v>
      </c>
      <c r="B12913" s="17">
        <v>7030900.0</v>
      </c>
    </row>
    <row r="12914">
      <c r="A12914" s="17">
        <v>2000000.0</v>
      </c>
      <c r="B12914" s="17">
        <v>7031200.0</v>
      </c>
    </row>
    <row r="12915">
      <c r="A12915" s="17">
        <v>2000000.0</v>
      </c>
      <c r="B12915" s="17">
        <v>7031300.0</v>
      </c>
    </row>
    <row r="12916">
      <c r="A12916" s="17">
        <v>2000000.0</v>
      </c>
      <c r="B12916" s="17">
        <v>7031800.0</v>
      </c>
    </row>
    <row r="12917">
      <c r="A12917" s="17">
        <v>2000000.0</v>
      </c>
      <c r="B12917" s="17">
        <v>7031900.0</v>
      </c>
    </row>
    <row r="12918">
      <c r="A12918" s="17">
        <v>2000000.0</v>
      </c>
      <c r="B12918" s="17">
        <v>7032200.0</v>
      </c>
    </row>
    <row r="12919">
      <c r="A12919" s="17">
        <v>2000000.0</v>
      </c>
      <c r="B12919" s="17">
        <v>7032400.0</v>
      </c>
    </row>
    <row r="12920">
      <c r="A12920" s="17">
        <v>2000000.0</v>
      </c>
      <c r="B12920" s="17">
        <v>7032700.0</v>
      </c>
    </row>
    <row r="12921">
      <c r="A12921" s="17">
        <v>2000000.0</v>
      </c>
      <c r="B12921" s="17">
        <v>7032800.0</v>
      </c>
    </row>
    <row r="12922">
      <c r="A12922" s="17">
        <v>2000000.0</v>
      </c>
      <c r="B12922" s="17">
        <v>7032900.0</v>
      </c>
    </row>
    <row r="12923">
      <c r="A12923" s="17">
        <v>2000000.0</v>
      </c>
      <c r="B12923" s="17">
        <v>7033200.0</v>
      </c>
    </row>
    <row r="12924">
      <c r="A12924" s="17">
        <v>2000000.0</v>
      </c>
      <c r="B12924" s="17">
        <v>7033400.0</v>
      </c>
    </row>
    <row r="12925">
      <c r="A12925" s="17">
        <v>2000000.0</v>
      </c>
      <c r="B12925" s="17">
        <v>7034100.0</v>
      </c>
    </row>
    <row r="12926">
      <c r="A12926" s="17">
        <v>2000000.0</v>
      </c>
      <c r="B12926" s="17">
        <v>7034400.0</v>
      </c>
    </row>
    <row r="12927">
      <c r="A12927" s="17">
        <v>2000000.0</v>
      </c>
      <c r="B12927" s="17">
        <v>7034500.0</v>
      </c>
    </row>
    <row r="12928">
      <c r="A12928" s="17">
        <v>2000000.0</v>
      </c>
      <c r="B12928" s="17">
        <v>7034600.0</v>
      </c>
    </row>
    <row r="12929">
      <c r="A12929" s="17">
        <v>2000000.0</v>
      </c>
      <c r="B12929" s="17">
        <v>7034700.0</v>
      </c>
    </row>
    <row r="12930">
      <c r="A12930" s="17">
        <v>2000000.0</v>
      </c>
      <c r="B12930" s="17">
        <v>7035100.0</v>
      </c>
    </row>
    <row r="12931">
      <c r="A12931" s="17">
        <v>2000000.0</v>
      </c>
      <c r="B12931" s="17">
        <v>7036100.0</v>
      </c>
    </row>
    <row r="12932">
      <c r="A12932" s="17">
        <v>2000000.0</v>
      </c>
      <c r="B12932" s="17">
        <v>7040000.0</v>
      </c>
    </row>
    <row r="12933">
      <c r="A12933" s="17">
        <v>2000000.0</v>
      </c>
      <c r="B12933" s="17">
        <v>7040100.0</v>
      </c>
    </row>
    <row r="12934">
      <c r="A12934" s="17">
        <v>2000000.0</v>
      </c>
      <c r="B12934" s="17">
        <v>7040200.0</v>
      </c>
    </row>
    <row r="12935">
      <c r="A12935" s="17">
        <v>2000000.0</v>
      </c>
      <c r="B12935" s="17">
        <v>7040300.0</v>
      </c>
    </row>
    <row r="12936">
      <c r="A12936" s="17">
        <v>2000000.0</v>
      </c>
      <c r="B12936" s="17">
        <v>7040400.0</v>
      </c>
    </row>
    <row r="12937">
      <c r="A12937" s="17">
        <v>2000000.0</v>
      </c>
      <c r="B12937" s="17">
        <v>7040500.0</v>
      </c>
    </row>
    <row r="12938">
      <c r="A12938" s="17">
        <v>2000000.0</v>
      </c>
      <c r="B12938" s="17">
        <v>7043000.0</v>
      </c>
    </row>
    <row r="12939">
      <c r="A12939" s="17">
        <v>2000000.0</v>
      </c>
      <c r="B12939" s="17">
        <v>7043100.0</v>
      </c>
    </row>
    <row r="12940">
      <c r="A12940" s="17">
        <v>2000000.0</v>
      </c>
      <c r="B12940" s="17">
        <v>7043200.0</v>
      </c>
    </row>
    <row r="12941">
      <c r="A12941" s="17">
        <v>2000000.0</v>
      </c>
      <c r="B12941" s="17">
        <v>7043300.0</v>
      </c>
    </row>
    <row r="12942">
      <c r="A12942" s="17">
        <v>2000000.0</v>
      </c>
      <c r="B12942" s="17">
        <v>7043400.0</v>
      </c>
    </row>
    <row r="12943">
      <c r="A12943" s="17">
        <v>2000000.0</v>
      </c>
      <c r="B12943" s="17">
        <v>7043500.0</v>
      </c>
    </row>
    <row r="12944">
      <c r="A12944" s="17">
        <v>2000000.0</v>
      </c>
      <c r="B12944" s="17">
        <v>7043600.0</v>
      </c>
    </row>
    <row r="12945">
      <c r="A12945" s="17">
        <v>2000000.0</v>
      </c>
      <c r="B12945" s="17">
        <v>7043700.0</v>
      </c>
    </row>
    <row r="12946">
      <c r="A12946" s="17">
        <v>2000000.0</v>
      </c>
      <c r="B12946" s="17">
        <v>7043800.0</v>
      </c>
    </row>
    <row r="12947">
      <c r="A12947" s="17">
        <v>2000000.0</v>
      </c>
      <c r="B12947" s="17">
        <v>7044000.0</v>
      </c>
    </row>
    <row r="12948">
      <c r="A12948" s="17">
        <v>2000000.0</v>
      </c>
      <c r="B12948" s="17">
        <v>7044100.0</v>
      </c>
    </row>
    <row r="12949">
      <c r="A12949" s="17">
        <v>2000000.0</v>
      </c>
      <c r="B12949" s="17">
        <v>7044200.0</v>
      </c>
    </row>
    <row r="12950">
      <c r="A12950" s="17">
        <v>2000000.0</v>
      </c>
      <c r="B12950" s="17">
        <v>7044300.0</v>
      </c>
    </row>
    <row r="12951">
      <c r="A12951" s="17">
        <v>2000000.0</v>
      </c>
      <c r="B12951" s="17">
        <v>7044400.0</v>
      </c>
    </row>
    <row r="12952">
      <c r="A12952" s="17">
        <v>2000000.0</v>
      </c>
      <c r="B12952" s="17">
        <v>7044500.0</v>
      </c>
    </row>
    <row r="12953">
      <c r="A12953" s="17">
        <v>2000000.0</v>
      </c>
      <c r="B12953" s="17">
        <v>7044600.0</v>
      </c>
    </row>
    <row r="12954">
      <c r="A12954" s="17">
        <v>2000000.0</v>
      </c>
      <c r="B12954" s="17">
        <v>7050000.0</v>
      </c>
    </row>
    <row r="12955">
      <c r="A12955" s="17">
        <v>2000000.0</v>
      </c>
      <c r="B12955" s="17">
        <v>7050100.0</v>
      </c>
    </row>
    <row r="12956">
      <c r="A12956" s="17">
        <v>2000000.0</v>
      </c>
      <c r="B12956" s="17">
        <v>7060000.0</v>
      </c>
    </row>
    <row r="12957">
      <c r="A12957" s="17">
        <v>2000000.0</v>
      </c>
      <c r="B12957" s="17">
        <v>7060100.0</v>
      </c>
    </row>
    <row r="12958">
      <c r="A12958" s="17">
        <v>2000000.0</v>
      </c>
      <c r="B12958" s="17">
        <v>7060200.0</v>
      </c>
    </row>
    <row r="12959">
      <c r="A12959" s="17">
        <v>2000000.0</v>
      </c>
      <c r="B12959" s="17">
        <v>7070000.0</v>
      </c>
    </row>
    <row r="12960">
      <c r="A12960" s="17">
        <v>2000000.0</v>
      </c>
      <c r="B12960" s="17">
        <v>7080000.0</v>
      </c>
    </row>
    <row r="12961">
      <c r="A12961" s="17">
        <v>2000000.0</v>
      </c>
      <c r="B12961" s="17">
        <v>7080100.0</v>
      </c>
    </row>
    <row r="12962">
      <c r="A12962" s="17">
        <v>2000000.0</v>
      </c>
      <c r="B12962" s="17">
        <v>7080200.0</v>
      </c>
    </row>
    <row r="12963">
      <c r="A12963" s="17">
        <v>2000000.0</v>
      </c>
      <c r="B12963" s="17">
        <v>7080300.0</v>
      </c>
    </row>
    <row r="12964">
      <c r="A12964" s="17">
        <v>2000000.0</v>
      </c>
      <c r="B12964" s="17">
        <v>7080400.0</v>
      </c>
    </row>
    <row r="12965">
      <c r="A12965" s="17">
        <v>2000000.0</v>
      </c>
      <c r="B12965" s="17">
        <v>7080500.0</v>
      </c>
    </row>
    <row r="12966">
      <c r="A12966" s="17">
        <v>2000000.0</v>
      </c>
      <c r="B12966" s="17">
        <v>7080600.0</v>
      </c>
    </row>
    <row r="12967">
      <c r="A12967" s="17">
        <v>2000000.0</v>
      </c>
      <c r="B12967" s="17">
        <v>7080700.0</v>
      </c>
    </row>
    <row r="12968">
      <c r="A12968" s="17">
        <v>2000000.0</v>
      </c>
      <c r="B12968" s="17">
        <v>7080800.0</v>
      </c>
    </row>
    <row r="12969">
      <c r="A12969" s="17">
        <v>2000000.0</v>
      </c>
      <c r="B12969" s="17">
        <v>7080900.0</v>
      </c>
    </row>
    <row r="12970">
      <c r="A12970" s="17">
        <v>2000000.0</v>
      </c>
      <c r="B12970" s="17">
        <v>7081000.0</v>
      </c>
    </row>
    <row r="12971">
      <c r="A12971" s="17">
        <v>2000000.0</v>
      </c>
      <c r="B12971" s="17">
        <v>7081100.0</v>
      </c>
    </row>
    <row r="12972">
      <c r="A12972" s="17">
        <v>2000000.0</v>
      </c>
      <c r="B12972" s="17">
        <v>7081200.0</v>
      </c>
    </row>
    <row r="12973">
      <c r="A12973" s="17">
        <v>2000000.0</v>
      </c>
      <c r="B12973" s="17">
        <v>7081300.0</v>
      </c>
    </row>
    <row r="12974">
      <c r="A12974" s="17">
        <v>2000000.0</v>
      </c>
      <c r="B12974" s="17">
        <v>7081400.0</v>
      </c>
    </row>
    <row r="12975">
      <c r="A12975" s="17">
        <v>2000000.0</v>
      </c>
      <c r="B12975" s="17">
        <v>7081500.0</v>
      </c>
    </row>
    <row r="12976">
      <c r="A12976" s="17">
        <v>2000000.0</v>
      </c>
      <c r="B12976" s="17">
        <v>7081700.0</v>
      </c>
    </row>
    <row r="12977">
      <c r="A12977" s="17">
        <v>2000000.0</v>
      </c>
      <c r="B12977" s="17">
        <v>7081800.0</v>
      </c>
    </row>
    <row r="12978">
      <c r="A12978" s="17">
        <v>2000000.0</v>
      </c>
      <c r="B12978" s="17">
        <v>7081900.0</v>
      </c>
    </row>
    <row r="12979">
      <c r="A12979" s="17">
        <v>2000000.0</v>
      </c>
      <c r="B12979" s="17">
        <v>7082000.0</v>
      </c>
    </row>
    <row r="12980">
      <c r="A12980" s="17">
        <v>2000000.0</v>
      </c>
      <c r="B12980" s="17">
        <v>7082100.0</v>
      </c>
    </row>
    <row r="12981">
      <c r="A12981" s="17">
        <v>2000000.0</v>
      </c>
      <c r="B12981" s="17">
        <v>7082200.0</v>
      </c>
    </row>
    <row r="12982">
      <c r="A12982" s="17">
        <v>2000000.0</v>
      </c>
      <c r="B12982" s="17">
        <v>7082300.0</v>
      </c>
    </row>
    <row r="12983">
      <c r="A12983" s="17">
        <v>2000000.0</v>
      </c>
      <c r="B12983" s="17">
        <v>7082400.0</v>
      </c>
    </row>
    <row r="12984">
      <c r="A12984" s="17">
        <v>2000000.0</v>
      </c>
      <c r="B12984" s="17">
        <v>7082500.0</v>
      </c>
    </row>
    <row r="12985">
      <c r="A12985" s="17">
        <v>2000000.0</v>
      </c>
      <c r="B12985" s="17">
        <v>7082600.0</v>
      </c>
    </row>
    <row r="12986">
      <c r="A12986" s="17">
        <v>2000000.0</v>
      </c>
      <c r="B12986" s="17">
        <v>7082700.0</v>
      </c>
    </row>
    <row r="12987">
      <c r="A12987" s="17">
        <v>2000000.0</v>
      </c>
      <c r="B12987" s="17">
        <v>7082800.0</v>
      </c>
    </row>
    <row r="12988">
      <c r="A12988" s="17">
        <v>2000000.0</v>
      </c>
      <c r="B12988" s="17">
        <v>7082900.0</v>
      </c>
    </row>
    <row r="12989">
      <c r="A12989" s="17">
        <v>2000000.0</v>
      </c>
      <c r="B12989" s="17">
        <v>7090000.0</v>
      </c>
    </row>
    <row r="12990">
      <c r="A12990" s="17">
        <v>2000000.0</v>
      </c>
      <c r="B12990" s="17">
        <v>7090100.0</v>
      </c>
    </row>
    <row r="12991">
      <c r="A12991" s="17">
        <v>2000000.0</v>
      </c>
      <c r="B12991" s="17">
        <v>7090300.0</v>
      </c>
    </row>
    <row r="12992">
      <c r="A12992" s="17">
        <v>2000000.0</v>
      </c>
      <c r="B12992" s="17">
        <v>7100100.0</v>
      </c>
    </row>
    <row r="12993">
      <c r="A12993" s="17">
        <v>2000000.0</v>
      </c>
      <c r="B12993" s="17">
        <v>7110000.0</v>
      </c>
    </row>
    <row r="12994">
      <c r="A12994" s="17">
        <v>2000000.0</v>
      </c>
      <c r="B12994" s="17">
        <v>7120000.0</v>
      </c>
    </row>
    <row r="12995">
      <c r="A12995" s="17">
        <v>2000000.0</v>
      </c>
      <c r="B12995" s="17">
        <v>7120100.0</v>
      </c>
    </row>
    <row r="12996">
      <c r="A12996" s="17">
        <v>2000000.0</v>
      </c>
      <c r="B12996" s="17">
        <v>7120200.0</v>
      </c>
    </row>
    <row r="12997">
      <c r="A12997" s="17">
        <v>2000000.0</v>
      </c>
      <c r="B12997" s="17">
        <v>7120300.0</v>
      </c>
    </row>
    <row r="12998">
      <c r="A12998" s="17">
        <v>2000000.0</v>
      </c>
      <c r="B12998" s="17">
        <v>7120400.0</v>
      </c>
    </row>
    <row r="12999">
      <c r="A12999" s="17">
        <v>2000000.0</v>
      </c>
      <c r="B12999" s="17">
        <v>7120500.0</v>
      </c>
    </row>
    <row r="13000">
      <c r="A13000" s="17">
        <v>2000000.0</v>
      </c>
      <c r="B13000" s="17">
        <v>7120600.0</v>
      </c>
    </row>
    <row r="13001">
      <c r="A13001" s="17">
        <v>2000000.0</v>
      </c>
      <c r="B13001" s="17">
        <v>7120900.0</v>
      </c>
    </row>
    <row r="13002">
      <c r="A13002" s="17">
        <v>2000000.0</v>
      </c>
      <c r="B13002" s="17">
        <v>7121000.0</v>
      </c>
    </row>
    <row r="13003">
      <c r="A13003" s="17">
        <v>2000000.0</v>
      </c>
      <c r="B13003" s="17">
        <v>7121100.0</v>
      </c>
    </row>
    <row r="13004">
      <c r="A13004" s="17">
        <v>2000000.0</v>
      </c>
      <c r="B13004" s="17">
        <v>7121200.0</v>
      </c>
    </row>
    <row r="13005">
      <c r="A13005" s="17">
        <v>2000000.0</v>
      </c>
      <c r="B13005" s="17">
        <v>7121300.0</v>
      </c>
    </row>
    <row r="13006">
      <c r="A13006" s="17">
        <v>2000000.0</v>
      </c>
      <c r="B13006" s="17">
        <v>7121400.0</v>
      </c>
    </row>
    <row r="13007">
      <c r="A13007" s="17">
        <v>2000000.0</v>
      </c>
      <c r="B13007" s="17">
        <v>7121500.0</v>
      </c>
    </row>
    <row r="13008">
      <c r="A13008" s="17">
        <v>2000000.0</v>
      </c>
      <c r="B13008" s="17">
        <v>7121600.0</v>
      </c>
    </row>
    <row r="13009">
      <c r="A13009" s="17">
        <v>2000000.0</v>
      </c>
      <c r="B13009" s="17">
        <v>7121700.0</v>
      </c>
    </row>
    <row r="13010">
      <c r="A13010" s="17">
        <v>2000000.0</v>
      </c>
      <c r="B13010" s="17">
        <v>7121800.0</v>
      </c>
    </row>
    <row r="13011">
      <c r="A13011" s="17">
        <v>2000000.0</v>
      </c>
      <c r="B13011" s="17">
        <v>7121900.0</v>
      </c>
    </row>
    <row r="13012">
      <c r="A13012" s="17">
        <v>2000000.0</v>
      </c>
      <c r="B13012" s="17">
        <v>7122000.0</v>
      </c>
    </row>
    <row r="13013">
      <c r="A13013" s="17">
        <v>2000000.0</v>
      </c>
      <c r="B13013" s="17">
        <v>7122100.0</v>
      </c>
    </row>
    <row r="13014">
      <c r="A13014" s="17">
        <v>2000000.0</v>
      </c>
      <c r="B13014" s="17">
        <v>7122200.0</v>
      </c>
    </row>
    <row r="13015">
      <c r="A13015" s="17">
        <v>2000000.0</v>
      </c>
      <c r="B13015" s="17">
        <v>7122300.0</v>
      </c>
    </row>
    <row r="13016">
      <c r="A13016" s="17">
        <v>2000000.0</v>
      </c>
      <c r="B13016" s="17">
        <v>7122400.0</v>
      </c>
    </row>
    <row r="13017">
      <c r="A13017" s="17">
        <v>2000000.0</v>
      </c>
      <c r="B13017" s="17">
        <v>7122500.0</v>
      </c>
    </row>
    <row r="13018">
      <c r="A13018" s="17">
        <v>2000000.0</v>
      </c>
      <c r="B13018" s="17">
        <v>7122600.0</v>
      </c>
    </row>
    <row r="13019">
      <c r="A13019" s="17">
        <v>2000000.0</v>
      </c>
      <c r="B13019" s="17">
        <v>7122700.0</v>
      </c>
    </row>
    <row r="13020">
      <c r="A13020" s="17">
        <v>2000000.0</v>
      </c>
      <c r="B13020" s="17">
        <v>7122800.0</v>
      </c>
    </row>
    <row r="13021">
      <c r="A13021" s="17">
        <v>2000000.0</v>
      </c>
      <c r="B13021" s="17">
        <v>7122900.0</v>
      </c>
    </row>
    <row r="13022">
      <c r="A13022" s="17">
        <v>2000000.0</v>
      </c>
      <c r="B13022" s="17">
        <v>7123000.0</v>
      </c>
    </row>
    <row r="13023">
      <c r="A13023" s="17">
        <v>2000000.0</v>
      </c>
      <c r="B13023" s="17">
        <v>7123100.0</v>
      </c>
    </row>
    <row r="13024">
      <c r="A13024" s="17">
        <v>2000000.0</v>
      </c>
      <c r="B13024" s="17">
        <v>7123200.0</v>
      </c>
    </row>
    <row r="13025">
      <c r="A13025" s="17">
        <v>2000000.0</v>
      </c>
      <c r="B13025" s="17">
        <v>7123300.0</v>
      </c>
    </row>
    <row r="13026">
      <c r="A13026" s="17">
        <v>2000000.0</v>
      </c>
      <c r="B13026" s="17">
        <v>7123400.0</v>
      </c>
    </row>
    <row r="13027">
      <c r="A13027" s="17">
        <v>2000000.0</v>
      </c>
      <c r="B13027" s="17">
        <v>7123500.0</v>
      </c>
    </row>
    <row r="13028">
      <c r="A13028" s="17">
        <v>2000000.0</v>
      </c>
      <c r="B13028" s="17">
        <v>7123600.0</v>
      </c>
    </row>
    <row r="13029">
      <c r="A13029" s="17">
        <v>2000000.0</v>
      </c>
      <c r="B13029" s="17">
        <v>7123700.0</v>
      </c>
    </row>
    <row r="13030">
      <c r="A13030" s="17">
        <v>2000000.0</v>
      </c>
      <c r="B13030" s="17">
        <v>7123800.0</v>
      </c>
    </row>
    <row r="13031">
      <c r="A13031" s="17">
        <v>2000000.0</v>
      </c>
      <c r="B13031" s="17">
        <v>7123900.0</v>
      </c>
    </row>
    <row r="13032">
      <c r="A13032" s="17">
        <v>2000000.0</v>
      </c>
      <c r="B13032" s="17">
        <v>7124000.0</v>
      </c>
    </row>
    <row r="13033">
      <c r="A13033" s="17">
        <v>2000000.0</v>
      </c>
      <c r="B13033" s="17">
        <v>7124100.0</v>
      </c>
    </row>
    <row r="13034">
      <c r="A13034" s="17">
        <v>2000000.0</v>
      </c>
      <c r="B13034" s="17">
        <v>7124300.0</v>
      </c>
    </row>
    <row r="13035">
      <c r="A13035" s="17">
        <v>2000000.0</v>
      </c>
      <c r="B13035" s="17">
        <v>7124400.0</v>
      </c>
    </row>
    <row r="13036">
      <c r="A13036" s="17">
        <v>2000000.0</v>
      </c>
      <c r="B13036" s="17">
        <v>7124500.0</v>
      </c>
    </row>
    <row r="13037">
      <c r="A13037" s="17">
        <v>2000000.0</v>
      </c>
      <c r="B13037" s="17">
        <v>7124600.0</v>
      </c>
    </row>
    <row r="13038">
      <c r="A13038" s="17">
        <v>2000000.0</v>
      </c>
      <c r="B13038" s="17">
        <v>7124700.0</v>
      </c>
    </row>
    <row r="13039">
      <c r="A13039" s="17">
        <v>2000000.0</v>
      </c>
      <c r="B13039" s="17">
        <v>7126000.0</v>
      </c>
    </row>
    <row r="13040">
      <c r="A13040" s="17">
        <v>2000000.0</v>
      </c>
      <c r="B13040" s="17">
        <v>7150000.0</v>
      </c>
    </row>
    <row r="13041">
      <c r="A13041" s="17">
        <v>2000000.0</v>
      </c>
      <c r="B13041" s="17">
        <v>7160000.0</v>
      </c>
    </row>
    <row r="13042">
      <c r="A13042" s="17">
        <v>2000000.0</v>
      </c>
      <c r="B13042" s="17">
        <v>7220000.0</v>
      </c>
    </row>
    <row r="13043">
      <c r="A13043" s="17">
        <v>2000000.0</v>
      </c>
      <c r="B13043" s="17">
        <v>7230000.0</v>
      </c>
    </row>
    <row r="13044">
      <c r="A13044" s="17">
        <v>2000000.0</v>
      </c>
      <c r="B13044" s="17">
        <v>7240000.0</v>
      </c>
    </row>
    <row r="13045">
      <c r="A13045" s="17">
        <v>2000000.0</v>
      </c>
      <c r="B13045" s="17">
        <v>7260000.0</v>
      </c>
    </row>
    <row r="13046">
      <c r="A13046" s="17">
        <v>2000000.0</v>
      </c>
      <c r="B13046" s="17">
        <v>7260300.0</v>
      </c>
    </row>
    <row r="13047">
      <c r="A13047" s="17">
        <v>2000000.0</v>
      </c>
      <c r="B13047" s="17">
        <v>7260400.0</v>
      </c>
    </row>
    <row r="13048">
      <c r="A13048" s="17">
        <v>2000000.0</v>
      </c>
      <c r="B13048" s="17">
        <v>7270100.0</v>
      </c>
    </row>
    <row r="13049">
      <c r="A13049" s="17">
        <v>2000000.0</v>
      </c>
      <c r="B13049" s="17">
        <v>7280000.0</v>
      </c>
    </row>
    <row r="13050">
      <c r="A13050" s="17">
        <v>2000000.0</v>
      </c>
      <c r="B13050" s="17">
        <v>7290000.0</v>
      </c>
    </row>
    <row r="13051">
      <c r="A13051" s="17">
        <v>2000000.0</v>
      </c>
      <c r="B13051" s="17">
        <v>7310000.0</v>
      </c>
    </row>
    <row r="13052">
      <c r="A13052" s="17">
        <v>2000000.0</v>
      </c>
      <c r="B13052" s="17">
        <v>7330000.0</v>
      </c>
    </row>
    <row r="13053">
      <c r="A13053" s="17">
        <v>2000000.0</v>
      </c>
      <c r="B13053" s="17">
        <v>7330100.0</v>
      </c>
    </row>
    <row r="13054">
      <c r="A13054" s="17">
        <v>2000000.0</v>
      </c>
      <c r="B13054" s="17">
        <v>7330200.0</v>
      </c>
    </row>
    <row r="13055">
      <c r="A13055" s="17">
        <v>2000000.0</v>
      </c>
      <c r="B13055" s="17">
        <v>7330300.0</v>
      </c>
    </row>
    <row r="13056">
      <c r="A13056" s="17">
        <v>2000000.0</v>
      </c>
      <c r="B13056" s="17">
        <v>7330400.0</v>
      </c>
    </row>
    <row r="13057">
      <c r="A13057" s="17">
        <v>2000000.0</v>
      </c>
      <c r="B13057" s="17">
        <v>7330500.0</v>
      </c>
    </row>
    <row r="13058">
      <c r="A13058" s="17">
        <v>2000000.0</v>
      </c>
      <c r="B13058" s="17">
        <v>7330600.0</v>
      </c>
    </row>
    <row r="13059">
      <c r="A13059" s="17">
        <v>2000000.0</v>
      </c>
      <c r="B13059" s="17">
        <v>7330700.0</v>
      </c>
    </row>
    <row r="13060">
      <c r="A13060" s="17">
        <v>2000000.0</v>
      </c>
      <c r="B13060" s="17">
        <v>7330800.0</v>
      </c>
    </row>
    <row r="13061">
      <c r="A13061" s="17">
        <v>2000000.0</v>
      </c>
      <c r="B13061" s="17">
        <v>7330900.0</v>
      </c>
    </row>
    <row r="13062">
      <c r="A13062" s="17">
        <v>2000000.0</v>
      </c>
      <c r="B13062" s="17">
        <v>7331000.0</v>
      </c>
    </row>
    <row r="13063">
      <c r="A13063" s="17">
        <v>2000000.0</v>
      </c>
      <c r="B13063" s="17">
        <v>7331100.0</v>
      </c>
    </row>
    <row r="13064">
      <c r="A13064" s="17">
        <v>2000000.0</v>
      </c>
      <c r="B13064" s="17">
        <v>7331200.0</v>
      </c>
    </row>
    <row r="13065">
      <c r="A13065" s="17">
        <v>2000000.0</v>
      </c>
      <c r="B13065" s="17">
        <v>7331300.0</v>
      </c>
    </row>
    <row r="13066">
      <c r="A13066" s="17">
        <v>2000000.0</v>
      </c>
      <c r="B13066" s="17">
        <v>7331400.0</v>
      </c>
    </row>
    <row r="13067">
      <c r="A13067" s="17">
        <v>2000000.0</v>
      </c>
      <c r="B13067" s="17">
        <v>7331500.0</v>
      </c>
    </row>
    <row r="13068">
      <c r="A13068" s="17">
        <v>2000000.0</v>
      </c>
      <c r="B13068" s="17">
        <v>7331700.0</v>
      </c>
    </row>
    <row r="13069">
      <c r="A13069" s="17">
        <v>2000000.0</v>
      </c>
      <c r="B13069" s="17">
        <v>7331800.0</v>
      </c>
    </row>
    <row r="13070">
      <c r="A13070" s="17">
        <v>2000000.0</v>
      </c>
      <c r="B13070" s="17">
        <v>7331900.0</v>
      </c>
    </row>
    <row r="13071">
      <c r="A13071" s="17">
        <v>2000000.0</v>
      </c>
      <c r="B13071" s="17">
        <v>7332000.0</v>
      </c>
    </row>
    <row r="13072">
      <c r="A13072" s="17">
        <v>2000000.0</v>
      </c>
      <c r="B13072" s="17">
        <v>7332100.0</v>
      </c>
    </row>
    <row r="13073">
      <c r="A13073" s="17">
        <v>2000000.0</v>
      </c>
      <c r="B13073" s="17">
        <v>7332200.0</v>
      </c>
    </row>
    <row r="13074">
      <c r="A13074" s="17">
        <v>2000000.0</v>
      </c>
      <c r="B13074" s="17">
        <v>7332300.0</v>
      </c>
    </row>
    <row r="13075">
      <c r="A13075" s="17">
        <v>2000000.0</v>
      </c>
      <c r="B13075" s="17">
        <v>7332400.0</v>
      </c>
    </row>
    <row r="13076">
      <c r="A13076" s="17">
        <v>2000000.0</v>
      </c>
      <c r="B13076" s="17">
        <v>7340000.0</v>
      </c>
    </row>
    <row r="13077">
      <c r="A13077" s="17">
        <v>2000000.0</v>
      </c>
      <c r="B13077" s="17">
        <v>7340100.0</v>
      </c>
    </row>
    <row r="13078">
      <c r="A13078" s="17">
        <v>2000000.0</v>
      </c>
      <c r="B13078" s="17">
        <v>7340200.0</v>
      </c>
    </row>
    <row r="13079">
      <c r="A13079" s="17">
        <v>2000000.0</v>
      </c>
      <c r="B13079" s="17">
        <v>7340300.0</v>
      </c>
    </row>
    <row r="13080">
      <c r="A13080" s="17">
        <v>2000000.0</v>
      </c>
      <c r="B13080" s="17">
        <v>7340400.0</v>
      </c>
    </row>
    <row r="13081">
      <c r="A13081" s="17">
        <v>2000000.0</v>
      </c>
      <c r="B13081" s="17">
        <v>7340500.0</v>
      </c>
    </row>
    <row r="13082">
      <c r="A13082" s="17">
        <v>2000000.0</v>
      </c>
      <c r="B13082" s="17">
        <v>7340600.0</v>
      </c>
    </row>
    <row r="13083">
      <c r="A13083" s="17">
        <v>2000000.0</v>
      </c>
      <c r="B13083" s="17">
        <v>7340700.0</v>
      </c>
    </row>
    <row r="13084">
      <c r="A13084" s="17">
        <v>2000000.0</v>
      </c>
      <c r="B13084" s="17">
        <v>7340800.0</v>
      </c>
    </row>
    <row r="13085">
      <c r="A13085" s="17">
        <v>2000000.0</v>
      </c>
      <c r="B13085" s="17">
        <v>7340900.0</v>
      </c>
    </row>
    <row r="13086">
      <c r="A13086" s="17">
        <v>2000000.0</v>
      </c>
      <c r="B13086" s="17">
        <v>7341000.0</v>
      </c>
    </row>
    <row r="13087">
      <c r="A13087" s="17">
        <v>2000000.0</v>
      </c>
      <c r="B13087" s="17">
        <v>7341100.0</v>
      </c>
    </row>
    <row r="13088">
      <c r="A13088" s="17">
        <v>2000000.0</v>
      </c>
      <c r="B13088" s="17">
        <v>7341200.0</v>
      </c>
    </row>
    <row r="13089">
      <c r="A13089" s="17">
        <v>2000000.0</v>
      </c>
      <c r="B13089" s="17">
        <v>7341300.0</v>
      </c>
    </row>
    <row r="13090">
      <c r="A13090" s="17">
        <v>2000000.0</v>
      </c>
      <c r="B13090" s="17">
        <v>7341400.0</v>
      </c>
    </row>
    <row r="13091">
      <c r="A13091" s="17">
        <v>2000000.0</v>
      </c>
      <c r="B13091" s="17">
        <v>7341500.0</v>
      </c>
    </row>
    <row r="13092">
      <c r="A13092" s="17">
        <v>2000000.0</v>
      </c>
      <c r="B13092" s="17">
        <v>7341700.0</v>
      </c>
    </row>
    <row r="13093">
      <c r="A13093" s="17">
        <v>2000000.0</v>
      </c>
      <c r="B13093" s="17">
        <v>7341800.0</v>
      </c>
    </row>
    <row r="13094">
      <c r="A13094" s="17">
        <v>2000000.0</v>
      </c>
      <c r="B13094" s="17">
        <v>7341900.0</v>
      </c>
    </row>
    <row r="13095">
      <c r="A13095" s="17">
        <v>2000000.0</v>
      </c>
      <c r="B13095" s="17">
        <v>7342000.0</v>
      </c>
    </row>
    <row r="13096">
      <c r="A13096" s="17">
        <v>2000000.0</v>
      </c>
      <c r="B13096" s="17">
        <v>7342100.0</v>
      </c>
    </row>
    <row r="13097">
      <c r="A13097" s="17">
        <v>2000000.0</v>
      </c>
      <c r="B13097" s="17">
        <v>7342200.0</v>
      </c>
    </row>
    <row r="13098">
      <c r="A13098" s="17">
        <v>2000000.0</v>
      </c>
      <c r="B13098" s="17">
        <v>7342300.0</v>
      </c>
    </row>
    <row r="13099">
      <c r="A13099" s="17">
        <v>2000000.0</v>
      </c>
      <c r="B13099" s="17">
        <v>7342400.0</v>
      </c>
    </row>
    <row r="13100">
      <c r="A13100" s="17">
        <v>2000000.0</v>
      </c>
      <c r="B13100" s="17">
        <v>7350000.0</v>
      </c>
    </row>
    <row r="13101">
      <c r="A13101" s="17">
        <v>2000000.0</v>
      </c>
      <c r="B13101" s="17">
        <v>7350100.0</v>
      </c>
    </row>
    <row r="13102">
      <c r="A13102" s="17">
        <v>2000000.0</v>
      </c>
      <c r="B13102" s="17">
        <v>7350200.0</v>
      </c>
    </row>
    <row r="13103">
      <c r="A13103" s="17">
        <v>2000000.0</v>
      </c>
      <c r="B13103" s="17">
        <v>7350300.0</v>
      </c>
    </row>
    <row r="13104">
      <c r="A13104" s="17">
        <v>2000000.0</v>
      </c>
      <c r="B13104" s="17">
        <v>7350400.0</v>
      </c>
    </row>
    <row r="13105">
      <c r="A13105" s="17">
        <v>2000000.0</v>
      </c>
      <c r="B13105" s="17">
        <v>7350500.0</v>
      </c>
    </row>
    <row r="13106">
      <c r="A13106" s="17">
        <v>2000000.0</v>
      </c>
      <c r="B13106" s="17">
        <v>7350600.0</v>
      </c>
    </row>
    <row r="13107">
      <c r="A13107" s="17">
        <v>2000000.0</v>
      </c>
      <c r="B13107" s="17">
        <v>7350700.0</v>
      </c>
    </row>
    <row r="13108">
      <c r="A13108" s="17">
        <v>2000000.0</v>
      </c>
      <c r="B13108" s="17">
        <v>7350800.0</v>
      </c>
    </row>
    <row r="13109">
      <c r="A13109" s="17">
        <v>2000000.0</v>
      </c>
      <c r="B13109" s="17">
        <v>7350900.0</v>
      </c>
    </row>
    <row r="13110">
      <c r="A13110" s="17">
        <v>2000000.0</v>
      </c>
      <c r="B13110" s="17">
        <v>7351000.0</v>
      </c>
    </row>
    <row r="13111">
      <c r="A13111" s="17">
        <v>2000000.0</v>
      </c>
      <c r="B13111" s="17">
        <v>7351100.0</v>
      </c>
    </row>
    <row r="13112">
      <c r="A13112" s="17">
        <v>2000000.0</v>
      </c>
      <c r="B13112" s="17">
        <v>7351200.0</v>
      </c>
    </row>
    <row r="13113">
      <c r="A13113" s="17">
        <v>2000000.0</v>
      </c>
      <c r="B13113" s="17">
        <v>7351300.0</v>
      </c>
    </row>
    <row r="13114">
      <c r="A13114" s="17">
        <v>2000000.0</v>
      </c>
      <c r="B13114" s="17">
        <v>7351400.0</v>
      </c>
    </row>
    <row r="13115">
      <c r="A13115" s="17">
        <v>2000000.0</v>
      </c>
      <c r="B13115" s="17">
        <v>7351500.0</v>
      </c>
    </row>
    <row r="13116">
      <c r="A13116" s="17">
        <v>2000000.0</v>
      </c>
      <c r="B13116" s="17">
        <v>7351700.0</v>
      </c>
    </row>
    <row r="13117">
      <c r="A13117" s="17">
        <v>2000000.0</v>
      </c>
      <c r="B13117" s="17">
        <v>7351800.0</v>
      </c>
    </row>
    <row r="13118">
      <c r="A13118" s="17">
        <v>2000000.0</v>
      </c>
      <c r="B13118" s="17">
        <v>7351900.0</v>
      </c>
    </row>
    <row r="13119">
      <c r="A13119" s="17">
        <v>2000000.0</v>
      </c>
      <c r="B13119" s="17">
        <v>7352000.0</v>
      </c>
    </row>
    <row r="13120">
      <c r="A13120" s="17">
        <v>2000000.0</v>
      </c>
      <c r="B13120" s="17">
        <v>7352100.0</v>
      </c>
    </row>
    <row r="13121">
      <c r="A13121" s="17">
        <v>2000000.0</v>
      </c>
      <c r="B13121" s="17">
        <v>7352200.0</v>
      </c>
    </row>
    <row r="13122">
      <c r="A13122" s="17">
        <v>2000000.0</v>
      </c>
      <c r="B13122" s="17">
        <v>7352300.0</v>
      </c>
    </row>
    <row r="13123">
      <c r="A13123" s="17">
        <v>2000000.0</v>
      </c>
      <c r="B13123" s="17">
        <v>7352400.0</v>
      </c>
    </row>
    <row r="13124">
      <c r="A13124" s="17">
        <v>2000000.0</v>
      </c>
      <c r="B13124" s="17">
        <v>6001400.0</v>
      </c>
    </row>
    <row r="13125">
      <c r="A13125" s="17">
        <v>2000000.0</v>
      </c>
      <c r="B13125" s="17">
        <v>6001401.0</v>
      </c>
    </row>
    <row r="13126">
      <c r="A13126" s="17">
        <v>2000000.0</v>
      </c>
      <c r="B13126" s="17">
        <v>6001500.0</v>
      </c>
    </row>
    <row r="13127">
      <c r="A13127" s="17">
        <v>2000000.0</v>
      </c>
      <c r="B13127" s="17">
        <v>6001501.0</v>
      </c>
    </row>
    <row r="13128">
      <c r="A13128" s="17">
        <v>2000000.0</v>
      </c>
      <c r="B13128" s="17">
        <v>6001600.0</v>
      </c>
    </row>
    <row r="13129">
      <c r="A13129" s="17">
        <v>2000000.0</v>
      </c>
      <c r="B13129" s="17">
        <v>6001601.0</v>
      </c>
    </row>
    <row r="13130">
      <c r="A13130" s="17">
        <v>2000000.0</v>
      </c>
      <c r="B13130" s="17">
        <v>6001700.0</v>
      </c>
    </row>
    <row r="13131">
      <c r="A13131" s="17">
        <v>2000000.0</v>
      </c>
      <c r="B13131" s="17">
        <v>6001701.0</v>
      </c>
    </row>
    <row r="13132">
      <c r="A13132" s="17">
        <v>2000000.0</v>
      </c>
      <c r="B13132" s="17">
        <v>6001800.0</v>
      </c>
    </row>
    <row r="13133">
      <c r="A13133" s="17">
        <v>2000000.0</v>
      </c>
      <c r="B13133" s="17">
        <v>6001801.0</v>
      </c>
    </row>
    <row r="13134">
      <c r="A13134" s="17">
        <v>2000000.0</v>
      </c>
      <c r="B13134" s="17">
        <v>6002600.0</v>
      </c>
    </row>
    <row r="13135">
      <c r="A13135" s="17">
        <v>2000000.0</v>
      </c>
      <c r="B13135" s="17">
        <v>6002601.0</v>
      </c>
    </row>
    <row r="13136">
      <c r="A13136" s="17">
        <v>2000000.0</v>
      </c>
      <c r="B13136" s="17">
        <v>6002700.0</v>
      </c>
    </row>
    <row r="13137">
      <c r="A13137" s="17">
        <v>2000000.0</v>
      </c>
      <c r="B13137" s="17">
        <v>6002701.0</v>
      </c>
    </row>
    <row r="13138">
      <c r="A13138" s="17">
        <v>2000000.0</v>
      </c>
      <c r="B13138" s="17">
        <v>6002800.0</v>
      </c>
    </row>
    <row r="13139">
      <c r="A13139" s="17">
        <v>2000000.0</v>
      </c>
      <c r="B13139" s="17">
        <v>6002801.0</v>
      </c>
    </row>
    <row r="13140">
      <c r="A13140" s="17">
        <v>2000000.0</v>
      </c>
      <c r="B13140" s="17">
        <v>6002900.0</v>
      </c>
    </row>
    <row r="13141">
      <c r="A13141" s="17">
        <v>2000000.0</v>
      </c>
      <c r="B13141" s="17">
        <v>6002901.0</v>
      </c>
    </row>
    <row r="13142">
      <c r="A13142" s="17">
        <v>2000000.0</v>
      </c>
      <c r="B13142" s="17">
        <v>6003000.0</v>
      </c>
    </row>
    <row r="13143">
      <c r="A13143" s="17">
        <v>2000000.0</v>
      </c>
      <c r="B13143" s="17">
        <v>6003001.0</v>
      </c>
    </row>
    <row r="13144">
      <c r="A13144" s="17">
        <v>2000000.0</v>
      </c>
      <c r="B13144" s="17">
        <v>6003100.0</v>
      </c>
    </row>
    <row r="13145">
      <c r="A13145" s="17">
        <v>2000000.0</v>
      </c>
      <c r="B13145" s="17">
        <v>6003101.0</v>
      </c>
    </row>
    <row r="13146">
      <c r="A13146" s="17">
        <v>2000000.0</v>
      </c>
      <c r="B13146" s="17">
        <v>6003200.0</v>
      </c>
    </row>
    <row r="13147">
      <c r="A13147" s="17">
        <v>2000000.0</v>
      </c>
      <c r="B13147" s="17">
        <v>6003201.0</v>
      </c>
    </row>
    <row r="13148">
      <c r="A13148" s="17">
        <v>2000000.0</v>
      </c>
      <c r="B13148" s="17">
        <v>6003300.0</v>
      </c>
    </row>
    <row r="13149">
      <c r="A13149" s="17">
        <v>2000000.0</v>
      </c>
      <c r="B13149" s="17">
        <v>6003301.0</v>
      </c>
    </row>
    <row r="13150">
      <c r="A13150" s="17">
        <v>2000000.0</v>
      </c>
      <c r="B13150" s="17">
        <v>6003400.0</v>
      </c>
    </row>
    <row r="13151">
      <c r="A13151" s="17">
        <v>2000000.0</v>
      </c>
      <c r="B13151" s="17">
        <v>6003401.0</v>
      </c>
    </row>
    <row r="13152">
      <c r="A13152" s="17">
        <v>2000000.0</v>
      </c>
      <c r="B13152" s="17">
        <v>6003500.0</v>
      </c>
    </row>
    <row r="13153">
      <c r="A13153" s="17">
        <v>2000000.0</v>
      </c>
      <c r="B13153" s="17">
        <v>6003501.0</v>
      </c>
    </row>
    <row r="13154">
      <c r="A13154" s="17">
        <v>2000000.0</v>
      </c>
      <c r="B13154" s="17">
        <v>6003600.0</v>
      </c>
    </row>
    <row r="13155">
      <c r="A13155" s="17">
        <v>2000000.0</v>
      </c>
      <c r="B13155" s="17">
        <v>6003601.0</v>
      </c>
    </row>
    <row r="13156">
      <c r="A13156" s="17">
        <v>2000000.0</v>
      </c>
      <c r="B13156" s="17">
        <v>6005600.0</v>
      </c>
    </row>
    <row r="13157">
      <c r="A13157" s="17">
        <v>2000000.0</v>
      </c>
      <c r="B13157" s="17">
        <v>6005601.0</v>
      </c>
    </row>
    <row r="13158">
      <c r="A13158" s="17">
        <v>2000000.0</v>
      </c>
      <c r="B13158" s="17">
        <v>6030200.0</v>
      </c>
    </row>
    <row r="13159">
      <c r="A13159" s="17">
        <v>2000000.0</v>
      </c>
      <c r="B13159" s="17">
        <v>6030201.0</v>
      </c>
    </row>
    <row r="13160">
      <c r="A13160" s="17">
        <v>2000000.0</v>
      </c>
      <c r="B13160" s="17">
        <v>6030600.0</v>
      </c>
    </row>
    <row r="13161">
      <c r="A13161" s="17">
        <v>2000000.0</v>
      </c>
      <c r="B13161" s="17">
        <v>6030800.0</v>
      </c>
    </row>
    <row r="13162">
      <c r="A13162" s="17">
        <v>2000000.0</v>
      </c>
      <c r="B13162" s="17">
        <v>6030900.0</v>
      </c>
    </row>
    <row r="13163">
      <c r="A13163" s="17">
        <v>2000000.0</v>
      </c>
      <c r="B13163" s="17">
        <v>6030901.0</v>
      </c>
    </row>
    <row r="13164">
      <c r="A13164" s="17">
        <v>2000000.0</v>
      </c>
      <c r="B13164" s="17">
        <v>6035100.0</v>
      </c>
    </row>
    <row r="13165">
      <c r="A13165" s="17">
        <v>2000000.0</v>
      </c>
      <c r="B13165" s="17">
        <v>6035101.0</v>
      </c>
    </row>
    <row r="13166">
      <c r="A13166" s="17">
        <v>2000000.0</v>
      </c>
      <c r="B13166" s="17">
        <v>6040100.0</v>
      </c>
    </row>
    <row r="13167">
      <c r="A13167" s="17">
        <v>2000000.0</v>
      </c>
      <c r="B13167" s="17">
        <v>6040101.0</v>
      </c>
    </row>
    <row r="13168">
      <c r="A13168" s="17">
        <v>2000000.0</v>
      </c>
      <c r="B13168" s="17">
        <v>6040300.0</v>
      </c>
    </row>
    <row r="13169">
      <c r="A13169" s="17">
        <v>2000000.0</v>
      </c>
      <c r="B13169" s="17">
        <v>6040301.0</v>
      </c>
    </row>
    <row r="13170">
      <c r="A13170" s="17">
        <v>2000000.0</v>
      </c>
      <c r="B13170" s="17">
        <v>6040400.0</v>
      </c>
    </row>
    <row r="13171">
      <c r="A13171" s="17">
        <v>2000000.0</v>
      </c>
      <c r="B13171" s="17">
        <v>6040401.0</v>
      </c>
    </row>
    <row r="13172">
      <c r="A13172" s="17">
        <v>2000000.0</v>
      </c>
      <c r="B13172" s="17">
        <v>6040500.0</v>
      </c>
    </row>
    <row r="13173">
      <c r="A13173" s="17">
        <v>2000000.0</v>
      </c>
      <c r="B13173" s="17">
        <v>6040501.0</v>
      </c>
    </row>
    <row r="13174">
      <c r="A13174" s="17">
        <v>2000000.0</v>
      </c>
      <c r="B13174" s="17">
        <v>6043100.0</v>
      </c>
    </row>
    <row r="13175">
      <c r="A13175" s="17">
        <v>2000000.0</v>
      </c>
      <c r="B13175" s="17">
        <v>6043101.0</v>
      </c>
    </row>
    <row r="13176">
      <c r="A13176" s="17">
        <v>2000000.0</v>
      </c>
      <c r="B13176" s="17">
        <v>6060300.0</v>
      </c>
    </row>
    <row r="13177">
      <c r="A13177" s="17">
        <v>2000000.0</v>
      </c>
      <c r="B13177" s="17">
        <v>6060400.0</v>
      </c>
    </row>
    <row r="13178">
      <c r="A13178" s="17">
        <v>2000000.0</v>
      </c>
      <c r="B13178" s="17">
        <v>6060500.0</v>
      </c>
    </row>
    <row r="13179">
      <c r="A13179" s="17">
        <v>2000000.0</v>
      </c>
      <c r="B13179" s="17">
        <v>6060600.0</v>
      </c>
    </row>
    <row r="13180">
      <c r="A13180" s="17">
        <v>2000000.0</v>
      </c>
      <c r="B13180" s="17">
        <v>6090000.0</v>
      </c>
    </row>
    <row r="13181">
      <c r="A13181" s="17">
        <v>2000000.0</v>
      </c>
      <c r="B13181" s="17">
        <v>6160000.0</v>
      </c>
    </row>
    <row r="13182">
      <c r="A13182" s="17">
        <v>2000000.0</v>
      </c>
      <c r="B13182" s="17">
        <v>6260000.0</v>
      </c>
    </row>
    <row r="13183">
      <c r="A13183" s="17">
        <v>2000000.0</v>
      </c>
      <c r="B13183" s="17">
        <v>6260001.0</v>
      </c>
    </row>
    <row r="13184">
      <c r="A13184" s="17">
        <v>2000000.0</v>
      </c>
      <c r="B13184" s="17">
        <v>6260300.0</v>
      </c>
    </row>
    <row r="13185">
      <c r="A13185" s="17">
        <v>2000000.0</v>
      </c>
      <c r="B13185" s="17">
        <v>6260301.0</v>
      </c>
    </row>
    <row r="13186">
      <c r="A13186" s="17">
        <v>2000000.0</v>
      </c>
      <c r="B13186" s="17">
        <v>6260400.0</v>
      </c>
    </row>
    <row r="13187">
      <c r="A13187" s="17">
        <v>2000000.0</v>
      </c>
      <c r="B13187" s="17">
        <v>6260401.0</v>
      </c>
    </row>
    <row r="13188">
      <c r="A13188" s="17">
        <v>2000000.0</v>
      </c>
      <c r="B13188" s="17">
        <v>6500000.0</v>
      </c>
    </row>
    <row r="13189">
      <c r="A13189" s="17">
        <v>2000000.0</v>
      </c>
      <c r="B13189" s="17">
        <v>6500100.0</v>
      </c>
    </row>
    <row r="13190">
      <c r="A13190" s="17">
        <v>2000000.0</v>
      </c>
      <c r="B13190" s="17">
        <v>6500200.0</v>
      </c>
    </row>
    <row r="13191">
      <c r="A13191" s="17">
        <v>2000000.0</v>
      </c>
      <c r="B13191" s="17">
        <v>6500300.0</v>
      </c>
    </row>
    <row r="13192">
      <c r="A13192" s="17">
        <v>2000000.0</v>
      </c>
      <c r="B13192" s="17">
        <v>6500400.0</v>
      </c>
    </row>
    <row r="13193">
      <c r="A13193" s="17">
        <v>2000000.0</v>
      </c>
      <c r="B13193" s="17">
        <v>6500500.0</v>
      </c>
    </row>
    <row r="13194">
      <c r="A13194" s="17">
        <v>2000000.0</v>
      </c>
      <c r="B13194" s="17">
        <v>6500600.0</v>
      </c>
    </row>
    <row r="13195">
      <c r="A13195" s="17">
        <v>2000000.0</v>
      </c>
      <c r="B13195" s="17">
        <v>6500700.0</v>
      </c>
    </row>
    <row r="13196">
      <c r="A13196" s="17">
        <v>2000000.0</v>
      </c>
      <c r="B13196" s="17">
        <v>6600000.0</v>
      </c>
    </row>
    <row r="13197">
      <c r="A13197" s="17">
        <v>2000000.0</v>
      </c>
      <c r="B13197" s="17">
        <v>6600001.0</v>
      </c>
    </row>
    <row r="13198">
      <c r="A13198" s="17">
        <v>2000000.0</v>
      </c>
      <c r="B13198" s="17">
        <v>6600100.0</v>
      </c>
    </row>
    <row r="13199">
      <c r="A13199" s="17">
        <v>2000000.0</v>
      </c>
      <c r="B13199" s="17">
        <v>6600101.0</v>
      </c>
    </row>
    <row r="13200">
      <c r="A13200" s="17">
        <v>2000000.0</v>
      </c>
      <c r="B13200" s="17">
        <v>6610400.0</v>
      </c>
    </row>
    <row r="13201">
      <c r="A13201" s="17">
        <v>2000000.0</v>
      </c>
      <c r="B13201" s="17">
        <v>6610500.0</v>
      </c>
    </row>
    <row r="13202">
      <c r="A13202" s="17">
        <v>2000000.0</v>
      </c>
      <c r="B13202" s="17">
        <v>6610600.0</v>
      </c>
    </row>
    <row r="13203">
      <c r="A13203" s="17">
        <v>2000000.0</v>
      </c>
      <c r="B13203" s="17">
        <v>6610700.0</v>
      </c>
    </row>
    <row r="13204">
      <c r="A13204" s="17">
        <v>2000000.0</v>
      </c>
      <c r="B13204" s="17">
        <v>6610701.0</v>
      </c>
    </row>
    <row r="13205">
      <c r="A13205" s="17">
        <v>2000000.0</v>
      </c>
      <c r="B13205" s="17">
        <v>6610702.0</v>
      </c>
    </row>
    <row r="13206">
      <c r="A13206" s="17">
        <v>2000000.0</v>
      </c>
      <c r="B13206" s="17">
        <v>6610800.0</v>
      </c>
    </row>
    <row r="13207">
      <c r="A13207" s="17">
        <v>2000000.0</v>
      </c>
      <c r="B13207" s="17">
        <v>6610801.0</v>
      </c>
    </row>
    <row r="13208">
      <c r="A13208" s="17">
        <v>2000000.0</v>
      </c>
      <c r="B13208" s="17">
        <v>6610802.0</v>
      </c>
    </row>
    <row r="13209">
      <c r="A13209" s="17">
        <v>2000000.0</v>
      </c>
      <c r="B13209" s="17">
        <v>7006200.0</v>
      </c>
    </row>
    <row r="13210">
      <c r="A13210" s="17">
        <v>2000000.0</v>
      </c>
      <c r="B13210" s="17">
        <v>6611001.0</v>
      </c>
    </row>
    <row r="13211">
      <c r="A13211" s="17">
        <v>2000000.0</v>
      </c>
      <c r="B13211" s="17">
        <v>6611002.0</v>
      </c>
    </row>
    <row r="13212">
      <c r="A13212" s="17">
        <v>2000000.0</v>
      </c>
      <c r="B13212" s="17">
        <v>6611100.0</v>
      </c>
    </row>
    <row r="13213">
      <c r="A13213" s="17">
        <v>2000000.0</v>
      </c>
      <c r="B13213" s="17">
        <v>6611101.0</v>
      </c>
    </row>
    <row r="13214">
      <c r="A13214" s="17">
        <v>2000000.0</v>
      </c>
      <c r="B13214" s="17">
        <v>6611102.0</v>
      </c>
    </row>
    <row r="13215">
      <c r="A13215" s="17">
        <v>2000000.0</v>
      </c>
      <c r="B13215" s="17">
        <v>6611200.0</v>
      </c>
    </row>
    <row r="13216">
      <c r="A13216" s="17">
        <v>2000000.0</v>
      </c>
      <c r="B13216" s="17">
        <v>6611201.0</v>
      </c>
    </row>
    <row r="13217">
      <c r="A13217" s="17">
        <v>2000000.0</v>
      </c>
      <c r="B13217" s="17">
        <v>6611202.0</v>
      </c>
    </row>
    <row r="13218">
      <c r="A13218" s="17">
        <v>2000000.0</v>
      </c>
      <c r="B13218" s="17">
        <v>6611300.0</v>
      </c>
    </row>
    <row r="13219">
      <c r="A13219" s="17">
        <v>2000000.0</v>
      </c>
      <c r="B13219" s="17">
        <v>6611301.0</v>
      </c>
    </row>
    <row r="13220">
      <c r="A13220" s="17">
        <v>2000000.0</v>
      </c>
      <c r="B13220" s="17">
        <v>6611302.0</v>
      </c>
    </row>
    <row r="13221">
      <c r="A13221" s="17">
        <v>2000000.0</v>
      </c>
      <c r="B13221" s="17">
        <v>6611400.0</v>
      </c>
    </row>
    <row r="13222">
      <c r="A13222" s="17">
        <v>2000000.0</v>
      </c>
      <c r="B13222" s="17">
        <v>6621000.0</v>
      </c>
    </row>
    <row r="13223">
      <c r="A13223" s="17">
        <v>2000000.0</v>
      </c>
      <c r="B13223" s="17">
        <v>6621100.0</v>
      </c>
    </row>
    <row r="13224">
      <c r="A13224" s="17">
        <v>2000000.0</v>
      </c>
      <c r="B13224" s="17">
        <v>6621200.0</v>
      </c>
    </row>
    <row r="13225">
      <c r="A13225" s="17">
        <v>2000000.0</v>
      </c>
      <c r="B13225" s="17">
        <v>6621300.0</v>
      </c>
    </row>
    <row r="13226">
      <c r="A13226" s="17">
        <v>2000000.0</v>
      </c>
      <c r="B13226" s="17">
        <v>6621400.0</v>
      </c>
    </row>
    <row r="13227">
      <c r="A13227" s="17">
        <v>2000000.0</v>
      </c>
      <c r="B13227" s="17">
        <v>6621500.0</v>
      </c>
    </row>
    <row r="13228">
      <c r="A13228" s="17">
        <v>2000000.0</v>
      </c>
      <c r="B13228" s="17">
        <v>6621600.0</v>
      </c>
    </row>
    <row r="13229">
      <c r="A13229" s="17">
        <v>2000000.0</v>
      </c>
      <c r="B13229" s="17">
        <v>6621700.0</v>
      </c>
    </row>
    <row r="13230">
      <c r="A13230" s="17">
        <v>2000000.0</v>
      </c>
      <c r="B13230" s="17">
        <v>6621800.0</v>
      </c>
    </row>
    <row r="13231">
      <c r="A13231" s="17">
        <v>2000000.0</v>
      </c>
      <c r="B13231" s="17">
        <v>6621900.0</v>
      </c>
    </row>
    <row r="13232">
      <c r="A13232" s="17">
        <v>2000000.0</v>
      </c>
      <c r="B13232" s="17">
        <v>6622000.0</v>
      </c>
    </row>
    <row r="13233">
      <c r="A13233" s="17">
        <v>2000000.0</v>
      </c>
      <c r="B13233" s="17">
        <v>6622100.0</v>
      </c>
    </row>
    <row r="13234">
      <c r="A13234" s="17">
        <v>2000000.0</v>
      </c>
      <c r="B13234" s="17">
        <v>6622200.0</v>
      </c>
    </row>
    <row r="13235">
      <c r="A13235" s="17">
        <v>2000000.0</v>
      </c>
      <c r="B13235" s="17">
        <v>6622300.0</v>
      </c>
    </row>
    <row r="13236">
      <c r="A13236" s="17">
        <v>2000000.0</v>
      </c>
      <c r="B13236" s="17">
        <v>6622400.0</v>
      </c>
    </row>
    <row r="13237">
      <c r="A13237" s="17">
        <v>2000000.0</v>
      </c>
      <c r="B13237" s="17">
        <v>6622500.0</v>
      </c>
    </row>
    <row r="13238">
      <c r="A13238" s="17">
        <v>2000000.0</v>
      </c>
      <c r="B13238" s="17">
        <v>6622600.0</v>
      </c>
    </row>
    <row r="13239">
      <c r="A13239" s="17">
        <v>2000000.0</v>
      </c>
      <c r="B13239" s="17">
        <v>6622700.0</v>
      </c>
    </row>
    <row r="13240">
      <c r="A13240" s="17">
        <v>2000000.0</v>
      </c>
      <c r="B13240" s="17">
        <v>6622800.0</v>
      </c>
    </row>
    <row r="13241">
      <c r="A13241" s="17">
        <v>2000000.0</v>
      </c>
      <c r="B13241" s="17">
        <v>6622900.0</v>
      </c>
    </row>
    <row r="13242">
      <c r="A13242" s="17">
        <v>2000000.0</v>
      </c>
      <c r="B13242" s="17">
        <v>6623000.0</v>
      </c>
    </row>
    <row r="13243">
      <c r="A13243" s="17">
        <v>2000000.0</v>
      </c>
      <c r="B13243" s="17">
        <v>6623100.0</v>
      </c>
    </row>
    <row r="13244">
      <c r="A13244" s="17">
        <v>2000000.0</v>
      </c>
      <c r="B13244" s="17">
        <v>6623200.0</v>
      </c>
    </row>
    <row r="13245">
      <c r="A13245" s="17">
        <v>2000000.0</v>
      </c>
      <c r="B13245" s="17">
        <v>6624000.0</v>
      </c>
    </row>
    <row r="13246">
      <c r="A13246" s="17">
        <v>2000000.0</v>
      </c>
      <c r="B13246" s="17">
        <v>6624100.0</v>
      </c>
    </row>
    <row r="13247">
      <c r="A13247" s="17">
        <v>2000000.0</v>
      </c>
      <c r="B13247" s="17">
        <v>6624200.0</v>
      </c>
    </row>
    <row r="13248">
      <c r="A13248" s="17">
        <v>2000000.0</v>
      </c>
      <c r="B13248" s="17">
        <v>6624300.0</v>
      </c>
    </row>
    <row r="13249">
      <c r="A13249" s="17">
        <v>2000000.0</v>
      </c>
      <c r="B13249" s="17">
        <v>6624400.0</v>
      </c>
    </row>
    <row r="13250">
      <c r="A13250" s="17">
        <v>2000000.0</v>
      </c>
      <c r="B13250" s="17">
        <v>6624500.0</v>
      </c>
    </row>
    <row r="13251">
      <c r="A13251" s="17">
        <v>2000000.0</v>
      </c>
      <c r="B13251" s="17">
        <v>6630000.0</v>
      </c>
    </row>
    <row r="13252">
      <c r="A13252" s="17">
        <v>2000000.0</v>
      </c>
      <c r="B13252" s="17">
        <v>6630100.0</v>
      </c>
    </row>
    <row r="13253">
      <c r="A13253" s="17">
        <v>2000000.0</v>
      </c>
      <c r="B13253" s="17">
        <v>6630200.0</v>
      </c>
    </row>
    <row r="13254">
      <c r="A13254" s="17">
        <v>2000000.0</v>
      </c>
      <c r="B13254" s="17">
        <v>6630300.0</v>
      </c>
    </row>
    <row r="13255">
      <c r="A13255" s="17">
        <v>2000000.0</v>
      </c>
      <c r="B13255" s="17">
        <v>6630400.0</v>
      </c>
    </row>
    <row r="13256">
      <c r="A13256" s="17">
        <v>2000000.0</v>
      </c>
      <c r="B13256" s="17">
        <v>6630500.0</v>
      </c>
    </row>
    <row r="13257">
      <c r="A13257" s="17">
        <v>2000000.0</v>
      </c>
      <c r="B13257" s="17">
        <v>6630600.0</v>
      </c>
    </row>
    <row r="13258">
      <c r="A13258" s="17">
        <v>2000000.0</v>
      </c>
      <c r="B13258" s="17">
        <v>6630700.0</v>
      </c>
    </row>
    <row r="13259">
      <c r="A13259" s="17">
        <v>2000000.0</v>
      </c>
      <c r="B13259" s="17">
        <v>6630800.0</v>
      </c>
    </row>
    <row r="13260">
      <c r="A13260" s="17">
        <v>2000000.0</v>
      </c>
      <c r="B13260" s="17">
        <v>6630900.0</v>
      </c>
    </row>
    <row r="13261">
      <c r="A13261" s="17">
        <v>2000000.0</v>
      </c>
      <c r="B13261" s="17">
        <v>6631000.0</v>
      </c>
    </row>
    <row r="13262">
      <c r="A13262" s="17">
        <v>2000000.0</v>
      </c>
      <c r="B13262" s="17">
        <v>6631100.0</v>
      </c>
    </row>
    <row r="13263">
      <c r="A13263" s="17">
        <v>2000000.0</v>
      </c>
      <c r="B13263" s="17">
        <v>6631200.0</v>
      </c>
    </row>
    <row r="13264">
      <c r="A13264" s="17">
        <v>2000000.0</v>
      </c>
      <c r="B13264" s="17">
        <v>6631300.0</v>
      </c>
    </row>
    <row r="13265">
      <c r="A13265" s="17">
        <v>2000000.0</v>
      </c>
      <c r="B13265" s="17">
        <v>6631400.0</v>
      </c>
    </row>
    <row r="13266">
      <c r="A13266" s="17">
        <v>2000000.0</v>
      </c>
      <c r="B13266" s="17">
        <v>6631500.0</v>
      </c>
    </row>
    <row r="13267">
      <c r="A13267" s="17">
        <v>2000000.0</v>
      </c>
      <c r="B13267" s="17">
        <v>6631600.0</v>
      </c>
    </row>
    <row r="13268">
      <c r="A13268" s="17">
        <v>2000000.0</v>
      </c>
      <c r="B13268" s="17">
        <v>6631700.0</v>
      </c>
    </row>
    <row r="13269">
      <c r="A13269" s="17">
        <v>2000000.0</v>
      </c>
      <c r="B13269" s="17">
        <v>6631800.0</v>
      </c>
    </row>
    <row r="13270">
      <c r="A13270" s="17">
        <v>2000000.0</v>
      </c>
      <c r="B13270" s="17">
        <v>6631900.0</v>
      </c>
    </row>
    <row r="13271">
      <c r="A13271" s="17">
        <v>2000000.0</v>
      </c>
      <c r="B13271" s="17">
        <v>6632000.0</v>
      </c>
    </row>
    <row r="13272">
      <c r="A13272" s="17">
        <v>2000000.0</v>
      </c>
      <c r="B13272" s="17">
        <v>6632100.0</v>
      </c>
    </row>
    <row r="13273">
      <c r="A13273" s="17">
        <v>2000000.0</v>
      </c>
      <c r="B13273" s="17">
        <v>6632200.0</v>
      </c>
    </row>
    <row r="13274">
      <c r="A13274" s="17">
        <v>2000000.0</v>
      </c>
      <c r="B13274" s="17">
        <v>6632300.0</v>
      </c>
    </row>
    <row r="13275">
      <c r="A13275" s="17">
        <v>2000000.0</v>
      </c>
      <c r="B13275" s="17">
        <v>6632400.0</v>
      </c>
    </row>
    <row r="13276">
      <c r="A13276" s="17">
        <v>2000000.0</v>
      </c>
      <c r="B13276" s="17">
        <v>6632500.0</v>
      </c>
    </row>
    <row r="13277">
      <c r="A13277" s="17">
        <v>2000000.0</v>
      </c>
      <c r="B13277" s="17">
        <v>6632600.0</v>
      </c>
    </row>
    <row r="13278">
      <c r="A13278" s="17">
        <v>2000000.0</v>
      </c>
      <c r="B13278" s="17">
        <v>6632700.0</v>
      </c>
    </row>
    <row r="13279">
      <c r="A13279" s="17">
        <v>2000000.0</v>
      </c>
      <c r="B13279" s="17">
        <v>6632800.0</v>
      </c>
    </row>
    <row r="13280">
      <c r="A13280" s="17">
        <v>2000000.0</v>
      </c>
      <c r="B13280" s="17">
        <v>6632900.0</v>
      </c>
    </row>
    <row r="13281">
      <c r="A13281" s="17">
        <v>2000000.0</v>
      </c>
      <c r="B13281" s="17">
        <v>6633000.0</v>
      </c>
    </row>
    <row r="13282">
      <c r="A13282" s="17">
        <v>2000000.0</v>
      </c>
      <c r="B13282" s="17">
        <v>6633100.0</v>
      </c>
    </row>
    <row r="13283">
      <c r="A13283" s="17">
        <v>2000000.0</v>
      </c>
      <c r="B13283" s="17">
        <v>6633200.0</v>
      </c>
    </row>
    <row r="13284">
      <c r="A13284" s="17">
        <v>2000000.0</v>
      </c>
      <c r="B13284" s="17">
        <v>6640000.0</v>
      </c>
    </row>
    <row r="13285">
      <c r="A13285" s="17">
        <v>2000000.0</v>
      </c>
      <c r="B13285" s="17">
        <v>6640100.0</v>
      </c>
    </row>
    <row r="13286">
      <c r="A13286" s="17">
        <v>2000000.0</v>
      </c>
      <c r="B13286" s="17">
        <v>6641000.0</v>
      </c>
    </row>
    <row r="13287">
      <c r="A13287" s="17">
        <v>2000000.0</v>
      </c>
      <c r="B13287" s="17">
        <v>6641100.0</v>
      </c>
    </row>
    <row r="13288">
      <c r="A13288" s="17">
        <v>2000000.0</v>
      </c>
      <c r="B13288" s="17">
        <v>6642000.0</v>
      </c>
    </row>
    <row r="13289">
      <c r="A13289" s="17">
        <v>2000000.0</v>
      </c>
      <c r="B13289" s="17">
        <v>6642100.0</v>
      </c>
    </row>
    <row r="13290">
      <c r="A13290" s="17">
        <v>2000000.0</v>
      </c>
      <c r="B13290" s="17">
        <v>6643000.0</v>
      </c>
    </row>
    <row r="13291">
      <c r="A13291" s="17">
        <v>2000000.0</v>
      </c>
      <c r="B13291" s="17">
        <v>6643100.0</v>
      </c>
    </row>
    <row r="13292">
      <c r="A13292" s="17">
        <v>2000000.0</v>
      </c>
      <c r="B13292" s="17">
        <v>6644000.0</v>
      </c>
    </row>
    <row r="13293">
      <c r="A13293" s="17">
        <v>2000000.0</v>
      </c>
      <c r="B13293" s="17">
        <v>6644100.0</v>
      </c>
    </row>
    <row r="13294">
      <c r="A13294" s="17">
        <v>2000000.0</v>
      </c>
      <c r="B13294" s="17">
        <v>6645000.0</v>
      </c>
    </row>
    <row r="13295">
      <c r="A13295" s="17">
        <v>2000000.0</v>
      </c>
      <c r="B13295" s="17">
        <v>6645100.0</v>
      </c>
    </row>
    <row r="13296">
      <c r="A13296" s="17">
        <v>2000000.0</v>
      </c>
      <c r="B13296" s="17">
        <v>6646000.0</v>
      </c>
    </row>
    <row r="13297">
      <c r="A13297" s="17">
        <v>2000000.0</v>
      </c>
      <c r="B13297" s="17">
        <v>6646100.0</v>
      </c>
    </row>
    <row r="13298">
      <c r="A13298" s="17">
        <v>2000000.0</v>
      </c>
      <c r="B13298" s="17">
        <v>6647000.0</v>
      </c>
    </row>
    <row r="13299">
      <c r="A13299" s="17">
        <v>2000000.0</v>
      </c>
      <c r="B13299" s="17">
        <v>6647100.0</v>
      </c>
    </row>
    <row r="13300">
      <c r="A13300" s="17">
        <v>2000000.0</v>
      </c>
      <c r="B13300" s="17">
        <v>6500800.0</v>
      </c>
    </row>
    <row r="13301">
      <c r="A13301" s="17">
        <v>2000000.0</v>
      </c>
      <c r="B13301" s="17">
        <v>6500900.0</v>
      </c>
    </row>
    <row r="13302">
      <c r="A13302" s="17">
        <v>2000000.0</v>
      </c>
      <c r="B13302" s="17">
        <v>6647200.0</v>
      </c>
    </row>
    <row r="13303">
      <c r="A13303" s="17">
        <v>2000000.0</v>
      </c>
      <c r="B13303" s="17">
        <v>6647300.0</v>
      </c>
    </row>
    <row r="13304">
      <c r="A13304" s="17">
        <v>2000000.0</v>
      </c>
      <c r="B13304" s="17">
        <v>6647400.0</v>
      </c>
    </row>
    <row r="13305">
      <c r="A13305" s="17">
        <v>2000000.0</v>
      </c>
      <c r="B13305" s="17">
        <v>6647500.0</v>
      </c>
    </row>
    <row r="13306">
      <c r="A13306" s="17">
        <v>2100000.0</v>
      </c>
      <c r="B13306" s="17">
        <v>7000000.0</v>
      </c>
    </row>
    <row r="13307">
      <c r="A13307" s="17">
        <v>2100000.0</v>
      </c>
      <c r="B13307" s="17">
        <v>7000001.0</v>
      </c>
    </row>
    <row r="13308">
      <c r="A13308" s="17">
        <v>2100000.0</v>
      </c>
      <c r="B13308" s="17">
        <v>7000002.0</v>
      </c>
    </row>
    <row r="13309">
      <c r="A13309" s="17">
        <v>2100000.0</v>
      </c>
      <c r="B13309" s="17">
        <v>7000100.0</v>
      </c>
    </row>
    <row r="13310">
      <c r="A13310" s="17">
        <v>2100000.0</v>
      </c>
      <c r="B13310" s="17">
        <v>7000101.0</v>
      </c>
    </row>
    <row r="13311">
      <c r="A13311" s="17">
        <v>2100000.0</v>
      </c>
      <c r="B13311" s="17">
        <v>7000102.0</v>
      </c>
    </row>
    <row r="13312">
      <c r="A13312" s="17">
        <v>2100000.0</v>
      </c>
      <c r="B13312" s="17">
        <v>7000200.0</v>
      </c>
    </row>
    <row r="13313">
      <c r="A13313" s="17">
        <v>2100000.0</v>
      </c>
      <c r="B13313" s="17">
        <v>7000201.0</v>
      </c>
    </row>
    <row r="13314">
      <c r="A13314" s="17">
        <v>2100000.0</v>
      </c>
      <c r="B13314" s="17">
        <v>7000202.0</v>
      </c>
    </row>
    <row r="13315">
      <c r="A13315" s="17">
        <v>2100000.0</v>
      </c>
      <c r="B13315" s="17">
        <v>7000300.0</v>
      </c>
    </row>
    <row r="13316">
      <c r="A13316" s="17">
        <v>2100000.0</v>
      </c>
      <c r="B13316" s="17">
        <v>7000301.0</v>
      </c>
    </row>
    <row r="13317">
      <c r="A13317" s="17">
        <v>2100000.0</v>
      </c>
      <c r="B13317" s="17">
        <v>7000302.0</v>
      </c>
    </row>
    <row r="13318">
      <c r="A13318" s="17">
        <v>2100000.0</v>
      </c>
      <c r="B13318" s="17">
        <v>7000400.0</v>
      </c>
    </row>
    <row r="13319">
      <c r="A13319" s="17">
        <v>2100000.0</v>
      </c>
      <c r="B13319" s="17">
        <v>7000401.0</v>
      </c>
    </row>
    <row r="13320">
      <c r="A13320" s="17">
        <v>2100000.0</v>
      </c>
      <c r="B13320" s="17">
        <v>7000402.0</v>
      </c>
    </row>
    <row r="13321">
      <c r="A13321" s="17">
        <v>2100000.0</v>
      </c>
      <c r="B13321" s="17">
        <v>7000500.0</v>
      </c>
    </row>
    <row r="13322">
      <c r="A13322" s="17">
        <v>2100000.0</v>
      </c>
      <c r="B13322" s="17">
        <v>7000501.0</v>
      </c>
    </row>
    <row r="13323">
      <c r="A13323" s="17">
        <v>2100000.0</v>
      </c>
      <c r="B13323" s="17">
        <v>7000502.0</v>
      </c>
    </row>
    <row r="13324">
      <c r="A13324" s="17">
        <v>2100000.0</v>
      </c>
      <c r="B13324" s="17">
        <v>7000600.0</v>
      </c>
    </row>
    <row r="13325">
      <c r="A13325" s="17">
        <v>2100000.0</v>
      </c>
      <c r="B13325" s="17">
        <v>7000601.0</v>
      </c>
    </row>
    <row r="13326">
      <c r="A13326" s="17">
        <v>2100000.0</v>
      </c>
      <c r="B13326" s="17">
        <v>7000602.0</v>
      </c>
    </row>
    <row r="13327">
      <c r="A13327" s="17">
        <v>2100000.0</v>
      </c>
      <c r="B13327" s="17">
        <v>7000700.0</v>
      </c>
    </row>
    <row r="13328">
      <c r="A13328" s="17">
        <v>2100000.0</v>
      </c>
      <c r="B13328" s="17">
        <v>7000701.0</v>
      </c>
    </row>
    <row r="13329">
      <c r="A13329" s="17">
        <v>2100000.0</v>
      </c>
      <c r="B13329" s="17">
        <v>7000702.0</v>
      </c>
    </row>
    <row r="13330">
      <c r="A13330" s="17">
        <v>2100000.0</v>
      </c>
      <c r="B13330" s="17">
        <v>7000800.0</v>
      </c>
    </row>
    <row r="13331">
      <c r="A13331" s="17">
        <v>2100000.0</v>
      </c>
      <c r="B13331" s="17">
        <v>7000801.0</v>
      </c>
    </row>
    <row r="13332">
      <c r="A13332" s="17">
        <v>2100000.0</v>
      </c>
      <c r="B13332" s="17">
        <v>7000802.0</v>
      </c>
    </row>
    <row r="13333">
      <c r="A13333" s="17">
        <v>2100000.0</v>
      </c>
      <c r="B13333" s="17">
        <v>7000900.0</v>
      </c>
    </row>
    <row r="13334">
      <c r="A13334" s="17">
        <v>2100000.0</v>
      </c>
      <c r="B13334" s="17">
        <v>7000901.0</v>
      </c>
    </row>
    <row r="13335">
      <c r="A13335" s="17">
        <v>2100000.0</v>
      </c>
      <c r="B13335" s="17">
        <v>7000902.0</v>
      </c>
    </row>
    <row r="13336">
      <c r="A13336" s="17">
        <v>2100000.0</v>
      </c>
      <c r="B13336" s="17">
        <v>7001000.0</v>
      </c>
    </row>
    <row r="13337">
      <c r="A13337" s="17">
        <v>2100000.0</v>
      </c>
      <c r="B13337" s="17">
        <v>7001001.0</v>
      </c>
    </row>
    <row r="13338">
      <c r="A13338" s="17">
        <v>2100000.0</v>
      </c>
      <c r="B13338" s="17">
        <v>7001002.0</v>
      </c>
    </row>
    <row r="13339">
      <c r="A13339" s="17">
        <v>2100000.0</v>
      </c>
      <c r="B13339" s="17">
        <v>7001400.0</v>
      </c>
    </row>
    <row r="13340">
      <c r="A13340" s="17">
        <v>2100000.0</v>
      </c>
      <c r="B13340" s="17">
        <v>7001401.0</v>
      </c>
    </row>
    <row r="13341">
      <c r="A13341" s="17">
        <v>2100000.0</v>
      </c>
      <c r="B13341" s="17">
        <v>7001402.0</v>
      </c>
    </row>
    <row r="13342">
      <c r="A13342" s="17">
        <v>2100000.0</v>
      </c>
      <c r="B13342" s="17">
        <v>7001500.0</v>
      </c>
    </row>
    <row r="13343">
      <c r="A13343" s="17">
        <v>2100000.0</v>
      </c>
      <c r="B13343" s="17">
        <v>7001501.0</v>
      </c>
    </row>
    <row r="13344">
      <c r="A13344" s="17">
        <v>2100000.0</v>
      </c>
      <c r="B13344" s="17">
        <v>7001502.0</v>
      </c>
    </row>
    <row r="13345">
      <c r="A13345" s="17">
        <v>2100000.0</v>
      </c>
      <c r="B13345" s="17">
        <v>7001600.0</v>
      </c>
    </row>
    <row r="13346">
      <c r="A13346" s="17">
        <v>2100000.0</v>
      </c>
      <c r="B13346" s="17">
        <v>7001601.0</v>
      </c>
    </row>
    <row r="13347">
      <c r="A13347" s="17">
        <v>2100000.0</v>
      </c>
      <c r="B13347" s="17">
        <v>7001602.0</v>
      </c>
    </row>
    <row r="13348">
      <c r="A13348" s="17">
        <v>2100000.0</v>
      </c>
      <c r="B13348" s="17">
        <v>7001700.0</v>
      </c>
    </row>
    <row r="13349">
      <c r="A13349" s="17">
        <v>2100000.0</v>
      </c>
      <c r="B13349" s="17">
        <v>7001701.0</v>
      </c>
    </row>
    <row r="13350">
      <c r="A13350" s="17">
        <v>2100000.0</v>
      </c>
      <c r="B13350" s="17">
        <v>7001702.0</v>
      </c>
    </row>
    <row r="13351">
      <c r="A13351" s="17">
        <v>2100000.0</v>
      </c>
      <c r="B13351" s="17">
        <v>7001800.0</v>
      </c>
    </row>
    <row r="13352">
      <c r="A13352" s="17">
        <v>2100000.0</v>
      </c>
      <c r="B13352" s="17">
        <v>7001801.0</v>
      </c>
    </row>
    <row r="13353">
      <c r="A13353" s="17">
        <v>2100000.0</v>
      </c>
      <c r="B13353" s="17">
        <v>7001802.0</v>
      </c>
    </row>
    <row r="13354">
      <c r="A13354" s="17">
        <v>2100000.0</v>
      </c>
      <c r="B13354" s="17">
        <v>7002600.0</v>
      </c>
    </row>
    <row r="13355">
      <c r="A13355" s="17">
        <v>2100000.0</v>
      </c>
      <c r="B13355" s="17">
        <v>7002700.0</v>
      </c>
    </row>
    <row r="13356">
      <c r="A13356" s="17">
        <v>2100000.0</v>
      </c>
      <c r="B13356" s="17">
        <v>7002800.0</v>
      </c>
    </row>
    <row r="13357">
      <c r="A13357" s="17">
        <v>2100000.0</v>
      </c>
      <c r="B13357" s="17">
        <v>7002900.0</v>
      </c>
    </row>
    <row r="13358">
      <c r="A13358" s="17">
        <v>2100000.0</v>
      </c>
      <c r="B13358" s="17">
        <v>7003000.0</v>
      </c>
    </row>
    <row r="13359">
      <c r="A13359" s="17">
        <v>2100000.0</v>
      </c>
      <c r="B13359" s="17">
        <v>7003100.0</v>
      </c>
    </row>
    <row r="13360">
      <c r="A13360" s="17">
        <v>2100000.0</v>
      </c>
      <c r="B13360" s="17">
        <v>7003200.0</v>
      </c>
    </row>
    <row r="13361">
      <c r="A13361" s="17">
        <v>2100000.0</v>
      </c>
      <c r="B13361" s="17">
        <v>7003300.0</v>
      </c>
    </row>
    <row r="13362">
      <c r="A13362" s="17">
        <v>2100000.0</v>
      </c>
      <c r="B13362" s="17">
        <v>7003400.0</v>
      </c>
    </row>
    <row r="13363">
      <c r="A13363" s="17">
        <v>2100000.0</v>
      </c>
      <c r="B13363" s="17">
        <v>7003500.0</v>
      </c>
    </row>
    <row r="13364">
      <c r="A13364" s="17">
        <v>2100000.0</v>
      </c>
      <c r="B13364" s="17">
        <v>7003600.0</v>
      </c>
    </row>
    <row r="13365">
      <c r="A13365" s="17">
        <v>2100000.0</v>
      </c>
      <c r="B13365" s="17">
        <v>7005600.0</v>
      </c>
    </row>
    <row r="13366">
      <c r="A13366" s="17">
        <v>2100000.0</v>
      </c>
      <c r="B13366" s="17">
        <v>7006000.0</v>
      </c>
    </row>
    <row r="13367">
      <c r="A13367" s="17">
        <v>2100000.0</v>
      </c>
      <c r="B13367" s="17">
        <v>7006100.0</v>
      </c>
    </row>
    <row r="13368">
      <c r="A13368" s="17">
        <v>2100000.0</v>
      </c>
      <c r="B13368" s="17">
        <v>7010200.0</v>
      </c>
    </row>
    <row r="13369">
      <c r="A13369" s="17">
        <v>2100000.0</v>
      </c>
      <c r="B13369" s="17">
        <v>7010500.0</v>
      </c>
    </row>
    <row r="13370">
      <c r="A13370" s="17">
        <v>2100000.0</v>
      </c>
      <c r="B13370" s="17">
        <v>7010700.0</v>
      </c>
    </row>
    <row r="13371">
      <c r="A13371" s="17">
        <v>2100000.0</v>
      </c>
      <c r="B13371" s="17">
        <v>7010900.0</v>
      </c>
    </row>
    <row r="13372">
      <c r="A13372" s="17">
        <v>2100000.0</v>
      </c>
      <c r="B13372" s="17">
        <v>7011000.0</v>
      </c>
    </row>
    <row r="13373">
      <c r="A13373" s="17">
        <v>2100000.0</v>
      </c>
      <c r="B13373" s="17">
        <v>7011200.0</v>
      </c>
    </row>
    <row r="13374">
      <c r="A13374" s="17">
        <v>2100000.0</v>
      </c>
      <c r="B13374" s="17">
        <v>7011600.0</v>
      </c>
    </row>
    <row r="13375">
      <c r="A13375" s="17">
        <v>2100000.0</v>
      </c>
      <c r="B13375" s="17">
        <v>7011700.0</v>
      </c>
    </row>
    <row r="13376">
      <c r="A13376" s="17">
        <v>2100000.0</v>
      </c>
      <c r="B13376" s="17">
        <v>7012000.0</v>
      </c>
    </row>
    <row r="13377">
      <c r="A13377" s="17">
        <v>2100000.0</v>
      </c>
      <c r="B13377" s="17">
        <v>7012200.0</v>
      </c>
    </row>
    <row r="13378">
      <c r="A13378" s="17">
        <v>2100000.0</v>
      </c>
      <c r="B13378" s="17">
        <v>7012300.0</v>
      </c>
    </row>
    <row r="13379">
      <c r="A13379" s="17">
        <v>2100000.0</v>
      </c>
      <c r="B13379" s="17">
        <v>7020000.0</v>
      </c>
    </row>
    <row r="13380">
      <c r="A13380" s="17">
        <v>2100000.0</v>
      </c>
      <c r="B13380" s="17">
        <v>7030000.0</v>
      </c>
    </row>
    <row r="13381">
      <c r="A13381" s="17">
        <v>2100000.0</v>
      </c>
      <c r="B13381" s="17">
        <v>7030200.0</v>
      </c>
    </row>
    <row r="13382">
      <c r="A13382" s="17">
        <v>2100000.0</v>
      </c>
      <c r="B13382" s="17">
        <v>7030600.0</v>
      </c>
    </row>
    <row r="13383">
      <c r="A13383" s="17">
        <v>2100000.0</v>
      </c>
      <c r="B13383" s="17">
        <v>7030700.0</v>
      </c>
    </row>
    <row r="13384">
      <c r="A13384" s="17">
        <v>2100000.0</v>
      </c>
      <c r="B13384" s="17">
        <v>7030800.0</v>
      </c>
    </row>
    <row r="13385">
      <c r="A13385" s="17">
        <v>2100000.0</v>
      </c>
      <c r="B13385" s="17">
        <v>7030900.0</v>
      </c>
    </row>
    <row r="13386">
      <c r="A13386" s="17">
        <v>2100000.0</v>
      </c>
      <c r="B13386" s="17">
        <v>7031200.0</v>
      </c>
    </row>
    <row r="13387">
      <c r="A13387" s="17">
        <v>2100000.0</v>
      </c>
      <c r="B13387" s="17">
        <v>7031300.0</v>
      </c>
    </row>
    <row r="13388">
      <c r="A13388" s="17">
        <v>2100000.0</v>
      </c>
      <c r="B13388" s="17">
        <v>7031800.0</v>
      </c>
    </row>
    <row r="13389">
      <c r="A13389" s="17">
        <v>2100000.0</v>
      </c>
      <c r="B13389" s="17">
        <v>7031900.0</v>
      </c>
    </row>
    <row r="13390">
      <c r="A13390" s="17">
        <v>2100000.0</v>
      </c>
      <c r="B13390" s="17">
        <v>7032200.0</v>
      </c>
    </row>
    <row r="13391">
      <c r="A13391" s="17">
        <v>2100000.0</v>
      </c>
      <c r="B13391" s="17">
        <v>7032400.0</v>
      </c>
    </row>
    <row r="13392">
      <c r="A13392" s="17">
        <v>2100000.0</v>
      </c>
      <c r="B13392" s="17">
        <v>7032700.0</v>
      </c>
    </row>
    <row r="13393">
      <c r="A13393" s="17">
        <v>2100000.0</v>
      </c>
      <c r="B13393" s="17">
        <v>7032800.0</v>
      </c>
    </row>
    <row r="13394">
      <c r="A13394" s="17">
        <v>2100000.0</v>
      </c>
      <c r="B13394" s="17">
        <v>7032900.0</v>
      </c>
    </row>
    <row r="13395">
      <c r="A13395" s="17">
        <v>2100000.0</v>
      </c>
      <c r="B13395" s="17">
        <v>7033200.0</v>
      </c>
    </row>
    <row r="13396">
      <c r="A13396" s="17">
        <v>2100000.0</v>
      </c>
      <c r="B13396" s="17">
        <v>7033400.0</v>
      </c>
    </row>
    <row r="13397">
      <c r="A13397" s="17">
        <v>2100000.0</v>
      </c>
      <c r="B13397" s="17">
        <v>7034100.0</v>
      </c>
    </row>
    <row r="13398">
      <c r="A13398" s="17">
        <v>2100000.0</v>
      </c>
      <c r="B13398" s="17">
        <v>7034400.0</v>
      </c>
    </row>
    <row r="13399">
      <c r="A13399" s="17">
        <v>2100000.0</v>
      </c>
      <c r="B13399" s="17">
        <v>7034500.0</v>
      </c>
    </row>
    <row r="13400">
      <c r="A13400" s="17">
        <v>2100000.0</v>
      </c>
      <c r="B13400" s="17">
        <v>7034600.0</v>
      </c>
    </row>
    <row r="13401">
      <c r="A13401" s="17">
        <v>2100000.0</v>
      </c>
      <c r="B13401" s="17">
        <v>7034700.0</v>
      </c>
    </row>
    <row r="13402">
      <c r="A13402" s="17">
        <v>2100000.0</v>
      </c>
      <c r="B13402" s="17">
        <v>7035100.0</v>
      </c>
    </row>
    <row r="13403">
      <c r="A13403" s="17">
        <v>2100000.0</v>
      </c>
      <c r="B13403" s="17">
        <v>7036100.0</v>
      </c>
    </row>
    <row r="13404">
      <c r="A13404" s="17">
        <v>2100000.0</v>
      </c>
      <c r="B13404" s="17">
        <v>7040000.0</v>
      </c>
    </row>
    <row r="13405">
      <c r="A13405" s="17">
        <v>2100000.0</v>
      </c>
      <c r="B13405" s="17">
        <v>7040100.0</v>
      </c>
    </row>
    <row r="13406">
      <c r="A13406" s="17">
        <v>2100000.0</v>
      </c>
      <c r="B13406" s="17">
        <v>7040200.0</v>
      </c>
    </row>
    <row r="13407">
      <c r="A13407" s="17">
        <v>2100000.0</v>
      </c>
      <c r="B13407" s="17">
        <v>7040300.0</v>
      </c>
    </row>
    <row r="13408">
      <c r="A13408" s="17">
        <v>2100000.0</v>
      </c>
      <c r="B13408" s="17">
        <v>7040400.0</v>
      </c>
    </row>
    <row r="13409">
      <c r="A13409" s="17">
        <v>2100000.0</v>
      </c>
      <c r="B13409" s="17">
        <v>7040500.0</v>
      </c>
    </row>
    <row r="13410">
      <c r="A13410" s="17">
        <v>2100000.0</v>
      </c>
      <c r="B13410" s="17">
        <v>7043000.0</v>
      </c>
    </row>
    <row r="13411">
      <c r="A13411" s="17">
        <v>2100000.0</v>
      </c>
      <c r="B13411" s="17">
        <v>7043100.0</v>
      </c>
    </row>
    <row r="13412">
      <c r="A13412" s="17">
        <v>2100000.0</v>
      </c>
      <c r="B13412" s="17">
        <v>7043200.0</v>
      </c>
    </row>
    <row r="13413">
      <c r="A13413" s="17">
        <v>2100000.0</v>
      </c>
      <c r="B13413" s="17">
        <v>7043300.0</v>
      </c>
    </row>
    <row r="13414">
      <c r="A13414" s="17">
        <v>2100000.0</v>
      </c>
      <c r="B13414" s="17">
        <v>7043400.0</v>
      </c>
    </row>
    <row r="13415">
      <c r="A13415" s="17">
        <v>2100000.0</v>
      </c>
      <c r="B13415" s="17">
        <v>7043500.0</v>
      </c>
    </row>
    <row r="13416">
      <c r="A13416" s="17">
        <v>2100000.0</v>
      </c>
      <c r="B13416" s="17">
        <v>7043600.0</v>
      </c>
    </row>
    <row r="13417">
      <c r="A13417" s="17">
        <v>2100000.0</v>
      </c>
      <c r="B13417" s="17">
        <v>7043700.0</v>
      </c>
    </row>
    <row r="13418">
      <c r="A13418" s="17">
        <v>2100000.0</v>
      </c>
      <c r="B13418" s="17">
        <v>7043800.0</v>
      </c>
    </row>
    <row r="13419">
      <c r="A13419" s="17">
        <v>2100000.0</v>
      </c>
      <c r="B13419" s="17">
        <v>7044000.0</v>
      </c>
    </row>
    <row r="13420">
      <c r="A13420" s="17">
        <v>2100000.0</v>
      </c>
      <c r="B13420" s="17">
        <v>7044100.0</v>
      </c>
    </row>
    <row r="13421">
      <c r="A13421" s="17">
        <v>2100000.0</v>
      </c>
      <c r="B13421" s="17">
        <v>7044200.0</v>
      </c>
    </row>
    <row r="13422">
      <c r="A13422" s="17">
        <v>2100000.0</v>
      </c>
      <c r="B13422" s="17">
        <v>7044300.0</v>
      </c>
    </row>
    <row r="13423">
      <c r="A13423" s="17">
        <v>2100000.0</v>
      </c>
      <c r="B13423" s="17">
        <v>7044400.0</v>
      </c>
    </row>
    <row r="13424">
      <c r="A13424" s="17">
        <v>2100000.0</v>
      </c>
      <c r="B13424" s="17">
        <v>7044500.0</v>
      </c>
    </row>
    <row r="13425">
      <c r="A13425" s="17">
        <v>2100000.0</v>
      </c>
      <c r="B13425" s="17">
        <v>7044600.0</v>
      </c>
    </row>
    <row r="13426">
      <c r="A13426" s="17">
        <v>2100000.0</v>
      </c>
      <c r="B13426" s="17">
        <v>7050000.0</v>
      </c>
    </row>
    <row r="13427">
      <c r="A13427" s="17">
        <v>2100000.0</v>
      </c>
      <c r="B13427" s="17">
        <v>7050100.0</v>
      </c>
    </row>
    <row r="13428">
      <c r="A13428" s="17">
        <v>2100000.0</v>
      </c>
      <c r="B13428" s="17">
        <v>7060000.0</v>
      </c>
    </row>
    <row r="13429">
      <c r="A13429" s="17">
        <v>2100000.0</v>
      </c>
      <c r="B13429" s="17">
        <v>7060100.0</v>
      </c>
    </row>
    <row r="13430">
      <c r="A13430" s="17">
        <v>2100000.0</v>
      </c>
      <c r="B13430" s="17">
        <v>7060200.0</v>
      </c>
    </row>
    <row r="13431">
      <c r="A13431" s="17">
        <v>2100000.0</v>
      </c>
      <c r="B13431" s="17">
        <v>7070000.0</v>
      </c>
    </row>
    <row r="13432">
      <c r="A13432" s="17">
        <v>2100000.0</v>
      </c>
      <c r="B13432" s="17">
        <v>7080000.0</v>
      </c>
    </row>
    <row r="13433">
      <c r="A13433" s="17">
        <v>2100000.0</v>
      </c>
      <c r="B13433" s="17">
        <v>7080100.0</v>
      </c>
    </row>
    <row r="13434">
      <c r="A13434" s="17">
        <v>2100000.0</v>
      </c>
      <c r="B13434" s="17">
        <v>7080200.0</v>
      </c>
    </row>
    <row r="13435">
      <c r="A13435" s="17">
        <v>2100000.0</v>
      </c>
      <c r="B13435" s="17">
        <v>7080300.0</v>
      </c>
    </row>
    <row r="13436">
      <c r="A13436" s="17">
        <v>2100000.0</v>
      </c>
      <c r="B13436" s="17">
        <v>7080400.0</v>
      </c>
    </row>
    <row r="13437">
      <c r="A13437" s="17">
        <v>2100000.0</v>
      </c>
      <c r="B13437" s="17">
        <v>7080500.0</v>
      </c>
    </row>
    <row r="13438">
      <c r="A13438" s="17">
        <v>2100000.0</v>
      </c>
      <c r="B13438" s="17">
        <v>7080600.0</v>
      </c>
    </row>
    <row r="13439">
      <c r="A13439" s="17">
        <v>2100000.0</v>
      </c>
      <c r="B13439" s="17">
        <v>7080700.0</v>
      </c>
    </row>
    <row r="13440">
      <c r="A13440" s="17">
        <v>2100000.0</v>
      </c>
      <c r="B13440" s="17">
        <v>7080800.0</v>
      </c>
    </row>
    <row r="13441">
      <c r="A13441" s="17">
        <v>2100000.0</v>
      </c>
      <c r="B13441" s="17">
        <v>7080900.0</v>
      </c>
    </row>
    <row r="13442">
      <c r="A13442" s="17">
        <v>2100000.0</v>
      </c>
      <c r="B13442" s="17">
        <v>7081000.0</v>
      </c>
    </row>
    <row r="13443">
      <c r="A13443" s="17">
        <v>2100000.0</v>
      </c>
      <c r="B13443" s="17">
        <v>7081100.0</v>
      </c>
    </row>
    <row r="13444">
      <c r="A13444" s="17">
        <v>2100000.0</v>
      </c>
      <c r="B13444" s="17">
        <v>7081200.0</v>
      </c>
    </row>
    <row r="13445">
      <c r="A13445" s="17">
        <v>2100000.0</v>
      </c>
      <c r="B13445" s="17">
        <v>7081300.0</v>
      </c>
    </row>
    <row r="13446">
      <c r="A13446" s="17">
        <v>2100000.0</v>
      </c>
      <c r="B13446" s="17">
        <v>7081400.0</v>
      </c>
    </row>
    <row r="13447">
      <c r="A13447" s="17">
        <v>2100000.0</v>
      </c>
      <c r="B13447" s="17">
        <v>7081500.0</v>
      </c>
    </row>
    <row r="13448">
      <c r="A13448" s="17">
        <v>2100000.0</v>
      </c>
      <c r="B13448" s="17">
        <v>7081700.0</v>
      </c>
    </row>
    <row r="13449">
      <c r="A13449" s="17">
        <v>2100000.0</v>
      </c>
      <c r="B13449" s="17">
        <v>7081800.0</v>
      </c>
    </row>
    <row r="13450">
      <c r="A13450" s="17">
        <v>2100000.0</v>
      </c>
      <c r="B13450" s="17">
        <v>7081900.0</v>
      </c>
    </row>
    <row r="13451">
      <c r="A13451" s="17">
        <v>2100000.0</v>
      </c>
      <c r="B13451" s="17">
        <v>7082000.0</v>
      </c>
    </row>
    <row r="13452">
      <c r="A13452" s="17">
        <v>2100000.0</v>
      </c>
      <c r="B13452" s="17">
        <v>7082100.0</v>
      </c>
    </row>
    <row r="13453">
      <c r="A13453" s="17">
        <v>2100000.0</v>
      </c>
      <c r="B13453" s="17">
        <v>7082200.0</v>
      </c>
    </row>
    <row r="13454">
      <c r="A13454" s="17">
        <v>2100000.0</v>
      </c>
      <c r="B13454" s="17">
        <v>7082300.0</v>
      </c>
    </row>
    <row r="13455">
      <c r="A13455" s="17">
        <v>2100000.0</v>
      </c>
      <c r="B13455" s="17">
        <v>7082400.0</v>
      </c>
    </row>
    <row r="13456">
      <c r="A13456" s="17">
        <v>2100000.0</v>
      </c>
      <c r="B13456" s="17">
        <v>7082500.0</v>
      </c>
    </row>
    <row r="13457">
      <c r="A13457" s="17">
        <v>2100000.0</v>
      </c>
      <c r="B13457" s="17">
        <v>7082600.0</v>
      </c>
    </row>
    <row r="13458">
      <c r="A13458" s="17">
        <v>2100000.0</v>
      </c>
      <c r="B13458" s="17">
        <v>7082700.0</v>
      </c>
    </row>
    <row r="13459">
      <c r="A13459" s="17">
        <v>2100000.0</v>
      </c>
      <c r="B13459" s="17">
        <v>7082800.0</v>
      </c>
    </row>
    <row r="13460">
      <c r="A13460" s="17">
        <v>2100000.0</v>
      </c>
      <c r="B13460" s="17">
        <v>7082900.0</v>
      </c>
    </row>
    <row r="13461">
      <c r="A13461" s="17">
        <v>2100000.0</v>
      </c>
      <c r="B13461" s="17">
        <v>7090000.0</v>
      </c>
    </row>
    <row r="13462">
      <c r="A13462" s="17">
        <v>2100000.0</v>
      </c>
      <c r="B13462" s="17">
        <v>7090100.0</v>
      </c>
    </row>
    <row r="13463">
      <c r="A13463" s="17">
        <v>2100000.0</v>
      </c>
      <c r="B13463" s="17">
        <v>7090300.0</v>
      </c>
    </row>
    <row r="13464">
      <c r="A13464" s="17">
        <v>2100000.0</v>
      </c>
      <c r="B13464" s="17">
        <v>7100100.0</v>
      </c>
    </row>
    <row r="13465">
      <c r="A13465" s="17">
        <v>2100000.0</v>
      </c>
      <c r="B13465" s="17">
        <v>7110000.0</v>
      </c>
    </row>
    <row r="13466">
      <c r="A13466" s="17">
        <v>2100000.0</v>
      </c>
      <c r="B13466" s="17">
        <v>7120000.0</v>
      </c>
    </row>
    <row r="13467">
      <c r="A13467" s="17">
        <v>2100000.0</v>
      </c>
      <c r="B13467" s="17">
        <v>7120100.0</v>
      </c>
    </row>
    <row r="13468">
      <c r="A13468" s="17">
        <v>2100000.0</v>
      </c>
      <c r="B13468" s="17">
        <v>7120200.0</v>
      </c>
    </row>
    <row r="13469">
      <c r="A13469" s="17">
        <v>2100000.0</v>
      </c>
      <c r="B13469" s="17">
        <v>7120300.0</v>
      </c>
    </row>
    <row r="13470">
      <c r="A13470" s="17">
        <v>2100000.0</v>
      </c>
      <c r="B13470" s="17">
        <v>7120400.0</v>
      </c>
    </row>
    <row r="13471">
      <c r="A13471" s="17">
        <v>2100000.0</v>
      </c>
      <c r="B13471" s="17">
        <v>7120500.0</v>
      </c>
    </row>
    <row r="13472">
      <c r="A13472" s="17">
        <v>2100000.0</v>
      </c>
      <c r="B13472" s="17">
        <v>7120600.0</v>
      </c>
    </row>
    <row r="13473">
      <c r="A13473" s="17">
        <v>2100000.0</v>
      </c>
      <c r="B13473" s="17">
        <v>7120900.0</v>
      </c>
    </row>
    <row r="13474">
      <c r="A13474" s="17">
        <v>2100000.0</v>
      </c>
      <c r="B13474" s="17">
        <v>7121000.0</v>
      </c>
    </row>
    <row r="13475">
      <c r="A13475" s="17">
        <v>2100000.0</v>
      </c>
      <c r="B13475" s="17">
        <v>7121100.0</v>
      </c>
    </row>
    <row r="13476">
      <c r="A13476" s="17">
        <v>2100000.0</v>
      </c>
      <c r="B13476" s="17">
        <v>7121200.0</v>
      </c>
    </row>
    <row r="13477">
      <c r="A13477" s="17">
        <v>2100000.0</v>
      </c>
      <c r="B13477" s="17">
        <v>7121300.0</v>
      </c>
    </row>
    <row r="13478">
      <c r="A13478" s="17">
        <v>2100000.0</v>
      </c>
      <c r="B13478" s="17">
        <v>7121400.0</v>
      </c>
    </row>
    <row r="13479">
      <c r="A13479" s="17">
        <v>2100000.0</v>
      </c>
      <c r="B13479" s="17">
        <v>7121500.0</v>
      </c>
    </row>
    <row r="13480">
      <c r="A13480" s="17">
        <v>2100000.0</v>
      </c>
      <c r="B13480" s="17">
        <v>7121600.0</v>
      </c>
    </row>
    <row r="13481">
      <c r="A13481" s="17">
        <v>2100000.0</v>
      </c>
      <c r="B13481" s="17">
        <v>7121700.0</v>
      </c>
    </row>
    <row r="13482">
      <c r="A13482" s="17">
        <v>2100000.0</v>
      </c>
      <c r="B13482" s="17">
        <v>7121800.0</v>
      </c>
    </row>
    <row r="13483">
      <c r="A13483" s="17">
        <v>2100000.0</v>
      </c>
      <c r="B13483" s="17">
        <v>7121900.0</v>
      </c>
    </row>
    <row r="13484">
      <c r="A13484" s="17">
        <v>2100000.0</v>
      </c>
      <c r="B13484" s="17">
        <v>7122000.0</v>
      </c>
    </row>
    <row r="13485">
      <c r="A13485" s="17">
        <v>2100000.0</v>
      </c>
      <c r="B13485" s="17">
        <v>7122100.0</v>
      </c>
    </row>
    <row r="13486">
      <c r="A13486" s="17">
        <v>2100000.0</v>
      </c>
      <c r="B13486" s="17">
        <v>7122200.0</v>
      </c>
    </row>
    <row r="13487">
      <c r="A13487" s="17">
        <v>2100000.0</v>
      </c>
      <c r="B13487" s="17">
        <v>7122300.0</v>
      </c>
    </row>
    <row r="13488">
      <c r="A13488" s="17">
        <v>2100000.0</v>
      </c>
      <c r="B13488" s="17">
        <v>7122400.0</v>
      </c>
    </row>
    <row r="13489">
      <c r="A13489" s="17">
        <v>2100000.0</v>
      </c>
      <c r="B13489" s="17">
        <v>7122500.0</v>
      </c>
    </row>
    <row r="13490">
      <c r="A13490" s="17">
        <v>2100000.0</v>
      </c>
      <c r="B13490" s="17">
        <v>7122600.0</v>
      </c>
    </row>
    <row r="13491">
      <c r="A13491" s="17">
        <v>2100000.0</v>
      </c>
      <c r="B13491" s="17">
        <v>7122700.0</v>
      </c>
    </row>
    <row r="13492">
      <c r="A13492" s="17">
        <v>2100000.0</v>
      </c>
      <c r="B13492" s="17">
        <v>7122800.0</v>
      </c>
    </row>
    <row r="13493">
      <c r="A13493" s="17">
        <v>2100000.0</v>
      </c>
      <c r="B13493" s="17">
        <v>7122900.0</v>
      </c>
    </row>
    <row r="13494">
      <c r="A13494" s="17">
        <v>2100000.0</v>
      </c>
      <c r="B13494" s="17">
        <v>7123000.0</v>
      </c>
    </row>
    <row r="13495">
      <c r="A13495" s="17">
        <v>2100000.0</v>
      </c>
      <c r="B13495" s="17">
        <v>7123100.0</v>
      </c>
    </row>
    <row r="13496">
      <c r="A13496" s="17">
        <v>2100000.0</v>
      </c>
      <c r="B13496" s="17">
        <v>7123200.0</v>
      </c>
    </row>
    <row r="13497">
      <c r="A13497" s="17">
        <v>2100000.0</v>
      </c>
      <c r="B13497" s="17">
        <v>7123300.0</v>
      </c>
    </row>
    <row r="13498">
      <c r="A13498" s="17">
        <v>2100000.0</v>
      </c>
      <c r="B13498" s="17">
        <v>7123400.0</v>
      </c>
    </row>
    <row r="13499">
      <c r="A13499" s="17">
        <v>2100000.0</v>
      </c>
      <c r="B13499" s="17">
        <v>7123500.0</v>
      </c>
    </row>
    <row r="13500">
      <c r="A13500" s="17">
        <v>2100000.0</v>
      </c>
      <c r="B13500" s="17">
        <v>7123600.0</v>
      </c>
    </row>
    <row r="13501">
      <c r="A13501" s="17">
        <v>2100000.0</v>
      </c>
      <c r="B13501" s="17">
        <v>7123700.0</v>
      </c>
    </row>
    <row r="13502">
      <c r="A13502" s="17">
        <v>2100000.0</v>
      </c>
      <c r="B13502" s="17">
        <v>7123800.0</v>
      </c>
    </row>
    <row r="13503">
      <c r="A13503" s="17">
        <v>2100000.0</v>
      </c>
      <c r="B13503" s="17">
        <v>7123900.0</v>
      </c>
    </row>
    <row r="13504">
      <c r="A13504" s="17">
        <v>2100000.0</v>
      </c>
      <c r="B13504" s="17">
        <v>7124000.0</v>
      </c>
    </row>
    <row r="13505">
      <c r="A13505" s="17">
        <v>2100000.0</v>
      </c>
      <c r="B13505" s="17">
        <v>7124100.0</v>
      </c>
    </row>
    <row r="13506">
      <c r="A13506" s="17">
        <v>2100000.0</v>
      </c>
      <c r="B13506" s="17">
        <v>7124300.0</v>
      </c>
    </row>
    <row r="13507">
      <c r="A13507" s="17">
        <v>2100000.0</v>
      </c>
      <c r="B13507" s="17">
        <v>7124400.0</v>
      </c>
    </row>
    <row r="13508">
      <c r="A13508" s="17">
        <v>2100000.0</v>
      </c>
      <c r="B13508" s="17">
        <v>7124500.0</v>
      </c>
    </row>
    <row r="13509">
      <c r="A13509" s="17">
        <v>2100000.0</v>
      </c>
      <c r="B13509" s="17">
        <v>7124600.0</v>
      </c>
    </row>
    <row r="13510">
      <c r="A13510" s="17">
        <v>2100000.0</v>
      </c>
      <c r="B13510" s="17">
        <v>7124700.0</v>
      </c>
    </row>
    <row r="13511">
      <c r="A13511" s="17">
        <v>2100000.0</v>
      </c>
      <c r="B13511" s="17">
        <v>7126000.0</v>
      </c>
    </row>
    <row r="13512">
      <c r="A13512" s="17">
        <v>2100000.0</v>
      </c>
      <c r="B13512" s="17">
        <v>7150000.0</v>
      </c>
    </row>
    <row r="13513">
      <c r="A13513" s="17">
        <v>2100000.0</v>
      </c>
      <c r="B13513" s="17">
        <v>7160000.0</v>
      </c>
    </row>
    <row r="13514">
      <c r="A13514" s="17">
        <v>2100000.0</v>
      </c>
      <c r="B13514" s="17">
        <v>7220000.0</v>
      </c>
    </row>
    <row r="13515">
      <c r="A13515" s="17">
        <v>2100000.0</v>
      </c>
      <c r="B13515" s="17">
        <v>7230000.0</v>
      </c>
    </row>
    <row r="13516">
      <c r="A13516" s="17">
        <v>2100000.0</v>
      </c>
      <c r="B13516" s="17">
        <v>7240000.0</v>
      </c>
    </row>
    <row r="13517">
      <c r="A13517" s="17">
        <v>2100000.0</v>
      </c>
      <c r="B13517" s="17">
        <v>7260000.0</v>
      </c>
    </row>
    <row r="13518">
      <c r="A13518" s="17">
        <v>2100000.0</v>
      </c>
      <c r="B13518" s="17">
        <v>7260300.0</v>
      </c>
    </row>
    <row r="13519">
      <c r="A13519" s="17">
        <v>2100000.0</v>
      </c>
      <c r="B13519" s="17">
        <v>7260400.0</v>
      </c>
    </row>
    <row r="13520">
      <c r="A13520" s="17">
        <v>2100000.0</v>
      </c>
      <c r="B13520" s="17">
        <v>7270100.0</v>
      </c>
    </row>
    <row r="13521">
      <c r="A13521" s="17">
        <v>2100000.0</v>
      </c>
      <c r="B13521" s="17">
        <v>7280000.0</v>
      </c>
    </row>
    <row r="13522">
      <c r="A13522" s="17">
        <v>2100000.0</v>
      </c>
      <c r="B13522" s="17">
        <v>7290000.0</v>
      </c>
    </row>
    <row r="13523">
      <c r="A13523" s="17">
        <v>2100000.0</v>
      </c>
      <c r="B13523" s="17">
        <v>7310000.0</v>
      </c>
    </row>
    <row r="13524">
      <c r="A13524" s="17">
        <v>2100000.0</v>
      </c>
      <c r="B13524" s="17">
        <v>7330000.0</v>
      </c>
    </row>
    <row r="13525">
      <c r="A13525" s="17">
        <v>2100000.0</v>
      </c>
      <c r="B13525" s="17">
        <v>7330100.0</v>
      </c>
    </row>
    <row r="13526">
      <c r="A13526" s="17">
        <v>2100000.0</v>
      </c>
      <c r="B13526" s="17">
        <v>7330200.0</v>
      </c>
    </row>
    <row r="13527">
      <c r="A13527" s="17">
        <v>2100000.0</v>
      </c>
      <c r="B13527" s="17">
        <v>7330300.0</v>
      </c>
    </row>
    <row r="13528">
      <c r="A13528" s="17">
        <v>2100000.0</v>
      </c>
      <c r="B13528" s="17">
        <v>7330400.0</v>
      </c>
    </row>
    <row r="13529">
      <c r="A13529" s="17">
        <v>2100000.0</v>
      </c>
      <c r="B13529" s="17">
        <v>7330500.0</v>
      </c>
    </row>
    <row r="13530">
      <c r="A13530" s="17">
        <v>2100000.0</v>
      </c>
      <c r="B13530" s="17">
        <v>7330600.0</v>
      </c>
    </row>
    <row r="13531">
      <c r="A13531" s="17">
        <v>2100000.0</v>
      </c>
      <c r="B13531" s="17">
        <v>7330700.0</v>
      </c>
    </row>
    <row r="13532">
      <c r="A13532" s="17">
        <v>2100000.0</v>
      </c>
      <c r="B13532" s="17">
        <v>7330800.0</v>
      </c>
    </row>
    <row r="13533">
      <c r="A13533" s="17">
        <v>2100000.0</v>
      </c>
      <c r="B13533" s="17">
        <v>7330900.0</v>
      </c>
    </row>
    <row r="13534">
      <c r="A13534" s="17">
        <v>2100000.0</v>
      </c>
      <c r="B13534" s="17">
        <v>7331000.0</v>
      </c>
    </row>
    <row r="13535">
      <c r="A13535" s="17">
        <v>2100000.0</v>
      </c>
      <c r="B13535" s="17">
        <v>7331100.0</v>
      </c>
    </row>
    <row r="13536">
      <c r="A13536" s="17">
        <v>2100000.0</v>
      </c>
      <c r="B13536" s="17">
        <v>7331200.0</v>
      </c>
    </row>
    <row r="13537">
      <c r="A13537" s="17">
        <v>2100000.0</v>
      </c>
      <c r="B13537" s="17">
        <v>7331300.0</v>
      </c>
    </row>
    <row r="13538">
      <c r="A13538" s="17">
        <v>2100000.0</v>
      </c>
      <c r="B13538" s="17">
        <v>7331400.0</v>
      </c>
    </row>
    <row r="13539">
      <c r="A13539" s="17">
        <v>2100000.0</v>
      </c>
      <c r="B13539" s="17">
        <v>7331500.0</v>
      </c>
    </row>
    <row r="13540">
      <c r="A13540" s="17">
        <v>2100000.0</v>
      </c>
      <c r="B13540" s="17">
        <v>7331700.0</v>
      </c>
    </row>
    <row r="13541">
      <c r="A13541" s="17">
        <v>2100000.0</v>
      </c>
      <c r="B13541" s="17">
        <v>7331800.0</v>
      </c>
    </row>
    <row r="13542">
      <c r="A13542" s="17">
        <v>2100000.0</v>
      </c>
      <c r="B13542" s="17">
        <v>7331900.0</v>
      </c>
    </row>
    <row r="13543">
      <c r="A13543" s="17">
        <v>2100000.0</v>
      </c>
      <c r="B13543" s="17">
        <v>7332000.0</v>
      </c>
    </row>
    <row r="13544">
      <c r="A13544" s="17">
        <v>2100000.0</v>
      </c>
      <c r="B13544" s="17">
        <v>7332100.0</v>
      </c>
    </row>
    <row r="13545">
      <c r="A13545" s="17">
        <v>2100000.0</v>
      </c>
      <c r="B13545" s="17">
        <v>7332200.0</v>
      </c>
    </row>
    <row r="13546">
      <c r="A13546" s="17">
        <v>2100000.0</v>
      </c>
      <c r="B13546" s="17">
        <v>7332300.0</v>
      </c>
    </row>
    <row r="13547">
      <c r="A13547" s="17">
        <v>2100000.0</v>
      </c>
      <c r="B13547" s="17">
        <v>7332400.0</v>
      </c>
    </row>
    <row r="13548">
      <c r="A13548" s="17">
        <v>2100000.0</v>
      </c>
      <c r="B13548" s="17">
        <v>7340000.0</v>
      </c>
    </row>
    <row r="13549">
      <c r="A13549" s="17">
        <v>2100000.0</v>
      </c>
      <c r="B13549" s="17">
        <v>7340100.0</v>
      </c>
    </row>
    <row r="13550">
      <c r="A13550" s="17">
        <v>2100000.0</v>
      </c>
      <c r="B13550" s="17">
        <v>7340200.0</v>
      </c>
    </row>
    <row r="13551">
      <c r="A13551" s="17">
        <v>2100000.0</v>
      </c>
      <c r="B13551" s="17">
        <v>7340300.0</v>
      </c>
    </row>
    <row r="13552">
      <c r="A13552" s="17">
        <v>2100000.0</v>
      </c>
      <c r="B13552" s="17">
        <v>7340400.0</v>
      </c>
    </row>
    <row r="13553">
      <c r="A13553" s="17">
        <v>2100000.0</v>
      </c>
      <c r="B13553" s="17">
        <v>7340500.0</v>
      </c>
    </row>
    <row r="13554">
      <c r="A13554" s="17">
        <v>2100000.0</v>
      </c>
      <c r="B13554" s="17">
        <v>7340600.0</v>
      </c>
    </row>
    <row r="13555">
      <c r="A13555" s="17">
        <v>2100000.0</v>
      </c>
      <c r="B13555" s="17">
        <v>7340700.0</v>
      </c>
    </row>
    <row r="13556">
      <c r="A13556" s="17">
        <v>2100000.0</v>
      </c>
      <c r="B13556" s="17">
        <v>7340800.0</v>
      </c>
    </row>
    <row r="13557">
      <c r="A13557" s="17">
        <v>2100000.0</v>
      </c>
      <c r="B13557" s="17">
        <v>7340900.0</v>
      </c>
    </row>
    <row r="13558">
      <c r="A13558" s="17">
        <v>2100000.0</v>
      </c>
      <c r="B13558" s="17">
        <v>7341000.0</v>
      </c>
    </row>
    <row r="13559">
      <c r="A13559" s="17">
        <v>2100000.0</v>
      </c>
      <c r="B13559" s="17">
        <v>7341100.0</v>
      </c>
    </row>
    <row r="13560">
      <c r="A13560" s="17">
        <v>2100000.0</v>
      </c>
      <c r="B13560" s="17">
        <v>7341200.0</v>
      </c>
    </row>
    <row r="13561">
      <c r="A13561" s="17">
        <v>2100000.0</v>
      </c>
      <c r="B13561" s="17">
        <v>7341300.0</v>
      </c>
    </row>
    <row r="13562">
      <c r="A13562" s="17">
        <v>2100000.0</v>
      </c>
      <c r="B13562" s="17">
        <v>7341400.0</v>
      </c>
    </row>
    <row r="13563">
      <c r="A13563" s="17">
        <v>2100000.0</v>
      </c>
      <c r="B13563" s="17">
        <v>7341500.0</v>
      </c>
    </row>
    <row r="13564">
      <c r="A13564" s="17">
        <v>2100000.0</v>
      </c>
      <c r="B13564" s="17">
        <v>7341700.0</v>
      </c>
    </row>
    <row r="13565">
      <c r="A13565" s="17">
        <v>2100000.0</v>
      </c>
      <c r="B13565" s="17">
        <v>7341800.0</v>
      </c>
    </row>
    <row r="13566">
      <c r="A13566" s="17">
        <v>2100000.0</v>
      </c>
      <c r="B13566" s="17">
        <v>7341900.0</v>
      </c>
    </row>
    <row r="13567">
      <c r="A13567" s="17">
        <v>2100000.0</v>
      </c>
      <c r="B13567" s="17">
        <v>7342000.0</v>
      </c>
    </row>
    <row r="13568">
      <c r="A13568" s="17">
        <v>2100000.0</v>
      </c>
      <c r="B13568" s="17">
        <v>7342100.0</v>
      </c>
    </row>
    <row r="13569">
      <c r="A13569" s="17">
        <v>2100000.0</v>
      </c>
      <c r="B13569" s="17">
        <v>7342200.0</v>
      </c>
    </row>
    <row r="13570">
      <c r="A13570" s="17">
        <v>2100000.0</v>
      </c>
      <c r="B13570" s="17">
        <v>7342300.0</v>
      </c>
    </row>
    <row r="13571">
      <c r="A13571" s="17">
        <v>2100000.0</v>
      </c>
      <c r="B13571" s="17">
        <v>7342400.0</v>
      </c>
    </row>
    <row r="13572">
      <c r="A13572" s="17">
        <v>2100000.0</v>
      </c>
      <c r="B13572" s="17">
        <v>7350000.0</v>
      </c>
    </row>
    <row r="13573">
      <c r="A13573" s="17">
        <v>2100000.0</v>
      </c>
      <c r="B13573" s="17">
        <v>7350100.0</v>
      </c>
    </row>
    <row r="13574">
      <c r="A13574" s="17">
        <v>2100000.0</v>
      </c>
      <c r="B13574" s="17">
        <v>7350200.0</v>
      </c>
    </row>
    <row r="13575">
      <c r="A13575" s="17">
        <v>2100000.0</v>
      </c>
      <c r="B13575" s="17">
        <v>7350300.0</v>
      </c>
    </row>
    <row r="13576">
      <c r="A13576" s="17">
        <v>2100000.0</v>
      </c>
      <c r="B13576" s="17">
        <v>7350400.0</v>
      </c>
    </row>
    <row r="13577">
      <c r="A13577" s="17">
        <v>2100000.0</v>
      </c>
      <c r="B13577" s="17">
        <v>7350500.0</v>
      </c>
    </row>
    <row r="13578">
      <c r="A13578" s="17">
        <v>2100000.0</v>
      </c>
      <c r="B13578" s="17">
        <v>7350600.0</v>
      </c>
    </row>
    <row r="13579">
      <c r="A13579" s="17">
        <v>2100000.0</v>
      </c>
      <c r="B13579" s="17">
        <v>7350700.0</v>
      </c>
    </row>
    <row r="13580">
      <c r="A13580" s="17">
        <v>2100000.0</v>
      </c>
      <c r="B13580" s="17">
        <v>7350800.0</v>
      </c>
    </row>
    <row r="13581">
      <c r="A13581" s="17">
        <v>2100000.0</v>
      </c>
      <c r="B13581" s="17">
        <v>7350900.0</v>
      </c>
    </row>
    <row r="13582">
      <c r="A13582" s="17">
        <v>2100000.0</v>
      </c>
      <c r="B13582" s="17">
        <v>7351000.0</v>
      </c>
    </row>
    <row r="13583">
      <c r="A13583" s="17">
        <v>2100000.0</v>
      </c>
      <c r="B13583" s="17">
        <v>7351100.0</v>
      </c>
    </row>
    <row r="13584">
      <c r="A13584" s="17">
        <v>2100000.0</v>
      </c>
      <c r="B13584" s="17">
        <v>7351200.0</v>
      </c>
    </row>
    <row r="13585">
      <c r="A13585" s="17">
        <v>2100000.0</v>
      </c>
      <c r="B13585" s="17">
        <v>7351300.0</v>
      </c>
    </row>
    <row r="13586">
      <c r="A13586" s="17">
        <v>2100000.0</v>
      </c>
      <c r="B13586" s="17">
        <v>7351400.0</v>
      </c>
    </row>
    <row r="13587">
      <c r="A13587" s="17">
        <v>2100000.0</v>
      </c>
      <c r="B13587" s="17">
        <v>7351500.0</v>
      </c>
    </row>
    <row r="13588">
      <c r="A13588" s="17">
        <v>2100000.0</v>
      </c>
      <c r="B13588" s="17">
        <v>7351700.0</v>
      </c>
    </row>
    <row r="13589">
      <c r="A13589" s="17">
        <v>2100000.0</v>
      </c>
      <c r="B13589" s="17">
        <v>7351800.0</v>
      </c>
    </row>
    <row r="13590">
      <c r="A13590" s="17">
        <v>2100000.0</v>
      </c>
      <c r="B13590" s="17">
        <v>7351900.0</v>
      </c>
    </row>
    <row r="13591">
      <c r="A13591" s="17">
        <v>2100000.0</v>
      </c>
      <c r="B13591" s="17">
        <v>7352000.0</v>
      </c>
    </row>
    <row r="13592">
      <c r="A13592" s="17">
        <v>2100000.0</v>
      </c>
      <c r="B13592" s="17">
        <v>7352100.0</v>
      </c>
    </row>
    <row r="13593">
      <c r="A13593" s="17">
        <v>2100000.0</v>
      </c>
      <c r="B13593" s="17">
        <v>7352200.0</v>
      </c>
    </row>
    <row r="13594">
      <c r="A13594" s="17">
        <v>2100000.0</v>
      </c>
      <c r="B13594" s="17">
        <v>7352300.0</v>
      </c>
    </row>
    <row r="13595">
      <c r="A13595" s="17">
        <v>2100000.0</v>
      </c>
      <c r="B13595" s="17">
        <v>7352400.0</v>
      </c>
    </row>
    <row r="13596">
      <c r="A13596" s="17">
        <v>2100000.0</v>
      </c>
      <c r="B13596" s="17">
        <v>6001400.0</v>
      </c>
    </row>
    <row r="13597">
      <c r="A13597" s="17">
        <v>2100000.0</v>
      </c>
      <c r="B13597" s="17">
        <v>6001401.0</v>
      </c>
    </row>
    <row r="13598">
      <c r="A13598" s="17">
        <v>2100000.0</v>
      </c>
      <c r="B13598" s="17">
        <v>6001500.0</v>
      </c>
    </row>
    <row r="13599">
      <c r="A13599" s="17">
        <v>2100000.0</v>
      </c>
      <c r="B13599" s="17">
        <v>6001501.0</v>
      </c>
    </row>
    <row r="13600">
      <c r="A13600" s="17">
        <v>2100000.0</v>
      </c>
      <c r="B13600" s="17">
        <v>6001600.0</v>
      </c>
    </row>
    <row r="13601">
      <c r="A13601" s="17">
        <v>2100000.0</v>
      </c>
      <c r="B13601" s="17">
        <v>6001601.0</v>
      </c>
    </row>
    <row r="13602">
      <c r="A13602" s="17">
        <v>2100000.0</v>
      </c>
      <c r="B13602" s="17">
        <v>6001700.0</v>
      </c>
    </row>
    <row r="13603">
      <c r="A13603" s="17">
        <v>2100000.0</v>
      </c>
      <c r="B13603" s="17">
        <v>6001701.0</v>
      </c>
    </row>
    <row r="13604">
      <c r="A13604" s="17">
        <v>2100000.0</v>
      </c>
      <c r="B13604" s="17">
        <v>6001800.0</v>
      </c>
    </row>
    <row r="13605">
      <c r="A13605" s="17">
        <v>2100000.0</v>
      </c>
      <c r="B13605" s="17">
        <v>6001801.0</v>
      </c>
    </row>
    <row r="13606">
      <c r="A13606" s="17">
        <v>2100000.0</v>
      </c>
      <c r="B13606" s="17">
        <v>6002600.0</v>
      </c>
    </row>
    <row r="13607">
      <c r="A13607" s="17">
        <v>2100000.0</v>
      </c>
      <c r="B13607" s="17">
        <v>6002601.0</v>
      </c>
    </row>
    <row r="13608">
      <c r="A13608" s="17">
        <v>2100000.0</v>
      </c>
      <c r="B13608" s="17">
        <v>6002700.0</v>
      </c>
    </row>
    <row r="13609">
      <c r="A13609" s="17">
        <v>2100000.0</v>
      </c>
      <c r="B13609" s="17">
        <v>6002701.0</v>
      </c>
    </row>
    <row r="13610">
      <c r="A13610" s="17">
        <v>2100000.0</v>
      </c>
      <c r="B13610" s="17">
        <v>6002800.0</v>
      </c>
    </row>
    <row r="13611">
      <c r="A13611" s="17">
        <v>2100000.0</v>
      </c>
      <c r="B13611" s="17">
        <v>6002801.0</v>
      </c>
    </row>
    <row r="13612">
      <c r="A13612" s="17">
        <v>2100000.0</v>
      </c>
      <c r="B13612" s="17">
        <v>6002900.0</v>
      </c>
    </row>
    <row r="13613">
      <c r="A13613" s="17">
        <v>2100000.0</v>
      </c>
      <c r="B13613" s="17">
        <v>6002901.0</v>
      </c>
    </row>
    <row r="13614">
      <c r="A13614" s="17">
        <v>2100000.0</v>
      </c>
      <c r="B13614" s="17">
        <v>6003000.0</v>
      </c>
    </row>
    <row r="13615">
      <c r="A13615" s="17">
        <v>2100000.0</v>
      </c>
      <c r="B13615" s="17">
        <v>6003001.0</v>
      </c>
    </row>
    <row r="13616">
      <c r="A13616" s="17">
        <v>2100000.0</v>
      </c>
      <c r="B13616" s="17">
        <v>6003100.0</v>
      </c>
    </row>
    <row r="13617">
      <c r="A13617" s="17">
        <v>2100000.0</v>
      </c>
      <c r="B13617" s="17">
        <v>6003101.0</v>
      </c>
    </row>
    <row r="13618">
      <c r="A13618" s="17">
        <v>2100000.0</v>
      </c>
      <c r="B13618" s="17">
        <v>6003200.0</v>
      </c>
    </row>
    <row r="13619">
      <c r="A13619" s="17">
        <v>2100000.0</v>
      </c>
      <c r="B13619" s="17">
        <v>6003201.0</v>
      </c>
    </row>
    <row r="13620">
      <c r="A13620" s="17">
        <v>2100000.0</v>
      </c>
      <c r="B13620" s="17">
        <v>6003300.0</v>
      </c>
    </row>
    <row r="13621">
      <c r="A13621" s="17">
        <v>2100000.0</v>
      </c>
      <c r="B13621" s="17">
        <v>6003301.0</v>
      </c>
    </row>
    <row r="13622">
      <c r="A13622" s="17">
        <v>2100000.0</v>
      </c>
      <c r="B13622" s="17">
        <v>6003400.0</v>
      </c>
    </row>
    <row r="13623">
      <c r="A13623" s="17">
        <v>2100000.0</v>
      </c>
      <c r="B13623" s="17">
        <v>6003401.0</v>
      </c>
    </row>
    <row r="13624">
      <c r="A13624" s="17">
        <v>2100000.0</v>
      </c>
      <c r="B13624" s="17">
        <v>6003500.0</v>
      </c>
    </row>
    <row r="13625">
      <c r="A13625" s="17">
        <v>2100000.0</v>
      </c>
      <c r="B13625" s="17">
        <v>6003501.0</v>
      </c>
    </row>
    <row r="13626">
      <c r="A13626" s="17">
        <v>2100000.0</v>
      </c>
      <c r="B13626" s="17">
        <v>6003600.0</v>
      </c>
    </row>
    <row r="13627">
      <c r="A13627" s="17">
        <v>2100000.0</v>
      </c>
      <c r="B13627" s="17">
        <v>6003601.0</v>
      </c>
    </row>
    <row r="13628">
      <c r="A13628" s="17">
        <v>2100000.0</v>
      </c>
      <c r="B13628" s="17">
        <v>6005600.0</v>
      </c>
    </row>
    <row r="13629">
      <c r="A13629" s="17">
        <v>2100000.0</v>
      </c>
      <c r="B13629" s="17">
        <v>6005601.0</v>
      </c>
    </row>
    <row r="13630">
      <c r="A13630" s="17">
        <v>2100000.0</v>
      </c>
      <c r="B13630" s="17">
        <v>6030200.0</v>
      </c>
    </row>
    <row r="13631">
      <c r="A13631" s="17">
        <v>2100000.0</v>
      </c>
      <c r="B13631" s="17">
        <v>6030201.0</v>
      </c>
    </row>
    <row r="13632">
      <c r="A13632" s="17">
        <v>2100000.0</v>
      </c>
      <c r="B13632" s="17">
        <v>6030600.0</v>
      </c>
    </row>
    <row r="13633">
      <c r="A13633" s="17">
        <v>2100000.0</v>
      </c>
      <c r="B13633" s="17">
        <v>6030800.0</v>
      </c>
    </row>
    <row r="13634">
      <c r="A13634" s="17">
        <v>2100000.0</v>
      </c>
      <c r="B13634" s="17">
        <v>6030900.0</v>
      </c>
    </row>
    <row r="13635">
      <c r="A13635" s="17">
        <v>2100000.0</v>
      </c>
      <c r="B13635" s="17">
        <v>6030901.0</v>
      </c>
    </row>
    <row r="13636">
      <c r="A13636" s="17">
        <v>2100000.0</v>
      </c>
      <c r="B13636" s="17">
        <v>6035100.0</v>
      </c>
    </row>
    <row r="13637">
      <c r="A13637" s="17">
        <v>2100000.0</v>
      </c>
      <c r="B13637" s="17">
        <v>6035101.0</v>
      </c>
    </row>
    <row r="13638">
      <c r="A13638" s="17">
        <v>2100000.0</v>
      </c>
      <c r="B13638" s="17">
        <v>6040100.0</v>
      </c>
    </row>
    <row r="13639">
      <c r="A13639" s="17">
        <v>2100000.0</v>
      </c>
      <c r="B13639" s="17">
        <v>6040101.0</v>
      </c>
    </row>
    <row r="13640">
      <c r="A13640" s="17">
        <v>2100000.0</v>
      </c>
      <c r="B13640" s="17">
        <v>6040300.0</v>
      </c>
    </row>
    <row r="13641">
      <c r="A13641" s="17">
        <v>2100000.0</v>
      </c>
      <c r="B13641" s="17">
        <v>6040301.0</v>
      </c>
    </row>
    <row r="13642">
      <c r="A13642" s="17">
        <v>2100000.0</v>
      </c>
      <c r="B13642" s="17">
        <v>6040400.0</v>
      </c>
    </row>
    <row r="13643">
      <c r="A13643" s="17">
        <v>2100000.0</v>
      </c>
      <c r="B13643" s="17">
        <v>6040401.0</v>
      </c>
    </row>
    <row r="13644">
      <c r="A13644" s="17">
        <v>2100000.0</v>
      </c>
      <c r="B13644" s="17">
        <v>6040500.0</v>
      </c>
    </row>
    <row r="13645">
      <c r="A13645" s="17">
        <v>2100000.0</v>
      </c>
      <c r="B13645" s="17">
        <v>6040501.0</v>
      </c>
    </row>
    <row r="13646">
      <c r="A13646" s="17">
        <v>2100000.0</v>
      </c>
      <c r="B13646" s="17">
        <v>6043100.0</v>
      </c>
    </row>
    <row r="13647">
      <c r="A13647" s="17">
        <v>2100000.0</v>
      </c>
      <c r="B13647" s="17">
        <v>6043101.0</v>
      </c>
    </row>
    <row r="13648">
      <c r="A13648" s="17">
        <v>2100000.0</v>
      </c>
      <c r="B13648" s="17">
        <v>6060300.0</v>
      </c>
    </row>
    <row r="13649">
      <c r="A13649" s="17">
        <v>2100000.0</v>
      </c>
      <c r="B13649" s="17">
        <v>6060400.0</v>
      </c>
    </row>
    <row r="13650">
      <c r="A13650" s="17">
        <v>2100000.0</v>
      </c>
      <c r="B13650" s="17">
        <v>6060500.0</v>
      </c>
    </row>
    <row r="13651">
      <c r="A13651" s="17">
        <v>2100000.0</v>
      </c>
      <c r="B13651" s="17">
        <v>6060600.0</v>
      </c>
    </row>
    <row r="13652">
      <c r="A13652" s="17">
        <v>2100000.0</v>
      </c>
      <c r="B13652" s="17">
        <v>6090000.0</v>
      </c>
    </row>
    <row r="13653">
      <c r="A13653" s="17">
        <v>2100000.0</v>
      </c>
      <c r="B13653" s="17">
        <v>6160000.0</v>
      </c>
    </row>
    <row r="13654">
      <c r="A13654" s="17">
        <v>2100000.0</v>
      </c>
      <c r="B13654" s="17">
        <v>6260000.0</v>
      </c>
    </row>
    <row r="13655">
      <c r="A13655" s="17">
        <v>2100000.0</v>
      </c>
      <c r="B13655" s="17">
        <v>6260001.0</v>
      </c>
    </row>
    <row r="13656">
      <c r="A13656" s="17">
        <v>2100000.0</v>
      </c>
      <c r="B13656" s="17">
        <v>6260300.0</v>
      </c>
    </row>
    <row r="13657">
      <c r="A13657" s="17">
        <v>2100000.0</v>
      </c>
      <c r="B13657" s="17">
        <v>6260301.0</v>
      </c>
    </row>
    <row r="13658">
      <c r="A13658" s="17">
        <v>2100000.0</v>
      </c>
      <c r="B13658" s="17">
        <v>6260400.0</v>
      </c>
    </row>
    <row r="13659">
      <c r="A13659" s="17">
        <v>2100000.0</v>
      </c>
      <c r="B13659" s="17">
        <v>6260401.0</v>
      </c>
    </row>
    <row r="13660">
      <c r="A13660" s="17">
        <v>2100000.0</v>
      </c>
      <c r="B13660" s="17">
        <v>6500000.0</v>
      </c>
    </row>
    <row r="13661">
      <c r="A13661" s="17">
        <v>2100000.0</v>
      </c>
      <c r="B13661" s="17">
        <v>6500100.0</v>
      </c>
    </row>
    <row r="13662">
      <c r="A13662" s="17">
        <v>2100000.0</v>
      </c>
      <c r="B13662" s="17">
        <v>6500200.0</v>
      </c>
    </row>
    <row r="13663">
      <c r="A13663" s="17">
        <v>2100000.0</v>
      </c>
      <c r="B13663" s="17">
        <v>6500300.0</v>
      </c>
    </row>
    <row r="13664">
      <c r="A13664" s="17">
        <v>2100000.0</v>
      </c>
      <c r="B13664" s="17">
        <v>6500400.0</v>
      </c>
    </row>
    <row r="13665">
      <c r="A13665" s="17">
        <v>2100000.0</v>
      </c>
      <c r="B13665" s="17">
        <v>6500500.0</v>
      </c>
    </row>
    <row r="13666">
      <c r="A13666" s="17">
        <v>2100000.0</v>
      </c>
      <c r="B13666" s="17">
        <v>6500600.0</v>
      </c>
    </row>
    <row r="13667">
      <c r="A13667" s="17">
        <v>2100000.0</v>
      </c>
      <c r="B13667" s="17">
        <v>6500700.0</v>
      </c>
    </row>
    <row r="13668">
      <c r="A13668" s="17">
        <v>2100000.0</v>
      </c>
      <c r="B13668" s="17">
        <v>6600000.0</v>
      </c>
    </row>
    <row r="13669">
      <c r="A13669" s="17">
        <v>2100000.0</v>
      </c>
      <c r="B13669" s="17">
        <v>6600001.0</v>
      </c>
    </row>
    <row r="13670">
      <c r="A13670" s="17">
        <v>2100000.0</v>
      </c>
      <c r="B13670" s="17">
        <v>6600100.0</v>
      </c>
    </row>
    <row r="13671">
      <c r="A13671" s="17">
        <v>2100000.0</v>
      </c>
      <c r="B13671" s="17">
        <v>6600101.0</v>
      </c>
    </row>
    <row r="13672">
      <c r="A13672" s="17">
        <v>2100000.0</v>
      </c>
      <c r="B13672" s="17">
        <v>6610400.0</v>
      </c>
    </row>
    <row r="13673">
      <c r="A13673" s="17">
        <v>2100000.0</v>
      </c>
      <c r="B13673" s="17">
        <v>6610500.0</v>
      </c>
    </row>
    <row r="13674">
      <c r="A13674" s="17">
        <v>2100000.0</v>
      </c>
      <c r="B13674" s="17">
        <v>6610600.0</v>
      </c>
    </row>
    <row r="13675">
      <c r="A13675" s="17">
        <v>2100000.0</v>
      </c>
      <c r="B13675" s="17">
        <v>6610700.0</v>
      </c>
    </row>
    <row r="13676">
      <c r="A13676" s="17">
        <v>2100000.0</v>
      </c>
      <c r="B13676" s="17">
        <v>6610701.0</v>
      </c>
    </row>
    <row r="13677">
      <c r="A13677" s="17">
        <v>2100000.0</v>
      </c>
      <c r="B13677" s="17">
        <v>6610702.0</v>
      </c>
    </row>
    <row r="13678">
      <c r="A13678" s="17">
        <v>2100000.0</v>
      </c>
      <c r="B13678" s="17">
        <v>6610800.0</v>
      </c>
    </row>
    <row r="13679">
      <c r="A13679" s="17">
        <v>2100000.0</v>
      </c>
      <c r="B13679" s="17">
        <v>6610801.0</v>
      </c>
    </row>
    <row r="13680">
      <c r="A13680" s="17">
        <v>2100000.0</v>
      </c>
      <c r="B13680" s="17">
        <v>6610802.0</v>
      </c>
    </row>
    <row r="13681">
      <c r="A13681" s="17">
        <v>2100000.0</v>
      </c>
      <c r="B13681" s="17">
        <v>7006200.0</v>
      </c>
    </row>
    <row r="13682">
      <c r="A13682" s="17">
        <v>2100000.0</v>
      </c>
      <c r="B13682" s="17">
        <v>6611001.0</v>
      </c>
    </row>
    <row r="13683">
      <c r="A13683" s="17">
        <v>2100000.0</v>
      </c>
      <c r="B13683" s="17">
        <v>6611002.0</v>
      </c>
    </row>
    <row r="13684">
      <c r="A13684" s="17">
        <v>2100000.0</v>
      </c>
      <c r="B13684" s="17">
        <v>6611100.0</v>
      </c>
    </row>
    <row r="13685">
      <c r="A13685" s="17">
        <v>2100000.0</v>
      </c>
      <c r="B13685" s="17">
        <v>6611101.0</v>
      </c>
    </row>
    <row r="13686">
      <c r="A13686" s="17">
        <v>2100000.0</v>
      </c>
      <c r="B13686" s="17">
        <v>6611102.0</v>
      </c>
    </row>
    <row r="13687">
      <c r="A13687" s="17">
        <v>2100000.0</v>
      </c>
      <c r="B13687" s="17">
        <v>6611200.0</v>
      </c>
    </row>
    <row r="13688">
      <c r="A13688" s="17">
        <v>2100000.0</v>
      </c>
      <c r="B13688" s="17">
        <v>6611201.0</v>
      </c>
    </row>
    <row r="13689">
      <c r="A13689" s="17">
        <v>2100000.0</v>
      </c>
      <c r="B13689" s="17">
        <v>6611202.0</v>
      </c>
    </row>
    <row r="13690">
      <c r="A13690" s="17">
        <v>2100000.0</v>
      </c>
      <c r="B13690" s="17">
        <v>6611300.0</v>
      </c>
    </row>
    <row r="13691">
      <c r="A13691" s="17">
        <v>2100000.0</v>
      </c>
      <c r="B13691" s="17">
        <v>6611301.0</v>
      </c>
    </row>
    <row r="13692">
      <c r="A13692" s="17">
        <v>2100000.0</v>
      </c>
      <c r="B13692" s="17">
        <v>6611302.0</v>
      </c>
    </row>
    <row r="13693">
      <c r="A13693" s="17">
        <v>2100000.0</v>
      </c>
      <c r="B13693" s="17">
        <v>6611400.0</v>
      </c>
    </row>
    <row r="13694">
      <c r="A13694" s="17">
        <v>2100000.0</v>
      </c>
      <c r="B13694" s="17">
        <v>6621000.0</v>
      </c>
    </row>
    <row r="13695">
      <c r="A13695" s="17">
        <v>2100000.0</v>
      </c>
      <c r="B13695" s="17">
        <v>6621100.0</v>
      </c>
    </row>
    <row r="13696">
      <c r="A13696" s="17">
        <v>2100000.0</v>
      </c>
      <c r="B13696" s="17">
        <v>6621200.0</v>
      </c>
    </row>
    <row r="13697">
      <c r="A13697" s="17">
        <v>2100000.0</v>
      </c>
      <c r="B13697" s="17">
        <v>6621300.0</v>
      </c>
    </row>
    <row r="13698">
      <c r="A13698" s="17">
        <v>2100000.0</v>
      </c>
      <c r="B13698" s="17">
        <v>6621400.0</v>
      </c>
    </row>
    <row r="13699">
      <c r="A13699" s="17">
        <v>2100000.0</v>
      </c>
      <c r="B13699" s="17">
        <v>6621500.0</v>
      </c>
    </row>
    <row r="13700">
      <c r="A13700" s="17">
        <v>2100000.0</v>
      </c>
      <c r="B13700" s="17">
        <v>6621600.0</v>
      </c>
    </row>
    <row r="13701">
      <c r="A13701" s="17">
        <v>2100000.0</v>
      </c>
      <c r="B13701" s="17">
        <v>6621700.0</v>
      </c>
    </row>
    <row r="13702">
      <c r="A13702" s="17">
        <v>2100000.0</v>
      </c>
      <c r="B13702" s="17">
        <v>6621800.0</v>
      </c>
    </row>
    <row r="13703">
      <c r="A13703" s="17">
        <v>2100000.0</v>
      </c>
      <c r="B13703" s="17">
        <v>6621900.0</v>
      </c>
    </row>
    <row r="13704">
      <c r="A13704" s="17">
        <v>2100000.0</v>
      </c>
      <c r="B13704" s="17">
        <v>6622000.0</v>
      </c>
    </row>
    <row r="13705">
      <c r="A13705" s="17">
        <v>2100000.0</v>
      </c>
      <c r="B13705" s="17">
        <v>6622100.0</v>
      </c>
    </row>
    <row r="13706">
      <c r="A13706" s="17">
        <v>2100000.0</v>
      </c>
      <c r="B13706" s="17">
        <v>6622200.0</v>
      </c>
    </row>
    <row r="13707">
      <c r="A13707" s="17">
        <v>2100000.0</v>
      </c>
      <c r="B13707" s="17">
        <v>6622300.0</v>
      </c>
    </row>
    <row r="13708">
      <c r="A13708" s="17">
        <v>2100000.0</v>
      </c>
      <c r="B13708" s="17">
        <v>6622400.0</v>
      </c>
    </row>
    <row r="13709">
      <c r="A13709" s="17">
        <v>2100000.0</v>
      </c>
      <c r="B13709" s="17">
        <v>6622500.0</v>
      </c>
    </row>
    <row r="13710">
      <c r="A13710" s="17">
        <v>2100000.0</v>
      </c>
      <c r="B13710" s="17">
        <v>6622600.0</v>
      </c>
    </row>
    <row r="13711">
      <c r="A13711" s="17">
        <v>2100000.0</v>
      </c>
      <c r="B13711" s="17">
        <v>6622700.0</v>
      </c>
    </row>
    <row r="13712">
      <c r="A13712" s="17">
        <v>2100000.0</v>
      </c>
      <c r="B13712" s="17">
        <v>6622800.0</v>
      </c>
    </row>
    <row r="13713">
      <c r="A13713" s="17">
        <v>2100000.0</v>
      </c>
      <c r="B13713" s="17">
        <v>6622900.0</v>
      </c>
    </row>
    <row r="13714">
      <c r="A13714" s="17">
        <v>2100000.0</v>
      </c>
      <c r="B13714" s="17">
        <v>6623000.0</v>
      </c>
    </row>
    <row r="13715">
      <c r="A13715" s="17">
        <v>2100000.0</v>
      </c>
      <c r="B13715" s="17">
        <v>6623100.0</v>
      </c>
    </row>
    <row r="13716">
      <c r="A13716" s="17">
        <v>2100000.0</v>
      </c>
      <c r="B13716" s="17">
        <v>6623200.0</v>
      </c>
    </row>
    <row r="13717">
      <c r="A13717" s="17">
        <v>2100000.0</v>
      </c>
      <c r="B13717" s="17">
        <v>6624000.0</v>
      </c>
    </row>
    <row r="13718">
      <c r="A13718" s="17">
        <v>2100000.0</v>
      </c>
      <c r="B13718" s="17">
        <v>6624100.0</v>
      </c>
    </row>
    <row r="13719">
      <c r="A13719" s="17">
        <v>2100000.0</v>
      </c>
      <c r="B13719" s="17">
        <v>6624200.0</v>
      </c>
    </row>
    <row r="13720">
      <c r="A13720" s="17">
        <v>2100000.0</v>
      </c>
      <c r="B13720" s="17">
        <v>6624300.0</v>
      </c>
    </row>
    <row r="13721">
      <c r="A13721" s="17">
        <v>2100000.0</v>
      </c>
      <c r="B13721" s="17">
        <v>6624400.0</v>
      </c>
    </row>
    <row r="13722">
      <c r="A13722" s="17">
        <v>2100000.0</v>
      </c>
      <c r="B13722" s="17">
        <v>6624500.0</v>
      </c>
    </row>
    <row r="13723">
      <c r="A13723" s="17">
        <v>2100000.0</v>
      </c>
      <c r="B13723" s="17">
        <v>6630000.0</v>
      </c>
    </row>
    <row r="13724">
      <c r="A13724" s="17">
        <v>2100000.0</v>
      </c>
      <c r="B13724" s="17">
        <v>6630100.0</v>
      </c>
    </row>
    <row r="13725">
      <c r="A13725" s="17">
        <v>2100000.0</v>
      </c>
      <c r="B13725" s="17">
        <v>6630200.0</v>
      </c>
    </row>
    <row r="13726">
      <c r="A13726" s="17">
        <v>2100000.0</v>
      </c>
      <c r="B13726" s="17">
        <v>6630300.0</v>
      </c>
    </row>
    <row r="13727">
      <c r="A13727" s="17">
        <v>2100000.0</v>
      </c>
      <c r="B13727" s="17">
        <v>6630400.0</v>
      </c>
    </row>
    <row r="13728">
      <c r="A13728" s="17">
        <v>2100000.0</v>
      </c>
      <c r="B13728" s="17">
        <v>6630500.0</v>
      </c>
    </row>
    <row r="13729">
      <c r="A13729" s="17">
        <v>2100000.0</v>
      </c>
      <c r="B13729" s="17">
        <v>6630600.0</v>
      </c>
    </row>
    <row r="13730">
      <c r="A13730" s="17">
        <v>2100000.0</v>
      </c>
      <c r="B13730" s="17">
        <v>6630700.0</v>
      </c>
    </row>
    <row r="13731">
      <c r="A13731" s="17">
        <v>2100000.0</v>
      </c>
      <c r="B13731" s="17">
        <v>6630800.0</v>
      </c>
    </row>
    <row r="13732">
      <c r="A13732" s="17">
        <v>2100000.0</v>
      </c>
      <c r="B13732" s="17">
        <v>6630900.0</v>
      </c>
    </row>
    <row r="13733">
      <c r="A13733" s="17">
        <v>2100000.0</v>
      </c>
      <c r="B13733" s="17">
        <v>6631000.0</v>
      </c>
    </row>
    <row r="13734">
      <c r="A13734" s="17">
        <v>2100000.0</v>
      </c>
      <c r="B13734" s="17">
        <v>6631100.0</v>
      </c>
    </row>
    <row r="13735">
      <c r="A13735" s="17">
        <v>2100000.0</v>
      </c>
      <c r="B13735" s="17">
        <v>6631200.0</v>
      </c>
    </row>
    <row r="13736">
      <c r="A13736" s="17">
        <v>2100000.0</v>
      </c>
      <c r="B13736" s="17">
        <v>6631300.0</v>
      </c>
    </row>
    <row r="13737">
      <c r="A13737" s="17">
        <v>2100000.0</v>
      </c>
      <c r="B13737" s="17">
        <v>6631400.0</v>
      </c>
    </row>
    <row r="13738">
      <c r="A13738" s="17">
        <v>2100000.0</v>
      </c>
      <c r="B13738" s="17">
        <v>6631500.0</v>
      </c>
    </row>
    <row r="13739">
      <c r="A13739" s="17">
        <v>2100000.0</v>
      </c>
      <c r="B13739" s="17">
        <v>6631600.0</v>
      </c>
    </row>
    <row r="13740">
      <c r="A13740" s="17">
        <v>2100000.0</v>
      </c>
      <c r="B13740" s="17">
        <v>6631700.0</v>
      </c>
    </row>
    <row r="13741">
      <c r="A13741" s="17">
        <v>2100000.0</v>
      </c>
      <c r="B13741" s="17">
        <v>6631800.0</v>
      </c>
    </row>
    <row r="13742">
      <c r="A13742" s="17">
        <v>2100000.0</v>
      </c>
      <c r="B13742" s="17">
        <v>6631900.0</v>
      </c>
    </row>
    <row r="13743">
      <c r="A13743" s="17">
        <v>2100000.0</v>
      </c>
      <c r="B13743" s="17">
        <v>6632000.0</v>
      </c>
    </row>
    <row r="13744">
      <c r="A13744" s="17">
        <v>2100000.0</v>
      </c>
      <c r="B13744" s="17">
        <v>6632100.0</v>
      </c>
    </row>
    <row r="13745">
      <c r="A13745" s="17">
        <v>2100000.0</v>
      </c>
      <c r="B13745" s="17">
        <v>6632200.0</v>
      </c>
    </row>
    <row r="13746">
      <c r="A13746" s="17">
        <v>2100000.0</v>
      </c>
      <c r="B13746" s="17">
        <v>6632300.0</v>
      </c>
    </row>
    <row r="13747">
      <c r="A13747" s="17">
        <v>2100000.0</v>
      </c>
      <c r="B13747" s="17">
        <v>6632400.0</v>
      </c>
    </row>
    <row r="13748">
      <c r="A13748" s="17">
        <v>2100000.0</v>
      </c>
      <c r="B13748" s="17">
        <v>6632500.0</v>
      </c>
    </row>
    <row r="13749">
      <c r="A13749" s="17">
        <v>2100000.0</v>
      </c>
      <c r="B13749" s="17">
        <v>6632600.0</v>
      </c>
    </row>
    <row r="13750">
      <c r="A13750" s="17">
        <v>2100000.0</v>
      </c>
      <c r="B13750" s="17">
        <v>6632700.0</v>
      </c>
    </row>
    <row r="13751">
      <c r="A13751" s="17">
        <v>2100000.0</v>
      </c>
      <c r="B13751" s="17">
        <v>6632800.0</v>
      </c>
    </row>
    <row r="13752">
      <c r="A13752" s="17">
        <v>2100000.0</v>
      </c>
      <c r="B13752" s="17">
        <v>6632900.0</v>
      </c>
    </row>
    <row r="13753">
      <c r="A13753" s="17">
        <v>2100000.0</v>
      </c>
      <c r="B13753" s="17">
        <v>6633000.0</v>
      </c>
    </row>
    <row r="13754">
      <c r="A13754" s="17">
        <v>2100000.0</v>
      </c>
      <c r="B13754" s="17">
        <v>6633100.0</v>
      </c>
    </row>
    <row r="13755">
      <c r="A13755" s="17">
        <v>2100000.0</v>
      </c>
      <c r="B13755" s="17">
        <v>6633200.0</v>
      </c>
    </row>
    <row r="13756">
      <c r="A13756" s="17">
        <v>2100000.0</v>
      </c>
      <c r="B13756" s="17">
        <v>6640000.0</v>
      </c>
    </row>
    <row r="13757">
      <c r="A13757" s="17">
        <v>2100000.0</v>
      </c>
      <c r="B13757" s="17">
        <v>6640100.0</v>
      </c>
    </row>
    <row r="13758">
      <c r="A13758" s="17">
        <v>2100000.0</v>
      </c>
      <c r="B13758" s="17">
        <v>6641000.0</v>
      </c>
    </row>
    <row r="13759">
      <c r="A13759" s="17">
        <v>2100000.0</v>
      </c>
      <c r="B13759" s="17">
        <v>6641100.0</v>
      </c>
    </row>
    <row r="13760">
      <c r="A13760" s="17">
        <v>2100000.0</v>
      </c>
      <c r="B13760" s="17">
        <v>6642000.0</v>
      </c>
    </row>
    <row r="13761">
      <c r="A13761" s="17">
        <v>2100000.0</v>
      </c>
      <c r="B13761" s="17">
        <v>6642100.0</v>
      </c>
    </row>
    <row r="13762">
      <c r="A13762" s="17">
        <v>2100000.0</v>
      </c>
      <c r="B13762" s="17">
        <v>6643000.0</v>
      </c>
    </row>
    <row r="13763">
      <c r="A13763" s="17">
        <v>2100000.0</v>
      </c>
      <c r="B13763" s="17">
        <v>6643100.0</v>
      </c>
    </row>
    <row r="13764">
      <c r="A13764" s="17">
        <v>2100000.0</v>
      </c>
      <c r="B13764" s="17">
        <v>6644000.0</v>
      </c>
    </row>
    <row r="13765">
      <c r="A13765" s="17">
        <v>2100000.0</v>
      </c>
      <c r="B13765" s="17">
        <v>6644100.0</v>
      </c>
    </row>
    <row r="13766">
      <c r="A13766" s="17">
        <v>2100000.0</v>
      </c>
      <c r="B13766" s="17">
        <v>6645000.0</v>
      </c>
    </row>
    <row r="13767">
      <c r="A13767" s="17">
        <v>2100000.0</v>
      </c>
      <c r="B13767" s="17">
        <v>6645100.0</v>
      </c>
    </row>
    <row r="13768">
      <c r="A13768" s="17">
        <v>2100000.0</v>
      </c>
      <c r="B13768" s="17">
        <v>6646000.0</v>
      </c>
    </row>
    <row r="13769">
      <c r="A13769" s="17">
        <v>2100000.0</v>
      </c>
      <c r="B13769" s="17">
        <v>6646100.0</v>
      </c>
    </row>
    <row r="13770">
      <c r="A13770" s="17">
        <v>2100000.0</v>
      </c>
      <c r="B13770" s="17">
        <v>6647000.0</v>
      </c>
    </row>
    <row r="13771">
      <c r="A13771" s="17">
        <v>2100000.0</v>
      </c>
      <c r="B13771" s="17">
        <v>6647100.0</v>
      </c>
    </row>
    <row r="13772">
      <c r="A13772" s="17">
        <v>2100000.0</v>
      </c>
      <c r="B13772" s="17">
        <v>6500800.0</v>
      </c>
    </row>
    <row r="13773">
      <c r="A13773" s="17">
        <v>2100000.0</v>
      </c>
      <c r="B13773" s="17">
        <v>6500900.0</v>
      </c>
    </row>
    <row r="13774">
      <c r="A13774" s="17">
        <v>2100000.0</v>
      </c>
      <c r="B13774" s="17">
        <v>6647200.0</v>
      </c>
    </row>
    <row r="13775">
      <c r="A13775" s="17">
        <v>2100000.0</v>
      </c>
      <c r="B13775" s="17">
        <v>6647300.0</v>
      </c>
    </row>
    <row r="13776">
      <c r="A13776" s="17">
        <v>2100000.0</v>
      </c>
      <c r="B13776" s="17">
        <v>6647400.0</v>
      </c>
    </row>
    <row r="13777">
      <c r="A13777" s="17">
        <v>2100000.0</v>
      </c>
      <c r="B13777" s="17">
        <v>6647500.0</v>
      </c>
    </row>
    <row r="13778">
      <c r="A13778" s="17">
        <v>2200000.0</v>
      </c>
      <c r="B13778" s="17">
        <v>7000000.0</v>
      </c>
    </row>
    <row r="13779">
      <c r="A13779" s="17">
        <v>2200000.0</v>
      </c>
      <c r="B13779" s="17">
        <v>7000001.0</v>
      </c>
    </row>
    <row r="13780">
      <c r="A13780" s="17">
        <v>2200000.0</v>
      </c>
      <c r="B13780" s="17">
        <v>7000002.0</v>
      </c>
    </row>
    <row r="13781">
      <c r="A13781" s="17">
        <v>2200000.0</v>
      </c>
      <c r="B13781" s="17">
        <v>7000100.0</v>
      </c>
    </row>
    <row r="13782">
      <c r="A13782" s="17">
        <v>2200000.0</v>
      </c>
      <c r="B13782" s="17">
        <v>7000101.0</v>
      </c>
    </row>
    <row r="13783">
      <c r="A13783" s="17">
        <v>2200000.0</v>
      </c>
      <c r="B13783" s="17">
        <v>7000102.0</v>
      </c>
    </row>
    <row r="13784">
      <c r="A13784" s="17">
        <v>2200000.0</v>
      </c>
      <c r="B13784" s="17">
        <v>7000200.0</v>
      </c>
    </row>
    <row r="13785">
      <c r="A13785" s="17">
        <v>2200000.0</v>
      </c>
      <c r="B13785" s="17">
        <v>7000201.0</v>
      </c>
    </row>
    <row r="13786">
      <c r="A13786" s="17">
        <v>2200000.0</v>
      </c>
      <c r="B13786" s="17">
        <v>7000202.0</v>
      </c>
    </row>
    <row r="13787">
      <c r="A13787" s="17">
        <v>2200000.0</v>
      </c>
      <c r="B13787" s="17">
        <v>7000300.0</v>
      </c>
    </row>
    <row r="13788">
      <c r="A13788" s="17">
        <v>2200000.0</v>
      </c>
      <c r="B13788" s="17">
        <v>7000301.0</v>
      </c>
    </row>
    <row r="13789">
      <c r="A13789" s="17">
        <v>2200000.0</v>
      </c>
      <c r="B13789" s="17">
        <v>7000302.0</v>
      </c>
    </row>
    <row r="13790">
      <c r="A13790" s="17">
        <v>2200000.0</v>
      </c>
      <c r="B13790" s="17">
        <v>7000400.0</v>
      </c>
    </row>
    <row r="13791">
      <c r="A13791" s="17">
        <v>2200000.0</v>
      </c>
      <c r="B13791" s="17">
        <v>7000401.0</v>
      </c>
    </row>
    <row r="13792">
      <c r="A13792" s="17">
        <v>2200000.0</v>
      </c>
      <c r="B13792" s="17">
        <v>7000402.0</v>
      </c>
    </row>
    <row r="13793">
      <c r="A13793" s="17">
        <v>2200000.0</v>
      </c>
      <c r="B13793" s="17">
        <v>7000500.0</v>
      </c>
    </row>
    <row r="13794">
      <c r="A13794" s="17">
        <v>2200000.0</v>
      </c>
      <c r="B13794" s="17">
        <v>7000501.0</v>
      </c>
    </row>
    <row r="13795">
      <c r="A13795" s="17">
        <v>2200000.0</v>
      </c>
      <c r="B13795" s="17">
        <v>7000502.0</v>
      </c>
    </row>
    <row r="13796">
      <c r="A13796" s="17">
        <v>2200000.0</v>
      </c>
      <c r="B13796" s="17">
        <v>7000600.0</v>
      </c>
    </row>
    <row r="13797">
      <c r="A13797" s="17">
        <v>2200000.0</v>
      </c>
      <c r="B13797" s="17">
        <v>7000601.0</v>
      </c>
    </row>
    <row r="13798">
      <c r="A13798" s="17">
        <v>2200000.0</v>
      </c>
      <c r="B13798" s="17">
        <v>7000602.0</v>
      </c>
    </row>
    <row r="13799">
      <c r="A13799" s="17">
        <v>2200000.0</v>
      </c>
      <c r="B13799" s="17">
        <v>7000700.0</v>
      </c>
    </row>
    <row r="13800">
      <c r="A13800" s="17">
        <v>2200000.0</v>
      </c>
      <c r="B13800" s="17">
        <v>7000701.0</v>
      </c>
    </row>
    <row r="13801">
      <c r="A13801" s="17">
        <v>2200000.0</v>
      </c>
      <c r="B13801" s="17">
        <v>7000702.0</v>
      </c>
    </row>
    <row r="13802">
      <c r="A13802" s="17">
        <v>2200000.0</v>
      </c>
      <c r="B13802" s="17">
        <v>7000800.0</v>
      </c>
    </row>
    <row r="13803">
      <c r="A13803" s="17">
        <v>2200000.0</v>
      </c>
      <c r="B13803" s="17">
        <v>7000801.0</v>
      </c>
    </row>
    <row r="13804">
      <c r="A13804" s="17">
        <v>2200000.0</v>
      </c>
      <c r="B13804" s="17">
        <v>7000802.0</v>
      </c>
    </row>
    <row r="13805">
      <c r="A13805" s="17">
        <v>2200000.0</v>
      </c>
      <c r="B13805" s="17">
        <v>7000900.0</v>
      </c>
    </row>
    <row r="13806">
      <c r="A13806" s="17">
        <v>2200000.0</v>
      </c>
      <c r="B13806" s="17">
        <v>7000901.0</v>
      </c>
    </row>
    <row r="13807">
      <c r="A13807" s="17">
        <v>2200000.0</v>
      </c>
      <c r="B13807" s="17">
        <v>7000902.0</v>
      </c>
    </row>
    <row r="13808">
      <c r="A13808" s="17">
        <v>2200000.0</v>
      </c>
      <c r="B13808" s="17">
        <v>7001000.0</v>
      </c>
    </row>
    <row r="13809">
      <c r="A13809" s="17">
        <v>2200000.0</v>
      </c>
      <c r="B13809" s="17">
        <v>7001001.0</v>
      </c>
    </row>
    <row r="13810">
      <c r="A13810" s="17">
        <v>2200000.0</v>
      </c>
      <c r="B13810" s="17">
        <v>7001002.0</v>
      </c>
    </row>
    <row r="13811">
      <c r="A13811" s="17">
        <v>2200000.0</v>
      </c>
      <c r="B13811" s="17">
        <v>7001400.0</v>
      </c>
    </row>
    <row r="13812">
      <c r="A13812" s="17">
        <v>2200000.0</v>
      </c>
      <c r="B13812" s="17">
        <v>7001401.0</v>
      </c>
    </row>
    <row r="13813">
      <c r="A13813" s="17">
        <v>2200000.0</v>
      </c>
      <c r="B13813" s="17">
        <v>7001402.0</v>
      </c>
    </row>
    <row r="13814">
      <c r="A13814" s="17">
        <v>2200000.0</v>
      </c>
      <c r="B13814" s="17">
        <v>7001500.0</v>
      </c>
    </row>
    <row r="13815">
      <c r="A13815" s="17">
        <v>2200000.0</v>
      </c>
      <c r="B13815" s="17">
        <v>7001501.0</v>
      </c>
    </row>
    <row r="13816">
      <c r="A13816" s="17">
        <v>2200000.0</v>
      </c>
      <c r="B13816" s="17">
        <v>7001502.0</v>
      </c>
    </row>
    <row r="13817">
      <c r="A13817" s="17">
        <v>2200000.0</v>
      </c>
      <c r="B13817" s="17">
        <v>7001600.0</v>
      </c>
    </row>
    <row r="13818">
      <c r="A13818" s="17">
        <v>2200000.0</v>
      </c>
      <c r="B13818" s="17">
        <v>7001601.0</v>
      </c>
    </row>
    <row r="13819">
      <c r="A13819" s="17">
        <v>2200000.0</v>
      </c>
      <c r="B13819" s="17">
        <v>7001602.0</v>
      </c>
    </row>
    <row r="13820">
      <c r="A13820" s="17">
        <v>2200000.0</v>
      </c>
      <c r="B13820" s="17">
        <v>7001700.0</v>
      </c>
    </row>
    <row r="13821">
      <c r="A13821" s="17">
        <v>2200000.0</v>
      </c>
      <c r="B13821" s="17">
        <v>7001701.0</v>
      </c>
    </row>
    <row r="13822">
      <c r="A13822" s="17">
        <v>2200000.0</v>
      </c>
      <c r="B13822" s="17">
        <v>7001702.0</v>
      </c>
    </row>
    <row r="13823">
      <c r="A13823" s="17">
        <v>2200000.0</v>
      </c>
      <c r="B13823" s="17">
        <v>7001800.0</v>
      </c>
    </row>
    <row r="13824">
      <c r="A13824" s="17">
        <v>2200000.0</v>
      </c>
      <c r="B13824" s="17">
        <v>7001801.0</v>
      </c>
    </row>
    <row r="13825">
      <c r="A13825" s="17">
        <v>2200000.0</v>
      </c>
      <c r="B13825" s="17">
        <v>7001802.0</v>
      </c>
    </row>
    <row r="13826">
      <c r="A13826" s="17">
        <v>2200000.0</v>
      </c>
      <c r="B13826" s="17">
        <v>7002600.0</v>
      </c>
    </row>
    <row r="13827">
      <c r="A13827" s="17">
        <v>2200000.0</v>
      </c>
      <c r="B13827" s="17">
        <v>7002700.0</v>
      </c>
    </row>
    <row r="13828">
      <c r="A13828" s="17">
        <v>2200000.0</v>
      </c>
      <c r="B13828" s="17">
        <v>7002800.0</v>
      </c>
    </row>
    <row r="13829">
      <c r="A13829" s="17">
        <v>2200000.0</v>
      </c>
      <c r="B13829" s="17">
        <v>7002900.0</v>
      </c>
    </row>
    <row r="13830">
      <c r="A13830" s="17">
        <v>2200000.0</v>
      </c>
      <c r="B13830" s="17">
        <v>7003000.0</v>
      </c>
    </row>
    <row r="13831">
      <c r="A13831" s="17">
        <v>2200000.0</v>
      </c>
      <c r="B13831" s="17">
        <v>7003100.0</v>
      </c>
    </row>
    <row r="13832">
      <c r="A13832" s="17">
        <v>2200000.0</v>
      </c>
      <c r="B13832" s="17">
        <v>7003200.0</v>
      </c>
    </row>
    <row r="13833">
      <c r="A13833" s="17">
        <v>2200000.0</v>
      </c>
      <c r="B13833" s="17">
        <v>7003300.0</v>
      </c>
    </row>
    <row r="13834">
      <c r="A13834" s="17">
        <v>2200000.0</v>
      </c>
      <c r="B13834" s="17">
        <v>7003400.0</v>
      </c>
    </row>
    <row r="13835">
      <c r="A13835" s="17">
        <v>2200000.0</v>
      </c>
      <c r="B13835" s="17">
        <v>7003500.0</v>
      </c>
    </row>
    <row r="13836">
      <c r="A13836" s="17">
        <v>2200000.0</v>
      </c>
      <c r="B13836" s="17">
        <v>7003600.0</v>
      </c>
    </row>
    <row r="13837">
      <c r="A13837" s="17">
        <v>2200000.0</v>
      </c>
      <c r="B13837" s="17">
        <v>7005600.0</v>
      </c>
    </row>
    <row r="13838">
      <c r="A13838" s="17">
        <v>2200000.0</v>
      </c>
      <c r="B13838" s="17">
        <v>7006000.0</v>
      </c>
    </row>
    <row r="13839">
      <c r="A13839" s="17">
        <v>2200000.0</v>
      </c>
      <c r="B13839" s="17">
        <v>7006100.0</v>
      </c>
    </row>
    <row r="13840">
      <c r="A13840" s="17">
        <v>2200000.0</v>
      </c>
      <c r="B13840" s="17">
        <v>7010200.0</v>
      </c>
    </row>
    <row r="13841">
      <c r="A13841" s="17">
        <v>2200000.0</v>
      </c>
      <c r="B13841" s="17">
        <v>7010500.0</v>
      </c>
    </row>
    <row r="13842">
      <c r="A13842" s="17">
        <v>2200000.0</v>
      </c>
      <c r="B13842" s="17">
        <v>7010700.0</v>
      </c>
    </row>
    <row r="13843">
      <c r="A13843" s="17">
        <v>2200000.0</v>
      </c>
      <c r="B13843" s="17">
        <v>7010900.0</v>
      </c>
    </row>
    <row r="13844">
      <c r="A13844" s="17">
        <v>2200000.0</v>
      </c>
      <c r="B13844" s="17">
        <v>7011000.0</v>
      </c>
    </row>
    <row r="13845">
      <c r="A13845" s="17">
        <v>2200000.0</v>
      </c>
      <c r="B13845" s="17">
        <v>7011200.0</v>
      </c>
    </row>
    <row r="13846">
      <c r="A13846" s="17">
        <v>2200000.0</v>
      </c>
      <c r="B13846" s="17">
        <v>7011600.0</v>
      </c>
    </row>
    <row r="13847">
      <c r="A13847" s="17">
        <v>2200000.0</v>
      </c>
      <c r="B13847" s="17">
        <v>7011700.0</v>
      </c>
    </row>
    <row r="13848">
      <c r="A13848" s="17">
        <v>2200000.0</v>
      </c>
      <c r="B13848" s="17">
        <v>7012000.0</v>
      </c>
    </row>
    <row r="13849">
      <c r="A13849" s="17">
        <v>2200000.0</v>
      </c>
      <c r="B13849" s="17">
        <v>7012200.0</v>
      </c>
    </row>
    <row r="13850">
      <c r="A13850" s="17">
        <v>2200000.0</v>
      </c>
      <c r="B13850" s="17">
        <v>7012300.0</v>
      </c>
    </row>
    <row r="13851">
      <c r="A13851" s="17">
        <v>2200000.0</v>
      </c>
      <c r="B13851" s="17">
        <v>7020000.0</v>
      </c>
    </row>
    <row r="13852">
      <c r="A13852" s="17">
        <v>2200000.0</v>
      </c>
      <c r="B13852" s="17">
        <v>7030000.0</v>
      </c>
    </row>
    <row r="13853">
      <c r="A13853" s="17">
        <v>2200000.0</v>
      </c>
      <c r="B13853" s="17">
        <v>7030200.0</v>
      </c>
    </row>
    <row r="13854">
      <c r="A13854" s="17">
        <v>2200000.0</v>
      </c>
      <c r="B13854" s="17">
        <v>7030600.0</v>
      </c>
    </row>
    <row r="13855">
      <c r="A13855" s="17">
        <v>2200000.0</v>
      </c>
      <c r="B13855" s="17">
        <v>7030700.0</v>
      </c>
    </row>
    <row r="13856">
      <c r="A13856" s="17">
        <v>2200000.0</v>
      </c>
      <c r="B13856" s="17">
        <v>7030800.0</v>
      </c>
    </row>
    <row r="13857">
      <c r="A13857" s="17">
        <v>2200000.0</v>
      </c>
      <c r="B13857" s="17">
        <v>7030900.0</v>
      </c>
    </row>
    <row r="13858">
      <c r="A13858" s="17">
        <v>2200000.0</v>
      </c>
      <c r="B13858" s="17">
        <v>7031200.0</v>
      </c>
    </row>
    <row r="13859">
      <c r="A13859" s="17">
        <v>2200000.0</v>
      </c>
      <c r="B13859" s="17">
        <v>7031300.0</v>
      </c>
    </row>
    <row r="13860">
      <c r="A13860" s="17">
        <v>2200000.0</v>
      </c>
      <c r="B13860" s="17">
        <v>7031800.0</v>
      </c>
    </row>
    <row r="13861">
      <c r="A13861" s="17">
        <v>2200000.0</v>
      </c>
      <c r="B13861" s="17">
        <v>7031900.0</v>
      </c>
    </row>
    <row r="13862">
      <c r="A13862" s="17">
        <v>2200000.0</v>
      </c>
      <c r="B13862" s="17">
        <v>7032200.0</v>
      </c>
    </row>
    <row r="13863">
      <c r="A13863" s="17">
        <v>2200000.0</v>
      </c>
      <c r="B13863" s="17">
        <v>7032400.0</v>
      </c>
    </row>
    <row r="13864">
      <c r="A13864" s="17">
        <v>2200000.0</v>
      </c>
      <c r="B13864" s="17">
        <v>7032700.0</v>
      </c>
    </row>
    <row r="13865">
      <c r="A13865" s="17">
        <v>2200000.0</v>
      </c>
      <c r="B13865" s="17">
        <v>7032800.0</v>
      </c>
    </row>
    <row r="13866">
      <c r="A13866" s="17">
        <v>2200000.0</v>
      </c>
      <c r="B13866" s="17">
        <v>7032900.0</v>
      </c>
    </row>
    <row r="13867">
      <c r="A13867" s="17">
        <v>2200000.0</v>
      </c>
      <c r="B13867" s="17">
        <v>7033200.0</v>
      </c>
    </row>
    <row r="13868">
      <c r="A13868" s="17">
        <v>2200000.0</v>
      </c>
      <c r="B13868" s="17">
        <v>7033400.0</v>
      </c>
    </row>
    <row r="13869">
      <c r="A13869" s="17">
        <v>2200000.0</v>
      </c>
      <c r="B13869" s="17">
        <v>7034100.0</v>
      </c>
    </row>
    <row r="13870">
      <c r="A13870" s="17">
        <v>2200000.0</v>
      </c>
      <c r="B13870" s="17">
        <v>7034400.0</v>
      </c>
    </row>
    <row r="13871">
      <c r="A13871" s="17">
        <v>2200000.0</v>
      </c>
      <c r="B13871" s="17">
        <v>7034500.0</v>
      </c>
    </row>
    <row r="13872">
      <c r="A13872" s="17">
        <v>2200000.0</v>
      </c>
      <c r="B13872" s="17">
        <v>7034600.0</v>
      </c>
    </row>
    <row r="13873">
      <c r="A13873" s="17">
        <v>2200000.0</v>
      </c>
      <c r="B13873" s="17">
        <v>7034700.0</v>
      </c>
    </row>
    <row r="13874">
      <c r="A13874" s="17">
        <v>2200000.0</v>
      </c>
      <c r="B13874" s="17">
        <v>7035100.0</v>
      </c>
    </row>
    <row r="13875">
      <c r="A13875" s="17">
        <v>2200000.0</v>
      </c>
      <c r="B13875" s="17">
        <v>7036100.0</v>
      </c>
    </row>
    <row r="13876">
      <c r="A13876" s="17">
        <v>2200000.0</v>
      </c>
      <c r="B13876" s="17">
        <v>7040000.0</v>
      </c>
    </row>
    <row r="13877">
      <c r="A13877" s="17">
        <v>2200000.0</v>
      </c>
      <c r="B13877" s="17">
        <v>7040100.0</v>
      </c>
    </row>
    <row r="13878">
      <c r="A13878" s="17">
        <v>2200000.0</v>
      </c>
      <c r="B13878" s="17">
        <v>7040200.0</v>
      </c>
    </row>
    <row r="13879">
      <c r="A13879" s="17">
        <v>2200000.0</v>
      </c>
      <c r="B13879" s="17">
        <v>7040300.0</v>
      </c>
    </row>
    <row r="13880">
      <c r="A13880" s="17">
        <v>2200000.0</v>
      </c>
      <c r="B13880" s="17">
        <v>7040400.0</v>
      </c>
    </row>
    <row r="13881">
      <c r="A13881" s="17">
        <v>2200000.0</v>
      </c>
      <c r="B13881" s="17">
        <v>7040500.0</v>
      </c>
    </row>
    <row r="13882">
      <c r="A13882" s="17">
        <v>2200000.0</v>
      </c>
      <c r="B13882" s="17">
        <v>7043000.0</v>
      </c>
    </row>
    <row r="13883">
      <c r="A13883" s="17">
        <v>2200000.0</v>
      </c>
      <c r="B13883" s="17">
        <v>7043100.0</v>
      </c>
    </row>
    <row r="13884">
      <c r="A13884" s="17">
        <v>2200000.0</v>
      </c>
      <c r="B13884" s="17">
        <v>7043200.0</v>
      </c>
    </row>
    <row r="13885">
      <c r="A13885" s="17">
        <v>2200000.0</v>
      </c>
      <c r="B13885" s="17">
        <v>7043300.0</v>
      </c>
    </row>
    <row r="13886">
      <c r="A13886" s="17">
        <v>2200000.0</v>
      </c>
      <c r="B13886" s="17">
        <v>7043400.0</v>
      </c>
    </row>
    <row r="13887">
      <c r="A13887" s="17">
        <v>2200000.0</v>
      </c>
      <c r="B13887" s="17">
        <v>7043500.0</v>
      </c>
    </row>
    <row r="13888">
      <c r="A13888" s="17">
        <v>2200000.0</v>
      </c>
      <c r="B13888" s="17">
        <v>7043600.0</v>
      </c>
    </row>
    <row r="13889">
      <c r="A13889" s="17">
        <v>2200000.0</v>
      </c>
      <c r="B13889" s="17">
        <v>7043700.0</v>
      </c>
    </row>
    <row r="13890">
      <c r="A13890" s="17">
        <v>2200000.0</v>
      </c>
      <c r="B13890" s="17">
        <v>7043800.0</v>
      </c>
    </row>
    <row r="13891">
      <c r="A13891" s="17">
        <v>2200000.0</v>
      </c>
      <c r="B13891" s="17">
        <v>7044000.0</v>
      </c>
    </row>
    <row r="13892">
      <c r="A13892" s="17">
        <v>2200000.0</v>
      </c>
      <c r="B13892" s="17">
        <v>7044100.0</v>
      </c>
    </row>
    <row r="13893">
      <c r="A13893" s="17">
        <v>2200000.0</v>
      </c>
      <c r="B13893" s="17">
        <v>7044200.0</v>
      </c>
    </row>
    <row r="13894">
      <c r="A13894" s="17">
        <v>2200000.0</v>
      </c>
      <c r="B13894" s="17">
        <v>7044300.0</v>
      </c>
    </row>
    <row r="13895">
      <c r="A13895" s="17">
        <v>2200000.0</v>
      </c>
      <c r="B13895" s="17">
        <v>7044400.0</v>
      </c>
    </row>
    <row r="13896">
      <c r="A13896" s="17">
        <v>2200000.0</v>
      </c>
      <c r="B13896" s="17">
        <v>7044500.0</v>
      </c>
    </row>
    <row r="13897">
      <c r="A13897" s="17">
        <v>2200000.0</v>
      </c>
      <c r="B13897" s="17">
        <v>7044600.0</v>
      </c>
    </row>
    <row r="13898">
      <c r="A13898" s="17">
        <v>2200000.0</v>
      </c>
      <c r="B13898" s="17">
        <v>7050000.0</v>
      </c>
    </row>
    <row r="13899">
      <c r="A13899" s="17">
        <v>2200000.0</v>
      </c>
      <c r="B13899" s="17">
        <v>7050100.0</v>
      </c>
    </row>
    <row r="13900">
      <c r="A13900" s="17">
        <v>2200000.0</v>
      </c>
      <c r="B13900" s="17">
        <v>7060000.0</v>
      </c>
    </row>
    <row r="13901">
      <c r="A13901" s="17">
        <v>2200000.0</v>
      </c>
      <c r="B13901" s="17">
        <v>7060100.0</v>
      </c>
    </row>
    <row r="13902">
      <c r="A13902" s="17">
        <v>2200000.0</v>
      </c>
      <c r="B13902" s="17">
        <v>7060200.0</v>
      </c>
    </row>
    <row r="13903">
      <c r="A13903" s="17">
        <v>2200000.0</v>
      </c>
      <c r="B13903" s="17">
        <v>7070000.0</v>
      </c>
    </row>
    <row r="13904">
      <c r="A13904" s="17">
        <v>2200000.0</v>
      </c>
      <c r="B13904" s="17">
        <v>7080000.0</v>
      </c>
    </row>
    <row r="13905">
      <c r="A13905" s="17">
        <v>2200000.0</v>
      </c>
      <c r="B13905" s="17">
        <v>7080100.0</v>
      </c>
    </row>
    <row r="13906">
      <c r="A13906" s="17">
        <v>2200000.0</v>
      </c>
      <c r="B13906" s="17">
        <v>7080200.0</v>
      </c>
    </row>
    <row r="13907">
      <c r="A13907" s="17">
        <v>2200000.0</v>
      </c>
      <c r="B13907" s="17">
        <v>7080300.0</v>
      </c>
    </row>
    <row r="13908">
      <c r="A13908" s="17">
        <v>2200000.0</v>
      </c>
      <c r="B13908" s="17">
        <v>7080400.0</v>
      </c>
    </row>
    <row r="13909">
      <c r="A13909" s="17">
        <v>2200000.0</v>
      </c>
      <c r="B13909" s="17">
        <v>7080500.0</v>
      </c>
    </row>
    <row r="13910">
      <c r="A13910" s="17">
        <v>2200000.0</v>
      </c>
      <c r="B13910" s="17">
        <v>7080600.0</v>
      </c>
    </row>
    <row r="13911">
      <c r="A13911" s="17">
        <v>2200000.0</v>
      </c>
      <c r="B13911" s="17">
        <v>7080700.0</v>
      </c>
    </row>
    <row r="13912">
      <c r="A13912" s="17">
        <v>2200000.0</v>
      </c>
      <c r="B13912" s="17">
        <v>7080800.0</v>
      </c>
    </row>
    <row r="13913">
      <c r="A13913" s="17">
        <v>2200000.0</v>
      </c>
      <c r="B13913" s="17">
        <v>7080900.0</v>
      </c>
    </row>
    <row r="13914">
      <c r="A13914" s="17">
        <v>2200000.0</v>
      </c>
      <c r="B13914" s="17">
        <v>7081000.0</v>
      </c>
    </row>
    <row r="13915">
      <c r="A13915" s="17">
        <v>2200000.0</v>
      </c>
      <c r="B13915" s="17">
        <v>7081100.0</v>
      </c>
    </row>
    <row r="13916">
      <c r="A13916" s="17">
        <v>2200000.0</v>
      </c>
      <c r="B13916" s="17">
        <v>7081200.0</v>
      </c>
    </row>
    <row r="13917">
      <c r="A13917" s="17">
        <v>2200000.0</v>
      </c>
      <c r="B13917" s="17">
        <v>7081300.0</v>
      </c>
    </row>
    <row r="13918">
      <c r="A13918" s="17">
        <v>2200000.0</v>
      </c>
      <c r="B13918" s="17">
        <v>7081400.0</v>
      </c>
    </row>
    <row r="13919">
      <c r="A13919" s="17">
        <v>2200000.0</v>
      </c>
      <c r="B13919" s="17">
        <v>7081500.0</v>
      </c>
    </row>
    <row r="13920">
      <c r="A13920" s="17">
        <v>2200000.0</v>
      </c>
      <c r="B13920" s="17">
        <v>7081700.0</v>
      </c>
    </row>
    <row r="13921">
      <c r="A13921" s="17">
        <v>2200000.0</v>
      </c>
      <c r="B13921" s="17">
        <v>7081800.0</v>
      </c>
    </row>
    <row r="13922">
      <c r="A13922" s="17">
        <v>2200000.0</v>
      </c>
      <c r="B13922" s="17">
        <v>7081900.0</v>
      </c>
    </row>
    <row r="13923">
      <c r="A13923" s="17">
        <v>2200000.0</v>
      </c>
      <c r="B13923" s="17">
        <v>7082000.0</v>
      </c>
    </row>
    <row r="13924">
      <c r="A13924" s="17">
        <v>2200000.0</v>
      </c>
      <c r="B13924" s="17">
        <v>7082100.0</v>
      </c>
    </row>
    <row r="13925">
      <c r="A13925" s="17">
        <v>2200000.0</v>
      </c>
      <c r="B13925" s="17">
        <v>7082200.0</v>
      </c>
    </row>
    <row r="13926">
      <c r="A13926" s="17">
        <v>2200000.0</v>
      </c>
      <c r="B13926" s="17">
        <v>7082300.0</v>
      </c>
    </row>
    <row r="13927">
      <c r="A13927" s="17">
        <v>2200000.0</v>
      </c>
      <c r="B13927" s="17">
        <v>7082400.0</v>
      </c>
    </row>
    <row r="13928">
      <c r="A13928" s="17">
        <v>2200000.0</v>
      </c>
      <c r="B13928" s="17">
        <v>7082500.0</v>
      </c>
    </row>
    <row r="13929">
      <c r="A13929" s="17">
        <v>2200000.0</v>
      </c>
      <c r="B13929" s="17">
        <v>7082600.0</v>
      </c>
    </row>
    <row r="13930">
      <c r="A13930" s="17">
        <v>2200000.0</v>
      </c>
      <c r="B13930" s="17">
        <v>7082700.0</v>
      </c>
    </row>
    <row r="13931">
      <c r="A13931" s="17">
        <v>2200000.0</v>
      </c>
      <c r="B13931" s="17">
        <v>7082800.0</v>
      </c>
    </row>
    <row r="13932">
      <c r="A13932" s="17">
        <v>2200000.0</v>
      </c>
      <c r="B13932" s="17">
        <v>7082900.0</v>
      </c>
    </row>
    <row r="13933">
      <c r="A13933" s="17">
        <v>2200000.0</v>
      </c>
      <c r="B13933" s="17">
        <v>7090000.0</v>
      </c>
    </row>
    <row r="13934">
      <c r="A13934" s="17">
        <v>2200000.0</v>
      </c>
      <c r="B13934" s="17">
        <v>7090100.0</v>
      </c>
    </row>
    <row r="13935">
      <c r="A13935" s="17">
        <v>2200000.0</v>
      </c>
      <c r="B13935" s="17">
        <v>7090300.0</v>
      </c>
    </row>
    <row r="13936">
      <c r="A13936" s="17">
        <v>2200000.0</v>
      </c>
      <c r="B13936" s="17">
        <v>7100100.0</v>
      </c>
    </row>
    <row r="13937">
      <c r="A13937" s="17">
        <v>2200000.0</v>
      </c>
      <c r="B13937" s="17">
        <v>7110000.0</v>
      </c>
    </row>
    <row r="13938">
      <c r="A13938" s="17">
        <v>2200000.0</v>
      </c>
      <c r="B13938" s="17">
        <v>7120000.0</v>
      </c>
    </row>
    <row r="13939">
      <c r="A13939" s="17">
        <v>2200000.0</v>
      </c>
      <c r="B13939" s="17">
        <v>7120100.0</v>
      </c>
    </row>
    <row r="13940">
      <c r="A13940" s="17">
        <v>2200000.0</v>
      </c>
      <c r="B13940" s="17">
        <v>7120200.0</v>
      </c>
    </row>
    <row r="13941">
      <c r="A13941" s="17">
        <v>2200000.0</v>
      </c>
      <c r="B13941" s="17">
        <v>7120300.0</v>
      </c>
    </row>
    <row r="13942">
      <c r="A13942" s="17">
        <v>2200000.0</v>
      </c>
      <c r="B13942" s="17">
        <v>7120400.0</v>
      </c>
    </row>
    <row r="13943">
      <c r="A13943" s="17">
        <v>2200000.0</v>
      </c>
      <c r="B13943" s="17">
        <v>7120500.0</v>
      </c>
    </row>
    <row r="13944">
      <c r="A13944" s="17">
        <v>2200000.0</v>
      </c>
      <c r="B13944" s="17">
        <v>7120600.0</v>
      </c>
    </row>
    <row r="13945">
      <c r="A13945" s="17">
        <v>2200000.0</v>
      </c>
      <c r="B13945" s="17">
        <v>7120900.0</v>
      </c>
    </row>
    <row r="13946">
      <c r="A13946" s="17">
        <v>2200000.0</v>
      </c>
      <c r="B13946" s="17">
        <v>7121000.0</v>
      </c>
    </row>
    <row r="13947">
      <c r="A13947" s="17">
        <v>2200000.0</v>
      </c>
      <c r="B13947" s="17">
        <v>7121100.0</v>
      </c>
    </row>
    <row r="13948">
      <c r="A13948" s="17">
        <v>2200000.0</v>
      </c>
      <c r="B13948" s="17">
        <v>7121200.0</v>
      </c>
    </row>
    <row r="13949">
      <c r="A13949" s="17">
        <v>2200000.0</v>
      </c>
      <c r="B13949" s="17">
        <v>7121300.0</v>
      </c>
    </row>
    <row r="13950">
      <c r="A13950" s="17">
        <v>2200000.0</v>
      </c>
      <c r="B13950" s="17">
        <v>7121400.0</v>
      </c>
    </row>
    <row r="13951">
      <c r="A13951" s="17">
        <v>2200000.0</v>
      </c>
      <c r="B13951" s="17">
        <v>7121500.0</v>
      </c>
    </row>
    <row r="13952">
      <c r="A13952" s="17">
        <v>2200000.0</v>
      </c>
      <c r="B13952" s="17">
        <v>7121600.0</v>
      </c>
    </row>
    <row r="13953">
      <c r="A13953" s="17">
        <v>2200000.0</v>
      </c>
      <c r="B13953" s="17">
        <v>7121700.0</v>
      </c>
    </row>
    <row r="13954">
      <c r="A13954" s="17">
        <v>2200000.0</v>
      </c>
      <c r="B13954" s="17">
        <v>7121800.0</v>
      </c>
    </row>
    <row r="13955">
      <c r="A13955" s="17">
        <v>2200000.0</v>
      </c>
      <c r="B13955" s="17">
        <v>7121900.0</v>
      </c>
    </row>
    <row r="13956">
      <c r="A13956" s="17">
        <v>2200000.0</v>
      </c>
      <c r="B13956" s="17">
        <v>7122000.0</v>
      </c>
    </row>
    <row r="13957">
      <c r="A13957" s="17">
        <v>2200000.0</v>
      </c>
      <c r="B13957" s="17">
        <v>7122100.0</v>
      </c>
    </row>
    <row r="13958">
      <c r="A13958" s="17">
        <v>2200000.0</v>
      </c>
      <c r="B13958" s="17">
        <v>7122200.0</v>
      </c>
    </row>
    <row r="13959">
      <c r="A13959" s="17">
        <v>2200000.0</v>
      </c>
      <c r="B13959" s="17">
        <v>7122300.0</v>
      </c>
    </row>
    <row r="13960">
      <c r="A13960" s="17">
        <v>2200000.0</v>
      </c>
      <c r="B13960" s="17">
        <v>7122400.0</v>
      </c>
    </row>
    <row r="13961">
      <c r="A13961" s="17">
        <v>2200000.0</v>
      </c>
      <c r="B13961" s="17">
        <v>7122500.0</v>
      </c>
    </row>
    <row r="13962">
      <c r="A13962" s="17">
        <v>2200000.0</v>
      </c>
      <c r="B13962" s="17">
        <v>7122600.0</v>
      </c>
    </row>
    <row r="13963">
      <c r="A13963" s="17">
        <v>2200000.0</v>
      </c>
      <c r="B13963" s="17">
        <v>7122700.0</v>
      </c>
    </row>
    <row r="13964">
      <c r="A13964" s="17">
        <v>2200000.0</v>
      </c>
      <c r="B13964" s="17">
        <v>7122800.0</v>
      </c>
    </row>
    <row r="13965">
      <c r="A13965" s="17">
        <v>2200000.0</v>
      </c>
      <c r="B13965" s="17">
        <v>7122900.0</v>
      </c>
    </row>
    <row r="13966">
      <c r="A13966" s="17">
        <v>2200000.0</v>
      </c>
      <c r="B13966" s="17">
        <v>7123000.0</v>
      </c>
    </row>
    <row r="13967">
      <c r="A13967" s="17">
        <v>2200000.0</v>
      </c>
      <c r="B13967" s="17">
        <v>7123100.0</v>
      </c>
    </row>
    <row r="13968">
      <c r="A13968" s="17">
        <v>2200000.0</v>
      </c>
      <c r="B13968" s="17">
        <v>7123200.0</v>
      </c>
    </row>
    <row r="13969">
      <c r="A13969" s="17">
        <v>2200000.0</v>
      </c>
      <c r="B13969" s="17">
        <v>7123300.0</v>
      </c>
    </row>
    <row r="13970">
      <c r="A13970" s="17">
        <v>2200000.0</v>
      </c>
      <c r="B13970" s="17">
        <v>7123400.0</v>
      </c>
    </row>
    <row r="13971">
      <c r="A13971" s="17">
        <v>2200000.0</v>
      </c>
      <c r="B13971" s="17">
        <v>7123500.0</v>
      </c>
    </row>
    <row r="13972">
      <c r="A13972" s="17">
        <v>2200000.0</v>
      </c>
      <c r="B13972" s="17">
        <v>7123600.0</v>
      </c>
    </row>
    <row r="13973">
      <c r="A13973" s="17">
        <v>2200000.0</v>
      </c>
      <c r="B13973" s="17">
        <v>7123700.0</v>
      </c>
    </row>
    <row r="13974">
      <c r="A13974" s="17">
        <v>2200000.0</v>
      </c>
      <c r="B13974" s="17">
        <v>7123800.0</v>
      </c>
    </row>
    <row r="13975">
      <c r="A13975" s="17">
        <v>2200000.0</v>
      </c>
      <c r="B13975" s="17">
        <v>7123900.0</v>
      </c>
    </row>
    <row r="13976">
      <c r="A13976" s="17">
        <v>2200000.0</v>
      </c>
      <c r="B13976" s="17">
        <v>7124000.0</v>
      </c>
    </row>
    <row r="13977">
      <c r="A13977" s="17">
        <v>2200000.0</v>
      </c>
      <c r="B13977" s="17">
        <v>7124100.0</v>
      </c>
    </row>
    <row r="13978">
      <c r="A13978" s="17">
        <v>2200000.0</v>
      </c>
      <c r="B13978" s="17">
        <v>7124300.0</v>
      </c>
    </row>
    <row r="13979">
      <c r="A13979" s="17">
        <v>2200000.0</v>
      </c>
      <c r="B13979" s="17">
        <v>7124400.0</v>
      </c>
    </row>
    <row r="13980">
      <c r="A13980" s="17">
        <v>2200000.0</v>
      </c>
      <c r="B13980" s="17">
        <v>7124500.0</v>
      </c>
    </row>
    <row r="13981">
      <c r="A13981" s="17">
        <v>2200000.0</v>
      </c>
      <c r="B13981" s="17">
        <v>7124600.0</v>
      </c>
    </row>
    <row r="13982">
      <c r="A13982" s="17">
        <v>2200000.0</v>
      </c>
      <c r="B13982" s="17">
        <v>7124700.0</v>
      </c>
    </row>
    <row r="13983">
      <c r="A13983" s="17">
        <v>2200000.0</v>
      </c>
      <c r="B13983" s="17">
        <v>7126000.0</v>
      </c>
    </row>
    <row r="13984">
      <c r="A13984" s="17">
        <v>2200000.0</v>
      </c>
      <c r="B13984" s="17">
        <v>7150000.0</v>
      </c>
    </row>
    <row r="13985">
      <c r="A13985" s="17">
        <v>2200000.0</v>
      </c>
      <c r="B13985" s="17">
        <v>7160000.0</v>
      </c>
    </row>
    <row r="13986">
      <c r="A13986" s="17">
        <v>2200000.0</v>
      </c>
      <c r="B13986" s="17">
        <v>7220000.0</v>
      </c>
    </row>
    <row r="13987">
      <c r="A13987" s="17">
        <v>2200000.0</v>
      </c>
      <c r="B13987" s="17">
        <v>7230000.0</v>
      </c>
    </row>
    <row r="13988">
      <c r="A13988" s="17">
        <v>2200000.0</v>
      </c>
      <c r="B13988" s="17">
        <v>7240000.0</v>
      </c>
    </row>
    <row r="13989">
      <c r="A13989" s="17">
        <v>2200000.0</v>
      </c>
      <c r="B13989" s="17">
        <v>7260000.0</v>
      </c>
    </row>
    <row r="13990">
      <c r="A13990" s="17">
        <v>2200000.0</v>
      </c>
      <c r="B13990" s="17">
        <v>7260300.0</v>
      </c>
    </row>
    <row r="13991">
      <c r="A13991" s="17">
        <v>2200000.0</v>
      </c>
      <c r="B13991" s="17">
        <v>7260400.0</v>
      </c>
    </row>
    <row r="13992">
      <c r="A13992" s="17">
        <v>2200000.0</v>
      </c>
      <c r="B13992" s="17">
        <v>7270100.0</v>
      </c>
    </row>
    <row r="13993">
      <c r="A13993" s="17">
        <v>2200000.0</v>
      </c>
      <c r="B13993" s="17">
        <v>7280000.0</v>
      </c>
    </row>
    <row r="13994">
      <c r="A13994" s="17">
        <v>2200000.0</v>
      </c>
      <c r="B13994" s="17">
        <v>7290000.0</v>
      </c>
    </row>
    <row r="13995">
      <c r="A13995" s="17">
        <v>2200000.0</v>
      </c>
      <c r="B13995" s="17">
        <v>7310000.0</v>
      </c>
    </row>
    <row r="13996">
      <c r="A13996" s="17">
        <v>2200000.0</v>
      </c>
      <c r="B13996" s="17">
        <v>7330000.0</v>
      </c>
    </row>
    <row r="13997">
      <c r="A13997" s="17">
        <v>2200000.0</v>
      </c>
      <c r="B13997" s="17">
        <v>7330100.0</v>
      </c>
    </row>
    <row r="13998">
      <c r="A13998" s="17">
        <v>2200000.0</v>
      </c>
      <c r="B13998" s="17">
        <v>7330200.0</v>
      </c>
    </row>
    <row r="13999">
      <c r="A13999" s="17">
        <v>2200000.0</v>
      </c>
      <c r="B13999" s="17">
        <v>7330300.0</v>
      </c>
    </row>
    <row r="14000">
      <c r="A14000" s="17">
        <v>2200000.0</v>
      </c>
      <c r="B14000" s="17">
        <v>7330400.0</v>
      </c>
    </row>
    <row r="14001">
      <c r="A14001" s="17">
        <v>2200000.0</v>
      </c>
      <c r="B14001" s="17">
        <v>7330500.0</v>
      </c>
    </row>
    <row r="14002">
      <c r="A14002" s="17">
        <v>2200000.0</v>
      </c>
      <c r="B14002" s="17">
        <v>7330600.0</v>
      </c>
    </row>
    <row r="14003">
      <c r="A14003" s="17">
        <v>2200000.0</v>
      </c>
      <c r="B14003" s="17">
        <v>7330700.0</v>
      </c>
    </row>
    <row r="14004">
      <c r="A14004" s="17">
        <v>2200000.0</v>
      </c>
      <c r="B14004" s="17">
        <v>7330800.0</v>
      </c>
    </row>
    <row r="14005">
      <c r="A14005" s="17">
        <v>2200000.0</v>
      </c>
      <c r="B14005" s="17">
        <v>7330900.0</v>
      </c>
    </row>
    <row r="14006">
      <c r="A14006" s="17">
        <v>2200000.0</v>
      </c>
      <c r="B14006" s="17">
        <v>7331000.0</v>
      </c>
    </row>
    <row r="14007">
      <c r="A14007" s="17">
        <v>2200000.0</v>
      </c>
      <c r="B14007" s="17">
        <v>7331100.0</v>
      </c>
    </row>
    <row r="14008">
      <c r="A14008" s="17">
        <v>2200000.0</v>
      </c>
      <c r="B14008" s="17">
        <v>7331200.0</v>
      </c>
    </row>
    <row r="14009">
      <c r="A14009" s="17">
        <v>2200000.0</v>
      </c>
      <c r="B14009" s="17">
        <v>7331300.0</v>
      </c>
    </row>
    <row r="14010">
      <c r="A14010" s="17">
        <v>2200000.0</v>
      </c>
      <c r="B14010" s="17">
        <v>7331400.0</v>
      </c>
    </row>
    <row r="14011">
      <c r="A14011" s="17">
        <v>2200000.0</v>
      </c>
      <c r="B14011" s="17">
        <v>7331500.0</v>
      </c>
    </row>
    <row r="14012">
      <c r="A14012" s="17">
        <v>2200000.0</v>
      </c>
      <c r="B14012" s="17">
        <v>7331700.0</v>
      </c>
    </row>
    <row r="14013">
      <c r="A14013" s="17">
        <v>2200000.0</v>
      </c>
      <c r="B14013" s="17">
        <v>7331800.0</v>
      </c>
    </row>
    <row r="14014">
      <c r="A14014" s="17">
        <v>2200000.0</v>
      </c>
      <c r="B14014" s="17">
        <v>7331900.0</v>
      </c>
    </row>
    <row r="14015">
      <c r="A14015" s="17">
        <v>2200000.0</v>
      </c>
      <c r="B14015" s="17">
        <v>7332000.0</v>
      </c>
    </row>
    <row r="14016">
      <c r="A14016" s="17">
        <v>2200000.0</v>
      </c>
      <c r="B14016" s="17">
        <v>7332100.0</v>
      </c>
    </row>
    <row r="14017">
      <c r="A14017" s="17">
        <v>2200000.0</v>
      </c>
      <c r="B14017" s="17">
        <v>7332200.0</v>
      </c>
    </row>
    <row r="14018">
      <c r="A14018" s="17">
        <v>2200000.0</v>
      </c>
      <c r="B14018" s="17">
        <v>7332300.0</v>
      </c>
    </row>
    <row r="14019">
      <c r="A14019" s="17">
        <v>2200000.0</v>
      </c>
      <c r="B14019" s="17">
        <v>7332400.0</v>
      </c>
    </row>
    <row r="14020">
      <c r="A14020" s="17">
        <v>2200000.0</v>
      </c>
      <c r="B14020" s="17">
        <v>7340000.0</v>
      </c>
    </row>
    <row r="14021">
      <c r="A14021" s="17">
        <v>2200000.0</v>
      </c>
      <c r="B14021" s="17">
        <v>7340100.0</v>
      </c>
    </row>
    <row r="14022">
      <c r="A14022" s="17">
        <v>2200000.0</v>
      </c>
      <c r="B14022" s="17">
        <v>7340200.0</v>
      </c>
    </row>
    <row r="14023">
      <c r="A14023" s="17">
        <v>2200000.0</v>
      </c>
      <c r="B14023" s="17">
        <v>7340300.0</v>
      </c>
    </row>
    <row r="14024">
      <c r="A14024" s="17">
        <v>2200000.0</v>
      </c>
      <c r="B14024" s="17">
        <v>7340400.0</v>
      </c>
    </row>
    <row r="14025">
      <c r="A14025" s="17">
        <v>2200000.0</v>
      </c>
      <c r="B14025" s="17">
        <v>7340500.0</v>
      </c>
    </row>
    <row r="14026">
      <c r="A14026" s="17">
        <v>2200000.0</v>
      </c>
      <c r="B14026" s="17">
        <v>7340600.0</v>
      </c>
    </row>
    <row r="14027">
      <c r="A14027" s="17">
        <v>2200000.0</v>
      </c>
      <c r="B14027" s="17">
        <v>7340700.0</v>
      </c>
    </row>
    <row r="14028">
      <c r="A14028" s="17">
        <v>2200000.0</v>
      </c>
      <c r="B14028" s="17">
        <v>7340800.0</v>
      </c>
    </row>
    <row r="14029">
      <c r="A14029" s="17">
        <v>2200000.0</v>
      </c>
      <c r="B14029" s="17">
        <v>7340900.0</v>
      </c>
    </row>
    <row r="14030">
      <c r="A14030" s="17">
        <v>2200000.0</v>
      </c>
      <c r="B14030" s="17">
        <v>7341000.0</v>
      </c>
    </row>
    <row r="14031">
      <c r="A14031" s="17">
        <v>2200000.0</v>
      </c>
      <c r="B14031" s="17">
        <v>7341100.0</v>
      </c>
    </row>
    <row r="14032">
      <c r="A14032" s="17">
        <v>2200000.0</v>
      </c>
      <c r="B14032" s="17">
        <v>7341200.0</v>
      </c>
    </row>
    <row r="14033">
      <c r="A14033" s="17">
        <v>2200000.0</v>
      </c>
      <c r="B14033" s="17">
        <v>7341300.0</v>
      </c>
    </row>
    <row r="14034">
      <c r="A14034" s="17">
        <v>2200000.0</v>
      </c>
      <c r="B14034" s="17">
        <v>7341400.0</v>
      </c>
    </row>
    <row r="14035">
      <c r="A14035" s="17">
        <v>2200000.0</v>
      </c>
      <c r="B14035" s="17">
        <v>7341500.0</v>
      </c>
    </row>
    <row r="14036">
      <c r="A14036" s="17">
        <v>2200000.0</v>
      </c>
      <c r="B14036" s="17">
        <v>7341700.0</v>
      </c>
    </row>
    <row r="14037">
      <c r="A14037" s="17">
        <v>2200000.0</v>
      </c>
      <c r="B14037" s="17">
        <v>7341800.0</v>
      </c>
    </row>
    <row r="14038">
      <c r="A14038" s="17">
        <v>2200000.0</v>
      </c>
      <c r="B14038" s="17">
        <v>7341900.0</v>
      </c>
    </row>
    <row r="14039">
      <c r="A14039" s="17">
        <v>2200000.0</v>
      </c>
      <c r="B14039" s="17">
        <v>7342000.0</v>
      </c>
    </row>
    <row r="14040">
      <c r="A14040" s="17">
        <v>2200000.0</v>
      </c>
      <c r="B14040" s="17">
        <v>7342100.0</v>
      </c>
    </row>
    <row r="14041">
      <c r="A14041" s="17">
        <v>2200000.0</v>
      </c>
      <c r="B14041" s="17">
        <v>7342200.0</v>
      </c>
    </row>
    <row r="14042">
      <c r="A14042" s="17">
        <v>2200000.0</v>
      </c>
      <c r="B14042" s="17">
        <v>7342300.0</v>
      </c>
    </row>
    <row r="14043">
      <c r="A14043" s="17">
        <v>2200000.0</v>
      </c>
      <c r="B14043" s="17">
        <v>7342400.0</v>
      </c>
    </row>
    <row r="14044">
      <c r="A14044" s="17">
        <v>2200000.0</v>
      </c>
      <c r="B14044" s="17">
        <v>7350000.0</v>
      </c>
    </row>
    <row r="14045">
      <c r="A14045" s="17">
        <v>2200000.0</v>
      </c>
      <c r="B14045" s="17">
        <v>7350100.0</v>
      </c>
    </row>
    <row r="14046">
      <c r="A14046" s="17">
        <v>2200000.0</v>
      </c>
      <c r="B14046" s="17">
        <v>7350200.0</v>
      </c>
    </row>
    <row r="14047">
      <c r="A14047" s="17">
        <v>2200000.0</v>
      </c>
      <c r="B14047" s="17">
        <v>7350300.0</v>
      </c>
    </row>
    <row r="14048">
      <c r="A14048" s="17">
        <v>2200000.0</v>
      </c>
      <c r="B14048" s="17">
        <v>7350400.0</v>
      </c>
    </row>
    <row r="14049">
      <c r="A14049" s="17">
        <v>2200000.0</v>
      </c>
      <c r="B14049" s="17">
        <v>7350500.0</v>
      </c>
    </row>
    <row r="14050">
      <c r="A14050" s="17">
        <v>2200000.0</v>
      </c>
      <c r="B14050" s="17">
        <v>7350600.0</v>
      </c>
    </row>
    <row r="14051">
      <c r="A14051" s="17">
        <v>2200000.0</v>
      </c>
      <c r="B14051" s="17">
        <v>7350700.0</v>
      </c>
    </row>
    <row r="14052">
      <c r="A14052" s="17">
        <v>2200000.0</v>
      </c>
      <c r="B14052" s="17">
        <v>7350800.0</v>
      </c>
    </row>
    <row r="14053">
      <c r="A14053" s="17">
        <v>2200000.0</v>
      </c>
      <c r="B14053" s="17">
        <v>7350900.0</v>
      </c>
    </row>
    <row r="14054">
      <c r="A14054" s="17">
        <v>2200000.0</v>
      </c>
      <c r="B14054" s="17">
        <v>7351000.0</v>
      </c>
    </row>
    <row r="14055">
      <c r="A14055" s="17">
        <v>2200000.0</v>
      </c>
      <c r="B14055" s="17">
        <v>7351100.0</v>
      </c>
    </row>
    <row r="14056">
      <c r="A14056" s="17">
        <v>2200000.0</v>
      </c>
      <c r="B14056" s="17">
        <v>7351200.0</v>
      </c>
    </row>
    <row r="14057">
      <c r="A14057" s="17">
        <v>2200000.0</v>
      </c>
      <c r="B14057" s="17">
        <v>7351300.0</v>
      </c>
    </row>
    <row r="14058">
      <c r="A14058" s="17">
        <v>2200000.0</v>
      </c>
      <c r="B14058" s="17">
        <v>7351400.0</v>
      </c>
    </row>
    <row r="14059">
      <c r="A14059" s="17">
        <v>2200000.0</v>
      </c>
      <c r="B14059" s="17">
        <v>7351500.0</v>
      </c>
    </row>
    <row r="14060">
      <c r="A14060" s="17">
        <v>2200000.0</v>
      </c>
      <c r="B14060" s="17">
        <v>7351700.0</v>
      </c>
    </row>
    <row r="14061">
      <c r="A14061" s="17">
        <v>2200000.0</v>
      </c>
      <c r="B14061" s="17">
        <v>7351800.0</v>
      </c>
    </row>
    <row r="14062">
      <c r="A14062" s="17">
        <v>2200000.0</v>
      </c>
      <c r="B14062" s="17">
        <v>7351900.0</v>
      </c>
    </row>
    <row r="14063">
      <c r="A14063" s="17">
        <v>2200000.0</v>
      </c>
      <c r="B14063" s="17">
        <v>7352000.0</v>
      </c>
    </row>
    <row r="14064">
      <c r="A14064" s="17">
        <v>2200000.0</v>
      </c>
      <c r="B14064" s="17">
        <v>7352100.0</v>
      </c>
    </row>
    <row r="14065">
      <c r="A14065" s="17">
        <v>2200000.0</v>
      </c>
      <c r="B14065" s="17">
        <v>7352200.0</v>
      </c>
    </row>
    <row r="14066">
      <c r="A14066" s="17">
        <v>2200000.0</v>
      </c>
      <c r="B14066" s="17">
        <v>7352300.0</v>
      </c>
    </row>
    <row r="14067">
      <c r="A14067" s="17">
        <v>2200000.0</v>
      </c>
      <c r="B14067" s="17">
        <v>7352400.0</v>
      </c>
    </row>
    <row r="14068">
      <c r="A14068" s="17">
        <v>2200000.0</v>
      </c>
      <c r="B14068" s="17">
        <v>6001400.0</v>
      </c>
    </row>
    <row r="14069">
      <c r="A14069" s="17">
        <v>2200000.0</v>
      </c>
      <c r="B14069" s="17">
        <v>6001401.0</v>
      </c>
    </row>
    <row r="14070">
      <c r="A14070" s="17">
        <v>2200000.0</v>
      </c>
      <c r="B14070" s="17">
        <v>6001500.0</v>
      </c>
    </row>
    <row r="14071">
      <c r="A14071" s="17">
        <v>2200000.0</v>
      </c>
      <c r="B14071" s="17">
        <v>6001501.0</v>
      </c>
    </row>
    <row r="14072">
      <c r="A14072" s="17">
        <v>2200000.0</v>
      </c>
      <c r="B14072" s="17">
        <v>6001600.0</v>
      </c>
    </row>
    <row r="14073">
      <c r="A14073" s="17">
        <v>2200000.0</v>
      </c>
      <c r="B14073" s="17">
        <v>6001601.0</v>
      </c>
    </row>
    <row r="14074">
      <c r="A14074" s="17">
        <v>2200000.0</v>
      </c>
      <c r="B14074" s="17">
        <v>6001700.0</v>
      </c>
    </row>
    <row r="14075">
      <c r="A14075" s="17">
        <v>2200000.0</v>
      </c>
      <c r="B14075" s="17">
        <v>6001701.0</v>
      </c>
    </row>
    <row r="14076">
      <c r="A14076" s="17">
        <v>2200000.0</v>
      </c>
      <c r="B14076" s="17">
        <v>6001800.0</v>
      </c>
    </row>
    <row r="14077">
      <c r="A14077" s="17">
        <v>2200000.0</v>
      </c>
      <c r="B14077" s="17">
        <v>6001801.0</v>
      </c>
    </row>
    <row r="14078">
      <c r="A14078" s="17">
        <v>2200000.0</v>
      </c>
      <c r="B14078" s="17">
        <v>6002600.0</v>
      </c>
    </row>
    <row r="14079">
      <c r="A14079" s="17">
        <v>2200000.0</v>
      </c>
      <c r="B14079" s="17">
        <v>6002601.0</v>
      </c>
    </row>
    <row r="14080">
      <c r="A14080" s="17">
        <v>2200000.0</v>
      </c>
      <c r="B14080" s="17">
        <v>6002700.0</v>
      </c>
    </row>
    <row r="14081">
      <c r="A14081" s="17">
        <v>2200000.0</v>
      </c>
      <c r="B14081" s="17">
        <v>6002701.0</v>
      </c>
    </row>
    <row r="14082">
      <c r="A14082" s="17">
        <v>2200000.0</v>
      </c>
      <c r="B14082" s="17">
        <v>6002800.0</v>
      </c>
    </row>
    <row r="14083">
      <c r="A14083" s="17">
        <v>2200000.0</v>
      </c>
      <c r="B14083" s="17">
        <v>6002801.0</v>
      </c>
    </row>
    <row r="14084">
      <c r="A14084" s="17">
        <v>2200000.0</v>
      </c>
      <c r="B14084" s="17">
        <v>6002900.0</v>
      </c>
    </row>
    <row r="14085">
      <c r="A14085" s="17">
        <v>2200000.0</v>
      </c>
      <c r="B14085" s="17">
        <v>6002901.0</v>
      </c>
    </row>
    <row r="14086">
      <c r="A14086" s="17">
        <v>2200000.0</v>
      </c>
      <c r="B14086" s="17">
        <v>6003000.0</v>
      </c>
    </row>
    <row r="14087">
      <c r="A14087" s="17">
        <v>2200000.0</v>
      </c>
      <c r="B14087" s="17">
        <v>6003001.0</v>
      </c>
    </row>
    <row r="14088">
      <c r="A14088" s="17">
        <v>2200000.0</v>
      </c>
      <c r="B14088" s="17">
        <v>6003100.0</v>
      </c>
    </row>
    <row r="14089">
      <c r="A14089" s="17">
        <v>2200000.0</v>
      </c>
      <c r="B14089" s="17">
        <v>6003101.0</v>
      </c>
    </row>
    <row r="14090">
      <c r="A14090" s="17">
        <v>2200000.0</v>
      </c>
      <c r="B14090" s="17">
        <v>6003200.0</v>
      </c>
    </row>
    <row r="14091">
      <c r="A14091" s="17">
        <v>2200000.0</v>
      </c>
      <c r="B14091" s="17">
        <v>6003201.0</v>
      </c>
    </row>
    <row r="14092">
      <c r="A14092" s="17">
        <v>2200000.0</v>
      </c>
      <c r="B14092" s="17">
        <v>6003300.0</v>
      </c>
    </row>
    <row r="14093">
      <c r="A14093" s="17">
        <v>2200000.0</v>
      </c>
      <c r="B14093" s="17">
        <v>6003301.0</v>
      </c>
    </row>
    <row r="14094">
      <c r="A14094" s="17">
        <v>2200000.0</v>
      </c>
      <c r="B14094" s="17">
        <v>6003400.0</v>
      </c>
    </row>
    <row r="14095">
      <c r="A14095" s="17">
        <v>2200000.0</v>
      </c>
      <c r="B14095" s="17">
        <v>6003401.0</v>
      </c>
    </row>
    <row r="14096">
      <c r="A14096" s="17">
        <v>2200000.0</v>
      </c>
      <c r="B14096" s="17">
        <v>6003500.0</v>
      </c>
    </row>
    <row r="14097">
      <c r="A14097" s="17">
        <v>2200000.0</v>
      </c>
      <c r="B14097" s="17">
        <v>6003501.0</v>
      </c>
    </row>
    <row r="14098">
      <c r="A14098" s="17">
        <v>2200000.0</v>
      </c>
      <c r="B14098" s="17">
        <v>6003600.0</v>
      </c>
    </row>
    <row r="14099">
      <c r="A14099" s="17">
        <v>2200000.0</v>
      </c>
      <c r="B14099" s="17">
        <v>6003601.0</v>
      </c>
    </row>
    <row r="14100">
      <c r="A14100" s="17">
        <v>2200000.0</v>
      </c>
      <c r="B14100" s="17">
        <v>6005600.0</v>
      </c>
    </row>
    <row r="14101">
      <c r="A14101" s="17">
        <v>2200000.0</v>
      </c>
      <c r="B14101" s="17">
        <v>6005601.0</v>
      </c>
    </row>
    <row r="14102">
      <c r="A14102" s="17">
        <v>2200000.0</v>
      </c>
      <c r="B14102" s="17">
        <v>6030200.0</v>
      </c>
    </row>
    <row r="14103">
      <c r="A14103" s="17">
        <v>2200000.0</v>
      </c>
      <c r="B14103" s="17">
        <v>6030201.0</v>
      </c>
    </row>
    <row r="14104">
      <c r="A14104" s="17">
        <v>2200000.0</v>
      </c>
      <c r="B14104" s="17">
        <v>6030600.0</v>
      </c>
    </row>
    <row r="14105">
      <c r="A14105" s="17">
        <v>2200000.0</v>
      </c>
      <c r="B14105" s="17">
        <v>6030800.0</v>
      </c>
    </row>
    <row r="14106">
      <c r="A14106" s="17">
        <v>2200000.0</v>
      </c>
      <c r="B14106" s="17">
        <v>6030900.0</v>
      </c>
    </row>
    <row r="14107">
      <c r="A14107" s="17">
        <v>2200000.0</v>
      </c>
      <c r="B14107" s="17">
        <v>6030901.0</v>
      </c>
    </row>
    <row r="14108">
      <c r="A14108" s="17">
        <v>2200000.0</v>
      </c>
      <c r="B14108" s="17">
        <v>6035100.0</v>
      </c>
    </row>
    <row r="14109">
      <c r="A14109" s="17">
        <v>2200000.0</v>
      </c>
      <c r="B14109" s="17">
        <v>6035101.0</v>
      </c>
    </row>
    <row r="14110">
      <c r="A14110" s="17">
        <v>2200000.0</v>
      </c>
      <c r="B14110" s="17">
        <v>6040100.0</v>
      </c>
    </row>
    <row r="14111">
      <c r="A14111" s="17">
        <v>2200000.0</v>
      </c>
      <c r="B14111" s="17">
        <v>6040101.0</v>
      </c>
    </row>
    <row r="14112">
      <c r="A14112" s="17">
        <v>2200000.0</v>
      </c>
      <c r="B14112" s="17">
        <v>6040300.0</v>
      </c>
    </row>
    <row r="14113">
      <c r="A14113" s="17">
        <v>2200000.0</v>
      </c>
      <c r="B14113" s="17">
        <v>6040301.0</v>
      </c>
    </row>
    <row r="14114">
      <c r="A14114" s="17">
        <v>2200000.0</v>
      </c>
      <c r="B14114" s="17">
        <v>6040400.0</v>
      </c>
    </row>
    <row r="14115">
      <c r="A14115" s="17">
        <v>2200000.0</v>
      </c>
      <c r="B14115" s="17">
        <v>6040401.0</v>
      </c>
    </row>
    <row r="14116">
      <c r="A14116" s="17">
        <v>2200000.0</v>
      </c>
      <c r="B14116" s="17">
        <v>6040500.0</v>
      </c>
    </row>
    <row r="14117">
      <c r="A14117" s="17">
        <v>2200000.0</v>
      </c>
      <c r="B14117" s="17">
        <v>6040501.0</v>
      </c>
    </row>
    <row r="14118">
      <c r="A14118" s="17">
        <v>2200000.0</v>
      </c>
      <c r="B14118" s="17">
        <v>6043100.0</v>
      </c>
    </row>
    <row r="14119">
      <c r="A14119" s="17">
        <v>2200000.0</v>
      </c>
      <c r="B14119" s="17">
        <v>6043101.0</v>
      </c>
    </row>
    <row r="14120">
      <c r="A14120" s="17">
        <v>2200000.0</v>
      </c>
      <c r="B14120" s="17">
        <v>6060300.0</v>
      </c>
    </row>
    <row r="14121">
      <c r="A14121" s="17">
        <v>2200000.0</v>
      </c>
      <c r="B14121" s="17">
        <v>6060400.0</v>
      </c>
    </row>
    <row r="14122">
      <c r="A14122" s="17">
        <v>2200000.0</v>
      </c>
      <c r="B14122" s="17">
        <v>6060500.0</v>
      </c>
    </row>
    <row r="14123">
      <c r="A14123" s="17">
        <v>2200000.0</v>
      </c>
      <c r="B14123" s="17">
        <v>6060600.0</v>
      </c>
    </row>
    <row r="14124">
      <c r="A14124" s="17">
        <v>2200000.0</v>
      </c>
      <c r="B14124" s="17">
        <v>6090000.0</v>
      </c>
    </row>
    <row r="14125">
      <c r="A14125" s="17">
        <v>2200000.0</v>
      </c>
      <c r="B14125" s="17">
        <v>6160000.0</v>
      </c>
    </row>
    <row r="14126">
      <c r="A14126" s="17">
        <v>2200000.0</v>
      </c>
      <c r="B14126" s="17">
        <v>6260000.0</v>
      </c>
    </row>
    <row r="14127">
      <c r="A14127" s="17">
        <v>2200000.0</v>
      </c>
      <c r="B14127" s="17">
        <v>6260001.0</v>
      </c>
    </row>
    <row r="14128">
      <c r="A14128" s="17">
        <v>2200000.0</v>
      </c>
      <c r="B14128" s="17">
        <v>6260300.0</v>
      </c>
    </row>
    <row r="14129">
      <c r="A14129" s="17">
        <v>2200000.0</v>
      </c>
      <c r="B14129" s="17">
        <v>6260301.0</v>
      </c>
    </row>
    <row r="14130">
      <c r="A14130" s="17">
        <v>2200000.0</v>
      </c>
      <c r="B14130" s="17">
        <v>6260400.0</v>
      </c>
    </row>
    <row r="14131">
      <c r="A14131" s="17">
        <v>2200000.0</v>
      </c>
      <c r="B14131" s="17">
        <v>6260401.0</v>
      </c>
    </row>
    <row r="14132">
      <c r="A14132" s="17">
        <v>2200000.0</v>
      </c>
      <c r="B14132" s="17">
        <v>6500000.0</v>
      </c>
    </row>
    <row r="14133">
      <c r="A14133" s="17">
        <v>2200000.0</v>
      </c>
      <c r="B14133" s="17">
        <v>6500100.0</v>
      </c>
    </row>
    <row r="14134">
      <c r="A14134" s="17">
        <v>2200000.0</v>
      </c>
      <c r="B14134" s="17">
        <v>6500200.0</v>
      </c>
    </row>
    <row r="14135">
      <c r="A14135" s="17">
        <v>2200000.0</v>
      </c>
      <c r="B14135" s="17">
        <v>6500300.0</v>
      </c>
    </row>
    <row r="14136">
      <c r="A14136" s="17">
        <v>2200000.0</v>
      </c>
      <c r="B14136" s="17">
        <v>6500400.0</v>
      </c>
    </row>
    <row r="14137">
      <c r="A14137" s="17">
        <v>2200000.0</v>
      </c>
      <c r="B14137" s="17">
        <v>6500500.0</v>
      </c>
    </row>
    <row r="14138">
      <c r="A14138" s="17">
        <v>2200000.0</v>
      </c>
      <c r="B14138" s="17">
        <v>6500600.0</v>
      </c>
    </row>
    <row r="14139">
      <c r="A14139" s="17">
        <v>2200000.0</v>
      </c>
      <c r="B14139" s="17">
        <v>6500700.0</v>
      </c>
    </row>
    <row r="14140">
      <c r="A14140" s="17">
        <v>2200000.0</v>
      </c>
      <c r="B14140" s="17">
        <v>6600000.0</v>
      </c>
    </row>
    <row r="14141">
      <c r="A14141" s="17">
        <v>2200000.0</v>
      </c>
      <c r="B14141" s="17">
        <v>6600001.0</v>
      </c>
    </row>
    <row r="14142">
      <c r="A14142" s="17">
        <v>2200000.0</v>
      </c>
      <c r="B14142" s="17">
        <v>6600100.0</v>
      </c>
    </row>
    <row r="14143">
      <c r="A14143" s="17">
        <v>2200000.0</v>
      </c>
      <c r="B14143" s="17">
        <v>6600101.0</v>
      </c>
    </row>
    <row r="14144">
      <c r="A14144" s="17">
        <v>2200000.0</v>
      </c>
      <c r="B14144" s="17">
        <v>6610400.0</v>
      </c>
    </row>
    <row r="14145">
      <c r="A14145" s="17">
        <v>2200000.0</v>
      </c>
      <c r="B14145" s="17">
        <v>6610500.0</v>
      </c>
    </row>
    <row r="14146">
      <c r="A14146" s="17">
        <v>2200000.0</v>
      </c>
      <c r="B14146" s="17">
        <v>6610600.0</v>
      </c>
    </row>
    <row r="14147">
      <c r="A14147" s="17">
        <v>2200000.0</v>
      </c>
      <c r="B14147" s="17">
        <v>6610700.0</v>
      </c>
    </row>
    <row r="14148">
      <c r="A14148" s="17">
        <v>2200000.0</v>
      </c>
      <c r="B14148" s="17">
        <v>6610701.0</v>
      </c>
    </row>
    <row r="14149">
      <c r="A14149" s="17">
        <v>2200000.0</v>
      </c>
      <c r="B14149" s="17">
        <v>6610702.0</v>
      </c>
    </row>
    <row r="14150">
      <c r="A14150" s="17">
        <v>2200000.0</v>
      </c>
      <c r="B14150" s="17">
        <v>6610800.0</v>
      </c>
    </row>
    <row r="14151">
      <c r="A14151" s="17">
        <v>2200000.0</v>
      </c>
      <c r="B14151" s="17">
        <v>6610801.0</v>
      </c>
    </row>
    <row r="14152">
      <c r="A14152" s="17">
        <v>2200000.0</v>
      </c>
      <c r="B14152" s="17">
        <v>6610802.0</v>
      </c>
    </row>
    <row r="14153">
      <c r="A14153" s="17">
        <v>2200000.0</v>
      </c>
      <c r="B14153" s="17">
        <v>7006200.0</v>
      </c>
    </row>
    <row r="14154">
      <c r="A14154" s="17">
        <v>2200000.0</v>
      </c>
      <c r="B14154" s="17">
        <v>6611001.0</v>
      </c>
    </row>
    <row r="14155">
      <c r="A14155" s="17">
        <v>2200000.0</v>
      </c>
      <c r="B14155" s="17">
        <v>6611002.0</v>
      </c>
    </row>
    <row r="14156">
      <c r="A14156" s="17">
        <v>2200000.0</v>
      </c>
      <c r="B14156" s="17">
        <v>6611100.0</v>
      </c>
    </row>
    <row r="14157">
      <c r="A14157" s="17">
        <v>2200000.0</v>
      </c>
      <c r="B14157" s="17">
        <v>6611101.0</v>
      </c>
    </row>
    <row r="14158">
      <c r="A14158" s="17">
        <v>2200000.0</v>
      </c>
      <c r="B14158" s="17">
        <v>6611102.0</v>
      </c>
    </row>
    <row r="14159">
      <c r="A14159" s="17">
        <v>2200000.0</v>
      </c>
      <c r="B14159" s="17">
        <v>6611200.0</v>
      </c>
    </row>
    <row r="14160">
      <c r="A14160" s="17">
        <v>2200000.0</v>
      </c>
      <c r="B14160" s="17">
        <v>6611201.0</v>
      </c>
    </row>
    <row r="14161">
      <c r="A14161" s="17">
        <v>2200000.0</v>
      </c>
      <c r="B14161" s="17">
        <v>6611202.0</v>
      </c>
    </row>
    <row r="14162">
      <c r="A14162" s="17">
        <v>2200000.0</v>
      </c>
      <c r="B14162" s="17">
        <v>6611300.0</v>
      </c>
    </row>
    <row r="14163">
      <c r="A14163" s="17">
        <v>2200000.0</v>
      </c>
      <c r="B14163" s="17">
        <v>6611301.0</v>
      </c>
    </row>
    <row r="14164">
      <c r="A14164" s="17">
        <v>2200000.0</v>
      </c>
      <c r="B14164" s="17">
        <v>6611302.0</v>
      </c>
    </row>
    <row r="14165">
      <c r="A14165" s="17">
        <v>2200000.0</v>
      </c>
      <c r="B14165" s="17">
        <v>6611400.0</v>
      </c>
    </row>
    <row r="14166">
      <c r="A14166" s="17">
        <v>2200000.0</v>
      </c>
      <c r="B14166" s="17">
        <v>6621000.0</v>
      </c>
    </row>
    <row r="14167">
      <c r="A14167" s="17">
        <v>2200000.0</v>
      </c>
      <c r="B14167" s="17">
        <v>6621100.0</v>
      </c>
    </row>
    <row r="14168">
      <c r="A14168" s="17">
        <v>2200000.0</v>
      </c>
      <c r="B14168" s="17">
        <v>6621200.0</v>
      </c>
    </row>
    <row r="14169">
      <c r="A14169" s="17">
        <v>2200000.0</v>
      </c>
      <c r="B14169" s="17">
        <v>6621300.0</v>
      </c>
    </row>
    <row r="14170">
      <c r="A14170" s="17">
        <v>2200000.0</v>
      </c>
      <c r="B14170" s="17">
        <v>6621400.0</v>
      </c>
    </row>
    <row r="14171">
      <c r="A14171" s="17">
        <v>2200000.0</v>
      </c>
      <c r="B14171" s="17">
        <v>6621500.0</v>
      </c>
    </row>
    <row r="14172">
      <c r="A14172" s="17">
        <v>2200000.0</v>
      </c>
      <c r="B14172" s="17">
        <v>6621600.0</v>
      </c>
    </row>
    <row r="14173">
      <c r="A14173" s="17">
        <v>2200000.0</v>
      </c>
      <c r="B14173" s="17">
        <v>6621700.0</v>
      </c>
    </row>
    <row r="14174">
      <c r="A14174" s="17">
        <v>2200000.0</v>
      </c>
      <c r="B14174" s="17">
        <v>6621800.0</v>
      </c>
    </row>
    <row r="14175">
      <c r="A14175" s="17">
        <v>2200000.0</v>
      </c>
      <c r="B14175" s="17">
        <v>6621900.0</v>
      </c>
    </row>
    <row r="14176">
      <c r="A14176" s="17">
        <v>2200000.0</v>
      </c>
      <c r="B14176" s="17">
        <v>6622000.0</v>
      </c>
    </row>
    <row r="14177">
      <c r="A14177" s="17">
        <v>2200000.0</v>
      </c>
      <c r="B14177" s="17">
        <v>6622100.0</v>
      </c>
    </row>
    <row r="14178">
      <c r="A14178" s="17">
        <v>2200000.0</v>
      </c>
      <c r="B14178" s="17">
        <v>6622200.0</v>
      </c>
    </row>
    <row r="14179">
      <c r="A14179" s="17">
        <v>2200000.0</v>
      </c>
      <c r="B14179" s="17">
        <v>6622300.0</v>
      </c>
    </row>
    <row r="14180">
      <c r="A14180" s="17">
        <v>2200000.0</v>
      </c>
      <c r="B14180" s="17">
        <v>6622400.0</v>
      </c>
    </row>
    <row r="14181">
      <c r="A14181" s="17">
        <v>2200000.0</v>
      </c>
      <c r="B14181" s="17">
        <v>6622500.0</v>
      </c>
    </row>
    <row r="14182">
      <c r="A14182" s="17">
        <v>2200000.0</v>
      </c>
      <c r="B14182" s="17">
        <v>6622600.0</v>
      </c>
    </row>
    <row r="14183">
      <c r="A14183" s="17">
        <v>2200000.0</v>
      </c>
      <c r="B14183" s="17">
        <v>6622700.0</v>
      </c>
    </row>
    <row r="14184">
      <c r="A14184" s="17">
        <v>2200000.0</v>
      </c>
      <c r="B14184" s="17">
        <v>6622800.0</v>
      </c>
    </row>
    <row r="14185">
      <c r="A14185" s="17">
        <v>2200000.0</v>
      </c>
      <c r="B14185" s="17">
        <v>6622900.0</v>
      </c>
    </row>
    <row r="14186">
      <c r="A14186" s="17">
        <v>2200000.0</v>
      </c>
      <c r="B14186" s="17">
        <v>6623000.0</v>
      </c>
    </row>
    <row r="14187">
      <c r="A14187" s="17">
        <v>2200000.0</v>
      </c>
      <c r="B14187" s="17">
        <v>6623100.0</v>
      </c>
    </row>
    <row r="14188">
      <c r="A14188" s="17">
        <v>2200000.0</v>
      </c>
      <c r="B14188" s="17">
        <v>6623200.0</v>
      </c>
    </row>
    <row r="14189">
      <c r="A14189" s="17">
        <v>2200000.0</v>
      </c>
      <c r="B14189" s="17">
        <v>6624000.0</v>
      </c>
    </row>
    <row r="14190">
      <c r="A14190" s="17">
        <v>2200000.0</v>
      </c>
      <c r="B14190" s="17">
        <v>6624100.0</v>
      </c>
    </row>
    <row r="14191">
      <c r="A14191" s="17">
        <v>2200000.0</v>
      </c>
      <c r="B14191" s="17">
        <v>6624200.0</v>
      </c>
    </row>
    <row r="14192">
      <c r="A14192" s="17">
        <v>2200000.0</v>
      </c>
      <c r="B14192" s="17">
        <v>6624300.0</v>
      </c>
    </row>
    <row r="14193">
      <c r="A14193" s="17">
        <v>2200000.0</v>
      </c>
      <c r="B14193" s="17">
        <v>6624400.0</v>
      </c>
    </row>
    <row r="14194">
      <c r="A14194" s="17">
        <v>2200000.0</v>
      </c>
      <c r="B14194" s="17">
        <v>6624500.0</v>
      </c>
    </row>
    <row r="14195">
      <c r="A14195" s="17">
        <v>2200000.0</v>
      </c>
      <c r="B14195" s="17">
        <v>6630000.0</v>
      </c>
    </row>
    <row r="14196">
      <c r="A14196" s="17">
        <v>2200000.0</v>
      </c>
      <c r="B14196" s="17">
        <v>6630100.0</v>
      </c>
    </row>
    <row r="14197">
      <c r="A14197" s="17">
        <v>2200000.0</v>
      </c>
      <c r="B14197" s="17">
        <v>6630200.0</v>
      </c>
    </row>
    <row r="14198">
      <c r="A14198" s="17">
        <v>2200000.0</v>
      </c>
      <c r="B14198" s="17">
        <v>6630300.0</v>
      </c>
    </row>
    <row r="14199">
      <c r="A14199" s="17">
        <v>2200000.0</v>
      </c>
      <c r="B14199" s="17">
        <v>6630400.0</v>
      </c>
    </row>
    <row r="14200">
      <c r="A14200" s="17">
        <v>2200000.0</v>
      </c>
      <c r="B14200" s="17">
        <v>6630500.0</v>
      </c>
    </row>
    <row r="14201">
      <c r="A14201" s="17">
        <v>2200000.0</v>
      </c>
      <c r="B14201" s="17">
        <v>6630600.0</v>
      </c>
    </row>
    <row r="14202">
      <c r="A14202" s="17">
        <v>2200000.0</v>
      </c>
      <c r="B14202" s="17">
        <v>6630700.0</v>
      </c>
    </row>
    <row r="14203">
      <c r="A14203" s="17">
        <v>2200000.0</v>
      </c>
      <c r="B14203" s="17">
        <v>6630800.0</v>
      </c>
    </row>
    <row r="14204">
      <c r="A14204" s="17">
        <v>2200000.0</v>
      </c>
      <c r="B14204" s="17">
        <v>6630900.0</v>
      </c>
    </row>
    <row r="14205">
      <c r="A14205" s="17">
        <v>2200000.0</v>
      </c>
      <c r="B14205" s="17">
        <v>6631000.0</v>
      </c>
    </row>
    <row r="14206">
      <c r="A14206" s="17">
        <v>2200000.0</v>
      </c>
      <c r="B14206" s="17">
        <v>6631100.0</v>
      </c>
    </row>
    <row r="14207">
      <c r="A14207" s="17">
        <v>2200000.0</v>
      </c>
      <c r="B14207" s="17">
        <v>6631200.0</v>
      </c>
    </row>
    <row r="14208">
      <c r="A14208" s="17">
        <v>2200000.0</v>
      </c>
      <c r="B14208" s="17">
        <v>6631300.0</v>
      </c>
    </row>
    <row r="14209">
      <c r="A14209" s="17">
        <v>2200000.0</v>
      </c>
      <c r="B14209" s="17">
        <v>6631400.0</v>
      </c>
    </row>
    <row r="14210">
      <c r="A14210" s="17">
        <v>2200000.0</v>
      </c>
      <c r="B14210" s="17">
        <v>6631500.0</v>
      </c>
    </row>
    <row r="14211">
      <c r="A14211" s="17">
        <v>2200000.0</v>
      </c>
      <c r="B14211" s="17">
        <v>6631600.0</v>
      </c>
    </row>
    <row r="14212">
      <c r="A14212" s="17">
        <v>2200000.0</v>
      </c>
      <c r="B14212" s="17">
        <v>6631700.0</v>
      </c>
    </row>
    <row r="14213">
      <c r="A14213" s="17">
        <v>2200000.0</v>
      </c>
      <c r="B14213" s="17">
        <v>6631800.0</v>
      </c>
    </row>
    <row r="14214">
      <c r="A14214" s="17">
        <v>2200000.0</v>
      </c>
      <c r="B14214" s="17">
        <v>6631900.0</v>
      </c>
    </row>
    <row r="14215">
      <c r="A14215" s="17">
        <v>2200000.0</v>
      </c>
      <c r="B14215" s="17">
        <v>6632000.0</v>
      </c>
    </row>
    <row r="14216">
      <c r="A14216" s="17">
        <v>2200000.0</v>
      </c>
      <c r="B14216" s="17">
        <v>6632100.0</v>
      </c>
    </row>
    <row r="14217">
      <c r="A14217" s="17">
        <v>2200000.0</v>
      </c>
      <c r="B14217" s="17">
        <v>6632200.0</v>
      </c>
    </row>
    <row r="14218">
      <c r="A14218" s="17">
        <v>2200000.0</v>
      </c>
      <c r="B14218" s="17">
        <v>6632300.0</v>
      </c>
    </row>
    <row r="14219">
      <c r="A14219" s="17">
        <v>2200000.0</v>
      </c>
      <c r="B14219" s="17">
        <v>6632400.0</v>
      </c>
    </row>
    <row r="14220">
      <c r="A14220" s="17">
        <v>2200000.0</v>
      </c>
      <c r="B14220" s="17">
        <v>6632500.0</v>
      </c>
    </row>
    <row r="14221">
      <c r="A14221" s="17">
        <v>2200000.0</v>
      </c>
      <c r="B14221" s="17">
        <v>6632600.0</v>
      </c>
    </row>
    <row r="14222">
      <c r="A14222" s="17">
        <v>2200000.0</v>
      </c>
      <c r="B14222" s="17">
        <v>6632700.0</v>
      </c>
    </row>
    <row r="14223">
      <c r="A14223" s="17">
        <v>2200000.0</v>
      </c>
      <c r="B14223" s="17">
        <v>6632800.0</v>
      </c>
    </row>
    <row r="14224">
      <c r="A14224" s="17">
        <v>2200000.0</v>
      </c>
      <c r="B14224" s="17">
        <v>6632900.0</v>
      </c>
    </row>
    <row r="14225">
      <c r="A14225" s="17">
        <v>2200000.0</v>
      </c>
      <c r="B14225" s="17">
        <v>6633000.0</v>
      </c>
    </row>
    <row r="14226">
      <c r="A14226" s="17">
        <v>2200000.0</v>
      </c>
      <c r="B14226" s="17">
        <v>6633100.0</v>
      </c>
    </row>
    <row r="14227">
      <c r="A14227" s="17">
        <v>2200000.0</v>
      </c>
      <c r="B14227" s="17">
        <v>6633200.0</v>
      </c>
    </row>
    <row r="14228">
      <c r="A14228" s="17">
        <v>2200000.0</v>
      </c>
      <c r="B14228" s="17">
        <v>6640000.0</v>
      </c>
    </row>
    <row r="14229">
      <c r="A14229" s="17">
        <v>2200000.0</v>
      </c>
      <c r="B14229" s="17">
        <v>6640100.0</v>
      </c>
    </row>
    <row r="14230">
      <c r="A14230" s="17">
        <v>2200000.0</v>
      </c>
      <c r="B14230" s="17">
        <v>6641000.0</v>
      </c>
    </row>
    <row r="14231">
      <c r="A14231" s="17">
        <v>2200000.0</v>
      </c>
      <c r="B14231" s="17">
        <v>6641100.0</v>
      </c>
    </row>
    <row r="14232">
      <c r="A14232" s="17">
        <v>2200000.0</v>
      </c>
      <c r="B14232" s="17">
        <v>6642000.0</v>
      </c>
    </row>
    <row r="14233">
      <c r="A14233" s="17">
        <v>2200000.0</v>
      </c>
      <c r="B14233" s="17">
        <v>6642100.0</v>
      </c>
    </row>
    <row r="14234">
      <c r="A14234" s="17">
        <v>2200000.0</v>
      </c>
      <c r="B14234" s="17">
        <v>6643000.0</v>
      </c>
    </row>
    <row r="14235">
      <c r="A14235" s="17">
        <v>2200000.0</v>
      </c>
      <c r="B14235" s="17">
        <v>6643100.0</v>
      </c>
    </row>
    <row r="14236">
      <c r="A14236" s="17">
        <v>2200000.0</v>
      </c>
      <c r="B14236" s="17">
        <v>6644000.0</v>
      </c>
    </row>
    <row r="14237">
      <c r="A14237" s="17">
        <v>2200000.0</v>
      </c>
      <c r="B14237" s="17">
        <v>6644100.0</v>
      </c>
    </row>
    <row r="14238">
      <c r="A14238" s="17">
        <v>2200000.0</v>
      </c>
      <c r="B14238" s="17">
        <v>6645000.0</v>
      </c>
    </row>
    <row r="14239">
      <c r="A14239" s="17">
        <v>2200000.0</v>
      </c>
      <c r="B14239" s="17">
        <v>6645100.0</v>
      </c>
    </row>
    <row r="14240">
      <c r="A14240" s="17">
        <v>2200000.0</v>
      </c>
      <c r="B14240" s="17">
        <v>6646000.0</v>
      </c>
    </row>
    <row r="14241">
      <c r="A14241" s="17">
        <v>2200000.0</v>
      </c>
      <c r="B14241" s="17">
        <v>6646100.0</v>
      </c>
    </row>
    <row r="14242">
      <c r="A14242" s="17">
        <v>2200000.0</v>
      </c>
      <c r="B14242" s="17">
        <v>6647000.0</v>
      </c>
    </row>
    <row r="14243">
      <c r="A14243" s="17">
        <v>2200000.0</v>
      </c>
      <c r="B14243" s="17">
        <v>6647100.0</v>
      </c>
    </row>
    <row r="14244">
      <c r="A14244" s="17">
        <v>2200000.0</v>
      </c>
      <c r="B14244" s="17">
        <v>6500800.0</v>
      </c>
    </row>
    <row r="14245">
      <c r="A14245" s="17">
        <v>2200000.0</v>
      </c>
      <c r="B14245" s="17">
        <v>6500900.0</v>
      </c>
    </row>
    <row r="14246">
      <c r="A14246" s="17">
        <v>2200000.0</v>
      </c>
      <c r="B14246" s="17">
        <v>6647200.0</v>
      </c>
    </row>
    <row r="14247">
      <c r="A14247" s="17">
        <v>2200000.0</v>
      </c>
      <c r="B14247" s="17">
        <v>6647300.0</v>
      </c>
    </row>
    <row r="14248">
      <c r="A14248" s="17">
        <v>2200000.0</v>
      </c>
      <c r="B14248" s="17">
        <v>6647400.0</v>
      </c>
    </row>
    <row r="14249">
      <c r="A14249" s="17">
        <v>2200000.0</v>
      </c>
      <c r="B14249" s="17">
        <v>6647500.0</v>
      </c>
    </row>
    <row r="14250">
      <c r="A14250" s="17">
        <v>3000000.0</v>
      </c>
      <c r="B14250" s="17">
        <v>6820000.0</v>
      </c>
    </row>
    <row r="14251">
      <c r="A14251" s="17">
        <v>3000000.0</v>
      </c>
      <c r="B14251" s="17">
        <v>6820100.0</v>
      </c>
    </row>
    <row r="14252">
      <c r="A14252" s="17">
        <v>3000000.0</v>
      </c>
      <c r="B14252" s="17">
        <v>6820200.0</v>
      </c>
    </row>
    <row r="14253">
      <c r="A14253" s="17">
        <v>3000000.0</v>
      </c>
      <c r="B14253" s="17">
        <v>6820300.0</v>
      </c>
    </row>
    <row r="14254">
      <c r="A14254" s="17">
        <v>3000000.0</v>
      </c>
      <c r="B14254" s="17">
        <v>6820400.0</v>
      </c>
    </row>
    <row r="14255">
      <c r="A14255" s="17">
        <v>3000000.0</v>
      </c>
      <c r="B14255" s="17">
        <v>6820500.0</v>
      </c>
    </row>
    <row r="14256">
      <c r="A14256" s="17">
        <v>3000000.0</v>
      </c>
      <c r="B14256" s="17">
        <v>6820600.0</v>
      </c>
    </row>
    <row r="14257">
      <c r="A14257" s="17">
        <v>3000000.0</v>
      </c>
      <c r="B14257" s="17">
        <v>6830000.0</v>
      </c>
    </row>
    <row r="14258">
      <c r="A14258" s="17">
        <v>3000000.0</v>
      </c>
      <c r="B14258" s="17">
        <v>6830100.0</v>
      </c>
    </row>
    <row r="14259">
      <c r="A14259" s="17">
        <v>3000000.0</v>
      </c>
      <c r="B14259" s="17">
        <v>6830200.0</v>
      </c>
    </row>
    <row r="14260">
      <c r="A14260" s="17">
        <v>3000000.0</v>
      </c>
      <c r="B14260" s="17">
        <v>6830300.0</v>
      </c>
    </row>
    <row r="14261">
      <c r="A14261" s="17">
        <v>3000000.0</v>
      </c>
      <c r="B14261" s="17">
        <v>6830400.0</v>
      </c>
    </row>
    <row r="14262">
      <c r="A14262" s="17">
        <v>3000000.0</v>
      </c>
      <c r="B14262" s="17">
        <v>6840000.0</v>
      </c>
    </row>
    <row r="14263">
      <c r="A14263" s="17">
        <v>3000000.0</v>
      </c>
      <c r="B14263" s="17">
        <v>6840100.0</v>
      </c>
    </row>
    <row r="14264">
      <c r="A14264" s="17">
        <v>3000000.0</v>
      </c>
      <c r="B14264" s="17">
        <v>6840200.0</v>
      </c>
    </row>
    <row r="14265">
      <c r="A14265" s="17">
        <v>3000000.0</v>
      </c>
      <c r="B14265" s="17">
        <v>6850200.0</v>
      </c>
    </row>
    <row r="14266">
      <c r="A14266" s="17">
        <v>3000000.0</v>
      </c>
      <c r="B14266" s="17">
        <v>6850500.0</v>
      </c>
    </row>
    <row r="14267">
      <c r="A14267" s="17">
        <v>3000000.0</v>
      </c>
      <c r="B14267" s="17">
        <v>6850700.0</v>
      </c>
    </row>
    <row r="14268">
      <c r="A14268" s="17">
        <v>3000000.0</v>
      </c>
      <c r="B14268" s="17">
        <v>6850800.0</v>
      </c>
    </row>
    <row r="14269">
      <c r="A14269" s="17">
        <v>3000000.0</v>
      </c>
      <c r="B14269" s="17">
        <v>6850900.0</v>
      </c>
    </row>
    <row r="14270">
      <c r="A14270" s="17">
        <v>3000000.0</v>
      </c>
      <c r="B14270" s="17">
        <v>6851200.0</v>
      </c>
    </row>
    <row r="14271">
      <c r="A14271" s="17">
        <v>3000000.0</v>
      </c>
      <c r="B14271" s="17">
        <v>6851300.0</v>
      </c>
    </row>
    <row r="14272">
      <c r="A14272" s="17">
        <v>3000000.0</v>
      </c>
      <c r="B14272" s="17">
        <v>6851400.0</v>
      </c>
    </row>
    <row r="14273">
      <c r="A14273" s="17">
        <v>3000000.0</v>
      </c>
      <c r="B14273" s="17">
        <v>6851700.0</v>
      </c>
    </row>
    <row r="14274">
      <c r="A14274" s="17">
        <v>6001400.0</v>
      </c>
      <c r="B14274" s="17">
        <v>6001400.0</v>
      </c>
    </row>
    <row r="14275">
      <c r="A14275" s="17">
        <v>6001401.0</v>
      </c>
      <c r="B14275" s="17">
        <v>6001401.0</v>
      </c>
    </row>
    <row r="14276">
      <c r="A14276" s="17">
        <v>6001500.0</v>
      </c>
      <c r="B14276" s="17">
        <v>6001500.0</v>
      </c>
    </row>
    <row r="14277">
      <c r="A14277" s="17">
        <v>6001501.0</v>
      </c>
      <c r="B14277" s="17">
        <v>6001501.0</v>
      </c>
    </row>
    <row r="14278">
      <c r="A14278" s="17">
        <v>6001600.0</v>
      </c>
      <c r="B14278" s="17">
        <v>6001600.0</v>
      </c>
    </row>
    <row r="14279">
      <c r="A14279" s="17">
        <v>6001601.0</v>
      </c>
      <c r="B14279" s="17">
        <v>6001601.0</v>
      </c>
    </row>
    <row r="14280">
      <c r="A14280" s="17">
        <v>6001700.0</v>
      </c>
      <c r="B14280" s="17">
        <v>6001700.0</v>
      </c>
    </row>
    <row r="14281">
      <c r="A14281" s="17">
        <v>6001701.0</v>
      </c>
      <c r="B14281" s="17">
        <v>6001701.0</v>
      </c>
    </row>
    <row r="14282">
      <c r="A14282" s="17">
        <v>6001800.0</v>
      </c>
      <c r="B14282" s="17">
        <v>6001800.0</v>
      </c>
    </row>
    <row r="14283">
      <c r="A14283" s="17">
        <v>6001801.0</v>
      </c>
      <c r="B14283" s="17">
        <v>6001801.0</v>
      </c>
    </row>
    <row r="14284">
      <c r="A14284" s="17">
        <v>6002600.0</v>
      </c>
      <c r="B14284" s="17">
        <v>6002600.0</v>
      </c>
    </row>
    <row r="14285">
      <c r="A14285" s="17">
        <v>6002601.0</v>
      </c>
      <c r="B14285" s="17">
        <v>6002601.0</v>
      </c>
    </row>
    <row r="14286">
      <c r="A14286" s="17">
        <v>6002700.0</v>
      </c>
      <c r="B14286" s="17">
        <v>6002700.0</v>
      </c>
    </row>
    <row r="14287">
      <c r="A14287" s="17">
        <v>6002701.0</v>
      </c>
      <c r="B14287" s="17">
        <v>6002701.0</v>
      </c>
    </row>
    <row r="14288">
      <c r="A14288" s="17">
        <v>6002800.0</v>
      </c>
      <c r="B14288" s="17">
        <v>6002800.0</v>
      </c>
    </row>
    <row r="14289">
      <c r="A14289" s="17">
        <v>6002801.0</v>
      </c>
      <c r="B14289" s="17">
        <v>6002801.0</v>
      </c>
    </row>
    <row r="14290">
      <c r="A14290" s="17">
        <v>6002900.0</v>
      </c>
      <c r="B14290" s="17">
        <v>6002900.0</v>
      </c>
    </row>
    <row r="14291">
      <c r="A14291" s="17">
        <v>6002901.0</v>
      </c>
      <c r="B14291" s="17">
        <v>6002901.0</v>
      </c>
    </row>
    <row r="14292">
      <c r="A14292" s="17">
        <v>6003000.0</v>
      </c>
      <c r="B14292" s="17">
        <v>6003000.0</v>
      </c>
    </row>
    <row r="14293">
      <c r="A14293" s="17">
        <v>6003001.0</v>
      </c>
      <c r="B14293" s="17">
        <v>6003001.0</v>
      </c>
    </row>
    <row r="14294">
      <c r="A14294" s="17">
        <v>6003100.0</v>
      </c>
      <c r="B14294" s="17">
        <v>6003100.0</v>
      </c>
    </row>
    <row r="14295">
      <c r="A14295" s="17">
        <v>6003101.0</v>
      </c>
      <c r="B14295" s="17">
        <v>6003101.0</v>
      </c>
    </row>
    <row r="14296">
      <c r="A14296" s="17">
        <v>6003200.0</v>
      </c>
      <c r="B14296" s="17">
        <v>6003200.0</v>
      </c>
    </row>
    <row r="14297">
      <c r="A14297" s="17">
        <v>6003201.0</v>
      </c>
      <c r="B14297" s="17">
        <v>6003201.0</v>
      </c>
    </row>
    <row r="14298">
      <c r="A14298" s="17">
        <v>6003300.0</v>
      </c>
      <c r="B14298" s="17">
        <v>6003300.0</v>
      </c>
    </row>
    <row r="14299">
      <c r="A14299" s="17">
        <v>6003301.0</v>
      </c>
      <c r="B14299" s="17">
        <v>6003301.0</v>
      </c>
    </row>
    <row r="14300">
      <c r="A14300" s="17">
        <v>6003400.0</v>
      </c>
      <c r="B14300" s="17">
        <v>6003400.0</v>
      </c>
    </row>
    <row r="14301">
      <c r="A14301" s="17">
        <v>6003401.0</v>
      </c>
      <c r="B14301" s="17">
        <v>6003401.0</v>
      </c>
    </row>
    <row r="14302">
      <c r="A14302" s="17">
        <v>6003500.0</v>
      </c>
      <c r="B14302" s="17">
        <v>6003500.0</v>
      </c>
    </row>
    <row r="14303">
      <c r="A14303" s="17">
        <v>6003501.0</v>
      </c>
      <c r="B14303" s="17">
        <v>6003501.0</v>
      </c>
    </row>
    <row r="14304">
      <c r="A14304" s="17">
        <v>6003600.0</v>
      </c>
      <c r="B14304" s="17">
        <v>6003600.0</v>
      </c>
    </row>
    <row r="14305">
      <c r="A14305" s="17">
        <v>6003601.0</v>
      </c>
      <c r="B14305" s="17">
        <v>6003601.0</v>
      </c>
    </row>
    <row r="14306">
      <c r="A14306" s="17">
        <v>6005600.0</v>
      </c>
      <c r="B14306" s="17">
        <v>6005600.0</v>
      </c>
    </row>
    <row r="14307">
      <c r="A14307" s="17">
        <v>6005601.0</v>
      </c>
      <c r="B14307" s="17">
        <v>6005601.0</v>
      </c>
    </row>
    <row r="14308">
      <c r="A14308" s="17">
        <v>6030200.0</v>
      </c>
      <c r="B14308" s="17">
        <v>6030200.0</v>
      </c>
    </row>
    <row r="14309">
      <c r="A14309" s="17">
        <v>6030600.0</v>
      </c>
      <c r="B14309" s="17">
        <v>6030600.0</v>
      </c>
    </row>
    <row r="14310">
      <c r="A14310" s="17">
        <v>6030800.0</v>
      </c>
      <c r="B14310" s="17">
        <v>6030800.0</v>
      </c>
    </row>
    <row r="14311">
      <c r="A14311" s="17">
        <v>6030900.0</v>
      </c>
      <c r="B14311" s="17">
        <v>6030900.0</v>
      </c>
    </row>
    <row r="14312">
      <c r="A14312" s="17">
        <v>6030901.0</v>
      </c>
      <c r="B14312" s="17">
        <v>6030901.0</v>
      </c>
    </row>
    <row r="14313">
      <c r="A14313" s="17">
        <v>6035100.0</v>
      </c>
      <c r="B14313" s="17">
        <v>6035100.0</v>
      </c>
    </row>
    <row r="14314">
      <c r="A14314" s="17">
        <v>6040100.0</v>
      </c>
      <c r="B14314" s="17">
        <v>6040100.0</v>
      </c>
    </row>
    <row r="14315">
      <c r="A14315" s="17">
        <v>6040101.0</v>
      </c>
      <c r="B14315" s="17">
        <v>6040101.0</v>
      </c>
    </row>
    <row r="14316">
      <c r="A14316" s="17">
        <v>6040300.0</v>
      </c>
      <c r="B14316" s="17">
        <v>6040300.0</v>
      </c>
    </row>
    <row r="14317">
      <c r="A14317" s="17">
        <v>6040400.0</v>
      </c>
      <c r="B14317" s="17">
        <v>6040400.0</v>
      </c>
    </row>
    <row r="14318">
      <c r="A14318" s="17">
        <v>6040500.0</v>
      </c>
      <c r="B14318" s="17">
        <v>6040500.0</v>
      </c>
    </row>
    <row r="14319">
      <c r="A14319" s="17">
        <v>6043100.0</v>
      </c>
      <c r="B14319" s="17">
        <v>6043100.0</v>
      </c>
    </row>
    <row r="14320">
      <c r="A14320" s="17">
        <v>6060300.0</v>
      </c>
      <c r="B14320" s="17">
        <v>6060300.0</v>
      </c>
    </row>
    <row r="14321">
      <c r="A14321" s="17">
        <v>6060400.0</v>
      </c>
      <c r="B14321" s="17">
        <v>6060400.0</v>
      </c>
    </row>
    <row r="14322">
      <c r="A14322" s="17">
        <v>6060500.0</v>
      </c>
      <c r="B14322" s="17">
        <v>6060500.0</v>
      </c>
    </row>
    <row r="14323">
      <c r="A14323" s="17">
        <v>6060600.0</v>
      </c>
      <c r="B14323" s="17">
        <v>6060600.0</v>
      </c>
    </row>
    <row r="14324">
      <c r="A14324" s="17">
        <v>6090000.0</v>
      </c>
      <c r="B14324" s="17">
        <v>6090000.0</v>
      </c>
    </row>
    <row r="14325">
      <c r="A14325" s="17">
        <v>6160000.0</v>
      </c>
      <c r="B14325" s="17">
        <v>6160000.0</v>
      </c>
    </row>
    <row r="14326">
      <c r="A14326" s="17">
        <v>6260000.0</v>
      </c>
      <c r="B14326" s="17">
        <v>6260000.0</v>
      </c>
    </row>
    <row r="14327">
      <c r="A14327" s="17">
        <v>6260001.0</v>
      </c>
      <c r="B14327" s="17">
        <v>6260001.0</v>
      </c>
    </row>
    <row r="14328">
      <c r="A14328" s="17">
        <v>6260300.0</v>
      </c>
      <c r="B14328" s="17">
        <v>6260300.0</v>
      </c>
    </row>
    <row r="14329">
      <c r="A14329" s="17">
        <v>6260301.0</v>
      </c>
      <c r="B14329" s="17">
        <v>6260301.0</v>
      </c>
    </row>
    <row r="14330">
      <c r="A14330" s="17">
        <v>6260400.0</v>
      </c>
      <c r="B14330" s="17">
        <v>6260400.0</v>
      </c>
    </row>
    <row r="14331">
      <c r="A14331" s="17">
        <v>6260401.0</v>
      </c>
      <c r="B14331" s="17">
        <v>6260401.0</v>
      </c>
    </row>
    <row r="14332">
      <c r="A14332" s="17">
        <v>6500000.0</v>
      </c>
      <c r="B14332" s="17">
        <v>6500000.0</v>
      </c>
    </row>
    <row r="14333">
      <c r="A14333" s="17">
        <v>6500100.0</v>
      </c>
      <c r="B14333" s="17">
        <v>6500100.0</v>
      </c>
    </row>
    <row r="14334">
      <c r="A14334" s="17">
        <v>6500200.0</v>
      </c>
      <c r="B14334" s="17">
        <v>6500200.0</v>
      </c>
    </row>
    <row r="14335">
      <c r="A14335" s="17">
        <v>6500300.0</v>
      </c>
      <c r="B14335" s="17">
        <v>6500300.0</v>
      </c>
    </row>
    <row r="14336">
      <c r="A14336" s="17">
        <v>6500400.0</v>
      </c>
      <c r="B14336" s="17">
        <v>6500400.0</v>
      </c>
    </row>
    <row r="14337">
      <c r="A14337" s="17">
        <v>6500500.0</v>
      </c>
      <c r="B14337" s="17">
        <v>6500500.0</v>
      </c>
    </row>
    <row r="14338">
      <c r="A14338" s="17">
        <v>6500600.0</v>
      </c>
      <c r="B14338" s="17">
        <v>6500600.0</v>
      </c>
    </row>
    <row r="14339">
      <c r="A14339" s="17">
        <v>6500700.0</v>
      </c>
      <c r="B14339" s="17">
        <v>6500700.0</v>
      </c>
    </row>
    <row r="14340">
      <c r="A14340" s="17">
        <v>6500800.0</v>
      </c>
      <c r="B14340" s="17">
        <v>6500800.0</v>
      </c>
    </row>
    <row r="14341">
      <c r="A14341" s="17">
        <v>6500900.0</v>
      </c>
      <c r="B14341" s="17">
        <v>6500900.0</v>
      </c>
    </row>
    <row r="14342">
      <c r="A14342" s="17">
        <v>6600000.0</v>
      </c>
      <c r="B14342" s="17">
        <v>6600000.0</v>
      </c>
    </row>
    <row r="14343">
      <c r="A14343" s="17">
        <v>6600001.0</v>
      </c>
      <c r="B14343" s="17">
        <v>6600001.0</v>
      </c>
    </row>
    <row r="14344">
      <c r="A14344" s="17">
        <v>6600100.0</v>
      </c>
      <c r="B14344" s="17">
        <v>6600100.0</v>
      </c>
    </row>
    <row r="14345">
      <c r="A14345" s="17">
        <v>6600101.0</v>
      </c>
      <c r="B14345" s="17">
        <v>6600101.0</v>
      </c>
    </row>
    <row r="14346">
      <c r="A14346" s="17">
        <v>6610400.0</v>
      </c>
      <c r="B14346" s="17">
        <v>6610400.0</v>
      </c>
    </row>
    <row r="14347">
      <c r="A14347" s="17">
        <v>6610500.0</v>
      </c>
      <c r="B14347" s="17">
        <v>6610500.0</v>
      </c>
    </row>
    <row r="14348">
      <c r="A14348" s="17">
        <v>6610600.0</v>
      </c>
      <c r="B14348" s="17">
        <v>6610600.0</v>
      </c>
    </row>
    <row r="14349">
      <c r="A14349" s="17">
        <v>6610700.0</v>
      </c>
      <c r="B14349" s="17">
        <v>6610700.0</v>
      </c>
    </row>
    <row r="14350">
      <c r="A14350" s="17">
        <v>6610800.0</v>
      </c>
      <c r="B14350" s="17">
        <v>6610800.0</v>
      </c>
    </row>
    <row r="14351">
      <c r="A14351" s="17">
        <v>6610801.0</v>
      </c>
      <c r="B14351" s="17">
        <v>6610801.0</v>
      </c>
    </row>
    <row r="14352">
      <c r="A14352" s="17">
        <v>6610802.0</v>
      </c>
      <c r="B14352" s="17">
        <v>6610802.0</v>
      </c>
    </row>
    <row r="14353">
      <c r="A14353" s="17">
        <v>6611001.0</v>
      </c>
      <c r="B14353" s="17">
        <v>6611001.0</v>
      </c>
    </row>
    <row r="14354">
      <c r="A14354" s="17">
        <v>6611002.0</v>
      </c>
      <c r="B14354" s="17">
        <v>6611002.0</v>
      </c>
    </row>
    <row r="14355">
      <c r="A14355" s="17">
        <v>6611100.0</v>
      </c>
      <c r="B14355" s="17">
        <v>6611100.0</v>
      </c>
    </row>
    <row r="14356">
      <c r="A14356" s="17">
        <v>6611101.0</v>
      </c>
      <c r="B14356" s="17">
        <v>6611101.0</v>
      </c>
    </row>
    <row r="14357">
      <c r="A14357" s="17">
        <v>6611102.0</v>
      </c>
      <c r="B14357" s="17">
        <v>6611102.0</v>
      </c>
    </row>
    <row r="14358">
      <c r="A14358" s="17">
        <v>6611200.0</v>
      </c>
      <c r="B14358" s="17">
        <v>6611200.0</v>
      </c>
    </row>
    <row r="14359">
      <c r="A14359" s="17">
        <v>6611201.0</v>
      </c>
      <c r="B14359" s="17">
        <v>6611201.0</v>
      </c>
    </row>
    <row r="14360">
      <c r="A14360" s="17">
        <v>6611202.0</v>
      </c>
      <c r="B14360" s="17">
        <v>6611202.0</v>
      </c>
    </row>
    <row r="14361">
      <c r="A14361" s="17">
        <v>6611300.0</v>
      </c>
      <c r="B14361" s="17">
        <v>6611300.0</v>
      </c>
    </row>
    <row r="14362">
      <c r="A14362" s="17">
        <v>6611301.0</v>
      </c>
      <c r="B14362" s="17">
        <v>6611301.0</v>
      </c>
    </row>
    <row r="14363">
      <c r="A14363" s="17">
        <v>6611302.0</v>
      </c>
      <c r="B14363" s="17">
        <v>6611302.0</v>
      </c>
    </row>
    <row r="14364">
      <c r="A14364" s="17">
        <v>6611400.0</v>
      </c>
      <c r="B14364" s="17">
        <v>6611400.0</v>
      </c>
    </row>
    <row r="14365">
      <c r="A14365" s="17">
        <v>6621000.0</v>
      </c>
      <c r="B14365" s="17">
        <v>6621000.0</v>
      </c>
    </row>
    <row r="14366">
      <c r="A14366" s="17">
        <v>6621100.0</v>
      </c>
      <c r="B14366" s="17">
        <v>6621100.0</v>
      </c>
    </row>
    <row r="14367">
      <c r="A14367" s="17">
        <v>6621200.0</v>
      </c>
      <c r="B14367" s="17">
        <v>6621200.0</v>
      </c>
    </row>
    <row r="14368">
      <c r="A14368" s="17">
        <v>6621300.0</v>
      </c>
      <c r="B14368" s="17">
        <v>6621300.0</v>
      </c>
    </row>
    <row r="14369">
      <c r="A14369" s="17">
        <v>6621400.0</v>
      </c>
      <c r="B14369" s="17">
        <v>6621400.0</v>
      </c>
    </row>
    <row r="14370">
      <c r="A14370" s="17">
        <v>6621500.0</v>
      </c>
      <c r="B14370" s="17">
        <v>6621500.0</v>
      </c>
    </row>
    <row r="14371">
      <c r="A14371" s="17">
        <v>6621600.0</v>
      </c>
      <c r="B14371" s="17">
        <v>6621600.0</v>
      </c>
    </row>
    <row r="14372">
      <c r="A14372" s="17">
        <v>6621700.0</v>
      </c>
      <c r="B14372" s="17">
        <v>6621700.0</v>
      </c>
    </row>
    <row r="14373">
      <c r="A14373" s="17">
        <v>6621800.0</v>
      </c>
      <c r="B14373" s="17">
        <v>6621800.0</v>
      </c>
    </row>
    <row r="14374">
      <c r="A14374" s="17">
        <v>6621900.0</v>
      </c>
      <c r="B14374" s="17">
        <v>6621900.0</v>
      </c>
    </row>
    <row r="14375">
      <c r="A14375" s="17">
        <v>6622000.0</v>
      </c>
      <c r="B14375" s="17">
        <v>6622000.0</v>
      </c>
    </row>
    <row r="14376">
      <c r="A14376" s="17">
        <v>6622100.0</v>
      </c>
      <c r="B14376" s="17">
        <v>6622100.0</v>
      </c>
    </row>
    <row r="14377">
      <c r="A14377" s="17">
        <v>6622200.0</v>
      </c>
      <c r="B14377" s="17">
        <v>6622200.0</v>
      </c>
    </row>
    <row r="14378">
      <c r="A14378" s="17">
        <v>6622300.0</v>
      </c>
      <c r="B14378" s="17">
        <v>6622300.0</v>
      </c>
    </row>
    <row r="14379">
      <c r="A14379" s="17">
        <v>6622400.0</v>
      </c>
      <c r="B14379" s="17">
        <v>6622400.0</v>
      </c>
    </row>
    <row r="14380">
      <c r="A14380" s="17">
        <v>6622500.0</v>
      </c>
      <c r="B14380" s="17">
        <v>6622500.0</v>
      </c>
    </row>
    <row r="14381">
      <c r="A14381" s="17">
        <v>6622600.0</v>
      </c>
      <c r="B14381" s="17">
        <v>6622600.0</v>
      </c>
    </row>
    <row r="14382">
      <c r="A14382" s="17">
        <v>6622700.0</v>
      </c>
      <c r="B14382" s="17">
        <v>6622700.0</v>
      </c>
    </row>
    <row r="14383">
      <c r="A14383" s="17">
        <v>6622800.0</v>
      </c>
      <c r="B14383" s="17">
        <v>6622800.0</v>
      </c>
    </row>
    <row r="14384">
      <c r="A14384" s="17">
        <v>6622900.0</v>
      </c>
      <c r="B14384" s="17">
        <v>6622900.0</v>
      </c>
    </row>
    <row r="14385">
      <c r="A14385" s="17">
        <v>6623000.0</v>
      </c>
      <c r="B14385" s="17">
        <v>6623000.0</v>
      </c>
    </row>
    <row r="14386">
      <c r="A14386" s="17">
        <v>6623100.0</v>
      </c>
      <c r="B14386" s="17">
        <v>6623100.0</v>
      </c>
    </row>
    <row r="14387">
      <c r="A14387" s="17">
        <v>6623200.0</v>
      </c>
      <c r="B14387" s="17">
        <v>6623200.0</v>
      </c>
    </row>
    <row r="14388">
      <c r="A14388" s="17">
        <v>6624000.0</v>
      </c>
      <c r="B14388" s="17">
        <v>6624000.0</v>
      </c>
    </row>
    <row r="14389">
      <c r="A14389" s="17">
        <v>6624100.0</v>
      </c>
      <c r="B14389" s="17">
        <v>6624100.0</v>
      </c>
    </row>
    <row r="14390">
      <c r="A14390" s="17">
        <v>6624200.0</v>
      </c>
      <c r="B14390" s="17">
        <v>6624200.0</v>
      </c>
    </row>
    <row r="14391">
      <c r="A14391" s="17">
        <v>6624300.0</v>
      </c>
      <c r="B14391" s="17">
        <v>6624300.0</v>
      </c>
    </row>
    <row r="14392">
      <c r="A14392" s="17">
        <v>6624400.0</v>
      </c>
      <c r="B14392" s="17">
        <v>6624400.0</v>
      </c>
    </row>
    <row r="14393">
      <c r="A14393" s="17">
        <v>6624500.0</v>
      </c>
      <c r="B14393" s="17">
        <v>6624500.0</v>
      </c>
    </row>
    <row r="14394">
      <c r="A14394" s="17">
        <v>6630000.0</v>
      </c>
      <c r="B14394" s="17">
        <v>6630000.0</v>
      </c>
    </row>
    <row r="14395">
      <c r="A14395" s="17">
        <v>6630100.0</v>
      </c>
      <c r="B14395" s="17">
        <v>6630100.0</v>
      </c>
    </row>
    <row r="14396">
      <c r="A14396" s="17">
        <v>6630200.0</v>
      </c>
      <c r="B14396" s="17">
        <v>6630200.0</v>
      </c>
    </row>
    <row r="14397">
      <c r="A14397" s="17">
        <v>6630300.0</v>
      </c>
      <c r="B14397" s="17">
        <v>6630300.0</v>
      </c>
    </row>
    <row r="14398">
      <c r="A14398" s="17">
        <v>6630400.0</v>
      </c>
      <c r="B14398" s="17">
        <v>6630400.0</v>
      </c>
    </row>
    <row r="14399">
      <c r="A14399" s="17">
        <v>6630500.0</v>
      </c>
      <c r="B14399" s="17">
        <v>6630500.0</v>
      </c>
    </row>
    <row r="14400">
      <c r="A14400" s="17">
        <v>6630600.0</v>
      </c>
      <c r="B14400" s="17">
        <v>6630600.0</v>
      </c>
    </row>
    <row r="14401">
      <c r="A14401" s="17">
        <v>6630700.0</v>
      </c>
      <c r="B14401" s="17">
        <v>6630700.0</v>
      </c>
    </row>
    <row r="14402">
      <c r="A14402" s="17">
        <v>6630800.0</v>
      </c>
      <c r="B14402" s="17">
        <v>6630800.0</v>
      </c>
    </row>
    <row r="14403">
      <c r="A14403" s="17">
        <v>6630900.0</v>
      </c>
      <c r="B14403" s="17">
        <v>6630900.0</v>
      </c>
    </row>
    <row r="14404">
      <c r="A14404" s="17">
        <v>6631000.0</v>
      </c>
      <c r="B14404" s="17">
        <v>6631000.0</v>
      </c>
    </row>
    <row r="14405">
      <c r="A14405" s="17">
        <v>6631100.0</v>
      </c>
      <c r="B14405" s="17">
        <v>6631100.0</v>
      </c>
    </row>
    <row r="14406">
      <c r="A14406" s="17">
        <v>6631200.0</v>
      </c>
      <c r="B14406" s="17">
        <v>6631200.0</v>
      </c>
    </row>
    <row r="14407">
      <c r="A14407" s="17">
        <v>6631300.0</v>
      </c>
      <c r="B14407" s="17">
        <v>6631300.0</v>
      </c>
    </row>
    <row r="14408">
      <c r="A14408" s="17">
        <v>6631400.0</v>
      </c>
      <c r="B14408" s="17">
        <v>6631400.0</v>
      </c>
    </row>
    <row r="14409">
      <c r="A14409" s="17">
        <v>6631500.0</v>
      </c>
      <c r="B14409" s="17">
        <v>6631500.0</v>
      </c>
    </row>
    <row r="14410">
      <c r="A14410" s="17">
        <v>6631600.0</v>
      </c>
      <c r="B14410" s="17">
        <v>6631600.0</v>
      </c>
    </row>
    <row r="14411">
      <c r="A14411" s="17">
        <v>6631700.0</v>
      </c>
      <c r="B14411" s="17">
        <v>6631700.0</v>
      </c>
    </row>
    <row r="14412">
      <c r="A14412" s="17">
        <v>6631800.0</v>
      </c>
      <c r="B14412" s="17">
        <v>6631800.0</v>
      </c>
    </row>
    <row r="14413">
      <c r="A14413" s="17">
        <v>6631900.0</v>
      </c>
      <c r="B14413" s="17">
        <v>6631900.0</v>
      </c>
    </row>
    <row r="14414">
      <c r="A14414" s="17">
        <v>6632000.0</v>
      </c>
      <c r="B14414" s="17">
        <v>6632000.0</v>
      </c>
    </row>
    <row r="14415">
      <c r="A14415" s="17">
        <v>6632100.0</v>
      </c>
      <c r="B14415" s="17">
        <v>6632100.0</v>
      </c>
    </row>
    <row r="14416">
      <c r="A14416" s="17">
        <v>6632200.0</v>
      </c>
      <c r="B14416" s="17">
        <v>6632200.0</v>
      </c>
    </row>
    <row r="14417">
      <c r="A14417" s="17">
        <v>6632300.0</v>
      </c>
      <c r="B14417" s="17">
        <v>6632300.0</v>
      </c>
    </row>
    <row r="14418">
      <c r="A14418" s="17">
        <v>6632400.0</v>
      </c>
      <c r="B14418" s="17">
        <v>6632400.0</v>
      </c>
    </row>
    <row r="14419">
      <c r="A14419" s="17">
        <v>6632500.0</v>
      </c>
      <c r="B14419" s="17">
        <v>6632500.0</v>
      </c>
    </row>
    <row r="14420">
      <c r="A14420" s="17">
        <v>6632600.0</v>
      </c>
      <c r="B14420" s="17">
        <v>6632600.0</v>
      </c>
    </row>
    <row r="14421">
      <c r="A14421" s="17">
        <v>6632700.0</v>
      </c>
      <c r="B14421" s="17">
        <v>6632700.0</v>
      </c>
    </row>
    <row r="14422">
      <c r="A14422" s="17">
        <v>6632800.0</v>
      </c>
      <c r="B14422" s="17">
        <v>6632800.0</v>
      </c>
    </row>
    <row r="14423">
      <c r="A14423" s="17">
        <v>6632900.0</v>
      </c>
      <c r="B14423" s="17">
        <v>6632900.0</v>
      </c>
    </row>
    <row r="14424">
      <c r="A14424" s="17">
        <v>6633000.0</v>
      </c>
      <c r="B14424" s="17">
        <v>6633000.0</v>
      </c>
    </row>
    <row r="14425">
      <c r="A14425" s="17">
        <v>6633100.0</v>
      </c>
      <c r="B14425" s="17">
        <v>6633100.0</v>
      </c>
    </row>
    <row r="14426">
      <c r="A14426" s="17">
        <v>6633200.0</v>
      </c>
      <c r="B14426" s="17">
        <v>6633200.0</v>
      </c>
    </row>
    <row r="14427">
      <c r="A14427" s="17">
        <v>6640000.0</v>
      </c>
      <c r="B14427" s="17">
        <v>6640000.0</v>
      </c>
    </row>
    <row r="14428">
      <c r="A14428" s="17">
        <v>6640100.0</v>
      </c>
      <c r="B14428" s="17">
        <v>6640100.0</v>
      </c>
    </row>
    <row r="14429">
      <c r="A14429" s="17">
        <v>6641000.0</v>
      </c>
      <c r="B14429" s="17">
        <v>6641000.0</v>
      </c>
    </row>
    <row r="14430">
      <c r="A14430" s="17">
        <v>6641100.0</v>
      </c>
      <c r="B14430" s="17">
        <v>6641100.0</v>
      </c>
    </row>
    <row r="14431">
      <c r="A14431" s="17">
        <v>6642000.0</v>
      </c>
      <c r="B14431" s="17">
        <v>6642000.0</v>
      </c>
    </row>
    <row r="14432">
      <c r="A14432" s="17">
        <v>6642100.0</v>
      </c>
      <c r="B14432" s="17">
        <v>6642100.0</v>
      </c>
    </row>
    <row r="14433">
      <c r="A14433" s="17">
        <v>6643000.0</v>
      </c>
      <c r="B14433" s="17">
        <v>6643000.0</v>
      </c>
    </row>
    <row r="14434">
      <c r="A14434" s="17">
        <v>6643100.0</v>
      </c>
      <c r="B14434" s="17">
        <v>6643100.0</v>
      </c>
    </row>
    <row r="14435">
      <c r="A14435" s="17">
        <v>6644000.0</v>
      </c>
      <c r="B14435" s="17">
        <v>6644000.0</v>
      </c>
    </row>
    <row r="14436">
      <c r="A14436" s="17">
        <v>6644100.0</v>
      </c>
      <c r="B14436" s="17">
        <v>6644100.0</v>
      </c>
    </row>
    <row r="14437">
      <c r="A14437" s="17">
        <v>6645000.0</v>
      </c>
      <c r="B14437" s="17">
        <v>6645000.0</v>
      </c>
    </row>
    <row r="14438">
      <c r="A14438" s="17">
        <v>6645100.0</v>
      </c>
      <c r="B14438" s="17">
        <v>6645100.0</v>
      </c>
    </row>
    <row r="14439">
      <c r="A14439" s="17">
        <v>6646000.0</v>
      </c>
      <c r="B14439" s="17">
        <v>6646000.0</v>
      </c>
    </row>
    <row r="14440">
      <c r="A14440" s="17">
        <v>6646100.0</v>
      </c>
      <c r="B14440" s="17">
        <v>6646100.0</v>
      </c>
    </row>
    <row r="14441">
      <c r="A14441" s="17">
        <v>6647000.0</v>
      </c>
      <c r="B14441" s="17">
        <v>6647000.0</v>
      </c>
    </row>
    <row r="14442">
      <c r="A14442" s="17">
        <v>6647100.0</v>
      </c>
      <c r="B14442" s="17">
        <v>6647100.0</v>
      </c>
    </row>
    <row r="14443">
      <c r="A14443" s="17">
        <v>6647200.0</v>
      </c>
      <c r="B14443" s="17">
        <v>6647200.0</v>
      </c>
    </row>
    <row r="14444">
      <c r="A14444" s="17">
        <v>6647300.0</v>
      </c>
      <c r="B14444" s="17">
        <v>6647300.0</v>
      </c>
    </row>
    <row r="14445">
      <c r="A14445" s="17">
        <v>6647400.0</v>
      </c>
      <c r="B14445" s="17">
        <v>6647400.0</v>
      </c>
    </row>
    <row r="14446">
      <c r="A14446" s="17">
        <v>6647500.0</v>
      </c>
      <c r="B14446" s="17">
        <v>6647500.0</v>
      </c>
    </row>
    <row r="14447">
      <c r="A14447" s="17">
        <v>6820000.0</v>
      </c>
      <c r="B14447" s="17">
        <v>6820000.0</v>
      </c>
    </row>
    <row r="14448">
      <c r="A14448" s="17">
        <v>6820100.0</v>
      </c>
      <c r="B14448" s="17">
        <v>6820100.0</v>
      </c>
    </row>
    <row r="14449">
      <c r="A14449" s="17">
        <v>6820200.0</v>
      </c>
      <c r="B14449" s="17">
        <v>6820200.0</v>
      </c>
    </row>
    <row r="14450">
      <c r="A14450" s="17">
        <v>6820300.0</v>
      </c>
      <c r="B14450" s="17">
        <v>6820300.0</v>
      </c>
    </row>
    <row r="14451">
      <c r="A14451" s="17">
        <v>6820400.0</v>
      </c>
      <c r="B14451" s="17">
        <v>6820400.0</v>
      </c>
    </row>
    <row r="14452">
      <c r="A14452" s="17">
        <v>6820500.0</v>
      </c>
      <c r="B14452" s="17">
        <v>6820500.0</v>
      </c>
    </row>
    <row r="14453">
      <c r="A14453" s="17">
        <v>6820600.0</v>
      </c>
      <c r="B14453" s="17">
        <v>6820600.0</v>
      </c>
    </row>
    <row r="14454">
      <c r="A14454" s="17">
        <v>6830000.0</v>
      </c>
      <c r="B14454" s="17">
        <v>6830000.0</v>
      </c>
    </row>
    <row r="14455">
      <c r="A14455" s="17">
        <v>6830100.0</v>
      </c>
      <c r="B14455" s="17">
        <v>6830100.0</v>
      </c>
    </row>
    <row r="14456">
      <c r="A14456" s="17">
        <v>6830200.0</v>
      </c>
      <c r="B14456" s="17">
        <v>6830200.0</v>
      </c>
    </row>
    <row r="14457">
      <c r="A14457" s="17">
        <v>6830300.0</v>
      </c>
      <c r="B14457" s="17">
        <v>6830300.0</v>
      </c>
    </row>
    <row r="14458">
      <c r="A14458" s="17">
        <v>6830400.0</v>
      </c>
      <c r="B14458" s="17">
        <v>6830400.0</v>
      </c>
    </row>
    <row r="14459">
      <c r="A14459" s="17">
        <v>6840000.0</v>
      </c>
      <c r="B14459" s="17">
        <v>6840000.0</v>
      </c>
    </row>
    <row r="14460">
      <c r="A14460" s="17">
        <v>6840100.0</v>
      </c>
      <c r="B14460" s="17">
        <v>6840100.0</v>
      </c>
    </row>
    <row r="14461">
      <c r="A14461" s="17">
        <v>6840200.0</v>
      </c>
      <c r="B14461" s="17">
        <v>6840200.0</v>
      </c>
    </row>
    <row r="14462">
      <c r="A14462" s="17">
        <v>6850200.0</v>
      </c>
      <c r="B14462" s="17">
        <v>6850200.0</v>
      </c>
    </row>
    <row r="14463">
      <c r="A14463" s="17">
        <v>6850500.0</v>
      </c>
      <c r="B14463" s="17">
        <v>6850500.0</v>
      </c>
    </row>
    <row r="14464">
      <c r="A14464" s="17">
        <v>6850700.0</v>
      </c>
      <c r="B14464" s="17">
        <v>6850700.0</v>
      </c>
    </row>
    <row r="14465">
      <c r="A14465" s="17">
        <v>6850800.0</v>
      </c>
      <c r="B14465" s="17">
        <v>6850800.0</v>
      </c>
    </row>
    <row r="14466">
      <c r="A14466" s="17">
        <v>6850900.0</v>
      </c>
      <c r="B14466" s="17">
        <v>6850900.0</v>
      </c>
    </row>
    <row r="14467">
      <c r="A14467" s="17">
        <v>6851200.0</v>
      </c>
      <c r="B14467" s="17">
        <v>6851200.0</v>
      </c>
    </row>
    <row r="14468">
      <c r="A14468" s="17">
        <v>6851300.0</v>
      </c>
      <c r="B14468" s="17">
        <v>6851300.0</v>
      </c>
    </row>
    <row r="14469">
      <c r="A14469" s="17">
        <v>6851400.0</v>
      </c>
      <c r="B14469" s="17">
        <v>6851400.0</v>
      </c>
    </row>
    <row r="14470">
      <c r="A14470" s="17">
        <v>6851700.0</v>
      </c>
      <c r="B14470" s="17">
        <v>6851700.0</v>
      </c>
    </row>
    <row r="14471">
      <c r="A14471" s="17">
        <v>5.01E8</v>
      </c>
      <c r="B14471" s="17">
        <v>0.0</v>
      </c>
    </row>
    <row r="14472">
      <c r="A14472" s="17">
        <v>5.01E8</v>
      </c>
      <c r="B14472" s="17">
        <v>8100100.0</v>
      </c>
    </row>
    <row r="14473">
      <c r="A14473" s="17">
        <v>5.01E8</v>
      </c>
      <c r="B14473" s="17">
        <v>8100101.0</v>
      </c>
    </row>
    <row r="14474">
      <c r="A14474" s="17">
        <v>5.01E8</v>
      </c>
      <c r="B14474" s="17">
        <v>8100102.0</v>
      </c>
    </row>
    <row r="14475">
      <c r="A14475" s="17">
        <v>5.01E8</v>
      </c>
      <c r="B14475" s="17">
        <v>8100200.0</v>
      </c>
    </row>
    <row r="14476">
      <c r="A14476" s="17">
        <v>5.01E8</v>
      </c>
      <c r="B14476" s="17">
        <v>8100201.0</v>
      </c>
    </row>
    <row r="14477">
      <c r="A14477" s="17">
        <v>5.01E8</v>
      </c>
      <c r="B14477" s="17">
        <v>8100202.0</v>
      </c>
    </row>
    <row r="14478">
      <c r="A14478" s="17">
        <v>5.01E8</v>
      </c>
      <c r="B14478" s="17">
        <v>8100300.0</v>
      </c>
    </row>
    <row r="14479">
      <c r="A14479" s="17">
        <v>5.01E8</v>
      </c>
      <c r="B14479" s="17">
        <v>8100301.0</v>
      </c>
    </row>
    <row r="14480">
      <c r="A14480" s="17">
        <v>5.01E8</v>
      </c>
      <c r="B14480" s="17">
        <v>8100302.0</v>
      </c>
    </row>
    <row r="14481">
      <c r="A14481" s="17">
        <v>5.01E8</v>
      </c>
      <c r="B14481" s="17">
        <v>8100400.0</v>
      </c>
    </row>
    <row r="14482">
      <c r="A14482" s="17">
        <v>5.01E8</v>
      </c>
      <c r="B14482" s="17">
        <v>8100401.0</v>
      </c>
    </row>
    <row r="14483">
      <c r="A14483" s="17">
        <v>5.01E8</v>
      </c>
      <c r="B14483" s="17">
        <v>8100402.0</v>
      </c>
    </row>
    <row r="14484">
      <c r="A14484" s="17">
        <v>5.01E8</v>
      </c>
      <c r="B14484" s="17">
        <v>8130000.0</v>
      </c>
    </row>
    <row r="14485">
      <c r="A14485" s="17">
        <v>5.01E8</v>
      </c>
      <c r="B14485" s="17">
        <v>8130001.0</v>
      </c>
    </row>
    <row r="14486">
      <c r="A14486" s="17">
        <v>5.01E8</v>
      </c>
      <c r="B14486" s="17">
        <v>8130002.0</v>
      </c>
    </row>
    <row r="14487">
      <c r="A14487" s="17">
        <v>5.01E8</v>
      </c>
      <c r="B14487" s="17">
        <v>8140000.0</v>
      </c>
    </row>
    <row r="14488">
      <c r="A14488" s="17">
        <v>5.01E8</v>
      </c>
      <c r="B14488" s="17">
        <v>8140001.0</v>
      </c>
    </row>
    <row r="14489">
      <c r="A14489" s="17">
        <v>5.01E8</v>
      </c>
      <c r="B14489" s="17">
        <v>8140002.0</v>
      </c>
    </row>
    <row r="14490">
      <c r="A14490" s="17">
        <v>5.01E8</v>
      </c>
      <c r="B14490" s="17">
        <v>8200100.0</v>
      </c>
    </row>
    <row r="14491">
      <c r="A14491" s="17">
        <v>5.01E8</v>
      </c>
      <c r="B14491" s="17">
        <v>8200101.0</v>
      </c>
    </row>
    <row r="14492">
      <c r="A14492" s="17">
        <v>5.01E8</v>
      </c>
      <c r="B14492" s="17">
        <v>8200102.0</v>
      </c>
    </row>
    <row r="14493">
      <c r="A14493" s="17">
        <v>5.01E8</v>
      </c>
      <c r="B14493" s="17">
        <v>8200200.0</v>
      </c>
    </row>
    <row r="14494">
      <c r="A14494" s="17">
        <v>5.01E8</v>
      </c>
      <c r="B14494" s="17">
        <v>8200201.0</v>
      </c>
    </row>
    <row r="14495">
      <c r="A14495" s="17">
        <v>5.01E8</v>
      </c>
      <c r="B14495" s="17">
        <v>8200202.0</v>
      </c>
    </row>
    <row r="14496">
      <c r="A14496" s="17">
        <v>5.01E8</v>
      </c>
      <c r="B14496" s="17">
        <v>8200300.0</v>
      </c>
    </row>
    <row r="14497">
      <c r="A14497" s="17">
        <v>5.01E8</v>
      </c>
      <c r="B14497" s="17">
        <v>8200301.0</v>
      </c>
    </row>
    <row r="14498">
      <c r="A14498" s="17">
        <v>5.01E8</v>
      </c>
      <c r="B14498" s="17">
        <v>8200302.0</v>
      </c>
    </row>
    <row r="14499">
      <c r="A14499" s="17">
        <v>5.01E8</v>
      </c>
      <c r="B14499" s="17">
        <v>8200400.0</v>
      </c>
    </row>
    <row r="14500">
      <c r="A14500" s="17">
        <v>5.01E8</v>
      </c>
      <c r="B14500" s="17">
        <v>8200401.0</v>
      </c>
    </row>
    <row r="14501">
      <c r="A14501" s="17">
        <v>5.01E8</v>
      </c>
      <c r="B14501" s="17">
        <v>8200402.0</v>
      </c>
    </row>
    <row r="14502">
      <c r="A14502" s="17">
        <v>5.01E8</v>
      </c>
      <c r="B14502" s="17">
        <v>8210000.0</v>
      </c>
    </row>
    <row r="14503">
      <c r="A14503" s="17">
        <v>5.01E8</v>
      </c>
      <c r="B14503" s="17">
        <v>8210001.0</v>
      </c>
    </row>
    <row r="14504">
      <c r="A14504" s="17">
        <v>5.01E8</v>
      </c>
      <c r="B14504" s="17">
        <v>8210002.0</v>
      </c>
    </row>
    <row r="14505">
      <c r="A14505" s="17">
        <v>5.01E8</v>
      </c>
      <c r="B14505" s="17">
        <v>8210100.0</v>
      </c>
    </row>
    <row r="14506">
      <c r="A14506" s="17">
        <v>5.01E8</v>
      </c>
      <c r="B14506" s="17">
        <v>8210101.0</v>
      </c>
    </row>
    <row r="14507">
      <c r="A14507" s="17">
        <v>5.01E8</v>
      </c>
      <c r="B14507" s="17">
        <v>8210102.0</v>
      </c>
    </row>
    <row r="14508">
      <c r="A14508" s="17">
        <v>5.01E8</v>
      </c>
      <c r="B14508" s="17">
        <v>8210200.0</v>
      </c>
    </row>
    <row r="14509">
      <c r="A14509" s="17">
        <v>5.01E8</v>
      </c>
      <c r="B14509" s="17">
        <v>8210201.0</v>
      </c>
    </row>
    <row r="14510">
      <c r="A14510" s="17">
        <v>5.01E8</v>
      </c>
      <c r="B14510" s="17">
        <v>8210202.0</v>
      </c>
    </row>
    <row r="14511">
      <c r="A14511" s="17">
        <v>5.01E8</v>
      </c>
      <c r="B14511" s="17">
        <v>8210300.0</v>
      </c>
    </row>
    <row r="14512">
      <c r="A14512" s="17">
        <v>5.01E8</v>
      </c>
      <c r="B14512" s="17">
        <v>8210301.0</v>
      </c>
    </row>
    <row r="14513">
      <c r="A14513" s="17">
        <v>5.01E8</v>
      </c>
      <c r="B14513" s="17">
        <v>8210302.0</v>
      </c>
    </row>
    <row r="14514">
      <c r="A14514" s="17">
        <v>5.01E8</v>
      </c>
      <c r="B14514" s="17">
        <v>8210400.0</v>
      </c>
    </row>
    <row r="14515">
      <c r="A14515" s="17">
        <v>5.01E8</v>
      </c>
      <c r="B14515" s="17">
        <v>8210401.0</v>
      </c>
    </row>
    <row r="14516">
      <c r="A14516" s="17">
        <v>5.01E8</v>
      </c>
      <c r="B14516" s="17">
        <v>8210402.0</v>
      </c>
    </row>
    <row r="14517">
      <c r="A14517" s="17">
        <v>5.01E8</v>
      </c>
      <c r="B14517" s="17">
        <v>8210500.0</v>
      </c>
    </row>
    <row r="14518">
      <c r="A14518" s="17">
        <v>5.01E8</v>
      </c>
      <c r="B14518" s="17">
        <v>8210501.0</v>
      </c>
    </row>
    <row r="14519">
      <c r="A14519" s="17">
        <v>5.01E8</v>
      </c>
      <c r="B14519" s="17">
        <v>8210502.0</v>
      </c>
    </row>
    <row r="14520">
      <c r="A14520" s="17">
        <v>5.01E8</v>
      </c>
      <c r="B14520" s="17">
        <v>8210600.0</v>
      </c>
    </row>
    <row r="14521">
      <c r="A14521" s="17">
        <v>5.01E8</v>
      </c>
      <c r="B14521" s="17">
        <v>8210601.0</v>
      </c>
    </row>
    <row r="14522">
      <c r="A14522" s="17">
        <v>5.01E8</v>
      </c>
      <c r="B14522" s="17">
        <v>8210602.0</v>
      </c>
    </row>
    <row r="14523">
      <c r="A14523" s="17">
        <v>5.01E8</v>
      </c>
      <c r="B14523" s="17">
        <v>8220000.0</v>
      </c>
    </row>
    <row r="14524">
      <c r="A14524" s="17">
        <v>5.01E8</v>
      </c>
      <c r="B14524" s="17">
        <v>8220001.0</v>
      </c>
    </row>
    <row r="14525">
      <c r="A14525" s="17">
        <v>5.01E8</v>
      </c>
      <c r="B14525" s="17">
        <v>8220002.0</v>
      </c>
    </row>
    <row r="14526">
      <c r="A14526" s="17">
        <v>5.01E8</v>
      </c>
      <c r="B14526" s="17">
        <v>8300000.0</v>
      </c>
    </row>
    <row r="14527">
      <c r="A14527" s="17">
        <v>5.01E8</v>
      </c>
      <c r="B14527" s="17">
        <v>8300001.0</v>
      </c>
    </row>
    <row r="14528">
      <c r="A14528" s="17">
        <v>5.01E8</v>
      </c>
      <c r="B14528" s="17">
        <v>8300002.0</v>
      </c>
    </row>
    <row r="14529">
      <c r="A14529" s="17">
        <v>5.01E8</v>
      </c>
      <c r="B14529" s="17">
        <v>8310000.0</v>
      </c>
    </row>
    <row r="14530">
      <c r="A14530" s="17">
        <v>5.01E8</v>
      </c>
      <c r="B14530" s="17">
        <v>8310001.0</v>
      </c>
    </row>
    <row r="14531">
      <c r="A14531" s="17">
        <v>5.01E8</v>
      </c>
      <c r="B14531" s="17">
        <v>8310002.0</v>
      </c>
    </row>
    <row r="14532">
      <c r="A14532" s="17">
        <v>5.01E8</v>
      </c>
      <c r="B14532" s="17">
        <v>8320000.0</v>
      </c>
    </row>
    <row r="14533">
      <c r="A14533" s="17">
        <v>5.01E8</v>
      </c>
      <c r="B14533" s="17">
        <v>8320001.0</v>
      </c>
    </row>
    <row r="14534">
      <c r="A14534" s="17">
        <v>5.01E8</v>
      </c>
      <c r="B14534" s="17">
        <v>8320002.0</v>
      </c>
    </row>
    <row r="14535">
      <c r="A14535" s="17">
        <v>5.01E8</v>
      </c>
      <c r="B14535" s="17">
        <v>8320100.0</v>
      </c>
    </row>
    <row r="14536">
      <c r="A14536" s="17">
        <v>5.01E8</v>
      </c>
      <c r="B14536" s="17">
        <v>8320101.0</v>
      </c>
    </row>
    <row r="14537">
      <c r="A14537" s="17">
        <v>5.01E8</v>
      </c>
      <c r="B14537" s="17">
        <v>8320102.0</v>
      </c>
    </row>
    <row r="14538">
      <c r="A14538" s="17">
        <v>5.01E8</v>
      </c>
      <c r="B14538" s="17">
        <v>8320300.0</v>
      </c>
    </row>
    <row r="14539">
      <c r="A14539" s="17">
        <v>5.01E8</v>
      </c>
      <c r="B14539" s="17">
        <v>8320301.0</v>
      </c>
    </row>
    <row r="14540">
      <c r="A14540" s="17">
        <v>5.01E8</v>
      </c>
      <c r="B14540" s="17">
        <v>8320302.0</v>
      </c>
    </row>
    <row r="14541">
      <c r="A14541" s="17">
        <v>5.01E8</v>
      </c>
      <c r="B14541" s="17">
        <v>8320400.0</v>
      </c>
    </row>
    <row r="14542">
      <c r="A14542" s="17">
        <v>5.01E8</v>
      </c>
      <c r="B14542" s="17">
        <v>8320410.0</v>
      </c>
    </row>
    <row r="14543">
      <c r="A14543" s="17">
        <v>5.01E8</v>
      </c>
      <c r="B14543" s="17">
        <v>8320420.0</v>
      </c>
    </row>
    <row r="14544">
      <c r="A14544" s="17">
        <v>5.01E8</v>
      </c>
      <c r="B14544" s="17">
        <v>8330000.0</v>
      </c>
    </row>
    <row r="14545">
      <c r="A14545" s="17">
        <v>5.01E8</v>
      </c>
      <c r="B14545" s="17">
        <v>8330001.0</v>
      </c>
    </row>
    <row r="14546">
      <c r="A14546" s="17">
        <v>5.01E8</v>
      </c>
      <c r="B14546" s="17">
        <v>8330002.0</v>
      </c>
    </row>
    <row r="14547">
      <c r="A14547" s="17">
        <v>5.01E8</v>
      </c>
      <c r="B14547" s="17">
        <v>8330100.0</v>
      </c>
    </row>
    <row r="14548">
      <c r="A14548" s="17">
        <v>5.01E8</v>
      </c>
      <c r="B14548" s="17">
        <v>8330101.0</v>
      </c>
    </row>
    <row r="14549">
      <c r="A14549" s="17">
        <v>5.01E8</v>
      </c>
      <c r="B14549" s="17">
        <v>8330102.0</v>
      </c>
    </row>
    <row r="14550">
      <c r="A14550" s="17">
        <v>5.01E8</v>
      </c>
      <c r="B14550" s="17">
        <v>8330200.0</v>
      </c>
    </row>
    <row r="14551">
      <c r="A14551" s="17">
        <v>5.01E8</v>
      </c>
      <c r="B14551" s="17">
        <v>8330201.0</v>
      </c>
    </row>
    <row r="14552">
      <c r="A14552" s="17">
        <v>5.01E8</v>
      </c>
      <c r="B14552" s="17">
        <v>8330202.0</v>
      </c>
    </row>
    <row r="14553">
      <c r="A14553" s="17">
        <v>5.01E8</v>
      </c>
      <c r="B14553" s="17">
        <v>8330300.0</v>
      </c>
    </row>
    <row r="14554">
      <c r="A14554" s="17">
        <v>5.01E8</v>
      </c>
      <c r="B14554" s="17">
        <v>8330301.0</v>
      </c>
    </row>
    <row r="14555">
      <c r="A14555" s="17">
        <v>5.01E8</v>
      </c>
      <c r="B14555" s="17">
        <v>8330302.0</v>
      </c>
    </row>
    <row r="14556">
      <c r="A14556" s="17">
        <v>5.01E8</v>
      </c>
      <c r="B14556" s="17">
        <v>8330400.0</v>
      </c>
    </row>
    <row r="14557">
      <c r="A14557" s="17">
        <v>5.01E8</v>
      </c>
      <c r="B14557" s="17">
        <v>8330401.0</v>
      </c>
    </row>
    <row r="14558">
      <c r="A14558" s="17">
        <v>5.01E8</v>
      </c>
      <c r="B14558" s="17">
        <v>8330600.0</v>
      </c>
    </row>
    <row r="14559">
      <c r="A14559" s="17">
        <v>5.01E8</v>
      </c>
      <c r="B14559" s="17">
        <v>8330601.0</v>
      </c>
    </row>
    <row r="14560">
      <c r="A14560" s="17">
        <v>5.01E8</v>
      </c>
      <c r="B14560" s="17">
        <v>8330602.0</v>
      </c>
    </row>
    <row r="14561">
      <c r="A14561" s="17">
        <v>5.01E8</v>
      </c>
      <c r="B14561" s="17">
        <v>8330900.0</v>
      </c>
    </row>
    <row r="14562">
      <c r="A14562" s="17">
        <v>5.01E8</v>
      </c>
      <c r="B14562" s="17">
        <v>8330910.0</v>
      </c>
    </row>
    <row r="14563">
      <c r="A14563" s="17">
        <v>5.01E8</v>
      </c>
      <c r="B14563" s="17">
        <v>8330920.0</v>
      </c>
    </row>
    <row r="14564">
      <c r="A14564" s="17">
        <v>5.01E8</v>
      </c>
      <c r="B14564" s="17">
        <v>8340000.0</v>
      </c>
    </row>
    <row r="14565">
      <c r="A14565" s="17">
        <v>5.01E8</v>
      </c>
      <c r="B14565" s="17">
        <v>8340001.0</v>
      </c>
    </row>
    <row r="14566">
      <c r="A14566" s="17">
        <v>5.01E8</v>
      </c>
      <c r="B14566" s="17">
        <v>8340002.0</v>
      </c>
    </row>
    <row r="14567">
      <c r="A14567" s="17">
        <v>5.01E8</v>
      </c>
      <c r="B14567" s="17">
        <v>8340100.0</v>
      </c>
    </row>
    <row r="14568">
      <c r="A14568" s="17">
        <v>5.01E8</v>
      </c>
      <c r="B14568" s="17">
        <v>8340101.0</v>
      </c>
    </row>
    <row r="14569">
      <c r="A14569" s="17">
        <v>5.01E8</v>
      </c>
      <c r="B14569" s="17">
        <v>8340102.0</v>
      </c>
    </row>
    <row r="14570">
      <c r="A14570" s="17">
        <v>5.01E8</v>
      </c>
      <c r="B14570" s="17">
        <v>8350000.0</v>
      </c>
    </row>
    <row r="14571">
      <c r="A14571" s="17">
        <v>5.01E8</v>
      </c>
      <c r="B14571" s="17">
        <v>8350001.0</v>
      </c>
    </row>
    <row r="14572">
      <c r="A14572" s="17">
        <v>5.01E8</v>
      </c>
      <c r="B14572" s="17">
        <v>8350002.0</v>
      </c>
    </row>
    <row r="14573">
      <c r="A14573" s="17">
        <v>5.01E8</v>
      </c>
      <c r="B14573" s="17">
        <v>8350200.0</v>
      </c>
    </row>
    <row r="14574">
      <c r="A14574" s="17">
        <v>5.01E8</v>
      </c>
      <c r="B14574" s="17">
        <v>8350201.0</v>
      </c>
    </row>
    <row r="14575">
      <c r="A14575" s="17">
        <v>5.01E8</v>
      </c>
      <c r="B14575" s="17">
        <v>8350202.0</v>
      </c>
    </row>
    <row r="14576">
      <c r="A14576" s="17">
        <v>5.01E8</v>
      </c>
      <c r="B14576" s="17">
        <v>8420000.0</v>
      </c>
    </row>
    <row r="14577">
      <c r="A14577" s="17">
        <v>5.01E8</v>
      </c>
      <c r="B14577" s="17">
        <v>8420001.0</v>
      </c>
    </row>
    <row r="14578">
      <c r="A14578" s="17">
        <v>5.01E8</v>
      </c>
      <c r="B14578" s="17">
        <v>8420002.0</v>
      </c>
    </row>
    <row r="14579">
      <c r="A14579" s="17">
        <v>5.01E8</v>
      </c>
      <c r="B14579" s="17">
        <v>8450000.0</v>
      </c>
    </row>
    <row r="14580">
      <c r="A14580" s="17">
        <v>5.01E8</v>
      </c>
      <c r="B14580" s="17">
        <v>8460100.0</v>
      </c>
    </row>
    <row r="14581">
      <c r="A14581" s="17">
        <v>5.01E8</v>
      </c>
      <c r="B14581" s="17">
        <v>8460300.0</v>
      </c>
    </row>
    <row r="14582">
      <c r="A14582" s="17">
        <v>5.01E8</v>
      </c>
      <c r="B14582" s="17">
        <v>8460500.0</v>
      </c>
    </row>
    <row r="14583">
      <c r="A14583" s="17">
        <v>5.01E8</v>
      </c>
      <c r="B14583" s="17">
        <v>8510000.0</v>
      </c>
    </row>
    <row r="14584">
      <c r="A14584" s="17">
        <v>5.01E8</v>
      </c>
      <c r="B14584" s="17">
        <v>8510001.0</v>
      </c>
    </row>
    <row r="14585">
      <c r="A14585" s="17">
        <v>5.01E8</v>
      </c>
      <c r="B14585" s="17">
        <v>8510002.0</v>
      </c>
    </row>
    <row r="14586">
      <c r="A14586" s="17">
        <v>5.01E8</v>
      </c>
      <c r="B14586" s="17">
        <v>8520000.0</v>
      </c>
    </row>
    <row r="14587">
      <c r="A14587" s="17">
        <v>5.01E8</v>
      </c>
      <c r="B14587" s="17">
        <v>8520001.0</v>
      </c>
    </row>
    <row r="14588">
      <c r="A14588" s="17">
        <v>5.01E8</v>
      </c>
      <c r="B14588" s="17">
        <v>8520002.0</v>
      </c>
    </row>
    <row r="14589">
      <c r="A14589" s="17">
        <v>5.01E8</v>
      </c>
      <c r="B14589" s="17">
        <v>8530000.0</v>
      </c>
    </row>
    <row r="14590">
      <c r="A14590" s="17">
        <v>5.01E8</v>
      </c>
      <c r="B14590" s="17">
        <v>8530100.0</v>
      </c>
    </row>
    <row r="14591">
      <c r="A14591" s="17">
        <v>5.01E8</v>
      </c>
      <c r="B14591" s="17">
        <v>8540000.0</v>
      </c>
    </row>
    <row r="14592">
      <c r="A14592" s="17">
        <v>5.01E8</v>
      </c>
      <c r="B14592" s="17">
        <v>8600100.0</v>
      </c>
    </row>
    <row r="14593">
      <c r="A14593" s="17">
        <v>5.01E8</v>
      </c>
      <c r="B14593" s="17">
        <v>8600101.0</v>
      </c>
    </row>
    <row r="14594">
      <c r="A14594" s="17">
        <v>5.01E8</v>
      </c>
      <c r="B14594" s="17">
        <v>8600102.0</v>
      </c>
    </row>
    <row r="14595">
      <c r="A14595" s="17">
        <v>5.01E8</v>
      </c>
      <c r="B14595" s="17">
        <v>8600200.0</v>
      </c>
    </row>
    <row r="14596">
      <c r="A14596" s="17">
        <v>5.01E8</v>
      </c>
      <c r="B14596" s="17">
        <v>8600201.0</v>
      </c>
    </row>
    <row r="14597">
      <c r="A14597" s="17">
        <v>5.01E8</v>
      </c>
      <c r="B14597" s="17">
        <v>8600202.0</v>
      </c>
    </row>
    <row r="14598">
      <c r="A14598" s="17">
        <v>5.01E8</v>
      </c>
      <c r="B14598" s="17">
        <v>8610300.0</v>
      </c>
    </row>
    <row r="14599">
      <c r="A14599" s="17">
        <v>5.01E8</v>
      </c>
      <c r="B14599" s="17">
        <v>8610400.0</v>
      </c>
    </row>
    <row r="14600">
      <c r="A14600" s="17">
        <v>5.01E8</v>
      </c>
      <c r="B14600" s="17">
        <v>8610500.0</v>
      </c>
    </row>
    <row r="14601">
      <c r="A14601" s="17">
        <v>5.01E8</v>
      </c>
      <c r="B14601" s="17">
        <v>8610600.0</v>
      </c>
    </row>
    <row r="14602">
      <c r="A14602" s="17">
        <v>5.01E8</v>
      </c>
      <c r="B14602" s="17">
        <v>8610700.0</v>
      </c>
    </row>
    <row r="14603">
      <c r="A14603" s="17">
        <v>5.01E8</v>
      </c>
      <c r="B14603" s="17">
        <v>8610710.0</v>
      </c>
    </row>
    <row r="14604">
      <c r="A14604" s="17">
        <v>5.01E8</v>
      </c>
      <c r="B14604" s="17">
        <v>8610720.0</v>
      </c>
    </row>
    <row r="14605">
      <c r="A14605" s="17">
        <v>5.01E8</v>
      </c>
      <c r="B14605" s="17">
        <v>8620000.0</v>
      </c>
    </row>
    <row r="14606">
      <c r="A14606" s="17">
        <v>5.01E8</v>
      </c>
      <c r="B14606" s="17">
        <v>8620010.0</v>
      </c>
    </row>
    <row r="14607">
      <c r="A14607" s="17">
        <v>5.01E8</v>
      </c>
      <c r="B14607" s="17">
        <v>8620020.0</v>
      </c>
    </row>
    <row r="14608">
      <c r="A14608" s="17">
        <v>5.01E8</v>
      </c>
      <c r="B14608" s="17">
        <v>8620100.0</v>
      </c>
    </row>
    <row r="14609">
      <c r="A14609" s="17">
        <v>5.01E8</v>
      </c>
      <c r="B14609" s="17">
        <v>8620110.0</v>
      </c>
    </row>
    <row r="14610">
      <c r="A14610" s="17">
        <v>5.01E8</v>
      </c>
      <c r="B14610" s="17">
        <v>8620120.0</v>
      </c>
    </row>
    <row r="14611">
      <c r="A14611" s="17">
        <v>5.01E8</v>
      </c>
      <c r="B14611" s="17">
        <v>8630000.0</v>
      </c>
    </row>
    <row r="14612">
      <c r="A14612" s="17">
        <v>5.01E8</v>
      </c>
      <c r="B14612" s="17">
        <v>8630000.0</v>
      </c>
    </row>
    <row r="14613">
      <c r="A14613" s="17">
        <v>5.01E8</v>
      </c>
      <c r="B14613" s="17">
        <v>8630000.0</v>
      </c>
    </row>
    <row r="14614">
      <c r="A14614" s="17">
        <v>5.01E8</v>
      </c>
      <c r="B14614" s="17">
        <v>8630100.0</v>
      </c>
    </row>
    <row r="14615">
      <c r="A14615" s="17">
        <v>5.01E8</v>
      </c>
      <c r="B14615" s="17">
        <v>8630100.0</v>
      </c>
    </row>
    <row r="14616">
      <c r="A14616" s="17">
        <v>5.01E8</v>
      </c>
      <c r="B14616" s="17">
        <v>8630100.0</v>
      </c>
    </row>
    <row r="14617">
      <c r="A14617" s="17">
        <v>5.01E8</v>
      </c>
      <c r="B14617" s="17">
        <v>8630200.0</v>
      </c>
    </row>
    <row r="14618">
      <c r="A14618" s="17">
        <v>5.01E8</v>
      </c>
      <c r="B14618" s="17">
        <v>8630300.0</v>
      </c>
    </row>
    <row r="14619">
      <c r="A14619" s="17">
        <v>5.01E8</v>
      </c>
      <c r="B14619" s="17">
        <v>8630400.0</v>
      </c>
    </row>
    <row r="14620">
      <c r="A14620" s="17">
        <v>5.01E8</v>
      </c>
      <c r="B14620" s="17">
        <v>8630500.0</v>
      </c>
    </row>
    <row r="14621">
      <c r="A14621" s="17">
        <v>5.01E8</v>
      </c>
      <c r="B14621" s="17">
        <v>8630600.0</v>
      </c>
    </row>
    <row r="14622">
      <c r="A14622" s="17">
        <v>5.01E8</v>
      </c>
      <c r="B14622" s="17">
        <v>8630700.0</v>
      </c>
    </row>
    <row r="14623">
      <c r="A14623" s="17">
        <v>5.01E8</v>
      </c>
      <c r="B14623" s="17">
        <v>8630800.0</v>
      </c>
    </row>
    <row r="14624">
      <c r="A14624" s="17">
        <v>5.01E8</v>
      </c>
      <c r="B14624" s="17">
        <v>8652000.0</v>
      </c>
    </row>
    <row r="14625">
      <c r="A14625" s="17">
        <v>5.01E8</v>
      </c>
      <c r="B14625" s="17">
        <v>8652010.0</v>
      </c>
    </row>
    <row r="14626">
      <c r="A14626" s="17">
        <v>5.01E8</v>
      </c>
      <c r="B14626" s="17">
        <v>8652020.0</v>
      </c>
    </row>
    <row r="14627">
      <c r="A14627" s="17">
        <v>5.01E8</v>
      </c>
      <c r="B14627" s="17">
        <v>8652100.0</v>
      </c>
    </row>
    <row r="14628">
      <c r="A14628" s="17">
        <v>5.01E8</v>
      </c>
      <c r="B14628" s="17">
        <v>8652110.0</v>
      </c>
    </row>
    <row r="14629">
      <c r="A14629" s="17">
        <v>5.01E8</v>
      </c>
      <c r="B14629" s="17">
        <v>8652120.0</v>
      </c>
    </row>
    <row r="14630">
      <c r="A14630" s="17">
        <v>5.01E8</v>
      </c>
      <c r="B14630" s="17">
        <v>8660000.0</v>
      </c>
    </row>
    <row r="14631">
      <c r="A14631" s="17">
        <v>5.01E8</v>
      </c>
      <c r="B14631" s="17">
        <v>8660001.0</v>
      </c>
    </row>
    <row r="14632">
      <c r="A14632" s="17">
        <v>5.01E8</v>
      </c>
      <c r="B14632" s="17">
        <v>8660002.0</v>
      </c>
    </row>
    <row r="14633">
      <c r="A14633" s="17">
        <v>5.01E8</v>
      </c>
      <c r="B14633" s="17">
        <v>8660100.0</v>
      </c>
    </row>
    <row r="14634">
      <c r="A14634" s="17">
        <v>5.01E8</v>
      </c>
      <c r="B14634" s="17">
        <v>8660101.0</v>
      </c>
    </row>
    <row r="14635">
      <c r="A14635" s="17">
        <v>5.01E8</v>
      </c>
      <c r="B14635" s="17">
        <v>8660102.0</v>
      </c>
    </row>
    <row r="14636">
      <c r="A14636" s="17">
        <v>5.01E8</v>
      </c>
      <c r="B14636" s="17">
        <v>8670000.0</v>
      </c>
    </row>
    <row r="14637">
      <c r="A14637" s="17">
        <v>5.01E8</v>
      </c>
      <c r="B14637" s="17">
        <v>8670001.0</v>
      </c>
    </row>
    <row r="14638">
      <c r="A14638" s="17">
        <v>5.01E8</v>
      </c>
      <c r="B14638" s="17">
        <v>8670002.0</v>
      </c>
    </row>
    <row r="14639">
      <c r="A14639" s="17">
        <v>5.01E8</v>
      </c>
      <c r="B14639" s="17">
        <v>8670100.0</v>
      </c>
    </row>
    <row r="14640">
      <c r="A14640" s="17">
        <v>5.01E8</v>
      </c>
      <c r="B14640" s="17">
        <v>8670101.0</v>
      </c>
    </row>
    <row r="14641">
      <c r="A14641" s="17">
        <v>5.01E8</v>
      </c>
      <c r="B14641" s="17">
        <v>8670102.0</v>
      </c>
    </row>
    <row r="14642">
      <c r="A14642" s="17">
        <v>5.01E8</v>
      </c>
      <c r="B14642" s="17">
        <v>8690000.0</v>
      </c>
    </row>
    <row r="14643">
      <c r="A14643" s="17">
        <v>5.01E8</v>
      </c>
      <c r="B14643" s="17">
        <v>8690100.0</v>
      </c>
    </row>
    <row r="14644">
      <c r="A14644" s="17">
        <v>5.01E8</v>
      </c>
      <c r="B14644" s="17">
        <v>8690200.0</v>
      </c>
    </row>
    <row r="14645">
      <c r="A14645" s="17">
        <v>5.01E8</v>
      </c>
      <c r="B14645" s="17">
        <v>8690300.0</v>
      </c>
    </row>
    <row r="14646">
      <c r="A14646" s="17">
        <v>5.01E8</v>
      </c>
      <c r="B14646" s="17">
        <v>8690400.0</v>
      </c>
    </row>
    <row r="14647">
      <c r="A14647" s="17">
        <v>5.01E8</v>
      </c>
      <c r="B14647" s="17">
        <v>8320500.0</v>
      </c>
    </row>
    <row r="14648">
      <c r="A14648" s="17">
        <v>5.01E8</v>
      </c>
      <c r="B14648" s="17">
        <v>8320510.0</v>
      </c>
    </row>
    <row r="14649">
      <c r="A14649" s="17">
        <v>5.01E8</v>
      </c>
      <c r="B14649" s="17">
        <v>8320520.0</v>
      </c>
    </row>
    <row r="14650">
      <c r="A14650" s="17">
        <v>5.01E8</v>
      </c>
      <c r="B14650" s="17">
        <v>8320600.0</v>
      </c>
    </row>
    <row r="14651">
      <c r="A14651" s="17">
        <v>5.01E8</v>
      </c>
      <c r="B14651" s="17">
        <v>8320610.0</v>
      </c>
    </row>
    <row r="14652">
      <c r="A14652" s="17">
        <v>5.01E8</v>
      </c>
      <c r="B14652" s="17">
        <v>8320620.0</v>
      </c>
    </row>
    <row r="14653">
      <c r="A14653" s="17">
        <v>5.01E8</v>
      </c>
      <c r="B14653" s="17">
        <v>8320700.0</v>
      </c>
    </row>
    <row r="14654">
      <c r="A14654" s="17">
        <v>5.01E8</v>
      </c>
      <c r="B14654" s="17">
        <v>8320710.0</v>
      </c>
    </row>
    <row r="14655">
      <c r="A14655" s="17">
        <v>5.01E8</v>
      </c>
      <c r="B14655" s="17">
        <v>8320720.0</v>
      </c>
    </row>
    <row r="14656">
      <c r="A14656" s="17">
        <v>5.010001E8</v>
      </c>
      <c r="B14656" s="17">
        <v>0.0</v>
      </c>
    </row>
    <row r="14657">
      <c r="A14657" s="17">
        <v>5.010001E8</v>
      </c>
      <c r="B14657" s="17">
        <v>8100100.0</v>
      </c>
    </row>
    <row r="14658">
      <c r="A14658" s="17">
        <v>5.010001E8</v>
      </c>
      <c r="B14658" s="17">
        <v>8100101.0</v>
      </c>
    </row>
    <row r="14659">
      <c r="A14659" s="17">
        <v>5.010001E8</v>
      </c>
      <c r="B14659" s="17">
        <v>8100102.0</v>
      </c>
    </row>
    <row r="14660">
      <c r="A14660" s="17">
        <v>5.010001E8</v>
      </c>
      <c r="B14660" s="17">
        <v>8100200.0</v>
      </c>
    </row>
    <row r="14661">
      <c r="A14661" s="17">
        <v>5.010001E8</v>
      </c>
      <c r="B14661" s="17">
        <v>8100201.0</v>
      </c>
    </row>
    <row r="14662">
      <c r="A14662" s="17">
        <v>5.010001E8</v>
      </c>
      <c r="B14662" s="17">
        <v>8100202.0</v>
      </c>
    </row>
    <row r="14663">
      <c r="A14663" s="17">
        <v>5.010001E8</v>
      </c>
      <c r="B14663" s="17">
        <v>8100300.0</v>
      </c>
    </row>
    <row r="14664">
      <c r="A14664" s="17">
        <v>5.010001E8</v>
      </c>
      <c r="B14664" s="17">
        <v>8100301.0</v>
      </c>
    </row>
    <row r="14665">
      <c r="A14665" s="17">
        <v>5.010001E8</v>
      </c>
      <c r="B14665" s="17">
        <v>8100302.0</v>
      </c>
    </row>
    <row r="14666">
      <c r="A14666" s="17">
        <v>5.010001E8</v>
      </c>
      <c r="B14666" s="17">
        <v>8100400.0</v>
      </c>
    </row>
    <row r="14667">
      <c r="A14667" s="17">
        <v>5.010001E8</v>
      </c>
      <c r="B14667" s="17">
        <v>8100401.0</v>
      </c>
    </row>
    <row r="14668">
      <c r="A14668" s="17">
        <v>5.010001E8</v>
      </c>
      <c r="B14668" s="17">
        <v>8100402.0</v>
      </c>
    </row>
    <row r="14669">
      <c r="A14669" s="17">
        <v>5.010001E8</v>
      </c>
      <c r="B14669" s="17">
        <v>8130000.0</v>
      </c>
    </row>
    <row r="14670">
      <c r="A14670" s="17">
        <v>5.010001E8</v>
      </c>
      <c r="B14670" s="17">
        <v>8130001.0</v>
      </c>
    </row>
    <row r="14671">
      <c r="A14671" s="17">
        <v>5.010001E8</v>
      </c>
      <c r="B14671" s="17">
        <v>8130002.0</v>
      </c>
    </row>
    <row r="14672">
      <c r="A14672" s="17">
        <v>5.010001E8</v>
      </c>
      <c r="B14672" s="17">
        <v>8140000.0</v>
      </c>
    </row>
    <row r="14673">
      <c r="A14673" s="17">
        <v>5.010001E8</v>
      </c>
      <c r="B14673" s="17">
        <v>8140001.0</v>
      </c>
    </row>
    <row r="14674">
      <c r="A14674" s="17">
        <v>5.010001E8</v>
      </c>
      <c r="B14674" s="17">
        <v>8140002.0</v>
      </c>
    </row>
    <row r="14675">
      <c r="A14675" s="17">
        <v>5.010001E8</v>
      </c>
      <c r="B14675" s="17">
        <v>8200100.0</v>
      </c>
    </row>
    <row r="14676">
      <c r="A14676" s="17">
        <v>5.010001E8</v>
      </c>
      <c r="B14676" s="17">
        <v>8200101.0</v>
      </c>
    </row>
    <row r="14677">
      <c r="A14677" s="17">
        <v>5.010001E8</v>
      </c>
      <c r="B14677" s="17">
        <v>8200102.0</v>
      </c>
    </row>
    <row r="14678">
      <c r="A14678" s="17">
        <v>5.010001E8</v>
      </c>
      <c r="B14678" s="17">
        <v>8200200.0</v>
      </c>
    </row>
    <row r="14679">
      <c r="A14679" s="17">
        <v>5.010001E8</v>
      </c>
      <c r="B14679" s="17">
        <v>8200201.0</v>
      </c>
    </row>
    <row r="14680">
      <c r="A14680" s="17">
        <v>5.010001E8</v>
      </c>
      <c r="B14680" s="17">
        <v>8200202.0</v>
      </c>
    </row>
    <row r="14681">
      <c r="A14681" s="17">
        <v>5.010001E8</v>
      </c>
      <c r="B14681" s="17">
        <v>8200300.0</v>
      </c>
    </row>
    <row r="14682">
      <c r="A14682" s="17">
        <v>5.010001E8</v>
      </c>
      <c r="B14682" s="17">
        <v>8200301.0</v>
      </c>
    </row>
    <row r="14683">
      <c r="A14683" s="17">
        <v>5.010001E8</v>
      </c>
      <c r="B14683" s="17">
        <v>8200302.0</v>
      </c>
    </row>
    <row r="14684">
      <c r="A14684" s="17">
        <v>5.010001E8</v>
      </c>
      <c r="B14684" s="17">
        <v>8200400.0</v>
      </c>
    </row>
    <row r="14685">
      <c r="A14685" s="17">
        <v>5.010001E8</v>
      </c>
      <c r="B14685" s="17">
        <v>8200401.0</v>
      </c>
    </row>
    <row r="14686">
      <c r="A14686" s="17">
        <v>5.010001E8</v>
      </c>
      <c r="B14686" s="17">
        <v>8200402.0</v>
      </c>
    </row>
    <row r="14687">
      <c r="A14687" s="17">
        <v>5.010001E8</v>
      </c>
      <c r="B14687" s="17">
        <v>8210000.0</v>
      </c>
    </row>
    <row r="14688">
      <c r="A14688" s="17">
        <v>5.010001E8</v>
      </c>
      <c r="B14688" s="17">
        <v>8210001.0</v>
      </c>
    </row>
    <row r="14689">
      <c r="A14689" s="17">
        <v>5.010001E8</v>
      </c>
      <c r="B14689" s="17">
        <v>8210002.0</v>
      </c>
    </row>
    <row r="14690">
      <c r="A14690" s="17">
        <v>5.010001E8</v>
      </c>
      <c r="B14690" s="17">
        <v>8210100.0</v>
      </c>
    </row>
    <row r="14691">
      <c r="A14691" s="17">
        <v>5.010001E8</v>
      </c>
      <c r="B14691" s="17">
        <v>8210101.0</v>
      </c>
    </row>
    <row r="14692">
      <c r="A14692" s="17">
        <v>5.010001E8</v>
      </c>
      <c r="B14692" s="17">
        <v>8210102.0</v>
      </c>
    </row>
    <row r="14693">
      <c r="A14693" s="17">
        <v>5.010001E8</v>
      </c>
      <c r="B14693" s="17">
        <v>8210200.0</v>
      </c>
    </row>
    <row r="14694">
      <c r="A14694" s="17">
        <v>5.010001E8</v>
      </c>
      <c r="B14694" s="17">
        <v>8210201.0</v>
      </c>
    </row>
    <row r="14695">
      <c r="A14695" s="17">
        <v>5.010001E8</v>
      </c>
      <c r="B14695" s="17">
        <v>8210202.0</v>
      </c>
    </row>
    <row r="14696">
      <c r="A14696" s="17">
        <v>5.010001E8</v>
      </c>
      <c r="B14696" s="17">
        <v>8210300.0</v>
      </c>
    </row>
    <row r="14697">
      <c r="A14697" s="17">
        <v>5.010001E8</v>
      </c>
      <c r="B14697" s="17">
        <v>8210301.0</v>
      </c>
    </row>
    <row r="14698">
      <c r="A14698" s="17">
        <v>5.010001E8</v>
      </c>
      <c r="B14698" s="17">
        <v>8210302.0</v>
      </c>
    </row>
    <row r="14699">
      <c r="A14699" s="17">
        <v>5.010001E8</v>
      </c>
      <c r="B14699" s="17">
        <v>8210400.0</v>
      </c>
    </row>
    <row r="14700">
      <c r="A14700" s="17">
        <v>5.010001E8</v>
      </c>
      <c r="B14700" s="17">
        <v>8210401.0</v>
      </c>
    </row>
    <row r="14701">
      <c r="A14701" s="17">
        <v>5.010001E8</v>
      </c>
      <c r="B14701" s="17">
        <v>8210402.0</v>
      </c>
    </row>
    <row r="14702">
      <c r="A14702" s="17">
        <v>5.010001E8</v>
      </c>
      <c r="B14702" s="17">
        <v>8210500.0</v>
      </c>
    </row>
    <row r="14703">
      <c r="A14703" s="17">
        <v>5.010001E8</v>
      </c>
      <c r="B14703" s="17">
        <v>8210501.0</v>
      </c>
    </row>
    <row r="14704">
      <c r="A14704" s="17">
        <v>5.010001E8</v>
      </c>
      <c r="B14704" s="17">
        <v>8210502.0</v>
      </c>
    </row>
    <row r="14705">
      <c r="A14705" s="17">
        <v>5.010001E8</v>
      </c>
      <c r="B14705" s="17">
        <v>8210600.0</v>
      </c>
    </row>
    <row r="14706">
      <c r="A14706" s="17">
        <v>5.010001E8</v>
      </c>
      <c r="B14706" s="17">
        <v>8210601.0</v>
      </c>
    </row>
    <row r="14707">
      <c r="A14707" s="17">
        <v>5.010001E8</v>
      </c>
      <c r="B14707" s="17">
        <v>8210602.0</v>
      </c>
    </row>
    <row r="14708">
      <c r="A14708" s="17">
        <v>5.010001E8</v>
      </c>
      <c r="B14708" s="17">
        <v>8220000.0</v>
      </c>
    </row>
    <row r="14709">
      <c r="A14709" s="17">
        <v>5.010001E8</v>
      </c>
      <c r="B14709" s="17">
        <v>8220001.0</v>
      </c>
    </row>
    <row r="14710">
      <c r="A14710" s="17">
        <v>5.010001E8</v>
      </c>
      <c r="B14710" s="17">
        <v>8220002.0</v>
      </c>
    </row>
    <row r="14711">
      <c r="A14711" s="17">
        <v>5.010001E8</v>
      </c>
      <c r="B14711" s="17">
        <v>8300000.0</v>
      </c>
    </row>
    <row r="14712">
      <c r="A14712" s="17">
        <v>5.010001E8</v>
      </c>
      <c r="B14712" s="17">
        <v>8300001.0</v>
      </c>
    </row>
    <row r="14713">
      <c r="A14713" s="17">
        <v>5.010001E8</v>
      </c>
      <c r="B14713" s="17">
        <v>8300002.0</v>
      </c>
    </row>
    <row r="14714">
      <c r="A14714" s="17">
        <v>5.010001E8</v>
      </c>
      <c r="B14714" s="17">
        <v>8310000.0</v>
      </c>
    </row>
    <row r="14715">
      <c r="A14715" s="17">
        <v>5.010001E8</v>
      </c>
      <c r="B14715" s="17">
        <v>8310001.0</v>
      </c>
    </row>
    <row r="14716">
      <c r="A14716" s="17">
        <v>5.010001E8</v>
      </c>
      <c r="B14716" s="17">
        <v>8310002.0</v>
      </c>
    </row>
    <row r="14717">
      <c r="A14717" s="17">
        <v>5.010001E8</v>
      </c>
      <c r="B14717" s="17">
        <v>8320000.0</v>
      </c>
    </row>
    <row r="14718">
      <c r="A14718" s="17">
        <v>5.010001E8</v>
      </c>
      <c r="B14718" s="17">
        <v>8320001.0</v>
      </c>
    </row>
    <row r="14719">
      <c r="A14719" s="17">
        <v>5.010001E8</v>
      </c>
      <c r="B14719" s="17">
        <v>8320002.0</v>
      </c>
    </row>
    <row r="14720">
      <c r="A14720" s="17">
        <v>5.010001E8</v>
      </c>
      <c r="B14720" s="17">
        <v>8320100.0</v>
      </c>
    </row>
    <row r="14721">
      <c r="A14721" s="17">
        <v>5.010001E8</v>
      </c>
      <c r="B14721" s="17">
        <v>8320101.0</v>
      </c>
    </row>
    <row r="14722">
      <c r="A14722" s="17">
        <v>5.010001E8</v>
      </c>
      <c r="B14722" s="17">
        <v>8320102.0</v>
      </c>
    </row>
    <row r="14723">
      <c r="A14723" s="17">
        <v>5.010001E8</v>
      </c>
      <c r="B14723" s="17">
        <v>8320300.0</v>
      </c>
    </row>
    <row r="14724">
      <c r="A14724" s="17">
        <v>5.010001E8</v>
      </c>
      <c r="B14724" s="17">
        <v>8320301.0</v>
      </c>
    </row>
    <row r="14725">
      <c r="A14725" s="17">
        <v>5.010001E8</v>
      </c>
      <c r="B14725" s="17">
        <v>8320302.0</v>
      </c>
    </row>
    <row r="14726">
      <c r="A14726" s="17">
        <v>5.010001E8</v>
      </c>
      <c r="B14726" s="17">
        <v>8320400.0</v>
      </c>
    </row>
    <row r="14727">
      <c r="A14727" s="17">
        <v>5.010001E8</v>
      </c>
      <c r="B14727" s="17">
        <v>8320410.0</v>
      </c>
    </row>
    <row r="14728">
      <c r="A14728" s="17">
        <v>5.010001E8</v>
      </c>
      <c r="B14728" s="17">
        <v>8320420.0</v>
      </c>
    </row>
    <row r="14729">
      <c r="A14729" s="17">
        <v>5.010001E8</v>
      </c>
      <c r="B14729" s="17">
        <v>8330000.0</v>
      </c>
    </row>
    <row r="14730">
      <c r="A14730" s="17">
        <v>5.010001E8</v>
      </c>
      <c r="B14730" s="17">
        <v>8330001.0</v>
      </c>
    </row>
    <row r="14731">
      <c r="A14731" s="17">
        <v>5.010001E8</v>
      </c>
      <c r="B14731" s="17">
        <v>8330002.0</v>
      </c>
    </row>
    <row r="14732">
      <c r="A14732" s="17">
        <v>5.010001E8</v>
      </c>
      <c r="B14732" s="17">
        <v>8330100.0</v>
      </c>
    </row>
    <row r="14733">
      <c r="A14733" s="17">
        <v>5.010001E8</v>
      </c>
      <c r="B14733" s="17">
        <v>8330101.0</v>
      </c>
    </row>
    <row r="14734">
      <c r="A14734" s="17">
        <v>5.010001E8</v>
      </c>
      <c r="B14734" s="17">
        <v>8330102.0</v>
      </c>
    </row>
    <row r="14735">
      <c r="A14735" s="17">
        <v>5.010001E8</v>
      </c>
      <c r="B14735" s="17">
        <v>8330200.0</v>
      </c>
    </row>
    <row r="14736">
      <c r="A14736" s="17">
        <v>5.010001E8</v>
      </c>
      <c r="B14736" s="17">
        <v>8330201.0</v>
      </c>
    </row>
    <row r="14737">
      <c r="A14737" s="17">
        <v>5.010001E8</v>
      </c>
      <c r="B14737" s="17">
        <v>8330202.0</v>
      </c>
    </row>
    <row r="14738">
      <c r="A14738" s="17">
        <v>5.010001E8</v>
      </c>
      <c r="B14738" s="17">
        <v>8330300.0</v>
      </c>
    </row>
    <row r="14739">
      <c r="A14739" s="17">
        <v>5.010001E8</v>
      </c>
      <c r="B14739" s="17">
        <v>8330301.0</v>
      </c>
    </row>
    <row r="14740">
      <c r="A14740" s="17">
        <v>5.010001E8</v>
      </c>
      <c r="B14740" s="17">
        <v>8330302.0</v>
      </c>
    </row>
    <row r="14741">
      <c r="A14741" s="17">
        <v>5.010001E8</v>
      </c>
      <c r="B14741" s="17">
        <v>8330400.0</v>
      </c>
    </row>
    <row r="14742">
      <c r="A14742" s="17">
        <v>5.010001E8</v>
      </c>
      <c r="B14742" s="17">
        <v>8330401.0</v>
      </c>
    </row>
    <row r="14743">
      <c r="A14743" s="17">
        <v>5.010001E8</v>
      </c>
      <c r="B14743" s="17">
        <v>8330600.0</v>
      </c>
    </row>
    <row r="14744">
      <c r="A14744" s="17">
        <v>5.010001E8</v>
      </c>
      <c r="B14744" s="17">
        <v>8330601.0</v>
      </c>
    </row>
    <row r="14745">
      <c r="A14745" s="17">
        <v>5.010001E8</v>
      </c>
      <c r="B14745" s="17">
        <v>8330602.0</v>
      </c>
    </row>
    <row r="14746">
      <c r="A14746" s="17">
        <v>5.010001E8</v>
      </c>
      <c r="B14746" s="17">
        <v>8330900.0</v>
      </c>
    </row>
    <row r="14747">
      <c r="A14747" s="17">
        <v>5.010001E8</v>
      </c>
      <c r="B14747" s="17">
        <v>8330910.0</v>
      </c>
    </row>
    <row r="14748">
      <c r="A14748" s="17">
        <v>5.010001E8</v>
      </c>
      <c r="B14748" s="17">
        <v>8330920.0</v>
      </c>
    </row>
    <row r="14749">
      <c r="A14749" s="17">
        <v>5.010001E8</v>
      </c>
      <c r="B14749" s="17">
        <v>8340000.0</v>
      </c>
    </row>
    <row r="14750">
      <c r="A14750" s="17">
        <v>5.010001E8</v>
      </c>
      <c r="B14750" s="17">
        <v>8340001.0</v>
      </c>
    </row>
    <row r="14751">
      <c r="A14751" s="17">
        <v>5.010001E8</v>
      </c>
      <c r="B14751" s="17">
        <v>8340002.0</v>
      </c>
    </row>
    <row r="14752">
      <c r="A14752" s="17">
        <v>5.010001E8</v>
      </c>
      <c r="B14752" s="17">
        <v>8340100.0</v>
      </c>
    </row>
    <row r="14753">
      <c r="A14753" s="17">
        <v>5.010001E8</v>
      </c>
      <c r="B14753" s="17">
        <v>8340101.0</v>
      </c>
    </row>
    <row r="14754">
      <c r="A14754" s="17">
        <v>5.010001E8</v>
      </c>
      <c r="B14754" s="17">
        <v>8340102.0</v>
      </c>
    </row>
    <row r="14755">
      <c r="A14755" s="17">
        <v>5.010001E8</v>
      </c>
      <c r="B14755" s="17">
        <v>8350000.0</v>
      </c>
    </row>
    <row r="14756">
      <c r="A14756" s="17">
        <v>5.010001E8</v>
      </c>
      <c r="B14756" s="17">
        <v>8350001.0</v>
      </c>
    </row>
    <row r="14757">
      <c r="A14757" s="17">
        <v>5.010001E8</v>
      </c>
      <c r="B14757" s="17">
        <v>8350002.0</v>
      </c>
    </row>
    <row r="14758">
      <c r="A14758" s="17">
        <v>5.010001E8</v>
      </c>
      <c r="B14758" s="17">
        <v>8350200.0</v>
      </c>
    </row>
    <row r="14759">
      <c r="A14759" s="17">
        <v>5.010001E8</v>
      </c>
      <c r="B14759" s="17">
        <v>8350201.0</v>
      </c>
    </row>
    <row r="14760">
      <c r="A14760" s="17">
        <v>5.010001E8</v>
      </c>
      <c r="B14760" s="17">
        <v>8350202.0</v>
      </c>
    </row>
    <row r="14761">
      <c r="A14761" s="17">
        <v>5.010001E8</v>
      </c>
      <c r="B14761" s="17">
        <v>8420000.0</v>
      </c>
    </row>
    <row r="14762">
      <c r="A14762" s="17">
        <v>5.010001E8</v>
      </c>
      <c r="B14762" s="17">
        <v>8420001.0</v>
      </c>
    </row>
    <row r="14763">
      <c r="A14763" s="17">
        <v>5.010001E8</v>
      </c>
      <c r="B14763" s="17">
        <v>8420002.0</v>
      </c>
    </row>
    <row r="14764">
      <c r="A14764" s="17">
        <v>5.010001E8</v>
      </c>
      <c r="B14764" s="17">
        <v>8450000.0</v>
      </c>
    </row>
    <row r="14765">
      <c r="A14765" s="17">
        <v>5.010001E8</v>
      </c>
      <c r="B14765" s="17">
        <v>8460100.0</v>
      </c>
    </row>
    <row r="14766">
      <c r="A14766" s="17">
        <v>5.010001E8</v>
      </c>
      <c r="B14766" s="17">
        <v>8460300.0</v>
      </c>
    </row>
    <row r="14767">
      <c r="A14767" s="17">
        <v>5.010001E8</v>
      </c>
      <c r="B14767" s="17">
        <v>8460500.0</v>
      </c>
    </row>
    <row r="14768">
      <c r="A14768" s="17">
        <v>5.010001E8</v>
      </c>
      <c r="B14768" s="17">
        <v>8510000.0</v>
      </c>
    </row>
    <row r="14769">
      <c r="A14769" s="17">
        <v>5.010001E8</v>
      </c>
      <c r="B14769" s="17">
        <v>8510001.0</v>
      </c>
    </row>
    <row r="14770">
      <c r="A14770" s="17">
        <v>5.010001E8</v>
      </c>
      <c r="B14770" s="17">
        <v>8510002.0</v>
      </c>
    </row>
    <row r="14771">
      <c r="A14771" s="17">
        <v>5.010001E8</v>
      </c>
      <c r="B14771" s="17">
        <v>8520000.0</v>
      </c>
    </row>
    <row r="14772">
      <c r="A14772" s="17">
        <v>5.010001E8</v>
      </c>
      <c r="B14772" s="17">
        <v>8520001.0</v>
      </c>
    </row>
    <row r="14773">
      <c r="A14773" s="17">
        <v>5.010001E8</v>
      </c>
      <c r="B14773" s="17">
        <v>8520002.0</v>
      </c>
    </row>
    <row r="14774">
      <c r="A14774" s="17">
        <v>5.010001E8</v>
      </c>
      <c r="B14774" s="17">
        <v>8530000.0</v>
      </c>
    </row>
    <row r="14775">
      <c r="A14775" s="17">
        <v>5.010001E8</v>
      </c>
      <c r="B14775" s="17">
        <v>8530100.0</v>
      </c>
    </row>
    <row r="14776">
      <c r="A14776" s="17">
        <v>5.010001E8</v>
      </c>
      <c r="B14776" s="17">
        <v>8540000.0</v>
      </c>
    </row>
    <row r="14777">
      <c r="A14777" s="17">
        <v>5.010001E8</v>
      </c>
      <c r="B14777" s="17">
        <v>8600100.0</v>
      </c>
    </row>
    <row r="14778">
      <c r="A14778" s="17">
        <v>5.010001E8</v>
      </c>
      <c r="B14778" s="17">
        <v>8600101.0</v>
      </c>
    </row>
    <row r="14779">
      <c r="A14779" s="17">
        <v>5.010001E8</v>
      </c>
      <c r="B14779" s="17">
        <v>8600102.0</v>
      </c>
    </row>
    <row r="14780">
      <c r="A14780" s="17">
        <v>5.010001E8</v>
      </c>
      <c r="B14780" s="17">
        <v>8600200.0</v>
      </c>
    </row>
    <row r="14781">
      <c r="A14781" s="17">
        <v>5.010001E8</v>
      </c>
      <c r="B14781" s="17">
        <v>8600201.0</v>
      </c>
    </row>
    <row r="14782">
      <c r="A14782" s="17">
        <v>5.010001E8</v>
      </c>
      <c r="B14782" s="17">
        <v>8600202.0</v>
      </c>
    </row>
    <row r="14783">
      <c r="A14783" s="17">
        <v>5.010001E8</v>
      </c>
      <c r="B14783" s="17">
        <v>8610300.0</v>
      </c>
    </row>
    <row r="14784">
      <c r="A14784" s="17">
        <v>5.010001E8</v>
      </c>
      <c r="B14784" s="17">
        <v>8610400.0</v>
      </c>
    </row>
    <row r="14785">
      <c r="A14785" s="17">
        <v>5.010001E8</v>
      </c>
      <c r="B14785" s="17">
        <v>8610500.0</v>
      </c>
    </row>
    <row r="14786">
      <c r="A14786" s="17">
        <v>5.010001E8</v>
      </c>
      <c r="B14786" s="17">
        <v>8610600.0</v>
      </c>
    </row>
    <row r="14787">
      <c r="A14787" s="17">
        <v>5.010001E8</v>
      </c>
      <c r="B14787" s="17">
        <v>8610700.0</v>
      </c>
    </row>
    <row r="14788">
      <c r="A14788" s="17">
        <v>5.010001E8</v>
      </c>
      <c r="B14788" s="17">
        <v>8610710.0</v>
      </c>
    </row>
    <row r="14789">
      <c r="A14789" s="17">
        <v>5.010001E8</v>
      </c>
      <c r="B14789" s="17">
        <v>8610720.0</v>
      </c>
    </row>
    <row r="14790">
      <c r="A14790" s="17">
        <v>5.010001E8</v>
      </c>
      <c r="B14790" s="17">
        <v>8620000.0</v>
      </c>
    </row>
    <row r="14791">
      <c r="A14791" s="17">
        <v>5.010001E8</v>
      </c>
      <c r="B14791" s="17">
        <v>8620010.0</v>
      </c>
    </row>
    <row r="14792">
      <c r="A14792" s="17">
        <v>5.010001E8</v>
      </c>
      <c r="B14792" s="17">
        <v>8620020.0</v>
      </c>
    </row>
    <row r="14793">
      <c r="A14793" s="17">
        <v>5.010001E8</v>
      </c>
      <c r="B14793" s="17">
        <v>8620100.0</v>
      </c>
    </row>
    <row r="14794">
      <c r="A14794" s="17">
        <v>5.010001E8</v>
      </c>
      <c r="B14794" s="17">
        <v>8620110.0</v>
      </c>
    </row>
    <row r="14795">
      <c r="A14795" s="17">
        <v>5.010001E8</v>
      </c>
      <c r="B14795" s="17">
        <v>8620120.0</v>
      </c>
    </row>
    <row r="14796">
      <c r="A14796" s="17">
        <v>5.010001E8</v>
      </c>
      <c r="B14796" s="17">
        <v>8630000.0</v>
      </c>
    </row>
    <row r="14797">
      <c r="A14797" s="17">
        <v>5.010001E8</v>
      </c>
      <c r="B14797" s="17">
        <v>8630000.0</v>
      </c>
    </row>
    <row r="14798">
      <c r="A14798" s="17">
        <v>5.010001E8</v>
      </c>
      <c r="B14798" s="17">
        <v>8630000.0</v>
      </c>
    </row>
    <row r="14799">
      <c r="A14799" s="17">
        <v>5.010001E8</v>
      </c>
      <c r="B14799" s="17">
        <v>8630100.0</v>
      </c>
    </row>
    <row r="14800">
      <c r="A14800" s="17">
        <v>5.010001E8</v>
      </c>
      <c r="B14800" s="17">
        <v>8630100.0</v>
      </c>
    </row>
    <row r="14801">
      <c r="A14801" s="17">
        <v>5.010001E8</v>
      </c>
      <c r="B14801" s="17">
        <v>8630100.0</v>
      </c>
    </row>
    <row r="14802">
      <c r="A14802" s="17">
        <v>5.010001E8</v>
      </c>
      <c r="B14802" s="17">
        <v>8630200.0</v>
      </c>
    </row>
    <row r="14803">
      <c r="A14803" s="17">
        <v>5.010001E8</v>
      </c>
      <c r="B14803" s="17">
        <v>8630300.0</v>
      </c>
    </row>
    <row r="14804">
      <c r="A14804" s="17">
        <v>5.010001E8</v>
      </c>
      <c r="B14804" s="17">
        <v>8630400.0</v>
      </c>
    </row>
    <row r="14805">
      <c r="A14805" s="17">
        <v>5.010001E8</v>
      </c>
      <c r="B14805" s="17">
        <v>8630500.0</v>
      </c>
    </row>
    <row r="14806">
      <c r="A14806" s="17">
        <v>5.010001E8</v>
      </c>
      <c r="B14806" s="17">
        <v>8630600.0</v>
      </c>
    </row>
    <row r="14807">
      <c r="A14807" s="17">
        <v>5.010001E8</v>
      </c>
      <c r="B14807" s="17">
        <v>8630700.0</v>
      </c>
    </row>
    <row r="14808">
      <c r="A14808" s="17">
        <v>5.010001E8</v>
      </c>
      <c r="B14808" s="17">
        <v>8630800.0</v>
      </c>
    </row>
    <row r="14809">
      <c r="A14809" s="17">
        <v>5.010001E8</v>
      </c>
      <c r="B14809" s="17">
        <v>8652000.0</v>
      </c>
    </row>
    <row r="14810">
      <c r="A14810" s="17">
        <v>5.010001E8</v>
      </c>
      <c r="B14810" s="17">
        <v>8652010.0</v>
      </c>
    </row>
    <row r="14811">
      <c r="A14811" s="17">
        <v>5.010001E8</v>
      </c>
      <c r="B14811" s="17">
        <v>8652020.0</v>
      </c>
    </row>
    <row r="14812">
      <c r="A14812" s="17">
        <v>5.010001E8</v>
      </c>
      <c r="B14812" s="17">
        <v>8652100.0</v>
      </c>
    </row>
    <row r="14813">
      <c r="A14813" s="17">
        <v>5.010001E8</v>
      </c>
      <c r="B14813" s="17">
        <v>8652110.0</v>
      </c>
    </row>
    <row r="14814">
      <c r="A14814" s="17">
        <v>5.010001E8</v>
      </c>
      <c r="B14814" s="17">
        <v>8652120.0</v>
      </c>
    </row>
    <row r="14815">
      <c r="A14815" s="17">
        <v>5.010001E8</v>
      </c>
      <c r="B14815" s="17">
        <v>8660000.0</v>
      </c>
    </row>
    <row r="14816">
      <c r="A14816" s="17">
        <v>5.010001E8</v>
      </c>
      <c r="B14816" s="17">
        <v>8660001.0</v>
      </c>
    </row>
    <row r="14817">
      <c r="A14817" s="17">
        <v>5.010001E8</v>
      </c>
      <c r="B14817" s="17">
        <v>8660002.0</v>
      </c>
    </row>
    <row r="14818">
      <c r="A14818" s="17">
        <v>5.010001E8</v>
      </c>
      <c r="B14818" s="17">
        <v>8660100.0</v>
      </c>
    </row>
    <row r="14819">
      <c r="A14819" s="17">
        <v>5.010001E8</v>
      </c>
      <c r="B14819" s="17">
        <v>8660101.0</v>
      </c>
    </row>
    <row r="14820">
      <c r="A14820" s="17">
        <v>5.010001E8</v>
      </c>
      <c r="B14820" s="17">
        <v>8660102.0</v>
      </c>
    </row>
    <row r="14821">
      <c r="A14821" s="17">
        <v>5.010001E8</v>
      </c>
      <c r="B14821" s="17">
        <v>8670000.0</v>
      </c>
    </row>
    <row r="14822">
      <c r="A14822" s="17">
        <v>5.010001E8</v>
      </c>
      <c r="B14822" s="17">
        <v>8670001.0</v>
      </c>
    </row>
    <row r="14823">
      <c r="A14823" s="17">
        <v>5.010001E8</v>
      </c>
      <c r="B14823" s="17">
        <v>8670002.0</v>
      </c>
    </row>
    <row r="14824">
      <c r="A14824" s="17">
        <v>5.010001E8</v>
      </c>
      <c r="B14824" s="17">
        <v>8670100.0</v>
      </c>
    </row>
    <row r="14825">
      <c r="A14825" s="17">
        <v>5.010001E8</v>
      </c>
      <c r="B14825" s="17">
        <v>8670101.0</v>
      </c>
    </row>
    <row r="14826">
      <c r="A14826" s="17">
        <v>5.010001E8</v>
      </c>
      <c r="B14826" s="17">
        <v>8670102.0</v>
      </c>
    </row>
    <row r="14827">
      <c r="A14827" s="17">
        <v>5.010001E8</v>
      </c>
      <c r="B14827" s="17">
        <v>8690000.0</v>
      </c>
    </row>
    <row r="14828">
      <c r="A14828" s="17">
        <v>5.010001E8</v>
      </c>
      <c r="B14828" s="17">
        <v>8690100.0</v>
      </c>
    </row>
    <row r="14829">
      <c r="A14829" s="17">
        <v>5.010001E8</v>
      </c>
      <c r="B14829" s="17">
        <v>8690200.0</v>
      </c>
    </row>
    <row r="14830">
      <c r="A14830" s="17">
        <v>5.010001E8</v>
      </c>
      <c r="B14830" s="17">
        <v>8690300.0</v>
      </c>
    </row>
    <row r="14831">
      <c r="A14831" s="17">
        <v>5.010001E8</v>
      </c>
      <c r="B14831" s="17">
        <v>8690400.0</v>
      </c>
    </row>
    <row r="14832">
      <c r="A14832" s="17">
        <v>5.010001E8</v>
      </c>
      <c r="B14832" s="17">
        <v>8320500.0</v>
      </c>
    </row>
    <row r="14833">
      <c r="A14833" s="17">
        <v>5.010001E8</v>
      </c>
      <c r="B14833" s="17">
        <v>8320510.0</v>
      </c>
    </row>
    <row r="14834">
      <c r="A14834" s="17">
        <v>5.010001E8</v>
      </c>
      <c r="B14834" s="17">
        <v>8320520.0</v>
      </c>
    </row>
    <row r="14835">
      <c r="A14835" s="17">
        <v>5.010001E8</v>
      </c>
      <c r="B14835" s="17">
        <v>8320600.0</v>
      </c>
    </row>
    <row r="14836">
      <c r="A14836" s="17">
        <v>5.010001E8</v>
      </c>
      <c r="B14836" s="17">
        <v>8320610.0</v>
      </c>
    </row>
    <row r="14837">
      <c r="A14837" s="17">
        <v>5.010001E8</v>
      </c>
      <c r="B14837" s="17">
        <v>8320620.0</v>
      </c>
    </row>
    <row r="14838">
      <c r="A14838" s="17">
        <v>5.010001E8</v>
      </c>
      <c r="B14838" s="17">
        <v>8320700.0</v>
      </c>
    </row>
    <row r="14839">
      <c r="A14839" s="17">
        <v>5.010001E8</v>
      </c>
      <c r="B14839" s="17">
        <v>8320710.0</v>
      </c>
    </row>
    <row r="14840">
      <c r="A14840" s="17">
        <v>5.010001E8</v>
      </c>
      <c r="B14840" s="17">
        <v>8320720.0</v>
      </c>
    </row>
    <row r="14841">
      <c r="A14841" s="17">
        <v>5.010002E8</v>
      </c>
      <c r="B14841" s="17">
        <v>0.0</v>
      </c>
    </row>
    <row r="14842">
      <c r="A14842" s="17">
        <v>5.010002E8</v>
      </c>
      <c r="B14842" s="17">
        <v>8100100.0</v>
      </c>
    </row>
    <row r="14843">
      <c r="A14843" s="17">
        <v>5.010002E8</v>
      </c>
      <c r="B14843" s="17">
        <v>8100101.0</v>
      </c>
    </row>
    <row r="14844">
      <c r="A14844" s="17">
        <v>5.010002E8</v>
      </c>
      <c r="B14844" s="17">
        <v>8100102.0</v>
      </c>
    </row>
    <row r="14845">
      <c r="A14845" s="17">
        <v>5.010002E8</v>
      </c>
      <c r="B14845" s="17">
        <v>8100200.0</v>
      </c>
    </row>
    <row r="14846">
      <c r="A14846" s="17">
        <v>5.010002E8</v>
      </c>
      <c r="B14846" s="17">
        <v>8100201.0</v>
      </c>
    </row>
    <row r="14847">
      <c r="A14847" s="17">
        <v>5.010002E8</v>
      </c>
      <c r="B14847" s="17">
        <v>8100202.0</v>
      </c>
    </row>
    <row r="14848">
      <c r="A14848" s="17">
        <v>5.010002E8</v>
      </c>
      <c r="B14848" s="17">
        <v>8100300.0</v>
      </c>
    </row>
    <row r="14849">
      <c r="A14849" s="17">
        <v>5.010002E8</v>
      </c>
      <c r="B14849" s="17">
        <v>8100301.0</v>
      </c>
    </row>
    <row r="14850">
      <c r="A14850" s="17">
        <v>5.010002E8</v>
      </c>
      <c r="B14850" s="17">
        <v>8100302.0</v>
      </c>
    </row>
    <row r="14851">
      <c r="A14851" s="17">
        <v>5.010002E8</v>
      </c>
      <c r="B14851" s="17">
        <v>8100400.0</v>
      </c>
    </row>
    <row r="14852">
      <c r="A14852" s="17">
        <v>5.010002E8</v>
      </c>
      <c r="B14852" s="17">
        <v>8100401.0</v>
      </c>
    </row>
    <row r="14853">
      <c r="A14853" s="17">
        <v>5.010002E8</v>
      </c>
      <c r="B14853" s="17">
        <v>8100402.0</v>
      </c>
    </row>
    <row r="14854">
      <c r="A14854" s="17">
        <v>5.010002E8</v>
      </c>
      <c r="B14854" s="17">
        <v>8130000.0</v>
      </c>
    </row>
    <row r="14855">
      <c r="A14855" s="17">
        <v>5.010002E8</v>
      </c>
      <c r="B14855" s="17">
        <v>8130001.0</v>
      </c>
    </row>
    <row r="14856">
      <c r="A14856" s="17">
        <v>5.010002E8</v>
      </c>
      <c r="B14856" s="17">
        <v>8130002.0</v>
      </c>
    </row>
    <row r="14857">
      <c r="A14857" s="17">
        <v>5.010002E8</v>
      </c>
      <c r="B14857" s="17">
        <v>8140000.0</v>
      </c>
    </row>
    <row r="14858">
      <c r="A14858" s="17">
        <v>5.010002E8</v>
      </c>
      <c r="B14858" s="17">
        <v>8140001.0</v>
      </c>
    </row>
    <row r="14859">
      <c r="A14859" s="17">
        <v>5.010002E8</v>
      </c>
      <c r="B14859" s="17">
        <v>8140002.0</v>
      </c>
    </row>
    <row r="14860">
      <c r="A14860" s="17">
        <v>5.010002E8</v>
      </c>
      <c r="B14860" s="17">
        <v>8200100.0</v>
      </c>
    </row>
    <row r="14861">
      <c r="A14861" s="17">
        <v>5.010002E8</v>
      </c>
      <c r="B14861" s="17">
        <v>8200101.0</v>
      </c>
    </row>
    <row r="14862">
      <c r="A14862" s="17">
        <v>5.010002E8</v>
      </c>
      <c r="B14862" s="17">
        <v>8200102.0</v>
      </c>
    </row>
    <row r="14863">
      <c r="A14863" s="17">
        <v>5.010002E8</v>
      </c>
      <c r="B14863" s="17">
        <v>8200200.0</v>
      </c>
    </row>
    <row r="14864">
      <c r="A14864" s="17">
        <v>5.010002E8</v>
      </c>
      <c r="B14864" s="17">
        <v>8200201.0</v>
      </c>
    </row>
    <row r="14865">
      <c r="A14865" s="17">
        <v>5.010002E8</v>
      </c>
      <c r="B14865" s="17">
        <v>8200202.0</v>
      </c>
    </row>
    <row r="14866">
      <c r="A14866" s="17">
        <v>5.010002E8</v>
      </c>
      <c r="B14866" s="17">
        <v>8200300.0</v>
      </c>
    </row>
    <row r="14867">
      <c r="A14867" s="17">
        <v>5.010002E8</v>
      </c>
      <c r="B14867" s="17">
        <v>8200301.0</v>
      </c>
    </row>
    <row r="14868">
      <c r="A14868" s="17">
        <v>5.010002E8</v>
      </c>
      <c r="B14868" s="17">
        <v>8200302.0</v>
      </c>
    </row>
    <row r="14869">
      <c r="A14869" s="17">
        <v>5.010002E8</v>
      </c>
      <c r="B14869" s="17">
        <v>8200400.0</v>
      </c>
    </row>
    <row r="14870">
      <c r="A14870" s="17">
        <v>5.010002E8</v>
      </c>
      <c r="B14870" s="17">
        <v>8200401.0</v>
      </c>
    </row>
    <row r="14871">
      <c r="A14871" s="17">
        <v>5.010002E8</v>
      </c>
      <c r="B14871" s="17">
        <v>8200402.0</v>
      </c>
    </row>
    <row r="14872">
      <c r="A14872" s="17">
        <v>5.010002E8</v>
      </c>
      <c r="B14872" s="17">
        <v>8210000.0</v>
      </c>
    </row>
    <row r="14873">
      <c r="A14873" s="17">
        <v>5.010002E8</v>
      </c>
      <c r="B14873" s="17">
        <v>8210001.0</v>
      </c>
    </row>
    <row r="14874">
      <c r="A14874" s="17">
        <v>5.010002E8</v>
      </c>
      <c r="B14874" s="17">
        <v>8210002.0</v>
      </c>
    </row>
    <row r="14875">
      <c r="A14875" s="17">
        <v>5.010002E8</v>
      </c>
      <c r="B14875" s="17">
        <v>8210100.0</v>
      </c>
    </row>
    <row r="14876">
      <c r="A14876" s="17">
        <v>5.010002E8</v>
      </c>
      <c r="B14876" s="17">
        <v>8210101.0</v>
      </c>
    </row>
    <row r="14877">
      <c r="A14877" s="17">
        <v>5.010002E8</v>
      </c>
      <c r="B14877" s="17">
        <v>8210102.0</v>
      </c>
    </row>
    <row r="14878">
      <c r="A14878" s="17">
        <v>5.010002E8</v>
      </c>
      <c r="B14878" s="17">
        <v>8210200.0</v>
      </c>
    </row>
    <row r="14879">
      <c r="A14879" s="17">
        <v>5.010002E8</v>
      </c>
      <c r="B14879" s="17">
        <v>8210201.0</v>
      </c>
    </row>
    <row r="14880">
      <c r="A14880" s="17">
        <v>5.010002E8</v>
      </c>
      <c r="B14880" s="17">
        <v>8210202.0</v>
      </c>
    </row>
    <row r="14881">
      <c r="A14881" s="17">
        <v>5.010002E8</v>
      </c>
      <c r="B14881" s="17">
        <v>8210300.0</v>
      </c>
    </row>
    <row r="14882">
      <c r="A14882" s="17">
        <v>5.010002E8</v>
      </c>
      <c r="B14882" s="17">
        <v>8210301.0</v>
      </c>
    </row>
    <row r="14883">
      <c r="A14883" s="17">
        <v>5.010002E8</v>
      </c>
      <c r="B14883" s="17">
        <v>8210302.0</v>
      </c>
    </row>
    <row r="14884">
      <c r="A14884" s="17">
        <v>5.010002E8</v>
      </c>
      <c r="B14884" s="17">
        <v>8210400.0</v>
      </c>
    </row>
    <row r="14885">
      <c r="A14885" s="17">
        <v>5.010002E8</v>
      </c>
      <c r="B14885" s="17">
        <v>8210401.0</v>
      </c>
    </row>
    <row r="14886">
      <c r="A14886" s="17">
        <v>5.010002E8</v>
      </c>
      <c r="B14886" s="17">
        <v>8210402.0</v>
      </c>
    </row>
    <row r="14887">
      <c r="A14887" s="17">
        <v>5.010002E8</v>
      </c>
      <c r="B14887" s="17">
        <v>8210500.0</v>
      </c>
    </row>
    <row r="14888">
      <c r="A14888" s="17">
        <v>5.010002E8</v>
      </c>
      <c r="B14888" s="17">
        <v>8210501.0</v>
      </c>
    </row>
    <row r="14889">
      <c r="A14889" s="17">
        <v>5.010002E8</v>
      </c>
      <c r="B14889" s="17">
        <v>8210502.0</v>
      </c>
    </row>
    <row r="14890">
      <c r="A14890" s="17">
        <v>5.010002E8</v>
      </c>
      <c r="B14890" s="17">
        <v>8210600.0</v>
      </c>
    </row>
    <row r="14891">
      <c r="A14891" s="17">
        <v>5.010002E8</v>
      </c>
      <c r="B14891" s="17">
        <v>8210601.0</v>
      </c>
    </row>
    <row r="14892">
      <c r="A14892" s="17">
        <v>5.010002E8</v>
      </c>
      <c r="B14892" s="17">
        <v>8210602.0</v>
      </c>
    </row>
    <row r="14893">
      <c r="A14893" s="17">
        <v>5.010002E8</v>
      </c>
      <c r="B14893" s="17">
        <v>8220000.0</v>
      </c>
    </row>
    <row r="14894">
      <c r="A14894" s="17">
        <v>5.010002E8</v>
      </c>
      <c r="B14894" s="17">
        <v>8220001.0</v>
      </c>
    </row>
    <row r="14895">
      <c r="A14895" s="17">
        <v>5.010002E8</v>
      </c>
      <c r="B14895" s="17">
        <v>8220002.0</v>
      </c>
    </row>
    <row r="14896">
      <c r="A14896" s="17">
        <v>5.010002E8</v>
      </c>
      <c r="B14896" s="17">
        <v>8300000.0</v>
      </c>
    </row>
    <row r="14897">
      <c r="A14897" s="17">
        <v>5.010002E8</v>
      </c>
      <c r="B14897" s="17">
        <v>8300001.0</v>
      </c>
    </row>
    <row r="14898">
      <c r="A14898" s="17">
        <v>5.010002E8</v>
      </c>
      <c r="B14898" s="17">
        <v>8300002.0</v>
      </c>
    </row>
    <row r="14899">
      <c r="A14899" s="17">
        <v>5.010002E8</v>
      </c>
      <c r="B14899" s="17">
        <v>8310000.0</v>
      </c>
    </row>
    <row r="14900">
      <c r="A14900" s="17">
        <v>5.010002E8</v>
      </c>
      <c r="B14900" s="17">
        <v>8310001.0</v>
      </c>
    </row>
    <row r="14901">
      <c r="A14901" s="17">
        <v>5.010002E8</v>
      </c>
      <c r="B14901" s="17">
        <v>8310002.0</v>
      </c>
    </row>
    <row r="14902">
      <c r="A14902" s="17">
        <v>5.010002E8</v>
      </c>
      <c r="B14902" s="17">
        <v>8320000.0</v>
      </c>
    </row>
    <row r="14903">
      <c r="A14903" s="17">
        <v>5.010002E8</v>
      </c>
      <c r="B14903" s="17">
        <v>8320001.0</v>
      </c>
    </row>
    <row r="14904">
      <c r="A14904" s="17">
        <v>5.010002E8</v>
      </c>
      <c r="B14904" s="17">
        <v>8320002.0</v>
      </c>
    </row>
    <row r="14905">
      <c r="A14905" s="17">
        <v>5.010002E8</v>
      </c>
      <c r="B14905" s="17">
        <v>8320100.0</v>
      </c>
    </row>
    <row r="14906">
      <c r="A14906" s="17">
        <v>5.010002E8</v>
      </c>
      <c r="B14906" s="17">
        <v>8320101.0</v>
      </c>
    </row>
    <row r="14907">
      <c r="A14907" s="17">
        <v>5.010002E8</v>
      </c>
      <c r="B14907" s="17">
        <v>8320102.0</v>
      </c>
    </row>
    <row r="14908">
      <c r="A14908" s="17">
        <v>5.010002E8</v>
      </c>
      <c r="B14908" s="17">
        <v>8320300.0</v>
      </c>
    </row>
    <row r="14909">
      <c r="A14909" s="17">
        <v>5.010002E8</v>
      </c>
      <c r="B14909" s="17">
        <v>8320301.0</v>
      </c>
    </row>
    <row r="14910">
      <c r="A14910" s="17">
        <v>5.010002E8</v>
      </c>
      <c r="B14910" s="17">
        <v>8320302.0</v>
      </c>
    </row>
    <row r="14911">
      <c r="A14911" s="17">
        <v>5.010002E8</v>
      </c>
      <c r="B14911" s="17">
        <v>8320400.0</v>
      </c>
    </row>
    <row r="14912">
      <c r="A14912" s="17">
        <v>5.010002E8</v>
      </c>
      <c r="B14912" s="17">
        <v>8320410.0</v>
      </c>
    </row>
    <row r="14913">
      <c r="A14913" s="17">
        <v>5.010002E8</v>
      </c>
      <c r="B14913" s="17">
        <v>8320420.0</v>
      </c>
    </row>
    <row r="14914">
      <c r="A14914" s="17">
        <v>5.010002E8</v>
      </c>
      <c r="B14914" s="17">
        <v>8330000.0</v>
      </c>
    </row>
    <row r="14915">
      <c r="A14915" s="17">
        <v>5.010002E8</v>
      </c>
      <c r="B14915" s="17">
        <v>8330001.0</v>
      </c>
    </row>
    <row r="14916">
      <c r="A14916" s="17">
        <v>5.010002E8</v>
      </c>
      <c r="B14916" s="17">
        <v>8330002.0</v>
      </c>
    </row>
    <row r="14917">
      <c r="A14917" s="17">
        <v>5.010002E8</v>
      </c>
      <c r="B14917" s="17">
        <v>8330100.0</v>
      </c>
    </row>
    <row r="14918">
      <c r="A14918" s="17">
        <v>5.010002E8</v>
      </c>
      <c r="B14918" s="17">
        <v>8330101.0</v>
      </c>
    </row>
    <row r="14919">
      <c r="A14919" s="17">
        <v>5.010002E8</v>
      </c>
      <c r="B14919" s="17">
        <v>8330102.0</v>
      </c>
    </row>
    <row r="14920">
      <c r="A14920" s="17">
        <v>5.010002E8</v>
      </c>
      <c r="B14920" s="17">
        <v>8330200.0</v>
      </c>
    </row>
    <row r="14921">
      <c r="A14921" s="17">
        <v>5.010002E8</v>
      </c>
      <c r="B14921" s="17">
        <v>8330201.0</v>
      </c>
    </row>
    <row r="14922">
      <c r="A14922" s="17">
        <v>5.010002E8</v>
      </c>
      <c r="B14922" s="17">
        <v>8330202.0</v>
      </c>
    </row>
    <row r="14923">
      <c r="A14923" s="17">
        <v>5.010002E8</v>
      </c>
      <c r="B14923" s="17">
        <v>8330300.0</v>
      </c>
    </row>
    <row r="14924">
      <c r="A14924" s="17">
        <v>5.010002E8</v>
      </c>
      <c r="B14924" s="17">
        <v>8330301.0</v>
      </c>
    </row>
    <row r="14925">
      <c r="A14925" s="17">
        <v>5.010002E8</v>
      </c>
      <c r="B14925" s="17">
        <v>8330302.0</v>
      </c>
    </row>
    <row r="14926">
      <c r="A14926" s="17">
        <v>5.010002E8</v>
      </c>
      <c r="B14926" s="17">
        <v>8330400.0</v>
      </c>
    </row>
    <row r="14927">
      <c r="A14927" s="17">
        <v>5.010002E8</v>
      </c>
      <c r="B14927" s="17">
        <v>8330401.0</v>
      </c>
    </row>
    <row r="14928">
      <c r="A14928" s="17">
        <v>5.010002E8</v>
      </c>
      <c r="B14928" s="17">
        <v>8330600.0</v>
      </c>
    </row>
    <row r="14929">
      <c r="A14929" s="17">
        <v>5.010002E8</v>
      </c>
      <c r="B14929" s="17">
        <v>8330601.0</v>
      </c>
    </row>
    <row r="14930">
      <c r="A14930" s="17">
        <v>5.010002E8</v>
      </c>
      <c r="B14930" s="17">
        <v>8330602.0</v>
      </c>
    </row>
    <row r="14931">
      <c r="A14931" s="17">
        <v>5.010002E8</v>
      </c>
      <c r="B14931" s="17">
        <v>8330900.0</v>
      </c>
    </row>
    <row r="14932">
      <c r="A14932" s="17">
        <v>5.010002E8</v>
      </c>
      <c r="B14932" s="17">
        <v>8330910.0</v>
      </c>
    </row>
    <row r="14933">
      <c r="A14933" s="17">
        <v>5.010002E8</v>
      </c>
      <c r="B14933" s="17">
        <v>8330920.0</v>
      </c>
    </row>
    <row r="14934">
      <c r="A14934" s="17">
        <v>5.010002E8</v>
      </c>
      <c r="B14934" s="17">
        <v>8340000.0</v>
      </c>
    </row>
    <row r="14935">
      <c r="A14935" s="17">
        <v>5.010002E8</v>
      </c>
      <c r="B14935" s="17">
        <v>8340001.0</v>
      </c>
    </row>
    <row r="14936">
      <c r="A14936" s="17">
        <v>5.010002E8</v>
      </c>
      <c r="B14936" s="17">
        <v>8340002.0</v>
      </c>
    </row>
    <row r="14937">
      <c r="A14937" s="17">
        <v>5.010002E8</v>
      </c>
      <c r="B14937" s="17">
        <v>8340100.0</v>
      </c>
    </row>
    <row r="14938">
      <c r="A14938" s="17">
        <v>5.010002E8</v>
      </c>
      <c r="B14938" s="17">
        <v>8340101.0</v>
      </c>
    </row>
    <row r="14939">
      <c r="A14939" s="17">
        <v>5.010002E8</v>
      </c>
      <c r="B14939" s="17">
        <v>8340102.0</v>
      </c>
    </row>
    <row r="14940">
      <c r="A14940" s="17">
        <v>5.010002E8</v>
      </c>
      <c r="B14940" s="17">
        <v>8350000.0</v>
      </c>
    </row>
    <row r="14941">
      <c r="A14941" s="17">
        <v>5.010002E8</v>
      </c>
      <c r="B14941" s="17">
        <v>8350001.0</v>
      </c>
    </row>
    <row r="14942">
      <c r="A14942" s="17">
        <v>5.010002E8</v>
      </c>
      <c r="B14942" s="17">
        <v>8350002.0</v>
      </c>
    </row>
    <row r="14943">
      <c r="A14943" s="17">
        <v>5.010002E8</v>
      </c>
      <c r="B14943" s="17">
        <v>8350200.0</v>
      </c>
    </row>
    <row r="14944">
      <c r="A14944" s="17">
        <v>5.010002E8</v>
      </c>
      <c r="B14944" s="17">
        <v>8350201.0</v>
      </c>
    </row>
    <row r="14945">
      <c r="A14945" s="17">
        <v>5.010002E8</v>
      </c>
      <c r="B14945" s="17">
        <v>8350202.0</v>
      </c>
    </row>
    <row r="14946">
      <c r="A14946" s="17">
        <v>5.010002E8</v>
      </c>
      <c r="B14946" s="17">
        <v>8420000.0</v>
      </c>
    </row>
    <row r="14947">
      <c r="A14947" s="17">
        <v>5.010002E8</v>
      </c>
      <c r="B14947" s="17">
        <v>8420001.0</v>
      </c>
    </row>
    <row r="14948">
      <c r="A14948" s="17">
        <v>5.010002E8</v>
      </c>
      <c r="B14948" s="17">
        <v>8420002.0</v>
      </c>
    </row>
    <row r="14949">
      <c r="A14949" s="17">
        <v>5.010002E8</v>
      </c>
      <c r="B14949" s="17">
        <v>8450000.0</v>
      </c>
    </row>
    <row r="14950">
      <c r="A14950" s="17">
        <v>5.010002E8</v>
      </c>
      <c r="B14950" s="17">
        <v>8460100.0</v>
      </c>
    </row>
    <row r="14951">
      <c r="A14951" s="17">
        <v>5.010002E8</v>
      </c>
      <c r="B14951" s="17">
        <v>8460300.0</v>
      </c>
    </row>
    <row r="14952">
      <c r="A14952" s="17">
        <v>5.010002E8</v>
      </c>
      <c r="B14952" s="17">
        <v>8460500.0</v>
      </c>
    </row>
    <row r="14953">
      <c r="A14953" s="17">
        <v>5.010002E8</v>
      </c>
      <c r="B14953" s="17">
        <v>8510000.0</v>
      </c>
    </row>
    <row r="14954">
      <c r="A14954" s="17">
        <v>5.010002E8</v>
      </c>
      <c r="B14954" s="17">
        <v>8510001.0</v>
      </c>
    </row>
    <row r="14955">
      <c r="A14955" s="17">
        <v>5.010002E8</v>
      </c>
      <c r="B14955" s="17">
        <v>8510002.0</v>
      </c>
    </row>
    <row r="14956">
      <c r="A14956" s="17">
        <v>5.010002E8</v>
      </c>
      <c r="B14956" s="17">
        <v>8520000.0</v>
      </c>
    </row>
    <row r="14957">
      <c r="A14957" s="17">
        <v>5.010002E8</v>
      </c>
      <c r="B14957" s="17">
        <v>8520001.0</v>
      </c>
    </row>
    <row r="14958">
      <c r="A14958" s="17">
        <v>5.010002E8</v>
      </c>
      <c r="B14958" s="17">
        <v>8520002.0</v>
      </c>
    </row>
    <row r="14959">
      <c r="A14959" s="17">
        <v>5.010002E8</v>
      </c>
      <c r="B14959" s="17">
        <v>8530000.0</v>
      </c>
    </row>
    <row r="14960">
      <c r="A14960" s="17">
        <v>5.010002E8</v>
      </c>
      <c r="B14960" s="17">
        <v>8530100.0</v>
      </c>
    </row>
    <row r="14961">
      <c r="A14961" s="17">
        <v>5.010002E8</v>
      </c>
      <c r="B14961" s="17">
        <v>8540000.0</v>
      </c>
    </row>
    <row r="14962">
      <c r="A14962" s="17">
        <v>5.010002E8</v>
      </c>
      <c r="B14962" s="17">
        <v>8600100.0</v>
      </c>
    </row>
    <row r="14963">
      <c r="A14963" s="17">
        <v>5.010002E8</v>
      </c>
      <c r="B14963" s="17">
        <v>8600101.0</v>
      </c>
    </row>
    <row r="14964">
      <c r="A14964" s="17">
        <v>5.010002E8</v>
      </c>
      <c r="B14964" s="17">
        <v>8600102.0</v>
      </c>
    </row>
    <row r="14965">
      <c r="A14965" s="17">
        <v>5.010002E8</v>
      </c>
      <c r="B14965" s="17">
        <v>8600200.0</v>
      </c>
    </row>
    <row r="14966">
      <c r="A14966" s="17">
        <v>5.010002E8</v>
      </c>
      <c r="B14966" s="17">
        <v>8600201.0</v>
      </c>
    </row>
    <row r="14967">
      <c r="A14967" s="17">
        <v>5.010002E8</v>
      </c>
      <c r="B14967" s="17">
        <v>8600202.0</v>
      </c>
    </row>
    <row r="14968">
      <c r="A14968" s="17">
        <v>5.010002E8</v>
      </c>
      <c r="B14968" s="17">
        <v>8610300.0</v>
      </c>
    </row>
    <row r="14969">
      <c r="A14969" s="17">
        <v>5.010002E8</v>
      </c>
      <c r="B14969" s="17">
        <v>8610400.0</v>
      </c>
    </row>
    <row r="14970">
      <c r="A14970" s="17">
        <v>5.010002E8</v>
      </c>
      <c r="B14970" s="17">
        <v>8610500.0</v>
      </c>
    </row>
    <row r="14971">
      <c r="A14971" s="17">
        <v>5.010002E8</v>
      </c>
      <c r="B14971" s="17">
        <v>8610600.0</v>
      </c>
    </row>
    <row r="14972">
      <c r="A14972" s="17">
        <v>5.010002E8</v>
      </c>
      <c r="B14972" s="17">
        <v>8610700.0</v>
      </c>
    </row>
    <row r="14973">
      <c r="A14973" s="17">
        <v>5.010002E8</v>
      </c>
      <c r="B14973" s="17">
        <v>8610710.0</v>
      </c>
    </row>
    <row r="14974">
      <c r="A14974" s="17">
        <v>5.010002E8</v>
      </c>
      <c r="B14974" s="17">
        <v>8610720.0</v>
      </c>
    </row>
    <row r="14975">
      <c r="A14975" s="17">
        <v>5.010002E8</v>
      </c>
      <c r="B14975" s="17">
        <v>8620000.0</v>
      </c>
    </row>
    <row r="14976">
      <c r="A14976" s="17">
        <v>5.010002E8</v>
      </c>
      <c r="B14976" s="17">
        <v>8620010.0</v>
      </c>
    </row>
    <row r="14977">
      <c r="A14977" s="17">
        <v>5.010002E8</v>
      </c>
      <c r="B14977" s="17">
        <v>8620020.0</v>
      </c>
    </row>
    <row r="14978">
      <c r="A14978" s="17">
        <v>5.010002E8</v>
      </c>
      <c r="B14978" s="17">
        <v>8620100.0</v>
      </c>
    </row>
    <row r="14979">
      <c r="A14979" s="17">
        <v>5.010002E8</v>
      </c>
      <c r="B14979" s="17">
        <v>8620110.0</v>
      </c>
    </row>
    <row r="14980">
      <c r="A14980" s="17">
        <v>5.010002E8</v>
      </c>
      <c r="B14980" s="17">
        <v>8620120.0</v>
      </c>
    </row>
    <row r="14981">
      <c r="A14981" s="17">
        <v>5.010002E8</v>
      </c>
      <c r="B14981" s="17">
        <v>8630000.0</v>
      </c>
    </row>
    <row r="14982">
      <c r="A14982" s="17">
        <v>5.010002E8</v>
      </c>
      <c r="B14982" s="17">
        <v>8630000.0</v>
      </c>
    </row>
    <row r="14983">
      <c r="A14983" s="17">
        <v>5.010002E8</v>
      </c>
      <c r="B14983" s="17">
        <v>8630000.0</v>
      </c>
    </row>
    <row r="14984">
      <c r="A14984" s="17">
        <v>5.010002E8</v>
      </c>
      <c r="B14984" s="17">
        <v>8630100.0</v>
      </c>
    </row>
    <row r="14985">
      <c r="A14985" s="17">
        <v>5.010002E8</v>
      </c>
      <c r="B14985" s="17">
        <v>8630100.0</v>
      </c>
    </row>
    <row r="14986">
      <c r="A14986" s="17">
        <v>5.010002E8</v>
      </c>
      <c r="B14986" s="17">
        <v>8630100.0</v>
      </c>
    </row>
    <row r="14987">
      <c r="A14987" s="17">
        <v>5.010002E8</v>
      </c>
      <c r="B14987" s="17">
        <v>8630200.0</v>
      </c>
    </row>
    <row r="14988">
      <c r="A14988" s="17">
        <v>5.010002E8</v>
      </c>
      <c r="B14988" s="17">
        <v>8630300.0</v>
      </c>
    </row>
    <row r="14989">
      <c r="A14989" s="17">
        <v>5.010002E8</v>
      </c>
      <c r="B14989" s="17">
        <v>8630400.0</v>
      </c>
    </row>
    <row r="14990">
      <c r="A14990" s="17">
        <v>5.010002E8</v>
      </c>
      <c r="B14990" s="17">
        <v>8630500.0</v>
      </c>
    </row>
    <row r="14991">
      <c r="A14991" s="17">
        <v>5.010002E8</v>
      </c>
      <c r="B14991" s="17">
        <v>8630600.0</v>
      </c>
    </row>
    <row r="14992">
      <c r="A14992" s="17">
        <v>5.010002E8</v>
      </c>
      <c r="B14992" s="17">
        <v>8630700.0</v>
      </c>
    </row>
    <row r="14993">
      <c r="A14993" s="17">
        <v>5.010002E8</v>
      </c>
      <c r="B14993" s="17">
        <v>8630800.0</v>
      </c>
    </row>
    <row r="14994">
      <c r="A14994" s="17">
        <v>5.010002E8</v>
      </c>
      <c r="B14994" s="17">
        <v>8652000.0</v>
      </c>
    </row>
    <row r="14995">
      <c r="A14995" s="17">
        <v>5.010002E8</v>
      </c>
      <c r="B14995" s="17">
        <v>8652010.0</v>
      </c>
    </row>
    <row r="14996">
      <c r="A14996" s="17">
        <v>5.010002E8</v>
      </c>
      <c r="B14996" s="17">
        <v>8652020.0</v>
      </c>
    </row>
    <row r="14997">
      <c r="A14997" s="17">
        <v>5.010002E8</v>
      </c>
      <c r="B14997" s="17">
        <v>8652100.0</v>
      </c>
    </row>
    <row r="14998">
      <c r="A14998" s="17">
        <v>5.010002E8</v>
      </c>
      <c r="B14998" s="17">
        <v>8652110.0</v>
      </c>
    </row>
    <row r="14999">
      <c r="A14999" s="17">
        <v>5.010002E8</v>
      </c>
      <c r="B14999" s="17">
        <v>8652120.0</v>
      </c>
    </row>
    <row r="15000">
      <c r="A15000" s="17">
        <v>5.010002E8</v>
      </c>
      <c r="B15000" s="17">
        <v>8660000.0</v>
      </c>
    </row>
    <row r="15001">
      <c r="A15001" s="17">
        <v>5.010002E8</v>
      </c>
      <c r="B15001" s="17">
        <v>8660001.0</v>
      </c>
    </row>
    <row r="15002">
      <c r="A15002" s="17">
        <v>5.010002E8</v>
      </c>
      <c r="B15002" s="17">
        <v>8660002.0</v>
      </c>
    </row>
    <row r="15003">
      <c r="A15003" s="17">
        <v>5.010002E8</v>
      </c>
      <c r="B15003" s="17">
        <v>8660100.0</v>
      </c>
    </row>
    <row r="15004">
      <c r="A15004" s="17">
        <v>5.010002E8</v>
      </c>
      <c r="B15004" s="17">
        <v>8660101.0</v>
      </c>
    </row>
    <row r="15005">
      <c r="A15005" s="17">
        <v>5.010002E8</v>
      </c>
      <c r="B15005" s="17">
        <v>8660102.0</v>
      </c>
    </row>
    <row r="15006">
      <c r="A15006" s="17">
        <v>5.010002E8</v>
      </c>
      <c r="B15006" s="17">
        <v>8670000.0</v>
      </c>
    </row>
    <row r="15007">
      <c r="A15007" s="17">
        <v>5.010002E8</v>
      </c>
      <c r="B15007" s="17">
        <v>8670001.0</v>
      </c>
    </row>
    <row r="15008">
      <c r="A15008" s="17">
        <v>5.010002E8</v>
      </c>
      <c r="B15008" s="17">
        <v>8670002.0</v>
      </c>
    </row>
    <row r="15009">
      <c r="A15009" s="17">
        <v>5.010002E8</v>
      </c>
      <c r="B15009" s="17">
        <v>8670100.0</v>
      </c>
    </row>
    <row r="15010">
      <c r="A15010" s="17">
        <v>5.010002E8</v>
      </c>
      <c r="B15010" s="17">
        <v>8670101.0</v>
      </c>
    </row>
    <row r="15011">
      <c r="A15011" s="17">
        <v>5.010002E8</v>
      </c>
      <c r="B15011" s="17">
        <v>8670102.0</v>
      </c>
    </row>
    <row r="15012">
      <c r="A15012" s="17">
        <v>5.010002E8</v>
      </c>
      <c r="B15012" s="17">
        <v>8690000.0</v>
      </c>
    </row>
    <row r="15013">
      <c r="A15013" s="17">
        <v>5.010002E8</v>
      </c>
      <c r="B15013" s="17">
        <v>8690100.0</v>
      </c>
    </row>
    <row r="15014">
      <c r="A15014" s="17">
        <v>5.010002E8</v>
      </c>
      <c r="B15014" s="17">
        <v>8690200.0</v>
      </c>
    </row>
    <row r="15015">
      <c r="A15015" s="17">
        <v>5.010002E8</v>
      </c>
      <c r="B15015" s="17">
        <v>8690300.0</v>
      </c>
    </row>
    <row r="15016">
      <c r="A15016" s="17">
        <v>5.010002E8</v>
      </c>
      <c r="B15016" s="17">
        <v>8690400.0</v>
      </c>
    </row>
    <row r="15017">
      <c r="A15017" s="17">
        <v>5.010002E8</v>
      </c>
      <c r="B15017" s="17">
        <v>8320500.0</v>
      </c>
    </row>
    <row r="15018">
      <c r="A15018" s="17">
        <v>5.010002E8</v>
      </c>
      <c r="B15018" s="17">
        <v>8320510.0</v>
      </c>
    </row>
    <row r="15019">
      <c r="A15019" s="17">
        <v>5.010002E8</v>
      </c>
      <c r="B15019" s="17">
        <v>8320520.0</v>
      </c>
    </row>
    <row r="15020">
      <c r="A15020" s="17">
        <v>5.010002E8</v>
      </c>
      <c r="B15020" s="17">
        <v>8320600.0</v>
      </c>
    </row>
    <row r="15021">
      <c r="A15021" s="17">
        <v>5.010002E8</v>
      </c>
      <c r="B15021" s="17">
        <v>8320610.0</v>
      </c>
    </row>
    <row r="15022">
      <c r="A15022" s="17">
        <v>5.010002E8</v>
      </c>
      <c r="B15022" s="17">
        <v>8320620.0</v>
      </c>
    </row>
    <row r="15023">
      <c r="A15023" s="17">
        <v>5.010002E8</v>
      </c>
      <c r="B15023" s="17">
        <v>8320700.0</v>
      </c>
    </row>
    <row r="15024">
      <c r="A15024" s="17">
        <v>5.010002E8</v>
      </c>
      <c r="B15024" s="17">
        <v>8320710.0</v>
      </c>
    </row>
    <row r="15025">
      <c r="A15025" s="17">
        <v>5.010002E8</v>
      </c>
      <c r="B15025" s="17">
        <v>8320720.0</v>
      </c>
    </row>
    <row r="15026">
      <c r="A15026" s="17">
        <v>5.011E8</v>
      </c>
      <c r="B15026" s="17">
        <v>0.0</v>
      </c>
    </row>
    <row r="15027">
      <c r="A15027" s="17">
        <v>5.011E8</v>
      </c>
      <c r="B15027" s="17">
        <v>8100100.0</v>
      </c>
    </row>
    <row r="15028">
      <c r="A15028" s="17">
        <v>5.011E8</v>
      </c>
      <c r="B15028" s="17">
        <v>8100101.0</v>
      </c>
    </row>
    <row r="15029">
      <c r="A15029" s="17">
        <v>5.011E8</v>
      </c>
      <c r="B15029" s="17">
        <v>8100102.0</v>
      </c>
    </row>
    <row r="15030">
      <c r="A15030" s="17">
        <v>5.011E8</v>
      </c>
      <c r="B15030" s="17">
        <v>8100200.0</v>
      </c>
    </row>
    <row r="15031">
      <c r="A15031" s="17">
        <v>5.011E8</v>
      </c>
      <c r="B15031" s="17">
        <v>8100201.0</v>
      </c>
    </row>
    <row r="15032">
      <c r="A15032" s="17">
        <v>5.011E8</v>
      </c>
      <c r="B15032" s="17">
        <v>8100202.0</v>
      </c>
    </row>
    <row r="15033">
      <c r="A15033" s="17">
        <v>5.011E8</v>
      </c>
      <c r="B15033" s="17">
        <v>8100300.0</v>
      </c>
    </row>
    <row r="15034">
      <c r="A15034" s="17">
        <v>5.011E8</v>
      </c>
      <c r="B15034" s="17">
        <v>8100301.0</v>
      </c>
    </row>
    <row r="15035">
      <c r="A15035" s="17">
        <v>5.011E8</v>
      </c>
      <c r="B15035" s="17">
        <v>8100302.0</v>
      </c>
    </row>
    <row r="15036">
      <c r="A15036" s="17">
        <v>5.011E8</v>
      </c>
      <c r="B15036" s="17">
        <v>8100400.0</v>
      </c>
    </row>
    <row r="15037">
      <c r="A15037" s="17">
        <v>5.011E8</v>
      </c>
      <c r="B15037" s="17">
        <v>8100401.0</v>
      </c>
    </row>
    <row r="15038">
      <c r="A15038" s="17">
        <v>5.011E8</v>
      </c>
      <c r="B15038" s="17">
        <v>8100402.0</v>
      </c>
    </row>
    <row r="15039">
      <c r="A15039" s="17">
        <v>5.011E8</v>
      </c>
      <c r="B15039" s="17">
        <v>8130000.0</v>
      </c>
    </row>
    <row r="15040">
      <c r="A15040" s="17">
        <v>5.011E8</v>
      </c>
      <c r="B15040" s="17">
        <v>8130001.0</v>
      </c>
    </row>
    <row r="15041">
      <c r="A15041" s="17">
        <v>5.011E8</v>
      </c>
      <c r="B15041" s="17">
        <v>8130002.0</v>
      </c>
    </row>
    <row r="15042">
      <c r="A15042" s="17">
        <v>5.011E8</v>
      </c>
      <c r="B15042" s="17">
        <v>8140000.0</v>
      </c>
    </row>
    <row r="15043">
      <c r="A15043" s="17">
        <v>5.011E8</v>
      </c>
      <c r="B15043" s="17">
        <v>8140001.0</v>
      </c>
    </row>
    <row r="15044">
      <c r="A15044" s="17">
        <v>5.011E8</v>
      </c>
      <c r="B15044" s="17">
        <v>8140002.0</v>
      </c>
    </row>
    <row r="15045">
      <c r="A15045" s="17">
        <v>5.011E8</v>
      </c>
      <c r="B15045" s="17">
        <v>8200100.0</v>
      </c>
    </row>
    <row r="15046">
      <c r="A15046" s="17">
        <v>5.011E8</v>
      </c>
      <c r="B15046" s="17">
        <v>8200101.0</v>
      </c>
    </row>
    <row r="15047">
      <c r="A15047" s="17">
        <v>5.011E8</v>
      </c>
      <c r="B15047" s="17">
        <v>8200102.0</v>
      </c>
    </row>
    <row r="15048">
      <c r="A15048" s="17">
        <v>5.011E8</v>
      </c>
      <c r="B15048" s="17">
        <v>8200200.0</v>
      </c>
    </row>
    <row r="15049">
      <c r="A15049" s="17">
        <v>5.011E8</v>
      </c>
      <c r="B15049" s="17">
        <v>8200201.0</v>
      </c>
    </row>
    <row r="15050">
      <c r="A15050" s="17">
        <v>5.011E8</v>
      </c>
      <c r="B15050" s="17">
        <v>8200202.0</v>
      </c>
    </row>
    <row r="15051">
      <c r="A15051" s="17">
        <v>5.011E8</v>
      </c>
      <c r="B15051" s="17">
        <v>8200300.0</v>
      </c>
    </row>
    <row r="15052">
      <c r="A15052" s="17">
        <v>5.011E8</v>
      </c>
      <c r="B15052" s="17">
        <v>8200301.0</v>
      </c>
    </row>
    <row r="15053">
      <c r="A15053" s="17">
        <v>5.011E8</v>
      </c>
      <c r="B15053" s="17">
        <v>8200302.0</v>
      </c>
    </row>
    <row r="15054">
      <c r="A15054" s="17">
        <v>5.011E8</v>
      </c>
      <c r="B15054" s="17">
        <v>8200400.0</v>
      </c>
    </row>
    <row r="15055">
      <c r="A15055" s="17">
        <v>5.011E8</v>
      </c>
      <c r="B15055" s="17">
        <v>8200401.0</v>
      </c>
    </row>
    <row r="15056">
      <c r="A15056" s="17">
        <v>5.011E8</v>
      </c>
      <c r="B15056" s="17">
        <v>8200402.0</v>
      </c>
    </row>
    <row r="15057">
      <c r="A15057" s="17">
        <v>5.011E8</v>
      </c>
      <c r="B15057" s="17">
        <v>8210000.0</v>
      </c>
    </row>
    <row r="15058">
      <c r="A15058" s="17">
        <v>5.011E8</v>
      </c>
      <c r="B15058" s="17">
        <v>8210001.0</v>
      </c>
    </row>
    <row r="15059">
      <c r="A15059" s="17">
        <v>5.011E8</v>
      </c>
      <c r="B15059" s="17">
        <v>8210002.0</v>
      </c>
    </row>
    <row r="15060">
      <c r="A15060" s="17">
        <v>5.011E8</v>
      </c>
      <c r="B15060" s="17">
        <v>8210100.0</v>
      </c>
    </row>
    <row r="15061">
      <c r="A15061" s="17">
        <v>5.011E8</v>
      </c>
      <c r="B15061" s="17">
        <v>8210101.0</v>
      </c>
    </row>
    <row r="15062">
      <c r="A15062" s="17">
        <v>5.011E8</v>
      </c>
      <c r="B15062" s="17">
        <v>8210102.0</v>
      </c>
    </row>
    <row r="15063">
      <c r="A15063" s="17">
        <v>5.011E8</v>
      </c>
      <c r="B15063" s="17">
        <v>8210200.0</v>
      </c>
    </row>
    <row r="15064">
      <c r="A15064" s="17">
        <v>5.011E8</v>
      </c>
      <c r="B15064" s="17">
        <v>8210201.0</v>
      </c>
    </row>
    <row r="15065">
      <c r="A15065" s="17">
        <v>5.011E8</v>
      </c>
      <c r="B15065" s="17">
        <v>8210202.0</v>
      </c>
    </row>
    <row r="15066">
      <c r="A15066" s="17">
        <v>5.011E8</v>
      </c>
      <c r="B15066" s="17">
        <v>8210300.0</v>
      </c>
    </row>
    <row r="15067">
      <c r="A15067" s="17">
        <v>5.011E8</v>
      </c>
      <c r="B15067" s="17">
        <v>8210301.0</v>
      </c>
    </row>
    <row r="15068">
      <c r="A15068" s="17">
        <v>5.011E8</v>
      </c>
      <c r="B15068" s="17">
        <v>8210302.0</v>
      </c>
    </row>
    <row r="15069">
      <c r="A15069" s="17">
        <v>5.011E8</v>
      </c>
      <c r="B15069" s="17">
        <v>8210400.0</v>
      </c>
    </row>
    <row r="15070">
      <c r="A15070" s="17">
        <v>5.011E8</v>
      </c>
      <c r="B15070" s="17">
        <v>8210401.0</v>
      </c>
    </row>
    <row r="15071">
      <c r="A15071" s="17">
        <v>5.011E8</v>
      </c>
      <c r="B15071" s="17">
        <v>8210402.0</v>
      </c>
    </row>
    <row r="15072">
      <c r="A15072" s="17">
        <v>5.011E8</v>
      </c>
      <c r="B15072" s="17">
        <v>8210500.0</v>
      </c>
    </row>
    <row r="15073">
      <c r="A15073" s="17">
        <v>5.011E8</v>
      </c>
      <c r="B15073" s="17">
        <v>8210501.0</v>
      </c>
    </row>
    <row r="15074">
      <c r="A15074" s="17">
        <v>5.011E8</v>
      </c>
      <c r="B15074" s="17">
        <v>8210502.0</v>
      </c>
    </row>
    <row r="15075">
      <c r="A15075" s="17">
        <v>5.011E8</v>
      </c>
      <c r="B15075" s="17">
        <v>8210600.0</v>
      </c>
    </row>
    <row r="15076">
      <c r="A15076" s="17">
        <v>5.011E8</v>
      </c>
      <c r="B15076" s="17">
        <v>8210601.0</v>
      </c>
    </row>
    <row r="15077">
      <c r="A15077" s="17">
        <v>5.011E8</v>
      </c>
      <c r="B15077" s="17">
        <v>8210602.0</v>
      </c>
    </row>
    <row r="15078">
      <c r="A15078" s="17">
        <v>5.011E8</v>
      </c>
      <c r="B15078" s="17">
        <v>8220000.0</v>
      </c>
    </row>
    <row r="15079">
      <c r="A15079" s="17">
        <v>5.011E8</v>
      </c>
      <c r="B15079" s="17">
        <v>8220001.0</v>
      </c>
    </row>
    <row r="15080">
      <c r="A15080" s="17">
        <v>5.011E8</v>
      </c>
      <c r="B15080" s="17">
        <v>8220002.0</v>
      </c>
    </row>
    <row r="15081">
      <c r="A15081" s="17">
        <v>5.011E8</v>
      </c>
      <c r="B15081" s="17">
        <v>8300000.0</v>
      </c>
    </row>
    <row r="15082">
      <c r="A15082" s="17">
        <v>5.011E8</v>
      </c>
      <c r="B15082" s="17">
        <v>8300001.0</v>
      </c>
    </row>
    <row r="15083">
      <c r="A15083" s="17">
        <v>5.011E8</v>
      </c>
      <c r="B15083" s="17">
        <v>8300002.0</v>
      </c>
    </row>
    <row r="15084">
      <c r="A15084" s="17">
        <v>5.011E8</v>
      </c>
      <c r="B15084" s="17">
        <v>8310000.0</v>
      </c>
    </row>
    <row r="15085">
      <c r="A15085" s="17">
        <v>5.011E8</v>
      </c>
      <c r="B15085" s="17">
        <v>8310001.0</v>
      </c>
    </row>
    <row r="15086">
      <c r="A15086" s="17">
        <v>5.011E8</v>
      </c>
      <c r="B15086" s="17">
        <v>8310002.0</v>
      </c>
    </row>
    <row r="15087">
      <c r="A15087" s="17">
        <v>5.011E8</v>
      </c>
      <c r="B15087" s="17">
        <v>8320000.0</v>
      </c>
    </row>
    <row r="15088">
      <c r="A15088" s="17">
        <v>5.011E8</v>
      </c>
      <c r="B15088" s="17">
        <v>8320001.0</v>
      </c>
    </row>
    <row r="15089">
      <c r="A15089" s="17">
        <v>5.011E8</v>
      </c>
      <c r="B15089" s="17">
        <v>8320002.0</v>
      </c>
    </row>
    <row r="15090">
      <c r="A15090" s="17">
        <v>5.011E8</v>
      </c>
      <c r="B15090" s="17">
        <v>8320100.0</v>
      </c>
    </row>
    <row r="15091">
      <c r="A15091" s="17">
        <v>5.011E8</v>
      </c>
      <c r="B15091" s="17">
        <v>8320101.0</v>
      </c>
    </row>
    <row r="15092">
      <c r="A15092" s="17">
        <v>5.011E8</v>
      </c>
      <c r="B15092" s="17">
        <v>8320102.0</v>
      </c>
    </row>
    <row r="15093">
      <c r="A15093" s="17">
        <v>5.011E8</v>
      </c>
      <c r="B15093" s="17">
        <v>8320300.0</v>
      </c>
    </row>
    <row r="15094">
      <c r="A15094" s="17">
        <v>5.011E8</v>
      </c>
      <c r="B15094" s="17">
        <v>8320301.0</v>
      </c>
    </row>
    <row r="15095">
      <c r="A15095" s="17">
        <v>5.011E8</v>
      </c>
      <c r="B15095" s="17">
        <v>8320302.0</v>
      </c>
    </row>
    <row r="15096">
      <c r="A15096" s="17">
        <v>5.011E8</v>
      </c>
      <c r="B15096" s="17">
        <v>8320400.0</v>
      </c>
    </row>
    <row r="15097">
      <c r="A15097" s="17">
        <v>5.011E8</v>
      </c>
      <c r="B15097" s="17">
        <v>8320410.0</v>
      </c>
    </row>
    <row r="15098">
      <c r="A15098" s="17">
        <v>5.011E8</v>
      </c>
      <c r="B15098" s="17">
        <v>8320420.0</v>
      </c>
    </row>
    <row r="15099">
      <c r="A15099" s="17">
        <v>5.011E8</v>
      </c>
      <c r="B15099" s="17">
        <v>8330000.0</v>
      </c>
    </row>
    <row r="15100">
      <c r="A15100" s="17">
        <v>5.011E8</v>
      </c>
      <c r="B15100" s="17">
        <v>8330001.0</v>
      </c>
    </row>
    <row r="15101">
      <c r="A15101" s="17">
        <v>5.011E8</v>
      </c>
      <c r="B15101" s="17">
        <v>8330002.0</v>
      </c>
    </row>
    <row r="15102">
      <c r="A15102" s="17">
        <v>5.011E8</v>
      </c>
      <c r="B15102" s="17">
        <v>8330100.0</v>
      </c>
    </row>
    <row r="15103">
      <c r="A15103" s="17">
        <v>5.011E8</v>
      </c>
      <c r="B15103" s="17">
        <v>8330101.0</v>
      </c>
    </row>
    <row r="15104">
      <c r="A15104" s="17">
        <v>5.011E8</v>
      </c>
      <c r="B15104" s="17">
        <v>8330102.0</v>
      </c>
    </row>
    <row r="15105">
      <c r="A15105" s="17">
        <v>5.011E8</v>
      </c>
      <c r="B15105" s="17">
        <v>8330200.0</v>
      </c>
    </row>
    <row r="15106">
      <c r="A15106" s="17">
        <v>5.011E8</v>
      </c>
      <c r="B15106" s="17">
        <v>8330201.0</v>
      </c>
    </row>
    <row r="15107">
      <c r="A15107" s="17">
        <v>5.011E8</v>
      </c>
      <c r="B15107" s="17">
        <v>8330202.0</v>
      </c>
    </row>
    <row r="15108">
      <c r="A15108" s="17">
        <v>5.011E8</v>
      </c>
      <c r="B15108" s="17">
        <v>8330300.0</v>
      </c>
    </row>
    <row r="15109">
      <c r="A15109" s="17">
        <v>5.011E8</v>
      </c>
      <c r="B15109" s="17">
        <v>8330301.0</v>
      </c>
    </row>
    <row r="15110">
      <c r="A15110" s="17">
        <v>5.011E8</v>
      </c>
      <c r="B15110" s="17">
        <v>8330302.0</v>
      </c>
    </row>
    <row r="15111">
      <c r="A15111" s="17">
        <v>5.011E8</v>
      </c>
      <c r="B15111" s="17">
        <v>8330400.0</v>
      </c>
    </row>
    <row r="15112">
      <c r="A15112" s="17">
        <v>5.011E8</v>
      </c>
      <c r="B15112" s="17">
        <v>8330401.0</v>
      </c>
    </row>
    <row r="15113">
      <c r="A15113" s="17">
        <v>5.011E8</v>
      </c>
      <c r="B15113" s="17">
        <v>8330600.0</v>
      </c>
    </row>
    <row r="15114">
      <c r="A15114" s="17">
        <v>5.011E8</v>
      </c>
      <c r="B15114" s="17">
        <v>8330601.0</v>
      </c>
    </row>
    <row r="15115">
      <c r="A15115" s="17">
        <v>5.011E8</v>
      </c>
      <c r="B15115" s="17">
        <v>8330602.0</v>
      </c>
    </row>
    <row r="15116">
      <c r="A15116" s="17">
        <v>5.011E8</v>
      </c>
      <c r="B15116" s="17">
        <v>8330900.0</v>
      </c>
    </row>
    <row r="15117">
      <c r="A15117" s="17">
        <v>5.011E8</v>
      </c>
      <c r="B15117" s="17">
        <v>8330910.0</v>
      </c>
    </row>
    <row r="15118">
      <c r="A15118" s="17">
        <v>5.011E8</v>
      </c>
      <c r="B15118" s="17">
        <v>8330920.0</v>
      </c>
    </row>
    <row r="15119">
      <c r="A15119" s="17">
        <v>5.011E8</v>
      </c>
      <c r="B15119" s="17">
        <v>8340000.0</v>
      </c>
    </row>
    <row r="15120">
      <c r="A15120" s="17">
        <v>5.011E8</v>
      </c>
      <c r="B15120" s="17">
        <v>8340001.0</v>
      </c>
    </row>
    <row r="15121">
      <c r="A15121" s="17">
        <v>5.011E8</v>
      </c>
      <c r="B15121" s="17">
        <v>8340002.0</v>
      </c>
    </row>
    <row r="15122">
      <c r="A15122" s="17">
        <v>5.011E8</v>
      </c>
      <c r="B15122" s="17">
        <v>8340100.0</v>
      </c>
    </row>
    <row r="15123">
      <c r="A15123" s="17">
        <v>5.011E8</v>
      </c>
      <c r="B15123" s="17">
        <v>8340101.0</v>
      </c>
    </row>
    <row r="15124">
      <c r="A15124" s="17">
        <v>5.011E8</v>
      </c>
      <c r="B15124" s="17">
        <v>8340102.0</v>
      </c>
    </row>
    <row r="15125">
      <c r="A15125" s="17">
        <v>5.011E8</v>
      </c>
      <c r="B15125" s="17">
        <v>8350000.0</v>
      </c>
    </row>
    <row r="15126">
      <c r="A15126" s="17">
        <v>5.011E8</v>
      </c>
      <c r="B15126" s="17">
        <v>8350001.0</v>
      </c>
    </row>
    <row r="15127">
      <c r="A15127" s="17">
        <v>5.011E8</v>
      </c>
      <c r="B15127" s="17">
        <v>8350002.0</v>
      </c>
    </row>
    <row r="15128">
      <c r="A15128" s="17">
        <v>5.011E8</v>
      </c>
      <c r="B15128" s="17">
        <v>8350200.0</v>
      </c>
    </row>
    <row r="15129">
      <c r="A15129" s="17">
        <v>5.011E8</v>
      </c>
      <c r="B15129" s="17">
        <v>8350201.0</v>
      </c>
    </row>
    <row r="15130">
      <c r="A15130" s="17">
        <v>5.011E8</v>
      </c>
      <c r="B15130" s="17">
        <v>8350202.0</v>
      </c>
    </row>
    <row r="15131">
      <c r="A15131" s="17">
        <v>5.011E8</v>
      </c>
      <c r="B15131" s="17">
        <v>8420000.0</v>
      </c>
    </row>
    <row r="15132">
      <c r="A15132" s="17">
        <v>5.011E8</v>
      </c>
      <c r="B15132" s="17">
        <v>8420001.0</v>
      </c>
    </row>
    <row r="15133">
      <c r="A15133" s="17">
        <v>5.011E8</v>
      </c>
      <c r="B15133" s="17">
        <v>8420002.0</v>
      </c>
    </row>
    <row r="15134">
      <c r="A15134" s="17">
        <v>5.011E8</v>
      </c>
      <c r="B15134" s="17">
        <v>8450000.0</v>
      </c>
    </row>
    <row r="15135">
      <c r="A15135" s="17">
        <v>5.011E8</v>
      </c>
      <c r="B15135" s="17">
        <v>8460100.0</v>
      </c>
    </row>
    <row r="15136">
      <c r="A15136" s="17">
        <v>5.011E8</v>
      </c>
      <c r="B15136" s="17">
        <v>8460300.0</v>
      </c>
    </row>
    <row r="15137">
      <c r="A15137" s="17">
        <v>5.011E8</v>
      </c>
      <c r="B15137" s="17">
        <v>8460500.0</v>
      </c>
    </row>
    <row r="15138">
      <c r="A15138" s="17">
        <v>5.011E8</v>
      </c>
      <c r="B15138" s="17">
        <v>8510000.0</v>
      </c>
    </row>
    <row r="15139">
      <c r="A15139" s="17">
        <v>5.011E8</v>
      </c>
      <c r="B15139" s="17">
        <v>8510001.0</v>
      </c>
    </row>
    <row r="15140">
      <c r="A15140" s="17">
        <v>5.011E8</v>
      </c>
      <c r="B15140" s="17">
        <v>8510002.0</v>
      </c>
    </row>
    <row r="15141">
      <c r="A15141" s="17">
        <v>5.011E8</v>
      </c>
      <c r="B15141" s="17">
        <v>8520000.0</v>
      </c>
    </row>
    <row r="15142">
      <c r="A15142" s="17">
        <v>5.011E8</v>
      </c>
      <c r="B15142" s="17">
        <v>8520001.0</v>
      </c>
    </row>
    <row r="15143">
      <c r="A15143" s="17">
        <v>5.011E8</v>
      </c>
      <c r="B15143" s="17">
        <v>8520002.0</v>
      </c>
    </row>
    <row r="15144">
      <c r="A15144" s="17">
        <v>5.011E8</v>
      </c>
      <c r="B15144" s="17">
        <v>8530000.0</v>
      </c>
    </row>
    <row r="15145">
      <c r="A15145" s="17">
        <v>5.011E8</v>
      </c>
      <c r="B15145" s="17">
        <v>8530100.0</v>
      </c>
    </row>
    <row r="15146">
      <c r="A15146" s="17">
        <v>5.011E8</v>
      </c>
      <c r="B15146" s="17">
        <v>8540000.0</v>
      </c>
    </row>
    <row r="15147">
      <c r="A15147" s="17">
        <v>5.011E8</v>
      </c>
      <c r="B15147" s="17">
        <v>8600100.0</v>
      </c>
    </row>
    <row r="15148">
      <c r="A15148" s="17">
        <v>5.011E8</v>
      </c>
      <c r="B15148" s="17">
        <v>8600101.0</v>
      </c>
    </row>
    <row r="15149">
      <c r="A15149" s="17">
        <v>5.011E8</v>
      </c>
      <c r="B15149" s="17">
        <v>8600102.0</v>
      </c>
    </row>
    <row r="15150">
      <c r="A15150" s="17">
        <v>5.011E8</v>
      </c>
      <c r="B15150" s="17">
        <v>8600200.0</v>
      </c>
    </row>
    <row r="15151">
      <c r="A15151" s="17">
        <v>5.011E8</v>
      </c>
      <c r="B15151" s="17">
        <v>8600201.0</v>
      </c>
    </row>
    <row r="15152">
      <c r="A15152" s="17">
        <v>5.011E8</v>
      </c>
      <c r="B15152" s="17">
        <v>8600202.0</v>
      </c>
    </row>
    <row r="15153">
      <c r="A15153" s="17">
        <v>5.011E8</v>
      </c>
      <c r="B15153" s="17">
        <v>8610300.0</v>
      </c>
    </row>
    <row r="15154">
      <c r="A15154" s="17">
        <v>5.011E8</v>
      </c>
      <c r="B15154" s="17">
        <v>8610400.0</v>
      </c>
    </row>
    <row r="15155">
      <c r="A15155" s="17">
        <v>5.011E8</v>
      </c>
      <c r="B15155" s="17">
        <v>8610500.0</v>
      </c>
    </row>
    <row r="15156">
      <c r="A15156" s="17">
        <v>5.011E8</v>
      </c>
      <c r="B15156" s="17">
        <v>8610600.0</v>
      </c>
    </row>
    <row r="15157">
      <c r="A15157" s="17">
        <v>5.011E8</v>
      </c>
      <c r="B15157" s="17">
        <v>8610700.0</v>
      </c>
    </row>
    <row r="15158">
      <c r="A15158" s="17">
        <v>5.011E8</v>
      </c>
      <c r="B15158" s="17">
        <v>8610710.0</v>
      </c>
    </row>
    <row r="15159">
      <c r="A15159" s="17">
        <v>5.011E8</v>
      </c>
      <c r="B15159" s="17">
        <v>8610720.0</v>
      </c>
    </row>
    <row r="15160">
      <c r="A15160" s="17">
        <v>5.011E8</v>
      </c>
      <c r="B15160" s="17">
        <v>8620000.0</v>
      </c>
    </row>
    <row r="15161">
      <c r="A15161" s="17">
        <v>5.011E8</v>
      </c>
      <c r="B15161" s="17">
        <v>8620010.0</v>
      </c>
    </row>
    <row r="15162">
      <c r="A15162" s="17">
        <v>5.011E8</v>
      </c>
      <c r="B15162" s="17">
        <v>8620020.0</v>
      </c>
    </row>
    <row r="15163">
      <c r="A15163" s="17">
        <v>5.011E8</v>
      </c>
      <c r="B15163" s="17">
        <v>8620100.0</v>
      </c>
    </row>
    <row r="15164">
      <c r="A15164" s="17">
        <v>5.011E8</v>
      </c>
      <c r="B15164" s="17">
        <v>8620110.0</v>
      </c>
    </row>
    <row r="15165">
      <c r="A15165" s="17">
        <v>5.011E8</v>
      </c>
      <c r="B15165" s="17">
        <v>8620120.0</v>
      </c>
    </row>
    <row r="15166">
      <c r="A15166" s="17">
        <v>5.011E8</v>
      </c>
      <c r="B15166" s="17">
        <v>8630000.0</v>
      </c>
    </row>
    <row r="15167">
      <c r="A15167" s="17">
        <v>5.011E8</v>
      </c>
      <c r="B15167" s="17">
        <v>8630000.0</v>
      </c>
    </row>
    <row r="15168">
      <c r="A15168" s="17">
        <v>5.011E8</v>
      </c>
      <c r="B15168" s="17">
        <v>8630000.0</v>
      </c>
    </row>
    <row r="15169">
      <c r="A15169" s="17">
        <v>5.011E8</v>
      </c>
      <c r="B15169" s="17">
        <v>8630100.0</v>
      </c>
    </row>
    <row r="15170">
      <c r="A15170" s="17">
        <v>5.011E8</v>
      </c>
      <c r="B15170" s="17">
        <v>8630100.0</v>
      </c>
    </row>
    <row r="15171">
      <c r="A15171" s="17">
        <v>5.011E8</v>
      </c>
      <c r="B15171" s="17">
        <v>8630100.0</v>
      </c>
    </row>
    <row r="15172">
      <c r="A15172" s="17">
        <v>5.011E8</v>
      </c>
      <c r="B15172" s="17">
        <v>8630200.0</v>
      </c>
    </row>
    <row r="15173">
      <c r="A15173" s="17">
        <v>5.011E8</v>
      </c>
      <c r="B15173" s="17">
        <v>8630300.0</v>
      </c>
    </row>
    <row r="15174">
      <c r="A15174" s="17">
        <v>5.011E8</v>
      </c>
      <c r="B15174" s="17">
        <v>8630400.0</v>
      </c>
    </row>
    <row r="15175">
      <c r="A15175" s="17">
        <v>5.011E8</v>
      </c>
      <c r="B15175" s="17">
        <v>8630500.0</v>
      </c>
    </row>
    <row r="15176">
      <c r="A15176" s="17">
        <v>5.011E8</v>
      </c>
      <c r="B15176" s="17">
        <v>8630600.0</v>
      </c>
    </row>
    <row r="15177">
      <c r="A15177" s="17">
        <v>5.011E8</v>
      </c>
      <c r="B15177" s="17">
        <v>8630700.0</v>
      </c>
    </row>
    <row r="15178">
      <c r="A15178" s="17">
        <v>5.011E8</v>
      </c>
      <c r="B15178" s="17">
        <v>8630800.0</v>
      </c>
    </row>
    <row r="15179">
      <c r="A15179" s="17">
        <v>5.011E8</v>
      </c>
      <c r="B15179" s="17">
        <v>8652000.0</v>
      </c>
    </row>
    <row r="15180">
      <c r="A15180" s="17">
        <v>5.011E8</v>
      </c>
      <c r="B15180" s="17">
        <v>8652010.0</v>
      </c>
    </row>
    <row r="15181">
      <c r="A15181" s="17">
        <v>5.011E8</v>
      </c>
      <c r="B15181" s="17">
        <v>8652020.0</v>
      </c>
    </row>
    <row r="15182">
      <c r="A15182" s="17">
        <v>5.011E8</v>
      </c>
      <c r="B15182" s="17">
        <v>8652100.0</v>
      </c>
    </row>
    <row r="15183">
      <c r="A15183" s="17">
        <v>5.011E8</v>
      </c>
      <c r="B15183" s="17">
        <v>8652110.0</v>
      </c>
    </row>
    <row r="15184">
      <c r="A15184" s="17">
        <v>5.011E8</v>
      </c>
      <c r="B15184" s="17">
        <v>8652120.0</v>
      </c>
    </row>
    <row r="15185">
      <c r="A15185" s="17">
        <v>5.011E8</v>
      </c>
      <c r="B15185" s="17">
        <v>8660000.0</v>
      </c>
    </row>
    <row r="15186">
      <c r="A15186" s="17">
        <v>5.011E8</v>
      </c>
      <c r="B15186" s="17">
        <v>8660001.0</v>
      </c>
    </row>
    <row r="15187">
      <c r="A15187" s="17">
        <v>5.011E8</v>
      </c>
      <c r="B15187" s="17">
        <v>8660002.0</v>
      </c>
    </row>
    <row r="15188">
      <c r="A15188" s="17">
        <v>5.011E8</v>
      </c>
      <c r="B15188" s="17">
        <v>8660100.0</v>
      </c>
    </row>
    <row r="15189">
      <c r="A15189" s="17">
        <v>5.011E8</v>
      </c>
      <c r="B15189" s="17">
        <v>8660101.0</v>
      </c>
    </row>
    <row r="15190">
      <c r="A15190" s="17">
        <v>5.011E8</v>
      </c>
      <c r="B15190" s="17">
        <v>8660102.0</v>
      </c>
    </row>
    <row r="15191">
      <c r="A15191" s="17">
        <v>5.011E8</v>
      </c>
      <c r="B15191" s="17">
        <v>8670000.0</v>
      </c>
    </row>
    <row r="15192">
      <c r="A15192" s="17">
        <v>5.011E8</v>
      </c>
      <c r="B15192" s="17">
        <v>8670001.0</v>
      </c>
    </row>
    <row r="15193">
      <c r="A15193" s="17">
        <v>5.011E8</v>
      </c>
      <c r="B15193" s="17">
        <v>8670002.0</v>
      </c>
    </row>
    <row r="15194">
      <c r="A15194" s="17">
        <v>5.011E8</v>
      </c>
      <c r="B15194" s="17">
        <v>8670100.0</v>
      </c>
    </row>
    <row r="15195">
      <c r="A15195" s="17">
        <v>5.011E8</v>
      </c>
      <c r="B15195" s="17">
        <v>8670101.0</v>
      </c>
    </row>
    <row r="15196">
      <c r="A15196" s="17">
        <v>5.011E8</v>
      </c>
      <c r="B15196" s="17">
        <v>8670102.0</v>
      </c>
    </row>
    <row r="15197">
      <c r="A15197" s="17">
        <v>5.011E8</v>
      </c>
      <c r="B15197" s="17">
        <v>8690000.0</v>
      </c>
    </row>
    <row r="15198">
      <c r="A15198" s="17">
        <v>5.011E8</v>
      </c>
      <c r="B15198" s="17">
        <v>8690100.0</v>
      </c>
    </row>
    <row r="15199">
      <c r="A15199" s="17">
        <v>5.011E8</v>
      </c>
      <c r="B15199" s="17">
        <v>8690200.0</v>
      </c>
    </row>
    <row r="15200">
      <c r="A15200" s="17">
        <v>5.011E8</v>
      </c>
      <c r="B15200" s="17">
        <v>8690300.0</v>
      </c>
    </row>
    <row r="15201">
      <c r="A15201" s="17">
        <v>5.011E8</v>
      </c>
      <c r="B15201" s="17">
        <v>8690400.0</v>
      </c>
    </row>
    <row r="15202">
      <c r="A15202" s="17">
        <v>5.011E8</v>
      </c>
      <c r="B15202" s="17">
        <v>8320500.0</v>
      </c>
    </row>
    <row r="15203">
      <c r="A15203" s="17">
        <v>5.011E8</v>
      </c>
      <c r="B15203" s="17">
        <v>8320510.0</v>
      </c>
    </row>
    <row r="15204">
      <c r="A15204" s="17">
        <v>5.011E8</v>
      </c>
      <c r="B15204" s="17">
        <v>8320520.0</v>
      </c>
    </row>
    <row r="15205">
      <c r="A15205" s="17">
        <v>5.011E8</v>
      </c>
      <c r="B15205" s="17">
        <v>8320600.0</v>
      </c>
    </row>
    <row r="15206">
      <c r="A15206" s="17">
        <v>5.011E8</v>
      </c>
      <c r="B15206" s="17">
        <v>8320610.0</v>
      </c>
    </row>
    <row r="15207">
      <c r="A15207" s="17">
        <v>5.011E8</v>
      </c>
      <c r="B15207" s="17">
        <v>8320620.0</v>
      </c>
    </row>
    <row r="15208">
      <c r="A15208" s="17">
        <v>5.011E8</v>
      </c>
      <c r="B15208" s="17">
        <v>8320700.0</v>
      </c>
    </row>
    <row r="15209">
      <c r="A15209" s="17">
        <v>5.011E8</v>
      </c>
      <c r="B15209" s="17">
        <v>8320710.0</v>
      </c>
    </row>
    <row r="15210">
      <c r="A15210" s="17">
        <v>5.011E8</v>
      </c>
      <c r="B15210" s="17">
        <v>8320720.0</v>
      </c>
    </row>
    <row r="15211">
      <c r="A15211" s="17">
        <v>5.011001E8</v>
      </c>
      <c r="B15211" s="17">
        <v>0.0</v>
      </c>
    </row>
    <row r="15212">
      <c r="A15212" s="17">
        <v>5.011001E8</v>
      </c>
      <c r="B15212" s="17">
        <v>8100100.0</v>
      </c>
    </row>
    <row r="15213">
      <c r="A15213" s="17">
        <v>5.011001E8</v>
      </c>
      <c r="B15213" s="17">
        <v>8100101.0</v>
      </c>
    </row>
    <row r="15214">
      <c r="A15214" s="17">
        <v>5.011001E8</v>
      </c>
      <c r="B15214" s="17">
        <v>8100102.0</v>
      </c>
    </row>
    <row r="15215">
      <c r="A15215" s="17">
        <v>5.011001E8</v>
      </c>
      <c r="B15215" s="17">
        <v>8100200.0</v>
      </c>
    </row>
    <row r="15216">
      <c r="A15216" s="17">
        <v>5.011001E8</v>
      </c>
      <c r="B15216" s="17">
        <v>8100201.0</v>
      </c>
    </row>
    <row r="15217">
      <c r="A15217" s="17">
        <v>5.011001E8</v>
      </c>
      <c r="B15217" s="17">
        <v>8100202.0</v>
      </c>
    </row>
    <row r="15218">
      <c r="A15218" s="17">
        <v>5.011001E8</v>
      </c>
      <c r="B15218" s="17">
        <v>8100300.0</v>
      </c>
    </row>
    <row r="15219">
      <c r="A15219" s="17">
        <v>5.011001E8</v>
      </c>
      <c r="B15219" s="17">
        <v>8100301.0</v>
      </c>
    </row>
    <row r="15220">
      <c r="A15220" s="17">
        <v>5.011001E8</v>
      </c>
      <c r="B15220" s="17">
        <v>8100302.0</v>
      </c>
    </row>
    <row r="15221">
      <c r="A15221" s="17">
        <v>5.011001E8</v>
      </c>
      <c r="B15221" s="17">
        <v>8100400.0</v>
      </c>
    </row>
    <row r="15222">
      <c r="A15222" s="17">
        <v>5.011001E8</v>
      </c>
      <c r="B15222" s="17">
        <v>8100401.0</v>
      </c>
    </row>
    <row r="15223">
      <c r="A15223" s="17">
        <v>5.011001E8</v>
      </c>
      <c r="B15223" s="17">
        <v>8100402.0</v>
      </c>
    </row>
    <row r="15224">
      <c r="A15224" s="17">
        <v>5.011001E8</v>
      </c>
      <c r="B15224" s="17">
        <v>8130000.0</v>
      </c>
    </row>
    <row r="15225">
      <c r="A15225" s="17">
        <v>5.011001E8</v>
      </c>
      <c r="B15225" s="17">
        <v>8130001.0</v>
      </c>
    </row>
    <row r="15226">
      <c r="A15226" s="17">
        <v>5.011001E8</v>
      </c>
      <c r="B15226" s="17">
        <v>8130002.0</v>
      </c>
    </row>
    <row r="15227">
      <c r="A15227" s="17">
        <v>5.011001E8</v>
      </c>
      <c r="B15227" s="17">
        <v>8140000.0</v>
      </c>
    </row>
    <row r="15228">
      <c r="A15228" s="17">
        <v>5.011001E8</v>
      </c>
      <c r="B15228" s="17">
        <v>8140001.0</v>
      </c>
    </row>
    <row r="15229">
      <c r="A15229" s="17">
        <v>5.011001E8</v>
      </c>
      <c r="B15229" s="17">
        <v>8140002.0</v>
      </c>
    </row>
    <row r="15230">
      <c r="A15230" s="17">
        <v>5.011001E8</v>
      </c>
      <c r="B15230" s="17">
        <v>8200100.0</v>
      </c>
    </row>
    <row r="15231">
      <c r="A15231" s="17">
        <v>5.011001E8</v>
      </c>
      <c r="B15231" s="17">
        <v>8200101.0</v>
      </c>
    </row>
    <row r="15232">
      <c r="A15232" s="17">
        <v>5.011001E8</v>
      </c>
      <c r="B15232" s="17">
        <v>8200102.0</v>
      </c>
    </row>
    <row r="15233">
      <c r="A15233" s="17">
        <v>5.011001E8</v>
      </c>
      <c r="B15233" s="17">
        <v>8200200.0</v>
      </c>
    </row>
    <row r="15234">
      <c r="A15234" s="17">
        <v>5.011001E8</v>
      </c>
      <c r="B15234" s="17">
        <v>8200201.0</v>
      </c>
    </row>
    <row r="15235">
      <c r="A15235" s="17">
        <v>5.011001E8</v>
      </c>
      <c r="B15235" s="17">
        <v>8200202.0</v>
      </c>
    </row>
    <row r="15236">
      <c r="A15236" s="17">
        <v>5.011001E8</v>
      </c>
      <c r="B15236" s="17">
        <v>8200300.0</v>
      </c>
    </row>
    <row r="15237">
      <c r="A15237" s="17">
        <v>5.011001E8</v>
      </c>
      <c r="B15237" s="17">
        <v>8200301.0</v>
      </c>
    </row>
    <row r="15238">
      <c r="A15238" s="17">
        <v>5.011001E8</v>
      </c>
      <c r="B15238" s="17">
        <v>8200302.0</v>
      </c>
    </row>
    <row r="15239">
      <c r="A15239" s="17">
        <v>5.011001E8</v>
      </c>
      <c r="B15239" s="17">
        <v>8200400.0</v>
      </c>
    </row>
    <row r="15240">
      <c r="A15240" s="17">
        <v>5.011001E8</v>
      </c>
      <c r="B15240" s="17">
        <v>8200401.0</v>
      </c>
    </row>
    <row r="15241">
      <c r="A15241" s="17">
        <v>5.011001E8</v>
      </c>
      <c r="B15241" s="17">
        <v>8200402.0</v>
      </c>
    </row>
    <row r="15242">
      <c r="A15242" s="17">
        <v>5.011001E8</v>
      </c>
      <c r="B15242" s="17">
        <v>8210000.0</v>
      </c>
    </row>
    <row r="15243">
      <c r="A15243" s="17">
        <v>5.011001E8</v>
      </c>
      <c r="B15243" s="17">
        <v>8210001.0</v>
      </c>
    </row>
    <row r="15244">
      <c r="A15244" s="17">
        <v>5.011001E8</v>
      </c>
      <c r="B15244" s="17">
        <v>8210002.0</v>
      </c>
    </row>
    <row r="15245">
      <c r="A15245" s="17">
        <v>5.011001E8</v>
      </c>
      <c r="B15245" s="17">
        <v>8210100.0</v>
      </c>
    </row>
    <row r="15246">
      <c r="A15246" s="17">
        <v>5.011001E8</v>
      </c>
      <c r="B15246" s="17">
        <v>8210101.0</v>
      </c>
    </row>
    <row r="15247">
      <c r="A15247" s="17">
        <v>5.011001E8</v>
      </c>
      <c r="B15247" s="17">
        <v>8210102.0</v>
      </c>
    </row>
    <row r="15248">
      <c r="A15248" s="17">
        <v>5.011001E8</v>
      </c>
      <c r="B15248" s="17">
        <v>8210200.0</v>
      </c>
    </row>
    <row r="15249">
      <c r="A15249" s="17">
        <v>5.011001E8</v>
      </c>
      <c r="B15249" s="17">
        <v>8210201.0</v>
      </c>
    </row>
    <row r="15250">
      <c r="A15250" s="17">
        <v>5.011001E8</v>
      </c>
      <c r="B15250" s="17">
        <v>8210202.0</v>
      </c>
    </row>
    <row r="15251">
      <c r="A15251" s="17">
        <v>5.011001E8</v>
      </c>
      <c r="B15251" s="17">
        <v>8210300.0</v>
      </c>
    </row>
    <row r="15252">
      <c r="A15252" s="17">
        <v>5.011001E8</v>
      </c>
      <c r="B15252" s="17">
        <v>8210301.0</v>
      </c>
    </row>
    <row r="15253">
      <c r="A15253" s="17">
        <v>5.011001E8</v>
      </c>
      <c r="B15253" s="17">
        <v>8210302.0</v>
      </c>
    </row>
    <row r="15254">
      <c r="A15254" s="17">
        <v>5.011001E8</v>
      </c>
      <c r="B15254" s="17">
        <v>8210400.0</v>
      </c>
    </row>
    <row r="15255">
      <c r="A15255" s="17">
        <v>5.011001E8</v>
      </c>
      <c r="B15255" s="17">
        <v>8210401.0</v>
      </c>
    </row>
    <row r="15256">
      <c r="A15256" s="17">
        <v>5.011001E8</v>
      </c>
      <c r="B15256" s="17">
        <v>8210402.0</v>
      </c>
    </row>
    <row r="15257">
      <c r="A15257" s="17">
        <v>5.011001E8</v>
      </c>
      <c r="B15257" s="17">
        <v>8210500.0</v>
      </c>
    </row>
    <row r="15258">
      <c r="A15258" s="17">
        <v>5.011001E8</v>
      </c>
      <c r="B15258" s="17">
        <v>8210501.0</v>
      </c>
    </row>
    <row r="15259">
      <c r="A15259" s="17">
        <v>5.011001E8</v>
      </c>
      <c r="B15259" s="17">
        <v>8210502.0</v>
      </c>
    </row>
    <row r="15260">
      <c r="A15260" s="17">
        <v>5.011001E8</v>
      </c>
      <c r="B15260" s="17">
        <v>8210600.0</v>
      </c>
    </row>
    <row r="15261">
      <c r="A15261" s="17">
        <v>5.011001E8</v>
      </c>
      <c r="B15261" s="17">
        <v>8210601.0</v>
      </c>
    </row>
    <row r="15262">
      <c r="A15262" s="17">
        <v>5.011001E8</v>
      </c>
      <c r="B15262" s="17">
        <v>8210602.0</v>
      </c>
    </row>
    <row r="15263">
      <c r="A15263" s="17">
        <v>5.011001E8</v>
      </c>
      <c r="B15263" s="17">
        <v>8220000.0</v>
      </c>
    </row>
    <row r="15264">
      <c r="A15264" s="17">
        <v>5.011001E8</v>
      </c>
      <c r="B15264" s="17">
        <v>8220001.0</v>
      </c>
    </row>
    <row r="15265">
      <c r="A15265" s="17">
        <v>5.011001E8</v>
      </c>
      <c r="B15265" s="17">
        <v>8220002.0</v>
      </c>
    </row>
    <row r="15266">
      <c r="A15266" s="17">
        <v>5.011001E8</v>
      </c>
      <c r="B15266" s="17">
        <v>8300000.0</v>
      </c>
    </row>
    <row r="15267">
      <c r="A15267" s="17">
        <v>5.011001E8</v>
      </c>
      <c r="B15267" s="17">
        <v>8300001.0</v>
      </c>
    </row>
    <row r="15268">
      <c r="A15268" s="17">
        <v>5.011001E8</v>
      </c>
      <c r="B15268" s="17">
        <v>8300002.0</v>
      </c>
    </row>
    <row r="15269">
      <c r="A15269" s="17">
        <v>5.011001E8</v>
      </c>
      <c r="B15269" s="17">
        <v>8310000.0</v>
      </c>
    </row>
    <row r="15270">
      <c r="A15270" s="17">
        <v>5.011001E8</v>
      </c>
      <c r="B15270" s="17">
        <v>8310001.0</v>
      </c>
    </row>
    <row r="15271">
      <c r="A15271" s="17">
        <v>5.011001E8</v>
      </c>
      <c r="B15271" s="17">
        <v>8310002.0</v>
      </c>
    </row>
    <row r="15272">
      <c r="A15272" s="17">
        <v>5.011001E8</v>
      </c>
      <c r="B15272" s="17">
        <v>8320000.0</v>
      </c>
    </row>
    <row r="15273">
      <c r="A15273" s="17">
        <v>5.011001E8</v>
      </c>
      <c r="B15273" s="17">
        <v>8320001.0</v>
      </c>
    </row>
    <row r="15274">
      <c r="A15274" s="17">
        <v>5.011001E8</v>
      </c>
      <c r="B15274" s="17">
        <v>8320002.0</v>
      </c>
    </row>
    <row r="15275">
      <c r="A15275" s="17">
        <v>5.011001E8</v>
      </c>
      <c r="B15275" s="17">
        <v>8320100.0</v>
      </c>
    </row>
    <row r="15276">
      <c r="A15276" s="17">
        <v>5.011001E8</v>
      </c>
      <c r="B15276" s="17">
        <v>8320101.0</v>
      </c>
    </row>
    <row r="15277">
      <c r="A15277" s="17">
        <v>5.011001E8</v>
      </c>
      <c r="B15277" s="17">
        <v>8320102.0</v>
      </c>
    </row>
    <row r="15278">
      <c r="A15278" s="17">
        <v>5.011001E8</v>
      </c>
      <c r="B15278" s="17">
        <v>8320300.0</v>
      </c>
    </row>
    <row r="15279">
      <c r="A15279" s="17">
        <v>5.011001E8</v>
      </c>
      <c r="B15279" s="17">
        <v>8320301.0</v>
      </c>
    </row>
    <row r="15280">
      <c r="A15280" s="17">
        <v>5.011001E8</v>
      </c>
      <c r="B15280" s="17">
        <v>8320302.0</v>
      </c>
    </row>
    <row r="15281">
      <c r="A15281" s="17">
        <v>5.011001E8</v>
      </c>
      <c r="B15281" s="17">
        <v>8320400.0</v>
      </c>
    </row>
    <row r="15282">
      <c r="A15282" s="17">
        <v>5.011001E8</v>
      </c>
      <c r="B15282" s="17">
        <v>8320410.0</v>
      </c>
    </row>
    <row r="15283">
      <c r="A15283" s="17">
        <v>5.011001E8</v>
      </c>
      <c r="B15283" s="17">
        <v>8320420.0</v>
      </c>
    </row>
    <row r="15284">
      <c r="A15284" s="17">
        <v>5.011001E8</v>
      </c>
      <c r="B15284" s="17">
        <v>8330000.0</v>
      </c>
    </row>
    <row r="15285">
      <c r="A15285" s="17">
        <v>5.011001E8</v>
      </c>
      <c r="B15285" s="17">
        <v>8330001.0</v>
      </c>
    </row>
    <row r="15286">
      <c r="A15286" s="17">
        <v>5.011001E8</v>
      </c>
      <c r="B15286" s="17">
        <v>8330002.0</v>
      </c>
    </row>
    <row r="15287">
      <c r="A15287" s="17">
        <v>5.011001E8</v>
      </c>
      <c r="B15287" s="17">
        <v>8330100.0</v>
      </c>
    </row>
    <row r="15288">
      <c r="A15288" s="17">
        <v>5.011001E8</v>
      </c>
      <c r="B15288" s="17">
        <v>8330101.0</v>
      </c>
    </row>
    <row r="15289">
      <c r="A15289" s="17">
        <v>5.011001E8</v>
      </c>
      <c r="B15289" s="17">
        <v>8330102.0</v>
      </c>
    </row>
    <row r="15290">
      <c r="A15290" s="17">
        <v>5.011001E8</v>
      </c>
      <c r="B15290" s="17">
        <v>8330200.0</v>
      </c>
    </row>
    <row r="15291">
      <c r="A15291" s="17">
        <v>5.011001E8</v>
      </c>
      <c r="B15291" s="17">
        <v>8330201.0</v>
      </c>
    </row>
    <row r="15292">
      <c r="A15292" s="17">
        <v>5.011001E8</v>
      </c>
      <c r="B15292" s="17">
        <v>8330202.0</v>
      </c>
    </row>
    <row r="15293">
      <c r="A15293" s="17">
        <v>5.011001E8</v>
      </c>
      <c r="B15293" s="17">
        <v>8330300.0</v>
      </c>
    </row>
    <row r="15294">
      <c r="A15294" s="17">
        <v>5.011001E8</v>
      </c>
      <c r="B15294" s="17">
        <v>8330301.0</v>
      </c>
    </row>
    <row r="15295">
      <c r="A15295" s="17">
        <v>5.011001E8</v>
      </c>
      <c r="B15295" s="17">
        <v>8330302.0</v>
      </c>
    </row>
    <row r="15296">
      <c r="A15296" s="17">
        <v>5.011001E8</v>
      </c>
      <c r="B15296" s="17">
        <v>8330400.0</v>
      </c>
    </row>
    <row r="15297">
      <c r="A15297" s="17">
        <v>5.011001E8</v>
      </c>
      <c r="B15297" s="17">
        <v>8330401.0</v>
      </c>
    </row>
    <row r="15298">
      <c r="A15298" s="17">
        <v>5.011001E8</v>
      </c>
      <c r="B15298" s="17">
        <v>8330600.0</v>
      </c>
    </row>
    <row r="15299">
      <c r="A15299" s="17">
        <v>5.011001E8</v>
      </c>
      <c r="B15299" s="17">
        <v>8330601.0</v>
      </c>
    </row>
    <row r="15300">
      <c r="A15300" s="17">
        <v>5.011001E8</v>
      </c>
      <c r="B15300" s="17">
        <v>8330602.0</v>
      </c>
    </row>
    <row r="15301">
      <c r="A15301" s="17">
        <v>5.011001E8</v>
      </c>
      <c r="B15301" s="17">
        <v>8330900.0</v>
      </c>
    </row>
    <row r="15302">
      <c r="A15302" s="17">
        <v>5.011001E8</v>
      </c>
      <c r="B15302" s="17">
        <v>8330910.0</v>
      </c>
    </row>
    <row r="15303">
      <c r="A15303" s="17">
        <v>5.011001E8</v>
      </c>
      <c r="B15303" s="17">
        <v>8330920.0</v>
      </c>
    </row>
    <row r="15304">
      <c r="A15304" s="17">
        <v>5.011001E8</v>
      </c>
      <c r="B15304" s="17">
        <v>8340000.0</v>
      </c>
    </row>
    <row r="15305">
      <c r="A15305" s="17">
        <v>5.011001E8</v>
      </c>
      <c r="B15305" s="17">
        <v>8340001.0</v>
      </c>
    </row>
    <row r="15306">
      <c r="A15306" s="17">
        <v>5.011001E8</v>
      </c>
      <c r="B15306" s="17">
        <v>8340002.0</v>
      </c>
    </row>
    <row r="15307">
      <c r="A15307" s="17">
        <v>5.011001E8</v>
      </c>
      <c r="B15307" s="17">
        <v>8340100.0</v>
      </c>
    </row>
    <row r="15308">
      <c r="A15308" s="17">
        <v>5.011001E8</v>
      </c>
      <c r="B15308" s="17">
        <v>8340101.0</v>
      </c>
    </row>
    <row r="15309">
      <c r="A15309" s="17">
        <v>5.011001E8</v>
      </c>
      <c r="B15309" s="17">
        <v>8340102.0</v>
      </c>
    </row>
    <row r="15310">
      <c r="A15310" s="17">
        <v>5.011001E8</v>
      </c>
      <c r="B15310" s="17">
        <v>8350000.0</v>
      </c>
    </row>
    <row r="15311">
      <c r="A15311" s="17">
        <v>5.011001E8</v>
      </c>
      <c r="B15311" s="17">
        <v>8350001.0</v>
      </c>
    </row>
    <row r="15312">
      <c r="A15312" s="17">
        <v>5.011001E8</v>
      </c>
      <c r="B15312" s="17">
        <v>8350002.0</v>
      </c>
    </row>
    <row r="15313">
      <c r="A15313" s="17">
        <v>5.011001E8</v>
      </c>
      <c r="B15313" s="17">
        <v>8350200.0</v>
      </c>
    </row>
    <row r="15314">
      <c r="A15314" s="17">
        <v>5.011001E8</v>
      </c>
      <c r="B15314" s="17">
        <v>8350201.0</v>
      </c>
    </row>
    <row r="15315">
      <c r="A15315" s="17">
        <v>5.011001E8</v>
      </c>
      <c r="B15315" s="17">
        <v>8350202.0</v>
      </c>
    </row>
    <row r="15316">
      <c r="A15316" s="17">
        <v>5.011001E8</v>
      </c>
      <c r="B15316" s="17">
        <v>8420000.0</v>
      </c>
    </row>
    <row r="15317">
      <c r="A15317" s="17">
        <v>5.011001E8</v>
      </c>
      <c r="B15317" s="17">
        <v>8420001.0</v>
      </c>
    </row>
    <row r="15318">
      <c r="A15318" s="17">
        <v>5.011001E8</v>
      </c>
      <c r="B15318" s="17">
        <v>8420002.0</v>
      </c>
    </row>
    <row r="15319">
      <c r="A15319" s="17">
        <v>5.011001E8</v>
      </c>
      <c r="B15319" s="17">
        <v>8450000.0</v>
      </c>
    </row>
    <row r="15320">
      <c r="A15320" s="17">
        <v>5.011001E8</v>
      </c>
      <c r="B15320" s="17">
        <v>8460100.0</v>
      </c>
    </row>
    <row r="15321">
      <c r="A15321" s="17">
        <v>5.011001E8</v>
      </c>
      <c r="B15321" s="17">
        <v>8460300.0</v>
      </c>
    </row>
    <row r="15322">
      <c r="A15322" s="17">
        <v>5.011001E8</v>
      </c>
      <c r="B15322" s="17">
        <v>8460500.0</v>
      </c>
    </row>
    <row r="15323">
      <c r="A15323" s="17">
        <v>5.011001E8</v>
      </c>
      <c r="B15323" s="17">
        <v>8510000.0</v>
      </c>
    </row>
    <row r="15324">
      <c r="A15324" s="17">
        <v>5.011001E8</v>
      </c>
      <c r="B15324" s="17">
        <v>8510001.0</v>
      </c>
    </row>
    <row r="15325">
      <c r="A15325" s="17">
        <v>5.011001E8</v>
      </c>
      <c r="B15325" s="17">
        <v>8510002.0</v>
      </c>
    </row>
    <row r="15326">
      <c r="A15326" s="17">
        <v>5.011001E8</v>
      </c>
      <c r="B15326" s="17">
        <v>8520000.0</v>
      </c>
    </row>
    <row r="15327">
      <c r="A15327" s="17">
        <v>5.011001E8</v>
      </c>
      <c r="B15327" s="17">
        <v>8520001.0</v>
      </c>
    </row>
    <row r="15328">
      <c r="A15328" s="17">
        <v>5.011001E8</v>
      </c>
      <c r="B15328" s="17">
        <v>8520002.0</v>
      </c>
    </row>
    <row r="15329">
      <c r="A15329" s="17">
        <v>5.011001E8</v>
      </c>
      <c r="B15329" s="17">
        <v>8530000.0</v>
      </c>
    </row>
    <row r="15330">
      <c r="A15330" s="17">
        <v>5.011001E8</v>
      </c>
      <c r="B15330" s="17">
        <v>8530100.0</v>
      </c>
    </row>
    <row r="15331">
      <c r="A15331" s="17">
        <v>5.011001E8</v>
      </c>
      <c r="B15331" s="17">
        <v>8540000.0</v>
      </c>
    </row>
    <row r="15332">
      <c r="A15332" s="17">
        <v>5.011001E8</v>
      </c>
      <c r="B15332" s="17">
        <v>8600100.0</v>
      </c>
    </row>
    <row r="15333">
      <c r="A15333" s="17">
        <v>5.011001E8</v>
      </c>
      <c r="B15333" s="17">
        <v>8600101.0</v>
      </c>
    </row>
    <row r="15334">
      <c r="A15334" s="17">
        <v>5.011001E8</v>
      </c>
      <c r="B15334" s="17">
        <v>8600102.0</v>
      </c>
    </row>
    <row r="15335">
      <c r="A15335" s="17">
        <v>5.011001E8</v>
      </c>
      <c r="B15335" s="17">
        <v>8600200.0</v>
      </c>
    </row>
    <row r="15336">
      <c r="A15336" s="17">
        <v>5.011001E8</v>
      </c>
      <c r="B15336" s="17">
        <v>8600201.0</v>
      </c>
    </row>
    <row r="15337">
      <c r="A15337" s="17">
        <v>5.011001E8</v>
      </c>
      <c r="B15337" s="17">
        <v>8600202.0</v>
      </c>
    </row>
    <row r="15338">
      <c r="A15338" s="17">
        <v>5.011001E8</v>
      </c>
      <c r="B15338" s="17">
        <v>8610300.0</v>
      </c>
    </row>
    <row r="15339">
      <c r="A15339" s="17">
        <v>5.011001E8</v>
      </c>
      <c r="B15339" s="17">
        <v>8610400.0</v>
      </c>
    </row>
    <row r="15340">
      <c r="A15340" s="17">
        <v>5.011001E8</v>
      </c>
      <c r="B15340" s="17">
        <v>8610500.0</v>
      </c>
    </row>
    <row r="15341">
      <c r="A15341" s="17">
        <v>5.011001E8</v>
      </c>
      <c r="B15341" s="17">
        <v>8610600.0</v>
      </c>
    </row>
    <row r="15342">
      <c r="A15342" s="17">
        <v>5.011001E8</v>
      </c>
      <c r="B15342" s="17">
        <v>8610700.0</v>
      </c>
    </row>
    <row r="15343">
      <c r="A15343" s="17">
        <v>5.011001E8</v>
      </c>
      <c r="B15343" s="17">
        <v>8610710.0</v>
      </c>
    </row>
    <row r="15344">
      <c r="A15344" s="17">
        <v>5.011001E8</v>
      </c>
      <c r="B15344" s="17">
        <v>8610720.0</v>
      </c>
    </row>
    <row r="15345">
      <c r="A15345" s="17">
        <v>5.011001E8</v>
      </c>
      <c r="B15345" s="17">
        <v>8620000.0</v>
      </c>
    </row>
    <row r="15346">
      <c r="A15346" s="17">
        <v>5.011001E8</v>
      </c>
      <c r="B15346" s="17">
        <v>8620010.0</v>
      </c>
    </row>
    <row r="15347">
      <c r="A15347" s="17">
        <v>5.011001E8</v>
      </c>
      <c r="B15347" s="17">
        <v>8620020.0</v>
      </c>
    </row>
    <row r="15348">
      <c r="A15348" s="17">
        <v>5.011001E8</v>
      </c>
      <c r="B15348" s="17">
        <v>8620100.0</v>
      </c>
    </row>
    <row r="15349">
      <c r="A15349" s="17">
        <v>5.011001E8</v>
      </c>
      <c r="B15349" s="17">
        <v>8620110.0</v>
      </c>
    </row>
    <row r="15350">
      <c r="A15350" s="17">
        <v>5.011001E8</v>
      </c>
      <c r="B15350" s="17">
        <v>8620120.0</v>
      </c>
    </row>
    <row r="15351">
      <c r="A15351" s="17">
        <v>5.011001E8</v>
      </c>
      <c r="B15351" s="17">
        <v>8630000.0</v>
      </c>
    </row>
    <row r="15352">
      <c r="A15352" s="17">
        <v>5.011001E8</v>
      </c>
      <c r="B15352" s="17">
        <v>8630000.0</v>
      </c>
    </row>
    <row r="15353">
      <c r="A15353" s="17">
        <v>5.011001E8</v>
      </c>
      <c r="B15353" s="17">
        <v>8630000.0</v>
      </c>
    </row>
    <row r="15354">
      <c r="A15354" s="17">
        <v>5.011001E8</v>
      </c>
      <c r="B15354" s="17">
        <v>8630100.0</v>
      </c>
    </row>
    <row r="15355">
      <c r="A15355" s="17">
        <v>5.011001E8</v>
      </c>
      <c r="B15355" s="17">
        <v>8630100.0</v>
      </c>
    </row>
    <row r="15356">
      <c r="A15356" s="17">
        <v>5.011001E8</v>
      </c>
      <c r="B15356" s="17">
        <v>8630100.0</v>
      </c>
    </row>
    <row r="15357">
      <c r="A15357" s="17">
        <v>5.011001E8</v>
      </c>
      <c r="B15357" s="17">
        <v>8630200.0</v>
      </c>
    </row>
    <row r="15358">
      <c r="A15358" s="17">
        <v>5.011001E8</v>
      </c>
      <c r="B15358" s="17">
        <v>8630300.0</v>
      </c>
    </row>
    <row r="15359">
      <c r="A15359" s="17">
        <v>5.011001E8</v>
      </c>
      <c r="B15359" s="17">
        <v>8630400.0</v>
      </c>
    </row>
    <row r="15360">
      <c r="A15360" s="17">
        <v>5.011001E8</v>
      </c>
      <c r="B15360" s="17">
        <v>8630500.0</v>
      </c>
    </row>
    <row r="15361">
      <c r="A15361" s="17">
        <v>5.011001E8</v>
      </c>
      <c r="B15361" s="17">
        <v>8630600.0</v>
      </c>
    </row>
    <row r="15362">
      <c r="A15362" s="17">
        <v>5.011001E8</v>
      </c>
      <c r="B15362" s="17">
        <v>8630700.0</v>
      </c>
    </row>
    <row r="15363">
      <c r="A15363" s="17">
        <v>5.011001E8</v>
      </c>
      <c r="B15363" s="17">
        <v>8630800.0</v>
      </c>
    </row>
    <row r="15364">
      <c r="A15364" s="17">
        <v>5.011001E8</v>
      </c>
      <c r="B15364" s="17">
        <v>8652000.0</v>
      </c>
    </row>
    <row r="15365">
      <c r="A15365" s="17">
        <v>5.011001E8</v>
      </c>
      <c r="B15365" s="17">
        <v>8652010.0</v>
      </c>
    </row>
    <row r="15366">
      <c r="A15366" s="17">
        <v>5.011001E8</v>
      </c>
      <c r="B15366" s="17">
        <v>8652020.0</v>
      </c>
    </row>
    <row r="15367">
      <c r="A15367" s="17">
        <v>5.011001E8</v>
      </c>
      <c r="B15367" s="17">
        <v>8652100.0</v>
      </c>
    </row>
    <row r="15368">
      <c r="A15368" s="17">
        <v>5.011001E8</v>
      </c>
      <c r="B15368" s="17">
        <v>8652110.0</v>
      </c>
    </row>
    <row r="15369">
      <c r="A15369" s="17">
        <v>5.011001E8</v>
      </c>
      <c r="B15369" s="17">
        <v>8652120.0</v>
      </c>
    </row>
    <row r="15370">
      <c r="A15370" s="17">
        <v>5.011001E8</v>
      </c>
      <c r="B15370" s="17">
        <v>8660000.0</v>
      </c>
    </row>
    <row r="15371">
      <c r="A15371" s="17">
        <v>5.011001E8</v>
      </c>
      <c r="B15371" s="17">
        <v>8660001.0</v>
      </c>
    </row>
    <row r="15372">
      <c r="A15372" s="17">
        <v>5.011001E8</v>
      </c>
      <c r="B15372" s="17">
        <v>8660002.0</v>
      </c>
    </row>
    <row r="15373">
      <c r="A15373" s="17">
        <v>5.011001E8</v>
      </c>
      <c r="B15373" s="17">
        <v>8660100.0</v>
      </c>
    </row>
    <row r="15374">
      <c r="A15374" s="17">
        <v>5.011001E8</v>
      </c>
      <c r="B15374" s="17">
        <v>8660101.0</v>
      </c>
    </row>
    <row r="15375">
      <c r="A15375" s="17">
        <v>5.011001E8</v>
      </c>
      <c r="B15375" s="17">
        <v>8660102.0</v>
      </c>
    </row>
    <row r="15376">
      <c r="A15376" s="17">
        <v>5.011001E8</v>
      </c>
      <c r="B15376" s="17">
        <v>8670000.0</v>
      </c>
    </row>
    <row r="15377">
      <c r="A15377" s="17">
        <v>5.011001E8</v>
      </c>
      <c r="B15377" s="17">
        <v>8670001.0</v>
      </c>
    </row>
    <row r="15378">
      <c r="A15378" s="17">
        <v>5.011001E8</v>
      </c>
      <c r="B15378" s="17">
        <v>8670002.0</v>
      </c>
    </row>
    <row r="15379">
      <c r="A15379" s="17">
        <v>5.011001E8</v>
      </c>
      <c r="B15379" s="17">
        <v>8670100.0</v>
      </c>
    </row>
    <row r="15380">
      <c r="A15380" s="17">
        <v>5.011001E8</v>
      </c>
      <c r="B15380" s="17">
        <v>8670101.0</v>
      </c>
    </row>
    <row r="15381">
      <c r="A15381" s="17">
        <v>5.011001E8</v>
      </c>
      <c r="B15381" s="17">
        <v>8670102.0</v>
      </c>
    </row>
    <row r="15382">
      <c r="A15382" s="17">
        <v>5.011001E8</v>
      </c>
      <c r="B15382" s="17">
        <v>8690000.0</v>
      </c>
    </row>
    <row r="15383">
      <c r="A15383" s="17">
        <v>5.011001E8</v>
      </c>
      <c r="B15383" s="17">
        <v>8690100.0</v>
      </c>
    </row>
    <row r="15384">
      <c r="A15384" s="17">
        <v>5.011001E8</v>
      </c>
      <c r="B15384" s="17">
        <v>8690200.0</v>
      </c>
    </row>
    <row r="15385">
      <c r="A15385" s="17">
        <v>5.011001E8</v>
      </c>
      <c r="B15385" s="17">
        <v>8690300.0</v>
      </c>
    </row>
    <row r="15386">
      <c r="A15386" s="17">
        <v>5.011001E8</v>
      </c>
      <c r="B15386" s="17">
        <v>8690400.0</v>
      </c>
    </row>
    <row r="15387">
      <c r="A15387" s="17">
        <v>5.011001E8</v>
      </c>
      <c r="B15387" s="17">
        <v>8320500.0</v>
      </c>
    </row>
    <row r="15388">
      <c r="A15388" s="17">
        <v>5.011001E8</v>
      </c>
      <c r="B15388" s="17">
        <v>8320510.0</v>
      </c>
    </row>
    <row r="15389">
      <c r="A15389" s="17">
        <v>5.011001E8</v>
      </c>
      <c r="B15389" s="17">
        <v>8320520.0</v>
      </c>
    </row>
    <row r="15390">
      <c r="A15390" s="17">
        <v>5.011001E8</v>
      </c>
      <c r="B15390" s="17">
        <v>8320600.0</v>
      </c>
    </row>
    <row r="15391">
      <c r="A15391" s="17">
        <v>5.011001E8</v>
      </c>
      <c r="B15391" s="17">
        <v>8320610.0</v>
      </c>
    </row>
    <row r="15392">
      <c r="A15392" s="17">
        <v>5.011001E8</v>
      </c>
      <c r="B15392" s="17">
        <v>8320620.0</v>
      </c>
    </row>
    <row r="15393">
      <c r="A15393" s="17">
        <v>5.011001E8</v>
      </c>
      <c r="B15393" s="17">
        <v>8320700.0</v>
      </c>
    </row>
    <row r="15394">
      <c r="A15394" s="17">
        <v>5.011001E8</v>
      </c>
      <c r="B15394" s="17">
        <v>8320710.0</v>
      </c>
    </row>
    <row r="15395">
      <c r="A15395" s="17">
        <v>5.011001E8</v>
      </c>
      <c r="B15395" s="17">
        <v>8320720.0</v>
      </c>
    </row>
    <row r="15396">
      <c r="A15396" s="17">
        <v>5.011002E8</v>
      </c>
      <c r="B15396" s="17">
        <v>0.0</v>
      </c>
    </row>
    <row r="15397">
      <c r="A15397" s="17">
        <v>5.011002E8</v>
      </c>
      <c r="B15397" s="17">
        <v>8100100.0</v>
      </c>
    </row>
    <row r="15398">
      <c r="A15398" s="17">
        <v>5.011002E8</v>
      </c>
      <c r="B15398" s="17">
        <v>8100101.0</v>
      </c>
    </row>
    <row r="15399">
      <c r="A15399" s="17">
        <v>5.011002E8</v>
      </c>
      <c r="B15399" s="17">
        <v>8100102.0</v>
      </c>
    </row>
    <row r="15400">
      <c r="A15400" s="17">
        <v>5.011002E8</v>
      </c>
      <c r="B15400" s="17">
        <v>8100200.0</v>
      </c>
    </row>
    <row r="15401">
      <c r="A15401" s="17">
        <v>5.011002E8</v>
      </c>
      <c r="B15401" s="17">
        <v>8100201.0</v>
      </c>
    </row>
    <row r="15402">
      <c r="A15402" s="17">
        <v>5.011002E8</v>
      </c>
      <c r="B15402" s="17">
        <v>8100202.0</v>
      </c>
    </row>
    <row r="15403">
      <c r="A15403" s="17">
        <v>5.011002E8</v>
      </c>
      <c r="B15403" s="17">
        <v>8100300.0</v>
      </c>
    </row>
    <row r="15404">
      <c r="A15404" s="17">
        <v>5.011002E8</v>
      </c>
      <c r="B15404" s="17">
        <v>8100301.0</v>
      </c>
    </row>
    <row r="15405">
      <c r="A15405" s="17">
        <v>5.011002E8</v>
      </c>
      <c r="B15405" s="17">
        <v>8100302.0</v>
      </c>
    </row>
    <row r="15406">
      <c r="A15406" s="17">
        <v>5.011002E8</v>
      </c>
      <c r="B15406" s="17">
        <v>8100400.0</v>
      </c>
    </row>
    <row r="15407">
      <c r="A15407" s="17">
        <v>5.011002E8</v>
      </c>
      <c r="B15407" s="17">
        <v>8100401.0</v>
      </c>
    </row>
    <row r="15408">
      <c r="A15408" s="17">
        <v>5.011002E8</v>
      </c>
      <c r="B15408" s="17">
        <v>8100402.0</v>
      </c>
    </row>
    <row r="15409">
      <c r="A15409" s="17">
        <v>5.011002E8</v>
      </c>
      <c r="B15409" s="17">
        <v>8130000.0</v>
      </c>
    </row>
    <row r="15410">
      <c r="A15410" s="17">
        <v>5.011002E8</v>
      </c>
      <c r="B15410" s="17">
        <v>8130001.0</v>
      </c>
    </row>
    <row r="15411">
      <c r="A15411" s="17">
        <v>5.011002E8</v>
      </c>
      <c r="B15411" s="17">
        <v>8130002.0</v>
      </c>
    </row>
    <row r="15412">
      <c r="A15412" s="17">
        <v>5.011002E8</v>
      </c>
      <c r="B15412" s="17">
        <v>8140000.0</v>
      </c>
    </row>
    <row r="15413">
      <c r="A15413" s="17">
        <v>5.011002E8</v>
      </c>
      <c r="B15413" s="17">
        <v>8140001.0</v>
      </c>
    </row>
    <row r="15414">
      <c r="A15414" s="17">
        <v>5.011002E8</v>
      </c>
      <c r="B15414" s="17">
        <v>8140002.0</v>
      </c>
    </row>
    <row r="15415">
      <c r="A15415" s="17">
        <v>5.011002E8</v>
      </c>
      <c r="B15415" s="17">
        <v>8200100.0</v>
      </c>
    </row>
    <row r="15416">
      <c r="A15416" s="17">
        <v>5.011002E8</v>
      </c>
      <c r="B15416" s="17">
        <v>8200101.0</v>
      </c>
    </row>
    <row r="15417">
      <c r="A15417" s="17">
        <v>5.011002E8</v>
      </c>
      <c r="B15417" s="17">
        <v>8200102.0</v>
      </c>
    </row>
    <row r="15418">
      <c r="A15418" s="17">
        <v>5.011002E8</v>
      </c>
      <c r="B15418" s="17">
        <v>8200200.0</v>
      </c>
    </row>
    <row r="15419">
      <c r="A15419" s="17">
        <v>5.011002E8</v>
      </c>
      <c r="B15419" s="17">
        <v>8200201.0</v>
      </c>
    </row>
    <row r="15420">
      <c r="A15420" s="17">
        <v>5.011002E8</v>
      </c>
      <c r="B15420" s="17">
        <v>8200202.0</v>
      </c>
    </row>
    <row r="15421">
      <c r="A15421" s="17">
        <v>5.011002E8</v>
      </c>
      <c r="B15421" s="17">
        <v>8200300.0</v>
      </c>
    </row>
    <row r="15422">
      <c r="A15422" s="17">
        <v>5.011002E8</v>
      </c>
      <c r="B15422" s="17">
        <v>8200301.0</v>
      </c>
    </row>
    <row r="15423">
      <c r="A15423" s="17">
        <v>5.011002E8</v>
      </c>
      <c r="B15423" s="17">
        <v>8200302.0</v>
      </c>
    </row>
    <row r="15424">
      <c r="A15424" s="17">
        <v>5.011002E8</v>
      </c>
      <c r="B15424" s="17">
        <v>8200400.0</v>
      </c>
    </row>
    <row r="15425">
      <c r="A15425" s="17">
        <v>5.011002E8</v>
      </c>
      <c r="B15425" s="17">
        <v>8200401.0</v>
      </c>
    </row>
    <row r="15426">
      <c r="A15426" s="17">
        <v>5.011002E8</v>
      </c>
      <c r="B15426" s="17">
        <v>8200402.0</v>
      </c>
    </row>
    <row r="15427">
      <c r="A15427" s="17">
        <v>5.011002E8</v>
      </c>
      <c r="B15427" s="17">
        <v>8210000.0</v>
      </c>
    </row>
    <row r="15428">
      <c r="A15428" s="17">
        <v>5.011002E8</v>
      </c>
      <c r="B15428" s="17">
        <v>8210001.0</v>
      </c>
    </row>
    <row r="15429">
      <c r="A15429" s="17">
        <v>5.011002E8</v>
      </c>
      <c r="B15429" s="17">
        <v>8210002.0</v>
      </c>
    </row>
    <row r="15430">
      <c r="A15430" s="17">
        <v>5.011002E8</v>
      </c>
      <c r="B15430" s="17">
        <v>8210100.0</v>
      </c>
    </row>
    <row r="15431">
      <c r="A15431" s="17">
        <v>5.011002E8</v>
      </c>
      <c r="B15431" s="17">
        <v>8210101.0</v>
      </c>
    </row>
    <row r="15432">
      <c r="A15432" s="17">
        <v>5.011002E8</v>
      </c>
      <c r="B15432" s="17">
        <v>8210102.0</v>
      </c>
    </row>
    <row r="15433">
      <c r="A15433" s="17">
        <v>5.011002E8</v>
      </c>
      <c r="B15433" s="17">
        <v>8210200.0</v>
      </c>
    </row>
    <row r="15434">
      <c r="A15434" s="17">
        <v>5.011002E8</v>
      </c>
      <c r="B15434" s="17">
        <v>8210201.0</v>
      </c>
    </row>
    <row r="15435">
      <c r="A15435" s="17">
        <v>5.011002E8</v>
      </c>
      <c r="B15435" s="17">
        <v>8210202.0</v>
      </c>
    </row>
    <row r="15436">
      <c r="A15436" s="17">
        <v>5.011002E8</v>
      </c>
      <c r="B15436" s="17">
        <v>8210300.0</v>
      </c>
    </row>
    <row r="15437">
      <c r="A15437" s="17">
        <v>5.011002E8</v>
      </c>
      <c r="B15437" s="17">
        <v>8210301.0</v>
      </c>
    </row>
    <row r="15438">
      <c r="A15438" s="17">
        <v>5.011002E8</v>
      </c>
      <c r="B15438" s="17">
        <v>8210302.0</v>
      </c>
    </row>
    <row r="15439">
      <c r="A15439" s="17">
        <v>5.011002E8</v>
      </c>
      <c r="B15439" s="17">
        <v>8210400.0</v>
      </c>
    </row>
    <row r="15440">
      <c r="A15440" s="17">
        <v>5.011002E8</v>
      </c>
      <c r="B15440" s="17">
        <v>8210401.0</v>
      </c>
    </row>
    <row r="15441">
      <c r="A15441" s="17">
        <v>5.011002E8</v>
      </c>
      <c r="B15441" s="17">
        <v>8210402.0</v>
      </c>
    </row>
    <row r="15442">
      <c r="A15442" s="17">
        <v>5.011002E8</v>
      </c>
      <c r="B15442" s="17">
        <v>8210500.0</v>
      </c>
    </row>
    <row r="15443">
      <c r="A15443" s="17">
        <v>5.011002E8</v>
      </c>
      <c r="B15443" s="17">
        <v>8210501.0</v>
      </c>
    </row>
    <row r="15444">
      <c r="A15444" s="17">
        <v>5.011002E8</v>
      </c>
      <c r="B15444" s="17">
        <v>8210502.0</v>
      </c>
    </row>
    <row r="15445">
      <c r="A15445" s="17">
        <v>5.011002E8</v>
      </c>
      <c r="B15445" s="17">
        <v>8210600.0</v>
      </c>
    </row>
    <row r="15446">
      <c r="A15446" s="17">
        <v>5.011002E8</v>
      </c>
      <c r="B15446" s="17">
        <v>8210601.0</v>
      </c>
    </row>
    <row r="15447">
      <c r="A15447" s="17">
        <v>5.011002E8</v>
      </c>
      <c r="B15447" s="17">
        <v>8210602.0</v>
      </c>
    </row>
    <row r="15448">
      <c r="A15448" s="17">
        <v>5.011002E8</v>
      </c>
      <c r="B15448" s="17">
        <v>8220000.0</v>
      </c>
    </row>
    <row r="15449">
      <c r="A15449" s="17">
        <v>5.011002E8</v>
      </c>
      <c r="B15449" s="17">
        <v>8220001.0</v>
      </c>
    </row>
    <row r="15450">
      <c r="A15450" s="17">
        <v>5.011002E8</v>
      </c>
      <c r="B15450" s="17">
        <v>8220002.0</v>
      </c>
    </row>
    <row r="15451">
      <c r="A15451" s="17">
        <v>5.011002E8</v>
      </c>
      <c r="B15451" s="17">
        <v>8300000.0</v>
      </c>
    </row>
    <row r="15452">
      <c r="A15452" s="17">
        <v>5.011002E8</v>
      </c>
      <c r="B15452" s="17">
        <v>8300001.0</v>
      </c>
    </row>
    <row r="15453">
      <c r="A15453" s="17">
        <v>5.011002E8</v>
      </c>
      <c r="B15453" s="17">
        <v>8300002.0</v>
      </c>
    </row>
    <row r="15454">
      <c r="A15454" s="17">
        <v>5.011002E8</v>
      </c>
      <c r="B15454" s="17">
        <v>8310000.0</v>
      </c>
    </row>
    <row r="15455">
      <c r="A15455" s="17">
        <v>5.011002E8</v>
      </c>
      <c r="B15455" s="17">
        <v>8310001.0</v>
      </c>
    </row>
    <row r="15456">
      <c r="A15456" s="17">
        <v>5.011002E8</v>
      </c>
      <c r="B15456" s="17">
        <v>8310002.0</v>
      </c>
    </row>
    <row r="15457">
      <c r="A15457" s="17">
        <v>5.011002E8</v>
      </c>
      <c r="B15457" s="17">
        <v>8320000.0</v>
      </c>
    </row>
    <row r="15458">
      <c r="A15458" s="17">
        <v>5.011002E8</v>
      </c>
      <c r="B15458" s="17">
        <v>8320001.0</v>
      </c>
    </row>
    <row r="15459">
      <c r="A15459" s="17">
        <v>5.011002E8</v>
      </c>
      <c r="B15459" s="17">
        <v>8320002.0</v>
      </c>
    </row>
    <row r="15460">
      <c r="A15460" s="17">
        <v>5.011002E8</v>
      </c>
      <c r="B15460" s="17">
        <v>8320100.0</v>
      </c>
    </row>
    <row r="15461">
      <c r="A15461" s="17">
        <v>5.011002E8</v>
      </c>
      <c r="B15461" s="17">
        <v>8320101.0</v>
      </c>
    </row>
    <row r="15462">
      <c r="A15462" s="17">
        <v>5.011002E8</v>
      </c>
      <c r="B15462" s="17">
        <v>8320102.0</v>
      </c>
    </row>
    <row r="15463">
      <c r="A15463" s="17">
        <v>5.011002E8</v>
      </c>
      <c r="B15463" s="17">
        <v>8320300.0</v>
      </c>
    </row>
    <row r="15464">
      <c r="A15464" s="17">
        <v>5.011002E8</v>
      </c>
      <c r="B15464" s="17">
        <v>8320301.0</v>
      </c>
    </row>
    <row r="15465">
      <c r="A15465" s="17">
        <v>5.011002E8</v>
      </c>
      <c r="B15465" s="17">
        <v>8320302.0</v>
      </c>
    </row>
    <row r="15466">
      <c r="A15466" s="17">
        <v>5.011002E8</v>
      </c>
      <c r="B15466" s="17">
        <v>8320400.0</v>
      </c>
    </row>
    <row r="15467">
      <c r="A15467" s="17">
        <v>5.011002E8</v>
      </c>
      <c r="B15467" s="17">
        <v>8320410.0</v>
      </c>
    </row>
    <row r="15468">
      <c r="A15468" s="17">
        <v>5.011002E8</v>
      </c>
      <c r="B15468" s="17">
        <v>8320420.0</v>
      </c>
    </row>
    <row r="15469">
      <c r="A15469" s="17">
        <v>5.011002E8</v>
      </c>
      <c r="B15469" s="17">
        <v>8330000.0</v>
      </c>
    </row>
    <row r="15470">
      <c r="A15470" s="17">
        <v>5.011002E8</v>
      </c>
      <c r="B15470" s="17">
        <v>8330001.0</v>
      </c>
    </row>
    <row r="15471">
      <c r="A15471" s="17">
        <v>5.011002E8</v>
      </c>
      <c r="B15471" s="17">
        <v>8330002.0</v>
      </c>
    </row>
    <row r="15472">
      <c r="A15472" s="17">
        <v>5.011002E8</v>
      </c>
      <c r="B15472" s="17">
        <v>8330100.0</v>
      </c>
    </row>
    <row r="15473">
      <c r="A15473" s="17">
        <v>5.011002E8</v>
      </c>
      <c r="B15473" s="17">
        <v>8330101.0</v>
      </c>
    </row>
    <row r="15474">
      <c r="A15474" s="17">
        <v>5.011002E8</v>
      </c>
      <c r="B15474" s="17">
        <v>8330102.0</v>
      </c>
    </row>
    <row r="15475">
      <c r="A15475" s="17">
        <v>5.011002E8</v>
      </c>
      <c r="B15475" s="17">
        <v>8330200.0</v>
      </c>
    </row>
    <row r="15476">
      <c r="A15476" s="17">
        <v>5.011002E8</v>
      </c>
      <c r="B15476" s="17">
        <v>8330201.0</v>
      </c>
    </row>
    <row r="15477">
      <c r="A15477" s="17">
        <v>5.011002E8</v>
      </c>
      <c r="B15477" s="17">
        <v>8330202.0</v>
      </c>
    </row>
    <row r="15478">
      <c r="A15478" s="17">
        <v>5.011002E8</v>
      </c>
      <c r="B15478" s="17">
        <v>8330300.0</v>
      </c>
    </row>
    <row r="15479">
      <c r="A15479" s="17">
        <v>5.011002E8</v>
      </c>
      <c r="B15479" s="17">
        <v>8330301.0</v>
      </c>
    </row>
    <row r="15480">
      <c r="A15480" s="17">
        <v>5.011002E8</v>
      </c>
      <c r="B15480" s="17">
        <v>8330302.0</v>
      </c>
    </row>
    <row r="15481">
      <c r="A15481" s="17">
        <v>5.011002E8</v>
      </c>
      <c r="B15481" s="17">
        <v>8330400.0</v>
      </c>
    </row>
    <row r="15482">
      <c r="A15482" s="17">
        <v>5.011002E8</v>
      </c>
      <c r="B15482" s="17">
        <v>8330401.0</v>
      </c>
    </row>
    <row r="15483">
      <c r="A15483" s="17">
        <v>5.011002E8</v>
      </c>
      <c r="B15483" s="17">
        <v>8330600.0</v>
      </c>
    </row>
    <row r="15484">
      <c r="A15484" s="17">
        <v>5.011002E8</v>
      </c>
      <c r="B15484" s="17">
        <v>8330601.0</v>
      </c>
    </row>
    <row r="15485">
      <c r="A15485" s="17">
        <v>5.011002E8</v>
      </c>
      <c r="B15485" s="17">
        <v>8330602.0</v>
      </c>
    </row>
    <row r="15486">
      <c r="A15486" s="17">
        <v>5.011002E8</v>
      </c>
      <c r="B15486" s="17">
        <v>8330900.0</v>
      </c>
    </row>
    <row r="15487">
      <c r="A15487" s="17">
        <v>5.011002E8</v>
      </c>
      <c r="B15487" s="17">
        <v>8330910.0</v>
      </c>
    </row>
    <row r="15488">
      <c r="A15488" s="17">
        <v>5.011002E8</v>
      </c>
      <c r="B15488" s="17">
        <v>8330920.0</v>
      </c>
    </row>
    <row r="15489">
      <c r="A15489" s="17">
        <v>5.011002E8</v>
      </c>
      <c r="B15489" s="17">
        <v>8340000.0</v>
      </c>
    </row>
    <row r="15490">
      <c r="A15490" s="17">
        <v>5.011002E8</v>
      </c>
      <c r="B15490" s="17">
        <v>8340001.0</v>
      </c>
    </row>
    <row r="15491">
      <c r="A15491" s="17">
        <v>5.011002E8</v>
      </c>
      <c r="B15491" s="17">
        <v>8340002.0</v>
      </c>
    </row>
    <row r="15492">
      <c r="A15492" s="17">
        <v>5.011002E8</v>
      </c>
      <c r="B15492" s="17">
        <v>8340100.0</v>
      </c>
    </row>
    <row r="15493">
      <c r="A15493" s="17">
        <v>5.011002E8</v>
      </c>
      <c r="B15493" s="17">
        <v>8340101.0</v>
      </c>
    </row>
    <row r="15494">
      <c r="A15494" s="17">
        <v>5.011002E8</v>
      </c>
      <c r="B15494" s="17">
        <v>8340102.0</v>
      </c>
    </row>
    <row r="15495">
      <c r="A15495" s="17">
        <v>5.011002E8</v>
      </c>
      <c r="B15495" s="17">
        <v>8350000.0</v>
      </c>
    </row>
    <row r="15496">
      <c r="A15496" s="17">
        <v>5.011002E8</v>
      </c>
      <c r="B15496" s="17">
        <v>8350001.0</v>
      </c>
    </row>
    <row r="15497">
      <c r="A15497" s="17">
        <v>5.011002E8</v>
      </c>
      <c r="B15497" s="17">
        <v>8350002.0</v>
      </c>
    </row>
    <row r="15498">
      <c r="A15498" s="17">
        <v>5.011002E8</v>
      </c>
      <c r="B15498" s="17">
        <v>8350200.0</v>
      </c>
    </row>
    <row r="15499">
      <c r="A15499" s="17">
        <v>5.011002E8</v>
      </c>
      <c r="B15499" s="17">
        <v>8350201.0</v>
      </c>
    </row>
    <row r="15500">
      <c r="A15500" s="17">
        <v>5.011002E8</v>
      </c>
      <c r="B15500" s="17">
        <v>8350202.0</v>
      </c>
    </row>
    <row r="15501">
      <c r="A15501" s="17">
        <v>5.011002E8</v>
      </c>
      <c r="B15501" s="17">
        <v>8420000.0</v>
      </c>
    </row>
    <row r="15502">
      <c r="A15502" s="17">
        <v>5.011002E8</v>
      </c>
      <c r="B15502" s="17">
        <v>8420001.0</v>
      </c>
    </row>
    <row r="15503">
      <c r="A15503" s="17">
        <v>5.011002E8</v>
      </c>
      <c r="B15503" s="17">
        <v>8420002.0</v>
      </c>
    </row>
    <row r="15504">
      <c r="A15504" s="17">
        <v>5.011002E8</v>
      </c>
      <c r="B15504" s="17">
        <v>8450000.0</v>
      </c>
    </row>
    <row r="15505">
      <c r="A15505" s="17">
        <v>5.011002E8</v>
      </c>
      <c r="B15505" s="17">
        <v>8460100.0</v>
      </c>
    </row>
    <row r="15506">
      <c r="A15506" s="17">
        <v>5.011002E8</v>
      </c>
      <c r="B15506" s="17">
        <v>8460300.0</v>
      </c>
    </row>
    <row r="15507">
      <c r="A15507" s="17">
        <v>5.011002E8</v>
      </c>
      <c r="B15507" s="17">
        <v>8460500.0</v>
      </c>
    </row>
    <row r="15508">
      <c r="A15508" s="17">
        <v>5.011002E8</v>
      </c>
      <c r="B15508" s="17">
        <v>8510000.0</v>
      </c>
    </row>
    <row r="15509">
      <c r="A15509" s="17">
        <v>5.011002E8</v>
      </c>
      <c r="B15509" s="17">
        <v>8510001.0</v>
      </c>
    </row>
    <row r="15510">
      <c r="A15510" s="17">
        <v>5.011002E8</v>
      </c>
      <c r="B15510" s="17">
        <v>8510002.0</v>
      </c>
    </row>
    <row r="15511">
      <c r="A15511" s="17">
        <v>5.011002E8</v>
      </c>
      <c r="B15511" s="17">
        <v>8520000.0</v>
      </c>
    </row>
    <row r="15512">
      <c r="A15512" s="17">
        <v>5.011002E8</v>
      </c>
      <c r="B15512" s="17">
        <v>8520001.0</v>
      </c>
    </row>
    <row r="15513">
      <c r="A15513" s="17">
        <v>5.011002E8</v>
      </c>
      <c r="B15513" s="17">
        <v>8520002.0</v>
      </c>
    </row>
    <row r="15514">
      <c r="A15514" s="17">
        <v>5.011002E8</v>
      </c>
      <c r="B15514" s="17">
        <v>8530000.0</v>
      </c>
    </row>
    <row r="15515">
      <c r="A15515" s="17">
        <v>5.011002E8</v>
      </c>
      <c r="B15515" s="17">
        <v>8530100.0</v>
      </c>
    </row>
    <row r="15516">
      <c r="A15516" s="17">
        <v>5.011002E8</v>
      </c>
      <c r="B15516" s="17">
        <v>8540000.0</v>
      </c>
    </row>
    <row r="15517">
      <c r="A15517" s="17">
        <v>5.011002E8</v>
      </c>
      <c r="B15517" s="17">
        <v>8600100.0</v>
      </c>
    </row>
    <row r="15518">
      <c r="A15518" s="17">
        <v>5.011002E8</v>
      </c>
      <c r="B15518" s="17">
        <v>8600101.0</v>
      </c>
    </row>
    <row r="15519">
      <c r="A15519" s="17">
        <v>5.011002E8</v>
      </c>
      <c r="B15519" s="17">
        <v>8600102.0</v>
      </c>
    </row>
    <row r="15520">
      <c r="A15520" s="17">
        <v>5.011002E8</v>
      </c>
      <c r="B15520" s="17">
        <v>8600200.0</v>
      </c>
    </row>
    <row r="15521">
      <c r="A15521" s="17">
        <v>5.011002E8</v>
      </c>
      <c r="B15521" s="17">
        <v>8600201.0</v>
      </c>
    </row>
    <row r="15522">
      <c r="A15522" s="17">
        <v>5.011002E8</v>
      </c>
      <c r="B15522" s="17">
        <v>8600202.0</v>
      </c>
    </row>
    <row r="15523">
      <c r="A15523" s="17">
        <v>5.011002E8</v>
      </c>
      <c r="B15523" s="17">
        <v>8610300.0</v>
      </c>
    </row>
    <row r="15524">
      <c r="A15524" s="17">
        <v>5.011002E8</v>
      </c>
      <c r="B15524" s="17">
        <v>8610400.0</v>
      </c>
    </row>
    <row r="15525">
      <c r="A15525" s="17">
        <v>5.011002E8</v>
      </c>
      <c r="B15525" s="17">
        <v>8610500.0</v>
      </c>
    </row>
    <row r="15526">
      <c r="A15526" s="17">
        <v>5.011002E8</v>
      </c>
      <c r="B15526" s="17">
        <v>8610600.0</v>
      </c>
    </row>
    <row r="15527">
      <c r="A15527" s="17">
        <v>5.011002E8</v>
      </c>
      <c r="B15527" s="17">
        <v>8610700.0</v>
      </c>
    </row>
    <row r="15528">
      <c r="A15528" s="17">
        <v>5.011002E8</v>
      </c>
      <c r="B15528" s="17">
        <v>8610710.0</v>
      </c>
    </row>
    <row r="15529">
      <c r="A15529" s="17">
        <v>5.011002E8</v>
      </c>
      <c r="B15529" s="17">
        <v>8610720.0</v>
      </c>
    </row>
    <row r="15530">
      <c r="A15530" s="17">
        <v>5.011002E8</v>
      </c>
      <c r="B15530" s="17">
        <v>8620000.0</v>
      </c>
    </row>
    <row r="15531">
      <c r="A15531" s="17">
        <v>5.011002E8</v>
      </c>
      <c r="B15531" s="17">
        <v>8620010.0</v>
      </c>
    </row>
    <row r="15532">
      <c r="A15532" s="17">
        <v>5.011002E8</v>
      </c>
      <c r="B15532" s="17">
        <v>8620020.0</v>
      </c>
    </row>
    <row r="15533">
      <c r="A15533" s="17">
        <v>5.011002E8</v>
      </c>
      <c r="B15533" s="17">
        <v>8620100.0</v>
      </c>
    </row>
    <row r="15534">
      <c r="A15534" s="17">
        <v>5.011002E8</v>
      </c>
      <c r="B15534" s="17">
        <v>8620110.0</v>
      </c>
    </row>
    <row r="15535">
      <c r="A15535" s="17">
        <v>5.011002E8</v>
      </c>
      <c r="B15535" s="17">
        <v>8620120.0</v>
      </c>
    </row>
    <row r="15536">
      <c r="A15536" s="17">
        <v>5.011002E8</v>
      </c>
      <c r="B15536" s="17">
        <v>8630000.0</v>
      </c>
    </row>
    <row r="15537">
      <c r="A15537" s="17">
        <v>5.011002E8</v>
      </c>
      <c r="B15537" s="17">
        <v>8630000.0</v>
      </c>
    </row>
    <row r="15538">
      <c r="A15538" s="17">
        <v>5.011002E8</v>
      </c>
      <c r="B15538" s="17">
        <v>8630000.0</v>
      </c>
    </row>
    <row r="15539">
      <c r="A15539" s="17">
        <v>5.011002E8</v>
      </c>
      <c r="B15539" s="17">
        <v>8630100.0</v>
      </c>
    </row>
    <row r="15540">
      <c r="A15540" s="17">
        <v>5.011002E8</v>
      </c>
      <c r="B15540" s="17">
        <v>8630100.0</v>
      </c>
    </row>
    <row r="15541">
      <c r="A15541" s="17">
        <v>5.011002E8</v>
      </c>
      <c r="B15541" s="17">
        <v>8630100.0</v>
      </c>
    </row>
    <row r="15542">
      <c r="A15542" s="17">
        <v>5.011002E8</v>
      </c>
      <c r="B15542" s="17">
        <v>8630200.0</v>
      </c>
    </row>
    <row r="15543">
      <c r="A15543" s="17">
        <v>5.011002E8</v>
      </c>
      <c r="B15543" s="17">
        <v>8630300.0</v>
      </c>
    </row>
    <row r="15544">
      <c r="A15544" s="17">
        <v>5.011002E8</v>
      </c>
      <c r="B15544" s="17">
        <v>8630400.0</v>
      </c>
    </row>
    <row r="15545">
      <c r="A15545" s="17">
        <v>5.011002E8</v>
      </c>
      <c r="B15545" s="17">
        <v>8630500.0</v>
      </c>
    </row>
    <row r="15546">
      <c r="A15546" s="17">
        <v>5.011002E8</v>
      </c>
      <c r="B15546" s="17">
        <v>8630600.0</v>
      </c>
    </row>
    <row r="15547">
      <c r="A15547" s="17">
        <v>5.011002E8</v>
      </c>
      <c r="B15547" s="17">
        <v>8630700.0</v>
      </c>
    </row>
    <row r="15548">
      <c r="A15548" s="17">
        <v>5.011002E8</v>
      </c>
      <c r="B15548" s="17">
        <v>8630800.0</v>
      </c>
    </row>
    <row r="15549">
      <c r="A15549" s="17">
        <v>5.011002E8</v>
      </c>
      <c r="B15549" s="17">
        <v>8652000.0</v>
      </c>
    </row>
    <row r="15550">
      <c r="A15550" s="17">
        <v>5.011002E8</v>
      </c>
      <c r="B15550" s="17">
        <v>8652010.0</v>
      </c>
    </row>
    <row r="15551">
      <c r="A15551" s="17">
        <v>5.011002E8</v>
      </c>
      <c r="B15551" s="17">
        <v>8652020.0</v>
      </c>
    </row>
    <row r="15552">
      <c r="A15552" s="17">
        <v>5.011002E8</v>
      </c>
      <c r="B15552" s="17">
        <v>8652100.0</v>
      </c>
    </row>
    <row r="15553">
      <c r="A15553" s="17">
        <v>5.011002E8</v>
      </c>
      <c r="B15553" s="17">
        <v>8652110.0</v>
      </c>
    </row>
    <row r="15554">
      <c r="A15554" s="17">
        <v>5.011002E8</v>
      </c>
      <c r="B15554" s="17">
        <v>8652120.0</v>
      </c>
    </row>
    <row r="15555">
      <c r="A15555" s="17">
        <v>5.011002E8</v>
      </c>
      <c r="B15555" s="17">
        <v>8660000.0</v>
      </c>
    </row>
    <row r="15556">
      <c r="A15556" s="17">
        <v>5.011002E8</v>
      </c>
      <c r="B15556" s="17">
        <v>8660001.0</v>
      </c>
    </row>
    <row r="15557">
      <c r="A15557" s="17">
        <v>5.011002E8</v>
      </c>
      <c r="B15557" s="17">
        <v>8660002.0</v>
      </c>
    </row>
    <row r="15558">
      <c r="A15558" s="17">
        <v>5.011002E8</v>
      </c>
      <c r="B15558" s="17">
        <v>8660100.0</v>
      </c>
    </row>
    <row r="15559">
      <c r="A15559" s="17">
        <v>5.011002E8</v>
      </c>
      <c r="B15559" s="17">
        <v>8660101.0</v>
      </c>
    </row>
    <row r="15560">
      <c r="A15560" s="17">
        <v>5.011002E8</v>
      </c>
      <c r="B15560" s="17">
        <v>8660102.0</v>
      </c>
    </row>
    <row r="15561">
      <c r="A15561" s="17">
        <v>5.011002E8</v>
      </c>
      <c r="B15561" s="17">
        <v>8670000.0</v>
      </c>
    </row>
    <row r="15562">
      <c r="A15562" s="17">
        <v>5.011002E8</v>
      </c>
      <c r="B15562" s="17">
        <v>8670001.0</v>
      </c>
    </row>
    <row r="15563">
      <c r="A15563" s="17">
        <v>5.011002E8</v>
      </c>
      <c r="B15563" s="17">
        <v>8670002.0</v>
      </c>
    </row>
    <row r="15564">
      <c r="A15564" s="17">
        <v>5.011002E8</v>
      </c>
      <c r="B15564" s="17">
        <v>8670100.0</v>
      </c>
    </row>
    <row r="15565">
      <c r="A15565" s="17">
        <v>5.011002E8</v>
      </c>
      <c r="B15565" s="17">
        <v>8670101.0</v>
      </c>
    </row>
    <row r="15566">
      <c r="A15566" s="17">
        <v>5.011002E8</v>
      </c>
      <c r="B15566" s="17">
        <v>8670102.0</v>
      </c>
    </row>
    <row r="15567">
      <c r="A15567" s="17">
        <v>5.011002E8</v>
      </c>
      <c r="B15567" s="17">
        <v>8690000.0</v>
      </c>
    </row>
    <row r="15568">
      <c r="A15568" s="17">
        <v>5.011002E8</v>
      </c>
      <c r="B15568" s="17">
        <v>8690100.0</v>
      </c>
    </row>
    <row r="15569">
      <c r="A15569" s="17">
        <v>5.011002E8</v>
      </c>
      <c r="B15569" s="17">
        <v>8690200.0</v>
      </c>
    </row>
    <row r="15570">
      <c r="A15570" s="17">
        <v>5.011002E8</v>
      </c>
      <c r="B15570" s="17">
        <v>8690300.0</v>
      </c>
    </row>
    <row r="15571">
      <c r="A15571" s="17">
        <v>5.011002E8</v>
      </c>
      <c r="B15571" s="17">
        <v>8690400.0</v>
      </c>
    </row>
    <row r="15572">
      <c r="A15572" s="17">
        <v>5.011002E8</v>
      </c>
      <c r="B15572" s="17">
        <v>8320500.0</v>
      </c>
    </row>
    <row r="15573">
      <c r="A15573" s="17">
        <v>5.011002E8</v>
      </c>
      <c r="B15573" s="17">
        <v>8320510.0</v>
      </c>
    </row>
    <row r="15574">
      <c r="A15574" s="17">
        <v>5.011002E8</v>
      </c>
      <c r="B15574" s="17">
        <v>8320520.0</v>
      </c>
    </row>
    <row r="15575">
      <c r="A15575" s="17">
        <v>5.011002E8</v>
      </c>
      <c r="B15575" s="17">
        <v>8320600.0</v>
      </c>
    </row>
    <row r="15576">
      <c r="A15576" s="17">
        <v>5.011002E8</v>
      </c>
      <c r="B15576" s="17">
        <v>8320610.0</v>
      </c>
    </row>
    <row r="15577">
      <c r="A15577" s="17">
        <v>5.011002E8</v>
      </c>
      <c r="B15577" s="17">
        <v>8320620.0</v>
      </c>
    </row>
    <row r="15578">
      <c r="A15578" s="17">
        <v>5.011002E8</v>
      </c>
      <c r="B15578" s="17">
        <v>8320700.0</v>
      </c>
    </row>
    <row r="15579">
      <c r="A15579" s="17">
        <v>5.011002E8</v>
      </c>
      <c r="B15579" s="17">
        <v>8320710.0</v>
      </c>
    </row>
    <row r="15580">
      <c r="A15580" s="17">
        <v>5.011002E8</v>
      </c>
      <c r="B15580" s="17">
        <v>8320720.0</v>
      </c>
    </row>
    <row r="15581">
      <c r="A15581" s="17">
        <v>5.012E8</v>
      </c>
      <c r="B15581" s="17">
        <v>0.0</v>
      </c>
    </row>
    <row r="15582">
      <c r="A15582" s="17">
        <v>5.012E8</v>
      </c>
      <c r="B15582" s="17">
        <v>8100100.0</v>
      </c>
    </row>
    <row r="15583">
      <c r="A15583" s="17">
        <v>5.012E8</v>
      </c>
      <c r="B15583" s="17">
        <v>8100101.0</v>
      </c>
    </row>
    <row r="15584">
      <c r="A15584" s="17">
        <v>5.012E8</v>
      </c>
      <c r="B15584" s="17">
        <v>8100102.0</v>
      </c>
    </row>
    <row r="15585">
      <c r="A15585" s="17">
        <v>5.012E8</v>
      </c>
      <c r="B15585" s="17">
        <v>8100200.0</v>
      </c>
    </row>
    <row r="15586">
      <c r="A15586" s="17">
        <v>5.012E8</v>
      </c>
      <c r="B15586" s="17">
        <v>8100201.0</v>
      </c>
    </row>
    <row r="15587">
      <c r="A15587" s="17">
        <v>5.012E8</v>
      </c>
      <c r="B15587" s="17">
        <v>8100202.0</v>
      </c>
    </row>
    <row r="15588">
      <c r="A15588" s="17">
        <v>5.012E8</v>
      </c>
      <c r="B15588" s="17">
        <v>8100300.0</v>
      </c>
    </row>
    <row r="15589">
      <c r="A15589" s="17">
        <v>5.012E8</v>
      </c>
      <c r="B15589" s="17">
        <v>8100301.0</v>
      </c>
    </row>
    <row r="15590">
      <c r="A15590" s="17">
        <v>5.012E8</v>
      </c>
      <c r="B15590" s="17">
        <v>8100302.0</v>
      </c>
    </row>
    <row r="15591">
      <c r="A15591" s="17">
        <v>5.012E8</v>
      </c>
      <c r="B15591" s="17">
        <v>8100400.0</v>
      </c>
    </row>
    <row r="15592">
      <c r="A15592" s="17">
        <v>5.012E8</v>
      </c>
      <c r="B15592" s="17">
        <v>8100401.0</v>
      </c>
    </row>
    <row r="15593">
      <c r="A15593" s="17">
        <v>5.012E8</v>
      </c>
      <c r="B15593" s="17">
        <v>8100402.0</v>
      </c>
    </row>
    <row r="15594">
      <c r="A15594" s="17">
        <v>5.012E8</v>
      </c>
      <c r="B15594" s="17">
        <v>8130000.0</v>
      </c>
    </row>
    <row r="15595">
      <c r="A15595" s="17">
        <v>5.012E8</v>
      </c>
      <c r="B15595" s="17">
        <v>8130001.0</v>
      </c>
    </row>
    <row r="15596">
      <c r="A15596" s="17">
        <v>5.012E8</v>
      </c>
      <c r="B15596" s="17">
        <v>8130002.0</v>
      </c>
    </row>
    <row r="15597">
      <c r="A15597" s="17">
        <v>5.012E8</v>
      </c>
      <c r="B15597" s="17">
        <v>8140000.0</v>
      </c>
    </row>
    <row r="15598">
      <c r="A15598" s="17">
        <v>5.012E8</v>
      </c>
      <c r="B15598" s="17">
        <v>8140001.0</v>
      </c>
    </row>
    <row r="15599">
      <c r="A15599" s="17">
        <v>5.012E8</v>
      </c>
      <c r="B15599" s="17">
        <v>8140002.0</v>
      </c>
    </row>
    <row r="15600">
      <c r="A15600" s="17">
        <v>5.012E8</v>
      </c>
      <c r="B15600" s="17">
        <v>8200100.0</v>
      </c>
    </row>
    <row r="15601">
      <c r="A15601" s="17">
        <v>5.012E8</v>
      </c>
      <c r="B15601" s="17">
        <v>8200101.0</v>
      </c>
    </row>
    <row r="15602">
      <c r="A15602" s="17">
        <v>5.012E8</v>
      </c>
      <c r="B15602" s="17">
        <v>8200102.0</v>
      </c>
    </row>
    <row r="15603">
      <c r="A15603" s="17">
        <v>5.012E8</v>
      </c>
      <c r="B15603" s="17">
        <v>8200200.0</v>
      </c>
    </row>
    <row r="15604">
      <c r="A15604" s="17">
        <v>5.012E8</v>
      </c>
      <c r="B15604" s="17">
        <v>8200201.0</v>
      </c>
    </row>
    <row r="15605">
      <c r="A15605" s="17">
        <v>5.012E8</v>
      </c>
      <c r="B15605" s="17">
        <v>8200202.0</v>
      </c>
    </row>
    <row r="15606">
      <c r="A15606" s="17">
        <v>5.012E8</v>
      </c>
      <c r="B15606" s="17">
        <v>8200300.0</v>
      </c>
    </row>
    <row r="15607">
      <c r="A15607" s="17">
        <v>5.012E8</v>
      </c>
      <c r="B15607" s="17">
        <v>8200301.0</v>
      </c>
    </row>
    <row r="15608">
      <c r="A15608" s="17">
        <v>5.012E8</v>
      </c>
      <c r="B15608" s="17">
        <v>8200302.0</v>
      </c>
    </row>
    <row r="15609">
      <c r="A15609" s="17">
        <v>5.012E8</v>
      </c>
      <c r="B15609" s="17">
        <v>8200400.0</v>
      </c>
    </row>
    <row r="15610">
      <c r="A15610" s="17">
        <v>5.012E8</v>
      </c>
      <c r="B15610" s="17">
        <v>8200401.0</v>
      </c>
    </row>
    <row r="15611">
      <c r="A15611" s="17">
        <v>5.012E8</v>
      </c>
      <c r="B15611" s="17">
        <v>8200402.0</v>
      </c>
    </row>
    <row r="15612">
      <c r="A15612" s="17">
        <v>5.012E8</v>
      </c>
      <c r="B15612" s="17">
        <v>8210000.0</v>
      </c>
    </row>
    <row r="15613">
      <c r="A15613" s="17">
        <v>5.012E8</v>
      </c>
      <c r="B15613" s="17">
        <v>8210001.0</v>
      </c>
    </row>
    <row r="15614">
      <c r="A15614" s="17">
        <v>5.012E8</v>
      </c>
      <c r="B15614" s="17">
        <v>8210002.0</v>
      </c>
    </row>
    <row r="15615">
      <c r="A15615" s="17">
        <v>5.012E8</v>
      </c>
      <c r="B15615" s="17">
        <v>8210100.0</v>
      </c>
    </row>
    <row r="15616">
      <c r="A15616" s="17">
        <v>5.012E8</v>
      </c>
      <c r="B15616" s="17">
        <v>8210101.0</v>
      </c>
    </row>
    <row r="15617">
      <c r="A15617" s="17">
        <v>5.012E8</v>
      </c>
      <c r="B15617" s="17">
        <v>8210102.0</v>
      </c>
    </row>
    <row r="15618">
      <c r="A15618" s="17">
        <v>5.012E8</v>
      </c>
      <c r="B15618" s="17">
        <v>8210200.0</v>
      </c>
    </row>
    <row r="15619">
      <c r="A15619" s="17">
        <v>5.012E8</v>
      </c>
      <c r="B15619" s="17">
        <v>8210201.0</v>
      </c>
    </row>
    <row r="15620">
      <c r="A15620" s="17">
        <v>5.012E8</v>
      </c>
      <c r="B15620" s="17">
        <v>8210202.0</v>
      </c>
    </row>
    <row r="15621">
      <c r="A15621" s="17">
        <v>5.012E8</v>
      </c>
      <c r="B15621" s="17">
        <v>8210300.0</v>
      </c>
    </row>
    <row r="15622">
      <c r="A15622" s="17">
        <v>5.012E8</v>
      </c>
      <c r="B15622" s="17">
        <v>8210301.0</v>
      </c>
    </row>
    <row r="15623">
      <c r="A15623" s="17">
        <v>5.012E8</v>
      </c>
      <c r="B15623" s="17">
        <v>8210302.0</v>
      </c>
    </row>
    <row r="15624">
      <c r="A15624" s="17">
        <v>5.012E8</v>
      </c>
      <c r="B15624" s="17">
        <v>8210400.0</v>
      </c>
    </row>
    <row r="15625">
      <c r="A15625" s="17">
        <v>5.012E8</v>
      </c>
      <c r="B15625" s="17">
        <v>8210401.0</v>
      </c>
    </row>
    <row r="15626">
      <c r="A15626" s="17">
        <v>5.012E8</v>
      </c>
      <c r="B15626" s="17">
        <v>8210402.0</v>
      </c>
    </row>
    <row r="15627">
      <c r="A15627" s="17">
        <v>5.012E8</v>
      </c>
      <c r="B15627" s="17">
        <v>8210500.0</v>
      </c>
    </row>
    <row r="15628">
      <c r="A15628" s="17">
        <v>5.012E8</v>
      </c>
      <c r="B15628" s="17">
        <v>8210501.0</v>
      </c>
    </row>
    <row r="15629">
      <c r="A15629" s="17">
        <v>5.012E8</v>
      </c>
      <c r="B15629" s="17">
        <v>8210502.0</v>
      </c>
    </row>
    <row r="15630">
      <c r="A15630" s="17">
        <v>5.012E8</v>
      </c>
      <c r="B15630" s="17">
        <v>8210600.0</v>
      </c>
    </row>
    <row r="15631">
      <c r="A15631" s="17">
        <v>5.012E8</v>
      </c>
      <c r="B15631" s="17">
        <v>8210601.0</v>
      </c>
    </row>
    <row r="15632">
      <c r="A15632" s="17">
        <v>5.012E8</v>
      </c>
      <c r="B15632" s="17">
        <v>8210602.0</v>
      </c>
    </row>
    <row r="15633">
      <c r="A15633" s="17">
        <v>5.012E8</v>
      </c>
      <c r="B15633" s="17">
        <v>8220000.0</v>
      </c>
    </row>
    <row r="15634">
      <c r="A15634" s="17">
        <v>5.012E8</v>
      </c>
      <c r="B15634" s="17">
        <v>8220001.0</v>
      </c>
    </row>
    <row r="15635">
      <c r="A15635" s="17">
        <v>5.012E8</v>
      </c>
      <c r="B15635" s="17">
        <v>8220002.0</v>
      </c>
    </row>
    <row r="15636">
      <c r="A15636" s="17">
        <v>5.012E8</v>
      </c>
      <c r="B15636" s="17">
        <v>8300000.0</v>
      </c>
    </row>
    <row r="15637">
      <c r="A15637" s="17">
        <v>5.012E8</v>
      </c>
      <c r="B15637" s="17">
        <v>8300001.0</v>
      </c>
    </row>
    <row r="15638">
      <c r="A15638" s="17">
        <v>5.012E8</v>
      </c>
      <c r="B15638" s="17">
        <v>8300002.0</v>
      </c>
    </row>
    <row r="15639">
      <c r="A15639" s="17">
        <v>5.012E8</v>
      </c>
      <c r="B15639" s="17">
        <v>8310000.0</v>
      </c>
    </row>
    <row r="15640">
      <c r="A15640" s="17">
        <v>5.012E8</v>
      </c>
      <c r="B15640" s="17">
        <v>8310001.0</v>
      </c>
    </row>
    <row r="15641">
      <c r="A15641" s="17">
        <v>5.012E8</v>
      </c>
      <c r="B15641" s="17">
        <v>8310002.0</v>
      </c>
    </row>
    <row r="15642">
      <c r="A15642" s="17">
        <v>5.012E8</v>
      </c>
      <c r="B15642" s="17">
        <v>8320000.0</v>
      </c>
    </row>
    <row r="15643">
      <c r="A15643" s="17">
        <v>5.012E8</v>
      </c>
      <c r="B15643" s="17">
        <v>8320001.0</v>
      </c>
    </row>
    <row r="15644">
      <c r="A15644" s="17">
        <v>5.012E8</v>
      </c>
      <c r="B15644" s="17">
        <v>8320002.0</v>
      </c>
    </row>
    <row r="15645">
      <c r="A15645" s="17">
        <v>5.012E8</v>
      </c>
      <c r="B15645" s="17">
        <v>8320100.0</v>
      </c>
    </row>
    <row r="15646">
      <c r="A15646" s="17">
        <v>5.012E8</v>
      </c>
      <c r="B15646" s="17">
        <v>8320101.0</v>
      </c>
    </row>
    <row r="15647">
      <c r="A15647" s="17">
        <v>5.012E8</v>
      </c>
      <c r="B15647" s="17">
        <v>8320102.0</v>
      </c>
    </row>
    <row r="15648">
      <c r="A15648" s="17">
        <v>5.012E8</v>
      </c>
      <c r="B15648" s="17">
        <v>8320300.0</v>
      </c>
    </row>
    <row r="15649">
      <c r="A15649" s="17">
        <v>5.012E8</v>
      </c>
      <c r="B15649" s="17">
        <v>8320301.0</v>
      </c>
    </row>
    <row r="15650">
      <c r="A15650" s="17">
        <v>5.012E8</v>
      </c>
      <c r="B15650" s="17">
        <v>8320302.0</v>
      </c>
    </row>
    <row r="15651">
      <c r="A15651" s="17">
        <v>5.012E8</v>
      </c>
      <c r="B15651" s="17">
        <v>8320400.0</v>
      </c>
    </row>
    <row r="15652">
      <c r="A15652" s="17">
        <v>5.012E8</v>
      </c>
      <c r="B15652" s="17">
        <v>8320410.0</v>
      </c>
    </row>
    <row r="15653">
      <c r="A15653" s="17">
        <v>5.012E8</v>
      </c>
      <c r="B15653" s="17">
        <v>8320420.0</v>
      </c>
    </row>
    <row r="15654">
      <c r="A15654" s="17">
        <v>5.012E8</v>
      </c>
      <c r="B15654" s="17">
        <v>8330000.0</v>
      </c>
    </row>
    <row r="15655">
      <c r="A15655" s="17">
        <v>5.012E8</v>
      </c>
      <c r="B15655" s="17">
        <v>8330001.0</v>
      </c>
    </row>
    <row r="15656">
      <c r="A15656" s="17">
        <v>5.012E8</v>
      </c>
      <c r="B15656" s="17">
        <v>8330002.0</v>
      </c>
    </row>
    <row r="15657">
      <c r="A15657" s="17">
        <v>5.012E8</v>
      </c>
      <c r="B15657" s="17">
        <v>8330100.0</v>
      </c>
    </row>
    <row r="15658">
      <c r="A15658" s="17">
        <v>5.012E8</v>
      </c>
      <c r="B15658" s="17">
        <v>8330101.0</v>
      </c>
    </row>
    <row r="15659">
      <c r="A15659" s="17">
        <v>5.012E8</v>
      </c>
      <c r="B15659" s="17">
        <v>8330102.0</v>
      </c>
    </row>
    <row r="15660">
      <c r="A15660" s="17">
        <v>5.012E8</v>
      </c>
      <c r="B15660" s="17">
        <v>8330200.0</v>
      </c>
    </row>
    <row r="15661">
      <c r="A15661" s="17">
        <v>5.012E8</v>
      </c>
      <c r="B15661" s="17">
        <v>8330201.0</v>
      </c>
    </row>
    <row r="15662">
      <c r="A15662" s="17">
        <v>5.012E8</v>
      </c>
      <c r="B15662" s="17">
        <v>8330202.0</v>
      </c>
    </row>
    <row r="15663">
      <c r="A15663" s="17">
        <v>5.012E8</v>
      </c>
      <c r="B15663" s="17">
        <v>8330300.0</v>
      </c>
    </row>
    <row r="15664">
      <c r="A15664" s="17">
        <v>5.012E8</v>
      </c>
      <c r="B15664" s="17">
        <v>8330301.0</v>
      </c>
    </row>
    <row r="15665">
      <c r="A15665" s="17">
        <v>5.012E8</v>
      </c>
      <c r="B15665" s="17">
        <v>8330302.0</v>
      </c>
    </row>
    <row r="15666">
      <c r="A15666" s="17">
        <v>5.012E8</v>
      </c>
      <c r="B15666" s="17">
        <v>8330400.0</v>
      </c>
    </row>
    <row r="15667">
      <c r="A15667" s="17">
        <v>5.012E8</v>
      </c>
      <c r="B15667" s="17">
        <v>8330401.0</v>
      </c>
    </row>
    <row r="15668">
      <c r="A15668" s="17">
        <v>5.012E8</v>
      </c>
      <c r="B15668" s="17">
        <v>8330600.0</v>
      </c>
    </row>
    <row r="15669">
      <c r="A15669" s="17">
        <v>5.012E8</v>
      </c>
      <c r="B15669" s="17">
        <v>8330601.0</v>
      </c>
    </row>
    <row r="15670">
      <c r="A15670" s="17">
        <v>5.012E8</v>
      </c>
      <c r="B15670" s="17">
        <v>8330602.0</v>
      </c>
    </row>
    <row r="15671">
      <c r="A15671" s="17">
        <v>5.012E8</v>
      </c>
      <c r="B15671" s="17">
        <v>8330900.0</v>
      </c>
    </row>
    <row r="15672">
      <c r="A15672" s="17">
        <v>5.012E8</v>
      </c>
      <c r="B15672" s="17">
        <v>8330910.0</v>
      </c>
    </row>
    <row r="15673">
      <c r="A15673" s="17">
        <v>5.012E8</v>
      </c>
      <c r="B15673" s="17">
        <v>8330920.0</v>
      </c>
    </row>
    <row r="15674">
      <c r="A15674" s="17">
        <v>5.012E8</v>
      </c>
      <c r="B15674" s="17">
        <v>8340000.0</v>
      </c>
    </row>
    <row r="15675">
      <c r="A15675" s="17">
        <v>5.012E8</v>
      </c>
      <c r="B15675" s="17">
        <v>8340001.0</v>
      </c>
    </row>
    <row r="15676">
      <c r="A15676" s="17">
        <v>5.012E8</v>
      </c>
      <c r="B15676" s="17">
        <v>8340002.0</v>
      </c>
    </row>
    <row r="15677">
      <c r="A15677" s="17">
        <v>5.012E8</v>
      </c>
      <c r="B15677" s="17">
        <v>8340100.0</v>
      </c>
    </row>
    <row r="15678">
      <c r="A15678" s="17">
        <v>5.012E8</v>
      </c>
      <c r="B15678" s="17">
        <v>8340101.0</v>
      </c>
    </row>
    <row r="15679">
      <c r="A15679" s="17">
        <v>5.012E8</v>
      </c>
      <c r="B15679" s="17">
        <v>8340102.0</v>
      </c>
    </row>
    <row r="15680">
      <c r="A15680" s="17">
        <v>5.012E8</v>
      </c>
      <c r="B15680" s="17">
        <v>8350000.0</v>
      </c>
    </row>
    <row r="15681">
      <c r="A15681" s="17">
        <v>5.012E8</v>
      </c>
      <c r="B15681" s="17">
        <v>8350001.0</v>
      </c>
    </row>
    <row r="15682">
      <c r="A15682" s="17">
        <v>5.012E8</v>
      </c>
      <c r="B15682" s="17">
        <v>8350002.0</v>
      </c>
    </row>
    <row r="15683">
      <c r="A15683" s="17">
        <v>5.012E8</v>
      </c>
      <c r="B15683" s="17">
        <v>8350200.0</v>
      </c>
    </row>
    <row r="15684">
      <c r="A15684" s="17">
        <v>5.012E8</v>
      </c>
      <c r="B15684" s="17">
        <v>8350201.0</v>
      </c>
    </row>
    <row r="15685">
      <c r="A15685" s="17">
        <v>5.012E8</v>
      </c>
      <c r="B15685" s="17">
        <v>8350202.0</v>
      </c>
    </row>
    <row r="15686">
      <c r="A15686" s="17">
        <v>5.012E8</v>
      </c>
      <c r="B15686" s="17">
        <v>8420000.0</v>
      </c>
    </row>
    <row r="15687">
      <c r="A15687" s="17">
        <v>5.012E8</v>
      </c>
      <c r="B15687" s="17">
        <v>8420001.0</v>
      </c>
    </row>
    <row r="15688">
      <c r="A15688" s="17">
        <v>5.012E8</v>
      </c>
      <c r="B15688" s="17">
        <v>8420002.0</v>
      </c>
    </row>
    <row r="15689">
      <c r="A15689" s="17">
        <v>5.012E8</v>
      </c>
      <c r="B15689" s="17">
        <v>8450000.0</v>
      </c>
    </row>
    <row r="15690">
      <c r="A15690" s="17">
        <v>5.012E8</v>
      </c>
      <c r="B15690" s="17">
        <v>8460100.0</v>
      </c>
    </row>
    <row r="15691">
      <c r="A15691" s="17">
        <v>5.012E8</v>
      </c>
      <c r="B15691" s="17">
        <v>8460300.0</v>
      </c>
    </row>
    <row r="15692">
      <c r="A15692" s="17">
        <v>5.012E8</v>
      </c>
      <c r="B15692" s="17">
        <v>8460500.0</v>
      </c>
    </row>
    <row r="15693">
      <c r="A15693" s="17">
        <v>5.012E8</v>
      </c>
      <c r="B15693" s="17">
        <v>8510000.0</v>
      </c>
    </row>
    <row r="15694">
      <c r="A15694" s="17">
        <v>5.012E8</v>
      </c>
      <c r="B15694" s="17">
        <v>8510001.0</v>
      </c>
    </row>
    <row r="15695">
      <c r="A15695" s="17">
        <v>5.012E8</v>
      </c>
      <c r="B15695" s="17">
        <v>8510002.0</v>
      </c>
    </row>
    <row r="15696">
      <c r="A15696" s="17">
        <v>5.012E8</v>
      </c>
      <c r="B15696" s="17">
        <v>8520000.0</v>
      </c>
    </row>
    <row r="15697">
      <c r="A15697" s="17">
        <v>5.012E8</v>
      </c>
      <c r="B15697" s="17">
        <v>8520001.0</v>
      </c>
    </row>
    <row r="15698">
      <c r="A15698" s="17">
        <v>5.012E8</v>
      </c>
      <c r="B15698" s="17">
        <v>8520002.0</v>
      </c>
    </row>
    <row r="15699">
      <c r="A15699" s="17">
        <v>5.012E8</v>
      </c>
      <c r="B15699" s="17">
        <v>8530000.0</v>
      </c>
    </row>
    <row r="15700">
      <c r="A15700" s="17">
        <v>5.012E8</v>
      </c>
      <c r="B15700" s="17">
        <v>8530100.0</v>
      </c>
    </row>
    <row r="15701">
      <c r="A15701" s="17">
        <v>5.012E8</v>
      </c>
      <c r="B15701" s="17">
        <v>8540000.0</v>
      </c>
    </row>
    <row r="15702">
      <c r="A15702" s="17">
        <v>5.012E8</v>
      </c>
      <c r="B15702" s="17">
        <v>8600100.0</v>
      </c>
    </row>
    <row r="15703">
      <c r="A15703" s="17">
        <v>5.012E8</v>
      </c>
      <c r="B15703" s="17">
        <v>8600101.0</v>
      </c>
    </row>
    <row r="15704">
      <c r="A15704" s="17">
        <v>5.012E8</v>
      </c>
      <c r="B15704" s="17">
        <v>8600102.0</v>
      </c>
    </row>
    <row r="15705">
      <c r="A15705" s="17">
        <v>5.012E8</v>
      </c>
      <c r="B15705" s="17">
        <v>8600200.0</v>
      </c>
    </row>
    <row r="15706">
      <c r="A15706" s="17">
        <v>5.012E8</v>
      </c>
      <c r="B15706" s="17">
        <v>8600201.0</v>
      </c>
    </row>
    <row r="15707">
      <c r="A15707" s="17">
        <v>5.012E8</v>
      </c>
      <c r="B15707" s="17">
        <v>8600202.0</v>
      </c>
    </row>
    <row r="15708">
      <c r="A15708" s="17">
        <v>5.012E8</v>
      </c>
      <c r="B15708" s="17">
        <v>8610300.0</v>
      </c>
    </row>
    <row r="15709">
      <c r="A15709" s="17">
        <v>5.012E8</v>
      </c>
      <c r="B15709" s="17">
        <v>8610400.0</v>
      </c>
    </row>
    <row r="15710">
      <c r="A15710" s="17">
        <v>5.012E8</v>
      </c>
      <c r="B15710" s="17">
        <v>8610500.0</v>
      </c>
    </row>
    <row r="15711">
      <c r="A15711" s="17">
        <v>5.012E8</v>
      </c>
      <c r="B15711" s="17">
        <v>8610600.0</v>
      </c>
    </row>
    <row r="15712">
      <c r="A15712" s="17">
        <v>5.012E8</v>
      </c>
      <c r="B15712" s="17">
        <v>8610700.0</v>
      </c>
    </row>
    <row r="15713">
      <c r="A15713" s="17">
        <v>5.012E8</v>
      </c>
      <c r="B15713" s="17">
        <v>8610710.0</v>
      </c>
    </row>
    <row r="15714">
      <c r="A15714" s="17">
        <v>5.012E8</v>
      </c>
      <c r="B15714" s="17">
        <v>8610720.0</v>
      </c>
    </row>
    <row r="15715">
      <c r="A15715" s="17">
        <v>5.012E8</v>
      </c>
      <c r="B15715" s="17">
        <v>8620000.0</v>
      </c>
    </row>
    <row r="15716">
      <c r="A15716" s="17">
        <v>5.012E8</v>
      </c>
      <c r="B15716" s="17">
        <v>8620010.0</v>
      </c>
    </row>
    <row r="15717">
      <c r="A15717" s="17">
        <v>5.012E8</v>
      </c>
      <c r="B15717" s="17">
        <v>8620020.0</v>
      </c>
    </row>
    <row r="15718">
      <c r="A15718" s="17">
        <v>5.012E8</v>
      </c>
      <c r="B15718" s="17">
        <v>8620100.0</v>
      </c>
    </row>
    <row r="15719">
      <c r="A15719" s="17">
        <v>5.012E8</v>
      </c>
      <c r="B15719" s="17">
        <v>8620110.0</v>
      </c>
    </row>
    <row r="15720">
      <c r="A15720" s="17">
        <v>5.012E8</v>
      </c>
      <c r="B15720" s="17">
        <v>8620120.0</v>
      </c>
    </row>
    <row r="15721">
      <c r="A15721" s="17">
        <v>5.012E8</v>
      </c>
      <c r="B15721" s="17">
        <v>8630000.0</v>
      </c>
    </row>
    <row r="15722">
      <c r="A15722" s="17">
        <v>5.012E8</v>
      </c>
      <c r="B15722" s="17">
        <v>8630000.0</v>
      </c>
    </row>
    <row r="15723">
      <c r="A15723" s="17">
        <v>5.012E8</v>
      </c>
      <c r="B15723" s="17">
        <v>8630000.0</v>
      </c>
    </row>
    <row r="15724">
      <c r="A15724" s="17">
        <v>5.012E8</v>
      </c>
      <c r="B15724" s="17">
        <v>8630100.0</v>
      </c>
    </row>
    <row r="15725">
      <c r="A15725" s="17">
        <v>5.012E8</v>
      </c>
      <c r="B15725" s="17">
        <v>8630100.0</v>
      </c>
    </row>
    <row r="15726">
      <c r="A15726" s="17">
        <v>5.012E8</v>
      </c>
      <c r="B15726" s="17">
        <v>8630100.0</v>
      </c>
    </row>
    <row r="15727">
      <c r="A15727" s="17">
        <v>5.012E8</v>
      </c>
      <c r="B15727" s="17">
        <v>8630200.0</v>
      </c>
    </row>
    <row r="15728">
      <c r="A15728" s="17">
        <v>5.012E8</v>
      </c>
      <c r="B15728" s="17">
        <v>8630300.0</v>
      </c>
    </row>
    <row r="15729">
      <c r="A15729" s="17">
        <v>5.012E8</v>
      </c>
      <c r="B15729" s="17">
        <v>8630400.0</v>
      </c>
    </row>
    <row r="15730">
      <c r="A15730" s="17">
        <v>5.012E8</v>
      </c>
      <c r="B15730" s="17">
        <v>8630500.0</v>
      </c>
    </row>
    <row r="15731">
      <c r="A15731" s="17">
        <v>5.012E8</v>
      </c>
      <c r="B15731" s="17">
        <v>8630600.0</v>
      </c>
    </row>
    <row r="15732">
      <c r="A15732" s="17">
        <v>5.012E8</v>
      </c>
      <c r="B15732" s="17">
        <v>8630700.0</v>
      </c>
    </row>
    <row r="15733">
      <c r="A15733" s="17">
        <v>5.012E8</v>
      </c>
      <c r="B15733" s="17">
        <v>8630800.0</v>
      </c>
    </row>
    <row r="15734">
      <c r="A15734" s="17">
        <v>5.012E8</v>
      </c>
      <c r="B15734" s="17">
        <v>8652000.0</v>
      </c>
    </row>
    <row r="15735">
      <c r="A15735" s="17">
        <v>5.012E8</v>
      </c>
      <c r="B15735" s="17">
        <v>8652010.0</v>
      </c>
    </row>
    <row r="15736">
      <c r="A15736" s="17">
        <v>5.012E8</v>
      </c>
      <c r="B15736" s="17">
        <v>8652020.0</v>
      </c>
    </row>
    <row r="15737">
      <c r="A15737" s="17">
        <v>5.012E8</v>
      </c>
      <c r="B15737" s="17">
        <v>8652100.0</v>
      </c>
    </row>
    <row r="15738">
      <c r="A15738" s="17">
        <v>5.012E8</v>
      </c>
      <c r="B15738" s="17">
        <v>8652110.0</v>
      </c>
    </row>
    <row r="15739">
      <c r="A15739" s="17">
        <v>5.012E8</v>
      </c>
      <c r="B15739" s="17">
        <v>8652120.0</v>
      </c>
    </row>
    <row r="15740">
      <c r="A15740" s="17">
        <v>5.012E8</v>
      </c>
      <c r="B15740" s="17">
        <v>8660000.0</v>
      </c>
    </row>
    <row r="15741">
      <c r="A15741" s="17">
        <v>5.012E8</v>
      </c>
      <c r="B15741" s="17">
        <v>8660001.0</v>
      </c>
    </row>
    <row r="15742">
      <c r="A15742" s="17">
        <v>5.012E8</v>
      </c>
      <c r="B15742" s="17">
        <v>8660002.0</v>
      </c>
    </row>
    <row r="15743">
      <c r="A15743" s="17">
        <v>5.012E8</v>
      </c>
      <c r="B15743" s="17">
        <v>8660100.0</v>
      </c>
    </row>
    <row r="15744">
      <c r="A15744" s="17">
        <v>5.012E8</v>
      </c>
      <c r="B15744" s="17">
        <v>8660101.0</v>
      </c>
    </row>
    <row r="15745">
      <c r="A15745" s="17">
        <v>5.012E8</v>
      </c>
      <c r="B15745" s="17">
        <v>8660102.0</v>
      </c>
    </row>
    <row r="15746">
      <c r="A15746" s="17">
        <v>5.012E8</v>
      </c>
      <c r="B15746" s="17">
        <v>8670000.0</v>
      </c>
    </row>
    <row r="15747">
      <c r="A15747" s="17">
        <v>5.012E8</v>
      </c>
      <c r="B15747" s="17">
        <v>8670001.0</v>
      </c>
    </row>
    <row r="15748">
      <c r="A15748" s="17">
        <v>5.012E8</v>
      </c>
      <c r="B15748" s="17">
        <v>8670002.0</v>
      </c>
    </row>
    <row r="15749">
      <c r="A15749" s="17">
        <v>5.012E8</v>
      </c>
      <c r="B15749" s="17">
        <v>8670100.0</v>
      </c>
    </row>
    <row r="15750">
      <c r="A15750" s="17">
        <v>5.012E8</v>
      </c>
      <c r="B15750" s="17">
        <v>8670101.0</v>
      </c>
    </row>
    <row r="15751">
      <c r="A15751" s="17">
        <v>5.012E8</v>
      </c>
      <c r="B15751" s="17">
        <v>8670102.0</v>
      </c>
    </row>
    <row r="15752">
      <c r="A15752" s="17">
        <v>5.012E8</v>
      </c>
      <c r="B15752" s="17">
        <v>8690000.0</v>
      </c>
    </row>
    <row r="15753">
      <c r="A15753" s="17">
        <v>5.012E8</v>
      </c>
      <c r="B15753" s="17">
        <v>8690100.0</v>
      </c>
    </row>
    <row r="15754">
      <c r="A15754" s="17">
        <v>5.012E8</v>
      </c>
      <c r="B15754" s="17">
        <v>8690200.0</v>
      </c>
    </row>
    <row r="15755">
      <c r="A15755" s="17">
        <v>5.012E8</v>
      </c>
      <c r="B15755" s="17">
        <v>8690300.0</v>
      </c>
    </row>
    <row r="15756">
      <c r="A15756" s="17">
        <v>5.012E8</v>
      </c>
      <c r="B15756" s="17">
        <v>8690400.0</v>
      </c>
    </row>
    <row r="15757">
      <c r="A15757" s="17">
        <v>5.012E8</v>
      </c>
      <c r="B15757" s="17">
        <v>8320500.0</v>
      </c>
    </row>
    <row r="15758">
      <c r="A15758" s="17">
        <v>5.012E8</v>
      </c>
      <c r="B15758" s="17">
        <v>8320510.0</v>
      </c>
    </row>
    <row r="15759">
      <c r="A15759" s="17">
        <v>5.012E8</v>
      </c>
      <c r="B15759" s="17">
        <v>8320520.0</v>
      </c>
    </row>
    <row r="15760">
      <c r="A15760" s="17">
        <v>5.012E8</v>
      </c>
      <c r="B15760" s="17">
        <v>8320600.0</v>
      </c>
    </row>
    <row r="15761">
      <c r="A15761" s="17">
        <v>5.012E8</v>
      </c>
      <c r="B15761" s="17">
        <v>8320610.0</v>
      </c>
    </row>
    <row r="15762">
      <c r="A15762" s="17">
        <v>5.012E8</v>
      </c>
      <c r="B15762" s="17">
        <v>8320620.0</v>
      </c>
    </row>
    <row r="15763">
      <c r="A15763" s="17">
        <v>5.012E8</v>
      </c>
      <c r="B15763" s="17">
        <v>8320700.0</v>
      </c>
    </row>
    <row r="15764">
      <c r="A15764" s="17">
        <v>5.012E8</v>
      </c>
      <c r="B15764" s="17">
        <v>8320710.0</v>
      </c>
    </row>
    <row r="15765">
      <c r="A15765" s="17">
        <v>5.012E8</v>
      </c>
      <c r="B15765" s="17">
        <v>8320720.0</v>
      </c>
    </row>
    <row r="15766">
      <c r="A15766" s="17">
        <v>5.012001E8</v>
      </c>
      <c r="B15766" s="17">
        <v>0.0</v>
      </c>
    </row>
    <row r="15767">
      <c r="A15767" s="17">
        <v>5.012001E8</v>
      </c>
      <c r="B15767" s="17">
        <v>8100100.0</v>
      </c>
    </row>
    <row r="15768">
      <c r="A15768" s="17">
        <v>5.012001E8</v>
      </c>
      <c r="B15768" s="17">
        <v>8100101.0</v>
      </c>
    </row>
    <row r="15769">
      <c r="A15769" s="17">
        <v>5.012001E8</v>
      </c>
      <c r="B15769" s="17">
        <v>8100102.0</v>
      </c>
    </row>
    <row r="15770">
      <c r="A15770" s="17">
        <v>5.012001E8</v>
      </c>
      <c r="B15770" s="17">
        <v>8100200.0</v>
      </c>
    </row>
    <row r="15771">
      <c r="A15771" s="17">
        <v>5.012001E8</v>
      </c>
      <c r="B15771" s="17">
        <v>8100201.0</v>
      </c>
    </row>
    <row r="15772">
      <c r="A15772" s="17">
        <v>5.012001E8</v>
      </c>
      <c r="B15772" s="17">
        <v>8100202.0</v>
      </c>
    </row>
    <row r="15773">
      <c r="A15773" s="17">
        <v>5.012001E8</v>
      </c>
      <c r="B15773" s="17">
        <v>8100300.0</v>
      </c>
    </row>
    <row r="15774">
      <c r="A15774" s="17">
        <v>5.012001E8</v>
      </c>
      <c r="B15774" s="17">
        <v>8100301.0</v>
      </c>
    </row>
    <row r="15775">
      <c r="A15775" s="17">
        <v>5.012001E8</v>
      </c>
      <c r="B15775" s="17">
        <v>8100302.0</v>
      </c>
    </row>
    <row r="15776">
      <c r="A15776" s="17">
        <v>5.012001E8</v>
      </c>
      <c r="B15776" s="17">
        <v>8100400.0</v>
      </c>
    </row>
    <row r="15777">
      <c r="A15777" s="17">
        <v>5.012001E8</v>
      </c>
      <c r="B15777" s="17">
        <v>8100401.0</v>
      </c>
    </row>
    <row r="15778">
      <c r="A15778" s="17">
        <v>5.012001E8</v>
      </c>
      <c r="B15778" s="17">
        <v>8100402.0</v>
      </c>
    </row>
    <row r="15779">
      <c r="A15779" s="17">
        <v>5.012001E8</v>
      </c>
      <c r="B15779" s="17">
        <v>8130000.0</v>
      </c>
    </row>
    <row r="15780">
      <c r="A15780" s="17">
        <v>5.012001E8</v>
      </c>
      <c r="B15780" s="17">
        <v>8130001.0</v>
      </c>
    </row>
    <row r="15781">
      <c r="A15781" s="17">
        <v>5.012001E8</v>
      </c>
      <c r="B15781" s="17">
        <v>8130002.0</v>
      </c>
    </row>
    <row r="15782">
      <c r="A15782" s="17">
        <v>5.012001E8</v>
      </c>
      <c r="B15782" s="17">
        <v>8140000.0</v>
      </c>
    </row>
    <row r="15783">
      <c r="A15783" s="17">
        <v>5.012001E8</v>
      </c>
      <c r="B15783" s="17">
        <v>8140001.0</v>
      </c>
    </row>
    <row r="15784">
      <c r="A15784" s="17">
        <v>5.012001E8</v>
      </c>
      <c r="B15784" s="17">
        <v>8140002.0</v>
      </c>
    </row>
    <row r="15785">
      <c r="A15785" s="17">
        <v>5.012001E8</v>
      </c>
      <c r="B15785" s="17">
        <v>8200100.0</v>
      </c>
    </row>
    <row r="15786">
      <c r="A15786" s="17">
        <v>5.012001E8</v>
      </c>
      <c r="B15786" s="17">
        <v>8200101.0</v>
      </c>
    </row>
    <row r="15787">
      <c r="A15787" s="17">
        <v>5.012001E8</v>
      </c>
      <c r="B15787" s="17">
        <v>8200102.0</v>
      </c>
    </row>
    <row r="15788">
      <c r="A15788" s="17">
        <v>5.012001E8</v>
      </c>
      <c r="B15788" s="17">
        <v>8200200.0</v>
      </c>
    </row>
    <row r="15789">
      <c r="A15789" s="17">
        <v>5.012001E8</v>
      </c>
      <c r="B15789" s="17">
        <v>8200201.0</v>
      </c>
    </row>
    <row r="15790">
      <c r="A15790" s="17">
        <v>5.012001E8</v>
      </c>
      <c r="B15790" s="17">
        <v>8200202.0</v>
      </c>
    </row>
    <row r="15791">
      <c r="A15791" s="17">
        <v>5.012001E8</v>
      </c>
      <c r="B15791" s="17">
        <v>8200300.0</v>
      </c>
    </row>
    <row r="15792">
      <c r="A15792" s="17">
        <v>5.012001E8</v>
      </c>
      <c r="B15792" s="17">
        <v>8200301.0</v>
      </c>
    </row>
    <row r="15793">
      <c r="A15793" s="17">
        <v>5.012001E8</v>
      </c>
      <c r="B15793" s="17">
        <v>8200302.0</v>
      </c>
    </row>
    <row r="15794">
      <c r="A15794" s="17">
        <v>5.012001E8</v>
      </c>
      <c r="B15794" s="17">
        <v>8200400.0</v>
      </c>
    </row>
    <row r="15795">
      <c r="A15795" s="17">
        <v>5.012001E8</v>
      </c>
      <c r="B15795" s="17">
        <v>8200401.0</v>
      </c>
    </row>
    <row r="15796">
      <c r="A15796" s="17">
        <v>5.012001E8</v>
      </c>
      <c r="B15796" s="17">
        <v>8200402.0</v>
      </c>
    </row>
    <row r="15797">
      <c r="A15797" s="17">
        <v>5.012001E8</v>
      </c>
      <c r="B15797" s="17">
        <v>8210000.0</v>
      </c>
    </row>
    <row r="15798">
      <c r="A15798" s="17">
        <v>5.012001E8</v>
      </c>
      <c r="B15798" s="17">
        <v>8210001.0</v>
      </c>
    </row>
    <row r="15799">
      <c r="A15799" s="17">
        <v>5.012001E8</v>
      </c>
      <c r="B15799" s="17">
        <v>8210002.0</v>
      </c>
    </row>
    <row r="15800">
      <c r="A15800" s="17">
        <v>5.012001E8</v>
      </c>
      <c r="B15800" s="17">
        <v>8210100.0</v>
      </c>
    </row>
    <row r="15801">
      <c r="A15801" s="17">
        <v>5.012001E8</v>
      </c>
      <c r="B15801" s="17">
        <v>8210101.0</v>
      </c>
    </row>
    <row r="15802">
      <c r="A15802" s="17">
        <v>5.012001E8</v>
      </c>
      <c r="B15802" s="17">
        <v>8210102.0</v>
      </c>
    </row>
    <row r="15803">
      <c r="A15803" s="17">
        <v>5.012001E8</v>
      </c>
      <c r="B15803" s="17">
        <v>8210200.0</v>
      </c>
    </row>
    <row r="15804">
      <c r="A15804" s="17">
        <v>5.012001E8</v>
      </c>
      <c r="B15804" s="17">
        <v>8210201.0</v>
      </c>
    </row>
    <row r="15805">
      <c r="A15805" s="17">
        <v>5.012001E8</v>
      </c>
      <c r="B15805" s="17">
        <v>8210202.0</v>
      </c>
    </row>
    <row r="15806">
      <c r="A15806" s="17">
        <v>5.012001E8</v>
      </c>
      <c r="B15806" s="17">
        <v>8210300.0</v>
      </c>
    </row>
    <row r="15807">
      <c r="A15807" s="17">
        <v>5.012001E8</v>
      </c>
      <c r="B15807" s="17">
        <v>8210301.0</v>
      </c>
    </row>
    <row r="15808">
      <c r="A15808" s="17">
        <v>5.012001E8</v>
      </c>
      <c r="B15808" s="17">
        <v>8210302.0</v>
      </c>
    </row>
    <row r="15809">
      <c r="A15809" s="17">
        <v>5.012001E8</v>
      </c>
      <c r="B15809" s="17">
        <v>8210400.0</v>
      </c>
    </row>
    <row r="15810">
      <c r="A15810" s="17">
        <v>5.012001E8</v>
      </c>
      <c r="B15810" s="17">
        <v>8210401.0</v>
      </c>
    </row>
    <row r="15811">
      <c r="A15811" s="17">
        <v>5.012001E8</v>
      </c>
      <c r="B15811" s="17">
        <v>8210402.0</v>
      </c>
    </row>
    <row r="15812">
      <c r="A15812" s="17">
        <v>5.012001E8</v>
      </c>
      <c r="B15812" s="17">
        <v>8210500.0</v>
      </c>
    </row>
    <row r="15813">
      <c r="A15813" s="17">
        <v>5.012001E8</v>
      </c>
      <c r="B15813" s="17">
        <v>8210501.0</v>
      </c>
    </row>
    <row r="15814">
      <c r="A15814" s="17">
        <v>5.012001E8</v>
      </c>
      <c r="B15814" s="17">
        <v>8210502.0</v>
      </c>
    </row>
    <row r="15815">
      <c r="A15815" s="17">
        <v>5.012001E8</v>
      </c>
      <c r="B15815" s="17">
        <v>8210600.0</v>
      </c>
    </row>
    <row r="15816">
      <c r="A15816" s="17">
        <v>5.012001E8</v>
      </c>
      <c r="B15816" s="17">
        <v>8210601.0</v>
      </c>
    </row>
    <row r="15817">
      <c r="A15817" s="17">
        <v>5.012001E8</v>
      </c>
      <c r="B15817" s="17">
        <v>8210602.0</v>
      </c>
    </row>
    <row r="15818">
      <c r="A15818" s="17">
        <v>5.012001E8</v>
      </c>
      <c r="B15818" s="17">
        <v>8220000.0</v>
      </c>
    </row>
    <row r="15819">
      <c r="A15819" s="17">
        <v>5.012001E8</v>
      </c>
      <c r="B15819" s="17">
        <v>8220001.0</v>
      </c>
    </row>
    <row r="15820">
      <c r="A15820" s="17">
        <v>5.012001E8</v>
      </c>
      <c r="B15820" s="17">
        <v>8220002.0</v>
      </c>
    </row>
    <row r="15821">
      <c r="A15821" s="17">
        <v>5.012001E8</v>
      </c>
      <c r="B15821" s="17">
        <v>8300000.0</v>
      </c>
    </row>
    <row r="15822">
      <c r="A15822" s="17">
        <v>5.012001E8</v>
      </c>
      <c r="B15822" s="17">
        <v>8300001.0</v>
      </c>
    </row>
    <row r="15823">
      <c r="A15823" s="17">
        <v>5.012001E8</v>
      </c>
      <c r="B15823" s="17">
        <v>8300002.0</v>
      </c>
    </row>
    <row r="15824">
      <c r="A15824" s="17">
        <v>5.012001E8</v>
      </c>
      <c r="B15824" s="17">
        <v>8310000.0</v>
      </c>
    </row>
    <row r="15825">
      <c r="A15825" s="17">
        <v>5.012001E8</v>
      </c>
      <c r="B15825" s="17">
        <v>8310001.0</v>
      </c>
    </row>
    <row r="15826">
      <c r="A15826" s="17">
        <v>5.012001E8</v>
      </c>
      <c r="B15826" s="17">
        <v>8310002.0</v>
      </c>
    </row>
    <row r="15827">
      <c r="A15827" s="17">
        <v>5.012001E8</v>
      </c>
      <c r="B15827" s="17">
        <v>8320000.0</v>
      </c>
    </row>
    <row r="15828">
      <c r="A15828" s="17">
        <v>5.012001E8</v>
      </c>
      <c r="B15828" s="17">
        <v>8320001.0</v>
      </c>
    </row>
    <row r="15829">
      <c r="A15829" s="17">
        <v>5.012001E8</v>
      </c>
      <c r="B15829" s="17">
        <v>8320002.0</v>
      </c>
    </row>
    <row r="15830">
      <c r="A15830" s="17">
        <v>5.012001E8</v>
      </c>
      <c r="B15830" s="17">
        <v>8320100.0</v>
      </c>
    </row>
    <row r="15831">
      <c r="A15831" s="17">
        <v>5.012001E8</v>
      </c>
      <c r="B15831" s="17">
        <v>8320101.0</v>
      </c>
    </row>
    <row r="15832">
      <c r="A15832" s="17">
        <v>5.012001E8</v>
      </c>
      <c r="B15832" s="17">
        <v>8320102.0</v>
      </c>
    </row>
    <row r="15833">
      <c r="A15833" s="17">
        <v>5.012001E8</v>
      </c>
      <c r="B15833" s="17">
        <v>8320300.0</v>
      </c>
    </row>
    <row r="15834">
      <c r="A15834" s="17">
        <v>5.012001E8</v>
      </c>
      <c r="B15834" s="17">
        <v>8320301.0</v>
      </c>
    </row>
    <row r="15835">
      <c r="A15835" s="17">
        <v>5.012001E8</v>
      </c>
      <c r="B15835" s="17">
        <v>8320302.0</v>
      </c>
    </row>
    <row r="15836">
      <c r="A15836" s="17">
        <v>5.012001E8</v>
      </c>
      <c r="B15836" s="17">
        <v>8320400.0</v>
      </c>
    </row>
    <row r="15837">
      <c r="A15837" s="17">
        <v>5.012001E8</v>
      </c>
      <c r="B15837" s="17">
        <v>8320410.0</v>
      </c>
    </row>
    <row r="15838">
      <c r="A15838" s="17">
        <v>5.012001E8</v>
      </c>
      <c r="B15838" s="17">
        <v>8320420.0</v>
      </c>
    </row>
    <row r="15839">
      <c r="A15839" s="17">
        <v>5.012001E8</v>
      </c>
      <c r="B15839" s="17">
        <v>8330000.0</v>
      </c>
    </row>
    <row r="15840">
      <c r="A15840" s="17">
        <v>5.012001E8</v>
      </c>
      <c r="B15840" s="17">
        <v>8330001.0</v>
      </c>
    </row>
    <row r="15841">
      <c r="A15841" s="17">
        <v>5.012001E8</v>
      </c>
      <c r="B15841" s="17">
        <v>8330002.0</v>
      </c>
    </row>
    <row r="15842">
      <c r="A15842" s="17">
        <v>5.012001E8</v>
      </c>
      <c r="B15842" s="17">
        <v>8330100.0</v>
      </c>
    </row>
    <row r="15843">
      <c r="A15843" s="17">
        <v>5.012001E8</v>
      </c>
      <c r="B15843" s="17">
        <v>8330101.0</v>
      </c>
    </row>
    <row r="15844">
      <c r="A15844" s="17">
        <v>5.012001E8</v>
      </c>
      <c r="B15844" s="17">
        <v>8330102.0</v>
      </c>
    </row>
    <row r="15845">
      <c r="A15845" s="17">
        <v>5.012001E8</v>
      </c>
      <c r="B15845" s="17">
        <v>8330200.0</v>
      </c>
    </row>
    <row r="15846">
      <c r="A15846" s="17">
        <v>5.012001E8</v>
      </c>
      <c r="B15846" s="17">
        <v>8330201.0</v>
      </c>
    </row>
    <row r="15847">
      <c r="A15847" s="17">
        <v>5.012001E8</v>
      </c>
      <c r="B15847" s="17">
        <v>8330202.0</v>
      </c>
    </row>
    <row r="15848">
      <c r="A15848" s="17">
        <v>5.012001E8</v>
      </c>
      <c r="B15848" s="17">
        <v>8330300.0</v>
      </c>
    </row>
    <row r="15849">
      <c r="A15849" s="17">
        <v>5.012001E8</v>
      </c>
      <c r="B15849" s="17">
        <v>8330301.0</v>
      </c>
    </row>
    <row r="15850">
      <c r="A15850" s="17">
        <v>5.012001E8</v>
      </c>
      <c r="B15850" s="17">
        <v>8330302.0</v>
      </c>
    </row>
    <row r="15851">
      <c r="A15851" s="17">
        <v>5.012001E8</v>
      </c>
      <c r="B15851" s="17">
        <v>8330400.0</v>
      </c>
    </row>
    <row r="15852">
      <c r="A15852" s="17">
        <v>5.012001E8</v>
      </c>
      <c r="B15852" s="17">
        <v>8330401.0</v>
      </c>
    </row>
    <row r="15853">
      <c r="A15853" s="17">
        <v>5.012001E8</v>
      </c>
      <c r="B15853" s="17">
        <v>8330600.0</v>
      </c>
    </row>
    <row r="15854">
      <c r="A15854" s="17">
        <v>5.012001E8</v>
      </c>
      <c r="B15854" s="17">
        <v>8330601.0</v>
      </c>
    </row>
    <row r="15855">
      <c r="A15855" s="17">
        <v>5.012001E8</v>
      </c>
      <c r="B15855" s="17">
        <v>8330602.0</v>
      </c>
    </row>
    <row r="15856">
      <c r="A15856" s="17">
        <v>5.012001E8</v>
      </c>
      <c r="B15856" s="17">
        <v>8330900.0</v>
      </c>
    </row>
    <row r="15857">
      <c r="A15857" s="17">
        <v>5.012001E8</v>
      </c>
      <c r="B15857" s="17">
        <v>8330910.0</v>
      </c>
    </row>
    <row r="15858">
      <c r="A15858" s="17">
        <v>5.012001E8</v>
      </c>
      <c r="B15858" s="17">
        <v>8330920.0</v>
      </c>
    </row>
    <row r="15859">
      <c r="A15859" s="17">
        <v>5.012001E8</v>
      </c>
      <c r="B15859" s="17">
        <v>8340000.0</v>
      </c>
    </row>
    <row r="15860">
      <c r="A15860" s="17">
        <v>5.012001E8</v>
      </c>
      <c r="B15860" s="17">
        <v>8340001.0</v>
      </c>
    </row>
    <row r="15861">
      <c r="A15861" s="17">
        <v>5.012001E8</v>
      </c>
      <c r="B15861" s="17">
        <v>8340002.0</v>
      </c>
    </row>
    <row r="15862">
      <c r="A15862" s="17">
        <v>5.012001E8</v>
      </c>
      <c r="B15862" s="17">
        <v>8340100.0</v>
      </c>
    </row>
    <row r="15863">
      <c r="A15863" s="17">
        <v>5.012001E8</v>
      </c>
      <c r="B15863" s="17">
        <v>8340101.0</v>
      </c>
    </row>
    <row r="15864">
      <c r="A15864" s="17">
        <v>5.012001E8</v>
      </c>
      <c r="B15864" s="17">
        <v>8340102.0</v>
      </c>
    </row>
    <row r="15865">
      <c r="A15865" s="17">
        <v>5.012001E8</v>
      </c>
      <c r="B15865" s="17">
        <v>8350000.0</v>
      </c>
    </row>
    <row r="15866">
      <c r="A15866" s="17">
        <v>5.012001E8</v>
      </c>
      <c r="B15866" s="17">
        <v>8350001.0</v>
      </c>
    </row>
    <row r="15867">
      <c r="A15867" s="17">
        <v>5.012001E8</v>
      </c>
      <c r="B15867" s="17">
        <v>8350002.0</v>
      </c>
    </row>
    <row r="15868">
      <c r="A15868" s="17">
        <v>5.012001E8</v>
      </c>
      <c r="B15868" s="17">
        <v>8350200.0</v>
      </c>
    </row>
    <row r="15869">
      <c r="A15869" s="17">
        <v>5.012001E8</v>
      </c>
      <c r="B15869" s="17">
        <v>8350201.0</v>
      </c>
    </row>
    <row r="15870">
      <c r="A15870" s="17">
        <v>5.012001E8</v>
      </c>
      <c r="B15870" s="17">
        <v>8350202.0</v>
      </c>
    </row>
    <row r="15871">
      <c r="A15871" s="17">
        <v>5.012001E8</v>
      </c>
      <c r="B15871" s="17">
        <v>8420000.0</v>
      </c>
    </row>
    <row r="15872">
      <c r="A15872" s="17">
        <v>5.012001E8</v>
      </c>
      <c r="B15872" s="17">
        <v>8420001.0</v>
      </c>
    </row>
    <row r="15873">
      <c r="A15873" s="17">
        <v>5.012001E8</v>
      </c>
      <c r="B15873" s="17">
        <v>8420002.0</v>
      </c>
    </row>
    <row r="15874">
      <c r="A15874" s="17">
        <v>5.012001E8</v>
      </c>
      <c r="B15874" s="17">
        <v>8450000.0</v>
      </c>
    </row>
    <row r="15875">
      <c r="A15875" s="17">
        <v>5.012001E8</v>
      </c>
      <c r="B15875" s="17">
        <v>8460100.0</v>
      </c>
    </row>
    <row r="15876">
      <c r="A15876" s="17">
        <v>5.012001E8</v>
      </c>
      <c r="B15876" s="17">
        <v>8460300.0</v>
      </c>
    </row>
    <row r="15877">
      <c r="A15877" s="17">
        <v>5.012001E8</v>
      </c>
      <c r="B15877" s="17">
        <v>8460500.0</v>
      </c>
    </row>
    <row r="15878">
      <c r="A15878" s="17">
        <v>5.012001E8</v>
      </c>
      <c r="B15878" s="17">
        <v>8510000.0</v>
      </c>
    </row>
    <row r="15879">
      <c r="A15879" s="17">
        <v>5.012001E8</v>
      </c>
      <c r="B15879" s="17">
        <v>8510001.0</v>
      </c>
    </row>
    <row r="15880">
      <c r="A15880" s="17">
        <v>5.012001E8</v>
      </c>
      <c r="B15880" s="17">
        <v>8510002.0</v>
      </c>
    </row>
    <row r="15881">
      <c r="A15881" s="17">
        <v>5.012001E8</v>
      </c>
      <c r="B15881" s="17">
        <v>8520000.0</v>
      </c>
    </row>
    <row r="15882">
      <c r="A15882" s="17">
        <v>5.012001E8</v>
      </c>
      <c r="B15882" s="17">
        <v>8520001.0</v>
      </c>
    </row>
    <row r="15883">
      <c r="A15883" s="17">
        <v>5.012001E8</v>
      </c>
      <c r="B15883" s="17">
        <v>8520002.0</v>
      </c>
    </row>
    <row r="15884">
      <c r="A15884" s="17">
        <v>5.012001E8</v>
      </c>
      <c r="B15884" s="17">
        <v>8530000.0</v>
      </c>
    </row>
    <row r="15885">
      <c r="A15885" s="17">
        <v>5.012001E8</v>
      </c>
      <c r="B15885" s="17">
        <v>8530100.0</v>
      </c>
    </row>
    <row r="15886">
      <c r="A15886" s="17">
        <v>5.012001E8</v>
      </c>
      <c r="B15886" s="17">
        <v>8540000.0</v>
      </c>
    </row>
    <row r="15887">
      <c r="A15887" s="17">
        <v>5.012001E8</v>
      </c>
      <c r="B15887" s="17">
        <v>8600100.0</v>
      </c>
    </row>
    <row r="15888">
      <c r="A15888" s="17">
        <v>5.012001E8</v>
      </c>
      <c r="B15888" s="17">
        <v>8600101.0</v>
      </c>
    </row>
    <row r="15889">
      <c r="A15889" s="17">
        <v>5.012001E8</v>
      </c>
      <c r="B15889" s="17">
        <v>8600102.0</v>
      </c>
    </row>
    <row r="15890">
      <c r="A15890" s="17">
        <v>5.012001E8</v>
      </c>
      <c r="B15890" s="17">
        <v>8600200.0</v>
      </c>
    </row>
    <row r="15891">
      <c r="A15891" s="17">
        <v>5.012001E8</v>
      </c>
      <c r="B15891" s="17">
        <v>8600201.0</v>
      </c>
    </row>
    <row r="15892">
      <c r="A15892" s="17">
        <v>5.012001E8</v>
      </c>
      <c r="B15892" s="17">
        <v>8600202.0</v>
      </c>
    </row>
    <row r="15893">
      <c r="A15893" s="17">
        <v>5.012001E8</v>
      </c>
      <c r="B15893" s="17">
        <v>8610300.0</v>
      </c>
    </row>
    <row r="15894">
      <c r="A15894" s="17">
        <v>5.012001E8</v>
      </c>
      <c r="B15894" s="17">
        <v>8610400.0</v>
      </c>
    </row>
    <row r="15895">
      <c r="A15895" s="17">
        <v>5.012001E8</v>
      </c>
      <c r="B15895" s="17">
        <v>8610500.0</v>
      </c>
    </row>
    <row r="15896">
      <c r="A15896" s="17">
        <v>5.012001E8</v>
      </c>
      <c r="B15896" s="17">
        <v>8610600.0</v>
      </c>
    </row>
    <row r="15897">
      <c r="A15897" s="17">
        <v>5.012001E8</v>
      </c>
      <c r="B15897" s="17">
        <v>8610700.0</v>
      </c>
    </row>
    <row r="15898">
      <c r="A15898" s="17">
        <v>5.012001E8</v>
      </c>
      <c r="B15898" s="17">
        <v>8610710.0</v>
      </c>
    </row>
    <row r="15899">
      <c r="A15899" s="17">
        <v>5.012001E8</v>
      </c>
      <c r="B15899" s="17">
        <v>8610720.0</v>
      </c>
    </row>
    <row r="15900">
      <c r="A15900" s="17">
        <v>5.012001E8</v>
      </c>
      <c r="B15900" s="17">
        <v>8620000.0</v>
      </c>
    </row>
    <row r="15901">
      <c r="A15901" s="17">
        <v>5.012001E8</v>
      </c>
      <c r="B15901" s="17">
        <v>8620010.0</v>
      </c>
    </row>
    <row r="15902">
      <c r="A15902" s="17">
        <v>5.012001E8</v>
      </c>
      <c r="B15902" s="17">
        <v>8620020.0</v>
      </c>
    </row>
    <row r="15903">
      <c r="A15903" s="17">
        <v>5.012001E8</v>
      </c>
      <c r="B15903" s="17">
        <v>8620100.0</v>
      </c>
    </row>
    <row r="15904">
      <c r="A15904" s="17">
        <v>5.012001E8</v>
      </c>
      <c r="B15904" s="17">
        <v>8620110.0</v>
      </c>
    </row>
    <row r="15905">
      <c r="A15905" s="17">
        <v>5.012001E8</v>
      </c>
      <c r="B15905" s="17">
        <v>8620120.0</v>
      </c>
    </row>
    <row r="15906">
      <c r="A15906" s="17">
        <v>5.012001E8</v>
      </c>
      <c r="B15906" s="17">
        <v>8630000.0</v>
      </c>
    </row>
    <row r="15907">
      <c r="A15907" s="17">
        <v>5.012001E8</v>
      </c>
      <c r="B15907" s="17">
        <v>8630000.0</v>
      </c>
    </row>
    <row r="15908">
      <c r="A15908" s="17">
        <v>5.012001E8</v>
      </c>
      <c r="B15908" s="17">
        <v>8630000.0</v>
      </c>
    </row>
    <row r="15909">
      <c r="A15909" s="17">
        <v>5.012001E8</v>
      </c>
      <c r="B15909" s="17">
        <v>8630100.0</v>
      </c>
    </row>
    <row r="15910">
      <c r="A15910" s="17">
        <v>5.012001E8</v>
      </c>
      <c r="B15910" s="17">
        <v>8630100.0</v>
      </c>
    </row>
    <row r="15911">
      <c r="A15911" s="17">
        <v>5.012001E8</v>
      </c>
      <c r="B15911" s="17">
        <v>8630100.0</v>
      </c>
    </row>
    <row r="15912">
      <c r="A15912" s="17">
        <v>5.012001E8</v>
      </c>
      <c r="B15912" s="17">
        <v>8630200.0</v>
      </c>
    </row>
    <row r="15913">
      <c r="A15913" s="17">
        <v>5.012001E8</v>
      </c>
      <c r="B15913" s="17">
        <v>8630300.0</v>
      </c>
    </row>
    <row r="15914">
      <c r="A15914" s="17">
        <v>5.012001E8</v>
      </c>
      <c r="B15914" s="17">
        <v>8630400.0</v>
      </c>
    </row>
    <row r="15915">
      <c r="A15915" s="17">
        <v>5.012001E8</v>
      </c>
      <c r="B15915" s="17">
        <v>8630500.0</v>
      </c>
    </row>
    <row r="15916">
      <c r="A15916" s="17">
        <v>5.012001E8</v>
      </c>
      <c r="B15916" s="17">
        <v>8630600.0</v>
      </c>
    </row>
    <row r="15917">
      <c r="A15917" s="17">
        <v>5.012001E8</v>
      </c>
      <c r="B15917" s="17">
        <v>8630700.0</v>
      </c>
    </row>
    <row r="15918">
      <c r="A15918" s="17">
        <v>5.012001E8</v>
      </c>
      <c r="B15918" s="17">
        <v>8630800.0</v>
      </c>
    </row>
    <row r="15919">
      <c r="A15919" s="17">
        <v>5.012001E8</v>
      </c>
      <c r="B15919" s="17">
        <v>8652000.0</v>
      </c>
    </row>
    <row r="15920">
      <c r="A15920" s="17">
        <v>5.012001E8</v>
      </c>
      <c r="B15920" s="17">
        <v>8652010.0</v>
      </c>
    </row>
    <row r="15921">
      <c r="A15921" s="17">
        <v>5.012001E8</v>
      </c>
      <c r="B15921" s="17">
        <v>8652020.0</v>
      </c>
    </row>
    <row r="15922">
      <c r="A15922" s="17">
        <v>5.012001E8</v>
      </c>
      <c r="B15922" s="17">
        <v>8652100.0</v>
      </c>
    </row>
    <row r="15923">
      <c r="A15923" s="17">
        <v>5.012001E8</v>
      </c>
      <c r="B15923" s="17">
        <v>8652110.0</v>
      </c>
    </row>
    <row r="15924">
      <c r="A15924" s="17">
        <v>5.012001E8</v>
      </c>
      <c r="B15924" s="17">
        <v>8652120.0</v>
      </c>
    </row>
    <row r="15925">
      <c r="A15925" s="17">
        <v>5.012001E8</v>
      </c>
      <c r="B15925" s="17">
        <v>8660000.0</v>
      </c>
    </row>
    <row r="15926">
      <c r="A15926" s="17">
        <v>5.012001E8</v>
      </c>
      <c r="B15926" s="17">
        <v>8660001.0</v>
      </c>
    </row>
    <row r="15927">
      <c r="A15927" s="17">
        <v>5.012001E8</v>
      </c>
      <c r="B15927" s="17">
        <v>8660002.0</v>
      </c>
    </row>
    <row r="15928">
      <c r="A15928" s="17">
        <v>5.012001E8</v>
      </c>
      <c r="B15928" s="17">
        <v>8660100.0</v>
      </c>
    </row>
    <row r="15929">
      <c r="A15929" s="17">
        <v>5.012001E8</v>
      </c>
      <c r="B15929" s="17">
        <v>8660101.0</v>
      </c>
    </row>
    <row r="15930">
      <c r="A15930" s="17">
        <v>5.012001E8</v>
      </c>
      <c r="B15930" s="17">
        <v>8660102.0</v>
      </c>
    </row>
    <row r="15931">
      <c r="A15931" s="17">
        <v>5.012001E8</v>
      </c>
      <c r="B15931" s="17">
        <v>8670000.0</v>
      </c>
    </row>
    <row r="15932">
      <c r="A15932" s="17">
        <v>5.012001E8</v>
      </c>
      <c r="B15932" s="17">
        <v>8670001.0</v>
      </c>
    </row>
    <row r="15933">
      <c r="A15933" s="17">
        <v>5.012001E8</v>
      </c>
      <c r="B15933" s="17">
        <v>8670002.0</v>
      </c>
    </row>
    <row r="15934">
      <c r="A15934" s="17">
        <v>5.012001E8</v>
      </c>
      <c r="B15934" s="17">
        <v>8670100.0</v>
      </c>
    </row>
    <row r="15935">
      <c r="A15935" s="17">
        <v>5.012001E8</v>
      </c>
      <c r="B15935" s="17">
        <v>8670101.0</v>
      </c>
    </row>
    <row r="15936">
      <c r="A15936" s="17">
        <v>5.012001E8</v>
      </c>
      <c r="B15936" s="17">
        <v>8670102.0</v>
      </c>
    </row>
    <row r="15937">
      <c r="A15937" s="17">
        <v>5.012001E8</v>
      </c>
      <c r="B15937" s="17">
        <v>8690000.0</v>
      </c>
    </row>
    <row r="15938">
      <c r="A15938" s="17">
        <v>5.012001E8</v>
      </c>
      <c r="B15938" s="17">
        <v>8690100.0</v>
      </c>
    </row>
    <row r="15939">
      <c r="A15939" s="17">
        <v>5.012001E8</v>
      </c>
      <c r="B15939" s="17">
        <v>8690200.0</v>
      </c>
    </row>
    <row r="15940">
      <c r="A15940" s="17">
        <v>5.012001E8</v>
      </c>
      <c r="B15940" s="17">
        <v>8690300.0</v>
      </c>
    </row>
    <row r="15941">
      <c r="A15941" s="17">
        <v>5.012001E8</v>
      </c>
      <c r="B15941" s="17">
        <v>8690400.0</v>
      </c>
    </row>
    <row r="15942">
      <c r="A15942" s="17">
        <v>5.012001E8</v>
      </c>
      <c r="B15942" s="17">
        <v>8320500.0</v>
      </c>
    </row>
    <row r="15943">
      <c r="A15943" s="17">
        <v>5.012001E8</v>
      </c>
      <c r="B15943" s="17">
        <v>8320510.0</v>
      </c>
    </row>
    <row r="15944">
      <c r="A15944" s="17">
        <v>5.012001E8</v>
      </c>
      <c r="B15944" s="17">
        <v>8320520.0</v>
      </c>
    </row>
    <row r="15945">
      <c r="A15945" s="17">
        <v>5.012001E8</v>
      </c>
      <c r="B15945" s="17">
        <v>8320600.0</v>
      </c>
    </row>
    <row r="15946">
      <c r="A15946" s="17">
        <v>5.012001E8</v>
      </c>
      <c r="B15946" s="17">
        <v>8320610.0</v>
      </c>
    </row>
    <row r="15947">
      <c r="A15947" s="17">
        <v>5.012001E8</v>
      </c>
      <c r="B15947" s="17">
        <v>8320620.0</v>
      </c>
    </row>
    <row r="15948">
      <c r="A15948" s="17">
        <v>5.012001E8</v>
      </c>
      <c r="B15948" s="17">
        <v>8320700.0</v>
      </c>
    </row>
    <row r="15949">
      <c r="A15949" s="17">
        <v>5.012001E8</v>
      </c>
      <c r="B15949" s="17">
        <v>8320710.0</v>
      </c>
    </row>
    <row r="15950">
      <c r="A15950" s="17">
        <v>5.012001E8</v>
      </c>
      <c r="B15950" s="17">
        <v>8320720.0</v>
      </c>
    </row>
    <row r="15951">
      <c r="A15951" s="17">
        <v>5.012002E8</v>
      </c>
      <c r="B15951" s="17">
        <v>0.0</v>
      </c>
    </row>
    <row r="15952">
      <c r="A15952" s="17">
        <v>5.012002E8</v>
      </c>
      <c r="B15952" s="17">
        <v>8100100.0</v>
      </c>
    </row>
    <row r="15953">
      <c r="A15953" s="17">
        <v>5.012002E8</v>
      </c>
      <c r="B15953" s="17">
        <v>8100101.0</v>
      </c>
    </row>
    <row r="15954">
      <c r="A15954" s="17">
        <v>5.012002E8</v>
      </c>
      <c r="B15954" s="17">
        <v>8100102.0</v>
      </c>
    </row>
    <row r="15955">
      <c r="A15955" s="17">
        <v>5.012002E8</v>
      </c>
      <c r="B15955" s="17">
        <v>8100200.0</v>
      </c>
    </row>
    <row r="15956">
      <c r="A15956" s="17">
        <v>5.012002E8</v>
      </c>
      <c r="B15956" s="17">
        <v>8100201.0</v>
      </c>
    </row>
    <row r="15957">
      <c r="A15957" s="17">
        <v>5.012002E8</v>
      </c>
      <c r="B15957" s="17">
        <v>8100202.0</v>
      </c>
    </row>
    <row r="15958">
      <c r="A15958" s="17">
        <v>5.012002E8</v>
      </c>
      <c r="B15958" s="17">
        <v>8100300.0</v>
      </c>
    </row>
    <row r="15959">
      <c r="A15959" s="17">
        <v>5.012002E8</v>
      </c>
      <c r="B15959" s="17">
        <v>8100301.0</v>
      </c>
    </row>
    <row r="15960">
      <c r="A15960" s="17">
        <v>5.012002E8</v>
      </c>
      <c r="B15960" s="17">
        <v>8100302.0</v>
      </c>
    </row>
    <row r="15961">
      <c r="A15961" s="17">
        <v>5.012002E8</v>
      </c>
      <c r="B15961" s="17">
        <v>8100400.0</v>
      </c>
    </row>
    <row r="15962">
      <c r="A15962" s="17">
        <v>5.012002E8</v>
      </c>
      <c r="B15962" s="17">
        <v>8100401.0</v>
      </c>
    </row>
    <row r="15963">
      <c r="A15963" s="17">
        <v>5.012002E8</v>
      </c>
      <c r="B15963" s="17">
        <v>8100402.0</v>
      </c>
    </row>
    <row r="15964">
      <c r="A15964" s="17">
        <v>5.012002E8</v>
      </c>
      <c r="B15964" s="17">
        <v>8130000.0</v>
      </c>
    </row>
    <row r="15965">
      <c r="A15965" s="17">
        <v>5.012002E8</v>
      </c>
      <c r="B15965" s="17">
        <v>8130001.0</v>
      </c>
    </row>
    <row r="15966">
      <c r="A15966" s="17">
        <v>5.012002E8</v>
      </c>
      <c r="B15966" s="17">
        <v>8130002.0</v>
      </c>
    </row>
    <row r="15967">
      <c r="A15967" s="17">
        <v>5.012002E8</v>
      </c>
      <c r="B15967" s="17">
        <v>8140000.0</v>
      </c>
    </row>
    <row r="15968">
      <c r="A15968" s="17">
        <v>5.012002E8</v>
      </c>
      <c r="B15968" s="17">
        <v>8140001.0</v>
      </c>
    </row>
    <row r="15969">
      <c r="A15969" s="17">
        <v>5.012002E8</v>
      </c>
      <c r="B15969" s="17">
        <v>8140002.0</v>
      </c>
    </row>
    <row r="15970">
      <c r="A15970" s="17">
        <v>5.012002E8</v>
      </c>
      <c r="B15970" s="17">
        <v>8200100.0</v>
      </c>
    </row>
    <row r="15971">
      <c r="A15971" s="17">
        <v>5.012002E8</v>
      </c>
      <c r="B15971" s="17">
        <v>8200101.0</v>
      </c>
    </row>
    <row r="15972">
      <c r="A15972" s="17">
        <v>5.012002E8</v>
      </c>
      <c r="B15972" s="17">
        <v>8200102.0</v>
      </c>
    </row>
    <row r="15973">
      <c r="A15973" s="17">
        <v>5.012002E8</v>
      </c>
      <c r="B15973" s="17">
        <v>8200200.0</v>
      </c>
    </row>
    <row r="15974">
      <c r="A15974" s="17">
        <v>5.012002E8</v>
      </c>
      <c r="B15974" s="17">
        <v>8200201.0</v>
      </c>
    </row>
    <row r="15975">
      <c r="A15975" s="17">
        <v>5.012002E8</v>
      </c>
      <c r="B15975" s="17">
        <v>8200202.0</v>
      </c>
    </row>
    <row r="15976">
      <c r="A15976" s="17">
        <v>5.012002E8</v>
      </c>
      <c r="B15976" s="17">
        <v>8200300.0</v>
      </c>
    </row>
    <row r="15977">
      <c r="A15977" s="17">
        <v>5.012002E8</v>
      </c>
      <c r="B15977" s="17">
        <v>8200301.0</v>
      </c>
    </row>
    <row r="15978">
      <c r="A15978" s="17">
        <v>5.012002E8</v>
      </c>
      <c r="B15978" s="17">
        <v>8200302.0</v>
      </c>
    </row>
    <row r="15979">
      <c r="A15979" s="17">
        <v>5.012002E8</v>
      </c>
      <c r="B15979" s="17">
        <v>8200400.0</v>
      </c>
    </row>
    <row r="15980">
      <c r="A15980" s="17">
        <v>5.012002E8</v>
      </c>
      <c r="B15980" s="17">
        <v>8200401.0</v>
      </c>
    </row>
    <row r="15981">
      <c r="A15981" s="17">
        <v>5.012002E8</v>
      </c>
      <c r="B15981" s="17">
        <v>8200402.0</v>
      </c>
    </row>
    <row r="15982">
      <c r="A15982" s="17">
        <v>5.012002E8</v>
      </c>
      <c r="B15982" s="17">
        <v>8210000.0</v>
      </c>
    </row>
    <row r="15983">
      <c r="A15983" s="17">
        <v>5.012002E8</v>
      </c>
      <c r="B15983" s="17">
        <v>8210001.0</v>
      </c>
    </row>
    <row r="15984">
      <c r="A15984" s="17">
        <v>5.012002E8</v>
      </c>
      <c r="B15984" s="17">
        <v>8210002.0</v>
      </c>
    </row>
    <row r="15985">
      <c r="A15985" s="17">
        <v>5.012002E8</v>
      </c>
      <c r="B15985" s="17">
        <v>8210100.0</v>
      </c>
    </row>
    <row r="15986">
      <c r="A15986" s="17">
        <v>5.012002E8</v>
      </c>
      <c r="B15986" s="17">
        <v>8210101.0</v>
      </c>
    </row>
    <row r="15987">
      <c r="A15987" s="17">
        <v>5.012002E8</v>
      </c>
      <c r="B15987" s="17">
        <v>8210102.0</v>
      </c>
    </row>
    <row r="15988">
      <c r="A15988" s="17">
        <v>5.012002E8</v>
      </c>
      <c r="B15988" s="17">
        <v>8210200.0</v>
      </c>
    </row>
    <row r="15989">
      <c r="A15989" s="17">
        <v>5.012002E8</v>
      </c>
      <c r="B15989" s="17">
        <v>8210201.0</v>
      </c>
    </row>
    <row r="15990">
      <c r="A15990" s="17">
        <v>5.012002E8</v>
      </c>
      <c r="B15990" s="17">
        <v>8210202.0</v>
      </c>
    </row>
    <row r="15991">
      <c r="A15991" s="17">
        <v>5.012002E8</v>
      </c>
      <c r="B15991" s="17">
        <v>8210300.0</v>
      </c>
    </row>
    <row r="15992">
      <c r="A15992" s="17">
        <v>5.012002E8</v>
      </c>
      <c r="B15992" s="17">
        <v>8210301.0</v>
      </c>
    </row>
    <row r="15993">
      <c r="A15993" s="17">
        <v>5.012002E8</v>
      </c>
      <c r="B15993" s="17">
        <v>8210302.0</v>
      </c>
    </row>
    <row r="15994">
      <c r="A15994" s="17">
        <v>5.012002E8</v>
      </c>
      <c r="B15994" s="17">
        <v>8210400.0</v>
      </c>
    </row>
    <row r="15995">
      <c r="A15995" s="17">
        <v>5.012002E8</v>
      </c>
      <c r="B15995" s="17">
        <v>8210401.0</v>
      </c>
    </row>
    <row r="15996">
      <c r="A15996" s="17">
        <v>5.012002E8</v>
      </c>
      <c r="B15996" s="17">
        <v>8210402.0</v>
      </c>
    </row>
    <row r="15997">
      <c r="A15997" s="17">
        <v>5.012002E8</v>
      </c>
      <c r="B15997" s="17">
        <v>8210500.0</v>
      </c>
    </row>
    <row r="15998">
      <c r="A15998" s="17">
        <v>5.012002E8</v>
      </c>
      <c r="B15998" s="17">
        <v>8210501.0</v>
      </c>
    </row>
    <row r="15999">
      <c r="A15999" s="17">
        <v>5.012002E8</v>
      </c>
      <c r="B15999" s="17">
        <v>8210502.0</v>
      </c>
    </row>
    <row r="16000">
      <c r="A16000" s="17">
        <v>5.012002E8</v>
      </c>
      <c r="B16000" s="17">
        <v>8210600.0</v>
      </c>
    </row>
    <row r="16001">
      <c r="A16001" s="17">
        <v>5.012002E8</v>
      </c>
      <c r="B16001" s="17">
        <v>8210601.0</v>
      </c>
    </row>
    <row r="16002">
      <c r="A16002" s="17">
        <v>5.012002E8</v>
      </c>
      <c r="B16002" s="17">
        <v>8210602.0</v>
      </c>
    </row>
    <row r="16003">
      <c r="A16003" s="17">
        <v>5.012002E8</v>
      </c>
      <c r="B16003" s="17">
        <v>8220000.0</v>
      </c>
    </row>
    <row r="16004">
      <c r="A16004" s="17">
        <v>5.012002E8</v>
      </c>
      <c r="B16004" s="17">
        <v>8220001.0</v>
      </c>
    </row>
    <row r="16005">
      <c r="A16005" s="17">
        <v>5.012002E8</v>
      </c>
      <c r="B16005" s="17">
        <v>8220002.0</v>
      </c>
    </row>
    <row r="16006">
      <c r="A16006" s="17">
        <v>5.012002E8</v>
      </c>
      <c r="B16006" s="17">
        <v>8300000.0</v>
      </c>
    </row>
    <row r="16007">
      <c r="A16007" s="17">
        <v>5.012002E8</v>
      </c>
      <c r="B16007" s="17">
        <v>8300001.0</v>
      </c>
    </row>
    <row r="16008">
      <c r="A16008" s="17">
        <v>5.012002E8</v>
      </c>
      <c r="B16008" s="17">
        <v>8300002.0</v>
      </c>
    </row>
    <row r="16009">
      <c r="A16009" s="17">
        <v>5.012002E8</v>
      </c>
      <c r="B16009" s="17">
        <v>8310000.0</v>
      </c>
    </row>
    <row r="16010">
      <c r="A16010" s="17">
        <v>5.012002E8</v>
      </c>
      <c r="B16010" s="17">
        <v>8310001.0</v>
      </c>
    </row>
    <row r="16011">
      <c r="A16011" s="17">
        <v>5.012002E8</v>
      </c>
      <c r="B16011" s="17">
        <v>8310002.0</v>
      </c>
    </row>
    <row r="16012">
      <c r="A16012" s="17">
        <v>5.012002E8</v>
      </c>
      <c r="B16012" s="17">
        <v>8320000.0</v>
      </c>
    </row>
    <row r="16013">
      <c r="A16013" s="17">
        <v>5.012002E8</v>
      </c>
      <c r="B16013" s="17">
        <v>8320001.0</v>
      </c>
    </row>
    <row r="16014">
      <c r="A16014" s="17">
        <v>5.012002E8</v>
      </c>
      <c r="B16014" s="17">
        <v>8320002.0</v>
      </c>
    </row>
    <row r="16015">
      <c r="A16015" s="17">
        <v>5.012002E8</v>
      </c>
      <c r="B16015" s="17">
        <v>8320100.0</v>
      </c>
    </row>
    <row r="16016">
      <c r="A16016" s="17">
        <v>5.012002E8</v>
      </c>
      <c r="B16016" s="17">
        <v>8320101.0</v>
      </c>
    </row>
    <row r="16017">
      <c r="A16017" s="17">
        <v>5.012002E8</v>
      </c>
      <c r="B16017" s="17">
        <v>8320102.0</v>
      </c>
    </row>
    <row r="16018">
      <c r="A16018" s="17">
        <v>5.012002E8</v>
      </c>
      <c r="B16018" s="17">
        <v>8320300.0</v>
      </c>
    </row>
    <row r="16019">
      <c r="A16019" s="17">
        <v>5.012002E8</v>
      </c>
      <c r="B16019" s="17">
        <v>8320301.0</v>
      </c>
    </row>
    <row r="16020">
      <c r="A16020" s="17">
        <v>5.012002E8</v>
      </c>
      <c r="B16020" s="17">
        <v>8320302.0</v>
      </c>
    </row>
    <row r="16021">
      <c r="A16021" s="17">
        <v>5.012002E8</v>
      </c>
      <c r="B16021" s="17">
        <v>8320400.0</v>
      </c>
    </row>
    <row r="16022">
      <c r="A16022" s="17">
        <v>5.012002E8</v>
      </c>
      <c r="B16022" s="17">
        <v>8320410.0</v>
      </c>
    </row>
    <row r="16023">
      <c r="A16023" s="17">
        <v>5.012002E8</v>
      </c>
      <c r="B16023" s="17">
        <v>8320420.0</v>
      </c>
    </row>
    <row r="16024">
      <c r="A16024" s="17">
        <v>5.012002E8</v>
      </c>
      <c r="B16024" s="17">
        <v>8330000.0</v>
      </c>
    </row>
    <row r="16025">
      <c r="A16025" s="17">
        <v>5.012002E8</v>
      </c>
      <c r="B16025" s="17">
        <v>8330001.0</v>
      </c>
    </row>
    <row r="16026">
      <c r="A16026" s="17">
        <v>5.012002E8</v>
      </c>
      <c r="B16026" s="17">
        <v>8330002.0</v>
      </c>
    </row>
    <row r="16027">
      <c r="A16027" s="17">
        <v>5.012002E8</v>
      </c>
      <c r="B16027" s="17">
        <v>8330100.0</v>
      </c>
    </row>
    <row r="16028">
      <c r="A16028" s="17">
        <v>5.012002E8</v>
      </c>
      <c r="B16028" s="17">
        <v>8330101.0</v>
      </c>
    </row>
    <row r="16029">
      <c r="A16029" s="17">
        <v>5.012002E8</v>
      </c>
      <c r="B16029" s="17">
        <v>8330102.0</v>
      </c>
    </row>
    <row r="16030">
      <c r="A16030" s="17">
        <v>5.012002E8</v>
      </c>
      <c r="B16030" s="17">
        <v>8330200.0</v>
      </c>
    </row>
    <row r="16031">
      <c r="A16031" s="17">
        <v>5.012002E8</v>
      </c>
      <c r="B16031" s="17">
        <v>8330201.0</v>
      </c>
    </row>
    <row r="16032">
      <c r="A16032" s="17">
        <v>5.012002E8</v>
      </c>
      <c r="B16032" s="17">
        <v>8330202.0</v>
      </c>
    </row>
    <row r="16033">
      <c r="A16033" s="17">
        <v>5.012002E8</v>
      </c>
      <c r="B16033" s="17">
        <v>8330300.0</v>
      </c>
    </row>
    <row r="16034">
      <c r="A16034" s="17">
        <v>5.012002E8</v>
      </c>
      <c r="B16034" s="17">
        <v>8330301.0</v>
      </c>
    </row>
    <row r="16035">
      <c r="A16035" s="17">
        <v>5.012002E8</v>
      </c>
      <c r="B16035" s="17">
        <v>8330302.0</v>
      </c>
    </row>
    <row r="16036">
      <c r="A16036" s="17">
        <v>5.012002E8</v>
      </c>
      <c r="B16036" s="17">
        <v>8330400.0</v>
      </c>
    </row>
    <row r="16037">
      <c r="A16037" s="17">
        <v>5.012002E8</v>
      </c>
      <c r="B16037" s="17">
        <v>8330401.0</v>
      </c>
    </row>
    <row r="16038">
      <c r="A16038" s="17">
        <v>5.012002E8</v>
      </c>
      <c r="B16038" s="17">
        <v>8330600.0</v>
      </c>
    </row>
    <row r="16039">
      <c r="A16039" s="17">
        <v>5.012002E8</v>
      </c>
      <c r="B16039" s="17">
        <v>8330601.0</v>
      </c>
    </row>
    <row r="16040">
      <c r="A16040" s="17">
        <v>5.012002E8</v>
      </c>
      <c r="B16040" s="17">
        <v>8330602.0</v>
      </c>
    </row>
    <row r="16041">
      <c r="A16041" s="17">
        <v>5.012002E8</v>
      </c>
      <c r="B16041" s="17">
        <v>8330900.0</v>
      </c>
    </row>
    <row r="16042">
      <c r="A16042" s="17">
        <v>5.012002E8</v>
      </c>
      <c r="B16042" s="17">
        <v>8330910.0</v>
      </c>
    </row>
    <row r="16043">
      <c r="A16043" s="17">
        <v>5.012002E8</v>
      </c>
      <c r="B16043" s="17">
        <v>8330920.0</v>
      </c>
    </row>
    <row r="16044">
      <c r="A16044" s="17">
        <v>5.012002E8</v>
      </c>
      <c r="B16044" s="17">
        <v>8340000.0</v>
      </c>
    </row>
    <row r="16045">
      <c r="A16045" s="17">
        <v>5.012002E8</v>
      </c>
      <c r="B16045" s="17">
        <v>8340001.0</v>
      </c>
    </row>
    <row r="16046">
      <c r="A16046" s="17">
        <v>5.012002E8</v>
      </c>
      <c r="B16046" s="17">
        <v>8340002.0</v>
      </c>
    </row>
    <row r="16047">
      <c r="A16047" s="17">
        <v>5.012002E8</v>
      </c>
      <c r="B16047" s="17">
        <v>8340100.0</v>
      </c>
    </row>
    <row r="16048">
      <c r="A16048" s="17">
        <v>5.012002E8</v>
      </c>
      <c r="B16048" s="17">
        <v>8340101.0</v>
      </c>
    </row>
    <row r="16049">
      <c r="A16049" s="17">
        <v>5.012002E8</v>
      </c>
      <c r="B16049" s="17">
        <v>8340102.0</v>
      </c>
    </row>
    <row r="16050">
      <c r="A16050" s="17">
        <v>5.012002E8</v>
      </c>
      <c r="B16050" s="17">
        <v>8350000.0</v>
      </c>
    </row>
    <row r="16051">
      <c r="A16051" s="17">
        <v>5.012002E8</v>
      </c>
      <c r="B16051" s="17">
        <v>8350001.0</v>
      </c>
    </row>
    <row r="16052">
      <c r="A16052" s="17">
        <v>5.012002E8</v>
      </c>
      <c r="B16052" s="17">
        <v>8350002.0</v>
      </c>
    </row>
    <row r="16053">
      <c r="A16053" s="17">
        <v>5.012002E8</v>
      </c>
      <c r="B16053" s="17">
        <v>8350200.0</v>
      </c>
    </row>
    <row r="16054">
      <c r="A16054" s="17">
        <v>5.012002E8</v>
      </c>
      <c r="B16054" s="17">
        <v>8350201.0</v>
      </c>
    </row>
    <row r="16055">
      <c r="A16055" s="17">
        <v>5.012002E8</v>
      </c>
      <c r="B16055" s="17">
        <v>8350202.0</v>
      </c>
    </row>
    <row r="16056">
      <c r="A16056" s="17">
        <v>5.012002E8</v>
      </c>
      <c r="B16056" s="17">
        <v>8420000.0</v>
      </c>
    </row>
    <row r="16057">
      <c r="A16057" s="17">
        <v>5.012002E8</v>
      </c>
      <c r="B16057" s="17">
        <v>8420001.0</v>
      </c>
    </row>
    <row r="16058">
      <c r="A16058" s="17">
        <v>5.012002E8</v>
      </c>
      <c r="B16058" s="17">
        <v>8420002.0</v>
      </c>
    </row>
    <row r="16059">
      <c r="A16059" s="17">
        <v>5.012002E8</v>
      </c>
      <c r="B16059" s="17">
        <v>8450000.0</v>
      </c>
    </row>
    <row r="16060">
      <c r="A16060" s="17">
        <v>5.012002E8</v>
      </c>
      <c r="B16060" s="17">
        <v>8460100.0</v>
      </c>
    </row>
    <row r="16061">
      <c r="A16061" s="17">
        <v>5.012002E8</v>
      </c>
      <c r="B16061" s="17">
        <v>8460300.0</v>
      </c>
    </row>
    <row r="16062">
      <c r="A16062" s="17">
        <v>5.012002E8</v>
      </c>
      <c r="B16062" s="17">
        <v>8460500.0</v>
      </c>
    </row>
    <row r="16063">
      <c r="A16063" s="17">
        <v>5.012002E8</v>
      </c>
      <c r="B16063" s="17">
        <v>8510000.0</v>
      </c>
    </row>
    <row r="16064">
      <c r="A16064" s="17">
        <v>5.012002E8</v>
      </c>
      <c r="B16064" s="17">
        <v>8510001.0</v>
      </c>
    </row>
    <row r="16065">
      <c r="A16065" s="17">
        <v>5.012002E8</v>
      </c>
      <c r="B16065" s="17">
        <v>8510002.0</v>
      </c>
    </row>
    <row r="16066">
      <c r="A16066" s="17">
        <v>5.012002E8</v>
      </c>
      <c r="B16066" s="17">
        <v>8520000.0</v>
      </c>
    </row>
    <row r="16067">
      <c r="A16067" s="17">
        <v>5.012002E8</v>
      </c>
      <c r="B16067" s="17">
        <v>8520001.0</v>
      </c>
    </row>
    <row r="16068">
      <c r="A16068" s="17">
        <v>5.012002E8</v>
      </c>
      <c r="B16068" s="17">
        <v>8520002.0</v>
      </c>
    </row>
    <row r="16069">
      <c r="A16069" s="17">
        <v>5.012002E8</v>
      </c>
      <c r="B16069" s="17">
        <v>8530000.0</v>
      </c>
    </row>
    <row r="16070">
      <c r="A16070" s="17">
        <v>5.012002E8</v>
      </c>
      <c r="B16070" s="17">
        <v>8530100.0</v>
      </c>
    </row>
    <row r="16071">
      <c r="A16071" s="17">
        <v>5.012002E8</v>
      </c>
      <c r="B16071" s="17">
        <v>8540000.0</v>
      </c>
    </row>
    <row r="16072">
      <c r="A16072" s="17">
        <v>5.012002E8</v>
      </c>
      <c r="B16072" s="17">
        <v>8600100.0</v>
      </c>
    </row>
    <row r="16073">
      <c r="A16073" s="17">
        <v>5.012002E8</v>
      </c>
      <c r="B16073" s="17">
        <v>8600101.0</v>
      </c>
    </row>
    <row r="16074">
      <c r="A16074" s="17">
        <v>5.012002E8</v>
      </c>
      <c r="B16074" s="17">
        <v>8600102.0</v>
      </c>
    </row>
    <row r="16075">
      <c r="A16075" s="17">
        <v>5.012002E8</v>
      </c>
      <c r="B16075" s="17">
        <v>8600200.0</v>
      </c>
    </row>
    <row r="16076">
      <c r="A16076" s="17">
        <v>5.012002E8</v>
      </c>
      <c r="B16076" s="17">
        <v>8600201.0</v>
      </c>
    </row>
    <row r="16077">
      <c r="A16077" s="17">
        <v>5.012002E8</v>
      </c>
      <c r="B16077" s="17">
        <v>8600202.0</v>
      </c>
    </row>
    <row r="16078">
      <c r="A16078" s="17">
        <v>5.012002E8</v>
      </c>
      <c r="B16078" s="17">
        <v>8610300.0</v>
      </c>
    </row>
    <row r="16079">
      <c r="A16079" s="17">
        <v>5.012002E8</v>
      </c>
      <c r="B16079" s="17">
        <v>8610400.0</v>
      </c>
    </row>
    <row r="16080">
      <c r="A16080" s="17">
        <v>5.012002E8</v>
      </c>
      <c r="B16080" s="17">
        <v>8610500.0</v>
      </c>
    </row>
    <row r="16081">
      <c r="A16081" s="17">
        <v>5.012002E8</v>
      </c>
      <c r="B16081" s="17">
        <v>8610600.0</v>
      </c>
    </row>
    <row r="16082">
      <c r="A16082" s="17">
        <v>5.012002E8</v>
      </c>
      <c r="B16082" s="17">
        <v>8610700.0</v>
      </c>
    </row>
    <row r="16083">
      <c r="A16083" s="17">
        <v>5.012002E8</v>
      </c>
      <c r="B16083" s="17">
        <v>8610710.0</v>
      </c>
    </row>
    <row r="16084">
      <c r="A16084" s="17">
        <v>5.012002E8</v>
      </c>
      <c r="B16084" s="17">
        <v>8610720.0</v>
      </c>
    </row>
    <row r="16085">
      <c r="A16085" s="17">
        <v>5.012002E8</v>
      </c>
      <c r="B16085" s="17">
        <v>8620000.0</v>
      </c>
    </row>
    <row r="16086">
      <c r="A16086" s="17">
        <v>5.012002E8</v>
      </c>
      <c r="B16086" s="17">
        <v>8620010.0</v>
      </c>
    </row>
    <row r="16087">
      <c r="A16087" s="17">
        <v>5.012002E8</v>
      </c>
      <c r="B16087" s="17">
        <v>8620020.0</v>
      </c>
    </row>
    <row r="16088">
      <c r="A16088" s="17">
        <v>5.012002E8</v>
      </c>
      <c r="B16088" s="17">
        <v>8620100.0</v>
      </c>
    </row>
    <row r="16089">
      <c r="A16089" s="17">
        <v>5.012002E8</v>
      </c>
      <c r="B16089" s="17">
        <v>8620110.0</v>
      </c>
    </row>
    <row r="16090">
      <c r="A16090" s="17">
        <v>5.012002E8</v>
      </c>
      <c r="B16090" s="17">
        <v>8620120.0</v>
      </c>
    </row>
    <row r="16091">
      <c r="A16091" s="17">
        <v>5.012002E8</v>
      </c>
      <c r="B16091" s="17">
        <v>8630000.0</v>
      </c>
    </row>
    <row r="16092">
      <c r="A16092" s="17">
        <v>5.012002E8</v>
      </c>
      <c r="B16092" s="17">
        <v>8630000.0</v>
      </c>
    </row>
    <row r="16093">
      <c r="A16093" s="17">
        <v>5.012002E8</v>
      </c>
      <c r="B16093" s="17">
        <v>8630000.0</v>
      </c>
    </row>
    <row r="16094">
      <c r="A16094" s="17">
        <v>5.012002E8</v>
      </c>
      <c r="B16094" s="17">
        <v>8630100.0</v>
      </c>
    </row>
    <row r="16095">
      <c r="A16095" s="17">
        <v>5.012002E8</v>
      </c>
      <c r="B16095" s="17">
        <v>8630100.0</v>
      </c>
    </row>
    <row r="16096">
      <c r="A16096" s="17">
        <v>5.012002E8</v>
      </c>
      <c r="B16096" s="17">
        <v>8630100.0</v>
      </c>
    </row>
    <row r="16097">
      <c r="A16097" s="17">
        <v>5.012002E8</v>
      </c>
      <c r="B16097" s="17">
        <v>8630200.0</v>
      </c>
    </row>
    <row r="16098">
      <c r="A16098" s="17">
        <v>5.012002E8</v>
      </c>
      <c r="B16098" s="17">
        <v>8630300.0</v>
      </c>
    </row>
    <row r="16099">
      <c r="A16099" s="17">
        <v>5.012002E8</v>
      </c>
      <c r="B16099" s="17">
        <v>8630400.0</v>
      </c>
    </row>
    <row r="16100">
      <c r="A16100" s="17">
        <v>5.012002E8</v>
      </c>
      <c r="B16100" s="17">
        <v>8630500.0</v>
      </c>
    </row>
    <row r="16101">
      <c r="A16101" s="17">
        <v>5.012002E8</v>
      </c>
      <c r="B16101" s="17">
        <v>8630600.0</v>
      </c>
    </row>
    <row r="16102">
      <c r="A16102" s="17">
        <v>5.012002E8</v>
      </c>
      <c r="B16102" s="17">
        <v>8630700.0</v>
      </c>
    </row>
    <row r="16103">
      <c r="A16103" s="17">
        <v>5.012002E8</v>
      </c>
      <c r="B16103" s="17">
        <v>8630800.0</v>
      </c>
    </row>
    <row r="16104">
      <c r="A16104" s="17">
        <v>5.012002E8</v>
      </c>
      <c r="B16104" s="17">
        <v>8652000.0</v>
      </c>
    </row>
    <row r="16105">
      <c r="A16105" s="17">
        <v>5.012002E8</v>
      </c>
      <c r="B16105" s="17">
        <v>8652010.0</v>
      </c>
    </row>
    <row r="16106">
      <c r="A16106" s="17">
        <v>5.012002E8</v>
      </c>
      <c r="B16106" s="17">
        <v>8652020.0</v>
      </c>
    </row>
    <row r="16107">
      <c r="A16107" s="17">
        <v>5.012002E8</v>
      </c>
      <c r="B16107" s="17">
        <v>8652100.0</v>
      </c>
    </row>
    <row r="16108">
      <c r="A16108" s="17">
        <v>5.012002E8</v>
      </c>
      <c r="B16108" s="17">
        <v>8652110.0</v>
      </c>
    </row>
    <row r="16109">
      <c r="A16109" s="17">
        <v>5.012002E8</v>
      </c>
      <c r="B16109" s="17">
        <v>8652120.0</v>
      </c>
    </row>
    <row r="16110">
      <c r="A16110" s="17">
        <v>5.012002E8</v>
      </c>
      <c r="B16110" s="17">
        <v>8660000.0</v>
      </c>
    </row>
    <row r="16111">
      <c r="A16111" s="17">
        <v>5.012002E8</v>
      </c>
      <c r="B16111" s="17">
        <v>8660001.0</v>
      </c>
    </row>
    <row r="16112">
      <c r="A16112" s="17">
        <v>5.012002E8</v>
      </c>
      <c r="B16112" s="17">
        <v>8660002.0</v>
      </c>
    </row>
    <row r="16113">
      <c r="A16113" s="17">
        <v>5.012002E8</v>
      </c>
      <c r="B16113" s="17">
        <v>8660100.0</v>
      </c>
    </row>
    <row r="16114">
      <c r="A16114" s="17">
        <v>5.012002E8</v>
      </c>
      <c r="B16114" s="17">
        <v>8660101.0</v>
      </c>
    </row>
    <row r="16115">
      <c r="A16115" s="17">
        <v>5.012002E8</v>
      </c>
      <c r="B16115" s="17">
        <v>8660102.0</v>
      </c>
    </row>
    <row r="16116">
      <c r="A16116" s="17">
        <v>5.012002E8</v>
      </c>
      <c r="B16116" s="17">
        <v>8670000.0</v>
      </c>
    </row>
    <row r="16117">
      <c r="A16117" s="17">
        <v>5.012002E8</v>
      </c>
      <c r="B16117" s="17">
        <v>8670001.0</v>
      </c>
    </row>
    <row r="16118">
      <c r="A16118" s="17">
        <v>5.012002E8</v>
      </c>
      <c r="B16118" s="17">
        <v>8670002.0</v>
      </c>
    </row>
    <row r="16119">
      <c r="A16119" s="17">
        <v>5.012002E8</v>
      </c>
      <c r="B16119" s="17">
        <v>8670100.0</v>
      </c>
    </row>
    <row r="16120">
      <c r="A16120" s="17">
        <v>5.012002E8</v>
      </c>
      <c r="B16120" s="17">
        <v>8670101.0</v>
      </c>
    </row>
    <row r="16121">
      <c r="A16121" s="17">
        <v>5.012002E8</v>
      </c>
      <c r="B16121" s="17">
        <v>8670102.0</v>
      </c>
    </row>
    <row r="16122">
      <c r="A16122" s="17">
        <v>5.012002E8</v>
      </c>
      <c r="B16122" s="17">
        <v>8690000.0</v>
      </c>
    </row>
    <row r="16123">
      <c r="A16123" s="17">
        <v>5.012002E8</v>
      </c>
      <c r="B16123" s="17">
        <v>8690100.0</v>
      </c>
    </row>
    <row r="16124">
      <c r="A16124" s="17">
        <v>5.012002E8</v>
      </c>
      <c r="B16124" s="17">
        <v>8690200.0</v>
      </c>
    </row>
    <row r="16125">
      <c r="A16125" s="17">
        <v>5.012002E8</v>
      </c>
      <c r="B16125" s="17">
        <v>8690300.0</v>
      </c>
    </row>
    <row r="16126">
      <c r="A16126" s="17">
        <v>5.012002E8</v>
      </c>
      <c r="B16126" s="17">
        <v>8690400.0</v>
      </c>
    </row>
    <row r="16127">
      <c r="A16127" s="17">
        <v>5.012002E8</v>
      </c>
      <c r="B16127" s="17">
        <v>8320500.0</v>
      </c>
    </row>
    <row r="16128">
      <c r="A16128" s="17">
        <v>5.012002E8</v>
      </c>
      <c r="B16128" s="17">
        <v>8320510.0</v>
      </c>
    </row>
    <row r="16129">
      <c r="A16129" s="17">
        <v>5.012002E8</v>
      </c>
      <c r="B16129" s="17">
        <v>8320520.0</v>
      </c>
    </row>
    <row r="16130">
      <c r="A16130" s="17">
        <v>5.012002E8</v>
      </c>
      <c r="B16130" s="17">
        <v>8320600.0</v>
      </c>
    </row>
    <row r="16131">
      <c r="A16131" s="17">
        <v>5.012002E8</v>
      </c>
      <c r="B16131" s="17">
        <v>8320610.0</v>
      </c>
    </row>
    <row r="16132">
      <c r="A16132" s="17">
        <v>5.012002E8</v>
      </c>
      <c r="B16132" s="17">
        <v>8320620.0</v>
      </c>
    </row>
    <row r="16133">
      <c r="A16133" s="17">
        <v>5.012002E8</v>
      </c>
      <c r="B16133" s="17">
        <v>8320700.0</v>
      </c>
    </row>
    <row r="16134">
      <c r="A16134" s="17">
        <v>5.012002E8</v>
      </c>
      <c r="B16134" s="17">
        <v>8320710.0</v>
      </c>
    </row>
    <row r="16135">
      <c r="A16135" s="17">
        <v>5.012002E8</v>
      </c>
      <c r="B16135" s="17">
        <v>8320720.0</v>
      </c>
    </row>
    <row r="16136">
      <c r="A16136" s="17">
        <v>5.013E8</v>
      </c>
      <c r="B16136" s="17">
        <v>0.0</v>
      </c>
    </row>
    <row r="16137">
      <c r="A16137" s="17">
        <v>5.013E8</v>
      </c>
      <c r="B16137" s="17">
        <v>8100100.0</v>
      </c>
    </row>
    <row r="16138">
      <c r="A16138" s="17">
        <v>5.013E8</v>
      </c>
      <c r="B16138" s="17">
        <v>8100101.0</v>
      </c>
    </row>
    <row r="16139">
      <c r="A16139" s="17">
        <v>5.013E8</v>
      </c>
      <c r="B16139" s="17">
        <v>8100102.0</v>
      </c>
    </row>
    <row r="16140">
      <c r="A16140" s="17">
        <v>5.013E8</v>
      </c>
      <c r="B16140" s="17">
        <v>8100200.0</v>
      </c>
    </row>
    <row r="16141">
      <c r="A16141" s="17">
        <v>5.013E8</v>
      </c>
      <c r="B16141" s="17">
        <v>8100201.0</v>
      </c>
    </row>
    <row r="16142">
      <c r="A16142" s="17">
        <v>5.013E8</v>
      </c>
      <c r="B16142" s="17">
        <v>8100202.0</v>
      </c>
    </row>
    <row r="16143">
      <c r="A16143" s="17">
        <v>5.013E8</v>
      </c>
      <c r="B16143" s="17">
        <v>8100300.0</v>
      </c>
    </row>
    <row r="16144">
      <c r="A16144" s="17">
        <v>5.013E8</v>
      </c>
      <c r="B16144" s="17">
        <v>8100301.0</v>
      </c>
    </row>
    <row r="16145">
      <c r="A16145" s="17">
        <v>5.013E8</v>
      </c>
      <c r="B16145" s="17">
        <v>8100302.0</v>
      </c>
    </row>
    <row r="16146">
      <c r="A16146" s="17">
        <v>5.013E8</v>
      </c>
      <c r="B16146" s="17">
        <v>8100400.0</v>
      </c>
    </row>
    <row r="16147">
      <c r="A16147" s="17">
        <v>5.013E8</v>
      </c>
      <c r="B16147" s="17">
        <v>8100401.0</v>
      </c>
    </row>
    <row r="16148">
      <c r="A16148" s="17">
        <v>5.013E8</v>
      </c>
      <c r="B16148" s="17">
        <v>8100402.0</v>
      </c>
    </row>
    <row r="16149">
      <c r="A16149" s="17">
        <v>5.013E8</v>
      </c>
      <c r="B16149" s="17">
        <v>8130000.0</v>
      </c>
    </row>
    <row r="16150">
      <c r="A16150" s="17">
        <v>5.013E8</v>
      </c>
      <c r="B16150" s="17">
        <v>8130001.0</v>
      </c>
    </row>
    <row r="16151">
      <c r="A16151" s="17">
        <v>5.013E8</v>
      </c>
      <c r="B16151" s="17">
        <v>8130002.0</v>
      </c>
    </row>
    <row r="16152">
      <c r="A16152" s="17">
        <v>5.013E8</v>
      </c>
      <c r="B16152" s="17">
        <v>8140000.0</v>
      </c>
    </row>
    <row r="16153">
      <c r="A16153" s="17">
        <v>5.013E8</v>
      </c>
      <c r="B16153" s="17">
        <v>8140001.0</v>
      </c>
    </row>
    <row r="16154">
      <c r="A16154" s="17">
        <v>5.013E8</v>
      </c>
      <c r="B16154" s="17">
        <v>8140002.0</v>
      </c>
    </row>
    <row r="16155">
      <c r="A16155" s="17">
        <v>5.013E8</v>
      </c>
      <c r="B16155" s="17">
        <v>8200100.0</v>
      </c>
    </row>
    <row r="16156">
      <c r="A16156" s="17">
        <v>5.013E8</v>
      </c>
      <c r="B16156" s="17">
        <v>8200101.0</v>
      </c>
    </row>
    <row r="16157">
      <c r="A16157" s="17">
        <v>5.013E8</v>
      </c>
      <c r="B16157" s="17">
        <v>8200102.0</v>
      </c>
    </row>
    <row r="16158">
      <c r="A16158" s="17">
        <v>5.013E8</v>
      </c>
      <c r="B16158" s="17">
        <v>8200200.0</v>
      </c>
    </row>
    <row r="16159">
      <c r="A16159" s="17">
        <v>5.013E8</v>
      </c>
      <c r="B16159" s="17">
        <v>8200201.0</v>
      </c>
    </row>
    <row r="16160">
      <c r="A16160" s="17">
        <v>5.013E8</v>
      </c>
      <c r="B16160" s="17">
        <v>8200202.0</v>
      </c>
    </row>
    <row r="16161">
      <c r="A16161" s="17">
        <v>5.013E8</v>
      </c>
      <c r="B16161" s="17">
        <v>8200300.0</v>
      </c>
    </row>
    <row r="16162">
      <c r="A16162" s="17">
        <v>5.013E8</v>
      </c>
      <c r="B16162" s="17">
        <v>8200301.0</v>
      </c>
    </row>
    <row r="16163">
      <c r="A16163" s="17">
        <v>5.013E8</v>
      </c>
      <c r="B16163" s="17">
        <v>8200302.0</v>
      </c>
    </row>
    <row r="16164">
      <c r="A16164" s="17">
        <v>5.013E8</v>
      </c>
      <c r="B16164" s="17">
        <v>8200400.0</v>
      </c>
    </row>
    <row r="16165">
      <c r="A16165" s="17">
        <v>5.013E8</v>
      </c>
      <c r="B16165" s="17">
        <v>8200401.0</v>
      </c>
    </row>
    <row r="16166">
      <c r="A16166" s="17">
        <v>5.013E8</v>
      </c>
      <c r="B16166" s="17">
        <v>8200402.0</v>
      </c>
    </row>
    <row r="16167">
      <c r="A16167" s="17">
        <v>5.013E8</v>
      </c>
      <c r="B16167" s="17">
        <v>8210000.0</v>
      </c>
    </row>
    <row r="16168">
      <c r="A16168" s="17">
        <v>5.013E8</v>
      </c>
      <c r="B16168" s="17">
        <v>8210001.0</v>
      </c>
    </row>
    <row r="16169">
      <c r="A16169" s="17">
        <v>5.013E8</v>
      </c>
      <c r="B16169" s="17">
        <v>8210002.0</v>
      </c>
    </row>
    <row r="16170">
      <c r="A16170" s="17">
        <v>5.013E8</v>
      </c>
      <c r="B16170" s="17">
        <v>8210100.0</v>
      </c>
    </row>
    <row r="16171">
      <c r="A16171" s="17">
        <v>5.013E8</v>
      </c>
      <c r="B16171" s="17">
        <v>8210101.0</v>
      </c>
    </row>
    <row r="16172">
      <c r="A16172" s="17">
        <v>5.013E8</v>
      </c>
      <c r="B16172" s="17">
        <v>8210102.0</v>
      </c>
    </row>
    <row r="16173">
      <c r="A16173" s="17">
        <v>5.013E8</v>
      </c>
      <c r="B16173" s="17">
        <v>8210200.0</v>
      </c>
    </row>
    <row r="16174">
      <c r="A16174" s="17">
        <v>5.013E8</v>
      </c>
      <c r="B16174" s="17">
        <v>8210201.0</v>
      </c>
    </row>
    <row r="16175">
      <c r="A16175" s="17">
        <v>5.013E8</v>
      </c>
      <c r="B16175" s="17">
        <v>8210202.0</v>
      </c>
    </row>
    <row r="16176">
      <c r="A16176" s="17">
        <v>5.013E8</v>
      </c>
      <c r="B16176" s="17">
        <v>8210300.0</v>
      </c>
    </row>
    <row r="16177">
      <c r="A16177" s="17">
        <v>5.013E8</v>
      </c>
      <c r="B16177" s="17">
        <v>8210301.0</v>
      </c>
    </row>
    <row r="16178">
      <c r="A16178" s="17">
        <v>5.013E8</v>
      </c>
      <c r="B16178" s="17">
        <v>8210302.0</v>
      </c>
    </row>
    <row r="16179">
      <c r="A16179" s="17">
        <v>5.013E8</v>
      </c>
      <c r="B16179" s="17">
        <v>8210400.0</v>
      </c>
    </row>
    <row r="16180">
      <c r="A16180" s="17">
        <v>5.013E8</v>
      </c>
      <c r="B16180" s="17">
        <v>8210401.0</v>
      </c>
    </row>
    <row r="16181">
      <c r="A16181" s="17">
        <v>5.013E8</v>
      </c>
      <c r="B16181" s="17">
        <v>8210402.0</v>
      </c>
    </row>
    <row r="16182">
      <c r="A16182" s="17">
        <v>5.013E8</v>
      </c>
      <c r="B16182" s="17">
        <v>8210500.0</v>
      </c>
    </row>
    <row r="16183">
      <c r="A16183" s="17">
        <v>5.013E8</v>
      </c>
      <c r="B16183" s="17">
        <v>8210501.0</v>
      </c>
    </row>
    <row r="16184">
      <c r="A16184" s="17">
        <v>5.013E8</v>
      </c>
      <c r="B16184" s="17">
        <v>8210502.0</v>
      </c>
    </row>
    <row r="16185">
      <c r="A16185" s="17">
        <v>5.013E8</v>
      </c>
      <c r="B16185" s="17">
        <v>8210600.0</v>
      </c>
    </row>
    <row r="16186">
      <c r="A16186" s="17">
        <v>5.013E8</v>
      </c>
      <c r="B16186" s="17">
        <v>8210601.0</v>
      </c>
    </row>
    <row r="16187">
      <c r="A16187" s="17">
        <v>5.013E8</v>
      </c>
      <c r="B16187" s="17">
        <v>8210602.0</v>
      </c>
    </row>
    <row r="16188">
      <c r="A16188" s="17">
        <v>5.013E8</v>
      </c>
      <c r="B16188" s="17">
        <v>8220000.0</v>
      </c>
    </row>
    <row r="16189">
      <c r="A16189" s="17">
        <v>5.013E8</v>
      </c>
      <c r="B16189" s="17">
        <v>8220001.0</v>
      </c>
    </row>
    <row r="16190">
      <c r="A16190" s="17">
        <v>5.013E8</v>
      </c>
      <c r="B16190" s="17">
        <v>8220002.0</v>
      </c>
    </row>
    <row r="16191">
      <c r="A16191" s="17">
        <v>5.013E8</v>
      </c>
      <c r="B16191" s="17">
        <v>8300000.0</v>
      </c>
    </row>
    <row r="16192">
      <c r="A16192" s="17">
        <v>5.013E8</v>
      </c>
      <c r="B16192" s="17">
        <v>8300001.0</v>
      </c>
    </row>
    <row r="16193">
      <c r="A16193" s="17">
        <v>5.013E8</v>
      </c>
      <c r="B16193" s="17">
        <v>8300002.0</v>
      </c>
    </row>
    <row r="16194">
      <c r="A16194" s="17">
        <v>5.013E8</v>
      </c>
      <c r="B16194" s="17">
        <v>8310000.0</v>
      </c>
    </row>
    <row r="16195">
      <c r="A16195" s="17">
        <v>5.013E8</v>
      </c>
      <c r="B16195" s="17">
        <v>8310001.0</v>
      </c>
    </row>
    <row r="16196">
      <c r="A16196" s="17">
        <v>5.013E8</v>
      </c>
      <c r="B16196" s="17">
        <v>8310002.0</v>
      </c>
    </row>
    <row r="16197">
      <c r="A16197" s="17">
        <v>5.013E8</v>
      </c>
      <c r="B16197" s="17">
        <v>8320000.0</v>
      </c>
    </row>
    <row r="16198">
      <c r="A16198" s="17">
        <v>5.013E8</v>
      </c>
      <c r="B16198" s="17">
        <v>8320001.0</v>
      </c>
    </row>
    <row r="16199">
      <c r="A16199" s="17">
        <v>5.013E8</v>
      </c>
      <c r="B16199" s="17">
        <v>8320002.0</v>
      </c>
    </row>
    <row r="16200">
      <c r="A16200" s="17">
        <v>5.013E8</v>
      </c>
      <c r="B16200" s="17">
        <v>8320100.0</v>
      </c>
    </row>
    <row r="16201">
      <c r="A16201" s="17">
        <v>5.013E8</v>
      </c>
      <c r="B16201" s="17">
        <v>8320101.0</v>
      </c>
    </row>
    <row r="16202">
      <c r="A16202" s="17">
        <v>5.013E8</v>
      </c>
      <c r="B16202" s="17">
        <v>8320102.0</v>
      </c>
    </row>
    <row r="16203">
      <c r="A16203" s="17">
        <v>5.013E8</v>
      </c>
      <c r="B16203" s="17">
        <v>8320300.0</v>
      </c>
    </row>
    <row r="16204">
      <c r="A16204" s="17">
        <v>5.013E8</v>
      </c>
      <c r="B16204" s="17">
        <v>8320301.0</v>
      </c>
    </row>
    <row r="16205">
      <c r="A16205" s="17">
        <v>5.013E8</v>
      </c>
      <c r="B16205" s="17">
        <v>8320302.0</v>
      </c>
    </row>
    <row r="16206">
      <c r="A16206" s="17">
        <v>5.013E8</v>
      </c>
      <c r="B16206" s="17">
        <v>8320400.0</v>
      </c>
    </row>
    <row r="16207">
      <c r="A16207" s="17">
        <v>5.013E8</v>
      </c>
      <c r="B16207" s="17">
        <v>8320410.0</v>
      </c>
    </row>
    <row r="16208">
      <c r="A16208" s="17">
        <v>5.013E8</v>
      </c>
      <c r="B16208" s="17">
        <v>8320420.0</v>
      </c>
    </row>
    <row r="16209">
      <c r="A16209" s="17">
        <v>5.013E8</v>
      </c>
      <c r="B16209" s="17">
        <v>8330000.0</v>
      </c>
    </row>
    <row r="16210">
      <c r="A16210" s="17">
        <v>5.013E8</v>
      </c>
      <c r="B16210" s="17">
        <v>8330001.0</v>
      </c>
    </row>
    <row r="16211">
      <c r="A16211" s="17">
        <v>5.013E8</v>
      </c>
      <c r="B16211" s="17">
        <v>8330002.0</v>
      </c>
    </row>
    <row r="16212">
      <c r="A16212" s="17">
        <v>5.013E8</v>
      </c>
      <c r="B16212" s="17">
        <v>8330100.0</v>
      </c>
    </row>
    <row r="16213">
      <c r="A16213" s="17">
        <v>5.013E8</v>
      </c>
      <c r="B16213" s="17">
        <v>8330101.0</v>
      </c>
    </row>
    <row r="16214">
      <c r="A16214" s="17">
        <v>5.013E8</v>
      </c>
      <c r="B16214" s="17">
        <v>8330102.0</v>
      </c>
    </row>
    <row r="16215">
      <c r="A16215" s="17">
        <v>5.013E8</v>
      </c>
      <c r="B16215" s="17">
        <v>8330200.0</v>
      </c>
    </row>
    <row r="16216">
      <c r="A16216" s="17">
        <v>5.013E8</v>
      </c>
      <c r="B16216" s="17">
        <v>8330201.0</v>
      </c>
    </row>
    <row r="16217">
      <c r="A16217" s="17">
        <v>5.013E8</v>
      </c>
      <c r="B16217" s="17">
        <v>8330202.0</v>
      </c>
    </row>
    <row r="16218">
      <c r="A16218" s="17">
        <v>5.013E8</v>
      </c>
      <c r="B16218" s="17">
        <v>8330300.0</v>
      </c>
    </row>
    <row r="16219">
      <c r="A16219" s="17">
        <v>5.013E8</v>
      </c>
      <c r="B16219" s="17">
        <v>8330301.0</v>
      </c>
    </row>
    <row r="16220">
      <c r="A16220" s="17">
        <v>5.013E8</v>
      </c>
      <c r="B16220" s="17">
        <v>8330302.0</v>
      </c>
    </row>
    <row r="16221">
      <c r="A16221" s="17">
        <v>5.013E8</v>
      </c>
      <c r="B16221" s="17">
        <v>8330400.0</v>
      </c>
    </row>
    <row r="16222">
      <c r="A16222" s="17">
        <v>5.013E8</v>
      </c>
      <c r="B16222" s="17">
        <v>8330401.0</v>
      </c>
    </row>
    <row r="16223">
      <c r="A16223" s="17">
        <v>5.013E8</v>
      </c>
      <c r="B16223" s="17">
        <v>8330600.0</v>
      </c>
    </row>
    <row r="16224">
      <c r="A16224" s="17">
        <v>5.013E8</v>
      </c>
      <c r="B16224" s="17">
        <v>8330601.0</v>
      </c>
    </row>
    <row r="16225">
      <c r="A16225" s="17">
        <v>5.013E8</v>
      </c>
      <c r="B16225" s="17">
        <v>8330602.0</v>
      </c>
    </row>
    <row r="16226">
      <c r="A16226" s="17">
        <v>5.013E8</v>
      </c>
      <c r="B16226" s="17">
        <v>8330900.0</v>
      </c>
    </row>
    <row r="16227">
      <c r="A16227" s="17">
        <v>5.013E8</v>
      </c>
      <c r="B16227" s="17">
        <v>8330910.0</v>
      </c>
    </row>
    <row r="16228">
      <c r="A16228" s="17">
        <v>5.013E8</v>
      </c>
      <c r="B16228" s="17">
        <v>8330920.0</v>
      </c>
    </row>
    <row r="16229">
      <c r="A16229" s="17">
        <v>5.013E8</v>
      </c>
      <c r="B16229" s="17">
        <v>8340000.0</v>
      </c>
    </row>
    <row r="16230">
      <c r="A16230" s="17">
        <v>5.013E8</v>
      </c>
      <c r="B16230" s="17">
        <v>8340001.0</v>
      </c>
    </row>
    <row r="16231">
      <c r="A16231" s="17">
        <v>5.013E8</v>
      </c>
      <c r="B16231" s="17">
        <v>8340002.0</v>
      </c>
    </row>
    <row r="16232">
      <c r="A16232" s="17">
        <v>5.013E8</v>
      </c>
      <c r="B16232" s="17">
        <v>8340100.0</v>
      </c>
    </row>
    <row r="16233">
      <c r="A16233" s="17">
        <v>5.013E8</v>
      </c>
      <c r="B16233" s="17">
        <v>8340101.0</v>
      </c>
    </row>
    <row r="16234">
      <c r="A16234" s="17">
        <v>5.013E8</v>
      </c>
      <c r="B16234" s="17">
        <v>8340102.0</v>
      </c>
    </row>
    <row r="16235">
      <c r="A16235" s="17">
        <v>5.013E8</v>
      </c>
      <c r="B16235" s="17">
        <v>8350000.0</v>
      </c>
    </row>
    <row r="16236">
      <c r="A16236" s="17">
        <v>5.013E8</v>
      </c>
      <c r="B16236" s="17">
        <v>8350001.0</v>
      </c>
    </row>
    <row r="16237">
      <c r="A16237" s="17">
        <v>5.013E8</v>
      </c>
      <c r="B16237" s="17">
        <v>8350002.0</v>
      </c>
    </row>
    <row r="16238">
      <c r="A16238" s="17">
        <v>5.013E8</v>
      </c>
      <c r="B16238" s="17">
        <v>8350200.0</v>
      </c>
    </row>
    <row r="16239">
      <c r="A16239" s="17">
        <v>5.013E8</v>
      </c>
      <c r="B16239" s="17">
        <v>8350201.0</v>
      </c>
    </row>
    <row r="16240">
      <c r="A16240" s="17">
        <v>5.013E8</v>
      </c>
      <c r="B16240" s="17">
        <v>8350202.0</v>
      </c>
    </row>
    <row r="16241">
      <c r="A16241" s="17">
        <v>5.013E8</v>
      </c>
      <c r="B16241" s="17">
        <v>8420000.0</v>
      </c>
    </row>
    <row r="16242">
      <c r="A16242" s="17">
        <v>5.013E8</v>
      </c>
      <c r="B16242" s="17">
        <v>8420001.0</v>
      </c>
    </row>
    <row r="16243">
      <c r="A16243" s="17">
        <v>5.013E8</v>
      </c>
      <c r="B16243" s="17">
        <v>8420002.0</v>
      </c>
    </row>
    <row r="16244">
      <c r="A16244" s="17">
        <v>5.013E8</v>
      </c>
      <c r="B16244" s="17">
        <v>8450000.0</v>
      </c>
    </row>
    <row r="16245">
      <c r="A16245" s="17">
        <v>5.013E8</v>
      </c>
      <c r="B16245" s="17">
        <v>8460100.0</v>
      </c>
    </row>
    <row r="16246">
      <c r="A16246" s="17">
        <v>5.013E8</v>
      </c>
      <c r="B16246" s="17">
        <v>8460300.0</v>
      </c>
    </row>
    <row r="16247">
      <c r="A16247" s="17">
        <v>5.013E8</v>
      </c>
      <c r="B16247" s="17">
        <v>8460500.0</v>
      </c>
    </row>
    <row r="16248">
      <c r="A16248" s="17">
        <v>5.013E8</v>
      </c>
      <c r="B16248" s="17">
        <v>8510000.0</v>
      </c>
    </row>
    <row r="16249">
      <c r="A16249" s="17">
        <v>5.013E8</v>
      </c>
      <c r="B16249" s="17">
        <v>8510001.0</v>
      </c>
    </row>
    <row r="16250">
      <c r="A16250" s="17">
        <v>5.013E8</v>
      </c>
      <c r="B16250" s="17">
        <v>8510002.0</v>
      </c>
    </row>
    <row r="16251">
      <c r="A16251" s="17">
        <v>5.013E8</v>
      </c>
      <c r="B16251" s="17">
        <v>8520000.0</v>
      </c>
    </row>
    <row r="16252">
      <c r="A16252" s="17">
        <v>5.013E8</v>
      </c>
      <c r="B16252" s="17">
        <v>8520001.0</v>
      </c>
    </row>
    <row r="16253">
      <c r="A16253" s="17">
        <v>5.013E8</v>
      </c>
      <c r="B16253" s="17">
        <v>8520002.0</v>
      </c>
    </row>
    <row r="16254">
      <c r="A16254" s="17">
        <v>5.013E8</v>
      </c>
      <c r="B16254" s="17">
        <v>8530000.0</v>
      </c>
    </row>
    <row r="16255">
      <c r="A16255" s="17">
        <v>5.013E8</v>
      </c>
      <c r="B16255" s="17">
        <v>8530100.0</v>
      </c>
    </row>
    <row r="16256">
      <c r="A16256" s="17">
        <v>5.013E8</v>
      </c>
      <c r="B16256" s="17">
        <v>8540000.0</v>
      </c>
    </row>
    <row r="16257">
      <c r="A16257" s="17">
        <v>5.013E8</v>
      </c>
      <c r="B16257" s="17">
        <v>8600100.0</v>
      </c>
    </row>
    <row r="16258">
      <c r="A16258" s="17">
        <v>5.013E8</v>
      </c>
      <c r="B16258" s="17">
        <v>8600101.0</v>
      </c>
    </row>
    <row r="16259">
      <c r="A16259" s="17">
        <v>5.013E8</v>
      </c>
      <c r="B16259" s="17">
        <v>8600102.0</v>
      </c>
    </row>
    <row r="16260">
      <c r="A16260" s="17">
        <v>5.013E8</v>
      </c>
      <c r="B16260" s="17">
        <v>8600200.0</v>
      </c>
    </row>
    <row r="16261">
      <c r="A16261" s="17">
        <v>5.013E8</v>
      </c>
      <c r="B16261" s="17">
        <v>8600201.0</v>
      </c>
    </row>
    <row r="16262">
      <c r="A16262" s="17">
        <v>5.013E8</v>
      </c>
      <c r="B16262" s="17">
        <v>8600202.0</v>
      </c>
    </row>
    <row r="16263">
      <c r="A16263" s="17">
        <v>5.013E8</v>
      </c>
      <c r="B16263" s="17">
        <v>8610300.0</v>
      </c>
    </row>
    <row r="16264">
      <c r="A16264" s="17">
        <v>5.013E8</v>
      </c>
      <c r="B16264" s="17">
        <v>8610400.0</v>
      </c>
    </row>
    <row r="16265">
      <c r="A16265" s="17">
        <v>5.013E8</v>
      </c>
      <c r="B16265" s="17">
        <v>8610500.0</v>
      </c>
    </row>
    <row r="16266">
      <c r="A16266" s="17">
        <v>5.013E8</v>
      </c>
      <c r="B16266" s="17">
        <v>8610600.0</v>
      </c>
    </row>
    <row r="16267">
      <c r="A16267" s="17">
        <v>5.013E8</v>
      </c>
      <c r="B16267" s="17">
        <v>8610700.0</v>
      </c>
    </row>
    <row r="16268">
      <c r="A16268" s="17">
        <v>5.013E8</v>
      </c>
      <c r="B16268" s="17">
        <v>8610710.0</v>
      </c>
    </row>
    <row r="16269">
      <c r="A16269" s="17">
        <v>5.013E8</v>
      </c>
      <c r="B16269" s="17">
        <v>8610720.0</v>
      </c>
    </row>
    <row r="16270">
      <c r="A16270" s="17">
        <v>5.013E8</v>
      </c>
      <c r="B16270" s="17">
        <v>8620000.0</v>
      </c>
    </row>
    <row r="16271">
      <c r="A16271" s="17">
        <v>5.013E8</v>
      </c>
      <c r="B16271" s="17">
        <v>8620010.0</v>
      </c>
    </row>
    <row r="16272">
      <c r="A16272" s="17">
        <v>5.013E8</v>
      </c>
      <c r="B16272" s="17">
        <v>8620020.0</v>
      </c>
    </row>
    <row r="16273">
      <c r="A16273" s="17">
        <v>5.013E8</v>
      </c>
      <c r="B16273" s="17">
        <v>8620100.0</v>
      </c>
    </row>
    <row r="16274">
      <c r="A16274" s="17">
        <v>5.013E8</v>
      </c>
      <c r="B16274" s="17">
        <v>8620110.0</v>
      </c>
    </row>
    <row r="16275">
      <c r="A16275" s="17">
        <v>5.013E8</v>
      </c>
      <c r="B16275" s="17">
        <v>8620120.0</v>
      </c>
    </row>
    <row r="16276">
      <c r="A16276" s="17">
        <v>5.013E8</v>
      </c>
      <c r="B16276" s="17">
        <v>8630000.0</v>
      </c>
    </row>
    <row r="16277">
      <c r="A16277" s="17">
        <v>5.013E8</v>
      </c>
      <c r="B16277" s="17">
        <v>8630000.0</v>
      </c>
    </row>
    <row r="16278">
      <c r="A16278" s="17">
        <v>5.013E8</v>
      </c>
      <c r="B16278" s="17">
        <v>8630000.0</v>
      </c>
    </row>
    <row r="16279">
      <c r="A16279" s="17">
        <v>5.013E8</v>
      </c>
      <c r="B16279" s="17">
        <v>8630100.0</v>
      </c>
    </row>
    <row r="16280">
      <c r="A16280" s="17">
        <v>5.013E8</v>
      </c>
      <c r="B16280" s="17">
        <v>8630100.0</v>
      </c>
    </row>
    <row r="16281">
      <c r="A16281" s="17">
        <v>5.013E8</v>
      </c>
      <c r="B16281" s="17">
        <v>8630100.0</v>
      </c>
    </row>
    <row r="16282">
      <c r="A16282" s="17">
        <v>5.013E8</v>
      </c>
      <c r="B16282" s="17">
        <v>8652000.0</v>
      </c>
    </row>
    <row r="16283">
      <c r="A16283" s="17">
        <v>5.013E8</v>
      </c>
      <c r="B16283" s="17">
        <v>8652010.0</v>
      </c>
    </row>
    <row r="16284">
      <c r="A16284" s="17">
        <v>5.013E8</v>
      </c>
      <c r="B16284" s="17">
        <v>8652020.0</v>
      </c>
    </row>
    <row r="16285">
      <c r="A16285" s="17">
        <v>5.013E8</v>
      </c>
      <c r="B16285" s="17">
        <v>8652100.0</v>
      </c>
    </row>
    <row r="16286">
      <c r="A16286" s="17">
        <v>5.013E8</v>
      </c>
      <c r="B16286" s="17">
        <v>8652110.0</v>
      </c>
    </row>
    <row r="16287">
      <c r="A16287" s="17">
        <v>5.013E8</v>
      </c>
      <c r="B16287" s="17">
        <v>8652120.0</v>
      </c>
    </row>
    <row r="16288">
      <c r="A16288" s="17">
        <v>5.013E8</v>
      </c>
      <c r="B16288" s="17">
        <v>8660000.0</v>
      </c>
    </row>
    <row r="16289">
      <c r="A16289" s="17">
        <v>5.013E8</v>
      </c>
      <c r="B16289" s="17">
        <v>8660001.0</v>
      </c>
    </row>
    <row r="16290">
      <c r="A16290" s="17">
        <v>5.013E8</v>
      </c>
      <c r="B16290" s="17">
        <v>8660002.0</v>
      </c>
    </row>
    <row r="16291">
      <c r="A16291" s="17">
        <v>5.013E8</v>
      </c>
      <c r="B16291" s="17">
        <v>8660100.0</v>
      </c>
    </row>
    <row r="16292">
      <c r="A16292" s="17">
        <v>5.013E8</v>
      </c>
      <c r="B16292" s="17">
        <v>8660101.0</v>
      </c>
    </row>
    <row r="16293">
      <c r="A16293" s="17">
        <v>5.013E8</v>
      </c>
      <c r="B16293" s="17">
        <v>8660102.0</v>
      </c>
    </row>
    <row r="16294">
      <c r="A16294" s="17">
        <v>5.013E8</v>
      </c>
      <c r="B16294" s="17">
        <v>8670000.0</v>
      </c>
    </row>
    <row r="16295">
      <c r="A16295" s="17">
        <v>5.013E8</v>
      </c>
      <c r="B16295" s="17">
        <v>8670001.0</v>
      </c>
    </row>
    <row r="16296">
      <c r="A16296" s="17">
        <v>5.013E8</v>
      </c>
      <c r="B16296" s="17">
        <v>8670002.0</v>
      </c>
    </row>
    <row r="16297">
      <c r="A16297" s="17">
        <v>5.013E8</v>
      </c>
      <c r="B16297" s="17">
        <v>8670100.0</v>
      </c>
    </row>
    <row r="16298">
      <c r="A16298" s="17">
        <v>5.013E8</v>
      </c>
      <c r="B16298" s="17">
        <v>8670101.0</v>
      </c>
    </row>
    <row r="16299">
      <c r="A16299" s="17">
        <v>5.013E8</v>
      </c>
      <c r="B16299" s="17">
        <v>8670102.0</v>
      </c>
    </row>
    <row r="16300">
      <c r="A16300" s="17">
        <v>5.013E8</v>
      </c>
      <c r="B16300" s="17">
        <v>8690000.0</v>
      </c>
    </row>
    <row r="16301">
      <c r="A16301" s="17">
        <v>5.013E8</v>
      </c>
      <c r="B16301" s="17">
        <v>8690100.0</v>
      </c>
    </row>
    <row r="16302">
      <c r="A16302" s="17">
        <v>5.013E8</v>
      </c>
      <c r="B16302" s="17">
        <v>8690200.0</v>
      </c>
    </row>
    <row r="16303">
      <c r="A16303" s="17">
        <v>5.013E8</v>
      </c>
      <c r="B16303" s="17">
        <v>8690300.0</v>
      </c>
    </row>
    <row r="16304">
      <c r="A16304" s="17">
        <v>5.013E8</v>
      </c>
      <c r="B16304" s="17">
        <v>8690400.0</v>
      </c>
    </row>
    <row r="16305">
      <c r="A16305" s="17">
        <v>5.013E8</v>
      </c>
      <c r="B16305" s="17">
        <v>8320500.0</v>
      </c>
    </row>
    <row r="16306">
      <c r="A16306" s="17">
        <v>5.013E8</v>
      </c>
      <c r="B16306" s="17">
        <v>8320510.0</v>
      </c>
    </row>
    <row r="16307">
      <c r="A16307" s="17">
        <v>5.013E8</v>
      </c>
      <c r="B16307" s="17">
        <v>8320520.0</v>
      </c>
    </row>
    <row r="16308">
      <c r="A16308" s="17">
        <v>5.013E8</v>
      </c>
      <c r="B16308" s="17">
        <v>8320600.0</v>
      </c>
    </row>
    <row r="16309">
      <c r="A16309" s="17">
        <v>5.013E8</v>
      </c>
      <c r="B16309" s="17">
        <v>8320610.0</v>
      </c>
    </row>
    <row r="16310">
      <c r="A16310" s="17">
        <v>5.013E8</v>
      </c>
      <c r="B16310" s="17">
        <v>8320620.0</v>
      </c>
    </row>
    <row r="16311">
      <c r="A16311" s="17">
        <v>5.013E8</v>
      </c>
      <c r="B16311" s="17">
        <v>8320700.0</v>
      </c>
    </row>
    <row r="16312">
      <c r="A16312" s="17">
        <v>5.013E8</v>
      </c>
      <c r="B16312" s="17">
        <v>8320710.0</v>
      </c>
    </row>
    <row r="16313">
      <c r="A16313" s="17">
        <v>5.013E8</v>
      </c>
      <c r="B16313" s="17">
        <v>8320720.0</v>
      </c>
    </row>
    <row r="16314">
      <c r="A16314" s="17">
        <v>5.013001E8</v>
      </c>
      <c r="B16314" s="17">
        <v>0.0</v>
      </c>
    </row>
    <row r="16315">
      <c r="A16315" s="17">
        <v>5.013001E8</v>
      </c>
      <c r="B16315" s="17">
        <v>8100100.0</v>
      </c>
    </row>
    <row r="16316">
      <c r="A16316" s="17">
        <v>5.013001E8</v>
      </c>
      <c r="B16316" s="17">
        <v>8100101.0</v>
      </c>
    </row>
    <row r="16317">
      <c r="A16317" s="17">
        <v>5.013001E8</v>
      </c>
      <c r="B16317" s="17">
        <v>8100102.0</v>
      </c>
    </row>
    <row r="16318">
      <c r="A16318" s="17">
        <v>5.013001E8</v>
      </c>
      <c r="B16318" s="17">
        <v>8100200.0</v>
      </c>
    </row>
    <row r="16319">
      <c r="A16319" s="17">
        <v>5.013001E8</v>
      </c>
      <c r="B16319" s="17">
        <v>8100201.0</v>
      </c>
    </row>
    <row r="16320">
      <c r="A16320" s="17">
        <v>5.013001E8</v>
      </c>
      <c r="B16320" s="17">
        <v>8100202.0</v>
      </c>
    </row>
    <row r="16321">
      <c r="A16321" s="17">
        <v>5.013001E8</v>
      </c>
      <c r="B16321" s="17">
        <v>8100300.0</v>
      </c>
    </row>
    <row r="16322">
      <c r="A16322" s="17">
        <v>5.013001E8</v>
      </c>
      <c r="B16322" s="17">
        <v>8100301.0</v>
      </c>
    </row>
    <row r="16323">
      <c r="A16323" s="17">
        <v>5.013001E8</v>
      </c>
      <c r="B16323" s="17">
        <v>8100302.0</v>
      </c>
    </row>
    <row r="16324">
      <c r="A16324" s="17">
        <v>5.013001E8</v>
      </c>
      <c r="B16324" s="17">
        <v>8100400.0</v>
      </c>
    </row>
    <row r="16325">
      <c r="A16325" s="17">
        <v>5.013001E8</v>
      </c>
      <c r="B16325" s="17">
        <v>8100401.0</v>
      </c>
    </row>
    <row r="16326">
      <c r="A16326" s="17">
        <v>5.013001E8</v>
      </c>
      <c r="B16326" s="17">
        <v>8100402.0</v>
      </c>
    </row>
    <row r="16327">
      <c r="A16327" s="17">
        <v>5.013001E8</v>
      </c>
      <c r="B16327" s="17">
        <v>8130000.0</v>
      </c>
    </row>
    <row r="16328">
      <c r="A16328" s="17">
        <v>5.013001E8</v>
      </c>
      <c r="B16328" s="17">
        <v>8130001.0</v>
      </c>
    </row>
    <row r="16329">
      <c r="A16329" s="17">
        <v>5.013001E8</v>
      </c>
      <c r="B16329" s="17">
        <v>8130002.0</v>
      </c>
    </row>
    <row r="16330">
      <c r="A16330" s="17">
        <v>5.013001E8</v>
      </c>
      <c r="B16330" s="17">
        <v>8140000.0</v>
      </c>
    </row>
    <row r="16331">
      <c r="A16331" s="17">
        <v>5.013001E8</v>
      </c>
      <c r="B16331" s="17">
        <v>8140001.0</v>
      </c>
    </row>
    <row r="16332">
      <c r="A16332" s="17">
        <v>5.013001E8</v>
      </c>
      <c r="B16332" s="17">
        <v>8140002.0</v>
      </c>
    </row>
    <row r="16333">
      <c r="A16333" s="17">
        <v>5.013001E8</v>
      </c>
      <c r="B16333" s="17">
        <v>8200100.0</v>
      </c>
    </row>
    <row r="16334">
      <c r="A16334" s="17">
        <v>5.013001E8</v>
      </c>
      <c r="B16334" s="17">
        <v>8200101.0</v>
      </c>
    </row>
    <row r="16335">
      <c r="A16335" s="17">
        <v>5.013001E8</v>
      </c>
      <c r="B16335" s="17">
        <v>8200102.0</v>
      </c>
    </row>
    <row r="16336">
      <c r="A16336" s="17">
        <v>5.013001E8</v>
      </c>
      <c r="B16336" s="17">
        <v>8200200.0</v>
      </c>
    </row>
    <row r="16337">
      <c r="A16337" s="17">
        <v>5.013001E8</v>
      </c>
      <c r="B16337" s="17">
        <v>8200201.0</v>
      </c>
    </row>
    <row r="16338">
      <c r="A16338" s="17">
        <v>5.013001E8</v>
      </c>
      <c r="B16338" s="17">
        <v>8200202.0</v>
      </c>
    </row>
    <row r="16339">
      <c r="A16339" s="17">
        <v>5.013001E8</v>
      </c>
      <c r="B16339" s="17">
        <v>8200300.0</v>
      </c>
    </row>
    <row r="16340">
      <c r="A16340" s="17">
        <v>5.013001E8</v>
      </c>
      <c r="B16340" s="17">
        <v>8200301.0</v>
      </c>
    </row>
    <row r="16341">
      <c r="A16341" s="17">
        <v>5.013001E8</v>
      </c>
      <c r="B16341" s="17">
        <v>8200302.0</v>
      </c>
    </row>
    <row r="16342">
      <c r="A16342" s="17">
        <v>5.013001E8</v>
      </c>
      <c r="B16342" s="17">
        <v>8200400.0</v>
      </c>
    </row>
    <row r="16343">
      <c r="A16343" s="17">
        <v>5.013001E8</v>
      </c>
      <c r="B16343" s="17">
        <v>8200401.0</v>
      </c>
    </row>
    <row r="16344">
      <c r="A16344" s="17">
        <v>5.013001E8</v>
      </c>
      <c r="B16344" s="17">
        <v>8200402.0</v>
      </c>
    </row>
    <row r="16345">
      <c r="A16345" s="17">
        <v>5.013001E8</v>
      </c>
      <c r="B16345" s="17">
        <v>8210000.0</v>
      </c>
    </row>
    <row r="16346">
      <c r="A16346" s="17">
        <v>5.013001E8</v>
      </c>
      <c r="B16346" s="17">
        <v>8210001.0</v>
      </c>
    </row>
    <row r="16347">
      <c r="A16347" s="17">
        <v>5.013001E8</v>
      </c>
      <c r="B16347" s="17">
        <v>8210002.0</v>
      </c>
    </row>
    <row r="16348">
      <c r="A16348" s="17">
        <v>5.013001E8</v>
      </c>
      <c r="B16348" s="17">
        <v>8210100.0</v>
      </c>
    </row>
    <row r="16349">
      <c r="A16349" s="17">
        <v>5.013001E8</v>
      </c>
      <c r="B16349" s="17">
        <v>8210101.0</v>
      </c>
    </row>
    <row r="16350">
      <c r="A16350" s="17">
        <v>5.013001E8</v>
      </c>
      <c r="B16350" s="17">
        <v>8210102.0</v>
      </c>
    </row>
    <row r="16351">
      <c r="A16351" s="17">
        <v>5.013001E8</v>
      </c>
      <c r="B16351" s="17">
        <v>8210200.0</v>
      </c>
    </row>
    <row r="16352">
      <c r="A16352" s="17">
        <v>5.013001E8</v>
      </c>
      <c r="B16352" s="17">
        <v>8210201.0</v>
      </c>
    </row>
    <row r="16353">
      <c r="A16353" s="17">
        <v>5.013001E8</v>
      </c>
      <c r="B16353" s="17">
        <v>8210202.0</v>
      </c>
    </row>
    <row r="16354">
      <c r="A16354" s="17">
        <v>5.013001E8</v>
      </c>
      <c r="B16354" s="17">
        <v>8210300.0</v>
      </c>
    </row>
    <row r="16355">
      <c r="A16355" s="17">
        <v>5.013001E8</v>
      </c>
      <c r="B16355" s="17">
        <v>8210301.0</v>
      </c>
    </row>
    <row r="16356">
      <c r="A16356" s="17">
        <v>5.013001E8</v>
      </c>
      <c r="B16356" s="17">
        <v>8210302.0</v>
      </c>
    </row>
    <row r="16357">
      <c r="A16357" s="17">
        <v>5.013001E8</v>
      </c>
      <c r="B16357" s="17">
        <v>8210400.0</v>
      </c>
    </row>
    <row r="16358">
      <c r="A16358" s="17">
        <v>5.013001E8</v>
      </c>
      <c r="B16358" s="17">
        <v>8210401.0</v>
      </c>
    </row>
    <row r="16359">
      <c r="A16359" s="17">
        <v>5.013001E8</v>
      </c>
      <c r="B16359" s="17">
        <v>8210402.0</v>
      </c>
    </row>
    <row r="16360">
      <c r="A16360" s="17">
        <v>5.013001E8</v>
      </c>
      <c r="B16360" s="17">
        <v>8210500.0</v>
      </c>
    </row>
    <row r="16361">
      <c r="A16361" s="17">
        <v>5.013001E8</v>
      </c>
      <c r="B16361" s="17">
        <v>8210501.0</v>
      </c>
    </row>
    <row r="16362">
      <c r="A16362" s="17">
        <v>5.013001E8</v>
      </c>
      <c r="B16362" s="17">
        <v>8210502.0</v>
      </c>
    </row>
    <row r="16363">
      <c r="A16363" s="17">
        <v>5.013001E8</v>
      </c>
      <c r="B16363" s="17">
        <v>8210600.0</v>
      </c>
    </row>
    <row r="16364">
      <c r="A16364" s="17">
        <v>5.013001E8</v>
      </c>
      <c r="B16364" s="17">
        <v>8210601.0</v>
      </c>
    </row>
    <row r="16365">
      <c r="A16365" s="17">
        <v>5.013001E8</v>
      </c>
      <c r="B16365" s="17">
        <v>8210602.0</v>
      </c>
    </row>
    <row r="16366">
      <c r="A16366" s="17">
        <v>5.013001E8</v>
      </c>
      <c r="B16366" s="17">
        <v>8220000.0</v>
      </c>
    </row>
    <row r="16367">
      <c r="A16367" s="17">
        <v>5.013001E8</v>
      </c>
      <c r="B16367" s="17">
        <v>8220001.0</v>
      </c>
    </row>
    <row r="16368">
      <c r="A16368" s="17">
        <v>5.013001E8</v>
      </c>
      <c r="B16368" s="17">
        <v>8220002.0</v>
      </c>
    </row>
    <row r="16369">
      <c r="A16369" s="17">
        <v>5.013001E8</v>
      </c>
      <c r="B16369" s="17">
        <v>8300000.0</v>
      </c>
    </row>
    <row r="16370">
      <c r="A16370" s="17">
        <v>5.013001E8</v>
      </c>
      <c r="B16370" s="17">
        <v>8300001.0</v>
      </c>
    </row>
    <row r="16371">
      <c r="A16371" s="17">
        <v>5.013001E8</v>
      </c>
      <c r="B16371" s="17">
        <v>8300002.0</v>
      </c>
    </row>
    <row r="16372">
      <c r="A16372" s="17">
        <v>5.013001E8</v>
      </c>
      <c r="B16372" s="17">
        <v>8310000.0</v>
      </c>
    </row>
    <row r="16373">
      <c r="A16373" s="17">
        <v>5.013001E8</v>
      </c>
      <c r="B16373" s="17">
        <v>8310001.0</v>
      </c>
    </row>
    <row r="16374">
      <c r="A16374" s="17">
        <v>5.013001E8</v>
      </c>
      <c r="B16374" s="17">
        <v>8310002.0</v>
      </c>
    </row>
    <row r="16375">
      <c r="A16375" s="17">
        <v>5.013001E8</v>
      </c>
      <c r="B16375" s="17">
        <v>8320000.0</v>
      </c>
    </row>
    <row r="16376">
      <c r="A16376" s="17">
        <v>5.013001E8</v>
      </c>
      <c r="B16376" s="17">
        <v>8320001.0</v>
      </c>
    </row>
    <row r="16377">
      <c r="A16377" s="17">
        <v>5.013001E8</v>
      </c>
      <c r="B16377" s="17">
        <v>8320002.0</v>
      </c>
    </row>
    <row r="16378">
      <c r="A16378" s="17">
        <v>5.013001E8</v>
      </c>
      <c r="B16378" s="17">
        <v>8320100.0</v>
      </c>
    </row>
    <row r="16379">
      <c r="A16379" s="17">
        <v>5.013001E8</v>
      </c>
      <c r="B16379" s="17">
        <v>8320101.0</v>
      </c>
    </row>
    <row r="16380">
      <c r="A16380" s="17">
        <v>5.013001E8</v>
      </c>
      <c r="B16380" s="17">
        <v>8320102.0</v>
      </c>
    </row>
    <row r="16381">
      <c r="A16381" s="17">
        <v>5.013001E8</v>
      </c>
      <c r="B16381" s="17">
        <v>8320300.0</v>
      </c>
    </row>
    <row r="16382">
      <c r="A16382" s="17">
        <v>5.013001E8</v>
      </c>
      <c r="B16382" s="17">
        <v>8320301.0</v>
      </c>
    </row>
    <row r="16383">
      <c r="A16383" s="17">
        <v>5.013001E8</v>
      </c>
      <c r="B16383" s="17">
        <v>8320302.0</v>
      </c>
    </row>
    <row r="16384">
      <c r="A16384" s="17">
        <v>5.013001E8</v>
      </c>
      <c r="B16384" s="17">
        <v>8320400.0</v>
      </c>
    </row>
    <row r="16385">
      <c r="A16385" s="17">
        <v>5.013001E8</v>
      </c>
      <c r="B16385" s="17">
        <v>8320410.0</v>
      </c>
    </row>
    <row r="16386">
      <c r="A16386" s="17">
        <v>5.013001E8</v>
      </c>
      <c r="B16386" s="17">
        <v>8320420.0</v>
      </c>
    </row>
    <row r="16387">
      <c r="A16387" s="17">
        <v>5.013001E8</v>
      </c>
      <c r="B16387" s="17">
        <v>8330000.0</v>
      </c>
    </row>
    <row r="16388">
      <c r="A16388" s="17">
        <v>5.013001E8</v>
      </c>
      <c r="B16388" s="17">
        <v>8330001.0</v>
      </c>
    </row>
    <row r="16389">
      <c r="A16389" s="17">
        <v>5.013001E8</v>
      </c>
      <c r="B16389" s="17">
        <v>8330002.0</v>
      </c>
    </row>
    <row r="16390">
      <c r="A16390" s="17">
        <v>5.013001E8</v>
      </c>
      <c r="B16390" s="17">
        <v>8330100.0</v>
      </c>
    </row>
    <row r="16391">
      <c r="A16391" s="17">
        <v>5.013001E8</v>
      </c>
      <c r="B16391" s="17">
        <v>8330101.0</v>
      </c>
    </row>
    <row r="16392">
      <c r="A16392" s="17">
        <v>5.013001E8</v>
      </c>
      <c r="B16392" s="17">
        <v>8330102.0</v>
      </c>
    </row>
    <row r="16393">
      <c r="A16393" s="17">
        <v>5.013001E8</v>
      </c>
      <c r="B16393" s="17">
        <v>8330200.0</v>
      </c>
    </row>
    <row r="16394">
      <c r="A16394" s="17">
        <v>5.013001E8</v>
      </c>
      <c r="B16394" s="17">
        <v>8330201.0</v>
      </c>
    </row>
    <row r="16395">
      <c r="A16395" s="17">
        <v>5.013001E8</v>
      </c>
      <c r="B16395" s="17">
        <v>8330202.0</v>
      </c>
    </row>
    <row r="16396">
      <c r="A16396" s="17">
        <v>5.013001E8</v>
      </c>
      <c r="B16396" s="17">
        <v>8330300.0</v>
      </c>
    </row>
    <row r="16397">
      <c r="A16397" s="17">
        <v>5.013001E8</v>
      </c>
      <c r="B16397" s="17">
        <v>8330301.0</v>
      </c>
    </row>
    <row r="16398">
      <c r="A16398" s="17">
        <v>5.013001E8</v>
      </c>
      <c r="B16398" s="17">
        <v>8330302.0</v>
      </c>
    </row>
    <row r="16399">
      <c r="A16399" s="17">
        <v>5.013001E8</v>
      </c>
      <c r="B16399" s="17">
        <v>8330400.0</v>
      </c>
    </row>
    <row r="16400">
      <c r="A16400" s="17">
        <v>5.013001E8</v>
      </c>
      <c r="B16400" s="17">
        <v>8330401.0</v>
      </c>
    </row>
    <row r="16401">
      <c r="A16401" s="17">
        <v>5.013001E8</v>
      </c>
      <c r="B16401" s="17">
        <v>8330600.0</v>
      </c>
    </row>
    <row r="16402">
      <c r="A16402" s="17">
        <v>5.013001E8</v>
      </c>
      <c r="B16402" s="17">
        <v>8330601.0</v>
      </c>
    </row>
    <row r="16403">
      <c r="A16403" s="17">
        <v>5.013001E8</v>
      </c>
      <c r="B16403" s="17">
        <v>8330602.0</v>
      </c>
    </row>
    <row r="16404">
      <c r="A16404" s="17">
        <v>5.013001E8</v>
      </c>
      <c r="B16404" s="17">
        <v>8330900.0</v>
      </c>
    </row>
    <row r="16405">
      <c r="A16405" s="17">
        <v>5.013001E8</v>
      </c>
      <c r="B16405" s="17">
        <v>8330910.0</v>
      </c>
    </row>
    <row r="16406">
      <c r="A16406" s="17">
        <v>5.013001E8</v>
      </c>
      <c r="B16406" s="17">
        <v>8330920.0</v>
      </c>
    </row>
    <row r="16407">
      <c r="A16407" s="17">
        <v>5.013001E8</v>
      </c>
      <c r="B16407" s="17">
        <v>8340000.0</v>
      </c>
    </row>
    <row r="16408">
      <c r="A16408" s="17">
        <v>5.013001E8</v>
      </c>
      <c r="B16408" s="17">
        <v>8340001.0</v>
      </c>
    </row>
    <row r="16409">
      <c r="A16409" s="17">
        <v>5.013001E8</v>
      </c>
      <c r="B16409" s="17">
        <v>8340002.0</v>
      </c>
    </row>
    <row r="16410">
      <c r="A16410" s="17">
        <v>5.013001E8</v>
      </c>
      <c r="B16410" s="17">
        <v>8340100.0</v>
      </c>
    </row>
    <row r="16411">
      <c r="A16411" s="17">
        <v>5.013001E8</v>
      </c>
      <c r="B16411" s="17">
        <v>8340101.0</v>
      </c>
    </row>
    <row r="16412">
      <c r="A16412" s="17">
        <v>5.013001E8</v>
      </c>
      <c r="B16412" s="17">
        <v>8340102.0</v>
      </c>
    </row>
    <row r="16413">
      <c r="A16413" s="17">
        <v>5.013001E8</v>
      </c>
      <c r="B16413" s="17">
        <v>8350000.0</v>
      </c>
    </row>
    <row r="16414">
      <c r="A16414" s="17">
        <v>5.013001E8</v>
      </c>
      <c r="B16414" s="17">
        <v>8350001.0</v>
      </c>
    </row>
    <row r="16415">
      <c r="A16415" s="17">
        <v>5.013001E8</v>
      </c>
      <c r="B16415" s="17">
        <v>8350002.0</v>
      </c>
    </row>
    <row r="16416">
      <c r="A16416" s="17">
        <v>5.013001E8</v>
      </c>
      <c r="B16416" s="17">
        <v>8350200.0</v>
      </c>
    </row>
    <row r="16417">
      <c r="A16417" s="17">
        <v>5.013001E8</v>
      </c>
      <c r="B16417" s="17">
        <v>8350201.0</v>
      </c>
    </row>
    <row r="16418">
      <c r="A16418" s="17">
        <v>5.013001E8</v>
      </c>
      <c r="B16418" s="17">
        <v>8350202.0</v>
      </c>
    </row>
    <row r="16419">
      <c r="A16419" s="17">
        <v>5.013001E8</v>
      </c>
      <c r="B16419" s="17">
        <v>8420000.0</v>
      </c>
    </row>
    <row r="16420">
      <c r="A16420" s="17">
        <v>5.013001E8</v>
      </c>
      <c r="B16420" s="17">
        <v>8420001.0</v>
      </c>
    </row>
    <row r="16421">
      <c r="A16421" s="17">
        <v>5.013001E8</v>
      </c>
      <c r="B16421" s="17">
        <v>8420002.0</v>
      </c>
    </row>
    <row r="16422">
      <c r="A16422" s="17">
        <v>5.013001E8</v>
      </c>
      <c r="B16422" s="17">
        <v>8450000.0</v>
      </c>
    </row>
    <row r="16423">
      <c r="A16423" s="17">
        <v>5.013001E8</v>
      </c>
      <c r="B16423" s="17">
        <v>8460100.0</v>
      </c>
    </row>
    <row r="16424">
      <c r="A16424" s="17">
        <v>5.013001E8</v>
      </c>
      <c r="B16424" s="17">
        <v>8460300.0</v>
      </c>
    </row>
    <row r="16425">
      <c r="A16425" s="17">
        <v>5.013001E8</v>
      </c>
      <c r="B16425" s="17">
        <v>8460500.0</v>
      </c>
    </row>
    <row r="16426">
      <c r="A16426" s="17">
        <v>5.013001E8</v>
      </c>
      <c r="B16426" s="17">
        <v>8510000.0</v>
      </c>
    </row>
    <row r="16427">
      <c r="A16427" s="17">
        <v>5.013001E8</v>
      </c>
      <c r="B16427" s="17">
        <v>8510001.0</v>
      </c>
    </row>
    <row r="16428">
      <c r="A16428" s="17">
        <v>5.013001E8</v>
      </c>
      <c r="B16428" s="17">
        <v>8510002.0</v>
      </c>
    </row>
    <row r="16429">
      <c r="A16429" s="17">
        <v>5.013001E8</v>
      </c>
      <c r="B16429" s="17">
        <v>8520000.0</v>
      </c>
    </row>
    <row r="16430">
      <c r="A16430" s="17">
        <v>5.013001E8</v>
      </c>
      <c r="B16430" s="17">
        <v>8520001.0</v>
      </c>
    </row>
    <row r="16431">
      <c r="A16431" s="17">
        <v>5.013001E8</v>
      </c>
      <c r="B16431" s="17">
        <v>8520002.0</v>
      </c>
    </row>
    <row r="16432">
      <c r="A16432" s="17">
        <v>5.013001E8</v>
      </c>
      <c r="B16432" s="17">
        <v>8530000.0</v>
      </c>
    </row>
    <row r="16433">
      <c r="A16433" s="17">
        <v>5.013001E8</v>
      </c>
      <c r="B16433" s="17">
        <v>8530100.0</v>
      </c>
    </row>
    <row r="16434">
      <c r="A16434" s="17">
        <v>5.013001E8</v>
      </c>
      <c r="B16434" s="17">
        <v>8540000.0</v>
      </c>
    </row>
    <row r="16435">
      <c r="A16435" s="17">
        <v>5.013001E8</v>
      </c>
      <c r="B16435" s="17">
        <v>8600100.0</v>
      </c>
    </row>
    <row r="16436">
      <c r="A16436" s="17">
        <v>5.013001E8</v>
      </c>
      <c r="B16436" s="17">
        <v>8600101.0</v>
      </c>
    </row>
    <row r="16437">
      <c r="A16437" s="17">
        <v>5.013001E8</v>
      </c>
      <c r="B16437" s="17">
        <v>8600102.0</v>
      </c>
    </row>
    <row r="16438">
      <c r="A16438" s="17">
        <v>5.013001E8</v>
      </c>
      <c r="B16438" s="17">
        <v>8600200.0</v>
      </c>
    </row>
    <row r="16439">
      <c r="A16439" s="17">
        <v>5.013001E8</v>
      </c>
      <c r="B16439" s="17">
        <v>8600201.0</v>
      </c>
    </row>
    <row r="16440">
      <c r="A16440" s="17">
        <v>5.013001E8</v>
      </c>
      <c r="B16440" s="17">
        <v>8600202.0</v>
      </c>
    </row>
    <row r="16441">
      <c r="A16441" s="17">
        <v>5.013001E8</v>
      </c>
      <c r="B16441" s="17">
        <v>8610300.0</v>
      </c>
    </row>
    <row r="16442">
      <c r="A16442" s="17">
        <v>5.013001E8</v>
      </c>
      <c r="B16442" s="17">
        <v>8610400.0</v>
      </c>
    </row>
    <row r="16443">
      <c r="A16443" s="17">
        <v>5.013001E8</v>
      </c>
      <c r="B16443" s="17">
        <v>8610500.0</v>
      </c>
    </row>
    <row r="16444">
      <c r="A16444" s="17">
        <v>5.013001E8</v>
      </c>
      <c r="B16444" s="17">
        <v>8610600.0</v>
      </c>
    </row>
    <row r="16445">
      <c r="A16445" s="17">
        <v>5.013001E8</v>
      </c>
      <c r="B16445" s="17">
        <v>8610700.0</v>
      </c>
    </row>
    <row r="16446">
      <c r="A16446" s="17">
        <v>5.013001E8</v>
      </c>
      <c r="B16446" s="17">
        <v>8610710.0</v>
      </c>
    </row>
    <row r="16447">
      <c r="A16447" s="17">
        <v>5.013001E8</v>
      </c>
      <c r="B16447" s="17">
        <v>8610720.0</v>
      </c>
    </row>
    <row r="16448">
      <c r="A16448" s="17">
        <v>5.013001E8</v>
      </c>
      <c r="B16448" s="17">
        <v>8620000.0</v>
      </c>
    </row>
    <row r="16449">
      <c r="A16449" s="17">
        <v>5.013001E8</v>
      </c>
      <c r="B16449" s="17">
        <v>8620010.0</v>
      </c>
    </row>
    <row r="16450">
      <c r="A16450" s="17">
        <v>5.013001E8</v>
      </c>
      <c r="B16450" s="17">
        <v>8620020.0</v>
      </c>
    </row>
    <row r="16451">
      <c r="A16451" s="17">
        <v>5.013001E8</v>
      </c>
      <c r="B16451" s="17">
        <v>8620100.0</v>
      </c>
    </row>
    <row r="16452">
      <c r="A16452" s="17">
        <v>5.013001E8</v>
      </c>
      <c r="B16452" s="17">
        <v>8620110.0</v>
      </c>
    </row>
    <row r="16453">
      <c r="A16453" s="17">
        <v>5.013001E8</v>
      </c>
      <c r="B16453" s="17">
        <v>8620120.0</v>
      </c>
    </row>
    <row r="16454">
      <c r="A16454" s="17">
        <v>5.013001E8</v>
      </c>
      <c r="B16454" s="17">
        <v>8630000.0</v>
      </c>
    </row>
    <row r="16455">
      <c r="A16455" s="17">
        <v>5.013001E8</v>
      </c>
      <c r="B16455" s="17">
        <v>8630000.0</v>
      </c>
    </row>
    <row r="16456">
      <c r="A16456" s="17">
        <v>5.013001E8</v>
      </c>
      <c r="B16456" s="17">
        <v>8630000.0</v>
      </c>
    </row>
    <row r="16457">
      <c r="A16457" s="17">
        <v>5.013001E8</v>
      </c>
      <c r="B16457" s="17">
        <v>8630100.0</v>
      </c>
    </row>
    <row r="16458">
      <c r="A16458" s="17">
        <v>5.013001E8</v>
      </c>
      <c r="B16458" s="17">
        <v>8630100.0</v>
      </c>
    </row>
    <row r="16459">
      <c r="A16459" s="17">
        <v>5.013001E8</v>
      </c>
      <c r="B16459" s="17">
        <v>8630100.0</v>
      </c>
    </row>
    <row r="16460">
      <c r="A16460" s="17">
        <v>5.013001E8</v>
      </c>
      <c r="B16460" s="17">
        <v>8652000.0</v>
      </c>
    </row>
    <row r="16461">
      <c r="A16461" s="17">
        <v>5.013001E8</v>
      </c>
      <c r="B16461" s="17">
        <v>8652010.0</v>
      </c>
    </row>
    <row r="16462">
      <c r="A16462" s="17">
        <v>5.013001E8</v>
      </c>
      <c r="B16462" s="17">
        <v>8652020.0</v>
      </c>
    </row>
    <row r="16463">
      <c r="A16463" s="17">
        <v>5.013001E8</v>
      </c>
      <c r="B16463" s="17">
        <v>8652100.0</v>
      </c>
    </row>
    <row r="16464">
      <c r="A16464" s="17">
        <v>5.013001E8</v>
      </c>
      <c r="B16464" s="17">
        <v>8652110.0</v>
      </c>
    </row>
    <row r="16465">
      <c r="A16465" s="17">
        <v>5.013001E8</v>
      </c>
      <c r="B16465" s="17">
        <v>8652120.0</v>
      </c>
    </row>
    <row r="16466">
      <c r="A16466" s="17">
        <v>5.013001E8</v>
      </c>
      <c r="B16466" s="17">
        <v>8660000.0</v>
      </c>
    </row>
    <row r="16467">
      <c r="A16467" s="17">
        <v>5.013001E8</v>
      </c>
      <c r="B16467" s="17">
        <v>8660001.0</v>
      </c>
    </row>
    <row r="16468">
      <c r="A16468" s="17">
        <v>5.013001E8</v>
      </c>
      <c r="B16468" s="17">
        <v>8660002.0</v>
      </c>
    </row>
    <row r="16469">
      <c r="A16469" s="17">
        <v>5.013001E8</v>
      </c>
      <c r="B16469" s="17">
        <v>8660100.0</v>
      </c>
    </row>
    <row r="16470">
      <c r="A16470" s="17">
        <v>5.013001E8</v>
      </c>
      <c r="B16470" s="17">
        <v>8660101.0</v>
      </c>
    </row>
    <row r="16471">
      <c r="A16471" s="17">
        <v>5.013001E8</v>
      </c>
      <c r="B16471" s="17">
        <v>8660102.0</v>
      </c>
    </row>
    <row r="16472">
      <c r="A16472" s="17">
        <v>5.013001E8</v>
      </c>
      <c r="B16472" s="17">
        <v>8670000.0</v>
      </c>
    </row>
    <row r="16473">
      <c r="A16473" s="17">
        <v>5.013001E8</v>
      </c>
      <c r="B16473" s="17">
        <v>8670001.0</v>
      </c>
    </row>
    <row r="16474">
      <c r="A16474" s="17">
        <v>5.013001E8</v>
      </c>
      <c r="B16474" s="17">
        <v>8670002.0</v>
      </c>
    </row>
    <row r="16475">
      <c r="A16475" s="17">
        <v>5.013001E8</v>
      </c>
      <c r="B16475" s="17">
        <v>8670100.0</v>
      </c>
    </row>
    <row r="16476">
      <c r="A16476" s="17">
        <v>5.013001E8</v>
      </c>
      <c r="B16476" s="17">
        <v>8670101.0</v>
      </c>
    </row>
    <row r="16477">
      <c r="A16477" s="17">
        <v>5.013001E8</v>
      </c>
      <c r="B16477" s="17">
        <v>8670102.0</v>
      </c>
    </row>
    <row r="16478">
      <c r="A16478" s="17">
        <v>5.013001E8</v>
      </c>
      <c r="B16478" s="17">
        <v>8690000.0</v>
      </c>
    </row>
    <row r="16479">
      <c r="A16479" s="17">
        <v>5.013001E8</v>
      </c>
      <c r="B16479" s="17">
        <v>8690100.0</v>
      </c>
    </row>
    <row r="16480">
      <c r="A16480" s="17">
        <v>5.013001E8</v>
      </c>
      <c r="B16480" s="17">
        <v>8690200.0</v>
      </c>
    </row>
    <row r="16481">
      <c r="A16481" s="17">
        <v>5.013001E8</v>
      </c>
      <c r="B16481" s="17">
        <v>8690300.0</v>
      </c>
    </row>
    <row r="16482">
      <c r="A16482" s="17">
        <v>5.013001E8</v>
      </c>
      <c r="B16482" s="17">
        <v>8690400.0</v>
      </c>
    </row>
    <row r="16483">
      <c r="A16483" s="17">
        <v>5.013001E8</v>
      </c>
      <c r="B16483" s="17">
        <v>8320500.0</v>
      </c>
    </row>
    <row r="16484">
      <c r="A16484" s="17">
        <v>5.013001E8</v>
      </c>
      <c r="B16484" s="17">
        <v>8320510.0</v>
      </c>
    </row>
    <row r="16485">
      <c r="A16485" s="17">
        <v>5.013001E8</v>
      </c>
      <c r="B16485" s="17">
        <v>8320520.0</v>
      </c>
    </row>
    <row r="16486">
      <c r="A16486" s="17">
        <v>5.013001E8</v>
      </c>
      <c r="B16486" s="17">
        <v>8320600.0</v>
      </c>
    </row>
    <row r="16487">
      <c r="A16487" s="17">
        <v>5.013001E8</v>
      </c>
      <c r="B16487" s="17">
        <v>8320610.0</v>
      </c>
    </row>
    <row r="16488">
      <c r="A16488" s="17">
        <v>5.013001E8</v>
      </c>
      <c r="B16488" s="17">
        <v>8320620.0</v>
      </c>
    </row>
    <row r="16489">
      <c r="A16489" s="17">
        <v>5.013001E8</v>
      </c>
      <c r="B16489" s="17">
        <v>8320700.0</v>
      </c>
    </row>
    <row r="16490">
      <c r="A16490" s="17">
        <v>5.013001E8</v>
      </c>
      <c r="B16490" s="17">
        <v>8320710.0</v>
      </c>
    </row>
    <row r="16491">
      <c r="A16491" s="17">
        <v>5.013001E8</v>
      </c>
      <c r="B16491" s="17">
        <v>8320720.0</v>
      </c>
    </row>
    <row r="16492">
      <c r="A16492" s="17">
        <v>5.013002E8</v>
      </c>
      <c r="B16492" s="17">
        <v>0.0</v>
      </c>
    </row>
    <row r="16493">
      <c r="A16493" s="17">
        <v>5.013002E8</v>
      </c>
      <c r="B16493" s="17">
        <v>8100100.0</v>
      </c>
    </row>
    <row r="16494">
      <c r="A16494" s="17">
        <v>5.013002E8</v>
      </c>
      <c r="B16494" s="17">
        <v>8100101.0</v>
      </c>
    </row>
    <row r="16495">
      <c r="A16495" s="17">
        <v>5.013002E8</v>
      </c>
      <c r="B16495" s="17">
        <v>8100102.0</v>
      </c>
    </row>
    <row r="16496">
      <c r="A16496" s="17">
        <v>5.013002E8</v>
      </c>
      <c r="B16496" s="17">
        <v>8100200.0</v>
      </c>
    </row>
    <row r="16497">
      <c r="A16497" s="17">
        <v>5.013002E8</v>
      </c>
      <c r="B16497" s="17">
        <v>8100201.0</v>
      </c>
    </row>
    <row r="16498">
      <c r="A16498" s="17">
        <v>5.013002E8</v>
      </c>
      <c r="B16498" s="17">
        <v>8100202.0</v>
      </c>
    </row>
    <row r="16499">
      <c r="A16499" s="17">
        <v>5.013002E8</v>
      </c>
      <c r="B16499" s="17">
        <v>8100300.0</v>
      </c>
    </row>
    <row r="16500">
      <c r="A16500" s="17">
        <v>5.013002E8</v>
      </c>
      <c r="B16500" s="17">
        <v>8100301.0</v>
      </c>
    </row>
    <row r="16501">
      <c r="A16501" s="17">
        <v>5.013002E8</v>
      </c>
      <c r="B16501" s="17">
        <v>8100302.0</v>
      </c>
    </row>
    <row r="16502">
      <c r="A16502" s="17">
        <v>5.013002E8</v>
      </c>
      <c r="B16502" s="17">
        <v>8100400.0</v>
      </c>
    </row>
    <row r="16503">
      <c r="A16503" s="17">
        <v>5.013002E8</v>
      </c>
      <c r="B16503" s="17">
        <v>8100401.0</v>
      </c>
    </row>
    <row r="16504">
      <c r="A16504" s="17">
        <v>5.013002E8</v>
      </c>
      <c r="B16504" s="17">
        <v>8100402.0</v>
      </c>
    </row>
    <row r="16505">
      <c r="A16505" s="17">
        <v>5.013002E8</v>
      </c>
      <c r="B16505" s="17">
        <v>8130000.0</v>
      </c>
    </row>
    <row r="16506">
      <c r="A16506" s="17">
        <v>5.013002E8</v>
      </c>
      <c r="B16506" s="17">
        <v>8130001.0</v>
      </c>
    </row>
    <row r="16507">
      <c r="A16507" s="17">
        <v>5.013002E8</v>
      </c>
      <c r="B16507" s="17">
        <v>8130002.0</v>
      </c>
    </row>
    <row r="16508">
      <c r="A16508" s="17">
        <v>5.013002E8</v>
      </c>
      <c r="B16508" s="17">
        <v>8140000.0</v>
      </c>
    </row>
    <row r="16509">
      <c r="A16509" s="17">
        <v>5.013002E8</v>
      </c>
      <c r="B16509" s="17">
        <v>8140001.0</v>
      </c>
    </row>
    <row r="16510">
      <c r="A16510" s="17">
        <v>5.013002E8</v>
      </c>
      <c r="B16510" s="17">
        <v>8140002.0</v>
      </c>
    </row>
    <row r="16511">
      <c r="A16511" s="17">
        <v>5.013002E8</v>
      </c>
      <c r="B16511" s="17">
        <v>8200100.0</v>
      </c>
    </row>
    <row r="16512">
      <c r="A16512" s="17">
        <v>5.013002E8</v>
      </c>
      <c r="B16512" s="17">
        <v>8200101.0</v>
      </c>
    </row>
    <row r="16513">
      <c r="A16513" s="17">
        <v>5.013002E8</v>
      </c>
      <c r="B16513" s="17">
        <v>8200102.0</v>
      </c>
    </row>
    <row r="16514">
      <c r="A16514" s="17">
        <v>5.013002E8</v>
      </c>
      <c r="B16514" s="17">
        <v>8200200.0</v>
      </c>
    </row>
    <row r="16515">
      <c r="A16515" s="17">
        <v>5.013002E8</v>
      </c>
      <c r="B16515" s="17">
        <v>8200201.0</v>
      </c>
    </row>
    <row r="16516">
      <c r="A16516" s="17">
        <v>5.013002E8</v>
      </c>
      <c r="B16516" s="17">
        <v>8200202.0</v>
      </c>
    </row>
    <row r="16517">
      <c r="A16517" s="17">
        <v>5.013002E8</v>
      </c>
      <c r="B16517" s="17">
        <v>8200300.0</v>
      </c>
    </row>
    <row r="16518">
      <c r="A16518" s="17">
        <v>5.013002E8</v>
      </c>
      <c r="B16518" s="17">
        <v>8200301.0</v>
      </c>
    </row>
    <row r="16519">
      <c r="A16519" s="17">
        <v>5.013002E8</v>
      </c>
      <c r="B16519" s="17">
        <v>8200302.0</v>
      </c>
    </row>
    <row r="16520">
      <c r="A16520" s="17">
        <v>5.013002E8</v>
      </c>
      <c r="B16520" s="17">
        <v>8200400.0</v>
      </c>
    </row>
    <row r="16521">
      <c r="A16521" s="17">
        <v>5.013002E8</v>
      </c>
      <c r="B16521" s="17">
        <v>8200401.0</v>
      </c>
    </row>
    <row r="16522">
      <c r="A16522" s="17">
        <v>5.013002E8</v>
      </c>
      <c r="B16522" s="17">
        <v>8200402.0</v>
      </c>
    </row>
    <row r="16523">
      <c r="A16523" s="17">
        <v>5.013002E8</v>
      </c>
      <c r="B16523" s="17">
        <v>8210000.0</v>
      </c>
    </row>
    <row r="16524">
      <c r="A16524" s="17">
        <v>5.013002E8</v>
      </c>
      <c r="B16524" s="17">
        <v>8210001.0</v>
      </c>
    </row>
    <row r="16525">
      <c r="A16525" s="17">
        <v>5.013002E8</v>
      </c>
      <c r="B16525" s="17">
        <v>8210002.0</v>
      </c>
    </row>
    <row r="16526">
      <c r="A16526" s="17">
        <v>5.013002E8</v>
      </c>
      <c r="B16526" s="17">
        <v>8210100.0</v>
      </c>
    </row>
    <row r="16527">
      <c r="A16527" s="17">
        <v>5.013002E8</v>
      </c>
      <c r="B16527" s="17">
        <v>8210101.0</v>
      </c>
    </row>
    <row r="16528">
      <c r="A16528" s="17">
        <v>5.013002E8</v>
      </c>
      <c r="B16528" s="17">
        <v>8210102.0</v>
      </c>
    </row>
    <row r="16529">
      <c r="A16529" s="17">
        <v>5.013002E8</v>
      </c>
      <c r="B16529" s="17">
        <v>8210200.0</v>
      </c>
    </row>
    <row r="16530">
      <c r="A16530" s="17">
        <v>5.013002E8</v>
      </c>
      <c r="B16530" s="17">
        <v>8210201.0</v>
      </c>
    </row>
    <row r="16531">
      <c r="A16531" s="17">
        <v>5.013002E8</v>
      </c>
      <c r="B16531" s="17">
        <v>8210202.0</v>
      </c>
    </row>
    <row r="16532">
      <c r="A16532" s="17">
        <v>5.013002E8</v>
      </c>
      <c r="B16532" s="17">
        <v>8210300.0</v>
      </c>
    </row>
    <row r="16533">
      <c r="A16533" s="17">
        <v>5.013002E8</v>
      </c>
      <c r="B16533" s="17">
        <v>8210301.0</v>
      </c>
    </row>
    <row r="16534">
      <c r="A16534" s="17">
        <v>5.013002E8</v>
      </c>
      <c r="B16534" s="17">
        <v>8210302.0</v>
      </c>
    </row>
    <row r="16535">
      <c r="A16535" s="17">
        <v>5.013002E8</v>
      </c>
      <c r="B16535" s="17">
        <v>8210400.0</v>
      </c>
    </row>
    <row r="16536">
      <c r="A16536" s="17">
        <v>5.013002E8</v>
      </c>
      <c r="B16536" s="17">
        <v>8210401.0</v>
      </c>
    </row>
    <row r="16537">
      <c r="A16537" s="17">
        <v>5.013002E8</v>
      </c>
      <c r="B16537" s="17">
        <v>8210402.0</v>
      </c>
    </row>
    <row r="16538">
      <c r="A16538" s="17">
        <v>5.013002E8</v>
      </c>
      <c r="B16538" s="17">
        <v>8210500.0</v>
      </c>
    </row>
    <row r="16539">
      <c r="A16539" s="17">
        <v>5.013002E8</v>
      </c>
      <c r="B16539" s="17">
        <v>8210501.0</v>
      </c>
    </row>
    <row r="16540">
      <c r="A16540" s="17">
        <v>5.013002E8</v>
      </c>
      <c r="B16540" s="17">
        <v>8210502.0</v>
      </c>
    </row>
    <row r="16541">
      <c r="A16541" s="17">
        <v>5.013002E8</v>
      </c>
      <c r="B16541" s="17">
        <v>8210600.0</v>
      </c>
    </row>
    <row r="16542">
      <c r="A16542" s="17">
        <v>5.013002E8</v>
      </c>
      <c r="B16542" s="17">
        <v>8210601.0</v>
      </c>
    </row>
    <row r="16543">
      <c r="A16543" s="17">
        <v>5.013002E8</v>
      </c>
      <c r="B16543" s="17">
        <v>8210602.0</v>
      </c>
    </row>
    <row r="16544">
      <c r="A16544" s="17">
        <v>5.013002E8</v>
      </c>
      <c r="B16544" s="17">
        <v>8220000.0</v>
      </c>
    </row>
    <row r="16545">
      <c r="A16545" s="17">
        <v>5.013002E8</v>
      </c>
      <c r="B16545" s="17">
        <v>8220001.0</v>
      </c>
    </row>
    <row r="16546">
      <c r="A16546" s="17">
        <v>5.013002E8</v>
      </c>
      <c r="B16546" s="17">
        <v>8220002.0</v>
      </c>
    </row>
    <row r="16547">
      <c r="A16547" s="17">
        <v>5.013002E8</v>
      </c>
      <c r="B16547" s="17">
        <v>8300000.0</v>
      </c>
    </row>
    <row r="16548">
      <c r="A16548" s="17">
        <v>5.013002E8</v>
      </c>
      <c r="B16548" s="17">
        <v>8300001.0</v>
      </c>
    </row>
    <row r="16549">
      <c r="A16549" s="17">
        <v>5.013002E8</v>
      </c>
      <c r="B16549" s="17">
        <v>8300002.0</v>
      </c>
    </row>
    <row r="16550">
      <c r="A16550" s="17">
        <v>5.013002E8</v>
      </c>
      <c r="B16550" s="17">
        <v>8310000.0</v>
      </c>
    </row>
    <row r="16551">
      <c r="A16551" s="17">
        <v>5.013002E8</v>
      </c>
      <c r="B16551" s="17">
        <v>8310001.0</v>
      </c>
    </row>
    <row r="16552">
      <c r="A16552" s="17">
        <v>5.013002E8</v>
      </c>
      <c r="B16552" s="17">
        <v>8310002.0</v>
      </c>
    </row>
    <row r="16553">
      <c r="A16553" s="17">
        <v>5.013002E8</v>
      </c>
      <c r="B16553" s="17">
        <v>8320000.0</v>
      </c>
    </row>
    <row r="16554">
      <c r="A16554" s="17">
        <v>5.013002E8</v>
      </c>
      <c r="B16554" s="17">
        <v>8320001.0</v>
      </c>
    </row>
    <row r="16555">
      <c r="A16555" s="17">
        <v>5.013002E8</v>
      </c>
      <c r="B16555" s="17">
        <v>8320002.0</v>
      </c>
    </row>
    <row r="16556">
      <c r="A16556" s="17">
        <v>5.013002E8</v>
      </c>
      <c r="B16556" s="17">
        <v>8320100.0</v>
      </c>
    </row>
    <row r="16557">
      <c r="A16557" s="17">
        <v>5.013002E8</v>
      </c>
      <c r="B16557" s="17">
        <v>8320101.0</v>
      </c>
    </row>
    <row r="16558">
      <c r="A16558" s="17">
        <v>5.013002E8</v>
      </c>
      <c r="B16558" s="17">
        <v>8320102.0</v>
      </c>
    </row>
    <row r="16559">
      <c r="A16559" s="17">
        <v>5.013002E8</v>
      </c>
      <c r="B16559" s="17">
        <v>8320300.0</v>
      </c>
    </row>
    <row r="16560">
      <c r="A16560" s="17">
        <v>5.013002E8</v>
      </c>
      <c r="B16560" s="17">
        <v>8320301.0</v>
      </c>
    </row>
    <row r="16561">
      <c r="A16561" s="17">
        <v>5.013002E8</v>
      </c>
      <c r="B16561" s="17">
        <v>8320302.0</v>
      </c>
    </row>
    <row r="16562">
      <c r="A16562" s="17">
        <v>5.013002E8</v>
      </c>
      <c r="B16562" s="17">
        <v>8320400.0</v>
      </c>
    </row>
    <row r="16563">
      <c r="A16563" s="17">
        <v>5.013002E8</v>
      </c>
      <c r="B16563" s="17">
        <v>8320410.0</v>
      </c>
    </row>
    <row r="16564">
      <c r="A16564" s="17">
        <v>5.013002E8</v>
      </c>
      <c r="B16564" s="17">
        <v>8320420.0</v>
      </c>
    </row>
    <row r="16565">
      <c r="A16565" s="17">
        <v>5.013002E8</v>
      </c>
      <c r="B16565" s="17">
        <v>8330000.0</v>
      </c>
    </row>
    <row r="16566">
      <c r="A16566" s="17">
        <v>5.013002E8</v>
      </c>
      <c r="B16566" s="17">
        <v>8330001.0</v>
      </c>
    </row>
    <row r="16567">
      <c r="A16567" s="17">
        <v>5.013002E8</v>
      </c>
      <c r="B16567" s="17">
        <v>8330002.0</v>
      </c>
    </row>
    <row r="16568">
      <c r="A16568" s="17">
        <v>5.013002E8</v>
      </c>
      <c r="B16568" s="17">
        <v>8330100.0</v>
      </c>
    </row>
    <row r="16569">
      <c r="A16569" s="17">
        <v>5.013002E8</v>
      </c>
      <c r="B16569" s="17">
        <v>8330101.0</v>
      </c>
    </row>
    <row r="16570">
      <c r="A16570" s="17">
        <v>5.013002E8</v>
      </c>
      <c r="B16570" s="17">
        <v>8330102.0</v>
      </c>
    </row>
    <row r="16571">
      <c r="A16571" s="17">
        <v>5.013002E8</v>
      </c>
      <c r="B16571" s="17">
        <v>8330200.0</v>
      </c>
    </row>
    <row r="16572">
      <c r="A16572" s="17">
        <v>5.013002E8</v>
      </c>
      <c r="B16572" s="17">
        <v>8330201.0</v>
      </c>
    </row>
    <row r="16573">
      <c r="A16573" s="17">
        <v>5.013002E8</v>
      </c>
      <c r="B16573" s="17">
        <v>8330202.0</v>
      </c>
    </row>
    <row r="16574">
      <c r="A16574" s="17">
        <v>5.013002E8</v>
      </c>
      <c r="B16574" s="17">
        <v>8330300.0</v>
      </c>
    </row>
    <row r="16575">
      <c r="A16575" s="17">
        <v>5.013002E8</v>
      </c>
      <c r="B16575" s="17">
        <v>8330301.0</v>
      </c>
    </row>
    <row r="16576">
      <c r="A16576" s="17">
        <v>5.013002E8</v>
      </c>
      <c r="B16576" s="17">
        <v>8330302.0</v>
      </c>
    </row>
    <row r="16577">
      <c r="A16577" s="17">
        <v>5.013002E8</v>
      </c>
      <c r="B16577" s="17">
        <v>8330400.0</v>
      </c>
    </row>
    <row r="16578">
      <c r="A16578" s="17">
        <v>5.013002E8</v>
      </c>
      <c r="B16578" s="17">
        <v>8330401.0</v>
      </c>
    </row>
    <row r="16579">
      <c r="A16579" s="17">
        <v>5.013002E8</v>
      </c>
      <c r="B16579" s="17">
        <v>8330600.0</v>
      </c>
    </row>
    <row r="16580">
      <c r="A16580" s="17">
        <v>5.013002E8</v>
      </c>
      <c r="B16580" s="17">
        <v>8330601.0</v>
      </c>
    </row>
    <row r="16581">
      <c r="A16581" s="17">
        <v>5.013002E8</v>
      </c>
      <c r="B16581" s="17">
        <v>8330602.0</v>
      </c>
    </row>
    <row r="16582">
      <c r="A16582" s="17">
        <v>5.013002E8</v>
      </c>
      <c r="B16582" s="17">
        <v>8330900.0</v>
      </c>
    </row>
    <row r="16583">
      <c r="A16583" s="17">
        <v>5.013002E8</v>
      </c>
      <c r="B16583" s="17">
        <v>8330910.0</v>
      </c>
    </row>
    <row r="16584">
      <c r="A16584" s="17">
        <v>5.013002E8</v>
      </c>
      <c r="B16584" s="17">
        <v>8330920.0</v>
      </c>
    </row>
    <row r="16585">
      <c r="A16585" s="17">
        <v>5.013002E8</v>
      </c>
      <c r="B16585" s="17">
        <v>8340000.0</v>
      </c>
    </row>
    <row r="16586">
      <c r="A16586" s="17">
        <v>5.013002E8</v>
      </c>
      <c r="B16586" s="17">
        <v>8340001.0</v>
      </c>
    </row>
    <row r="16587">
      <c r="A16587" s="17">
        <v>5.013002E8</v>
      </c>
      <c r="B16587" s="17">
        <v>8340002.0</v>
      </c>
    </row>
    <row r="16588">
      <c r="A16588" s="17">
        <v>5.013002E8</v>
      </c>
      <c r="B16588" s="17">
        <v>8340100.0</v>
      </c>
    </row>
    <row r="16589">
      <c r="A16589" s="17">
        <v>5.013002E8</v>
      </c>
      <c r="B16589" s="17">
        <v>8340101.0</v>
      </c>
    </row>
    <row r="16590">
      <c r="A16590" s="17">
        <v>5.013002E8</v>
      </c>
      <c r="B16590" s="17">
        <v>8340102.0</v>
      </c>
    </row>
    <row r="16591">
      <c r="A16591" s="17">
        <v>5.013002E8</v>
      </c>
      <c r="B16591" s="17">
        <v>8350000.0</v>
      </c>
    </row>
    <row r="16592">
      <c r="A16592" s="17">
        <v>5.013002E8</v>
      </c>
      <c r="B16592" s="17">
        <v>8350001.0</v>
      </c>
    </row>
    <row r="16593">
      <c r="A16593" s="17">
        <v>5.013002E8</v>
      </c>
      <c r="B16593" s="17">
        <v>8350002.0</v>
      </c>
    </row>
    <row r="16594">
      <c r="A16594" s="17">
        <v>5.013002E8</v>
      </c>
      <c r="B16594" s="17">
        <v>8350200.0</v>
      </c>
    </row>
    <row r="16595">
      <c r="A16595" s="17">
        <v>5.013002E8</v>
      </c>
      <c r="B16595" s="17">
        <v>8350201.0</v>
      </c>
    </row>
    <row r="16596">
      <c r="A16596" s="17">
        <v>5.013002E8</v>
      </c>
      <c r="B16596" s="17">
        <v>8350202.0</v>
      </c>
    </row>
    <row r="16597">
      <c r="A16597" s="17">
        <v>5.013002E8</v>
      </c>
      <c r="B16597" s="17">
        <v>8420000.0</v>
      </c>
    </row>
    <row r="16598">
      <c r="A16598" s="17">
        <v>5.013002E8</v>
      </c>
      <c r="B16598" s="17">
        <v>8420001.0</v>
      </c>
    </row>
    <row r="16599">
      <c r="A16599" s="17">
        <v>5.013002E8</v>
      </c>
      <c r="B16599" s="17">
        <v>8420002.0</v>
      </c>
    </row>
    <row r="16600">
      <c r="A16600" s="17">
        <v>5.013002E8</v>
      </c>
      <c r="B16600" s="17">
        <v>8450000.0</v>
      </c>
    </row>
    <row r="16601">
      <c r="A16601" s="17">
        <v>5.013002E8</v>
      </c>
      <c r="B16601" s="17">
        <v>8460100.0</v>
      </c>
    </row>
    <row r="16602">
      <c r="A16602" s="17">
        <v>5.013002E8</v>
      </c>
      <c r="B16602" s="17">
        <v>8460300.0</v>
      </c>
    </row>
    <row r="16603">
      <c r="A16603" s="17">
        <v>5.013002E8</v>
      </c>
      <c r="B16603" s="17">
        <v>8460500.0</v>
      </c>
    </row>
    <row r="16604">
      <c r="A16604" s="17">
        <v>5.013002E8</v>
      </c>
      <c r="B16604" s="17">
        <v>8510000.0</v>
      </c>
    </row>
    <row r="16605">
      <c r="A16605" s="17">
        <v>5.013002E8</v>
      </c>
      <c r="B16605" s="17">
        <v>8510001.0</v>
      </c>
    </row>
    <row r="16606">
      <c r="A16606" s="17">
        <v>5.013002E8</v>
      </c>
      <c r="B16606" s="17">
        <v>8510002.0</v>
      </c>
    </row>
    <row r="16607">
      <c r="A16607" s="17">
        <v>5.013002E8</v>
      </c>
      <c r="B16607" s="17">
        <v>8520000.0</v>
      </c>
    </row>
    <row r="16608">
      <c r="A16608" s="17">
        <v>5.013002E8</v>
      </c>
      <c r="B16608" s="17">
        <v>8520001.0</v>
      </c>
    </row>
    <row r="16609">
      <c r="A16609" s="17">
        <v>5.013002E8</v>
      </c>
      <c r="B16609" s="17">
        <v>8520002.0</v>
      </c>
    </row>
    <row r="16610">
      <c r="A16610" s="17">
        <v>5.013002E8</v>
      </c>
      <c r="B16610" s="17">
        <v>8530000.0</v>
      </c>
    </row>
    <row r="16611">
      <c r="A16611" s="17">
        <v>5.013002E8</v>
      </c>
      <c r="B16611" s="17">
        <v>8530100.0</v>
      </c>
    </row>
    <row r="16612">
      <c r="A16612" s="17">
        <v>5.013002E8</v>
      </c>
      <c r="B16612" s="17">
        <v>8540000.0</v>
      </c>
    </row>
    <row r="16613">
      <c r="A16613" s="17">
        <v>5.013002E8</v>
      </c>
      <c r="B16613" s="17">
        <v>8600100.0</v>
      </c>
    </row>
    <row r="16614">
      <c r="A16614" s="17">
        <v>5.013002E8</v>
      </c>
      <c r="B16614" s="17">
        <v>8600101.0</v>
      </c>
    </row>
    <row r="16615">
      <c r="A16615" s="17">
        <v>5.013002E8</v>
      </c>
      <c r="B16615" s="17">
        <v>8600102.0</v>
      </c>
    </row>
    <row r="16616">
      <c r="A16616" s="17">
        <v>5.013002E8</v>
      </c>
      <c r="B16616" s="17">
        <v>8600200.0</v>
      </c>
    </row>
    <row r="16617">
      <c r="A16617" s="17">
        <v>5.013002E8</v>
      </c>
      <c r="B16617" s="17">
        <v>8600201.0</v>
      </c>
    </row>
    <row r="16618">
      <c r="A16618" s="17">
        <v>5.013002E8</v>
      </c>
      <c r="B16618" s="17">
        <v>8600202.0</v>
      </c>
    </row>
    <row r="16619">
      <c r="A16619" s="17">
        <v>5.013002E8</v>
      </c>
      <c r="B16619" s="17">
        <v>8610300.0</v>
      </c>
    </row>
    <row r="16620">
      <c r="A16620" s="17">
        <v>5.013002E8</v>
      </c>
      <c r="B16620" s="17">
        <v>8610400.0</v>
      </c>
    </row>
    <row r="16621">
      <c r="A16621" s="17">
        <v>5.013002E8</v>
      </c>
      <c r="B16621" s="17">
        <v>8610500.0</v>
      </c>
    </row>
    <row r="16622">
      <c r="A16622" s="17">
        <v>5.013002E8</v>
      </c>
      <c r="B16622" s="17">
        <v>8610600.0</v>
      </c>
    </row>
    <row r="16623">
      <c r="A16623" s="17">
        <v>5.013002E8</v>
      </c>
      <c r="B16623" s="17">
        <v>8610700.0</v>
      </c>
    </row>
    <row r="16624">
      <c r="A16624" s="17">
        <v>5.013002E8</v>
      </c>
      <c r="B16624" s="17">
        <v>8610710.0</v>
      </c>
    </row>
    <row r="16625">
      <c r="A16625" s="17">
        <v>5.013002E8</v>
      </c>
      <c r="B16625" s="17">
        <v>8610720.0</v>
      </c>
    </row>
    <row r="16626">
      <c r="A16626" s="17">
        <v>5.013002E8</v>
      </c>
      <c r="B16626" s="17">
        <v>8620000.0</v>
      </c>
    </row>
    <row r="16627">
      <c r="A16627" s="17">
        <v>5.013002E8</v>
      </c>
      <c r="B16627" s="17">
        <v>8620010.0</v>
      </c>
    </row>
    <row r="16628">
      <c r="A16628" s="17">
        <v>5.013002E8</v>
      </c>
      <c r="B16628" s="17">
        <v>8620020.0</v>
      </c>
    </row>
    <row r="16629">
      <c r="A16629" s="17">
        <v>5.013002E8</v>
      </c>
      <c r="B16629" s="17">
        <v>8620100.0</v>
      </c>
    </row>
    <row r="16630">
      <c r="A16630" s="17">
        <v>5.013002E8</v>
      </c>
      <c r="B16630" s="17">
        <v>8620110.0</v>
      </c>
    </row>
    <row r="16631">
      <c r="A16631" s="17">
        <v>5.013002E8</v>
      </c>
      <c r="B16631" s="17">
        <v>8620120.0</v>
      </c>
    </row>
    <row r="16632">
      <c r="A16632" s="17">
        <v>5.013002E8</v>
      </c>
      <c r="B16632" s="17">
        <v>8630000.0</v>
      </c>
    </row>
    <row r="16633">
      <c r="A16633" s="17">
        <v>5.013002E8</v>
      </c>
      <c r="B16633" s="17">
        <v>8630000.0</v>
      </c>
    </row>
    <row r="16634">
      <c r="A16634" s="17">
        <v>5.013002E8</v>
      </c>
      <c r="B16634" s="17">
        <v>8630000.0</v>
      </c>
    </row>
    <row r="16635">
      <c r="A16635" s="17">
        <v>5.013002E8</v>
      </c>
      <c r="B16635" s="17">
        <v>8630100.0</v>
      </c>
    </row>
    <row r="16636">
      <c r="A16636" s="17">
        <v>5.013002E8</v>
      </c>
      <c r="B16636" s="17">
        <v>8630100.0</v>
      </c>
    </row>
    <row r="16637">
      <c r="A16637" s="17">
        <v>5.013002E8</v>
      </c>
      <c r="B16637" s="17">
        <v>8630100.0</v>
      </c>
    </row>
    <row r="16638">
      <c r="A16638" s="17">
        <v>5.013002E8</v>
      </c>
      <c r="B16638" s="17">
        <v>8652000.0</v>
      </c>
    </row>
    <row r="16639">
      <c r="A16639" s="17">
        <v>5.013002E8</v>
      </c>
      <c r="B16639" s="17">
        <v>8652010.0</v>
      </c>
    </row>
    <row r="16640">
      <c r="A16640" s="17">
        <v>5.013002E8</v>
      </c>
      <c r="B16640" s="17">
        <v>8652020.0</v>
      </c>
    </row>
    <row r="16641">
      <c r="A16641" s="17">
        <v>5.013002E8</v>
      </c>
      <c r="B16641" s="17">
        <v>8652100.0</v>
      </c>
    </row>
    <row r="16642">
      <c r="A16642" s="17">
        <v>5.013002E8</v>
      </c>
      <c r="B16642" s="17">
        <v>8652110.0</v>
      </c>
    </row>
    <row r="16643">
      <c r="A16643" s="17">
        <v>5.013002E8</v>
      </c>
      <c r="B16643" s="17">
        <v>8652120.0</v>
      </c>
    </row>
    <row r="16644">
      <c r="A16644" s="17">
        <v>5.013002E8</v>
      </c>
      <c r="B16644" s="17">
        <v>8660000.0</v>
      </c>
    </row>
    <row r="16645">
      <c r="A16645" s="17">
        <v>5.013002E8</v>
      </c>
      <c r="B16645" s="17">
        <v>8660001.0</v>
      </c>
    </row>
    <row r="16646">
      <c r="A16646" s="17">
        <v>5.013002E8</v>
      </c>
      <c r="B16646" s="17">
        <v>8660002.0</v>
      </c>
    </row>
    <row r="16647">
      <c r="A16647" s="17">
        <v>5.013002E8</v>
      </c>
      <c r="B16647" s="17">
        <v>8660100.0</v>
      </c>
    </row>
    <row r="16648">
      <c r="A16648" s="17">
        <v>5.013002E8</v>
      </c>
      <c r="B16648" s="17">
        <v>8660101.0</v>
      </c>
    </row>
    <row r="16649">
      <c r="A16649" s="17">
        <v>5.013002E8</v>
      </c>
      <c r="B16649" s="17">
        <v>8660102.0</v>
      </c>
    </row>
    <row r="16650">
      <c r="A16650" s="17">
        <v>5.013002E8</v>
      </c>
      <c r="B16650" s="17">
        <v>8670000.0</v>
      </c>
    </row>
    <row r="16651">
      <c r="A16651" s="17">
        <v>5.013002E8</v>
      </c>
      <c r="B16651" s="17">
        <v>8670001.0</v>
      </c>
    </row>
    <row r="16652">
      <c r="A16652" s="17">
        <v>5.013002E8</v>
      </c>
      <c r="B16652" s="17">
        <v>8670002.0</v>
      </c>
    </row>
    <row r="16653">
      <c r="A16653" s="17">
        <v>5.013002E8</v>
      </c>
      <c r="B16653" s="17">
        <v>8670100.0</v>
      </c>
    </row>
    <row r="16654">
      <c r="A16654" s="17">
        <v>5.013002E8</v>
      </c>
      <c r="B16654" s="17">
        <v>8670101.0</v>
      </c>
    </row>
    <row r="16655">
      <c r="A16655" s="17">
        <v>5.013002E8</v>
      </c>
      <c r="B16655" s="17">
        <v>8670102.0</v>
      </c>
    </row>
    <row r="16656">
      <c r="A16656" s="17">
        <v>5.013002E8</v>
      </c>
      <c r="B16656" s="17">
        <v>8690000.0</v>
      </c>
    </row>
    <row r="16657">
      <c r="A16657" s="17">
        <v>5.013002E8</v>
      </c>
      <c r="B16657" s="17">
        <v>8690100.0</v>
      </c>
    </row>
    <row r="16658">
      <c r="A16658" s="17">
        <v>5.013002E8</v>
      </c>
      <c r="B16658" s="17">
        <v>8690200.0</v>
      </c>
    </row>
    <row r="16659">
      <c r="A16659" s="17">
        <v>5.013002E8</v>
      </c>
      <c r="B16659" s="17">
        <v>8690300.0</v>
      </c>
    </row>
    <row r="16660">
      <c r="A16660" s="17">
        <v>5.013002E8</v>
      </c>
      <c r="B16660" s="17">
        <v>8690400.0</v>
      </c>
    </row>
    <row r="16661">
      <c r="A16661" s="17">
        <v>5.013002E8</v>
      </c>
      <c r="B16661" s="17">
        <v>8320500.0</v>
      </c>
    </row>
    <row r="16662">
      <c r="A16662" s="17">
        <v>5.013002E8</v>
      </c>
      <c r="B16662" s="17">
        <v>8320510.0</v>
      </c>
    </row>
    <row r="16663">
      <c r="A16663" s="17">
        <v>5.013002E8</v>
      </c>
      <c r="B16663" s="17">
        <v>8320520.0</v>
      </c>
    </row>
    <row r="16664">
      <c r="A16664" s="17">
        <v>5.013002E8</v>
      </c>
      <c r="B16664" s="17">
        <v>8320600.0</v>
      </c>
    </row>
    <row r="16665">
      <c r="A16665" s="17">
        <v>5.013002E8</v>
      </c>
      <c r="B16665" s="17">
        <v>8320610.0</v>
      </c>
    </row>
    <row r="16666">
      <c r="A16666" s="17">
        <v>5.013002E8</v>
      </c>
      <c r="B16666" s="17">
        <v>8320620.0</v>
      </c>
    </row>
    <row r="16667">
      <c r="A16667" s="17">
        <v>5.013002E8</v>
      </c>
      <c r="B16667" s="17">
        <v>8320700.0</v>
      </c>
    </row>
    <row r="16668">
      <c r="A16668" s="17">
        <v>5.013002E8</v>
      </c>
      <c r="B16668" s="17">
        <v>8320710.0</v>
      </c>
    </row>
    <row r="16669">
      <c r="A16669" s="17">
        <v>5.013002E8</v>
      </c>
      <c r="B16669" s="17">
        <v>8320720.0</v>
      </c>
    </row>
    <row r="16670">
      <c r="A16670" s="17">
        <v>5.014E8</v>
      </c>
      <c r="B16670" s="17">
        <v>0.0</v>
      </c>
    </row>
    <row r="16671">
      <c r="A16671" s="17">
        <v>5.014E8</v>
      </c>
      <c r="B16671" s="17">
        <v>8100100.0</v>
      </c>
    </row>
    <row r="16672">
      <c r="A16672" s="17">
        <v>5.014E8</v>
      </c>
      <c r="B16672" s="17">
        <v>8100101.0</v>
      </c>
    </row>
    <row r="16673">
      <c r="A16673" s="17">
        <v>5.014E8</v>
      </c>
      <c r="B16673" s="17">
        <v>8100102.0</v>
      </c>
    </row>
    <row r="16674">
      <c r="A16674" s="17">
        <v>5.014E8</v>
      </c>
      <c r="B16674" s="17">
        <v>8100200.0</v>
      </c>
    </row>
    <row r="16675">
      <c r="A16675" s="17">
        <v>5.014E8</v>
      </c>
      <c r="B16675" s="17">
        <v>8100201.0</v>
      </c>
    </row>
    <row r="16676">
      <c r="A16676" s="17">
        <v>5.014E8</v>
      </c>
      <c r="B16676" s="17">
        <v>8100202.0</v>
      </c>
    </row>
    <row r="16677">
      <c r="A16677" s="17">
        <v>5.014E8</v>
      </c>
      <c r="B16677" s="17">
        <v>8100300.0</v>
      </c>
    </row>
    <row r="16678">
      <c r="A16678" s="17">
        <v>5.014E8</v>
      </c>
      <c r="B16678" s="17">
        <v>8100301.0</v>
      </c>
    </row>
    <row r="16679">
      <c r="A16679" s="17">
        <v>5.014E8</v>
      </c>
      <c r="B16679" s="17">
        <v>8100302.0</v>
      </c>
    </row>
    <row r="16680">
      <c r="A16680" s="17">
        <v>5.014E8</v>
      </c>
      <c r="B16680" s="17">
        <v>8100400.0</v>
      </c>
    </row>
    <row r="16681">
      <c r="A16681" s="17">
        <v>5.014E8</v>
      </c>
      <c r="B16681" s="17">
        <v>8100401.0</v>
      </c>
    </row>
    <row r="16682">
      <c r="A16682" s="17">
        <v>5.014E8</v>
      </c>
      <c r="B16682" s="17">
        <v>8100402.0</v>
      </c>
    </row>
    <row r="16683">
      <c r="A16683" s="17">
        <v>5.014E8</v>
      </c>
      <c r="B16683" s="17">
        <v>8130000.0</v>
      </c>
    </row>
    <row r="16684">
      <c r="A16684" s="17">
        <v>5.014E8</v>
      </c>
      <c r="B16684" s="17">
        <v>8130001.0</v>
      </c>
    </row>
    <row r="16685">
      <c r="A16685" s="17">
        <v>5.014E8</v>
      </c>
      <c r="B16685" s="17">
        <v>8130002.0</v>
      </c>
    </row>
    <row r="16686">
      <c r="A16686" s="17">
        <v>5.014E8</v>
      </c>
      <c r="B16686" s="17">
        <v>8140000.0</v>
      </c>
    </row>
    <row r="16687">
      <c r="A16687" s="17">
        <v>5.014E8</v>
      </c>
      <c r="B16687" s="17">
        <v>8140001.0</v>
      </c>
    </row>
    <row r="16688">
      <c r="A16688" s="17">
        <v>5.014E8</v>
      </c>
      <c r="B16688" s="17">
        <v>8140002.0</v>
      </c>
    </row>
    <row r="16689">
      <c r="A16689" s="17">
        <v>5.014E8</v>
      </c>
      <c r="B16689" s="17">
        <v>8200100.0</v>
      </c>
    </row>
    <row r="16690">
      <c r="A16690" s="17">
        <v>5.014E8</v>
      </c>
      <c r="B16690" s="17">
        <v>8200101.0</v>
      </c>
    </row>
    <row r="16691">
      <c r="A16691" s="17">
        <v>5.014E8</v>
      </c>
      <c r="B16691" s="17">
        <v>8200102.0</v>
      </c>
    </row>
    <row r="16692">
      <c r="A16692" s="17">
        <v>5.014E8</v>
      </c>
      <c r="B16692" s="17">
        <v>8200200.0</v>
      </c>
    </row>
    <row r="16693">
      <c r="A16693" s="17">
        <v>5.014E8</v>
      </c>
      <c r="B16693" s="17">
        <v>8200201.0</v>
      </c>
    </row>
    <row r="16694">
      <c r="A16694" s="17">
        <v>5.014E8</v>
      </c>
      <c r="B16694" s="17">
        <v>8200202.0</v>
      </c>
    </row>
    <row r="16695">
      <c r="A16695" s="17">
        <v>5.014E8</v>
      </c>
      <c r="B16695" s="17">
        <v>8200300.0</v>
      </c>
    </row>
    <row r="16696">
      <c r="A16696" s="17">
        <v>5.014E8</v>
      </c>
      <c r="B16696" s="17">
        <v>8200301.0</v>
      </c>
    </row>
    <row r="16697">
      <c r="A16697" s="17">
        <v>5.014E8</v>
      </c>
      <c r="B16697" s="17">
        <v>8200302.0</v>
      </c>
    </row>
    <row r="16698">
      <c r="A16698" s="17">
        <v>5.014E8</v>
      </c>
      <c r="B16698" s="17">
        <v>8200400.0</v>
      </c>
    </row>
    <row r="16699">
      <c r="A16699" s="17">
        <v>5.014E8</v>
      </c>
      <c r="B16699" s="17">
        <v>8200401.0</v>
      </c>
    </row>
    <row r="16700">
      <c r="A16700" s="17">
        <v>5.014E8</v>
      </c>
      <c r="B16700" s="17">
        <v>8200402.0</v>
      </c>
    </row>
    <row r="16701">
      <c r="A16701" s="17">
        <v>5.014E8</v>
      </c>
      <c r="B16701" s="17">
        <v>8210000.0</v>
      </c>
    </row>
    <row r="16702">
      <c r="A16702" s="17">
        <v>5.014E8</v>
      </c>
      <c r="B16702" s="17">
        <v>8210001.0</v>
      </c>
    </row>
    <row r="16703">
      <c r="A16703" s="17">
        <v>5.014E8</v>
      </c>
      <c r="B16703" s="17">
        <v>8210002.0</v>
      </c>
    </row>
    <row r="16704">
      <c r="A16704" s="17">
        <v>5.014E8</v>
      </c>
      <c r="B16704" s="17">
        <v>8210100.0</v>
      </c>
    </row>
    <row r="16705">
      <c r="A16705" s="17">
        <v>5.014E8</v>
      </c>
      <c r="B16705" s="17">
        <v>8210101.0</v>
      </c>
    </row>
    <row r="16706">
      <c r="A16706" s="17">
        <v>5.014E8</v>
      </c>
      <c r="B16706" s="17">
        <v>8210102.0</v>
      </c>
    </row>
    <row r="16707">
      <c r="A16707" s="17">
        <v>5.014E8</v>
      </c>
      <c r="B16707" s="17">
        <v>8210200.0</v>
      </c>
    </row>
    <row r="16708">
      <c r="A16708" s="17">
        <v>5.014E8</v>
      </c>
      <c r="B16708" s="17">
        <v>8210201.0</v>
      </c>
    </row>
    <row r="16709">
      <c r="A16709" s="17">
        <v>5.014E8</v>
      </c>
      <c r="B16709" s="17">
        <v>8210202.0</v>
      </c>
    </row>
    <row r="16710">
      <c r="A16710" s="17">
        <v>5.014E8</v>
      </c>
      <c r="B16710" s="17">
        <v>8210300.0</v>
      </c>
    </row>
    <row r="16711">
      <c r="A16711" s="17">
        <v>5.014E8</v>
      </c>
      <c r="B16711" s="17">
        <v>8210301.0</v>
      </c>
    </row>
    <row r="16712">
      <c r="A16712" s="17">
        <v>5.014E8</v>
      </c>
      <c r="B16712" s="17">
        <v>8210302.0</v>
      </c>
    </row>
    <row r="16713">
      <c r="A16713" s="17">
        <v>5.014E8</v>
      </c>
      <c r="B16713" s="17">
        <v>8210400.0</v>
      </c>
    </row>
    <row r="16714">
      <c r="A16714" s="17">
        <v>5.014E8</v>
      </c>
      <c r="B16714" s="17">
        <v>8210401.0</v>
      </c>
    </row>
    <row r="16715">
      <c r="A16715" s="17">
        <v>5.014E8</v>
      </c>
      <c r="B16715" s="17">
        <v>8210402.0</v>
      </c>
    </row>
    <row r="16716">
      <c r="A16716" s="17">
        <v>5.014E8</v>
      </c>
      <c r="B16716" s="17">
        <v>8210500.0</v>
      </c>
    </row>
    <row r="16717">
      <c r="A16717" s="17">
        <v>5.014E8</v>
      </c>
      <c r="B16717" s="17">
        <v>8210501.0</v>
      </c>
    </row>
    <row r="16718">
      <c r="A16718" s="17">
        <v>5.014E8</v>
      </c>
      <c r="B16718" s="17">
        <v>8210502.0</v>
      </c>
    </row>
    <row r="16719">
      <c r="A16719" s="17">
        <v>5.014E8</v>
      </c>
      <c r="B16719" s="17">
        <v>8210600.0</v>
      </c>
    </row>
    <row r="16720">
      <c r="A16720" s="17">
        <v>5.014E8</v>
      </c>
      <c r="B16720" s="17">
        <v>8210601.0</v>
      </c>
    </row>
    <row r="16721">
      <c r="A16721" s="17">
        <v>5.014E8</v>
      </c>
      <c r="B16721" s="17">
        <v>8210602.0</v>
      </c>
    </row>
    <row r="16722">
      <c r="A16722" s="17">
        <v>5.014E8</v>
      </c>
      <c r="B16722" s="17">
        <v>8220000.0</v>
      </c>
    </row>
    <row r="16723">
      <c r="A16723" s="17">
        <v>5.014E8</v>
      </c>
      <c r="B16723" s="17">
        <v>8220001.0</v>
      </c>
    </row>
    <row r="16724">
      <c r="A16724" s="17">
        <v>5.014E8</v>
      </c>
      <c r="B16724" s="17">
        <v>8220002.0</v>
      </c>
    </row>
    <row r="16725">
      <c r="A16725" s="17">
        <v>5.014E8</v>
      </c>
      <c r="B16725" s="17">
        <v>8300000.0</v>
      </c>
    </row>
    <row r="16726">
      <c r="A16726" s="17">
        <v>5.014E8</v>
      </c>
      <c r="B16726" s="17">
        <v>8300001.0</v>
      </c>
    </row>
    <row r="16727">
      <c r="A16727" s="17">
        <v>5.014E8</v>
      </c>
      <c r="B16727" s="17">
        <v>8300002.0</v>
      </c>
    </row>
    <row r="16728">
      <c r="A16728" s="17">
        <v>5.014E8</v>
      </c>
      <c r="B16728" s="17">
        <v>8310000.0</v>
      </c>
    </row>
    <row r="16729">
      <c r="A16729" s="17">
        <v>5.014E8</v>
      </c>
      <c r="B16729" s="17">
        <v>8310001.0</v>
      </c>
    </row>
    <row r="16730">
      <c r="A16730" s="17">
        <v>5.014E8</v>
      </c>
      <c r="B16730" s="17">
        <v>8310002.0</v>
      </c>
    </row>
    <row r="16731">
      <c r="A16731" s="17">
        <v>5.014E8</v>
      </c>
      <c r="B16731" s="17">
        <v>8320000.0</v>
      </c>
    </row>
    <row r="16732">
      <c r="A16732" s="17">
        <v>5.014E8</v>
      </c>
      <c r="B16732" s="17">
        <v>8320001.0</v>
      </c>
    </row>
    <row r="16733">
      <c r="A16733" s="17">
        <v>5.014E8</v>
      </c>
      <c r="B16733" s="17">
        <v>8320002.0</v>
      </c>
    </row>
    <row r="16734">
      <c r="A16734" s="17">
        <v>5.014E8</v>
      </c>
      <c r="B16734" s="17">
        <v>8320100.0</v>
      </c>
    </row>
    <row r="16735">
      <c r="A16735" s="17">
        <v>5.014E8</v>
      </c>
      <c r="B16735" s="17">
        <v>8320101.0</v>
      </c>
    </row>
    <row r="16736">
      <c r="A16736" s="17">
        <v>5.014E8</v>
      </c>
      <c r="B16736" s="17">
        <v>8320102.0</v>
      </c>
    </row>
    <row r="16737">
      <c r="A16737" s="17">
        <v>5.014E8</v>
      </c>
      <c r="B16737" s="17">
        <v>8320300.0</v>
      </c>
    </row>
    <row r="16738">
      <c r="A16738" s="17">
        <v>5.014E8</v>
      </c>
      <c r="B16738" s="17">
        <v>8320301.0</v>
      </c>
    </row>
    <row r="16739">
      <c r="A16739" s="17">
        <v>5.014E8</v>
      </c>
      <c r="B16739" s="17">
        <v>8320302.0</v>
      </c>
    </row>
    <row r="16740">
      <c r="A16740" s="17">
        <v>5.014E8</v>
      </c>
      <c r="B16740" s="17">
        <v>8320400.0</v>
      </c>
    </row>
    <row r="16741">
      <c r="A16741" s="17">
        <v>5.014E8</v>
      </c>
      <c r="B16741" s="17">
        <v>8320410.0</v>
      </c>
    </row>
    <row r="16742">
      <c r="A16742" s="17">
        <v>5.014E8</v>
      </c>
      <c r="B16742" s="17">
        <v>8320420.0</v>
      </c>
    </row>
    <row r="16743">
      <c r="A16743" s="17">
        <v>5.014E8</v>
      </c>
      <c r="B16743" s="17">
        <v>8330000.0</v>
      </c>
    </row>
    <row r="16744">
      <c r="A16744" s="17">
        <v>5.014E8</v>
      </c>
      <c r="B16744" s="17">
        <v>8330001.0</v>
      </c>
    </row>
    <row r="16745">
      <c r="A16745" s="17">
        <v>5.014E8</v>
      </c>
      <c r="B16745" s="17">
        <v>8330002.0</v>
      </c>
    </row>
    <row r="16746">
      <c r="A16746" s="17">
        <v>5.014E8</v>
      </c>
      <c r="B16746" s="17">
        <v>8330100.0</v>
      </c>
    </row>
    <row r="16747">
      <c r="A16747" s="17">
        <v>5.014E8</v>
      </c>
      <c r="B16747" s="17">
        <v>8330101.0</v>
      </c>
    </row>
    <row r="16748">
      <c r="A16748" s="17">
        <v>5.014E8</v>
      </c>
      <c r="B16748" s="17">
        <v>8330102.0</v>
      </c>
    </row>
    <row r="16749">
      <c r="A16749" s="17">
        <v>5.014E8</v>
      </c>
      <c r="B16749" s="17">
        <v>8330200.0</v>
      </c>
    </row>
    <row r="16750">
      <c r="A16750" s="17">
        <v>5.014E8</v>
      </c>
      <c r="B16750" s="17">
        <v>8330201.0</v>
      </c>
    </row>
    <row r="16751">
      <c r="A16751" s="17">
        <v>5.014E8</v>
      </c>
      <c r="B16751" s="17">
        <v>8330202.0</v>
      </c>
    </row>
    <row r="16752">
      <c r="A16752" s="17">
        <v>5.014E8</v>
      </c>
      <c r="B16752" s="17">
        <v>8330300.0</v>
      </c>
    </row>
    <row r="16753">
      <c r="A16753" s="17">
        <v>5.014E8</v>
      </c>
      <c r="B16753" s="17">
        <v>8330301.0</v>
      </c>
    </row>
    <row r="16754">
      <c r="A16754" s="17">
        <v>5.014E8</v>
      </c>
      <c r="B16754" s="17">
        <v>8330302.0</v>
      </c>
    </row>
    <row r="16755">
      <c r="A16755" s="17">
        <v>5.014E8</v>
      </c>
      <c r="B16755" s="17">
        <v>8330400.0</v>
      </c>
    </row>
    <row r="16756">
      <c r="A16756" s="17">
        <v>5.014E8</v>
      </c>
      <c r="B16756" s="17">
        <v>8330401.0</v>
      </c>
    </row>
    <row r="16757">
      <c r="A16757" s="17">
        <v>5.014E8</v>
      </c>
      <c r="B16757" s="17">
        <v>8330600.0</v>
      </c>
    </row>
    <row r="16758">
      <c r="A16758" s="17">
        <v>5.014E8</v>
      </c>
      <c r="B16758" s="17">
        <v>8330601.0</v>
      </c>
    </row>
    <row r="16759">
      <c r="A16759" s="17">
        <v>5.014E8</v>
      </c>
      <c r="B16759" s="17">
        <v>8330602.0</v>
      </c>
    </row>
    <row r="16760">
      <c r="A16760" s="17">
        <v>5.014E8</v>
      </c>
      <c r="B16760" s="17">
        <v>8330900.0</v>
      </c>
    </row>
    <row r="16761">
      <c r="A16761" s="17">
        <v>5.014E8</v>
      </c>
      <c r="B16761" s="17">
        <v>8330910.0</v>
      </c>
    </row>
    <row r="16762">
      <c r="A16762" s="17">
        <v>5.014E8</v>
      </c>
      <c r="B16762" s="17">
        <v>8330920.0</v>
      </c>
    </row>
    <row r="16763">
      <c r="A16763" s="17">
        <v>5.014E8</v>
      </c>
      <c r="B16763" s="17">
        <v>8340000.0</v>
      </c>
    </row>
    <row r="16764">
      <c r="A16764" s="17">
        <v>5.014E8</v>
      </c>
      <c r="B16764" s="17">
        <v>8340001.0</v>
      </c>
    </row>
    <row r="16765">
      <c r="A16765" s="17">
        <v>5.014E8</v>
      </c>
      <c r="B16765" s="17">
        <v>8340002.0</v>
      </c>
    </row>
    <row r="16766">
      <c r="A16766" s="17">
        <v>5.014E8</v>
      </c>
      <c r="B16766" s="17">
        <v>8340100.0</v>
      </c>
    </row>
    <row r="16767">
      <c r="A16767" s="17">
        <v>5.014E8</v>
      </c>
      <c r="B16767" s="17">
        <v>8340101.0</v>
      </c>
    </row>
    <row r="16768">
      <c r="A16768" s="17">
        <v>5.014E8</v>
      </c>
      <c r="B16768" s="17">
        <v>8340102.0</v>
      </c>
    </row>
    <row r="16769">
      <c r="A16769" s="17">
        <v>5.014E8</v>
      </c>
      <c r="B16769" s="17">
        <v>8350000.0</v>
      </c>
    </row>
    <row r="16770">
      <c r="A16770" s="17">
        <v>5.014E8</v>
      </c>
      <c r="B16770" s="17">
        <v>8350001.0</v>
      </c>
    </row>
    <row r="16771">
      <c r="A16771" s="17">
        <v>5.014E8</v>
      </c>
      <c r="B16771" s="17">
        <v>8350002.0</v>
      </c>
    </row>
    <row r="16772">
      <c r="A16772" s="17">
        <v>5.014E8</v>
      </c>
      <c r="B16772" s="17">
        <v>8350200.0</v>
      </c>
    </row>
    <row r="16773">
      <c r="A16773" s="17">
        <v>5.014E8</v>
      </c>
      <c r="B16773" s="17">
        <v>8350201.0</v>
      </c>
    </row>
    <row r="16774">
      <c r="A16774" s="17">
        <v>5.014E8</v>
      </c>
      <c r="B16774" s="17">
        <v>8350202.0</v>
      </c>
    </row>
    <row r="16775">
      <c r="A16775" s="17">
        <v>5.014E8</v>
      </c>
      <c r="B16775" s="17">
        <v>8420000.0</v>
      </c>
    </row>
    <row r="16776">
      <c r="A16776" s="17">
        <v>5.014E8</v>
      </c>
      <c r="B16776" s="17">
        <v>8420001.0</v>
      </c>
    </row>
    <row r="16777">
      <c r="A16777" s="17">
        <v>5.014E8</v>
      </c>
      <c r="B16777" s="17">
        <v>8420002.0</v>
      </c>
    </row>
    <row r="16778">
      <c r="A16778" s="17">
        <v>5.014E8</v>
      </c>
      <c r="B16778" s="17">
        <v>8450000.0</v>
      </c>
    </row>
    <row r="16779">
      <c r="A16779" s="17">
        <v>5.014E8</v>
      </c>
      <c r="B16779" s="17">
        <v>8460100.0</v>
      </c>
    </row>
    <row r="16780">
      <c r="A16780" s="17">
        <v>5.014E8</v>
      </c>
      <c r="B16780" s="17">
        <v>8460300.0</v>
      </c>
    </row>
    <row r="16781">
      <c r="A16781" s="17">
        <v>5.014E8</v>
      </c>
      <c r="B16781" s="17">
        <v>8460500.0</v>
      </c>
    </row>
    <row r="16782">
      <c r="A16782" s="17">
        <v>5.014E8</v>
      </c>
      <c r="B16782" s="17">
        <v>8510000.0</v>
      </c>
    </row>
    <row r="16783">
      <c r="A16783" s="17">
        <v>5.014E8</v>
      </c>
      <c r="B16783" s="17">
        <v>8510001.0</v>
      </c>
    </row>
    <row r="16784">
      <c r="A16784" s="17">
        <v>5.014E8</v>
      </c>
      <c r="B16784" s="17">
        <v>8510002.0</v>
      </c>
    </row>
    <row r="16785">
      <c r="A16785" s="17">
        <v>5.014E8</v>
      </c>
      <c r="B16785" s="17">
        <v>8520000.0</v>
      </c>
    </row>
    <row r="16786">
      <c r="A16786" s="17">
        <v>5.014E8</v>
      </c>
      <c r="B16786" s="17">
        <v>8520001.0</v>
      </c>
    </row>
    <row r="16787">
      <c r="A16787" s="17">
        <v>5.014E8</v>
      </c>
      <c r="B16787" s="17">
        <v>8520002.0</v>
      </c>
    </row>
    <row r="16788">
      <c r="A16788" s="17">
        <v>5.014E8</v>
      </c>
      <c r="B16788" s="17">
        <v>8530000.0</v>
      </c>
    </row>
    <row r="16789">
      <c r="A16789" s="17">
        <v>5.014E8</v>
      </c>
      <c r="B16789" s="17">
        <v>8530100.0</v>
      </c>
    </row>
    <row r="16790">
      <c r="A16790" s="17">
        <v>5.014E8</v>
      </c>
      <c r="B16790" s="17">
        <v>8540000.0</v>
      </c>
    </row>
    <row r="16791">
      <c r="A16791" s="17">
        <v>5.014E8</v>
      </c>
      <c r="B16791" s="17">
        <v>8600100.0</v>
      </c>
    </row>
    <row r="16792">
      <c r="A16792" s="17">
        <v>5.014E8</v>
      </c>
      <c r="B16792" s="17">
        <v>8600101.0</v>
      </c>
    </row>
    <row r="16793">
      <c r="A16793" s="17">
        <v>5.014E8</v>
      </c>
      <c r="B16793" s="17">
        <v>8600102.0</v>
      </c>
    </row>
    <row r="16794">
      <c r="A16794" s="17">
        <v>5.014E8</v>
      </c>
      <c r="B16794" s="17">
        <v>8600200.0</v>
      </c>
    </row>
    <row r="16795">
      <c r="A16795" s="17">
        <v>5.014E8</v>
      </c>
      <c r="B16795" s="17">
        <v>8600201.0</v>
      </c>
    </row>
    <row r="16796">
      <c r="A16796" s="17">
        <v>5.014E8</v>
      </c>
      <c r="B16796" s="17">
        <v>8600202.0</v>
      </c>
    </row>
    <row r="16797">
      <c r="A16797" s="17">
        <v>5.014E8</v>
      </c>
      <c r="B16797" s="17">
        <v>8610700.0</v>
      </c>
    </row>
    <row r="16798">
      <c r="A16798" s="17">
        <v>5.014E8</v>
      </c>
      <c r="B16798" s="17">
        <v>8610710.0</v>
      </c>
    </row>
    <row r="16799">
      <c r="A16799" s="17">
        <v>5.014E8</v>
      </c>
      <c r="B16799" s="17">
        <v>8610720.0</v>
      </c>
    </row>
    <row r="16800">
      <c r="A16800" s="17">
        <v>5.014E8</v>
      </c>
      <c r="B16800" s="17">
        <v>8620000.0</v>
      </c>
    </row>
    <row r="16801">
      <c r="A16801" s="17">
        <v>5.014E8</v>
      </c>
      <c r="B16801" s="17">
        <v>8620010.0</v>
      </c>
    </row>
    <row r="16802">
      <c r="A16802" s="17">
        <v>5.014E8</v>
      </c>
      <c r="B16802" s="17">
        <v>8620020.0</v>
      </c>
    </row>
    <row r="16803">
      <c r="A16803" s="17">
        <v>5.014E8</v>
      </c>
      <c r="B16803" s="17">
        <v>8620100.0</v>
      </c>
    </row>
    <row r="16804">
      <c r="A16804" s="17">
        <v>5.014E8</v>
      </c>
      <c r="B16804" s="17">
        <v>8620110.0</v>
      </c>
    </row>
    <row r="16805">
      <c r="A16805" s="17">
        <v>5.014E8</v>
      </c>
      <c r="B16805" s="17">
        <v>8620120.0</v>
      </c>
    </row>
    <row r="16806">
      <c r="A16806" s="17">
        <v>5.014E8</v>
      </c>
      <c r="B16806" s="17">
        <v>8630000.0</v>
      </c>
    </row>
    <row r="16807">
      <c r="A16807" s="17">
        <v>5.014E8</v>
      </c>
      <c r="B16807" s="17">
        <v>8630000.0</v>
      </c>
    </row>
    <row r="16808">
      <c r="A16808" s="17">
        <v>5.014E8</v>
      </c>
      <c r="B16808" s="17">
        <v>8630000.0</v>
      </c>
    </row>
    <row r="16809">
      <c r="A16809" s="17">
        <v>5.014E8</v>
      </c>
      <c r="B16809" s="17">
        <v>8630100.0</v>
      </c>
    </row>
    <row r="16810">
      <c r="A16810" s="17">
        <v>5.014E8</v>
      </c>
      <c r="B16810" s="17">
        <v>8630100.0</v>
      </c>
    </row>
    <row r="16811">
      <c r="A16811" s="17">
        <v>5.014E8</v>
      </c>
      <c r="B16811" s="17">
        <v>8630100.0</v>
      </c>
    </row>
    <row r="16812">
      <c r="A16812" s="17">
        <v>5.014E8</v>
      </c>
      <c r="B16812" s="17">
        <v>8652000.0</v>
      </c>
    </row>
    <row r="16813">
      <c r="A16813" s="17">
        <v>5.014E8</v>
      </c>
      <c r="B16813" s="17">
        <v>8652010.0</v>
      </c>
    </row>
    <row r="16814">
      <c r="A16814" s="17">
        <v>5.014E8</v>
      </c>
      <c r="B16814" s="17">
        <v>8652020.0</v>
      </c>
    </row>
    <row r="16815">
      <c r="A16815" s="17">
        <v>5.014E8</v>
      </c>
      <c r="B16815" s="17">
        <v>8652100.0</v>
      </c>
    </row>
    <row r="16816">
      <c r="A16816" s="17">
        <v>5.014E8</v>
      </c>
      <c r="B16816" s="17">
        <v>8652110.0</v>
      </c>
    </row>
    <row r="16817">
      <c r="A16817" s="17">
        <v>5.014E8</v>
      </c>
      <c r="B16817" s="17">
        <v>8652120.0</v>
      </c>
    </row>
    <row r="16818">
      <c r="A16818" s="17">
        <v>5.014E8</v>
      </c>
      <c r="B16818" s="17">
        <v>8660000.0</v>
      </c>
    </row>
    <row r="16819">
      <c r="A16819" s="17">
        <v>5.014E8</v>
      </c>
      <c r="B16819" s="17">
        <v>8660001.0</v>
      </c>
    </row>
    <row r="16820">
      <c r="A16820" s="17">
        <v>5.014E8</v>
      </c>
      <c r="B16820" s="17">
        <v>8660002.0</v>
      </c>
    </row>
    <row r="16821">
      <c r="A16821" s="17">
        <v>5.014E8</v>
      </c>
      <c r="B16821" s="17">
        <v>8660100.0</v>
      </c>
    </row>
    <row r="16822">
      <c r="A16822" s="17">
        <v>5.014E8</v>
      </c>
      <c r="B16822" s="17">
        <v>8660101.0</v>
      </c>
    </row>
    <row r="16823">
      <c r="A16823" s="17">
        <v>5.014E8</v>
      </c>
      <c r="B16823" s="17">
        <v>8660102.0</v>
      </c>
    </row>
    <row r="16824">
      <c r="A16824" s="17">
        <v>5.014E8</v>
      </c>
      <c r="B16824" s="17">
        <v>8670000.0</v>
      </c>
    </row>
    <row r="16825">
      <c r="A16825" s="17">
        <v>5.014E8</v>
      </c>
      <c r="B16825" s="17">
        <v>8670001.0</v>
      </c>
    </row>
    <row r="16826">
      <c r="A16826" s="17">
        <v>5.014E8</v>
      </c>
      <c r="B16826" s="17">
        <v>8670002.0</v>
      </c>
    </row>
    <row r="16827">
      <c r="A16827" s="17">
        <v>5.014E8</v>
      </c>
      <c r="B16827" s="17">
        <v>8670100.0</v>
      </c>
    </row>
    <row r="16828">
      <c r="A16828" s="17">
        <v>5.014E8</v>
      </c>
      <c r="B16828" s="17">
        <v>8670101.0</v>
      </c>
    </row>
    <row r="16829">
      <c r="A16829" s="17">
        <v>5.014E8</v>
      </c>
      <c r="B16829" s="17">
        <v>8670102.0</v>
      </c>
    </row>
    <row r="16830">
      <c r="A16830" s="17">
        <v>5.014E8</v>
      </c>
      <c r="B16830" s="17">
        <v>8690000.0</v>
      </c>
    </row>
    <row r="16831">
      <c r="A16831" s="17">
        <v>5.014E8</v>
      </c>
      <c r="B16831" s="17">
        <v>8690100.0</v>
      </c>
    </row>
    <row r="16832">
      <c r="A16832" s="17">
        <v>5.014E8</v>
      </c>
      <c r="B16832" s="17">
        <v>8690200.0</v>
      </c>
    </row>
    <row r="16833">
      <c r="A16833" s="17">
        <v>5.014E8</v>
      </c>
      <c r="B16833" s="17">
        <v>8690300.0</v>
      </c>
    </row>
    <row r="16834">
      <c r="A16834" s="17">
        <v>5.014E8</v>
      </c>
      <c r="B16834" s="17">
        <v>8690400.0</v>
      </c>
    </row>
    <row r="16835">
      <c r="A16835" s="17">
        <v>5.014E8</v>
      </c>
      <c r="B16835" s="17">
        <v>8320500.0</v>
      </c>
    </row>
    <row r="16836">
      <c r="A16836" s="17">
        <v>5.014E8</v>
      </c>
      <c r="B16836" s="17">
        <v>8320510.0</v>
      </c>
    </row>
    <row r="16837">
      <c r="A16837" s="17">
        <v>5.014E8</v>
      </c>
      <c r="B16837" s="17">
        <v>8320520.0</v>
      </c>
    </row>
    <row r="16838">
      <c r="A16838" s="17">
        <v>5.014E8</v>
      </c>
      <c r="B16838" s="17">
        <v>8320600.0</v>
      </c>
    </row>
    <row r="16839">
      <c r="A16839" s="17">
        <v>5.014E8</v>
      </c>
      <c r="B16839" s="17">
        <v>8320610.0</v>
      </c>
    </row>
    <row r="16840">
      <c r="A16840" s="17">
        <v>5.014E8</v>
      </c>
      <c r="B16840" s="17">
        <v>8320620.0</v>
      </c>
    </row>
    <row r="16841">
      <c r="A16841" s="17">
        <v>5.014E8</v>
      </c>
      <c r="B16841" s="17">
        <v>8320700.0</v>
      </c>
    </row>
    <row r="16842">
      <c r="A16842" s="17">
        <v>5.014E8</v>
      </c>
      <c r="B16842" s="17">
        <v>8320710.0</v>
      </c>
    </row>
    <row r="16843">
      <c r="A16843" s="17">
        <v>5.014E8</v>
      </c>
      <c r="B16843" s="17">
        <v>8320720.0</v>
      </c>
    </row>
    <row r="16844">
      <c r="A16844" s="17">
        <v>5.014001E8</v>
      </c>
      <c r="B16844" s="17">
        <v>0.0</v>
      </c>
    </row>
    <row r="16845">
      <c r="A16845" s="17">
        <v>5.014001E8</v>
      </c>
      <c r="B16845" s="17">
        <v>8100100.0</v>
      </c>
    </row>
    <row r="16846">
      <c r="A16846" s="17">
        <v>5.014001E8</v>
      </c>
      <c r="B16846" s="17">
        <v>8100101.0</v>
      </c>
    </row>
    <row r="16847">
      <c r="A16847" s="17">
        <v>5.014001E8</v>
      </c>
      <c r="B16847" s="17">
        <v>8100102.0</v>
      </c>
    </row>
    <row r="16848">
      <c r="A16848" s="17">
        <v>5.014001E8</v>
      </c>
      <c r="B16848" s="17">
        <v>8100200.0</v>
      </c>
    </row>
    <row r="16849">
      <c r="A16849" s="17">
        <v>5.014001E8</v>
      </c>
      <c r="B16849" s="17">
        <v>8100201.0</v>
      </c>
    </row>
    <row r="16850">
      <c r="A16850" s="17">
        <v>5.014001E8</v>
      </c>
      <c r="B16850" s="17">
        <v>8100202.0</v>
      </c>
    </row>
    <row r="16851">
      <c r="A16851" s="17">
        <v>5.014001E8</v>
      </c>
      <c r="B16851" s="17">
        <v>8100300.0</v>
      </c>
    </row>
    <row r="16852">
      <c r="A16852" s="17">
        <v>5.014001E8</v>
      </c>
      <c r="B16852" s="17">
        <v>8100301.0</v>
      </c>
    </row>
    <row r="16853">
      <c r="A16853" s="17">
        <v>5.014001E8</v>
      </c>
      <c r="B16853" s="17">
        <v>8100302.0</v>
      </c>
    </row>
    <row r="16854">
      <c r="A16854" s="17">
        <v>5.014001E8</v>
      </c>
      <c r="B16854" s="17">
        <v>8100400.0</v>
      </c>
    </row>
    <row r="16855">
      <c r="A16855" s="17">
        <v>5.014001E8</v>
      </c>
      <c r="B16855" s="17">
        <v>8100401.0</v>
      </c>
    </row>
    <row r="16856">
      <c r="A16856" s="17">
        <v>5.014001E8</v>
      </c>
      <c r="B16856" s="17">
        <v>8100402.0</v>
      </c>
    </row>
    <row r="16857">
      <c r="A16857" s="17">
        <v>5.014001E8</v>
      </c>
      <c r="B16857" s="17">
        <v>8130000.0</v>
      </c>
    </row>
    <row r="16858">
      <c r="A16858" s="17">
        <v>5.014001E8</v>
      </c>
      <c r="B16858" s="17">
        <v>8130001.0</v>
      </c>
    </row>
    <row r="16859">
      <c r="A16859" s="17">
        <v>5.014001E8</v>
      </c>
      <c r="B16859" s="17">
        <v>8130002.0</v>
      </c>
    </row>
    <row r="16860">
      <c r="A16860" s="17">
        <v>5.014001E8</v>
      </c>
      <c r="B16860" s="17">
        <v>8140000.0</v>
      </c>
    </row>
    <row r="16861">
      <c r="A16861" s="17">
        <v>5.014001E8</v>
      </c>
      <c r="B16861" s="17">
        <v>8140001.0</v>
      </c>
    </row>
    <row r="16862">
      <c r="A16862" s="17">
        <v>5.014001E8</v>
      </c>
      <c r="B16862" s="17">
        <v>8140002.0</v>
      </c>
    </row>
    <row r="16863">
      <c r="A16863" s="17">
        <v>5.014001E8</v>
      </c>
      <c r="B16863" s="17">
        <v>8200100.0</v>
      </c>
    </row>
    <row r="16864">
      <c r="A16864" s="17">
        <v>5.014001E8</v>
      </c>
      <c r="B16864" s="17">
        <v>8200101.0</v>
      </c>
    </row>
    <row r="16865">
      <c r="A16865" s="17">
        <v>5.014001E8</v>
      </c>
      <c r="B16865" s="17">
        <v>8200102.0</v>
      </c>
    </row>
    <row r="16866">
      <c r="A16866" s="17">
        <v>5.014001E8</v>
      </c>
      <c r="B16866" s="17">
        <v>8200200.0</v>
      </c>
    </row>
    <row r="16867">
      <c r="A16867" s="17">
        <v>5.014001E8</v>
      </c>
      <c r="B16867" s="17">
        <v>8200201.0</v>
      </c>
    </row>
    <row r="16868">
      <c r="A16868" s="17">
        <v>5.014001E8</v>
      </c>
      <c r="B16868" s="17">
        <v>8200202.0</v>
      </c>
    </row>
    <row r="16869">
      <c r="A16869" s="17">
        <v>5.014001E8</v>
      </c>
      <c r="B16869" s="17">
        <v>8200300.0</v>
      </c>
    </row>
    <row r="16870">
      <c r="A16870" s="17">
        <v>5.014001E8</v>
      </c>
      <c r="B16870" s="17">
        <v>8200301.0</v>
      </c>
    </row>
    <row r="16871">
      <c r="A16871" s="17">
        <v>5.014001E8</v>
      </c>
      <c r="B16871" s="17">
        <v>8200302.0</v>
      </c>
    </row>
    <row r="16872">
      <c r="A16872" s="17">
        <v>5.014001E8</v>
      </c>
      <c r="B16872" s="17">
        <v>8200400.0</v>
      </c>
    </row>
    <row r="16873">
      <c r="A16873" s="17">
        <v>5.014001E8</v>
      </c>
      <c r="B16873" s="17">
        <v>8200401.0</v>
      </c>
    </row>
    <row r="16874">
      <c r="A16874" s="17">
        <v>5.014001E8</v>
      </c>
      <c r="B16874" s="17">
        <v>8200402.0</v>
      </c>
    </row>
    <row r="16875">
      <c r="A16875" s="17">
        <v>5.014001E8</v>
      </c>
      <c r="B16875" s="17">
        <v>8210000.0</v>
      </c>
    </row>
    <row r="16876">
      <c r="A16876" s="17">
        <v>5.014001E8</v>
      </c>
      <c r="B16876" s="17">
        <v>8210001.0</v>
      </c>
    </row>
    <row r="16877">
      <c r="A16877" s="17">
        <v>5.014001E8</v>
      </c>
      <c r="B16877" s="17">
        <v>8210002.0</v>
      </c>
    </row>
    <row r="16878">
      <c r="A16878" s="17">
        <v>5.014001E8</v>
      </c>
      <c r="B16878" s="17">
        <v>8210100.0</v>
      </c>
    </row>
    <row r="16879">
      <c r="A16879" s="17">
        <v>5.014001E8</v>
      </c>
      <c r="B16879" s="17">
        <v>8210101.0</v>
      </c>
    </row>
    <row r="16880">
      <c r="A16880" s="17">
        <v>5.014001E8</v>
      </c>
      <c r="B16880" s="17">
        <v>8210102.0</v>
      </c>
    </row>
    <row r="16881">
      <c r="A16881" s="17">
        <v>5.014001E8</v>
      </c>
      <c r="B16881" s="17">
        <v>8210200.0</v>
      </c>
    </row>
    <row r="16882">
      <c r="A16882" s="17">
        <v>5.014001E8</v>
      </c>
      <c r="B16882" s="17">
        <v>8210201.0</v>
      </c>
    </row>
    <row r="16883">
      <c r="A16883" s="17">
        <v>5.014001E8</v>
      </c>
      <c r="B16883" s="17">
        <v>8210202.0</v>
      </c>
    </row>
    <row r="16884">
      <c r="A16884" s="17">
        <v>5.014001E8</v>
      </c>
      <c r="B16884" s="17">
        <v>8210300.0</v>
      </c>
    </row>
    <row r="16885">
      <c r="A16885" s="17">
        <v>5.014001E8</v>
      </c>
      <c r="B16885" s="17">
        <v>8210301.0</v>
      </c>
    </row>
    <row r="16886">
      <c r="A16886" s="17">
        <v>5.014001E8</v>
      </c>
      <c r="B16886" s="17">
        <v>8210302.0</v>
      </c>
    </row>
    <row r="16887">
      <c r="A16887" s="17">
        <v>5.014001E8</v>
      </c>
      <c r="B16887" s="17">
        <v>8210400.0</v>
      </c>
    </row>
    <row r="16888">
      <c r="A16888" s="17">
        <v>5.014001E8</v>
      </c>
      <c r="B16888" s="17">
        <v>8210401.0</v>
      </c>
    </row>
    <row r="16889">
      <c r="A16889" s="17">
        <v>5.014001E8</v>
      </c>
      <c r="B16889" s="17">
        <v>8210402.0</v>
      </c>
    </row>
    <row r="16890">
      <c r="A16890" s="17">
        <v>5.014001E8</v>
      </c>
      <c r="B16890" s="17">
        <v>8210500.0</v>
      </c>
    </row>
    <row r="16891">
      <c r="A16891" s="17">
        <v>5.014001E8</v>
      </c>
      <c r="B16891" s="17">
        <v>8210501.0</v>
      </c>
    </row>
    <row r="16892">
      <c r="A16892" s="17">
        <v>5.014001E8</v>
      </c>
      <c r="B16892" s="17">
        <v>8210502.0</v>
      </c>
    </row>
    <row r="16893">
      <c r="A16893" s="17">
        <v>5.014001E8</v>
      </c>
      <c r="B16893" s="17">
        <v>8210600.0</v>
      </c>
    </row>
    <row r="16894">
      <c r="A16894" s="17">
        <v>5.014001E8</v>
      </c>
      <c r="B16894" s="17">
        <v>8210601.0</v>
      </c>
    </row>
    <row r="16895">
      <c r="A16895" s="17">
        <v>5.014001E8</v>
      </c>
      <c r="B16895" s="17">
        <v>8210602.0</v>
      </c>
    </row>
    <row r="16896">
      <c r="A16896" s="17">
        <v>5.014001E8</v>
      </c>
      <c r="B16896" s="17">
        <v>8220000.0</v>
      </c>
    </row>
    <row r="16897">
      <c r="A16897" s="17">
        <v>5.014001E8</v>
      </c>
      <c r="B16897" s="17">
        <v>8220001.0</v>
      </c>
    </row>
    <row r="16898">
      <c r="A16898" s="17">
        <v>5.014001E8</v>
      </c>
      <c r="B16898" s="17">
        <v>8220002.0</v>
      </c>
    </row>
    <row r="16899">
      <c r="A16899" s="17">
        <v>5.014001E8</v>
      </c>
      <c r="B16899" s="17">
        <v>8300000.0</v>
      </c>
    </row>
    <row r="16900">
      <c r="A16900" s="17">
        <v>5.014001E8</v>
      </c>
      <c r="B16900" s="17">
        <v>8300001.0</v>
      </c>
    </row>
    <row r="16901">
      <c r="A16901" s="17">
        <v>5.014001E8</v>
      </c>
      <c r="B16901" s="17">
        <v>8300002.0</v>
      </c>
    </row>
    <row r="16902">
      <c r="A16902" s="17">
        <v>5.014001E8</v>
      </c>
      <c r="B16902" s="17">
        <v>8310000.0</v>
      </c>
    </row>
    <row r="16903">
      <c r="A16903" s="17">
        <v>5.014001E8</v>
      </c>
      <c r="B16903" s="17">
        <v>8310001.0</v>
      </c>
    </row>
    <row r="16904">
      <c r="A16904" s="17">
        <v>5.014001E8</v>
      </c>
      <c r="B16904" s="17">
        <v>8310002.0</v>
      </c>
    </row>
    <row r="16905">
      <c r="A16905" s="17">
        <v>5.014001E8</v>
      </c>
      <c r="B16905" s="17">
        <v>8320000.0</v>
      </c>
    </row>
    <row r="16906">
      <c r="A16906" s="17">
        <v>5.014001E8</v>
      </c>
      <c r="B16906" s="17">
        <v>8320001.0</v>
      </c>
    </row>
    <row r="16907">
      <c r="A16907" s="17">
        <v>5.014001E8</v>
      </c>
      <c r="B16907" s="17">
        <v>8320002.0</v>
      </c>
    </row>
    <row r="16908">
      <c r="A16908" s="17">
        <v>5.014001E8</v>
      </c>
      <c r="B16908" s="17">
        <v>8320100.0</v>
      </c>
    </row>
    <row r="16909">
      <c r="A16909" s="17">
        <v>5.014001E8</v>
      </c>
      <c r="B16909" s="17">
        <v>8320101.0</v>
      </c>
    </row>
    <row r="16910">
      <c r="A16910" s="17">
        <v>5.014001E8</v>
      </c>
      <c r="B16910" s="17">
        <v>8320102.0</v>
      </c>
    </row>
    <row r="16911">
      <c r="A16911" s="17">
        <v>5.014001E8</v>
      </c>
      <c r="B16911" s="17">
        <v>8320300.0</v>
      </c>
    </row>
    <row r="16912">
      <c r="A16912" s="17">
        <v>5.014001E8</v>
      </c>
      <c r="B16912" s="17">
        <v>8320301.0</v>
      </c>
    </row>
    <row r="16913">
      <c r="A16913" s="17">
        <v>5.014001E8</v>
      </c>
      <c r="B16913" s="17">
        <v>8320302.0</v>
      </c>
    </row>
    <row r="16914">
      <c r="A16914" s="17">
        <v>5.014001E8</v>
      </c>
      <c r="B16914" s="17">
        <v>8320400.0</v>
      </c>
    </row>
    <row r="16915">
      <c r="A16915" s="17">
        <v>5.014001E8</v>
      </c>
      <c r="B16915" s="17">
        <v>8320410.0</v>
      </c>
    </row>
    <row r="16916">
      <c r="A16916" s="17">
        <v>5.014001E8</v>
      </c>
      <c r="B16916" s="17">
        <v>8320420.0</v>
      </c>
    </row>
    <row r="16917">
      <c r="A16917" s="17">
        <v>5.014001E8</v>
      </c>
      <c r="B16917" s="17">
        <v>8330000.0</v>
      </c>
    </row>
    <row r="16918">
      <c r="A16918" s="17">
        <v>5.014001E8</v>
      </c>
      <c r="B16918" s="17">
        <v>8330001.0</v>
      </c>
    </row>
    <row r="16919">
      <c r="A16919" s="17">
        <v>5.014001E8</v>
      </c>
      <c r="B16919" s="17">
        <v>8330002.0</v>
      </c>
    </row>
    <row r="16920">
      <c r="A16920" s="17">
        <v>5.014001E8</v>
      </c>
      <c r="B16920" s="17">
        <v>8330100.0</v>
      </c>
    </row>
    <row r="16921">
      <c r="A16921" s="17">
        <v>5.014001E8</v>
      </c>
      <c r="B16921" s="17">
        <v>8330101.0</v>
      </c>
    </row>
    <row r="16922">
      <c r="A16922" s="17">
        <v>5.014001E8</v>
      </c>
      <c r="B16922" s="17">
        <v>8330102.0</v>
      </c>
    </row>
    <row r="16923">
      <c r="A16923" s="17">
        <v>5.014001E8</v>
      </c>
      <c r="B16923" s="17">
        <v>8330200.0</v>
      </c>
    </row>
    <row r="16924">
      <c r="A16924" s="17">
        <v>5.014001E8</v>
      </c>
      <c r="B16924" s="17">
        <v>8330201.0</v>
      </c>
    </row>
    <row r="16925">
      <c r="A16925" s="17">
        <v>5.014001E8</v>
      </c>
      <c r="B16925" s="17">
        <v>8330202.0</v>
      </c>
    </row>
    <row r="16926">
      <c r="A16926" s="17">
        <v>5.014001E8</v>
      </c>
      <c r="B16926" s="17">
        <v>8330300.0</v>
      </c>
    </row>
    <row r="16927">
      <c r="A16927" s="17">
        <v>5.014001E8</v>
      </c>
      <c r="B16927" s="17">
        <v>8330301.0</v>
      </c>
    </row>
    <row r="16928">
      <c r="A16928" s="17">
        <v>5.014001E8</v>
      </c>
      <c r="B16928" s="17">
        <v>8330302.0</v>
      </c>
    </row>
    <row r="16929">
      <c r="A16929" s="17">
        <v>5.014001E8</v>
      </c>
      <c r="B16929" s="17">
        <v>8330400.0</v>
      </c>
    </row>
    <row r="16930">
      <c r="A16930" s="17">
        <v>5.014001E8</v>
      </c>
      <c r="B16930" s="17">
        <v>8330401.0</v>
      </c>
    </row>
    <row r="16931">
      <c r="A16931" s="17">
        <v>5.014001E8</v>
      </c>
      <c r="B16931" s="17">
        <v>8330600.0</v>
      </c>
    </row>
    <row r="16932">
      <c r="A16932" s="17">
        <v>5.014001E8</v>
      </c>
      <c r="B16932" s="17">
        <v>8330601.0</v>
      </c>
    </row>
    <row r="16933">
      <c r="A16933" s="17">
        <v>5.014001E8</v>
      </c>
      <c r="B16933" s="17">
        <v>8330602.0</v>
      </c>
    </row>
    <row r="16934">
      <c r="A16934" s="17">
        <v>5.014001E8</v>
      </c>
      <c r="B16934" s="17">
        <v>8330900.0</v>
      </c>
    </row>
    <row r="16935">
      <c r="A16935" s="17">
        <v>5.014001E8</v>
      </c>
      <c r="B16935" s="17">
        <v>8330910.0</v>
      </c>
    </row>
    <row r="16936">
      <c r="A16936" s="17">
        <v>5.014001E8</v>
      </c>
      <c r="B16936" s="17">
        <v>8330920.0</v>
      </c>
    </row>
    <row r="16937">
      <c r="A16937" s="17">
        <v>5.014001E8</v>
      </c>
      <c r="B16937" s="17">
        <v>8340000.0</v>
      </c>
    </row>
    <row r="16938">
      <c r="A16938" s="17">
        <v>5.014001E8</v>
      </c>
      <c r="B16938" s="17">
        <v>8340001.0</v>
      </c>
    </row>
    <row r="16939">
      <c r="A16939" s="17">
        <v>5.014001E8</v>
      </c>
      <c r="B16939" s="17">
        <v>8340002.0</v>
      </c>
    </row>
    <row r="16940">
      <c r="A16940" s="17">
        <v>5.014001E8</v>
      </c>
      <c r="B16940" s="17">
        <v>8340100.0</v>
      </c>
    </row>
    <row r="16941">
      <c r="A16941" s="17">
        <v>5.014001E8</v>
      </c>
      <c r="B16941" s="17">
        <v>8340101.0</v>
      </c>
    </row>
    <row r="16942">
      <c r="A16942" s="17">
        <v>5.014001E8</v>
      </c>
      <c r="B16942" s="17">
        <v>8340102.0</v>
      </c>
    </row>
    <row r="16943">
      <c r="A16943" s="17">
        <v>5.014001E8</v>
      </c>
      <c r="B16943" s="17">
        <v>8350000.0</v>
      </c>
    </row>
    <row r="16944">
      <c r="A16944" s="17">
        <v>5.014001E8</v>
      </c>
      <c r="B16944" s="17">
        <v>8350001.0</v>
      </c>
    </row>
    <row r="16945">
      <c r="A16945" s="17">
        <v>5.014001E8</v>
      </c>
      <c r="B16945" s="17">
        <v>8350002.0</v>
      </c>
    </row>
    <row r="16946">
      <c r="A16946" s="17">
        <v>5.014001E8</v>
      </c>
      <c r="B16946" s="17">
        <v>8350200.0</v>
      </c>
    </row>
    <row r="16947">
      <c r="A16947" s="17">
        <v>5.014001E8</v>
      </c>
      <c r="B16947" s="17">
        <v>8350201.0</v>
      </c>
    </row>
    <row r="16948">
      <c r="A16948" s="17">
        <v>5.014001E8</v>
      </c>
      <c r="B16948" s="17">
        <v>8350202.0</v>
      </c>
    </row>
    <row r="16949">
      <c r="A16949" s="17">
        <v>5.014001E8</v>
      </c>
      <c r="B16949" s="17">
        <v>8420000.0</v>
      </c>
    </row>
    <row r="16950">
      <c r="A16950" s="17">
        <v>5.014001E8</v>
      </c>
      <c r="B16950" s="17">
        <v>8420001.0</v>
      </c>
    </row>
    <row r="16951">
      <c r="A16951" s="17">
        <v>5.014001E8</v>
      </c>
      <c r="B16951" s="17">
        <v>8420002.0</v>
      </c>
    </row>
    <row r="16952">
      <c r="A16952" s="17">
        <v>5.014001E8</v>
      </c>
      <c r="B16952" s="17">
        <v>8450000.0</v>
      </c>
    </row>
    <row r="16953">
      <c r="A16953" s="17">
        <v>5.014001E8</v>
      </c>
      <c r="B16953" s="17">
        <v>8460100.0</v>
      </c>
    </row>
    <row r="16954">
      <c r="A16954" s="17">
        <v>5.014001E8</v>
      </c>
      <c r="B16954" s="17">
        <v>8460300.0</v>
      </c>
    </row>
    <row r="16955">
      <c r="A16955" s="17">
        <v>5.014001E8</v>
      </c>
      <c r="B16955" s="17">
        <v>8460500.0</v>
      </c>
    </row>
    <row r="16956">
      <c r="A16956" s="17">
        <v>5.014001E8</v>
      </c>
      <c r="B16956" s="17">
        <v>8510000.0</v>
      </c>
    </row>
    <row r="16957">
      <c r="A16957" s="17">
        <v>5.014001E8</v>
      </c>
      <c r="B16957" s="17">
        <v>8510001.0</v>
      </c>
    </row>
    <row r="16958">
      <c r="A16958" s="17">
        <v>5.014001E8</v>
      </c>
      <c r="B16958" s="17">
        <v>8510002.0</v>
      </c>
    </row>
    <row r="16959">
      <c r="A16959" s="17">
        <v>5.014001E8</v>
      </c>
      <c r="B16959" s="17">
        <v>8520000.0</v>
      </c>
    </row>
    <row r="16960">
      <c r="A16960" s="17">
        <v>5.014001E8</v>
      </c>
      <c r="B16960" s="17">
        <v>8520001.0</v>
      </c>
    </row>
    <row r="16961">
      <c r="A16961" s="17">
        <v>5.014001E8</v>
      </c>
      <c r="B16961" s="17">
        <v>8520002.0</v>
      </c>
    </row>
    <row r="16962">
      <c r="A16962" s="17">
        <v>5.014001E8</v>
      </c>
      <c r="B16962" s="17">
        <v>8530000.0</v>
      </c>
    </row>
    <row r="16963">
      <c r="A16963" s="17">
        <v>5.014001E8</v>
      </c>
      <c r="B16963" s="17">
        <v>8530100.0</v>
      </c>
    </row>
    <row r="16964">
      <c r="A16964" s="17">
        <v>5.014001E8</v>
      </c>
      <c r="B16964" s="17">
        <v>8540000.0</v>
      </c>
    </row>
    <row r="16965">
      <c r="A16965" s="17">
        <v>5.014001E8</v>
      </c>
      <c r="B16965" s="17">
        <v>8600100.0</v>
      </c>
    </row>
    <row r="16966">
      <c r="A16966" s="17">
        <v>5.014001E8</v>
      </c>
      <c r="B16966" s="17">
        <v>8600101.0</v>
      </c>
    </row>
    <row r="16967">
      <c r="A16967" s="17">
        <v>5.014001E8</v>
      </c>
      <c r="B16967" s="17">
        <v>8600102.0</v>
      </c>
    </row>
    <row r="16968">
      <c r="A16968" s="17">
        <v>5.014001E8</v>
      </c>
      <c r="B16968" s="17">
        <v>8600200.0</v>
      </c>
    </row>
    <row r="16969">
      <c r="A16969" s="17">
        <v>5.014001E8</v>
      </c>
      <c r="B16969" s="17">
        <v>8600201.0</v>
      </c>
    </row>
    <row r="16970">
      <c r="A16970" s="17">
        <v>5.014001E8</v>
      </c>
      <c r="B16970" s="17">
        <v>8600202.0</v>
      </c>
    </row>
    <row r="16971">
      <c r="A16971" s="17">
        <v>5.014001E8</v>
      </c>
      <c r="B16971" s="17">
        <v>8610700.0</v>
      </c>
    </row>
    <row r="16972">
      <c r="A16972" s="17">
        <v>5.014001E8</v>
      </c>
      <c r="B16972" s="17">
        <v>8610710.0</v>
      </c>
    </row>
    <row r="16973">
      <c r="A16973" s="17">
        <v>5.014001E8</v>
      </c>
      <c r="B16973" s="17">
        <v>8610720.0</v>
      </c>
    </row>
    <row r="16974">
      <c r="A16974" s="17">
        <v>5.014001E8</v>
      </c>
      <c r="B16974" s="17">
        <v>8620000.0</v>
      </c>
    </row>
    <row r="16975">
      <c r="A16975" s="17">
        <v>5.014001E8</v>
      </c>
      <c r="B16975" s="17">
        <v>8620010.0</v>
      </c>
    </row>
    <row r="16976">
      <c r="A16976" s="17">
        <v>5.014001E8</v>
      </c>
      <c r="B16976" s="17">
        <v>8620020.0</v>
      </c>
    </row>
    <row r="16977">
      <c r="A16977" s="17">
        <v>5.014001E8</v>
      </c>
      <c r="B16977" s="17">
        <v>8620100.0</v>
      </c>
    </row>
    <row r="16978">
      <c r="A16978" s="17">
        <v>5.014001E8</v>
      </c>
      <c r="B16978" s="17">
        <v>8620110.0</v>
      </c>
    </row>
    <row r="16979">
      <c r="A16979" s="17">
        <v>5.014001E8</v>
      </c>
      <c r="B16979" s="17">
        <v>8620120.0</v>
      </c>
    </row>
    <row r="16980">
      <c r="A16980" s="17">
        <v>5.014001E8</v>
      </c>
      <c r="B16980" s="17">
        <v>8630000.0</v>
      </c>
    </row>
    <row r="16981">
      <c r="A16981" s="17">
        <v>5.014001E8</v>
      </c>
      <c r="B16981" s="17">
        <v>8630000.0</v>
      </c>
    </row>
    <row r="16982">
      <c r="A16982" s="17">
        <v>5.014001E8</v>
      </c>
      <c r="B16982" s="17">
        <v>8630000.0</v>
      </c>
    </row>
    <row r="16983">
      <c r="A16983" s="17">
        <v>5.014001E8</v>
      </c>
      <c r="B16983" s="17">
        <v>8630100.0</v>
      </c>
    </row>
    <row r="16984">
      <c r="A16984" s="17">
        <v>5.014001E8</v>
      </c>
      <c r="B16984" s="17">
        <v>8630100.0</v>
      </c>
    </row>
    <row r="16985">
      <c r="A16985" s="17">
        <v>5.014001E8</v>
      </c>
      <c r="B16985" s="17">
        <v>8630100.0</v>
      </c>
    </row>
    <row r="16986">
      <c r="A16986" s="17">
        <v>5.014001E8</v>
      </c>
      <c r="B16986" s="17">
        <v>8652000.0</v>
      </c>
    </row>
    <row r="16987">
      <c r="A16987" s="17">
        <v>5.014001E8</v>
      </c>
      <c r="B16987" s="17">
        <v>8652010.0</v>
      </c>
    </row>
    <row r="16988">
      <c r="A16988" s="17">
        <v>5.014001E8</v>
      </c>
      <c r="B16988" s="17">
        <v>8652020.0</v>
      </c>
    </row>
    <row r="16989">
      <c r="A16989" s="17">
        <v>5.014001E8</v>
      </c>
      <c r="B16989" s="17">
        <v>8652100.0</v>
      </c>
    </row>
    <row r="16990">
      <c r="A16990" s="17">
        <v>5.014001E8</v>
      </c>
      <c r="B16990" s="17">
        <v>8652110.0</v>
      </c>
    </row>
    <row r="16991">
      <c r="A16991" s="17">
        <v>5.014001E8</v>
      </c>
      <c r="B16991" s="17">
        <v>8652120.0</v>
      </c>
    </row>
    <row r="16992">
      <c r="A16992" s="17">
        <v>5.014001E8</v>
      </c>
      <c r="B16992" s="17">
        <v>8660000.0</v>
      </c>
    </row>
    <row r="16993">
      <c r="A16993" s="17">
        <v>5.014001E8</v>
      </c>
      <c r="B16993" s="17">
        <v>8660001.0</v>
      </c>
    </row>
    <row r="16994">
      <c r="A16994" s="17">
        <v>5.014001E8</v>
      </c>
      <c r="B16994" s="17">
        <v>8660002.0</v>
      </c>
    </row>
    <row r="16995">
      <c r="A16995" s="17">
        <v>5.014001E8</v>
      </c>
      <c r="B16995" s="17">
        <v>8660100.0</v>
      </c>
    </row>
    <row r="16996">
      <c r="A16996" s="17">
        <v>5.014001E8</v>
      </c>
      <c r="B16996" s="17">
        <v>8660101.0</v>
      </c>
    </row>
    <row r="16997">
      <c r="A16997" s="17">
        <v>5.014001E8</v>
      </c>
      <c r="B16997" s="17">
        <v>8660102.0</v>
      </c>
    </row>
    <row r="16998">
      <c r="A16998" s="17">
        <v>5.014001E8</v>
      </c>
      <c r="B16998" s="17">
        <v>8670000.0</v>
      </c>
    </row>
    <row r="16999">
      <c r="A16999" s="17">
        <v>5.014001E8</v>
      </c>
      <c r="B16999" s="17">
        <v>8670001.0</v>
      </c>
    </row>
    <row r="17000">
      <c r="A17000" s="17">
        <v>5.014001E8</v>
      </c>
      <c r="B17000" s="17">
        <v>8670002.0</v>
      </c>
    </row>
    <row r="17001">
      <c r="A17001" s="17">
        <v>5.014001E8</v>
      </c>
      <c r="B17001" s="17">
        <v>8670100.0</v>
      </c>
    </row>
    <row r="17002">
      <c r="A17002" s="17">
        <v>5.014001E8</v>
      </c>
      <c r="B17002" s="17">
        <v>8670101.0</v>
      </c>
    </row>
    <row r="17003">
      <c r="A17003" s="17">
        <v>5.014001E8</v>
      </c>
      <c r="B17003" s="17">
        <v>8670102.0</v>
      </c>
    </row>
    <row r="17004">
      <c r="A17004" s="17">
        <v>5.014001E8</v>
      </c>
      <c r="B17004" s="17">
        <v>8690000.0</v>
      </c>
    </row>
    <row r="17005">
      <c r="A17005" s="17">
        <v>5.014001E8</v>
      </c>
      <c r="B17005" s="17">
        <v>8690100.0</v>
      </c>
    </row>
    <row r="17006">
      <c r="A17006" s="17">
        <v>5.014001E8</v>
      </c>
      <c r="B17006" s="17">
        <v>8690200.0</v>
      </c>
    </row>
    <row r="17007">
      <c r="A17007" s="17">
        <v>5.014001E8</v>
      </c>
      <c r="B17007" s="17">
        <v>8690300.0</v>
      </c>
    </row>
    <row r="17008">
      <c r="A17008" s="17">
        <v>5.014001E8</v>
      </c>
      <c r="B17008" s="17">
        <v>8690400.0</v>
      </c>
    </row>
    <row r="17009">
      <c r="A17009" s="17">
        <v>5.014001E8</v>
      </c>
      <c r="B17009" s="17">
        <v>8320500.0</v>
      </c>
    </row>
    <row r="17010">
      <c r="A17010" s="17">
        <v>5.014001E8</v>
      </c>
      <c r="B17010" s="17">
        <v>8320510.0</v>
      </c>
    </row>
    <row r="17011">
      <c r="A17011" s="17">
        <v>5.014001E8</v>
      </c>
      <c r="B17011" s="17">
        <v>8320520.0</v>
      </c>
    </row>
    <row r="17012">
      <c r="A17012" s="17">
        <v>5.014001E8</v>
      </c>
      <c r="B17012" s="17">
        <v>8320600.0</v>
      </c>
    </row>
    <row r="17013">
      <c r="A17013" s="17">
        <v>5.014001E8</v>
      </c>
      <c r="B17013" s="17">
        <v>8320610.0</v>
      </c>
    </row>
    <row r="17014">
      <c r="A17014" s="17">
        <v>5.014001E8</v>
      </c>
      <c r="B17014" s="17">
        <v>8320620.0</v>
      </c>
    </row>
    <row r="17015">
      <c r="A17015" s="17">
        <v>5.014001E8</v>
      </c>
      <c r="B17015" s="17">
        <v>8320700.0</v>
      </c>
    </row>
    <row r="17016">
      <c r="A17016" s="17">
        <v>5.014001E8</v>
      </c>
      <c r="B17016" s="17">
        <v>8320710.0</v>
      </c>
    </row>
    <row r="17017">
      <c r="A17017" s="17">
        <v>5.014001E8</v>
      </c>
      <c r="B17017" s="17">
        <v>8320720.0</v>
      </c>
    </row>
    <row r="17018">
      <c r="A17018" s="17">
        <v>5.014002E8</v>
      </c>
      <c r="B17018" s="17">
        <v>0.0</v>
      </c>
    </row>
    <row r="17019">
      <c r="A17019" s="17">
        <v>5.014002E8</v>
      </c>
      <c r="B17019" s="17">
        <v>8100100.0</v>
      </c>
    </row>
    <row r="17020">
      <c r="A17020" s="17">
        <v>5.014002E8</v>
      </c>
      <c r="B17020" s="17">
        <v>8100101.0</v>
      </c>
    </row>
    <row r="17021">
      <c r="A17021" s="17">
        <v>5.014002E8</v>
      </c>
      <c r="B17021" s="17">
        <v>8100102.0</v>
      </c>
    </row>
    <row r="17022">
      <c r="A17022" s="17">
        <v>5.014002E8</v>
      </c>
      <c r="B17022" s="17">
        <v>8100200.0</v>
      </c>
    </row>
    <row r="17023">
      <c r="A17023" s="17">
        <v>5.014002E8</v>
      </c>
      <c r="B17023" s="17">
        <v>8100201.0</v>
      </c>
    </row>
    <row r="17024">
      <c r="A17024" s="17">
        <v>5.014002E8</v>
      </c>
      <c r="B17024" s="17">
        <v>8100202.0</v>
      </c>
    </row>
    <row r="17025">
      <c r="A17025" s="17">
        <v>5.014002E8</v>
      </c>
      <c r="B17025" s="17">
        <v>8100300.0</v>
      </c>
    </row>
    <row r="17026">
      <c r="A17026" s="17">
        <v>5.014002E8</v>
      </c>
      <c r="B17026" s="17">
        <v>8100301.0</v>
      </c>
    </row>
    <row r="17027">
      <c r="A17027" s="17">
        <v>5.014002E8</v>
      </c>
      <c r="B17027" s="17">
        <v>8100302.0</v>
      </c>
    </row>
    <row r="17028">
      <c r="A17028" s="17">
        <v>5.014002E8</v>
      </c>
      <c r="B17028" s="17">
        <v>8100400.0</v>
      </c>
    </row>
    <row r="17029">
      <c r="A17029" s="17">
        <v>5.014002E8</v>
      </c>
      <c r="B17029" s="17">
        <v>8100401.0</v>
      </c>
    </row>
    <row r="17030">
      <c r="A17030" s="17">
        <v>5.014002E8</v>
      </c>
      <c r="B17030" s="17">
        <v>8100402.0</v>
      </c>
    </row>
    <row r="17031">
      <c r="A17031" s="17">
        <v>5.014002E8</v>
      </c>
      <c r="B17031" s="17">
        <v>8130000.0</v>
      </c>
    </row>
    <row r="17032">
      <c r="A17032" s="17">
        <v>5.014002E8</v>
      </c>
      <c r="B17032" s="17">
        <v>8130001.0</v>
      </c>
    </row>
    <row r="17033">
      <c r="A17033" s="17">
        <v>5.014002E8</v>
      </c>
      <c r="B17033" s="17">
        <v>8130002.0</v>
      </c>
    </row>
    <row r="17034">
      <c r="A17034" s="17">
        <v>5.014002E8</v>
      </c>
      <c r="B17034" s="17">
        <v>8140000.0</v>
      </c>
    </row>
    <row r="17035">
      <c r="A17035" s="17">
        <v>5.014002E8</v>
      </c>
      <c r="B17035" s="17">
        <v>8140001.0</v>
      </c>
    </row>
    <row r="17036">
      <c r="A17036" s="17">
        <v>5.014002E8</v>
      </c>
      <c r="B17036" s="17">
        <v>8140002.0</v>
      </c>
    </row>
    <row r="17037">
      <c r="A17037" s="17">
        <v>5.014002E8</v>
      </c>
      <c r="B17037" s="17">
        <v>8200100.0</v>
      </c>
    </row>
    <row r="17038">
      <c r="A17038" s="17">
        <v>5.014002E8</v>
      </c>
      <c r="B17038" s="17">
        <v>8200101.0</v>
      </c>
    </row>
    <row r="17039">
      <c r="A17039" s="17">
        <v>5.014002E8</v>
      </c>
      <c r="B17039" s="17">
        <v>8200102.0</v>
      </c>
    </row>
    <row r="17040">
      <c r="A17040" s="17">
        <v>5.014002E8</v>
      </c>
      <c r="B17040" s="17">
        <v>8200200.0</v>
      </c>
    </row>
    <row r="17041">
      <c r="A17041" s="17">
        <v>5.014002E8</v>
      </c>
      <c r="B17041" s="17">
        <v>8200201.0</v>
      </c>
    </row>
    <row r="17042">
      <c r="A17042" s="17">
        <v>5.014002E8</v>
      </c>
      <c r="B17042" s="17">
        <v>8200202.0</v>
      </c>
    </row>
    <row r="17043">
      <c r="A17043" s="17">
        <v>5.014002E8</v>
      </c>
      <c r="B17043" s="17">
        <v>8200300.0</v>
      </c>
    </row>
    <row r="17044">
      <c r="A17044" s="17">
        <v>5.014002E8</v>
      </c>
      <c r="B17044" s="17">
        <v>8200301.0</v>
      </c>
    </row>
    <row r="17045">
      <c r="A17045" s="17">
        <v>5.014002E8</v>
      </c>
      <c r="B17045" s="17">
        <v>8200302.0</v>
      </c>
    </row>
    <row r="17046">
      <c r="A17046" s="17">
        <v>5.014002E8</v>
      </c>
      <c r="B17046" s="17">
        <v>8200400.0</v>
      </c>
    </row>
    <row r="17047">
      <c r="A17047" s="17">
        <v>5.014002E8</v>
      </c>
      <c r="B17047" s="17">
        <v>8200401.0</v>
      </c>
    </row>
    <row r="17048">
      <c r="A17048" s="17">
        <v>5.014002E8</v>
      </c>
      <c r="B17048" s="17">
        <v>8200402.0</v>
      </c>
    </row>
    <row r="17049">
      <c r="A17049" s="17">
        <v>5.014002E8</v>
      </c>
      <c r="B17049" s="17">
        <v>8210000.0</v>
      </c>
    </row>
    <row r="17050">
      <c r="A17050" s="17">
        <v>5.014002E8</v>
      </c>
      <c r="B17050" s="17">
        <v>8210001.0</v>
      </c>
    </row>
    <row r="17051">
      <c r="A17051" s="17">
        <v>5.014002E8</v>
      </c>
      <c r="B17051" s="17">
        <v>8210002.0</v>
      </c>
    </row>
    <row r="17052">
      <c r="A17052" s="17">
        <v>5.014002E8</v>
      </c>
      <c r="B17052" s="17">
        <v>8210100.0</v>
      </c>
    </row>
    <row r="17053">
      <c r="A17053" s="17">
        <v>5.014002E8</v>
      </c>
      <c r="B17053" s="17">
        <v>8210101.0</v>
      </c>
    </row>
    <row r="17054">
      <c r="A17054" s="17">
        <v>5.014002E8</v>
      </c>
      <c r="B17054" s="17">
        <v>8210102.0</v>
      </c>
    </row>
    <row r="17055">
      <c r="A17055" s="17">
        <v>5.014002E8</v>
      </c>
      <c r="B17055" s="17">
        <v>8210200.0</v>
      </c>
    </row>
    <row r="17056">
      <c r="A17056" s="17">
        <v>5.014002E8</v>
      </c>
      <c r="B17056" s="17">
        <v>8210201.0</v>
      </c>
    </row>
    <row r="17057">
      <c r="A17057" s="17">
        <v>5.014002E8</v>
      </c>
      <c r="B17057" s="17">
        <v>8210202.0</v>
      </c>
    </row>
    <row r="17058">
      <c r="A17058" s="17">
        <v>5.014002E8</v>
      </c>
      <c r="B17058" s="17">
        <v>8210300.0</v>
      </c>
    </row>
    <row r="17059">
      <c r="A17059" s="17">
        <v>5.014002E8</v>
      </c>
      <c r="B17059" s="17">
        <v>8210301.0</v>
      </c>
    </row>
    <row r="17060">
      <c r="A17060" s="17">
        <v>5.014002E8</v>
      </c>
      <c r="B17060" s="17">
        <v>8210302.0</v>
      </c>
    </row>
    <row r="17061">
      <c r="A17061" s="17">
        <v>5.014002E8</v>
      </c>
      <c r="B17061" s="17">
        <v>8210400.0</v>
      </c>
    </row>
    <row r="17062">
      <c r="A17062" s="17">
        <v>5.014002E8</v>
      </c>
      <c r="B17062" s="17">
        <v>8210401.0</v>
      </c>
    </row>
    <row r="17063">
      <c r="A17063" s="17">
        <v>5.014002E8</v>
      </c>
      <c r="B17063" s="17">
        <v>8210402.0</v>
      </c>
    </row>
    <row r="17064">
      <c r="A17064" s="17">
        <v>5.014002E8</v>
      </c>
      <c r="B17064" s="17">
        <v>8210500.0</v>
      </c>
    </row>
    <row r="17065">
      <c r="A17065" s="17">
        <v>5.014002E8</v>
      </c>
      <c r="B17065" s="17">
        <v>8210501.0</v>
      </c>
    </row>
    <row r="17066">
      <c r="A17066" s="17">
        <v>5.014002E8</v>
      </c>
      <c r="B17066" s="17">
        <v>8210502.0</v>
      </c>
    </row>
    <row r="17067">
      <c r="A17067" s="17">
        <v>5.014002E8</v>
      </c>
      <c r="B17067" s="17">
        <v>8210600.0</v>
      </c>
    </row>
    <row r="17068">
      <c r="A17068" s="17">
        <v>5.014002E8</v>
      </c>
      <c r="B17068" s="17">
        <v>8210601.0</v>
      </c>
    </row>
    <row r="17069">
      <c r="A17069" s="17">
        <v>5.014002E8</v>
      </c>
      <c r="B17069" s="17">
        <v>8210602.0</v>
      </c>
    </row>
    <row r="17070">
      <c r="A17070" s="17">
        <v>5.014002E8</v>
      </c>
      <c r="B17070" s="17">
        <v>8220000.0</v>
      </c>
    </row>
    <row r="17071">
      <c r="A17071" s="17">
        <v>5.014002E8</v>
      </c>
      <c r="B17071" s="17">
        <v>8220001.0</v>
      </c>
    </row>
    <row r="17072">
      <c r="A17072" s="17">
        <v>5.014002E8</v>
      </c>
      <c r="B17072" s="17">
        <v>8220002.0</v>
      </c>
    </row>
    <row r="17073">
      <c r="A17073" s="17">
        <v>5.014002E8</v>
      </c>
      <c r="B17073" s="17">
        <v>8300000.0</v>
      </c>
    </row>
    <row r="17074">
      <c r="A17074" s="17">
        <v>5.014002E8</v>
      </c>
      <c r="B17074" s="17">
        <v>8300001.0</v>
      </c>
    </row>
    <row r="17075">
      <c r="A17075" s="17">
        <v>5.014002E8</v>
      </c>
      <c r="B17075" s="17">
        <v>8300002.0</v>
      </c>
    </row>
    <row r="17076">
      <c r="A17076" s="17">
        <v>5.014002E8</v>
      </c>
      <c r="B17076" s="17">
        <v>8310000.0</v>
      </c>
    </row>
    <row r="17077">
      <c r="A17077" s="17">
        <v>5.014002E8</v>
      </c>
      <c r="B17077" s="17">
        <v>8310001.0</v>
      </c>
    </row>
    <row r="17078">
      <c r="A17078" s="17">
        <v>5.014002E8</v>
      </c>
      <c r="B17078" s="17">
        <v>8310002.0</v>
      </c>
    </row>
    <row r="17079">
      <c r="A17079" s="17">
        <v>5.014002E8</v>
      </c>
      <c r="B17079" s="17">
        <v>8320000.0</v>
      </c>
    </row>
    <row r="17080">
      <c r="A17080" s="17">
        <v>5.014002E8</v>
      </c>
      <c r="B17080" s="17">
        <v>8320001.0</v>
      </c>
    </row>
    <row r="17081">
      <c r="A17081" s="17">
        <v>5.014002E8</v>
      </c>
      <c r="B17081" s="17">
        <v>8320002.0</v>
      </c>
    </row>
    <row r="17082">
      <c r="A17082" s="17">
        <v>5.014002E8</v>
      </c>
      <c r="B17082" s="17">
        <v>8320100.0</v>
      </c>
    </row>
    <row r="17083">
      <c r="A17083" s="17">
        <v>5.014002E8</v>
      </c>
      <c r="B17083" s="17">
        <v>8320101.0</v>
      </c>
    </row>
    <row r="17084">
      <c r="A17084" s="17">
        <v>5.014002E8</v>
      </c>
      <c r="B17084" s="17">
        <v>8320102.0</v>
      </c>
    </row>
    <row r="17085">
      <c r="A17085" s="17">
        <v>5.014002E8</v>
      </c>
      <c r="B17085" s="17">
        <v>8320300.0</v>
      </c>
    </row>
    <row r="17086">
      <c r="A17086" s="17">
        <v>5.014002E8</v>
      </c>
      <c r="B17086" s="17">
        <v>8320301.0</v>
      </c>
    </row>
    <row r="17087">
      <c r="A17087" s="17">
        <v>5.014002E8</v>
      </c>
      <c r="B17087" s="17">
        <v>8320302.0</v>
      </c>
    </row>
    <row r="17088">
      <c r="A17088" s="17">
        <v>5.014002E8</v>
      </c>
      <c r="B17088" s="17">
        <v>8320400.0</v>
      </c>
    </row>
    <row r="17089">
      <c r="A17089" s="17">
        <v>5.014002E8</v>
      </c>
      <c r="B17089" s="17">
        <v>8320410.0</v>
      </c>
    </row>
    <row r="17090">
      <c r="A17090" s="17">
        <v>5.014002E8</v>
      </c>
      <c r="B17090" s="17">
        <v>8320420.0</v>
      </c>
    </row>
    <row r="17091">
      <c r="A17091" s="17">
        <v>5.014002E8</v>
      </c>
      <c r="B17091" s="17">
        <v>8330000.0</v>
      </c>
    </row>
    <row r="17092">
      <c r="A17092" s="17">
        <v>5.014002E8</v>
      </c>
      <c r="B17092" s="17">
        <v>8330001.0</v>
      </c>
    </row>
    <row r="17093">
      <c r="A17093" s="17">
        <v>5.014002E8</v>
      </c>
      <c r="B17093" s="17">
        <v>8330002.0</v>
      </c>
    </row>
    <row r="17094">
      <c r="A17094" s="17">
        <v>5.014002E8</v>
      </c>
      <c r="B17094" s="17">
        <v>8330100.0</v>
      </c>
    </row>
    <row r="17095">
      <c r="A17095" s="17">
        <v>5.014002E8</v>
      </c>
      <c r="B17095" s="17">
        <v>8330101.0</v>
      </c>
    </row>
    <row r="17096">
      <c r="A17096" s="17">
        <v>5.014002E8</v>
      </c>
      <c r="B17096" s="17">
        <v>8330102.0</v>
      </c>
    </row>
    <row r="17097">
      <c r="A17097" s="17">
        <v>5.014002E8</v>
      </c>
      <c r="B17097" s="17">
        <v>8330200.0</v>
      </c>
    </row>
    <row r="17098">
      <c r="A17098" s="17">
        <v>5.014002E8</v>
      </c>
      <c r="B17098" s="17">
        <v>8330201.0</v>
      </c>
    </row>
    <row r="17099">
      <c r="A17099" s="17">
        <v>5.014002E8</v>
      </c>
      <c r="B17099" s="17">
        <v>8330202.0</v>
      </c>
    </row>
    <row r="17100">
      <c r="A17100" s="17">
        <v>5.014002E8</v>
      </c>
      <c r="B17100" s="17">
        <v>8330300.0</v>
      </c>
    </row>
    <row r="17101">
      <c r="A17101" s="17">
        <v>5.014002E8</v>
      </c>
      <c r="B17101" s="17">
        <v>8330301.0</v>
      </c>
    </row>
    <row r="17102">
      <c r="A17102" s="17">
        <v>5.014002E8</v>
      </c>
      <c r="B17102" s="17">
        <v>8330302.0</v>
      </c>
    </row>
    <row r="17103">
      <c r="A17103" s="17">
        <v>5.014002E8</v>
      </c>
      <c r="B17103" s="17">
        <v>8330400.0</v>
      </c>
    </row>
    <row r="17104">
      <c r="A17104" s="17">
        <v>5.014002E8</v>
      </c>
      <c r="B17104" s="17">
        <v>8330401.0</v>
      </c>
    </row>
    <row r="17105">
      <c r="A17105" s="17">
        <v>5.014002E8</v>
      </c>
      <c r="B17105" s="17">
        <v>8330600.0</v>
      </c>
    </row>
    <row r="17106">
      <c r="A17106" s="17">
        <v>5.014002E8</v>
      </c>
      <c r="B17106" s="17">
        <v>8330601.0</v>
      </c>
    </row>
    <row r="17107">
      <c r="A17107" s="17">
        <v>5.014002E8</v>
      </c>
      <c r="B17107" s="17">
        <v>8330602.0</v>
      </c>
    </row>
    <row r="17108">
      <c r="A17108" s="17">
        <v>5.014002E8</v>
      </c>
      <c r="B17108" s="17">
        <v>8330900.0</v>
      </c>
    </row>
    <row r="17109">
      <c r="A17109" s="17">
        <v>5.014002E8</v>
      </c>
      <c r="B17109" s="17">
        <v>8330910.0</v>
      </c>
    </row>
    <row r="17110">
      <c r="A17110" s="17">
        <v>5.014002E8</v>
      </c>
      <c r="B17110" s="17">
        <v>8330920.0</v>
      </c>
    </row>
    <row r="17111">
      <c r="A17111" s="17">
        <v>5.014002E8</v>
      </c>
      <c r="B17111" s="17">
        <v>8340000.0</v>
      </c>
    </row>
    <row r="17112">
      <c r="A17112" s="17">
        <v>5.014002E8</v>
      </c>
      <c r="B17112" s="17">
        <v>8340001.0</v>
      </c>
    </row>
    <row r="17113">
      <c r="A17113" s="17">
        <v>5.014002E8</v>
      </c>
      <c r="B17113" s="17">
        <v>8340002.0</v>
      </c>
    </row>
    <row r="17114">
      <c r="A17114" s="17">
        <v>5.014002E8</v>
      </c>
      <c r="B17114" s="17">
        <v>8340100.0</v>
      </c>
    </row>
    <row r="17115">
      <c r="A17115" s="17">
        <v>5.014002E8</v>
      </c>
      <c r="B17115" s="17">
        <v>8340101.0</v>
      </c>
    </row>
    <row r="17116">
      <c r="A17116" s="17">
        <v>5.014002E8</v>
      </c>
      <c r="B17116" s="17">
        <v>8340102.0</v>
      </c>
    </row>
    <row r="17117">
      <c r="A17117" s="17">
        <v>5.014002E8</v>
      </c>
      <c r="B17117" s="17">
        <v>8350000.0</v>
      </c>
    </row>
    <row r="17118">
      <c r="A17118" s="17">
        <v>5.014002E8</v>
      </c>
      <c r="B17118" s="17">
        <v>8350001.0</v>
      </c>
    </row>
    <row r="17119">
      <c r="A17119" s="17">
        <v>5.014002E8</v>
      </c>
      <c r="B17119" s="17">
        <v>8350002.0</v>
      </c>
    </row>
    <row r="17120">
      <c r="A17120" s="17">
        <v>5.014002E8</v>
      </c>
      <c r="B17120" s="17">
        <v>8350200.0</v>
      </c>
    </row>
    <row r="17121">
      <c r="A17121" s="17">
        <v>5.014002E8</v>
      </c>
      <c r="B17121" s="17">
        <v>8350201.0</v>
      </c>
    </row>
    <row r="17122">
      <c r="A17122" s="17">
        <v>5.014002E8</v>
      </c>
      <c r="B17122" s="17">
        <v>8350202.0</v>
      </c>
    </row>
    <row r="17123">
      <c r="A17123" s="17">
        <v>5.014002E8</v>
      </c>
      <c r="B17123" s="17">
        <v>8420000.0</v>
      </c>
    </row>
    <row r="17124">
      <c r="A17124" s="17">
        <v>5.014002E8</v>
      </c>
      <c r="B17124" s="17">
        <v>8420001.0</v>
      </c>
    </row>
    <row r="17125">
      <c r="A17125" s="17">
        <v>5.014002E8</v>
      </c>
      <c r="B17125" s="17">
        <v>8420002.0</v>
      </c>
    </row>
    <row r="17126">
      <c r="A17126" s="17">
        <v>5.014002E8</v>
      </c>
      <c r="B17126" s="17">
        <v>8450000.0</v>
      </c>
    </row>
    <row r="17127">
      <c r="A17127" s="17">
        <v>5.014002E8</v>
      </c>
      <c r="B17127" s="17">
        <v>8460100.0</v>
      </c>
    </row>
    <row r="17128">
      <c r="A17128" s="17">
        <v>5.014002E8</v>
      </c>
      <c r="B17128" s="17">
        <v>8460300.0</v>
      </c>
    </row>
    <row r="17129">
      <c r="A17129" s="17">
        <v>5.014002E8</v>
      </c>
      <c r="B17129" s="17">
        <v>8460500.0</v>
      </c>
    </row>
    <row r="17130">
      <c r="A17130" s="17">
        <v>5.014002E8</v>
      </c>
      <c r="B17130" s="17">
        <v>8510000.0</v>
      </c>
    </row>
    <row r="17131">
      <c r="A17131" s="17">
        <v>5.014002E8</v>
      </c>
      <c r="B17131" s="17">
        <v>8510001.0</v>
      </c>
    </row>
    <row r="17132">
      <c r="A17132" s="17">
        <v>5.014002E8</v>
      </c>
      <c r="B17132" s="17">
        <v>8510002.0</v>
      </c>
    </row>
    <row r="17133">
      <c r="A17133" s="17">
        <v>5.014002E8</v>
      </c>
      <c r="B17133" s="17">
        <v>8520000.0</v>
      </c>
    </row>
    <row r="17134">
      <c r="A17134" s="17">
        <v>5.014002E8</v>
      </c>
      <c r="B17134" s="17">
        <v>8520001.0</v>
      </c>
    </row>
    <row r="17135">
      <c r="A17135" s="17">
        <v>5.014002E8</v>
      </c>
      <c r="B17135" s="17">
        <v>8520002.0</v>
      </c>
    </row>
    <row r="17136">
      <c r="A17136" s="17">
        <v>5.014002E8</v>
      </c>
      <c r="B17136" s="17">
        <v>8530000.0</v>
      </c>
    </row>
    <row r="17137">
      <c r="A17137" s="17">
        <v>5.014002E8</v>
      </c>
      <c r="B17137" s="17">
        <v>8530100.0</v>
      </c>
    </row>
    <row r="17138">
      <c r="A17138" s="17">
        <v>5.014002E8</v>
      </c>
      <c r="B17138" s="17">
        <v>8540000.0</v>
      </c>
    </row>
    <row r="17139">
      <c r="A17139" s="17">
        <v>5.014002E8</v>
      </c>
      <c r="B17139" s="17">
        <v>8600100.0</v>
      </c>
    </row>
    <row r="17140">
      <c r="A17140" s="17">
        <v>5.014002E8</v>
      </c>
      <c r="B17140" s="17">
        <v>8600101.0</v>
      </c>
    </row>
    <row r="17141">
      <c r="A17141" s="17">
        <v>5.014002E8</v>
      </c>
      <c r="B17141" s="17">
        <v>8600102.0</v>
      </c>
    </row>
    <row r="17142">
      <c r="A17142" s="17">
        <v>5.014002E8</v>
      </c>
      <c r="B17142" s="17">
        <v>8600200.0</v>
      </c>
    </row>
    <row r="17143">
      <c r="A17143" s="17">
        <v>5.014002E8</v>
      </c>
      <c r="B17143" s="17">
        <v>8600201.0</v>
      </c>
    </row>
    <row r="17144">
      <c r="A17144" s="17">
        <v>5.014002E8</v>
      </c>
      <c r="B17144" s="17">
        <v>8600202.0</v>
      </c>
    </row>
    <row r="17145">
      <c r="A17145" s="17">
        <v>5.014002E8</v>
      </c>
      <c r="B17145" s="17">
        <v>8610700.0</v>
      </c>
    </row>
    <row r="17146">
      <c r="A17146" s="17">
        <v>5.014002E8</v>
      </c>
      <c r="B17146" s="17">
        <v>8610710.0</v>
      </c>
    </row>
    <row r="17147">
      <c r="A17147" s="17">
        <v>5.014002E8</v>
      </c>
      <c r="B17147" s="17">
        <v>8610720.0</v>
      </c>
    </row>
    <row r="17148">
      <c r="A17148" s="17">
        <v>5.014002E8</v>
      </c>
      <c r="B17148" s="17">
        <v>8620000.0</v>
      </c>
    </row>
    <row r="17149">
      <c r="A17149" s="17">
        <v>5.014002E8</v>
      </c>
      <c r="B17149" s="17">
        <v>8620010.0</v>
      </c>
    </row>
    <row r="17150">
      <c r="A17150" s="17">
        <v>5.014002E8</v>
      </c>
      <c r="B17150" s="17">
        <v>8620020.0</v>
      </c>
    </row>
    <row r="17151">
      <c r="A17151" s="17">
        <v>5.014002E8</v>
      </c>
      <c r="B17151" s="17">
        <v>8620100.0</v>
      </c>
    </row>
    <row r="17152">
      <c r="A17152" s="17">
        <v>5.014002E8</v>
      </c>
      <c r="B17152" s="17">
        <v>8620110.0</v>
      </c>
    </row>
    <row r="17153">
      <c r="A17153" s="17">
        <v>5.014002E8</v>
      </c>
      <c r="B17153" s="17">
        <v>8620120.0</v>
      </c>
    </row>
    <row r="17154">
      <c r="A17154" s="17">
        <v>5.014002E8</v>
      </c>
      <c r="B17154" s="17">
        <v>8630000.0</v>
      </c>
    </row>
    <row r="17155">
      <c r="A17155" s="17">
        <v>5.014002E8</v>
      </c>
      <c r="B17155" s="17">
        <v>8630000.0</v>
      </c>
    </row>
    <row r="17156">
      <c r="A17156" s="17">
        <v>5.014002E8</v>
      </c>
      <c r="B17156" s="17">
        <v>8630000.0</v>
      </c>
    </row>
    <row r="17157">
      <c r="A17157" s="17">
        <v>5.014002E8</v>
      </c>
      <c r="B17157" s="17">
        <v>8630100.0</v>
      </c>
    </row>
    <row r="17158">
      <c r="A17158" s="17">
        <v>5.014002E8</v>
      </c>
      <c r="B17158" s="17">
        <v>8630100.0</v>
      </c>
    </row>
    <row r="17159">
      <c r="A17159" s="17">
        <v>5.014002E8</v>
      </c>
      <c r="B17159" s="17">
        <v>8630100.0</v>
      </c>
    </row>
    <row r="17160">
      <c r="A17160" s="17">
        <v>5.014002E8</v>
      </c>
      <c r="B17160" s="17">
        <v>8652000.0</v>
      </c>
    </row>
    <row r="17161">
      <c r="A17161" s="17">
        <v>5.014002E8</v>
      </c>
      <c r="B17161" s="17">
        <v>8652010.0</v>
      </c>
    </row>
    <row r="17162">
      <c r="A17162" s="17">
        <v>5.014002E8</v>
      </c>
      <c r="B17162" s="17">
        <v>8652020.0</v>
      </c>
    </row>
    <row r="17163">
      <c r="A17163" s="17">
        <v>5.014002E8</v>
      </c>
      <c r="B17163" s="17">
        <v>8652100.0</v>
      </c>
    </row>
    <row r="17164">
      <c r="A17164" s="17">
        <v>5.014002E8</v>
      </c>
      <c r="B17164" s="17">
        <v>8652110.0</v>
      </c>
    </row>
    <row r="17165">
      <c r="A17165" s="17">
        <v>5.014002E8</v>
      </c>
      <c r="B17165" s="17">
        <v>8652120.0</v>
      </c>
    </row>
    <row r="17166">
      <c r="A17166" s="17">
        <v>5.014002E8</v>
      </c>
      <c r="B17166" s="17">
        <v>8660000.0</v>
      </c>
    </row>
    <row r="17167">
      <c r="A17167" s="17">
        <v>5.014002E8</v>
      </c>
      <c r="B17167" s="17">
        <v>8660001.0</v>
      </c>
    </row>
    <row r="17168">
      <c r="A17168" s="17">
        <v>5.014002E8</v>
      </c>
      <c r="B17168" s="17">
        <v>8660002.0</v>
      </c>
    </row>
    <row r="17169">
      <c r="A17169" s="17">
        <v>5.014002E8</v>
      </c>
      <c r="B17169" s="17">
        <v>8660100.0</v>
      </c>
    </row>
    <row r="17170">
      <c r="A17170" s="17">
        <v>5.014002E8</v>
      </c>
      <c r="B17170" s="17">
        <v>8660101.0</v>
      </c>
    </row>
    <row r="17171">
      <c r="A17171" s="17">
        <v>5.014002E8</v>
      </c>
      <c r="B17171" s="17">
        <v>8660102.0</v>
      </c>
    </row>
    <row r="17172">
      <c r="A17172" s="17">
        <v>5.014002E8</v>
      </c>
      <c r="B17172" s="17">
        <v>8670000.0</v>
      </c>
    </row>
    <row r="17173">
      <c r="A17173" s="17">
        <v>5.014002E8</v>
      </c>
      <c r="B17173" s="17">
        <v>8670001.0</v>
      </c>
    </row>
    <row r="17174">
      <c r="A17174" s="17">
        <v>5.014002E8</v>
      </c>
      <c r="B17174" s="17">
        <v>8670002.0</v>
      </c>
    </row>
    <row r="17175">
      <c r="A17175" s="17">
        <v>5.014002E8</v>
      </c>
      <c r="B17175" s="17">
        <v>8670100.0</v>
      </c>
    </row>
    <row r="17176">
      <c r="A17176" s="17">
        <v>5.014002E8</v>
      </c>
      <c r="B17176" s="17">
        <v>8670101.0</v>
      </c>
    </row>
    <row r="17177">
      <c r="A17177" s="17">
        <v>5.014002E8</v>
      </c>
      <c r="B17177" s="17">
        <v>8670102.0</v>
      </c>
    </row>
    <row r="17178">
      <c r="A17178" s="17">
        <v>5.014002E8</v>
      </c>
      <c r="B17178" s="17">
        <v>8690000.0</v>
      </c>
    </row>
    <row r="17179">
      <c r="A17179" s="17">
        <v>5.014002E8</v>
      </c>
      <c r="B17179" s="17">
        <v>8690100.0</v>
      </c>
    </row>
    <row r="17180">
      <c r="A17180" s="17">
        <v>5.014002E8</v>
      </c>
      <c r="B17180" s="17">
        <v>8690200.0</v>
      </c>
    </row>
    <row r="17181">
      <c r="A17181" s="17">
        <v>5.014002E8</v>
      </c>
      <c r="B17181" s="17">
        <v>8690300.0</v>
      </c>
    </row>
    <row r="17182">
      <c r="A17182" s="17">
        <v>5.014002E8</v>
      </c>
      <c r="B17182" s="17">
        <v>8690400.0</v>
      </c>
    </row>
    <row r="17183">
      <c r="A17183" s="17">
        <v>5.014002E8</v>
      </c>
      <c r="B17183" s="17">
        <v>8320500.0</v>
      </c>
    </row>
    <row r="17184">
      <c r="A17184" s="17">
        <v>5.014002E8</v>
      </c>
      <c r="B17184" s="17">
        <v>8320510.0</v>
      </c>
    </row>
    <row r="17185">
      <c r="A17185" s="17">
        <v>5.014002E8</v>
      </c>
      <c r="B17185" s="17">
        <v>8320520.0</v>
      </c>
    </row>
    <row r="17186">
      <c r="A17186" s="17">
        <v>5.014002E8</v>
      </c>
      <c r="B17186" s="17">
        <v>8320600.0</v>
      </c>
    </row>
    <row r="17187">
      <c r="A17187" s="17">
        <v>5.014002E8</v>
      </c>
      <c r="B17187" s="17">
        <v>8320610.0</v>
      </c>
    </row>
    <row r="17188">
      <c r="A17188" s="17">
        <v>5.014002E8</v>
      </c>
      <c r="B17188" s="17">
        <v>8320620.0</v>
      </c>
    </row>
    <row r="17189">
      <c r="A17189" s="17">
        <v>5.014002E8</v>
      </c>
      <c r="B17189" s="17">
        <v>8320700.0</v>
      </c>
    </row>
    <row r="17190">
      <c r="A17190" s="17">
        <v>5.014002E8</v>
      </c>
      <c r="B17190" s="17">
        <v>8320710.0</v>
      </c>
    </row>
    <row r="17191">
      <c r="A17191" s="17">
        <v>5.014002E8</v>
      </c>
      <c r="B17191" s="17">
        <v>8320720.0</v>
      </c>
    </row>
    <row r="17192">
      <c r="A17192" s="17">
        <v>5.015E8</v>
      </c>
      <c r="B17192" s="17">
        <v>0.0</v>
      </c>
    </row>
    <row r="17193">
      <c r="A17193" s="17">
        <v>5.015E8</v>
      </c>
      <c r="B17193" s="17">
        <v>8100100.0</v>
      </c>
    </row>
    <row r="17194">
      <c r="A17194" s="17">
        <v>5.015E8</v>
      </c>
      <c r="B17194" s="17">
        <v>8100101.0</v>
      </c>
    </row>
    <row r="17195">
      <c r="A17195" s="17">
        <v>5.015E8</v>
      </c>
      <c r="B17195" s="17">
        <v>8100102.0</v>
      </c>
    </row>
    <row r="17196">
      <c r="A17196" s="17">
        <v>5.015E8</v>
      </c>
      <c r="B17196" s="17">
        <v>8100200.0</v>
      </c>
    </row>
    <row r="17197">
      <c r="A17197" s="17">
        <v>5.015E8</v>
      </c>
      <c r="B17197" s="17">
        <v>8100201.0</v>
      </c>
    </row>
    <row r="17198">
      <c r="A17198" s="17">
        <v>5.015E8</v>
      </c>
      <c r="B17198" s="17">
        <v>8100202.0</v>
      </c>
    </row>
    <row r="17199">
      <c r="A17199" s="17">
        <v>5.015E8</v>
      </c>
      <c r="B17199" s="17">
        <v>8100300.0</v>
      </c>
    </row>
    <row r="17200">
      <c r="A17200" s="17">
        <v>5.015E8</v>
      </c>
      <c r="B17200" s="17">
        <v>8100301.0</v>
      </c>
    </row>
    <row r="17201">
      <c r="A17201" s="17">
        <v>5.015E8</v>
      </c>
      <c r="B17201" s="17">
        <v>8100302.0</v>
      </c>
    </row>
    <row r="17202">
      <c r="A17202" s="17">
        <v>5.015E8</v>
      </c>
      <c r="B17202" s="17">
        <v>8100400.0</v>
      </c>
    </row>
    <row r="17203">
      <c r="A17203" s="17">
        <v>5.015E8</v>
      </c>
      <c r="B17203" s="17">
        <v>8100401.0</v>
      </c>
    </row>
    <row r="17204">
      <c r="A17204" s="17">
        <v>5.015E8</v>
      </c>
      <c r="B17204" s="17">
        <v>8100402.0</v>
      </c>
    </row>
    <row r="17205">
      <c r="A17205" s="17">
        <v>5.015E8</v>
      </c>
      <c r="B17205" s="17">
        <v>8130000.0</v>
      </c>
    </row>
    <row r="17206">
      <c r="A17206" s="17">
        <v>5.015E8</v>
      </c>
      <c r="B17206" s="17">
        <v>8130001.0</v>
      </c>
    </row>
    <row r="17207">
      <c r="A17207" s="17">
        <v>5.015E8</v>
      </c>
      <c r="B17207" s="17">
        <v>8130002.0</v>
      </c>
    </row>
    <row r="17208">
      <c r="A17208" s="17">
        <v>5.015E8</v>
      </c>
      <c r="B17208" s="17">
        <v>8140000.0</v>
      </c>
    </row>
    <row r="17209">
      <c r="A17209" s="17">
        <v>5.015E8</v>
      </c>
      <c r="B17209" s="17">
        <v>8140001.0</v>
      </c>
    </row>
    <row r="17210">
      <c r="A17210" s="17">
        <v>5.015E8</v>
      </c>
      <c r="B17210" s="17">
        <v>8140002.0</v>
      </c>
    </row>
    <row r="17211">
      <c r="A17211" s="17">
        <v>5.015E8</v>
      </c>
      <c r="B17211" s="17">
        <v>8200100.0</v>
      </c>
    </row>
    <row r="17212">
      <c r="A17212" s="17">
        <v>5.015E8</v>
      </c>
      <c r="B17212" s="17">
        <v>8200101.0</v>
      </c>
    </row>
    <row r="17213">
      <c r="A17213" s="17">
        <v>5.015E8</v>
      </c>
      <c r="B17213" s="17">
        <v>8200102.0</v>
      </c>
    </row>
    <row r="17214">
      <c r="A17214" s="17">
        <v>5.015E8</v>
      </c>
      <c r="B17214" s="17">
        <v>8200200.0</v>
      </c>
    </row>
    <row r="17215">
      <c r="A17215" s="17">
        <v>5.015E8</v>
      </c>
      <c r="B17215" s="17">
        <v>8200201.0</v>
      </c>
    </row>
    <row r="17216">
      <c r="A17216" s="17">
        <v>5.015E8</v>
      </c>
      <c r="B17216" s="17">
        <v>8200202.0</v>
      </c>
    </row>
    <row r="17217">
      <c r="A17217" s="17">
        <v>5.015E8</v>
      </c>
      <c r="B17217" s="17">
        <v>8200300.0</v>
      </c>
    </row>
    <row r="17218">
      <c r="A17218" s="17">
        <v>5.015E8</v>
      </c>
      <c r="B17218" s="17">
        <v>8200301.0</v>
      </c>
    </row>
    <row r="17219">
      <c r="A17219" s="17">
        <v>5.015E8</v>
      </c>
      <c r="B17219" s="17">
        <v>8200302.0</v>
      </c>
    </row>
    <row r="17220">
      <c r="A17220" s="17">
        <v>5.015E8</v>
      </c>
      <c r="B17220" s="17">
        <v>8200400.0</v>
      </c>
    </row>
    <row r="17221">
      <c r="A17221" s="17">
        <v>5.015E8</v>
      </c>
      <c r="B17221" s="17">
        <v>8200401.0</v>
      </c>
    </row>
    <row r="17222">
      <c r="A17222" s="17">
        <v>5.015E8</v>
      </c>
      <c r="B17222" s="17">
        <v>8200402.0</v>
      </c>
    </row>
    <row r="17223">
      <c r="A17223" s="17">
        <v>5.015E8</v>
      </c>
      <c r="B17223" s="17">
        <v>8210000.0</v>
      </c>
    </row>
    <row r="17224">
      <c r="A17224" s="17">
        <v>5.015E8</v>
      </c>
      <c r="B17224" s="17">
        <v>8210001.0</v>
      </c>
    </row>
    <row r="17225">
      <c r="A17225" s="17">
        <v>5.015E8</v>
      </c>
      <c r="B17225" s="17">
        <v>8210002.0</v>
      </c>
    </row>
    <row r="17226">
      <c r="A17226" s="17">
        <v>5.015E8</v>
      </c>
      <c r="B17226" s="17">
        <v>8210100.0</v>
      </c>
    </row>
    <row r="17227">
      <c r="A17227" s="17">
        <v>5.015E8</v>
      </c>
      <c r="B17227" s="17">
        <v>8210101.0</v>
      </c>
    </row>
    <row r="17228">
      <c r="A17228" s="17">
        <v>5.015E8</v>
      </c>
      <c r="B17228" s="17">
        <v>8210102.0</v>
      </c>
    </row>
    <row r="17229">
      <c r="A17229" s="17">
        <v>5.015E8</v>
      </c>
      <c r="B17229" s="17">
        <v>8210200.0</v>
      </c>
    </row>
    <row r="17230">
      <c r="A17230" s="17">
        <v>5.015E8</v>
      </c>
      <c r="B17230" s="17">
        <v>8210201.0</v>
      </c>
    </row>
    <row r="17231">
      <c r="A17231" s="17">
        <v>5.015E8</v>
      </c>
      <c r="B17231" s="17">
        <v>8210202.0</v>
      </c>
    </row>
    <row r="17232">
      <c r="A17232" s="17">
        <v>5.015E8</v>
      </c>
      <c r="B17232" s="17">
        <v>8210300.0</v>
      </c>
    </row>
    <row r="17233">
      <c r="A17233" s="17">
        <v>5.015E8</v>
      </c>
      <c r="B17233" s="17">
        <v>8210301.0</v>
      </c>
    </row>
    <row r="17234">
      <c r="A17234" s="17">
        <v>5.015E8</v>
      </c>
      <c r="B17234" s="17">
        <v>8210302.0</v>
      </c>
    </row>
    <row r="17235">
      <c r="A17235" s="17">
        <v>5.015E8</v>
      </c>
      <c r="B17235" s="17">
        <v>8210400.0</v>
      </c>
    </row>
    <row r="17236">
      <c r="A17236" s="17">
        <v>5.015E8</v>
      </c>
      <c r="B17236" s="17">
        <v>8210401.0</v>
      </c>
    </row>
    <row r="17237">
      <c r="A17237" s="17">
        <v>5.015E8</v>
      </c>
      <c r="B17237" s="17">
        <v>8210402.0</v>
      </c>
    </row>
    <row r="17238">
      <c r="A17238" s="17">
        <v>5.015E8</v>
      </c>
      <c r="B17238" s="17">
        <v>8210500.0</v>
      </c>
    </row>
    <row r="17239">
      <c r="A17239" s="17">
        <v>5.015E8</v>
      </c>
      <c r="B17239" s="17">
        <v>8210501.0</v>
      </c>
    </row>
    <row r="17240">
      <c r="A17240" s="17">
        <v>5.015E8</v>
      </c>
      <c r="B17240" s="17">
        <v>8210502.0</v>
      </c>
    </row>
    <row r="17241">
      <c r="A17241" s="17">
        <v>5.015E8</v>
      </c>
      <c r="B17241" s="17">
        <v>8210600.0</v>
      </c>
    </row>
    <row r="17242">
      <c r="A17242" s="17">
        <v>5.015E8</v>
      </c>
      <c r="B17242" s="17">
        <v>8210601.0</v>
      </c>
    </row>
    <row r="17243">
      <c r="A17243" s="17">
        <v>5.015E8</v>
      </c>
      <c r="B17243" s="17">
        <v>8210602.0</v>
      </c>
    </row>
    <row r="17244">
      <c r="A17244" s="17">
        <v>5.015E8</v>
      </c>
      <c r="B17244" s="17">
        <v>8220000.0</v>
      </c>
    </row>
    <row r="17245">
      <c r="A17245" s="17">
        <v>5.015E8</v>
      </c>
      <c r="B17245" s="17">
        <v>8220001.0</v>
      </c>
    </row>
    <row r="17246">
      <c r="A17246" s="17">
        <v>5.015E8</v>
      </c>
      <c r="B17246" s="17">
        <v>8220002.0</v>
      </c>
    </row>
    <row r="17247">
      <c r="A17247" s="17">
        <v>5.015E8</v>
      </c>
      <c r="B17247" s="17">
        <v>8300000.0</v>
      </c>
    </row>
    <row r="17248">
      <c r="A17248" s="17">
        <v>5.015E8</v>
      </c>
      <c r="B17248" s="17">
        <v>8300001.0</v>
      </c>
    </row>
    <row r="17249">
      <c r="A17249" s="17">
        <v>5.015E8</v>
      </c>
      <c r="B17249" s="17">
        <v>8300002.0</v>
      </c>
    </row>
    <row r="17250">
      <c r="A17250" s="17">
        <v>5.015E8</v>
      </c>
      <c r="B17250" s="17">
        <v>8310000.0</v>
      </c>
    </row>
    <row r="17251">
      <c r="A17251" s="17">
        <v>5.015E8</v>
      </c>
      <c r="B17251" s="17">
        <v>8310001.0</v>
      </c>
    </row>
    <row r="17252">
      <c r="A17252" s="17">
        <v>5.015E8</v>
      </c>
      <c r="B17252" s="17">
        <v>8310002.0</v>
      </c>
    </row>
    <row r="17253">
      <c r="A17253" s="17">
        <v>5.015E8</v>
      </c>
      <c r="B17253" s="17">
        <v>8320000.0</v>
      </c>
    </row>
    <row r="17254">
      <c r="A17254" s="17">
        <v>5.015E8</v>
      </c>
      <c r="B17254" s="17">
        <v>8320001.0</v>
      </c>
    </row>
    <row r="17255">
      <c r="A17255" s="17">
        <v>5.015E8</v>
      </c>
      <c r="B17255" s="17">
        <v>8320002.0</v>
      </c>
    </row>
    <row r="17256">
      <c r="A17256" s="17">
        <v>5.015E8</v>
      </c>
      <c r="B17256" s="17">
        <v>8320100.0</v>
      </c>
    </row>
    <row r="17257">
      <c r="A17257" s="17">
        <v>5.015E8</v>
      </c>
      <c r="B17257" s="17">
        <v>8320101.0</v>
      </c>
    </row>
    <row r="17258">
      <c r="A17258" s="17">
        <v>5.015E8</v>
      </c>
      <c r="B17258" s="17">
        <v>8320102.0</v>
      </c>
    </row>
    <row r="17259">
      <c r="A17259" s="17">
        <v>5.015E8</v>
      </c>
      <c r="B17259" s="17">
        <v>8320300.0</v>
      </c>
    </row>
    <row r="17260">
      <c r="A17260" s="17">
        <v>5.015E8</v>
      </c>
      <c r="B17260" s="17">
        <v>8320301.0</v>
      </c>
    </row>
    <row r="17261">
      <c r="A17261" s="17">
        <v>5.015E8</v>
      </c>
      <c r="B17261" s="17">
        <v>8320302.0</v>
      </c>
    </row>
    <row r="17262">
      <c r="A17262" s="17">
        <v>5.015E8</v>
      </c>
      <c r="B17262" s="17">
        <v>8320400.0</v>
      </c>
    </row>
    <row r="17263">
      <c r="A17263" s="17">
        <v>5.015E8</v>
      </c>
      <c r="B17263" s="17">
        <v>8320410.0</v>
      </c>
    </row>
    <row r="17264">
      <c r="A17264" s="17">
        <v>5.015E8</v>
      </c>
      <c r="B17264" s="17">
        <v>8320420.0</v>
      </c>
    </row>
    <row r="17265">
      <c r="A17265" s="17">
        <v>5.015E8</v>
      </c>
      <c r="B17265" s="17">
        <v>8330000.0</v>
      </c>
    </row>
    <row r="17266">
      <c r="A17266" s="17">
        <v>5.015E8</v>
      </c>
      <c r="B17266" s="17">
        <v>8330001.0</v>
      </c>
    </row>
    <row r="17267">
      <c r="A17267" s="17">
        <v>5.015E8</v>
      </c>
      <c r="B17267" s="17">
        <v>8330002.0</v>
      </c>
    </row>
    <row r="17268">
      <c r="A17268" s="17">
        <v>5.015E8</v>
      </c>
      <c r="B17268" s="17">
        <v>8330100.0</v>
      </c>
    </row>
    <row r="17269">
      <c r="A17269" s="17">
        <v>5.015E8</v>
      </c>
      <c r="B17269" s="17">
        <v>8330101.0</v>
      </c>
    </row>
    <row r="17270">
      <c r="A17270" s="17">
        <v>5.015E8</v>
      </c>
      <c r="B17270" s="17">
        <v>8330102.0</v>
      </c>
    </row>
    <row r="17271">
      <c r="A17271" s="17">
        <v>5.015E8</v>
      </c>
      <c r="B17271" s="17">
        <v>8330200.0</v>
      </c>
    </row>
    <row r="17272">
      <c r="A17272" s="17">
        <v>5.015E8</v>
      </c>
      <c r="B17272" s="17">
        <v>8330201.0</v>
      </c>
    </row>
    <row r="17273">
      <c r="A17273" s="17">
        <v>5.015E8</v>
      </c>
      <c r="B17273" s="17">
        <v>8330202.0</v>
      </c>
    </row>
    <row r="17274">
      <c r="A17274" s="17">
        <v>5.015E8</v>
      </c>
      <c r="B17274" s="17">
        <v>8330300.0</v>
      </c>
    </row>
    <row r="17275">
      <c r="A17275" s="17">
        <v>5.015E8</v>
      </c>
      <c r="B17275" s="17">
        <v>8330301.0</v>
      </c>
    </row>
    <row r="17276">
      <c r="A17276" s="17">
        <v>5.015E8</v>
      </c>
      <c r="B17276" s="17">
        <v>8330302.0</v>
      </c>
    </row>
    <row r="17277">
      <c r="A17277" s="17">
        <v>5.015E8</v>
      </c>
      <c r="B17277" s="17">
        <v>8330400.0</v>
      </c>
    </row>
    <row r="17278">
      <c r="A17278" s="17">
        <v>5.015E8</v>
      </c>
      <c r="B17278" s="17">
        <v>8330401.0</v>
      </c>
    </row>
    <row r="17279">
      <c r="A17279" s="17">
        <v>5.015E8</v>
      </c>
      <c r="B17279" s="17">
        <v>8330600.0</v>
      </c>
    </row>
    <row r="17280">
      <c r="A17280" s="17">
        <v>5.015E8</v>
      </c>
      <c r="B17280" s="17">
        <v>8330601.0</v>
      </c>
    </row>
    <row r="17281">
      <c r="A17281" s="17">
        <v>5.015E8</v>
      </c>
      <c r="B17281" s="17">
        <v>8330602.0</v>
      </c>
    </row>
    <row r="17282">
      <c r="A17282" s="17">
        <v>5.015E8</v>
      </c>
      <c r="B17282" s="17">
        <v>8330900.0</v>
      </c>
    </row>
    <row r="17283">
      <c r="A17283" s="17">
        <v>5.015E8</v>
      </c>
      <c r="B17283" s="17">
        <v>8330910.0</v>
      </c>
    </row>
    <row r="17284">
      <c r="A17284" s="17">
        <v>5.015E8</v>
      </c>
      <c r="B17284" s="17">
        <v>8330920.0</v>
      </c>
    </row>
    <row r="17285">
      <c r="A17285" s="17">
        <v>5.015E8</v>
      </c>
      <c r="B17285" s="17">
        <v>8340000.0</v>
      </c>
    </row>
    <row r="17286">
      <c r="A17286" s="17">
        <v>5.015E8</v>
      </c>
      <c r="B17286" s="17">
        <v>8340001.0</v>
      </c>
    </row>
    <row r="17287">
      <c r="A17287" s="17">
        <v>5.015E8</v>
      </c>
      <c r="B17287" s="17">
        <v>8340002.0</v>
      </c>
    </row>
    <row r="17288">
      <c r="A17288" s="17">
        <v>5.015E8</v>
      </c>
      <c r="B17288" s="17">
        <v>8340100.0</v>
      </c>
    </row>
    <row r="17289">
      <c r="A17289" s="17">
        <v>5.015E8</v>
      </c>
      <c r="B17289" s="17">
        <v>8340101.0</v>
      </c>
    </row>
    <row r="17290">
      <c r="A17290" s="17">
        <v>5.015E8</v>
      </c>
      <c r="B17290" s="17">
        <v>8340102.0</v>
      </c>
    </row>
    <row r="17291">
      <c r="A17291" s="17">
        <v>5.015E8</v>
      </c>
      <c r="B17291" s="17">
        <v>8350000.0</v>
      </c>
    </row>
    <row r="17292">
      <c r="A17292" s="17">
        <v>5.015E8</v>
      </c>
      <c r="B17292" s="17">
        <v>8350001.0</v>
      </c>
    </row>
    <row r="17293">
      <c r="A17293" s="17">
        <v>5.015E8</v>
      </c>
      <c r="B17293" s="17">
        <v>8350002.0</v>
      </c>
    </row>
    <row r="17294">
      <c r="A17294" s="17">
        <v>5.015E8</v>
      </c>
      <c r="B17294" s="17">
        <v>8350200.0</v>
      </c>
    </row>
    <row r="17295">
      <c r="A17295" s="17">
        <v>5.015E8</v>
      </c>
      <c r="B17295" s="17">
        <v>8350201.0</v>
      </c>
    </row>
    <row r="17296">
      <c r="A17296" s="17">
        <v>5.015E8</v>
      </c>
      <c r="B17296" s="17">
        <v>8350202.0</v>
      </c>
    </row>
    <row r="17297">
      <c r="A17297" s="17">
        <v>5.015E8</v>
      </c>
      <c r="B17297" s="17">
        <v>8420000.0</v>
      </c>
    </row>
    <row r="17298">
      <c r="A17298" s="17">
        <v>5.015E8</v>
      </c>
      <c r="B17298" s="17">
        <v>8420001.0</v>
      </c>
    </row>
    <row r="17299">
      <c r="A17299" s="17">
        <v>5.015E8</v>
      </c>
      <c r="B17299" s="17">
        <v>8420002.0</v>
      </c>
    </row>
    <row r="17300">
      <c r="A17300" s="17">
        <v>5.015E8</v>
      </c>
      <c r="B17300" s="17">
        <v>8450000.0</v>
      </c>
    </row>
    <row r="17301">
      <c r="A17301" s="17">
        <v>5.015E8</v>
      </c>
      <c r="B17301" s="17">
        <v>8460100.0</v>
      </c>
    </row>
    <row r="17302">
      <c r="A17302" s="17">
        <v>5.015E8</v>
      </c>
      <c r="B17302" s="17">
        <v>8460300.0</v>
      </c>
    </row>
    <row r="17303">
      <c r="A17303" s="17">
        <v>5.015E8</v>
      </c>
      <c r="B17303" s="17">
        <v>8460500.0</v>
      </c>
    </row>
    <row r="17304">
      <c r="A17304" s="17">
        <v>5.015E8</v>
      </c>
      <c r="B17304" s="17">
        <v>8510000.0</v>
      </c>
    </row>
    <row r="17305">
      <c r="A17305" s="17">
        <v>5.015E8</v>
      </c>
      <c r="B17305" s="17">
        <v>8510001.0</v>
      </c>
    </row>
    <row r="17306">
      <c r="A17306" s="17">
        <v>5.015E8</v>
      </c>
      <c r="B17306" s="17">
        <v>8510002.0</v>
      </c>
    </row>
    <row r="17307">
      <c r="A17307" s="17">
        <v>5.015E8</v>
      </c>
      <c r="B17307" s="17">
        <v>8520000.0</v>
      </c>
    </row>
    <row r="17308">
      <c r="A17308" s="17">
        <v>5.015E8</v>
      </c>
      <c r="B17308" s="17">
        <v>8520001.0</v>
      </c>
    </row>
    <row r="17309">
      <c r="A17309" s="17">
        <v>5.015E8</v>
      </c>
      <c r="B17309" s="17">
        <v>8520002.0</v>
      </c>
    </row>
    <row r="17310">
      <c r="A17310" s="17">
        <v>5.015E8</v>
      </c>
      <c r="B17310" s="17">
        <v>8530000.0</v>
      </c>
    </row>
    <row r="17311">
      <c r="A17311" s="17">
        <v>5.015E8</v>
      </c>
      <c r="B17311" s="17">
        <v>8530100.0</v>
      </c>
    </row>
    <row r="17312">
      <c r="A17312" s="17">
        <v>5.015E8</v>
      </c>
      <c r="B17312" s="17">
        <v>8540000.0</v>
      </c>
    </row>
    <row r="17313">
      <c r="A17313" s="17">
        <v>5.015E8</v>
      </c>
      <c r="B17313" s="17">
        <v>8600100.0</v>
      </c>
    </row>
    <row r="17314">
      <c r="A17314" s="17">
        <v>5.015E8</v>
      </c>
      <c r="B17314" s="17">
        <v>8600101.0</v>
      </c>
    </row>
    <row r="17315">
      <c r="A17315" s="17">
        <v>5.015E8</v>
      </c>
      <c r="B17315" s="17">
        <v>8600102.0</v>
      </c>
    </row>
    <row r="17316">
      <c r="A17316" s="17">
        <v>5.015E8</v>
      </c>
      <c r="B17316" s="17">
        <v>8600200.0</v>
      </c>
    </row>
    <row r="17317">
      <c r="A17317" s="17">
        <v>5.015E8</v>
      </c>
      <c r="B17317" s="17">
        <v>8600201.0</v>
      </c>
    </row>
    <row r="17318">
      <c r="A17318" s="17">
        <v>5.015E8</v>
      </c>
      <c r="B17318" s="17">
        <v>8600202.0</v>
      </c>
    </row>
    <row r="17319">
      <c r="A17319" s="17">
        <v>5.015E8</v>
      </c>
      <c r="B17319" s="17">
        <v>8610700.0</v>
      </c>
    </row>
    <row r="17320">
      <c r="A17320" s="17">
        <v>5.015E8</v>
      </c>
      <c r="B17320" s="17">
        <v>8610710.0</v>
      </c>
    </row>
    <row r="17321">
      <c r="A17321" s="17">
        <v>5.015E8</v>
      </c>
      <c r="B17321" s="17">
        <v>8610720.0</v>
      </c>
    </row>
    <row r="17322">
      <c r="A17322" s="17">
        <v>5.015E8</v>
      </c>
      <c r="B17322" s="17">
        <v>8620000.0</v>
      </c>
    </row>
    <row r="17323">
      <c r="A17323" s="17">
        <v>5.015E8</v>
      </c>
      <c r="B17323" s="17">
        <v>8620010.0</v>
      </c>
    </row>
    <row r="17324">
      <c r="A17324" s="17">
        <v>5.015E8</v>
      </c>
      <c r="B17324" s="17">
        <v>8620020.0</v>
      </c>
    </row>
    <row r="17325">
      <c r="A17325" s="17">
        <v>5.015E8</v>
      </c>
      <c r="B17325" s="17">
        <v>8620100.0</v>
      </c>
    </row>
    <row r="17326">
      <c r="A17326" s="17">
        <v>5.015E8</v>
      </c>
      <c r="B17326" s="17">
        <v>8620110.0</v>
      </c>
    </row>
    <row r="17327">
      <c r="A17327" s="17">
        <v>5.015E8</v>
      </c>
      <c r="B17327" s="17">
        <v>8620120.0</v>
      </c>
    </row>
    <row r="17328">
      <c r="A17328" s="17">
        <v>5.015E8</v>
      </c>
      <c r="B17328" s="17">
        <v>8630000.0</v>
      </c>
    </row>
    <row r="17329">
      <c r="A17329" s="17">
        <v>5.015E8</v>
      </c>
      <c r="B17329" s="17">
        <v>8630000.0</v>
      </c>
    </row>
    <row r="17330">
      <c r="A17330" s="17">
        <v>5.015E8</v>
      </c>
      <c r="B17330" s="17">
        <v>8630000.0</v>
      </c>
    </row>
    <row r="17331">
      <c r="A17331" s="17">
        <v>5.015E8</v>
      </c>
      <c r="B17331" s="17">
        <v>8630100.0</v>
      </c>
    </row>
    <row r="17332">
      <c r="A17332" s="17">
        <v>5.015E8</v>
      </c>
      <c r="B17332" s="17">
        <v>8630100.0</v>
      </c>
    </row>
    <row r="17333">
      <c r="A17333" s="17">
        <v>5.015E8</v>
      </c>
      <c r="B17333" s="17">
        <v>8630100.0</v>
      </c>
    </row>
    <row r="17334">
      <c r="A17334" s="17">
        <v>5.015E8</v>
      </c>
      <c r="B17334" s="17">
        <v>8652000.0</v>
      </c>
    </row>
    <row r="17335">
      <c r="A17335" s="17">
        <v>5.015E8</v>
      </c>
      <c r="B17335" s="17">
        <v>8652010.0</v>
      </c>
    </row>
    <row r="17336">
      <c r="A17336" s="17">
        <v>5.015E8</v>
      </c>
      <c r="B17336" s="17">
        <v>8652020.0</v>
      </c>
    </row>
    <row r="17337">
      <c r="A17337" s="17">
        <v>5.015E8</v>
      </c>
      <c r="B17337" s="17">
        <v>8652100.0</v>
      </c>
    </row>
    <row r="17338">
      <c r="A17338" s="17">
        <v>5.015E8</v>
      </c>
      <c r="B17338" s="17">
        <v>8652110.0</v>
      </c>
    </row>
    <row r="17339">
      <c r="A17339" s="17">
        <v>5.015E8</v>
      </c>
      <c r="B17339" s="17">
        <v>8652120.0</v>
      </c>
    </row>
    <row r="17340">
      <c r="A17340" s="17">
        <v>5.015E8</v>
      </c>
      <c r="B17340" s="17">
        <v>8660000.0</v>
      </c>
    </row>
    <row r="17341">
      <c r="A17341" s="17">
        <v>5.015E8</v>
      </c>
      <c r="B17341" s="17">
        <v>8660001.0</v>
      </c>
    </row>
    <row r="17342">
      <c r="A17342" s="17">
        <v>5.015E8</v>
      </c>
      <c r="B17342" s="17">
        <v>8660002.0</v>
      </c>
    </row>
    <row r="17343">
      <c r="A17343" s="17">
        <v>5.015E8</v>
      </c>
      <c r="B17343" s="17">
        <v>8660100.0</v>
      </c>
    </row>
    <row r="17344">
      <c r="A17344" s="17">
        <v>5.015E8</v>
      </c>
      <c r="B17344" s="17">
        <v>8660101.0</v>
      </c>
    </row>
    <row r="17345">
      <c r="A17345" s="17">
        <v>5.015E8</v>
      </c>
      <c r="B17345" s="17">
        <v>8660102.0</v>
      </c>
    </row>
    <row r="17346">
      <c r="A17346" s="17">
        <v>5.015E8</v>
      </c>
      <c r="B17346" s="17">
        <v>8670000.0</v>
      </c>
    </row>
    <row r="17347">
      <c r="A17347" s="17">
        <v>5.015E8</v>
      </c>
      <c r="B17347" s="17">
        <v>8670001.0</v>
      </c>
    </row>
    <row r="17348">
      <c r="A17348" s="17">
        <v>5.015E8</v>
      </c>
      <c r="B17348" s="17">
        <v>8670002.0</v>
      </c>
    </row>
    <row r="17349">
      <c r="A17349" s="17">
        <v>5.015E8</v>
      </c>
      <c r="B17349" s="17">
        <v>8670100.0</v>
      </c>
    </row>
    <row r="17350">
      <c r="A17350" s="17">
        <v>5.015E8</v>
      </c>
      <c r="B17350" s="17">
        <v>8670101.0</v>
      </c>
    </row>
    <row r="17351">
      <c r="A17351" s="17">
        <v>5.015E8</v>
      </c>
      <c r="B17351" s="17">
        <v>8670102.0</v>
      </c>
    </row>
    <row r="17352">
      <c r="A17352" s="17">
        <v>5.015E8</v>
      </c>
      <c r="B17352" s="17">
        <v>8690000.0</v>
      </c>
    </row>
    <row r="17353">
      <c r="A17353" s="17">
        <v>5.015E8</v>
      </c>
      <c r="B17353" s="17">
        <v>8690100.0</v>
      </c>
    </row>
    <row r="17354">
      <c r="A17354" s="17">
        <v>5.015E8</v>
      </c>
      <c r="B17354" s="17">
        <v>8690200.0</v>
      </c>
    </row>
    <row r="17355">
      <c r="A17355" s="17">
        <v>5.015E8</v>
      </c>
      <c r="B17355" s="17">
        <v>8690300.0</v>
      </c>
    </row>
    <row r="17356">
      <c r="A17356" s="17">
        <v>5.015E8</v>
      </c>
      <c r="B17356" s="17">
        <v>8690400.0</v>
      </c>
    </row>
    <row r="17357">
      <c r="A17357" s="17">
        <v>5.015E8</v>
      </c>
      <c r="B17357" s="17">
        <v>8320500.0</v>
      </c>
    </row>
    <row r="17358">
      <c r="A17358" s="17">
        <v>5.015E8</v>
      </c>
      <c r="B17358" s="17">
        <v>8320510.0</v>
      </c>
    </row>
    <row r="17359">
      <c r="A17359" s="17">
        <v>5.015E8</v>
      </c>
      <c r="B17359" s="17">
        <v>8320520.0</v>
      </c>
    </row>
    <row r="17360">
      <c r="A17360" s="17">
        <v>5.015E8</v>
      </c>
      <c r="B17360" s="17">
        <v>8320600.0</v>
      </c>
    </row>
    <row r="17361">
      <c r="A17361" s="17">
        <v>5.015E8</v>
      </c>
      <c r="B17361" s="17">
        <v>8320610.0</v>
      </c>
    </row>
    <row r="17362">
      <c r="A17362" s="17">
        <v>5.015E8</v>
      </c>
      <c r="B17362" s="17">
        <v>8320620.0</v>
      </c>
    </row>
    <row r="17363">
      <c r="A17363" s="17">
        <v>5.015E8</v>
      </c>
      <c r="B17363" s="17">
        <v>8320700.0</v>
      </c>
    </row>
    <row r="17364">
      <c r="A17364" s="17">
        <v>5.015E8</v>
      </c>
      <c r="B17364" s="17">
        <v>8320710.0</v>
      </c>
    </row>
    <row r="17365">
      <c r="A17365" s="17">
        <v>5.015E8</v>
      </c>
      <c r="B17365" s="17">
        <v>8320720.0</v>
      </c>
    </row>
    <row r="17366">
      <c r="A17366" s="17">
        <v>5.015001E8</v>
      </c>
      <c r="B17366" s="17">
        <v>0.0</v>
      </c>
    </row>
    <row r="17367">
      <c r="A17367" s="17">
        <v>5.015001E8</v>
      </c>
      <c r="B17367" s="17">
        <v>8100100.0</v>
      </c>
    </row>
    <row r="17368">
      <c r="A17368" s="17">
        <v>5.015001E8</v>
      </c>
      <c r="B17368" s="17">
        <v>8100101.0</v>
      </c>
    </row>
    <row r="17369">
      <c r="A17369" s="17">
        <v>5.015001E8</v>
      </c>
      <c r="B17369" s="17">
        <v>8100102.0</v>
      </c>
    </row>
    <row r="17370">
      <c r="A17370" s="17">
        <v>5.015001E8</v>
      </c>
      <c r="B17370" s="17">
        <v>8100200.0</v>
      </c>
    </row>
    <row r="17371">
      <c r="A17371" s="17">
        <v>5.015001E8</v>
      </c>
      <c r="B17371" s="17">
        <v>8100201.0</v>
      </c>
    </row>
    <row r="17372">
      <c r="A17372" s="17">
        <v>5.015001E8</v>
      </c>
      <c r="B17372" s="17">
        <v>8100202.0</v>
      </c>
    </row>
    <row r="17373">
      <c r="A17373" s="17">
        <v>5.015001E8</v>
      </c>
      <c r="B17373" s="17">
        <v>8100300.0</v>
      </c>
    </row>
    <row r="17374">
      <c r="A17374" s="17">
        <v>5.015001E8</v>
      </c>
      <c r="B17374" s="17">
        <v>8100301.0</v>
      </c>
    </row>
    <row r="17375">
      <c r="A17375" s="17">
        <v>5.015001E8</v>
      </c>
      <c r="B17375" s="17">
        <v>8100302.0</v>
      </c>
    </row>
    <row r="17376">
      <c r="A17376" s="17">
        <v>5.015001E8</v>
      </c>
      <c r="B17376" s="17">
        <v>8100400.0</v>
      </c>
    </row>
    <row r="17377">
      <c r="A17377" s="17">
        <v>5.015001E8</v>
      </c>
      <c r="B17377" s="17">
        <v>8100401.0</v>
      </c>
    </row>
    <row r="17378">
      <c r="A17378" s="17">
        <v>5.015001E8</v>
      </c>
      <c r="B17378" s="17">
        <v>8100402.0</v>
      </c>
    </row>
    <row r="17379">
      <c r="A17379" s="17">
        <v>5.015001E8</v>
      </c>
      <c r="B17379" s="17">
        <v>8130000.0</v>
      </c>
    </row>
    <row r="17380">
      <c r="A17380" s="17">
        <v>5.015001E8</v>
      </c>
      <c r="B17380" s="17">
        <v>8130001.0</v>
      </c>
    </row>
    <row r="17381">
      <c r="A17381" s="17">
        <v>5.015001E8</v>
      </c>
      <c r="B17381" s="17">
        <v>8130002.0</v>
      </c>
    </row>
    <row r="17382">
      <c r="A17382" s="17">
        <v>5.015001E8</v>
      </c>
      <c r="B17382" s="17">
        <v>8140000.0</v>
      </c>
    </row>
    <row r="17383">
      <c r="A17383" s="17">
        <v>5.015001E8</v>
      </c>
      <c r="B17383" s="17">
        <v>8140001.0</v>
      </c>
    </row>
    <row r="17384">
      <c r="A17384" s="17">
        <v>5.015001E8</v>
      </c>
      <c r="B17384" s="17">
        <v>8140002.0</v>
      </c>
    </row>
    <row r="17385">
      <c r="A17385" s="17">
        <v>5.015001E8</v>
      </c>
      <c r="B17385" s="17">
        <v>8200100.0</v>
      </c>
    </row>
    <row r="17386">
      <c r="A17386" s="17">
        <v>5.015001E8</v>
      </c>
      <c r="B17386" s="17">
        <v>8200101.0</v>
      </c>
    </row>
    <row r="17387">
      <c r="A17387" s="17">
        <v>5.015001E8</v>
      </c>
      <c r="B17387" s="17">
        <v>8200102.0</v>
      </c>
    </row>
    <row r="17388">
      <c r="A17388" s="17">
        <v>5.015001E8</v>
      </c>
      <c r="B17388" s="17">
        <v>8200200.0</v>
      </c>
    </row>
    <row r="17389">
      <c r="A17389" s="17">
        <v>5.015001E8</v>
      </c>
      <c r="B17389" s="17">
        <v>8200201.0</v>
      </c>
    </row>
    <row r="17390">
      <c r="A17390" s="17">
        <v>5.015001E8</v>
      </c>
      <c r="B17390" s="17">
        <v>8200202.0</v>
      </c>
    </row>
    <row r="17391">
      <c r="A17391" s="17">
        <v>5.015001E8</v>
      </c>
      <c r="B17391" s="17">
        <v>8200300.0</v>
      </c>
    </row>
    <row r="17392">
      <c r="A17392" s="17">
        <v>5.015001E8</v>
      </c>
      <c r="B17392" s="17">
        <v>8200301.0</v>
      </c>
    </row>
    <row r="17393">
      <c r="A17393" s="17">
        <v>5.015001E8</v>
      </c>
      <c r="B17393" s="17">
        <v>8200302.0</v>
      </c>
    </row>
    <row r="17394">
      <c r="A17394" s="17">
        <v>5.015001E8</v>
      </c>
      <c r="B17394" s="17">
        <v>8200400.0</v>
      </c>
    </row>
    <row r="17395">
      <c r="A17395" s="17">
        <v>5.015001E8</v>
      </c>
      <c r="B17395" s="17">
        <v>8200401.0</v>
      </c>
    </row>
    <row r="17396">
      <c r="A17396" s="17">
        <v>5.015001E8</v>
      </c>
      <c r="B17396" s="17">
        <v>8200402.0</v>
      </c>
    </row>
    <row r="17397">
      <c r="A17397" s="17">
        <v>5.015001E8</v>
      </c>
      <c r="B17397" s="17">
        <v>8210000.0</v>
      </c>
    </row>
    <row r="17398">
      <c r="A17398" s="17">
        <v>5.015001E8</v>
      </c>
      <c r="B17398" s="17">
        <v>8210001.0</v>
      </c>
    </row>
    <row r="17399">
      <c r="A17399" s="17">
        <v>5.015001E8</v>
      </c>
      <c r="B17399" s="17">
        <v>8210002.0</v>
      </c>
    </row>
    <row r="17400">
      <c r="A17400" s="17">
        <v>5.015001E8</v>
      </c>
      <c r="B17400" s="17">
        <v>8210100.0</v>
      </c>
    </row>
    <row r="17401">
      <c r="A17401" s="17">
        <v>5.015001E8</v>
      </c>
      <c r="B17401" s="17">
        <v>8210101.0</v>
      </c>
    </row>
    <row r="17402">
      <c r="A17402" s="17">
        <v>5.015001E8</v>
      </c>
      <c r="B17402" s="17">
        <v>8210102.0</v>
      </c>
    </row>
    <row r="17403">
      <c r="A17403" s="17">
        <v>5.015001E8</v>
      </c>
      <c r="B17403" s="17">
        <v>8210200.0</v>
      </c>
    </row>
    <row r="17404">
      <c r="A17404" s="17">
        <v>5.015001E8</v>
      </c>
      <c r="B17404" s="17">
        <v>8210201.0</v>
      </c>
    </row>
    <row r="17405">
      <c r="A17405" s="17">
        <v>5.015001E8</v>
      </c>
      <c r="B17405" s="17">
        <v>8210202.0</v>
      </c>
    </row>
    <row r="17406">
      <c r="A17406" s="17">
        <v>5.015001E8</v>
      </c>
      <c r="B17406" s="17">
        <v>8210300.0</v>
      </c>
    </row>
    <row r="17407">
      <c r="A17407" s="17">
        <v>5.015001E8</v>
      </c>
      <c r="B17407" s="17">
        <v>8210301.0</v>
      </c>
    </row>
    <row r="17408">
      <c r="A17408" s="17">
        <v>5.015001E8</v>
      </c>
      <c r="B17408" s="17">
        <v>8210302.0</v>
      </c>
    </row>
    <row r="17409">
      <c r="A17409" s="17">
        <v>5.015001E8</v>
      </c>
      <c r="B17409" s="17">
        <v>8210400.0</v>
      </c>
    </row>
    <row r="17410">
      <c r="A17410" s="17">
        <v>5.015001E8</v>
      </c>
      <c r="B17410" s="17">
        <v>8210401.0</v>
      </c>
    </row>
    <row r="17411">
      <c r="A17411" s="17">
        <v>5.015001E8</v>
      </c>
      <c r="B17411" s="17">
        <v>8210402.0</v>
      </c>
    </row>
    <row r="17412">
      <c r="A17412" s="17">
        <v>5.015001E8</v>
      </c>
      <c r="B17412" s="17">
        <v>8210500.0</v>
      </c>
    </row>
    <row r="17413">
      <c r="A17413" s="17">
        <v>5.015001E8</v>
      </c>
      <c r="B17413" s="17">
        <v>8210501.0</v>
      </c>
    </row>
    <row r="17414">
      <c r="A17414" s="17">
        <v>5.015001E8</v>
      </c>
      <c r="B17414" s="17">
        <v>8210502.0</v>
      </c>
    </row>
    <row r="17415">
      <c r="A17415" s="17">
        <v>5.015001E8</v>
      </c>
      <c r="B17415" s="17">
        <v>8210600.0</v>
      </c>
    </row>
    <row r="17416">
      <c r="A17416" s="17">
        <v>5.015001E8</v>
      </c>
      <c r="B17416" s="17">
        <v>8210601.0</v>
      </c>
    </row>
    <row r="17417">
      <c r="A17417" s="17">
        <v>5.015001E8</v>
      </c>
      <c r="B17417" s="17">
        <v>8210602.0</v>
      </c>
    </row>
    <row r="17418">
      <c r="A17418" s="17">
        <v>5.015001E8</v>
      </c>
      <c r="B17418" s="17">
        <v>8220000.0</v>
      </c>
    </row>
    <row r="17419">
      <c r="A17419" s="17">
        <v>5.015001E8</v>
      </c>
      <c r="B17419" s="17">
        <v>8220001.0</v>
      </c>
    </row>
    <row r="17420">
      <c r="A17420" s="17">
        <v>5.015001E8</v>
      </c>
      <c r="B17420" s="17">
        <v>8220002.0</v>
      </c>
    </row>
    <row r="17421">
      <c r="A17421" s="17">
        <v>5.015001E8</v>
      </c>
      <c r="B17421" s="17">
        <v>8300000.0</v>
      </c>
    </row>
    <row r="17422">
      <c r="A17422" s="17">
        <v>5.015001E8</v>
      </c>
      <c r="B17422" s="17">
        <v>8300001.0</v>
      </c>
    </row>
    <row r="17423">
      <c r="A17423" s="17">
        <v>5.015001E8</v>
      </c>
      <c r="B17423" s="17">
        <v>8300002.0</v>
      </c>
    </row>
    <row r="17424">
      <c r="A17424" s="17">
        <v>5.015001E8</v>
      </c>
      <c r="B17424" s="17">
        <v>8310000.0</v>
      </c>
    </row>
    <row r="17425">
      <c r="A17425" s="17">
        <v>5.015001E8</v>
      </c>
      <c r="B17425" s="17">
        <v>8310001.0</v>
      </c>
    </row>
    <row r="17426">
      <c r="A17426" s="17">
        <v>5.015001E8</v>
      </c>
      <c r="B17426" s="17">
        <v>8310002.0</v>
      </c>
    </row>
    <row r="17427">
      <c r="A17427" s="17">
        <v>5.015001E8</v>
      </c>
      <c r="B17427" s="17">
        <v>8320000.0</v>
      </c>
    </row>
    <row r="17428">
      <c r="A17428" s="17">
        <v>5.015001E8</v>
      </c>
      <c r="B17428" s="17">
        <v>8320001.0</v>
      </c>
    </row>
    <row r="17429">
      <c r="A17429" s="17">
        <v>5.015001E8</v>
      </c>
      <c r="B17429" s="17">
        <v>8320002.0</v>
      </c>
    </row>
    <row r="17430">
      <c r="A17430" s="17">
        <v>5.015001E8</v>
      </c>
      <c r="B17430" s="17">
        <v>8320100.0</v>
      </c>
    </row>
    <row r="17431">
      <c r="A17431" s="17">
        <v>5.015001E8</v>
      </c>
      <c r="B17431" s="17">
        <v>8320101.0</v>
      </c>
    </row>
    <row r="17432">
      <c r="A17432" s="17">
        <v>5.015001E8</v>
      </c>
      <c r="B17432" s="17">
        <v>8320102.0</v>
      </c>
    </row>
    <row r="17433">
      <c r="A17433" s="17">
        <v>5.015001E8</v>
      </c>
      <c r="B17433" s="17">
        <v>8320300.0</v>
      </c>
    </row>
    <row r="17434">
      <c r="A17434" s="17">
        <v>5.015001E8</v>
      </c>
      <c r="B17434" s="17">
        <v>8320301.0</v>
      </c>
    </row>
    <row r="17435">
      <c r="A17435" s="17">
        <v>5.015001E8</v>
      </c>
      <c r="B17435" s="17">
        <v>8320302.0</v>
      </c>
    </row>
    <row r="17436">
      <c r="A17436" s="17">
        <v>5.015001E8</v>
      </c>
      <c r="B17436" s="17">
        <v>8320400.0</v>
      </c>
    </row>
    <row r="17437">
      <c r="A17437" s="17">
        <v>5.015001E8</v>
      </c>
      <c r="B17437" s="17">
        <v>8320410.0</v>
      </c>
    </row>
    <row r="17438">
      <c r="A17438" s="17">
        <v>5.015001E8</v>
      </c>
      <c r="B17438" s="17">
        <v>8320420.0</v>
      </c>
    </row>
    <row r="17439">
      <c r="A17439" s="17">
        <v>5.015001E8</v>
      </c>
      <c r="B17439" s="17">
        <v>8330000.0</v>
      </c>
    </row>
    <row r="17440">
      <c r="A17440" s="17">
        <v>5.015001E8</v>
      </c>
      <c r="B17440" s="17">
        <v>8330001.0</v>
      </c>
    </row>
    <row r="17441">
      <c r="A17441" s="17">
        <v>5.015001E8</v>
      </c>
      <c r="B17441" s="17">
        <v>8330002.0</v>
      </c>
    </row>
    <row r="17442">
      <c r="A17442" s="17">
        <v>5.015001E8</v>
      </c>
      <c r="B17442" s="17">
        <v>8330100.0</v>
      </c>
    </row>
    <row r="17443">
      <c r="A17443" s="17">
        <v>5.015001E8</v>
      </c>
      <c r="B17443" s="17">
        <v>8330101.0</v>
      </c>
    </row>
    <row r="17444">
      <c r="A17444" s="17">
        <v>5.015001E8</v>
      </c>
      <c r="B17444" s="17">
        <v>8330102.0</v>
      </c>
    </row>
    <row r="17445">
      <c r="A17445" s="17">
        <v>5.015001E8</v>
      </c>
      <c r="B17445" s="17">
        <v>8330200.0</v>
      </c>
    </row>
    <row r="17446">
      <c r="A17446" s="17">
        <v>5.015001E8</v>
      </c>
      <c r="B17446" s="17">
        <v>8330201.0</v>
      </c>
    </row>
    <row r="17447">
      <c r="A17447" s="17">
        <v>5.015001E8</v>
      </c>
      <c r="B17447" s="17">
        <v>8330202.0</v>
      </c>
    </row>
    <row r="17448">
      <c r="A17448" s="17">
        <v>5.015001E8</v>
      </c>
      <c r="B17448" s="17">
        <v>8330300.0</v>
      </c>
    </row>
    <row r="17449">
      <c r="A17449" s="17">
        <v>5.015001E8</v>
      </c>
      <c r="B17449" s="17">
        <v>8330301.0</v>
      </c>
    </row>
    <row r="17450">
      <c r="A17450" s="17">
        <v>5.015001E8</v>
      </c>
      <c r="B17450" s="17">
        <v>8330302.0</v>
      </c>
    </row>
    <row r="17451">
      <c r="A17451" s="17">
        <v>5.015001E8</v>
      </c>
      <c r="B17451" s="17">
        <v>8330400.0</v>
      </c>
    </row>
    <row r="17452">
      <c r="A17452" s="17">
        <v>5.015001E8</v>
      </c>
      <c r="B17452" s="17">
        <v>8330401.0</v>
      </c>
    </row>
    <row r="17453">
      <c r="A17453" s="17">
        <v>5.015001E8</v>
      </c>
      <c r="B17453" s="17">
        <v>8330600.0</v>
      </c>
    </row>
    <row r="17454">
      <c r="A17454" s="17">
        <v>5.015001E8</v>
      </c>
      <c r="B17454" s="17">
        <v>8330601.0</v>
      </c>
    </row>
    <row r="17455">
      <c r="A17455" s="17">
        <v>5.015001E8</v>
      </c>
      <c r="B17455" s="17">
        <v>8330602.0</v>
      </c>
    </row>
    <row r="17456">
      <c r="A17456" s="17">
        <v>5.015001E8</v>
      </c>
      <c r="B17456" s="17">
        <v>8330900.0</v>
      </c>
    </row>
    <row r="17457">
      <c r="A17457" s="17">
        <v>5.015001E8</v>
      </c>
      <c r="B17457" s="17">
        <v>8330910.0</v>
      </c>
    </row>
    <row r="17458">
      <c r="A17458" s="17">
        <v>5.015001E8</v>
      </c>
      <c r="B17458" s="17">
        <v>8330920.0</v>
      </c>
    </row>
    <row r="17459">
      <c r="A17459" s="17">
        <v>5.015001E8</v>
      </c>
      <c r="B17459" s="17">
        <v>8340000.0</v>
      </c>
    </row>
    <row r="17460">
      <c r="A17460" s="17">
        <v>5.015001E8</v>
      </c>
      <c r="B17460" s="17">
        <v>8340001.0</v>
      </c>
    </row>
    <row r="17461">
      <c r="A17461" s="17">
        <v>5.015001E8</v>
      </c>
      <c r="B17461" s="17">
        <v>8340002.0</v>
      </c>
    </row>
    <row r="17462">
      <c r="A17462" s="17">
        <v>5.015001E8</v>
      </c>
      <c r="B17462" s="17">
        <v>8340100.0</v>
      </c>
    </row>
    <row r="17463">
      <c r="A17463" s="17">
        <v>5.015001E8</v>
      </c>
      <c r="B17463" s="17">
        <v>8340101.0</v>
      </c>
    </row>
    <row r="17464">
      <c r="A17464" s="17">
        <v>5.015001E8</v>
      </c>
      <c r="B17464" s="17">
        <v>8340102.0</v>
      </c>
    </row>
    <row r="17465">
      <c r="A17465" s="17">
        <v>5.015001E8</v>
      </c>
      <c r="B17465" s="17">
        <v>8350000.0</v>
      </c>
    </row>
    <row r="17466">
      <c r="A17466" s="17">
        <v>5.015001E8</v>
      </c>
      <c r="B17466" s="17">
        <v>8350001.0</v>
      </c>
    </row>
    <row r="17467">
      <c r="A17467" s="17">
        <v>5.015001E8</v>
      </c>
      <c r="B17467" s="17">
        <v>8350002.0</v>
      </c>
    </row>
    <row r="17468">
      <c r="A17468" s="17">
        <v>5.015001E8</v>
      </c>
      <c r="B17468" s="17">
        <v>8350200.0</v>
      </c>
    </row>
    <row r="17469">
      <c r="A17469" s="17">
        <v>5.015001E8</v>
      </c>
      <c r="B17469" s="17">
        <v>8350201.0</v>
      </c>
    </row>
    <row r="17470">
      <c r="A17470" s="17">
        <v>5.015001E8</v>
      </c>
      <c r="B17470" s="17">
        <v>8350202.0</v>
      </c>
    </row>
    <row r="17471">
      <c r="A17471" s="17">
        <v>5.015001E8</v>
      </c>
      <c r="B17471" s="17">
        <v>8420000.0</v>
      </c>
    </row>
    <row r="17472">
      <c r="A17472" s="17">
        <v>5.015001E8</v>
      </c>
      <c r="B17472" s="17">
        <v>8420001.0</v>
      </c>
    </row>
    <row r="17473">
      <c r="A17473" s="17">
        <v>5.015001E8</v>
      </c>
      <c r="B17473" s="17">
        <v>8420002.0</v>
      </c>
    </row>
    <row r="17474">
      <c r="A17474" s="17">
        <v>5.015001E8</v>
      </c>
      <c r="B17474" s="17">
        <v>8450000.0</v>
      </c>
    </row>
    <row r="17475">
      <c r="A17475" s="17">
        <v>5.015001E8</v>
      </c>
      <c r="B17475" s="17">
        <v>8460100.0</v>
      </c>
    </row>
    <row r="17476">
      <c r="A17476" s="17">
        <v>5.015001E8</v>
      </c>
      <c r="B17476" s="17">
        <v>8460300.0</v>
      </c>
    </row>
    <row r="17477">
      <c r="A17477" s="17">
        <v>5.015001E8</v>
      </c>
      <c r="B17477" s="17">
        <v>8460500.0</v>
      </c>
    </row>
    <row r="17478">
      <c r="A17478" s="17">
        <v>5.015001E8</v>
      </c>
      <c r="B17478" s="17">
        <v>8510000.0</v>
      </c>
    </row>
    <row r="17479">
      <c r="A17479" s="17">
        <v>5.015001E8</v>
      </c>
      <c r="B17479" s="17">
        <v>8510001.0</v>
      </c>
    </row>
    <row r="17480">
      <c r="A17480" s="17">
        <v>5.015001E8</v>
      </c>
      <c r="B17480" s="17">
        <v>8510002.0</v>
      </c>
    </row>
    <row r="17481">
      <c r="A17481" s="17">
        <v>5.015001E8</v>
      </c>
      <c r="B17481" s="17">
        <v>8520000.0</v>
      </c>
    </row>
    <row r="17482">
      <c r="A17482" s="17">
        <v>5.015001E8</v>
      </c>
      <c r="B17482" s="17">
        <v>8520001.0</v>
      </c>
    </row>
    <row r="17483">
      <c r="A17483" s="17">
        <v>5.015001E8</v>
      </c>
      <c r="B17483" s="17">
        <v>8520002.0</v>
      </c>
    </row>
    <row r="17484">
      <c r="A17484" s="17">
        <v>5.015001E8</v>
      </c>
      <c r="B17484" s="17">
        <v>8530000.0</v>
      </c>
    </row>
    <row r="17485">
      <c r="A17485" s="17">
        <v>5.015001E8</v>
      </c>
      <c r="B17485" s="17">
        <v>8530100.0</v>
      </c>
    </row>
    <row r="17486">
      <c r="A17486" s="17">
        <v>5.015001E8</v>
      </c>
      <c r="B17486" s="17">
        <v>8540000.0</v>
      </c>
    </row>
    <row r="17487">
      <c r="A17487" s="17">
        <v>5.015001E8</v>
      </c>
      <c r="B17487" s="17">
        <v>8600100.0</v>
      </c>
    </row>
    <row r="17488">
      <c r="A17488" s="17">
        <v>5.015001E8</v>
      </c>
      <c r="B17488" s="17">
        <v>8600101.0</v>
      </c>
    </row>
    <row r="17489">
      <c r="A17489" s="17">
        <v>5.015001E8</v>
      </c>
      <c r="B17489" s="17">
        <v>8600102.0</v>
      </c>
    </row>
    <row r="17490">
      <c r="A17490" s="17">
        <v>5.015001E8</v>
      </c>
      <c r="B17490" s="17">
        <v>8600200.0</v>
      </c>
    </row>
    <row r="17491">
      <c r="A17491" s="17">
        <v>5.015001E8</v>
      </c>
      <c r="B17491" s="17">
        <v>8600201.0</v>
      </c>
    </row>
    <row r="17492">
      <c r="A17492" s="17">
        <v>5.015001E8</v>
      </c>
      <c r="B17492" s="17">
        <v>8600202.0</v>
      </c>
    </row>
    <row r="17493">
      <c r="A17493" s="17">
        <v>5.015001E8</v>
      </c>
      <c r="B17493" s="17">
        <v>8610700.0</v>
      </c>
    </row>
    <row r="17494">
      <c r="A17494" s="17">
        <v>5.015001E8</v>
      </c>
      <c r="B17494" s="17">
        <v>8610710.0</v>
      </c>
    </row>
    <row r="17495">
      <c r="A17495" s="17">
        <v>5.015001E8</v>
      </c>
      <c r="B17495" s="17">
        <v>8610720.0</v>
      </c>
    </row>
    <row r="17496">
      <c r="A17496" s="17">
        <v>5.015001E8</v>
      </c>
      <c r="B17496" s="17">
        <v>8620000.0</v>
      </c>
    </row>
    <row r="17497">
      <c r="A17497" s="17">
        <v>5.015001E8</v>
      </c>
      <c r="B17497" s="17">
        <v>8620010.0</v>
      </c>
    </row>
    <row r="17498">
      <c r="A17498" s="17">
        <v>5.015001E8</v>
      </c>
      <c r="B17498" s="17">
        <v>8620020.0</v>
      </c>
    </row>
    <row r="17499">
      <c r="A17499" s="17">
        <v>5.015001E8</v>
      </c>
      <c r="B17499" s="17">
        <v>8620100.0</v>
      </c>
    </row>
    <row r="17500">
      <c r="A17500" s="17">
        <v>5.015001E8</v>
      </c>
      <c r="B17500" s="17">
        <v>8620110.0</v>
      </c>
    </row>
    <row r="17501">
      <c r="A17501" s="17">
        <v>5.015001E8</v>
      </c>
      <c r="B17501" s="17">
        <v>8620120.0</v>
      </c>
    </row>
    <row r="17502">
      <c r="A17502" s="17">
        <v>5.015001E8</v>
      </c>
      <c r="B17502" s="17">
        <v>8630000.0</v>
      </c>
    </row>
    <row r="17503">
      <c r="A17503" s="17">
        <v>5.015001E8</v>
      </c>
      <c r="B17503" s="17">
        <v>8630000.0</v>
      </c>
    </row>
    <row r="17504">
      <c r="A17504" s="17">
        <v>5.015001E8</v>
      </c>
      <c r="B17504" s="17">
        <v>8630000.0</v>
      </c>
    </row>
    <row r="17505">
      <c r="A17505" s="17">
        <v>5.015001E8</v>
      </c>
      <c r="B17505" s="17">
        <v>8630100.0</v>
      </c>
    </row>
    <row r="17506">
      <c r="A17506" s="17">
        <v>5.015001E8</v>
      </c>
      <c r="B17506" s="17">
        <v>8630100.0</v>
      </c>
    </row>
    <row r="17507">
      <c r="A17507" s="17">
        <v>5.015001E8</v>
      </c>
      <c r="B17507" s="17">
        <v>8630100.0</v>
      </c>
    </row>
    <row r="17508">
      <c r="A17508" s="17">
        <v>5.015001E8</v>
      </c>
      <c r="B17508" s="17">
        <v>8652000.0</v>
      </c>
    </row>
    <row r="17509">
      <c r="A17509" s="17">
        <v>5.015001E8</v>
      </c>
      <c r="B17509" s="17">
        <v>8652010.0</v>
      </c>
    </row>
    <row r="17510">
      <c r="A17510" s="17">
        <v>5.015001E8</v>
      </c>
      <c r="B17510" s="17">
        <v>8652020.0</v>
      </c>
    </row>
    <row r="17511">
      <c r="A17511" s="17">
        <v>5.015001E8</v>
      </c>
      <c r="B17511" s="17">
        <v>8652100.0</v>
      </c>
    </row>
    <row r="17512">
      <c r="A17512" s="17">
        <v>5.015001E8</v>
      </c>
      <c r="B17512" s="17">
        <v>8652110.0</v>
      </c>
    </row>
    <row r="17513">
      <c r="A17513" s="17">
        <v>5.015001E8</v>
      </c>
      <c r="B17513" s="17">
        <v>8652120.0</v>
      </c>
    </row>
    <row r="17514">
      <c r="A17514" s="17">
        <v>5.015001E8</v>
      </c>
      <c r="B17514" s="17">
        <v>8660000.0</v>
      </c>
    </row>
    <row r="17515">
      <c r="A17515" s="17">
        <v>5.015001E8</v>
      </c>
      <c r="B17515" s="17">
        <v>8660001.0</v>
      </c>
    </row>
    <row r="17516">
      <c r="A17516" s="17">
        <v>5.015001E8</v>
      </c>
      <c r="B17516" s="17">
        <v>8660002.0</v>
      </c>
    </row>
    <row r="17517">
      <c r="A17517" s="17">
        <v>5.015001E8</v>
      </c>
      <c r="B17517" s="17">
        <v>8660100.0</v>
      </c>
    </row>
    <row r="17518">
      <c r="A17518" s="17">
        <v>5.015001E8</v>
      </c>
      <c r="B17518" s="17">
        <v>8660101.0</v>
      </c>
    </row>
    <row r="17519">
      <c r="A17519" s="17">
        <v>5.015001E8</v>
      </c>
      <c r="B17519" s="17">
        <v>8660102.0</v>
      </c>
    </row>
    <row r="17520">
      <c r="A17520" s="17">
        <v>5.015001E8</v>
      </c>
      <c r="B17520" s="17">
        <v>8670000.0</v>
      </c>
    </row>
    <row r="17521">
      <c r="A17521" s="17">
        <v>5.015001E8</v>
      </c>
      <c r="B17521" s="17">
        <v>8670001.0</v>
      </c>
    </row>
    <row r="17522">
      <c r="A17522" s="17">
        <v>5.015001E8</v>
      </c>
      <c r="B17522" s="17">
        <v>8670002.0</v>
      </c>
    </row>
    <row r="17523">
      <c r="A17523" s="17">
        <v>5.015001E8</v>
      </c>
      <c r="B17523" s="17">
        <v>8670100.0</v>
      </c>
    </row>
    <row r="17524">
      <c r="A17524" s="17">
        <v>5.015001E8</v>
      </c>
      <c r="B17524" s="17">
        <v>8670101.0</v>
      </c>
    </row>
    <row r="17525">
      <c r="A17525" s="17">
        <v>5.015001E8</v>
      </c>
      <c r="B17525" s="17">
        <v>8670102.0</v>
      </c>
    </row>
    <row r="17526">
      <c r="A17526" s="17">
        <v>5.015001E8</v>
      </c>
      <c r="B17526" s="17">
        <v>8690000.0</v>
      </c>
    </row>
    <row r="17527">
      <c r="A17527" s="17">
        <v>5.015001E8</v>
      </c>
      <c r="B17527" s="17">
        <v>8690100.0</v>
      </c>
    </row>
    <row r="17528">
      <c r="A17528" s="17">
        <v>5.015001E8</v>
      </c>
      <c r="B17528" s="17">
        <v>8690200.0</v>
      </c>
    </row>
    <row r="17529">
      <c r="A17529" s="17">
        <v>5.015001E8</v>
      </c>
      <c r="B17529" s="17">
        <v>8690300.0</v>
      </c>
    </row>
    <row r="17530">
      <c r="A17530" s="17">
        <v>5.015001E8</v>
      </c>
      <c r="B17530" s="17">
        <v>8690400.0</v>
      </c>
    </row>
    <row r="17531">
      <c r="A17531" s="17">
        <v>5.015001E8</v>
      </c>
      <c r="B17531" s="17">
        <v>8320500.0</v>
      </c>
    </row>
    <row r="17532">
      <c r="A17532" s="17">
        <v>5.015001E8</v>
      </c>
      <c r="B17532" s="17">
        <v>8320510.0</v>
      </c>
    </row>
    <row r="17533">
      <c r="A17533" s="17">
        <v>5.015001E8</v>
      </c>
      <c r="B17533" s="17">
        <v>8320520.0</v>
      </c>
    </row>
    <row r="17534">
      <c r="A17534" s="17">
        <v>5.015001E8</v>
      </c>
      <c r="B17534" s="17">
        <v>8320600.0</v>
      </c>
    </row>
    <row r="17535">
      <c r="A17535" s="17">
        <v>5.015001E8</v>
      </c>
      <c r="B17535" s="17">
        <v>8320610.0</v>
      </c>
    </row>
    <row r="17536">
      <c r="A17536" s="17">
        <v>5.015001E8</v>
      </c>
      <c r="B17536" s="17">
        <v>8320620.0</v>
      </c>
    </row>
    <row r="17537">
      <c r="A17537" s="17">
        <v>5.015001E8</v>
      </c>
      <c r="B17537" s="17">
        <v>8320700.0</v>
      </c>
    </row>
    <row r="17538">
      <c r="A17538" s="17">
        <v>5.015001E8</v>
      </c>
      <c r="B17538" s="17">
        <v>8320710.0</v>
      </c>
    </row>
    <row r="17539">
      <c r="A17539" s="17">
        <v>5.015001E8</v>
      </c>
      <c r="B17539" s="17">
        <v>8320720.0</v>
      </c>
    </row>
    <row r="17540">
      <c r="A17540" s="17">
        <v>5.015002E8</v>
      </c>
      <c r="B17540" s="17">
        <v>0.0</v>
      </c>
    </row>
    <row r="17541">
      <c r="A17541" s="17">
        <v>5.015002E8</v>
      </c>
      <c r="B17541" s="17">
        <v>8100100.0</v>
      </c>
    </row>
    <row r="17542">
      <c r="A17542" s="17">
        <v>5.015002E8</v>
      </c>
      <c r="B17542" s="17">
        <v>8100101.0</v>
      </c>
    </row>
    <row r="17543">
      <c r="A17543" s="17">
        <v>5.015002E8</v>
      </c>
      <c r="B17543" s="17">
        <v>8100102.0</v>
      </c>
    </row>
    <row r="17544">
      <c r="A17544" s="17">
        <v>5.015002E8</v>
      </c>
      <c r="B17544" s="17">
        <v>8100200.0</v>
      </c>
    </row>
    <row r="17545">
      <c r="A17545" s="17">
        <v>5.015002E8</v>
      </c>
      <c r="B17545" s="17">
        <v>8100201.0</v>
      </c>
    </row>
    <row r="17546">
      <c r="A17546" s="17">
        <v>5.015002E8</v>
      </c>
      <c r="B17546" s="17">
        <v>8100202.0</v>
      </c>
    </row>
    <row r="17547">
      <c r="A17547" s="17">
        <v>5.015002E8</v>
      </c>
      <c r="B17547" s="17">
        <v>8100300.0</v>
      </c>
    </row>
    <row r="17548">
      <c r="A17548" s="17">
        <v>5.015002E8</v>
      </c>
      <c r="B17548" s="17">
        <v>8100301.0</v>
      </c>
    </row>
    <row r="17549">
      <c r="A17549" s="17">
        <v>5.015002E8</v>
      </c>
      <c r="B17549" s="17">
        <v>8100302.0</v>
      </c>
    </row>
    <row r="17550">
      <c r="A17550" s="17">
        <v>5.015002E8</v>
      </c>
      <c r="B17550" s="17">
        <v>8100400.0</v>
      </c>
    </row>
    <row r="17551">
      <c r="A17551" s="17">
        <v>5.015002E8</v>
      </c>
      <c r="B17551" s="17">
        <v>8100401.0</v>
      </c>
    </row>
    <row r="17552">
      <c r="A17552" s="17">
        <v>5.015002E8</v>
      </c>
      <c r="B17552" s="17">
        <v>8100402.0</v>
      </c>
    </row>
    <row r="17553">
      <c r="A17553" s="17">
        <v>5.015002E8</v>
      </c>
      <c r="B17553" s="17">
        <v>8130000.0</v>
      </c>
    </row>
    <row r="17554">
      <c r="A17554" s="17">
        <v>5.015002E8</v>
      </c>
      <c r="B17554" s="17">
        <v>8130001.0</v>
      </c>
    </row>
    <row r="17555">
      <c r="A17555" s="17">
        <v>5.015002E8</v>
      </c>
      <c r="B17555" s="17">
        <v>8130002.0</v>
      </c>
    </row>
    <row r="17556">
      <c r="A17556" s="17">
        <v>5.015002E8</v>
      </c>
      <c r="B17556" s="17">
        <v>8140000.0</v>
      </c>
    </row>
    <row r="17557">
      <c r="A17557" s="17">
        <v>5.015002E8</v>
      </c>
      <c r="B17557" s="17">
        <v>8140001.0</v>
      </c>
    </row>
    <row r="17558">
      <c r="A17558" s="17">
        <v>5.015002E8</v>
      </c>
      <c r="B17558" s="17">
        <v>8140002.0</v>
      </c>
    </row>
    <row r="17559">
      <c r="A17559" s="17">
        <v>5.015002E8</v>
      </c>
      <c r="B17559" s="17">
        <v>8200100.0</v>
      </c>
    </row>
    <row r="17560">
      <c r="A17560" s="17">
        <v>5.015002E8</v>
      </c>
      <c r="B17560" s="17">
        <v>8200101.0</v>
      </c>
    </row>
    <row r="17561">
      <c r="A17561" s="17">
        <v>5.015002E8</v>
      </c>
      <c r="B17561" s="17">
        <v>8200102.0</v>
      </c>
    </row>
    <row r="17562">
      <c r="A17562" s="17">
        <v>5.015002E8</v>
      </c>
      <c r="B17562" s="17">
        <v>8200200.0</v>
      </c>
    </row>
    <row r="17563">
      <c r="A17563" s="17">
        <v>5.015002E8</v>
      </c>
      <c r="B17563" s="17">
        <v>8200201.0</v>
      </c>
    </row>
    <row r="17564">
      <c r="A17564" s="17">
        <v>5.015002E8</v>
      </c>
      <c r="B17564" s="17">
        <v>8200202.0</v>
      </c>
    </row>
    <row r="17565">
      <c r="A17565" s="17">
        <v>5.015002E8</v>
      </c>
      <c r="B17565" s="17">
        <v>8200300.0</v>
      </c>
    </row>
    <row r="17566">
      <c r="A17566" s="17">
        <v>5.015002E8</v>
      </c>
      <c r="B17566" s="17">
        <v>8200301.0</v>
      </c>
    </row>
    <row r="17567">
      <c r="A17567" s="17">
        <v>5.015002E8</v>
      </c>
      <c r="B17567" s="17">
        <v>8200302.0</v>
      </c>
    </row>
    <row r="17568">
      <c r="A17568" s="17">
        <v>5.015002E8</v>
      </c>
      <c r="B17568" s="17">
        <v>8200400.0</v>
      </c>
    </row>
    <row r="17569">
      <c r="A17569" s="17">
        <v>5.015002E8</v>
      </c>
      <c r="B17569" s="17">
        <v>8200401.0</v>
      </c>
    </row>
    <row r="17570">
      <c r="A17570" s="17">
        <v>5.015002E8</v>
      </c>
      <c r="B17570" s="17">
        <v>8200402.0</v>
      </c>
    </row>
    <row r="17571">
      <c r="A17571" s="17">
        <v>5.015002E8</v>
      </c>
      <c r="B17571" s="17">
        <v>8210000.0</v>
      </c>
    </row>
    <row r="17572">
      <c r="A17572" s="17">
        <v>5.015002E8</v>
      </c>
      <c r="B17572" s="17">
        <v>8210001.0</v>
      </c>
    </row>
    <row r="17573">
      <c r="A17573" s="17">
        <v>5.015002E8</v>
      </c>
      <c r="B17573" s="17">
        <v>8210002.0</v>
      </c>
    </row>
    <row r="17574">
      <c r="A17574" s="17">
        <v>5.015002E8</v>
      </c>
      <c r="B17574" s="17">
        <v>8210100.0</v>
      </c>
    </row>
    <row r="17575">
      <c r="A17575" s="17">
        <v>5.015002E8</v>
      </c>
      <c r="B17575" s="17">
        <v>8210101.0</v>
      </c>
    </row>
    <row r="17576">
      <c r="A17576" s="17">
        <v>5.015002E8</v>
      </c>
      <c r="B17576" s="17">
        <v>8210102.0</v>
      </c>
    </row>
    <row r="17577">
      <c r="A17577" s="17">
        <v>5.015002E8</v>
      </c>
      <c r="B17577" s="17">
        <v>8210200.0</v>
      </c>
    </row>
    <row r="17578">
      <c r="A17578" s="17">
        <v>5.015002E8</v>
      </c>
      <c r="B17578" s="17">
        <v>8210201.0</v>
      </c>
    </row>
    <row r="17579">
      <c r="A17579" s="17">
        <v>5.015002E8</v>
      </c>
      <c r="B17579" s="17">
        <v>8210202.0</v>
      </c>
    </row>
    <row r="17580">
      <c r="A17580" s="17">
        <v>5.015002E8</v>
      </c>
      <c r="B17580" s="17">
        <v>8210300.0</v>
      </c>
    </row>
    <row r="17581">
      <c r="A17581" s="17">
        <v>5.015002E8</v>
      </c>
      <c r="B17581" s="17">
        <v>8210301.0</v>
      </c>
    </row>
    <row r="17582">
      <c r="A17582" s="17">
        <v>5.015002E8</v>
      </c>
      <c r="B17582" s="17">
        <v>8210302.0</v>
      </c>
    </row>
    <row r="17583">
      <c r="A17583" s="17">
        <v>5.015002E8</v>
      </c>
      <c r="B17583" s="17">
        <v>8210400.0</v>
      </c>
    </row>
    <row r="17584">
      <c r="A17584" s="17">
        <v>5.015002E8</v>
      </c>
      <c r="B17584" s="17">
        <v>8210401.0</v>
      </c>
    </row>
    <row r="17585">
      <c r="A17585" s="17">
        <v>5.015002E8</v>
      </c>
      <c r="B17585" s="17">
        <v>8210402.0</v>
      </c>
    </row>
    <row r="17586">
      <c r="A17586" s="17">
        <v>5.015002E8</v>
      </c>
      <c r="B17586" s="17">
        <v>8210500.0</v>
      </c>
    </row>
    <row r="17587">
      <c r="A17587" s="17">
        <v>5.015002E8</v>
      </c>
      <c r="B17587" s="17">
        <v>8210501.0</v>
      </c>
    </row>
    <row r="17588">
      <c r="A17588" s="17">
        <v>5.015002E8</v>
      </c>
      <c r="B17588" s="17">
        <v>8210502.0</v>
      </c>
    </row>
    <row r="17589">
      <c r="A17589" s="17">
        <v>5.015002E8</v>
      </c>
      <c r="B17589" s="17">
        <v>8210600.0</v>
      </c>
    </row>
    <row r="17590">
      <c r="A17590" s="17">
        <v>5.015002E8</v>
      </c>
      <c r="B17590" s="17">
        <v>8210601.0</v>
      </c>
    </row>
    <row r="17591">
      <c r="A17591" s="17">
        <v>5.015002E8</v>
      </c>
      <c r="B17591" s="17">
        <v>8210602.0</v>
      </c>
    </row>
    <row r="17592">
      <c r="A17592" s="17">
        <v>5.015002E8</v>
      </c>
      <c r="B17592" s="17">
        <v>8220000.0</v>
      </c>
    </row>
    <row r="17593">
      <c r="A17593" s="17">
        <v>5.015002E8</v>
      </c>
      <c r="B17593" s="17">
        <v>8220001.0</v>
      </c>
    </row>
    <row r="17594">
      <c r="A17594" s="17">
        <v>5.015002E8</v>
      </c>
      <c r="B17594" s="17">
        <v>8220002.0</v>
      </c>
    </row>
    <row r="17595">
      <c r="A17595" s="17">
        <v>5.015002E8</v>
      </c>
      <c r="B17595" s="17">
        <v>8300000.0</v>
      </c>
    </row>
    <row r="17596">
      <c r="A17596" s="17">
        <v>5.015002E8</v>
      </c>
      <c r="B17596" s="17">
        <v>8300001.0</v>
      </c>
    </row>
    <row r="17597">
      <c r="A17597" s="17">
        <v>5.015002E8</v>
      </c>
      <c r="B17597" s="17">
        <v>8300002.0</v>
      </c>
    </row>
    <row r="17598">
      <c r="A17598" s="17">
        <v>5.015002E8</v>
      </c>
      <c r="B17598" s="17">
        <v>8310000.0</v>
      </c>
    </row>
    <row r="17599">
      <c r="A17599" s="17">
        <v>5.015002E8</v>
      </c>
      <c r="B17599" s="17">
        <v>8310001.0</v>
      </c>
    </row>
    <row r="17600">
      <c r="A17600" s="17">
        <v>5.015002E8</v>
      </c>
      <c r="B17600" s="17">
        <v>8310002.0</v>
      </c>
    </row>
    <row r="17601">
      <c r="A17601" s="17">
        <v>5.015002E8</v>
      </c>
      <c r="B17601" s="17">
        <v>8320000.0</v>
      </c>
    </row>
    <row r="17602">
      <c r="A17602" s="17">
        <v>5.015002E8</v>
      </c>
      <c r="B17602" s="17">
        <v>8320001.0</v>
      </c>
    </row>
    <row r="17603">
      <c r="A17603" s="17">
        <v>5.015002E8</v>
      </c>
      <c r="B17603" s="17">
        <v>8320002.0</v>
      </c>
    </row>
    <row r="17604">
      <c r="A17604" s="17">
        <v>5.015002E8</v>
      </c>
      <c r="B17604" s="17">
        <v>8320100.0</v>
      </c>
    </row>
    <row r="17605">
      <c r="A17605" s="17">
        <v>5.015002E8</v>
      </c>
      <c r="B17605" s="17">
        <v>8320101.0</v>
      </c>
    </row>
    <row r="17606">
      <c r="A17606" s="17">
        <v>5.015002E8</v>
      </c>
      <c r="B17606" s="17">
        <v>8320102.0</v>
      </c>
    </row>
    <row r="17607">
      <c r="A17607" s="17">
        <v>5.015002E8</v>
      </c>
      <c r="B17607" s="17">
        <v>8320300.0</v>
      </c>
    </row>
    <row r="17608">
      <c r="A17608" s="17">
        <v>5.015002E8</v>
      </c>
      <c r="B17608" s="17">
        <v>8320301.0</v>
      </c>
    </row>
    <row r="17609">
      <c r="A17609" s="17">
        <v>5.015002E8</v>
      </c>
      <c r="B17609" s="17">
        <v>8320302.0</v>
      </c>
    </row>
    <row r="17610">
      <c r="A17610" s="17">
        <v>5.015002E8</v>
      </c>
      <c r="B17610" s="17">
        <v>8320400.0</v>
      </c>
    </row>
    <row r="17611">
      <c r="A17611" s="17">
        <v>5.015002E8</v>
      </c>
      <c r="B17611" s="17">
        <v>8320410.0</v>
      </c>
    </row>
    <row r="17612">
      <c r="A17612" s="17">
        <v>5.015002E8</v>
      </c>
      <c r="B17612" s="17">
        <v>8320420.0</v>
      </c>
    </row>
    <row r="17613">
      <c r="A17613" s="17">
        <v>5.015002E8</v>
      </c>
      <c r="B17613" s="17">
        <v>8330000.0</v>
      </c>
    </row>
    <row r="17614">
      <c r="A17614" s="17">
        <v>5.015002E8</v>
      </c>
      <c r="B17614" s="17">
        <v>8330001.0</v>
      </c>
    </row>
    <row r="17615">
      <c r="A17615" s="17">
        <v>5.015002E8</v>
      </c>
      <c r="B17615" s="17">
        <v>8330002.0</v>
      </c>
    </row>
    <row r="17616">
      <c r="A17616" s="17">
        <v>5.015002E8</v>
      </c>
      <c r="B17616" s="17">
        <v>8330100.0</v>
      </c>
    </row>
    <row r="17617">
      <c r="A17617" s="17">
        <v>5.015002E8</v>
      </c>
      <c r="B17617" s="17">
        <v>8330101.0</v>
      </c>
    </row>
    <row r="17618">
      <c r="A17618" s="17">
        <v>5.015002E8</v>
      </c>
      <c r="B17618" s="17">
        <v>8330102.0</v>
      </c>
    </row>
    <row r="17619">
      <c r="A17619" s="17">
        <v>5.015002E8</v>
      </c>
      <c r="B17619" s="17">
        <v>8330200.0</v>
      </c>
    </row>
    <row r="17620">
      <c r="A17620" s="17">
        <v>5.015002E8</v>
      </c>
      <c r="B17620" s="17">
        <v>8330201.0</v>
      </c>
    </row>
    <row r="17621">
      <c r="A17621" s="17">
        <v>5.015002E8</v>
      </c>
      <c r="B17621" s="17">
        <v>8330202.0</v>
      </c>
    </row>
    <row r="17622">
      <c r="A17622" s="17">
        <v>5.015002E8</v>
      </c>
      <c r="B17622" s="17">
        <v>8330300.0</v>
      </c>
    </row>
    <row r="17623">
      <c r="A17623" s="17">
        <v>5.015002E8</v>
      </c>
      <c r="B17623" s="17">
        <v>8330301.0</v>
      </c>
    </row>
    <row r="17624">
      <c r="A17624" s="17">
        <v>5.015002E8</v>
      </c>
      <c r="B17624" s="17">
        <v>8330302.0</v>
      </c>
    </row>
    <row r="17625">
      <c r="A17625" s="17">
        <v>5.015002E8</v>
      </c>
      <c r="B17625" s="17">
        <v>8330400.0</v>
      </c>
    </row>
    <row r="17626">
      <c r="A17626" s="17">
        <v>5.015002E8</v>
      </c>
      <c r="B17626" s="17">
        <v>8330401.0</v>
      </c>
    </row>
    <row r="17627">
      <c r="A17627" s="17">
        <v>5.015002E8</v>
      </c>
      <c r="B17627" s="17">
        <v>8330600.0</v>
      </c>
    </row>
    <row r="17628">
      <c r="A17628" s="17">
        <v>5.015002E8</v>
      </c>
      <c r="B17628" s="17">
        <v>8330601.0</v>
      </c>
    </row>
    <row r="17629">
      <c r="A17629" s="17">
        <v>5.015002E8</v>
      </c>
      <c r="B17629" s="17">
        <v>8330602.0</v>
      </c>
    </row>
    <row r="17630">
      <c r="A17630" s="17">
        <v>5.015002E8</v>
      </c>
      <c r="B17630" s="17">
        <v>8330900.0</v>
      </c>
    </row>
    <row r="17631">
      <c r="A17631" s="17">
        <v>5.015002E8</v>
      </c>
      <c r="B17631" s="17">
        <v>8330910.0</v>
      </c>
    </row>
    <row r="17632">
      <c r="A17632" s="17">
        <v>5.015002E8</v>
      </c>
      <c r="B17632" s="17">
        <v>8330920.0</v>
      </c>
    </row>
    <row r="17633">
      <c r="A17633" s="17">
        <v>5.015002E8</v>
      </c>
      <c r="B17633" s="17">
        <v>8340000.0</v>
      </c>
    </row>
    <row r="17634">
      <c r="A17634" s="17">
        <v>5.015002E8</v>
      </c>
      <c r="B17634" s="17">
        <v>8340001.0</v>
      </c>
    </row>
    <row r="17635">
      <c r="A17635" s="17">
        <v>5.015002E8</v>
      </c>
      <c r="B17635" s="17">
        <v>8340002.0</v>
      </c>
    </row>
    <row r="17636">
      <c r="A17636" s="17">
        <v>5.015002E8</v>
      </c>
      <c r="B17636" s="17">
        <v>8340100.0</v>
      </c>
    </row>
    <row r="17637">
      <c r="A17637" s="17">
        <v>5.015002E8</v>
      </c>
      <c r="B17637" s="17">
        <v>8340101.0</v>
      </c>
    </row>
    <row r="17638">
      <c r="A17638" s="17">
        <v>5.015002E8</v>
      </c>
      <c r="B17638" s="17">
        <v>8340102.0</v>
      </c>
    </row>
    <row r="17639">
      <c r="A17639" s="17">
        <v>5.015002E8</v>
      </c>
      <c r="B17639" s="17">
        <v>8350000.0</v>
      </c>
    </row>
    <row r="17640">
      <c r="A17640" s="17">
        <v>5.015002E8</v>
      </c>
      <c r="B17640" s="17">
        <v>8350001.0</v>
      </c>
    </row>
    <row r="17641">
      <c r="A17641" s="17">
        <v>5.015002E8</v>
      </c>
      <c r="B17641" s="17">
        <v>8350002.0</v>
      </c>
    </row>
    <row r="17642">
      <c r="A17642" s="17">
        <v>5.015002E8</v>
      </c>
      <c r="B17642" s="17">
        <v>8350200.0</v>
      </c>
    </row>
    <row r="17643">
      <c r="A17643" s="17">
        <v>5.015002E8</v>
      </c>
      <c r="B17643" s="17">
        <v>8350201.0</v>
      </c>
    </row>
    <row r="17644">
      <c r="A17644" s="17">
        <v>5.015002E8</v>
      </c>
      <c r="B17644" s="17">
        <v>8350202.0</v>
      </c>
    </row>
    <row r="17645">
      <c r="A17645" s="17">
        <v>5.015002E8</v>
      </c>
      <c r="B17645" s="17">
        <v>8420000.0</v>
      </c>
    </row>
    <row r="17646">
      <c r="A17646" s="17">
        <v>5.015002E8</v>
      </c>
      <c r="B17646" s="17">
        <v>8420001.0</v>
      </c>
    </row>
    <row r="17647">
      <c r="A17647" s="17">
        <v>5.015002E8</v>
      </c>
      <c r="B17647" s="17">
        <v>8420002.0</v>
      </c>
    </row>
    <row r="17648">
      <c r="A17648" s="17">
        <v>5.015002E8</v>
      </c>
      <c r="B17648" s="17">
        <v>8450000.0</v>
      </c>
    </row>
    <row r="17649">
      <c r="A17649" s="17">
        <v>5.015002E8</v>
      </c>
      <c r="B17649" s="17">
        <v>8460100.0</v>
      </c>
    </row>
    <row r="17650">
      <c r="A17650" s="17">
        <v>5.015002E8</v>
      </c>
      <c r="B17650" s="17">
        <v>8460300.0</v>
      </c>
    </row>
    <row r="17651">
      <c r="A17651" s="17">
        <v>5.015002E8</v>
      </c>
      <c r="B17651" s="17">
        <v>8460500.0</v>
      </c>
    </row>
    <row r="17652">
      <c r="A17652" s="17">
        <v>5.015002E8</v>
      </c>
      <c r="B17652" s="17">
        <v>8510000.0</v>
      </c>
    </row>
    <row r="17653">
      <c r="A17653" s="17">
        <v>5.015002E8</v>
      </c>
      <c r="B17653" s="17">
        <v>8510001.0</v>
      </c>
    </row>
    <row r="17654">
      <c r="A17654" s="17">
        <v>5.015002E8</v>
      </c>
      <c r="B17654" s="17">
        <v>8510002.0</v>
      </c>
    </row>
    <row r="17655">
      <c r="A17655" s="17">
        <v>5.015002E8</v>
      </c>
      <c r="B17655" s="17">
        <v>8520000.0</v>
      </c>
    </row>
    <row r="17656">
      <c r="A17656" s="17">
        <v>5.015002E8</v>
      </c>
      <c r="B17656" s="17">
        <v>8520001.0</v>
      </c>
    </row>
    <row r="17657">
      <c r="A17657" s="17">
        <v>5.015002E8</v>
      </c>
      <c r="B17657" s="17">
        <v>8520002.0</v>
      </c>
    </row>
    <row r="17658">
      <c r="A17658" s="17">
        <v>5.015002E8</v>
      </c>
      <c r="B17658" s="17">
        <v>8530000.0</v>
      </c>
    </row>
    <row r="17659">
      <c r="A17659" s="17">
        <v>5.015002E8</v>
      </c>
      <c r="B17659" s="17">
        <v>8530100.0</v>
      </c>
    </row>
    <row r="17660">
      <c r="A17660" s="17">
        <v>5.015002E8</v>
      </c>
      <c r="B17660" s="17">
        <v>8540000.0</v>
      </c>
    </row>
    <row r="17661">
      <c r="A17661" s="17">
        <v>5.015002E8</v>
      </c>
      <c r="B17661" s="17">
        <v>8600100.0</v>
      </c>
    </row>
    <row r="17662">
      <c r="A17662" s="17">
        <v>5.015002E8</v>
      </c>
      <c r="B17662" s="17">
        <v>8600101.0</v>
      </c>
    </row>
    <row r="17663">
      <c r="A17663" s="17">
        <v>5.015002E8</v>
      </c>
      <c r="B17663" s="17">
        <v>8600102.0</v>
      </c>
    </row>
    <row r="17664">
      <c r="A17664" s="17">
        <v>5.015002E8</v>
      </c>
      <c r="B17664" s="17">
        <v>8600200.0</v>
      </c>
    </row>
    <row r="17665">
      <c r="A17665" s="17">
        <v>5.015002E8</v>
      </c>
      <c r="B17665" s="17">
        <v>8600201.0</v>
      </c>
    </row>
    <row r="17666">
      <c r="A17666" s="17">
        <v>5.015002E8</v>
      </c>
      <c r="B17666" s="17">
        <v>8600202.0</v>
      </c>
    </row>
    <row r="17667">
      <c r="A17667" s="17">
        <v>5.015002E8</v>
      </c>
      <c r="B17667" s="17">
        <v>8610700.0</v>
      </c>
    </row>
    <row r="17668">
      <c r="A17668" s="17">
        <v>5.015002E8</v>
      </c>
      <c r="B17668" s="17">
        <v>8610710.0</v>
      </c>
    </row>
    <row r="17669">
      <c r="A17669" s="17">
        <v>5.015002E8</v>
      </c>
      <c r="B17669" s="17">
        <v>8610720.0</v>
      </c>
    </row>
    <row r="17670">
      <c r="A17670" s="17">
        <v>5.015002E8</v>
      </c>
      <c r="B17670" s="17">
        <v>8620000.0</v>
      </c>
    </row>
    <row r="17671">
      <c r="A17671" s="17">
        <v>5.015002E8</v>
      </c>
      <c r="B17671" s="17">
        <v>8620010.0</v>
      </c>
    </row>
    <row r="17672">
      <c r="A17672" s="17">
        <v>5.015002E8</v>
      </c>
      <c r="B17672" s="17">
        <v>8620020.0</v>
      </c>
    </row>
    <row r="17673">
      <c r="A17673" s="17">
        <v>5.015002E8</v>
      </c>
      <c r="B17673" s="17">
        <v>8620100.0</v>
      </c>
    </row>
    <row r="17674">
      <c r="A17674" s="17">
        <v>5.015002E8</v>
      </c>
      <c r="B17674" s="17">
        <v>8620110.0</v>
      </c>
    </row>
    <row r="17675">
      <c r="A17675" s="17">
        <v>5.015002E8</v>
      </c>
      <c r="B17675" s="17">
        <v>8620120.0</v>
      </c>
    </row>
    <row r="17676">
      <c r="A17676" s="17">
        <v>5.015002E8</v>
      </c>
      <c r="B17676" s="17">
        <v>8630000.0</v>
      </c>
    </row>
    <row r="17677">
      <c r="A17677" s="17">
        <v>5.015002E8</v>
      </c>
      <c r="B17677" s="17">
        <v>8630000.0</v>
      </c>
    </row>
    <row r="17678">
      <c r="A17678" s="17">
        <v>5.015002E8</v>
      </c>
      <c r="B17678" s="17">
        <v>8630000.0</v>
      </c>
    </row>
    <row r="17679">
      <c r="A17679" s="17">
        <v>5.015002E8</v>
      </c>
      <c r="B17679" s="17">
        <v>8630100.0</v>
      </c>
    </row>
    <row r="17680">
      <c r="A17680" s="17">
        <v>5.015002E8</v>
      </c>
      <c r="B17680" s="17">
        <v>8630100.0</v>
      </c>
    </row>
    <row r="17681">
      <c r="A17681" s="17">
        <v>5.015002E8</v>
      </c>
      <c r="B17681" s="17">
        <v>8630100.0</v>
      </c>
    </row>
    <row r="17682">
      <c r="A17682" s="17">
        <v>5.015002E8</v>
      </c>
      <c r="B17682" s="17">
        <v>8652000.0</v>
      </c>
    </row>
    <row r="17683">
      <c r="A17683" s="17">
        <v>5.015002E8</v>
      </c>
      <c r="B17683" s="17">
        <v>8652010.0</v>
      </c>
    </row>
    <row r="17684">
      <c r="A17684" s="17">
        <v>5.015002E8</v>
      </c>
      <c r="B17684" s="17">
        <v>8652020.0</v>
      </c>
    </row>
    <row r="17685">
      <c r="A17685" s="17">
        <v>5.015002E8</v>
      </c>
      <c r="B17685" s="17">
        <v>8652100.0</v>
      </c>
    </row>
    <row r="17686">
      <c r="A17686" s="17">
        <v>5.015002E8</v>
      </c>
      <c r="B17686" s="17">
        <v>8652110.0</v>
      </c>
    </row>
    <row r="17687">
      <c r="A17687" s="17">
        <v>5.015002E8</v>
      </c>
      <c r="B17687" s="17">
        <v>8652120.0</v>
      </c>
    </row>
    <row r="17688">
      <c r="A17688" s="17">
        <v>5.015002E8</v>
      </c>
      <c r="B17688" s="17">
        <v>8660000.0</v>
      </c>
    </row>
    <row r="17689">
      <c r="A17689" s="17">
        <v>5.015002E8</v>
      </c>
      <c r="B17689" s="17">
        <v>8660001.0</v>
      </c>
    </row>
    <row r="17690">
      <c r="A17690" s="17">
        <v>5.015002E8</v>
      </c>
      <c r="B17690" s="17">
        <v>8660002.0</v>
      </c>
    </row>
    <row r="17691">
      <c r="A17691" s="17">
        <v>5.015002E8</v>
      </c>
      <c r="B17691" s="17">
        <v>8660100.0</v>
      </c>
    </row>
    <row r="17692">
      <c r="A17692" s="17">
        <v>5.015002E8</v>
      </c>
      <c r="B17692" s="17">
        <v>8660101.0</v>
      </c>
    </row>
    <row r="17693">
      <c r="A17693" s="17">
        <v>5.015002E8</v>
      </c>
      <c r="B17693" s="17">
        <v>8660102.0</v>
      </c>
    </row>
    <row r="17694">
      <c r="A17694" s="17">
        <v>5.015002E8</v>
      </c>
      <c r="B17694" s="17">
        <v>8670000.0</v>
      </c>
    </row>
    <row r="17695">
      <c r="A17695" s="17">
        <v>5.015002E8</v>
      </c>
      <c r="B17695" s="17">
        <v>8670001.0</v>
      </c>
    </row>
    <row r="17696">
      <c r="A17696" s="17">
        <v>5.015002E8</v>
      </c>
      <c r="B17696" s="17">
        <v>8670002.0</v>
      </c>
    </row>
    <row r="17697">
      <c r="A17697" s="17">
        <v>5.015002E8</v>
      </c>
      <c r="B17697" s="17">
        <v>8670100.0</v>
      </c>
    </row>
    <row r="17698">
      <c r="A17698" s="17">
        <v>5.015002E8</v>
      </c>
      <c r="B17698" s="17">
        <v>8670101.0</v>
      </c>
    </row>
    <row r="17699">
      <c r="A17699" s="17">
        <v>5.015002E8</v>
      </c>
      <c r="B17699" s="17">
        <v>8670102.0</v>
      </c>
    </row>
    <row r="17700">
      <c r="A17700" s="17">
        <v>5.015002E8</v>
      </c>
      <c r="B17700" s="17">
        <v>8690000.0</v>
      </c>
    </row>
    <row r="17701">
      <c r="A17701" s="17">
        <v>5.015002E8</v>
      </c>
      <c r="B17701" s="17">
        <v>8690100.0</v>
      </c>
    </row>
    <row r="17702">
      <c r="A17702" s="17">
        <v>5.015002E8</v>
      </c>
      <c r="B17702" s="17">
        <v>8690200.0</v>
      </c>
    </row>
    <row r="17703">
      <c r="A17703" s="17">
        <v>5.015002E8</v>
      </c>
      <c r="B17703" s="17">
        <v>8690300.0</v>
      </c>
    </row>
    <row r="17704">
      <c r="A17704" s="17">
        <v>5.015002E8</v>
      </c>
      <c r="B17704" s="17">
        <v>8690400.0</v>
      </c>
    </row>
    <row r="17705">
      <c r="A17705" s="17">
        <v>5.015002E8</v>
      </c>
      <c r="B17705" s="17">
        <v>8320500.0</v>
      </c>
    </row>
    <row r="17706">
      <c r="A17706" s="17">
        <v>5.015002E8</v>
      </c>
      <c r="B17706" s="17">
        <v>8320510.0</v>
      </c>
    </row>
    <row r="17707">
      <c r="A17707" s="17">
        <v>5.015002E8</v>
      </c>
      <c r="B17707" s="17">
        <v>8320520.0</v>
      </c>
    </row>
    <row r="17708">
      <c r="A17708" s="17">
        <v>5.015002E8</v>
      </c>
      <c r="B17708" s="17">
        <v>8320600.0</v>
      </c>
    </row>
    <row r="17709">
      <c r="A17709" s="17">
        <v>5.015002E8</v>
      </c>
      <c r="B17709" s="17">
        <v>8320610.0</v>
      </c>
    </row>
    <row r="17710">
      <c r="A17710" s="17">
        <v>5.015002E8</v>
      </c>
      <c r="B17710" s="17">
        <v>8320620.0</v>
      </c>
    </row>
    <row r="17711">
      <c r="A17711" s="17">
        <v>5.015002E8</v>
      </c>
      <c r="B17711" s="17">
        <v>8320700.0</v>
      </c>
    </row>
    <row r="17712">
      <c r="A17712" s="17">
        <v>5.015002E8</v>
      </c>
      <c r="B17712" s="17">
        <v>8320710.0</v>
      </c>
    </row>
    <row r="17713">
      <c r="A17713" s="17">
        <v>5.015002E8</v>
      </c>
      <c r="B17713" s="17">
        <v>8320720.0</v>
      </c>
    </row>
    <row r="17714">
      <c r="A17714" s="17">
        <v>5.016E8</v>
      </c>
      <c r="B17714" s="17">
        <v>0.0</v>
      </c>
    </row>
    <row r="17715">
      <c r="A17715" s="17">
        <v>5.016E8</v>
      </c>
      <c r="B17715" s="17">
        <v>8100100.0</v>
      </c>
    </row>
    <row r="17716">
      <c r="A17716" s="17">
        <v>5.016E8</v>
      </c>
      <c r="B17716" s="17">
        <v>8100101.0</v>
      </c>
    </row>
    <row r="17717">
      <c r="A17717" s="17">
        <v>5.016E8</v>
      </c>
      <c r="B17717" s="17">
        <v>8100102.0</v>
      </c>
    </row>
    <row r="17718">
      <c r="A17718" s="17">
        <v>5.016E8</v>
      </c>
      <c r="B17718" s="17">
        <v>8100200.0</v>
      </c>
    </row>
    <row r="17719">
      <c r="A17719" s="17">
        <v>5.016E8</v>
      </c>
      <c r="B17719" s="17">
        <v>8100201.0</v>
      </c>
    </row>
    <row r="17720">
      <c r="A17720" s="17">
        <v>5.016E8</v>
      </c>
      <c r="B17720" s="17">
        <v>8100202.0</v>
      </c>
    </row>
    <row r="17721">
      <c r="A17721" s="17">
        <v>5.016E8</v>
      </c>
      <c r="B17721" s="17">
        <v>8100300.0</v>
      </c>
    </row>
    <row r="17722">
      <c r="A17722" s="17">
        <v>5.016E8</v>
      </c>
      <c r="B17722" s="17">
        <v>8100301.0</v>
      </c>
    </row>
    <row r="17723">
      <c r="A17723" s="17">
        <v>5.016E8</v>
      </c>
      <c r="B17723" s="17">
        <v>8100302.0</v>
      </c>
    </row>
    <row r="17724">
      <c r="A17724" s="17">
        <v>5.016E8</v>
      </c>
      <c r="B17724" s="17">
        <v>8100400.0</v>
      </c>
    </row>
    <row r="17725">
      <c r="A17725" s="17">
        <v>5.016E8</v>
      </c>
      <c r="B17725" s="17">
        <v>8100401.0</v>
      </c>
    </row>
    <row r="17726">
      <c r="A17726" s="17">
        <v>5.016E8</v>
      </c>
      <c r="B17726" s="17">
        <v>8100402.0</v>
      </c>
    </row>
    <row r="17727">
      <c r="A17727" s="17">
        <v>5.016E8</v>
      </c>
      <c r="B17727" s="17">
        <v>8130000.0</v>
      </c>
    </row>
    <row r="17728">
      <c r="A17728" s="17">
        <v>5.016E8</v>
      </c>
      <c r="B17728" s="17">
        <v>8130001.0</v>
      </c>
    </row>
    <row r="17729">
      <c r="A17729" s="17">
        <v>5.016E8</v>
      </c>
      <c r="B17729" s="17">
        <v>8130002.0</v>
      </c>
    </row>
    <row r="17730">
      <c r="A17730" s="17">
        <v>5.016E8</v>
      </c>
      <c r="B17730" s="17">
        <v>8140000.0</v>
      </c>
    </row>
    <row r="17731">
      <c r="A17731" s="17">
        <v>5.016E8</v>
      </c>
      <c r="B17731" s="17">
        <v>8140001.0</v>
      </c>
    </row>
    <row r="17732">
      <c r="A17732" s="17">
        <v>5.016E8</v>
      </c>
      <c r="B17732" s="17">
        <v>8140002.0</v>
      </c>
    </row>
    <row r="17733">
      <c r="A17733" s="17">
        <v>5.016E8</v>
      </c>
      <c r="B17733" s="17">
        <v>8200100.0</v>
      </c>
    </row>
    <row r="17734">
      <c r="A17734" s="17">
        <v>5.016E8</v>
      </c>
      <c r="B17734" s="17">
        <v>8200101.0</v>
      </c>
    </row>
    <row r="17735">
      <c r="A17735" s="17">
        <v>5.016E8</v>
      </c>
      <c r="B17735" s="17">
        <v>8200102.0</v>
      </c>
    </row>
    <row r="17736">
      <c r="A17736" s="17">
        <v>5.016E8</v>
      </c>
      <c r="B17736" s="17">
        <v>8200200.0</v>
      </c>
    </row>
    <row r="17737">
      <c r="A17737" s="17">
        <v>5.016E8</v>
      </c>
      <c r="B17737" s="17">
        <v>8200201.0</v>
      </c>
    </row>
    <row r="17738">
      <c r="A17738" s="17">
        <v>5.016E8</v>
      </c>
      <c r="B17738" s="17">
        <v>8200202.0</v>
      </c>
    </row>
    <row r="17739">
      <c r="A17739" s="17">
        <v>5.016E8</v>
      </c>
      <c r="B17739" s="17">
        <v>8200300.0</v>
      </c>
    </row>
    <row r="17740">
      <c r="A17740" s="17">
        <v>5.016E8</v>
      </c>
      <c r="B17740" s="17">
        <v>8200301.0</v>
      </c>
    </row>
    <row r="17741">
      <c r="A17741" s="17">
        <v>5.016E8</v>
      </c>
      <c r="B17741" s="17">
        <v>8200302.0</v>
      </c>
    </row>
    <row r="17742">
      <c r="A17742" s="17">
        <v>5.016E8</v>
      </c>
      <c r="B17742" s="17">
        <v>8200400.0</v>
      </c>
    </row>
    <row r="17743">
      <c r="A17743" s="17">
        <v>5.016E8</v>
      </c>
      <c r="B17743" s="17">
        <v>8200401.0</v>
      </c>
    </row>
    <row r="17744">
      <c r="A17744" s="17">
        <v>5.016E8</v>
      </c>
      <c r="B17744" s="17">
        <v>8200402.0</v>
      </c>
    </row>
    <row r="17745">
      <c r="A17745" s="17">
        <v>5.016E8</v>
      </c>
      <c r="B17745" s="17">
        <v>8210000.0</v>
      </c>
    </row>
    <row r="17746">
      <c r="A17746" s="17">
        <v>5.016E8</v>
      </c>
      <c r="B17746" s="17">
        <v>8210001.0</v>
      </c>
    </row>
    <row r="17747">
      <c r="A17747" s="17">
        <v>5.016E8</v>
      </c>
      <c r="B17747" s="17">
        <v>8210002.0</v>
      </c>
    </row>
    <row r="17748">
      <c r="A17748" s="17">
        <v>5.016E8</v>
      </c>
      <c r="B17748" s="17">
        <v>8210100.0</v>
      </c>
    </row>
    <row r="17749">
      <c r="A17749" s="17">
        <v>5.016E8</v>
      </c>
      <c r="B17749" s="17">
        <v>8210101.0</v>
      </c>
    </row>
    <row r="17750">
      <c r="A17750" s="17">
        <v>5.016E8</v>
      </c>
      <c r="B17750" s="17">
        <v>8210102.0</v>
      </c>
    </row>
    <row r="17751">
      <c r="A17751" s="17">
        <v>5.016E8</v>
      </c>
      <c r="B17751" s="17">
        <v>8210200.0</v>
      </c>
    </row>
    <row r="17752">
      <c r="A17752" s="17">
        <v>5.016E8</v>
      </c>
      <c r="B17752" s="17">
        <v>8210201.0</v>
      </c>
    </row>
    <row r="17753">
      <c r="A17753" s="17">
        <v>5.016E8</v>
      </c>
      <c r="B17753" s="17">
        <v>8210202.0</v>
      </c>
    </row>
    <row r="17754">
      <c r="A17754" s="17">
        <v>5.016E8</v>
      </c>
      <c r="B17754" s="17">
        <v>8210300.0</v>
      </c>
    </row>
    <row r="17755">
      <c r="A17755" s="17">
        <v>5.016E8</v>
      </c>
      <c r="B17755" s="17">
        <v>8210301.0</v>
      </c>
    </row>
    <row r="17756">
      <c r="A17756" s="17">
        <v>5.016E8</v>
      </c>
      <c r="B17756" s="17">
        <v>8210302.0</v>
      </c>
    </row>
    <row r="17757">
      <c r="A17757" s="17">
        <v>5.016E8</v>
      </c>
      <c r="B17757" s="17">
        <v>8210400.0</v>
      </c>
    </row>
    <row r="17758">
      <c r="A17758" s="17">
        <v>5.016E8</v>
      </c>
      <c r="B17758" s="17">
        <v>8210401.0</v>
      </c>
    </row>
    <row r="17759">
      <c r="A17759" s="17">
        <v>5.016E8</v>
      </c>
      <c r="B17759" s="17">
        <v>8210402.0</v>
      </c>
    </row>
    <row r="17760">
      <c r="A17760" s="17">
        <v>5.016E8</v>
      </c>
      <c r="B17760" s="17">
        <v>8210500.0</v>
      </c>
    </row>
    <row r="17761">
      <c r="A17761" s="17">
        <v>5.016E8</v>
      </c>
      <c r="B17761" s="17">
        <v>8210501.0</v>
      </c>
    </row>
    <row r="17762">
      <c r="A17762" s="17">
        <v>5.016E8</v>
      </c>
      <c r="B17762" s="17">
        <v>8210502.0</v>
      </c>
    </row>
    <row r="17763">
      <c r="A17763" s="17">
        <v>5.016E8</v>
      </c>
      <c r="B17763" s="17">
        <v>8210600.0</v>
      </c>
    </row>
    <row r="17764">
      <c r="A17764" s="17">
        <v>5.016E8</v>
      </c>
      <c r="B17764" s="17">
        <v>8210601.0</v>
      </c>
    </row>
    <row r="17765">
      <c r="A17765" s="17">
        <v>5.016E8</v>
      </c>
      <c r="B17765" s="17">
        <v>8210602.0</v>
      </c>
    </row>
    <row r="17766">
      <c r="A17766" s="17">
        <v>5.016E8</v>
      </c>
      <c r="B17766" s="17">
        <v>8220000.0</v>
      </c>
    </row>
    <row r="17767">
      <c r="A17767" s="17">
        <v>5.016E8</v>
      </c>
      <c r="B17767" s="17">
        <v>8220001.0</v>
      </c>
    </row>
    <row r="17768">
      <c r="A17768" s="17">
        <v>5.016E8</v>
      </c>
      <c r="B17768" s="17">
        <v>8220002.0</v>
      </c>
    </row>
    <row r="17769">
      <c r="A17769" s="17">
        <v>5.016E8</v>
      </c>
      <c r="B17769" s="17">
        <v>8300000.0</v>
      </c>
    </row>
    <row r="17770">
      <c r="A17770" s="17">
        <v>5.016E8</v>
      </c>
      <c r="B17770" s="17">
        <v>8300001.0</v>
      </c>
    </row>
    <row r="17771">
      <c r="A17771" s="17">
        <v>5.016E8</v>
      </c>
      <c r="B17771" s="17">
        <v>8300002.0</v>
      </c>
    </row>
    <row r="17772">
      <c r="A17772" s="17">
        <v>5.016E8</v>
      </c>
      <c r="B17772" s="17">
        <v>8310000.0</v>
      </c>
    </row>
    <row r="17773">
      <c r="A17773" s="17">
        <v>5.016E8</v>
      </c>
      <c r="B17773" s="17">
        <v>8310001.0</v>
      </c>
    </row>
    <row r="17774">
      <c r="A17774" s="17">
        <v>5.016E8</v>
      </c>
      <c r="B17774" s="17">
        <v>8310002.0</v>
      </c>
    </row>
    <row r="17775">
      <c r="A17775" s="17">
        <v>5.016E8</v>
      </c>
      <c r="B17775" s="17">
        <v>8320000.0</v>
      </c>
    </row>
    <row r="17776">
      <c r="A17776" s="17">
        <v>5.016E8</v>
      </c>
      <c r="B17776" s="17">
        <v>8320001.0</v>
      </c>
    </row>
    <row r="17777">
      <c r="A17777" s="17">
        <v>5.016E8</v>
      </c>
      <c r="B17777" s="17">
        <v>8320002.0</v>
      </c>
    </row>
    <row r="17778">
      <c r="A17778" s="17">
        <v>5.016E8</v>
      </c>
      <c r="B17778" s="17">
        <v>8320100.0</v>
      </c>
    </row>
    <row r="17779">
      <c r="A17779" s="17">
        <v>5.016E8</v>
      </c>
      <c r="B17779" s="17">
        <v>8320101.0</v>
      </c>
    </row>
    <row r="17780">
      <c r="A17780" s="17">
        <v>5.016E8</v>
      </c>
      <c r="B17780" s="17">
        <v>8320102.0</v>
      </c>
    </row>
    <row r="17781">
      <c r="A17781" s="17">
        <v>5.016E8</v>
      </c>
      <c r="B17781" s="17">
        <v>8320300.0</v>
      </c>
    </row>
    <row r="17782">
      <c r="A17782" s="17">
        <v>5.016E8</v>
      </c>
      <c r="B17782" s="17">
        <v>8320301.0</v>
      </c>
    </row>
    <row r="17783">
      <c r="A17783" s="17">
        <v>5.016E8</v>
      </c>
      <c r="B17783" s="17">
        <v>8320302.0</v>
      </c>
    </row>
    <row r="17784">
      <c r="A17784" s="17">
        <v>5.016E8</v>
      </c>
      <c r="B17784" s="17">
        <v>8320400.0</v>
      </c>
    </row>
    <row r="17785">
      <c r="A17785" s="17">
        <v>5.016E8</v>
      </c>
      <c r="B17785" s="17">
        <v>8320410.0</v>
      </c>
    </row>
    <row r="17786">
      <c r="A17786" s="17">
        <v>5.016E8</v>
      </c>
      <c r="B17786" s="17">
        <v>8320420.0</v>
      </c>
    </row>
    <row r="17787">
      <c r="A17787" s="17">
        <v>5.016E8</v>
      </c>
      <c r="B17787" s="17">
        <v>8330000.0</v>
      </c>
    </row>
    <row r="17788">
      <c r="A17788" s="17">
        <v>5.016E8</v>
      </c>
      <c r="B17788" s="17">
        <v>8330001.0</v>
      </c>
    </row>
    <row r="17789">
      <c r="A17789" s="17">
        <v>5.016E8</v>
      </c>
      <c r="B17789" s="17">
        <v>8330002.0</v>
      </c>
    </row>
    <row r="17790">
      <c r="A17790" s="17">
        <v>5.016E8</v>
      </c>
      <c r="B17790" s="17">
        <v>8330100.0</v>
      </c>
    </row>
    <row r="17791">
      <c r="A17791" s="17">
        <v>5.016E8</v>
      </c>
      <c r="B17791" s="17">
        <v>8330101.0</v>
      </c>
    </row>
    <row r="17792">
      <c r="A17792" s="17">
        <v>5.016E8</v>
      </c>
      <c r="B17792" s="17">
        <v>8330102.0</v>
      </c>
    </row>
    <row r="17793">
      <c r="A17793" s="17">
        <v>5.016E8</v>
      </c>
      <c r="B17793" s="17">
        <v>8330200.0</v>
      </c>
    </row>
    <row r="17794">
      <c r="A17794" s="17">
        <v>5.016E8</v>
      </c>
      <c r="B17794" s="17">
        <v>8330201.0</v>
      </c>
    </row>
    <row r="17795">
      <c r="A17795" s="17">
        <v>5.016E8</v>
      </c>
      <c r="B17795" s="17">
        <v>8330202.0</v>
      </c>
    </row>
    <row r="17796">
      <c r="A17796" s="17">
        <v>5.016E8</v>
      </c>
      <c r="B17796" s="17">
        <v>8330300.0</v>
      </c>
    </row>
    <row r="17797">
      <c r="A17797" s="17">
        <v>5.016E8</v>
      </c>
      <c r="B17797" s="17">
        <v>8330301.0</v>
      </c>
    </row>
    <row r="17798">
      <c r="A17798" s="17">
        <v>5.016E8</v>
      </c>
      <c r="B17798" s="17">
        <v>8330302.0</v>
      </c>
    </row>
    <row r="17799">
      <c r="A17799" s="17">
        <v>5.016E8</v>
      </c>
      <c r="B17799" s="17">
        <v>8330400.0</v>
      </c>
    </row>
    <row r="17800">
      <c r="A17800" s="17">
        <v>5.016E8</v>
      </c>
      <c r="B17800" s="17">
        <v>8330401.0</v>
      </c>
    </row>
    <row r="17801">
      <c r="A17801" s="17">
        <v>5.016E8</v>
      </c>
      <c r="B17801" s="17">
        <v>8330600.0</v>
      </c>
    </row>
    <row r="17802">
      <c r="A17802" s="17">
        <v>5.016E8</v>
      </c>
      <c r="B17802" s="17">
        <v>8330601.0</v>
      </c>
    </row>
    <row r="17803">
      <c r="A17803" s="17">
        <v>5.016E8</v>
      </c>
      <c r="B17803" s="17">
        <v>8330602.0</v>
      </c>
    </row>
    <row r="17804">
      <c r="A17804" s="17">
        <v>5.016E8</v>
      </c>
      <c r="B17804" s="17">
        <v>8330900.0</v>
      </c>
    </row>
    <row r="17805">
      <c r="A17805" s="17">
        <v>5.016E8</v>
      </c>
      <c r="B17805" s="17">
        <v>8330910.0</v>
      </c>
    </row>
    <row r="17806">
      <c r="A17806" s="17">
        <v>5.016E8</v>
      </c>
      <c r="B17806" s="17">
        <v>8330920.0</v>
      </c>
    </row>
    <row r="17807">
      <c r="A17807" s="17">
        <v>5.016E8</v>
      </c>
      <c r="B17807" s="17">
        <v>8340000.0</v>
      </c>
    </row>
    <row r="17808">
      <c r="A17808" s="17">
        <v>5.016E8</v>
      </c>
      <c r="B17808" s="17">
        <v>8340001.0</v>
      </c>
    </row>
    <row r="17809">
      <c r="A17809" s="17">
        <v>5.016E8</v>
      </c>
      <c r="B17809" s="17">
        <v>8340002.0</v>
      </c>
    </row>
    <row r="17810">
      <c r="A17810" s="17">
        <v>5.016E8</v>
      </c>
      <c r="B17810" s="17">
        <v>8340100.0</v>
      </c>
    </row>
    <row r="17811">
      <c r="A17811" s="17">
        <v>5.016E8</v>
      </c>
      <c r="B17811" s="17">
        <v>8340101.0</v>
      </c>
    </row>
    <row r="17812">
      <c r="A17812" s="17">
        <v>5.016E8</v>
      </c>
      <c r="B17812" s="17">
        <v>8340102.0</v>
      </c>
    </row>
    <row r="17813">
      <c r="A17813" s="17">
        <v>5.016E8</v>
      </c>
      <c r="B17813" s="17">
        <v>8350000.0</v>
      </c>
    </row>
    <row r="17814">
      <c r="A17814" s="17">
        <v>5.016E8</v>
      </c>
      <c r="B17814" s="17">
        <v>8350001.0</v>
      </c>
    </row>
    <row r="17815">
      <c r="A17815" s="17">
        <v>5.016E8</v>
      </c>
      <c r="B17815" s="17">
        <v>8350002.0</v>
      </c>
    </row>
    <row r="17816">
      <c r="A17816" s="17">
        <v>5.016E8</v>
      </c>
      <c r="B17816" s="17">
        <v>8350200.0</v>
      </c>
    </row>
    <row r="17817">
      <c r="A17817" s="17">
        <v>5.016E8</v>
      </c>
      <c r="B17817" s="17">
        <v>8350201.0</v>
      </c>
    </row>
    <row r="17818">
      <c r="A17818" s="17">
        <v>5.016E8</v>
      </c>
      <c r="B17818" s="17">
        <v>8350202.0</v>
      </c>
    </row>
    <row r="17819">
      <c r="A17819" s="17">
        <v>5.016E8</v>
      </c>
      <c r="B17819" s="17">
        <v>8420000.0</v>
      </c>
    </row>
    <row r="17820">
      <c r="A17820" s="17">
        <v>5.016E8</v>
      </c>
      <c r="B17820" s="17">
        <v>8420001.0</v>
      </c>
    </row>
    <row r="17821">
      <c r="A17821" s="17">
        <v>5.016E8</v>
      </c>
      <c r="B17821" s="17">
        <v>8420002.0</v>
      </c>
    </row>
    <row r="17822">
      <c r="A17822" s="17">
        <v>5.016E8</v>
      </c>
      <c r="B17822" s="17">
        <v>8450000.0</v>
      </c>
    </row>
    <row r="17823">
      <c r="A17823" s="17">
        <v>5.016E8</v>
      </c>
      <c r="B17823" s="17">
        <v>8460100.0</v>
      </c>
    </row>
    <row r="17824">
      <c r="A17824" s="17">
        <v>5.016E8</v>
      </c>
      <c r="B17824" s="17">
        <v>8460300.0</v>
      </c>
    </row>
    <row r="17825">
      <c r="A17825" s="17">
        <v>5.016E8</v>
      </c>
      <c r="B17825" s="17">
        <v>8460500.0</v>
      </c>
    </row>
    <row r="17826">
      <c r="A17826" s="17">
        <v>5.016E8</v>
      </c>
      <c r="B17826" s="17">
        <v>8510000.0</v>
      </c>
    </row>
    <row r="17827">
      <c r="A17827" s="17">
        <v>5.016E8</v>
      </c>
      <c r="B17827" s="17">
        <v>8510001.0</v>
      </c>
    </row>
    <row r="17828">
      <c r="A17828" s="17">
        <v>5.016E8</v>
      </c>
      <c r="B17828" s="17">
        <v>8510002.0</v>
      </c>
    </row>
    <row r="17829">
      <c r="A17829" s="17">
        <v>5.016E8</v>
      </c>
      <c r="B17829" s="17">
        <v>8520000.0</v>
      </c>
    </row>
    <row r="17830">
      <c r="A17830" s="17">
        <v>5.016E8</v>
      </c>
      <c r="B17830" s="17">
        <v>8520001.0</v>
      </c>
    </row>
    <row r="17831">
      <c r="A17831" s="17">
        <v>5.016E8</v>
      </c>
      <c r="B17831" s="17">
        <v>8520002.0</v>
      </c>
    </row>
    <row r="17832">
      <c r="A17832" s="17">
        <v>5.016E8</v>
      </c>
      <c r="B17832" s="17">
        <v>8530000.0</v>
      </c>
    </row>
    <row r="17833">
      <c r="A17833" s="17">
        <v>5.016E8</v>
      </c>
      <c r="B17833" s="17">
        <v>8530100.0</v>
      </c>
    </row>
    <row r="17834">
      <c r="A17834" s="17">
        <v>5.016E8</v>
      </c>
      <c r="B17834" s="17">
        <v>8540000.0</v>
      </c>
    </row>
    <row r="17835">
      <c r="A17835" s="17">
        <v>5.016E8</v>
      </c>
      <c r="B17835" s="17">
        <v>8600100.0</v>
      </c>
    </row>
    <row r="17836">
      <c r="A17836" s="17">
        <v>5.016E8</v>
      </c>
      <c r="B17836" s="17">
        <v>8600101.0</v>
      </c>
    </row>
    <row r="17837">
      <c r="A17837" s="17">
        <v>5.016E8</v>
      </c>
      <c r="B17837" s="17">
        <v>8600102.0</v>
      </c>
    </row>
    <row r="17838">
      <c r="A17838" s="17">
        <v>5.016E8</v>
      </c>
      <c r="B17838" s="17">
        <v>8600200.0</v>
      </c>
    </row>
    <row r="17839">
      <c r="A17839" s="17">
        <v>5.016E8</v>
      </c>
      <c r="B17839" s="17">
        <v>8600201.0</v>
      </c>
    </row>
    <row r="17840">
      <c r="A17840" s="17">
        <v>5.016E8</v>
      </c>
      <c r="B17840" s="17">
        <v>8600202.0</v>
      </c>
    </row>
    <row r="17841">
      <c r="A17841" s="17">
        <v>5.016E8</v>
      </c>
      <c r="B17841" s="17">
        <v>8610700.0</v>
      </c>
    </row>
    <row r="17842">
      <c r="A17842" s="17">
        <v>5.016E8</v>
      </c>
      <c r="B17842" s="17">
        <v>8610710.0</v>
      </c>
    </row>
    <row r="17843">
      <c r="A17843" s="17">
        <v>5.016E8</v>
      </c>
      <c r="B17843" s="17">
        <v>8610720.0</v>
      </c>
    </row>
    <row r="17844">
      <c r="A17844" s="17">
        <v>5.016E8</v>
      </c>
      <c r="B17844" s="17">
        <v>8620000.0</v>
      </c>
    </row>
    <row r="17845">
      <c r="A17845" s="17">
        <v>5.016E8</v>
      </c>
      <c r="B17845" s="17">
        <v>8620010.0</v>
      </c>
    </row>
    <row r="17846">
      <c r="A17846" s="17">
        <v>5.016E8</v>
      </c>
      <c r="B17846" s="17">
        <v>8620020.0</v>
      </c>
    </row>
    <row r="17847">
      <c r="A17847" s="17">
        <v>5.016E8</v>
      </c>
      <c r="B17847" s="17">
        <v>8620100.0</v>
      </c>
    </row>
    <row r="17848">
      <c r="A17848" s="17">
        <v>5.016E8</v>
      </c>
      <c r="B17848" s="17">
        <v>8620110.0</v>
      </c>
    </row>
    <row r="17849">
      <c r="A17849" s="17">
        <v>5.016E8</v>
      </c>
      <c r="B17849" s="17">
        <v>8620120.0</v>
      </c>
    </row>
    <row r="17850">
      <c r="A17850" s="17">
        <v>5.016E8</v>
      </c>
      <c r="B17850" s="17">
        <v>8630000.0</v>
      </c>
    </row>
    <row r="17851">
      <c r="A17851" s="17">
        <v>5.016E8</v>
      </c>
      <c r="B17851" s="17">
        <v>8630000.0</v>
      </c>
    </row>
    <row r="17852">
      <c r="A17852" s="17">
        <v>5.016E8</v>
      </c>
      <c r="B17852" s="17">
        <v>8630000.0</v>
      </c>
    </row>
    <row r="17853">
      <c r="A17853" s="17">
        <v>5.016E8</v>
      </c>
      <c r="B17853" s="17">
        <v>8630100.0</v>
      </c>
    </row>
    <row r="17854">
      <c r="A17854" s="17">
        <v>5.016E8</v>
      </c>
      <c r="B17854" s="17">
        <v>8630100.0</v>
      </c>
    </row>
    <row r="17855">
      <c r="A17855" s="17">
        <v>5.016E8</v>
      </c>
      <c r="B17855" s="17">
        <v>8630100.0</v>
      </c>
    </row>
    <row r="17856">
      <c r="A17856" s="17">
        <v>5.016E8</v>
      </c>
      <c r="B17856" s="17">
        <v>8652000.0</v>
      </c>
    </row>
    <row r="17857">
      <c r="A17857" s="17">
        <v>5.016E8</v>
      </c>
      <c r="B17857" s="17">
        <v>8652010.0</v>
      </c>
    </row>
    <row r="17858">
      <c r="A17858" s="17">
        <v>5.016E8</v>
      </c>
      <c r="B17858" s="17">
        <v>8652020.0</v>
      </c>
    </row>
    <row r="17859">
      <c r="A17859" s="17">
        <v>5.016E8</v>
      </c>
      <c r="B17859" s="17">
        <v>8652100.0</v>
      </c>
    </row>
    <row r="17860">
      <c r="A17860" s="17">
        <v>5.016E8</v>
      </c>
      <c r="B17860" s="17">
        <v>8652110.0</v>
      </c>
    </row>
    <row r="17861">
      <c r="A17861" s="17">
        <v>5.016E8</v>
      </c>
      <c r="B17861" s="17">
        <v>8652120.0</v>
      </c>
    </row>
    <row r="17862">
      <c r="A17862" s="17">
        <v>5.016E8</v>
      </c>
      <c r="B17862" s="17">
        <v>8660000.0</v>
      </c>
    </row>
    <row r="17863">
      <c r="A17863" s="17">
        <v>5.016E8</v>
      </c>
      <c r="B17863" s="17">
        <v>8660001.0</v>
      </c>
    </row>
    <row r="17864">
      <c r="A17864" s="17">
        <v>5.016E8</v>
      </c>
      <c r="B17864" s="17">
        <v>8660002.0</v>
      </c>
    </row>
    <row r="17865">
      <c r="A17865" s="17">
        <v>5.016E8</v>
      </c>
      <c r="B17865" s="17">
        <v>8660100.0</v>
      </c>
    </row>
    <row r="17866">
      <c r="A17866" s="17">
        <v>5.016E8</v>
      </c>
      <c r="B17866" s="17">
        <v>8660101.0</v>
      </c>
    </row>
    <row r="17867">
      <c r="A17867" s="17">
        <v>5.016E8</v>
      </c>
      <c r="B17867" s="17">
        <v>8660102.0</v>
      </c>
    </row>
    <row r="17868">
      <c r="A17868" s="17">
        <v>5.016E8</v>
      </c>
      <c r="B17868" s="17">
        <v>8670000.0</v>
      </c>
    </row>
    <row r="17869">
      <c r="A17869" s="17">
        <v>5.016E8</v>
      </c>
      <c r="B17869" s="17">
        <v>8670001.0</v>
      </c>
    </row>
    <row r="17870">
      <c r="A17870" s="17">
        <v>5.016E8</v>
      </c>
      <c r="B17870" s="17">
        <v>8670002.0</v>
      </c>
    </row>
    <row r="17871">
      <c r="A17871" s="17">
        <v>5.016E8</v>
      </c>
      <c r="B17871" s="17">
        <v>8670100.0</v>
      </c>
    </row>
    <row r="17872">
      <c r="A17872" s="17">
        <v>5.016E8</v>
      </c>
      <c r="B17872" s="17">
        <v>8670101.0</v>
      </c>
    </row>
    <row r="17873">
      <c r="A17873" s="17">
        <v>5.016E8</v>
      </c>
      <c r="B17873" s="17">
        <v>8670102.0</v>
      </c>
    </row>
    <row r="17874">
      <c r="A17874" s="17">
        <v>5.016E8</v>
      </c>
      <c r="B17874" s="17">
        <v>8690000.0</v>
      </c>
    </row>
    <row r="17875">
      <c r="A17875" s="17">
        <v>5.016E8</v>
      </c>
      <c r="B17875" s="17">
        <v>8690100.0</v>
      </c>
    </row>
    <row r="17876">
      <c r="A17876" s="17">
        <v>5.016E8</v>
      </c>
      <c r="B17876" s="17">
        <v>8690200.0</v>
      </c>
    </row>
    <row r="17877">
      <c r="A17877" s="17">
        <v>5.016E8</v>
      </c>
      <c r="B17877" s="17">
        <v>8690300.0</v>
      </c>
    </row>
    <row r="17878">
      <c r="A17878" s="17">
        <v>5.016E8</v>
      </c>
      <c r="B17878" s="17">
        <v>8690400.0</v>
      </c>
    </row>
    <row r="17879">
      <c r="A17879" s="17">
        <v>5.016E8</v>
      </c>
      <c r="B17879" s="17">
        <v>8320500.0</v>
      </c>
    </row>
    <row r="17880">
      <c r="A17880" s="17">
        <v>5.016E8</v>
      </c>
      <c r="B17880" s="17">
        <v>8320510.0</v>
      </c>
    </row>
    <row r="17881">
      <c r="A17881" s="17">
        <v>5.016E8</v>
      </c>
      <c r="B17881" s="17">
        <v>8320520.0</v>
      </c>
    </row>
    <row r="17882">
      <c r="A17882" s="17">
        <v>5.016E8</v>
      </c>
      <c r="B17882" s="17">
        <v>8320600.0</v>
      </c>
    </row>
    <row r="17883">
      <c r="A17883" s="17">
        <v>5.016E8</v>
      </c>
      <c r="B17883" s="17">
        <v>8320610.0</v>
      </c>
    </row>
    <row r="17884">
      <c r="A17884" s="17">
        <v>5.016E8</v>
      </c>
      <c r="B17884" s="17">
        <v>8320620.0</v>
      </c>
    </row>
    <row r="17885">
      <c r="A17885" s="17">
        <v>5.016E8</v>
      </c>
      <c r="B17885" s="17">
        <v>8320700.0</v>
      </c>
    </row>
    <row r="17886">
      <c r="A17886" s="17">
        <v>5.016E8</v>
      </c>
      <c r="B17886" s="17">
        <v>8320710.0</v>
      </c>
    </row>
    <row r="17887">
      <c r="A17887" s="17">
        <v>5.016E8</v>
      </c>
      <c r="B17887" s="17">
        <v>8320720.0</v>
      </c>
    </row>
    <row r="17888">
      <c r="A17888" s="17">
        <v>5.016001E8</v>
      </c>
      <c r="B17888" s="17">
        <v>0.0</v>
      </c>
    </row>
    <row r="17889">
      <c r="A17889" s="17">
        <v>5.016001E8</v>
      </c>
      <c r="B17889" s="17">
        <v>8100100.0</v>
      </c>
    </row>
    <row r="17890">
      <c r="A17890" s="17">
        <v>5.016001E8</v>
      </c>
      <c r="B17890" s="17">
        <v>8100101.0</v>
      </c>
    </row>
    <row r="17891">
      <c r="A17891" s="17">
        <v>5.016001E8</v>
      </c>
      <c r="B17891" s="17">
        <v>8100102.0</v>
      </c>
    </row>
    <row r="17892">
      <c r="A17892" s="17">
        <v>5.016001E8</v>
      </c>
      <c r="B17892" s="17">
        <v>8100200.0</v>
      </c>
    </row>
    <row r="17893">
      <c r="A17893" s="17">
        <v>5.016001E8</v>
      </c>
      <c r="B17893" s="17">
        <v>8100201.0</v>
      </c>
    </row>
    <row r="17894">
      <c r="A17894" s="17">
        <v>5.016001E8</v>
      </c>
      <c r="B17894" s="17">
        <v>8100202.0</v>
      </c>
    </row>
    <row r="17895">
      <c r="A17895" s="17">
        <v>5.016001E8</v>
      </c>
      <c r="B17895" s="17">
        <v>8100300.0</v>
      </c>
    </row>
    <row r="17896">
      <c r="A17896" s="17">
        <v>5.016001E8</v>
      </c>
      <c r="B17896" s="17">
        <v>8100301.0</v>
      </c>
    </row>
    <row r="17897">
      <c r="A17897" s="17">
        <v>5.016001E8</v>
      </c>
      <c r="B17897" s="17">
        <v>8100302.0</v>
      </c>
    </row>
    <row r="17898">
      <c r="A17898" s="17">
        <v>5.016001E8</v>
      </c>
      <c r="B17898" s="17">
        <v>8100400.0</v>
      </c>
    </row>
    <row r="17899">
      <c r="A17899" s="17">
        <v>5.016001E8</v>
      </c>
      <c r="B17899" s="17">
        <v>8100401.0</v>
      </c>
    </row>
    <row r="17900">
      <c r="A17900" s="17">
        <v>5.016001E8</v>
      </c>
      <c r="B17900" s="17">
        <v>8100402.0</v>
      </c>
    </row>
    <row r="17901">
      <c r="A17901" s="17">
        <v>5.016001E8</v>
      </c>
      <c r="B17901" s="17">
        <v>8130000.0</v>
      </c>
    </row>
    <row r="17902">
      <c r="A17902" s="17">
        <v>5.016001E8</v>
      </c>
      <c r="B17902" s="17">
        <v>8130001.0</v>
      </c>
    </row>
    <row r="17903">
      <c r="A17903" s="17">
        <v>5.016001E8</v>
      </c>
      <c r="B17903" s="17">
        <v>8130002.0</v>
      </c>
    </row>
    <row r="17904">
      <c r="A17904" s="17">
        <v>5.016001E8</v>
      </c>
      <c r="B17904" s="17">
        <v>8140000.0</v>
      </c>
    </row>
    <row r="17905">
      <c r="A17905" s="17">
        <v>5.016001E8</v>
      </c>
      <c r="B17905" s="17">
        <v>8140001.0</v>
      </c>
    </row>
    <row r="17906">
      <c r="A17906" s="17">
        <v>5.016001E8</v>
      </c>
      <c r="B17906" s="17">
        <v>8140002.0</v>
      </c>
    </row>
    <row r="17907">
      <c r="A17907" s="17">
        <v>5.016001E8</v>
      </c>
      <c r="B17907" s="17">
        <v>8200100.0</v>
      </c>
    </row>
    <row r="17908">
      <c r="A17908" s="17">
        <v>5.016001E8</v>
      </c>
      <c r="B17908" s="17">
        <v>8200101.0</v>
      </c>
    </row>
    <row r="17909">
      <c r="A17909" s="17">
        <v>5.016001E8</v>
      </c>
      <c r="B17909" s="17">
        <v>8200102.0</v>
      </c>
    </row>
    <row r="17910">
      <c r="A17910" s="17">
        <v>5.016001E8</v>
      </c>
      <c r="B17910" s="17">
        <v>8200200.0</v>
      </c>
    </row>
    <row r="17911">
      <c r="A17911" s="17">
        <v>5.016001E8</v>
      </c>
      <c r="B17911" s="17">
        <v>8200201.0</v>
      </c>
    </row>
    <row r="17912">
      <c r="A17912" s="17">
        <v>5.016001E8</v>
      </c>
      <c r="B17912" s="17">
        <v>8200202.0</v>
      </c>
    </row>
    <row r="17913">
      <c r="A17913" s="17">
        <v>5.016001E8</v>
      </c>
      <c r="B17913" s="17">
        <v>8200300.0</v>
      </c>
    </row>
    <row r="17914">
      <c r="A17914" s="17">
        <v>5.016001E8</v>
      </c>
      <c r="B17914" s="17">
        <v>8200301.0</v>
      </c>
    </row>
    <row r="17915">
      <c r="A17915" s="17">
        <v>5.016001E8</v>
      </c>
      <c r="B17915" s="17">
        <v>8200302.0</v>
      </c>
    </row>
    <row r="17916">
      <c r="A17916" s="17">
        <v>5.016001E8</v>
      </c>
      <c r="B17916" s="17">
        <v>8200400.0</v>
      </c>
    </row>
    <row r="17917">
      <c r="A17917" s="17">
        <v>5.016001E8</v>
      </c>
      <c r="B17917" s="17">
        <v>8200401.0</v>
      </c>
    </row>
    <row r="17918">
      <c r="A17918" s="17">
        <v>5.016001E8</v>
      </c>
      <c r="B17918" s="17">
        <v>8200402.0</v>
      </c>
    </row>
    <row r="17919">
      <c r="A17919" s="17">
        <v>5.016001E8</v>
      </c>
      <c r="B17919" s="17">
        <v>8210000.0</v>
      </c>
    </row>
    <row r="17920">
      <c r="A17920" s="17">
        <v>5.016001E8</v>
      </c>
      <c r="B17920" s="17">
        <v>8210001.0</v>
      </c>
    </row>
    <row r="17921">
      <c r="A17921" s="17">
        <v>5.016001E8</v>
      </c>
      <c r="B17921" s="17">
        <v>8210002.0</v>
      </c>
    </row>
    <row r="17922">
      <c r="A17922" s="17">
        <v>5.016001E8</v>
      </c>
      <c r="B17922" s="17">
        <v>8210100.0</v>
      </c>
    </row>
    <row r="17923">
      <c r="A17923" s="17">
        <v>5.016001E8</v>
      </c>
      <c r="B17923" s="17">
        <v>8210101.0</v>
      </c>
    </row>
    <row r="17924">
      <c r="A17924" s="17">
        <v>5.016001E8</v>
      </c>
      <c r="B17924" s="17">
        <v>8210102.0</v>
      </c>
    </row>
    <row r="17925">
      <c r="A17925" s="17">
        <v>5.016001E8</v>
      </c>
      <c r="B17925" s="17">
        <v>8210200.0</v>
      </c>
    </row>
    <row r="17926">
      <c r="A17926" s="17">
        <v>5.016001E8</v>
      </c>
      <c r="B17926" s="17">
        <v>8210201.0</v>
      </c>
    </row>
    <row r="17927">
      <c r="A17927" s="17">
        <v>5.016001E8</v>
      </c>
      <c r="B17927" s="17">
        <v>8210202.0</v>
      </c>
    </row>
    <row r="17928">
      <c r="A17928" s="17">
        <v>5.016001E8</v>
      </c>
      <c r="B17928" s="17">
        <v>8210300.0</v>
      </c>
    </row>
    <row r="17929">
      <c r="A17929" s="17">
        <v>5.016001E8</v>
      </c>
      <c r="B17929" s="17">
        <v>8210301.0</v>
      </c>
    </row>
    <row r="17930">
      <c r="A17930" s="17">
        <v>5.016001E8</v>
      </c>
      <c r="B17930" s="17">
        <v>8210302.0</v>
      </c>
    </row>
    <row r="17931">
      <c r="A17931" s="17">
        <v>5.016001E8</v>
      </c>
      <c r="B17931" s="17">
        <v>8210400.0</v>
      </c>
    </row>
    <row r="17932">
      <c r="A17932" s="17">
        <v>5.016001E8</v>
      </c>
      <c r="B17932" s="17">
        <v>8210401.0</v>
      </c>
    </row>
    <row r="17933">
      <c r="A17933" s="17">
        <v>5.016001E8</v>
      </c>
      <c r="B17933" s="17">
        <v>8210402.0</v>
      </c>
    </row>
    <row r="17934">
      <c r="A17934" s="17">
        <v>5.016001E8</v>
      </c>
      <c r="B17934" s="17">
        <v>8210500.0</v>
      </c>
    </row>
    <row r="17935">
      <c r="A17935" s="17">
        <v>5.016001E8</v>
      </c>
      <c r="B17935" s="17">
        <v>8210501.0</v>
      </c>
    </row>
    <row r="17936">
      <c r="A17936" s="17">
        <v>5.016001E8</v>
      </c>
      <c r="B17936" s="17">
        <v>8210502.0</v>
      </c>
    </row>
    <row r="17937">
      <c r="A17937" s="17">
        <v>5.016001E8</v>
      </c>
      <c r="B17937" s="17">
        <v>8210600.0</v>
      </c>
    </row>
    <row r="17938">
      <c r="A17938" s="17">
        <v>5.016001E8</v>
      </c>
      <c r="B17938" s="17">
        <v>8210601.0</v>
      </c>
    </row>
    <row r="17939">
      <c r="A17939" s="17">
        <v>5.016001E8</v>
      </c>
      <c r="B17939" s="17">
        <v>8210602.0</v>
      </c>
    </row>
    <row r="17940">
      <c r="A17940" s="17">
        <v>5.016001E8</v>
      </c>
      <c r="B17940" s="17">
        <v>8220000.0</v>
      </c>
    </row>
    <row r="17941">
      <c r="A17941" s="17">
        <v>5.016001E8</v>
      </c>
      <c r="B17941" s="17">
        <v>8220001.0</v>
      </c>
    </row>
    <row r="17942">
      <c r="A17942" s="17">
        <v>5.016001E8</v>
      </c>
      <c r="B17942" s="17">
        <v>8220002.0</v>
      </c>
    </row>
    <row r="17943">
      <c r="A17943" s="17">
        <v>5.016001E8</v>
      </c>
      <c r="B17943" s="17">
        <v>8300000.0</v>
      </c>
    </row>
    <row r="17944">
      <c r="A17944" s="17">
        <v>5.016001E8</v>
      </c>
      <c r="B17944" s="17">
        <v>8300001.0</v>
      </c>
    </row>
    <row r="17945">
      <c r="A17945" s="17">
        <v>5.016001E8</v>
      </c>
      <c r="B17945" s="17">
        <v>8300002.0</v>
      </c>
    </row>
    <row r="17946">
      <c r="A17946" s="17">
        <v>5.016001E8</v>
      </c>
      <c r="B17946" s="17">
        <v>8310000.0</v>
      </c>
    </row>
    <row r="17947">
      <c r="A17947" s="17">
        <v>5.016001E8</v>
      </c>
      <c r="B17947" s="17">
        <v>8310001.0</v>
      </c>
    </row>
    <row r="17948">
      <c r="A17948" s="17">
        <v>5.016001E8</v>
      </c>
      <c r="B17948" s="17">
        <v>8310002.0</v>
      </c>
    </row>
    <row r="17949">
      <c r="A17949" s="17">
        <v>5.016001E8</v>
      </c>
      <c r="B17949" s="17">
        <v>8320000.0</v>
      </c>
    </row>
    <row r="17950">
      <c r="A17950" s="17">
        <v>5.016001E8</v>
      </c>
      <c r="B17950" s="17">
        <v>8320001.0</v>
      </c>
    </row>
    <row r="17951">
      <c r="A17951" s="17">
        <v>5.016001E8</v>
      </c>
      <c r="B17951" s="17">
        <v>8320002.0</v>
      </c>
    </row>
    <row r="17952">
      <c r="A17952" s="17">
        <v>5.016001E8</v>
      </c>
      <c r="B17952" s="17">
        <v>8320100.0</v>
      </c>
    </row>
    <row r="17953">
      <c r="A17953" s="17">
        <v>5.016001E8</v>
      </c>
      <c r="B17953" s="17">
        <v>8320101.0</v>
      </c>
    </row>
    <row r="17954">
      <c r="A17954" s="17">
        <v>5.016001E8</v>
      </c>
      <c r="B17954" s="17">
        <v>8320102.0</v>
      </c>
    </row>
    <row r="17955">
      <c r="A17955" s="17">
        <v>5.016001E8</v>
      </c>
      <c r="B17955" s="17">
        <v>8320300.0</v>
      </c>
    </row>
    <row r="17956">
      <c r="A17956" s="17">
        <v>5.016001E8</v>
      </c>
      <c r="B17956" s="17">
        <v>8320301.0</v>
      </c>
    </row>
    <row r="17957">
      <c r="A17957" s="17">
        <v>5.016001E8</v>
      </c>
      <c r="B17957" s="17">
        <v>8320302.0</v>
      </c>
    </row>
    <row r="17958">
      <c r="A17958" s="17">
        <v>5.016001E8</v>
      </c>
      <c r="B17958" s="17">
        <v>8320400.0</v>
      </c>
    </row>
    <row r="17959">
      <c r="A17959" s="17">
        <v>5.016001E8</v>
      </c>
      <c r="B17959" s="17">
        <v>8320410.0</v>
      </c>
    </row>
    <row r="17960">
      <c r="A17960" s="17">
        <v>5.016001E8</v>
      </c>
      <c r="B17960" s="17">
        <v>8320420.0</v>
      </c>
    </row>
    <row r="17961">
      <c r="A17961" s="17">
        <v>5.016001E8</v>
      </c>
      <c r="B17961" s="17">
        <v>8330000.0</v>
      </c>
    </row>
    <row r="17962">
      <c r="A17962" s="17">
        <v>5.016001E8</v>
      </c>
      <c r="B17962" s="17">
        <v>8330001.0</v>
      </c>
    </row>
    <row r="17963">
      <c r="A17963" s="17">
        <v>5.016001E8</v>
      </c>
      <c r="B17963" s="17">
        <v>8330002.0</v>
      </c>
    </row>
    <row r="17964">
      <c r="A17964" s="17">
        <v>5.016001E8</v>
      </c>
      <c r="B17964" s="17">
        <v>8330100.0</v>
      </c>
    </row>
    <row r="17965">
      <c r="A17965" s="17">
        <v>5.016001E8</v>
      </c>
      <c r="B17965" s="17">
        <v>8330101.0</v>
      </c>
    </row>
    <row r="17966">
      <c r="A17966" s="17">
        <v>5.016001E8</v>
      </c>
      <c r="B17966" s="17">
        <v>8330102.0</v>
      </c>
    </row>
    <row r="17967">
      <c r="A17967" s="17">
        <v>5.016001E8</v>
      </c>
      <c r="B17967" s="17">
        <v>8330200.0</v>
      </c>
    </row>
    <row r="17968">
      <c r="A17968" s="17">
        <v>5.016001E8</v>
      </c>
      <c r="B17968" s="17">
        <v>8330201.0</v>
      </c>
    </row>
    <row r="17969">
      <c r="A17969" s="17">
        <v>5.016001E8</v>
      </c>
      <c r="B17969" s="17">
        <v>8330202.0</v>
      </c>
    </row>
    <row r="17970">
      <c r="A17970" s="17">
        <v>5.016001E8</v>
      </c>
      <c r="B17970" s="17">
        <v>8330300.0</v>
      </c>
    </row>
    <row r="17971">
      <c r="A17971" s="17">
        <v>5.016001E8</v>
      </c>
      <c r="B17971" s="17">
        <v>8330301.0</v>
      </c>
    </row>
    <row r="17972">
      <c r="A17972" s="17">
        <v>5.016001E8</v>
      </c>
      <c r="B17972" s="17">
        <v>8330302.0</v>
      </c>
    </row>
    <row r="17973">
      <c r="A17973" s="17">
        <v>5.016001E8</v>
      </c>
      <c r="B17973" s="17">
        <v>8330400.0</v>
      </c>
    </row>
    <row r="17974">
      <c r="A17974" s="17">
        <v>5.016001E8</v>
      </c>
      <c r="B17974" s="17">
        <v>8330401.0</v>
      </c>
    </row>
    <row r="17975">
      <c r="A17975" s="17">
        <v>5.016001E8</v>
      </c>
      <c r="B17975" s="17">
        <v>8330600.0</v>
      </c>
    </row>
    <row r="17976">
      <c r="A17976" s="17">
        <v>5.016001E8</v>
      </c>
      <c r="B17976" s="17">
        <v>8330601.0</v>
      </c>
    </row>
    <row r="17977">
      <c r="A17977" s="17">
        <v>5.016001E8</v>
      </c>
      <c r="B17977" s="17">
        <v>8330602.0</v>
      </c>
    </row>
    <row r="17978">
      <c r="A17978" s="17">
        <v>5.016001E8</v>
      </c>
      <c r="B17978" s="17">
        <v>8330900.0</v>
      </c>
    </row>
    <row r="17979">
      <c r="A17979" s="17">
        <v>5.016001E8</v>
      </c>
      <c r="B17979" s="17">
        <v>8330910.0</v>
      </c>
    </row>
    <row r="17980">
      <c r="A17980" s="17">
        <v>5.016001E8</v>
      </c>
      <c r="B17980" s="17">
        <v>8330920.0</v>
      </c>
    </row>
    <row r="17981">
      <c r="A17981" s="17">
        <v>5.016001E8</v>
      </c>
      <c r="B17981" s="17">
        <v>8340000.0</v>
      </c>
    </row>
    <row r="17982">
      <c r="A17982" s="17">
        <v>5.016001E8</v>
      </c>
      <c r="B17982" s="17">
        <v>8340001.0</v>
      </c>
    </row>
    <row r="17983">
      <c r="A17983" s="17">
        <v>5.016001E8</v>
      </c>
      <c r="B17983" s="17">
        <v>8340002.0</v>
      </c>
    </row>
    <row r="17984">
      <c r="A17984" s="17">
        <v>5.016001E8</v>
      </c>
      <c r="B17984" s="17">
        <v>8340100.0</v>
      </c>
    </row>
    <row r="17985">
      <c r="A17985" s="17">
        <v>5.016001E8</v>
      </c>
      <c r="B17985" s="17">
        <v>8340101.0</v>
      </c>
    </row>
    <row r="17986">
      <c r="A17986" s="17">
        <v>5.016001E8</v>
      </c>
      <c r="B17986" s="17">
        <v>8340102.0</v>
      </c>
    </row>
    <row r="17987">
      <c r="A17987" s="17">
        <v>5.016001E8</v>
      </c>
      <c r="B17987" s="17">
        <v>8350000.0</v>
      </c>
    </row>
    <row r="17988">
      <c r="A17988" s="17">
        <v>5.016001E8</v>
      </c>
      <c r="B17988" s="17">
        <v>8350001.0</v>
      </c>
    </row>
    <row r="17989">
      <c r="A17989" s="17">
        <v>5.016001E8</v>
      </c>
      <c r="B17989" s="17">
        <v>8350002.0</v>
      </c>
    </row>
    <row r="17990">
      <c r="A17990" s="17">
        <v>5.016001E8</v>
      </c>
      <c r="B17990" s="17">
        <v>8350200.0</v>
      </c>
    </row>
    <row r="17991">
      <c r="A17991" s="17">
        <v>5.016001E8</v>
      </c>
      <c r="B17991" s="17">
        <v>8350201.0</v>
      </c>
    </row>
    <row r="17992">
      <c r="A17992" s="17">
        <v>5.016001E8</v>
      </c>
      <c r="B17992" s="17">
        <v>8350202.0</v>
      </c>
    </row>
    <row r="17993">
      <c r="A17993" s="17">
        <v>5.016001E8</v>
      </c>
      <c r="B17993" s="17">
        <v>8420000.0</v>
      </c>
    </row>
    <row r="17994">
      <c r="A17994" s="17">
        <v>5.016001E8</v>
      </c>
      <c r="B17994" s="17">
        <v>8420001.0</v>
      </c>
    </row>
    <row r="17995">
      <c r="A17995" s="17">
        <v>5.016001E8</v>
      </c>
      <c r="B17995" s="17">
        <v>8420002.0</v>
      </c>
    </row>
    <row r="17996">
      <c r="A17996" s="17">
        <v>5.016001E8</v>
      </c>
      <c r="B17996" s="17">
        <v>8450000.0</v>
      </c>
    </row>
    <row r="17997">
      <c r="A17997" s="17">
        <v>5.016001E8</v>
      </c>
      <c r="B17997" s="17">
        <v>8460100.0</v>
      </c>
    </row>
    <row r="17998">
      <c r="A17998" s="17">
        <v>5.016001E8</v>
      </c>
      <c r="B17998" s="17">
        <v>8460300.0</v>
      </c>
    </row>
    <row r="17999">
      <c r="A17999" s="17">
        <v>5.016001E8</v>
      </c>
      <c r="B17999" s="17">
        <v>8460500.0</v>
      </c>
    </row>
    <row r="18000">
      <c r="A18000" s="17">
        <v>5.016001E8</v>
      </c>
      <c r="B18000" s="17">
        <v>8510000.0</v>
      </c>
    </row>
    <row r="18001">
      <c r="A18001" s="17">
        <v>5.016001E8</v>
      </c>
      <c r="B18001" s="17">
        <v>8510001.0</v>
      </c>
    </row>
    <row r="18002">
      <c r="A18002" s="17">
        <v>5.016001E8</v>
      </c>
      <c r="B18002" s="17">
        <v>8510002.0</v>
      </c>
    </row>
    <row r="18003">
      <c r="A18003" s="17">
        <v>5.016001E8</v>
      </c>
      <c r="B18003" s="17">
        <v>8520000.0</v>
      </c>
    </row>
    <row r="18004">
      <c r="A18004" s="17">
        <v>5.016001E8</v>
      </c>
      <c r="B18004" s="17">
        <v>8520001.0</v>
      </c>
    </row>
    <row r="18005">
      <c r="A18005" s="17">
        <v>5.016001E8</v>
      </c>
      <c r="B18005" s="17">
        <v>8520002.0</v>
      </c>
    </row>
    <row r="18006">
      <c r="A18006" s="17">
        <v>5.016001E8</v>
      </c>
      <c r="B18006" s="17">
        <v>8530000.0</v>
      </c>
    </row>
    <row r="18007">
      <c r="A18007" s="17">
        <v>5.016001E8</v>
      </c>
      <c r="B18007" s="17">
        <v>8530100.0</v>
      </c>
    </row>
    <row r="18008">
      <c r="A18008" s="17">
        <v>5.016001E8</v>
      </c>
      <c r="B18008" s="17">
        <v>8540000.0</v>
      </c>
    </row>
    <row r="18009">
      <c r="A18009" s="17">
        <v>5.016001E8</v>
      </c>
      <c r="B18009" s="17">
        <v>8600100.0</v>
      </c>
    </row>
    <row r="18010">
      <c r="A18010" s="17">
        <v>5.016001E8</v>
      </c>
      <c r="B18010" s="17">
        <v>8600101.0</v>
      </c>
    </row>
    <row r="18011">
      <c r="A18011" s="17">
        <v>5.016001E8</v>
      </c>
      <c r="B18011" s="17">
        <v>8600102.0</v>
      </c>
    </row>
    <row r="18012">
      <c r="A18012" s="17">
        <v>5.016001E8</v>
      </c>
      <c r="B18012" s="17">
        <v>8600200.0</v>
      </c>
    </row>
    <row r="18013">
      <c r="A18013" s="17">
        <v>5.016001E8</v>
      </c>
      <c r="B18013" s="17">
        <v>8600201.0</v>
      </c>
    </row>
    <row r="18014">
      <c r="A18014" s="17">
        <v>5.016001E8</v>
      </c>
      <c r="B18014" s="17">
        <v>8600202.0</v>
      </c>
    </row>
    <row r="18015">
      <c r="A18015" s="17">
        <v>5.016001E8</v>
      </c>
      <c r="B18015" s="17">
        <v>8610700.0</v>
      </c>
    </row>
    <row r="18016">
      <c r="A18016" s="17">
        <v>5.016001E8</v>
      </c>
      <c r="B18016" s="17">
        <v>8610710.0</v>
      </c>
    </row>
    <row r="18017">
      <c r="A18017" s="17">
        <v>5.016001E8</v>
      </c>
      <c r="B18017" s="17">
        <v>8610720.0</v>
      </c>
    </row>
    <row r="18018">
      <c r="A18018" s="17">
        <v>5.016001E8</v>
      </c>
      <c r="B18018" s="17">
        <v>8620000.0</v>
      </c>
    </row>
    <row r="18019">
      <c r="A18019" s="17">
        <v>5.016001E8</v>
      </c>
      <c r="B18019" s="17">
        <v>8620010.0</v>
      </c>
    </row>
    <row r="18020">
      <c r="A18020" s="17">
        <v>5.016001E8</v>
      </c>
      <c r="B18020" s="17">
        <v>8620020.0</v>
      </c>
    </row>
    <row r="18021">
      <c r="A18021" s="17">
        <v>5.016001E8</v>
      </c>
      <c r="B18021" s="17">
        <v>8620100.0</v>
      </c>
    </row>
    <row r="18022">
      <c r="A18022" s="17">
        <v>5.016001E8</v>
      </c>
      <c r="B18022" s="17">
        <v>8620110.0</v>
      </c>
    </row>
    <row r="18023">
      <c r="A18023" s="17">
        <v>5.016001E8</v>
      </c>
      <c r="B18023" s="17">
        <v>8620120.0</v>
      </c>
    </row>
    <row r="18024">
      <c r="A18024" s="17">
        <v>5.016001E8</v>
      </c>
      <c r="B18024" s="17">
        <v>8630000.0</v>
      </c>
    </row>
    <row r="18025">
      <c r="A18025" s="17">
        <v>5.016001E8</v>
      </c>
      <c r="B18025" s="17">
        <v>8630000.0</v>
      </c>
    </row>
    <row r="18026">
      <c r="A18026" s="17">
        <v>5.016001E8</v>
      </c>
      <c r="B18026" s="17">
        <v>8630000.0</v>
      </c>
    </row>
    <row r="18027">
      <c r="A18027" s="17">
        <v>5.016001E8</v>
      </c>
      <c r="B18027" s="17">
        <v>8630100.0</v>
      </c>
    </row>
    <row r="18028">
      <c r="A18028" s="17">
        <v>5.016001E8</v>
      </c>
      <c r="B18028" s="17">
        <v>8630100.0</v>
      </c>
    </row>
    <row r="18029">
      <c r="A18029" s="17">
        <v>5.016001E8</v>
      </c>
      <c r="B18029" s="17">
        <v>8630100.0</v>
      </c>
    </row>
    <row r="18030">
      <c r="A18030" s="17">
        <v>5.016001E8</v>
      </c>
      <c r="B18030" s="17">
        <v>8652000.0</v>
      </c>
    </row>
    <row r="18031">
      <c r="A18031" s="17">
        <v>5.016001E8</v>
      </c>
      <c r="B18031" s="17">
        <v>8652010.0</v>
      </c>
    </row>
    <row r="18032">
      <c r="A18032" s="17">
        <v>5.016001E8</v>
      </c>
      <c r="B18032" s="17">
        <v>8652020.0</v>
      </c>
    </row>
    <row r="18033">
      <c r="A18033" s="17">
        <v>5.016001E8</v>
      </c>
      <c r="B18033" s="17">
        <v>8652100.0</v>
      </c>
    </row>
    <row r="18034">
      <c r="A18034" s="17">
        <v>5.016001E8</v>
      </c>
      <c r="B18034" s="17">
        <v>8652110.0</v>
      </c>
    </row>
    <row r="18035">
      <c r="A18035" s="17">
        <v>5.016001E8</v>
      </c>
      <c r="B18035" s="17">
        <v>8652120.0</v>
      </c>
    </row>
    <row r="18036">
      <c r="A18036" s="17">
        <v>5.016001E8</v>
      </c>
      <c r="B18036" s="17">
        <v>8660000.0</v>
      </c>
    </row>
    <row r="18037">
      <c r="A18037" s="17">
        <v>5.016001E8</v>
      </c>
      <c r="B18037" s="17">
        <v>8660001.0</v>
      </c>
    </row>
    <row r="18038">
      <c r="A18038" s="17">
        <v>5.016001E8</v>
      </c>
      <c r="B18038" s="17">
        <v>8660002.0</v>
      </c>
    </row>
    <row r="18039">
      <c r="A18039" s="17">
        <v>5.016001E8</v>
      </c>
      <c r="B18039" s="17">
        <v>8660100.0</v>
      </c>
    </row>
    <row r="18040">
      <c r="A18040" s="17">
        <v>5.016001E8</v>
      </c>
      <c r="B18040" s="17">
        <v>8660101.0</v>
      </c>
    </row>
    <row r="18041">
      <c r="A18041" s="17">
        <v>5.016001E8</v>
      </c>
      <c r="B18041" s="17">
        <v>8660102.0</v>
      </c>
    </row>
    <row r="18042">
      <c r="A18042" s="17">
        <v>5.016001E8</v>
      </c>
      <c r="B18042" s="17">
        <v>8670000.0</v>
      </c>
    </row>
    <row r="18043">
      <c r="A18043" s="17">
        <v>5.016001E8</v>
      </c>
      <c r="B18043" s="17">
        <v>8670001.0</v>
      </c>
    </row>
    <row r="18044">
      <c r="A18044" s="17">
        <v>5.016001E8</v>
      </c>
      <c r="B18044" s="17">
        <v>8670002.0</v>
      </c>
    </row>
    <row r="18045">
      <c r="A18045" s="17">
        <v>5.016001E8</v>
      </c>
      <c r="B18045" s="17">
        <v>8670100.0</v>
      </c>
    </row>
    <row r="18046">
      <c r="A18046" s="17">
        <v>5.016001E8</v>
      </c>
      <c r="B18046" s="17">
        <v>8670101.0</v>
      </c>
    </row>
    <row r="18047">
      <c r="A18047" s="17">
        <v>5.016001E8</v>
      </c>
      <c r="B18047" s="17">
        <v>8670102.0</v>
      </c>
    </row>
    <row r="18048">
      <c r="A18048" s="17">
        <v>5.016001E8</v>
      </c>
      <c r="B18048" s="17">
        <v>8690000.0</v>
      </c>
    </row>
    <row r="18049">
      <c r="A18049" s="17">
        <v>5.016001E8</v>
      </c>
      <c r="B18049" s="17">
        <v>8690100.0</v>
      </c>
    </row>
    <row r="18050">
      <c r="A18050" s="17">
        <v>5.016001E8</v>
      </c>
      <c r="B18050" s="17">
        <v>8690200.0</v>
      </c>
    </row>
    <row r="18051">
      <c r="A18051" s="17">
        <v>5.016001E8</v>
      </c>
      <c r="B18051" s="17">
        <v>8690300.0</v>
      </c>
    </row>
    <row r="18052">
      <c r="A18052" s="17">
        <v>5.016001E8</v>
      </c>
      <c r="B18052" s="17">
        <v>8690400.0</v>
      </c>
    </row>
    <row r="18053">
      <c r="A18053" s="17">
        <v>5.016001E8</v>
      </c>
      <c r="B18053" s="17">
        <v>8320500.0</v>
      </c>
    </row>
    <row r="18054">
      <c r="A18054" s="17">
        <v>5.016001E8</v>
      </c>
      <c r="B18054" s="17">
        <v>8320510.0</v>
      </c>
    </row>
    <row r="18055">
      <c r="A18055" s="17">
        <v>5.016001E8</v>
      </c>
      <c r="B18055" s="17">
        <v>8320520.0</v>
      </c>
    </row>
    <row r="18056">
      <c r="A18056" s="17">
        <v>5.016001E8</v>
      </c>
      <c r="B18056" s="17">
        <v>8320600.0</v>
      </c>
    </row>
    <row r="18057">
      <c r="A18057" s="17">
        <v>5.016001E8</v>
      </c>
      <c r="B18057" s="17">
        <v>8320610.0</v>
      </c>
    </row>
    <row r="18058">
      <c r="A18058" s="17">
        <v>5.016001E8</v>
      </c>
      <c r="B18058" s="17">
        <v>8320620.0</v>
      </c>
    </row>
    <row r="18059">
      <c r="A18059" s="17">
        <v>5.016001E8</v>
      </c>
      <c r="B18059" s="17">
        <v>8320700.0</v>
      </c>
    </row>
    <row r="18060">
      <c r="A18060" s="17">
        <v>5.016001E8</v>
      </c>
      <c r="B18060" s="17">
        <v>8320710.0</v>
      </c>
    </row>
    <row r="18061">
      <c r="A18061" s="17">
        <v>5.016001E8</v>
      </c>
      <c r="B18061" s="17">
        <v>8320720.0</v>
      </c>
    </row>
    <row r="18062">
      <c r="A18062" s="17">
        <v>5.016002E8</v>
      </c>
      <c r="B18062" s="17">
        <v>0.0</v>
      </c>
    </row>
    <row r="18063">
      <c r="A18063" s="17">
        <v>5.016002E8</v>
      </c>
      <c r="B18063" s="17">
        <v>8100100.0</v>
      </c>
    </row>
    <row r="18064">
      <c r="A18064" s="17">
        <v>5.016002E8</v>
      </c>
      <c r="B18064" s="17">
        <v>8100101.0</v>
      </c>
    </row>
    <row r="18065">
      <c r="A18065" s="17">
        <v>5.016002E8</v>
      </c>
      <c r="B18065" s="17">
        <v>8100102.0</v>
      </c>
    </row>
    <row r="18066">
      <c r="A18066" s="17">
        <v>5.016002E8</v>
      </c>
      <c r="B18066" s="17">
        <v>8100200.0</v>
      </c>
    </row>
    <row r="18067">
      <c r="A18067" s="17">
        <v>5.016002E8</v>
      </c>
      <c r="B18067" s="17">
        <v>8100201.0</v>
      </c>
    </row>
    <row r="18068">
      <c r="A18068" s="17">
        <v>5.016002E8</v>
      </c>
      <c r="B18068" s="17">
        <v>8100202.0</v>
      </c>
    </row>
    <row r="18069">
      <c r="A18069" s="17">
        <v>5.016002E8</v>
      </c>
      <c r="B18069" s="17">
        <v>8100300.0</v>
      </c>
    </row>
    <row r="18070">
      <c r="A18070" s="17">
        <v>5.016002E8</v>
      </c>
      <c r="B18070" s="17">
        <v>8100301.0</v>
      </c>
    </row>
    <row r="18071">
      <c r="A18071" s="17">
        <v>5.016002E8</v>
      </c>
      <c r="B18071" s="17">
        <v>8100302.0</v>
      </c>
    </row>
    <row r="18072">
      <c r="A18072" s="17">
        <v>5.016002E8</v>
      </c>
      <c r="B18072" s="17">
        <v>8100400.0</v>
      </c>
    </row>
    <row r="18073">
      <c r="A18073" s="17">
        <v>5.016002E8</v>
      </c>
      <c r="B18073" s="17">
        <v>8100401.0</v>
      </c>
    </row>
    <row r="18074">
      <c r="A18074" s="17">
        <v>5.016002E8</v>
      </c>
      <c r="B18074" s="17">
        <v>8100402.0</v>
      </c>
    </row>
    <row r="18075">
      <c r="A18075" s="17">
        <v>5.016002E8</v>
      </c>
      <c r="B18075" s="17">
        <v>8130000.0</v>
      </c>
    </row>
    <row r="18076">
      <c r="A18076" s="17">
        <v>5.016002E8</v>
      </c>
      <c r="B18076" s="17">
        <v>8130001.0</v>
      </c>
    </row>
    <row r="18077">
      <c r="A18077" s="17">
        <v>5.016002E8</v>
      </c>
      <c r="B18077" s="17">
        <v>8130002.0</v>
      </c>
    </row>
    <row r="18078">
      <c r="A18078" s="17">
        <v>5.016002E8</v>
      </c>
      <c r="B18078" s="17">
        <v>8140000.0</v>
      </c>
    </row>
    <row r="18079">
      <c r="A18079" s="17">
        <v>5.016002E8</v>
      </c>
      <c r="B18079" s="17">
        <v>8140001.0</v>
      </c>
    </row>
    <row r="18080">
      <c r="A18080" s="17">
        <v>5.016002E8</v>
      </c>
      <c r="B18080" s="17">
        <v>8140002.0</v>
      </c>
    </row>
    <row r="18081">
      <c r="A18081" s="17">
        <v>5.016002E8</v>
      </c>
      <c r="B18081" s="17">
        <v>8200100.0</v>
      </c>
    </row>
    <row r="18082">
      <c r="A18082" s="17">
        <v>5.016002E8</v>
      </c>
      <c r="B18082" s="17">
        <v>8200101.0</v>
      </c>
    </row>
    <row r="18083">
      <c r="A18083" s="17">
        <v>5.016002E8</v>
      </c>
      <c r="B18083" s="17">
        <v>8200102.0</v>
      </c>
    </row>
    <row r="18084">
      <c r="A18084" s="17">
        <v>5.016002E8</v>
      </c>
      <c r="B18084" s="17">
        <v>8200200.0</v>
      </c>
    </row>
    <row r="18085">
      <c r="A18085" s="17">
        <v>5.016002E8</v>
      </c>
      <c r="B18085" s="17">
        <v>8200201.0</v>
      </c>
    </row>
    <row r="18086">
      <c r="A18086" s="17">
        <v>5.016002E8</v>
      </c>
      <c r="B18086" s="17">
        <v>8200202.0</v>
      </c>
    </row>
    <row r="18087">
      <c r="A18087" s="17">
        <v>5.016002E8</v>
      </c>
      <c r="B18087" s="17">
        <v>8200300.0</v>
      </c>
    </row>
    <row r="18088">
      <c r="A18088" s="17">
        <v>5.016002E8</v>
      </c>
      <c r="B18088" s="17">
        <v>8200301.0</v>
      </c>
    </row>
    <row r="18089">
      <c r="A18089" s="17">
        <v>5.016002E8</v>
      </c>
      <c r="B18089" s="17">
        <v>8200302.0</v>
      </c>
    </row>
    <row r="18090">
      <c r="A18090" s="17">
        <v>5.016002E8</v>
      </c>
      <c r="B18090" s="17">
        <v>8200400.0</v>
      </c>
    </row>
    <row r="18091">
      <c r="A18091" s="17">
        <v>5.016002E8</v>
      </c>
      <c r="B18091" s="17">
        <v>8200401.0</v>
      </c>
    </row>
    <row r="18092">
      <c r="A18092" s="17">
        <v>5.016002E8</v>
      </c>
      <c r="B18092" s="17">
        <v>8200402.0</v>
      </c>
    </row>
    <row r="18093">
      <c r="A18093" s="17">
        <v>5.016002E8</v>
      </c>
      <c r="B18093" s="17">
        <v>8210000.0</v>
      </c>
    </row>
    <row r="18094">
      <c r="A18094" s="17">
        <v>5.016002E8</v>
      </c>
      <c r="B18094" s="17">
        <v>8210001.0</v>
      </c>
    </row>
    <row r="18095">
      <c r="A18095" s="17">
        <v>5.016002E8</v>
      </c>
      <c r="B18095" s="17">
        <v>8210002.0</v>
      </c>
    </row>
    <row r="18096">
      <c r="A18096" s="17">
        <v>5.016002E8</v>
      </c>
      <c r="B18096" s="17">
        <v>8210100.0</v>
      </c>
    </row>
    <row r="18097">
      <c r="A18097" s="17">
        <v>5.016002E8</v>
      </c>
      <c r="B18097" s="17">
        <v>8210101.0</v>
      </c>
    </row>
    <row r="18098">
      <c r="A18098" s="17">
        <v>5.016002E8</v>
      </c>
      <c r="B18098" s="17">
        <v>8210102.0</v>
      </c>
    </row>
    <row r="18099">
      <c r="A18099" s="17">
        <v>5.016002E8</v>
      </c>
      <c r="B18099" s="17">
        <v>8210200.0</v>
      </c>
    </row>
    <row r="18100">
      <c r="A18100" s="17">
        <v>5.016002E8</v>
      </c>
      <c r="B18100" s="17">
        <v>8210201.0</v>
      </c>
    </row>
    <row r="18101">
      <c r="A18101" s="17">
        <v>5.016002E8</v>
      </c>
      <c r="B18101" s="17">
        <v>8210202.0</v>
      </c>
    </row>
    <row r="18102">
      <c r="A18102" s="17">
        <v>5.016002E8</v>
      </c>
      <c r="B18102" s="17">
        <v>8210300.0</v>
      </c>
    </row>
    <row r="18103">
      <c r="A18103" s="17">
        <v>5.016002E8</v>
      </c>
      <c r="B18103" s="17">
        <v>8210301.0</v>
      </c>
    </row>
    <row r="18104">
      <c r="A18104" s="17">
        <v>5.016002E8</v>
      </c>
      <c r="B18104" s="17">
        <v>8210302.0</v>
      </c>
    </row>
    <row r="18105">
      <c r="A18105" s="17">
        <v>5.016002E8</v>
      </c>
      <c r="B18105" s="17">
        <v>8210400.0</v>
      </c>
    </row>
    <row r="18106">
      <c r="A18106" s="17">
        <v>5.016002E8</v>
      </c>
      <c r="B18106" s="17">
        <v>8210401.0</v>
      </c>
    </row>
    <row r="18107">
      <c r="A18107" s="17">
        <v>5.016002E8</v>
      </c>
      <c r="B18107" s="17">
        <v>8210402.0</v>
      </c>
    </row>
    <row r="18108">
      <c r="A18108" s="17">
        <v>5.016002E8</v>
      </c>
      <c r="B18108" s="17">
        <v>8210500.0</v>
      </c>
    </row>
    <row r="18109">
      <c r="A18109" s="17">
        <v>5.016002E8</v>
      </c>
      <c r="B18109" s="17">
        <v>8210501.0</v>
      </c>
    </row>
    <row r="18110">
      <c r="A18110" s="17">
        <v>5.016002E8</v>
      </c>
      <c r="B18110" s="17">
        <v>8210502.0</v>
      </c>
    </row>
    <row r="18111">
      <c r="A18111" s="17">
        <v>5.016002E8</v>
      </c>
      <c r="B18111" s="17">
        <v>8210600.0</v>
      </c>
    </row>
    <row r="18112">
      <c r="A18112" s="17">
        <v>5.016002E8</v>
      </c>
      <c r="B18112" s="17">
        <v>8210601.0</v>
      </c>
    </row>
    <row r="18113">
      <c r="A18113" s="17">
        <v>5.016002E8</v>
      </c>
      <c r="B18113" s="17">
        <v>8210602.0</v>
      </c>
    </row>
    <row r="18114">
      <c r="A18114" s="17">
        <v>5.016002E8</v>
      </c>
      <c r="B18114" s="17">
        <v>8220000.0</v>
      </c>
    </row>
    <row r="18115">
      <c r="A18115" s="17">
        <v>5.016002E8</v>
      </c>
      <c r="B18115" s="17">
        <v>8220001.0</v>
      </c>
    </row>
    <row r="18116">
      <c r="A18116" s="17">
        <v>5.016002E8</v>
      </c>
      <c r="B18116" s="17">
        <v>8220002.0</v>
      </c>
    </row>
    <row r="18117">
      <c r="A18117" s="17">
        <v>5.016002E8</v>
      </c>
      <c r="B18117" s="17">
        <v>8300000.0</v>
      </c>
    </row>
    <row r="18118">
      <c r="A18118" s="17">
        <v>5.016002E8</v>
      </c>
      <c r="B18118" s="17">
        <v>8300001.0</v>
      </c>
    </row>
    <row r="18119">
      <c r="A18119" s="17">
        <v>5.016002E8</v>
      </c>
      <c r="B18119" s="17">
        <v>8300002.0</v>
      </c>
    </row>
    <row r="18120">
      <c r="A18120" s="17">
        <v>5.016002E8</v>
      </c>
      <c r="B18120" s="17">
        <v>8310000.0</v>
      </c>
    </row>
    <row r="18121">
      <c r="A18121" s="17">
        <v>5.016002E8</v>
      </c>
      <c r="B18121" s="17">
        <v>8310001.0</v>
      </c>
    </row>
    <row r="18122">
      <c r="A18122" s="17">
        <v>5.016002E8</v>
      </c>
      <c r="B18122" s="17">
        <v>8310002.0</v>
      </c>
    </row>
    <row r="18123">
      <c r="A18123" s="17">
        <v>5.016002E8</v>
      </c>
      <c r="B18123" s="17">
        <v>8320000.0</v>
      </c>
    </row>
    <row r="18124">
      <c r="A18124" s="17">
        <v>5.016002E8</v>
      </c>
      <c r="B18124" s="17">
        <v>8320001.0</v>
      </c>
    </row>
    <row r="18125">
      <c r="A18125" s="17">
        <v>5.016002E8</v>
      </c>
      <c r="B18125" s="17">
        <v>8320002.0</v>
      </c>
    </row>
    <row r="18126">
      <c r="A18126" s="17">
        <v>5.016002E8</v>
      </c>
      <c r="B18126" s="17">
        <v>8320100.0</v>
      </c>
    </row>
    <row r="18127">
      <c r="A18127" s="17">
        <v>5.016002E8</v>
      </c>
      <c r="B18127" s="17">
        <v>8320101.0</v>
      </c>
    </row>
    <row r="18128">
      <c r="A18128" s="17">
        <v>5.016002E8</v>
      </c>
      <c r="B18128" s="17">
        <v>8320102.0</v>
      </c>
    </row>
    <row r="18129">
      <c r="A18129" s="17">
        <v>5.016002E8</v>
      </c>
      <c r="B18129" s="17">
        <v>8320300.0</v>
      </c>
    </row>
    <row r="18130">
      <c r="A18130" s="17">
        <v>5.016002E8</v>
      </c>
      <c r="B18130" s="17">
        <v>8320301.0</v>
      </c>
    </row>
    <row r="18131">
      <c r="A18131" s="17">
        <v>5.016002E8</v>
      </c>
      <c r="B18131" s="17">
        <v>8320302.0</v>
      </c>
    </row>
    <row r="18132">
      <c r="A18132" s="17">
        <v>5.016002E8</v>
      </c>
      <c r="B18132" s="17">
        <v>8320400.0</v>
      </c>
    </row>
    <row r="18133">
      <c r="A18133" s="17">
        <v>5.016002E8</v>
      </c>
      <c r="B18133" s="17">
        <v>8320410.0</v>
      </c>
    </row>
    <row r="18134">
      <c r="A18134" s="17">
        <v>5.016002E8</v>
      </c>
      <c r="B18134" s="17">
        <v>8320420.0</v>
      </c>
    </row>
    <row r="18135">
      <c r="A18135" s="17">
        <v>5.016002E8</v>
      </c>
      <c r="B18135" s="17">
        <v>8330000.0</v>
      </c>
    </row>
    <row r="18136">
      <c r="A18136" s="17">
        <v>5.016002E8</v>
      </c>
      <c r="B18136" s="17">
        <v>8330001.0</v>
      </c>
    </row>
    <row r="18137">
      <c r="A18137" s="17">
        <v>5.016002E8</v>
      </c>
      <c r="B18137" s="17">
        <v>8330002.0</v>
      </c>
    </row>
    <row r="18138">
      <c r="A18138" s="17">
        <v>5.016002E8</v>
      </c>
      <c r="B18138" s="17">
        <v>8330100.0</v>
      </c>
    </row>
    <row r="18139">
      <c r="A18139" s="17">
        <v>5.016002E8</v>
      </c>
      <c r="B18139" s="17">
        <v>8330101.0</v>
      </c>
    </row>
    <row r="18140">
      <c r="A18140" s="17">
        <v>5.016002E8</v>
      </c>
      <c r="B18140" s="17">
        <v>8330102.0</v>
      </c>
    </row>
    <row r="18141">
      <c r="A18141" s="17">
        <v>5.016002E8</v>
      </c>
      <c r="B18141" s="17">
        <v>8330200.0</v>
      </c>
    </row>
    <row r="18142">
      <c r="A18142" s="17">
        <v>5.016002E8</v>
      </c>
      <c r="B18142" s="17">
        <v>8330201.0</v>
      </c>
    </row>
    <row r="18143">
      <c r="A18143" s="17">
        <v>5.016002E8</v>
      </c>
      <c r="B18143" s="17">
        <v>8330202.0</v>
      </c>
    </row>
    <row r="18144">
      <c r="A18144" s="17">
        <v>5.016002E8</v>
      </c>
      <c r="B18144" s="17">
        <v>8330300.0</v>
      </c>
    </row>
    <row r="18145">
      <c r="A18145" s="17">
        <v>5.016002E8</v>
      </c>
      <c r="B18145" s="17">
        <v>8330301.0</v>
      </c>
    </row>
    <row r="18146">
      <c r="A18146" s="17">
        <v>5.016002E8</v>
      </c>
      <c r="B18146" s="17">
        <v>8330302.0</v>
      </c>
    </row>
    <row r="18147">
      <c r="A18147" s="17">
        <v>5.016002E8</v>
      </c>
      <c r="B18147" s="17">
        <v>8330400.0</v>
      </c>
    </row>
    <row r="18148">
      <c r="A18148" s="17">
        <v>5.016002E8</v>
      </c>
      <c r="B18148" s="17">
        <v>8330401.0</v>
      </c>
    </row>
    <row r="18149">
      <c r="A18149" s="17">
        <v>5.016002E8</v>
      </c>
      <c r="B18149" s="17">
        <v>8330600.0</v>
      </c>
    </row>
    <row r="18150">
      <c r="A18150" s="17">
        <v>5.016002E8</v>
      </c>
      <c r="B18150" s="17">
        <v>8330601.0</v>
      </c>
    </row>
    <row r="18151">
      <c r="A18151" s="17">
        <v>5.016002E8</v>
      </c>
      <c r="B18151" s="17">
        <v>8330602.0</v>
      </c>
    </row>
    <row r="18152">
      <c r="A18152" s="17">
        <v>5.016002E8</v>
      </c>
      <c r="B18152" s="17">
        <v>8330900.0</v>
      </c>
    </row>
    <row r="18153">
      <c r="A18153" s="17">
        <v>5.016002E8</v>
      </c>
      <c r="B18153" s="17">
        <v>8330910.0</v>
      </c>
    </row>
    <row r="18154">
      <c r="A18154" s="17">
        <v>5.016002E8</v>
      </c>
      <c r="B18154" s="17">
        <v>8330920.0</v>
      </c>
    </row>
    <row r="18155">
      <c r="A18155" s="17">
        <v>5.016002E8</v>
      </c>
      <c r="B18155" s="17">
        <v>8340000.0</v>
      </c>
    </row>
    <row r="18156">
      <c r="A18156" s="17">
        <v>5.016002E8</v>
      </c>
      <c r="B18156" s="17">
        <v>8340001.0</v>
      </c>
    </row>
    <row r="18157">
      <c r="A18157" s="17">
        <v>5.016002E8</v>
      </c>
      <c r="B18157" s="17">
        <v>8340002.0</v>
      </c>
    </row>
    <row r="18158">
      <c r="A18158" s="17">
        <v>5.016002E8</v>
      </c>
      <c r="B18158" s="17">
        <v>8340100.0</v>
      </c>
    </row>
    <row r="18159">
      <c r="A18159" s="17">
        <v>5.016002E8</v>
      </c>
      <c r="B18159" s="17">
        <v>8340101.0</v>
      </c>
    </row>
    <row r="18160">
      <c r="A18160" s="17">
        <v>5.016002E8</v>
      </c>
      <c r="B18160" s="17">
        <v>8340102.0</v>
      </c>
    </row>
    <row r="18161">
      <c r="A18161" s="17">
        <v>5.016002E8</v>
      </c>
      <c r="B18161" s="17">
        <v>8350000.0</v>
      </c>
    </row>
    <row r="18162">
      <c r="A18162" s="17">
        <v>5.016002E8</v>
      </c>
      <c r="B18162" s="17">
        <v>8350001.0</v>
      </c>
    </row>
    <row r="18163">
      <c r="A18163" s="17">
        <v>5.016002E8</v>
      </c>
      <c r="B18163" s="17">
        <v>8350002.0</v>
      </c>
    </row>
    <row r="18164">
      <c r="A18164" s="17">
        <v>5.016002E8</v>
      </c>
      <c r="B18164" s="17">
        <v>8350200.0</v>
      </c>
    </row>
    <row r="18165">
      <c r="A18165" s="17">
        <v>5.016002E8</v>
      </c>
      <c r="B18165" s="17">
        <v>8350201.0</v>
      </c>
    </row>
    <row r="18166">
      <c r="A18166" s="17">
        <v>5.016002E8</v>
      </c>
      <c r="B18166" s="17">
        <v>8350202.0</v>
      </c>
    </row>
    <row r="18167">
      <c r="A18167" s="17">
        <v>5.016002E8</v>
      </c>
      <c r="B18167" s="17">
        <v>8420000.0</v>
      </c>
    </row>
    <row r="18168">
      <c r="A18168" s="17">
        <v>5.016002E8</v>
      </c>
      <c r="B18168" s="17">
        <v>8420001.0</v>
      </c>
    </row>
    <row r="18169">
      <c r="A18169" s="17">
        <v>5.016002E8</v>
      </c>
      <c r="B18169" s="17">
        <v>8420002.0</v>
      </c>
    </row>
    <row r="18170">
      <c r="A18170" s="17">
        <v>5.016002E8</v>
      </c>
      <c r="B18170" s="17">
        <v>8450000.0</v>
      </c>
    </row>
    <row r="18171">
      <c r="A18171" s="17">
        <v>5.016002E8</v>
      </c>
      <c r="B18171" s="17">
        <v>8460100.0</v>
      </c>
    </row>
    <row r="18172">
      <c r="A18172" s="17">
        <v>5.016002E8</v>
      </c>
      <c r="B18172" s="17">
        <v>8460300.0</v>
      </c>
    </row>
    <row r="18173">
      <c r="A18173" s="17">
        <v>5.016002E8</v>
      </c>
      <c r="B18173" s="17">
        <v>8460500.0</v>
      </c>
    </row>
    <row r="18174">
      <c r="A18174" s="17">
        <v>5.016002E8</v>
      </c>
      <c r="B18174" s="17">
        <v>8510000.0</v>
      </c>
    </row>
    <row r="18175">
      <c r="A18175" s="17">
        <v>5.016002E8</v>
      </c>
      <c r="B18175" s="17">
        <v>8510001.0</v>
      </c>
    </row>
    <row r="18176">
      <c r="A18176" s="17">
        <v>5.016002E8</v>
      </c>
      <c r="B18176" s="17">
        <v>8510002.0</v>
      </c>
    </row>
    <row r="18177">
      <c r="A18177" s="17">
        <v>5.016002E8</v>
      </c>
      <c r="B18177" s="17">
        <v>8520000.0</v>
      </c>
    </row>
    <row r="18178">
      <c r="A18178" s="17">
        <v>5.016002E8</v>
      </c>
      <c r="B18178" s="17">
        <v>8520001.0</v>
      </c>
    </row>
    <row r="18179">
      <c r="A18179" s="17">
        <v>5.016002E8</v>
      </c>
      <c r="B18179" s="17">
        <v>8520002.0</v>
      </c>
    </row>
    <row r="18180">
      <c r="A18180" s="17">
        <v>5.016002E8</v>
      </c>
      <c r="B18180" s="17">
        <v>8530000.0</v>
      </c>
    </row>
    <row r="18181">
      <c r="A18181" s="17">
        <v>5.016002E8</v>
      </c>
      <c r="B18181" s="17">
        <v>8530100.0</v>
      </c>
    </row>
    <row r="18182">
      <c r="A18182" s="17">
        <v>5.016002E8</v>
      </c>
      <c r="B18182" s="17">
        <v>8540000.0</v>
      </c>
    </row>
    <row r="18183">
      <c r="A18183" s="17">
        <v>5.016002E8</v>
      </c>
      <c r="B18183" s="17">
        <v>8600100.0</v>
      </c>
    </row>
    <row r="18184">
      <c r="A18184" s="17">
        <v>5.016002E8</v>
      </c>
      <c r="B18184" s="17">
        <v>8600101.0</v>
      </c>
    </row>
    <row r="18185">
      <c r="A18185" s="17">
        <v>5.016002E8</v>
      </c>
      <c r="B18185" s="17">
        <v>8600102.0</v>
      </c>
    </row>
    <row r="18186">
      <c r="A18186" s="17">
        <v>5.016002E8</v>
      </c>
      <c r="B18186" s="17">
        <v>8600200.0</v>
      </c>
    </row>
    <row r="18187">
      <c r="A18187" s="17">
        <v>5.016002E8</v>
      </c>
      <c r="B18187" s="17">
        <v>8600201.0</v>
      </c>
    </row>
    <row r="18188">
      <c r="A18188" s="17">
        <v>5.016002E8</v>
      </c>
      <c r="B18188" s="17">
        <v>8600202.0</v>
      </c>
    </row>
    <row r="18189">
      <c r="A18189" s="17">
        <v>5.016002E8</v>
      </c>
      <c r="B18189" s="17">
        <v>8610700.0</v>
      </c>
    </row>
    <row r="18190">
      <c r="A18190" s="17">
        <v>5.016002E8</v>
      </c>
      <c r="B18190" s="17">
        <v>8610710.0</v>
      </c>
    </row>
    <row r="18191">
      <c r="A18191" s="17">
        <v>5.016002E8</v>
      </c>
      <c r="B18191" s="17">
        <v>8610720.0</v>
      </c>
    </row>
    <row r="18192">
      <c r="A18192" s="17">
        <v>5.016002E8</v>
      </c>
      <c r="B18192" s="17">
        <v>8620000.0</v>
      </c>
    </row>
    <row r="18193">
      <c r="A18193" s="17">
        <v>5.016002E8</v>
      </c>
      <c r="B18193" s="17">
        <v>8620010.0</v>
      </c>
    </row>
    <row r="18194">
      <c r="A18194" s="17">
        <v>5.016002E8</v>
      </c>
      <c r="B18194" s="17">
        <v>8620020.0</v>
      </c>
    </row>
    <row r="18195">
      <c r="A18195" s="17">
        <v>5.016002E8</v>
      </c>
      <c r="B18195" s="17">
        <v>8620100.0</v>
      </c>
    </row>
    <row r="18196">
      <c r="A18196" s="17">
        <v>5.016002E8</v>
      </c>
      <c r="B18196" s="17">
        <v>8620110.0</v>
      </c>
    </row>
    <row r="18197">
      <c r="A18197" s="17">
        <v>5.016002E8</v>
      </c>
      <c r="B18197" s="17">
        <v>8620120.0</v>
      </c>
    </row>
    <row r="18198">
      <c r="A18198" s="17">
        <v>5.016002E8</v>
      </c>
      <c r="B18198" s="17">
        <v>8630000.0</v>
      </c>
    </row>
    <row r="18199">
      <c r="A18199" s="17">
        <v>5.016002E8</v>
      </c>
      <c r="B18199" s="17">
        <v>8630000.0</v>
      </c>
    </row>
    <row r="18200">
      <c r="A18200" s="17">
        <v>5.016002E8</v>
      </c>
      <c r="B18200" s="17">
        <v>8630000.0</v>
      </c>
    </row>
    <row r="18201">
      <c r="A18201" s="17">
        <v>5.016002E8</v>
      </c>
      <c r="B18201" s="17">
        <v>8630100.0</v>
      </c>
    </row>
    <row r="18202">
      <c r="A18202" s="17">
        <v>5.016002E8</v>
      </c>
      <c r="B18202" s="17">
        <v>8630100.0</v>
      </c>
    </row>
    <row r="18203">
      <c r="A18203" s="17">
        <v>5.016002E8</v>
      </c>
      <c r="B18203" s="17">
        <v>8630100.0</v>
      </c>
    </row>
    <row r="18204">
      <c r="A18204" s="17">
        <v>5.016002E8</v>
      </c>
      <c r="B18204" s="17">
        <v>8652000.0</v>
      </c>
    </row>
    <row r="18205">
      <c r="A18205" s="17">
        <v>5.016002E8</v>
      </c>
      <c r="B18205" s="17">
        <v>8652010.0</v>
      </c>
    </row>
    <row r="18206">
      <c r="A18206" s="17">
        <v>5.016002E8</v>
      </c>
      <c r="B18206" s="17">
        <v>8652020.0</v>
      </c>
    </row>
    <row r="18207">
      <c r="A18207" s="17">
        <v>5.016002E8</v>
      </c>
      <c r="B18207" s="17">
        <v>8652100.0</v>
      </c>
    </row>
    <row r="18208">
      <c r="A18208" s="17">
        <v>5.016002E8</v>
      </c>
      <c r="B18208" s="17">
        <v>8652110.0</v>
      </c>
    </row>
    <row r="18209">
      <c r="A18209" s="17">
        <v>5.016002E8</v>
      </c>
      <c r="B18209" s="17">
        <v>8652120.0</v>
      </c>
    </row>
    <row r="18210">
      <c r="A18210" s="17">
        <v>5.016002E8</v>
      </c>
      <c r="B18210" s="17">
        <v>8660000.0</v>
      </c>
    </row>
    <row r="18211">
      <c r="A18211" s="17">
        <v>5.016002E8</v>
      </c>
      <c r="B18211" s="17">
        <v>8660001.0</v>
      </c>
    </row>
    <row r="18212">
      <c r="A18212" s="17">
        <v>5.016002E8</v>
      </c>
      <c r="B18212" s="17">
        <v>8660002.0</v>
      </c>
    </row>
    <row r="18213">
      <c r="A18213" s="17">
        <v>5.016002E8</v>
      </c>
      <c r="B18213" s="17">
        <v>8660100.0</v>
      </c>
    </row>
    <row r="18214">
      <c r="A18214" s="17">
        <v>5.016002E8</v>
      </c>
      <c r="B18214" s="17">
        <v>8660101.0</v>
      </c>
    </row>
    <row r="18215">
      <c r="A18215" s="17">
        <v>5.016002E8</v>
      </c>
      <c r="B18215" s="17">
        <v>8660102.0</v>
      </c>
    </row>
    <row r="18216">
      <c r="A18216" s="17">
        <v>5.016002E8</v>
      </c>
      <c r="B18216" s="17">
        <v>8670000.0</v>
      </c>
    </row>
    <row r="18217">
      <c r="A18217" s="17">
        <v>5.016002E8</v>
      </c>
      <c r="B18217" s="17">
        <v>8670001.0</v>
      </c>
    </row>
    <row r="18218">
      <c r="A18218" s="17">
        <v>5.016002E8</v>
      </c>
      <c r="B18218" s="17">
        <v>8670002.0</v>
      </c>
    </row>
    <row r="18219">
      <c r="A18219" s="17">
        <v>5.016002E8</v>
      </c>
      <c r="B18219" s="17">
        <v>8670100.0</v>
      </c>
    </row>
    <row r="18220">
      <c r="A18220" s="17">
        <v>5.016002E8</v>
      </c>
      <c r="B18220" s="17">
        <v>8670101.0</v>
      </c>
    </row>
    <row r="18221">
      <c r="A18221" s="17">
        <v>5.016002E8</v>
      </c>
      <c r="B18221" s="17">
        <v>8670102.0</v>
      </c>
    </row>
    <row r="18222">
      <c r="A18222" s="17">
        <v>5.016002E8</v>
      </c>
      <c r="B18222" s="17">
        <v>8690000.0</v>
      </c>
    </row>
    <row r="18223">
      <c r="A18223" s="17">
        <v>5.016002E8</v>
      </c>
      <c r="B18223" s="17">
        <v>8690100.0</v>
      </c>
    </row>
    <row r="18224">
      <c r="A18224" s="17">
        <v>5.016002E8</v>
      </c>
      <c r="B18224" s="17">
        <v>8690200.0</v>
      </c>
    </row>
    <row r="18225">
      <c r="A18225" s="17">
        <v>5.016002E8</v>
      </c>
      <c r="B18225" s="17">
        <v>8690300.0</v>
      </c>
    </row>
    <row r="18226">
      <c r="A18226" s="17">
        <v>5.016002E8</v>
      </c>
      <c r="B18226" s="17">
        <v>8690400.0</v>
      </c>
    </row>
    <row r="18227">
      <c r="A18227" s="17">
        <v>5.016002E8</v>
      </c>
      <c r="B18227" s="17">
        <v>8320500.0</v>
      </c>
    </row>
    <row r="18228">
      <c r="A18228" s="17">
        <v>5.016002E8</v>
      </c>
      <c r="B18228" s="17">
        <v>8320510.0</v>
      </c>
    </row>
    <row r="18229">
      <c r="A18229" s="17">
        <v>5.016002E8</v>
      </c>
      <c r="B18229" s="17">
        <v>8320520.0</v>
      </c>
    </row>
    <row r="18230">
      <c r="A18230" s="17">
        <v>5.016002E8</v>
      </c>
      <c r="B18230" s="17">
        <v>8320600.0</v>
      </c>
    </row>
    <row r="18231">
      <c r="A18231" s="17">
        <v>5.016002E8</v>
      </c>
      <c r="B18231" s="17">
        <v>8320610.0</v>
      </c>
    </row>
    <row r="18232">
      <c r="A18232" s="17">
        <v>5.016002E8</v>
      </c>
      <c r="B18232" s="17">
        <v>8320620.0</v>
      </c>
    </row>
    <row r="18233">
      <c r="A18233" s="17">
        <v>5.016002E8</v>
      </c>
      <c r="B18233" s="17">
        <v>8320700.0</v>
      </c>
    </row>
    <row r="18234">
      <c r="A18234" s="17">
        <v>5.016002E8</v>
      </c>
      <c r="B18234" s="17">
        <v>8320710.0</v>
      </c>
    </row>
    <row r="18235">
      <c r="A18235" s="17">
        <v>5.016002E8</v>
      </c>
      <c r="B18235" s="17">
        <v>8320720.0</v>
      </c>
    </row>
    <row r="18236">
      <c r="A18236" s="17">
        <v>5.050001E8</v>
      </c>
      <c r="B18236" s="17">
        <v>0.0</v>
      </c>
    </row>
    <row r="18237">
      <c r="A18237" s="17">
        <v>5.050001E8</v>
      </c>
      <c r="B18237" s="17">
        <v>8100100.0</v>
      </c>
    </row>
    <row r="18238">
      <c r="A18238" s="17">
        <v>5.050001E8</v>
      </c>
      <c r="B18238" s="17">
        <v>8100101.0</v>
      </c>
    </row>
    <row r="18239">
      <c r="A18239" s="17">
        <v>5.050001E8</v>
      </c>
      <c r="B18239" s="17">
        <v>8100102.0</v>
      </c>
    </row>
    <row r="18240">
      <c r="A18240" s="17">
        <v>5.050001E8</v>
      </c>
      <c r="B18240" s="17">
        <v>8100200.0</v>
      </c>
    </row>
    <row r="18241">
      <c r="A18241" s="17">
        <v>5.050001E8</v>
      </c>
      <c r="B18241" s="17">
        <v>8100201.0</v>
      </c>
    </row>
    <row r="18242">
      <c r="A18242" s="17">
        <v>5.050001E8</v>
      </c>
      <c r="B18242" s="17">
        <v>8100202.0</v>
      </c>
    </row>
    <row r="18243">
      <c r="A18243" s="17">
        <v>5.050001E8</v>
      </c>
      <c r="B18243" s="17">
        <v>8100300.0</v>
      </c>
    </row>
    <row r="18244">
      <c r="A18244" s="17">
        <v>5.050001E8</v>
      </c>
      <c r="B18244" s="17">
        <v>8100301.0</v>
      </c>
    </row>
    <row r="18245">
      <c r="A18245" s="17">
        <v>5.050001E8</v>
      </c>
      <c r="B18245" s="17">
        <v>8100302.0</v>
      </c>
    </row>
    <row r="18246">
      <c r="A18246" s="17">
        <v>5.050001E8</v>
      </c>
      <c r="B18246" s="17">
        <v>8100400.0</v>
      </c>
    </row>
    <row r="18247">
      <c r="A18247" s="17">
        <v>5.050001E8</v>
      </c>
      <c r="B18247" s="17">
        <v>8100401.0</v>
      </c>
    </row>
    <row r="18248">
      <c r="A18248" s="17">
        <v>5.050001E8</v>
      </c>
      <c r="B18248" s="17">
        <v>8100402.0</v>
      </c>
    </row>
    <row r="18249">
      <c r="A18249" s="17">
        <v>5.050001E8</v>
      </c>
      <c r="B18249" s="17">
        <v>8130000.0</v>
      </c>
    </row>
    <row r="18250">
      <c r="A18250" s="17">
        <v>5.050001E8</v>
      </c>
      <c r="B18250" s="17">
        <v>8130001.0</v>
      </c>
    </row>
    <row r="18251">
      <c r="A18251" s="17">
        <v>5.050001E8</v>
      </c>
      <c r="B18251" s="17">
        <v>8130002.0</v>
      </c>
    </row>
    <row r="18252">
      <c r="A18252" s="17">
        <v>5.050001E8</v>
      </c>
      <c r="B18252" s="17">
        <v>8140000.0</v>
      </c>
    </row>
    <row r="18253">
      <c r="A18253" s="17">
        <v>5.050001E8</v>
      </c>
      <c r="B18253" s="17">
        <v>8140001.0</v>
      </c>
    </row>
    <row r="18254">
      <c r="A18254" s="17">
        <v>5.050001E8</v>
      </c>
      <c r="B18254" s="17">
        <v>8140002.0</v>
      </c>
    </row>
    <row r="18255">
      <c r="A18255" s="17">
        <v>5.050001E8</v>
      </c>
      <c r="B18255" s="17">
        <v>8200100.0</v>
      </c>
    </row>
    <row r="18256">
      <c r="A18256" s="17">
        <v>5.050001E8</v>
      </c>
      <c r="B18256" s="17">
        <v>8200101.0</v>
      </c>
    </row>
    <row r="18257">
      <c r="A18257" s="17">
        <v>5.050001E8</v>
      </c>
      <c r="B18257" s="17">
        <v>8200102.0</v>
      </c>
    </row>
    <row r="18258">
      <c r="A18258" s="17">
        <v>5.050001E8</v>
      </c>
      <c r="B18258" s="17">
        <v>8200200.0</v>
      </c>
    </row>
    <row r="18259">
      <c r="A18259" s="17">
        <v>5.050001E8</v>
      </c>
      <c r="B18259" s="17">
        <v>8200201.0</v>
      </c>
    </row>
    <row r="18260">
      <c r="A18260" s="17">
        <v>5.050001E8</v>
      </c>
      <c r="B18260" s="17">
        <v>8200202.0</v>
      </c>
    </row>
    <row r="18261">
      <c r="A18261" s="17">
        <v>5.050001E8</v>
      </c>
      <c r="B18261" s="17">
        <v>8200300.0</v>
      </c>
    </row>
    <row r="18262">
      <c r="A18262" s="17">
        <v>5.050001E8</v>
      </c>
      <c r="B18262" s="17">
        <v>8200301.0</v>
      </c>
    </row>
    <row r="18263">
      <c r="A18263" s="17">
        <v>5.050001E8</v>
      </c>
      <c r="B18263" s="17">
        <v>8200302.0</v>
      </c>
    </row>
    <row r="18264">
      <c r="A18264" s="17">
        <v>5.050001E8</v>
      </c>
      <c r="B18264" s="17">
        <v>8200400.0</v>
      </c>
    </row>
    <row r="18265">
      <c r="A18265" s="17">
        <v>5.050001E8</v>
      </c>
      <c r="B18265" s="17">
        <v>8200401.0</v>
      </c>
    </row>
    <row r="18266">
      <c r="A18266" s="17">
        <v>5.050001E8</v>
      </c>
      <c r="B18266" s="17">
        <v>8200402.0</v>
      </c>
    </row>
    <row r="18267">
      <c r="A18267" s="17">
        <v>5.050001E8</v>
      </c>
      <c r="B18267" s="17">
        <v>8210000.0</v>
      </c>
    </row>
    <row r="18268">
      <c r="A18268" s="17">
        <v>5.050001E8</v>
      </c>
      <c r="B18268" s="17">
        <v>8210001.0</v>
      </c>
    </row>
    <row r="18269">
      <c r="A18269" s="17">
        <v>5.050001E8</v>
      </c>
      <c r="B18269" s="17">
        <v>8210002.0</v>
      </c>
    </row>
    <row r="18270">
      <c r="A18270" s="17">
        <v>5.050001E8</v>
      </c>
      <c r="B18270" s="17">
        <v>8210100.0</v>
      </c>
    </row>
    <row r="18271">
      <c r="A18271" s="17">
        <v>5.050001E8</v>
      </c>
      <c r="B18271" s="17">
        <v>8210101.0</v>
      </c>
    </row>
    <row r="18272">
      <c r="A18272" s="17">
        <v>5.050001E8</v>
      </c>
      <c r="B18272" s="17">
        <v>8210102.0</v>
      </c>
    </row>
    <row r="18273">
      <c r="A18273" s="17">
        <v>5.050001E8</v>
      </c>
      <c r="B18273" s="17">
        <v>8210200.0</v>
      </c>
    </row>
    <row r="18274">
      <c r="A18274" s="17">
        <v>5.050001E8</v>
      </c>
      <c r="B18274" s="17">
        <v>8210201.0</v>
      </c>
    </row>
    <row r="18275">
      <c r="A18275" s="17">
        <v>5.050001E8</v>
      </c>
      <c r="B18275" s="17">
        <v>8210202.0</v>
      </c>
    </row>
    <row r="18276">
      <c r="A18276" s="17">
        <v>5.050001E8</v>
      </c>
      <c r="B18276" s="17">
        <v>8210300.0</v>
      </c>
    </row>
    <row r="18277">
      <c r="A18277" s="17">
        <v>5.050001E8</v>
      </c>
      <c r="B18277" s="17">
        <v>8210301.0</v>
      </c>
    </row>
    <row r="18278">
      <c r="A18278" s="17">
        <v>5.050001E8</v>
      </c>
      <c r="B18278" s="17">
        <v>8210302.0</v>
      </c>
    </row>
    <row r="18279">
      <c r="A18279" s="17">
        <v>5.050001E8</v>
      </c>
      <c r="B18279" s="17">
        <v>8210400.0</v>
      </c>
    </row>
    <row r="18280">
      <c r="A18280" s="17">
        <v>5.050001E8</v>
      </c>
      <c r="B18280" s="17">
        <v>8210401.0</v>
      </c>
    </row>
    <row r="18281">
      <c r="A18281" s="17">
        <v>5.050001E8</v>
      </c>
      <c r="B18281" s="17">
        <v>8210402.0</v>
      </c>
    </row>
    <row r="18282">
      <c r="A18282" s="17">
        <v>5.050001E8</v>
      </c>
      <c r="B18282" s="17">
        <v>8210500.0</v>
      </c>
    </row>
    <row r="18283">
      <c r="A18283" s="17">
        <v>5.050001E8</v>
      </c>
      <c r="B18283" s="17">
        <v>8210501.0</v>
      </c>
    </row>
    <row r="18284">
      <c r="A18284" s="17">
        <v>5.050001E8</v>
      </c>
      <c r="B18284" s="17">
        <v>8210502.0</v>
      </c>
    </row>
    <row r="18285">
      <c r="A18285" s="17">
        <v>5.050001E8</v>
      </c>
      <c r="B18285" s="17">
        <v>8210600.0</v>
      </c>
    </row>
    <row r="18286">
      <c r="A18286" s="17">
        <v>5.050001E8</v>
      </c>
      <c r="B18286" s="17">
        <v>8210601.0</v>
      </c>
    </row>
    <row r="18287">
      <c r="A18287" s="17">
        <v>5.050001E8</v>
      </c>
      <c r="B18287" s="17">
        <v>8210602.0</v>
      </c>
    </row>
    <row r="18288">
      <c r="A18288" s="17">
        <v>5.050001E8</v>
      </c>
      <c r="B18288" s="17">
        <v>8220000.0</v>
      </c>
    </row>
    <row r="18289">
      <c r="A18289" s="17">
        <v>5.050001E8</v>
      </c>
      <c r="B18289" s="17">
        <v>8220001.0</v>
      </c>
    </row>
    <row r="18290">
      <c r="A18290" s="17">
        <v>5.050001E8</v>
      </c>
      <c r="B18290" s="17">
        <v>8220002.0</v>
      </c>
    </row>
    <row r="18291">
      <c r="A18291" s="17">
        <v>5.050001E8</v>
      </c>
      <c r="B18291" s="17">
        <v>8300000.0</v>
      </c>
    </row>
    <row r="18292">
      <c r="A18292" s="17">
        <v>5.050001E8</v>
      </c>
      <c r="B18292" s="17">
        <v>8300001.0</v>
      </c>
    </row>
    <row r="18293">
      <c r="A18293" s="17">
        <v>5.050001E8</v>
      </c>
      <c r="B18293" s="17">
        <v>8300002.0</v>
      </c>
    </row>
    <row r="18294">
      <c r="A18294" s="17">
        <v>5.050001E8</v>
      </c>
      <c r="B18294" s="17">
        <v>8310000.0</v>
      </c>
    </row>
    <row r="18295">
      <c r="A18295" s="17">
        <v>5.050001E8</v>
      </c>
      <c r="B18295" s="17">
        <v>8310001.0</v>
      </c>
    </row>
    <row r="18296">
      <c r="A18296" s="17">
        <v>5.050001E8</v>
      </c>
      <c r="B18296" s="17">
        <v>8310002.0</v>
      </c>
    </row>
    <row r="18297">
      <c r="A18297" s="17">
        <v>5.050001E8</v>
      </c>
      <c r="B18297" s="17">
        <v>8320000.0</v>
      </c>
    </row>
    <row r="18298">
      <c r="A18298" s="17">
        <v>5.050001E8</v>
      </c>
      <c r="B18298" s="17">
        <v>8320001.0</v>
      </c>
    </row>
    <row r="18299">
      <c r="A18299" s="17">
        <v>5.050001E8</v>
      </c>
      <c r="B18299" s="17">
        <v>8320002.0</v>
      </c>
    </row>
    <row r="18300">
      <c r="A18300" s="17">
        <v>5.050001E8</v>
      </c>
      <c r="B18300" s="17">
        <v>8320100.0</v>
      </c>
    </row>
    <row r="18301">
      <c r="A18301" s="17">
        <v>5.050001E8</v>
      </c>
      <c r="B18301" s="17">
        <v>8320101.0</v>
      </c>
    </row>
    <row r="18302">
      <c r="A18302" s="17">
        <v>5.050001E8</v>
      </c>
      <c r="B18302" s="17">
        <v>8320102.0</v>
      </c>
    </row>
    <row r="18303">
      <c r="A18303" s="17">
        <v>5.050001E8</v>
      </c>
      <c r="B18303" s="17">
        <v>8320300.0</v>
      </c>
    </row>
    <row r="18304">
      <c r="A18304" s="17">
        <v>5.050001E8</v>
      </c>
      <c r="B18304" s="17">
        <v>8320301.0</v>
      </c>
    </row>
    <row r="18305">
      <c r="A18305" s="17">
        <v>5.050001E8</v>
      </c>
      <c r="B18305" s="17">
        <v>8320302.0</v>
      </c>
    </row>
    <row r="18306">
      <c r="A18306" s="17">
        <v>5.050001E8</v>
      </c>
      <c r="B18306" s="17">
        <v>8320400.0</v>
      </c>
    </row>
    <row r="18307">
      <c r="A18307" s="17">
        <v>5.050001E8</v>
      </c>
      <c r="B18307" s="17">
        <v>8320410.0</v>
      </c>
    </row>
    <row r="18308">
      <c r="A18308" s="17">
        <v>5.050001E8</v>
      </c>
      <c r="B18308" s="17">
        <v>8320420.0</v>
      </c>
    </row>
    <row r="18309">
      <c r="A18309" s="17">
        <v>5.050001E8</v>
      </c>
      <c r="B18309" s="17">
        <v>8330000.0</v>
      </c>
    </row>
    <row r="18310">
      <c r="A18310" s="17">
        <v>5.050001E8</v>
      </c>
      <c r="B18310" s="17">
        <v>8330001.0</v>
      </c>
    </row>
    <row r="18311">
      <c r="A18311" s="17">
        <v>5.050001E8</v>
      </c>
      <c r="B18311" s="17">
        <v>8330002.0</v>
      </c>
    </row>
    <row r="18312">
      <c r="A18312" s="17">
        <v>5.050001E8</v>
      </c>
      <c r="B18312" s="17">
        <v>8330100.0</v>
      </c>
    </row>
    <row r="18313">
      <c r="A18313" s="17">
        <v>5.050001E8</v>
      </c>
      <c r="B18313" s="17">
        <v>8330101.0</v>
      </c>
    </row>
    <row r="18314">
      <c r="A18314" s="17">
        <v>5.050001E8</v>
      </c>
      <c r="B18314" s="17">
        <v>8330102.0</v>
      </c>
    </row>
    <row r="18315">
      <c r="A18315" s="17">
        <v>5.050001E8</v>
      </c>
      <c r="B18315" s="17">
        <v>8330200.0</v>
      </c>
    </row>
    <row r="18316">
      <c r="A18316" s="17">
        <v>5.050001E8</v>
      </c>
      <c r="B18316" s="17">
        <v>8330201.0</v>
      </c>
    </row>
    <row r="18317">
      <c r="A18317" s="17">
        <v>5.050001E8</v>
      </c>
      <c r="B18317" s="17">
        <v>8330202.0</v>
      </c>
    </row>
    <row r="18318">
      <c r="A18318" s="17">
        <v>5.050001E8</v>
      </c>
      <c r="B18318" s="17">
        <v>8330300.0</v>
      </c>
    </row>
    <row r="18319">
      <c r="A18319" s="17">
        <v>5.050001E8</v>
      </c>
      <c r="B18319" s="17">
        <v>8330301.0</v>
      </c>
    </row>
    <row r="18320">
      <c r="A18320" s="17">
        <v>5.050001E8</v>
      </c>
      <c r="B18320" s="17">
        <v>8330302.0</v>
      </c>
    </row>
    <row r="18321">
      <c r="A18321" s="17">
        <v>5.050001E8</v>
      </c>
      <c r="B18321" s="17">
        <v>8330400.0</v>
      </c>
    </row>
    <row r="18322">
      <c r="A18322" s="17">
        <v>5.050001E8</v>
      </c>
      <c r="B18322" s="17">
        <v>8330401.0</v>
      </c>
    </row>
    <row r="18323">
      <c r="A18323" s="17">
        <v>5.050001E8</v>
      </c>
      <c r="B18323" s="17">
        <v>8330600.0</v>
      </c>
    </row>
    <row r="18324">
      <c r="A18324" s="17">
        <v>5.050001E8</v>
      </c>
      <c r="B18324" s="17">
        <v>8330601.0</v>
      </c>
    </row>
    <row r="18325">
      <c r="A18325" s="17">
        <v>5.050001E8</v>
      </c>
      <c r="B18325" s="17">
        <v>8330602.0</v>
      </c>
    </row>
    <row r="18326">
      <c r="A18326" s="17">
        <v>5.050001E8</v>
      </c>
      <c r="B18326" s="17">
        <v>8330900.0</v>
      </c>
    </row>
    <row r="18327">
      <c r="A18327" s="17">
        <v>5.050001E8</v>
      </c>
      <c r="B18327" s="17">
        <v>8330910.0</v>
      </c>
    </row>
    <row r="18328">
      <c r="A18328" s="17">
        <v>5.050001E8</v>
      </c>
      <c r="B18328" s="17">
        <v>8330920.0</v>
      </c>
    </row>
    <row r="18329">
      <c r="A18329" s="17">
        <v>5.050001E8</v>
      </c>
      <c r="B18329" s="17">
        <v>8340000.0</v>
      </c>
    </row>
    <row r="18330">
      <c r="A18330" s="17">
        <v>5.050001E8</v>
      </c>
      <c r="B18330" s="17">
        <v>8340001.0</v>
      </c>
    </row>
    <row r="18331">
      <c r="A18331" s="17">
        <v>5.050001E8</v>
      </c>
      <c r="B18331" s="17">
        <v>8340002.0</v>
      </c>
    </row>
    <row r="18332">
      <c r="A18332" s="17">
        <v>5.050001E8</v>
      </c>
      <c r="B18332" s="17">
        <v>8340100.0</v>
      </c>
    </row>
    <row r="18333">
      <c r="A18333" s="17">
        <v>5.050001E8</v>
      </c>
      <c r="B18333" s="17">
        <v>8340101.0</v>
      </c>
    </row>
    <row r="18334">
      <c r="A18334" s="17">
        <v>5.050001E8</v>
      </c>
      <c r="B18334" s="17">
        <v>8340102.0</v>
      </c>
    </row>
    <row r="18335">
      <c r="A18335" s="17">
        <v>5.050001E8</v>
      </c>
      <c r="B18335" s="17">
        <v>8350000.0</v>
      </c>
    </row>
    <row r="18336">
      <c r="A18336" s="17">
        <v>5.050001E8</v>
      </c>
      <c r="B18336" s="17">
        <v>8350001.0</v>
      </c>
    </row>
    <row r="18337">
      <c r="A18337" s="17">
        <v>5.050001E8</v>
      </c>
      <c r="B18337" s="17">
        <v>8350002.0</v>
      </c>
    </row>
    <row r="18338">
      <c r="A18338" s="17">
        <v>5.050001E8</v>
      </c>
      <c r="B18338" s="17">
        <v>8350200.0</v>
      </c>
    </row>
    <row r="18339">
      <c r="A18339" s="17">
        <v>5.050001E8</v>
      </c>
      <c r="B18339" s="17">
        <v>8350201.0</v>
      </c>
    </row>
    <row r="18340">
      <c r="A18340" s="17">
        <v>5.050001E8</v>
      </c>
      <c r="B18340" s="17">
        <v>8350202.0</v>
      </c>
    </row>
    <row r="18341">
      <c r="A18341" s="17">
        <v>5.050001E8</v>
      </c>
      <c r="B18341" s="17">
        <v>8420000.0</v>
      </c>
    </row>
    <row r="18342">
      <c r="A18342" s="17">
        <v>5.050001E8</v>
      </c>
      <c r="B18342" s="17">
        <v>8420001.0</v>
      </c>
    </row>
    <row r="18343">
      <c r="A18343" s="17">
        <v>5.050001E8</v>
      </c>
      <c r="B18343" s="17">
        <v>8420002.0</v>
      </c>
    </row>
    <row r="18344">
      <c r="A18344" s="17">
        <v>5.050001E8</v>
      </c>
      <c r="B18344" s="17">
        <v>8450000.0</v>
      </c>
    </row>
    <row r="18345">
      <c r="A18345" s="17">
        <v>5.050001E8</v>
      </c>
      <c r="B18345" s="17">
        <v>8460100.0</v>
      </c>
    </row>
    <row r="18346">
      <c r="A18346" s="17">
        <v>5.050001E8</v>
      </c>
      <c r="B18346" s="17">
        <v>8460300.0</v>
      </c>
    </row>
    <row r="18347">
      <c r="A18347" s="17">
        <v>5.050001E8</v>
      </c>
      <c r="B18347" s="17">
        <v>8460500.0</v>
      </c>
    </row>
    <row r="18348">
      <c r="A18348" s="17">
        <v>5.050001E8</v>
      </c>
      <c r="B18348" s="17">
        <v>8510000.0</v>
      </c>
    </row>
    <row r="18349">
      <c r="A18349" s="17">
        <v>5.050001E8</v>
      </c>
      <c r="B18349" s="17">
        <v>8510001.0</v>
      </c>
    </row>
    <row r="18350">
      <c r="A18350" s="17">
        <v>5.050001E8</v>
      </c>
      <c r="B18350" s="17">
        <v>8510002.0</v>
      </c>
    </row>
    <row r="18351">
      <c r="A18351" s="17">
        <v>5.050001E8</v>
      </c>
      <c r="B18351" s="17">
        <v>8520000.0</v>
      </c>
    </row>
    <row r="18352">
      <c r="A18352" s="17">
        <v>5.050001E8</v>
      </c>
      <c r="B18352" s="17">
        <v>8520001.0</v>
      </c>
    </row>
    <row r="18353">
      <c r="A18353" s="17">
        <v>5.050001E8</v>
      </c>
      <c r="B18353" s="17">
        <v>8520002.0</v>
      </c>
    </row>
    <row r="18354">
      <c r="A18354" s="17">
        <v>5.050001E8</v>
      </c>
      <c r="B18354" s="17">
        <v>8530000.0</v>
      </c>
    </row>
    <row r="18355">
      <c r="A18355" s="17">
        <v>5.050001E8</v>
      </c>
      <c r="B18355" s="17">
        <v>8530100.0</v>
      </c>
    </row>
    <row r="18356">
      <c r="A18356" s="17">
        <v>5.050001E8</v>
      </c>
      <c r="B18356" s="17">
        <v>8540000.0</v>
      </c>
    </row>
    <row r="18357">
      <c r="A18357" s="17">
        <v>5.050001E8</v>
      </c>
      <c r="B18357" s="17">
        <v>8600100.0</v>
      </c>
    </row>
    <row r="18358">
      <c r="A18358" s="17">
        <v>5.050001E8</v>
      </c>
      <c r="B18358" s="17">
        <v>8600101.0</v>
      </c>
    </row>
    <row r="18359">
      <c r="A18359" s="17">
        <v>5.050001E8</v>
      </c>
      <c r="B18359" s="17">
        <v>8600102.0</v>
      </c>
    </row>
    <row r="18360">
      <c r="A18360" s="17">
        <v>5.050001E8</v>
      </c>
      <c r="B18360" s="17">
        <v>8600200.0</v>
      </c>
    </row>
    <row r="18361">
      <c r="A18361" s="17">
        <v>5.050001E8</v>
      </c>
      <c r="B18361" s="17">
        <v>8600201.0</v>
      </c>
    </row>
    <row r="18362">
      <c r="A18362" s="17">
        <v>5.050001E8</v>
      </c>
      <c r="B18362" s="17">
        <v>8600202.0</v>
      </c>
    </row>
    <row r="18363">
      <c r="A18363" s="17">
        <v>5.050001E8</v>
      </c>
      <c r="B18363" s="17">
        <v>8610300.0</v>
      </c>
    </row>
    <row r="18364">
      <c r="A18364" s="17">
        <v>5.050001E8</v>
      </c>
      <c r="B18364" s="17">
        <v>8610400.0</v>
      </c>
    </row>
    <row r="18365">
      <c r="A18365" s="17">
        <v>5.050001E8</v>
      </c>
      <c r="B18365" s="17">
        <v>8610500.0</v>
      </c>
    </row>
    <row r="18366">
      <c r="A18366" s="17">
        <v>5.050001E8</v>
      </c>
      <c r="B18366" s="17">
        <v>8610600.0</v>
      </c>
    </row>
    <row r="18367">
      <c r="A18367" s="17">
        <v>5.050001E8</v>
      </c>
      <c r="B18367" s="17">
        <v>8610700.0</v>
      </c>
    </row>
    <row r="18368">
      <c r="A18368" s="17">
        <v>5.050001E8</v>
      </c>
      <c r="B18368" s="17">
        <v>8610710.0</v>
      </c>
    </row>
    <row r="18369">
      <c r="A18369" s="17">
        <v>5.050001E8</v>
      </c>
      <c r="B18369" s="17">
        <v>8610720.0</v>
      </c>
    </row>
    <row r="18370">
      <c r="A18370" s="17">
        <v>5.050001E8</v>
      </c>
      <c r="B18370" s="17">
        <v>8620000.0</v>
      </c>
    </row>
    <row r="18371">
      <c r="A18371" s="17">
        <v>5.050001E8</v>
      </c>
      <c r="B18371" s="17">
        <v>8620010.0</v>
      </c>
    </row>
    <row r="18372">
      <c r="A18372" s="17">
        <v>5.050001E8</v>
      </c>
      <c r="B18372" s="17">
        <v>8620020.0</v>
      </c>
    </row>
    <row r="18373">
      <c r="A18373" s="17">
        <v>5.050001E8</v>
      </c>
      <c r="B18373" s="17">
        <v>8620100.0</v>
      </c>
    </row>
    <row r="18374">
      <c r="A18374" s="17">
        <v>5.050001E8</v>
      </c>
      <c r="B18374" s="17">
        <v>8620110.0</v>
      </c>
    </row>
    <row r="18375">
      <c r="A18375" s="17">
        <v>5.050001E8</v>
      </c>
      <c r="B18375" s="17">
        <v>8620120.0</v>
      </c>
    </row>
    <row r="18376">
      <c r="A18376" s="17">
        <v>5.050001E8</v>
      </c>
      <c r="B18376" s="17">
        <v>8630000.0</v>
      </c>
    </row>
    <row r="18377">
      <c r="A18377" s="17">
        <v>5.050001E8</v>
      </c>
      <c r="B18377" s="17">
        <v>8630000.0</v>
      </c>
    </row>
    <row r="18378">
      <c r="A18378" s="17">
        <v>5.050001E8</v>
      </c>
      <c r="B18378" s="17">
        <v>8630000.0</v>
      </c>
    </row>
    <row r="18379">
      <c r="A18379" s="17">
        <v>5.050001E8</v>
      </c>
      <c r="B18379" s="17">
        <v>8630100.0</v>
      </c>
    </row>
    <row r="18380">
      <c r="A18380" s="17">
        <v>5.050001E8</v>
      </c>
      <c r="B18380" s="17">
        <v>8630100.0</v>
      </c>
    </row>
    <row r="18381">
      <c r="A18381" s="17">
        <v>5.050001E8</v>
      </c>
      <c r="B18381" s="17">
        <v>8630100.0</v>
      </c>
    </row>
    <row r="18382">
      <c r="A18382" s="17">
        <v>5.050001E8</v>
      </c>
      <c r="B18382" s="17">
        <v>8630200.0</v>
      </c>
    </row>
    <row r="18383">
      <c r="A18383" s="17">
        <v>5.050001E8</v>
      </c>
      <c r="B18383" s="17">
        <v>8630300.0</v>
      </c>
    </row>
    <row r="18384">
      <c r="A18384" s="17">
        <v>5.050001E8</v>
      </c>
      <c r="B18384" s="17">
        <v>8630400.0</v>
      </c>
    </row>
    <row r="18385">
      <c r="A18385" s="17">
        <v>5.050001E8</v>
      </c>
      <c r="B18385" s="17">
        <v>8630500.0</v>
      </c>
    </row>
    <row r="18386">
      <c r="A18386" s="17">
        <v>5.050001E8</v>
      </c>
      <c r="B18386" s="17">
        <v>8630600.0</v>
      </c>
    </row>
    <row r="18387">
      <c r="A18387" s="17">
        <v>5.050001E8</v>
      </c>
      <c r="B18387" s="17">
        <v>8630700.0</v>
      </c>
    </row>
    <row r="18388">
      <c r="A18388" s="17">
        <v>5.050001E8</v>
      </c>
      <c r="B18388" s="17">
        <v>8630800.0</v>
      </c>
    </row>
    <row r="18389">
      <c r="A18389" s="17">
        <v>5.050001E8</v>
      </c>
      <c r="B18389" s="17">
        <v>8652000.0</v>
      </c>
    </row>
    <row r="18390">
      <c r="A18390" s="17">
        <v>5.050001E8</v>
      </c>
      <c r="B18390" s="17">
        <v>8652010.0</v>
      </c>
    </row>
    <row r="18391">
      <c r="A18391" s="17">
        <v>5.050001E8</v>
      </c>
      <c r="B18391" s="17">
        <v>8652020.0</v>
      </c>
    </row>
    <row r="18392">
      <c r="A18392" s="17">
        <v>5.050001E8</v>
      </c>
      <c r="B18392" s="17">
        <v>8652100.0</v>
      </c>
    </row>
    <row r="18393">
      <c r="A18393" s="17">
        <v>5.050001E8</v>
      </c>
      <c r="B18393" s="17">
        <v>8652110.0</v>
      </c>
    </row>
    <row r="18394">
      <c r="A18394" s="17">
        <v>5.050001E8</v>
      </c>
      <c r="B18394" s="17">
        <v>8652120.0</v>
      </c>
    </row>
    <row r="18395">
      <c r="A18395" s="17">
        <v>5.050001E8</v>
      </c>
      <c r="B18395" s="17">
        <v>8660000.0</v>
      </c>
    </row>
    <row r="18396">
      <c r="A18396" s="17">
        <v>5.050001E8</v>
      </c>
      <c r="B18396" s="17">
        <v>8660001.0</v>
      </c>
    </row>
    <row r="18397">
      <c r="A18397" s="17">
        <v>5.050001E8</v>
      </c>
      <c r="B18397" s="17">
        <v>8660002.0</v>
      </c>
    </row>
    <row r="18398">
      <c r="A18398" s="17">
        <v>5.050001E8</v>
      </c>
      <c r="B18398" s="17">
        <v>8660100.0</v>
      </c>
    </row>
    <row r="18399">
      <c r="A18399" s="17">
        <v>5.050001E8</v>
      </c>
      <c r="B18399" s="17">
        <v>8660101.0</v>
      </c>
    </row>
    <row r="18400">
      <c r="A18400" s="17">
        <v>5.050001E8</v>
      </c>
      <c r="B18400" s="17">
        <v>8660102.0</v>
      </c>
    </row>
    <row r="18401">
      <c r="A18401" s="17">
        <v>5.050001E8</v>
      </c>
      <c r="B18401" s="17">
        <v>8670000.0</v>
      </c>
    </row>
    <row r="18402">
      <c r="A18402" s="17">
        <v>5.050001E8</v>
      </c>
      <c r="B18402" s="17">
        <v>8670001.0</v>
      </c>
    </row>
    <row r="18403">
      <c r="A18403" s="17">
        <v>5.050001E8</v>
      </c>
      <c r="B18403" s="17">
        <v>8670002.0</v>
      </c>
    </row>
    <row r="18404">
      <c r="A18404" s="17">
        <v>5.050001E8</v>
      </c>
      <c r="B18404" s="17">
        <v>8670100.0</v>
      </c>
    </row>
    <row r="18405">
      <c r="A18405" s="17">
        <v>5.050001E8</v>
      </c>
      <c r="B18405" s="17">
        <v>8670101.0</v>
      </c>
    </row>
    <row r="18406">
      <c r="A18406" s="17">
        <v>5.050001E8</v>
      </c>
      <c r="B18406" s="17">
        <v>8670102.0</v>
      </c>
    </row>
    <row r="18407">
      <c r="A18407" s="17">
        <v>5.050001E8</v>
      </c>
      <c r="B18407" s="17">
        <v>8690000.0</v>
      </c>
    </row>
    <row r="18408">
      <c r="A18408" s="17">
        <v>5.050001E8</v>
      </c>
      <c r="B18408" s="17">
        <v>8690100.0</v>
      </c>
    </row>
    <row r="18409">
      <c r="A18409" s="17">
        <v>5.050001E8</v>
      </c>
      <c r="B18409" s="17">
        <v>8690200.0</v>
      </c>
    </row>
    <row r="18410">
      <c r="A18410" s="17">
        <v>5.050001E8</v>
      </c>
      <c r="B18410" s="17">
        <v>8690300.0</v>
      </c>
    </row>
    <row r="18411">
      <c r="A18411" s="17">
        <v>5.050001E8</v>
      </c>
      <c r="B18411" s="17">
        <v>8690400.0</v>
      </c>
    </row>
    <row r="18412">
      <c r="A18412" s="17">
        <v>5.050001E8</v>
      </c>
      <c r="B18412" s="17">
        <v>8850000.0</v>
      </c>
    </row>
    <row r="18413">
      <c r="A18413" s="17">
        <v>5.050001E8</v>
      </c>
      <c r="B18413" s="17">
        <v>8850100.0</v>
      </c>
    </row>
    <row r="18414">
      <c r="A18414" s="17">
        <v>5.050001E8</v>
      </c>
      <c r="B18414" s="17">
        <v>8850200.0</v>
      </c>
    </row>
    <row r="18415">
      <c r="A18415" s="17">
        <v>5.050001E8</v>
      </c>
      <c r="B18415" s="17">
        <v>8850300.0</v>
      </c>
    </row>
    <row r="18416">
      <c r="A18416" s="17">
        <v>5.050001E8</v>
      </c>
      <c r="B18416" s="17">
        <v>8850400.0</v>
      </c>
    </row>
    <row r="18417">
      <c r="A18417" s="17">
        <v>5.050001E8</v>
      </c>
      <c r="B18417" s="17">
        <v>8850500.0</v>
      </c>
    </row>
    <row r="18418">
      <c r="A18418" s="17">
        <v>5.050001E8</v>
      </c>
      <c r="B18418" s="17">
        <v>8850600.0</v>
      </c>
    </row>
    <row r="18419">
      <c r="A18419" s="17">
        <v>5.050001E8</v>
      </c>
      <c r="B18419" s="17">
        <v>8850700.0</v>
      </c>
    </row>
    <row r="18420">
      <c r="A18420" s="17">
        <v>5.050001E8</v>
      </c>
      <c r="B18420" s="17">
        <v>8850800.0</v>
      </c>
    </row>
    <row r="18421">
      <c r="A18421" s="17">
        <v>5.050001E8</v>
      </c>
      <c r="B18421" s="17">
        <v>8850900.0</v>
      </c>
    </row>
    <row r="18422">
      <c r="A18422" s="17">
        <v>5.050001E8</v>
      </c>
      <c r="B18422" s="17">
        <v>8851000.0</v>
      </c>
    </row>
    <row r="18423">
      <c r="A18423" s="17">
        <v>5.050001E8</v>
      </c>
      <c r="B18423" s="17">
        <v>8851100.0</v>
      </c>
    </row>
    <row r="18424">
      <c r="A18424" s="17">
        <v>5.050001E8</v>
      </c>
      <c r="B18424" s="17">
        <v>8851200.0</v>
      </c>
    </row>
    <row r="18425">
      <c r="A18425" s="17">
        <v>5.050001E8</v>
      </c>
      <c r="B18425" s="17">
        <v>8851300.0</v>
      </c>
    </row>
    <row r="18426">
      <c r="A18426" s="17">
        <v>5.050001E8</v>
      </c>
      <c r="B18426" s="17">
        <v>8851800.0</v>
      </c>
    </row>
    <row r="18427">
      <c r="A18427" s="17">
        <v>5.050001E8</v>
      </c>
      <c r="B18427" s="17">
        <v>8851900.0</v>
      </c>
    </row>
    <row r="18428">
      <c r="A18428" s="17">
        <v>5.050001E8</v>
      </c>
      <c r="B18428" s="17">
        <v>8852000.0</v>
      </c>
    </row>
    <row r="18429">
      <c r="A18429" s="17">
        <v>5.050001E8</v>
      </c>
      <c r="B18429" s="17">
        <v>8320500.0</v>
      </c>
    </row>
    <row r="18430">
      <c r="A18430" s="17">
        <v>5.050001E8</v>
      </c>
      <c r="B18430" s="17">
        <v>8320510.0</v>
      </c>
    </row>
    <row r="18431">
      <c r="A18431" s="17">
        <v>5.050001E8</v>
      </c>
      <c r="B18431" s="17">
        <v>8320520.0</v>
      </c>
    </row>
    <row r="18432">
      <c r="A18432" s="17">
        <v>5.050001E8</v>
      </c>
      <c r="B18432" s="17">
        <v>8320600.0</v>
      </c>
    </row>
    <row r="18433">
      <c r="A18433" s="17">
        <v>5.050001E8</v>
      </c>
      <c r="B18433" s="17">
        <v>8320610.0</v>
      </c>
    </row>
    <row r="18434">
      <c r="A18434" s="17">
        <v>5.050001E8</v>
      </c>
      <c r="B18434" s="17">
        <v>8320620.0</v>
      </c>
    </row>
    <row r="18435">
      <c r="A18435" s="17">
        <v>5.050001E8</v>
      </c>
      <c r="B18435" s="17">
        <v>8320700.0</v>
      </c>
    </row>
    <row r="18436">
      <c r="A18436" s="17">
        <v>5.050001E8</v>
      </c>
      <c r="B18436" s="17">
        <v>8320710.0</v>
      </c>
    </row>
    <row r="18437">
      <c r="A18437" s="17">
        <v>5.050001E8</v>
      </c>
      <c r="B18437" s="17">
        <v>8320720.0</v>
      </c>
    </row>
    <row r="18438">
      <c r="A18438" s="17">
        <v>5.050002E8</v>
      </c>
      <c r="B18438" s="17">
        <v>0.0</v>
      </c>
    </row>
    <row r="18439">
      <c r="A18439" s="17">
        <v>5.050002E8</v>
      </c>
      <c r="B18439" s="17">
        <v>8100100.0</v>
      </c>
    </row>
    <row r="18440">
      <c r="A18440" s="17">
        <v>5.050002E8</v>
      </c>
      <c r="B18440" s="17">
        <v>8100101.0</v>
      </c>
    </row>
    <row r="18441">
      <c r="A18441" s="17">
        <v>5.050002E8</v>
      </c>
      <c r="B18441" s="17">
        <v>8100102.0</v>
      </c>
    </row>
    <row r="18442">
      <c r="A18442" s="17">
        <v>5.050002E8</v>
      </c>
      <c r="B18442" s="17">
        <v>8100200.0</v>
      </c>
    </row>
    <row r="18443">
      <c r="A18443" s="17">
        <v>5.050002E8</v>
      </c>
      <c r="B18443" s="17">
        <v>8100201.0</v>
      </c>
    </row>
    <row r="18444">
      <c r="A18444" s="17">
        <v>5.050002E8</v>
      </c>
      <c r="B18444" s="17">
        <v>8100202.0</v>
      </c>
    </row>
    <row r="18445">
      <c r="A18445" s="17">
        <v>5.050002E8</v>
      </c>
      <c r="B18445" s="17">
        <v>8100300.0</v>
      </c>
    </row>
    <row r="18446">
      <c r="A18446" s="17">
        <v>5.050002E8</v>
      </c>
      <c r="B18446" s="17">
        <v>8100301.0</v>
      </c>
    </row>
    <row r="18447">
      <c r="A18447" s="17">
        <v>5.050002E8</v>
      </c>
      <c r="B18447" s="17">
        <v>8100302.0</v>
      </c>
    </row>
    <row r="18448">
      <c r="A18448" s="17">
        <v>5.050002E8</v>
      </c>
      <c r="B18448" s="17">
        <v>8100400.0</v>
      </c>
    </row>
    <row r="18449">
      <c r="A18449" s="17">
        <v>5.050002E8</v>
      </c>
      <c r="B18449" s="17">
        <v>8100401.0</v>
      </c>
    </row>
    <row r="18450">
      <c r="A18450" s="17">
        <v>5.050002E8</v>
      </c>
      <c r="B18450" s="17">
        <v>8100402.0</v>
      </c>
    </row>
    <row r="18451">
      <c r="A18451" s="17">
        <v>5.050002E8</v>
      </c>
      <c r="B18451" s="17">
        <v>8130000.0</v>
      </c>
    </row>
    <row r="18452">
      <c r="A18452" s="17">
        <v>5.050002E8</v>
      </c>
      <c r="B18452" s="17">
        <v>8130001.0</v>
      </c>
    </row>
    <row r="18453">
      <c r="A18453" s="17">
        <v>5.050002E8</v>
      </c>
      <c r="B18453" s="17">
        <v>8130002.0</v>
      </c>
    </row>
    <row r="18454">
      <c r="A18454" s="17">
        <v>5.050002E8</v>
      </c>
      <c r="B18454" s="17">
        <v>8140000.0</v>
      </c>
    </row>
    <row r="18455">
      <c r="A18455" s="17">
        <v>5.050002E8</v>
      </c>
      <c r="B18455" s="17">
        <v>8140001.0</v>
      </c>
    </row>
    <row r="18456">
      <c r="A18456" s="17">
        <v>5.050002E8</v>
      </c>
      <c r="B18456" s="17">
        <v>8140002.0</v>
      </c>
    </row>
    <row r="18457">
      <c r="A18457" s="17">
        <v>5.050002E8</v>
      </c>
      <c r="B18457" s="17">
        <v>8200100.0</v>
      </c>
    </row>
    <row r="18458">
      <c r="A18458" s="17">
        <v>5.050002E8</v>
      </c>
      <c r="B18458" s="17">
        <v>8200101.0</v>
      </c>
    </row>
    <row r="18459">
      <c r="A18459" s="17">
        <v>5.050002E8</v>
      </c>
      <c r="B18459" s="17">
        <v>8200102.0</v>
      </c>
    </row>
    <row r="18460">
      <c r="A18460" s="17">
        <v>5.050002E8</v>
      </c>
      <c r="B18460" s="17">
        <v>8200200.0</v>
      </c>
    </row>
    <row r="18461">
      <c r="A18461" s="17">
        <v>5.050002E8</v>
      </c>
      <c r="B18461" s="17">
        <v>8200201.0</v>
      </c>
    </row>
    <row r="18462">
      <c r="A18462" s="17">
        <v>5.050002E8</v>
      </c>
      <c r="B18462" s="17">
        <v>8200202.0</v>
      </c>
    </row>
    <row r="18463">
      <c r="A18463" s="17">
        <v>5.050002E8</v>
      </c>
      <c r="B18463" s="17">
        <v>8200300.0</v>
      </c>
    </row>
    <row r="18464">
      <c r="A18464" s="17">
        <v>5.050002E8</v>
      </c>
      <c r="B18464" s="17">
        <v>8200301.0</v>
      </c>
    </row>
    <row r="18465">
      <c r="A18465" s="17">
        <v>5.050002E8</v>
      </c>
      <c r="B18465" s="17">
        <v>8200302.0</v>
      </c>
    </row>
    <row r="18466">
      <c r="A18466" s="17">
        <v>5.050002E8</v>
      </c>
      <c r="B18466" s="17">
        <v>8200400.0</v>
      </c>
    </row>
    <row r="18467">
      <c r="A18467" s="17">
        <v>5.050002E8</v>
      </c>
      <c r="B18467" s="17">
        <v>8200401.0</v>
      </c>
    </row>
    <row r="18468">
      <c r="A18468" s="17">
        <v>5.050002E8</v>
      </c>
      <c r="B18468" s="17">
        <v>8200402.0</v>
      </c>
    </row>
    <row r="18469">
      <c r="A18469" s="17">
        <v>5.050002E8</v>
      </c>
      <c r="B18469" s="17">
        <v>8210000.0</v>
      </c>
    </row>
    <row r="18470">
      <c r="A18470" s="17">
        <v>5.050002E8</v>
      </c>
      <c r="B18470" s="17">
        <v>8210001.0</v>
      </c>
    </row>
    <row r="18471">
      <c r="A18471" s="17">
        <v>5.050002E8</v>
      </c>
      <c r="B18471" s="17">
        <v>8210002.0</v>
      </c>
    </row>
    <row r="18472">
      <c r="A18472" s="17">
        <v>5.050002E8</v>
      </c>
      <c r="B18472" s="17">
        <v>8210100.0</v>
      </c>
    </row>
    <row r="18473">
      <c r="A18473" s="17">
        <v>5.050002E8</v>
      </c>
      <c r="B18473" s="17">
        <v>8210101.0</v>
      </c>
    </row>
    <row r="18474">
      <c r="A18474" s="17">
        <v>5.050002E8</v>
      </c>
      <c r="B18474" s="17">
        <v>8210102.0</v>
      </c>
    </row>
    <row r="18475">
      <c r="A18475" s="17">
        <v>5.050002E8</v>
      </c>
      <c r="B18475" s="17">
        <v>8210200.0</v>
      </c>
    </row>
    <row r="18476">
      <c r="A18476" s="17">
        <v>5.050002E8</v>
      </c>
      <c r="B18476" s="17">
        <v>8210201.0</v>
      </c>
    </row>
    <row r="18477">
      <c r="A18477" s="17">
        <v>5.050002E8</v>
      </c>
      <c r="B18477" s="17">
        <v>8210202.0</v>
      </c>
    </row>
    <row r="18478">
      <c r="A18478" s="17">
        <v>5.050002E8</v>
      </c>
      <c r="B18478" s="17">
        <v>8210300.0</v>
      </c>
    </row>
    <row r="18479">
      <c r="A18479" s="17">
        <v>5.050002E8</v>
      </c>
      <c r="B18479" s="17">
        <v>8210301.0</v>
      </c>
    </row>
    <row r="18480">
      <c r="A18480" s="17">
        <v>5.050002E8</v>
      </c>
      <c r="B18480" s="17">
        <v>8210302.0</v>
      </c>
    </row>
    <row r="18481">
      <c r="A18481" s="17">
        <v>5.050002E8</v>
      </c>
      <c r="B18481" s="17">
        <v>8210400.0</v>
      </c>
    </row>
    <row r="18482">
      <c r="A18482" s="17">
        <v>5.050002E8</v>
      </c>
      <c r="B18482" s="17">
        <v>8210401.0</v>
      </c>
    </row>
    <row r="18483">
      <c r="A18483" s="17">
        <v>5.050002E8</v>
      </c>
      <c r="B18483" s="17">
        <v>8210402.0</v>
      </c>
    </row>
    <row r="18484">
      <c r="A18484" s="17">
        <v>5.050002E8</v>
      </c>
      <c r="B18484" s="17">
        <v>8210500.0</v>
      </c>
    </row>
    <row r="18485">
      <c r="A18485" s="17">
        <v>5.050002E8</v>
      </c>
      <c r="B18485" s="17">
        <v>8210501.0</v>
      </c>
    </row>
    <row r="18486">
      <c r="A18486" s="17">
        <v>5.050002E8</v>
      </c>
      <c r="B18486" s="17">
        <v>8210502.0</v>
      </c>
    </row>
    <row r="18487">
      <c r="A18487" s="17">
        <v>5.050002E8</v>
      </c>
      <c r="B18487" s="17">
        <v>8210600.0</v>
      </c>
    </row>
    <row r="18488">
      <c r="A18488" s="17">
        <v>5.050002E8</v>
      </c>
      <c r="B18488" s="17">
        <v>8210601.0</v>
      </c>
    </row>
    <row r="18489">
      <c r="A18489" s="17">
        <v>5.050002E8</v>
      </c>
      <c r="B18489" s="17">
        <v>8210602.0</v>
      </c>
    </row>
    <row r="18490">
      <c r="A18490" s="17">
        <v>5.050002E8</v>
      </c>
      <c r="B18490" s="17">
        <v>8220000.0</v>
      </c>
    </row>
    <row r="18491">
      <c r="A18491" s="17">
        <v>5.050002E8</v>
      </c>
      <c r="B18491" s="17">
        <v>8220001.0</v>
      </c>
    </row>
    <row r="18492">
      <c r="A18492" s="17">
        <v>5.050002E8</v>
      </c>
      <c r="B18492" s="17">
        <v>8220002.0</v>
      </c>
    </row>
    <row r="18493">
      <c r="A18493" s="17">
        <v>5.050002E8</v>
      </c>
      <c r="B18493" s="17">
        <v>8300000.0</v>
      </c>
    </row>
    <row r="18494">
      <c r="A18494" s="17">
        <v>5.050002E8</v>
      </c>
      <c r="B18494" s="17">
        <v>8300001.0</v>
      </c>
    </row>
    <row r="18495">
      <c r="A18495" s="17">
        <v>5.050002E8</v>
      </c>
      <c r="B18495" s="17">
        <v>8300002.0</v>
      </c>
    </row>
    <row r="18496">
      <c r="A18496" s="17">
        <v>5.050002E8</v>
      </c>
      <c r="B18496" s="17">
        <v>8310000.0</v>
      </c>
    </row>
    <row r="18497">
      <c r="A18497" s="17">
        <v>5.050002E8</v>
      </c>
      <c r="B18497" s="17">
        <v>8310001.0</v>
      </c>
    </row>
    <row r="18498">
      <c r="A18498" s="17">
        <v>5.050002E8</v>
      </c>
      <c r="B18498" s="17">
        <v>8310002.0</v>
      </c>
    </row>
    <row r="18499">
      <c r="A18499" s="17">
        <v>5.050002E8</v>
      </c>
      <c r="B18499" s="17">
        <v>8320000.0</v>
      </c>
    </row>
    <row r="18500">
      <c r="A18500" s="17">
        <v>5.050002E8</v>
      </c>
      <c r="B18500" s="17">
        <v>8320001.0</v>
      </c>
    </row>
    <row r="18501">
      <c r="A18501" s="17">
        <v>5.050002E8</v>
      </c>
      <c r="B18501" s="17">
        <v>8320002.0</v>
      </c>
    </row>
    <row r="18502">
      <c r="A18502" s="17">
        <v>5.050002E8</v>
      </c>
      <c r="B18502" s="17">
        <v>8320100.0</v>
      </c>
    </row>
    <row r="18503">
      <c r="A18503" s="17">
        <v>5.050002E8</v>
      </c>
      <c r="B18503" s="17">
        <v>8320101.0</v>
      </c>
    </row>
    <row r="18504">
      <c r="A18504" s="17">
        <v>5.050002E8</v>
      </c>
      <c r="B18504" s="17">
        <v>8320102.0</v>
      </c>
    </row>
    <row r="18505">
      <c r="A18505" s="17">
        <v>5.050002E8</v>
      </c>
      <c r="B18505" s="17">
        <v>8320300.0</v>
      </c>
    </row>
    <row r="18506">
      <c r="A18506" s="17">
        <v>5.050002E8</v>
      </c>
      <c r="B18506" s="17">
        <v>8320301.0</v>
      </c>
    </row>
    <row r="18507">
      <c r="A18507" s="17">
        <v>5.050002E8</v>
      </c>
      <c r="B18507" s="17">
        <v>8320302.0</v>
      </c>
    </row>
    <row r="18508">
      <c r="A18508" s="17">
        <v>5.050002E8</v>
      </c>
      <c r="B18508" s="17">
        <v>8320400.0</v>
      </c>
    </row>
    <row r="18509">
      <c r="A18509" s="17">
        <v>5.050002E8</v>
      </c>
      <c r="B18509" s="17">
        <v>8320410.0</v>
      </c>
    </row>
    <row r="18510">
      <c r="A18510" s="17">
        <v>5.050002E8</v>
      </c>
      <c r="B18510" s="17">
        <v>8320420.0</v>
      </c>
    </row>
    <row r="18511">
      <c r="A18511" s="17">
        <v>5.050002E8</v>
      </c>
      <c r="B18511" s="17">
        <v>8330000.0</v>
      </c>
    </row>
    <row r="18512">
      <c r="A18512" s="17">
        <v>5.050002E8</v>
      </c>
      <c r="B18512" s="17">
        <v>8330001.0</v>
      </c>
    </row>
    <row r="18513">
      <c r="A18513" s="17">
        <v>5.050002E8</v>
      </c>
      <c r="B18513" s="17">
        <v>8330002.0</v>
      </c>
    </row>
    <row r="18514">
      <c r="A18514" s="17">
        <v>5.050002E8</v>
      </c>
      <c r="B18514" s="17">
        <v>8330100.0</v>
      </c>
    </row>
    <row r="18515">
      <c r="A18515" s="17">
        <v>5.050002E8</v>
      </c>
      <c r="B18515" s="17">
        <v>8330101.0</v>
      </c>
    </row>
    <row r="18516">
      <c r="A18516" s="17">
        <v>5.050002E8</v>
      </c>
      <c r="B18516" s="17">
        <v>8330102.0</v>
      </c>
    </row>
    <row r="18517">
      <c r="A18517" s="17">
        <v>5.050002E8</v>
      </c>
      <c r="B18517" s="17">
        <v>8330200.0</v>
      </c>
    </row>
    <row r="18518">
      <c r="A18518" s="17">
        <v>5.050002E8</v>
      </c>
      <c r="B18518" s="17">
        <v>8330201.0</v>
      </c>
    </row>
    <row r="18519">
      <c r="A18519" s="17">
        <v>5.050002E8</v>
      </c>
      <c r="B18519" s="17">
        <v>8330202.0</v>
      </c>
    </row>
    <row r="18520">
      <c r="A18520" s="17">
        <v>5.050002E8</v>
      </c>
      <c r="B18520" s="17">
        <v>8330300.0</v>
      </c>
    </row>
    <row r="18521">
      <c r="A18521" s="17">
        <v>5.050002E8</v>
      </c>
      <c r="B18521" s="17">
        <v>8330301.0</v>
      </c>
    </row>
    <row r="18522">
      <c r="A18522" s="17">
        <v>5.050002E8</v>
      </c>
      <c r="B18522" s="17">
        <v>8330302.0</v>
      </c>
    </row>
    <row r="18523">
      <c r="A18523" s="17">
        <v>5.050002E8</v>
      </c>
      <c r="B18523" s="17">
        <v>8330400.0</v>
      </c>
    </row>
    <row r="18524">
      <c r="A18524" s="17">
        <v>5.050002E8</v>
      </c>
      <c r="B18524" s="17">
        <v>8330401.0</v>
      </c>
    </row>
    <row r="18525">
      <c r="A18525" s="17">
        <v>5.050002E8</v>
      </c>
      <c r="B18525" s="17">
        <v>8330600.0</v>
      </c>
    </row>
    <row r="18526">
      <c r="A18526" s="17">
        <v>5.050002E8</v>
      </c>
      <c r="B18526" s="17">
        <v>8330601.0</v>
      </c>
    </row>
    <row r="18527">
      <c r="A18527" s="17">
        <v>5.050002E8</v>
      </c>
      <c r="B18527" s="17">
        <v>8330602.0</v>
      </c>
    </row>
    <row r="18528">
      <c r="A18528" s="17">
        <v>5.050002E8</v>
      </c>
      <c r="B18528" s="17">
        <v>8330900.0</v>
      </c>
    </row>
    <row r="18529">
      <c r="A18529" s="17">
        <v>5.050002E8</v>
      </c>
      <c r="B18529" s="17">
        <v>8330910.0</v>
      </c>
    </row>
    <row r="18530">
      <c r="A18530" s="17">
        <v>5.050002E8</v>
      </c>
      <c r="B18530" s="17">
        <v>8330920.0</v>
      </c>
    </row>
    <row r="18531">
      <c r="A18531" s="17">
        <v>5.050002E8</v>
      </c>
      <c r="B18531" s="17">
        <v>8340000.0</v>
      </c>
    </row>
    <row r="18532">
      <c r="A18532" s="17">
        <v>5.050002E8</v>
      </c>
      <c r="B18532" s="17">
        <v>8340001.0</v>
      </c>
    </row>
    <row r="18533">
      <c r="A18533" s="17">
        <v>5.050002E8</v>
      </c>
      <c r="B18533" s="17">
        <v>8340002.0</v>
      </c>
    </row>
    <row r="18534">
      <c r="A18534" s="17">
        <v>5.050002E8</v>
      </c>
      <c r="B18534" s="17">
        <v>8340100.0</v>
      </c>
    </row>
    <row r="18535">
      <c r="A18535" s="17">
        <v>5.050002E8</v>
      </c>
      <c r="B18535" s="17">
        <v>8340101.0</v>
      </c>
    </row>
    <row r="18536">
      <c r="A18536" s="17">
        <v>5.050002E8</v>
      </c>
      <c r="B18536" s="17">
        <v>8340102.0</v>
      </c>
    </row>
    <row r="18537">
      <c r="A18537" s="17">
        <v>5.050002E8</v>
      </c>
      <c r="B18537" s="17">
        <v>8350000.0</v>
      </c>
    </row>
    <row r="18538">
      <c r="A18538" s="17">
        <v>5.050002E8</v>
      </c>
      <c r="B18538" s="17">
        <v>8350001.0</v>
      </c>
    </row>
    <row r="18539">
      <c r="A18539" s="17">
        <v>5.050002E8</v>
      </c>
      <c r="B18539" s="17">
        <v>8350002.0</v>
      </c>
    </row>
    <row r="18540">
      <c r="A18540" s="17">
        <v>5.050002E8</v>
      </c>
      <c r="B18540" s="17">
        <v>8350200.0</v>
      </c>
    </row>
    <row r="18541">
      <c r="A18541" s="17">
        <v>5.050002E8</v>
      </c>
      <c r="B18541" s="17">
        <v>8350201.0</v>
      </c>
    </row>
    <row r="18542">
      <c r="A18542" s="17">
        <v>5.050002E8</v>
      </c>
      <c r="B18542" s="17">
        <v>8350202.0</v>
      </c>
    </row>
    <row r="18543">
      <c r="A18543" s="17">
        <v>5.050002E8</v>
      </c>
      <c r="B18543" s="17">
        <v>8420000.0</v>
      </c>
    </row>
    <row r="18544">
      <c r="A18544" s="17">
        <v>5.050002E8</v>
      </c>
      <c r="B18544" s="17">
        <v>8420001.0</v>
      </c>
    </row>
    <row r="18545">
      <c r="A18545" s="17">
        <v>5.050002E8</v>
      </c>
      <c r="B18545" s="17">
        <v>8420002.0</v>
      </c>
    </row>
    <row r="18546">
      <c r="A18546" s="17">
        <v>5.050002E8</v>
      </c>
      <c r="B18546" s="17">
        <v>8450000.0</v>
      </c>
    </row>
    <row r="18547">
      <c r="A18547" s="17">
        <v>5.050002E8</v>
      </c>
      <c r="B18547" s="17">
        <v>8460100.0</v>
      </c>
    </row>
    <row r="18548">
      <c r="A18548" s="17">
        <v>5.050002E8</v>
      </c>
      <c r="B18548" s="17">
        <v>8460300.0</v>
      </c>
    </row>
    <row r="18549">
      <c r="A18549" s="17">
        <v>5.050002E8</v>
      </c>
      <c r="B18549" s="17">
        <v>8460500.0</v>
      </c>
    </row>
    <row r="18550">
      <c r="A18550" s="17">
        <v>5.050002E8</v>
      </c>
      <c r="B18550" s="17">
        <v>8510000.0</v>
      </c>
    </row>
    <row r="18551">
      <c r="A18551" s="17">
        <v>5.050002E8</v>
      </c>
      <c r="B18551" s="17">
        <v>8510001.0</v>
      </c>
    </row>
    <row r="18552">
      <c r="A18552" s="17">
        <v>5.050002E8</v>
      </c>
      <c r="B18552" s="17">
        <v>8510002.0</v>
      </c>
    </row>
    <row r="18553">
      <c r="A18553" s="17">
        <v>5.050002E8</v>
      </c>
      <c r="B18553" s="17">
        <v>8520000.0</v>
      </c>
    </row>
    <row r="18554">
      <c r="A18554" s="17">
        <v>5.050002E8</v>
      </c>
      <c r="B18554" s="17">
        <v>8520001.0</v>
      </c>
    </row>
    <row r="18555">
      <c r="A18555" s="17">
        <v>5.050002E8</v>
      </c>
      <c r="B18555" s="17">
        <v>8520002.0</v>
      </c>
    </row>
    <row r="18556">
      <c r="A18556" s="17">
        <v>5.050002E8</v>
      </c>
      <c r="B18556" s="17">
        <v>8530000.0</v>
      </c>
    </row>
    <row r="18557">
      <c r="A18557" s="17">
        <v>5.050002E8</v>
      </c>
      <c r="B18557" s="17">
        <v>8530100.0</v>
      </c>
    </row>
    <row r="18558">
      <c r="A18558" s="17">
        <v>5.050002E8</v>
      </c>
      <c r="B18558" s="17">
        <v>8540000.0</v>
      </c>
    </row>
    <row r="18559">
      <c r="A18559" s="17">
        <v>5.050002E8</v>
      </c>
      <c r="B18559" s="17">
        <v>8600100.0</v>
      </c>
    </row>
    <row r="18560">
      <c r="A18560" s="17">
        <v>5.050002E8</v>
      </c>
      <c r="B18560" s="17">
        <v>8600101.0</v>
      </c>
    </row>
    <row r="18561">
      <c r="A18561" s="17">
        <v>5.050002E8</v>
      </c>
      <c r="B18561" s="17">
        <v>8600102.0</v>
      </c>
    </row>
    <row r="18562">
      <c r="A18562" s="17">
        <v>5.050002E8</v>
      </c>
      <c r="B18562" s="17">
        <v>8600200.0</v>
      </c>
    </row>
    <row r="18563">
      <c r="A18563" s="17">
        <v>5.050002E8</v>
      </c>
      <c r="B18563" s="17">
        <v>8600201.0</v>
      </c>
    </row>
    <row r="18564">
      <c r="A18564" s="17">
        <v>5.050002E8</v>
      </c>
      <c r="B18564" s="17">
        <v>8600202.0</v>
      </c>
    </row>
    <row r="18565">
      <c r="A18565" s="17">
        <v>5.050002E8</v>
      </c>
      <c r="B18565" s="17">
        <v>8610300.0</v>
      </c>
    </row>
    <row r="18566">
      <c r="A18566" s="17">
        <v>5.050002E8</v>
      </c>
      <c r="B18566" s="17">
        <v>8610400.0</v>
      </c>
    </row>
    <row r="18567">
      <c r="A18567" s="17">
        <v>5.050002E8</v>
      </c>
      <c r="B18567" s="17">
        <v>8610500.0</v>
      </c>
    </row>
    <row r="18568">
      <c r="A18568" s="17">
        <v>5.050002E8</v>
      </c>
      <c r="B18568" s="17">
        <v>8610600.0</v>
      </c>
    </row>
    <row r="18569">
      <c r="A18569" s="17">
        <v>5.050002E8</v>
      </c>
      <c r="B18569" s="17">
        <v>8610700.0</v>
      </c>
    </row>
    <row r="18570">
      <c r="A18570" s="17">
        <v>5.050002E8</v>
      </c>
      <c r="B18570" s="17">
        <v>8610710.0</v>
      </c>
    </row>
    <row r="18571">
      <c r="A18571" s="17">
        <v>5.050002E8</v>
      </c>
      <c r="B18571" s="17">
        <v>8610720.0</v>
      </c>
    </row>
    <row r="18572">
      <c r="A18572" s="17">
        <v>5.050002E8</v>
      </c>
      <c r="B18572" s="17">
        <v>8620000.0</v>
      </c>
    </row>
    <row r="18573">
      <c r="A18573" s="17">
        <v>5.050002E8</v>
      </c>
      <c r="B18573" s="17">
        <v>8620010.0</v>
      </c>
    </row>
    <row r="18574">
      <c r="A18574" s="17">
        <v>5.050002E8</v>
      </c>
      <c r="B18574" s="17">
        <v>8620020.0</v>
      </c>
    </row>
    <row r="18575">
      <c r="A18575" s="17">
        <v>5.050002E8</v>
      </c>
      <c r="B18575" s="17">
        <v>8620100.0</v>
      </c>
    </row>
    <row r="18576">
      <c r="A18576" s="17">
        <v>5.050002E8</v>
      </c>
      <c r="B18576" s="17">
        <v>8620110.0</v>
      </c>
    </row>
    <row r="18577">
      <c r="A18577" s="17">
        <v>5.050002E8</v>
      </c>
      <c r="B18577" s="17">
        <v>8620120.0</v>
      </c>
    </row>
    <row r="18578">
      <c r="A18578" s="17">
        <v>5.050002E8</v>
      </c>
      <c r="B18578" s="17">
        <v>8630000.0</v>
      </c>
    </row>
    <row r="18579">
      <c r="A18579" s="17">
        <v>5.050002E8</v>
      </c>
      <c r="B18579" s="17">
        <v>8630000.0</v>
      </c>
    </row>
    <row r="18580">
      <c r="A18580" s="17">
        <v>5.050002E8</v>
      </c>
      <c r="B18580" s="17">
        <v>8630000.0</v>
      </c>
    </row>
    <row r="18581">
      <c r="A18581" s="17">
        <v>5.050002E8</v>
      </c>
      <c r="B18581" s="17">
        <v>8630100.0</v>
      </c>
    </row>
    <row r="18582">
      <c r="A18582" s="17">
        <v>5.050002E8</v>
      </c>
      <c r="B18582" s="17">
        <v>8630100.0</v>
      </c>
    </row>
    <row r="18583">
      <c r="A18583" s="17">
        <v>5.050002E8</v>
      </c>
      <c r="B18583" s="17">
        <v>8630100.0</v>
      </c>
    </row>
    <row r="18584">
      <c r="A18584" s="17">
        <v>5.050002E8</v>
      </c>
      <c r="B18584" s="17">
        <v>8630200.0</v>
      </c>
    </row>
    <row r="18585">
      <c r="A18585" s="17">
        <v>5.050002E8</v>
      </c>
      <c r="B18585" s="17">
        <v>8630300.0</v>
      </c>
    </row>
    <row r="18586">
      <c r="A18586" s="17">
        <v>5.050002E8</v>
      </c>
      <c r="B18586" s="17">
        <v>8630400.0</v>
      </c>
    </row>
    <row r="18587">
      <c r="A18587" s="17">
        <v>5.050002E8</v>
      </c>
      <c r="B18587" s="17">
        <v>8630500.0</v>
      </c>
    </row>
    <row r="18588">
      <c r="A18588" s="17">
        <v>5.050002E8</v>
      </c>
      <c r="B18588" s="17">
        <v>8630600.0</v>
      </c>
    </row>
    <row r="18589">
      <c r="A18589" s="17">
        <v>5.050002E8</v>
      </c>
      <c r="B18589" s="17">
        <v>8630700.0</v>
      </c>
    </row>
    <row r="18590">
      <c r="A18590" s="17">
        <v>5.050002E8</v>
      </c>
      <c r="B18590" s="17">
        <v>8630800.0</v>
      </c>
    </row>
    <row r="18591">
      <c r="A18591" s="17">
        <v>5.050002E8</v>
      </c>
      <c r="B18591" s="17">
        <v>8652000.0</v>
      </c>
    </row>
    <row r="18592">
      <c r="A18592" s="17">
        <v>5.050002E8</v>
      </c>
      <c r="B18592" s="17">
        <v>8652010.0</v>
      </c>
    </row>
    <row r="18593">
      <c r="A18593" s="17">
        <v>5.050002E8</v>
      </c>
      <c r="B18593" s="17">
        <v>8652020.0</v>
      </c>
    </row>
    <row r="18594">
      <c r="A18594" s="17">
        <v>5.050002E8</v>
      </c>
      <c r="B18594" s="17">
        <v>8652100.0</v>
      </c>
    </row>
    <row r="18595">
      <c r="A18595" s="17">
        <v>5.050002E8</v>
      </c>
      <c r="B18595" s="17">
        <v>8652110.0</v>
      </c>
    </row>
    <row r="18596">
      <c r="A18596" s="17">
        <v>5.050002E8</v>
      </c>
      <c r="B18596" s="17">
        <v>8652120.0</v>
      </c>
    </row>
    <row r="18597">
      <c r="A18597" s="17">
        <v>5.050002E8</v>
      </c>
      <c r="B18597" s="17">
        <v>8660000.0</v>
      </c>
    </row>
    <row r="18598">
      <c r="A18598" s="17">
        <v>5.050002E8</v>
      </c>
      <c r="B18598" s="17">
        <v>8660001.0</v>
      </c>
    </row>
    <row r="18599">
      <c r="A18599" s="17">
        <v>5.050002E8</v>
      </c>
      <c r="B18599" s="17">
        <v>8660002.0</v>
      </c>
    </row>
    <row r="18600">
      <c r="A18600" s="17">
        <v>5.050002E8</v>
      </c>
      <c r="B18600" s="17">
        <v>8660100.0</v>
      </c>
    </row>
    <row r="18601">
      <c r="A18601" s="17">
        <v>5.050002E8</v>
      </c>
      <c r="B18601" s="17">
        <v>8660101.0</v>
      </c>
    </row>
    <row r="18602">
      <c r="A18602" s="17">
        <v>5.050002E8</v>
      </c>
      <c r="B18602" s="17">
        <v>8660102.0</v>
      </c>
    </row>
    <row r="18603">
      <c r="A18603" s="17">
        <v>5.050002E8</v>
      </c>
      <c r="B18603" s="17">
        <v>8670000.0</v>
      </c>
    </row>
    <row r="18604">
      <c r="A18604" s="17">
        <v>5.050002E8</v>
      </c>
      <c r="B18604" s="17">
        <v>8670001.0</v>
      </c>
    </row>
    <row r="18605">
      <c r="A18605" s="17">
        <v>5.050002E8</v>
      </c>
      <c r="B18605" s="17">
        <v>8670002.0</v>
      </c>
    </row>
    <row r="18606">
      <c r="A18606" s="17">
        <v>5.050002E8</v>
      </c>
      <c r="B18606" s="17">
        <v>8670100.0</v>
      </c>
    </row>
    <row r="18607">
      <c r="A18607" s="17">
        <v>5.050002E8</v>
      </c>
      <c r="B18607" s="17">
        <v>8670101.0</v>
      </c>
    </row>
    <row r="18608">
      <c r="A18608" s="17">
        <v>5.050002E8</v>
      </c>
      <c r="B18608" s="17">
        <v>8670102.0</v>
      </c>
    </row>
    <row r="18609">
      <c r="A18609" s="17">
        <v>5.050002E8</v>
      </c>
      <c r="B18609" s="17">
        <v>8690000.0</v>
      </c>
    </row>
    <row r="18610">
      <c r="A18610" s="17">
        <v>5.050002E8</v>
      </c>
      <c r="B18610" s="17">
        <v>8690100.0</v>
      </c>
    </row>
    <row r="18611">
      <c r="A18611" s="17">
        <v>5.050002E8</v>
      </c>
      <c r="B18611" s="17">
        <v>8690200.0</v>
      </c>
    </row>
    <row r="18612">
      <c r="A18612" s="17">
        <v>5.050002E8</v>
      </c>
      <c r="B18612" s="17">
        <v>8690300.0</v>
      </c>
    </row>
    <row r="18613">
      <c r="A18613" s="17">
        <v>5.050002E8</v>
      </c>
      <c r="B18613" s="17">
        <v>8690400.0</v>
      </c>
    </row>
    <row r="18614">
      <c r="A18614" s="17">
        <v>5.050002E8</v>
      </c>
      <c r="B18614" s="17">
        <v>8850000.0</v>
      </c>
    </row>
    <row r="18615">
      <c r="A18615" s="17">
        <v>5.050002E8</v>
      </c>
      <c r="B18615" s="17">
        <v>8850100.0</v>
      </c>
    </row>
    <row r="18616">
      <c r="A18616" s="17">
        <v>5.050002E8</v>
      </c>
      <c r="B18616" s="17">
        <v>8850200.0</v>
      </c>
    </row>
    <row r="18617">
      <c r="A18617" s="17">
        <v>5.050002E8</v>
      </c>
      <c r="B18617" s="17">
        <v>8850300.0</v>
      </c>
    </row>
    <row r="18618">
      <c r="A18618" s="17">
        <v>5.050002E8</v>
      </c>
      <c r="B18618" s="17">
        <v>8850400.0</v>
      </c>
    </row>
    <row r="18619">
      <c r="A18619" s="17">
        <v>5.050002E8</v>
      </c>
      <c r="B18619" s="17">
        <v>8850500.0</v>
      </c>
    </row>
    <row r="18620">
      <c r="A18620" s="17">
        <v>5.050002E8</v>
      </c>
      <c r="B18620" s="17">
        <v>8850600.0</v>
      </c>
    </row>
    <row r="18621">
      <c r="A18621" s="17">
        <v>5.050002E8</v>
      </c>
      <c r="B18621" s="17">
        <v>8850700.0</v>
      </c>
    </row>
    <row r="18622">
      <c r="A18622" s="17">
        <v>5.050002E8</v>
      </c>
      <c r="B18622" s="17">
        <v>8850800.0</v>
      </c>
    </row>
    <row r="18623">
      <c r="A18623" s="17">
        <v>5.050002E8</v>
      </c>
      <c r="B18623" s="17">
        <v>8850900.0</v>
      </c>
    </row>
    <row r="18624">
      <c r="A18624" s="17">
        <v>5.050002E8</v>
      </c>
      <c r="B18624" s="17">
        <v>8851000.0</v>
      </c>
    </row>
    <row r="18625">
      <c r="A18625" s="17">
        <v>5.050002E8</v>
      </c>
      <c r="B18625" s="17">
        <v>8851100.0</v>
      </c>
    </row>
    <row r="18626">
      <c r="A18626" s="17">
        <v>5.050002E8</v>
      </c>
      <c r="B18626" s="17">
        <v>8851200.0</v>
      </c>
    </row>
    <row r="18627">
      <c r="A18627" s="17">
        <v>5.050002E8</v>
      </c>
      <c r="B18627" s="17">
        <v>8851300.0</v>
      </c>
    </row>
    <row r="18628">
      <c r="A18628" s="17">
        <v>5.050002E8</v>
      </c>
      <c r="B18628" s="17">
        <v>8851800.0</v>
      </c>
    </row>
    <row r="18629">
      <c r="A18629" s="17">
        <v>5.050002E8</v>
      </c>
      <c r="B18629" s="17">
        <v>8851900.0</v>
      </c>
    </row>
    <row r="18630">
      <c r="A18630" s="17">
        <v>5.050002E8</v>
      </c>
      <c r="B18630" s="17">
        <v>8852000.0</v>
      </c>
    </row>
    <row r="18631">
      <c r="A18631" s="17">
        <v>5.050002E8</v>
      </c>
      <c r="B18631" s="17">
        <v>8320500.0</v>
      </c>
    </row>
    <row r="18632">
      <c r="A18632" s="17">
        <v>5.050002E8</v>
      </c>
      <c r="B18632" s="17">
        <v>8320510.0</v>
      </c>
    </row>
    <row r="18633">
      <c r="A18633" s="17">
        <v>5.050002E8</v>
      </c>
      <c r="B18633" s="17">
        <v>8320520.0</v>
      </c>
    </row>
    <row r="18634">
      <c r="A18634" s="17">
        <v>5.050002E8</v>
      </c>
      <c r="B18634" s="17">
        <v>8320600.0</v>
      </c>
    </row>
    <row r="18635">
      <c r="A18635" s="17">
        <v>5.050002E8</v>
      </c>
      <c r="B18635" s="17">
        <v>8320610.0</v>
      </c>
    </row>
    <row r="18636">
      <c r="A18636" s="17">
        <v>5.050002E8</v>
      </c>
      <c r="B18636" s="17">
        <v>8320620.0</v>
      </c>
    </row>
    <row r="18637">
      <c r="A18637" s="17">
        <v>5.050002E8</v>
      </c>
      <c r="B18637" s="17">
        <v>8320700.0</v>
      </c>
    </row>
    <row r="18638">
      <c r="A18638" s="17">
        <v>5.050002E8</v>
      </c>
      <c r="B18638" s="17">
        <v>8320710.0</v>
      </c>
    </row>
    <row r="18639">
      <c r="A18639" s="17">
        <v>5.050002E8</v>
      </c>
      <c r="B18639" s="17">
        <v>8320720.0</v>
      </c>
    </row>
    <row r="18640">
      <c r="A18640" s="17">
        <v>5.051001E8</v>
      </c>
      <c r="B18640" s="17">
        <v>0.0</v>
      </c>
    </row>
    <row r="18641">
      <c r="A18641" s="17">
        <v>5.051001E8</v>
      </c>
      <c r="B18641" s="17">
        <v>8100100.0</v>
      </c>
    </row>
    <row r="18642">
      <c r="A18642" s="17">
        <v>5.051001E8</v>
      </c>
      <c r="B18642" s="17">
        <v>8100101.0</v>
      </c>
    </row>
    <row r="18643">
      <c r="A18643" s="17">
        <v>5.051001E8</v>
      </c>
      <c r="B18643" s="17">
        <v>8100102.0</v>
      </c>
    </row>
    <row r="18644">
      <c r="A18644" s="17">
        <v>5.051001E8</v>
      </c>
      <c r="B18644" s="17">
        <v>8100200.0</v>
      </c>
    </row>
    <row r="18645">
      <c r="A18645" s="17">
        <v>5.051001E8</v>
      </c>
      <c r="B18645" s="17">
        <v>8100201.0</v>
      </c>
    </row>
    <row r="18646">
      <c r="A18646" s="17">
        <v>5.051001E8</v>
      </c>
      <c r="B18646" s="17">
        <v>8100202.0</v>
      </c>
    </row>
    <row r="18647">
      <c r="A18647" s="17">
        <v>5.051001E8</v>
      </c>
      <c r="B18647" s="17">
        <v>8100300.0</v>
      </c>
    </row>
    <row r="18648">
      <c r="A18648" s="17">
        <v>5.051001E8</v>
      </c>
      <c r="B18648" s="17">
        <v>8100301.0</v>
      </c>
    </row>
    <row r="18649">
      <c r="A18649" s="17">
        <v>5.051001E8</v>
      </c>
      <c r="B18649" s="17">
        <v>8100302.0</v>
      </c>
    </row>
    <row r="18650">
      <c r="A18650" s="17">
        <v>5.051001E8</v>
      </c>
      <c r="B18650" s="17">
        <v>8100400.0</v>
      </c>
    </row>
    <row r="18651">
      <c r="A18651" s="17">
        <v>5.051001E8</v>
      </c>
      <c r="B18651" s="17">
        <v>8100401.0</v>
      </c>
    </row>
    <row r="18652">
      <c r="A18652" s="17">
        <v>5.051001E8</v>
      </c>
      <c r="B18652" s="17">
        <v>8100402.0</v>
      </c>
    </row>
    <row r="18653">
      <c r="A18653" s="17">
        <v>5.051001E8</v>
      </c>
      <c r="B18653" s="17">
        <v>8130000.0</v>
      </c>
    </row>
    <row r="18654">
      <c r="A18654" s="17">
        <v>5.051001E8</v>
      </c>
      <c r="B18654" s="17">
        <v>8130001.0</v>
      </c>
    </row>
    <row r="18655">
      <c r="A18655" s="17">
        <v>5.051001E8</v>
      </c>
      <c r="B18655" s="17">
        <v>8130002.0</v>
      </c>
    </row>
    <row r="18656">
      <c r="A18656" s="17">
        <v>5.051001E8</v>
      </c>
      <c r="B18656" s="17">
        <v>8140000.0</v>
      </c>
    </row>
    <row r="18657">
      <c r="A18657" s="17">
        <v>5.051001E8</v>
      </c>
      <c r="B18657" s="17">
        <v>8140001.0</v>
      </c>
    </row>
    <row r="18658">
      <c r="A18658" s="17">
        <v>5.051001E8</v>
      </c>
      <c r="B18658" s="17">
        <v>8140002.0</v>
      </c>
    </row>
    <row r="18659">
      <c r="A18659" s="17">
        <v>5.051001E8</v>
      </c>
      <c r="B18659" s="17">
        <v>8200100.0</v>
      </c>
    </row>
    <row r="18660">
      <c r="A18660" s="17">
        <v>5.051001E8</v>
      </c>
      <c r="B18660" s="17">
        <v>8200101.0</v>
      </c>
    </row>
    <row r="18661">
      <c r="A18661" s="17">
        <v>5.051001E8</v>
      </c>
      <c r="B18661" s="17">
        <v>8200102.0</v>
      </c>
    </row>
    <row r="18662">
      <c r="A18662" s="17">
        <v>5.051001E8</v>
      </c>
      <c r="B18662" s="17">
        <v>8200200.0</v>
      </c>
    </row>
    <row r="18663">
      <c r="A18663" s="17">
        <v>5.051001E8</v>
      </c>
      <c r="B18663" s="17">
        <v>8200201.0</v>
      </c>
    </row>
    <row r="18664">
      <c r="A18664" s="17">
        <v>5.051001E8</v>
      </c>
      <c r="B18664" s="17">
        <v>8200202.0</v>
      </c>
    </row>
    <row r="18665">
      <c r="A18665" s="17">
        <v>5.051001E8</v>
      </c>
      <c r="B18665" s="17">
        <v>8200300.0</v>
      </c>
    </row>
    <row r="18666">
      <c r="A18666" s="17">
        <v>5.051001E8</v>
      </c>
      <c r="B18666" s="17">
        <v>8200301.0</v>
      </c>
    </row>
    <row r="18667">
      <c r="A18667" s="17">
        <v>5.051001E8</v>
      </c>
      <c r="B18667" s="17">
        <v>8200302.0</v>
      </c>
    </row>
    <row r="18668">
      <c r="A18668" s="17">
        <v>5.051001E8</v>
      </c>
      <c r="B18668" s="17">
        <v>8200400.0</v>
      </c>
    </row>
    <row r="18669">
      <c r="A18669" s="17">
        <v>5.051001E8</v>
      </c>
      <c r="B18669" s="17">
        <v>8200401.0</v>
      </c>
    </row>
    <row r="18670">
      <c r="A18670" s="17">
        <v>5.051001E8</v>
      </c>
      <c r="B18670" s="17">
        <v>8200402.0</v>
      </c>
    </row>
    <row r="18671">
      <c r="A18671" s="17">
        <v>5.051001E8</v>
      </c>
      <c r="B18671" s="17">
        <v>8210000.0</v>
      </c>
    </row>
    <row r="18672">
      <c r="A18672" s="17">
        <v>5.051001E8</v>
      </c>
      <c r="B18672" s="17">
        <v>8210001.0</v>
      </c>
    </row>
    <row r="18673">
      <c r="A18673" s="17">
        <v>5.051001E8</v>
      </c>
      <c r="B18673" s="17">
        <v>8210002.0</v>
      </c>
    </row>
    <row r="18674">
      <c r="A18674" s="17">
        <v>5.051001E8</v>
      </c>
      <c r="B18674" s="17">
        <v>8210100.0</v>
      </c>
    </row>
    <row r="18675">
      <c r="A18675" s="17">
        <v>5.051001E8</v>
      </c>
      <c r="B18675" s="17">
        <v>8210101.0</v>
      </c>
    </row>
    <row r="18676">
      <c r="A18676" s="17">
        <v>5.051001E8</v>
      </c>
      <c r="B18676" s="17">
        <v>8210102.0</v>
      </c>
    </row>
    <row r="18677">
      <c r="A18677" s="17">
        <v>5.051001E8</v>
      </c>
      <c r="B18677" s="17">
        <v>8210200.0</v>
      </c>
    </row>
    <row r="18678">
      <c r="A18678" s="17">
        <v>5.051001E8</v>
      </c>
      <c r="B18678" s="17">
        <v>8210201.0</v>
      </c>
    </row>
    <row r="18679">
      <c r="A18679" s="17">
        <v>5.051001E8</v>
      </c>
      <c r="B18679" s="17">
        <v>8210202.0</v>
      </c>
    </row>
    <row r="18680">
      <c r="A18680" s="17">
        <v>5.051001E8</v>
      </c>
      <c r="B18680" s="17">
        <v>8210300.0</v>
      </c>
    </row>
    <row r="18681">
      <c r="A18681" s="17">
        <v>5.051001E8</v>
      </c>
      <c r="B18681" s="17">
        <v>8210301.0</v>
      </c>
    </row>
    <row r="18682">
      <c r="A18682" s="17">
        <v>5.051001E8</v>
      </c>
      <c r="B18682" s="17">
        <v>8210302.0</v>
      </c>
    </row>
    <row r="18683">
      <c r="A18683" s="17">
        <v>5.051001E8</v>
      </c>
      <c r="B18683" s="17">
        <v>8210400.0</v>
      </c>
    </row>
    <row r="18684">
      <c r="A18684" s="17">
        <v>5.051001E8</v>
      </c>
      <c r="B18684" s="17">
        <v>8210401.0</v>
      </c>
    </row>
    <row r="18685">
      <c r="A18685" s="17">
        <v>5.051001E8</v>
      </c>
      <c r="B18685" s="17">
        <v>8210402.0</v>
      </c>
    </row>
    <row r="18686">
      <c r="A18686" s="17">
        <v>5.051001E8</v>
      </c>
      <c r="B18686" s="17">
        <v>8210500.0</v>
      </c>
    </row>
    <row r="18687">
      <c r="A18687" s="17">
        <v>5.051001E8</v>
      </c>
      <c r="B18687" s="17">
        <v>8210501.0</v>
      </c>
    </row>
    <row r="18688">
      <c r="A18688" s="17">
        <v>5.051001E8</v>
      </c>
      <c r="B18688" s="17">
        <v>8210502.0</v>
      </c>
    </row>
    <row r="18689">
      <c r="A18689" s="17">
        <v>5.051001E8</v>
      </c>
      <c r="B18689" s="17">
        <v>8210600.0</v>
      </c>
    </row>
    <row r="18690">
      <c r="A18690" s="17">
        <v>5.051001E8</v>
      </c>
      <c r="B18690" s="17">
        <v>8210601.0</v>
      </c>
    </row>
    <row r="18691">
      <c r="A18691" s="17">
        <v>5.051001E8</v>
      </c>
      <c r="B18691" s="17">
        <v>8210602.0</v>
      </c>
    </row>
    <row r="18692">
      <c r="A18692" s="17">
        <v>5.051001E8</v>
      </c>
      <c r="B18692" s="17">
        <v>8220000.0</v>
      </c>
    </row>
    <row r="18693">
      <c r="A18693" s="17">
        <v>5.051001E8</v>
      </c>
      <c r="B18693" s="17">
        <v>8220001.0</v>
      </c>
    </row>
    <row r="18694">
      <c r="A18694" s="17">
        <v>5.051001E8</v>
      </c>
      <c r="B18694" s="17">
        <v>8220002.0</v>
      </c>
    </row>
    <row r="18695">
      <c r="A18695" s="17">
        <v>5.051001E8</v>
      </c>
      <c r="B18695" s="17">
        <v>8300000.0</v>
      </c>
    </row>
    <row r="18696">
      <c r="A18696" s="17">
        <v>5.051001E8</v>
      </c>
      <c r="B18696" s="17">
        <v>8300001.0</v>
      </c>
    </row>
    <row r="18697">
      <c r="A18697" s="17">
        <v>5.051001E8</v>
      </c>
      <c r="B18697" s="17">
        <v>8300002.0</v>
      </c>
    </row>
    <row r="18698">
      <c r="A18698" s="17">
        <v>5.051001E8</v>
      </c>
      <c r="B18698" s="17">
        <v>8310000.0</v>
      </c>
    </row>
    <row r="18699">
      <c r="A18699" s="17">
        <v>5.051001E8</v>
      </c>
      <c r="B18699" s="17">
        <v>8310001.0</v>
      </c>
    </row>
    <row r="18700">
      <c r="A18700" s="17">
        <v>5.051001E8</v>
      </c>
      <c r="B18700" s="17">
        <v>8310002.0</v>
      </c>
    </row>
    <row r="18701">
      <c r="A18701" s="17">
        <v>5.051001E8</v>
      </c>
      <c r="B18701" s="17">
        <v>8320000.0</v>
      </c>
    </row>
    <row r="18702">
      <c r="A18702" s="17">
        <v>5.051001E8</v>
      </c>
      <c r="B18702" s="17">
        <v>8320001.0</v>
      </c>
    </row>
    <row r="18703">
      <c r="A18703" s="17">
        <v>5.051001E8</v>
      </c>
      <c r="B18703" s="17">
        <v>8320002.0</v>
      </c>
    </row>
    <row r="18704">
      <c r="A18704" s="17">
        <v>5.051001E8</v>
      </c>
      <c r="B18704" s="17">
        <v>8320100.0</v>
      </c>
    </row>
    <row r="18705">
      <c r="A18705" s="17">
        <v>5.051001E8</v>
      </c>
      <c r="B18705" s="17">
        <v>8320101.0</v>
      </c>
    </row>
    <row r="18706">
      <c r="A18706" s="17">
        <v>5.051001E8</v>
      </c>
      <c r="B18706" s="17">
        <v>8320102.0</v>
      </c>
    </row>
    <row r="18707">
      <c r="A18707" s="17">
        <v>5.051001E8</v>
      </c>
      <c r="B18707" s="17">
        <v>8320300.0</v>
      </c>
    </row>
    <row r="18708">
      <c r="A18708" s="17">
        <v>5.051001E8</v>
      </c>
      <c r="B18708" s="17">
        <v>8320301.0</v>
      </c>
    </row>
    <row r="18709">
      <c r="A18709" s="17">
        <v>5.051001E8</v>
      </c>
      <c r="B18709" s="17">
        <v>8320302.0</v>
      </c>
    </row>
    <row r="18710">
      <c r="A18710" s="17">
        <v>5.051001E8</v>
      </c>
      <c r="B18710" s="17">
        <v>8320400.0</v>
      </c>
    </row>
    <row r="18711">
      <c r="A18711" s="17">
        <v>5.051001E8</v>
      </c>
      <c r="B18711" s="17">
        <v>8320410.0</v>
      </c>
    </row>
    <row r="18712">
      <c r="A18712" s="17">
        <v>5.051001E8</v>
      </c>
      <c r="B18712" s="17">
        <v>8320420.0</v>
      </c>
    </row>
    <row r="18713">
      <c r="A18713" s="17">
        <v>5.051001E8</v>
      </c>
      <c r="B18713" s="17">
        <v>8330000.0</v>
      </c>
    </row>
    <row r="18714">
      <c r="A18714" s="17">
        <v>5.051001E8</v>
      </c>
      <c r="B18714" s="17">
        <v>8330001.0</v>
      </c>
    </row>
    <row r="18715">
      <c r="A18715" s="17">
        <v>5.051001E8</v>
      </c>
      <c r="B18715" s="17">
        <v>8330002.0</v>
      </c>
    </row>
    <row r="18716">
      <c r="A18716" s="17">
        <v>5.051001E8</v>
      </c>
      <c r="B18716" s="17">
        <v>8330100.0</v>
      </c>
    </row>
    <row r="18717">
      <c r="A18717" s="17">
        <v>5.051001E8</v>
      </c>
      <c r="B18717" s="17">
        <v>8330101.0</v>
      </c>
    </row>
    <row r="18718">
      <c r="A18718" s="17">
        <v>5.051001E8</v>
      </c>
      <c r="B18718" s="17">
        <v>8330102.0</v>
      </c>
    </row>
    <row r="18719">
      <c r="A18719" s="17">
        <v>5.051001E8</v>
      </c>
      <c r="B18719" s="17">
        <v>8330200.0</v>
      </c>
    </row>
    <row r="18720">
      <c r="A18720" s="17">
        <v>5.051001E8</v>
      </c>
      <c r="B18720" s="17">
        <v>8330201.0</v>
      </c>
    </row>
    <row r="18721">
      <c r="A18721" s="17">
        <v>5.051001E8</v>
      </c>
      <c r="B18721" s="17">
        <v>8330202.0</v>
      </c>
    </row>
    <row r="18722">
      <c r="A18722" s="17">
        <v>5.051001E8</v>
      </c>
      <c r="B18722" s="17">
        <v>8330300.0</v>
      </c>
    </row>
    <row r="18723">
      <c r="A18723" s="17">
        <v>5.051001E8</v>
      </c>
      <c r="B18723" s="17">
        <v>8330301.0</v>
      </c>
    </row>
    <row r="18724">
      <c r="A18724" s="17">
        <v>5.051001E8</v>
      </c>
      <c r="B18724" s="17">
        <v>8330302.0</v>
      </c>
    </row>
    <row r="18725">
      <c r="A18725" s="17">
        <v>5.051001E8</v>
      </c>
      <c r="B18725" s="17">
        <v>8330400.0</v>
      </c>
    </row>
    <row r="18726">
      <c r="A18726" s="17">
        <v>5.051001E8</v>
      </c>
      <c r="B18726" s="17">
        <v>8330401.0</v>
      </c>
    </row>
    <row r="18727">
      <c r="A18727" s="17">
        <v>5.051001E8</v>
      </c>
      <c r="B18727" s="17">
        <v>8330600.0</v>
      </c>
    </row>
    <row r="18728">
      <c r="A18728" s="17">
        <v>5.051001E8</v>
      </c>
      <c r="B18728" s="17">
        <v>8330601.0</v>
      </c>
    </row>
    <row r="18729">
      <c r="A18729" s="17">
        <v>5.051001E8</v>
      </c>
      <c r="B18729" s="17">
        <v>8330602.0</v>
      </c>
    </row>
    <row r="18730">
      <c r="A18730" s="17">
        <v>5.051001E8</v>
      </c>
      <c r="B18730" s="17">
        <v>8330900.0</v>
      </c>
    </row>
    <row r="18731">
      <c r="A18731" s="17">
        <v>5.051001E8</v>
      </c>
      <c r="B18731" s="17">
        <v>8330910.0</v>
      </c>
    </row>
    <row r="18732">
      <c r="A18732" s="17">
        <v>5.051001E8</v>
      </c>
      <c r="B18732" s="17">
        <v>8330920.0</v>
      </c>
    </row>
    <row r="18733">
      <c r="A18733" s="17">
        <v>5.051001E8</v>
      </c>
      <c r="B18733" s="17">
        <v>8340000.0</v>
      </c>
    </row>
    <row r="18734">
      <c r="A18734" s="17">
        <v>5.051001E8</v>
      </c>
      <c r="B18734" s="17">
        <v>8340001.0</v>
      </c>
    </row>
    <row r="18735">
      <c r="A18735" s="17">
        <v>5.051001E8</v>
      </c>
      <c r="B18735" s="17">
        <v>8340002.0</v>
      </c>
    </row>
    <row r="18736">
      <c r="A18736" s="17">
        <v>5.051001E8</v>
      </c>
      <c r="B18736" s="17">
        <v>8340100.0</v>
      </c>
    </row>
    <row r="18737">
      <c r="A18737" s="17">
        <v>5.051001E8</v>
      </c>
      <c r="B18737" s="17">
        <v>8340101.0</v>
      </c>
    </row>
    <row r="18738">
      <c r="A18738" s="17">
        <v>5.051001E8</v>
      </c>
      <c r="B18738" s="17">
        <v>8340102.0</v>
      </c>
    </row>
    <row r="18739">
      <c r="A18739" s="17">
        <v>5.051001E8</v>
      </c>
      <c r="B18739" s="17">
        <v>8350000.0</v>
      </c>
    </row>
    <row r="18740">
      <c r="A18740" s="17">
        <v>5.051001E8</v>
      </c>
      <c r="B18740" s="17">
        <v>8350001.0</v>
      </c>
    </row>
    <row r="18741">
      <c r="A18741" s="17">
        <v>5.051001E8</v>
      </c>
      <c r="B18741" s="17">
        <v>8350002.0</v>
      </c>
    </row>
    <row r="18742">
      <c r="A18742" s="17">
        <v>5.051001E8</v>
      </c>
      <c r="B18742" s="17">
        <v>8350200.0</v>
      </c>
    </row>
    <row r="18743">
      <c r="A18743" s="17">
        <v>5.051001E8</v>
      </c>
      <c r="B18743" s="17">
        <v>8350201.0</v>
      </c>
    </row>
    <row r="18744">
      <c r="A18744" s="17">
        <v>5.051001E8</v>
      </c>
      <c r="B18744" s="17">
        <v>8350202.0</v>
      </c>
    </row>
    <row r="18745">
      <c r="A18745" s="17">
        <v>5.051001E8</v>
      </c>
      <c r="B18745" s="17">
        <v>8420000.0</v>
      </c>
    </row>
    <row r="18746">
      <c r="A18746" s="17">
        <v>5.051001E8</v>
      </c>
      <c r="B18746" s="17">
        <v>8420001.0</v>
      </c>
    </row>
    <row r="18747">
      <c r="A18747" s="17">
        <v>5.051001E8</v>
      </c>
      <c r="B18747" s="17">
        <v>8420002.0</v>
      </c>
    </row>
    <row r="18748">
      <c r="A18748" s="17">
        <v>5.051001E8</v>
      </c>
      <c r="B18748" s="17">
        <v>8450000.0</v>
      </c>
    </row>
    <row r="18749">
      <c r="A18749" s="17">
        <v>5.051001E8</v>
      </c>
      <c r="B18749" s="17">
        <v>8460100.0</v>
      </c>
    </row>
    <row r="18750">
      <c r="A18750" s="17">
        <v>5.051001E8</v>
      </c>
      <c r="B18750" s="17">
        <v>8460300.0</v>
      </c>
    </row>
    <row r="18751">
      <c r="A18751" s="17">
        <v>5.051001E8</v>
      </c>
      <c r="B18751" s="17">
        <v>8460500.0</v>
      </c>
    </row>
    <row r="18752">
      <c r="A18752" s="17">
        <v>5.051001E8</v>
      </c>
      <c r="B18752" s="17">
        <v>8510000.0</v>
      </c>
    </row>
    <row r="18753">
      <c r="A18753" s="17">
        <v>5.051001E8</v>
      </c>
      <c r="B18753" s="17">
        <v>8510001.0</v>
      </c>
    </row>
    <row r="18754">
      <c r="A18754" s="17">
        <v>5.051001E8</v>
      </c>
      <c r="B18754" s="17">
        <v>8510002.0</v>
      </c>
    </row>
    <row r="18755">
      <c r="A18755" s="17">
        <v>5.051001E8</v>
      </c>
      <c r="B18755" s="17">
        <v>8520000.0</v>
      </c>
    </row>
    <row r="18756">
      <c r="A18756" s="17">
        <v>5.051001E8</v>
      </c>
      <c r="B18756" s="17">
        <v>8520001.0</v>
      </c>
    </row>
    <row r="18757">
      <c r="A18757" s="17">
        <v>5.051001E8</v>
      </c>
      <c r="B18757" s="17">
        <v>8520002.0</v>
      </c>
    </row>
    <row r="18758">
      <c r="A18758" s="17">
        <v>5.051001E8</v>
      </c>
      <c r="B18758" s="17">
        <v>8530000.0</v>
      </c>
    </row>
    <row r="18759">
      <c r="A18759" s="17">
        <v>5.051001E8</v>
      </c>
      <c r="B18759" s="17">
        <v>8530100.0</v>
      </c>
    </row>
    <row r="18760">
      <c r="A18760" s="17">
        <v>5.051001E8</v>
      </c>
      <c r="B18760" s="17">
        <v>8540000.0</v>
      </c>
    </row>
    <row r="18761">
      <c r="A18761" s="17">
        <v>5.051001E8</v>
      </c>
      <c r="B18761" s="17">
        <v>8600100.0</v>
      </c>
    </row>
    <row r="18762">
      <c r="A18762" s="17">
        <v>5.051001E8</v>
      </c>
      <c r="B18762" s="17">
        <v>8600101.0</v>
      </c>
    </row>
    <row r="18763">
      <c r="A18763" s="17">
        <v>5.051001E8</v>
      </c>
      <c r="B18763" s="17">
        <v>8600102.0</v>
      </c>
    </row>
    <row r="18764">
      <c r="A18764" s="17">
        <v>5.051001E8</v>
      </c>
      <c r="B18764" s="17">
        <v>8600200.0</v>
      </c>
    </row>
    <row r="18765">
      <c r="A18765" s="17">
        <v>5.051001E8</v>
      </c>
      <c r="B18765" s="17">
        <v>8600201.0</v>
      </c>
    </row>
    <row r="18766">
      <c r="A18766" s="17">
        <v>5.051001E8</v>
      </c>
      <c r="B18766" s="17">
        <v>8600202.0</v>
      </c>
    </row>
    <row r="18767">
      <c r="A18767" s="17">
        <v>5.051001E8</v>
      </c>
      <c r="B18767" s="17">
        <v>8610300.0</v>
      </c>
    </row>
    <row r="18768">
      <c r="A18768" s="17">
        <v>5.051001E8</v>
      </c>
      <c r="B18768" s="17">
        <v>8610400.0</v>
      </c>
    </row>
    <row r="18769">
      <c r="A18769" s="17">
        <v>5.051001E8</v>
      </c>
      <c r="B18769" s="17">
        <v>8610500.0</v>
      </c>
    </row>
    <row r="18770">
      <c r="A18770" s="17">
        <v>5.051001E8</v>
      </c>
      <c r="B18770" s="17">
        <v>8610600.0</v>
      </c>
    </row>
    <row r="18771">
      <c r="A18771" s="17">
        <v>5.051001E8</v>
      </c>
      <c r="B18771" s="17">
        <v>8610700.0</v>
      </c>
    </row>
    <row r="18772">
      <c r="A18772" s="17">
        <v>5.051001E8</v>
      </c>
      <c r="B18772" s="17">
        <v>8610710.0</v>
      </c>
    </row>
    <row r="18773">
      <c r="A18773" s="17">
        <v>5.051001E8</v>
      </c>
      <c r="B18773" s="17">
        <v>8610720.0</v>
      </c>
    </row>
    <row r="18774">
      <c r="A18774" s="17">
        <v>5.051001E8</v>
      </c>
      <c r="B18774" s="17">
        <v>8620000.0</v>
      </c>
    </row>
    <row r="18775">
      <c r="A18775" s="17">
        <v>5.051001E8</v>
      </c>
      <c r="B18775" s="17">
        <v>8620010.0</v>
      </c>
    </row>
    <row r="18776">
      <c r="A18776" s="17">
        <v>5.051001E8</v>
      </c>
      <c r="B18776" s="17">
        <v>8620020.0</v>
      </c>
    </row>
    <row r="18777">
      <c r="A18777" s="17">
        <v>5.051001E8</v>
      </c>
      <c r="B18777" s="17">
        <v>8620100.0</v>
      </c>
    </row>
    <row r="18778">
      <c r="A18778" s="17">
        <v>5.051001E8</v>
      </c>
      <c r="B18778" s="17">
        <v>8620110.0</v>
      </c>
    </row>
    <row r="18779">
      <c r="A18779" s="17">
        <v>5.051001E8</v>
      </c>
      <c r="B18779" s="17">
        <v>8620120.0</v>
      </c>
    </row>
    <row r="18780">
      <c r="A18780" s="17">
        <v>5.051001E8</v>
      </c>
      <c r="B18780" s="17">
        <v>8630000.0</v>
      </c>
    </row>
    <row r="18781">
      <c r="A18781" s="17">
        <v>5.051001E8</v>
      </c>
      <c r="B18781" s="17">
        <v>8630000.0</v>
      </c>
    </row>
    <row r="18782">
      <c r="A18782" s="17">
        <v>5.051001E8</v>
      </c>
      <c r="B18782" s="17">
        <v>8630000.0</v>
      </c>
    </row>
    <row r="18783">
      <c r="A18783" s="17">
        <v>5.051001E8</v>
      </c>
      <c r="B18783" s="17">
        <v>8630100.0</v>
      </c>
    </row>
    <row r="18784">
      <c r="A18784" s="17">
        <v>5.051001E8</v>
      </c>
      <c r="B18784" s="17">
        <v>8630100.0</v>
      </c>
    </row>
    <row r="18785">
      <c r="A18785" s="17">
        <v>5.051001E8</v>
      </c>
      <c r="B18785" s="17">
        <v>8630100.0</v>
      </c>
    </row>
    <row r="18786">
      <c r="A18786" s="17">
        <v>5.051001E8</v>
      </c>
      <c r="B18786" s="17">
        <v>8630200.0</v>
      </c>
    </row>
    <row r="18787">
      <c r="A18787" s="17">
        <v>5.051001E8</v>
      </c>
      <c r="B18787" s="17">
        <v>8630300.0</v>
      </c>
    </row>
    <row r="18788">
      <c r="A18788" s="17">
        <v>5.051001E8</v>
      </c>
      <c r="B18788" s="17">
        <v>8630400.0</v>
      </c>
    </row>
    <row r="18789">
      <c r="A18789" s="17">
        <v>5.051001E8</v>
      </c>
      <c r="B18789" s="17">
        <v>8630500.0</v>
      </c>
    </row>
    <row r="18790">
      <c r="A18790" s="17">
        <v>5.051001E8</v>
      </c>
      <c r="B18790" s="17">
        <v>8630600.0</v>
      </c>
    </row>
    <row r="18791">
      <c r="A18791" s="17">
        <v>5.051001E8</v>
      </c>
      <c r="B18791" s="17">
        <v>8630700.0</v>
      </c>
    </row>
    <row r="18792">
      <c r="A18792" s="17">
        <v>5.051001E8</v>
      </c>
      <c r="B18792" s="17">
        <v>8630800.0</v>
      </c>
    </row>
    <row r="18793">
      <c r="A18793" s="17">
        <v>5.051001E8</v>
      </c>
      <c r="B18793" s="17">
        <v>8652000.0</v>
      </c>
    </row>
    <row r="18794">
      <c r="A18794" s="17">
        <v>5.051001E8</v>
      </c>
      <c r="B18794" s="17">
        <v>8652010.0</v>
      </c>
    </row>
    <row r="18795">
      <c r="A18795" s="17">
        <v>5.051001E8</v>
      </c>
      <c r="B18795" s="17">
        <v>8652020.0</v>
      </c>
    </row>
    <row r="18796">
      <c r="A18796" s="17">
        <v>5.051001E8</v>
      </c>
      <c r="B18796" s="17">
        <v>8652100.0</v>
      </c>
    </row>
    <row r="18797">
      <c r="A18797" s="17">
        <v>5.051001E8</v>
      </c>
      <c r="B18797" s="17">
        <v>8652110.0</v>
      </c>
    </row>
    <row r="18798">
      <c r="A18798" s="17">
        <v>5.051001E8</v>
      </c>
      <c r="B18798" s="17">
        <v>8652120.0</v>
      </c>
    </row>
    <row r="18799">
      <c r="A18799" s="17">
        <v>5.051001E8</v>
      </c>
      <c r="B18799" s="17">
        <v>8660000.0</v>
      </c>
    </row>
    <row r="18800">
      <c r="A18800" s="17">
        <v>5.051001E8</v>
      </c>
      <c r="B18800" s="17">
        <v>8660001.0</v>
      </c>
    </row>
    <row r="18801">
      <c r="A18801" s="17">
        <v>5.051001E8</v>
      </c>
      <c r="B18801" s="17">
        <v>8660002.0</v>
      </c>
    </row>
    <row r="18802">
      <c r="A18802" s="17">
        <v>5.051001E8</v>
      </c>
      <c r="B18802" s="17">
        <v>8660100.0</v>
      </c>
    </row>
    <row r="18803">
      <c r="A18803" s="17">
        <v>5.051001E8</v>
      </c>
      <c r="B18803" s="17">
        <v>8660101.0</v>
      </c>
    </row>
    <row r="18804">
      <c r="A18804" s="17">
        <v>5.051001E8</v>
      </c>
      <c r="B18804" s="17">
        <v>8660102.0</v>
      </c>
    </row>
    <row r="18805">
      <c r="A18805" s="17">
        <v>5.051001E8</v>
      </c>
      <c r="B18805" s="17">
        <v>8670000.0</v>
      </c>
    </row>
    <row r="18806">
      <c r="A18806" s="17">
        <v>5.051001E8</v>
      </c>
      <c r="B18806" s="17">
        <v>8670001.0</v>
      </c>
    </row>
    <row r="18807">
      <c r="A18807" s="17">
        <v>5.051001E8</v>
      </c>
      <c r="B18807" s="17">
        <v>8670002.0</v>
      </c>
    </row>
    <row r="18808">
      <c r="A18808" s="17">
        <v>5.051001E8</v>
      </c>
      <c r="B18808" s="17">
        <v>8670100.0</v>
      </c>
    </row>
    <row r="18809">
      <c r="A18809" s="17">
        <v>5.051001E8</v>
      </c>
      <c r="B18809" s="17">
        <v>8670101.0</v>
      </c>
    </row>
    <row r="18810">
      <c r="A18810" s="17">
        <v>5.051001E8</v>
      </c>
      <c r="B18810" s="17">
        <v>8670102.0</v>
      </c>
    </row>
    <row r="18811">
      <c r="A18811" s="17">
        <v>5.051001E8</v>
      </c>
      <c r="B18811" s="17">
        <v>8690000.0</v>
      </c>
    </row>
    <row r="18812">
      <c r="A18812" s="17">
        <v>5.051001E8</v>
      </c>
      <c r="B18812" s="17">
        <v>8690100.0</v>
      </c>
    </row>
    <row r="18813">
      <c r="A18813" s="17">
        <v>5.051001E8</v>
      </c>
      <c r="B18813" s="17">
        <v>8690200.0</v>
      </c>
    </row>
    <row r="18814">
      <c r="A18814" s="17">
        <v>5.051001E8</v>
      </c>
      <c r="B18814" s="17">
        <v>8690300.0</v>
      </c>
    </row>
    <row r="18815">
      <c r="A18815" s="17">
        <v>5.051001E8</v>
      </c>
      <c r="B18815" s="17">
        <v>8690400.0</v>
      </c>
    </row>
    <row r="18816">
      <c r="A18816" s="17">
        <v>5.051001E8</v>
      </c>
      <c r="B18816" s="17">
        <v>8850000.0</v>
      </c>
    </row>
    <row r="18817">
      <c r="A18817" s="17">
        <v>5.051001E8</v>
      </c>
      <c r="B18817" s="17">
        <v>8850100.0</v>
      </c>
    </row>
    <row r="18818">
      <c r="A18818" s="17">
        <v>5.051001E8</v>
      </c>
      <c r="B18818" s="17">
        <v>8850200.0</v>
      </c>
    </row>
    <row r="18819">
      <c r="A18819" s="17">
        <v>5.051001E8</v>
      </c>
      <c r="B18819" s="17">
        <v>8850300.0</v>
      </c>
    </row>
    <row r="18820">
      <c r="A18820" s="17">
        <v>5.051001E8</v>
      </c>
      <c r="B18820" s="17">
        <v>8850400.0</v>
      </c>
    </row>
    <row r="18821">
      <c r="A18821" s="17">
        <v>5.051001E8</v>
      </c>
      <c r="B18821" s="17">
        <v>8850500.0</v>
      </c>
    </row>
    <row r="18822">
      <c r="A18822" s="17">
        <v>5.051001E8</v>
      </c>
      <c r="B18822" s="17">
        <v>8850600.0</v>
      </c>
    </row>
    <row r="18823">
      <c r="A18823" s="17">
        <v>5.051001E8</v>
      </c>
      <c r="B18823" s="17">
        <v>8850700.0</v>
      </c>
    </row>
    <row r="18824">
      <c r="A18824" s="17">
        <v>5.051001E8</v>
      </c>
      <c r="B18824" s="17">
        <v>8850800.0</v>
      </c>
    </row>
    <row r="18825">
      <c r="A18825" s="17">
        <v>5.051001E8</v>
      </c>
      <c r="B18825" s="17">
        <v>8850900.0</v>
      </c>
    </row>
    <row r="18826">
      <c r="A18826" s="17">
        <v>5.051001E8</v>
      </c>
      <c r="B18826" s="17">
        <v>8851000.0</v>
      </c>
    </row>
    <row r="18827">
      <c r="A18827" s="17">
        <v>5.051001E8</v>
      </c>
      <c r="B18827" s="17">
        <v>8851100.0</v>
      </c>
    </row>
    <row r="18828">
      <c r="A18828" s="17">
        <v>5.051001E8</v>
      </c>
      <c r="B18828" s="17">
        <v>8851200.0</v>
      </c>
    </row>
    <row r="18829">
      <c r="A18829" s="17">
        <v>5.051001E8</v>
      </c>
      <c r="B18829" s="17">
        <v>8851300.0</v>
      </c>
    </row>
    <row r="18830">
      <c r="A18830" s="17">
        <v>5.051001E8</v>
      </c>
      <c r="B18830" s="17">
        <v>8851800.0</v>
      </c>
    </row>
    <row r="18831">
      <c r="A18831" s="17">
        <v>5.051001E8</v>
      </c>
      <c r="B18831" s="17">
        <v>8851900.0</v>
      </c>
    </row>
    <row r="18832">
      <c r="A18832" s="17">
        <v>5.051001E8</v>
      </c>
      <c r="B18832" s="17">
        <v>8852000.0</v>
      </c>
    </row>
    <row r="18833">
      <c r="A18833" s="17">
        <v>5.051001E8</v>
      </c>
      <c r="B18833" s="17">
        <v>8320500.0</v>
      </c>
    </row>
    <row r="18834">
      <c r="A18834" s="17">
        <v>5.051001E8</v>
      </c>
      <c r="B18834" s="17">
        <v>8320510.0</v>
      </c>
    </row>
    <row r="18835">
      <c r="A18835" s="17">
        <v>5.051001E8</v>
      </c>
      <c r="B18835" s="17">
        <v>8320520.0</v>
      </c>
    </row>
    <row r="18836">
      <c r="A18836" s="17">
        <v>5.051001E8</v>
      </c>
      <c r="B18836" s="17">
        <v>8320600.0</v>
      </c>
    </row>
    <row r="18837">
      <c r="A18837" s="17">
        <v>5.051001E8</v>
      </c>
      <c r="B18837" s="17">
        <v>8320610.0</v>
      </c>
    </row>
    <row r="18838">
      <c r="A18838" s="17">
        <v>5.051001E8</v>
      </c>
      <c r="B18838" s="17">
        <v>8320620.0</v>
      </c>
    </row>
    <row r="18839">
      <c r="A18839" s="17">
        <v>5.051001E8</v>
      </c>
      <c r="B18839" s="17">
        <v>8320700.0</v>
      </c>
    </row>
    <row r="18840">
      <c r="A18840" s="17">
        <v>5.051001E8</v>
      </c>
      <c r="B18840" s="17">
        <v>8320710.0</v>
      </c>
    </row>
    <row r="18841">
      <c r="A18841" s="17">
        <v>5.051001E8</v>
      </c>
      <c r="B18841" s="17">
        <v>8320720.0</v>
      </c>
    </row>
    <row r="18842">
      <c r="A18842" s="17">
        <v>5.051002E8</v>
      </c>
      <c r="B18842" s="17">
        <v>0.0</v>
      </c>
    </row>
    <row r="18843">
      <c r="A18843" s="17">
        <v>5.051002E8</v>
      </c>
      <c r="B18843" s="17">
        <v>8100100.0</v>
      </c>
    </row>
    <row r="18844">
      <c r="A18844" s="17">
        <v>5.051002E8</v>
      </c>
      <c r="B18844" s="17">
        <v>8100101.0</v>
      </c>
    </row>
    <row r="18845">
      <c r="A18845" s="17">
        <v>5.051002E8</v>
      </c>
      <c r="B18845" s="17">
        <v>8100102.0</v>
      </c>
    </row>
    <row r="18846">
      <c r="A18846" s="17">
        <v>5.051002E8</v>
      </c>
      <c r="B18846" s="17">
        <v>8100200.0</v>
      </c>
    </row>
    <row r="18847">
      <c r="A18847" s="17">
        <v>5.051002E8</v>
      </c>
      <c r="B18847" s="17">
        <v>8100201.0</v>
      </c>
    </row>
    <row r="18848">
      <c r="A18848" s="17">
        <v>5.051002E8</v>
      </c>
      <c r="B18848" s="17">
        <v>8100202.0</v>
      </c>
    </row>
    <row r="18849">
      <c r="A18849" s="17">
        <v>5.051002E8</v>
      </c>
      <c r="B18849" s="17">
        <v>8100300.0</v>
      </c>
    </row>
    <row r="18850">
      <c r="A18850" s="17">
        <v>5.051002E8</v>
      </c>
      <c r="B18850" s="17">
        <v>8100301.0</v>
      </c>
    </row>
    <row r="18851">
      <c r="A18851" s="17">
        <v>5.051002E8</v>
      </c>
      <c r="B18851" s="17">
        <v>8100302.0</v>
      </c>
    </row>
    <row r="18852">
      <c r="A18852" s="17">
        <v>5.051002E8</v>
      </c>
      <c r="B18852" s="17">
        <v>8100400.0</v>
      </c>
    </row>
    <row r="18853">
      <c r="A18853" s="17">
        <v>5.051002E8</v>
      </c>
      <c r="B18853" s="17">
        <v>8100401.0</v>
      </c>
    </row>
    <row r="18854">
      <c r="A18854" s="17">
        <v>5.051002E8</v>
      </c>
      <c r="B18854" s="17">
        <v>8100402.0</v>
      </c>
    </row>
    <row r="18855">
      <c r="A18855" s="17">
        <v>5.051002E8</v>
      </c>
      <c r="B18855" s="17">
        <v>8130000.0</v>
      </c>
    </row>
    <row r="18856">
      <c r="A18856" s="17">
        <v>5.051002E8</v>
      </c>
      <c r="B18856" s="17">
        <v>8130001.0</v>
      </c>
    </row>
    <row r="18857">
      <c r="A18857" s="17">
        <v>5.051002E8</v>
      </c>
      <c r="B18857" s="17">
        <v>8130002.0</v>
      </c>
    </row>
    <row r="18858">
      <c r="A18858" s="17">
        <v>5.051002E8</v>
      </c>
      <c r="B18858" s="17">
        <v>8140000.0</v>
      </c>
    </row>
    <row r="18859">
      <c r="A18859" s="17">
        <v>5.051002E8</v>
      </c>
      <c r="B18859" s="17">
        <v>8140001.0</v>
      </c>
    </row>
    <row r="18860">
      <c r="A18860" s="17">
        <v>5.051002E8</v>
      </c>
      <c r="B18860" s="17">
        <v>8140002.0</v>
      </c>
    </row>
    <row r="18861">
      <c r="A18861" s="17">
        <v>5.051002E8</v>
      </c>
      <c r="B18861" s="17">
        <v>8200100.0</v>
      </c>
    </row>
    <row r="18862">
      <c r="A18862" s="17">
        <v>5.051002E8</v>
      </c>
      <c r="B18862" s="17">
        <v>8200101.0</v>
      </c>
    </row>
    <row r="18863">
      <c r="A18863" s="17">
        <v>5.051002E8</v>
      </c>
      <c r="B18863" s="17">
        <v>8200102.0</v>
      </c>
    </row>
    <row r="18864">
      <c r="A18864" s="17">
        <v>5.051002E8</v>
      </c>
      <c r="B18864" s="17">
        <v>8200200.0</v>
      </c>
    </row>
    <row r="18865">
      <c r="A18865" s="17">
        <v>5.051002E8</v>
      </c>
      <c r="B18865" s="17">
        <v>8200201.0</v>
      </c>
    </row>
    <row r="18866">
      <c r="A18866" s="17">
        <v>5.051002E8</v>
      </c>
      <c r="B18866" s="17">
        <v>8200202.0</v>
      </c>
    </row>
    <row r="18867">
      <c r="A18867" s="17">
        <v>5.051002E8</v>
      </c>
      <c r="B18867" s="17">
        <v>8200300.0</v>
      </c>
    </row>
    <row r="18868">
      <c r="A18868" s="17">
        <v>5.051002E8</v>
      </c>
      <c r="B18868" s="17">
        <v>8200301.0</v>
      </c>
    </row>
    <row r="18869">
      <c r="A18869" s="17">
        <v>5.051002E8</v>
      </c>
      <c r="B18869" s="17">
        <v>8200302.0</v>
      </c>
    </row>
    <row r="18870">
      <c r="A18870" s="17">
        <v>5.051002E8</v>
      </c>
      <c r="B18870" s="17">
        <v>8200400.0</v>
      </c>
    </row>
    <row r="18871">
      <c r="A18871" s="17">
        <v>5.051002E8</v>
      </c>
      <c r="B18871" s="17">
        <v>8200401.0</v>
      </c>
    </row>
    <row r="18872">
      <c r="A18872" s="17">
        <v>5.051002E8</v>
      </c>
      <c r="B18872" s="17">
        <v>8200402.0</v>
      </c>
    </row>
    <row r="18873">
      <c r="A18873" s="17">
        <v>5.051002E8</v>
      </c>
      <c r="B18873" s="17">
        <v>8210000.0</v>
      </c>
    </row>
    <row r="18874">
      <c r="A18874" s="17">
        <v>5.051002E8</v>
      </c>
      <c r="B18874" s="17">
        <v>8210001.0</v>
      </c>
    </row>
    <row r="18875">
      <c r="A18875" s="17">
        <v>5.051002E8</v>
      </c>
      <c r="B18875" s="17">
        <v>8210002.0</v>
      </c>
    </row>
    <row r="18876">
      <c r="A18876" s="17">
        <v>5.051002E8</v>
      </c>
      <c r="B18876" s="17">
        <v>8210100.0</v>
      </c>
    </row>
    <row r="18877">
      <c r="A18877" s="17">
        <v>5.051002E8</v>
      </c>
      <c r="B18877" s="17">
        <v>8210101.0</v>
      </c>
    </row>
    <row r="18878">
      <c r="A18878" s="17">
        <v>5.051002E8</v>
      </c>
      <c r="B18878" s="17">
        <v>8210102.0</v>
      </c>
    </row>
    <row r="18879">
      <c r="A18879" s="17">
        <v>5.051002E8</v>
      </c>
      <c r="B18879" s="17">
        <v>8210200.0</v>
      </c>
    </row>
    <row r="18880">
      <c r="A18880" s="17">
        <v>5.051002E8</v>
      </c>
      <c r="B18880" s="17">
        <v>8210201.0</v>
      </c>
    </row>
    <row r="18881">
      <c r="A18881" s="17">
        <v>5.051002E8</v>
      </c>
      <c r="B18881" s="17">
        <v>8210202.0</v>
      </c>
    </row>
    <row r="18882">
      <c r="A18882" s="17">
        <v>5.051002E8</v>
      </c>
      <c r="B18882" s="17">
        <v>8210300.0</v>
      </c>
    </row>
    <row r="18883">
      <c r="A18883" s="17">
        <v>5.051002E8</v>
      </c>
      <c r="B18883" s="17">
        <v>8210301.0</v>
      </c>
    </row>
    <row r="18884">
      <c r="A18884" s="17">
        <v>5.051002E8</v>
      </c>
      <c r="B18884" s="17">
        <v>8210302.0</v>
      </c>
    </row>
    <row r="18885">
      <c r="A18885" s="17">
        <v>5.051002E8</v>
      </c>
      <c r="B18885" s="17">
        <v>8210400.0</v>
      </c>
    </row>
    <row r="18886">
      <c r="A18886" s="17">
        <v>5.051002E8</v>
      </c>
      <c r="B18886" s="17">
        <v>8210401.0</v>
      </c>
    </row>
    <row r="18887">
      <c r="A18887" s="17">
        <v>5.051002E8</v>
      </c>
      <c r="B18887" s="17">
        <v>8210402.0</v>
      </c>
    </row>
    <row r="18888">
      <c r="A18888" s="17">
        <v>5.051002E8</v>
      </c>
      <c r="B18888" s="17">
        <v>8210500.0</v>
      </c>
    </row>
    <row r="18889">
      <c r="A18889" s="17">
        <v>5.051002E8</v>
      </c>
      <c r="B18889" s="17">
        <v>8210501.0</v>
      </c>
    </row>
    <row r="18890">
      <c r="A18890" s="17">
        <v>5.051002E8</v>
      </c>
      <c r="B18890" s="17">
        <v>8210502.0</v>
      </c>
    </row>
    <row r="18891">
      <c r="A18891" s="17">
        <v>5.051002E8</v>
      </c>
      <c r="B18891" s="17">
        <v>8210600.0</v>
      </c>
    </row>
    <row r="18892">
      <c r="A18892" s="17">
        <v>5.051002E8</v>
      </c>
      <c r="B18892" s="17">
        <v>8210601.0</v>
      </c>
    </row>
    <row r="18893">
      <c r="A18893" s="17">
        <v>5.051002E8</v>
      </c>
      <c r="B18893" s="17">
        <v>8210602.0</v>
      </c>
    </row>
    <row r="18894">
      <c r="A18894" s="17">
        <v>5.051002E8</v>
      </c>
      <c r="B18894" s="17">
        <v>8220000.0</v>
      </c>
    </row>
    <row r="18895">
      <c r="A18895" s="17">
        <v>5.051002E8</v>
      </c>
      <c r="B18895" s="17">
        <v>8220001.0</v>
      </c>
    </row>
    <row r="18896">
      <c r="A18896" s="17">
        <v>5.051002E8</v>
      </c>
      <c r="B18896" s="17">
        <v>8220002.0</v>
      </c>
    </row>
    <row r="18897">
      <c r="A18897" s="17">
        <v>5.051002E8</v>
      </c>
      <c r="B18897" s="17">
        <v>8300000.0</v>
      </c>
    </row>
    <row r="18898">
      <c r="A18898" s="17">
        <v>5.051002E8</v>
      </c>
      <c r="B18898" s="17">
        <v>8300001.0</v>
      </c>
    </row>
    <row r="18899">
      <c r="A18899" s="17">
        <v>5.051002E8</v>
      </c>
      <c r="B18899" s="17">
        <v>8300002.0</v>
      </c>
    </row>
    <row r="18900">
      <c r="A18900" s="17">
        <v>5.051002E8</v>
      </c>
      <c r="B18900" s="17">
        <v>8310000.0</v>
      </c>
    </row>
    <row r="18901">
      <c r="A18901" s="17">
        <v>5.051002E8</v>
      </c>
      <c r="B18901" s="17">
        <v>8310001.0</v>
      </c>
    </row>
    <row r="18902">
      <c r="A18902" s="17">
        <v>5.051002E8</v>
      </c>
      <c r="B18902" s="17">
        <v>8310002.0</v>
      </c>
    </row>
    <row r="18903">
      <c r="A18903" s="17">
        <v>5.051002E8</v>
      </c>
      <c r="B18903" s="17">
        <v>8320000.0</v>
      </c>
    </row>
    <row r="18904">
      <c r="A18904" s="17">
        <v>5.051002E8</v>
      </c>
      <c r="B18904" s="17">
        <v>8320001.0</v>
      </c>
    </row>
    <row r="18905">
      <c r="A18905" s="17">
        <v>5.051002E8</v>
      </c>
      <c r="B18905" s="17">
        <v>8320002.0</v>
      </c>
    </row>
    <row r="18906">
      <c r="A18906" s="17">
        <v>5.051002E8</v>
      </c>
      <c r="B18906" s="17">
        <v>8320100.0</v>
      </c>
    </row>
    <row r="18907">
      <c r="A18907" s="17">
        <v>5.051002E8</v>
      </c>
      <c r="B18907" s="17">
        <v>8320101.0</v>
      </c>
    </row>
    <row r="18908">
      <c r="A18908" s="17">
        <v>5.051002E8</v>
      </c>
      <c r="B18908" s="17">
        <v>8320102.0</v>
      </c>
    </row>
    <row r="18909">
      <c r="A18909" s="17">
        <v>5.051002E8</v>
      </c>
      <c r="B18909" s="17">
        <v>8320300.0</v>
      </c>
    </row>
    <row r="18910">
      <c r="A18910" s="17">
        <v>5.051002E8</v>
      </c>
      <c r="B18910" s="17">
        <v>8320301.0</v>
      </c>
    </row>
    <row r="18911">
      <c r="A18911" s="17">
        <v>5.051002E8</v>
      </c>
      <c r="B18911" s="17">
        <v>8320302.0</v>
      </c>
    </row>
    <row r="18912">
      <c r="A18912" s="17">
        <v>5.051002E8</v>
      </c>
      <c r="B18912" s="17">
        <v>8320400.0</v>
      </c>
    </row>
    <row r="18913">
      <c r="A18913" s="17">
        <v>5.051002E8</v>
      </c>
      <c r="B18913" s="17">
        <v>8320410.0</v>
      </c>
    </row>
    <row r="18914">
      <c r="A18914" s="17">
        <v>5.051002E8</v>
      </c>
      <c r="B18914" s="17">
        <v>8320420.0</v>
      </c>
    </row>
    <row r="18915">
      <c r="A18915" s="17">
        <v>5.051002E8</v>
      </c>
      <c r="B18915" s="17">
        <v>8330000.0</v>
      </c>
    </row>
    <row r="18916">
      <c r="A18916" s="17">
        <v>5.051002E8</v>
      </c>
      <c r="B18916" s="17">
        <v>8330001.0</v>
      </c>
    </row>
    <row r="18917">
      <c r="A18917" s="17">
        <v>5.051002E8</v>
      </c>
      <c r="B18917" s="17">
        <v>8330002.0</v>
      </c>
    </row>
    <row r="18918">
      <c r="A18918" s="17">
        <v>5.051002E8</v>
      </c>
      <c r="B18918" s="17">
        <v>8330100.0</v>
      </c>
    </row>
    <row r="18919">
      <c r="A18919" s="17">
        <v>5.051002E8</v>
      </c>
      <c r="B18919" s="17">
        <v>8330101.0</v>
      </c>
    </row>
    <row r="18920">
      <c r="A18920" s="17">
        <v>5.051002E8</v>
      </c>
      <c r="B18920" s="17">
        <v>8330102.0</v>
      </c>
    </row>
    <row r="18921">
      <c r="A18921" s="17">
        <v>5.051002E8</v>
      </c>
      <c r="B18921" s="17">
        <v>8330200.0</v>
      </c>
    </row>
    <row r="18922">
      <c r="A18922" s="17">
        <v>5.051002E8</v>
      </c>
      <c r="B18922" s="17">
        <v>8330201.0</v>
      </c>
    </row>
    <row r="18923">
      <c r="A18923" s="17">
        <v>5.051002E8</v>
      </c>
      <c r="B18923" s="17">
        <v>8330202.0</v>
      </c>
    </row>
    <row r="18924">
      <c r="A18924" s="17">
        <v>5.051002E8</v>
      </c>
      <c r="B18924" s="17">
        <v>8330300.0</v>
      </c>
    </row>
    <row r="18925">
      <c r="A18925" s="17">
        <v>5.051002E8</v>
      </c>
      <c r="B18925" s="17">
        <v>8330301.0</v>
      </c>
    </row>
    <row r="18926">
      <c r="A18926" s="17">
        <v>5.051002E8</v>
      </c>
      <c r="B18926" s="17">
        <v>8330302.0</v>
      </c>
    </row>
    <row r="18927">
      <c r="A18927" s="17">
        <v>5.051002E8</v>
      </c>
      <c r="B18927" s="17">
        <v>8330400.0</v>
      </c>
    </row>
    <row r="18928">
      <c r="A18928" s="17">
        <v>5.051002E8</v>
      </c>
      <c r="B18928" s="17">
        <v>8330401.0</v>
      </c>
    </row>
    <row r="18929">
      <c r="A18929" s="17">
        <v>5.051002E8</v>
      </c>
      <c r="B18929" s="17">
        <v>8330600.0</v>
      </c>
    </row>
    <row r="18930">
      <c r="A18930" s="17">
        <v>5.051002E8</v>
      </c>
      <c r="B18930" s="17">
        <v>8330601.0</v>
      </c>
    </row>
    <row r="18931">
      <c r="A18931" s="17">
        <v>5.051002E8</v>
      </c>
      <c r="B18931" s="17">
        <v>8330602.0</v>
      </c>
    </row>
    <row r="18932">
      <c r="A18932" s="17">
        <v>5.051002E8</v>
      </c>
      <c r="B18932" s="17">
        <v>8330900.0</v>
      </c>
    </row>
    <row r="18933">
      <c r="A18933" s="17">
        <v>5.051002E8</v>
      </c>
      <c r="B18933" s="17">
        <v>8330910.0</v>
      </c>
    </row>
    <row r="18934">
      <c r="A18934" s="17">
        <v>5.051002E8</v>
      </c>
      <c r="B18934" s="17">
        <v>8330920.0</v>
      </c>
    </row>
    <row r="18935">
      <c r="A18935" s="17">
        <v>5.051002E8</v>
      </c>
      <c r="B18935" s="17">
        <v>8340000.0</v>
      </c>
    </row>
    <row r="18936">
      <c r="A18936" s="17">
        <v>5.051002E8</v>
      </c>
      <c r="B18936" s="17">
        <v>8340001.0</v>
      </c>
    </row>
    <row r="18937">
      <c r="A18937" s="17">
        <v>5.051002E8</v>
      </c>
      <c r="B18937" s="17">
        <v>8340002.0</v>
      </c>
    </row>
    <row r="18938">
      <c r="A18938" s="17">
        <v>5.051002E8</v>
      </c>
      <c r="B18938" s="17">
        <v>8340100.0</v>
      </c>
    </row>
    <row r="18939">
      <c r="A18939" s="17">
        <v>5.051002E8</v>
      </c>
      <c r="B18939" s="17">
        <v>8340101.0</v>
      </c>
    </row>
    <row r="18940">
      <c r="A18940" s="17">
        <v>5.051002E8</v>
      </c>
      <c r="B18940" s="17">
        <v>8340102.0</v>
      </c>
    </row>
    <row r="18941">
      <c r="A18941" s="17">
        <v>5.051002E8</v>
      </c>
      <c r="B18941" s="17">
        <v>8350000.0</v>
      </c>
    </row>
    <row r="18942">
      <c r="A18942" s="17">
        <v>5.051002E8</v>
      </c>
      <c r="B18942" s="17">
        <v>8350001.0</v>
      </c>
    </row>
    <row r="18943">
      <c r="A18943" s="17">
        <v>5.051002E8</v>
      </c>
      <c r="B18943" s="17">
        <v>8350002.0</v>
      </c>
    </row>
    <row r="18944">
      <c r="A18944" s="17">
        <v>5.051002E8</v>
      </c>
      <c r="B18944" s="17">
        <v>8350200.0</v>
      </c>
    </row>
    <row r="18945">
      <c r="A18945" s="17">
        <v>5.051002E8</v>
      </c>
      <c r="B18945" s="17">
        <v>8350201.0</v>
      </c>
    </row>
    <row r="18946">
      <c r="A18946" s="17">
        <v>5.051002E8</v>
      </c>
      <c r="B18946" s="17">
        <v>8350202.0</v>
      </c>
    </row>
    <row r="18947">
      <c r="A18947" s="17">
        <v>5.051002E8</v>
      </c>
      <c r="B18947" s="17">
        <v>8420000.0</v>
      </c>
    </row>
    <row r="18948">
      <c r="A18948" s="17">
        <v>5.051002E8</v>
      </c>
      <c r="B18948" s="17">
        <v>8420001.0</v>
      </c>
    </row>
    <row r="18949">
      <c r="A18949" s="17">
        <v>5.051002E8</v>
      </c>
      <c r="B18949" s="17">
        <v>8420002.0</v>
      </c>
    </row>
    <row r="18950">
      <c r="A18950" s="17">
        <v>5.051002E8</v>
      </c>
      <c r="B18950" s="17">
        <v>8450000.0</v>
      </c>
    </row>
    <row r="18951">
      <c r="A18951" s="17">
        <v>5.051002E8</v>
      </c>
      <c r="B18951" s="17">
        <v>8460100.0</v>
      </c>
    </row>
    <row r="18952">
      <c r="A18952" s="17">
        <v>5.051002E8</v>
      </c>
      <c r="B18952" s="17">
        <v>8460300.0</v>
      </c>
    </row>
    <row r="18953">
      <c r="A18953" s="17">
        <v>5.051002E8</v>
      </c>
      <c r="B18953" s="17">
        <v>8460500.0</v>
      </c>
    </row>
    <row r="18954">
      <c r="A18954" s="17">
        <v>5.051002E8</v>
      </c>
      <c r="B18954" s="17">
        <v>8510000.0</v>
      </c>
    </row>
    <row r="18955">
      <c r="A18955" s="17">
        <v>5.051002E8</v>
      </c>
      <c r="B18955" s="17">
        <v>8510001.0</v>
      </c>
    </row>
    <row r="18956">
      <c r="A18956" s="17">
        <v>5.051002E8</v>
      </c>
      <c r="B18956" s="17">
        <v>8510002.0</v>
      </c>
    </row>
    <row r="18957">
      <c r="A18957" s="17">
        <v>5.051002E8</v>
      </c>
      <c r="B18957" s="17">
        <v>8520000.0</v>
      </c>
    </row>
    <row r="18958">
      <c r="A18958" s="17">
        <v>5.051002E8</v>
      </c>
      <c r="B18958" s="17">
        <v>8520001.0</v>
      </c>
    </row>
    <row r="18959">
      <c r="A18959" s="17">
        <v>5.051002E8</v>
      </c>
      <c r="B18959" s="17">
        <v>8520002.0</v>
      </c>
    </row>
    <row r="18960">
      <c r="A18960" s="17">
        <v>5.051002E8</v>
      </c>
      <c r="B18960" s="17">
        <v>8530000.0</v>
      </c>
    </row>
    <row r="18961">
      <c r="A18961" s="17">
        <v>5.051002E8</v>
      </c>
      <c r="B18961" s="17">
        <v>8530100.0</v>
      </c>
    </row>
    <row r="18962">
      <c r="A18962" s="17">
        <v>5.051002E8</v>
      </c>
      <c r="B18962" s="17">
        <v>8540000.0</v>
      </c>
    </row>
    <row r="18963">
      <c r="A18963" s="17">
        <v>5.051002E8</v>
      </c>
      <c r="B18963" s="17">
        <v>8600100.0</v>
      </c>
    </row>
    <row r="18964">
      <c r="A18964" s="17">
        <v>5.051002E8</v>
      </c>
      <c r="B18964" s="17">
        <v>8600101.0</v>
      </c>
    </row>
    <row r="18965">
      <c r="A18965" s="17">
        <v>5.051002E8</v>
      </c>
      <c r="B18965" s="17">
        <v>8600102.0</v>
      </c>
    </row>
    <row r="18966">
      <c r="A18966" s="17">
        <v>5.051002E8</v>
      </c>
      <c r="B18966" s="17">
        <v>8600200.0</v>
      </c>
    </row>
    <row r="18967">
      <c r="A18967" s="17">
        <v>5.051002E8</v>
      </c>
      <c r="B18967" s="17">
        <v>8600201.0</v>
      </c>
    </row>
    <row r="18968">
      <c r="A18968" s="17">
        <v>5.051002E8</v>
      </c>
      <c r="B18968" s="17">
        <v>8600202.0</v>
      </c>
    </row>
    <row r="18969">
      <c r="A18969" s="17">
        <v>5.051002E8</v>
      </c>
      <c r="B18969" s="17">
        <v>8610300.0</v>
      </c>
    </row>
    <row r="18970">
      <c r="A18970" s="17">
        <v>5.051002E8</v>
      </c>
      <c r="B18970" s="17">
        <v>8610400.0</v>
      </c>
    </row>
    <row r="18971">
      <c r="A18971" s="17">
        <v>5.051002E8</v>
      </c>
      <c r="B18971" s="17">
        <v>8610500.0</v>
      </c>
    </row>
    <row r="18972">
      <c r="A18972" s="17">
        <v>5.051002E8</v>
      </c>
      <c r="B18972" s="17">
        <v>8610600.0</v>
      </c>
    </row>
    <row r="18973">
      <c r="A18973" s="17">
        <v>5.051002E8</v>
      </c>
      <c r="B18973" s="17">
        <v>8610700.0</v>
      </c>
    </row>
    <row r="18974">
      <c r="A18974" s="17">
        <v>5.051002E8</v>
      </c>
      <c r="B18974" s="17">
        <v>8610710.0</v>
      </c>
    </row>
    <row r="18975">
      <c r="A18975" s="17">
        <v>5.051002E8</v>
      </c>
      <c r="B18975" s="17">
        <v>8610720.0</v>
      </c>
    </row>
    <row r="18976">
      <c r="A18976" s="17">
        <v>5.051002E8</v>
      </c>
      <c r="B18976" s="17">
        <v>8620000.0</v>
      </c>
    </row>
    <row r="18977">
      <c r="A18977" s="17">
        <v>5.051002E8</v>
      </c>
      <c r="B18977" s="17">
        <v>8620010.0</v>
      </c>
    </row>
    <row r="18978">
      <c r="A18978" s="17">
        <v>5.051002E8</v>
      </c>
      <c r="B18978" s="17">
        <v>8620020.0</v>
      </c>
    </row>
    <row r="18979">
      <c r="A18979" s="17">
        <v>5.051002E8</v>
      </c>
      <c r="B18979" s="17">
        <v>8620100.0</v>
      </c>
    </row>
    <row r="18980">
      <c r="A18980" s="17">
        <v>5.051002E8</v>
      </c>
      <c r="B18980" s="17">
        <v>8620110.0</v>
      </c>
    </row>
    <row r="18981">
      <c r="A18981" s="17">
        <v>5.051002E8</v>
      </c>
      <c r="B18981" s="17">
        <v>8620120.0</v>
      </c>
    </row>
    <row r="18982">
      <c r="A18982" s="17">
        <v>5.051002E8</v>
      </c>
      <c r="B18982" s="17">
        <v>8630000.0</v>
      </c>
    </row>
    <row r="18983">
      <c r="A18983" s="17">
        <v>5.051002E8</v>
      </c>
      <c r="B18983" s="17">
        <v>8630000.0</v>
      </c>
    </row>
    <row r="18984">
      <c r="A18984" s="17">
        <v>5.051002E8</v>
      </c>
      <c r="B18984" s="17">
        <v>8630000.0</v>
      </c>
    </row>
    <row r="18985">
      <c r="A18985" s="17">
        <v>5.051002E8</v>
      </c>
      <c r="B18985" s="17">
        <v>8630100.0</v>
      </c>
    </row>
    <row r="18986">
      <c r="A18986" s="17">
        <v>5.051002E8</v>
      </c>
      <c r="B18986" s="17">
        <v>8630100.0</v>
      </c>
    </row>
    <row r="18987">
      <c r="A18987" s="17">
        <v>5.051002E8</v>
      </c>
      <c r="B18987" s="17">
        <v>8630100.0</v>
      </c>
    </row>
    <row r="18988">
      <c r="A18988" s="17">
        <v>5.051002E8</v>
      </c>
      <c r="B18988" s="17">
        <v>8630200.0</v>
      </c>
    </row>
    <row r="18989">
      <c r="A18989" s="17">
        <v>5.051002E8</v>
      </c>
      <c r="B18989" s="17">
        <v>8630300.0</v>
      </c>
    </row>
    <row r="18990">
      <c r="A18990" s="17">
        <v>5.051002E8</v>
      </c>
      <c r="B18990" s="17">
        <v>8630400.0</v>
      </c>
    </row>
    <row r="18991">
      <c r="A18991" s="17">
        <v>5.051002E8</v>
      </c>
      <c r="B18991" s="17">
        <v>8630500.0</v>
      </c>
    </row>
    <row r="18992">
      <c r="A18992" s="17">
        <v>5.051002E8</v>
      </c>
      <c r="B18992" s="17">
        <v>8630600.0</v>
      </c>
    </row>
    <row r="18993">
      <c r="A18993" s="17">
        <v>5.051002E8</v>
      </c>
      <c r="B18993" s="17">
        <v>8630700.0</v>
      </c>
    </row>
    <row r="18994">
      <c r="A18994" s="17">
        <v>5.051002E8</v>
      </c>
      <c r="B18994" s="17">
        <v>8630800.0</v>
      </c>
    </row>
    <row r="18995">
      <c r="A18995" s="17">
        <v>5.051002E8</v>
      </c>
      <c r="B18995" s="17">
        <v>8652000.0</v>
      </c>
    </row>
    <row r="18996">
      <c r="A18996" s="17">
        <v>5.051002E8</v>
      </c>
      <c r="B18996" s="17">
        <v>8652010.0</v>
      </c>
    </row>
    <row r="18997">
      <c r="A18997" s="17">
        <v>5.051002E8</v>
      </c>
      <c r="B18997" s="17">
        <v>8652020.0</v>
      </c>
    </row>
    <row r="18998">
      <c r="A18998" s="17">
        <v>5.051002E8</v>
      </c>
      <c r="B18998" s="17">
        <v>8652100.0</v>
      </c>
    </row>
    <row r="18999">
      <c r="A18999" s="17">
        <v>5.051002E8</v>
      </c>
      <c r="B18999" s="17">
        <v>8652110.0</v>
      </c>
    </row>
    <row r="19000">
      <c r="A19000" s="17">
        <v>5.051002E8</v>
      </c>
      <c r="B19000" s="17">
        <v>8652120.0</v>
      </c>
    </row>
    <row r="19001">
      <c r="A19001" s="17">
        <v>5.051002E8</v>
      </c>
      <c r="B19001" s="17">
        <v>8660000.0</v>
      </c>
    </row>
    <row r="19002">
      <c r="A19002" s="17">
        <v>5.051002E8</v>
      </c>
      <c r="B19002" s="17">
        <v>8660001.0</v>
      </c>
    </row>
    <row r="19003">
      <c r="A19003" s="17">
        <v>5.051002E8</v>
      </c>
      <c r="B19003" s="17">
        <v>8660002.0</v>
      </c>
    </row>
    <row r="19004">
      <c r="A19004" s="17">
        <v>5.051002E8</v>
      </c>
      <c r="B19004" s="17">
        <v>8660100.0</v>
      </c>
    </row>
    <row r="19005">
      <c r="A19005" s="17">
        <v>5.051002E8</v>
      </c>
      <c r="B19005" s="17">
        <v>8660101.0</v>
      </c>
    </row>
    <row r="19006">
      <c r="A19006" s="17">
        <v>5.051002E8</v>
      </c>
      <c r="B19006" s="17">
        <v>8660102.0</v>
      </c>
    </row>
    <row r="19007">
      <c r="A19007" s="17">
        <v>5.051002E8</v>
      </c>
      <c r="B19007" s="17">
        <v>8670000.0</v>
      </c>
    </row>
    <row r="19008">
      <c r="A19008" s="17">
        <v>5.051002E8</v>
      </c>
      <c r="B19008" s="17">
        <v>8670001.0</v>
      </c>
    </row>
    <row r="19009">
      <c r="A19009" s="17">
        <v>5.051002E8</v>
      </c>
      <c r="B19009" s="17">
        <v>8670002.0</v>
      </c>
    </row>
    <row r="19010">
      <c r="A19010" s="17">
        <v>5.051002E8</v>
      </c>
      <c r="B19010" s="17">
        <v>8670100.0</v>
      </c>
    </row>
    <row r="19011">
      <c r="A19011" s="17">
        <v>5.051002E8</v>
      </c>
      <c r="B19011" s="17">
        <v>8670101.0</v>
      </c>
    </row>
    <row r="19012">
      <c r="A19012" s="17">
        <v>5.051002E8</v>
      </c>
      <c r="B19012" s="17">
        <v>8670102.0</v>
      </c>
    </row>
    <row r="19013">
      <c r="A19013" s="17">
        <v>5.051002E8</v>
      </c>
      <c r="B19013" s="17">
        <v>8690000.0</v>
      </c>
    </row>
    <row r="19014">
      <c r="A19014" s="17">
        <v>5.051002E8</v>
      </c>
      <c r="B19014" s="17">
        <v>8690100.0</v>
      </c>
    </row>
    <row r="19015">
      <c r="A19015" s="17">
        <v>5.051002E8</v>
      </c>
      <c r="B19015" s="17">
        <v>8690200.0</v>
      </c>
    </row>
    <row r="19016">
      <c r="A19016" s="17">
        <v>5.051002E8</v>
      </c>
      <c r="B19016" s="17">
        <v>8690300.0</v>
      </c>
    </row>
    <row r="19017">
      <c r="A19017" s="17">
        <v>5.051002E8</v>
      </c>
      <c r="B19017" s="17">
        <v>8690400.0</v>
      </c>
    </row>
    <row r="19018">
      <c r="A19018" s="17">
        <v>5.051002E8</v>
      </c>
      <c r="B19018" s="17">
        <v>8850000.0</v>
      </c>
    </row>
    <row r="19019">
      <c r="A19019" s="17">
        <v>5.051002E8</v>
      </c>
      <c r="B19019" s="17">
        <v>8850100.0</v>
      </c>
    </row>
    <row r="19020">
      <c r="A19020" s="17">
        <v>5.051002E8</v>
      </c>
      <c r="B19020" s="17">
        <v>8850200.0</v>
      </c>
    </row>
    <row r="19021">
      <c r="A19021" s="17">
        <v>5.051002E8</v>
      </c>
      <c r="B19021" s="17">
        <v>8850300.0</v>
      </c>
    </row>
    <row r="19022">
      <c r="A19022" s="17">
        <v>5.051002E8</v>
      </c>
      <c r="B19022" s="17">
        <v>8850400.0</v>
      </c>
    </row>
    <row r="19023">
      <c r="A19023" s="17">
        <v>5.051002E8</v>
      </c>
      <c r="B19023" s="17">
        <v>8850500.0</v>
      </c>
    </row>
    <row r="19024">
      <c r="A19024" s="17">
        <v>5.051002E8</v>
      </c>
      <c r="B19024" s="17">
        <v>8850600.0</v>
      </c>
    </row>
    <row r="19025">
      <c r="A19025" s="17">
        <v>5.051002E8</v>
      </c>
      <c r="B19025" s="17">
        <v>8850700.0</v>
      </c>
    </row>
    <row r="19026">
      <c r="A19026" s="17">
        <v>5.051002E8</v>
      </c>
      <c r="B19026" s="17">
        <v>8850800.0</v>
      </c>
    </row>
    <row r="19027">
      <c r="A19027" s="17">
        <v>5.051002E8</v>
      </c>
      <c r="B19027" s="17">
        <v>8850900.0</v>
      </c>
    </row>
    <row r="19028">
      <c r="A19028" s="17">
        <v>5.051002E8</v>
      </c>
      <c r="B19028" s="17">
        <v>8851000.0</v>
      </c>
    </row>
    <row r="19029">
      <c r="A19029" s="17">
        <v>5.051002E8</v>
      </c>
      <c r="B19029" s="17">
        <v>8851100.0</v>
      </c>
    </row>
    <row r="19030">
      <c r="A19030" s="17">
        <v>5.051002E8</v>
      </c>
      <c r="B19030" s="17">
        <v>8851200.0</v>
      </c>
    </row>
    <row r="19031">
      <c r="A19031" s="17">
        <v>5.051002E8</v>
      </c>
      <c r="B19031" s="17">
        <v>8851300.0</v>
      </c>
    </row>
    <row r="19032">
      <c r="A19032" s="17">
        <v>5.051002E8</v>
      </c>
      <c r="B19032" s="17">
        <v>8851800.0</v>
      </c>
    </row>
    <row r="19033">
      <c r="A19033" s="17">
        <v>5.051002E8</v>
      </c>
      <c r="B19033" s="17">
        <v>8851900.0</v>
      </c>
    </row>
    <row r="19034">
      <c r="A19034" s="17">
        <v>5.051002E8</v>
      </c>
      <c r="B19034" s="17">
        <v>8852000.0</v>
      </c>
    </row>
    <row r="19035">
      <c r="A19035" s="17">
        <v>5.051002E8</v>
      </c>
      <c r="B19035" s="17">
        <v>8320500.0</v>
      </c>
    </row>
    <row r="19036">
      <c r="A19036" s="17">
        <v>5.051002E8</v>
      </c>
      <c r="B19036" s="17">
        <v>8320510.0</v>
      </c>
    </row>
    <row r="19037">
      <c r="A19037" s="17">
        <v>5.051002E8</v>
      </c>
      <c r="B19037" s="17">
        <v>8320520.0</v>
      </c>
    </row>
    <row r="19038">
      <c r="A19038" s="17">
        <v>5.051002E8</v>
      </c>
      <c r="B19038" s="17">
        <v>8320600.0</v>
      </c>
    </row>
    <row r="19039">
      <c r="A19039" s="17">
        <v>5.051002E8</v>
      </c>
      <c r="B19039" s="17">
        <v>8320610.0</v>
      </c>
    </row>
    <row r="19040">
      <c r="A19040" s="17">
        <v>5.051002E8</v>
      </c>
      <c r="B19040" s="17">
        <v>8320620.0</v>
      </c>
    </row>
    <row r="19041">
      <c r="A19041" s="17">
        <v>5.051002E8</v>
      </c>
      <c r="B19041" s="17">
        <v>8320700.0</v>
      </c>
    </row>
    <row r="19042">
      <c r="A19042" s="17">
        <v>5.051002E8</v>
      </c>
      <c r="B19042" s="17">
        <v>8320710.0</v>
      </c>
    </row>
    <row r="19043">
      <c r="A19043" s="17">
        <v>5.051002E8</v>
      </c>
      <c r="B19043" s="17">
        <v>8320720.0</v>
      </c>
    </row>
    <row r="19044">
      <c r="A19044" s="17">
        <v>5.052001E8</v>
      </c>
      <c r="B19044" s="17">
        <v>0.0</v>
      </c>
    </row>
    <row r="19045">
      <c r="A19045" s="17">
        <v>5.052001E8</v>
      </c>
      <c r="B19045" s="17">
        <v>8100100.0</v>
      </c>
    </row>
    <row r="19046">
      <c r="A19046" s="17">
        <v>5.052001E8</v>
      </c>
      <c r="B19046" s="17">
        <v>8100101.0</v>
      </c>
    </row>
    <row r="19047">
      <c r="A19047" s="17">
        <v>5.052001E8</v>
      </c>
      <c r="B19047" s="17">
        <v>8100102.0</v>
      </c>
    </row>
    <row r="19048">
      <c r="A19048" s="17">
        <v>5.052001E8</v>
      </c>
      <c r="B19048" s="17">
        <v>8100200.0</v>
      </c>
    </row>
    <row r="19049">
      <c r="A19049" s="17">
        <v>5.052001E8</v>
      </c>
      <c r="B19049" s="17">
        <v>8100201.0</v>
      </c>
    </row>
    <row r="19050">
      <c r="A19050" s="17">
        <v>5.052001E8</v>
      </c>
      <c r="B19050" s="17">
        <v>8100202.0</v>
      </c>
    </row>
    <row r="19051">
      <c r="A19051" s="17">
        <v>5.052001E8</v>
      </c>
      <c r="B19051" s="17">
        <v>8100300.0</v>
      </c>
    </row>
    <row r="19052">
      <c r="A19052" s="17">
        <v>5.052001E8</v>
      </c>
      <c r="B19052" s="17">
        <v>8100301.0</v>
      </c>
    </row>
    <row r="19053">
      <c r="A19053" s="17">
        <v>5.052001E8</v>
      </c>
      <c r="B19053" s="17">
        <v>8100302.0</v>
      </c>
    </row>
    <row r="19054">
      <c r="A19054" s="17">
        <v>5.052001E8</v>
      </c>
      <c r="B19054" s="17">
        <v>8100400.0</v>
      </c>
    </row>
    <row r="19055">
      <c r="A19055" s="17">
        <v>5.052001E8</v>
      </c>
      <c r="B19055" s="17">
        <v>8100401.0</v>
      </c>
    </row>
    <row r="19056">
      <c r="A19056" s="17">
        <v>5.052001E8</v>
      </c>
      <c r="B19056" s="17">
        <v>8100402.0</v>
      </c>
    </row>
    <row r="19057">
      <c r="A19057" s="17">
        <v>5.052001E8</v>
      </c>
      <c r="B19057" s="17">
        <v>8130000.0</v>
      </c>
    </row>
    <row r="19058">
      <c r="A19058" s="17">
        <v>5.052001E8</v>
      </c>
      <c r="B19058" s="17">
        <v>8130001.0</v>
      </c>
    </row>
    <row r="19059">
      <c r="A19059" s="17">
        <v>5.052001E8</v>
      </c>
      <c r="B19059" s="17">
        <v>8130002.0</v>
      </c>
    </row>
    <row r="19060">
      <c r="A19060" s="17">
        <v>5.052001E8</v>
      </c>
      <c r="B19060" s="17">
        <v>8140000.0</v>
      </c>
    </row>
    <row r="19061">
      <c r="A19061" s="17">
        <v>5.052001E8</v>
      </c>
      <c r="B19061" s="17">
        <v>8140001.0</v>
      </c>
    </row>
    <row r="19062">
      <c r="A19062" s="17">
        <v>5.052001E8</v>
      </c>
      <c r="B19062" s="17">
        <v>8140002.0</v>
      </c>
    </row>
    <row r="19063">
      <c r="A19063" s="17">
        <v>5.052001E8</v>
      </c>
      <c r="B19063" s="17">
        <v>8200100.0</v>
      </c>
    </row>
    <row r="19064">
      <c r="A19064" s="17">
        <v>5.052001E8</v>
      </c>
      <c r="B19064" s="17">
        <v>8200101.0</v>
      </c>
    </row>
    <row r="19065">
      <c r="A19065" s="17">
        <v>5.052001E8</v>
      </c>
      <c r="B19065" s="17">
        <v>8200102.0</v>
      </c>
    </row>
    <row r="19066">
      <c r="A19066" s="17">
        <v>5.052001E8</v>
      </c>
      <c r="B19066" s="17">
        <v>8200200.0</v>
      </c>
    </row>
    <row r="19067">
      <c r="A19067" s="17">
        <v>5.052001E8</v>
      </c>
      <c r="B19067" s="17">
        <v>8200201.0</v>
      </c>
    </row>
    <row r="19068">
      <c r="A19068" s="17">
        <v>5.052001E8</v>
      </c>
      <c r="B19068" s="17">
        <v>8200202.0</v>
      </c>
    </row>
    <row r="19069">
      <c r="A19069" s="17">
        <v>5.052001E8</v>
      </c>
      <c r="B19069" s="17">
        <v>8200300.0</v>
      </c>
    </row>
    <row r="19070">
      <c r="A19070" s="17">
        <v>5.052001E8</v>
      </c>
      <c r="B19070" s="17">
        <v>8200301.0</v>
      </c>
    </row>
    <row r="19071">
      <c r="A19071" s="17">
        <v>5.052001E8</v>
      </c>
      <c r="B19071" s="17">
        <v>8200302.0</v>
      </c>
    </row>
    <row r="19072">
      <c r="A19072" s="17">
        <v>5.052001E8</v>
      </c>
      <c r="B19072" s="17">
        <v>8200400.0</v>
      </c>
    </row>
    <row r="19073">
      <c r="A19073" s="17">
        <v>5.052001E8</v>
      </c>
      <c r="B19073" s="17">
        <v>8200401.0</v>
      </c>
    </row>
    <row r="19074">
      <c r="A19074" s="17">
        <v>5.052001E8</v>
      </c>
      <c r="B19074" s="17">
        <v>8200402.0</v>
      </c>
    </row>
    <row r="19075">
      <c r="A19075" s="17">
        <v>5.052001E8</v>
      </c>
      <c r="B19075" s="17">
        <v>8210000.0</v>
      </c>
    </row>
    <row r="19076">
      <c r="A19076" s="17">
        <v>5.052001E8</v>
      </c>
      <c r="B19076" s="17">
        <v>8210001.0</v>
      </c>
    </row>
    <row r="19077">
      <c r="A19077" s="17">
        <v>5.052001E8</v>
      </c>
      <c r="B19077" s="17">
        <v>8210002.0</v>
      </c>
    </row>
    <row r="19078">
      <c r="A19078" s="17">
        <v>5.052001E8</v>
      </c>
      <c r="B19078" s="17">
        <v>8210100.0</v>
      </c>
    </row>
    <row r="19079">
      <c r="A19079" s="17">
        <v>5.052001E8</v>
      </c>
      <c r="B19079" s="17">
        <v>8210101.0</v>
      </c>
    </row>
    <row r="19080">
      <c r="A19080" s="17">
        <v>5.052001E8</v>
      </c>
      <c r="B19080" s="17">
        <v>8210102.0</v>
      </c>
    </row>
    <row r="19081">
      <c r="A19081" s="17">
        <v>5.052001E8</v>
      </c>
      <c r="B19081" s="17">
        <v>8210200.0</v>
      </c>
    </row>
    <row r="19082">
      <c r="A19082" s="17">
        <v>5.052001E8</v>
      </c>
      <c r="B19082" s="17">
        <v>8210201.0</v>
      </c>
    </row>
    <row r="19083">
      <c r="A19083" s="17">
        <v>5.052001E8</v>
      </c>
      <c r="B19083" s="17">
        <v>8210202.0</v>
      </c>
    </row>
    <row r="19084">
      <c r="A19084" s="17">
        <v>5.052001E8</v>
      </c>
      <c r="B19084" s="17">
        <v>8210300.0</v>
      </c>
    </row>
    <row r="19085">
      <c r="A19085" s="17">
        <v>5.052001E8</v>
      </c>
      <c r="B19085" s="17">
        <v>8210301.0</v>
      </c>
    </row>
    <row r="19086">
      <c r="A19086" s="17">
        <v>5.052001E8</v>
      </c>
      <c r="B19086" s="17">
        <v>8210302.0</v>
      </c>
    </row>
    <row r="19087">
      <c r="A19087" s="17">
        <v>5.052001E8</v>
      </c>
      <c r="B19087" s="17">
        <v>8210400.0</v>
      </c>
    </row>
    <row r="19088">
      <c r="A19088" s="17">
        <v>5.052001E8</v>
      </c>
      <c r="B19088" s="17">
        <v>8210401.0</v>
      </c>
    </row>
    <row r="19089">
      <c r="A19089" s="17">
        <v>5.052001E8</v>
      </c>
      <c r="B19089" s="17">
        <v>8210402.0</v>
      </c>
    </row>
    <row r="19090">
      <c r="A19090" s="17">
        <v>5.052001E8</v>
      </c>
      <c r="B19090" s="17">
        <v>8210500.0</v>
      </c>
    </row>
    <row r="19091">
      <c r="A19091" s="17">
        <v>5.052001E8</v>
      </c>
      <c r="B19091" s="17">
        <v>8210501.0</v>
      </c>
    </row>
    <row r="19092">
      <c r="A19092" s="17">
        <v>5.052001E8</v>
      </c>
      <c r="B19092" s="17">
        <v>8210502.0</v>
      </c>
    </row>
    <row r="19093">
      <c r="A19093" s="17">
        <v>5.052001E8</v>
      </c>
      <c r="B19093" s="17">
        <v>8210600.0</v>
      </c>
    </row>
    <row r="19094">
      <c r="A19094" s="17">
        <v>5.052001E8</v>
      </c>
      <c r="B19094" s="17">
        <v>8210601.0</v>
      </c>
    </row>
    <row r="19095">
      <c r="A19095" s="17">
        <v>5.052001E8</v>
      </c>
      <c r="B19095" s="17">
        <v>8210602.0</v>
      </c>
    </row>
    <row r="19096">
      <c r="A19096" s="17">
        <v>5.052001E8</v>
      </c>
      <c r="B19096" s="17">
        <v>8220000.0</v>
      </c>
    </row>
    <row r="19097">
      <c r="A19097" s="17">
        <v>5.052001E8</v>
      </c>
      <c r="B19097" s="17">
        <v>8220001.0</v>
      </c>
    </row>
    <row r="19098">
      <c r="A19098" s="17">
        <v>5.052001E8</v>
      </c>
      <c r="B19098" s="17">
        <v>8220002.0</v>
      </c>
    </row>
    <row r="19099">
      <c r="A19099" s="17">
        <v>5.052001E8</v>
      </c>
      <c r="B19099" s="17">
        <v>8300000.0</v>
      </c>
    </row>
    <row r="19100">
      <c r="A19100" s="17">
        <v>5.052001E8</v>
      </c>
      <c r="B19100" s="17">
        <v>8300001.0</v>
      </c>
    </row>
    <row r="19101">
      <c r="A19101" s="17">
        <v>5.052001E8</v>
      </c>
      <c r="B19101" s="17">
        <v>8300002.0</v>
      </c>
    </row>
    <row r="19102">
      <c r="A19102" s="17">
        <v>5.052001E8</v>
      </c>
      <c r="B19102" s="17">
        <v>8310000.0</v>
      </c>
    </row>
    <row r="19103">
      <c r="A19103" s="17">
        <v>5.052001E8</v>
      </c>
      <c r="B19103" s="17">
        <v>8310001.0</v>
      </c>
    </row>
    <row r="19104">
      <c r="A19104" s="17">
        <v>5.052001E8</v>
      </c>
      <c r="B19104" s="17">
        <v>8310002.0</v>
      </c>
    </row>
    <row r="19105">
      <c r="A19105" s="17">
        <v>5.052001E8</v>
      </c>
      <c r="B19105" s="17">
        <v>8320000.0</v>
      </c>
    </row>
    <row r="19106">
      <c r="A19106" s="17">
        <v>5.052001E8</v>
      </c>
      <c r="B19106" s="17">
        <v>8320001.0</v>
      </c>
    </row>
    <row r="19107">
      <c r="A19107" s="17">
        <v>5.052001E8</v>
      </c>
      <c r="B19107" s="17">
        <v>8320002.0</v>
      </c>
    </row>
    <row r="19108">
      <c r="A19108" s="17">
        <v>5.052001E8</v>
      </c>
      <c r="B19108" s="17">
        <v>8320100.0</v>
      </c>
    </row>
    <row r="19109">
      <c r="A19109" s="17">
        <v>5.052001E8</v>
      </c>
      <c r="B19109" s="17">
        <v>8320101.0</v>
      </c>
    </row>
    <row r="19110">
      <c r="A19110" s="17">
        <v>5.052001E8</v>
      </c>
      <c r="B19110" s="17">
        <v>8320102.0</v>
      </c>
    </row>
    <row r="19111">
      <c r="A19111" s="17">
        <v>5.052001E8</v>
      </c>
      <c r="B19111" s="17">
        <v>8320300.0</v>
      </c>
    </row>
    <row r="19112">
      <c r="A19112" s="17">
        <v>5.052001E8</v>
      </c>
      <c r="B19112" s="17">
        <v>8320301.0</v>
      </c>
    </row>
    <row r="19113">
      <c r="A19113" s="17">
        <v>5.052001E8</v>
      </c>
      <c r="B19113" s="17">
        <v>8320302.0</v>
      </c>
    </row>
    <row r="19114">
      <c r="A19114" s="17">
        <v>5.052001E8</v>
      </c>
      <c r="B19114" s="17">
        <v>8320400.0</v>
      </c>
    </row>
    <row r="19115">
      <c r="A19115" s="17">
        <v>5.052001E8</v>
      </c>
      <c r="B19115" s="17">
        <v>8320410.0</v>
      </c>
    </row>
    <row r="19116">
      <c r="A19116" s="17">
        <v>5.052001E8</v>
      </c>
      <c r="B19116" s="17">
        <v>8320420.0</v>
      </c>
    </row>
    <row r="19117">
      <c r="A19117" s="17">
        <v>5.052001E8</v>
      </c>
      <c r="B19117" s="17">
        <v>8330000.0</v>
      </c>
    </row>
    <row r="19118">
      <c r="A19118" s="17">
        <v>5.052001E8</v>
      </c>
      <c r="B19118" s="17">
        <v>8330001.0</v>
      </c>
    </row>
    <row r="19119">
      <c r="A19119" s="17">
        <v>5.052001E8</v>
      </c>
      <c r="B19119" s="17">
        <v>8330002.0</v>
      </c>
    </row>
    <row r="19120">
      <c r="A19120" s="17">
        <v>5.052001E8</v>
      </c>
      <c r="B19120" s="17">
        <v>8330100.0</v>
      </c>
    </row>
    <row r="19121">
      <c r="A19121" s="17">
        <v>5.052001E8</v>
      </c>
      <c r="B19121" s="17">
        <v>8330101.0</v>
      </c>
    </row>
    <row r="19122">
      <c r="A19122" s="17">
        <v>5.052001E8</v>
      </c>
      <c r="B19122" s="17">
        <v>8330102.0</v>
      </c>
    </row>
    <row r="19123">
      <c r="A19123" s="17">
        <v>5.052001E8</v>
      </c>
      <c r="B19123" s="17">
        <v>8330200.0</v>
      </c>
    </row>
    <row r="19124">
      <c r="A19124" s="17">
        <v>5.052001E8</v>
      </c>
      <c r="B19124" s="17">
        <v>8330201.0</v>
      </c>
    </row>
    <row r="19125">
      <c r="A19125" s="17">
        <v>5.052001E8</v>
      </c>
      <c r="B19125" s="17">
        <v>8330202.0</v>
      </c>
    </row>
    <row r="19126">
      <c r="A19126" s="17">
        <v>5.052001E8</v>
      </c>
      <c r="B19126" s="17">
        <v>8330300.0</v>
      </c>
    </row>
    <row r="19127">
      <c r="A19127" s="17">
        <v>5.052001E8</v>
      </c>
      <c r="B19127" s="17">
        <v>8330301.0</v>
      </c>
    </row>
    <row r="19128">
      <c r="A19128" s="17">
        <v>5.052001E8</v>
      </c>
      <c r="B19128" s="17">
        <v>8330302.0</v>
      </c>
    </row>
    <row r="19129">
      <c r="A19129" s="17">
        <v>5.052001E8</v>
      </c>
      <c r="B19129" s="17">
        <v>8330400.0</v>
      </c>
    </row>
    <row r="19130">
      <c r="A19130" s="17">
        <v>5.052001E8</v>
      </c>
      <c r="B19130" s="17">
        <v>8330401.0</v>
      </c>
    </row>
    <row r="19131">
      <c r="A19131" s="17">
        <v>5.052001E8</v>
      </c>
      <c r="B19131" s="17">
        <v>8330600.0</v>
      </c>
    </row>
    <row r="19132">
      <c r="A19132" s="17">
        <v>5.052001E8</v>
      </c>
      <c r="B19132" s="17">
        <v>8330601.0</v>
      </c>
    </row>
    <row r="19133">
      <c r="A19133" s="17">
        <v>5.052001E8</v>
      </c>
      <c r="B19133" s="17">
        <v>8330602.0</v>
      </c>
    </row>
    <row r="19134">
      <c r="A19134" s="17">
        <v>5.052001E8</v>
      </c>
      <c r="B19134" s="17">
        <v>8330900.0</v>
      </c>
    </row>
    <row r="19135">
      <c r="A19135" s="17">
        <v>5.052001E8</v>
      </c>
      <c r="B19135" s="17">
        <v>8330910.0</v>
      </c>
    </row>
    <row r="19136">
      <c r="A19136" s="17">
        <v>5.052001E8</v>
      </c>
      <c r="B19136" s="17">
        <v>8330920.0</v>
      </c>
    </row>
    <row r="19137">
      <c r="A19137" s="17">
        <v>5.052001E8</v>
      </c>
      <c r="B19137" s="17">
        <v>8340000.0</v>
      </c>
    </row>
    <row r="19138">
      <c r="A19138" s="17">
        <v>5.052001E8</v>
      </c>
      <c r="B19138" s="17">
        <v>8340001.0</v>
      </c>
    </row>
    <row r="19139">
      <c r="A19139" s="17">
        <v>5.052001E8</v>
      </c>
      <c r="B19139" s="17">
        <v>8340002.0</v>
      </c>
    </row>
    <row r="19140">
      <c r="A19140" s="17">
        <v>5.052001E8</v>
      </c>
      <c r="B19140" s="17">
        <v>8340100.0</v>
      </c>
    </row>
    <row r="19141">
      <c r="A19141" s="17">
        <v>5.052001E8</v>
      </c>
      <c r="B19141" s="17">
        <v>8340101.0</v>
      </c>
    </row>
    <row r="19142">
      <c r="A19142" s="17">
        <v>5.052001E8</v>
      </c>
      <c r="B19142" s="17">
        <v>8340102.0</v>
      </c>
    </row>
    <row r="19143">
      <c r="A19143" s="17">
        <v>5.052001E8</v>
      </c>
      <c r="B19143" s="17">
        <v>8350000.0</v>
      </c>
    </row>
    <row r="19144">
      <c r="A19144" s="17">
        <v>5.052001E8</v>
      </c>
      <c r="B19144" s="17">
        <v>8350001.0</v>
      </c>
    </row>
    <row r="19145">
      <c r="A19145" s="17">
        <v>5.052001E8</v>
      </c>
      <c r="B19145" s="17">
        <v>8350002.0</v>
      </c>
    </row>
    <row r="19146">
      <c r="A19146" s="17">
        <v>5.052001E8</v>
      </c>
      <c r="B19146" s="17">
        <v>8350200.0</v>
      </c>
    </row>
    <row r="19147">
      <c r="A19147" s="17">
        <v>5.052001E8</v>
      </c>
      <c r="B19147" s="17">
        <v>8350201.0</v>
      </c>
    </row>
    <row r="19148">
      <c r="A19148" s="17">
        <v>5.052001E8</v>
      </c>
      <c r="B19148" s="17">
        <v>8350202.0</v>
      </c>
    </row>
    <row r="19149">
      <c r="A19149" s="17">
        <v>5.052001E8</v>
      </c>
      <c r="B19149" s="17">
        <v>8420000.0</v>
      </c>
    </row>
    <row r="19150">
      <c r="A19150" s="17">
        <v>5.052001E8</v>
      </c>
      <c r="B19150" s="17">
        <v>8420001.0</v>
      </c>
    </row>
    <row r="19151">
      <c r="A19151" s="17">
        <v>5.052001E8</v>
      </c>
      <c r="B19151" s="17">
        <v>8420002.0</v>
      </c>
    </row>
    <row r="19152">
      <c r="A19152" s="17">
        <v>5.052001E8</v>
      </c>
      <c r="B19152" s="17">
        <v>8450000.0</v>
      </c>
    </row>
    <row r="19153">
      <c r="A19153" s="17">
        <v>5.052001E8</v>
      </c>
      <c r="B19153" s="17">
        <v>8460100.0</v>
      </c>
    </row>
    <row r="19154">
      <c r="A19154" s="17">
        <v>5.052001E8</v>
      </c>
      <c r="B19154" s="17">
        <v>8460300.0</v>
      </c>
    </row>
    <row r="19155">
      <c r="A19155" s="17">
        <v>5.052001E8</v>
      </c>
      <c r="B19155" s="17">
        <v>8460500.0</v>
      </c>
    </row>
    <row r="19156">
      <c r="A19156" s="17">
        <v>5.052001E8</v>
      </c>
      <c r="B19156" s="17">
        <v>8510000.0</v>
      </c>
    </row>
    <row r="19157">
      <c r="A19157" s="17">
        <v>5.052001E8</v>
      </c>
      <c r="B19157" s="17">
        <v>8510001.0</v>
      </c>
    </row>
    <row r="19158">
      <c r="A19158" s="17">
        <v>5.052001E8</v>
      </c>
      <c r="B19158" s="17">
        <v>8510002.0</v>
      </c>
    </row>
    <row r="19159">
      <c r="A19159" s="17">
        <v>5.052001E8</v>
      </c>
      <c r="B19159" s="17">
        <v>8520000.0</v>
      </c>
    </row>
    <row r="19160">
      <c r="A19160" s="17">
        <v>5.052001E8</v>
      </c>
      <c r="B19160" s="17">
        <v>8520001.0</v>
      </c>
    </row>
    <row r="19161">
      <c r="A19161" s="17">
        <v>5.052001E8</v>
      </c>
      <c r="B19161" s="17">
        <v>8520002.0</v>
      </c>
    </row>
    <row r="19162">
      <c r="A19162" s="17">
        <v>5.052001E8</v>
      </c>
      <c r="B19162" s="17">
        <v>8530000.0</v>
      </c>
    </row>
    <row r="19163">
      <c r="A19163" s="17">
        <v>5.052001E8</v>
      </c>
      <c r="B19163" s="17">
        <v>8530100.0</v>
      </c>
    </row>
    <row r="19164">
      <c r="A19164" s="17">
        <v>5.052001E8</v>
      </c>
      <c r="B19164" s="17">
        <v>8540000.0</v>
      </c>
    </row>
    <row r="19165">
      <c r="A19165" s="17">
        <v>5.052001E8</v>
      </c>
      <c r="B19165" s="17">
        <v>8600100.0</v>
      </c>
    </row>
    <row r="19166">
      <c r="A19166" s="17">
        <v>5.052001E8</v>
      </c>
      <c r="B19166" s="17">
        <v>8600101.0</v>
      </c>
    </row>
    <row r="19167">
      <c r="A19167" s="17">
        <v>5.052001E8</v>
      </c>
      <c r="B19167" s="17">
        <v>8600102.0</v>
      </c>
    </row>
    <row r="19168">
      <c r="A19168" s="17">
        <v>5.052001E8</v>
      </c>
      <c r="B19168" s="17">
        <v>8600200.0</v>
      </c>
    </row>
    <row r="19169">
      <c r="A19169" s="17">
        <v>5.052001E8</v>
      </c>
      <c r="B19169" s="17">
        <v>8600201.0</v>
      </c>
    </row>
    <row r="19170">
      <c r="A19170" s="17">
        <v>5.052001E8</v>
      </c>
      <c r="B19170" s="17">
        <v>8600202.0</v>
      </c>
    </row>
    <row r="19171">
      <c r="A19171" s="17">
        <v>5.052001E8</v>
      </c>
      <c r="B19171" s="17">
        <v>8610300.0</v>
      </c>
    </row>
    <row r="19172">
      <c r="A19172" s="17">
        <v>5.052001E8</v>
      </c>
      <c r="B19172" s="17">
        <v>8610400.0</v>
      </c>
    </row>
    <row r="19173">
      <c r="A19173" s="17">
        <v>5.052001E8</v>
      </c>
      <c r="B19173" s="17">
        <v>8610500.0</v>
      </c>
    </row>
    <row r="19174">
      <c r="A19174" s="17">
        <v>5.052001E8</v>
      </c>
      <c r="B19174" s="17">
        <v>8610600.0</v>
      </c>
    </row>
    <row r="19175">
      <c r="A19175" s="17">
        <v>5.052001E8</v>
      </c>
      <c r="B19175" s="17">
        <v>8610700.0</v>
      </c>
    </row>
    <row r="19176">
      <c r="A19176" s="17">
        <v>5.052001E8</v>
      </c>
      <c r="B19176" s="17">
        <v>8610710.0</v>
      </c>
    </row>
    <row r="19177">
      <c r="A19177" s="17">
        <v>5.052001E8</v>
      </c>
      <c r="B19177" s="17">
        <v>8610720.0</v>
      </c>
    </row>
    <row r="19178">
      <c r="A19178" s="17">
        <v>5.052001E8</v>
      </c>
      <c r="B19178" s="17">
        <v>8620000.0</v>
      </c>
    </row>
    <row r="19179">
      <c r="A19179" s="17">
        <v>5.052001E8</v>
      </c>
      <c r="B19179" s="17">
        <v>8620010.0</v>
      </c>
    </row>
    <row r="19180">
      <c r="A19180" s="17">
        <v>5.052001E8</v>
      </c>
      <c r="B19180" s="17">
        <v>8620020.0</v>
      </c>
    </row>
    <row r="19181">
      <c r="A19181" s="17">
        <v>5.052001E8</v>
      </c>
      <c r="B19181" s="17">
        <v>8620100.0</v>
      </c>
    </row>
    <row r="19182">
      <c r="A19182" s="17">
        <v>5.052001E8</v>
      </c>
      <c r="B19182" s="17">
        <v>8620110.0</v>
      </c>
    </row>
    <row r="19183">
      <c r="A19183" s="17">
        <v>5.052001E8</v>
      </c>
      <c r="B19183" s="17">
        <v>8620120.0</v>
      </c>
    </row>
    <row r="19184">
      <c r="A19184" s="17">
        <v>5.052001E8</v>
      </c>
      <c r="B19184" s="17">
        <v>8630000.0</v>
      </c>
    </row>
    <row r="19185">
      <c r="A19185" s="17">
        <v>5.052001E8</v>
      </c>
      <c r="B19185" s="17">
        <v>8630000.0</v>
      </c>
    </row>
    <row r="19186">
      <c r="A19186" s="17">
        <v>5.052001E8</v>
      </c>
      <c r="B19186" s="17">
        <v>8630000.0</v>
      </c>
    </row>
    <row r="19187">
      <c r="A19187" s="17">
        <v>5.052001E8</v>
      </c>
      <c r="B19187" s="17">
        <v>8630100.0</v>
      </c>
    </row>
    <row r="19188">
      <c r="A19188" s="17">
        <v>5.052001E8</v>
      </c>
      <c r="B19188" s="17">
        <v>8630100.0</v>
      </c>
    </row>
    <row r="19189">
      <c r="A19189" s="17">
        <v>5.052001E8</v>
      </c>
      <c r="B19189" s="17">
        <v>8630100.0</v>
      </c>
    </row>
    <row r="19190">
      <c r="A19190" s="17">
        <v>5.052001E8</v>
      </c>
      <c r="B19190" s="17">
        <v>8630200.0</v>
      </c>
    </row>
    <row r="19191">
      <c r="A19191" s="17">
        <v>5.052001E8</v>
      </c>
      <c r="B19191" s="17">
        <v>8630300.0</v>
      </c>
    </row>
    <row r="19192">
      <c r="A19192" s="17">
        <v>5.052001E8</v>
      </c>
      <c r="B19192" s="17">
        <v>8630400.0</v>
      </c>
    </row>
    <row r="19193">
      <c r="A19193" s="17">
        <v>5.052001E8</v>
      </c>
      <c r="B19193" s="17">
        <v>8630500.0</v>
      </c>
    </row>
    <row r="19194">
      <c r="A19194" s="17">
        <v>5.052001E8</v>
      </c>
      <c r="B19194" s="17">
        <v>8630600.0</v>
      </c>
    </row>
    <row r="19195">
      <c r="A19195" s="17">
        <v>5.052001E8</v>
      </c>
      <c r="B19195" s="17">
        <v>8630700.0</v>
      </c>
    </row>
    <row r="19196">
      <c r="A19196" s="17">
        <v>5.052001E8</v>
      </c>
      <c r="B19196" s="17">
        <v>8630800.0</v>
      </c>
    </row>
    <row r="19197">
      <c r="A19197" s="17">
        <v>5.052001E8</v>
      </c>
      <c r="B19197" s="17">
        <v>8652000.0</v>
      </c>
    </row>
    <row r="19198">
      <c r="A19198" s="17">
        <v>5.052001E8</v>
      </c>
      <c r="B19198" s="17">
        <v>8652010.0</v>
      </c>
    </row>
    <row r="19199">
      <c r="A19199" s="17">
        <v>5.052001E8</v>
      </c>
      <c r="B19199" s="17">
        <v>8652020.0</v>
      </c>
    </row>
    <row r="19200">
      <c r="A19200" s="17">
        <v>5.052001E8</v>
      </c>
      <c r="B19200" s="17">
        <v>8652100.0</v>
      </c>
    </row>
    <row r="19201">
      <c r="A19201" s="17">
        <v>5.052001E8</v>
      </c>
      <c r="B19201" s="17">
        <v>8652110.0</v>
      </c>
    </row>
    <row r="19202">
      <c r="A19202" s="17">
        <v>5.052001E8</v>
      </c>
      <c r="B19202" s="17">
        <v>8652120.0</v>
      </c>
    </row>
    <row r="19203">
      <c r="A19203" s="17">
        <v>5.052001E8</v>
      </c>
      <c r="B19203" s="17">
        <v>8660000.0</v>
      </c>
    </row>
    <row r="19204">
      <c r="A19204" s="17">
        <v>5.052001E8</v>
      </c>
      <c r="B19204" s="17">
        <v>8660001.0</v>
      </c>
    </row>
    <row r="19205">
      <c r="A19205" s="17">
        <v>5.052001E8</v>
      </c>
      <c r="B19205" s="17">
        <v>8660002.0</v>
      </c>
    </row>
    <row r="19206">
      <c r="A19206" s="17">
        <v>5.052001E8</v>
      </c>
      <c r="B19206" s="17">
        <v>8660100.0</v>
      </c>
    </row>
    <row r="19207">
      <c r="A19207" s="17">
        <v>5.052001E8</v>
      </c>
      <c r="B19207" s="17">
        <v>8660101.0</v>
      </c>
    </row>
    <row r="19208">
      <c r="A19208" s="17">
        <v>5.052001E8</v>
      </c>
      <c r="B19208" s="17">
        <v>8660102.0</v>
      </c>
    </row>
    <row r="19209">
      <c r="A19209" s="17">
        <v>5.052001E8</v>
      </c>
      <c r="B19209" s="17">
        <v>8670000.0</v>
      </c>
    </row>
    <row r="19210">
      <c r="A19210" s="17">
        <v>5.052001E8</v>
      </c>
      <c r="B19210" s="17">
        <v>8670001.0</v>
      </c>
    </row>
    <row r="19211">
      <c r="A19211" s="17">
        <v>5.052001E8</v>
      </c>
      <c r="B19211" s="17">
        <v>8670002.0</v>
      </c>
    </row>
    <row r="19212">
      <c r="A19212" s="17">
        <v>5.052001E8</v>
      </c>
      <c r="B19212" s="17">
        <v>8670100.0</v>
      </c>
    </row>
    <row r="19213">
      <c r="A19213" s="17">
        <v>5.052001E8</v>
      </c>
      <c r="B19213" s="17">
        <v>8670101.0</v>
      </c>
    </row>
    <row r="19214">
      <c r="A19214" s="17">
        <v>5.052001E8</v>
      </c>
      <c r="B19214" s="17">
        <v>8670102.0</v>
      </c>
    </row>
    <row r="19215">
      <c r="A19215" s="17">
        <v>5.052001E8</v>
      </c>
      <c r="B19215" s="17">
        <v>8690000.0</v>
      </c>
    </row>
    <row r="19216">
      <c r="A19216" s="17">
        <v>5.052001E8</v>
      </c>
      <c r="B19216" s="17">
        <v>8690100.0</v>
      </c>
    </row>
    <row r="19217">
      <c r="A19217" s="17">
        <v>5.052001E8</v>
      </c>
      <c r="B19217" s="17">
        <v>8690200.0</v>
      </c>
    </row>
    <row r="19218">
      <c r="A19218" s="17">
        <v>5.052001E8</v>
      </c>
      <c r="B19218" s="17">
        <v>8690300.0</v>
      </c>
    </row>
    <row r="19219">
      <c r="A19219" s="17">
        <v>5.052001E8</v>
      </c>
      <c r="B19219" s="17">
        <v>8690400.0</v>
      </c>
    </row>
    <row r="19220">
      <c r="A19220" s="17">
        <v>5.052001E8</v>
      </c>
      <c r="B19220" s="17">
        <v>8850000.0</v>
      </c>
    </row>
    <row r="19221">
      <c r="A19221" s="17">
        <v>5.052001E8</v>
      </c>
      <c r="B19221" s="17">
        <v>8850100.0</v>
      </c>
    </row>
    <row r="19222">
      <c r="A19222" s="17">
        <v>5.052001E8</v>
      </c>
      <c r="B19222" s="17">
        <v>8850200.0</v>
      </c>
    </row>
    <row r="19223">
      <c r="A19223" s="17">
        <v>5.052001E8</v>
      </c>
      <c r="B19223" s="17">
        <v>8850300.0</v>
      </c>
    </row>
    <row r="19224">
      <c r="A19224" s="17">
        <v>5.052001E8</v>
      </c>
      <c r="B19224" s="17">
        <v>8850400.0</v>
      </c>
    </row>
    <row r="19225">
      <c r="A19225" s="17">
        <v>5.052001E8</v>
      </c>
      <c r="B19225" s="17">
        <v>8850500.0</v>
      </c>
    </row>
    <row r="19226">
      <c r="A19226" s="17">
        <v>5.052001E8</v>
      </c>
      <c r="B19226" s="17">
        <v>8850600.0</v>
      </c>
    </row>
    <row r="19227">
      <c r="A19227" s="17">
        <v>5.052001E8</v>
      </c>
      <c r="B19227" s="17">
        <v>8850700.0</v>
      </c>
    </row>
    <row r="19228">
      <c r="A19228" s="17">
        <v>5.052001E8</v>
      </c>
      <c r="B19228" s="17">
        <v>8850800.0</v>
      </c>
    </row>
    <row r="19229">
      <c r="A19229" s="17">
        <v>5.052001E8</v>
      </c>
      <c r="B19229" s="17">
        <v>8850900.0</v>
      </c>
    </row>
    <row r="19230">
      <c r="A19230" s="17">
        <v>5.052001E8</v>
      </c>
      <c r="B19230" s="17">
        <v>8851000.0</v>
      </c>
    </row>
    <row r="19231">
      <c r="A19231" s="17">
        <v>5.052001E8</v>
      </c>
      <c r="B19231" s="17">
        <v>8851100.0</v>
      </c>
    </row>
    <row r="19232">
      <c r="A19232" s="17">
        <v>5.052001E8</v>
      </c>
      <c r="B19232" s="17">
        <v>8851200.0</v>
      </c>
    </row>
    <row r="19233">
      <c r="A19233" s="17">
        <v>5.052001E8</v>
      </c>
      <c r="B19233" s="17">
        <v>8851300.0</v>
      </c>
    </row>
    <row r="19234">
      <c r="A19234" s="17">
        <v>5.052001E8</v>
      </c>
      <c r="B19234" s="17">
        <v>8851800.0</v>
      </c>
    </row>
    <row r="19235">
      <c r="A19235" s="17">
        <v>5.052001E8</v>
      </c>
      <c r="B19235" s="17">
        <v>8851900.0</v>
      </c>
    </row>
    <row r="19236">
      <c r="A19236" s="17">
        <v>5.052001E8</v>
      </c>
      <c r="B19236" s="17">
        <v>8852000.0</v>
      </c>
    </row>
    <row r="19237">
      <c r="A19237" s="17">
        <v>5.052001E8</v>
      </c>
      <c r="B19237" s="17">
        <v>8320500.0</v>
      </c>
    </row>
    <row r="19238">
      <c r="A19238" s="17">
        <v>5.052001E8</v>
      </c>
      <c r="B19238" s="17">
        <v>8320510.0</v>
      </c>
    </row>
    <row r="19239">
      <c r="A19239" s="17">
        <v>5.052001E8</v>
      </c>
      <c r="B19239" s="17">
        <v>8320520.0</v>
      </c>
    </row>
    <row r="19240">
      <c r="A19240" s="17">
        <v>5.052001E8</v>
      </c>
      <c r="B19240" s="17">
        <v>8320600.0</v>
      </c>
    </row>
    <row r="19241">
      <c r="A19241" s="17">
        <v>5.052001E8</v>
      </c>
      <c r="B19241" s="17">
        <v>8320610.0</v>
      </c>
    </row>
    <row r="19242">
      <c r="A19242" s="17">
        <v>5.052001E8</v>
      </c>
      <c r="B19242" s="17">
        <v>8320620.0</v>
      </c>
    </row>
    <row r="19243">
      <c r="A19243" s="17">
        <v>5.052001E8</v>
      </c>
      <c r="B19243" s="17">
        <v>8320700.0</v>
      </c>
    </row>
    <row r="19244">
      <c r="A19244" s="17">
        <v>5.052001E8</v>
      </c>
      <c r="B19244" s="17">
        <v>8320710.0</v>
      </c>
    </row>
    <row r="19245">
      <c r="A19245" s="17">
        <v>5.052001E8</v>
      </c>
      <c r="B19245" s="17">
        <v>8320720.0</v>
      </c>
    </row>
    <row r="19246">
      <c r="A19246" s="17">
        <v>5.052002E8</v>
      </c>
      <c r="B19246" s="17">
        <v>0.0</v>
      </c>
    </row>
    <row r="19247">
      <c r="A19247" s="17">
        <v>5.052002E8</v>
      </c>
      <c r="B19247" s="17">
        <v>8100100.0</v>
      </c>
    </row>
    <row r="19248">
      <c r="A19248" s="17">
        <v>5.052002E8</v>
      </c>
      <c r="B19248" s="17">
        <v>8100101.0</v>
      </c>
    </row>
    <row r="19249">
      <c r="A19249" s="17">
        <v>5.052002E8</v>
      </c>
      <c r="B19249" s="17">
        <v>8100102.0</v>
      </c>
    </row>
    <row r="19250">
      <c r="A19250" s="17">
        <v>5.052002E8</v>
      </c>
      <c r="B19250" s="17">
        <v>8100200.0</v>
      </c>
    </row>
    <row r="19251">
      <c r="A19251" s="17">
        <v>5.052002E8</v>
      </c>
      <c r="B19251" s="17">
        <v>8100201.0</v>
      </c>
    </row>
    <row r="19252">
      <c r="A19252" s="17">
        <v>5.052002E8</v>
      </c>
      <c r="B19252" s="17">
        <v>8100202.0</v>
      </c>
    </row>
    <row r="19253">
      <c r="A19253" s="17">
        <v>5.052002E8</v>
      </c>
      <c r="B19253" s="17">
        <v>8100300.0</v>
      </c>
    </row>
    <row r="19254">
      <c r="A19254" s="17">
        <v>5.052002E8</v>
      </c>
      <c r="B19254" s="17">
        <v>8100301.0</v>
      </c>
    </row>
    <row r="19255">
      <c r="A19255" s="17">
        <v>5.052002E8</v>
      </c>
      <c r="B19255" s="17">
        <v>8100302.0</v>
      </c>
    </row>
    <row r="19256">
      <c r="A19256" s="17">
        <v>5.052002E8</v>
      </c>
      <c r="B19256" s="17">
        <v>8100400.0</v>
      </c>
    </row>
    <row r="19257">
      <c r="A19257" s="17">
        <v>5.052002E8</v>
      </c>
      <c r="B19257" s="17">
        <v>8100401.0</v>
      </c>
    </row>
    <row r="19258">
      <c r="A19258" s="17">
        <v>5.052002E8</v>
      </c>
      <c r="B19258" s="17">
        <v>8100402.0</v>
      </c>
    </row>
    <row r="19259">
      <c r="A19259" s="17">
        <v>5.052002E8</v>
      </c>
      <c r="B19259" s="17">
        <v>8130000.0</v>
      </c>
    </row>
    <row r="19260">
      <c r="A19260" s="17">
        <v>5.052002E8</v>
      </c>
      <c r="B19260" s="17">
        <v>8130001.0</v>
      </c>
    </row>
    <row r="19261">
      <c r="A19261" s="17">
        <v>5.052002E8</v>
      </c>
      <c r="B19261" s="17">
        <v>8130002.0</v>
      </c>
    </row>
    <row r="19262">
      <c r="A19262" s="17">
        <v>5.052002E8</v>
      </c>
      <c r="B19262" s="17">
        <v>8140000.0</v>
      </c>
    </row>
    <row r="19263">
      <c r="A19263" s="17">
        <v>5.052002E8</v>
      </c>
      <c r="B19263" s="17">
        <v>8140001.0</v>
      </c>
    </row>
    <row r="19264">
      <c r="A19264" s="17">
        <v>5.052002E8</v>
      </c>
      <c r="B19264" s="17">
        <v>8140002.0</v>
      </c>
    </row>
    <row r="19265">
      <c r="A19265" s="17">
        <v>5.052002E8</v>
      </c>
      <c r="B19265" s="17">
        <v>8200100.0</v>
      </c>
    </row>
    <row r="19266">
      <c r="A19266" s="17">
        <v>5.052002E8</v>
      </c>
      <c r="B19266" s="17">
        <v>8200101.0</v>
      </c>
    </row>
    <row r="19267">
      <c r="A19267" s="17">
        <v>5.052002E8</v>
      </c>
      <c r="B19267" s="17">
        <v>8200102.0</v>
      </c>
    </row>
    <row r="19268">
      <c r="A19268" s="17">
        <v>5.052002E8</v>
      </c>
      <c r="B19268" s="17">
        <v>8200200.0</v>
      </c>
    </row>
    <row r="19269">
      <c r="A19269" s="17">
        <v>5.052002E8</v>
      </c>
      <c r="B19269" s="17">
        <v>8200201.0</v>
      </c>
    </row>
    <row r="19270">
      <c r="A19270" s="17">
        <v>5.052002E8</v>
      </c>
      <c r="B19270" s="17">
        <v>8200202.0</v>
      </c>
    </row>
    <row r="19271">
      <c r="A19271" s="17">
        <v>5.052002E8</v>
      </c>
      <c r="B19271" s="17">
        <v>8200300.0</v>
      </c>
    </row>
    <row r="19272">
      <c r="A19272" s="17">
        <v>5.052002E8</v>
      </c>
      <c r="B19272" s="17">
        <v>8200301.0</v>
      </c>
    </row>
    <row r="19273">
      <c r="A19273" s="17">
        <v>5.052002E8</v>
      </c>
      <c r="B19273" s="17">
        <v>8200302.0</v>
      </c>
    </row>
    <row r="19274">
      <c r="A19274" s="17">
        <v>5.052002E8</v>
      </c>
      <c r="B19274" s="17">
        <v>8200400.0</v>
      </c>
    </row>
    <row r="19275">
      <c r="A19275" s="17">
        <v>5.052002E8</v>
      </c>
      <c r="B19275" s="17">
        <v>8200401.0</v>
      </c>
    </row>
    <row r="19276">
      <c r="A19276" s="17">
        <v>5.052002E8</v>
      </c>
      <c r="B19276" s="17">
        <v>8200402.0</v>
      </c>
    </row>
    <row r="19277">
      <c r="A19277" s="17">
        <v>5.052002E8</v>
      </c>
      <c r="B19277" s="17">
        <v>8210000.0</v>
      </c>
    </row>
    <row r="19278">
      <c r="A19278" s="17">
        <v>5.052002E8</v>
      </c>
      <c r="B19278" s="17">
        <v>8210001.0</v>
      </c>
    </row>
    <row r="19279">
      <c r="A19279" s="17">
        <v>5.052002E8</v>
      </c>
      <c r="B19279" s="17">
        <v>8210002.0</v>
      </c>
    </row>
    <row r="19280">
      <c r="A19280" s="17">
        <v>5.052002E8</v>
      </c>
      <c r="B19280" s="17">
        <v>8210100.0</v>
      </c>
    </row>
    <row r="19281">
      <c r="A19281" s="17">
        <v>5.052002E8</v>
      </c>
      <c r="B19281" s="17">
        <v>8210101.0</v>
      </c>
    </row>
    <row r="19282">
      <c r="A19282" s="17">
        <v>5.052002E8</v>
      </c>
      <c r="B19282" s="17">
        <v>8210102.0</v>
      </c>
    </row>
    <row r="19283">
      <c r="A19283" s="17">
        <v>5.052002E8</v>
      </c>
      <c r="B19283" s="17">
        <v>8210200.0</v>
      </c>
    </row>
    <row r="19284">
      <c r="A19284" s="17">
        <v>5.052002E8</v>
      </c>
      <c r="B19284" s="17">
        <v>8210201.0</v>
      </c>
    </row>
    <row r="19285">
      <c r="A19285" s="17">
        <v>5.052002E8</v>
      </c>
      <c r="B19285" s="17">
        <v>8210202.0</v>
      </c>
    </row>
    <row r="19286">
      <c r="A19286" s="17">
        <v>5.052002E8</v>
      </c>
      <c r="B19286" s="17">
        <v>8210300.0</v>
      </c>
    </row>
    <row r="19287">
      <c r="A19287" s="17">
        <v>5.052002E8</v>
      </c>
      <c r="B19287" s="17">
        <v>8210301.0</v>
      </c>
    </row>
    <row r="19288">
      <c r="A19288" s="17">
        <v>5.052002E8</v>
      </c>
      <c r="B19288" s="17">
        <v>8210302.0</v>
      </c>
    </row>
    <row r="19289">
      <c r="A19289" s="17">
        <v>5.052002E8</v>
      </c>
      <c r="B19289" s="17">
        <v>8210400.0</v>
      </c>
    </row>
    <row r="19290">
      <c r="A19290" s="17">
        <v>5.052002E8</v>
      </c>
      <c r="B19290" s="17">
        <v>8210401.0</v>
      </c>
    </row>
    <row r="19291">
      <c r="A19291" s="17">
        <v>5.052002E8</v>
      </c>
      <c r="B19291" s="17">
        <v>8210402.0</v>
      </c>
    </row>
    <row r="19292">
      <c r="A19292" s="17">
        <v>5.052002E8</v>
      </c>
      <c r="B19292" s="17">
        <v>8210500.0</v>
      </c>
    </row>
    <row r="19293">
      <c r="A19293" s="17">
        <v>5.052002E8</v>
      </c>
      <c r="B19293" s="17">
        <v>8210501.0</v>
      </c>
    </row>
    <row r="19294">
      <c r="A19294" s="17">
        <v>5.052002E8</v>
      </c>
      <c r="B19294" s="17">
        <v>8210502.0</v>
      </c>
    </row>
    <row r="19295">
      <c r="A19295" s="17">
        <v>5.052002E8</v>
      </c>
      <c r="B19295" s="17">
        <v>8210600.0</v>
      </c>
    </row>
    <row r="19296">
      <c r="A19296" s="17">
        <v>5.052002E8</v>
      </c>
      <c r="B19296" s="17">
        <v>8210601.0</v>
      </c>
    </row>
    <row r="19297">
      <c r="A19297" s="17">
        <v>5.052002E8</v>
      </c>
      <c r="B19297" s="17">
        <v>8210602.0</v>
      </c>
    </row>
    <row r="19298">
      <c r="A19298" s="17">
        <v>5.052002E8</v>
      </c>
      <c r="B19298" s="17">
        <v>8220000.0</v>
      </c>
    </row>
    <row r="19299">
      <c r="A19299" s="17">
        <v>5.052002E8</v>
      </c>
      <c r="B19299" s="17">
        <v>8220001.0</v>
      </c>
    </row>
    <row r="19300">
      <c r="A19300" s="17">
        <v>5.052002E8</v>
      </c>
      <c r="B19300" s="17">
        <v>8220002.0</v>
      </c>
    </row>
    <row r="19301">
      <c r="A19301" s="17">
        <v>5.052002E8</v>
      </c>
      <c r="B19301" s="17">
        <v>8300000.0</v>
      </c>
    </row>
    <row r="19302">
      <c r="A19302" s="17">
        <v>5.052002E8</v>
      </c>
      <c r="B19302" s="17">
        <v>8300001.0</v>
      </c>
    </row>
    <row r="19303">
      <c r="A19303" s="17">
        <v>5.052002E8</v>
      </c>
      <c r="B19303" s="17">
        <v>8300002.0</v>
      </c>
    </row>
    <row r="19304">
      <c r="A19304" s="17">
        <v>5.052002E8</v>
      </c>
      <c r="B19304" s="17">
        <v>8310000.0</v>
      </c>
    </row>
    <row r="19305">
      <c r="A19305" s="17">
        <v>5.052002E8</v>
      </c>
      <c r="B19305" s="17">
        <v>8310001.0</v>
      </c>
    </row>
    <row r="19306">
      <c r="A19306" s="17">
        <v>5.052002E8</v>
      </c>
      <c r="B19306" s="17">
        <v>8310002.0</v>
      </c>
    </row>
    <row r="19307">
      <c r="A19307" s="17">
        <v>5.052002E8</v>
      </c>
      <c r="B19307" s="17">
        <v>8320000.0</v>
      </c>
    </row>
    <row r="19308">
      <c r="A19308" s="17">
        <v>5.052002E8</v>
      </c>
      <c r="B19308" s="17">
        <v>8320001.0</v>
      </c>
    </row>
    <row r="19309">
      <c r="A19309" s="17">
        <v>5.052002E8</v>
      </c>
      <c r="B19309" s="17">
        <v>8320002.0</v>
      </c>
    </row>
    <row r="19310">
      <c r="A19310" s="17">
        <v>5.052002E8</v>
      </c>
      <c r="B19310" s="17">
        <v>8320100.0</v>
      </c>
    </row>
    <row r="19311">
      <c r="A19311" s="17">
        <v>5.052002E8</v>
      </c>
      <c r="B19311" s="17">
        <v>8320101.0</v>
      </c>
    </row>
    <row r="19312">
      <c r="A19312" s="17">
        <v>5.052002E8</v>
      </c>
      <c r="B19312" s="17">
        <v>8320102.0</v>
      </c>
    </row>
    <row r="19313">
      <c r="A19313" s="17">
        <v>5.052002E8</v>
      </c>
      <c r="B19313" s="17">
        <v>8320300.0</v>
      </c>
    </row>
    <row r="19314">
      <c r="A19314" s="17">
        <v>5.052002E8</v>
      </c>
      <c r="B19314" s="17">
        <v>8320301.0</v>
      </c>
    </row>
    <row r="19315">
      <c r="A19315" s="17">
        <v>5.052002E8</v>
      </c>
      <c r="B19315" s="17">
        <v>8320302.0</v>
      </c>
    </row>
    <row r="19316">
      <c r="A19316" s="17">
        <v>5.052002E8</v>
      </c>
      <c r="B19316" s="17">
        <v>8320400.0</v>
      </c>
    </row>
    <row r="19317">
      <c r="A19317" s="17">
        <v>5.052002E8</v>
      </c>
      <c r="B19317" s="17">
        <v>8320410.0</v>
      </c>
    </row>
    <row r="19318">
      <c r="A19318" s="17">
        <v>5.052002E8</v>
      </c>
      <c r="B19318" s="17">
        <v>8320420.0</v>
      </c>
    </row>
    <row r="19319">
      <c r="A19319" s="17">
        <v>5.052002E8</v>
      </c>
      <c r="B19319" s="17">
        <v>8330000.0</v>
      </c>
    </row>
    <row r="19320">
      <c r="A19320" s="17">
        <v>5.052002E8</v>
      </c>
      <c r="B19320" s="17">
        <v>8330001.0</v>
      </c>
    </row>
    <row r="19321">
      <c r="A19321" s="17">
        <v>5.052002E8</v>
      </c>
      <c r="B19321" s="17">
        <v>8330002.0</v>
      </c>
    </row>
    <row r="19322">
      <c r="A19322" s="17">
        <v>5.052002E8</v>
      </c>
      <c r="B19322" s="17">
        <v>8330100.0</v>
      </c>
    </row>
    <row r="19323">
      <c r="A19323" s="17">
        <v>5.052002E8</v>
      </c>
      <c r="B19323" s="17">
        <v>8330101.0</v>
      </c>
    </row>
    <row r="19324">
      <c r="A19324" s="17">
        <v>5.052002E8</v>
      </c>
      <c r="B19324" s="17">
        <v>8330102.0</v>
      </c>
    </row>
    <row r="19325">
      <c r="A19325" s="17">
        <v>5.052002E8</v>
      </c>
      <c r="B19325" s="17">
        <v>8330200.0</v>
      </c>
    </row>
    <row r="19326">
      <c r="A19326" s="17">
        <v>5.052002E8</v>
      </c>
      <c r="B19326" s="17">
        <v>8330201.0</v>
      </c>
    </row>
    <row r="19327">
      <c r="A19327" s="17">
        <v>5.052002E8</v>
      </c>
      <c r="B19327" s="17">
        <v>8330202.0</v>
      </c>
    </row>
    <row r="19328">
      <c r="A19328" s="17">
        <v>5.052002E8</v>
      </c>
      <c r="B19328" s="17">
        <v>8330300.0</v>
      </c>
    </row>
    <row r="19329">
      <c r="A19329" s="17">
        <v>5.052002E8</v>
      </c>
      <c r="B19329" s="17">
        <v>8330301.0</v>
      </c>
    </row>
    <row r="19330">
      <c r="A19330" s="17">
        <v>5.052002E8</v>
      </c>
      <c r="B19330" s="17">
        <v>8330302.0</v>
      </c>
    </row>
    <row r="19331">
      <c r="A19331" s="17">
        <v>5.052002E8</v>
      </c>
      <c r="B19331" s="17">
        <v>8330400.0</v>
      </c>
    </row>
    <row r="19332">
      <c r="A19332" s="17">
        <v>5.052002E8</v>
      </c>
      <c r="B19332" s="17">
        <v>8330401.0</v>
      </c>
    </row>
    <row r="19333">
      <c r="A19333" s="17">
        <v>5.052002E8</v>
      </c>
      <c r="B19333" s="17">
        <v>8330600.0</v>
      </c>
    </row>
    <row r="19334">
      <c r="A19334" s="17">
        <v>5.052002E8</v>
      </c>
      <c r="B19334" s="17">
        <v>8330601.0</v>
      </c>
    </row>
    <row r="19335">
      <c r="A19335" s="17">
        <v>5.052002E8</v>
      </c>
      <c r="B19335" s="17">
        <v>8330602.0</v>
      </c>
    </row>
    <row r="19336">
      <c r="A19336" s="17">
        <v>5.052002E8</v>
      </c>
      <c r="B19336" s="17">
        <v>8330900.0</v>
      </c>
    </row>
    <row r="19337">
      <c r="A19337" s="17">
        <v>5.052002E8</v>
      </c>
      <c r="B19337" s="17">
        <v>8330910.0</v>
      </c>
    </row>
    <row r="19338">
      <c r="A19338" s="17">
        <v>5.052002E8</v>
      </c>
      <c r="B19338" s="17">
        <v>8330920.0</v>
      </c>
    </row>
    <row r="19339">
      <c r="A19339" s="17">
        <v>5.052002E8</v>
      </c>
      <c r="B19339" s="17">
        <v>8340000.0</v>
      </c>
    </row>
    <row r="19340">
      <c r="A19340" s="17">
        <v>5.052002E8</v>
      </c>
      <c r="B19340" s="17">
        <v>8340001.0</v>
      </c>
    </row>
    <row r="19341">
      <c r="A19341" s="17">
        <v>5.052002E8</v>
      </c>
      <c r="B19341" s="17">
        <v>8340002.0</v>
      </c>
    </row>
    <row r="19342">
      <c r="A19342" s="17">
        <v>5.052002E8</v>
      </c>
      <c r="B19342" s="17">
        <v>8340100.0</v>
      </c>
    </row>
    <row r="19343">
      <c r="A19343" s="17">
        <v>5.052002E8</v>
      </c>
      <c r="B19343" s="17">
        <v>8340101.0</v>
      </c>
    </row>
    <row r="19344">
      <c r="A19344" s="17">
        <v>5.052002E8</v>
      </c>
      <c r="B19344" s="17">
        <v>8340102.0</v>
      </c>
    </row>
    <row r="19345">
      <c r="A19345" s="17">
        <v>5.052002E8</v>
      </c>
      <c r="B19345" s="17">
        <v>8350000.0</v>
      </c>
    </row>
    <row r="19346">
      <c r="A19346" s="17">
        <v>5.052002E8</v>
      </c>
      <c r="B19346" s="17">
        <v>8350001.0</v>
      </c>
    </row>
    <row r="19347">
      <c r="A19347" s="17">
        <v>5.052002E8</v>
      </c>
      <c r="B19347" s="17">
        <v>8350002.0</v>
      </c>
    </row>
    <row r="19348">
      <c r="A19348" s="17">
        <v>5.052002E8</v>
      </c>
      <c r="B19348" s="17">
        <v>8350200.0</v>
      </c>
    </row>
    <row r="19349">
      <c r="A19349" s="17">
        <v>5.052002E8</v>
      </c>
      <c r="B19349" s="17">
        <v>8350201.0</v>
      </c>
    </row>
    <row r="19350">
      <c r="A19350" s="17">
        <v>5.052002E8</v>
      </c>
      <c r="B19350" s="17">
        <v>8350202.0</v>
      </c>
    </row>
    <row r="19351">
      <c r="A19351" s="17">
        <v>5.052002E8</v>
      </c>
      <c r="B19351" s="17">
        <v>8420000.0</v>
      </c>
    </row>
    <row r="19352">
      <c r="A19352" s="17">
        <v>5.052002E8</v>
      </c>
      <c r="B19352" s="17">
        <v>8420001.0</v>
      </c>
    </row>
    <row r="19353">
      <c r="A19353" s="17">
        <v>5.052002E8</v>
      </c>
      <c r="B19353" s="17">
        <v>8420002.0</v>
      </c>
    </row>
    <row r="19354">
      <c r="A19354" s="17">
        <v>5.052002E8</v>
      </c>
      <c r="B19354" s="17">
        <v>8450000.0</v>
      </c>
    </row>
    <row r="19355">
      <c r="A19355" s="17">
        <v>5.052002E8</v>
      </c>
      <c r="B19355" s="17">
        <v>8460100.0</v>
      </c>
    </row>
    <row r="19356">
      <c r="A19356" s="17">
        <v>5.052002E8</v>
      </c>
      <c r="B19356" s="17">
        <v>8460300.0</v>
      </c>
    </row>
    <row r="19357">
      <c r="A19357" s="17">
        <v>5.052002E8</v>
      </c>
      <c r="B19357" s="17">
        <v>8460500.0</v>
      </c>
    </row>
    <row r="19358">
      <c r="A19358" s="17">
        <v>5.052002E8</v>
      </c>
      <c r="B19358" s="17">
        <v>8510000.0</v>
      </c>
    </row>
    <row r="19359">
      <c r="A19359" s="17">
        <v>5.052002E8</v>
      </c>
      <c r="B19359" s="17">
        <v>8510001.0</v>
      </c>
    </row>
    <row r="19360">
      <c r="A19360" s="17">
        <v>5.052002E8</v>
      </c>
      <c r="B19360" s="17">
        <v>8510002.0</v>
      </c>
    </row>
    <row r="19361">
      <c r="A19361" s="17">
        <v>5.052002E8</v>
      </c>
      <c r="B19361" s="17">
        <v>8520000.0</v>
      </c>
    </row>
    <row r="19362">
      <c r="A19362" s="17">
        <v>5.052002E8</v>
      </c>
      <c r="B19362" s="17">
        <v>8520001.0</v>
      </c>
    </row>
    <row r="19363">
      <c r="A19363" s="17">
        <v>5.052002E8</v>
      </c>
      <c r="B19363" s="17">
        <v>8520002.0</v>
      </c>
    </row>
    <row r="19364">
      <c r="A19364" s="17">
        <v>5.052002E8</v>
      </c>
      <c r="B19364" s="17">
        <v>8530000.0</v>
      </c>
    </row>
    <row r="19365">
      <c r="A19365" s="17">
        <v>5.052002E8</v>
      </c>
      <c r="B19365" s="17">
        <v>8530100.0</v>
      </c>
    </row>
    <row r="19366">
      <c r="A19366" s="17">
        <v>5.052002E8</v>
      </c>
      <c r="B19366" s="17">
        <v>8540000.0</v>
      </c>
    </row>
    <row r="19367">
      <c r="A19367" s="17">
        <v>5.052002E8</v>
      </c>
      <c r="B19367" s="17">
        <v>8600100.0</v>
      </c>
    </row>
    <row r="19368">
      <c r="A19368" s="17">
        <v>5.052002E8</v>
      </c>
      <c r="B19368" s="17">
        <v>8600101.0</v>
      </c>
    </row>
    <row r="19369">
      <c r="A19369" s="17">
        <v>5.052002E8</v>
      </c>
      <c r="B19369" s="17">
        <v>8600102.0</v>
      </c>
    </row>
    <row r="19370">
      <c r="A19370" s="17">
        <v>5.052002E8</v>
      </c>
      <c r="B19370" s="17">
        <v>8600200.0</v>
      </c>
    </row>
    <row r="19371">
      <c r="A19371" s="17">
        <v>5.052002E8</v>
      </c>
      <c r="B19371" s="17">
        <v>8600201.0</v>
      </c>
    </row>
    <row r="19372">
      <c r="A19372" s="17">
        <v>5.052002E8</v>
      </c>
      <c r="B19372" s="17">
        <v>8600202.0</v>
      </c>
    </row>
    <row r="19373">
      <c r="A19373" s="17">
        <v>5.052002E8</v>
      </c>
      <c r="B19373" s="17">
        <v>8610300.0</v>
      </c>
    </row>
    <row r="19374">
      <c r="A19374" s="17">
        <v>5.052002E8</v>
      </c>
      <c r="B19374" s="17">
        <v>8610400.0</v>
      </c>
    </row>
    <row r="19375">
      <c r="A19375" s="17">
        <v>5.052002E8</v>
      </c>
      <c r="B19375" s="17">
        <v>8610500.0</v>
      </c>
    </row>
    <row r="19376">
      <c r="A19376" s="17">
        <v>5.052002E8</v>
      </c>
      <c r="B19376" s="17">
        <v>8610600.0</v>
      </c>
    </row>
    <row r="19377">
      <c r="A19377" s="17">
        <v>5.052002E8</v>
      </c>
      <c r="B19377" s="17">
        <v>8610700.0</v>
      </c>
    </row>
    <row r="19378">
      <c r="A19378" s="17">
        <v>5.052002E8</v>
      </c>
      <c r="B19378" s="17">
        <v>8610710.0</v>
      </c>
    </row>
    <row r="19379">
      <c r="A19379" s="17">
        <v>5.052002E8</v>
      </c>
      <c r="B19379" s="17">
        <v>8610720.0</v>
      </c>
    </row>
    <row r="19380">
      <c r="A19380" s="17">
        <v>5.052002E8</v>
      </c>
      <c r="B19380" s="17">
        <v>8620000.0</v>
      </c>
    </row>
    <row r="19381">
      <c r="A19381" s="17">
        <v>5.052002E8</v>
      </c>
      <c r="B19381" s="17">
        <v>8620010.0</v>
      </c>
    </row>
    <row r="19382">
      <c r="A19382" s="17">
        <v>5.052002E8</v>
      </c>
      <c r="B19382" s="17">
        <v>8620020.0</v>
      </c>
    </row>
    <row r="19383">
      <c r="A19383" s="17">
        <v>5.052002E8</v>
      </c>
      <c r="B19383" s="17">
        <v>8620100.0</v>
      </c>
    </row>
    <row r="19384">
      <c r="A19384" s="17">
        <v>5.052002E8</v>
      </c>
      <c r="B19384" s="17">
        <v>8620110.0</v>
      </c>
    </row>
    <row r="19385">
      <c r="A19385" s="17">
        <v>5.052002E8</v>
      </c>
      <c r="B19385" s="17">
        <v>8620120.0</v>
      </c>
    </row>
    <row r="19386">
      <c r="A19386" s="17">
        <v>5.052002E8</v>
      </c>
      <c r="B19386" s="17">
        <v>8630000.0</v>
      </c>
    </row>
    <row r="19387">
      <c r="A19387" s="17">
        <v>5.052002E8</v>
      </c>
      <c r="B19387" s="17">
        <v>8630000.0</v>
      </c>
    </row>
    <row r="19388">
      <c r="A19388" s="17">
        <v>5.052002E8</v>
      </c>
      <c r="B19388" s="17">
        <v>8630000.0</v>
      </c>
    </row>
    <row r="19389">
      <c r="A19389" s="17">
        <v>5.052002E8</v>
      </c>
      <c r="B19389" s="17">
        <v>8630100.0</v>
      </c>
    </row>
    <row r="19390">
      <c r="A19390" s="17">
        <v>5.052002E8</v>
      </c>
      <c r="B19390" s="17">
        <v>8630100.0</v>
      </c>
    </row>
    <row r="19391">
      <c r="A19391" s="17">
        <v>5.052002E8</v>
      </c>
      <c r="B19391" s="17">
        <v>8630100.0</v>
      </c>
    </row>
    <row r="19392">
      <c r="A19392" s="17">
        <v>5.052002E8</v>
      </c>
      <c r="B19392" s="17">
        <v>8630200.0</v>
      </c>
    </row>
    <row r="19393">
      <c r="A19393" s="17">
        <v>5.052002E8</v>
      </c>
      <c r="B19393" s="17">
        <v>8630300.0</v>
      </c>
    </row>
    <row r="19394">
      <c r="A19394" s="17">
        <v>5.052002E8</v>
      </c>
      <c r="B19394" s="17">
        <v>8630400.0</v>
      </c>
    </row>
    <row r="19395">
      <c r="A19395" s="17">
        <v>5.052002E8</v>
      </c>
      <c r="B19395" s="17">
        <v>8630500.0</v>
      </c>
    </row>
    <row r="19396">
      <c r="A19396" s="17">
        <v>5.052002E8</v>
      </c>
      <c r="B19396" s="17">
        <v>8630600.0</v>
      </c>
    </row>
    <row r="19397">
      <c r="A19397" s="17">
        <v>5.052002E8</v>
      </c>
      <c r="B19397" s="17">
        <v>8630700.0</v>
      </c>
    </row>
    <row r="19398">
      <c r="A19398" s="17">
        <v>5.052002E8</v>
      </c>
      <c r="B19398" s="17">
        <v>8630800.0</v>
      </c>
    </row>
    <row r="19399">
      <c r="A19399" s="17">
        <v>5.052002E8</v>
      </c>
      <c r="B19399" s="17">
        <v>8652000.0</v>
      </c>
    </row>
    <row r="19400">
      <c r="A19400" s="17">
        <v>5.052002E8</v>
      </c>
      <c r="B19400" s="17">
        <v>8652010.0</v>
      </c>
    </row>
    <row r="19401">
      <c r="A19401" s="17">
        <v>5.052002E8</v>
      </c>
      <c r="B19401" s="17">
        <v>8652020.0</v>
      </c>
    </row>
    <row r="19402">
      <c r="A19402" s="17">
        <v>5.052002E8</v>
      </c>
      <c r="B19402" s="17">
        <v>8652100.0</v>
      </c>
    </row>
    <row r="19403">
      <c r="A19403" s="17">
        <v>5.052002E8</v>
      </c>
      <c r="B19403" s="17">
        <v>8652110.0</v>
      </c>
    </row>
    <row r="19404">
      <c r="A19404" s="17">
        <v>5.052002E8</v>
      </c>
      <c r="B19404" s="17">
        <v>8652120.0</v>
      </c>
    </row>
    <row r="19405">
      <c r="A19405" s="17">
        <v>5.052002E8</v>
      </c>
      <c r="B19405" s="17">
        <v>8660000.0</v>
      </c>
    </row>
    <row r="19406">
      <c r="A19406" s="17">
        <v>5.052002E8</v>
      </c>
      <c r="B19406" s="17">
        <v>8660001.0</v>
      </c>
    </row>
    <row r="19407">
      <c r="A19407" s="17">
        <v>5.052002E8</v>
      </c>
      <c r="B19407" s="17">
        <v>8660002.0</v>
      </c>
    </row>
    <row r="19408">
      <c r="A19408" s="17">
        <v>5.052002E8</v>
      </c>
      <c r="B19408" s="17">
        <v>8660100.0</v>
      </c>
    </row>
    <row r="19409">
      <c r="A19409" s="17">
        <v>5.052002E8</v>
      </c>
      <c r="B19409" s="17">
        <v>8660101.0</v>
      </c>
    </row>
    <row r="19410">
      <c r="A19410" s="17">
        <v>5.052002E8</v>
      </c>
      <c r="B19410" s="17">
        <v>8660102.0</v>
      </c>
    </row>
    <row r="19411">
      <c r="A19411" s="17">
        <v>5.052002E8</v>
      </c>
      <c r="B19411" s="17">
        <v>8670000.0</v>
      </c>
    </row>
    <row r="19412">
      <c r="A19412" s="17">
        <v>5.052002E8</v>
      </c>
      <c r="B19412" s="17">
        <v>8670001.0</v>
      </c>
    </row>
    <row r="19413">
      <c r="A19413" s="17">
        <v>5.052002E8</v>
      </c>
      <c r="B19413" s="17">
        <v>8670002.0</v>
      </c>
    </row>
    <row r="19414">
      <c r="A19414" s="17">
        <v>5.052002E8</v>
      </c>
      <c r="B19414" s="17">
        <v>8670100.0</v>
      </c>
    </row>
    <row r="19415">
      <c r="A19415" s="17">
        <v>5.052002E8</v>
      </c>
      <c r="B19415" s="17">
        <v>8670101.0</v>
      </c>
    </row>
    <row r="19416">
      <c r="A19416" s="17">
        <v>5.052002E8</v>
      </c>
      <c r="B19416" s="17">
        <v>8670102.0</v>
      </c>
    </row>
    <row r="19417">
      <c r="A19417" s="17">
        <v>5.052002E8</v>
      </c>
      <c r="B19417" s="17">
        <v>8690000.0</v>
      </c>
    </row>
    <row r="19418">
      <c r="A19418" s="17">
        <v>5.052002E8</v>
      </c>
      <c r="B19418" s="17">
        <v>8690100.0</v>
      </c>
    </row>
    <row r="19419">
      <c r="A19419" s="17">
        <v>5.052002E8</v>
      </c>
      <c r="B19419" s="17">
        <v>8690200.0</v>
      </c>
    </row>
    <row r="19420">
      <c r="A19420" s="17">
        <v>5.052002E8</v>
      </c>
      <c r="B19420" s="17">
        <v>8690300.0</v>
      </c>
    </row>
    <row r="19421">
      <c r="A19421" s="17">
        <v>5.052002E8</v>
      </c>
      <c r="B19421" s="17">
        <v>8690400.0</v>
      </c>
    </row>
    <row r="19422">
      <c r="A19422" s="17">
        <v>5.052002E8</v>
      </c>
      <c r="B19422" s="17">
        <v>8850000.0</v>
      </c>
    </row>
    <row r="19423">
      <c r="A19423" s="17">
        <v>5.052002E8</v>
      </c>
      <c r="B19423" s="17">
        <v>8850100.0</v>
      </c>
    </row>
    <row r="19424">
      <c r="A19424" s="17">
        <v>5.052002E8</v>
      </c>
      <c r="B19424" s="17">
        <v>8850200.0</v>
      </c>
    </row>
    <row r="19425">
      <c r="A19425" s="17">
        <v>5.052002E8</v>
      </c>
      <c r="B19425" s="17">
        <v>8850300.0</v>
      </c>
    </row>
    <row r="19426">
      <c r="A19426" s="17">
        <v>5.052002E8</v>
      </c>
      <c r="B19426" s="17">
        <v>8850400.0</v>
      </c>
    </row>
    <row r="19427">
      <c r="A19427" s="17">
        <v>5.052002E8</v>
      </c>
      <c r="B19427" s="17">
        <v>8850500.0</v>
      </c>
    </row>
    <row r="19428">
      <c r="A19428" s="17">
        <v>5.052002E8</v>
      </c>
      <c r="B19428" s="17">
        <v>8850600.0</v>
      </c>
    </row>
    <row r="19429">
      <c r="A19429" s="17">
        <v>5.052002E8</v>
      </c>
      <c r="B19429" s="17">
        <v>8850700.0</v>
      </c>
    </row>
    <row r="19430">
      <c r="A19430" s="17">
        <v>5.052002E8</v>
      </c>
      <c r="B19430" s="17">
        <v>8850800.0</v>
      </c>
    </row>
    <row r="19431">
      <c r="A19431" s="17">
        <v>5.052002E8</v>
      </c>
      <c r="B19431" s="17">
        <v>8850900.0</v>
      </c>
    </row>
    <row r="19432">
      <c r="A19432" s="17">
        <v>5.052002E8</v>
      </c>
      <c r="B19432" s="17">
        <v>8851000.0</v>
      </c>
    </row>
    <row r="19433">
      <c r="A19433" s="17">
        <v>5.052002E8</v>
      </c>
      <c r="B19433" s="17">
        <v>8851100.0</v>
      </c>
    </row>
    <row r="19434">
      <c r="A19434" s="17">
        <v>5.052002E8</v>
      </c>
      <c r="B19434" s="17">
        <v>8851200.0</v>
      </c>
    </row>
    <row r="19435">
      <c r="A19435" s="17">
        <v>5.052002E8</v>
      </c>
      <c r="B19435" s="17">
        <v>8851300.0</v>
      </c>
    </row>
    <row r="19436">
      <c r="A19436" s="17">
        <v>5.052002E8</v>
      </c>
      <c r="B19436" s="17">
        <v>8851800.0</v>
      </c>
    </row>
    <row r="19437">
      <c r="A19437" s="17">
        <v>5.052002E8</v>
      </c>
      <c r="B19437" s="17">
        <v>8851900.0</v>
      </c>
    </row>
    <row r="19438">
      <c r="A19438" s="17">
        <v>5.052002E8</v>
      </c>
      <c r="B19438" s="17">
        <v>8852000.0</v>
      </c>
    </row>
    <row r="19439">
      <c r="A19439" s="17">
        <v>5.052002E8</v>
      </c>
      <c r="B19439" s="17">
        <v>8320500.0</v>
      </c>
    </row>
    <row r="19440">
      <c r="A19440" s="17">
        <v>5.052002E8</v>
      </c>
      <c r="B19440" s="17">
        <v>8320510.0</v>
      </c>
    </row>
    <row r="19441">
      <c r="A19441" s="17">
        <v>5.052002E8</v>
      </c>
      <c r="B19441" s="17">
        <v>8320520.0</v>
      </c>
    </row>
    <row r="19442">
      <c r="A19442" s="17">
        <v>5.052002E8</v>
      </c>
      <c r="B19442" s="17">
        <v>8320600.0</v>
      </c>
    </row>
    <row r="19443">
      <c r="A19443" s="17">
        <v>5.052002E8</v>
      </c>
      <c r="B19443" s="17">
        <v>8320610.0</v>
      </c>
    </row>
    <row r="19444">
      <c r="A19444" s="17">
        <v>5.052002E8</v>
      </c>
      <c r="B19444" s="17">
        <v>8320620.0</v>
      </c>
    </row>
    <row r="19445">
      <c r="A19445" s="17">
        <v>5.052002E8</v>
      </c>
      <c r="B19445" s="17">
        <v>8320700.0</v>
      </c>
    </row>
    <row r="19446">
      <c r="A19446" s="17">
        <v>5.052002E8</v>
      </c>
      <c r="B19446" s="17">
        <v>8320710.0</v>
      </c>
    </row>
    <row r="19447">
      <c r="A19447" s="17">
        <v>5.052002E8</v>
      </c>
      <c r="B19447" s="17">
        <v>8320720.0</v>
      </c>
    </row>
    <row r="19448">
      <c r="A19448" s="17">
        <v>5.053001E8</v>
      </c>
      <c r="B19448" s="17">
        <v>0.0</v>
      </c>
    </row>
    <row r="19449">
      <c r="A19449" s="17">
        <v>5.053001E8</v>
      </c>
      <c r="B19449" s="17">
        <v>8100100.0</v>
      </c>
    </row>
    <row r="19450">
      <c r="A19450" s="17">
        <v>5.053001E8</v>
      </c>
      <c r="B19450" s="17">
        <v>8100101.0</v>
      </c>
    </row>
    <row r="19451">
      <c r="A19451" s="17">
        <v>5.053001E8</v>
      </c>
      <c r="B19451" s="17">
        <v>8100102.0</v>
      </c>
    </row>
    <row r="19452">
      <c r="A19452" s="17">
        <v>5.053001E8</v>
      </c>
      <c r="B19452" s="17">
        <v>8100200.0</v>
      </c>
    </row>
    <row r="19453">
      <c r="A19453" s="17">
        <v>5.053001E8</v>
      </c>
      <c r="B19453" s="17">
        <v>8100201.0</v>
      </c>
    </row>
    <row r="19454">
      <c r="A19454" s="17">
        <v>5.053001E8</v>
      </c>
      <c r="B19454" s="17">
        <v>8100202.0</v>
      </c>
    </row>
    <row r="19455">
      <c r="A19455" s="17">
        <v>5.053001E8</v>
      </c>
      <c r="B19455" s="17">
        <v>8100300.0</v>
      </c>
    </row>
    <row r="19456">
      <c r="A19456" s="17">
        <v>5.053001E8</v>
      </c>
      <c r="B19456" s="17">
        <v>8100301.0</v>
      </c>
    </row>
    <row r="19457">
      <c r="A19457" s="17">
        <v>5.053001E8</v>
      </c>
      <c r="B19457" s="17">
        <v>8100302.0</v>
      </c>
    </row>
    <row r="19458">
      <c r="A19458" s="17">
        <v>5.053001E8</v>
      </c>
      <c r="B19458" s="17">
        <v>8100400.0</v>
      </c>
    </row>
    <row r="19459">
      <c r="A19459" s="17">
        <v>5.053001E8</v>
      </c>
      <c r="B19459" s="17">
        <v>8100401.0</v>
      </c>
    </row>
    <row r="19460">
      <c r="A19460" s="17">
        <v>5.053001E8</v>
      </c>
      <c r="B19460" s="17">
        <v>8100402.0</v>
      </c>
    </row>
    <row r="19461">
      <c r="A19461" s="17">
        <v>5.053001E8</v>
      </c>
      <c r="B19461" s="17">
        <v>8130000.0</v>
      </c>
    </row>
    <row r="19462">
      <c r="A19462" s="17">
        <v>5.053001E8</v>
      </c>
      <c r="B19462" s="17">
        <v>8130001.0</v>
      </c>
    </row>
    <row r="19463">
      <c r="A19463" s="17">
        <v>5.053001E8</v>
      </c>
      <c r="B19463" s="17">
        <v>8130002.0</v>
      </c>
    </row>
    <row r="19464">
      <c r="A19464" s="17">
        <v>5.053001E8</v>
      </c>
      <c r="B19464" s="17">
        <v>8140000.0</v>
      </c>
    </row>
    <row r="19465">
      <c r="A19465" s="17">
        <v>5.053001E8</v>
      </c>
      <c r="B19465" s="17">
        <v>8140001.0</v>
      </c>
    </row>
    <row r="19466">
      <c r="A19466" s="17">
        <v>5.053001E8</v>
      </c>
      <c r="B19466" s="17">
        <v>8140002.0</v>
      </c>
    </row>
    <row r="19467">
      <c r="A19467" s="17">
        <v>5.053001E8</v>
      </c>
      <c r="B19467" s="17">
        <v>8200100.0</v>
      </c>
    </row>
    <row r="19468">
      <c r="A19468" s="17">
        <v>5.053001E8</v>
      </c>
      <c r="B19468" s="17">
        <v>8200101.0</v>
      </c>
    </row>
    <row r="19469">
      <c r="A19469" s="17">
        <v>5.053001E8</v>
      </c>
      <c r="B19469" s="17">
        <v>8200102.0</v>
      </c>
    </row>
    <row r="19470">
      <c r="A19470" s="17">
        <v>5.053001E8</v>
      </c>
      <c r="B19470" s="17">
        <v>8200200.0</v>
      </c>
    </row>
    <row r="19471">
      <c r="A19471" s="17">
        <v>5.053001E8</v>
      </c>
      <c r="B19471" s="17">
        <v>8200201.0</v>
      </c>
    </row>
    <row r="19472">
      <c r="A19472" s="17">
        <v>5.053001E8</v>
      </c>
      <c r="B19472" s="17">
        <v>8200202.0</v>
      </c>
    </row>
    <row r="19473">
      <c r="A19473" s="17">
        <v>5.053001E8</v>
      </c>
      <c r="B19473" s="17">
        <v>8200300.0</v>
      </c>
    </row>
    <row r="19474">
      <c r="A19474" s="17">
        <v>5.053001E8</v>
      </c>
      <c r="B19474" s="17">
        <v>8200301.0</v>
      </c>
    </row>
    <row r="19475">
      <c r="A19475" s="17">
        <v>5.053001E8</v>
      </c>
      <c r="B19475" s="17">
        <v>8200302.0</v>
      </c>
    </row>
    <row r="19476">
      <c r="A19476" s="17">
        <v>5.053001E8</v>
      </c>
      <c r="B19476" s="17">
        <v>8200400.0</v>
      </c>
    </row>
    <row r="19477">
      <c r="A19477" s="17">
        <v>5.053001E8</v>
      </c>
      <c r="B19477" s="17">
        <v>8200401.0</v>
      </c>
    </row>
    <row r="19478">
      <c r="A19478" s="17">
        <v>5.053001E8</v>
      </c>
      <c r="B19478" s="17">
        <v>8200402.0</v>
      </c>
    </row>
    <row r="19479">
      <c r="A19479" s="17">
        <v>5.053001E8</v>
      </c>
      <c r="B19479" s="17">
        <v>8210000.0</v>
      </c>
    </row>
    <row r="19480">
      <c r="A19480" s="17">
        <v>5.053001E8</v>
      </c>
      <c r="B19480" s="17">
        <v>8210001.0</v>
      </c>
    </row>
    <row r="19481">
      <c r="A19481" s="17">
        <v>5.053001E8</v>
      </c>
      <c r="B19481" s="17">
        <v>8210002.0</v>
      </c>
    </row>
    <row r="19482">
      <c r="A19482" s="17">
        <v>5.053001E8</v>
      </c>
      <c r="B19482" s="17">
        <v>8210100.0</v>
      </c>
    </row>
    <row r="19483">
      <c r="A19483" s="17">
        <v>5.053001E8</v>
      </c>
      <c r="B19483" s="17">
        <v>8210101.0</v>
      </c>
    </row>
    <row r="19484">
      <c r="A19484" s="17">
        <v>5.053001E8</v>
      </c>
      <c r="B19484" s="17">
        <v>8210102.0</v>
      </c>
    </row>
    <row r="19485">
      <c r="A19485" s="17">
        <v>5.053001E8</v>
      </c>
      <c r="B19485" s="17">
        <v>8210200.0</v>
      </c>
    </row>
    <row r="19486">
      <c r="A19486" s="17">
        <v>5.053001E8</v>
      </c>
      <c r="B19486" s="17">
        <v>8210201.0</v>
      </c>
    </row>
    <row r="19487">
      <c r="A19487" s="17">
        <v>5.053001E8</v>
      </c>
      <c r="B19487" s="17">
        <v>8210202.0</v>
      </c>
    </row>
    <row r="19488">
      <c r="A19488" s="17">
        <v>5.053001E8</v>
      </c>
      <c r="B19488" s="17">
        <v>8210300.0</v>
      </c>
    </row>
    <row r="19489">
      <c r="A19489" s="17">
        <v>5.053001E8</v>
      </c>
      <c r="B19489" s="17">
        <v>8210301.0</v>
      </c>
    </row>
    <row r="19490">
      <c r="A19490" s="17">
        <v>5.053001E8</v>
      </c>
      <c r="B19490" s="17">
        <v>8210302.0</v>
      </c>
    </row>
    <row r="19491">
      <c r="A19491" s="17">
        <v>5.053001E8</v>
      </c>
      <c r="B19491" s="17">
        <v>8210400.0</v>
      </c>
    </row>
    <row r="19492">
      <c r="A19492" s="17">
        <v>5.053001E8</v>
      </c>
      <c r="B19492" s="17">
        <v>8210401.0</v>
      </c>
    </row>
    <row r="19493">
      <c r="A19493" s="17">
        <v>5.053001E8</v>
      </c>
      <c r="B19493" s="17">
        <v>8210402.0</v>
      </c>
    </row>
    <row r="19494">
      <c r="A19494" s="17">
        <v>5.053001E8</v>
      </c>
      <c r="B19494" s="17">
        <v>8210500.0</v>
      </c>
    </row>
    <row r="19495">
      <c r="A19495" s="17">
        <v>5.053001E8</v>
      </c>
      <c r="B19495" s="17">
        <v>8210501.0</v>
      </c>
    </row>
    <row r="19496">
      <c r="A19496" s="17">
        <v>5.053001E8</v>
      </c>
      <c r="B19496" s="17">
        <v>8210502.0</v>
      </c>
    </row>
    <row r="19497">
      <c r="A19497" s="17">
        <v>5.053001E8</v>
      </c>
      <c r="B19497" s="17">
        <v>8210600.0</v>
      </c>
    </row>
    <row r="19498">
      <c r="A19498" s="17">
        <v>5.053001E8</v>
      </c>
      <c r="B19498" s="17">
        <v>8210601.0</v>
      </c>
    </row>
    <row r="19499">
      <c r="A19499" s="17">
        <v>5.053001E8</v>
      </c>
      <c r="B19499" s="17">
        <v>8210602.0</v>
      </c>
    </row>
    <row r="19500">
      <c r="A19500" s="17">
        <v>5.053001E8</v>
      </c>
      <c r="B19500" s="17">
        <v>8220000.0</v>
      </c>
    </row>
    <row r="19501">
      <c r="A19501" s="17">
        <v>5.053001E8</v>
      </c>
      <c r="B19501" s="17">
        <v>8220001.0</v>
      </c>
    </row>
    <row r="19502">
      <c r="A19502" s="17">
        <v>5.053001E8</v>
      </c>
      <c r="B19502" s="17">
        <v>8220002.0</v>
      </c>
    </row>
    <row r="19503">
      <c r="A19503" s="17">
        <v>5.053001E8</v>
      </c>
      <c r="B19503" s="17">
        <v>8300000.0</v>
      </c>
    </row>
    <row r="19504">
      <c r="A19504" s="17">
        <v>5.053001E8</v>
      </c>
      <c r="B19504" s="17">
        <v>8300001.0</v>
      </c>
    </row>
    <row r="19505">
      <c r="A19505" s="17">
        <v>5.053001E8</v>
      </c>
      <c r="B19505" s="17">
        <v>8300002.0</v>
      </c>
    </row>
    <row r="19506">
      <c r="A19506" s="17">
        <v>5.053001E8</v>
      </c>
      <c r="B19506" s="17">
        <v>8310000.0</v>
      </c>
    </row>
    <row r="19507">
      <c r="A19507" s="17">
        <v>5.053001E8</v>
      </c>
      <c r="B19507" s="17">
        <v>8310001.0</v>
      </c>
    </row>
    <row r="19508">
      <c r="A19508" s="17">
        <v>5.053001E8</v>
      </c>
      <c r="B19508" s="17">
        <v>8310002.0</v>
      </c>
    </row>
    <row r="19509">
      <c r="A19509" s="17">
        <v>5.053001E8</v>
      </c>
      <c r="B19509" s="17">
        <v>8320000.0</v>
      </c>
    </row>
    <row r="19510">
      <c r="A19510" s="17">
        <v>5.053001E8</v>
      </c>
      <c r="B19510" s="17">
        <v>8320001.0</v>
      </c>
    </row>
    <row r="19511">
      <c r="A19511" s="17">
        <v>5.053001E8</v>
      </c>
      <c r="B19511" s="17">
        <v>8320002.0</v>
      </c>
    </row>
    <row r="19512">
      <c r="A19512" s="17">
        <v>5.053001E8</v>
      </c>
      <c r="B19512" s="17">
        <v>8320100.0</v>
      </c>
    </row>
    <row r="19513">
      <c r="A19513" s="17">
        <v>5.053001E8</v>
      </c>
      <c r="B19513" s="17">
        <v>8320101.0</v>
      </c>
    </row>
    <row r="19514">
      <c r="A19514" s="17">
        <v>5.053001E8</v>
      </c>
      <c r="B19514" s="17">
        <v>8320102.0</v>
      </c>
    </row>
    <row r="19515">
      <c r="A19515" s="17">
        <v>5.053001E8</v>
      </c>
      <c r="B19515" s="17">
        <v>8320300.0</v>
      </c>
    </row>
    <row r="19516">
      <c r="A19516" s="17">
        <v>5.053001E8</v>
      </c>
      <c r="B19516" s="17">
        <v>8320301.0</v>
      </c>
    </row>
    <row r="19517">
      <c r="A19517" s="17">
        <v>5.053001E8</v>
      </c>
      <c r="B19517" s="17">
        <v>8320302.0</v>
      </c>
    </row>
    <row r="19518">
      <c r="A19518" s="17">
        <v>5.053001E8</v>
      </c>
      <c r="B19518" s="17">
        <v>8320400.0</v>
      </c>
    </row>
    <row r="19519">
      <c r="A19519" s="17">
        <v>5.053001E8</v>
      </c>
      <c r="B19519" s="17">
        <v>8320410.0</v>
      </c>
    </row>
    <row r="19520">
      <c r="A19520" s="17">
        <v>5.053001E8</v>
      </c>
      <c r="B19520" s="17">
        <v>8320420.0</v>
      </c>
    </row>
    <row r="19521">
      <c r="A19521" s="17">
        <v>5.053001E8</v>
      </c>
      <c r="B19521" s="17">
        <v>8330000.0</v>
      </c>
    </row>
    <row r="19522">
      <c r="A19522" s="17">
        <v>5.053001E8</v>
      </c>
      <c r="B19522" s="17">
        <v>8330001.0</v>
      </c>
    </row>
    <row r="19523">
      <c r="A19523" s="17">
        <v>5.053001E8</v>
      </c>
      <c r="B19523" s="17">
        <v>8330002.0</v>
      </c>
    </row>
    <row r="19524">
      <c r="A19524" s="17">
        <v>5.053001E8</v>
      </c>
      <c r="B19524" s="17">
        <v>8330100.0</v>
      </c>
    </row>
    <row r="19525">
      <c r="A19525" s="17">
        <v>5.053001E8</v>
      </c>
      <c r="B19525" s="17">
        <v>8330101.0</v>
      </c>
    </row>
    <row r="19526">
      <c r="A19526" s="17">
        <v>5.053001E8</v>
      </c>
      <c r="B19526" s="17">
        <v>8330102.0</v>
      </c>
    </row>
    <row r="19527">
      <c r="A19527" s="17">
        <v>5.053001E8</v>
      </c>
      <c r="B19527" s="17">
        <v>8330200.0</v>
      </c>
    </row>
    <row r="19528">
      <c r="A19528" s="17">
        <v>5.053001E8</v>
      </c>
      <c r="B19528" s="17">
        <v>8330201.0</v>
      </c>
    </row>
    <row r="19529">
      <c r="A19529" s="17">
        <v>5.053001E8</v>
      </c>
      <c r="B19529" s="17">
        <v>8330202.0</v>
      </c>
    </row>
    <row r="19530">
      <c r="A19530" s="17">
        <v>5.053001E8</v>
      </c>
      <c r="B19530" s="17">
        <v>8330300.0</v>
      </c>
    </row>
    <row r="19531">
      <c r="A19531" s="17">
        <v>5.053001E8</v>
      </c>
      <c r="B19531" s="17">
        <v>8330301.0</v>
      </c>
    </row>
    <row r="19532">
      <c r="A19532" s="17">
        <v>5.053001E8</v>
      </c>
      <c r="B19532" s="17">
        <v>8330302.0</v>
      </c>
    </row>
    <row r="19533">
      <c r="A19533" s="17">
        <v>5.053001E8</v>
      </c>
      <c r="B19533" s="17">
        <v>8330400.0</v>
      </c>
    </row>
    <row r="19534">
      <c r="A19534" s="17">
        <v>5.053001E8</v>
      </c>
      <c r="B19534" s="17">
        <v>8330401.0</v>
      </c>
    </row>
    <row r="19535">
      <c r="A19535" s="17">
        <v>5.053001E8</v>
      </c>
      <c r="B19535" s="17">
        <v>8330600.0</v>
      </c>
    </row>
    <row r="19536">
      <c r="A19536" s="17">
        <v>5.053001E8</v>
      </c>
      <c r="B19536" s="17">
        <v>8330601.0</v>
      </c>
    </row>
    <row r="19537">
      <c r="A19537" s="17">
        <v>5.053001E8</v>
      </c>
      <c r="B19537" s="17">
        <v>8330602.0</v>
      </c>
    </row>
    <row r="19538">
      <c r="A19538" s="17">
        <v>5.053001E8</v>
      </c>
      <c r="B19538" s="17">
        <v>8330900.0</v>
      </c>
    </row>
    <row r="19539">
      <c r="A19539" s="17">
        <v>5.053001E8</v>
      </c>
      <c r="B19539" s="17">
        <v>8330910.0</v>
      </c>
    </row>
    <row r="19540">
      <c r="A19540" s="17">
        <v>5.053001E8</v>
      </c>
      <c r="B19540" s="17">
        <v>8330920.0</v>
      </c>
    </row>
    <row r="19541">
      <c r="A19541" s="17">
        <v>5.053001E8</v>
      </c>
      <c r="B19541" s="17">
        <v>8340000.0</v>
      </c>
    </row>
    <row r="19542">
      <c r="A19542" s="17">
        <v>5.053001E8</v>
      </c>
      <c r="B19542" s="17">
        <v>8340001.0</v>
      </c>
    </row>
    <row r="19543">
      <c r="A19543" s="17">
        <v>5.053001E8</v>
      </c>
      <c r="B19543" s="17">
        <v>8340002.0</v>
      </c>
    </row>
    <row r="19544">
      <c r="A19544" s="17">
        <v>5.053001E8</v>
      </c>
      <c r="B19544" s="17">
        <v>8340100.0</v>
      </c>
    </row>
    <row r="19545">
      <c r="A19545" s="17">
        <v>5.053001E8</v>
      </c>
      <c r="B19545" s="17">
        <v>8340101.0</v>
      </c>
    </row>
    <row r="19546">
      <c r="A19546" s="17">
        <v>5.053001E8</v>
      </c>
      <c r="B19546" s="17">
        <v>8340102.0</v>
      </c>
    </row>
    <row r="19547">
      <c r="A19547" s="17">
        <v>5.053001E8</v>
      </c>
      <c r="B19547" s="17">
        <v>8350000.0</v>
      </c>
    </row>
    <row r="19548">
      <c r="A19548" s="17">
        <v>5.053001E8</v>
      </c>
      <c r="B19548" s="17">
        <v>8350001.0</v>
      </c>
    </row>
    <row r="19549">
      <c r="A19549" s="17">
        <v>5.053001E8</v>
      </c>
      <c r="B19549" s="17">
        <v>8350002.0</v>
      </c>
    </row>
    <row r="19550">
      <c r="A19550" s="17">
        <v>5.053001E8</v>
      </c>
      <c r="B19550" s="17">
        <v>8350200.0</v>
      </c>
    </row>
    <row r="19551">
      <c r="A19551" s="17">
        <v>5.053001E8</v>
      </c>
      <c r="B19551" s="17">
        <v>8350201.0</v>
      </c>
    </row>
    <row r="19552">
      <c r="A19552" s="17">
        <v>5.053001E8</v>
      </c>
      <c r="B19552" s="17">
        <v>8350202.0</v>
      </c>
    </row>
    <row r="19553">
      <c r="A19553" s="17">
        <v>5.053001E8</v>
      </c>
      <c r="B19553" s="17">
        <v>8420000.0</v>
      </c>
    </row>
    <row r="19554">
      <c r="A19554" s="17">
        <v>5.053001E8</v>
      </c>
      <c r="B19554" s="17">
        <v>8420001.0</v>
      </c>
    </row>
    <row r="19555">
      <c r="A19555" s="17">
        <v>5.053001E8</v>
      </c>
      <c r="B19555" s="17">
        <v>8420002.0</v>
      </c>
    </row>
    <row r="19556">
      <c r="A19556" s="17">
        <v>5.053001E8</v>
      </c>
      <c r="B19556" s="17">
        <v>8450000.0</v>
      </c>
    </row>
    <row r="19557">
      <c r="A19557" s="17">
        <v>5.053001E8</v>
      </c>
      <c r="B19557" s="17">
        <v>8460100.0</v>
      </c>
    </row>
    <row r="19558">
      <c r="A19558" s="17">
        <v>5.053001E8</v>
      </c>
      <c r="B19558" s="17">
        <v>8460300.0</v>
      </c>
    </row>
    <row r="19559">
      <c r="A19559" s="17">
        <v>5.053001E8</v>
      </c>
      <c r="B19559" s="17">
        <v>8460500.0</v>
      </c>
    </row>
    <row r="19560">
      <c r="A19560" s="17">
        <v>5.053001E8</v>
      </c>
      <c r="B19560" s="17">
        <v>8510000.0</v>
      </c>
    </row>
    <row r="19561">
      <c r="A19561" s="17">
        <v>5.053001E8</v>
      </c>
      <c r="B19561" s="17">
        <v>8510001.0</v>
      </c>
    </row>
    <row r="19562">
      <c r="A19562" s="17">
        <v>5.053001E8</v>
      </c>
      <c r="B19562" s="17">
        <v>8510002.0</v>
      </c>
    </row>
    <row r="19563">
      <c r="A19563" s="17">
        <v>5.053001E8</v>
      </c>
      <c r="B19563" s="17">
        <v>8520000.0</v>
      </c>
    </row>
    <row r="19564">
      <c r="A19564" s="17">
        <v>5.053001E8</v>
      </c>
      <c r="B19564" s="17">
        <v>8520001.0</v>
      </c>
    </row>
    <row r="19565">
      <c r="A19565" s="17">
        <v>5.053001E8</v>
      </c>
      <c r="B19565" s="17">
        <v>8520002.0</v>
      </c>
    </row>
    <row r="19566">
      <c r="A19566" s="17">
        <v>5.053001E8</v>
      </c>
      <c r="B19566" s="17">
        <v>8530000.0</v>
      </c>
    </row>
    <row r="19567">
      <c r="A19567" s="17">
        <v>5.053001E8</v>
      </c>
      <c r="B19567" s="17">
        <v>8530100.0</v>
      </c>
    </row>
    <row r="19568">
      <c r="A19568" s="17">
        <v>5.053001E8</v>
      </c>
      <c r="B19568" s="17">
        <v>8540000.0</v>
      </c>
    </row>
    <row r="19569">
      <c r="A19569" s="17">
        <v>5.053001E8</v>
      </c>
      <c r="B19569" s="17">
        <v>8600100.0</v>
      </c>
    </row>
    <row r="19570">
      <c r="A19570" s="17">
        <v>5.053001E8</v>
      </c>
      <c r="B19570" s="17">
        <v>8600101.0</v>
      </c>
    </row>
    <row r="19571">
      <c r="A19571" s="17">
        <v>5.053001E8</v>
      </c>
      <c r="B19571" s="17">
        <v>8600102.0</v>
      </c>
    </row>
    <row r="19572">
      <c r="A19572" s="17">
        <v>5.053001E8</v>
      </c>
      <c r="B19572" s="17">
        <v>8600200.0</v>
      </c>
    </row>
    <row r="19573">
      <c r="A19573" s="17">
        <v>5.053001E8</v>
      </c>
      <c r="B19573" s="17">
        <v>8600201.0</v>
      </c>
    </row>
    <row r="19574">
      <c r="A19574" s="17">
        <v>5.053001E8</v>
      </c>
      <c r="B19574" s="17">
        <v>8600202.0</v>
      </c>
    </row>
    <row r="19575">
      <c r="A19575" s="17">
        <v>5.053001E8</v>
      </c>
      <c r="B19575" s="17">
        <v>8610300.0</v>
      </c>
    </row>
    <row r="19576">
      <c r="A19576" s="17">
        <v>5.053001E8</v>
      </c>
      <c r="B19576" s="17">
        <v>8610400.0</v>
      </c>
    </row>
    <row r="19577">
      <c r="A19577" s="17">
        <v>5.053001E8</v>
      </c>
      <c r="B19577" s="17">
        <v>8610500.0</v>
      </c>
    </row>
    <row r="19578">
      <c r="A19578" s="17">
        <v>5.053001E8</v>
      </c>
      <c r="B19578" s="17">
        <v>8610600.0</v>
      </c>
    </row>
    <row r="19579">
      <c r="A19579" s="17">
        <v>5.053001E8</v>
      </c>
      <c r="B19579" s="17">
        <v>8610700.0</v>
      </c>
    </row>
    <row r="19580">
      <c r="A19580" s="17">
        <v>5.053001E8</v>
      </c>
      <c r="B19580" s="17">
        <v>8610710.0</v>
      </c>
    </row>
    <row r="19581">
      <c r="A19581" s="17">
        <v>5.053001E8</v>
      </c>
      <c r="B19581" s="17">
        <v>8610720.0</v>
      </c>
    </row>
    <row r="19582">
      <c r="A19582" s="17">
        <v>5.053001E8</v>
      </c>
      <c r="B19582" s="17">
        <v>8620000.0</v>
      </c>
    </row>
    <row r="19583">
      <c r="A19583" s="17">
        <v>5.053001E8</v>
      </c>
      <c r="B19583" s="17">
        <v>8620010.0</v>
      </c>
    </row>
    <row r="19584">
      <c r="A19584" s="17">
        <v>5.053001E8</v>
      </c>
      <c r="B19584" s="17">
        <v>8620020.0</v>
      </c>
    </row>
    <row r="19585">
      <c r="A19585" s="17">
        <v>5.053001E8</v>
      </c>
      <c r="B19585" s="17">
        <v>8620100.0</v>
      </c>
    </row>
    <row r="19586">
      <c r="A19586" s="17">
        <v>5.053001E8</v>
      </c>
      <c r="B19586" s="17">
        <v>8620110.0</v>
      </c>
    </row>
    <row r="19587">
      <c r="A19587" s="17">
        <v>5.053001E8</v>
      </c>
      <c r="B19587" s="17">
        <v>8620120.0</v>
      </c>
    </row>
    <row r="19588">
      <c r="A19588" s="17">
        <v>5.053001E8</v>
      </c>
      <c r="B19588" s="17">
        <v>8630000.0</v>
      </c>
    </row>
    <row r="19589">
      <c r="A19589" s="17">
        <v>5.053001E8</v>
      </c>
      <c r="B19589" s="17">
        <v>8630000.0</v>
      </c>
    </row>
    <row r="19590">
      <c r="A19590" s="17">
        <v>5.053001E8</v>
      </c>
      <c r="B19590" s="17">
        <v>8630000.0</v>
      </c>
    </row>
    <row r="19591">
      <c r="A19591" s="17">
        <v>5.053001E8</v>
      </c>
      <c r="B19591" s="17">
        <v>8630100.0</v>
      </c>
    </row>
    <row r="19592">
      <c r="A19592" s="17">
        <v>5.053001E8</v>
      </c>
      <c r="B19592" s="17">
        <v>8630100.0</v>
      </c>
    </row>
    <row r="19593">
      <c r="A19593" s="17">
        <v>5.053001E8</v>
      </c>
      <c r="B19593" s="17">
        <v>8630100.0</v>
      </c>
    </row>
    <row r="19594">
      <c r="A19594" s="17">
        <v>5.053001E8</v>
      </c>
      <c r="B19594" s="17">
        <v>8652000.0</v>
      </c>
    </row>
    <row r="19595">
      <c r="A19595" s="17">
        <v>5.053001E8</v>
      </c>
      <c r="B19595" s="17">
        <v>8652010.0</v>
      </c>
    </row>
    <row r="19596">
      <c r="A19596" s="17">
        <v>5.053001E8</v>
      </c>
      <c r="B19596" s="17">
        <v>8652020.0</v>
      </c>
    </row>
    <row r="19597">
      <c r="A19597" s="17">
        <v>5.053001E8</v>
      </c>
      <c r="B19597" s="17">
        <v>8652100.0</v>
      </c>
    </row>
    <row r="19598">
      <c r="A19598" s="17">
        <v>5.053001E8</v>
      </c>
      <c r="B19598" s="17">
        <v>8652110.0</v>
      </c>
    </row>
    <row r="19599">
      <c r="A19599" s="17">
        <v>5.053001E8</v>
      </c>
      <c r="B19599" s="17">
        <v>8652120.0</v>
      </c>
    </row>
    <row r="19600">
      <c r="A19600" s="17">
        <v>5.053001E8</v>
      </c>
      <c r="B19600" s="17">
        <v>8660000.0</v>
      </c>
    </row>
    <row r="19601">
      <c r="A19601" s="17">
        <v>5.053001E8</v>
      </c>
      <c r="B19601" s="17">
        <v>8660001.0</v>
      </c>
    </row>
    <row r="19602">
      <c r="A19602" s="17">
        <v>5.053001E8</v>
      </c>
      <c r="B19602" s="17">
        <v>8660002.0</v>
      </c>
    </row>
    <row r="19603">
      <c r="A19603" s="17">
        <v>5.053001E8</v>
      </c>
      <c r="B19603" s="17">
        <v>8660100.0</v>
      </c>
    </row>
    <row r="19604">
      <c r="A19604" s="17">
        <v>5.053001E8</v>
      </c>
      <c r="B19604" s="17">
        <v>8660101.0</v>
      </c>
    </row>
    <row r="19605">
      <c r="A19605" s="17">
        <v>5.053001E8</v>
      </c>
      <c r="B19605" s="17">
        <v>8660102.0</v>
      </c>
    </row>
    <row r="19606">
      <c r="A19606" s="17">
        <v>5.053001E8</v>
      </c>
      <c r="B19606" s="17">
        <v>8670000.0</v>
      </c>
    </row>
    <row r="19607">
      <c r="A19607" s="17">
        <v>5.053001E8</v>
      </c>
      <c r="B19607" s="17">
        <v>8670001.0</v>
      </c>
    </row>
    <row r="19608">
      <c r="A19608" s="17">
        <v>5.053001E8</v>
      </c>
      <c r="B19608" s="17">
        <v>8670002.0</v>
      </c>
    </row>
    <row r="19609">
      <c r="A19609" s="17">
        <v>5.053001E8</v>
      </c>
      <c r="B19609" s="17">
        <v>8670100.0</v>
      </c>
    </row>
    <row r="19610">
      <c r="A19610" s="17">
        <v>5.053001E8</v>
      </c>
      <c r="B19610" s="17">
        <v>8670101.0</v>
      </c>
    </row>
    <row r="19611">
      <c r="A19611" s="17">
        <v>5.053001E8</v>
      </c>
      <c r="B19611" s="17">
        <v>8670102.0</v>
      </c>
    </row>
    <row r="19612">
      <c r="A19612" s="17">
        <v>5.053001E8</v>
      </c>
      <c r="B19612" s="17">
        <v>8690000.0</v>
      </c>
    </row>
    <row r="19613">
      <c r="A19613" s="17">
        <v>5.053001E8</v>
      </c>
      <c r="B19613" s="17">
        <v>8690100.0</v>
      </c>
    </row>
    <row r="19614">
      <c r="A19614" s="17">
        <v>5.053001E8</v>
      </c>
      <c r="B19614" s="17">
        <v>8690200.0</v>
      </c>
    </row>
    <row r="19615">
      <c r="A19615" s="17">
        <v>5.053001E8</v>
      </c>
      <c r="B19615" s="17">
        <v>8690300.0</v>
      </c>
    </row>
    <row r="19616">
      <c r="A19616" s="17">
        <v>5.053001E8</v>
      </c>
      <c r="B19616" s="17">
        <v>8690400.0</v>
      </c>
    </row>
    <row r="19617">
      <c r="A19617" s="17">
        <v>5.053001E8</v>
      </c>
      <c r="B19617" s="17">
        <v>8850000.0</v>
      </c>
    </row>
    <row r="19618">
      <c r="A19618" s="17">
        <v>5.053001E8</v>
      </c>
      <c r="B19618" s="17">
        <v>8850100.0</v>
      </c>
    </row>
    <row r="19619">
      <c r="A19619" s="17">
        <v>5.053001E8</v>
      </c>
      <c r="B19619" s="17">
        <v>8850200.0</v>
      </c>
    </row>
    <row r="19620">
      <c r="A19620" s="17">
        <v>5.053001E8</v>
      </c>
      <c r="B19620" s="17">
        <v>8850300.0</v>
      </c>
    </row>
    <row r="19621">
      <c r="A19621" s="17">
        <v>5.053001E8</v>
      </c>
      <c r="B19621" s="17">
        <v>8850400.0</v>
      </c>
    </row>
    <row r="19622">
      <c r="A19622" s="17">
        <v>5.053001E8</v>
      </c>
      <c r="B19622" s="17">
        <v>8850500.0</v>
      </c>
    </row>
    <row r="19623">
      <c r="A19623" s="17">
        <v>5.053001E8</v>
      </c>
      <c r="B19623" s="17">
        <v>8850600.0</v>
      </c>
    </row>
    <row r="19624">
      <c r="A19624" s="17">
        <v>5.053001E8</v>
      </c>
      <c r="B19624" s="17">
        <v>8850700.0</v>
      </c>
    </row>
    <row r="19625">
      <c r="A19625" s="17">
        <v>5.053001E8</v>
      </c>
      <c r="B19625" s="17">
        <v>8850800.0</v>
      </c>
    </row>
    <row r="19626">
      <c r="A19626" s="17">
        <v>5.053001E8</v>
      </c>
      <c r="B19626" s="17">
        <v>8850900.0</v>
      </c>
    </row>
    <row r="19627">
      <c r="A19627" s="17">
        <v>5.053001E8</v>
      </c>
      <c r="B19627" s="17">
        <v>8851000.0</v>
      </c>
    </row>
    <row r="19628">
      <c r="A19628" s="17">
        <v>5.053001E8</v>
      </c>
      <c r="B19628" s="17">
        <v>8851100.0</v>
      </c>
    </row>
    <row r="19629">
      <c r="A19629" s="17">
        <v>5.053001E8</v>
      </c>
      <c r="B19629" s="17">
        <v>8851200.0</v>
      </c>
    </row>
    <row r="19630">
      <c r="A19630" s="17">
        <v>5.053001E8</v>
      </c>
      <c r="B19630" s="17">
        <v>8851300.0</v>
      </c>
    </row>
    <row r="19631">
      <c r="A19631" s="17">
        <v>5.053001E8</v>
      </c>
      <c r="B19631" s="17">
        <v>8851800.0</v>
      </c>
    </row>
    <row r="19632">
      <c r="A19632" s="17">
        <v>5.053001E8</v>
      </c>
      <c r="B19632" s="17">
        <v>8851900.0</v>
      </c>
    </row>
    <row r="19633">
      <c r="A19633" s="17">
        <v>5.053001E8</v>
      </c>
      <c r="B19633" s="17">
        <v>8852000.0</v>
      </c>
    </row>
    <row r="19634">
      <c r="A19634" s="17">
        <v>5.053001E8</v>
      </c>
      <c r="B19634" s="17">
        <v>8320500.0</v>
      </c>
    </row>
    <row r="19635">
      <c r="A19635" s="17">
        <v>5.053001E8</v>
      </c>
      <c r="B19635" s="17">
        <v>8320510.0</v>
      </c>
    </row>
    <row r="19636">
      <c r="A19636" s="17">
        <v>5.053001E8</v>
      </c>
      <c r="B19636" s="17">
        <v>8320520.0</v>
      </c>
    </row>
    <row r="19637">
      <c r="A19637" s="17">
        <v>5.053001E8</v>
      </c>
      <c r="B19637" s="17">
        <v>8320600.0</v>
      </c>
    </row>
    <row r="19638">
      <c r="A19638" s="17">
        <v>5.053001E8</v>
      </c>
      <c r="B19638" s="17">
        <v>8320610.0</v>
      </c>
    </row>
    <row r="19639">
      <c r="A19639" s="17">
        <v>5.053001E8</v>
      </c>
      <c r="B19639" s="17">
        <v>8320620.0</v>
      </c>
    </row>
    <row r="19640">
      <c r="A19640" s="17">
        <v>5.053001E8</v>
      </c>
      <c r="B19640" s="17">
        <v>8320700.0</v>
      </c>
    </row>
    <row r="19641">
      <c r="A19641" s="17">
        <v>5.053001E8</v>
      </c>
      <c r="B19641" s="17">
        <v>8320710.0</v>
      </c>
    </row>
    <row r="19642">
      <c r="A19642" s="17">
        <v>5.053001E8</v>
      </c>
      <c r="B19642" s="17">
        <v>8320720.0</v>
      </c>
    </row>
    <row r="19643">
      <c r="A19643" s="17">
        <v>5.053002E8</v>
      </c>
      <c r="B19643" s="17">
        <v>0.0</v>
      </c>
    </row>
    <row r="19644">
      <c r="A19644" s="17">
        <v>5.053002E8</v>
      </c>
      <c r="B19644" s="17">
        <v>8100100.0</v>
      </c>
    </row>
    <row r="19645">
      <c r="A19645" s="17">
        <v>5.053002E8</v>
      </c>
      <c r="B19645" s="17">
        <v>8100101.0</v>
      </c>
    </row>
    <row r="19646">
      <c r="A19646" s="17">
        <v>5.053002E8</v>
      </c>
      <c r="B19646" s="17">
        <v>8100102.0</v>
      </c>
    </row>
    <row r="19647">
      <c r="A19647" s="17">
        <v>5.053002E8</v>
      </c>
      <c r="B19647" s="17">
        <v>8100200.0</v>
      </c>
    </row>
    <row r="19648">
      <c r="A19648" s="17">
        <v>5.053002E8</v>
      </c>
      <c r="B19648" s="17">
        <v>8100201.0</v>
      </c>
    </row>
    <row r="19649">
      <c r="A19649" s="17">
        <v>5.053002E8</v>
      </c>
      <c r="B19649" s="17">
        <v>8100202.0</v>
      </c>
    </row>
    <row r="19650">
      <c r="A19650" s="17">
        <v>5.053002E8</v>
      </c>
      <c r="B19650" s="17">
        <v>8100300.0</v>
      </c>
    </row>
    <row r="19651">
      <c r="A19651" s="17">
        <v>5.053002E8</v>
      </c>
      <c r="B19651" s="17">
        <v>8100301.0</v>
      </c>
    </row>
    <row r="19652">
      <c r="A19652" s="17">
        <v>5.053002E8</v>
      </c>
      <c r="B19652" s="17">
        <v>8100302.0</v>
      </c>
    </row>
    <row r="19653">
      <c r="A19653" s="17">
        <v>5.053002E8</v>
      </c>
      <c r="B19653" s="17">
        <v>8100400.0</v>
      </c>
    </row>
    <row r="19654">
      <c r="A19654" s="17">
        <v>5.053002E8</v>
      </c>
      <c r="B19654" s="17">
        <v>8100401.0</v>
      </c>
    </row>
    <row r="19655">
      <c r="A19655" s="17">
        <v>5.053002E8</v>
      </c>
      <c r="B19655" s="17">
        <v>8100402.0</v>
      </c>
    </row>
    <row r="19656">
      <c r="A19656" s="17">
        <v>5.053002E8</v>
      </c>
      <c r="B19656" s="17">
        <v>8130000.0</v>
      </c>
    </row>
    <row r="19657">
      <c r="A19657" s="17">
        <v>5.053002E8</v>
      </c>
      <c r="B19657" s="17">
        <v>8130001.0</v>
      </c>
    </row>
    <row r="19658">
      <c r="A19658" s="17">
        <v>5.053002E8</v>
      </c>
      <c r="B19658" s="17">
        <v>8130002.0</v>
      </c>
    </row>
    <row r="19659">
      <c r="A19659" s="17">
        <v>5.053002E8</v>
      </c>
      <c r="B19659" s="17">
        <v>8140000.0</v>
      </c>
    </row>
    <row r="19660">
      <c r="A19660" s="17">
        <v>5.053002E8</v>
      </c>
      <c r="B19660" s="17">
        <v>8140001.0</v>
      </c>
    </row>
    <row r="19661">
      <c r="A19661" s="17">
        <v>5.053002E8</v>
      </c>
      <c r="B19661" s="17">
        <v>8140002.0</v>
      </c>
    </row>
    <row r="19662">
      <c r="A19662" s="17">
        <v>5.053002E8</v>
      </c>
      <c r="B19662" s="17">
        <v>8200100.0</v>
      </c>
    </row>
    <row r="19663">
      <c r="A19663" s="17">
        <v>5.053002E8</v>
      </c>
      <c r="B19663" s="17">
        <v>8200101.0</v>
      </c>
    </row>
    <row r="19664">
      <c r="A19664" s="17">
        <v>5.053002E8</v>
      </c>
      <c r="B19664" s="17">
        <v>8200102.0</v>
      </c>
    </row>
    <row r="19665">
      <c r="A19665" s="17">
        <v>5.053002E8</v>
      </c>
      <c r="B19665" s="17">
        <v>8200200.0</v>
      </c>
    </row>
    <row r="19666">
      <c r="A19666" s="17">
        <v>5.053002E8</v>
      </c>
      <c r="B19666" s="17">
        <v>8200201.0</v>
      </c>
    </row>
    <row r="19667">
      <c r="A19667" s="17">
        <v>5.053002E8</v>
      </c>
      <c r="B19667" s="17">
        <v>8200202.0</v>
      </c>
    </row>
    <row r="19668">
      <c r="A19668" s="17">
        <v>5.053002E8</v>
      </c>
      <c r="B19668" s="17">
        <v>8200300.0</v>
      </c>
    </row>
    <row r="19669">
      <c r="A19669" s="17">
        <v>5.053002E8</v>
      </c>
      <c r="B19669" s="17">
        <v>8200301.0</v>
      </c>
    </row>
    <row r="19670">
      <c r="A19670" s="17">
        <v>5.053002E8</v>
      </c>
      <c r="B19670" s="17">
        <v>8200302.0</v>
      </c>
    </row>
    <row r="19671">
      <c r="A19671" s="17">
        <v>5.053002E8</v>
      </c>
      <c r="B19671" s="17">
        <v>8200400.0</v>
      </c>
    </row>
    <row r="19672">
      <c r="A19672" s="17">
        <v>5.053002E8</v>
      </c>
      <c r="B19672" s="17">
        <v>8200401.0</v>
      </c>
    </row>
    <row r="19673">
      <c r="A19673" s="17">
        <v>5.053002E8</v>
      </c>
      <c r="B19673" s="17">
        <v>8200402.0</v>
      </c>
    </row>
    <row r="19674">
      <c r="A19674" s="17">
        <v>5.053002E8</v>
      </c>
      <c r="B19674" s="17">
        <v>8210000.0</v>
      </c>
    </row>
    <row r="19675">
      <c r="A19675" s="17">
        <v>5.053002E8</v>
      </c>
      <c r="B19675" s="17">
        <v>8210001.0</v>
      </c>
    </row>
    <row r="19676">
      <c r="A19676" s="17">
        <v>5.053002E8</v>
      </c>
      <c r="B19676" s="17">
        <v>8210002.0</v>
      </c>
    </row>
    <row r="19677">
      <c r="A19677" s="17">
        <v>5.053002E8</v>
      </c>
      <c r="B19677" s="17">
        <v>8210100.0</v>
      </c>
    </row>
    <row r="19678">
      <c r="A19678" s="17">
        <v>5.053002E8</v>
      </c>
      <c r="B19678" s="17">
        <v>8210101.0</v>
      </c>
    </row>
    <row r="19679">
      <c r="A19679" s="17">
        <v>5.053002E8</v>
      </c>
      <c r="B19679" s="17">
        <v>8210102.0</v>
      </c>
    </row>
    <row r="19680">
      <c r="A19680" s="17">
        <v>5.053002E8</v>
      </c>
      <c r="B19680" s="17">
        <v>8210200.0</v>
      </c>
    </row>
    <row r="19681">
      <c r="A19681" s="17">
        <v>5.053002E8</v>
      </c>
      <c r="B19681" s="17">
        <v>8210201.0</v>
      </c>
    </row>
    <row r="19682">
      <c r="A19682" s="17">
        <v>5.053002E8</v>
      </c>
      <c r="B19682" s="17">
        <v>8210202.0</v>
      </c>
    </row>
    <row r="19683">
      <c r="A19683" s="17">
        <v>5.053002E8</v>
      </c>
      <c r="B19683" s="17">
        <v>8210300.0</v>
      </c>
    </row>
    <row r="19684">
      <c r="A19684" s="17">
        <v>5.053002E8</v>
      </c>
      <c r="B19684" s="17">
        <v>8210301.0</v>
      </c>
    </row>
    <row r="19685">
      <c r="A19685" s="17">
        <v>5.053002E8</v>
      </c>
      <c r="B19685" s="17">
        <v>8210302.0</v>
      </c>
    </row>
    <row r="19686">
      <c r="A19686" s="17">
        <v>5.053002E8</v>
      </c>
      <c r="B19686" s="17">
        <v>8210400.0</v>
      </c>
    </row>
    <row r="19687">
      <c r="A19687" s="17">
        <v>5.053002E8</v>
      </c>
      <c r="B19687" s="17">
        <v>8210401.0</v>
      </c>
    </row>
    <row r="19688">
      <c r="A19688" s="17">
        <v>5.053002E8</v>
      </c>
      <c r="B19688" s="17">
        <v>8210402.0</v>
      </c>
    </row>
    <row r="19689">
      <c r="A19689" s="17">
        <v>5.053002E8</v>
      </c>
      <c r="B19689" s="17">
        <v>8210500.0</v>
      </c>
    </row>
    <row r="19690">
      <c r="A19690" s="17">
        <v>5.053002E8</v>
      </c>
      <c r="B19690" s="17">
        <v>8210501.0</v>
      </c>
    </row>
    <row r="19691">
      <c r="A19691" s="17">
        <v>5.053002E8</v>
      </c>
      <c r="B19691" s="17">
        <v>8210502.0</v>
      </c>
    </row>
    <row r="19692">
      <c r="A19692" s="17">
        <v>5.053002E8</v>
      </c>
      <c r="B19692" s="17">
        <v>8210600.0</v>
      </c>
    </row>
    <row r="19693">
      <c r="A19693" s="17">
        <v>5.053002E8</v>
      </c>
      <c r="B19693" s="17">
        <v>8210601.0</v>
      </c>
    </row>
    <row r="19694">
      <c r="A19694" s="17">
        <v>5.053002E8</v>
      </c>
      <c r="B19694" s="17">
        <v>8210602.0</v>
      </c>
    </row>
    <row r="19695">
      <c r="A19695" s="17">
        <v>5.053002E8</v>
      </c>
      <c r="B19695" s="17">
        <v>8220000.0</v>
      </c>
    </row>
    <row r="19696">
      <c r="A19696" s="17">
        <v>5.053002E8</v>
      </c>
      <c r="B19696" s="17">
        <v>8220001.0</v>
      </c>
    </row>
    <row r="19697">
      <c r="A19697" s="17">
        <v>5.053002E8</v>
      </c>
      <c r="B19697" s="17">
        <v>8220002.0</v>
      </c>
    </row>
    <row r="19698">
      <c r="A19698" s="17">
        <v>5.053002E8</v>
      </c>
      <c r="B19698" s="17">
        <v>8300000.0</v>
      </c>
    </row>
    <row r="19699">
      <c r="A19699" s="17">
        <v>5.053002E8</v>
      </c>
      <c r="B19699" s="17">
        <v>8300001.0</v>
      </c>
    </row>
    <row r="19700">
      <c r="A19700" s="17">
        <v>5.053002E8</v>
      </c>
      <c r="B19700" s="17">
        <v>8300002.0</v>
      </c>
    </row>
    <row r="19701">
      <c r="A19701" s="17">
        <v>5.053002E8</v>
      </c>
      <c r="B19701" s="17">
        <v>8310000.0</v>
      </c>
    </row>
    <row r="19702">
      <c r="A19702" s="17">
        <v>5.053002E8</v>
      </c>
      <c r="B19702" s="17">
        <v>8310001.0</v>
      </c>
    </row>
    <row r="19703">
      <c r="A19703" s="17">
        <v>5.053002E8</v>
      </c>
      <c r="B19703" s="17">
        <v>8310002.0</v>
      </c>
    </row>
    <row r="19704">
      <c r="A19704" s="17">
        <v>5.053002E8</v>
      </c>
      <c r="B19704" s="17">
        <v>8320000.0</v>
      </c>
    </row>
    <row r="19705">
      <c r="A19705" s="17">
        <v>5.053002E8</v>
      </c>
      <c r="B19705" s="17">
        <v>8320001.0</v>
      </c>
    </row>
    <row r="19706">
      <c r="A19706" s="17">
        <v>5.053002E8</v>
      </c>
      <c r="B19706" s="17">
        <v>8320002.0</v>
      </c>
    </row>
    <row r="19707">
      <c r="A19707" s="17">
        <v>5.053002E8</v>
      </c>
      <c r="B19707" s="17">
        <v>8320100.0</v>
      </c>
    </row>
    <row r="19708">
      <c r="A19708" s="17">
        <v>5.053002E8</v>
      </c>
      <c r="B19708" s="17">
        <v>8320101.0</v>
      </c>
    </row>
    <row r="19709">
      <c r="A19709" s="17">
        <v>5.053002E8</v>
      </c>
      <c r="B19709" s="17">
        <v>8320102.0</v>
      </c>
    </row>
    <row r="19710">
      <c r="A19710" s="17">
        <v>5.053002E8</v>
      </c>
      <c r="B19710" s="17">
        <v>8320300.0</v>
      </c>
    </row>
    <row r="19711">
      <c r="A19711" s="17">
        <v>5.053002E8</v>
      </c>
      <c r="B19711" s="17">
        <v>8320301.0</v>
      </c>
    </row>
    <row r="19712">
      <c r="A19712" s="17">
        <v>5.053002E8</v>
      </c>
      <c r="B19712" s="17">
        <v>8320302.0</v>
      </c>
    </row>
    <row r="19713">
      <c r="A19713" s="17">
        <v>5.053002E8</v>
      </c>
      <c r="B19713" s="17">
        <v>8320400.0</v>
      </c>
    </row>
    <row r="19714">
      <c r="A19714" s="17">
        <v>5.053002E8</v>
      </c>
      <c r="B19714" s="17">
        <v>8320410.0</v>
      </c>
    </row>
    <row r="19715">
      <c r="A19715" s="17">
        <v>5.053002E8</v>
      </c>
      <c r="B19715" s="17">
        <v>8320420.0</v>
      </c>
    </row>
    <row r="19716">
      <c r="A19716" s="17">
        <v>5.053002E8</v>
      </c>
      <c r="B19716" s="17">
        <v>8330000.0</v>
      </c>
    </row>
    <row r="19717">
      <c r="A19717" s="17">
        <v>5.053002E8</v>
      </c>
      <c r="B19717" s="17">
        <v>8330001.0</v>
      </c>
    </row>
    <row r="19718">
      <c r="A19718" s="17">
        <v>5.053002E8</v>
      </c>
      <c r="B19718" s="17">
        <v>8330002.0</v>
      </c>
    </row>
    <row r="19719">
      <c r="A19719" s="17">
        <v>5.053002E8</v>
      </c>
      <c r="B19719" s="17">
        <v>8330100.0</v>
      </c>
    </row>
    <row r="19720">
      <c r="A19720" s="17">
        <v>5.053002E8</v>
      </c>
      <c r="B19720" s="17">
        <v>8330101.0</v>
      </c>
    </row>
    <row r="19721">
      <c r="A19721" s="17">
        <v>5.053002E8</v>
      </c>
      <c r="B19721" s="17">
        <v>8330102.0</v>
      </c>
    </row>
    <row r="19722">
      <c r="A19722" s="17">
        <v>5.053002E8</v>
      </c>
      <c r="B19722" s="17">
        <v>8330200.0</v>
      </c>
    </row>
    <row r="19723">
      <c r="A19723" s="17">
        <v>5.053002E8</v>
      </c>
      <c r="B19723" s="17">
        <v>8330201.0</v>
      </c>
    </row>
    <row r="19724">
      <c r="A19724" s="17">
        <v>5.053002E8</v>
      </c>
      <c r="B19724" s="17">
        <v>8330202.0</v>
      </c>
    </row>
    <row r="19725">
      <c r="A19725" s="17">
        <v>5.053002E8</v>
      </c>
      <c r="B19725" s="17">
        <v>8330300.0</v>
      </c>
    </row>
    <row r="19726">
      <c r="A19726" s="17">
        <v>5.053002E8</v>
      </c>
      <c r="B19726" s="17">
        <v>8330301.0</v>
      </c>
    </row>
    <row r="19727">
      <c r="A19727" s="17">
        <v>5.053002E8</v>
      </c>
      <c r="B19727" s="17">
        <v>8330302.0</v>
      </c>
    </row>
    <row r="19728">
      <c r="A19728" s="17">
        <v>5.053002E8</v>
      </c>
      <c r="B19728" s="17">
        <v>8330400.0</v>
      </c>
    </row>
    <row r="19729">
      <c r="A19729" s="17">
        <v>5.053002E8</v>
      </c>
      <c r="B19729" s="17">
        <v>8330401.0</v>
      </c>
    </row>
    <row r="19730">
      <c r="A19730" s="17">
        <v>5.053002E8</v>
      </c>
      <c r="B19730" s="17">
        <v>8330600.0</v>
      </c>
    </row>
    <row r="19731">
      <c r="A19731" s="17">
        <v>5.053002E8</v>
      </c>
      <c r="B19731" s="17">
        <v>8330601.0</v>
      </c>
    </row>
    <row r="19732">
      <c r="A19732" s="17">
        <v>5.053002E8</v>
      </c>
      <c r="B19732" s="17">
        <v>8330602.0</v>
      </c>
    </row>
    <row r="19733">
      <c r="A19733" s="17">
        <v>5.053002E8</v>
      </c>
      <c r="B19733" s="17">
        <v>8330900.0</v>
      </c>
    </row>
    <row r="19734">
      <c r="A19734" s="17">
        <v>5.053002E8</v>
      </c>
      <c r="B19734" s="17">
        <v>8330910.0</v>
      </c>
    </row>
    <row r="19735">
      <c r="A19735" s="17">
        <v>5.053002E8</v>
      </c>
      <c r="B19735" s="17">
        <v>8330920.0</v>
      </c>
    </row>
    <row r="19736">
      <c r="A19736" s="17">
        <v>5.053002E8</v>
      </c>
      <c r="B19736" s="17">
        <v>8340000.0</v>
      </c>
    </row>
    <row r="19737">
      <c r="A19737" s="17">
        <v>5.053002E8</v>
      </c>
      <c r="B19737" s="17">
        <v>8340001.0</v>
      </c>
    </row>
    <row r="19738">
      <c r="A19738" s="17">
        <v>5.053002E8</v>
      </c>
      <c r="B19738" s="17">
        <v>8340002.0</v>
      </c>
    </row>
    <row r="19739">
      <c r="A19739" s="17">
        <v>5.053002E8</v>
      </c>
      <c r="B19739" s="17">
        <v>8340100.0</v>
      </c>
    </row>
    <row r="19740">
      <c r="A19740" s="17">
        <v>5.053002E8</v>
      </c>
      <c r="B19740" s="17">
        <v>8340101.0</v>
      </c>
    </row>
    <row r="19741">
      <c r="A19741" s="17">
        <v>5.053002E8</v>
      </c>
      <c r="B19741" s="17">
        <v>8340102.0</v>
      </c>
    </row>
    <row r="19742">
      <c r="A19742" s="17">
        <v>5.053002E8</v>
      </c>
      <c r="B19742" s="17">
        <v>8350000.0</v>
      </c>
    </row>
    <row r="19743">
      <c r="A19743" s="17">
        <v>5.053002E8</v>
      </c>
      <c r="B19743" s="17">
        <v>8350001.0</v>
      </c>
    </row>
    <row r="19744">
      <c r="A19744" s="17">
        <v>5.053002E8</v>
      </c>
      <c r="B19744" s="17">
        <v>8350002.0</v>
      </c>
    </row>
    <row r="19745">
      <c r="A19745" s="17">
        <v>5.053002E8</v>
      </c>
      <c r="B19745" s="17">
        <v>8350200.0</v>
      </c>
    </row>
    <row r="19746">
      <c r="A19746" s="17">
        <v>5.053002E8</v>
      </c>
      <c r="B19746" s="17">
        <v>8350201.0</v>
      </c>
    </row>
    <row r="19747">
      <c r="A19747" s="17">
        <v>5.053002E8</v>
      </c>
      <c r="B19747" s="17">
        <v>8350202.0</v>
      </c>
    </row>
    <row r="19748">
      <c r="A19748" s="17">
        <v>5.053002E8</v>
      </c>
      <c r="B19748" s="17">
        <v>8420000.0</v>
      </c>
    </row>
    <row r="19749">
      <c r="A19749" s="17">
        <v>5.053002E8</v>
      </c>
      <c r="B19749" s="17">
        <v>8420001.0</v>
      </c>
    </row>
    <row r="19750">
      <c r="A19750" s="17">
        <v>5.053002E8</v>
      </c>
      <c r="B19750" s="17">
        <v>8420002.0</v>
      </c>
    </row>
    <row r="19751">
      <c r="A19751" s="17">
        <v>5.053002E8</v>
      </c>
      <c r="B19751" s="17">
        <v>8450000.0</v>
      </c>
    </row>
    <row r="19752">
      <c r="A19752" s="17">
        <v>5.053002E8</v>
      </c>
      <c r="B19752" s="17">
        <v>8460100.0</v>
      </c>
    </row>
    <row r="19753">
      <c r="A19753" s="17">
        <v>5.053002E8</v>
      </c>
      <c r="B19753" s="17">
        <v>8460300.0</v>
      </c>
    </row>
    <row r="19754">
      <c r="A19754" s="17">
        <v>5.053002E8</v>
      </c>
      <c r="B19754" s="17">
        <v>8460500.0</v>
      </c>
    </row>
    <row r="19755">
      <c r="A19755" s="17">
        <v>5.053002E8</v>
      </c>
      <c r="B19755" s="17">
        <v>8510000.0</v>
      </c>
    </row>
    <row r="19756">
      <c r="A19756" s="17">
        <v>5.053002E8</v>
      </c>
      <c r="B19756" s="17">
        <v>8510001.0</v>
      </c>
    </row>
    <row r="19757">
      <c r="A19757" s="17">
        <v>5.053002E8</v>
      </c>
      <c r="B19757" s="17">
        <v>8510002.0</v>
      </c>
    </row>
    <row r="19758">
      <c r="A19758" s="17">
        <v>5.053002E8</v>
      </c>
      <c r="B19758" s="17">
        <v>8520000.0</v>
      </c>
    </row>
    <row r="19759">
      <c r="A19759" s="17">
        <v>5.053002E8</v>
      </c>
      <c r="B19759" s="17">
        <v>8520001.0</v>
      </c>
    </row>
    <row r="19760">
      <c r="A19760" s="17">
        <v>5.053002E8</v>
      </c>
      <c r="B19760" s="17">
        <v>8520002.0</v>
      </c>
    </row>
    <row r="19761">
      <c r="A19761" s="17">
        <v>5.053002E8</v>
      </c>
      <c r="B19761" s="17">
        <v>8530000.0</v>
      </c>
    </row>
    <row r="19762">
      <c r="A19762" s="17">
        <v>5.053002E8</v>
      </c>
      <c r="B19762" s="17">
        <v>8530100.0</v>
      </c>
    </row>
    <row r="19763">
      <c r="A19763" s="17">
        <v>5.053002E8</v>
      </c>
      <c r="B19763" s="17">
        <v>8540000.0</v>
      </c>
    </row>
    <row r="19764">
      <c r="A19764" s="17">
        <v>5.053002E8</v>
      </c>
      <c r="B19764" s="17">
        <v>8600100.0</v>
      </c>
    </row>
    <row r="19765">
      <c r="A19765" s="17">
        <v>5.053002E8</v>
      </c>
      <c r="B19765" s="17">
        <v>8600101.0</v>
      </c>
    </row>
    <row r="19766">
      <c r="A19766" s="17">
        <v>5.053002E8</v>
      </c>
      <c r="B19766" s="17">
        <v>8600102.0</v>
      </c>
    </row>
    <row r="19767">
      <c r="A19767" s="17">
        <v>5.053002E8</v>
      </c>
      <c r="B19767" s="17">
        <v>8600200.0</v>
      </c>
    </row>
    <row r="19768">
      <c r="A19768" s="17">
        <v>5.053002E8</v>
      </c>
      <c r="B19768" s="17">
        <v>8600201.0</v>
      </c>
    </row>
    <row r="19769">
      <c r="A19769" s="17">
        <v>5.053002E8</v>
      </c>
      <c r="B19769" s="17">
        <v>8600202.0</v>
      </c>
    </row>
    <row r="19770">
      <c r="A19770" s="17">
        <v>5.053002E8</v>
      </c>
      <c r="B19770" s="17">
        <v>8610300.0</v>
      </c>
    </row>
    <row r="19771">
      <c r="A19771" s="17">
        <v>5.053002E8</v>
      </c>
      <c r="B19771" s="17">
        <v>8610400.0</v>
      </c>
    </row>
    <row r="19772">
      <c r="A19772" s="17">
        <v>5.053002E8</v>
      </c>
      <c r="B19772" s="17">
        <v>8610500.0</v>
      </c>
    </row>
    <row r="19773">
      <c r="A19773" s="17">
        <v>5.053002E8</v>
      </c>
      <c r="B19773" s="17">
        <v>8610600.0</v>
      </c>
    </row>
    <row r="19774">
      <c r="A19774" s="17">
        <v>5.053002E8</v>
      </c>
      <c r="B19774" s="17">
        <v>8610700.0</v>
      </c>
    </row>
    <row r="19775">
      <c r="A19775" s="17">
        <v>5.053002E8</v>
      </c>
      <c r="B19775" s="17">
        <v>8610710.0</v>
      </c>
    </row>
    <row r="19776">
      <c r="A19776" s="17">
        <v>5.053002E8</v>
      </c>
      <c r="B19776" s="17">
        <v>8610720.0</v>
      </c>
    </row>
    <row r="19777">
      <c r="A19777" s="17">
        <v>5.053002E8</v>
      </c>
      <c r="B19777" s="17">
        <v>8620000.0</v>
      </c>
    </row>
    <row r="19778">
      <c r="A19778" s="17">
        <v>5.053002E8</v>
      </c>
      <c r="B19778" s="17">
        <v>8620010.0</v>
      </c>
    </row>
    <row r="19779">
      <c r="A19779" s="17">
        <v>5.053002E8</v>
      </c>
      <c r="B19779" s="17">
        <v>8620020.0</v>
      </c>
    </row>
    <row r="19780">
      <c r="A19780" s="17">
        <v>5.053002E8</v>
      </c>
      <c r="B19780" s="17">
        <v>8620100.0</v>
      </c>
    </row>
    <row r="19781">
      <c r="A19781" s="17">
        <v>5.053002E8</v>
      </c>
      <c r="B19781" s="17">
        <v>8620110.0</v>
      </c>
    </row>
    <row r="19782">
      <c r="A19782" s="17">
        <v>5.053002E8</v>
      </c>
      <c r="B19782" s="17">
        <v>8620120.0</v>
      </c>
    </row>
    <row r="19783">
      <c r="A19783" s="17">
        <v>5.053002E8</v>
      </c>
      <c r="B19783" s="17">
        <v>8630000.0</v>
      </c>
    </row>
    <row r="19784">
      <c r="A19784" s="17">
        <v>5.053002E8</v>
      </c>
      <c r="B19784" s="17">
        <v>8630000.0</v>
      </c>
    </row>
    <row r="19785">
      <c r="A19785" s="17">
        <v>5.053002E8</v>
      </c>
      <c r="B19785" s="17">
        <v>8630000.0</v>
      </c>
    </row>
    <row r="19786">
      <c r="A19786" s="17">
        <v>5.053002E8</v>
      </c>
      <c r="B19786" s="17">
        <v>8630100.0</v>
      </c>
    </row>
    <row r="19787">
      <c r="A19787" s="17">
        <v>5.053002E8</v>
      </c>
      <c r="B19787" s="17">
        <v>8630100.0</v>
      </c>
    </row>
    <row r="19788">
      <c r="A19788" s="17">
        <v>5.053002E8</v>
      </c>
      <c r="B19788" s="17">
        <v>8630100.0</v>
      </c>
    </row>
    <row r="19789">
      <c r="A19789" s="17">
        <v>5.053002E8</v>
      </c>
      <c r="B19789" s="17">
        <v>8652000.0</v>
      </c>
    </row>
    <row r="19790">
      <c r="A19790" s="17">
        <v>5.053002E8</v>
      </c>
      <c r="B19790" s="17">
        <v>8652010.0</v>
      </c>
    </row>
    <row r="19791">
      <c r="A19791" s="17">
        <v>5.053002E8</v>
      </c>
      <c r="B19791" s="17">
        <v>8652020.0</v>
      </c>
    </row>
    <row r="19792">
      <c r="A19792" s="17">
        <v>5.053002E8</v>
      </c>
      <c r="B19792" s="17">
        <v>8652100.0</v>
      </c>
    </row>
    <row r="19793">
      <c r="A19793" s="17">
        <v>5.053002E8</v>
      </c>
      <c r="B19793" s="17">
        <v>8652110.0</v>
      </c>
    </row>
    <row r="19794">
      <c r="A19794" s="17">
        <v>5.053002E8</v>
      </c>
      <c r="B19794" s="17">
        <v>8652120.0</v>
      </c>
    </row>
    <row r="19795">
      <c r="A19795" s="17">
        <v>5.053002E8</v>
      </c>
      <c r="B19795" s="17">
        <v>8660000.0</v>
      </c>
    </row>
    <row r="19796">
      <c r="A19796" s="17">
        <v>5.053002E8</v>
      </c>
      <c r="B19796" s="17">
        <v>8660001.0</v>
      </c>
    </row>
    <row r="19797">
      <c r="A19797" s="17">
        <v>5.053002E8</v>
      </c>
      <c r="B19797" s="17">
        <v>8660002.0</v>
      </c>
    </row>
    <row r="19798">
      <c r="A19798" s="17">
        <v>5.053002E8</v>
      </c>
      <c r="B19798" s="17">
        <v>8660100.0</v>
      </c>
    </row>
    <row r="19799">
      <c r="A19799" s="17">
        <v>5.053002E8</v>
      </c>
      <c r="B19799" s="17">
        <v>8660101.0</v>
      </c>
    </row>
    <row r="19800">
      <c r="A19800" s="17">
        <v>5.053002E8</v>
      </c>
      <c r="B19800" s="17">
        <v>8660102.0</v>
      </c>
    </row>
    <row r="19801">
      <c r="A19801" s="17">
        <v>5.053002E8</v>
      </c>
      <c r="B19801" s="17">
        <v>8670000.0</v>
      </c>
    </row>
    <row r="19802">
      <c r="A19802" s="17">
        <v>5.053002E8</v>
      </c>
      <c r="B19802" s="17">
        <v>8670001.0</v>
      </c>
    </row>
    <row r="19803">
      <c r="A19803" s="17">
        <v>5.053002E8</v>
      </c>
      <c r="B19803" s="17">
        <v>8670002.0</v>
      </c>
    </row>
    <row r="19804">
      <c r="A19804" s="17">
        <v>5.053002E8</v>
      </c>
      <c r="B19804" s="17">
        <v>8670100.0</v>
      </c>
    </row>
    <row r="19805">
      <c r="A19805" s="17">
        <v>5.053002E8</v>
      </c>
      <c r="B19805" s="17">
        <v>8670101.0</v>
      </c>
    </row>
    <row r="19806">
      <c r="A19806" s="17">
        <v>5.053002E8</v>
      </c>
      <c r="B19806" s="17">
        <v>8670102.0</v>
      </c>
    </row>
    <row r="19807">
      <c r="A19807" s="17">
        <v>5.053002E8</v>
      </c>
      <c r="B19807" s="17">
        <v>8690000.0</v>
      </c>
    </row>
    <row r="19808">
      <c r="A19808" s="17">
        <v>5.053002E8</v>
      </c>
      <c r="B19808" s="17">
        <v>8690100.0</v>
      </c>
    </row>
    <row r="19809">
      <c r="A19809" s="17">
        <v>5.053002E8</v>
      </c>
      <c r="B19809" s="17">
        <v>8690200.0</v>
      </c>
    </row>
    <row r="19810">
      <c r="A19810" s="17">
        <v>5.053002E8</v>
      </c>
      <c r="B19810" s="17">
        <v>8690300.0</v>
      </c>
    </row>
    <row r="19811">
      <c r="A19811" s="17">
        <v>5.053002E8</v>
      </c>
      <c r="B19811" s="17">
        <v>8690400.0</v>
      </c>
    </row>
    <row r="19812">
      <c r="A19812" s="17">
        <v>5.053002E8</v>
      </c>
      <c r="B19812" s="17">
        <v>8850000.0</v>
      </c>
    </row>
    <row r="19813">
      <c r="A19813" s="17">
        <v>5.053002E8</v>
      </c>
      <c r="B19813" s="17">
        <v>8850100.0</v>
      </c>
    </row>
    <row r="19814">
      <c r="A19814" s="17">
        <v>5.053002E8</v>
      </c>
      <c r="B19814" s="17">
        <v>8850200.0</v>
      </c>
    </row>
    <row r="19815">
      <c r="A19815" s="17">
        <v>5.053002E8</v>
      </c>
      <c r="B19815" s="17">
        <v>8850300.0</v>
      </c>
    </row>
    <row r="19816">
      <c r="A19816" s="17">
        <v>5.053002E8</v>
      </c>
      <c r="B19816" s="17">
        <v>8850400.0</v>
      </c>
    </row>
    <row r="19817">
      <c r="A19817" s="17">
        <v>5.053002E8</v>
      </c>
      <c r="B19817" s="17">
        <v>8850500.0</v>
      </c>
    </row>
    <row r="19818">
      <c r="A19818" s="17">
        <v>5.053002E8</v>
      </c>
      <c r="B19818" s="17">
        <v>8850600.0</v>
      </c>
    </row>
    <row r="19819">
      <c r="A19819" s="17">
        <v>5.053002E8</v>
      </c>
      <c r="B19819" s="17">
        <v>8850700.0</v>
      </c>
    </row>
    <row r="19820">
      <c r="A19820" s="17">
        <v>5.053002E8</v>
      </c>
      <c r="B19820" s="17">
        <v>8850800.0</v>
      </c>
    </row>
    <row r="19821">
      <c r="A19821" s="17">
        <v>5.053002E8</v>
      </c>
      <c r="B19821" s="17">
        <v>8850900.0</v>
      </c>
    </row>
    <row r="19822">
      <c r="A19822" s="17">
        <v>5.053002E8</v>
      </c>
      <c r="B19822" s="17">
        <v>8851000.0</v>
      </c>
    </row>
    <row r="19823">
      <c r="A19823" s="17">
        <v>5.053002E8</v>
      </c>
      <c r="B19823" s="17">
        <v>8851100.0</v>
      </c>
    </row>
    <row r="19824">
      <c r="A19824" s="17">
        <v>5.053002E8</v>
      </c>
      <c r="B19824" s="17">
        <v>8851200.0</v>
      </c>
    </row>
    <row r="19825">
      <c r="A19825" s="17">
        <v>5.053002E8</v>
      </c>
      <c r="B19825" s="17">
        <v>8851300.0</v>
      </c>
    </row>
    <row r="19826">
      <c r="A19826" s="17">
        <v>5.053002E8</v>
      </c>
      <c r="B19826" s="17">
        <v>8851800.0</v>
      </c>
    </row>
    <row r="19827">
      <c r="A19827" s="17">
        <v>5.053002E8</v>
      </c>
      <c r="B19827" s="17">
        <v>8851900.0</v>
      </c>
    </row>
    <row r="19828">
      <c r="A19828" s="17">
        <v>5.053002E8</v>
      </c>
      <c r="B19828" s="17">
        <v>8852000.0</v>
      </c>
    </row>
    <row r="19829">
      <c r="A19829" s="17">
        <v>5.053002E8</v>
      </c>
      <c r="B19829" s="17">
        <v>8320500.0</v>
      </c>
    </row>
    <row r="19830">
      <c r="A19830" s="17">
        <v>5.053002E8</v>
      </c>
      <c r="B19830" s="17">
        <v>8320510.0</v>
      </c>
    </row>
    <row r="19831">
      <c r="A19831" s="17">
        <v>5.053002E8</v>
      </c>
      <c r="B19831" s="17">
        <v>8320520.0</v>
      </c>
    </row>
    <row r="19832">
      <c r="A19832" s="17">
        <v>5.053002E8</v>
      </c>
      <c r="B19832" s="17">
        <v>8320600.0</v>
      </c>
    </row>
    <row r="19833">
      <c r="A19833" s="17">
        <v>5.053002E8</v>
      </c>
      <c r="B19833" s="17">
        <v>8320610.0</v>
      </c>
    </row>
    <row r="19834">
      <c r="A19834" s="17">
        <v>5.053002E8</v>
      </c>
      <c r="B19834" s="17">
        <v>8320620.0</v>
      </c>
    </row>
    <row r="19835">
      <c r="A19835" s="17">
        <v>5.053002E8</v>
      </c>
      <c r="B19835" s="17">
        <v>8320700.0</v>
      </c>
    </row>
    <row r="19836">
      <c r="A19836" s="17">
        <v>5.053002E8</v>
      </c>
      <c r="B19836" s="17">
        <v>8320710.0</v>
      </c>
    </row>
    <row r="19837">
      <c r="A19837" s="17">
        <v>5.053002E8</v>
      </c>
      <c r="B19837" s="17">
        <v>8320720.0</v>
      </c>
    </row>
    <row r="19838">
      <c r="A19838" s="17">
        <v>5.054001E8</v>
      </c>
      <c r="B19838" s="17">
        <v>0.0</v>
      </c>
    </row>
    <row r="19839">
      <c r="A19839" s="17">
        <v>5.054001E8</v>
      </c>
      <c r="B19839" s="17">
        <v>8100100.0</v>
      </c>
    </row>
    <row r="19840">
      <c r="A19840" s="17">
        <v>5.054001E8</v>
      </c>
      <c r="B19840" s="17">
        <v>8100101.0</v>
      </c>
    </row>
    <row r="19841">
      <c r="A19841" s="17">
        <v>5.054001E8</v>
      </c>
      <c r="B19841" s="17">
        <v>8100102.0</v>
      </c>
    </row>
    <row r="19842">
      <c r="A19842" s="17">
        <v>5.054001E8</v>
      </c>
      <c r="B19842" s="17">
        <v>8100200.0</v>
      </c>
    </row>
    <row r="19843">
      <c r="A19843" s="17">
        <v>5.054001E8</v>
      </c>
      <c r="B19843" s="17">
        <v>8100201.0</v>
      </c>
    </row>
    <row r="19844">
      <c r="A19844" s="17">
        <v>5.054001E8</v>
      </c>
      <c r="B19844" s="17">
        <v>8100202.0</v>
      </c>
    </row>
    <row r="19845">
      <c r="A19845" s="17">
        <v>5.054001E8</v>
      </c>
      <c r="B19845" s="17">
        <v>8100300.0</v>
      </c>
    </row>
    <row r="19846">
      <c r="A19846" s="17">
        <v>5.054001E8</v>
      </c>
      <c r="B19846" s="17">
        <v>8100301.0</v>
      </c>
    </row>
    <row r="19847">
      <c r="A19847" s="17">
        <v>5.054001E8</v>
      </c>
      <c r="B19847" s="17">
        <v>8100302.0</v>
      </c>
    </row>
    <row r="19848">
      <c r="A19848" s="17">
        <v>5.054001E8</v>
      </c>
      <c r="B19848" s="17">
        <v>8100400.0</v>
      </c>
    </row>
    <row r="19849">
      <c r="A19849" s="17">
        <v>5.054001E8</v>
      </c>
      <c r="B19849" s="17">
        <v>8100401.0</v>
      </c>
    </row>
    <row r="19850">
      <c r="A19850" s="17">
        <v>5.054001E8</v>
      </c>
      <c r="B19850" s="17">
        <v>8100402.0</v>
      </c>
    </row>
    <row r="19851">
      <c r="A19851" s="17">
        <v>5.054001E8</v>
      </c>
      <c r="B19851" s="17">
        <v>8130000.0</v>
      </c>
    </row>
    <row r="19852">
      <c r="A19852" s="17">
        <v>5.054001E8</v>
      </c>
      <c r="B19852" s="17">
        <v>8130001.0</v>
      </c>
    </row>
    <row r="19853">
      <c r="A19853" s="17">
        <v>5.054001E8</v>
      </c>
      <c r="B19853" s="17">
        <v>8130002.0</v>
      </c>
    </row>
    <row r="19854">
      <c r="A19854" s="17">
        <v>5.054001E8</v>
      </c>
      <c r="B19854" s="17">
        <v>8140000.0</v>
      </c>
    </row>
    <row r="19855">
      <c r="A19855" s="17">
        <v>5.054001E8</v>
      </c>
      <c r="B19855" s="17">
        <v>8140001.0</v>
      </c>
    </row>
    <row r="19856">
      <c r="A19856" s="17">
        <v>5.054001E8</v>
      </c>
      <c r="B19856" s="17">
        <v>8140002.0</v>
      </c>
    </row>
    <row r="19857">
      <c r="A19857" s="17">
        <v>5.054001E8</v>
      </c>
      <c r="B19857" s="17">
        <v>8200100.0</v>
      </c>
    </row>
    <row r="19858">
      <c r="A19858" s="17">
        <v>5.054001E8</v>
      </c>
      <c r="B19858" s="17">
        <v>8200101.0</v>
      </c>
    </row>
    <row r="19859">
      <c r="A19859" s="17">
        <v>5.054001E8</v>
      </c>
      <c r="B19859" s="17">
        <v>8200102.0</v>
      </c>
    </row>
    <row r="19860">
      <c r="A19860" s="17">
        <v>5.054001E8</v>
      </c>
      <c r="B19860" s="17">
        <v>8200200.0</v>
      </c>
    </row>
    <row r="19861">
      <c r="A19861" s="17">
        <v>5.054001E8</v>
      </c>
      <c r="B19861" s="17">
        <v>8200201.0</v>
      </c>
    </row>
    <row r="19862">
      <c r="A19862" s="17">
        <v>5.054001E8</v>
      </c>
      <c r="B19862" s="17">
        <v>8200202.0</v>
      </c>
    </row>
    <row r="19863">
      <c r="A19863" s="17">
        <v>5.054001E8</v>
      </c>
      <c r="B19863" s="17">
        <v>8200300.0</v>
      </c>
    </row>
    <row r="19864">
      <c r="A19864" s="17">
        <v>5.054001E8</v>
      </c>
      <c r="B19864" s="17">
        <v>8200301.0</v>
      </c>
    </row>
    <row r="19865">
      <c r="A19865" s="17">
        <v>5.054001E8</v>
      </c>
      <c r="B19865" s="17">
        <v>8200302.0</v>
      </c>
    </row>
    <row r="19866">
      <c r="A19866" s="17">
        <v>5.054001E8</v>
      </c>
      <c r="B19866" s="17">
        <v>8200400.0</v>
      </c>
    </row>
    <row r="19867">
      <c r="A19867" s="17">
        <v>5.054001E8</v>
      </c>
      <c r="B19867" s="17">
        <v>8200401.0</v>
      </c>
    </row>
    <row r="19868">
      <c r="A19868" s="17">
        <v>5.054001E8</v>
      </c>
      <c r="B19868" s="17">
        <v>8200402.0</v>
      </c>
    </row>
    <row r="19869">
      <c r="A19869" s="17">
        <v>5.054001E8</v>
      </c>
      <c r="B19869" s="17">
        <v>8210000.0</v>
      </c>
    </row>
    <row r="19870">
      <c r="A19870" s="17">
        <v>5.054001E8</v>
      </c>
      <c r="B19870" s="17">
        <v>8210001.0</v>
      </c>
    </row>
    <row r="19871">
      <c r="A19871" s="17">
        <v>5.054001E8</v>
      </c>
      <c r="B19871" s="17">
        <v>8210002.0</v>
      </c>
    </row>
    <row r="19872">
      <c r="A19872" s="17">
        <v>5.054001E8</v>
      </c>
      <c r="B19872" s="17">
        <v>8210100.0</v>
      </c>
    </row>
    <row r="19873">
      <c r="A19873" s="17">
        <v>5.054001E8</v>
      </c>
      <c r="B19873" s="17">
        <v>8210101.0</v>
      </c>
    </row>
    <row r="19874">
      <c r="A19874" s="17">
        <v>5.054001E8</v>
      </c>
      <c r="B19874" s="17">
        <v>8210102.0</v>
      </c>
    </row>
    <row r="19875">
      <c r="A19875" s="17">
        <v>5.054001E8</v>
      </c>
      <c r="B19875" s="17">
        <v>8210200.0</v>
      </c>
    </row>
    <row r="19876">
      <c r="A19876" s="17">
        <v>5.054001E8</v>
      </c>
      <c r="B19876" s="17">
        <v>8210201.0</v>
      </c>
    </row>
    <row r="19877">
      <c r="A19877" s="17">
        <v>5.054001E8</v>
      </c>
      <c r="B19877" s="17">
        <v>8210202.0</v>
      </c>
    </row>
    <row r="19878">
      <c r="A19878" s="17">
        <v>5.054001E8</v>
      </c>
      <c r="B19878" s="17">
        <v>8210300.0</v>
      </c>
    </row>
    <row r="19879">
      <c r="A19879" s="17">
        <v>5.054001E8</v>
      </c>
      <c r="B19879" s="17">
        <v>8210301.0</v>
      </c>
    </row>
    <row r="19880">
      <c r="A19880" s="17">
        <v>5.054001E8</v>
      </c>
      <c r="B19880" s="17">
        <v>8210302.0</v>
      </c>
    </row>
    <row r="19881">
      <c r="A19881" s="17">
        <v>5.054001E8</v>
      </c>
      <c r="B19881" s="17">
        <v>8210400.0</v>
      </c>
    </row>
    <row r="19882">
      <c r="A19882" s="17">
        <v>5.054001E8</v>
      </c>
      <c r="B19882" s="17">
        <v>8210401.0</v>
      </c>
    </row>
    <row r="19883">
      <c r="A19883" s="17">
        <v>5.054001E8</v>
      </c>
      <c r="B19883" s="17">
        <v>8210402.0</v>
      </c>
    </row>
    <row r="19884">
      <c r="A19884" s="17">
        <v>5.054001E8</v>
      </c>
      <c r="B19884" s="17">
        <v>8210500.0</v>
      </c>
    </row>
    <row r="19885">
      <c r="A19885" s="17">
        <v>5.054001E8</v>
      </c>
      <c r="B19885" s="17">
        <v>8210501.0</v>
      </c>
    </row>
    <row r="19886">
      <c r="A19886" s="17">
        <v>5.054001E8</v>
      </c>
      <c r="B19886" s="17">
        <v>8210502.0</v>
      </c>
    </row>
    <row r="19887">
      <c r="A19887" s="17">
        <v>5.054001E8</v>
      </c>
      <c r="B19887" s="17">
        <v>8210600.0</v>
      </c>
    </row>
    <row r="19888">
      <c r="A19888" s="17">
        <v>5.054001E8</v>
      </c>
      <c r="B19888" s="17">
        <v>8210601.0</v>
      </c>
    </row>
    <row r="19889">
      <c r="A19889" s="17">
        <v>5.054001E8</v>
      </c>
      <c r="B19889" s="17">
        <v>8210602.0</v>
      </c>
    </row>
    <row r="19890">
      <c r="A19890" s="17">
        <v>5.054001E8</v>
      </c>
      <c r="B19890" s="17">
        <v>8220000.0</v>
      </c>
    </row>
    <row r="19891">
      <c r="A19891" s="17">
        <v>5.054001E8</v>
      </c>
      <c r="B19891" s="17">
        <v>8220001.0</v>
      </c>
    </row>
    <row r="19892">
      <c r="A19892" s="17">
        <v>5.054001E8</v>
      </c>
      <c r="B19892" s="17">
        <v>8220002.0</v>
      </c>
    </row>
    <row r="19893">
      <c r="A19893" s="17">
        <v>5.054001E8</v>
      </c>
      <c r="B19893" s="17">
        <v>8300000.0</v>
      </c>
    </row>
    <row r="19894">
      <c r="A19894" s="17">
        <v>5.054001E8</v>
      </c>
      <c r="B19894" s="17">
        <v>8300001.0</v>
      </c>
    </row>
    <row r="19895">
      <c r="A19895" s="17">
        <v>5.054001E8</v>
      </c>
      <c r="B19895" s="17">
        <v>8300002.0</v>
      </c>
    </row>
    <row r="19896">
      <c r="A19896" s="17">
        <v>5.054001E8</v>
      </c>
      <c r="B19896" s="17">
        <v>8310000.0</v>
      </c>
    </row>
    <row r="19897">
      <c r="A19897" s="17">
        <v>5.054001E8</v>
      </c>
      <c r="B19897" s="17">
        <v>8310001.0</v>
      </c>
    </row>
    <row r="19898">
      <c r="A19898" s="17">
        <v>5.054001E8</v>
      </c>
      <c r="B19898" s="17">
        <v>8310002.0</v>
      </c>
    </row>
    <row r="19899">
      <c r="A19899" s="17">
        <v>5.054001E8</v>
      </c>
      <c r="B19899" s="17">
        <v>8320000.0</v>
      </c>
    </row>
    <row r="19900">
      <c r="A19900" s="17">
        <v>5.054001E8</v>
      </c>
      <c r="B19900" s="17">
        <v>8320001.0</v>
      </c>
    </row>
    <row r="19901">
      <c r="A19901" s="17">
        <v>5.054001E8</v>
      </c>
      <c r="B19901" s="17">
        <v>8320002.0</v>
      </c>
    </row>
    <row r="19902">
      <c r="A19902" s="17">
        <v>5.054001E8</v>
      </c>
      <c r="B19902" s="17">
        <v>8320100.0</v>
      </c>
    </row>
    <row r="19903">
      <c r="A19903" s="17">
        <v>5.054001E8</v>
      </c>
      <c r="B19903" s="17">
        <v>8320101.0</v>
      </c>
    </row>
    <row r="19904">
      <c r="A19904" s="17">
        <v>5.054001E8</v>
      </c>
      <c r="B19904" s="17">
        <v>8320102.0</v>
      </c>
    </row>
    <row r="19905">
      <c r="A19905" s="17">
        <v>5.054001E8</v>
      </c>
      <c r="B19905" s="17">
        <v>8320300.0</v>
      </c>
    </row>
    <row r="19906">
      <c r="A19906" s="17">
        <v>5.054001E8</v>
      </c>
      <c r="B19906" s="17">
        <v>8320301.0</v>
      </c>
    </row>
    <row r="19907">
      <c r="A19907" s="17">
        <v>5.054001E8</v>
      </c>
      <c r="B19907" s="17">
        <v>8320302.0</v>
      </c>
    </row>
    <row r="19908">
      <c r="A19908" s="17">
        <v>5.054001E8</v>
      </c>
      <c r="B19908" s="17">
        <v>8320400.0</v>
      </c>
    </row>
    <row r="19909">
      <c r="A19909" s="17">
        <v>5.054001E8</v>
      </c>
      <c r="B19909" s="17">
        <v>8320410.0</v>
      </c>
    </row>
    <row r="19910">
      <c r="A19910" s="17">
        <v>5.054001E8</v>
      </c>
      <c r="B19910" s="17">
        <v>8320420.0</v>
      </c>
    </row>
    <row r="19911">
      <c r="A19911" s="17">
        <v>5.054001E8</v>
      </c>
      <c r="B19911" s="17">
        <v>8330000.0</v>
      </c>
    </row>
    <row r="19912">
      <c r="A19912" s="17">
        <v>5.054001E8</v>
      </c>
      <c r="B19912" s="17">
        <v>8330001.0</v>
      </c>
    </row>
    <row r="19913">
      <c r="A19913" s="17">
        <v>5.054001E8</v>
      </c>
      <c r="B19913" s="17">
        <v>8330002.0</v>
      </c>
    </row>
    <row r="19914">
      <c r="A19914" s="17">
        <v>5.054001E8</v>
      </c>
      <c r="B19914" s="17">
        <v>8330100.0</v>
      </c>
    </row>
    <row r="19915">
      <c r="A19915" s="17">
        <v>5.054001E8</v>
      </c>
      <c r="B19915" s="17">
        <v>8330101.0</v>
      </c>
    </row>
    <row r="19916">
      <c r="A19916" s="17">
        <v>5.054001E8</v>
      </c>
      <c r="B19916" s="17">
        <v>8330102.0</v>
      </c>
    </row>
    <row r="19917">
      <c r="A19917" s="17">
        <v>5.054001E8</v>
      </c>
      <c r="B19917" s="17">
        <v>8330200.0</v>
      </c>
    </row>
    <row r="19918">
      <c r="A19918" s="17">
        <v>5.054001E8</v>
      </c>
      <c r="B19918" s="17">
        <v>8330201.0</v>
      </c>
    </row>
    <row r="19919">
      <c r="A19919" s="17">
        <v>5.054001E8</v>
      </c>
      <c r="B19919" s="17">
        <v>8330202.0</v>
      </c>
    </row>
    <row r="19920">
      <c r="A19920" s="17">
        <v>5.054001E8</v>
      </c>
      <c r="B19920" s="17">
        <v>8330300.0</v>
      </c>
    </row>
    <row r="19921">
      <c r="A19921" s="17">
        <v>5.054001E8</v>
      </c>
      <c r="B19921" s="17">
        <v>8330301.0</v>
      </c>
    </row>
    <row r="19922">
      <c r="A19922" s="17">
        <v>5.054001E8</v>
      </c>
      <c r="B19922" s="17">
        <v>8330302.0</v>
      </c>
    </row>
    <row r="19923">
      <c r="A19923" s="17">
        <v>5.054001E8</v>
      </c>
      <c r="B19923" s="17">
        <v>8330400.0</v>
      </c>
    </row>
    <row r="19924">
      <c r="A19924" s="17">
        <v>5.054001E8</v>
      </c>
      <c r="B19924" s="17">
        <v>8330401.0</v>
      </c>
    </row>
    <row r="19925">
      <c r="A19925" s="17">
        <v>5.054001E8</v>
      </c>
      <c r="B19925" s="17">
        <v>8330600.0</v>
      </c>
    </row>
    <row r="19926">
      <c r="A19926" s="17">
        <v>5.054001E8</v>
      </c>
      <c r="B19926" s="17">
        <v>8330601.0</v>
      </c>
    </row>
    <row r="19927">
      <c r="A19927" s="17">
        <v>5.054001E8</v>
      </c>
      <c r="B19927" s="17">
        <v>8330602.0</v>
      </c>
    </row>
    <row r="19928">
      <c r="A19928" s="17">
        <v>5.054001E8</v>
      </c>
      <c r="B19928" s="17">
        <v>8330900.0</v>
      </c>
    </row>
    <row r="19929">
      <c r="A19929" s="17">
        <v>5.054001E8</v>
      </c>
      <c r="B19929" s="17">
        <v>8330910.0</v>
      </c>
    </row>
    <row r="19930">
      <c r="A19930" s="17">
        <v>5.054001E8</v>
      </c>
      <c r="B19930" s="17">
        <v>8330920.0</v>
      </c>
    </row>
    <row r="19931">
      <c r="A19931" s="17">
        <v>5.054001E8</v>
      </c>
      <c r="B19931" s="17">
        <v>8340000.0</v>
      </c>
    </row>
    <row r="19932">
      <c r="A19932" s="17">
        <v>5.054001E8</v>
      </c>
      <c r="B19932" s="17">
        <v>8340001.0</v>
      </c>
    </row>
    <row r="19933">
      <c r="A19933" s="17">
        <v>5.054001E8</v>
      </c>
      <c r="B19933" s="17">
        <v>8340002.0</v>
      </c>
    </row>
    <row r="19934">
      <c r="A19934" s="17">
        <v>5.054001E8</v>
      </c>
      <c r="B19934" s="17">
        <v>8340100.0</v>
      </c>
    </row>
    <row r="19935">
      <c r="A19935" s="17">
        <v>5.054001E8</v>
      </c>
      <c r="B19935" s="17">
        <v>8340101.0</v>
      </c>
    </row>
    <row r="19936">
      <c r="A19936" s="17">
        <v>5.054001E8</v>
      </c>
      <c r="B19936" s="17">
        <v>8340102.0</v>
      </c>
    </row>
    <row r="19937">
      <c r="A19937" s="17">
        <v>5.054001E8</v>
      </c>
      <c r="B19937" s="17">
        <v>8350000.0</v>
      </c>
    </row>
    <row r="19938">
      <c r="A19938" s="17">
        <v>5.054001E8</v>
      </c>
      <c r="B19938" s="17">
        <v>8350001.0</v>
      </c>
    </row>
    <row r="19939">
      <c r="A19939" s="17">
        <v>5.054001E8</v>
      </c>
      <c r="B19939" s="17">
        <v>8350002.0</v>
      </c>
    </row>
    <row r="19940">
      <c r="A19940" s="17">
        <v>5.054001E8</v>
      </c>
      <c r="B19940" s="17">
        <v>8350200.0</v>
      </c>
    </row>
    <row r="19941">
      <c r="A19941" s="17">
        <v>5.054001E8</v>
      </c>
      <c r="B19941" s="17">
        <v>8350201.0</v>
      </c>
    </row>
    <row r="19942">
      <c r="A19942" s="17">
        <v>5.054001E8</v>
      </c>
      <c r="B19942" s="17">
        <v>8350202.0</v>
      </c>
    </row>
    <row r="19943">
      <c r="A19943" s="17">
        <v>5.054001E8</v>
      </c>
      <c r="B19943" s="17">
        <v>8420000.0</v>
      </c>
    </row>
    <row r="19944">
      <c r="A19944" s="17">
        <v>5.054001E8</v>
      </c>
      <c r="B19944" s="17">
        <v>8420001.0</v>
      </c>
    </row>
    <row r="19945">
      <c r="A19945" s="17">
        <v>5.054001E8</v>
      </c>
      <c r="B19945" s="17">
        <v>8420002.0</v>
      </c>
    </row>
    <row r="19946">
      <c r="A19946" s="17">
        <v>5.054001E8</v>
      </c>
      <c r="B19946" s="17">
        <v>8450000.0</v>
      </c>
    </row>
    <row r="19947">
      <c r="A19947" s="17">
        <v>5.054001E8</v>
      </c>
      <c r="B19947" s="17">
        <v>8460100.0</v>
      </c>
    </row>
    <row r="19948">
      <c r="A19948" s="17">
        <v>5.054001E8</v>
      </c>
      <c r="B19948" s="17">
        <v>8460300.0</v>
      </c>
    </row>
    <row r="19949">
      <c r="A19949" s="17">
        <v>5.054001E8</v>
      </c>
      <c r="B19949" s="17">
        <v>8460500.0</v>
      </c>
    </row>
    <row r="19950">
      <c r="A19950" s="17">
        <v>5.054001E8</v>
      </c>
      <c r="B19950" s="17">
        <v>8510000.0</v>
      </c>
    </row>
    <row r="19951">
      <c r="A19951" s="17">
        <v>5.054001E8</v>
      </c>
      <c r="B19951" s="17">
        <v>8510001.0</v>
      </c>
    </row>
    <row r="19952">
      <c r="A19952" s="17">
        <v>5.054001E8</v>
      </c>
      <c r="B19952" s="17">
        <v>8510002.0</v>
      </c>
    </row>
    <row r="19953">
      <c r="A19953" s="17">
        <v>5.054001E8</v>
      </c>
      <c r="B19953" s="17">
        <v>8520000.0</v>
      </c>
    </row>
    <row r="19954">
      <c r="A19954" s="17">
        <v>5.054001E8</v>
      </c>
      <c r="B19954" s="17">
        <v>8520001.0</v>
      </c>
    </row>
    <row r="19955">
      <c r="A19955" s="17">
        <v>5.054001E8</v>
      </c>
      <c r="B19955" s="17">
        <v>8520002.0</v>
      </c>
    </row>
    <row r="19956">
      <c r="A19956" s="17">
        <v>5.054001E8</v>
      </c>
      <c r="B19956" s="17">
        <v>8530000.0</v>
      </c>
    </row>
    <row r="19957">
      <c r="A19957" s="17">
        <v>5.054001E8</v>
      </c>
      <c r="B19957" s="17">
        <v>8530100.0</v>
      </c>
    </row>
    <row r="19958">
      <c r="A19958" s="17">
        <v>5.054001E8</v>
      </c>
      <c r="B19958" s="17">
        <v>8540000.0</v>
      </c>
    </row>
    <row r="19959">
      <c r="A19959" s="17">
        <v>5.054001E8</v>
      </c>
      <c r="B19959" s="17">
        <v>8600100.0</v>
      </c>
    </row>
    <row r="19960">
      <c r="A19960" s="17">
        <v>5.054001E8</v>
      </c>
      <c r="B19960" s="17">
        <v>8600101.0</v>
      </c>
    </row>
    <row r="19961">
      <c r="A19961" s="17">
        <v>5.054001E8</v>
      </c>
      <c r="B19961" s="17">
        <v>8600102.0</v>
      </c>
    </row>
    <row r="19962">
      <c r="A19962" s="17">
        <v>5.054001E8</v>
      </c>
      <c r="B19962" s="17">
        <v>8600200.0</v>
      </c>
    </row>
    <row r="19963">
      <c r="A19963" s="17">
        <v>5.054001E8</v>
      </c>
      <c r="B19963" s="17">
        <v>8600201.0</v>
      </c>
    </row>
    <row r="19964">
      <c r="A19964" s="17">
        <v>5.054001E8</v>
      </c>
      <c r="B19964" s="17">
        <v>8600202.0</v>
      </c>
    </row>
    <row r="19965">
      <c r="A19965" s="17">
        <v>5.054001E8</v>
      </c>
      <c r="B19965" s="17">
        <v>8610700.0</v>
      </c>
    </row>
    <row r="19966">
      <c r="A19966" s="17">
        <v>5.054001E8</v>
      </c>
      <c r="B19966" s="17">
        <v>8610710.0</v>
      </c>
    </row>
    <row r="19967">
      <c r="A19967" s="17">
        <v>5.054001E8</v>
      </c>
      <c r="B19967" s="17">
        <v>8610720.0</v>
      </c>
    </row>
    <row r="19968">
      <c r="A19968" s="17">
        <v>5.054001E8</v>
      </c>
      <c r="B19968" s="17">
        <v>8620000.0</v>
      </c>
    </row>
    <row r="19969">
      <c r="A19969" s="17">
        <v>5.054001E8</v>
      </c>
      <c r="B19969" s="17">
        <v>8620010.0</v>
      </c>
    </row>
    <row r="19970">
      <c r="A19970" s="17">
        <v>5.054001E8</v>
      </c>
      <c r="B19970" s="17">
        <v>8620020.0</v>
      </c>
    </row>
    <row r="19971">
      <c r="A19971" s="17">
        <v>5.054001E8</v>
      </c>
      <c r="B19971" s="17">
        <v>8620100.0</v>
      </c>
    </row>
    <row r="19972">
      <c r="A19972" s="17">
        <v>5.054001E8</v>
      </c>
      <c r="B19972" s="17">
        <v>8620110.0</v>
      </c>
    </row>
    <row r="19973">
      <c r="A19973" s="17">
        <v>5.054001E8</v>
      </c>
      <c r="B19973" s="17">
        <v>8620120.0</v>
      </c>
    </row>
    <row r="19974">
      <c r="A19974" s="17">
        <v>5.054001E8</v>
      </c>
      <c r="B19974" s="17">
        <v>8630000.0</v>
      </c>
    </row>
    <row r="19975">
      <c r="A19975" s="17">
        <v>5.054001E8</v>
      </c>
      <c r="B19975" s="17">
        <v>8630000.0</v>
      </c>
    </row>
    <row r="19976">
      <c r="A19976" s="17">
        <v>5.054001E8</v>
      </c>
      <c r="B19976" s="17">
        <v>8630000.0</v>
      </c>
    </row>
    <row r="19977">
      <c r="A19977" s="17">
        <v>5.054001E8</v>
      </c>
      <c r="B19977" s="17">
        <v>8630100.0</v>
      </c>
    </row>
    <row r="19978">
      <c r="A19978" s="17">
        <v>5.054001E8</v>
      </c>
      <c r="B19978" s="17">
        <v>8630100.0</v>
      </c>
    </row>
    <row r="19979">
      <c r="A19979" s="17">
        <v>5.054001E8</v>
      </c>
      <c r="B19979" s="17">
        <v>8630100.0</v>
      </c>
    </row>
    <row r="19980">
      <c r="A19980" s="17">
        <v>5.054001E8</v>
      </c>
      <c r="B19980" s="17">
        <v>8652000.0</v>
      </c>
    </row>
    <row r="19981">
      <c r="A19981" s="17">
        <v>5.054001E8</v>
      </c>
      <c r="B19981" s="17">
        <v>8652010.0</v>
      </c>
    </row>
    <row r="19982">
      <c r="A19982" s="17">
        <v>5.054001E8</v>
      </c>
      <c r="B19982" s="17">
        <v>8652020.0</v>
      </c>
    </row>
    <row r="19983">
      <c r="A19983" s="17">
        <v>5.054001E8</v>
      </c>
      <c r="B19983" s="17">
        <v>8652100.0</v>
      </c>
    </row>
    <row r="19984">
      <c r="A19984" s="17">
        <v>5.054001E8</v>
      </c>
      <c r="B19984" s="17">
        <v>8652110.0</v>
      </c>
    </row>
    <row r="19985">
      <c r="A19985" s="17">
        <v>5.054001E8</v>
      </c>
      <c r="B19985" s="17">
        <v>8652120.0</v>
      </c>
    </row>
    <row r="19986">
      <c r="A19986" s="17">
        <v>5.054001E8</v>
      </c>
      <c r="B19986" s="17">
        <v>8660000.0</v>
      </c>
    </row>
    <row r="19987">
      <c r="A19987" s="17">
        <v>5.054001E8</v>
      </c>
      <c r="B19987" s="17">
        <v>8660001.0</v>
      </c>
    </row>
    <row r="19988">
      <c r="A19988" s="17">
        <v>5.054001E8</v>
      </c>
      <c r="B19988" s="17">
        <v>8660002.0</v>
      </c>
    </row>
    <row r="19989">
      <c r="A19989" s="17">
        <v>5.054001E8</v>
      </c>
      <c r="B19989" s="17">
        <v>8660100.0</v>
      </c>
    </row>
    <row r="19990">
      <c r="A19990" s="17">
        <v>5.054001E8</v>
      </c>
      <c r="B19990" s="17">
        <v>8660101.0</v>
      </c>
    </row>
    <row r="19991">
      <c r="A19991" s="17">
        <v>5.054001E8</v>
      </c>
      <c r="B19991" s="17">
        <v>8660102.0</v>
      </c>
    </row>
    <row r="19992">
      <c r="A19992" s="17">
        <v>5.054001E8</v>
      </c>
      <c r="B19992" s="17">
        <v>8670000.0</v>
      </c>
    </row>
    <row r="19993">
      <c r="A19993" s="17">
        <v>5.054001E8</v>
      </c>
      <c r="B19993" s="17">
        <v>8670001.0</v>
      </c>
    </row>
    <row r="19994">
      <c r="A19994" s="17">
        <v>5.054001E8</v>
      </c>
      <c r="B19994" s="17">
        <v>8670002.0</v>
      </c>
    </row>
    <row r="19995">
      <c r="A19995" s="17">
        <v>5.054001E8</v>
      </c>
      <c r="B19995" s="17">
        <v>8670100.0</v>
      </c>
    </row>
    <row r="19996">
      <c r="A19996" s="17">
        <v>5.054001E8</v>
      </c>
      <c r="B19996" s="17">
        <v>8670101.0</v>
      </c>
    </row>
    <row r="19997">
      <c r="A19997" s="17">
        <v>5.054001E8</v>
      </c>
      <c r="B19997" s="17">
        <v>8670102.0</v>
      </c>
    </row>
    <row r="19998">
      <c r="A19998" s="17">
        <v>5.054001E8</v>
      </c>
      <c r="B19998" s="17">
        <v>8690000.0</v>
      </c>
    </row>
    <row r="19999">
      <c r="A19999" s="17">
        <v>5.054001E8</v>
      </c>
      <c r="B19999" s="17">
        <v>8690100.0</v>
      </c>
    </row>
    <row r="20000">
      <c r="A20000" s="17">
        <v>5.054001E8</v>
      </c>
      <c r="B20000" s="17">
        <v>8690200.0</v>
      </c>
    </row>
    <row r="20001">
      <c r="A20001" s="17">
        <v>5.054001E8</v>
      </c>
      <c r="B20001" s="17">
        <v>8690300.0</v>
      </c>
    </row>
    <row r="20002">
      <c r="A20002" s="17">
        <v>5.054001E8</v>
      </c>
      <c r="B20002" s="17">
        <v>8690400.0</v>
      </c>
    </row>
    <row r="20003">
      <c r="A20003" s="17">
        <v>5.054001E8</v>
      </c>
      <c r="B20003" s="17">
        <v>8850000.0</v>
      </c>
    </row>
    <row r="20004">
      <c r="A20004" s="17">
        <v>5.054001E8</v>
      </c>
      <c r="B20004" s="17">
        <v>8850100.0</v>
      </c>
    </row>
    <row r="20005">
      <c r="A20005" s="17">
        <v>5.054001E8</v>
      </c>
      <c r="B20005" s="17">
        <v>8850200.0</v>
      </c>
    </row>
    <row r="20006">
      <c r="A20006" s="17">
        <v>5.054001E8</v>
      </c>
      <c r="B20006" s="17">
        <v>8850300.0</v>
      </c>
    </row>
    <row r="20007">
      <c r="A20007" s="17">
        <v>5.054001E8</v>
      </c>
      <c r="B20007" s="17">
        <v>8850400.0</v>
      </c>
    </row>
    <row r="20008">
      <c r="A20008" s="17">
        <v>5.054001E8</v>
      </c>
      <c r="B20008" s="17">
        <v>8850500.0</v>
      </c>
    </row>
    <row r="20009">
      <c r="A20009" s="17">
        <v>5.054001E8</v>
      </c>
      <c r="B20009" s="17">
        <v>8850600.0</v>
      </c>
    </row>
    <row r="20010">
      <c r="A20010" s="17">
        <v>5.054001E8</v>
      </c>
      <c r="B20010" s="17">
        <v>8850700.0</v>
      </c>
    </row>
    <row r="20011">
      <c r="A20011" s="17">
        <v>5.054001E8</v>
      </c>
      <c r="B20011" s="17">
        <v>8850800.0</v>
      </c>
    </row>
    <row r="20012">
      <c r="A20012" s="17">
        <v>5.054001E8</v>
      </c>
      <c r="B20012" s="17">
        <v>8850900.0</v>
      </c>
    </row>
    <row r="20013">
      <c r="A20013" s="17">
        <v>5.054001E8</v>
      </c>
      <c r="B20013" s="17">
        <v>8851000.0</v>
      </c>
    </row>
    <row r="20014">
      <c r="A20014" s="17">
        <v>5.054001E8</v>
      </c>
      <c r="B20014" s="17">
        <v>8851100.0</v>
      </c>
    </row>
    <row r="20015">
      <c r="A20015" s="17">
        <v>5.054001E8</v>
      </c>
      <c r="B20015" s="17">
        <v>8851200.0</v>
      </c>
    </row>
    <row r="20016">
      <c r="A20016" s="17">
        <v>5.054001E8</v>
      </c>
      <c r="B20016" s="17">
        <v>8851300.0</v>
      </c>
    </row>
    <row r="20017">
      <c r="A20017" s="17">
        <v>5.054001E8</v>
      </c>
      <c r="B20017" s="17">
        <v>8851800.0</v>
      </c>
    </row>
    <row r="20018">
      <c r="A20018" s="17">
        <v>5.054001E8</v>
      </c>
      <c r="B20018" s="17">
        <v>8851900.0</v>
      </c>
    </row>
    <row r="20019">
      <c r="A20019" s="17">
        <v>5.054001E8</v>
      </c>
      <c r="B20019" s="17">
        <v>8852000.0</v>
      </c>
    </row>
    <row r="20020">
      <c r="A20020" s="17">
        <v>5.054001E8</v>
      </c>
      <c r="B20020" s="17">
        <v>8320500.0</v>
      </c>
    </row>
    <row r="20021">
      <c r="A20021" s="17">
        <v>5.054001E8</v>
      </c>
      <c r="B20021" s="17">
        <v>8320510.0</v>
      </c>
    </row>
    <row r="20022">
      <c r="A20022" s="17">
        <v>5.054001E8</v>
      </c>
      <c r="B20022" s="17">
        <v>8320520.0</v>
      </c>
    </row>
    <row r="20023">
      <c r="A20023" s="17">
        <v>5.054001E8</v>
      </c>
      <c r="B20023" s="17">
        <v>8320600.0</v>
      </c>
    </row>
    <row r="20024">
      <c r="A20024" s="17">
        <v>5.054001E8</v>
      </c>
      <c r="B20024" s="17">
        <v>8320610.0</v>
      </c>
    </row>
    <row r="20025">
      <c r="A20025" s="17">
        <v>5.054001E8</v>
      </c>
      <c r="B20025" s="17">
        <v>8320620.0</v>
      </c>
    </row>
    <row r="20026">
      <c r="A20026" s="17">
        <v>5.054001E8</v>
      </c>
      <c r="B20026" s="17">
        <v>8320700.0</v>
      </c>
    </row>
    <row r="20027">
      <c r="A20027" s="17">
        <v>5.054001E8</v>
      </c>
      <c r="B20027" s="17">
        <v>8320710.0</v>
      </c>
    </row>
    <row r="20028">
      <c r="A20028" s="17">
        <v>5.054001E8</v>
      </c>
      <c r="B20028" s="17">
        <v>8320720.0</v>
      </c>
    </row>
    <row r="20029">
      <c r="A20029" s="17">
        <v>5.054002E8</v>
      </c>
      <c r="B20029" s="17">
        <v>0.0</v>
      </c>
    </row>
    <row r="20030">
      <c r="A20030" s="17">
        <v>5.054002E8</v>
      </c>
      <c r="B20030" s="17">
        <v>8100100.0</v>
      </c>
    </row>
    <row r="20031">
      <c r="A20031" s="17">
        <v>5.054002E8</v>
      </c>
      <c r="B20031" s="17">
        <v>8100101.0</v>
      </c>
    </row>
    <row r="20032">
      <c r="A20032" s="17">
        <v>5.054002E8</v>
      </c>
      <c r="B20032" s="17">
        <v>8100102.0</v>
      </c>
    </row>
    <row r="20033">
      <c r="A20033" s="17">
        <v>5.054002E8</v>
      </c>
      <c r="B20033" s="17">
        <v>8100200.0</v>
      </c>
    </row>
    <row r="20034">
      <c r="A20034" s="17">
        <v>5.054002E8</v>
      </c>
      <c r="B20034" s="17">
        <v>8100201.0</v>
      </c>
    </row>
    <row r="20035">
      <c r="A20035" s="17">
        <v>5.054002E8</v>
      </c>
      <c r="B20035" s="17">
        <v>8100202.0</v>
      </c>
    </row>
    <row r="20036">
      <c r="A20036" s="17">
        <v>5.054002E8</v>
      </c>
      <c r="B20036" s="17">
        <v>8100300.0</v>
      </c>
    </row>
    <row r="20037">
      <c r="A20037" s="17">
        <v>5.054002E8</v>
      </c>
      <c r="B20037" s="17">
        <v>8100301.0</v>
      </c>
    </row>
    <row r="20038">
      <c r="A20038" s="17">
        <v>5.054002E8</v>
      </c>
      <c r="B20038" s="17">
        <v>8100302.0</v>
      </c>
    </row>
    <row r="20039">
      <c r="A20039" s="17">
        <v>5.054002E8</v>
      </c>
      <c r="B20039" s="17">
        <v>8100400.0</v>
      </c>
    </row>
    <row r="20040">
      <c r="A20040" s="17">
        <v>5.054002E8</v>
      </c>
      <c r="B20040" s="17">
        <v>8100401.0</v>
      </c>
    </row>
    <row r="20041">
      <c r="A20041" s="17">
        <v>5.054002E8</v>
      </c>
      <c r="B20041" s="17">
        <v>8100402.0</v>
      </c>
    </row>
    <row r="20042">
      <c r="A20042" s="17">
        <v>5.054002E8</v>
      </c>
      <c r="B20042" s="17">
        <v>8130000.0</v>
      </c>
    </row>
    <row r="20043">
      <c r="A20043" s="17">
        <v>5.054002E8</v>
      </c>
      <c r="B20043" s="17">
        <v>8130001.0</v>
      </c>
    </row>
    <row r="20044">
      <c r="A20044" s="17">
        <v>5.054002E8</v>
      </c>
      <c r="B20044" s="17">
        <v>8130002.0</v>
      </c>
    </row>
    <row r="20045">
      <c r="A20045" s="17">
        <v>5.054002E8</v>
      </c>
      <c r="B20045" s="17">
        <v>8140000.0</v>
      </c>
    </row>
    <row r="20046">
      <c r="A20046" s="17">
        <v>5.054002E8</v>
      </c>
      <c r="B20046" s="17">
        <v>8140001.0</v>
      </c>
    </row>
    <row r="20047">
      <c r="A20047" s="17">
        <v>5.054002E8</v>
      </c>
      <c r="B20047" s="17">
        <v>8140002.0</v>
      </c>
    </row>
    <row r="20048">
      <c r="A20048" s="17">
        <v>5.054002E8</v>
      </c>
      <c r="B20048" s="17">
        <v>8200100.0</v>
      </c>
    </row>
    <row r="20049">
      <c r="A20049" s="17">
        <v>5.054002E8</v>
      </c>
      <c r="B20049" s="17">
        <v>8200101.0</v>
      </c>
    </row>
    <row r="20050">
      <c r="A20050" s="17">
        <v>5.054002E8</v>
      </c>
      <c r="B20050" s="17">
        <v>8200102.0</v>
      </c>
    </row>
    <row r="20051">
      <c r="A20051" s="17">
        <v>5.054002E8</v>
      </c>
      <c r="B20051" s="17">
        <v>8200200.0</v>
      </c>
    </row>
    <row r="20052">
      <c r="A20052" s="17">
        <v>5.054002E8</v>
      </c>
      <c r="B20052" s="17">
        <v>8200201.0</v>
      </c>
    </row>
    <row r="20053">
      <c r="A20053" s="17">
        <v>5.054002E8</v>
      </c>
      <c r="B20053" s="17">
        <v>8200202.0</v>
      </c>
    </row>
    <row r="20054">
      <c r="A20054" s="17">
        <v>5.054002E8</v>
      </c>
      <c r="B20054" s="17">
        <v>8200300.0</v>
      </c>
    </row>
    <row r="20055">
      <c r="A20055" s="17">
        <v>5.054002E8</v>
      </c>
      <c r="B20055" s="17">
        <v>8200301.0</v>
      </c>
    </row>
    <row r="20056">
      <c r="A20056" s="17">
        <v>5.054002E8</v>
      </c>
      <c r="B20056" s="17">
        <v>8200302.0</v>
      </c>
    </row>
    <row r="20057">
      <c r="A20057" s="17">
        <v>5.054002E8</v>
      </c>
      <c r="B20057" s="17">
        <v>8200400.0</v>
      </c>
    </row>
    <row r="20058">
      <c r="A20058" s="17">
        <v>5.054002E8</v>
      </c>
      <c r="B20058" s="17">
        <v>8200401.0</v>
      </c>
    </row>
    <row r="20059">
      <c r="A20059" s="17">
        <v>5.054002E8</v>
      </c>
      <c r="B20059" s="17">
        <v>8200402.0</v>
      </c>
    </row>
    <row r="20060">
      <c r="A20060" s="17">
        <v>5.054002E8</v>
      </c>
      <c r="B20060" s="17">
        <v>8210000.0</v>
      </c>
    </row>
    <row r="20061">
      <c r="A20061" s="17">
        <v>5.054002E8</v>
      </c>
      <c r="B20061" s="17">
        <v>8210001.0</v>
      </c>
    </row>
    <row r="20062">
      <c r="A20062" s="17">
        <v>5.054002E8</v>
      </c>
      <c r="B20062" s="17">
        <v>8210002.0</v>
      </c>
    </row>
    <row r="20063">
      <c r="A20063" s="17">
        <v>5.054002E8</v>
      </c>
      <c r="B20063" s="17">
        <v>8210100.0</v>
      </c>
    </row>
    <row r="20064">
      <c r="A20064" s="17">
        <v>5.054002E8</v>
      </c>
      <c r="B20064" s="17">
        <v>8210101.0</v>
      </c>
    </row>
    <row r="20065">
      <c r="A20065" s="17">
        <v>5.054002E8</v>
      </c>
      <c r="B20065" s="17">
        <v>8210102.0</v>
      </c>
    </row>
    <row r="20066">
      <c r="A20066" s="17">
        <v>5.054002E8</v>
      </c>
      <c r="B20066" s="17">
        <v>8210200.0</v>
      </c>
    </row>
    <row r="20067">
      <c r="A20067" s="17">
        <v>5.054002E8</v>
      </c>
      <c r="B20067" s="17">
        <v>8210201.0</v>
      </c>
    </row>
    <row r="20068">
      <c r="A20068" s="17">
        <v>5.054002E8</v>
      </c>
      <c r="B20068" s="17">
        <v>8210202.0</v>
      </c>
    </row>
    <row r="20069">
      <c r="A20069" s="17">
        <v>5.054002E8</v>
      </c>
      <c r="B20069" s="17">
        <v>8210300.0</v>
      </c>
    </row>
    <row r="20070">
      <c r="A20070" s="17">
        <v>5.054002E8</v>
      </c>
      <c r="B20070" s="17">
        <v>8210301.0</v>
      </c>
    </row>
    <row r="20071">
      <c r="A20071" s="17">
        <v>5.054002E8</v>
      </c>
      <c r="B20071" s="17">
        <v>8210302.0</v>
      </c>
    </row>
    <row r="20072">
      <c r="A20072" s="17">
        <v>5.054002E8</v>
      </c>
      <c r="B20072" s="17">
        <v>8210400.0</v>
      </c>
    </row>
    <row r="20073">
      <c r="A20073" s="17">
        <v>5.054002E8</v>
      </c>
      <c r="B20073" s="17">
        <v>8210401.0</v>
      </c>
    </row>
    <row r="20074">
      <c r="A20074" s="17">
        <v>5.054002E8</v>
      </c>
      <c r="B20074" s="17">
        <v>8210402.0</v>
      </c>
    </row>
    <row r="20075">
      <c r="A20075" s="17">
        <v>5.054002E8</v>
      </c>
      <c r="B20075" s="17">
        <v>8210500.0</v>
      </c>
    </row>
    <row r="20076">
      <c r="A20076" s="17">
        <v>5.054002E8</v>
      </c>
      <c r="B20076" s="17">
        <v>8210501.0</v>
      </c>
    </row>
    <row r="20077">
      <c r="A20077" s="17">
        <v>5.054002E8</v>
      </c>
      <c r="B20077" s="17">
        <v>8210502.0</v>
      </c>
    </row>
    <row r="20078">
      <c r="A20078" s="17">
        <v>5.054002E8</v>
      </c>
      <c r="B20078" s="17">
        <v>8210600.0</v>
      </c>
    </row>
    <row r="20079">
      <c r="A20079" s="17">
        <v>5.054002E8</v>
      </c>
      <c r="B20079" s="17">
        <v>8210601.0</v>
      </c>
    </row>
    <row r="20080">
      <c r="A20080" s="17">
        <v>5.054002E8</v>
      </c>
      <c r="B20080" s="17">
        <v>8210602.0</v>
      </c>
    </row>
    <row r="20081">
      <c r="A20081" s="17">
        <v>5.054002E8</v>
      </c>
      <c r="B20081" s="17">
        <v>8220000.0</v>
      </c>
    </row>
    <row r="20082">
      <c r="A20082" s="17">
        <v>5.054002E8</v>
      </c>
      <c r="B20082" s="17">
        <v>8220001.0</v>
      </c>
    </row>
    <row r="20083">
      <c r="A20083" s="17">
        <v>5.054002E8</v>
      </c>
      <c r="B20083" s="17">
        <v>8220002.0</v>
      </c>
    </row>
    <row r="20084">
      <c r="A20084" s="17">
        <v>5.054002E8</v>
      </c>
      <c r="B20084" s="17">
        <v>8300000.0</v>
      </c>
    </row>
    <row r="20085">
      <c r="A20085" s="17">
        <v>5.054002E8</v>
      </c>
      <c r="B20085" s="17">
        <v>8300001.0</v>
      </c>
    </row>
    <row r="20086">
      <c r="A20086" s="17">
        <v>5.054002E8</v>
      </c>
      <c r="B20086" s="17">
        <v>8300002.0</v>
      </c>
    </row>
    <row r="20087">
      <c r="A20087" s="17">
        <v>5.054002E8</v>
      </c>
      <c r="B20087" s="17">
        <v>8310000.0</v>
      </c>
    </row>
    <row r="20088">
      <c r="A20088" s="17">
        <v>5.054002E8</v>
      </c>
      <c r="B20088" s="17">
        <v>8310001.0</v>
      </c>
    </row>
    <row r="20089">
      <c r="A20089" s="17">
        <v>5.054002E8</v>
      </c>
      <c r="B20089" s="17">
        <v>8310002.0</v>
      </c>
    </row>
    <row r="20090">
      <c r="A20090" s="17">
        <v>5.054002E8</v>
      </c>
      <c r="B20090" s="17">
        <v>8320000.0</v>
      </c>
    </row>
    <row r="20091">
      <c r="A20091" s="17">
        <v>5.054002E8</v>
      </c>
      <c r="B20091" s="17">
        <v>8320001.0</v>
      </c>
    </row>
    <row r="20092">
      <c r="A20092" s="17">
        <v>5.054002E8</v>
      </c>
      <c r="B20092" s="17">
        <v>8320002.0</v>
      </c>
    </row>
    <row r="20093">
      <c r="A20093" s="17">
        <v>5.054002E8</v>
      </c>
      <c r="B20093" s="17">
        <v>8320100.0</v>
      </c>
    </row>
    <row r="20094">
      <c r="A20094" s="17">
        <v>5.054002E8</v>
      </c>
      <c r="B20094" s="17">
        <v>8320101.0</v>
      </c>
    </row>
    <row r="20095">
      <c r="A20095" s="17">
        <v>5.054002E8</v>
      </c>
      <c r="B20095" s="17">
        <v>8320102.0</v>
      </c>
    </row>
    <row r="20096">
      <c r="A20096" s="17">
        <v>5.054002E8</v>
      </c>
      <c r="B20096" s="17">
        <v>8320300.0</v>
      </c>
    </row>
    <row r="20097">
      <c r="A20097" s="17">
        <v>5.054002E8</v>
      </c>
      <c r="B20097" s="17">
        <v>8320301.0</v>
      </c>
    </row>
    <row r="20098">
      <c r="A20098" s="17">
        <v>5.054002E8</v>
      </c>
      <c r="B20098" s="17">
        <v>8320302.0</v>
      </c>
    </row>
    <row r="20099">
      <c r="A20099" s="17">
        <v>5.054002E8</v>
      </c>
      <c r="B20099" s="17">
        <v>8320400.0</v>
      </c>
    </row>
    <row r="20100">
      <c r="A20100" s="17">
        <v>5.054002E8</v>
      </c>
      <c r="B20100" s="17">
        <v>8320410.0</v>
      </c>
    </row>
    <row r="20101">
      <c r="A20101" s="17">
        <v>5.054002E8</v>
      </c>
      <c r="B20101" s="17">
        <v>8320420.0</v>
      </c>
    </row>
    <row r="20102">
      <c r="A20102" s="17">
        <v>5.054002E8</v>
      </c>
      <c r="B20102" s="17">
        <v>8330000.0</v>
      </c>
    </row>
    <row r="20103">
      <c r="A20103" s="17">
        <v>5.054002E8</v>
      </c>
      <c r="B20103" s="17">
        <v>8330001.0</v>
      </c>
    </row>
    <row r="20104">
      <c r="A20104" s="17">
        <v>5.054002E8</v>
      </c>
      <c r="B20104" s="17">
        <v>8330002.0</v>
      </c>
    </row>
    <row r="20105">
      <c r="A20105" s="17">
        <v>5.054002E8</v>
      </c>
      <c r="B20105" s="17">
        <v>8330100.0</v>
      </c>
    </row>
    <row r="20106">
      <c r="A20106" s="17">
        <v>5.054002E8</v>
      </c>
      <c r="B20106" s="17">
        <v>8330101.0</v>
      </c>
    </row>
    <row r="20107">
      <c r="A20107" s="17">
        <v>5.054002E8</v>
      </c>
      <c r="B20107" s="17">
        <v>8330102.0</v>
      </c>
    </row>
    <row r="20108">
      <c r="A20108" s="17">
        <v>5.054002E8</v>
      </c>
      <c r="B20108" s="17">
        <v>8330200.0</v>
      </c>
    </row>
    <row r="20109">
      <c r="A20109" s="17">
        <v>5.054002E8</v>
      </c>
      <c r="B20109" s="17">
        <v>8330201.0</v>
      </c>
    </row>
    <row r="20110">
      <c r="A20110" s="17">
        <v>5.054002E8</v>
      </c>
      <c r="B20110" s="17">
        <v>8330202.0</v>
      </c>
    </row>
    <row r="20111">
      <c r="A20111" s="17">
        <v>5.054002E8</v>
      </c>
      <c r="B20111" s="17">
        <v>8330300.0</v>
      </c>
    </row>
    <row r="20112">
      <c r="A20112" s="17">
        <v>5.054002E8</v>
      </c>
      <c r="B20112" s="17">
        <v>8330301.0</v>
      </c>
    </row>
    <row r="20113">
      <c r="A20113" s="17">
        <v>5.054002E8</v>
      </c>
      <c r="B20113" s="17">
        <v>8330302.0</v>
      </c>
    </row>
    <row r="20114">
      <c r="A20114" s="17">
        <v>5.054002E8</v>
      </c>
      <c r="B20114" s="17">
        <v>8330400.0</v>
      </c>
    </row>
    <row r="20115">
      <c r="A20115" s="17">
        <v>5.054002E8</v>
      </c>
      <c r="B20115" s="17">
        <v>8330401.0</v>
      </c>
    </row>
    <row r="20116">
      <c r="A20116" s="17">
        <v>5.054002E8</v>
      </c>
      <c r="B20116" s="17">
        <v>8330600.0</v>
      </c>
    </row>
    <row r="20117">
      <c r="A20117" s="17">
        <v>5.054002E8</v>
      </c>
      <c r="B20117" s="17">
        <v>8330601.0</v>
      </c>
    </row>
    <row r="20118">
      <c r="A20118" s="17">
        <v>5.054002E8</v>
      </c>
      <c r="B20118" s="17">
        <v>8330602.0</v>
      </c>
    </row>
    <row r="20119">
      <c r="A20119" s="17">
        <v>5.054002E8</v>
      </c>
      <c r="B20119" s="17">
        <v>8330900.0</v>
      </c>
    </row>
    <row r="20120">
      <c r="A20120" s="17">
        <v>5.054002E8</v>
      </c>
      <c r="B20120" s="17">
        <v>8330910.0</v>
      </c>
    </row>
    <row r="20121">
      <c r="A20121" s="17">
        <v>5.054002E8</v>
      </c>
      <c r="B20121" s="17">
        <v>8330920.0</v>
      </c>
    </row>
    <row r="20122">
      <c r="A20122" s="17">
        <v>5.054002E8</v>
      </c>
      <c r="B20122" s="17">
        <v>8340000.0</v>
      </c>
    </row>
    <row r="20123">
      <c r="A20123" s="17">
        <v>5.054002E8</v>
      </c>
      <c r="B20123" s="17">
        <v>8340001.0</v>
      </c>
    </row>
    <row r="20124">
      <c r="A20124" s="17">
        <v>5.054002E8</v>
      </c>
      <c r="B20124" s="17">
        <v>8340002.0</v>
      </c>
    </row>
    <row r="20125">
      <c r="A20125" s="17">
        <v>5.054002E8</v>
      </c>
      <c r="B20125" s="17">
        <v>8340100.0</v>
      </c>
    </row>
    <row r="20126">
      <c r="A20126" s="17">
        <v>5.054002E8</v>
      </c>
      <c r="B20126" s="17">
        <v>8340101.0</v>
      </c>
    </row>
    <row r="20127">
      <c r="A20127" s="17">
        <v>5.054002E8</v>
      </c>
      <c r="B20127" s="17">
        <v>8340102.0</v>
      </c>
    </row>
    <row r="20128">
      <c r="A20128" s="17">
        <v>5.054002E8</v>
      </c>
      <c r="B20128" s="17">
        <v>8350000.0</v>
      </c>
    </row>
    <row r="20129">
      <c r="A20129" s="17">
        <v>5.054002E8</v>
      </c>
      <c r="B20129" s="17">
        <v>8350001.0</v>
      </c>
    </row>
    <row r="20130">
      <c r="A20130" s="17">
        <v>5.054002E8</v>
      </c>
      <c r="B20130" s="17">
        <v>8350002.0</v>
      </c>
    </row>
    <row r="20131">
      <c r="A20131" s="17">
        <v>5.054002E8</v>
      </c>
      <c r="B20131" s="17">
        <v>8350200.0</v>
      </c>
    </row>
    <row r="20132">
      <c r="A20132" s="17">
        <v>5.054002E8</v>
      </c>
      <c r="B20132" s="17">
        <v>8350201.0</v>
      </c>
    </row>
    <row r="20133">
      <c r="A20133" s="17">
        <v>5.054002E8</v>
      </c>
      <c r="B20133" s="17">
        <v>8350202.0</v>
      </c>
    </row>
    <row r="20134">
      <c r="A20134" s="17">
        <v>5.054002E8</v>
      </c>
      <c r="B20134" s="17">
        <v>8420000.0</v>
      </c>
    </row>
    <row r="20135">
      <c r="A20135" s="17">
        <v>5.054002E8</v>
      </c>
      <c r="B20135" s="17">
        <v>8420001.0</v>
      </c>
    </row>
    <row r="20136">
      <c r="A20136" s="17">
        <v>5.054002E8</v>
      </c>
      <c r="B20136" s="17">
        <v>8420002.0</v>
      </c>
    </row>
    <row r="20137">
      <c r="A20137" s="17">
        <v>5.054002E8</v>
      </c>
      <c r="B20137" s="17">
        <v>8450000.0</v>
      </c>
    </row>
    <row r="20138">
      <c r="A20138" s="17">
        <v>5.054002E8</v>
      </c>
      <c r="B20138" s="17">
        <v>8460100.0</v>
      </c>
    </row>
    <row r="20139">
      <c r="A20139" s="17">
        <v>5.054002E8</v>
      </c>
      <c r="B20139" s="17">
        <v>8460300.0</v>
      </c>
    </row>
    <row r="20140">
      <c r="A20140" s="17">
        <v>5.054002E8</v>
      </c>
      <c r="B20140" s="17">
        <v>8460500.0</v>
      </c>
    </row>
    <row r="20141">
      <c r="A20141" s="17">
        <v>5.054002E8</v>
      </c>
      <c r="B20141" s="17">
        <v>8510000.0</v>
      </c>
    </row>
    <row r="20142">
      <c r="A20142" s="17">
        <v>5.054002E8</v>
      </c>
      <c r="B20142" s="17">
        <v>8510001.0</v>
      </c>
    </row>
    <row r="20143">
      <c r="A20143" s="17">
        <v>5.054002E8</v>
      </c>
      <c r="B20143" s="17">
        <v>8510002.0</v>
      </c>
    </row>
    <row r="20144">
      <c r="A20144" s="17">
        <v>5.054002E8</v>
      </c>
      <c r="B20144" s="17">
        <v>8520000.0</v>
      </c>
    </row>
    <row r="20145">
      <c r="A20145" s="17">
        <v>5.054002E8</v>
      </c>
      <c r="B20145" s="17">
        <v>8520001.0</v>
      </c>
    </row>
    <row r="20146">
      <c r="A20146" s="17">
        <v>5.054002E8</v>
      </c>
      <c r="B20146" s="17">
        <v>8520002.0</v>
      </c>
    </row>
    <row r="20147">
      <c r="A20147" s="17">
        <v>5.054002E8</v>
      </c>
      <c r="B20147" s="17">
        <v>8530000.0</v>
      </c>
    </row>
    <row r="20148">
      <c r="A20148" s="17">
        <v>5.054002E8</v>
      </c>
      <c r="B20148" s="17">
        <v>8530100.0</v>
      </c>
    </row>
    <row r="20149">
      <c r="A20149" s="17">
        <v>5.054002E8</v>
      </c>
      <c r="B20149" s="17">
        <v>8540000.0</v>
      </c>
    </row>
    <row r="20150">
      <c r="A20150" s="17">
        <v>5.054002E8</v>
      </c>
      <c r="B20150" s="17">
        <v>8600100.0</v>
      </c>
    </row>
    <row r="20151">
      <c r="A20151" s="17">
        <v>5.054002E8</v>
      </c>
      <c r="B20151" s="17">
        <v>8600101.0</v>
      </c>
    </row>
    <row r="20152">
      <c r="A20152" s="17">
        <v>5.054002E8</v>
      </c>
      <c r="B20152" s="17">
        <v>8600102.0</v>
      </c>
    </row>
    <row r="20153">
      <c r="A20153" s="17">
        <v>5.054002E8</v>
      </c>
      <c r="B20153" s="17">
        <v>8600200.0</v>
      </c>
    </row>
    <row r="20154">
      <c r="A20154" s="17">
        <v>5.054002E8</v>
      </c>
      <c r="B20154" s="17">
        <v>8600201.0</v>
      </c>
    </row>
    <row r="20155">
      <c r="A20155" s="17">
        <v>5.054002E8</v>
      </c>
      <c r="B20155" s="17">
        <v>8600202.0</v>
      </c>
    </row>
    <row r="20156">
      <c r="A20156" s="17">
        <v>5.054002E8</v>
      </c>
      <c r="B20156" s="17">
        <v>8610700.0</v>
      </c>
    </row>
    <row r="20157">
      <c r="A20157" s="17">
        <v>5.054002E8</v>
      </c>
      <c r="B20157" s="17">
        <v>8610710.0</v>
      </c>
    </row>
    <row r="20158">
      <c r="A20158" s="17">
        <v>5.054002E8</v>
      </c>
      <c r="B20158" s="17">
        <v>8610720.0</v>
      </c>
    </row>
    <row r="20159">
      <c r="A20159" s="17">
        <v>5.054002E8</v>
      </c>
      <c r="B20159" s="17">
        <v>8620000.0</v>
      </c>
    </row>
    <row r="20160">
      <c r="A20160" s="17">
        <v>5.054002E8</v>
      </c>
      <c r="B20160" s="17">
        <v>8620010.0</v>
      </c>
    </row>
    <row r="20161">
      <c r="A20161" s="17">
        <v>5.054002E8</v>
      </c>
      <c r="B20161" s="17">
        <v>8620020.0</v>
      </c>
    </row>
    <row r="20162">
      <c r="A20162" s="17">
        <v>5.054002E8</v>
      </c>
      <c r="B20162" s="17">
        <v>8620100.0</v>
      </c>
    </row>
    <row r="20163">
      <c r="A20163" s="17">
        <v>5.054002E8</v>
      </c>
      <c r="B20163" s="17">
        <v>8620110.0</v>
      </c>
    </row>
    <row r="20164">
      <c r="A20164" s="17">
        <v>5.054002E8</v>
      </c>
      <c r="B20164" s="17">
        <v>8620120.0</v>
      </c>
    </row>
    <row r="20165">
      <c r="A20165" s="17">
        <v>5.054002E8</v>
      </c>
      <c r="B20165" s="17">
        <v>8630000.0</v>
      </c>
    </row>
    <row r="20166">
      <c r="A20166" s="17">
        <v>5.054002E8</v>
      </c>
      <c r="B20166" s="17">
        <v>8630000.0</v>
      </c>
    </row>
    <row r="20167">
      <c r="A20167" s="17">
        <v>5.054002E8</v>
      </c>
      <c r="B20167" s="17">
        <v>8630000.0</v>
      </c>
    </row>
    <row r="20168">
      <c r="A20168" s="17">
        <v>5.054002E8</v>
      </c>
      <c r="B20168" s="17">
        <v>8630100.0</v>
      </c>
    </row>
    <row r="20169">
      <c r="A20169" s="17">
        <v>5.054002E8</v>
      </c>
      <c r="B20169" s="17">
        <v>8630100.0</v>
      </c>
    </row>
    <row r="20170">
      <c r="A20170" s="17">
        <v>5.054002E8</v>
      </c>
      <c r="B20170" s="17">
        <v>8630100.0</v>
      </c>
    </row>
    <row r="20171">
      <c r="A20171" s="17">
        <v>5.054002E8</v>
      </c>
      <c r="B20171" s="17">
        <v>8652000.0</v>
      </c>
    </row>
    <row r="20172">
      <c r="A20172" s="17">
        <v>5.054002E8</v>
      </c>
      <c r="B20172" s="17">
        <v>8652010.0</v>
      </c>
    </row>
    <row r="20173">
      <c r="A20173" s="17">
        <v>5.054002E8</v>
      </c>
      <c r="B20173" s="17">
        <v>8652020.0</v>
      </c>
    </row>
    <row r="20174">
      <c r="A20174" s="17">
        <v>5.054002E8</v>
      </c>
      <c r="B20174" s="17">
        <v>8652100.0</v>
      </c>
    </row>
    <row r="20175">
      <c r="A20175" s="17">
        <v>5.054002E8</v>
      </c>
      <c r="B20175" s="17">
        <v>8652110.0</v>
      </c>
    </row>
    <row r="20176">
      <c r="A20176" s="17">
        <v>5.054002E8</v>
      </c>
      <c r="B20176" s="17">
        <v>8652120.0</v>
      </c>
    </row>
    <row r="20177">
      <c r="A20177" s="17">
        <v>5.054002E8</v>
      </c>
      <c r="B20177" s="17">
        <v>8660000.0</v>
      </c>
    </row>
    <row r="20178">
      <c r="A20178" s="17">
        <v>5.054002E8</v>
      </c>
      <c r="B20178" s="17">
        <v>8660001.0</v>
      </c>
    </row>
    <row r="20179">
      <c r="A20179" s="17">
        <v>5.054002E8</v>
      </c>
      <c r="B20179" s="17">
        <v>8660002.0</v>
      </c>
    </row>
    <row r="20180">
      <c r="A20180" s="17">
        <v>5.054002E8</v>
      </c>
      <c r="B20180" s="17">
        <v>8660100.0</v>
      </c>
    </row>
    <row r="20181">
      <c r="A20181" s="17">
        <v>5.054002E8</v>
      </c>
      <c r="B20181" s="17">
        <v>8660101.0</v>
      </c>
    </row>
    <row r="20182">
      <c r="A20182" s="17">
        <v>5.054002E8</v>
      </c>
      <c r="B20182" s="17">
        <v>8660102.0</v>
      </c>
    </row>
    <row r="20183">
      <c r="A20183" s="17">
        <v>5.054002E8</v>
      </c>
      <c r="B20183" s="17">
        <v>8670000.0</v>
      </c>
    </row>
    <row r="20184">
      <c r="A20184" s="17">
        <v>5.054002E8</v>
      </c>
      <c r="B20184" s="17">
        <v>8670001.0</v>
      </c>
    </row>
    <row r="20185">
      <c r="A20185" s="17">
        <v>5.054002E8</v>
      </c>
      <c r="B20185" s="17">
        <v>8670002.0</v>
      </c>
    </row>
    <row r="20186">
      <c r="A20186" s="17">
        <v>5.054002E8</v>
      </c>
      <c r="B20186" s="17">
        <v>8670100.0</v>
      </c>
    </row>
    <row r="20187">
      <c r="A20187" s="17">
        <v>5.054002E8</v>
      </c>
      <c r="B20187" s="17">
        <v>8670101.0</v>
      </c>
    </row>
    <row r="20188">
      <c r="A20188" s="17">
        <v>5.054002E8</v>
      </c>
      <c r="B20188" s="17">
        <v>8670102.0</v>
      </c>
    </row>
    <row r="20189">
      <c r="A20189" s="17">
        <v>5.054002E8</v>
      </c>
      <c r="B20189" s="17">
        <v>8690000.0</v>
      </c>
    </row>
    <row r="20190">
      <c r="A20190" s="17">
        <v>5.054002E8</v>
      </c>
      <c r="B20190" s="17">
        <v>8690100.0</v>
      </c>
    </row>
    <row r="20191">
      <c r="A20191" s="17">
        <v>5.054002E8</v>
      </c>
      <c r="B20191" s="17">
        <v>8690200.0</v>
      </c>
    </row>
    <row r="20192">
      <c r="A20192" s="17">
        <v>5.054002E8</v>
      </c>
      <c r="B20192" s="17">
        <v>8690300.0</v>
      </c>
    </row>
    <row r="20193">
      <c r="A20193" s="17">
        <v>5.054002E8</v>
      </c>
      <c r="B20193" s="17">
        <v>8690400.0</v>
      </c>
    </row>
    <row r="20194">
      <c r="A20194" s="17">
        <v>5.054002E8</v>
      </c>
      <c r="B20194" s="17">
        <v>8850000.0</v>
      </c>
    </row>
    <row r="20195">
      <c r="A20195" s="17">
        <v>5.054002E8</v>
      </c>
      <c r="B20195" s="17">
        <v>8850100.0</v>
      </c>
    </row>
    <row r="20196">
      <c r="A20196" s="17">
        <v>5.054002E8</v>
      </c>
      <c r="B20196" s="17">
        <v>8850200.0</v>
      </c>
    </row>
    <row r="20197">
      <c r="A20197" s="17">
        <v>5.054002E8</v>
      </c>
      <c r="B20197" s="17">
        <v>8850300.0</v>
      </c>
    </row>
    <row r="20198">
      <c r="A20198" s="17">
        <v>5.054002E8</v>
      </c>
      <c r="B20198" s="17">
        <v>8850400.0</v>
      </c>
    </row>
    <row r="20199">
      <c r="A20199" s="17">
        <v>5.054002E8</v>
      </c>
      <c r="B20199" s="17">
        <v>8850500.0</v>
      </c>
    </row>
    <row r="20200">
      <c r="A20200" s="17">
        <v>5.054002E8</v>
      </c>
      <c r="B20200" s="17">
        <v>8850600.0</v>
      </c>
    </row>
    <row r="20201">
      <c r="A20201" s="17">
        <v>5.054002E8</v>
      </c>
      <c r="B20201" s="17">
        <v>8850700.0</v>
      </c>
    </row>
    <row r="20202">
      <c r="A20202" s="17">
        <v>5.054002E8</v>
      </c>
      <c r="B20202" s="17">
        <v>8850800.0</v>
      </c>
    </row>
    <row r="20203">
      <c r="A20203" s="17">
        <v>5.054002E8</v>
      </c>
      <c r="B20203" s="17">
        <v>8850900.0</v>
      </c>
    </row>
    <row r="20204">
      <c r="A20204" s="17">
        <v>5.054002E8</v>
      </c>
      <c r="B20204" s="17">
        <v>8851000.0</v>
      </c>
    </row>
    <row r="20205">
      <c r="A20205" s="17">
        <v>5.054002E8</v>
      </c>
      <c r="B20205" s="17">
        <v>8851100.0</v>
      </c>
    </row>
    <row r="20206">
      <c r="A20206" s="17">
        <v>5.054002E8</v>
      </c>
      <c r="B20206" s="17">
        <v>8851200.0</v>
      </c>
    </row>
    <row r="20207">
      <c r="A20207" s="17">
        <v>5.054002E8</v>
      </c>
      <c r="B20207" s="17">
        <v>8851300.0</v>
      </c>
    </row>
    <row r="20208">
      <c r="A20208" s="17">
        <v>5.054002E8</v>
      </c>
      <c r="B20208" s="17">
        <v>8851800.0</v>
      </c>
    </row>
    <row r="20209">
      <c r="A20209" s="17">
        <v>5.054002E8</v>
      </c>
      <c r="B20209" s="17">
        <v>8851900.0</v>
      </c>
    </row>
    <row r="20210">
      <c r="A20210" s="17">
        <v>5.054002E8</v>
      </c>
      <c r="B20210" s="17">
        <v>8852000.0</v>
      </c>
    </row>
    <row r="20211">
      <c r="A20211" s="17">
        <v>5.054002E8</v>
      </c>
      <c r="B20211" s="17">
        <v>8320500.0</v>
      </c>
    </row>
    <row r="20212">
      <c r="A20212" s="17">
        <v>5.054002E8</v>
      </c>
      <c r="B20212" s="17">
        <v>8320510.0</v>
      </c>
    </row>
    <row r="20213">
      <c r="A20213" s="17">
        <v>5.054002E8</v>
      </c>
      <c r="B20213" s="17">
        <v>8320520.0</v>
      </c>
    </row>
    <row r="20214">
      <c r="A20214" s="17">
        <v>5.054002E8</v>
      </c>
      <c r="B20214" s="17">
        <v>8320600.0</v>
      </c>
    </row>
    <row r="20215">
      <c r="A20215" s="17">
        <v>5.054002E8</v>
      </c>
      <c r="B20215" s="17">
        <v>8320610.0</v>
      </c>
    </row>
    <row r="20216">
      <c r="A20216" s="17">
        <v>5.054002E8</v>
      </c>
      <c r="B20216" s="17">
        <v>8320620.0</v>
      </c>
    </row>
    <row r="20217">
      <c r="A20217" s="17">
        <v>5.054002E8</v>
      </c>
      <c r="B20217" s="17">
        <v>8320700.0</v>
      </c>
    </row>
    <row r="20218">
      <c r="A20218" s="17">
        <v>5.054002E8</v>
      </c>
      <c r="B20218" s="17">
        <v>8320710.0</v>
      </c>
    </row>
    <row r="20219">
      <c r="A20219" s="17">
        <v>5.054002E8</v>
      </c>
      <c r="B20219" s="17">
        <v>8320720.0</v>
      </c>
    </row>
    <row r="20220">
      <c r="A20220" s="17">
        <v>5.055001E8</v>
      </c>
      <c r="B20220" s="17">
        <v>0.0</v>
      </c>
    </row>
    <row r="20221">
      <c r="A20221" s="17">
        <v>5.055001E8</v>
      </c>
      <c r="B20221" s="17">
        <v>8100100.0</v>
      </c>
    </row>
    <row r="20222">
      <c r="A20222" s="17">
        <v>5.055001E8</v>
      </c>
      <c r="B20222" s="17">
        <v>8100101.0</v>
      </c>
    </row>
    <row r="20223">
      <c r="A20223" s="17">
        <v>5.055001E8</v>
      </c>
      <c r="B20223" s="17">
        <v>8100102.0</v>
      </c>
    </row>
    <row r="20224">
      <c r="A20224" s="17">
        <v>5.055001E8</v>
      </c>
      <c r="B20224" s="17">
        <v>8100200.0</v>
      </c>
    </row>
    <row r="20225">
      <c r="A20225" s="17">
        <v>5.055001E8</v>
      </c>
      <c r="B20225" s="17">
        <v>8100201.0</v>
      </c>
    </row>
    <row r="20226">
      <c r="A20226" s="17">
        <v>5.055001E8</v>
      </c>
      <c r="B20226" s="17">
        <v>8100202.0</v>
      </c>
    </row>
    <row r="20227">
      <c r="A20227" s="17">
        <v>5.055001E8</v>
      </c>
      <c r="B20227" s="17">
        <v>8100300.0</v>
      </c>
    </row>
    <row r="20228">
      <c r="A20228" s="17">
        <v>5.055001E8</v>
      </c>
      <c r="B20228" s="17">
        <v>8100301.0</v>
      </c>
    </row>
    <row r="20229">
      <c r="A20229" s="17">
        <v>5.055001E8</v>
      </c>
      <c r="B20229" s="17">
        <v>8100302.0</v>
      </c>
    </row>
    <row r="20230">
      <c r="A20230" s="17">
        <v>5.055001E8</v>
      </c>
      <c r="B20230" s="17">
        <v>8100400.0</v>
      </c>
    </row>
    <row r="20231">
      <c r="A20231" s="17">
        <v>5.055001E8</v>
      </c>
      <c r="B20231" s="17">
        <v>8100401.0</v>
      </c>
    </row>
    <row r="20232">
      <c r="A20232" s="17">
        <v>5.055001E8</v>
      </c>
      <c r="B20232" s="17">
        <v>8100402.0</v>
      </c>
    </row>
    <row r="20233">
      <c r="A20233" s="17">
        <v>5.055001E8</v>
      </c>
      <c r="B20233" s="17">
        <v>8130000.0</v>
      </c>
    </row>
    <row r="20234">
      <c r="A20234" s="17">
        <v>5.055001E8</v>
      </c>
      <c r="B20234" s="17">
        <v>8130001.0</v>
      </c>
    </row>
    <row r="20235">
      <c r="A20235" s="17">
        <v>5.055001E8</v>
      </c>
      <c r="B20235" s="17">
        <v>8130002.0</v>
      </c>
    </row>
    <row r="20236">
      <c r="A20236" s="17">
        <v>5.055001E8</v>
      </c>
      <c r="B20236" s="17">
        <v>8140000.0</v>
      </c>
    </row>
    <row r="20237">
      <c r="A20237" s="17">
        <v>5.055001E8</v>
      </c>
      <c r="B20237" s="17">
        <v>8140001.0</v>
      </c>
    </row>
    <row r="20238">
      <c r="A20238" s="17">
        <v>5.055001E8</v>
      </c>
      <c r="B20238" s="17">
        <v>8140002.0</v>
      </c>
    </row>
    <row r="20239">
      <c r="A20239" s="17">
        <v>5.055001E8</v>
      </c>
      <c r="B20239" s="17">
        <v>8200100.0</v>
      </c>
    </row>
    <row r="20240">
      <c r="A20240" s="17">
        <v>5.055001E8</v>
      </c>
      <c r="B20240" s="17">
        <v>8200101.0</v>
      </c>
    </row>
    <row r="20241">
      <c r="A20241" s="17">
        <v>5.055001E8</v>
      </c>
      <c r="B20241" s="17">
        <v>8200102.0</v>
      </c>
    </row>
    <row r="20242">
      <c r="A20242" s="17">
        <v>5.055001E8</v>
      </c>
      <c r="B20242" s="17">
        <v>8200200.0</v>
      </c>
    </row>
    <row r="20243">
      <c r="A20243" s="17">
        <v>5.055001E8</v>
      </c>
      <c r="B20243" s="17">
        <v>8200201.0</v>
      </c>
    </row>
    <row r="20244">
      <c r="A20244" s="17">
        <v>5.055001E8</v>
      </c>
      <c r="B20244" s="17">
        <v>8200202.0</v>
      </c>
    </row>
    <row r="20245">
      <c r="A20245" s="17">
        <v>5.055001E8</v>
      </c>
      <c r="B20245" s="17">
        <v>8200300.0</v>
      </c>
    </row>
    <row r="20246">
      <c r="A20246" s="17">
        <v>5.055001E8</v>
      </c>
      <c r="B20246" s="17">
        <v>8200301.0</v>
      </c>
    </row>
    <row r="20247">
      <c r="A20247" s="17">
        <v>5.055001E8</v>
      </c>
      <c r="B20247" s="17">
        <v>8200302.0</v>
      </c>
    </row>
    <row r="20248">
      <c r="A20248" s="17">
        <v>5.055001E8</v>
      </c>
      <c r="B20248" s="17">
        <v>8200400.0</v>
      </c>
    </row>
    <row r="20249">
      <c r="A20249" s="17">
        <v>5.055001E8</v>
      </c>
      <c r="B20249" s="17">
        <v>8200401.0</v>
      </c>
    </row>
    <row r="20250">
      <c r="A20250" s="17">
        <v>5.055001E8</v>
      </c>
      <c r="B20250" s="17">
        <v>8200402.0</v>
      </c>
    </row>
    <row r="20251">
      <c r="A20251" s="17">
        <v>5.055001E8</v>
      </c>
      <c r="B20251" s="17">
        <v>8210000.0</v>
      </c>
    </row>
    <row r="20252">
      <c r="A20252" s="17">
        <v>5.055001E8</v>
      </c>
      <c r="B20252" s="17">
        <v>8210001.0</v>
      </c>
    </row>
    <row r="20253">
      <c r="A20253" s="17">
        <v>5.055001E8</v>
      </c>
      <c r="B20253" s="17">
        <v>8210002.0</v>
      </c>
    </row>
    <row r="20254">
      <c r="A20254" s="17">
        <v>5.055001E8</v>
      </c>
      <c r="B20254" s="17">
        <v>8210100.0</v>
      </c>
    </row>
    <row r="20255">
      <c r="A20255" s="17">
        <v>5.055001E8</v>
      </c>
      <c r="B20255" s="17">
        <v>8210101.0</v>
      </c>
    </row>
    <row r="20256">
      <c r="A20256" s="17">
        <v>5.055001E8</v>
      </c>
      <c r="B20256" s="17">
        <v>8210102.0</v>
      </c>
    </row>
    <row r="20257">
      <c r="A20257" s="17">
        <v>5.055001E8</v>
      </c>
      <c r="B20257" s="17">
        <v>8210200.0</v>
      </c>
    </row>
    <row r="20258">
      <c r="A20258" s="17">
        <v>5.055001E8</v>
      </c>
      <c r="B20258" s="17">
        <v>8210201.0</v>
      </c>
    </row>
    <row r="20259">
      <c r="A20259" s="17">
        <v>5.055001E8</v>
      </c>
      <c r="B20259" s="17">
        <v>8210202.0</v>
      </c>
    </row>
    <row r="20260">
      <c r="A20260" s="17">
        <v>5.055001E8</v>
      </c>
      <c r="B20260" s="17">
        <v>8210300.0</v>
      </c>
    </row>
    <row r="20261">
      <c r="A20261" s="17">
        <v>5.055001E8</v>
      </c>
      <c r="B20261" s="17">
        <v>8210301.0</v>
      </c>
    </row>
    <row r="20262">
      <c r="A20262" s="17">
        <v>5.055001E8</v>
      </c>
      <c r="B20262" s="17">
        <v>8210302.0</v>
      </c>
    </row>
    <row r="20263">
      <c r="A20263" s="17">
        <v>5.055001E8</v>
      </c>
      <c r="B20263" s="17">
        <v>8210400.0</v>
      </c>
    </row>
    <row r="20264">
      <c r="A20264" s="17">
        <v>5.055001E8</v>
      </c>
      <c r="B20264" s="17">
        <v>8210401.0</v>
      </c>
    </row>
    <row r="20265">
      <c r="A20265" s="17">
        <v>5.055001E8</v>
      </c>
      <c r="B20265" s="17">
        <v>8210402.0</v>
      </c>
    </row>
    <row r="20266">
      <c r="A20266" s="17">
        <v>5.055001E8</v>
      </c>
      <c r="B20266" s="17">
        <v>8210500.0</v>
      </c>
    </row>
    <row r="20267">
      <c r="A20267" s="17">
        <v>5.055001E8</v>
      </c>
      <c r="B20267" s="17">
        <v>8210501.0</v>
      </c>
    </row>
    <row r="20268">
      <c r="A20268" s="17">
        <v>5.055001E8</v>
      </c>
      <c r="B20268" s="17">
        <v>8210502.0</v>
      </c>
    </row>
    <row r="20269">
      <c r="A20269" s="17">
        <v>5.055001E8</v>
      </c>
      <c r="B20269" s="17">
        <v>8210600.0</v>
      </c>
    </row>
    <row r="20270">
      <c r="A20270" s="17">
        <v>5.055001E8</v>
      </c>
      <c r="B20270" s="17">
        <v>8210601.0</v>
      </c>
    </row>
    <row r="20271">
      <c r="A20271" s="17">
        <v>5.055001E8</v>
      </c>
      <c r="B20271" s="17">
        <v>8210602.0</v>
      </c>
    </row>
    <row r="20272">
      <c r="A20272" s="17">
        <v>5.055001E8</v>
      </c>
      <c r="B20272" s="17">
        <v>8220000.0</v>
      </c>
    </row>
    <row r="20273">
      <c r="A20273" s="17">
        <v>5.055001E8</v>
      </c>
      <c r="B20273" s="17">
        <v>8220001.0</v>
      </c>
    </row>
    <row r="20274">
      <c r="A20274" s="17">
        <v>5.055001E8</v>
      </c>
      <c r="B20274" s="17">
        <v>8220002.0</v>
      </c>
    </row>
    <row r="20275">
      <c r="A20275" s="17">
        <v>5.055001E8</v>
      </c>
      <c r="B20275" s="17">
        <v>8300000.0</v>
      </c>
    </row>
    <row r="20276">
      <c r="A20276" s="17">
        <v>5.055001E8</v>
      </c>
      <c r="B20276" s="17">
        <v>8300001.0</v>
      </c>
    </row>
    <row r="20277">
      <c r="A20277" s="17">
        <v>5.055001E8</v>
      </c>
      <c r="B20277" s="17">
        <v>8300002.0</v>
      </c>
    </row>
    <row r="20278">
      <c r="A20278" s="17">
        <v>5.055001E8</v>
      </c>
      <c r="B20278" s="17">
        <v>8310000.0</v>
      </c>
    </row>
    <row r="20279">
      <c r="A20279" s="17">
        <v>5.055001E8</v>
      </c>
      <c r="B20279" s="17">
        <v>8310001.0</v>
      </c>
    </row>
    <row r="20280">
      <c r="A20280" s="17">
        <v>5.055001E8</v>
      </c>
      <c r="B20280" s="17">
        <v>8310002.0</v>
      </c>
    </row>
    <row r="20281">
      <c r="A20281" s="17">
        <v>5.055001E8</v>
      </c>
      <c r="B20281" s="17">
        <v>8320000.0</v>
      </c>
    </row>
    <row r="20282">
      <c r="A20282" s="17">
        <v>5.055001E8</v>
      </c>
      <c r="B20282" s="17">
        <v>8320001.0</v>
      </c>
    </row>
    <row r="20283">
      <c r="A20283" s="17">
        <v>5.055001E8</v>
      </c>
      <c r="B20283" s="17">
        <v>8320002.0</v>
      </c>
    </row>
    <row r="20284">
      <c r="A20284" s="17">
        <v>5.055001E8</v>
      </c>
      <c r="B20284" s="17">
        <v>8320100.0</v>
      </c>
    </row>
    <row r="20285">
      <c r="A20285" s="17">
        <v>5.055001E8</v>
      </c>
      <c r="B20285" s="17">
        <v>8320101.0</v>
      </c>
    </row>
    <row r="20286">
      <c r="A20286" s="17">
        <v>5.055001E8</v>
      </c>
      <c r="B20286" s="17">
        <v>8320102.0</v>
      </c>
    </row>
    <row r="20287">
      <c r="A20287" s="17">
        <v>5.055001E8</v>
      </c>
      <c r="B20287" s="17">
        <v>8320300.0</v>
      </c>
    </row>
    <row r="20288">
      <c r="A20288" s="17">
        <v>5.055001E8</v>
      </c>
      <c r="B20288" s="17">
        <v>8320301.0</v>
      </c>
    </row>
    <row r="20289">
      <c r="A20289" s="17">
        <v>5.055001E8</v>
      </c>
      <c r="B20289" s="17">
        <v>8320302.0</v>
      </c>
    </row>
    <row r="20290">
      <c r="A20290" s="17">
        <v>5.055001E8</v>
      </c>
      <c r="B20290" s="17">
        <v>8320400.0</v>
      </c>
    </row>
    <row r="20291">
      <c r="A20291" s="17">
        <v>5.055001E8</v>
      </c>
      <c r="B20291" s="17">
        <v>8320410.0</v>
      </c>
    </row>
    <row r="20292">
      <c r="A20292" s="17">
        <v>5.055001E8</v>
      </c>
      <c r="B20292" s="17">
        <v>8320420.0</v>
      </c>
    </row>
    <row r="20293">
      <c r="A20293" s="17">
        <v>5.055001E8</v>
      </c>
      <c r="B20293" s="17">
        <v>8330000.0</v>
      </c>
    </row>
    <row r="20294">
      <c r="A20294" s="17">
        <v>5.055001E8</v>
      </c>
      <c r="B20294" s="17">
        <v>8330001.0</v>
      </c>
    </row>
    <row r="20295">
      <c r="A20295" s="17">
        <v>5.055001E8</v>
      </c>
      <c r="B20295" s="17">
        <v>8330002.0</v>
      </c>
    </row>
    <row r="20296">
      <c r="A20296" s="17">
        <v>5.055001E8</v>
      </c>
      <c r="B20296" s="17">
        <v>8330100.0</v>
      </c>
    </row>
    <row r="20297">
      <c r="A20297" s="17">
        <v>5.055001E8</v>
      </c>
      <c r="B20297" s="17">
        <v>8330101.0</v>
      </c>
    </row>
    <row r="20298">
      <c r="A20298" s="17">
        <v>5.055001E8</v>
      </c>
      <c r="B20298" s="17">
        <v>8330102.0</v>
      </c>
    </row>
    <row r="20299">
      <c r="A20299" s="17">
        <v>5.055001E8</v>
      </c>
      <c r="B20299" s="17">
        <v>8330200.0</v>
      </c>
    </row>
    <row r="20300">
      <c r="A20300" s="17">
        <v>5.055001E8</v>
      </c>
      <c r="B20300" s="17">
        <v>8330201.0</v>
      </c>
    </row>
    <row r="20301">
      <c r="A20301" s="17">
        <v>5.055001E8</v>
      </c>
      <c r="B20301" s="17">
        <v>8330202.0</v>
      </c>
    </row>
    <row r="20302">
      <c r="A20302" s="17">
        <v>5.055001E8</v>
      </c>
      <c r="B20302" s="17">
        <v>8330300.0</v>
      </c>
    </row>
    <row r="20303">
      <c r="A20303" s="17">
        <v>5.055001E8</v>
      </c>
      <c r="B20303" s="17">
        <v>8330301.0</v>
      </c>
    </row>
    <row r="20304">
      <c r="A20304" s="17">
        <v>5.055001E8</v>
      </c>
      <c r="B20304" s="17">
        <v>8330302.0</v>
      </c>
    </row>
    <row r="20305">
      <c r="A20305" s="17">
        <v>5.055001E8</v>
      </c>
      <c r="B20305" s="17">
        <v>8330400.0</v>
      </c>
    </row>
    <row r="20306">
      <c r="A20306" s="17">
        <v>5.055001E8</v>
      </c>
      <c r="B20306" s="17">
        <v>8330401.0</v>
      </c>
    </row>
    <row r="20307">
      <c r="A20307" s="17">
        <v>5.055001E8</v>
      </c>
      <c r="B20307" s="17">
        <v>8330600.0</v>
      </c>
    </row>
    <row r="20308">
      <c r="A20308" s="17">
        <v>5.055001E8</v>
      </c>
      <c r="B20308" s="17">
        <v>8330601.0</v>
      </c>
    </row>
    <row r="20309">
      <c r="A20309" s="17">
        <v>5.055001E8</v>
      </c>
      <c r="B20309" s="17">
        <v>8330602.0</v>
      </c>
    </row>
    <row r="20310">
      <c r="A20310" s="17">
        <v>5.055001E8</v>
      </c>
      <c r="B20310" s="17">
        <v>8330900.0</v>
      </c>
    </row>
    <row r="20311">
      <c r="A20311" s="17">
        <v>5.055001E8</v>
      </c>
      <c r="B20311" s="17">
        <v>8330910.0</v>
      </c>
    </row>
    <row r="20312">
      <c r="A20312" s="17">
        <v>5.055001E8</v>
      </c>
      <c r="B20312" s="17">
        <v>8330920.0</v>
      </c>
    </row>
    <row r="20313">
      <c r="A20313" s="17">
        <v>5.055001E8</v>
      </c>
      <c r="B20313" s="17">
        <v>8340000.0</v>
      </c>
    </row>
    <row r="20314">
      <c r="A20314" s="17">
        <v>5.055001E8</v>
      </c>
      <c r="B20314" s="17">
        <v>8340001.0</v>
      </c>
    </row>
    <row r="20315">
      <c r="A20315" s="17">
        <v>5.055001E8</v>
      </c>
      <c r="B20315" s="17">
        <v>8340002.0</v>
      </c>
    </row>
    <row r="20316">
      <c r="A20316" s="17">
        <v>5.055001E8</v>
      </c>
      <c r="B20316" s="17">
        <v>8340100.0</v>
      </c>
    </row>
    <row r="20317">
      <c r="A20317" s="17">
        <v>5.055001E8</v>
      </c>
      <c r="B20317" s="17">
        <v>8340101.0</v>
      </c>
    </row>
    <row r="20318">
      <c r="A20318" s="17">
        <v>5.055001E8</v>
      </c>
      <c r="B20318" s="17">
        <v>8340102.0</v>
      </c>
    </row>
    <row r="20319">
      <c r="A20319" s="17">
        <v>5.055001E8</v>
      </c>
      <c r="B20319" s="17">
        <v>8350000.0</v>
      </c>
    </row>
    <row r="20320">
      <c r="A20320" s="17">
        <v>5.055001E8</v>
      </c>
      <c r="B20320" s="17">
        <v>8350001.0</v>
      </c>
    </row>
    <row r="20321">
      <c r="A20321" s="17">
        <v>5.055001E8</v>
      </c>
      <c r="B20321" s="17">
        <v>8350002.0</v>
      </c>
    </row>
    <row r="20322">
      <c r="A20322" s="17">
        <v>5.055001E8</v>
      </c>
      <c r="B20322" s="17">
        <v>8350200.0</v>
      </c>
    </row>
    <row r="20323">
      <c r="A20323" s="17">
        <v>5.055001E8</v>
      </c>
      <c r="B20323" s="17">
        <v>8350201.0</v>
      </c>
    </row>
    <row r="20324">
      <c r="A20324" s="17">
        <v>5.055001E8</v>
      </c>
      <c r="B20324" s="17">
        <v>8350202.0</v>
      </c>
    </row>
    <row r="20325">
      <c r="A20325" s="17">
        <v>5.055001E8</v>
      </c>
      <c r="B20325" s="17">
        <v>8420000.0</v>
      </c>
    </row>
    <row r="20326">
      <c r="A20326" s="17">
        <v>5.055001E8</v>
      </c>
      <c r="B20326" s="17">
        <v>8420001.0</v>
      </c>
    </row>
    <row r="20327">
      <c r="A20327" s="17">
        <v>5.055001E8</v>
      </c>
      <c r="B20327" s="17">
        <v>8420002.0</v>
      </c>
    </row>
    <row r="20328">
      <c r="A20328" s="17">
        <v>5.055001E8</v>
      </c>
      <c r="B20328" s="17">
        <v>8450000.0</v>
      </c>
    </row>
    <row r="20329">
      <c r="A20329" s="17">
        <v>5.055001E8</v>
      </c>
      <c r="B20329" s="17">
        <v>8460100.0</v>
      </c>
    </row>
    <row r="20330">
      <c r="A20330" s="17">
        <v>5.055001E8</v>
      </c>
      <c r="B20330" s="17">
        <v>8460300.0</v>
      </c>
    </row>
    <row r="20331">
      <c r="A20331" s="17">
        <v>5.055001E8</v>
      </c>
      <c r="B20331" s="17">
        <v>8460500.0</v>
      </c>
    </row>
    <row r="20332">
      <c r="A20332" s="17">
        <v>5.055001E8</v>
      </c>
      <c r="B20332" s="17">
        <v>8510000.0</v>
      </c>
    </row>
    <row r="20333">
      <c r="A20333" s="17">
        <v>5.055001E8</v>
      </c>
      <c r="B20333" s="17">
        <v>8510001.0</v>
      </c>
    </row>
    <row r="20334">
      <c r="A20334" s="17">
        <v>5.055001E8</v>
      </c>
      <c r="B20334" s="17">
        <v>8510002.0</v>
      </c>
    </row>
    <row r="20335">
      <c r="A20335" s="17">
        <v>5.055001E8</v>
      </c>
      <c r="B20335" s="17">
        <v>8520000.0</v>
      </c>
    </row>
    <row r="20336">
      <c r="A20336" s="17">
        <v>5.055001E8</v>
      </c>
      <c r="B20336" s="17">
        <v>8520001.0</v>
      </c>
    </row>
    <row r="20337">
      <c r="A20337" s="17">
        <v>5.055001E8</v>
      </c>
      <c r="B20337" s="17">
        <v>8520002.0</v>
      </c>
    </row>
    <row r="20338">
      <c r="A20338" s="17">
        <v>5.055001E8</v>
      </c>
      <c r="B20338" s="17">
        <v>8530000.0</v>
      </c>
    </row>
    <row r="20339">
      <c r="A20339" s="17">
        <v>5.055001E8</v>
      </c>
      <c r="B20339" s="17">
        <v>8530100.0</v>
      </c>
    </row>
    <row r="20340">
      <c r="A20340" s="17">
        <v>5.055001E8</v>
      </c>
      <c r="B20340" s="17">
        <v>8540000.0</v>
      </c>
    </row>
    <row r="20341">
      <c r="A20341" s="17">
        <v>5.055001E8</v>
      </c>
      <c r="B20341" s="17">
        <v>8600100.0</v>
      </c>
    </row>
    <row r="20342">
      <c r="A20342" s="17">
        <v>5.055001E8</v>
      </c>
      <c r="B20342" s="17">
        <v>8600101.0</v>
      </c>
    </row>
    <row r="20343">
      <c r="A20343" s="17">
        <v>5.055001E8</v>
      </c>
      <c r="B20343" s="17">
        <v>8600102.0</v>
      </c>
    </row>
    <row r="20344">
      <c r="A20344" s="17">
        <v>5.055001E8</v>
      </c>
      <c r="B20344" s="17">
        <v>8600200.0</v>
      </c>
    </row>
    <row r="20345">
      <c r="A20345" s="17">
        <v>5.055001E8</v>
      </c>
      <c r="B20345" s="17">
        <v>8600201.0</v>
      </c>
    </row>
    <row r="20346">
      <c r="A20346" s="17">
        <v>5.055001E8</v>
      </c>
      <c r="B20346" s="17">
        <v>8600202.0</v>
      </c>
    </row>
    <row r="20347">
      <c r="A20347" s="17">
        <v>5.055001E8</v>
      </c>
      <c r="B20347" s="17">
        <v>8610700.0</v>
      </c>
    </row>
    <row r="20348">
      <c r="A20348" s="17">
        <v>5.055001E8</v>
      </c>
      <c r="B20348" s="17">
        <v>8610710.0</v>
      </c>
    </row>
    <row r="20349">
      <c r="A20349" s="17">
        <v>5.055001E8</v>
      </c>
      <c r="B20349" s="17">
        <v>8610720.0</v>
      </c>
    </row>
    <row r="20350">
      <c r="A20350" s="17">
        <v>5.055001E8</v>
      </c>
      <c r="B20350" s="17">
        <v>8620000.0</v>
      </c>
    </row>
    <row r="20351">
      <c r="A20351" s="17">
        <v>5.055001E8</v>
      </c>
      <c r="B20351" s="17">
        <v>8620010.0</v>
      </c>
    </row>
    <row r="20352">
      <c r="A20352" s="17">
        <v>5.055001E8</v>
      </c>
      <c r="B20352" s="17">
        <v>8620020.0</v>
      </c>
    </row>
    <row r="20353">
      <c r="A20353" s="17">
        <v>5.055001E8</v>
      </c>
      <c r="B20353" s="17">
        <v>8620100.0</v>
      </c>
    </row>
    <row r="20354">
      <c r="A20354" s="17">
        <v>5.055001E8</v>
      </c>
      <c r="B20354" s="17">
        <v>8620110.0</v>
      </c>
    </row>
    <row r="20355">
      <c r="A20355" s="17">
        <v>5.055001E8</v>
      </c>
      <c r="B20355" s="17">
        <v>8620120.0</v>
      </c>
    </row>
    <row r="20356">
      <c r="A20356" s="17">
        <v>5.055001E8</v>
      </c>
      <c r="B20356" s="17">
        <v>8630000.0</v>
      </c>
    </row>
    <row r="20357">
      <c r="A20357" s="17">
        <v>5.055001E8</v>
      </c>
      <c r="B20357" s="17">
        <v>8630000.0</v>
      </c>
    </row>
    <row r="20358">
      <c r="A20358" s="17">
        <v>5.055001E8</v>
      </c>
      <c r="B20358" s="17">
        <v>8630000.0</v>
      </c>
    </row>
    <row r="20359">
      <c r="A20359" s="17">
        <v>5.055001E8</v>
      </c>
      <c r="B20359" s="17">
        <v>8630100.0</v>
      </c>
    </row>
    <row r="20360">
      <c r="A20360" s="17">
        <v>5.055001E8</v>
      </c>
      <c r="B20360" s="17">
        <v>8630100.0</v>
      </c>
    </row>
    <row r="20361">
      <c r="A20361" s="17">
        <v>5.055001E8</v>
      </c>
      <c r="B20361" s="17">
        <v>8630100.0</v>
      </c>
    </row>
    <row r="20362">
      <c r="A20362" s="17">
        <v>5.055001E8</v>
      </c>
      <c r="B20362" s="17">
        <v>8652000.0</v>
      </c>
    </row>
    <row r="20363">
      <c r="A20363" s="17">
        <v>5.055001E8</v>
      </c>
      <c r="B20363" s="17">
        <v>8652010.0</v>
      </c>
    </row>
    <row r="20364">
      <c r="A20364" s="17">
        <v>5.055001E8</v>
      </c>
      <c r="B20364" s="17">
        <v>8652020.0</v>
      </c>
    </row>
    <row r="20365">
      <c r="A20365" s="17">
        <v>5.055001E8</v>
      </c>
      <c r="B20365" s="17">
        <v>8652100.0</v>
      </c>
    </row>
    <row r="20366">
      <c r="A20366" s="17">
        <v>5.055001E8</v>
      </c>
      <c r="B20366" s="17">
        <v>8652110.0</v>
      </c>
    </row>
    <row r="20367">
      <c r="A20367" s="17">
        <v>5.055001E8</v>
      </c>
      <c r="B20367" s="17">
        <v>8652120.0</v>
      </c>
    </row>
    <row r="20368">
      <c r="A20368" s="17">
        <v>5.055001E8</v>
      </c>
      <c r="B20368" s="17">
        <v>8660000.0</v>
      </c>
    </row>
    <row r="20369">
      <c r="A20369" s="17">
        <v>5.055001E8</v>
      </c>
      <c r="B20369" s="17">
        <v>8660001.0</v>
      </c>
    </row>
    <row r="20370">
      <c r="A20370" s="17">
        <v>5.055001E8</v>
      </c>
      <c r="B20370" s="17">
        <v>8660002.0</v>
      </c>
    </row>
    <row r="20371">
      <c r="A20371" s="17">
        <v>5.055001E8</v>
      </c>
      <c r="B20371" s="17">
        <v>8660100.0</v>
      </c>
    </row>
    <row r="20372">
      <c r="A20372" s="17">
        <v>5.055001E8</v>
      </c>
      <c r="B20372" s="17">
        <v>8660101.0</v>
      </c>
    </row>
    <row r="20373">
      <c r="A20373" s="17">
        <v>5.055001E8</v>
      </c>
      <c r="B20373" s="17">
        <v>8660102.0</v>
      </c>
    </row>
    <row r="20374">
      <c r="A20374" s="17">
        <v>5.055001E8</v>
      </c>
      <c r="B20374" s="17">
        <v>8670000.0</v>
      </c>
    </row>
    <row r="20375">
      <c r="A20375" s="17">
        <v>5.055001E8</v>
      </c>
      <c r="B20375" s="17">
        <v>8670001.0</v>
      </c>
    </row>
    <row r="20376">
      <c r="A20376" s="17">
        <v>5.055001E8</v>
      </c>
      <c r="B20376" s="17">
        <v>8670002.0</v>
      </c>
    </row>
    <row r="20377">
      <c r="A20377" s="17">
        <v>5.055001E8</v>
      </c>
      <c r="B20377" s="17">
        <v>8670100.0</v>
      </c>
    </row>
    <row r="20378">
      <c r="A20378" s="17">
        <v>5.055001E8</v>
      </c>
      <c r="B20378" s="17">
        <v>8670101.0</v>
      </c>
    </row>
    <row r="20379">
      <c r="A20379" s="17">
        <v>5.055001E8</v>
      </c>
      <c r="B20379" s="17">
        <v>8670102.0</v>
      </c>
    </row>
    <row r="20380">
      <c r="A20380" s="17">
        <v>5.055001E8</v>
      </c>
      <c r="B20380" s="17">
        <v>8690000.0</v>
      </c>
    </row>
    <row r="20381">
      <c r="A20381" s="17">
        <v>5.055001E8</v>
      </c>
      <c r="B20381" s="17">
        <v>8690100.0</v>
      </c>
    </row>
    <row r="20382">
      <c r="A20382" s="17">
        <v>5.055001E8</v>
      </c>
      <c r="B20382" s="17">
        <v>8690200.0</v>
      </c>
    </row>
    <row r="20383">
      <c r="A20383" s="17">
        <v>5.055001E8</v>
      </c>
      <c r="B20383" s="17">
        <v>8690300.0</v>
      </c>
    </row>
    <row r="20384">
      <c r="A20384" s="17">
        <v>5.055001E8</v>
      </c>
      <c r="B20384" s="17">
        <v>8690400.0</v>
      </c>
    </row>
    <row r="20385">
      <c r="A20385" s="17">
        <v>5.055001E8</v>
      </c>
      <c r="B20385" s="17">
        <v>8850000.0</v>
      </c>
    </row>
    <row r="20386">
      <c r="A20386" s="17">
        <v>5.055001E8</v>
      </c>
      <c r="B20386" s="17">
        <v>8850100.0</v>
      </c>
    </row>
    <row r="20387">
      <c r="A20387" s="17">
        <v>5.055001E8</v>
      </c>
      <c r="B20387" s="17">
        <v>8850200.0</v>
      </c>
    </row>
    <row r="20388">
      <c r="A20388" s="17">
        <v>5.055001E8</v>
      </c>
      <c r="B20388" s="17">
        <v>8850300.0</v>
      </c>
    </row>
    <row r="20389">
      <c r="A20389" s="17">
        <v>5.055001E8</v>
      </c>
      <c r="B20389" s="17">
        <v>8850400.0</v>
      </c>
    </row>
    <row r="20390">
      <c r="A20390" s="17">
        <v>5.055001E8</v>
      </c>
      <c r="B20390" s="17">
        <v>8850500.0</v>
      </c>
    </row>
    <row r="20391">
      <c r="A20391" s="17">
        <v>5.055001E8</v>
      </c>
      <c r="B20391" s="17">
        <v>8850600.0</v>
      </c>
    </row>
    <row r="20392">
      <c r="A20392" s="17">
        <v>5.055001E8</v>
      </c>
      <c r="B20392" s="17">
        <v>8850700.0</v>
      </c>
    </row>
    <row r="20393">
      <c r="A20393" s="17">
        <v>5.055001E8</v>
      </c>
      <c r="B20393" s="17">
        <v>8850800.0</v>
      </c>
    </row>
    <row r="20394">
      <c r="A20394" s="17">
        <v>5.055001E8</v>
      </c>
      <c r="B20394" s="17">
        <v>8850900.0</v>
      </c>
    </row>
    <row r="20395">
      <c r="A20395" s="17">
        <v>5.055001E8</v>
      </c>
      <c r="B20395" s="17">
        <v>8851000.0</v>
      </c>
    </row>
    <row r="20396">
      <c r="A20396" s="17">
        <v>5.055001E8</v>
      </c>
      <c r="B20396" s="17">
        <v>8851100.0</v>
      </c>
    </row>
    <row r="20397">
      <c r="A20397" s="17">
        <v>5.055001E8</v>
      </c>
      <c r="B20397" s="17">
        <v>8851200.0</v>
      </c>
    </row>
    <row r="20398">
      <c r="A20398" s="17">
        <v>5.055001E8</v>
      </c>
      <c r="B20398" s="17">
        <v>8851300.0</v>
      </c>
    </row>
    <row r="20399">
      <c r="A20399" s="17">
        <v>5.055001E8</v>
      </c>
      <c r="B20399" s="17">
        <v>8851800.0</v>
      </c>
    </row>
    <row r="20400">
      <c r="A20400" s="17">
        <v>5.055001E8</v>
      </c>
      <c r="B20400" s="17">
        <v>8851900.0</v>
      </c>
    </row>
    <row r="20401">
      <c r="A20401" s="17">
        <v>5.055001E8</v>
      </c>
      <c r="B20401" s="17">
        <v>8852000.0</v>
      </c>
    </row>
    <row r="20402">
      <c r="A20402" s="17">
        <v>5.055001E8</v>
      </c>
      <c r="B20402" s="17">
        <v>8320500.0</v>
      </c>
    </row>
    <row r="20403">
      <c r="A20403" s="17">
        <v>5.055001E8</v>
      </c>
      <c r="B20403" s="17">
        <v>8320510.0</v>
      </c>
    </row>
    <row r="20404">
      <c r="A20404" s="17">
        <v>5.055001E8</v>
      </c>
      <c r="B20404" s="17">
        <v>8320520.0</v>
      </c>
    </row>
    <row r="20405">
      <c r="A20405" s="17">
        <v>5.055001E8</v>
      </c>
      <c r="B20405" s="17">
        <v>8320600.0</v>
      </c>
    </row>
    <row r="20406">
      <c r="A20406" s="17">
        <v>5.055001E8</v>
      </c>
      <c r="B20406" s="17">
        <v>8320610.0</v>
      </c>
    </row>
    <row r="20407">
      <c r="A20407" s="17">
        <v>5.055001E8</v>
      </c>
      <c r="B20407" s="17">
        <v>8320620.0</v>
      </c>
    </row>
    <row r="20408">
      <c r="A20408" s="17">
        <v>5.055001E8</v>
      </c>
      <c r="B20408" s="17">
        <v>8320700.0</v>
      </c>
    </row>
    <row r="20409">
      <c r="A20409" s="17">
        <v>5.055001E8</v>
      </c>
      <c r="B20409" s="17">
        <v>8320710.0</v>
      </c>
    </row>
    <row r="20410">
      <c r="A20410" s="17">
        <v>5.055001E8</v>
      </c>
      <c r="B20410" s="17">
        <v>8320720.0</v>
      </c>
    </row>
    <row r="20411">
      <c r="A20411" s="17">
        <v>5.055002E8</v>
      </c>
      <c r="B20411" s="17">
        <v>0.0</v>
      </c>
    </row>
    <row r="20412">
      <c r="A20412" s="17">
        <v>5.055002E8</v>
      </c>
      <c r="B20412" s="17">
        <v>8100100.0</v>
      </c>
    </row>
    <row r="20413">
      <c r="A20413" s="17">
        <v>5.055002E8</v>
      </c>
      <c r="B20413" s="17">
        <v>8100101.0</v>
      </c>
    </row>
    <row r="20414">
      <c r="A20414" s="17">
        <v>5.055002E8</v>
      </c>
      <c r="B20414" s="17">
        <v>8100102.0</v>
      </c>
    </row>
    <row r="20415">
      <c r="A20415" s="17">
        <v>5.055002E8</v>
      </c>
      <c r="B20415" s="17">
        <v>8100200.0</v>
      </c>
    </row>
    <row r="20416">
      <c r="A20416" s="17">
        <v>5.055002E8</v>
      </c>
      <c r="B20416" s="17">
        <v>8100201.0</v>
      </c>
    </row>
    <row r="20417">
      <c r="A20417" s="17">
        <v>5.055002E8</v>
      </c>
      <c r="B20417" s="17">
        <v>8100202.0</v>
      </c>
    </row>
    <row r="20418">
      <c r="A20418" s="17">
        <v>5.055002E8</v>
      </c>
      <c r="B20418" s="17">
        <v>8100300.0</v>
      </c>
    </row>
    <row r="20419">
      <c r="A20419" s="17">
        <v>5.055002E8</v>
      </c>
      <c r="B20419" s="17">
        <v>8100301.0</v>
      </c>
    </row>
    <row r="20420">
      <c r="A20420" s="17">
        <v>5.055002E8</v>
      </c>
      <c r="B20420" s="17">
        <v>8100302.0</v>
      </c>
    </row>
    <row r="20421">
      <c r="A20421" s="17">
        <v>5.055002E8</v>
      </c>
      <c r="B20421" s="17">
        <v>8100400.0</v>
      </c>
    </row>
    <row r="20422">
      <c r="A20422" s="17">
        <v>5.055002E8</v>
      </c>
      <c r="B20422" s="17">
        <v>8100401.0</v>
      </c>
    </row>
    <row r="20423">
      <c r="A20423" s="17">
        <v>5.055002E8</v>
      </c>
      <c r="B20423" s="17">
        <v>8100402.0</v>
      </c>
    </row>
    <row r="20424">
      <c r="A20424" s="17">
        <v>5.055002E8</v>
      </c>
      <c r="B20424" s="17">
        <v>8130000.0</v>
      </c>
    </row>
    <row r="20425">
      <c r="A20425" s="17">
        <v>5.055002E8</v>
      </c>
      <c r="B20425" s="17">
        <v>8130001.0</v>
      </c>
    </row>
    <row r="20426">
      <c r="A20426" s="17">
        <v>5.055002E8</v>
      </c>
      <c r="B20426" s="17">
        <v>8130002.0</v>
      </c>
    </row>
    <row r="20427">
      <c r="A20427" s="17">
        <v>5.055002E8</v>
      </c>
      <c r="B20427" s="17">
        <v>8140000.0</v>
      </c>
    </row>
    <row r="20428">
      <c r="A20428" s="17">
        <v>5.055002E8</v>
      </c>
      <c r="B20428" s="17">
        <v>8140001.0</v>
      </c>
    </row>
    <row r="20429">
      <c r="A20429" s="17">
        <v>5.055002E8</v>
      </c>
      <c r="B20429" s="17">
        <v>8140002.0</v>
      </c>
    </row>
    <row r="20430">
      <c r="A20430" s="17">
        <v>5.055002E8</v>
      </c>
      <c r="B20430" s="17">
        <v>8200100.0</v>
      </c>
    </row>
    <row r="20431">
      <c r="A20431" s="17">
        <v>5.055002E8</v>
      </c>
      <c r="B20431" s="17">
        <v>8200101.0</v>
      </c>
    </row>
    <row r="20432">
      <c r="A20432" s="17">
        <v>5.055002E8</v>
      </c>
      <c r="B20432" s="17">
        <v>8200102.0</v>
      </c>
    </row>
    <row r="20433">
      <c r="A20433" s="17">
        <v>5.055002E8</v>
      </c>
      <c r="B20433" s="17">
        <v>8200200.0</v>
      </c>
    </row>
    <row r="20434">
      <c r="A20434" s="17">
        <v>5.055002E8</v>
      </c>
      <c r="B20434" s="17">
        <v>8200201.0</v>
      </c>
    </row>
    <row r="20435">
      <c r="A20435" s="17">
        <v>5.055002E8</v>
      </c>
      <c r="B20435" s="17">
        <v>8200202.0</v>
      </c>
    </row>
    <row r="20436">
      <c r="A20436" s="17">
        <v>5.055002E8</v>
      </c>
      <c r="B20436" s="17">
        <v>8200300.0</v>
      </c>
    </row>
    <row r="20437">
      <c r="A20437" s="17">
        <v>5.055002E8</v>
      </c>
      <c r="B20437" s="17">
        <v>8200301.0</v>
      </c>
    </row>
    <row r="20438">
      <c r="A20438" s="17">
        <v>5.055002E8</v>
      </c>
      <c r="B20438" s="17">
        <v>8200302.0</v>
      </c>
    </row>
    <row r="20439">
      <c r="A20439" s="17">
        <v>5.055002E8</v>
      </c>
      <c r="B20439" s="17">
        <v>8200400.0</v>
      </c>
    </row>
    <row r="20440">
      <c r="A20440" s="17">
        <v>5.055002E8</v>
      </c>
      <c r="B20440" s="17">
        <v>8200401.0</v>
      </c>
    </row>
    <row r="20441">
      <c r="A20441" s="17">
        <v>5.055002E8</v>
      </c>
      <c r="B20441" s="17">
        <v>8200402.0</v>
      </c>
    </row>
    <row r="20442">
      <c r="A20442" s="17">
        <v>5.055002E8</v>
      </c>
      <c r="B20442" s="17">
        <v>8210000.0</v>
      </c>
    </row>
    <row r="20443">
      <c r="A20443" s="17">
        <v>5.055002E8</v>
      </c>
      <c r="B20443" s="17">
        <v>8210001.0</v>
      </c>
    </row>
    <row r="20444">
      <c r="A20444" s="17">
        <v>5.055002E8</v>
      </c>
      <c r="B20444" s="17">
        <v>8210002.0</v>
      </c>
    </row>
    <row r="20445">
      <c r="A20445" s="17">
        <v>5.055002E8</v>
      </c>
      <c r="B20445" s="17">
        <v>8210100.0</v>
      </c>
    </row>
    <row r="20446">
      <c r="A20446" s="17">
        <v>5.055002E8</v>
      </c>
      <c r="B20446" s="17">
        <v>8210101.0</v>
      </c>
    </row>
    <row r="20447">
      <c r="A20447" s="17">
        <v>5.055002E8</v>
      </c>
      <c r="B20447" s="17">
        <v>8210102.0</v>
      </c>
    </row>
    <row r="20448">
      <c r="A20448" s="17">
        <v>5.055002E8</v>
      </c>
      <c r="B20448" s="17">
        <v>8210200.0</v>
      </c>
    </row>
    <row r="20449">
      <c r="A20449" s="17">
        <v>5.055002E8</v>
      </c>
      <c r="B20449" s="17">
        <v>8210201.0</v>
      </c>
    </row>
    <row r="20450">
      <c r="A20450" s="17">
        <v>5.055002E8</v>
      </c>
      <c r="B20450" s="17">
        <v>8210202.0</v>
      </c>
    </row>
    <row r="20451">
      <c r="A20451" s="17">
        <v>5.055002E8</v>
      </c>
      <c r="B20451" s="17">
        <v>8210300.0</v>
      </c>
    </row>
    <row r="20452">
      <c r="A20452" s="17">
        <v>5.055002E8</v>
      </c>
      <c r="B20452" s="17">
        <v>8210301.0</v>
      </c>
    </row>
    <row r="20453">
      <c r="A20453" s="17">
        <v>5.055002E8</v>
      </c>
      <c r="B20453" s="17">
        <v>8210302.0</v>
      </c>
    </row>
    <row r="20454">
      <c r="A20454" s="17">
        <v>5.055002E8</v>
      </c>
      <c r="B20454" s="17">
        <v>8210400.0</v>
      </c>
    </row>
    <row r="20455">
      <c r="A20455" s="17">
        <v>5.055002E8</v>
      </c>
      <c r="B20455" s="17">
        <v>8210401.0</v>
      </c>
    </row>
    <row r="20456">
      <c r="A20456" s="17">
        <v>5.055002E8</v>
      </c>
      <c r="B20456" s="17">
        <v>8210402.0</v>
      </c>
    </row>
    <row r="20457">
      <c r="A20457" s="17">
        <v>5.055002E8</v>
      </c>
      <c r="B20457" s="17">
        <v>8210500.0</v>
      </c>
    </row>
    <row r="20458">
      <c r="A20458" s="17">
        <v>5.055002E8</v>
      </c>
      <c r="B20458" s="17">
        <v>8210501.0</v>
      </c>
    </row>
    <row r="20459">
      <c r="A20459" s="17">
        <v>5.055002E8</v>
      </c>
      <c r="B20459" s="17">
        <v>8210502.0</v>
      </c>
    </row>
    <row r="20460">
      <c r="A20460" s="17">
        <v>5.055002E8</v>
      </c>
      <c r="B20460" s="17">
        <v>8210600.0</v>
      </c>
    </row>
    <row r="20461">
      <c r="A20461" s="17">
        <v>5.055002E8</v>
      </c>
      <c r="B20461" s="17">
        <v>8210601.0</v>
      </c>
    </row>
    <row r="20462">
      <c r="A20462" s="17">
        <v>5.055002E8</v>
      </c>
      <c r="B20462" s="17">
        <v>8210602.0</v>
      </c>
    </row>
    <row r="20463">
      <c r="A20463" s="17">
        <v>5.055002E8</v>
      </c>
      <c r="B20463" s="17">
        <v>8220000.0</v>
      </c>
    </row>
    <row r="20464">
      <c r="A20464" s="17">
        <v>5.055002E8</v>
      </c>
      <c r="B20464" s="17">
        <v>8220001.0</v>
      </c>
    </row>
    <row r="20465">
      <c r="A20465" s="17">
        <v>5.055002E8</v>
      </c>
      <c r="B20465" s="17">
        <v>8220002.0</v>
      </c>
    </row>
    <row r="20466">
      <c r="A20466" s="17">
        <v>5.055002E8</v>
      </c>
      <c r="B20466" s="17">
        <v>8300000.0</v>
      </c>
    </row>
    <row r="20467">
      <c r="A20467" s="17">
        <v>5.055002E8</v>
      </c>
      <c r="B20467" s="17">
        <v>8300001.0</v>
      </c>
    </row>
    <row r="20468">
      <c r="A20468" s="17">
        <v>5.055002E8</v>
      </c>
      <c r="B20468" s="17">
        <v>8300002.0</v>
      </c>
    </row>
    <row r="20469">
      <c r="A20469" s="17">
        <v>5.055002E8</v>
      </c>
      <c r="B20469" s="17">
        <v>8310000.0</v>
      </c>
    </row>
    <row r="20470">
      <c r="A20470" s="17">
        <v>5.055002E8</v>
      </c>
      <c r="B20470" s="17">
        <v>8310001.0</v>
      </c>
    </row>
    <row r="20471">
      <c r="A20471" s="17">
        <v>5.055002E8</v>
      </c>
      <c r="B20471" s="17">
        <v>8310002.0</v>
      </c>
    </row>
    <row r="20472">
      <c r="A20472" s="17">
        <v>5.055002E8</v>
      </c>
      <c r="B20472" s="17">
        <v>8320000.0</v>
      </c>
    </row>
    <row r="20473">
      <c r="A20473" s="17">
        <v>5.055002E8</v>
      </c>
      <c r="B20473" s="17">
        <v>8320001.0</v>
      </c>
    </row>
    <row r="20474">
      <c r="A20474" s="17">
        <v>5.055002E8</v>
      </c>
      <c r="B20474" s="17">
        <v>8320002.0</v>
      </c>
    </row>
    <row r="20475">
      <c r="A20475" s="17">
        <v>5.055002E8</v>
      </c>
      <c r="B20475" s="17">
        <v>8320100.0</v>
      </c>
    </row>
    <row r="20476">
      <c r="A20476" s="17">
        <v>5.055002E8</v>
      </c>
      <c r="B20476" s="17">
        <v>8320101.0</v>
      </c>
    </row>
    <row r="20477">
      <c r="A20477" s="17">
        <v>5.055002E8</v>
      </c>
      <c r="B20477" s="17">
        <v>8320102.0</v>
      </c>
    </row>
    <row r="20478">
      <c r="A20478" s="17">
        <v>5.055002E8</v>
      </c>
      <c r="B20478" s="17">
        <v>8320300.0</v>
      </c>
    </row>
    <row r="20479">
      <c r="A20479" s="17">
        <v>5.055002E8</v>
      </c>
      <c r="B20479" s="17">
        <v>8320301.0</v>
      </c>
    </row>
    <row r="20480">
      <c r="A20480" s="17">
        <v>5.055002E8</v>
      </c>
      <c r="B20480" s="17">
        <v>8320302.0</v>
      </c>
    </row>
    <row r="20481">
      <c r="A20481" s="17">
        <v>5.055002E8</v>
      </c>
      <c r="B20481" s="17">
        <v>8320400.0</v>
      </c>
    </row>
    <row r="20482">
      <c r="A20482" s="17">
        <v>5.055002E8</v>
      </c>
      <c r="B20482" s="17">
        <v>8320410.0</v>
      </c>
    </row>
    <row r="20483">
      <c r="A20483" s="17">
        <v>5.055002E8</v>
      </c>
      <c r="B20483" s="17">
        <v>8320420.0</v>
      </c>
    </row>
    <row r="20484">
      <c r="A20484" s="17">
        <v>5.055002E8</v>
      </c>
      <c r="B20484" s="17">
        <v>8330000.0</v>
      </c>
    </row>
    <row r="20485">
      <c r="A20485" s="17">
        <v>5.055002E8</v>
      </c>
      <c r="B20485" s="17">
        <v>8330001.0</v>
      </c>
    </row>
    <row r="20486">
      <c r="A20486" s="17">
        <v>5.055002E8</v>
      </c>
      <c r="B20486" s="17">
        <v>8330002.0</v>
      </c>
    </row>
    <row r="20487">
      <c r="A20487" s="17">
        <v>5.055002E8</v>
      </c>
      <c r="B20487" s="17">
        <v>8330100.0</v>
      </c>
    </row>
    <row r="20488">
      <c r="A20488" s="17">
        <v>5.055002E8</v>
      </c>
      <c r="B20488" s="17">
        <v>8330101.0</v>
      </c>
    </row>
    <row r="20489">
      <c r="A20489" s="17">
        <v>5.055002E8</v>
      </c>
      <c r="B20489" s="17">
        <v>8330102.0</v>
      </c>
    </row>
    <row r="20490">
      <c r="A20490" s="17">
        <v>5.055002E8</v>
      </c>
      <c r="B20490" s="17">
        <v>8330200.0</v>
      </c>
    </row>
    <row r="20491">
      <c r="A20491" s="17">
        <v>5.055002E8</v>
      </c>
      <c r="B20491" s="17">
        <v>8330201.0</v>
      </c>
    </row>
    <row r="20492">
      <c r="A20492" s="17">
        <v>5.055002E8</v>
      </c>
      <c r="B20492" s="17">
        <v>8330202.0</v>
      </c>
    </row>
    <row r="20493">
      <c r="A20493" s="17">
        <v>5.055002E8</v>
      </c>
      <c r="B20493" s="17">
        <v>8330300.0</v>
      </c>
    </row>
    <row r="20494">
      <c r="A20494" s="17">
        <v>5.055002E8</v>
      </c>
      <c r="B20494" s="17">
        <v>8330301.0</v>
      </c>
    </row>
    <row r="20495">
      <c r="A20495" s="17">
        <v>5.055002E8</v>
      </c>
      <c r="B20495" s="17">
        <v>8330302.0</v>
      </c>
    </row>
    <row r="20496">
      <c r="A20496" s="17">
        <v>5.055002E8</v>
      </c>
      <c r="B20496" s="17">
        <v>8330400.0</v>
      </c>
    </row>
    <row r="20497">
      <c r="A20497" s="17">
        <v>5.055002E8</v>
      </c>
      <c r="B20497" s="17">
        <v>8330401.0</v>
      </c>
    </row>
    <row r="20498">
      <c r="A20498" s="17">
        <v>5.055002E8</v>
      </c>
      <c r="B20498" s="17">
        <v>8330600.0</v>
      </c>
    </row>
    <row r="20499">
      <c r="A20499" s="17">
        <v>5.055002E8</v>
      </c>
      <c r="B20499" s="17">
        <v>8330601.0</v>
      </c>
    </row>
    <row r="20500">
      <c r="A20500" s="17">
        <v>5.055002E8</v>
      </c>
      <c r="B20500" s="17">
        <v>8330602.0</v>
      </c>
    </row>
    <row r="20501">
      <c r="A20501" s="17">
        <v>5.055002E8</v>
      </c>
      <c r="B20501" s="17">
        <v>8330900.0</v>
      </c>
    </row>
    <row r="20502">
      <c r="A20502" s="17">
        <v>5.055002E8</v>
      </c>
      <c r="B20502" s="17">
        <v>8330910.0</v>
      </c>
    </row>
    <row r="20503">
      <c r="A20503" s="17">
        <v>5.055002E8</v>
      </c>
      <c r="B20503" s="17">
        <v>8330920.0</v>
      </c>
    </row>
    <row r="20504">
      <c r="A20504" s="17">
        <v>5.055002E8</v>
      </c>
      <c r="B20504" s="17">
        <v>8340000.0</v>
      </c>
    </row>
    <row r="20505">
      <c r="A20505" s="17">
        <v>5.055002E8</v>
      </c>
      <c r="B20505" s="17">
        <v>8340001.0</v>
      </c>
    </row>
    <row r="20506">
      <c r="A20506" s="17">
        <v>5.055002E8</v>
      </c>
      <c r="B20506" s="17">
        <v>8340002.0</v>
      </c>
    </row>
    <row r="20507">
      <c r="A20507" s="17">
        <v>5.055002E8</v>
      </c>
      <c r="B20507" s="17">
        <v>8340100.0</v>
      </c>
    </row>
    <row r="20508">
      <c r="A20508" s="17">
        <v>5.055002E8</v>
      </c>
      <c r="B20508" s="17">
        <v>8340101.0</v>
      </c>
    </row>
    <row r="20509">
      <c r="A20509" s="17">
        <v>5.055002E8</v>
      </c>
      <c r="B20509" s="17">
        <v>8340102.0</v>
      </c>
    </row>
    <row r="20510">
      <c r="A20510" s="17">
        <v>5.055002E8</v>
      </c>
      <c r="B20510" s="17">
        <v>8350000.0</v>
      </c>
    </row>
    <row r="20511">
      <c r="A20511" s="17">
        <v>5.055002E8</v>
      </c>
      <c r="B20511" s="17">
        <v>8350001.0</v>
      </c>
    </row>
    <row r="20512">
      <c r="A20512" s="17">
        <v>5.055002E8</v>
      </c>
      <c r="B20512" s="17">
        <v>8350002.0</v>
      </c>
    </row>
    <row r="20513">
      <c r="A20513" s="17">
        <v>5.055002E8</v>
      </c>
      <c r="B20513" s="17">
        <v>8350200.0</v>
      </c>
    </row>
    <row r="20514">
      <c r="A20514" s="17">
        <v>5.055002E8</v>
      </c>
      <c r="B20514" s="17">
        <v>8350201.0</v>
      </c>
    </row>
    <row r="20515">
      <c r="A20515" s="17">
        <v>5.055002E8</v>
      </c>
      <c r="B20515" s="17">
        <v>8350202.0</v>
      </c>
    </row>
    <row r="20516">
      <c r="A20516" s="17">
        <v>5.055002E8</v>
      </c>
      <c r="B20516" s="17">
        <v>8420000.0</v>
      </c>
    </row>
    <row r="20517">
      <c r="A20517" s="17">
        <v>5.055002E8</v>
      </c>
      <c r="B20517" s="17">
        <v>8420001.0</v>
      </c>
    </row>
    <row r="20518">
      <c r="A20518" s="17">
        <v>5.055002E8</v>
      </c>
      <c r="B20518" s="17">
        <v>8420002.0</v>
      </c>
    </row>
    <row r="20519">
      <c r="A20519" s="17">
        <v>5.055002E8</v>
      </c>
      <c r="B20519" s="17">
        <v>8450000.0</v>
      </c>
    </row>
    <row r="20520">
      <c r="A20520" s="17">
        <v>5.055002E8</v>
      </c>
      <c r="B20520" s="17">
        <v>8460100.0</v>
      </c>
    </row>
    <row r="20521">
      <c r="A20521" s="17">
        <v>5.055002E8</v>
      </c>
      <c r="B20521" s="17">
        <v>8460300.0</v>
      </c>
    </row>
    <row r="20522">
      <c r="A20522" s="17">
        <v>5.055002E8</v>
      </c>
      <c r="B20522" s="17">
        <v>8460500.0</v>
      </c>
    </row>
    <row r="20523">
      <c r="A20523" s="17">
        <v>5.055002E8</v>
      </c>
      <c r="B20523" s="17">
        <v>8510000.0</v>
      </c>
    </row>
    <row r="20524">
      <c r="A20524" s="17">
        <v>5.055002E8</v>
      </c>
      <c r="B20524" s="17">
        <v>8510001.0</v>
      </c>
    </row>
    <row r="20525">
      <c r="A20525" s="17">
        <v>5.055002E8</v>
      </c>
      <c r="B20525" s="17">
        <v>8510002.0</v>
      </c>
    </row>
    <row r="20526">
      <c r="A20526" s="17">
        <v>5.055002E8</v>
      </c>
      <c r="B20526" s="17">
        <v>8520000.0</v>
      </c>
    </row>
    <row r="20527">
      <c r="A20527" s="17">
        <v>5.055002E8</v>
      </c>
      <c r="B20527" s="17">
        <v>8520001.0</v>
      </c>
    </row>
    <row r="20528">
      <c r="A20528" s="17">
        <v>5.055002E8</v>
      </c>
      <c r="B20528" s="17">
        <v>8520002.0</v>
      </c>
    </row>
    <row r="20529">
      <c r="A20529" s="17">
        <v>5.055002E8</v>
      </c>
      <c r="B20529" s="17">
        <v>8530000.0</v>
      </c>
    </row>
    <row r="20530">
      <c r="A20530" s="17">
        <v>5.055002E8</v>
      </c>
      <c r="B20530" s="17">
        <v>8530100.0</v>
      </c>
    </row>
    <row r="20531">
      <c r="A20531" s="17">
        <v>5.055002E8</v>
      </c>
      <c r="B20531" s="17">
        <v>8540000.0</v>
      </c>
    </row>
    <row r="20532">
      <c r="A20532" s="17">
        <v>5.055002E8</v>
      </c>
      <c r="B20532" s="17">
        <v>8600100.0</v>
      </c>
    </row>
    <row r="20533">
      <c r="A20533" s="17">
        <v>5.055002E8</v>
      </c>
      <c r="B20533" s="17">
        <v>8600101.0</v>
      </c>
    </row>
    <row r="20534">
      <c r="A20534" s="17">
        <v>5.055002E8</v>
      </c>
      <c r="B20534" s="17">
        <v>8600102.0</v>
      </c>
    </row>
    <row r="20535">
      <c r="A20535" s="17">
        <v>5.055002E8</v>
      </c>
      <c r="B20535" s="17">
        <v>8600200.0</v>
      </c>
    </row>
    <row r="20536">
      <c r="A20536" s="17">
        <v>5.055002E8</v>
      </c>
      <c r="B20536" s="17">
        <v>8600201.0</v>
      </c>
    </row>
    <row r="20537">
      <c r="A20537" s="17">
        <v>5.055002E8</v>
      </c>
      <c r="B20537" s="17">
        <v>8600202.0</v>
      </c>
    </row>
    <row r="20538">
      <c r="A20538" s="17">
        <v>5.055002E8</v>
      </c>
      <c r="B20538" s="17">
        <v>8610700.0</v>
      </c>
    </row>
    <row r="20539">
      <c r="A20539" s="17">
        <v>5.055002E8</v>
      </c>
      <c r="B20539" s="17">
        <v>8610710.0</v>
      </c>
    </row>
    <row r="20540">
      <c r="A20540" s="17">
        <v>5.055002E8</v>
      </c>
      <c r="B20540" s="17">
        <v>8610720.0</v>
      </c>
    </row>
    <row r="20541">
      <c r="A20541" s="17">
        <v>5.055002E8</v>
      </c>
      <c r="B20541" s="17">
        <v>8620000.0</v>
      </c>
    </row>
    <row r="20542">
      <c r="A20542" s="17">
        <v>5.055002E8</v>
      </c>
      <c r="B20542" s="17">
        <v>8620010.0</v>
      </c>
    </row>
    <row r="20543">
      <c r="A20543" s="17">
        <v>5.055002E8</v>
      </c>
      <c r="B20543" s="17">
        <v>8620020.0</v>
      </c>
    </row>
    <row r="20544">
      <c r="A20544" s="17">
        <v>5.055002E8</v>
      </c>
      <c r="B20544" s="17">
        <v>8620100.0</v>
      </c>
    </row>
    <row r="20545">
      <c r="A20545" s="17">
        <v>5.055002E8</v>
      </c>
      <c r="B20545" s="17">
        <v>8620110.0</v>
      </c>
    </row>
    <row r="20546">
      <c r="A20546" s="17">
        <v>5.055002E8</v>
      </c>
      <c r="B20546" s="17">
        <v>8620120.0</v>
      </c>
    </row>
    <row r="20547">
      <c r="A20547" s="17">
        <v>5.055002E8</v>
      </c>
      <c r="B20547" s="17">
        <v>8630000.0</v>
      </c>
    </row>
    <row r="20548">
      <c r="A20548" s="17">
        <v>5.055002E8</v>
      </c>
      <c r="B20548" s="17">
        <v>8630000.0</v>
      </c>
    </row>
    <row r="20549">
      <c r="A20549" s="17">
        <v>5.055002E8</v>
      </c>
      <c r="B20549" s="17">
        <v>8630000.0</v>
      </c>
    </row>
    <row r="20550">
      <c r="A20550" s="17">
        <v>5.055002E8</v>
      </c>
      <c r="B20550" s="17">
        <v>8630100.0</v>
      </c>
    </row>
    <row r="20551">
      <c r="A20551" s="17">
        <v>5.055002E8</v>
      </c>
      <c r="B20551" s="17">
        <v>8630100.0</v>
      </c>
    </row>
    <row r="20552">
      <c r="A20552" s="17">
        <v>5.055002E8</v>
      </c>
      <c r="B20552" s="17">
        <v>8630100.0</v>
      </c>
    </row>
    <row r="20553">
      <c r="A20553" s="17">
        <v>5.055002E8</v>
      </c>
      <c r="B20553" s="17">
        <v>8652000.0</v>
      </c>
    </row>
    <row r="20554">
      <c r="A20554" s="17">
        <v>5.055002E8</v>
      </c>
      <c r="B20554" s="17">
        <v>8652010.0</v>
      </c>
    </row>
    <row r="20555">
      <c r="A20555" s="17">
        <v>5.055002E8</v>
      </c>
      <c r="B20555" s="17">
        <v>8652020.0</v>
      </c>
    </row>
    <row r="20556">
      <c r="A20556" s="17">
        <v>5.055002E8</v>
      </c>
      <c r="B20556" s="17">
        <v>8652100.0</v>
      </c>
    </row>
    <row r="20557">
      <c r="A20557" s="17">
        <v>5.055002E8</v>
      </c>
      <c r="B20557" s="17">
        <v>8652110.0</v>
      </c>
    </row>
    <row r="20558">
      <c r="A20558" s="17">
        <v>5.055002E8</v>
      </c>
      <c r="B20558" s="17">
        <v>8652120.0</v>
      </c>
    </row>
    <row r="20559">
      <c r="A20559" s="17">
        <v>5.055002E8</v>
      </c>
      <c r="B20559" s="17">
        <v>8660000.0</v>
      </c>
    </row>
    <row r="20560">
      <c r="A20560" s="17">
        <v>5.055002E8</v>
      </c>
      <c r="B20560" s="17">
        <v>8660001.0</v>
      </c>
    </row>
    <row r="20561">
      <c r="A20561" s="17">
        <v>5.055002E8</v>
      </c>
      <c r="B20561" s="17">
        <v>8660002.0</v>
      </c>
    </row>
    <row r="20562">
      <c r="A20562" s="17">
        <v>5.055002E8</v>
      </c>
      <c r="B20562" s="17">
        <v>8660100.0</v>
      </c>
    </row>
    <row r="20563">
      <c r="A20563" s="17">
        <v>5.055002E8</v>
      </c>
      <c r="B20563" s="17">
        <v>8660101.0</v>
      </c>
    </row>
    <row r="20564">
      <c r="A20564" s="17">
        <v>5.055002E8</v>
      </c>
      <c r="B20564" s="17">
        <v>8660102.0</v>
      </c>
    </row>
    <row r="20565">
      <c r="A20565" s="17">
        <v>5.055002E8</v>
      </c>
      <c r="B20565" s="17">
        <v>8670000.0</v>
      </c>
    </row>
    <row r="20566">
      <c r="A20566" s="17">
        <v>5.055002E8</v>
      </c>
      <c r="B20566" s="17">
        <v>8670001.0</v>
      </c>
    </row>
    <row r="20567">
      <c r="A20567" s="17">
        <v>5.055002E8</v>
      </c>
      <c r="B20567" s="17">
        <v>8670002.0</v>
      </c>
    </row>
    <row r="20568">
      <c r="A20568" s="17">
        <v>5.055002E8</v>
      </c>
      <c r="B20568" s="17">
        <v>8670100.0</v>
      </c>
    </row>
    <row r="20569">
      <c r="A20569" s="17">
        <v>5.055002E8</v>
      </c>
      <c r="B20569" s="17">
        <v>8670101.0</v>
      </c>
    </row>
    <row r="20570">
      <c r="A20570" s="17">
        <v>5.055002E8</v>
      </c>
      <c r="B20570" s="17">
        <v>8670102.0</v>
      </c>
    </row>
    <row r="20571">
      <c r="A20571" s="17">
        <v>5.055002E8</v>
      </c>
      <c r="B20571" s="17">
        <v>8690000.0</v>
      </c>
    </row>
    <row r="20572">
      <c r="A20572" s="17">
        <v>5.055002E8</v>
      </c>
      <c r="B20572" s="17">
        <v>8690100.0</v>
      </c>
    </row>
    <row r="20573">
      <c r="A20573" s="17">
        <v>5.055002E8</v>
      </c>
      <c r="B20573" s="17">
        <v>8690200.0</v>
      </c>
    </row>
    <row r="20574">
      <c r="A20574" s="17">
        <v>5.055002E8</v>
      </c>
      <c r="B20574" s="17">
        <v>8690300.0</v>
      </c>
    </row>
    <row r="20575">
      <c r="A20575" s="17">
        <v>5.055002E8</v>
      </c>
      <c r="B20575" s="17">
        <v>8690400.0</v>
      </c>
    </row>
    <row r="20576">
      <c r="A20576" s="17">
        <v>5.055002E8</v>
      </c>
      <c r="B20576" s="17">
        <v>8850000.0</v>
      </c>
    </row>
    <row r="20577">
      <c r="A20577" s="17">
        <v>5.055002E8</v>
      </c>
      <c r="B20577" s="17">
        <v>8850100.0</v>
      </c>
    </row>
    <row r="20578">
      <c r="A20578" s="17">
        <v>5.055002E8</v>
      </c>
      <c r="B20578" s="17">
        <v>8850200.0</v>
      </c>
    </row>
    <row r="20579">
      <c r="A20579" s="17">
        <v>5.055002E8</v>
      </c>
      <c r="B20579" s="17">
        <v>8850300.0</v>
      </c>
    </row>
    <row r="20580">
      <c r="A20580" s="17">
        <v>5.055002E8</v>
      </c>
      <c r="B20580" s="17">
        <v>8850400.0</v>
      </c>
    </row>
    <row r="20581">
      <c r="A20581" s="17">
        <v>5.055002E8</v>
      </c>
      <c r="B20581" s="17">
        <v>8850500.0</v>
      </c>
    </row>
    <row r="20582">
      <c r="A20582" s="17">
        <v>5.055002E8</v>
      </c>
      <c r="B20582" s="17">
        <v>8850600.0</v>
      </c>
    </row>
    <row r="20583">
      <c r="A20583" s="17">
        <v>5.055002E8</v>
      </c>
      <c r="B20583" s="17">
        <v>8850700.0</v>
      </c>
    </row>
    <row r="20584">
      <c r="A20584" s="17">
        <v>5.055002E8</v>
      </c>
      <c r="B20584" s="17">
        <v>8850800.0</v>
      </c>
    </row>
    <row r="20585">
      <c r="A20585" s="17">
        <v>5.055002E8</v>
      </c>
      <c r="B20585" s="17">
        <v>8850900.0</v>
      </c>
    </row>
    <row r="20586">
      <c r="A20586" s="17">
        <v>5.055002E8</v>
      </c>
      <c r="B20586" s="17">
        <v>8851000.0</v>
      </c>
    </row>
    <row r="20587">
      <c r="A20587" s="17">
        <v>5.055002E8</v>
      </c>
      <c r="B20587" s="17">
        <v>8851100.0</v>
      </c>
    </row>
    <row r="20588">
      <c r="A20588" s="17">
        <v>5.055002E8</v>
      </c>
      <c r="B20588" s="17">
        <v>8851200.0</v>
      </c>
    </row>
    <row r="20589">
      <c r="A20589" s="17">
        <v>5.055002E8</v>
      </c>
      <c r="B20589" s="17">
        <v>8851300.0</v>
      </c>
    </row>
    <row r="20590">
      <c r="A20590" s="17">
        <v>5.055002E8</v>
      </c>
      <c r="B20590" s="17">
        <v>8851800.0</v>
      </c>
    </row>
    <row r="20591">
      <c r="A20591" s="17">
        <v>5.055002E8</v>
      </c>
      <c r="B20591" s="17">
        <v>8851900.0</v>
      </c>
    </row>
    <row r="20592">
      <c r="A20592" s="17">
        <v>5.055002E8</v>
      </c>
      <c r="B20592" s="17">
        <v>8852000.0</v>
      </c>
    </row>
    <row r="20593">
      <c r="A20593" s="17">
        <v>5.055002E8</v>
      </c>
      <c r="B20593" s="17">
        <v>8320500.0</v>
      </c>
    </row>
    <row r="20594">
      <c r="A20594" s="17">
        <v>5.055002E8</v>
      </c>
      <c r="B20594" s="17">
        <v>8320510.0</v>
      </c>
    </row>
    <row r="20595">
      <c r="A20595" s="17">
        <v>5.055002E8</v>
      </c>
      <c r="B20595" s="17">
        <v>8320520.0</v>
      </c>
    </row>
    <row r="20596">
      <c r="A20596" s="17">
        <v>5.055002E8</v>
      </c>
      <c r="B20596" s="17">
        <v>8320600.0</v>
      </c>
    </row>
    <row r="20597">
      <c r="A20597" s="17">
        <v>5.055002E8</v>
      </c>
      <c r="B20597" s="17">
        <v>8320610.0</v>
      </c>
    </row>
    <row r="20598">
      <c r="A20598" s="17">
        <v>5.055002E8</v>
      </c>
      <c r="B20598" s="17">
        <v>8320620.0</v>
      </c>
    </row>
    <row r="20599">
      <c r="A20599" s="17">
        <v>5.055002E8</v>
      </c>
      <c r="B20599" s="17">
        <v>8320700.0</v>
      </c>
    </row>
    <row r="20600">
      <c r="A20600" s="17">
        <v>5.055002E8</v>
      </c>
      <c r="B20600" s="17">
        <v>8320710.0</v>
      </c>
    </row>
    <row r="20601">
      <c r="A20601" s="17">
        <v>5.055002E8</v>
      </c>
      <c r="B20601" s="17">
        <v>8320720.0</v>
      </c>
    </row>
    <row r="20602">
      <c r="A20602" s="17">
        <v>5.056001E8</v>
      </c>
      <c r="B20602" s="17">
        <v>0.0</v>
      </c>
    </row>
    <row r="20603">
      <c r="A20603" s="17">
        <v>5.056001E8</v>
      </c>
      <c r="B20603" s="17">
        <v>8100100.0</v>
      </c>
    </row>
    <row r="20604">
      <c r="A20604" s="17">
        <v>5.056001E8</v>
      </c>
      <c r="B20604" s="17">
        <v>8100101.0</v>
      </c>
    </row>
    <row r="20605">
      <c r="A20605" s="17">
        <v>5.056001E8</v>
      </c>
      <c r="B20605" s="17">
        <v>8100102.0</v>
      </c>
    </row>
    <row r="20606">
      <c r="A20606" s="17">
        <v>5.056001E8</v>
      </c>
      <c r="B20606" s="17">
        <v>8100200.0</v>
      </c>
    </row>
    <row r="20607">
      <c r="A20607" s="17">
        <v>5.056001E8</v>
      </c>
      <c r="B20607" s="17">
        <v>8100201.0</v>
      </c>
    </row>
    <row r="20608">
      <c r="A20608" s="17">
        <v>5.056001E8</v>
      </c>
      <c r="B20608" s="17">
        <v>8100202.0</v>
      </c>
    </row>
    <row r="20609">
      <c r="A20609" s="17">
        <v>5.056001E8</v>
      </c>
      <c r="B20609" s="17">
        <v>8100300.0</v>
      </c>
    </row>
    <row r="20610">
      <c r="A20610" s="17">
        <v>5.056001E8</v>
      </c>
      <c r="B20610" s="17">
        <v>8100301.0</v>
      </c>
    </row>
    <row r="20611">
      <c r="A20611" s="17">
        <v>5.056001E8</v>
      </c>
      <c r="B20611" s="17">
        <v>8100302.0</v>
      </c>
    </row>
    <row r="20612">
      <c r="A20612" s="17">
        <v>5.056001E8</v>
      </c>
      <c r="B20612" s="17">
        <v>8100400.0</v>
      </c>
    </row>
    <row r="20613">
      <c r="A20613" s="17">
        <v>5.056001E8</v>
      </c>
      <c r="B20613" s="17">
        <v>8100401.0</v>
      </c>
    </row>
    <row r="20614">
      <c r="A20614" s="17">
        <v>5.056001E8</v>
      </c>
      <c r="B20614" s="17">
        <v>8100402.0</v>
      </c>
    </row>
    <row r="20615">
      <c r="A20615" s="17">
        <v>5.056001E8</v>
      </c>
      <c r="B20615" s="17">
        <v>8130000.0</v>
      </c>
    </row>
    <row r="20616">
      <c r="A20616" s="17">
        <v>5.056001E8</v>
      </c>
      <c r="B20616" s="17">
        <v>8130001.0</v>
      </c>
    </row>
    <row r="20617">
      <c r="A20617" s="17">
        <v>5.056001E8</v>
      </c>
      <c r="B20617" s="17">
        <v>8130002.0</v>
      </c>
    </row>
    <row r="20618">
      <c r="A20618" s="17">
        <v>5.056001E8</v>
      </c>
      <c r="B20618" s="17">
        <v>8140000.0</v>
      </c>
    </row>
    <row r="20619">
      <c r="A20619" s="17">
        <v>5.056001E8</v>
      </c>
      <c r="B20619" s="17">
        <v>8140001.0</v>
      </c>
    </row>
    <row r="20620">
      <c r="A20620" s="17">
        <v>5.056001E8</v>
      </c>
      <c r="B20620" s="17">
        <v>8140002.0</v>
      </c>
    </row>
    <row r="20621">
      <c r="A20621" s="17">
        <v>5.056001E8</v>
      </c>
      <c r="B20621" s="17">
        <v>8200100.0</v>
      </c>
    </row>
    <row r="20622">
      <c r="A20622" s="17">
        <v>5.056001E8</v>
      </c>
      <c r="B20622" s="17">
        <v>8200101.0</v>
      </c>
    </row>
    <row r="20623">
      <c r="A20623" s="17">
        <v>5.056001E8</v>
      </c>
      <c r="B20623" s="17">
        <v>8200102.0</v>
      </c>
    </row>
    <row r="20624">
      <c r="A20624" s="17">
        <v>5.056001E8</v>
      </c>
      <c r="B20624" s="17">
        <v>8200200.0</v>
      </c>
    </row>
    <row r="20625">
      <c r="A20625" s="17">
        <v>5.056001E8</v>
      </c>
      <c r="B20625" s="17">
        <v>8200201.0</v>
      </c>
    </row>
    <row r="20626">
      <c r="A20626" s="17">
        <v>5.056001E8</v>
      </c>
      <c r="B20626" s="17">
        <v>8200202.0</v>
      </c>
    </row>
    <row r="20627">
      <c r="A20627" s="17">
        <v>5.056001E8</v>
      </c>
      <c r="B20627" s="17">
        <v>8200300.0</v>
      </c>
    </row>
    <row r="20628">
      <c r="A20628" s="17">
        <v>5.056001E8</v>
      </c>
      <c r="B20628" s="17">
        <v>8200301.0</v>
      </c>
    </row>
    <row r="20629">
      <c r="A20629" s="17">
        <v>5.056001E8</v>
      </c>
      <c r="B20629" s="17">
        <v>8200302.0</v>
      </c>
    </row>
    <row r="20630">
      <c r="A20630" s="17">
        <v>5.056001E8</v>
      </c>
      <c r="B20630" s="17">
        <v>8200400.0</v>
      </c>
    </row>
    <row r="20631">
      <c r="A20631" s="17">
        <v>5.056001E8</v>
      </c>
      <c r="B20631" s="17">
        <v>8200401.0</v>
      </c>
    </row>
    <row r="20632">
      <c r="A20632" s="17">
        <v>5.056001E8</v>
      </c>
      <c r="B20632" s="17">
        <v>8200402.0</v>
      </c>
    </row>
    <row r="20633">
      <c r="A20633" s="17">
        <v>5.056001E8</v>
      </c>
      <c r="B20633" s="17">
        <v>8210000.0</v>
      </c>
    </row>
    <row r="20634">
      <c r="A20634" s="17">
        <v>5.056001E8</v>
      </c>
      <c r="B20634" s="17">
        <v>8210001.0</v>
      </c>
    </row>
    <row r="20635">
      <c r="A20635" s="17">
        <v>5.056001E8</v>
      </c>
      <c r="B20635" s="17">
        <v>8210002.0</v>
      </c>
    </row>
    <row r="20636">
      <c r="A20636" s="17">
        <v>5.056001E8</v>
      </c>
      <c r="B20636" s="17">
        <v>8210100.0</v>
      </c>
    </row>
    <row r="20637">
      <c r="A20637" s="17">
        <v>5.056001E8</v>
      </c>
      <c r="B20637" s="17">
        <v>8210101.0</v>
      </c>
    </row>
    <row r="20638">
      <c r="A20638" s="17">
        <v>5.056001E8</v>
      </c>
      <c r="B20638" s="17">
        <v>8210102.0</v>
      </c>
    </row>
    <row r="20639">
      <c r="A20639" s="17">
        <v>5.056001E8</v>
      </c>
      <c r="B20639" s="17">
        <v>8210200.0</v>
      </c>
    </row>
    <row r="20640">
      <c r="A20640" s="17">
        <v>5.056001E8</v>
      </c>
      <c r="B20640" s="17">
        <v>8210201.0</v>
      </c>
    </row>
    <row r="20641">
      <c r="A20641" s="17">
        <v>5.056001E8</v>
      </c>
      <c r="B20641" s="17">
        <v>8210202.0</v>
      </c>
    </row>
    <row r="20642">
      <c r="A20642" s="17">
        <v>5.056001E8</v>
      </c>
      <c r="B20642" s="17">
        <v>8210300.0</v>
      </c>
    </row>
    <row r="20643">
      <c r="A20643" s="17">
        <v>5.056001E8</v>
      </c>
      <c r="B20643" s="17">
        <v>8210301.0</v>
      </c>
    </row>
    <row r="20644">
      <c r="A20644" s="17">
        <v>5.056001E8</v>
      </c>
      <c r="B20644" s="17">
        <v>8210302.0</v>
      </c>
    </row>
    <row r="20645">
      <c r="A20645" s="17">
        <v>5.056001E8</v>
      </c>
      <c r="B20645" s="17">
        <v>8210400.0</v>
      </c>
    </row>
    <row r="20646">
      <c r="A20646" s="17">
        <v>5.056001E8</v>
      </c>
      <c r="B20646" s="17">
        <v>8210401.0</v>
      </c>
    </row>
    <row r="20647">
      <c r="A20647" s="17">
        <v>5.056001E8</v>
      </c>
      <c r="B20647" s="17">
        <v>8210402.0</v>
      </c>
    </row>
    <row r="20648">
      <c r="A20648" s="17">
        <v>5.056001E8</v>
      </c>
      <c r="B20648" s="17">
        <v>8210500.0</v>
      </c>
    </row>
    <row r="20649">
      <c r="A20649" s="17">
        <v>5.056001E8</v>
      </c>
      <c r="B20649" s="17">
        <v>8210501.0</v>
      </c>
    </row>
    <row r="20650">
      <c r="A20650" s="17">
        <v>5.056001E8</v>
      </c>
      <c r="B20650" s="17">
        <v>8210502.0</v>
      </c>
    </row>
    <row r="20651">
      <c r="A20651" s="17">
        <v>5.056001E8</v>
      </c>
      <c r="B20651" s="17">
        <v>8210600.0</v>
      </c>
    </row>
    <row r="20652">
      <c r="A20652" s="17">
        <v>5.056001E8</v>
      </c>
      <c r="B20652" s="17">
        <v>8210601.0</v>
      </c>
    </row>
    <row r="20653">
      <c r="A20653" s="17">
        <v>5.056001E8</v>
      </c>
      <c r="B20653" s="17">
        <v>8210602.0</v>
      </c>
    </row>
    <row r="20654">
      <c r="A20654" s="17">
        <v>5.056001E8</v>
      </c>
      <c r="B20654" s="17">
        <v>8220000.0</v>
      </c>
    </row>
    <row r="20655">
      <c r="A20655" s="17">
        <v>5.056001E8</v>
      </c>
      <c r="B20655" s="17">
        <v>8220001.0</v>
      </c>
    </row>
    <row r="20656">
      <c r="A20656" s="17">
        <v>5.056001E8</v>
      </c>
      <c r="B20656" s="17">
        <v>8220002.0</v>
      </c>
    </row>
    <row r="20657">
      <c r="A20657" s="17">
        <v>5.056001E8</v>
      </c>
      <c r="B20657" s="17">
        <v>8300000.0</v>
      </c>
    </row>
    <row r="20658">
      <c r="A20658" s="17">
        <v>5.056001E8</v>
      </c>
      <c r="B20658" s="17">
        <v>8300001.0</v>
      </c>
    </row>
    <row r="20659">
      <c r="A20659" s="17">
        <v>5.056001E8</v>
      </c>
      <c r="B20659" s="17">
        <v>8300002.0</v>
      </c>
    </row>
    <row r="20660">
      <c r="A20660" s="17">
        <v>5.056001E8</v>
      </c>
      <c r="B20660" s="17">
        <v>8310000.0</v>
      </c>
    </row>
    <row r="20661">
      <c r="A20661" s="17">
        <v>5.056001E8</v>
      </c>
      <c r="B20661" s="17">
        <v>8310001.0</v>
      </c>
    </row>
    <row r="20662">
      <c r="A20662" s="17">
        <v>5.056001E8</v>
      </c>
      <c r="B20662" s="17">
        <v>8310002.0</v>
      </c>
    </row>
    <row r="20663">
      <c r="A20663" s="17">
        <v>5.056001E8</v>
      </c>
      <c r="B20663" s="17">
        <v>8320000.0</v>
      </c>
    </row>
    <row r="20664">
      <c r="A20664" s="17">
        <v>5.056001E8</v>
      </c>
      <c r="B20664" s="17">
        <v>8320001.0</v>
      </c>
    </row>
    <row r="20665">
      <c r="A20665" s="17">
        <v>5.056001E8</v>
      </c>
      <c r="B20665" s="17">
        <v>8320002.0</v>
      </c>
    </row>
    <row r="20666">
      <c r="A20666" s="17">
        <v>5.056001E8</v>
      </c>
      <c r="B20666" s="17">
        <v>8320100.0</v>
      </c>
    </row>
    <row r="20667">
      <c r="A20667" s="17">
        <v>5.056001E8</v>
      </c>
      <c r="B20667" s="17">
        <v>8320101.0</v>
      </c>
    </row>
    <row r="20668">
      <c r="A20668" s="17">
        <v>5.056001E8</v>
      </c>
      <c r="B20668" s="17">
        <v>8320102.0</v>
      </c>
    </row>
    <row r="20669">
      <c r="A20669" s="17">
        <v>5.056001E8</v>
      </c>
      <c r="B20669" s="17">
        <v>8320300.0</v>
      </c>
    </row>
    <row r="20670">
      <c r="A20670" s="17">
        <v>5.056001E8</v>
      </c>
      <c r="B20670" s="17">
        <v>8320301.0</v>
      </c>
    </row>
    <row r="20671">
      <c r="A20671" s="17">
        <v>5.056001E8</v>
      </c>
      <c r="B20671" s="17">
        <v>8320302.0</v>
      </c>
    </row>
    <row r="20672">
      <c r="A20672" s="17">
        <v>5.056001E8</v>
      </c>
      <c r="B20672" s="17">
        <v>8320400.0</v>
      </c>
    </row>
    <row r="20673">
      <c r="A20673" s="17">
        <v>5.056001E8</v>
      </c>
      <c r="B20673" s="17">
        <v>8320410.0</v>
      </c>
    </row>
    <row r="20674">
      <c r="A20674" s="17">
        <v>5.056001E8</v>
      </c>
      <c r="B20674" s="17">
        <v>8320420.0</v>
      </c>
    </row>
    <row r="20675">
      <c r="A20675" s="17">
        <v>5.056001E8</v>
      </c>
      <c r="B20675" s="17">
        <v>8330000.0</v>
      </c>
    </row>
    <row r="20676">
      <c r="A20676" s="17">
        <v>5.056001E8</v>
      </c>
      <c r="B20676" s="17">
        <v>8330001.0</v>
      </c>
    </row>
    <row r="20677">
      <c r="A20677" s="17">
        <v>5.056001E8</v>
      </c>
      <c r="B20677" s="17">
        <v>8330002.0</v>
      </c>
    </row>
    <row r="20678">
      <c r="A20678" s="17">
        <v>5.056001E8</v>
      </c>
      <c r="B20678" s="17">
        <v>8330100.0</v>
      </c>
    </row>
    <row r="20679">
      <c r="A20679" s="17">
        <v>5.056001E8</v>
      </c>
      <c r="B20679" s="17">
        <v>8330101.0</v>
      </c>
    </row>
    <row r="20680">
      <c r="A20680" s="17">
        <v>5.056001E8</v>
      </c>
      <c r="B20680" s="17">
        <v>8330102.0</v>
      </c>
    </row>
    <row r="20681">
      <c r="A20681" s="17">
        <v>5.056001E8</v>
      </c>
      <c r="B20681" s="17">
        <v>8330200.0</v>
      </c>
    </row>
    <row r="20682">
      <c r="A20682" s="17">
        <v>5.056001E8</v>
      </c>
      <c r="B20682" s="17">
        <v>8330201.0</v>
      </c>
    </row>
    <row r="20683">
      <c r="A20683" s="17">
        <v>5.056001E8</v>
      </c>
      <c r="B20683" s="17">
        <v>8330202.0</v>
      </c>
    </row>
    <row r="20684">
      <c r="A20684" s="17">
        <v>5.056001E8</v>
      </c>
      <c r="B20684" s="17">
        <v>8330300.0</v>
      </c>
    </row>
    <row r="20685">
      <c r="A20685" s="17">
        <v>5.056001E8</v>
      </c>
      <c r="B20685" s="17">
        <v>8330301.0</v>
      </c>
    </row>
    <row r="20686">
      <c r="A20686" s="17">
        <v>5.056001E8</v>
      </c>
      <c r="B20686" s="17">
        <v>8330302.0</v>
      </c>
    </row>
    <row r="20687">
      <c r="A20687" s="17">
        <v>5.056001E8</v>
      </c>
      <c r="B20687" s="17">
        <v>8330400.0</v>
      </c>
    </row>
    <row r="20688">
      <c r="A20688" s="17">
        <v>5.056001E8</v>
      </c>
      <c r="B20688" s="17">
        <v>8330401.0</v>
      </c>
    </row>
    <row r="20689">
      <c r="A20689" s="17">
        <v>5.056001E8</v>
      </c>
      <c r="B20689" s="17">
        <v>8330600.0</v>
      </c>
    </row>
    <row r="20690">
      <c r="A20690" s="17">
        <v>5.056001E8</v>
      </c>
      <c r="B20690" s="17">
        <v>8330601.0</v>
      </c>
    </row>
    <row r="20691">
      <c r="A20691" s="17">
        <v>5.056001E8</v>
      </c>
      <c r="B20691" s="17">
        <v>8330602.0</v>
      </c>
    </row>
    <row r="20692">
      <c r="A20692" s="17">
        <v>5.056001E8</v>
      </c>
      <c r="B20692" s="17">
        <v>8330900.0</v>
      </c>
    </row>
    <row r="20693">
      <c r="A20693" s="17">
        <v>5.056001E8</v>
      </c>
      <c r="B20693" s="17">
        <v>8330910.0</v>
      </c>
    </row>
    <row r="20694">
      <c r="A20694" s="17">
        <v>5.056001E8</v>
      </c>
      <c r="B20694" s="17">
        <v>8330920.0</v>
      </c>
    </row>
    <row r="20695">
      <c r="A20695" s="17">
        <v>5.056001E8</v>
      </c>
      <c r="B20695" s="17">
        <v>8340000.0</v>
      </c>
    </row>
    <row r="20696">
      <c r="A20696" s="17">
        <v>5.056001E8</v>
      </c>
      <c r="B20696" s="17">
        <v>8340001.0</v>
      </c>
    </row>
    <row r="20697">
      <c r="A20697" s="17">
        <v>5.056001E8</v>
      </c>
      <c r="B20697" s="17">
        <v>8340002.0</v>
      </c>
    </row>
    <row r="20698">
      <c r="A20698" s="17">
        <v>5.056001E8</v>
      </c>
      <c r="B20698" s="17">
        <v>8340100.0</v>
      </c>
    </row>
    <row r="20699">
      <c r="A20699" s="17">
        <v>5.056001E8</v>
      </c>
      <c r="B20699" s="17">
        <v>8340101.0</v>
      </c>
    </row>
    <row r="20700">
      <c r="A20700" s="17">
        <v>5.056001E8</v>
      </c>
      <c r="B20700" s="17">
        <v>8340102.0</v>
      </c>
    </row>
    <row r="20701">
      <c r="A20701" s="17">
        <v>5.056001E8</v>
      </c>
      <c r="B20701" s="17">
        <v>8350000.0</v>
      </c>
    </row>
    <row r="20702">
      <c r="A20702" s="17">
        <v>5.056001E8</v>
      </c>
      <c r="B20702" s="17">
        <v>8350001.0</v>
      </c>
    </row>
    <row r="20703">
      <c r="A20703" s="17">
        <v>5.056001E8</v>
      </c>
      <c r="B20703" s="17">
        <v>8350002.0</v>
      </c>
    </row>
    <row r="20704">
      <c r="A20704" s="17">
        <v>5.056001E8</v>
      </c>
      <c r="B20704" s="17">
        <v>8350200.0</v>
      </c>
    </row>
    <row r="20705">
      <c r="A20705" s="17">
        <v>5.056001E8</v>
      </c>
      <c r="B20705" s="17">
        <v>8350201.0</v>
      </c>
    </row>
    <row r="20706">
      <c r="A20706" s="17">
        <v>5.056001E8</v>
      </c>
      <c r="B20706" s="17">
        <v>8350202.0</v>
      </c>
    </row>
    <row r="20707">
      <c r="A20707" s="17">
        <v>5.056001E8</v>
      </c>
      <c r="B20707" s="17">
        <v>8420000.0</v>
      </c>
    </row>
    <row r="20708">
      <c r="A20708" s="17">
        <v>5.056001E8</v>
      </c>
      <c r="B20708" s="17">
        <v>8420001.0</v>
      </c>
    </row>
    <row r="20709">
      <c r="A20709" s="17">
        <v>5.056001E8</v>
      </c>
      <c r="B20709" s="17">
        <v>8420002.0</v>
      </c>
    </row>
    <row r="20710">
      <c r="A20710" s="17">
        <v>5.056001E8</v>
      </c>
      <c r="B20710" s="17">
        <v>8450000.0</v>
      </c>
    </row>
    <row r="20711">
      <c r="A20711" s="17">
        <v>5.056001E8</v>
      </c>
      <c r="B20711" s="17">
        <v>8460100.0</v>
      </c>
    </row>
    <row r="20712">
      <c r="A20712" s="17">
        <v>5.056001E8</v>
      </c>
      <c r="B20712" s="17">
        <v>8460300.0</v>
      </c>
    </row>
    <row r="20713">
      <c r="A20713" s="17">
        <v>5.056001E8</v>
      </c>
      <c r="B20713" s="17">
        <v>8460500.0</v>
      </c>
    </row>
    <row r="20714">
      <c r="A20714" s="17">
        <v>5.056001E8</v>
      </c>
      <c r="B20714" s="17">
        <v>8510000.0</v>
      </c>
    </row>
    <row r="20715">
      <c r="A20715" s="17">
        <v>5.056001E8</v>
      </c>
      <c r="B20715" s="17">
        <v>8510001.0</v>
      </c>
    </row>
    <row r="20716">
      <c r="A20716" s="17">
        <v>5.056001E8</v>
      </c>
      <c r="B20716" s="17">
        <v>8510002.0</v>
      </c>
    </row>
    <row r="20717">
      <c r="A20717" s="17">
        <v>5.056001E8</v>
      </c>
      <c r="B20717" s="17">
        <v>8520000.0</v>
      </c>
    </row>
    <row r="20718">
      <c r="A20718" s="17">
        <v>5.056001E8</v>
      </c>
      <c r="B20718" s="17">
        <v>8520001.0</v>
      </c>
    </row>
    <row r="20719">
      <c r="A20719" s="17">
        <v>5.056001E8</v>
      </c>
      <c r="B20719" s="17">
        <v>8520002.0</v>
      </c>
    </row>
    <row r="20720">
      <c r="A20720" s="17">
        <v>5.056001E8</v>
      </c>
      <c r="B20720" s="17">
        <v>8530000.0</v>
      </c>
    </row>
    <row r="20721">
      <c r="A20721" s="17">
        <v>5.056001E8</v>
      </c>
      <c r="B20721" s="17">
        <v>8530100.0</v>
      </c>
    </row>
    <row r="20722">
      <c r="A20722" s="17">
        <v>5.056001E8</v>
      </c>
      <c r="B20722" s="17">
        <v>8540000.0</v>
      </c>
    </row>
    <row r="20723">
      <c r="A20723" s="17">
        <v>5.056001E8</v>
      </c>
      <c r="B20723" s="17">
        <v>8600100.0</v>
      </c>
    </row>
    <row r="20724">
      <c r="A20724" s="17">
        <v>5.056001E8</v>
      </c>
      <c r="B20724" s="17">
        <v>8600101.0</v>
      </c>
    </row>
    <row r="20725">
      <c r="A20725" s="17">
        <v>5.056001E8</v>
      </c>
      <c r="B20725" s="17">
        <v>8600102.0</v>
      </c>
    </row>
    <row r="20726">
      <c r="A20726" s="17">
        <v>5.056001E8</v>
      </c>
      <c r="B20726" s="17">
        <v>8600200.0</v>
      </c>
    </row>
    <row r="20727">
      <c r="A20727" s="17">
        <v>5.056001E8</v>
      </c>
      <c r="B20727" s="17">
        <v>8600201.0</v>
      </c>
    </row>
    <row r="20728">
      <c r="A20728" s="17">
        <v>5.056001E8</v>
      </c>
      <c r="B20728" s="17">
        <v>8600202.0</v>
      </c>
    </row>
    <row r="20729">
      <c r="A20729" s="17">
        <v>5.056001E8</v>
      </c>
      <c r="B20729" s="17">
        <v>8610700.0</v>
      </c>
    </row>
    <row r="20730">
      <c r="A20730" s="17">
        <v>5.056001E8</v>
      </c>
      <c r="B20730" s="17">
        <v>8610710.0</v>
      </c>
    </row>
    <row r="20731">
      <c r="A20731" s="17">
        <v>5.056001E8</v>
      </c>
      <c r="B20731" s="17">
        <v>8610720.0</v>
      </c>
    </row>
    <row r="20732">
      <c r="A20732" s="17">
        <v>5.056001E8</v>
      </c>
      <c r="B20732" s="17">
        <v>8620000.0</v>
      </c>
    </row>
    <row r="20733">
      <c r="A20733" s="17">
        <v>5.056001E8</v>
      </c>
      <c r="B20733" s="17">
        <v>8620010.0</v>
      </c>
    </row>
    <row r="20734">
      <c r="A20734" s="17">
        <v>5.056001E8</v>
      </c>
      <c r="B20734" s="17">
        <v>8620020.0</v>
      </c>
    </row>
    <row r="20735">
      <c r="A20735" s="17">
        <v>5.056001E8</v>
      </c>
      <c r="B20735" s="17">
        <v>8620100.0</v>
      </c>
    </row>
    <row r="20736">
      <c r="A20736" s="17">
        <v>5.056001E8</v>
      </c>
      <c r="B20736" s="17">
        <v>8620110.0</v>
      </c>
    </row>
    <row r="20737">
      <c r="A20737" s="17">
        <v>5.056001E8</v>
      </c>
      <c r="B20737" s="17">
        <v>8620120.0</v>
      </c>
    </row>
    <row r="20738">
      <c r="A20738" s="17">
        <v>5.056001E8</v>
      </c>
      <c r="B20738" s="17">
        <v>8630000.0</v>
      </c>
    </row>
    <row r="20739">
      <c r="A20739" s="17">
        <v>5.056001E8</v>
      </c>
      <c r="B20739" s="17">
        <v>8630000.0</v>
      </c>
    </row>
    <row r="20740">
      <c r="A20740" s="17">
        <v>5.056001E8</v>
      </c>
      <c r="B20740" s="17">
        <v>8630000.0</v>
      </c>
    </row>
    <row r="20741">
      <c r="A20741" s="17">
        <v>5.056001E8</v>
      </c>
      <c r="B20741" s="17">
        <v>8630100.0</v>
      </c>
    </row>
    <row r="20742">
      <c r="A20742" s="17">
        <v>5.056001E8</v>
      </c>
      <c r="B20742" s="17">
        <v>8630100.0</v>
      </c>
    </row>
    <row r="20743">
      <c r="A20743" s="17">
        <v>5.056001E8</v>
      </c>
      <c r="B20743" s="17">
        <v>8630100.0</v>
      </c>
    </row>
    <row r="20744">
      <c r="A20744" s="17">
        <v>5.056001E8</v>
      </c>
      <c r="B20744" s="17">
        <v>8652000.0</v>
      </c>
    </row>
    <row r="20745">
      <c r="A20745" s="17">
        <v>5.056001E8</v>
      </c>
      <c r="B20745" s="17">
        <v>8652010.0</v>
      </c>
    </row>
    <row r="20746">
      <c r="A20746" s="17">
        <v>5.056001E8</v>
      </c>
      <c r="B20746" s="17">
        <v>8652020.0</v>
      </c>
    </row>
    <row r="20747">
      <c r="A20747" s="17">
        <v>5.056001E8</v>
      </c>
      <c r="B20747" s="17">
        <v>8652100.0</v>
      </c>
    </row>
    <row r="20748">
      <c r="A20748" s="17">
        <v>5.056001E8</v>
      </c>
      <c r="B20748" s="17">
        <v>8652110.0</v>
      </c>
    </row>
    <row r="20749">
      <c r="A20749" s="17">
        <v>5.056001E8</v>
      </c>
      <c r="B20749" s="17">
        <v>8652120.0</v>
      </c>
    </row>
    <row r="20750">
      <c r="A20750" s="17">
        <v>5.056001E8</v>
      </c>
      <c r="B20750" s="17">
        <v>8660000.0</v>
      </c>
    </row>
    <row r="20751">
      <c r="A20751" s="17">
        <v>5.056001E8</v>
      </c>
      <c r="B20751" s="17">
        <v>8660001.0</v>
      </c>
    </row>
    <row r="20752">
      <c r="A20752" s="17">
        <v>5.056001E8</v>
      </c>
      <c r="B20752" s="17">
        <v>8660002.0</v>
      </c>
    </row>
    <row r="20753">
      <c r="A20753" s="17">
        <v>5.056001E8</v>
      </c>
      <c r="B20753" s="17">
        <v>8660100.0</v>
      </c>
    </row>
    <row r="20754">
      <c r="A20754" s="17">
        <v>5.056001E8</v>
      </c>
      <c r="B20754" s="17">
        <v>8660101.0</v>
      </c>
    </row>
    <row r="20755">
      <c r="A20755" s="17">
        <v>5.056001E8</v>
      </c>
      <c r="B20755" s="17">
        <v>8660102.0</v>
      </c>
    </row>
    <row r="20756">
      <c r="A20756" s="17">
        <v>5.056001E8</v>
      </c>
      <c r="B20756" s="17">
        <v>8670000.0</v>
      </c>
    </row>
    <row r="20757">
      <c r="A20757" s="17">
        <v>5.056001E8</v>
      </c>
      <c r="B20757" s="17">
        <v>8670001.0</v>
      </c>
    </row>
    <row r="20758">
      <c r="A20758" s="17">
        <v>5.056001E8</v>
      </c>
      <c r="B20758" s="17">
        <v>8670002.0</v>
      </c>
    </row>
    <row r="20759">
      <c r="A20759" s="17">
        <v>5.056001E8</v>
      </c>
      <c r="B20759" s="17">
        <v>8670100.0</v>
      </c>
    </row>
    <row r="20760">
      <c r="A20760" s="17">
        <v>5.056001E8</v>
      </c>
      <c r="B20760" s="17">
        <v>8670101.0</v>
      </c>
    </row>
    <row r="20761">
      <c r="A20761" s="17">
        <v>5.056001E8</v>
      </c>
      <c r="B20761" s="17">
        <v>8670102.0</v>
      </c>
    </row>
    <row r="20762">
      <c r="A20762" s="17">
        <v>5.056001E8</v>
      </c>
      <c r="B20762" s="17">
        <v>8690000.0</v>
      </c>
    </row>
    <row r="20763">
      <c r="A20763" s="17">
        <v>5.056001E8</v>
      </c>
      <c r="B20763" s="17">
        <v>8690100.0</v>
      </c>
    </row>
    <row r="20764">
      <c r="A20764" s="17">
        <v>5.056001E8</v>
      </c>
      <c r="B20764" s="17">
        <v>8690200.0</v>
      </c>
    </row>
    <row r="20765">
      <c r="A20765" s="17">
        <v>5.056001E8</v>
      </c>
      <c r="B20765" s="17">
        <v>8690300.0</v>
      </c>
    </row>
    <row r="20766">
      <c r="A20766" s="17">
        <v>5.056001E8</v>
      </c>
      <c r="B20766" s="17">
        <v>8690400.0</v>
      </c>
    </row>
    <row r="20767">
      <c r="A20767" s="17">
        <v>5.056001E8</v>
      </c>
      <c r="B20767" s="17">
        <v>8850000.0</v>
      </c>
    </row>
    <row r="20768">
      <c r="A20768" s="17">
        <v>5.056001E8</v>
      </c>
      <c r="B20768" s="17">
        <v>8850100.0</v>
      </c>
    </row>
    <row r="20769">
      <c r="A20769" s="17">
        <v>5.056001E8</v>
      </c>
      <c r="B20769" s="17">
        <v>8850200.0</v>
      </c>
    </row>
    <row r="20770">
      <c r="A20770" s="17">
        <v>5.056001E8</v>
      </c>
      <c r="B20770" s="17">
        <v>8850300.0</v>
      </c>
    </row>
    <row r="20771">
      <c r="A20771" s="17">
        <v>5.056001E8</v>
      </c>
      <c r="B20771" s="17">
        <v>8850400.0</v>
      </c>
    </row>
    <row r="20772">
      <c r="A20772" s="17">
        <v>5.056001E8</v>
      </c>
      <c r="B20772" s="17">
        <v>8850500.0</v>
      </c>
    </row>
    <row r="20773">
      <c r="A20773" s="17">
        <v>5.056001E8</v>
      </c>
      <c r="B20773" s="17">
        <v>8850600.0</v>
      </c>
    </row>
    <row r="20774">
      <c r="A20774" s="17">
        <v>5.056001E8</v>
      </c>
      <c r="B20774" s="17">
        <v>8850700.0</v>
      </c>
    </row>
    <row r="20775">
      <c r="A20775" s="17">
        <v>5.056001E8</v>
      </c>
      <c r="B20775" s="17">
        <v>8850800.0</v>
      </c>
    </row>
    <row r="20776">
      <c r="A20776" s="17">
        <v>5.056001E8</v>
      </c>
      <c r="B20776" s="17">
        <v>8850900.0</v>
      </c>
    </row>
    <row r="20777">
      <c r="A20777" s="17">
        <v>5.056001E8</v>
      </c>
      <c r="B20777" s="17">
        <v>8851000.0</v>
      </c>
    </row>
    <row r="20778">
      <c r="A20778" s="17">
        <v>5.056001E8</v>
      </c>
      <c r="B20778" s="17">
        <v>8851100.0</v>
      </c>
    </row>
    <row r="20779">
      <c r="A20779" s="17">
        <v>5.056001E8</v>
      </c>
      <c r="B20779" s="17">
        <v>8851200.0</v>
      </c>
    </row>
    <row r="20780">
      <c r="A20780" s="17">
        <v>5.056001E8</v>
      </c>
      <c r="B20780" s="17">
        <v>8851300.0</v>
      </c>
    </row>
    <row r="20781">
      <c r="A20781" s="17">
        <v>5.056001E8</v>
      </c>
      <c r="B20781" s="17">
        <v>8851800.0</v>
      </c>
    </row>
    <row r="20782">
      <c r="A20782" s="17">
        <v>5.056001E8</v>
      </c>
      <c r="B20782" s="17">
        <v>8851900.0</v>
      </c>
    </row>
    <row r="20783">
      <c r="A20783" s="17">
        <v>5.056001E8</v>
      </c>
      <c r="B20783" s="17">
        <v>8852000.0</v>
      </c>
    </row>
    <row r="20784">
      <c r="A20784" s="17">
        <v>5.056001E8</v>
      </c>
      <c r="B20784" s="17">
        <v>8320500.0</v>
      </c>
    </row>
    <row r="20785">
      <c r="A20785" s="17">
        <v>5.056001E8</v>
      </c>
      <c r="B20785" s="17">
        <v>8320510.0</v>
      </c>
    </row>
    <row r="20786">
      <c r="A20786" s="17">
        <v>5.056001E8</v>
      </c>
      <c r="B20786" s="17">
        <v>8320520.0</v>
      </c>
    </row>
    <row r="20787">
      <c r="A20787" s="17">
        <v>5.056001E8</v>
      </c>
      <c r="B20787" s="17">
        <v>8320600.0</v>
      </c>
    </row>
    <row r="20788">
      <c r="A20788" s="17">
        <v>5.056001E8</v>
      </c>
      <c r="B20788" s="17">
        <v>8320610.0</v>
      </c>
    </row>
    <row r="20789">
      <c r="A20789" s="17">
        <v>5.056001E8</v>
      </c>
      <c r="B20789" s="17">
        <v>8320620.0</v>
      </c>
    </row>
    <row r="20790">
      <c r="A20790" s="17">
        <v>5.056001E8</v>
      </c>
      <c r="B20790" s="17">
        <v>8320700.0</v>
      </c>
    </row>
    <row r="20791">
      <c r="A20791" s="17">
        <v>5.056001E8</v>
      </c>
      <c r="B20791" s="17">
        <v>8320710.0</v>
      </c>
    </row>
    <row r="20792">
      <c r="A20792" s="17">
        <v>5.056001E8</v>
      </c>
      <c r="B20792" s="17">
        <v>8320720.0</v>
      </c>
    </row>
    <row r="20793">
      <c r="A20793" s="17">
        <v>5.056002E8</v>
      </c>
      <c r="B20793" s="17">
        <v>0.0</v>
      </c>
    </row>
    <row r="20794">
      <c r="A20794" s="17">
        <v>5.056002E8</v>
      </c>
      <c r="B20794" s="17">
        <v>8100100.0</v>
      </c>
    </row>
    <row r="20795">
      <c r="A20795" s="17">
        <v>5.056002E8</v>
      </c>
      <c r="B20795" s="17">
        <v>8100101.0</v>
      </c>
    </row>
    <row r="20796">
      <c r="A20796" s="17">
        <v>5.056002E8</v>
      </c>
      <c r="B20796" s="17">
        <v>8100102.0</v>
      </c>
    </row>
    <row r="20797">
      <c r="A20797" s="17">
        <v>5.056002E8</v>
      </c>
      <c r="B20797" s="17">
        <v>8100200.0</v>
      </c>
    </row>
    <row r="20798">
      <c r="A20798" s="17">
        <v>5.056002E8</v>
      </c>
      <c r="B20798" s="17">
        <v>8100201.0</v>
      </c>
    </row>
    <row r="20799">
      <c r="A20799" s="17">
        <v>5.056002E8</v>
      </c>
      <c r="B20799" s="17">
        <v>8100202.0</v>
      </c>
    </row>
    <row r="20800">
      <c r="A20800" s="17">
        <v>5.056002E8</v>
      </c>
      <c r="B20800" s="17">
        <v>8100300.0</v>
      </c>
    </row>
    <row r="20801">
      <c r="A20801" s="17">
        <v>5.056002E8</v>
      </c>
      <c r="B20801" s="17">
        <v>8100301.0</v>
      </c>
    </row>
    <row r="20802">
      <c r="A20802" s="17">
        <v>5.056002E8</v>
      </c>
      <c r="B20802" s="17">
        <v>8100302.0</v>
      </c>
    </row>
    <row r="20803">
      <c r="A20803" s="17">
        <v>5.056002E8</v>
      </c>
      <c r="B20803" s="17">
        <v>8100400.0</v>
      </c>
    </row>
    <row r="20804">
      <c r="A20804" s="17">
        <v>5.056002E8</v>
      </c>
      <c r="B20804" s="17">
        <v>8100401.0</v>
      </c>
    </row>
    <row r="20805">
      <c r="A20805" s="17">
        <v>5.056002E8</v>
      </c>
      <c r="B20805" s="17">
        <v>8100402.0</v>
      </c>
    </row>
    <row r="20806">
      <c r="A20806" s="17">
        <v>5.056002E8</v>
      </c>
      <c r="B20806" s="17">
        <v>8130000.0</v>
      </c>
    </row>
    <row r="20807">
      <c r="A20807" s="17">
        <v>5.056002E8</v>
      </c>
      <c r="B20807" s="17">
        <v>8130001.0</v>
      </c>
    </row>
    <row r="20808">
      <c r="A20808" s="17">
        <v>5.056002E8</v>
      </c>
      <c r="B20808" s="17">
        <v>8130002.0</v>
      </c>
    </row>
    <row r="20809">
      <c r="A20809" s="17">
        <v>5.056002E8</v>
      </c>
      <c r="B20809" s="17">
        <v>8140000.0</v>
      </c>
    </row>
    <row r="20810">
      <c r="A20810" s="17">
        <v>5.056002E8</v>
      </c>
      <c r="B20810" s="17">
        <v>8140001.0</v>
      </c>
    </row>
    <row r="20811">
      <c r="A20811" s="17">
        <v>5.056002E8</v>
      </c>
      <c r="B20811" s="17">
        <v>8140002.0</v>
      </c>
    </row>
    <row r="20812">
      <c r="A20812" s="17">
        <v>5.056002E8</v>
      </c>
      <c r="B20812" s="17">
        <v>8200100.0</v>
      </c>
    </row>
    <row r="20813">
      <c r="A20813" s="17">
        <v>5.056002E8</v>
      </c>
      <c r="B20813" s="17">
        <v>8200101.0</v>
      </c>
    </row>
    <row r="20814">
      <c r="A20814" s="17">
        <v>5.056002E8</v>
      </c>
      <c r="B20814" s="17">
        <v>8200102.0</v>
      </c>
    </row>
    <row r="20815">
      <c r="A20815" s="17">
        <v>5.056002E8</v>
      </c>
      <c r="B20815" s="17">
        <v>8200200.0</v>
      </c>
    </row>
    <row r="20816">
      <c r="A20816" s="17">
        <v>5.056002E8</v>
      </c>
      <c r="B20816" s="17">
        <v>8200201.0</v>
      </c>
    </row>
    <row r="20817">
      <c r="A20817" s="17">
        <v>5.056002E8</v>
      </c>
      <c r="B20817" s="17">
        <v>8200202.0</v>
      </c>
    </row>
    <row r="20818">
      <c r="A20818" s="17">
        <v>5.056002E8</v>
      </c>
      <c r="B20818" s="17">
        <v>8200300.0</v>
      </c>
    </row>
    <row r="20819">
      <c r="A20819" s="17">
        <v>5.056002E8</v>
      </c>
      <c r="B20819" s="17">
        <v>8200301.0</v>
      </c>
    </row>
    <row r="20820">
      <c r="A20820" s="17">
        <v>5.056002E8</v>
      </c>
      <c r="B20820" s="17">
        <v>8200302.0</v>
      </c>
    </row>
    <row r="20821">
      <c r="A20821" s="17">
        <v>5.056002E8</v>
      </c>
      <c r="B20821" s="17">
        <v>8200400.0</v>
      </c>
    </row>
    <row r="20822">
      <c r="A20822" s="17">
        <v>5.056002E8</v>
      </c>
      <c r="B20822" s="17">
        <v>8200401.0</v>
      </c>
    </row>
    <row r="20823">
      <c r="A20823" s="17">
        <v>5.056002E8</v>
      </c>
      <c r="B20823" s="17">
        <v>8200402.0</v>
      </c>
    </row>
    <row r="20824">
      <c r="A20824" s="17">
        <v>5.056002E8</v>
      </c>
      <c r="B20824" s="17">
        <v>8210000.0</v>
      </c>
    </row>
    <row r="20825">
      <c r="A20825" s="17">
        <v>5.056002E8</v>
      </c>
      <c r="B20825" s="17">
        <v>8210001.0</v>
      </c>
    </row>
    <row r="20826">
      <c r="A20826" s="17">
        <v>5.056002E8</v>
      </c>
      <c r="B20826" s="17">
        <v>8210002.0</v>
      </c>
    </row>
    <row r="20827">
      <c r="A20827" s="17">
        <v>5.056002E8</v>
      </c>
      <c r="B20827" s="17">
        <v>8210100.0</v>
      </c>
    </row>
    <row r="20828">
      <c r="A20828" s="17">
        <v>5.056002E8</v>
      </c>
      <c r="B20828" s="17">
        <v>8210101.0</v>
      </c>
    </row>
    <row r="20829">
      <c r="A20829" s="17">
        <v>5.056002E8</v>
      </c>
      <c r="B20829" s="17">
        <v>8210102.0</v>
      </c>
    </row>
    <row r="20830">
      <c r="A20830" s="17">
        <v>5.056002E8</v>
      </c>
      <c r="B20830" s="17">
        <v>8210200.0</v>
      </c>
    </row>
    <row r="20831">
      <c r="A20831" s="17">
        <v>5.056002E8</v>
      </c>
      <c r="B20831" s="17">
        <v>8210201.0</v>
      </c>
    </row>
    <row r="20832">
      <c r="A20832" s="17">
        <v>5.056002E8</v>
      </c>
      <c r="B20832" s="17">
        <v>8210202.0</v>
      </c>
    </row>
    <row r="20833">
      <c r="A20833" s="17">
        <v>5.056002E8</v>
      </c>
      <c r="B20833" s="17">
        <v>8210300.0</v>
      </c>
    </row>
    <row r="20834">
      <c r="A20834" s="17">
        <v>5.056002E8</v>
      </c>
      <c r="B20834" s="17">
        <v>8210301.0</v>
      </c>
    </row>
    <row r="20835">
      <c r="A20835" s="17">
        <v>5.056002E8</v>
      </c>
      <c r="B20835" s="17">
        <v>8210302.0</v>
      </c>
    </row>
    <row r="20836">
      <c r="A20836" s="17">
        <v>5.056002E8</v>
      </c>
      <c r="B20836" s="17">
        <v>8210400.0</v>
      </c>
    </row>
    <row r="20837">
      <c r="A20837" s="17">
        <v>5.056002E8</v>
      </c>
      <c r="B20837" s="17">
        <v>8210401.0</v>
      </c>
    </row>
    <row r="20838">
      <c r="A20838" s="17">
        <v>5.056002E8</v>
      </c>
      <c r="B20838" s="17">
        <v>8210402.0</v>
      </c>
    </row>
    <row r="20839">
      <c r="A20839" s="17">
        <v>5.056002E8</v>
      </c>
      <c r="B20839" s="17">
        <v>8210500.0</v>
      </c>
    </row>
    <row r="20840">
      <c r="A20840" s="17">
        <v>5.056002E8</v>
      </c>
      <c r="B20840" s="17">
        <v>8210501.0</v>
      </c>
    </row>
    <row r="20841">
      <c r="A20841" s="17">
        <v>5.056002E8</v>
      </c>
      <c r="B20841" s="17">
        <v>8210502.0</v>
      </c>
    </row>
    <row r="20842">
      <c r="A20842" s="17">
        <v>5.056002E8</v>
      </c>
      <c r="B20842" s="17">
        <v>8210600.0</v>
      </c>
    </row>
    <row r="20843">
      <c r="A20843" s="17">
        <v>5.056002E8</v>
      </c>
      <c r="B20843" s="17">
        <v>8210601.0</v>
      </c>
    </row>
    <row r="20844">
      <c r="A20844" s="17">
        <v>5.056002E8</v>
      </c>
      <c r="B20844" s="17">
        <v>8210602.0</v>
      </c>
    </row>
    <row r="20845">
      <c r="A20845" s="17">
        <v>5.056002E8</v>
      </c>
      <c r="B20845" s="17">
        <v>8220000.0</v>
      </c>
    </row>
    <row r="20846">
      <c r="A20846" s="17">
        <v>5.056002E8</v>
      </c>
      <c r="B20846" s="17">
        <v>8220001.0</v>
      </c>
    </row>
    <row r="20847">
      <c r="A20847" s="17">
        <v>5.056002E8</v>
      </c>
      <c r="B20847" s="17">
        <v>8220002.0</v>
      </c>
    </row>
    <row r="20848">
      <c r="A20848" s="17">
        <v>5.056002E8</v>
      </c>
      <c r="B20848" s="17">
        <v>8300000.0</v>
      </c>
    </row>
    <row r="20849">
      <c r="A20849" s="17">
        <v>5.056002E8</v>
      </c>
      <c r="B20849" s="17">
        <v>8300001.0</v>
      </c>
    </row>
    <row r="20850">
      <c r="A20850" s="17">
        <v>5.056002E8</v>
      </c>
      <c r="B20850" s="17">
        <v>8300002.0</v>
      </c>
    </row>
    <row r="20851">
      <c r="A20851" s="17">
        <v>5.056002E8</v>
      </c>
      <c r="B20851" s="17">
        <v>8310000.0</v>
      </c>
    </row>
    <row r="20852">
      <c r="A20852" s="17">
        <v>5.056002E8</v>
      </c>
      <c r="B20852" s="17">
        <v>8310001.0</v>
      </c>
    </row>
    <row r="20853">
      <c r="A20853" s="17">
        <v>5.056002E8</v>
      </c>
      <c r="B20853" s="17">
        <v>8310002.0</v>
      </c>
    </row>
    <row r="20854">
      <c r="A20854" s="17">
        <v>5.056002E8</v>
      </c>
      <c r="B20854" s="17">
        <v>8320000.0</v>
      </c>
    </row>
    <row r="20855">
      <c r="A20855" s="17">
        <v>5.056002E8</v>
      </c>
      <c r="B20855" s="17">
        <v>8320001.0</v>
      </c>
    </row>
    <row r="20856">
      <c r="A20856" s="17">
        <v>5.056002E8</v>
      </c>
      <c r="B20856" s="17">
        <v>8320002.0</v>
      </c>
    </row>
    <row r="20857">
      <c r="A20857" s="17">
        <v>5.056002E8</v>
      </c>
      <c r="B20857" s="17">
        <v>8320100.0</v>
      </c>
    </row>
    <row r="20858">
      <c r="A20858" s="17">
        <v>5.056002E8</v>
      </c>
      <c r="B20858" s="17">
        <v>8320101.0</v>
      </c>
    </row>
    <row r="20859">
      <c r="A20859" s="17">
        <v>5.056002E8</v>
      </c>
      <c r="B20859" s="17">
        <v>8320102.0</v>
      </c>
    </row>
    <row r="20860">
      <c r="A20860" s="17">
        <v>5.056002E8</v>
      </c>
      <c r="B20860" s="17">
        <v>8320300.0</v>
      </c>
    </row>
    <row r="20861">
      <c r="A20861" s="17">
        <v>5.056002E8</v>
      </c>
      <c r="B20861" s="17">
        <v>8320301.0</v>
      </c>
    </row>
    <row r="20862">
      <c r="A20862" s="17">
        <v>5.056002E8</v>
      </c>
      <c r="B20862" s="17">
        <v>8320302.0</v>
      </c>
    </row>
    <row r="20863">
      <c r="A20863" s="17">
        <v>5.056002E8</v>
      </c>
      <c r="B20863" s="17">
        <v>8320400.0</v>
      </c>
    </row>
    <row r="20864">
      <c r="A20864" s="17">
        <v>5.056002E8</v>
      </c>
      <c r="B20864" s="17">
        <v>8320410.0</v>
      </c>
    </row>
    <row r="20865">
      <c r="A20865" s="17">
        <v>5.056002E8</v>
      </c>
      <c r="B20865" s="17">
        <v>8320420.0</v>
      </c>
    </row>
    <row r="20866">
      <c r="A20866" s="17">
        <v>5.056002E8</v>
      </c>
      <c r="B20866" s="17">
        <v>8330000.0</v>
      </c>
    </row>
    <row r="20867">
      <c r="A20867" s="17">
        <v>5.056002E8</v>
      </c>
      <c r="B20867" s="17">
        <v>8330001.0</v>
      </c>
    </row>
    <row r="20868">
      <c r="A20868" s="17">
        <v>5.056002E8</v>
      </c>
      <c r="B20868" s="17">
        <v>8330002.0</v>
      </c>
    </row>
    <row r="20869">
      <c r="A20869" s="17">
        <v>5.056002E8</v>
      </c>
      <c r="B20869" s="17">
        <v>8330100.0</v>
      </c>
    </row>
    <row r="20870">
      <c r="A20870" s="17">
        <v>5.056002E8</v>
      </c>
      <c r="B20870" s="17">
        <v>8330101.0</v>
      </c>
    </row>
    <row r="20871">
      <c r="A20871" s="17">
        <v>5.056002E8</v>
      </c>
      <c r="B20871" s="17">
        <v>8330102.0</v>
      </c>
    </row>
    <row r="20872">
      <c r="A20872" s="17">
        <v>5.056002E8</v>
      </c>
      <c r="B20872" s="17">
        <v>8330200.0</v>
      </c>
    </row>
    <row r="20873">
      <c r="A20873" s="17">
        <v>5.056002E8</v>
      </c>
      <c r="B20873" s="17">
        <v>8330201.0</v>
      </c>
    </row>
    <row r="20874">
      <c r="A20874" s="17">
        <v>5.056002E8</v>
      </c>
      <c r="B20874" s="17">
        <v>8330202.0</v>
      </c>
    </row>
    <row r="20875">
      <c r="A20875" s="17">
        <v>5.056002E8</v>
      </c>
      <c r="B20875" s="17">
        <v>8330300.0</v>
      </c>
    </row>
    <row r="20876">
      <c r="A20876" s="17">
        <v>5.056002E8</v>
      </c>
      <c r="B20876" s="17">
        <v>8330301.0</v>
      </c>
    </row>
    <row r="20877">
      <c r="A20877" s="17">
        <v>5.056002E8</v>
      </c>
      <c r="B20877" s="17">
        <v>8330302.0</v>
      </c>
    </row>
    <row r="20878">
      <c r="A20878" s="17">
        <v>5.056002E8</v>
      </c>
      <c r="B20878" s="17">
        <v>8330400.0</v>
      </c>
    </row>
    <row r="20879">
      <c r="A20879" s="17">
        <v>5.056002E8</v>
      </c>
      <c r="B20879" s="17">
        <v>8330401.0</v>
      </c>
    </row>
    <row r="20880">
      <c r="A20880" s="17">
        <v>5.056002E8</v>
      </c>
      <c r="B20880" s="17">
        <v>8330600.0</v>
      </c>
    </row>
    <row r="20881">
      <c r="A20881" s="17">
        <v>5.056002E8</v>
      </c>
      <c r="B20881" s="17">
        <v>8330601.0</v>
      </c>
    </row>
    <row r="20882">
      <c r="A20882" s="17">
        <v>5.056002E8</v>
      </c>
      <c r="B20882" s="17">
        <v>8330602.0</v>
      </c>
    </row>
    <row r="20883">
      <c r="A20883" s="17">
        <v>5.056002E8</v>
      </c>
      <c r="B20883" s="17">
        <v>8330900.0</v>
      </c>
    </row>
    <row r="20884">
      <c r="A20884" s="17">
        <v>5.056002E8</v>
      </c>
      <c r="B20884" s="17">
        <v>8330910.0</v>
      </c>
    </row>
    <row r="20885">
      <c r="A20885" s="17">
        <v>5.056002E8</v>
      </c>
      <c r="B20885" s="17">
        <v>8330920.0</v>
      </c>
    </row>
    <row r="20886">
      <c r="A20886" s="17">
        <v>5.056002E8</v>
      </c>
      <c r="B20886" s="17">
        <v>8340000.0</v>
      </c>
    </row>
    <row r="20887">
      <c r="A20887" s="17">
        <v>5.056002E8</v>
      </c>
      <c r="B20887" s="17">
        <v>8340001.0</v>
      </c>
    </row>
    <row r="20888">
      <c r="A20888" s="17">
        <v>5.056002E8</v>
      </c>
      <c r="B20888" s="17">
        <v>8340002.0</v>
      </c>
    </row>
    <row r="20889">
      <c r="A20889" s="17">
        <v>5.056002E8</v>
      </c>
      <c r="B20889" s="17">
        <v>8340100.0</v>
      </c>
    </row>
    <row r="20890">
      <c r="A20890" s="17">
        <v>5.056002E8</v>
      </c>
      <c r="B20890" s="17">
        <v>8340101.0</v>
      </c>
    </row>
    <row r="20891">
      <c r="A20891" s="17">
        <v>5.056002E8</v>
      </c>
      <c r="B20891" s="17">
        <v>8340102.0</v>
      </c>
    </row>
    <row r="20892">
      <c r="A20892" s="17">
        <v>5.056002E8</v>
      </c>
      <c r="B20892" s="17">
        <v>8350000.0</v>
      </c>
    </row>
    <row r="20893">
      <c r="A20893" s="17">
        <v>5.056002E8</v>
      </c>
      <c r="B20893" s="17">
        <v>8350001.0</v>
      </c>
    </row>
    <row r="20894">
      <c r="A20894" s="17">
        <v>5.056002E8</v>
      </c>
      <c r="B20894" s="17">
        <v>8350002.0</v>
      </c>
    </row>
    <row r="20895">
      <c r="A20895" s="17">
        <v>5.056002E8</v>
      </c>
      <c r="B20895" s="17">
        <v>8350200.0</v>
      </c>
    </row>
    <row r="20896">
      <c r="A20896" s="17">
        <v>5.056002E8</v>
      </c>
      <c r="B20896" s="17">
        <v>8350201.0</v>
      </c>
    </row>
    <row r="20897">
      <c r="A20897" s="17">
        <v>5.056002E8</v>
      </c>
      <c r="B20897" s="17">
        <v>8350202.0</v>
      </c>
    </row>
    <row r="20898">
      <c r="A20898" s="17">
        <v>5.056002E8</v>
      </c>
      <c r="B20898" s="17">
        <v>8420000.0</v>
      </c>
    </row>
    <row r="20899">
      <c r="A20899" s="17">
        <v>5.056002E8</v>
      </c>
      <c r="B20899" s="17">
        <v>8420001.0</v>
      </c>
    </row>
    <row r="20900">
      <c r="A20900" s="17">
        <v>5.056002E8</v>
      </c>
      <c r="B20900" s="17">
        <v>8420002.0</v>
      </c>
    </row>
    <row r="20901">
      <c r="A20901" s="17">
        <v>5.056002E8</v>
      </c>
      <c r="B20901" s="17">
        <v>8450000.0</v>
      </c>
    </row>
    <row r="20902">
      <c r="A20902" s="17">
        <v>5.056002E8</v>
      </c>
      <c r="B20902" s="17">
        <v>8460100.0</v>
      </c>
    </row>
    <row r="20903">
      <c r="A20903" s="17">
        <v>5.056002E8</v>
      </c>
      <c r="B20903" s="17">
        <v>8460300.0</v>
      </c>
    </row>
    <row r="20904">
      <c r="A20904" s="17">
        <v>5.056002E8</v>
      </c>
      <c r="B20904" s="17">
        <v>8460500.0</v>
      </c>
    </row>
    <row r="20905">
      <c r="A20905" s="17">
        <v>5.056002E8</v>
      </c>
      <c r="B20905" s="17">
        <v>8510000.0</v>
      </c>
    </row>
    <row r="20906">
      <c r="A20906" s="17">
        <v>5.056002E8</v>
      </c>
      <c r="B20906" s="17">
        <v>8510001.0</v>
      </c>
    </row>
    <row r="20907">
      <c r="A20907" s="17">
        <v>5.056002E8</v>
      </c>
      <c r="B20907" s="17">
        <v>8510002.0</v>
      </c>
    </row>
    <row r="20908">
      <c r="A20908" s="17">
        <v>5.056002E8</v>
      </c>
      <c r="B20908" s="17">
        <v>8520000.0</v>
      </c>
    </row>
    <row r="20909">
      <c r="A20909" s="17">
        <v>5.056002E8</v>
      </c>
      <c r="B20909" s="17">
        <v>8520001.0</v>
      </c>
    </row>
    <row r="20910">
      <c r="A20910" s="17">
        <v>5.056002E8</v>
      </c>
      <c r="B20910" s="17">
        <v>8520002.0</v>
      </c>
    </row>
    <row r="20911">
      <c r="A20911" s="17">
        <v>5.056002E8</v>
      </c>
      <c r="B20911" s="17">
        <v>8530000.0</v>
      </c>
    </row>
    <row r="20912">
      <c r="A20912" s="17">
        <v>5.056002E8</v>
      </c>
      <c r="B20912" s="17">
        <v>8530100.0</v>
      </c>
    </row>
    <row r="20913">
      <c r="A20913" s="17">
        <v>5.056002E8</v>
      </c>
      <c r="B20913" s="17">
        <v>8540000.0</v>
      </c>
    </row>
    <row r="20914">
      <c r="A20914" s="17">
        <v>5.056002E8</v>
      </c>
      <c r="B20914" s="17">
        <v>8600100.0</v>
      </c>
    </row>
    <row r="20915">
      <c r="A20915" s="17">
        <v>5.056002E8</v>
      </c>
      <c r="B20915" s="17">
        <v>8600101.0</v>
      </c>
    </row>
    <row r="20916">
      <c r="A20916" s="17">
        <v>5.056002E8</v>
      </c>
      <c r="B20916" s="17">
        <v>8600102.0</v>
      </c>
    </row>
    <row r="20917">
      <c r="A20917" s="17">
        <v>5.056002E8</v>
      </c>
      <c r="B20917" s="17">
        <v>8600200.0</v>
      </c>
    </row>
    <row r="20918">
      <c r="A20918" s="17">
        <v>5.056002E8</v>
      </c>
      <c r="B20918" s="17">
        <v>8600201.0</v>
      </c>
    </row>
    <row r="20919">
      <c r="A20919" s="17">
        <v>5.056002E8</v>
      </c>
      <c r="B20919" s="17">
        <v>8600202.0</v>
      </c>
    </row>
    <row r="20920">
      <c r="A20920" s="17">
        <v>5.056002E8</v>
      </c>
      <c r="B20920" s="17">
        <v>8610700.0</v>
      </c>
    </row>
    <row r="20921">
      <c r="A20921" s="17">
        <v>5.056002E8</v>
      </c>
      <c r="B20921" s="17">
        <v>8610710.0</v>
      </c>
    </row>
    <row r="20922">
      <c r="A20922" s="17">
        <v>5.056002E8</v>
      </c>
      <c r="B20922" s="17">
        <v>8610720.0</v>
      </c>
    </row>
    <row r="20923">
      <c r="A20923" s="17">
        <v>5.056002E8</v>
      </c>
      <c r="B20923" s="17">
        <v>8620000.0</v>
      </c>
    </row>
    <row r="20924">
      <c r="A20924" s="17">
        <v>5.056002E8</v>
      </c>
      <c r="B20924" s="17">
        <v>8620010.0</v>
      </c>
    </row>
    <row r="20925">
      <c r="A20925" s="17">
        <v>5.056002E8</v>
      </c>
      <c r="B20925" s="17">
        <v>8620020.0</v>
      </c>
    </row>
    <row r="20926">
      <c r="A20926" s="17">
        <v>5.056002E8</v>
      </c>
      <c r="B20926" s="17">
        <v>8620100.0</v>
      </c>
    </row>
    <row r="20927">
      <c r="A20927" s="17">
        <v>5.056002E8</v>
      </c>
      <c r="B20927" s="17">
        <v>8620110.0</v>
      </c>
    </row>
    <row r="20928">
      <c r="A20928" s="17">
        <v>5.056002E8</v>
      </c>
      <c r="B20928" s="17">
        <v>8620120.0</v>
      </c>
    </row>
    <row r="20929">
      <c r="A20929" s="17">
        <v>5.056002E8</v>
      </c>
      <c r="B20929" s="17">
        <v>8630000.0</v>
      </c>
    </row>
    <row r="20930">
      <c r="A20930" s="17">
        <v>5.056002E8</v>
      </c>
      <c r="B20930" s="17">
        <v>8630000.0</v>
      </c>
    </row>
    <row r="20931">
      <c r="A20931" s="17">
        <v>5.056002E8</v>
      </c>
      <c r="B20931" s="17">
        <v>8630000.0</v>
      </c>
    </row>
    <row r="20932">
      <c r="A20932" s="17">
        <v>5.056002E8</v>
      </c>
      <c r="B20932" s="17">
        <v>8630100.0</v>
      </c>
    </row>
    <row r="20933">
      <c r="A20933" s="17">
        <v>5.056002E8</v>
      </c>
      <c r="B20933" s="17">
        <v>8630100.0</v>
      </c>
    </row>
    <row r="20934">
      <c r="A20934" s="17">
        <v>5.056002E8</v>
      </c>
      <c r="B20934" s="17">
        <v>8630100.0</v>
      </c>
    </row>
    <row r="20935">
      <c r="A20935" s="17">
        <v>5.056002E8</v>
      </c>
      <c r="B20935" s="17">
        <v>8652000.0</v>
      </c>
    </row>
    <row r="20936">
      <c r="A20936" s="17">
        <v>5.056002E8</v>
      </c>
      <c r="B20936" s="17">
        <v>8652010.0</v>
      </c>
    </row>
    <row r="20937">
      <c r="A20937" s="17">
        <v>5.056002E8</v>
      </c>
      <c r="B20937" s="17">
        <v>8652020.0</v>
      </c>
    </row>
    <row r="20938">
      <c r="A20938" s="17">
        <v>5.056002E8</v>
      </c>
      <c r="B20938" s="17">
        <v>8652100.0</v>
      </c>
    </row>
    <row r="20939">
      <c r="A20939" s="17">
        <v>5.056002E8</v>
      </c>
      <c r="B20939" s="17">
        <v>8652110.0</v>
      </c>
    </row>
    <row r="20940">
      <c r="A20940" s="17">
        <v>5.056002E8</v>
      </c>
      <c r="B20940" s="17">
        <v>8652120.0</v>
      </c>
    </row>
    <row r="20941">
      <c r="A20941" s="17">
        <v>5.056002E8</v>
      </c>
      <c r="B20941" s="17">
        <v>8660000.0</v>
      </c>
    </row>
    <row r="20942">
      <c r="A20942" s="17">
        <v>5.056002E8</v>
      </c>
      <c r="B20942" s="17">
        <v>8660001.0</v>
      </c>
    </row>
    <row r="20943">
      <c r="A20943" s="17">
        <v>5.056002E8</v>
      </c>
      <c r="B20943" s="17">
        <v>8660002.0</v>
      </c>
    </row>
    <row r="20944">
      <c r="A20944" s="17">
        <v>5.056002E8</v>
      </c>
      <c r="B20944" s="17">
        <v>8660100.0</v>
      </c>
    </row>
    <row r="20945">
      <c r="A20945" s="17">
        <v>5.056002E8</v>
      </c>
      <c r="B20945" s="17">
        <v>8660101.0</v>
      </c>
    </row>
    <row r="20946">
      <c r="A20946" s="17">
        <v>5.056002E8</v>
      </c>
      <c r="B20946" s="17">
        <v>8660102.0</v>
      </c>
    </row>
    <row r="20947">
      <c r="A20947" s="17">
        <v>5.056002E8</v>
      </c>
      <c r="B20947" s="17">
        <v>8670000.0</v>
      </c>
    </row>
    <row r="20948">
      <c r="A20948" s="17">
        <v>5.056002E8</v>
      </c>
      <c r="B20948" s="17">
        <v>8670001.0</v>
      </c>
    </row>
    <row r="20949">
      <c r="A20949" s="17">
        <v>5.056002E8</v>
      </c>
      <c r="B20949" s="17">
        <v>8670002.0</v>
      </c>
    </row>
    <row r="20950">
      <c r="A20950" s="17">
        <v>5.056002E8</v>
      </c>
      <c r="B20950" s="17">
        <v>8670100.0</v>
      </c>
    </row>
    <row r="20951">
      <c r="A20951" s="17">
        <v>5.056002E8</v>
      </c>
      <c r="B20951" s="17">
        <v>8670101.0</v>
      </c>
    </row>
    <row r="20952">
      <c r="A20952" s="17">
        <v>5.056002E8</v>
      </c>
      <c r="B20952" s="17">
        <v>8670102.0</v>
      </c>
    </row>
    <row r="20953">
      <c r="A20953" s="17">
        <v>5.056002E8</v>
      </c>
      <c r="B20953" s="17">
        <v>8690000.0</v>
      </c>
    </row>
    <row r="20954">
      <c r="A20954" s="17">
        <v>5.056002E8</v>
      </c>
      <c r="B20954" s="17">
        <v>8690100.0</v>
      </c>
    </row>
    <row r="20955">
      <c r="A20955" s="17">
        <v>5.056002E8</v>
      </c>
      <c r="B20955" s="17">
        <v>8690200.0</v>
      </c>
    </row>
    <row r="20956">
      <c r="A20956" s="17">
        <v>5.056002E8</v>
      </c>
      <c r="B20956" s="17">
        <v>8690300.0</v>
      </c>
    </row>
    <row r="20957">
      <c r="A20957" s="17">
        <v>5.056002E8</v>
      </c>
      <c r="B20957" s="17">
        <v>8690400.0</v>
      </c>
    </row>
    <row r="20958">
      <c r="A20958" s="17">
        <v>5.056002E8</v>
      </c>
      <c r="B20958" s="17">
        <v>8850000.0</v>
      </c>
    </row>
    <row r="20959">
      <c r="A20959" s="17">
        <v>5.056002E8</v>
      </c>
      <c r="B20959" s="17">
        <v>8850100.0</v>
      </c>
    </row>
    <row r="20960">
      <c r="A20960" s="17">
        <v>5.056002E8</v>
      </c>
      <c r="B20960" s="17">
        <v>8850200.0</v>
      </c>
    </row>
    <row r="20961">
      <c r="A20961" s="17">
        <v>5.056002E8</v>
      </c>
      <c r="B20961" s="17">
        <v>8850300.0</v>
      </c>
    </row>
    <row r="20962">
      <c r="A20962" s="17">
        <v>5.056002E8</v>
      </c>
      <c r="B20962" s="17">
        <v>8850400.0</v>
      </c>
    </row>
    <row r="20963">
      <c r="A20963" s="17">
        <v>5.056002E8</v>
      </c>
      <c r="B20963" s="17">
        <v>8850500.0</v>
      </c>
    </row>
    <row r="20964">
      <c r="A20964" s="17">
        <v>5.056002E8</v>
      </c>
      <c r="B20964" s="17">
        <v>8850600.0</v>
      </c>
    </row>
    <row r="20965">
      <c r="A20965" s="17">
        <v>5.056002E8</v>
      </c>
      <c r="B20965" s="17">
        <v>8850700.0</v>
      </c>
    </row>
    <row r="20966">
      <c r="A20966" s="17">
        <v>5.056002E8</v>
      </c>
      <c r="B20966" s="17">
        <v>8850800.0</v>
      </c>
    </row>
    <row r="20967">
      <c r="A20967" s="17">
        <v>5.056002E8</v>
      </c>
      <c r="B20967" s="17">
        <v>8850900.0</v>
      </c>
    </row>
    <row r="20968">
      <c r="A20968" s="17">
        <v>5.056002E8</v>
      </c>
      <c r="B20968" s="17">
        <v>8851000.0</v>
      </c>
    </row>
    <row r="20969">
      <c r="A20969" s="17">
        <v>5.056002E8</v>
      </c>
      <c r="B20969" s="17">
        <v>8851100.0</v>
      </c>
    </row>
    <row r="20970">
      <c r="A20970" s="17">
        <v>5.056002E8</v>
      </c>
      <c r="B20970" s="17">
        <v>8851200.0</v>
      </c>
    </row>
    <row r="20971">
      <c r="A20971" s="17">
        <v>5.056002E8</v>
      </c>
      <c r="B20971" s="17">
        <v>8851300.0</v>
      </c>
    </row>
    <row r="20972">
      <c r="A20972" s="17">
        <v>5.056002E8</v>
      </c>
      <c r="B20972" s="17">
        <v>8851800.0</v>
      </c>
    </row>
    <row r="20973">
      <c r="A20973" s="17">
        <v>5.056002E8</v>
      </c>
      <c r="B20973" s="17">
        <v>8851900.0</v>
      </c>
    </row>
    <row r="20974">
      <c r="A20974" s="17">
        <v>5.056002E8</v>
      </c>
      <c r="B20974" s="17">
        <v>8852000.0</v>
      </c>
    </row>
    <row r="20975">
      <c r="A20975" s="17">
        <v>5.056002E8</v>
      </c>
      <c r="B20975" s="17">
        <v>8320500.0</v>
      </c>
    </row>
    <row r="20976">
      <c r="A20976" s="17">
        <v>5.056002E8</v>
      </c>
      <c r="B20976" s="17">
        <v>8320510.0</v>
      </c>
    </row>
    <row r="20977">
      <c r="A20977" s="17">
        <v>5.056002E8</v>
      </c>
      <c r="B20977" s="17">
        <v>8320520.0</v>
      </c>
    </row>
    <row r="20978">
      <c r="A20978" s="17">
        <v>5.056002E8</v>
      </c>
      <c r="B20978" s="17">
        <v>8320600.0</v>
      </c>
    </row>
    <row r="20979">
      <c r="A20979" s="17">
        <v>5.056002E8</v>
      </c>
      <c r="B20979" s="17">
        <v>8320610.0</v>
      </c>
    </row>
    <row r="20980">
      <c r="A20980" s="17">
        <v>5.056002E8</v>
      </c>
      <c r="B20980" s="17">
        <v>8320620.0</v>
      </c>
    </row>
    <row r="20981">
      <c r="A20981" s="17">
        <v>5.056002E8</v>
      </c>
      <c r="B20981" s="17">
        <v>8320700.0</v>
      </c>
    </row>
    <row r="20982">
      <c r="A20982" s="17">
        <v>5.056002E8</v>
      </c>
      <c r="B20982" s="17">
        <v>8320710.0</v>
      </c>
    </row>
    <row r="20983">
      <c r="A20983" s="17">
        <v>5.056002E8</v>
      </c>
      <c r="B20983" s="17">
        <v>8320720.0</v>
      </c>
    </row>
    <row r="20984">
      <c r="A20984" s="17">
        <v>6.0E8</v>
      </c>
      <c r="B20984" s="17">
        <v>8530000.0</v>
      </c>
    </row>
    <row r="20985">
      <c r="A20985" s="17">
        <v>6.00000001E8</v>
      </c>
      <c r="B20985" s="17">
        <v>8630010.0</v>
      </c>
    </row>
    <row r="20986">
      <c r="A20986" s="17">
        <v>6.00000002E8</v>
      </c>
      <c r="B20986" s="17">
        <v>8320300.0</v>
      </c>
    </row>
    <row r="20987">
      <c r="A20987" s="17">
        <v>6.00000003E8</v>
      </c>
      <c r="B20987" s="17">
        <v>8320100.0</v>
      </c>
    </row>
    <row r="20988">
      <c r="A20988" s="17">
        <v>6.01E8</v>
      </c>
      <c r="B20988" s="17">
        <v>8350002.0</v>
      </c>
    </row>
    <row r="20989">
      <c r="A20989" s="17">
        <v>6.01E8</v>
      </c>
      <c r="B20989" s="17">
        <v>8350202.0</v>
      </c>
    </row>
    <row r="20990">
      <c r="A20990" s="17">
        <v>6.01E8</v>
      </c>
      <c r="B20990" s="17">
        <v>8540000.0</v>
      </c>
    </row>
    <row r="20991">
      <c r="A20991" s="17">
        <v>6.01E8</v>
      </c>
      <c r="B20991" s="17">
        <v>8600102.0</v>
      </c>
    </row>
    <row r="20992">
      <c r="A20992" s="17">
        <v>6.01E8</v>
      </c>
      <c r="B20992" s="17">
        <v>8600202.0</v>
      </c>
    </row>
    <row r="20993">
      <c r="A20993" s="17">
        <v>6.01E8</v>
      </c>
      <c r="B20993" s="17">
        <v>8620020.0</v>
      </c>
    </row>
    <row r="20994">
      <c r="A20994" s="17">
        <v>6.01E8</v>
      </c>
      <c r="B20994" s="17">
        <v>8620120.0</v>
      </c>
    </row>
    <row r="20995">
      <c r="A20995" s="17">
        <v>6.010001E8</v>
      </c>
      <c r="B20995" s="17">
        <v>8200102.0</v>
      </c>
    </row>
    <row r="20996">
      <c r="A20996" s="17">
        <v>6.010001E8</v>
      </c>
      <c r="B20996" s="17">
        <v>8200202.0</v>
      </c>
    </row>
    <row r="20997">
      <c r="A20997" s="17">
        <v>6.010001E8</v>
      </c>
      <c r="B20997" s="17">
        <v>8200302.0</v>
      </c>
    </row>
    <row r="20998">
      <c r="A20998" s="17">
        <v>6.010001E8</v>
      </c>
      <c r="B20998" s="17">
        <v>8200402.0</v>
      </c>
    </row>
    <row r="20999">
      <c r="A20999" s="17">
        <v>6.010001E8</v>
      </c>
      <c r="B20999" s="17">
        <v>8220002.0</v>
      </c>
    </row>
    <row r="21000">
      <c r="A21000" s="17">
        <v>6.010001E8</v>
      </c>
      <c r="B21000" s="17">
        <v>8420002.0</v>
      </c>
    </row>
    <row r="21001">
      <c r="A21001" s="17">
        <v>6.010001E8</v>
      </c>
      <c r="B21001" s="17">
        <v>8652020.0</v>
      </c>
    </row>
    <row r="21002">
      <c r="A21002" s="17">
        <v>6.010001E8</v>
      </c>
      <c r="B21002" s="17">
        <v>8652120.0</v>
      </c>
    </row>
    <row r="21003">
      <c r="A21003" s="17">
        <v>6.010002E8</v>
      </c>
      <c r="B21003" s="17">
        <v>8340002.0</v>
      </c>
    </row>
    <row r="21004">
      <c r="A21004" s="17">
        <v>6.010002E8</v>
      </c>
      <c r="B21004" s="17">
        <v>8510002.0</v>
      </c>
    </row>
    <row r="21005">
      <c r="A21005" s="17">
        <v>6.010002E8</v>
      </c>
      <c r="B21005" s="17">
        <v>8520002.0</v>
      </c>
    </row>
    <row r="21006">
      <c r="A21006" s="17">
        <v>6.010002E8</v>
      </c>
      <c r="B21006" s="17">
        <v>8540000.0</v>
      </c>
    </row>
    <row r="21007">
      <c r="A21007" s="17">
        <v>6.010002E8</v>
      </c>
      <c r="B21007" s="17">
        <v>8630000.0</v>
      </c>
    </row>
    <row r="21008">
      <c r="A21008" s="17">
        <v>6.010002E8</v>
      </c>
      <c r="B21008" s="17">
        <v>8670002.0</v>
      </c>
    </row>
    <row r="21009">
      <c r="A21009" s="17">
        <v>6.010002E8</v>
      </c>
      <c r="B21009" s="17">
        <v>8670102.0</v>
      </c>
    </row>
    <row r="21010">
      <c r="A21010" s="17">
        <v>6.010003E8</v>
      </c>
      <c r="B21010" s="17">
        <v>8130002.0</v>
      </c>
    </row>
    <row r="21011">
      <c r="A21011" s="17">
        <v>6.010003E8</v>
      </c>
      <c r="B21011" s="17">
        <v>8310002.0</v>
      </c>
    </row>
    <row r="21012">
      <c r="A21012" s="17">
        <v>6.010003E8</v>
      </c>
      <c r="B21012" s="17">
        <v>8530000.0</v>
      </c>
    </row>
    <row r="21013">
      <c r="A21013" s="17">
        <v>6.010003E8</v>
      </c>
      <c r="B21013" s="17">
        <v>8600102.0</v>
      </c>
    </row>
    <row r="21014">
      <c r="A21014" s="17">
        <v>6.010003E8</v>
      </c>
      <c r="B21014" s="17">
        <v>8610720.0</v>
      </c>
    </row>
    <row r="21015">
      <c r="A21015" s="17">
        <v>6.010003E8</v>
      </c>
      <c r="B21015" s="17">
        <v>8670002.0</v>
      </c>
    </row>
    <row r="21016">
      <c r="A21016" s="17">
        <v>6.010003E8</v>
      </c>
      <c r="B21016" s="17">
        <v>8670102.0</v>
      </c>
    </row>
    <row r="21017">
      <c r="A21017" s="17">
        <v>6.010004E8</v>
      </c>
      <c r="B21017" s="17">
        <v>8300002.0</v>
      </c>
    </row>
    <row r="21018">
      <c r="A21018" s="17">
        <v>6.010004E8</v>
      </c>
      <c r="B21018" s="17">
        <v>8310002.0</v>
      </c>
    </row>
    <row r="21019">
      <c r="A21019" s="17">
        <v>6.010004E8</v>
      </c>
      <c r="B21019" s="17">
        <v>8320102.0</v>
      </c>
    </row>
    <row r="21020">
      <c r="A21020" s="17">
        <v>6.010004E8</v>
      </c>
      <c r="B21020" s="17">
        <v>8320302.0</v>
      </c>
    </row>
    <row r="21021">
      <c r="A21021" s="17">
        <v>6.010004E8</v>
      </c>
      <c r="B21021" s="17">
        <v>8320420.0</v>
      </c>
    </row>
    <row r="21022">
      <c r="A21022" s="17">
        <v>6.010004E8</v>
      </c>
      <c r="B21022" s="17">
        <v>8620020.0</v>
      </c>
    </row>
    <row r="21023">
      <c r="A21023" s="17">
        <v>6.010004E8</v>
      </c>
      <c r="B21023" s="17">
        <v>8620120.0</v>
      </c>
    </row>
    <row r="21024">
      <c r="A21024" s="17">
        <v>6.010005E8</v>
      </c>
      <c r="B21024" s="17">
        <v>8100102.0</v>
      </c>
    </row>
    <row r="21025">
      <c r="A21025" s="17">
        <v>6.010005E8</v>
      </c>
      <c r="B21025" s="17">
        <v>8300002.0</v>
      </c>
    </row>
    <row r="21026">
      <c r="A21026" s="17">
        <v>6.010005E8</v>
      </c>
      <c r="B21026" s="17">
        <v>8520002.0</v>
      </c>
    </row>
    <row r="21027">
      <c r="A21027" s="17">
        <v>6.010005E8</v>
      </c>
      <c r="B21027" s="17">
        <v>8530000.0</v>
      </c>
    </row>
    <row r="21028">
      <c r="A21028" s="17">
        <v>6.010005E8</v>
      </c>
      <c r="B21028" s="17">
        <v>8600102.0</v>
      </c>
    </row>
    <row r="21029">
      <c r="A21029" s="17">
        <v>6.010005E8</v>
      </c>
      <c r="B21029" s="17">
        <v>8670002.0</v>
      </c>
    </row>
    <row r="21030">
      <c r="A21030" s="17">
        <v>6.010005E8</v>
      </c>
      <c r="B21030" s="17">
        <v>8670102.0</v>
      </c>
    </row>
    <row r="21031">
      <c r="A21031" s="17">
        <v>6.010006E8</v>
      </c>
      <c r="B21031" s="17">
        <v>8100102.0</v>
      </c>
    </row>
    <row r="21032">
      <c r="A21032" s="17">
        <v>6.010006E8</v>
      </c>
      <c r="B21032" s="17">
        <v>8330002.0</v>
      </c>
    </row>
    <row r="21033">
      <c r="A21033" s="17">
        <v>6.010006E8</v>
      </c>
      <c r="B21033" s="17">
        <v>8330202.0</v>
      </c>
    </row>
    <row r="21034">
      <c r="A21034" s="17">
        <v>6.010006E8</v>
      </c>
      <c r="B21034" s="17">
        <v>8330401.0</v>
      </c>
    </row>
    <row r="21035">
      <c r="A21035" s="17">
        <v>6.010006E8</v>
      </c>
      <c r="B21035" s="17">
        <v>8330602.0</v>
      </c>
    </row>
    <row r="21036">
      <c r="A21036" s="17">
        <v>6.010006E8</v>
      </c>
      <c r="B21036" s="17">
        <v>8330920.0</v>
      </c>
    </row>
    <row r="21037">
      <c r="A21037" s="17">
        <v>6.010006E8</v>
      </c>
      <c r="B21037" s="17">
        <v>8670102.0</v>
      </c>
    </row>
    <row r="21038">
      <c r="A21038" s="17">
        <v>6.010007E8</v>
      </c>
      <c r="B21038" s="17">
        <v>8300002.0</v>
      </c>
    </row>
    <row r="21039">
      <c r="A21039" s="17">
        <v>6.010007E8</v>
      </c>
      <c r="B21039" s="17">
        <v>8350002.0</v>
      </c>
    </row>
    <row r="21040">
      <c r="A21040" s="17">
        <v>6.010007E8</v>
      </c>
      <c r="B21040" s="17">
        <v>8350202.0</v>
      </c>
    </row>
    <row r="21041">
      <c r="A21041" s="17">
        <v>6.010007E8</v>
      </c>
      <c r="B21041" s="17">
        <v>8600102.0</v>
      </c>
    </row>
    <row r="21042">
      <c r="A21042" s="17">
        <v>6.010007E8</v>
      </c>
      <c r="B21042" s="17">
        <v>8610720.0</v>
      </c>
    </row>
    <row r="21043">
      <c r="A21043" s="17">
        <v>6.010007E8</v>
      </c>
      <c r="B21043" s="17">
        <v>8630000.0</v>
      </c>
    </row>
    <row r="21044">
      <c r="A21044" s="17">
        <v>6.010007E8</v>
      </c>
      <c r="B21044" s="17">
        <v>8630100.0</v>
      </c>
    </row>
    <row r="21045">
      <c r="A21045" s="17">
        <v>6.010008E8</v>
      </c>
      <c r="B21045" s="17">
        <v>8670102.0</v>
      </c>
    </row>
    <row r="21046">
      <c r="A21046" s="17">
        <v>6.010008E8</v>
      </c>
      <c r="B21046" s="17">
        <v>8670002.0</v>
      </c>
    </row>
    <row r="21047">
      <c r="A21047" s="17">
        <v>6.010008E8</v>
      </c>
      <c r="B21047" s="17">
        <v>8610720.0</v>
      </c>
    </row>
    <row r="21048">
      <c r="A21048" s="17">
        <v>6.010008E8</v>
      </c>
      <c r="B21048" s="17">
        <v>8600102.0</v>
      </c>
    </row>
    <row r="21049">
      <c r="A21049" s="17">
        <v>6.010008E8</v>
      </c>
      <c r="B21049" s="17">
        <v>8600202.0</v>
      </c>
    </row>
    <row r="21050">
      <c r="A21050" s="17">
        <v>6.010008E8</v>
      </c>
      <c r="B21050" s="17">
        <v>8320520.0</v>
      </c>
    </row>
    <row r="21051">
      <c r="A21051" s="17">
        <v>6.010008E8</v>
      </c>
      <c r="B21051" s="17">
        <v>8320720.0</v>
      </c>
    </row>
    <row r="21052">
      <c r="A21052" s="17">
        <v>6.010009E8</v>
      </c>
      <c r="B21052" s="17">
        <v>8620120.0</v>
      </c>
    </row>
    <row r="21053">
      <c r="A21053" s="17">
        <v>6.010009E8</v>
      </c>
      <c r="B21053" s="17">
        <v>8320520.0</v>
      </c>
    </row>
    <row r="21054">
      <c r="A21054" s="17">
        <v>6.010009E8</v>
      </c>
      <c r="B21054" s="17">
        <v>8670102.0</v>
      </c>
    </row>
    <row r="21055">
      <c r="A21055" s="17">
        <v>6.010009E8</v>
      </c>
      <c r="B21055" s="17">
        <v>8670002.0</v>
      </c>
    </row>
    <row r="21056">
      <c r="A21056" s="17">
        <v>6.010009E8</v>
      </c>
      <c r="B21056" s="17">
        <v>8320002.0</v>
      </c>
    </row>
    <row r="21057">
      <c r="A21057" s="17">
        <v>6.010009E8</v>
      </c>
      <c r="B21057" s="17">
        <v>8350002.0</v>
      </c>
    </row>
    <row r="21058">
      <c r="A21058" s="17">
        <v>6.010009E8</v>
      </c>
      <c r="B21058" s="17">
        <v>8350202.0</v>
      </c>
    </row>
    <row r="21059">
      <c r="A21059" s="17">
        <v>6.02E8</v>
      </c>
      <c r="B21059" s="17">
        <v>8850000.0</v>
      </c>
    </row>
    <row r="21060">
      <c r="A21060" s="17">
        <v>6.02E8</v>
      </c>
      <c r="B21060" s="17">
        <v>8850100.0</v>
      </c>
    </row>
    <row r="21061">
      <c r="A21061" s="17">
        <v>6.02E8</v>
      </c>
      <c r="B21061" s="17">
        <v>8850200.0</v>
      </c>
    </row>
    <row r="21062">
      <c r="A21062" s="17">
        <v>6.02E8</v>
      </c>
      <c r="B21062" s="17">
        <v>8850300.0</v>
      </c>
    </row>
    <row r="21063">
      <c r="A21063" s="17">
        <v>6.02E8</v>
      </c>
      <c r="B21063" s="17">
        <v>8850400.0</v>
      </c>
    </row>
    <row r="21064">
      <c r="A21064" s="17">
        <v>6.02E8</v>
      </c>
      <c r="B21064" s="17">
        <v>8850500.0</v>
      </c>
    </row>
    <row r="21065">
      <c r="A21065" s="17">
        <v>6.02E8</v>
      </c>
      <c r="B21065" s="17">
        <v>8850600.0</v>
      </c>
    </row>
    <row r="21066">
      <c r="A21066" s="17">
        <v>6.02E8</v>
      </c>
      <c r="B21066" s="17">
        <v>8850700.0</v>
      </c>
    </row>
    <row r="21067">
      <c r="A21067" s="17">
        <v>6.02E8</v>
      </c>
      <c r="B21067" s="17">
        <v>8850800.0</v>
      </c>
    </row>
    <row r="21068">
      <c r="A21068" s="17">
        <v>6.02E8</v>
      </c>
      <c r="B21068" s="17">
        <v>8850900.0</v>
      </c>
    </row>
    <row r="21069">
      <c r="A21069" s="17">
        <v>6.02E8</v>
      </c>
      <c r="B21069" s="17">
        <v>8851000.0</v>
      </c>
    </row>
    <row r="21070">
      <c r="A21070" s="17">
        <v>6.02E8</v>
      </c>
      <c r="B21070" s="17">
        <v>8851100.0</v>
      </c>
    </row>
    <row r="21071">
      <c r="A21071" s="17">
        <v>6.02E8</v>
      </c>
      <c r="B21071" s="17">
        <v>8851200.0</v>
      </c>
    </row>
    <row r="21072">
      <c r="A21072" s="17">
        <v>6.02E8</v>
      </c>
      <c r="B21072" s="17">
        <v>8851300.0</v>
      </c>
    </row>
    <row r="21073">
      <c r="A21073" s="17">
        <v>6.02E8</v>
      </c>
      <c r="B21073" s="17">
        <v>8851800.0</v>
      </c>
    </row>
    <row r="21074">
      <c r="A21074" s="17">
        <v>6.02E8</v>
      </c>
      <c r="B21074" s="17">
        <v>8851900.0</v>
      </c>
    </row>
    <row r="21075">
      <c r="A21075" s="17">
        <v>6.02E8</v>
      </c>
      <c r="B21075" s="17">
        <v>8852000.0</v>
      </c>
    </row>
    <row r="21076">
      <c r="A21076" s="17">
        <v>6.03E8</v>
      </c>
      <c r="B21076" s="17">
        <v>8850050.0</v>
      </c>
    </row>
    <row r="21077">
      <c r="A21077" s="17">
        <v>6.03E8</v>
      </c>
      <c r="B21077" s="17">
        <v>8850150.0</v>
      </c>
    </row>
    <row r="21078">
      <c r="A21078" s="17">
        <v>6.03E8</v>
      </c>
      <c r="B21078" s="17">
        <v>8850250.0</v>
      </c>
    </row>
    <row r="21079">
      <c r="A21079" s="17">
        <v>6.03E8</v>
      </c>
      <c r="B21079" s="17">
        <v>8850350.0</v>
      </c>
    </row>
    <row r="21080">
      <c r="A21080" s="17">
        <v>6.03E8</v>
      </c>
      <c r="B21080" s="17">
        <v>8850450.0</v>
      </c>
    </row>
    <row r="21081">
      <c r="A21081" s="17">
        <v>6.03E8</v>
      </c>
      <c r="B21081" s="17">
        <v>8850550.0</v>
      </c>
    </row>
    <row r="21082">
      <c r="A21082" s="17">
        <v>6.03E8</v>
      </c>
      <c r="B21082" s="17">
        <v>8850650.0</v>
      </c>
    </row>
    <row r="21083">
      <c r="A21083" s="17">
        <v>6.03E8</v>
      </c>
      <c r="B21083" s="17">
        <v>8850750.0</v>
      </c>
    </row>
    <row r="21084">
      <c r="A21084" s="17">
        <v>6.03E8</v>
      </c>
      <c r="B21084" s="17">
        <v>8850850.0</v>
      </c>
    </row>
    <row r="21085">
      <c r="A21085" s="17">
        <v>6.03E8</v>
      </c>
      <c r="B21085" s="17">
        <v>8850950.0</v>
      </c>
    </row>
    <row r="21086">
      <c r="A21086" s="17">
        <v>6.03E8</v>
      </c>
      <c r="B21086" s="17">
        <v>8851050.0</v>
      </c>
    </row>
    <row r="21087">
      <c r="A21087" s="17">
        <v>6.03E8</v>
      </c>
      <c r="B21087" s="17">
        <v>8851150.0</v>
      </c>
    </row>
    <row r="21088">
      <c r="A21088" s="17">
        <v>6.03E8</v>
      </c>
      <c r="B21088" s="17">
        <v>8851250.0</v>
      </c>
    </row>
    <row r="21089">
      <c r="A21089" s="17">
        <v>6.03E8</v>
      </c>
      <c r="B21089" s="17">
        <v>8851350.0</v>
      </c>
    </row>
    <row r="21090">
      <c r="A21090" s="17">
        <v>6.03E8</v>
      </c>
      <c r="B21090" s="17">
        <v>8851850.0</v>
      </c>
    </row>
    <row r="21091">
      <c r="A21091" s="17">
        <v>6.03E8</v>
      </c>
      <c r="B21091" s="17">
        <v>8851950.0</v>
      </c>
    </row>
    <row r="21092">
      <c r="A21092" s="17">
        <v>6.03E8</v>
      </c>
      <c r="B21092" s="17">
        <v>8852050.0</v>
      </c>
    </row>
    <row r="21093">
      <c r="A21093" s="17">
        <v>6.03E8</v>
      </c>
      <c r="B21093" s="17">
        <v>8880000.0</v>
      </c>
    </row>
    <row r="21094">
      <c r="A21094" s="17">
        <v>6.03E8</v>
      </c>
      <c r="B21094" s="17">
        <v>8880200.0</v>
      </c>
    </row>
    <row r="21095">
      <c r="A21095" s="17">
        <v>6.03E8</v>
      </c>
      <c r="B21095" s="17">
        <v>8880300.0</v>
      </c>
    </row>
    <row r="21096">
      <c r="A21096" s="17">
        <v>6.03E8</v>
      </c>
      <c r="B21096" s="17">
        <v>8881000.0</v>
      </c>
    </row>
    <row r="21097">
      <c r="A21097" s="17">
        <v>6.03E8</v>
      </c>
      <c r="B21097" s="17">
        <v>8881200.0</v>
      </c>
    </row>
    <row r="21098">
      <c r="A21098" s="17">
        <v>6.03E8</v>
      </c>
      <c r="B21098" s="17">
        <v>8881500.0</v>
      </c>
    </row>
    <row r="21099">
      <c r="A21099" s="17">
        <v>6.03E8</v>
      </c>
      <c r="B21099" s="17">
        <v>8882100.0</v>
      </c>
    </row>
    <row r="21100">
      <c r="A21100" s="17">
        <v>6.03E8</v>
      </c>
      <c r="B21100" s="17">
        <v>8882500.0</v>
      </c>
    </row>
    <row r="21101">
      <c r="A21101" s="17">
        <v>6.030001E8</v>
      </c>
      <c r="B21101" s="17">
        <v>8850050.0</v>
      </c>
    </row>
    <row r="21102">
      <c r="A21102" s="17">
        <v>6.030001E8</v>
      </c>
      <c r="B21102" s="17">
        <v>8850150.0</v>
      </c>
    </row>
    <row r="21103">
      <c r="A21103" s="17">
        <v>6.030001E8</v>
      </c>
      <c r="B21103" s="17">
        <v>8850250.0</v>
      </c>
    </row>
    <row r="21104">
      <c r="A21104" s="17">
        <v>6.030001E8</v>
      </c>
      <c r="B21104" s="17">
        <v>8850350.0</v>
      </c>
    </row>
    <row r="21105">
      <c r="A21105" s="17">
        <v>6.030001E8</v>
      </c>
      <c r="B21105" s="17">
        <v>8850450.0</v>
      </c>
    </row>
    <row r="21106">
      <c r="A21106" s="17">
        <v>6.030001E8</v>
      </c>
      <c r="B21106" s="17">
        <v>8850550.0</v>
      </c>
    </row>
    <row r="21107">
      <c r="A21107" s="17">
        <v>6.030001E8</v>
      </c>
      <c r="B21107" s="17">
        <v>8850650.0</v>
      </c>
    </row>
    <row r="21108">
      <c r="A21108" s="17">
        <v>6.030001E8</v>
      </c>
      <c r="B21108" s="17">
        <v>8850750.0</v>
      </c>
    </row>
    <row r="21109">
      <c r="A21109" s="17">
        <v>6.030001E8</v>
      </c>
      <c r="B21109" s="17">
        <v>8850850.0</v>
      </c>
    </row>
    <row r="21110">
      <c r="A21110" s="17">
        <v>6.030001E8</v>
      </c>
      <c r="B21110" s="17">
        <v>8850950.0</v>
      </c>
    </row>
    <row r="21111">
      <c r="A21111" s="17">
        <v>6.030001E8</v>
      </c>
      <c r="B21111" s="17">
        <v>8851050.0</v>
      </c>
    </row>
    <row r="21112">
      <c r="A21112" s="17">
        <v>6.030001E8</v>
      </c>
      <c r="B21112" s="17">
        <v>8851150.0</v>
      </c>
    </row>
    <row r="21113">
      <c r="A21113" s="17">
        <v>6.030001E8</v>
      </c>
      <c r="B21113" s="17">
        <v>8851250.0</v>
      </c>
    </row>
    <row r="21114">
      <c r="A21114" s="17">
        <v>6.030001E8</v>
      </c>
      <c r="B21114" s="17">
        <v>8851350.0</v>
      </c>
    </row>
    <row r="21115">
      <c r="A21115" s="17">
        <v>6.030001E8</v>
      </c>
      <c r="B21115" s="17">
        <v>8851850.0</v>
      </c>
    </row>
    <row r="21116">
      <c r="A21116" s="17">
        <v>6.030001E8</v>
      </c>
      <c r="B21116" s="17">
        <v>8851950.0</v>
      </c>
    </row>
    <row r="21117">
      <c r="A21117" s="17">
        <v>6.030001E8</v>
      </c>
      <c r="B21117" s="17">
        <v>8852050.0</v>
      </c>
    </row>
    <row r="21118">
      <c r="A21118" s="17">
        <v>6.030001E8</v>
      </c>
      <c r="B21118" s="17">
        <v>8883000.0</v>
      </c>
    </row>
    <row r="21119">
      <c r="A21119" s="17">
        <v>6.030001E8</v>
      </c>
      <c r="B21119" s="17">
        <v>8883100.0</v>
      </c>
    </row>
    <row r="21120">
      <c r="A21120" s="17">
        <v>6.030001E8</v>
      </c>
      <c r="B21120" s="17">
        <v>8883200.0</v>
      </c>
    </row>
    <row r="21121">
      <c r="A21121" s="17">
        <v>6.030001E8</v>
      </c>
      <c r="B21121" s="17">
        <v>8883300.0</v>
      </c>
    </row>
    <row r="21122">
      <c r="A21122" s="17">
        <v>6.030001E8</v>
      </c>
      <c r="B21122" s="17">
        <v>8883400.0</v>
      </c>
    </row>
    <row r="21123">
      <c r="A21123" s="17">
        <v>6.030002E8</v>
      </c>
      <c r="B21123" s="17">
        <v>8850050.0</v>
      </c>
    </row>
    <row r="21124">
      <c r="A21124" s="17">
        <v>6.030002E8</v>
      </c>
      <c r="B21124" s="17">
        <v>8850150.0</v>
      </c>
    </row>
    <row r="21125">
      <c r="A21125" s="17">
        <v>6.030002E8</v>
      </c>
      <c r="B21125" s="17">
        <v>8850250.0</v>
      </c>
    </row>
    <row r="21126">
      <c r="A21126" s="17">
        <v>6.030002E8</v>
      </c>
      <c r="B21126" s="17">
        <v>8850350.0</v>
      </c>
    </row>
    <row r="21127">
      <c r="A21127" s="17">
        <v>6.030002E8</v>
      </c>
      <c r="B21127" s="17">
        <v>8850450.0</v>
      </c>
    </row>
    <row r="21128">
      <c r="A21128" s="17">
        <v>6.030002E8</v>
      </c>
      <c r="B21128" s="17">
        <v>8850550.0</v>
      </c>
    </row>
    <row r="21129">
      <c r="A21129" s="17">
        <v>6.030002E8</v>
      </c>
      <c r="B21129" s="17">
        <v>8850650.0</v>
      </c>
    </row>
    <row r="21130">
      <c r="A21130" s="17">
        <v>6.030002E8</v>
      </c>
      <c r="B21130" s="17">
        <v>8850750.0</v>
      </c>
    </row>
    <row r="21131">
      <c r="A21131" s="17">
        <v>6.030002E8</v>
      </c>
      <c r="B21131" s="17">
        <v>8850850.0</v>
      </c>
    </row>
    <row r="21132">
      <c r="A21132" s="17">
        <v>6.030002E8</v>
      </c>
      <c r="B21132" s="17">
        <v>8850950.0</v>
      </c>
    </row>
    <row r="21133">
      <c r="A21133" s="17">
        <v>6.030002E8</v>
      </c>
      <c r="B21133" s="17">
        <v>8851050.0</v>
      </c>
    </row>
    <row r="21134">
      <c r="A21134" s="17">
        <v>6.030002E8</v>
      </c>
      <c r="B21134" s="17">
        <v>8851150.0</v>
      </c>
    </row>
    <row r="21135">
      <c r="A21135" s="17">
        <v>6.030002E8</v>
      </c>
      <c r="B21135" s="17">
        <v>8851250.0</v>
      </c>
    </row>
    <row r="21136">
      <c r="A21136" s="17">
        <v>6.030002E8</v>
      </c>
      <c r="B21136" s="17">
        <v>8851350.0</v>
      </c>
    </row>
    <row r="21137">
      <c r="A21137" s="17">
        <v>6.030002E8</v>
      </c>
      <c r="B21137" s="17">
        <v>8851850.0</v>
      </c>
    </row>
    <row r="21138">
      <c r="A21138" s="17">
        <v>6.030002E8</v>
      </c>
      <c r="B21138" s="17">
        <v>8851950.0</v>
      </c>
    </row>
    <row r="21139">
      <c r="A21139" s="17">
        <v>6.030002E8</v>
      </c>
      <c r="B21139" s="17">
        <v>8852050.0</v>
      </c>
    </row>
    <row r="21140">
      <c r="A21140" s="17">
        <v>6.030002E8</v>
      </c>
      <c r="B21140" s="17">
        <v>8885000.0</v>
      </c>
    </row>
    <row r="21141">
      <c r="A21141" s="17">
        <v>6.030002E8</v>
      </c>
      <c r="B21141" s="17">
        <v>8885100.0</v>
      </c>
    </row>
    <row r="21142">
      <c r="A21142" s="17">
        <v>6.030002E8</v>
      </c>
      <c r="B21142" s="17">
        <v>8885200.0</v>
      </c>
    </row>
    <row r="21143">
      <c r="A21143" s="17">
        <v>6.1E8</v>
      </c>
      <c r="B21143" s="17">
        <v>8760000.0</v>
      </c>
    </row>
    <row r="21144">
      <c r="A21144" s="17">
        <v>6.1E8</v>
      </c>
      <c r="B21144" s="17">
        <v>8760100.0</v>
      </c>
    </row>
    <row r="21145">
      <c r="A21145" s="17">
        <v>6.1E8</v>
      </c>
      <c r="B21145" s="17">
        <v>8760200.0</v>
      </c>
    </row>
    <row r="21146">
      <c r="A21146" s="17">
        <v>6.1E8</v>
      </c>
      <c r="B21146" s="17">
        <v>8761000.0</v>
      </c>
    </row>
    <row r="21147">
      <c r="A21147" s="17">
        <v>6.1E8</v>
      </c>
      <c r="B21147" s="17">
        <v>8761100.0</v>
      </c>
    </row>
    <row r="21148">
      <c r="A21148" s="17">
        <v>6.1E8</v>
      </c>
      <c r="B21148" s="17">
        <v>8762000.0</v>
      </c>
    </row>
    <row r="21149">
      <c r="A21149" s="17">
        <v>6.1E8</v>
      </c>
      <c r="B21149" s="17">
        <v>8763000.0</v>
      </c>
    </row>
    <row r="21150">
      <c r="A21150" s="17">
        <v>6.1E8</v>
      </c>
      <c r="B21150" s="17">
        <v>8766000.0</v>
      </c>
    </row>
    <row r="21151">
      <c r="A21151" s="17">
        <v>6.1E8</v>
      </c>
      <c r="B21151" s="17">
        <v>8770000.0</v>
      </c>
    </row>
    <row r="21152">
      <c r="A21152" s="17">
        <v>6.1E8</v>
      </c>
      <c r="B21152" s="17">
        <v>8771000.0</v>
      </c>
    </row>
    <row r="21153">
      <c r="A21153" s="17">
        <v>6.1E8</v>
      </c>
      <c r="B21153" s="17">
        <v>8800100.0</v>
      </c>
    </row>
    <row r="21154">
      <c r="A21154" s="17">
        <v>6.1E8</v>
      </c>
      <c r="B21154" s="17">
        <v>8800200.0</v>
      </c>
    </row>
    <row r="21155">
      <c r="A21155" s="17">
        <v>6.1E8</v>
      </c>
      <c r="B21155" s="17">
        <v>8801000.0</v>
      </c>
    </row>
    <row r="21156">
      <c r="A21156" s="17">
        <v>6.1E8</v>
      </c>
      <c r="B21156" s="17">
        <v>8810000.0</v>
      </c>
    </row>
    <row r="21157">
      <c r="A21157" s="17">
        <v>6.1E8</v>
      </c>
      <c r="B21157" s="17">
        <v>8810200.0</v>
      </c>
    </row>
    <row r="21158">
      <c r="A21158" s="17">
        <v>6.1E8</v>
      </c>
      <c r="B21158" s="17">
        <v>8810300.0</v>
      </c>
    </row>
    <row r="21159">
      <c r="A21159" s="17">
        <v>6.1E8</v>
      </c>
      <c r="B21159" s="17">
        <v>8810400.0</v>
      </c>
    </row>
    <row r="21160">
      <c r="A21160" s="17">
        <v>6.1E8</v>
      </c>
      <c r="B21160" s="17">
        <v>8813100.0</v>
      </c>
    </row>
    <row r="21161">
      <c r="A21161" s="17">
        <v>6.1E8</v>
      </c>
      <c r="B21161" s="17">
        <v>8821000.0</v>
      </c>
    </row>
    <row r="21162">
      <c r="A21162" s="17">
        <v>6.1E8</v>
      </c>
      <c r="B21162" s="17">
        <v>8830000.0</v>
      </c>
    </row>
    <row r="21163">
      <c r="A21163" s="17">
        <v>6.1E8</v>
      </c>
      <c r="B21163" s="17">
        <v>8831000.0</v>
      </c>
    </row>
    <row r="21164">
      <c r="A21164" s="17">
        <v>6.1E8</v>
      </c>
      <c r="B21164" s="17">
        <v>8831200.0</v>
      </c>
    </row>
    <row r="21165">
      <c r="A21165" s="17">
        <v>6.2E8</v>
      </c>
      <c r="B21165" s="17">
        <v>8760000.0</v>
      </c>
    </row>
    <row r="21166">
      <c r="A21166" s="17">
        <v>6.2E8</v>
      </c>
      <c r="B21166" s="17">
        <v>8760100.0</v>
      </c>
    </row>
    <row r="21167">
      <c r="A21167" s="17">
        <v>6.2E8</v>
      </c>
      <c r="B21167" s="17">
        <v>8760200.0</v>
      </c>
    </row>
    <row r="21168">
      <c r="A21168" s="17">
        <v>6.2E8</v>
      </c>
      <c r="B21168" s="17">
        <v>8761000.0</v>
      </c>
    </row>
    <row r="21169">
      <c r="A21169" s="17">
        <v>6.2E8</v>
      </c>
      <c r="B21169" s="17">
        <v>8761100.0</v>
      </c>
    </row>
    <row r="21170">
      <c r="A21170" s="17">
        <v>6.2E8</v>
      </c>
      <c r="B21170" s="17">
        <v>8762000.0</v>
      </c>
    </row>
    <row r="21171">
      <c r="A21171" s="17">
        <v>6.2E8</v>
      </c>
      <c r="B21171" s="17">
        <v>8763000.0</v>
      </c>
    </row>
    <row r="21172">
      <c r="A21172" s="17">
        <v>6.2E8</v>
      </c>
      <c r="B21172" s="17">
        <v>8766000.0</v>
      </c>
    </row>
    <row r="21173">
      <c r="A21173" s="17">
        <v>6.2E8</v>
      </c>
      <c r="B21173" s="17">
        <v>8770000.0</v>
      </c>
    </row>
    <row r="21174">
      <c r="A21174" s="17">
        <v>6.2E8</v>
      </c>
      <c r="B21174" s="17">
        <v>8771000.0</v>
      </c>
    </row>
    <row r="21175">
      <c r="A21175" s="17">
        <v>6.2E8</v>
      </c>
      <c r="B21175" s="17">
        <v>8800100.0</v>
      </c>
    </row>
    <row r="21176">
      <c r="A21176" s="17">
        <v>6.2E8</v>
      </c>
      <c r="B21176" s="17">
        <v>8800200.0</v>
      </c>
    </row>
    <row r="21177">
      <c r="A21177" s="17">
        <v>6.2E8</v>
      </c>
      <c r="B21177" s="17">
        <v>8801000.0</v>
      </c>
    </row>
    <row r="21178">
      <c r="A21178" s="17">
        <v>6.2E8</v>
      </c>
      <c r="B21178" s="17">
        <v>8810000.0</v>
      </c>
    </row>
    <row r="21179">
      <c r="A21179" s="17">
        <v>6.2E8</v>
      </c>
      <c r="B21179" s="17">
        <v>8810200.0</v>
      </c>
    </row>
    <row r="21180">
      <c r="A21180" s="17">
        <v>6.2E8</v>
      </c>
      <c r="B21180" s="17">
        <v>8810300.0</v>
      </c>
    </row>
    <row r="21181">
      <c r="A21181" s="17">
        <v>6.2E8</v>
      </c>
      <c r="B21181" s="17">
        <v>8810400.0</v>
      </c>
    </row>
    <row r="21182">
      <c r="A21182" s="17">
        <v>6.2E8</v>
      </c>
      <c r="B21182" s="17">
        <v>8813100.0</v>
      </c>
    </row>
    <row r="21183">
      <c r="A21183" s="17">
        <v>6.2E8</v>
      </c>
      <c r="B21183" s="17">
        <v>8821000.0</v>
      </c>
    </row>
    <row r="21184">
      <c r="A21184" s="17">
        <v>6.2E8</v>
      </c>
      <c r="B21184" s="17">
        <v>8830000.0</v>
      </c>
    </row>
    <row r="21185">
      <c r="A21185" s="17">
        <v>6.2E8</v>
      </c>
      <c r="B21185" s="17">
        <v>8831000.0</v>
      </c>
    </row>
    <row r="21186">
      <c r="A21186" s="17">
        <v>6.2E8</v>
      </c>
      <c r="B21186" s="17">
        <v>8831200.0</v>
      </c>
    </row>
    <row r="21187">
      <c r="A21187" s="17">
        <v>6.3E8</v>
      </c>
      <c r="B21187" s="17">
        <v>8760050.0</v>
      </c>
    </row>
    <row r="21188">
      <c r="A21188" s="17">
        <v>6.3E8</v>
      </c>
      <c r="B21188" s="17">
        <v>8760150.0</v>
      </c>
    </row>
    <row r="21189">
      <c r="A21189" s="17">
        <v>6.3E8</v>
      </c>
      <c r="B21189" s="17">
        <v>8760250.0</v>
      </c>
    </row>
    <row r="21190">
      <c r="A21190" s="17">
        <v>6.3E8</v>
      </c>
      <c r="B21190" s="17">
        <v>8761050.0</v>
      </c>
    </row>
    <row r="21191">
      <c r="A21191" s="17">
        <v>6.3E8</v>
      </c>
      <c r="B21191" s="17">
        <v>8761150.0</v>
      </c>
    </row>
    <row r="21192">
      <c r="A21192" s="17">
        <v>6.3E8</v>
      </c>
      <c r="B21192" s="17">
        <v>8762050.0</v>
      </c>
    </row>
    <row r="21193">
      <c r="A21193" s="17">
        <v>6.3E8</v>
      </c>
      <c r="B21193" s="17">
        <v>8763050.0</v>
      </c>
    </row>
    <row r="21194">
      <c r="A21194" s="17">
        <v>6.3E8</v>
      </c>
      <c r="B21194" s="17">
        <v>8766050.0</v>
      </c>
    </row>
    <row r="21195">
      <c r="A21195" s="17">
        <v>6.3E8</v>
      </c>
      <c r="B21195" s="17">
        <v>8770050.0</v>
      </c>
    </row>
    <row r="21196">
      <c r="A21196" s="17">
        <v>6.3E8</v>
      </c>
      <c r="B21196" s="17">
        <v>8771050.0</v>
      </c>
    </row>
    <row r="21197">
      <c r="A21197" s="17">
        <v>6.3E8</v>
      </c>
      <c r="B21197" s="17">
        <v>8800150.0</v>
      </c>
    </row>
    <row r="21198">
      <c r="A21198" s="17">
        <v>6.3E8</v>
      </c>
      <c r="B21198" s="17">
        <v>8800250.0</v>
      </c>
    </row>
    <row r="21199">
      <c r="A21199" s="17">
        <v>6.3E8</v>
      </c>
      <c r="B21199" s="17">
        <v>8801050.0</v>
      </c>
    </row>
    <row r="21200">
      <c r="A21200" s="17">
        <v>6.3E8</v>
      </c>
      <c r="B21200" s="17">
        <v>8810050.0</v>
      </c>
    </row>
    <row r="21201">
      <c r="A21201" s="17">
        <v>6.3E8</v>
      </c>
      <c r="B21201" s="17">
        <v>8810250.0</v>
      </c>
    </row>
    <row r="21202">
      <c r="A21202" s="17">
        <v>6.3E8</v>
      </c>
      <c r="B21202" s="17">
        <v>8810350.0</v>
      </c>
    </row>
    <row r="21203">
      <c r="A21203" s="17">
        <v>6.3E8</v>
      </c>
      <c r="B21203" s="17">
        <v>8810450.0</v>
      </c>
    </row>
    <row r="21204">
      <c r="A21204" s="17">
        <v>6.3E8</v>
      </c>
      <c r="B21204" s="17">
        <v>8813150.0</v>
      </c>
    </row>
    <row r="21205">
      <c r="A21205" s="17">
        <v>6.3E8</v>
      </c>
      <c r="B21205" s="17">
        <v>8821050.0</v>
      </c>
    </row>
    <row r="21206">
      <c r="A21206" s="17">
        <v>6.3E8</v>
      </c>
      <c r="B21206" s="17">
        <v>8830050.0</v>
      </c>
    </row>
    <row r="21207">
      <c r="A21207" s="17">
        <v>6.3E8</v>
      </c>
      <c r="B21207" s="17">
        <v>8831050.0</v>
      </c>
    </row>
    <row r="21208">
      <c r="A21208" s="17">
        <v>6.3E8</v>
      </c>
      <c r="B21208" s="17">
        <v>8831250.0</v>
      </c>
    </row>
    <row r="21209">
      <c r="A21209" s="17">
        <v>7.07E8</v>
      </c>
      <c r="B21209" s="17">
        <v>7000000.0</v>
      </c>
    </row>
    <row r="21210">
      <c r="A21210" s="17">
        <v>7.07000001E8</v>
      </c>
      <c r="B21210" s="17">
        <v>7000001.0</v>
      </c>
    </row>
    <row r="21211">
      <c r="A21211" s="17">
        <v>7.07000002E8</v>
      </c>
      <c r="B21211" s="17">
        <v>7000002.0</v>
      </c>
    </row>
    <row r="21212">
      <c r="A21212" s="17">
        <v>7.0700009E8</v>
      </c>
      <c r="B21212" s="17">
        <v>7000090.0</v>
      </c>
    </row>
    <row r="21213">
      <c r="A21213" s="17">
        <v>7.070001E8</v>
      </c>
      <c r="B21213" s="17">
        <v>7000100.0</v>
      </c>
    </row>
    <row r="21214">
      <c r="A21214" s="17">
        <v>7.07000101E8</v>
      </c>
      <c r="B21214" s="17">
        <v>7000101.0</v>
      </c>
    </row>
    <row r="21215">
      <c r="A21215" s="17">
        <v>7.07000102E8</v>
      </c>
      <c r="B21215" s="17">
        <v>7000102.0</v>
      </c>
    </row>
    <row r="21216">
      <c r="A21216" s="17">
        <v>7.0700019E8</v>
      </c>
      <c r="B21216" s="17">
        <v>7000190.0</v>
      </c>
    </row>
    <row r="21217">
      <c r="A21217" s="17">
        <v>7.070002E8</v>
      </c>
      <c r="B21217" s="17">
        <v>7000200.0</v>
      </c>
    </row>
    <row r="21218">
      <c r="A21218" s="17">
        <v>7.07000201E8</v>
      </c>
      <c r="B21218" s="17">
        <v>7000201.0</v>
      </c>
    </row>
    <row r="21219">
      <c r="A21219" s="17">
        <v>7.07000202E8</v>
      </c>
      <c r="B21219" s="17">
        <v>7000202.0</v>
      </c>
    </row>
    <row r="21220">
      <c r="A21220" s="17">
        <v>7.0700029E8</v>
      </c>
      <c r="B21220" s="17">
        <v>7000290.0</v>
      </c>
    </row>
    <row r="21221">
      <c r="A21221" s="17">
        <v>7.070003E8</v>
      </c>
      <c r="B21221" s="17">
        <v>7000300.0</v>
      </c>
    </row>
    <row r="21222">
      <c r="A21222" s="17">
        <v>7.07000301E8</v>
      </c>
      <c r="B21222" s="17">
        <v>7000301.0</v>
      </c>
    </row>
    <row r="21223">
      <c r="A21223" s="17">
        <v>7.07000302E8</v>
      </c>
      <c r="B21223" s="17">
        <v>7000302.0</v>
      </c>
    </row>
    <row r="21224">
      <c r="A21224" s="17">
        <v>7.070004E8</v>
      </c>
      <c r="B21224" s="17">
        <v>7000400.0</v>
      </c>
    </row>
    <row r="21225">
      <c r="A21225" s="17">
        <v>7.07000401E8</v>
      </c>
      <c r="B21225" s="17">
        <v>7000401.0</v>
      </c>
    </row>
    <row r="21226">
      <c r="A21226" s="17">
        <v>7.07000402E8</v>
      </c>
      <c r="B21226" s="17">
        <v>7000402.0</v>
      </c>
    </row>
    <row r="21227">
      <c r="A21227" s="17">
        <v>7.070005E8</v>
      </c>
      <c r="B21227" s="17">
        <v>7000500.0</v>
      </c>
    </row>
    <row r="21228">
      <c r="A21228" s="17">
        <v>7.07000501E8</v>
      </c>
      <c r="B21228" s="17">
        <v>7000501.0</v>
      </c>
    </row>
    <row r="21229">
      <c r="A21229" s="17">
        <v>7.07000502E8</v>
      </c>
      <c r="B21229" s="17">
        <v>7000502.0</v>
      </c>
    </row>
    <row r="21230">
      <c r="A21230" s="17">
        <v>7.070006E8</v>
      </c>
      <c r="B21230" s="17">
        <v>7000600.0</v>
      </c>
    </row>
    <row r="21231">
      <c r="A21231" s="17">
        <v>7.07000601E8</v>
      </c>
      <c r="B21231" s="17">
        <v>7000601.0</v>
      </c>
    </row>
    <row r="21232">
      <c r="A21232" s="17">
        <v>7.07000602E8</v>
      </c>
      <c r="B21232" s="17">
        <v>7000602.0</v>
      </c>
    </row>
    <row r="21233">
      <c r="A21233" s="17">
        <v>7.070007E8</v>
      </c>
      <c r="B21233" s="17">
        <v>7000700.0</v>
      </c>
    </row>
    <row r="21234">
      <c r="A21234" s="17">
        <v>7.07000701E8</v>
      </c>
      <c r="B21234" s="17">
        <v>7000701.0</v>
      </c>
    </row>
    <row r="21235">
      <c r="A21235" s="17">
        <v>7.07000702E8</v>
      </c>
      <c r="B21235" s="17">
        <v>7000702.0</v>
      </c>
    </row>
    <row r="21236">
      <c r="A21236" s="17">
        <v>7.070008E8</v>
      </c>
      <c r="B21236" s="17">
        <v>7000800.0</v>
      </c>
    </row>
    <row r="21237">
      <c r="A21237" s="17">
        <v>7.07000801E8</v>
      </c>
      <c r="B21237" s="17">
        <v>7000801.0</v>
      </c>
    </row>
    <row r="21238">
      <c r="A21238" s="17">
        <v>7.07000802E8</v>
      </c>
      <c r="B21238" s="17">
        <v>7000802.0</v>
      </c>
    </row>
    <row r="21239">
      <c r="A21239" s="17">
        <v>7.070009E8</v>
      </c>
      <c r="B21239" s="17">
        <v>7000900.0</v>
      </c>
    </row>
    <row r="21240">
      <c r="A21240" s="17">
        <v>7.07000901E8</v>
      </c>
      <c r="B21240" s="17">
        <v>7000901.0</v>
      </c>
    </row>
    <row r="21241">
      <c r="A21241" s="17">
        <v>7.07000902E8</v>
      </c>
      <c r="B21241" s="17">
        <v>7000902.0</v>
      </c>
    </row>
    <row r="21242">
      <c r="A21242" s="17">
        <v>7.07001E8</v>
      </c>
      <c r="B21242" s="17">
        <v>7001000.0</v>
      </c>
    </row>
    <row r="21243">
      <c r="A21243" s="17">
        <v>7.07001001E8</v>
      </c>
      <c r="B21243" s="17">
        <v>7001001.0</v>
      </c>
    </row>
    <row r="21244">
      <c r="A21244" s="17">
        <v>7.07001002E8</v>
      </c>
      <c r="B21244" s="17">
        <v>7001002.0</v>
      </c>
    </row>
    <row r="21245">
      <c r="A21245" s="17">
        <v>7.070011E8</v>
      </c>
      <c r="B21245" s="17">
        <v>7001100.0</v>
      </c>
    </row>
    <row r="21246">
      <c r="A21246" s="17">
        <v>7.070014E8</v>
      </c>
      <c r="B21246" s="17">
        <v>7001400.0</v>
      </c>
    </row>
    <row r="21247">
      <c r="A21247" s="17">
        <v>7.07001401E8</v>
      </c>
      <c r="B21247" s="17">
        <v>7001401.0</v>
      </c>
    </row>
    <row r="21248">
      <c r="A21248" s="17">
        <v>7.07001402E8</v>
      </c>
      <c r="B21248" s="17">
        <v>7001402.0</v>
      </c>
    </row>
    <row r="21249">
      <c r="A21249" s="17">
        <v>7.07001409E8</v>
      </c>
      <c r="B21249" s="17">
        <v>7001409.0</v>
      </c>
    </row>
    <row r="21250">
      <c r="A21250" s="17">
        <v>7.070015E8</v>
      </c>
      <c r="B21250" s="17">
        <v>7001500.0</v>
      </c>
    </row>
    <row r="21251">
      <c r="A21251" s="17">
        <v>7.07001501E8</v>
      </c>
      <c r="B21251" s="17">
        <v>7001501.0</v>
      </c>
    </row>
    <row r="21252">
      <c r="A21252" s="17">
        <v>7.07001502E8</v>
      </c>
      <c r="B21252" s="17">
        <v>7001502.0</v>
      </c>
    </row>
    <row r="21253">
      <c r="A21253" s="17">
        <v>7.070016E8</v>
      </c>
      <c r="B21253" s="17">
        <v>7001600.0</v>
      </c>
    </row>
    <row r="21254">
      <c r="A21254" s="17">
        <v>7.07001601E8</v>
      </c>
      <c r="B21254" s="17">
        <v>7001601.0</v>
      </c>
    </row>
    <row r="21255">
      <c r="A21255" s="17">
        <v>7.07001602E8</v>
      </c>
      <c r="B21255" s="17">
        <v>7001602.0</v>
      </c>
    </row>
    <row r="21256">
      <c r="A21256" s="17">
        <v>7.070017E8</v>
      </c>
      <c r="B21256" s="17">
        <v>7001700.0</v>
      </c>
    </row>
    <row r="21257">
      <c r="A21257" s="17">
        <v>7.07001701E8</v>
      </c>
      <c r="B21257" s="17">
        <v>7001701.0</v>
      </c>
    </row>
    <row r="21258">
      <c r="A21258" s="17">
        <v>7.07001702E8</v>
      </c>
      <c r="B21258" s="17">
        <v>7001702.0</v>
      </c>
    </row>
    <row r="21259">
      <c r="A21259" s="17">
        <v>7.070018E8</v>
      </c>
      <c r="B21259" s="17">
        <v>7001800.0</v>
      </c>
    </row>
    <row r="21260">
      <c r="A21260" s="17">
        <v>7.07001801E8</v>
      </c>
      <c r="B21260" s="17">
        <v>7001801.0</v>
      </c>
    </row>
    <row r="21261">
      <c r="A21261" s="17">
        <v>7.07001802E8</v>
      </c>
      <c r="B21261" s="17">
        <v>7001802.0</v>
      </c>
    </row>
    <row r="21262">
      <c r="A21262" s="17">
        <v>7.070026E8</v>
      </c>
      <c r="B21262" s="17">
        <v>7002600.0</v>
      </c>
    </row>
    <row r="21263">
      <c r="A21263" s="17">
        <v>7.070027E8</v>
      </c>
      <c r="B21263" s="17">
        <v>7002700.0</v>
      </c>
    </row>
    <row r="21264">
      <c r="A21264" s="17">
        <v>7.070028E8</v>
      </c>
      <c r="B21264" s="17">
        <v>7002800.0</v>
      </c>
    </row>
    <row r="21265">
      <c r="A21265" s="17">
        <v>7.070029E8</v>
      </c>
      <c r="B21265" s="17">
        <v>7002900.0</v>
      </c>
    </row>
    <row r="21266">
      <c r="A21266" s="17">
        <v>7.07003E8</v>
      </c>
      <c r="B21266" s="17">
        <v>7003000.0</v>
      </c>
    </row>
    <row r="21267">
      <c r="A21267" s="17">
        <v>7.070031E8</v>
      </c>
      <c r="B21267" s="17">
        <v>7003100.0</v>
      </c>
    </row>
    <row r="21268">
      <c r="A21268" s="17">
        <v>7.070032E8</v>
      </c>
      <c r="B21268" s="17">
        <v>7003200.0</v>
      </c>
    </row>
    <row r="21269">
      <c r="A21269" s="17">
        <v>7.070033E8</v>
      </c>
      <c r="B21269" s="17">
        <v>7003300.0</v>
      </c>
    </row>
    <row r="21270">
      <c r="A21270" s="17">
        <v>7.070034E8</v>
      </c>
      <c r="B21270" s="17">
        <v>7003400.0</v>
      </c>
    </row>
    <row r="21271">
      <c r="A21271" s="17">
        <v>7.070035E8</v>
      </c>
      <c r="B21271" s="17">
        <v>7003500.0</v>
      </c>
    </row>
    <row r="21272">
      <c r="A21272" s="17">
        <v>7.070036E8</v>
      </c>
      <c r="B21272" s="17">
        <v>7003600.0</v>
      </c>
    </row>
    <row r="21273">
      <c r="A21273" s="17">
        <v>7.070056E8</v>
      </c>
      <c r="B21273" s="17">
        <v>7005600.0</v>
      </c>
    </row>
    <row r="21274">
      <c r="A21274" s="17">
        <v>7.07006E8</v>
      </c>
      <c r="B21274" s="17">
        <v>7006000.0</v>
      </c>
    </row>
    <row r="21275">
      <c r="A21275" s="17">
        <v>7.07006001E8</v>
      </c>
      <c r="B21275" s="17">
        <v>7006001.0</v>
      </c>
    </row>
    <row r="21276">
      <c r="A21276" s="17">
        <v>7.070061E8</v>
      </c>
      <c r="B21276" s="17">
        <v>7006100.0</v>
      </c>
    </row>
    <row r="21277">
      <c r="A21277" s="17">
        <v>7.07006101E8</v>
      </c>
      <c r="B21277" s="17">
        <v>7006101.0</v>
      </c>
    </row>
    <row r="21278">
      <c r="A21278" s="17">
        <v>7.070062E8</v>
      </c>
      <c r="B21278" s="17">
        <v>7006200.0</v>
      </c>
    </row>
    <row r="21279">
      <c r="A21279" s="17">
        <v>7.070063E8</v>
      </c>
      <c r="B21279" s="17">
        <v>7006300.0</v>
      </c>
    </row>
    <row r="21280">
      <c r="A21280" s="17">
        <v>7.070064E8</v>
      </c>
      <c r="B21280" s="17">
        <v>7006400.0</v>
      </c>
    </row>
    <row r="21281">
      <c r="A21281" s="17">
        <v>7.070065E8</v>
      </c>
      <c r="B21281" s="17">
        <v>7006500.0</v>
      </c>
    </row>
    <row r="21282">
      <c r="A21282" s="17">
        <v>7.070066E8</v>
      </c>
      <c r="B21282" s="17">
        <v>7006600.0</v>
      </c>
    </row>
    <row r="21283">
      <c r="A21283" s="17">
        <v>7.070067E8</v>
      </c>
      <c r="B21283" s="17">
        <v>7006700.0</v>
      </c>
    </row>
    <row r="21284">
      <c r="A21284" s="17">
        <v>7.070102E8</v>
      </c>
      <c r="B21284" s="17">
        <v>7010200.0</v>
      </c>
    </row>
    <row r="21285">
      <c r="A21285" s="17">
        <v>7.070105E8</v>
      </c>
      <c r="B21285" s="17">
        <v>7010500.0</v>
      </c>
    </row>
    <row r="21286">
      <c r="A21286" s="17">
        <v>7.070107E8</v>
      </c>
      <c r="B21286" s="17">
        <v>7010700.0</v>
      </c>
    </row>
    <row r="21287">
      <c r="A21287" s="17">
        <v>7.070109E8</v>
      </c>
      <c r="B21287" s="17">
        <v>7010900.0</v>
      </c>
    </row>
    <row r="21288">
      <c r="A21288" s="17">
        <v>7.07011E8</v>
      </c>
      <c r="B21288" s="17">
        <v>7011000.0</v>
      </c>
    </row>
    <row r="21289">
      <c r="A21289" s="17">
        <v>7.070112E8</v>
      </c>
      <c r="B21289" s="17">
        <v>7011200.0</v>
      </c>
    </row>
    <row r="21290">
      <c r="A21290" s="17">
        <v>7.070116E8</v>
      </c>
      <c r="B21290" s="17">
        <v>7011600.0</v>
      </c>
    </row>
    <row r="21291">
      <c r="A21291" s="17">
        <v>7.070117E8</v>
      </c>
      <c r="B21291" s="17">
        <v>7011700.0</v>
      </c>
    </row>
    <row r="21292">
      <c r="A21292" s="17">
        <v>7.07012E8</v>
      </c>
      <c r="B21292" s="17">
        <v>7012000.0</v>
      </c>
    </row>
    <row r="21293">
      <c r="A21293" s="17">
        <v>7.070122E8</v>
      </c>
      <c r="B21293" s="17">
        <v>7012200.0</v>
      </c>
    </row>
    <row r="21294">
      <c r="A21294" s="17">
        <v>7.070123E8</v>
      </c>
      <c r="B21294" s="17">
        <v>7012300.0</v>
      </c>
    </row>
    <row r="21295">
      <c r="A21295" s="17">
        <v>7.0702E8</v>
      </c>
      <c r="B21295" s="17">
        <v>7020000.0</v>
      </c>
    </row>
    <row r="21296">
      <c r="A21296" s="17">
        <v>7.0703E8</v>
      </c>
      <c r="B21296" s="17">
        <v>7030000.0</v>
      </c>
    </row>
    <row r="21297">
      <c r="A21297" s="17">
        <v>7.070302E8</v>
      </c>
      <c r="B21297" s="17">
        <v>7030200.0</v>
      </c>
    </row>
    <row r="21298">
      <c r="A21298" s="17">
        <v>7.070306E8</v>
      </c>
      <c r="B21298" s="17">
        <v>7030600.0</v>
      </c>
    </row>
    <row r="21299">
      <c r="A21299" s="17">
        <v>7.070307E8</v>
      </c>
      <c r="B21299" s="17">
        <v>7030700.0</v>
      </c>
    </row>
    <row r="21300">
      <c r="A21300" s="17">
        <v>7.070308E8</v>
      </c>
      <c r="B21300" s="17">
        <v>7030800.0</v>
      </c>
    </row>
    <row r="21301">
      <c r="A21301" s="17">
        <v>7.070309E8</v>
      </c>
      <c r="B21301" s="17">
        <v>7030900.0</v>
      </c>
    </row>
    <row r="21302">
      <c r="A21302" s="17">
        <v>7.070312E8</v>
      </c>
      <c r="B21302" s="17">
        <v>7031200.0</v>
      </c>
    </row>
    <row r="21303">
      <c r="A21303" s="17">
        <v>7.070313E8</v>
      </c>
      <c r="B21303" s="17">
        <v>7031300.0</v>
      </c>
    </row>
    <row r="21304">
      <c r="A21304" s="17">
        <v>7.070318E8</v>
      </c>
      <c r="B21304" s="17">
        <v>7031800.0</v>
      </c>
    </row>
    <row r="21305">
      <c r="A21305" s="17">
        <v>7.070319E8</v>
      </c>
      <c r="B21305" s="17">
        <v>7031900.0</v>
      </c>
    </row>
    <row r="21306">
      <c r="A21306" s="17">
        <v>7.070322E8</v>
      </c>
      <c r="B21306" s="17">
        <v>7032200.0</v>
      </c>
    </row>
    <row r="21307">
      <c r="A21307" s="17">
        <v>7.070324E8</v>
      </c>
      <c r="B21307" s="17">
        <v>7032400.0</v>
      </c>
    </row>
    <row r="21308">
      <c r="A21308" s="17">
        <v>7.070327E8</v>
      </c>
      <c r="B21308" s="17">
        <v>7032700.0</v>
      </c>
    </row>
    <row r="21309">
      <c r="A21309" s="17">
        <v>7.070328E8</v>
      </c>
      <c r="B21309" s="17">
        <v>7032800.0</v>
      </c>
    </row>
    <row r="21310">
      <c r="A21310" s="17">
        <v>7.070329E8</v>
      </c>
      <c r="B21310" s="17">
        <v>7032900.0</v>
      </c>
    </row>
    <row r="21311">
      <c r="A21311" s="17">
        <v>7.070332E8</v>
      </c>
      <c r="B21311" s="17">
        <v>7033200.0</v>
      </c>
    </row>
    <row r="21312">
      <c r="A21312" s="17">
        <v>7.070334E8</v>
      </c>
      <c r="B21312" s="17">
        <v>7033400.0</v>
      </c>
    </row>
    <row r="21313">
      <c r="A21313" s="17">
        <v>7.070341E8</v>
      </c>
      <c r="B21313" s="17">
        <v>7034100.0</v>
      </c>
    </row>
    <row r="21314">
      <c r="A21314" s="17">
        <v>7.070344E8</v>
      </c>
      <c r="B21314" s="17">
        <v>7034400.0</v>
      </c>
    </row>
    <row r="21315">
      <c r="A21315" s="17">
        <v>7.070345E8</v>
      </c>
      <c r="B21315" s="17">
        <v>7034500.0</v>
      </c>
    </row>
    <row r="21316">
      <c r="A21316" s="17">
        <v>7.070346E8</v>
      </c>
      <c r="B21316" s="17">
        <v>7034600.0</v>
      </c>
    </row>
    <row r="21317">
      <c r="A21317" s="17">
        <v>7.070347E8</v>
      </c>
      <c r="B21317" s="17">
        <v>7034700.0</v>
      </c>
    </row>
    <row r="21318">
      <c r="A21318" s="17">
        <v>7.070351E8</v>
      </c>
      <c r="B21318" s="17">
        <v>7035100.0</v>
      </c>
    </row>
    <row r="21319">
      <c r="A21319" s="17">
        <v>7.070354E8</v>
      </c>
      <c r="B21319" s="17">
        <v>7035400.0</v>
      </c>
    </row>
    <row r="21320">
      <c r="A21320" s="17">
        <v>7.0703541E8</v>
      </c>
      <c r="B21320" s="17">
        <v>7035410.0</v>
      </c>
    </row>
    <row r="21321">
      <c r="A21321" s="17">
        <v>7.070355E8</v>
      </c>
      <c r="B21321" s="17">
        <v>7035500.0</v>
      </c>
    </row>
    <row r="21322">
      <c r="A21322" s="17">
        <v>7.0703551E8</v>
      </c>
      <c r="B21322" s="17">
        <v>7035510.0</v>
      </c>
    </row>
    <row r="21323">
      <c r="A21323" s="17">
        <v>7.070357E8</v>
      </c>
      <c r="B21323" s="17">
        <v>7035700.0</v>
      </c>
    </row>
    <row r="21324">
      <c r="A21324" s="17">
        <v>7.070358E8</v>
      </c>
      <c r="B21324" s="17">
        <v>7035800.0</v>
      </c>
    </row>
    <row r="21325">
      <c r="A21325" s="17">
        <v>7.070359E8</v>
      </c>
      <c r="B21325" s="17">
        <v>7035900.0</v>
      </c>
    </row>
    <row r="21326">
      <c r="A21326" s="17">
        <v>7.07036E8</v>
      </c>
      <c r="B21326" s="17">
        <v>7036000.0</v>
      </c>
    </row>
    <row r="21327">
      <c r="A21327" s="17">
        <v>7.070361E8</v>
      </c>
      <c r="B21327" s="17">
        <v>7036100.0</v>
      </c>
    </row>
    <row r="21328">
      <c r="A21328" s="17">
        <v>7.070362E8</v>
      </c>
      <c r="B21328" s="17">
        <v>7036200.0</v>
      </c>
    </row>
    <row r="21329">
      <c r="A21329" s="17">
        <v>7.070363E8</v>
      </c>
      <c r="B21329" s="17">
        <v>7036300.0</v>
      </c>
    </row>
    <row r="21330">
      <c r="A21330" s="17">
        <v>7.070364E8</v>
      </c>
      <c r="B21330" s="17">
        <v>7036400.0</v>
      </c>
    </row>
    <row r="21331">
      <c r="A21331" s="17">
        <v>7.070365E8</v>
      </c>
      <c r="B21331" s="17">
        <v>7036500.0</v>
      </c>
    </row>
    <row r="21332">
      <c r="A21332" s="17">
        <v>7.070368E8</v>
      </c>
      <c r="B21332" s="17">
        <v>7036800.0</v>
      </c>
    </row>
    <row r="21333">
      <c r="A21333" s="17">
        <v>7.070369E8</v>
      </c>
      <c r="B21333" s="17">
        <v>7036900.0</v>
      </c>
    </row>
    <row r="21334">
      <c r="A21334" s="17">
        <v>7.07037E8</v>
      </c>
      <c r="B21334" s="17">
        <v>7037000.0</v>
      </c>
    </row>
    <row r="21335">
      <c r="A21335" s="17">
        <v>7.070373E8</v>
      </c>
      <c r="B21335" s="17">
        <v>7037300.0</v>
      </c>
    </row>
    <row r="21336">
      <c r="A21336" s="17">
        <v>7.070376E8</v>
      </c>
      <c r="B21336" s="17">
        <v>7037600.0</v>
      </c>
    </row>
    <row r="21337">
      <c r="A21337" s="17">
        <v>7.070377E8</v>
      </c>
      <c r="B21337" s="17">
        <v>7037700.0</v>
      </c>
    </row>
    <row r="21338">
      <c r="A21338" s="17">
        <v>7.070378E8</v>
      </c>
      <c r="B21338" s="17">
        <v>7037800.0</v>
      </c>
    </row>
    <row r="21339">
      <c r="A21339" s="17">
        <v>7.0704E8</v>
      </c>
      <c r="B21339" s="17">
        <v>7040000.0</v>
      </c>
    </row>
    <row r="21340">
      <c r="A21340" s="17">
        <v>7.070401E8</v>
      </c>
      <c r="B21340" s="17">
        <v>7040100.0</v>
      </c>
    </row>
    <row r="21341">
      <c r="A21341" s="17">
        <v>7.070402E8</v>
      </c>
      <c r="B21341" s="17">
        <v>7040200.0</v>
      </c>
    </row>
    <row r="21342">
      <c r="A21342" s="17">
        <v>7.07040201E8</v>
      </c>
      <c r="B21342" s="17">
        <v>7040201.0</v>
      </c>
    </row>
    <row r="21343">
      <c r="A21343" s="17">
        <v>7.070403E8</v>
      </c>
      <c r="B21343" s="17">
        <v>7040300.0</v>
      </c>
    </row>
    <row r="21344">
      <c r="A21344" s="17">
        <v>7.070404E8</v>
      </c>
      <c r="B21344" s="17">
        <v>7040400.0</v>
      </c>
    </row>
    <row r="21345">
      <c r="A21345" s="17">
        <v>7.070405E8</v>
      </c>
      <c r="B21345" s="17">
        <v>7040500.0</v>
      </c>
    </row>
    <row r="21346">
      <c r="A21346" s="17">
        <v>7.07043E8</v>
      </c>
      <c r="B21346" s="17">
        <v>7043000.0</v>
      </c>
    </row>
    <row r="21347">
      <c r="A21347" s="17">
        <v>7.070431E8</v>
      </c>
      <c r="B21347" s="17">
        <v>7043100.0</v>
      </c>
    </row>
    <row r="21348">
      <c r="A21348" s="17">
        <v>7.070432E8</v>
      </c>
      <c r="B21348" s="17">
        <v>7043200.0</v>
      </c>
    </row>
    <row r="21349">
      <c r="A21349" s="17">
        <v>7.070433E8</v>
      </c>
      <c r="B21349" s="17">
        <v>7043300.0</v>
      </c>
    </row>
    <row r="21350">
      <c r="A21350" s="17">
        <v>7.070434E8</v>
      </c>
      <c r="B21350" s="17">
        <v>7043400.0</v>
      </c>
    </row>
    <row r="21351">
      <c r="A21351" s="17">
        <v>7.070435E8</v>
      </c>
      <c r="B21351" s="17">
        <v>7043500.0</v>
      </c>
    </row>
    <row r="21352">
      <c r="A21352" s="17">
        <v>7.070436E8</v>
      </c>
      <c r="B21352" s="17">
        <v>7043600.0</v>
      </c>
    </row>
    <row r="21353">
      <c r="A21353" s="17">
        <v>7.070437E8</v>
      </c>
      <c r="B21353" s="17">
        <v>7043700.0</v>
      </c>
    </row>
    <row r="21354">
      <c r="A21354" s="17">
        <v>7.070438E8</v>
      </c>
      <c r="B21354" s="17">
        <v>7043800.0</v>
      </c>
    </row>
    <row r="21355">
      <c r="A21355" s="17">
        <v>7.07044E8</v>
      </c>
      <c r="B21355" s="17">
        <v>7044000.0</v>
      </c>
    </row>
    <row r="21356">
      <c r="A21356" s="17">
        <v>7.070441E8</v>
      </c>
      <c r="B21356" s="17">
        <v>7044100.0</v>
      </c>
    </row>
    <row r="21357">
      <c r="A21357" s="17">
        <v>7.070442E8</v>
      </c>
      <c r="B21357" s="17">
        <v>7044200.0</v>
      </c>
    </row>
    <row r="21358">
      <c r="A21358" s="17">
        <v>7.070443E8</v>
      </c>
      <c r="B21358" s="17">
        <v>7044300.0</v>
      </c>
    </row>
    <row r="21359">
      <c r="A21359" s="17">
        <v>7.070444E8</v>
      </c>
      <c r="B21359" s="17">
        <v>7044400.0</v>
      </c>
    </row>
    <row r="21360">
      <c r="A21360" s="17">
        <v>7.070445E8</v>
      </c>
      <c r="B21360" s="17">
        <v>7044500.0</v>
      </c>
    </row>
    <row r="21361">
      <c r="A21361" s="17">
        <v>7.070446E8</v>
      </c>
      <c r="B21361" s="17">
        <v>7044600.0</v>
      </c>
    </row>
    <row r="21362">
      <c r="A21362" s="17">
        <v>7.0705E8</v>
      </c>
      <c r="B21362" s="17">
        <v>7050000.0</v>
      </c>
    </row>
    <row r="21363">
      <c r="A21363" s="17">
        <v>7.070501E8</v>
      </c>
      <c r="B21363" s="17">
        <v>7050100.0</v>
      </c>
    </row>
    <row r="21364">
      <c r="A21364" s="17">
        <v>7.0706E8</v>
      </c>
      <c r="B21364" s="17">
        <v>7060000.0</v>
      </c>
    </row>
    <row r="21365">
      <c r="A21365" s="17">
        <v>7.070601E8</v>
      </c>
      <c r="B21365" s="17">
        <v>7060100.0</v>
      </c>
    </row>
    <row r="21366">
      <c r="A21366" s="17">
        <v>7.070602E8</v>
      </c>
      <c r="B21366" s="17">
        <v>7060200.0</v>
      </c>
    </row>
    <row r="21367">
      <c r="A21367" s="17">
        <v>7.0707E8</v>
      </c>
      <c r="B21367" s="17">
        <v>7070000.0</v>
      </c>
    </row>
    <row r="21368">
      <c r="A21368" s="17">
        <v>7.0708E8</v>
      </c>
      <c r="B21368" s="17">
        <v>7080000.0</v>
      </c>
    </row>
    <row r="21369">
      <c r="A21369" s="17">
        <v>7.070801E8</v>
      </c>
      <c r="B21369" s="17">
        <v>7080100.0</v>
      </c>
    </row>
    <row r="21370">
      <c r="A21370" s="17">
        <v>7.070802E8</v>
      </c>
      <c r="B21370" s="17">
        <v>7080200.0</v>
      </c>
    </row>
    <row r="21371">
      <c r="A21371" s="17">
        <v>7.070803E8</v>
      </c>
      <c r="B21371" s="17">
        <v>7080300.0</v>
      </c>
    </row>
    <row r="21372">
      <c r="A21372" s="17">
        <v>7.070804E8</v>
      </c>
      <c r="B21372" s="17">
        <v>7080400.0</v>
      </c>
    </row>
    <row r="21373">
      <c r="A21373" s="17">
        <v>7.070805E8</v>
      </c>
      <c r="B21373" s="17">
        <v>7080500.0</v>
      </c>
    </row>
    <row r="21374">
      <c r="A21374" s="17">
        <v>7.070806E8</v>
      </c>
      <c r="B21374" s="17">
        <v>7080600.0</v>
      </c>
    </row>
    <row r="21375">
      <c r="A21375" s="17">
        <v>7.070807E8</v>
      </c>
      <c r="B21375" s="17">
        <v>7080700.0</v>
      </c>
    </row>
    <row r="21376">
      <c r="A21376" s="17">
        <v>7.070808E8</v>
      </c>
      <c r="B21376" s="17">
        <v>7080800.0</v>
      </c>
    </row>
    <row r="21377">
      <c r="A21377" s="17">
        <v>7.070809E8</v>
      </c>
      <c r="B21377" s="17">
        <v>7080900.0</v>
      </c>
    </row>
    <row r="21378">
      <c r="A21378" s="17">
        <v>7.07081E8</v>
      </c>
      <c r="B21378" s="17">
        <v>7081000.0</v>
      </c>
    </row>
    <row r="21379">
      <c r="A21379" s="17">
        <v>7.070811E8</v>
      </c>
      <c r="B21379" s="17">
        <v>7081100.0</v>
      </c>
    </row>
    <row r="21380">
      <c r="A21380" s="17">
        <v>7.070812E8</v>
      </c>
      <c r="B21380" s="17">
        <v>7081200.0</v>
      </c>
    </row>
    <row r="21381">
      <c r="A21381" s="17">
        <v>7.070813E8</v>
      </c>
      <c r="B21381" s="17">
        <v>7081300.0</v>
      </c>
    </row>
    <row r="21382">
      <c r="A21382" s="17">
        <v>7.070814E8</v>
      </c>
      <c r="B21382" s="17">
        <v>7081400.0</v>
      </c>
    </row>
    <row r="21383">
      <c r="A21383" s="17">
        <v>7.070815E8</v>
      </c>
      <c r="B21383" s="17">
        <v>7081500.0</v>
      </c>
    </row>
    <row r="21384">
      <c r="A21384" s="17">
        <v>7.070817E8</v>
      </c>
      <c r="B21384" s="17">
        <v>7081700.0</v>
      </c>
    </row>
    <row r="21385">
      <c r="A21385" s="17">
        <v>7.070818E8</v>
      </c>
      <c r="B21385" s="17">
        <v>7081800.0</v>
      </c>
    </row>
    <row r="21386">
      <c r="A21386" s="17">
        <v>7.070819E8</v>
      </c>
      <c r="B21386" s="17">
        <v>7081900.0</v>
      </c>
    </row>
    <row r="21387">
      <c r="A21387" s="17">
        <v>7.07082E8</v>
      </c>
      <c r="B21387" s="17">
        <v>7082000.0</v>
      </c>
    </row>
    <row r="21388">
      <c r="A21388" s="17">
        <v>7.070821E8</v>
      </c>
      <c r="B21388" s="17">
        <v>7082100.0</v>
      </c>
    </row>
    <row r="21389">
      <c r="A21389" s="17">
        <v>7.070822E8</v>
      </c>
      <c r="B21389" s="17">
        <v>7082200.0</v>
      </c>
    </row>
    <row r="21390">
      <c r="A21390" s="17">
        <v>7.070823E8</v>
      </c>
      <c r="B21390" s="17">
        <v>7082300.0</v>
      </c>
    </row>
    <row r="21391">
      <c r="A21391" s="17">
        <v>7.070824E8</v>
      </c>
      <c r="B21391" s="17">
        <v>7082400.0</v>
      </c>
    </row>
    <row r="21392">
      <c r="A21392" s="17">
        <v>7.070825E8</v>
      </c>
      <c r="B21392" s="17">
        <v>7082500.0</v>
      </c>
    </row>
    <row r="21393">
      <c r="A21393" s="17">
        <v>7.070826E8</v>
      </c>
      <c r="B21393" s="17">
        <v>7082600.0</v>
      </c>
    </row>
    <row r="21394">
      <c r="A21394" s="17">
        <v>7.070827E8</v>
      </c>
      <c r="B21394" s="17">
        <v>7082700.0</v>
      </c>
    </row>
    <row r="21395">
      <c r="A21395" s="17">
        <v>7.070828E8</v>
      </c>
      <c r="B21395" s="17">
        <v>7082800.0</v>
      </c>
    </row>
    <row r="21396">
      <c r="A21396" s="17">
        <v>7.070829E8</v>
      </c>
      <c r="B21396" s="17">
        <v>7082900.0</v>
      </c>
    </row>
    <row r="21397">
      <c r="A21397" s="17">
        <v>7.0709E8</v>
      </c>
      <c r="B21397" s="17">
        <v>7090000.0</v>
      </c>
    </row>
    <row r="21398">
      <c r="A21398" s="17">
        <v>7.070901E8</v>
      </c>
      <c r="B21398" s="17">
        <v>7090100.0</v>
      </c>
    </row>
    <row r="21399">
      <c r="A21399" s="17">
        <v>7.070903E8</v>
      </c>
      <c r="B21399" s="17">
        <v>7090300.0</v>
      </c>
    </row>
    <row r="21400">
      <c r="A21400" s="17">
        <v>7.071001E8</v>
      </c>
      <c r="B21400" s="17">
        <v>7100100.0</v>
      </c>
    </row>
    <row r="21401">
      <c r="A21401" s="17">
        <v>7.0710011E8</v>
      </c>
      <c r="B21401" s="17">
        <v>7100110.0</v>
      </c>
    </row>
    <row r="21402">
      <c r="A21402" s="17">
        <v>7.0711E8</v>
      </c>
      <c r="B21402" s="17">
        <v>7110000.0</v>
      </c>
    </row>
    <row r="21403">
      <c r="A21403" s="17">
        <v>7.0712E8</v>
      </c>
      <c r="B21403" s="17">
        <v>7120000.0</v>
      </c>
    </row>
    <row r="21404">
      <c r="A21404" s="17">
        <v>7.071201E8</v>
      </c>
      <c r="B21404" s="17">
        <v>7120100.0</v>
      </c>
    </row>
    <row r="21405">
      <c r="A21405" s="17">
        <v>7.071202E8</v>
      </c>
      <c r="B21405" s="17">
        <v>7120200.0</v>
      </c>
    </row>
    <row r="21406">
      <c r="A21406" s="17">
        <v>7.071203E8</v>
      </c>
      <c r="B21406" s="17">
        <v>7120300.0</v>
      </c>
    </row>
    <row r="21407">
      <c r="A21407" s="17">
        <v>7.071204E8</v>
      </c>
      <c r="B21407" s="17">
        <v>7120400.0</v>
      </c>
    </row>
    <row r="21408">
      <c r="A21408" s="17">
        <v>7.071205E8</v>
      </c>
      <c r="B21408" s="17">
        <v>7120500.0</v>
      </c>
    </row>
    <row r="21409">
      <c r="A21409" s="17">
        <v>7.071206E8</v>
      </c>
      <c r="B21409" s="17">
        <v>7120600.0</v>
      </c>
    </row>
    <row r="21410">
      <c r="A21410" s="17">
        <v>7.071209E8</v>
      </c>
      <c r="B21410" s="17">
        <v>7120900.0</v>
      </c>
    </row>
    <row r="21411">
      <c r="A21411" s="17">
        <v>7.07121E8</v>
      </c>
      <c r="B21411" s="17">
        <v>7121000.0</v>
      </c>
    </row>
    <row r="21412">
      <c r="A21412" s="17">
        <v>7.07121001E8</v>
      </c>
      <c r="B21412" s="17">
        <v>7121001.0</v>
      </c>
    </row>
    <row r="21413">
      <c r="A21413" s="17">
        <v>7.071211E8</v>
      </c>
      <c r="B21413" s="17">
        <v>7121100.0</v>
      </c>
    </row>
    <row r="21414">
      <c r="A21414" s="17">
        <v>7.071212E8</v>
      </c>
      <c r="B21414" s="17">
        <v>7121200.0</v>
      </c>
    </row>
    <row r="21415">
      <c r="A21415" s="17">
        <v>7.071213E8</v>
      </c>
      <c r="B21415" s="17">
        <v>7121300.0</v>
      </c>
    </row>
    <row r="21416">
      <c r="A21416" s="17">
        <v>7.071214E8</v>
      </c>
      <c r="B21416" s="17">
        <v>7121400.0</v>
      </c>
    </row>
    <row r="21417">
      <c r="A21417" s="17">
        <v>7.071215E8</v>
      </c>
      <c r="B21417" s="17">
        <v>7121500.0</v>
      </c>
    </row>
    <row r="21418">
      <c r="A21418" s="17">
        <v>7.071216E8</v>
      </c>
      <c r="B21418" s="17">
        <v>7121600.0</v>
      </c>
    </row>
    <row r="21419">
      <c r="A21419" s="17">
        <v>7.071217E8</v>
      </c>
      <c r="B21419" s="17">
        <v>7121700.0</v>
      </c>
    </row>
    <row r="21420">
      <c r="A21420" s="17">
        <v>7.071218E8</v>
      </c>
      <c r="B21420" s="17">
        <v>7121800.0</v>
      </c>
    </row>
    <row r="21421">
      <c r="A21421" s="17">
        <v>7.071219E8</v>
      </c>
      <c r="B21421" s="17">
        <v>7121900.0</v>
      </c>
    </row>
    <row r="21422">
      <c r="A21422" s="17">
        <v>7.07122E8</v>
      </c>
      <c r="B21422" s="17">
        <v>7122000.0</v>
      </c>
    </row>
    <row r="21423">
      <c r="A21423" s="17">
        <v>7.071221E8</v>
      </c>
      <c r="B21423" s="17">
        <v>7122100.0</v>
      </c>
    </row>
    <row r="21424">
      <c r="A21424" s="17">
        <v>7.071222E8</v>
      </c>
      <c r="B21424" s="17">
        <v>7122200.0</v>
      </c>
    </row>
    <row r="21425">
      <c r="A21425" s="17">
        <v>7.071223E8</v>
      </c>
      <c r="B21425" s="17">
        <v>7122300.0</v>
      </c>
    </row>
    <row r="21426">
      <c r="A21426" s="17">
        <v>7.071224E8</v>
      </c>
      <c r="B21426" s="17">
        <v>7122400.0</v>
      </c>
    </row>
    <row r="21427">
      <c r="A21427" s="17">
        <v>7.071225E8</v>
      </c>
      <c r="B21427" s="17">
        <v>7122500.0</v>
      </c>
    </row>
    <row r="21428">
      <c r="A21428" s="17">
        <v>7.071226E8</v>
      </c>
      <c r="B21428" s="17">
        <v>7122600.0</v>
      </c>
    </row>
    <row r="21429">
      <c r="A21429" s="17">
        <v>7.071227E8</v>
      </c>
      <c r="B21429" s="17">
        <v>7122700.0</v>
      </c>
    </row>
    <row r="21430">
      <c r="A21430" s="17">
        <v>7.071228E8</v>
      </c>
      <c r="B21430" s="17">
        <v>7122800.0</v>
      </c>
    </row>
    <row r="21431">
      <c r="A21431" s="17">
        <v>7.071229E8</v>
      </c>
      <c r="B21431" s="17">
        <v>7122900.0</v>
      </c>
    </row>
    <row r="21432">
      <c r="A21432" s="17">
        <v>7.07123E8</v>
      </c>
      <c r="B21432" s="17">
        <v>7123000.0</v>
      </c>
    </row>
    <row r="21433">
      <c r="A21433" s="17">
        <v>7.071231E8</v>
      </c>
      <c r="B21433" s="17">
        <v>7123100.0</v>
      </c>
    </row>
    <row r="21434">
      <c r="A21434" s="17">
        <v>7.071232E8</v>
      </c>
      <c r="B21434" s="17">
        <v>7123200.0</v>
      </c>
    </row>
    <row r="21435">
      <c r="A21435" s="17">
        <v>7.071233E8</v>
      </c>
      <c r="B21435" s="17">
        <v>7123300.0</v>
      </c>
    </row>
    <row r="21436">
      <c r="A21436" s="17">
        <v>7.071234E8</v>
      </c>
      <c r="B21436" s="17">
        <v>7123400.0</v>
      </c>
    </row>
    <row r="21437">
      <c r="A21437" s="17">
        <v>7.071235E8</v>
      </c>
      <c r="B21437" s="17">
        <v>7123500.0</v>
      </c>
    </row>
    <row r="21438">
      <c r="A21438" s="17">
        <v>7.071236E8</v>
      </c>
      <c r="B21438" s="17">
        <v>7123600.0</v>
      </c>
    </row>
    <row r="21439">
      <c r="A21439" s="17">
        <v>7.071237E8</v>
      </c>
      <c r="B21439" s="17">
        <v>7123700.0</v>
      </c>
    </row>
    <row r="21440">
      <c r="A21440" s="17">
        <v>7.071238E8</v>
      </c>
      <c r="B21440" s="17">
        <v>7123800.0</v>
      </c>
    </row>
    <row r="21441">
      <c r="A21441" s="17">
        <v>7.071239E8</v>
      </c>
      <c r="B21441" s="17">
        <v>7123900.0</v>
      </c>
    </row>
    <row r="21442">
      <c r="A21442" s="17">
        <v>7.07124E8</v>
      </c>
      <c r="B21442" s="17">
        <v>7124000.0</v>
      </c>
    </row>
    <row r="21443">
      <c r="A21443" s="17">
        <v>7.071241E8</v>
      </c>
      <c r="B21443" s="17">
        <v>7124100.0</v>
      </c>
    </row>
    <row r="21444">
      <c r="A21444" s="17">
        <v>7.071243E8</v>
      </c>
      <c r="B21444" s="17">
        <v>7124300.0</v>
      </c>
    </row>
    <row r="21445">
      <c r="A21445" s="17">
        <v>7.071244E8</v>
      </c>
      <c r="B21445" s="17">
        <v>7124400.0</v>
      </c>
    </row>
    <row r="21446">
      <c r="A21446" s="17">
        <v>7.071245E8</v>
      </c>
      <c r="B21446" s="17">
        <v>7124500.0</v>
      </c>
    </row>
    <row r="21447">
      <c r="A21447" s="17">
        <v>7.071246E8</v>
      </c>
      <c r="B21447" s="17">
        <v>7124600.0</v>
      </c>
    </row>
    <row r="21448">
      <c r="A21448" s="17">
        <v>7.071247E8</v>
      </c>
      <c r="B21448" s="17">
        <v>7124700.0</v>
      </c>
    </row>
    <row r="21449">
      <c r="A21449" s="17">
        <v>7.07126E8</v>
      </c>
      <c r="B21449" s="17">
        <v>7126000.0</v>
      </c>
    </row>
    <row r="21450">
      <c r="A21450" s="17">
        <v>7.07126001E8</v>
      </c>
      <c r="B21450" s="17">
        <v>7126001.0</v>
      </c>
    </row>
    <row r="21451">
      <c r="A21451" s="17">
        <v>7.07126002E8</v>
      </c>
      <c r="B21451" s="17">
        <v>7126002.0</v>
      </c>
    </row>
    <row r="21452">
      <c r="A21452" s="17">
        <v>7.0715E8</v>
      </c>
      <c r="B21452" s="17">
        <v>7150000.0</v>
      </c>
    </row>
    <row r="21453">
      <c r="A21453" s="17">
        <v>7.0716E8</v>
      </c>
      <c r="B21453" s="17">
        <v>7160000.0</v>
      </c>
    </row>
    <row r="21454">
      <c r="A21454" s="17">
        <v>7.071701E8</v>
      </c>
      <c r="B21454" s="17">
        <v>7170100.0</v>
      </c>
    </row>
    <row r="21455">
      <c r="A21455" s="17">
        <v>7.0722E8</v>
      </c>
      <c r="B21455" s="17">
        <v>7220000.0</v>
      </c>
    </row>
    <row r="21456">
      <c r="A21456" s="17">
        <v>7.072201E8</v>
      </c>
      <c r="B21456" s="17">
        <v>7220100.0</v>
      </c>
    </row>
    <row r="21457">
      <c r="A21457" s="17">
        <v>7.0723E8</v>
      </c>
      <c r="B21457" s="17">
        <v>7230000.0</v>
      </c>
    </row>
    <row r="21458">
      <c r="A21458" s="17">
        <v>7.07230001E8</v>
      </c>
      <c r="B21458" s="17">
        <v>7230001.0</v>
      </c>
    </row>
    <row r="21459">
      <c r="A21459" s="17">
        <v>7.0724E8</v>
      </c>
      <c r="B21459" s="17">
        <v>7240000.0</v>
      </c>
    </row>
    <row r="21460">
      <c r="A21460" s="17">
        <v>7.0726E8</v>
      </c>
      <c r="B21460" s="17">
        <v>7260000.0</v>
      </c>
    </row>
    <row r="21461">
      <c r="A21461" s="17">
        <v>7.072603E8</v>
      </c>
      <c r="B21461" s="17">
        <v>7260300.0</v>
      </c>
    </row>
    <row r="21462">
      <c r="A21462" s="17">
        <v>7.072604E8</v>
      </c>
      <c r="B21462" s="17">
        <v>7260400.0</v>
      </c>
    </row>
    <row r="21463">
      <c r="A21463" s="17">
        <v>7.072607E8</v>
      </c>
      <c r="B21463" s="17">
        <v>7260700.0</v>
      </c>
    </row>
    <row r="21464">
      <c r="A21464" s="17">
        <v>7.072608E8</v>
      </c>
      <c r="B21464" s="17">
        <v>7260800.0</v>
      </c>
    </row>
    <row r="21465">
      <c r="A21465" s="17">
        <v>7.072609E8</v>
      </c>
      <c r="B21465" s="17">
        <v>7260900.0</v>
      </c>
    </row>
    <row r="21466">
      <c r="A21466" s="17">
        <v>7.072701E8</v>
      </c>
      <c r="B21466" s="17">
        <v>7270100.0</v>
      </c>
    </row>
    <row r="21467">
      <c r="A21467" s="17">
        <v>7.0728E8</v>
      </c>
      <c r="B21467" s="17">
        <v>7280000.0</v>
      </c>
    </row>
    <row r="21468">
      <c r="A21468" s="17">
        <v>7.0729E8</v>
      </c>
      <c r="B21468" s="17">
        <v>7290000.0</v>
      </c>
    </row>
    <row r="21469">
      <c r="A21469" s="17">
        <v>7.0731E8</v>
      </c>
      <c r="B21469" s="17">
        <v>7310000.0</v>
      </c>
    </row>
    <row r="21470">
      <c r="A21470" s="17">
        <v>7.0732E8</v>
      </c>
      <c r="B21470" s="17">
        <v>7320000.0</v>
      </c>
    </row>
    <row r="21471">
      <c r="A21471" s="17">
        <v>7.0733E8</v>
      </c>
      <c r="B21471" s="17">
        <v>7330000.0</v>
      </c>
    </row>
    <row r="21472">
      <c r="A21472" s="17">
        <v>7.073301E8</v>
      </c>
      <c r="B21472" s="17">
        <v>7330100.0</v>
      </c>
    </row>
    <row r="21473">
      <c r="A21473" s="17">
        <v>7.073302E8</v>
      </c>
      <c r="B21473" s="17">
        <v>7330200.0</v>
      </c>
    </row>
    <row r="21474">
      <c r="A21474" s="17">
        <v>7.073303E8</v>
      </c>
      <c r="B21474" s="17">
        <v>7330300.0</v>
      </c>
    </row>
    <row r="21475">
      <c r="A21475" s="17">
        <v>7.073304E8</v>
      </c>
      <c r="B21475" s="17">
        <v>7330400.0</v>
      </c>
    </row>
    <row r="21476">
      <c r="A21476" s="17">
        <v>7.073305E8</v>
      </c>
      <c r="B21476" s="17">
        <v>7330500.0</v>
      </c>
    </row>
    <row r="21477">
      <c r="A21477" s="17">
        <v>7.073306E8</v>
      </c>
      <c r="B21477" s="17">
        <v>7330600.0</v>
      </c>
    </row>
    <row r="21478">
      <c r="A21478" s="17">
        <v>7.073307E8</v>
      </c>
      <c r="B21478" s="17">
        <v>7330700.0</v>
      </c>
    </row>
    <row r="21479">
      <c r="A21479" s="17">
        <v>7.073308E8</v>
      </c>
      <c r="B21479" s="17">
        <v>7330800.0</v>
      </c>
    </row>
    <row r="21480">
      <c r="A21480" s="17">
        <v>7.073309E8</v>
      </c>
      <c r="B21480" s="17">
        <v>7330900.0</v>
      </c>
    </row>
    <row r="21481">
      <c r="A21481" s="17">
        <v>7.07331E8</v>
      </c>
      <c r="B21481" s="17">
        <v>7331000.0</v>
      </c>
    </row>
    <row r="21482">
      <c r="A21482" s="17">
        <v>7.073311E8</v>
      </c>
      <c r="B21482" s="17">
        <v>7331100.0</v>
      </c>
    </row>
    <row r="21483">
      <c r="A21483" s="17">
        <v>7.073312E8</v>
      </c>
      <c r="B21483" s="17">
        <v>7331200.0</v>
      </c>
    </row>
    <row r="21484">
      <c r="A21484" s="17">
        <v>7.073313E8</v>
      </c>
      <c r="B21484" s="17">
        <v>7331300.0</v>
      </c>
    </row>
    <row r="21485">
      <c r="A21485" s="17">
        <v>7.073314E8</v>
      </c>
      <c r="B21485" s="17">
        <v>7331400.0</v>
      </c>
    </row>
    <row r="21486">
      <c r="A21486" s="17">
        <v>7.073315E8</v>
      </c>
      <c r="B21486" s="17">
        <v>7331500.0</v>
      </c>
    </row>
    <row r="21487">
      <c r="A21487" s="17">
        <v>7.073317E8</v>
      </c>
      <c r="B21487" s="17">
        <v>7331700.0</v>
      </c>
    </row>
    <row r="21488">
      <c r="A21488" s="17">
        <v>7.073318E8</v>
      </c>
      <c r="B21488" s="17">
        <v>7331800.0</v>
      </c>
    </row>
    <row r="21489">
      <c r="A21489" s="17">
        <v>7.073319E8</v>
      </c>
      <c r="B21489" s="17">
        <v>7331900.0</v>
      </c>
    </row>
    <row r="21490">
      <c r="A21490" s="17">
        <v>7.07332E8</v>
      </c>
      <c r="B21490" s="17">
        <v>7332000.0</v>
      </c>
    </row>
    <row r="21491">
      <c r="A21491" s="17">
        <v>7.073321E8</v>
      </c>
      <c r="B21491" s="17">
        <v>7332100.0</v>
      </c>
    </row>
    <row r="21492">
      <c r="A21492" s="17">
        <v>7.073322E8</v>
      </c>
      <c r="B21492" s="17">
        <v>7332200.0</v>
      </c>
    </row>
    <row r="21493">
      <c r="A21493" s="17">
        <v>7.073323E8</v>
      </c>
      <c r="B21493" s="17">
        <v>7332300.0</v>
      </c>
    </row>
    <row r="21494">
      <c r="A21494" s="17">
        <v>7.073324E8</v>
      </c>
      <c r="B21494" s="17">
        <v>7332400.0</v>
      </c>
    </row>
    <row r="21495">
      <c r="A21495" s="17">
        <v>7.0734E8</v>
      </c>
      <c r="B21495" s="17">
        <v>7340000.0</v>
      </c>
    </row>
    <row r="21496">
      <c r="A21496" s="17">
        <v>7.073401E8</v>
      </c>
      <c r="B21496" s="17">
        <v>7340100.0</v>
      </c>
    </row>
    <row r="21497">
      <c r="A21497" s="17">
        <v>7.073402E8</v>
      </c>
      <c r="B21497" s="17">
        <v>7340200.0</v>
      </c>
    </row>
    <row r="21498">
      <c r="A21498" s="17">
        <v>7.073403E8</v>
      </c>
      <c r="B21498" s="17">
        <v>7340300.0</v>
      </c>
    </row>
    <row r="21499">
      <c r="A21499" s="17">
        <v>7.073404E8</v>
      </c>
      <c r="B21499" s="17">
        <v>7340400.0</v>
      </c>
    </row>
    <row r="21500">
      <c r="A21500" s="17">
        <v>7.073405E8</v>
      </c>
      <c r="B21500" s="17">
        <v>7340500.0</v>
      </c>
    </row>
    <row r="21501">
      <c r="A21501" s="17">
        <v>7.073406E8</v>
      </c>
      <c r="B21501" s="17">
        <v>7340600.0</v>
      </c>
    </row>
    <row r="21502">
      <c r="A21502" s="17">
        <v>7.073407E8</v>
      </c>
      <c r="B21502" s="17">
        <v>7340700.0</v>
      </c>
    </row>
    <row r="21503">
      <c r="A21503" s="17">
        <v>7.073408E8</v>
      </c>
      <c r="B21503" s="17">
        <v>7340800.0</v>
      </c>
    </row>
    <row r="21504">
      <c r="A21504" s="17">
        <v>7.073409E8</v>
      </c>
      <c r="B21504" s="17">
        <v>7340900.0</v>
      </c>
    </row>
    <row r="21505">
      <c r="A21505" s="17">
        <v>7.07341E8</v>
      </c>
      <c r="B21505" s="17">
        <v>7341000.0</v>
      </c>
    </row>
    <row r="21506">
      <c r="A21506" s="17">
        <v>7.073411E8</v>
      </c>
      <c r="B21506" s="17">
        <v>7341100.0</v>
      </c>
    </row>
    <row r="21507">
      <c r="A21507" s="17">
        <v>7.073412E8</v>
      </c>
      <c r="B21507" s="17">
        <v>7341200.0</v>
      </c>
    </row>
    <row r="21508">
      <c r="A21508" s="17">
        <v>7.073413E8</v>
      </c>
      <c r="B21508" s="17">
        <v>7341300.0</v>
      </c>
    </row>
    <row r="21509">
      <c r="A21509" s="17">
        <v>7.073414E8</v>
      </c>
      <c r="B21509" s="17">
        <v>7341400.0</v>
      </c>
    </row>
    <row r="21510">
      <c r="A21510" s="17">
        <v>7.073415E8</v>
      </c>
      <c r="B21510" s="17">
        <v>7341500.0</v>
      </c>
    </row>
    <row r="21511">
      <c r="A21511" s="17">
        <v>7.073417E8</v>
      </c>
      <c r="B21511" s="17">
        <v>7341700.0</v>
      </c>
    </row>
    <row r="21512">
      <c r="A21512" s="17">
        <v>7.073418E8</v>
      </c>
      <c r="B21512" s="17">
        <v>7341800.0</v>
      </c>
    </row>
    <row r="21513">
      <c r="A21513" s="17">
        <v>7.073419E8</v>
      </c>
      <c r="B21513" s="17">
        <v>7341900.0</v>
      </c>
    </row>
    <row r="21514">
      <c r="A21514" s="17">
        <v>7.07342E8</v>
      </c>
      <c r="B21514" s="17">
        <v>7342000.0</v>
      </c>
    </row>
    <row r="21515">
      <c r="A21515" s="17">
        <v>7.073421E8</v>
      </c>
      <c r="B21515" s="17">
        <v>7342100.0</v>
      </c>
    </row>
    <row r="21516">
      <c r="A21516" s="17">
        <v>7.073422E8</v>
      </c>
      <c r="B21516" s="17">
        <v>7342200.0</v>
      </c>
    </row>
    <row r="21517">
      <c r="A21517" s="17">
        <v>7.073423E8</v>
      </c>
      <c r="B21517" s="17">
        <v>7342300.0</v>
      </c>
    </row>
    <row r="21518">
      <c r="A21518" s="17">
        <v>7.073424E8</v>
      </c>
      <c r="B21518" s="17">
        <v>7342400.0</v>
      </c>
    </row>
    <row r="21519">
      <c r="A21519" s="17">
        <v>7.0735E8</v>
      </c>
      <c r="B21519" s="17">
        <v>7350000.0</v>
      </c>
    </row>
    <row r="21520">
      <c r="A21520" s="17">
        <v>7.073501E8</v>
      </c>
      <c r="B21520" s="17">
        <v>7350100.0</v>
      </c>
    </row>
    <row r="21521">
      <c r="A21521" s="17">
        <v>7.073502E8</v>
      </c>
      <c r="B21521" s="17">
        <v>7350200.0</v>
      </c>
    </row>
    <row r="21522">
      <c r="A21522" s="17">
        <v>7.073503E8</v>
      </c>
      <c r="B21522" s="17">
        <v>7350300.0</v>
      </c>
    </row>
    <row r="21523">
      <c r="A21523" s="17">
        <v>7.073504E8</v>
      </c>
      <c r="B21523" s="17">
        <v>7350400.0</v>
      </c>
    </row>
    <row r="21524">
      <c r="A21524" s="17">
        <v>7.073505E8</v>
      </c>
      <c r="B21524" s="17">
        <v>7350500.0</v>
      </c>
    </row>
    <row r="21525">
      <c r="A21525" s="17">
        <v>7.073506E8</v>
      </c>
      <c r="B21525" s="17">
        <v>7350600.0</v>
      </c>
    </row>
    <row r="21526">
      <c r="A21526" s="17">
        <v>7.073507E8</v>
      </c>
      <c r="B21526" s="17">
        <v>7350700.0</v>
      </c>
    </row>
    <row r="21527">
      <c r="A21527" s="17">
        <v>7.073508E8</v>
      </c>
      <c r="B21527" s="17">
        <v>7350800.0</v>
      </c>
    </row>
    <row r="21528">
      <c r="A21528" s="17">
        <v>7.073509E8</v>
      </c>
      <c r="B21528" s="17">
        <v>7350900.0</v>
      </c>
    </row>
    <row r="21529">
      <c r="A21529" s="17">
        <v>7.07351E8</v>
      </c>
      <c r="B21529" s="17">
        <v>7351000.0</v>
      </c>
    </row>
    <row r="21530">
      <c r="A21530" s="17">
        <v>7.073511E8</v>
      </c>
      <c r="B21530" s="17">
        <v>7351100.0</v>
      </c>
    </row>
    <row r="21531">
      <c r="A21531" s="17">
        <v>7.073512E8</v>
      </c>
      <c r="B21531" s="17">
        <v>7351200.0</v>
      </c>
    </row>
    <row r="21532">
      <c r="A21532" s="17">
        <v>7.073513E8</v>
      </c>
      <c r="B21532" s="17">
        <v>7351300.0</v>
      </c>
    </row>
    <row r="21533">
      <c r="A21533" s="17">
        <v>7.073514E8</v>
      </c>
      <c r="B21533" s="17">
        <v>7351400.0</v>
      </c>
    </row>
    <row r="21534">
      <c r="A21534" s="17">
        <v>7.073515E8</v>
      </c>
      <c r="B21534" s="17">
        <v>7351500.0</v>
      </c>
    </row>
    <row r="21535">
      <c r="A21535" s="17">
        <v>7.073517E8</v>
      </c>
      <c r="B21535" s="17">
        <v>7351700.0</v>
      </c>
    </row>
    <row r="21536">
      <c r="A21536" s="17">
        <v>7.073518E8</v>
      </c>
      <c r="B21536" s="17">
        <v>7351800.0</v>
      </c>
    </row>
    <row r="21537">
      <c r="A21537" s="17">
        <v>7.073519E8</v>
      </c>
      <c r="B21537" s="17">
        <v>7351900.0</v>
      </c>
    </row>
    <row r="21538">
      <c r="A21538" s="17">
        <v>7.07352E8</v>
      </c>
      <c r="B21538" s="17">
        <v>7352000.0</v>
      </c>
    </row>
    <row r="21539">
      <c r="A21539" s="17">
        <v>7.073521E8</v>
      </c>
      <c r="B21539" s="17">
        <v>7352100.0</v>
      </c>
    </row>
    <row r="21540">
      <c r="A21540" s="17">
        <v>7.073522E8</v>
      </c>
      <c r="B21540" s="17">
        <v>7352200.0</v>
      </c>
    </row>
    <row r="21541">
      <c r="A21541" s="17">
        <v>7.073523E8</v>
      </c>
      <c r="B21541" s="17">
        <v>7352300.0</v>
      </c>
    </row>
    <row r="21542">
      <c r="A21542" s="17">
        <v>7.073524E8</v>
      </c>
      <c r="B21542" s="17">
        <v>7352400.0</v>
      </c>
    </row>
    <row r="21543">
      <c r="A21543" s="17">
        <v>7.073606E8</v>
      </c>
      <c r="B21543" s="17">
        <v>7360600.0</v>
      </c>
    </row>
    <row r="21544">
      <c r="A21544" s="17">
        <v>7.073609E8</v>
      </c>
      <c r="B21544" s="17">
        <v>7360900.0</v>
      </c>
    </row>
    <row r="21545">
      <c r="A21545" s="17">
        <v>7.073612E8</v>
      </c>
      <c r="B21545" s="17">
        <v>7361200.0</v>
      </c>
    </row>
    <row r="21546">
      <c r="A21546" s="17">
        <v>7.073613E8</v>
      </c>
      <c r="B21546" s="17">
        <v>7361300.0</v>
      </c>
    </row>
    <row r="21547">
      <c r="A21547" s="17">
        <v>7.073621E8</v>
      </c>
      <c r="B21547" s="17">
        <v>7362100.0</v>
      </c>
    </row>
    <row r="21548">
      <c r="A21548" s="17">
        <v>7.073703E8</v>
      </c>
      <c r="B21548" s="17">
        <v>7370300.0</v>
      </c>
    </row>
    <row r="21549">
      <c r="A21549" s="17">
        <v>7.073704E8</v>
      </c>
      <c r="B21549" s="17">
        <v>7370400.0</v>
      </c>
    </row>
    <row r="21550">
      <c r="A21550" s="17">
        <v>7.073706E8</v>
      </c>
      <c r="B21550" s="17">
        <v>7370600.0</v>
      </c>
    </row>
    <row r="21551">
      <c r="A21551" s="17">
        <v>7.073709E8</v>
      </c>
      <c r="B21551" s="17">
        <v>7370900.0</v>
      </c>
    </row>
    <row r="21552">
      <c r="A21552" s="17">
        <v>7.073715E8</v>
      </c>
      <c r="B21552" s="17">
        <v>7371500.0</v>
      </c>
    </row>
    <row r="21553">
      <c r="A21553" s="17">
        <v>8.081001E8</v>
      </c>
      <c r="B21553" s="17">
        <v>8100100.0</v>
      </c>
    </row>
    <row r="21554">
      <c r="A21554" s="17">
        <v>8.08100101E8</v>
      </c>
      <c r="B21554" s="17">
        <v>8100101.0</v>
      </c>
    </row>
    <row r="21555">
      <c r="A21555" s="17">
        <v>8.08100102E8</v>
      </c>
      <c r="B21555" s="17">
        <v>8100102.0</v>
      </c>
    </row>
    <row r="21556">
      <c r="A21556" s="17">
        <v>8.081002E8</v>
      </c>
      <c r="B21556" s="17">
        <v>8100200.0</v>
      </c>
    </row>
    <row r="21557">
      <c r="A21557" s="17">
        <v>8.08100201E8</v>
      </c>
      <c r="B21557" s="17">
        <v>8100201.0</v>
      </c>
    </row>
    <row r="21558">
      <c r="A21558" s="17">
        <v>8.08100202E8</v>
      </c>
      <c r="B21558" s="17">
        <v>8100202.0</v>
      </c>
    </row>
    <row r="21559">
      <c r="A21559" s="17">
        <v>8.081003E8</v>
      </c>
      <c r="B21559" s="17">
        <v>8100300.0</v>
      </c>
    </row>
    <row r="21560">
      <c r="A21560" s="17">
        <v>8.08100301E8</v>
      </c>
      <c r="B21560" s="17">
        <v>8100301.0</v>
      </c>
    </row>
    <row r="21561">
      <c r="A21561" s="17">
        <v>8.08100302E8</v>
      </c>
      <c r="B21561" s="17">
        <v>8100302.0</v>
      </c>
    </row>
    <row r="21562">
      <c r="A21562" s="17">
        <v>8.081004E8</v>
      </c>
      <c r="B21562" s="17">
        <v>8100400.0</v>
      </c>
    </row>
    <row r="21563">
      <c r="A21563" s="17">
        <v>8.08100401E8</v>
      </c>
      <c r="B21563" s="17">
        <v>8100401.0</v>
      </c>
    </row>
    <row r="21564">
      <c r="A21564" s="17">
        <v>8.08100402E8</v>
      </c>
      <c r="B21564" s="17">
        <v>8100402.0</v>
      </c>
    </row>
    <row r="21565">
      <c r="A21565" s="17">
        <v>8.0811E8</v>
      </c>
      <c r="B21565" s="17">
        <v>8110000.0</v>
      </c>
    </row>
    <row r="21566">
      <c r="A21566" s="17">
        <v>8.08110001E8</v>
      </c>
      <c r="B21566" s="17">
        <v>8110001.0</v>
      </c>
    </row>
    <row r="21567">
      <c r="A21567" s="17">
        <v>8.08110002E8</v>
      </c>
      <c r="B21567" s="17">
        <v>8110002.0</v>
      </c>
    </row>
    <row r="21568">
      <c r="A21568" s="17">
        <v>8.0811001E8</v>
      </c>
      <c r="B21568" s="17">
        <v>8110010.0</v>
      </c>
    </row>
    <row r="21569">
      <c r="A21569" s="17">
        <v>8.08110011E8</v>
      </c>
      <c r="B21569" s="17">
        <v>8110011.0</v>
      </c>
    </row>
    <row r="21570">
      <c r="A21570" s="17">
        <v>8.08110012E8</v>
      </c>
      <c r="B21570" s="17">
        <v>8110012.0</v>
      </c>
    </row>
    <row r="21571">
      <c r="A21571" s="17">
        <v>8.081101E8</v>
      </c>
      <c r="B21571" s="17">
        <v>8110100.0</v>
      </c>
    </row>
    <row r="21572">
      <c r="A21572" s="17">
        <v>8.08110101E8</v>
      </c>
      <c r="B21572" s="17">
        <v>8110101.0</v>
      </c>
    </row>
    <row r="21573">
      <c r="A21573" s="17">
        <v>8.08110102E8</v>
      </c>
      <c r="B21573" s="17">
        <v>8110102.0</v>
      </c>
    </row>
    <row r="21574">
      <c r="A21574" s="17">
        <v>8.0811011E8</v>
      </c>
      <c r="B21574" s="17">
        <v>8110110.0</v>
      </c>
    </row>
    <row r="21575">
      <c r="A21575" s="17">
        <v>8.08110111E8</v>
      </c>
      <c r="B21575" s="17">
        <v>8110111.0</v>
      </c>
    </row>
    <row r="21576">
      <c r="A21576" s="17">
        <v>8.08110112E8</v>
      </c>
      <c r="B21576" s="17">
        <v>8110112.0</v>
      </c>
    </row>
    <row r="21577">
      <c r="A21577" s="17">
        <v>8.081102E8</v>
      </c>
      <c r="B21577" s="17">
        <v>8110200.0</v>
      </c>
    </row>
    <row r="21578">
      <c r="A21578" s="17">
        <v>8.08110201E8</v>
      </c>
      <c r="B21578" s="17">
        <v>8110201.0</v>
      </c>
    </row>
    <row r="21579">
      <c r="A21579" s="17">
        <v>8.08110202E8</v>
      </c>
      <c r="B21579" s="17">
        <v>8110202.0</v>
      </c>
    </row>
    <row r="21580">
      <c r="A21580" s="17">
        <v>8.0811021E8</v>
      </c>
      <c r="B21580" s="17">
        <v>8110210.0</v>
      </c>
    </row>
    <row r="21581">
      <c r="A21581" s="17">
        <v>8.08110211E8</v>
      </c>
      <c r="B21581" s="17">
        <v>8110211.0</v>
      </c>
    </row>
    <row r="21582">
      <c r="A21582" s="17">
        <v>8.08110212E8</v>
      </c>
      <c r="B21582" s="17">
        <v>8110212.0</v>
      </c>
    </row>
    <row r="21583">
      <c r="A21583" s="17">
        <v>8.081104E8</v>
      </c>
      <c r="B21583" s="17">
        <v>8110400.0</v>
      </c>
    </row>
    <row r="21584">
      <c r="A21584" s="17">
        <v>8.08110401E8</v>
      </c>
      <c r="B21584" s="17">
        <v>8110401.0</v>
      </c>
    </row>
    <row r="21585">
      <c r="A21585" s="17">
        <v>8.08110402E8</v>
      </c>
      <c r="B21585" s="17">
        <v>8110402.0</v>
      </c>
    </row>
    <row r="21586">
      <c r="A21586" s="17">
        <v>8.0811041E8</v>
      </c>
      <c r="B21586" s="17">
        <v>8110410.0</v>
      </c>
    </row>
    <row r="21587">
      <c r="A21587" s="17">
        <v>8.08110411E8</v>
      </c>
      <c r="B21587" s="17">
        <v>8110411.0</v>
      </c>
    </row>
    <row r="21588">
      <c r="A21588" s="17">
        <v>8.08110412E8</v>
      </c>
      <c r="B21588" s="17">
        <v>8110412.0</v>
      </c>
    </row>
    <row r="21589">
      <c r="A21589" s="17">
        <v>8.081105E8</v>
      </c>
      <c r="B21589" s="17">
        <v>8110500.0</v>
      </c>
    </row>
    <row r="21590">
      <c r="A21590" s="17">
        <v>8.08110501E8</v>
      </c>
      <c r="B21590" s="17">
        <v>8110501.0</v>
      </c>
    </row>
    <row r="21591">
      <c r="A21591" s="17">
        <v>8.08110502E8</v>
      </c>
      <c r="B21591" s="17">
        <v>8110502.0</v>
      </c>
    </row>
    <row r="21592">
      <c r="A21592" s="17">
        <v>8.0811051E8</v>
      </c>
      <c r="B21592" s="17">
        <v>8110510.0</v>
      </c>
    </row>
    <row r="21593">
      <c r="A21593" s="17">
        <v>8.08110511E8</v>
      </c>
      <c r="B21593" s="17">
        <v>8110511.0</v>
      </c>
    </row>
    <row r="21594">
      <c r="A21594" s="17">
        <v>8.08110512E8</v>
      </c>
      <c r="B21594" s="17">
        <v>8110512.0</v>
      </c>
    </row>
    <row r="21595">
      <c r="A21595" s="17">
        <v>8.081107E8</v>
      </c>
      <c r="B21595" s="17">
        <v>8110700.0</v>
      </c>
    </row>
    <row r="21596">
      <c r="A21596" s="17">
        <v>8.08110701E8</v>
      </c>
      <c r="B21596" s="17">
        <v>8110701.0</v>
      </c>
    </row>
    <row r="21597">
      <c r="A21597" s="17">
        <v>8.08110702E8</v>
      </c>
      <c r="B21597" s="17">
        <v>8110702.0</v>
      </c>
    </row>
    <row r="21598">
      <c r="A21598" s="17">
        <v>8.08110703E8</v>
      </c>
      <c r="B21598" s="17">
        <v>8110703.0</v>
      </c>
    </row>
    <row r="21599">
      <c r="A21599" s="17">
        <v>8.08110705E8</v>
      </c>
      <c r="B21599" s="17">
        <v>8110705.0</v>
      </c>
    </row>
    <row r="21600">
      <c r="A21600" s="17">
        <v>8.08110706E8</v>
      </c>
      <c r="B21600" s="17">
        <v>8110706.0</v>
      </c>
    </row>
    <row r="21601">
      <c r="A21601" s="17">
        <v>8.08110707E8</v>
      </c>
      <c r="B21601" s="17">
        <v>8110707.0</v>
      </c>
    </row>
    <row r="21602">
      <c r="A21602" s="17">
        <v>8.0811071E8</v>
      </c>
      <c r="B21602" s="17">
        <v>8110710.0</v>
      </c>
    </row>
    <row r="21603">
      <c r="A21603" s="17">
        <v>8.08110711E8</v>
      </c>
      <c r="B21603" s="17">
        <v>8110711.0</v>
      </c>
    </row>
    <row r="21604">
      <c r="A21604" s="17">
        <v>8.08110712E8</v>
      </c>
      <c r="B21604" s="17">
        <v>8110712.0</v>
      </c>
    </row>
    <row r="21605">
      <c r="A21605" s="17">
        <v>8.08110715E8</v>
      </c>
      <c r="B21605" s="17">
        <v>8110715.0</v>
      </c>
    </row>
    <row r="21606">
      <c r="A21606" s="17">
        <v>8.08110716E8</v>
      </c>
      <c r="B21606" s="17">
        <v>8110716.0</v>
      </c>
    </row>
    <row r="21607">
      <c r="A21607" s="17">
        <v>8.081108E8</v>
      </c>
      <c r="B21607" s="17">
        <v>8110800.0</v>
      </c>
    </row>
    <row r="21608">
      <c r="A21608" s="17">
        <v>8.08110801E8</v>
      </c>
      <c r="B21608" s="17">
        <v>8110801.0</v>
      </c>
    </row>
    <row r="21609">
      <c r="A21609" s="17">
        <v>8.08110802E8</v>
      </c>
      <c r="B21609" s="17">
        <v>8110802.0</v>
      </c>
    </row>
    <row r="21610">
      <c r="A21610" s="17">
        <v>8.08110803E8</v>
      </c>
      <c r="B21610" s="17">
        <v>8110803.0</v>
      </c>
    </row>
    <row r="21611">
      <c r="A21611" s="17">
        <v>8.08110805E8</v>
      </c>
      <c r="B21611" s="17">
        <v>8110805.0</v>
      </c>
    </row>
    <row r="21612">
      <c r="A21612" s="17">
        <v>8.08110806E8</v>
      </c>
      <c r="B21612" s="17">
        <v>8110806.0</v>
      </c>
    </row>
    <row r="21613">
      <c r="A21613" s="17">
        <v>8.08110807E8</v>
      </c>
      <c r="B21613" s="17">
        <v>8110807.0</v>
      </c>
    </row>
    <row r="21614">
      <c r="A21614" s="17">
        <v>8.0811081E8</v>
      </c>
      <c r="B21614" s="17">
        <v>8110810.0</v>
      </c>
    </row>
    <row r="21615">
      <c r="A21615" s="17">
        <v>8.08110811E8</v>
      </c>
      <c r="B21615" s="17">
        <v>8110811.0</v>
      </c>
    </row>
    <row r="21616">
      <c r="A21616" s="17">
        <v>8.08110812E8</v>
      </c>
      <c r="B21616" s="17">
        <v>8110812.0</v>
      </c>
    </row>
    <row r="21617">
      <c r="A21617" s="17">
        <v>8.08110815E8</v>
      </c>
      <c r="B21617" s="17">
        <v>8110815.0</v>
      </c>
    </row>
    <row r="21618">
      <c r="A21618" s="17">
        <v>8.08110816E8</v>
      </c>
      <c r="B21618" s="17">
        <v>8110816.0</v>
      </c>
    </row>
    <row r="21619">
      <c r="A21619" s="17">
        <v>8.081109E8</v>
      </c>
      <c r="B21619" s="17">
        <v>8110900.0</v>
      </c>
    </row>
    <row r="21620">
      <c r="A21620" s="17">
        <v>8.08110901E8</v>
      </c>
      <c r="B21620" s="17">
        <v>8110901.0</v>
      </c>
    </row>
    <row r="21621">
      <c r="A21621" s="17">
        <v>8.08110902E8</v>
      </c>
      <c r="B21621" s="17">
        <v>8110902.0</v>
      </c>
    </row>
    <row r="21622">
      <c r="A21622" s="17">
        <v>8.08110903E8</v>
      </c>
      <c r="B21622" s="17">
        <v>8110903.0</v>
      </c>
    </row>
    <row r="21623">
      <c r="A21623" s="17">
        <v>8.08110905E8</v>
      </c>
      <c r="B21623" s="17">
        <v>8110905.0</v>
      </c>
    </row>
    <row r="21624">
      <c r="A21624" s="17">
        <v>8.08110906E8</v>
      </c>
      <c r="B21624" s="17">
        <v>8110906.0</v>
      </c>
    </row>
    <row r="21625">
      <c r="A21625" s="17">
        <v>8.08110907E8</v>
      </c>
      <c r="B21625" s="17">
        <v>8110907.0</v>
      </c>
    </row>
    <row r="21626">
      <c r="A21626" s="17">
        <v>8.0811091E8</v>
      </c>
      <c r="B21626" s="17">
        <v>8110910.0</v>
      </c>
    </row>
    <row r="21627">
      <c r="A21627" s="17">
        <v>8.08110911E8</v>
      </c>
      <c r="B21627" s="17">
        <v>8110911.0</v>
      </c>
    </row>
    <row r="21628">
      <c r="A21628" s="17">
        <v>8.08110912E8</v>
      </c>
      <c r="B21628" s="17">
        <v>8110912.0</v>
      </c>
    </row>
    <row r="21629">
      <c r="A21629" s="17">
        <v>8.08110915E8</v>
      </c>
      <c r="B21629" s="17">
        <v>8110915.0</v>
      </c>
    </row>
    <row r="21630">
      <c r="A21630" s="17">
        <v>8.08110916E8</v>
      </c>
      <c r="B21630" s="17">
        <v>8110916.0</v>
      </c>
    </row>
    <row r="21631">
      <c r="A21631" s="17">
        <v>8.08111E8</v>
      </c>
      <c r="B21631" s="17">
        <v>8111000.0</v>
      </c>
    </row>
    <row r="21632">
      <c r="A21632" s="17">
        <v>8.08111001E8</v>
      </c>
      <c r="B21632" s="17">
        <v>8111001.0</v>
      </c>
    </row>
    <row r="21633">
      <c r="A21633" s="17">
        <v>8.08111002E8</v>
      </c>
      <c r="B21633" s="17">
        <v>8111002.0</v>
      </c>
    </row>
    <row r="21634">
      <c r="A21634" s="17">
        <v>8.08111003E8</v>
      </c>
      <c r="B21634" s="17">
        <v>8111003.0</v>
      </c>
    </row>
    <row r="21635">
      <c r="A21635" s="17">
        <v>8.08111005E8</v>
      </c>
      <c r="B21635" s="17">
        <v>8111005.0</v>
      </c>
    </row>
    <row r="21636">
      <c r="A21636" s="17">
        <v>8.08111006E8</v>
      </c>
      <c r="B21636" s="17">
        <v>8111006.0</v>
      </c>
    </row>
    <row r="21637">
      <c r="A21637" s="17">
        <v>8.08111007E8</v>
      </c>
      <c r="B21637" s="17">
        <v>8111007.0</v>
      </c>
    </row>
    <row r="21638">
      <c r="A21638" s="17">
        <v>8.0811101E8</v>
      </c>
      <c r="B21638" s="17">
        <v>8111010.0</v>
      </c>
    </row>
    <row r="21639">
      <c r="A21639" s="17">
        <v>8.08111011E8</v>
      </c>
      <c r="B21639" s="17">
        <v>8111011.0</v>
      </c>
    </row>
    <row r="21640">
      <c r="A21640" s="17">
        <v>8.08111012E8</v>
      </c>
      <c r="B21640" s="17">
        <v>8111012.0</v>
      </c>
    </row>
    <row r="21641">
      <c r="A21641" s="17">
        <v>8.08111015E8</v>
      </c>
      <c r="B21641" s="17">
        <v>8111015.0</v>
      </c>
    </row>
    <row r="21642">
      <c r="A21642" s="17">
        <v>8.08111016E8</v>
      </c>
      <c r="B21642" s="17">
        <v>8111016.0</v>
      </c>
    </row>
    <row r="21643">
      <c r="A21643" s="17">
        <v>8.0811998E8</v>
      </c>
      <c r="B21643" s="17">
        <v>8110700.0</v>
      </c>
    </row>
    <row r="21644">
      <c r="A21644" s="17">
        <v>8.0811998E8</v>
      </c>
      <c r="B21644" s="17">
        <v>8110800.0</v>
      </c>
    </row>
    <row r="21645">
      <c r="A21645" s="17">
        <v>8.0811998E8</v>
      </c>
      <c r="B21645" s="17">
        <v>8110900.0</v>
      </c>
    </row>
    <row r="21646">
      <c r="A21646" s="17">
        <v>8.0811998E8</v>
      </c>
      <c r="B21646" s="17">
        <v>8111000.0</v>
      </c>
    </row>
    <row r="21647">
      <c r="A21647" s="17">
        <v>8.08119981E8</v>
      </c>
      <c r="B21647" s="17">
        <v>8110701.0</v>
      </c>
    </row>
    <row r="21648">
      <c r="A21648" s="17">
        <v>8.08119981E8</v>
      </c>
      <c r="B21648" s="17">
        <v>8110801.0</v>
      </c>
    </row>
    <row r="21649">
      <c r="A21649" s="17">
        <v>8.08119981E8</v>
      </c>
      <c r="B21649" s="17">
        <v>8110901.0</v>
      </c>
    </row>
    <row r="21650">
      <c r="A21650" s="17">
        <v>8.08119981E8</v>
      </c>
      <c r="B21650" s="17">
        <v>8111001.0</v>
      </c>
    </row>
    <row r="21651">
      <c r="A21651" s="17">
        <v>8.08119982E8</v>
      </c>
      <c r="B21651" s="17">
        <v>8110702.0</v>
      </c>
    </row>
    <row r="21652">
      <c r="A21652" s="17">
        <v>8.08119982E8</v>
      </c>
      <c r="B21652" s="17">
        <v>8110802.0</v>
      </c>
    </row>
    <row r="21653">
      <c r="A21653" s="17">
        <v>8.08119982E8</v>
      </c>
      <c r="B21653" s="17">
        <v>8110902.0</v>
      </c>
    </row>
    <row r="21654">
      <c r="A21654" s="17">
        <v>8.08119982E8</v>
      </c>
      <c r="B21654" s="17">
        <v>8111002.0</v>
      </c>
    </row>
    <row r="21655">
      <c r="A21655" s="17">
        <v>8.08119983E8</v>
      </c>
      <c r="B21655" s="17">
        <v>8110703.0</v>
      </c>
    </row>
    <row r="21656">
      <c r="A21656" s="17">
        <v>8.08119983E8</v>
      </c>
      <c r="B21656" s="17">
        <v>8110803.0</v>
      </c>
    </row>
    <row r="21657">
      <c r="A21657" s="17">
        <v>8.08119983E8</v>
      </c>
      <c r="B21657" s="17">
        <v>8110903.0</v>
      </c>
    </row>
    <row r="21658">
      <c r="A21658" s="17">
        <v>8.08119983E8</v>
      </c>
      <c r="B21658" s="17">
        <v>8111003.0</v>
      </c>
    </row>
    <row r="21659">
      <c r="A21659" s="17">
        <v>8.08119985E8</v>
      </c>
      <c r="B21659" s="17">
        <v>8110705.0</v>
      </c>
    </row>
    <row r="21660">
      <c r="A21660" s="17">
        <v>8.08119985E8</v>
      </c>
      <c r="B21660" s="17">
        <v>8110805.0</v>
      </c>
    </row>
    <row r="21661">
      <c r="A21661" s="17">
        <v>8.08119985E8</v>
      </c>
      <c r="B21661" s="17">
        <v>8110905.0</v>
      </c>
    </row>
    <row r="21662">
      <c r="A21662" s="17">
        <v>8.08119985E8</v>
      </c>
      <c r="B21662" s="17">
        <v>8111005.0</v>
      </c>
    </row>
    <row r="21663">
      <c r="A21663" s="17">
        <v>8.08119986E8</v>
      </c>
      <c r="B21663" s="17">
        <v>8110706.0</v>
      </c>
    </row>
    <row r="21664">
      <c r="A21664" s="17">
        <v>8.08119986E8</v>
      </c>
      <c r="B21664" s="17">
        <v>8110806.0</v>
      </c>
    </row>
    <row r="21665">
      <c r="A21665" s="17">
        <v>8.08119986E8</v>
      </c>
      <c r="B21665" s="17">
        <v>8110906.0</v>
      </c>
    </row>
    <row r="21666">
      <c r="A21666" s="17">
        <v>8.08119986E8</v>
      </c>
      <c r="B21666" s="17">
        <v>8111006.0</v>
      </c>
    </row>
    <row r="21667">
      <c r="A21667" s="17">
        <v>8.08119987E8</v>
      </c>
      <c r="B21667" s="17">
        <v>8110707.0</v>
      </c>
    </row>
    <row r="21668">
      <c r="A21668" s="17">
        <v>8.08119987E8</v>
      </c>
      <c r="B21668" s="17">
        <v>8110807.0</v>
      </c>
    </row>
    <row r="21669">
      <c r="A21669" s="17">
        <v>8.08119987E8</v>
      </c>
      <c r="B21669" s="17">
        <v>8110907.0</v>
      </c>
    </row>
    <row r="21670">
      <c r="A21670" s="17">
        <v>8.08119987E8</v>
      </c>
      <c r="B21670" s="17">
        <v>8111007.0</v>
      </c>
    </row>
    <row r="21671">
      <c r="A21671" s="17">
        <v>8.0811999E8</v>
      </c>
      <c r="B21671" s="17">
        <v>8110710.0</v>
      </c>
    </row>
    <row r="21672">
      <c r="A21672" s="17">
        <v>8.0811999E8</v>
      </c>
      <c r="B21672" s="17">
        <v>8110810.0</v>
      </c>
    </row>
    <row r="21673">
      <c r="A21673" s="17">
        <v>8.0811999E8</v>
      </c>
      <c r="B21673" s="17">
        <v>8110910.0</v>
      </c>
    </row>
    <row r="21674">
      <c r="A21674" s="17">
        <v>8.0811999E8</v>
      </c>
      <c r="B21674" s="17">
        <v>8111010.0</v>
      </c>
    </row>
    <row r="21675">
      <c r="A21675" s="17">
        <v>8.08119991E8</v>
      </c>
      <c r="B21675" s="17">
        <v>8110711.0</v>
      </c>
    </row>
    <row r="21676">
      <c r="A21676" s="17">
        <v>8.08119991E8</v>
      </c>
      <c r="B21676" s="17">
        <v>8110811.0</v>
      </c>
    </row>
    <row r="21677">
      <c r="A21677" s="17">
        <v>8.08119991E8</v>
      </c>
      <c r="B21677" s="17">
        <v>8110911.0</v>
      </c>
    </row>
    <row r="21678">
      <c r="A21678" s="17">
        <v>8.08119991E8</v>
      </c>
      <c r="B21678" s="17">
        <v>8111011.0</v>
      </c>
    </row>
    <row r="21679">
      <c r="A21679" s="17">
        <v>8.08119992E8</v>
      </c>
      <c r="B21679" s="17">
        <v>8110712.0</v>
      </c>
    </row>
    <row r="21680">
      <c r="A21680" s="17">
        <v>8.08119992E8</v>
      </c>
      <c r="B21680" s="17">
        <v>8110812.0</v>
      </c>
    </row>
    <row r="21681">
      <c r="A21681" s="17">
        <v>8.08119992E8</v>
      </c>
      <c r="B21681" s="17">
        <v>8110912.0</v>
      </c>
    </row>
    <row r="21682">
      <c r="A21682" s="17">
        <v>8.08119992E8</v>
      </c>
      <c r="B21682" s="17">
        <v>8111012.0</v>
      </c>
    </row>
    <row r="21683">
      <c r="A21683" s="17">
        <v>8.08119995E8</v>
      </c>
      <c r="B21683" s="17">
        <v>8110715.0</v>
      </c>
    </row>
    <row r="21684">
      <c r="A21684" s="17">
        <v>8.08119995E8</v>
      </c>
      <c r="B21684" s="17">
        <v>8110815.0</v>
      </c>
    </row>
    <row r="21685">
      <c r="A21685" s="17">
        <v>8.08119995E8</v>
      </c>
      <c r="B21685" s="17">
        <v>8110915.0</v>
      </c>
    </row>
    <row r="21686">
      <c r="A21686" s="17">
        <v>8.08119995E8</v>
      </c>
      <c r="B21686" s="17">
        <v>8111015.0</v>
      </c>
    </row>
    <row r="21687">
      <c r="A21687" s="17">
        <v>8.08119996E8</v>
      </c>
      <c r="B21687" s="17">
        <v>8110716.0</v>
      </c>
    </row>
    <row r="21688">
      <c r="A21688" s="17">
        <v>8.08119996E8</v>
      </c>
      <c r="B21688" s="17">
        <v>8110816.0</v>
      </c>
    </row>
    <row r="21689">
      <c r="A21689" s="17">
        <v>8.08119996E8</v>
      </c>
      <c r="B21689" s="17">
        <v>8110916.0</v>
      </c>
    </row>
    <row r="21690">
      <c r="A21690" s="17">
        <v>8.08119996E8</v>
      </c>
      <c r="B21690" s="17">
        <v>8111016.0</v>
      </c>
    </row>
    <row r="21691">
      <c r="A21691" s="17">
        <v>8.0813E8</v>
      </c>
      <c r="B21691" s="17">
        <v>8130000.0</v>
      </c>
    </row>
    <row r="21692">
      <c r="A21692" s="17">
        <v>8.08130001E8</v>
      </c>
      <c r="B21692" s="17">
        <v>8130001.0</v>
      </c>
    </row>
    <row r="21693">
      <c r="A21693" s="17">
        <v>8.08130002E8</v>
      </c>
      <c r="B21693" s="17">
        <v>8130002.0</v>
      </c>
    </row>
    <row r="21694">
      <c r="A21694" s="17">
        <v>8.0814E8</v>
      </c>
      <c r="B21694" s="17">
        <v>8140000.0</v>
      </c>
    </row>
    <row r="21695">
      <c r="A21695" s="17">
        <v>8.08140001E8</v>
      </c>
      <c r="B21695" s="17">
        <v>8140001.0</v>
      </c>
    </row>
    <row r="21696">
      <c r="A21696" s="17">
        <v>8.08140002E8</v>
      </c>
      <c r="B21696" s="17">
        <v>8140002.0</v>
      </c>
    </row>
    <row r="21697">
      <c r="A21697" s="17">
        <v>8.082001E8</v>
      </c>
      <c r="B21697" s="17">
        <v>8200100.0</v>
      </c>
    </row>
    <row r="21698">
      <c r="A21698" s="17">
        <v>8.08200101E8</v>
      </c>
      <c r="B21698" s="17">
        <v>8200101.0</v>
      </c>
    </row>
    <row r="21699">
      <c r="A21699" s="17">
        <v>8.08200102E8</v>
      </c>
      <c r="B21699" s="17">
        <v>8200102.0</v>
      </c>
    </row>
    <row r="21700">
      <c r="A21700" s="17">
        <v>8.082002E8</v>
      </c>
      <c r="B21700" s="17">
        <v>8200200.0</v>
      </c>
    </row>
    <row r="21701">
      <c r="A21701" s="17">
        <v>8.08200201E8</v>
      </c>
      <c r="B21701" s="17">
        <v>8200201.0</v>
      </c>
    </row>
    <row r="21702">
      <c r="A21702" s="17">
        <v>8.08200202E8</v>
      </c>
      <c r="B21702" s="17">
        <v>8200202.0</v>
      </c>
    </row>
    <row r="21703">
      <c r="A21703" s="17">
        <v>8.082003E8</v>
      </c>
      <c r="B21703" s="17">
        <v>8200300.0</v>
      </c>
    </row>
    <row r="21704">
      <c r="A21704" s="17">
        <v>8.08200301E8</v>
      </c>
      <c r="B21704" s="17">
        <v>8200301.0</v>
      </c>
    </row>
    <row r="21705">
      <c r="A21705" s="17">
        <v>8.08200302E8</v>
      </c>
      <c r="B21705" s="17">
        <v>8200302.0</v>
      </c>
    </row>
    <row r="21706">
      <c r="A21706" s="17">
        <v>8.082004E8</v>
      </c>
      <c r="B21706" s="17">
        <v>8200400.0</v>
      </c>
    </row>
    <row r="21707">
      <c r="A21707" s="17">
        <v>8.08200401E8</v>
      </c>
      <c r="B21707" s="17">
        <v>8200401.0</v>
      </c>
    </row>
    <row r="21708">
      <c r="A21708" s="17">
        <v>8.08200402E8</v>
      </c>
      <c r="B21708" s="17">
        <v>8200402.0</v>
      </c>
    </row>
    <row r="21709">
      <c r="A21709" s="17">
        <v>8.0821E8</v>
      </c>
      <c r="B21709" s="17">
        <v>8210000.0</v>
      </c>
    </row>
    <row r="21710">
      <c r="A21710" s="17">
        <v>8.08210001E8</v>
      </c>
      <c r="B21710" s="17">
        <v>8210001.0</v>
      </c>
    </row>
    <row r="21711">
      <c r="A21711" s="17">
        <v>8.08210002E8</v>
      </c>
      <c r="B21711" s="17">
        <v>8210002.0</v>
      </c>
    </row>
    <row r="21712">
      <c r="A21712" s="17">
        <v>8.082101E8</v>
      </c>
      <c r="B21712" s="17">
        <v>8210100.0</v>
      </c>
    </row>
    <row r="21713">
      <c r="A21713" s="17">
        <v>8.08210101E8</v>
      </c>
      <c r="B21713" s="17">
        <v>8210101.0</v>
      </c>
    </row>
    <row r="21714">
      <c r="A21714" s="17">
        <v>8.08210102E8</v>
      </c>
      <c r="B21714" s="17">
        <v>8210102.0</v>
      </c>
    </row>
    <row r="21715">
      <c r="A21715" s="17">
        <v>8.082102E8</v>
      </c>
      <c r="B21715" s="17">
        <v>8210200.0</v>
      </c>
    </row>
    <row r="21716">
      <c r="A21716" s="17">
        <v>8.08210201E8</v>
      </c>
      <c r="B21716" s="17">
        <v>8210201.0</v>
      </c>
    </row>
    <row r="21717">
      <c r="A21717" s="17">
        <v>8.08210202E8</v>
      </c>
      <c r="B21717" s="17">
        <v>8210202.0</v>
      </c>
    </row>
    <row r="21718">
      <c r="A21718" s="17">
        <v>8.082103E8</v>
      </c>
      <c r="B21718" s="17">
        <v>8210300.0</v>
      </c>
    </row>
    <row r="21719">
      <c r="A21719" s="17">
        <v>8.08210301E8</v>
      </c>
      <c r="B21719" s="17">
        <v>8210301.0</v>
      </c>
    </row>
    <row r="21720">
      <c r="A21720" s="17">
        <v>8.08210302E8</v>
      </c>
      <c r="B21720" s="17">
        <v>8210302.0</v>
      </c>
    </row>
    <row r="21721">
      <c r="A21721" s="17">
        <v>8.082104E8</v>
      </c>
      <c r="B21721" s="17">
        <v>8210400.0</v>
      </c>
    </row>
    <row r="21722">
      <c r="A21722" s="17">
        <v>8.08210401E8</v>
      </c>
      <c r="B21722" s="17">
        <v>8210401.0</v>
      </c>
    </row>
    <row r="21723">
      <c r="A21723" s="17">
        <v>8.08210402E8</v>
      </c>
      <c r="B21723" s="17">
        <v>8210402.0</v>
      </c>
    </row>
    <row r="21724">
      <c r="A21724" s="17">
        <v>8.082105E8</v>
      </c>
      <c r="B21724" s="17">
        <v>8210500.0</v>
      </c>
    </row>
    <row r="21725">
      <c r="A21725" s="17">
        <v>8.08210501E8</v>
      </c>
      <c r="B21725" s="17">
        <v>8210501.0</v>
      </c>
    </row>
    <row r="21726">
      <c r="A21726" s="17">
        <v>8.08210502E8</v>
      </c>
      <c r="B21726" s="17">
        <v>8210502.0</v>
      </c>
    </row>
    <row r="21727">
      <c r="A21727" s="17">
        <v>8.082106E8</v>
      </c>
      <c r="B21727" s="17">
        <v>8210600.0</v>
      </c>
    </row>
    <row r="21728">
      <c r="A21728" s="17">
        <v>8.08210601E8</v>
      </c>
      <c r="B21728" s="17">
        <v>8210601.0</v>
      </c>
    </row>
    <row r="21729">
      <c r="A21729" s="17">
        <v>8.08210602E8</v>
      </c>
      <c r="B21729" s="17">
        <v>8210602.0</v>
      </c>
    </row>
    <row r="21730">
      <c r="A21730" s="17">
        <v>8.0822E8</v>
      </c>
      <c r="B21730" s="17">
        <v>8220000.0</v>
      </c>
    </row>
    <row r="21731">
      <c r="A21731" s="17">
        <v>8.08220001E8</v>
      </c>
      <c r="B21731" s="17">
        <v>8220001.0</v>
      </c>
    </row>
    <row r="21732">
      <c r="A21732" s="17">
        <v>8.08220002E8</v>
      </c>
      <c r="B21732" s="17">
        <v>8220002.0</v>
      </c>
    </row>
    <row r="21733">
      <c r="A21733" s="17">
        <v>8.083E8</v>
      </c>
      <c r="B21733" s="17">
        <v>8300000.0</v>
      </c>
    </row>
    <row r="21734">
      <c r="A21734" s="17">
        <v>8.08300001E8</v>
      </c>
      <c r="B21734" s="17">
        <v>8300001.0</v>
      </c>
    </row>
    <row r="21735">
      <c r="A21735" s="17">
        <v>8.08300002E8</v>
      </c>
      <c r="B21735" s="17">
        <v>8300002.0</v>
      </c>
    </row>
    <row r="21736">
      <c r="A21736" s="17">
        <v>8.0831E8</v>
      </c>
      <c r="B21736" s="17">
        <v>8310000.0</v>
      </c>
    </row>
    <row r="21737">
      <c r="A21737" s="17">
        <v>8.08310001E8</v>
      </c>
      <c r="B21737" s="17">
        <v>8310001.0</v>
      </c>
    </row>
    <row r="21738">
      <c r="A21738" s="17">
        <v>8.08310002E8</v>
      </c>
      <c r="B21738" s="17">
        <v>8310002.0</v>
      </c>
    </row>
    <row r="21739">
      <c r="A21739" s="17">
        <v>8.0832E8</v>
      </c>
      <c r="B21739" s="17">
        <v>8320000.0</v>
      </c>
    </row>
    <row r="21740">
      <c r="A21740" s="17">
        <v>8.08320001E8</v>
      </c>
      <c r="B21740" s="17">
        <v>8320001.0</v>
      </c>
    </row>
    <row r="21741">
      <c r="A21741" s="17">
        <v>8.08320002E8</v>
      </c>
      <c r="B21741" s="17">
        <v>8320002.0</v>
      </c>
    </row>
    <row r="21742">
      <c r="A21742" s="17">
        <v>8.083201E8</v>
      </c>
      <c r="B21742" s="17">
        <v>8320100.0</v>
      </c>
    </row>
    <row r="21743">
      <c r="A21743" s="17">
        <v>8.08320101E8</v>
      </c>
      <c r="B21743" s="17">
        <v>8320101.0</v>
      </c>
    </row>
    <row r="21744">
      <c r="A21744" s="17">
        <v>8.08320102E8</v>
      </c>
      <c r="B21744" s="17">
        <v>8320102.0</v>
      </c>
    </row>
    <row r="21745">
      <c r="A21745" s="17">
        <v>8.083203E8</v>
      </c>
      <c r="B21745" s="17">
        <v>8320300.0</v>
      </c>
    </row>
    <row r="21746">
      <c r="A21746" s="17">
        <v>8.08320301E8</v>
      </c>
      <c r="B21746" s="17">
        <v>8320301.0</v>
      </c>
    </row>
    <row r="21747">
      <c r="A21747" s="17">
        <v>8.08320302E8</v>
      </c>
      <c r="B21747" s="17">
        <v>8320302.0</v>
      </c>
    </row>
    <row r="21748">
      <c r="A21748" s="17">
        <v>8.083204E8</v>
      </c>
      <c r="B21748" s="17">
        <v>8320400.0</v>
      </c>
    </row>
    <row r="21749">
      <c r="A21749" s="17">
        <v>8.0832041E8</v>
      </c>
      <c r="B21749" s="17">
        <v>8320410.0</v>
      </c>
    </row>
    <row r="21750">
      <c r="A21750" s="17">
        <v>8.0832042E8</v>
      </c>
      <c r="B21750" s="17">
        <v>8320420.0</v>
      </c>
    </row>
    <row r="21751">
      <c r="A21751" s="17">
        <v>8.083205E8</v>
      </c>
      <c r="B21751" s="17">
        <v>8320500.0</v>
      </c>
    </row>
    <row r="21752">
      <c r="A21752" s="17">
        <v>8.0832051E8</v>
      </c>
      <c r="B21752" s="17">
        <v>8320510.0</v>
      </c>
    </row>
    <row r="21753">
      <c r="A21753" s="17">
        <v>8.0832052E8</v>
      </c>
      <c r="B21753" s="17">
        <v>8320520.0</v>
      </c>
    </row>
    <row r="21754">
      <c r="A21754" s="17">
        <v>8.083206E8</v>
      </c>
      <c r="B21754" s="17">
        <v>8320600.0</v>
      </c>
    </row>
    <row r="21755">
      <c r="A21755" s="17">
        <v>8.0832061E8</v>
      </c>
      <c r="B21755" s="17">
        <v>8320610.0</v>
      </c>
    </row>
    <row r="21756">
      <c r="A21756" s="17">
        <v>8.0832062E8</v>
      </c>
      <c r="B21756" s="17">
        <v>8320620.0</v>
      </c>
    </row>
    <row r="21757">
      <c r="A21757" s="17">
        <v>8.083207E8</v>
      </c>
      <c r="B21757" s="17">
        <v>8320700.0</v>
      </c>
    </row>
    <row r="21758">
      <c r="A21758" s="17">
        <v>8.0832071E8</v>
      </c>
      <c r="B21758" s="17">
        <v>8320710.0</v>
      </c>
    </row>
    <row r="21759">
      <c r="A21759" s="17">
        <v>8.0832072E8</v>
      </c>
      <c r="B21759" s="17">
        <v>8320720.0</v>
      </c>
    </row>
    <row r="21760">
      <c r="A21760" s="17">
        <v>8.0833E8</v>
      </c>
      <c r="B21760" s="17">
        <v>8330000.0</v>
      </c>
    </row>
    <row r="21761">
      <c r="A21761" s="17">
        <v>8.08330001E8</v>
      </c>
      <c r="B21761" s="17">
        <v>8330001.0</v>
      </c>
    </row>
    <row r="21762">
      <c r="A21762" s="17">
        <v>8.08330002E8</v>
      </c>
      <c r="B21762" s="17">
        <v>8330002.0</v>
      </c>
    </row>
    <row r="21763">
      <c r="A21763" s="17">
        <v>8.083301E8</v>
      </c>
      <c r="B21763" s="17">
        <v>8330100.0</v>
      </c>
    </row>
    <row r="21764">
      <c r="A21764" s="17">
        <v>8.08330101E8</v>
      </c>
      <c r="B21764" s="17">
        <v>8330101.0</v>
      </c>
    </row>
    <row r="21765">
      <c r="A21765" s="17">
        <v>8.08330102E8</v>
      </c>
      <c r="B21765" s="17">
        <v>8330102.0</v>
      </c>
    </row>
    <row r="21766">
      <c r="A21766" s="17">
        <v>8.083302E8</v>
      </c>
      <c r="B21766" s="17">
        <v>8330200.0</v>
      </c>
    </row>
    <row r="21767">
      <c r="A21767" s="17">
        <v>8.08330201E8</v>
      </c>
      <c r="B21767" s="17">
        <v>8330201.0</v>
      </c>
    </row>
    <row r="21768">
      <c r="A21768" s="17">
        <v>8.08330202E8</v>
      </c>
      <c r="B21768" s="17">
        <v>8330202.0</v>
      </c>
    </row>
    <row r="21769">
      <c r="A21769" s="17">
        <v>8.083303E8</v>
      </c>
      <c r="B21769" s="17">
        <v>8330300.0</v>
      </c>
    </row>
    <row r="21770">
      <c r="A21770" s="17">
        <v>8.08330301E8</v>
      </c>
      <c r="B21770" s="17">
        <v>8330301.0</v>
      </c>
    </row>
    <row r="21771">
      <c r="A21771" s="17">
        <v>8.08330302E8</v>
      </c>
      <c r="B21771" s="17">
        <v>8330302.0</v>
      </c>
    </row>
    <row r="21772">
      <c r="A21772" s="17">
        <v>8.083304E8</v>
      </c>
      <c r="B21772" s="17">
        <v>8330400.0</v>
      </c>
    </row>
    <row r="21773">
      <c r="A21773" s="17">
        <v>8.08330401E8</v>
      </c>
      <c r="B21773" s="17">
        <v>8330401.0</v>
      </c>
    </row>
    <row r="21774">
      <c r="A21774" s="17">
        <v>8.083306E8</v>
      </c>
      <c r="B21774" s="17">
        <v>8330600.0</v>
      </c>
    </row>
    <row r="21775">
      <c r="A21775" s="17">
        <v>8.08330601E8</v>
      </c>
      <c r="B21775" s="17">
        <v>8330601.0</v>
      </c>
    </row>
    <row r="21776">
      <c r="A21776" s="17">
        <v>8.08330602E8</v>
      </c>
      <c r="B21776" s="17">
        <v>8330602.0</v>
      </c>
    </row>
    <row r="21777">
      <c r="A21777" s="17">
        <v>8.083307E8</v>
      </c>
      <c r="B21777" s="17">
        <v>8330700.0</v>
      </c>
    </row>
    <row r="21778">
      <c r="A21778" s="17">
        <v>8.083309E8</v>
      </c>
      <c r="B21778" s="17">
        <v>8330900.0</v>
      </c>
    </row>
    <row r="21779">
      <c r="A21779" s="17">
        <v>8.0833091E8</v>
      </c>
      <c r="B21779" s="17">
        <v>8330910.0</v>
      </c>
    </row>
    <row r="21780">
      <c r="A21780" s="17">
        <v>8.0833092E8</v>
      </c>
      <c r="B21780" s="17">
        <v>8330920.0</v>
      </c>
    </row>
    <row r="21781">
      <c r="A21781" s="17">
        <v>8.0834E8</v>
      </c>
      <c r="B21781" s="17">
        <v>8340000.0</v>
      </c>
    </row>
    <row r="21782">
      <c r="A21782" s="17">
        <v>8.08340001E8</v>
      </c>
      <c r="B21782" s="17">
        <v>8340001.0</v>
      </c>
    </row>
    <row r="21783">
      <c r="A21783" s="17">
        <v>8.08340002E8</v>
      </c>
      <c r="B21783" s="17">
        <v>8340002.0</v>
      </c>
    </row>
    <row r="21784">
      <c r="A21784" s="17">
        <v>8.083401E8</v>
      </c>
      <c r="B21784" s="17">
        <v>8340100.0</v>
      </c>
    </row>
    <row r="21785">
      <c r="A21785" s="17">
        <v>8.08340101E8</v>
      </c>
      <c r="B21785" s="17">
        <v>8340101.0</v>
      </c>
    </row>
    <row r="21786">
      <c r="A21786" s="17">
        <v>8.08340102E8</v>
      </c>
      <c r="B21786" s="17">
        <v>8340102.0</v>
      </c>
    </row>
    <row r="21787">
      <c r="A21787" s="17">
        <v>8.0835E8</v>
      </c>
      <c r="B21787" s="17">
        <v>8350000.0</v>
      </c>
    </row>
    <row r="21788">
      <c r="A21788" s="17">
        <v>8.08350001E8</v>
      </c>
      <c r="B21788" s="17">
        <v>8350001.0</v>
      </c>
    </row>
    <row r="21789">
      <c r="A21789" s="17">
        <v>8.08350002E8</v>
      </c>
      <c r="B21789" s="17">
        <v>8350002.0</v>
      </c>
    </row>
    <row r="21790">
      <c r="A21790" s="17">
        <v>8.083502E8</v>
      </c>
      <c r="B21790" s="17">
        <v>8350200.0</v>
      </c>
    </row>
    <row r="21791">
      <c r="A21791" s="17">
        <v>8.08350201E8</v>
      </c>
      <c r="B21791" s="17">
        <v>8350201.0</v>
      </c>
    </row>
    <row r="21792">
      <c r="A21792" s="17">
        <v>8.08350202E8</v>
      </c>
      <c r="B21792" s="17">
        <v>8350202.0</v>
      </c>
    </row>
    <row r="21793">
      <c r="A21793" s="17">
        <v>8.0842E8</v>
      </c>
      <c r="B21793" s="17">
        <v>8420000.0</v>
      </c>
    </row>
    <row r="21794">
      <c r="A21794" s="17">
        <v>8.08420001E8</v>
      </c>
      <c r="B21794" s="17">
        <v>8420001.0</v>
      </c>
    </row>
    <row r="21795">
      <c r="A21795" s="17">
        <v>8.08420002E8</v>
      </c>
      <c r="B21795" s="17">
        <v>8420002.0</v>
      </c>
    </row>
    <row r="21796">
      <c r="A21796" s="17">
        <v>8.0845E8</v>
      </c>
      <c r="B21796" s="17">
        <v>8450000.0</v>
      </c>
    </row>
    <row r="21797">
      <c r="A21797" s="17">
        <v>8.084601E8</v>
      </c>
      <c r="B21797" s="17">
        <v>8460100.0</v>
      </c>
    </row>
    <row r="21798">
      <c r="A21798" s="17">
        <v>8.084603E8</v>
      </c>
      <c r="B21798" s="17">
        <v>8460300.0</v>
      </c>
    </row>
    <row r="21799">
      <c r="A21799" s="17">
        <v>8.084605E8</v>
      </c>
      <c r="B21799" s="17">
        <v>8460500.0</v>
      </c>
    </row>
    <row r="21800">
      <c r="A21800" s="17">
        <v>8.0851E8</v>
      </c>
      <c r="B21800" s="17">
        <v>8510000.0</v>
      </c>
    </row>
    <row r="21801">
      <c r="A21801" s="17">
        <v>8.08510001E8</v>
      </c>
      <c r="B21801" s="17">
        <v>8510001.0</v>
      </c>
    </row>
    <row r="21802">
      <c r="A21802" s="17">
        <v>8.08510002E8</v>
      </c>
      <c r="B21802" s="17">
        <v>8510002.0</v>
      </c>
    </row>
    <row r="21803">
      <c r="A21803" s="17">
        <v>8.0852E8</v>
      </c>
      <c r="B21803" s="17">
        <v>8520000.0</v>
      </c>
    </row>
    <row r="21804">
      <c r="A21804" s="17">
        <v>8.08520001E8</v>
      </c>
      <c r="B21804" s="17">
        <v>8520001.0</v>
      </c>
    </row>
    <row r="21805">
      <c r="A21805" s="17">
        <v>8.08520002E8</v>
      </c>
      <c r="B21805" s="17">
        <v>8520002.0</v>
      </c>
    </row>
    <row r="21806">
      <c r="A21806" s="17">
        <v>8.0853E8</v>
      </c>
      <c r="B21806" s="17">
        <v>8530000.0</v>
      </c>
    </row>
    <row r="21807">
      <c r="A21807" s="17">
        <v>8.085301E8</v>
      </c>
      <c r="B21807" s="17">
        <v>8530100.0</v>
      </c>
    </row>
    <row r="21808">
      <c r="A21808" s="17">
        <v>8.0854E8</v>
      </c>
      <c r="B21808" s="17">
        <v>8540000.0</v>
      </c>
    </row>
    <row r="21809">
      <c r="A21809" s="17">
        <v>8.086001E8</v>
      </c>
      <c r="B21809" s="17">
        <v>8600100.0</v>
      </c>
    </row>
    <row r="21810">
      <c r="A21810" s="17">
        <v>8.08600101E8</v>
      </c>
      <c r="B21810" s="17">
        <v>8600101.0</v>
      </c>
    </row>
    <row r="21811">
      <c r="A21811" s="17">
        <v>8.08600102E8</v>
      </c>
      <c r="B21811" s="17">
        <v>8600102.0</v>
      </c>
    </row>
    <row r="21812">
      <c r="A21812" s="17">
        <v>8.086002E8</v>
      </c>
      <c r="B21812" s="17">
        <v>8600200.0</v>
      </c>
    </row>
    <row r="21813">
      <c r="A21813" s="17">
        <v>8.08600201E8</v>
      </c>
      <c r="B21813" s="17">
        <v>8600201.0</v>
      </c>
    </row>
    <row r="21814">
      <c r="A21814" s="17">
        <v>8.08600202E8</v>
      </c>
      <c r="B21814" s="17">
        <v>8600202.0</v>
      </c>
    </row>
    <row r="21815">
      <c r="A21815" s="17">
        <v>8.086103E8</v>
      </c>
      <c r="B21815" s="17">
        <v>8610300.0</v>
      </c>
    </row>
    <row r="21816">
      <c r="A21816" s="17">
        <v>8.086104E8</v>
      </c>
      <c r="B21816" s="17">
        <v>8610400.0</v>
      </c>
    </row>
    <row r="21817">
      <c r="A21817" s="17">
        <v>8.086105E8</v>
      </c>
      <c r="B21817" s="17">
        <v>8610500.0</v>
      </c>
    </row>
    <row r="21818">
      <c r="A21818" s="17">
        <v>8.086106E8</v>
      </c>
      <c r="B21818" s="17">
        <v>8610600.0</v>
      </c>
    </row>
    <row r="21819">
      <c r="A21819" s="17">
        <v>8.086107E8</v>
      </c>
      <c r="B21819" s="17">
        <v>8610700.0</v>
      </c>
    </row>
    <row r="21820">
      <c r="A21820" s="17">
        <v>8.0861071E8</v>
      </c>
      <c r="B21820" s="17">
        <v>8610710.0</v>
      </c>
    </row>
    <row r="21821">
      <c r="A21821" s="17">
        <v>8.0861072E8</v>
      </c>
      <c r="B21821" s="17">
        <v>8610720.0</v>
      </c>
    </row>
    <row r="21822">
      <c r="A21822" s="17">
        <v>8.0862E8</v>
      </c>
      <c r="B21822" s="17">
        <v>8620000.0</v>
      </c>
    </row>
    <row r="21823">
      <c r="A21823" s="17">
        <v>8.0862001E8</v>
      </c>
      <c r="B21823" s="17">
        <v>8620010.0</v>
      </c>
    </row>
    <row r="21824">
      <c r="A21824" s="17">
        <v>8.0862002E8</v>
      </c>
      <c r="B21824" s="17">
        <v>8620020.0</v>
      </c>
    </row>
    <row r="21825">
      <c r="A21825" s="17">
        <v>8.086201E8</v>
      </c>
      <c r="B21825" s="17">
        <v>8620100.0</v>
      </c>
    </row>
    <row r="21826">
      <c r="A21826" s="17">
        <v>8.0862011E8</v>
      </c>
      <c r="B21826" s="17">
        <v>8620110.0</v>
      </c>
    </row>
    <row r="21827">
      <c r="A21827" s="17">
        <v>8.0862012E8</v>
      </c>
      <c r="B21827" s="17">
        <v>8620120.0</v>
      </c>
    </row>
    <row r="21828">
      <c r="A21828" s="17">
        <v>8.0863E8</v>
      </c>
      <c r="B21828" s="17">
        <v>8630000.0</v>
      </c>
    </row>
    <row r="21829">
      <c r="A21829" s="17">
        <v>8.0863001E8</v>
      </c>
      <c r="B21829" s="17">
        <v>8630010.0</v>
      </c>
    </row>
    <row r="21830">
      <c r="A21830" s="17">
        <v>8.0863002E8</v>
      </c>
      <c r="B21830" s="17">
        <v>8630020.0</v>
      </c>
    </row>
    <row r="21831">
      <c r="A21831" s="17">
        <v>8.086301E8</v>
      </c>
      <c r="B21831" s="17">
        <v>8630100.0</v>
      </c>
    </row>
    <row r="21832">
      <c r="A21832" s="17">
        <v>8.0863011E8</v>
      </c>
      <c r="B21832" s="17">
        <v>8630110.0</v>
      </c>
    </row>
    <row r="21833">
      <c r="A21833" s="17">
        <v>8.0863012E8</v>
      </c>
      <c r="B21833" s="17">
        <v>8630120.0</v>
      </c>
    </row>
    <row r="21834">
      <c r="A21834" s="17">
        <v>8.086302E8</v>
      </c>
      <c r="B21834" s="17">
        <v>8630200.0</v>
      </c>
    </row>
    <row r="21835">
      <c r="A21835" s="17">
        <v>8.086303E8</v>
      </c>
      <c r="B21835" s="17">
        <v>8630300.0</v>
      </c>
    </row>
    <row r="21836">
      <c r="A21836" s="17">
        <v>8.086304E8</v>
      </c>
      <c r="B21836" s="17">
        <v>8630400.0</v>
      </c>
    </row>
    <row r="21837">
      <c r="A21837" s="17">
        <v>8.086305E8</v>
      </c>
      <c r="B21837" s="17">
        <v>8630500.0</v>
      </c>
    </row>
    <row r="21838">
      <c r="A21838" s="17">
        <v>8.086306E8</v>
      </c>
      <c r="B21838" s="17">
        <v>8630600.0</v>
      </c>
    </row>
    <row r="21839">
      <c r="A21839" s="17">
        <v>8.086307E8</v>
      </c>
      <c r="B21839" s="17">
        <v>8630700.0</v>
      </c>
    </row>
    <row r="21840">
      <c r="A21840" s="17">
        <v>8.086308E8</v>
      </c>
      <c r="B21840" s="17">
        <v>8630800.0</v>
      </c>
    </row>
    <row r="21841">
      <c r="A21841" s="17">
        <v>8.08652E8</v>
      </c>
      <c r="B21841" s="17">
        <v>8652000.0</v>
      </c>
    </row>
    <row r="21842">
      <c r="A21842" s="17">
        <v>8.0865201E8</v>
      </c>
      <c r="B21842" s="17">
        <v>8652010.0</v>
      </c>
    </row>
    <row r="21843">
      <c r="A21843" s="17">
        <v>8.0865202E8</v>
      </c>
      <c r="B21843" s="17">
        <v>8652020.0</v>
      </c>
    </row>
    <row r="21844">
      <c r="A21844" s="17">
        <v>8.086521E8</v>
      </c>
      <c r="B21844" s="17">
        <v>8652100.0</v>
      </c>
    </row>
    <row r="21845">
      <c r="A21845" s="17">
        <v>8.0865211E8</v>
      </c>
      <c r="B21845" s="17">
        <v>8652110.0</v>
      </c>
    </row>
    <row r="21846">
      <c r="A21846" s="17">
        <v>8.0865212E8</v>
      </c>
      <c r="B21846" s="17">
        <v>8652120.0</v>
      </c>
    </row>
    <row r="21847">
      <c r="A21847" s="17">
        <v>8.0866E8</v>
      </c>
      <c r="B21847" s="17">
        <v>8660000.0</v>
      </c>
    </row>
    <row r="21848">
      <c r="A21848" s="17">
        <v>8.08660001E8</v>
      </c>
      <c r="B21848" s="17">
        <v>8660001.0</v>
      </c>
    </row>
    <row r="21849">
      <c r="A21849" s="17">
        <v>8.08660002E8</v>
      </c>
      <c r="B21849" s="17">
        <v>8660002.0</v>
      </c>
    </row>
    <row r="21850">
      <c r="A21850" s="17">
        <v>8.086601E8</v>
      </c>
      <c r="B21850" s="17">
        <v>8660100.0</v>
      </c>
    </row>
    <row r="21851">
      <c r="A21851" s="17">
        <v>8.08660101E8</v>
      </c>
      <c r="B21851" s="17">
        <v>8660101.0</v>
      </c>
    </row>
    <row r="21852">
      <c r="A21852" s="17">
        <v>8.08660102E8</v>
      </c>
      <c r="B21852" s="17">
        <v>8660102.0</v>
      </c>
    </row>
    <row r="21853">
      <c r="A21853" s="17">
        <v>8.0867E8</v>
      </c>
      <c r="B21853" s="17">
        <v>8670000.0</v>
      </c>
    </row>
    <row r="21854">
      <c r="A21854" s="17">
        <v>8.08670001E8</v>
      </c>
      <c r="B21854" s="17">
        <v>8670001.0</v>
      </c>
    </row>
    <row r="21855">
      <c r="A21855" s="17">
        <v>8.08670002E8</v>
      </c>
      <c r="B21855" s="17">
        <v>8670002.0</v>
      </c>
    </row>
    <row r="21856">
      <c r="A21856" s="17">
        <v>8.086701E8</v>
      </c>
      <c r="B21856" s="17">
        <v>8670100.0</v>
      </c>
    </row>
    <row r="21857">
      <c r="A21857" s="17">
        <v>8.08670101E8</v>
      </c>
      <c r="B21857" s="17">
        <v>8670101.0</v>
      </c>
    </row>
    <row r="21858">
      <c r="A21858" s="17">
        <v>8.08670102E8</v>
      </c>
      <c r="B21858" s="17">
        <v>8670102.0</v>
      </c>
    </row>
    <row r="21859">
      <c r="A21859" s="17">
        <v>8.0869E8</v>
      </c>
      <c r="B21859" s="17">
        <v>8690000.0</v>
      </c>
    </row>
    <row r="21860">
      <c r="A21860" s="17">
        <v>8.086901E8</v>
      </c>
      <c r="B21860" s="17">
        <v>8690100.0</v>
      </c>
    </row>
    <row r="21861">
      <c r="A21861" s="17">
        <v>8.086902E8</v>
      </c>
      <c r="B21861" s="17">
        <v>8690200.0</v>
      </c>
    </row>
    <row r="21862">
      <c r="A21862" s="17">
        <v>8.086903E8</v>
      </c>
      <c r="B21862" s="17">
        <v>8690300.0</v>
      </c>
    </row>
    <row r="21863">
      <c r="A21863" s="17">
        <v>8.086904E8</v>
      </c>
      <c r="B21863" s="17">
        <v>8690400.0</v>
      </c>
    </row>
    <row r="21864">
      <c r="A21864" s="17">
        <v>8.0876E8</v>
      </c>
      <c r="B21864" s="17">
        <v>8760000.0</v>
      </c>
    </row>
    <row r="21865">
      <c r="A21865" s="17">
        <v>8.0876005E8</v>
      </c>
      <c r="B21865" s="17">
        <v>8760050.0</v>
      </c>
    </row>
    <row r="21866">
      <c r="A21866" s="17">
        <v>8.087601E8</v>
      </c>
      <c r="B21866" s="17">
        <v>8760100.0</v>
      </c>
    </row>
    <row r="21867">
      <c r="A21867" s="17">
        <v>8.0876015E8</v>
      </c>
      <c r="B21867" s="17">
        <v>8760150.0</v>
      </c>
    </row>
    <row r="21868">
      <c r="A21868" s="17">
        <v>8.087602E8</v>
      </c>
      <c r="B21868" s="17">
        <v>8760200.0</v>
      </c>
    </row>
    <row r="21869">
      <c r="A21869" s="17">
        <v>8.0876025E8</v>
      </c>
      <c r="B21869" s="17">
        <v>8760250.0</v>
      </c>
    </row>
    <row r="21870">
      <c r="A21870" s="17">
        <v>8.08761E8</v>
      </c>
      <c r="B21870" s="17">
        <v>8761000.0</v>
      </c>
    </row>
    <row r="21871">
      <c r="A21871" s="17">
        <v>8.0876105E8</v>
      </c>
      <c r="B21871" s="17">
        <v>8761050.0</v>
      </c>
    </row>
    <row r="21872">
      <c r="A21872" s="17">
        <v>8.087611E8</v>
      </c>
      <c r="B21872" s="17">
        <v>8761100.0</v>
      </c>
    </row>
    <row r="21873">
      <c r="A21873" s="17">
        <v>8.0876115E8</v>
      </c>
      <c r="B21873" s="17">
        <v>8761150.0</v>
      </c>
    </row>
    <row r="21874">
      <c r="A21874" s="17">
        <v>8.08762E8</v>
      </c>
      <c r="B21874" s="17">
        <v>8762000.0</v>
      </c>
    </row>
    <row r="21875">
      <c r="A21875" s="17">
        <v>8.0876205E8</v>
      </c>
      <c r="B21875" s="17">
        <v>8762050.0</v>
      </c>
    </row>
    <row r="21876">
      <c r="A21876" s="17">
        <v>8.08763E8</v>
      </c>
      <c r="B21876" s="17">
        <v>8763000.0</v>
      </c>
    </row>
    <row r="21877">
      <c r="A21877" s="17">
        <v>8.0876305E8</v>
      </c>
      <c r="B21877" s="17">
        <v>8763050.0</v>
      </c>
    </row>
    <row r="21878">
      <c r="A21878" s="17">
        <v>8.08766E8</v>
      </c>
      <c r="B21878" s="17">
        <v>8766000.0</v>
      </c>
    </row>
    <row r="21879">
      <c r="A21879" s="17">
        <v>8.0876605E8</v>
      </c>
      <c r="B21879" s="17">
        <v>8766050.0</v>
      </c>
    </row>
    <row r="21880">
      <c r="A21880" s="17">
        <v>8.0877E8</v>
      </c>
      <c r="B21880" s="17">
        <v>8770000.0</v>
      </c>
    </row>
    <row r="21881">
      <c r="A21881" s="17">
        <v>8.0877005E8</v>
      </c>
      <c r="B21881" s="17">
        <v>8770050.0</v>
      </c>
    </row>
    <row r="21882">
      <c r="A21882" s="17">
        <v>8.08771E8</v>
      </c>
      <c r="B21882" s="17">
        <v>8771000.0</v>
      </c>
    </row>
    <row r="21883">
      <c r="A21883" s="17">
        <v>8.0877105E8</v>
      </c>
      <c r="B21883" s="17">
        <v>8771050.0</v>
      </c>
    </row>
    <row r="21884">
      <c r="A21884" s="17">
        <v>8.088001E8</v>
      </c>
      <c r="B21884" s="17">
        <v>8800100.0</v>
      </c>
    </row>
    <row r="21885">
      <c r="A21885" s="17">
        <v>8.0880015E8</v>
      </c>
      <c r="B21885" s="17">
        <v>8800150.0</v>
      </c>
    </row>
    <row r="21886">
      <c r="A21886" s="17">
        <v>8.088002E8</v>
      </c>
      <c r="B21886" s="17">
        <v>8800200.0</v>
      </c>
    </row>
    <row r="21887">
      <c r="A21887" s="17">
        <v>8.0880025E8</v>
      </c>
      <c r="B21887" s="17">
        <v>8800250.0</v>
      </c>
    </row>
    <row r="21888">
      <c r="A21888" s="17">
        <v>8.08801E8</v>
      </c>
      <c r="B21888" s="17">
        <v>8801000.0</v>
      </c>
    </row>
    <row r="21889">
      <c r="A21889" s="17">
        <v>8.0880105E8</v>
      </c>
      <c r="B21889" s="17">
        <v>8801050.0</v>
      </c>
    </row>
    <row r="21890">
      <c r="A21890" s="17">
        <v>8.0881E8</v>
      </c>
      <c r="B21890" s="17">
        <v>8810000.0</v>
      </c>
    </row>
    <row r="21891">
      <c r="A21891" s="17">
        <v>8.0881005E8</v>
      </c>
      <c r="B21891" s="17">
        <v>8810050.0</v>
      </c>
    </row>
    <row r="21892">
      <c r="A21892" s="17">
        <v>8.088102E8</v>
      </c>
      <c r="B21892" s="17">
        <v>8810200.0</v>
      </c>
    </row>
    <row r="21893">
      <c r="A21893" s="17">
        <v>8.0881025E8</v>
      </c>
      <c r="B21893" s="17">
        <v>8810250.0</v>
      </c>
    </row>
    <row r="21894">
      <c r="A21894" s="17">
        <v>8.088103E8</v>
      </c>
      <c r="B21894" s="17">
        <v>8810300.0</v>
      </c>
    </row>
    <row r="21895">
      <c r="A21895" s="17">
        <v>8.0881035E8</v>
      </c>
      <c r="B21895" s="17">
        <v>8810350.0</v>
      </c>
    </row>
    <row r="21896">
      <c r="A21896" s="17">
        <v>8.088104E8</v>
      </c>
      <c r="B21896" s="17">
        <v>8810400.0</v>
      </c>
    </row>
    <row r="21897">
      <c r="A21897" s="17">
        <v>8.0881045E8</v>
      </c>
      <c r="B21897" s="17">
        <v>8810450.0</v>
      </c>
    </row>
    <row r="21898">
      <c r="A21898" s="17">
        <v>8.088131E8</v>
      </c>
      <c r="B21898" s="17">
        <v>8813100.0</v>
      </c>
    </row>
    <row r="21899">
      <c r="A21899" s="17">
        <v>8.0881315E8</v>
      </c>
      <c r="B21899" s="17">
        <v>8813150.0</v>
      </c>
    </row>
    <row r="21900">
      <c r="A21900" s="17">
        <v>8.08821E8</v>
      </c>
      <c r="B21900" s="17">
        <v>8821000.0</v>
      </c>
    </row>
    <row r="21901">
      <c r="A21901" s="17">
        <v>8.0882105E8</v>
      </c>
      <c r="B21901" s="17">
        <v>8821050.0</v>
      </c>
    </row>
    <row r="21902">
      <c r="A21902" s="17">
        <v>8.0883E8</v>
      </c>
      <c r="B21902" s="17">
        <v>8830000.0</v>
      </c>
    </row>
    <row r="21903">
      <c r="A21903" s="17">
        <v>8.0883005E8</v>
      </c>
      <c r="B21903" s="17">
        <v>8830050.0</v>
      </c>
    </row>
    <row r="21904">
      <c r="A21904" s="17">
        <v>8.08831E8</v>
      </c>
      <c r="B21904" s="17">
        <v>8831000.0</v>
      </c>
    </row>
    <row r="21905">
      <c r="A21905" s="17">
        <v>8.0883105E8</v>
      </c>
      <c r="B21905" s="17">
        <v>8831050.0</v>
      </c>
    </row>
    <row r="21906">
      <c r="A21906" s="17">
        <v>8.088312E8</v>
      </c>
      <c r="B21906" s="17">
        <v>8831200.0</v>
      </c>
    </row>
    <row r="21907">
      <c r="A21907" s="17">
        <v>8.0883125E8</v>
      </c>
      <c r="B21907" s="17">
        <v>8831250.0</v>
      </c>
    </row>
    <row r="21908">
      <c r="A21908" s="17">
        <v>8.0885E8</v>
      </c>
      <c r="B21908" s="17">
        <v>8850000.0</v>
      </c>
    </row>
    <row r="21909">
      <c r="A21909" s="17">
        <v>8.0885005E8</v>
      </c>
      <c r="B21909" s="17">
        <v>8850050.0</v>
      </c>
    </row>
    <row r="21910">
      <c r="A21910" s="17">
        <v>8.088501E8</v>
      </c>
      <c r="B21910" s="17">
        <v>8850100.0</v>
      </c>
    </row>
    <row r="21911">
      <c r="A21911" s="17">
        <v>8.0885015E8</v>
      </c>
      <c r="B21911" s="17">
        <v>8850150.0</v>
      </c>
    </row>
    <row r="21912">
      <c r="A21912" s="17">
        <v>8.088502E8</v>
      </c>
      <c r="B21912" s="17">
        <v>8850200.0</v>
      </c>
    </row>
    <row r="21913">
      <c r="A21913" s="17">
        <v>8.0885025E8</v>
      </c>
      <c r="B21913" s="17">
        <v>8850250.0</v>
      </c>
    </row>
    <row r="21914">
      <c r="A21914" s="17">
        <v>8.088503E8</v>
      </c>
      <c r="B21914" s="17">
        <v>8850300.0</v>
      </c>
    </row>
    <row r="21915">
      <c r="A21915" s="17">
        <v>8.0885035E8</v>
      </c>
      <c r="B21915" s="17">
        <v>8850350.0</v>
      </c>
    </row>
    <row r="21916">
      <c r="A21916" s="17">
        <v>8.088504E8</v>
      </c>
      <c r="B21916" s="17">
        <v>8850400.0</v>
      </c>
    </row>
    <row r="21917">
      <c r="A21917" s="17">
        <v>8.0885045E8</v>
      </c>
      <c r="B21917" s="17">
        <v>8850450.0</v>
      </c>
    </row>
    <row r="21918">
      <c r="A21918" s="17">
        <v>8.088505E8</v>
      </c>
      <c r="B21918" s="17">
        <v>8850500.0</v>
      </c>
    </row>
    <row r="21919">
      <c r="A21919" s="17">
        <v>8.0885055E8</v>
      </c>
      <c r="B21919" s="17">
        <v>8850550.0</v>
      </c>
    </row>
    <row r="21920">
      <c r="A21920" s="17">
        <v>8.088506E8</v>
      </c>
      <c r="B21920" s="17">
        <v>8850600.0</v>
      </c>
    </row>
    <row r="21921">
      <c r="A21921" s="17">
        <v>8.0885065E8</v>
      </c>
      <c r="B21921" s="17">
        <v>8850650.0</v>
      </c>
    </row>
    <row r="21922">
      <c r="A21922" s="17">
        <v>8.088507E8</v>
      </c>
      <c r="B21922" s="17">
        <v>8850700.0</v>
      </c>
    </row>
    <row r="21923">
      <c r="A21923" s="17">
        <v>8.0885075E8</v>
      </c>
      <c r="B21923" s="17">
        <v>8850750.0</v>
      </c>
    </row>
    <row r="21924">
      <c r="A21924" s="17">
        <v>8.088508E8</v>
      </c>
      <c r="B21924" s="17">
        <v>8850800.0</v>
      </c>
    </row>
    <row r="21925">
      <c r="A21925" s="17">
        <v>8.0885085E8</v>
      </c>
      <c r="B21925" s="17">
        <v>8850850.0</v>
      </c>
    </row>
    <row r="21926">
      <c r="A21926" s="17">
        <v>8.088509E8</v>
      </c>
      <c r="B21926" s="17">
        <v>8850900.0</v>
      </c>
    </row>
    <row r="21927">
      <c r="A21927" s="17">
        <v>8.0885095E8</v>
      </c>
      <c r="B21927" s="17">
        <v>8850950.0</v>
      </c>
    </row>
    <row r="21928">
      <c r="A21928" s="17">
        <v>8.08851E8</v>
      </c>
      <c r="B21928" s="17">
        <v>8851000.0</v>
      </c>
    </row>
    <row r="21929">
      <c r="A21929" s="17">
        <v>8.0885105E8</v>
      </c>
      <c r="B21929" s="17">
        <v>8851050.0</v>
      </c>
    </row>
    <row r="21930">
      <c r="A21930" s="17">
        <v>8.088511E8</v>
      </c>
      <c r="B21930" s="17">
        <v>8851100.0</v>
      </c>
    </row>
    <row r="21931">
      <c r="A21931" s="17">
        <v>8.0885115E8</v>
      </c>
      <c r="B21931" s="17">
        <v>8851150.0</v>
      </c>
    </row>
    <row r="21932">
      <c r="A21932" s="17">
        <v>8.088512E8</v>
      </c>
      <c r="B21932" s="17">
        <v>8851200.0</v>
      </c>
    </row>
    <row r="21933">
      <c r="A21933" s="17">
        <v>8.0885125E8</v>
      </c>
      <c r="B21933" s="17">
        <v>8851250.0</v>
      </c>
    </row>
    <row r="21934">
      <c r="A21934" s="17">
        <v>8.088513E8</v>
      </c>
      <c r="B21934" s="17">
        <v>8851300.0</v>
      </c>
    </row>
    <row r="21935">
      <c r="A21935" s="17">
        <v>8.0885135E8</v>
      </c>
      <c r="B21935" s="17">
        <v>8851350.0</v>
      </c>
    </row>
    <row r="21936">
      <c r="A21936" s="17">
        <v>8.088518E8</v>
      </c>
      <c r="B21936" s="17">
        <v>8851800.0</v>
      </c>
    </row>
    <row r="21937">
      <c r="A21937" s="17">
        <v>8.0885185E8</v>
      </c>
      <c r="B21937" s="17">
        <v>8851850.0</v>
      </c>
    </row>
    <row r="21938">
      <c r="A21938" s="17">
        <v>8.088519E8</v>
      </c>
      <c r="B21938" s="17">
        <v>8851900.0</v>
      </c>
    </row>
    <row r="21939">
      <c r="A21939" s="17">
        <v>8.0885195E8</v>
      </c>
      <c r="B21939" s="17">
        <v>8851950.0</v>
      </c>
    </row>
    <row r="21940">
      <c r="A21940" s="17">
        <v>8.08852E8</v>
      </c>
      <c r="B21940" s="17">
        <v>8852000.0</v>
      </c>
    </row>
    <row r="21941">
      <c r="A21941" s="17">
        <v>8.0885205E8</v>
      </c>
      <c r="B21941" s="17">
        <v>8852050.0</v>
      </c>
    </row>
    <row r="21942">
      <c r="A21942" s="17">
        <v>8.0888E8</v>
      </c>
      <c r="B21942" s="17">
        <v>8880000.0</v>
      </c>
    </row>
    <row r="21943">
      <c r="A21943" s="17">
        <v>8.088802E8</v>
      </c>
      <c r="B21943" s="17">
        <v>8880200.0</v>
      </c>
    </row>
    <row r="21944">
      <c r="A21944" s="17">
        <v>8.088803E8</v>
      </c>
      <c r="B21944" s="17">
        <v>8880300.0</v>
      </c>
    </row>
    <row r="21945">
      <c r="A21945" s="17">
        <v>8.08881E8</v>
      </c>
      <c r="B21945" s="17">
        <v>8881000.0</v>
      </c>
    </row>
    <row r="21946">
      <c r="A21946" s="17">
        <v>8.088812E8</v>
      </c>
      <c r="B21946" s="17">
        <v>8881200.0</v>
      </c>
    </row>
    <row r="21947">
      <c r="A21947" s="17">
        <v>8.088815E8</v>
      </c>
      <c r="B21947" s="17">
        <v>8881500.0</v>
      </c>
    </row>
    <row r="21948">
      <c r="A21948" s="17">
        <v>8.088821E8</v>
      </c>
      <c r="B21948" s="17">
        <v>8882100.0</v>
      </c>
    </row>
    <row r="21949">
      <c r="A21949" s="17">
        <v>8.088825E8</v>
      </c>
      <c r="B21949" s="17">
        <v>8882500.0</v>
      </c>
    </row>
    <row r="21950">
      <c r="A21950" s="17">
        <v>8.08883E8</v>
      </c>
      <c r="B21950" s="17">
        <v>8883000.0</v>
      </c>
    </row>
    <row r="21951">
      <c r="A21951" s="17">
        <v>8.088831E8</v>
      </c>
      <c r="B21951" s="17">
        <v>8883100.0</v>
      </c>
    </row>
    <row r="21952">
      <c r="A21952" s="17">
        <v>8.088832E8</v>
      </c>
      <c r="B21952" s="17">
        <v>8883200.0</v>
      </c>
    </row>
    <row r="21953">
      <c r="A21953" s="17">
        <v>8.088833E8</v>
      </c>
      <c r="B21953" s="17">
        <v>8883300.0</v>
      </c>
    </row>
    <row r="21954">
      <c r="A21954" s="17">
        <v>8.088834E8</v>
      </c>
      <c r="B21954" s="17">
        <v>8883400.0</v>
      </c>
    </row>
    <row r="21955">
      <c r="A21955" s="17">
        <v>8.088842E8</v>
      </c>
      <c r="B21955" s="17">
        <v>8884200.0</v>
      </c>
    </row>
    <row r="21956">
      <c r="A21956" s="17">
        <v>8.088843E8</v>
      </c>
      <c r="B21956" s="17">
        <v>8884300.0</v>
      </c>
    </row>
    <row r="21957">
      <c r="A21957" s="17">
        <v>8.08885E8</v>
      </c>
      <c r="B21957" s="17">
        <v>8885000.0</v>
      </c>
    </row>
    <row r="21958">
      <c r="A21958" s="17">
        <v>8.088851E8</v>
      </c>
      <c r="B21958" s="17">
        <v>8885100.0</v>
      </c>
    </row>
    <row r="21959">
      <c r="A21959" s="17">
        <v>8.088852E8</v>
      </c>
      <c r="B21959" s="17">
        <v>8885200.0</v>
      </c>
    </row>
    <row r="21960">
      <c r="A21960" s="17">
        <v>8.1E8</v>
      </c>
      <c r="B21960" s="17">
        <v>8880000.0</v>
      </c>
    </row>
    <row r="21961">
      <c r="A21961" s="17">
        <v>8.1E8</v>
      </c>
      <c r="B21961" s="17">
        <v>8880200.0</v>
      </c>
    </row>
    <row r="21962">
      <c r="A21962" s="17">
        <v>8.1E8</v>
      </c>
      <c r="B21962" s="17">
        <v>8880300.0</v>
      </c>
    </row>
    <row r="21963">
      <c r="A21963" s="17">
        <v>8.1E8</v>
      </c>
      <c r="B21963" s="17">
        <v>8881000.0</v>
      </c>
    </row>
    <row r="21964">
      <c r="A21964" s="17">
        <v>8.1E8</v>
      </c>
      <c r="B21964" s="17">
        <v>8881200.0</v>
      </c>
    </row>
    <row r="21965">
      <c r="A21965" s="17">
        <v>8.1E8</v>
      </c>
      <c r="B21965" s="17">
        <v>8881500.0</v>
      </c>
    </row>
    <row r="21966">
      <c r="A21966" s="17">
        <v>8.1E8</v>
      </c>
      <c r="B21966" s="17">
        <v>8882100.0</v>
      </c>
    </row>
    <row r="21967">
      <c r="A21967" s="17">
        <v>8.1E8</v>
      </c>
      <c r="B21967" s="17">
        <v>8882500.0</v>
      </c>
    </row>
    <row r="21968">
      <c r="A21968" s="17">
        <v>8.1E8</v>
      </c>
      <c r="B21968" s="17">
        <v>8885000.0</v>
      </c>
    </row>
    <row r="21969">
      <c r="A21969" s="17">
        <v>8.1E8</v>
      </c>
      <c r="B21969" s="17">
        <v>8850050.0</v>
      </c>
    </row>
    <row r="21970">
      <c r="A21970" s="17">
        <v>8.1E8</v>
      </c>
      <c r="B21970" s="17">
        <v>8850150.0</v>
      </c>
    </row>
    <row r="21971">
      <c r="A21971" s="17">
        <v>8.1E8</v>
      </c>
      <c r="B21971" s="17">
        <v>8850250.0</v>
      </c>
    </row>
    <row r="21972">
      <c r="A21972" s="17">
        <v>8.1E8</v>
      </c>
      <c r="B21972" s="17">
        <v>8850350.0</v>
      </c>
    </row>
    <row r="21973">
      <c r="A21973" s="17">
        <v>8.1E8</v>
      </c>
      <c r="B21973" s="17">
        <v>8850450.0</v>
      </c>
    </row>
    <row r="21974">
      <c r="A21974" s="17">
        <v>8.1E8</v>
      </c>
      <c r="B21974" s="17">
        <v>8850550.0</v>
      </c>
    </row>
    <row r="21975">
      <c r="A21975" s="17">
        <v>8.1E8</v>
      </c>
      <c r="B21975" s="17">
        <v>8850650.0</v>
      </c>
    </row>
    <row r="21976">
      <c r="A21976" s="17">
        <v>8.1E8</v>
      </c>
      <c r="B21976" s="17">
        <v>8850750.0</v>
      </c>
    </row>
    <row r="21977">
      <c r="A21977" s="17">
        <v>8.1E8</v>
      </c>
      <c r="B21977" s="17">
        <v>8850850.0</v>
      </c>
    </row>
    <row r="21978">
      <c r="A21978" s="17">
        <v>8.1E8</v>
      </c>
      <c r="B21978" s="17">
        <v>8850950.0</v>
      </c>
    </row>
    <row r="21979">
      <c r="A21979" s="17">
        <v>8.1E8</v>
      </c>
      <c r="B21979" s="17">
        <v>8851050.0</v>
      </c>
    </row>
    <row r="21980">
      <c r="A21980" s="17">
        <v>8.1E8</v>
      </c>
      <c r="B21980" s="17">
        <v>8851150.0</v>
      </c>
    </row>
    <row r="21981">
      <c r="A21981" s="17">
        <v>8.1E8</v>
      </c>
      <c r="B21981" s="17">
        <v>8851250.0</v>
      </c>
    </row>
    <row r="21982">
      <c r="A21982" s="17">
        <v>8.1E8</v>
      </c>
      <c r="B21982" s="17">
        <v>8851350.0</v>
      </c>
    </row>
    <row r="21983">
      <c r="A21983" s="17">
        <v>8.1E8</v>
      </c>
      <c r="B21983" s="17">
        <v>8851850.0</v>
      </c>
    </row>
    <row r="21984">
      <c r="A21984" s="17">
        <v>8.1E8</v>
      </c>
      <c r="B21984" s="17">
        <v>8851950.0</v>
      </c>
    </row>
    <row r="21985">
      <c r="A21985" s="17">
        <v>8.1E8</v>
      </c>
      <c r="B21985" s="17">
        <v>8852050.0</v>
      </c>
    </row>
    <row r="21986">
      <c r="A21986" s="17">
        <v>8.11E8</v>
      </c>
      <c r="B21986" s="17">
        <v>8883000.0</v>
      </c>
    </row>
    <row r="21987">
      <c r="A21987" s="17">
        <v>8.11E8</v>
      </c>
      <c r="B21987" s="17">
        <v>8883100.0</v>
      </c>
    </row>
    <row r="21988">
      <c r="A21988" s="17">
        <v>8.11E8</v>
      </c>
      <c r="B21988" s="17">
        <v>8883200.0</v>
      </c>
    </row>
    <row r="21989">
      <c r="A21989" s="17">
        <v>8.11E8</v>
      </c>
      <c r="B21989" s="17">
        <v>8883300.0</v>
      </c>
    </row>
    <row r="21990">
      <c r="A21990" s="17">
        <v>8.11E8</v>
      </c>
      <c r="B21990" s="17">
        <v>8883400.0</v>
      </c>
    </row>
    <row r="21991">
      <c r="A21991" s="17">
        <v>8.11E8</v>
      </c>
      <c r="B21991" s="17">
        <v>8885000.0</v>
      </c>
    </row>
    <row r="21992">
      <c r="A21992" s="17">
        <v>8.11E8</v>
      </c>
      <c r="B21992" s="17">
        <v>8850050.0</v>
      </c>
    </row>
    <row r="21993">
      <c r="A21993" s="17">
        <v>8.11E8</v>
      </c>
      <c r="B21993" s="17">
        <v>8850150.0</v>
      </c>
    </row>
    <row r="21994">
      <c r="A21994" s="17">
        <v>8.11E8</v>
      </c>
      <c r="B21994" s="17">
        <v>8850250.0</v>
      </c>
    </row>
    <row r="21995">
      <c r="A21995" s="17">
        <v>8.11E8</v>
      </c>
      <c r="B21995" s="17">
        <v>8850350.0</v>
      </c>
    </row>
    <row r="21996">
      <c r="A21996" s="17">
        <v>8.11E8</v>
      </c>
      <c r="B21996" s="17">
        <v>8850450.0</v>
      </c>
    </row>
    <row r="21997">
      <c r="A21997" s="17">
        <v>8.11E8</v>
      </c>
      <c r="B21997" s="17">
        <v>8850550.0</v>
      </c>
    </row>
    <row r="21998">
      <c r="A21998" s="17">
        <v>8.11E8</v>
      </c>
      <c r="B21998" s="17">
        <v>8850650.0</v>
      </c>
    </row>
    <row r="21999">
      <c r="A21999" s="17">
        <v>8.11E8</v>
      </c>
      <c r="B21999" s="17">
        <v>8850750.0</v>
      </c>
    </row>
    <row r="22000">
      <c r="A22000" s="17">
        <v>8.11E8</v>
      </c>
      <c r="B22000" s="17">
        <v>8850850.0</v>
      </c>
    </row>
    <row r="22001">
      <c r="A22001" s="17">
        <v>8.11E8</v>
      </c>
      <c r="B22001" s="17">
        <v>8850950.0</v>
      </c>
    </row>
    <row r="22002">
      <c r="A22002" s="17">
        <v>8.11E8</v>
      </c>
      <c r="B22002" s="17">
        <v>8851050.0</v>
      </c>
    </row>
    <row r="22003">
      <c r="A22003" s="17">
        <v>8.11E8</v>
      </c>
      <c r="B22003" s="17">
        <v>8851150.0</v>
      </c>
    </row>
    <row r="22004">
      <c r="A22004" s="17">
        <v>8.11E8</v>
      </c>
      <c r="B22004" s="17">
        <v>8851250.0</v>
      </c>
    </row>
    <row r="22005">
      <c r="A22005" s="17">
        <v>8.11E8</v>
      </c>
      <c r="B22005" s="17">
        <v>8851350.0</v>
      </c>
    </row>
    <row r="22006">
      <c r="A22006" s="17">
        <v>8.11E8</v>
      </c>
      <c r="B22006" s="17">
        <v>8851850.0</v>
      </c>
    </row>
    <row r="22007">
      <c r="A22007" s="17">
        <v>8.11E8</v>
      </c>
      <c r="B22007" s="17">
        <v>8851950.0</v>
      </c>
    </row>
    <row r="22008">
      <c r="A22008" s="17">
        <v>8.11E8</v>
      </c>
      <c r="B22008" s="17">
        <v>8852050.0</v>
      </c>
    </row>
    <row r="22009">
      <c r="A22009" s="17">
        <v>8.12E8</v>
      </c>
      <c r="B22009" s="17">
        <v>8883100.0</v>
      </c>
    </row>
    <row r="22010">
      <c r="A22010" s="17">
        <v>8.12E8</v>
      </c>
      <c r="B22010" s="17">
        <v>8883200.0</v>
      </c>
    </row>
    <row r="22011">
      <c r="A22011" s="17">
        <v>8.12E8</v>
      </c>
      <c r="B22011" s="17">
        <v>8883300.0</v>
      </c>
    </row>
    <row r="22012">
      <c r="A22012" s="17">
        <v>8.12E8</v>
      </c>
      <c r="B22012" s="17">
        <v>8883400.0</v>
      </c>
    </row>
    <row r="22013">
      <c r="A22013" s="17">
        <v>8.12E8</v>
      </c>
      <c r="B22013" s="17">
        <v>8885000.0</v>
      </c>
    </row>
    <row r="22014">
      <c r="A22014" s="17">
        <v>8.12E8</v>
      </c>
      <c r="B22014" s="17">
        <v>8850050.0</v>
      </c>
    </row>
    <row r="22015">
      <c r="A22015" s="17">
        <v>8.12E8</v>
      </c>
      <c r="B22015" s="17">
        <v>8850150.0</v>
      </c>
    </row>
    <row r="22016">
      <c r="A22016" s="17">
        <v>8.12E8</v>
      </c>
      <c r="B22016" s="17">
        <v>8850250.0</v>
      </c>
    </row>
    <row r="22017">
      <c r="A22017" s="17">
        <v>8.12E8</v>
      </c>
      <c r="B22017" s="17">
        <v>8850350.0</v>
      </c>
    </row>
    <row r="22018">
      <c r="A22018" s="17">
        <v>8.12E8</v>
      </c>
      <c r="B22018" s="17">
        <v>8850450.0</v>
      </c>
    </row>
    <row r="22019">
      <c r="A22019" s="17">
        <v>8.12E8</v>
      </c>
      <c r="B22019" s="17">
        <v>8850550.0</v>
      </c>
    </row>
    <row r="22020">
      <c r="A22020" s="17">
        <v>8.12E8</v>
      </c>
      <c r="B22020" s="17">
        <v>8850650.0</v>
      </c>
    </row>
    <row r="22021">
      <c r="A22021" s="17">
        <v>8.12E8</v>
      </c>
      <c r="B22021" s="17">
        <v>8850750.0</v>
      </c>
    </row>
    <row r="22022">
      <c r="A22022" s="17">
        <v>8.12E8</v>
      </c>
      <c r="B22022" s="17">
        <v>8850850.0</v>
      </c>
    </row>
    <row r="22023">
      <c r="A22023" s="17">
        <v>8.12E8</v>
      </c>
      <c r="B22023" s="17">
        <v>8850950.0</v>
      </c>
    </row>
    <row r="22024">
      <c r="A22024" s="17">
        <v>8.12E8</v>
      </c>
      <c r="B22024" s="17">
        <v>8851050.0</v>
      </c>
    </row>
    <row r="22025">
      <c r="A22025" s="17">
        <v>8.12E8</v>
      </c>
      <c r="B22025" s="17">
        <v>8851150.0</v>
      </c>
    </row>
    <row r="22026">
      <c r="A22026" s="17">
        <v>8.12E8</v>
      </c>
      <c r="B22026" s="17">
        <v>8851250.0</v>
      </c>
    </row>
    <row r="22027">
      <c r="A22027" s="17">
        <v>8.12E8</v>
      </c>
      <c r="B22027" s="17">
        <v>8851350.0</v>
      </c>
    </row>
    <row r="22028">
      <c r="A22028" s="17">
        <v>8.12E8</v>
      </c>
      <c r="B22028" s="17">
        <v>8851850.0</v>
      </c>
    </row>
    <row r="22029">
      <c r="A22029" s="17">
        <v>8.12E8</v>
      </c>
      <c r="B22029" s="17">
        <v>8851950.0</v>
      </c>
    </row>
    <row r="22030">
      <c r="A22030" s="17">
        <v>8.12E8</v>
      </c>
      <c r="B22030" s="17">
        <v>8852050.0</v>
      </c>
    </row>
    <row r="22031">
      <c r="A22031" s="17">
        <v>8.13E8</v>
      </c>
      <c r="B22031" s="17">
        <v>8885100.0</v>
      </c>
    </row>
    <row r="22032">
      <c r="A22032" s="17">
        <v>8.13E8</v>
      </c>
      <c r="B22032" s="17">
        <v>8885000.0</v>
      </c>
    </row>
    <row r="22033">
      <c r="A22033" s="17">
        <v>8.13E8</v>
      </c>
      <c r="B22033" s="17">
        <v>8885200.0</v>
      </c>
    </row>
    <row r="22034">
      <c r="A22034" s="17">
        <v>8.13E8</v>
      </c>
      <c r="B22034" s="17">
        <v>8850050.0</v>
      </c>
    </row>
    <row r="22035">
      <c r="A22035" s="17">
        <v>8.13E8</v>
      </c>
      <c r="B22035" s="17">
        <v>8850150.0</v>
      </c>
    </row>
    <row r="22036">
      <c r="A22036" s="17">
        <v>8.13E8</v>
      </c>
      <c r="B22036" s="17">
        <v>8850250.0</v>
      </c>
    </row>
    <row r="22037">
      <c r="A22037" s="17">
        <v>8.13E8</v>
      </c>
      <c r="B22037" s="17">
        <v>8850350.0</v>
      </c>
    </row>
    <row r="22038">
      <c r="A22038" s="17">
        <v>8.13E8</v>
      </c>
      <c r="B22038" s="17">
        <v>8850450.0</v>
      </c>
    </row>
    <row r="22039">
      <c r="A22039" s="17">
        <v>8.13E8</v>
      </c>
      <c r="B22039" s="17">
        <v>8850550.0</v>
      </c>
    </row>
    <row r="22040">
      <c r="A22040" s="17">
        <v>8.13E8</v>
      </c>
      <c r="B22040" s="17">
        <v>8850650.0</v>
      </c>
    </row>
    <row r="22041">
      <c r="A22041" s="17">
        <v>8.13E8</v>
      </c>
      <c r="B22041" s="17">
        <v>8850750.0</v>
      </c>
    </row>
    <row r="22042">
      <c r="A22042" s="17">
        <v>8.13E8</v>
      </c>
      <c r="B22042" s="17">
        <v>8850850.0</v>
      </c>
    </row>
    <row r="22043">
      <c r="A22043" s="17">
        <v>8.13E8</v>
      </c>
      <c r="B22043" s="17">
        <v>8850950.0</v>
      </c>
    </row>
    <row r="22044">
      <c r="A22044" s="17">
        <v>8.13E8</v>
      </c>
      <c r="B22044" s="17">
        <v>8851050.0</v>
      </c>
    </row>
    <row r="22045">
      <c r="A22045" s="17">
        <v>8.13E8</v>
      </c>
      <c r="B22045" s="17">
        <v>8851150.0</v>
      </c>
    </row>
    <row r="22046">
      <c r="A22046" s="17">
        <v>8.13E8</v>
      </c>
      <c r="B22046" s="17">
        <v>8851250.0</v>
      </c>
    </row>
    <row r="22047">
      <c r="A22047" s="17">
        <v>8.13E8</v>
      </c>
      <c r="B22047" s="17">
        <v>8851350.0</v>
      </c>
    </row>
    <row r="22048">
      <c r="A22048" s="17">
        <v>8.13E8</v>
      </c>
      <c r="B22048" s="17">
        <v>8851850.0</v>
      </c>
    </row>
    <row r="22049">
      <c r="A22049" s="17">
        <v>8.13E8</v>
      </c>
      <c r="B22049" s="17">
        <v>8851950.0</v>
      </c>
    </row>
    <row r="22050">
      <c r="A22050" s="17">
        <v>8.13E8</v>
      </c>
      <c r="B22050" s="17">
        <v>8852050.0</v>
      </c>
    </row>
    <row r="22051">
      <c r="A22051" s="17">
        <v>8.14E8</v>
      </c>
      <c r="B22051" s="17">
        <v>8884200.0</v>
      </c>
    </row>
    <row r="22052">
      <c r="A22052" s="17">
        <v>8.14E8</v>
      </c>
      <c r="B22052" s="17">
        <v>8884300.0</v>
      </c>
    </row>
    <row r="22053">
      <c r="A22053" s="17">
        <v>8.14E8</v>
      </c>
      <c r="B22053" s="17">
        <v>8885000.0</v>
      </c>
    </row>
    <row r="22054">
      <c r="A22054" s="17">
        <v>8.14E8</v>
      </c>
      <c r="B22054" s="17">
        <v>8850050.0</v>
      </c>
    </row>
    <row r="22055">
      <c r="A22055" s="17">
        <v>8.14E8</v>
      </c>
      <c r="B22055" s="17">
        <v>8850150.0</v>
      </c>
    </row>
    <row r="22056">
      <c r="A22056" s="17">
        <v>8.14E8</v>
      </c>
      <c r="B22056" s="17">
        <v>8850250.0</v>
      </c>
    </row>
    <row r="22057">
      <c r="A22057" s="17">
        <v>8.14E8</v>
      </c>
      <c r="B22057" s="17">
        <v>8850350.0</v>
      </c>
    </row>
    <row r="22058">
      <c r="A22058" s="17">
        <v>8.14E8</v>
      </c>
      <c r="B22058" s="17">
        <v>8850450.0</v>
      </c>
    </row>
    <row r="22059">
      <c r="A22059" s="17">
        <v>8.14E8</v>
      </c>
      <c r="B22059" s="17">
        <v>8850550.0</v>
      </c>
    </row>
    <row r="22060">
      <c r="A22060" s="17">
        <v>8.14E8</v>
      </c>
      <c r="B22060" s="17">
        <v>8850650.0</v>
      </c>
    </row>
    <row r="22061">
      <c r="A22061" s="17">
        <v>8.14E8</v>
      </c>
      <c r="B22061" s="17">
        <v>8850750.0</v>
      </c>
    </row>
    <row r="22062">
      <c r="A22062" s="17">
        <v>8.14E8</v>
      </c>
      <c r="B22062" s="17">
        <v>8850850.0</v>
      </c>
    </row>
    <row r="22063">
      <c r="A22063" s="17">
        <v>8.14E8</v>
      </c>
      <c r="B22063" s="17">
        <v>8850950.0</v>
      </c>
    </row>
    <row r="22064">
      <c r="A22064" s="17">
        <v>8.14E8</v>
      </c>
      <c r="B22064" s="17">
        <v>8851050.0</v>
      </c>
    </row>
    <row r="22065">
      <c r="A22065" s="17">
        <v>8.14E8</v>
      </c>
      <c r="B22065" s="17">
        <v>8851150.0</v>
      </c>
    </row>
    <row r="22066">
      <c r="A22066" s="17">
        <v>8.14E8</v>
      </c>
      <c r="B22066" s="17">
        <v>8851250.0</v>
      </c>
    </row>
    <row r="22067">
      <c r="A22067" s="17">
        <v>8.14E8</v>
      </c>
      <c r="B22067" s="17">
        <v>8851350.0</v>
      </c>
    </row>
    <row r="22068">
      <c r="A22068" s="17">
        <v>8.14E8</v>
      </c>
      <c r="B22068" s="17">
        <v>8851850.0</v>
      </c>
    </row>
    <row r="22069">
      <c r="A22069" s="17">
        <v>8.14E8</v>
      </c>
      <c r="B22069" s="17">
        <v>8851950.0</v>
      </c>
    </row>
    <row r="22070">
      <c r="A22070" s="17">
        <v>8.14E8</v>
      </c>
      <c r="B22070" s="17">
        <v>8852050.0</v>
      </c>
    </row>
    <row r="22071">
      <c r="A22071" s="17">
        <v>9.0E8</v>
      </c>
      <c r="B22071" s="17">
        <v>8880000.0</v>
      </c>
    </row>
    <row r="22072">
      <c r="A22072" s="17">
        <v>9.00000001E8</v>
      </c>
      <c r="B22072" s="17">
        <v>8880200.0</v>
      </c>
    </row>
    <row r="22073">
      <c r="A22073" s="17">
        <v>9.00000002E8</v>
      </c>
      <c r="B22073" s="17">
        <v>8880300.0</v>
      </c>
    </row>
    <row r="22074">
      <c r="A22074" s="17">
        <v>9.00000003E8</v>
      </c>
      <c r="B22074" s="17">
        <v>8881000.0</v>
      </c>
    </row>
    <row r="22075">
      <c r="A22075" s="17">
        <v>9.00000004E8</v>
      </c>
      <c r="B22075" s="17">
        <v>8881200.0</v>
      </c>
    </row>
    <row r="22076">
      <c r="A22076" s="17">
        <v>9.00000005E8</v>
      </c>
      <c r="B22076" s="17">
        <v>8881500.0</v>
      </c>
    </row>
    <row r="22077">
      <c r="A22077" s="17">
        <v>9.00000006E8</v>
      </c>
      <c r="B22077" s="17">
        <v>8882100.0</v>
      </c>
    </row>
    <row r="22078">
      <c r="A22078" s="17">
        <v>9.00000007E8</v>
      </c>
      <c r="B22078" s="17">
        <v>8882500.0</v>
      </c>
    </row>
    <row r="22079">
      <c r="A22079" s="17">
        <v>9.00000008E8</v>
      </c>
      <c r="B22079" s="17">
        <v>8883000.0</v>
      </c>
    </row>
    <row r="22080">
      <c r="A22080" s="17">
        <v>9.00000009E8</v>
      </c>
      <c r="B22080" s="17">
        <v>8883100.0</v>
      </c>
    </row>
    <row r="22081">
      <c r="A22081" s="17">
        <v>9.0000001E8</v>
      </c>
      <c r="B22081" s="17">
        <v>8883200.0</v>
      </c>
    </row>
    <row r="22082">
      <c r="A22082" s="17">
        <v>9.00000011E8</v>
      </c>
      <c r="B22082" s="17">
        <v>8883300.0</v>
      </c>
    </row>
    <row r="22083">
      <c r="A22083" s="17">
        <v>9.00000012E8</v>
      </c>
      <c r="B22083" s="17">
        <v>8883400.0</v>
      </c>
    </row>
    <row r="22084">
      <c r="A22084" s="17">
        <v>9.00000013E8</v>
      </c>
      <c r="B22084" s="17">
        <v>8884200.0</v>
      </c>
    </row>
    <row r="22085">
      <c r="A22085" s="17">
        <v>9.00000014E8</v>
      </c>
      <c r="B22085" s="17">
        <v>8884300.0</v>
      </c>
    </row>
    <row r="22086">
      <c r="A22086" s="17">
        <v>9.00000015E8</v>
      </c>
      <c r="B22086" s="17">
        <v>8885000.0</v>
      </c>
    </row>
    <row r="22087">
      <c r="A22087" s="17">
        <v>9.00000016E8</v>
      </c>
      <c r="B22087" s="17">
        <v>8885100.0</v>
      </c>
    </row>
    <row r="22088">
      <c r="A22088" s="17">
        <v>9.00000017E8</v>
      </c>
      <c r="B22088" s="17">
        <v>8885200.0</v>
      </c>
    </row>
    <row r="22089">
      <c r="A22089" s="17">
        <v>9.99999999E8</v>
      </c>
      <c r="B22089" s="17">
        <v>-1.0</v>
      </c>
    </row>
  </sheetData>
  <drawing r:id="rId1"/>
</worksheet>
</file>